
<file path=[Content_Types].xml><?xml version="1.0" encoding="utf-8"?>
<Types xmlns="http://schemas.openxmlformats.org/package/2006/content-types">
  <Default Extension="emf" ContentType="image/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26.xml" ContentType="application/vnd.openxmlformats-officedocument.spreadsheetml.worksheet+xml"/>
  <Override PartName="/xl/worksheets/sheet22.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worksheets/sheet23.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xl/comments23.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firstSheet="3" activeTab="5"/>
  </bookViews>
  <sheets>
    <sheet sheetId="26" name="Read Me" state="visible" r:id="rId4"/>
    <sheet sheetId="22" name="Instruction Sheet" state="visible" r:id="rId5"/>
    <sheet sheetId="2" name="General Information" state="visible" r:id="rId6"/>
    <sheet sheetId="21" name="Form 1" state="visible" r:id="rId7"/>
    <sheet sheetId="23" name="Form PE" state="visible" r:id="rId8"/>
    <sheet sheetId="25" name="Form E2" state="visible" r:id="rId9"/>
    <sheet sheetId="3" name="Form Sa1" state="visible" r:id="rId10"/>
    <sheet sheetId="6" name="Annex CPP" state="visible" r:id="rId11"/>
    <sheet sheetId="8" name=" Summary Sheet" state="visible" r:id="rId12"/>
    <sheet sheetId="13" name="NF - 5 Power Mix" state="visible" r:id="rId13"/>
    <sheet sheetId="24" name="Emission Factor &amp; GWP Backup" state="visible" r:id="rId14"/>
    <sheet sheetId="12" name="NF - 4 Product Mix" state="visible" r:id="rId15"/>
    <sheet sheetId="7" name="Baseline Parameter" state="visible" r:id="rId16"/>
    <sheet sheetId="4" name="Annex Addl Eqp List-Env" state="visible" r:id="rId17"/>
    <sheet sheetId="5" name="Annex Project Activites List" state="visible" r:id="rId18"/>
    <sheet sheetId="9" name="N1-BQ Bauxite Quality" state="visible" r:id="rId19"/>
    <sheet sheetId="10" name="NF - 2 Fuel Quality CPP &amp; Cogen" state="visible" r:id="rId20"/>
    <sheet sheetId="11" name="NF - 3 PLF" state="visible" r:id="rId21"/>
    <sheet sheetId="14" name="NF-6 Carbon Anode Production" state="visible" r:id="rId22"/>
    <sheet sheetId="15" name="NF-7 Smelter CU" state="visible" r:id="rId23"/>
    <sheet sheetId="18" name="NF-8 Others" state="visible" r:id="rId24"/>
  </sheets>
  <definedNames>
    <definedName name="_xlnm._FilterDatabase">'Form Sa1'!$I$1:$I$1487</definedName>
    <definedName name="Refinery">'Form Sa1'!$A$41:$K$48,'Form Sa1'!$A$61:$K$168</definedName>
    <definedName name="Z_808D63CE_AAC2_4BB4_99F0_D9F2ED9063AB_.wvu.PrintArea">'Form Sa1'!$A$1:$K$1392</definedName>
    <definedName name="_xlnm.Print_Area" localSheetId="2">'General Information'!$A1:$AP47</definedName>
    <definedName name="_xlnm.Print_Area" localSheetId="6">'Form Sa1'!$A1:$K1486</definedName>
    <definedName name="_xlnm.Print_Area" localSheetId="7">'Annex CPP'!$A1:$S102</definedName>
    <definedName name="_xlnm.Print_Area" localSheetId="8">' Summary Sheet'!$A1:$F73</definedName>
    <definedName name="_xlnm.Print_Area" localSheetId="12">'Baseline Parameter'!$A1:$F244</definedName>
    <definedName name="_xlnm.Print_Area" localSheetId="18">'NF-6 Carbon Anode Production'!$A1:$F18</definedName>
  </definedNames>
  <calcPr calcId="171027"/>
</workbook>
</file>

<file path=xl/comments3.xml><?xml version="1.0" encoding="utf-8"?>
<comments xmlns="http://schemas.openxmlformats.org/spreadsheetml/2006/main">
  <authors>
    <author>Author</author>
  </authors>
  <commentList>
    <comment ref="I8" authorId="0">
      <text>
        <r>
          <rPr>
            <b/>
            <color indexed="81"/>
            <family val="2"/>
            <sz val="9"/>
            <rFont val="Tahoma"/>
          </rPr>
          <t xml:space="preserve">Mention the Baseline and Assessment year details in Gneral information sheet
C31 &amp; G31</t>
        </r>
      </text>
    </comment>
    <comment ref="H68" authorId="0">
      <text>
        <r>
          <rPr>
            <b/>
            <color indexed="81"/>
            <family val="2"/>
            <sz val="8"/>
            <rFont val="Tahoma"/>
          </rPr>
          <t>Lenova:</t>
        </r>
        <r>
          <rPr>
            <color indexed="81"/>
            <family val="2"/>
            <sz val="8"/>
            <rFont val="Tahoma"/>
          </rPr>
          <t xml:space="preserve">
Value is calcuated only for data greater than 0
</t>
        </r>
      </text>
    </comment>
    <comment ref="H76" authorId="0">
      <text>
        <r>
          <rPr>
            <b/>
            <color indexed="81"/>
            <family val="2"/>
            <sz val="8"/>
            <rFont val="Tahoma"/>
          </rPr>
          <t>Lenova:</t>
        </r>
        <r>
          <rPr>
            <color indexed="81"/>
            <family val="2"/>
            <sz val="8"/>
            <rFont val="Tahoma"/>
          </rPr>
          <t xml:space="preserve">
Value is calcuated only for data greater than 0
</t>
        </r>
      </text>
    </comment>
    <comment ref="H94" authorId="0">
      <text>
        <r>
          <rPr>
            <b/>
            <color indexed="81"/>
            <family val="2"/>
            <sz val="8"/>
            <rFont val="Tahoma"/>
          </rPr>
          <t>Lenova:</t>
        </r>
        <r>
          <rPr>
            <color indexed="81"/>
            <family val="2"/>
            <sz val="8"/>
            <rFont val="Tahoma"/>
          </rPr>
          <t xml:space="preserve">
Value is calcuated only for data greater than 0
</t>
        </r>
      </text>
    </comment>
    <comment ref="H113" authorId="0">
      <text>
        <r>
          <rPr>
            <b/>
            <color indexed="81"/>
            <family val="2"/>
            <sz val="8"/>
            <rFont val="Tahoma"/>
          </rPr>
          <t>Lenova:</t>
        </r>
        <r>
          <rPr>
            <color indexed="81"/>
            <family val="2"/>
            <sz val="8"/>
            <rFont val="Tahoma"/>
          </rPr>
          <t xml:space="preserve">
Value is calcuated only for data greater than 0
</t>
        </r>
      </text>
    </comment>
    <comment ref="H119" authorId="0">
      <text>
        <r>
          <rPr>
            <b/>
            <color indexed="81"/>
            <family val="2"/>
            <sz val="8"/>
            <rFont val="Tahoma"/>
          </rPr>
          <t>Lenova:</t>
        </r>
        <r>
          <rPr>
            <color indexed="81"/>
            <family val="2"/>
            <sz val="8"/>
            <rFont val="Tahoma"/>
          </rPr>
          <t xml:space="preserve">
Value is calcuated only for data greater than 0
</t>
        </r>
      </text>
    </comment>
    <comment ref="H123" authorId="0">
      <text>
        <r>
          <rPr>
            <b/>
            <color indexed="81"/>
            <family val="2"/>
            <sz val="8"/>
            <rFont val="Tahoma"/>
          </rPr>
          <t>Lenova:</t>
        </r>
        <r>
          <rPr>
            <color indexed="81"/>
            <family val="2"/>
            <sz val="8"/>
            <rFont val="Tahoma"/>
          </rPr>
          <t xml:space="preserve">
Value is calcuated only for data greater than 0
</t>
        </r>
      </text>
    </comment>
    <comment ref="H125" authorId="0">
      <text>
        <r>
          <rPr>
            <b/>
            <color indexed="81"/>
            <family val="2"/>
            <sz val="8"/>
            <rFont val="Tahoma"/>
          </rPr>
          <t>Lenova:</t>
        </r>
        <r>
          <rPr>
            <color indexed="81"/>
            <family val="2"/>
            <sz val="8"/>
            <rFont val="Tahoma"/>
          </rPr>
          <t xml:space="preserve">
Value is calcuated only for data greater than 0
</t>
        </r>
      </text>
    </comment>
    <comment ref="H131" authorId="0">
      <text>
        <r>
          <rPr>
            <b/>
            <color indexed="81"/>
            <family val="2"/>
            <sz val="8"/>
            <rFont val="Tahoma"/>
          </rPr>
          <t>Lenova:</t>
        </r>
        <r>
          <rPr>
            <color indexed="81"/>
            <family val="2"/>
            <sz val="8"/>
            <rFont val="Tahoma"/>
          </rPr>
          <t xml:space="preserve">
Value is calcuated only for data greater than 0
</t>
        </r>
      </text>
    </comment>
    <comment ref="H137" authorId="0">
      <text>
        <r>
          <rPr>
            <b/>
            <color indexed="81"/>
            <family val="2"/>
            <sz val="8"/>
            <rFont val="Tahoma"/>
          </rPr>
          <t>Lenova:</t>
        </r>
        <r>
          <rPr>
            <color indexed="81"/>
            <family val="2"/>
            <sz val="8"/>
            <rFont val="Tahoma"/>
          </rPr>
          <t xml:space="preserve">
Value is calcuated only for data greater than 0
</t>
        </r>
      </text>
    </comment>
    <comment ref="H143" authorId="0">
      <text>
        <r>
          <rPr>
            <b/>
            <color indexed="81"/>
            <family val="2"/>
            <sz val="8"/>
            <rFont val="Tahoma"/>
          </rPr>
          <t>Lenova:</t>
        </r>
        <r>
          <rPr>
            <color indexed="81"/>
            <family val="2"/>
            <sz val="8"/>
            <rFont val="Tahoma"/>
          </rPr>
          <t xml:space="preserve">
Value is calcuated only for data greater than 0
</t>
        </r>
      </text>
    </comment>
    <comment ref="H149" authorId="0">
      <text>
        <r>
          <rPr>
            <b/>
            <color indexed="81"/>
            <family val="2"/>
            <sz val="8"/>
            <rFont val="Tahoma"/>
          </rPr>
          <t>Lenova:</t>
        </r>
        <r>
          <rPr>
            <color indexed="81"/>
            <family val="2"/>
            <sz val="8"/>
            <rFont val="Tahoma"/>
          </rPr>
          <t xml:space="preserve">
Value is calcuated only for data greater than 0
</t>
        </r>
      </text>
    </comment>
    <comment ref="H153" authorId="0">
      <text>
        <r>
          <rPr>
            <b/>
            <color indexed="81"/>
            <family val="2"/>
            <sz val="8"/>
            <rFont val="Tahoma"/>
          </rPr>
          <t>Lenova:</t>
        </r>
        <r>
          <rPr>
            <color indexed="81"/>
            <family val="2"/>
            <sz val="8"/>
            <rFont val="Tahoma"/>
          </rPr>
          <t xml:space="preserve">
Value is calcuated only for data greater than 0
</t>
        </r>
      </text>
    </comment>
    <comment ref="H155" authorId="0">
      <text>
        <r>
          <rPr>
            <b/>
            <color indexed="81"/>
            <family val="2"/>
            <sz val="8"/>
            <rFont val="Tahoma"/>
          </rPr>
          <t>Lenova:</t>
        </r>
        <r>
          <rPr>
            <color indexed="81"/>
            <family val="2"/>
            <sz val="8"/>
            <rFont val="Tahoma"/>
          </rPr>
          <t xml:space="preserve">
Value is calcuated only for data greater than 0
</t>
        </r>
      </text>
    </comment>
    <comment ref="H161" authorId="0">
      <text>
        <r>
          <rPr>
            <b/>
            <color indexed="81"/>
            <family val="2"/>
            <sz val="8"/>
            <rFont val="Tahoma"/>
          </rPr>
          <t>Lenova:</t>
        </r>
        <r>
          <rPr>
            <color indexed="81"/>
            <family val="2"/>
            <sz val="8"/>
            <rFont val="Tahoma"/>
          </rPr>
          <t xml:space="preserve">
Value is calcuated only for data greater than 0
</t>
        </r>
      </text>
    </comment>
    <comment ref="H168" authorId="0">
      <text>
        <r>
          <rPr>
            <b/>
            <color indexed="81"/>
            <family val="2"/>
            <sz val="8"/>
            <rFont val="Tahoma"/>
          </rPr>
          <t>Lenova:</t>
        </r>
        <r>
          <rPr>
            <color indexed="81"/>
            <family val="2"/>
            <sz val="8"/>
            <rFont val="Tahoma"/>
          </rPr>
          <t xml:space="preserve">
Value is calcuated only for data greater than 0
</t>
        </r>
      </text>
    </comment>
    <comment ref="H173" authorId="0">
      <text>
        <r>
          <rPr>
            <b/>
            <color indexed="81"/>
            <family val="2"/>
            <sz val="8"/>
            <rFont val="Tahoma"/>
          </rPr>
          <t>Lenova:</t>
        </r>
        <r>
          <rPr>
            <color indexed="81"/>
            <family val="2"/>
            <sz val="8"/>
            <rFont val="Tahoma"/>
          </rPr>
          <t xml:space="preserve">
Value is calcuated only for data greater than 0
</t>
        </r>
      </text>
    </comment>
    <comment ref="H207" authorId="0">
      <text>
        <r>
          <rPr>
            <b/>
            <color indexed="81"/>
            <family val="2"/>
            <sz val="8"/>
            <rFont val="Tahoma"/>
          </rPr>
          <t>Lenova:</t>
        </r>
        <r>
          <rPr>
            <color indexed="81"/>
            <family val="2"/>
            <sz val="8"/>
            <rFont val="Tahoma"/>
          </rPr>
          <t xml:space="preserve">
Value is calcuated only for data greater than 0
</t>
        </r>
      </text>
    </comment>
    <comment ref="H209" authorId="0">
      <text>
        <r>
          <rPr>
            <b/>
            <color indexed="81"/>
            <family val="2"/>
            <sz val="8"/>
            <rFont val="Tahoma"/>
          </rPr>
          <t>Lenova:</t>
        </r>
        <r>
          <rPr>
            <color indexed="81"/>
            <family val="2"/>
            <sz val="8"/>
            <rFont val="Tahoma"/>
          </rPr>
          <t xml:space="preserve">
Value is calcuated only for data greater than 0
</t>
        </r>
      </text>
    </comment>
    <comment ref="H224" authorId="0">
      <text>
        <r>
          <rPr>
            <b/>
            <color indexed="81"/>
            <family val="2"/>
            <sz val="8"/>
            <rFont val="Tahoma"/>
          </rPr>
          <t>Lenova:</t>
        </r>
        <r>
          <rPr>
            <color indexed="81"/>
            <family val="2"/>
            <sz val="8"/>
            <rFont val="Tahoma"/>
          </rPr>
          <t xml:space="preserve">
Value is calcuated only for data greater than 0
</t>
        </r>
      </text>
    </comment>
    <comment ref="H226" authorId="0">
      <text>
        <r>
          <rPr>
            <b/>
            <color indexed="81"/>
            <family val="2"/>
            <sz val="8"/>
            <rFont val="Tahoma"/>
          </rPr>
          <t>Lenova:</t>
        </r>
        <r>
          <rPr>
            <color indexed="81"/>
            <family val="2"/>
            <sz val="8"/>
            <rFont val="Tahoma"/>
          </rPr>
          <t xml:space="preserve">
Value is calcuated only for data greater than 0
</t>
        </r>
      </text>
    </comment>
    <comment ref="H241" authorId="0">
      <text>
        <r>
          <rPr>
            <b/>
            <color indexed="81"/>
            <family val="2"/>
            <sz val="8"/>
            <rFont val="Tahoma"/>
          </rPr>
          <t>Lenova:</t>
        </r>
        <r>
          <rPr>
            <color indexed="81"/>
            <family val="2"/>
            <sz val="8"/>
            <rFont val="Tahoma"/>
          </rPr>
          <t xml:space="preserve">
Value is calcuated only for data greater than 0
</t>
        </r>
      </text>
    </comment>
    <comment ref="H243" authorId="0">
      <text>
        <r>
          <rPr>
            <b/>
            <color indexed="81"/>
            <family val="2"/>
            <sz val="8"/>
            <rFont val="Tahoma"/>
          </rPr>
          <t>Lenova:</t>
        </r>
        <r>
          <rPr>
            <color indexed="81"/>
            <family val="2"/>
            <sz val="8"/>
            <rFont val="Tahoma"/>
          </rPr>
          <t xml:space="preserve">
Value is calcuated only for data greater than 0
</t>
        </r>
      </text>
    </comment>
    <comment ref="H258" authorId="0">
      <text>
        <r>
          <rPr>
            <b/>
            <color indexed="81"/>
            <family val="2"/>
            <sz val="8"/>
            <rFont val="Tahoma"/>
          </rPr>
          <t>Lenova:</t>
        </r>
        <r>
          <rPr>
            <color indexed="81"/>
            <family val="2"/>
            <sz val="8"/>
            <rFont val="Tahoma"/>
          </rPr>
          <t xml:space="preserve">
Value is calcuated only for data greater than 0
</t>
        </r>
      </text>
    </comment>
    <comment ref="H260" authorId="0">
      <text>
        <r>
          <rPr>
            <b/>
            <color indexed="81"/>
            <family val="2"/>
            <sz val="8"/>
            <rFont val="Tahoma"/>
          </rPr>
          <t>Lenova:</t>
        </r>
        <r>
          <rPr>
            <color indexed="81"/>
            <family val="2"/>
            <sz val="8"/>
            <rFont val="Tahoma"/>
          </rPr>
          <t xml:space="preserve">
Value is calcuated only for data greater than 0
</t>
        </r>
      </text>
    </comment>
    <comment ref="H275" authorId="0">
      <text>
        <r>
          <rPr>
            <b/>
            <color indexed="81"/>
            <family val="2"/>
            <sz val="8"/>
            <rFont val="Tahoma"/>
          </rPr>
          <t>Lenova:</t>
        </r>
        <r>
          <rPr>
            <color indexed="81"/>
            <family val="2"/>
            <sz val="8"/>
            <rFont val="Tahoma"/>
          </rPr>
          <t xml:space="preserve">
Value is calcuated only for data greater than 0
</t>
        </r>
      </text>
    </comment>
    <comment ref="H277" authorId="0">
      <text>
        <r>
          <rPr>
            <b/>
            <color indexed="81"/>
            <family val="2"/>
            <sz val="8"/>
            <rFont val="Tahoma"/>
          </rPr>
          <t>Lenova:</t>
        </r>
        <r>
          <rPr>
            <color indexed="81"/>
            <family val="2"/>
            <sz val="8"/>
            <rFont val="Tahoma"/>
          </rPr>
          <t xml:space="preserve">
Value is calcuated only for data greater than 0
</t>
        </r>
      </text>
    </comment>
    <comment ref="H292" authorId="0">
      <text>
        <r>
          <rPr>
            <b/>
            <color indexed="81"/>
            <family val="2"/>
            <sz val="8"/>
            <rFont val="Tahoma"/>
          </rPr>
          <t>Lenova:</t>
        </r>
        <r>
          <rPr>
            <color indexed="81"/>
            <family val="2"/>
            <sz val="8"/>
            <rFont val="Tahoma"/>
          </rPr>
          <t xml:space="preserve">
Value is calcuated only for data greater than 0
</t>
        </r>
      </text>
    </comment>
    <comment ref="H294" authorId="0">
      <text>
        <r>
          <rPr>
            <b/>
            <color indexed="81"/>
            <family val="2"/>
            <sz val="8"/>
            <rFont val="Tahoma"/>
          </rPr>
          <t>Lenova:</t>
        </r>
        <r>
          <rPr>
            <color indexed="81"/>
            <family val="2"/>
            <sz val="8"/>
            <rFont val="Tahoma"/>
          </rPr>
          <t xml:space="preserve">
Value is calcuated only for data greater than 0
</t>
        </r>
      </text>
    </comment>
    <comment ref="H309" authorId="0">
      <text>
        <r>
          <rPr>
            <b/>
            <color indexed="81"/>
            <family val="2"/>
            <sz val="8"/>
            <rFont val="Tahoma"/>
          </rPr>
          <t>Lenova:</t>
        </r>
        <r>
          <rPr>
            <color indexed="81"/>
            <family val="2"/>
            <sz val="8"/>
            <rFont val="Tahoma"/>
          </rPr>
          <t xml:space="preserve">
Value is calcuated only for data greater than 0
</t>
        </r>
      </text>
    </comment>
    <comment ref="H311" authorId="0">
      <text>
        <r>
          <rPr>
            <b/>
            <color indexed="81"/>
            <family val="2"/>
            <sz val="8"/>
            <rFont val="Tahoma"/>
          </rPr>
          <t>Lenova:</t>
        </r>
        <r>
          <rPr>
            <color indexed="81"/>
            <family val="2"/>
            <sz val="8"/>
            <rFont val="Tahoma"/>
          </rPr>
          <t xml:space="preserve">
Value is calcuated only for data greater than 0
</t>
        </r>
      </text>
    </comment>
    <comment ref="H326" authorId="0">
      <text>
        <r>
          <rPr>
            <b/>
            <color indexed="81"/>
            <family val="2"/>
            <sz val="8"/>
            <rFont val="Tahoma"/>
          </rPr>
          <t>Lenova:</t>
        </r>
        <r>
          <rPr>
            <color indexed="81"/>
            <family val="2"/>
            <sz val="8"/>
            <rFont val="Tahoma"/>
          </rPr>
          <t xml:space="preserve">
Value is calcuated only for data greater than 0
</t>
        </r>
      </text>
    </comment>
    <comment ref="H328" authorId="0">
      <text>
        <r>
          <rPr>
            <b/>
            <color indexed="81"/>
            <family val="2"/>
            <sz val="8"/>
            <rFont val="Tahoma"/>
          </rPr>
          <t>Lenova:</t>
        </r>
        <r>
          <rPr>
            <color indexed="81"/>
            <family val="2"/>
            <sz val="8"/>
            <rFont val="Tahoma"/>
          </rPr>
          <t xml:space="preserve">
Value is calcuated only for data greater than 0
</t>
        </r>
      </text>
    </comment>
    <comment ref="H343" authorId="0">
      <text>
        <r>
          <rPr>
            <b/>
            <color indexed="81"/>
            <family val="2"/>
            <sz val="8"/>
            <rFont val="Tahoma"/>
          </rPr>
          <t>Lenova:</t>
        </r>
        <r>
          <rPr>
            <color indexed="81"/>
            <family val="2"/>
            <sz val="8"/>
            <rFont val="Tahoma"/>
          </rPr>
          <t xml:space="preserve">
Value is calcuated only for data greater than 0
</t>
        </r>
      </text>
    </comment>
    <comment ref="H345" authorId="0">
      <text>
        <r>
          <rPr>
            <b/>
            <color indexed="81"/>
            <family val="2"/>
            <sz val="8"/>
            <rFont val="Tahoma"/>
          </rPr>
          <t>Lenova:</t>
        </r>
        <r>
          <rPr>
            <color indexed="81"/>
            <family val="2"/>
            <sz val="8"/>
            <rFont val="Tahoma"/>
          </rPr>
          <t xml:space="preserve">
Value is calcuated only for data greater than 0
</t>
        </r>
      </text>
    </comment>
    <comment ref="H360" authorId="0">
      <text>
        <r>
          <rPr>
            <b/>
            <color indexed="81"/>
            <family val="2"/>
            <sz val="8"/>
            <rFont val="Tahoma"/>
          </rPr>
          <t>Lenova:</t>
        </r>
        <r>
          <rPr>
            <color indexed="81"/>
            <family val="2"/>
            <sz val="8"/>
            <rFont val="Tahoma"/>
          </rPr>
          <t xml:space="preserve">
Value is calcuated only for data greater than 0
</t>
        </r>
      </text>
    </comment>
    <comment ref="H362" authorId="0">
      <text>
        <r>
          <rPr>
            <b/>
            <color indexed="81"/>
            <family val="2"/>
            <sz val="8"/>
            <rFont val="Tahoma"/>
          </rPr>
          <t>Lenova:</t>
        </r>
        <r>
          <rPr>
            <color indexed="81"/>
            <family val="2"/>
            <sz val="8"/>
            <rFont val="Tahoma"/>
          </rPr>
          <t xml:space="preserve">
Value is calcuated only for data greater than 0
</t>
        </r>
      </text>
    </comment>
    <comment ref="H377" authorId="0">
      <text>
        <r>
          <rPr>
            <b/>
            <color indexed="81"/>
            <family val="2"/>
            <sz val="8"/>
            <rFont val="Tahoma"/>
          </rPr>
          <t>Lenova:</t>
        </r>
        <r>
          <rPr>
            <color indexed="81"/>
            <family val="2"/>
            <sz val="8"/>
            <rFont val="Tahoma"/>
          </rPr>
          <t xml:space="preserve">
Value is calcuated only for data greater than 0
</t>
        </r>
      </text>
    </comment>
    <comment ref="H379" authorId="0">
      <text>
        <r>
          <rPr>
            <b/>
            <color indexed="81"/>
            <family val="2"/>
            <sz val="8"/>
            <rFont val="Tahoma"/>
          </rPr>
          <t>Lenova:</t>
        </r>
        <r>
          <rPr>
            <color indexed="81"/>
            <family val="2"/>
            <sz val="8"/>
            <rFont val="Tahoma"/>
          </rPr>
          <t xml:space="preserve">
Value is calcuated only for data greater than 0
</t>
        </r>
      </text>
    </comment>
    <comment ref="H397" authorId="0">
      <text>
        <r>
          <rPr>
            <b/>
            <color indexed="81"/>
            <family val="2"/>
            <sz val="8"/>
            <rFont val="Tahoma"/>
          </rPr>
          <t>Lenova:</t>
        </r>
        <r>
          <rPr>
            <color indexed="81"/>
            <family val="2"/>
            <sz val="8"/>
            <rFont val="Tahoma"/>
          </rPr>
          <t xml:space="preserve">
Value is calcuated only for data greater than 0
</t>
        </r>
      </text>
    </comment>
    <comment ref="H403" authorId="0">
      <text>
        <r>
          <rPr>
            <b/>
            <color indexed="81"/>
            <family val="2"/>
            <sz val="8"/>
            <rFont val="Tahoma"/>
          </rPr>
          <t>Lenova:</t>
        </r>
        <r>
          <rPr>
            <color indexed="81"/>
            <family val="2"/>
            <sz val="8"/>
            <rFont val="Tahoma"/>
          </rPr>
          <t xml:space="preserve">
Value is calcuated only for data greater than 0
</t>
        </r>
      </text>
    </comment>
    <comment ref="H409" authorId="0">
      <text>
        <r>
          <rPr>
            <b/>
            <color indexed="81"/>
            <family val="2"/>
            <sz val="8"/>
            <rFont val="Tahoma"/>
          </rPr>
          <t>Lenova:</t>
        </r>
        <r>
          <rPr>
            <color indexed="81"/>
            <family val="2"/>
            <sz val="8"/>
            <rFont val="Tahoma"/>
          </rPr>
          <t xml:space="preserve">
Value is calcuated only for data greater than 0
</t>
        </r>
      </text>
    </comment>
    <comment ref="H415" authorId="0">
      <text>
        <r>
          <rPr>
            <b/>
            <color indexed="81"/>
            <family val="2"/>
            <sz val="8"/>
            <rFont val="Tahoma"/>
          </rPr>
          <t>Lenova:</t>
        </r>
        <r>
          <rPr>
            <color indexed="81"/>
            <family val="2"/>
            <sz val="8"/>
            <rFont val="Tahoma"/>
          </rPr>
          <t xml:space="preserve">
Value is calcuated only for data greater than 0
</t>
        </r>
      </text>
    </comment>
    <comment ref="H421" authorId="0">
      <text>
        <r>
          <rPr>
            <b/>
            <color indexed="81"/>
            <family val="2"/>
            <sz val="8"/>
            <rFont val="Tahoma"/>
          </rPr>
          <t>Lenova:</t>
        </r>
        <r>
          <rPr>
            <color indexed="81"/>
            <family val="2"/>
            <sz val="8"/>
            <rFont val="Tahoma"/>
          </rPr>
          <t xml:space="preserve">
Value is calcuated only for data greater than 0
</t>
        </r>
      </text>
    </comment>
    <comment ref="H427" authorId="0">
      <text>
        <r>
          <rPr>
            <b/>
            <color indexed="81"/>
            <family val="2"/>
            <sz val="8"/>
            <rFont val="Tahoma"/>
          </rPr>
          <t>Lenova:</t>
        </r>
        <r>
          <rPr>
            <color indexed="81"/>
            <family val="2"/>
            <sz val="8"/>
            <rFont val="Tahoma"/>
          </rPr>
          <t xml:space="preserve">
Value is calcuated only for data greater than 0
</t>
        </r>
      </text>
    </comment>
    <comment ref="H434" authorId="0">
      <text>
        <r>
          <rPr>
            <b/>
            <color indexed="81"/>
            <family val="2"/>
            <sz val="8"/>
            <rFont val="Tahoma"/>
          </rPr>
          <t>Lenova:</t>
        </r>
        <r>
          <rPr>
            <color indexed="81"/>
            <family val="2"/>
            <sz val="8"/>
            <rFont val="Tahoma"/>
          </rPr>
          <t xml:space="preserve">
Value is calcuated only for data greater than 0
</t>
        </r>
      </text>
    </comment>
    <comment ref="H440" authorId="0">
      <text>
        <r>
          <rPr>
            <b/>
            <color indexed="81"/>
            <family val="2"/>
            <sz val="8"/>
            <rFont val="Tahoma"/>
          </rPr>
          <t>Lenova:</t>
        </r>
        <r>
          <rPr>
            <color indexed="81"/>
            <family val="2"/>
            <sz val="8"/>
            <rFont val="Tahoma"/>
          </rPr>
          <t xml:space="preserve">
Value is calcuated only for data greater than 0
</t>
        </r>
      </text>
    </comment>
    <comment ref="I739" authorId="0">
      <text>
        <r>
          <rPr>
            <b/>
            <color indexed="81"/>
            <family val="2"/>
            <sz val="9"/>
            <rFont val="Tahoma"/>
          </rPr>
          <t xml:space="preserve">Linked to Operating load
</t>
        </r>
      </text>
    </comment>
    <comment ref="B825" authorId="0">
      <text>
        <r>
          <rPr>
            <b/>
            <color indexed="81"/>
            <family val="2"/>
            <sz val="9"/>
            <rFont val="Tahoma"/>
          </rPr>
          <t>Author:</t>
        </r>
        <r>
          <rPr>
            <color indexed="81"/>
            <family val="2"/>
            <sz val="9"/>
            <rFont val="Tahoma"/>
          </rPr>
          <t xml:space="preserve">
It is the ratio of actual output produced from the solar power plant over the year to the DC plant capacity multiplied by no. of hours in the year </t>
        </r>
      </text>
    </comment>
    <comment ref="I1395" authorId="0">
      <text>
        <r>
          <rPr>
            <b/>
            <color indexed="81"/>
            <family val="2"/>
            <sz val="9"/>
            <rFont val="Tahoma"/>
          </rPr>
          <t xml:space="preserve">Mention the Baseline and Assessment year details in Gneral information sheet
C31 &amp; G31</t>
        </r>
      </text>
    </comment>
  </commentList>
</comments>
</file>

<file path=xl/comments23.xml><?xml version="1.0" encoding="utf-8"?>
<comments xmlns="http://schemas.openxmlformats.org/spreadsheetml/2006/main">
  <authors>
    <author>Author</author>
  </authors>
  <commentList>
    <comment ref="I1" authorId="0">
      <text>
        <r>
          <rPr>
            <b/>
            <color indexed="81"/>
            <family val="2"/>
            <sz val="9"/>
            <rFont val="Tahoma"/>
          </rPr>
          <t xml:space="preserve">Mention the Baseline and Assessment year details in Gneral information sheet
C31 &amp; G31</t>
        </r>
      </text>
    </comment>
  </commentList>
</comments>
</file>

<file path=xl/sharedStrings.xml><?xml version="1.0" encoding="utf-8"?>
<sst xmlns="http://schemas.openxmlformats.org/spreadsheetml/2006/main" count="11560" uniqueCount="3628">
  <si>
    <t>Instruction Sheet</t>
  </si>
  <si>
    <t>General Information</t>
  </si>
  <si>
    <t>Form 1</t>
  </si>
  <si>
    <t>Form E2</t>
  </si>
  <si>
    <t>Form-Sa1</t>
  </si>
  <si>
    <t>Baseline Parameters</t>
  </si>
  <si>
    <t>Summary Sheet</t>
  </si>
  <si>
    <t>Emission Factor &amp; GWP Backup</t>
  </si>
  <si>
    <t>Annex Addl Eqp List-Env</t>
  </si>
  <si>
    <t>Annex Project Activites List</t>
  </si>
  <si>
    <t>NF-1 BQ Bauxite Quality</t>
  </si>
  <si>
    <t>NF-2 Fuel Quality in CPP</t>
  </si>
  <si>
    <t>NF-3 PLF</t>
  </si>
  <si>
    <t>NF-4 Product Mix</t>
  </si>
  <si>
    <t>NF-5 Power Mix</t>
  </si>
  <si>
    <t>NF-6 Carbon Anode Production</t>
  </si>
  <si>
    <t>NF-7 Smelter CU</t>
  </si>
  <si>
    <t>NF-8 Others</t>
  </si>
  <si>
    <t>How to use this File</t>
  </si>
  <si>
    <t>Please use the General Information sheet Sr  No 7 and 8 to fill the data for the selection of No of years as a baseline Year (s). Year needs to be selected from the drop-down list w.r.t Baseline Years and Assessment year</t>
  </si>
  <si>
    <t xml:space="preserve">Based on the selection years of baseline, the avarage data shall be calaculated automatically </t>
  </si>
  <si>
    <t xml:space="preserve">Automatic calculation (to be found in the menu Formula/Calculation options) must be turned on. It is recommended that you go through the file from start to end. There are few functions which will guide you through the form which depend on previous input, such as cells changing colour if any input is not needed ( see colour codes below). However, sometimes it is relevant to first continue data input in another sheet before going on. </t>
  </si>
  <si>
    <t>A cell is to be kept empty, if no data is required. The cell will not take 0 value.</t>
  </si>
  <si>
    <t>In several fields you can choose from predefined inputs. For selecting from such a "drop-down list" either click with the mouse on the small arrow appearing at the right border of the cell, or press "Alt-CursorDown" when you have selected the cell. Some fields allow you to input your own text even if such a drop-down list exists. This is the case when drop-down lists contain empty list entries.</t>
  </si>
  <si>
    <t>Error messages will occur sometimes when data entries are text of zero. However, the non-appearance of error messages is not a guarantee for correct calculations, as not always a data completeness test is possible. If no result appears in a green field, it can be assumed that some data is still missing. Special care must be taken of consistency of data with the units displayed.</t>
  </si>
  <si>
    <t>Colour Codes and fonts:</t>
  </si>
  <si>
    <t>The formulae can be changed</t>
  </si>
  <si>
    <t>Please leave blank if no data is to be filled</t>
  </si>
  <si>
    <t>Fomulae Protected, Energy data summary</t>
  </si>
  <si>
    <t>Data not to be filled</t>
  </si>
  <si>
    <t>Fomulae protected, Emission data summary</t>
  </si>
  <si>
    <t>Yes</t>
  </si>
  <si>
    <t>Select from the list Yes or No</t>
  </si>
  <si>
    <t>Select</t>
  </si>
  <si>
    <t>Select from the list Yes or No or Not Applicable</t>
  </si>
  <si>
    <t>Please do not enter any data</t>
  </si>
  <si>
    <t>Emission calculation data inputs</t>
  </si>
  <si>
    <t>Lignite</t>
  </si>
  <si>
    <t>Selection from the list</t>
  </si>
  <si>
    <t>Navigation panels on top of each sheet provide hyperlinks for quick jumps to individual input sectors. The first line ("Table of contents", "Previous sheet", "Next Sheet", "Summary") and the points "Top of Sheet" and "End of Sheet" are the same for all sheet. Depending on the sheet, further menu items are added. If the background colour of one of the hyperlink areas turned red, this indicates that data is missing in the related section (not in all sheet).</t>
  </si>
  <si>
    <t>This template has been locked against any data entry except for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</si>
  <si>
    <t>In order to protect formulae against unintended modifications, which usually lead to wrong and misleading results, it is of utmost importance NOT TO USE the CUT &amp; PASTE feature. If you want to mode data, first COPY and PASTE them, and thereafter delete the unwanted data in the old (wrong) place.</t>
  </si>
  <si>
    <t>Data fields have not been optimized for numerical and other formats. However, sheet protection has been limited so as to allow you to use your own formats. In particular, you may decide about the number of decimal places displayed. The number of places is in principle independent from the precision of calculation. In principle the option "Precision as displayed" of MS Excel should be deactivated. For more details, consult MS Excel's "Help" function on this topic.</t>
  </si>
  <si>
    <t>DISCLAIMER: All formulae have been developed carefully and thoroughly. However, mistakes cannot be fully excluded. As described above, full transparency for checking the validity of calculations is ensured. Neither the authors of this file nor the Bureau of Energy Efficiency can be held liable for eventual damages resulting from wrong or misleading results of the provided calculations. It is the full responsibility of the user of this file (i.e., The Obligated Entity or Verifier to ensure that correct data is reported to the competent authority.</t>
  </si>
  <si>
    <r>
      <t>INSTRUCTION FOR FILLING UP THE FORM-Sa</t>
    </r>
    <r>
      <rPr>
        <b/>
        <color indexed="9"/>
        <family val="2"/>
        <vertAlign val="subscript"/>
        <sz val="18"/>
        <rFont val="Calibri"/>
      </rPr>
      <t>1</t>
    </r>
    <r>
      <rPr>
        <b/>
        <color indexed="9"/>
        <family val="2"/>
        <sz val="18"/>
        <rFont val="Calibri"/>
      </rPr>
      <t xml:space="preserve"> (Detail of production and Energy Consumption &amp; CO2eq Emission)</t>
    </r>
  </si>
  <si>
    <t>Go down</t>
  </si>
  <si>
    <t>Sr No</t>
  </si>
  <si>
    <t>Details</t>
  </si>
  <si>
    <t>Note</t>
  </si>
  <si>
    <t>Frequency of record</t>
  </si>
  <si>
    <t xml:space="preserve">Primary Documents from where the information can be sourced and to be kept ready for verification by Accredited Energy Auditor </t>
  </si>
  <si>
    <t>Secondary Documents from where the information can be sourced and to be kept ready for verification by Accredited Energy Auditor</t>
  </si>
  <si>
    <t xml:space="preserve">It is mandatory to fill data in all fields of the excel sheet - General Information, Form Sa1, Annex CPP, Annex Addl Eqp List-Env, Annex Project Activities List </t>
  </si>
  <si>
    <t>Please fill the data as per colour coding provided  at the bottom of Form Sa1</t>
  </si>
  <si>
    <t>A</t>
  </si>
  <si>
    <t>Production and capacity utilization details</t>
  </si>
  <si>
    <t>A1</t>
  </si>
  <si>
    <t>Refinery Process</t>
  </si>
  <si>
    <t>i</t>
  </si>
  <si>
    <t>Please provide total annual Production Capacity of Hydrate Alumina in tonnes</t>
  </si>
  <si>
    <t>Capacity of all Precipitar Tank</t>
  </si>
  <si>
    <t>Annual</t>
  </si>
  <si>
    <t>1) OEM Document of Section-wise process line 2) Enviromental Consent to establish/operate document</t>
  </si>
  <si>
    <t>1) Equipment/Section wise capacity document from OEM 2) Capacity calculation document submitted for Enviromental Consent</t>
  </si>
  <si>
    <t>ii</t>
  </si>
  <si>
    <t>Please provide total annual Production Capacity of Calcined Alumina in tonnes</t>
  </si>
  <si>
    <t>Capacity of Calciner</t>
  </si>
  <si>
    <t>1) OEM Document of Section-wise Process line 2) Enviromental Consent to establish/operate document</t>
  </si>
  <si>
    <t>iii</t>
  </si>
  <si>
    <t>Please provide total annual Hydrate Alumina Production (including the exported hydrate alumina) in Tonnes</t>
  </si>
  <si>
    <t>Production of Hydrate Alumina from all Precipitor Tank</t>
  </si>
  <si>
    <t>Continuous, Hourly, Daily, Monthly</t>
  </si>
  <si>
    <t>1) Log Sheet 2) CCR SCADA Report/ Trends 3) DPR 4) MPR 5) SAP Entry in PP/SD module 6) Excise record (ER1) 7) Annual Report</t>
  </si>
  <si>
    <t>1)Hydrate Alumina stock Level 2) Weighhfeeders 3) Belt Weigher 4) Solid flow meter 5) Load cells</t>
  </si>
  <si>
    <t>iv</t>
  </si>
  <si>
    <t>Please provide total annual Calcined Alumina  Production of all calciner (including the exported calcined alumina) in Tonnes</t>
  </si>
  <si>
    <t>Production of Calcined Alumina from all Calciner</t>
  </si>
  <si>
    <t>Continouous, Hourly, Daily, Monthly</t>
  </si>
  <si>
    <t>1) Log Sheet 2) CCR SCADA Report/ Ternds 3) DPR 4) MPR 5) SAP Entry in PP/SD module 6) Excise record (ER1) 7) Annual Report</t>
  </si>
  <si>
    <t>1)Calcined  Alumina stock 2) Weighhfeeders 3) Belt Weigher 4) Solid flow meter  5) Load cells</t>
  </si>
  <si>
    <t>v</t>
  </si>
  <si>
    <t>Formula protected (Annual production of Hydrate Alumina/ Annual production capacity of Hydrate Alumina)</t>
  </si>
  <si>
    <t>vi</t>
  </si>
  <si>
    <t>Formula protected (Annual production of calcined Alummina/annual production capacity of Calcined Alumina)</t>
  </si>
  <si>
    <t>A2</t>
  </si>
  <si>
    <t>Smelter Process</t>
  </si>
  <si>
    <t>Please provide total annual Production Capacity of Molten Aluminium in tonnes</t>
  </si>
  <si>
    <t>Capacity of all Potline</t>
  </si>
  <si>
    <t>1) OEM Document of potline                                       2) Enviromental Consent to establish/operate document</t>
  </si>
  <si>
    <t>1) Potline wise capacity document from OEM 2) Capacity calculation document submitted for Enviromental Consent</t>
  </si>
  <si>
    <t>Please provide total annual Production Capacity of cast House in tonnes</t>
  </si>
  <si>
    <t>Capacity of cast House</t>
  </si>
  <si>
    <t>Please provide total annual Molten Aluminium Production in Tonnes</t>
  </si>
  <si>
    <t>Production of Molten Aluminium from all Potline</t>
  </si>
  <si>
    <t>1) Laddle weighing system 2) Weight of Molten Aluminium</t>
  </si>
  <si>
    <t>Please provide total annual cast house Production in Tonnes</t>
  </si>
  <si>
    <t>production of Casted product from Cast House</t>
  </si>
  <si>
    <t>1) Cast House Products stock register 2) Weigh Bridge</t>
  </si>
  <si>
    <t>Formula protected (Annual production of Molten Aluminium/ Annual production capacity of Molten Aluminium)</t>
  </si>
  <si>
    <t>Formula protected (Annual production of Cast House/annual production capacity of Cast House)</t>
  </si>
  <si>
    <t>A3</t>
  </si>
  <si>
    <t xml:space="preserve">Process wise production and performance detail </t>
  </si>
  <si>
    <t>A3.1</t>
  </si>
  <si>
    <t>a</t>
  </si>
  <si>
    <t xml:space="preserve">Hydrate Alumina </t>
  </si>
  <si>
    <t>Please provide the Hydrate Alumina, exported outside plant boundary or sold to any other entity in Tonnes.</t>
  </si>
  <si>
    <t>Monthly, Yearly</t>
  </si>
  <si>
    <t>1) Inventory Report 2) Excise Document (ER1)3) Stores Entry 4) SAP Entry in MM/PP/SD module</t>
  </si>
  <si>
    <t>1) Weigh Bridge 2) Stock Register</t>
  </si>
  <si>
    <t>Please provide the Hydrate Alumina, imported from outside plant boundary or import from any other entity in Tonnes.</t>
  </si>
  <si>
    <t>Please provide  opening  stock of hydrate alumina in tonnes</t>
  </si>
  <si>
    <t>Record Opening and Closing stock on daily basis</t>
  </si>
  <si>
    <t>Daily, Monthly, Yearly</t>
  </si>
  <si>
    <t>Please provide closing  stock of hydrate alumina in tonnes</t>
  </si>
  <si>
    <t>Please provide thermal SEC of  hydrate alumina (total thermal energy consumed for production of hydrate alumina in kcal /total hydrate alumina production in tonne)</t>
  </si>
  <si>
    <t>The energy consumed upto making hydrate Alumina needs to be divided by total hydrate production</t>
  </si>
  <si>
    <t>1) DPR 2) MPR 3) Stocks register 4) Log Book 4) Annual Report  6) Fuel test Certificate (Internal and External) 7) Excise Record</t>
  </si>
  <si>
    <t xml:space="preserve">1)Operator Shift Register 2) Weighfeeder Reading for fuel feeding 3)  Weigher Reading </t>
  </si>
  <si>
    <t>Please provide  electrical SEC of hydrate alumina (total electrical energy consumed for production of hydrate alumina in kWh/total hydrate alumina production in tonne)</t>
  </si>
  <si>
    <t>1) DPR 2) MPR 3) Stocks register 4) Log Book 4) Annual Report  6)Daily Power Report 7) Monthly Power Report 8) Excise Record</t>
  </si>
  <si>
    <t>1)Operator Shift Register 2) Weighfeeder Reading for fuel feeding 3)  Weigher Reading 4) Energy Meter Reading 5) Energy Management System</t>
  </si>
  <si>
    <t>vii</t>
  </si>
  <si>
    <t>Please provide total annual running Hours of plant for producing Hydrate Alumina</t>
  </si>
  <si>
    <t xml:space="preserve">1) DPR 2) MPR 3) DCS/CCR Trend </t>
  </si>
  <si>
    <t>1) houer Meter Reading</t>
  </si>
  <si>
    <t>b</t>
  </si>
  <si>
    <t>Digestion Process Parameter</t>
  </si>
  <si>
    <t>Please provide Type of Digestion Technology used in plant</t>
  </si>
  <si>
    <t>1) OEM document</t>
  </si>
  <si>
    <t>1) Name Plate Details</t>
  </si>
  <si>
    <t>Please provide Number of Digestion Units within the plant</t>
  </si>
  <si>
    <t>1) CCR/DCS SCADA Screen Shots</t>
  </si>
  <si>
    <t>Please provide total annual Production Capacity of Digestion Units in tonne</t>
  </si>
  <si>
    <t>Please provide Digestion Specific Steam Consumption (total steam consumed in tonne/total alumina production in tonne)</t>
  </si>
  <si>
    <t xml:space="preserve">1) DPR 2) MPR 3) CCR/DCS SCADA Trends 4) Log Book 5)Stock Register 6) Stores Receipt </t>
  </si>
  <si>
    <t>1) Steam flow Meter 2) Shift Register</t>
  </si>
  <si>
    <t>Please provide Digestion Specific Power Consumption (total power consumed kWh/total alumina production in tonne)</t>
  </si>
  <si>
    <t>1) DPR 2) MPR 3) CCR/DCS SCADA Trends 4) Log Book 5)Stock Register 6) Stores Receipt 7) Daily Power Report 8) Monthly Power Report</t>
  </si>
  <si>
    <t>1) Energy Meter 2) Energy Management System</t>
  </si>
  <si>
    <t>Please provide Temperature of Low Temperature Digestion Units in oC</t>
  </si>
  <si>
    <t xml:space="preserve">1) SCADA Screen Shots 2) OEM Document 3) Log Book </t>
  </si>
  <si>
    <t>1 ) RTDs 2) Temperature Meters</t>
  </si>
  <si>
    <r>
      <t>Please provide Pressure of Low Temperature Digestion Units in kg/cm</t>
    </r>
    <r>
      <rPr>
        <family val="2"/>
        <vertAlign val="superscript"/>
        <sz val="9"/>
        <rFont val="Calibri"/>
      </rPr>
      <t>2</t>
    </r>
  </si>
  <si>
    <t>1 ) RTDs 2) Pressure Meters</t>
  </si>
  <si>
    <t>viii</t>
  </si>
  <si>
    <t>Please provide the temperature of High Temperature Digestion Units in oC</t>
  </si>
  <si>
    <t>ix</t>
  </si>
  <si>
    <t>Please provide pressure of High Temperature Digestion Units in kg/cm2</t>
  </si>
  <si>
    <t>x</t>
  </si>
  <si>
    <t>Please provide LP Steam Temperature in oC</t>
  </si>
  <si>
    <t>xi</t>
  </si>
  <si>
    <t>Please provide LP steam Pressure in kg/cm2</t>
  </si>
  <si>
    <t>xii</t>
  </si>
  <si>
    <t>Please provide LP Steam Enthalpy in kcal/kg</t>
  </si>
  <si>
    <t>1) Steam Table 2) Steam Chart</t>
  </si>
  <si>
    <t>xiii</t>
  </si>
  <si>
    <t>Please provide LP Steam Consumption in Tonne</t>
  </si>
  <si>
    <t>1) Log book 2) DPR 3) MPR 4) SCADA Screen Shots 4) SCADA Trends</t>
  </si>
  <si>
    <t>xiv</t>
  </si>
  <si>
    <t>Please provide MP Steam Temperature in oC</t>
  </si>
  <si>
    <t>xv</t>
  </si>
  <si>
    <t>Please provide MP steam Pressure in kg/cm2</t>
  </si>
  <si>
    <t>xvi</t>
  </si>
  <si>
    <t>Please provide MP Steam Enthalpy in kcal/kg</t>
  </si>
  <si>
    <t>xvii</t>
  </si>
  <si>
    <t>Please provide MP Steam Consumption in Tonne</t>
  </si>
  <si>
    <t>xviii</t>
  </si>
  <si>
    <t>Please provide HP Steam Temperature in oC</t>
  </si>
  <si>
    <t>xix</t>
  </si>
  <si>
    <t>Please provide HP steam Pressure in kg/cm2</t>
  </si>
  <si>
    <t>xx</t>
  </si>
  <si>
    <t>Please provide HP Steam Enthalpy in kcal/kg</t>
  </si>
  <si>
    <t>xxi</t>
  </si>
  <si>
    <t>Please provide HP Steam Consumption in Tonne</t>
  </si>
  <si>
    <t>xxii</t>
  </si>
  <si>
    <t xml:space="preserve">Please provide Specific Steam Consumption for Evaporation (total steam consumed in tonne/total alumina production in tonne) </t>
  </si>
  <si>
    <t>xxiii</t>
  </si>
  <si>
    <t xml:space="preserve">Please provide Specific Power Consumption for Evaporation (total power consumed in kWh/total alumina production in tonne) </t>
  </si>
  <si>
    <t xml:space="preserve">1) Log book 2) DPR 3) MPR 4) SCADA Screen Shots 4) SCADA Trends 5) Daily Power Report </t>
  </si>
  <si>
    <t>1) Energy Meter 2) Shift Register 3) Energy Management System</t>
  </si>
  <si>
    <t>xxiv</t>
  </si>
  <si>
    <t>Formula protected Weighted average of Enthalpy</t>
  </si>
  <si>
    <t>c</t>
  </si>
  <si>
    <t xml:space="preserve">Calcined Alumina  </t>
  </si>
  <si>
    <t>Please provide Opening stock of Calcined alumina in tonne for Integrated Process Only</t>
  </si>
  <si>
    <t>Daily, Monthly</t>
  </si>
  <si>
    <t>1) Field Inventory</t>
  </si>
  <si>
    <t>Please provide Closing stock of Calcined alumina in tonne for Integrated Process only</t>
  </si>
  <si>
    <t>Please provide type of Calciner Technology used within plant</t>
  </si>
  <si>
    <r>
      <t xml:space="preserve">Please provide calcination Temperature in </t>
    </r>
    <r>
      <rPr>
        <family val="2"/>
        <vertAlign val="superscript"/>
        <sz val="9"/>
        <rFont val="Calibri"/>
      </rPr>
      <t>o</t>
    </r>
    <r>
      <rPr>
        <family val="2"/>
        <sz val="9"/>
        <rFont val="Calibri"/>
      </rPr>
      <t>C</t>
    </r>
  </si>
  <si>
    <t>Please provide Specific Power Consumption for calciner (total electrical consumed in kWh/total alumina production in tonne)</t>
  </si>
  <si>
    <t>Required per ton of product for calciner section</t>
  </si>
  <si>
    <t>Daily, Monthly, Annually</t>
  </si>
  <si>
    <t>Please provide specific Thermal Consumption for calciner (total thermal energy consumed in kcal/total alumina production in tonne)</t>
  </si>
  <si>
    <t>1) Shift Register 2) Field Inventory</t>
  </si>
  <si>
    <t>Please provide toal annual running Hours of all calciners</t>
  </si>
  <si>
    <t>Please provide total calcined Alumina exported (only for Intergated Process) in tonne</t>
  </si>
  <si>
    <t>Please provide total calcined Alumina Imported (only for Intergated Process) in tonne</t>
  </si>
  <si>
    <t>Please provide Specific Thermal Energy Consumption of Calcined Alumina (total Thermal energy consumed in kCal/total calcined alumina production in tonne)</t>
  </si>
  <si>
    <t>Required per ton of product up to making Calcined Alumina</t>
  </si>
  <si>
    <t xml:space="preserve">1) Shift Register 2) Field Inventory 3) Section wise Thermal Energy Consumption </t>
  </si>
  <si>
    <t>Please provide Specific Electrical Energy Consumption of Calcined Alumina (total electrical energy consumed in kWh/total calcined alumina production in tonne)</t>
  </si>
  <si>
    <t>1) Energy Meter 2) Shift Register 3) Energy Management System 4) Section wise Power consumption</t>
  </si>
  <si>
    <t>d/e/f</t>
  </si>
  <si>
    <t>Special Hydrate Course/Microfined/Milled</t>
  </si>
  <si>
    <t>Please provide total annual production capacity of Special hydrate Course/Microfined/Milled  in tonne</t>
  </si>
  <si>
    <t>Please provide total annual production of special hydrate Course/Microfined/Milled in tonne</t>
  </si>
  <si>
    <t>Please provide Thermal Specific Energy Consumption of special hydrate Course/Microfined/Milled (total thermal energy consumed in kcal/total special grade hydrate alumina production in tonne)</t>
  </si>
  <si>
    <t>1) Log book 2) DPR 3) MPR 4) SCADA Screen Shots 4) SCADA Trends 5) Excise Document 6) Energy Totaliser 7) Fuel Stock Register 8) Stores Finshed Product Stock Register</t>
  </si>
  <si>
    <t>1) Shift Register 2) Field Inventory 3) Section wise Thermal Energy Consumption 4) Solid flow Meter 5) Liquid Flow Meter 6) Steam Flow Meter 7) Weigh Bridge</t>
  </si>
  <si>
    <t>Please provide Electrical Specific Energy Consumption of spcial hydrate Course/Microfined/Milled (total electrical energy consumed in kwh/total special grade hydrate alumina production in tonne)</t>
  </si>
  <si>
    <t>1) Log book 2) DPR 3) MPR 4) SCADA Screen Shots 4) SCADA Trends 5) Excise Document 6) Energy Totaliser 7) Daily Power Report 8) Monthly Power Report 9) Stores Finshed Product Stock Register</t>
  </si>
  <si>
    <t>g/h/i</t>
  </si>
  <si>
    <t>Special Alumina Course/Microfined/Milled</t>
  </si>
  <si>
    <t>Please provide total annual production capacity of Special Alumina Course/Microfined/Milled  in tonne</t>
  </si>
  <si>
    <t>Please provide total annual production of special Alumina Course/Microfined/Milled in tonne</t>
  </si>
  <si>
    <t>1) stock Level 2) Weighhfeeders 3) Belt Weigher 4) Solid flow meter 5) Load cells</t>
  </si>
  <si>
    <t>please provide Thermal Specific Energy Consumption of special Alumina Course/Microfined/Milled (total thermal energy consumed in kcal/total special alumina production in tonne)</t>
  </si>
  <si>
    <t>Please provide Electrical Specific Energy Consumption of spcial Alumina Course/Microfined/Milled (total electrical energy consumed in kwh/total special   alumina production in tonne)</t>
  </si>
  <si>
    <t>j</t>
  </si>
  <si>
    <t>Carbon Black Production</t>
  </si>
  <si>
    <t>Please provide total annual production capacity of carbon black in tonne</t>
  </si>
  <si>
    <t>Please provide total annual production of carbon black in tonne</t>
  </si>
  <si>
    <t>please provide Thermal Specific Energy Consumption of carbon black (total thermal energy consumed in kcal/total carbon black production in tonne)</t>
  </si>
  <si>
    <t>Please provide Electrical Specific Energy Consumption of carbon black (total electrica energy consumed in kwh/total carbon black production in tonne)</t>
  </si>
  <si>
    <t>k</t>
  </si>
  <si>
    <t>Carbon Paste Production</t>
  </si>
  <si>
    <t>Please provide total annual production capacity of carbon paste in tonne</t>
  </si>
  <si>
    <t>Please provide total annual production of carbon paste in tonne</t>
  </si>
  <si>
    <t>please provide Thermal Specific Energy Consumption of carbon paste (total thermal energy consumed in kcal/total carbon paste production in tonne)</t>
  </si>
  <si>
    <t>Please provide Electrical Specific Energy Consumption of carbon paste (total electrica energy consumed in kwh/total carbon paste production in tonne)</t>
  </si>
  <si>
    <t>l</t>
  </si>
  <si>
    <t>Zeolite Production</t>
  </si>
  <si>
    <t>Please provide total annual production capacity of zeolite in tonne</t>
  </si>
  <si>
    <t>Please provide total annual production of zeolite in tonne</t>
  </si>
  <si>
    <t>please provide Thermal Specific Energy Consumption of zeolite (total thermal energy consumed in kcal/total zeolite production in tonne)</t>
  </si>
  <si>
    <t>Please provide Electrical Specific Energy Consumption of zeolite (total electrica energy consumed in kwh/total zeolite production in tonne)</t>
  </si>
  <si>
    <t>m</t>
  </si>
  <si>
    <t>Other Production -1</t>
  </si>
  <si>
    <t xml:space="preserve">Please Provide name of product produced </t>
  </si>
  <si>
    <t>Please provide total annual production capacity of Product -1   in tonne</t>
  </si>
  <si>
    <t>Please provide total annual production of Product - 1 in tonne</t>
  </si>
  <si>
    <t>Please provide Thermal Specific Energy Consumption of Product -1  (total thermal energy consumed in kcal/total Product -1 production in tonne)</t>
  </si>
  <si>
    <t>Please provide Electrical Specific Energy Consumption of Product -1 (total electrica energy consumed in kwh/total Product -1  production in tonne)</t>
  </si>
  <si>
    <t>n</t>
  </si>
  <si>
    <t>Major Product (Calciner/Major product) section start/stop</t>
  </si>
  <si>
    <t>Please provide Equivalent major Production during Cold Start per annum in Tonnes</t>
  </si>
  <si>
    <t>1)Major Product stock Level 2) Weighhfeeders 3) Belt Weigher 4) Solid flow meter 5) Load cells</t>
  </si>
  <si>
    <t xml:space="preserve">Please provide Calciner  Operating Thermal SEC (Up to section product) in kcal/kg equivalent major product </t>
  </si>
  <si>
    <t xml:space="preserve">SEC shall be provided up to calcination </t>
  </si>
  <si>
    <t>Please  provide Calciner Operating Electrical SEC (Up to section product) kWh/t equivalent major product</t>
  </si>
  <si>
    <t>Please provide the  annual run hours of Calciner in Hours</t>
  </si>
  <si>
    <r>
      <rPr>
        <b/>
        <family val="2"/>
        <sz val="9"/>
        <rFont val="Calibri"/>
      </rPr>
      <t xml:space="preserve">External Factor: </t>
    </r>
    <r>
      <rPr>
        <family val="2"/>
        <sz val="9"/>
        <rFont val="Calibri"/>
      </rPr>
      <t>Market Demand, Grid Failure (Where CPP is not Sync with Grid), Raw material unavailability, Natural Disaster, Rioting or Social unrest, Major change in government policy hampering plant's process system, Any unforeseen circumstances not controlled by plant management</t>
    </r>
  </si>
  <si>
    <t>1)  Log sheet  2) DPR 3) MPR 4) Refer Sr. No: P 5) SCADA Trends</t>
  </si>
  <si>
    <t>1)Shift operator's Log Register 2) Breakdown report</t>
  </si>
  <si>
    <t>Please provide annual hours stoppage in Calciner (Hot to Cold stop) due to external factor</t>
  </si>
  <si>
    <t>1) Log sheet  2) DPR 3) MPR 4) Refer Sr. No: P 5) SCADA Trends</t>
  </si>
  <si>
    <t>1) Shift operator's Log Register 2) Breakdown report</t>
  </si>
  <si>
    <t>Please provide total nos of Calciner Hot to Cold stop due to external factor annually</t>
  </si>
  <si>
    <t>Please provide the Electrical Energy Consumption during Calciner Hot to Cold stop due to external factor  annually</t>
  </si>
  <si>
    <t>1) Energy Meter Reading for Section 2) Kiln Log sheet   3) DPR 4) MPR  6) CCR SCADA Trends</t>
  </si>
  <si>
    <t>1) Shift operator's Log Register 2) Breakdown report 3) Energy Management System</t>
  </si>
  <si>
    <t>Please provide the annual hours for startup in Calciner Cold to Hot start due to external factors</t>
  </si>
  <si>
    <t>Please provide total nos of Calciner Cold to Hot start due to external factors annually</t>
  </si>
  <si>
    <t xml:space="preserve">Please provide the Electrical Energy Consumption in Lakh kWh during Calciner Cold to Hot start due to external factors taking production into account </t>
  </si>
  <si>
    <t>The energy of the production during the cold to hot start needs to be subtracted. The same is to be done by multiplying the existing SEC up to Calciner with the production made dueting the period from the Energy consumed per startup due to external factor</t>
  </si>
  <si>
    <t xml:space="preserve">Please provide the Thermal Energy Consumption in Million kcal during Calciner Cold to Hot start due to external factors taking production into account </t>
  </si>
  <si>
    <t xml:space="preserve">1) DPR 2) MPR  3) CCR SCADA Trends 4) Stores Fuel Register </t>
  </si>
  <si>
    <t>Please provide the annual hours for startup in Calciner Cold to Hot start due to internal factors</t>
  </si>
  <si>
    <t>1)  Log sheet  2) Shift operator's Log Register 3) DPR 4) MPR 5) Refer Sr. No: P  6) CCR Trends</t>
  </si>
  <si>
    <t>A3.2</t>
  </si>
  <si>
    <t>Molten Aluminum Production</t>
  </si>
  <si>
    <t>Please provide thermal SEC per tonne of molten Aluminium Production  (total thermal Energy consumption in kcal/total molten aluminium production in tonne)</t>
  </si>
  <si>
    <t>Please provide Electrical SEC per tonne of molten Aluminium production (total electrical energy consumption in kwh/total molten aluminium production in tonne)</t>
  </si>
  <si>
    <t>Please provide total Calcined Alumina Consumed within plant in tonne</t>
  </si>
  <si>
    <t>1) Stores Receipt 2) Section Stock and Tranfer register 3) DPR 4) MPR</t>
  </si>
  <si>
    <t>Please provide total annual running Hours of plant</t>
  </si>
  <si>
    <t>1)  Log sheet  2) Shift operator's Log Register 3) DPR 4) MPR 5) CCR Trends</t>
  </si>
  <si>
    <t xml:space="preserve">Smelter Process Operating Parameters </t>
  </si>
  <si>
    <t>b.1/b.2/b.3/b.4/b.5/b.6/b.7/b.8/b.9/b.10</t>
  </si>
  <si>
    <t>Line 1/Line 2/Line 3/Line 4/Line 5/Line 6/Line 7/Line 8/Line 9/Line 10</t>
  </si>
  <si>
    <t>Please provide rated capacity  of molten aluminium production in tonnes (Potline wise)</t>
  </si>
  <si>
    <t>Yearly</t>
  </si>
  <si>
    <t xml:space="preserve">1) OEM Document 2) Design Basis Report </t>
  </si>
  <si>
    <t>1) Name Plate Rating</t>
  </si>
  <si>
    <t>Please provide total Molten Aluminium Production in tonnes (Potline wise)</t>
  </si>
  <si>
    <t>Please provide Smelting Technology used within the plant</t>
  </si>
  <si>
    <t>1) OEM documnent</t>
  </si>
  <si>
    <t xml:space="preserve">Please provide No of Operating Pots (NOP) Operation to be based on operating pots weighted with  the time (Potline wise) </t>
  </si>
  <si>
    <t>1) Log Sheet 2) CCR SCADA Report/ Trends 3) DPR 4) MPR 5) SAP Entry in PP/SD module 6) Excise record (ER1) 7) SCDA Screen Shot</t>
  </si>
  <si>
    <t>1) Shift Register</t>
  </si>
  <si>
    <t xml:space="preserve">Please provide No of Pots/Potline (NOPP) </t>
  </si>
  <si>
    <t xml:space="preserve">Please provide Dead pot voltage (DPV) in volts </t>
  </si>
  <si>
    <t>1) Log Sheet 2) Shift Register 3) SCADA Screen Shots</t>
  </si>
  <si>
    <t>Please provide Design Pot Voltage (DnPV) in volts</t>
  </si>
  <si>
    <t>Please provide Design Bus Bar Voltage Drop (DnBV) in volts</t>
  </si>
  <si>
    <t>Please provide Design Current Efficiency of Pots (CE) in %</t>
  </si>
  <si>
    <t>Please provide DC Current Design in Kilo Amps</t>
  </si>
  <si>
    <t>Please provide DC Current Actual in Kilo Amps</t>
  </si>
  <si>
    <t>Please provide Anode Effect in number of anode/Pot/Cell/day</t>
  </si>
  <si>
    <t>1) Log Sheet 2) Shift Register 3) SCADA Screen Shots 4) Calculation sheet</t>
  </si>
  <si>
    <t>Please provide Design DC Specific Power Consumption of pots in kWh/Tonne</t>
  </si>
  <si>
    <t>Please provide Actual DC Specific Power Consumption of pots in kWh/Tonne</t>
  </si>
  <si>
    <t>Please provide Alumina Consumption Factor in Tonnes of alumina consumed/ Tonnes of Molten Aluminium produced</t>
  </si>
  <si>
    <t>Please provide Carbon Consumption Factor in Tonnes of Carbon consumed/Tonnes of Molten Aluminium produced</t>
  </si>
  <si>
    <t>Carbon Anodes Production</t>
  </si>
  <si>
    <t>(i)</t>
  </si>
  <si>
    <t>Please provide total annual Production Capacity of carbon anodes in tonnes</t>
  </si>
  <si>
    <t>(ii)</t>
  </si>
  <si>
    <t>Please provide total annual production of actual carbon anodes in tonnes</t>
  </si>
  <si>
    <t>(iii)</t>
  </si>
  <si>
    <t>Formula protected (Annual production of carbon anodes/ Annual production capacity of carbon anodes)</t>
  </si>
  <si>
    <t>(iv)</t>
  </si>
  <si>
    <t>Please provide Electrical SEC of carbon anode production (total electrical energy consumed for carbon anode production in kWh / total carbon anode production in tonne)</t>
  </si>
  <si>
    <t>(v)</t>
  </si>
  <si>
    <t>Please provide Thermal SEC of carbon anode production (total thermal energy consumed for carbon anode production in kCal / total carbon anode production in tonne)</t>
  </si>
  <si>
    <t>(vi)</t>
  </si>
  <si>
    <t>Please provide Opening stock of carbon anode in tonne</t>
  </si>
  <si>
    <t>(vii)</t>
  </si>
  <si>
    <t>Please provide Closing stock of carbon anode in tonne</t>
  </si>
  <si>
    <t>Please provide annual total Imported Anode in tonne</t>
  </si>
  <si>
    <t>Please provide annual total Exported Anode in tonne</t>
  </si>
  <si>
    <t>d</t>
  </si>
  <si>
    <t>Cast House Production</t>
  </si>
  <si>
    <t>d.1</t>
  </si>
  <si>
    <t>Billets</t>
  </si>
  <si>
    <t>Please provide total annual Production Capacity of billets in tonnes</t>
  </si>
  <si>
    <t>Please provide total annual production of billets in tonnes</t>
  </si>
  <si>
    <t>1) Stock Level 2) Weighhfeeders 3) Belt Weigher 4) Solid flow meter 5) Load cells</t>
  </si>
  <si>
    <t>Please provide total Thermal SEC of Billets (total annual thermal energy consumed in kcal/total annual billets production in tonne)</t>
  </si>
  <si>
    <t>Please provide total Electrical SEC of Billtes (total annual electrical energy consumed in kWh/total annual billets production in tonnes)</t>
  </si>
  <si>
    <t>d.2</t>
  </si>
  <si>
    <t>Ingot</t>
  </si>
  <si>
    <t>Please provide total annual Production Capacity of Ingots in tonnes</t>
  </si>
  <si>
    <t>Please provide total annual production of Ingots in tonnes</t>
  </si>
  <si>
    <t>Please provide total Thermal SEC of Ingots (total annual thermal energy consumed in kcal/total annual ingots production in tonne)</t>
  </si>
  <si>
    <t>Please provide total Electrical SEC of Ingots (total annual electrical energy consumed in kwh/total annual ingots production in tonnes)</t>
  </si>
  <si>
    <t>d.3</t>
  </si>
  <si>
    <t>Bars</t>
  </si>
  <si>
    <t>Please provide total annual Production Capacity of bars in tonnes</t>
  </si>
  <si>
    <t>Please provide total annual production of bars in tonnes</t>
  </si>
  <si>
    <t>Please provide total Thermal SEC of bars (total annual thermal energy consumed in kcal/total annual bars production in tonne)</t>
  </si>
  <si>
    <t>Please provide total Electrical SEC of bars (total annual electrical energy consumed in kwh/total annual bars production in tonnes)</t>
  </si>
  <si>
    <t>d.4</t>
  </si>
  <si>
    <t>Primary Foundry Alloys</t>
  </si>
  <si>
    <t>Please provide total annual Production Capacity of Primary Foundry alloys in tonnes</t>
  </si>
  <si>
    <t>Please provide total annual production of primary foundry alloys in tonnes</t>
  </si>
  <si>
    <t>Please provide total Thermal SEC of primary foundry alloys (total annual thermal energy consumed in kcal/total annual primary foundry alloys production in tonne)</t>
  </si>
  <si>
    <t>Please provide total Electrical SEC of primary foundry alloys (total annual electrical energy consumed in kWh/total annual primary foundry alloys production in tonnes)</t>
  </si>
  <si>
    <t>d.5</t>
  </si>
  <si>
    <t>Wire Rod</t>
  </si>
  <si>
    <t>Please provide total annual Production Capacity of Wire Rods in tonnes</t>
  </si>
  <si>
    <t>Please provide total annual production of wire Rods in tonnes</t>
  </si>
  <si>
    <t>Please provide total Thermal SEC of wire rods (total annual thermal energy consumed in kcal/total annual wire rods production in tonne)</t>
  </si>
  <si>
    <t>Please provide total Electrical SEC of wire rods (total annual electrical energy consumed in kwh/total annual wire rods production in tonnes)</t>
  </si>
  <si>
    <t>d.6</t>
  </si>
  <si>
    <t>Strips</t>
  </si>
  <si>
    <t>Please provide total annual Production Capacity of Strips in tonnes</t>
  </si>
  <si>
    <t>Please provide total annual production of strips in tonnes</t>
  </si>
  <si>
    <t>Please provide total Thermal SEC of strips (total annual thermal energy consumed in kcal/total annual strips production in tonne)</t>
  </si>
  <si>
    <t>Please provide total Electrical SEC of strips (total annual electrical energy consumed in kwh/total annual strips production in tonnes)</t>
  </si>
  <si>
    <t>d.7</t>
  </si>
  <si>
    <t>Others , if Any</t>
  </si>
  <si>
    <t>Please provide total annual Production Capacity of Other product in tonnes</t>
  </si>
  <si>
    <t>Please provide total annual production of others in tonnes</t>
  </si>
  <si>
    <t>Please provide total Thermal SEC of others (total annual thermal energy consumed in kcal /total annual other production in tonne)</t>
  </si>
  <si>
    <t>Please provide total Electrical SEC of others (total annual electrical energy consumed in kWh/total annual other production in tonnes)</t>
  </si>
  <si>
    <t>d.8</t>
  </si>
  <si>
    <t>Scrap</t>
  </si>
  <si>
    <t>Please provide the annual amount of scrap purchased in Tonnes</t>
  </si>
  <si>
    <t>Please provide the annual amount of scrap generated in Tonnes</t>
  </si>
  <si>
    <t>Please provide the annual amount of scrap utilized in cast House in Tonnes</t>
  </si>
  <si>
    <t xml:space="preserve">Please provide the annual percentage of scrap used in % </t>
  </si>
  <si>
    <t>E</t>
  </si>
  <si>
    <t>Boiler Details</t>
  </si>
  <si>
    <t>E.1</t>
  </si>
  <si>
    <t>For Steam Generation ( Process Boiler)</t>
  </si>
  <si>
    <t>e1.1/e1.2/e1.3/e1.4/e1.5</t>
  </si>
  <si>
    <t>Boiler 1/ Boiler 2/ Boiler 3/ Boiler 4/Boiler 5</t>
  </si>
  <si>
    <t>Please specify type of boiler</t>
  </si>
  <si>
    <t xml:space="preserve"> Annual</t>
  </si>
  <si>
    <t xml:space="preserve"> 1) OEM Document</t>
  </si>
  <si>
    <t>Please specify Rated Capacity of boiler</t>
  </si>
  <si>
    <t xml:space="preserve">1) OEM document on Boiler Capacity 2) Predicted performance Data (PPD) for Boiler  3) Environmental Consent to Operate </t>
  </si>
  <si>
    <t>1) Capacity calculation submitted for Environmental Consent</t>
  </si>
  <si>
    <t>Please provide the total amount of Steam Generation form this boiler in Tonnes per year</t>
  </si>
  <si>
    <t>1) Log Sheet 2) DCS/ SCADA Trend  3) DGR 4)MGR 5) SAP Entry in PP/PM Module</t>
  </si>
  <si>
    <t>1) Steam Flow Meter 2) Process steam Consumption report 3) Log Book</t>
  </si>
  <si>
    <t>Please provide the total annual running hours of boiler</t>
  </si>
  <si>
    <t>1) Hour Meter  2) Log book</t>
  </si>
  <si>
    <t>Please provide the total amount of  Coal Consumption in Tonne</t>
  </si>
  <si>
    <t xml:space="preserve"> Continuous, Hourly, Daily, Monthly</t>
  </si>
  <si>
    <t>1) Weigh Feeder 2) Solid flow Meter 3) Coal Storage register 4) Storage Level</t>
  </si>
  <si>
    <t>Please provide the annual average Gross Calorific Value of Coal in kcal/kg</t>
  </si>
  <si>
    <t>1) Daily Internal Report from Lab on Fuel Proximate Analysis performed on each lot. 2) Test Certificate from Government Accredited lab. (Plant to maintain minimum 1 sample test in a quarter for Proximate and Ultimate Analysis i.e. 4 test certificates in a year for each fuel in case of CPP/Cogen Fuel, for Process Fuel 1 sample test in a quarter for Proximate Analysis)  3) Purchase Order, where guaranteed GCV range is mentioned</t>
  </si>
  <si>
    <t>1) Lab Register on Fuel Testing for Proximate Analysis 2) Calibration Record of instrument used for testing</t>
  </si>
  <si>
    <t>(vii)/(ix)/(xi)</t>
  </si>
  <si>
    <t xml:space="preserve"> Please provide the total consumption of Fuel - 2/Fuel - 3/Fuel-4 </t>
  </si>
  <si>
    <t>1) DGR 2) MGR 3)  CPP/Cogen Log Sheet 4) SAP Entry in MM/PP/FI module 5) Annual Report</t>
  </si>
  <si>
    <t>1)Belt Weigher before Fuel Bunker</t>
  </si>
  <si>
    <t>(viii)/(x)/(xii)</t>
  </si>
  <si>
    <t>Please provide the annual average Gross Calorific Value of Fuel - 2/Fuel - 3/Fuel-4  in kcal/kg</t>
  </si>
  <si>
    <t>1) DGR 2) MGR 3) Lab Test Report</t>
  </si>
  <si>
    <t>(xiii)</t>
  </si>
  <si>
    <r>
      <t xml:space="preserve">Please provide the annual average of Feed water Temperature in </t>
    </r>
    <r>
      <rPr>
        <family val="2"/>
        <vertAlign val="superscript"/>
        <sz val="9"/>
        <rFont val="Calibri"/>
      </rPr>
      <t>o</t>
    </r>
    <r>
      <rPr>
        <family val="2"/>
        <sz val="9"/>
        <rFont val="Calibri"/>
      </rPr>
      <t>C</t>
    </r>
  </si>
  <si>
    <t xml:space="preserve">  Continuous, Hourly, Daily, Monthly</t>
  </si>
  <si>
    <t>1) DGR 2) DCS/SCADA Trends</t>
  </si>
  <si>
    <t>(xiv)</t>
  </si>
  <si>
    <t xml:space="preserve">Please provide annual average operating Efficiency of Boiler (%) </t>
  </si>
  <si>
    <t>1) Indirect Method or Direct method calculation</t>
  </si>
  <si>
    <t>(xv)</t>
  </si>
  <si>
    <r>
      <t>Please provide annual average Super Heated Steam outlet Pressure (Operating) in kg/cm</t>
    </r>
    <r>
      <rPr>
        <family val="2"/>
        <vertAlign val="superscript"/>
        <sz val="9"/>
        <rFont val="Calibri"/>
      </rPr>
      <t>2</t>
    </r>
  </si>
  <si>
    <t>1) Field Pressure Meter</t>
  </si>
  <si>
    <t>(xvi)</t>
  </si>
  <si>
    <r>
      <t xml:space="preserve">Please provide annual average Super Heated Steam outlet Temperature (Operating) in </t>
    </r>
    <r>
      <rPr>
        <family val="2"/>
        <vertAlign val="superscript"/>
        <sz val="9"/>
        <rFont val="Calibri"/>
      </rPr>
      <t>o</t>
    </r>
    <r>
      <rPr>
        <family val="2"/>
        <sz val="9"/>
        <rFont val="Calibri"/>
      </rPr>
      <t>C</t>
    </r>
  </si>
  <si>
    <t>1) Field Temperature Meter</t>
  </si>
  <si>
    <t>(xvii)</t>
  </si>
  <si>
    <t>Please provide annual average Super Heated Steam Enthalpy (Operating) in kcal/kg</t>
  </si>
  <si>
    <t xml:space="preserve">1) Steam Table </t>
  </si>
  <si>
    <t>(xviii)</t>
  </si>
  <si>
    <t>Please provide Design Efficiency of the boiler in %</t>
  </si>
  <si>
    <t>1) OEM document on Boiler Efficiency 2) Predicted performance Data (PPD) for Boiler</t>
  </si>
  <si>
    <t>1) Design Calculation</t>
  </si>
  <si>
    <t>(xix)</t>
  </si>
  <si>
    <t>Formula Protected (Total steam generated/ total annual running hours of boiler)</t>
  </si>
  <si>
    <t>(xx)</t>
  </si>
  <si>
    <t>Formula Protected (Total fuel consumption x GCV of Fuel consumption/ Total steam generated)</t>
  </si>
  <si>
    <t>(xxi)</t>
  </si>
  <si>
    <t>Formula Protected ([(Coal Consumption (Tonne) * GCV of Coal (kcal/kg))]/ [(Coal Consumption (Tonne) * GCV of Coal) + (Type of Fuel – 2 (Tonne) * GCV of Fuel – 2 (kcal/kg)) + (Type of Fuel – 3 (Tonne) * GCV of Fuel – 3 (kcal/kg)) + (Type of Fuel – 4 (Tonne) * GCV of Fuel – 4 (kcal/kg))])</t>
  </si>
  <si>
    <t>e1.6</t>
  </si>
  <si>
    <t>Formula protected (addition of Total Steam generated by Process Boiler)</t>
  </si>
  <si>
    <t>e1.7</t>
  </si>
  <si>
    <t>Formula protected (Weighted Average of all 5 Process Boiler Operating Efficiency)</t>
  </si>
  <si>
    <t>e1.8</t>
  </si>
  <si>
    <t>Formula protected (addition of Total operating capacity of Process Boiler)</t>
  </si>
  <si>
    <t>e1.9</t>
  </si>
  <si>
    <t>Formula protected (SEC Weighted average of  all 5 Process Boilers)</t>
  </si>
  <si>
    <t>e1.10</t>
  </si>
  <si>
    <t>Formula protected (Weighted Percentage of Coal Energy Used in steam Generation in all 5 process boilers)</t>
  </si>
  <si>
    <t>e2</t>
  </si>
  <si>
    <t>Co-Gen Boiler used for Power generation</t>
  </si>
  <si>
    <t>e2.1/e2.2/e2.3/e2.4/e2.5</t>
  </si>
  <si>
    <t>Boiler 6/ Boiler 7/ Boiler 8/ Boiler 9/Boiler 10</t>
  </si>
  <si>
    <t>e3</t>
  </si>
  <si>
    <t>Weighted Average Boiler 6-10</t>
  </si>
  <si>
    <t>e3.1</t>
  </si>
  <si>
    <t>Formula protected (addition of Total Steam generated by Cogen Boiler)</t>
  </si>
  <si>
    <t>e3.2</t>
  </si>
  <si>
    <t>Formula protected (Weighted Average of all 5 Cogen Boiler Operating Efficiency)</t>
  </si>
  <si>
    <t>e3.3</t>
  </si>
  <si>
    <t>Formula protected (addition of Total operating capacity of Cogen Boiler)</t>
  </si>
  <si>
    <t>e3.4</t>
  </si>
  <si>
    <t>Formula protected (SEC Weighted average of  all 5 Cogen Boilers)</t>
  </si>
  <si>
    <t>e3.5</t>
  </si>
  <si>
    <t>Formula protected (Weighted Percentage of Coal Energy Used in steam Generation in all 5 Cogen boilers)</t>
  </si>
  <si>
    <t>e3.6</t>
  </si>
  <si>
    <t>Formula Protected (Total Operating efficiency(process boiler) X Total operating capacity(Process boiler) + Total Operating efficiency(Cogen boiler) X Total operating capacity(Cogen boiler))/(Total operating capacity(Cogen boiler)+Total operating capacity(Process boiler))</t>
  </si>
  <si>
    <t>e4</t>
  </si>
  <si>
    <t xml:space="preserve">Note: DCs to provide separate Excel sheet in the Boiler format as specified above If no of boiler exceeds for additional nos of boliers installed for Cogen/Steam </t>
  </si>
  <si>
    <t>B</t>
  </si>
  <si>
    <t>Electricity Consumption and cost</t>
  </si>
  <si>
    <t>B.1</t>
  </si>
  <si>
    <t>Electricity from Grid / Other (Including Colony and Others)</t>
  </si>
  <si>
    <t>Please provide annual electricity purchase from the grid in Lakh kWh.</t>
  </si>
  <si>
    <t>1) Monthly Electricity Bills from Grid 2) Internal Meter reading records for grid incomer</t>
  </si>
  <si>
    <t>Energy Management System</t>
  </si>
  <si>
    <t>Please provide renewal electricity (Solar and Wind) consumption through wheeling in Lakh kWh.</t>
  </si>
  <si>
    <t xml:space="preserve">1) Open Access records 2) Electricity Bills for renewal energy 3) Renewal Purchase Obligation document 4) Power Purchase Agreement records 5) Wheeling Agreement with DISCOM 6) Energy Wheeling Statements from DISCOM </t>
  </si>
  <si>
    <t xml:space="preserve">1) Energy Management System 2) Load Dispatch Center Reports  </t>
  </si>
  <si>
    <t>Please provide Renewable Electricity Hydro (Through Wheeling) in Lakh kWh</t>
  </si>
  <si>
    <t>Please provide Renewable Electricity Municipal Solid Waste (MSW) and nonfossil fuel-based cogeneration (Through Wheeling) in Lakh kWh</t>
  </si>
  <si>
    <t>Please provide Renewable Electricity Biomass and Biofuel based (Through Wheeling) in Lakh kWh</t>
  </si>
  <si>
    <t>In case of dedicated power purchase agreement for purchased electricity, the supplier-specific emission factors shall be used, and the obligated entity shall provide the emission factor with supporting documentation verified by an accredited carbon verification agency. In case the emission factor is not available, the default value of 1.19 tCO2/MWh as published by Central Electricity Authority shall be used</t>
  </si>
  <si>
    <t>Please provide Renewable Electricity details through a dedicated line (RE Installed outside the plant boundary) in Lakh kWH</t>
  </si>
  <si>
    <t>1) Separate Energy Meter Reading 2) Daily and Monthly Power Report 3) Transmission Line details document 4) Permission document from SEBs</t>
  </si>
  <si>
    <t xml:space="preserve">1) Primary document from the sister concern 2) Excise document of purchased electricty 3) Energy Meter reading 4) EnergyManagement System </t>
  </si>
  <si>
    <t>Please provide electricity consumption from CPP located outside of the plant boundary though wheeling in Lakh kWh.</t>
  </si>
  <si>
    <t xml:space="preserve">1) Open Access records 2) Electricity Bills (for Wheeling) </t>
  </si>
  <si>
    <t>(viii)</t>
  </si>
  <si>
    <t>Please provide the latest Emission Factor for Grid Purchased Electricity (DISCOM) from CEA CO2 Baseline Database for the Indian Power Sector in fraction</t>
  </si>
  <si>
    <t>For the year 2022-23, it is taken as 0.716</t>
  </si>
  <si>
    <t>(ix)</t>
  </si>
  <si>
    <t>Please provide the latest Emission factor for CPP located outside plant boundary (Through Wheeling) from CEA CO2 Baseline Database for the Indian Power Sector in fraction</t>
  </si>
  <si>
    <t>(x)</t>
  </si>
  <si>
    <t>Please provide the Renewable Purchase Obligation of Sector (RPO) (Non Fossil) notified by MoP SO 4617 ( E)</t>
  </si>
  <si>
    <t>(xi)</t>
  </si>
  <si>
    <t>Please provide Renewal Purchase obligation of plant for the current year in %  (Solar and Non-Solar).</t>
  </si>
  <si>
    <t>1) Renewal Purchase Obligation document</t>
  </si>
  <si>
    <t>(xii)</t>
  </si>
  <si>
    <t>Please provide Renewal Purchase obligation of plant for the current year in Lakh kWh (Solar and Non-Solar).</t>
  </si>
  <si>
    <t>Please provide Renewal Purchase obligation of plant for the current year in MW (Solar and Non-Solar).</t>
  </si>
  <si>
    <t>Please provide Renewal Energy Generator Capacity in MW as approved by MNRE</t>
  </si>
  <si>
    <t xml:space="preserve">1) ‘Certificate for Registration’ to the concerned Applicant as ‘Eligible Entity’ confirming its entitlement to receive Renewable Energy Certificates for the proposed RE Generation
project</t>
  </si>
  <si>
    <t>Please provide Quantum of Renewable Energy Certificates (REC) obtained as a Renewal Energy Generator (Solar &amp; Non-Solar) in terms of REC equivalnet to 1 MWh</t>
  </si>
  <si>
    <t>The quantity of exported power ( partially or fully) on which Renewable Energy Certificates have been earned by Designated Consumer in the assessment year under REC mechanism shall  be treated as Exported power and normalization will apply. However, the normalized power export will not qualify for issue of Energy Saving Certificates under PAT Scheme.</t>
  </si>
  <si>
    <t>Lot,Yearly</t>
  </si>
  <si>
    <t>1) Renewable Energy Certificates</t>
  </si>
  <si>
    <t>Please provide Quantum of Energy sold interms of  preferential tariff under REC Mechanism in MWh</t>
  </si>
  <si>
    <t>The quantity of exported power (partially or fully) from Renewable energy which has been sold at a preferential tariff by the Designated consumer in the assessment year under REC mechanism shall be treated as Exported power. However, the normalized power export will not qualify for issue of Energy Saving Certificates under PAT Scheme.</t>
  </si>
  <si>
    <t>Lot, Yearly</t>
  </si>
  <si>
    <t>1) Power Purchase Agreement (PPA) for the capacity related to such generation to sell electricity at preferential tariff determined by the Appropriate Commission</t>
  </si>
  <si>
    <t>Please provide plant connected load in kW.</t>
  </si>
  <si>
    <t>Monthly</t>
  </si>
  <si>
    <t>1) L-Form document 2) Electrical Inspectorate record</t>
  </si>
  <si>
    <t>1) Total connected Load (TCL) of Plant 2) Equipment List</t>
  </si>
  <si>
    <t>Please provide plant contract demand with utility in KVA.</t>
  </si>
  <si>
    <t>1) Monthly Electricity Bills from Utility</t>
  </si>
  <si>
    <t>Pleaase provide your Notified Specific Energy Consumption in TOE/T  for Baseline Year</t>
  </si>
  <si>
    <t>As per Notification S.O.687 ( E)dated 31/03/2012</t>
  </si>
  <si>
    <t>1) Notification S.O.687 ( E)dated 31/03/2012</t>
  </si>
  <si>
    <t>Pleaase provide your Target Specific Energy Consumption in TOE/T for Target year</t>
  </si>
  <si>
    <t>As per Notification S.O.687 ( E)dated 31/03/2013</t>
  </si>
  <si>
    <t>1) Notification S.O.687 ( E)dated 31/03/2013</t>
  </si>
  <si>
    <t>Formulae Protected Difference of Notifies SEC and Target SEC (Saving Target)</t>
  </si>
  <si>
    <t>(xxii)</t>
  </si>
  <si>
    <t>Please fill Equivalent Major Product Output in tonnes as per PAT scheme Notification</t>
  </si>
  <si>
    <t>(xxiii)</t>
  </si>
  <si>
    <t>Formula protected (Total electricity purchased from grid = Electricity purchased from grid + Renewal Electricity Consumption + Electricity consumption from CPP outside Plant boundary through wheeling )</t>
  </si>
  <si>
    <t>(xxiv)</t>
  </si>
  <si>
    <t xml:space="preserve">Formula protected ( Total electricty purchased from grid without Colony/Construction power Others) </t>
  </si>
  <si>
    <t>(xxv)</t>
  </si>
  <si>
    <t xml:space="preserve">Formula protected ( Equivalent thermal energy of purchase electricity from the grid / others = Total electricity from the grid/ other * 860/10) </t>
  </si>
  <si>
    <t>(xxvi)</t>
  </si>
  <si>
    <t>Formula protected ( Total Renewable Energy purchased from Grid (Wheeling/Dedicated line))</t>
  </si>
  <si>
    <t>(xxvii)</t>
  </si>
  <si>
    <t>Formula protected ( Indirect GHG Emissions from Purchased Electricity - Grid</t>
  </si>
  <si>
    <t>(xxviii)</t>
  </si>
  <si>
    <t>Formula protected ( Indirect GHG Emissions from Purchased electricity (CPP outside boundary)[Through Wheeling &amp; Dedicated line])</t>
  </si>
  <si>
    <t>(xxix)</t>
  </si>
  <si>
    <t>Formula protected ( Total Indirect GHG Emissions from purchased electricity)</t>
  </si>
  <si>
    <t>b.2</t>
  </si>
  <si>
    <t>Own Generation</t>
  </si>
  <si>
    <t>B.2.1</t>
  </si>
  <si>
    <t>Through DG set</t>
  </si>
  <si>
    <t>Please specify whether DG set is connected to grid (the further calculation is based on selection of Yes/No)</t>
  </si>
  <si>
    <t>If selected No undertaking from competent authority has to be provided</t>
  </si>
  <si>
    <t xml:space="preserve">1) undertaking from Competent authority 2) Document of synchorinazation from DISCOMS </t>
  </si>
  <si>
    <t>Please provide installed capacity of DG sets in MW.</t>
  </si>
  <si>
    <t xml:space="preserve">1) OEM document for capacity 2) Rating plate of Generator </t>
  </si>
  <si>
    <t>1) Capacity Enhancement document</t>
  </si>
  <si>
    <t>Please provide gross unit generation from DG sets in Lakh kWh.</t>
  </si>
  <si>
    <t>Continuous, Hourly, daily, Monthly</t>
  </si>
  <si>
    <t>1) Daily Power Report 2) Monthly Power Report 3) DG main energy meter reading record 4) Energy Managemen System data</t>
  </si>
  <si>
    <t>1)Electrical Shift log book 2) Utility Shift Log book</t>
  </si>
  <si>
    <t>Please provide annual fuel consumption for generating power from DG in kilo litres</t>
  </si>
  <si>
    <t>1) Daily Generation Report 2) Monthly Generation Report 3) DG Log Sheet 4) SAP Entry in MM/PP/FI module 5) Annual Report</t>
  </si>
  <si>
    <t>Flow Meter, Dip measurement in day tank</t>
  </si>
  <si>
    <t>Please provide average density of fuel used for generating power in kg/lit</t>
  </si>
  <si>
    <t>Lot, Montly, Yearly</t>
  </si>
  <si>
    <t>1) Test report from Supplier 2) Internal Test Report from lab 3) Test report from Government Accridited Lab 4) Standard Value as per Notification</t>
  </si>
  <si>
    <t xml:space="preserve">Lab Register </t>
  </si>
  <si>
    <t>Please provide DG Auxilliary Power Consumption for Baseline Year and Assessment year in %</t>
  </si>
  <si>
    <t>1) Energy Meter 2) Equipment List</t>
  </si>
  <si>
    <t>Please provide designed gross heat rate of DG sets in kcal/kWh.</t>
  </si>
  <si>
    <t>1) OEM document on designed heat rate 2) OEM document on Specific Fuel consumption in kWh/ltr</t>
  </si>
  <si>
    <t>Please provide operating  heat rate of DG sets in kcal/kWh.</t>
  </si>
  <si>
    <t>1) Daily Fuel Consumption Report 2) Monthly Fuel consumption Report 3) DG main energy meter reading record 4) OEM document on Specific Fuel consumption in kWh/ltr</t>
  </si>
  <si>
    <t>1) Fuel shift log book 2) Utility Shift Log book 3) Energy meter</t>
  </si>
  <si>
    <t>Please provide annual running hours of DG sets.</t>
  </si>
  <si>
    <t>1) Daily Power Report 2) Monthly Power Report 3) DG hour meter reading record 4)  Energy Managemen System data</t>
  </si>
  <si>
    <t>B.2.2</t>
  </si>
  <si>
    <t>Through steam turbine</t>
  </si>
  <si>
    <t>Please provide whether your Steam Turbine is connected to grid or not by selecting Yes/No</t>
  </si>
  <si>
    <t>Please provide installed capacity of all the Units in MW</t>
  </si>
  <si>
    <t xml:space="preserve">1) Capacity Enhancement document 2) R&amp;M document </t>
  </si>
  <si>
    <r>
      <t>Please provide gross unit generation of all the Units in Lakh kWh</t>
    </r>
    <r>
      <rPr>
        <family val="2"/>
        <sz val="9"/>
        <rFont val="Calibri"/>
      </rPr>
      <t xml:space="preserve"> </t>
    </r>
  </si>
  <si>
    <t>1) Daily Generation Report 2) Monthly Generation Report 3) CPP main energy meter reading record 4) Energy Managemen System data</t>
  </si>
  <si>
    <t>1) Energy Meter</t>
  </si>
  <si>
    <r>
      <t xml:space="preserve">Please provide auxiliary power consumption (APC) in % </t>
    </r>
    <r>
      <rPr>
        <b/>
        <family val="2"/>
        <sz val="9"/>
        <rFont val="Calibri"/>
      </rPr>
      <t>in Sheet! Form Sa1 CPP</t>
    </r>
  </si>
  <si>
    <t xml:space="preserve">Note: These rows are linked with Form Sa1 CPP so please fill Form Sa1 CPP it will automatically linked in this rows. </t>
  </si>
  <si>
    <t>1) Daily Power Report 2) Monthly Power Report 3) CPP main energy meter reading record 4) Energy Managemen System data</t>
  </si>
  <si>
    <r>
      <t xml:space="preserve">Please provide Design Heat Rate of all the Units in kcal/kWh </t>
    </r>
    <r>
      <rPr>
        <b/>
        <family val="2"/>
        <sz val="9"/>
        <rFont val="Calibri"/>
      </rPr>
      <t>in Sheet! Form Sa1 CPP.</t>
    </r>
  </si>
  <si>
    <t>1) OEM document on designed heat rate</t>
  </si>
  <si>
    <t>1) PG test documement</t>
  </si>
  <si>
    <r>
      <t xml:space="preserve">Please provide the operating  heat rate in kcal/kWh </t>
    </r>
    <r>
      <rPr>
        <b/>
        <family val="2"/>
        <sz val="9"/>
        <rFont val="Calibri"/>
      </rPr>
      <t>in Sheet! Form Sa1 CPP</t>
    </r>
  </si>
  <si>
    <r>
      <t xml:space="preserve">1) Daily Generation Report 2) Monthly Generation Report 3) CPP main energy meter reading record 4) Energy Managemen System data </t>
    </r>
    <r>
      <rPr>
        <family val="2"/>
        <sz val="9"/>
        <rFont val="Calibri"/>
      </rPr>
      <t>5) annual Fuel consumption report</t>
    </r>
  </si>
  <si>
    <t xml:space="preserve">1) Energy Meter 2) Fuel shift log book </t>
  </si>
  <si>
    <r>
      <t>INSTRUCTION FOR FILLING UP THE FORM-Sa</t>
    </r>
    <r>
      <rPr>
        <b/>
        <family val="1"/>
        <vertAlign val="subscript"/>
        <sz val="9"/>
        <rFont val="Cambria"/>
      </rPr>
      <t>1</t>
    </r>
    <r>
      <rPr>
        <b/>
        <family val="1"/>
        <sz val="9"/>
        <rFont val="Cambria"/>
      </rPr>
      <t xml:space="preserve"> CPP  (Detail of production and Energy Consumption)</t>
    </r>
  </si>
  <si>
    <t xml:space="preserve">OEM Curve / HBD data </t>
  </si>
  <si>
    <t>1.a</t>
  </si>
  <si>
    <t>Please provide unit wise Design capacity of CPP , boiler efficency,  Turbine Heat Rate as provided by Original Equipment Manaufacturer (OEM) and R2, Costant 1, Constant 2 and Constant 3 from OEM curve or HBD data curve equation and Trubine Heat Rate kcal/kwh from HBD curve or Load Vs Heat Rate curve (at 100% Load)</t>
  </si>
  <si>
    <t>1. OEM Curves and docuemts/ COD documents 2  PG Test Report 3. HMB diagram at different load (Minimum 5-7 nos of  (x,y) co-ordinates to plot as curve 4. Design Boiler Efficiency Document from Original Equipment Manufacturer (OEM) 5. Design  Coal Analysis Document as per OEM</t>
  </si>
  <si>
    <t>1.Plant Design document from OEM</t>
  </si>
  <si>
    <t>1.b</t>
  </si>
  <si>
    <t>Formula protected (Weighted average of  boiler efficency,  Turbine Heat Rate and unit Heat Rate)</t>
  </si>
  <si>
    <t>Unit wise Operating Data Details</t>
  </si>
  <si>
    <t>2.a</t>
  </si>
  <si>
    <t xml:space="preserve">Please provide unit wise operating load  of CPP in MW , Unit Load Factor in %,  Gross Generation in Lakh Units, Unit Gross Heat Rate in Kcal/kwh for Baseline Year (2007-10) and Assesment year </t>
  </si>
  <si>
    <t>Continuous, Daily, Monthly</t>
  </si>
  <si>
    <t>1)  Daily Generation Report 2) Monthly Generation Report 3) Shift Report and Register 4) Unit Log book 5) Coal Consumption records 6) Stores Stock Register 7)Purchase Order 8) SAP Entry in PP/SD mosule</t>
  </si>
  <si>
    <t>1) Generator Energy Meter (Sealed) 2) Energy Management System 3) Weigh feeder 4) Bunker load Cells 5) Fuel GCV test report (Internal and External)</t>
  </si>
  <si>
    <t>2.b</t>
  </si>
  <si>
    <t xml:space="preserve">Formula Protected ( Total station operating load  in MW , Total annual generation of CPP and weighted average of plant Load Factor, Station Gross Heat Rate in Kcal/kwh for Baseline Year (2007-10) and Assesment year </t>
  </si>
  <si>
    <t>2.c</t>
  </si>
  <si>
    <t>Please provide Station Auxillary Power Consumption for Baseline year and Assessment year</t>
  </si>
  <si>
    <t>1) Daily Generation Report 2) Monthly Generation Report 3) Shift Report and Register</t>
  </si>
  <si>
    <t>1) Energy Meter (Sealed) 2) Energy Management System</t>
  </si>
  <si>
    <t>Plant Load Factor Details</t>
  </si>
  <si>
    <t>3.a</t>
  </si>
  <si>
    <t>Loss of PLF due to non-availability of fuel/schedule/backing down/any external factor/Unforeseen factors</t>
  </si>
  <si>
    <t>3.a.1</t>
  </si>
  <si>
    <t>Please provide unit wise Average Operating Load (MW) and operation hours (Hours) due to Coal Unavailability, Scheduling, backing down, any other external factor for baseline year and Assessment year</t>
  </si>
  <si>
    <t>Ex. Average Operating Load due to coal unavILbility = unit's capacity (MW) - unit's generation Loss due to coal unavailability (MW)                           where: Unit generation Loss due to coal unavailability (MW) = (unit's generation loss (MU) due to coal unavailability x 1000)/ operating hours due to coal unavailibility (Hrs)</t>
  </si>
  <si>
    <t xml:space="preserve">1) Daily Generation Report 2) Monthly Generation Report 3) Shift Report and Register 4) Generation Schedule from Load Despatch Centre 5) External Breakdown Report 6) Fuel Unavailability document/record  from external agencies 7) Coal Linkage Document 8) Stores Stocks Register 9) SAP Entry in PP/SD/PM Module 10) Stocks duration report 11) Log Book </t>
  </si>
  <si>
    <t>1) Purchase order 2) Rail Racks details 3) Weighing Document 4) Shift Register 5) Shift Reports 6) Energy Meter Readings 7) Energy Management System</t>
  </si>
  <si>
    <t>3.a.2</t>
  </si>
  <si>
    <t>Formula Protected ( Total station Average Operating Load (MW) and operation hours (Hours) due to Coal Unavailability, Scheduling, backing down, any other external factor for baseline year and Assessment year for Baseline Year (2007-10) and Assesment year )</t>
  </si>
  <si>
    <t>3.b</t>
  </si>
  <si>
    <t>Loss of PLF due to non-availability of fuel/schedule/backing down/any external factor/Unforeseen factors/Internal Factor</t>
  </si>
  <si>
    <t>3.b.1</t>
  </si>
  <si>
    <t>Please provide unit wise operation hours (Hours) caused by Forced Outage/ Unavailability, Planned Maintenance Outage/ Planned Unavailability and Average Operating Load (MW) and with Operating hours due to Internal factor for baseline year and Assessment year</t>
  </si>
  <si>
    <t xml:space="preserve">1) Daily Generation Report 2) Monthly Generation Report 3) Shift Report and Register 4) Generation Schedule from Load Despatch Centre 5) External Breakdown Report 6) Fuel Unavailability document/record  from external agencies 7) Coal Linkage Document 8) Log Book </t>
  </si>
  <si>
    <t>1) Shift Register 2) Shift Reports 3) Energy Meter Readings 4) Energy Management System 5) Breakdown reports (Internal and External)</t>
  </si>
  <si>
    <t>3.b.2</t>
  </si>
  <si>
    <t>Formula Protected ( unit wise operation hours (Hours) caused by Forced Outage/ Unavailability, Planned Maintenance Outage/ Planned Unavailability and Average Operating Load (MW) and with Operating hours due to Internal factor for baseline year and Assessment year)</t>
  </si>
  <si>
    <t>Unitwise Fuel Analysis Details (As Fired Basis)@</t>
  </si>
  <si>
    <t>4.a</t>
  </si>
  <si>
    <t xml:space="preserve">Please provide unit wise ultimate analysis (Volatile Matter, Total Moisture,  Ash) and proximate analysis (Hydrogen, Sulphur, Nitrogen) of fuel used </t>
  </si>
  <si>
    <t>In case of differnce in Design Coal Quality for differnent units, Coal analysis to be given unit wise</t>
  </si>
  <si>
    <t xml:space="preserve">1) Daily Internal Report from Lab on Fuel Proximate Analysis performed on each lot. 2) Test Certificate from Government Accredited lab. (Plant to maintain minimum 1 sample test in a quarter for Proximate and Ultimate Analysis i.e. 4 test certificates in a year for each soild fuel  3) Purchase Order, where guaranteed GCV range is mentioned </t>
  </si>
  <si>
    <t>1) internal test report 2) Callibration report of measuring equipment 3) Lab register 4) Lab analysis prcedure documents 5) Sampling methodology document</t>
  </si>
  <si>
    <t>B.2.3</t>
  </si>
  <si>
    <t>Through Gas turbine</t>
  </si>
  <si>
    <t>Please provide whether your Gas Turbine is connected to grid or not by selecting Yes/No</t>
  </si>
  <si>
    <t>Please provide installed capacity of all the Units in MW.</t>
  </si>
  <si>
    <t>Please provide gross unit generation of all the Units in Lakh kWh.</t>
  </si>
  <si>
    <t>Please provide Plant Load Factor (PLF) in %</t>
  </si>
  <si>
    <t>1) Daily Generation Report 2) Monthly Generation Report 3) CPP main energy meter reading record 4) Energy Management System data 5)OEM document for capacity 6) Rating plate of turbine</t>
  </si>
  <si>
    <t xml:space="preserve">1) Energy Meter 2) Break down report 3) Operators Shift Register 4) Capacity Enhancement document 5) R&amp;M document </t>
  </si>
  <si>
    <t>Please provide auxiliary power consumption (APC) in %.</t>
  </si>
  <si>
    <t>Please provide Design Heat Rate of all the Units in kcal/kWh.</t>
  </si>
  <si>
    <t>Please provide annual running hours of all the units.</t>
  </si>
  <si>
    <t>1) Daily Generation Report 2) Monthly Generation  Report 3)  Energy Managemen System data</t>
  </si>
  <si>
    <t xml:space="preserve">1) Break down report 3) Operators Shift Register </t>
  </si>
  <si>
    <t>B.2.4</t>
  </si>
  <si>
    <t xml:space="preserve">Through Waste Heat Recovery </t>
  </si>
  <si>
    <t>Please provide installed capacity of WHR in MW.</t>
  </si>
  <si>
    <t>Please provide gross unit generation from WHR in Lakh kWh.</t>
  </si>
  <si>
    <t>Hourly, daily, Monthly</t>
  </si>
  <si>
    <t>1) Daily Generation Report 2) Monthly Generation Report 3) CPP main energy meter reading record 4) Energy Management System data</t>
  </si>
  <si>
    <t xml:space="preserve">1) Energy Meter </t>
  </si>
  <si>
    <t>Please provide running hours.</t>
  </si>
  <si>
    <t>B.2.5</t>
  </si>
  <si>
    <t>Through Co-Generation (Extraction/Back Pressure)</t>
  </si>
  <si>
    <t>Please provide whether your Co-Gen is connected to grid or not by selecting Yes/No</t>
  </si>
  <si>
    <t>1) Daily Power Report 2) Monthly Power Report 3) CoGen main energy meter reading record 4) Energy Managemen System data</t>
  </si>
  <si>
    <t>Please provide Design Heat Rate of Cogen Units in kcal/kWh.</t>
  </si>
  <si>
    <t>Please provide annual running hours of Cogen units.</t>
  </si>
  <si>
    <t>Please provide the Enthalpy of the Input Steam in kCal/kg</t>
  </si>
  <si>
    <t xml:space="preserve">1) Cogen Log Sheet 2) Operaters log Register 3) Daily generation Report 4) Monthly Generation Report 5)  Energy Managemen System data 6) SAP </t>
  </si>
  <si>
    <t>1) Operator's Shift Register 2) CPP Break down  analysis Report</t>
  </si>
  <si>
    <t>Please provide the Steam Pressure of the Input Steam in Kg/cm2</t>
  </si>
  <si>
    <t xml:space="preserve">1) CPP Log Sheet 2) Operaters log Register 3) Daily generation Report 4) Monthly Generation Report 5)  Energy Managemen System data 6) SAP </t>
  </si>
  <si>
    <t>Please provide the Steam Temperature of the Input Steam in ⁰C</t>
  </si>
  <si>
    <t>Please provide the Flow rate of the input steam in Tonne per Hour</t>
  </si>
  <si>
    <t>Details of Steam Extraction 1</t>
  </si>
  <si>
    <t>Please provide the Steam Pressure at Extraction 1 in Kg/cm2</t>
  </si>
  <si>
    <t>1) Daily Generation Report 2) Monthly Generation Report 3) DCS/SCADA Records</t>
  </si>
  <si>
    <t>Please provide the Steam Temperature at Extraction 1in ⁰C</t>
  </si>
  <si>
    <t>Please provide the Enthalpy of the Steam at Extraction 1 in kCal/kg</t>
  </si>
  <si>
    <t>1) Steam Table</t>
  </si>
  <si>
    <t>Please provide the Mass Flow rate of the steam at Extraction 2 in Tonne per Hour</t>
  </si>
  <si>
    <t>1) Makeup water Reading 2) Field Steam Flow meter reading</t>
  </si>
  <si>
    <t>Details of Steam Extraction 2</t>
  </si>
  <si>
    <t>Please provide the Steam Pressure at Extraction 2 in Kg/cm2</t>
  </si>
  <si>
    <t>Please provide the Steam Temperature at Extraction 2 in ⁰C</t>
  </si>
  <si>
    <t>Please provide the Enthalpy of the Steam at Extraction 2 in kCal/kg</t>
  </si>
  <si>
    <t>Formula protected (Thermal energy used in process= ((Steam enthalpy x Mass flow rate at Extraction 1) + (steam enthalpy x Mass flow rate at extraction 2 ))/ 1000 )</t>
  </si>
  <si>
    <t>Formula protected (Thermal energy used in Power=(Input steam enthalpy x Input Mass flow rate /1000 - Thermal energy used in process)</t>
  </si>
  <si>
    <t>Formula protected (% energy used in Power= Thermal energy used in process x 1000/ (Input steam enthalpy x Input Mass flow rate))</t>
  </si>
  <si>
    <t>B.2.6</t>
  </si>
  <si>
    <t>Through Co-Generation (Extraction Cum Condensing)</t>
  </si>
  <si>
    <t>Please provide the Mass Flow rate of the steam at Extraction 1 in Tonne per Hour</t>
  </si>
  <si>
    <t>Formula protected (Total % of thermal energy in Process from Cogen = (total Thermal energy used in process/ Total Thermal energy used in power)</t>
  </si>
  <si>
    <t>b3</t>
  </si>
  <si>
    <t>Formula protected (Total Own Generation of Electricity )</t>
  </si>
  <si>
    <t>B.4</t>
  </si>
  <si>
    <t>Please provide quantity of electricity sold to the grid in Lakh kWh.</t>
  </si>
  <si>
    <t>1) Daily Power Report 2) Monthly Power Report 3) Export main energy meter reading record 4) Energy Managemen System data 5) Montly Export bill receipt sent  to utility</t>
  </si>
  <si>
    <t>Export Energy Meter</t>
  </si>
  <si>
    <t>B.5</t>
  </si>
  <si>
    <t>Please provide quantity of electricity consumed in colony /other in Lakh kWh.</t>
  </si>
  <si>
    <t>1) Daily Power Report 2) Monthly Power Report 3) Colony/other main energy meter reading record 4) Energy Managemen System data</t>
  </si>
  <si>
    <t>1) colony/Others meter</t>
  </si>
  <si>
    <t>B.6</t>
  </si>
  <si>
    <t xml:space="preserve">Formula Protected (Electricity Suplied to the grid/others) </t>
  </si>
  <si>
    <t>B.7</t>
  </si>
  <si>
    <t xml:space="preserve">Formula Protected (Equivalent Thermal Energy supplied to the grid/others) </t>
  </si>
  <si>
    <t>B.8</t>
  </si>
  <si>
    <t>Formula Protected (Total Electricity Consumed for Process and Auxiliaries within Plant)</t>
  </si>
  <si>
    <t>Please provide Emission factor for CPP located outside plant boundary through proper documentation</t>
  </si>
  <si>
    <t>1) Coal Consumption 2) Coal Quality test certificate 3) Daily Internal Report from Lab on Fuel Proximate Analysis performed on each lot. 4) Test Certificate from Government Accredited lab. (Plant to maintain minimum 1 sample test in a quarter for Proximate and Ultimate Analysis i.e. 4 test certificates in a year for each fuel in case of CPP Fuel, for Process Fuel 1 sample test in a quarter for Proximate Analysis)  5) Purchase Order, where guaranteed GCV range is mentioned</t>
  </si>
  <si>
    <t>1) Lab Register on Fuel Testing for Proximate Analysis 2) Calibration Record of instrument used for testing 3) Sample Collection record 4) Cross-verification summary from Internal and External Lab 5) Historical test records</t>
  </si>
  <si>
    <t xml:space="preserve">Formulae Protected: Energy input in Million kcal </t>
  </si>
  <si>
    <t>b2.8</t>
  </si>
  <si>
    <t>Through Renewable Sources (In Plant)</t>
  </si>
  <si>
    <t>b2.8.1</t>
  </si>
  <si>
    <t>Through Renewable Sources (Solar)</t>
  </si>
  <si>
    <t>Selection is required from the drop down list for grid connectivity with grid (Yes/No)</t>
  </si>
  <si>
    <t>If selected "No" then an Undertaking from competent authority shall be provided</t>
  </si>
  <si>
    <t>1) Undertaking from Competent Authority 2) Document of Synchronisation from DISCOM</t>
  </si>
  <si>
    <t>Please provide installed capacity of Solar in MW.</t>
  </si>
  <si>
    <t>1) OEM document for capacity 2) Rating plate of Solar Panels</t>
  </si>
  <si>
    <t>Please provide gross unit generation of Solar in Lakh kWh.</t>
  </si>
  <si>
    <t>1) Daily Generation Report 2) Monthly Generation Report 3) Solar main energy meter reading record 4) Energy Management System data</t>
  </si>
  <si>
    <t>Please provide Auxilliary Power Consumption (APC) in %.</t>
  </si>
  <si>
    <t>1) Daily Power Report 2) Monthly Power Report 3) Solar main energy meter reading record 4) Energy Management System data</t>
  </si>
  <si>
    <t>Please provide plant Load Factor in %.</t>
  </si>
  <si>
    <t>Please provide annual running hours of all the Solar units.</t>
  </si>
  <si>
    <t>1) Daily Generation Report 2) Monthly Generation  Report 3)  Energy Management System data</t>
  </si>
  <si>
    <t>b2.8.2</t>
  </si>
  <si>
    <t>Through Renewable Sources (Wind)</t>
  </si>
  <si>
    <t>Please provide installed capacity of Wind in MW.</t>
  </si>
  <si>
    <t>1) OEM document for capacity 2) Rating plate of Wind Mills</t>
  </si>
  <si>
    <t>1) Capacity Enhancement document 2) 2) Turbine Manufacturer Specifications</t>
  </si>
  <si>
    <t>Please provide gross unit generation of Wind in Lakh kWh.</t>
  </si>
  <si>
    <t>1) Daily Generation Report 2) Monthly Generation Report 3) Wind Mill main energy meter reading record 4) Energy Management System data</t>
  </si>
  <si>
    <t>1) Daily Power Report 2) Monthly Power Report 3) Wind Mill main energy meter reading record 4) Energy Management System data</t>
  </si>
  <si>
    <t>Please provide Average Wind Speed of the locality</t>
  </si>
  <si>
    <t>1) Wind Speed Measurement Data 2) SCADA System Logs 3)  On-Site Weather Station</t>
  </si>
  <si>
    <t>1) Regional Meteorological Data 2) Turbine Manufacturer Specifications</t>
  </si>
  <si>
    <t>Formula Protected (Total Captive Renewable Energy (In Plant)-from all sources)</t>
  </si>
  <si>
    <t>Formula Protected (Total Renewable Energy (through Wheeling)-from all sources)</t>
  </si>
  <si>
    <t>Formula Protected (Total Renewable Energy (In plant &amp; through Wheeling)-from all sources)</t>
  </si>
  <si>
    <t>b.3</t>
  </si>
  <si>
    <t>Formula Protected (Total Own Generation of Electricity)</t>
  </si>
  <si>
    <t>b.3.1</t>
  </si>
  <si>
    <t>Formula Protected (Emission Factor for Own Generation of Electricity)</t>
  </si>
  <si>
    <t>Weighted emission factor of all the fuels consumed in  the plnat</t>
  </si>
  <si>
    <t>b.4</t>
  </si>
  <si>
    <t>1) Daily Power Report 2) Monthly Power Report 3) Export main energy meter reading record 4) Energy Management System data 5) Monthly Export bill receipt sent  to utility</t>
  </si>
  <si>
    <t>b.5</t>
  </si>
  <si>
    <t>b.6</t>
  </si>
  <si>
    <t>b.7</t>
  </si>
  <si>
    <t>b.8</t>
  </si>
  <si>
    <t>Formula Protected (Total Electricity Consumed within Plant)</t>
  </si>
  <si>
    <t>b9</t>
  </si>
  <si>
    <t xml:space="preserve">Emission to be adjusted for export to grid/colony </t>
  </si>
  <si>
    <t>Formula Protected (Emission factor for in-plant generation, dedicated line imports and renewables)</t>
  </si>
  <si>
    <t>Formula Protected (Emission factor for colony power export &amp; Intermediary product (Grid import/IPP import))</t>
  </si>
  <si>
    <t>Formula Protected (Emission to be adjusted for export to grid)</t>
  </si>
  <si>
    <t>Formula Protected (Emission to be adjusted for export to colony )</t>
  </si>
  <si>
    <t>Formula Protected (Total emission to be adjusted)</t>
  </si>
  <si>
    <t>C</t>
  </si>
  <si>
    <t xml:space="preserve">Solid Fuel Consumption </t>
  </si>
  <si>
    <t>Please provide landed cost of Solid Fuel i.e. Basic Cost+All Taxes + Freight. The landed cost of last purchase order in the financial year</t>
  </si>
  <si>
    <t xml:space="preserve">1) Purchase Order for basic rates and taxes 2) Freight document for rates </t>
  </si>
  <si>
    <t>Please provide the gross calorific value (As Dried Basis) of solid fuel consumed for power generation in kcal/kg.</t>
  </si>
  <si>
    <t xml:space="preserve">1) Operating Coal Quality- Monthly average of the lots (As Dried Basis),Test Certificate for Coal Analysis including Proximate and Ultimate analysis (Minimum of 1 Samples Test from Government Lab for cross verification quarterly).
2) For Internal testing, the documentation should include
a)  Date of Testing
b) Sample Details
c) Testing Methods
d) Calorimeter Data: Results from bomb calorimeter testing or any other instruments used.
Technician Details: Signature or certification of the technician conducting the test.</t>
  </si>
  <si>
    <t>Lot, Daily, Monthly, Quarterly</t>
  </si>
  <si>
    <t>1) Daily Internal Report from Lab on Fuel Proximate Analysis performed on each lot. 2) Test Certificate from Government Accredited lab. (Plant to maintain minimum 1 sample test in a quarter for Proximate and Ultimate Analysis i.e. 4 test certificates in a year for each fuel in case of CPP Fuel, for Process Fuel 1 sample test in a quarter for Proximate Analysis)  3) Purchase Order, where guaranteed GCV range is mentioned</t>
  </si>
  <si>
    <t>Please provide the gross calorific value (As Dried Basis) of solid fuel consumed in the process in kcal/kg.</t>
  </si>
  <si>
    <t>Please provide the Net calorific value  of solid fuel consumed for power generation in kcal/kg.</t>
  </si>
  <si>
    <t xml:space="preserve">The NCV calculation for solid fuel shall be undertaken as per Indian Standard (IS) 1350 (Part 2): 2022 or any other equivalent national/international standard. In case of non-availability of the net calorific value, the standard conversion factor from GCV to NCV as per Intergovernmental Panel on Climate Change (IPCC) of 95% for solid fuels and same methodology is to be followed in baseline/assessment year </t>
  </si>
  <si>
    <t>1) Lab Register on Fuel Testing for Ultimate Analysis 2) Calibration Record of instrument used for testing 3) Sample Collection record 4) Cross-verification and deviation summary from Internal and External Lab 5) Historical test records</t>
  </si>
  <si>
    <t>Please provide the Net calorific value of solid fuel consumed in the process in kcal/kg.</t>
  </si>
  <si>
    <t>Please provide the annual solid fuel quantity purchased for generation of Power  in tonnes.</t>
  </si>
  <si>
    <t>Lot, Daily, Monthly, Yearly</t>
  </si>
  <si>
    <t>1) Purchase Order 2) Stores Receipt 3) SAP Entry in MM/PP/FI module 4) Annual Report</t>
  </si>
  <si>
    <t xml:space="preserve">1) Stores Receipt Register </t>
  </si>
  <si>
    <t>Please provide the annual solid fuel quantity purchased process use  in tonnes.</t>
  </si>
  <si>
    <t>Please provide Average Surface Moisture in Fuel used for power generation in %</t>
  </si>
  <si>
    <t>1) Internal Lab Test Report (Sample Identification, Testing Method, Testing Equipment Used) 2) Sample Collection Log (Sample Collection time, Handling Protocol) 3) Sample collection Procedure 4) Purchase Order, where guaranteed % moisture range is mentioned</t>
  </si>
  <si>
    <t>1) Lab Register on Fuel Testing  2) Calibration Record of instrument used for testing 3) Sample Collection record 4) Cross-verification summary from Internal and External Lab</t>
  </si>
  <si>
    <t>Please provide Average Surface Moisture in Fuel used for process in %</t>
  </si>
  <si>
    <t>1) Lab Register on Fuel Testing 2) Calibration Record of instrument used for testing 3) Sample Collection record 4) Cross-verification and deviation summary from Internal and External Lab 5) Historical test records</t>
  </si>
  <si>
    <t>Please provide % Total Carbon in fuel used for power generation</t>
  </si>
  <si>
    <t xml:space="preserve">For determining Type II emission factors for the solid all be calculated using the site-specific Net Calorific Value (NCV) (sampled and calculated) of fuel and Total Carbon (TC) (%) in the fuel calculated based on solid fuel analysis </t>
  </si>
  <si>
    <t>Please provide % Total Carbon in fuel used for process</t>
  </si>
  <si>
    <t>1) Internal Lab Test Report (Sample Identification, Testing Method, Testing Equipment Used) 2) Sample Collection Log (Sample Collection time, Handling Protocol) 3) Sample collection Procedure</t>
  </si>
  <si>
    <t>Please provide % Oxidation Factor used for power generation</t>
  </si>
  <si>
    <t>The conversion factors for fuel combustion shall be further adjusted with the oxidation factor as monitored and measured by the obligated entity and in case of non-availability of oxidation factor, the default oxidation factor of 100 shall be applied</t>
  </si>
  <si>
    <t>Default Factor 100 is to be applied</t>
  </si>
  <si>
    <t>Please provide % Oxidation Factor used for process</t>
  </si>
  <si>
    <t>Please provide the annual solid fuel quantity consumed in power generation in tonnes.</t>
  </si>
  <si>
    <t>Hourly, Daily and Monthly</t>
  </si>
  <si>
    <t>1) DGR 2) MGR 3)  CPP Log Sheet 4) SAP Entry in MM/PP/FI module 5) Annual Report</t>
  </si>
  <si>
    <t>1)Belt Weigher before Coal Bunker</t>
  </si>
  <si>
    <t>Please provide the annual solid fuel quantity consumed in process in tonnes.</t>
  </si>
  <si>
    <t>1) DPR 2) MPR 3)  Kiln Log Sheet 4) SAP Entry in MM/PP/FI module 5) Annual Report</t>
  </si>
  <si>
    <t>1) Belt Weigh Feeder 2) Solid Flow Meter</t>
  </si>
  <si>
    <t xml:space="preserve">Formula protected  Emission Factor - (Power Generation) </t>
  </si>
  <si>
    <t>Please provide %C of fuel used in Power Generation for site specific calculation</t>
  </si>
  <si>
    <t>1) Calculation as per % Carbon * 3.664 divided by NCV</t>
  </si>
  <si>
    <t>1) Environmental Reports 2) DPR 3) SAP Entry in MM/PP module</t>
  </si>
  <si>
    <t xml:space="preserve">Formula protected Emission Factor - (Process) </t>
  </si>
  <si>
    <t>Please provide %C of fuel used in Process Generation for site-specific calculation</t>
  </si>
  <si>
    <t>1) Calculation as per % Carbon * 3.664  divided by NCV</t>
  </si>
  <si>
    <t>Formula protected (Total solid fuel consumption in the power generation and process)</t>
  </si>
  <si>
    <t>Formula protected (Equivalent thermal energy used in power generation)</t>
  </si>
  <si>
    <t>Formula protected (Equivalent thermal energy used in processing)</t>
  </si>
  <si>
    <t>Formula protected (GHG Emission from power generation)</t>
  </si>
  <si>
    <t>Formula protected (GHG Emission from process)</t>
  </si>
  <si>
    <t>D.9</t>
  </si>
  <si>
    <t>Unburnt fuel Generation From CPP( AFBC/CFBC Boiler)</t>
  </si>
  <si>
    <t>Please provide % Total Carbon (Fossil) in fuel used for process</t>
  </si>
  <si>
    <t>Please provide Quantity purchased &amp; used in process (Surface Moisture Free) in Tonnes</t>
  </si>
  <si>
    <t>Quantity generated from power plant &amp; used in process(Surface Moisture Free) in Tonnes</t>
  </si>
  <si>
    <t>Formula protected (GHG Emission Factor)</t>
  </si>
  <si>
    <t>Please provide %C of fuel used in Process Generation for site specific calculation</t>
  </si>
  <si>
    <t>Formula protected (Total Quantity Consumed)</t>
  </si>
  <si>
    <t>Formula protected (Thermal Energy from unburnt fuel in Power Plant)</t>
  </si>
  <si>
    <t>Formula protected (GHG Emission (fossil) Process)</t>
  </si>
  <si>
    <t>D.10/D.11</t>
  </si>
  <si>
    <t>Biomass and other renewable solid fuel / Solid waste</t>
  </si>
  <si>
    <t>Note: The emission related to CH4/N2O and Non-Fossil fuel are not included in the emission calculation</t>
  </si>
  <si>
    <t>Please provide the gross calorific value of biomass / solid waste for Power generation and process use in kcal/kg.</t>
  </si>
  <si>
    <t>Please provide the Net calorific value of biomass / solid waste for Power generation and process use in kcal/kg.</t>
  </si>
  <si>
    <t>Please provide % Total Carbon (Non-Fossil) in fuel used for Power generation and process use in %</t>
  </si>
  <si>
    <t>Please provide % Oxidation Factor (Non-Fossil) used for Power generation and  process use in %</t>
  </si>
  <si>
    <t>Please provide the annual biomass/ solid waste quantity puchased in tonnes</t>
  </si>
  <si>
    <t>Please provide the annual solid fuel moisture % (As Received Basis)</t>
  </si>
  <si>
    <t>1) Daily Internal Report from Lab on Fuel Proximate Analysis performed on each lot. 2) Purchase Order, where guaranteed % moisture range is mentioned</t>
  </si>
  <si>
    <t>1) Lab Register on Fuel Testing for Proximate Analysis 2) Callibration Record of instrument used for testing</t>
  </si>
  <si>
    <t>Please provide the annual biomass/ solid waste Consumed in power generation in tonnes.</t>
  </si>
  <si>
    <t>1) DPR 2) MPR 3)  CPP Log Sheet 4) SAP Entry in MM/PP/FI module 5) Annual Report</t>
  </si>
  <si>
    <t>Please provide the annual biomass/ solid waste consumed in processing in tonnes.</t>
  </si>
  <si>
    <t>Formula protected (Non-Fossil Emission Factor (CO2) Power generation)</t>
  </si>
  <si>
    <t>Formula protected (Non-Fossil Emission Factor (CO2) Process)</t>
  </si>
  <si>
    <t>Formula protected (CH4 Emission Factor )</t>
  </si>
  <si>
    <t xml:space="preserve">default included - But not included in emissions </t>
  </si>
  <si>
    <t>Formula protected (N2O Emission Factor)</t>
  </si>
  <si>
    <t>Formula protected (Total biomass/ solid waste consumption in the power generation and process)</t>
  </si>
  <si>
    <t>Formula protected (GHG Emission (Non-Fossil)-Power (CO2))</t>
  </si>
  <si>
    <t>Formula protected (GHG Emission (Non-Fossil) - Process (CO2))</t>
  </si>
  <si>
    <t>Formula protected (GHG Emissions - Process and Power (CH4 and N2O))</t>
  </si>
  <si>
    <t>D.12</t>
  </si>
  <si>
    <t xml:space="preserve">Formula protected [Total solid fuel (indian coal, petcoke, imported coal, lignite and biomass) thermal energy used in power generation] </t>
  </si>
  <si>
    <t>D.13</t>
  </si>
  <si>
    <t xml:space="preserve">Formula protected [Total solid fuel (indian coal, petcoke, imported coal and lignite ) thermal energy used in processing] </t>
  </si>
  <si>
    <t>D.14</t>
  </si>
  <si>
    <t>Formula protected (Total GHG Emissions from Power Generation -Fossil)</t>
  </si>
  <si>
    <t>D.15</t>
  </si>
  <si>
    <t>Formula protected (Total GHG Emisisions from Process heating - Fossil)</t>
  </si>
  <si>
    <t>D.16</t>
  </si>
  <si>
    <t>Formula protected (Total GHG Emissions from Solid Fuel-Fossil)</t>
  </si>
  <si>
    <t>D.17</t>
  </si>
  <si>
    <t>Formula protected (Total GHG Emissions from Power Generation -Non-Fossil)</t>
  </si>
  <si>
    <t>D.18</t>
  </si>
  <si>
    <t>Formula protected (Total GHG Emissions from Process - Non-Fossil)</t>
  </si>
  <si>
    <t>Liquid Fuel Consumption</t>
  </si>
  <si>
    <t>E.1/E.4</t>
  </si>
  <si>
    <t>Furnace Oil</t>
  </si>
  <si>
    <t>Please provide the gross calorific value of furnace oil in kcal/kg.</t>
  </si>
  <si>
    <t xml:space="preserve">For Internal testing, the documentation should include
a)  Date of Testing
b) Sample Details
c) Testing Methods
d) Calorimeter Data: Results from bomb calorimeter testing or any other instruments used.
Technician Details: Signature or certification of the technician conducting the test.</t>
  </si>
  <si>
    <t>Lot, Monthly, Yearly</t>
  </si>
  <si>
    <t xml:space="preserve">1) Test report from Supplier 2) Daily Internal Report from Lab on Fuel Proximate Analysis performed on each lot. 3) Test Certificate from Government Accredited lab.  4) Purchase Order, where guaranteed GCV range is mentioned 5) Standard Value as per Notification </t>
  </si>
  <si>
    <t xml:space="preserve">1) Lab Register on Fuel Testing for Proximate Analysis 2) Calibration Record of instrument used for testing </t>
  </si>
  <si>
    <t>Please provide the net calorific value of furnace oil in kcal/kg.</t>
  </si>
  <si>
    <t xml:space="preserve">The NCV calculation for solid fuel shall be undertaken as per Indian Standard (IS) 1350 (Part 2): 2022 or any other equivalent national/international standard. In case of non-availability of the net calorific value, the standard conversion factor from GCV to NCV as per the Intergovernmental Panel on Climate Change (IPCC) of 95% for Liquid fuels and same methodology is to be followed in baseline/assessment year </t>
  </si>
  <si>
    <t>Please provide % Oxidation Factor  used for Power generation in %</t>
  </si>
  <si>
    <t>Please provide the annual furnace oil quantity purchase in kilo Litres.</t>
  </si>
  <si>
    <t>Stores Receipt</t>
  </si>
  <si>
    <t>Please provide the density of furnace oil in kg/lit.</t>
  </si>
  <si>
    <t>1) Test report from Supplier 2) Internal Test Report from lab 3) Test report from Government Accredited Lab 4) Standard Value as per Notification</t>
  </si>
  <si>
    <t>Formula protected  [Emission Factor - (Power Generation)]</t>
  </si>
  <si>
    <t xml:space="preserve">Emission Factor from IPCC , Default factors is to be applied for liquid fuels </t>
  </si>
  <si>
    <t>Please provide the furnace oil quantity consumed in DG set for power generation in kilo Litres.</t>
  </si>
  <si>
    <t>Please provide the furnace oil quantity consumed in CPP for power generation in kilo Litres.</t>
  </si>
  <si>
    <t>1) Daily Generation Report 2) Monthly Generation Report 3)  CPP Log Sheet 4) SAP Entry in MM/PP/FI module 5) Annual Report</t>
  </si>
  <si>
    <t>Please provide the furnace oil quantity used in process heating (including Pyro-processing and cement mill Hot Air Generator) in kilo Litres.</t>
  </si>
  <si>
    <t>1) DPR 2) MPR 3)  Kiln Log Sheet 4) Cement Mill Log Sheet 5) SAP Entry in MM/PP/FI module 6) Annual Report</t>
  </si>
  <si>
    <t>Formula protected (Total furnace oil used in DG, CPP and process heating multiply by the density)</t>
  </si>
  <si>
    <t>Formula protected ( Total furnace oil thermal energy used in DG set)</t>
  </si>
  <si>
    <t>Formula protected ( Total furnace oil thermal energy used in CPP)</t>
  </si>
  <si>
    <t>Formula protected ( Total furnace oil thermal energy used in Process Heating)</t>
  </si>
  <si>
    <t>Formula protected (GHG Emissions from Power Generation (DG Set))</t>
  </si>
  <si>
    <t>Formula protected (GHG Emissions from Power Generation (CPP))</t>
  </si>
  <si>
    <t>Formula protected (GHG Emissions from Process )</t>
  </si>
  <si>
    <t>E.2/E.3</t>
  </si>
  <si>
    <t>LSHS/High Sulphur Heavy Stock (HSHS)/Pyrolysis Oil (PO)/Petro Polymer Oil (PPO)</t>
  </si>
  <si>
    <t>Please provide the gross calorific value of LSHS/HSHS/PO/PPO in kcal/kg.</t>
  </si>
  <si>
    <t>Please provide the net calorific value of LSHS/HSHS/PO/PPO in kcal/kg.</t>
  </si>
  <si>
    <t>Please provide the annual LSHS/HSHS/PO/PPO quantity purchase in Tonnes.</t>
  </si>
  <si>
    <t>Please provide the LLSHS/HSHS/PO/PPO quantity consumed in DG set for power generation in Tonnes.</t>
  </si>
  <si>
    <t>Please provide the LSHS/HSHS/PO/PPOquantity consumed in CPP for power generation in Tonnes.</t>
  </si>
  <si>
    <t>Please provide the LSHS/HSHS/PO/PPO quantity consumed in process heating.</t>
  </si>
  <si>
    <t>Formula protected (Total LSHS/HSHS/PO/PPO used in DG, CPP and process heating)</t>
  </si>
  <si>
    <t>Formula protected ( Total LSHS/HSHS/PO/PPO thermal energy used in DG set)</t>
  </si>
  <si>
    <t>Formula protected ( Total LSHS/HSHS/PO/PPO thermal energy used in CPP)</t>
  </si>
  <si>
    <t>Formula protected ( TotalLSHS/HSHS/PO/PPO thermal energy used in Process Heating)</t>
  </si>
  <si>
    <t>E.4/E.5</t>
  </si>
  <si>
    <t>HSD/LDO</t>
  </si>
  <si>
    <t>Please provide the gross calorific value of HSD/LDO in kcal/kg.</t>
  </si>
  <si>
    <t>Please provide the net calorific value of HSD/LDO in kcal/kg.</t>
  </si>
  <si>
    <t>Please provide the annual HSD/LDO quantity purchase in kilo Litres.</t>
  </si>
  <si>
    <t>Please provide the density of HSD/LDO kg/lit.</t>
  </si>
  <si>
    <t>Please provide the HSD/LDO quantity used in DG set for power generation in kilo Litres.</t>
  </si>
  <si>
    <t>Please provide the HSD/LDO quantity used in CPP for power generation in kilo Litres.</t>
  </si>
  <si>
    <t>Please provide the HSD/LDO quantity used in Transportation, if any  in kilo Litres.</t>
  </si>
  <si>
    <t>1)Vehicle Log book 2) Stores Receipt 3) Fuel Dispenser meter reading 3) Work Order for Internal Transportation</t>
  </si>
  <si>
    <t>Please provide the HSD/LDO quantity used in process heating  in kilo Litres.</t>
  </si>
  <si>
    <t>Formula protected (Total HSD/LDO used in DG, CPP and process heating multiply by the density)</t>
  </si>
  <si>
    <t>Formula protected ( Total HSD/LDO thermal energy used in DG set)</t>
  </si>
  <si>
    <t>Formula protected ( Total HSD/LDO thermal energy used in Internal Transportation (Internal Raw Material handling,Loco etc))</t>
  </si>
  <si>
    <t>Formula protected ( Total HSD/LDO thermal energy used in CPP)</t>
  </si>
  <si>
    <t>Formula protected ( Total HSD/LDO thermal energy used in Process Heating)</t>
  </si>
  <si>
    <t>E.6</t>
  </si>
  <si>
    <t>Liquid Waste</t>
  </si>
  <si>
    <t>Please provide the gross calorific value of liquid waste in kcal/kg.</t>
  </si>
  <si>
    <t>Please provide the net calorific value of Liquid Waste in kcal/kg.</t>
  </si>
  <si>
    <t>Please provide the annual liquid waste quantity purchase in kilo Litres.</t>
  </si>
  <si>
    <t>Please provide the density of liquid waste in kg/lit.</t>
  </si>
  <si>
    <t>Please provide % Total Carbon (Fossil &amp; Non-Fossil) in fuel used for Power generation and process use in %</t>
  </si>
  <si>
    <t xml:space="preserve">1) Internal Lab Test Report (Sample Identification, Testing Method, Testing Equipment Used) 2) Sample Collection Log (Sample Collection time, Handling Protocol) 3) Sample collection Procedure </t>
  </si>
  <si>
    <t>Please provide % Oxidation Factor (Fossil &amp; Non-Fossil) used for Power generation and  process use in %</t>
  </si>
  <si>
    <t>Formula protected  [Emission Factor -Fossil]</t>
  </si>
  <si>
    <t xml:space="preserve">Please provide %C of fuel used in Power Generation for site specific calculation, otherwise  Default factors is to be applied for liquid fuels </t>
  </si>
  <si>
    <t>Formula protected  [Emission Factor -Non Fossil]</t>
  </si>
  <si>
    <t>Please provide the liquid waste quantity consumed in DG set for power generation in kilo Litres.</t>
  </si>
  <si>
    <t>Please provide the liquid waste quantity consumed in CPP for power generation in kilo Litres.</t>
  </si>
  <si>
    <t>Please provide the liquid waste quantity consumed in process heating  in kilo Litres.</t>
  </si>
  <si>
    <t>Formula protected (Total liquid waste used in DG, CPP and process heating multiplied by the density)</t>
  </si>
  <si>
    <t>Formula protected ( Total liquid waste thermal energy used in DG set)</t>
  </si>
  <si>
    <t>Formula protected ( Total liquid waste thermal energy used in CPP)</t>
  </si>
  <si>
    <t>Formula protected ( Total liquid waste thermal energy used in Process Heating)</t>
  </si>
  <si>
    <t>Formula protected (GHG Emissions from power generation (DG Set) -Fossil)</t>
  </si>
  <si>
    <t>Formula protected (GHG Emissions from Power Generation (CPP) - Fossil)</t>
  </si>
  <si>
    <t>Formula protected (GHG Emissions from process -Fossil)</t>
  </si>
  <si>
    <t>Formula protected (GHG Emissions from power generation (DG Set) -Non Fossil)</t>
  </si>
  <si>
    <t>Formula protected (GHG Emissions from Power Generation (CPP) - Non Fossil)</t>
  </si>
  <si>
    <t>Formula protected (GHG Emissions from process -Non Fossil )</t>
  </si>
  <si>
    <t>E.7</t>
  </si>
  <si>
    <t xml:space="preserve">Formula protected [Total liquid fuel (furnace oil, LSHS, HSHS, HSD and LDO) thermal energy used in DG set for power generation] </t>
  </si>
  <si>
    <t>E.8</t>
  </si>
  <si>
    <t xml:space="preserve">Formula protected [Total liquid fuel (furnace oil, LSHS, HSHS, HSD and LDO) thermal energy used in CPP for power generation] </t>
  </si>
  <si>
    <t>E.9</t>
  </si>
  <si>
    <t xml:space="preserve">Formula protected [Total liquid fuel (furnace oil, LSHS, HSHS, HSD and LDO) thermal energy used in process heating] </t>
  </si>
  <si>
    <t>E.10</t>
  </si>
  <si>
    <t>Formula protected (Total GHG emission from Power Generation - DG Set (Liquid Fuel) - Fossil)</t>
  </si>
  <si>
    <t>E.11</t>
  </si>
  <si>
    <t>Formula protected (Total GHG emission from Power Generation - CPP  (Liquid Fuel) - Fossil)</t>
  </si>
  <si>
    <t>E.12</t>
  </si>
  <si>
    <t>Formula protected (Total GHG emission from  Process  heating (Liquid Fuel) - Fossil)</t>
  </si>
  <si>
    <t>E.13</t>
  </si>
  <si>
    <t>Formula protected (Total GHG emission from Power Generation &amp; Process  heating Liquid Fuel - Fossil)</t>
  </si>
  <si>
    <t>E.14</t>
  </si>
  <si>
    <t>Formula protected (Total GHG emission from Power Generation - DG Set (Liquid Fuel) - Non Fossil)</t>
  </si>
  <si>
    <t>E.15</t>
  </si>
  <si>
    <t>Formula protected (Total GHG emission from Power Generation - CPP  (Liquid Fuel) - Non Fossil)</t>
  </si>
  <si>
    <t>E.16</t>
  </si>
  <si>
    <t>Formula protected (Total GHG emission from Power Generation - Process  (Liquid Fuel) - Non Fossil)</t>
  </si>
  <si>
    <t>F</t>
  </si>
  <si>
    <t>Gaseous  Fuel Consumption</t>
  </si>
  <si>
    <t>F.1</t>
  </si>
  <si>
    <t>Natural Gas (CNG/NG/PNG/LNG)</t>
  </si>
  <si>
    <t>Please provide the gross calorific value of NG in kcal/SCM.</t>
  </si>
  <si>
    <t>1) Test report from Supplier 2) Test report from Government Accredited Lab 3) Standard Value as per Notification</t>
  </si>
  <si>
    <t>Please provide the net calorific value of NG in kcal/SCM.</t>
  </si>
  <si>
    <t xml:space="preserve"> In case NCV is not available  0.90 is to be applied to GCV </t>
  </si>
  <si>
    <t>1) Test report from Supplier 2) Test report from Government Accridited Lab 3) Standard Value as per Notification</t>
  </si>
  <si>
    <t>Please provide the Oxidation Factorof NG</t>
  </si>
  <si>
    <t>Default factor of 100 is applied</t>
  </si>
  <si>
    <t xml:space="preserve">Formula protected ( GHG Emission factor) </t>
  </si>
  <si>
    <t xml:space="preserve">GHG Emission Factor (default in case contirbution less than 10%) or else site specific emisison factor </t>
  </si>
  <si>
    <t>Please provide the annual NG quantity purchase in million SCM.</t>
  </si>
  <si>
    <t>Lot, Dailiy, Monthly, Yearly</t>
  </si>
  <si>
    <t>Gas Meter Reading, Bullet Pressure Reading</t>
  </si>
  <si>
    <t>Please provide the NG quantity consumed in power generation in million SCM.</t>
  </si>
  <si>
    <t>Contnuous, Daily, Monthly, Yearly</t>
  </si>
  <si>
    <t>1) Daily Generation Report 2) Monthly Generation Report 3) GG Log Sheet 4) SAP Entry in MM/PP/FI module 5) Annual Report</t>
  </si>
  <si>
    <t>Please provide the NG quantity consumed in transportation in million SCM.</t>
  </si>
  <si>
    <t>Please provide the NG quantity consumed in process heating million SCM</t>
  </si>
  <si>
    <t>Formula protected (Total NG used in power generation and process heating)</t>
  </si>
  <si>
    <t>Formula protected ( Total NG thermal energy used in power generation)</t>
  </si>
  <si>
    <t>Formula protected ( Total NG thermal energy used in  Internal Transportation (Internal Raw Material handling,Loco etc)</t>
  </si>
  <si>
    <t>Formula protected ( Total NG  thermal energy used in Process Heating)</t>
  </si>
  <si>
    <t>Formula protected (GHG Emissions from Power Generation)</t>
  </si>
  <si>
    <t>Formula protected (GHG Emissions from Internal transporation)</t>
  </si>
  <si>
    <t>Formula protected (GHG Emissions from process heating)</t>
  </si>
  <si>
    <t>F.2</t>
  </si>
  <si>
    <t>Liquefied Petroleum Gas (LPG)</t>
  </si>
  <si>
    <t>Please provide the gross calorific value of LPG in kcal/kg.</t>
  </si>
  <si>
    <t>Please provide the net calorific value of LPG in kcal/kg.</t>
  </si>
  <si>
    <t>Please provide the Oxidation Factorof LPG</t>
  </si>
  <si>
    <t>Please provide the annual LPG quantity purchase in million kg.</t>
  </si>
  <si>
    <t>Please provide the LPG quantity consumed in power generation in million kg.</t>
  </si>
  <si>
    <t>1) DPR 2) MPR 3) GG Log Sheet 4) SAP Entry in MM/PP/FI module 5) Annual Report</t>
  </si>
  <si>
    <t>Please provide the LPG quantity consumed in process heating million kg</t>
  </si>
  <si>
    <t>Formula protected (Total LPG used in power generation and process heating)</t>
  </si>
  <si>
    <t>Formula protected ( Total LPG thermal energy used in power generation)</t>
  </si>
  <si>
    <t>Formula protected ( Total LPG  thermal energy used in Process Heating)</t>
  </si>
  <si>
    <t>Formula protected (GHG Emissions from Process heating)</t>
  </si>
  <si>
    <t>F.3</t>
  </si>
  <si>
    <t xml:space="preserve">Formula protected [Total gaseous fuel thermal energy used in power generation] </t>
  </si>
  <si>
    <t>F.4</t>
  </si>
  <si>
    <t xml:space="preserve">Formula protected [Total gaseous  fuel thermal energy used in processing] </t>
  </si>
  <si>
    <t xml:space="preserve">F.5 </t>
  </si>
  <si>
    <t>Formula protected [GHG Emissions from Power Generation (Gasesous Fuel)]</t>
  </si>
  <si>
    <t>F.6</t>
  </si>
  <si>
    <t>Formula protected [GHG Emissions from Process heating (Gaseous fuel)]</t>
  </si>
  <si>
    <t>F.7</t>
  </si>
  <si>
    <t>Formula protected [GHG Emissions from Gaseous fuel]</t>
  </si>
  <si>
    <t>G</t>
  </si>
  <si>
    <t>Total Thermal Energy</t>
  </si>
  <si>
    <t>G.1</t>
  </si>
  <si>
    <t>Formula protected [Total thermal energy of all input fuels ( Solid, Liquid and Gaseous) used in power generation]</t>
  </si>
  <si>
    <t>G.2</t>
  </si>
  <si>
    <t>Formula protected [Total thermal energy of all input fuels ( Solid, Liquid and Gaseous) used in process heating]</t>
  </si>
  <si>
    <t>G.3</t>
  </si>
  <si>
    <t xml:space="preserve">Formula protected [Total thermal energy  of all input fuels ( Solid, Liquid and Gaseous) used in power generation and process heating] </t>
  </si>
  <si>
    <t>G.4</t>
  </si>
  <si>
    <t>Formula protected [Total GHG Emissions in Power Generation of all input fuels( Solid, Liquid and Gaseous) used in power generation]</t>
  </si>
  <si>
    <t>G.5</t>
  </si>
  <si>
    <t>Formula protected [Total GHG Emissions in Process of all input fuels ( Solid, Liquid and Gaseous) used in process heating]</t>
  </si>
  <si>
    <t>G.6</t>
  </si>
  <si>
    <t xml:space="preserve">Formula protected [Total GHG Emissions from all input fuels ( Solid, Liquid and Gaseous) used in power generation and process heating] </t>
  </si>
  <si>
    <t>H</t>
  </si>
  <si>
    <t>Gross Heat Rate</t>
  </si>
  <si>
    <t>H.1</t>
  </si>
  <si>
    <t>Formula protected ( Gross heat rate of DG set = Total thermal energy used in DG set/ Total annual generation of DG set)</t>
  </si>
  <si>
    <t>H.2</t>
  </si>
  <si>
    <t>Formula protected ( Gross heat rate of Steam Turbine = Total thermal energy used in Steam Turbine / Total annual generation of Steam Turbine)</t>
  </si>
  <si>
    <t>H.3</t>
  </si>
  <si>
    <t>Formula protected ( Gross heat rate of Gas Turbine = Total thermal energy used in Gas Turbine / Total annual generation of Gas Turbine)</t>
  </si>
  <si>
    <t>H.4</t>
  </si>
  <si>
    <t xml:space="preserve">Formula Protected: weighted average gross heat rate </t>
  </si>
  <si>
    <t>H.5</t>
  </si>
  <si>
    <t>Formula Protected: Weighted Net Heat Rate for import of Intermediary product/export to grid/ colony</t>
  </si>
  <si>
    <t>C.1/C.2/C.3/C.4/C.5</t>
  </si>
  <si>
    <t>Coal (Indian) / Pet Coke/Carbon / Coal (Imported) / Coal (Lignite) ( Other Solid Fuels)</t>
  </si>
  <si>
    <t>Please provide landed cost of Solid fuel i.e. Basic Cost+All Taxes + Freight. The landed cost of last purchase order in the financial year</t>
  </si>
  <si>
    <t>Please provide the gross calorific value (As Fired Basis) of Solid fuel consumed in kcal/kg.</t>
  </si>
  <si>
    <t xml:space="preserve">Operating Coal Quality- Monthly average of the lots (As Fired Basis),Test Certificate for Coal Analysis including Proximate and Ultimate analysis (Minimum of 4 Samples Test from Government Lab for cross verification quarterly) 
</t>
  </si>
  <si>
    <t>1) Daily Internal Report from Lab on Fuel Proximate Analysis performed on each lot. 2) Test Certificate from Government Accredited lab. (It is desirable that the plant may maintain minimum 4 sample test in a quarter for Proximate and Ultimate Analysis i.e. 16 test certificates in a year for each fuel)  3) Purchase Order, where guaranteed GCV range is mentioned</t>
  </si>
  <si>
    <t>Please provide the moisture content in sold fuel (As Received Basis) in %</t>
  </si>
  <si>
    <t>1) Daily Internal Report from Lab on Fuel Proximate Analysis performed on each lot. 2) Test Certificate from Government Accredited lab. (It is desirable that the plant may maintain minimum 4 sample test in a quarter for Proximate and Ultimate Analysis i.e. 16 test certificates in a year for each fuel)  3) Purchase Order, where guaranteed moisture %  range is mentioned</t>
  </si>
  <si>
    <t>Please provide the annual Solid fuel quantity purchased in tonnes.</t>
  </si>
  <si>
    <t>Please provide the annual Solid fuel quantity consumed in power generation(CPP) in tonnes.</t>
  </si>
  <si>
    <t>Please provide the annual Solid fuel quantity consumed in power generation(Cogen)  in tonnes.</t>
  </si>
  <si>
    <t>1) DPR 2) MPR 3)  Cogen Log Sheet 4) SAP Entry in MM/PP/FI module 5) Annual Report</t>
  </si>
  <si>
    <t>Please provide the annual Solid fuel quantity consumed in process in tonnes.</t>
  </si>
  <si>
    <t>1) DPR 2) MPR 3)  Boiler/Digestor/Calciner/Process Log Sheet 4) SAP Entry in MM/PP/FI module 5) Annual Report</t>
  </si>
  <si>
    <t>Formula protected (Total sold fuel consumption in the power generation and process)</t>
  </si>
  <si>
    <t>Formula protected (Equivalent thermal energy used in power generation (CPP))</t>
  </si>
  <si>
    <t>Formula protected (Equivalent thermal energy used in power generation (Cogen) )</t>
  </si>
  <si>
    <t>C.6</t>
  </si>
  <si>
    <t>Bio mass or Other purchased Renewable solid fuels (pl. specify) baggase, rice husk, etc.</t>
  </si>
  <si>
    <t>Please provide the gross calorific value (As Fired Basis) of Fuel in kcal/kg.</t>
  </si>
  <si>
    <t>Please provide the annual Biomass quantity purchased in tonnes.</t>
  </si>
  <si>
    <t>Please provide the annual Fuels quantity consumed in power generation (CPP) in tonnes.</t>
  </si>
  <si>
    <t>Please provide the annual Fuels quantity consumed in power generation (Cogen) in tonnes.</t>
  </si>
  <si>
    <t>Please provide the annual Fuels quantity consumed in process in tonnes.</t>
  </si>
  <si>
    <t>Formula protected (Equivalent thermal energy used in power generation(Cogen))</t>
  </si>
  <si>
    <t>C.7</t>
  </si>
  <si>
    <t>Solid Waste (pl. specify and refer CPCB guidelines, enclosed) rubber tyres chips, Municipal Solid waste etc.</t>
  </si>
  <si>
    <t>Please provide landed cost of Fuel i.e. Basic Cost+All Taxes + Freight. The landed cost of last purchase order in the financial year</t>
  </si>
  <si>
    <t>Please provide the annual Solid waste quantity purchased in tonnes.</t>
  </si>
  <si>
    <t>Please provide the annual Fuels quantity consumed in power generation(CPP) in tonnes.</t>
  </si>
  <si>
    <t>Please provide the annual Fuels quantity consumed in power generation(Cogen) in tonnes.</t>
  </si>
  <si>
    <t>Formula protected (Total Waste consumption in the power generation and process)</t>
  </si>
  <si>
    <t>Formula protected (Equivalent thermal energy used in power generation) CPP</t>
  </si>
  <si>
    <t>Formula protected (Equivalent thermal energy used in power generation) Cogen</t>
  </si>
  <si>
    <t>C.8</t>
  </si>
  <si>
    <t>Formula protected [Total solid fuel (indian coal, petcoke, imported coal, lignite and biomass) thermal energy used in power generation (CPP)]</t>
  </si>
  <si>
    <t>C.9</t>
  </si>
  <si>
    <t>Formula protected [Total solid fuel (indian coal, petcoke, imported coal, lignite and biomass) thermal energy used in power generation (Cogen)]</t>
  </si>
  <si>
    <t>C.10</t>
  </si>
  <si>
    <t>D</t>
  </si>
  <si>
    <t>D.1</t>
  </si>
  <si>
    <t>Please provide landed cost of Furnace Oil i.e. Basic Cost+All Taxes + Freight. The landed cost of last purchase order in the financial year</t>
  </si>
  <si>
    <t>Please provide the annual furnace oil quantity purchase in kilo liters.</t>
  </si>
  <si>
    <t>Please provide the furnace oil quantity consumed in DG set for power generation in kilo liters.</t>
  </si>
  <si>
    <t>Please provide the furnace oil quantity consumed in CPP for power generation in kilo liters.</t>
  </si>
  <si>
    <t>Please provide the furnace oil quantity consumed in Cogen for power generation in kilo liters.</t>
  </si>
  <si>
    <t>Please provide the furnace oil quantity used in process heating in kilo liters.</t>
  </si>
  <si>
    <t>1) DPR 2) MPR 3)  Boiler/Digestor/Calciner/Carbon Anode Process Log Sheet 4) SAP Entry in MM/PP/FI module 5) Annual Report/ Cast House Log Sheet</t>
  </si>
  <si>
    <t>Formula protected (Total furnace oil used in DG, CPP, Cogen and process heating multiply by the density)</t>
  </si>
  <si>
    <t>Formula protected ( Total furnace oil thermal energy used in Cogen)</t>
  </si>
  <si>
    <t>D.2/D.3</t>
  </si>
  <si>
    <t>LSHS/HSHS</t>
  </si>
  <si>
    <t>Please provide landed cost of Liquid Fuel i.e. Basic Cost+All Taxes + Freight. The landed cost of last purchase order in the financial year</t>
  </si>
  <si>
    <t>Please provide the gross calorific value of LSHS/HSHS in kcal/kg.</t>
  </si>
  <si>
    <t>Please provide the annual LSHS/HSHS quantity purchase in Tonnes.</t>
  </si>
  <si>
    <t>Please provide the LSHS/HSHS quantity consumed in DG set for power generation in Tonnes.</t>
  </si>
  <si>
    <t>Please provide the LSHS/HSHS quantity consumed in CPP for power generation in Tonnes.</t>
  </si>
  <si>
    <t>Please provide the LSHS/HSHS quantity consumed in Cogen for power generation in Tonnes.</t>
  </si>
  <si>
    <t>1) Daily Generation Report 2) Monthly Generation Report 3)  Cogen Log Sheet 4) SAP Entry in MM/PP/FI module 5) Annual Report</t>
  </si>
  <si>
    <t>Please provide the LSHS/HSHS quantity consumed in process heating.</t>
  </si>
  <si>
    <t>Formula protected (Total LSHS/HSHS used in DG, CPP and process heating)</t>
  </si>
  <si>
    <t>Formula protected ( Total LSHS/HSHS thermal energy used in DG set)</t>
  </si>
  <si>
    <t>Formula protected ( Total LSHS/HSHS thermal energy used in CPP)</t>
  </si>
  <si>
    <t>Formula protected ( Total LSHS/HSHS thermal energy used in Cogen)</t>
  </si>
  <si>
    <t>Formula protected ( Total LSHS/HSHS thermal energy used in Process Heating)</t>
  </si>
  <si>
    <t>D.4/D.5</t>
  </si>
  <si>
    <t>High Speed Diesel (HSD)/ Light Diesel Oil (LDO)</t>
  </si>
  <si>
    <t>Please provide landed cost of HSD/LDO anded cost of last purchase order in the financial year</t>
  </si>
  <si>
    <t>Please provide the annual HSD/LDO quantity purchase in kilo liters.</t>
  </si>
  <si>
    <t>Please provide the density of HSD/LDO in kg/lit.</t>
  </si>
  <si>
    <t>Please provide the HSD/LDO quantity consumed in DG set for power generation in kilo liters.</t>
  </si>
  <si>
    <t>Please provide the HSD/LDO quantity consumed in CPP for power generation in kilo liters.</t>
  </si>
  <si>
    <t>Please provide the HSD/LDO quantity consumed in Cogen for power generation in kilo liters.</t>
  </si>
  <si>
    <t>Please provide the HSD/LDO quantity used in Transportation, if any  in kilo liters.</t>
  </si>
  <si>
    <t>Please provide the HSD/LDO quantity used in process heating in kilo liters.</t>
  </si>
  <si>
    <t>Formula protected ( Total HSD/LDO thermal energy used in Cogen)</t>
  </si>
  <si>
    <t>D.6</t>
  </si>
  <si>
    <t xml:space="preserve">Liquid Waste (pl. specify and refer CPCB guidelines, enclosed) </t>
  </si>
  <si>
    <t>Please provide landed cost of Liquid Waste i.e. Basic Cost+All Taxes + Freight. The landed cost of last purchase order in the financial year</t>
  </si>
  <si>
    <t>Please provide the annual liquid waste quantity purchase in kilo liters.</t>
  </si>
  <si>
    <t>Please provide the average density of liquid waste in kg/lit.</t>
  </si>
  <si>
    <t>Please provide the liquid waste quantity consumed in DG set for power generation in kilo liters.</t>
  </si>
  <si>
    <t>Please provide the liquid waste quantity consumed in CPP for power generation in kilo liters.</t>
  </si>
  <si>
    <t>Please provide the liquid waste quantity consumed in Cogen for power generation in kilo liters.</t>
  </si>
  <si>
    <t>Please provide the liquid waste quantity consumed in process heating  in kilo liters.</t>
  </si>
  <si>
    <t>Formula protected (Total liquid waste used in DG, CPP and process heating multiply by the density)</t>
  </si>
  <si>
    <t>Formula protected ( Total liquid waste thermal energy used in Cogen)</t>
  </si>
  <si>
    <t>D.7</t>
  </si>
  <si>
    <t>D.8</t>
  </si>
  <si>
    <t xml:space="preserve">Formula protected [Total liquid fuel (furnace oil, LSHS, HSHS, HSD and LDO) thermal energy used in Cogen for power generation] </t>
  </si>
  <si>
    <t>D.10</t>
  </si>
  <si>
    <t>Gaseous Fuel</t>
  </si>
  <si>
    <t>Compressed Natural Gas (CNG/NG/PNG/LNG)</t>
  </si>
  <si>
    <t>Please provide landed cost of Gaseous Fuel i.e. Basic Cost+All Taxes + Freight. The landed cost of last purchase order in the financial year</t>
  </si>
  <si>
    <t>Please provide the gross calorific value in kcal/SCM.</t>
  </si>
  <si>
    <t>Please provide the annual quantity purchase in million SCM.</t>
  </si>
  <si>
    <t>E.2</t>
  </si>
  <si>
    <t>Please provide landed cost of LPG i.e. Basic Cost+All Taxes + Freight. The landed cost of last purchase order in the financial year</t>
  </si>
  <si>
    <t>Please provide the gross calorific value of LPG in kcal/SCM</t>
  </si>
  <si>
    <t>Please provide the annual LPG quantity purchase in million SCM</t>
  </si>
  <si>
    <t>Please provide the LPG quantity consumed in power generation in million SCM</t>
  </si>
  <si>
    <t>Please provide the LPG quantity consumed in process heating million SCM</t>
  </si>
  <si>
    <t>E.3</t>
  </si>
  <si>
    <t>E.4</t>
  </si>
  <si>
    <t>Steam Import/Export</t>
  </si>
  <si>
    <t>Steam Import</t>
  </si>
  <si>
    <t>F.1.1/F.1.2</t>
  </si>
  <si>
    <t>LP/HP Steam Import</t>
  </si>
  <si>
    <t>Please provide landed cost of Import Low Pressure/High Pressure Steam i.e. Basic Cost+All Taxes + Freight. The landed cost of last purchase order in the financial year</t>
  </si>
  <si>
    <t>Please provide the LP/HP Steam energy in kcal/kg</t>
  </si>
  <si>
    <t>Enthalpy/Boiler Efficiency</t>
  </si>
  <si>
    <t>Dailiy, Monthly, Yearly</t>
  </si>
  <si>
    <t>1) SAP Entry in MM/PP/FI module</t>
  </si>
  <si>
    <t xml:space="preserve">1) Boiler Efficiecny calculation </t>
  </si>
  <si>
    <t>Please provide the annual LP/HP Steam  quantity purchase in Tonnes</t>
  </si>
  <si>
    <t>1) Purchase Order 2) SAP Entry in MM/PP/FI module 3) Annual Report</t>
  </si>
  <si>
    <t>Steam Flow Meter Reading, Pressure Reading, Temperature Reading</t>
  </si>
  <si>
    <t xml:space="preserve">Please provide the annual average temperature of imported LP/HP Steam in oC </t>
  </si>
  <si>
    <t xml:space="preserve">Please provide the annual average pressure of imported LP/HP Steam in bar </t>
  </si>
  <si>
    <t>Formula protected (Total LP/HP steam imported for processing)</t>
  </si>
  <si>
    <t>F.1.3</t>
  </si>
  <si>
    <t>Formula protected (Total energy imported by LP &amp; HP Steam for processing)</t>
  </si>
  <si>
    <t>Steam export</t>
  </si>
  <si>
    <t>F.2.1/F.2.2</t>
  </si>
  <si>
    <t>LP/HP Steam export</t>
  </si>
  <si>
    <t>Please provide landed cost of Exported Low Pressure/High Pressure Steam i.e. Basic Cost+All Taxes + Freight. The landed cost of last purchase order in the financial year</t>
  </si>
  <si>
    <t>Please provide the enthalpy of exported LP/HP Steam in kcal/kg</t>
  </si>
  <si>
    <t>Please provide the annual quantity exported of LP/HP Steam in Tonnes</t>
  </si>
  <si>
    <t xml:space="preserve">Please provide the annual average temperature of exported LP/HP Steam in oC </t>
  </si>
  <si>
    <t xml:space="preserve">Please provide the annual average pressure of exported LP/HP Steam in bar </t>
  </si>
  <si>
    <t>Formula protected (Total LP/HP steam exported for processing)</t>
  </si>
  <si>
    <t>F.2.3</t>
  </si>
  <si>
    <t>Formula protected (Total energy exported by LP &amp; HP Steam)</t>
  </si>
  <si>
    <t>Formula protected (Weighted Average Boiler Efficiecny (Boiler 1-10))</t>
  </si>
  <si>
    <t>Formula protected (Total Thermal Energy Exported for Steam)</t>
  </si>
  <si>
    <t>F.5</t>
  </si>
  <si>
    <t>Formula protected (Total Thermal Energy for Steam (Import-Export))</t>
  </si>
  <si>
    <t>Formula protected [Total thermal energy  of all input fuels ( Solid, Liquid and Gaseous) used in power generation and process heating]</t>
  </si>
  <si>
    <t>Formula Protected (Gross Heat Rate of Co-Gen (Extraction cum Condensing))</t>
  </si>
  <si>
    <t>Formula Protected (Gross Heat Rate of Co-Gen(Extraction/BackPressure))</t>
  </si>
  <si>
    <t>H.6</t>
  </si>
  <si>
    <t>Formula protected (Weighted Heat Rate of plant)</t>
  </si>
  <si>
    <t>I</t>
  </si>
  <si>
    <t>Coal Quality in CPP (As Fired Basis)</t>
  </si>
  <si>
    <t>I.1</t>
  </si>
  <si>
    <t>Please provide the GCV value of coal used in CPP</t>
  </si>
  <si>
    <t>Location of sampling and Fuel consumption for AS FIRED Fuel analysis: After the Mill</t>
  </si>
  <si>
    <t>1) Lab Register on Fuel Testing for Proximate Analysis 2) Callibration Record of instrument used for testing  3) Lab register 4) Lab analysis prcedure documents 5) Sampling methodology document</t>
  </si>
  <si>
    <t>I.2</t>
  </si>
  <si>
    <t>Please provide the Ash %  in coal used in CPP</t>
  </si>
  <si>
    <t>I.3</t>
  </si>
  <si>
    <t>Please provide the Hydrogen %  in coal used in CPP</t>
  </si>
  <si>
    <t>I.4</t>
  </si>
  <si>
    <t>Please provide the Moisture %  in coal used in CPP</t>
  </si>
  <si>
    <t>J</t>
  </si>
  <si>
    <t xml:space="preserve">Bauxite Quality </t>
  </si>
  <si>
    <t>Please provide total Bauxite Consumed for alumina production in Tones</t>
  </si>
  <si>
    <t>1) Log Sheet 2) CCR SCADA Report/ Ternds 3) DPR 4) MPR 5) SAP Entry in PP/SD module 6) Shift Register 7) Log Book</t>
  </si>
  <si>
    <t xml:space="preserve">1) Weigh Feeder 2) Weigh Bridge </t>
  </si>
  <si>
    <t>Please provide type of Bauxite consumed in plant</t>
  </si>
  <si>
    <t xml:space="preserve">Please provide precentage of total Al2O3 /siO2  Ratio in bauxite </t>
  </si>
  <si>
    <t>1) Calculation Sheet</t>
  </si>
  <si>
    <t xml:space="preserve">Please provide precentage of Total Available Alumina (TAA) in bauxite </t>
  </si>
  <si>
    <t>1) Test Report 2) Lab Register 3) Callibration Record of the instrument used for testing</t>
  </si>
  <si>
    <t>Please provide precentage of Monohydrate Alumina (MHA) in Bauxite</t>
  </si>
  <si>
    <t xml:space="preserve">Please provide precentage of Trihydrate Alumina (THA) in Bauxite </t>
  </si>
  <si>
    <t>Please provide precentage of Silica in Bauxite</t>
  </si>
  <si>
    <t>Please provide precentage of Moisture in Bauxite</t>
  </si>
  <si>
    <t>Please provide precentage of Overall Recovery</t>
  </si>
  <si>
    <t xml:space="preserve">Please provide Wash Water in tonne of water /tonne of bauxite </t>
  </si>
  <si>
    <t>please provide Steam Economy in tonne of steam/tonne of bauxite</t>
  </si>
  <si>
    <t>Please provide precentage of Fe in Bauxite</t>
  </si>
  <si>
    <t>Please provide precentage of Fe in Mud</t>
  </si>
  <si>
    <t>Formula protected  enthalpy of steam in kcal/kg</t>
  </si>
  <si>
    <t>Formula protected ofBoiler Efficiency in %</t>
  </si>
  <si>
    <t>K</t>
  </si>
  <si>
    <t>Miscelleneous Data</t>
  </si>
  <si>
    <t>K1</t>
  </si>
  <si>
    <t xml:space="preserve">Additional Equipment installation after baseline year due to Environmental Concern </t>
  </si>
  <si>
    <t xml:space="preserve"> (i)</t>
  </si>
  <si>
    <t xml:space="preserve">Please provide the Electrical Energy Consumption with list of additional Equipment installed due to Environmental Concern after baseline year in Sheet! Addl Eqp List-Env. </t>
  </si>
  <si>
    <t xml:space="preserve">List of Equipment to be filled up </t>
  </si>
  <si>
    <t>Daily, Monthly, Annual</t>
  </si>
  <si>
    <t>Energy Meter Readings and Power consumpotion details of each additional equipment installed from 1st Apr to 31st March</t>
  </si>
  <si>
    <t>1) EMS 2) Energy Meter 3) Addition Equipment List with capacity and running load 4) Purchase Order document 5) SAP Data in MM module</t>
  </si>
  <si>
    <t xml:space="preserve"> (ii)</t>
  </si>
  <si>
    <t xml:space="preserve">Please provide the Thermal Energy Consumption with list of additional Equipment installed due to Environmental Concern after baseline year. </t>
  </si>
  <si>
    <t>Solid/Liquid/Gaseous Fuel consumption of each additional equipment installed from 1st Apr to 31st March</t>
  </si>
  <si>
    <t>1) Fuel Flow Meter 2) Weigh Feeder 3) Purchase Order document 4) SAP Data in MM module</t>
  </si>
  <si>
    <t>K2</t>
  </si>
  <si>
    <t>Biomass/ Alternate Fuel availability (as per Sr. No D.9/D.10/E.6)</t>
  </si>
  <si>
    <t>Please provide the details of repalcement of Bio-mass with fossil fuel due to un-avaialability. This is required in fossil fuel tonnage in terms of equivalent GCV of Bio-mass (Used in Process)</t>
  </si>
  <si>
    <t>Fossil Fuel: Coal/Lignite/Fuel Oil</t>
  </si>
  <si>
    <t xml:space="preserve">1) Authentic Document in relation to Bio-Mass/Alternate Solid Fuel/Alternate Liquid Fuel availability in the region. 2) Test Certificate of Bio-mass from Government Accredited Lab for GCV in Baseline and assessment year 3) Test Certificate of replaced Fossil Fuel GCV </t>
  </si>
  <si>
    <t>Please provide the details of repalcement of Alternate Solid Fuel with fossil fuel due to un-avaialability.  This is required in fossil fuel tonnage in terms of equivalent GCV of Alternate Solid Fuel (Used in Process)</t>
  </si>
  <si>
    <t>Please provide the details of repalcement of Alternate Liquid Fuel with fossil fuel due to un-avaialability.  This is required in fossil fuel tonnage in terms of equivalent GCV of Alternate Liquid Fuel (Used in Process)</t>
  </si>
  <si>
    <t>K3</t>
  </si>
  <si>
    <t>Project Activities (Construction Phase)</t>
  </si>
  <si>
    <t>Please provide the Electrical Energy Consumption with list of Project Activites and energy consumed during project activities treated as Construction phase in Lakh kwh</t>
  </si>
  <si>
    <t>Energy Meter Readings of each project activity  with list of equipment installed under each activity from 1st Apr to 31st March</t>
  </si>
  <si>
    <t>1) EMS 2) Energy Meter 3) Addition Equipment List with capacity and running load  3) Purchase Order document 4) SAP Data in MM module</t>
  </si>
  <si>
    <t>Please provide the Thermal Energy Consumption with list of Project Activites and energy consumed during project activities treated as Construction phase in Million kcal converted from different fuel</t>
  </si>
  <si>
    <t>Solid/Liquid/Gaseous Fuel consumption of each project activity with list of equipment under each activity installed from 1st Apr to 31st March</t>
  </si>
  <si>
    <t>K4</t>
  </si>
  <si>
    <t>New Line/Unit Commissioning</t>
  </si>
  <si>
    <t xml:space="preserve">Please provide the electrical energy consumed in Lakh kWh during its commissioning till it attains 70% of the new line capacity utilisation </t>
  </si>
  <si>
    <t>1) Rated Capacity of new Process/line from OEM 2) Energy Meter Readings and Power Consumption record of process/line  with list of equipment installed from 1st Apr to 31st March</t>
  </si>
  <si>
    <t>1) EMS 2) Energy Meter 3) Addition Equipment List with capacity and running load</t>
  </si>
  <si>
    <t>Please provide the thermal energy consumed in Million kcal during its commissioning till it attains 70% of the new line capacity utilisation. The energy is calculated after converting from the different fuel GCV used in the new process/line</t>
  </si>
  <si>
    <t>1) Rated Capacity of new Process/line from OEM 2) Thermal Energy Consumption record with list of equipment  from DPR/Log book/SAP Entry in PP module</t>
  </si>
  <si>
    <t>1) Fuel Flow Meter 2) Weigh Feeder</t>
  </si>
  <si>
    <t>Please provide the Calcined Alumina production line (Refinery) during its commissioning up to 70% of new line/process capacity utilisation in Tonnes</t>
  </si>
  <si>
    <t>1) Rated Capacity of new Process/line from OEM 2) Production record from DPR/Log book/SAP Entry in PP module</t>
  </si>
  <si>
    <t xml:space="preserve">1) Bauxite Weigh Feeder </t>
  </si>
  <si>
    <t>Please provide the Molten Aluminium production line (Smelter &amp; Integrated) during its commissioning up to 70% of new line/process capacity utilisation in Tonnes</t>
  </si>
  <si>
    <t xml:space="preserve">1) Alumina Weigh Feeder </t>
  </si>
  <si>
    <t>Please provide the date of achieving 70% capacity utilisation of new process/line</t>
  </si>
  <si>
    <t xml:space="preserve">1) Record/Document from SAP Entry/Log Book Entry/DPR/MPR </t>
  </si>
  <si>
    <t>Operator's Shift Register</t>
  </si>
  <si>
    <t>Please provide the Electrical Energy consumed in Lakh kWh from external source during its commissioning till it attains 70% of the new unit capacity utilisation in Power generation</t>
  </si>
  <si>
    <t>1) Rated Capacity of new unit from OEM 2) Energy Meter Readings and Power Consumption record of unit  from external source with list of equipment installed from 1st Apr to 31st March</t>
  </si>
  <si>
    <t>Please provide the thermal energy consumed in Million kcal during its commissioning till it attains 70% of the new unit capacity utilisation. The energy is calculated after converting from the different fuel GCV used in the new unit  in Power generation</t>
  </si>
  <si>
    <t xml:space="preserve">1) Rated Capacity of new unit from OEM 2) Thermal Energy Consumption record with list of equipment  from DPR/Log book/SAP Entry </t>
  </si>
  <si>
    <t xml:space="preserve">Please provide the Steam Generation From Co-Gen till New Line /Unit attains 70% of Capacity Utilisation </t>
  </si>
  <si>
    <t>Please provide Net Electricity Genration till new line/ Unit attains 70% Capacity Utilisation from CPP/Cogen</t>
  </si>
  <si>
    <t>1) EMS 2) Energy Meter</t>
  </si>
  <si>
    <t>Please provide the date of achieving 70% capacity utilisation of new unit in Power generation</t>
  </si>
  <si>
    <t>K5</t>
  </si>
  <si>
    <t>Unforeseen Circumstances</t>
  </si>
  <si>
    <t>Please provide the Electrical Energy Consumption with list of unforeseen circumstances consumed in Lakh kWh claimed for Normalisation</t>
  </si>
  <si>
    <t>Unforeseen Circumstances: Situation not under direct or indirect control of pLant management</t>
  </si>
  <si>
    <t>1) Relevent document on Unforeseen Circumstances beyond the control of plant 2) Energy Meter Readings and Power Consumption during the said period of unforeseen circumstances</t>
  </si>
  <si>
    <t>Please provide the Thermal Energy Consumption with list of unforeseen circumstances consumed in Million kcal claimed for Normalisation</t>
  </si>
  <si>
    <t xml:space="preserve">1) Relevant document on Unforeseen Circumstances beyond the control of plant 2) Thermal Energy Consumption record during the said period of unforeseen circumstances  from DPR/Log book/SAP Entry </t>
  </si>
  <si>
    <t>L</t>
  </si>
  <si>
    <t>Documentation for Normalisation</t>
  </si>
  <si>
    <t>Please select from drop down list on availability of documents for Bauxite Quality Normalisation</t>
  </si>
  <si>
    <t>1) For Normalisation factors, which became applicable due to external factors, authentic documents to be produced by DC for the baseline as well for the assessment year. In absence of these authentic documents, no Normalisation Factor will be applied/Considered. 2) While selecting "No" from the drop down list, the inbuilt calculation automatic treat the Normalisation for particular factor as zero. However, DC needs to submit an undertaking from the Authorised Signatory on non-availability of document</t>
  </si>
  <si>
    <t>Please select from drop down list on availability of documents for Smelter Capacity Utilization Normalisation</t>
  </si>
  <si>
    <t>Please select from drop down list on availability of documents for Fuel Quality in CPP &amp; Co-Gen Normalisation</t>
  </si>
  <si>
    <t>Please select from drop down list on availability of documents for CPP PLF Normalisation</t>
  </si>
  <si>
    <t>Please select from drop down list on availability of documents for Power Mix Normalisation</t>
  </si>
  <si>
    <t>Please select from drop down list on availability of documents for Product Mix Normalisation</t>
  </si>
  <si>
    <t>Please select from drop down list on availability of documents for Carbon Anode Production  Normalisation</t>
  </si>
  <si>
    <t>Please select from drop down list on availability of documents for Other Factos  Normalisation</t>
  </si>
  <si>
    <t>M</t>
  </si>
  <si>
    <t>Energy Saving and Investment</t>
  </si>
  <si>
    <t>Please provide in Rs Million th year wise Investment made towards Energy saving Projects</t>
  </si>
  <si>
    <t>Sum of three years 2012-15 for Assessment year data entry</t>
  </si>
  <si>
    <t>Thermal Energy Saving during the year</t>
  </si>
  <si>
    <t>Solid Fuel</t>
  </si>
  <si>
    <t>a.1</t>
  </si>
  <si>
    <t>Please provide the Coal savings in Million kcal</t>
  </si>
  <si>
    <t>a.2</t>
  </si>
  <si>
    <t>Please provide the Lignite savings in Million kcal</t>
  </si>
  <si>
    <t>a.3</t>
  </si>
  <si>
    <t>Please provide the Petro Coke savings in Million kcal</t>
  </si>
  <si>
    <t>a.4</t>
  </si>
  <si>
    <t>Please provide the Biomass waste savings in Million kcal</t>
  </si>
  <si>
    <t>Please provide Liquid Fuel (FO/HSD/LDO/LSHS/HSHS) savings in million kcal</t>
  </si>
  <si>
    <t>Please provide Gaseous Fuel savings in Million kcal</t>
  </si>
  <si>
    <t>Please provide the Electrical Energy savings in Million kcal</t>
  </si>
  <si>
    <t>N</t>
  </si>
  <si>
    <t xml:space="preserve">Compulsory to attach yearwise Plant's  Process Flow Diagram </t>
  </si>
  <si>
    <t>Please provide the PFD for baseline as well as for assessment year</t>
  </si>
  <si>
    <t>O</t>
  </si>
  <si>
    <t>Process Emission</t>
  </si>
  <si>
    <t>TIER 2 method for calculating CO2 emissions from prebake anode consumption</t>
  </si>
  <si>
    <t>Net Anode consumption in the ratio</t>
  </si>
  <si>
    <t xml:space="preserve"> Calculated as Anode consumption to the Molten aluminium production,once received the anode consumption in the potline</t>
  </si>
  <si>
    <t xml:space="preserve">1) Log Sheet 2) CCR SCADA Report/ Trends 3) DPR 4) MPR 5) SAP Entry in PP/SD module 6) Excise record (ER1) </t>
  </si>
  <si>
    <t>1)Major Product stock Level 2) Weighfeeders 3) Belt Weigher 4) Solid flow meter 5) Load cells</t>
  </si>
  <si>
    <t>Sulphur content in baked anodes (default value = 2)</t>
  </si>
  <si>
    <t xml:space="preserve">
Baked anode sulphar analysis in internal lab</t>
  </si>
  <si>
    <t>Lot or Daily, Monthly, Quarterly</t>
  </si>
  <si>
    <t>Internal Report from Lab for sulphar content (If available, otherwise the default value can be considered)</t>
  </si>
  <si>
    <t>Internal lab report</t>
  </si>
  <si>
    <t>Ash content in baked anodes (default value - 0.4%)</t>
  </si>
  <si>
    <t xml:space="preserve">
Baked anode ash analysis in internal lab</t>
  </si>
  <si>
    <t>Internal Report from Lab for ash content through proximity analysis(If available otherwise the default value can be considered)</t>
  </si>
  <si>
    <t xml:space="preserve">Tier 2 Method for calculating Pitch Volatlie oxidation from pitch volatile combustion </t>
  </si>
  <si>
    <t>Weight average Green Anode weight</t>
  </si>
  <si>
    <t>Daily, Monthly, Quarterly</t>
  </si>
  <si>
    <t xml:space="preserve">1) Log Sheet 2) CCR SCADA Report/ Trends 3) DPR 4) MPR 5) SAP Entry in PP/SD module </t>
  </si>
  <si>
    <t>1) Weigh feeders 2) Belt Weigher 3) Solid flow meter 4) Load cells</t>
  </si>
  <si>
    <t>Weight average baked Anode weight</t>
  </si>
  <si>
    <t>Please provide total annual production of baked carbon anodes in tonnes</t>
  </si>
  <si>
    <t>Hydrogen content in Green Anode</t>
  </si>
  <si>
    <t xml:space="preserve">
Green anode sulphar analysis in internal lab</t>
  </si>
  <si>
    <t>Internal Report from Lab for hydrogen content (If available otherwise the default value can be considered)</t>
  </si>
  <si>
    <t>Waste tar collected</t>
  </si>
  <si>
    <t>Waste tar collected during anode production</t>
  </si>
  <si>
    <t>1) Log sheet 2) SAP Entry in PP/SD module(If available, otherwise the default value can be considered)</t>
  </si>
  <si>
    <t>Tier 2 Method for carbon emissions from Packing Coke</t>
  </si>
  <si>
    <t>Packing Coke consumed tonnes per tonne of baked anode</t>
  </si>
  <si>
    <t xml:space="preserve"> Calculated as packing coke consumption per tonne of baked anode</t>
  </si>
  <si>
    <t xml:space="preserve">Monthly or Lot </t>
  </si>
  <si>
    <t>1) Opening stock 2) closing stock 3) consumption report 4) weigh feeder 5) Load cell value</t>
  </si>
  <si>
    <t xml:space="preserve">Sulphur content in packing coke </t>
  </si>
  <si>
    <t xml:space="preserve">
Packing coke sulphar analysis in internal lab</t>
  </si>
  <si>
    <t>Ash content in packing coke</t>
  </si>
  <si>
    <t xml:space="preserve">
Packing coke ash analysis in internal lab</t>
  </si>
  <si>
    <t>Tier 2 Method for CF4 and C2F6 per tonne aluminum using Anode Effect Minutes per cell day  (Slope Method)</t>
  </si>
  <si>
    <t>Select Technology</t>
  </si>
  <si>
    <t>Technolody manual, OEM document</t>
  </si>
  <si>
    <t>Please provide Anode Effect (number of anode/Pot/day)</t>
  </si>
  <si>
    <t>Anode Effect Duration (Minutes/cell/Day)</t>
  </si>
  <si>
    <t>e</t>
  </si>
  <si>
    <t>Emissions from Soda Ash use associated with Alumina production</t>
  </si>
  <si>
    <t>Soda Ash Consumed</t>
  </si>
  <si>
    <t>1) Log Sheet 2) Shift Register 3) consumption report</t>
  </si>
  <si>
    <t>Purity of Soda Ash consumed (deafult value 0.95)</t>
  </si>
  <si>
    <t>Internal or purchase order purity report</t>
  </si>
  <si>
    <t>1) Lab report 2) external report during purchase</t>
  </si>
  <si>
    <t>f</t>
  </si>
  <si>
    <t>Emissions from lime production associated  with Alumina production</t>
  </si>
  <si>
    <t xml:space="preserve">Quantity of Quick Lime produced </t>
  </si>
  <si>
    <t>Purity of Quick Lime produced (deafult value 0.95)</t>
  </si>
  <si>
    <t>Lab analysis report</t>
  </si>
  <si>
    <t>Default value</t>
  </si>
  <si>
    <t>Quantity of Slack Lime produced</t>
  </si>
  <si>
    <t>Purity of Slack lime produced (deafult value 0.95)</t>
  </si>
  <si>
    <t>Q</t>
  </si>
  <si>
    <t>Abbreviations</t>
  </si>
  <si>
    <t>MPR</t>
  </si>
  <si>
    <t>Monthly Production Report</t>
  </si>
  <si>
    <t>Go Up</t>
  </si>
  <si>
    <t>DPR</t>
  </si>
  <si>
    <t>Daily Production Report</t>
  </si>
  <si>
    <t>MM</t>
  </si>
  <si>
    <t>Material Management</t>
  </si>
  <si>
    <t>PP</t>
  </si>
  <si>
    <t>Production and Planning</t>
  </si>
  <si>
    <t>SD</t>
  </si>
  <si>
    <t>Sales and Distribution</t>
  </si>
  <si>
    <t>FI</t>
  </si>
  <si>
    <t>Financial Accounting</t>
  </si>
  <si>
    <t>PM</t>
  </si>
  <si>
    <t>Plant Maintenance</t>
  </si>
  <si>
    <t>EMS</t>
  </si>
  <si>
    <r>
      <t>Form-Sa</t>
    </r>
    <r>
      <rPr>
        <b/>
        <color indexed="9"/>
        <family val="1"/>
        <vertAlign val="subscript"/>
        <sz val="16"/>
        <rFont val="Palatino Linotype"/>
      </rPr>
      <t>1</t>
    </r>
    <r>
      <rPr>
        <b/>
        <color indexed="9"/>
        <family val="1"/>
        <sz val="16"/>
        <rFont val="Palatino Linotype"/>
      </rPr>
      <t xml:space="preserve"> (General Information)</t>
    </r>
  </si>
  <si>
    <t>Sector - Aluminium Sector</t>
  </si>
  <si>
    <t>Name of the Unit</t>
  </si>
  <si>
    <t>HINDALCO INDUSTRIES LIMITED</t>
  </si>
  <si>
    <t>Sub Sector</t>
  </si>
  <si>
    <t>INTEGRATED</t>
  </si>
  <si>
    <t>Subsector</t>
  </si>
  <si>
    <t>Major Product</t>
  </si>
  <si>
    <t>MOLTEN ALUMINIUM</t>
  </si>
  <si>
    <t>i) Year of Establishment</t>
  </si>
  <si>
    <t>ii) Registration No (As provided by BEE)</t>
  </si>
  <si>
    <t>ALM0009UP</t>
  </si>
  <si>
    <t>Plant Contact Details &amp; Address</t>
  </si>
  <si>
    <t>City/Town/Village</t>
  </si>
  <si>
    <t>RENUKOOT</t>
  </si>
  <si>
    <t>District</t>
  </si>
  <si>
    <t>SONBHADRA</t>
  </si>
  <si>
    <t>State</t>
  </si>
  <si>
    <t>UTTAR PRADESH</t>
  </si>
  <si>
    <t>Pin</t>
  </si>
  <si>
    <t>Telephone</t>
  </si>
  <si>
    <t>(05446) 252077-79 / 254791-96</t>
  </si>
  <si>
    <t>Fax</t>
  </si>
  <si>
    <t>(05446) 252107 / 252427</t>
  </si>
  <si>
    <t>Plant's Chief Executive Name</t>
  </si>
  <si>
    <t>Sameer Nayak</t>
  </si>
  <si>
    <t>Designation</t>
  </si>
  <si>
    <t xml:space="preserve">CHIEF OFFICER-OPERATIONS </t>
  </si>
  <si>
    <t>Mobile</t>
  </si>
  <si>
    <t>E-mail</t>
  </si>
  <si>
    <t xml:space="preserve">sameer.nayak@adityabirla.com  </t>
  </si>
  <si>
    <t>Registered Office</t>
  </si>
  <si>
    <t>Company's Chief Executive Name</t>
  </si>
  <si>
    <t>Satish Pai</t>
  </si>
  <si>
    <t>M.D</t>
  </si>
  <si>
    <t>Address</t>
  </si>
  <si>
    <t>Ahura Center, Ist Floor, B Wing, Mahakali Caves Road, Andheri (East)</t>
  </si>
  <si>
    <t>91–22– 2422 7586/2436 2516</t>
  </si>
  <si>
    <t>P.O.</t>
  </si>
  <si>
    <t>MUMBAI</t>
  </si>
  <si>
    <t>MAHARASTRA</t>
  </si>
  <si>
    <t>91-22-6662 6666</t>
  </si>
  <si>
    <t>Energy Manager Details</t>
  </si>
  <si>
    <t xml:space="preserve">Name  </t>
  </si>
  <si>
    <t>Vivek Agrawal</t>
  </si>
  <si>
    <t>Asst. General Manager</t>
  </si>
  <si>
    <t>Whether EA or EM</t>
  </si>
  <si>
    <t>EA</t>
  </si>
  <si>
    <t>EA/EM Registration No.</t>
  </si>
  <si>
    <t>E-mail ID</t>
  </si>
  <si>
    <t xml:space="preserve">Baseline/ Previous Year (FY )  </t>
  </si>
  <si>
    <t>FY: 2021-22</t>
  </si>
  <si>
    <t>Current/Asssesment/Target Year</t>
  </si>
  <si>
    <t>FY: 2022-23</t>
  </si>
  <si>
    <t>Current / Assessment / Target Period Details</t>
  </si>
  <si>
    <t>2025-26</t>
  </si>
  <si>
    <t>Base Period Details</t>
  </si>
  <si>
    <t>Number of years' data the unit is required to report as 'Base Period Data'</t>
  </si>
  <si>
    <t>2023-24</t>
  </si>
  <si>
    <t>2022-23</t>
  </si>
  <si>
    <t>2021-22</t>
  </si>
  <si>
    <t>Amendment</t>
  </si>
  <si>
    <t>S.No</t>
  </si>
  <si>
    <t>Version No</t>
  </si>
  <si>
    <t>Date</t>
  </si>
  <si>
    <t>V1.1</t>
  </si>
  <si>
    <t>Modified for CCTS Scheme</t>
  </si>
  <si>
    <t>V1.2</t>
  </si>
  <si>
    <t xml:space="preserve">1. Cell 383, 384, Source of data and remark columns unlocked,
2. Process emission summary @ cell 1404- Formula corrected &amp; Default values for Process in slope method revised.
3. Oxidation factor Percentage is made 100 and locked.</t>
  </si>
  <si>
    <t>V1.3</t>
  </si>
  <si>
    <t xml:space="preserve">1. The formulas for dedicated line renewable energy (RE) and power calculations have been significantly updated. 
2. Exported emission factor has been updated &amp; Heat rate of 860 is considered for RE power as per Amended EC act.
3.Summary sheet has been revised accordingly.
4. GWP potential updated</t>
  </si>
  <si>
    <t>V1.4</t>
  </si>
  <si>
    <t>NF-4 Product Mix sheet E99 cell formula revised</t>
  </si>
  <si>
    <t>Form-1</t>
  </si>
  <si>
    <t>Details of information regarding Total Energy Consumed and Specific Energy Consumption Per unit of Production</t>
  </si>
  <si>
    <t>(See Rule 3)</t>
  </si>
  <si>
    <t xml:space="preserve">A. </t>
  </si>
  <si>
    <t>General Details</t>
  </si>
  <si>
    <t>Description</t>
  </si>
  <si>
    <t>2. (i)</t>
  </si>
  <si>
    <t>Year of Establishment</t>
  </si>
  <si>
    <t>2. (ii)</t>
  </si>
  <si>
    <t>Registration No (As provided by BEE)</t>
  </si>
  <si>
    <t xml:space="preserve">Sector and Sub-Sector in which the Designated Consumer falls  </t>
  </si>
  <si>
    <t>Sector</t>
  </si>
  <si>
    <t>Sub-Sector</t>
  </si>
  <si>
    <t>4. (i)</t>
  </si>
  <si>
    <r>
      <t xml:space="preserve">Complete address of DCs Unit location </t>
    </r>
    <r>
      <rPr>
        <b/>
        <color indexed="8"/>
        <family val="1"/>
        <sz val="11"/>
        <rFont val="Cambria"/>
      </rPr>
      <t>(including Chief Executive's name &amp; designation)</t>
    </r>
    <r>
      <rPr>
        <color indexed="8"/>
        <family val="1"/>
        <sz val="11"/>
        <rFont val="Cambria"/>
      </rPr>
      <t xml:space="preserve"> with mobile, telephone, fax nos. &amp; e-mail.</t>
    </r>
  </si>
  <si>
    <t>Registered Office address with telephone, fax nos. &amp; e-mail</t>
  </si>
  <si>
    <t xml:space="preserve">Energy Manager's Name, designation, Registration No., Address, Mobile, Telephone, Fax nos. &amp; e-mail </t>
  </si>
  <si>
    <t xml:space="preserve">B. </t>
  </si>
  <si>
    <t>Production details</t>
  </si>
  <si>
    <t>Manufacturing Industries notified as Designated Consumers</t>
  </si>
  <si>
    <t>Products</t>
  </si>
  <si>
    <t>Unit</t>
  </si>
  <si>
    <t xml:space="preserve">Baseline/Previous Year </t>
  </si>
  <si>
    <t>Assesment year/ Current Year</t>
  </si>
  <si>
    <t>Tonne</t>
  </si>
  <si>
    <t>Product (Please add extra rows in case of additional products)</t>
  </si>
  <si>
    <t>Energy Consumption Details of Manufacturing Industries notified as Designated Consumers</t>
  </si>
  <si>
    <t>Item</t>
  </si>
  <si>
    <t xml:space="preserve">Previous Year </t>
  </si>
  <si>
    <t xml:space="preserve">Current Year </t>
  </si>
  <si>
    <t>(1)</t>
  </si>
  <si>
    <t>(2)</t>
  </si>
  <si>
    <t>(3)</t>
  </si>
  <si>
    <t>6. (i)</t>
  </si>
  <si>
    <t>Total Electricity Purchased from Grid/Other Source</t>
  </si>
  <si>
    <t>Million kwh</t>
  </si>
  <si>
    <t>Total Electricity Generated</t>
  </si>
  <si>
    <t xml:space="preserve">Total  Electricity Exported </t>
  </si>
  <si>
    <t>Total Electrical Energy Consumption</t>
  </si>
  <si>
    <t xml:space="preserve">Total Solid Fuel Consumption </t>
  </si>
  <si>
    <t>Million kCal</t>
  </si>
  <si>
    <t>Total Liquid Fuel Consumption</t>
  </si>
  <si>
    <t>Total Gaseous Fuel Consumption</t>
  </si>
  <si>
    <t>Total Thermal Energy Consumption</t>
  </si>
  <si>
    <t>Total Normalized Energy Consumption (Thermal + Electrical)</t>
  </si>
  <si>
    <t>TOE</t>
  </si>
  <si>
    <t>NA</t>
  </si>
  <si>
    <t>Specific Energy Consumption Details</t>
  </si>
  <si>
    <t>7. i</t>
  </si>
  <si>
    <t>Specific Energy Consumption(Without Normalization)</t>
  </si>
  <si>
    <t>TOE/Tonne</t>
  </si>
  <si>
    <t>Specific Energy Consumption (Normalized)</t>
  </si>
  <si>
    <t>Power Plants notified as Designated Consumer</t>
  </si>
  <si>
    <t>8. i.</t>
  </si>
  <si>
    <t>Total Capacity</t>
  </si>
  <si>
    <t>MW</t>
  </si>
  <si>
    <t>Unit Configuration</t>
  </si>
  <si>
    <t>No. of units with their capacity</t>
  </si>
  <si>
    <t xml:space="preserve">Annual Gross Generation </t>
  </si>
  <si>
    <t>MU</t>
  </si>
  <si>
    <t xml:space="preserve">Annual Plant Load Factor (PLF) </t>
  </si>
  <si>
    <t>%</t>
  </si>
  <si>
    <t>Station Gross Design Heat Rate</t>
  </si>
  <si>
    <t>kcal/kWh</t>
  </si>
  <si>
    <t>Station Gross Operative Heat Rate</t>
  </si>
  <si>
    <t xml:space="preserve">Auxiliary Power Consumption </t>
  </si>
  <si>
    <t>Operative Net Heat Rate</t>
  </si>
  <si>
    <t>Operative Net Heat Rate (Normalized)</t>
  </si>
  <si>
    <t>Sector-Wise Details</t>
  </si>
  <si>
    <t>Name of the Sector</t>
  </si>
  <si>
    <t>Pro-forma in which the details to be furnished</t>
  </si>
  <si>
    <t>Aluminium</t>
  </si>
  <si>
    <t>Refinery/Smelter</t>
  </si>
  <si>
    <r>
      <t>Sa</t>
    </r>
    <r>
      <rPr>
        <color indexed="8"/>
        <family val="1"/>
        <vertAlign val="subscript"/>
        <sz val="11"/>
        <rFont val="Cambria"/>
      </rPr>
      <t>1</t>
    </r>
  </si>
  <si>
    <t>Cold Rolling Sheet</t>
  </si>
  <si>
    <r>
      <t>Sa</t>
    </r>
    <r>
      <rPr>
        <color indexed="8"/>
        <family val="1"/>
        <vertAlign val="subscript"/>
        <sz val="11"/>
        <rFont val="Cambria"/>
      </rPr>
      <t>2</t>
    </r>
  </si>
  <si>
    <t>Cement</t>
  </si>
  <si>
    <t>Sb</t>
  </si>
  <si>
    <t>Chlor-Alkali</t>
  </si>
  <si>
    <t>Sc</t>
  </si>
  <si>
    <t>Fertilizer</t>
  </si>
  <si>
    <t>Sd</t>
  </si>
  <si>
    <t>Iron and Steel</t>
  </si>
  <si>
    <t>Integrated Steel</t>
  </si>
  <si>
    <r>
      <t>Se</t>
    </r>
    <r>
      <rPr>
        <color indexed="8"/>
        <family val="1"/>
        <vertAlign val="subscript"/>
        <sz val="11"/>
        <rFont val="Cambria"/>
      </rPr>
      <t>1</t>
    </r>
  </si>
  <si>
    <t>Sponge Iron</t>
  </si>
  <si>
    <r>
      <t>Se</t>
    </r>
    <r>
      <rPr>
        <color indexed="8"/>
        <family val="1"/>
        <vertAlign val="subscript"/>
        <sz val="11"/>
        <rFont val="Cambria"/>
      </rPr>
      <t>2</t>
    </r>
  </si>
  <si>
    <t>Pulp and Paper</t>
  </si>
  <si>
    <t>Sf</t>
  </si>
  <si>
    <t>g</t>
  </si>
  <si>
    <t>Textile</t>
  </si>
  <si>
    <t>Composite</t>
  </si>
  <si>
    <r>
      <t>Sg</t>
    </r>
    <r>
      <rPr>
        <color indexed="8"/>
        <family val="1"/>
        <vertAlign val="subscript"/>
        <sz val="11"/>
        <rFont val="Cambria"/>
      </rPr>
      <t>1</t>
    </r>
  </si>
  <si>
    <t>Fiber</t>
  </si>
  <si>
    <r>
      <t>Sg</t>
    </r>
    <r>
      <rPr>
        <color indexed="8"/>
        <family val="1"/>
        <vertAlign val="subscript"/>
        <sz val="11"/>
        <rFont val="Cambria"/>
      </rPr>
      <t>2</t>
    </r>
  </si>
  <si>
    <t>Spinning</t>
  </si>
  <si>
    <r>
      <t>Sg</t>
    </r>
    <r>
      <rPr>
        <color indexed="8"/>
        <family val="1"/>
        <vertAlign val="subscript"/>
        <sz val="11"/>
        <rFont val="Cambria"/>
      </rPr>
      <t>3</t>
    </r>
  </si>
  <si>
    <t>Processing</t>
  </si>
  <si>
    <r>
      <t>Sg</t>
    </r>
    <r>
      <rPr>
        <color indexed="8"/>
        <family val="1"/>
        <vertAlign val="subscript"/>
        <sz val="11"/>
        <rFont val="Cambria"/>
      </rPr>
      <t>4</t>
    </r>
  </si>
  <si>
    <t>h</t>
  </si>
  <si>
    <t>Thermal Power Plant</t>
  </si>
  <si>
    <t>Sh</t>
  </si>
  <si>
    <t xml:space="preserve">I/we undertake that the information supplied in the Form 1 and pro- forma is accurate to the best of my knowledge and the data furnished in Form 1 has been adhered  to the data given in the concerned pro forma. </t>
  </si>
  <si>
    <t>Authorised Signatory and Seal</t>
  </si>
  <si>
    <t>Signature:-</t>
  </si>
  <si>
    <t xml:space="preserve">Name of Energy Manager: </t>
  </si>
  <si>
    <t>Name of Authorised Signatory</t>
  </si>
  <si>
    <t>Registration Number:</t>
  </si>
  <si>
    <t>Name of the Designated Consumer:</t>
  </si>
  <si>
    <t>Full Address:-</t>
  </si>
  <si>
    <t>Seal</t>
  </si>
  <si>
    <t>S. No</t>
  </si>
  <si>
    <t>Particulars</t>
  </si>
  <si>
    <t>Basis/ Calculation</t>
  </si>
  <si>
    <t>Year1 (20.... 20...)</t>
  </si>
  <si>
    <t>Year2 (20.... 20...)</t>
  </si>
  <si>
    <t>Source of Data</t>
  </si>
  <si>
    <t>Tier 1 - calculation for CO2 emisisons from anode consumption</t>
  </si>
  <si>
    <t>Molten Aluminium Production</t>
  </si>
  <si>
    <t xml:space="preserve">t </t>
  </si>
  <si>
    <t>Value</t>
  </si>
  <si>
    <t>-</t>
  </si>
  <si>
    <t>Prebake</t>
  </si>
  <si>
    <t>Emission Factor for CO2 from process emissions</t>
  </si>
  <si>
    <t xml:space="preserve">Default </t>
  </si>
  <si>
    <t>t CO2/t al</t>
  </si>
  <si>
    <t>Process CO2 emissions from Aluminium Production</t>
  </si>
  <si>
    <t>D (i) x D (iii)</t>
  </si>
  <si>
    <t>t CO2</t>
  </si>
  <si>
    <t>Soderberg</t>
  </si>
  <si>
    <t>HSS</t>
  </si>
  <si>
    <t>CWPB</t>
  </si>
  <si>
    <t>Emission Factor for CF4 from process emissions</t>
  </si>
  <si>
    <t>kg CF4/t al</t>
  </si>
  <si>
    <t xml:space="preserve">Emission Factor for C2F6 from process emissions </t>
  </si>
  <si>
    <t>kg C2F6/t al</t>
  </si>
  <si>
    <t>SWPB</t>
  </si>
  <si>
    <t>GWP for CF4 as per BUR 3</t>
  </si>
  <si>
    <t>kg CO2/kg CF4</t>
  </si>
  <si>
    <t>GWP for C2F6 as per BUR 3</t>
  </si>
  <si>
    <t>kg CO2/kg C2F6</t>
  </si>
  <si>
    <t>Total CO2 eq emission from anode consumption</t>
  </si>
  <si>
    <t>(D (i)* E (ii)* E (iv) +D(i) * E(iii) * E(v))/1000</t>
  </si>
  <si>
    <t>t CO2 eq</t>
  </si>
  <si>
    <t>TIER 2/3 method for calculating CO2 emissions from prebake anode consumption</t>
  </si>
  <si>
    <t>t al</t>
  </si>
  <si>
    <t xml:space="preserve">Net Anode Consumption </t>
  </si>
  <si>
    <t>t/ t Al</t>
  </si>
  <si>
    <t>Average</t>
  </si>
  <si>
    <t>% wt</t>
  </si>
  <si>
    <t>Total CO2 emissions from from Anode Consumption</t>
  </si>
  <si>
    <t xml:space="preserve">Tier 2/3 Method for calculating Pitch Volatlie oxidation from pitch volatile combustion </t>
  </si>
  <si>
    <t>Weight of Green Anode</t>
  </si>
  <si>
    <t>t</t>
  </si>
  <si>
    <t>Weight of Baked Anode</t>
  </si>
  <si>
    <t xml:space="preserve">Baked Anode Production </t>
  </si>
  <si>
    <t>Weight of loaded green anodes</t>
  </si>
  <si>
    <t>Hydrogen content in green anodes (default value 0.5)</t>
  </si>
  <si>
    <t xml:space="preserve">% </t>
  </si>
  <si>
    <t>Waste tar collected (Default for riedhammer furnace 0.005 x GA and 0 for others)</t>
  </si>
  <si>
    <t>Annual CO2 emissions from pitch volatie oxidation</t>
  </si>
  <si>
    <t>Tier 2/3 Method for carbon emissions from Packing Coke</t>
  </si>
  <si>
    <t>Packing Coke consumed tonnes per tonne of baked anode (Default value 0.015)</t>
  </si>
  <si>
    <t>t/t</t>
  </si>
  <si>
    <t>Sulphur content in packing coke  (default value 2)</t>
  </si>
  <si>
    <t>Ash content in packing coke  (Default value 2.5)</t>
  </si>
  <si>
    <t>Annual CO2 emission from packing coke</t>
  </si>
  <si>
    <t>Slope Coefficient</t>
  </si>
  <si>
    <t>(kg CF4/t al)/ (AE-Mins/cell-day)</t>
  </si>
  <si>
    <t>Weight Fraction C2F6/CF4</t>
  </si>
  <si>
    <t>Weigh Fraction C2F6/CF4</t>
  </si>
  <si>
    <t>Anode Effect mintues per cell day</t>
  </si>
  <si>
    <t>AE-m/cell-day</t>
  </si>
  <si>
    <t xml:space="preserve">Emission rate for CF4 </t>
  </si>
  <si>
    <t>Emission rate for C2F6</t>
  </si>
  <si>
    <t>Emission of tetraflouromethane</t>
  </si>
  <si>
    <t>kg CF4</t>
  </si>
  <si>
    <t>Emission of Hexaflouroethane</t>
  </si>
  <si>
    <t>kg C2F6</t>
  </si>
  <si>
    <t>GHG Emission (equivalent)</t>
  </si>
  <si>
    <t>Emissions from Soda Ash use associated with Aluminium production</t>
  </si>
  <si>
    <t>fraction</t>
  </si>
  <si>
    <t>Annual CO2 emissions from soda ash</t>
  </si>
  <si>
    <t>Emissions from lime production associated  with Aluminium production</t>
  </si>
  <si>
    <t xml:space="preserve">Annual CO2 emissions </t>
  </si>
  <si>
    <t xml:space="preserve">Tier 1 Method Emission Factors -CO2 from process emissions </t>
  </si>
  <si>
    <t>Process Emissions (CO2) from anode consumption - Prebake Technology</t>
  </si>
  <si>
    <t xml:space="preserve">Process Emissions (CO2) from anode consumption - Soderberg Technology </t>
  </si>
  <si>
    <t>Tier 1 Method Emission Factors - CF4</t>
  </si>
  <si>
    <t>VSS</t>
  </si>
  <si>
    <t>Tier 1 Method Emission Factors - C2F6</t>
  </si>
  <si>
    <t>Tier 2 Method Default Values for Slope Coefficient (SCF4)</t>
  </si>
  <si>
    <t>Tier 2 Method Default Values for Overvoltage Coefficient (OVC)</t>
  </si>
  <si>
    <t>(kg CF4/t al)/(mV)</t>
  </si>
  <si>
    <t>Tier 2 Method Default Values for Weight Fraction (C2F6/CF4)</t>
  </si>
  <si>
    <t>F C2F6/CF4</t>
  </si>
  <si>
    <t>GWP of CF4 and C2F6</t>
  </si>
  <si>
    <t>Form-E2</t>
  </si>
  <si>
    <t>Energy and Emission Form</t>
  </si>
  <si>
    <t>Section-A: General Details</t>
  </si>
  <si>
    <t xml:space="preserve"> Details</t>
  </si>
  <si>
    <t xml:space="preserve">Registration No </t>
  </si>
  <si>
    <t>Obligated Entity Name</t>
  </si>
  <si>
    <t>A4</t>
  </si>
  <si>
    <t>A5</t>
  </si>
  <si>
    <t>A6</t>
  </si>
  <si>
    <t>A7</t>
  </si>
  <si>
    <t>B. Production, Energy Consumption and Emission Details</t>
  </si>
  <si>
    <t>B1</t>
  </si>
  <si>
    <t>Production Details</t>
  </si>
  <si>
    <t>B2</t>
  </si>
  <si>
    <t xml:space="preserve">Energy Consumption and GHG Emissions Details </t>
  </si>
  <si>
    <t>Total Energy Consumption (Thermal + Electrical)</t>
  </si>
  <si>
    <t>Direct GHG Emissions (Energy related)</t>
  </si>
  <si>
    <t>Indirect GHG Emissions (Energy related)</t>
  </si>
  <si>
    <t>Direct GHG Emissions (Process related)</t>
  </si>
  <si>
    <t>Total Direct &amp; Indirect Emissions</t>
  </si>
  <si>
    <t>B3</t>
  </si>
  <si>
    <t>Specific Energy Consumption and Specific GHG Emission Details</t>
  </si>
  <si>
    <t xml:space="preserve"> i</t>
  </si>
  <si>
    <t>GHG Emissions Intensity (GEI)</t>
  </si>
  <si>
    <t>t CO2eq/Tonne</t>
  </si>
  <si>
    <t>I/we undertake that the information supplied in the Energy and Emission Form and Sector Specific Pro-forma is accurate to the best of my knowledge and the data furnished in Form E2 has been adhered to the data given in the concerned Sector Specific Pro-forma</t>
  </si>
  <si>
    <t>Name of the Obligated Entity:</t>
  </si>
  <si>
    <r>
      <t>FORM-Sa</t>
    </r>
    <r>
      <rPr>
        <b/>
        <color indexed="9"/>
        <family val="2"/>
        <vertAlign val="subscript"/>
        <sz val="20"/>
        <rFont val="Calibri"/>
      </rPr>
      <t xml:space="preserve">1 </t>
    </r>
    <r>
      <rPr>
        <b/>
        <color indexed="9"/>
        <family val="2"/>
        <sz val="20"/>
        <rFont val="Calibri"/>
      </rPr>
      <t>(Details of Production and Energy Consumption)</t>
    </r>
  </si>
  <si>
    <t>Sector: Aluminium Sector</t>
  </si>
  <si>
    <t xml:space="preserve">Sub Sector </t>
  </si>
  <si>
    <t xml:space="preserve">Major Product </t>
  </si>
  <si>
    <t xml:space="preserve">Section Links are available here </t>
  </si>
  <si>
    <t>Production Data</t>
  </si>
  <si>
    <t xml:space="preserve">Gaseous Fuel </t>
  </si>
  <si>
    <t>Chilled WaterImp/Exp</t>
  </si>
  <si>
    <t>Energy savings and Investmements</t>
  </si>
  <si>
    <t>Anode &amp; Cast House Production</t>
  </si>
  <si>
    <t>Electricity Consumption</t>
  </si>
  <si>
    <t>Renewables In-Pant</t>
  </si>
  <si>
    <t>Liquid Fuel</t>
  </si>
  <si>
    <t>Steam Imp/Exp</t>
  </si>
  <si>
    <t>Process Emissions</t>
  </si>
  <si>
    <t>Baseline Year(s)</t>
  </si>
  <si>
    <t xml:space="preserve">Current/Assessment /Target Year   </t>
  </si>
  <si>
    <t>Remarks</t>
  </si>
  <si>
    <t xml:space="preserve">Boundary Coverage for GHG emissions </t>
  </si>
  <si>
    <t>(a)</t>
  </si>
  <si>
    <t>Mining &amp; Raw Material Transportation (Quarring, Mining)</t>
  </si>
  <si>
    <t>Yes/No/Not Applicable</t>
  </si>
  <si>
    <t>(b)</t>
  </si>
  <si>
    <t>Fuel and Additives Preparatioin</t>
  </si>
  <si>
    <t>(c)</t>
  </si>
  <si>
    <t>Bauxite/Limestone Crusher and raw material preparation</t>
  </si>
  <si>
    <t>(d)</t>
  </si>
  <si>
    <t>Caustic Soda Production</t>
  </si>
  <si>
    <t>(e)</t>
  </si>
  <si>
    <t>Clacined Lime Production</t>
  </si>
  <si>
    <t>(f)</t>
  </si>
  <si>
    <t>Red Mud Handling System</t>
  </si>
  <si>
    <t>(g)</t>
  </si>
  <si>
    <t>Rotary Kiln or Fluidized Bed Calciner</t>
  </si>
  <si>
    <t>(h)</t>
  </si>
  <si>
    <t>Aluminium Floride Production</t>
  </si>
  <si>
    <t>Soda Ash Production</t>
  </si>
  <si>
    <t>(j)</t>
  </si>
  <si>
    <t>Anode/Cathode Production</t>
  </si>
  <si>
    <t>(k)</t>
  </si>
  <si>
    <t>Petroleum Coke Production</t>
  </si>
  <si>
    <t>(l)</t>
  </si>
  <si>
    <t>Molten Aluminium Handling and Ingot casting</t>
  </si>
  <si>
    <t>(m)</t>
  </si>
  <si>
    <t>Scrap Recycling</t>
  </si>
  <si>
    <t>(n)</t>
  </si>
  <si>
    <t>Internal Transportation (Process and Material)</t>
  </si>
  <si>
    <t>(o)</t>
  </si>
  <si>
    <t>On Site Power generation</t>
  </si>
  <si>
    <t>(p)</t>
  </si>
  <si>
    <t>Admin Buildings</t>
  </si>
  <si>
    <t>II</t>
  </si>
  <si>
    <t>Emissions Source Coverage</t>
  </si>
  <si>
    <t>Solid Fuel Combustion in CPP/CHP</t>
  </si>
  <si>
    <t>Liquid Fuel Combustion in CPP/CHP</t>
  </si>
  <si>
    <t>Gaseous Fuel Combustion in CPP/CHP</t>
  </si>
  <si>
    <t>Solid Fuel Combustion in Process (Refinery/Smelting)</t>
  </si>
  <si>
    <t>Liquid Fuel Combustion in Process (Refinery/Smelting)</t>
  </si>
  <si>
    <t>Gaseous Fuel Combustion in Process (Refinery/Smelting)</t>
  </si>
  <si>
    <t xml:space="preserve">Aluminium Smelting Process CO2 emissions </t>
  </si>
  <si>
    <t xml:space="preserve">PFC Emissions from Smelting </t>
  </si>
  <si>
    <t xml:space="preserve">Emissions from Coke Production </t>
  </si>
  <si>
    <t>Emission from melting and holding</t>
  </si>
  <si>
    <t>Emissions resulting from Soda Ash Use</t>
  </si>
  <si>
    <t xml:space="preserve"> Emissions from Lime Production </t>
  </si>
  <si>
    <t>Emission from Purchased Electricity</t>
  </si>
  <si>
    <t>Production Capacity (Hydrate Alumina)</t>
  </si>
  <si>
    <t>Annual Installed Capacity</t>
  </si>
  <si>
    <t>Production Capacity (Calcined Alumina)</t>
  </si>
  <si>
    <t>Total Hydrate Alumina Production</t>
  </si>
  <si>
    <t>Total Calcined Alumina  Production</t>
  </si>
  <si>
    <t>Red Mud Production (Waste Product)</t>
  </si>
  <si>
    <t>Capacity Utilization (Hydrate Alumina)</t>
  </si>
  <si>
    <t>[A1(iii) / A1(i)] X 100</t>
  </si>
  <si>
    <t>Capacity Utilization (Calcined Alumina)</t>
  </si>
  <si>
    <t>[A1(iv) / A1(ii)] X 100</t>
  </si>
  <si>
    <t>Production Capacity (Molten Aluminium)</t>
  </si>
  <si>
    <t>Production Capacity - Cast House</t>
  </si>
  <si>
    <t>Total Molten Aluminium  Production</t>
  </si>
  <si>
    <t>Total Production- Cast House</t>
  </si>
  <si>
    <t>Dross Production (Waste Product)</t>
  </si>
  <si>
    <t>Spent Liners Production (Waste Product)</t>
  </si>
  <si>
    <t>Capacity Utilization (Molten Aluminium)</t>
  </si>
  <si>
    <t>[A2(iii) / A2(i)] X 100</t>
  </si>
  <si>
    <t>Capacity Utillization (Cast House)</t>
  </si>
  <si>
    <t>[A2(iv) / A2(ii)] X 100</t>
  </si>
  <si>
    <t>Total Hydrated Alumina sold to Market (Export)</t>
  </si>
  <si>
    <t xml:space="preserve">Annual </t>
  </si>
  <si>
    <t>Total Hydrated Alumina purchased from Market for Calcined Alumina (Import)</t>
  </si>
  <si>
    <t>Opening stock of Hydrated alumina</t>
  </si>
  <si>
    <t>Closing stock of Hydrated alumina</t>
  </si>
  <si>
    <t>Thermal SEC of Hydrated Alumina</t>
  </si>
  <si>
    <t>Mkcal/Tonne</t>
  </si>
  <si>
    <t>Electrical SEC of  Hydrated Alumina</t>
  </si>
  <si>
    <t>kWh/Tonne</t>
  </si>
  <si>
    <t>Running Hours</t>
  </si>
  <si>
    <t>Hours</t>
  </si>
  <si>
    <t>Type of Digestion Technology</t>
  </si>
  <si>
    <t>Single/Double</t>
  </si>
  <si>
    <t>Number of Digestion Units</t>
  </si>
  <si>
    <t>No.</t>
  </si>
  <si>
    <t>Production Capacity of Digestion Units</t>
  </si>
  <si>
    <t>Specific Steam Consumption for Digestion</t>
  </si>
  <si>
    <t>Tonne of Steam/ Tonne of Hydrate Alumina</t>
  </si>
  <si>
    <t>Specific Power Consumption for Digestion</t>
  </si>
  <si>
    <t>Temperature of Low Temperature Digestion Units</t>
  </si>
  <si>
    <t>Deg C</t>
  </si>
  <si>
    <t>Pressure of Low Temperature Digestion Units</t>
  </si>
  <si>
    <r>
      <t>Kg/cm</t>
    </r>
    <r>
      <rPr>
        <color indexed="8"/>
        <family val="1"/>
        <vertAlign val="superscript"/>
        <sz val="11"/>
        <rFont val="Cambria"/>
      </rPr>
      <t>2</t>
    </r>
  </si>
  <si>
    <t>Temperature of High Temperature Digestion Units</t>
  </si>
  <si>
    <t>oC</t>
  </si>
  <si>
    <t>Pressure of High Temperature Digestion Units</t>
  </si>
  <si>
    <t>LP Steam Temperature</t>
  </si>
  <si>
    <t>LP steam Pressure</t>
  </si>
  <si>
    <t>LP Steam Enthalpy</t>
  </si>
  <si>
    <t>kcal/kg</t>
  </si>
  <si>
    <t xml:space="preserve">LP Steam Consumption </t>
  </si>
  <si>
    <t>MP Steam Temperature</t>
  </si>
  <si>
    <t>MP steam Pressure</t>
  </si>
  <si>
    <t>MP Steam Enthalpy</t>
  </si>
  <si>
    <t xml:space="preserve">MP Steam Consumption </t>
  </si>
  <si>
    <t>HP Steam Temperature</t>
  </si>
  <si>
    <t>HP steam Pressure</t>
  </si>
  <si>
    <t>HP Steam Enthalpy</t>
  </si>
  <si>
    <t xml:space="preserve">HP Steam Consumption </t>
  </si>
  <si>
    <t>Specific Steam Consumption for Evaporation</t>
  </si>
  <si>
    <t>Specific Power Consumption for Evaporation</t>
  </si>
  <si>
    <t>kWh/Tonne of hydrate Alumina</t>
  </si>
  <si>
    <t>Weighted average of Enthalpy</t>
  </si>
  <si>
    <t>Opening stock of Calcined alumina (Integrated Process)</t>
  </si>
  <si>
    <t>Closing stock of Calcined alumina (Integrated Process)</t>
  </si>
  <si>
    <t>Type of Calciner Technology</t>
  </si>
  <si>
    <t>Techonolgy</t>
  </si>
  <si>
    <t>Calcination Temperature</t>
  </si>
  <si>
    <t>Specific Power Consumption for calciner</t>
  </si>
  <si>
    <t>kWh/T</t>
  </si>
  <si>
    <t>Specific Thermal Consumption for calciner</t>
  </si>
  <si>
    <t>kcal/T</t>
  </si>
  <si>
    <t>Calcined Alumina Exported (Integrated Process)</t>
  </si>
  <si>
    <t>Calcined Alumina Imported (Intergated Process)</t>
  </si>
  <si>
    <t>Specific Thermal Energy Consumption of Calcined Alumina (Up to)</t>
  </si>
  <si>
    <t>Specific Electrical Energy Consumption of Calcined Alumina (Up to)</t>
  </si>
  <si>
    <t>kwh/Tonne</t>
  </si>
  <si>
    <t>Special Hydrate (Course)</t>
  </si>
  <si>
    <t>Installed Capacity</t>
  </si>
  <si>
    <t>Actual Production</t>
  </si>
  <si>
    <t>Thermal SEC</t>
  </si>
  <si>
    <t xml:space="preserve">Electrical SEC </t>
  </si>
  <si>
    <t>Special Hydrate (Micro Fined)</t>
  </si>
  <si>
    <t>Special Hydrate (Milled)</t>
  </si>
  <si>
    <t>Mcal/Tonne</t>
  </si>
  <si>
    <t>Special Alumina (Course)</t>
  </si>
  <si>
    <t>Special  Alumina (Micro Fined)</t>
  </si>
  <si>
    <t>Special Alumina (Milled)</t>
  </si>
  <si>
    <t>Other Production</t>
  </si>
  <si>
    <t>Product name</t>
  </si>
  <si>
    <t>Name</t>
  </si>
  <si>
    <t>Equivalent major Production during Cold Start</t>
  </si>
  <si>
    <t>Calciner  Operating Thermal SEC (Up to section product)</t>
  </si>
  <si>
    <t>kcal/kg equivalent major product</t>
  </si>
  <si>
    <t>Calciner Operating Electrical SEC (Up to section product)</t>
  </si>
  <si>
    <t>kWh/t equivalent major product</t>
  </si>
  <si>
    <t>Calciner Running Hours</t>
  </si>
  <si>
    <t>Calciner Hot to Cold stop due to external factor</t>
  </si>
  <si>
    <t>Nos</t>
  </si>
  <si>
    <t>Calciner Hot to Cold stop due to external factor  (Electrical Energy Consumption)</t>
  </si>
  <si>
    <t>Lakh kWh</t>
  </si>
  <si>
    <t>Calciner Cold to Hot start due to external factors</t>
  </si>
  <si>
    <t>Calciner Cold to Hot start due to external factors taking production into account (Electrical Energy Consumption)</t>
  </si>
  <si>
    <t>Calciner Cold to Hot start due to external factors taking production into account (Thermal Energy Consumption)</t>
  </si>
  <si>
    <t>Million kcal</t>
  </si>
  <si>
    <t xml:space="preserve">Calciner Cold to Hot start due to internal factors </t>
  </si>
  <si>
    <t xml:space="preserve">Thermal SEC  up to molten Aluminium  </t>
  </si>
  <si>
    <t>kcal/tonne Molten Aluminium</t>
  </si>
  <si>
    <t>Electrical SEC  up to molten Aluminium (Total AC)</t>
  </si>
  <si>
    <t>kWh/tonne Molten Aluminium</t>
  </si>
  <si>
    <t>Electrical SEC  up to molten Aluminium (Total DC)</t>
  </si>
  <si>
    <t>Total Calcined Alumina Consumed</t>
  </si>
  <si>
    <t>b.1</t>
  </si>
  <si>
    <t>Line 1</t>
  </si>
  <si>
    <t>Rated Capacity</t>
  </si>
  <si>
    <t>Total Molten Aluminium Production</t>
  </si>
  <si>
    <t>Smelting Technology</t>
  </si>
  <si>
    <t>Technology</t>
  </si>
  <si>
    <t>No of Operating Pots (NOP) [ based on operating pots weighted with  the time]</t>
  </si>
  <si>
    <t>No of Pots/Potline (NOPP)</t>
  </si>
  <si>
    <t>Dead pot voltage (DPV)</t>
  </si>
  <si>
    <t>Volts</t>
  </si>
  <si>
    <t>Design Pot Voltage (DnPV)</t>
  </si>
  <si>
    <t>Design Bus Bar Voltage Drop (DnBV)</t>
  </si>
  <si>
    <t>Design Current Efficiency of Pots (CE)</t>
  </si>
  <si>
    <t>Fraction</t>
  </si>
  <si>
    <t>DC Current Design</t>
  </si>
  <si>
    <t>Kilo Amp</t>
  </si>
  <si>
    <t>DC Current Actual</t>
  </si>
  <si>
    <t>Anode Effect</t>
  </si>
  <si>
    <t>No./Pot/Cell/ day</t>
  </si>
  <si>
    <t xml:space="preserve">Design DC Specific Power Consumption of pots </t>
  </si>
  <si>
    <t xml:space="preserve">Actual DC Specific Power Consumption of pots </t>
  </si>
  <si>
    <t>Alumina Consumption Factor</t>
  </si>
  <si>
    <t>Tonne of Alumina/Tonne of Molten Aluminum</t>
  </si>
  <si>
    <t>Carbon Consumption Factor</t>
  </si>
  <si>
    <t>Tonne of Carbon/Tonne of Molten Aluminum</t>
  </si>
  <si>
    <t>Line 2</t>
  </si>
  <si>
    <t>No of Operating Pots (NOP) Operating to be based on operating pots weighted with  the time</t>
  </si>
  <si>
    <t>Line 3</t>
  </si>
  <si>
    <t>No of Operating Pots (NOP) [based on operating pots weighted with  the time]</t>
  </si>
  <si>
    <t>Line 4</t>
  </si>
  <si>
    <t>Line 5</t>
  </si>
  <si>
    <t>Line 6</t>
  </si>
  <si>
    <t>Line 7</t>
  </si>
  <si>
    <t>Line 8</t>
  </si>
  <si>
    <r>
      <t xml:space="preserve">No of Operating Pots (NOP) </t>
    </r>
    <r>
      <rPr>
        <color indexed="8"/>
        <family val="1"/>
        <sz val="11"/>
        <rFont val="Cambria"/>
      </rPr>
      <t>[based on operating pots weighted with  the time]</t>
    </r>
  </si>
  <si>
    <r>
      <t>No of Pots</t>
    </r>
    <r>
      <rPr>
        <color indexed="8"/>
        <family val="1"/>
        <sz val="11"/>
        <rFont val="Cambria"/>
      </rPr>
      <t>/Potline (NOPP)</t>
    </r>
  </si>
  <si>
    <t>b.9</t>
  </si>
  <si>
    <t>Line 9</t>
  </si>
  <si>
    <t>b.10</t>
  </si>
  <si>
    <t>Line 10</t>
  </si>
  <si>
    <t>No./Pot/Cell/day</t>
  </si>
  <si>
    <t>b.11</t>
  </si>
  <si>
    <t>Line 11</t>
  </si>
  <si>
    <t>Actual Carbon Anode Production</t>
  </si>
  <si>
    <t>Capacity Utilisation</t>
  </si>
  <si>
    <t>Electrical SEC up to Carbon  Anode Production</t>
  </si>
  <si>
    <t>kWh/tonne of Carbon Anode Production</t>
  </si>
  <si>
    <t>Thermal SEC up to Carbon Anode Production</t>
  </si>
  <si>
    <t>kcal/tonne of Carbon Anode production</t>
  </si>
  <si>
    <t>Opening Stock of Carbon Anode</t>
  </si>
  <si>
    <t>Closing Stock of Carbon Anode</t>
  </si>
  <si>
    <t>Imported Carbon Anode</t>
  </si>
  <si>
    <t>Exported Carbon Anode</t>
  </si>
  <si>
    <t>Capacity</t>
  </si>
  <si>
    <t>Production</t>
  </si>
  <si>
    <t>Thermal SEC of Billets</t>
  </si>
  <si>
    <t>kcal/Tonne</t>
  </si>
  <si>
    <t>Electrical SEC of Billtes</t>
  </si>
  <si>
    <t>Thermal SEC of Ingots</t>
  </si>
  <si>
    <t>Electrical SEC of Ingots</t>
  </si>
  <si>
    <t>Thermal SEC of Bars</t>
  </si>
  <si>
    <t>Electrical SEC of Bars</t>
  </si>
  <si>
    <t>Thermal SEC of Alloys</t>
  </si>
  <si>
    <t>Electrical SEC of Alloys</t>
  </si>
  <si>
    <t>Thermal SEC of Wire Rod</t>
  </si>
  <si>
    <t>Electrical SEC of Wire Rod</t>
  </si>
  <si>
    <t>Thermal SEC of Strips</t>
  </si>
  <si>
    <t>Electrical SEC of Strips</t>
  </si>
  <si>
    <t xml:space="preserve">Thermal SEC </t>
  </si>
  <si>
    <t>Scrap Purchased</t>
  </si>
  <si>
    <t xml:space="preserve">Scrap Generated </t>
  </si>
  <si>
    <t>Scrap Used in Cast House</t>
  </si>
  <si>
    <t>Scrap %</t>
  </si>
  <si>
    <t>e1</t>
  </si>
  <si>
    <t>For Steam Generation</t>
  </si>
  <si>
    <t>e1.1</t>
  </si>
  <si>
    <t>Boiler 1</t>
  </si>
  <si>
    <t>Type</t>
  </si>
  <si>
    <t>TPH</t>
  </si>
  <si>
    <t xml:space="preserve">Total Steam Generation </t>
  </si>
  <si>
    <t>Running hours</t>
  </si>
  <si>
    <t>Hrs</t>
  </si>
  <si>
    <t>Coal Consumption</t>
  </si>
  <si>
    <t>GCV of Coal</t>
  </si>
  <si>
    <t>Annual Average</t>
  </si>
  <si>
    <t>kCal/kg</t>
  </si>
  <si>
    <t>Type of Fuel - 2 Name : Consumption</t>
  </si>
  <si>
    <t>GCV of any Fuel -2</t>
  </si>
  <si>
    <t>Type of Fuel - 3 Name : Consumption</t>
  </si>
  <si>
    <t>GCV of any Fuel -3</t>
  </si>
  <si>
    <t>Type of Fuel - 4 Name : Consumption</t>
  </si>
  <si>
    <t>GCV of any Fuel -4</t>
  </si>
  <si>
    <t>Feed water Temperature</t>
  </si>
  <si>
    <t>⁰C</t>
  </si>
  <si>
    <t>Operating Efficiency</t>
  </si>
  <si>
    <t>SH Steam outlet Pressure (Operating)</t>
  </si>
  <si>
    <t>kg/cm2</t>
  </si>
  <si>
    <t>SH Steam outlet Temperature (Operating)</t>
  </si>
  <si>
    <t>SH Steam Enthalpy (Operating)</t>
  </si>
  <si>
    <t>Design Efficiency</t>
  </si>
  <si>
    <t>Operating Capacity</t>
  </si>
  <si>
    <t>(iii)/(iv)</t>
  </si>
  <si>
    <t>Specific Energy Consumption</t>
  </si>
  <si>
    <t>[(v)x(vi)+(vii)x(viii)+(ix)x(x)+(xi)x(xii)]/(iii)</t>
  </si>
  <si>
    <t>kCal/kg of Steam</t>
  </si>
  <si>
    <t>Percentage of Coal Energy Used in steam Generation</t>
  </si>
  <si>
    <t>[(v)x(vi)]/[(v)x(vi)+(vii)x(viii)+(ix)x(x)+(xi)x(xii)]</t>
  </si>
  <si>
    <t>e1.2</t>
  </si>
  <si>
    <t>Boiler 2</t>
  </si>
  <si>
    <t>e1.3</t>
  </si>
  <si>
    <t>Boiler 3</t>
  </si>
  <si>
    <t>e.1.4</t>
  </si>
  <si>
    <t>Boiler 4</t>
  </si>
  <si>
    <t>e1.5</t>
  </si>
  <si>
    <t>Boiler 5</t>
  </si>
  <si>
    <t>Total Steam Generation (Process Boiler)</t>
  </si>
  <si>
    <t>e.1.1(iii) + e.1.2(iii) + e.1.3(iii) + e.1.4(iii) + e.1.5.(iii)</t>
  </si>
  <si>
    <t>Tonnes</t>
  </si>
  <si>
    <t>Total Operating Efficiency of Boiler (Process Boiler)</t>
  </si>
  <si>
    <t>Weighted average of all 5 boilers</t>
  </si>
  <si>
    <t>Total Operating Capacity of Boilers (Process Boiler)</t>
  </si>
  <si>
    <t>e.1.1(xix) + e.1.2(xix) + e.1.3(xix) + e.1.4(xix) + e.1.5.(xix)</t>
  </si>
  <si>
    <t>Weighted Specific Energy Cosumption (Process Boiler)</t>
  </si>
  <si>
    <t>Weighted Percentage of Coal Energy Used in steam Generation (Process Boiler)</t>
  </si>
  <si>
    <t>e2.1</t>
  </si>
  <si>
    <t>Boiler 6</t>
  </si>
  <si>
    <t>Co-Gen</t>
  </si>
  <si>
    <t>e2.2</t>
  </si>
  <si>
    <t>Boiler 7</t>
  </si>
  <si>
    <t>e2.3</t>
  </si>
  <si>
    <t>Boiler 8</t>
  </si>
  <si>
    <t>e2.4</t>
  </si>
  <si>
    <t>Boiler 9</t>
  </si>
  <si>
    <t>e2.5</t>
  </si>
  <si>
    <t>Boiler 10</t>
  </si>
  <si>
    <t>For Steam Generation Boiler</t>
  </si>
  <si>
    <t>Total Steam Generation (Cogen Boiler)</t>
  </si>
  <si>
    <t>e.2.1(iii) + e.2.2(iii) + e.2.3(iii) + e.2.4(iii) + e.2.5.(iii)</t>
  </si>
  <si>
    <t>Total Operating Efficiency of Boiler (Cogen Boiler)</t>
  </si>
  <si>
    <t>Total Operating Capacity of Boilers (Cogen Boiler)</t>
  </si>
  <si>
    <t>e.2.1(xix) + e.2.2(xix) + e.2.3(xix) + e.2.4(xix) + e.2.5.(xix)</t>
  </si>
  <si>
    <t>Weighted Specific Energy Cosumption (Cogen Boiler)</t>
  </si>
  <si>
    <t>Weighted Percentage of Coal Energy Used in steam Generation (Cogen Boiler)</t>
  </si>
  <si>
    <t>Weighted Boiler Efficiency for Boilers 1-10</t>
  </si>
  <si>
    <t>Weighted average of all 10 boilers</t>
  </si>
  <si>
    <t xml:space="preserve">Electricity Consumption </t>
  </si>
  <si>
    <t>Electricity through Grid / Other (Including colony and others)</t>
  </si>
  <si>
    <t>Purchased Electricity from grid (DISCOM)</t>
  </si>
  <si>
    <t xml:space="preserve">Renewable Electricity On-Shore Wind and Solar (Through Wheeling) </t>
  </si>
  <si>
    <t xml:space="preserve">Renewable Electricity Hydro (Through Wheeling) </t>
  </si>
  <si>
    <t>Renewable Electricity Municipal Solid Waste (MSW) and nonfossil fuel-based cogeneration (Through Wheeling)</t>
  </si>
  <si>
    <t xml:space="preserve">Renewable Electricity Biomass and Biofuel (Through Wheeling) </t>
  </si>
  <si>
    <t xml:space="preserve">Renewable Electricty through dedicated line </t>
  </si>
  <si>
    <t>Electricity from CPP located outside from plant boundary (Through Wheeling) (Independent Power Producer-IPP)</t>
  </si>
  <si>
    <t>Net Heat Rate CPP located outside from plant boundary (Through Wheeling)</t>
  </si>
  <si>
    <t>kcal/kwh</t>
  </si>
  <si>
    <t>Grid Emission factor</t>
  </si>
  <si>
    <t>T CO2/MWh</t>
  </si>
  <si>
    <t>Emission factor for CPP located outside plant boundary</t>
  </si>
  <si>
    <t>Renewable Purchase Obligation of Sector (RPO) (Non Fossil) notified by MoP SO 4617 ( E)</t>
  </si>
  <si>
    <t xml:space="preserve">Renewable Purchase obligation of plant (RPO) (Solar &amp; Non-Solar) </t>
  </si>
  <si>
    <t>Renewable Energy generator as approved by MNRE</t>
  </si>
  <si>
    <t xml:space="preserve">Quantum of Renewable Energy Certificates (REC) obtained as a Renewal Energy Generator (Solar &amp; Non-Solar) </t>
  </si>
  <si>
    <t>MWh</t>
  </si>
  <si>
    <t>Quantum of Energy sold under preferential tariff</t>
  </si>
  <si>
    <t xml:space="preserve">Plant Connected Load </t>
  </si>
  <si>
    <t>kW</t>
  </si>
  <si>
    <t>Contract Demand with utility</t>
  </si>
  <si>
    <t xml:space="preserve">kVA </t>
  </si>
  <si>
    <t>Notified Baseline GHG Emission Intensity</t>
  </si>
  <si>
    <t>CO2e/Tonnes</t>
  </si>
  <si>
    <t>Notified Target GHG Emission Intensity</t>
  </si>
  <si>
    <t xml:space="preserve">Saving Target in TOE/ton of product as per PAT scheme Notification </t>
  </si>
  <si>
    <t>TOE/Tonnes</t>
  </si>
  <si>
    <t>Equivalent Major Product Output in tonnes as  Notification</t>
  </si>
  <si>
    <t>Total Electricity  Purchased from grid/ Other</t>
  </si>
  <si>
    <t>B.1 (i) + B.1 (ii) + B.1 (iii)</t>
  </si>
  <si>
    <t>Total Electricity  Purchased from grid/ Other with out colony/construction  power etc</t>
  </si>
  <si>
    <t>If(B.1(xvi)&gt;b.5, B.1(xvi)-b.5 otherwise 0)</t>
  </si>
  <si>
    <t>Equivalent Thermal Energy of Purchased Electricity from Grid / Other without colony/construction power etc</t>
  </si>
  <si>
    <t>B.1(xvii)x860/10</t>
  </si>
  <si>
    <t>Equivalent Thermal Energy of Purchased Electricity from CPP located outside from Plant boundary</t>
  </si>
  <si>
    <t>Total Renewable Energy purchased from Grid (Wheeling)</t>
  </si>
  <si>
    <t>Indirect GHG Emissions from Purchased Electricity - Grid</t>
  </si>
  <si>
    <t>C.1 (i) *100* C.1 (iv)</t>
  </si>
  <si>
    <t>Inidrect GHG Emissions from Purchased electricity (CPP outside boundary) [Through Wheeling &amp; Dedicated line]</t>
  </si>
  <si>
    <t>C.1 (iii) *100* C.1 (v)</t>
  </si>
  <si>
    <t>Total Indirect GHG Emissions from purchased electricity</t>
  </si>
  <si>
    <t>C.1 (xix) + C.1 (xx)</t>
  </si>
  <si>
    <t>B.2</t>
  </si>
  <si>
    <t xml:space="preserve">Own Generation </t>
  </si>
  <si>
    <t>b.2.1</t>
  </si>
  <si>
    <t>Through Diesel Generator (DG) sets</t>
  </si>
  <si>
    <t xml:space="preserve">Grid Connected </t>
  </si>
  <si>
    <t>Yes/No</t>
  </si>
  <si>
    <t>NO</t>
  </si>
  <si>
    <t>Install Capacity</t>
  </si>
  <si>
    <t>Annual generation</t>
  </si>
  <si>
    <t>Gross Unit Generation</t>
  </si>
  <si>
    <t>Lakh kWH</t>
  </si>
  <si>
    <t xml:space="preserve"> Annual Fuel Consumption</t>
  </si>
  <si>
    <t>(FO/LDO/HSD/HSHS/LSHS)</t>
  </si>
  <si>
    <t>Kilo litre</t>
  </si>
  <si>
    <t>Average density of fuel</t>
  </si>
  <si>
    <t>kg/lit</t>
  </si>
  <si>
    <t>Auxiliary Power Consumption</t>
  </si>
  <si>
    <t>Designed Gross Heat Rate of DG Set</t>
  </si>
  <si>
    <t>Operating Heat Rate</t>
  </si>
  <si>
    <t>b.2.2</t>
  </si>
  <si>
    <t>Through Steam turbine/ generator   (Please Fill Attachment)</t>
  </si>
  <si>
    <t>Gross Unit generation</t>
  </si>
  <si>
    <t xml:space="preserve">Gross Design Heat Rate </t>
  </si>
  <si>
    <t>kcal/ kWh</t>
  </si>
  <si>
    <r>
      <t xml:space="preserve">Operating </t>
    </r>
    <r>
      <rPr>
        <color indexed="8"/>
        <family val="1"/>
        <sz val="11"/>
        <rFont val="Cambria"/>
      </rPr>
      <t>Gross Heat Rate</t>
    </r>
  </si>
  <si>
    <t>b.2.3</t>
  </si>
  <si>
    <t>No</t>
  </si>
  <si>
    <t>Plant Load Factor (PLF)</t>
  </si>
  <si>
    <t>b.2.4</t>
  </si>
  <si>
    <t>Through Waste Heat Recovery</t>
  </si>
  <si>
    <t xml:space="preserve">WHR Installed Capacity </t>
  </si>
  <si>
    <t xml:space="preserve">Annual Generation </t>
  </si>
  <si>
    <t>WHR Running Hours</t>
  </si>
  <si>
    <t>b.2.5</t>
  </si>
  <si>
    <t>Grid Connected</t>
  </si>
  <si>
    <t>Annual Gross Unit generation</t>
  </si>
  <si>
    <t xml:space="preserve">Design Heat Rate </t>
  </si>
  <si>
    <t>Input Steam</t>
  </si>
  <si>
    <t>Input Steam Enthalpy</t>
  </si>
  <si>
    <t>Input Steam Pressure</t>
  </si>
  <si>
    <t>Kg/cm2</t>
  </si>
  <si>
    <t>Input Steam Temperature</t>
  </si>
  <si>
    <t xml:space="preserve">Input Steam Flow </t>
  </si>
  <si>
    <t>Steam Extraction 1</t>
  </si>
  <si>
    <t>Steam Pressure</t>
  </si>
  <si>
    <t>Steam Temperature</t>
  </si>
  <si>
    <t>Steam Enthalpy</t>
  </si>
  <si>
    <t>Kcal/kg</t>
  </si>
  <si>
    <t xml:space="preserve">Mass Flow </t>
  </si>
  <si>
    <t>Steam Extraction 2</t>
  </si>
  <si>
    <t>Thermal energy used in process</t>
  </si>
  <si>
    <t>[b2.5 (xiii) x b2.5 (xiv) +b2.5 (xviii) x b2.5 (xix)]/1000</t>
  </si>
  <si>
    <t>Thermal energy used in Power</t>
  </si>
  <si>
    <t>[b2.5 (vii) x b2.5 (x)]/1000 -b2.5 (xx)</t>
  </si>
  <si>
    <t>% of thermal energy in Process</t>
  </si>
  <si>
    <t>b2.5(xx) x1000/[b2.5 (vii) x b2.5 (x)]</t>
  </si>
  <si>
    <t>Factor</t>
  </si>
  <si>
    <t>b.2.6</t>
  </si>
  <si>
    <t>[b2.6(xiii) x b2.6(xiv) +b2.6(xviii) x b2.6 (xix)]/1000</t>
  </si>
  <si>
    <t>[b2.6 (vii) x b2.6 (x)]/1000 -b2.6 (xx)</t>
  </si>
  <si>
    <t>b2.6(xx) x1000/[b2.6 (vii) x b2.6 (x)]</t>
  </si>
  <si>
    <t>Total % of thermal energy in Process from Cogen</t>
  </si>
  <si>
    <t>[b2.5 (xx) +b.2.6 (xx)]/[{b.2.6(xxi)+b.2.5(xxi)}+{b2.5 (xx) +b.2.6 (xx)}]</t>
  </si>
  <si>
    <t>b2.7</t>
  </si>
  <si>
    <t>Electricity through dedicated Line from Captive Power Plant (CPP)</t>
  </si>
  <si>
    <t>Power Wheeled through a dedicated line</t>
  </si>
  <si>
    <t xml:space="preserve">Gross Heat Rate of wheeled Electricity from dedicated line </t>
  </si>
  <si>
    <t xml:space="preserve">Net Heat Rate of wheeled Electricity from dedicated line </t>
  </si>
  <si>
    <t>t CO2/MWh</t>
  </si>
  <si>
    <t>Inidrect GHG Emissions from Purchased electricity (CPP outside boundary)</t>
  </si>
  <si>
    <t>tCO2</t>
  </si>
  <si>
    <t>Total Energy Consumed</t>
  </si>
  <si>
    <t>C2.6 (ii) x C.2.6 (iii)/10</t>
  </si>
  <si>
    <t>Installed Capacity (Including Solar Roof top)</t>
  </si>
  <si>
    <t>Annual gross generation</t>
  </si>
  <si>
    <t>Average Wind Speed</t>
  </si>
  <si>
    <t>Total Captive Renewable Energy (In Plant)-from all sources</t>
  </si>
  <si>
    <t>Total Renewable Energy (through Wheeling)-from all sources</t>
  </si>
  <si>
    <t>Total Renewable Energy (In plant &amp; through Wheeling)-from all sources</t>
  </si>
  <si>
    <t>Total Own Generation of Electricity</t>
  </si>
  <si>
    <t>B.2.1.(iii)+B.2.2.(iii)+B.2.3.(iii)+B.2.4.(ii)+B.2.5(iii)+B.2.6(iii)</t>
  </si>
  <si>
    <t>Emission Factor for Power Generation</t>
  </si>
  <si>
    <t>g CO2/kcal</t>
  </si>
  <si>
    <t>Electricity Supplied to Grid/others</t>
  </si>
  <si>
    <t>Electricity Supplied to Colony/others</t>
  </si>
  <si>
    <t>Electricity Supplied to Grid/Colony/others</t>
  </si>
  <si>
    <t>B.4+[If B.5 &gt; B.1(xvi) then (B.5-B.1(xvi))]</t>
  </si>
  <si>
    <t>Equivalent Thermal Energy supplied to grid/others</t>
  </si>
  <si>
    <t>B.6*2717/10</t>
  </si>
  <si>
    <t>Total Electricity Consumed in Process &amp; Axiliaries</t>
  </si>
  <si>
    <t>if(b.5&gt;B.1.(xvi) then (B.3-B.4)-(B.5-B.1.(xvi) otherwise B.1.(xvii)-b.3-b.4</t>
  </si>
  <si>
    <t>Emission factor for in-plant generation</t>
  </si>
  <si>
    <t xml:space="preserve">t CO2/MWh </t>
  </si>
  <si>
    <t>Emission factor for colony power export &amp; Intermediary product (Grid import/IPP import)</t>
  </si>
  <si>
    <t>Emission to be adjusted for export to grid</t>
  </si>
  <si>
    <t xml:space="preserve">Emission to be adjusted for export to colony </t>
  </si>
  <si>
    <t>Total emission to be adjusted</t>
  </si>
  <si>
    <t>C.1</t>
  </si>
  <si>
    <t>Coal (Indian)</t>
  </si>
  <si>
    <t>Landed Cost of fuel (Last purchase)</t>
  </si>
  <si>
    <t>Basic Cost+Taxes+Freight</t>
  </si>
  <si>
    <t>Rs/Tonne</t>
  </si>
  <si>
    <t>Average Gross calorific value (As Fired Basis)</t>
  </si>
  <si>
    <t>kcal/ kg</t>
  </si>
  <si>
    <t xml:space="preserve">Average Net Calorific Value </t>
  </si>
  <si>
    <t>Average Total Moisture in coal (As received Basis)</t>
  </si>
  <si>
    <t>% Carbon in Fuel</t>
  </si>
  <si>
    <t>% Oxidation Factor</t>
  </si>
  <si>
    <t xml:space="preserve">Quantity purchased </t>
  </si>
  <si>
    <t>Quantity used for power generation in Captive Power Plant (CPP)</t>
  </si>
  <si>
    <t>Quantity used for power generation (Co-Generation)</t>
  </si>
  <si>
    <t xml:space="preserve">Quantity used for process </t>
  </si>
  <si>
    <t xml:space="preserve">Emission Factor for Coal </t>
  </si>
  <si>
    <t>g CO2eq/kCal</t>
  </si>
  <si>
    <t>Total Quantity Consumed</t>
  </si>
  <si>
    <t>(v)+(vi)+(vii)</t>
  </si>
  <si>
    <t>Thermal Energy Used in Power Generation (CPP)</t>
  </si>
  <si>
    <t>(v)x(ii)/1000</t>
  </si>
  <si>
    <t>Thermal Energy Used in Power Generation  (Co-Generation)</t>
  </si>
  <si>
    <t>(vi)x(ii)/1000</t>
  </si>
  <si>
    <t>Thermal Energy Used in Process</t>
  </si>
  <si>
    <t>(vii)x(ii)/1000</t>
  </si>
  <si>
    <t>Thermal Energy Used in Power Generation</t>
  </si>
  <si>
    <t>GHG Emissions from Power Generation (CPP)</t>
  </si>
  <si>
    <t>t CO2eq</t>
  </si>
  <si>
    <t>GHG Emissions from Power Generation (Co-Generation)</t>
  </si>
  <si>
    <t xml:space="preserve">GHG Emissions from Process </t>
  </si>
  <si>
    <t>C.2</t>
  </si>
  <si>
    <t>Petcoke/Carbon</t>
  </si>
  <si>
    <t>Average Gross calorific value (As fired basis)</t>
  </si>
  <si>
    <t>Average Net calorific value</t>
  </si>
  <si>
    <t>% Carbon in fuel</t>
  </si>
  <si>
    <t>Quantity used for power generation (CPP)</t>
  </si>
  <si>
    <t>Quantity used for power generation (Co-Generation)(Co-Gen)</t>
  </si>
  <si>
    <t>Emission Factor for Pet Coke</t>
  </si>
  <si>
    <t>(ii)x(v)/1000</t>
  </si>
  <si>
    <t xml:space="preserve">Thermal Energy Used in Power Generation (Co-Generation) </t>
  </si>
  <si>
    <t>(ii)x(vi)/1000</t>
  </si>
  <si>
    <t>(ii)x(vii)/1000</t>
  </si>
  <si>
    <t>GHG Emissions from Power Generaton (Cogeneration)</t>
  </si>
  <si>
    <t>C.3</t>
  </si>
  <si>
    <t>Coal(Imported)</t>
  </si>
  <si>
    <t>Average Gross calorific value (As fired Basis)</t>
  </si>
  <si>
    <t>(iiI)</t>
  </si>
  <si>
    <t xml:space="preserve">% Carbon in fuel </t>
  </si>
  <si>
    <t xml:space="preserve">% oxidation factor </t>
  </si>
  <si>
    <t>Quantity used for power generation (Co-Gen)</t>
  </si>
  <si>
    <t xml:space="preserve">Emission Factor for coal </t>
  </si>
  <si>
    <t>Thermal Energy Used in Power Generation (co-gen )</t>
  </si>
  <si>
    <t>(xiii)+(xiv)+(xv)</t>
  </si>
  <si>
    <t>C.4</t>
  </si>
  <si>
    <t>Coal(lignite)</t>
  </si>
  <si>
    <t xml:space="preserve">% Carbon in Fuel </t>
  </si>
  <si>
    <t xml:space="preserve">Emission Factor for lignite </t>
  </si>
  <si>
    <t>C.5</t>
  </si>
  <si>
    <t>Other Solid Fuels</t>
  </si>
  <si>
    <t>% Oxidation factor</t>
  </si>
  <si>
    <t xml:space="preserve">Emission Factor </t>
  </si>
  <si>
    <t>(xiii)+(xiv)</t>
  </si>
  <si>
    <t>Average Gross calorific value as fired</t>
  </si>
  <si>
    <t>% Carbon (Non-Fossil)</t>
  </si>
  <si>
    <t xml:space="preserve">% Oxidation factor </t>
  </si>
  <si>
    <t>Non-Fossil - Emission Factor</t>
  </si>
  <si>
    <t>g CO2/kCal</t>
  </si>
  <si>
    <t>CH4 Emission Factor</t>
  </si>
  <si>
    <t>N2O Emission Factor</t>
  </si>
  <si>
    <t>(xv)+(xvi)+(xvii)</t>
  </si>
  <si>
    <t>GHG Emissions from Power Generation (CPP) - Non-Fossil</t>
  </si>
  <si>
    <t>GHG Emissions from Power Generaton (Cogeneration) - Non-Fossil</t>
  </si>
  <si>
    <t>GHG Emissions from Process -Non-Fossil</t>
  </si>
  <si>
    <t>GHG Emissions from Biomass Use - Fossil (CH4 and N2O)</t>
  </si>
  <si>
    <t>Solid Waste (pl. specify and refer CPCB guidelines) rubber tyres chips, Municipal Solid waste etc.</t>
  </si>
  <si>
    <t>Average Total Moisture in fuel (As received Basis)</t>
  </si>
  <si>
    <t>% Carbon in fuel (Fossil)</t>
  </si>
  <si>
    <t>% Carbon in fuel (Non-Fossil)</t>
  </si>
  <si>
    <t xml:space="preserve">% Oxidation Factor </t>
  </si>
  <si>
    <t>Quantity used for process heating</t>
  </si>
  <si>
    <t>Fossil - Emission Factor</t>
  </si>
  <si>
    <t xml:space="preserve">CH4 Emission Factor </t>
  </si>
  <si>
    <t>GHG Emissions from Power Generation (CPP) -Fossil</t>
  </si>
  <si>
    <t>GHG Emissions from Power Generaton (Cogeneration) -Fossil</t>
  </si>
  <si>
    <t>GHG Emissions from Process -Fossil</t>
  </si>
  <si>
    <t>GHG Emissions from Solid Waste  use (CH4 and N2O)</t>
  </si>
  <si>
    <t>C.1(ix)+C.2(ix)+C.3(ix)+C.4(ix)+C.5(ix)+C.6(ix)+C.7(ix)</t>
  </si>
  <si>
    <t>if, b.2.5 (i) or b.2.6 (i) is yes then C.1(x)+C.2(x)+C.3(x)+C.4(x)+C.5(x)+[C.6(x) x (1-b.2.6 (xxiii)]+[C.7(x)x(1-b.2.6 (xxiii)] otherwsie C.1(x)+C.2(x)+C.3(x)+C.4(x)+C.5(x)</t>
  </si>
  <si>
    <t>Total Solid Energy Used in Process</t>
  </si>
  <si>
    <t>C.1(xi)+C.2(xi)+C.3(xi)+C.4(xi)+C.5(xi)</t>
  </si>
  <si>
    <t>C.11</t>
  </si>
  <si>
    <t>C.12</t>
  </si>
  <si>
    <t>C.13</t>
  </si>
  <si>
    <t>C.14</t>
  </si>
  <si>
    <t>C.15</t>
  </si>
  <si>
    <t>C.16</t>
  </si>
  <si>
    <t>C.17</t>
  </si>
  <si>
    <t xml:space="preserve">Total GHG Emissions from fossil fuel use </t>
  </si>
  <si>
    <t>C.18</t>
  </si>
  <si>
    <t xml:space="preserve">Total GHG Emissions from Non fossil fuel use </t>
  </si>
  <si>
    <t>Gross calorific value</t>
  </si>
  <si>
    <t>Net calorific value</t>
  </si>
  <si>
    <t>Quantity purchased</t>
  </si>
  <si>
    <t>kilo Litre</t>
  </si>
  <si>
    <t xml:space="preserve">Average Density </t>
  </si>
  <si>
    <t>kg/ltr</t>
  </si>
  <si>
    <t xml:space="preserve">Oxidation Factor </t>
  </si>
  <si>
    <t>Quantity used for power generation (DG Set)</t>
  </si>
  <si>
    <t xml:space="preserve">GHG Emission Factor </t>
  </si>
  <si>
    <t>Total F. Oil Consumption as fuel</t>
  </si>
  <si>
    <t>((v)+(vi)+(vii)+(viii)) x(iv)</t>
  </si>
  <si>
    <t>Thermal Energy Used in Power Generation (DG Set)</t>
  </si>
  <si>
    <t>[((v))x(ii)]x(iv)/1000</t>
  </si>
  <si>
    <t>[((vi))x(ii)]x(iv)/1000</t>
  </si>
  <si>
    <t>[((vii))x(ii)]x(iv)/1000</t>
  </si>
  <si>
    <t>[((viii))x(ii)]x(iv)/1000</t>
  </si>
  <si>
    <t>GHG Emissions from Power Generation (DG Set)</t>
  </si>
  <si>
    <t>D.2</t>
  </si>
  <si>
    <t>Low Sulphur Heavy Stock (LSHS)</t>
  </si>
  <si>
    <t>GHG Emission Factor</t>
  </si>
  <si>
    <t>Total LSHS Consumption as fuel</t>
  </si>
  <si>
    <t>(iv)+(v)+(vi)+(vii)</t>
  </si>
  <si>
    <t>[((iv))x(ii)]/1000</t>
  </si>
  <si>
    <t>[((v))x(ii)]/1000</t>
  </si>
  <si>
    <t>[((vi))x(ii)]/1000</t>
  </si>
  <si>
    <t>[((vii))x(ii)]/1000</t>
  </si>
  <si>
    <t>(xii)+(xiii)+(xiv)</t>
  </si>
  <si>
    <t>D.3</t>
  </si>
  <si>
    <t>High Sulphur Heavy Stock (HSHS)</t>
  </si>
  <si>
    <t>Oxidation Factor</t>
  </si>
  <si>
    <t>g CO2eq/kcal</t>
  </si>
  <si>
    <t>Total HSHS Consumption as fuel</t>
  </si>
  <si>
    <t>[(xii)+(xiii)+(xiv)]</t>
  </si>
  <si>
    <t>D.4</t>
  </si>
  <si>
    <t>High Speed Diesel (HSD)</t>
  </si>
  <si>
    <t>Average Density</t>
  </si>
  <si>
    <t>kg/litre</t>
  </si>
  <si>
    <t>Quantity used for material handling / Transportation (Raw material handling , Loco, etc)</t>
  </si>
  <si>
    <t>Total HSD Consumption as fuel</t>
  </si>
  <si>
    <t>[(v)+(vi)+(vii)+(viii)+(ix)]x(iv)</t>
  </si>
  <si>
    <t>[((v))x(iv)]x(ii)/1000</t>
  </si>
  <si>
    <t>[((vi))x(iv)]x(ii)/1000</t>
  </si>
  <si>
    <t>Thermal Energy Used in Power Generation (Co-Gen)</t>
  </si>
  <si>
    <t>[((vii))x(iv)]x(ii)/1000</t>
  </si>
  <si>
    <t>[((viii)+(ix))x(iv)x(ii)/1000</t>
  </si>
  <si>
    <t>[D.4(xv)+D.4(xvi)+ D.4(xvii)]</t>
  </si>
  <si>
    <t>D.5</t>
  </si>
  <si>
    <t>Light Diesel Oil (LDO)</t>
  </si>
  <si>
    <t>Total LDO Consumption as fuel</t>
  </si>
  <si>
    <t>% Oxdiation factor</t>
  </si>
  <si>
    <t xml:space="preserve">% C Fossil  fraction </t>
  </si>
  <si>
    <t>% C Non Fossil fraction</t>
  </si>
  <si>
    <t>Fossil Emission Factor</t>
  </si>
  <si>
    <t>Non Fossil Emission Factor</t>
  </si>
  <si>
    <t>Total Liquid waste Consumption as fuel</t>
  </si>
  <si>
    <t>[(v)+(vi)+(vii)+(viii)]x(iv)</t>
  </si>
  <si>
    <t>[((ix))x(iv)]x(ii)/1000</t>
  </si>
  <si>
    <t>GHG Emissions from Power Generation (DG set ) -Fossil</t>
  </si>
  <si>
    <t>GHG Emissions from Power Generation (DG set ) -Non-Fossil</t>
  </si>
  <si>
    <t>GHG Emissions from Power Generation (CPP) -Non-Fossil</t>
  </si>
  <si>
    <t>GHG Emissions from Power Generaton (Cogeneration) -Non-Fossil</t>
  </si>
  <si>
    <t>Total Liquid Energy Used in Power Generation (DG Set)</t>
  </si>
  <si>
    <t>D.1.(x)+D.2.(ix)+D.3.(ix)+D.4.(xi)+D.5.(xi) +D.6.(x)</t>
  </si>
  <si>
    <t>Total Liquid Energy Used in Power Generation (CPP)</t>
  </si>
  <si>
    <t>D.1.(xi)+D.2.(x)+D.3.(x)+D.4.(xii)+D.5.(xii) +D.6.(xi)</t>
  </si>
  <si>
    <t>Total Liquid Energy Used in Power Generation (Co-Gen)</t>
  </si>
  <si>
    <t>D.1.(xii)+D.2.(xi)+D.3.(xi)+D.4.(xiii)+D.5.(xiii) +[D.6.(xii) x (1-b.2.6 (xxiii)]</t>
  </si>
  <si>
    <t>Total Liquid Energy Used in Process</t>
  </si>
  <si>
    <t xml:space="preserve">D.1.(xiii)+D.2.(xii)+D.3.(xii)+D.4.(xiv)+D.5.(xiv) </t>
  </si>
  <si>
    <t>D.11</t>
  </si>
  <si>
    <t xml:space="preserve">GHG Emissions from Power Generation (DG set) - Non-Fossil </t>
  </si>
  <si>
    <t>D.19</t>
  </si>
  <si>
    <t>D.20</t>
  </si>
  <si>
    <t>Total GHG Emisison from Liquid fuel consumption -fossil</t>
  </si>
  <si>
    <t>D.21</t>
  </si>
  <si>
    <t>Total GHG Emisison from Liquid fuel consumption -Non fossil</t>
  </si>
  <si>
    <t>Rs/SCM</t>
  </si>
  <si>
    <t xml:space="preserve">Gross calorific value </t>
  </si>
  <si>
    <t>kcal/SCM</t>
  </si>
  <si>
    <t>Million SCM</t>
  </si>
  <si>
    <t>Quantity used for power generation</t>
  </si>
  <si>
    <t>Quantity used for transportation, if any</t>
  </si>
  <si>
    <t>Emission Factor</t>
  </si>
  <si>
    <t>Total CNG Consumption as fuel</t>
  </si>
  <si>
    <t>(iv)+(v) + (vi)</t>
  </si>
  <si>
    <t>(iv)x(ii)</t>
  </si>
  <si>
    <t>((v) + (vi))x(ii)</t>
  </si>
  <si>
    <t xml:space="preserve">GHG Emisison from Power Generation </t>
  </si>
  <si>
    <t>GHG Emissions from process heating</t>
  </si>
  <si>
    <t>Rs/kg</t>
  </si>
  <si>
    <t>Oxidation factor</t>
  </si>
  <si>
    <t>Million kg</t>
  </si>
  <si>
    <t>Total LPG Consumption as fuel</t>
  </si>
  <si>
    <t>(iv) + (v)</t>
  </si>
  <si>
    <t>(v)x(ii)</t>
  </si>
  <si>
    <t>GHG Emission from Power Generation</t>
  </si>
  <si>
    <t>GHG Emissions from Process heating</t>
  </si>
  <si>
    <t>Total Gaseous Energy Used in Power Generation</t>
  </si>
  <si>
    <t>E.1.(viii)+E.2.(vii)</t>
  </si>
  <si>
    <t>Total Gaseous Energy Used in Process</t>
  </si>
  <si>
    <t>E.1.(xi)+E.2.(viii)</t>
  </si>
  <si>
    <t>E.5</t>
  </si>
  <si>
    <t xml:space="preserve">Total Emission from Power Generation </t>
  </si>
  <si>
    <t xml:space="preserve">E.6 </t>
  </si>
  <si>
    <t>Total Emissions from Process Heating</t>
  </si>
  <si>
    <t>Total GHG Emission from Gasesous fuel consumption-Fossil</t>
  </si>
  <si>
    <t>F.5.1</t>
  </si>
  <si>
    <t>F.5.1.1</t>
  </si>
  <si>
    <t>LP Steam Import</t>
  </si>
  <si>
    <t>Landed Cost of steam (Last purchase)</t>
  </si>
  <si>
    <t>Rs/tonne</t>
  </si>
  <si>
    <t>LP Steam Energy</t>
  </si>
  <si>
    <t>LP Steam Quantity purchased</t>
  </si>
  <si>
    <t>Average Tempertaure</t>
  </si>
  <si>
    <t>Average Pressure</t>
  </si>
  <si>
    <t>bar</t>
  </si>
  <si>
    <t>Emission Factor for LP Steam</t>
  </si>
  <si>
    <t>kg CO2/kCal</t>
  </si>
  <si>
    <t>Thermal Energy Imported for LP Steam</t>
  </si>
  <si>
    <t>(ii)x(iii)/1000</t>
  </si>
  <si>
    <t>F.5.1.2</t>
  </si>
  <si>
    <t>HP Steam Import</t>
  </si>
  <si>
    <t>HP Steam Energy</t>
  </si>
  <si>
    <t>HP Steam Quantity purchased</t>
  </si>
  <si>
    <t>Emission Factor for HP Steam</t>
  </si>
  <si>
    <t>Thermal Energy Imported for HP Steam</t>
  </si>
  <si>
    <t>F.5.1.3</t>
  </si>
  <si>
    <t>Thermal Energy Imported for LP &amp; HP Steam</t>
  </si>
  <si>
    <t>K.8.1.1.(vi) + K.8.1.2.(vi)</t>
  </si>
  <si>
    <t>F.5.1.4</t>
  </si>
  <si>
    <t>Indirect GHG Emissions from Steam Import</t>
  </si>
  <si>
    <t>F.5.2.1</t>
  </si>
  <si>
    <t>LP Steam Export</t>
  </si>
  <si>
    <t>Thermal Energy Exported for LP Steam</t>
  </si>
  <si>
    <t>F.5.2.2</t>
  </si>
  <si>
    <t>HP Steam Export</t>
  </si>
  <si>
    <t>Thermal Energy Exported for HP Steam</t>
  </si>
  <si>
    <t>F.5.2.3</t>
  </si>
  <si>
    <t xml:space="preserve">Thermal Energy Exported for LP and HP Steam </t>
  </si>
  <si>
    <t>F.5.2.2.(vi)+F.5.2.1.(vi)</t>
  </si>
  <si>
    <t>F.5.2.4</t>
  </si>
  <si>
    <t>Weighted Average Boiler Efficiecny (Boiler 1-10)</t>
  </si>
  <si>
    <t>F.5.2.5</t>
  </si>
  <si>
    <t xml:space="preserve">Total Thermal Energy Exported for Steam </t>
  </si>
  <si>
    <t>(F.5.2.3/F.5.2.4)x100</t>
  </si>
  <si>
    <t>GHG Emissions from Steam Export</t>
  </si>
  <si>
    <t>F.5.3</t>
  </si>
  <si>
    <t>Total Thermal Energy for Steam (Import-Export)</t>
  </si>
  <si>
    <t>F.%.1.3-F.5.2.5</t>
  </si>
  <si>
    <t>F.5.3.1</t>
  </si>
  <si>
    <t>Total GHG Emission from Steam (Import-Export)</t>
  </si>
  <si>
    <t>F.5.4</t>
  </si>
  <si>
    <t>Total Indirect GHG Emissions from Steam Import</t>
  </si>
  <si>
    <t>Chilled Water Import/Export</t>
  </si>
  <si>
    <t>F.6.1</t>
  </si>
  <si>
    <t>Chilled Water Import</t>
  </si>
  <si>
    <t>Landed Cost of Chilled Water (Last purchase)</t>
  </si>
  <si>
    <t>Chilled Water Energy</t>
  </si>
  <si>
    <t>Chilled Water Quantity purchased</t>
  </si>
  <si>
    <t>Average Temperature</t>
  </si>
  <si>
    <t>Thermal Energy Imported for Chilled Water</t>
  </si>
  <si>
    <t>GHG Emission factor for Chilled Water Import</t>
  </si>
  <si>
    <t>GHG Emission from Chilled Water</t>
  </si>
  <si>
    <t>(vi) * (vii)</t>
  </si>
  <si>
    <t>F.6.2</t>
  </si>
  <si>
    <t>Chilled Water Export</t>
  </si>
  <si>
    <t>Landed Cost of Chilled Water (Last sell)</t>
  </si>
  <si>
    <t>Chilled Water Quantity exported</t>
  </si>
  <si>
    <t>Thermal Energy Exported for Chilled Water</t>
  </si>
  <si>
    <t>GHG Emission factor for Chilled Water</t>
  </si>
  <si>
    <t>GHG Emission from Chilled Water Export</t>
  </si>
  <si>
    <t>Total Thermal Energy for Chilled Water (Import-Export)</t>
  </si>
  <si>
    <t>Total GHG Emission for Chilled Water (Import - export)</t>
  </si>
  <si>
    <t>Unburnt Fossil Fuel Export</t>
  </si>
  <si>
    <t>Cost of Unburnt Fossil Fuel (Last sell)</t>
  </si>
  <si>
    <t>Average Net calorific value (As Fired Basis)</t>
  </si>
  <si>
    <t>Quantity Sold</t>
  </si>
  <si>
    <t xml:space="preserve">Average Total Moisture </t>
  </si>
  <si>
    <t xml:space="preserve">Thermal Energy Exported </t>
  </si>
  <si>
    <t>GHG Emission from Unburnt Fossil Fuel Exported</t>
  </si>
  <si>
    <t>G1</t>
  </si>
  <si>
    <t xml:space="preserve"> Total Thermal Energy Used in Power Generation</t>
  </si>
  <si>
    <t>C.8+C.9+D.7+D.8+D.9+E.3</t>
  </si>
  <si>
    <t>G2</t>
  </si>
  <si>
    <t xml:space="preserve"> Total Thermal Energy Used in Process</t>
  </si>
  <si>
    <t>C.8+D.9+E.4</t>
  </si>
  <si>
    <t>G3</t>
  </si>
  <si>
    <t>Total Thermal Energy Input through all Fuels</t>
  </si>
  <si>
    <t>G.1+G.2+ F.5.3</t>
  </si>
  <si>
    <t xml:space="preserve">G.4 </t>
  </si>
  <si>
    <t xml:space="preserve">Total GHG Emissions from Power Generation </t>
  </si>
  <si>
    <t>Total GHG Emissions from Process</t>
  </si>
  <si>
    <t>Total GHG Emissions from all fuel (except Non-Fossil)</t>
  </si>
  <si>
    <t>G.7</t>
  </si>
  <si>
    <t>Total GHG Emission from steam purchase</t>
  </si>
  <si>
    <t>H1</t>
  </si>
  <si>
    <t>Gross Heat Rate of DG Set</t>
  </si>
  <si>
    <t>D.6 (x) x 10/B.2.1.(ii)</t>
  </si>
  <si>
    <t>H2</t>
  </si>
  <si>
    <t>Gross Heat Rate of CPP (Steam Turbine)</t>
  </si>
  <si>
    <t>Heat rate with Fuel</t>
  </si>
  <si>
    <t>H3</t>
  </si>
  <si>
    <t>Gross Heat Rate of CPP (Gas Turbine)</t>
  </si>
  <si>
    <t>E.3/B.2.3.(iii)</t>
  </si>
  <si>
    <t>H4</t>
  </si>
  <si>
    <t>Gross Heat Rate of Co-Gen (Extraction cum condensing)</t>
  </si>
  <si>
    <t>Heat Rate with enthalpy</t>
  </si>
  <si>
    <t>H5</t>
  </si>
  <si>
    <t>Gross Heat Rate of Co-Gen(Extraction/BackPressure)</t>
  </si>
  <si>
    <t>H6</t>
  </si>
  <si>
    <t>Weighted Heat Rate</t>
  </si>
  <si>
    <t>Weighted Heat Rate with Generation</t>
  </si>
  <si>
    <t>H7</t>
  </si>
  <si>
    <t>Weighted Net Heat Rate for export (Generation , Dedicated CPP Imports and WHR/Renewables)</t>
  </si>
  <si>
    <r>
      <t xml:space="preserve">Coal Analysis </t>
    </r>
    <r>
      <rPr>
        <b/>
        <color indexed="8"/>
        <family val="1"/>
        <sz val="11"/>
        <rFont val="Cambria"/>
      </rPr>
      <t>in Co-Gen (As Fired Basis)</t>
    </r>
  </si>
  <si>
    <t>Gross Calorific Value</t>
  </si>
  <si>
    <t>Ash</t>
  </si>
  <si>
    <t>Hydrogen</t>
  </si>
  <si>
    <t>Moisture</t>
  </si>
  <si>
    <t>% Unburnt Carbon in Ash</t>
  </si>
  <si>
    <t>Total Bauxite Consumed</t>
  </si>
  <si>
    <t>Type of Bauxite</t>
  </si>
  <si>
    <r>
      <t>Total Al</t>
    </r>
    <r>
      <rPr>
        <color indexed="8"/>
        <family val="1"/>
        <vertAlign val="subscript"/>
        <sz val="11"/>
        <rFont val="Cambria"/>
      </rPr>
      <t>2</t>
    </r>
    <r>
      <rPr>
        <color indexed="8"/>
        <family val="1"/>
        <sz val="11"/>
        <rFont val="Cambria"/>
      </rPr>
      <t>O</t>
    </r>
    <r>
      <rPr>
        <color indexed="8"/>
        <family val="1"/>
        <vertAlign val="subscript"/>
        <sz val="11"/>
        <rFont val="Cambria"/>
      </rPr>
      <t>3</t>
    </r>
    <r>
      <rPr>
        <color indexed="8"/>
        <family val="1"/>
        <sz val="11"/>
        <rFont val="Cambria"/>
      </rPr>
      <t xml:space="preserve"> /siO</t>
    </r>
    <r>
      <rPr>
        <color indexed="8"/>
        <family val="1"/>
        <vertAlign val="subscript"/>
        <sz val="11"/>
        <rFont val="Cambria"/>
      </rPr>
      <t xml:space="preserve">2  </t>
    </r>
    <r>
      <rPr>
        <color indexed="8"/>
        <family val="1"/>
        <sz val="11"/>
        <rFont val="Cambria"/>
      </rPr>
      <t>Ratio</t>
    </r>
  </si>
  <si>
    <t>Ratio</t>
  </si>
  <si>
    <t>Bauxite Total Available Alumina (TAA)</t>
  </si>
  <si>
    <t>Bauxite Monohydrate Alumina (MHA)</t>
  </si>
  <si>
    <t>Bauxite Trihydrate Alumina (THA)</t>
  </si>
  <si>
    <t>Bauxite Silica</t>
  </si>
  <si>
    <t>Bauxite Moisture</t>
  </si>
  <si>
    <t>Overall Recovery</t>
  </si>
  <si>
    <t>Wash Water</t>
  </si>
  <si>
    <t>Steam Economy</t>
  </si>
  <si>
    <t>Fe in Bauxite</t>
  </si>
  <si>
    <t>Fe in Mud</t>
  </si>
  <si>
    <t>Actual Steam Enthalpy</t>
  </si>
  <si>
    <t>Boiler Efficiency</t>
  </si>
  <si>
    <t>Miscelleneous Data $</t>
  </si>
  <si>
    <t>K.1</t>
  </si>
  <si>
    <t>Additional Electrical Energy Consumed</t>
  </si>
  <si>
    <t>Additional Thermal Energy Consumed</t>
  </si>
  <si>
    <t>K.2</t>
  </si>
  <si>
    <t xml:space="preserve">Biomass/ Alternate Fuel availability </t>
  </si>
  <si>
    <t>Biomass replacement with Fossil fuel due to Biomass un-availbility (used in the process)</t>
  </si>
  <si>
    <t>Alternate Solid Fuel replacement with Fossil fuel due to Alternate Solid Fuel un-availbility (used in the process)</t>
  </si>
  <si>
    <t>Alternate Liquid Fuel replacement with Fossil fuel due to Alternate Liquid Fuel un-availbility (used in the process)</t>
  </si>
  <si>
    <t>K.3</t>
  </si>
  <si>
    <t>Electrical Energy Consumed due to commissioning of Equipment</t>
  </si>
  <si>
    <t>Thermal Energy Consumed due to commissioning of Equipment</t>
  </si>
  <si>
    <t>K.4</t>
  </si>
  <si>
    <t xml:space="preserve">Electrical Energy Consumed due to commissioning of New process Line/Unit till it attains 70% of Capacity Utilisation </t>
  </si>
  <si>
    <t xml:space="preserve">Thermal Energy Consumed due to commissioning of New Process Line/Unit till it attains 70% of Capacity Utilisation </t>
  </si>
  <si>
    <r>
      <t xml:space="preserve">Calcined Alumina Production till new line attains 70% of Capacity utilisatiion </t>
    </r>
    <r>
      <rPr>
        <color indexed="8"/>
        <family val="2"/>
        <sz val="11"/>
        <rFont val="Calibri"/>
      </rPr>
      <t>(Refinery)</t>
    </r>
  </si>
  <si>
    <t>Tonns</t>
  </si>
  <si>
    <r>
      <t xml:space="preserve">Molten Aluminum Production till new line attains 70% of Capacity utilisatiion </t>
    </r>
    <r>
      <rPr>
        <color indexed="8"/>
        <family val="2"/>
        <sz val="11"/>
        <rFont val="Calibri"/>
      </rPr>
      <t>(Smelter &amp; Integrated)</t>
    </r>
  </si>
  <si>
    <t>Date of Commissioning (70% Capacity Utilisation)</t>
  </si>
  <si>
    <t>Electrical Energy Consumed from external source due to commissioning of New Line/Unit till it attains 70% of Capacity Utilisation in Power generation (CPP/Cogen)</t>
  </si>
  <si>
    <t>Thermal Energy Consumed due to commissioning of New Line/Unit till it attains 70% of Capacity Utilisation in Power generation (CPP/Cogen)</t>
  </si>
  <si>
    <t xml:space="preserve">Steam Generation From Co-Gen till New Line /Unit attains 70% of Capacity Utilisation </t>
  </si>
  <si>
    <t>Net Electricity Genration till new line/ Unit attains 70% Capacity Utilisation from CPP/Cogen</t>
  </si>
  <si>
    <t>K.5</t>
  </si>
  <si>
    <t>Electrical Energy to be Normalised</t>
  </si>
  <si>
    <t>Thermal Energy to be Normalised</t>
  </si>
  <si>
    <t>Million kWh</t>
  </si>
  <si>
    <t>Bauxite Quality-Document Available for Normalisation</t>
  </si>
  <si>
    <t>Smelter Capacity Utilization-Document Available for Normalisation</t>
  </si>
  <si>
    <t>Fuel Quality in CPP &amp; Co-Gen -Document Available for Normalisation</t>
  </si>
  <si>
    <t>CPP PLF- Document Available for Normalisation</t>
  </si>
  <si>
    <t>Power Mix-Document Available for Normalisation</t>
  </si>
  <si>
    <t>Product Mix-Document Available for Normalisation</t>
  </si>
  <si>
    <t>Carbon Anode Production- Document Available for Normalisation</t>
  </si>
  <si>
    <t>Other Factos - Document Available for Normalisation</t>
  </si>
  <si>
    <t>Million Rs</t>
  </si>
  <si>
    <t>Investment made for achieving target</t>
  </si>
  <si>
    <t>Coal</t>
  </si>
  <si>
    <t>Petro Coke</t>
  </si>
  <si>
    <t>Biomass/Waste</t>
  </si>
  <si>
    <t>Liquid Fuel (FO/HSD/LDO/LSHS/HSHS)</t>
  </si>
  <si>
    <t>Electrical energy Saving during the year</t>
  </si>
  <si>
    <t>Process Flow Diagram Attached</t>
  </si>
  <si>
    <t xml:space="preserve">Process Emissions </t>
  </si>
  <si>
    <t>Anode Consumption - CO2 Emissions</t>
  </si>
  <si>
    <t xml:space="preserve">CF4 and C2F6 Emissions from Smelting Operations </t>
  </si>
  <si>
    <t xml:space="preserve">Pitch Volatlie oxidation from pitch volatile combustion </t>
  </si>
  <si>
    <t>Carbon emissions from Packing Coke</t>
  </si>
  <si>
    <t>Emission Associated with Soda Ash Use</t>
  </si>
  <si>
    <t>Emission Assocaited with Lime Production</t>
  </si>
  <si>
    <t>Emission Associated with Scrubbing Operations</t>
  </si>
  <si>
    <t xml:space="preserve">Total Process Emissions </t>
  </si>
  <si>
    <t>Tier 1 - calculation for CF4 and C2F6 emisisons from anode consumption</t>
  </si>
  <si>
    <t>Total CO2 emissions from Anode Consumption</t>
  </si>
  <si>
    <t>PFPBL</t>
  </si>
  <si>
    <t>Refer for Details</t>
  </si>
  <si>
    <t xml:space="preserve">Anode Effect Frequency </t>
  </si>
  <si>
    <t>No./Cell/Day</t>
  </si>
  <si>
    <t>Anode Effect Duration</t>
  </si>
  <si>
    <t>Minutes/cell/Day</t>
  </si>
  <si>
    <t>Emission from Scrubbing Operations</t>
  </si>
  <si>
    <t>Amount of Limestone</t>
  </si>
  <si>
    <t xml:space="preserve">Amount of Magnesium Carbonate </t>
  </si>
  <si>
    <t>Amount of Sodium Bicarbonate</t>
  </si>
  <si>
    <t>Amount of Urea</t>
  </si>
  <si>
    <t>Total GHG Emissions from Scrubber Use</t>
  </si>
  <si>
    <t>Please enter numeric values or leave blank</t>
  </si>
  <si>
    <t xml:space="preserve">Please enter numeric value or "0" </t>
  </si>
  <si>
    <t>Fomulae Protected</t>
  </si>
  <si>
    <t>Emission based summary section</t>
  </si>
  <si>
    <t xml:space="preserve">Please enter text value </t>
  </si>
  <si>
    <t>I………………………………….. solemnly declare that to the best of my knowledge the information given in the above Form I there to is correct and complete. I also declare that the information provided for Normalisation is limited to external factors only.</t>
  </si>
  <si>
    <t xml:space="preserve">  (Signature of the Chief Executive)</t>
  </si>
  <si>
    <t>Signature of Energy Manager</t>
  </si>
  <si>
    <t xml:space="preserve">Name </t>
  </si>
  <si>
    <t xml:space="preserve">                                             Organisation Seal</t>
  </si>
  <si>
    <t xml:space="preserve">Date: </t>
  </si>
  <si>
    <t xml:space="preserve">Place: </t>
  </si>
  <si>
    <r>
      <t>Form- Sa</t>
    </r>
    <r>
      <rPr>
        <b/>
        <color indexed="9"/>
        <family val="1"/>
        <vertAlign val="subscript"/>
        <sz val="20"/>
        <rFont val="Cambria"/>
      </rPr>
      <t>1</t>
    </r>
    <r>
      <rPr>
        <b/>
        <color indexed="9"/>
        <family val="1"/>
        <sz val="20"/>
        <rFont val="Cambria"/>
      </rPr>
      <t xml:space="preserve"> Captive Power Plant Details</t>
    </r>
  </si>
  <si>
    <t>Units</t>
  </si>
  <si>
    <t>Design Capacity</t>
  </si>
  <si>
    <t>As Provided by Original Equipment Manaufacturer (OEM)</t>
  </si>
  <si>
    <t>Curve Equation/ (R2)</t>
  </si>
  <si>
    <t>Load Vs Heat Rate or HBD Curve (at 100% Load)</t>
  </si>
  <si>
    <t xml:space="preserve">Turbine Heat Rate </t>
  </si>
  <si>
    <t xml:space="preserve">Unit Heat Rate * </t>
  </si>
  <si>
    <t>OEM Curve OR HBD data curve</t>
  </si>
  <si>
    <t>Constant 1</t>
  </si>
  <si>
    <t>Constant 2</t>
  </si>
  <si>
    <t>Constant 3</t>
  </si>
  <si>
    <t>Turbine Heat Rate</t>
  </si>
  <si>
    <t>y=ax2-bx+c</t>
  </si>
  <si>
    <t>R2</t>
  </si>
  <si>
    <t>Unit-1</t>
  </si>
  <si>
    <t>Unit-2</t>
  </si>
  <si>
    <t>iii.</t>
  </si>
  <si>
    <t>Unit-3</t>
  </si>
  <si>
    <t>iv.</t>
  </si>
  <si>
    <t>Unit-4</t>
  </si>
  <si>
    <t>Unit-5</t>
  </si>
  <si>
    <t>Unit-6</t>
  </si>
  <si>
    <t>Unit-7</t>
  </si>
  <si>
    <t>Unit-8</t>
  </si>
  <si>
    <t>Unit-9</t>
  </si>
  <si>
    <t>Unit-10</t>
  </si>
  <si>
    <t>Station Design Data Details ***</t>
  </si>
  <si>
    <t>*** Station Design Heat Rate = [(DGHR 1 x Capacity 1 + DGHR 2 x Capacity2 + -----------) / (Total Capacity of Station)]</t>
  </si>
  <si>
    <t>** To be indicated only if OEM certified design or  PG Test report is available and the same can be produced as documentry proof, whenever required. If gas/liquid fuel is used, the Design/PG value for gas/liquied fuel may be given separately.</t>
  </si>
  <si>
    <t>* Unit Heat Rate (kcal/kWh)  = [ Turbine Heat Rate (kcal/kWh) / Boiler Efficiency (%) ]</t>
  </si>
  <si>
    <t xml:space="preserve">Operating Load </t>
  </si>
  <si>
    <t xml:space="preserve">ULF </t>
  </si>
  <si>
    <t>Gross Generation</t>
  </si>
  <si>
    <t>Unit Gross Heat Rate #</t>
  </si>
  <si>
    <t xml:space="preserve">ULF  </t>
  </si>
  <si>
    <t xml:space="preserve">Gross Generation </t>
  </si>
  <si>
    <t>Lakh Units</t>
  </si>
  <si>
    <t>Station Operating  Data Details ##</t>
  </si>
  <si>
    <t>Station Auxillary Power Consumption</t>
  </si>
  <si>
    <t># Unit Heat Rate (kcal/kWh)  = [ Turbine Heat Rate (kcal/kWh) / Boiler Efficiency (%) ]</t>
  </si>
  <si>
    <t>## Station Operating Gross Heat Rate = [(OGHR 1 x Generation 1 + OGHR 2 x Generation 2 + -----------) / (Total  Generation of Station)]</t>
  </si>
  <si>
    <t>Average Operating Load (MW) caused by low ULF due to Coal Unavailability @</t>
  </si>
  <si>
    <t>Average Operating Load (MW) caused by low ULF due to Scheduling @</t>
  </si>
  <si>
    <t>Average Operating Load (MW) caused by low ULF due to  backing down@</t>
  </si>
  <si>
    <t>Average Operating Load (MW) caused by low ULF due to  any other external factor@</t>
  </si>
  <si>
    <t>Average Operating Load (MW) caused by low ULF due to any other extranal factor@</t>
  </si>
  <si>
    <t>Operating Hours</t>
  </si>
  <si>
    <t>Total</t>
  </si>
  <si>
    <t>@ External Factors:Non-Avaialability of fuel/schedule/backing down/any other external factor/Unforeseen factors</t>
  </si>
  <si>
    <t>Forced Outage/ Unavailability</t>
  </si>
  <si>
    <t>Planned Maintenance Outage/ Planned Unavailability</t>
  </si>
  <si>
    <t>Unit Availability Factor</t>
  </si>
  <si>
    <t xml:space="preserve">Average Operating Load (MW) caused by low ULF due to Internal factor </t>
  </si>
  <si>
    <t>Operating hours</t>
  </si>
  <si>
    <t>Average Operating Load (MW) caused by low ULF due to external factor @</t>
  </si>
  <si>
    <t>Average Operating hours at Low ULF</t>
  </si>
  <si>
    <t>Planned Maintenance Outage/Planned Unavailability</t>
  </si>
  <si>
    <t>Unit Avaialability Factor</t>
  </si>
  <si>
    <t>Hrs/annum</t>
  </si>
  <si>
    <t>@ External Factors:Non-Avaialability of fuel/schedule/backing down/any other external factor</t>
  </si>
  <si>
    <t>Documents Required</t>
  </si>
  <si>
    <t>i. Characteristics Curve of Unit Turbine Heat Rate Vs Load, from Original Equipment Manaufacturer (OEM)</t>
  </si>
  <si>
    <t xml:space="preserve">ii. Unit wise HBD or Curve from Original Equipment Manufacturer (OEM) at various loads
</t>
  </si>
  <si>
    <t xml:space="preserve">iii. In case of non-availability of HBD or Curve, data from the similar Unit  will be considered
</t>
  </si>
  <si>
    <t>iv. Design/PG Test Turbine Heat Rate documents</t>
  </si>
  <si>
    <t>Volatile Matter</t>
  </si>
  <si>
    <t>Total Moisture</t>
  </si>
  <si>
    <t>GCV</t>
  </si>
  <si>
    <t>Sulphur</t>
  </si>
  <si>
    <t>Nitrogen</t>
  </si>
  <si>
    <t xml:space="preserve">Note: If Ultimate Analysis value is not available with DCs,  Conversion from Proximate to Ultimate  will be applied  conversion farmula.                                                                                                                                                                                                                                                                                                                                                                          %C = 0.97C+ 0.7(VM+0.1A) - M(0.6-0.01M) 
%H2= 0.036C + 0.086 (VM -0.1xA) - 0.0035M2(1-0.02M) 
%N2= 2.10 -0.020 VM 
Where: C= % of fixed carbon , A= % of ash ,VM= % of volatile matter, M= % of moisture </t>
  </si>
  <si>
    <t xml:space="preserve">@ Attach all necessary Documents - </t>
  </si>
  <si>
    <t>A. Coal Analysis:</t>
  </si>
  <si>
    <t xml:space="preserve">i. Operating Coal Quality- Monthly average of the lots (As Fired Basis),Test Certificate for Coal Analysis including Proximate and Ultimate analysis (Minimum of 4 Samples Test from Government Lab for cross verification- Quarterly) </t>
  </si>
  <si>
    <t>ii. Performance Guarantee Test (PG Test) report from Original Equipment Manufacturer (OEM)</t>
  </si>
  <si>
    <t>iii. Design  Coal Analysis Document as per OEM</t>
  </si>
  <si>
    <t>B. Boiler Efficiency</t>
  </si>
  <si>
    <t>i. Design Boiler Efficiency Document from Original Equipment Manufacturer (OEM)</t>
  </si>
  <si>
    <t>@@ For Weighted Average for the year, the sum of the tested coal of each lot as fired multiplied with the quantity of each lot , to be devided by the total fuel quantity during the  year.</t>
  </si>
  <si>
    <r>
      <t>Form-Sa</t>
    </r>
    <r>
      <rPr>
        <b/>
        <color indexed="9"/>
        <family val="1"/>
        <vertAlign val="subscript"/>
        <sz val="26"/>
        <rFont val="Cambria"/>
      </rPr>
      <t>1</t>
    </r>
    <r>
      <rPr>
        <b/>
        <color indexed="9"/>
        <family val="1"/>
        <sz val="26"/>
        <rFont val="Cambria"/>
      </rPr>
      <t xml:space="preserve"> (Summary Sheet )</t>
    </r>
  </si>
  <si>
    <t>Sector: Aluminum Sector</t>
  </si>
  <si>
    <t>Basis/Formula</t>
  </si>
  <si>
    <t>Current/Target Year</t>
  </si>
  <si>
    <t>Details of Production</t>
  </si>
  <si>
    <t>Refinery</t>
  </si>
  <si>
    <t>A1.1</t>
  </si>
  <si>
    <t xml:space="preserve">Production and Capacity Utilization </t>
  </si>
  <si>
    <t>Total Hydrate Aluminia  Production</t>
  </si>
  <si>
    <t>Baseline Parameter'! (A1 (i) )</t>
  </si>
  <si>
    <t>Total Calcined Alumina Production</t>
  </si>
  <si>
    <t>Baseline Parameter'! (A1 (ii) )</t>
  </si>
  <si>
    <t>Form Sa1'! {A1(v)}</t>
  </si>
  <si>
    <t>Form Sa1'! {A1(vi)}</t>
  </si>
  <si>
    <t>A1.2</t>
  </si>
  <si>
    <t>Hydrate  Alumina (Intermediary product for Reinery)</t>
  </si>
  <si>
    <t>Hydrate Alumina Opening Stock</t>
  </si>
  <si>
    <t>Form Sa1'! {A3.1.a.(iii)}</t>
  </si>
  <si>
    <t>Hydrate Alumina Closing stock</t>
  </si>
  <si>
    <t>Form Sa1'! {A3.1.a.(iv)}</t>
  </si>
  <si>
    <t>Hydrate Alumina Stock</t>
  </si>
  <si>
    <t>A1.2 (ii)-A1.2(i)</t>
  </si>
  <si>
    <t>Hydrate Alumina Exported</t>
  </si>
  <si>
    <t>Baseline Parameter'!{A1.1.(xii)}</t>
  </si>
  <si>
    <t>Hydrate Alumina Imported</t>
  </si>
  <si>
    <t>Baseline Parameter'!{A1.1.(xiii)}</t>
  </si>
  <si>
    <t>Total Hydrate Aluminia  Export</t>
  </si>
  <si>
    <t xml:space="preserve"> A1.2(iv)+A1.2(iii)</t>
  </si>
  <si>
    <t>Total Hydrate Aluminia Import</t>
  </si>
  <si>
    <t xml:space="preserve"> A1.2(v)-A1.2(iii)</t>
  </si>
  <si>
    <t>A1.3</t>
  </si>
  <si>
    <t>Calicined Alumina (Intermediary Product for Integrated Process)</t>
  </si>
  <si>
    <t>Calcined Alumina opening stock (Integrated Process)</t>
  </si>
  <si>
    <t>Form Sa1'! {c(i)}</t>
  </si>
  <si>
    <t>Calcined Alumina Closing stock (Integrated Process)</t>
  </si>
  <si>
    <t>Form Sa1'! {c(ii)}</t>
  </si>
  <si>
    <t>Calcined Alumina Stock (Integrated Process)</t>
  </si>
  <si>
    <t>A1.3 (ii)-A1.3(i)</t>
  </si>
  <si>
    <t>Baseline Parameter'! {A1.1.(xiv)}</t>
  </si>
  <si>
    <t>Baseline Parameter'! {A1.1.(xv)}</t>
  </si>
  <si>
    <t>Total Calcined Alumina Export (Integrated Process)</t>
  </si>
  <si>
    <t xml:space="preserve"> A1.3(iv)+A1.3(iii)</t>
  </si>
  <si>
    <t>Total Calcined Alumina Import (Intergated Process)</t>
  </si>
  <si>
    <t xml:space="preserve"> A1.3(v)-A1.3(iii)</t>
  </si>
  <si>
    <t>A2.1</t>
  </si>
  <si>
    <t>Baseline Parameter'! {A2(i)}</t>
  </si>
  <si>
    <t>Total Cast House Production</t>
  </si>
  <si>
    <t>Baseline Parameter'! {A2(ii)}</t>
  </si>
  <si>
    <t>Capacity Utilization (Molten Aluminum)</t>
  </si>
  <si>
    <t>Form Sa1'! {A2 (v)}</t>
  </si>
  <si>
    <t>Capacity Utilization (Cast House)</t>
  </si>
  <si>
    <t>Form Sa1'! {A2 (vi)}</t>
  </si>
  <si>
    <t>Details of Energy Consumption</t>
  </si>
  <si>
    <t>[Fuel Consumed (Lakh Tonnene) X GCV of Fuel (Kcal/Kg)] X 100 - 'Baseline Parameter'! (H)</t>
  </si>
  <si>
    <t>Total Electricity consumed within the plant</t>
  </si>
  <si>
    <t>{(Electricity Generated through CPP+Electricity generation through DG Set + Electricity generation through WHR+ Electricity Purchased from Grid) - Electricity exported to Grid} -'Baseline Parameter'!(F4)</t>
  </si>
  <si>
    <t xml:space="preserve">Electricity Purchased from Grid </t>
  </si>
  <si>
    <t>Average of year 2007-08, 2008-09 and 2009-10 -'Baseline Parameter'!(D 1 (i))</t>
  </si>
  <si>
    <t>Electricity Exported to Grid/Colony/Others from CPP</t>
  </si>
  <si>
    <t>Average of year 2007-08, 2008-09 and 2009-10 -'Baseline Parameter'! (F2)</t>
  </si>
  <si>
    <t>Total Energy Consumed (Thermal+Electrical)</t>
  </si>
  <si>
    <t xml:space="preserve"> [Total Thermal Energy  (Million kcal)+{(Total Electricity purchased from grid (Lakh kWh) X 860)-Electricity exported (Lakh kWh) X weighted generation net heat reate- 'NF-5 Power mix'!E33  kcal/kWh}/10] 
 ----[(B)+{(D)*860/10}-{(E)*2717/10}]</t>
  </si>
  <si>
    <t>Gate to Gate Specific Energy Consumption</t>
  </si>
  <si>
    <t>Total Equivalent Calcined Alumina Production</t>
  </si>
  <si>
    <t>A.10(iii)*A.10(i)+A.6(i)      -     'Baseline Parameter'!(C1(i))</t>
  </si>
  <si>
    <t>Notional Energy exported Hydrate Alumina</t>
  </si>
  <si>
    <t>Total hydrate Alumina Exported * SEC of Hydrate Alumina -[(A1(viii))*'Baseline Parameter'!B1 (ii)]</t>
  </si>
  <si>
    <t>Notional Energy Imported Hydrate Alumina</t>
  </si>
  <si>
    <t>Total hydrate Alumina Imported * SEC of Hydrate Alumina - [(A1(ix))*'Baseline Parameter'!B1 (ii)]</t>
  </si>
  <si>
    <t>Total Energy Consumed by By-Products</t>
  </si>
  <si>
    <t>Baseline Parameter'!(b1.1(i))+'Baseline Parameter'!(B1.1.(ii))+'Baseline Parameter'! (B1.1.(iii))+'Baseline Parameter'!(B1.1.(iv))</t>
  </si>
  <si>
    <t>Total Notional Energy Consumed</t>
  </si>
  <si>
    <t>{(F)/10}-{G1(ii)/10}+{G1(iii)/10}-{G1(iv)/10}</t>
  </si>
  <si>
    <t>Gate to Gate SEC of Equivalent Calcined Alumina</t>
  </si>
  <si>
    <t>Total Energy Consumed / Total Equivalent Calcined Alumina Production -[(G1 (v)) / (G1(i))]</t>
  </si>
  <si>
    <t>Total Equivalent Molten Aluminum Produced</t>
  </si>
  <si>
    <t xml:space="preserve">A10(i+ii+iii+iv+v+vi+vii)+ A8(i) - 
'Baseline Parameter'!(c2(i))</t>
  </si>
  <si>
    <t>Notional Energy Exported Calcined Alumina (Integrated Process)</t>
  </si>
  <si>
    <t xml:space="preserve">Total Calcined Alumina Exported * SEC of Calcined Alumina 
(A1(xv) *Baseline Parameter'!(B1.(i))</t>
  </si>
  <si>
    <t>Notional Energy Imported Calcined Alumina (Integrated Process)</t>
  </si>
  <si>
    <t xml:space="preserve">Total Calcined Alumina Imported * SEC of Calcined Alumina 
(A1(xvi) *Baseline Parameter'!(B1.(i))</t>
  </si>
  <si>
    <t>[(F)-{G2(ii)}+{(G2 (iii)}]</t>
  </si>
  <si>
    <t>Gate to Gate SEC of Equivalent Molten Aluminum</t>
  </si>
  <si>
    <t>Total Energy Consumed / Total Equivalent Molten Aluminum Production</t>
  </si>
  <si>
    <t>Normalization Factors</t>
  </si>
  <si>
    <t>Baseline Year</t>
  </si>
  <si>
    <t>Assessment Year</t>
  </si>
  <si>
    <t>Notional Energy for Bauxite Quality</t>
  </si>
  <si>
    <t>NF-1 Bauxite quality calculation sheet - 'N1-BQ Bauxite Quality'!(18)/10</t>
  </si>
  <si>
    <t>Notional Energy for fuel quality in CPP &amp; Co-Gen</t>
  </si>
  <si>
    <t>NF-2 Fuel Quality in CPP &amp; Co-Gen Calculation Sheet-'NF - 2 Fuel Quality CPP &amp; Cogen'!(16)/10</t>
  </si>
  <si>
    <t>Notional Energy for  PLF in CPP</t>
  </si>
  <si>
    <t>NF-3 PLF Calculation Sheet-'NF - 3 PLF'!(20)/10</t>
  </si>
  <si>
    <t>Notional Energy for  Power Mix</t>
  </si>
  <si>
    <t>NF-4 Power Mix Calculation Sheet-'NF - 5 Power Mix'!(33)/10</t>
  </si>
  <si>
    <t>Notional Energy for  Carbon Anode production</t>
  </si>
  <si>
    <t>NF-6 Carbon Anode Calculation sheet-'NF-6 Carbon Anode Production'!(14)/10</t>
  </si>
  <si>
    <t>Notional Energy for  Smelter capacity utilization</t>
  </si>
  <si>
    <t>NF-7 Smelter Capacity Utilization Calculation Sheet-'NF-7 Smelter CU'!(16)/10</t>
  </si>
  <si>
    <t>Notional Energy for other Factors</t>
  </si>
  <si>
    <t>NF-8 Others Normalisation-'NF-8 Others'!(21)/10</t>
  </si>
  <si>
    <t>Gate to Gate Energy Consumption</t>
  </si>
  <si>
    <t xml:space="preserve">Normalized Gate to Gate SEC </t>
  </si>
  <si>
    <t>IF('General Information'!(2)="REFINERY",(IFERROR{(H(viii))/(G.1(i))},0)),IFERROR({(H(viii))/(G2(i))},0))</t>
  </si>
  <si>
    <t xml:space="preserve">Notified Specific Energy Consumption </t>
  </si>
  <si>
    <t>Baseline Normalisation</t>
  </si>
  <si>
    <t>Renewable Energy Certificates Compliance under PAT Scheme</t>
  </si>
  <si>
    <t>NF-8 Others'!(29)</t>
  </si>
  <si>
    <t>Gate to Gate Energy Consumption after REC compliance</t>
  </si>
  <si>
    <t>(J )+(H(viii)AY</t>
  </si>
  <si>
    <t>Normalized Gate to Gate Specific Energy Consumption of Calcined Alumina after REC compliance</t>
  </si>
  <si>
    <t>Power Source Analysis</t>
  </si>
  <si>
    <t>Generation &amp; Electricity Imports</t>
  </si>
  <si>
    <t>Electricity imported from Grid</t>
  </si>
  <si>
    <t>Form Sa1'!B1(i)</t>
  </si>
  <si>
    <t>Electricity generated from DG</t>
  </si>
  <si>
    <t>NF - 5 Power Mix'!{1.b}</t>
  </si>
  <si>
    <t>Electricity generated from Steam Turbine</t>
  </si>
  <si>
    <t>NF - 5 Power Mix'!{1.c}</t>
  </si>
  <si>
    <t>Electricity generated from Gas Turbine</t>
  </si>
  <si>
    <t>NF - 5 Power Mix'!{1.d}</t>
  </si>
  <si>
    <t>Electricity generated from Co-Gen (Extraction/back pressure )</t>
  </si>
  <si>
    <t>NF - 5 Power Mix'!{1.e}</t>
  </si>
  <si>
    <t>Electricity generated from Co-Gen(Extraction cum condensing)</t>
  </si>
  <si>
    <t>NF - 5 Power Mix'!{1.f}</t>
  </si>
  <si>
    <t>Electricity generated from WHR</t>
  </si>
  <si>
    <t>NF - 5 Power Mix'!{1.g}</t>
  </si>
  <si>
    <t>Electricity generated through renewable sources (InPlant)</t>
  </si>
  <si>
    <t>NF - 5 Power Mix'!{1.h}</t>
  </si>
  <si>
    <t>NF - 5 Power Mix'!{1.l}</t>
  </si>
  <si>
    <t>Electricity imported through wheeling from IPP</t>
  </si>
  <si>
    <t>NF - 5 Power Mix'!{1.k}</t>
  </si>
  <si>
    <t>NF - 5 Power Mix'!{1.j}</t>
  </si>
  <si>
    <t>Renewable Energy purchased from Grid (Through wheeling)</t>
  </si>
  <si>
    <t>NF - 5 Power Mix'!{1.i}</t>
  </si>
  <si>
    <t>Total Electricity Consumption Avaialbility</t>
  </si>
  <si>
    <t>Sum{13.1(a) to 13.1(l)}</t>
  </si>
  <si>
    <t xml:space="preserve">Share of Electricity </t>
  </si>
  <si>
    <t>% Captive Fossil</t>
  </si>
  <si>
    <t>(13.1(b)+13.1(c)+13.1(d)+13.1(e)+13.1(f)+13.1(i)+13.1(j))/13.1(m)</t>
  </si>
  <si>
    <t>% Grid Discom</t>
  </si>
  <si>
    <t>13.1(a)/13.1(m)</t>
  </si>
  <si>
    <t>% Total RE</t>
  </si>
  <si>
    <t>(13.1(h)+13.1(k)+13.1(l))/13.1(m)</t>
  </si>
  <si>
    <t>% WHRS</t>
  </si>
  <si>
    <t>13.1(g)/13.1(m)</t>
  </si>
  <si>
    <t>Total composition</t>
  </si>
  <si>
    <t>13.2(a)+13.2(b)+13.2(c)+13.2(d)</t>
  </si>
  <si>
    <t>% Power Plant (Outside- Dedicated and Wheeling)</t>
  </si>
  <si>
    <t>(13.1(i)+13.1(j))/13.1(m)</t>
  </si>
  <si>
    <t>c.1</t>
  </si>
  <si>
    <t>% Captive RE (In Plant)</t>
  </si>
  <si>
    <t>13.1(h)/13.1(m)</t>
  </si>
  <si>
    <t>c.2</t>
  </si>
  <si>
    <t>% Outside RE</t>
  </si>
  <si>
    <t>(13.1(k)+13.1(l))/13.1(m)</t>
  </si>
  <si>
    <t>c.3</t>
  </si>
  <si>
    <t>% RE/overall Energy (ToE/ToE)</t>
  </si>
  <si>
    <t>(13.1(h)+13.1(k)+13.1(l))*860*10^5/(H(viii)*10^7)</t>
  </si>
  <si>
    <t>Emission Analysis</t>
  </si>
  <si>
    <t>Total Equivalent Product for GHG Emission Intensity</t>
  </si>
  <si>
    <t>Total equivalent production</t>
  </si>
  <si>
    <t>Tons</t>
  </si>
  <si>
    <t>Direct Emission (Scope 1)</t>
  </si>
  <si>
    <t>Solid Fossil Fuel consumption</t>
  </si>
  <si>
    <t>Form Sa1'!(c.17)</t>
  </si>
  <si>
    <t>tCO2 eq</t>
  </si>
  <si>
    <t>Direct Emission generation related (Energy)</t>
  </si>
  <si>
    <t>Form Sa1'!(c.11)+Form Sa1'!(c.12)</t>
  </si>
  <si>
    <t>Direct Emission Process related (Energy)</t>
  </si>
  <si>
    <t>Form Sa1'!(c.13)</t>
  </si>
  <si>
    <t>Liquid Fossil Fuel consumption</t>
  </si>
  <si>
    <t>Form Sa1'!(d.20)</t>
  </si>
  <si>
    <t>Form Sa1'!(d.11)+Form Sa1'!(d.12)+Form Sa1'!(d.13)</t>
  </si>
  <si>
    <t>Form Sa1'!(d.14)</t>
  </si>
  <si>
    <t>Gaseous Fossil Fuel consumption</t>
  </si>
  <si>
    <t>Form Sa1'!(E.7)</t>
  </si>
  <si>
    <t>Form Sa1'!(E.5)</t>
  </si>
  <si>
    <t>Form Sa1'!(E.6)</t>
  </si>
  <si>
    <t>Process GHG Emission Equivalent</t>
  </si>
  <si>
    <t>Total process GHG Emission</t>
  </si>
  <si>
    <t>Unburnt Coal Sold Adjusted (-)</t>
  </si>
  <si>
    <t>Form Sa1'!{F.7(ix)}</t>
  </si>
  <si>
    <t>Steam Export Adjusted (-)</t>
  </si>
  <si>
    <t>Form Sa1'!F.5.2.4</t>
  </si>
  <si>
    <t>Chilled Water Export Adjusted (-)</t>
  </si>
  <si>
    <t>Form Sa1'!{F.6.2(viii)}</t>
  </si>
  <si>
    <t>Total Biogenic Emission in power generation</t>
  </si>
  <si>
    <t>Form Sa1'!{C.14}+Form Sa1'!{C.15)+Form Sa1'!{d.15)+Form Sa1'!{d.16)+Form Sa1'!{d.17)}</t>
  </si>
  <si>
    <t>Total Biogenic Emission in process</t>
  </si>
  <si>
    <t>Form Sa1'!{C.16}+Form Sa1'!{d.19)</t>
  </si>
  <si>
    <t>Total Direct Emission (Scope 1)</t>
  </si>
  <si>
    <t>o(i)+o(ii)+o(iii)-o(v)-o(vi)-o(vii)</t>
  </si>
  <si>
    <t>P</t>
  </si>
  <si>
    <t>Indirect Emission (Scope 2)</t>
  </si>
  <si>
    <t>Electricity purchased from outside Plant Boundary</t>
  </si>
  <si>
    <t>Form Sa1'!{B.1(xxvii)}</t>
  </si>
  <si>
    <t>Electricity Export Adjusted (-)</t>
  </si>
  <si>
    <t>Form Sa1'!{B.9(v)}</t>
  </si>
  <si>
    <t>Steam  Import Adjusted (+)</t>
  </si>
  <si>
    <t>Form Sa1'!{F.5.1.4}</t>
  </si>
  <si>
    <t>Chilled Water Import Adjusted(+)</t>
  </si>
  <si>
    <t>Form Sa1'!{F.6.1(viii)}</t>
  </si>
  <si>
    <t>Intermediary Product Import Adjustment (+)</t>
  </si>
  <si>
    <t>IF('General Information'!C4="REFINERY",'NF - 4 Product Mix'!E97,'NF - 4 Product Mix'!E109)</t>
  </si>
  <si>
    <t>Total Indirect Emission (Scope 2)</t>
  </si>
  <si>
    <t>E121-E122+E123+E124+E125</t>
  </si>
  <si>
    <t xml:space="preserve">Total Direct and Indirect Emission </t>
  </si>
  <si>
    <t>F118+F126</t>
  </si>
  <si>
    <t xml:space="preserve">tCO2 eq </t>
  </si>
  <si>
    <t>R</t>
  </si>
  <si>
    <t>Emission per ton of Equivalent product</t>
  </si>
  <si>
    <t>E128/E101</t>
  </si>
  <si>
    <t>tCO2 eq/ton of equivalent product</t>
  </si>
  <si>
    <t>I ……………………………………solemnly declare that to the best of my knowledge the information given in the above summary sheet of  Form 1 &amp; E2 thereto is correct and complete.</t>
  </si>
  <si>
    <t>……..……………………………………………………………..</t>
  </si>
  <si>
    <t>Date:</t>
  </si>
  <si>
    <t>Place:</t>
  </si>
  <si>
    <t>Normalization Factor for Power Mix</t>
  </si>
  <si>
    <t>Document Available for Normalisation</t>
  </si>
  <si>
    <t>S.No.</t>
  </si>
  <si>
    <t>Total Electricity Availability</t>
  </si>
  <si>
    <t>{(1.a)+(1.b)+(1.c)+(1.d)+(1.e)}</t>
  </si>
  <si>
    <t>Form Sa1'! b.1.(xvii)</t>
  </si>
  <si>
    <t>Form Sa1'! b.2.1.(iii)</t>
  </si>
  <si>
    <t>1.c</t>
  </si>
  <si>
    <t>Form Sa1'! b.2.2.(iii)</t>
  </si>
  <si>
    <t>1.d</t>
  </si>
  <si>
    <t>Electricity generated from Gas Turbine/Gas Generator</t>
  </si>
  <si>
    <t>Form Sa1'! b.2.3.(iii)</t>
  </si>
  <si>
    <t>1.e</t>
  </si>
  <si>
    <t>Electricity generated  from Cogen (Extraction/Back Pressure)</t>
  </si>
  <si>
    <t>Form Sa1'! b.2.5.(iii)</t>
  </si>
  <si>
    <t>1.f</t>
  </si>
  <si>
    <t>Electricity generated from Cogen (Condensing)</t>
  </si>
  <si>
    <t>Form Sa1'! b.2.6.(iii)</t>
  </si>
  <si>
    <t>1.g</t>
  </si>
  <si>
    <t>Form Sa1'! b.2.4.(ii)</t>
  </si>
  <si>
    <t>1.h</t>
  </si>
  <si>
    <t>Electricity generated from Renewables (In-Plant)</t>
  </si>
  <si>
    <t>Form Sa1'!{b2.8.2(vi)}</t>
  </si>
  <si>
    <t>1.i</t>
  </si>
  <si>
    <t>Electricity Wheeled from Renewable Sources</t>
  </si>
  <si>
    <t>Form Sa1'!{b.1((xxvii)}</t>
  </si>
  <si>
    <t>1.j</t>
  </si>
  <si>
    <t>Electricity wheeled from Renewable sources through dedicated line</t>
  </si>
  <si>
    <t>Form Sa1'!{b.1((vi)}</t>
  </si>
  <si>
    <t>1.k</t>
  </si>
  <si>
    <t>Form Sa1'!{b.1((vii)}</t>
  </si>
  <si>
    <t>1.l</t>
  </si>
  <si>
    <t>Electricity wheeled from CPP through dedicated line</t>
  </si>
  <si>
    <t>Form Sa1'!{b2.7(ii)}</t>
  </si>
  <si>
    <t>Electricity exported to grid</t>
  </si>
  <si>
    <t>Form Sa1'! b.4</t>
  </si>
  <si>
    <t>Electricity exported to colony</t>
  </si>
  <si>
    <t>Form Sa1'! b.5</t>
  </si>
  <si>
    <t>Total energy exported to grid</t>
  </si>
  <si>
    <t>(2.1)*(35)/10</t>
  </si>
  <si>
    <t>Total energy exported to colony</t>
  </si>
  <si>
    <t>(2.2)*(36)/10</t>
  </si>
  <si>
    <t>Total Electricity Consumption With in plant</t>
  </si>
  <si>
    <t>Form Sa1'! b.8.</t>
  </si>
  <si>
    <t>(1.a)</t>
  </si>
  <si>
    <t>(1.b) -(2)</t>
  </si>
  <si>
    <t>3.c</t>
  </si>
  <si>
    <t xml:space="preserve"> Steam Turbine generated Electricity  Consumption  </t>
  </si>
  <si>
    <t>{(1.c)-(2)}</t>
  </si>
  <si>
    <t>3.d</t>
  </si>
  <si>
    <t xml:space="preserve">Gas Turbine/GG generated Electricity  Consumption  </t>
  </si>
  <si>
    <t>{(1.d)-(2)}</t>
  </si>
  <si>
    <t>3.e</t>
  </si>
  <si>
    <t>Cogen generated Electricity Consumption(Extraction/Back Pressure)</t>
  </si>
  <si>
    <t>{(1.e.)-(2)}</t>
  </si>
  <si>
    <t>3.f</t>
  </si>
  <si>
    <t>Cogen generated Electricity Consumption (Condensing)</t>
  </si>
  <si>
    <t>{(1.f)-(2)}</t>
  </si>
  <si>
    <t>3.g</t>
  </si>
  <si>
    <t xml:space="preserve"> WHR generated Electricity  Consumption  </t>
  </si>
  <si>
    <t>{(1.g)-(2)}</t>
  </si>
  <si>
    <t>Total Electricity Consumption With in plant exculding WHR</t>
  </si>
  <si>
    <t>{(3)-(3.e)}</t>
  </si>
  <si>
    <t>Grid Heat Rate</t>
  </si>
  <si>
    <t>DG Heat Rate</t>
  </si>
  <si>
    <t>Form Sa1'! (H.1)</t>
  </si>
  <si>
    <t>Steam Turbine  Gross Heat Rate</t>
  </si>
  <si>
    <t>Form Sa1'! (H.2)</t>
  </si>
  <si>
    <t>Gas Turbine/GG  Gross Heat Rate</t>
  </si>
  <si>
    <t>Form Sa1'! (H.3)</t>
  </si>
  <si>
    <t>Cogen (Extraction/Back Pressure) Gross Heat Rate</t>
  </si>
  <si>
    <t>Form Sa1'! (H5 BY)</t>
  </si>
  <si>
    <t>Cogen (Condensing) Gross Heat Rate</t>
  </si>
  <si>
    <t>Form Sa1'! (H4 BY)</t>
  </si>
  <si>
    <t>Exported Power Heat Rate</t>
  </si>
  <si>
    <t>APC of DG</t>
  </si>
  <si>
    <t>Form Sa1'! (b.2.1.(vi) BY)</t>
  </si>
  <si>
    <t>APC of Steam Turbine</t>
  </si>
  <si>
    <t>Form Sa1'! {b.2.2.(iv)}</t>
  </si>
  <si>
    <t>APC of Gas Turbine</t>
  </si>
  <si>
    <t>Form Sa1'! {b.2.3.(v)}</t>
  </si>
  <si>
    <t xml:space="preserve">APC of Cogen (Extraction/Back Pressure) </t>
  </si>
  <si>
    <t>Form Sa1'! (b.2.5.(iv) BY)</t>
  </si>
  <si>
    <t xml:space="preserve">APC of Cogen (Condensing) </t>
  </si>
  <si>
    <t>Form Sa1'! (b.2.6.(iv) BY)</t>
  </si>
  <si>
    <t>DG  Net Heat Rate</t>
  </si>
  <si>
    <t>[(6)/{1-(12)/100}]</t>
  </si>
  <si>
    <t>Steam Turbine  Net Heat Rate</t>
  </si>
  <si>
    <t>[(7)/{1-(10)/100}]</t>
  </si>
  <si>
    <t>Gas Turbine  Net Heat Rate</t>
  </si>
  <si>
    <t>[(8)/{1-(11)/100}]</t>
  </si>
  <si>
    <t>Cogen (Extraction/Back Pressure) Net Heat Rate</t>
  </si>
  <si>
    <t>[(9)/{1-(15)/100}]</t>
  </si>
  <si>
    <t>Cogen (Condensing) Net Heat Rate</t>
  </si>
  <si>
    <t>[(10)/{1-(16)/100}]</t>
  </si>
  <si>
    <t>Weighted Generation Net Heat Raate</t>
  </si>
  <si>
    <t>{(17)*(1.b)+(18)*(1.c)+(19)*(1.d)+(20)*(1.e)+(21)*(1.f)}</t>
  </si>
  <si>
    <t>Form Sa1'!{b.1(viii)}</t>
  </si>
  <si>
    <t>Dedicated Line CPP Net Heat Rate</t>
  </si>
  <si>
    <t>% share of Grid</t>
  </si>
  <si>
    <t>(3.a)*100/(4)</t>
  </si>
  <si>
    <t>% share of DG</t>
  </si>
  <si>
    <t>(3.b)*100/(4)</t>
  </si>
  <si>
    <t>% share of Steam Turbine</t>
  </si>
  <si>
    <t>(3.c)*100/(4)</t>
  </si>
  <si>
    <t>% share of Gas Turbine</t>
  </si>
  <si>
    <t>(3.d)*100/(4)</t>
  </si>
  <si>
    <t xml:space="preserve">% share of Cogen (Extraction/Back Pressure) </t>
  </si>
  <si>
    <t>(3.e) *100/(4)</t>
  </si>
  <si>
    <t>% share of Cogen (Condensing)</t>
  </si>
  <si>
    <t>(3.f) *100/(4)</t>
  </si>
  <si>
    <t>Wt. Heat Rate of Plant</t>
  </si>
  <si>
    <t>[(3.a)*(5)+(3.b)*(6)+(3.c)*(7)+(3.d)*(8)]/(4)</t>
  </si>
  <si>
    <t>Normalized Wt. Heat Rate</t>
  </si>
  <si>
    <t>[(5)AY*(14)BY+(6)AY*(15)BY+(7)AY*(16)BY+(8)AY*(17)BY]/100</t>
  </si>
  <si>
    <t>Notional Energy for All Power Source</t>
  </si>
  <si>
    <t>[(4)AY]*[(18)AY-(19)AY]/10</t>
  </si>
  <si>
    <t>Notional Energy for Exported Power</t>
  </si>
  <si>
    <t>[(2)AY-(2)BY]*[(12)-(9)AY]</t>
  </si>
  <si>
    <t>Total Notional Energy for Power Mix</t>
  </si>
  <si>
    <t>(20)+(21)</t>
  </si>
  <si>
    <t>Weighted Generation Net Heat Rate including CPP located outside of the plant (for grid export)</t>
  </si>
  <si>
    <t>[(1.b)*(17)+(1.c)*(18)+(1.d)*(19)+(1.e)*(20)+(1.f)*(21)]/[(1.b)+(1.c)+(1.d)+(1.e)+(1.f)]</t>
  </si>
  <si>
    <t>Weighted Net Heat Rate including renewable</t>
  </si>
  <si>
    <t>[(((1.a)+(1.g)+(1.h)+(1.i)+(1.j))*860)+(1.b)*(17)+(1.c)*(18)+(1.d)*(19)+(1.e)*(20)+(1.f)*(21)+(1.k)*(22.1)+(1.l)*(22.3)]/[sum(1.a) to (1.l)]</t>
  </si>
  <si>
    <t>Reference Value for Emission Factors and GWP</t>
  </si>
  <si>
    <t>Sr. No</t>
  </si>
  <si>
    <t>Fuel</t>
  </si>
  <si>
    <t>Carbon Dioxide (CO2)</t>
  </si>
  <si>
    <t>Methane (CH4)</t>
  </si>
  <si>
    <t>Nitrous Oxide (N2O)</t>
  </si>
  <si>
    <t>1TJ</t>
  </si>
  <si>
    <t>kcal</t>
  </si>
  <si>
    <t>1 GJ</t>
  </si>
  <si>
    <t>t CO2/TJ</t>
  </si>
  <si>
    <t>t CO2/toe</t>
  </si>
  <si>
    <t>kg CH4/TJ</t>
  </si>
  <si>
    <t>gm CH4/kcal</t>
  </si>
  <si>
    <t>gm CO2eq/kcal</t>
  </si>
  <si>
    <t>kg N2O/TJ</t>
  </si>
  <si>
    <t>gm N2O/kcal</t>
  </si>
  <si>
    <t>gmCO2eq/kcal</t>
  </si>
  <si>
    <t>toe</t>
  </si>
  <si>
    <t>Crude Oil</t>
  </si>
  <si>
    <t>Qty</t>
  </si>
  <si>
    <t>Orimulsion</t>
  </si>
  <si>
    <t>tCO2/TJ</t>
  </si>
  <si>
    <t>Natural Gas Liquids</t>
  </si>
  <si>
    <t>gm CO2/kcal</t>
  </si>
  <si>
    <t>Motor Gasoline</t>
  </si>
  <si>
    <t>Aviation Gasoline</t>
  </si>
  <si>
    <t>gm CO2/kg</t>
  </si>
  <si>
    <t>Jet Gasoline</t>
  </si>
  <si>
    <t>kg CO2/kg</t>
  </si>
  <si>
    <t>Jet Kerosene</t>
  </si>
  <si>
    <t>Other Kerosene</t>
  </si>
  <si>
    <t>Shale Oil</t>
  </si>
  <si>
    <t>Gas/Diesel Oil</t>
  </si>
  <si>
    <t>Residual Fuel Oil</t>
  </si>
  <si>
    <t>Liquefied Petroleum Gas</t>
  </si>
  <si>
    <t>Ethane</t>
  </si>
  <si>
    <t>Naptha</t>
  </si>
  <si>
    <t>Bitumen</t>
  </si>
  <si>
    <t>Lubricants</t>
  </si>
  <si>
    <t>Petroleum Coke</t>
  </si>
  <si>
    <t>Refinery Feedstock</t>
  </si>
  <si>
    <t>Refinery Gas</t>
  </si>
  <si>
    <t>Paraffin Waxes</t>
  </si>
  <si>
    <t>White Spirit and SBP</t>
  </si>
  <si>
    <t>Other Petroleum Products</t>
  </si>
  <si>
    <t>Anthracite</t>
  </si>
  <si>
    <t>Coking Coal</t>
  </si>
  <si>
    <t>Other Bituminous Coal</t>
  </si>
  <si>
    <t>Sub Bituminous Coal</t>
  </si>
  <si>
    <t>Oil Shale and Tar Sands</t>
  </si>
  <si>
    <t>Brown Coal Briquettes</t>
  </si>
  <si>
    <t>Patent Fuel</t>
  </si>
  <si>
    <t>Coke Oven Coke and Lignite Cike</t>
  </si>
  <si>
    <t>Gas Coke</t>
  </si>
  <si>
    <t>Coal Tar</t>
  </si>
  <si>
    <t>Gas Works Gas</t>
  </si>
  <si>
    <t>Coke Oven Gas</t>
  </si>
  <si>
    <t>Blast Furnace Gas</t>
  </si>
  <si>
    <t>Oxygen Steel Furnace Gas</t>
  </si>
  <si>
    <t>Natural Gas</t>
  </si>
  <si>
    <t>Municipal Waste (Non Biomass Fraction)</t>
  </si>
  <si>
    <t>Industrial Waste</t>
  </si>
  <si>
    <t>Waste Oils</t>
  </si>
  <si>
    <t>Peat</t>
  </si>
  <si>
    <t>Wood/Wood Waste</t>
  </si>
  <si>
    <t>Sulphite Lyes (Black Liquor)</t>
  </si>
  <si>
    <t>Other Primary Solid Biomass</t>
  </si>
  <si>
    <t>Charcoal</t>
  </si>
  <si>
    <t>Biogasoline</t>
  </si>
  <si>
    <t>Biodiesel</t>
  </si>
  <si>
    <t>Other Liquid Biofuels</t>
  </si>
  <si>
    <t>Landfill Gas</t>
  </si>
  <si>
    <t>Sludge Gas</t>
  </si>
  <si>
    <t>Other Biogas</t>
  </si>
  <si>
    <t>Municipal Waste (Biomass fraction)</t>
  </si>
  <si>
    <t>Global Warming Potential Values</t>
  </si>
  <si>
    <t>Gas</t>
  </si>
  <si>
    <t>GWP as BUR 3</t>
  </si>
  <si>
    <t>CF4</t>
  </si>
  <si>
    <t>C2F6</t>
  </si>
  <si>
    <t xml:space="preserve">Default Process Emission Factor and Parameters </t>
  </si>
  <si>
    <t xml:space="preserve">Unit </t>
  </si>
  <si>
    <t>Clinker production</t>
  </si>
  <si>
    <t>t CO2/t clinker</t>
  </si>
  <si>
    <t>Aluminium - Prebaked</t>
  </si>
  <si>
    <t>kg C2F6/t aluminium</t>
  </si>
  <si>
    <t>Aluminium - Soderberg</t>
  </si>
  <si>
    <t>Aluminium CF4 (CWPB)</t>
  </si>
  <si>
    <t>Aluminium CF4 (SWPB)</t>
  </si>
  <si>
    <t>Aluminium CF4 (VSS)</t>
  </si>
  <si>
    <t>Aluminium CF4 (HSS)</t>
  </si>
  <si>
    <t>Aluminium C2F6 (CWPB)</t>
  </si>
  <si>
    <t>Aluminium C2F6 (SWPB)</t>
  </si>
  <si>
    <t>Aluminium C2F6 (VSS)</t>
  </si>
  <si>
    <t>Aluminium C2F6 (HSS)</t>
  </si>
  <si>
    <t>Slope Coefficient (PFPBL)</t>
  </si>
  <si>
    <t>kg CF4/tonne Al)/(AE-Mins/cell-day</t>
  </si>
  <si>
    <r>
      <rPr>
        <b/>
        <color theme="1"/>
        <family val="2"/>
        <scheme val="minor"/>
        <sz val="11"/>
        <rFont val="Calibri"/>
      </rPr>
      <t>Legacy Point-Fed Prebake (PFPBL)</t>
    </r>
    <r>
      <rPr>
        <color theme="1"/>
        <family val="2"/>
        <scheme val="minor"/>
        <sz val="11"/>
        <rFont val="Calibri"/>
      </rPr>
      <t xml:space="preserve"> – older cell designs with line currents of less than 350kA.</t>
    </r>
  </si>
  <si>
    <t>Slope Coefficient (PFPBM)</t>
  </si>
  <si>
    <r>
      <rPr>
        <b/>
        <color theme="1"/>
        <family val="2"/>
        <scheme val="minor"/>
        <sz val="11"/>
        <rFont val="Calibri"/>
      </rPr>
      <t xml:space="preserve">Modern Point-Fed Prebake (PFPBM) </t>
    </r>
    <r>
      <rPr>
        <color theme="1"/>
        <family val="2"/>
        <scheme val="minor"/>
        <sz val="11"/>
        <rFont val="Calibri"/>
      </rPr>
      <t>– new cell technologies that operate at line currents in excess of 350kA including: AP3X/AP4X, APXe/AP60, EGA DX and DX+</t>
    </r>
  </si>
  <si>
    <t>Return to Process Emission  at Form Sa1</t>
  </si>
  <si>
    <t>Slope Coefficient (SWPB)</t>
  </si>
  <si>
    <t>Side-Worked Prebake (SWPB) technology</t>
  </si>
  <si>
    <t>Slope Coefficient (VSS)</t>
  </si>
  <si>
    <t>Vertical Stud Søderberg (VSS) technology</t>
  </si>
  <si>
    <t>Slope Coefficient (HSS)</t>
  </si>
  <si>
    <t>Horizontal Stud Søderberg (HSS) technology</t>
  </si>
  <si>
    <t>Weight Fraction C2F6/CF4 (PFPBL)</t>
  </si>
  <si>
    <t>Weight Fraction C2F6/CF4 (PFPBM)</t>
  </si>
  <si>
    <t>Weight Fraction C2F6/CF4 (SWPB)</t>
  </si>
  <si>
    <t>Weight Fraction C2F6/CF4 (VSS)</t>
  </si>
  <si>
    <t>Weight Fraction C2F6/CF4 (HSS)</t>
  </si>
  <si>
    <t xml:space="preserve">Carbonates use emissions </t>
  </si>
  <si>
    <t>Sr.No</t>
  </si>
  <si>
    <t>Material</t>
  </si>
  <si>
    <t>CaCO3</t>
  </si>
  <si>
    <t>t CO2/t material</t>
  </si>
  <si>
    <t>MgCO3</t>
  </si>
  <si>
    <t>Na2CO3</t>
  </si>
  <si>
    <t>BaCO3</t>
  </si>
  <si>
    <t>Li2CO3</t>
  </si>
  <si>
    <t>K2CO3</t>
  </si>
  <si>
    <t>SrCO3</t>
  </si>
  <si>
    <t>NaHCO3</t>
  </si>
  <si>
    <t>FeCO3</t>
  </si>
  <si>
    <t>Urea</t>
  </si>
  <si>
    <t>Normalization Factor for Product Mix</t>
  </si>
  <si>
    <t>A.1</t>
  </si>
  <si>
    <t>Baseline Parameter'! A1(i)</t>
  </si>
  <si>
    <t>A.2</t>
  </si>
  <si>
    <t>Baseline Parameter'! A1(ii)</t>
  </si>
  <si>
    <t>A.3</t>
  </si>
  <si>
    <t>Total Special  Hydrate  Course Production</t>
  </si>
  <si>
    <t>Baseline Parameter'! A1(iii)</t>
  </si>
  <si>
    <t>A.4</t>
  </si>
  <si>
    <t>Total Special  Hydrate  Microfined Production</t>
  </si>
  <si>
    <t>Baseline Parameter'! A1(iv)</t>
  </si>
  <si>
    <t>A.5</t>
  </si>
  <si>
    <t>Total Special  Hydrate  Milled Production</t>
  </si>
  <si>
    <t>Baseline Parameter'! A1(v)</t>
  </si>
  <si>
    <t>A.6</t>
  </si>
  <si>
    <t>Total Calcined Alumina Course Production</t>
  </si>
  <si>
    <t>Baseline Parameter'! A1(vi)</t>
  </si>
  <si>
    <t>A.7</t>
  </si>
  <si>
    <t>Total Calcined Alumina Microfined Production</t>
  </si>
  <si>
    <t>Baseline Parameter'! A1(vii)</t>
  </si>
  <si>
    <t>A.8</t>
  </si>
  <si>
    <t>Total Calcined Alumina Milled Production</t>
  </si>
  <si>
    <t>Baseline Parameter'! A1(viii)</t>
  </si>
  <si>
    <t>A.9</t>
  </si>
  <si>
    <t>Total Carbon Black Production</t>
  </si>
  <si>
    <t>Baseline Parameter'! A1(ix)</t>
  </si>
  <si>
    <t>A.10</t>
  </si>
  <si>
    <t>Total Carbon Paste Production</t>
  </si>
  <si>
    <t>Baseline Parameter'! A1(x)</t>
  </si>
  <si>
    <t>A.11</t>
  </si>
  <si>
    <t>Total zeolite Production</t>
  </si>
  <si>
    <t>Baseline Parameter'! A1(xi)</t>
  </si>
  <si>
    <t>A.12</t>
  </si>
  <si>
    <t>Total Production of other By-product</t>
  </si>
  <si>
    <t>Baseline Parameter'! A1(xii)</t>
  </si>
  <si>
    <t>Standard/Calcined Alumina</t>
  </si>
  <si>
    <t xml:space="preserve"> 'Baseline Parameter'! B1.(i)</t>
  </si>
  <si>
    <t>Million kcal/Tonne</t>
  </si>
  <si>
    <t>Standard Hydrate Alumina</t>
  </si>
  <si>
    <t xml:space="preserve"> 'Baseline Parameter'! B1.(ii)</t>
  </si>
  <si>
    <t>B.3</t>
  </si>
  <si>
    <t xml:space="preserve">Special  Hydrate  Course </t>
  </si>
  <si>
    <t xml:space="preserve"> 'Baseline Parameter'! B1.(iii)</t>
  </si>
  <si>
    <t>Special  Hydrate  Microfined</t>
  </si>
  <si>
    <t xml:space="preserve"> 'Baseline Parameter'! B1.(iv)</t>
  </si>
  <si>
    <t xml:space="preserve">Special  Hydrate  Milled </t>
  </si>
  <si>
    <t xml:space="preserve"> 'Baseline Parameter'! B1.(v)</t>
  </si>
  <si>
    <t xml:space="preserve">Special Calcined Alumina Course </t>
  </si>
  <si>
    <t xml:space="preserve"> 'Baseline Parameter'! B1.(vi)</t>
  </si>
  <si>
    <t>Special Calcined Alumina Microfined</t>
  </si>
  <si>
    <t xml:space="preserve"> 'Baseline Parameter'! B1.(vii)</t>
  </si>
  <si>
    <t xml:space="preserve">Special Calcined Alumina Milled </t>
  </si>
  <si>
    <t xml:space="preserve"> 'Baseline Parameter'! B1.(viii)</t>
  </si>
  <si>
    <t xml:space="preserve">By Products Energy Consumption </t>
  </si>
  <si>
    <t>Energy Consumption of Carbon Black</t>
  </si>
  <si>
    <t>Baseline Parameter'! B1.1.(i)</t>
  </si>
  <si>
    <t>Energy Consumption of Carbon Paste</t>
  </si>
  <si>
    <t>Baseline Parameter'! B1.1.(ii)</t>
  </si>
  <si>
    <t>Energy Consumption of Zeolite</t>
  </si>
  <si>
    <t>Baseline Parameter'! B1.1.(iii)</t>
  </si>
  <si>
    <t>Energy Consumption of Other By-Product</t>
  </si>
  <si>
    <t>Baseline Parameter'! B1.1.(iv)</t>
  </si>
  <si>
    <t>Total Energy Consumption of ByProducts</t>
  </si>
  <si>
    <t>Energy Factors</t>
  </si>
  <si>
    <t>Hydrate Alumina into Calcined Alumina</t>
  </si>
  <si>
    <t>{(B.2)/(B.1)}</t>
  </si>
  <si>
    <t>Special Hydrate Course  to Calcined Alumina</t>
  </si>
  <si>
    <t>{(B.3)/(B.1)}</t>
  </si>
  <si>
    <t>Special Hydrate Microfined to Calcined Alumina</t>
  </si>
  <si>
    <t>{(B.4)/(B.1)}</t>
  </si>
  <si>
    <t>Special Hydrate Milled  to Calcined Alumina</t>
  </si>
  <si>
    <t>{(B.5)/(B.1)}</t>
  </si>
  <si>
    <t>Special Calcined Alumina course to Calcined Alumina</t>
  </si>
  <si>
    <t>{(B.6)/(B.1)}</t>
  </si>
  <si>
    <t>Special Calcined Alumina Microfined to Calcined Alumina</t>
  </si>
  <si>
    <t>{(B.7)/(B.1)}</t>
  </si>
  <si>
    <t>Special Calcined Alumina Milled to Calcined Alumina</t>
  </si>
  <si>
    <t>{(B.8)/(B.1)}</t>
  </si>
  <si>
    <t>Equivalent Product- Calcined Alumina</t>
  </si>
  <si>
    <t>Standard Calcined Alumina</t>
  </si>
  <si>
    <t>(A.2)</t>
  </si>
  <si>
    <t>{(A.1)*(D.1)}</t>
  </si>
  <si>
    <t>{(A.3)*(D.2)}</t>
  </si>
  <si>
    <t>{(A.4)*(D.3)}</t>
  </si>
  <si>
    <t>{(A.5)*(D.4)}</t>
  </si>
  <si>
    <t>{(A.6)*(D.5)}</t>
  </si>
  <si>
    <t>{(A.7)*(D.6)}</t>
  </si>
  <si>
    <t>{(A.8)*(D.7)}</t>
  </si>
  <si>
    <t>Total Equivalent alumina Production</t>
  </si>
  <si>
    <t xml:space="preserve">{(E.1)+(E.2)+(E.3)+(E.4)+(E.5)+(E.6)+(E.7)+(E.8)-(E.2)} or if no calcined alumina {(E.2)+(E.3)+(E.4)+(E.5)+(E.6)+(E.7)+(E.8)} </t>
  </si>
  <si>
    <t>Smelter</t>
  </si>
  <si>
    <t>Total Molten Aluminum Production</t>
  </si>
  <si>
    <t xml:space="preserve"> 'Baseline Parameter'! A2 (i)</t>
  </si>
  <si>
    <t>Total Production - Cast House</t>
  </si>
  <si>
    <t xml:space="preserve"> 'Baseline Parameter'! A2 (ii)</t>
  </si>
  <si>
    <t>Total Billet Production</t>
  </si>
  <si>
    <t xml:space="preserve"> 'Baseline Parameter'! A2 (iii)</t>
  </si>
  <si>
    <t>Total Ingot Production</t>
  </si>
  <si>
    <t xml:space="preserve"> 'Baseline Parameter'! A2 (iv)</t>
  </si>
  <si>
    <t>Total Bars production</t>
  </si>
  <si>
    <t xml:space="preserve"> 'Baseline Parameter'! A2 (v)</t>
  </si>
  <si>
    <t>Total Primary foundry alloys production</t>
  </si>
  <si>
    <t xml:space="preserve"> 'Baseline Parameter'! A2 (vi)</t>
  </si>
  <si>
    <t>Total Wire rod Production</t>
  </si>
  <si>
    <t xml:space="preserve"> 'Baseline Parameter'! A2 (vii)</t>
  </si>
  <si>
    <t>Total strips production</t>
  </si>
  <si>
    <t xml:space="preserve"> 'Baseline Parameter'! A2 (viii)</t>
  </si>
  <si>
    <t>Other Products</t>
  </si>
  <si>
    <t xml:space="preserve"> 'Baseline Parameter'! A2 (ix)</t>
  </si>
  <si>
    <t>SEC of Molten Aluminum</t>
  </si>
  <si>
    <t xml:space="preserve"> 'Baseline Parameter'! B2 (i)</t>
  </si>
  <si>
    <t>SEC of Billet</t>
  </si>
  <si>
    <t xml:space="preserve"> 'Baseline Parameter'! B2 (ii)</t>
  </si>
  <si>
    <t>SEC of Ingot</t>
  </si>
  <si>
    <t xml:space="preserve"> 'Baseline Parameter'! B2 (iii)</t>
  </si>
  <si>
    <t>SEC of Bars</t>
  </si>
  <si>
    <t xml:space="preserve"> 'Baseline Parameter'! B2 (iv)</t>
  </si>
  <si>
    <t>SEC of Primary Foundary Alloys</t>
  </si>
  <si>
    <t xml:space="preserve"> 'Baseline Parameter'! B2 (v)</t>
  </si>
  <si>
    <t>SEC of wire Rods</t>
  </si>
  <si>
    <t xml:space="preserve"> 'Baseline Parameter'! B2 (vi)</t>
  </si>
  <si>
    <t>SEC of Strips</t>
  </si>
  <si>
    <t xml:space="preserve"> 'Baseline Parameter'! B2 (vii)</t>
  </si>
  <si>
    <t>SEC of Other Products (if any) after Molten Aluminum</t>
  </si>
  <si>
    <t xml:space="preserve"> 'Baseline Parameter'! B2 (viii)</t>
  </si>
  <si>
    <t>Conversion factor of billet</t>
  </si>
  <si>
    <t xml:space="preserve"> {(B.2)/(B.1)}</t>
  </si>
  <si>
    <t>conversion factor of ingots</t>
  </si>
  <si>
    <t xml:space="preserve"> {(B.3)/(B.1)}</t>
  </si>
  <si>
    <t>conversion factor of bars</t>
  </si>
  <si>
    <t xml:space="preserve"> {(B.4)/(B.1)}</t>
  </si>
  <si>
    <t>conversion factor of primary foundary</t>
  </si>
  <si>
    <t xml:space="preserve"> {(B.5)/(B.1)}</t>
  </si>
  <si>
    <t>converstion factor of wire rods</t>
  </si>
  <si>
    <t xml:space="preserve"> {(B.6)/(B.1)}</t>
  </si>
  <si>
    <t>conversion factor of Stips</t>
  </si>
  <si>
    <t xml:space="preserve"> {(B.7)/(B.1)}</t>
  </si>
  <si>
    <t xml:space="preserve">conversion factor of other product </t>
  </si>
  <si>
    <t xml:space="preserve"> {(B.8)/(B.1)}</t>
  </si>
  <si>
    <t>Equivalent product</t>
  </si>
  <si>
    <t>Molten Aluminium Prouction</t>
  </si>
  <si>
    <t xml:space="preserve"> (A.1)</t>
  </si>
  <si>
    <t>Billet to Equivalent molten aluminum product</t>
  </si>
  <si>
    <t>{(A.3)*(C.1)}</t>
  </si>
  <si>
    <t>Ingots to Equivalent molten aluminum product</t>
  </si>
  <si>
    <t>{(A.4)*(C.2)}</t>
  </si>
  <si>
    <t>Bars to Equivalent molten aluminum product</t>
  </si>
  <si>
    <t>{(A.5)*(C.3)}</t>
  </si>
  <si>
    <t>Primary foundary to Equivalent molten aluminum product</t>
  </si>
  <si>
    <t>{(A.6)*(C.4)}</t>
  </si>
  <si>
    <t>Wire rods to Equivalent molten aluminum product</t>
  </si>
  <si>
    <t>{(A.7)*(C.5)}</t>
  </si>
  <si>
    <t xml:space="preserve"> Strips to Equivalent molten aluminum product</t>
  </si>
  <si>
    <t>{(A.8)*(C.6)}</t>
  </si>
  <si>
    <t>Others to Equivalent molten aluminum product</t>
  </si>
  <si>
    <t>{(A.9)*(C.7)}</t>
  </si>
  <si>
    <t>Total Equivalent Product</t>
  </si>
  <si>
    <t>{(D.1)+(D.2)+(D.3)+(D.4)+(D.5)+(D.6)+(D.7)+(D.8)}</t>
  </si>
  <si>
    <t>Intermediary Products (Refinery and Integrated)</t>
  </si>
  <si>
    <t>CO2 emission from Intermediary Product (Refinery)</t>
  </si>
  <si>
    <t>CO2 emission from Import of Hydrated Alumina</t>
  </si>
  <si>
    <t>F.1.1</t>
  </si>
  <si>
    <t>F.1.2</t>
  </si>
  <si>
    <t>Total Net Import Energy for Hydrated Alumina</t>
  </si>
  <si>
    <t>Million kcal/Annum</t>
  </si>
  <si>
    <t xml:space="preserve">Emission factor for process and Power </t>
  </si>
  <si>
    <t>F.1.4</t>
  </si>
  <si>
    <t>Total Net Import/Export CO2 for Hydrated Alumina to be added</t>
  </si>
  <si>
    <t>Additional Major Product production due to  Export of Hydrated Alumina</t>
  </si>
  <si>
    <t>F2.1</t>
  </si>
  <si>
    <t>Total Export of Hydrated Alumina</t>
  </si>
  <si>
    <t>F2.2</t>
  </si>
  <si>
    <t>SEC of Major Product (Calcined Alumina)</t>
  </si>
  <si>
    <t>F2.3</t>
  </si>
  <si>
    <t xml:space="preserve">Total Net Export Energy for Hydrated Alumina </t>
  </si>
  <si>
    <t>Million Kcal/Annum</t>
  </si>
  <si>
    <t>F2.4</t>
  </si>
  <si>
    <t>Equivalent product after Exported Alumina</t>
  </si>
  <si>
    <t>CO2 emission from Intermediary Product (Integrated)</t>
  </si>
  <si>
    <t>CO2 emission from Import of Calcined Alumina</t>
  </si>
  <si>
    <t>Total Net Import Energy for Calcined Alumina</t>
  </si>
  <si>
    <t>Total Net Import/Export CO2 for Calcined Alumina to be added</t>
  </si>
  <si>
    <t>SEC of Major Product (Molten Alumininium)</t>
  </si>
  <si>
    <t>Total Net Export Energy for Exported Alumina</t>
  </si>
  <si>
    <t>Equivalent Molten Aluminium production after exported Alumina</t>
  </si>
  <si>
    <r>
      <t>Form-Sa</t>
    </r>
    <r>
      <rPr>
        <b/>
        <color indexed="9"/>
        <family val="1"/>
        <vertAlign val="subscript"/>
        <sz val="18"/>
        <rFont val="Cambria"/>
      </rPr>
      <t>1</t>
    </r>
    <r>
      <rPr>
        <b/>
        <color indexed="9"/>
        <family val="1"/>
        <sz val="18"/>
        <rFont val="Cambria"/>
      </rPr>
      <t xml:space="preserve"> (Base Line Parameters For PAT Scheme) </t>
    </r>
  </si>
  <si>
    <t xml:space="preserve">Sector: Aluminum Sector </t>
  </si>
  <si>
    <t>SubSector</t>
  </si>
  <si>
    <t>Duration</t>
  </si>
  <si>
    <t>Refinery Stocks</t>
  </si>
  <si>
    <t>Hydrate Alumina Closing Stock</t>
  </si>
  <si>
    <t>Calcined Alumina Opening Stock (Integrated Process)</t>
  </si>
  <si>
    <t>Calcined Alumina Closing Stock (Integrated Process)</t>
  </si>
  <si>
    <t>Hydrate Alumina exported</t>
  </si>
  <si>
    <t>Calcined Alumina exported (Integrated Process)</t>
  </si>
  <si>
    <t>Calcined Alumina imported (Integrated Process)</t>
  </si>
  <si>
    <t xml:space="preserve">Calculation of Specific Energy Consumption </t>
  </si>
  <si>
    <t>Standard /Calcined Alumina</t>
  </si>
  <si>
    <t>Special Hydrate Course</t>
  </si>
  <si>
    <t>Special Hydrate Microfined</t>
  </si>
  <si>
    <t>Special Hydrate Milled</t>
  </si>
  <si>
    <t>Special Alumina Course</t>
  </si>
  <si>
    <t>Special  Alumina Microfined</t>
  </si>
  <si>
    <t>Special Alumina Milled</t>
  </si>
  <si>
    <t>B1.1</t>
  </si>
  <si>
    <t>Smelting Process</t>
  </si>
  <si>
    <t>SEC  of Strips</t>
  </si>
  <si>
    <t>SEC of Carbon Anode</t>
  </si>
  <si>
    <t>C1</t>
  </si>
  <si>
    <t>C2</t>
  </si>
  <si>
    <t xml:space="preserve">Details of Electricity Consumption </t>
  </si>
  <si>
    <t>D1</t>
  </si>
  <si>
    <t>Electricity from Grid / Other</t>
  </si>
  <si>
    <t>Purchased Electricity from grid (SEB)</t>
  </si>
  <si>
    <t>Renewable Electricity (Through Wheeling)</t>
  </si>
  <si>
    <t>Electricity from CPP located outside from plant boundary (Through Wheeling)</t>
  </si>
  <si>
    <t>E1.1</t>
  </si>
  <si>
    <t>Through DG sets</t>
  </si>
  <si>
    <t>Avg. Gross Heat rate of DG Set</t>
  </si>
  <si>
    <t>E.1.2</t>
  </si>
  <si>
    <t xml:space="preserve">Through Steam turbine/ generator   </t>
  </si>
  <si>
    <t xml:space="preserve">Average Gross Heat Rate </t>
  </si>
  <si>
    <t>E.1.3</t>
  </si>
  <si>
    <t>E.1.4</t>
  </si>
  <si>
    <t>Through Co-generation (Extraction cum condensing)</t>
  </si>
  <si>
    <t>Design Heat Rate</t>
  </si>
  <si>
    <t>E1.5</t>
  </si>
  <si>
    <t>Through Co-generation (Extraction/Back Pressure)</t>
  </si>
  <si>
    <t>Weighted Average Heat Rate of plant</t>
  </si>
  <si>
    <t>F1</t>
  </si>
  <si>
    <t>Total Generation of Electricity</t>
  </si>
  <si>
    <t>F2</t>
  </si>
  <si>
    <t>F3</t>
  </si>
  <si>
    <t>F4</t>
  </si>
  <si>
    <t>Total Electricity Consumed</t>
  </si>
  <si>
    <t>GCV of Fuels</t>
  </si>
  <si>
    <t xml:space="preserve">GCV of Imported Coal </t>
  </si>
  <si>
    <t>GCV of Indian Coal</t>
  </si>
  <si>
    <t>GCV of Petcoke</t>
  </si>
  <si>
    <t>G4</t>
  </si>
  <si>
    <t>GCV of Liquid Fuel (FO)</t>
  </si>
  <si>
    <t>G5</t>
  </si>
  <si>
    <t>GCV of Liquid Fuel (HSD)</t>
  </si>
  <si>
    <t>Fuel consumption</t>
  </si>
  <si>
    <t>I1</t>
  </si>
  <si>
    <t>Total fuel energy used for power generation-(fossil &amp; Non-fossil)</t>
  </si>
  <si>
    <t>I2</t>
  </si>
  <si>
    <t>Total fuel energy used for power generation (only Non-fossil)</t>
  </si>
  <si>
    <t>I3</t>
  </si>
  <si>
    <t>Total fuel energy used for process-(fossil &amp; Non-fossil)</t>
  </si>
  <si>
    <t>I4</t>
  </si>
  <si>
    <t>Total fuel energy used for process (only non-fossil)</t>
  </si>
  <si>
    <t>I5</t>
  </si>
  <si>
    <t>Total fuel consumption</t>
  </si>
  <si>
    <t xml:space="preserve">List of additional Equipment installed due to Environmental Concern after baseline year </t>
  </si>
  <si>
    <t>Equipment Name</t>
  </si>
  <si>
    <t>Equipment Sr No</t>
  </si>
  <si>
    <t>Section</t>
  </si>
  <si>
    <t>Date of Commissioning</t>
  </si>
  <si>
    <t>Electrical Rated Capacity</t>
  </si>
  <si>
    <t>Thermal Rated Capacity</t>
  </si>
  <si>
    <t xml:space="preserve">Running Load </t>
  </si>
  <si>
    <t>Electricity Consumption #</t>
  </si>
  <si>
    <t>Thermal Consumption ##</t>
  </si>
  <si>
    <t>Million kcal/annum</t>
  </si>
  <si>
    <t>Hours/ Annum</t>
  </si>
  <si>
    <t>Lakh kWH/ Annum</t>
  </si>
  <si>
    <t>#</t>
  </si>
  <si>
    <t>Equipmenmt wise Energy Meter Reading or Energy Management System Data required in support of the claim</t>
  </si>
  <si>
    <t>##</t>
  </si>
  <si>
    <t>Equipment wise Document related to consumption of Liquid Fuel, Solid Fuel Aleterante Fuel is required in support of the claim</t>
  </si>
  <si>
    <t xml:space="preserve">List of Equipment and Energy consumed during project activity up to commissining during the Assessment year  </t>
  </si>
  <si>
    <t>Project Activity Start Date</t>
  </si>
  <si>
    <t>Electricity Consumption#</t>
  </si>
  <si>
    <t xml:space="preserve">Thermal Consumption## </t>
  </si>
  <si>
    <t>Normalization Factor for Bauxite Quality</t>
  </si>
  <si>
    <t>Calculation/Basis</t>
  </si>
  <si>
    <t>Form Sa1'! A1(iii)</t>
  </si>
  <si>
    <t>TAA/THA</t>
  </si>
  <si>
    <t>Form Sa1'! J(IV)</t>
  </si>
  <si>
    <t>Form Sa1'! J(viii)</t>
  </si>
  <si>
    <t>Form Sa1'! J(ix)</t>
  </si>
  <si>
    <t>Form Sa1'! J(x)</t>
  </si>
  <si>
    <t>t/t of mud</t>
  </si>
  <si>
    <t>Form Sa1'! J(xi)</t>
  </si>
  <si>
    <t>Fe in Bxt</t>
  </si>
  <si>
    <t>Form Sa1'! J(xii)</t>
  </si>
  <si>
    <t>Form Sa1'! J(xiii)</t>
  </si>
  <si>
    <t>Form Sa1'! J(xiv)</t>
  </si>
  <si>
    <t>Form Sa1'! e3.6</t>
  </si>
  <si>
    <t>Specific Bauxite Factor (SBC)</t>
  </si>
  <si>
    <t>1/{(2)% *(100-(3))%*(4)%}</t>
  </si>
  <si>
    <t>t bxt/t Al</t>
  </si>
  <si>
    <t>Mud Factor</t>
  </si>
  <si>
    <t>Fe2O3 in Bxt/Fe2O3 in Mud - {(7)/(8)}</t>
  </si>
  <si>
    <t>t mud/t bxt</t>
  </si>
  <si>
    <t>Wash Water in tons</t>
  </si>
  <si>
    <t>{(11)*(100-(3))%*(12)*(5)}</t>
  </si>
  <si>
    <t>Excess Moisture</t>
  </si>
  <si>
    <t>[{(11AY)-(11BY)}*(3)]</t>
  </si>
  <si>
    <t>Excess Wash Water</t>
  </si>
  <si>
    <t>{(13AY)-(13BY)}</t>
  </si>
  <si>
    <t>Excess Steam</t>
  </si>
  <si>
    <t>{(14)+(15)}/(6)}</t>
  </si>
  <si>
    <t>Notional Energy for moisture</t>
  </si>
  <si>
    <t>{(16)*(9)*10^3/(10)}</t>
  </si>
  <si>
    <t>kcal/t</t>
  </si>
  <si>
    <t>Notional Energy to be subtracted</t>
  </si>
  <si>
    <t>{(17)*(1)/10^6}</t>
  </si>
  <si>
    <t xml:space="preserve">Normalized Boiler Efficiency in CPP (unit Wise) </t>
  </si>
  <si>
    <t>Basis/Calculation</t>
  </si>
  <si>
    <t>Unit 1</t>
  </si>
  <si>
    <t>Unit 2</t>
  </si>
  <si>
    <t>Unit 3</t>
  </si>
  <si>
    <t>Unit 4</t>
  </si>
  <si>
    <t>Unit 5</t>
  </si>
  <si>
    <t>Unit 6</t>
  </si>
  <si>
    <t>Unit 7</t>
  </si>
  <si>
    <t>Unit 8</t>
  </si>
  <si>
    <t>Unit 9</t>
  </si>
  <si>
    <t>Unit 10</t>
  </si>
  <si>
    <t>BY</t>
  </si>
  <si>
    <t>AY</t>
  </si>
  <si>
    <t>Unit Capacity</t>
  </si>
  <si>
    <t xml:space="preserve"> 'Form Sa1 CPP'! {4.a.(i)Cap}</t>
  </si>
  <si>
    <t>Form Sa1 CPP'! {4.a.(i)TM}</t>
  </si>
  <si>
    <t>Form Sa1 CPP'! {4.a.(i)A}</t>
  </si>
  <si>
    <t xml:space="preserve">GCV </t>
  </si>
  <si>
    <t>Form Sa1 CPP'! {4.a.(i)G}</t>
  </si>
  <si>
    <t>Form Sa1 CPP'! {4.a.(i)H}</t>
  </si>
  <si>
    <t>% Boiler Efficiency (As  per Formulae)</t>
  </si>
  <si>
    <t>92.5- {50*[2] +630*([1]+9*[4])}/[3]</t>
  </si>
  <si>
    <t>% Decrease in Efficiency from calculated Boiler operating Efficiency from calculated Boiler Design Eff</t>
  </si>
  <si>
    <t>Normalised Boiler Efficiency for Unit</t>
  </si>
  <si>
    <t>Actual Design Boiler Efficiency of Unit (As per OEM)</t>
  </si>
  <si>
    <t>As per Form I</t>
  </si>
  <si>
    <t>Design Turbine Heat Rate of Unit      (As per OEM)</t>
  </si>
  <si>
    <t>Final Unit Design Heat Rate of Unit  (As per OEM)</t>
  </si>
  <si>
    <t>[7]/[6]</t>
  </si>
  <si>
    <t>([8]D-[8]O)/[8]D</t>
  </si>
  <si>
    <t xml:space="preserve">Degradation/Upgradation of Actual Boiler Design Efficiency </t>
  </si>
  <si>
    <t>[6]D*[9]D/100</t>
  </si>
  <si>
    <t>Normalised Boiler Efficiency Design for Unit</t>
  </si>
  <si>
    <t>[6]D-[10]D</t>
  </si>
  <si>
    <t xml:space="preserve">Boiler Efficiency for Station in Baseline Year </t>
  </si>
  <si>
    <t>{(1u#1)*(6U#1)}+{(1u#2)*(6U#2)}+{(1u#3)*(6U#3)}+{(1u#4)*(6U#4)}+{(1u#5)*(6U#5)}+{(1u#6)*(6U#6)}+{(1u#7)*(6U#7)}+{(1u#8)*(6U#8)}+{(1u#9)*(6U#9)}+{(1u#10)*(6U#10)}]/[(1u#1)+(1u#2)+(1u#3)+(1u#4)+(1u#5)+(1u#6)+(1u#7)+(1u#8)+(1u#9)+(1u#10)]</t>
  </si>
  <si>
    <t>Boiler Efficiency for Station in Assesment year</t>
  </si>
  <si>
    <t>Normalization Factor for Fuel Quality in CPP</t>
  </si>
  <si>
    <t>CPP Generation</t>
  </si>
  <si>
    <t>Form Sa1 CPP'! (2b Gr.Gn.)</t>
  </si>
  <si>
    <t>Actual CPP Heat Rate</t>
  </si>
  <si>
    <t>Baseline Parameter!E.1.2.3</t>
  </si>
  <si>
    <t>(7) &amp; (8)</t>
  </si>
  <si>
    <t>CPP Heat Rate due to Fuel Quality in AY</t>
  </si>
  <si>
    <t>(A2)BY x [(A3)BY/(A3)AY]</t>
  </si>
  <si>
    <t>Difference CPP Heat rate from BY to AY</t>
  </si>
  <si>
    <t>(A4)AY-(A4)BY</t>
  </si>
  <si>
    <t>Energy to be subtracted w.r.t. Fuel Quality</t>
  </si>
  <si>
    <t>(A5)AY x (A1)AY/10</t>
  </si>
  <si>
    <t>Normalization Factor for Fuel Quality in C0-GEN</t>
  </si>
  <si>
    <t>Form Sa1'! i(ii)</t>
  </si>
  <si>
    <t>Form Sa1'! i(iv)</t>
  </si>
  <si>
    <t>Form Sa1'! i(i1i)</t>
  </si>
  <si>
    <t>Form Sa1'! i(i)</t>
  </si>
  <si>
    <t>92.5- [{50 x (3) + 630x ((4)+ 9x (5))} / (6)]</t>
  </si>
  <si>
    <t>Steam Generation at Boiler 1-5</t>
  </si>
  <si>
    <t>Form Sa1'! (e 1.4)</t>
  </si>
  <si>
    <t>Steam Generation at Boiler 6-10</t>
  </si>
  <si>
    <t>Form Sa1'! (e 3.1)</t>
  </si>
  <si>
    <t>Specific Energy Consumption for Steam Generation in Cogen Boiler 1-5</t>
  </si>
  <si>
    <t>Form Sa1'! (e 1.9)</t>
  </si>
  <si>
    <t>kcal/kg of Steam</t>
  </si>
  <si>
    <t>Specific Energy Consumption for Steam Generation in Process Boiler 6-10</t>
  </si>
  <si>
    <t>Form Sa1'! (e 3.4)</t>
  </si>
  <si>
    <t>Form Sa1'! (e 1.10)</t>
  </si>
  <si>
    <t>Weighted Percentage of Coal Energy Used in steam Generation (Co-Gen Boilers)</t>
  </si>
  <si>
    <t>Form Sa1'! (e 3.5)</t>
  </si>
  <si>
    <t>Weighted Average Specific Steam Consumption</t>
  </si>
  <si>
    <t>Annual-[{(B8)*(B6)+((B9)*(B7)}/{(B6)+(B7)}]</t>
  </si>
  <si>
    <t>Normalised Specific Energy Consumption for Steam Generation</t>
  </si>
  <si>
    <t>[(B12 BY)* (B5 BY)/(B5 AY)]</t>
  </si>
  <si>
    <t>Difference Specific Steam from BY to AY</t>
  </si>
  <si>
    <t>[(B13 AY)-(B12 BY)]</t>
  </si>
  <si>
    <t>Energy to be subtracted w.r.t. Fuel Quality in Co-Gen</t>
  </si>
  <si>
    <t>[[(B14)*{(B6)*(B10)+(B7)*(B11)}]/1000]</t>
  </si>
  <si>
    <t xml:space="preserve">Total Notional energy for Coal Quality deterioration to be subratced w.r.t fuel quality </t>
  </si>
  <si>
    <t>[(B15)+(A6)]</t>
  </si>
  <si>
    <t>Normalization Factor for Unit Load Factor</t>
  </si>
  <si>
    <t>Name of Unit</t>
  </si>
  <si>
    <t>Form Sa1 CPP'! 1a(i) Cap</t>
  </si>
  <si>
    <t>Form Sa1 CPP'! 2a (i) Gr.Gn</t>
  </si>
  <si>
    <t>Lakh Unit</t>
  </si>
  <si>
    <t>Design Turbine Heat Rate @ 100% Load (OEM)</t>
  </si>
  <si>
    <t>Form Sa1 CPP'! 1a(i) THR-OEM</t>
  </si>
  <si>
    <t>Design Turbine Heat Rate @ 100% Load (Curve or HBD)</t>
  </si>
  <si>
    <t>Form Sa1 CPP'! 1a(i) THR-Curve</t>
  </si>
  <si>
    <t>% Difference between Design Turbine Heat Rate and Design Curve or HBD Turbine Heat rate</t>
  </si>
  <si>
    <t>{(3)-(4)*100}/(3)</t>
  </si>
  <si>
    <t>Plant Availability Factor</t>
  </si>
  <si>
    <t>Form Sa1 CPP'! 3.b.1.i UAF</t>
  </si>
  <si>
    <t>Average Operating Load (MW) caused by low ULF due to external factor</t>
  </si>
  <si>
    <t>Form Sa1 CPP'! 3.b.1.i. AOL@Ex.Fct.</t>
  </si>
  <si>
    <t>Form Sa1 CPP'! 3.b.1.i AOH@Low ULF</t>
  </si>
  <si>
    <t>Hrs/Annum</t>
  </si>
  <si>
    <t>Total Operating hours in year as per Unit Availability factor</t>
  </si>
  <si>
    <t>8760*(5)</t>
  </si>
  <si>
    <t>Operating hours at full load</t>
  </si>
  <si>
    <t>(9)-(8)</t>
  </si>
  <si>
    <t xml:space="preserve"> Load Vs Heat Rate Equation </t>
  </si>
  <si>
    <t>Form Sa1 CPP'! 1.a.i. Cur.Eq. y=ax2-bx+c</t>
  </si>
  <si>
    <t>Quadratic Equation</t>
  </si>
  <si>
    <t>Equation Constant 1</t>
  </si>
  <si>
    <t>Form Sa1 CPP'! 1.a.i. Cur.Eq. const.1</t>
  </si>
  <si>
    <t>Equation Constant 2</t>
  </si>
  <si>
    <t>Form Sa1 CPP'! 1.a.i. Cur.Eq. const.2</t>
  </si>
  <si>
    <t>Equation Constant 3</t>
  </si>
  <si>
    <t>Form Sa1 CPP'! 1.a.i. Cur.Eq. const.3</t>
  </si>
  <si>
    <t>Turbine Heat Rate as per Load Vs Heat Rate Equation due to external factor</t>
  </si>
  <si>
    <t>{(12)*(7)^2-(13)*(7)+(14)}</t>
  </si>
  <si>
    <t>Design Turbine Heat Rate after Curve correction and difference correction</t>
  </si>
  <si>
    <t>[(15)*{1+(5)/100}]</t>
  </si>
  <si>
    <t>Normalised Design Turbine Heat rate due to external factor</t>
  </si>
  <si>
    <t>[{(16)*(8)+(3)*(10)}/(9)]</t>
  </si>
  <si>
    <t>Difference of THR between AY and BY</t>
  </si>
  <si>
    <t>[(17AY)-(17BY)]</t>
  </si>
  <si>
    <t>Energy to be subtracted per unit</t>
  </si>
  <si>
    <t>[{(18)*(2)}/10]</t>
  </si>
  <si>
    <t>Total Notional Energy to be subracted due to Low PLF</t>
  </si>
  <si>
    <t>(19 AY U#1)+(19 AY U#2)+(19 AY U#3)+(19 AY U#4)+(19 AY U#5)+(19 AY U#6)+(19 AY U#7)+(19 AY U#8)+(19 AY U#9)+(19 AY U#10)</t>
  </si>
  <si>
    <t>Normalization Factor for Carbon Anode Production</t>
  </si>
  <si>
    <t>Carbon Anode production</t>
  </si>
  <si>
    <t>Form Sa1'! C(ii)</t>
  </si>
  <si>
    <t>Form Sa1'! C(viii)</t>
  </si>
  <si>
    <t>Form Sa1'! C(ix)</t>
  </si>
  <si>
    <t>Opening Carbon Anode stock</t>
  </si>
  <si>
    <t>Form Sa1'! C(vi)</t>
  </si>
  <si>
    <t>Closing Carbon Anode stock</t>
  </si>
  <si>
    <t>Form Sa1'! C(vii)</t>
  </si>
  <si>
    <t>Carbon Anode stock</t>
  </si>
  <si>
    <t>(5)-(4)</t>
  </si>
  <si>
    <t>Total Carbon Anode Exported</t>
  </si>
  <si>
    <t>(3)+(6)</t>
  </si>
  <si>
    <t>Total Carbon Anode Imported</t>
  </si>
  <si>
    <t>(2)-(6)</t>
  </si>
  <si>
    <t>SEC of Carbon Anode Production</t>
  </si>
  <si>
    <t>Baseline Parameter'! b.2.(ix)</t>
  </si>
  <si>
    <t>Total Notional Energy for Carbon Anode Exported</t>
  </si>
  <si>
    <t>(9)x(7)</t>
  </si>
  <si>
    <t>Total Notional Energy for Carbon Anode Imported</t>
  </si>
  <si>
    <t>(9)x(8)</t>
  </si>
  <si>
    <t xml:space="preserve">Net Energy  for carbon anode for import and Export </t>
  </si>
  <si>
    <t>(10)-(12)</t>
  </si>
  <si>
    <t>Notional energy to be subtracted</t>
  </si>
  <si>
    <t>(13)[AY]-(13)[BY]</t>
  </si>
  <si>
    <t>Normalization Factor for Smelter Capacity Utilisation</t>
  </si>
  <si>
    <t>Baseline Year [BY]</t>
  </si>
  <si>
    <t>Assessment Year [AY]</t>
  </si>
  <si>
    <t xml:space="preserve">Production </t>
  </si>
  <si>
    <t>Form Sa1'! b.1.(ii)</t>
  </si>
  <si>
    <t>Baseline Parameter'! (C.2)</t>
  </si>
  <si>
    <t>No of operating Pot (NOP)</t>
  </si>
  <si>
    <t>Form Sa1'! b.1.(iv)</t>
  </si>
  <si>
    <t>Form Sa1'! b.1.(v)</t>
  </si>
  <si>
    <t>Form Sa1'! b.1.(vi)</t>
  </si>
  <si>
    <t>Form Sa1'! b.1.(vii)</t>
  </si>
  <si>
    <t>Form Sa1'! b.1.(viii)</t>
  </si>
  <si>
    <t>Current Efficiency of Pots (CE)</t>
  </si>
  <si>
    <t>Form Sa1'! b.1.(ix)</t>
  </si>
  <si>
    <t>[[{(7)+(4)*(5)}*298000]/ {(4)*(8)}]</t>
  </si>
  <si>
    <t>[{(6)-(5)}*2980]/(8)</t>
  </si>
  <si>
    <t>{(3)*100/(4)}</t>
  </si>
  <si>
    <t>SEC Design at CU%</t>
  </si>
  <si>
    <t>{(9)/(11)}+(10)</t>
  </si>
  <si>
    <t>kwh/ton</t>
  </si>
  <si>
    <t xml:space="preserve">Notional Specific Energy Consumption  </t>
  </si>
  <si>
    <t>(12 AY)-(12 BY)</t>
  </si>
  <si>
    <t>Electrical Energy to be deducted due to lower capacity utilisation</t>
  </si>
  <si>
    <t>(13)*(1)/10^6</t>
  </si>
  <si>
    <t>Total Electrical Energy to be deducted due to lower capacity utilisation</t>
  </si>
  <si>
    <t>(14 AY L#1)+(14 AY L#2)+(14 AY L#3)+(14 AY L#4)+(14 AY L#5)+(14 AY L#6)+(14 AY L#7)+(14 AY L#8)+(14 AY L#9)+(14 AY L#10)</t>
  </si>
  <si>
    <t>(15)*(2)AY</t>
  </si>
  <si>
    <t>Normalization Factor- Others</t>
  </si>
  <si>
    <t>Descriptions</t>
  </si>
  <si>
    <t>Basis/ Calculations</t>
  </si>
  <si>
    <t>Baseline Parameter'! (C2 )</t>
  </si>
  <si>
    <t xml:space="preserve">Biomass Gross Calorific Value </t>
  </si>
  <si>
    <t>Form Sa1'! {C.6.(ii) }</t>
  </si>
  <si>
    <t>Soild Alternate Fuel Gross Calorific  Value</t>
  </si>
  <si>
    <t>Form Sa1'! {C.7.(ii)}</t>
  </si>
  <si>
    <t>Liquid Alternate Fuel Gross Calorific Value</t>
  </si>
  <si>
    <t>Form Sa1'! {D.6.(ii) }</t>
  </si>
  <si>
    <t>5.i</t>
  </si>
  <si>
    <t>Generation Net Heat Rate</t>
  </si>
  <si>
    <t>NF - 5 Power Mix'! (22 )</t>
  </si>
  <si>
    <t>5.ii</t>
  </si>
  <si>
    <t>Steam Specific Energy Consumption</t>
  </si>
  <si>
    <t>NF - 2 Fuel Quality CPP &amp; Cogen'! (12)</t>
  </si>
  <si>
    <t>kcal/kg of steam</t>
  </si>
  <si>
    <t>Form Sa1'! {b.1.(viii) AY}</t>
  </si>
  <si>
    <t>Form Sa1'! {b.1.(ix) AY}</t>
  </si>
  <si>
    <t>Normalized Gate to Gate Specific Energy Consumption Refinery Process</t>
  </si>
  <si>
    <t xml:space="preserve"> Summary Sheet'! (I )</t>
  </si>
  <si>
    <t>Form Sa1'! {b.1.(xiv) BY}</t>
  </si>
  <si>
    <t>Equivalent Major Product Output in tonnes as per PAT scheme Notification</t>
  </si>
  <si>
    <t>Form Sa1'! {b.1.(xv) BY}</t>
  </si>
  <si>
    <t>Electrical and Thermal Energy consumed due to Calciner/Major section start/stop (due to external factor)</t>
  </si>
  <si>
    <t>Form Sa1'!n.7+'Form Sa1'!n.10)*E5/10)+'Form Sa1'!n.11</t>
  </si>
  <si>
    <t>Additional Electrical and Thermal Energy consuemed due to Calciner/Major section start/stop (due to external factor)</t>
  </si>
  <si>
    <t>(11)AY-(11)BY</t>
  </si>
  <si>
    <t>Additional Electrical &amp; Thermal Energy Consumed due to Environmental Concern</t>
  </si>
  <si>
    <t>('Form Sa1'! (k.1.(i)AY)*F5/10)+'Form Sa1'! (k.1.(ii)AY)</t>
  </si>
  <si>
    <t>Biomass replacement with Fossil fuel due to un-availbility used in the process</t>
  </si>
  <si>
    <t>Form Sa1'! (k.2.(i)AY)*E6/10^3</t>
  </si>
  <si>
    <t>Alternate Solid Fuel replacement with Fossil fuel due to un-availbility used in the process</t>
  </si>
  <si>
    <t>Form Sa1'! (k.2.(ii)AY)*E7/10^3</t>
  </si>
  <si>
    <t>Alternate Liquid Fuel replacement with Fossil fuel due to un-availbility used in the process</t>
  </si>
  <si>
    <t>Form Sa1'! (k.2.(iii)AY)*E8/10^3</t>
  </si>
  <si>
    <t>Additional Electrical &amp; Thermal Energy Consumed due to commissioning of Equipment (Construction Phase)</t>
  </si>
  <si>
    <t>('Form Sa1'! (k.3.(i)AY)*F5/10)+'Form Sa1'! (k.3.(ii))</t>
  </si>
  <si>
    <t xml:space="preserve">Electrical &amp; Thermal Energy Consumed due to commissioning of New process Line/Unit till it attains 70% of Capacity Utilisation </t>
  </si>
  <si>
    <t>('Form Sa1'! (k.4.(i)AY)*F5/10)+'Form Sa1'!I1029</t>
  </si>
  <si>
    <t>Electrical &amp; Thermal Energy Consumed from external source due to commissioning of New Line/Unit till it attains 70% of Capacity Utilisation in Power generation (CPP/Cogen)</t>
  </si>
  <si>
    <t>('Form Sa1'! (k.4.(vi)AY)*F5/10)+'Form Sa1'! (k.4.(vii)AY)</t>
  </si>
  <si>
    <t xml:space="preserve">Energy to be added for Steam Generation From Co-Gen till New Line /Unit attains 70% of Capacity Utilisation </t>
  </si>
  <si>
    <t>Form Sa1'! (k.4.(viii)AY)*'NF-8 Others'!(5.ii AY)/1000</t>
  </si>
  <si>
    <t>Energy to be addedd for Net Electricity Genration till new line/ Unit attains 70% Capacity Utilisation from CPP/Cogen</t>
  </si>
  <si>
    <t>Form Sa1'! (k.4.(ix)AY)*'NF-8 Others'!(5.i AY)/10</t>
  </si>
  <si>
    <t>Electrical &amp; Thermal Energy to be Normalised due to unforeseen circumstances</t>
  </si>
  <si>
    <t>('Form Sa1'! (K.5.(i)AY)*F5/10)+'Form Sa1'! (k.5.(ii) AY)</t>
  </si>
  <si>
    <t xml:space="preserve">Energy to be subtracted </t>
  </si>
  <si>
    <t xml:space="preserve"> Million kcal</t>
  </si>
  <si>
    <t>Renewable Energy Certificate Normalisation</t>
  </si>
  <si>
    <t>Target Saving to be achieved (PAT obligation)</t>
  </si>
  <si>
    <t>(9)</t>
  </si>
  <si>
    <t>(24) X (10)</t>
  </si>
  <si>
    <t xml:space="preserve">Target Saving Achieved </t>
  </si>
  <si>
    <t>(8)BY-(8)AY</t>
  </si>
  <si>
    <t>(26)AY * (10) BY</t>
  </si>
  <si>
    <t>Additional Saving achieved (After PAT obligation)</t>
  </si>
  <si>
    <t>(26)AY- (24)BY</t>
  </si>
  <si>
    <t>(27)AY-(25)BY</t>
  </si>
  <si>
    <t>Thermal energy conversion for REC and Preferential tariff</t>
  </si>
  <si>
    <t>if[(5.i)AY=0, {(6)AY+(7)AY} X 2717 X 1000/10^7, otherwise {(6)AY+(7)AY} X (5.i)AY X 1000/10^7]</t>
  </si>
  <si>
    <t>Thermal Energy to be Normalised for REC and preferential tariff power sell under REC mechanism</t>
  </si>
  <si>
    <t>If[(28)&lt;=0,0,Otherwise if{(30)&gt;(29),(29),otherwise(30)}]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</si>
</sst>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164" formatCode="0.0"/>
    <numFmt numFmtId="165" formatCode="dd/mm/yyyy;@"/>
    <numFmt numFmtId="166" formatCode="0.0000"/>
    <numFmt numFmtId="167" formatCode="0.000"/>
    <numFmt numFmtId="168" formatCode="_ &quot;₹&quot; * #,##0.00_ ;_ &quot;₹&quot; * -#,##0.00_ ;_ &quot;₹&quot; * &quot;-&quot;??_ ;_ @_ "/>
    <numFmt numFmtId="169" formatCode="0.00000"/>
    <numFmt numFmtId="170" formatCode="0.000000000"/>
    <numFmt numFmtId="171" formatCode="0.000000000000"/>
    <numFmt numFmtId="172" formatCode="0.00000000"/>
    <numFmt numFmtId="173" formatCode="0.0000000"/>
    <numFmt numFmtId="174" formatCode="0.000000"/>
    <numFmt numFmtId="175" formatCode="0.0000000E+00"/>
  </numFmts>
  <fonts count="113" x14ac:knownFonts="1">
    <font>
      <color theme="1"/>
      <family val="2"/>
      <scheme val="minor"/>
      <sz val="11"/>
      <name val="Calibri"/>
    </font>
    <font>
      <u/>
      <color theme="10"/>
      <family val="2"/>
      <scheme val="minor"/>
      <sz val="11"/>
      <name val="Calibri"/>
    </font>
    <font>
      <color theme="0"/>
      <family val="2"/>
      <scheme val="minor"/>
      <sz val="11"/>
      <name val="Calibri"/>
    </font>
    <font>
      <family val="2"/>
      <scheme val="minor"/>
      <sz val="11"/>
      <name val="Calibri"/>
    </font>
    <font>
      <color theme="4" tint="-0.499984740745262"/>
      <family val="2"/>
      <scheme val="minor"/>
      <sz val="11"/>
      <name val="Calibri"/>
    </font>
    <font>
      <u/>
      <color theme="1"/>
      <family val="2"/>
      <scheme val="minor"/>
      <sz val="11"/>
      <name val="Calibri"/>
    </font>
    <font>
      <b/>
      <color indexed="8"/>
      <family val="2"/>
      <scheme val="minor"/>
      <sz val="11"/>
      <name val="Calibri"/>
    </font>
    <font>
      <color rgb="FFFF0000"/>
      <family val="2"/>
      <scheme val="minor"/>
      <sz val="11"/>
      <name val="Calibri"/>
    </font>
    <font>
      <b/>
      <color theme="1"/>
      <family val="2"/>
      <scheme val="minor"/>
      <sz val="11"/>
      <name val="Calibri"/>
    </font>
    <font>
      <family val="2"/>
      <scheme val="minor"/>
      <sz val="9"/>
      <name val="Calibri"/>
    </font>
    <font>
      <b/>
      <color theme="0"/>
      <family val="2"/>
      <scheme val="minor"/>
      <sz val="18"/>
      <name val="Calibri"/>
    </font>
    <font>
      <b/>
      <family val="2"/>
      <scheme val="minor"/>
      <sz val="10"/>
      <name val="Calibri"/>
    </font>
    <font>
      <b/>
      <family val="2"/>
      <scheme val="minor"/>
      <sz val="9"/>
      <name val="Calibri"/>
    </font>
    <font>
      <family val="1"/>
      <scheme val="major"/>
      <sz val="9"/>
      <name val="Cambria"/>
    </font>
    <font>
      <b/>
      <family val="1"/>
      <scheme val="major"/>
      <sz val="9"/>
      <name val="Cambria"/>
    </font>
    <font>
      <color theme="1"/>
      <family val="2"/>
      <scheme val="minor"/>
      <sz val="9"/>
      <name val="Calibri"/>
    </font>
    <font>
      <color indexed="8"/>
      <family val="2"/>
      <sz val="9"/>
      <name val="Calibri"/>
    </font>
    <font>
      <b/>
      <color indexed="8"/>
      <family val="2"/>
      <scheme val="minor"/>
      <sz val="9"/>
      <name val="Calibri"/>
    </font>
    <font>
      <b/>
      <color indexed="8"/>
      <family val="2"/>
      <sz val="9"/>
      <name val="Calibri"/>
    </font>
    <font>
      <b/>
      <family val="1"/>
      <sz val="9"/>
      <name val="Cambria"/>
    </font>
    <font>
      <b/>
      <family val="2"/>
      <sz val="9"/>
      <name val="Calibri"/>
    </font>
    <font>
      <b/>
      <i/>
      <family val="2"/>
      <scheme val="minor"/>
      <sz val="9"/>
      <name val="Calibri"/>
    </font>
    <font>
      <b/>
      <color theme="1"/>
      <family val="2"/>
      <scheme val="minor"/>
      <sz val="9"/>
      <name val="Calibri"/>
    </font>
    <font>
      <b/>
      <i/>
      <color indexed="8"/>
      <family val="2"/>
      <scheme val="minor"/>
      <sz val="9"/>
      <name val="Calibri"/>
    </font>
    <font>
      <family val="1"/>
      <sz val="9"/>
      <name val="Cambria"/>
    </font>
    <font>
      <family val="2"/>
      <sz val="9"/>
      <name val="Calibri"/>
    </font>
    <font>
      <b/>
      <color theme="0"/>
      <family val="1"/>
      <sz val="16"/>
      <name val="Palatino Linotype"/>
    </font>
    <font>
      <b/>
      <color rgb="FF000000"/>
      <family val="1"/>
      <sz val="18"/>
      <name val="Palatino Linotype"/>
    </font>
    <font>
      <b/>
      <color rgb="FF000000"/>
      <family val="1"/>
      <sz val="11"/>
      <name val="Palatino Linotype"/>
    </font>
    <font>
      <color rgb="FF000000"/>
      <family val="1"/>
      <sz val="11"/>
      <name val="Palatino Linotype"/>
    </font>
    <font>
      <b/>
      <color rgb="FF000000"/>
      <family val="1"/>
      <scheme val="major"/>
      <sz val="11"/>
      <name val="Cambria"/>
    </font>
    <font>
      <color indexed="8"/>
      <family val="2"/>
      <sz val="13"/>
      <name val="Calibri"/>
    </font>
    <font>
      <b/>
      <color indexed="8"/>
      <family val="2"/>
      <sz val="11"/>
      <name val="Calibri"/>
    </font>
    <font>
      <family val="1"/>
      <scheme val="major"/>
      <sz val="12"/>
      <name val="Cambria"/>
    </font>
    <font>
      <color indexed="8"/>
      <family val="1"/>
      <sz val="13"/>
      <name val="Cambria"/>
    </font>
    <font>
      <color theme="1"/>
      <family val="2"/>
      <scheme val="minor"/>
      <sz val="10"/>
      <name val="Calibri"/>
    </font>
    <font>
      <color theme="1"/>
      <family val="1"/>
      <scheme val="major"/>
      <sz val="11"/>
      <name val="Cambria"/>
    </font>
    <font>
      <b/>
      <color rgb="FF000000"/>
      <family val="1"/>
      <scheme val="major"/>
      <sz val="12"/>
      <name val="Cambria"/>
    </font>
    <font>
      <color rgb="FF000000"/>
      <family val="1"/>
      <scheme val="major"/>
      <sz val="11"/>
      <name val="Cambria"/>
    </font>
    <font>
      <b/>
      <color theme="1"/>
      <family val="1"/>
      <scheme val="major"/>
      <sz val="11"/>
      <name val="Cambria"/>
    </font>
    <font>
      <b/>
      <color rgb="FF000000"/>
      <family val="1"/>
      <scheme val="major"/>
      <sz val="10"/>
      <name val="Cambria"/>
    </font>
    <font>
      <color rgb="FF000000"/>
      <family val="1"/>
      <sz val="11"/>
      <name val="Cambria"/>
    </font>
    <font>
      <b/>
      <color indexed="8"/>
      <family val="1"/>
      <sz val="11"/>
      <name val="Cambria"/>
    </font>
    <font>
      <b/>
      <color indexed="8"/>
      <family val="1"/>
      <sz val="10"/>
      <name val="Cambria"/>
    </font>
    <font>
      <color indexed="8"/>
      <family val="1"/>
      <sz val="11"/>
      <name val="Cambria"/>
    </font>
    <font>
      <b/>
      <color theme="0"/>
      <family val="2"/>
      <scheme val="minor"/>
      <sz val="20"/>
      <name val="Calibri"/>
    </font>
    <font>
      <b/>
      <color theme="1"/>
      <family val="1"/>
      <scheme val="major"/>
      <sz val="20"/>
      <name val="Cambria"/>
    </font>
    <font>
      <u/>
      <color theme="10"/>
      <family val="2"/>
      <scheme val="minor"/>
      <sz val="8"/>
      <name val="Calibri"/>
    </font>
    <font>
      <u/>
      <color theme="10"/>
      <family val="2"/>
      <scheme val="minor"/>
      <sz val="9"/>
      <name val="Calibri"/>
    </font>
    <font>
      <color indexed="8"/>
      <family val="1"/>
      <scheme val="major"/>
      <sz val="11"/>
      <name val="Cambria"/>
    </font>
    <font>
      <color indexed="8"/>
      <family val="2"/>
      <sz val="11"/>
      <name val="Calibri"/>
    </font>
    <font>
      <family val="2"/>
      <sz val="11"/>
      <name val="Calibri"/>
    </font>
    <font>
      <b/>
      <family val="2"/>
      <scheme val="minor"/>
      <sz val="11"/>
      <name val="Calibri"/>
    </font>
    <font>
      <color theme="1"/>
      <family val="1"/>
      <sz val="11"/>
      <name val="Cambria"/>
    </font>
    <font>
      <b/>
      <color theme="1"/>
      <family val="1"/>
      <scheme val="major"/>
      <sz val="10"/>
      <name val="Cambria"/>
    </font>
    <font>
      <b/>
      <color theme="1"/>
      <family val="1"/>
      <sz val="11"/>
      <name val="Cambria"/>
    </font>
    <font>
      <family val="1"/>
      <sz val="11"/>
      <name val="Cambria"/>
    </font>
    <font>
      <color theme="1"/>
      <family val="2"/>
      <sz val="11"/>
      <name val="Century Gothic"/>
    </font>
    <font>
      <b/>
      <color theme="1"/>
      <family val="2"/>
      <sz val="11"/>
      <name val="Century Gothic"/>
    </font>
    <font>
      <i/>
      <color theme="1"/>
      <family val="1"/>
      <scheme val="major"/>
      <sz val="11"/>
      <name val="Cambria"/>
    </font>
    <font>
      <b/>
      <i/>
      <color theme="1"/>
      <family val="1"/>
      <scheme val="major"/>
      <sz val="11"/>
      <name val="Cambria"/>
    </font>
    <font>
      <b/>
      <i/>
      <family val="1"/>
      <sz val="11"/>
      <name val="Cambria"/>
    </font>
    <font>
      <b/>
      <family val="1"/>
      <sz val="11"/>
      <name val="Cambria"/>
    </font>
    <font>
      <color theme="1"/>
      <family val="1"/>
      <scheme val="major"/>
      <sz val="9"/>
      <name val="Cambria"/>
    </font>
    <font>
      <color theme="1"/>
      <family val="2"/>
      <sz val="11"/>
      <name val="Calibri"/>
    </font>
    <font>
      <b/>
      <color theme="1"/>
      <family val="2"/>
      <scheme val="minor"/>
      <sz val="12"/>
      <name val="Calibri"/>
    </font>
    <font>
      <b/>
      <color theme="1"/>
      <family val="1"/>
      <scheme val="major"/>
      <sz val="12"/>
      <name val="Cambria"/>
    </font>
    <font>
      <b/>
      <u/>
      <color theme="10"/>
      <family val="2"/>
      <scheme val="minor"/>
      <sz val="14"/>
      <name val="Calibri"/>
    </font>
    <font>
      <b/>
      <color theme="1"/>
      <family val="2"/>
      <scheme val="minor"/>
      <sz val="20"/>
      <name val="Calibri"/>
    </font>
    <font>
      <b/>
      <color theme="0"/>
      <family val="1"/>
      <scheme val="major"/>
      <sz val="20"/>
      <name val="Cambria"/>
    </font>
    <font>
      <color theme="1"/>
      <family val="1"/>
      <scheme val="major"/>
      <sz val="14"/>
      <name val="Cambria"/>
    </font>
    <font>
      <b/>
      <color theme="1"/>
      <family val="1"/>
      <sz val="11"/>
      <name val="Palatino Linotype"/>
    </font>
    <font>
      <color theme="1"/>
      <family val="1"/>
      <sz val="10"/>
      <name val="Palatino Linotype"/>
    </font>
    <font>
      <color theme="1"/>
      <family val="1"/>
      <sz val="11"/>
      <name val="Palatino Linotype"/>
    </font>
    <font>
      <b/>
      <color theme="1"/>
      <family val="1"/>
      <sz val="10"/>
      <name val="Palatino Linotype"/>
    </font>
    <font>
      <color indexed="8"/>
      <family val="1"/>
      <sz val="11"/>
      <name val="Palatino Linotype"/>
    </font>
    <font>
      <color theme="1"/>
      <family val="1"/>
      <sz val="9"/>
      <name val="Palatino Linotype"/>
    </font>
    <font>
      <color indexed="8"/>
      <family val="1"/>
      <sz val="9"/>
      <name val="Palatino Linotype"/>
    </font>
    <font>
      <b/>
      <color theme="1"/>
      <family val="1"/>
      <sz val="9"/>
      <name val="Palatino Linotype"/>
    </font>
    <font>
      <b/>
      <color indexed="8"/>
      <family val="1"/>
      <sz val="11"/>
      <name val="Palatino Linotype"/>
    </font>
    <font>
      <b/>
      <color theme="0"/>
      <family val="1"/>
      <scheme val="major"/>
      <sz val="26"/>
      <name val="Cambria"/>
    </font>
    <font>
      <b/>
      <family val="1"/>
      <sz val="18"/>
      <name val="Cambria"/>
    </font>
    <font>
      <color theme="1"/>
      <family val="2"/>
      <scheme val="minor"/>
      <sz val="12"/>
      <name val="Calibri"/>
    </font>
    <font>
      <b/>
      <family val="1"/>
      <sz val="12"/>
      <name val="Cambria"/>
    </font>
    <font>
      <b/>
      <color rgb="FF000000"/>
      <family val="1"/>
      <sz val="12"/>
      <name val="Cambria"/>
    </font>
    <font>
      <color rgb="FF000000"/>
      <family val="1"/>
      <sz val="12"/>
      <name val="Cambria"/>
    </font>
    <font>
      <b/>
      <color rgb="FF000000"/>
      <family val="1"/>
      <sz val="11"/>
      <name val="Cambria"/>
    </font>
    <font>
      <color theme="1"/>
      <family val="1"/>
      <sz val="12"/>
      <name val="Cambria"/>
    </font>
    <font>
      <b/>
      <family val="1"/>
      <scheme val="major"/>
      <sz val="12"/>
      <name val="Cambria"/>
    </font>
    <font>
      <color theme="1"/>
      <family val="1"/>
      <scheme val="major"/>
      <sz val="12"/>
      <name val="Cambria"/>
    </font>
    <font>
      <b/>
      <family val="1"/>
      <scheme val="major"/>
      <sz val="11"/>
      <name val="Cambria"/>
    </font>
    <font>
      <b/>
      <color indexed="8"/>
      <family val="1"/>
      <scheme val="major"/>
      <sz val="12"/>
      <name val="Cambria"/>
    </font>
    <font>
      <b/>
      <color indexed="8"/>
      <family val="1"/>
      <scheme val="major"/>
      <sz val="11"/>
      <name val="Cambria"/>
    </font>
    <font>
      <family val="1"/>
      <scheme val="major"/>
      <sz val="11"/>
      <name val="Cambria"/>
    </font>
    <font>
      <i/>
      <color indexed="8"/>
      <family val="1"/>
      <sz val="11"/>
      <name val="Cambria"/>
    </font>
    <font>
      <i/>
      <family val="1"/>
      <sz val="11"/>
      <name val="Cambria"/>
    </font>
    <font>
      <color rgb="FF000000"/>
      <family val="2"/>
      <sz val="11"/>
      <name val="Arial"/>
    </font>
    <font>
      <color theme="0"/>
      <family val="1"/>
      <scheme val="major"/>
      <sz val="16"/>
      <name val="Cambria"/>
    </font>
    <font>
      <b/>
      <u/>
      <color theme="10"/>
      <family val="2"/>
      <scheme val="minor"/>
      <sz val="11"/>
      <name val="Calibri"/>
    </font>
    <font>
      <color theme="0"/>
      <family val="1"/>
      <scheme val="major"/>
      <sz val="18"/>
      <name val="Cambria"/>
    </font>
    <font>
      <b/>
      <color theme="0"/>
      <family val="1"/>
      <scheme val="major"/>
      <sz val="18"/>
      <name val="Cambria"/>
    </font>
    <font>
      <color theme="1"/>
      <family val="1"/>
      <scheme val="major"/>
      <sz val="10"/>
      <name val="Cambria"/>
    </font>
    <font>
      <color theme="0"/>
      <family val="2"/>
      <scheme val="minor"/>
      <sz val="18"/>
      <name val="Calibri"/>
    </font>
    <font>
      <color theme="1"/>
      <family val="2"/>
      <scheme val="minor"/>
      <sz val="18"/>
      <name val="Calibri"/>
    </font>
    <font>
      <color theme="1"/>
      <family val="2"/>
      <scheme val="minor"/>
      <sz val="14"/>
      <name val="Calibri"/>
    </font>
    <font>
      <color rgb="FF000000"/>
      <family val="2"/>
      <scheme val="minor"/>
      <sz val="11"/>
      <name val="Calibri"/>
    </font>
    <font>
      <b/>
      <color rgb="FF000000"/>
      <family val="2"/>
      <scheme val="minor"/>
      <sz val="11"/>
      <name val="Calibri"/>
    </font>
    <font>
      <b/>
      <i/>
      <color theme="1"/>
      <family val="2"/>
      <scheme val="minor"/>
      <sz val="11"/>
      <name val="Calibri"/>
    </font>
    <font>
      <b/>
      <i/>
      <color rgb="FF000000"/>
      <family val="2"/>
      <scheme val="minor"/>
      <sz val="11"/>
      <name val="Calibri"/>
    </font>
    <font>
      <b/>
      <color rgb="FFFF0000"/>
      <family val="2"/>
      <scheme val="minor"/>
      <sz val="11"/>
      <name val="Calibri"/>
    </font>
    <font>
      <color theme="0"/>
      <family val="2"/>
      <scheme val="minor"/>
      <sz val="20"/>
      <name val="Calibri"/>
    </font>
    <font>
      <b/>
      <color theme="1"/>
      <family val="2"/>
      <scheme val="minor"/>
      <sz val="14"/>
      <name val="Calibri"/>
    </font>
    <font>
      <b/>
      <color theme="0"/>
      <family val="2"/>
      <sz val="18"/>
      <name val="Century Gothic"/>
    </font>
  </fonts>
  <fills count="38">
    <fill>
      <patternFill patternType="none"/>
    </fill>
    <fill>
      <patternFill patternType="gray125"/>
    </fill>
    <fill>
      <patternFill patternType="solid">
        <fgColor rgb="FF0070C0"/>
        <bgColor indexed="64"/>
      </patternFill>
    </fill>
    <fill>
      <patternFill patternType="solid">
        <fgColor theme="0"/>
        <bgColor indexed="64"/>
      </patternFill>
    </fill>
    <fill>
      <patternFill patternType="solid">
        <fgColor theme="8"/>
        <bgColor indexed="64"/>
      </patternFill>
    </fill>
    <fill>
      <patternFill patternType="solid">
        <fgColor indexed="30"/>
        <bgColor indexed="64"/>
      </patternFill>
    </fill>
    <fill>
      <patternFill patternType="solid">
        <fgColor theme="8" tint="-0.249977111117893"/>
        <bgColor indexed="64"/>
      </patternFill>
    </fill>
    <fill>
      <patternFill patternType="solid">
        <fgColor theme="9" tint="0.5999938962981048"/>
        <bgColor indexed="64"/>
      </patternFill>
    </fill>
    <fill>
      <patternFill patternType="solid">
        <fgColor theme="9" tint="0.7999816888943144"/>
        <bgColor indexed="64"/>
      </patternFill>
    </fill>
    <fill>
      <patternFill patternType="solid">
        <fgColor rgb="FF92D050"/>
        <bgColor indexed="64"/>
      </patternFill>
    </fill>
    <fill>
      <patternFill patternType="solid">
        <fgColor rgb="FF00FF00"/>
        <bgColor indexed="64"/>
      </patternFill>
    </fill>
    <fill>
      <patternFill patternType="solid">
        <fgColor rgb="FF002060"/>
        <bgColor rgb="FF000000"/>
      </patternFill>
    </fill>
    <fill>
      <patternFill patternType="solid">
        <fgColor theme="0" tint="-0.249977111117893"/>
        <bgColor indexed="64"/>
      </patternFill>
    </fill>
    <fill>
      <patternFill patternType="solid">
        <fgColor rgb="FFFFFF00"/>
        <bgColor indexed="64"/>
      </patternFill>
    </fill>
    <fill>
      <patternFill patternType="solid">
        <fgColor theme="0" tint="-0.1499984740745262"/>
        <bgColor indexed="64"/>
      </patternFill>
    </fill>
    <fill>
      <patternFill patternType="solid">
        <fgColor rgb="FFFFFFFF"/>
        <bgColor rgb="FF000000"/>
      </patternFill>
    </fill>
    <fill>
      <patternFill patternType="solid">
        <fgColor indexed="9"/>
        <bgColor indexed="64"/>
      </patternFill>
    </fill>
    <fill>
      <patternFill patternType="solid">
        <fgColor theme="0" tint="-0.0499893185216834"/>
        <bgColor indexed="64"/>
      </patternFill>
    </fill>
    <fill>
      <patternFill patternType="solid">
        <fgColor indexed="22"/>
        <bgColor indexed="64"/>
      </patternFill>
    </fill>
    <fill>
      <patternFill patternType="solid">
        <fgColor theme="4" tint="0.7999816888943144"/>
        <bgColor indexed="64"/>
      </patternFill>
    </fill>
    <fill>
      <patternFill patternType="solid">
        <fgColor rgb="FFF2F2F2"/>
        <bgColor indexed="64"/>
      </patternFill>
    </fill>
    <fill>
      <patternFill patternType="solid">
        <fgColor indexed="18"/>
        <bgColor indexed="64"/>
      </patternFill>
    </fill>
    <fill>
      <patternFill patternType="solid">
        <fgColor theme="6" tint="0.7999816888943144"/>
        <bgColor indexed="64"/>
      </patternFill>
    </fill>
    <fill>
      <patternFill patternType="solid">
        <fgColor indexed="45"/>
        <bgColor indexed="64"/>
      </patternFill>
    </fill>
    <fill>
      <patternFill patternType="solid">
        <fgColor rgb="FFFF99CC"/>
        <bgColor indexed="64"/>
      </patternFill>
    </fill>
    <fill>
      <patternFill patternType="solid">
        <fgColor theme="5" tint="0.7999816888943144"/>
        <bgColor indexed="64"/>
      </patternFill>
    </fill>
    <fill>
      <patternFill patternType="solid">
        <fgColor rgb="FFFFCCFF"/>
        <bgColor indexed="64"/>
      </patternFill>
    </fill>
    <fill>
      <patternFill patternType="solid">
        <fgColor theme="8" tint="-0.249977111117893"/>
        <bgColor rgb="FF000000"/>
      </patternFill>
    </fill>
    <fill>
      <patternFill patternType="solid">
        <fgColor theme="9" tint="0.7999816888943144"/>
        <bgColor rgb="FF000000"/>
      </patternFill>
    </fill>
    <fill>
      <patternFill patternType="solid">
        <fgColor theme="3" tint="0.7999816888943144"/>
        <bgColor indexed="64"/>
      </patternFill>
    </fill>
    <fill>
      <patternFill patternType="solid">
        <fgColor rgb="FF002060"/>
        <bgColor indexed="64"/>
      </patternFill>
    </fill>
    <fill>
      <patternFill patternType="solid">
        <fgColor theme="7" tint="0.3999755851924192"/>
        <bgColor indexed="64"/>
      </patternFill>
    </fill>
    <fill>
      <patternFill patternType="solid">
        <fgColor theme="2" tint="-0.0999786370433668"/>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3" tint="0.5999938962981048"/>
        <bgColor indexed="64"/>
      </patternFill>
    </fill>
    <fill>
      <patternFill patternType="solid">
        <fgColor theme="3" tint="0.3999755851924192"/>
        <bgColor indexed="64"/>
      </patternFill>
    </fill>
    <fill>
      <patternFill patternType="solid">
        <fgColor rgb="FFF2F2F2"/>
        <bgColor rgb="FF000000"/>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top/>
      <bottom style="thin">
        <color indexed="64"/>
      </bottom>
      <diagonal/>
    </border>
    <border>
      <left style="thin">
        <color indexed="64"/>
      </left>
      <right style="thick">
        <color indexed="64"/>
      </right>
      <top style="thin">
        <color indexed="64"/>
      </top>
      <bottom style="thin">
        <color indexed="64"/>
      </bottom>
      <diagonal/>
    </border>
    <border>
      <left style="medium">
        <color indexed="64"/>
      </left>
      <right/>
      <top style="thin">
        <color indexed="64"/>
      </top>
      <bottom/>
      <diagonal/>
    </border>
    <border>
      <left/>
      <right style="thin">
        <color indexed="64"/>
      </right>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554">
    <xf numFmtId="0" fontId="0" fillId="0" borderId="0" xfId="0"/>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0" fillId="0" borderId="1" xfId="0" applyBorder="1" applyAlignment="1">
      <alignment horizontal="center"/>
    </xf>
    <xf numFmtId="0" fontId="2" fillId="2" borderId="1" xfId="0" applyFont="1" applyFill="1" applyBorder="1" applyAlignment="1">
      <alignment horizontal="center"/>
    </xf>
    <xf numFmtId="0" fontId="3" fillId="0" borderId="5" xfId="0" applyFont="1" applyBorder="1" applyAlignment="1">
      <alignment horizontal="center" vertical="center"/>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3" fillId="0" borderId="9" xfId="0" applyFont="1" applyBorder="1" applyAlignment="1">
      <alignment horizontal="center" vertical="center"/>
    </xf>
    <xf numFmtId="0" fontId="4" fillId="0" borderId="10" xfId="0" applyFont="1" applyBorder="1" applyAlignment="1">
      <alignment horizontal="left" vertical="top"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3" fillId="0" borderId="1" xfId="0" applyFont="1" applyBorder="1" applyAlignment="1">
      <alignment horizontal="center"/>
    </xf>
    <xf numFmtId="0" fontId="4" fillId="0" borderId="1" xfId="0" applyFont="1" applyBorder="1" applyAlignment="1">
      <alignment horizontal="left" vertical="top" wrapText="1"/>
    </xf>
    <xf numFmtId="0" fontId="5" fillId="0" borderId="2" xfId="0" applyFont="1" applyBorder="1" applyAlignment="1">
      <alignment horizontal="left"/>
    </xf>
    <xf numFmtId="0" fontId="5" fillId="0" borderId="3" xfId="0" applyFont="1" applyBorder="1" applyAlignment="1">
      <alignment horizontal="left"/>
    </xf>
    <xf numFmtId="0" fontId="5" fillId="0" borderId="4" xfId="0" applyFont="1" applyBorder="1" applyAlignment="1">
      <alignment horizontal="left"/>
    </xf>
    <xf numFmtId="0" fontId="0" fillId="3" borderId="12" xfId="0" applyFill="1" applyBorder="1" applyAlignment="1">
      <alignment horizontal="center" vertical="center"/>
    </xf>
    <xf numFmtId="0" fontId="0" fillId="3" borderId="13" xfId="0" applyFill="1" applyBorder="1" applyAlignment="1">
      <alignment horizontal="center" vertical="center"/>
    </xf>
    <xf numFmtId="0" fontId="0" fillId="3" borderId="14" xfId="0" applyFill="1" applyBorder="1" applyAlignment="1">
      <alignment horizontal="center" vertical="center"/>
    </xf>
    <xf numFmtId="0" fontId="4" fillId="0" borderId="2" xfId="0" applyFont="1" applyBorder="1" applyAlignment="1">
      <alignment horizontal="left"/>
    </xf>
    <xf numFmtId="0" fontId="4" fillId="0" borderId="3" xfId="0" applyFont="1" applyBorder="1" applyAlignment="1">
      <alignment horizontal="left"/>
    </xf>
    <xf numFmtId="0" fontId="4" fillId="0" borderId="4" xfId="0" applyFont="1" applyBorder="1" applyAlignment="1">
      <alignment horizontal="left"/>
    </xf>
    <xf numFmtId="0" fontId="0" fillId="0" borderId="0" xfId="0" applyAlignment="1">
      <alignment horizontal="center" vertical="center"/>
    </xf>
    <xf numFmtId="0" fontId="0" fillId="0" borderId="0" xfId="0"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6" fillId="0" borderId="0" xfId="0" applyFont="1" applyAlignment="1">
      <alignment horizontal="left" vertical="center"/>
    </xf>
    <xf numFmtId="0" fontId="0" fillId="4" borderId="15" xfId="0" applyFill="1" applyBorder="1" applyAlignment="1">
      <alignment horizontal="center" vertical="center"/>
    </xf>
    <xf numFmtId="0" fontId="0" fillId="4" borderId="16" xfId="0" applyFill="1" applyBorder="1" applyAlignment="1">
      <alignment horizontal="center" vertical="center"/>
    </xf>
    <xf numFmtId="0" fontId="0" fillId="4" borderId="17" xfId="0" applyFill="1" applyBorder="1" applyAlignment="1">
      <alignment horizontal="center" vertical="center"/>
    </xf>
    <xf numFmtId="0" fontId="0" fillId="5" borderId="15" xfId="0" applyFill="1" applyBorder="1" applyAlignment="1">
      <alignment horizontal="center" vertical="center"/>
    </xf>
    <xf numFmtId="0" fontId="0" fillId="5" borderId="16" xfId="0" applyFill="1" applyBorder="1" applyAlignment="1">
      <alignment horizontal="center" vertical="center"/>
    </xf>
    <xf numFmtId="0" fontId="0" fillId="5" borderId="17" xfId="0" applyFill="1" applyBorder="1" applyAlignment="1">
      <alignment horizontal="center" vertical="center"/>
    </xf>
    <xf numFmtId="0" fontId="0" fillId="6" borderId="18" xfId="0" applyFill="1" applyBorder="1" applyAlignment="1">
      <alignment horizontal="center" vertical="center"/>
    </xf>
    <xf numFmtId="0" fontId="0" fillId="6" borderId="19" xfId="0" applyFill="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7" borderId="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4" xfId="0" applyFill="1" applyBorder="1" applyAlignment="1">
      <alignment horizontal="center" vertical="center" wrapText="1"/>
    </xf>
    <xf numFmtId="0" fontId="0" fillId="3" borderId="2" xfId="0" applyFill="1" applyBorder="1" applyAlignment="1" applyProtection="1">
      <alignment horizontal="center" vertical="center" wrapText="1"/>
      <protection locked="0"/>
    </xf>
    <xf numFmtId="0" fontId="0" fillId="3" borderId="3" xfId="0" applyFill="1" applyBorder="1" applyAlignment="1" applyProtection="1">
      <alignment horizontal="center" vertical="center" wrapText="1"/>
      <protection locked="0"/>
    </xf>
    <xf numFmtId="0" fontId="0" fillId="3" borderId="4" xfId="0" applyFill="1" applyBorder="1" applyAlignment="1" applyProtection="1">
      <alignment horizontal="center" vertical="center" wrapText="1"/>
      <protection locked="0"/>
    </xf>
    <xf numFmtId="0" fontId="4" fillId="8" borderId="2" xfId="0" applyFont="1" applyFill="1" applyBorder="1" applyAlignment="1">
      <alignment horizontal="left"/>
    </xf>
    <xf numFmtId="0" fontId="4" fillId="8" borderId="3" xfId="0" applyFont="1" applyFill="1" applyBorder="1" applyAlignment="1">
      <alignment horizontal="left"/>
    </xf>
    <xf numFmtId="2" fontId="6" fillId="9" borderId="2" xfId="0" applyNumberFormat="1" applyFont="1" applyFill="1" applyBorder="1" applyAlignment="1">
      <alignment horizontal="center" vertical="center"/>
    </xf>
    <xf numFmtId="2" fontId="6" fillId="9" borderId="3" xfId="0" applyNumberFormat="1" applyFont="1" applyFill="1" applyBorder="1" applyAlignment="1">
      <alignment horizontal="center" vertical="center"/>
    </xf>
    <xf numFmtId="2" fontId="6" fillId="9" borderId="4" xfId="0" applyNumberFormat="1" applyFont="1" applyFill="1" applyBorder="1" applyAlignment="1">
      <alignment horizontal="center" vertical="center"/>
    </xf>
    <xf numFmtId="0" fontId="4" fillId="0" borderId="1" xfId="0" applyFont="1" applyBorder="1" applyAlignment="1">
      <alignment horizontal="left" wrapText="1"/>
    </xf>
    <xf numFmtId="0" fontId="7" fillId="0" borderId="1" xfId="0" applyFont="1" applyBorder="1" applyAlignment="1">
      <alignment horizontal="left" vertical="top" wrapText="1"/>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vertical="center"/>
    </xf>
    <xf numFmtId="0" fontId="8" fillId="10" borderId="1" xfId="0" applyFont="1" applyFill="1" applyBorder="1" applyAlignment="1">
      <alignment horizontal="left" vertical="top" wrapText="1"/>
    </xf>
    <xf numFmtId="0" fontId="0" fillId="10" borderId="1" xfId="0" applyFill="1" applyBorder="1" applyAlignment="1">
      <alignment horizontal="left" vertical="top" wrapText="1"/>
    </xf>
    <xf numFmtId="0" fontId="0" fillId="0" borderId="23" xfId="0" applyBorder="1" applyAlignment="1">
      <alignment horizontal="center" vertical="center"/>
    </xf>
    <xf numFmtId="0" fontId="0" fillId="0" borderId="9" xfId="0" applyBorder="1" applyAlignment="1">
      <alignment horizontal="center" vertical="center"/>
    </xf>
    <xf numFmtId="0" fontId="9" fillId="0" borderId="0" xfId="0" applyFont="1" applyAlignment="1">
      <alignment horizontal="center" wrapText="1"/>
    </xf>
    <xf numFmtId="0" fontId="9" fillId="0" borderId="0" xfId="0" applyFont="1" applyAlignment="1">
      <alignment wrapText="1"/>
    </xf>
    <xf numFmtId="0" fontId="9" fillId="0" borderId="0" xfId="0" applyFont="1" applyAlignment="1">
      <alignment vertical="top"/>
    </xf>
    <xf numFmtId="0" fontId="9" fillId="0" borderId="0" xfId="0" applyFont="1" applyAlignment="1">
      <alignment vertical="top" wrapText="1"/>
    </xf>
    <xf numFmtId="0" fontId="10" fillId="11" borderId="1" xfId="0" applyFont="1" applyFill="1" applyBorder="1" applyAlignment="1">
      <alignment horizontal="center" vertical="center" wrapText="1"/>
    </xf>
    <xf numFmtId="0" fontId="1" fillId="0" borderId="0" xfId="0" applyFont="1" applyAlignment="1">
      <alignment wrapText="1"/>
    </xf>
    <xf numFmtId="0" fontId="11" fillId="12" borderId="1" xfId="0" applyFont="1" applyFill="1" applyBorder="1" applyAlignment="1">
      <alignment horizontal="center" vertical="center" wrapText="1"/>
    </xf>
    <xf numFmtId="0" fontId="11" fillId="12" borderId="1" xfId="0" applyFont="1" applyFill="1" applyBorder="1" applyAlignment="1">
      <alignment horizontal="center" vertical="top"/>
    </xf>
    <xf numFmtId="0" fontId="11" fillId="12" borderId="1" xfId="0" applyFont="1" applyFill="1" applyBorder="1" applyAlignment="1">
      <alignment horizontal="center" vertical="top" wrapText="1"/>
    </xf>
    <xf numFmtId="0" fontId="12" fillId="13" borderId="2" xfId="0" applyFont="1" applyFill="1" applyBorder="1" applyAlignment="1">
      <alignment horizontal="center" vertical="center" wrapText="1"/>
    </xf>
    <xf numFmtId="0" fontId="12" fillId="13" borderId="3" xfId="0" applyFont="1" applyFill="1" applyBorder="1" applyAlignment="1">
      <alignment horizontal="center" vertical="center" wrapText="1"/>
    </xf>
    <xf numFmtId="0" fontId="12" fillId="13" borderId="4" xfId="0" applyFont="1" applyFill="1" applyBorder="1" applyAlignment="1">
      <alignment horizontal="center" vertical="center" wrapText="1"/>
    </xf>
    <xf numFmtId="0" fontId="12" fillId="14" borderId="1" xfId="0" applyFont="1" applyFill="1" applyBorder="1" applyAlignment="1">
      <alignment horizontal="center" vertical="center" wrapText="1"/>
    </xf>
    <xf numFmtId="0" fontId="12" fillId="14" borderId="1" xfId="0" applyFont="1" applyFill="1" applyBorder="1" applyAlignment="1">
      <alignment vertical="center" wrapText="1"/>
    </xf>
    <xf numFmtId="0" fontId="9" fillId="0" borderId="1" xfId="0" applyFont="1" applyBorder="1" applyAlignment="1">
      <alignment horizontal="center" vertical="center" wrapText="1"/>
    </xf>
    <xf numFmtId="0" fontId="12" fillId="0" borderId="1" xfId="0" applyFont="1" applyBorder="1" applyAlignment="1">
      <alignment vertical="center" wrapText="1"/>
    </xf>
    <xf numFmtId="0" fontId="9" fillId="0" borderId="1" xfId="0" applyFont="1" applyBorder="1" applyAlignment="1">
      <alignment vertical="top" wrapText="1"/>
    </xf>
    <xf numFmtId="0" fontId="9" fillId="0" borderId="1" xfId="0" applyFont="1" applyBorder="1" applyAlignment="1">
      <alignment horizontal="left" vertical="center" wrapText="1"/>
    </xf>
    <xf numFmtId="0" fontId="9" fillId="0" borderId="1" xfId="0" applyFont="1" applyBorder="1" applyAlignment="1">
      <alignment horizontal="left" vertical="top" wrapText="1"/>
    </xf>
    <xf numFmtId="0" fontId="9" fillId="0" borderId="1" xfId="0" applyFont="1" applyBorder="1" applyAlignment="1">
      <alignment vertical="top"/>
    </xf>
    <xf numFmtId="0" fontId="12" fillId="0" borderId="1" xfId="0" applyFont="1" applyBorder="1" applyAlignment="1">
      <alignment horizontal="center" vertical="center" wrapText="1"/>
    </xf>
    <xf numFmtId="0" fontId="12" fillId="15" borderId="1" xfId="0" applyFont="1" applyFill="1" applyBorder="1" applyAlignment="1">
      <alignment horizontal="left" vertical="center" wrapText="1"/>
    </xf>
    <xf numFmtId="0" fontId="9" fillId="0" borderId="1" xfId="0" applyFont="1" applyBorder="1" applyAlignment="1">
      <alignment vertical="center" wrapText="1"/>
    </xf>
    <xf numFmtId="0" fontId="12" fillId="0" borderId="1" xfId="0" applyFont="1" applyBorder="1" applyAlignment="1">
      <alignment horizontal="left" vertical="center" wrapText="1"/>
    </xf>
    <xf numFmtId="0" fontId="9" fillId="3" borderId="1" xfId="0" applyFont="1" applyFill="1" applyBorder="1" applyAlignment="1">
      <alignment horizontal="center" vertical="center" wrapText="1"/>
    </xf>
    <xf numFmtId="0" fontId="13" fillId="0" borderId="1" xfId="0" applyFont="1" applyBorder="1" applyAlignment="1">
      <alignment horizontal="center" vertical="center"/>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2" fillId="0" borderId="1" xfId="0" applyFont="1" applyBorder="1" applyAlignment="1">
      <alignment vertical="top"/>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9" fillId="0" borderId="5" xfId="0" applyFont="1" applyBorder="1" applyAlignment="1">
      <alignment vertical="center" wrapText="1"/>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9" xfId="0" applyFont="1" applyBorder="1" applyAlignment="1">
      <alignment vertical="top" wrapText="1"/>
    </xf>
    <xf numFmtId="0" fontId="9" fillId="0" borderId="1" xfId="0" applyFont="1" applyBorder="1" applyAlignment="1">
      <alignment horizontal="center" vertical="center"/>
    </xf>
    <xf numFmtId="0" fontId="12" fillId="0" borderId="1" xfId="0" applyFont="1" applyBorder="1" applyAlignment="1">
      <alignment horizontal="left" wrapText="1"/>
    </xf>
    <xf numFmtId="0" fontId="9" fillId="0" borderId="5" xfId="0" applyFont="1" applyBorder="1" applyAlignment="1">
      <alignment vertical="top" wrapText="1"/>
    </xf>
    <xf numFmtId="0" fontId="9" fillId="0" borderId="1" xfId="0" applyFont="1" applyBorder="1" applyAlignment="1">
      <alignment horizontal="left" vertical="center" wrapText="1" indent="1"/>
    </xf>
    <xf numFmtId="0" fontId="9" fillId="0" borderId="2" xfId="0" applyFont="1" applyBorder="1" applyAlignment="1">
      <alignment vertical="top"/>
    </xf>
    <xf numFmtId="0" fontId="9" fillId="0" borderId="4" xfId="0" applyFont="1" applyBorder="1" applyAlignment="1">
      <alignment vertical="center" wrapText="1"/>
    </xf>
    <xf numFmtId="0" fontId="12" fillId="0" borderId="1" xfId="0" applyFont="1" applyBorder="1" applyAlignment="1">
      <alignment horizontal="center" vertical="center"/>
    </xf>
    <xf numFmtId="0" fontId="12" fillId="0" borderId="1" xfId="0" applyFont="1" applyBorder="1" applyAlignment="1">
      <alignment horizontal="left" vertical="center" wrapText="1" indent="1"/>
    </xf>
    <xf numFmtId="0" fontId="15" fillId="0" borderId="1" xfId="0" applyFont="1" applyBorder="1" applyAlignment="1">
      <alignment horizontal="center" vertical="center"/>
    </xf>
    <xf numFmtId="0" fontId="15" fillId="0" borderId="1" xfId="0" applyFont="1" applyBorder="1" applyAlignment="1">
      <alignment vertical="center" wrapText="1"/>
    </xf>
    <xf numFmtId="0" fontId="15" fillId="0" borderId="1" xfId="0" applyFont="1" applyBorder="1" applyAlignment="1">
      <alignment vertical="top"/>
    </xf>
    <xf numFmtId="0" fontId="16" fillId="0" borderId="1" xfId="0" applyFont="1" applyBorder="1" applyAlignment="1">
      <alignment vertical="top" wrapText="1"/>
    </xf>
    <xf numFmtId="0" fontId="15" fillId="0" borderId="1" xfId="0" applyFont="1" applyBorder="1" applyAlignment="1">
      <alignment vertical="top" wrapText="1"/>
    </xf>
    <xf numFmtId="0" fontId="15" fillId="0" borderId="1" xfId="0" applyFont="1" applyBorder="1" applyAlignment="1">
      <alignment horizontal="left" vertical="center" wrapText="1"/>
    </xf>
    <xf numFmtId="2" fontId="15"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0" fontId="18" fillId="0" borderId="1" xfId="0" applyFont="1" applyBorder="1" applyAlignment="1">
      <alignment vertical="center" wrapText="1"/>
    </xf>
    <xf numFmtId="0" fontId="17" fillId="0" borderId="1" xfId="0" applyFont="1" applyBorder="1" applyAlignment="1">
      <alignment vertical="center" wrapText="1"/>
    </xf>
    <xf numFmtId="0" fontId="9" fillId="0" borderId="5" xfId="0" applyFont="1" applyBorder="1" applyAlignment="1">
      <alignment horizontal="center" vertical="top" wrapText="1"/>
    </xf>
    <xf numFmtId="0" fontId="9" fillId="0" borderId="23" xfId="0" applyFont="1" applyBorder="1" applyAlignment="1">
      <alignment horizontal="center" vertical="top" wrapText="1"/>
    </xf>
    <xf numFmtId="0" fontId="9" fillId="0" borderId="9" xfId="0" applyFont="1" applyBorder="1" applyAlignment="1">
      <alignment horizontal="center" vertical="top" wrapText="1"/>
    </xf>
    <xf numFmtId="0" fontId="19" fillId="11" borderId="3" xfId="0" applyFont="1" applyFill="1" applyBorder="1" applyAlignment="1">
      <alignment horizontal="center" vertical="center" wrapText="1"/>
    </xf>
    <xf numFmtId="0" fontId="20" fillId="13" borderId="1" xfId="0" applyFont="1" applyFill="1" applyBorder="1" applyAlignment="1">
      <alignment horizontal="center" vertical="center" wrapText="1"/>
    </xf>
    <xf numFmtId="0" fontId="20" fillId="13" borderId="1" xfId="0" applyFont="1" applyFill="1" applyBorder="1" applyAlignment="1">
      <alignment vertical="center" wrapText="1"/>
    </xf>
    <xf numFmtId="0" fontId="9" fillId="0" borderId="1" xfId="0" applyFont="1" applyBorder="1" applyAlignment="1">
      <alignment horizontal="left" vertical="top"/>
    </xf>
    <xf numFmtId="0" fontId="20" fillId="0" borderId="1" xfId="0" applyFont="1" applyBorder="1" applyAlignment="1">
      <alignment vertical="center" wrapText="1"/>
    </xf>
    <xf numFmtId="0" fontId="9" fillId="0" borderId="23" xfId="0" applyFont="1" applyBorder="1" applyAlignment="1">
      <alignment horizontal="center" vertical="center"/>
    </xf>
    <xf numFmtId="0" fontId="21" fillId="0" borderId="1" xfId="0" applyFont="1" applyBorder="1" applyAlignment="1">
      <alignment horizontal="left" vertical="center" wrapText="1"/>
    </xf>
    <xf numFmtId="0" fontId="13" fillId="16" borderId="1" xfId="0" applyFont="1" applyFill="1" applyBorder="1" applyAlignment="1">
      <alignment horizontal="center" vertical="center"/>
    </xf>
    <xf numFmtId="0" fontId="21" fillId="0" borderId="1" xfId="0" applyFont="1" applyBorder="1" applyAlignment="1">
      <alignment horizontal="center" vertical="top" wrapText="1"/>
    </xf>
    <xf numFmtId="0" fontId="12" fillId="0" borderId="1" xfId="0" applyFont="1" applyBorder="1" applyAlignment="1">
      <alignment vertical="top" wrapText="1"/>
    </xf>
    <xf numFmtId="0" fontId="12" fillId="0" borderId="1" xfId="0" applyFont="1" applyBorder="1" applyAlignment="1">
      <alignment horizontal="left" vertical="top"/>
    </xf>
    <xf numFmtId="0" fontId="15" fillId="0" borderId="0" xfId="0" applyFont="1"/>
    <xf numFmtId="0" fontId="15" fillId="0" borderId="1" xfId="0" applyFont="1" applyBorder="1" applyAlignment="1">
      <alignment horizontal="center" vertical="center" wrapText="1"/>
    </xf>
    <xf numFmtId="0" fontId="22" fillId="0" borderId="1" xfId="0" applyFont="1" applyBorder="1" applyAlignment="1">
      <alignment vertical="center" wrapText="1"/>
    </xf>
    <xf numFmtId="0" fontId="15" fillId="0" borderId="0" xfId="0" applyFont="1" applyAlignment="1">
      <alignment vertical="top" wrapText="1"/>
    </xf>
    <xf numFmtId="0" fontId="22" fillId="0" borderId="1" xfId="0" applyFont="1" applyBorder="1" applyAlignment="1">
      <alignment horizontal="center" vertical="center" wrapText="1"/>
    </xf>
    <xf numFmtId="0" fontId="9" fillId="16" borderId="1" xfId="0" applyFont="1" applyFill="1" applyBorder="1" applyAlignment="1">
      <alignment horizontal="center" vertical="center"/>
    </xf>
    <xf numFmtId="0" fontId="15" fillId="0" borderId="0" xfId="0" applyFont="1" applyAlignment="1">
      <alignment vertical="top"/>
    </xf>
    <xf numFmtId="0" fontId="18" fillId="0" borderId="1" xfId="0" applyFont="1" applyBorder="1" applyAlignment="1">
      <alignment horizontal="center" vertical="center" wrapText="1"/>
    </xf>
    <xf numFmtId="0" fontId="21" fillId="17" borderId="1" xfId="0" applyFont="1" applyFill="1" applyBorder="1" applyAlignment="1">
      <alignment horizontal="center" vertical="center"/>
    </xf>
    <xf numFmtId="0" fontId="22" fillId="0" borderId="1" xfId="0" applyFont="1" applyBorder="1" applyAlignment="1">
      <alignment horizontal="center" vertical="center"/>
    </xf>
    <xf numFmtId="0" fontId="15" fillId="0" borderId="1" xfId="0" applyFont="1" applyBorder="1"/>
    <xf numFmtId="0" fontId="16" fillId="0" borderId="5" xfId="0" applyFont="1" applyBorder="1" applyAlignment="1">
      <alignment horizontal="left" vertical="center" wrapText="1"/>
    </xf>
    <xf numFmtId="0" fontId="16" fillId="0" borderId="9" xfId="0" applyFont="1" applyBorder="1" applyAlignment="1">
      <alignment horizontal="left" vertical="center" wrapText="1"/>
    </xf>
    <xf numFmtId="0" fontId="16" fillId="0" borderId="5" xfId="0" applyFont="1" applyBorder="1" applyAlignment="1">
      <alignment horizontal="left" vertical="top" wrapText="1"/>
    </xf>
    <xf numFmtId="0" fontId="16" fillId="0" borderId="9" xfId="0" applyFont="1" applyBorder="1" applyAlignment="1">
      <alignment horizontal="left" vertical="top" wrapText="1"/>
    </xf>
    <xf numFmtId="0" fontId="15" fillId="0" borderId="5" xfId="0" applyFont="1" applyBorder="1" applyAlignment="1">
      <alignment horizontal="left" vertical="center" wrapText="1"/>
    </xf>
    <xf numFmtId="0" fontId="15" fillId="0" borderId="9" xfId="0" applyFont="1" applyBorder="1" applyAlignment="1">
      <alignment horizontal="left" vertical="center" wrapText="1"/>
    </xf>
    <xf numFmtId="0" fontId="17" fillId="0" borderId="1" xfId="0" applyFont="1" applyBorder="1" applyAlignment="1">
      <alignment horizontal="center" vertical="center"/>
    </xf>
    <xf numFmtId="0" fontId="17" fillId="0" borderId="1" xfId="0" applyFont="1" applyBorder="1" applyAlignment="1">
      <alignment vertical="center"/>
    </xf>
    <xf numFmtId="0" fontId="16" fillId="0" borderId="5" xfId="0" applyFont="1" applyBorder="1" applyAlignment="1">
      <alignment vertical="center" wrapText="1"/>
    </xf>
    <xf numFmtId="0" fontId="16" fillId="0" borderId="5" xfId="0" applyFont="1" applyBorder="1" applyAlignment="1">
      <alignment vertical="top" wrapText="1"/>
    </xf>
    <xf numFmtId="0" fontId="15" fillId="0" borderId="5" xfId="0" applyFont="1" applyBorder="1" applyAlignment="1">
      <alignment vertical="center" wrapText="1"/>
    </xf>
    <xf numFmtId="0" fontId="22" fillId="0" borderId="1" xfId="0" applyFont="1" applyBorder="1" applyAlignment="1">
      <alignment vertical="top"/>
    </xf>
    <xf numFmtId="0" fontId="23" fillId="18" borderId="1" xfId="0" applyFont="1" applyFill="1" applyBorder="1" applyAlignment="1">
      <alignment vertical="center" wrapText="1"/>
    </xf>
    <xf numFmtId="0" fontId="15" fillId="0" borderId="1" xfId="0" applyFont="1" applyBorder="1" applyAlignment="1">
      <alignment vertical="center"/>
    </xf>
    <xf numFmtId="0" fontId="17" fillId="0" borderId="1" xfId="0" applyFont="1" applyBorder="1" applyAlignment="1">
      <alignment horizontal="left" vertical="center"/>
    </xf>
    <xf numFmtId="0" fontId="17" fillId="0" borderId="1" xfId="0" applyFont="1" applyBorder="1" applyAlignment="1">
      <alignment horizontal="left" vertical="center" wrapText="1"/>
    </xf>
    <xf numFmtId="0" fontId="9" fillId="0" borderId="1" xfId="0" applyFont="1" applyBorder="1"/>
    <xf numFmtId="0" fontId="9" fillId="4" borderId="1" xfId="0" applyFont="1" applyFill="1" applyBorder="1" applyAlignment="1">
      <alignment horizontal="center" vertical="center" wrapText="1"/>
    </xf>
    <xf numFmtId="0" fontId="12" fillId="0" borderId="0" xfId="0" applyFont="1" applyAlignment="1">
      <alignment wrapText="1"/>
    </xf>
    <xf numFmtId="0" fontId="12" fillId="15" borderId="1" xfId="0" applyFont="1" applyFill="1" applyBorder="1" applyAlignment="1">
      <alignment horizontal="center" vertical="center" wrapText="1"/>
    </xf>
    <xf numFmtId="0" fontId="9" fillId="0" borderId="1" xfId="0" applyFont="1" applyBorder="1" applyAlignment="1">
      <alignment horizontal="center" wrapText="1"/>
    </xf>
    <xf numFmtId="0" fontId="12" fillId="0" borderId="1" xfId="0" applyFont="1" applyBorder="1" applyAlignment="1">
      <alignment wrapText="1"/>
    </xf>
    <xf numFmtId="0" fontId="9" fillId="0" borderId="1" xfId="0" applyFont="1" applyBorder="1" applyAlignment="1">
      <alignment wrapText="1"/>
    </xf>
    <xf numFmtId="0" fontId="19" fillId="17" borderId="1" xfId="0" applyFont="1" applyFill="1" applyBorder="1" applyAlignment="1">
      <alignment horizontal="center" vertical="center"/>
    </xf>
    <xf numFmtId="0" fontId="19" fillId="17" borderId="1" xfId="0" applyFont="1" applyFill="1" applyBorder="1" applyAlignment="1">
      <alignment vertical="center" wrapText="1"/>
    </xf>
    <xf numFmtId="0" fontId="24" fillId="0" borderId="1" xfId="0" applyFont="1" applyBorder="1" applyAlignment="1">
      <alignment horizontal="center" vertical="center"/>
    </xf>
    <xf numFmtId="164" fontId="24" fillId="0" borderId="1" xfId="0" applyNumberFormat="1" applyFont="1" applyBorder="1" applyAlignment="1">
      <alignment horizontal="center" vertical="center" wrapText="1"/>
    </xf>
    <xf numFmtId="0" fontId="15" fillId="0" borderId="5" xfId="0" applyFont="1" applyBorder="1" applyAlignment="1">
      <alignment horizontal="left" vertical="top" wrapText="1"/>
    </xf>
    <xf numFmtId="0" fontId="15" fillId="0" borderId="1" xfId="0" applyFont="1" applyBorder="1" applyAlignment="1">
      <alignment horizontal="left" vertical="top" wrapText="1"/>
    </xf>
    <xf numFmtId="0" fontId="15" fillId="0" borderId="23" xfId="0" applyFont="1" applyBorder="1" applyAlignment="1">
      <alignment horizontal="left" vertical="top" wrapText="1"/>
    </xf>
    <xf numFmtId="0" fontId="15" fillId="0" borderId="9" xfId="0" applyFont="1" applyBorder="1" applyAlignment="1">
      <alignment horizontal="left" vertical="top" wrapText="1"/>
    </xf>
    <xf numFmtId="0" fontId="9" fillId="3" borderId="1" xfId="0" applyFont="1" applyFill="1" applyBorder="1" applyAlignment="1">
      <alignment horizontal="center" vertical="center"/>
    </xf>
    <xf numFmtId="0" fontId="25" fillId="16" borderId="1" xfId="0" applyFont="1" applyFill="1" applyBorder="1" applyAlignment="1">
      <alignment horizontal="center" vertical="center"/>
    </xf>
    <xf numFmtId="0" fontId="9" fillId="0" borderId="1" xfId="0" applyFont="1" applyBorder="1" applyAlignment="1">
      <alignment horizontal="center" vertical="top" wrapText="1"/>
    </xf>
    <xf numFmtId="0" fontId="12" fillId="14" borderId="1" xfId="0" applyFont="1" applyFill="1" applyBorder="1" applyAlignment="1">
      <alignment horizontal="center" vertical="center"/>
    </xf>
    <xf numFmtId="0" fontId="9" fillId="3" borderId="1" xfId="0" applyFont="1" applyFill="1" applyBorder="1" applyAlignment="1">
      <alignment vertical="center" wrapText="1"/>
    </xf>
    <xf numFmtId="0" fontId="12" fillId="0" borderId="1" xfId="0" applyFont="1" applyBorder="1" applyAlignment="1">
      <alignment horizontal="center"/>
    </xf>
    <xf numFmtId="0" fontId="12" fillId="13" borderId="2" xfId="0" applyFont="1" applyFill="1" applyBorder="1" applyAlignment="1">
      <alignment horizontal="center"/>
    </xf>
    <xf numFmtId="0" fontId="12" fillId="13" borderId="3" xfId="0" applyFont="1" applyFill="1" applyBorder="1" applyAlignment="1">
      <alignment horizontal="center"/>
    </xf>
    <xf numFmtId="0" fontId="12" fillId="13" borderId="4" xfId="0" applyFont="1" applyFill="1" applyBorder="1" applyAlignment="1">
      <alignment horizontal="center"/>
    </xf>
    <xf numFmtId="0" fontId="12" fillId="14" borderId="2" xfId="0" applyFont="1" applyFill="1" applyBorder="1" applyAlignment="1">
      <alignment horizontal="left" vertical="center" wrapText="1"/>
    </xf>
    <xf numFmtId="0" fontId="12" fillId="14" borderId="3" xfId="0" applyFont="1" applyFill="1" applyBorder="1" applyAlignment="1">
      <alignment horizontal="left" vertical="center" wrapText="1"/>
    </xf>
    <xf numFmtId="0" fontId="12" fillId="14" borderId="4" xfId="0" applyFont="1" applyFill="1" applyBorder="1" applyAlignment="1">
      <alignment horizontal="left" vertical="center" wrapText="1"/>
    </xf>
    <xf numFmtId="0" fontId="15" fillId="0" borderId="5" xfId="0" applyFont="1" applyBorder="1" applyAlignment="1">
      <alignment vertical="top" wrapText="1"/>
    </xf>
    <xf numFmtId="0" fontId="9" fillId="0" borderId="1" xfId="0" applyFont="1" applyBorder="1" applyAlignment="1">
      <alignment horizontal="center"/>
    </xf>
    <xf numFmtId="0" fontId="9" fillId="0" borderId="1" xfId="0" applyFont="1" applyBorder="1" applyAlignment="1">
      <alignment horizontal="left" wrapText="1"/>
    </xf>
    <xf numFmtId="0" fontId="12" fillId="0" borderId="1" xfId="0" applyFont="1" applyBorder="1"/>
    <xf numFmtId="0" fontId="9" fillId="0" borderId="1" xfId="0" applyFont="1" applyBorder="1" applyAlignment="1">
      <alignment horizontal="left"/>
    </xf>
    <xf numFmtId="0" fontId="26" fillId="11" borderId="1" xfId="0" applyFont="1" applyFill="1" applyBorder="1" applyAlignment="1">
      <alignment horizontal="center" vertical="center"/>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28" fillId="17" borderId="2" xfId="0" applyFont="1" applyFill="1" applyBorder="1" applyAlignment="1">
      <alignment horizontal="center" vertical="center" wrapText="1"/>
    </xf>
    <xf numFmtId="0" fontId="28" fillId="17" borderId="1" xfId="0" applyFont="1" applyFill="1" applyBorder="1" applyAlignment="1">
      <alignment horizontal="left" vertical="center"/>
    </xf>
    <xf numFmtId="0" fontId="29" fillId="0" borderId="1" xfId="0" applyFont="1" applyBorder="1" applyAlignment="1" applyProtection="1">
      <alignment horizontal="center" vertical="center"/>
      <protection locked="0"/>
    </xf>
    <xf numFmtId="0" fontId="29" fillId="0" borderId="2" xfId="0" applyFont="1" applyBorder="1" applyAlignment="1" applyProtection="1">
      <alignment horizontal="center" vertical="center"/>
      <protection locked="0"/>
    </xf>
    <xf numFmtId="0" fontId="29" fillId="0" borderId="3" xfId="0" applyFont="1" applyBorder="1" applyAlignment="1" applyProtection="1">
      <alignment horizontal="center" vertical="center"/>
      <protection locked="0"/>
    </xf>
    <xf numFmtId="0" fontId="28" fillId="17" borderId="1" xfId="0" applyFont="1" applyFill="1" applyBorder="1" applyAlignment="1">
      <alignment horizontal="center" vertical="center"/>
    </xf>
    <xf numFmtId="0" fontId="29" fillId="0" borderId="4" xfId="0" applyFont="1" applyBorder="1" applyAlignment="1">
      <alignment horizontal="center" vertical="center"/>
    </xf>
    <xf numFmtId="0" fontId="28" fillId="17" borderId="6" xfId="0" applyFont="1" applyFill="1" applyBorder="1" applyAlignment="1">
      <alignment horizontal="center" vertical="center" wrapText="1"/>
    </xf>
    <xf numFmtId="0" fontId="28" fillId="17" borderId="1" xfId="0" applyFont="1" applyFill="1" applyBorder="1" applyAlignment="1">
      <alignment horizontal="left" vertical="center" wrapText="1"/>
    </xf>
    <xf numFmtId="0" fontId="29" fillId="0" borderId="4" xfId="0" applyFont="1" applyBorder="1" applyAlignment="1" applyProtection="1">
      <alignment horizontal="center" vertical="center"/>
      <protection locked="0"/>
    </xf>
    <xf numFmtId="0" fontId="28" fillId="17" borderId="0" xfId="0" applyFont="1" applyFill="1" applyAlignment="1">
      <alignment horizontal="center" vertical="center" wrapText="1"/>
    </xf>
    <xf numFmtId="0" fontId="29" fillId="17" borderId="1" xfId="0" applyFont="1" applyFill="1" applyBorder="1" applyAlignment="1">
      <alignment horizontal="left" vertical="center"/>
    </xf>
    <xf numFmtId="0" fontId="29" fillId="17" borderId="1" xfId="0" applyFont="1" applyFill="1" applyBorder="1" applyAlignment="1">
      <alignment vertical="center"/>
    </xf>
    <xf numFmtId="0" fontId="28" fillId="17" borderId="28" xfId="0" applyFont="1" applyFill="1" applyBorder="1" applyAlignment="1">
      <alignment horizontal="center" vertical="center" wrapText="1"/>
    </xf>
    <xf numFmtId="0" fontId="28" fillId="17" borderId="10" xfId="0" applyFont="1" applyFill="1" applyBorder="1" applyAlignment="1">
      <alignment horizontal="center" vertical="center" wrapText="1"/>
    </xf>
    <xf numFmtId="0" fontId="28" fillId="17" borderId="29" xfId="0" applyFont="1" applyFill="1" applyBorder="1" applyAlignment="1">
      <alignment horizontal="center" vertical="center" wrapText="1"/>
    </xf>
    <xf numFmtId="0" fontId="29" fillId="0" borderId="1" xfId="0" applyFont="1" applyBorder="1" applyAlignment="1" applyProtection="1">
      <alignment horizontal="center" vertical="center" wrapText="1"/>
      <protection locked="0"/>
    </xf>
    <xf numFmtId="0" fontId="29" fillId="17" borderId="1" xfId="0" applyFont="1" applyFill="1" applyBorder="1" applyAlignment="1">
      <alignment horizontal="center" vertical="center"/>
    </xf>
    <xf numFmtId="0" fontId="29" fillId="17" borderId="5" xfId="0" applyFont="1" applyFill="1" applyBorder="1" applyAlignment="1">
      <alignment vertical="center"/>
    </xf>
    <xf numFmtId="0" fontId="30" fillId="0" borderId="5" xfId="0" applyFont="1" applyBorder="1" applyAlignment="1" applyProtection="1">
      <alignment horizontal="center" vertical="center" wrapText="1"/>
      <protection locked="0"/>
    </xf>
    <xf numFmtId="0" fontId="29" fillId="17" borderId="6" xfId="0" applyFont="1" applyFill="1" applyBorder="1" applyAlignment="1">
      <alignment horizontal="center" vertical="center"/>
    </xf>
    <xf numFmtId="0" fontId="29" fillId="17" borderId="7" xfId="0" applyFont="1" applyFill="1" applyBorder="1" applyAlignment="1">
      <alignment horizontal="center" vertical="center"/>
    </xf>
    <xf numFmtId="0" fontId="29" fillId="17" borderId="8" xfId="0" applyFont="1" applyFill="1" applyBorder="1" applyAlignment="1">
      <alignment horizontal="center" vertical="center"/>
    </xf>
    <xf numFmtId="0" fontId="31" fillId="0" borderId="0" xfId="0" applyFont="1" applyAlignment="1">
      <alignment vertical="center"/>
    </xf>
    <xf numFmtId="0" fontId="8" fillId="17" borderId="30" xfId="0" applyFont="1" applyFill="1" applyBorder="1" applyAlignment="1">
      <alignment horizontal="center" vertical="center" wrapText="1"/>
    </xf>
    <xf numFmtId="0" fontId="32" fillId="0" borderId="31" xfId="0" applyFont="1" applyBorder="1" applyAlignment="1">
      <alignment horizontal="left" vertical="center"/>
    </xf>
    <xf numFmtId="0" fontId="32" fillId="0" borderId="32" xfId="0" applyFont="1" applyBorder="1" applyAlignment="1">
      <alignment horizontal="left" vertical="center"/>
    </xf>
    <xf numFmtId="0" fontId="32" fillId="18" borderId="3" xfId="0" applyFont="1" applyFill="1" applyBorder="1" applyAlignment="1">
      <alignment horizontal="left" vertical="center"/>
    </xf>
    <xf numFmtId="0" fontId="0" fillId="17" borderId="26" xfId="0" applyFill="1" applyBorder="1" applyAlignment="1">
      <alignment vertical="center" wrapText="1"/>
    </xf>
    <xf numFmtId="0" fontId="0" fillId="17" borderId="1" xfId="0" applyFill="1" applyBorder="1" applyAlignment="1">
      <alignment vertical="center" wrapText="1"/>
    </xf>
    <xf numFmtId="0" fontId="33" fillId="19" borderId="1" xfId="0" applyFont="1"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33" xfId="0" applyBorder="1" applyAlignment="1" applyProtection="1">
      <alignment horizontal="center" vertical="center"/>
      <protection locked="0"/>
    </xf>
    <xf numFmtId="0" fontId="34" fillId="0" borderId="0" xfId="0" applyFont="1" applyAlignment="1" applyProtection="1">
      <alignment vertical="center"/>
      <protection locked="0"/>
    </xf>
    <xf numFmtId="0" fontId="8" fillId="17" borderId="26" xfId="0" applyFont="1" applyFill="1" applyBorder="1" applyAlignment="1">
      <alignment horizontal="center" vertical="center" wrapText="1"/>
    </xf>
    <xf numFmtId="0" fontId="32" fillId="17" borderId="1" xfId="0" applyFont="1" applyFill="1" applyBorder="1" applyAlignment="1">
      <alignment horizontal="left" vertical="center"/>
    </xf>
    <xf numFmtId="0" fontId="32" fillId="17" borderId="33" xfId="0" applyFont="1" applyFill="1" applyBorder="1" applyAlignment="1">
      <alignment horizontal="left" vertical="center"/>
    </xf>
    <xf numFmtId="0" fontId="0" fillId="17" borderId="26" xfId="0" applyFill="1" applyBorder="1" applyAlignment="1">
      <alignment horizontal="center" vertical="center" wrapText="1"/>
    </xf>
    <xf numFmtId="0" fontId="0" fillId="17" borderId="34" xfId="0" applyFill="1" applyBorder="1" applyAlignment="1">
      <alignment horizontal="center" vertical="center" wrapText="1"/>
    </xf>
    <xf numFmtId="0" fontId="0" fillId="17" borderId="35" xfId="0" applyFill="1" applyBorder="1" applyAlignment="1">
      <alignment vertical="center" wrapText="1"/>
    </xf>
    <xf numFmtId="0" fontId="33" fillId="19" borderId="35" xfId="0" applyFont="1" applyFill="1" applyBorder="1" applyAlignment="1" applyProtection="1">
      <alignment horizontal="center" vertical="center"/>
      <protection locked="0"/>
    </xf>
    <xf numFmtId="0" fontId="0" fillId="0" borderId="36"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0" borderId="37" xfId="0" applyBorder="1" applyAlignment="1" applyProtection="1">
      <alignment horizontal="center" vertical="center"/>
      <protection locked="0"/>
    </xf>
    <xf numFmtId="0" fontId="0" fillId="0" borderId="21" xfId="0"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165" fontId="0" fillId="0" borderId="1" xfId="0" applyNumberFormat="1" applyBorder="1" applyAlignment="1">
      <alignment horizontal="center" vertical="center"/>
    </xf>
    <xf numFmtId="0" fontId="35" fillId="0" borderId="1" xfId="0" applyFont="1" applyBorder="1" applyAlignment="1">
      <alignment horizontal="left" vertical="center" wrapText="1"/>
    </xf>
    <xf numFmtId="0" fontId="35" fillId="0" borderId="1" xfId="0" applyFont="1" applyBorder="1" applyAlignment="1">
      <alignment horizontal="left" vertical="center"/>
    </xf>
    <xf numFmtId="0" fontId="35" fillId="0" borderId="1" xfId="0" applyFont="1" applyBorder="1" applyAlignment="1">
      <alignment horizontal="center" vertical="center" wrapText="1"/>
    </xf>
    <xf numFmtId="14" fontId="0" fillId="0" borderId="1" xfId="0" applyNumberFormat="1" applyBorder="1" applyAlignment="1">
      <alignment horizontal="center" vertical="center"/>
    </xf>
    <xf numFmtId="0" fontId="31" fillId="0" borderId="1" xfId="0" applyFont="1" applyBorder="1" applyAlignment="1">
      <alignment vertical="center"/>
    </xf>
    <xf numFmtId="0" fontId="36" fillId="0" borderId="0" xfId="0" applyFont="1" applyAlignment="1">
      <alignment horizontal="center"/>
    </xf>
    <xf numFmtId="0" fontId="36" fillId="0" borderId="0" xfId="0" applyFont="1"/>
    <xf numFmtId="0" fontId="37" fillId="0" borderId="38" xfId="0" applyFont="1" applyBorder="1" applyAlignment="1">
      <alignment horizontal="center" vertical="center" wrapText="1"/>
    </xf>
    <xf numFmtId="0" fontId="37" fillId="0" borderId="1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26"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3" xfId="0" applyFont="1" applyBorder="1" applyAlignment="1">
      <alignment horizontal="center" vertical="center" wrapText="1"/>
    </xf>
    <xf numFmtId="0" fontId="37" fillId="20" borderId="26" xfId="0" applyFont="1" applyFill="1" applyBorder="1" applyAlignment="1">
      <alignment horizontal="center" vertical="center" wrapText="1"/>
    </xf>
    <xf numFmtId="0" fontId="37" fillId="20" borderId="1" xfId="0" applyFont="1" applyFill="1" applyBorder="1" applyAlignment="1">
      <alignment vertical="center" wrapText="1"/>
    </xf>
    <xf numFmtId="0" fontId="37" fillId="20" borderId="1" xfId="0" applyFont="1" applyFill="1" applyBorder="1" applyAlignment="1">
      <alignment horizontal="center" vertical="center"/>
    </xf>
    <xf numFmtId="0" fontId="37" fillId="20" borderId="33" xfId="0" applyFont="1" applyFill="1" applyBorder="1" applyAlignment="1">
      <alignment horizontal="center" vertical="center"/>
    </xf>
    <xf numFmtId="0" fontId="38" fillId="0" borderId="26" xfId="0" applyFont="1" applyBorder="1" applyAlignment="1">
      <alignment horizontal="center" vertical="center" wrapText="1"/>
    </xf>
    <xf numFmtId="0" fontId="38" fillId="0" borderId="1" xfId="0" applyFont="1" applyBorder="1" applyAlignment="1">
      <alignment vertical="center" wrapText="1"/>
    </xf>
    <xf numFmtId="0" fontId="38" fillId="0" borderId="1" xfId="0" applyFont="1" applyBorder="1" applyAlignment="1">
      <alignment horizontal="center" vertical="center"/>
    </xf>
    <xf numFmtId="0" fontId="38" fillId="0" borderId="33" xfId="0" applyFont="1" applyBorder="1" applyAlignment="1">
      <alignment horizontal="center" vertical="center"/>
    </xf>
    <xf numFmtId="0" fontId="38" fillId="0" borderId="1" xfId="0" applyFont="1" applyBorder="1" applyAlignment="1">
      <alignment horizontal="center" vertical="center" wrapText="1"/>
    </xf>
    <xf numFmtId="0" fontId="38" fillId="0" borderId="33" xfId="0" applyFont="1" applyBorder="1" applyAlignment="1">
      <alignment vertical="center" wrapText="1"/>
    </xf>
    <xf numFmtId="0" fontId="38" fillId="0" borderId="33" xfId="0" applyFont="1" applyBorder="1" applyAlignment="1">
      <alignment horizontal="center" vertical="center" wrapText="1"/>
    </xf>
    <xf numFmtId="0" fontId="38" fillId="0" borderId="1" xfId="0" applyFont="1" applyBorder="1" applyAlignment="1">
      <alignment horizontal="justify" vertical="center" wrapText="1"/>
    </xf>
    <xf numFmtId="0" fontId="37" fillId="20" borderId="33" xfId="0" applyFont="1" applyFill="1" applyBorder="1" applyAlignment="1">
      <alignment vertical="center" wrapText="1"/>
    </xf>
    <xf numFmtId="0" fontId="39" fillId="0" borderId="0" xfId="0" applyFont="1"/>
    <xf numFmtId="0" fontId="30" fillId="17" borderId="26" xfId="0" applyFont="1" applyFill="1" applyBorder="1" applyAlignment="1">
      <alignment horizontal="center" vertical="center" wrapText="1"/>
    </xf>
    <xf numFmtId="0" fontId="30" fillId="17" borderId="2" xfId="0" applyFont="1" applyFill="1" applyBorder="1" applyAlignment="1">
      <alignment horizontal="left" vertical="center" wrapText="1"/>
    </xf>
    <xf numFmtId="0" fontId="30" fillId="17" borderId="3" xfId="0" applyFont="1" applyFill="1" applyBorder="1" applyAlignment="1">
      <alignment horizontal="left" vertical="center" wrapText="1"/>
    </xf>
    <xf numFmtId="0" fontId="30" fillId="17" borderId="40" xfId="0" applyFont="1" applyFill="1" applyBorder="1" applyAlignment="1">
      <alignment horizontal="left" vertical="center" wrapText="1"/>
    </xf>
    <xf numFmtId="0" fontId="30" fillId="17" borderId="25" xfId="0" applyFont="1" applyFill="1" applyBorder="1" applyAlignment="1">
      <alignment horizontal="center" vertical="center" wrapText="1"/>
    </xf>
    <xf numFmtId="0" fontId="30" fillId="17" borderId="5" xfId="0" applyFont="1" applyFill="1" applyBorder="1" applyAlignment="1">
      <alignment horizontal="left" vertical="center" wrapText="1"/>
    </xf>
    <xf numFmtId="0" fontId="30" fillId="17" borderId="5" xfId="0" applyFont="1" applyFill="1" applyBorder="1" applyAlignment="1">
      <alignment horizontal="center" vertical="center" wrapText="1"/>
    </xf>
    <xf numFmtId="0" fontId="30" fillId="17" borderId="1" xfId="0" applyFont="1" applyFill="1" applyBorder="1" applyAlignment="1">
      <alignment horizontal="center" vertical="center" wrapText="1"/>
    </xf>
    <xf numFmtId="0" fontId="30" fillId="17" borderId="33" xfId="0" applyFont="1" applyFill="1" applyBorder="1" applyAlignment="1">
      <alignment horizontal="center" vertical="center" wrapText="1"/>
    </xf>
    <xf numFmtId="0" fontId="30" fillId="17" borderId="27" xfId="0" applyFont="1" applyFill="1" applyBorder="1" applyAlignment="1">
      <alignment horizontal="center" vertical="center" wrapText="1"/>
    </xf>
    <xf numFmtId="0" fontId="30" fillId="17" borderId="9" xfId="0" applyFont="1" applyFill="1" applyBorder="1" applyAlignment="1">
      <alignment horizontal="left" vertical="center" wrapText="1"/>
    </xf>
    <xf numFmtId="0" fontId="30" fillId="17" borderId="9" xfId="0" applyFont="1" applyFill="1" applyBorder="1" applyAlignment="1">
      <alignment horizontal="center" vertical="center" wrapText="1"/>
    </xf>
    <xf numFmtId="2" fontId="30" fillId="17" borderId="1" xfId="0" applyNumberFormat="1" applyFont="1" applyFill="1" applyBorder="1" applyAlignment="1">
      <alignment horizontal="center" vertical="center" wrapText="1"/>
    </xf>
    <xf numFmtId="0" fontId="38" fillId="0" borderId="26" xfId="0" applyFont="1" applyBorder="1" applyAlignment="1">
      <alignment horizontal="center" vertical="center"/>
    </xf>
    <xf numFmtId="0" fontId="36" fillId="0" borderId="1" xfId="0" applyFont="1" applyBorder="1" applyAlignment="1">
      <alignment vertical="center" wrapText="1"/>
    </xf>
    <xf numFmtId="2" fontId="38" fillId="0" borderId="1" xfId="0" applyNumberFormat="1" applyFont="1" applyBorder="1" applyAlignment="1">
      <alignment horizontal="center" vertical="center" wrapText="1"/>
    </xf>
    <xf numFmtId="2" fontId="38" fillId="0" borderId="33" xfId="0" applyNumberFormat="1" applyFont="1" applyBorder="1" applyAlignment="1">
      <alignment horizontal="center" vertical="center" wrapText="1"/>
    </xf>
    <xf numFmtId="0" fontId="38" fillId="0" borderId="0" xfId="0" applyFont="1" applyAlignment="1">
      <alignment vertical="center" wrapText="1"/>
    </xf>
    <xf numFmtId="0" fontId="36" fillId="0" borderId="1" xfId="0" applyFont="1" applyBorder="1" applyAlignment="1">
      <alignment horizontal="center" vertical="center" wrapText="1"/>
    </xf>
    <xf numFmtId="0" fontId="36" fillId="0" borderId="33" xfId="0" applyFont="1" applyBorder="1" applyAlignment="1">
      <alignment horizontal="center" vertical="center" wrapText="1"/>
    </xf>
    <xf numFmtId="0" fontId="36" fillId="0" borderId="0" xfId="0" applyFont="1" applyAlignment="1">
      <alignment vertical="center" wrapText="1"/>
    </xf>
    <xf numFmtId="2" fontId="36" fillId="0" borderId="1" xfId="0" applyNumberFormat="1" applyFont="1" applyBorder="1" applyAlignment="1">
      <alignment horizontal="center" vertical="center" wrapText="1"/>
    </xf>
    <xf numFmtId="0" fontId="37" fillId="17" borderId="1" xfId="0" applyFont="1" applyFill="1" applyBorder="1" applyAlignment="1">
      <alignment horizontal="justify" vertical="center" wrapText="1"/>
    </xf>
    <xf numFmtId="0" fontId="37" fillId="17" borderId="33" xfId="0" applyFont="1" applyFill="1" applyBorder="1" applyAlignment="1">
      <alignment horizontal="justify" vertical="center" wrapText="1"/>
    </xf>
    <xf numFmtId="0" fontId="30" fillId="20" borderId="25" xfId="0" applyFont="1" applyFill="1" applyBorder="1" applyAlignment="1">
      <alignment horizontal="center" vertical="center" wrapText="1"/>
    </xf>
    <xf numFmtId="0" fontId="30" fillId="20" borderId="27" xfId="0" applyFont="1" applyFill="1" applyBorder="1" applyAlignment="1">
      <alignment horizontal="center" vertical="center" wrapText="1"/>
    </xf>
    <xf numFmtId="2" fontId="30" fillId="0" borderId="1" xfId="0" applyNumberFormat="1" applyFont="1" applyBorder="1" applyAlignment="1">
      <alignment horizontal="center" vertical="center" wrapText="1"/>
    </xf>
    <xf numFmtId="2" fontId="36" fillId="0" borderId="0" xfId="0" applyNumberFormat="1" applyFont="1"/>
    <xf numFmtId="166" fontId="38" fillId="0" borderId="33" xfId="0" applyNumberFormat="1" applyFont="1" applyBorder="1" applyAlignment="1">
      <alignment horizontal="center" vertical="center" wrapText="1"/>
    </xf>
    <xf numFmtId="0" fontId="37" fillId="17" borderId="26" xfId="0" applyFont="1" applyFill="1" applyBorder="1" applyAlignment="1">
      <alignment horizontal="center" vertical="center" wrapText="1"/>
    </xf>
    <xf numFmtId="0" fontId="37" fillId="17" borderId="1" xfId="0" applyFont="1" applyFill="1" applyBorder="1" applyAlignment="1">
      <alignment vertical="center" wrapText="1"/>
    </xf>
    <xf numFmtId="0" fontId="37" fillId="17" borderId="33" xfId="0" applyFont="1" applyFill="1" applyBorder="1" applyAlignment="1">
      <alignment vertical="center" wrapText="1"/>
    </xf>
    <xf numFmtId="166" fontId="38" fillId="0" borderId="1" xfId="0" applyNumberFormat="1" applyFont="1" applyBorder="1" applyAlignment="1">
      <alignment horizontal="center" vertical="center" wrapText="1"/>
    </xf>
    <xf numFmtId="0" fontId="38" fillId="0" borderId="34" xfId="0" applyFont="1" applyBorder="1" applyAlignment="1">
      <alignment horizontal="center" vertical="center"/>
    </xf>
    <xf numFmtId="0" fontId="38" fillId="0" borderId="35" xfId="0" applyFont="1" applyBorder="1" applyAlignment="1">
      <alignment vertical="center" wrapText="1"/>
    </xf>
    <xf numFmtId="0" fontId="38" fillId="0" borderId="35" xfId="0" applyFont="1" applyBorder="1" applyAlignment="1">
      <alignment horizontal="center" vertical="center" wrapText="1"/>
    </xf>
    <xf numFmtId="166" fontId="38" fillId="0" borderId="41" xfId="0" applyNumberFormat="1" applyFont="1" applyBorder="1" applyAlignment="1">
      <alignment horizontal="center" vertical="center" wrapText="1"/>
    </xf>
    <xf numFmtId="0" fontId="38" fillId="0" borderId="9" xfId="0" applyFont="1" applyBorder="1" applyAlignment="1">
      <alignment horizontal="center" vertical="center"/>
    </xf>
    <xf numFmtId="0" fontId="37" fillId="20" borderId="1" xfId="0" applyFont="1" applyFill="1" applyBorder="1" applyAlignment="1">
      <alignment horizontal="center" vertical="center" wrapText="1"/>
    </xf>
    <xf numFmtId="0" fontId="37" fillId="0" borderId="1" xfId="0" applyFont="1" applyBorder="1" applyAlignment="1">
      <alignment vertical="center" wrapText="1"/>
    </xf>
    <xf numFmtId="0" fontId="30" fillId="17" borderId="1" xfId="0" applyFont="1" applyFill="1" applyBorder="1" applyAlignment="1">
      <alignment horizontal="center" vertical="center"/>
    </xf>
    <xf numFmtId="0" fontId="30" fillId="17" borderId="1" xfId="0" applyFont="1" applyFill="1" applyBorder="1" applyAlignment="1">
      <alignment vertical="center" wrapText="1"/>
    </xf>
    <xf numFmtId="0" fontId="30" fillId="17" borderId="2" xfId="0" applyFont="1" applyFill="1" applyBorder="1" applyAlignment="1">
      <alignment horizontal="center" vertical="center" wrapText="1"/>
    </xf>
    <xf numFmtId="0" fontId="30" fillId="17" borderId="4" xfId="0" applyFont="1" applyFill="1" applyBorder="1" applyAlignment="1">
      <alignment horizontal="center" vertical="center" wrapText="1"/>
    </xf>
    <xf numFmtId="0" fontId="38" fillId="0" borderId="2" xfId="0" applyFont="1" applyBorder="1" applyAlignment="1">
      <alignment horizontal="center" vertical="center" wrapText="1"/>
    </xf>
    <xf numFmtId="0" fontId="38" fillId="0" borderId="4" xfId="0" applyFont="1" applyBorder="1" applyAlignment="1">
      <alignment horizontal="center" vertical="center" wrapText="1"/>
    </xf>
    <xf numFmtId="0" fontId="38" fillId="0" borderId="0" xfId="0" applyFont="1" applyAlignment="1">
      <alignment horizontal="center" vertical="center"/>
    </xf>
    <xf numFmtId="0" fontId="30" fillId="0" borderId="0" xfId="0" applyFont="1" applyAlignment="1">
      <alignment horizontal="left" vertical="center" wrapText="1"/>
    </xf>
    <xf numFmtId="0" fontId="40" fillId="0" borderId="0" xfId="0" applyFont="1" applyAlignment="1">
      <alignment horizontal="left" vertical="center"/>
    </xf>
    <xf numFmtId="0" fontId="36" fillId="0" borderId="0" xfId="0" applyFont="1" applyAlignment="1">
      <alignment horizontal="center" vertical="center"/>
    </xf>
    <xf numFmtId="0" fontId="40" fillId="0" borderId="0" xfId="0" applyFont="1" applyAlignment="1">
      <alignment vertical="center"/>
    </xf>
    <xf numFmtId="0" fontId="36" fillId="0" borderId="0" xfId="0" applyFont="1" applyAlignment="1">
      <alignment wrapText="1"/>
    </xf>
    <xf numFmtId="0" fontId="40" fillId="0" borderId="0" xfId="0" applyFont="1" applyAlignment="1">
      <alignment horizontal="left" vertical="center" wrapText="1"/>
    </xf>
    <xf numFmtId="0" fontId="39" fillId="0" borderId="0" xfId="0" applyFont="1" applyAlignment="1">
      <alignment horizontal="center" vertical="center" wrapText="1"/>
    </xf>
    <xf numFmtId="0" fontId="36" fillId="0" borderId="0" xfId="0" applyFont="1" applyAlignment="1">
      <alignment horizontal="left" vertical="center" wrapText="1"/>
    </xf>
    <xf numFmtId="0" fontId="36" fillId="0" borderId="0" xfId="0" applyFont="1" applyAlignment="1">
      <alignment horizontal="center" vertical="center" wrapText="1"/>
    </xf>
    <xf numFmtId="0" fontId="39" fillId="17" borderId="1" xfId="0" applyFont="1" applyFill="1" applyBorder="1" applyAlignment="1">
      <alignment horizontal="center" vertical="center" wrapText="1"/>
    </xf>
    <xf numFmtId="0" fontId="39" fillId="17" borderId="1" xfId="0" applyFont="1" applyFill="1" applyBorder="1" applyAlignment="1">
      <alignment horizontal="left" vertical="center" wrapText="1"/>
    </xf>
    <xf numFmtId="0" fontId="8" fillId="17" borderId="1" xfId="0" applyFont="1" applyFill="1" applyBorder="1" applyAlignment="1">
      <alignment horizontal="center"/>
    </xf>
    <xf numFmtId="0" fontId="0" fillId="0" borderId="1" xfId="0" applyBorder="1"/>
    <xf numFmtId="0" fontId="0" fillId="2" borderId="1" xfId="0" applyFill="1" applyBorder="1" applyAlignment="1">
      <alignment horizontal="center"/>
    </xf>
    <xf numFmtId="0" fontId="0" fillId="2" borderId="1" xfId="0" applyFill="1" applyBorder="1"/>
    <xf numFmtId="2" fontId="0" fillId="2" borderId="1" xfId="0" applyNumberFormat="1" applyFill="1" applyBorder="1"/>
    <xf numFmtId="164" fontId="0" fillId="2" borderId="1" xfId="0" applyNumberFormat="1" applyFill="1" applyBorder="1"/>
    <xf numFmtId="167" fontId="0" fillId="2" borderId="1" xfId="0" applyNumberFormat="1" applyFill="1" applyBorder="1"/>
    <xf numFmtId="2" fontId="0" fillId="0" borderId="1" xfId="0" applyNumberFormat="1" applyBorder="1"/>
    <xf numFmtId="0" fontId="39" fillId="2" borderId="1" xfId="0" applyFont="1" applyFill="1" applyBorder="1" applyAlignment="1">
      <alignment horizontal="center" vertical="center" wrapText="1"/>
    </xf>
    <xf numFmtId="0" fontId="0" fillId="2" borderId="1" xfId="0" applyFill="1" applyBorder="1" applyAlignment="1">
      <alignment wrapText="1"/>
    </xf>
    <xf numFmtId="0" fontId="37" fillId="0" borderId="26" xfId="0" applyFont="1" applyBorder="1" applyAlignment="1">
      <alignment horizontal="left" vertical="center" wrapText="1"/>
    </xf>
    <xf numFmtId="0" fontId="37" fillId="0" borderId="1" xfId="0" applyFont="1" applyBorder="1" applyAlignment="1">
      <alignment horizontal="left" vertical="center" wrapText="1"/>
    </xf>
    <xf numFmtId="0" fontId="37" fillId="0" borderId="33" xfId="0" applyFont="1" applyBorder="1" applyAlignment="1">
      <alignment horizontal="left" vertical="center" wrapText="1"/>
    </xf>
    <xf numFmtId="0" fontId="37" fillId="20" borderId="24" xfId="0" applyFont="1" applyFill="1" applyBorder="1" applyAlignment="1">
      <alignment horizontal="left" vertical="center" wrapText="1"/>
    </xf>
    <xf numFmtId="0" fontId="37" fillId="20" borderId="3" xfId="0" applyFont="1" applyFill="1" applyBorder="1" applyAlignment="1">
      <alignment horizontal="left" vertical="center" wrapText="1"/>
    </xf>
    <xf numFmtId="0" fontId="37" fillId="20" borderId="40" xfId="0" applyFont="1" applyFill="1" applyBorder="1" applyAlignment="1">
      <alignment horizontal="left" vertical="center" wrapText="1"/>
    </xf>
    <xf numFmtId="0" fontId="36" fillId="0" borderId="1" xfId="0" applyFont="1" applyBorder="1" applyAlignment="1">
      <alignment horizontal="left" vertical="center" wrapText="1"/>
    </xf>
    <xf numFmtId="0" fontId="41" fillId="0" borderId="26" xfId="0" applyFont="1" applyBorder="1" applyAlignment="1">
      <alignment horizontal="center" vertical="center" wrapText="1"/>
    </xf>
    <xf numFmtId="0" fontId="41" fillId="0" borderId="1" xfId="0" applyFont="1" applyBorder="1" applyAlignment="1">
      <alignment vertical="center" wrapText="1"/>
    </xf>
    <xf numFmtId="0" fontId="41" fillId="0" borderId="1" xfId="0" applyFont="1" applyBorder="1" applyAlignment="1">
      <alignment horizontal="center" vertical="center" wrapText="1"/>
    </xf>
    <xf numFmtId="0" fontId="38" fillId="0" borderId="25" xfId="0" applyFont="1" applyBorder="1" applyAlignment="1">
      <alignment horizontal="center" vertical="center"/>
    </xf>
    <xf numFmtId="0" fontId="38" fillId="0" borderId="5" xfId="0" applyFont="1" applyBorder="1" applyAlignment="1">
      <alignment vertical="center" wrapText="1"/>
    </xf>
    <xf numFmtId="0" fontId="38" fillId="0" borderId="5" xfId="0" applyFont="1" applyBorder="1" applyAlignment="1">
      <alignment horizontal="center" vertical="center" wrapText="1"/>
    </xf>
    <xf numFmtId="166" fontId="38" fillId="0" borderId="42" xfId="0" applyNumberFormat="1" applyFont="1" applyBorder="1" applyAlignment="1">
      <alignment horizontal="center" vertical="center" wrapText="1"/>
    </xf>
    <xf numFmtId="0" fontId="36" fillId="0" borderId="26" xfId="0" applyFont="1" applyBorder="1" applyAlignment="1">
      <alignment horizontal="center"/>
    </xf>
    <xf numFmtId="166" fontId="36" fillId="0" borderId="1" xfId="0" applyNumberFormat="1" applyFont="1" applyBorder="1" applyAlignment="1">
      <alignment horizontal="center"/>
    </xf>
    <xf numFmtId="166" fontId="36" fillId="0" borderId="33" xfId="0" applyNumberFormat="1" applyFont="1" applyBorder="1" applyAlignment="1">
      <alignment horizontal="center"/>
    </xf>
    <xf numFmtId="0" fontId="38" fillId="0" borderId="27" xfId="0" applyFont="1" applyBorder="1" applyAlignment="1">
      <alignment horizontal="center" vertical="center"/>
    </xf>
    <xf numFmtId="0" fontId="38" fillId="0" borderId="43" xfId="0" applyFont="1" applyBorder="1" applyAlignment="1">
      <alignment horizontal="center" vertical="center"/>
    </xf>
    <xf numFmtId="0" fontId="37" fillId="0" borderId="33" xfId="0" applyFont="1" applyBorder="1" applyAlignment="1">
      <alignment vertical="center" wrapText="1"/>
    </xf>
    <xf numFmtId="0" fontId="30" fillId="17" borderId="26" xfId="0" applyFont="1" applyFill="1" applyBorder="1" applyAlignment="1">
      <alignment horizontal="center" vertical="center"/>
    </xf>
    <xf numFmtId="0" fontId="30" fillId="17" borderId="33" xfId="0" applyFont="1" applyFill="1" applyBorder="1" applyAlignment="1">
      <alignment vertical="center" wrapText="1"/>
    </xf>
    <xf numFmtId="0" fontId="30" fillId="17" borderId="40" xfId="0" applyFont="1" applyFill="1" applyBorder="1" applyAlignment="1">
      <alignment horizontal="center" vertical="center" wrapText="1"/>
    </xf>
    <xf numFmtId="0" fontId="38" fillId="0" borderId="40" xfId="0" applyFont="1" applyBorder="1" applyAlignment="1">
      <alignment horizontal="center" vertical="center" wrapText="1"/>
    </xf>
    <xf numFmtId="0" fontId="38" fillId="0" borderId="44" xfId="0" applyFont="1" applyBorder="1" applyAlignment="1">
      <alignment horizontal="center" vertical="center"/>
    </xf>
    <xf numFmtId="0" fontId="38" fillId="0" borderId="45" xfId="0" applyFont="1" applyBorder="1" applyAlignment="1">
      <alignment vertical="center" wrapText="1"/>
    </xf>
    <xf numFmtId="0" fontId="42" fillId="0" borderId="44" xfId="0" applyFont="1" applyBorder="1" applyAlignment="1">
      <alignment horizontal="left" vertical="center" wrapText="1"/>
    </xf>
    <xf numFmtId="0" fontId="42" fillId="0" borderId="0" xfId="0" applyFont="1" applyAlignment="1">
      <alignment horizontal="left" vertical="center" wrapText="1"/>
    </xf>
    <xf numFmtId="0" fontId="42" fillId="0" borderId="45" xfId="0" applyFont="1" applyBorder="1" applyAlignment="1">
      <alignment horizontal="left" vertical="center" wrapText="1"/>
    </xf>
    <xf numFmtId="0" fontId="43" fillId="0" borderId="44" xfId="0" applyFont="1" applyBorder="1" applyAlignment="1">
      <alignment horizontal="left" vertical="center"/>
    </xf>
    <xf numFmtId="0" fontId="44" fillId="0" borderId="44" xfId="0" applyFont="1" applyBorder="1" applyAlignment="1">
      <alignment horizontal="center"/>
    </xf>
    <xf numFmtId="0" fontId="44" fillId="0" borderId="0" xfId="0" applyFont="1"/>
    <xf numFmtId="0" fontId="44" fillId="0" borderId="0" xfId="0" applyFont="1" applyAlignment="1">
      <alignment horizontal="center" vertical="center"/>
    </xf>
    <xf numFmtId="0" fontId="43" fillId="0" borderId="0" xfId="0" applyFont="1" applyAlignment="1">
      <alignment vertical="center"/>
    </xf>
    <xf numFmtId="0" fontId="44" fillId="0" borderId="45" xfId="0" applyFont="1" applyBorder="1" applyAlignment="1">
      <alignment wrapText="1"/>
    </xf>
    <xf numFmtId="0" fontId="43" fillId="0" borderId="0" xfId="0" applyFont="1" applyAlignment="1">
      <alignment horizontal="left" vertical="center"/>
    </xf>
    <xf numFmtId="0" fontId="43" fillId="0" borderId="44" xfId="0" applyFont="1" applyBorder="1" applyAlignment="1">
      <alignment vertical="center"/>
    </xf>
    <xf numFmtId="0" fontId="43" fillId="0" borderId="44" xfId="0" applyFont="1" applyBorder="1" applyAlignment="1">
      <alignment horizontal="left" vertical="center" wrapText="1"/>
    </xf>
    <xf numFmtId="0" fontId="44" fillId="0" borderId="0" xfId="0" applyFont="1" applyAlignment="1">
      <alignment wrapText="1"/>
    </xf>
    <xf numFmtId="0" fontId="42" fillId="0" borderId="44" xfId="0" applyFont="1" applyBorder="1" applyAlignment="1">
      <alignment horizontal="center" vertical="center" wrapText="1"/>
    </xf>
    <xf numFmtId="0" fontId="44" fillId="0" borderId="0" xfId="0" applyFont="1" applyAlignment="1">
      <alignment horizontal="left" vertical="center" wrapText="1"/>
    </xf>
    <xf numFmtId="0" fontId="44" fillId="0" borderId="0" xfId="0" applyFont="1" applyAlignment="1">
      <alignment horizontal="center" vertical="center" wrapText="1"/>
    </xf>
    <xf numFmtId="0" fontId="44" fillId="0" borderId="45" xfId="0" applyFont="1" applyBorder="1" applyAlignment="1">
      <alignment horizontal="center" vertical="center" wrapText="1"/>
    </xf>
    <xf numFmtId="0" fontId="44" fillId="0" borderId="45" xfId="0" applyFont="1" applyBorder="1"/>
    <xf numFmtId="0" fontId="43" fillId="0" borderId="46" xfId="0" applyFont="1" applyBorder="1" applyAlignment="1">
      <alignment horizontal="left" vertical="center" wrapText="1"/>
    </xf>
    <xf numFmtId="0" fontId="44" fillId="0" borderId="47" xfId="0" applyFont="1" applyBorder="1"/>
    <xf numFmtId="0" fontId="44" fillId="0" borderId="48" xfId="0" applyFont="1" applyBorder="1"/>
    <xf numFmtId="0" fontId="36" fillId="0" borderId="0" xfId="0" applyFont="1" applyAlignment="1">
      <alignment horizontal="left" wrapText="1"/>
    </xf>
    <xf numFmtId="2" fontId="39" fillId="0" borderId="0" xfId="0" applyNumberFormat="1" applyFont="1" applyAlignment="1">
      <alignment horizontal="center"/>
    </xf>
    <xf numFmtId="0" fontId="36" fillId="0" borderId="0" xfId="0" applyFont="1" applyAlignment="1">
      <alignment horizontal="left"/>
    </xf>
    <xf numFmtId="0" fontId="45" fillId="21" borderId="49" xfId="0" applyFont="1" applyFill="1" applyBorder="1" applyAlignment="1">
      <alignment horizontal="center" vertical="center"/>
    </xf>
    <xf numFmtId="0" fontId="45" fillId="21" borderId="21" xfId="0" applyFont="1" applyFill="1" applyBorder="1" applyAlignment="1">
      <alignment horizontal="center" vertical="center"/>
    </xf>
    <xf numFmtId="0" fontId="46" fillId="0" borderId="1" xfId="0" applyFont="1" applyBorder="1" applyAlignment="1">
      <alignment horizontal="center" vertical="center"/>
    </xf>
    <xf numFmtId="0" fontId="39" fillId="0" borderId="1" xfId="0"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39" fillId="0" borderId="2" xfId="0" applyFont="1" applyBorder="1" applyAlignment="1">
      <alignment horizontal="left" vertical="center" wrapText="1"/>
    </xf>
    <xf numFmtId="0" fontId="39" fillId="0" borderId="4" xfId="0" applyFont="1" applyBorder="1" applyAlignment="1">
      <alignment horizontal="left" vertical="center" wrapText="1"/>
    </xf>
    <xf numFmtId="0" fontId="36" fillId="0" borderId="2" xfId="0" applyFont="1" applyBorder="1" applyAlignment="1">
      <alignment horizontal="center"/>
    </xf>
    <xf numFmtId="0" fontId="36" fillId="0" borderId="3" xfId="0" applyFont="1" applyBorder="1" applyAlignment="1">
      <alignment horizontal="center"/>
    </xf>
    <xf numFmtId="0" fontId="36" fillId="0" borderId="4" xfId="0" applyFont="1" applyBorder="1" applyAlignment="1">
      <alignment horizontal="center"/>
    </xf>
    <xf numFmtId="0" fontId="39" fillId="0" borderId="6" xfId="0" applyFont="1" applyBorder="1" applyAlignment="1">
      <alignment horizontal="center"/>
    </xf>
    <xf numFmtId="0" fontId="39" fillId="0" borderId="7" xfId="0" applyFont="1" applyBorder="1" applyAlignment="1">
      <alignment horizontal="center"/>
    </xf>
    <xf numFmtId="0" fontId="39" fillId="0" borderId="8" xfId="0" applyFont="1" applyBorder="1" applyAlignment="1">
      <alignment horizontal="center"/>
    </xf>
    <xf numFmtId="0" fontId="32" fillId="0" borderId="7" xfId="0" applyFont="1" applyBorder="1" applyAlignment="1">
      <alignment horizontal="center" vertical="center"/>
    </xf>
    <xf numFmtId="0" fontId="1" fillId="22" borderId="1" xfId="0" applyFont="1" applyFill="1" applyBorder="1" applyAlignment="1">
      <alignment horizontal="center" vertical="center"/>
    </xf>
    <xf numFmtId="0" fontId="39" fillId="0" borderId="1" xfId="0" applyFont="1" applyBorder="1" applyAlignment="1">
      <alignment horizontal="center"/>
    </xf>
    <xf numFmtId="0" fontId="32" fillId="0" borderId="28" xfId="0" applyFont="1" applyBorder="1" applyAlignment="1">
      <alignment horizontal="center" vertical="center"/>
    </xf>
    <xf numFmtId="0" fontId="47" fillId="22" borderId="1" xfId="0" applyFont="1" applyFill="1" applyBorder="1" applyAlignment="1">
      <alignment horizontal="center" vertical="center"/>
    </xf>
    <xf numFmtId="0" fontId="48" fillId="22" borderId="1" xfId="0" applyFont="1" applyFill="1" applyBorder="1" applyAlignment="1">
      <alignment horizontal="center" vertical="center"/>
    </xf>
    <xf numFmtId="2" fontId="32" fillId="17" borderId="9" xfId="0" applyNumberFormat="1" applyFont="1" applyFill="1" applyBorder="1" applyAlignment="1">
      <alignment horizontal="center" vertical="center" wrapText="1"/>
    </xf>
    <xf numFmtId="0" fontId="39" fillId="0" borderId="1" xfId="0" applyFont="1" applyBorder="1" applyAlignment="1">
      <alignment horizontal="center" vertical="center" wrapText="1"/>
    </xf>
    <xf numFmtId="2" fontId="8" fillId="23" borderId="1" xfId="0" applyNumberFormat="1" applyFont="1" applyFill="1" applyBorder="1" applyAlignment="1">
      <alignment horizontal="center" vertical="center"/>
    </xf>
    <xf numFmtId="2" fontId="8" fillId="23" borderId="1" xfId="0" applyNumberFormat="1" applyFont="1" applyFill="1" applyBorder="1" applyAlignment="1">
      <alignment horizontal="center" vertical="center" wrapText="1"/>
    </xf>
    <xf numFmtId="1" fontId="8" fillId="23" borderId="1" xfId="0" applyNumberFormat="1" applyFont="1" applyFill="1" applyBorder="1" applyAlignment="1">
      <alignment horizontal="center" vertical="center"/>
    </xf>
    <xf numFmtId="0" fontId="32" fillId="18" borderId="1" xfId="0" applyFont="1" applyFill="1" applyBorder="1" applyAlignment="1">
      <alignment horizontal="center" vertical="center"/>
    </xf>
    <xf numFmtId="0" fontId="32" fillId="18" borderId="1" xfId="0" applyFont="1" applyFill="1" applyBorder="1" applyAlignment="1">
      <alignment vertical="center" wrapText="1"/>
    </xf>
    <xf numFmtId="0" fontId="49" fillId="8" borderId="1" xfId="0" applyFont="1" applyFill="1" applyBorder="1" applyAlignment="1">
      <alignment horizontal="center" vertical="center"/>
    </xf>
    <xf numFmtId="0" fontId="49" fillId="8" borderId="1" xfId="0" applyFont="1" applyFill="1" applyBorder="1" applyAlignment="1">
      <alignment horizontal="left" vertical="center" wrapText="1"/>
    </xf>
    <xf numFmtId="0" fontId="36" fillId="8" borderId="1" xfId="0" applyFont="1" applyFill="1" applyBorder="1" applyAlignment="1">
      <alignment horizontal="center" vertical="center" wrapText="1"/>
    </xf>
    <xf numFmtId="0" fontId="35" fillId="8" borderId="1" xfId="0" applyFont="1" applyFill="1" applyBorder="1" applyAlignment="1" applyProtection="1">
      <alignment horizontal="center" vertical="center"/>
      <protection locked="0"/>
    </xf>
    <xf numFmtId="0" fontId="39" fillId="8" borderId="1" xfId="0" applyFont="1" applyFill="1" applyBorder="1" applyAlignment="1" applyProtection="1">
      <alignment horizontal="center" vertical="center" wrapText="1"/>
      <protection locked="0"/>
    </xf>
    <xf numFmtId="0" fontId="39" fillId="7" borderId="1" xfId="0" applyFont="1" applyFill="1" applyBorder="1" applyAlignment="1" applyProtection="1">
      <alignment horizontal="center" vertical="center" wrapText="1"/>
      <protection locked="0"/>
    </xf>
    <xf numFmtId="0" fontId="35" fillId="0" borderId="1" xfId="0" applyFont="1" applyBorder="1" applyAlignment="1" applyProtection="1">
      <alignment horizontal="center" vertical="center"/>
      <protection locked="0"/>
    </xf>
    <xf numFmtId="168" fontId="49" fillId="8" borderId="1" xfId="0" applyNumberFormat="1" applyFont="1" applyFill="1" applyBorder="1" applyAlignment="1">
      <alignment horizontal="center" vertical="center"/>
    </xf>
    <xf numFmtId="168" fontId="49" fillId="8" borderId="1" xfId="0" applyNumberFormat="1" applyFont="1" applyFill="1" applyBorder="1" applyAlignment="1">
      <alignment horizontal="left" vertical="center" wrapText="1"/>
    </xf>
    <xf numFmtId="0" fontId="32" fillId="8" borderId="1" xfId="0" applyFont="1" applyFill="1" applyBorder="1" applyAlignment="1">
      <alignment horizontal="center" vertical="center"/>
    </xf>
    <xf numFmtId="0" fontId="32" fillId="8" borderId="1" xfId="0" applyFont="1" applyFill="1" applyBorder="1" applyAlignment="1">
      <alignment vertical="center" wrapText="1"/>
    </xf>
    <xf numFmtId="0" fontId="32" fillId="8" borderId="1" xfId="0" applyFont="1" applyFill="1" applyBorder="1" applyAlignment="1" applyProtection="1">
      <alignment vertical="center" wrapText="1"/>
      <protection locked="0"/>
    </xf>
    <xf numFmtId="0" fontId="32" fillId="7" borderId="1" xfId="0" applyFont="1" applyFill="1" applyBorder="1" applyAlignment="1" applyProtection="1">
      <alignment vertical="center" wrapText="1"/>
      <protection locked="0"/>
    </xf>
    <xf numFmtId="0" fontId="32" fillId="0" borderId="1" xfId="0" applyFont="1" applyBorder="1" applyAlignment="1" applyProtection="1">
      <alignment vertical="center" wrapText="1"/>
      <protection locked="0"/>
    </xf>
    <xf numFmtId="0" fontId="50" fillId="8" borderId="1" xfId="0" applyFont="1" applyFill="1" applyBorder="1" applyAlignment="1">
      <alignment horizontal="center" vertical="center"/>
    </xf>
    <xf numFmtId="0" fontId="36" fillId="8" borderId="1" xfId="0" applyFont="1" applyFill="1" applyBorder="1" applyAlignment="1">
      <alignment horizontal="left" vertical="center" wrapText="1"/>
    </xf>
    <xf numFmtId="168" fontId="50" fillId="8" borderId="1" xfId="0" applyNumberFormat="1" applyFont="1" applyFill="1" applyBorder="1" applyAlignment="1">
      <alignment horizontal="center" vertical="center"/>
    </xf>
    <xf numFmtId="0" fontId="39" fillId="14" borderId="24" xfId="0" applyFont="1" applyFill="1" applyBorder="1" applyAlignment="1">
      <alignment horizontal="center" vertical="center"/>
    </xf>
    <xf numFmtId="0" fontId="39" fillId="14" borderId="1" xfId="0" applyFont="1" applyFill="1" applyBorder="1" applyAlignment="1">
      <alignment vertical="center" wrapText="1"/>
    </xf>
    <xf numFmtId="0" fontId="39" fillId="14" borderId="1" xfId="0" applyFont="1" applyFill="1" applyBorder="1" applyAlignment="1">
      <alignment horizontal="center" vertical="center" wrapText="1"/>
    </xf>
    <xf numFmtId="0" fontId="39" fillId="14" borderId="1" xfId="0" applyFont="1" applyFill="1" applyBorder="1" applyAlignment="1">
      <alignment horizontal="center" vertical="center"/>
    </xf>
    <xf numFmtId="2" fontId="39" fillId="14" borderId="1" xfId="0" applyNumberFormat="1" applyFont="1" applyFill="1" applyBorder="1" applyAlignment="1">
      <alignment horizontal="center" vertical="center"/>
    </xf>
    <xf numFmtId="0" fontId="39" fillId="14" borderId="1" xfId="0" applyFont="1" applyFill="1" applyBorder="1" applyAlignment="1" applyProtection="1">
      <alignment horizontal="center" vertical="center"/>
      <protection locked="0"/>
    </xf>
    <xf numFmtId="0" fontId="36" fillId="0" borderId="1" xfId="0" applyFont="1" applyBorder="1" applyAlignment="1">
      <alignment horizontal="center" vertical="center"/>
    </xf>
    <xf numFmtId="0" fontId="3" fillId="0" borderId="1" xfId="0" applyFont="1" applyBorder="1" applyAlignment="1" applyProtection="1">
      <alignment horizontal="center" vertical="center"/>
      <protection locked="0"/>
    </xf>
    <xf numFmtId="0" fontId="0" fillId="3" borderId="1" xfId="0" applyFill="1" applyBorder="1" applyAlignment="1" applyProtection="1">
      <alignment horizontal="center" vertical="center" wrapText="1"/>
      <protection locked="0"/>
    </xf>
    <xf numFmtId="2" fontId="39" fillId="4" borderId="1" xfId="0" applyNumberFormat="1" applyFont="1" applyFill="1" applyBorder="1" applyAlignment="1">
      <alignment horizontal="center" vertical="center" wrapText="1"/>
    </xf>
    <xf numFmtId="0" fontId="36" fillId="0" borderId="1" xfId="0" applyFont="1" applyBorder="1" applyAlignment="1" applyProtection="1">
      <alignment horizontal="left"/>
      <protection locked="0"/>
    </xf>
    <xf numFmtId="0" fontId="8" fillId="0" borderId="1" xfId="0" applyFont="1" applyBorder="1" applyAlignment="1" applyProtection="1">
      <alignment horizontal="left"/>
      <protection locked="0"/>
    </xf>
    <xf numFmtId="0" fontId="36" fillId="0" borderId="0" xfId="0" applyFont="1" applyAlignment="1" applyProtection="1">
      <alignment horizontal="center"/>
      <protection locked="0"/>
    </xf>
    <xf numFmtId="0" fontId="51" fillId="0" borderId="1" xfId="0" applyFont="1" applyBorder="1" applyAlignment="1" applyProtection="1">
      <alignment horizontal="center"/>
      <protection locked="0"/>
    </xf>
    <xf numFmtId="0" fontId="36" fillId="8" borderId="1" xfId="0" applyFont="1" applyFill="1" applyBorder="1" applyAlignment="1">
      <alignment horizontal="center" vertical="center"/>
    </xf>
    <xf numFmtId="0" fontId="36" fillId="4" borderId="1" xfId="0" applyFont="1" applyFill="1" applyBorder="1" applyAlignment="1">
      <alignment horizontal="center" vertical="center" wrapText="1"/>
    </xf>
    <xf numFmtId="0" fontId="36" fillId="4" borderId="1" xfId="0" applyFont="1" applyFill="1" applyBorder="1" applyAlignment="1">
      <alignment horizontal="left" vertical="center" wrapText="1"/>
    </xf>
    <xf numFmtId="2" fontId="36" fillId="4" borderId="1" xfId="0" applyNumberFormat="1" applyFont="1" applyFill="1" applyBorder="1" applyAlignment="1">
      <alignment horizontal="center" vertical="center" wrapText="1"/>
    </xf>
    <xf numFmtId="2" fontId="36" fillId="0" borderId="1" xfId="0" applyNumberFormat="1" applyFont="1" applyBorder="1" applyAlignment="1" applyProtection="1">
      <alignment horizontal="center" vertical="center" wrapText="1"/>
      <protection locked="0"/>
    </xf>
    <xf numFmtId="0" fontId="36" fillId="0" borderId="1" xfId="0" applyFont="1" applyBorder="1" applyAlignment="1" applyProtection="1">
      <alignment horizontal="left" vertical="center" wrapText="1"/>
      <protection locked="0"/>
    </xf>
    <xf numFmtId="0" fontId="39" fillId="3" borderId="0" xfId="0" applyFont="1" applyFill="1"/>
    <xf numFmtId="0" fontId="39" fillId="3" borderId="1" xfId="0" applyFont="1" applyFill="1" applyBorder="1" applyAlignment="1">
      <alignment horizontal="center" vertical="center"/>
    </xf>
    <xf numFmtId="0" fontId="39" fillId="3" borderId="1" xfId="0" applyFont="1" applyFill="1" applyBorder="1" applyAlignment="1">
      <alignment horizontal="left" vertical="center" wrapText="1"/>
    </xf>
    <xf numFmtId="0" fontId="39" fillId="3" borderId="1" xfId="0" applyFont="1" applyFill="1" applyBorder="1" applyAlignment="1">
      <alignment horizontal="center" vertical="center" wrapText="1"/>
    </xf>
    <xf numFmtId="167" fontId="39" fillId="3" borderId="1" xfId="0" applyNumberFormat="1" applyFont="1" applyFill="1" applyBorder="1" applyAlignment="1">
      <alignment horizontal="center" vertical="center"/>
    </xf>
    <xf numFmtId="2" fontId="39" fillId="3" borderId="1" xfId="0" applyNumberFormat="1" applyFont="1" applyFill="1" applyBorder="1" applyAlignment="1">
      <alignment horizontal="center" vertical="center"/>
    </xf>
    <xf numFmtId="167" fontId="39" fillId="0" borderId="1" xfId="0" applyNumberFormat="1" applyFont="1" applyBorder="1" applyAlignment="1" applyProtection="1">
      <alignment horizontal="center" vertical="center"/>
      <protection locked="0"/>
    </xf>
    <xf numFmtId="0" fontId="39" fillId="0" borderId="1" xfId="0" applyFont="1" applyBorder="1" applyAlignment="1" applyProtection="1">
      <alignment horizontal="left"/>
      <protection locked="0"/>
    </xf>
    <xf numFmtId="0" fontId="36" fillId="3" borderId="0" xfId="0" applyFont="1" applyFill="1"/>
    <xf numFmtId="0" fontId="36" fillId="3" borderId="1" xfId="0" applyFont="1" applyFill="1" applyBorder="1" applyAlignment="1">
      <alignment horizontal="center" vertical="center"/>
    </xf>
    <xf numFmtId="167" fontId="36" fillId="3" borderId="1" xfId="0" applyNumberFormat="1" applyFont="1" applyFill="1" applyBorder="1" applyAlignment="1">
      <alignment horizontal="center" vertical="center"/>
    </xf>
    <xf numFmtId="167" fontId="36" fillId="0" borderId="1" xfId="0" applyNumberFormat="1" applyFont="1" applyBorder="1" applyAlignment="1" applyProtection="1">
      <alignment horizontal="center" vertical="center"/>
      <protection locked="0"/>
    </xf>
    <xf numFmtId="0" fontId="44" fillId="0" borderId="1" xfId="0" applyFont="1" applyBorder="1" applyAlignment="1" applyProtection="1">
      <alignment horizontal="left"/>
      <protection locked="0"/>
    </xf>
    <xf numFmtId="0" fontId="0" fillId="19" borderId="1" xfId="0" applyFill="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8" fillId="0" borderId="1" xfId="0" applyFont="1" applyBorder="1" applyAlignment="1" applyProtection="1">
      <alignment horizontal="left" wrapText="1"/>
      <protection locked="0"/>
    </xf>
    <xf numFmtId="0" fontId="36" fillId="0" borderId="1" xfId="0" applyFont="1" applyBorder="1" applyAlignment="1" applyProtection="1">
      <alignment horizontal="center" vertical="center"/>
      <protection locked="0"/>
    </xf>
    <xf numFmtId="2" fontId="39" fillId="0" borderId="1" xfId="0" applyNumberFormat="1" applyFont="1" applyBorder="1" applyAlignment="1">
      <alignment horizontal="center" vertical="center"/>
    </xf>
    <xf numFmtId="2" fontId="0" fillId="24" borderId="5" xfId="0" applyNumberFormat="1" applyFill="1" applyBorder="1" applyAlignment="1" applyProtection="1">
      <alignment horizontal="center" vertical="center"/>
      <protection locked="0"/>
    </xf>
    <xf numFmtId="2" fontId="8" fillId="24" borderId="5" xfId="0" applyNumberFormat="1" applyFont="1" applyFill="1" applyBorder="1" applyAlignment="1">
      <alignment horizontal="center" vertical="center"/>
    </xf>
    <xf numFmtId="2" fontId="0" fillId="0" borderId="5" xfId="0" applyNumberFormat="1" applyBorder="1" applyAlignment="1" applyProtection="1">
      <alignment horizontal="center" vertical="center"/>
      <protection locked="0"/>
    </xf>
    <xf numFmtId="164" fontId="35" fillId="0" borderId="1" xfId="0" applyNumberFormat="1" applyFont="1" applyBorder="1" applyAlignment="1" applyProtection="1">
      <alignment horizontal="center" vertical="center"/>
      <protection locked="0"/>
    </xf>
    <xf numFmtId="0" fontId="44" fillId="0" borderId="1" xfId="0" applyFont="1" applyBorder="1" applyAlignment="1" applyProtection="1">
      <alignment horizontal="left" wrapText="1"/>
      <protection locked="0"/>
    </xf>
    <xf numFmtId="0" fontId="36" fillId="0" borderId="1" xfId="0" applyFont="1" applyBorder="1" applyAlignment="1" applyProtection="1">
      <alignment horizontal="left" wrapText="1"/>
      <protection locked="0"/>
    </xf>
    <xf numFmtId="2" fontId="35" fillId="24" borderId="5" xfId="0" applyNumberFormat="1" applyFont="1" applyFill="1" applyBorder="1" applyAlignment="1" applyProtection="1">
      <alignment horizontal="center" vertical="center"/>
      <protection locked="0"/>
    </xf>
    <xf numFmtId="2" fontId="35" fillId="0" borderId="5" xfId="0" applyNumberFormat="1" applyFont="1" applyBorder="1" applyAlignment="1" applyProtection="1">
      <alignment horizontal="center" vertical="center"/>
      <protection locked="0"/>
    </xf>
    <xf numFmtId="0" fontId="52" fillId="0" borderId="1" xfId="0" applyFont="1" applyBorder="1" applyAlignment="1" applyProtection="1">
      <alignment horizontal="left"/>
      <protection locked="0"/>
    </xf>
    <xf numFmtId="0" fontId="39" fillId="0" borderId="1" xfId="0" applyFont="1" applyBorder="1" applyAlignment="1">
      <alignment horizontal="center" vertical="center"/>
    </xf>
    <xf numFmtId="0" fontId="52" fillId="0" borderId="1" xfId="0" applyFont="1" applyBorder="1" applyAlignment="1" applyProtection="1">
      <alignment horizontal="left" wrapText="1"/>
      <protection locked="0"/>
    </xf>
    <xf numFmtId="0" fontId="39" fillId="0" borderId="1" xfId="0" applyFont="1" applyBorder="1" applyAlignment="1">
      <alignment horizontal="left" vertical="center" wrapText="1"/>
    </xf>
    <xf numFmtId="0" fontId="39" fillId="0" borderId="1" xfId="0" applyFont="1" applyBorder="1" applyAlignment="1" applyProtection="1">
      <alignment horizontal="center" vertical="center"/>
      <protection locked="0"/>
    </xf>
    <xf numFmtId="0" fontId="39" fillId="0" borderId="1" xfId="0" applyFont="1" applyBorder="1" applyAlignment="1" applyProtection="1">
      <alignment horizontal="center"/>
      <protection locked="0"/>
    </xf>
    <xf numFmtId="2" fontId="0" fillId="0" borderId="1" xfId="0" applyNumberFormat="1" applyBorder="1" applyAlignment="1" applyProtection="1">
      <alignment horizontal="center" vertical="center"/>
      <protection locked="0"/>
    </xf>
    <xf numFmtId="0" fontId="36" fillId="0" borderId="1" xfId="0" applyFont="1" applyBorder="1" applyAlignment="1" applyProtection="1">
      <alignment horizontal="center"/>
      <protection locked="0"/>
    </xf>
    <xf numFmtId="0" fontId="44" fillId="0" borderId="1" xfId="0" applyFont="1" applyBorder="1" applyAlignment="1" applyProtection="1">
      <alignment vertical="center"/>
      <protection locked="0"/>
    </xf>
    <xf numFmtId="0" fontId="39" fillId="0" borderId="3" xfId="0" applyFont="1" applyBorder="1" applyAlignment="1">
      <alignment horizontal="center" vertical="center"/>
    </xf>
    <xf numFmtId="2" fontId="0" fillId="3" borderId="1" xfId="0" applyNumberFormat="1" applyFill="1" applyBorder="1" applyAlignment="1" applyProtection="1">
      <alignment horizontal="center" vertical="center" wrapText="1"/>
      <protection locked="0"/>
    </xf>
    <xf numFmtId="2" fontId="0" fillId="0" borderId="1" xfId="0" applyNumberFormat="1" applyBorder="1" applyAlignment="1" applyProtection="1">
      <alignment horizontal="center" vertical="center" wrapText="1"/>
      <protection locked="0"/>
    </xf>
    <xf numFmtId="0" fontId="39" fillId="0" borderId="1" xfId="0" applyFont="1" applyBorder="1" applyAlignment="1" applyProtection="1">
      <alignment horizontal="left" vertical="center"/>
      <protection locked="0"/>
    </xf>
    <xf numFmtId="0" fontId="0" fillId="0" borderId="2" xfId="0" applyBorder="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2" xfId="0" applyBorder="1" applyAlignment="1" applyProtection="1">
      <alignment horizontal="center" vertical="center" wrapText="1"/>
      <protection locked="0"/>
    </xf>
    <xf numFmtId="0" fontId="36" fillId="15" borderId="1" xfId="0" applyFont="1" applyFill="1" applyBorder="1" applyAlignment="1" applyProtection="1">
      <alignment horizontal="center" vertical="center"/>
      <protection locked="0"/>
    </xf>
    <xf numFmtId="2" fontId="39" fillId="15" borderId="1" xfId="0" applyNumberFormat="1" applyFont="1" applyFill="1" applyBorder="1" applyAlignment="1">
      <alignment horizontal="center" vertical="center"/>
    </xf>
    <xf numFmtId="0" fontId="36" fillId="0" borderId="2" xfId="0" applyFont="1" applyBorder="1" applyAlignment="1" applyProtection="1">
      <alignment horizontal="center" vertical="center"/>
      <protection locked="0"/>
    </xf>
    <xf numFmtId="0" fontId="8" fillId="14" borderId="24" xfId="0" applyFont="1" applyFill="1" applyBorder="1" applyAlignment="1">
      <alignment horizontal="center" vertical="center"/>
    </xf>
    <xf numFmtId="0" fontId="8" fillId="14" borderId="1" xfId="0" applyFont="1" applyFill="1" applyBorder="1" applyAlignment="1">
      <alignment vertical="center" wrapText="1"/>
    </xf>
    <xf numFmtId="0" fontId="8" fillId="14" borderId="1" xfId="0" applyFont="1" applyFill="1" applyBorder="1" applyAlignment="1">
      <alignment horizontal="center" vertical="center" wrapText="1"/>
    </xf>
    <xf numFmtId="0" fontId="8" fillId="14" borderId="1" xfId="0" applyFont="1" applyFill="1" applyBorder="1" applyAlignment="1" applyProtection="1">
      <alignment horizontal="center" vertical="center" wrapText="1"/>
      <protection locked="0"/>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5" xfId="0" applyBorder="1" applyAlignment="1">
      <alignment vertical="center" wrapText="1"/>
    </xf>
    <xf numFmtId="0" fontId="0" fillId="0" borderId="5" xfId="0" applyBorder="1" applyAlignment="1">
      <alignment horizontal="center"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50" xfId="0" applyBorder="1" applyAlignment="1">
      <alignment vertical="center" wrapText="1"/>
    </xf>
    <xf numFmtId="0" fontId="0" fillId="0" borderId="50" xfId="0" applyBorder="1" applyAlignment="1">
      <alignment horizontal="center" vertical="center" wrapText="1"/>
    </xf>
    <xf numFmtId="0" fontId="36" fillId="0" borderId="3" xfId="0" applyFont="1" applyBorder="1" applyAlignment="1">
      <alignment horizontal="center" vertical="center"/>
    </xf>
    <xf numFmtId="0" fontId="36" fillId="0" borderId="1" xfId="0" applyFont="1" applyBorder="1" applyAlignment="1" applyProtection="1">
      <alignment horizontal="left" vertical="center"/>
      <protection locked="0"/>
    </xf>
    <xf numFmtId="0" fontId="53" fillId="0" borderId="1" xfId="0" applyFont="1" applyBorder="1" applyAlignment="1">
      <alignment horizontal="left" vertical="center" wrapText="1"/>
    </xf>
    <xf numFmtId="0" fontId="36" fillId="0" borderId="1"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1" fontId="0" fillId="0" borderId="1" xfId="0" applyNumberFormat="1" applyBorder="1" applyAlignment="1" applyProtection="1">
      <alignment horizontal="center" vertical="center"/>
      <protection locked="0"/>
    </xf>
    <xf numFmtId="0" fontId="39" fillId="4" borderId="1" xfId="0" applyFont="1" applyFill="1" applyBorder="1" applyAlignment="1" applyProtection="1">
      <alignment horizontal="center" vertical="center" wrapText="1"/>
      <protection locked="0"/>
    </xf>
    <xf numFmtId="0" fontId="54" fillId="14" borderId="1" xfId="0" applyFont="1" applyFill="1" applyBorder="1" applyAlignment="1">
      <alignment horizontal="left" vertical="center" wrapText="1"/>
    </xf>
    <xf numFmtId="0" fontId="55" fillId="17" borderId="2" xfId="0" applyFont="1" applyFill="1" applyBorder="1" applyAlignment="1">
      <alignment horizontal="center" vertical="center"/>
    </xf>
    <xf numFmtId="0" fontId="55" fillId="17" borderId="1" xfId="0" applyFont="1" applyFill="1" applyBorder="1" applyAlignment="1">
      <alignment horizontal="left" vertical="center" wrapText="1"/>
    </xf>
    <xf numFmtId="0" fontId="55" fillId="17" borderId="4" xfId="0" applyFont="1" applyFill="1" applyBorder="1" applyAlignment="1">
      <alignment horizontal="center" vertical="center"/>
    </xf>
    <xf numFmtId="0" fontId="55" fillId="17" borderId="1" xfId="0" applyFont="1" applyFill="1" applyBorder="1" applyAlignment="1">
      <alignment horizontal="center" vertical="center"/>
    </xf>
    <xf numFmtId="0" fontId="55" fillId="0" borderId="1" xfId="0" applyFont="1" applyBorder="1" applyAlignment="1" applyProtection="1">
      <alignment horizontal="center" vertical="center"/>
      <protection locked="0"/>
    </xf>
    <xf numFmtId="0" fontId="55" fillId="0" borderId="1" xfId="0" applyFont="1" applyBorder="1" applyAlignment="1" applyProtection="1">
      <alignment horizontal="left" vertical="center"/>
      <protection locked="0"/>
    </xf>
    <xf numFmtId="0" fontId="53" fillId="0" borderId="1" xfId="0" applyFont="1" applyBorder="1" applyAlignment="1">
      <alignment horizontal="center" vertical="center"/>
    </xf>
    <xf numFmtId="0" fontId="53" fillId="0" borderId="1" xfId="0" applyFont="1" applyBorder="1" applyAlignment="1" applyProtection="1">
      <alignment horizontal="center" vertical="center"/>
      <protection locked="0"/>
    </xf>
    <xf numFmtId="2" fontId="0" fillId="25" borderId="1" xfId="0" applyNumberFormat="1" applyFill="1" applyBorder="1" applyAlignment="1" applyProtection="1">
      <alignment horizontal="center" vertical="center"/>
      <protection locked="0"/>
    </xf>
    <xf numFmtId="2" fontId="3" fillId="25" borderId="1" xfId="0" applyNumberFormat="1" applyFont="1" applyFill="1" applyBorder="1" applyAlignment="1" applyProtection="1">
      <alignment horizontal="center" vertical="center"/>
      <protection locked="0"/>
    </xf>
    <xf numFmtId="2" fontId="8" fillId="25" borderId="1" xfId="0" applyNumberFormat="1" applyFont="1" applyFill="1" applyBorder="1" applyAlignment="1" applyProtection="1">
      <alignment horizontal="center" vertical="center"/>
      <protection locked="0"/>
    </xf>
    <xf numFmtId="2" fontId="0" fillId="0" borderId="1" xfId="0" applyNumberFormat="1" applyBorder="1" applyAlignment="1" applyProtection="1">
      <alignment horizontal="left" vertical="center"/>
      <protection locked="0"/>
    </xf>
    <xf numFmtId="0" fontId="53" fillId="0" borderId="1" xfId="0" applyFont="1" applyBorder="1" applyAlignment="1">
      <alignment horizontal="center" vertical="center" wrapText="1"/>
    </xf>
    <xf numFmtId="164" fontId="56" fillId="0" borderId="1" xfId="0" applyNumberFormat="1" applyFont="1" applyBorder="1" applyAlignment="1" applyProtection="1">
      <alignment horizontal="center" vertical="center"/>
      <protection locked="0"/>
    </xf>
    <xf numFmtId="164" fontId="53" fillId="0" borderId="1" xfId="0" applyNumberFormat="1" applyFont="1" applyBorder="1" applyAlignment="1" applyProtection="1">
      <alignment horizontal="center" vertical="center"/>
      <protection locked="0"/>
    </xf>
    <xf numFmtId="0" fontId="53" fillId="0" borderId="1" xfId="0" applyFont="1" applyBorder="1" applyAlignment="1" applyProtection="1">
      <alignment vertical="center"/>
      <protection locked="0"/>
    </xf>
    <xf numFmtId="164" fontId="3" fillId="19" borderId="1" xfId="0" applyNumberFormat="1" applyFont="1" applyFill="1" applyBorder="1" applyAlignment="1" applyProtection="1">
      <alignment horizontal="center" vertical="center" wrapText="1"/>
      <protection locked="0"/>
    </xf>
    <xf numFmtId="164" fontId="0" fillId="19" borderId="1" xfId="0" applyNumberFormat="1" applyFill="1" applyBorder="1" applyAlignment="1" applyProtection="1">
      <alignment horizontal="center" vertical="center" wrapText="1"/>
      <protection locked="0"/>
    </xf>
    <xf numFmtId="164" fontId="0" fillId="0" borderId="1" xfId="0" applyNumberFormat="1" applyBorder="1" applyAlignment="1" applyProtection="1">
      <alignment horizontal="center" vertical="center" wrapText="1"/>
      <protection locked="0"/>
    </xf>
    <xf numFmtId="0" fontId="0" fillId="0" borderId="1" xfId="0" applyBorder="1" applyAlignment="1" applyProtection="1">
      <alignment horizontal="center"/>
      <protection locked="0"/>
    </xf>
    <xf numFmtId="164" fontId="55" fillId="4" borderId="1" xfId="0" applyNumberFormat="1" applyFont="1" applyFill="1" applyBorder="1" applyAlignment="1">
      <alignment horizontal="center" vertical="center" wrapText="1"/>
    </xf>
    <xf numFmtId="164" fontId="55" fillId="4" borderId="1" xfId="0" applyNumberFormat="1" applyFont="1" applyFill="1" applyBorder="1" applyAlignment="1">
      <alignment horizontal="left" vertical="center" wrapText="1"/>
    </xf>
    <xf numFmtId="164" fontId="55" fillId="0" borderId="1" xfId="0" applyNumberFormat="1" applyFont="1" applyBorder="1" applyAlignment="1" applyProtection="1">
      <alignment horizontal="center" vertical="center" wrapText="1"/>
      <protection locked="0"/>
    </xf>
    <xf numFmtId="164" fontId="55" fillId="0" borderId="1" xfId="0" applyNumberFormat="1" applyFont="1" applyBorder="1" applyAlignment="1" applyProtection="1">
      <alignment horizontal="left" vertical="center" wrapText="1"/>
      <protection locked="0"/>
    </xf>
    <xf numFmtId="0" fontId="0" fillId="0" borderId="2" xfId="0" applyBorder="1"/>
    <xf numFmtId="0" fontId="0" fillId="0" borderId="1" xfId="0" applyBorder="1" applyAlignment="1">
      <alignment wrapText="1"/>
    </xf>
    <xf numFmtId="0" fontId="0" fillId="0" borderId="3" xfId="0" applyBorder="1"/>
    <xf numFmtId="0" fontId="0" fillId="0" borderId="3" xfId="0" applyBorder="1" applyAlignment="1">
      <alignment horizontal="center" vertical="center"/>
    </xf>
    <xf numFmtId="0" fontId="8" fillId="0" borderId="3" xfId="0" applyFont="1" applyBorder="1"/>
    <xf numFmtId="0" fontId="0" fillId="0" borderId="4" xfId="0" applyBorder="1"/>
    <xf numFmtId="0" fontId="0" fillId="0" borderId="3" xfId="0" applyBorder="1" applyProtection="1">
      <protection locked="0"/>
    </xf>
    <xf numFmtId="0" fontId="53" fillId="0" borderId="1" xfId="0" applyFont="1" applyBorder="1" applyAlignment="1" applyProtection="1">
      <alignment horizontal="left" vertical="center"/>
      <protection locked="0"/>
    </xf>
    <xf numFmtId="0" fontId="0" fillId="0" borderId="4" xfId="0" applyBorder="1" applyProtection="1">
      <protection locked="0"/>
    </xf>
    <xf numFmtId="2" fontId="0" fillId="0" borderId="2" xfId="0" applyNumberFormat="1" applyBorder="1" applyAlignment="1" applyProtection="1">
      <alignment horizontal="left" vertical="center"/>
      <protection locked="0"/>
    </xf>
    <xf numFmtId="0" fontId="8" fillId="0" borderId="0" xfId="0" applyFont="1"/>
    <xf numFmtId="2" fontId="8" fillId="25" borderId="1" xfId="0" applyNumberFormat="1" applyFont="1" applyFill="1" applyBorder="1" applyAlignment="1">
      <alignment horizontal="center" vertical="center"/>
    </xf>
    <xf numFmtId="164" fontId="55" fillId="0" borderId="5" xfId="0" applyNumberFormat="1" applyFont="1" applyBorder="1" applyAlignment="1">
      <alignment horizontal="center" vertical="center" wrapText="1"/>
    </xf>
    <xf numFmtId="164" fontId="55" fillId="0" borderId="5" xfId="0" applyNumberFormat="1" applyFont="1" applyBorder="1" applyAlignment="1">
      <alignment horizontal="left" vertical="center" wrapText="1"/>
    </xf>
    <xf numFmtId="164" fontId="55" fillId="0" borderId="9" xfId="0" applyNumberFormat="1" applyFont="1" applyBorder="1" applyAlignment="1">
      <alignment horizontal="center" vertical="center" wrapText="1"/>
    </xf>
    <xf numFmtId="164" fontId="55" fillId="0" borderId="1" xfId="0" applyNumberFormat="1" applyFont="1" applyBorder="1" applyAlignment="1">
      <alignment horizontal="center" vertical="center" wrapText="1"/>
    </xf>
    <xf numFmtId="0" fontId="36" fillId="0" borderId="1" xfId="0" applyFont="1" applyBorder="1" applyAlignment="1">
      <alignment vertical="center"/>
    </xf>
    <xf numFmtId="0" fontId="55" fillId="0" borderId="1" xfId="0" applyFont="1" applyBorder="1" applyAlignment="1">
      <alignment horizontal="center" vertical="center"/>
    </xf>
    <xf numFmtId="0" fontId="53" fillId="0" borderId="1" xfId="0" applyFont="1" applyBorder="1" applyAlignment="1">
      <alignment vertical="center"/>
    </xf>
    <xf numFmtId="0" fontId="39" fillId="14" borderId="1" xfId="0" applyFont="1" applyFill="1" applyBorder="1" applyAlignment="1">
      <alignment horizontal="left" vertical="center" wrapText="1"/>
    </xf>
    <xf numFmtId="164" fontId="0" fillId="0" borderId="4" xfId="0" applyNumberFormat="1" applyBorder="1" applyAlignment="1" applyProtection="1">
      <alignment horizontal="center" vertical="center" wrapText="1"/>
      <protection locked="0"/>
    </xf>
    <xf numFmtId="164" fontId="53" fillId="0" borderId="4" xfId="0" applyNumberFormat="1" applyFont="1" applyBorder="1" applyAlignment="1" applyProtection="1">
      <alignment horizontal="center" vertical="center"/>
      <protection locked="0"/>
    </xf>
    <xf numFmtId="0" fontId="0" fillId="0" borderId="4" xfId="0" applyBorder="1" applyAlignment="1" applyProtection="1">
      <alignment horizontal="left"/>
      <protection locked="0"/>
    </xf>
    <xf numFmtId="0" fontId="57" fillId="0" borderId="1" xfId="0" applyFont="1" applyBorder="1" applyAlignment="1">
      <alignment horizontal="center" vertical="center"/>
    </xf>
    <xf numFmtId="0" fontId="58" fillId="3" borderId="1" xfId="0" applyFont="1" applyFill="1" applyBorder="1" applyAlignment="1">
      <alignment horizontal="left" wrapText="1"/>
    </xf>
    <xf numFmtId="0" fontId="57" fillId="0" borderId="2" xfId="0" applyFont="1" applyBorder="1" applyAlignment="1">
      <alignment horizontal="center"/>
    </xf>
    <xf numFmtId="0" fontId="57" fillId="0" borderId="3" xfId="0" applyFont="1" applyBorder="1" applyAlignment="1">
      <alignment horizontal="center"/>
    </xf>
    <xf numFmtId="0" fontId="57" fillId="0" borderId="4" xfId="0" applyFont="1" applyBorder="1" applyAlignment="1">
      <alignment horizontal="center" vertical="center"/>
    </xf>
    <xf numFmtId="2" fontId="0" fillId="25" borderId="1" xfId="0" applyNumberFormat="1" applyFill="1" applyBorder="1" applyAlignment="1">
      <alignment horizontal="center" vertical="center"/>
    </xf>
    <xf numFmtId="0" fontId="55" fillId="0" borderId="5" xfId="0" applyFont="1" applyBorder="1" applyAlignment="1">
      <alignment horizontal="center" vertical="center"/>
    </xf>
    <xf numFmtId="1" fontId="3" fillId="0" borderId="33" xfId="0" applyNumberFormat="1" applyFont="1" applyBorder="1" applyAlignment="1" applyProtection="1">
      <alignment horizontal="center"/>
      <protection locked="0"/>
    </xf>
    <xf numFmtId="1" fontId="3" fillId="0" borderId="2" xfId="0" applyNumberFormat="1" applyFont="1" applyBorder="1" applyAlignment="1" applyProtection="1">
      <alignment horizontal="center"/>
      <protection locked="0"/>
    </xf>
    <xf numFmtId="2" fontId="3" fillId="0" borderId="33" xfId="0" applyNumberFormat="1" applyFont="1" applyBorder="1" applyAlignment="1" applyProtection="1">
      <alignment horizontal="center"/>
      <protection locked="0"/>
    </xf>
    <xf numFmtId="2" fontId="3" fillId="0" borderId="2" xfId="0" applyNumberFormat="1" applyFont="1" applyBorder="1" applyAlignment="1" applyProtection="1">
      <alignment horizontal="center"/>
      <protection locked="0"/>
    </xf>
    <xf numFmtId="1" fontId="3" fillId="0" borderId="1" xfId="0" applyNumberFormat="1" applyFont="1" applyBorder="1" applyAlignment="1" applyProtection="1">
      <alignment horizontal="center"/>
      <protection locked="0"/>
    </xf>
    <xf numFmtId="164" fontId="55" fillId="0" borderId="5" xfId="0" applyNumberFormat="1" applyFont="1" applyBorder="1" applyAlignment="1" applyProtection="1">
      <alignment horizontal="center" vertical="center" wrapText="1"/>
      <protection locked="0"/>
    </xf>
    <xf numFmtId="2" fontId="0" fillId="0" borderId="5" xfId="0" applyNumberFormat="1" applyBorder="1" applyAlignment="1">
      <alignment horizontal="center" vertical="center"/>
    </xf>
    <xf numFmtId="2" fontId="0" fillId="0" borderId="5" xfId="0" applyNumberFormat="1" applyBorder="1" applyAlignment="1">
      <alignment horizontal="left" vertical="center" wrapText="1"/>
    </xf>
    <xf numFmtId="2" fontId="35" fillId="0" borderId="5" xfId="0" applyNumberFormat="1" applyFont="1" applyBorder="1" applyAlignment="1">
      <alignment horizontal="center" vertical="center" wrapText="1"/>
    </xf>
    <xf numFmtId="2" fontId="8" fillId="0" borderId="5" xfId="0" applyNumberFormat="1" applyFont="1" applyBorder="1" applyAlignment="1">
      <alignment horizontal="center" vertical="center"/>
    </xf>
    <xf numFmtId="2" fontId="0" fillId="0" borderId="5" xfId="0" applyNumberFormat="1" applyBorder="1" applyAlignment="1" applyProtection="1">
      <alignment horizontal="left" vertical="center"/>
      <protection locked="0"/>
    </xf>
    <xf numFmtId="0" fontId="36" fillId="0" borderId="2" xfId="0" applyFont="1" applyBorder="1" applyAlignment="1">
      <alignment horizontal="center" vertical="center"/>
    </xf>
    <xf numFmtId="0" fontId="55" fillId="0" borderId="1" xfId="0" applyFont="1" applyBorder="1" applyAlignment="1">
      <alignment vertical="center"/>
    </xf>
    <xf numFmtId="0" fontId="55" fillId="0" borderId="1" xfId="0" applyFont="1" applyBorder="1" applyAlignment="1" applyProtection="1">
      <alignment vertical="center"/>
      <protection locked="0"/>
    </xf>
    <xf numFmtId="0" fontId="54" fillId="14" borderId="24" xfId="0" applyFont="1" applyFill="1" applyBorder="1" applyAlignment="1">
      <alignment horizontal="center" vertical="center"/>
    </xf>
    <xf numFmtId="169" fontId="0" fillId="0" borderId="1" xfId="0" applyNumberFormat="1" applyBorder="1" applyAlignment="1" applyProtection="1">
      <alignment horizontal="center"/>
      <protection locked="0"/>
    </xf>
    <xf numFmtId="0" fontId="0" fillId="8" borderId="26" xfId="0" applyFill="1" applyBorder="1" applyAlignment="1">
      <alignment horizontal="center" vertical="center"/>
    </xf>
    <xf numFmtId="0" fontId="0" fillId="8" borderId="1" xfId="0" applyFill="1" applyBorder="1" applyAlignment="1">
      <alignment vertical="center" wrapText="1"/>
    </xf>
    <xf numFmtId="0" fontId="0" fillId="8" borderId="1" xfId="0" applyFill="1" applyBorder="1" applyAlignment="1">
      <alignment horizontal="center" vertical="center" wrapText="1"/>
    </xf>
    <xf numFmtId="0" fontId="36" fillId="0" borderId="1" xfId="0" applyFont="1" applyBorder="1" applyAlignment="1" applyProtection="1">
      <alignment vertical="center"/>
      <protection locked="0"/>
    </xf>
    <xf numFmtId="0" fontId="0" fillId="8" borderId="1" xfId="0" applyFill="1" applyBorder="1" applyAlignment="1">
      <alignment horizontal="center" vertical="center"/>
    </xf>
    <xf numFmtId="0" fontId="53" fillId="8" borderId="1" xfId="0" applyFont="1" applyFill="1" applyBorder="1" applyAlignment="1">
      <alignment vertical="center" wrapText="1"/>
    </xf>
    <xf numFmtId="0" fontId="53" fillId="8" borderId="1" xfId="0" applyFont="1" applyFill="1" applyBorder="1" applyAlignment="1">
      <alignment horizontal="center" vertical="center" wrapText="1"/>
    </xf>
    <xf numFmtId="0" fontId="53" fillId="8" borderId="1" xfId="0" applyFont="1"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pplyProtection="1">
      <alignment horizontal="center" vertical="center" wrapText="1"/>
      <protection locked="0"/>
    </xf>
    <xf numFmtId="2" fontId="36" fillId="4" borderId="1" xfId="0" applyNumberFormat="1" applyFont="1" applyFill="1" applyBorder="1" applyAlignment="1" applyProtection="1">
      <alignment horizontal="center" vertical="center" wrapText="1"/>
      <protection locked="0"/>
    </xf>
    <xf numFmtId="169" fontId="36" fillId="0" borderId="1" xfId="0" applyNumberFormat="1" applyFont="1" applyBorder="1" applyAlignment="1" applyProtection="1">
      <alignment horizontal="center" vertical="center" wrapText="1"/>
      <protection locked="0"/>
    </xf>
    <xf numFmtId="0" fontId="36" fillId="6" borderId="1" xfId="0" applyFont="1" applyFill="1" applyBorder="1" applyAlignment="1">
      <alignment horizontal="center" vertical="center" wrapText="1"/>
    </xf>
    <xf numFmtId="0" fontId="36" fillId="6" borderId="1" xfId="0" applyFont="1" applyFill="1" applyBorder="1" applyAlignment="1">
      <alignment horizontal="left" vertical="center" wrapText="1"/>
    </xf>
    <xf numFmtId="2" fontId="39" fillId="6" borderId="1" xfId="0" applyNumberFormat="1" applyFont="1" applyFill="1" applyBorder="1" applyAlignment="1">
      <alignment horizontal="center" vertical="center" wrapText="1"/>
    </xf>
    <xf numFmtId="0" fontId="32" fillId="0" borderId="1" xfId="0" applyFont="1" applyBorder="1" applyAlignment="1" applyProtection="1">
      <alignment horizontal="center" vertical="center" wrapText="1"/>
      <protection locked="0"/>
    </xf>
    <xf numFmtId="0" fontId="59" fillId="0" borderId="1" xfId="0" applyFont="1" applyBorder="1" applyAlignment="1">
      <alignment horizontal="center" vertical="center" wrapText="1"/>
    </xf>
    <xf numFmtId="0" fontId="60" fillId="0" borderId="1" xfId="0" applyFont="1" applyBorder="1" applyAlignment="1">
      <alignment horizontal="left" vertical="center" wrapText="1"/>
    </xf>
    <xf numFmtId="0" fontId="60" fillId="0" borderId="1" xfId="0" applyFont="1" applyBorder="1" applyAlignment="1">
      <alignment horizontal="center" vertical="center" wrapText="1"/>
    </xf>
    <xf numFmtId="2" fontId="60" fillId="0" borderId="1" xfId="0" applyNumberFormat="1" applyFont="1" applyBorder="1" applyAlignment="1">
      <alignment horizontal="center" vertical="center" wrapText="1"/>
    </xf>
    <xf numFmtId="0" fontId="60" fillId="0" borderId="1" xfId="0" applyFont="1" applyBorder="1" applyAlignment="1" applyProtection="1">
      <alignment horizontal="center" vertical="center" wrapText="1"/>
      <protection locked="0"/>
    </xf>
    <xf numFmtId="0" fontId="60" fillId="0" borderId="1" xfId="0" applyFont="1" applyBorder="1" applyAlignment="1" applyProtection="1">
      <alignment horizontal="left" vertical="center" wrapText="1"/>
      <protection locked="0"/>
    </xf>
    <xf numFmtId="2" fontId="39" fillId="0" borderId="1" xfId="0" applyNumberFormat="1" applyFont="1" applyBorder="1" applyAlignment="1" applyProtection="1">
      <alignment horizontal="center" vertical="center"/>
      <protection locked="0"/>
    </xf>
    <xf numFmtId="0" fontId="8" fillId="0" borderId="1" xfId="0" applyFont="1" applyBorder="1" applyAlignment="1" applyProtection="1">
      <alignment wrapText="1"/>
      <protection locked="0"/>
    </xf>
    <xf numFmtId="0" fontId="36" fillId="0" borderId="1" xfId="0" applyFont="1" applyBorder="1" applyAlignment="1">
      <alignment horizontal="left" wrapText="1"/>
    </xf>
    <xf numFmtId="0" fontId="0" fillId="0" borderId="1" xfId="0" applyBorder="1" applyAlignment="1" applyProtection="1">
      <alignment horizontal="left" vertical="center"/>
      <protection locked="0"/>
    </xf>
    <xf numFmtId="2" fontId="0" fillId="2" borderId="1" xfId="0" applyNumberFormat="1" applyFill="1" applyBorder="1" applyAlignment="1">
      <alignment horizontal="center" vertical="center" wrapText="1"/>
    </xf>
    <xf numFmtId="0" fontId="36" fillId="16" borderId="1" xfId="0" applyFont="1" applyFill="1" applyBorder="1" applyAlignment="1">
      <alignment horizontal="center" vertical="center"/>
    </xf>
    <xf numFmtId="0" fontId="36" fillId="14" borderId="1" xfId="0" applyFont="1" applyFill="1" applyBorder="1" applyAlignment="1">
      <alignment horizontal="center" vertical="center" wrapText="1"/>
    </xf>
    <xf numFmtId="0" fontId="0" fillId="14" borderId="1" xfId="0" applyFill="1" applyBorder="1" applyAlignment="1" applyProtection="1">
      <alignment horizontal="center" vertical="center" wrapText="1"/>
      <protection locked="0"/>
    </xf>
    <xf numFmtId="0" fontId="36" fillId="14" borderId="1" xfId="0" applyFont="1" applyFill="1" applyBorder="1" applyAlignment="1" applyProtection="1">
      <alignment horizontal="center" vertical="center" wrapText="1"/>
      <protection locked="0"/>
    </xf>
    <xf numFmtId="2" fontId="39" fillId="14" borderId="1" xfId="0" applyNumberFormat="1" applyFont="1" applyFill="1" applyBorder="1" applyAlignment="1">
      <alignment horizontal="center" vertical="center" wrapText="1"/>
    </xf>
    <xf numFmtId="0" fontId="35" fillId="19" borderId="1" xfId="0" applyFont="1" applyFill="1" applyBorder="1" applyAlignment="1" applyProtection="1">
      <alignment horizontal="center" vertical="center" wrapText="1"/>
      <protection locked="0"/>
    </xf>
    <xf numFmtId="0" fontId="35" fillId="0" borderId="1" xfId="0" applyFont="1" applyBorder="1" applyAlignment="1" applyProtection="1">
      <alignment horizontal="center" vertical="center" wrapText="1"/>
      <protection locked="0"/>
    </xf>
    <xf numFmtId="1" fontId="0" fillId="0" borderId="33" xfId="0" applyNumberFormat="1" applyBorder="1" applyAlignment="1" applyProtection="1">
      <alignment horizontal="center"/>
      <protection locked="0"/>
    </xf>
    <xf numFmtId="1" fontId="0" fillId="0" borderId="2" xfId="0" applyNumberFormat="1" applyBorder="1" applyAlignment="1" applyProtection="1">
      <alignment horizontal="center"/>
      <protection locked="0"/>
    </xf>
    <xf numFmtId="0" fontId="36" fillId="14" borderId="1" xfId="0" applyFont="1" applyFill="1" applyBorder="1" applyAlignment="1">
      <alignment horizontal="center" vertical="center"/>
    </xf>
    <xf numFmtId="0" fontId="36" fillId="14" borderId="1" xfId="0" applyFont="1" applyFill="1" applyBorder="1" applyAlignment="1" applyProtection="1">
      <alignment horizontal="center" vertical="center"/>
      <protection locked="0"/>
    </xf>
    <xf numFmtId="167" fontId="36" fillId="0" borderId="1" xfId="0" applyNumberFormat="1" applyFont="1" applyBorder="1" applyAlignment="1" applyProtection="1">
      <alignment horizontal="center" vertical="center" wrapText="1"/>
      <protection locked="0"/>
    </xf>
    <xf numFmtId="0" fontId="61" fillId="17" borderId="1" xfId="0" applyFont="1" applyFill="1" applyBorder="1" applyAlignment="1">
      <alignment horizontal="center" vertical="center"/>
    </xf>
    <xf numFmtId="0" fontId="55" fillId="14" borderId="1" xfId="0" applyFont="1" applyFill="1" applyBorder="1" applyAlignment="1">
      <alignment horizontal="left" vertical="center" wrapText="1"/>
    </xf>
    <xf numFmtId="0" fontId="55" fillId="14" borderId="1" xfId="0" applyFont="1" applyFill="1" applyBorder="1" applyAlignment="1">
      <alignment horizontal="left" vertical="center"/>
    </xf>
    <xf numFmtId="167" fontId="36" fillId="14" borderId="1" xfId="0" applyNumberFormat="1" applyFont="1" applyFill="1" applyBorder="1" applyAlignment="1" applyProtection="1">
      <alignment horizontal="center" vertical="center" wrapText="1"/>
      <protection locked="0"/>
    </xf>
    <xf numFmtId="0" fontId="36" fillId="14" borderId="1" xfId="0" applyFont="1" applyFill="1" applyBorder="1" applyAlignment="1" applyProtection="1">
      <alignment horizontal="left" vertical="center" wrapText="1"/>
      <protection locked="0"/>
    </xf>
    <xf numFmtId="0" fontId="55" fillId="8" borderId="1" xfId="0" applyFont="1" applyFill="1" applyBorder="1" applyAlignment="1">
      <alignment vertical="center" wrapText="1"/>
    </xf>
    <xf numFmtId="0" fontId="55" fillId="8" borderId="1" xfId="0" applyFont="1" applyFill="1" applyBorder="1" applyAlignment="1">
      <alignment horizontal="center" vertical="center" wrapText="1"/>
    </xf>
    <xf numFmtId="0" fontId="55" fillId="8" borderId="1" xfId="0" applyFont="1" applyFill="1" applyBorder="1" applyAlignment="1">
      <alignment horizontal="center" vertical="center"/>
    </xf>
    <xf numFmtId="0" fontId="53" fillId="6" borderId="1" xfId="0" applyFont="1" applyFill="1" applyBorder="1" applyAlignment="1">
      <alignment horizontal="center" vertical="center"/>
    </xf>
    <xf numFmtId="0" fontId="42" fillId="6" borderId="1" xfId="0" applyFont="1" applyFill="1" applyBorder="1" applyAlignment="1">
      <alignment vertical="center" wrapText="1"/>
    </xf>
    <xf numFmtId="0" fontId="55" fillId="6" borderId="1" xfId="0" applyFont="1" applyFill="1" applyBorder="1" applyAlignment="1">
      <alignment horizontal="center" vertical="center" wrapText="1"/>
    </xf>
    <xf numFmtId="0" fontId="55" fillId="6" borderId="1" xfId="0" applyFont="1" applyFill="1" applyBorder="1" applyAlignment="1">
      <alignment horizontal="center" vertical="center"/>
    </xf>
    <xf numFmtId="0" fontId="39" fillId="4" borderId="1" xfId="0" applyFont="1" applyFill="1" applyBorder="1" applyAlignment="1">
      <alignment horizontal="center" vertical="center" wrapText="1"/>
    </xf>
    <xf numFmtId="0" fontId="39" fillId="4" borderId="1" xfId="0" applyFont="1" applyFill="1" applyBorder="1" applyAlignment="1">
      <alignment horizontal="left" vertical="center" wrapText="1"/>
    </xf>
    <xf numFmtId="167" fontId="39" fillId="0" borderId="1" xfId="0" applyNumberFormat="1" applyFont="1" applyBorder="1" applyAlignment="1" applyProtection="1">
      <alignment horizontal="center" vertical="center" wrapText="1"/>
      <protection locked="0"/>
    </xf>
    <xf numFmtId="0" fontId="39" fillId="0" borderId="1" xfId="0" applyFont="1" applyBorder="1" applyAlignment="1" applyProtection="1">
      <alignment horizontal="left" vertical="center" wrapText="1"/>
      <protection locked="0"/>
    </xf>
    <xf numFmtId="0" fontId="62" fillId="17" borderId="1" xfId="0" applyFont="1" applyFill="1" applyBorder="1" applyAlignment="1">
      <alignment horizontal="left" vertical="center" wrapText="1"/>
    </xf>
    <xf numFmtId="0" fontId="61" fillId="17" borderId="2" xfId="0" applyFont="1" applyFill="1" applyBorder="1" applyAlignment="1">
      <alignment vertical="center" wrapText="1"/>
    </xf>
    <xf numFmtId="0" fontId="61" fillId="17" borderId="1" xfId="0" applyFont="1" applyFill="1" applyBorder="1" applyAlignment="1">
      <alignment horizontal="center" vertical="center" wrapText="1"/>
    </xf>
    <xf numFmtId="2" fontId="39" fillId="0" borderId="1" xfId="0" applyNumberFormat="1" applyFont="1" applyBorder="1" applyAlignment="1">
      <alignment horizontal="center" vertical="center" wrapText="1"/>
    </xf>
    <xf numFmtId="0" fontId="56" fillId="26" borderId="1" xfId="0" applyFont="1" applyFill="1" applyBorder="1" applyAlignment="1">
      <alignment horizontal="center" vertical="center"/>
    </xf>
    <xf numFmtId="0" fontId="56" fillId="26" borderId="1" xfId="0" applyFont="1" applyFill="1" applyBorder="1" applyAlignment="1">
      <alignment horizontal="left" vertical="center" wrapText="1"/>
    </xf>
    <xf numFmtId="0" fontId="61" fillId="26" borderId="1" xfId="0" applyFont="1" applyFill="1" applyBorder="1" applyAlignment="1">
      <alignment horizontal="center" vertical="center" wrapText="1"/>
    </xf>
    <xf numFmtId="0" fontId="61" fillId="26" borderId="1" xfId="0" applyFont="1" applyFill="1" applyBorder="1" applyAlignment="1" applyProtection="1">
      <alignment horizontal="center" vertical="center" wrapText="1"/>
      <protection locked="0"/>
    </xf>
    <xf numFmtId="0" fontId="56" fillId="8" borderId="1" xfId="0" applyFont="1" applyFill="1" applyBorder="1" applyAlignment="1">
      <alignment horizontal="center" vertical="center"/>
    </xf>
    <xf numFmtId="0" fontId="56" fillId="8" borderId="1" xfId="0" applyFont="1" applyFill="1" applyBorder="1" applyAlignment="1">
      <alignment horizontal="left" vertical="center" wrapText="1"/>
    </xf>
    <xf numFmtId="1" fontId="56" fillId="8" borderId="1" xfId="0" applyNumberFormat="1" applyFont="1" applyFill="1" applyBorder="1" applyAlignment="1">
      <alignment horizontal="center" vertical="center" wrapText="1"/>
    </xf>
    <xf numFmtId="2" fontId="39" fillId="0" borderId="1" xfId="0" applyNumberFormat="1" applyFont="1" applyBorder="1" applyAlignment="1" applyProtection="1">
      <alignment horizontal="center" vertical="center" wrapText="1"/>
      <protection locked="0"/>
    </xf>
    <xf numFmtId="0" fontId="62" fillId="6" borderId="1" xfId="0" applyFont="1" applyFill="1" applyBorder="1" applyAlignment="1">
      <alignment horizontal="center" vertical="center"/>
    </xf>
    <xf numFmtId="0" fontId="62" fillId="6" borderId="1" xfId="0" applyFont="1" applyFill="1" applyBorder="1" applyAlignment="1">
      <alignment horizontal="left" vertical="center" wrapText="1"/>
    </xf>
    <xf numFmtId="1" fontId="62" fillId="6" borderId="1" xfId="0" applyNumberFormat="1" applyFont="1" applyFill="1" applyBorder="1" applyAlignment="1">
      <alignment horizontal="center" vertical="center" wrapText="1"/>
    </xf>
    <xf numFmtId="167" fontId="39" fillId="6" borderId="1" xfId="0" applyNumberFormat="1" applyFont="1" applyFill="1" applyBorder="1" applyAlignment="1">
      <alignment horizontal="center" vertical="center" wrapText="1"/>
    </xf>
    <xf numFmtId="0" fontId="36" fillId="15" borderId="1" xfId="0" applyFont="1" applyFill="1" applyBorder="1" applyAlignment="1">
      <alignment horizontal="center" vertical="center"/>
    </xf>
    <xf numFmtId="0" fontId="36" fillId="15" borderId="1" xfId="0" applyFont="1" applyFill="1" applyBorder="1" applyAlignment="1">
      <alignment horizontal="left" vertical="center" wrapText="1"/>
    </xf>
    <xf numFmtId="0" fontId="36" fillId="15" borderId="1" xfId="0" applyFont="1" applyFill="1" applyBorder="1" applyAlignment="1">
      <alignment horizontal="center" vertical="center" wrapText="1"/>
    </xf>
    <xf numFmtId="167" fontId="39" fillId="4" borderId="1" xfId="0" applyNumberFormat="1" applyFont="1" applyFill="1" applyBorder="1" applyAlignment="1">
      <alignment horizontal="center" vertical="center" wrapText="1"/>
    </xf>
    <xf numFmtId="170" fontId="36" fillId="0" borderId="1" xfId="0" applyNumberFormat="1" applyFont="1" applyBorder="1" applyAlignment="1" applyProtection="1">
      <alignment horizontal="center" vertical="center" wrapText="1"/>
      <protection locked="0"/>
    </xf>
    <xf numFmtId="0" fontId="36" fillId="0" borderId="5" xfId="0" applyFont="1" applyBorder="1" applyAlignment="1">
      <alignment horizontal="center" vertical="center" wrapText="1"/>
    </xf>
    <xf numFmtId="0" fontId="36" fillId="0" borderId="5" xfId="0" applyFont="1" applyBorder="1" applyAlignment="1">
      <alignment horizontal="left" vertical="center" wrapText="1"/>
    </xf>
    <xf numFmtId="0" fontId="39" fillId="0" borderId="5" xfId="0" applyFont="1" applyBorder="1" applyAlignment="1">
      <alignment horizontal="center" vertical="center" wrapText="1"/>
    </xf>
    <xf numFmtId="0" fontId="36" fillId="0" borderId="4" xfId="0" applyFont="1" applyBorder="1" applyAlignment="1" applyProtection="1">
      <alignment horizontal="center" vertical="center" wrapText="1"/>
      <protection locked="0"/>
    </xf>
    <xf numFmtId="0" fontId="0" fillId="6" borderId="51" xfId="0" applyFill="1" applyBorder="1" applyAlignment="1">
      <alignment horizontal="center" vertical="center"/>
    </xf>
    <xf numFmtId="0" fontId="0" fillId="6" borderId="9" xfId="0" applyFill="1" applyBorder="1" applyAlignment="1">
      <alignment vertical="center" wrapText="1"/>
    </xf>
    <xf numFmtId="0" fontId="0" fillId="6" borderId="9" xfId="0" applyFill="1" applyBorder="1" applyAlignment="1">
      <alignment horizontal="center" vertical="center" wrapText="1"/>
    </xf>
    <xf numFmtId="0" fontId="36" fillId="0" borderId="1" xfId="0" applyFont="1" applyBorder="1" applyAlignment="1">
      <alignment horizontal="center"/>
    </xf>
    <xf numFmtId="167" fontId="0" fillId="3" borderId="1" xfId="0" applyNumberFormat="1" applyFill="1" applyBorder="1" applyAlignment="1" applyProtection="1">
      <alignment horizontal="center" vertical="center"/>
      <protection locked="0"/>
    </xf>
    <xf numFmtId="167" fontId="0" fillId="0" borderId="1" xfId="0" applyNumberFormat="1" applyBorder="1" applyProtection="1">
      <protection locked="0"/>
    </xf>
    <xf numFmtId="0" fontId="36" fillId="6" borderId="1" xfId="0" applyFont="1" applyFill="1" applyBorder="1" applyAlignment="1">
      <alignment horizontal="center" vertical="center"/>
    </xf>
    <xf numFmtId="167" fontId="8" fillId="6" borderId="1" xfId="0" applyNumberFormat="1" applyFont="1" applyFill="1" applyBorder="1" applyAlignment="1">
      <alignment horizontal="center" vertical="center"/>
    </xf>
    <xf numFmtId="167" fontId="36" fillId="0" borderId="0" xfId="0" applyNumberFormat="1" applyFont="1"/>
    <xf numFmtId="1" fontId="36" fillId="4" borderId="1" xfId="0" applyNumberFormat="1" applyFont="1" applyFill="1" applyBorder="1" applyAlignment="1">
      <alignment horizontal="center" vertical="center" wrapText="1"/>
    </xf>
    <xf numFmtId="171" fontId="36" fillId="0" borderId="0" xfId="0" applyNumberFormat="1" applyFont="1"/>
    <xf numFmtId="0" fontId="36" fillId="6" borderId="3" xfId="0" applyFont="1" applyFill="1" applyBorder="1" applyAlignment="1">
      <alignment horizontal="center" vertical="center"/>
    </xf>
    <xf numFmtId="0" fontId="0" fillId="3" borderId="1" xfId="0" applyFill="1" applyBorder="1" applyAlignment="1">
      <alignment horizontal="center" vertical="center" wrapText="1"/>
    </xf>
    <xf numFmtId="0" fontId="0" fillId="0" borderId="4" xfId="0" applyBorder="1" applyAlignment="1" applyProtection="1">
      <alignment horizontal="center" vertical="center" wrapText="1"/>
      <protection locked="0"/>
    </xf>
    <xf numFmtId="0" fontId="36" fillId="0" borderId="4" xfId="0" applyFont="1" applyBorder="1" applyAlignment="1" applyProtection="1">
      <alignment horizontal="left" vertical="center" wrapText="1"/>
      <protection locked="0"/>
    </xf>
    <xf numFmtId="0" fontId="0" fillId="0" borderId="4" xfId="0" applyBorder="1" applyAlignment="1" applyProtection="1">
      <alignment horizontal="center" vertical="center"/>
      <protection locked="0"/>
    </xf>
    <xf numFmtId="0" fontId="36" fillId="0" borderId="2" xfId="0" applyFont="1" applyBorder="1" applyAlignment="1">
      <alignment horizontal="center" vertical="center" wrapText="1"/>
    </xf>
    <xf numFmtId="2" fontId="39" fillId="0" borderId="3" xfId="0" applyNumberFormat="1" applyFont="1" applyBorder="1" applyAlignment="1">
      <alignment horizontal="center" vertical="center"/>
    </xf>
    <xf numFmtId="0" fontId="36" fillId="0" borderId="3" xfId="0" applyFont="1" applyBorder="1" applyAlignment="1">
      <alignment horizontal="center" vertical="center" wrapText="1"/>
    </xf>
    <xf numFmtId="0" fontId="36" fillId="0" borderId="3" xfId="0" applyFont="1" applyBorder="1" applyAlignment="1" applyProtection="1">
      <alignment horizontal="center" vertical="center" wrapText="1"/>
      <protection locked="0"/>
    </xf>
    <xf numFmtId="0" fontId="39" fillId="14" borderId="2" xfId="0" applyFont="1" applyFill="1" applyBorder="1" applyAlignment="1">
      <alignment horizontal="left" vertical="center" wrapText="1"/>
    </xf>
    <xf numFmtId="0" fontId="39" fillId="14" borderId="3" xfId="0" applyFont="1" applyFill="1" applyBorder="1" applyAlignment="1">
      <alignment horizontal="left" vertical="center" wrapText="1"/>
    </xf>
    <xf numFmtId="0" fontId="39" fillId="14" borderId="4" xfId="0" applyFont="1" applyFill="1" applyBorder="1" applyAlignment="1">
      <alignment horizontal="left" vertical="center" wrapText="1"/>
    </xf>
    <xf numFmtId="2" fontId="0" fillId="19" borderId="1" xfId="0" applyNumberFormat="1" applyFill="1" applyBorder="1" applyAlignment="1" applyProtection="1">
      <alignment horizontal="center" wrapText="1"/>
      <protection locked="0"/>
    </xf>
    <xf numFmtId="2" fontId="0" fillId="0" borderId="1" xfId="0" applyNumberFormat="1" applyBorder="1" applyAlignment="1" applyProtection="1">
      <alignment horizontal="center" wrapText="1"/>
      <protection locked="0"/>
    </xf>
    <xf numFmtId="2" fontId="0" fillId="0" borderId="1" xfId="0" applyNumberFormat="1" applyBorder="1" applyAlignment="1">
      <alignment horizontal="center" wrapText="1"/>
    </xf>
    <xf numFmtId="2" fontId="0" fillId="3" borderId="1" xfId="0" applyNumberFormat="1" applyFill="1" applyBorder="1" applyAlignment="1" applyProtection="1">
      <alignment horizontal="center" wrapText="1"/>
      <protection locked="0"/>
    </xf>
    <xf numFmtId="167" fontId="36" fillId="6" borderId="1" xfId="0" applyNumberFormat="1" applyFont="1" applyFill="1" applyBorder="1" applyAlignment="1">
      <alignment horizontal="center" vertical="center" wrapText="1"/>
    </xf>
    <xf numFmtId="169" fontId="36" fillId="6" borderId="1" xfId="0" applyNumberFormat="1" applyFont="1" applyFill="1" applyBorder="1" applyAlignment="1">
      <alignment horizontal="center" vertical="center" wrapText="1"/>
    </xf>
    <xf numFmtId="2" fontId="36" fillId="6" borderId="1" xfId="0" applyNumberFormat="1" applyFont="1" applyFill="1" applyBorder="1" applyAlignment="1">
      <alignment horizontal="center" vertical="center" wrapText="1"/>
    </xf>
    <xf numFmtId="0" fontId="39" fillId="15" borderId="1" xfId="0" applyFont="1" applyFill="1" applyBorder="1" applyAlignment="1">
      <alignment horizontal="center" vertical="center" wrapText="1"/>
    </xf>
    <xf numFmtId="0" fontId="39" fillId="15" borderId="1" xfId="0" applyFont="1" applyFill="1" applyBorder="1" applyAlignment="1">
      <alignment horizontal="left" vertical="center" wrapText="1"/>
    </xf>
    <xf numFmtId="0" fontId="39" fillId="15" borderId="1" xfId="0" applyFont="1" applyFill="1" applyBorder="1" applyAlignment="1">
      <alignment horizontal="center" vertical="center"/>
    </xf>
    <xf numFmtId="0" fontId="39" fillId="14" borderId="2" xfId="0" applyFont="1" applyFill="1" applyBorder="1" applyAlignment="1">
      <alignment horizontal="center" vertical="center" wrapText="1"/>
    </xf>
    <xf numFmtId="0" fontId="39" fillId="14" borderId="3"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1" xfId="0" applyFill="1" applyBorder="1" applyAlignment="1">
      <alignment vertical="center" wrapText="1"/>
    </xf>
    <xf numFmtId="0" fontId="0" fillId="6" borderId="1" xfId="0" applyFill="1" applyBorder="1" applyAlignment="1">
      <alignment horizontal="center" vertical="center" wrapText="1"/>
    </xf>
    <xf numFmtId="169" fontId="39" fillId="6" borderId="1" xfId="0" applyNumberFormat="1" applyFont="1" applyFill="1" applyBorder="1" applyAlignment="1">
      <alignment horizontal="center" vertical="center" wrapText="1"/>
    </xf>
    <xf numFmtId="1" fontId="36" fillId="0" borderId="1" xfId="0" applyNumberFormat="1" applyFont="1" applyBorder="1" applyAlignment="1" applyProtection="1">
      <alignment horizontal="center" vertical="center" wrapText="1"/>
      <protection locked="0"/>
    </xf>
    <xf numFmtId="0" fontId="63" fillId="4" borderId="1" xfId="0" applyFont="1" applyFill="1" applyBorder="1" applyAlignment="1">
      <alignment horizontal="center" vertical="center" wrapText="1"/>
    </xf>
    <xf numFmtId="164" fontId="62" fillId="6" borderId="1" xfId="0" applyNumberFormat="1" applyFont="1" applyFill="1" applyBorder="1" applyAlignment="1">
      <alignment horizontal="center" vertical="center" wrapText="1"/>
    </xf>
    <xf numFmtId="164" fontId="62" fillId="6" borderId="1" xfId="0" applyNumberFormat="1" applyFont="1" applyFill="1" applyBorder="1" applyAlignment="1">
      <alignment horizontal="left" vertical="center" wrapText="1"/>
    </xf>
    <xf numFmtId="164" fontId="62" fillId="6" borderId="2" xfId="0" applyNumberFormat="1" applyFont="1" applyFill="1" applyBorder="1" applyAlignment="1">
      <alignment horizontal="center" vertical="center" wrapText="1"/>
    </xf>
    <xf numFmtId="0" fontId="36" fillId="0" borderId="1" xfId="0" applyFont="1" applyBorder="1" applyAlignment="1" applyProtection="1">
      <alignment vertical="center" wrapText="1"/>
      <protection locked="0"/>
    </xf>
    <xf numFmtId="167" fontId="0" fillId="3" borderId="1" xfId="0" applyNumberFormat="1" applyFill="1" applyBorder="1" applyProtection="1">
      <protection locked="0"/>
    </xf>
    <xf numFmtId="167" fontId="0" fillId="3" borderId="1" xfId="0" applyNumberFormat="1" applyFill="1" applyBorder="1" applyAlignment="1" applyProtection="1">
      <alignment horizontal="center"/>
      <protection locked="0"/>
    </xf>
    <xf numFmtId="166" fontId="39" fillId="6" borderId="1" xfId="0" applyNumberFormat="1" applyFont="1" applyFill="1" applyBorder="1" applyAlignment="1">
      <alignment horizontal="center" vertical="center" wrapText="1"/>
    </xf>
    <xf numFmtId="17" fontId="36" fillId="0" borderId="1" xfId="0" applyNumberFormat="1" applyFont="1" applyBorder="1" applyAlignment="1" applyProtection="1">
      <alignment vertical="center" wrapText="1"/>
      <protection locked="0"/>
    </xf>
    <xf numFmtId="0" fontId="39" fillId="6" borderId="1" xfId="0" applyFont="1" applyFill="1" applyBorder="1" applyAlignment="1">
      <alignment horizontal="center" vertical="center"/>
    </xf>
    <xf numFmtId="0" fontId="39" fillId="6" borderId="1" xfId="0" applyFont="1" applyFill="1" applyBorder="1" applyAlignment="1">
      <alignment horizontal="left" vertical="center" wrapText="1"/>
    </xf>
    <xf numFmtId="0" fontId="39" fillId="6" borderId="1" xfId="0" applyFont="1" applyFill="1" applyBorder="1" applyAlignment="1">
      <alignment horizontal="center" vertical="center" wrapText="1"/>
    </xf>
    <xf numFmtId="0" fontId="8" fillId="0" borderId="1" xfId="0" applyFont="1" applyBorder="1" applyAlignment="1" applyProtection="1">
      <alignment horizontal="center" vertical="center"/>
      <protection locked="0"/>
    </xf>
    <xf numFmtId="0" fontId="55" fillId="14" borderId="2" xfId="0" applyFont="1" applyFill="1" applyBorder="1" applyAlignment="1">
      <alignment horizontal="center" vertical="center"/>
    </xf>
    <xf numFmtId="0" fontId="55" fillId="14" borderId="1" xfId="0" applyFont="1" applyFill="1" applyBorder="1" applyAlignment="1">
      <alignment vertical="center" wrapText="1"/>
    </xf>
    <xf numFmtId="0" fontId="55" fillId="14" borderId="1" xfId="0" applyFont="1" applyFill="1" applyBorder="1" applyAlignment="1">
      <alignment horizontal="center" vertical="center" wrapText="1"/>
    </xf>
    <xf numFmtId="0" fontId="53" fillId="14" borderId="1" xfId="0" applyFont="1" applyFill="1" applyBorder="1" applyAlignment="1">
      <alignment horizontal="center" vertical="center"/>
    </xf>
    <xf numFmtId="164" fontId="53" fillId="14" borderId="1" xfId="0" applyNumberFormat="1" applyFont="1" applyFill="1" applyBorder="1" applyAlignment="1">
      <alignment horizontal="center" vertical="center"/>
    </xf>
    <xf numFmtId="164" fontId="55" fillId="14" borderId="1" xfId="0" applyNumberFormat="1" applyFont="1" applyFill="1" applyBorder="1" applyAlignment="1">
      <alignment horizontal="center" vertical="center"/>
    </xf>
    <xf numFmtId="164" fontId="53" fillId="14" borderId="2" xfId="0" applyNumberFormat="1" applyFont="1" applyFill="1" applyBorder="1" applyAlignment="1">
      <alignment horizontal="center" vertical="center" wrapText="1"/>
    </xf>
    <xf numFmtId="0" fontId="55" fillId="17" borderId="1" xfId="0" applyFont="1" applyFill="1" applyBorder="1" applyAlignment="1">
      <alignment vertical="center" wrapText="1"/>
    </xf>
    <xf numFmtId="0" fontId="55" fillId="17" borderId="1" xfId="0" applyFont="1" applyFill="1" applyBorder="1" applyAlignment="1">
      <alignment horizontal="center" vertical="center" wrapText="1"/>
    </xf>
    <xf numFmtId="0" fontId="53" fillId="17" borderId="1" xfId="0" applyFont="1" applyFill="1" applyBorder="1" applyAlignment="1">
      <alignment horizontal="center" vertical="center"/>
    </xf>
    <xf numFmtId="164" fontId="53" fillId="17" borderId="1" xfId="0" applyNumberFormat="1" applyFont="1" applyFill="1" applyBorder="1" applyAlignment="1">
      <alignment horizontal="center" vertical="center"/>
    </xf>
    <xf numFmtId="164" fontId="55" fillId="17" borderId="1" xfId="0" applyNumberFormat="1" applyFont="1" applyFill="1" applyBorder="1" applyAlignment="1">
      <alignment horizontal="center" vertical="center"/>
    </xf>
    <xf numFmtId="164" fontId="53" fillId="17" borderId="2" xfId="0" applyNumberFormat="1" applyFont="1" applyFill="1" applyBorder="1" applyAlignment="1">
      <alignment horizontal="center" vertical="center" wrapText="1"/>
    </xf>
    <xf numFmtId="164" fontId="53" fillId="0" borderId="2" xfId="0" applyNumberFormat="1" applyFont="1" applyBorder="1" applyAlignment="1" applyProtection="1">
      <alignment horizontal="center" vertical="center" wrapText="1"/>
      <protection locked="0"/>
    </xf>
    <xf numFmtId="0" fontId="53" fillId="0" borderId="1" xfId="0" applyFont="1" applyBorder="1" applyAlignment="1" applyProtection="1">
      <alignment horizontal="left" vertical="center" wrapText="1"/>
      <protection locked="0"/>
    </xf>
    <xf numFmtId="0" fontId="53" fillId="0" borderId="2" xfId="0" applyFont="1" applyBorder="1" applyAlignment="1">
      <alignment horizontal="center" vertical="center"/>
    </xf>
    <xf numFmtId="0" fontId="64" fillId="0" borderId="1" xfId="0" applyFont="1" applyBorder="1" applyAlignment="1">
      <alignment vertical="center" wrapText="1"/>
    </xf>
    <xf numFmtId="0" fontId="64" fillId="0" borderId="1" xfId="0" applyFont="1" applyBorder="1" applyAlignment="1">
      <alignment horizontal="center" vertical="center" wrapText="1"/>
    </xf>
    <xf numFmtId="0" fontId="64" fillId="0" borderId="1" xfId="0" applyFont="1" applyBorder="1" applyAlignment="1">
      <alignment horizontal="center" vertical="center"/>
    </xf>
    <xf numFmtId="164" fontId="53" fillId="0" borderId="9" xfId="0" applyNumberFormat="1" applyFont="1" applyBorder="1" applyAlignment="1">
      <alignment horizontal="center" vertical="center" wrapText="1"/>
    </xf>
    <xf numFmtId="164" fontId="53" fillId="0" borderId="9" xfId="0" applyNumberFormat="1" applyFont="1" applyBorder="1" applyAlignment="1">
      <alignment horizontal="left" vertical="center" wrapText="1"/>
    </xf>
    <xf numFmtId="164" fontId="53" fillId="0" borderId="1" xfId="0" applyNumberFormat="1" applyFont="1" applyBorder="1" applyAlignment="1" applyProtection="1">
      <alignment horizontal="left" vertical="center" wrapText="1"/>
      <protection locked="0"/>
    </xf>
    <xf numFmtId="164" fontId="55" fillId="6" borderId="9" xfId="0" applyNumberFormat="1" applyFont="1" applyFill="1" applyBorder="1" applyAlignment="1">
      <alignment horizontal="center" vertical="center" wrapText="1"/>
    </xf>
    <xf numFmtId="164" fontId="55" fillId="6" borderId="9" xfId="0" applyNumberFormat="1" applyFont="1" applyFill="1" applyBorder="1" applyAlignment="1">
      <alignment horizontal="left" vertical="center" wrapText="1"/>
    </xf>
    <xf numFmtId="164" fontId="55" fillId="0" borderId="1" xfId="0" applyNumberFormat="1" applyFont="1" applyBorder="1" applyAlignment="1" applyProtection="1">
      <alignment horizontal="center" vertical="center"/>
      <protection locked="0"/>
    </xf>
    <xf numFmtId="2" fontId="39" fillId="0" borderId="1" xfId="0" applyNumberFormat="1" applyFont="1" applyBorder="1" applyAlignment="1" applyProtection="1">
      <alignment horizontal="left" vertical="center" wrapText="1"/>
      <protection locked="0"/>
    </xf>
    <xf numFmtId="2" fontId="39" fillId="6" borderId="1" xfId="0" applyNumberFormat="1" applyFont="1" applyFill="1" applyBorder="1" applyAlignment="1">
      <alignment horizontal="left" vertical="center" wrapText="1"/>
    </xf>
    <xf numFmtId="2" fontId="36" fillId="0" borderId="2" xfId="0" applyNumberFormat="1" applyFont="1" applyBorder="1" applyAlignment="1">
      <alignment horizontal="center" vertical="center" wrapText="1"/>
    </xf>
    <xf numFmtId="2" fontId="36" fillId="0" borderId="1" xfId="0" applyNumberFormat="1" applyFont="1" applyBorder="1" applyAlignment="1">
      <alignment horizontal="left" vertical="center" wrapText="1"/>
    </xf>
    <xf numFmtId="2" fontId="36" fillId="0" borderId="1" xfId="0" applyNumberFormat="1" applyFont="1" applyBorder="1" applyAlignment="1" applyProtection="1">
      <alignment horizontal="left" vertical="center" wrapText="1"/>
      <protection locked="0"/>
    </xf>
    <xf numFmtId="2" fontId="39" fillId="4" borderId="1" xfId="0" applyNumberFormat="1" applyFont="1" applyFill="1" applyBorder="1" applyAlignment="1">
      <alignment horizontal="left" vertical="center" wrapText="1"/>
    </xf>
    <xf numFmtId="2" fontId="39" fillId="6" borderId="2" xfId="0" applyNumberFormat="1" applyFont="1" applyFill="1" applyBorder="1" applyAlignment="1">
      <alignment horizontal="center" vertical="center" wrapText="1"/>
    </xf>
    <xf numFmtId="2" fontId="39" fillId="0" borderId="4" xfId="0" applyNumberFormat="1" applyFont="1" applyBorder="1" applyAlignment="1" applyProtection="1">
      <alignment horizontal="center" vertical="center" wrapText="1"/>
      <protection locked="0"/>
    </xf>
    <xf numFmtId="0" fontId="55" fillId="0" borderId="1" xfId="0" applyFont="1" applyBorder="1" applyAlignment="1" applyProtection="1">
      <alignment horizontal="left" vertical="center" wrapText="1"/>
      <protection locked="0"/>
    </xf>
    <xf numFmtId="0" fontId="57" fillId="0" borderId="2" xfId="0" applyFont="1" applyBorder="1" applyAlignment="1">
      <alignment vertical="center"/>
    </xf>
    <xf numFmtId="0" fontId="57" fillId="0" borderId="3" xfId="0" applyFont="1" applyBorder="1" applyAlignment="1">
      <alignment vertical="center" wrapText="1"/>
    </xf>
    <xf numFmtId="0" fontId="57" fillId="0" borderId="3" xfId="0" applyFont="1" applyBorder="1" applyAlignment="1">
      <alignment vertical="center"/>
    </xf>
    <xf numFmtId="0" fontId="58" fillId="0" borderId="3" xfId="0" applyFont="1" applyBorder="1" applyAlignment="1">
      <alignment vertical="center"/>
    </xf>
    <xf numFmtId="0" fontId="57" fillId="0" borderId="4" xfId="0" applyFont="1" applyBorder="1" applyAlignment="1">
      <alignment vertical="center"/>
    </xf>
    <xf numFmtId="0" fontId="57" fillId="0" borderId="4" xfId="0" applyFont="1" applyBorder="1" applyAlignment="1" applyProtection="1">
      <alignment vertical="center"/>
      <protection locked="0"/>
    </xf>
    <xf numFmtId="2" fontId="39" fillId="6" borderId="3" xfId="0" applyNumberFormat="1" applyFont="1" applyFill="1" applyBorder="1" applyAlignment="1">
      <alignment horizontal="center" vertical="center" wrapText="1"/>
    </xf>
    <xf numFmtId="0" fontId="56" fillId="0" borderId="2" xfId="0" applyFont="1" applyBorder="1" applyAlignment="1">
      <alignment horizontal="center" vertical="center"/>
    </xf>
    <xf numFmtId="0" fontId="51" fillId="0" borderId="1" xfId="0" applyFont="1" applyBorder="1" applyAlignment="1">
      <alignment vertical="center" wrapText="1"/>
    </xf>
    <xf numFmtId="0" fontId="51" fillId="0" borderId="1" xfId="0" applyFont="1" applyBorder="1" applyAlignment="1">
      <alignment horizontal="center" vertical="center" wrapText="1"/>
    </xf>
    <xf numFmtId="0" fontId="51" fillId="0" borderId="1" xfId="0" applyFont="1" applyBorder="1" applyAlignment="1">
      <alignment horizontal="center" vertical="center"/>
    </xf>
    <xf numFmtId="0" fontId="56" fillId="0" borderId="1" xfId="0" applyFont="1" applyBorder="1" applyAlignment="1">
      <alignment horizontal="left" vertical="center" wrapText="1"/>
    </xf>
    <xf numFmtId="0" fontId="56" fillId="0" borderId="1" xfId="0" applyFont="1" applyBorder="1" applyAlignment="1">
      <alignment horizontal="center" vertical="center" wrapText="1"/>
    </xf>
    <xf numFmtId="0" fontId="56" fillId="0" borderId="1" xfId="0" applyFont="1" applyBorder="1" applyAlignment="1">
      <alignment horizontal="center" vertical="center"/>
    </xf>
    <xf numFmtId="164" fontId="56" fillId="0" borderId="9" xfId="0" applyNumberFormat="1" applyFont="1" applyBorder="1" applyAlignment="1">
      <alignment horizontal="center" vertical="center" wrapText="1"/>
    </xf>
    <xf numFmtId="164" fontId="56" fillId="0" borderId="9" xfId="0" applyNumberFormat="1" applyFont="1" applyBorder="1" applyAlignment="1">
      <alignment horizontal="left" vertical="center" wrapText="1"/>
    </xf>
    <xf numFmtId="0" fontId="36" fillId="0" borderId="0" xfId="0" applyFont="1" applyProtection="1">
      <protection locked="0"/>
    </xf>
    <xf numFmtId="164" fontId="62" fillId="0" borderId="1" xfId="0" applyNumberFormat="1" applyFont="1" applyBorder="1" applyAlignment="1">
      <alignment horizontal="center" vertical="center" wrapText="1"/>
    </xf>
    <xf numFmtId="164" fontId="62" fillId="0" borderId="1" xfId="0" applyNumberFormat="1" applyFont="1" applyBorder="1" applyAlignment="1">
      <alignment horizontal="left" vertical="center" wrapText="1"/>
    </xf>
    <xf numFmtId="164" fontId="62" fillId="6" borderId="4" xfId="0" applyNumberFormat="1" applyFont="1" applyFill="1" applyBorder="1" applyAlignment="1">
      <alignment horizontal="left" vertical="center" wrapText="1"/>
    </xf>
    <xf numFmtId="164" fontId="62" fillId="6" borderId="3" xfId="0" applyNumberFormat="1" applyFont="1" applyFill="1" applyBorder="1" applyAlignment="1">
      <alignment horizontal="left" vertical="center" wrapText="1"/>
    </xf>
    <xf numFmtId="164" fontId="62" fillId="6" borderId="3" xfId="0" applyNumberFormat="1" applyFont="1" applyFill="1" applyBorder="1" applyAlignment="1">
      <alignment horizontal="center" vertical="center" wrapText="1"/>
    </xf>
    <xf numFmtId="2" fontId="36" fillId="0" borderId="3" xfId="0" applyNumberFormat="1" applyFont="1" applyBorder="1" applyAlignment="1">
      <alignment horizontal="center" vertical="center" wrapText="1"/>
    </xf>
    <xf numFmtId="0" fontId="56" fillId="0" borderId="1" xfId="0" applyFont="1" applyBorder="1" applyAlignment="1">
      <alignment vertical="center" wrapText="1"/>
    </xf>
    <xf numFmtId="0" fontId="56" fillId="8" borderId="2" xfId="0" applyFont="1" applyFill="1" applyBorder="1" applyAlignment="1">
      <alignment horizontal="center" vertical="center"/>
    </xf>
    <xf numFmtId="0" fontId="56" fillId="8" borderId="1" xfId="0" applyFont="1" applyFill="1" applyBorder="1" applyAlignment="1">
      <alignment vertical="center" wrapText="1"/>
    </xf>
    <xf numFmtId="0" fontId="56" fillId="8" borderId="1" xfId="0" applyFont="1" applyFill="1" applyBorder="1" applyAlignment="1">
      <alignment horizontal="center" vertical="center" wrapText="1"/>
    </xf>
    <xf numFmtId="164" fontId="3" fillId="0" borderId="1" xfId="0" applyNumberFormat="1" applyFont="1" applyBorder="1" applyAlignment="1" applyProtection="1">
      <alignment horizontal="center" vertical="center" wrapText="1"/>
      <protection locked="0"/>
    </xf>
    <xf numFmtId="0" fontId="56" fillId="6" borderId="2" xfId="0" applyFont="1" applyFill="1" applyBorder="1" applyAlignment="1">
      <alignment horizontal="center" vertical="center"/>
    </xf>
    <xf numFmtId="0" fontId="56" fillId="6" borderId="1" xfId="0" applyFont="1" applyFill="1" applyBorder="1" applyAlignment="1">
      <alignment vertical="center" wrapText="1"/>
    </xf>
    <xf numFmtId="0" fontId="56" fillId="6" borderId="1" xfId="0" applyFont="1" applyFill="1" applyBorder="1" applyAlignment="1">
      <alignment horizontal="center" vertical="center" wrapText="1"/>
    </xf>
    <xf numFmtId="0" fontId="56" fillId="6" borderId="1" xfId="0" applyFont="1" applyFill="1" applyBorder="1" applyAlignment="1">
      <alignment horizontal="center" vertical="center"/>
    </xf>
    <xf numFmtId="164" fontId="3" fillId="6" borderId="1" xfId="0" applyNumberFormat="1" applyFont="1" applyFill="1" applyBorder="1" applyAlignment="1" applyProtection="1">
      <alignment horizontal="center" vertical="center" wrapText="1"/>
      <protection locked="0"/>
    </xf>
    <xf numFmtId="2" fontId="36" fillId="6" borderId="1" xfId="0" applyNumberFormat="1" applyFont="1" applyFill="1" applyBorder="1" applyAlignment="1" applyProtection="1">
      <alignment horizontal="center" vertical="center" wrapText="1"/>
      <protection locked="0"/>
    </xf>
    <xf numFmtId="0" fontId="62" fillId="6" borderId="2" xfId="0" applyFont="1" applyFill="1" applyBorder="1" applyAlignment="1">
      <alignment horizontal="center" vertical="center"/>
    </xf>
    <xf numFmtId="0" fontId="62" fillId="6" borderId="1" xfId="0" applyFont="1" applyFill="1" applyBorder="1" applyAlignment="1">
      <alignment vertical="center" wrapText="1"/>
    </xf>
    <xf numFmtId="0" fontId="62" fillId="6" borderId="1" xfId="0" applyFont="1" applyFill="1" applyBorder="1" applyAlignment="1">
      <alignment horizontal="center" vertical="center" wrapText="1"/>
    </xf>
    <xf numFmtId="0" fontId="62" fillId="6" borderId="6" xfId="0" applyFont="1" applyFill="1" applyBorder="1" applyAlignment="1">
      <alignment horizontal="center" vertical="center"/>
    </xf>
    <xf numFmtId="0" fontId="62" fillId="6" borderId="5" xfId="0" applyFont="1" applyFill="1" applyBorder="1" applyAlignment="1">
      <alignment vertical="center" wrapText="1"/>
    </xf>
    <xf numFmtId="0" fontId="62" fillId="6" borderId="5" xfId="0" applyFont="1" applyFill="1" applyBorder="1" applyAlignment="1">
      <alignment horizontal="center" vertical="center"/>
    </xf>
    <xf numFmtId="0" fontId="56" fillId="0" borderId="6" xfId="0" applyFont="1" applyBorder="1" applyAlignment="1">
      <alignment horizontal="center" vertical="center"/>
    </xf>
    <xf numFmtId="0" fontId="56" fillId="0" borderId="5" xfId="0" applyFont="1" applyBorder="1" applyAlignment="1">
      <alignment vertical="center" wrapText="1"/>
    </xf>
    <xf numFmtId="0" fontId="56" fillId="0" borderId="5" xfId="0" applyFont="1" applyBorder="1" applyAlignment="1">
      <alignment horizontal="center" vertical="center" wrapText="1"/>
    </xf>
    <xf numFmtId="0" fontId="56" fillId="0" borderId="5" xfId="0" applyFont="1" applyBorder="1" applyAlignment="1">
      <alignment horizontal="center" vertical="center"/>
    </xf>
    <xf numFmtId="0" fontId="39" fillId="27" borderId="1" xfId="0" applyFont="1" applyFill="1" applyBorder="1" applyAlignment="1">
      <alignment horizontal="center" vertical="center"/>
    </xf>
    <xf numFmtId="0" fontId="39" fillId="27" borderId="1" xfId="0" applyFont="1" applyFill="1" applyBorder="1" applyAlignment="1">
      <alignment horizontal="left" vertical="center" wrapText="1"/>
    </xf>
    <xf numFmtId="2" fontId="39" fillId="27" borderId="1" xfId="0" applyNumberFormat="1" applyFont="1" applyFill="1" applyBorder="1" applyAlignment="1">
      <alignment horizontal="center" vertical="center"/>
    </xf>
    <xf numFmtId="2" fontId="3" fillId="0" borderId="52" xfId="0" applyNumberFormat="1" applyFont="1" applyBorder="1" applyAlignment="1" applyProtection="1">
      <alignment horizontal="center"/>
      <protection locked="0"/>
    </xf>
    <xf numFmtId="0" fontId="36" fillId="28" borderId="1" xfId="0" applyFont="1" applyFill="1" applyBorder="1" applyAlignment="1">
      <alignment horizontal="center" vertical="center" wrapText="1"/>
    </xf>
    <xf numFmtId="2" fontId="3" fillId="24" borderId="5" xfId="0" applyNumberFormat="1" applyFont="1" applyFill="1" applyBorder="1" applyAlignment="1" applyProtection="1">
      <alignment horizontal="center" vertical="center"/>
      <protection locked="0"/>
    </xf>
    <xf numFmtId="2" fontId="8" fillId="24" borderId="5" xfId="0" applyNumberFormat="1" applyFont="1" applyFill="1" applyBorder="1" applyAlignment="1" applyProtection="1">
      <alignment horizontal="center" vertical="center"/>
      <protection locked="0"/>
    </xf>
    <xf numFmtId="2" fontId="39" fillId="15" borderId="1" xfId="0" applyNumberFormat="1" applyFont="1" applyFill="1" applyBorder="1" applyAlignment="1">
      <alignment horizontal="left" vertical="center" wrapText="1"/>
    </xf>
    <xf numFmtId="0" fontId="0" fillId="3" borderId="1" xfId="0" applyFill="1" applyBorder="1" applyAlignment="1">
      <alignment horizontal="center" vertical="center"/>
    </xf>
    <xf numFmtId="0" fontId="0" fillId="3" borderId="1" xfId="0" applyFill="1" applyBorder="1" applyAlignment="1">
      <alignment vertical="center" wrapText="1"/>
    </xf>
    <xf numFmtId="2" fontId="0" fillId="3" borderId="1" xfId="0" applyNumberFormat="1" applyFill="1" applyBorder="1" applyAlignment="1">
      <alignment horizontal="center" vertical="center"/>
    </xf>
    <xf numFmtId="2" fontId="8" fillId="3" borderId="1" xfId="0" applyNumberFormat="1" applyFont="1" applyFill="1" applyBorder="1" applyAlignment="1">
      <alignment horizontal="center" vertical="center"/>
    </xf>
    <xf numFmtId="0" fontId="0" fillId="0" borderId="1" xfId="0" applyBorder="1" applyAlignment="1" applyProtection="1">
      <alignment horizontal="left" vertical="center" wrapText="1"/>
      <protection locked="0"/>
    </xf>
    <xf numFmtId="2" fontId="0" fillId="2" borderId="5" xfId="0" applyNumberFormat="1" applyFill="1" applyBorder="1" applyAlignment="1">
      <alignment horizontal="center" vertical="center"/>
    </xf>
    <xf numFmtId="2" fontId="0" fillId="2" borderId="5" xfId="0" applyNumberFormat="1" applyFill="1" applyBorder="1" applyAlignment="1" applyProtection="1">
      <alignment horizontal="center" vertical="center"/>
      <protection locked="0"/>
    </xf>
    <xf numFmtId="2" fontId="8" fillId="2" borderId="5" xfId="0" applyNumberFormat="1" applyFont="1" applyFill="1" applyBorder="1" applyAlignment="1">
      <alignment horizontal="center" vertical="center"/>
    </xf>
    <xf numFmtId="2" fontId="0" fillId="3" borderId="1" xfId="0" applyNumberFormat="1" applyFill="1" applyBorder="1" applyAlignment="1" applyProtection="1">
      <alignment horizontal="center" vertical="center"/>
      <protection locked="0"/>
    </xf>
    <xf numFmtId="2" fontId="8" fillId="2" borderId="1" xfId="0" applyNumberFormat="1" applyFont="1" applyFill="1" applyBorder="1" applyAlignment="1">
      <alignment horizontal="center" vertical="center"/>
    </xf>
    <xf numFmtId="0" fontId="64" fillId="16" borderId="53" xfId="0" applyFont="1" applyFill="1" applyBorder="1" applyAlignment="1">
      <alignment horizontal="center" vertical="center"/>
    </xf>
    <xf numFmtId="2" fontId="8" fillId="2" borderId="1" xfId="0" applyNumberFormat="1" applyFont="1" applyFill="1" applyBorder="1" applyAlignment="1">
      <alignment horizontal="center" vertical="center" wrapText="1"/>
    </xf>
    <xf numFmtId="2" fontId="0" fillId="0" borderId="4" xfId="0" applyNumberFormat="1" applyBorder="1" applyAlignment="1" applyProtection="1">
      <alignment horizontal="center" vertical="center"/>
      <protection locked="0"/>
    </xf>
    <xf numFmtId="0" fontId="0" fillId="3" borderId="1" xfId="0" applyFill="1" applyBorder="1" applyAlignment="1">
      <alignment horizontal="left" vertical="center"/>
    </xf>
    <xf numFmtId="0" fontId="0" fillId="0" borderId="4" xfId="0" applyBorder="1" applyAlignment="1" applyProtection="1">
      <alignment horizontal="left" vertical="center"/>
      <protection locked="0"/>
    </xf>
    <xf numFmtId="0" fontId="0" fillId="3" borderId="1" xfId="0" applyFill="1" applyBorder="1" applyAlignment="1">
      <alignment horizontal="left" vertical="center" wrapText="1"/>
    </xf>
    <xf numFmtId="2" fontId="8" fillId="3" borderId="1" xfId="0" applyNumberFormat="1" applyFont="1" applyFill="1" applyBorder="1" applyAlignment="1">
      <alignment horizontal="left" vertical="center"/>
    </xf>
    <xf numFmtId="0" fontId="0" fillId="0" borderId="1" xfId="0" applyBorder="1" applyAlignment="1">
      <alignment horizontal="left" vertical="center" wrapText="1"/>
    </xf>
    <xf numFmtId="0" fontId="8" fillId="14" borderId="26" xfId="0" applyFont="1" applyFill="1" applyBorder="1" applyAlignment="1">
      <alignment horizontal="center" vertical="center"/>
    </xf>
    <xf numFmtId="0" fontId="0" fillId="14" borderId="1" xfId="0" applyFill="1" applyBorder="1" applyAlignment="1">
      <alignment horizontal="center" vertical="center" wrapText="1"/>
    </xf>
    <xf numFmtId="2" fontId="0" fillId="0" borderId="6" xfId="0" applyNumberFormat="1" applyBorder="1" applyAlignment="1" applyProtection="1">
      <alignment horizontal="center" wrapText="1"/>
      <protection locked="0"/>
    </xf>
    <xf numFmtId="0" fontId="0" fillId="0" borderId="42" xfId="0" applyBorder="1" applyAlignment="1" applyProtection="1">
      <alignment horizontal="left" vertical="center" wrapText="1"/>
      <protection locked="0"/>
    </xf>
    <xf numFmtId="0" fontId="8" fillId="0" borderId="25" xfId="0" applyFont="1" applyBorder="1" applyAlignment="1">
      <alignment horizontal="center" vertical="center"/>
    </xf>
    <xf numFmtId="0" fontId="8" fillId="0" borderId="5" xfId="0" applyFont="1" applyBorder="1" applyAlignment="1">
      <alignment vertical="center" wrapText="1"/>
    </xf>
    <xf numFmtId="0" fontId="8" fillId="0" borderId="5" xfId="0" applyFont="1" applyBorder="1" applyAlignment="1">
      <alignment horizontal="center" vertical="center" wrapText="1"/>
    </xf>
    <xf numFmtId="0" fontId="8" fillId="0" borderId="5" xfId="0" applyFont="1" applyBorder="1" applyAlignment="1" applyProtection="1">
      <alignment horizontal="center" vertical="center" wrapText="1"/>
      <protection locked="0"/>
    </xf>
    <xf numFmtId="0" fontId="8" fillId="0" borderId="6" xfId="0" applyFont="1" applyBorder="1" applyAlignment="1" applyProtection="1">
      <alignment horizontal="center" vertical="center" wrapText="1"/>
      <protection locked="0"/>
    </xf>
    <xf numFmtId="0" fontId="8" fillId="0" borderId="42" xfId="0" applyFont="1" applyBorder="1" applyAlignment="1" applyProtection="1">
      <alignment horizontal="left" vertical="center" wrapText="1"/>
      <protection locked="0"/>
    </xf>
    <xf numFmtId="0" fontId="0" fillId="0" borderId="6" xfId="0" applyBorder="1" applyAlignment="1" applyProtection="1">
      <alignment horizontal="center" vertical="center"/>
      <protection locked="0"/>
    </xf>
    <xf numFmtId="0" fontId="39" fillId="0" borderId="24" xfId="0" applyFont="1" applyBorder="1" applyAlignment="1">
      <alignment horizontal="center" vertical="center"/>
    </xf>
    <xf numFmtId="0" fontId="39" fillId="0" borderId="1" xfId="0" applyFont="1" applyBorder="1" applyAlignment="1">
      <alignment vertical="center" wrapText="1"/>
    </xf>
    <xf numFmtId="0" fontId="39" fillId="0" borderId="2" xfId="0" applyFont="1" applyBorder="1" applyAlignment="1">
      <alignment horizontal="center" vertical="center"/>
    </xf>
    <xf numFmtId="2" fontId="39" fillId="0" borderId="2" xfId="0" applyNumberFormat="1" applyFont="1" applyBorder="1" applyAlignment="1">
      <alignment horizontal="center" vertical="center"/>
    </xf>
    <xf numFmtId="0" fontId="39" fillId="0" borderId="4" xfId="0" applyFont="1" applyBorder="1" applyAlignment="1">
      <alignment horizontal="center" vertical="center"/>
    </xf>
    <xf numFmtId="0" fontId="39" fillId="0" borderId="4" xfId="0" applyFont="1" applyBorder="1" applyAlignment="1" applyProtection="1">
      <alignment horizontal="center" vertical="center"/>
      <protection locked="0"/>
    </xf>
    <xf numFmtId="0" fontId="39" fillId="14" borderId="2" xfId="0" applyFont="1" applyFill="1" applyBorder="1" applyAlignment="1">
      <alignment horizontal="center" vertical="center"/>
    </xf>
    <xf numFmtId="0" fontId="36" fillId="14" borderId="2" xfId="0" applyFont="1" applyFill="1" applyBorder="1" applyAlignment="1">
      <alignment horizontal="center" vertical="center"/>
    </xf>
    <xf numFmtId="0" fontId="39" fillId="14" borderId="2" xfId="0" applyFont="1" applyFill="1" applyBorder="1" applyAlignment="1" applyProtection="1">
      <alignment horizontal="center" vertical="center"/>
      <protection locked="0"/>
    </xf>
    <xf numFmtId="0" fontId="39" fillId="14" borderId="4" xfId="0" applyFont="1" applyFill="1" applyBorder="1" applyAlignment="1" applyProtection="1">
      <alignment horizontal="center" vertical="center"/>
      <protection locked="0"/>
    </xf>
    <xf numFmtId="0" fontId="65" fillId="14" borderId="6" xfId="0" applyFont="1" applyFill="1" applyBorder="1" applyAlignment="1">
      <alignment horizontal="center" vertical="center"/>
    </xf>
    <xf numFmtId="0" fontId="66" fillId="14" borderId="1" xfId="0" applyFont="1" applyFill="1" applyBorder="1" applyAlignment="1">
      <alignment vertical="center" wrapText="1"/>
    </xf>
    <xf numFmtId="0" fontId="8" fillId="14" borderId="7" xfId="0" applyFont="1" applyFill="1" applyBorder="1" applyAlignment="1">
      <alignment horizontal="center" vertical="center" wrapText="1"/>
    </xf>
    <xf numFmtId="2" fontId="8" fillId="14" borderId="7" xfId="0" applyNumberFormat="1" applyFont="1" applyFill="1" applyBorder="1" applyAlignment="1">
      <alignment horizontal="center" vertical="center" wrapText="1"/>
    </xf>
    <xf numFmtId="0" fontId="8" fillId="14" borderId="0" xfId="0" applyFont="1" applyFill="1" applyAlignment="1">
      <alignment horizontal="center" vertical="center" wrapText="1"/>
    </xf>
    <xf numFmtId="0" fontId="8" fillId="14" borderId="0" xfId="0" applyFont="1" applyFill="1" applyAlignment="1">
      <alignment horizontal="left" vertical="center" wrapText="1"/>
    </xf>
    <xf numFmtId="2" fontId="39" fillId="17" borderId="1" xfId="0" applyNumberFormat="1" applyFont="1" applyFill="1" applyBorder="1" applyAlignment="1">
      <alignment horizontal="center" vertical="center" wrapText="1"/>
    </xf>
    <xf numFmtId="2" fontId="32" fillId="17" borderId="1" xfId="0" applyNumberFormat="1" applyFont="1" applyFill="1" applyBorder="1" applyAlignment="1">
      <alignment horizontal="center" vertical="center" wrapText="1"/>
    </xf>
    <xf numFmtId="0" fontId="39" fillId="0" borderId="4" xfId="0" applyFont="1" applyBorder="1" applyAlignment="1" applyProtection="1">
      <alignment horizontal="center" vertical="center" wrapText="1"/>
      <protection locked="0"/>
    </xf>
    <xf numFmtId="0" fontId="39" fillId="0" borderId="4" xfId="0" applyFont="1" applyBorder="1" applyAlignment="1" applyProtection="1">
      <alignment horizontal="left" vertical="center" wrapText="1"/>
      <protection locked="0"/>
    </xf>
    <xf numFmtId="0" fontId="8" fillId="14" borderId="1" xfId="0" applyFont="1" applyFill="1" applyBorder="1" applyAlignment="1">
      <alignment horizontal="center"/>
    </xf>
    <xf numFmtId="0" fontId="0" fillId="14" borderId="1" xfId="0" applyFill="1" applyBorder="1"/>
    <xf numFmtId="0" fontId="8" fillId="14" borderId="1" xfId="0" applyFont="1" applyFill="1" applyBorder="1"/>
    <xf numFmtId="0" fontId="0" fillId="14" borderId="1" xfId="0" applyFill="1" applyBorder="1" applyProtection="1">
      <protection locked="0"/>
    </xf>
    <xf numFmtId="0" fontId="0" fillId="13" borderId="1" xfId="0" applyFill="1" applyBorder="1" applyAlignment="1">
      <alignment horizontal="center"/>
    </xf>
    <xf numFmtId="0" fontId="0" fillId="13" borderId="1" xfId="0" applyFill="1" applyBorder="1" applyAlignment="1">
      <alignment wrapText="1"/>
    </xf>
    <xf numFmtId="0" fontId="8" fillId="13" borderId="1" xfId="0" applyFont="1" applyFill="1" applyBorder="1" applyAlignment="1">
      <alignment horizontal="center"/>
    </xf>
    <xf numFmtId="0" fontId="0" fillId="13" borderId="1" xfId="0" applyFill="1" applyBorder="1" applyAlignment="1">
      <alignment horizontal="center" vertical="center"/>
    </xf>
    <xf numFmtId="2"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36" fillId="0" borderId="0" xfId="0" applyFont="1" applyAlignment="1">
      <alignment vertical="center"/>
    </xf>
    <xf numFmtId="0" fontId="0" fillId="13" borderId="1" xfId="0" applyFill="1" applyBorder="1" applyAlignment="1">
      <alignment vertical="center" wrapText="1"/>
    </xf>
    <xf numFmtId="0" fontId="0" fillId="13" borderId="1" xfId="0" applyFill="1" applyBorder="1" applyAlignment="1">
      <alignment horizontal="center" vertical="center" wrapText="1"/>
    </xf>
    <xf numFmtId="0" fontId="0" fillId="14" borderId="1" xfId="0" applyFill="1" applyBorder="1" applyAlignment="1">
      <alignment horizontal="center" vertical="center"/>
    </xf>
    <xf numFmtId="0" fontId="8" fillId="14" borderId="1" xfId="0" applyFont="1" applyFill="1" applyBorder="1" applyAlignment="1">
      <alignment horizontal="center" vertical="center"/>
    </xf>
    <xf numFmtId="0" fontId="0" fillId="4" borderId="1" xfId="0" applyFill="1" applyBorder="1" applyAlignment="1">
      <alignment horizontal="center"/>
    </xf>
    <xf numFmtId="0" fontId="0" fillId="4" borderId="1" xfId="0" applyFill="1" applyBorder="1" applyAlignment="1">
      <alignment wrapText="1"/>
    </xf>
    <xf numFmtId="0" fontId="0" fillId="8" borderId="1" xfId="0" applyFill="1" applyBorder="1" applyAlignment="1">
      <alignment horizontal="center"/>
    </xf>
    <xf numFmtId="0" fontId="0" fillId="8" borderId="1" xfId="0" applyFill="1" applyBorder="1" applyAlignment="1">
      <alignment wrapText="1"/>
    </xf>
    <xf numFmtId="0" fontId="0" fillId="6" borderId="1" xfId="0" applyFill="1" applyBorder="1" applyAlignment="1">
      <alignment horizontal="center"/>
    </xf>
    <xf numFmtId="0" fontId="0" fillId="6" borderId="1" xfId="0" applyFill="1" applyBorder="1" applyAlignment="1">
      <alignment wrapText="1"/>
    </xf>
    <xf numFmtId="0" fontId="0" fillId="7" borderId="1" xfId="0" applyFill="1" applyBorder="1" applyAlignment="1">
      <alignment horizontal="center"/>
    </xf>
    <xf numFmtId="0" fontId="0" fillId="7" borderId="1" xfId="0" applyFill="1" applyBorder="1" applyAlignment="1">
      <alignment wrapText="1"/>
    </xf>
    <xf numFmtId="0" fontId="8" fillId="7" borderId="1" xfId="0" applyFont="1" applyFill="1" applyBorder="1" applyAlignment="1">
      <alignment horizontal="center" vertical="center" wrapText="1"/>
    </xf>
    <xf numFmtId="0" fontId="67" fillId="13" borderId="4" xfId="0" applyFont="1" applyFill="1" applyBorder="1" applyAlignment="1">
      <alignment horizontal="center" vertical="center"/>
    </xf>
    <xf numFmtId="167" fontId="0" fillId="0" borderId="1" xfId="0" applyNumberFormat="1" applyBorder="1" applyAlignment="1" applyProtection="1">
      <alignment horizontal="center" vertical="center"/>
      <protection locked="0"/>
    </xf>
    <xf numFmtId="0" fontId="8" fillId="14" borderId="1" xfId="0" applyFont="1" applyFill="1" applyBorder="1" applyAlignment="1">
      <alignment horizontal="left" vertical="center" wrapText="1"/>
    </xf>
    <xf numFmtId="2" fontId="8" fillId="14" borderId="1" xfId="0" applyNumberFormat="1" applyFont="1" applyFill="1" applyBorder="1" applyAlignment="1">
      <alignment horizontal="center" vertical="center" wrapText="1"/>
    </xf>
    <xf numFmtId="0" fontId="0" fillId="0" borderId="0" xfId="0" applyAlignment="1">
      <alignment horizontal="center" vertical="center" wrapText="1"/>
    </xf>
    <xf numFmtId="2" fontId="8" fillId="0" borderId="0" xfId="0" applyNumberFormat="1" applyFont="1" applyAlignment="1">
      <alignment horizontal="center" vertical="center" wrapText="1"/>
    </xf>
    <xf numFmtId="0" fontId="0" fillId="0" borderId="0" xfId="0" applyAlignment="1">
      <alignment horizontal="left" vertical="center" wrapText="1"/>
    </xf>
    <xf numFmtId="0" fontId="0" fillId="29" borderId="1" xfId="0" applyFill="1" applyBorder="1" applyAlignment="1">
      <alignment horizontal="center" vertical="center"/>
    </xf>
    <xf numFmtId="0" fontId="8" fillId="0" borderId="0" xfId="0" applyFont="1" applyAlignment="1">
      <alignment horizontal="left" vertical="center"/>
    </xf>
    <xf numFmtId="0" fontId="8" fillId="0" borderId="1" xfId="0" applyFont="1" applyBorder="1" applyAlignment="1">
      <alignment horizontal="left" vertical="center" wrapText="1"/>
    </xf>
    <xf numFmtId="0" fontId="8"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vertical="center"/>
    </xf>
    <xf numFmtId="2" fontId="8" fillId="0" borderId="0" xfId="0" applyNumberFormat="1" applyFont="1" applyAlignment="1">
      <alignment vertical="center"/>
    </xf>
    <xf numFmtId="0" fontId="0" fillId="2" borderId="1" xfId="0" applyFill="1" applyBorder="1" applyAlignment="1">
      <alignment horizontal="center" vertical="center"/>
    </xf>
    <xf numFmtId="0" fontId="8" fillId="0" borderId="0" xfId="0" applyFont="1" applyAlignment="1">
      <alignment horizontal="left" vertical="center" wrapText="1"/>
    </xf>
    <xf numFmtId="2" fontId="0" fillId="24" borderId="1" xfId="0" applyNumberFormat="1" applyFill="1" applyBorder="1" applyAlignment="1">
      <alignment horizontal="center" vertical="center"/>
    </xf>
    <xf numFmtId="0" fontId="8" fillId="0" borderId="0" xfId="0" applyFont="1" applyAlignment="1">
      <alignment horizontal="right" vertical="center"/>
    </xf>
    <xf numFmtId="0" fontId="52" fillId="0" borderId="44" xfId="0" applyFont="1" applyBorder="1" applyAlignment="1">
      <alignment horizontal="left" vertical="center"/>
    </xf>
    <xf numFmtId="0" fontId="0" fillId="0" borderId="0" xfId="0" applyAlignment="1">
      <alignment horizontal="left" vertical="center"/>
    </xf>
    <xf numFmtId="0" fontId="0" fillId="0" borderId="0" xfId="0" applyAlignment="1">
      <alignment vertical="center"/>
    </xf>
    <xf numFmtId="0" fontId="68" fillId="0" borderId="0" xfId="0" applyFont="1"/>
    <xf numFmtId="2" fontId="69" fillId="30" borderId="1" xfId="0" applyNumberFormat="1" applyFont="1" applyFill="1" applyBorder="1" applyAlignment="1">
      <alignment horizontal="center" vertical="center"/>
    </xf>
    <xf numFmtId="2" fontId="70" fillId="0" borderId="1" xfId="0" applyNumberFormat="1" applyFont="1" applyBorder="1" applyAlignment="1">
      <alignment horizontal="center" vertical="center"/>
    </xf>
    <xf numFmtId="2" fontId="39" fillId="0" borderId="2" xfId="0" applyNumberFormat="1" applyFont="1" applyBorder="1" applyAlignment="1">
      <alignment horizontal="left" vertical="center"/>
    </xf>
    <xf numFmtId="2" fontId="39" fillId="0" borderId="3" xfId="0" applyNumberFormat="1" applyFont="1" applyBorder="1" applyAlignment="1">
      <alignment horizontal="left" vertical="center"/>
    </xf>
    <xf numFmtId="2" fontId="39" fillId="0" borderId="4" xfId="0" applyNumberFormat="1" applyFont="1" applyBorder="1" applyAlignment="1">
      <alignment horizontal="left" vertical="center"/>
    </xf>
    <xf numFmtId="0" fontId="71" fillId="14" borderId="1" xfId="0" applyFont="1" applyFill="1" applyBorder="1" applyAlignment="1">
      <alignment horizontal="center" vertical="center" wrapText="1"/>
    </xf>
    <xf numFmtId="0" fontId="71" fillId="14" borderId="9" xfId="0" applyFont="1" applyFill="1" applyBorder="1" applyAlignment="1">
      <alignment horizontal="center" vertical="center" wrapText="1"/>
    </xf>
    <xf numFmtId="0" fontId="71" fillId="14" borderId="9" xfId="0" applyFont="1" applyFill="1" applyBorder="1" applyAlignment="1">
      <alignment horizontal="center" vertical="center"/>
    </xf>
    <xf numFmtId="0" fontId="71" fillId="14" borderId="6" xfId="0" applyFont="1" applyFill="1" applyBorder="1" applyAlignment="1">
      <alignment horizontal="center" vertical="center" wrapText="1"/>
    </xf>
    <xf numFmtId="0" fontId="71" fillId="14" borderId="7" xfId="0" applyFont="1" applyFill="1" applyBorder="1" applyAlignment="1">
      <alignment horizontal="center" vertical="center" wrapText="1"/>
    </xf>
    <xf numFmtId="0" fontId="71" fillId="14" borderId="8" xfId="0" applyFont="1" applyFill="1" applyBorder="1" applyAlignment="1">
      <alignment horizontal="center" vertical="center" wrapText="1"/>
    </xf>
    <xf numFmtId="0" fontId="8" fillId="14" borderId="6" xfId="0" applyFont="1" applyFill="1" applyBorder="1" applyAlignment="1">
      <alignment horizontal="center" vertical="center"/>
    </xf>
    <xf numFmtId="0" fontId="8" fillId="14" borderId="7" xfId="0" applyFont="1" applyFill="1" applyBorder="1" applyAlignment="1">
      <alignment horizontal="center" vertical="center"/>
    </xf>
    <xf numFmtId="0" fontId="8" fillId="14" borderId="8" xfId="0" applyFont="1" applyFill="1" applyBorder="1" applyAlignment="1">
      <alignment horizontal="center" vertical="center"/>
    </xf>
    <xf numFmtId="0" fontId="71" fillId="14" borderId="1" xfId="0" applyFont="1" applyFill="1" applyBorder="1" applyAlignment="1">
      <alignment horizontal="center" vertical="center"/>
    </xf>
    <xf numFmtId="0" fontId="72" fillId="14" borderId="1" xfId="0" applyFont="1" applyFill="1" applyBorder="1" applyAlignment="1">
      <alignment horizontal="center" vertical="center" wrapText="1"/>
    </xf>
    <xf numFmtId="0" fontId="71" fillId="14" borderId="10" xfId="0" applyFont="1" applyFill="1" applyBorder="1" applyAlignment="1">
      <alignment horizontal="center" vertical="center" wrapText="1"/>
    </xf>
    <xf numFmtId="0" fontId="71" fillId="14" borderId="0" xfId="0" applyFont="1" applyFill="1" applyAlignment="1">
      <alignment horizontal="center" vertical="center" wrapText="1"/>
    </xf>
    <xf numFmtId="0" fontId="71" fillId="14" borderId="11" xfId="0" applyFont="1" applyFill="1" applyBorder="1" applyAlignment="1">
      <alignment horizontal="center" vertical="center" wrapText="1"/>
    </xf>
    <xf numFmtId="0" fontId="8" fillId="14" borderId="10" xfId="0" applyFont="1" applyFill="1" applyBorder="1" applyAlignment="1">
      <alignment horizontal="center" vertical="center"/>
    </xf>
    <xf numFmtId="0" fontId="8" fillId="14" borderId="0" xfId="0" applyFont="1" applyFill="1" applyAlignment="1">
      <alignment horizontal="center" vertical="center"/>
    </xf>
    <xf numFmtId="0" fontId="8" fillId="14" borderId="11" xfId="0" applyFont="1" applyFill="1" applyBorder="1" applyAlignment="1">
      <alignment horizontal="center" vertical="center"/>
    </xf>
    <xf numFmtId="0" fontId="73" fillId="14" borderId="1" xfId="0" applyFont="1" applyFill="1" applyBorder="1" applyAlignment="1">
      <alignment horizontal="center" vertical="center" wrapText="1"/>
    </xf>
    <xf numFmtId="0" fontId="74" fillId="14" borderId="1" xfId="0" applyFont="1" applyFill="1" applyBorder="1" applyAlignment="1">
      <alignment horizontal="center" vertical="center" wrapText="1"/>
    </xf>
    <xf numFmtId="0" fontId="71" fillId="14" borderId="29" xfId="0" applyFont="1" applyFill="1" applyBorder="1" applyAlignment="1">
      <alignment horizontal="center" vertical="center" wrapText="1"/>
    </xf>
    <xf numFmtId="0" fontId="71" fillId="14" borderId="28" xfId="0" applyFont="1" applyFill="1" applyBorder="1" applyAlignment="1">
      <alignment horizontal="center" vertical="center" wrapText="1"/>
    </xf>
    <xf numFmtId="0" fontId="71" fillId="14" borderId="54" xfId="0" applyFont="1" applyFill="1" applyBorder="1" applyAlignment="1">
      <alignment horizontal="center" vertical="center" wrapText="1"/>
    </xf>
    <xf numFmtId="0" fontId="8" fillId="14" borderId="29" xfId="0" applyFont="1" applyFill="1" applyBorder="1" applyAlignment="1">
      <alignment horizontal="center" vertical="center"/>
    </xf>
    <xf numFmtId="0" fontId="8" fillId="14" borderId="28" xfId="0" applyFont="1" applyFill="1" applyBorder="1" applyAlignment="1">
      <alignment horizontal="center" vertical="center"/>
    </xf>
    <xf numFmtId="0" fontId="8" fillId="14" borderId="54" xfId="0" applyFont="1" applyFill="1" applyBorder="1" applyAlignment="1">
      <alignment horizontal="center" vertical="center"/>
    </xf>
    <xf numFmtId="0" fontId="71" fillId="0" borderId="2" xfId="0" applyFont="1" applyBorder="1" applyAlignment="1">
      <alignment horizontal="center" vertical="center" wrapText="1"/>
    </xf>
    <xf numFmtId="0" fontId="73" fillId="0" borderId="1" xfId="0" applyFont="1" applyBorder="1" applyAlignment="1">
      <alignment horizontal="center" vertical="center" wrapText="1"/>
    </xf>
    <xf numFmtId="0" fontId="73" fillId="0" borderId="1" xfId="0" applyFont="1" applyBorder="1" applyAlignment="1" applyProtection="1">
      <alignment horizontal="center" vertical="center"/>
      <protection locked="0"/>
    </xf>
    <xf numFmtId="2" fontId="75" fillId="0" borderId="1" xfId="0" applyNumberFormat="1" applyFont="1" applyBorder="1" applyAlignment="1" applyProtection="1">
      <alignment horizontal="center" vertical="center"/>
      <protection locked="0"/>
    </xf>
    <xf numFmtId="1" fontId="0" fillId="3" borderId="1" xfId="0" applyNumberFormat="1" applyFill="1" applyBorder="1" applyAlignment="1" applyProtection="1">
      <alignment horizontal="center" wrapText="1"/>
      <protection locked="0"/>
    </xf>
    <xf numFmtId="0" fontId="76" fillId="0" borderId="1" xfId="0" applyFont="1" applyBorder="1" applyAlignment="1" applyProtection="1">
      <alignment vertical="center" wrapText="1"/>
      <protection locked="0"/>
    </xf>
    <xf numFmtId="2" fontId="77" fillId="0" borderId="1" xfId="0" applyNumberFormat="1" applyFont="1" applyBorder="1" applyAlignment="1" applyProtection="1">
      <alignment horizontal="center" vertical="center" wrapText="1"/>
      <protection locked="0"/>
    </xf>
    <xf numFmtId="1" fontId="77" fillId="0" borderId="1" xfId="0" applyNumberFormat="1" applyFont="1" applyBorder="1" applyAlignment="1" applyProtection="1">
      <alignment horizontal="center" vertical="center" wrapText="1"/>
      <protection locked="0"/>
    </xf>
    <xf numFmtId="0" fontId="0" fillId="0" borderId="2" xfId="0" applyBorder="1" applyAlignment="1" applyProtection="1">
      <alignment horizontal="center"/>
      <protection locked="0"/>
    </xf>
    <xf numFmtId="0" fontId="0" fillId="0" borderId="3" xfId="0" applyBorder="1" applyAlignment="1" applyProtection="1">
      <alignment horizontal="center"/>
      <protection locked="0"/>
    </xf>
    <xf numFmtId="0" fontId="0" fillId="0" borderId="4" xfId="0" applyBorder="1" applyAlignment="1" applyProtection="1">
      <alignment horizontal="center"/>
      <protection locked="0"/>
    </xf>
    <xf numFmtId="2" fontId="77" fillId="0" borderId="9" xfId="0" applyNumberFormat="1" applyFont="1" applyBorder="1" applyAlignment="1" applyProtection="1">
      <alignment horizontal="center" vertical="center" wrapText="1"/>
      <protection locked="0"/>
    </xf>
    <xf numFmtId="1" fontId="77" fillId="0" borderId="9" xfId="0" applyNumberFormat="1" applyFont="1" applyBorder="1" applyAlignment="1" applyProtection="1">
      <alignment horizontal="center" vertical="center" wrapText="1"/>
      <protection locked="0"/>
    </xf>
    <xf numFmtId="0" fontId="73" fillId="0" borderId="1" xfId="0" applyFont="1" applyBorder="1" applyAlignment="1" applyProtection="1">
      <alignment vertical="center" wrapText="1"/>
      <protection locked="0"/>
    </xf>
    <xf numFmtId="2" fontId="75" fillId="0" borderId="1" xfId="0" applyNumberFormat="1" applyFont="1" applyBorder="1" applyAlignment="1" applyProtection="1">
      <alignment horizontal="center" vertical="center" wrapText="1"/>
      <protection locked="0"/>
    </xf>
    <xf numFmtId="1" fontId="75" fillId="0" borderId="1" xfId="0" applyNumberFormat="1" applyFont="1" applyBorder="1" applyAlignment="1" applyProtection="1">
      <alignment horizontal="center" vertical="center" wrapText="1"/>
      <protection locked="0"/>
    </xf>
    <xf numFmtId="0" fontId="73" fillId="0" borderId="2" xfId="0" applyFont="1" applyBorder="1" applyAlignment="1">
      <alignment horizontal="left" vertical="center" wrapText="1"/>
    </xf>
    <xf numFmtId="0" fontId="73" fillId="0" borderId="3" xfId="0" applyFont="1" applyBorder="1" applyAlignment="1">
      <alignment horizontal="left" vertical="center" wrapText="1"/>
    </xf>
    <xf numFmtId="0" fontId="73" fillId="0" borderId="4" xfId="0" applyFont="1" applyBorder="1" applyAlignment="1">
      <alignment horizontal="left" vertical="center" wrapText="1"/>
    </xf>
    <xf numFmtId="0" fontId="71" fillId="0" borderId="2" xfId="0" applyFont="1" applyBorder="1" applyAlignment="1">
      <alignment horizontal="left" vertical="center" wrapText="1"/>
    </xf>
    <xf numFmtId="0" fontId="71" fillId="0" borderId="3" xfId="0" applyFont="1" applyBorder="1" applyAlignment="1">
      <alignment horizontal="left" vertical="center" wrapText="1"/>
    </xf>
    <xf numFmtId="0" fontId="71" fillId="0" borderId="4" xfId="0" applyFont="1" applyBorder="1" applyAlignment="1">
      <alignment horizontal="left" vertical="center" wrapText="1"/>
    </xf>
    <xf numFmtId="0" fontId="71" fillId="14" borderId="2" xfId="0" applyFont="1" applyFill="1" applyBorder="1" applyAlignment="1">
      <alignment horizontal="center" vertical="center" wrapText="1"/>
    </xf>
    <xf numFmtId="0" fontId="71" fillId="14" borderId="5" xfId="0" applyFont="1" applyFill="1" applyBorder="1" applyAlignment="1">
      <alignment horizontal="center" vertical="center" wrapText="1"/>
    </xf>
    <xf numFmtId="0" fontId="71" fillId="14" borderId="23" xfId="0" applyFont="1" applyFill="1" applyBorder="1" applyAlignment="1">
      <alignment horizontal="center" vertical="center" wrapText="1"/>
    </xf>
    <xf numFmtId="2" fontId="0" fillId="0" borderId="2" xfId="0" applyNumberFormat="1" applyBorder="1" applyAlignment="1" applyProtection="1">
      <alignment horizontal="center"/>
      <protection locked="0"/>
    </xf>
    <xf numFmtId="2" fontId="0" fillId="0" borderId="4" xfId="0" applyNumberFormat="1" applyBorder="1" applyAlignment="1" applyProtection="1">
      <alignment horizontal="center"/>
      <protection locked="0"/>
    </xf>
    <xf numFmtId="2" fontId="0" fillId="0" borderId="1" xfId="0" applyNumberFormat="1" applyBorder="1" applyAlignment="1" applyProtection="1">
      <alignment horizontal="center"/>
      <protection locked="0"/>
    </xf>
    <xf numFmtId="0" fontId="0" fillId="0" borderId="1" xfId="0" applyBorder="1" applyAlignment="1" applyProtection="1">
      <alignment wrapText="1"/>
      <protection locked="0"/>
    </xf>
    <xf numFmtId="2" fontId="36" fillId="4" borderId="2" xfId="0" applyNumberFormat="1" applyFont="1" applyFill="1" applyBorder="1" applyAlignment="1">
      <alignment horizontal="center" vertical="center" wrapText="1"/>
    </xf>
    <xf numFmtId="2" fontId="36" fillId="4" borderId="4" xfId="0" applyNumberFormat="1" applyFont="1" applyFill="1" applyBorder="1" applyAlignment="1">
      <alignment horizontal="center" vertical="center" wrapText="1"/>
    </xf>
    <xf numFmtId="0" fontId="73" fillId="0" borderId="1" xfId="0" applyFont="1" applyBorder="1" applyAlignment="1">
      <alignment horizontal="left" vertical="center" wrapText="1"/>
    </xf>
    <xf numFmtId="0" fontId="74" fillId="0" borderId="1" xfId="0" applyFont="1" applyBorder="1" applyAlignment="1">
      <alignment horizontal="left" vertical="center" wrapText="1"/>
    </xf>
    <xf numFmtId="2" fontId="0" fillId="3" borderId="2" xfId="0" applyNumberFormat="1" applyFill="1" applyBorder="1" applyAlignment="1" applyProtection="1">
      <alignment horizontal="center" vertical="center" wrapText="1"/>
      <protection locked="0"/>
    </xf>
    <xf numFmtId="2" fontId="0" fillId="3" borderId="3" xfId="0" applyNumberFormat="1" applyFill="1" applyBorder="1" applyAlignment="1" applyProtection="1">
      <alignment horizontal="center" vertical="center" wrapText="1"/>
      <protection locked="0"/>
    </xf>
    <xf numFmtId="2" fontId="0" fillId="3" borderId="4" xfId="0" applyNumberFormat="1" applyFill="1" applyBorder="1" applyAlignment="1" applyProtection="1">
      <alignment horizontal="center" vertical="center" wrapText="1"/>
      <protection locked="0"/>
    </xf>
    <xf numFmtId="2" fontId="0" fillId="3" borderId="10" xfId="0" applyNumberFormat="1" applyFill="1" applyBorder="1" applyAlignment="1" applyProtection="1">
      <alignment horizontal="center" vertical="center" wrapText="1"/>
      <protection locked="0"/>
    </xf>
    <xf numFmtId="2" fontId="0" fillId="3" borderId="0" xfId="0" applyNumberFormat="1" applyFill="1" applyAlignment="1" applyProtection="1">
      <alignment horizontal="center" vertical="center" wrapText="1"/>
      <protection locked="0"/>
    </xf>
    <xf numFmtId="0" fontId="71" fillId="14" borderId="1" xfId="0" applyFont="1" applyFill="1" applyBorder="1" applyAlignment="1">
      <alignment vertical="center" wrapText="1"/>
    </xf>
    <xf numFmtId="0" fontId="78" fillId="14" borderId="1" xfId="0" applyFont="1" applyFill="1" applyBorder="1" applyAlignment="1">
      <alignment horizontal="center" vertical="center" wrapText="1"/>
    </xf>
    <xf numFmtId="0" fontId="73" fillId="0" borderId="1" xfId="0" applyFont="1" applyBorder="1" applyAlignment="1">
      <alignment vertical="center" wrapText="1"/>
    </xf>
    <xf numFmtId="0" fontId="73" fillId="0" borderId="1" xfId="0" applyFont="1" applyBorder="1" applyAlignment="1" applyProtection="1">
      <alignment horizontal="center" vertical="center" wrapText="1"/>
      <protection locked="0"/>
    </xf>
    <xf numFmtId="0" fontId="0" fillId="0" borderId="1" xfId="0" applyBorder="1" applyProtection="1">
      <protection locked="0"/>
    </xf>
    <xf numFmtId="0" fontId="71" fillId="0" borderId="1" xfId="0" applyFont="1" applyBorder="1" applyAlignment="1">
      <alignment horizontal="center" vertical="center" wrapText="1"/>
    </xf>
    <xf numFmtId="0" fontId="71" fillId="0" borderId="1" xfId="0" applyFont="1" applyBorder="1" applyAlignment="1">
      <alignment horizontal="left" vertical="center" wrapText="1"/>
    </xf>
    <xf numFmtId="0" fontId="0" fillId="0" borderId="1" xfId="0" applyBorder="1" applyAlignment="1" applyProtection="1">
      <alignment vertical="center"/>
      <protection locked="0"/>
    </xf>
    <xf numFmtId="0" fontId="73" fillId="0" borderId="2" xfId="0" applyFont="1" applyBorder="1" applyAlignment="1">
      <alignment horizontal="left" vertical="top" wrapText="1"/>
    </xf>
    <xf numFmtId="0" fontId="73" fillId="0" borderId="3" xfId="0" applyFont="1" applyBorder="1" applyAlignment="1">
      <alignment horizontal="left" vertical="top" wrapText="1"/>
    </xf>
    <xf numFmtId="0" fontId="73" fillId="0" borderId="4" xfId="0" applyFont="1" applyBorder="1" applyAlignment="1">
      <alignment horizontal="left" vertical="top" wrapText="1"/>
    </xf>
    <xf numFmtId="0" fontId="71" fillId="14" borderId="3" xfId="0" applyFont="1" applyFill="1" applyBorder="1" applyAlignment="1">
      <alignment horizontal="center" vertical="center" wrapText="1"/>
    </xf>
    <xf numFmtId="0" fontId="71" fillId="14" borderId="4" xfId="0" applyFont="1" applyFill="1" applyBorder="1" applyAlignment="1">
      <alignment horizontal="center" vertical="center" wrapText="1"/>
    </xf>
    <xf numFmtId="0" fontId="8" fillId="0" borderId="0" xfId="0" applyFont="1" applyAlignment="1">
      <alignment horizontal="center"/>
    </xf>
    <xf numFmtId="0" fontId="8" fillId="14" borderId="1" xfId="0" applyFont="1" applyFill="1" applyBorder="1" applyAlignment="1">
      <alignment horizontal="center" vertical="top" wrapText="1"/>
    </xf>
    <xf numFmtId="0" fontId="8" fillId="14" borderId="1" xfId="0" applyFont="1" applyFill="1" applyBorder="1" applyAlignment="1">
      <alignment horizontal="center" vertical="top"/>
    </xf>
    <xf numFmtId="2" fontId="79" fillId="0" borderId="1" xfId="0" applyNumberFormat="1" applyFont="1" applyBorder="1" applyAlignment="1" applyProtection="1">
      <alignment horizontal="center" vertical="center" wrapText="1"/>
      <protection locked="0"/>
    </xf>
    <xf numFmtId="1" fontId="79" fillId="0" borderId="1" xfId="0" applyNumberFormat="1" applyFont="1" applyBorder="1" applyAlignment="1" applyProtection="1">
      <alignment horizontal="center" vertical="center" wrapText="1"/>
      <protection locked="0"/>
    </xf>
    <xf numFmtId="0" fontId="71" fillId="0" borderId="1" xfId="0" applyFont="1" applyBorder="1" applyAlignment="1" applyProtection="1">
      <alignment horizontal="center" vertical="center" wrapText="1"/>
      <protection locked="0"/>
    </xf>
    <xf numFmtId="0" fontId="71" fillId="0" borderId="1" xfId="0" applyFont="1" applyBorder="1" applyAlignment="1">
      <alignment horizontal="center" vertical="center"/>
    </xf>
    <xf numFmtId="0" fontId="71" fillId="0" borderId="1" xfId="0" applyFont="1" applyBorder="1" applyAlignment="1" applyProtection="1">
      <alignment vertical="center" wrapText="1"/>
      <protection locked="0"/>
    </xf>
    <xf numFmtId="0" fontId="73" fillId="0" borderId="1" xfId="0" applyFont="1" applyBorder="1" applyAlignment="1">
      <alignment horizontal="left" vertical="top" wrapText="1"/>
    </xf>
    <xf numFmtId="0" fontId="73" fillId="0" borderId="1" xfId="0" applyFont="1" applyBorder="1" applyAlignment="1">
      <alignment horizontal="left" vertical="center"/>
    </xf>
    <xf numFmtId="0" fontId="73" fillId="0" borderId="2" xfId="0" applyFont="1" applyBorder="1" applyAlignment="1">
      <alignment horizontal="center" vertical="center" wrapText="1"/>
    </xf>
    <xf numFmtId="2" fontId="0" fillId="0" borderId="44" xfId="0" applyNumberFormat="1" applyBorder="1" applyAlignment="1">
      <alignment horizontal="left"/>
    </xf>
    <xf numFmtId="2" fontId="0" fillId="0" borderId="0" xfId="0" applyNumberFormat="1" applyAlignment="1">
      <alignment horizontal="left"/>
    </xf>
    <xf numFmtId="2" fontId="0" fillId="0" borderId="0" xfId="0" applyNumberFormat="1" applyAlignment="1">
      <alignment horizontal="left" vertical="top"/>
    </xf>
    <xf numFmtId="2" fontId="0" fillId="0" borderId="0" xfId="0" applyNumberFormat="1" applyAlignment="1">
      <alignment horizontal="center" vertical="top"/>
    </xf>
    <xf numFmtId="2" fontId="0" fillId="0" borderId="0" xfId="0" applyNumberFormat="1"/>
    <xf numFmtId="2" fontId="80" fillId="30" borderId="1" xfId="0" applyNumberFormat="1" applyFont="1" applyFill="1" applyBorder="1" applyAlignment="1">
      <alignment horizontal="center" vertical="center"/>
    </xf>
    <xf numFmtId="2" fontId="81" fillId="3" borderId="1" xfId="0" applyNumberFormat="1" applyFont="1" applyFill="1" applyBorder="1" applyAlignment="1">
      <alignment horizontal="center" vertical="center" wrapText="1"/>
    </xf>
    <xf numFmtId="2" fontId="82" fillId="0" borderId="0" xfId="0" applyNumberFormat="1" applyFont="1"/>
    <xf numFmtId="2" fontId="83" fillId="3" borderId="1" xfId="0" applyNumberFormat="1" applyFont="1" applyFill="1" applyBorder="1" applyAlignment="1">
      <alignment horizontal="center" vertical="center" wrapText="1"/>
    </xf>
    <xf numFmtId="2" fontId="83" fillId="3" borderId="2" xfId="0" applyNumberFormat="1" applyFont="1" applyFill="1" applyBorder="1" applyAlignment="1">
      <alignment horizontal="center" vertical="center" wrapText="1"/>
    </xf>
    <xf numFmtId="2" fontId="83" fillId="3" borderId="3" xfId="0" applyNumberFormat="1" applyFont="1" applyFill="1" applyBorder="1" applyAlignment="1">
      <alignment horizontal="center" vertical="center" wrapText="1"/>
    </xf>
    <xf numFmtId="2" fontId="83" fillId="3" borderId="4" xfId="0" applyNumberFormat="1" applyFont="1" applyFill="1" applyBorder="1" applyAlignment="1">
      <alignment horizontal="center" vertical="center" wrapText="1"/>
    </xf>
    <xf numFmtId="2" fontId="0" fillId="17" borderId="0" xfId="0" applyNumberFormat="1" applyFill="1"/>
    <xf numFmtId="2" fontId="84" fillId="17" borderId="1" xfId="0" applyNumberFormat="1" applyFont="1" applyFill="1" applyBorder="1" applyAlignment="1">
      <alignment horizontal="left" vertical="center" wrapText="1"/>
    </xf>
    <xf numFmtId="2" fontId="85" fillId="17" borderId="1" xfId="0" applyNumberFormat="1" applyFont="1" applyFill="1" applyBorder="1" applyAlignment="1">
      <alignment horizontal="left" vertical="top" wrapText="1"/>
    </xf>
    <xf numFmtId="2" fontId="54" fillId="17" borderId="1" xfId="0" applyNumberFormat="1" applyFont="1" applyFill="1" applyBorder="1" applyAlignment="1">
      <alignment horizontal="center" vertical="center" wrapText="1"/>
    </xf>
    <xf numFmtId="2" fontId="86" fillId="15" borderId="1" xfId="0" applyNumberFormat="1" applyFont="1" applyFill="1" applyBorder="1" applyAlignment="1">
      <alignment horizontal="left" vertical="center"/>
    </xf>
    <xf numFmtId="2" fontId="86" fillId="15" borderId="1" xfId="0" applyNumberFormat="1" applyFont="1" applyFill="1" applyBorder="1" applyAlignment="1">
      <alignment horizontal="center" vertical="center" wrapText="1"/>
    </xf>
    <xf numFmtId="2" fontId="55" fillId="15" borderId="1" xfId="0" applyNumberFormat="1" applyFont="1" applyFill="1" applyBorder="1" applyAlignment="1">
      <alignment horizontal="left" vertical="center"/>
    </xf>
    <xf numFmtId="2" fontId="55" fillId="15" borderId="1" xfId="0" applyNumberFormat="1" applyFont="1" applyFill="1" applyBorder="1" applyAlignment="1">
      <alignment horizontal="left" vertical="center" wrapText="1"/>
    </xf>
    <xf numFmtId="2" fontId="55" fillId="15" borderId="1" xfId="0" applyNumberFormat="1" applyFont="1" applyFill="1" applyBorder="1" applyAlignment="1">
      <alignment vertical="top" wrapText="1"/>
    </xf>
    <xf numFmtId="2" fontId="66" fillId="0" borderId="1" xfId="0" applyNumberFormat="1" applyFont="1" applyBorder="1" applyAlignment="1">
      <alignment horizontal="left" vertical="center"/>
    </xf>
    <xf numFmtId="2" fontId="87" fillId="0" borderId="1" xfId="0" applyNumberFormat="1" applyFont="1" applyBorder="1" applyAlignment="1">
      <alignment horizontal="left" vertical="center" wrapText="1"/>
    </xf>
    <xf numFmtId="2" fontId="87" fillId="0" borderId="1" xfId="0" applyNumberFormat="1" applyFont="1" applyBorder="1" applyAlignment="1">
      <alignment horizontal="center" vertical="top" wrapText="1"/>
    </xf>
    <xf numFmtId="2" fontId="41" fillId="0" borderId="1" xfId="0" applyNumberFormat="1" applyFont="1" applyBorder="1" applyAlignment="1">
      <alignment horizontal="left" vertical="center"/>
    </xf>
    <xf numFmtId="2" fontId="41" fillId="0" borderId="1" xfId="0" applyNumberFormat="1" applyFont="1" applyBorder="1" applyAlignment="1">
      <alignment horizontal="left" vertical="center" wrapText="1"/>
    </xf>
    <xf numFmtId="2" fontId="33" fillId="0" borderId="1" xfId="0" applyNumberFormat="1" applyFont="1" applyBorder="1" applyAlignment="1">
      <alignment horizontal="left" vertical="top" wrapText="1"/>
    </xf>
    <xf numFmtId="2" fontId="33" fillId="0" borderId="1" xfId="0" applyNumberFormat="1" applyFont="1" applyBorder="1" applyAlignment="1">
      <alignment horizontal="center" vertical="top"/>
    </xf>
    <xf numFmtId="2" fontId="41" fillId="15" borderId="1" xfId="0" applyNumberFormat="1" applyFont="1" applyFill="1" applyBorder="1" applyAlignment="1">
      <alignment horizontal="left" vertical="center"/>
    </xf>
    <xf numFmtId="2" fontId="41" fillId="15" borderId="1" xfId="0" applyNumberFormat="1" applyFont="1" applyFill="1" applyBorder="1" applyAlignment="1">
      <alignment horizontal="left" vertical="top"/>
    </xf>
    <xf numFmtId="2" fontId="8" fillId="0" borderId="0" xfId="0" applyNumberFormat="1" applyFont="1"/>
    <xf numFmtId="2" fontId="86" fillId="0" borderId="1" xfId="0" applyNumberFormat="1" applyFont="1" applyBorder="1" applyAlignment="1">
      <alignment horizontal="left" vertical="center"/>
    </xf>
    <xf numFmtId="2" fontId="86" fillId="15" borderId="1" xfId="0" applyNumberFormat="1" applyFont="1" applyFill="1" applyBorder="1" applyAlignment="1">
      <alignment horizontal="left" vertical="top"/>
    </xf>
    <xf numFmtId="2" fontId="88" fillId="0" borderId="1" xfId="0" applyNumberFormat="1" applyFont="1" applyBorder="1" applyAlignment="1">
      <alignment horizontal="center" vertical="top"/>
    </xf>
    <xf numFmtId="2" fontId="56" fillId="0" borderId="1" xfId="0" applyNumberFormat="1" applyFont="1" applyBorder="1" applyAlignment="1">
      <alignment horizontal="left" vertical="center" wrapText="1"/>
    </xf>
    <xf numFmtId="2" fontId="33" fillId="0" borderId="1" xfId="0" applyNumberFormat="1" applyFont="1" applyBorder="1" applyAlignment="1">
      <alignment horizontal="left" vertical="center" wrapText="1"/>
    </xf>
    <xf numFmtId="2" fontId="56" fillId="0" borderId="1" xfId="0" applyNumberFormat="1" applyFont="1" applyBorder="1" applyAlignment="1">
      <alignment horizontal="center" vertical="center" wrapText="1"/>
    </xf>
    <xf numFmtId="2" fontId="55" fillId="0" borderId="0" xfId="0" applyNumberFormat="1" applyFont="1"/>
    <xf numFmtId="2" fontId="86" fillId="15" borderId="1" xfId="0" applyNumberFormat="1" applyFont="1" applyFill="1" applyBorder="1" applyAlignment="1">
      <alignment horizontal="left" vertical="center" wrapText="1"/>
    </xf>
    <xf numFmtId="2" fontId="62" fillId="0" borderId="1" xfId="0" applyNumberFormat="1" applyFont="1" applyBorder="1" applyAlignment="1">
      <alignment horizontal="left" vertical="center" wrapText="1"/>
    </xf>
    <xf numFmtId="2" fontId="62" fillId="0" borderId="1" xfId="0" applyNumberFormat="1" applyFont="1" applyBorder="1" applyAlignment="1">
      <alignment horizontal="center" vertical="center" wrapText="1"/>
    </xf>
    <xf numFmtId="2" fontId="62" fillId="0" borderId="0" xfId="0" applyNumberFormat="1" applyFont="1" applyAlignment="1">
      <alignment horizontal="center" vertical="center" wrapText="1"/>
    </xf>
    <xf numFmtId="2" fontId="41" fillId="0" borderId="1" xfId="0" applyNumberFormat="1" applyFont="1" applyBorder="1" applyAlignment="1">
      <alignment horizontal="left" vertical="top"/>
    </xf>
    <xf numFmtId="2" fontId="66" fillId="0" borderId="1" xfId="0" applyNumberFormat="1" applyFont="1" applyBorder="1" applyAlignment="1">
      <alignment horizontal="left" vertical="center" wrapText="1"/>
    </xf>
    <xf numFmtId="2" fontId="89" fillId="0" borderId="1" xfId="0" applyNumberFormat="1" applyFont="1" applyBorder="1" applyAlignment="1">
      <alignment horizontal="left" vertical="center"/>
    </xf>
    <xf numFmtId="2" fontId="89" fillId="0" borderId="1" xfId="0" applyNumberFormat="1" applyFont="1" applyBorder="1" applyAlignment="1">
      <alignment horizontal="center" vertical="top"/>
    </xf>
    <xf numFmtId="2" fontId="89" fillId="0" borderId="1" xfId="0" applyNumberFormat="1" applyFont="1" applyBorder="1" applyAlignment="1">
      <alignment vertical="top"/>
    </xf>
    <xf numFmtId="2" fontId="41" fillId="0" borderId="1" xfId="0" applyNumberFormat="1" applyFont="1" applyBorder="1" applyAlignment="1">
      <alignment horizontal="left" vertical="top" wrapText="1"/>
    </xf>
    <xf numFmtId="2" fontId="88" fillId="0" borderId="1" xfId="0" applyNumberFormat="1" applyFont="1" applyBorder="1" applyAlignment="1">
      <alignment horizontal="center" vertical="center" wrapText="1"/>
    </xf>
    <xf numFmtId="2" fontId="88" fillId="0" borderId="1" xfId="0" applyNumberFormat="1" applyFont="1" applyBorder="1" applyAlignment="1">
      <alignment horizontal="left" vertical="center" wrapText="1"/>
    </xf>
    <xf numFmtId="2" fontId="56" fillId="0" borderId="1" xfId="0" applyNumberFormat="1" applyFont="1" applyBorder="1" applyAlignment="1">
      <alignment horizontal="left" vertical="top" wrapText="1"/>
    </xf>
    <xf numFmtId="2" fontId="41" fillId="0" borderId="0" xfId="0" applyNumberFormat="1" applyFont="1" applyAlignment="1">
      <alignment horizontal="left" vertical="center" wrapText="1"/>
    </xf>
    <xf numFmtId="2" fontId="86" fillId="0" borderId="1" xfId="0" applyNumberFormat="1" applyFont="1" applyBorder="1" applyAlignment="1">
      <alignment horizontal="center" vertical="center" wrapText="1"/>
    </xf>
    <xf numFmtId="2" fontId="86" fillId="0" borderId="1" xfId="0" applyNumberFormat="1" applyFont="1" applyBorder="1" applyAlignment="1">
      <alignment horizontal="left" vertical="center" wrapText="1"/>
    </xf>
    <xf numFmtId="2" fontId="33" fillId="0" borderId="1" xfId="0" applyNumberFormat="1" applyFont="1" applyBorder="1" applyAlignment="1">
      <alignment horizontal="center" vertical="center"/>
    </xf>
    <xf numFmtId="2" fontId="33" fillId="0" borderId="1" xfId="0" applyNumberFormat="1" applyFont="1" applyBorder="1" applyAlignment="1">
      <alignment horizontal="left" vertical="center"/>
    </xf>
    <xf numFmtId="2" fontId="33" fillId="0" borderId="1" xfId="0" applyNumberFormat="1" applyFont="1" applyBorder="1" applyAlignment="1">
      <alignment horizontal="left" vertical="top"/>
    </xf>
    <xf numFmtId="2" fontId="33" fillId="0" borderId="1" xfId="0" applyNumberFormat="1" applyFont="1" applyBorder="1" applyAlignment="1">
      <alignment horizontal="center" vertical="top" wrapText="1"/>
    </xf>
    <xf numFmtId="2" fontId="0" fillId="0" borderId="0" xfId="0" applyNumberFormat="1" applyAlignment="1">
      <alignment vertical="center"/>
    </xf>
    <xf numFmtId="2" fontId="90" fillId="31" borderId="1" xfId="0" applyNumberFormat="1" applyFont="1" applyFill="1" applyBorder="1" applyAlignment="1">
      <alignment horizontal="center" vertical="center"/>
    </xf>
    <xf numFmtId="2" fontId="91" fillId="31" borderId="1" xfId="0" applyNumberFormat="1" applyFont="1" applyFill="1" applyBorder="1" applyAlignment="1">
      <alignment horizontal="left" vertical="center"/>
    </xf>
    <xf numFmtId="2" fontId="49" fillId="31" borderId="1" xfId="0" applyNumberFormat="1" applyFont="1" applyFill="1" applyBorder="1" applyAlignment="1">
      <alignment horizontal="left" vertical="center" wrapText="1"/>
    </xf>
    <xf numFmtId="2" fontId="49" fillId="31" borderId="1" xfId="0" applyNumberFormat="1" applyFont="1" applyFill="1" applyBorder="1" applyAlignment="1">
      <alignment horizontal="left" vertical="center"/>
    </xf>
    <xf numFmtId="166" fontId="92" fillId="31" borderId="1" xfId="0" applyNumberFormat="1" applyFont="1" applyFill="1" applyBorder="1" applyAlignment="1">
      <alignment horizontal="center" vertical="center"/>
    </xf>
    <xf numFmtId="2" fontId="88" fillId="0" borderId="1" xfId="0" applyNumberFormat="1" applyFont="1" applyBorder="1" applyAlignment="1">
      <alignment horizontal="center" vertical="center"/>
    </xf>
    <xf numFmtId="2" fontId="88" fillId="0" borderId="1" xfId="0" applyNumberFormat="1" applyFont="1" applyBorder="1" applyAlignment="1">
      <alignment vertical="center"/>
    </xf>
    <xf numFmtId="2" fontId="36" fillId="0" borderId="0" xfId="0" applyNumberFormat="1" applyFont="1" applyAlignment="1">
      <alignment vertical="center"/>
    </xf>
    <xf numFmtId="2" fontId="90" fillId="32" borderId="1" xfId="0" applyNumberFormat="1" applyFont="1" applyFill="1" applyBorder="1" applyAlignment="1">
      <alignment horizontal="center" vertical="center"/>
    </xf>
    <xf numFmtId="2" fontId="91" fillId="32" borderId="1" xfId="0" applyNumberFormat="1" applyFont="1" applyFill="1" applyBorder="1" applyAlignment="1">
      <alignment horizontal="left" vertical="center"/>
    </xf>
    <xf numFmtId="2" fontId="49" fillId="32" borderId="1" xfId="0" applyNumberFormat="1" applyFont="1" applyFill="1" applyBorder="1" applyAlignment="1">
      <alignment horizontal="left" vertical="center" wrapText="1"/>
    </xf>
    <xf numFmtId="2" fontId="49" fillId="32" borderId="1" xfId="0" applyNumberFormat="1" applyFont="1" applyFill="1" applyBorder="1" applyAlignment="1">
      <alignment horizontal="left" vertical="center"/>
    </xf>
    <xf numFmtId="166" fontId="92" fillId="32" borderId="1" xfId="0" applyNumberFormat="1" applyFont="1" applyFill="1" applyBorder="1" applyAlignment="1">
      <alignment horizontal="center" vertical="center"/>
    </xf>
    <xf numFmtId="2" fontId="92" fillId="32" borderId="1" xfId="0" applyNumberFormat="1" applyFont="1" applyFill="1" applyBorder="1" applyAlignment="1">
      <alignment horizontal="center" vertical="center"/>
    </xf>
    <xf numFmtId="2" fontId="62" fillId="3" borderId="1" xfId="0" applyNumberFormat="1" applyFont="1" applyFill="1" applyBorder="1" applyAlignment="1">
      <alignment horizontal="center" vertical="center" wrapText="1"/>
    </xf>
    <xf numFmtId="2" fontId="0" fillId="0" borderId="1" xfId="0" applyNumberFormat="1" applyBorder="1" applyAlignment="1">
      <alignment horizontal="center" vertical="top"/>
    </xf>
    <xf numFmtId="2" fontId="62" fillId="33" borderId="1" xfId="0" applyNumberFormat="1" applyFont="1" applyFill="1" applyBorder="1" applyAlignment="1">
      <alignment horizontal="center" vertical="center" wrapText="1"/>
    </xf>
    <xf numFmtId="2" fontId="90" fillId="33" borderId="1" xfId="0" applyNumberFormat="1" applyFont="1" applyFill="1" applyBorder="1" applyAlignment="1">
      <alignment horizontal="left" vertical="center" wrapText="1"/>
    </xf>
    <xf numFmtId="2" fontId="62" fillId="33" borderId="1" xfId="0" applyNumberFormat="1" applyFont="1" applyFill="1" applyBorder="1" applyAlignment="1">
      <alignment horizontal="left" vertical="center" wrapText="1"/>
    </xf>
    <xf numFmtId="167" fontId="62" fillId="33" borderId="1" xfId="0" applyNumberFormat="1" applyFont="1" applyFill="1" applyBorder="1" applyAlignment="1">
      <alignment horizontal="center" vertical="center" wrapText="1"/>
    </xf>
    <xf numFmtId="167" fontId="62" fillId="0" borderId="1" xfId="0" applyNumberFormat="1" applyFont="1" applyBorder="1" applyAlignment="1">
      <alignment horizontal="center" vertical="center" wrapText="1"/>
    </xf>
    <xf numFmtId="2" fontId="93" fillId="0" borderId="5" xfId="0" applyNumberFormat="1" applyFont="1" applyBorder="1" applyAlignment="1">
      <alignment horizontal="left" vertical="center" wrapText="1"/>
    </xf>
    <xf numFmtId="2" fontId="52" fillId="0" borderId="1" xfId="0" applyNumberFormat="1" applyFont="1" applyBorder="1" applyAlignment="1">
      <alignment horizontal="center" vertical="center" wrapText="1"/>
    </xf>
    <xf numFmtId="2" fontId="62" fillId="3" borderId="1" xfId="0" applyNumberFormat="1" applyFont="1" applyFill="1" applyBorder="1" applyAlignment="1">
      <alignment vertical="center" wrapText="1"/>
    </xf>
    <xf numFmtId="2" fontId="0" fillId="0" borderId="1" xfId="0" applyNumberFormat="1" applyBorder="1" applyAlignment="1">
      <alignment horizontal="left" vertical="center"/>
    </xf>
    <xf numFmtId="2" fontId="88" fillId="0" borderId="1" xfId="0" applyNumberFormat="1" applyFont="1" applyBorder="1" applyAlignment="1">
      <alignment horizontal="left" vertical="center"/>
    </xf>
    <xf numFmtId="2" fontId="0" fillId="0" borderId="1" xfId="0" applyNumberFormat="1" applyBorder="1" applyAlignment="1">
      <alignment horizontal="left"/>
    </xf>
    <xf numFmtId="2" fontId="52" fillId="25" borderId="1" xfId="0" applyNumberFormat="1" applyFont="1" applyFill="1" applyBorder="1" applyAlignment="1">
      <alignment horizontal="center" vertical="center" wrapText="1"/>
    </xf>
    <xf numFmtId="2" fontId="88" fillId="25" borderId="1" xfId="0" applyNumberFormat="1" applyFont="1" applyFill="1" applyBorder="1" applyAlignment="1">
      <alignment vertical="center" wrapText="1"/>
    </xf>
    <xf numFmtId="2" fontId="52" fillId="25" borderId="1" xfId="0" applyNumberFormat="1" applyFont="1" applyFill="1" applyBorder="1" applyAlignment="1">
      <alignment vertical="center" wrapText="1"/>
    </xf>
    <xf numFmtId="167" fontId="52" fillId="25" borderId="1" xfId="0" applyNumberFormat="1" applyFont="1" applyFill="1" applyBorder="1" applyAlignment="1">
      <alignment horizontal="center" vertical="center" wrapText="1"/>
    </xf>
    <xf numFmtId="2" fontId="88" fillId="0" borderId="1" xfId="0" applyNumberFormat="1" applyFont="1" applyBorder="1" applyAlignment="1">
      <alignment vertical="center" wrapText="1"/>
    </xf>
    <xf numFmtId="2" fontId="52" fillId="0" borderId="1" xfId="0" applyNumberFormat="1" applyFont="1" applyBorder="1" applyAlignment="1">
      <alignment vertical="center" wrapText="1"/>
    </xf>
    <xf numFmtId="167" fontId="52" fillId="0" borderId="1" xfId="0" applyNumberFormat="1" applyFont="1" applyBorder="1" applyAlignment="1">
      <alignment horizontal="center" vertical="center" wrapText="1"/>
    </xf>
    <xf numFmtId="0" fontId="62" fillId="14" borderId="4" xfId="0" applyFont="1" applyFill="1" applyBorder="1" applyAlignment="1">
      <alignment horizontal="center" vertical="center" wrapText="1"/>
    </xf>
    <xf numFmtId="0" fontId="62" fillId="14" borderId="1" xfId="0" applyFont="1" applyFill="1" applyBorder="1" applyAlignment="1">
      <alignment vertical="center" wrapText="1"/>
    </xf>
    <xf numFmtId="0" fontId="62" fillId="14" borderId="1" xfId="0" applyFont="1" applyFill="1" applyBorder="1" applyAlignment="1">
      <alignment horizontal="center" vertical="center" wrapText="1"/>
    </xf>
    <xf numFmtId="0" fontId="62" fillId="14" borderId="3" xfId="0" applyFont="1" applyFill="1" applyBorder="1" applyAlignment="1">
      <alignment vertical="center" wrapText="1"/>
    </xf>
    <xf numFmtId="0" fontId="56" fillId="0" borderId="4" xfId="0" applyFont="1" applyBorder="1" applyAlignment="1">
      <alignment horizontal="center" vertical="center" wrapText="1"/>
    </xf>
    <xf numFmtId="0" fontId="56" fillId="0" borderId="24" xfId="0" applyFont="1" applyBorder="1" applyAlignment="1">
      <alignment vertical="center" wrapText="1"/>
    </xf>
    <xf numFmtId="2" fontId="3" fillId="0" borderId="1" xfId="0" applyNumberFormat="1" applyFont="1" applyBorder="1" applyAlignment="1">
      <alignment horizontal="center" vertical="center" wrapText="1"/>
    </xf>
    <xf numFmtId="0" fontId="56" fillId="0" borderId="24" xfId="0" applyFont="1" applyBorder="1" applyAlignment="1">
      <alignment horizontal="left" vertical="center" wrapText="1"/>
    </xf>
    <xf numFmtId="0" fontId="62" fillId="0" borderId="4" xfId="0" applyFont="1" applyBorder="1" applyAlignment="1">
      <alignment horizontal="center" vertical="center" wrapText="1"/>
    </xf>
    <xf numFmtId="0" fontId="62" fillId="0" borderId="24" xfId="0" applyFont="1" applyBorder="1" applyAlignment="1">
      <alignment vertical="center" wrapText="1"/>
    </xf>
    <xf numFmtId="0" fontId="62" fillId="0" borderId="1" xfId="0" applyFont="1" applyBorder="1" applyAlignment="1">
      <alignment horizontal="center" vertical="center" wrapText="1"/>
    </xf>
    <xf numFmtId="0" fontId="62" fillId="32" borderId="1" xfId="0" applyFont="1" applyFill="1" applyBorder="1" applyAlignment="1">
      <alignment horizontal="center" vertical="center" wrapText="1"/>
    </xf>
    <xf numFmtId="0" fontId="62" fillId="32" borderId="4" xfId="0" applyFont="1" applyFill="1" applyBorder="1" applyAlignment="1">
      <alignment horizontal="center" vertical="center" wrapText="1"/>
    </xf>
    <xf numFmtId="0" fontId="62" fillId="32" borderId="24" xfId="0" applyFont="1" applyFill="1" applyBorder="1" applyAlignment="1">
      <alignment vertical="center" wrapText="1"/>
    </xf>
    <xf numFmtId="0" fontId="62" fillId="32" borderId="1" xfId="0" applyFont="1" applyFill="1" applyBorder="1" applyAlignment="1">
      <alignment vertical="center" wrapText="1"/>
    </xf>
    <xf numFmtId="10" fontId="56" fillId="0" borderId="1" xfId="0" applyNumberFormat="1" applyFont="1" applyBorder="1" applyAlignment="1">
      <alignment horizontal="center" vertical="center" wrapText="1"/>
    </xf>
    <xf numFmtId="0" fontId="44" fillId="0" borderId="1" xfId="0" applyFont="1" applyBorder="1" applyAlignment="1">
      <alignment vertical="center"/>
    </xf>
    <xf numFmtId="2" fontId="88" fillId="25" borderId="1" xfId="0" applyNumberFormat="1" applyFont="1" applyFill="1" applyBorder="1" applyAlignment="1">
      <alignment horizontal="center" vertical="center" wrapText="1"/>
    </xf>
    <xf numFmtId="0" fontId="44" fillId="0" borderId="0" xfId="0" applyFont="1" applyAlignment="1">
      <alignment vertical="center"/>
    </xf>
    <xf numFmtId="0" fontId="62" fillId="0" borderId="1" xfId="0" applyFont="1" applyBorder="1" applyAlignment="1">
      <alignment horizontal="left" vertical="center" wrapText="1"/>
    </xf>
    <xf numFmtId="0" fontId="44" fillId="0" borderId="1" xfId="0" applyFont="1" applyBorder="1" applyAlignment="1">
      <alignment horizontal="center" vertical="center" wrapText="1"/>
    </xf>
    <xf numFmtId="167" fontId="56" fillId="0" borderId="1" xfId="0" applyNumberFormat="1" applyFont="1" applyBorder="1" applyAlignment="1">
      <alignment horizontal="center" vertical="center" wrapText="1"/>
    </xf>
    <xf numFmtId="169" fontId="56" fillId="0" borderId="1" xfId="0" applyNumberFormat="1" applyFont="1" applyBorder="1" applyAlignment="1">
      <alignment horizontal="center" vertical="center" wrapText="1"/>
    </xf>
    <xf numFmtId="0" fontId="42" fillId="0" borderId="1" xfId="0" applyFont="1" applyBorder="1" applyAlignment="1">
      <alignment horizontal="center" vertical="center" wrapText="1"/>
    </xf>
    <xf numFmtId="1" fontId="62" fillId="0" borderId="1" xfId="0" applyNumberFormat="1" applyFont="1" applyBorder="1" applyAlignment="1">
      <alignment horizontal="center" vertical="center" wrapText="1"/>
    </xf>
    <xf numFmtId="0" fontId="94" fillId="0" borderId="0" xfId="0" applyFont="1" applyAlignment="1">
      <alignment vertical="center"/>
    </xf>
    <xf numFmtId="0" fontId="95" fillId="0" borderId="1" xfId="0" applyFont="1" applyBorder="1" applyAlignment="1">
      <alignment horizontal="center" vertical="center" wrapText="1"/>
    </xf>
    <xf numFmtId="0" fontId="95" fillId="0" borderId="1" xfId="0" applyFont="1" applyBorder="1" applyAlignment="1">
      <alignment horizontal="left" vertical="center" wrapText="1" indent="1"/>
    </xf>
    <xf numFmtId="1" fontId="56" fillId="0" borderId="1" xfId="0" applyNumberFormat="1" applyFont="1" applyBorder="1" applyAlignment="1">
      <alignment horizontal="center" vertical="center" wrapText="1"/>
    </xf>
    <xf numFmtId="167" fontId="56" fillId="0" borderId="1" xfId="0" applyNumberFormat="1" applyFont="1" applyBorder="1" applyAlignment="1">
      <alignment horizontal="left" vertical="center" wrapText="1"/>
    </xf>
    <xf numFmtId="167" fontId="56" fillId="14" borderId="1" xfId="0" applyNumberFormat="1" applyFont="1" applyFill="1" applyBorder="1" applyAlignment="1">
      <alignment horizontal="center" vertical="center" wrapText="1"/>
    </xf>
    <xf numFmtId="169" fontId="56" fillId="14" borderId="1" xfId="0" applyNumberFormat="1" applyFont="1" applyFill="1" applyBorder="1" applyAlignment="1">
      <alignment horizontal="center" vertical="center" wrapText="1"/>
    </xf>
    <xf numFmtId="0" fontId="56" fillId="14" borderId="1" xfId="0" applyFont="1" applyFill="1" applyBorder="1" applyAlignment="1">
      <alignment horizontal="center" vertical="center" wrapText="1"/>
    </xf>
    <xf numFmtId="0" fontId="56" fillId="14" borderId="1" xfId="0" applyFont="1" applyFill="1" applyBorder="1" applyAlignment="1">
      <alignment horizontal="left" vertical="center" wrapText="1"/>
    </xf>
    <xf numFmtId="0" fontId="44" fillId="14" borderId="1" xfId="0" applyFont="1" applyFill="1" applyBorder="1" applyAlignment="1">
      <alignment horizontal="center" vertical="center" wrapText="1"/>
    </xf>
    <xf numFmtId="0" fontId="62" fillId="29" borderId="1" xfId="0" applyFont="1" applyFill="1" applyBorder="1" applyAlignment="1">
      <alignment horizontal="center" vertical="center" wrapText="1"/>
    </xf>
    <xf numFmtId="0" fontId="62" fillId="29" borderId="1" xfId="0" applyFont="1" applyFill="1" applyBorder="1" applyAlignment="1">
      <alignment horizontal="left" vertical="center" wrapText="1"/>
    </xf>
    <xf numFmtId="0" fontId="42" fillId="29" borderId="1" xfId="0" applyFont="1" applyFill="1" applyBorder="1" applyAlignment="1">
      <alignment horizontal="center" vertical="center" wrapText="1"/>
    </xf>
    <xf numFmtId="169" fontId="62" fillId="29" borderId="1" xfId="0" applyNumberFormat="1" applyFont="1" applyFill="1" applyBorder="1" applyAlignment="1">
      <alignment horizontal="center" vertical="center" wrapText="1"/>
    </xf>
    <xf numFmtId="167" fontId="62" fillId="29" borderId="1" xfId="0" applyNumberFormat="1" applyFont="1" applyFill="1" applyBorder="1" applyAlignment="1">
      <alignment horizontal="center" vertical="center" wrapText="1"/>
    </xf>
    <xf numFmtId="0" fontId="56" fillId="0" borderId="0" xfId="0" applyFont="1" applyAlignment="1">
      <alignment horizontal="center" vertical="center" wrapText="1"/>
    </xf>
    <xf numFmtId="0" fontId="56" fillId="0" borderId="0" xfId="0" applyFont="1" applyAlignment="1">
      <alignment horizontal="left" vertical="center" wrapText="1"/>
    </xf>
    <xf numFmtId="169" fontId="56" fillId="0" borderId="0" xfId="0" applyNumberFormat="1" applyFont="1" applyAlignment="1">
      <alignment horizontal="center" vertical="center" wrapText="1"/>
    </xf>
    <xf numFmtId="167" fontId="56" fillId="0" borderId="0" xfId="0" applyNumberFormat="1" applyFont="1" applyAlignment="1">
      <alignment horizontal="center" vertical="center" wrapText="1"/>
    </xf>
    <xf numFmtId="0" fontId="42" fillId="0" borderId="0" xfId="0" applyFont="1" applyAlignment="1">
      <alignment horizontal="center" vertical="center" wrapText="1"/>
    </xf>
    <xf numFmtId="0" fontId="42" fillId="0" borderId="44" xfId="0" applyFont="1" applyBorder="1" applyAlignment="1">
      <alignment horizontal="right" vertical="center"/>
    </xf>
    <xf numFmtId="0" fontId="42" fillId="0" borderId="0" xfId="0" applyFont="1" applyAlignment="1">
      <alignment horizontal="right" vertical="center"/>
    </xf>
    <xf numFmtId="0" fontId="42" fillId="0" borderId="44" xfId="0" applyFont="1" applyBorder="1" applyAlignment="1">
      <alignment horizontal="center" vertical="center"/>
    </xf>
    <xf numFmtId="0" fontId="42" fillId="0" borderId="0" xfId="0" applyFont="1" applyAlignment="1">
      <alignment vertical="center"/>
    </xf>
    <xf numFmtId="0" fontId="42" fillId="0" borderId="0" xfId="0" applyFont="1" applyAlignment="1">
      <alignment horizontal="center" vertical="center"/>
    </xf>
    <xf numFmtId="0" fontId="42" fillId="0" borderId="0" xfId="0" applyFont="1" applyAlignment="1">
      <alignment horizontal="left" vertical="center"/>
    </xf>
    <xf numFmtId="0" fontId="44" fillId="0" borderId="46" xfId="0" applyFont="1" applyBorder="1" applyAlignment="1">
      <alignment horizontal="center" vertical="center"/>
    </xf>
    <xf numFmtId="0" fontId="44" fillId="0" borderId="47" xfId="0" applyFont="1" applyBorder="1" applyAlignment="1">
      <alignment vertical="center"/>
    </xf>
    <xf numFmtId="0" fontId="44" fillId="0" borderId="47" xfId="0" applyFont="1" applyBorder="1" applyAlignment="1">
      <alignment horizontal="center" vertical="center"/>
    </xf>
    <xf numFmtId="0" fontId="96" fillId="0" borderId="0" xfId="0" applyFont="1" applyAlignment="1">
      <alignment vertical="center" wrapText="1"/>
    </xf>
    <xf numFmtId="0" fontId="0" fillId="0" borderId="0" xfId="0" applyAlignment="1">
      <alignment horizontal="center"/>
    </xf>
    <xf numFmtId="0" fontId="97" fillId="30" borderId="1" xfId="0" applyFont="1" applyFill="1" applyBorder="1" applyAlignment="1">
      <alignment horizontal="center" vertical="center"/>
    </xf>
    <xf numFmtId="0" fontId="89" fillId="0" borderId="2" xfId="0" applyFont="1" applyBorder="1" applyAlignment="1">
      <alignment horizontal="left" vertical="center"/>
    </xf>
    <xf numFmtId="0" fontId="89" fillId="0" borderId="4" xfId="0" applyFont="1" applyBorder="1" applyAlignment="1">
      <alignment horizontal="left" vertical="center"/>
    </xf>
    <xf numFmtId="0" fontId="70" fillId="0" borderId="2" xfId="0" applyFont="1" applyBorder="1" applyAlignment="1">
      <alignment horizontal="center" vertical="center"/>
    </xf>
    <xf numFmtId="0" fontId="70" fillId="0" borderId="3" xfId="0" applyFont="1" applyBorder="1" applyAlignment="1">
      <alignment horizontal="center" vertical="center"/>
    </xf>
    <xf numFmtId="0" fontId="70" fillId="0" borderId="4" xfId="0" applyFont="1" applyBorder="1" applyAlignment="1">
      <alignment horizontal="center" vertical="center"/>
    </xf>
    <xf numFmtId="0" fontId="86" fillId="0" borderId="2" xfId="0" applyFont="1" applyBorder="1" applyAlignment="1">
      <alignment horizontal="left" vertical="center" wrapText="1"/>
    </xf>
    <xf numFmtId="0" fontId="86" fillId="0" borderId="3" xfId="0" applyFont="1" applyBorder="1" applyAlignment="1">
      <alignment horizontal="left" vertical="center" wrapText="1"/>
    </xf>
    <xf numFmtId="0" fontId="86" fillId="0" borderId="4" xfId="0" applyFont="1" applyBorder="1" applyAlignment="1">
      <alignment horizontal="left" vertical="center" wrapText="1"/>
    </xf>
    <xf numFmtId="0" fontId="39" fillId="17" borderId="1" xfId="0" applyFont="1" applyFill="1" applyBorder="1" applyAlignment="1">
      <alignment horizontal="center" vertical="top" wrapText="1"/>
    </xf>
    <xf numFmtId="0" fontId="39" fillId="3" borderId="1" xfId="0" applyFont="1" applyFill="1" applyBorder="1" applyAlignment="1">
      <alignment horizontal="left" vertical="center"/>
    </xf>
    <xf numFmtId="0" fontId="36" fillId="0" borderId="1" xfId="0" applyFont="1" applyBorder="1" applyAlignment="1">
      <alignment horizontal="left" vertical="center"/>
    </xf>
    <xf numFmtId="2" fontId="36" fillId="0" borderId="1" xfId="0" applyNumberFormat="1" applyFont="1" applyBorder="1" applyAlignment="1">
      <alignment horizontal="center" vertical="center"/>
    </xf>
    <xf numFmtId="0" fontId="44" fillId="0" borderId="1" xfId="0" applyFont="1" applyBorder="1" applyAlignment="1">
      <alignment vertical="center" wrapText="1"/>
    </xf>
    <xf numFmtId="0" fontId="38" fillId="8" borderId="1" xfId="0" applyFont="1" applyFill="1" applyBorder="1" applyAlignment="1">
      <alignment vertical="center" wrapText="1"/>
    </xf>
    <xf numFmtId="0" fontId="36" fillId="8" borderId="1" xfId="0" applyFont="1" applyFill="1" applyBorder="1" applyAlignment="1">
      <alignment horizontal="left" vertical="center"/>
    </xf>
    <xf numFmtId="2" fontId="36" fillId="8" borderId="1" xfId="0" applyNumberFormat="1" applyFont="1" applyFill="1" applyBorder="1" applyAlignment="1">
      <alignment horizontal="center" vertical="center"/>
    </xf>
    <xf numFmtId="2" fontId="0" fillId="8" borderId="1" xfId="0" applyNumberFormat="1" applyFill="1" applyBorder="1" applyAlignment="1">
      <alignment horizontal="center"/>
    </xf>
    <xf numFmtId="0" fontId="36" fillId="17" borderId="1" xfId="0" applyFont="1" applyFill="1" applyBorder="1" applyAlignment="1">
      <alignment horizontal="center" vertical="center"/>
    </xf>
    <xf numFmtId="0" fontId="38" fillId="17" borderId="1" xfId="0" applyFont="1" applyFill="1" applyBorder="1" applyAlignment="1">
      <alignment vertical="center" wrapText="1"/>
    </xf>
    <xf numFmtId="0" fontId="36" fillId="17" borderId="1" xfId="0" applyFont="1" applyFill="1" applyBorder="1" applyAlignment="1">
      <alignment horizontal="left" vertical="center"/>
    </xf>
    <xf numFmtId="2" fontId="36" fillId="17" borderId="1" xfId="0" applyNumberFormat="1" applyFont="1" applyFill="1" applyBorder="1" applyAlignment="1">
      <alignment horizontal="center" vertical="center"/>
    </xf>
    <xf numFmtId="0" fontId="36" fillId="17" borderId="1" xfId="0" applyFont="1" applyFill="1" applyBorder="1" applyAlignment="1">
      <alignment horizontal="left" vertical="center" wrapText="1"/>
    </xf>
    <xf numFmtId="0" fontId="39" fillId="17" borderId="1" xfId="0" applyFont="1" applyFill="1" applyBorder="1" applyAlignment="1">
      <alignment horizontal="center" vertical="center"/>
    </xf>
    <xf numFmtId="0" fontId="39" fillId="17" borderId="1" xfId="0" applyFont="1" applyFill="1" applyBorder="1" applyAlignment="1">
      <alignment horizontal="left" vertical="center"/>
    </xf>
    <xf numFmtId="2" fontId="39" fillId="17" borderId="1" xfId="0" applyNumberFormat="1" applyFont="1" applyFill="1" applyBorder="1" applyAlignment="1">
      <alignment horizontal="center" vertical="center"/>
    </xf>
    <xf numFmtId="0" fontId="0" fillId="0" borderId="0" xfId="0" applyAlignment="1">
      <alignment wrapText="1"/>
    </xf>
    <xf numFmtId="0" fontId="8" fillId="0" borderId="1" xfId="0" applyFont="1" applyBorder="1" applyAlignment="1">
      <alignment horizontal="center"/>
    </xf>
    <xf numFmtId="0" fontId="8" fillId="0" borderId="5" xfId="0" applyFont="1" applyBorder="1" applyAlignment="1">
      <alignment horizontal="center"/>
    </xf>
    <xf numFmtId="166" fontId="0" fillId="0" borderId="0" xfId="0" applyNumberFormat="1"/>
    <xf numFmtId="0" fontId="8" fillId="34" borderId="1" xfId="0" applyFont="1" applyFill="1" applyBorder="1" applyAlignment="1">
      <alignment horizontal="center" vertical="center"/>
    </xf>
    <xf numFmtId="0" fontId="8" fillId="34" borderId="2" xfId="0" applyFont="1" applyFill="1" applyBorder="1" applyAlignment="1">
      <alignment horizontal="center"/>
    </xf>
    <xf numFmtId="0" fontId="8" fillId="34" borderId="3" xfId="0" applyFont="1" applyFill="1" applyBorder="1" applyAlignment="1">
      <alignment horizontal="center"/>
    </xf>
    <xf numFmtId="0" fontId="8" fillId="34" borderId="4" xfId="0" applyFont="1" applyFill="1" applyBorder="1" applyAlignment="1">
      <alignment horizontal="center"/>
    </xf>
    <xf numFmtId="0" fontId="8" fillId="0" borderId="1" xfId="0" applyFont="1" applyBorder="1" applyAlignment="1">
      <alignment horizontal="right"/>
    </xf>
    <xf numFmtId="166" fontId="8" fillId="0" borderId="1" xfId="0" applyNumberFormat="1" applyFont="1" applyBorder="1"/>
    <xf numFmtId="0" fontId="8" fillId="0" borderId="1" xfId="0" applyFont="1" applyBorder="1"/>
    <xf numFmtId="0" fontId="8" fillId="34" borderId="1" xfId="0" applyFont="1" applyFill="1" applyBorder="1" applyAlignment="1">
      <alignment horizontal="center"/>
    </xf>
    <xf numFmtId="0" fontId="8" fillId="34" borderId="9" xfId="0" applyFont="1" applyFill="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169" fontId="0" fillId="0" borderId="1" xfId="0" applyNumberFormat="1" applyBorder="1" applyAlignment="1">
      <alignment horizontal="center"/>
    </xf>
    <xf numFmtId="172" fontId="0" fillId="0" borderId="1" xfId="0" applyNumberFormat="1" applyBorder="1" applyAlignment="1">
      <alignment horizontal="center"/>
    </xf>
    <xf numFmtId="173" fontId="0" fillId="0" borderId="1" xfId="0" applyNumberFormat="1" applyBorder="1" applyAlignment="1">
      <alignment horizontal="center"/>
    </xf>
    <xf numFmtId="170" fontId="0" fillId="0" borderId="1" xfId="0" applyNumberFormat="1" applyBorder="1" applyAlignment="1">
      <alignment horizontal="center"/>
    </xf>
    <xf numFmtId="2" fontId="0" fillId="0" borderId="0" xfId="0" applyNumberFormat="1" applyAlignment="1">
      <alignment horizontal="center"/>
    </xf>
    <xf numFmtId="0" fontId="8" fillId="34" borderId="1" xfId="0" applyFont="1" applyFill="1" applyBorder="1"/>
    <xf numFmtId="0" fontId="8" fillId="34" borderId="1" xfId="0" applyFont="1" applyFill="1" applyBorder="1" applyAlignment="1">
      <alignment horizontal="right"/>
    </xf>
    <xf numFmtId="2" fontId="8" fillId="0" borderId="1" xfId="0" applyNumberFormat="1" applyFont="1" applyBorder="1"/>
    <xf numFmtId="167" fontId="8" fillId="0" borderId="1" xfId="0" applyNumberFormat="1" applyFont="1" applyBorder="1"/>
    <xf numFmtId="0" fontId="0" fillId="34" borderId="1" xfId="0" applyFill="1" applyBorder="1" applyAlignment="1">
      <alignment horizontal="right"/>
    </xf>
    <xf numFmtId="174" fontId="0" fillId="34" borderId="1" xfId="0" applyNumberFormat="1" applyFill="1" applyBorder="1"/>
    <xf numFmtId="166" fontId="0" fillId="34" borderId="1" xfId="0" applyNumberFormat="1" applyFill="1" applyBorder="1"/>
    <xf numFmtId="0" fontId="0" fillId="34" borderId="1" xfId="0" applyFill="1" applyBorder="1"/>
    <xf numFmtId="1" fontId="0" fillId="34" borderId="1" xfId="0" applyNumberFormat="1" applyFill="1" applyBorder="1"/>
    <xf numFmtId="164" fontId="0" fillId="34" borderId="1" xfId="0" applyNumberFormat="1" applyFill="1" applyBorder="1"/>
    <xf numFmtId="175" fontId="0" fillId="0" borderId="0" xfId="0" applyNumberFormat="1"/>
    <xf numFmtId="0" fontId="8" fillId="14" borderId="2" xfId="0" applyFont="1" applyFill="1" applyBorder="1" applyAlignment="1">
      <alignment horizontal="center" vertical="center"/>
    </xf>
    <xf numFmtId="0" fontId="8" fillId="14" borderId="3" xfId="0" applyFont="1" applyFill="1" applyBorder="1" applyAlignment="1">
      <alignment horizontal="center" vertical="center"/>
    </xf>
    <xf numFmtId="0" fontId="8" fillId="14" borderId="4" xfId="0" applyFont="1" applyFill="1" applyBorder="1" applyAlignment="1">
      <alignment horizontal="center" vertical="center"/>
    </xf>
    <xf numFmtId="0" fontId="8" fillId="14" borderId="1" xfId="0" applyFont="1" applyFill="1" applyBorder="1" applyAlignment="1">
      <alignment horizontal="left"/>
    </xf>
    <xf numFmtId="0" fontId="8" fillId="14" borderId="2" xfId="0" applyFont="1" applyFill="1" applyBorder="1" applyAlignment="1">
      <alignment horizontal="left"/>
    </xf>
    <xf numFmtId="0" fontId="0" fillId="0" borderId="1" xfId="0" applyBorder="1" applyAlignment="1">
      <alignment horizontal="left"/>
    </xf>
    <xf numFmtId="0" fontId="0" fillId="0" borderId="2" xfId="0" applyBorder="1" applyAlignment="1">
      <alignment horizontal="left"/>
    </xf>
    <xf numFmtId="3" fontId="0" fillId="0" borderId="1" xfId="0" applyNumberFormat="1" applyBorder="1" applyAlignment="1">
      <alignment horizontal="center"/>
    </xf>
    <xf numFmtId="0" fontId="8" fillId="14" borderId="2" xfId="0" applyFont="1" applyFill="1" applyBorder="1" applyAlignment="1">
      <alignment horizontal="center"/>
    </xf>
    <xf numFmtId="0" fontId="8" fillId="14" borderId="3" xfId="0" applyFont="1" applyFill="1" applyBorder="1" applyAlignment="1">
      <alignment horizontal="center"/>
    </xf>
    <xf numFmtId="0" fontId="8" fillId="14" borderId="4" xfId="0" applyFont="1" applyFill="1" applyBorder="1" applyAlignment="1">
      <alignment horizontal="center"/>
    </xf>
    <xf numFmtId="0" fontId="8" fillId="0" borderId="2" xfId="0" applyFont="1" applyBorder="1"/>
    <xf numFmtId="0" fontId="0" fillId="13" borderId="1" xfId="0" applyFill="1" applyBorder="1"/>
    <xf numFmtId="0" fontId="0" fillId="0" borderId="1" xfId="0" applyBorder="1" applyAlignment="1">
      <alignment horizontal="left" wrapText="1"/>
    </xf>
    <xf numFmtId="0" fontId="98" fillId="0" borderId="0" xfId="0" applyFont="1" applyAlignment="1">
      <alignment horizontal="center" vertical="center" wrapText="1"/>
    </xf>
    <xf numFmtId="0" fontId="8" fillId="0" borderId="1" xfId="0" applyFont="1" applyBorder="1" applyAlignment="1">
      <alignment horizontal="left" vertical="center"/>
    </xf>
    <xf numFmtId="2" fontId="99" fillId="30" borderId="10" xfId="0" applyNumberFormat="1" applyFont="1" applyFill="1" applyBorder="1" applyAlignment="1">
      <alignment horizontal="center" vertical="center"/>
    </xf>
    <xf numFmtId="2" fontId="99" fillId="30" borderId="0" xfId="0" applyNumberFormat="1" applyFont="1" applyFill="1" applyAlignment="1">
      <alignment horizontal="center" vertical="center"/>
    </xf>
    <xf numFmtId="0" fontId="84" fillId="0" borderId="1" xfId="0" applyFont="1" applyBorder="1" applyAlignment="1">
      <alignment horizontal="center" vertical="center" wrapText="1"/>
    </xf>
    <xf numFmtId="1" fontId="39" fillId="17" borderId="1" xfId="0" applyNumberFormat="1" applyFont="1" applyFill="1" applyBorder="1" applyAlignment="1">
      <alignment horizontal="center" vertical="center" wrapText="1"/>
    </xf>
    <xf numFmtId="2" fontId="39" fillId="17" borderId="1" xfId="0" applyNumberFormat="1" applyFont="1" applyFill="1" applyBorder="1" applyAlignment="1">
      <alignment horizontal="left" vertical="center" wrapText="1"/>
    </xf>
    <xf numFmtId="1" fontId="39" fillId="0" borderId="2" xfId="0" applyNumberFormat="1" applyFont="1" applyBorder="1" applyAlignment="1">
      <alignment horizontal="center" vertical="center" wrapText="1"/>
    </xf>
    <xf numFmtId="1" fontId="39" fillId="0" borderId="3" xfId="0" applyNumberFormat="1" applyFont="1" applyBorder="1" applyAlignment="1">
      <alignment horizontal="center" vertical="center" wrapText="1"/>
    </xf>
    <xf numFmtId="1" fontId="39" fillId="0" borderId="4" xfId="0" applyNumberFormat="1" applyFont="1" applyBorder="1" applyAlignment="1">
      <alignment horizontal="center" vertical="center" wrapText="1"/>
    </xf>
    <xf numFmtId="0" fontId="39" fillId="0" borderId="3" xfId="0" applyFont="1" applyBorder="1" applyAlignment="1">
      <alignment horizontal="left" vertical="center" wrapText="1"/>
    </xf>
    <xf numFmtId="164" fontId="36" fillId="0" borderId="1" xfId="0" applyNumberFormat="1" applyFont="1" applyBorder="1" applyAlignment="1">
      <alignment horizontal="center" vertical="center"/>
    </xf>
    <xf numFmtId="0" fontId="93" fillId="0" borderId="1" xfId="0" applyFont="1" applyBorder="1" applyAlignment="1">
      <alignment horizontal="center" vertical="center" wrapText="1"/>
    </xf>
    <xf numFmtId="0" fontId="36" fillId="0" borderId="2" xfId="0" applyFont="1" applyBorder="1" applyAlignment="1">
      <alignment horizontal="left" vertical="center" wrapText="1"/>
    </xf>
    <xf numFmtId="167" fontId="36" fillId="0" borderId="1" xfId="0" applyNumberFormat="1" applyFont="1" applyBorder="1" applyAlignment="1">
      <alignment horizontal="center" vertical="center" wrapText="1"/>
    </xf>
    <xf numFmtId="167" fontId="36" fillId="0" borderId="1" xfId="0" applyNumberFormat="1" applyFont="1" applyBorder="1" applyAlignment="1">
      <alignment horizontal="center" vertical="center"/>
    </xf>
    <xf numFmtId="1" fontId="36" fillId="0" borderId="1" xfId="0" applyNumberFormat="1" applyFont="1" applyBorder="1" applyAlignment="1">
      <alignment horizontal="center" vertical="center" wrapText="1"/>
    </xf>
    <xf numFmtId="1" fontId="39" fillId="0" borderId="1" xfId="0" applyNumberFormat="1" applyFont="1" applyBorder="1" applyAlignment="1">
      <alignment horizontal="center" vertical="center" wrapText="1"/>
    </xf>
    <xf numFmtId="2" fontId="39" fillId="0" borderId="1" xfId="0" applyNumberFormat="1" applyFont="1" applyBorder="1" applyAlignment="1">
      <alignment horizontal="left" vertical="center" wrapText="1"/>
    </xf>
    <xf numFmtId="1" fontId="39" fillId="35" borderId="1" xfId="0" applyNumberFormat="1" applyFont="1" applyFill="1" applyBorder="1" applyAlignment="1">
      <alignment horizontal="center" vertical="center" wrapText="1"/>
    </xf>
    <xf numFmtId="2" fontId="39" fillId="35" borderId="1" xfId="0" applyNumberFormat="1" applyFont="1" applyFill="1" applyBorder="1" applyAlignment="1">
      <alignment horizontal="left" vertical="center" wrapText="1"/>
    </xf>
    <xf numFmtId="2" fontId="39" fillId="35" borderId="1" xfId="0" applyNumberFormat="1" applyFont="1" applyFill="1" applyBorder="1" applyAlignment="1">
      <alignment horizontal="center" vertical="center" wrapText="1"/>
    </xf>
    <xf numFmtId="0" fontId="39" fillId="0" borderId="2" xfId="0" applyFont="1" applyBorder="1" applyAlignment="1">
      <alignment horizontal="center"/>
    </xf>
    <xf numFmtId="0" fontId="39" fillId="0" borderId="3" xfId="0" applyFont="1" applyBorder="1" applyAlignment="1">
      <alignment horizontal="center"/>
    </xf>
    <xf numFmtId="0" fontId="39" fillId="0" borderId="4" xfId="0" applyFont="1" applyBorder="1" applyAlignment="1">
      <alignment horizontal="center"/>
    </xf>
    <xf numFmtId="164" fontId="36" fillId="0" borderId="1" xfId="0" applyNumberFormat="1" applyFont="1" applyBorder="1" applyAlignment="1">
      <alignment horizontal="center" vertical="center" wrapText="1"/>
    </xf>
    <xf numFmtId="166" fontId="36" fillId="0" borderId="1" xfId="0" applyNumberFormat="1" applyFont="1" applyBorder="1" applyAlignment="1">
      <alignment horizontal="center" vertical="center" wrapText="1"/>
    </xf>
    <xf numFmtId="169" fontId="36" fillId="0" borderId="1" xfId="0" applyNumberFormat="1" applyFont="1" applyBorder="1" applyAlignment="1">
      <alignment horizontal="center" vertical="center" wrapText="1"/>
    </xf>
    <xf numFmtId="164" fontId="39" fillId="14" borderId="1" xfId="0" applyNumberFormat="1" applyFont="1" applyFill="1" applyBorder="1" applyAlignment="1">
      <alignment horizontal="center" vertical="center" wrapText="1"/>
    </xf>
    <xf numFmtId="0" fontId="66" fillId="36" borderId="3" xfId="0" applyFont="1" applyFill="1" applyBorder="1" applyAlignment="1">
      <alignment horizontal="center" vertical="center"/>
    </xf>
    <xf numFmtId="0" fontId="32" fillId="14" borderId="1" xfId="0" applyFont="1" applyFill="1" applyBorder="1" applyAlignment="1">
      <alignment horizontal="center" vertical="center"/>
    </xf>
    <xf numFmtId="0" fontId="42" fillId="14" borderId="2" xfId="0" applyFont="1" applyFill="1" applyBorder="1" applyAlignment="1">
      <alignment horizontal="left" vertical="center" wrapText="1"/>
    </xf>
    <xf numFmtId="0" fontId="42" fillId="14" borderId="3" xfId="0" applyFont="1" applyFill="1" applyBorder="1" applyAlignment="1">
      <alignment horizontal="left" vertical="center" wrapText="1"/>
    </xf>
    <xf numFmtId="0" fontId="42" fillId="14" borderId="4" xfId="0" applyFont="1" applyFill="1" applyBorder="1" applyAlignment="1">
      <alignment horizontal="left" vertical="center" wrapText="1"/>
    </xf>
    <xf numFmtId="0" fontId="50" fillId="8" borderId="1" xfId="0" applyFont="1" applyFill="1" applyBorder="1" applyAlignment="1">
      <alignment vertical="center"/>
    </xf>
    <xf numFmtId="0" fontId="32" fillId="8" borderId="1" xfId="0" applyFont="1" applyFill="1" applyBorder="1" applyAlignment="1">
      <alignment vertical="center"/>
    </xf>
    <xf numFmtId="2" fontId="32" fillId="8" borderId="1" xfId="0" applyNumberFormat="1" applyFont="1" applyFill="1" applyBorder="1" applyAlignment="1">
      <alignment horizontal="center" vertical="center"/>
    </xf>
    <xf numFmtId="2" fontId="36" fillId="8" borderId="1" xfId="0" applyNumberFormat="1" applyFont="1" applyFill="1" applyBorder="1" applyAlignment="1">
      <alignment horizontal="center"/>
    </xf>
    <xf numFmtId="0" fontId="44" fillId="8" borderId="1" xfId="0" applyFont="1" applyFill="1" applyBorder="1" applyAlignment="1">
      <alignment horizontal="left" vertical="center" wrapText="1"/>
    </xf>
    <xf numFmtId="167" fontId="36" fillId="8" borderId="1" xfId="0" applyNumberFormat="1" applyFont="1" applyFill="1" applyBorder="1" applyAlignment="1">
      <alignment horizontal="center"/>
    </xf>
    <xf numFmtId="0" fontId="42" fillId="29" borderId="1" xfId="0" applyFont="1" applyFill="1" applyBorder="1" applyAlignment="1">
      <alignment horizontal="left" vertical="center" wrapText="1"/>
    </xf>
    <xf numFmtId="0" fontId="0" fillId="29" borderId="1" xfId="0" applyFill="1" applyBorder="1"/>
    <xf numFmtId="0" fontId="8" fillId="29" borderId="1" xfId="0" applyFont="1" applyFill="1" applyBorder="1" applyAlignment="1">
      <alignment horizontal="center" vertical="center"/>
    </xf>
    <xf numFmtId="0" fontId="32" fillId="14" borderId="1" xfId="0" applyFont="1" applyFill="1" applyBorder="1" applyAlignment="1">
      <alignment vertical="center"/>
    </xf>
    <xf numFmtId="169" fontId="36" fillId="8" borderId="1" xfId="0" applyNumberFormat="1" applyFont="1" applyFill="1" applyBorder="1" applyAlignment="1">
      <alignment horizontal="center"/>
    </xf>
    <xf numFmtId="0" fontId="0" fillId="8" borderId="1" xfId="0" applyFill="1" applyBorder="1"/>
    <xf numFmtId="0" fontId="50" fillId="8" borderId="1" xfId="0" applyFont="1" applyFill="1" applyBorder="1" applyAlignment="1">
      <alignment vertical="center" wrapText="1"/>
    </xf>
    <xf numFmtId="0" fontId="50" fillId="8" borderId="1" xfId="0" applyFont="1" applyFill="1" applyBorder="1" applyAlignment="1">
      <alignment horizontal="center" vertical="center" wrapText="1"/>
    </xf>
    <xf numFmtId="2" fontId="36" fillId="0" borderId="44" xfId="0" applyNumberFormat="1" applyFont="1" applyBorder="1" applyAlignment="1">
      <alignment horizontal="left"/>
    </xf>
    <xf numFmtId="2" fontId="36" fillId="0" borderId="0" xfId="0" applyNumberFormat="1" applyFont="1" applyAlignment="1">
      <alignment horizontal="left"/>
    </xf>
    <xf numFmtId="2" fontId="36" fillId="3" borderId="0" xfId="0" applyNumberFormat="1" applyFont="1" applyFill="1"/>
    <xf numFmtId="2" fontId="36" fillId="0" borderId="18" xfId="0" applyNumberFormat="1" applyFont="1" applyBorder="1"/>
    <xf numFmtId="2" fontId="100" fillId="30" borderId="49" xfId="0" applyNumberFormat="1" applyFont="1" applyFill="1" applyBorder="1" applyAlignment="1">
      <alignment horizontal="center" vertical="center"/>
    </xf>
    <xf numFmtId="2" fontId="100" fillId="30" borderId="21" xfId="0" applyNumberFormat="1" applyFont="1" applyFill="1" applyBorder="1" applyAlignment="1">
      <alignment horizontal="center" vertical="center"/>
    </xf>
    <xf numFmtId="2" fontId="100" fillId="30" borderId="55" xfId="0" applyNumberFormat="1" applyFont="1" applyFill="1" applyBorder="1" applyAlignment="1">
      <alignment horizontal="center" vertical="center"/>
    </xf>
    <xf numFmtId="2" fontId="36" fillId="3" borderId="18" xfId="0" applyNumberFormat="1" applyFont="1" applyFill="1" applyBorder="1"/>
    <xf numFmtId="2" fontId="39" fillId="0" borderId="24" xfId="0" applyNumberFormat="1" applyFont="1" applyBorder="1" applyAlignment="1">
      <alignment horizontal="center"/>
    </xf>
    <xf numFmtId="2" fontId="36" fillId="0" borderId="3" xfId="0" applyNumberFormat="1" applyFont="1" applyBorder="1" applyAlignment="1">
      <alignment horizontal="center"/>
    </xf>
    <xf numFmtId="2" fontId="36" fillId="0" borderId="40" xfId="0" applyNumberFormat="1" applyFont="1" applyBorder="1" applyAlignment="1">
      <alignment horizontal="center"/>
    </xf>
    <xf numFmtId="2" fontId="39" fillId="0" borderId="3" xfId="0" applyNumberFormat="1" applyFont="1" applyBorder="1" applyAlignment="1">
      <alignment horizontal="left"/>
    </xf>
    <xf numFmtId="2" fontId="39" fillId="0" borderId="3" xfId="0" applyNumberFormat="1" applyFont="1" applyBorder="1" applyAlignment="1">
      <alignment horizontal="center" wrapText="1"/>
    </xf>
    <xf numFmtId="2" fontId="39" fillId="0" borderId="40" xfId="0" applyNumberFormat="1" applyFont="1" applyBorder="1" applyAlignment="1">
      <alignment horizontal="center" wrapText="1"/>
    </xf>
    <xf numFmtId="2" fontId="101" fillId="0" borderId="0" xfId="0" applyNumberFormat="1" applyFont="1"/>
    <xf numFmtId="2" fontId="54" fillId="17" borderId="26" xfId="0" applyNumberFormat="1" applyFont="1" applyFill="1" applyBorder="1" applyAlignment="1">
      <alignment horizontal="left" vertical="center" wrapText="1"/>
    </xf>
    <xf numFmtId="2" fontId="54" fillId="17" borderId="1" xfId="0" applyNumberFormat="1" applyFont="1" applyFill="1" applyBorder="1" applyAlignment="1">
      <alignment horizontal="left" vertical="center" wrapText="1"/>
    </xf>
    <xf numFmtId="2" fontId="101" fillId="3" borderId="0" xfId="0" applyNumberFormat="1" applyFont="1" applyFill="1"/>
    <xf numFmtId="2" fontId="36" fillId="15" borderId="26" xfId="0" applyNumberFormat="1" applyFont="1" applyFill="1" applyBorder="1" applyAlignment="1">
      <alignment horizontal="left" vertical="center"/>
    </xf>
    <xf numFmtId="2" fontId="39" fillId="15" borderId="2" xfId="0" applyNumberFormat="1" applyFont="1" applyFill="1" applyBorder="1" applyAlignment="1">
      <alignment horizontal="left" vertical="center" wrapText="1"/>
    </xf>
    <xf numFmtId="2" fontId="39" fillId="15" borderId="3" xfId="0" applyNumberFormat="1" applyFont="1" applyFill="1" applyBorder="1" applyAlignment="1">
      <alignment horizontal="left" vertical="center" wrapText="1"/>
    </xf>
    <xf numFmtId="2" fontId="39" fillId="15" borderId="3" xfId="0" applyNumberFormat="1" applyFont="1" applyFill="1" applyBorder="1" applyAlignment="1">
      <alignment vertical="center" wrapText="1"/>
    </xf>
    <xf numFmtId="2" fontId="39" fillId="15" borderId="40" xfId="0" applyNumberFormat="1" applyFont="1" applyFill="1" applyBorder="1" applyAlignment="1">
      <alignment vertical="center" wrapText="1"/>
    </xf>
    <xf numFmtId="2" fontId="39" fillId="0" borderId="1" xfId="0" applyNumberFormat="1" applyFont="1" applyBorder="1" applyAlignment="1">
      <alignment horizontal="left" vertical="center"/>
    </xf>
    <xf numFmtId="2" fontId="36" fillId="0" borderId="33" xfId="0" applyNumberFormat="1" applyFont="1" applyBorder="1" applyAlignment="1">
      <alignment horizontal="center" vertical="center" wrapText="1"/>
    </xf>
    <xf numFmtId="2" fontId="36" fillId="0" borderId="26" xfId="0" applyNumberFormat="1" applyFont="1" applyBorder="1" applyAlignment="1">
      <alignment horizontal="left" vertical="center"/>
    </xf>
    <xf numFmtId="2" fontId="36" fillId="32" borderId="1" xfId="0" applyNumberFormat="1" applyFont="1" applyFill="1" applyBorder="1" applyAlignment="1">
      <alignment horizontal="center" vertical="center" wrapText="1"/>
    </xf>
    <xf numFmtId="2" fontId="36" fillId="0" borderId="4" xfId="0" applyNumberFormat="1" applyFont="1" applyBorder="1" applyAlignment="1">
      <alignment horizontal="left" vertical="center"/>
    </xf>
    <xf numFmtId="2" fontId="36" fillId="0" borderId="4" xfId="0" applyNumberFormat="1" applyFont="1" applyBorder="1" applyAlignment="1">
      <alignment horizontal="left" vertical="center" wrapText="1"/>
    </xf>
    <xf numFmtId="2" fontId="36" fillId="0" borderId="1" xfId="0" applyNumberFormat="1" applyFont="1" applyBorder="1" applyAlignment="1">
      <alignment horizontal="left" vertical="center"/>
    </xf>
    <xf numFmtId="2" fontId="39" fillId="0" borderId="0" xfId="0" applyNumberFormat="1" applyFont="1"/>
    <xf numFmtId="2" fontId="39" fillId="0" borderId="4" xfId="0" applyNumberFormat="1" applyFont="1" applyBorder="1" applyAlignment="1">
      <alignment horizontal="left" vertical="center" wrapText="1"/>
    </xf>
    <xf numFmtId="2" fontId="39" fillId="3" borderId="0" xfId="0" applyNumberFormat="1" applyFont="1" applyFill="1"/>
    <xf numFmtId="2" fontId="36" fillId="0" borderId="1" xfId="0" applyNumberFormat="1" applyFont="1" applyBorder="1" applyAlignment="1">
      <alignment horizontal="left"/>
    </xf>
    <xf numFmtId="2" fontId="39" fillId="0" borderId="4" xfId="0" applyNumberFormat="1" applyFont="1" applyBorder="1" applyAlignment="1">
      <alignment vertical="center"/>
    </xf>
    <xf numFmtId="2" fontId="36" fillId="0" borderId="1" xfId="0" applyNumberFormat="1" applyFont="1" applyBorder="1" applyAlignment="1">
      <alignment horizontal="center"/>
    </xf>
    <xf numFmtId="2" fontId="36" fillId="0" borderId="1" xfId="0" applyNumberFormat="1" applyFont="1" applyBorder="1"/>
    <xf numFmtId="2" fontId="93" fillId="0" borderId="1" xfId="0" applyNumberFormat="1" applyFont="1" applyBorder="1" applyAlignment="1">
      <alignment horizontal="center" vertical="center" wrapText="1"/>
    </xf>
    <xf numFmtId="2" fontId="39" fillId="0" borderId="26" xfId="0" applyNumberFormat="1" applyFont="1" applyBorder="1" applyAlignment="1">
      <alignment horizontal="left" vertical="center"/>
    </xf>
    <xf numFmtId="2" fontId="90" fillId="0" borderId="1" xfId="0" applyNumberFormat="1" applyFont="1" applyBorder="1" applyAlignment="1">
      <alignment horizontal="center" vertical="center" wrapText="1"/>
    </xf>
    <xf numFmtId="2" fontId="36" fillId="0" borderId="2" xfId="0" applyNumberFormat="1" applyFont="1" applyBorder="1" applyAlignment="1">
      <alignment horizontal="left" vertical="center" wrapText="1"/>
    </xf>
    <xf numFmtId="2" fontId="36" fillId="0" borderId="3" xfId="0" applyNumberFormat="1" applyFont="1" applyBorder="1" applyAlignment="1">
      <alignment horizontal="left" vertical="center" wrapText="1"/>
    </xf>
    <xf numFmtId="2" fontId="36" fillId="0" borderId="40" xfId="0" applyNumberFormat="1" applyFont="1" applyBorder="1" applyAlignment="1">
      <alignment horizontal="center" vertical="center" wrapText="1"/>
    </xf>
    <xf numFmtId="2" fontId="39" fillId="0" borderId="2" xfId="0" applyNumberFormat="1" applyFont="1" applyBorder="1" applyAlignment="1">
      <alignment horizontal="left" vertical="center" wrapText="1"/>
    </xf>
    <xf numFmtId="2" fontId="36" fillId="0" borderId="26" xfId="0" applyNumberFormat="1" applyFont="1" applyBorder="1" applyAlignment="1">
      <alignment horizontal="left" vertical="center" wrapText="1"/>
    </xf>
    <xf numFmtId="2" fontId="36" fillId="0" borderId="33" xfId="0" applyNumberFormat="1" applyFont="1" applyBorder="1" applyAlignment="1">
      <alignment horizontal="center" vertical="center"/>
    </xf>
    <xf numFmtId="2" fontId="39" fillId="0" borderId="3" xfId="0" applyNumberFormat="1" applyFont="1" applyBorder="1" applyAlignment="1">
      <alignment horizontal="left" vertical="center" wrapText="1"/>
    </xf>
    <xf numFmtId="2" fontId="39" fillId="0" borderId="40" xfId="0" applyNumberFormat="1" applyFont="1" applyBorder="1" applyAlignment="1">
      <alignment horizontal="left" vertical="center" wrapText="1"/>
    </xf>
    <xf numFmtId="2" fontId="36" fillId="0" borderId="3" xfId="0" applyNumberFormat="1" applyFont="1" applyBorder="1" applyAlignment="1">
      <alignment horizontal="center" vertical="center"/>
    </xf>
    <xf numFmtId="2" fontId="36" fillId="0" borderId="40" xfId="0" applyNumberFormat="1" applyFont="1" applyBorder="1" applyAlignment="1">
      <alignment horizontal="center" vertical="center"/>
    </xf>
    <xf numFmtId="2" fontId="39" fillId="4" borderId="26" xfId="0" applyNumberFormat="1" applyFont="1" applyFill="1" applyBorder="1" applyAlignment="1">
      <alignment horizontal="left" vertical="center"/>
    </xf>
    <xf numFmtId="2" fontId="36" fillId="4" borderId="1" xfId="0" applyNumberFormat="1" applyFont="1" applyFill="1" applyBorder="1" applyAlignment="1">
      <alignment horizontal="left" vertical="center" wrapText="1"/>
    </xf>
    <xf numFmtId="2" fontId="36" fillId="4" borderId="1" xfId="0" applyNumberFormat="1" applyFont="1" applyFill="1" applyBorder="1" applyAlignment="1">
      <alignment horizontal="left" vertical="center"/>
    </xf>
    <xf numFmtId="2" fontId="36" fillId="4" borderId="1" xfId="0" applyNumberFormat="1" applyFont="1" applyFill="1" applyBorder="1" applyAlignment="1">
      <alignment horizontal="center" vertical="center"/>
    </xf>
    <xf numFmtId="2" fontId="39" fillId="4" borderId="27" xfId="0" applyNumberFormat="1" applyFont="1" applyFill="1" applyBorder="1" applyAlignment="1">
      <alignment horizontal="left" vertical="center"/>
    </xf>
    <xf numFmtId="2" fontId="39" fillId="4" borderId="9" xfId="0" applyNumberFormat="1" applyFont="1" applyFill="1" applyBorder="1" applyAlignment="1">
      <alignment horizontal="left" vertical="center"/>
    </xf>
    <xf numFmtId="2" fontId="36" fillId="4" borderId="9" xfId="0" applyNumberFormat="1" applyFont="1" applyFill="1" applyBorder="1" applyAlignment="1">
      <alignment horizontal="left" vertical="center"/>
    </xf>
    <xf numFmtId="2" fontId="36" fillId="4" borderId="9" xfId="0" applyNumberFormat="1" applyFont="1" applyFill="1" applyBorder="1" applyAlignment="1">
      <alignment horizontal="center" vertical="center"/>
    </xf>
    <xf numFmtId="2" fontId="39" fillId="3" borderId="27" xfId="0" applyNumberFormat="1" applyFont="1" applyFill="1" applyBorder="1" applyAlignment="1">
      <alignment horizontal="left" vertical="center"/>
    </xf>
    <xf numFmtId="2" fontId="39" fillId="3" borderId="9" xfId="0" applyNumberFormat="1" applyFont="1" applyFill="1" applyBorder="1" applyAlignment="1">
      <alignment horizontal="left" vertical="center"/>
    </xf>
    <xf numFmtId="2" fontId="36" fillId="3" borderId="9" xfId="0" applyNumberFormat="1" applyFont="1" applyFill="1" applyBorder="1" applyAlignment="1">
      <alignment horizontal="left" vertical="center"/>
    </xf>
    <xf numFmtId="2" fontId="36" fillId="3" borderId="9" xfId="0" applyNumberFormat="1" applyFont="1" applyFill="1" applyBorder="1" applyAlignment="1">
      <alignment horizontal="center" vertical="center"/>
    </xf>
    <xf numFmtId="2" fontId="36" fillId="3" borderId="29" xfId="0" applyNumberFormat="1" applyFont="1" applyFill="1" applyBorder="1" applyAlignment="1">
      <alignment horizontal="center" vertical="center"/>
    </xf>
    <xf numFmtId="2" fontId="39" fillId="15" borderId="24" xfId="0" applyNumberFormat="1" applyFont="1" applyFill="1" applyBorder="1" applyAlignment="1">
      <alignment horizontal="left" vertical="center" wrapText="1"/>
    </xf>
    <xf numFmtId="2" fontId="39" fillId="15" borderId="40" xfId="0" applyNumberFormat="1" applyFont="1" applyFill="1" applyBorder="1" applyAlignment="1">
      <alignment horizontal="left" vertical="center" wrapText="1"/>
    </xf>
    <xf numFmtId="2" fontId="36" fillId="0" borderId="26" xfId="0" applyNumberFormat="1" applyFont="1" applyBorder="1" applyAlignment="1">
      <alignment horizontal="left" vertical="center" wrapText="1" indent="1"/>
    </xf>
    <xf numFmtId="2" fontId="36" fillId="0" borderId="1" xfId="0" applyNumberFormat="1" applyFont="1" applyBorder="1" applyAlignment="1">
      <alignment horizontal="left" vertical="center" wrapText="1" indent="1"/>
    </xf>
    <xf numFmtId="2" fontId="36" fillId="0" borderId="24" xfId="0" applyNumberFormat="1" applyFont="1" applyBorder="1" applyAlignment="1">
      <alignment horizontal="left" vertical="center"/>
    </xf>
    <xf numFmtId="2" fontId="36" fillId="15" borderId="24" xfId="0" applyNumberFormat="1" applyFont="1" applyFill="1" applyBorder="1" applyAlignment="1">
      <alignment horizontal="left" vertical="center"/>
    </xf>
    <xf numFmtId="2" fontId="60" fillId="15" borderId="26" xfId="0" applyNumberFormat="1" applyFont="1" applyFill="1" applyBorder="1" applyAlignment="1">
      <alignment horizontal="left" vertical="center" wrapText="1" indent="1"/>
    </xf>
    <xf numFmtId="2" fontId="60" fillId="15" borderId="1" xfId="0" applyNumberFormat="1" applyFont="1" applyFill="1" applyBorder="1" applyAlignment="1">
      <alignment horizontal="left" vertical="center" wrapText="1" indent="1"/>
    </xf>
    <xf numFmtId="2" fontId="36" fillId="15" borderId="1" xfId="0" applyNumberFormat="1" applyFont="1" applyFill="1" applyBorder="1" applyAlignment="1">
      <alignment horizontal="left" vertical="center"/>
    </xf>
    <xf numFmtId="2" fontId="36" fillId="15" borderId="1" xfId="0" applyNumberFormat="1" applyFont="1" applyFill="1" applyBorder="1" applyAlignment="1">
      <alignment horizontal="center" vertical="center"/>
    </xf>
    <xf numFmtId="2" fontId="36" fillId="15" borderId="33" xfId="0" applyNumberFormat="1" applyFont="1" applyFill="1" applyBorder="1" applyAlignment="1">
      <alignment horizontal="center" vertical="center"/>
    </xf>
    <xf numFmtId="2" fontId="36" fillId="0" borderId="24" xfId="0" applyNumberFormat="1" applyFont="1" applyBorder="1" applyAlignment="1">
      <alignment vertical="center"/>
    </xf>
    <xf numFmtId="2" fontId="36" fillId="0" borderId="1" xfId="0" applyNumberFormat="1" applyFont="1" applyBorder="1" applyAlignment="1">
      <alignment horizontal="left" vertical="center" indent="1"/>
    </xf>
    <xf numFmtId="2" fontId="36" fillId="0" borderId="1" xfId="0" applyNumberFormat="1" applyFont="1" applyBorder="1" applyAlignment="1">
      <alignment vertical="center" wrapText="1"/>
    </xf>
    <xf numFmtId="2" fontId="36" fillId="15" borderId="53" xfId="0" applyNumberFormat="1" applyFont="1" applyFill="1" applyBorder="1" applyAlignment="1">
      <alignment horizontal="left" vertical="center"/>
    </xf>
    <xf numFmtId="2" fontId="36" fillId="15" borderId="1" xfId="0" applyNumberFormat="1" applyFont="1" applyFill="1" applyBorder="1"/>
    <xf numFmtId="2" fontId="36" fillId="15" borderId="33" xfId="0" applyNumberFormat="1" applyFont="1" applyFill="1" applyBorder="1"/>
    <xf numFmtId="2" fontId="36" fillId="15" borderId="1" xfId="0" applyNumberFormat="1" applyFont="1" applyFill="1" applyBorder="1" applyAlignment="1">
      <alignment horizontal="center"/>
    </xf>
    <xf numFmtId="2" fontId="36" fillId="15" borderId="33" xfId="0" applyNumberFormat="1" applyFont="1" applyFill="1" applyBorder="1" applyAlignment="1">
      <alignment horizontal="center"/>
    </xf>
    <xf numFmtId="2" fontId="36" fillId="0" borderId="51" xfId="0" applyNumberFormat="1" applyFont="1" applyBorder="1" applyAlignment="1">
      <alignment horizontal="left" vertical="center"/>
    </xf>
    <xf numFmtId="2" fontId="36" fillId="0" borderId="9" xfId="0" applyNumberFormat="1" applyFont="1" applyBorder="1" applyAlignment="1">
      <alignment horizontal="left" vertical="center" wrapText="1" indent="1"/>
    </xf>
    <xf numFmtId="2" fontId="36" fillId="0" borderId="9" xfId="0" applyNumberFormat="1" applyFont="1" applyBorder="1" applyAlignment="1">
      <alignment horizontal="left" vertical="center"/>
    </xf>
    <xf numFmtId="2" fontId="39" fillId="0" borderId="26" xfId="0" applyNumberFormat="1" applyFont="1" applyBorder="1" applyAlignment="1">
      <alignment horizontal="left" vertical="center" wrapText="1" indent="1"/>
    </xf>
    <xf numFmtId="2" fontId="89" fillId="0" borderId="1" xfId="0" applyNumberFormat="1" applyFont="1" applyBorder="1" applyAlignment="1">
      <alignment horizontal="left" vertical="center" wrapText="1"/>
    </xf>
    <xf numFmtId="2" fontId="39" fillId="15" borderId="24" xfId="0" applyNumberFormat="1" applyFont="1" applyFill="1" applyBorder="1" applyAlignment="1">
      <alignment horizontal="left" vertical="center"/>
    </xf>
    <xf numFmtId="2" fontId="39" fillId="15" borderId="26" xfId="0" applyNumberFormat="1" applyFont="1" applyFill="1" applyBorder="1" applyAlignment="1">
      <alignment horizontal="left" vertical="center" wrapText="1"/>
    </xf>
    <xf numFmtId="2" fontId="39" fillId="15" borderId="1" xfId="0" applyNumberFormat="1" applyFont="1" applyFill="1" applyBorder="1" applyAlignment="1">
      <alignment horizontal="left" vertical="center"/>
    </xf>
    <xf numFmtId="2" fontId="36" fillId="15" borderId="26" xfId="0" applyNumberFormat="1" applyFont="1" applyFill="1" applyBorder="1" applyAlignment="1">
      <alignment horizontal="left" vertical="center" wrapText="1"/>
    </xf>
    <xf numFmtId="2" fontId="36" fillId="15" borderId="1" xfId="0" applyNumberFormat="1" applyFont="1" applyFill="1" applyBorder="1" applyAlignment="1">
      <alignment horizontal="left" vertical="center" wrapText="1"/>
    </xf>
    <xf numFmtId="2" fontId="36" fillId="15" borderId="1" xfId="0" applyNumberFormat="1" applyFont="1" applyFill="1" applyBorder="1" applyAlignment="1">
      <alignment horizontal="center" vertical="center" wrapText="1"/>
    </xf>
    <xf numFmtId="2" fontId="36" fillId="15" borderId="33" xfId="0" applyNumberFormat="1" applyFont="1" applyFill="1" applyBorder="1" applyAlignment="1">
      <alignment horizontal="center" vertical="center" wrapText="1"/>
    </xf>
    <xf numFmtId="2" fontId="36" fillId="15" borderId="3" xfId="0" applyNumberFormat="1" applyFont="1" applyFill="1" applyBorder="1" applyAlignment="1">
      <alignment horizontal="left" vertical="center" wrapText="1"/>
    </xf>
    <xf numFmtId="2" fontId="36" fillId="15" borderId="3" xfId="0" applyNumberFormat="1" applyFont="1" applyFill="1" applyBorder="1" applyAlignment="1">
      <alignment vertical="center" wrapText="1"/>
    </xf>
    <xf numFmtId="2" fontId="36" fillId="15" borderId="40" xfId="0" applyNumberFormat="1" applyFont="1" applyFill="1" applyBorder="1" applyAlignment="1">
      <alignment vertical="center" wrapText="1"/>
    </xf>
    <xf numFmtId="2" fontId="36" fillId="15" borderId="4" xfId="0" applyNumberFormat="1" applyFont="1" applyFill="1" applyBorder="1" applyAlignment="1">
      <alignment horizontal="left" vertical="center" wrapText="1"/>
    </xf>
    <xf numFmtId="2" fontId="36" fillId="15" borderId="5" xfId="0" applyNumberFormat="1" applyFont="1" applyFill="1" applyBorder="1" applyAlignment="1">
      <alignment horizontal="left" vertical="center" wrapText="1"/>
    </xf>
    <xf numFmtId="2" fontId="36" fillId="15" borderId="5" xfId="0" applyNumberFormat="1" applyFont="1" applyFill="1" applyBorder="1" applyAlignment="1">
      <alignment horizontal="center" vertical="center"/>
    </xf>
    <xf numFmtId="2" fontId="36" fillId="15" borderId="42" xfId="0" applyNumberFormat="1" applyFont="1" applyFill="1" applyBorder="1" applyAlignment="1">
      <alignment horizontal="center" vertical="center"/>
    </xf>
    <xf numFmtId="2" fontId="36" fillId="0" borderId="1" xfId="0" applyNumberFormat="1" applyFont="1" applyBorder="1" applyAlignment="1">
      <alignment horizontal="left" vertical="top" wrapText="1"/>
    </xf>
    <xf numFmtId="2" fontId="39" fillId="0" borderId="1" xfId="0" applyNumberFormat="1" applyFont="1" applyBorder="1" applyAlignment="1">
      <alignment vertical="top" wrapText="1"/>
    </xf>
    <xf numFmtId="0" fontId="52" fillId="0" borderId="3" xfId="0" applyFont="1" applyBorder="1" applyAlignment="1">
      <alignment horizontal="center" vertical="center"/>
    </xf>
    <xf numFmtId="0" fontId="8" fillId="14" borderId="2" xfId="0" applyFont="1" applyFill="1" applyBorder="1" applyAlignment="1">
      <alignment horizontal="center" vertical="top"/>
    </xf>
    <xf numFmtId="0" fontId="8" fillId="14" borderId="3" xfId="0" applyFont="1" applyFill="1" applyBorder="1" applyAlignment="1">
      <alignment horizontal="center" vertical="top"/>
    </xf>
    <xf numFmtId="0" fontId="8" fillId="14" borderId="4" xfId="0" applyFont="1" applyFill="1" applyBorder="1" applyAlignment="1">
      <alignment horizontal="center" vertical="top"/>
    </xf>
    <xf numFmtId="0" fontId="8" fillId="14" borderId="3" xfId="0" applyFont="1" applyFill="1" applyBorder="1" applyAlignment="1">
      <alignment horizontal="center" vertical="top" wrapText="1"/>
    </xf>
    <xf numFmtId="0" fontId="8" fillId="14" borderId="4" xfId="0" applyFont="1" applyFill="1" applyBorder="1" applyAlignment="1">
      <alignment horizontal="center" vertical="top" wrapText="1"/>
    </xf>
    <xf numFmtId="0" fontId="8" fillId="14" borderId="2" xfId="0" applyFont="1" applyFill="1" applyBorder="1" applyAlignment="1">
      <alignment horizontal="center" vertical="top" wrapText="1"/>
    </xf>
    <xf numFmtId="0" fontId="8" fillId="14" borderId="5" xfId="0" applyFont="1" applyFill="1" applyBorder="1" applyAlignment="1">
      <alignment horizontal="center" vertical="top" wrapText="1"/>
    </xf>
    <xf numFmtId="0" fontId="8" fillId="14" borderId="1" xfId="0" applyFont="1" applyFill="1" applyBorder="1" applyAlignment="1">
      <alignment vertical="top" wrapText="1"/>
    </xf>
    <xf numFmtId="0" fontId="8" fillId="14" borderId="9" xfId="0" applyFont="1" applyFill="1" applyBorder="1" applyAlignment="1">
      <alignment horizontal="center" vertical="top" wrapText="1"/>
    </xf>
    <xf numFmtId="0" fontId="8" fillId="14" borderId="1" xfId="0" applyFont="1" applyFill="1" applyBorder="1" applyAlignment="1">
      <alignment vertical="top"/>
    </xf>
    <xf numFmtId="0" fontId="0" fillId="0" borderId="0" xfId="0" applyProtection="1">
      <protection locked="0"/>
    </xf>
    <xf numFmtId="0" fontId="64" fillId="0" borderId="1" xfId="0" applyFont="1" applyBorder="1" applyAlignment="1" applyProtection="1">
      <alignment horizontal="justify"/>
      <protection locked="0"/>
    </xf>
    <xf numFmtId="0" fontId="64" fillId="0" borderId="0" xfId="0" applyFont="1" applyAlignment="1" applyProtection="1">
      <alignment horizontal="justify"/>
      <protection locked="0"/>
    </xf>
    <xf numFmtId="0" fontId="0" fillId="14" borderId="2" xfId="0" applyFill="1" applyBorder="1" applyAlignment="1">
      <alignment horizontal="center"/>
    </xf>
    <xf numFmtId="0" fontId="0" fillId="14" borderId="3" xfId="0" applyFill="1" applyBorder="1" applyAlignment="1">
      <alignment horizontal="center"/>
    </xf>
    <xf numFmtId="0" fontId="0" fillId="14" borderId="4" xfId="0" applyFill="1" applyBorder="1" applyAlignment="1">
      <alignment horizontal="center"/>
    </xf>
    <xf numFmtId="0" fontId="0" fillId="14" borderId="1" xfId="0" applyFill="1" applyBorder="1" applyAlignment="1">
      <alignment horizontal="center"/>
    </xf>
    <xf numFmtId="0" fontId="52" fillId="0" borderId="2" xfId="0" applyFont="1" applyBorder="1" applyAlignment="1">
      <alignment horizontal="center" vertical="center"/>
    </xf>
    <xf numFmtId="0" fontId="3" fillId="0" borderId="3" xfId="0" applyFont="1" applyBorder="1" applyAlignment="1">
      <alignment vertical="top"/>
    </xf>
    <xf numFmtId="0" fontId="0" fillId="0" borderId="2" xfId="0" applyBorder="1" applyAlignment="1">
      <alignment horizontal="center" vertical="top"/>
    </xf>
    <xf numFmtId="0" fontId="0" fillId="0" borderId="3" xfId="0" applyBorder="1" applyAlignment="1">
      <alignment horizontal="center" vertical="top"/>
    </xf>
    <xf numFmtId="0" fontId="0" fillId="0" borderId="1" xfId="0" applyBorder="1" applyAlignment="1" applyProtection="1">
      <alignment vertical="top" wrapText="1"/>
      <protection locked="0"/>
    </xf>
    <xf numFmtId="2" fontId="99" fillId="30" borderId="2" xfId="0" applyNumberFormat="1" applyFont="1" applyFill="1" applyBorder="1" applyAlignment="1">
      <alignment horizontal="center" vertical="center"/>
    </xf>
    <xf numFmtId="2" fontId="99" fillId="30" borderId="3" xfId="0" applyNumberFormat="1" applyFont="1" applyFill="1" applyBorder="1" applyAlignment="1">
      <alignment horizontal="center" vertical="center"/>
    </xf>
    <xf numFmtId="2" fontId="99" fillId="30" borderId="4" xfId="0" applyNumberFormat="1" applyFont="1" applyFill="1" applyBorder="1" applyAlignment="1">
      <alignment horizontal="center" vertical="center"/>
    </xf>
    <xf numFmtId="2" fontId="70" fillId="0" borderId="2" xfId="0" applyNumberFormat="1" applyFont="1" applyBorder="1" applyAlignment="1">
      <alignment horizontal="center" vertical="center"/>
    </xf>
    <xf numFmtId="2" fontId="70" fillId="0" borderId="4" xfId="0" applyNumberFormat="1" applyFont="1" applyBorder="1" applyAlignment="1">
      <alignment horizontal="center" vertical="center"/>
    </xf>
    <xf numFmtId="2" fontId="70" fillId="0" borderId="3" xfId="0" applyNumberFormat="1" applyFont="1" applyBorder="1" applyAlignment="1">
      <alignment horizontal="center" vertical="center"/>
    </xf>
    <xf numFmtId="0" fontId="0" fillId="0" borderId="4" xfId="0" applyBorder="1" applyAlignment="1">
      <alignment horizontal="left"/>
    </xf>
    <xf numFmtId="0" fontId="0" fillId="0" borderId="0" xfId="0" applyAlignment="1">
      <alignment vertical="top"/>
    </xf>
    <xf numFmtId="0" fontId="0" fillId="14" borderId="1" xfId="0" applyFill="1" applyBorder="1" applyAlignment="1">
      <alignment horizontal="center" vertical="top"/>
    </xf>
    <xf numFmtId="0" fontId="0" fillId="14" borderId="1" xfId="0" applyFill="1" applyBorder="1" applyAlignment="1">
      <alignment vertical="top"/>
    </xf>
    <xf numFmtId="0" fontId="0" fillId="14" borderId="1" xfId="0" applyFill="1" applyBorder="1" applyAlignment="1">
      <alignment horizontal="center" vertical="top" wrapText="1"/>
    </xf>
    <xf numFmtId="164" fontId="0" fillId="0" borderId="1" xfId="0" applyNumberFormat="1" applyBorder="1" applyAlignment="1">
      <alignment horizontal="center"/>
    </xf>
    <xf numFmtId="0" fontId="0" fillId="0" borderId="1" xfId="0" applyBorder="1" applyAlignment="1">
      <alignment horizontal="center" vertical="top"/>
    </xf>
    <xf numFmtId="0" fontId="0" fillId="17" borderId="1" xfId="0" applyFill="1" applyBorder="1" applyAlignment="1">
      <alignment horizontal="center" vertical="top"/>
    </xf>
    <xf numFmtId="0" fontId="0" fillId="17" borderId="1" xfId="0" applyFill="1" applyBorder="1"/>
    <xf numFmtId="0" fontId="0" fillId="17" borderId="1" xfId="0" applyFill="1" applyBorder="1" applyAlignment="1">
      <alignment horizontal="center"/>
    </xf>
    <xf numFmtId="167" fontId="0" fillId="0" borderId="1" xfId="0" applyNumberFormat="1" applyBorder="1" applyAlignment="1">
      <alignment horizontal="center"/>
    </xf>
    <xf numFmtId="0" fontId="0" fillId="0" borderId="1" xfId="0" applyBorder="1" applyAlignment="1">
      <alignment vertical="center"/>
    </xf>
    <xf numFmtId="167" fontId="0" fillId="0" borderId="1" xfId="0" applyNumberFormat="1" applyBorder="1" applyAlignment="1">
      <alignment horizontal="center" vertical="center"/>
    </xf>
    <xf numFmtId="164" fontId="8" fillId="14" borderId="1" xfId="0" applyNumberFormat="1" applyFont="1" applyFill="1" applyBorder="1" applyAlignment="1">
      <alignment horizontal="center"/>
    </xf>
    <xf numFmtId="0" fontId="102" fillId="30" borderId="29" xfId="0" applyFont="1" applyFill="1" applyBorder="1" applyAlignment="1">
      <alignment horizontal="center"/>
    </xf>
    <xf numFmtId="0" fontId="102" fillId="30" borderId="28" xfId="0" applyFont="1" applyFill="1" applyBorder="1" applyAlignment="1">
      <alignment horizontal="center"/>
    </xf>
    <xf numFmtId="0" fontId="103" fillId="0" borderId="28" xfId="0" applyFont="1" applyBorder="1"/>
    <xf numFmtId="0" fontId="104" fillId="0" borderId="2" xfId="0" applyFont="1" applyBorder="1" applyAlignment="1">
      <alignment horizontal="center" vertical="center"/>
    </xf>
    <xf numFmtId="0" fontId="104" fillId="0" borderId="3" xfId="0" applyFont="1" applyBorder="1" applyAlignment="1">
      <alignment horizontal="center" vertical="center"/>
    </xf>
    <xf numFmtId="0" fontId="104" fillId="0" borderId="3" xfId="0" applyFont="1" applyBorder="1" applyAlignment="1">
      <alignment horizontal="center"/>
    </xf>
    <xf numFmtId="0" fontId="104" fillId="0" borderId="4" xfId="0" applyFont="1" applyBorder="1" applyAlignment="1">
      <alignment horizontal="center"/>
    </xf>
    <xf numFmtId="0" fontId="0" fillId="14" borderId="5" xfId="0" applyFill="1" applyBorder="1" applyAlignment="1">
      <alignment horizontal="center" vertical="center"/>
    </xf>
    <xf numFmtId="0" fontId="0" fillId="14" borderId="1" xfId="0" applyFill="1" applyBorder="1" applyAlignment="1">
      <alignment horizontal="left" vertical="center" wrapText="1" readingOrder="1"/>
    </xf>
    <xf numFmtId="0" fontId="0" fillId="14" borderId="1" xfId="0" applyFill="1" applyBorder="1" applyAlignment="1">
      <alignment horizontal="center" vertical="center" wrapText="1" readingOrder="1"/>
    </xf>
    <xf numFmtId="0" fontId="0" fillId="14" borderId="2" xfId="0" applyFill="1" applyBorder="1" applyAlignment="1">
      <alignment horizontal="center" vertical="center" wrapText="1" readingOrder="1"/>
    </xf>
    <xf numFmtId="0" fontId="0" fillId="14" borderId="4" xfId="0" applyFill="1" applyBorder="1" applyAlignment="1">
      <alignment horizontal="center" vertical="center" wrapText="1" readingOrder="1"/>
    </xf>
    <xf numFmtId="0" fontId="0" fillId="14" borderId="9" xfId="0" applyFill="1" applyBorder="1" applyAlignment="1">
      <alignment horizontal="center" vertical="center"/>
    </xf>
    <xf numFmtId="0" fontId="0" fillId="0" borderId="1" xfId="0" applyBorder="1" applyAlignment="1">
      <alignment horizontal="left" vertical="center" wrapText="1" readingOrder="1"/>
    </xf>
    <xf numFmtId="0" fontId="0" fillId="0" borderId="1" xfId="0" applyBorder="1" applyAlignment="1">
      <alignment horizontal="center" vertical="center" wrapText="1" readingOrder="1"/>
    </xf>
    <xf numFmtId="0" fontId="105" fillId="0" borderId="1" xfId="0" applyFont="1" applyBorder="1" applyAlignment="1">
      <alignment horizontal="left" vertical="center" wrapText="1" readingOrder="1"/>
    </xf>
    <xf numFmtId="2" fontId="0" fillId="0" borderId="1" xfId="0" applyNumberFormat="1" applyBorder="1" applyAlignment="1">
      <alignment horizontal="center" vertical="center" wrapText="1" readingOrder="1"/>
    </xf>
    <xf numFmtId="0" fontId="105" fillId="0" borderId="1" xfId="0" applyFont="1" applyBorder="1" applyAlignment="1">
      <alignment horizontal="center" vertical="center" wrapText="1" readingOrder="1"/>
    </xf>
    <xf numFmtId="0" fontId="3" fillId="0" borderId="1" xfId="0" applyFont="1" applyBorder="1" applyAlignment="1">
      <alignment horizontal="center" vertical="center" wrapText="1"/>
    </xf>
    <xf numFmtId="2" fontId="105" fillId="0" borderId="1" xfId="0" applyNumberFormat="1" applyFont="1" applyBorder="1" applyAlignment="1">
      <alignment horizontal="center" vertical="center" wrapText="1" readingOrder="1"/>
    </xf>
    <xf numFmtId="0" fontId="105" fillId="0" borderId="1" xfId="0" applyFont="1" applyBorder="1" applyAlignment="1">
      <alignment horizontal="center" wrapText="1" readingOrder="1"/>
    </xf>
    <xf numFmtId="2" fontId="106" fillId="0" borderId="1" xfId="0" applyNumberFormat="1" applyFont="1" applyBorder="1" applyAlignment="1">
      <alignment horizontal="center" vertical="center" wrapText="1" readingOrder="1"/>
    </xf>
    <xf numFmtId="0" fontId="107" fillId="0" borderId="1" xfId="0" applyFont="1" applyBorder="1" applyAlignment="1">
      <alignment horizontal="center" vertical="center"/>
    </xf>
    <xf numFmtId="0" fontId="108" fillId="0" borderId="1" xfId="0" applyFont="1" applyBorder="1" applyAlignment="1">
      <alignment horizontal="left" vertical="center" wrapText="1" readingOrder="1"/>
    </xf>
    <xf numFmtId="0" fontId="108" fillId="0" borderId="1" xfId="0" applyFont="1" applyBorder="1" applyAlignment="1">
      <alignment horizontal="center" vertical="center" wrapText="1" readingOrder="1"/>
    </xf>
    <xf numFmtId="2" fontId="108" fillId="0" borderId="2" xfId="0" applyNumberFormat="1" applyFont="1" applyBorder="1" applyAlignment="1">
      <alignment horizontal="left" vertical="center" wrapText="1" readingOrder="1"/>
    </xf>
    <xf numFmtId="2" fontId="108" fillId="0" borderId="3" xfId="0" applyNumberFormat="1" applyFont="1" applyBorder="1" applyAlignment="1">
      <alignment horizontal="left" vertical="center" wrapText="1" readingOrder="1"/>
    </xf>
    <xf numFmtId="2" fontId="108" fillId="0" borderId="4" xfId="0" applyNumberFormat="1" applyFont="1" applyBorder="1" applyAlignment="1">
      <alignment horizontal="left" vertical="center" wrapText="1" readingOrder="1"/>
    </xf>
    <xf numFmtId="0" fontId="0" fillId="0" borderId="0" xfId="0" applyAlignment="1">
      <alignment horizontal="left"/>
    </xf>
    <xf numFmtId="0" fontId="84" fillId="0" borderId="2" xfId="0" applyFont="1" applyBorder="1" applyAlignment="1">
      <alignment horizontal="left" vertical="center" wrapText="1"/>
    </xf>
    <xf numFmtId="0" fontId="84" fillId="0" borderId="3" xfId="0" applyFont="1" applyBorder="1" applyAlignment="1">
      <alignment horizontal="left" vertical="center" wrapText="1"/>
    </xf>
    <xf numFmtId="0" fontId="84" fillId="0" borderId="4" xfId="0" applyFont="1" applyBorder="1" applyAlignment="1">
      <alignment horizontal="left" vertical="center" wrapText="1"/>
    </xf>
    <xf numFmtId="0" fontId="84" fillId="0" borderId="2" xfId="0" applyFont="1" applyBorder="1" applyAlignment="1">
      <alignment horizontal="center" vertical="center" wrapText="1"/>
    </xf>
    <xf numFmtId="0" fontId="84" fillId="0" borderId="3" xfId="0" applyFont="1" applyBorder="1" applyAlignment="1">
      <alignment horizontal="center" vertical="center" wrapText="1"/>
    </xf>
    <xf numFmtId="0" fontId="84" fillId="0" borderId="4" xfId="0" applyFont="1" applyBorder="1" applyAlignment="1">
      <alignment horizontal="center" vertical="center" wrapText="1"/>
    </xf>
    <xf numFmtId="0" fontId="84" fillId="0" borderId="1" xfId="0" applyFont="1" applyBorder="1" applyAlignment="1">
      <alignment horizontal="left" vertical="center" wrapText="1"/>
    </xf>
    <xf numFmtId="0" fontId="86" fillId="37" borderId="1" xfId="0" applyFont="1" applyFill="1" applyBorder="1" applyAlignment="1">
      <alignment horizontal="center" vertical="center" wrapText="1"/>
    </xf>
    <xf numFmtId="0" fontId="86" fillId="37" borderId="1" xfId="0" applyFont="1" applyFill="1" applyBorder="1" applyAlignment="1">
      <alignment horizontal="left" vertical="center" wrapText="1"/>
    </xf>
    <xf numFmtId="0" fontId="41" fillId="0" borderId="1" xfId="0" applyFont="1" applyBorder="1" applyAlignment="1">
      <alignment horizontal="left" vertical="center" wrapText="1"/>
    </xf>
    <xf numFmtId="1" fontId="41" fillId="0" borderId="1" xfId="0" applyNumberFormat="1" applyFont="1" applyBorder="1" applyAlignment="1">
      <alignment horizontal="center" vertical="center" wrapText="1"/>
    </xf>
    <xf numFmtId="2" fontId="41" fillId="0" borderId="1" xfId="0" applyNumberFormat="1" applyFont="1" applyBorder="1" applyAlignment="1">
      <alignment horizontal="center" vertical="center" wrapText="1"/>
    </xf>
    <xf numFmtId="1" fontId="86" fillId="37" borderId="1" xfId="0" applyNumberFormat="1" applyFont="1" applyFill="1" applyBorder="1" applyAlignment="1">
      <alignment horizontal="center" vertical="center" wrapText="1"/>
    </xf>
    <xf numFmtId="0" fontId="86" fillId="14" borderId="1" xfId="0" applyFont="1" applyFill="1" applyBorder="1" applyAlignment="1">
      <alignment horizontal="center" vertical="center" wrapText="1"/>
    </xf>
    <xf numFmtId="0" fontId="86" fillId="14" borderId="1" xfId="0" applyFont="1" applyFill="1" applyBorder="1" applyAlignment="1">
      <alignment horizontal="left" vertical="center" wrapText="1"/>
    </xf>
    <xf numFmtId="0" fontId="49" fillId="0" borderId="1" xfId="0" applyFont="1" applyBorder="1" applyAlignment="1">
      <alignment horizontal="left" vertical="center"/>
    </xf>
    <xf numFmtId="0" fontId="49" fillId="0" borderId="1" xfId="0" applyFont="1" applyBorder="1" applyAlignment="1">
      <alignment horizontal="center" vertical="center"/>
    </xf>
    <xf numFmtId="1" fontId="57" fillId="0" borderId="1" xfId="0" applyNumberFormat="1" applyFont="1" applyBorder="1" applyAlignment="1">
      <alignment horizontal="center" vertical="center"/>
    </xf>
    <xf numFmtId="0" fontId="49" fillId="0" borderId="1" xfId="0" applyFont="1" applyBorder="1" applyAlignment="1">
      <alignment horizontal="left" vertical="center" wrapText="1"/>
    </xf>
    <xf numFmtId="0" fontId="49" fillId="0" borderId="1" xfId="0" applyFont="1" applyBorder="1" applyAlignment="1">
      <alignment horizontal="center" vertical="center" wrapText="1"/>
    </xf>
    <xf numFmtId="0" fontId="64" fillId="0" borderId="1" xfId="0" applyFont="1" applyBorder="1" applyAlignment="1">
      <alignment horizontal="left" vertical="center" wrapText="1"/>
    </xf>
    <xf numFmtId="0" fontId="49" fillId="0" borderId="1" xfId="0" applyFont="1" applyBorder="1" applyAlignment="1">
      <alignment vertical="center" wrapText="1"/>
    </xf>
    <xf numFmtId="0" fontId="49" fillId="0" borderId="1" xfId="0" applyFont="1" applyBorder="1" applyAlignment="1">
      <alignment vertical="center"/>
    </xf>
    <xf numFmtId="0" fontId="92" fillId="17" borderId="1" xfId="0" applyFont="1" applyFill="1" applyBorder="1" applyAlignment="1">
      <alignment horizontal="center" vertical="center"/>
    </xf>
    <xf numFmtId="0" fontId="92" fillId="17" borderId="1" xfId="0" applyFont="1" applyFill="1" applyBorder="1" applyAlignment="1">
      <alignment horizontal="left" vertical="center" wrapText="1"/>
    </xf>
    <xf numFmtId="0" fontId="92" fillId="17" borderId="1" xfId="0" applyFont="1" applyFill="1" applyBorder="1" applyAlignment="1">
      <alignment horizontal="center" vertical="center" wrapText="1"/>
    </xf>
    <xf numFmtId="0" fontId="92" fillId="17" borderId="1" xfId="0" applyFont="1" applyFill="1" applyBorder="1" applyAlignment="1">
      <alignment vertical="center"/>
    </xf>
    <xf numFmtId="0" fontId="0" fillId="14" borderId="1" xfId="0" applyFill="1" applyBorder="1" applyAlignment="1">
      <alignment vertical="center"/>
    </xf>
    <xf numFmtId="1" fontId="109" fillId="14" borderId="1" xfId="0" applyNumberFormat="1" applyFont="1" applyFill="1" applyBorder="1" applyAlignment="1">
      <alignment horizontal="center" vertical="center"/>
    </xf>
    <xf numFmtId="0" fontId="110" fillId="30" borderId="10" xfId="0" applyFont="1" applyFill="1" applyBorder="1" applyAlignment="1">
      <alignment horizontal="center"/>
    </xf>
    <xf numFmtId="0" fontId="110" fillId="30" borderId="0" xfId="0" applyFont="1" applyFill="1" applyAlignment="1">
      <alignment horizontal="center"/>
    </xf>
    <xf numFmtId="0" fontId="111" fillId="0" borderId="56" xfId="0" applyFont="1" applyBorder="1" applyAlignment="1">
      <alignment horizontal="center" vertical="center"/>
    </xf>
    <xf numFmtId="0" fontId="111" fillId="0" borderId="57" xfId="0" applyFont="1" applyBorder="1" applyAlignment="1">
      <alignment horizontal="center" vertical="center"/>
    </xf>
    <xf numFmtId="0" fontId="104" fillId="0" borderId="58" xfId="0" applyFont="1" applyBorder="1" applyAlignment="1">
      <alignment horizontal="center"/>
    </xf>
    <xf numFmtId="0" fontId="104" fillId="0" borderId="16" xfId="0" applyFont="1" applyBorder="1" applyAlignment="1">
      <alignment horizontal="center"/>
    </xf>
    <xf numFmtId="0" fontId="104" fillId="0" borderId="59" xfId="0" applyFont="1" applyBorder="1" applyAlignment="1">
      <alignment horizontal="center"/>
    </xf>
    <xf numFmtId="0" fontId="84" fillId="0" borderId="9" xfId="0" applyFont="1" applyBorder="1" applyAlignment="1">
      <alignment horizontal="center" vertical="center" wrapText="1"/>
    </xf>
    <xf numFmtId="0" fontId="111" fillId="0" borderId="9" xfId="0" applyFont="1" applyBorder="1" applyAlignment="1">
      <alignment horizontal="left" vertical="center"/>
    </xf>
    <xf numFmtId="0" fontId="111" fillId="0" borderId="9" xfId="0" applyFont="1" applyBorder="1" applyAlignment="1">
      <alignment horizontal="center" vertical="center"/>
    </xf>
    <xf numFmtId="0" fontId="111" fillId="0" borderId="29" xfId="0" applyFont="1" applyBorder="1" applyAlignment="1">
      <alignment horizontal="center"/>
    </xf>
    <xf numFmtId="0" fontId="111" fillId="0" borderId="28" xfId="0" applyFont="1" applyBorder="1" applyAlignment="1">
      <alignment horizontal="center"/>
    </xf>
    <xf numFmtId="0" fontId="8" fillId="14" borderId="5" xfId="0" applyFont="1" applyFill="1" applyBorder="1" applyAlignment="1">
      <alignment horizontal="center" vertical="center" wrapText="1"/>
    </xf>
    <xf numFmtId="0" fontId="8" fillId="14" borderId="2" xfId="0" applyFont="1" applyFill="1" applyBorder="1" applyAlignment="1">
      <alignment horizontal="center" vertical="center" wrapText="1"/>
    </xf>
    <xf numFmtId="0" fontId="8" fillId="14" borderId="4" xfId="0" applyFont="1" applyFill="1" applyBorder="1" applyAlignment="1">
      <alignment horizontal="center" vertical="center" wrapText="1"/>
    </xf>
    <xf numFmtId="0" fontId="8" fillId="14" borderId="9" xfId="0" applyFont="1" applyFill="1" applyBorder="1" applyAlignment="1">
      <alignment horizontal="center" vertical="center" wrapText="1"/>
    </xf>
    <xf numFmtId="2" fontId="0" fillId="0" borderId="1" xfId="0" applyNumberFormat="1" applyBorder="1" applyAlignment="1">
      <alignment horizontal="center" vertical="center" wrapText="1"/>
    </xf>
    <xf numFmtId="2" fontId="0" fillId="29" borderId="1" xfId="0" applyNumberFormat="1" applyFill="1" applyBorder="1" applyAlignment="1">
      <alignment horizontal="center" vertical="center" wrapText="1"/>
    </xf>
    <xf numFmtId="1" fontId="0" fillId="29" borderId="1" xfId="0" applyNumberFormat="1" applyFill="1" applyBorder="1" applyAlignment="1">
      <alignment horizontal="center" vertical="center" wrapText="1"/>
    </xf>
    <xf numFmtId="2" fontId="15" fillId="0" borderId="1" xfId="0" applyNumberFormat="1" applyFont="1" applyBorder="1" applyAlignment="1">
      <alignment horizontal="center" vertical="center" wrapText="1"/>
    </xf>
    <xf numFmtId="2" fontId="35" fillId="0" borderId="1" xfId="0" applyNumberFormat="1" applyFont="1" applyBorder="1" applyAlignment="1">
      <alignment horizontal="center" vertical="center" wrapText="1"/>
    </xf>
    <xf numFmtId="2" fontId="107" fillId="0" borderId="1" xfId="0" applyNumberFormat="1" applyFont="1" applyBorder="1" applyAlignment="1">
      <alignment horizontal="center" vertical="center" wrapText="1"/>
    </xf>
    <xf numFmtId="0" fontId="53" fillId="0" borderId="1" xfId="0" applyFont="1" applyBorder="1" applyAlignment="1">
      <alignment vertical="center" wrapText="1"/>
    </xf>
    <xf numFmtId="2" fontId="0" fillId="0" borderId="1" xfId="0" applyNumberFormat="1" applyBorder="1" applyAlignment="1">
      <alignment horizontal="left" vertical="center" wrapText="1"/>
    </xf>
    <xf numFmtId="2" fontId="8" fillId="0" borderId="2" xfId="0" applyNumberFormat="1" applyFont="1" applyBorder="1" applyAlignment="1">
      <alignment horizontal="center" vertical="center" wrapText="1"/>
    </xf>
    <xf numFmtId="2" fontId="8" fillId="0" borderId="3" xfId="0" applyNumberFormat="1" applyFont="1" applyBorder="1" applyAlignment="1">
      <alignment horizontal="center" vertical="center" wrapText="1"/>
    </xf>
    <xf numFmtId="2" fontId="8" fillId="0" borderId="4" xfId="0" applyNumberFormat="1" applyFont="1" applyBorder="1" applyAlignment="1">
      <alignment horizontal="center" vertical="center" wrapText="1"/>
    </xf>
    <xf numFmtId="2" fontId="112" fillId="30" borderId="1" xfId="0" applyNumberFormat="1" applyFont="1" applyFill="1" applyBorder="1" applyAlignment="1">
      <alignment horizontal="center" vertical="center"/>
    </xf>
    <xf numFmtId="2" fontId="8" fillId="14" borderId="1" xfId="0" applyNumberFormat="1" applyFont="1" applyFill="1" applyBorder="1" applyAlignment="1">
      <alignment horizontal="center" vertical="center"/>
    </xf>
    <xf numFmtId="0" fontId="86" fillId="0" borderId="1" xfId="0" applyFont="1" applyBorder="1" applyAlignment="1">
      <alignment horizontal="center" vertical="center" wrapText="1"/>
    </xf>
    <xf numFmtId="1" fontId="39" fillId="17" borderId="5" xfId="0" applyNumberFormat="1" applyFont="1" applyFill="1" applyBorder="1" applyAlignment="1">
      <alignment horizontal="center" vertical="center" wrapText="1"/>
    </xf>
    <xf numFmtId="2" fontId="39" fillId="17" borderId="5" xfId="0" applyNumberFormat="1" applyFont="1" applyFill="1" applyBorder="1" applyAlignment="1">
      <alignment horizontal="center" vertical="center" wrapText="1"/>
    </xf>
    <xf numFmtId="2" fontId="39" fillId="17" borderId="2" xfId="0" applyNumberFormat="1" applyFont="1" applyFill="1" applyBorder="1" applyAlignment="1">
      <alignment horizontal="center" vertical="center" wrapText="1"/>
    </xf>
    <xf numFmtId="2" fontId="39" fillId="17" borderId="4" xfId="0" applyNumberFormat="1" applyFont="1" applyFill="1" applyBorder="1" applyAlignment="1">
      <alignment horizontal="center" vertical="center" wrapText="1"/>
    </xf>
    <xf numFmtId="1" fontId="39" fillId="17" borderId="9" xfId="0" applyNumberFormat="1" applyFont="1" applyFill="1" applyBorder="1" applyAlignment="1">
      <alignment horizontal="center" vertical="center" wrapText="1"/>
    </xf>
    <xf numFmtId="2" fontId="39" fillId="17" borderId="9" xfId="0" applyNumberFormat="1" applyFont="1" applyFill="1" applyBorder="1" applyAlignment="1">
      <alignment horizontal="center" vertical="center" wrapText="1"/>
    </xf>
    <xf numFmtId="0" fontId="89" fillId="0" borderId="1" xfId="0" applyFont="1" applyBorder="1" applyAlignment="1">
      <alignment horizontal="left" vertical="center" wrapText="1"/>
    </xf>
    <xf numFmtId="1" fontId="36" fillId="17" borderId="1" xfId="0" applyNumberFormat="1" applyFont="1" applyFill="1" applyBorder="1" applyAlignment="1">
      <alignment horizontal="center" vertical="center" wrapText="1"/>
    </xf>
    <xf numFmtId="0" fontId="89" fillId="17" borderId="1" xfId="0" applyFont="1" applyFill="1" applyBorder="1" applyAlignment="1">
      <alignment horizontal="left" vertical="center" wrapText="1"/>
    </xf>
    <xf numFmtId="2" fontId="8" fillId="0" borderId="1" xfId="0" applyNumberFormat="1" applyFont="1" applyBorder="1" applyAlignment="1">
      <alignment horizontal="center" vertical="center"/>
    </xf>
    <xf numFmtId="0" fontId="8" fillId="14" borderId="1" xfId="0" applyFont="1" applyFill="1" applyBorder="1" applyAlignment="1">
      <alignment vertical="center"/>
    </xf>
    <xf numFmtId="164" fontId="8" fillId="14" borderId="1" xfId="0" applyNumberFormat="1" applyFont="1" applyFill="1" applyBorder="1" applyAlignment="1">
      <alignment horizontal="center" vertical="center"/>
    </xf>
    <xf numFmtId="0" fontId="102" fillId="30" borderId="2" xfId="0" applyFont="1" applyFill="1" applyBorder="1" applyAlignment="1">
      <alignment horizontal="center" vertical="center" wrapText="1"/>
    </xf>
    <xf numFmtId="0" fontId="102" fillId="30" borderId="3" xfId="0" applyFont="1" applyFill="1" applyBorder="1" applyAlignment="1">
      <alignment horizontal="center" vertical="center" wrapText="1"/>
    </xf>
    <xf numFmtId="0" fontId="102" fillId="30" borderId="4" xfId="0" applyFont="1" applyFill="1" applyBorder="1" applyAlignment="1">
      <alignment horizontal="center" vertical="center" wrapText="1"/>
    </xf>
    <xf numFmtId="2" fontId="104" fillId="0" borderId="1" xfId="0" applyNumberFormat="1" applyFont="1" applyBorder="1" applyAlignment="1">
      <alignment horizontal="center" vertical="center" wrapText="1"/>
    </xf>
    <xf numFmtId="0" fontId="104" fillId="0" borderId="1" xfId="0" applyFont="1" applyBorder="1" applyAlignment="1">
      <alignment horizontal="center" vertical="center" wrapText="1"/>
    </xf>
    <xf numFmtId="2" fontId="104" fillId="0" borderId="3" xfId="0" applyNumberFormat="1" applyFont="1" applyBorder="1" applyAlignment="1">
      <alignment horizontal="center" vertical="center" wrapText="1"/>
    </xf>
    <xf numFmtId="0" fontId="104" fillId="0" borderId="3" xfId="0" applyFont="1" applyBorder="1" applyAlignment="1">
      <alignment horizontal="center" vertical="center" wrapText="1"/>
    </xf>
    <xf numFmtId="0" fontId="104" fillId="0" borderId="4" xfId="0" applyFont="1" applyBorder="1" applyAlignment="1">
      <alignment horizontal="center" vertical="center" wrapText="1"/>
    </xf>
    <xf numFmtId="0" fontId="0" fillId="0" borderId="2" xfId="0" applyBorder="1" applyAlignment="1">
      <alignment horizontal="center" vertical="center"/>
    </xf>
    <xf numFmtId="0" fontId="0" fillId="0" borderId="4" xfId="0" applyBorder="1" applyAlignment="1">
      <alignment horizontal="center" vertical="center"/>
    </xf>
    <xf numFmtId="2" fontId="0" fillId="0" borderId="5" xfId="0" applyNumberFormat="1" applyBorder="1" applyAlignment="1">
      <alignment horizontal="center" vertical="center" wrapText="1"/>
    </xf>
    <xf numFmtId="0" fontId="0" fillId="17" borderId="5" xfId="0" applyFill="1" applyBorder="1" applyAlignment="1">
      <alignment horizontal="center" vertical="center" wrapText="1"/>
    </xf>
    <xf numFmtId="0" fontId="0" fillId="17" borderId="5" xfId="0" applyFill="1" applyBorder="1" applyAlignment="1">
      <alignment vertical="center" wrapText="1"/>
    </xf>
    <xf numFmtId="2" fontId="0" fillId="17" borderId="5" xfId="0" applyNumberFormat="1" applyFill="1" applyBorder="1" applyAlignment="1">
      <alignment horizontal="center" vertical="center" wrapText="1"/>
    </xf>
    <xf numFmtId="0" fontId="0" fillId="0" borderId="1" xfId="0" applyBorder="1" applyAlignment="1" applyProtection="1">
      <alignment vertical="center" wrapText="1"/>
      <protection locked="0"/>
    </xf>
    <xf numFmtId="0" fontId="0" fillId="14" borderId="5" xfId="0" applyFill="1" applyBorder="1" applyAlignment="1">
      <alignment horizontal="center" vertical="center" wrapText="1"/>
    </xf>
    <xf numFmtId="0" fontId="0" fillId="14" borderId="5" xfId="0" applyFill="1" applyBorder="1" applyAlignment="1">
      <alignment vertical="center" wrapText="1"/>
    </xf>
    <xf numFmtId="2" fontId="0" fillId="14" borderId="5" xfId="0" applyNumberFormat="1" applyFill="1" applyBorder="1" applyAlignment="1">
      <alignment horizontal="center" vertical="center" wrapText="1"/>
    </xf>
    <xf numFmtId="0" fontId="0" fillId="3" borderId="1" xfId="0" applyFill="1" applyBorder="1" applyAlignment="1" applyProtection="1">
      <alignment vertical="center" wrapText="1"/>
      <protection locked="0"/>
    </xf>
    <xf numFmtId="1" fontId="0" fillId="0" borderId="1" xfId="0" applyNumberFormat="1" applyBorder="1" applyAlignment="1">
      <alignment horizontal="center" vertical="center" wrapText="1"/>
    </xf>
    <xf numFmtId="0" fontId="0" fillId="3" borderId="5" xfId="0" applyFill="1" applyBorder="1" applyAlignment="1" applyProtection="1">
      <alignment vertical="center" wrapText="1"/>
      <protection locked="0"/>
    </xf>
    <xf numFmtId="0" fontId="0" fillId="0" borderId="9" xfId="0" applyBorder="1" applyAlignment="1">
      <alignment vertical="center" wrapText="1"/>
    </xf>
    <xf numFmtId="1" fontId="0" fillId="0" borderId="9" xfId="0" applyNumberFormat="1" applyBorder="1" applyAlignment="1">
      <alignment horizontal="center" vertical="center" wrapText="1"/>
    </xf>
    <xf numFmtId="0" fontId="0" fillId="17" borderId="1" xfId="0" applyFill="1" applyBorder="1" applyAlignment="1">
      <alignment horizontal="center" vertical="center" wrapText="1"/>
    </xf>
    <xf numFmtId="0" fontId="8" fillId="17" borderId="1" xfId="0" applyFont="1" applyFill="1" applyBorder="1" applyAlignment="1">
      <alignment vertical="center" wrapText="1"/>
    </xf>
    <xf numFmtId="1" fontId="8" fillId="17" borderId="1" xfId="0" applyNumberFormat="1" applyFont="1" applyFill="1" applyBorder="1" applyAlignment="1">
      <alignment horizontal="center" vertical="center" wrapText="1"/>
    </xf>
    <xf numFmtId="0" fontId="8" fillId="0" borderId="4" xfId="0" applyFont="1" applyBorder="1" applyAlignment="1">
      <alignment horizontal="center" vertical="center"/>
    </xf>
    <xf numFmtId="0" fontId="3" fillId="0" borderId="5" xfId="0" applyFont="1" applyBorder="1" applyAlignment="1">
      <alignment vertical="center" wrapText="1"/>
    </xf>
    <xf numFmtId="0" fontId="3" fillId="0" borderId="9" xfId="0" applyFont="1" applyBorder="1" applyAlignment="1">
      <alignment horizontal="left" vertical="center" wrapText="1"/>
    </xf>
    <xf numFmtId="0" fontId="3" fillId="0" borderId="1" xfId="0" applyFont="1" applyBorder="1" applyAlignment="1">
      <alignment vertical="center" wrapText="1"/>
    </xf>
    <xf numFmtId="164"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9" xfId="0" applyFont="1" applyBorder="1" applyAlignment="1">
      <alignment vertical="center" wrapText="1"/>
    </xf>
    <xf numFmtId="0" fontId="3" fillId="0" borderId="0" xfId="0" applyFont="1" applyAlignment="1">
      <alignment horizontal="center" vertical="center"/>
    </xf>
    <xf numFmtId="164" fontId="3" fillId="0" borderId="1" xfId="0" applyNumberFormat="1" applyFont="1" applyBorder="1" applyAlignment="1">
      <alignment horizontal="center" vertical="center"/>
    </xf>
    <xf numFmtId="2" fontId="3" fillId="0" borderId="1" xfId="0" applyNumberFormat="1" applyFont="1" applyBorder="1" applyAlignment="1">
      <alignment horizontal="center" vertical="center"/>
    </xf>
    <xf numFmtId="0" fontId="52" fillId="17" borderId="5" xfId="0" applyFont="1" applyFill="1" applyBorder="1" applyAlignment="1" applyProtection="1">
      <alignment horizontal="center" vertical="center" wrapText="1"/>
      <protection locked="0"/>
    </xf>
    <xf numFmtId="0" fontId="52" fillId="17" borderId="5" xfId="0" applyFont="1" applyFill="1" applyBorder="1" applyAlignment="1" applyProtection="1">
      <alignment vertical="center" wrapText="1"/>
      <protection locked="0"/>
    </xf>
    <xf numFmtId="0" fontId="52" fillId="17" borderId="9" xfId="0" applyFont="1" applyFill="1" applyBorder="1" applyAlignment="1">
      <alignment vertical="center" wrapText="1"/>
    </xf>
    <xf numFmtId="0" fontId="52" fillId="17" borderId="1" xfId="0" applyFont="1" applyFill="1" applyBorder="1" applyAlignment="1">
      <alignment vertical="center" wrapText="1"/>
    </xf>
    <xf numFmtId="1" fontId="52" fillId="17" borderId="1" xfId="0" applyNumberFormat="1" applyFont="1" applyFill="1" applyBorder="1" applyAlignment="1">
      <alignment horizontal="center" vertical="center" wrapText="1"/>
    </xf>
    <xf numFmtId="2" fontId="52" fillId="17" borderId="1" xfId="0" applyNumberFormat="1" applyFont="1" applyFill="1" applyBorder="1" applyAlignment="1">
      <alignment horizontal="center" vertical="center" wrapText="1"/>
    </xf>
  </cellXfs>
  <cellStyles count="1">
    <cellStyle name="Normal" xfId="0" builtinId="0"/>
  </cellStyles>
  <dxfs count="3688">
    <dxf>
      <font>
        <b/>
        <i/>
        <color theme="5" tint="0.3999450666829432"/>
      </font>
    </dxf>
    <dxf>
      <fill>
        <patternFill>
          <bgColor theme="5" tint="0.3999450666829432"/>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ont>
        <color theme="0"/>
        <strike/>
      </font>
      <fill>
        <patternFill patternType="none"/>
      </fill>
      <border>
        <left style="thin"/>
        <right style="thin"/>
        <top style="thin"/>
        <bottom style="thin"/>
        <diagonal/>
      </border>
    </dxf>
    <dxf>
      <font>
        <color theme="0"/>
        <strike/>
      </font>
      <fill>
        <patternFill patternType="none">
          <bgColor indexed="65"/>
        </patternFill>
      </fill>
      <border>
        <left/>
        <right style="thin"/>
        <top style="thin"/>
        <bottom style="thin"/>
        <diagonal/>
      </border>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rgb="FFD8D8D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rgb="FFA5A5A5"/>
        </patternFill>
      </fill>
    </dxf>
    <dxf>
      <fill>
        <patternFill>
          <bgColor theme="0" tint="-0.3499862666707358"/>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theme="0" tint="-0.14996795556505021"/>
        </patternFill>
      </fill>
    </dxf>
    <dxf>
      <fill>
        <patternFill>
          <bgColor rgb="FFD8D8D8"/>
        </patternFill>
      </fill>
    </dxf>
    <dxf>
      <fill>
        <patternFill>
          <bgColor rgb="FFD8D8D8"/>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rgb="FFD8D8D8"/>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theme="0" tint="-0.14996795556505021"/>
        </patternFill>
      </fill>
    </dxf>
    <dxf>
      <fill>
        <patternFill>
          <bgColor rgb="FFA5A5A5"/>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theme="0" tint="-0.14996795556505021"/>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D8D8D8"/>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ont>
        <color theme="0"/>
      </font>
      <fill>
        <patternFill>
          <bgColor theme="5" tint="-0.49998474074526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D8D8D8"/>
        </patternFill>
      </fill>
    </dxf>
    <dxf>
      <fill>
        <patternFill>
          <bgColor rgb="FFA5A5A5"/>
        </patternFill>
      </fill>
    </dxf>
    <dxf>
      <fill>
        <patternFill>
          <bgColor theme="5" tint="0.3999450666829432"/>
        </patternFill>
      </fill>
    </dxf>
    <dxf>
      <fill>
        <patternFill>
          <bgColor rgb="FFA5A5A5"/>
        </patternFill>
      </fill>
    </dxf>
    <dxf>
      <fill>
        <patternFill>
          <bgColor rgb="FFD8D8D8"/>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D8D8D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5" tint="0.3999450666829432"/>
        </patternFill>
      </fill>
    </dxf>
    <dxf>
      <fill>
        <patternFill>
          <bgColor theme="5" tint="0.3999450666829432"/>
        </patternFill>
      </fill>
    </dxf>
    <dxf>
      <fill>
        <patternFill>
          <bgColor theme="5" tint="0.3999450666829432"/>
        </patternFill>
      </fill>
    </dxf>
    <dxf>
      <font>
        <color theme="0"/>
      </font>
      <fill>
        <patternFill>
          <bgColor theme="5" tint="-0.49998474074526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rgb="FFD8D8D8"/>
        </patternFill>
      </fill>
    </dxf>
    <dxf>
      <fill>
        <patternFill>
          <bgColor theme="0" tint="-0.3499862666707358"/>
        </patternFill>
      </fill>
    </dxf>
    <dxf>
      <fill>
        <patternFill>
          <bgColor rgb="FFA5A5A5"/>
        </patternFill>
      </fill>
    </dxf>
    <dxf>
      <fill>
        <patternFill>
          <bgColor theme="0" tint="-0.14996795556505021"/>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rgb="FFA5A5A5"/>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ont>
        <color theme="0"/>
      </font>
      <fill>
        <patternFill>
          <bgColor theme="5" tint="-0.49998474074526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A5A5A5"/>
        </patternFill>
      </fill>
    </dxf>
    <dxf>
      <fill>
        <patternFill>
          <bgColor rgb="FFD8D8D8"/>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rgb="FFA5A5A5"/>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rgb="FFD8D8D8"/>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5" tint="0.3999450666829432"/>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5" tint="0.3999450666829432"/>
        </patternFill>
      </fill>
    </dxf>
    <dxf>
      <fill>
        <patternFill>
          <bgColor theme="0" tint="-0.3499862666707358"/>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rgb="FFD8D8D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A5A5A5"/>
        </patternFill>
      </fill>
    </dxf>
    <dxf>
      <fill>
        <patternFill>
          <bgColor rgb="FFA5A5A5"/>
        </patternFill>
      </fill>
    </dxf>
    <dxf>
      <fill>
        <patternFill>
          <bgColor rgb="FFA5A5A5"/>
        </patternFill>
      </fill>
    </dxf>
    <dxf>
      <fill>
        <patternFill>
          <bgColor theme="5" tint="0.3999450666829432"/>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rgb="FFA5A5A5"/>
        </patternFill>
      </fill>
    </dxf>
    <dxf>
      <fill>
        <patternFill>
          <bgColor rgb="FFD8D8D8"/>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theme="5" tint="0.3999450666829432"/>
        </patternFill>
      </fill>
    </dxf>
    <dxf>
      <fill>
        <patternFill>
          <bgColor theme="5" tint="0.3999450666829432"/>
        </patternFill>
      </fill>
    </dxf>
    <dxf>
      <fill>
        <patternFill>
          <bgColor theme="0" tint="-0.3499862666707358"/>
        </patternFill>
      </fill>
    </dxf>
    <dxf>
      <fill>
        <patternFill>
          <bgColor theme="0" tint="-0.14996795556505021"/>
        </patternFill>
      </fill>
    </dxf>
    <dxf>
      <fill>
        <patternFill>
          <bgColor theme="5" tint="0.3999450666829432"/>
        </patternFill>
      </fill>
    </dxf>
    <dxf>
      <fill>
        <patternFill>
          <bgColor theme="0" tint="-0.14996795556505021"/>
        </patternFill>
      </fill>
    </dxf>
    <dxf>
      <fill>
        <patternFill>
          <bgColor theme="0" tint="-0.3499862666707358"/>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A5A5A5"/>
        </patternFill>
      </fill>
    </dxf>
    <dxf>
      <fill>
        <patternFill>
          <bgColor rgb="FFD8D8D8"/>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A5A5A5"/>
        </patternFill>
      </fill>
    </dxf>
    <dxf>
      <fill>
        <patternFill>
          <bgColor rgb="FFD8D8D8"/>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5" tint="0.3999450666829432"/>
        </patternFill>
      </fill>
    </dxf>
    <dxf>
      <fill>
        <patternFill>
          <bgColor theme="5" tint="0.3999450666829432"/>
        </patternFill>
      </fill>
    </dxf>
    <dxf>
      <fill>
        <patternFill>
          <bgColor theme="5" tint="0.3999450666829432"/>
        </patternFill>
      </fill>
    </dxf>
    <dxf>
      <font>
        <color theme="0"/>
      </font>
      <fill>
        <patternFill>
          <bgColor theme="5" tint="-0.49998474074526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3499862666707358"/>
        </patternFill>
      </fill>
    </dxf>
    <dxf>
      <fill>
        <patternFill>
          <bgColor rgb="FFD8D8D8"/>
        </patternFill>
      </fill>
    </dxf>
    <dxf>
      <fill>
        <patternFill>
          <bgColor theme="0" tint="-0.14996795556505021"/>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5" tint="0.3999450666829432"/>
        </patternFill>
      </fill>
    </dxf>
    <dxf>
      <fill>
        <patternFill>
          <bgColor rgb="FFA5A5A5"/>
        </patternFill>
      </fill>
    </dxf>
    <dxf>
      <fill>
        <patternFill>
          <bgColor rgb="FFD8D8D8"/>
        </patternFill>
      </fill>
    </dxf>
    <dxf>
      <fill>
        <patternFill>
          <bgColor rgb="FFA5A5A5"/>
        </patternFill>
      </fill>
    </dxf>
    <dxf>
      <fill>
        <patternFill>
          <bgColor theme="5" tint="0.3999450666829432"/>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A5A5A5"/>
        </patternFill>
      </fill>
    </dxf>
    <dxf>
      <fill>
        <patternFill>
          <bgColor rgb="FFA5A5A5"/>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theme="0" tint="-0.14996795556505021"/>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D8D8D8"/>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D8D8D8"/>
        </patternFill>
      </fill>
    </dxf>
    <dxf>
      <fill>
        <patternFill>
          <bgColor rgb="FFA5A5A5"/>
        </patternFill>
      </fill>
    </dxf>
    <dxf>
      <fill>
        <patternFill>
          <bgColor theme="0" tint="-0.3499862666707358"/>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D8D8D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rgb="FFD8D8D8"/>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theme="0" tint="-0.14996795556505021"/>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rgb="FFD8D8D8"/>
        </patternFill>
      </fill>
    </dxf>
    <dxf>
      <fill>
        <patternFill>
          <bgColor rgb="FFA5A5A5"/>
        </patternFill>
      </fill>
    </dxf>
    <dxf>
      <fill>
        <patternFill>
          <bgColor theme="0" tint="-0.349986266670735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rgb="FFA5A5A5"/>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theme="0" tint="-0.3499862666707358"/>
        </patternFill>
      </fill>
    </dxf>
    <dxf>
      <fill>
        <patternFill>
          <bgColor rgb="FFD8D8D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A5A5A5"/>
        </patternFill>
      </fill>
    </dxf>
    <dxf>
      <fill>
        <patternFill>
          <bgColor theme="0" tint="-0.14996795556505021"/>
        </patternFill>
      </fill>
    </dxf>
    <dxf>
      <fill>
        <patternFill>
          <bgColor rgb="FFD8D8D8"/>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A5A5A5"/>
        </patternFill>
      </fill>
    </dxf>
    <dxf>
      <fill>
        <patternFill>
          <bgColor rgb="FFD8D8D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rgb="FFA5A5A5"/>
        </patternFill>
      </fill>
    </dxf>
    <dxf>
      <fill>
        <patternFill>
          <bgColor theme="0" tint="-0.3499862666707358"/>
        </patternFill>
      </fill>
    </dxf>
    <dxf>
      <fill>
        <patternFill>
          <bgColor theme="0" tint="-0.14996795556505021"/>
        </patternFill>
      </fill>
    </dxf>
    <dxf>
      <fill>
        <patternFill>
          <bgColor rgb="FFD8D8D8"/>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3499862666707358"/>
        </patternFill>
      </fill>
    </dxf>
    <dxf>
      <fill>
        <patternFill>
          <bgColor rgb="FFA5A5A5"/>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3499862666707358"/>
        </patternFill>
      </fill>
    </dxf>
    <dxf>
      <fill>
        <patternFill>
          <bgColor rgb="FFD8D8D8"/>
        </patternFill>
      </fill>
    </dxf>
    <dxf>
      <fill>
        <patternFill>
          <bgColor theme="0" tint="-0.14996795556505021"/>
        </patternFill>
      </fill>
    </dxf>
    <dxf>
      <fill>
        <patternFill>
          <bgColor theme="0" tint="-0.3499862666707358"/>
        </patternFill>
      </fill>
    </dxf>
    <dxf>
      <fill>
        <patternFill>
          <bgColor rgb="FFD8D8D8"/>
        </patternFill>
      </fill>
    </dxf>
    <dxf>
      <fill>
        <patternFill>
          <bgColor rgb="FFA5A5A5"/>
        </patternFill>
      </fill>
    </dxf>
    <dxf>
      <fill>
        <patternFill>
          <bgColor theme="0" tint="-0.14996795556505021"/>
        </patternFill>
      </fill>
    </dxf>
    <dxf>
      <fill>
        <patternFill>
          <bgColor theme="0" tint="-0.14996795556505021"/>
        </patternFill>
      </fill>
    </dxf>
    <dxf>
      <fill>
        <patternFill>
          <bgColor rgb="FFA5A5A5"/>
        </patternFill>
      </fill>
    </dxf>
    <dxf>
      <fill>
        <patternFill>
          <bgColor theme="0" tint="-0.14996795556505021"/>
        </patternFill>
      </fill>
    </dxf>
    <dxf>
      <fill>
        <patternFill>
          <bgColor rgb="FFA5A5A5"/>
        </patternFill>
      </fill>
    </dxf>
    <dxf>
      <fill>
        <patternFill>
          <bgColor theme="0" tint="-0.3499862666707358"/>
        </patternFill>
      </fill>
    </dxf>
    <dxf>
      <fill>
        <patternFill>
          <bgColor rgb="FFD8D8D8"/>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3499862666707358"/>
        </patternFill>
      </fill>
    </dxf>
    <dxf>
      <fill>
        <patternFill>
          <bgColor theme="0" tint="-0.3499862666707358"/>
        </patternFill>
      </fill>
    </dxf>
    <dxf>
      <fill>
        <patternFill>
          <bgColor theme="0" tint="-0.14996795556505021"/>
        </patternFill>
      </fill>
    </dxf>
    <dxf>
      <fill>
        <patternFill>
          <bgColor rgb="FFA5A5A5"/>
        </patternFill>
      </fill>
    </dxf>
    <dxf>
      <fill>
        <patternFill>
          <bgColor rgb="FFD8D8D8"/>
        </patternFill>
      </fill>
    </dxf>
    <dxf>
      <fill>
        <patternFill>
          <bgColor theme="0" tint="-0.14996795556505021"/>
        </patternFill>
      </fill>
    </dxf>
    <dxf>
      <fill>
        <patternFill>
          <bgColor rgb="FFC0C0C0"/>
        </patternFill>
      </fill>
    </dxf>
    <dxf>
      <fill>
        <patternFill>
          <bgColor rgb="FF96969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6.xml"/><Relationship Id="rId5" Type="http://schemas.openxmlformats.org/officeDocument/2006/relationships/worksheet" Target="worksheets/sheet22.xml"/><Relationship Id="rId6" Type="http://schemas.openxmlformats.org/officeDocument/2006/relationships/worksheet" Target="worksheets/sheet2.xml"/><Relationship Id="rId7" Type="http://schemas.openxmlformats.org/officeDocument/2006/relationships/worksheet" Target="worksheets/sheet21.xml"/><Relationship Id="rId8" Type="http://schemas.openxmlformats.org/officeDocument/2006/relationships/worksheet" Target="worksheets/sheet23.xml"/><Relationship Id="rId9" Type="http://schemas.openxmlformats.org/officeDocument/2006/relationships/worksheet" Target="worksheets/sheet25.xml"/><Relationship Id="rId10" Type="http://schemas.openxmlformats.org/officeDocument/2006/relationships/worksheet" Target="worksheets/sheet3.xml"/><Relationship Id="rId11" Type="http://schemas.openxmlformats.org/officeDocument/2006/relationships/worksheet" Target="worksheets/sheet6.xml"/><Relationship Id="rId12" Type="http://schemas.openxmlformats.org/officeDocument/2006/relationships/worksheet" Target="worksheets/sheet8.xml"/><Relationship Id="rId13" Type="http://schemas.openxmlformats.org/officeDocument/2006/relationships/worksheet" Target="worksheets/sheet13.xml"/><Relationship Id="rId14" Type="http://schemas.openxmlformats.org/officeDocument/2006/relationships/worksheet" Target="worksheets/sheet24.xml"/><Relationship Id="rId15" Type="http://schemas.openxmlformats.org/officeDocument/2006/relationships/worksheet" Target="worksheets/sheet12.xml"/><Relationship Id="rId16" Type="http://schemas.openxmlformats.org/officeDocument/2006/relationships/worksheet" Target="worksheets/sheet7.xml"/><Relationship Id="rId17" Type="http://schemas.openxmlformats.org/officeDocument/2006/relationships/worksheet" Target="worksheets/sheet4.xml"/><Relationship Id="rId18" Type="http://schemas.openxmlformats.org/officeDocument/2006/relationships/worksheet" Target="worksheets/sheet5.xml"/><Relationship Id="rId19" Type="http://schemas.openxmlformats.org/officeDocument/2006/relationships/worksheet" Target="worksheets/sheet9.xml"/><Relationship Id="rId20" Type="http://schemas.openxmlformats.org/officeDocument/2006/relationships/worksheet" Target="worksheets/sheet10.xml"/><Relationship Id="rId21" Type="http://schemas.openxmlformats.org/officeDocument/2006/relationships/worksheet" Target="worksheets/sheet11.xml"/><Relationship Id="rId22" Type="http://schemas.openxmlformats.org/officeDocument/2006/relationships/worksheet" Target="worksheets/sheet14.xml"/><Relationship Id="rId23" Type="http://schemas.openxmlformats.org/officeDocument/2006/relationships/worksheet" Target="worksheets/sheet15.xml"/><Relationship Id="rId24" Type="http://schemas.openxmlformats.org/officeDocument/2006/relationships/worksheet" Target="worksheets/sheet1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400</xdr:row>
      <xdr:rowOff>0</xdr:rowOff>
    </xdr:from>
    <xdr:to>
      <xdr:col>9</xdr:col>
      <xdr:colOff>2400300</xdr:colOff>
      <xdr:row>401</xdr:row>
      <xdr:rowOff>19050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 Id="rId3"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23.vml"/></Relationships>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workbookViewId="0" zoomScale="115" zoomScaleNormal="115">
      <selection activeCell="C19" sqref="C19"/>
    </sheetView>
  </sheetViews>
  <sheetFormatPr defaultRowHeight="14.5" outlineLevelRow="0" outlineLevelCol="0" x14ac:dyDescent="0.35" customHeight="1"/>
  <cols>
    <col min="1" max="1" width="6.7265625" customWidth="1"/>
    <col min="2" max="2" width="40.1796875" customWidth="1"/>
    <col min="3" max="3" width="15.26953125" customWidth="1"/>
    <col min="4" max="4" width="12.7265625" customWidth="1"/>
    <col min="5" max="5" width="12" customWidth="1"/>
    <col min="6" max="6" width="10.7265625" customWidth="1"/>
    <col min="7" max="7" width="18.7265625" customWidth="1"/>
    <col min="8" max="255" hidden="1" customWidth="1"/>
    <col min="256" max="16383" width="8.81640625" hidden="1" customWidth="1"/>
    <col min="16384" max="16384" width="2.7265625" hidden="1" customWidth="1"/>
  </cols>
  <sheetData>
    <row r="1" ht="23.5" customHeight="1" spans="1:7" x14ac:dyDescent="0.25">
      <c r="A1" s="194" t="s">
        <v>1359</v>
      </c>
      <c r="B1" s="194"/>
      <c r="C1" s="194"/>
      <c r="D1" s="194"/>
      <c r="E1" s="194"/>
      <c r="F1" s="194"/>
      <c r="G1" s="194"/>
    </row>
    <row r="2" ht="26" customHeight="1" spans="1:7" x14ac:dyDescent="0.25">
      <c r="A2" s="195" t="s">
        <v>1360</v>
      </c>
      <c r="B2" s="196"/>
      <c r="C2" s="196"/>
      <c r="D2" s="196"/>
      <c r="E2" s="196"/>
      <c r="F2" s="196"/>
      <c r="G2" s="196"/>
    </row>
    <row r="3" ht="15.5" customHeight="1" spans="1:7" x14ac:dyDescent="0.25">
      <c r="A3" s="197">
        <v>1</v>
      </c>
      <c r="B3" s="198" t="s">
        <v>1361</v>
      </c>
      <c r="C3" s="199" t="s">
        <v>1362</v>
      </c>
      <c r="D3" s="199"/>
      <c r="E3" s="199"/>
      <c r="F3" s="199"/>
      <c r="G3" s="199"/>
    </row>
    <row r="4" ht="15.5" customHeight="1" spans="1:7" x14ac:dyDescent="0.25">
      <c r="A4" s="197">
        <v>2</v>
      </c>
      <c r="B4" s="198" t="s">
        <v>1363</v>
      </c>
      <c r="C4" s="200" t="s">
        <v>1364</v>
      </c>
      <c r="D4" s="201"/>
      <c r="E4" s="202" t="s">
        <v>1365</v>
      </c>
      <c r="F4" s="202"/>
      <c r="G4" s="203" t="str">
        <f>C4</f>
        <v>INTEGRATED</v>
      </c>
    </row>
    <row r="5" ht="15.5" customHeight="1" spans="1:7" x14ac:dyDescent="0.25">
      <c r="A5" s="204">
        <v>3</v>
      </c>
      <c r="B5" s="198" t="s">
        <v>1366</v>
      </c>
      <c r="C5" s="199" t="s">
        <v>1367</v>
      </c>
      <c r="D5" s="199"/>
      <c r="E5" s="199"/>
      <c r="F5" s="199"/>
      <c r="G5" s="199"/>
    </row>
    <row r="6" ht="15.5" customHeight="1" spans="1:7" x14ac:dyDescent="0.25">
      <c r="A6" s="197">
        <v>4</v>
      </c>
      <c r="B6" s="198" t="s">
        <v>1368</v>
      </c>
      <c r="C6" s="199">
        <v>1962</v>
      </c>
      <c r="D6" s="199"/>
      <c r="E6" s="199"/>
      <c r="F6" s="199"/>
      <c r="G6" s="199"/>
    </row>
    <row r="7" ht="15.65" customHeight="1" spans="1:7" x14ac:dyDescent="0.25">
      <c r="A7" s="197"/>
      <c r="B7" s="205" t="s">
        <v>1369</v>
      </c>
      <c r="C7" s="200" t="s">
        <v>1370</v>
      </c>
      <c r="D7" s="201"/>
      <c r="E7" s="201"/>
      <c r="F7" s="201"/>
      <c r="G7" s="206"/>
    </row>
    <row r="8" ht="15.5" customHeight="1" spans="1:7" x14ac:dyDescent="0.25">
      <c r="A8" s="197">
        <v>5</v>
      </c>
      <c r="B8" s="198" t="s">
        <v>1371</v>
      </c>
      <c r="C8" s="198"/>
      <c r="D8" s="198"/>
      <c r="E8" s="198"/>
      <c r="F8" s="198"/>
      <c r="G8" s="198"/>
    </row>
    <row r="9" ht="15.5" customHeight="1" spans="1:7" x14ac:dyDescent="0.25">
      <c r="A9" s="207" t="s">
        <v>103</v>
      </c>
      <c r="B9" s="208" t="s">
        <v>1372</v>
      </c>
      <c r="C9" s="199" t="s">
        <v>1373</v>
      </c>
      <c r="D9" s="199"/>
      <c r="E9" s="199"/>
      <c r="F9" s="199"/>
      <c r="G9" s="199"/>
    </row>
    <row r="10" ht="15.5" customHeight="1" spans="1:7" x14ac:dyDescent="0.25">
      <c r="A10" s="207"/>
      <c r="B10" s="208" t="s">
        <v>1374</v>
      </c>
      <c r="C10" s="199" t="s">
        <v>1375</v>
      </c>
      <c r="D10" s="199"/>
      <c r="E10" s="199"/>
      <c r="F10" s="199"/>
      <c r="G10" s="199"/>
    </row>
    <row r="11" ht="15.5" customHeight="1" spans="1:7" x14ac:dyDescent="0.25">
      <c r="A11" s="207"/>
      <c r="B11" s="208" t="s">
        <v>1376</v>
      </c>
      <c r="C11" s="199" t="s">
        <v>1377</v>
      </c>
      <c r="D11" s="199"/>
      <c r="E11" s="209" t="s">
        <v>1378</v>
      </c>
      <c r="F11" s="199">
        <v>231217</v>
      </c>
      <c r="G11" s="199"/>
    </row>
    <row r="12" ht="15.5" customHeight="1" spans="1:7" x14ac:dyDescent="0.25">
      <c r="A12" s="210"/>
      <c r="B12" s="208" t="s">
        <v>1379</v>
      </c>
      <c r="C12" s="199" t="s">
        <v>1380</v>
      </c>
      <c r="D12" s="199"/>
      <c r="E12" s="209" t="s">
        <v>1381</v>
      </c>
      <c r="F12" s="199" t="s">
        <v>1382</v>
      </c>
      <c r="G12" s="199"/>
    </row>
    <row r="13" ht="15.5" customHeight="1" spans="1:7" x14ac:dyDescent="0.25">
      <c r="A13" s="204" t="s">
        <v>125</v>
      </c>
      <c r="B13" s="208" t="s">
        <v>1383</v>
      </c>
      <c r="C13" s="199" t="s">
        <v>1384</v>
      </c>
      <c r="D13" s="199"/>
      <c r="E13" s="199"/>
      <c r="F13" s="199"/>
      <c r="G13" s="199"/>
    </row>
    <row r="14" ht="15.5" customHeight="1" spans="1:7" x14ac:dyDescent="0.25">
      <c r="A14" s="211"/>
      <c r="B14" s="208" t="s">
        <v>1385</v>
      </c>
      <c r="C14" s="199" t="s">
        <v>1386</v>
      </c>
      <c r="D14" s="199"/>
      <c r="E14" s="199"/>
      <c r="F14" s="199"/>
      <c r="G14" s="199"/>
    </row>
    <row r="15" ht="15.5" customHeight="1" spans="1:7" x14ac:dyDescent="0.25">
      <c r="A15" s="211"/>
      <c r="B15" s="208" t="s">
        <v>1379</v>
      </c>
      <c r="C15" s="199" t="s">
        <v>1380</v>
      </c>
      <c r="D15" s="199"/>
      <c r="E15" s="209" t="s">
        <v>1381</v>
      </c>
      <c r="F15" s="199" t="s">
        <v>1382</v>
      </c>
      <c r="G15" s="199"/>
    </row>
    <row r="16" ht="15.5" customHeight="1" spans="1:7" x14ac:dyDescent="0.25">
      <c r="A16" s="212"/>
      <c r="B16" s="208" t="s">
        <v>1387</v>
      </c>
      <c r="C16" s="199">
        <v>8146628220</v>
      </c>
      <c r="D16" s="209" t="s">
        <v>1388</v>
      </c>
      <c r="E16" s="199" t="s">
        <v>1389</v>
      </c>
      <c r="F16" s="199"/>
      <c r="G16" s="199"/>
    </row>
    <row r="17" ht="15.5" customHeight="1" spans="1:7" x14ac:dyDescent="0.25">
      <c r="A17" s="212">
        <v>6</v>
      </c>
      <c r="B17" s="198" t="s">
        <v>1390</v>
      </c>
      <c r="C17" s="199"/>
      <c r="D17" s="199"/>
      <c r="E17" s="199"/>
      <c r="F17" s="199"/>
      <c r="G17" s="199"/>
    </row>
    <row r="18" ht="15.5" customHeight="1" spans="1:7" x14ac:dyDescent="0.25">
      <c r="A18" s="197"/>
      <c r="B18" s="208" t="s">
        <v>1391</v>
      </c>
      <c r="C18" s="199" t="s">
        <v>1392</v>
      </c>
      <c r="D18" s="199"/>
      <c r="E18" s="199"/>
      <c r="F18" s="199"/>
      <c r="G18" s="199"/>
    </row>
    <row r="19" ht="15.5" customHeight="1" spans="1:7" x14ac:dyDescent="0.25">
      <c r="A19" s="197"/>
      <c r="B19" s="208" t="s">
        <v>1385</v>
      </c>
      <c r="C19" s="199" t="s">
        <v>1393</v>
      </c>
      <c r="D19" s="199"/>
      <c r="E19" s="199"/>
      <c r="F19" s="199"/>
      <c r="G19" s="199"/>
    </row>
    <row r="20" ht="15.5" customHeight="1" spans="1:7" x14ac:dyDescent="0.25">
      <c r="A20" s="197"/>
      <c r="B20" s="208" t="s">
        <v>1394</v>
      </c>
      <c r="C20" s="213" t="s">
        <v>1395</v>
      </c>
      <c r="D20" s="199"/>
      <c r="E20" s="199"/>
      <c r="F20" s="199"/>
      <c r="G20" s="199"/>
    </row>
    <row r="21" ht="15.5" customHeight="1" spans="1:7" x14ac:dyDescent="0.25">
      <c r="A21" s="197"/>
      <c r="B21" s="208" t="s">
        <v>1372</v>
      </c>
      <c r="C21" s="199" t="s">
        <v>1396</v>
      </c>
      <c r="D21" s="199"/>
      <c r="E21" s="209" t="s">
        <v>1397</v>
      </c>
      <c r="F21" s="199"/>
      <c r="G21" s="199"/>
    </row>
    <row r="22" ht="15.5" customHeight="1" spans="1:7" x14ac:dyDescent="0.25">
      <c r="A22" s="197"/>
      <c r="B22" s="208" t="s">
        <v>1374</v>
      </c>
      <c r="C22" s="199" t="s">
        <v>1398</v>
      </c>
      <c r="D22" s="199"/>
      <c r="E22" s="199"/>
      <c r="F22" s="199"/>
      <c r="G22" s="199"/>
    </row>
    <row r="23" ht="15.5" customHeight="1" spans="1:7" x14ac:dyDescent="0.25">
      <c r="A23" s="197"/>
      <c r="B23" s="208" t="s">
        <v>1376</v>
      </c>
      <c r="C23" s="199" t="s">
        <v>1399</v>
      </c>
      <c r="D23" s="199"/>
      <c r="E23" s="209" t="s">
        <v>1378</v>
      </c>
      <c r="F23" s="199">
        <v>400030</v>
      </c>
      <c r="G23" s="199"/>
    </row>
    <row r="24" ht="15.5" customHeight="1" spans="1:7" x14ac:dyDescent="0.25">
      <c r="A24" s="197"/>
      <c r="B24" s="208" t="s">
        <v>1379</v>
      </c>
      <c r="C24" s="199" t="s">
        <v>1400</v>
      </c>
      <c r="D24" s="199"/>
      <c r="E24" s="209" t="s">
        <v>1381</v>
      </c>
      <c r="F24" s="199" t="s">
        <v>1396</v>
      </c>
      <c r="G24" s="199"/>
    </row>
    <row r="25" ht="15.5" customHeight="1" spans="1:7" x14ac:dyDescent="0.25">
      <c r="A25" s="197">
        <v>7</v>
      </c>
      <c r="B25" s="198" t="s">
        <v>1401</v>
      </c>
      <c r="C25" s="198"/>
      <c r="D25" s="198"/>
      <c r="E25" s="198"/>
      <c r="F25" s="198"/>
      <c r="G25" s="198"/>
    </row>
    <row r="26" ht="15.5" customHeight="1" spans="1:7" x14ac:dyDescent="0.25">
      <c r="A26" s="204"/>
      <c r="B26" s="209" t="s">
        <v>1402</v>
      </c>
      <c r="C26" s="199" t="s">
        <v>1403</v>
      </c>
      <c r="D26" s="199"/>
      <c r="E26" s="199"/>
      <c r="F26" s="199"/>
      <c r="G26" s="199"/>
    </row>
    <row r="27" ht="15.5" customHeight="1" spans="1:7" x14ac:dyDescent="0.25">
      <c r="A27" s="211"/>
      <c r="B27" s="209" t="s">
        <v>1385</v>
      </c>
      <c r="C27" s="199" t="s">
        <v>1404</v>
      </c>
      <c r="D27" s="199"/>
      <c r="E27" s="214" t="s">
        <v>1405</v>
      </c>
      <c r="F27" s="214"/>
      <c r="G27" s="199" t="s">
        <v>1406</v>
      </c>
    </row>
    <row r="28" ht="15.5" customHeight="1" spans="1:7" x14ac:dyDescent="0.25">
      <c r="A28" s="211"/>
      <c r="B28" s="209" t="s">
        <v>1407</v>
      </c>
      <c r="C28" s="200">
        <v>27303</v>
      </c>
      <c r="D28" s="201"/>
      <c r="E28" s="201"/>
      <c r="F28" s="201"/>
      <c r="G28" s="206"/>
    </row>
    <row r="29" ht="15.5" customHeight="1" spans="1:7" x14ac:dyDescent="0.25">
      <c r="A29" s="211"/>
      <c r="B29" s="209" t="s">
        <v>1379</v>
      </c>
      <c r="C29" s="199" t="s">
        <v>1380</v>
      </c>
      <c r="D29" s="199"/>
      <c r="E29" s="209" t="s">
        <v>1381</v>
      </c>
      <c r="F29" s="199" t="s">
        <v>1382</v>
      </c>
      <c r="G29" s="199"/>
    </row>
    <row r="30" ht="16" customHeight="1" spans="1:7" x14ac:dyDescent="0.25">
      <c r="A30" s="211"/>
      <c r="B30" s="209" t="s">
        <v>1387</v>
      </c>
      <c r="C30" s="199">
        <v>8114005777</v>
      </c>
      <c r="D30" s="209" t="s">
        <v>1408</v>
      </c>
      <c r="E30" s="199" t="s">
        <v>1382</v>
      </c>
      <c r="F30" s="199"/>
      <c r="G30" s="199"/>
    </row>
    <row r="31" ht="15.5" customHeight="1" hidden="1" spans="1:7" x14ac:dyDescent="0.25">
      <c r="A31" s="211"/>
      <c r="B31" s="215" t="s">
        <v>1409</v>
      </c>
      <c r="C31" s="216" t="s">
        <v>1410</v>
      </c>
      <c r="D31" s="217" t="s">
        <v>1411</v>
      </c>
      <c r="E31" s="218"/>
      <c r="F31" s="219"/>
      <c r="G31" s="216" t="s">
        <v>1412</v>
      </c>
    </row>
    <row r="32" ht="17" customHeight="1" spans="1:8" s="220" customFormat="1" x14ac:dyDescent="0.25">
      <c r="A32" s="221">
        <v>8</v>
      </c>
      <c r="B32" s="222" t="s">
        <v>1413</v>
      </c>
      <c r="C32" s="222"/>
      <c r="D32" s="222"/>
      <c r="E32" s="222"/>
      <c r="F32" s="222"/>
      <c r="G32" s="223"/>
      <c r="H32" s="224"/>
    </row>
    <row r="33" ht="34.9" customHeight="1" spans="1:7" s="220" customFormat="1" x14ac:dyDescent="0.25">
      <c r="A33" s="225"/>
      <c r="B33" s="226" t="str">
        <f>"Current / Assessment / Target Year Corresponds to"</f>
        <v>Current / Assessment / Target Year Corresponds to</v>
      </c>
      <c r="C33" s="227" t="s">
        <v>1414</v>
      </c>
      <c r="D33" s="228"/>
      <c r="E33" s="228"/>
      <c r="F33" s="228"/>
      <c r="G33" s="229"/>
    </row>
    <row r="34" ht="16.5" customHeight="1" spans="1:8" s="230" customFormat="1" x14ac:dyDescent="0.25">
      <c r="A34" s="231">
        <v>9</v>
      </c>
      <c r="B34" s="232" t="s">
        <v>1415</v>
      </c>
      <c r="C34" s="232"/>
      <c r="D34" s="232"/>
      <c r="E34" s="232"/>
      <c r="F34" s="232"/>
      <c r="G34" s="233"/>
      <c r="H34" s="224"/>
    </row>
    <row r="35" ht="29" customHeight="1" spans="1:7" s="220" customFormat="1" x14ac:dyDescent="0.25">
      <c r="A35" s="234" t="s">
        <v>54</v>
      </c>
      <c r="B35" s="226" t="s">
        <v>1416</v>
      </c>
      <c r="C35" s="227">
        <v>1</v>
      </c>
      <c r="D35" s="228"/>
      <c r="E35" s="228"/>
      <c r="F35" s="228"/>
      <c r="G35" s="229"/>
    </row>
    <row r="36" ht="17" customHeight="1" spans="1:7" s="220" customFormat="1" x14ac:dyDescent="0.25">
      <c r="A36" s="234" t="s">
        <v>459</v>
      </c>
      <c r="B36" s="226" t="str">
        <f>IF(C35=1,"Base Year Corresponds to","First Base Period Year Corresponds to")</f>
        <v>Base Year Corresponds to</v>
      </c>
      <c r="C36" s="227" t="s">
        <v>1417</v>
      </c>
      <c r="D36" s="228"/>
      <c r="E36" s="228"/>
      <c r="F36" s="228"/>
      <c r="G36" s="229"/>
    </row>
    <row r="37" ht="17" customHeight="1" spans="1:7" s="220" customFormat="1" x14ac:dyDescent="0.25">
      <c r="A37" s="234"/>
      <c r="B37" s="226" t="str">
        <f>IF(C35=1," ","Second Base Period Year Corresponds to")</f>
        <v> </v>
      </c>
      <c r="C37" s="227" t="s">
        <v>1418</v>
      </c>
      <c r="D37" s="228"/>
      <c r="E37" s="228"/>
      <c r="F37" s="228"/>
      <c r="G37" s="229"/>
    </row>
    <row r="38" ht="17.5" customHeight="1" spans="1:7" s="220" customFormat="1" x14ac:dyDescent="0.25">
      <c r="A38" s="235"/>
      <c r="B38" s="236" t="str">
        <f>IF(C35=3,"Third Base Period Year Corresponds to"," ")</f>
        <v> </v>
      </c>
      <c r="C38" s="237" t="s">
        <v>1419</v>
      </c>
      <c r="D38" s="238"/>
      <c r="E38" s="239"/>
      <c r="F38" s="239"/>
      <c r="G38" s="240"/>
    </row>
    <row r="39" ht="7.15" customHeight="1" spans="1:7" s="220" customFormat="1" x14ac:dyDescent="0.25">
      <c r="A39" s="241"/>
      <c r="B39" s="241"/>
      <c r="C39" s="241"/>
      <c r="D39" s="241"/>
      <c r="E39" s="241"/>
      <c r="F39" s="241"/>
      <c r="G39" s="241"/>
    </row>
    <row r="40" ht="17" customHeight="1" spans="1:7" s="220" customFormat="1" x14ac:dyDescent="0.25">
      <c r="A40" s="231">
        <v>10</v>
      </c>
      <c r="B40" s="232" t="s">
        <v>1420</v>
      </c>
      <c r="C40" s="232"/>
      <c r="D40" s="232"/>
      <c r="E40" s="232"/>
      <c r="F40" s="232"/>
      <c r="G40" s="233"/>
    </row>
    <row r="41" ht="17" customHeight="1" spans="1:7" s="220" customFormat="1" x14ac:dyDescent="0.25">
      <c r="A41" s="242" t="s">
        <v>1421</v>
      </c>
      <c r="B41" s="243" t="s">
        <v>1422</v>
      </c>
      <c r="C41" s="244" t="s">
        <v>1423</v>
      </c>
      <c r="D41" s="244" t="s">
        <v>47</v>
      </c>
      <c r="E41" s="244"/>
      <c r="F41" s="244"/>
      <c r="G41" s="244"/>
    </row>
    <row r="42" ht="17" customHeight="1" spans="1:7" s="220" customFormat="1" x14ac:dyDescent="0.25">
      <c r="A42" s="245">
        <v>1</v>
      </c>
      <c r="B42" s="246" t="s">
        <v>1424</v>
      </c>
      <c r="C42" s="247">
        <v>45574</v>
      </c>
      <c r="D42" s="1" t="s">
        <v>1425</v>
      </c>
      <c r="E42" s="1"/>
      <c r="F42" s="1"/>
      <c r="G42" s="1"/>
    </row>
    <row r="43" ht="55.15" customHeight="1" spans="1:7" s="220" customFormat="1" x14ac:dyDescent="0.25">
      <c r="A43" s="245">
        <v>2</v>
      </c>
      <c r="B43" s="246" t="s">
        <v>1426</v>
      </c>
      <c r="C43" s="247">
        <v>45584</v>
      </c>
      <c r="D43" s="248" t="s">
        <v>1427</v>
      </c>
      <c r="E43" s="249"/>
      <c r="F43" s="249"/>
      <c r="G43" s="249"/>
    </row>
    <row r="44" ht="96.65" customHeight="1" spans="1:7" s="220" customFormat="1" x14ac:dyDescent="0.25">
      <c r="A44" s="245">
        <v>3</v>
      </c>
      <c r="B44" s="246" t="s">
        <v>1428</v>
      </c>
      <c r="C44" s="247">
        <v>45651</v>
      </c>
      <c r="D44" s="250" t="s">
        <v>1429</v>
      </c>
      <c r="E44" s="250"/>
      <c r="F44" s="250"/>
      <c r="G44" s="250"/>
    </row>
    <row r="45" ht="17" customHeight="1" spans="1:7" s="220" customFormat="1" x14ac:dyDescent="0.25">
      <c r="A45" s="245">
        <v>4</v>
      </c>
      <c r="B45" s="246" t="s">
        <v>1430</v>
      </c>
      <c r="C45" s="251">
        <v>45687</v>
      </c>
      <c r="D45" s="250" t="s">
        <v>1431</v>
      </c>
      <c r="E45" s="250"/>
      <c r="F45" s="250"/>
      <c r="G45" s="250"/>
    </row>
    <row r="46" ht="17" customHeight="1" spans="1:7" s="220" customFormat="1" x14ac:dyDescent="0.25">
      <c r="A46" s="245"/>
      <c r="B46" s="246"/>
      <c r="C46" s="1"/>
      <c r="D46" s="244"/>
      <c r="E46" s="244"/>
      <c r="F46" s="244"/>
      <c r="G46" s="244"/>
    </row>
    <row r="47" ht="17" customHeight="1" spans="1:7" s="220" customFormat="1" x14ac:dyDescent="0.25">
      <c r="A47" s="246"/>
      <c r="B47" s="252"/>
      <c r="C47" s="1"/>
      <c r="D47" s="1"/>
      <c r="E47" s="1"/>
      <c r="F47" s="1"/>
      <c r="G47" s="1"/>
    </row>
  </sheetData>
  <sheetProtection sheet="1" algorithmName="SHA-512" hashValue="HxJsbN7jl865PNv5qg9ZvBQsNPw0L8lVo72HBQvCnMcu0jhjDAvw2jgO1A6LnFG3r4qSVluFLhEHvULxJcEbqQ==" saltValue="YcZfMRrEBTlRE3QHO0iVsw==" spinCount="100000" objects="1" scenarios="1"/>
  <mergeCells count="61">
    <mergeCell ref="A1:G1"/>
    <mergeCell ref="A2:G2"/>
    <mergeCell ref="C3:G3"/>
    <mergeCell ref="C4:D4"/>
    <mergeCell ref="E4:F4"/>
    <mergeCell ref="C5:G5"/>
    <mergeCell ref="C6:G6"/>
    <mergeCell ref="C7:G7"/>
    <mergeCell ref="B8:G8"/>
    <mergeCell ref="C9:G9"/>
    <mergeCell ref="A9:A12"/>
    <mergeCell ref="C10:G10"/>
    <mergeCell ref="C11:D11"/>
    <mergeCell ref="F11:G11"/>
    <mergeCell ref="C12:D12"/>
    <mergeCell ref="F12:G12"/>
    <mergeCell ref="C13:G13"/>
    <mergeCell ref="A13:A16"/>
    <mergeCell ref="C14:G14"/>
    <mergeCell ref="C15:D15"/>
    <mergeCell ref="F15:G15"/>
    <mergeCell ref="E16:G16"/>
    <mergeCell ref="C17:G17"/>
    <mergeCell ref="C18:G18"/>
    <mergeCell ref="A18:A24"/>
    <mergeCell ref="C19:G19"/>
    <mergeCell ref="C20:G20"/>
    <mergeCell ref="C21:D21"/>
    <mergeCell ref="F21:G21"/>
    <mergeCell ref="C22:G22"/>
    <mergeCell ref="C23:D23"/>
    <mergeCell ref="F23:G23"/>
    <mergeCell ref="C24:D24"/>
    <mergeCell ref="F24:G24"/>
    <mergeCell ref="B25:G25"/>
    <mergeCell ref="C26:G26"/>
    <mergeCell ref="A26:A31"/>
    <mergeCell ref="C27:D27"/>
    <mergeCell ref="E27:F27"/>
    <mergeCell ref="C28:G28"/>
    <mergeCell ref="C29:D29"/>
    <mergeCell ref="F29:G29"/>
    <mergeCell ref="E30:G30"/>
    <mergeCell ref="D31:F31"/>
    <mergeCell ref="B32:G32"/>
    <mergeCell ref="D33:G33"/>
    <mergeCell ref="B34:G34"/>
    <mergeCell ref="D35:G35"/>
    <mergeCell ref="D36:G36"/>
    <mergeCell ref="A36:A38"/>
    <mergeCell ref="D37:G37"/>
    <mergeCell ref="D38:G38"/>
    <mergeCell ref="A39:G39"/>
    <mergeCell ref="B40:G40"/>
    <mergeCell ref="D41:G41"/>
    <mergeCell ref="D42:G42"/>
    <mergeCell ref="D43:G43"/>
    <mergeCell ref="D44:G44"/>
    <mergeCell ref="D45:G45"/>
    <mergeCell ref="D46:G46"/>
    <mergeCell ref="D47:G47"/>
  </mergeCells>
  <conditionalFormatting sqref="C37:C38">
    <cfRule type="expression" dxfId="6" priority="2">
      <formula>$C$35=1</formula>
    </cfRule>
  </conditionalFormatting>
  <conditionalFormatting sqref="C38">
    <cfRule type="expression" dxfId="7" priority="1">
      <formula>$C$35&lt;3</formula>
    </cfRule>
  </conditionalFormatting>
  <dataValidations count="5">
    <dataValidation type="list" allowBlank="1" showInputMessage="1" showErrorMessage="1" sqref="C33">
      <formula1>"2018-19,2019-20,2020-21,2021-22,2022-23,2023-24,2024-25,2025-26,2026-27,2027-28,2028-29,2029-30,2030-31,2031-32,2032-33,2033-34,2034-35,2035-36,2036-37,2037-38,2038-39,2039-40"</formula1>
    </dataValidation>
    <dataValidation type="list" allowBlank="1" showInputMessage="1" showErrorMessage="1" sqref="C35">
      <formula1>"1,2,3"</formula1>
    </dataValidation>
    <dataValidation type="list" allowBlank="1" showInputMessage="1" showErrorMessage="1" sqref="C36:C38">
      <formula1>"2010-11,2011-12,2012-13,2013-14,2014-15,2015-16,2016-17,2017-18,2018-19,2019-20,2020-21,2021-22,2022-23,2023-24,2024-25,2025-26,2026-27,2027-28,2028-29,2029-30,2030-31,2031-32,2032-33,2033-34,2034-35,2035-36,2036-37,2037-38,2038-39,2039-40"</formula1>
    </dataValidation>
    <dataValidation type="list" allowBlank="1" showInputMessage="1" showErrorMessage="1" sqref="C4">
      <formula1>"REFINERY, SMELTER, INTEGRATED"</formula1>
    </dataValidation>
    <dataValidation type="list" allowBlank="1" showInputMessage="1" showErrorMessage="1" sqref="C40">
      <formula1>"2010-11,2011-12,2012-13,2013-14,2014-15,2015-16,2016-17,2017-18,2018-19,2019-20,2020-21,2021-22,2022-23,2023-24,2024-25,2025-26,2026-27,2027-28,2028-29,2029-30,2030-31,2031-32,2032-33,2033-34,2034-35,2035-36,2036-37,2037-38,2038-39,2039-40"</formula1>
    </dataValidation>
  </dataValidations>
  <pageMargins left="0.7" right="0.7" top="0.75" bottom="0.28"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87"/>
  <sheetViews>
    <sheetView workbookViewId="0" zoomScale="68" zoomScaleNormal="68">
      <pane xSplit="2" ySplit="8" topLeftCell="C1436" activePane="bottomRight" state="frozen"/>
      <selection pane="bottomRight" activeCell="B1438" sqref="B1438"/>
    </sheetView>
  </sheetViews>
  <sheetFormatPr defaultRowHeight="14" outlineLevelRow="1" outlineLevelCol="0" x14ac:dyDescent="0.3" customHeight="1"/>
  <cols>
    <col min="1" max="1" width="7.26953125" style="253" customWidth="1"/>
    <col min="2" max="2" width="59.1796875" style="390" customWidth="1"/>
    <col min="3" max="3" width="19.7265625" style="253" customWidth="1"/>
    <col min="4" max="4" width="21.7265625" style="253" customWidth="1"/>
    <col min="5" max="5" width="20.1796875" style="253" customWidth="1"/>
    <col min="6" max="6" width="13.26953125" style="253" customWidth="1"/>
    <col min="7" max="7" width="13.1796875" style="324" customWidth="1"/>
    <col min="8" max="8" width="20.81640625" style="391" customWidth="1"/>
    <col min="9" max="9" width="21.453125" style="253" customWidth="1"/>
    <col min="10" max="10" width="45.453125" style="253" customWidth="1"/>
    <col min="11" max="11" width="35.7265625" style="392" customWidth="1"/>
    <col min="12" max="12" width="9.1796875" style="254" hidden="1" customWidth="1"/>
    <col min="13" max="13" width="17.7265625" style="254" hidden="1" customWidth="1"/>
    <col min="14" max="14" width="16.54296875" style="254" hidden="1" customWidth="1"/>
    <col min="15" max="16384" width="9.1796875" style="254" hidden="1" customWidth="1"/>
  </cols>
  <sheetData>
    <row r="1" ht="30" customHeight="1" spans="1:11" x14ac:dyDescent="0.25">
      <c r="A1" s="393" t="s">
        <v>1656</v>
      </c>
      <c r="B1" s="394"/>
      <c r="C1" s="394"/>
      <c r="D1" s="394"/>
      <c r="E1" s="394"/>
      <c r="F1" s="394"/>
      <c r="G1" s="394"/>
      <c r="H1" s="394"/>
      <c r="I1" s="394"/>
      <c r="J1" s="394"/>
      <c r="K1" s="394"/>
    </row>
    <row r="2" ht="25" customHeight="1" spans="1:11" x14ac:dyDescent="0.25">
      <c r="A2" s="395" t="s">
        <v>1657</v>
      </c>
      <c r="B2" s="395"/>
      <c r="C2" s="395"/>
      <c r="D2" s="395"/>
      <c r="E2" s="395"/>
      <c r="F2" s="395"/>
      <c r="G2" s="395"/>
      <c r="H2" s="395"/>
      <c r="I2" s="395"/>
      <c r="J2" s="395"/>
      <c r="K2" s="395"/>
    </row>
    <row r="3" ht="14.5" customHeight="1" spans="1:11" x14ac:dyDescent="0.25">
      <c r="A3" s="396" t="s">
        <v>1361</v>
      </c>
      <c r="B3" s="396"/>
      <c r="C3" s="397" t="str">
        <f>'General Information'!C3 &amp;"  "&amp;   'General Information'!C8</f>
        <v>HINDALCO INDUSTRIES LIMITED  </v>
      </c>
      <c r="D3" s="398"/>
      <c r="E3" s="398"/>
      <c r="F3" s="398"/>
      <c r="G3" s="398"/>
      <c r="H3" s="398"/>
      <c r="I3" s="398"/>
      <c r="J3" s="398"/>
      <c r="K3" s="398"/>
    </row>
    <row r="4" spans="1:11" x14ac:dyDescent="0.25">
      <c r="A4" s="399" t="s">
        <v>1658</v>
      </c>
      <c r="B4" s="400"/>
      <c r="C4" s="401" t="str">
        <f>'General Information'!C4 &amp;"  "&amp;   'General Information'!C8</f>
        <v>INTEGRATED  </v>
      </c>
      <c r="D4" s="402"/>
      <c r="E4" s="402"/>
      <c r="F4" s="402"/>
      <c r="G4" s="402"/>
      <c r="H4" s="402"/>
      <c r="I4" s="402"/>
      <c r="J4" s="402"/>
      <c r="K4" s="403"/>
    </row>
    <row r="5" spans="1:11" s="274" customFormat="1" x14ac:dyDescent="0.25">
      <c r="A5" s="399" t="s">
        <v>1659</v>
      </c>
      <c r="B5" s="400"/>
      <c r="C5" s="404" t="str">
        <f>'General Information'!C5:G5</f>
        <v>MOLTEN ALUMINIUM</v>
      </c>
      <c r="D5" s="405"/>
      <c r="E5" s="405"/>
      <c r="F5" s="405"/>
      <c r="G5" s="405"/>
      <c r="H5" s="405"/>
      <c r="I5" s="405"/>
      <c r="J5" s="405"/>
      <c r="K5" s="406"/>
    </row>
    <row r="6" ht="14.5" customHeight="1" spans="1:11" s="274" customFormat="1" x14ac:dyDescent="0.25">
      <c r="A6" s="407" t="s">
        <v>1660</v>
      </c>
      <c r="B6" s="407"/>
      <c r="C6" s="408" t="s">
        <v>1661</v>
      </c>
      <c r="D6" s="408" t="s">
        <v>85</v>
      </c>
      <c r="E6" s="408" t="s">
        <v>374</v>
      </c>
      <c r="F6" s="408" t="s">
        <v>531</v>
      </c>
      <c r="G6" s="408" t="s">
        <v>1269</v>
      </c>
      <c r="H6" s="408" t="s">
        <v>1662</v>
      </c>
      <c r="I6" s="408" t="s">
        <v>1663</v>
      </c>
      <c r="J6" s="408" t="s">
        <v>1664</v>
      </c>
      <c r="K6" s="409"/>
    </row>
    <row r="7" ht="14.5" customHeight="1" spans="1:11" s="274" customFormat="1" x14ac:dyDescent="0.25">
      <c r="A7" s="410"/>
      <c r="B7" s="410"/>
      <c r="C7" s="408" t="s">
        <v>57</v>
      </c>
      <c r="D7" s="411" t="s">
        <v>1665</v>
      </c>
      <c r="E7" s="412" t="s">
        <v>1666</v>
      </c>
      <c r="F7" s="408" t="s">
        <v>1667</v>
      </c>
      <c r="G7" s="408" t="s">
        <v>1668</v>
      </c>
      <c r="H7" s="408" t="s">
        <v>1669</v>
      </c>
      <c r="I7" s="408" t="s">
        <v>1195</v>
      </c>
      <c r="J7" s="408" t="s">
        <v>1670</v>
      </c>
      <c r="K7" s="409"/>
    </row>
    <row r="8" ht="29" customHeight="1" spans="1:11" s="326" customFormat="1" x14ac:dyDescent="0.25">
      <c r="A8" s="331" t="s">
        <v>1543</v>
      </c>
      <c r="B8" s="332" t="s">
        <v>1544</v>
      </c>
      <c r="C8" s="331" t="s">
        <v>1545</v>
      </c>
      <c r="D8" s="331" t="s">
        <v>1453</v>
      </c>
      <c r="E8" s="413" t="str">
        <f>IF(K9=1,"Baseline Year","Year 1 
(Baseline)")</f>
        <v>Baseline Year</v>
      </c>
      <c r="F8" s="413" t="str">
        <f>IF($K$9=1,"Do not Enter any Data","Year 2 
(Baseline)")</f>
        <v>Do not Enter any Data</v>
      </c>
      <c r="G8" s="413" t="str">
        <f>IF($K$9=3,"Year 3 
(Baseline)","Do not Enter any Data")</f>
        <v>Do not Enter any Data</v>
      </c>
      <c r="H8" s="331" t="s">
        <v>1671</v>
      </c>
      <c r="I8" s="331" t="s">
        <v>1672</v>
      </c>
      <c r="J8" s="414" t="s">
        <v>1548</v>
      </c>
      <c r="K8" s="414" t="s">
        <v>1673</v>
      </c>
    </row>
    <row r="9" ht="14.5" customHeight="1" spans="1:11" s="326" customFormat="1" x14ac:dyDescent="0.25">
      <c r="A9" s="331"/>
      <c r="B9" s="332"/>
      <c r="C9" s="331"/>
      <c r="D9" s="331"/>
      <c r="E9" s="415" t="str">
        <f>'General Information'!C36</f>
        <v>2023-24</v>
      </c>
      <c r="F9" s="415">
        <f>IF('General Information'!C35=1,"",'General Information'!C37)</f>
      </c>
      <c r="G9" s="415" t="str">
        <f>IF('General Information'!C35=3,'General Information'!C38," ")</f>
        <v> </v>
      </c>
      <c r="H9" s="416" t="str">
        <f>IF(K9=1,E9,IF(K9=2,E9&amp;" , 
"&amp;F9,E9&amp;" , "&amp;F9&amp;" , "&amp;G9))</f>
        <v>2023-24</v>
      </c>
      <c r="I9" s="415" t="str">
        <f>'General Information'!C33</f>
        <v>2025-26</v>
      </c>
      <c r="J9" s="415"/>
      <c r="K9" s="417">
        <f>'General Information'!C35</f>
        <v>1</v>
      </c>
    </row>
    <row r="10" ht="18.75" customHeight="1" spans="1:11" s="326" customFormat="1" x14ac:dyDescent="0.25">
      <c r="A10" s="418" t="s">
        <v>1161</v>
      </c>
      <c r="B10" s="419" t="s">
        <v>1674</v>
      </c>
      <c r="C10" s="419"/>
      <c r="D10" s="419"/>
      <c r="E10" s="419"/>
      <c r="F10" s="419"/>
      <c r="G10" s="419"/>
      <c r="H10" s="419"/>
      <c r="I10" s="419"/>
      <c r="J10" s="419"/>
      <c r="K10" s="419"/>
    </row>
    <row r="11" ht="28" customHeight="1" spans="1:11" s="326" customFormat="1" x14ac:dyDescent="0.25">
      <c r="A11" s="420" t="s">
        <v>1675</v>
      </c>
      <c r="B11" s="421" t="s">
        <v>1676</v>
      </c>
      <c r="C11" s="422" t="s">
        <v>1677</v>
      </c>
      <c r="D11" s="423"/>
      <c r="E11" s="424"/>
      <c r="F11" s="425"/>
      <c r="G11" s="425"/>
      <c r="H11" s="424"/>
      <c r="I11" s="424"/>
      <c r="J11" s="426"/>
      <c r="K11" s="426"/>
    </row>
    <row r="12" ht="28" customHeight="1" spans="1:11" s="326" customFormat="1" x14ac:dyDescent="0.25">
      <c r="A12" s="420" t="s">
        <v>1678</v>
      </c>
      <c r="B12" s="421" t="s">
        <v>1679</v>
      </c>
      <c r="C12" s="422" t="s">
        <v>1677</v>
      </c>
      <c r="D12" s="423"/>
      <c r="E12" s="424"/>
      <c r="F12" s="425"/>
      <c r="G12" s="425"/>
      <c r="H12" s="424"/>
      <c r="I12" s="424"/>
      <c r="J12" s="426"/>
      <c r="K12" s="426"/>
    </row>
    <row r="13" ht="28" customHeight="1" spans="1:11" s="326" customFormat="1" x14ac:dyDescent="0.25">
      <c r="A13" s="420" t="s">
        <v>1680</v>
      </c>
      <c r="B13" s="421" t="s">
        <v>1681</v>
      </c>
      <c r="C13" s="422" t="s">
        <v>1677</v>
      </c>
      <c r="D13" s="423"/>
      <c r="E13" s="424"/>
      <c r="F13" s="425"/>
      <c r="G13" s="425"/>
      <c r="H13" s="424"/>
      <c r="I13" s="424"/>
      <c r="J13" s="426"/>
      <c r="K13" s="426"/>
    </row>
    <row r="14" ht="28" customHeight="1" spans="1:11" s="326" customFormat="1" x14ac:dyDescent="0.25">
      <c r="A14" s="420" t="s">
        <v>1682</v>
      </c>
      <c r="B14" s="421" t="s">
        <v>1683</v>
      </c>
      <c r="C14" s="422" t="s">
        <v>1677</v>
      </c>
      <c r="D14" s="423"/>
      <c r="E14" s="424"/>
      <c r="F14" s="425"/>
      <c r="G14" s="425"/>
      <c r="H14" s="424" t="s">
        <v>31</v>
      </c>
      <c r="I14" s="424"/>
      <c r="J14" s="426"/>
      <c r="K14" s="426"/>
    </row>
    <row r="15" ht="28" customHeight="1" spans="1:11" s="326" customFormat="1" x14ac:dyDescent="0.25">
      <c r="A15" s="420" t="s">
        <v>1684</v>
      </c>
      <c r="B15" s="421" t="s">
        <v>1685</v>
      </c>
      <c r="C15" s="422" t="s">
        <v>1677</v>
      </c>
      <c r="D15" s="423"/>
      <c r="E15" s="424"/>
      <c r="F15" s="425"/>
      <c r="G15" s="425"/>
      <c r="H15" s="424"/>
      <c r="I15" s="424"/>
      <c r="J15" s="426"/>
      <c r="K15" s="426"/>
    </row>
    <row r="16" ht="28" customHeight="1" spans="1:11" s="326" customFormat="1" x14ac:dyDescent="0.25">
      <c r="A16" s="420" t="s">
        <v>1686</v>
      </c>
      <c r="B16" s="421" t="s">
        <v>1687</v>
      </c>
      <c r="C16" s="422" t="s">
        <v>1677</v>
      </c>
      <c r="D16" s="423"/>
      <c r="E16" s="424"/>
      <c r="F16" s="425"/>
      <c r="G16" s="425"/>
      <c r="H16" s="424"/>
      <c r="I16" s="424"/>
      <c r="J16" s="426"/>
      <c r="K16" s="426"/>
    </row>
    <row r="17" ht="28" customHeight="1" spans="1:11" s="326" customFormat="1" x14ac:dyDescent="0.25">
      <c r="A17" s="420" t="s">
        <v>1688</v>
      </c>
      <c r="B17" s="421" t="s">
        <v>1689</v>
      </c>
      <c r="C17" s="422" t="s">
        <v>1677</v>
      </c>
      <c r="D17" s="423"/>
      <c r="E17" s="424"/>
      <c r="F17" s="425"/>
      <c r="G17" s="425"/>
      <c r="H17" s="424"/>
      <c r="I17" s="424"/>
      <c r="J17" s="426"/>
      <c r="K17" s="426"/>
    </row>
    <row r="18" ht="28" customHeight="1" spans="1:11" s="326" customFormat="1" x14ac:dyDescent="0.25">
      <c r="A18" s="427" t="s">
        <v>1690</v>
      </c>
      <c r="B18" s="421" t="s">
        <v>1691</v>
      </c>
      <c r="C18" s="422" t="s">
        <v>1677</v>
      </c>
      <c r="D18" s="423"/>
      <c r="E18" s="424"/>
      <c r="F18" s="425"/>
      <c r="G18" s="425"/>
      <c r="H18" s="424"/>
      <c r="I18" s="424"/>
      <c r="J18" s="426"/>
      <c r="K18" s="426"/>
    </row>
    <row r="19" ht="28" customHeight="1" spans="1:11" s="326" customFormat="1" x14ac:dyDescent="0.25">
      <c r="A19" s="420" t="s">
        <v>306</v>
      </c>
      <c r="B19" s="421" t="s">
        <v>1692</v>
      </c>
      <c r="C19" s="422" t="s">
        <v>1677</v>
      </c>
      <c r="D19" s="423"/>
      <c r="E19" s="424"/>
      <c r="F19" s="425"/>
      <c r="G19" s="425"/>
      <c r="H19" s="424"/>
      <c r="I19" s="424"/>
      <c r="J19" s="426"/>
      <c r="K19" s="426"/>
    </row>
    <row r="20" ht="28" customHeight="1" spans="1:11" s="326" customFormat="1" x14ac:dyDescent="0.25">
      <c r="A20" s="420" t="s">
        <v>1693</v>
      </c>
      <c r="B20" s="421" t="s">
        <v>1694</v>
      </c>
      <c r="C20" s="422" t="s">
        <v>1677</v>
      </c>
      <c r="D20" s="423"/>
      <c r="E20" s="424"/>
      <c r="F20" s="425"/>
      <c r="G20" s="425"/>
      <c r="H20" s="424"/>
      <c r="I20" s="424"/>
      <c r="J20" s="426"/>
      <c r="K20" s="426"/>
    </row>
    <row r="21" ht="28" customHeight="1" spans="1:11" s="326" customFormat="1" x14ac:dyDescent="0.25">
      <c r="A21" s="420" t="s">
        <v>1695</v>
      </c>
      <c r="B21" s="421" t="s">
        <v>1696</v>
      </c>
      <c r="C21" s="422" t="s">
        <v>1677</v>
      </c>
      <c r="D21" s="423"/>
      <c r="E21" s="424"/>
      <c r="F21" s="425"/>
      <c r="G21" s="425"/>
      <c r="H21" s="424"/>
      <c r="I21" s="424"/>
      <c r="J21" s="426"/>
      <c r="K21" s="426"/>
    </row>
    <row r="22" ht="28" customHeight="1" spans="1:11" s="326" customFormat="1" x14ac:dyDescent="0.25">
      <c r="A22" s="420" t="s">
        <v>1697</v>
      </c>
      <c r="B22" s="421" t="s">
        <v>1698</v>
      </c>
      <c r="C22" s="422" t="s">
        <v>1677</v>
      </c>
      <c r="D22" s="423"/>
      <c r="E22" s="424"/>
      <c r="F22" s="425"/>
      <c r="G22" s="425"/>
      <c r="H22" s="424"/>
      <c r="I22" s="424"/>
      <c r="J22" s="426"/>
      <c r="K22" s="426"/>
    </row>
    <row r="23" ht="28" customHeight="1" spans="1:11" s="326" customFormat="1" x14ac:dyDescent="0.25">
      <c r="A23" s="420" t="s">
        <v>1699</v>
      </c>
      <c r="B23" s="421" t="s">
        <v>1700</v>
      </c>
      <c r="C23" s="422" t="s">
        <v>1677</v>
      </c>
      <c r="D23" s="423"/>
      <c r="E23" s="424"/>
      <c r="F23" s="425"/>
      <c r="G23" s="425"/>
      <c r="H23" s="424"/>
      <c r="I23" s="424"/>
      <c r="J23" s="426"/>
      <c r="K23" s="426"/>
    </row>
    <row r="24" ht="28" customHeight="1" spans="1:11" s="326" customFormat="1" x14ac:dyDescent="0.25">
      <c r="A24" s="420" t="s">
        <v>1701</v>
      </c>
      <c r="B24" s="428" t="s">
        <v>1702</v>
      </c>
      <c r="C24" s="422" t="s">
        <v>1677</v>
      </c>
      <c r="D24" s="423"/>
      <c r="E24" s="424"/>
      <c r="F24" s="425"/>
      <c r="G24" s="425"/>
      <c r="H24" s="424"/>
      <c r="I24" s="424"/>
      <c r="J24" s="426"/>
      <c r="K24" s="426"/>
    </row>
    <row r="25" ht="28" customHeight="1" spans="1:11" s="326" customFormat="1" x14ac:dyDescent="0.25">
      <c r="A25" s="420" t="s">
        <v>1703</v>
      </c>
      <c r="B25" s="421" t="s">
        <v>1704</v>
      </c>
      <c r="C25" s="422" t="s">
        <v>1677</v>
      </c>
      <c r="D25" s="423"/>
      <c r="E25" s="424"/>
      <c r="F25" s="425"/>
      <c r="G25" s="425"/>
      <c r="H25" s="424"/>
      <c r="I25" s="424"/>
      <c r="J25" s="426"/>
      <c r="K25" s="426"/>
    </row>
    <row r="26" ht="28" customHeight="1" spans="1:11" s="326" customFormat="1" x14ac:dyDescent="0.25">
      <c r="A26" s="420" t="s">
        <v>1705</v>
      </c>
      <c r="B26" s="421" t="s">
        <v>1706</v>
      </c>
      <c r="C26" s="422" t="s">
        <v>1677</v>
      </c>
      <c r="D26" s="423"/>
      <c r="E26" s="424"/>
      <c r="F26" s="425"/>
      <c r="G26" s="425"/>
      <c r="H26" s="424"/>
      <c r="I26" s="424"/>
      <c r="J26" s="426"/>
      <c r="K26" s="426"/>
    </row>
    <row r="27" ht="14.5" customHeight="1" spans="1:11" s="326" customFormat="1" x14ac:dyDescent="0.25">
      <c r="A27" s="429" t="s">
        <v>1707</v>
      </c>
      <c r="B27" s="430" t="s">
        <v>1708</v>
      </c>
      <c r="C27" s="430"/>
      <c r="D27" s="431"/>
      <c r="E27" s="431"/>
      <c r="F27" s="432"/>
      <c r="G27" s="432"/>
      <c r="H27" s="431"/>
      <c r="I27" s="431"/>
      <c r="J27" s="433"/>
      <c r="K27" s="433"/>
    </row>
    <row r="28" ht="28" customHeight="1" spans="1:11" s="326" customFormat="1" x14ac:dyDescent="0.25">
      <c r="A28" s="434" t="s">
        <v>1675</v>
      </c>
      <c r="B28" s="435" t="s">
        <v>1709</v>
      </c>
      <c r="C28" s="422" t="s">
        <v>1677</v>
      </c>
      <c r="D28" s="423"/>
      <c r="E28" s="424"/>
      <c r="F28" s="425"/>
      <c r="G28" s="425"/>
      <c r="H28" s="424"/>
      <c r="I28" s="424"/>
      <c r="J28" s="426"/>
      <c r="K28" s="426"/>
    </row>
    <row r="29" ht="28" customHeight="1" spans="1:11" s="326" customFormat="1" x14ac:dyDescent="0.25">
      <c r="A29" s="434" t="s">
        <v>1678</v>
      </c>
      <c r="B29" s="435" t="s">
        <v>1710</v>
      </c>
      <c r="C29" s="422" t="s">
        <v>1677</v>
      </c>
      <c r="D29" s="423"/>
      <c r="E29" s="424"/>
      <c r="F29" s="425"/>
      <c r="G29" s="425"/>
      <c r="H29" s="424"/>
      <c r="I29" s="424"/>
      <c r="J29" s="426"/>
      <c r="K29" s="426"/>
    </row>
    <row r="30" ht="28" customHeight="1" spans="1:11" s="326" customFormat="1" x14ac:dyDescent="0.25">
      <c r="A30" s="434" t="s">
        <v>1680</v>
      </c>
      <c r="B30" s="435" t="s">
        <v>1711</v>
      </c>
      <c r="C30" s="422" t="s">
        <v>1677</v>
      </c>
      <c r="D30" s="423"/>
      <c r="E30" s="424"/>
      <c r="F30" s="425"/>
      <c r="G30" s="425"/>
      <c r="H30" s="424"/>
      <c r="I30" s="424"/>
      <c r="J30" s="426"/>
      <c r="K30" s="426"/>
    </row>
    <row r="31" ht="28" customHeight="1" spans="1:11" s="326" customFormat="1" x14ac:dyDescent="0.25">
      <c r="A31" s="434" t="s">
        <v>1682</v>
      </c>
      <c r="B31" s="435" t="s">
        <v>1712</v>
      </c>
      <c r="C31" s="422" t="s">
        <v>1677</v>
      </c>
      <c r="D31" s="423"/>
      <c r="E31" s="424"/>
      <c r="F31" s="425"/>
      <c r="G31" s="425"/>
      <c r="H31" s="424"/>
      <c r="I31" s="424"/>
      <c r="J31" s="426"/>
      <c r="K31" s="426"/>
    </row>
    <row r="32" ht="28" customHeight="1" spans="1:11" s="326" customFormat="1" x14ac:dyDescent="0.25">
      <c r="A32" s="434" t="s">
        <v>1684</v>
      </c>
      <c r="B32" s="435" t="s">
        <v>1713</v>
      </c>
      <c r="C32" s="422" t="s">
        <v>1677</v>
      </c>
      <c r="D32" s="423"/>
      <c r="E32" s="424"/>
      <c r="F32" s="425"/>
      <c r="G32" s="425"/>
      <c r="H32" s="424"/>
      <c r="I32" s="424"/>
      <c r="J32" s="426"/>
      <c r="K32" s="426"/>
    </row>
    <row r="33" ht="28" customHeight="1" spans="1:11" s="326" customFormat="1" x14ac:dyDescent="0.25">
      <c r="A33" s="434" t="s">
        <v>1686</v>
      </c>
      <c r="B33" s="435" t="s">
        <v>1714</v>
      </c>
      <c r="C33" s="422" t="s">
        <v>1677</v>
      </c>
      <c r="D33" s="423"/>
      <c r="E33" s="424"/>
      <c r="F33" s="425"/>
      <c r="G33" s="425"/>
      <c r="H33" s="424"/>
      <c r="I33" s="424"/>
      <c r="J33" s="426"/>
      <c r="K33" s="426"/>
    </row>
    <row r="34" ht="28" customHeight="1" spans="1:11" s="326" customFormat="1" x14ac:dyDescent="0.25">
      <c r="A34" s="434" t="s">
        <v>1688</v>
      </c>
      <c r="B34" s="435" t="s">
        <v>1715</v>
      </c>
      <c r="C34" s="422" t="s">
        <v>1677</v>
      </c>
      <c r="D34" s="423"/>
      <c r="E34" s="424"/>
      <c r="F34" s="425"/>
      <c r="G34" s="425"/>
      <c r="H34" s="424"/>
      <c r="I34" s="424"/>
      <c r="J34" s="426"/>
      <c r="K34" s="426"/>
    </row>
    <row r="35" ht="28" customHeight="1" spans="1:11" s="326" customFormat="1" x14ac:dyDescent="0.25">
      <c r="A35" s="436" t="s">
        <v>1690</v>
      </c>
      <c r="B35" s="435" t="s">
        <v>1716</v>
      </c>
      <c r="C35" s="422" t="s">
        <v>1677</v>
      </c>
      <c r="D35" s="423"/>
      <c r="E35" s="424"/>
      <c r="F35" s="425"/>
      <c r="G35" s="425"/>
      <c r="H35" s="424"/>
      <c r="I35" s="424"/>
      <c r="J35" s="426"/>
      <c r="K35" s="426"/>
    </row>
    <row r="36" ht="28" customHeight="1" spans="1:11" s="326" customFormat="1" x14ac:dyDescent="0.25">
      <c r="A36" s="434" t="s">
        <v>306</v>
      </c>
      <c r="B36" s="435" t="s">
        <v>1717</v>
      </c>
      <c r="C36" s="422" t="s">
        <v>1677</v>
      </c>
      <c r="D36" s="423"/>
      <c r="E36" s="424"/>
      <c r="F36" s="425"/>
      <c r="G36" s="425"/>
      <c r="H36" s="424"/>
      <c r="I36" s="424"/>
      <c r="J36" s="426"/>
      <c r="K36" s="426"/>
    </row>
    <row r="37" ht="28" customHeight="1" spans="1:11" s="326" customFormat="1" x14ac:dyDescent="0.25">
      <c r="A37" s="434" t="s">
        <v>1693</v>
      </c>
      <c r="B37" s="435" t="s">
        <v>1718</v>
      </c>
      <c r="C37" s="422" t="s">
        <v>1677</v>
      </c>
      <c r="D37" s="423"/>
      <c r="E37" s="424"/>
      <c r="F37" s="425"/>
      <c r="G37" s="425"/>
      <c r="H37" s="424"/>
      <c r="I37" s="424"/>
      <c r="J37" s="426"/>
      <c r="K37" s="426"/>
    </row>
    <row r="38" ht="28" customHeight="1" spans="1:11" s="326" customFormat="1" x14ac:dyDescent="0.25">
      <c r="A38" s="422" t="s">
        <v>1695</v>
      </c>
      <c r="B38" s="435" t="s">
        <v>1719</v>
      </c>
      <c r="C38" s="422" t="s">
        <v>1677</v>
      </c>
      <c r="D38" s="423"/>
      <c r="E38" s="424"/>
      <c r="F38" s="425"/>
      <c r="G38" s="425"/>
      <c r="H38" s="424"/>
      <c r="I38" s="424"/>
      <c r="J38" s="426"/>
      <c r="K38" s="426"/>
    </row>
    <row r="39" ht="28" customHeight="1" spans="1:11" s="326" customFormat="1" x14ac:dyDescent="0.25">
      <c r="A39" s="422" t="s">
        <v>1697</v>
      </c>
      <c r="B39" s="435" t="s">
        <v>1720</v>
      </c>
      <c r="C39" s="422" t="s">
        <v>1677</v>
      </c>
      <c r="D39" s="423"/>
      <c r="E39" s="424"/>
      <c r="F39" s="425"/>
      <c r="G39" s="425"/>
      <c r="H39" s="424"/>
      <c r="I39" s="424"/>
      <c r="J39" s="426"/>
      <c r="K39" s="426"/>
    </row>
    <row r="40" ht="28" customHeight="1" spans="1:11" s="326" customFormat="1" x14ac:dyDescent="0.25">
      <c r="A40" s="422" t="s">
        <v>1699</v>
      </c>
      <c r="B40" s="435" t="s">
        <v>1721</v>
      </c>
      <c r="C40" s="422" t="s">
        <v>1677</v>
      </c>
      <c r="D40" s="423"/>
      <c r="E40" s="424"/>
      <c r="F40" s="425"/>
      <c r="G40" s="425"/>
      <c r="H40" s="424"/>
      <c r="I40" s="424"/>
      <c r="J40" s="426"/>
      <c r="K40" s="426"/>
    </row>
    <row r="41" spans="1:11" x14ac:dyDescent="0.25">
      <c r="A41" s="437" t="s">
        <v>54</v>
      </c>
      <c r="B41" s="438" t="s">
        <v>55</v>
      </c>
      <c r="C41" s="439"/>
      <c r="D41" s="440"/>
      <c r="E41" s="440"/>
      <c r="F41" s="440"/>
      <c r="G41" s="440"/>
      <c r="H41" s="441"/>
      <c r="I41" s="440"/>
      <c r="J41" s="442"/>
      <c r="K41" s="442"/>
    </row>
    <row r="42" spans="1:11" x14ac:dyDescent="0.25">
      <c r="A42" s="437" t="s">
        <v>56</v>
      </c>
      <c r="B42" s="438" t="s">
        <v>57</v>
      </c>
      <c r="C42" s="439"/>
      <c r="D42" s="440"/>
      <c r="E42" s="440"/>
      <c r="F42" s="440"/>
      <c r="G42" s="440"/>
      <c r="H42" s="441"/>
      <c r="I42" s="440"/>
      <c r="J42" s="442"/>
      <c r="K42" s="442"/>
    </row>
    <row r="43" ht="28" customHeight="1" spans="1:11" x14ac:dyDescent="0.25">
      <c r="A43" s="443" t="s">
        <v>58</v>
      </c>
      <c r="B43" s="349" t="s">
        <v>1722</v>
      </c>
      <c r="C43" s="293" t="s">
        <v>1723</v>
      </c>
      <c r="D43" s="293" t="s">
        <v>1456</v>
      </c>
      <c r="E43" s="444"/>
      <c r="F43" s="445"/>
      <c r="G43" s="445"/>
      <c r="H43" s="446">
        <f>IF(K$9=1,E43,IF(K$9=2,(E43+F43)/2,(E43+F43+G43)/3))</f>
        <v>700000</v>
      </c>
      <c r="I43" s="426"/>
      <c r="J43" s="426"/>
      <c r="K43" s="447"/>
    </row>
    <row r="44" ht="28" customHeight="1" spans="1:11" x14ac:dyDescent="0.25">
      <c r="A44" s="443" t="s">
        <v>64</v>
      </c>
      <c r="B44" s="349" t="s">
        <v>1724</v>
      </c>
      <c r="C44" s="293" t="s">
        <v>1723</v>
      </c>
      <c r="D44" s="293" t="s">
        <v>1456</v>
      </c>
      <c r="E44" s="444"/>
      <c r="F44" s="445"/>
      <c r="G44" s="445"/>
      <c r="H44" s="446">
        <f t="shared" ref="H44:H47" si="0">IF(K$9=1,E44,IF(K$9=2,(E44+F44)/2,(E44+F44+G44)/3))</f>
        <v>685150</v>
      </c>
      <c r="I44" s="426"/>
      <c r="J44" s="426"/>
      <c r="K44" s="448"/>
    </row>
    <row r="45" ht="14.5" customHeight="1" spans="1:11" x14ac:dyDescent="0.25">
      <c r="A45" s="443" t="s">
        <v>68</v>
      </c>
      <c r="B45" s="349" t="s">
        <v>1725</v>
      </c>
      <c r="C45" s="293" t="s">
        <v>61</v>
      </c>
      <c r="D45" s="293" t="s">
        <v>1456</v>
      </c>
      <c r="E45" s="444"/>
      <c r="F45" s="445"/>
      <c r="G45" s="445"/>
      <c r="H45" s="446">
        <f t="shared" si="0"/>
        <v>565600</v>
      </c>
      <c r="I45" s="426"/>
      <c r="J45" s="449"/>
      <c r="K45" s="447"/>
    </row>
    <row r="46" ht="14.5" customHeight="1" spans="1:11" x14ac:dyDescent="0.25">
      <c r="A46" s="443" t="s">
        <v>74</v>
      </c>
      <c r="B46" s="349" t="s">
        <v>1726</v>
      </c>
      <c r="C46" s="293" t="s">
        <v>61</v>
      </c>
      <c r="D46" s="293" t="s">
        <v>1456</v>
      </c>
      <c r="E46" s="450"/>
      <c r="F46" s="445"/>
      <c r="G46" s="445"/>
      <c r="H46" s="446">
        <f t="shared" si="0"/>
        <v>561459</v>
      </c>
      <c r="I46" s="426"/>
      <c r="J46" s="426"/>
      <c r="K46" s="447"/>
    </row>
    <row r="47" ht="14.5" customHeight="1" spans="1:11" x14ac:dyDescent="0.25">
      <c r="A47" s="451" t="s">
        <v>80</v>
      </c>
      <c r="B47" s="435" t="s">
        <v>1727</v>
      </c>
      <c r="C47" s="422" t="s">
        <v>61</v>
      </c>
      <c r="D47" s="422" t="s">
        <v>1456</v>
      </c>
      <c r="E47" s="450"/>
      <c r="F47" s="445"/>
      <c r="G47" s="445"/>
      <c r="H47" s="446">
        <f t="shared" si="0"/>
        <v>1077335</v>
      </c>
      <c r="I47" s="426"/>
      <c r="J47" s="426"/>
      <c r="K47" s="447"/>
    </row>
    <row r="48" ht="28" customHeight="1" spans="1:11" x14ac:dyDescent="0.25">
      <c r="A48" s="452" t="s">
        <v>82</v>
      </c>
      <c r="B48" s="453" t="s">
        <v>1728</v>
      </c>
      <c r="C48" s="452" t="s">
        <v>1729</v>
      </c>
      <c r="D48" s="452" t="s">
        <v>1493</v>
      </c>
      <c r="E48" s="454">
        <f t="shared" ref="E48:F48" si="1">IF(E43=0, 0, (E45/E43)*100)</f>
        <v>80.80000000000001</v>
      </c>
      <c r="F48" s="454">
        <f t="shared" si="1"/>
        <v>0</v>
      </c>
      <c r="G48" s="454">
        <f t="shared" ref="G48:I49" si="2">IF(G43=0, 0, (G45/G43)*100)</f>
        <v>0</v>
      </c>
      <c r="H48" s="446">
        <f t="shared" si="2"/>
        <v>80.80000000000001</v>
      </c>
      <c r="I48" s="454">
        <f t="shared" si="2"/>
        <v>0</v>
      </c>
      <c r="J48" s="455"/>
      <c r="K48" s="456"/>
    </row>
    <row r="49" ht="28" customHeight="1" spans="1:11" s="457" customFormat="1" x14ac:dyDescent="0.25">
      <c r="A49" s="452" t="s">
        <v>121</v>
      </c>
      <c r="B49" s="453" t="s">
        <v>1730</v>
      </c>
      <c r="C49" s="452" t="s">
        <v>1731</v>
      </c>
      <c r="D49" s="452" t="s">
        <v>1493</v>
      </c>
      <c r="E49" s="454">
        <f t="shared" ref="E49:F49" si="3">IF(E44=0, 0, (E46/E44)*100)</f>
        <v>81.94687294752974</v>
      </c>
      <c r="F49" s="454">
        <f t="shared" si="3"/>
        <v>0</v>
      </c>
      <c r="G49" s="454">
        <f t="shared" si="2"/>
        <v>0</v>
      </c>
      <c r="H49" s="446">
        <f t="shared" si="2"/>
        <v>81.94687294752974</v>
      </c>
      <c r="I49" s="454">
        <f t="shared" si="2"/>
        <v>0</v>
      </c>
      <c r="J49" s="455"/>
      <c r="K49" s="456"/>
    </row>
    <row r="50" spans="1:11" x14ac:dyDescent="0.25">
      <c r="A50" s="458"/>
      <c r="B50" s="459"/>
      <c r="C50" s="460"/>
      <c r="D50" s="458"/>
      <c r="E50" s="461"/>
      <c r="F50" s="461"/>
      <c r="G50" s="461"/>
      <c r="H50" s="462"/>
      <c r="I50" s="461"/>
      <c r="J50" s="463"/>
      <c r="K50" s="464"/>
    </row>
    <row r="51" spans="1:11" x14ac:dyDescent="0.25">
      <c r="A51" s="437" t="s">
        <v>84</v>
      </c>
      <c r="B51" s="438" t="s">
        <v>85</v>
      </c>
      <c r="C51" s="439"/>
      <c r="D51" s="440"/>
      <c r="E51" s="440"/>
      <c r="F51" s="440"/>
      <c r="G51" s="440"/>
      <c r="H51" s="441"/>
      <c r="I51" s="440"/>
      <c r="J51" s="442"/>
      <c r="K51" s="442"/>
    </row>
    <row r="52" ht="28" customHeight="1" spans="1:11" x14ac:dyDescent="0.25">
      <c r="A52" s="443" t="s">
        <v>58</v>
      </c>
      <c r="B52" s="349" t="s">
        <v>1732</v>
      </c>
      <c r="C52" s="293" t="s">
        <v>1723</v>
      </c>
      <c r="D52" s="293" t="s">
        <v>1456</v>
      </c>
      <c r="E52" s="228"/>
      <c r="F52" s="445"/>
      <c r="G52" s="445"/>
      <c r="H52" s="446">
        <f t="shared" ref="H52:H57" si="4">IF(K$9=1,E52,IF(K$9=2,(E52+F52)/2,(E52+F52+G52)/3))</f>
        <v>345000</v>
      </c>
      <c r="I52" s="228"/>
      <c r="J52" s="228"/>
      <c r="K52" s="447"/>
    </row>
    <row r="53" ht="28" customHeight="1" spans="1:11" x14ac:dyDescent="0.25">
      <c r="A53" s="443" t="s">
        <v>64</v>
      </c>
      <c r="B53" s="349" t="s">
        <v>1733</v>
      </c>
      <c r="C53" s="293" t="s">
        <v>1723</v>
      </c>
      <c r="D53" s="293" t="s">
        <v>1456</v>
      </c>
      <c r="E53" s="228"/>
      <c r="F53" s="445"/>
      <c r="G53" s="445"/>
      <c r="H53" s="446">
        <f t="shared" si="4"/>
        <v>278300</v>
      </c>
      <c r="I53" s="228"/>
      <c r="J53" s="228"/>
      <c r="K53" s="447"/>
    </row>
    <row r="54" ht="14.5" customHeight="1" spans="1:11" x14ac:dyDescent="0.25">
      <c r="A54" s="443" t="s">
        <v>68</v>
      </c>
      <c r="B54" s="349" t="s">
        <v>1734</v>
      </c>
      <c r="C54" s="293" t="s">
        <v>61</v>
      </c>
      <c r="D54" s="293" t="s">
        <v>1456</v>
      </c>
      <c r="E54" s="228"/>
      <c r="F54" s="445"/>
      <c r="G54" s="445"/>
      <c r="H54" s="446">
        <f t="shared" si="4"/>
        <v>410661.738</v>
      </c>
      <c r="I54" s="228"/>
      <c r="J54" s="228"/>
      <c r="K54" s="447"/>
    </row>
    <row r="55" ht="14.5" customHeight="1" spans="1:11" x14ac:dyDescent="0.25">
      <c r="A55" s="443" t="s">
        <v>74</v>
      </c>
      <c r="B55" s="349" t="s">
        <v>1735</v>
      </c>
      <c r="C55" s="293" t="s">
        <v>61</v>
      </c>
      <c r="D55" s="293" t="s">
        <v>1456</v>
      </c>
      <c r="E55" s="228"/>
      <c r="F55" s="445"/>
      <c r="G55" s="445"/>
      <c r="H55" s="446">
        <f t="shared" si="4"/>
        <v>381860.332</v>
      </c>
      <c r="I55" s="228"/>
      <c r="J55" s="228"/>
      <c r="K55" s="447"/>
    </row>
    <row r="56" ht="14.5" customHeight="1" spans="1:11" x14ac:dyDescent="0.25">
      <c r="A56" s="451" t="s">
        <v>80</v>
      </c>
      <c r="B56" s="435" t="s">
        <v>1736</v>
      </c>
      <c r="C56" s="422" t="s">
        <v>61</v>
      </c>
      <c r="D56" s="422" t="s">
        <v>1456</v>
      </c>
      <c r="E56" s="228"/>
      <c r="F56" s="445"/>
      <c r="G56" s="445"/>
      <c r="H56" s="446">
        <f t="shared" si="4"/>
        <v>5742.05</v>
      </c>
      <c r="I56" s="228"/>
      <c r="J56" s="228"/>
      <c r="K56" s="447"/>
    </row>
    <row r="57" ht="14.5" customHeight="1" spans="1:11" x14ac:dyDescent="0.25">
      <c r="A57" s="451" t="s">
        <v>82</v>
      </c>
      <c r="B57" s="435" t="s">
        <v>1737</v>
      </c>
      <c r="C57" s="422" t="s">
        <v>61</v>
      </c>
      <c r="D57" s="422" t="s">
        <v>1456</v>
      </c>
      <c r="E57" s="228"/>
      <c r="F57" s="445"/>
      <c r="G57" s="445"/>
      <c r="H57" s="446">
        <f t="shared" si="4"/>
        <v>6981.481</v>
      </c>
      <c r="I57" s="228"/>
      <c r="J57" s="228"/>
      <c r="K57" s="447"/>
    </row>
    <row r="58" ht="28" customHeight="1" spans="1:11" x14ac:dyDescent="0.25">
      <c r="A58" s="452" t="s">
        <v>121</v>
      </c>
      <c r="B58" s="453" t="s">
        <v>1738</v>
      </c>
      <c r="C58" s="452" t="s">
        <v>1739</v>
      </c>
      <c r="D58" s="452" t="s">
        <v>1493</v>
      </c>
      <c r="E58" s="454">
        <f t="shared" ref="E58:F58" si="5">IF(E52=0, 0, (E54/E52)*100)</f>
        <v>119.03238782608696</v>
      </c>
      <c r="F58" s="454">
        <f t="shared" si="5"/>
        <v>0</v>
      </c>
      <c r="G58" s="454">
        <f t="shared" ref="G58:I59" si="6">IF(G52=0, 0, (G54/G52)*100)</f>
        <v>0</v>
      </c>
      <c r="H58" s="446">
        <f t="shared" si="6"/>
        <v>119.03238782608696</v>
      </c>
      <c r="I58" s="454">
        <f t="shared" si="6"/>
        <v>0</v>
      </c>
      <c r="J58" s="455"/>
      <c r="K58" s="456"/>
    </row>
    <row r="59" ht="28" customHeight="1" spans="1:11" s="465" customFormat="1" x14ac:dyDescent="0.25">
      <c r="A59" s="452" t="s">
        <v>144</v>
      </c>
      <c r="B59" s="453" t="s">
        <v>1740</v>
      </c>
      <c r="C59" s="452" t="s">
        <v>1741</v>
      </c>
      <c r="D59" s="452" t="s">
        <v>1493</v>
      </c>
      <c r="E59" s="454">
        <f t="shared" ref="E59:F59" si="7">IF(E53=0, 0, (E55/E53)*100)</f>
        <v>137.21176140855192</v>
      </c>
      <c r="F59" s="454">
        <f t="shared" si="7"/>
        <v>0</v>
      </c>
      <c r="G59" s="454">
        <f t="shared" si="6"/>
        <v>0</v>
      </c>
      <c r="H59" s="446">
        <f t="shared" si="6"/>
        <v>137.21176140855192</v>
      </c>
      <c r="I59" s="454">
        <f t="shared" si="6"/>
        <v>0</v>
      </c>
      <c r="J59" s="455"/>
      <c r="K59" s="456"/>
    </row>
    <row r="60" spans="1:11" x14ac:dyDescent="0.25">
      <c r="A60" s="466"/>
      <c r="B60" s="459"/>
      <c r="C60" s="460"/>
      <c r="D60" s="466"/>
      <c r="E60" s="467"/>
      <c r="F60" s="467"/>
      <c r="G60" s="467"/>
      <c r="H60" s="462"/>
      <c r="I60" s="467"/>
      <c r="J60" s="468"/>
      <c r="K60" s="447"/>
    </row>
    <row r="61" spans="1:11" x14ac:dyDescent="0.25">
      <c r="A61" s="437" t="s">
        <v>100</v>
      </c>
      <c r="B61" s="438" t="s">
        <v>101</v>
      </c>
      <c r="C61" s="439"/>
      <c r="D61" s="440"/>
      <c r="E61" s="440"/>
      <c r="F61" s="440"/>
      <c r="G61" s="440"/>
      <c r="H61" s="441"/>
      <c r="I61" s="440"/>
      <c r="J61" s="442"/>
      <c r="K61" s="442"/>
    </row>
    <row r="62" spans="1:11" x14ac:dyDescent="0.25">
      <c r="A62" s="437" t="s">
        <v>102</v>
      </c>
      <c r="B62" s="438" t="s">
        <v>57</v>
      </c>
      <c r="C62" s="439"/>
      <c r="D62" s="440"/>
      <c r="E62" s="440"/>
      <c r="F62" s="440"/>
      <c r="G62" s="440"/>
      <c r="H62" s="441"/>
      <c r="I62" s="440"/>
      <c r="J62" s="442"/>
      <c r="K62" s="442"/>
    </row>
    <row r="63" spans="1:11" x14ac:dyDescent="0.25">
      <c r="A63" s="437" t="s">
        <v>103</v>
      </c>
      <c r="B63" s="438" t="s">
        <v>104</v>
      </c>
      <c r="C63" s="439"/>
      <c r="D63" s="440"/>
      <c r="E63" s="440"/>
      <c r="F63" s="440"/>
      <c r="G63" s="440"/>
      <c r="H63" s="441"/>
      <c r="I63" s="440"/>
      <c r="J63" s="442"/>
      <c r="K63" s="442"/>
    </row>
    <row r="64" ht="37.15" customHeight="1" spans="1:11" x14ac:dyDescent="0.25">
      <c r="A64" s="443" t="s">
        <v>58</v>
      </c>
      <c r="B64" s="349" t="s">
        <v>1742</v>
      </c>
      <c r="C64" s="293" t="s">
        <v>1743</v>
      </c>
      <c r="D64" s="293" t="s">
        <v>1456</v>
      </c>
      <c r="E64" s="228"/>
      <c r="F64" s="445"/>
      <c r="G64" s="445"/>
      <c r="H64" s="446">
        <f t="shared" ref="H64:H70" si="8">IF(K$9=1,E64,IF(K$9=2,(E64+F64)/2,(E64+F64+G64)/3))</f>
        <v>0</v>
      </c>
      <c r="I64" s="228"/>
      <c r="J64" s="228"/>
      <c r="K64" s="469"/>
    </row>
    <row r="65" ht="28" customHeight="1" spans="1:11" x14ac:dyDescent="0.25">
      <c r="A65" s="443" t="s">
        <v>64</v>
      </c>
      <c r="B65" s="349" t="s">
        <v>1744</v>
      </c>
      <c r="C65" s="293" t="s">
        <v>1743</v>
      </c>
      <c r="D65" s="293" t="s">
        <v>1456</v>
      </c>
      <c r="E65" s="228"/>
      <c r="F65" s="445"/>
      <c r="G65" s="445"/>
      <c r="H65" s="446">
        <f t="shared" si="8"/>
        <v>0</v>
      </c>
      <c r="I65" s="228"/>
      <c r="J65" s="228"/>
      <c r="K65" s="469"/>
    </row>
    <row r="66" ht="14.5" customHeight="1" spans="1:11" x14ac:dyDescent="0.25">
      <c r="A66" s="443" t="s">
        <v>68</v>
      </c>
      <c r="B66" s="349" t="s">
        <v>1745</v>
      </c>
      <c r="C66" s="293" t="s">
        <v>1743</v>
      </c>
      <c r="D66" s="293" t="s">
        <v>1456</v>
      </c>
      <c r="E66" s="228"/>
      <c r="F66" s="445"/>
      <c r="G66" s="445"/>
      <c r="H66" s="446">
        <f t="shared" si="8"/>
        <v>30580.066</v>
      </c>
      <c r="I66" s="228"/>
      <c r="J66" s="228"/>
      <c r="K66" s="448"/>
    </row>
    <row r="67" ht="14.5" customHeight="1" spans="1:11" x14ac:dyDescent="0.25">
      <c r="A67" s="443" t="s">
        <v>74</v>
      </c>
      <c r="B67" s="349" t="s">
        <v>1746</v>
      </c>
      <c r="C67" s="293" t="s">
        <v>1743</v>
      </c>
      <c r="D67" s="293" t="s">
        <v>1456</v>
      </c>
      <c r="E67" s="228"/>
      <c r="F67" s="445"/>
      <c r="G67" s="445"/>
      <c r="H67" s="446">
        <f t="shared" si="8"/>
        <v>34626.579</v>
      </c>
      <c r="I67" s="228"/>
      <c r="J67" s="228"/>
      <c r="K67" s="448"/>
    </row>
    <row r="68" ht="14.5" customHeight="1" spans="1:11" x14ac:dyDescent="0.25">
      <c r="A68" s="443" t="s">
        <v>80</v>
      </c>
      <c r="B68" s="349" t="s">
        <v>1747</v>
      </c>
      <c r="C68" s="293" t="s">
        <v>1743</v>
      </c>
      <c r="D68" s="293" t="s">
        <v>1748</v>
      </c>
      <c r="E68" s="470"/>
      <c r="F68" s="470"/>
      <c r="G68" s="470"/>
      <c r="H68" s="446">
        <f t="shared" si="8"/>
        <v>2.0367461243808735</v>
      </c>
      <c r="I68" s="470"/>
      <c r="J68" s="471"/>
      <c r="K68" s="472"/>
    </row>
    <row r="69" ht="14.5" customHeight="1" spans="1:11" x14ac:dyDescent="0.25">
      <c r="A69" s="443" t="s">
        <v>82</v>
      </c>
      <c r="B69" s="349" t="s">
        <v>1749</v>
      </c>
      <c r="C69" s="293" t="s">
        <v>1743</v>
      </c>
      <c r="D69" s="293" t="s">
        <v>1750</v>
      </c>
      <c r="E69" s="470"/>
      <c r="F69" s="470"/>
      <c r="G69" s="470"/>
      <c r="H69" s="446">
        <f t="shared" si="8"/>
        <v>0</v>
      </c>
      <c r="I69" s="470"/>
      <c r="J69" s="471">
        <v>273.8013485</v>
      </c>
      <c r="K69" s="472"/>
    </row>
    <row r="70" ht="14.5" customHeight="1" spans="1:11" x14ac:dyDescent="0.25">
      <c r="A70" s="443" t="s">
        <v>121</v>
      </c>
      <c r="B70" s="349" t="s">
        <v>1751</v>
      </c>
      <c r="C70" s="293" t="s">
        <v>61</v>
      </c>
      <c r="D70" s="293" t="s">
        <v>1752</v>
      </c>
      <c r="E70" s="228"/>
      <c r="F70" s="445"/>
      <c r="G70" s="445"/>
      <c r="H70" s="446">
        <f t="shared" si="8"/>
        <v>8602.364556283073</v>
      </c>
      <c r="I70" s="228"/>
      <c r="J70" s="228"/>
      <c r="K70" s="469"/>
    </row>
    <row r="71" spans="1:11" x14ac:dyDescent="0.25">
      <c r="A71" s="443"/>
      <c r="B71" s="349"/>
      <c r="C71" s="293"/>
      <c r="D71" s="293"/>
      <c r="E71" s="473"/>
      <c r="F71" s="473"/>
      <c r="G71" s="473"/>
      <c r="H71" s="474"/>
      <c r="I71" s="473"/>
      <c r="J71" s="473"/>
      <c r="K71" s="447"/>
    </row>
    <row r="72" spans="1:11" x14ac:dyDescent="0.25">
      <c r="A72" s="437" t="s">
        <v>125</v>
      </c>
      <c r="B72" s="438" t="s">
        <v>126</v>
      </c>
      <c r="C72" s="439"/>
      <c r="D72" s="440"/>
      <c r="E72" s="442"/>
      <c r="F72" s="442"/>
      <c r="G72" s="442"/>
      <c r="H72" s="441"/>
      <c r="I72" s="440"/>
      <c r="J72" s="442"/>
      <c r="K72" s="442"/>
    </row>
    <row r="73" ht="14.5" customHeight="1" spans="1:11" x14ac:dyDescent="0.25" outlineLevel="1" collapsed="1">
      <c r="A73" s="466" t="s">
        <v>58</v>
      </c>
      <c r="B73" s="349" t="s">
        <v>1753</v>
      </c>
      <c r="C73" s="293" t="s">
        <v>1743</v>
      </c>
      <c r="D73" s="293" t="s">
        <v>1754</v>
      </c>
      <c r="E73" s="475"/>
      <c r="F73" s="475"/>
      <c r="G73" s="475"/>
      <c r="H73" s="476"/>
      <c r="I73" s="475"/>
      <c r="J73" s="477"/>
      <c r="K73" s="469"/>
    </row>
    <row r="74" ht="14.5" customHeight="1" spans="1:11" x14ac:dyDescent="0.25" outlineLevel="1" collapsed="1">
      <c r="A74" s="443" t="s">
        <v>64</v>
      </c>
      <c r="B74" s="349" t="s">
        <v>1755</v>
      </c>
      <c r="C74" s="293" t="s">
        <v>1743</v>
      </c>
      <c r="D74" s="293" t="s">
        <v>1756</v>
      </c>
      <c r="E74" s="228"/>
      <c r="F74" s="445"/>
      <c r="G74" s="445"/>
      <c r="H74" s="446">
        <f t="shared" ref="H74:H95" si="9">IF(K$9=1,E74,IF(K$9=2,(E74+F74)/2,(E74+F74+G74)/3))</f>
        <v>2</v>
      </c>
      <c r="I74" s="228"/>
      <c r="J74" s="228"/>
      <c r="K74" s="469"/>
    </row>
    <row r="75" ht="51" customHeight="1" spans="1:11" x14ac:dyDescent="0.25" outlineLevel="1" collapsed="1">
      <c r="A75" s="443" t="s">
        <v>68</v>
      </c>
      <c r="B75" s="349" t="s">
        <v>1757</v>
      </c>
      <c r="C75" s="293" t="s">
        <v>1743</v>
      </c>
      <c r="D75" s="293" t="s">
        <v>1456</v>
      </c>
      <c r="E75" s="228"/>
      <c r="F75" s="445"/>
      <c r="G75" s="445"/>
      <c r="H75" s="446">
        <f t="shared" si="9"/>
        <v>700000</v>
      </c>
      <c r="I75" s="228"/>
      <c r="J75" s="228"/>
      <c r="K75" s="469"/>
    </row>
    <row r="76" ht="39" customHeight="1" spans="1:11" s="326" customFormat="1" x14ac:dyDescent="0.25" outlineLevel="1" collapsed="1">
      <c r="A76" s="443" t="s">
        <v>74</v>
      </c>
      <c r="B76" s="349" t="s">
        <v>1758</v>
      </c>
      <c r="C76" s="443" t="s">
        <v>61</v>
      </c>
      <c r="D76" s="293" t="s">
        <v>1759</v>
      </c>
      <c r="E76" s="470"/>
      <c r="F76" s="470"/>
      <c r="G76" s="470"/>
      <c r="H76" s="446">
        <f t="shared" si="9"/>
        <v>1.3770575173482456</v>
      </c>
      <c r="I76" s="470"/>
      <c r="J76" s="471"/>
      <c r="K76" s="469"/>
    </row>
    <row r="77" ht="14.5" customHeight="1" spans="1:11" s="326" customFormat="1" x14ac:dyDescent="0.25" outlineLevel="1" collapsed="1">
      <c r="A77" s="443" t="s">
        <v>80</v>
      </c>
      <c r="B77" s="349" t="s">
        <v>1760</v>
      </c>
      <c r="C77" s="443" t="s">
        <v>61</v>
      </c>
      <c r="D77" s="293" t="s">
        <v>1750</v>
      </c>
      <c r="E77" s="470"/>
      <c r="F77" s="470"/>
      <c r="G77" s="470"/>
      <c r="H77" s="446">
        <f t="shared" si="9"/>
        <v>24.753897786421344</v>
      </c>
      <c r="I77" s="470"/>
      <c r="J77" s="471"/>
      <c r="K77" s="469"/>
    </row>
    <row r="78" ht="14.5" customHeight="1" spans="1:11" s="326" customFormat="1" x14ac:dyDescent="0.25" outlineLevel="1" collapsed="1">
      <c r="A78" s="443" t="s">
        <v>82</v>
      </c>
      <c r="B78" s="349" t="s">
        <v>1761</v>
      </c>
      <c r="C78" s="443" t="s">
        <v>61</v>
      </c>
      <c r="D78" s="293" t="s">
        <v>1762</v>
      </c>
      <c r="E78" s="228"/>
      <c r="F78" s="445"/>
      <c r="G78" s="445"/>
      <c r="H78" s="446">
        <f t="shared" si="9"/>
        <v>142.14017258294686</v>
      </c>
      <c r="I78" s="478"/>
      <c r="J78" s="478"/>
      <c r="K78" s="469"/>
    </row>
    <row r="79" ht="16" customHeight="1" spans="1:11" s="326" customFormat="1" x14ac:dyDescent="0.25" outlineLevel="1" collapsed="1">
      <c r="A79" s="443" t="s">
        <v>121</v>
      </c>
      <c r="B79" s="349" t="s">
        <v>1763</v>
      </c>
      <c r="C79" s="443" t="s">
        <v>61</v>
      </c>
      <c r="D79" s="293" t="s">
        <v>1764</v>
      </c>
      <c r="E79" s="228"/>
      <c r="F79" s="445"/>
      <c r="G79" s="445"/>
      <c r="H79" s="446">
        <f t="shared" si="9"/>
        <v>4.2249874782855965</v>
      </c>
      <c r="I79" s="228"/>
      <c r="J79" s="228"/>
      <c r="K79" s="469"/>
    </row>
    <row r="80" ht="14.5" customHeight="1" spans="1:11" s="326" customFormat="1" x14ac:dyDescent="0.25" outlineLevel="1" collapsed="1">
      <c r="A80" s="443" t="s">
        <v>144</v>
      </c>
      <c r="B80" s="349" t="s">
        <v>1765</v>
      </c>
      <c r="C80" s="443" t="s">
        <v>61</v>
      </c>
      <c r="D80" s="293" t="s">
        <v>1766</v>
      </c>
      <c r="E80" s="228"/>
      <c r="F80" s="445"/>
      <c r="G80" s="445"/>
      <c r="H80" s="446">
        <f t="shared" si="9"/>
        <v>241.17295788352718</v>
      </c>
      <c r="I80" s="228"/>
      <c r="J80" s="228"/>
      <c r="K80" s="479"/>
    </row>
    <row r="81" ht="16" customHeight="1" spans="1:11" s="326" customFormat="1" x14ac:dyDescent="0.25" outlineLevel="1" collapsed="1">
      <c r="A81" s="443" t="s">
        <v>146</v>
      </c>
      <c r="B81" s="349" t="s">
        <v>1767</v>
      </c>
      <c r="C81" s="443" t="s">
        <v>61</v>
      </c>
      <c r="D81" s="293" t="s">
        <v>1764</v>
      </c>
      <c r="E81" s="228"/>
      <c r="F81" s="445"/>
      <c r="G81" s="445"/>
      <c r="H81" s="446">
        <f t="shared" si="9"/>
        <v>34.767</v>
      </c>
      <c r="I81" s="228"/>
      <c r="J81" s="228"/>
      <c r="K81" s="479"/>
    </row>
    <row r="82" ht="14.5" customHeight="1" spans="1:11" s="326" customFormat="1" x14ac:dyDescent="0.25" outlineLevel="1" collapsed="1">
      <c r="A82" s="443" t="s">
        <v>148</v>
      </c>
      <c r="B82" s="349" t="s">
        <v>1768</v>
      </c>
      <c r="C82" s="443" t="s">
        <v>61</v>
      </c>
      <c r="D82" s="293" t="s">
        <v>1766</v>
      </c>
      <c r="E82" s="228"/>
      <c r="F82" s="445"/>
      <c r="G82" s="445"/>
      <c r="H82" s="446">
        <f t="shared" si="9"/>
        <v>301.09108754090295</v>
      </c>
      <c r="I82" s="228"/>
      <c r="J82" s="228"/>
      <c r="K82" s="469"/>
    </row>
    <row r="83" ht="16" customHeight="1" spans="1:11" s="326" customFormat="1" x14ac:dyDescent="0.25" outlineLevel="1" collapsed="1">
      <c r="A83" s="443" t="s">
        <v>150</v>
      </c>
      <c r="B83" s="349" t="s">
        <v>1769</v>
      </c>
      <c r="C83" s="443" t="s">
        <v>61</v>
      </c>
      <c r="D83" s="293" t="s">
        <v>1764</v>
      </c>
      <c r="E83" s="228"/>
      <c r="F83" s="445"/>
      <c r="G83" s="445"/>
      <c r="H83" s="446">
        <f t="shared" si="9"/>
        <v>5.699567135573143</v>
      </c>
      <c r="I83" s="228"/>
      <c r="J83" s="228"/>
      <c r="K83" s="469"/>
    </row>
    <row r="84" ht="14.5" customHeight="1" spans="1:11" s="326" customFormat="1" x14ac:dyDescent="0.25" outlineLevel="1" collapsed="1">
      <c r="A84" s="443" t="s">
        <v>152</v>
      </c>
      <c r="B84" s="349" t="s">
        <v>1770</v>
      </c>
      <c r="C84" s="443" t="s">
        <v>61</v>
      </c>
      <c r="D84" s="293" t="s">
        <v>1771</v>
      </c>
      <c r="E84" s="470"/>
      <c r="F84" s="470"/>
      <c r="G84" s="470"/>
      <c r="H84" s="446">
        <f t="shared" si="9"/>
        <v>732.0634097359678</v>
      </c>
      <c r="I84" s="470"/>
      <c r="J84" s="228"/>
      <c r="K84" s="469"/>
    </row>
    <row r="85" ht="14.5" customHeight="1" spans="1:11" s="326" customFormat="1" x14ac:dyDescent="0.25" outlineLevel="1" collapsed="1">
      <c r="A85" s="443" t="s">
        <v>155</v>
      </c>
      <c r="B85" s="349" t="s">
        <v>1772</v>
      </c>
      <c r="C85" s="443" t="s">
        <v>61</v>
      </c>
      <c r="D85" s="293" t="s">
        <v>1456</v>
      </c>
      <c r="E85" s="470"/>
      <c r="F85" s="470"/>
      <c r="G85" s="470"/>
      <c r="H85" s="446">
        <f t="shared" si="9"/>
        <v>867227.45</v>
      </c>
      <c r="I85" s="470"/>
      <c r="J85" s="228"/>
      <c r="K85" s="469"/>
    </row>
    <row r="86" ht="14.5" customHeight="1" spans="1:11" s="326" customFormat="1" x14ac:dyDescent="0.25" outlineLevel="1" collapsed="1">
      <c r="A86" s="443" t="s">
        <v>158</v>
      </c>
      <c r="B86" s="349" t="s">
        <v>1773</v>
      </c>
      <c r="C86" s="443" t="s">
        <v>61</v>
      </c>
      <c r="D86" s="293" t="s">
        <v>1766</v>
      </c>
      <c r="E86" s="228"/>
      <c r="F86" s="445"/>
      <c r="G86" s="445"/>
      <c r="H86" s="446">
        <f t="shared" si="9"/>
        <v>343.14680333178836</v>
      </c>
      <c r="I86" s="426"/>
      <c r="J86" s="426"/>
      <c r="K86" s="480"/>
    </row>
    <row r="87" ht="16" customHeight="1" spans="1:11" s="326" customFormat="1" x14ac:dyDescent="0.25" outlineLevel="1" collapsed="1">
      <c r="A87" s="443" t="s">
        <v>160</v>
      </c>
      <c r="B87" s="349" t="s">
        <v>1774</v>
      </c>
      <c r="C87" s="443" t="s">
        <v>61</v>
      </c>
      <c r="D87" s="293" t="s">
        <v>1764</v>
      </c>
      <c r="E87" s="228"/>
      <c r="F87" s="445"/>
      <c r="G87" s="445"/>
      <c r="H87" s="446">
        <f t="shared" si="9"/>
        <v>11.589976608949156</v>
      </c>
      <c r="I87" s="426"/>
      <c r="J87" s="426"/>
      <c r="K87" s="480"/>
    </row>
    <row r="88" ht="14.5" customHeight="1" spans="1:11" s="326" customFormat="1" x14ac:dyDescent="0.25" outlineLevel="1" collapsed="1">
      <c r="A88" s="443" t="s">
        <v>162</v>
      </c>
      <c r="B88" s="349" t="s">
        <v>1775</v>
      </c>
      <c r="C88" s="443" t="s">
        <v>61</v>
      </c>
      <c r="D88" s="293" t="s">
        <v>1771</v>
      </c>
      <c r="E88" s="228"/>
      <c r="F88" s="445"/>
      <c r="G88" s="445"/>
      <c r="H88" s="446">
        <f t="shared" si="9"/>
        <v>750.0061242595658</v>
      </c>
      <c r="I88" s="426"/>
      <c r="J88" s="426"/>
      <c r="K88" s="480"/>
    </row>
    <row r="89" ht="14.5" customHeight="1" spans="1:11" s="326" customFormat="1" x14ac:dyDescent="0.25" outlineLevel="1" collapsed="1">
      <c r="A89" s="443" t="s">
        <v>164</v>
      </c>
      <c r="B89" s="349" t="s">
        <v>1776</v>
      </c>
      <c r="C89" s="443" t="s">
        <v>61</v>
      </c>
      <c r="D89" s="293" t="s">
        <v>1456</v>
      </c>
      <c r="E89" s="228"/>
      <c r="F89" s="445"/>
      <c r="G89" s="445"/>
      <c r="H89" s="446">
        <f t="shared" si="9"/>
        <v>275102.3441907737</v>
      </c>
      <c r="I89" s="228"/>
      <c r="J89" s="228"/>
      <c r="K89" s="480"/>
    </row>
    <row r="90" ht="14.5" customHeight="1" spans="1:11" s="326" customFormat="1" x14ac:dyDescent="0.25" outlineLevel="1" collapsed="1">
      <c r="A90" s="443" t="s">
        <v>166</v>
      </c>
      <c r="B90" s="349" t="s">
        <v>1777</v>
      </c>
      <c r="C90" s="443" t="s">
        <v>61</v>
      </c>
      <c r="D90" s="293" t="s">
        <v>1766</v>
      </c>
      <c r="E90" s="228"/>
      <c r="F90" s="445"/>
      <c r="G90" s="445"/>
      <c r="H90" s="446">
        <f t="shared" si="9"/>
        <v>434.37382600655343</v>
      </c>
      <c r="I90" s="228"/>
      <c r="J90" s="228"/>
      <c r="K90" s="480"/>
    </row>
    <row r="91" ht="16" customHeight="1" spans="1:11" s="326" customFormat="1" x14ac:dyDescent="0.25" outlineLevel="1" collapsed="1">
      <c r="A91" s="443" t="s">
        <v>168</v>
      </c>
      <c r="B91" s="349" t="s">
        <v>1778</v>
      </c>
      <c r="C91" s="443" t="s">
        <v>61</v>
      </c>
      <c r="D91" s="293" t="s">
        <v>1764</v>
      </c>
      <c r="E91" s="228"/>
      <c r="F91" s="445"/>
      <c r="G91" s="445"/>
      <c r="H91" s="446">
        <f t="shared" si="9"/>
        <v>42.035440287348806</v>
      </c>
      <c r="I91" s="228"/>
      <c r="J91" s="228"/>
      <c r="K91" s="480"/>
    </row>
    <row r="92" ht="14.5" customHeight="1" spans="1:11" s="326" customFormat="1" x14ac:dyDescent="0.25" outlineLevel="1" collapsed="1">
      <c r="A92" s="443" t="s">
        <v>170</v>
      </c>
      <c r="B92" s="349" t="s">
        <v>1779</v>
      </c>
      <c r="C92" s="443" t="s">
        <v>61</v>
      </c>
      <c r="D92" s="293" t="s">
        <v>1771</v>
      </c>
      <c r="E92" s="228"/>
      <c r="F92" s="445"/>
      <c r="G92" s="445"/>
      <c r="H92" s="446">
        <f t="shared" si="9"/>
        <v>786.2722353504466</v>
      </c>
      <c r="I92" s="228"/>
      <c r="J92" s="228"/>
      <c r="K92" s="480"/>
    </row>
    <row r="93" ht="14.5" customHeight="1" spans="1:11" x14ac:dyDescent="0.25" outlineLevel="1" collapsed="1">
      <c r="A93" s="443" t="s">
        <v>172</v>
      </c>
      <c r="B93" s="349" t="s">
        <v>1780</v>
      </c>
      <c r="C93" s="443" t="s">
        <v>61</v>
      </c>
      <c r="D93" s="293" t="s">
        <v>1456</v>
      </c>
      <c r="E93" s="228"/>
      <c r="F93" s="445"/>
      <c r="G93" s="445"/>
      <c r="H93" s="446">
        <f t="shared" si="9"/>
        <v>309310.49999999994</v>
      </c>
      <c r="I93" s="228"/>
      <c r="J93" s="228"/>
      <c r="K93" s="480"/>
    </row>
    <row r="94" ht="28" customHeight="1" spans="1:11" x14ac:dyDescent="0.25" outlineLevel="1" collapsed="1">
      <c r="A94" s="443" t="s">
        <v>174</v>
      </c>
      <c r="B94" s="349" t="s">
        <v>1781</v>
      </c>
      <c r="C94" s="443" t="s">
        <v>61</v>
      </c>
      <c r="D94" s="293" t="s">
        <v>1759</v>
      </c>
      <c r="E94" s="470"/>
      <c r="F94" s="470"/>
      <c r="G94" s="470"/>
      <c r="H94" s="446">
        <f t="shared" si="9"/>
        <v>0.7196123776761295</v>
      </c>
      <c r="I94" s="470"/>
      <c r="J94" s="471"/>
      <c r="K94" s="447"/>
    </row>
    <row r="95" ht="28" customHeight="1" spans="1:11" x14ac:dyDescent="0.25" outlineLevel="1" collapsed="1">
      <c r="A95" s="443" t="s">
        <v>176</v>
      </c>
      <c r="B95" s="349" t="s">
        <v>1782</v>
      </c>
      <c r="C95" s="443" t="s">
        <v>61</v>
      </c>
      <c r="D95" s="293" t="s">
        <v>1783</v>
      </c>
      <c r="E95" s="470"/>
      <c r="F95" s="470"/>
      <c r="G95" s="470"/>
      <c r="H95" s="446">
        <f t="shared" si="9"/>
        <v>24.571024074335618</v>
      </c>
      <c r="I95" s="470"/>
      <c r="J95" s="471"/>
      <c r="K95" s="447"/>
    </row>
    <row r="96" spans="1:11" x14ac:dyDescent="0.25" outlineLevel="1" collapsed="1">
      <c r="A96" s="443" t="s">
        <v>180</v>
      </c>
      <c r="B96" s="349" t="s">
        <v>1784</v>
      </c>
      <c r="C96" s="443" t="s">
        <v>61</v>
      </c>
      <c r="D96" s="293" t="s">
        <v>1771</v>
      </c>
      <c r="E96" s="446">
        <f t="shared" ref="E96:F96" si="10">IFERROR((E93*E92+E89*E88+E85*E84)/(E93+E89+E85),0)</f>
        <v>747.0143875151521</v>
      </c>
      <c r="F96" s="446">
        <f t="shared" si="10"/>
        <v>0</v>
      </c>
      <c r="G96" s="446">
        <f>IFERROR((G93*G92+G89*G88+G85*G84)/(G93+G89+G85),0)</f>
        <v>0</v>
      </c>
      <c r="H96" s="446">
        <f>IFERROR((H93*H92+H89*H88+H85*H84)/(H93+H89+H85),0)</f>
        <v>747.0143875151521</v>
      </c>
      <c r="I96" s="446">
        <f>IFERROR((I93*I92+I89*I88+I85*I84)/(I93+I89+I85),0)</f>
        <v>0</v>
      </c>
      <c r="J96" s="455"/>
      <c r="K96" s="447"/>
    </row>
    <row r="97" spans="1:11" x14ac:dyDescent="0.25">
      <c r="A97" s="437" t="s">
        <v>182</v>
      </c>
      <c r="B97" s="438" t="s">
        <v>183</v>
      </c>
      <c r="C97" s="439"/>
      <c r="D97" s="440"/>
      <c r="E97" s="440"/>
      <c r="F97" s="440"/>
      <c r="G97" s="440"/>
      <c r="H97" s="441"/>
      <c r="I97" s="440"/>
      <c r="J97" s="442"/>
      <c r="K97" s="442"/>
    </row>
    <row r="98" ht="14.5" customHeight="1" spans="1:11" x14ac:dyDescent="0.25" outlineLevel="1" collapsed="1">
      <c r="A98" s="443" t="s">
        <v>58</v>
      </c>
      <c r="B98" s="349" t="s">
        <v>1785</v>
      </c>
      <c r="C98" s="293" t="s">
        <v>1743</v>
      </c>
      <c r="D98" s="293" t="s">
        <v>1456</v>
      </c>
      <c r="E98" s="228"/>
      <c r="F98" s="445"/>
      <c r="G98" s="445"/>
      <c r="H98" s="446">
        <f t="shared" ref="H98:H108" si="11">IF(K$9=1,E98,IF(K$9=2,(E98+F98)/2,(E98+F98+G98)/3))</f>
        <v>44543.327</v>
      </c>
      <c r="I98" s="228"/>
      <c r="J98" s="228"/>
      <c r="K98" s="447"/>
    </row>
    <row r="99" ht="14.5" customHeight="1" spans="1:11" x14ac:dyDescent="0.25" outlineLevel="1" collapsed="1">
      <c r="A99" s="443" t="s">
        <v>64</v>
      </c>
      <c r="B99" s="349" t="s">
        <v>1786</v>
      </c>
      <c r="C99" s="293" t="s">
        <v>1743</v>
      </c>
      <c r="D99" s="293" t="s">
        <v>1456</v>
      </c>
      <c r="E99" s="228"/>
      <c r="F99" s="445"/>
      <c r="G99" s="445"/>
      <c r="H99" s="446">
        <f t="shared" si="11"/>
        <v>49464.495</v>
      </c>
      <c r="I99" s="228"/>
      <c r="J99" s="228"/>
      <c r="K99" s="447"/>
    </row>
    <row r="100" ht="14.5" customHeight="1" spans="1:11" x14ac:dyDescent="0.25" outlineLevel="1" collapsed="1">
      <c r="A100" s="443" t="s">
        <v>68</v>
      </c>
      <c r="B100" s="349" t="s">
        <v>1787</v>
      </c>
      <c r="C100" s="293" t="s">
        <v>1743</v>
      </c>
      <c r="D100" s="293" t="s">
        <v>1788</v>
      </c>
      <c r="E100" s="481"/>
      <c r="F100" s="481"/>
      <c r="G100" s="481"/>
      <c r="H100" s="476" t="str">
        <f>E100</f>
        <v>Gas Suspension</v>
      </c>
      <c r="I100" s="481"/>
      <c r="J100" s="482"/>
      <c r="K100" s="447"/>
    </row>
    <row r="101" ht="14.5" customHeight="1" spans="1:11" x14ac:dyDescent="0.25" outlineLevel="1" collapsed="1">
      <c r="A101" s="443" t="s">
        <v>74</v>
      </c>
      <c r="B101" s="349" t="s">
        <v>1789</v>
      </c>
      <c r="C101" s="293" t="s">
        <v>1743</v>
      </c>
      <c r="D101" s="293" t="s">
        <v>1762</v>
      </c>
      <c r="E101" s="426"/>
      <c r="F101" s="445"/>
      <c r="G101" s="445"/>
      <c r="H101" s="446">
        <f t="shared" si="11"/>
        <v>1051.1</v>
      </c>
      <c r="I101" s="426"/>
      <c r="J101" s="426"/>
      <c r="K101" s="447"/>
    </row>
    <row r="102" ht="14.5" customHeight="1" spans="1:11" x14ac:dyDescent="0.25" outlineLevel="1" collapsed="1">
      <c r="A102" s="443" t="s">
        <v>80</v>
      </c>
      <c r="B102" s="349" t="s">
        <v>1790</v>
      </c>
      <c r="C102" s="293" t="s">
        <v>1743</v>
      </c>
      <c r="D102" s="293" t="s">
        <v>1791</v>
      </c>
      <c r="E102" s="470"/>
      <c r="F102" s="470"/>
      <c r="G102" s="470"/>
      <c r="H102" s="446">
        <f t="shared" si="11"/>
        <v>34.42605840595208</v>
      </c>
      <c r="I102" s="470"/>
      <c r="J102" s="471"/>
      <c r="K102" s="483"/>
    </row>
    <row r="103" ht="14.5" customHeight="1" spans="1:11" x14ac:dyDescent="0.25" outlineLevel="1" collapsed="1">
      <c r="A103" s="443" t="s">
        <v>82</v>
      </c>
      <c r="B103" s="349" t="s">
        <v>1792</v>
      </c>
      <c r="C103" s="293" t="s">
        <v>1743</v>
      </c>
      <c r="D103" s="293" t="s">
        <v>1793</v>
      </c>
      <c r="E103" s="426"/>
      <c r="F103" s="426"/>
      <c r="G103" s="426"/>
      <c r="H103" s="446">
        <f t="shared" si="11"/>
        <v>746742.893187214</v>
      </c>
      <c r="I103" s="426"/>
      <c r="J103" s="426"/>
      <c r="K103" s="483"/>
    </row>
    <row r="104" ht="14.5" customHeight="1" spans="1:11" x14ac:dyDescent="0.25" outlineLevel="1" collapsed="1">
      <c r="A104" s="443" t="s">
        <v>121</v>
      </c>
      <c r="B104" s="349" t="s">
        <v>1751</v>
      </c>
      <c r="C104" s="443" t="s">
        <v>61</v>
      </c>
      <c r="D104" s="293" t="s">
        <v>1752</v>
      </c>
      <c r="E104" s="228"/>
      <c r="F104" s="228"/>
      <c r="G104" s="228"/>
      <c r="H104" s="446">
        <f t="shared" si="11"/>
        <v>8087.4757</v>
      </c>
      <c r="I104" s="228"/>
      <c r="J104" s="228"/>
      <c r="K104" s="447"/>
    </row>
    <row r="105" ht="14.5" customHeight="1" spans="1:11" x14ac:dyDescent="0.25" outlineLevel="1" collapsed="1">
      <c r="A105" s="443" t="s">
        <v>144</v>
      </c>
      <c r="B105" s="349" t="s">
        <v>1794</v>
      </c>
      <c r="C105" s="293" t="s">
        <v>1743</v>
      </c>
      <c r="D105" s="293" t="s">
        <v>1456</v>
      </c>
      <c r="E105" s="228"/>
      <c r="F105" s="228"/>
      <c r="G105" s="228"/>
      <c r="H105" s="446">
        <f t="shared" si="11"/>
        <v>0</v>
      </c>
      <c r="I105" s="228"/>
      <c r="J105" s="228"/>
      <c r="K105" s="447"/>
    </row>
    <row r="106" ht="14.5" customHeight="1" spans="1:11" s="274" customFormat="1" x14ac:dyDescent="0.25" outlineLevel="1" collapsed="1">
      <c r="A106" s="443" t="s">
        <v>146</v>
      </c>
      <c r="B106" s="349" t="s">
        <v>1795</v>
      </c>
      <c r="C106" s="443" t="s">
        <v>61</v>
      </c>
      <c r="D106" s="293" t="s">
        <v>1456</v>
      </c>
      <c r="E106" s="228"/>
      <c r="F106" s="228"/>
      <c r="G106" s="228"/>
      <c r="H106" s="446">
        <f t="shared" si="11"/>
        <v>244856.08999999997</v>
      </c>
      <c r="I106" s="228"/>
      <c r="J106" s="228"/>
      <c r="K106" s="447"/>
    </row>
    <row r="107" ht="14.5" customHeight="1" spans="1:11" s="274" customFormat="1" x14ac:dyDescent="0.25" outlineLevel="1" collapsed="1">
      <c r="A107" s="484" t="s">
        <v>148</v>
      </c>
      <c r="B107" s="349" t="s">
        <v>1796</v>
      </c>
      <c r="C107" s="484" t="s">
        <v>61</v>
      </c>
      <c r="D107" s="414" t="s">
        <v>1748</v>
      </c>
      <c r="E107" s="470"/>
      <c r="F107" s="470"/>
      <c r="G107" s="470"/>
      <c r="H107" s="446">
        <f t="shared" si="11"/>
        <v>2.798510890404859</v>
      </c>
      <c r="I107" s="470"/>
      <c r="J107" s="471"/>
      <c r="K107" s="485"/>
    </row>
    <row r="108" ht="28" customHeight="1" spans="1:11" s="274" customFormat="1" x14ac:dyDescent="0.25" outlineLevel="1" collapsed="1">
      <c r="A108" s="484" t="s">
        <v>150</v>
      </c>
      <c r="B108" s="349" t="s">
        <v>1797</v>
      </c>
      <c r="C108" s="484" t="s">
        <v>61</v>
      </c>
      <c r="D108" s="414" t="s">
        <v>1798</v>
      </c>
      <c r="E108" s="470"/>
      <c r="F108" s="470"/>
      <c r="G108" s="470"/>
      <c r="H108" s="446">
        <f t="shared" si="11"/>
        <v>0</v>
      </c>
      <c r="I108" s="470"/>
      <c r="J108" s="471"/>
      <c r="K108" s="485"/>
    </row>
    <row r="109" spans="1:11" s="274" customFormat="1" x14ac:dyDescent="0.25">
      <c r="A109" s="484"/>
      <c r="B109" s="486"/>
      <c r="C109" s="484"/>
      <c r="D109" s="414"/>
      <c r="E109" s="484"/>
      <c r="F109" s="484"/>
      <c r="G109" s="487"/>
      <c r="H109" s="474"/>
      <c r="I109" s="409"/>
      <c r="J109" s="488"/>
      <c r="K109" s="464"/>
    </row>
    <row r="110" spans="1:11" s="274" customFormat="1" x14ac:dyDescent="0.25">
      <c r="A110" s="437" t="s">
        <v>322</v>
      </c>
      <c r="B110" s="438" t="s">
        <v>1799</v>
      </c>
      <c r="C110" s="439"/>
      <c r="D110" s="440"/>
      <c r="E110" s="440"/>
      <c r="F110" s="440"/>
      <c r="G110" s="440"/>
      <c r="H110" s="441"/>
      <c r="I110" s="440"/>
      <c r="J110" s="442"/>
      <c r="K110" s="442"/>
    </row>
    <row r="111" ht="14.5" customHeight="1" spans="1:11" s="274" customFormat="1" x14ac:dyDescent="0.25">
      <c r="A111" s="443" t="s">
        <v>58</v>
      </c>
      <c r="B111" s="349" t="s">
        <v>1800</v>
      </c>
      <c r="C111" s="293" t="s">
        <v>61</v>
      </c>
      <c r="D111" s="293" t="s">
        <v>1456</v>
      </c>
      <c r="E111" s="426"/>
      <c r="F111" s="445"/>
      <c r="G111" s="445"/>
      <c r="H111" s="446">
        <f t="shared" ref="H111:H114" si="12">IF(K$9=1,E111,IF(K$9=2,(E111+F111)/2,(E111+F111+G111)/3))</f>
        <v>0</v>
      </c>
      <c r="I111" s="426"/>
      <c r="J111" s="426"/>
      <c r="K111" s="489"/>
    </row>
    <row r="112" ht="14.5" customHeight="1" spans="1:11" s="274" customFormat="1" x14ac:dyDescent="0.25">
      <c r="A112" s="443" t="s">
        <v>64</v>
      </c>
      <c r="B112" s="349" t="s">
        <v>1801</v>
      </c>
      <c r="C112" s="293" t="s">
        <v>61</v>
      </c>
      <c r="D112" s="293" t="s">
        <v>1456</v>
      </c>
      <c r="E112" s="228"/>
      <c r="F112" s="445"/>
      <c r="G112" s="445"/>
      <c r="H112" s="446">
        <f t="shared" si="12"/>
        <v>0</v>
      </c>
      <c r="I112" s="228"/>
      <c r="J112" s="228"/>
      <c r="K112" s="489"/>
    </row>
    <row r="113" ht="14.5" customHeight="1" spans="1:11" s="274" customFormat="1" x14ac:dyDescent="0.25">
      <c r="A113" s="443" t="s">
        <v>68</v>
      </c>
      <c r="B113" s="349" t="s">
        <v>1802</v>
      </c>
      <c r="C113" s="293" t="s">
        <v>61</v>
      </c>
      <c r="D113" s="293" t="s">
        <v>1748</v>
      </c>
      <c r="E113" s="470"/>
      <c r="F113" s="470"/>
      <c r="G113" s="470"/>
      <c r="H113" s="446">
        <f t="shared" si="12"/>
        <v>0</v>
      </c>
      <c r="I113" s="470"/>
      <c r="J113" s="471"/>
      <c r="K113" s="228"/>
    </row>
    <row r="114" ht="14.5" customHeight="1" spans="1:11" s="274" customFormat="1" x14ac:dyDescent="0.25">
      <c r="A114" s="443" t="s">
        <v>74</v>
      </c>
      <c r="B114" s="349" t="s">
        <v>1803</v>
      </c>
      <c r="C114" s="293" t="s">
        <v>61</v>
      </c>
      <c r="D114" s="293" t="s">
        <v>1750</v>
      </c>
      <c r="E114" s="470"/>
      <c r="F114" s="470"/>
      <c r="G114" s="470"/>
      <c r="H114" s="446">
        <f t="shared" si="12"/>
        <v>0</v>
      </c>
      <c r="I114" s="470"/>
      <c r="J114" s="471"/>
      <c r="K114" s="489"/>
    </row>
    <row r="115" spans="1:11" s="274" customFormat="1" x14ac:dyDescent="0.25">
      <c r="A115" s="443"/>
      <c r="B115" s="349"/>
      <c r="C115" s="293"/>
      <c r="D115" s="293"/>
      <c r="E115" s="473"/>
      <c r="F115" s="473"/>
      <c r="G115" s="473"/>
      <c r="H115" s="474"/>
      <c r="I115" s="490"/>
      <c r="J115" s="490"/>
      <c r="K115" s="447"/>
    </row>
    <row r="116" spans="1:11" s="274" customFormat="1" x14ac:dyDescent="0.25">
      <c r="A116" s="437" t="s">
        <v>1326</v>
      </c>
      <c r="B116" s="438" t="s">
        <v>1804</v>
      </c>
      <c r="C116" s="439"/>
      <c r="D116" s="440"/>
      <c r="E116" s="442"/>
      <c r="F116" s="442"/>
      <c r="G116" s="442"/>
      <c r="H116" s="441"/>
      <c r="I116" s="442"/>
      <c r="J116" s="442"/>
      <c r="K116" s="442"/>
    </row>
    <row r="117" ht="14.5" customHeight="1" spans="1:11" s="274" customFormat="1" x14ac:dyDescent="0.25">
      <c r="A117" s="443" t="s">
        <v>58</v>
      </c>
      <c r="B117" s="349" t="s">
        <v>1800</v>
      </c>
      <c r="C117" s="293" t="s">
        <v>61</v>
      </c>
      <c r="D117" s="293" t="s">
        <v>1456</v>
      </c>
      <c r="E117" s="228"/>
      <c r="F117" s="445"/>
      <c r="G117" s="445"/>
      <c r="H117" s="446">
        <f t="shared" ref="H117:H120" si="13">IF(K$9=1,E117,IF(K$9=2,(E117+F117)/2,(E117+F117+G117)/3))</f>
        <v>0</v>
      </c>
      <c r="I117" s="228"/>
      <c r="J117" s="228"/>
      <c r="K117" s="491"/>
    </row>
    <row r="118" ht="14.5" customHeight="1" spans="1:11" s="274" customFormat="1" x14ac:dyDescent="0.25">
      <c r="A118" s="443" t="s">
        <v>64</v>
      </c>
      <c r="B118" s="349" t="s">
        <v>1801</v>
      </c>
      <c r="C118" s="293" t="s">
        <v>61</v>
      </c>
      <c r="D118" s="293" t="s">
        <v>1456</v>
      </c>
      <c r="E118" s="228"/>
      <c r="F118" s="445"/>
      <c r="G118" s="445"/>
      <c r="H118" s="446">
        <f t="shared" si="13"/>
        <v>0</v>
      </c>
      <c r="I118" s="228"/>
      <c r="J118" s="228"/>
      <c r="K118" s="491"/>
    </row>
    <row r="119" ht="14.5" customHeight="1" spans="1:11" s="274" customFormat="1" x14ac:dyDescent="0.25">
      <c r="A119" s="443" t="s">
        <v>68</v>
      </c>
      <c r="B119" s="349" t="s">
        <v>1802</v>
      </c>
      <c r="C119" s="293" t="s">
        <v>61</v>
      </c>
      <c r="D119" s="293" t="s">
        <v>1748</v>
      </c>
      <c r="E119" s="470"/>
      <c r="F119" s="470"/>
      <c r="G119" s="470"/>
      <c r="H119" s="446">
        <f t="shared" si="13"/>
        <v>0</v>
      </c>
      <c r="I119" s="228"/>
      <c r="J119" s="471"/>
      <c r="K119" s="491"/>
    </row>
    <row r="120" ht="14.5" customHeight="1" spans="1:11" s="274" customFormat="1" x14ac:dyDescent="0.25">
      <c r="A120" s="443" t="s">
        <v>74</v>
      </c>
      <c r="B120" s="349" t="s">
        <v>1803</v>
      </c>
      <c r="C120" s="293" t="s">
        <v>61</v>
      </c>
      <c r="D120" s="293" t="s">
        <v>1750</v>
      </c>
      <c r="E120" s="470"/>
      <c r="F120" s="470"/>
      <c r="G120" s="470"/>
      <c r="H120" s="446">
        <f t="shared" si="13"/>
        <v>0</v>
      </c>
      <c r="I120" s="470"/>
      <c r="J120" s="471"/>
      <c r="K120" s="491"/>
    </row>
    <row r="121" spans="1:11" s="274" customFormat="1" x14ac:dyDescent="0.25">
      <c r="A121" s="443"/>
      <c r="B121" s="349"/>
      <c r="C121" s="293"/>
      <c r="D121" s="293"/>
      <c r="E121" s="473"/>
      <c r="F121" s="473"/>
      <c r="G121" s="473"/>
      <c r="H121" s="474"/>
      <c r="I121" s="473"/>
      <c r="J121" s="473"/>
      <c r="K121" s="447"/>
    </row>
    <row r="122" spans="1:11" s="274" customFormat="1" x14ac:dyDescent="0.25">
      <c r="A122" s="437" t="s">
        <v>1333</v>
      </c>
      <c r="B122" s="438" t="s">
        <v>1805</v>
      </c>
      <c r="C122" s="439"/>
      <c r="D122" s="440"/>
      <c r="E122" s="442"/>
      <c r="F122" s="442"/>
      <c r="G122" s="442"/>
      <c r="H122" s="441"/>
      <c r="I122" s="442"/>
      <c r="J122" s="442"/>
      <c r="K122" s="442"/>
    </row>
    <row r="123" ht="14.5" customHeight="1" spans="1:11" s="274" customFormat="1" x14ac:dyDescent="0.25">
      <c r="A123" s="443" t="s">
        <v>58</v>
      </c>
      <c r="B123" s="349" t="s">
        <v>1800</v>
      </c>
      <c r="C123" s="293" t="s">
        <v>61</v>
      </c>
      <c r="D123" s="293" t="s">
        <v>1456</v>
      </c>
      <c r="E123" s="228"/>
      <c r="F123" s="445"/>
      <c r="G123" s="445"/>
      <c r="H123" s="446">
        <f t="shared" ref="H123:H126" si="14">IF(K$9=1,E123,IF(K$9=2,(E123+F123)/2,(E123+F123+G123)/3))</f>
        <v>0</v>
      </c>
      <c r="I123" s="228"/>
      <c r="J123" s="228"/>
      <c r="K123" s="491"/>
    </row>
    <row r="124" ht="14.5" customHeight="1" spans="1:11" s="274" customFormat="1" x14ac:dyDescent="0.25">
      <c r="A124" s="443" t="s">
        <v>64</v>
      </c>
      <c r="B124" s="349" t="s">
        <v>1801</v>
      </c>
      <c r="C124" s="293" t="s">
        <v>61</v>
      </c>
      <c r="D124" s="293" t="s">
        <v>1456</v>
      </c>
      <c r="E124" s="228"/>
      <c r="F124" s="445"/>
      <c r="G124" s="445"/>
      <c r="H124" s="446">
        <f t="shared" si="14"/>
        <v>0</v>
      </c>
      <c r="I124" s="228"/>
      <c r="J124" s="228"/>
      <c r="K124" s="491"/>
    </row>
    <row r="125" ht="14.5" customHeight="1" spans="1:11" s="274" customFormat="1" x14ac:dyDescent="0.25">
      <c r="A125" s="443" t="s">
        <v>68</v>
      </c>
      <c r="B125" s="349" t="s">
        <v>1802</v>
      </c>
      <c r="C125" s="293" t="s">
        <v>61</v>
      </c>
      <c r="D125" s="293" t="s">
        <v>1806</v>
      </c>
      <c r="E125" s="470"/>
      <c r="F125" s="470"/>
      <c r="G125" s="470"/>
      <c r="H125" s="446">
        <f t="shared" si="14"/>
        <v>0</v>
      </c>
      <c r="I125" s="470"/>
      <c r="J125" s="471"/>
      <c r="K125" s="491"/>
    </row>
    <row r="126" ht="14.5" customHeight="1" spans="1:11" s="274" customFormat="1" x14ac:dyDescent="0.25">
      <c r="A126" s="443" t="s">
        <v>74</v>
      </c>
      <c r="B126" s="349" t="s">
        <v>1803</v>
      </c>
      <c r="C126" s="293" t="s">
        <v>61</v>
      </c>
      <c r="D126" s="293" t="s">
        <v>1750</v>
      </c>
      <c r="E126" s="470"/>
      <c r="F126" s="470"/>
      <c r="G126" s="470"/>
      <c r="H126" s="446">
        <f t="shared" si="14"/>
        <v>0</v>
      </c>
      <c r="I126" s="470"/>
      <c r="J126" s="471"/>
      <c r="K126" s="491"/>
    </row>
    <row r="127" spans="1:11" s="274" customFormat="1" x14ac:dyDescent="0.25">
      <c r="A127" s="443"/>
      <c r="B127" s="349"/>
      <c r="C127" s="293"/>
      <c r="D127" s="293"/>
      <c r="E127" s="473"/>
      <c r="F127" s="473"/>
      <c r="G127" s="473"/>
      <c r="H127" s="474"/>
      <c r="I127" s="473"/>
      <c r="J127" s="473"/>
      <c r="K127" s="447"/>
    </row>
    <row r="128" spans="1:11" s="274" customFormat="1" x14ac:dyDescent="0.25">
      <c r="A128" s="437" t="s">
        <v>1521</v>
      </c>
      <c r="B128" s="438" t="s">
        <v>1807</v>
      </c>
      <c r="C128" s="439"/>
      <c r="D128" s="440"/>
      <c r="E128" s="442"/>
      <c r="F128" s="442"/>
      <c r="G128" s="442"/>
      <c r="H128" s="441"/>
      <c r="I128" s="442"/>
      <c r="J128" s="442"/>
      <c r="K128" s="442"/>
    </row>
    <row r="129" ht="14.5" customHeight="1" spans="1:11" s="274" customFormat="1" x14ac:dyDescent="0.25">
      <c r="A129" s="443" t="s">
        <v>58</v>
      </c>
      <c r="B129" s="349" t="s">
        <v>1800</v>
      </c>
      <c r="C129" s="293" t="s">
        <v>61</v>
      </c>
      <c r="D129" s="293" t="s">
        <v>1456</v>
      </c>
      <c r="E129" s="228"/>
      <c r="F129" s="445"/>
      <c r="G129" s="445"/>
      <c r="H129" s="446">
        <f t="shared" ref="H129:H132" si="15">IF(K$9=1,E129,IF(K$9=2,(E129+F129)/2,(E129+F129+G129)/3))</f>
        <v>0</v>
      </c>
      <c r="I129" s="228"/>
      <c r="J129" s="228"/>
      <c r="K129" s="491"/>
    </row>
    <row r="130" ht="14.5" customHeight="1" spans="1:11" s="274" customFormat="1" x14ac:dyDescent="0.25">
      <c r="A130" s="443" t="s">
        <v>64</v>
      </c>
      <c r="B130" s="349" t="s">
        <v>1801</v>
      </c>
      <c r="C130" s="293" t="s">
        <v>61</v>
      </c>
      <c r="D130" s="293" t="s">
        <v>1456</v>
      </c>
      <c r="E130" s="228"/>
      <c r="F130" s="445"/>
      <c r="G130" s="445"/>
      <c r="H130" s="446">
        <f t="shared" si="15"/>
        <v>0</v>
      </c>
      <c r="I130" s="228"/>
      <c r="J130" s="228"/>
      <c r="K130" s="491"/>
    </row>
    <row r="131" ht="14.5" customHeight="1" spans="1:11" s="274" customFormat="1" x14ac:dyDescent="0.25">
      <c r="A131" s="443" t="s">
        <v>68</v>
      </c>
      <c r="B131" s="349" t="s">
        <v>1802</v>
      </c>
      <c r="C131" s="293" t="s">
        <v>61</v>
      </c>
      <c r="D131" s="293" t="s">
        <v>1748</v>
      </c>
      <c r="E131" s="470"/>
      <c r="F131" s="470"/>
      <c r="G131" s="470"/>
      <c r="H131" s="446">
        <f t="shared" si="15"/>
        <v>0</v>
      </c>
      <c r="I131" s="470"/>
      <c r="J131" s="471"/>
      <c r="K131" s="491"/>
    </row>
    <row r="132" ht="14.5" customHeight="1" spans="1:11" s="274" customFormat="1" x14ac:dyDescent="0.25">
      <c r="A132" s="443" t="s">
        <v>74</v>
      </c>
      <c r="B132" s="349" t="s">
        <v>1803</v>
      </c>
      <c r="C132" s="293" t="s">
        <v>61</v>
      </c>
      <c r="D132" s="293" t="s">
        <v>1750</v>
      </c>
      <c r="E132" s="470"/>
      <c r="F132" s="470"/>
      <c r="G132" s="470"/>
      <c r="H132" s="446">
        <f t="shared" si="15"/>
        <v>0</v>
      </c>
      <c r="I132" s="470"/>
      <c r="J132" s="471"/>
      <c r="K132" s="491"/>
    </row>
    <row r="133" spans="1:11" x14ac:dyDescent="0.25">
      <c r="A133" s="492"/>
      <c r="B133" s="486"/>
      <c r="C133" s="484"/>
      <c r="D133" s="414"/>
      <c r="E133" s="487"/>
      <c r="F133" s="487"/>
      <c r="G133" s="487"/>
      <c r="H133" s="474"/>
      <c r="I133" s="488"/>
      <c r="J133" s="488"/>
      <c r="K133" s="447"/>
    </row>
    <row r="134" spans="1:11" x14ac:dyDescent="0.25">
      <c r="A134" s="437" t="s">
        <v>1531</v>
      </c>
      <c r="B134" s="438" t="s">
        <v>1808</v>
      </c>
      <c r="C134" s="439"/>
      <c r="D134" s="440"/>
      <c r="E134" s="442"/>
      <c r="F134" s="442"/>
      <c r="G134" s="442"/>
      <c r="H134" s="441"/>
      <c r="I134" s="442"/>
      <c r="J134" s="442"/>
      <c r="K134" s="442"/>
    </row>
    <row r="135" ht="14.5" customHeight="1" spans="1:11" x14ac:dyDescent="0.25">
      <c r="A135" s="443" t="s">
        <v>58</v>
      </c>
      <c r="B135" s="349" t="s">
        <v>1800</v>
      </c>
      <c r="C135" s="293" t="s">
        <v>61</v>
      </c>
      <c r="D135" s="293" t="s">
        <v>1456</v>
      </c>
      <c r="E135" s="228"/>
      <c r="F135" s="445"/>
      <c r="G135" s="445"/>
      <c r="H135" s="446">
        <f t="shared" ref="H135:H138" si="16">IF(K$9=1,E135,IF(K$9=2,(E135+F135)/2,(E135+F135+G135)/3))</f>
        <v>0</v>
      </c>
      <c r="I135" s="228"/>
      <c r="J135" s="228"/>
      <c r="K135" s="491"/>
    </row>
    <row r="136" ht="14.5" customHeight="1" spans="1:11" x14ac:dyDescent="0.25">
      <c r="A136" s="443" t="s">
        <v>64</v>
      </c>
      <c r="B136" s="349" t="s">
        <v>1801</v>
      </c>
      <c r="C136" s="293" t="s">
        <v>61</v>
      </c>
      <c r="D136" s="293" t="s">
        <v>1456</v>
      </c>
      <c r="E136" s="228"/>
      <c r="F136" s="445"/>
      <c r="G136" s="445"/>
      <c r="H136" s="446">
        <f t="shared" si="16"/>
        <v>0</v>
      </c>
      <c r="I136" s="228"/>
      <c r="J136" s="228"/>
      <c r="K136" s="491"/>
    </row>
    <row r="137" ht="14.5" customHeight="1" spans="1:11" s="274" customFormat="1" x14ac:dyDescent="0.25">
      <c r="A137" s="443" t="s">
        <v>68</v>
      </c>
      <c r="B137" s="349" t="s">
        <v>1802</v>
      </c>
      <c r="C137" s="293" t="s">
        <v>61</v>
      </c>
      <c r="D137" s="293" t="s">
        <v>1748</v>
      </c>
      <c r="E137" s="470"/>
      <c r="F137" s="470"/>
      <c r="G137" s="470"/>
      <c r="H137" s="446">
        <f t="shared" si="16"/>
        <v>0</v>
      </c>
      <c r="I137" s="470"/>
      <c r="J137" s="471"/>
      <c r="K137" s="491"/>
    </row>
    <row r="138" ht="14.5" customHeight="1" spans="1:11" x14ac:dyDescent="0.25">
      <c r="A138" s="443" t="s">
        <v>74</v>
      </c>
      <c r="B138" s="349" t="s">
        <v>1803</v>
      </c>
      <c r="C138" s="293" t="s">
        <v>61</v>
      </c>
      <c r="D138" s="293" t="s">
        <v>1750</v>
      </c>
      <c r="E138" s="470"/>
      <c r="F138" s="470"/>
      <c r="G138" s="470"/>
      <c r="H138" s="446">
        <f t="shared" si="16"/>
        <v>0</v>
      </c>
      <c r="I138" s="470"/>
      <c r="J138" s="471"/>
      <c r="K138" s="491"/>
    </row>
    <row r="139" spans="1:11" x14ac:dyDescent="0.25">
      <c r="A139" s="443"/>
      <c r="B139" s="349"/>
      <c r="C139" s="293"/>
      <c r="D139" s="293"/>
      <c r="E139" s="473"/>
      <c r="F139" s="473"/>
      <c r="G139" s="473"/>
      <c r="H139" s="474"/>
      <c r="I139" s="473"/>
      <c r="J139" s="473"/>
      <c r="K139" s="464"/>
    </row>
    <row r="140" spans="1:11" x14ac:dyDescent="0.25">
      <c r="A140" s="437" t="s">
        <v>58</v>
      </c>
      <c r="B140" s="438" t="s">
        <v>1809</v>
      </c>
      <c r="C140" s="439"/>
      <c r="D140" s="440"/>
      <c r="E140" s="442"/>
      <c r="F140" s="442"/>
      <c r="G140" s="442"/>
      <c r="H140" s="441"/>
      <c r="I140" s="442"/>
      <c r="J140" s="442"/>
      <c r="K140" s="442"/>
    </row>
    <row r="141" ht="14.5" customHeight="1" spans="1:11" x14ac:dyDescent="0.25">
      <c r="A141" s="443" t="s">
        <v>58</v>
      </c>
      <c r="B141" s="349" t="s">
        <v>1800</v>
      </c>
      <c r="C141" s="293" t="s">
        <v>61</v>
      </c>
      <c r="D141" s="293" t="s">
        <v>1456</v>
      </c>
      <c r="E141" s="228"/>
      <c r="F141" s="445"/>
      <c r="G141" s="445"/>
      <c r="H141" s="446">
        <f t="shared" ref="H141:H144" si="17">IF(K$9=1,E141,IF(K$9=2,(E141+F141)/2,(E141+F141+G141)/3))</f>
        <v>0</v>
      </c>
      <c r="I141" s="228"/>
      <c r="J141" s="228"/>
      <c r="K141" s="491"/>
    </row>
    <row r="142" ht="14.5" customHeight="1" spans="1:11" x14ac:dyDescent="0.25">
      <c r="A142" s="443" t="s">
        <v>64</v>
      </c>
      <c r="B142" s="349" t="s">
        <v>1801</v>
      </c>
      <c r="C142" s="293" t="s">
        <v>61</v>
      </c>
      <c r="D142" s="293" t="s">
        <v>1456</v>
      </c>
      <c r="E142" s="228"/>
      <c r="F142" s="445"/>
      <c r="G142" s="445"/>
      <c r="H142" s="446">
        <f t="shared" si="17"/>
        <v>0</v>
      </c>
      <c r="I142" s="228"/>
      <c r="J142" s="228"/>
      <c r="K142" s="491"/>
    </row>
    <row r="143" ht="14.5" customHeight="1" spans="1:11" x14ac:dyDescent="0.25">
      <c r="A143" s="443" t="s">
        <v>68</v>
      </c>
      <c r="B143" s="349" t="s">
        <v>1802</v>
      </c>
      <c r="C143" s="293" t="s">
        <v>61</v>
      </c>
      <c r="D143" s="293" t="s">
        <v>1748</v>
      </c>
      <c r="E143" s="470"/>
      <c r="F143" s="470"/>
      <c r="G143" s="470"/>
      <c r="H143" s="446">
        <f t="shared" si="17"/>
        <v>0</v>
      </c>
      <c r="I143" s="470"/>
      <c r="J143" s="471"/>
      <c r="K143" s="491"/>
    </row>
    <row r="144" ht="14.5" customHeight="1" spans="1:11" x14ac:dyDescent="0.25">
      <c r="A144" s="443" t="s">
        <v>74</v>
      </c>
      <c r="B144" s="349" t="s">
        <v>1803</v>
      </c>
      <c r="C144" s="293" t="s">
        <v>61</v>
      </c>
      <c r="D144" s="293" t="s">
        <v>1750</v>
      </c>
      <c r="E144" s="470"/>
      <c r="F144" s="470"/>
      <c r="G144" s="470"/>
      <c r="H144" s="446">
        <f t="shared" si="17"/>
        <v>0</v>
      </c>
      <c r="I144" s="470"/>
      <c r="J144" s="471"/>
      <c r="K144" s="491"/>
    </row>
    <row r="145" spans="1:11" x14ac:dyDescent="0.25">
      <c r="A145" s="443"/>
      <c r="B145" s="349"/>
      <c r="C145" s="293"/>
      <c r="D145" s="293"/>
      <c r="E145" s="473"/>
      <c r="F145" s="473"/>
      <c r="G145" s="473"/>
      <c r="H145" s="474"/>
      <c r="I145" s="473"/>
      <c r="J145" s="473"/>
      <c r="K145" s="447"/>
    </row>
    <row r="146" spans="1:11" x14ac:dyDescent="0.25">
      <c r="A146" s="437" t="s">
        <v>219</v>
      </c>
      <c r="B146" s="438" t="s">
        <v>220</v>
      </c>
      <c r="C146" s="439"/>
      <c r="D146" s="440"/>
      <c r="E146" s="442"/>
      <c r="F146" s="442"/>
      <c r="G146" s="442"/>
      <c r="H146" s="441"/>
      <c r="I146" s="442"/>
      <c r="J146" s="442"/>
      <c r="K146" s="442"/>
    </row>
    <row r="147" ht="14.5" customHeight="1" spans="1:11" x14ac:dyDescent="0.25">
      <c r="A147" s="443" t="s">
        <v>58</v>
      </c>
      <c r="B147" s="349" t="s">
        <v>1800</v>
      </c>
      <c r="C147" s="293" t="s">
        <v>61</v>
      </c>
      <c r="D147" s="293" t="s">
        <v>1456</v>
      </c>
      <c r="E147" s="228"/>
      <c r="F147" s="445"/>
      <c r="G147" s="445"/>
      <c r="H147" s="446">
        <f t="shared" ref="H147:H150" si="18">IF(K$9=1,E147,IF(K$9=2,(E147+F147)/2,(E147+F147+G147)/3))</f>
        <v>0</v>
      </c>
      <c r="I147" s="228"/>
      <c r="J147" s="228"/>
      <c r="K147" s="447"/>
    </row>
    <row r="148" ht="14.5" customHeight="1" spans="1:11" x14ac:dyDescent="0.25">
      <c r="A148" s="443" t="s">
        <v>64</v>
      </c>
      <c r="B148" s="349" t="s">
        <v>1801</v>
      </c>
      <c r="C148" s="293" t="s">
        <v>61</v>
      </c>
      <c r="D148" s="293" t="s">
        <v>1456</v>
      </c>
      <c r="E148" s="228"/>
      <c r="F148" s="445"/>
      <c r="G148" s="445"/>
      <c r="H148" s="446">
        <f t="shared" si="18"/>
        <v>0</v>
      </c>
      <c r="I148" s="228"/>
      <c r="J148" s="228"/>
      <c r="K148" s="447"/>
    </row>
    <row r="149" ht="14.5" customHeight="1" spans="1:11" x14ac:dyDescent="0.25">
      <c r="A149" s="443" t="s">
        <v>68</v>
      </c>
      <c r="B149" s="349" t="s">
        <v>1802</v>
      </c>
      <c r="C149" s="293" t="s">
        <v>61</v>
      </c>
      <c r="D149" s="293" t="s">
        <v>1748</v>
      </c>
      <c r="E149" s="470"/>
      <c r="F149" s="470"/>
      <c r="G149" s="470"/>
      <c r="H149" s="446">
        <f t="shared" si="18"/>
        <v>0</v>
      </c>
      <c r="I149" s="470"/>
      <c r="J149" s="471"/>
      <c r="K149" s="447"/>
    </row>
    <row r="150" ht="14.5" customHeight="1" spans="1:11" x14ac:dyDescent="0.25">
      <c r="A150" s="443" t="s">
        <v>74</v>
      </c>
      <c r="B150" s="349" t="s">
        <v>1803</v>
      </c>
      <c r="C150" s="293" t="s">
        <v>61</v>
      </c>
      <c r="D150" s="293" t="s">
        <v>1750</v>
      </c>
      <c r="E150" s="470"/>
      <c r="F150" s="470"/>
      <c r="G150" s="470"/>
      <c r="H150" s="446">
        <f t="shared" si="18"/>
        <v>0</v>
      </c>
      <c r="I150" s="470"/>
      <c r="J150" s="471"/>
      <c r="K150" s="447"/>
    </row>
    <row r="151" spans="1:11" x14ac:dyDescent="0.25">
      <c r="A151" s="443"/>
      <c r="B151" s="349"/>
      <c r="C151" s="293"/>
      <c r="D151" s="293"/>
      <c r="E151" s="473"/>
      <c r="F151" s="473"/>
      <c r="G151" s="473"/>
      <c r="H151" s="474"/>
      <c r="I151" s="473"/>
      <c r="J151" s="473"/>
      <c r="K151" s="447"/>
    </row>
    <row r="152" spans="1:11" x14ac:dyDescent="0.25">
      <c r="A152" s="437" t="s">
        <v>225</v>
      </c>
      <c r="B152" s="438" t="s">
        <v>226</v>
      </c>
      <c r="C152" s="439"/>
      <c r="D152" s="440"/>
      <c r="E152" s="442"/>
      <c r="F152" s="442"/>
      <c r="G152" s="442"/>
      <c r="H152" s="441"/>
      <c r="I152" s="442"/>
      <c r="J152" s="442"/>
      <c r="K152" s="442"/>
    </row>
    <row r="153" ht="14.5" customHeight="1" spans="1:11" x14ac:dyDescent="0.25">
      <c r="A153" s="443" t="s">
        <v>58</v>
      </c>
      <c r="B153" s="349" t="s">
        <v>1800</v>
      </c>
      <c r="C153" s="293" t="s">
        <v>61</v>
      </c>
      <c r="D153" s="293" t="s">
        <v>1456</v>
      </c>
      <c r="E153" s="228"/>
      <c r="F153" s="445"/>
      <c r="G153" s="445"/>
      <c r="H153" s="446">
        <f t="shared" ref="H153:H156" si="19">IF(K$9=1,E153,IF(K$9=2,(E153+F153)/2,(E153+F153+G153)/3))</f>
        <v>256960</v>
      </c>
      <c r="I153" s="228"/>
      <c r="J153" s="228"/>
      <c r="K153" s="447"/>
    </row>
    <row r="154" ht="14.5" customHeight="1" spans="1:11" x14ac:dyDescent="0.25">
      <c r="A154" s="443" t="s">
        <v>64</v>
      </c>
      <c r="B154" s="349" t="s">
        <v>1801</v>
      </c>
      <c r="C154" s="293" t="s">
        <v>61</v>
      </c>
      <c r="D154" s="293" t="s">
        <v>1456</v>
      </c>
      <c r="E154" s="228"/>
      <c r="F154" s="445"/>
      <c r="G154" s="445"/>
      <c r="H154" s="446">
        <f t="shared" si="19"/>
        <v>236609.48821399998</v>
      </c>
      <c r="I154" s="493"/>
      <c r="J154" s="494"/>
      <c r="K154" s="447"/>
    </row>
    <row r="155" ht="14.5" customHeight="1" spans="1:11" x14ac:dyDescent="0.25">
      <c r="A155" s="443" t="s">
        <v>68</v>
      </c>
      <c r="B155" s="349" t="s">
        <v>1802</v>
      </c>
      <c r="C155" s="293" t="s">
        <v>61</v>
      </c>
      <c r="D155" s="293" t="s">
        <v>1748</v>
      </c>
      <c r="E155" s="470"/>
      <c r="F155" s="470"/>
      <c r="G155" s="470"/>
      <c r="H155" s="446">
        <f t="shared" si="19"/>
        <v>0</v>
      </c>
      <c r="I155" s="470"/>
      <c r="J155" s="471"/>
      <c r="K155" s="447"/>
    </row>
    <row r="156" ht="14.5" customHeight="1" spans="1:11" x14ac:dyDescent="0.25">
      <c r="A156" s="443" t="s">
        <v>74</v>
      </c>
      <c r="B156" s="349" t="s">
        <v>1803</v>
      </c>
      <c r="C156" s="293" t="s">
        <v>61</v>
      </c>
      <c r="D156" s="293" t="s">
        <v>1750</v>
      </c>
      <c r="E156" s="470"/>
      <c r="F156" s="470"/>
      <c r="G156" s="470"/>
      <c r="H156" s="446">
        <f t="shared" si="19"/>
        <v>0</v>
      </c>
      <c r="I156" s="470"/>
      <c r="J156" s="471"/>
      <c r="K156" s="447"/>
    </row>
    <row r="157" spans="1:11" x14ac:dyDescent="0.25">
      <c r="A157" s="443"/>
      <c r="B157" s="349"/>
      <c r="C157" s="293"/>
      <c r="D157" s="293"/>
      <c r="E157" s="487"/>
      <c r="F157" s="487"/>
      <c r="G157" s="487"/>
      <c r="H157" s="474"/>
      <c r="I157" s="487"/>
      <c r="J157" s="487"/>
      <c r="K157" s="495"/>
    </row>
    <row r="158" spans="1:11" x14ac:dyDescent="0.25">
      <c r="A158" s="437" t="s">
        <v>231</v>
      </c>
      <c r="B158" s="438" t="s">
        <v>232</v>
      </c>
      <c r="C158" s="439"/>
      <c r="D158" s="440"/>
      <c r="E158" s="442"/>
      <c r="F158" s="442"/>
      <c r="G158" s="442"/>
      <c r="H158" s="441"/>
      <c r="I158" s="442"/>
      <c r="J158" s="442"/>
      <c r="K158" s="442"/>
    </row>
    <row r="159" ht="14.5" customHeight="1" spans="1:11" x14ac:dyDescent="0.25">
      <c r="A159" s="443" t="s">
        <v>58</v>
      </c>
      <c r="B159" s="349" t="s">
        <v>1800</v>
      </c>
      <c r="C159" s="293" t="s">
        <v>61</v>
      </c>
      <c r="D159" s="293" t="s">
        <v>1456</v>
      </c>
      <c r="E159" s="228"/>
      <c r="F159" s="445"/>
      <c r="G159" s="445"/>
      <c r="H159" s="446">
        <f t="shared" ref="H159:H162" si="20">IF(K$9=1,E159,IF(K$9=2,(E159+F159)/2,(E159+F159+G159)/3))</f>
        <v>0</v>
      </c>
      <c r="I159" s="228"/>
      <c r="J159" s="496"/>
      <c r="K159" s="495"/>
    </row>
    <row r="160" ht="14.5" customHeight="1" spans="1:11" x14ac:dyDescent="0.25">
      <c r="A160" s="443" t="s">
        <v>64</v>
      </c>
      <c r="B160" s="349" t="s">
        <v>1801</v>
      </c>
      <c r="C160" s="293" t="s">
        <v>61</v>
      </c>
      <c r="D160" s="293" t="s">
        <v>1456</v>
      </c>
      <c r="E160" s="228"/>
      <c r="F160" s="445"/>
      <c r="G160" s="445"/>
      <c r="H160" s="446">
        <f t="shared" si="20"/>
        <v>0</v>
      </c>
      <c r="I160" s="228"/>
      <c r="J160" s="496"/>
      <c r="K160" s="447"/>
    </row>
    <row r="161" ht="14.5" customHeight="1" spans="1:11" x14ac:dyDescent="0.25">
      <c r="A161" s="443" t="s">
        <v>68</v>
      </c>
      <c r="B161" s="349" t="s">
        <v>1802</v>
      </c>
      <c r="C161" s="293" t="s">
        <v>61</v>
      </c>
      <c r="D161" s="293" t="s">
        <v>1748</v>
      </c>
      <c r="E161" s="470"/>
      <c r="F161" s="470"/>
      <c r="G161" s="470"/>
      <c r="H161" s="446">
        <f t="shared" si="20"/>
        <v>0</v>
      </c>
      <c r="I161" s="470"/>
      <c r="J161" s="497"/>
      <c r="K161" s="447"/>
    </row>
    <row r="162" ht="14.5" customHeight="1" spans="1:11" x14ac:dyDescent="0.25">
      <c r="A162" s="443" t="s">
        <v>74</v>
      </c>
      <c r="B162" s="349" t="s">
        <v>1803</v>
      </c>
      <c r="C162" s="293" t="s">
        <v>61</v>
      </c>
      <c r="D162" s="293" t="s">
        <v>1750</v>
      </c>
      <c r="E162" s="470"/>
      <c r="F162" s="470"/>
      <c r="G162" s="470"/>
      <c r="H162" s="446">
        <f t="shared" si="20"/>
        <v>0</v>
      </c>
      <c r="I162" s="470"/>
      <c r="J162" s="498"/>
      <c r="K162" s="447"/>
    </row>
    <row r="163" spans="1:11" x14ac:dyDescent="0.25">
      <c r="A163" s="443"/>
      <c r="B163" s="349"/>
      <c r="C163" s="293"/>
      <c r="D163" s="293"/>
      <c r="E163" s="499"/>
      <c r="F163" s="499"/>
      <c r="G163" s="499"/>
      <c r="H163" s="500"/>
      <c r="I163" s="499"/>
      <c r="J163" s="501"/>
      <c r="K163" s="447"/>
    </row>
    <row r="164" spans="1:11" x14ac:dyDescent="0.25">
      <c r="A164" s="437" t="s">
        <v>237</v>
      </c>
      <c r="B164" s="438" t="s">
        <v>1810</v>
      </c>
      <c r="C164" s="439"/>
      <c r="D164" s="440"/>
      <c r="E164" s="442"/>
      <c r="F164" s="442"/>
      <c r="G164" s="442"/>
      <c r="H164" s="441"/>
      <c r="I164" s="442"/>
      <c r="J164" s="442"/>
      <c r="K164" s="442"/>
    </row>
    <row r="165" ht="14.5" customHeight="1" spans="1:11" x14ac:dyDescent="0.25">
      <c r="A165" s="443" t="s">
        <v>58</v>
      </c>
      <c r="B165" s="349" t="s">
        <v>1811</v>
      </c>
      <c r="C165" s="293"/>
      <c r="D165" s="293" t="s">
        <v>1812</v>
      </c>
      <c r="E165" s="475"/>
      <c r="F165" s="475"/>
      <c r="G165" s="475"/>
      <c r="H165" s="476"/>
      <c r="I165" s="475"/>
      <c r="J165" s="477"/>
      <c r="K165" s="447"/>
    </row>
    <row r="166" ht="14.5" customHeight="1" spans="1:11" x14ac:dyDescent="0.25">
      <c r="A166" s="443" t="s">
        <v>64</v>
      </c>
      <c r="B166" s="349" t="s">
        <v>1800</v>
      </c>
      <c r="C166" s="293" t="s">
        <v>61</v>
      </c>
      <c r="D166" s="293" t="s">
        <v>1456</v>
      </c>
      <c r="E166" s="228"/>
      <c r="F166" s="445"/>
      <c r="G166" s="445"/>
      <c r="H166" s="446">
        <f t="shared" ref="H166:H169" si="21">IF(K$9=1,E166,IF(K$9=2,(E166+F166)/2,(E166+F166+G166)/3))</f>
        <v>0</v>
      </c>
      <c r="I166" s="228"/>
      <c r="J166" s="228"/>
      <c r="K166" s="447"/>
    </row>
    <row r="167" ht="14.5" customHeight="1" spans="1:11" x14ac:dyDescent="0.25">
      <c r="A167" s="443" t="s">
        <v>68</v>
      </c>
      <c r="B167" s="349" t="s">
        <v>1801</v>
      </c>
      <c r="C167" s="293" t="s">
        <v>61</v>
      </c>
      <c r="D167" s="293" t="s">
        <v>1456</v>
      </c>
      <c r="E167" s="228"/>
      <c r="F167" s="445"/>
      <c r="G167" s="445"/>
      <c r="H167" s="446">
        <f t="shared" si="21"/>
        <v>0</v>
      </c>
      <c r="I167" s="228"/>
      <c r="J167" s="228"/>
      <c r="K167" s="447"/>
    </row>
    <row r="168" ht="14.5" customHeight="1" spans="1:11" x14ac:dyDescent="0.25">
      <c r="A168" s="443" t="s">
        <v>74</v>
      </c>
      <c r="B168" s="349" t="s">
        <v>1802</v>
      </c>
      <c r="C168" s="293" t="s">
        <v>61</v>
      </c>
      <c r="D168" s="293" t="s">
        <v>1748</v>
      </c>
      <c r="E168" s="470"/>
      <c r="F168" s="470"/>
      <c r="G168" s="470"/>
      <c r="H168" s="446">
        <f t="shared" si="21"/>
        <v>0</v>
      </c>
      <c r="I168" s="470"/>
      <c r="J168" s="228"/>
      <c r="K168" s="447"/>
    </row>
    <row r="169" ht="14.5" customHeight="1" spans="1:11" x14ac:dyDescent="0.25">
      <c r="A169" s="443" t="s">
        <v>80</v>
      </c>
      <c r="B169" s="349" t="s">
        <v>1803</v>
      </c>
      <c r="C169" s="293" t="s">
        <v>61</v>
      </c>
      <c r="D169" s="293" t="s">
        <v>1750</v>
      </c>
      <c r="E169" s="470"/>
      <c r="F169" s="470"/>
      <c r="G169" s="470"/>
      <c r="H169" s="446">
        <f t="shared" si="21"/>
        <v>0</v>
      </c>
      <c r="I169" s="470"/>
      <c r="J169" s="228"/>
      <c r="K169" s="447"/>
    </row>
    <row r="170" spans="1:11" x14ac:dyDescent="0.25">
      <c r="A170" s="443"/>
      <c r="B170" s="349"/>
      <c r="C170" s="293"/>
      <c r="D170" s="293"/>
      <c r="E170" s="473"/>
      <c r="F170" s="473"/>
      <c r="G170" s="473"/>
      <c r="H170" s="474"/>
      <c r="I170" s="473"/>
      <c r="J170" s="473"/>
      <c r="K170" s="447"/>
    </row>
    <row r="171" ht="14.5" customHeight="1" spans="1:11" x14ac:dyDescent="0.25">
      <c r="A171" s="502" t="s">
        <v>244</v>
      </c>
      <c r="B171" s="503" t="s">
        <v>245</v>
      </c>
      <c r="C171" s="504"/>
      <c r="D171" s="504"/>
      <c r="E171" s="505"/>
      <c r="F171" s="505"/>
      <c r="G171" s="505"/>
      <c r="H171" s="504"/>
      <c r="I171" s="505"/>
      <c r="J171" s="505"/>
      <c r="K171" s="505"/>
    </row>
    <row r="172" ht="14.5" customHeight="1" spans="1:11" x14ac:dyDescent="0.25" outlineLevel="1" collapsed="1">
      <c r="A172" s="506" t="s">
        <v>58</v>
      </c>
      <c r="B172" s="246" t="s">
        <v>1813</v>
      </c>
      <c r="C172" s="245" t="s">
        <v>61</v>
      </c>
      <c r="D172" s="245" t="s">
        <v>1456</v>
      </c>
      <c r="E172" s="228"/>
      <c r="F172" s="445"/>
      <c r="G172" s="445"/>
      <c r="H172" s="446">
        <f t="shared" ref="H172:H183" si="22">IF(K$9=1,E172,IF(K$9=2,(E172+F172)/2,(E172+F172+G172)/3))</f>
        <v>0</v>
      </c>
      <c r="I172" s="228"/>
      <c r="J172" s="228"/>
      <c r="K172" s="447"/>
    </row>
    <row r="173" ht="29" customHeight="1" spans="1:11" x14ac:dyDescent="0.25" outlineLevel="1" collapsed="1">
      <c r="A173" s="506" t="s">
        <v>64</v>
      </c>
      <c r="B173" s="246" t="s">
        <v>1814</v>
      </c>
      <c r="C173" s="245" t="s">
        <v>61</v>
      </c>
      <c r="D173" s="245" t="s">
        <v>1815</v>
      </c>
      <c r="E173" s="470"/>
      <c r="F173" s="470"/>
      <c r="G173" s="470"/>
      <c r="H173" s="446">
        <f t="shared" si="22"/>
        <v>0</v>
      </c>
      <c r="I173" s="470"/>
      <c r="J173" s="471"/>
      <c r="K173" s="447"/>
    </row>
    <row r="174" ht="29" customHeight="1" spans="1:11" x14ac:dyDescent="0.25" outlineLevel="1" collapsed="1">
      <c r="A174" s="506" t="s">
        <v>68</v>
      </c>
      <c r="B174" s="246" t="s">
        <v>1816</v>
      </c>
      <c r="C174" s="245" t="s">
        <v>61</v>
      </c>
      <c r="D174" s="245" t="s">
        <v>1817</v>
      </c>
      <c r="E174" s="470"/>
      <c r="F174" s="470"/>
      <c r="G174" s="470"/>
      <c r="H174" s="446">
        <f t="shared" si="22"/>
        <v>0</v>
      </c>
      <c r="I174" s="470"/>
      <c r="J174" s="471"/>
      <c r="K174" s="447"/>
    </row>
    <row r="175" ht="14.5" customHeight="1" spans="1:11" x14ac:dyDescent="0.25" outlineLevel="1" collapsed="1">
      <c r="A175" s="506" t="s">
        <v>74</v>
      </c>
      <c r="B175" s="246" t="s">
        <v>1818</v>
      </c>
      <c r="C175" s="245" t="s">
        <v>61</v>
      </c>
      <c r="D175" s="245" t="s">
        <v>1752</v>
      </c>
      <c r="E175" s="228"/>
      <c r="F175" s="445"/>
      <c r="G175" s="445"/>
      <c r="H175" s="446">
        <f t="shared" si="22"/>
        <v>0</v>
      </c>
      <c r="I175" s="228"/>
      <c r="J175" s="228"/>
      <c r="K175" s="447"/>
    </row>
    <row r="176" ht="14.5" customHeight="1" spans="1:11" x14ac:dyDescent="0.25" outlineLevel="1" collapsed="1">
      <c r="A176" s="507" t="s">
        <v>80</v>
      </c>
      <c r="B176" s="508" t="s">
        <v>1819</v>
      </c>
      <c r="C176" s="509" t="s">
        <v>61</v>
      </c>
      <c r="D176" s="509" t="s">
        <v>1752</v>
      </c>
      <c r="E176" s="228"/>
      <c r="F176" s="445"/>
      <c r="G176" s="445"/>
      <c r="H176" s="446">
        <f t="shared" si="22"/>
        <v>0</v>
      </c>
      <c r="I176" s="228"/>
      <c r="J176" s="228"/>
      <c r="K176" s="447"/>
    </row>
    <row r="177" ht="28.9" customHeight="1" spans="1:11" x14ac:dyDescent="0.25" outlineLevel="1" collapsed="1">
      <c r="A177" s="507" t="s">
        <v>82</v>
      </c>
      <c r="B177" s="508" t="s">
        <v>1819</v>
      </c>
      <c r="C177" s="509" t="s">
        <v>61</v>
      </c>
      <c r="D177" s="509" t="s">
        <v>1820</v>
      </c>
      <c r="E177" s="228"/>
      <c r="F177" s="445"/>
      <c r="G177" s="445"/>
      <c r="H177" s="446">
        <f t="shared" si="22"/>
        <v>0</v>
      </c>
      <c r="I177" s="228"/>
      <c r="J177" s="228"/>
      <c r="K177" s="447"/>
    </row>
    <row r="178" ht="31.9" customHeight="1" spans="1:11" x14ac:dyDescent="0.25" outlineLevel="1" collapsed="1">
      <c r="A178" s="510" t="s">
        <v>121</v>
      </c>
      <c r="B178" s="246" t="s">
        <v>1821</v>
      </c>
      <c r="C178" s="245" t="s">
        <v>61</v>
      </c>
      <c r="D178" s="245" t="s">
        <v>1822</v>
      </c>
      <c r="E178" s="228"/>
      <c r="F178" s="445"/>
      <c r="G178" s="445"/>
      <c r="H178" s="446">
        <f t="shared" si="22"/>
        <v>0</v>
      </c>
      <c r="I178" s="228"/>
      <c r="J178" s="228"/>
      <c r="K178" s="447"/>
    </row>
    <row r="179" ht="40.15" customHeight="1" spans="1:11" x14ac:dyDescent="0.25" outlineLevel="1" collapsed="1">
      <c r="A179" s="510" t="s">
        <v>144</v>
      </c>
      <c r="B179" s="246" t="s">
        <v>1823</v>
      </c>
      <c r="C179" s="245" t="s">
        <v>61</v>
      </c>
      <c r="D179" s="245" t="s">
        <v>1752</v>
      </c>
      <c r="E179" s="228"/>
      <c r="F179" s="445"/>
      <c r="G179" s="445"/>
      <c r="H179" s="446">
        <f t="shared" si="22"/>
        <v>0</v>
      </c>
      <c r="I179" s="228"/>
      <c r="J179" s="228"/>
      <c r="K179" s="447"/>
    </row>
    <row r="180" ht="14.5" customHeight="1" spans="1:11" x14ac:dyDescent="0.25" outlineLevel="1" collapsed="1">
      <c r="A180" s="510" t="s">
        <v>146</v>
      </c>
      <c r="B180" s="246" t="s">
        <v>1823</v>
      </c>
      <c r="C180" s="245" t="s">
        <v>61</v>
      </c>
      <c r="D180" s="245" t="s">
        <v>1820</v>
      </c>
      <c r="E180" s="228"/>
      <c r="F180" s="445"/>
      <c r="G180" s="445"/>
      <c r="H180" s="446">
        <f t="shared" si="22"/>
        <v>0</v>
      </c>
      <c r="I180" s="228"/>
      <c r="J180" s="228"/>
      <c r="K180" s="447"/>
    </row>
    <row r="181" ht="29" customHeight="1" spans="1:11" x14ac:dyDescent="0.25" outlineLevel="1" collapsed="1">
      <c r="A181" s="510" t="s">
        <v>148</v>
      </c>
      <c r="B181" s="246" t="s">
        <v>1824</v>
      </c>
      <c r="C181" s="245" t="s">
        <v>61</v>
      </c>
      <c r="D181" s="245" t="s">
        <v>1822</v>
      </c>
      <c r="E181" s="228"/>
      <c r="F181" s="445"/>
      <c r="G181" s="445"/>
      <c r="H181" s="446">
        <f t="shared" si="22"/>
        <v>0</v>
      </c>
      <c r="I181" s="228"/>
      <c r="J181" s="228"/>
      <c r="K181" s="447"/>
    </row>
    <row r="182" ht="29" customHeight="1" spans="1:11" x14ac:dyDescent="0.25" outlineLevel="1" collapsed="1">
      <c r="A182" s="510" t="s">
        <v>150</v>
      </c>
      <c r="B182" s="246" t="s">
        <v>1825</v>
      </c>
      <c r="C182" s="245" t="s">
        <v>61</v>
      </c>
      <c r="D182" s="245" t="s">
        <v>1826</v>
      </c>
      <c r="E182" s="228"/>
      <c r="F182" s="445"/>
      <c r="G182" s="445"/>
      <c r="H182" s="446">
        <f t="shared" si="22"/>
        <v>0</v>
      </c>
      <c r="I182" s="228"/>
      <c r="J182" s="228"/>
      <c r="K182" s="447"/>
    </row>
    <row r="183" ht="15" customHeight="1" spans="1:11" x14ac:dyDescent="0.25" outlineLevel="1" collapsed="1">
      <c r="A183" s="511" t="s">
        <v>152</v>
      </c>
      <c r="B183" s="512" t="s">
        <v>1827</v>
      </c>
      <c r="C183" s="513" t="s">
        <v>61</v>
      </c>
      <c r="D183" s="513" t="s">
        <v>1820</v>
      </c>
      <c r="E183" s="228"/>
      <c r="F183" s="445"/>
      <c r="G183" s="445"/>
      <c r="H183" s="446">
        <f t="shared" si="22"/>
        <v>0</v>
      </c>
      <c r="I183" s="228"/>
      <c r="J183" s="228"/>
      <c r="K183" s="447"/>
    </row>
    <row r="184" spans="1:11" x14ac:dyDescent="0.25">
      <c r="A184" s="514"/>
      <c r="B184" s="349"/>
      <c r="C184" s="293"/>
      <c r="D184" s="293"/>
      <c r="E184" s="473"/>
      <c r="F184" s="473"/>
      <c r="G184" s="473"/>
      <c r="H184" s="474"/>
      <c r="I184" s="490"/>
      <c r="J184" s="490"/>
      <c r="K184" s="447"/>
    </row>
    <row r="185" spans="1:11" x14ac:dyDescent="0.25">
      <c r="A185" s="437" t="s">
        <v>270</v>
      </c>
      <c r="B185" s="438" t="s">
        <v>85</v>
      </c>
      <c r="C185" s="439"/>
      <c r="D185" s="440"/>
      <c r="E185" s="442"/>
      <c r="F185" s="442"/>
      <c r="G185" s="442"/>
      <c r="H185" s="441"/>
      <c r="I185" s="442"/>
      <c r="J185" s="442"/>
      <c r="K185" s="442"/>
    </row>
    <row r="186" spans="1:11" x14ac:dyDescent="0.25">
      <c r="A186" s="437" t="s">
        <v>103</v>
      </c>
      <c r="B186" s="438" t="s">
        <v>271</v>
      </c>
      <c r="C186" s="439"/>
      <c r="D186" s="440"/>
      <c r="E186" s="442"/>
      <c r="F186" s="442"/>
      <c r="G186" s="442"/>
      <c r="H186" s="441"/>
      <c r="I186" s="442"/>
      <c r="J186" s="442"/>
      <c r="K186" s="442"/>
    </row>
    <row r="187" ht="28" customHeight="1" spans="1:11" x14ac:dyDescent="0.25">
      <c r="A187" s="443" t="s">
        <v>58</v>
      </c>
      <c r="B187" s="349" t="s">
        <v>1828</v>
      </c>
      <c r="C187" s="293" t="s">
        <v>1743</v>
      </c>
      <c r="D187" s="293" t="s">
        <v>1829</v>
      </c>
      <c r="E187" s="470"/>
      <c r="F187" s="470"/>
      <c r="G187" s="470"/>
      <c r="H187" s="446">
        <f t="shared" ref="H187:H191" si="23">IF(K$9=1,E187,IF(K$9=2,(E187+F187)/2,(E187+F187+G187)/3))</f>
        <v>1337181.477673056</v>
      </c>
      <c r="I187" s="470"/>
      <c r="J187" s="471"/>
      <c r="K187" s="515"/>
    </row>
    <row r="188" ht="28" customHeight="1" spans="1:11" s="329" customFormat="1" x14ac:dyDescent="0.25">
      <c r="A188" s="443" t="s">
        <v>64</v>
      </c>
      <c r="B188" s="349" t="s">
        <v>1830</v>
      </c>
      <c r="C188" s="293" t="s">
        <v>1743</v>
      </c>
      <c r="D188" s="293" t="s">
        <v>1831</v>
      </c>
      <c r="E188" s="470"/>
      <c r="F188" s="470"/>
      <c r="G188" s="470"/>
      <c r="H188" s="446">
        <f t="shared" si="23"/>
        <v>15601.580364328303</v>
      </c>
      <c r="I188" s="470"/>
      <c r="J188" s="471"/>
      <c r="K188" s="515"/>
    </row>
    <row r="189" ht="28" customHeight="1" spans="1:11" s="329" customFormat="1" x14ac:dyDescent="0.25">
      <c r="A189" s="293" t="s">
        <v>68</v>
      </c>
      <c r="B189" s="349" t="s">
        <v>1832</v>
      </c>
      <c r="C189" s="293" t="s">
        <v>1743</v>
      </c>
      <c r="D189" s="293" t="s">
        <v>1831</v>
      </c>
      <c r="E189" s="470"/>
      <c r="F189" s="470"/>
      <c r="G189" s="470"/>
      <c r="H189" s="446">
        <f t="shared" si="23"/>
        <v>13868.150092911748</v>
      </c>
      <c r="I189" s="470"/>
      <c r="J189" s="471"/>
      <c r="K189" s="515"/>
    </row>
    <row r="190" ht="14.5" customHeight="1" spans="1:11" x14ac:dyDescent="0.25">
      <c r="A190" s="293" t="s">
        <v>74</v>
      </c>
      <c r="B190" s="349" t="s">
        <v>1833</v>
      </c>
      <c r="C190" s="293" t="s">
        <v>1743</v>
      </c>
      <c r="D190" s="293" t="s">
        <v>1456</v>
      </c>
      <c r="E190" s="228"/>
      <c r="F190" s="445"/>
      <c r="G190" s="445"/>
      <c r="H190" s="446">
        <f t="shared" si="23"/>
        <v>800885.922</v>
      </c>
      <c r="I190" s="228"/>
      <c r="J190" s="228"/>
      <c r="K190" s="456"/>
    </row>
    <row r="191" ht="14.5" customHeight="1" spans="1:11" x14ac:dyDescent="0.25">
      <c r="A191" s="293" t="s">
        <v>80</v>
      </c>
      <c r="B191" s="349" t="s">
        <v>1751</v>
      </c>
      <c r="C191" s="443" t="s">
        <v>61</v>
      </c>
      <c r="D191" s="293" t="s">
        <v>1752</v>
      </c>
      <c r="E191" s="228"/>
      <c r="F191" s="445"/>
      <c r="G191" s="445"/>
      <c r="H191" s="446">
        <f t="shared" si="23"/>
        <v>8760</v>
      </c>
      <c r="I191" s="228"/>
      <c r="J191" s="228"/>
      <c r="K191" s="447"/>
    </row>
    <row r="192" spans="1:11" x14ac:dyDescent="0.25">
      <c r="A192" s="443"/>
      <c r="B192" s="349"/>
      <c r="C192" s="443"/>
      <c r="D192" s="293"/>
      <c r="E192" s="473"/>
      <c r="F192" s="473"/>
      <c r="G192" s="473"/>
      <c r="H192" s="474"/>
      <c r="I192" s="490"/>
      <c r="J192" s="490"/>
      <c r="K192" s="447"/>
    </row>
    <row r="193" spans="1:11" x14ac:dyDescent="0.25">
      <c r="A193" s="437" t="s">
        <v>125</v>
      </c>
      <c r="B193" s="438" t="s">
        <v>278</v>
      </c>
      <c r="C193" s="439"/>
      <c r="D193" s="440"/>
      <c r="E193" s="442"/>
      <c r="F193" s="442"/>
      <c r="G193" s="442"/>
      <c r="H193" s="441"/>
      <c r="I193" s="442"/>
      <c r="J193" s="442"/>
      <c r="K193" s="442"/>
    </row>
    <row r="194" spans="1:11" x14ac:dyDescent="0.25">
      <c r="A194" s="437" t="s">
        <v>1834</v>
      </c>
      <c r="B194" s="438" t="s">
        <v>1835</v>
      </c>
      <c r="C194" s="439"/>
      <c r="D194" s="440"/>
      <c r="E194" s="442"/>
      <c r="F194" s="442"/>
      <c r="G194" s="442"/>
      <c r="H194" s="441"/>
      <c r="I194" s="442"/>
      <c r="J194" s="442"/>
      <c r="K194" s="442"/>
    </row>
    <row r="195" ht="14.5" customHeight="1" spans="1:11" x14ac:dyDescent="0.25" outlineLevel="1" collapsed="1">
      <c r="A195" s="443" t="s">
        <v>58</v>
      </c>
      <c r="B195" s="516" t="s">
        <v>1836</v>
      </c>
      <c r="C195" s="293" t="s">
        <v>61</v>
      </c>
      <c r="D195" s="293" t="s">
        <v>1456</v>
      </c>
      <c r="E195" s="228"/>
      <c r="F195" s="445"/>
      <c r="G195" s="445"/>
      <c r="H195" s="446">
        <f t="shared" ref="H195:H230" si="24">IF(K$9=1,E195,IF(K$9=2,(E195+F195)/2,(E195+F195+G195)/3))</f>
        <v>23000</v>
      </c>
      <c r="I195" s="228"/>
      <c r="J195" s="228"/>
      <c r="K195" s="515"/>
    </row>
    <row r="196" ht="14.5" customHeight="1" spans="1:11" x14ac:dyDescent="0.25" outlineLevel="1" collapsed="1">
      <c r="A196" s="443" t="s">
        <v>64</v>
      </c>
      <c r="B196" s="516" t="s">
        <v>1837</v>
      </c>
      <c r="C196" s="293" t="s">
        <v>61</v>
      </c>
      <c r="D196" s="293" t="s">
        <v>1456</v>
      </c>
      <c r="E196" s="228"/>
      <c r="F196" s="445"/>
      <c r="G196" s="445"/>
      <c r="H196" s="446">
        <f t="shared" si="24"/>
        <v>30827.418</v>
      </c>
      <c r="I196" s="228"/>
      <c r="J196" s="228"/>
      <c r="K196" s="515"/>
    </row>
    <row r="197" ht="14.5" customHeight="1" spans="1:11" x14ac:dyDescent="0.25" outlineLevel="1" collapsed="1">
      <c r="A197" s="443" t="s">
        <v>68</v>
      </c>
      <c r="B197" s="349" t="s">
        <v>1838</v>
      </c>
      <c r="C197" s="293" t="s">
        <v>1743</v>
      </c>
      <c r="D197" s="293" t="s">
        <v>1839</v>
      </c>
      <c r="E197" s="475"/>
      <c r="F197" s="475"/>
      <c r="G197" s="475"/>
      <c r="H197" s="476"/>
      <c r="I197" s="475"/>
      <c r="J197" s="477"/>
      <c r="K197" s="515"/>
    </row>
    <row r="198" ht="28" customHeight="1" spans="1:11" x14ac:dyDescent="0.25" outlineLevel="1" collapsed="1">
      <c r="A198" s="443" t="s">
        <v>74</v>
      </c>
      <c r="B198" s="349" t="s">
        <v>1840</v>
      </c>
      <c r="C198" s="293" t="s">
        <v>1743</v>
      </c>
      <c r="D198" s="293" t="s">
        <v>1756</v>
      </c>
      <c r="E198" s="228"/>
      <c r="F198" s="445"/>
      <c r="G198" s="445"/>
      <c r="H198" s="446">
        <f t="shared" si="24"/>
        <v>173.59824187368676</v>
      </c>
      <c r="I198" s="228"/>
      <c r="J198" s="228"/>
      <c r="K198" s="456"/>
    </row>
    <row r="199" ht="14.5" customHeight="1" spans="1:11" x14ac:dyDescent="0.25" outlineLevel="1" collapsed="1">
      <c r="A199" s="443" t="s">
        <v>80</v>
      </c>
      <c r="B199" s="349" t="s">
        <v>1841</v>
      </c>
      <c r="C199" s="293" t="s">
        <v>61</v>
      </c>
      <c r="D199" s="293" t="s">
        <v>1756</v>
      </c>
      <c r="E199" s="228"/>
      <c r="F199" s="445"/>
      <c r="G199" s="445"/>
      <c r="H199" s="446">
        <f t="shared" si="24"/>
        <v>174</v>
      </c>
      <c r="I199" s="228"/>
      <c r="J199" s="228"/>
      <c r="K199" s="515"/>
    </row>
    <row r="200" ht="14.5" customHeight="1" spans="1:11" x14ac:dyDescent="0.25" outlineLevel="1" collapsed="1">
      <c r="A200" s="443" t="s">
        <v>82</v>
      </c>
      <c r="B200" s="349" t="s">
        <v>1842</v>
      </c>
      <c r="C200" s="293" t="s">
        <v>61</v>
      </c>
      <c r="D200" s="293" t="s">
        <v>1843</v>
      </c>
      <c r="E200" s="228"/>
      <c r="F200" s="445"/>
      <c r="G200" s="445"/>
      <c r="H200" s="446">
        <f t="shared" si="24"/>
        <v>0.07</v>
      </c>
      <c r="I200" s="228"/>
      <c r="J200" s="228"/>
      <c r="K200" s="515"/>
    </row>
    <row r="201" ht="14.5" customHeight="1" spans="1:11" x14ac:dyDescent="0.25" outlineLevel="1" collapsed="1">
      <c r="A201" s="293" t="s">
        <v>121</v>
      </c>
      <c r="B201" s="349" t="s">
        <v>1844</v>
      </c>
      <c r="C201" s="293" t="s">
        <v>61</v>
      </c>
      <c r="D201" s="293" t="s">
        <v>1843</v>
      </c>
      <c r="E201" s="228"/>
      <c r="F201" s="445"/>
      <c r="G201" s="445"/>
      <c r="H201" s="446">
        <f t="shared" si="24"/>
        <v>4.65</v>
      </c>
      <c r="I201" s="228"/>
      <c r="J201" s="228"/>
      <c r="K201" s="515"/>
    </row>
    <row r="202" ht="14.5" customHeight="1" spans="1:11" x14ac:dyDescent="0.25" outlineLevel="1" collapsed="1">
      <c r="A202" s="443" t="s">
        <v>144</v>
      </c>
      <c r="B202" s="349" t="s">
        <v>1845</v>
      </c>
      <c r="C202" s="293" t="s">
        <v>61</v>
      </c>
      <c r="D202" s="293" t="s">
        <v>1843</v>
      </c>
      <c r="E202" s="228"/>
      <c r="F202" s="445"/>
      <c r="G202" s="445"/>
      <c r="H202" s="446">
        <f t="shared" si="24"/>
        <v>0</v>
      </c>
      <c r="I202" s="228"/>
      <c r="J202" s="228"/>
      <c r="K202" s="515"/>
    </row>
    <row r="203" ht="14.5" customHeight="1" spans="1:11" x14ac:dyDescent="0.25" outlineLevel="1" collapsed="1">
      <c r="A203" s="443" t="s">
        <v>146</v>
      </c>
      <c r="B203" s="349" t="s">
        <v>1846</v>
      </c>
      <c r="C203" s="293" t="s">
        <v>1743</v>
      </c>
      <c r="D203" s="293" t="s">
        <v>1847</v>
      </c>
      <c r="E203" s="228"/>
      <c r="F203" s="445"/>
      <c r="G203" s="445"/>
      <c r="H203" s="446">
        <f t="shared" si="24"/>
        <v>0</v>
      </c>
      <c r="I203" s="228"/>
      <c r="J203" s="228"/>
      <c r="K203" s="447"/>
    </row>
    <row r="204" ht="14.5" customHeight="1" spans="1:11" x14ac:dyDescent="0.25" outlineLevel="1" collapsed="1">
      <c r="A204" s="443" t="s">
        <v>148</v>
      </c>
      <c r="B204" s="349" t="s">
        <v>1848</v>
      </c>
      <c r="C204" s="293" t="s">
        <v>1743</v>
      </c>
      <c r="D204" s="293" t="s">
        <v>1849</v>
      </c>
      <c r="E204" s="228"/>
      <c r="F204" s="445"/>
      <c r="G204" s="445"/>
      <c r="H204" s="446">
        <f t="shared" si="24"/>
        <v>50</v>
      </c>
      <c r="I204" s="228"/>
      <c r="J204" s="228"/>
      <c r="K204" s="515"/>
    </row>
    <row r="205" ht="14.5" customHeight="1" spans="1:11" x14ac:dyDescent="0.25" outlineLevel="1" collapsed="1">
      <c r="A205" s="443" t="s">
        <v>150</v>
      </c>
      <c r="B205" s="349" t="s">
        <v>1850</v>
      </c>
      <c r="C205" s="293" t="s">
        <v>1743</v>
      </c>
      <c r="D205" s="293" t="s">
        <v>1849</v>
      </c>
      <c r="E205" s="228"/>
      <c r="F205" s="445"/>
      <c r="G205" s="445"/>
      <c r="H205" s="446">
        <f t="shared" si="24"/>
        <v>64.0979131844437</v>
      </c>
      <c r="I205" s="228"/>
      <c r="J205" s="228"/>
      <c r="K205" s="447"/>
    </row>
    <row r="206" ht="14.5" customHeight="1" spans="1:11" x14ac:dyDescent="0.25" outlineLevel="1" collapsed="1">
      <c r="A206" s="293" t="s">
        <v>152</v>
      </c>
      <c r="B206" s="349" t="s">
        <v>1851</v>
      </c>
      <c r="C206" s="293" t="s">
        <v>61</v>
      </c>
      <c r="D206" s="293" t="s">
        <v>1852</v>
      </c>
      <c r="E206" s="228"/>
      <c r="F206" s="445"/>
      <c r="G206" s="445"/>
      <c r="H206" s="446">
        <f t="shared" si="24"/>
        <v>0.06558268723909097</v>
      </c>
      <c r="I206" s="228"/>
      <c r="J206" s="228"/>
      <c r="K206" s="447"/>
    </row>
    <row r="207" ht="14.5" customHeight="1" spans="1:11" x14ac:dyDescent="0.25" outlineLevel="1" collapsed="1">
      <c r="A207" s="293" t="s">
        <v>155</v>
      </c>
      <c r="B207" s="349" t="s">
        <v>1853</v>
      </c>
      <c r="C207" s="293" t="s">
        <v>61</v>
      </c>
      <c r="D207" s="293" t="s">
        <v>1750</v>
      </c>
      <c r="E207" s="470"/>
      <c r="F207" s="470"/>
      <c r="G207" s="470"/>
      <c r="H207" s="446">
        <f t="shared" si="24"/>
        <v>16534.4</v>
      </c>
      <c r="I207" s="470"/>
      <c r="J207" s="471"/>
      <c r="K207" s="447"/>
    </row>
    <row r="208" ht="14.5" customHeight="1" spans="1:11" x14ac:dyDescent="0.25" outlineLevel="1" collapsed="1">
      <c r="A208" s="293" t="s">
        <v>158</v>
      </c>
      <c r="B208" s="349" t="s">
        <v>1854</v>
      </c>
      <c r="C208" s="293" t="s">
        <v>1743</v>
      </c>
      <c r="D208" s="293" t="s">
        <v>1750</v>
      </c>
      <c r="E208" s="470"/>
      <c r="F208" s="470"/>
      <c r="G208" s="470"/>
      <c r="H208" s="446">
        <f t="shared" si="24"/>
        <v>14036.618506292029</v>
      </c>
      <c r="I208" s="470"/>
      <c r="J208" s="471"/>
      <c r="K208" s="447"/>
    </row>
    <row r="209" ht="42" customHeight="1" spans="1:11" x14ac:dyDescent="0.25" outlineLevel="1" collapsed="1">
      <c r="A209" s="293" t="s">
        <v>160</v>
      </c>
      <c r="B209" s="349" t="s">
        <v>1855</v>
      </c>
      <c r="C209" s="293" t="s">
        <v>1743</v>
      </c>
      <c r="D209" s="293" t="s">
        <v>1856</v>
      </c>
      <c r="E209" s="470"/>
      <c r="F209" s="470"/>
      <c r="G209" s="470"/>
      <c r="H209" s="446">
        <f t="shared" si="24"/>
        <v>1.9502644427570497</v>
      </c>
      <c r="I209" s="470"/>
      <c r="J209" s="471"/>
      <c r="K209" s="447"/>
    </row>
    <row r="210" ht="42" customHeight="1" spans="1:11" x14ac:dyDescent="0.25" outlineLevel="1" collapsed="1">
      <c r="A210" s="293" t="s">
        <v>162</v>
      </c>
      <c r="B210" s="349" t="s">
        <v>1857</v>
      </c>
      <c r="C210" s="293" t="s">
        <v>1743</v>
      </c>
      <c r="D210" s="293" t="s">
        <v>1858</v>
      </c>
      <c r="E210" s="470"/>
      <c r="F210" s="470"/>
      <c r="G210" s="470"/>
      <c r="H210" s="446">
        <f t="shared" si="24"/>
        <v>0.425912362340392</v>
      </c>
      <c r="I210" s="470"/>
      <c r="J210" s="471"/>
      <c r="K210" s="447"/>
    </row>
    <row r="211" spans="1:11" x14ac:dyDescent="0.25">
      <c r="A211" s="437" t="s">
        <v>530</v>
      </c>
      <c r="B211" s="438" t="s">
        <v>1859</v>
      </c>
      <c r="C211" s="439"/>
      <c r="D211" s="440"/>
      <c r="E211" s="442"/>
      <c r="F211" s="442"/>
      <c r="G211" s="442"/>
      <c r="H211" s="441"/>
      <c r="I211" s="442"/>
      <c r="J211" s="442"/>
      <c r="K211" s="442"/>
    </row>
    <row r="212" ht="14.5" customHeight="1" spans="1:11" x14ac:dyDescent="0.25" outlineLevel="1" collapsed="1">
      <c r="A212" s="443" t="s">
        <v>58</v>
      </c>
      <c r="B212" s="516" t="s">
        <v>1836</v>
      </c>
      <c r="C212" s="293" t="s">
        <v>61</v>
      </c>
      <c r="D212" s="293" t="s">
        <v>1456</v>
      </c>
      <c r="E212" s="228"/>
      <c r="F212" s="445"/>
      <c r="G212" s="445"/>
      <c r="H212" s="446">
        <f t="shared" si="24"/>
        <v>27000</v>
      </c>
      <c r="I212" s="228"/>
      <c r="J212" s="228"/>
      <c r="K212" s="515"/>
    </row>
    <row r="213" ht="14.5" customHeight="1" spans="1:11" x14ac:dyDescent="0.25" outlineLevel="1" collapsed="1">
      <c r="A213" s="443" t="s">
        <v>64</v>
      </c>
      <c r="B213" s="516" t="s">
        <v>1837</v>
      </c>
      <c r="C213" s="293" t="s">
        <v>61</v>
      </c>
      <c r="D213" s="293" t="s">
        <v>1456</v>
      </c>
      <c r="E213" s="228"/>
      <c r="F213" s="445"/>
      <c r="G213" s="445"/>
      <c r="H213" s="446">
        <f t="shared" si="24"/>
        <v>31293.134</v>
      </c>
      <c r="I213" s="228"/>
      <c r="J213" s="228"/>
      <c r="K213" s="515"/>
    </row>
    <row r="214" ht="14.5" customHeight="1" spans="1:11" x14ac:dyDescent="0.25" outlineLevel="1" collapsed="1">
      <c r="A214" s="443" t="s">
        <v>68</v>
      </c>
      <c r="B214" s="349" t="s">
        <v>1838</v>
      </c>
      <c r="C214" s="293" t="s">
        <v>1743</v>
      </c>
      <c r="D214" s="293" t="s">
        <v>1839</v>
      </c>
      <c r="E214" s="475"/>
      <c r="F214" s="475"/>
      <c r="G214" s="475"/>
      <c r="H214" s="476"/>
      <c r="I214" s="475"/>
      <c r="J214" s="477"/>
      <c r="K214" s="515"/>
    </row>
    <row r="215" ht="28" customHeight="1" spans="1:11" x14ac:dyDescent="0.25" outlineLevel="1" collapsed="1">
      <c r="A215" s="443" t="s">
        <v>74</v>
      </c>
      <c r="B215" s="349" t="s">
        <v>1860</v>
      </c>
      <c r="C215" s="293" t="s">
        <v>1743</v>
      </c>
      <c r="D215" s="293" t="s">
        <v>1756</v>
      </c>
      <c r="E215" s="228"/>
      <c r="F215" s="445"/>
      <c r="G215" s="445"/>
      <c r="H215" s="446">
        <f t="shared" si="24"/>
        <v>175.1697472500309</v>
      </c>
      <c r="I215" s="228"/>
      <c r="J215" s="228"/>
      <c r="K215" s="456"/>
    </row>
    <row r="216" ht="14.5" customHeight="1" spans="1:11" x14ac:dyDescent="0.25" outlineLevel="1" collapsed="1">
      <c r="A216" s="443" t="s">
        <v>80</v>
      </c>
      <c r="B216" s="349" t="s">
        <v>1841</v>
      </c>
      <c r="C216" s="293" t="s">
        <v>61</v>
      </c>
      <c r="D216" s="293" t="s">
        <v>1756</v>
      </c>
      <c r="E216" s="228"/>
      <c r="F216" s="445"/>
      <c r="G216" s="445"/>
      <c r="H216" s="446">
        <f t="shared" si="24"/>
        <v>176</v>
      </c>
      <c r="I216" s="228"/>
      <c r="J216" s="228"/>
      <c r="K216" s="515"/>
    </row>
    <row r="217" ht="14.5" customHeight="1" spans="1:11" x14ac:dyDescent="0.25" outlineLevel="1" collapsed="1">
      <c r="A217" s="443" t="s">
        <v>82</v>
      </c>
      <c r="B217" s="349" t="s">
        <v>1842</v>
      </c>
      <c r="C217" s="293" t="s">
        <v>61</v>
      </c>
      <c r="D217" s="293" t="s">
        <v>1843</v>
      </c>
      <c r="E217" s="228"/>
      <c r="F217" s="445"/>
      <c r="G217" s="445"/>
      <c r="H217" s="446">
        <f t="shared" si="24"/>
        <v>0.07</v>
      </c>
      <c r="I217" s="228"/>
      <c r="J217" s="228"/>
      <c r="K217" s="515"/>
    </row>
    <row r="218" ht="14.5" customHeight="1" spans="1:11" x14ac:dyDescent="0.25" outlineLevel="1" collapsed="1">
      <c r="A218" s="293" t="s">
        <v>121</v>
      </c>
      <c r="B218" s="349" t="s">
        <v>1844</v>
      </c>
      <c r="C218" s="293" t="s">
        <v>61</v>
      </c>
      <c r="D218" s="293" t="s">
        <v>1843</v>
      </c>
      <c r="E218" s="228"/>
      <c r="F218" s="445"/>
      <c r="G218" s="445"/>
      <c r="H218" s="446">
        <f t="shared" si="24"/>
        <v>4.65</v>
      </c>
      <c r="I218" s="228"/>
      <c r="J218" s="228"/>
      <c r="K218" s="515"/>
    </row>
    <row r="219" ht="14.5" customHeight="1" spans="1:11" x14ac:dyDescent="0.25" outlineLevel="1" collapsed="1">
      <c r="A219" s="443" t="s">
        <v>144</v>
      </c>
      <c r="B219" s="349" t="s">
        <v>1845</v>
      </c>
      <c r="C219" s="293" t="s">
        <v>61</v>
      </c>
      <c r="D219" s="293" t="s">
        <v>1843</v>
      </c>
      <c r="E219" s="228"/>
      <c r="F219" s="445"/>
      <c r="G219" s="445"/>
      <c r="H219" s="446">
        <f t="shared" si="24"/>
        <v>0</v>
      </c>
      <c r="I219" s="228"/>
      <c r="J219" s="228"/>
      <c r="K219" s="515"/>
    </row>
    <row r="220" ht="14.5" customHeight="1" spans="1:11" x14ac:dyDescent="0.25" outlineLevel="1" collapsed="1">
      <c r="A220" s="443" t="s">
        <v>146</v>
      </c>
      <c r="B220" s="349" t="s">
        <v>1846</v>
      </c>
      <c r="C220" s="293" t="s">
        <v>1743</v>
      </c>
      <c r="D220" s="293" t="s">
        <v>1847</v>
      </c>
      <c r="E220" s="228"/>
      <c r="F220" s="445"/>
      <c r="G220" s="445"/>
      <c r="H220" s="446">
        <f t="shared" si="24"/>
        <v>0</v>
      </c>
      <c r="I220" s="228"/>
      <c r="J220" s="228"/>
      <c r="K220" s="447"/>
    </row>
    <row r="221" ht="14.5" customHeight="1" spans="1:11" x14ac:dyDescent="0.25" outlineLevel="1" collapsed="1">
      <c r="A221" s="443" t="s">
        <v>148</v>
      </c>
      <c r="B221" s="349" t="s">
        <v>1848</v>
      </c>
      <c r="C221" s="293" t="s">
        <v>1743</v>
      </c>
      <c r="D221" s="293" t="s">
        <v>1849</v>
      </c>
      <c r="E221" s="228"/>
      <c r="F221" s="445"/>
      <c r="G221" s="445"/>
      <c r="H221" s="446">
        <f t="shared" si="24"/>
        <v>55</v>
      </c>
      <c r="I221" s="228"/>
      <c r="J221" s="228"/>
      <c r="K221" s="515"/>
    </row>
    <row r="222" ht="14.5" customHeight="1" spans="1:11" x14ac:dyDescent="0.25" outlineLevel="1" collapsed="1">
      <c r="A222" s="443" t="s">
        <v>150</v>
      </c>
      <c r="B222" s="349" t="s">
        <v>1850</v>
      </c>
      <c r="C222" s="293" t="s">
        <v>1743</v>
      </c>
      <c r="D222" s="293" t="s">
        <v>1849</v>
      </c>
      <c r="E222" s="228"/>
      <c r="F222" s="445"/>
      <c r="G222" s="445"/>
      <c r="H222" s="446">
        <f t="shared" si="24"/>
        <v>64.3835857561767</v>
      </c>
      <c r="I222" s="228"/>
      <c r="J222" s="228"/>
      <c r="K222" s="447"/>
    </row>
    <row r="223" ht="14.5" customHeight="1" spans="1:11" x14ac:dyDescent="0.25" outlineLevel="1" collapsed="1">
      <c r="A223" s="293" t="s">
        <v>152</v>
      </c>
      <c r="B223" s="349" t="s">
        <v>1851</v>
      </c>
      <c r="C223" s="293" t="s">
        <v>61</v>
      </c>
      <c r="D223" s="293" t="s">
        <v>1852</v>
      </c>
      <c r="E223" s="228"/>
      <c r="F223" s="445"/>
      <c r="G223" s="445"/>
      <c r="H223" s="446">
        <f t="shared" si="24"/>
        <v>0.09767458260844783</v>
      </c>
      <c r="I223" s="228"/>
      <c r="J223" s="228"/>
      <c r="K223" s="447"/>
    </row>
    <row r="224" ht="14.5" customHeight="1" spans="1:11" x14ac:dyDescent="0.25" outlineLevel="1" collapsed="1">
      <c r="A224" s="293" t="s">
        <v>155</v>
      </c>
      <c r="B224" s="349" t="s">
        <v>1853</v>
      </c>
      <c r="C224" s="293" t="s">
        <v>61</v>
      </c>
      <c r="D224" s="293" t="s">
        <v>1750</v>
      </c>
      <c r="E224" s="470"/>
      <c r="F224" s="470"/>
      <c r="G224" s="470"/>
      <c r="H224" s="446">
        <f t="shared" si="24"/>
        <v>16534.4</v>
      </c>
      <c r="I224" s="470"/>
      <c r="J224" s="471"/>
      <c r="K224" s="447"/>
    </row>
    <row r="225" ht="14.5" customHeight="1" spans="1:11" x14ac:dyDescent="0.25" outlineLevel="1" collapsed="1">
      <c r="A225" s="293" t="s">
        <v>158</v>
      </c>
      <c r="B225" s="349" t="s">
        <v>1854</v>
      </c>
      <c r="C225" s="293" t="s">
        <v>1743</v>
      </c>
      <c r="D225" s="293" t="s">
        <v>1750</v>
      </c>
      <c r="E225" s="470"/>
      <c r="F225" s="470"/>
      <c r="G225" s="470"/>
      <c r="H225" s="446">
        <f t="shared" si="24"/>
        <v>14024.09781008192</v>
      </c>
      <c r="I225" s="470"/>
      <c r="J225" s="471"/>
      <c r="K225" s="447"/>
    </row>
    <row r="226" ht="42" customHeight="1" spans="1:11" x14ac:dyDescent="0.25" outlineLevel="1" collapsed="1">
      <c r="A226" s="293" t="s">
        <v>160</v>
      </c>
      <c r="B226" s="349" t="s">
        <v>1855</v>
      </c>
      <c r="C226" s="293" t="s">
        <v>1743</v>
      </c>
      <c r="D226" s="293" t="s">
        <v>1856</v>
      </c>
      <c r="E226" s="470"/>
      <c r="F226" s="470"/>
      <c r="G226" s="470"/>
      <c r="H226" s="446">
        <f t="shared" si="24"/>
        <v>1.9502644427570497</v>
      </c>
      <c r="I226" s="470"/>
      <c r="J226" s="471"/>
      <c r="K226" s="447"/>
    </row>
    <row r="227" ht="42" customHeight="1" spans="1:11" x14ac:dyDescent="0.25" outlineLevel="1" collapsed="1">
      <c r="A227" s="293" t="s">
        <v>162</v>
      </c>
      <c r="B227" s="349" t="s">
        <v>1857</v>
      </c>
      <c r="C227" s="293" t="s">
        <v>1743</v>
      </c>
      <c r="D227" s="293" t="s">
        <v>1858</v>
      </c>
      <c r="E227" s="470"/>
      <c r="F227" s="470"/>
      <c r="G227" s="470"/>
      <c r="H227" s="446">
        <f t="shared" si="24"/>
        <v>0.425247590119172</v>
      </c>
      <c r="I227" s="470"/>
      <c r="J227" s="471"/>
      <c r="K227" s="447"/>
    </row>
    <row r="228" spans="1:11" x14ac:dyDescent="0.25">
      <c r="A228" s="437" t="s">
        <v>724</v>
      </c>
      <c r="B228" s="438" t="s">
        <v>1861</v>
      </c>
      <c r="C228" s="439"/>
      <c r="D228" s="440"/>
      <c r="E228" s="442"/>
      <c r="F228" s="442"/>
      <c r="G228" s="442"/>
      <c r="H228" s="441"/>
      <c r="I228" s="442"/>
      <c r="J228" s="442"/>
      <c r="K228" s="442"/>
    </row>
    <row r="229" ht="14.5" customHeight="1" spans="1:11" x14ac:dyDescent="0.25" outlineLevel="1" collapsed="1">
      <c r="A229" s="443" t="s">
        <v>58</v>
      </c>
      <c r="B229" s="516" t="s">
        <v>1836</v>
      </c>
      <c r="C229" s="293" t="s">
        <v>61</v>
      </c>
      <c r="D229" s="293" t="s">
        <v>1456</v>
      </c>
      <c r="E229" s="228"/>
      <c r="F229" s="445"/>
      <c r="G229" s="445"/>
      <c r="H229" s="446">
        <f t="shared" si="24"/>
        <v>27000</v>
      </c>
      <c r="I229" s="228"/>
      <c r="J229" s="228"/>
      <c r="K229" s="515"/>
    </row>
    <row r="230" ht="14.5" customHeight="1" spans="1:11" x14ac:dyDescent="0.25" outlineLevel="1" collapsed="1">
      <c r="A230" s="443" t="s">
        <v>64</v>
      </c>
      <c r="B230" s="516" t="s">
        <v>1837</v>
      </c>
      <c r="C230" s="293" t="s">
        <v>61</v>
      </c>
      <c r="D230" s="293" t="s">
        <v>1456</v>
      </c>
      <c r="E230" s="228"/>
      <c r="F230" s="445"/>
      <c r="G230" s="445"/>
      <c r="H230" s="446">
        <f t="shared" si="24"/>
        <v>31319.988</v>
      </c>
      <c r="I230" s="228"/>
      <c r="J230" s="228"/>
      <c r="K230" s="515"/>
    </row>
    <row r="231" ht="14.5" customHeight="1" spans="1:11" x14ac:dyDescent="0.25" outlineLevel="1" collapsed="1">
      <c r="A231" s="443" t="s">
        <v>68</v>
      </c>
      <c r="B231" s="349" t="s">
        <v>1838</v>
      </c>
      <c r="C231" s="293" t="s">
        <v>1743</v>
      </c>
      <c r="D231" s="293" t="s">
        <v>1839</v>
      </c>
      <c r="E231" s="475"/>
      <c r="F231" s="475"/>
      <c r="G231" s="475"/>
      <c r="H231" s="476"/>
      <c r="I231" s="475"/>
      <c r="J231" s="477"/>
      <c r="K231" s="515"/>
    </row>
    <row r="232" ht="28" customHeight="1" spans="1:11" x14ac:dyDescent="0.25" outlineLevel="1" collapsed="1">
      <c r="A232" s="443" t="s">
        <v>74</v>
      </c>
      <c r="B232" s="349" t="s">
        <v>1862</v>
      </c>
      <c r="C232" s="293" t="s">
        <v>1743</v>
      </c>
      <c r="D232" s="293" t="s">
        <v>1756</v>
      </c>
      <c r="E232" s="228"/>
      <c r="F232" s="445"/>
      <c r="G232" s="445"/>
      <c r="H232" s="446">
        <f t="shared" ref="H232:H295" si="25">IF(K$9=1,E232,IF(K$9=2,(E232+F232)/2,(E232+F232+G232)/3))</f>
        <v>175.92446236559138</v>
      </c>
      <c r="I232" s="228"/>
      <c r="J232" s="228"/>
      <c r="K232" s="456"/>
    </row>
    <row r="233" ht="14.5" customHeight="1" spans="1:11" x14ac:dyDescent="0.25" outlineLevel="1" collapsed="1">
      <c r="A233" s="443" t="s">
        <v>80</v>
      </c>
      <c r="B233" s="349" t="s">
        <v>1841</v>
      </c>
      <c r="C233" s="293" t="s">
        <v>61</v>
      </c>
      <c r="D233" s="293" t="s">
        <v>1756</v>
      </c>
      <c r="E233" s="228"/>
      <c r="F233" s="445"/>
      <c r="G233" s="445"/>
      <c r="H233" s="446">
        <f t="shared" si="25"/>
        <v>176</v>
      </c>
      <c r="I233" s="228"/>
      <c r="J233" s="228"/>
      <c r="K233" s="515"/>
    </row>
    <row r="234" ht="14.5" customHeight="1" spans="1:11" x14ac:dyDescent="0.25" outlineLevel="1" collapsed="1">
      <c r="A234" s="443" t="s">
        <v>82</v>
      </c>
      <c r="B234" s="349" t="s">
        <v>1842</v>
      </c>
      <c r="C234" s="293" t="s">
        <v>61</v>
      </c>
      <c r="D234" s="293" t="s">
        <v>1843</v>
      </c>
      <c r="E234" s="228"/>
      <c r="F234" s="445"/>
      <c r="G234" s="445"/>
      <c r="H234" s="446">
        <f t="shared" si="25"/>
        <v>0.07</v>
      </c>
      <c r="I234" s="228"/>
      <c r="J234" s="228"/>
      <c r="K234" s="515"/>
    </row>
    <row r="235" ht="14.5" customHeight="1" spans="1:11" x14ac:dyDescent="0.25" outlineLevel="1" collapsed="1">
      <c r="A235" s="293" t="s">
        <v>121</v>
      </c>
      <c r="B235" s="349" t="s">
        <v>1844</v>
      </c>
      <c r="C235" s="293" t="s">
        <v>61</v>
      </c>
      <c r="D235" s="293" t="s">
        <v>1843</v>
      </c>
      <c r="E235" s="228"/>
      <c r="F235" s="445"/>
      <c r="G235" s="445"/>
      <c r="H235" s="446">
        <f t="shared" si="25"/>
        <v>4.65</v>
      </c>
      <c r="I235" s="228"/>
      <c r="J235" s="228"/>
      <c r="K235" s="515"/>
    </row>
    <row r="236" ht="14.5" customHeight="1" spans="1:11" x14ac:dyDescent="0.25" outlineLevel="1" collapsed="1">
      <c r="A236" s="443" t="s">
        <v>144</v>
      </c>
      <c r="B236" s="349" t="s">
        <v>1845</v>
      </c>
      <c r="C236" s="293" t="s">
        <v>61</v>
      </c>
      <c r="D236" s="293" t="s">
        <v>1843</v>
      </c>
      <c r="E236" s="228"/>
      <c r="F236" s="445"/>
      <c r="G236" s="445"/>
      <c r="H236" s="446">
        <f t="shared" si="25"/>
        <v>0</v>
      </c>
      <c r="I236" s="228"/>
      <c r="J236" s="228"/>
      <c r="K236" s="515"/>
    </row>
    <row r="237" ht="14.5" customHeight="1" spans="1:11" x14ac:dyDescent="0.25" outlineLevel="1" collapsed="1">
      <c r="A237" s="443" t="s">
        <v>146</v>
      </c>
      <c r="B237" s="349" t="s">
        <v>1846</v>
      </c>
      <c r="C237" s="293" t="s">
        <v>1743</v>
      </c>
      <c r="D237" s="293" t="s">
        <v>1847</v>
      </c>
      <c r="E237" s="228"/>
      <c r="F237" s="445"/>
      <c r="G237" s="445"/>
      <c r="H237" s="446">
        <f t="shared" si="25"/>
        <v>0</v>
      </c>
      <c r="I237" s="228"/>
      <c r="J237" s="228"/>
      <c r="K237" s="447"/>
    </row>
    <row r="238" ht="14.5" customHeight="1" spans="1:11" x14ac:dyDescent="0.25" outlineLevel="1" collapsed="1">
      <c r="A238" s="443" t="s">
        <v>148</v>
      </c>
      <c r="B238" s="349" t="s">
        <v>1848</v>
      </c>
      <c r="C238" s="293" t="s">
        <v>1743</v>
      </c>
      <c r="D238" s="293" t="s">
        <v>1849</v>
      </c>
      <c r="E238" s="228"/>
      <c r="F238" s="445"/>
      <c r="G238" s="445"/>
      <c r="H238" s="446">
        <f t="shared" si="25"/>
        <v>55</v>
      </c>
      <c r="I238" s="228"/>
      <c r="J238" s="228"/>
      <c r="K238" s="515"/>
    </row>
    <row r="239" ht="14.5" customHeight="1" spans="1:11" x14ac:dyDescent="0.25" outlineLevel="1" collapsed="1">
      <c r="A239" s="443" t="s">
        <v>150</v>
      </c>
      <c r="B239" s="349" t="s">
        <v>1850</v>
      </c>
      <c r="C239" s="293" t="s">
        <v>1743</v>
      </c>
      <c r="D239" s="293" t="s">
        <v>1849</v>
      </c>
      <c r="E239" s="228"/>
      <c r="F239" s="445"/>
      <c r="G239" s="445"/>
      <c r="H239" s="446">
        <f t="shared" si="25"/>
        <v>64.38358715909797</v>
      </c>
      <c r="I239" s="228"/>
      <c r="J239" s="228"/>
      <c r="K239" s="447"/>
    </row>
    <row r="240" ht="14.5" customHeight="1" spans="1:11" x14ac:dyDescent="0.25" outlineLevel="1" collapsed="1">
      <c r="A240" s="293" t="s">
        <v>152</v>
      </c>
      <c r="B240" s="349" t="s">
        <v>1851</v>
      </c>
      <c r="C240" s="293" t="s">
        <v>61</v>
      </c>
      <c r="D240" s="293" t="s">
        <v>1852</v>
      </c>
      <c r="E240" s="228"/>
      <c r="F240" s="445"/>
      <c r="G240" s="445"/>
      <c r="H240" s="446">
        <f t="shared" si="25"/>
        <v>0.09045562111353149</v>
      </c>
      <c r="I240" s="228"/>
      <c r="J240" s="228"/>
      <c r="K240" s="447"/>
    </row>
    <row r="241" ht="14.5" customHeight="1" spans="1:11" x14ac:dyDescent="0.25" outlineLevel="1" collapsed="1">
      <c r="A241" s="293" t="s">
        <v>155</v>
      </c>
      <c r="B241" s="349" t="s">
        <v>1853</v>
      </c>
      <c r="C241" s="293" t="s">
        <v>61</v>
      </c>
      <c r="D241" s="293" t="s">
        <v>1750</v>
      </c>
      <c r="E241" s="470"/>
      <c r="F241" s="470"/>
      <c r="G241" s="470"/>
      <c r="H241" s="446">
        <f t="shared" si="25"/>
        <v>16534.4</v>
      </c>
      <c r="I241" s="470"/>
      <c r="J241" s="471"/>
      <c r="K241" s="447"/>
    </row>
    <row r="242" ht="14.5" customHeight="1" spans="1:11" x14ac:dyDescent="0.25" outlineLevel="1" collapsed="1">
      <c r="A242" s="293" t="s">
        <v>158</v>
      </c>
      <c r="B242" s="349" t="s">
        <v>1854</v>
      </c>
      <c r="C242" s="293" t="s">
        <v>1743</v>
      </c>
      <c r="D242" s="293" t="s">
        <v>1750</v>
      </c>
      <c r="E242" s="470"/>
      <c r="F242" s="470"/>
      <c r="G242" s="470"/>
      <c r="H242" s="446">
        <f t="shared" si="25"/>
        <v>13839.9011200132</v>
      </c>
      <c r="I242" s="470"/>
      <c r="J242" s="471"/>
      <c r="K242" s="447"/>
    </row>
    <row r="243" ht="42" customHeight="1" spans="1:11" x14ac:dyDescent="0.25" outlineLevel="1" collapsed="1">
      <c r="A243" s="293" t="s">
        <v>160</v>
      </c>
      <c r="B243" s="349" t="s">
        <v>1855</v>
      </c>
      <c r="C243" s="293" t="s">
        <v>1743</v>
      </c>
      <c r="D243" s="293" t="s">
        <v>1856</v>
      </c>
      <c r="E243" s="470"/>
      <c r="F243" s="470"/>
      <c r="G243" s="470"/>
      <c r="H243" s="446">
        <f t="shared" si="25"/>
        <v>1.9502644427570497</v>
      </c>
      <c r="I243" s="470"/>
      <c r="J243" s="471"/>
      <c r="K243" s="447"/>
    </row>
    <row r="244" ht="42" customHeight="1" spans="1:11" x14ac:dyDescent="0.25" outlineLevel="1" collapsed="1">
      <c r="A244" s="293" t="s">
        <v>162</v>
      </c>
      <c r="B244" s="349" t="s">
        <v>1857</v>
      </c>
      <c r="C244" s="293" t="s">
        <v>1743</v>
      </c>
      <c r="D244" s="293" t="s">
        <v>1858</v>
      </c>
      <c r="E244" s="470"/>
      <c r="F244" s="470"/>
      <c r="G244" s="470"/>
      <c r="H244" s="446">
        <f t="shared" si="25"/>
        <v>0.42671456946150665</v>
      </c>
      <c r="I244" s="470"/>
      <c r="J244" s="471"/>
      <c r="K244" s="447"/>
    </row>
    <row r="245" spans="1:11" x14ac:dyDescent="0.25">
      <c r="A245" s="437" t="s">
        <v>729</v>
      </c>
      <c r="B245" s="438" t="s">
        <v>1863</v>
      </c>
      <c r="C245" s="439"/>
      <c r="D245" s="440"/>
      <c r="E245" s="442"/>
      <c r="F245" s="442"/>
      <c r="G245" s="442"/>
      <c r="H245" s="441"/>
      <c r="I245" s="442"/>
      <c r="J245" s="442"/>
      <c r="K245" s="442"/>
    </row>
    <row r="246" ht="14.5" customHeight="1" spans="1:11" x14ac:dyDescent="0.25" outlineLevel="1" collapsed="1">
      <c r="A246" s="443" t="s">
        <v>58</v>
      </c>
      <c r="B246" s="516" t="s">
        <v>1836</v>
      </c>
      <c r="C246" s="293" t="s">
        <v>61</v>
      </c>
      <c r="D246" s="293" t="s">
        <v>1456</v>
      </c>
      <c r="E246" s="228"/>
      <c r="F246" s="445"/>
      <c r="G246" s="445"/>
      <c r="H246" s="446">
        <f t="shared" si="25"/>
        <v>32000</v>
      </c>
      <c r="I246" s="228"/>
      <c r="J246" s="228"/>
      <c r="K246" s="515"/>
    </row>
    <row r="247" ht="14.5" customHeight="1" spans="1:11" x14ac:dyDescent="0.25" outlineLevel="1" collapsed="1">
      <c r="A247" s="443" t="s">
        <v>64</v>
      </c>
      <c r="B247" s="516" t="s">
        <v>1837</v>
      </c>
      <c r="C247" s="293" t="s">
        <v>61</v>
      </c>
      <c r="D247" s="293" t="s">
        <v>1456</v>
      </c>
      <c r="E247" s="228"/>
      <c r="F247" s="445"/>
      <c r="G247" s="445"/>
      <c r="H247" s="446">
        <f t="shared" si="25"/>
        <v>39890.969</v>
      </c>
      <c r="I247" s="228"/>
      <c r="J247" s="228"/>
      <c r="K247" s="515"/>
    </row>
    <row r="248" ht="14.5" customHeight="1" spans="1:11" x14ac:dyDescent="0.25" outlineLevel="1" collapsed="1">
      <c r="A248" s="443" t="s">
        <v>68</v>
      </c>
      <c r="B248" s="349" t="s">
        <v>1838</v>
      </c>
      <c r="C248" s="293" t="s">
        <v>1743</v>
      </c>
      <c r="D248" s="293" t="s">
        <v>1839</v>
      </c>
      <c r="E248" s="475"/>
      <c r="F248" s="475"/>
      <c r="G248" s="475"/>
      <c r="H248" s="476"/>
      <c r="I248" s="475"/>
      <c r="J248" s="477"/>
      <c r="K248" s="515"/>
    </row>
    <row r="249" ht="28" customHeight="1" spans="1:11" x14ac:dyDescent="0.25" outlineLevel="1" collapsed="1">
      <c r="A249" s="443" t="s">
        <v>74</v>
      </c>
      <c r="B249" s="349" t="s">
        <v>1862</v>
      </c>
      <c r="C249" s="293" t="s">
        <v>1743</v>
      </c>
      <c r="D249" s="293" t="s">
        <v>1756</v>
      </c>
      <c r="E249" s="228"/>
      <c r="F249" s="445"/>
      <c r="G249" s="445"/>
      <c r="H249" s="446">
        <f t="shared" si="25"/>
        <v>204.35948584847358</v>
      </c>
      <c r="I249" s="228"/>
      <c r="J249" s="228"/>
      <c r="K249" s="456"/>
    </row>
    <row r="250" ht="14.5" customHeight="1" spans="1:11" x14ac:dyDescent="0.25" outlineLevel="1" collapsed="1">
      <c r="A250" s="443" t="s">
        <v>80</v>
      </c>
      <c r="B250" s="349" t="s">
        <v>1841</v>
      </c>
      <c r="C250" s="293" t="s">
        <v>61</v>
      </c>
      <c r="D250" s="293" t="s">
        <v>1756</v>
      </c>
      <c r="E250" s="228"/>
      <c r="F250" s="445"/>
      <c r="G250" s="445"/>
      <c r="H250" s="446">
        <f t="shared" si="25"/>
        <v>206</v>
      </c>
      <c r="I250" s="228"/>
      <c r="J250" s="228"/>
      <c r="K250" s="515"/>
    </row>
    <row r="251" ht="14.5" customHeight="1" spans="1:11" x14ac:dyDescent="0.25" outlineLevel="1" collapsed="1">
      <c r="A251" s="443" t="s">
        <v>82</v>
      </c>
      <c r="B251" s="349" t="s">
        <v>1842</v>
      </c>
      <c r="C251" s="293" t="s">
        <v>61</v>
      </c>
      <c r="D251" s="293" t="s">
        <v>1843</v>
      </c>
      <c r="E251" s="228"/>
      <c r="F251" s="445"/>
      <c r="G251" s="445"/>
      <c r="H251" s="446">
        <f t="shared" si="25"/>
        <v>0.07</v>
      </c>
      <c r="I251" s="228"/>
      <c r="J251" s="228"/>
      <c r="K251" s="515"/>
    </row>
    <row r="252" ht="14.5" customHeight="1" spans="1:11" x14ac:dyDescent="0.25" outlineLevel="1" collapsed="1">
      <c r="A252" s="293" t="s">
        <v>121</v>
      </c>
      <c r="B252" s="349" t="s">
        <v>1844</v>
      </c>
      <c r="C252" s="293" t="s">
        <v>61</v>
      </c>
      <c r="D252" s="293" t="s">
        <v>1843</v>
      </c>
      <c r="E252" s="228"/>
      <c r="F252" s="445"/>
      <c r="G252" s="445"/>
      <c r="H252" s="446">
        <f t="shared" si="25"/>
        <v>4.65</v>
      </c>
      <c r="I252" s="228"/>
      <c r="J252" s="228"/>
      <c r="K252" s="515"/>
    </row>
    <row r="253" ht="14.5" customHeight="1" spans="1:11" x14ac:dyDescent="0.25" outlineLevel="1" collapsed="1">
      <c r="A253" s="443" t="s">
        <v>144</v>
      </c>
      <c r="B253" s="349" t="s">
        <v>1845</v>
      </c>
      <c r="C253" s="293" t="s">
        <v>61</v>
      </c>
      <c r="D253" s="293" t="s">
        <v>1843</v>
      </c>
      <c r="E253" s="228"/>
      <c r="F253" s="445"/>
      <c r="G253" s="445"/>
      <c r="H253" s="446">
        <f t="shared" si="25"/>
        <v>0</v>
      </c>
      <c r="I253" s="228"/>
      <c r="J253" s="228"/>
      <c r="K253" s="515"/>
    </row>
    <row r="254" ht="14.5" customHeight="1" spans="1:11" x14ac:dyDescent="0.25" outlineLevel="1" collapsed="1">
      <c r="A254" s="443" t="s">
        <v>146</v>
      </c>
      <c r="B254" s="349" t="s">
        <v>1846</v>
      </c>
      <c r="C254" s="293" t="s">
        <v>1743</v>
      </c>
      <c r="D254" s="293" t="s">
        <v>1847</v>
      </c>
      <c r="E254" s="228"/>
      <c r="F254" s="445"/>
      <c r="G254" s="445"/>
      <c r="H254" s="446">
        <f t="shared" si="25"/>
        <v>0</v>
      </c>
      <c r="I254" s="228"/>
      <c r="J254" s="228"/>
      <c r="K254" s="447"/>
    </row>
    <row r="255" ht="14.5" customHeight="1" spans="1:11" x14ac:dyDescent="0.25" outlineLevel="1" collapsed="1">
      <c r="A255" s="443" t="s">
        <v>148</v>
      </c>
      <c r="B255" s="349" t="s">
        <v>1848</v>
      </c>
      <c r="C255" s="293" t="s">
        <v>1743</v>
      </c>
      <c r="D255" s="293" t="s">
        <v>1849</v>
      </c>
      <c r="E255" s="228"/>
      <c r="F255" s="445"/>
      <c r="G255" s="445"/>
      <c r="H255" s="446">
        <f t="shared" si="25"/>
        <v>60</v>
      </c>
      <c r="I255" s="228"/>
      <c r="J255" s="228"/>
      <c r="K255" s="515"/>
    </row>
    <row r="256" ht="14.5" customHeight="1" spans="1:11" x14ac:dyDescent="0.25" outlineLevel="1" collapsed="1">
      <c r="A256" s="443" t="s">
        <v>150</v>
      </c>
      <c r="B256" s="349" t="s">
        <v>1850</v>
      </c>
      <c r="C256" s="293" t="s">
        <v>1743</v>
      </c>
      <c r="D256" s="293" t="s">
        <v>1849</v>
      </c>
      <c r="E256" s="228"/>
      <c r="F256" s="445"/>
      <c r="G256" s="445"/>
      <c r="H256" s="446">
        <f t="shared" si="25"/>
        <v>71.21400486670052</v>
      </c>
      <c r="I256" s="228"/>
      <c r="J256" s="228"/>
      <c r="K256" s="447"/>
    </row>
    <row r="257" ht="14.5" customHeight="1" spans="1:11" x14ac:dyDescent="0.25" outlineLevel="1" collapsed="1">
      <c r="A257" s="293" t="s">
        <v>152</v>
      </c>
      <c r="B257" s="349" t="s">
        <v>1851</v>
      </c>
      <c r="C257" s="293" t="s">
        <v>61</v>
      </c>
      <c r="D257" s="293" t="s">
        <v>1852</v>
      </c>
      <c r="E257" s="228"/>
      <c r="F257" s="445"/>
      <c r="G257" s="445"/>
      <c r="H257" s="446">
        <f t="shared" si="25"/>
        <v>0.15380400114727674</v>
      </c>
      <c r="I257" s="228"/>
      <c r="J257" s="228"/>
      <c r="K257" s="447"/>
    </row>
    <row r="258" ht="14.5" customHeight="1" spans="1:11" x14ac:dyDescent="0.25" outlineLevel="1" collapsed="1">
      <c r="A258" s="293" t="s">
        <v>155</v>
      </c>
      <c r="B258" s="349" t="s">
        <v>1853</v>
      </c>
      <c r="C258" s="293" t="s">
        <v>61</v>
      </c>
      <c r="D258" s="293" t="s">
        <v>1750</v>
      </c>
      <c r="E258" s="470"/>
      <c r="F258" s="470"/>
      <c r="G258" s="470"/>
      <c r="H258" s="446">
        <f t="shared" si="25"/>
        <v>16534.4</v>
      </c>
      <c r="I258" s="470"/>
      <c r="J258" s="471"/>
      <c r="K258" s="447"/>
    </row>
    <row r="259" ht="14.5" customHeight="1" spans="1:11" x14ac:dyDescent="0.25" outlineLevel="1" collapsed="1">
      <c r="A259" s="293" t="s">
        <v>158</v>
      </c>
      <c r="B259" s="349" t="s">
        <v>1854</v>
      </c>
      <c r="C259" s="293" t="s">
        <v>1743</v>
      </c>
      <c r="D259" s="293" t="s">
        <v>1750</v>
      </c>
      <c r="E259" s="470"/>
      <c r="F259" s="470"/>
      <c r="G259" s="470"/>
      <c r="H259" s="446">
        <f t="shared" si="25"/>
        <v>13991.866204102487</v>
      </c>
      <c r="I259" s="470"/>
      <c r="J259" s="471"/>
      <c r="K259" s="447"/>
    </row>
    <row r="260" ht="42" customHeight="1" spans="1:11" x14ac:dyDescent="0.25" outlineLevel="1" collapsed="1">
      <c r="A260" s="293" t="s">
        <v>160</v>
      </c>
      <c r="B260" s="349" t="s">
        <v>1855</v>
      </c>
      <c r="C260" s="293" t="s">
        <v>1743</v>
      </c>
      <c r="D260" s="293" t="s">
        <v>1856</v>
      </c>
      <c r="E260" s="470"/>
      <c r="F260" s="470"/>
      <c r="G260" s="470"/>
      <c r="H260" s="446">
        <f t="shared" si="25"/>
        <v>1.9502644427570497</v>
      </c>
      <c r="I260" s="470"/>
      <c r="J260" s="471"/>
      <c r="K260" s="447"/>
    </row>
    <row r="261" ht="42" customHeight="1" spans="1:11" x14ac:dyDescent="0.25" outlineLevel="1" collapsed="1">
      <c r="A261" s="293" t="s">
        <v>162</v>
      </c>
      <c r="B261" s="349" t="s">
        <v>1857</v>
      </c>
      <c r="C261" s="293" t="s">
        <v>1743</v>
      </c>
      <c r="D261" s="293" t="s">
        <v>1858</v>
      </c>
      <c r="E261" s="470"/>
      <c r="F261" s="470"/>
      <c r="G261" s="470"/>
      <c r="H261" s="446">
        <f t="shared" si="25"/>
        <v>0.4303529780993196</v>
      </c>
      <c r="I261" s="470"/>
      <c r="J261" s="471"/>
      <c r="K261" s="447"/>
    </row>
    <row r="262" spans="1:11" x14ac:dyDescent="0.25">
      <c r="A262" s="437" t="s">
        <v>731</v>
      </c>
      <c r="B262" s="438" t="s">
        <v>1864</v>
      </c>
      <c r="C262" s="439"/>
      <c r="D262" s="440"/>
      <c r="E262" s="442"/>
      <c r="F262" s="442"/>
      <c r="G262" s="442"/>
      <c r="H262" s="441"/>
      <c r="I262" s="442"/>
      <c r="J262" s="442"/>
      <c r="K262" s="442"/>
    </row>
    <row r="263" ht="14.5" customHeight="1" spans="1:11" x14ac:dyDescent="0.25" outlineLevel="1" collapsed="1">
      <c r="A263" s="443" t="s">
        <v>58</v>
      </c>
      <c r="B263" s="516" t="s">
        <v>1836</v>
      </c>
      <c r="C263" s="293" t="s">
        <v>61</v>
      </c>
      <c r="D263" s="293" t="s">
        <v>1456</v>
      </c>
      <c r="E263" s="228"/>
      <c r="F263" s="445"/>
      <c r="G263" s="445"/>
      <c r="H263" s="446">
        <f t="shared" si="25"/>
        <v>32000</v>
      </c>
      <c r="I263" s="228"/>
      <c r="J263" s="228"/>
      <c r="K263" s="515"/>
    </row>
    <row r="264" ht="14.5" customHeight="1" spans="1:11" x14ac:dyDescent="0.25" outlineLevel="1" collapsed="1">
      <c r="A264" s="443" t="s">
        <v>64</v>
      </c>
      <c r="B264" s="516" t="s">
        <v>1837</v>
      </c>
      <c r="C264" s="293" t="s">
        <v>61</v>
      </c>
      <c r="D264" s="293" t="s">
        <v>1456</v>
      </c>
      <c r="E264" s="228"/>
      <c r="F264" s="445"/>
      <c r="G264" s="445"/>
      <c r="H264" s="446">
        <f t="shared" si="25"/>
        <v>39871.859000000004</v>
      </c>
      <c r="I264" s="228"/>
      <c r="J264" s="228"/>
      <c r="K264" s="515"/>
    </row>
    <row r="265" ht="14.5" customHeight="1" spans="1:11" x14ac:dyDescent="0.25" outlineLevel="1" collapsed="1">
      <c r="A265" s="443" t="s">
        <v>68</v>
      </c>
      <c r="B265" s="349" t="s">
        <v>1838</v>
      </c>
      <c r="C265" s="293" t="s">
        <v>1743</v>
      </c>
      <c r="D265" s="293" t="s">
        <v>1839</v>
      </c>
      <c r="E265" s="475"/>
      <c r="F265" s="475"/>
      <c r="G265" s="475"/>
      <c r="H265" s="476"/>
      <c r="I265" s="475"/>
      <c r="J265" s="477"/>
      <c r="K265" s="515"/>
    </row>
    <row r="266" ht="28" customHeight="1" spans="1:11" x14ac:dyDescent="0.25" outlineLevel="1" collapsed="1">
      <c r="A266" s="443" t="s">
        <v>74</v>
      </c>
      <c r="B266" s="349" t="s">
        <v>1862</v>
      </c>
      <c r="C266" s="293" t="s">
        <v>1743</v>
      </c>
      <c r="D266" s="293" t="s">
        <v>1756</v>
      </c>
      <c r="E266" s="228"/>
      <c r="F266" s="445"/>
      <c r="G266" s="445"/>
      <c r="H266" s="446">
        <f t="shared" si="25"/>
        <v>203.44561240884934</v>
      </c>
      <c r="I266" s="228"/>
      <c r="J266" s="228"/>
      <c r="K266" s="456"/>
    </row>
    <row r="267" ht="14.5" customHeight="1" spans="1:11" x14ac:dyDescent="0.25" outlineLevel="1" collapsed="1">
      <c r="A267" s="443" t="s">
        <v>80</v>
      </c>
      <c r="B267" s="349" t="s">
        <v>1841</v>
      </c>
      <c r="C267" s="293" t="s">
        <v>61</v>
      </c>
      <c r="D267" s="293" t="s">
        <v>1756</v>
      </c>
      <c r="E267" s="228"/>
      <c r="F267" s="445"/>
      <c r="G267" s="445"/>
      <c r="H267" s="446">
        <f t="shared" si="25"/>
        <v>206</v>
      </c>
      <c r="I267" s="228"/>
      <c r="J267" s="228"/>
      <c r="K267" s="515"/>
    </row>
    <row r="268" ht="14.5" customHeight="1" spans="1:11" x14ac:dyDescent="0.25" outlineLevel="1" collapsed="1">
      <c r="A268" s="443" t="s">
        <v>82</v>
      </c>
      <c r="B268" s="349" t="s">
        <v>1842</v>
      </c>
      <c r="C268" s="293" t="s">
        <v>61</v>
      </c>
      <c r="D268" s="293" t="s">
        <v>1843</v>
      </c>
      <c r="E268" s="228"/>
      <c r="F268" s="445"/>
      <c r="G268" s="445"/>
      <c r="H268" s="446">
        <f t="shared" si="25"/>
        <v>0.07</v>
      </c>
      <c r="I268" s="228"/>
      <c r="J268" s="228"/>
      <c r="K268" s="515"/>
    </row>
    <row r="269" ht="14.5" customHeight="1" spans="1:11" x14ac:dyDescent="0.25" outlineLevel="1" collapsed="1">
      <c r="A269" s="293" t="s">
        <v>121</v>
      </c>
      <c r="B269" s="349" t="s">
        <v>1844</v>
      </c>
      <c r="C269" s="293" t="s">
        <v>61</v>
      </c>
      <c r="D269" s="293" t="s">
        <v>1843</v>
      </c>
      <c r="E269" s="228"/>
      <c r="F269" s="445"/>
      <c r="G269" s="445"/>
      <c r="H269" s="446">
        <f t="shared" si="25"/>
        <v>4.65</v>
      </c>
      <c r="I269" s="228"/>
      <c r="J269" s="228"/>
      <c r="K269" s="515"/>
    </row>
    <row r="270" ht="14.5" customHeight="1" spans="1:11" x14ac:dyDescent="0.25" outlineLevel="1" collapsed="1">
      <c r="A270" s="443" t="s">
        <v>144</v>
      </c>
      <c r="B270" s="349" t="s">
        <v>1845</v>
      </c>
      <c r="C270" s="293" t="s">
        <v>61</v>
      </c>
      <c r="D270" s="293" t="s">
        <v>1843</v>
      </c>
      <c r="E270" s="228"/>
      <c r="F270" s="445"/>
      <c r="G270" s="445"/>
      <c r="H270" s="446">
        <f t="shared" si="25"/>
        <v>0</v>
      </c>
      <c r="I270" s="228"/>
      <c r="J270" s="228"/>
      <c r="K270" s="515"/>
    </row>
    <row r="271" ht="14.5" customHeight="1" spans="1:11" x14ac:dyDescent="0.25" outlineLevel="1" collapsed="1">
      <c r="A271" s="443" t="s">
        <v>146</v>
      </c>
      <c r="B271" s="349" t="s">
        <v>1846</v>
      </c>
      <c r="C271" s="293" t="s">
        <v>1743</v>
      </c>
      <c r="D271" s="293" t="s">
        <v>1847</v>
      </c>
      <c r="E271" s="228"/>
      <c r="F271" s="445"/>
      <c r="G271" s="445"/>
      <c r="H271" s="446">
        <f t="shared" si="25"/>
        <v>0</v>
      </c>
      <c r="I271" s="228"/>
      <c r="J271" s="228"/>
      <c r="K271" s="447"/>
    </row>
    <row r="272" ht="14.5" customHeight="1" spans="1:11" x14ac:dyDescent="0.25" outlineLevel="1" collapsed="1">
      <c r="A272" s="443" t="s">
        <v>148</v>
      </c>
      <c r="B272" s="349" t="s">
        <v>1848</v>
      </c>
      <c r="C272" s="293" t="s">
        <v>1743</v>
      </c>
      <c r="D272" s="293" t="s">
        <v>1849</v>
      </c>
      <c r="E272" s="228"/>
      <c r="F272" s="445"/>
      <c r="G272" s="445"/>
      <c r="H272" s="446">
        <f t="shared" si="25"/>
        <v>60</v>
      </c>
      <c r="I272" s="228"/>
      <c r="J272" s="228"/>
      <c r="K272" s="515"/>
    </row>
    <row r="273" ht="14.5" customHeight="1" spans="1:11" x14ac:dyDescent="0.25" outlineLevel="1" collapsed="1">
      <c r="A273" s="443" t="s">
        <v>150</v>
      </c>
      <c r="B273" s="349" t="s">
        <v>1850</v>
      </c>
      <c r="C273" s="293" t="s">
        <v>1743</v>
      </c>
      <c r="D273" s="293" t="s">
        <v>1849</v>
      </c>
      <c r="E273" s="228"/>
      <c r="F273" s="445"/>
      <c r="G273" s="445"/>
      <c r="H273" s="446">
        <f t="shared" si="25"/>
        <v>71.36117468504042</v>
      </c>
      <c r="I273" s="228"/>
      <c r="J273" s="228"/>
      <c r="K273" s="447"/>
    </row>
    <row r="274" ht="14.5" customHeight="1" spans="1:11" x14ac:dyDescent="0.25" outlineLevel="1" collapsed="1">
      <c r="A274" s="293" t="s">
        <v>152</v>
      </c>
      <c r="B274" s="349" t="s">
        <v>1851</v>
      </c>
      <c r="C274" s="293" t="s">
        <v>61</v>
      </c>
      <c r="D274" s="293" t="s">
        <v>1852</v>
      </c>
      <c r="E274" s="228"/>
      <c r="F274" s="445"/>
      <c r="G274" s="445"/>
      <c r="H274" s="446">
        <f t="shared" si="25"/>
        <v>0.15648026102651202</v>
      </c>
      <c r="I274" s="228"/>
      <c r="J274" s="228"/>
      <c r="K274" s="447"/>
    </row>
    <row r="275" ht="14.5" customHeight="1" spans="1:11" x14ac:dyDescent="0.25" outlineLevel="1" collapsed="1">
      <c r="A275" s="293" t="s">
        <v>155</v>
      </c>
      <c r="B275" s="349" t="s">
        <v>1853</v>
      </c>
      <c r="C275" s="293" t="s">
        <v>61</v>
      </c>
      <c r="D275" s="293" t="s">
        <v>1750</v>
      </c>
      <c r="E275" s="470"/>
      <c r="F275" s="470"/>
      <c r="G275" s="470"/>
      <c r="H275" s="446">
        <f t="shared" si="25"/>
        <v>16534.4</v>
      </c>
      <c r="I275" s="470"/>
      <c r="J275" s="471"/>
      <c r="K275" s="447"/>
    </row>
    <row r="276" ht="14.5" customHeight="1" spans="1:11" x14ac:dyDescent="0.25" outlineLevel="1" collapsed="1">
      <c r="A276" s="293" t="s">
        <v>158</v>
      </c>
      <c r="B276" s="349" t="s">
        <v>1854</v>
      </c>
      <c r="C276" s="293" t="s">
        <v>1743</v>
      </c>
      <c r="D276" s="293" t="s">
        <v>1750</v>
      </c>
      <c r="E276" s="470"/>
      <c r="F276" s="470"/>
      <c r="G276" s="470"/>
      <c r="H276" s="446">
        <f t="shared" si="25"/>
        <v>13907.626729919964</v>
      </c>
      <c r="I276" s="470"/>
      <c r="J276" s="471"/>
      <c r="K276" s="447"/>
    </row>
    <row r="277" ht="42" customHeight="1" spans="1:11" x14ac:dyDescent="0.25" outlineLevel="1" collapsed="1">
      <c r="A277" s="293" t="s">
        <v>160</v>
      </c>
      <c r="B277" s="349" t="s">
        <v>1855</v>
      </c>
      <c r="C277" s="293" t="s">
        <v>1743</v>
      </c>
      <c r="D277" s="293" t="s">
        <v>1856</v>
      </c>
      <c r="E277" s="470"/>
      <c r="F277" s="470"/>
      <c r="G277" s="470"/>
      <c r="H277" s="446">
        <f t="shared" si="25"/>
        <v>1.9502644427570497</v>
      </c>
      <c r="I277" s="470"/>
      <c r="J277" s="471"/>
      <c r="K277" s="447"/>
    </row>
    <row r="278" ht="42" customHeight="1" spans="1:11" x14ac:dyDescent="0.25" outlineLevel="1" collapsed="1">
      <c r="A278" s="293" t="s">
        <v>162</v>
      </c>
      <c r="B278" s="349" t="s">
        <v>1857</v>
      </c>
      <c r="C278" s="293" t="s">
        <v>1743</v>
      </c>
      <c r="D278" s="293" t="s">
        <v>1858</v>
      </c>
      <c r="E278" s="470"/>
      <c r="F278" s="470"/>
      <c r="G278" s="470"/>
      <c r="H278" s="446">
        <f t="shared" si="25"/>
        <v>0.42949442026230195</v>
      </c>
      <c r="I278" s="470"/>
      <c r="J278" s="471"/>
      <c r="K278" s="447"/>
    </row>
    <row r="279" spans="1:11" x14ac:dyDescent="0.25">
      <c r="A279" s="437" t="s">
        <v>732</v>
      </c>
      <c r="B279" s="438" t="s">
        <v>1865</v>
      </c>
      <c r="C279" s="439"/>
      <c r="D279" s="440"/>
      <c r="E279" s="442"/>
      <c r="F279" s="442"/>
      <c r="G279" s="442"/>
      <c r="H279" s="441"/>
      <c r="I279" s="442"/>
      <c r="J279" s="442"/>
      <c r="K279" s="442"/>
    </row>
    <row r="280" ht="14.5" customHeight="1" spans="1:11" x14ac:dyDescent="0.25" outlineLevel="1" collapsed="1">
      <c r="A280" s="443" t="s">
        <v>58</v>
      </c>
      <c r="B280" s="516" t="s">
        <v>1836</v>
      </c>
      <c r="C280" s="293" t="s">
        <v>61</v>
      </c>
      <c r="D280" s="293" t="s">
        <v>1456</v>
      </c>
      <c r="E280" s="228"/>
      <c r="F280" s="445"/>
      <c r="G280" s="445"/>
      <c r="H280" s="446">
        <f t="shared" si="25"/>
        <v>33000</v>
      </c>
      <c r="I280" s="228"/>
      <c r="J280" s="228"/>
      <c r="K280" s="515"/>
    </row>
    <row r="281" ht="14.5" customHeight="1" spans="1:11" x14ac:dyDescent="0.25" outlineLevel="1" collapsed="1">
      <c r="A281" s="443" t="s">
        <v>64</v>
      </c>
      <c r="B281" s="516" t="s">
        <v>1837</v>
      </c>
      <c r="C281" s="293" t="s">
        <v>61</v>
      </c>
      <c r="D281" s="293" t="s">
        <v>1456</v>
      </c>
      <c r="E281" s="228"/>
      <c r="F281" s="445"/>
      <c r="G281" s="445"/>
      <c r="H281" s="446">
        <f t="shared" si="25"/>
        <v>39073.893</v>
      </c>
      <c r="I281" s="228"/>
      <c r="J281" s="228"/>
      <c r="K281" s="515"/>
    </row>
    <row r="282" ht="14.5" customHeight="1" spans="1:11" x14ac:dyDescent="0.25" outlineLevel="1" collapsed="1">
      <c r="A282" s="443" t="s">
        <v>68</v>
      </c>
      <c r="B282" s="349" t="s">
        <v>1838</v>
      </c>
      <c r="C282" s="293" t="s">
        <v>1743</v>
      </c>
      <c r="D282" s="293" t="s">
        <v>1839</v>
      </c>
      <c r="E282" s="475"/>
      <c r="F282" s="475"/>
      <c r="G282" s="475"/>
      <c r="H282" s="476"/>
      <c r="I282" s="475"/>
      <c r="J282" s="477"/>
      <c r="K282" s="515"/>
    </row>
    <row r="283" ht="28" customHeight="1" spans="1:11" x14ac:dyDescent="0.25" outlineLevel="1" collapsed="1">
      <c r="A283" s="443" t="s">
        <v>74</v>
      </c>
      <c r="B283" s="349" t="s">
        <v>1862</v>
      </c>
      <c r="C283" s="293" t="s">
        <v>1743</v>
      </c>
      <c r="D283" s="293" t="s">
        <v>1756</v>
      </c>
      <c r="E283" s="228"/>
      <c r="F283" s="445"/>
      <c r="G283" s="445"/>
      <c r="H283" s="446">
        <f t="shared" si="25"/>
        <v>198.71480657520704</v>
      </c>
      <c r="I283" s="228"/>
      <c r="J283" s="228"/>
      <c r="K283" s="456"/>
    </row>
    <row r="284" ht="14.5" customHeight="1" spans="1:11" x14ac:dyDescent="0.25" outlineLevel="1" collapsed="1">
      <c r="A284" s="443" t="s">
        <v>80</v>
      </c>
      <c r="B284" s="349" t="s">
        <v>1841</v>
      </c>
      <c r="C284" s="293" t="s">
        <v>61</v>
      </c>
      <c r="D284" s="293" t="s">
        <v>1756</v>
      </c>
      <c r="E284" s="228"/>
      <c r="F284" s="445"/>
      <c r="G284" s="445"/>
      <c r="H284" s="446">
        <f t="shared" si="25"/>
        <v>200</v>
      </c>
      <c r="I284" s="228"/>
      <c r="J284" s="228"/>
      <c r="K284" s="515"/>
    </row>
    <row r="285" ht="14.5" customHeight="1" spans="1:11" x14ac:dyDescent="0.25" outlineLevel="1" collapsed="1">
      <c r="A285" s="443" t="s">
        <v>82</v>
      </c>
      <c r="B285" s="349" t="s">
        <v>1842</v>
      </c>
      <c r="C285" s="293" t="s">
        <v>61</v>
      </c>
      <c r="D285" s="293" t="s">
        <v>1843</v>
      </c>
      <c r="E285" s="228"/>
      <c r="F285" s="445"/>
      <c r="G285" s="445"/>
      <c r="H285" s="446">
        <f t="shared" si="25"/>
        <v>0.07</v>
      </c>
      <c r="I285" s="228"/>
      <c r="J285" s="228"/>
      <c r="K285" s="515"/>
    </row>
    <row r="286" ht="14.5" customHeight="1" spans="1:11" x14ac:dyDescent="0.25" outlineLevel="1" collapsed="1">
      <c r="A286" s="293" t="s">
        <v>121</v>
      </c>
      <c r="B286" s="349" t="s">
        <v>1844</v>
      </c>
      <c r="C286" s="293" t="s">
        <v>61</v>
      </c>
      <c r="D286" s="293" t="s">
        <v>1843</v>
      </c>
      <c r="E286" s="228"/>
      <c r="F286" s="445"/>
      <c r="G286" s="445"/>
      <c r="H286" s="446">
        <f t="shared" si="25"/>
        <v>4.65</v>
      </c>
      <c r="I286" s="228"/>
      <c r="J286" s="228"/>
      <c r="K286" s="515"/>
    </row>
    <row r="287" ht="14.5" customHeight="1" spans="1:11" x14ac:dyDescent="0.25" outlineLevel="1" collapsed="1">
      <c r="A287" s="443" t="s">
        <v>144</v>
      </c>
      <c r="B287" s="349" t="s">
        <v>1845</v>
      </c>
      <c r="C287" s="293" t="s">
        <v>61</v>
      </c>
      <c r="D287" s="293" t="s">
        <v>1843</v>
      </c>
      <c r="E287" s="228"/>
      <c r="F287" s="445"/>
      <c r="G287" s="445"/>
      <c r="H287" s="446">
        <f t="shared" si="25"/>
        <v>0</v>
      </c>
      <c r="I287" s="228"/>
      <c r="J287" s="228"/>
      <c r="K287" s="515"/>
    </row>
    <row r="288" ht="14.5" customHeight="1" spans="1:11" x14ac:dyDescent="0.25" outlineLevel="1" collapsed="1">
      <c r="A288" s="443" t="s">
        <v>146</v>
      </c>
      <c r="B288" s="349" t="s">
        <v>1846</v>
      </c>
      <c r="C288" s="293" t="s">
        <v>1743</v>
      </c>
      <c r="D288" s="293" t="s">
        <v>1847</v>
      </c>
      <c r="E288" s="228"/>
      <c r="F288" s="445"/>
      <c r="G288" s="445"/>
      <c r="H288" s="446">
        <f t="shared" si="25"/>
        <v>0</v>
      </c>
      <c r="I288" s="228"/>
      <c r="J288" s="228"/>
      <c r="K288" s="447"/>
    </row>
    <row r="289" ht="14.5" customHeight="1" spans="1:11" x14ac:dyDescent="0.25" outlineLevel="1" collapsed="1">
      <c r="A289" s="443" t="s">
        <v>148</v>
      </c>
      <c r="B289" s="349" t="s">
        <v>1848</v>
      </c>
      <c r="C289" s="293" t="s">
        <v>1743</v>
      </c>
      <c r="D289" s="293" t="s">
        <v>1849</v>
      </c>
      <c r="E289" s="228"/>
      <c r="F289" s="445"/>
      <c r="G289" s="445"/>
      <c r="H289" s="446">
        <f t="shared" si="25"/>
        <v>63.2</v>
      </c>
      <c r="I289" s="228"/>
      <c r="J289" s="228"/>
      <c r="K289" s="515"/>
    </row>
    <row r="290" ht="14.5" customHeight="1" spans="1:11" x14ac:dyDescent="0.25" outlineLevel="1" collapsed="1">
      <c r="A290" s="443" t="s">
        <v>150</v>
      </c>
      <c r="B290" s="349" t="s">
        <v>1850</v>
      </c>
      <c r="C290" s="293" t="s">
        <v>1743</v>
      </c>
      <c r="D290" s="293" t="s">
        <v>1849</v>
      </c>
      <c r="E290" s="228"/>
      <c r="F290" s="445"/>
      <c r="G290" s="445"/>
      <c r="H290" s="446">
        <f t="shared" si="25"/>
        <v>71.40873338008223</v>
      </c>
      <c r="I290" s="228"/>
      <c r="J290" s="228"/>
      <c r="K290" s="447"/>
    </row>
    <row r="291" ht="14.5" customHeight="1" spans="1:11" x14ac:dyDescent="0.25" outlineLevel="1" collapsed="1">
      <c r="A291" s="293" t="s">
        <v>152</v>
      </c>
      <c r="B291" s="349" t="s">
        <v>1851</v>
      </c>
      <c r="C291" s="293" t="s">
        <v>61</v>
      </c>
      <c r="D291" s="293" t="s">
        <v>1852</v>
      </c>
      <c r="E291" s="228"/>
      <c r="F291" s="445"/>
      <c r="G291" s="445"/>
      <c r="H291" s="446">
        <f t="shared" si="25"/>
        <v>0.11679632820808011</v>
      </c>
      <c r="I291" s="228"/>
      <c r="J291" s="228"/>
      <c r="K291" s="447"/>
    </row>
    <row r="292" ht="14.5" customHeight="1" spans="1:11" x14ac:dyDescent="0.25" outlineLevel="1" collapsed="1">
      <c r="A292" s="293" t="s">
        <v>155</v>
      </c>
      <c r="B292" s="349" t="s">
        <v>1853</v>
      </c>
      <c r="C292" s="293" t="s">
        <v>61</v>
      </c>
      <c r="D292" s="293" t="s">
        <v>1750</v>
      </c>
      <c r="E292" s="470"/>
      <c r="F292" s="470"/>
      <c r="G292" s="470"/>
      <c r="H292" s="446">
        <f t="shared" si="25"/>
        <v>16534.4</v>
      </c>
      <c r="I292" s="470"/>
      <c r="J292" s="471"/>
      <c r="K292" s="447"/>
    </row>
    <row r="293" ht="14.5" customHeight="1" spans="1:11" x14ac:dyDescent="0.25" outlineLevel="1" collapsed="1">
      <c r="A293" s="293" t="s">
        <v>158</v>
      </c>
      <c r="B293" s="349" t="s">
        <v>1854</v>
      </c>
      <c r="C293" s="293" t="s">
        <v>1743</v>
      </c>
      <c r="D293" s="293" t="s">
        <v>1750</v>
      </c>
      <c r="E293" s="470"/>
      <c r="F293" s="470"/>
      <c r="G293" s="470"/>
      <c r="H293" s="446">
        <f t="shared" si="25"/>
        <v>13924.266031029976</v>
      </c>
      <c r="I293" s="470"/>
      <c r="J293" s="471"/>
      <c r="K293" s="447"/>
    </row>
    <row r="294" ht="42" customHeight="1" spans="1:11" x14ac:dyDescent="0.25" outlineLevel="1" collapsed="1">
      <c r="A294" s="293" t="s">
        <v>160</v>
      </c>
      <c r="B294" s="349" t="s">
        <v>1855</v>
      </c>
      <c r="C294" s="293" t="s">
        <v>1743</v>
      </c>
      <c r="D294" s="293" t="s">
        <v>1856</v>
      </c>
      <c r="E294" s="470"/>
      <c r="F294" s="470"/>
      <c r="G294" s="470"/>
      <c r="H294" s="446">
        <f t="shared" si="25"/>
        <v>1.9502644427570497</v>
      </c>
      <c r="I294" s="470"/>
      <c r="J294" s="471"/>
      <c r="K294" s="447"/>
    </row>
    <row r="295" ht="42" customHeight="1" spans="1:11" x14ac:dyDescent="0.25" outlineLevel="1" collapsed="1">
      <c r="A295" s="293" t="s">
        <v>162</v>
      </c>
      <c r="B295" s="349" t="s">
        <v>1857</v>
      </c>
      <c r="C295" s="293" t="s">
        <v>1743</v>
      </c>
      <c r="D295" s="293" t="s">
        <v>1858</v>
      </c>
      <c r="E295" s="470"/>
      <c r="F295" s="470"/>
      <c r="G295" s="470"/>
      <c r="H295" s="446">
        <f t="shared" si="25"/>
        <v>0.42839729651003294</v>
      </c>
      <c r="I295" s="470"/>
      <c r="J295" s="471"/>
      <c r="K295" s="447"/>
    </row>
    <row r="296" spans="1:11" x14ac:dyDescent="0.25">
      <c r="A296" s="437" t="s">
        <v>733</v>
      </c>
      <c r="B296" s="438" t="s">
        <v>1866</v>
      </c>
      <c r="C296" s="439"/>
      <c r="D296" s="440"/>
      <c r="E296" s="442"/>
      <c r="F296" s="442"/>
      <c r="G296" s="442"/>
      <c r="H296" s="441"/>
      <c r="I296" s="442"/>
      <c r="J296" s="442"/>
      <c r="K296" s="442"/>
    </row>
    <row r="297" ht="14.5" customHeight="1" spans="1:11" x14ac:dyDescent="0.25" outlineLevel="1" collapsed="1">
      <c r="A297" s="443" t="s">
        <v>58</v>
      </c>
      <c r="B297" s="516" t="s">
        <v>1836</v>
      </c>
      <c r="C297" s="293" t="s">
        <v>61</v>
      </c>
      <c r="D297" s="293" t="s">
        <v>1456</v>
      </c>
      <c r="E297" s="228"/>
      <c r="F297" s="445"/>
      <c r="G297" s="445"/>
      <c r="H297" s="446">
        <f t="shared" ref="H297:H298" si="26">IF(K$9=1,E297,IF(K$9=2,(E297+F297)/2,(E297+F297+G297)/3))</f>
        <v>33000</v>
      </c>
      <c r="I297" s="228"/>
      <c r="J297" s="228"/>
      <c r="K297" s="515"/>
    </row>
    <row r="298" ht="14.5" customHeight="1" spans="1:11" x14ac:dyDescent="0.25" outlineLevel="1" collapsed="1">
      <c r="A298" s="443" t="s">
        <v>64</v>
      </c>
      <c r="B298" s="516" t="s">
        <v>1837</v>
      </c>
      <c r="C298" s="293" t="s">
        <v>61</v>
      </c>
      <c r="D298" s="293" t="s">
        <v>1456</v>
      </c>
      <c r="E298" s="228"/>
      <c r="F298" s="445"/>
      <c r="G298" s="445"/>
      <c r="H298" s="446">
        <f t="shared" si="26"/>
        <v>39239.218</v>
      </c>
      <c r="I298" s="228"/>
      <c r="J298" s="228"/>
      <c r="K298" s="515"/>
    </row>
    <row r="299" ht="14.5" customHeight="1" spans="1:11" x14ac:dyDescent="0.25" outlineLevel="1" collapsed="1">
      <c r="A299" s="443" t="s">
        <v>68</v>
      </c>
      <c r="B299" s="349" t="s">
        <v>1838</v>
      </c>
      <c r="C299" s="293" t="s">
        <v>1743</v>
      </c>
      <c r="D299" s="293" t="s">
        <v>1839</v>
      </c>
      <c r="E299" s="475"/>
      <c r="F299" s="475"/>
      <c r="G299" s="475"/>
      <c r="H299" s="476"/>
      <c r="I299" s="475"/>
      <c r="J299" s="477"/>
      <c r="K299" s="515"/>
    </row>
    <row r="300" ht="28" customHeight="1" spans="1:11" x14ac:dyDescent="0.25" outlineLevel="1" collapsed="1">
      <c r="A300" s="443" t="s">
        <v>74</v>
      </c>
      <c r="B300" s="349" t="s">
        <v>1862</v>
      </c>
      <c r="C300" s="293" t="s">
        <v>1743</v>
      </c>
      <c r="D300" s="293" t="s">
        <v>1756</v>
      </c>
      <c r="E300" s="228"/>
      <c r="F300" s="445"/>
      <c r="G300" s="445"/>
      <c r="H300" s="446">
        <f t="shared" ref="H300:H315" si="27">IF(K$9=1,E300,IF(K$9=2,(E300+F300)/2,(E300+F300+G300)/3))</f>
        <v>199.15196514645902</v>
      </c>
      <c r="I300" s="228"/>
      <c r="J300" s="228"/>
      <c r="K300" s="456"/>
    </row>
    <row r="301" ht="14.5" customHeight="1" spans="1:11" x14ac:dyDescent="0.25" outlineLevel="1" collapsed="1">
      <c r="A301" s="443" t="s">
        <v>80</v>
      </c>
      <c r="B301" s="349" t="s">
        <v>1841</v>
      </c>
      <c r="C301" s="293" t="s">
        <v>61</v>
      </c>
      <c r="D301" s="293" t="s">
        <v>1756</v>
      </c>
      <c r="E301" s="228"/>
      <c r="F301" s="445"/>
      <c r="G301" s="445"/>
      <c r="H301" s="446">
        <f t="shared" si="27"/>
        <v>200</v>
      </c>
      <c r="I301" s="228"/>
      <c r="J301" s="228"/>
      <c r="K301" s="515"/>
    </row>
    <row r="302" ht="14.5" customHeight="1" spans="1:11" x14ac:dyDescent="0.25" outlineLevel="1" collapsed="1">
      <c r="A302" s="443" t="s">
        <v>82</v>
      </c>
      <c r="B302" s="349" t="s">
        <v>1842</v>
      </c>
      <c r="C302" s="293" t="s">
        <v>61</v>
      </c>
      <c r="D302" s="293" t="s">
        <v>1843</v>
      </c>
      <c r="E302" s="228"/>
      <c r="F302" s="445"/>
      <c r="G302" s="445"/>
      <c r="H302" s="446">
        <f t="shared" si="27"/>
        <v>0.07</v>
      </c>
      <c r="I302" s="228"/>
      <c r="J302" s="228"/>
      <c r="K302" s="515"/>
    </row>
    <row r="303" ht="14.5" customHeight="1" spans="1:11" x14ac:dyDescent="0.25" outlineLevel="1" collapsed="1">
      <c r="A303" s="293" t="s">
        <v>121</v>
      </c>
      <c r="B303" s="349" t="s">
        <v>1844</v>
      </c>
      <c r="C303" s="293" t="s">
        <v>61</v>
      </c>
      <c r="D303" s="293" t="s">
        <v>1843</v>
      </c>
      <c r="E303" s="228"/>
      <c r="F303" s="445"/>
      <c r="G303" s="445"/>
      <c r="H303" s="446">
        <f t="shared" si="27"/>
        <v>4.65</v>
      </c>
      <c r="I303" s="228"/>
      <c r="J303" s="228"/>
      <c r="K303" s="515"/>
    </row>
    <row r="304" ht="14.5" customHeight="1" spans="1:11" x14ac:dyDescent="0.25" outlineLevel="1" collapsed="1">
      <c r="A304" s="443" t="s">
        <v>144</v>
      </c>
      <c r="B304" s="349" t="s">
        <v>1845</v>
      </c>
      <c r="C304" s="293" t="s">
        <v>61</v>
      </c>
      <c r="D304" s="293" t="s">
        <v>1843</v>
      </c>
      <c r="E304" s="228"/>
      <c r="F304" s="445"/>
      <c r="G304" s="445"/>
      <c r="H304" s="446">
        <f t="shared" si="27"/>
        <v>0</v>
      </c>
      <c r="I304" s="228"/>
      <c r="J304" s="228"/>
      <c r="K304" s="515"/>
    </row>
    <row r="305" ht="14.5" customHeight="1" spans="1:11" x14ac:dyDescent="0.25" outlineLevel="1" collapsed="1">
      <c r="A305" s="443" t="s">
        <v>146</v>
      </c>
      <c r="B305" s="349" t="s">
        <v>1846</v>
      </c>
      <c r="C305" s="293" t="s">
        <v>1743</v>
      </c>
      <c r="D305" s="293" t="s">
        <v>1847</v>
      </c>
      <c r="E305" s="228"/>
      <c r="F305" s="445"/>
      <c r="G305" s="445"/>
      <c r="H305" s="446">
        <f t="shared" si="27"/>
        <v>0</v>
      </c>
      <c r="I305" s="228"/>
      <c r="J305" s="228"/>
      <c r="K305" s="447"/>
    </row>
    <row r="306" ht="14.5" customHeight="1" spans="1:11" x14ac:dyDescent="0.25" outlineLevel="1" collapsed="1">
      <c r="A306" s="443" t="s">
        <v>148</v>
      </c>
      <c r="B306" s="349" t="s">
        <v>1848</v>
      </c>
      <c r="C306" s="293" t="s">
        <v>1743</v>
      </c>
      <c r="D306" s="293" t="s">
        <v>1849</v>
      </c>
      <c r="E306" s="228"/>
      <c r="F306" s="445"/>
      <c r="G306" s="445"/>
      <c r="H306" s="446">
        <f t="shared" si="27"/>
        <v>63.2</v>
      </c>
      <c r="I306" s="228"/>
      <c r="J306" s="228"/>
      <c r="K306" s="515"/>
    </row>
    <row r="307" ht="14.5" customHeight="1" spans="1:11" x14ac:dyDescent="0.25" outlineLevel="1" collapsed="1">
      <c r="A307" s="443" t="s">
        <v>150</v>
      </c>
      <c r="B307" s="349" t="s">
        <v>1850</v>
      </c>
      <c r="C307" s="293" t="s">
        <v>1743</v>
      </c>
      <c r="D307" s="293" t="s">
        <v>1849</v>
      </c>
      <c r="E307" s="228"/>
      <c r="F307" s="445"/>
      <c r="G307" s="445"/>
      <c r="H307" s="446">
        <f t="shared" si="27"/>
        <v>71.3683968774438</v>
      </c>
      <c r="I307" s="228"/>
      <c r="J307" s="228"/>
      <c r="K307" s="447"/>
    </row>
    <row r="308" ht="14.5" customHeight="1" spans="1:11" x14ac:dyDescent="0.25" outlineLevel="1" collapsed="1">
      <c r="A308" s="293" t="s">
        <v>152</v>
      </c>
      <c r="B308" s="349" t="s">
        <v>1851</v>
      </c>
      <c r="C308" s="293" t="s">
        <v>61</v>
      </c>
      <c r="D308" s="293" t="s">
        <v>1852</v>
      </c>
      <c r="E308" s="228"/>
      <c r="F308" s="445"/>
      <c r="G308" s="445"/>
      <c r="H308" s="446">
        <f t="shared" si="27"/>
        <v>0.14225741804678163</v>
      </c>
      <c r="I308" s="228"/>
      <c r="J308" s="228"/>
      <c r="K308" s="447"/>
    </row>
    <row r="309" ht="14.5" customHeight="1" spans="1:11" x14ac:dyDescent="0.25" outlineLevel="1" collapsed="1">
      <c r="A309" s="293" t="s">
        <v>155</v>
      </c>
      <c r="B309" s="349" t="s">
        <v>1853</v>
      </c>
      <c r="C309" s="293" t="s">
        <v>61</v>
      </c>
      <c r="D309" s="293" t="s">
        <v>1750</v>
      </c>
      <c r="E309" s="470"/>
      <c r="F309" s="470"/>
      <c r="G309" s="470"/>
      <c r="H309" s="446">
        <f t="shared" si="27"/>
        <v>16534.4</v>
      </c>
      <c r="I309" s="470"/>
      <c r="J309" s="471"/>
      <c r="K309" s="447"/>
    </row>
    <row r="310" ht="14.5" customHeight="1" spans="1:11" x14ac:dyDescent="0.25" outlineLevel="1" collapsed="1">
      <c r="A310" s="293" t="s">
        <v>158</v>
      </c>
      <c r="B310" s="349" t="s">
        <v>1854</v>
      </c>
      <c r="C310" s="293" t="s">
        <v>1743</v>
      </c>
      <c r="D310" s="293" t="s">
        <v>1750</v>
      </c>
      <c r="E310" s="470"/>
      <c r="F310" s="470"/>
      <c r="G310" s="470"/>
      <c r="H310" s="446">
        <f t="shared" si="27"/>
        <v>13789.815306716866</v>
      </c>
      <c r="I310" s="470"/>
      <c r="J310" s="471"/>
      <c r="K310" s="447"/>
    </row>
    <row r="311" ht="42" customHeight="1" spans="1:11" x14ac:dyDescent="0.25" outlineLevel="1" collapsed="1">
      <c r="A311" s="293" t="s">
        <v>160</v>
      </c>
      <c r="B311" s="349" t="s">
        <v>1855</v>
      </c>
      <c r="C311" s="293" t="s">
        <v>1743</v>
      </c>
      <c r="D311" s="293" t="s">
        <v>1856</v>
      </c>
      <c r="E311" s="470"/>
      <c r="F311" s="470"/>
      <c r="G311" s="470"/>
      <c r="H311" s="446">
        <f t="shared" si="27"/>
        <v>1.9502644427570497</v>
      </c>
      <c r="I311" s="470"/>
      <c r="J311" s="471"/>
      <c r="K311" s="447"/>
    </row>
    <row r="312" ht="42" customHeight="1" spans="1:11" x14ac:dyDescent="0.25" outlineLevel="1" collapsed="1">
      <c r="A312" s="293" t="s">
        <v>162</v>
      </c>
      <c r="B312" s="349" t="s">
        <v>1857</v>
      </c>
      <c r="C312" s="293" t="s">
        <v>1743</v>
      </c>
      <c r="D312" s="293" t="s">
        <v>1858</v>
      </c>
      <c r="E312" s="470"/>
      <c r="F312" s="470"/>
      <c r="G312" s="470"/>
      <c r="H312" s="446">
        <f t="shared" si="27"/>
        <v>0.42728768959337915</v>
      </c>
      <c r="I312" s="470"/>
      <c r="J312" s="471"/>
      <c r="K312" s="447"/>
    </row>
    <row r="313" spans="1:11" x14ac:dyDescent="0.25">
      <c r="A313" s="437" t="s">
        <v>734</v>
      </c>
      <c r="B313" s="438" t="s">
        <v>1867</v>
      </c>
      <c r="C313" s="439"/>
      <c r="D313" s="440"/>
      <c r="E313" s="442"/>
      <c r="F313" s="442"/>
      <c r="G313" s="442"/>
      <c r="H313" s="441"/>
      <c r="I313" s="442"/>
      <c r="J313" s="442"/>
      <c r="K313" s="442"/>
    </row>
    <row r="314" ht="14.5" customHeight="1" spans="1:11" x14ac:dyDescent="0.25" outlineLevel="1" collapsed="1">
      <c r="A314" s="443" t="s">
        <v>58</v>
      </c>
      <c r="B314" s="516" t="s">
        <v>1836</v>
      </c>
      <c r="C314" s="293" t="s">
        <v>61</v>
      </c>
      <c r="D314" s="293" t="s">
        <v>1456</v>
      </c>
      <c r="E314" s="228"/>
      <c r="F314" s="445"/>
      <c r="G314" s="445"/>
      <c r="H314" s="446">
        <f t="shared" si="27"/>
        <v>34000</v>
      </c>
      <c r="I314" s="228"/>
      <c r="J314" s="228"/>
      <c r="K314" s="515"/>
    </row>
    <row r="315" ht="14.5" customHeight="1" spans="1:11" x14ac:dyDescent="0.25" outlineLevel="1" collapsed="1">
      <c r="A315" s="443" t="s">
        <v>64</v>
      </c>
      <c r="B315" s="516" t="s">
        <v>1837</v>
      </c>
      <c r="C315" s="293" t="s">
        <v>61</v>
      </c>
      <c r="D315" s="293" t="s">
        <v>1456</v>
      </c>
      <c r="E315" s="228"/>
      <c r="F315" s="445"/>
      <c r="G315" s="445"/>
      <c r="H315" s="446">
        <f t="shared" si="27"/>
        <v>39703.122</v>
      </c>
      <c r="I315" s="228"/>
      <c r="J315" s="228"/>
      <c r="K315" s="515"/>
    </row>
    <row r="316" ht="14.5" customHeight="1" spans="1:11" x14ac:dyDescent="0.25" outlineLevel="1" collapsed="1">
      <c r="A316" s="443" t="s">
        <v>68</v>
      </c>
      <c r="B316" s="349" t="s">
        <v>1838</v>
      </c>
      <c r="C316" s="293" t="s">
        <v>1743</v>
      </c>
      <c r="D316" s="293" t="s">
        <v>1839</v>
      </c>
      <c r="E316" s="475"/>
      <c r="F316" s="475"/>
      <c r="G316" s="475"/>
      <c r="H316" s="476"/>
      <c r="I316" s="475"/>
      <c r="J316" s="477"/>
      <c r="K316" s="515"/>
    </row>
    <row r="317" ht="28" customHeight="1" spans="1:11" x14ac:dyDescent="0.25" outlineLevel="1" collapsed="1">
      <c r="A317" s="443" t="s">
        <v>74</v>
      </c>
      <c r="B317" s="349" t="s">
        <v>1868</v>
      </c>
      <c r="C317" s="293" t="s">
        <v>1743</v>
      </c>
      <c r="D317" s="293" t="s">
        <v>1756</v>
      </c>
      <c r="E317" s="228"/>
      <c r="F317" s="445"/>
      <c r="G317" s="445"/>
      <c r="H317" s="446">
        <f t="shared" ref="H317:H332" si="28">IF(K$9=1,E317,IF(K$9=2,(E317+F317)/2,(E317+F317+G317)/3))</f>
        <v>199.4047336546781</v>
      </c>
      <c r="I317" s="228"/>
      <c r="J317" s="228"/>
      <c r="K317" s="456"/>
    </row>
    <row r="318" ht="14.5" customHeight="1" spans="1:11" x14ac:dyDescent="0.25" outlineLevel="1" collapsed="1">
      <c r="A318" s="443" t="s">
        <v>80</v>
      </c>
      <c r="B318" s="349" t="s">
        <v>1869</v>
      </c>
      <c r="C318" s="293" t="s">
        <v>61</v>
      </c>
      <c r="D318" s="293" t="s">
        <v>1756</v>
      </c>
      <c r="E318" s="228"/>
      <c r="F318" s="445"/>
      <c r="G318" s="445"/>
      <c r="H318" s="446">
        <f t="shared" si="28"/>
        <v>200</v>
      </c>
      <c r="I318" s="228"/>
      <c r="J318" s="228"/>
      <c r="K318" s="515"/>
    </row>
    <row r="319" ht="14.5" customHeight="1" spans="1:11" x14ac:dyDescent="0.25" outlineLevel="1" collapsed="1">
      <c r="A319" s="443" t="s">
        <v>82</v>
      </c>
      <c r="B319" s="349" t="s">
        <v>1842</v>
      </c>
      <c r="C319" s="293" t="s">
        <v>61</v>
      </c>
      <c r="D319" s="293" t="s">
        <v>1843</v>
      </c>
      <c r="E319" s="228"/>
      <c r="F319" s="445"/>
      <c r="G319" s="445"/>
      <c r="H319" s="446">
        <f t="shared" si="28"/>
        <v>0.07</v>
      </c>
      <c r="I319" s="228"/>
      <c r="J319" s="228"/>
      <c r="K319" s="515"/>
    </row>
    <row r="320" ht="14.5" customHeight="1" spans="1:11" x14ac:dyDescent="0.25" outlineLevel="1" collapsed="1">
      <c r="A320" s="293" t="s">
        <v>121</v>
      </c>
      <c r="B320" s="349" t="s">
        <v>1844</v>
      </c>
      <c r="C320" s="293" t="s">
        <v>61</v>
      </c>
      <c r="D320" s="293" t="s">
        <v>1843</v>
      </c>
      <c r="E320" s="228"/>
      <c r="F320" s="445"/>
      <c r="G320" s="445"/>
      <c r="H320" s="446">
        <f t="shared" si="28"/>
        <v>4.65</v>
      </c>
      <c r="I320" s="228"/>
      <c r="J320" s="228"/>
      <c r="K320" s="515"/>
    </row>
    <row r="321" ht="14.5" customHeight="1" spans="1:11" x14ac:dyDescent="0.25" outlineLevel="1" collapsed="1">
      <c r="A321" s="443" t="s">
        <v>144</v>
      </c>
      <c r="B321" s="349" t="s">
        <v>1845</v>
      </c>
      <c r="C321" s="293" t="s">
        <v>61</v>
      </c>
      <c r="D321" s="293" t="s">
        <v>1843</v>
      </c>
      <c r="E321" s="228"/>
      <c r="F321" s="445"/>
      <c r="G321" s="445"/>
      <c r="H321" s="446">
        <f t="shared" si="28"/>
        <v>0</v>
      </c>
      <c r="I321" s="228"/>
      <c r="J321" s="228"/>
      <c r="K321" s="515"/>
    </row>
    <row r="322" ht="14.5" customHeight="1" spans="1:11" x14ac:dyDescent="0.25" outlineLevel="1" collapsed="1">
      <c r="A322" s="443" t="s">
        <v>146</v>
      </c>
      <c r="B322" s="349" t="s">
        <v>1846</v>
      </c>
      <c r="C322" s="293" t="s">
        <v>1743</v>
      </c>
      <c r="D322" s="293" t="s">
        <v>1847</v>
      </c>
      <c r="E322" s="228"/>
      <c r="F322" s="445"/>
      <c r="G322" s="445"/>
      <c r="H322" s="446">
        <f t="shared" si="28"/>
        <v>0</v>
      </c>
      <c r="I322" s="228"/>
      <c r="J322" s="228"/>
      <c r="K322" s="447"/>
    </row>
    <row r="323" ht="14.5" customHeight="1" spans="1:11" x14ac:dyDescent="0.25" outlineLevel="1" collapsed="1">
      <c r="A323" s="443" t="s">
        <v>148</v>
      </c>
      <c r="B323" s="349" t="s">
        <v>1848</v>
      </c>
      <c r="C323" s="293" t="s">
        <v>1743</v>
      </c>
      <c r="D323" s="293" t="s">
        <v>1849</v>
      </c>
      <c r="E323" s="228"/>
      <c r="F323" s="445"/>
      <c r="G323" s="445"/>
      <c r="H323" s="446">
        <f t="shared" si="28"/>
        <v>63.2</v>
      </c>
      <c r="I323" s="228"/>
      <c r="J323" s="228"/>
      <c r="K323" s="515"/>
    </row>
    <row r="324" ht="14.5" customHeight="1" spans="1:11" x14ac:dyDescent="0.25" outlineLevel="1" collapsed="1">
      <c r="A324" s="443" t="s">
        <v>150</v>
      </c>
      <c r="B324" s="349" t="s">
        <v>1850</v>
      </c>
      <c r="C324" s="293" t="s">
        <v>1743</v>
      </c>
      <c r="D324" s="293" t="s">
        <v>1849</v>
      </c>
      <c r="E324" s="228"/>
      <c r="F324" s="445"/>
      <c r="G324" s="445"/>
      <c r="H324" s="446">
        <f t="shared" si="28"/>
        <v>71.81546784867709</v>
      </c>
      <c r="I324" s="228"/>
      <c r="J324" s="228"/>
      <c r="K324" s="447"/>
    </row>
    <row r="325" ht="14.5" customHeight="1" spans="1:11" x14ac:dyDescent="0.25" outlineLevel="1" collapsed="1">
      <c r="A325" s="293" t="s">
        <v>152</v>
      </c>
      <c r="B325" s="349" t="s">
        <v>1851</v>
      </c>
      <c r="C325" s="293" t="s">
        <v>61</v>
      </c>
      <c r="D325" s="293" t="s">
        <v>1852</v>
      </c>
      <c r="E325" s="228"/>
      <c r="F325" s="445"/>
      <c r="G325" s="445"/>
      <c r="H325" s="446">
        <f t="shared" si="28"/>
        <v>0.15700929043156525</v>
      </c>
      <c r="I325" s="228"/>
      <c r="J325" s="228"/>
      <c r="K325" s="447"/>
    </row>
    <row r="326" ht="14.5" customHeight="1" spans="1:11" x14ac:dyDescent="0.25" outlineLevel="1" collapsed="1">
      <c r="A326" s="293" t="s">
        <v>155</v>
      </c>
      <c r="B326" s="349" t="s">
        <v>1853</v>
      </c>
      <c r="C326" s="293" t="s">
        <v>61</v>
      </c>
      <c r="D326" s="293" t="s">
        <v>1750</v>
      </c>
      <c r="E326" s="470"/>
      <c r="F326" s="470"/>
      <c r="G326" s="470"/>
      <c r="H326" s="446">
        <f t="shared" si="28"/>
        <v>16534.4</v>
      </c>
      <c r="I326" s="470"/>
      <c r="J326" s="471"/>
      <c r="K326" s="447"/>
    </row>
    <row r="327" ht="14.5" customHeight="1" spans="1:11" x14ac:dyDescent="0.25" outlineLevel="1" collapsed="1">
      <c r="A327" s="293" t="s">
        <v>158</v>
      </c>
      <c r="B327" s="349" t="s">
        <v>1854</v>
      </c>
      <c r="C327" s="293" t="s">
        <v>1743</v>
      </c>
      <c r="D327" s="293" t="s">
        <v>1750</v>
      </c>
      <c r="E327" s="470"/>
      <c r="F327" s="470"/>
      <c r="G327" s="470"/>
      <c r="H327" s="446">
        <f t="shared" si="28"/>
        <v>13769.795911767342</v>
      </c>
      <c r="I327" s="470"/>
      <c r="J327" s="471"/>
      <c r="K327" s="447"/>
    </row>
    <row r="328" ht="42" customHeight="1" spans="1:11" x14ac:dyDescent="0.25" outlineLevel="1" collapsed="1">
      <c r="A328" s="293" t="s">
        <v>160</v>
      </c>
      <c r="B328" s="349" t="s">
        <v>1855</v>
      </c>
      <c r="C328" s="293" t="s">
        <v>1743</v>
      </c>
      <c r="D328" s="293" t="s">
        <v>1856</v>
      </c>
      <c r="E328" s="470"/>
      <c r="F328" s="470"/>
      <c r="G328" s="470"/>
      <c r="H328" s="446">
        <f t="shared" si="28"/>
        <v>1.9502644427570497</v>
      </c>
      <c r="I328" s="470"/>
      <c r="J328" s="471"/>
      <c r="K328" s="447"/>
    </row>
    <row r="329" ht="42" customHeight="1" spans="1:11" x14ac:dyDescent="0.25" outlineLevel="1" collapsed="1">
      <c r="A329" s="293" t="s">
        <v>162</v>
      </c>
      <c r="B329" s="349" t="s">
        <v>1857</v>
      </c>
      <c r="C329" s="293" t="s">
        <v>1743</v>
      </c>
      <c r="D329" s="293" t="s">
        <v>1858</v>
      </c>
      <c r="E329" s="470"/>
      <c r="F329" s="470"/>
      <c r="G329" s="470"/>
      <c r="H329" s="446">
        <f t="shared" si="28"/>
        <v>0.42548016213169076</v>
      </c>
      <c r="I329" s="470"/>
      <c r="J329" s="471"/>
      <c r="K329" s="447"/>
    </row>
    <row r="330" spans="1:11" x14ac:dyDescent="0.25">
      <c r="A330" s="437" t="s">
        <v>1870</v>
      </c>
      <c r="B330" s="438" t="s">
        <v>1871</v>
      </c>
      <c r="C330" s="439"/>
      <c r="D330" s="440"/>
      <c r="E330" s="442"/>
      <c r="F330" s="442"/>
      <c r="G330" s="442"/>
      <c r="H330" s="441"/>
      <c r="I330" s="442"/>
      <c r="J330" s="442"/>
      <c r="K330" s="442"/>
    </row>
    <row r="331" ht="14.5" customHeight="1" spans="1:11" x14ac:dyDescent="0.25" outlineLevel="1" collapsed="1">
      <c r="A331" s="443" t="s">
        <v>58</v>
      </c>
      <c r="B331" s="516" t="s">
        <v>1836</v>
      </c>
      <c r="C331" s="293" t="s">
        <v>61</v>
      </c>
      <c r="D331" s="293" t="s">
        <v>1456</v>
      </c>
      <c r="E331" s="228"/>
      <c r="F331" s="445"/>
      <c r="G331" s="445"/>
      <c r="H331" s="446">
        <f t="shared" si="28"/>
        <v>34000</v>
      </c>
      <c r="I331" s="228"/>
      <c r="J331" s="228"/>
      <c r="K331" s="515"/>
    </row>
    <row r="332" ht="14.5" customHeight="1" spans="1:11" x14ac:dyDescent="0.25" outlineLevel="1" collapsed="1">
      <c r="A332" s="443" t="s">
        <v>64</v>
      </c>
      <c r="B332" s="516" t="s">
        <v>1837</v>
      </c>
      <c r="C332" s="293" t="s">
        <v>61</v>
      </c>
      <c r="D332" s="293" t="s">
        <v>1456</v>
      </c>
      <c r="E332" s="228"/>
      <c r="F332" s="445"/>
      <c r="G332" s="445"/>
      <c r="H332" s="446">
        <f t="shared" si="28"/>
        <v>39337.944</v>
      </c>
      <c r="I332" s="228"/>
      <c r="J332" s="228"/>
      <c r="K332" s="515"/>
    </row>
    <row r="333" ht="14.5" customHeight="1" spans="1:11" x14ac:dyDescent="0.25" outlineLevel="1" collapsed="1">
      <c r="A333" s="443" t="s">
        <v>68</v>
      </c>
      <c r="B333" s="349" t="s">
        <v>1838</v>
      </c>
      <c r="C333" s="293" t="s">
        <v>1743</v>
      </c>
      <c r="D333" s="293" t="s">
        <v>1839</v>
      </c>
      <c r="E333" s="475"/>
      <c r="F333" s="475"/>
      <c r="G333" s="475"/>
      <c r="H333" s="476"/>
      <c r="I333" s="475"/>
      <c r="J333" s="477"/>
      <c r="K333" s="515"/>
    </row>
    <row r="334" ht="28" customHeight="1" spans="1:11" x14ac:dyDescent="0.25" outlineLevel="1" collapsed="1">
      <c r="A334" s="443" t="s">
        <v>74</v>
      </c>
      <c r="B334" s="349" t="s">
        <v>1862</v>
      </c>
      <c r="C334" s="293" t="s">
        <v>1743</v>
      </c>
      <c r="D334" s="293" t="s">
        <v>1756</v>
      </c>
      <c r="E334" s="228"/>
      <c r="F334" s="445"/>
      <c r="G334" s="445"/>
      <c r="H334" s="446">
        <f t="shared" ref="H334:H349" si="29">IF(K$9=1,E334,IF(K$9=2,(E334+F334)/2,(E334+F334+G334)/3))</f>
        <v>198.1314856012854</v>
      </c>
      <c r="I334" s="228"/>
      <c r="J334" s="228"/>
      <c r="K334" s="456"/>
    </row>
    <row r="335" ht="14.5" customHeight="1" spans="1:11" x14ac:dyDescent="0.25" outlineLevel="1" collapsed="1">
      <c r="A335" s="443" t="s">
        <v>80</v>
      </c>
      <c r="B335" s="349" t="s">
        <v>1841</v>
      </c>
      <c r="C335" s="293" t="s">
        <v>61</v>
      </c>
      <c r="D335" s="293" t="s">
        <v>1756</v>
      </c>
      <c r="E335" s="228"/>
      <c r="F335" s="445"/>
      <c r="G335" s="445"/>
      <c r="H335" s="446">
        <f t="shared" si="29"/>
        <v>199</v>
      </c>
      <c r="I335" s="228"/>
      <c r="J335" s="228"/>
      <c r="K335" s="515"/>
    </row>
    <row r="336" ht="14.5" customHeight="1" spans="1:11" x14ac:dyDescent="0.25" outlineLevel="1" collapsed="1">
      <c r="A336" s="443" t="s">
        <v>82</v>
      </c>
      <c r="B336" s="349" t="s">
        <v>1842</v>
      </c>
      <c r="C336" s="293" t="s">
        <v>61</v>
      </c>
      <c r="D336" s="293" t="s">
        <v>1843</v>
      </c>
      <c r="E336" s="228"/>
      <c r="F336" s="445"/>
      <c r="G336" s="445"/>
      <c r="H336" s="446">
        <f t="shared" si="29"/>
        <v>0.07</v>
      </c>
      <c r="I336" s="228"/>
      <c r="J336" s="228"/>
      <c r="K336" s="515"/>
    </row>
    <row r="337" ht="14.5" customHeight="1" spans="1:11" x14ac:dyDescent="0.25" outlineLevel="1" collapsed="1">
      <c r="A337" s="293" t="s">
        <v>121</v>
      </c>
      <c r="B337" s="349" t="s">
        <v>1844</v>
      </c>
      <c r="C337" s="293" t="s">
        <v>61</v>
      </c>
      <c r="D337" s="293" t="s">
        <v>1843</v>
      </c>
      <c r="E337" s="228"/>
      <c r="F337" s="445"/>
      <c r="G337" s="445"/>
      <c r="H337" s="446">
        <f t="shared" si="29"/>
        <v>4.65</v>
      </c>
      <c r="I337" s="228"/>
      <c r="J337" s="228"/>
      <c r="K337" s="515"/>
    </row>
    <row r="338" ht="14.5" customHeight="1" spans="1:11" x14ac:dyDescent="0.25" outlineLevel="1" collapsed="1">
      <c r="A338" s="443" t="s">
        <v>144</v>
      </c>
      <c r="B338" s="349" t="s">
        <v>1845</v>
      </c>
      <c r="C338" s="293" t="s">
        <v>61</v>
      </c>
      <c r="D338" s="293" t="s">
        <v>1843</v>
      </c>
      <c r="E338" s="228"/>
      <c r="F338" s="445"/>
      <c r="G338" s="445"/>
      <c r="H338" s="446">
        <f t="shared" si="29"/>
        <v>0</v>
      </c>
      <c r="I338" s="228"/>
      <c r="J338" s="228"/>
      <c r="K338" s="515"/>
    </row>
    <row r="339" ht="14.5" customHeight="1" spans="1:11" x14ac:dyDescent="0.25" outlineLevel="1" collapsed="1">
      <c r="A339" s="443" t="s">
        <v>146</v>
      </c>
      <c r="B339" s="349" t="s">
        <v>1846</v>
      </c>
      <c r="C339" s="293" t="s">
        <v>1743</v>
      </c>
      <c r="D339" s="293" t="s">
        <v>1847</v>
      </c>
      <c r="E339" s="228"/>
      <c r="F339" s="445"/>
      <c r="G339" s="445"/>
      <c r="H339" s="446">
        <f t="shared" si="29"/>
        <v>0</v>
      </c>
      <c r="I339" s="228"/>
      <c r="J339" s="228"/>
      <c r="K339" s="447"/>
    </row>
    <row r="340" ht="14.5" customHeight="1" spans="1:11" x14ac:dyDescent="0.25" outlineLevel="1" collapsed="1">
      <c r="A340" s="443" t="s">
        <v>148</v>
      </c>
      <c r="B340" s="349" t="s">
        <v>1848</v>
      </c>
      <c r="C340" s="293" t="s">
        <v>1743</v>
      </c>
      <c r="D340" s="293" t="s">
        <v>1849</v>
      </c>
      <c r="E340" s="228"/>
      <c r="F340" s="445"/>
      <c r="G340" s="445"/>
      <c r="H340" s="446">
        <f t="shared" si="29"/>
        <v>65</v>
      </c>
      <c r="I340" s="228"/>
      <c r="J340" s="228"/>
      <c r="K340" s="515"/>
    </row>
    <row r="341" ht="14.5" customHeight="1" spans="1:11" x14ac:dyDescent="0.25" outlineLevel="1" collapsed="1">
      <c r="A341" s="443" t="s">
        <v>150</v>
      </c>
      <c r="B341" s="349" t="s">
        <v>1850</v>
      </c>
      <c r="C341" s="293" t="s">
        <v>1743</v>
      </c>
      <c r="D341" s="293" t="s">
        <v>1849</v>
      </c>
      <c r="E341" s="228"/>
      <c r="F341" s="445"/>
      <c r="G341" s="445"/>
      <c r="H341" s="446">
        <f t="shared" si="29"/>
        <v>71.8724449776601</v>
      </c>
      <c r="I341" s="228"/>
      <c r="J341" s="228"/>
      <c r="K341" s="447"/>
    </row>
    <row r="342" ht="14.5" customHeight="1" spans="1:11" x14ac:dyDescent="0.25" outlineLevel="1" collapsed="1">
      <c r="A342" s="293" t="s">
        <v>152</v>
      </c>
      <c r="B342" s="349" t="s">
        <v>1851</v>
      </c>
      <c r="C342" s="293" t="s">
        <v>61</v>
      </c>
      <c r="D342" s="293" t="s">
        <v>1852</v>
      </c>
      <c r="E342" s="228"/>
      <c r="F342" s="445"/>
      <c r="G342" s="445"/>
      <c r="H342" s="446">
        <f t="shared" si="29"/>
        <v>0.11903411382721608</v>
      </c>
      <c r="I342" s="228"/>
      <c r="J342" s="228"/>
      <c r="K342" s="447"/>
    </row>
    <row r="343" ht="14.5" customHeight="1" spans="1:11" x14ac:dyDescent="0.25" outlineLevel="1" collapsed="1">
      <c r="A343" s="293" t="s">
        <v>155</v>
      </c>
      <c r="B343" s="349" t="s">
        <v>1853</v>
      </c>
      <c r="C343" s="293" t="s">
        <v>61</v>
      </c>
      <c r="D343" s="293" t="s">
        <v>1750</v>
      </c>
      <c r="E343" s="470"/>
      <c r="F343" s="470"/>
      <c r="G343" s="470"/>
      <c r="H343" s="446">
        <f t="shared" si="29"/>
        <v>16534.4</v>
      </c>
      <c r="I343" s="470"/>
      <c r="J343" s="471"/>
      <c r="K343" s="447"/>
    </row>
    <row r="344" ht="14.5" customHeight="1" spans="1:11" x14ac:dyDescent="0.25" outlineLevel="1" collapsed="1">
      <c r="A344" s="293" t="s">
        <v>158</v>
      </c>
      <c r="B344" s="349" t="s">
        <v>1854</v>
      </c>
      <c r="C344" s="293" t="s">
        <v>1743</v>
      </c>
      <c r="D344" s="293" t="s">
        <v>1750</v>
      </c>
      <c r="E344" s="470"/>
      <c r="F344" s="470"/>
      <c r="G344" s="470"/>
      <c r="H344" s="446">
        <f t="shared" si="29"/>
        <v>13869.073177794955</v>
      </c>
      <c r="I344" s="470"/>
      <c r="J344" s="471"/>
      <c r="K344" s="447"/>
    </row>
    <row r="345" ht="42" customHeight="1" spans="1:11" x14ac:dyDescent="0.25" outlineLevel="1" collapsed="1">
      <c r="A345" s="293" t="s">
        <v>160</v>
      </c>
      <c r="B345" s="349" t="s">
        <v>1855</v>
      </c>
      <c r="C345" s="293" t="s">
        <v>1743</v>
      </c>
      <c r="D345" s="293" t="s">
        <v>1856</v>
      </c>
      <c r="E345" s="470"/>
      <c r="F345" s="470"/>
      <c r="G345" s="470"/>
      <c r="H345" s="446">
        <f t="shared" si="29"/>
        <v>1.9502644427570497</v>
      </c>
      <c r="I345" s="470"/>
      <c r="J345" s="471"/>
      <c r="K345" s="447"/>
    </row>
    <row r="346" ht="42" customHeight="1" spans="1:11" x14ac:dyDescent="0.25" outlineLevel="1" collapsed="1">
      <c r="A346" s="293" t="s">
        <v>162</v>
      </c>
      <c r="B346" s="349" t="s">
        <v>1857</v>
      </c>
      <c r="C346" s="293" t="s">
        <v>1743</v>
      </c>
      <c r="D346" s="293" t="s">
        <v>1858</v>
      </c>
      <c r="E346" s="470"/>
      <c r="F346" s="470"/>
      <c r="G346" s="470"/>
      <c r="H346" s="446">
        <f t="shared" si="29"/>
        <v>0.4270313115728648</v>
      </c>
      <c r="I346" s="470"/>
      <c r="J346" s="471"/>
      <c r="K346" s="447"/>
    </row>
    <row r="347" spans="1:11" x14ac:dyDescent="0.25">
      <c r="A347" s="437" t="s">
        <v>1872</v>
      </c>
      <c r="B347" s="438" t="s">
        <v>1873</v>
      </c>
      <c r="C347" s="439"/>
      <c r="D347" s="440"/>
      <c r="E347" s="442"/>
      <c r="F347" s="442"/>
      <c r="G347" s="442"/>
      <c r="H347" s="441"/>
      <c r="I347" s="442"/>
      <c r="J347" s="442"/>
      <c r="K347" s="442"/>
    </row>
    <row r="348" ht="14.5" customHeight="1" spans="1:11" x14ac:dyDescent="0.25" outlineLevel="1" collapsed="1">
      <c r="A348" s="443" t="s">
        <v>58</v>
      </c>
      <c r="B348" s="516" t="s">
        <v>1836</v>
      </c>
      <c r="C348" s="293" t="s">
        <v>61</v>
      </c>
      <c r="D348" s="293" t="s">
        <v>1456</v>
      </c>
      <c r="E348" s="228"/>
      <c r="F348" s="445"/>
      <c r="G348" s="445"/>
      <c r="H348" s="446">
        <f t="shared" si="29"/>
        <v>34000</v>
      </c>
      <c r="I348" s="228"/>
      <c r="J348" s="228"/>
      <c r="K348" s="515"/>
    </row>
    <row r="349" ht="14.5" customHeight="1" spans="1:11" x14ac:dyDescent="0.25" outlineLevel="1" collapsed="1">
      <c r="A349" s="443" t="s">
        <v>64</v>
      </c>
      <c r="B349" s="516" t="s">
        <v>1837</v>
      </c>
      <c r="C349" s="293" t="s">
        <v>61</v>
      </c>
      <c r="D349" s="293" t="s">
        <v>1456</v>
      </c>
      <c r="E349" s="228"/>
      <c r="F349" s="445"/>
      <c r="G349" s="445"/>
      <c r="H349" s="446">
        <f t="shared" si="29"/>
        <v>39823.232</v>
      </c>
      <c r="I349" s="228"/>
      <c r="J349" s="228"/>
      <c r="K349" s="515"/>
    </row>
    <row r="350" ht="14.5" customHeight="1" spans="1:11" x14ac:dyDescent="0.25" outlineLevel="1" collapsed="1">
      <c r="A350" s="443" t="s">
        <v>68</v>
      </c>
      <c r="B350" s="349" t="s">
        <v>1838</v>
      </c>
      <c r="C350" s="293" t="s">
        <v>1743</v>
      </c>
      <c r="D350" s="293" t="s">
        <v>1839</v>
      </c>
      <c r="E350" s="475"/>
      <c r="F350" s="475"/>
      <c r="G350" s="475"/>
      <c r="H350" s="476"/>
      <c r="I350" s="475"/>
      <c r="J350" s="477"/>
      <c r="K350" s="515"/>
    </row>
    <row r="351" ht="28" customHeight="1" spans="1:11" x14ac:dyDescent="0.25" outlineLevel="1" collapsed="1">
      <c r="A351" s="443" t="s">
        <v>74</v>
      </c>
      <c r="B351" s="349" t="s">
        <v>1862</v>
      </c>
      <c r="C351" s="293" t="s">
        <v>1743</v>
      </c>
      <c r="D351" s="293" t="s">
        <v>1756</v>
      </c>
      <c r="E351" s="228"/>
      <c r="F351" s="445"/>
      <c r="G351" s="445"/>
      <c r="H351" s="446">
        <f t="shared" ref="H351:H366" si="30">IF(K$9=1,E351,IF(K$9=2,(E351+F351)/2,(E351+F351+G351)/3))</f>
        <v>199.31080521567173</v>
      </c>
      <c r="I351" s="228"/>
      <c r="J351" s="228"/>
      <c r="K351" s="456"/>
    </row>
    <row r="352" ht="14.5" customHeight="1" spans="1:11" x14ac:dyDescent="0.25" outlineLevel="1" collapsed="1">
      <c r="A352" s="443" t="s">
        <v>80</v>
      </c>
      <c r="B352" s="349" t="s">
        <v>1841</v>
      </c>
      <c r="C352" s="293" t="s">
        <v>61</v>
      </c>
      <c r="D352" s="293" t="s">
        <v>1756</v>
      </c>
      <c r="E352" s="228"/>
      <c r="F352" s="445"/>
      <c r="G352" s="445"/>
      <c r="H352" s="446">
        <f t="shared" si="30"/>
        <v>200</v>
      </c>
      <c r="I352" s="228"/>
      <c r="J352" s="228"/>
      <c r="K352" s="515"/>
    </row>
    <row r="353" ht="14.5" customHeight="1" spans="1:11" x14ac:dyDescent="0.25" outlineLevel="1" collapsed="1">
      <c r="A353" s="443" t="s">
        <v>82</v>
      </c>
      <c r="B353" s="349" t="s">
        <v>1842</v>
      </c>
      <c r="C353" s="293" t="s">
        <v>61</v>
      </c>
      <c r="D353" s="293" t="s">
        <v>1843</v>
      </c>
      <c r="E353" s="228"/>
      <c r="F353" s="445"/>
      <c r="G353" s="445"/>
      <c r="H353" s="446">
        <f t="shared" si="30"/>
        <v>0.07</v>
      </c>
      <c r="I353" s="228"/>
      <c r="J353" s="228"/>
      <c r="K353" s="515"/>
    </row>
    <row r="354" ht="14.5" customHeight="1" spans="1:11" x14ac:dyDescent="0.25" outlineLevel="1" collapsed="1">
      <c r="A354" s="293" t="s">
        <v>121</v>
      </c>
      <c r="B354" s="349" t="s">
        <v>1844</v>
      </c>
      <c r="C354" s="293" t="s">
        <v>61</v>
      </c>
      <c r="D354" s="293" t="s">
        <v>1843</v>
      </c>
      <c r="E354" s="228"/>
      <c r="F354" s="445"/>
      <c r="G354" s="445"/>
      <c r="H354" s="446">
        <f t="shared" si="30"/>
        <v>4.65</v>
      </c>
      <c r="I354" s="228"/>
      <c r="J354" s="228"/>
      <c r="K354" s="515"/>
    </row>
    <row r="355" ht="14.5" customHeight="1" spans="1:11" x14ac:dyDescent="0.25" outlineLevel="1" collapsed="1">
      <c r="A355" s="443" t="s">
        <v>144</v>
      </c>
      <c r="B355" s="349" t="s">
        <v>1845</v>
      </c>
      <c r="C355" s="293" t="s">
        <v>61</v>
      </c>
      <c r="D355" s="293" t="s">
        <v>1843</v>
      </c>
      <c r="E355" s="228"/>
      <c r="F355" s="445"/>
      <c r="G355" s="445"/>
      <c r="H355" s="446">
        <f t="shared" si="30"/>
        <v>0</v>
      </c>
      <c r="I355" s="228"/>
      <c r="J355" s="228"/>
      <c r="K355" s="515"/>
    </row>
    <row r="356" ht="14.5" customHeight="1" spans="1:11" x14ac:dyDescent="0.25" outlineLevel="1" collapsed="1">
      <c r="A356" s="443" t="s">
        <v>146</v>
      </c>
      <c r="B356" s="349" t="s">
        <v>1846</v>
      </c>
      <c r="C356" s="293" t="s">
        <v>1743</v>
      </c>
      <c r="D356" s="293" t="s">
        <v>1847</v>
      </c>
      <c r="E356" s="228"/>
      <c r="F356" s="445"/>
      <c r="G356" s="445"/>
      <c r="H356" s="446">
        <f t="shared" si="30"/>
        <v>0</v>
      </c>
      <c r="I356" s="228"/>
      <c r="J356" s="228"/>
      <c r="K356" s="447"/>
    </row>
    <row r="357" ht="14.5" customHeight="1" spans="1:11" x14ac:dyDescent="0.25" outlineLevel="1" collapsed="1">
      <c r="A357" s="443" t="s">
        <v>148</v>
      </c>
      <c r="B357" s="349" t="s">
        <v>1848</v>
      </c>
      <c r="C357" s="293" t="s">
        <v>1743</v>
      </c>
      <c r="D357" s="293" t="s">
        <v>1849</v>
      </c>
      <c r="E357" s="228"/>
      <c r="F357" s="445"/>
      <c r="G357" s="445"/>
      <c r="H357" s="446">
        <f t="shared" si="30"/>
        <v>65</v>
      </c>
      <c r="I357" s="228"/>
      <c r="J357" s="228"/>
      <c r="K357" s="515"/>
    </row>
    <row r="358" ht="14.5" customHeight="1" spans="1:11" x14ac:dyDescent="0.25" outlineLevel="1" collapsed="1">
      <c r="A358" s="443" t="s">
        <v>150</v>
      </c>
      <c r="B358" s="349" t="s">
        <v>1850</v>
      </c>
      <c r="C358" s="293" t="s">
        <v>1743</v>
      </c>
      <c r="D358" s="293" t="s">
        <v>1849</v>
      </c>
      <c r="E358" s="228"/>
      <c r="F358" s="445"/>
      <c r="G358" s="445"/>
      <c r="H358" s="446">
        <f t="shared" si="30"/>
        <v>71.82554839682518</v>
      </c>
      <c r="I358" s="228"/>
      <c r="J358" s="228"/>
      <c r="K358" s="447"/>
    </row>
    <row r="359" ht="14.5" customHeight="1" spans="1:11" x14ac:dyDescent="0.25" outlineLevel="1" collapsed="1">
      <c r="A359" s="293" t="s">
        <v>152</v>
      </c>
      <c r="B359" s="349" t="s">
        <v>1851</v>
      </c>
      <c r="C359" s="293" t="s">
        <v>61</v>
      </c>
      <c r="D359" s="293" t="s">
        <v>1874</v>
      </c>
      <c r="E359" s="228"/>
      <c r="F359" s="445"/>
      <c r="G359" s="445"/>
      <c r="H359" s="446">
        <f t="shared" si="30"/>
        <v>0.07205561431566418</v>
      </c>
      <c r="I359" s="228"/>
      <c r="J359" s="228"/>
      <c r="K359" s="447"/>
    </row>
    <row r="360" ht="14.5" customHeight="1" spans="1:11" x14ac:dyDescent="0.25" outlineLevel="1" collapsed="1">
      <c r="A360" s="293" t="s">
        <v>155</v>
      </c>
      <c r="B360" s="349" t="s">
        <v>1853</v>
      </c>
      <c r="C360" s="293" t="s">
        <v>61</v>
      </c>
      <c r="D360" s="293" t="s">
        <v>1750</v>
      </c>
      <c r="E360" s="470"/>
      <c r="F360" s="470"/>
      <c r="G360" s="470"/>
      <c r="H360" s="446">
        <f t="shared" si="30"/>
        <v>16534.4</v>
      </c>
      <c r="I360" s="470"/>
      <c r="J360" s="471"/>
      <c r="K360" s="447"/>
    </row>
    <row r="361" ht="14.5" customHeight="1" spans="1:11" x14ac:dyDescent="0.25" outlineLevel="1" collapsed="1">
      <c r="A361" s="293" t="s">
        <v>158</v>
      </c>
      <c r="B361" s="349" t="s">
        <v>1854</v>
      </c>
      <c r="C361" s="293" t="s">
        <v>1743</v>
      </c>
      <c r="D361" s="293" t="s">
        <v>1750</v>
      </c>
      <c r="E361" s="470"/>
      <c r="F361" s="470"/>
      <c r="G361" s="470"/>
      <c r="H361" s="446">
        <f t="shared" si="30"/>
        <v>13745.169929954454</v>
      </c>
      <c r="I361" s="470"/>
      <c r="J361" s="471"/>
      <c r="K361" s="447"/>
    </row>
    <row r="362" ht="42" customHeight="1" spans="1:11" x14ac:dyDescent="0.25" outlineLevel="1" collapsed="1">
      <c r="A362" s="293" t="s">
        <v>160</v>
      </c>
      <c r="B362" s="349" t="s">
        <v>1855</v>
      </c>
      <c r="C362" s="293" t="s">
        <v>1743</v>
      </c>
      <c r="D362" s="293" t="s">
        <v>1856</v>
      </c>
      <c r="E362" s="470"/>
      <c r="F362" s="470"/>
      <c r="G362" s="470"/>
      <c r="H362" s="446">
        <f t="shared" si="30"/>
        <v>1.9502644427570497</v>
      </c>
      <c r="I362" s="470"/>
      <c r="J362" s="471"/>
      <c r="K362" s="447"/>
    </row>
    <row r="363" ht="42" customHeight="1" spans="1:11" x14ac:dyDescent="0.25" outlineLevel="1" collapsed="1">
      <c r="A363" s="293" t="s">
        <v>162</v>
      </c>
      <c r="B363" s="349" t="s">
        <v>1857</v>
      </c>
      <c r="C363" s="293" t="s">
        <v>1743</v>
      </c>
      <c r="D363" s="293" t="s">
        <v>1858</v>
      </c>
      <c r="E363" s="470"/>
      <c r="F363" s="470"/>
      <c r="G363" s="470"/>
      <c r="H363" s="446">
        <f t="shared" si="30"/>
        <v>0.424060546619584</v>
      </c>
      <c r="I363" s="470"/>
      <c r="J363" s="471"/>
      <c r="K363" s="447"/>
    </row>
    <row r="364" spans="1:11" x14ac:dyDescent="0.25">
      <c r="A364" s="437" t="s">
        <v>1875</v>
      </c>
      <c r="B364" s="438" t="s">
        <v>1876</v>
      </c>
      <c r="C364" s="439"/>
      <c r="D364" s="440"/>
      <c r="E364" s="442"/>
      <c r="F364" s="442"/>
      <c r="G364" s="442"/>
      <c r="H364" s="441"/>
      <c r="I364" s="442"/>
      <c r="J364" s="442"/>
      <c r="K364" s="442"/>
    </row>
    <row r="365" ht="14.5" customHeight="1" spans="1:11" x14ac:dyDescent="0.25" outlineLevel="1" collapsed="1">
      <c r="A365" s="443" t="s">
        <v>58</v>
      </c>
      <c r="B365" s="516" t="s">
        <v>1836</v>
      </c>
      <c r="C365" s="293" t="s">
        <v>61</v>
      </c>
      <c r="D365" s="293" t="s">
        <v>1456</v>
      </c>
      <c r="E365" s="228"/>
      <c r="F365" s="445"/>
      <c r="G365" s="445"/>
      <c r="H365" s="446">
        <f t="shared" si="30"/>
        <v>36000</v>
      </c>
      <c r="I365" s="228"/>
      <c r="J365" s="228"/>
      <c r="K365" s="515"/>
    </row>
    <row r="366" ht="14.5" customHeight="1" spans="1:11" x14ac:dyDescent="0.25" outlineLevel="1" collapsed="1">
      <c r="A366" s="443" t="s">
        <v>64</v>
      </c>
      <c r="B366" s="516" t="s">
        <v>1837</v>
      </c>
      <c r="C366" s="293" t="s">
        <v>61</v>
      </c>
      <c r="D366" s="293" t="s">
        <v>1456</v>
      </c>
      <c r="E366" s="228"/>
      <c r="F366" s="445"/>
      <c r="G366" s="445"/>
      <c r="H366" s="446">
        <f t="shared" si="30"/>
        <v>40280.961</v>
      </c>
      <c r="I366" s="228"/>
      <c r="J366" s="228"/>
      <c r="K366" s="515"/>
    </row>
    <row r="367" ht="14.5" customHeight="1" spans="1:11" x14ac:dyDescent="0.25" outlineLevel="1" collapsed="1">
      <c r="A367" s="443" t="s">
        <v>68</v>
      </c>
      <c r="B367" s="349" t="s">
        <v>1838</v>
      </c>
      <c r="C367" s="293" t="s">
        <v>1743</v>
      </c>
      <c r="D367" s="293" t="s">
        <v>1839</v>
      </c>
      <c r="E367" s="475"/>
      <c r="F367" s="475"/>
      <c r="G367" s="475"/>
      <c r="H367" s="476"/>
      <c r="I367" s="475"/>
      <c r="J367" s="477"/>
      <c r="K367" s="515"/>
    </row>
    <row r="368" ht="28" customHeight="1" spans="1:11" x14ac:dyDescent="0.25" outlineLevel="1" collapsed="1">
      <c r="A368" s="443" t="s">
        <v>74</v>
      </c>
      <c r="B368" s="349" t="s">
        <v>1862</v>
      </c>
      <c r="C368" s="293" t="s">
        <v>1743</v>
      </c>
      <c r="D368" s="293" t="s">
        <v>1756</v>
      </c>
      <c r="E368" s="228"/>
      <c r="F368" s="445"/>
      <c r="G368" s="445"/>
      <c r="H368" s="446">
        <f t="shared" ref="H368:H391" si="31">IF(K$9=1,E368,IF(K$9=2,(E368+F368)/2,(E368+F368+G368)/3))</f>
        <v>200.44957360029662</v>
      </c>
      <c r="I368" s="228"/>
      <c r="J368" s="228"/>
      <c r="K368" s="456"/>
    </row>
    <row r="369" ht="14.5" customHeight="1" spans="1:11" x14ac:dyDescent="0.25" outlineLevel="1" collapsed="1">
      <c r="A369" s="443" t="s">
        <v>80</v>
      </c>
      <c r="B369" s="349" t="s">
        <v>1841</v>
      </c>
      <c r="C369" s="293" t="s">
        <v>61</v>
      </c>
      <c r="D369" s="293" t="s">
        <v>1756</v>
      </c>
      <c r="E369" s="228"/>
      <c r="F369" s="445"/>
      <c r="G369" s="445"/>
      <c r="H369" s="446">
        <f t="shared" si="31"/>
        <v>201</v>
      </c>
      <c r="I369" s="228"/>
      <c r="J369" s="228"/>
      <c r="K369" s="515"/>
    </row>
    <row r="370" ht="14.5" customHeight="1" spans="1:11" x14ac:dyDescent="0.25" outlineLevel="1" collapsed="1">
      <c r="A370" s="443" t="s">
        <v>82</v>
      </c>
      <c r="B370" s="349" t="s">
        <v>1842</v>
      </c>
      <c r="C370" s="293" t="s">
        <v>61</v>
      </c>
      <c r="D370" s="293" t="s">
        <v>1843</v>
      </c>
      <c r="E370" s="228"/>
      <c r="F370" s="445"/>
      <c r="G370" s="445"/>
      <c r="H370" s="446">
        <f t="shared" si="31"/>
        <v>0.07</v>
      </c>
      <c r="I370" s="228"/>
      <c r="J370" s="228"/>
      <c r="K370" s="515"/>
    </row>
    <row r="371" ht="14.5" customHeight="1" spans="1:11" x14ac:dyDescent="0.25" outlineLevel="1" collapsed="1">
      <c r="A371" s="293" t="s">
        <v>121</v>
      </c>
      <c r="B371" s="349" t="s">
        <v>1844</v>
      </c>
      <c r="C371" s="293" t="s">
        <v>61</v>
      </c>
      <c r="D371" s="293" t="s">
        <v>1843</v>
      </c>
      <c r="E371" s="228"/>
      <c r="F371" s="445"/>
      <c r="G371" s="445"/>
      <c r="H371" s="446">
        <f t="shared" si="31"/>
        <v>4.65</v>
      </c>
      <c r="I371" s="228"/>
      <c r="J371" s="228"/>
      <c r="K371" s="515"/>
    </row>
    <row r="372" ht="14.5" customHeight="1" spans="1:11" x14ac:dyDescent="0.25" outlineLevel="1" collapsed="1">
      <c r="A372" s="443" t="s">
        <v>144</v>
      </c>
      <c r="B372" s="349" t="s">
        <v>1845</v>
      </c>
      <c r="C372" s="293" t="s">
        <v>61</v>
      </c>
      <c r="D372" s="293" t="s">
        <v>1843</v>
      </c>
      <c r="E372" s="228"/>
      <c r="F372" s="445"/>
      <c r="G372" s="445"/>
      <c r="H372" s="446">
        <f t="shared" si="31"/>
        <v>0</v>
      </c>
      <c r="I372" s="228"/>
      <c r="J372" s="228"/>
      <c r="K372" s="515"/>
    </row>
    <row r="373" ht="14.5" customHeight="1" spans="1:11" x14ac:dyDescent="0.25" outlineLevel="1" collapsed="1">
      <c r="A373" s="443" t="s">
        <v>146</v>
      </c>
      <c r="B373" s="349" t="s">
        <v>1846</v>
      </c>
      <c r="C373" s="293" t="s">
        <v>1743</v>
      </c>
      <c r="D373" s="293" t="s">
        <v>1847</v>
      </c>
      <c r="E373" s="228"/>
      <c r="F373" s="445"/>
      <c r="G373" s="445"/>
      <c r="H373" s="446">
        <f t="shared" si="31"/>
        <v>0</v>
      </c>
      <c r="I373" s="228"/>
      <c r="J373" s="228"/>
      <c r="K373" s="447"/>
    </row>
    <row r="374" ht="14.5" customHeight="1" spans="1:11" x14ac:dyDescent="0.25" outlineLevel="1" collapsed="1">
      <c r="A374" s="443" t="s">
        <v>148</v>
      </c>
      <c r="B374" s="349" t="s">
        <v>1848</v>
      </c>
      <c r="C374" s="293" t="s">
        <v>1743</v>
      </c>
      <c r="D374" s="293" t="s">
        <v>1849</v>
      </c>
      <c r="E374" s="228"/>
      <c r="F374" s="445"/>
      <c r="G374" s="445"/>
      <c r="H374" s="446">
        <f t="shared" si="31"/>
        <v>65</v>
      </c>
      <c r="I374" s="228"/>
      <c r="J374" s="228"/>
      <c r="K374" s="515"/>
    </row>
    <row r="375" ht="14.5" customHeight="1" spans="1:11" x14ac:dyDescent="0.25" outlineLevel="1" collapsed="1">
      <c r="A375" s="443" t="s">
        <v>150</v>
      </c>
      <c r="B375" s="349" t="s">
        <v>1850</v>
      </c>
      <c r="C375" s="293" t="s">
        <v>1743</v>
      </c>
      <c r="D375" s="293" t="s">
        <v>1849</v>
      </c>
      <c r="E375" s="228"/>
      <c r="F375" s="445"/>
      <c r="G375" s="445"/>
      <c r="H375" s="446">
        <f t="shared" si="31"/>
        <v>72.3543900728012</v>
      </c>
      <c r="I375" s="228"/>
      <c r="J375" s="228"/>
      <c r="K375" s="447"/>
    </row>
    <row r="376" ht="14.5" customHeight="1" spans="1:11" x14ac:dyDescent="0.25" outlineLevel="1" collapsed="1">
      <c r="A376" s="293" t="s">
        <v>152</v>
      </c>
      <c r="B376" s="349" t="s">
        <v>1851</v>
      </c>
      <c r="C376" s="293" t="s">
        <v>61</v>
      </c>
      <c r="D376" s="293" t="s">
        <v>1874</v>
      </c>
      <c r="E376" s="228"/>
      <c r="F376" s="445"/>
      <c r="G376" s="445"/>
      <c r="H376" s="446">
        <f t="shared" si="31"/>
        <v>0.11538730265937736</v>
      </c>
      <c r="I376" s="228"/>
      <c r="J376" s="228"/>
      <c r="K376" s="447"/>
    </row>
    <row r="377" ht="14.5" customHeight="1" spans="1:11" x14ac:dyDescent="0.25" outlineLevel="1" collapsed="1">
      <c r="A377" s="293" t="s">
        <v>155</v>
      </c>
      <c r="B377" s="349" t="s">
        <v>1853</v>
      </c>
      <c r="C377" s="293" t="s">
        <v>61</v>
      </c>
      <c r="D377" s="293" t="s">
        <v>1750</v>
      </c>
      <c r="E377" s="470"/>
      <c r="F377" s="470"/>
      <c r="G377" s="470"/>
      <c r="H377" s="446">
        <f t="shared" si="31"/>
        <v>16534.4</v>
      </c>
      <c r="I377" s="470"/>
      <c r="J377" s="471"/>
      <c r="K377" s="447"/>
    </row>
    <row r="378" ht="14.5" customHeight="1" spans="1:11" x14ac:dyDescent="0.25" outlineLevel="1" collapsed="1">
      <c r="A378" s="293" t="s">
        <v>158</v>
      </c>
      <c r="B378" s="349" t="s">
        <v>1854</v>
      </c>
      <c r="C378" s="293" t="s">
        <v>1743</v>
      </c>
      <c r="D378" s="293" t="s">
        <v>1750</v>
      </c>
      <c r="E378" s="470"/>
      <c r="F378" s="470"/>
      <c r="G378" s="470"/>
      <c r="H378" s="446">
        <f t="shared" si="31"/>
        <v>13717.937861512291</v>
      </c>
      <c r="I378" s="470"/>
      <c r="J378" s="471"/>
      <c r="K378" s="447"/>
    </row>
    <row r="379" ht="42" customHeight="1" spans="1:11" x14ac:dyDescent="0.25" outlineLevel="1" collapsed="1">
      <c r="A379" s="293" t="s">
        <v>160</v>
      </c>
      <c r="B379" s="349" t="s">
        <v>1855</v>
      </c>
      <c r="C379" s="293" t="s">
        <v>1743</v>
      </c>
      <c r="D379" s="293" t="s">
        <v>1856</v>
      </c>
      <c r="E379" s="470"/>
      <c r="F379" s="470"/>
      <c r="G379" s="470"/>
      <c r="H379" s="446">
        <f t="shared" si="31"/>
        <v>1.9502644427570497</v>
      </c>
      <c r="I379" s="470"/>
      <c r="J379" s="471"/>
      <c r="K379" s="447"/>
    </row>
    <row r="380" ht="42" customHeight="1" spans="1:11" x14ac:dyDescent="0.25" outlineLevel="1" collapsed="1">
      <c r="A380" s="293" t="s">
        <v>162</v>
      </c>
      <c r="B380" s="349" t="s">
        <v>1857</v>
      </c>
      <c r="C380" s="293" t="s">
        <v>1743</v>
      </c>
      <c r="D380" s="293" t="s">
        <v>1858</v>
      </c>
      <c r="E380" s="470"/>
      <c r="F380" s="470"/>
      <c r="G380" s="470"/>
      <c r="H380" s="446">
        <f t="shared" si="31"/>
        <v>0.42472639540919455</v>
      </c>
      <c r="I380" s="470"/>
      <c r="J380" s="471"/>
      <c r="K380" s="447"/>
    </row>
    <row r="381" spans="1:11" x14ac:dyDescent="0.25">
      <c r="A381" s="443"/>
      <c r="B381" s="349"/>
      <c r="C381" s="293"/>
      <c r="D381" s="293"/>
      <c r="E381" s="443"/>
      <c r="F381" s="443"/>
      <c r="G381" s="517"/>
      <c r="H381" s="518"/>
      <c r="I381" s="517"/>
      <c r="J381" s="517"/>
      <c r="K381" s="515"/>
    </row>
    <row r="382" spans="1:11" x14ac:dyDescent="0.25">
      <c r="A382" s="437" t="s">
        <v>182</v>
      </c>
      <c r="B382" s="438" t="s">
        <v>305</v>
      </c>
      <c r="C382" s="439"/>
      <c r="D382" s="440"/>
      <c r="E382" s="440"/>
      <c r="F382" s="440"/>
      <c r="G382" s="442"/>
      <c r="H382" s="441"/>
      <c r="I382" s="442"/>
      <c r="J382" s="442"/>
      <c r="K382" s="442"/>
    </row>
    <row r="383" ht="14.5" customHeight="1" spans="1:11" x14ac:dyDescent="0.25">
      <c r="A383" s="443" t="s">
        <v>306</v>
      </c>
      <c r="B383" s="349" t="s">
        <v>1800</v>
      </c>
      <c r="C383" s="293" t="s">
        <v>1743</v>
      </c>
      <c r="D383" s="293" t="s">
        <v>1456</v>
      </c>
      <c r="E383" s="228"/>
      <c r="F383" s="228"/>
      <c r="G383" s="228"/>
      <c r="H383" s="446">
        <f t="shared" si="31"/>
        <v>214985</v>
      </c>
      <c r="I383" s="489"/>
      <c r="J383" s="489"/>
      <c r="K383" s="447"/>
    </row>
    <row r="384" ht="14.5" customHeight="1" spans="1:11" x14ac:dyDescent="0.25">
      <c r="A384" s="443" t="s">
        <v>308</v>
      </c>
      <c r="B384" s="349" t="s">
        <v>1877</v>
      </c>
      <c r="C384" s="293" t="s">
        <v>1743</v>
      </c>
      <c r="D384" s="293" t="s">
        <v>1456</v>
      </c>
      <c r="E384" s="228"/>
      <c r="F384" s="228"/>
      <c r="G384" s="519"/>
      <c r="H384" s="446">
        <f t="shared" si="31"/>
        <v>219298.181</v>
      </c>
      <c r="I384" s="519"/>
      <c r="J384" s="519"/>
      <c r="K384" s="447"/>
    </row>
    <row r="385" spans="1:11" x14ac:dyDescent="0.25">
      <c r="A385" s="452" t="s">
        <v>310</v>
      </c>
      <c r="B385" s="453" t="s">
        <v>1878</v>
      </c>
      <c r="C385" s="452"/>
      <c r="D385" s="452" t="s">
        <v>1493</v>
      </c>
      <c r="E385" s="520">
        <f t="shared" ref="E385:I385" si="32">IF(E383=0,0,(E384/E383)*100)</f>
        <v>102.00627067004675</v>
      </c>
      <c r="F385" s="520">
        <f t="shared" si="32"/>
        <v>0</v>
      </c>
      <c r="G385" s="520">
        <f t="shared" si="32"/>
        <v>0</v>
      </c>
      <c r="H385" s="520">
        <f t="shared" si="32"/>
        <v>102.00627067004675</v>
      </c>
      <c r="I385" s="520">
        <f t="shared" si="32"/>
        <v>0</v>
      </c>
      <c r="J385" s="517"/>
      <c r="K385" s="456"/>
    </row>
    <row r="386" ht="28" customHeight="1" spans="1:11" x14ac:dyDescent="0.25">
      <c r="A386" s="443" t="s">
        <v>312</v>
      </c>
      <c r="B386" s="349" t="s">
        <v>1879</v>
      </c>
      <c r="C386" s="484" t="s">
        <v>1743</v>
      </c>
      <c r="D386" s="293" t="s">
        <v>1880</v>
      </c>
      <c r="E386" s="470"/>
      <c r="F386" s="470"/>
      <c r="G386" s="470"/>
      <c r="H386" s="446">
        <f t="shared" si="31"/>
        <v>146.80851365566045</v>
      </c>
      <c r="I386" s="470"/>
      <c r="J386" s="471"/>
      <c r="K386" s="447"/>
    </row>
    <row r="387" ht="28" customHeight="1" spans="1:11" x14ac:dyDescent="0.25">
      <c r="A387" s="443" t="s">
        <v>314</v>
      </c>
      <c r="B387" s="349" t="s">
        <v>1881</v>
      </c>
      <c r="C387" s="484" t="s">
        <v>1743</v>
      </c>
      <c r="D387" s="293" t="s">
        <v>1882</v>
      </c>
      <c r="E387" s="470"/>
      <c r="F387" s="470"/>
      <c r="G387" s="470"/>
      <c r="H387" s="446">
        <f t="shared" si="31"/>
        <v>808218.2356135348</v>
      </c>
      <c r="I387" s="470"/>
      <c r="J387" s="471"/>
      <c r="K387" s="447"/>
    </row>
    <row r="388" ht="14.5" customHeight="1" spans="1:11" x14ac:dyDescent="0.25">
      <c r="A388" s="443" t="s">
        <v>82</v>
      </c>
      <c r="B388" s="349" t="s">
        <v>1883</v>
      </c>
      <c r="C388" s="484" t="s">
        <v>1743</v>
      </c>
      <c r="D388" s="293" t="s">
        <v>1456</v>
      </c>
      <c r="E388" s="228"/>
      <c r="F388" s="445"/>
      <c r="G388" s="445"/>
      <c r="H388" s="446">
        <f t="shared" si="31"/>
        <v>21451.45</v>
      </c>
      <c r="I388" s="228"/>
      <c r="J388" s="228"/>
      <c r="K388" s="447"/>
    </row>
    <row r="389" ht="14.5" customHeight="1" spans="1:11" x14ac:dyDescent="0.25">
      <c r="A389" s="443" t="s">
        <v>121</v>
      </c>
      <c r="B389" s="349" t="s">
        <v>1884</v>
      </c>
      <c r="C389" s="484" t="s">
        <v>1743</v>
      </c>
      <c r="D389" s="293" t="s">
        <v>1456</v>
      </c>
      <c r="E389" s="228"/>
      <c r="F389" s="445"/>
      <c r="G389" s="445"/>
      <c r="H389" s="446">
        <f t="shared" si="31"/>
        <v>23140.515</v>
      </c>
      <c r="I389" s="228"/>
      <c r="J389" s="228"/>
      <c r="K389" s="447"/>
    </row>
    <row r="390" ht="14.5" customHeight="1" spans="1:11" x14ac:dyDescent="0.25">
      <c r="A390" s="443" t="s">
        <v>144</v>
      </c>
      <c r="B390" s="349" t="s">
        <v>1885</v>
      </c>
      <c r="C390" s="293" t="s">
        <v>1743</v>
      </c>
      <c r="D390" s="293" t="s">
        <v>1456</v>
      </c>
      <c r="E390" s="228"/>
      <c r="F390" s="445"/>
      <c r="G390" s="445"/>
      <c r="H390" s="446">
        <f t="shared" si="31"/>
        <v>0</v>
      </c>
      <c r="I390" s="228"/>
      <c r="J390" s="228"/>
      <c r="K390" s="447"/>
    </row>
    <row r="391" ht="14.5" customHeight="1" spans="1:11" x14ac:dyDescent="0.25">
      <c r="A391" s="443" t="s">
        <v>146</v>
      </c>
      <c r="B391" s="349" t="s">
        <v>1886</v>
      </c>
      <c r="C391" s="293" t="s">
        <v>1743</v>
      </c>
      <c r="D391" s="293" t="s">
        <v>1456</v>
      </c>
      <c r="E391" s="228"/>
      <c r="F391" s="445"/>
      <c r="G391" s="445"/>
      <c r="H391" s="446">
        <f t="shared" si="31"/>
        <v>0</v>
      </c>
      <c r="I391" s="228"/>
      <c r="J391" s="228"/>
      <c r="K391" s="447"/>
    </row>
    <row r="392" spans="1:11" x14ac:dyDescent="0.25">
      <c r="A392" s="443"/>
      <c r="B392" s="349"/>
      <c r="C392" s="293"/>
      <c r="D392" s="293"/>
      <c r="E392" s="443"/>
      <c r="F392" s="443"/>
      <c r="G392" s="517"/>
      <c r="H392" s="474"/>
      <c r="I392" s="517"/>
      <c r="J392" s="517"/>
      <c r="K392" s="515"/>
    </row>
    <row r="393" spans="1:11" x14ac:dyDescent="0.25">
      <c r="A393" s="437" t="s">
        <v>322</v>
      </c>
      <c r="B393" s="438" t="s">
        <v>323</v>
      </c>
      <c r="C393" s="439"/>
      <c r="D393" s="440"/>
      <c r="E393" s="440"/>
      <c r="F393" s="440"/>
      <c r="G393" s="442"/>
      <c r="H393" s="441"/>
      <c r="I393" s="442"/>
      <c r="J393" s="442"/>
      <c r="K393" s="442"/>
    </row>
    <row r="394" spans="1:11" x14ac:dyDescent="0.25" outlineLevel="1" collapsed="1">
      <c r="A394" s="437" t="s">
        <v>324</v>
      </c>
      <c r="B394" s="438" t="s">
        <v>325</v>
      </c>
      <c r="C394" s="439"/>
      <c r="D394" s="440"/>
      <c r="E394" s="440"/>
      <c r="F394" s="440"/>
      <c r="G394" s="442"/>
      <c r="H394" s="441"/>
      <c r="I394" s="442"/>
      <c r="J394" s="442"/>
      <c r="K394" s="442"/>
    </row>
    <row r="395" ht="14.5" customHeight="1" spans="1:11" x14ac:dyDescent="0.25" outlineLevel="1" collapsed="1">
      <c r="A395" s="443" t="s">
        <v>306</v>
      </c>
      <c r="B395" s="349" t="s">
        <v>1887</v>
      </c>
      <c r="C395" s="293" t="s">
        <v>61</v>
      </c>
      <c r="D395" s="293" t="s">
        <v>1456</v>
      </c>
      <c r="E395" s="228"/>
      <c r="F395" s="445"/>
      <c r="G395" s="445"/>
      <c r="H395" s="446">
        <f t="shared" ref="H395:H398" si="33">IF(K$9=1,E395,IF(K$9=2,(E395+F395)/2,(E395+F395+G395)/3))</f>
        <v>34500</v>
      </c>
      <c r="I395" s="228"/>
      <c r="J395" s="228"/>
      <c r="K395" s="515"/>
    </row>
    <row r="396" ht="14.5" customHeight="1" spans="1:11" x14ac:dyDescent="0.25" outlineLevel="1" collapsed="1">
      <c r="A396" s="443" t="s">
        <v>308</v>
      </c>
      <c r="B396" s="349" t="s">
        <v>1888</v>
      </c>
      <c r="C396" s="293" t="s">
        <v>61</v>
      </c>
      <c r="D396" s="293" t="s">
        <v>1456</v>
      </c>
      <c r="E396" s="228"/>
      <c r="F396" s="445"/>
      <c r="G396" s="445"/>
      <c r="H396" s="446">
        <f t="shared" si="33"/>
        <v>58980.666</v>
      </c>
      <c r="I396" s="228"/>
      <c r="J396" s="228"/>
      <c r="K396" s="447"/>
    </row>
    <row r="397" ht="14.5" customHeight="1" spans="1:11" x14ac:dyDescent="0.25" outlineLevel="1" collapsed="1">
      <c r="A397" s="443" t="s">
        <v>310</v>
      </c>
      <c r="B397" s="349" t="s">
        <v>1889</v>
      </c>
      <c r="C397" s="293" t="s">
        <v>61</v>
      </c>
      <c r="D397" s="293" t="s">
        <v>1890</v>
      </c>
      <c r="E397" s="470"/>
      <c r="F397" s="470"/>
      <c r="G397" s="470"/>
      <c r="H397" s="446">
        <f t="shared" si="33"/>
        <v>470559.33068924164</v>
      </c>
      <c r="I397" s="470"/>
      <c r="J397" s="471"/>
      <c r="K397" s="447"/>
    </row>
    <row r="398" ht="14.5" customHeight="1" spans="1:11" x14ac:dyDescent="0.25" outlineLevel="1" collapsed="1">
      <c r="A398" s="443" t="s">
        <v>312</v>
      </c>
      <c r="B398" s="349" t="s">
        <v>1891</v>
      </c>
      <c r="C398" s="293" t="s">
        <v>61</v>
      </c>
      <c r="D398" s="293" t="s">
        <v>1750</v>
      </c>
      <c r="E398" s="470"/>
      <c r="F398" s="470"/>
      <c r="G398" s="470"/>
      <c r="H398" s="446">
        <f t="shared" si="33"/>
        <v>324.291</v>
      </c>
      <c r="I398" s="470"/>
      <c r="J398" s="471"/>
      <c r="K398" s="447"/>
    </row>
    <row r="399" spans="1:11" x14ac:dyDescent="0.25" outlineLevel="1" collapsed="1">
      <c r="A399" s="443"/>
      <c r="B399" s="349"/>
      <c r="C399" s="293"/>
      <c r="D399" s="293"/>
      <c r="E399" s="473"/>
      <c r="F399" s="473"/>
      <c r="G399" s="473"/>
      <c r="H399" s="474"/>
      <c r="I399" s="473"/>
      <c r="J399" s="473"/>
      <c r="K399" s="447"/>
    </row>
    <row r="400" spans="1:11" x14ac:dyDescent="0.25" outlineLevel="1" collapsed="1">
      <c r="A400" s="437" t="s">
        <v>331</v>
      </c>
      <c r="B400" s="438" t="s">
        <v>332</v>
      </c>
      <c r="C400" s="439"/>
      <c r="D400" s="440"/>
      <c r="E400" s="442"/>
      <c r="F400" s="442"/>
      <c r="G400" s="442"/>
      <c r="H400" s="441"/>
      <c r="I400" s="442"/>
      <c r="J400" s="442"/>
      <c r="K400" s="442"/>
    </row>
    <row r="401" ht="14.5" customHeight="1" spans="1:11" x14ac:dyDescent="0.25" outlineLevel="1" collapsed="1">
      <c r="A401" s="443" t="s">
        <v>306</v>
      </c>
      <c r="B401" s="349" t="s">
        <v>1887</v>
      </c>
      <c r="C401" s="293" t="s">
        <v>61</v>
      </c>
      <c r="D401" s="293" t="s">
        <v>1456</v>
      </c>
      <c r="E401" s="228"/>
      <c r="F401" s="445"/>
      <c r="G401" s="445"/>
      <c r="H401" s="446">
        <f t="shared" ref="H401:H404" si="34">IF(K$9=1,E401,IF(K$9=2,(E401+F401)/2,(E401+F401+G401)/3))</f>
        <v>144000</v>
      </c>
      <c r="I401" s="228"/>
      <c r="J401" s="228"/>
      <c r="K401" s="515"/>
    </row>
    <row r="402" ht="14.5" customHeight="1" spans="1:11" x14ac:dyDescent="0.25" outlineLevel="1" collapsed="1">
      <c r="A402" s="443" t="s">
        <v>308</v>
      </c>
      <c r="B402" s="349" t="s">
        <v>1888</v>
      </c>
      <c r="C402" s="293" t="s">
        <v>61</v>
      </c>
      <c r="D402" s="293" t="s">
        <v>1456</v>
      </c>
      <c r="E402" s="228"/>
      <c r="F402" s="445"/>
      <c r="G402" s="445"/>
      <c r="H402" s="446">
        <f t="shared" si="34"/>
        <v>210775.162</v>
      </c>
      <c r="I402" s="228"/>
      <c r="J402" s="228"/>
      <c r="K402" s="447"/>
    </row>
    <row r="403" ht="14.5" customHeight="1" spans="1:11" x14ac:dyDescent="0.25" outlineLevel="1" collapsed="1">
      <c r="A403" s="443" t="s">
        <v>310</v>
      </c>
      <c r="B403" s="349" t="s">
        <v>1892</v>
      </c>
      <c r="C403" s="293" t="s">
        <v>61</v>
      </c>
      <c r="D403" s="293" t="s">
        <v>1890</v>
      </c>
      <c r="E403" s="470"/>
      <c r="F403" s="470"/>
      <c r="G403" s="470"/>
      <c r="H403" s="446">
        <f t="shared" si="34"/>
        <v>54588.333465374126</v>
      </c>
      <c r="I403" s="470"/>
      <c r="J403" s="471"/>
      <c r="K403" s="447"/>
    </row>
    <row r="404" ht="14.5" customHeight="1" spans="1:11" x14ac:dyDescent="0.25" outlineLevel="1" collapsed="1">
      <c r="A404" s="443" t="s">
        <v>312</v>
      </c>
      <c r="B404" s="349" t="s">
        <v>1893</v>
      </c>
      <c r="C404" s="293" t="s">
        <v>61</v>
      </c>
      <c r="D404" s="293" t="s">
        <v>1750</v>
      </c>
      <c r="E404" s="470"/>
      <c r="F404" s="470"/>
      <c r="G404" s="470"/>
      <c r="H404" s="446">
        <f t="shared" si="34"/>
        <v>16.972967621298757</v>
      </c>
      <c r="I404" s="470"/>
      <c r="J404" s="471"/>
      <c r="K404" s="447"/>
    </row>
    <row r="405" spans="1:11" x14ac:dyDescent="0.25" outlineLevel="1" collapsed="1">
      <c r="A405" s="443"/>
      <c r="B405" s="349"/>
      <c r="C405" s="293"/>
      <c r="D405" s="293"/>
      <c r="E405" s="473"/>
      <c r="F405" s="473"/>
      <c r="G405" s="473"/>
      <c r="H405" s="474"/>
      <c r="I405" s="473"/>
      <c r="J405" s="473"/>
      <c r="K405" s="447"/>
    </row>
    <row r="406" spans="1:11" x14ac:dyDescent="0.25" outlineLevel="1" collapsed="1">
      <c r="A406" s="437" t="s">
        <v>337</v>
      </c>
      <c r="B406" s="438" t="s">
        <v>338</v>
      </c>
      <c r="C406" s="439"/>
      <c r="D406" s="440"/>
      <c r="E406" s="442"/>
      <c r="F406" s="442"/>
      <c r="G406" s="442"/>
      <c r="H406" s="441"/>
      <c r="I406" s="442"/>
      <c r="J406" s="442"/>
      <c r="K406" s="442"/>
    </row>
    <row r="407" ht="14.5" customHeight="1" spans="1:11" x14ac:dyDescent="0.25" outlineLevel="1" collapsed="1">
      <c r="A407" s="443" t="s">
        <v>306</v>
      </c>
      <c r="B407" s="349" t="s">
        <v>1887</v>
      </c>
      <c r="C407" s="293" t="s">
        <v>61</v>
      </c>
      <c r="D407" s="293" t="s">
        <v>1456</v>
      </c>
      <c r="E407" s="228"/>
      <c r="F407" s="445"/>
      <c r="G407" s="445"/>
      <c r="H407" s="446">
        <f t="shared" ref="H407:H410" si="35">IF(K$9=1,E407,IF(K$9=2,(E407+F407)/2,(E407+F407+G407)/3))</f>
        <v>0</v>
      </c>
      <c r="I407" s="228"/>
      <c r="J407" s="228"/>
      <c r="K407" s="515"/>
    </row>
    <row r="408" ht="14.5" customHeight="1" spans="1:11" x14ac:dyDescent="0.25" outlineLevel="1" collapsed="1">
      <c r="A408" s="443" t="s">
        <v>308</v>
      </c>
      <c r="B408" s="349" t="s">
        <v>1888</v>
      </c>
      <c r="C408" s="293" t="s">
        <v>61</v>
      </c>
      <c r="D408" s="293" t="s">
        <v>1456</v>
      </c>
      <c r="E408" s="228"/>
      <c r="F408" s="445"/>
      <c r="G408" s="445"/>
      <c r="H408" s="446">
        <f t="shared" si="35"/>
        <v>0</v>
      </c>
      <c r="I408" s="228"/>
      <c r="J408" s="228"/>
      <c r="K408" s="447"/>
    </row>
    <row r="409" ht="14.5" customHeight="1" spans="1:11" x14ac:dyDescent="0.25" outlineLevel="1" collapsed="1">
      <c r="A409" s="443" t="s">
        <v>310</v>
      </c>
      <c r="B409" s="349" t="s">
        <v>1894</v>
      </c>
      <c r="C409" s="293" t="s">
        <v>61</v>
      </c>
      <c r="D409" s="293" t="s">
        <v>1890</v>
      </c>
      <c r="E409" s="470"/>
      <c r="F409" s="470"/>
      <c r="G409" s="470"/>
      <c r="H409" s="446">
        <f t="shared" si="35"/>
        <v>0</v>
      </c>
      <c r="I409" s="470"/>
      <c r="J409" s="471"/>
      <c r="K409" s="447"/>
    </row>
    <row r="410" ht="14.5" customHeight="1" spans="1:11" x14ac:dyDescent="0.25" outlineLevel="1" collapsed="1">
      <c r="A410" s="443" t="s">
        <v>312</v>
      </c>
      <c r="B410" s="349" t="s">
        <v>1895</v>
      </c>
      <c r="C410" s="293" t="s">
        <v>61</v>
      </c>
      <c r="D410" s="293" t="s">
        <v>1750</v>
      </c>
      <c r="E410" s="470"/>
      <c r="F410" s="470"/>
      <c r="G410" s="470"/>
      <c r="H410" s="446">
        <f t="shared" si="35"/>
        <v>0</v>
      </c>
      <c r="I410" s="470"/>
      <c r="J410" s="471"/>
      <c r="K410" s="447"/>
    </row>
    <row r="411" spans="1:11" x14ac:dyDescent="0.25" outlineLevel="1" collapsed="1">
      <c r="A411" s="443"/>
      <c r="B411" s="349"/>
      <c r="C411" s="293"/>
      <c r="D411" s="293"/>
      <c r="E411" s="473"/>
      <c r="F411" s="473"/>
      <c r="G411" s="473"/>
      <c r="H411" s="474"/>
      <c r="I411" s="473"/>
      <c r="J411" s="473"/>
      <c r="K411" s="447"/>
    </row>
    <row r="412" spans="1:11" x14ac:dyDescent="0.25" outlineLevel="1" collapsed="1">
      <c r="A412" s="437" t="s">
        <v>343</v>
      </c>
      <c r="B412" s="438" t="s">
        <v>344</v>
      </c>
      <c r="C412" s="439"/>
      <c r="D412" s="440"/>
      <c r="E412" s="442"/>
      <c r="F412" s="442"/>
      <c r="G412" s="442"/>
      <c r="H412" s="441"/>
      <c r="I412" s="442"/>
      <c r="J412" s="442"/>
      <c r="K412" s="442"/>
    </row>
    <row r="413" ht="14.5" customHeight="1" spans="1:11" x14ac:dyDescent="0.25" outlineLevel="1" collapsed="1">
      <c r="A413" s="443" t="s">
        <v>306</v>
      </c>
      <c r="B413" s="349" t="s">
        <v>1887</v>
      </c>
      <c r="C413" s="293" t="s">
        <v>61</v>
      </c>
      <c r="D413" s="293" t="s">
        <v>1456</v>
      </c>
      <c r="E413" s="228"/>
      <c r="F413" s="445"/>
      <c r="G413" s="445"/>
      <c r="H413" s="446">
        <f t="shared" ref="H413:H416" si="36">IF(K$9=1,E413,IF(K$9=2,(E413+F413)/2,(E413+F413+G413)/3))</f>
        <v>0</v>
      </c>
      <c r="I413" s="228"/>
      <c r="J413" s="228"/>
      <c r="K413" s="515"/>
    </row>
    <row r="414" ht="14.5" customHeight="1" spans="1:11" x14ac:dyDescent="0.25" outlineLevel="1" collapsed="1">
      <c r="A414" s="443" t="s">
        <v>308</v>
      </c>
      <c r="B414" s="349" t="s">
        <v>1888</v>
      </c>
      <c r="C414" s="293" t="s">
        <v>61</v>
      </c>
      <c r="D414" s="293" t="s">
        <v>1456</v>
      </c>
      <c r="E414" s="228"/>
      <c r="F414" s="445"/>
      <c r="G414" s="445"/>
      <c r="H414" s="446">
        <f t="shared" si="36"/>
        <v>0</v>
      </c>
      <c r="I414" s="228"/>
      <c r="J414" s="228"/>
      <c r="K414" s="447"/>
    </row>
    <row r="415" ht="14.5" customHeight="1" spans="1:11" x14ac:dyDescent="0.25" outlineLevel="1" collapsed="1">
      <c r="A415" s="443" t="s">
        <v>310</v>
      </c>
      <c r="B415" s="349" t="s">
        <v>1896</v>
      </c>
      <c r="C415" s="293" t="s">
        <v>61</v>
      </c>
      <c r="D415" s="293" t="s">
        <v>1890</v>
      </c>
      <c r="E415" s="470"/>
      <c r="F415" s="470"/>
      <c r="G415" s="470"/>
      <c r="H415" s="446">
        <f t="shared" si="36"/>
        <v>0</v>
      </c>
      <c r="I415" s="470"/>
      <c r="J415" s="471"/>
      <c r="K415" s="447"/>
    </row>
    <row r="416" ht="14.5" customHeight="1" spans="1:11" x14ac:dyDescent="0.25" outlineLevel="1" collapsed="1">
      <c r="A416" s="443" t="s">
        <v>312</v>
      </c>
      <c r="B416" s="349" t="s">
        <v>1897</v>
      </c>
      <c r="C416" s="293" t="s">
        <v>61</v>
      </c>
      <c r="D416" s="293" t="s">
        <v>1750</v>
      </c>
      <c r="E416" s="470"/>
      <c r="F416" s="470"/>
      <c r="G416" s="470"/>
      <c r="H416" s="446">
        <f t="shared" si="36"/>
        <v>0</v>
      </c>
      <c r="I416" s="470"/>
      <c r="J416" s="471"/>
      <c r="K416" s="447"/>
    </row>
    <row r="417" spans="1:11" x14ac:dyDescent="0.25" outlineLevel="1" collapsed="1">
      <c r="A417" s="443"/>
      <c r="B417" s="349"/>
      <c r="C417" s="293"/>
      <c r="D417" s="293"/>
      <c r="E417" s="473"/>
      <c r="F417" s="473"/>
      <c r="G417" s="473"/>
      <c r="H417" s="474"/>
      <c r="I417" s="473"/>
      <c r="J417" s="473"/>
      <c r="K417" s="447"/>
    </row>
    <row r="418" spans="1:11" x14ac:dyDescent="0.25" outlineLevel="1" collapsed="1">
      <c r="A418" s="437" t="s">
        <v>349</v>
      </c>
      <c r="B418" s="438" t="s">
        <v>350</v>
      </c>
      <c r="C418" s="439"/>
      <c r="D418" s="440"/>
      <c r="E418" s="442"/>
      <c r="F418" s="442"/>
      <c r="G418" s="442"/>
      <c r="H418" s="441"/>
      <c r="I418" s="442"/>
      <c r="J418" s="442"/>
      <c r="K418" s="442"/>
    </row>
    <row r="419" ht="14.5" customHeight="1" spans="1:11" x14ac:dyDescent="0.25" outlineLevel="1" collapsed="1">
      <c r="A419" s="443" t="s">
        <v>306</v>
      </c>
      <c r="B419" s="349" t="s">
        <v>1887</v>
      </c>
      <c r="C419" s="293" t="s">
        <v>61</v>
      </c>
      <c r="D419" s="293" t="s">
        <v>1456</v>
      </c>
      <c r="E419" s="228"/>
      <c r="F419" s="445"/>
      <c r="G419" s="445"/>
      <c r="H419" s="446">
        <f t="shared" ref="H419:H422" si="37">IF(K$9=1,E419,IF(K$9=2,(E419+F419)/2,(E419+F419+G419)/3))</f>
        <v>56400</v>
      </c>
      <c r="I419" s="228"/>
      <c r="J419" s="228"/>
      <c r="K419" s="515"/>
    </row>
    <row r="420" ht="14.5" customHeight="1" spans="1:11" x14ac:dyDescent="0.25" outlineLevel="1" collapsed="1">
      <c r="A420" s="443" t="s">
        <v>308</v>
      </c>
      <c r="B420" s="349" t="s">
        <v>1888</v>
      </c>
      <c r="C420" s="293" t="s">
        <v>61</v>
      </c>
      <c r="D420" s="293" t="s">
        <v>1456</v>
      </c>
      <c r="E420" s="228"/>
      <c r="F420" s="445"/>
      <c r="G420" s="445"/>
      <c r="H420" s="446">
        <f t="shared" si="37"/>
        <v>55481.148</v>
      </c>
      <c r="I420" s="228"/>
      <c r="J420" s="228"/>
      <c r="K420" s="447"/>
    </row>
    <row r="421" ht="14.5" customHeight="1" spans="1:11" x14ac:dyDescent="0.25" outlineLevel="1" collapsed="1">
      <c r="A421" s="443" t="s">
        <v>310</v>
      </c>
      <c r="B421" s="349" t="s">
        <v>1898</v>
      </c>
      <c r="C421" s="293" t="s">
        <v>61</v>
      </c>
      <c r="D421" s="293" t="s">
        <v>1890</v>
      </c>
      <c r="E421" s="470"/>
      <c r="F421" s="470"/>
      <c r="G421" s="470"/>
      <c r="H421" s="446">
        <f t="shared" si="37"/>
        <v>319669.9653373696</v>
      </c>
      <c r="I421" s="470"/>
      <c r="J421" s="471"/>
      <c r="K421" s="447"/>
    </row>
    <row r="422" ht="14.5" customHeight="1" spans="1:11" x14ac:dyDescent="0.25" outlineLevel="1" collapsed="1">
      <c r="A422" s="443" t="s">
        <v>312</v>
      </c>
      <c r="B422" s="349" t="s">
        <v>1899</v>
      </c>
      <c r="C422" s="293" t="s">
        <v>61</v>
      </c>
      <c r="D422" s="293" t="s">
        <v>1750</v>
      </c>
      <c r="E422" s="470"/>
      <c r="F422" s="470"/>
      <c r="G422" s="470"/>
      <c r="H422" s="446">
        <f t="shared" si="37"/>
        <v>54.06675615291883</v>
      </c>
      <c r="I422" s="470"/>
      <c r="J422" s="471"/>
      <c r="K422" s="447"/>
    </row>
    <row r="423" spans="1:11" x14ac:dyDescent="0.25" outlineLevel="1" collapsed="1">
      <c r="A423" s="443"/>
      <c r="B423" s="349"/>
      <c r="C423" s="293"/>
      <c r="D423" s="293"/>
      <c r="E423" s="473"/>
      <c r="F423" s="473"/>
      <c r="G423" s="473"/>
      <c r="H423" s="474"/>
      <c r="I423" s="473"/>
      <c r="J423" s="473"/>
      <c r="K423" s="447"/>
    </row>
    <row r="424" spans="1:11" x14ac:dyDescent="0.25" outlineLevel="1" collapsed="1">
      <c r="A424" s="437" t="s">
        <v>355</v>
      </c>
      <c r="B424" s="438" t="s">
        <v>356</v>
      </c>
      <c r="C424" s="439"/>
      <c r="D424" s="440"/>
      <c r="E424" s="442"/>
      <c r="F424" s="442"/>
      <c r="G424" s="442"/>
      <c r="H424" s="441"/>
      <c r="I424" s="442"/>
      <c r="J424" s="442"/>
      <c r="K424" s="442"/>
    </row>
    <row r="425" ht="14.5" customHeight="1" spans="1:11" x14ac:dyDescent="0.25" outlineLevel="1" collapsed="1">
      <c r="A425" s="443" t="s">
        <v>306</v>
      </c>
      <c r="B425" s="349" t="s">
        <v>1887</v>
      </c>
      <c r="C425" s="293" t="s">
        <v>61</v>
      </c>
      <c r="D425" s="293" t="s">
        <v>1456</v>
      </c>
      <c r="E425" s="228"/>
      <c r="F425" s="445"/>
      <c r="G425" s="445"/>
      <c r="H425" s="446">
        <f t="shared" ref="H425:H428" si="38">IF(K$9=1,E425,IF(K$9=2,(E425+F425)/2,(E425+F425+G425)/3))</f>
        <v>80000</v>
      </c>
      <c r="I425" s="228"/>
      <c r="J425" s="228"/>
      <c r="K425" s="515"/>
    </row>
    <row r="426" ht="14.5" customHeight="1" spans="1:11" x14ac:dyDescent="0.25" outlineLevel="1" collapsed="1">
      <c r="A426" s="443" t="s">
        <v>308</v>
      </c>
      <c r="B426" s="349" t="s">
        <v>1888</v>
      </c>
      <c r="C426" s="293" t="s">
        <v>61</v>
      </c>
      <c r="D426" s="293" t="s">
        <v>1456</v>
      </c>
      <c r="E426" s="228"/>
      <c r="F426" s="445"/>
      <c r="G426" s="445"/>
      <c r="H426" s="446">
        <f t="shared" si="38"/>
        <v>76567.049</v>
      </c>
      <c r="I426" s="228"/>
      <c r="J426" s="228"/>
      <c r="K426" s="447"/>
    </row>
    <row r="427" ht="14.5" customHeight="1" spans="1:11" x14ac:dyDescent="0.25" outlineLevel="1" collapsed="1">
      <c r="A427" s="443" t="s">
        <v>310</v>
      </c>
      <c r="B427" s="349" t="s">
        <v>1900</v>
      </c>
      <c r="C427" s="293" t="s">
        <v>61</v>
      </c>
      <c r="D427" s="293" t="s">
        <v>1890</v>
      </c>
      <c r="E427" s="470"/>
      <c r="F427" s="470"/>
      <c r="G427" s="470"/>
      <c r="H427" s="446">
        <f t="shared" si="38"/>
        <v>702630.7531165767</v>
      </c>
      <c r="I427" s="470"/>
      <c r="J427" s="471"/>
      <c r="K427" s="447"/>
    </row>
    <row r="428" ht="14.5" customHeight="1" spans="1:11" x14ac:dyDescent="0.25" outlineLevel="1" collapsed="1">
      <c r="A428" s="443" t="s">
        <v>312</v>
      </c>
      <c r="B428" s="349" t="s">
        <v>1901</v>
      </c>
      <c r="C428" s="293" t="s">
        <v>61</v>
      </c>
      <c r="D428" s="293" t="s">
        <v>1750</v>
      </c>
      <c r="E428" s="470"/>
      <c r="F428" s="470"/>
      <c r="G428" s="470"/>
      <c r="H428" s="446">
        <f t="shared" si="38"/>
        <v>1244.1051921112305</v>
      </c>
      <c r="I428" s="470"/>
      <c r="J428" s="471"/>
      <c r="K428" s="447"/>
    </row>
    <row r="429" spans="1:11" x14ac:dyDescent="0.25" outlineLevel="1" collapsed="1">
      <c r="A429" s="443"/>
      <c r="B429" s="349"/>
      <c r="C429" s="293"/>
      <c r="D429" s="293"/>
      <c r="E429" s="473"/>
      <c r="F429" s="473"/>
      <c r="G429" s="473"/>
      <c r="H429" s="474"/>
      <c r="I429" s="473"/>
      <c r="J429" s="473"/>
      <c r="K429" s="447"/>
    </row>
    <row r="430" spans="1:11" x14ac:dyDescent="0.25" outlineLevel="1" collapsed="1">
      <c r="A430" s="437" t="s">
        <v>361</v>
      </c>
      <c r="B430" s="438" t="s">
        <v>362</v>
      </c>
      <c r="C430" s="439"/>
      <c r="D430" s="440"/>
      <c r="E430" s="442"/>
      <c r="F430" s="442"/>
      <c r="G430" s="442"/>
      <c r="H430" s="441"/>
      <c r="I430" s="442"/>
      <c r="J430" s="442"/>
      <c r="K430" s="442"/>
    </row>
    <row r="431" ht="14.5" customHeight="1" spans="1:11" x14ac:dyDescent="0.25" outlineLevel="1" collapsed="1">
      <c r="A431" s="443" t="s">
        <v>306</v>
      </c>
      <c r="B431" s="349" t="s">
        <v>1811</v>
      </c>
      <c r="C431" s="293" t="s">
        <v>61</v>
      </c>
      <c r="D431" s="293" t="s">
        <v>1812</v>
      </c>
      <c r="E431" s="475"/>
      <c r="F431" s="475"/>
      <c r="G431" s="475"/>
      <c r="H431" s="476"/>
      <c r="I431" s="475"/>
      <c r="J431" s="477"/>
      <c r="K431" s="447"/>
    </row>
    <row r="432" ht="14.5" customHeight="1" spans="1:11" x14ac:dyDescent="0.25" outlineLevel="1" collapsed="1">
      <c r="A432" s="443" t="s">
        <v>308</v>
      </c>
      <c r="B432" s="349" t="s">
        <v>1887</v>
      </c>
      <c r="C432" s="293" t="s">
        <v>61</v>
      </c>
      <c r="D432" s="293" t="s">
        <v>1456</v>
      </c>
      <c r="E432" s="228"/>
      <c r="F432" s="445"/>
      <c r="G432" s="445"/>
      <c r="H432" s="446">
        <f t="shared" ref="H432:H435" si="39">IF(K$9=1,E432,IF(K$9=2,(E432+F432)/2,(E432+F432+G432)/3))</f>
        <v>23000</v>
      </c>
      <c r="I432" s="228"/>
      <c r="J432" s="228"/>
      <c r="K432" s="515"/>
    </row>
    <row r="433" ht="14.5" customHeight="1" spans="1:11" x14ac:dyDescent="0.25" outlineLevel="1" collapsed="1">
      <c r="A433" s="443" t="s">
        <v>310</v>
      </c>
      <c r="B433" s="349" t="s">
        <v>1888</v>
      </c>
      <c r="C433" s="293" t="s">
        <v>61</v>
      </c>
      <c r="D433" s="293" t="s">
        <v>1456</v>
      </c>
      <c r="E433" s="228"/>
      <c r="F433" s="445"/>
      <c r="G433" s="445"/>
      <c r="H433" s="446">
        <f t="shared" si="39"/>
        <v>42078.393</v>
      </c>
      <c r="I433" s="228"/>
      <c r="J433" s="228"/>
      <c r="K433" s="447"/>
    </row>
    <row r="434" ht="14.5" customHeight="1" spans="1:11" x14ac:dyDescent="0.25" outlineLevel="1" collapsed="1">
      <c r="A434" s="443" t="s">
        <v>312</v>
      </c>
      <c r="B434" s="349" t="s">
        <v>1902</v>
      </c>
      <c r="C434" s="293" t="s">
        <v>61</v>
      </c>
      <c r="D434" s="293" t="s">
        <v>1890</v>
      </c>
      <c r="E434" s="470"/>
      <c r="F434" s="470"/>
      <c r="G434" s="470"/>
      <c r="H434" s="446">
        <f t="shared" si="39"/>
        <v>0</v>
      </c>
      <c r="I434" s="470"/>
      <c r="J434" s="471"/>
      <c r="K434" s="447"/>
    </row>
    <row r="435" ht="14.5" customHeight="1" spans="1:11" x14ac:dyDescent="0.25" outlineLevel="1" collapsed="1">
      <c r="A435" s="443" t="s">
        <v>314</v>
      </c>
      <c r="B435" s="349" t="s">
        <v>1803</v>
      </c>
      <c r="C435" s="293" t="s">
        <v>61</v>
      </c>
      <c r="D435" s="293" t="s">
        <v>1750</v>
      </c>
      <c r="E435" s="470"/>
      <c r="F435" s="470"/>
      <c r="G435" s="470"/>
      <c r="H435" s="446">
        <f t="shared" si="39"/>
        <v>1048.1057290017943</v>
      </c>
      <c r="I435" s="470"/>
      <c r="J435" s="471"/>
      <c r="K435" s="447"/>
    </row>
    <row r="436" spans="1:11" x14ac:dyDescent="0.25" outlineLevel="1" collapsed="1">
      <c r="A436" s="443"/>
      <c r="B436" s="349"/>
      <c r="C436" s="293"/>
      <c r="D436" s="293"/>
      <c r="E436" s="517"/>
      <c r="F436" s="517"/>
      <c r="G436" s="517"/>
      <c r="H436" s="414"/>
      <c r="I436" s="517"/>
      <c r="J436" s="517"/>
      <c r="K436" s="447"/>
    </row>
    <row r="437" spans="1:11" x14ac:dyDescent="0.25" outlineLevel="1" collapsed="1">
      <c r="A437" s="437" t="s">
        <v>367</v>
      </c>
      <c r="B437" s="438" t="s">
        <v>368</v>
      </c>
      <c r="C437" s="439"/>
      <c r="D437" s="440"/>
      <c r="E437" s="442"/>
      <c r="F437" s="442"/>
      <c r="G437" s="442"/>
      <c r="H437" s="441"/>
      <c r="I437" s="442"/>
      <c r="J437" s="487"/>
      <c r="K437" s="495"/>
    </row>
    <row r="438" ht="14.5" customHeight="1" spans="1:11" x14ac:dyDescent="0.25" outlineLevel="1" collapsed="1">
      <c r="A438" s="443" t="s">
        <v>306</v>
      </c>
      <c r="B438" s="349" t="s">
        <v>1903</v>
      </c>
      <c r="C438" s="293" t="s">
        <v>61</v>
      </c>
      <c r="D438" s="293" t="s">
        <v>1456</v>
      </c>
      <c r="E438" s="228"/>
      <c r="F438" s="445"/>
      <c r="G438" s="445"/>
      <c r="H438" s="446">
        <f t="shared" ref="H438:H441" si="40">IF(K$9=1,E438,IF(K$9=2,(E438+F438)/2,(E438+F438+G438)/3))</f>
        <v>0</v>
      </c>
      <c r="I438" s="228"/>
      <c r="J438" s="228"/>
      <c r="K438" s="447"/>
    </row>
    <row r="439" ht="14.5" customHeight="1" spans="1:11" x14ac:dyDescent="0.25" outlineLevel="1" collapsed="1">
      <c r="A439" s="443" t="s">
        <v>308</v>
      </c>
      <c r="B439" s="349" t="s">
        <v>1904</v>
      </c>
      <c r="C439" s="293" t="s">
        <v>61</v>
      </c>
      <c r="D439" s="293" t="s">
        <v>1456</v>
      </c>
      <c r="E439" s="228"/>
      <c r="F439" s="445"/>
      <c r="G439" s="445"/>
      <c r="H439" s="446">
        <f t="shared" si="40"/>
        <v>0</v>
      </c>
      <c r="I439" s="228"/>
      <c r="J439" s="228"/>
      <c r="K439" s="515"/>
    </row>
    <row r="440" ht="14.5" customHeight="1" spans="1:11" x14ac:dyDescent="0.25" outlineLevel="1" collapsed="1">
      <c r="A440" s="443" t="s">
        <v>310</v>
      </c>
      <c r="B440" s="349" t="s">
        <v>1905</v>
      </c>
      <c r="C440" s="293" t="s">
        <v>61</v>
      </c>
      <c r="D440" s="293" t="s">
        <v>1456</v>
      </c>
      <c r="E440" s="228"/>
      <c r="F440" s="445"/>
      <c r="G440" s="445"/>
      <c r="H440" s="446">
        <f t="shared" si="40"/>
        <v>0</v>
      </c>
      <c r="I440" s="228"/>
      <c r="J440" s="228"/>
      <c r="K440" s="447"/>
    </row>
    <row r="441" ht="14.5" customHeight="1" spans="1:11" x14ac:dyDescent="0.25" outlineLevel="1" collapsed="1">
      <c r="A441" s="443" t="s">
        <v>312</v>
      </c>
      <c r="B441" s="349" t="s">
        <v>1906</v>
      </c>
      <c r="C441" s="293" t="s">
        <v>61</v>
      </c>
      <c r="D441" s="293" t="s">
        <v>1493</v>
      </c>
      <c r="E441" s="470"/>
      <c r="F441" s="470"/>
      <c r="G441" s="470"/>
      <c r="H441" s="446">
        <f t="shared" si="40"/>
        <v>0</v>
      </c>
      <c r="I441" s="470"/>
      <c r="J441" s="471"/>
      <c r="K441" s="447"/>
    </row>
    <row r="442" spans="1:11" x14ac:dyDescent="0.25">
      <c r="A442" s="443"/>
      <c r="B442" s="349"/>
      <c r="C442" s="293"/>
      <c r="D442" s="293"/>
      <c r="E442" s="443"/>
      <c r="F442" s="443"/>
      <c r="G442" s="443"/>
      <c r="H442" s="474"/>
      <c r="I442" s="443"/>
      <c r="J442" s="473"/>
      <c r="K442" s="447"/>
    </row>
    <row r="443" spans="1:11" x14ac:dyDescent="0.25">
      <c r="A443" s="437" t="s">
        <v>1326</v>
      </c>
      <c r="B443" s="438" t="s">
        <v>374</v>
      </c>
      <c r="C443" s="439"/>
      <c r="D443" s="440"/>
      <c r="E443" s="440"/>
      <c r="F443" s="440"/>
      <c r="G443" s="440"/>
      <c r="H443" s="441"/>
      <c r="I443" s="440"/>
      <c r="J443" s="442"/>
      <c r="K443" s="442"/>
    </row>
    <row r="444" spans="1:11" x14ac:dyDescent="0.25">
      <c r="A444" s="440" t="s">
        <v>1907</v>
      </c>
      <c r="B444" s="521" t="s">
        <v>1908</v>
      </c>
      <c r="C444" s="439"/>
      <c r="D444" s="440"/>
      <c r="E444" s="440"/>
      <c r="F444" s="440"/>
      <c r="G444" s="440"/>
      <c r="H444" s="440"/>
      <c r="I444" s="440"/>
      <c r="J444" s="442"/>
      <c r="K444" s="442"/>
    </row>
    <row r="445" spans="1:11" x14ac:dyDescent="0.25">
      <c r="A445" s="522" t="s">
        <v>1909</v>
      </c>
      <c r="B445" s="523" t="s">
        <v>1910</v>
      </c>
      <c r="C445" s="524"/>
      <c r="D445" s="525"/>
      <c r="E445" s="525"/>
      <c r="F445" s="525"/>
      <c r="G445" s="525"/>
      <c r="H445" s="525"/>
      <c r="I445" s="525"/>
      <c r="J445" s="526"/>
      <c r="K445" s="527"/>
    </row>
    <row r="446" ht="14.5" customHeight="1" spans="1:11" x14ac:dyDescent="0.25" outlineLevel="1" collapsed="1">
      <c r="A446" s="528" t="s">
        <v>306</v>
      </c>
      <c r="B446" s="516" t="s">
        <v>1911</v>
      </c>
      <c r="C446" s="529"/>
      <c r="D446" s="530"/>
      <c r="E446" s="531"/>
      <c r="F446" s="530"/>
      <c r="G446" s="530"/>
      <c r="H446" s="532"/>
      <c r="I446" s="530"/>
      <c r="J446" s="489"/>
      <c r="K446" s="533"/>
    </row>
    <row r="447" ht="14.5" customHeight="1" spans="1:11" x14ac:dyDescent="0.25" outlineLevel="1" collapsed="1">
      <c r="A447" s="528" t="s">
        <v>308</v>
      </c>
      <c r="B447" s="516" t="s">
        <v>1836</v>
      </c>
      <c r="C447" s="293" t="s">
        <v>61</v>
      </c>
      <c r="D447" s="534" t="s">
        <v>1912</v>
      </c>
      <c r="E447" s="535"/>
      <c r="F447" s="445"/>
      <c r="G447" s="445"/>
      <c r="H447" s="446">
        <f t="shared" ref="H447:H463" si="41">IF(K$9=1,E447,IF(K$9=2,(E447+F447)/2,(E447+F447+G447)/3))</f>
        <v>80</v>
      </c>
      <c r="I447" s="536"/>
      <c r="J447" s="536"/>
      <c r="K447" s="537"/>
    </row>
    <row r="448" ht="14.5" customHeight="1" spans="1:11" x14ac:dyDescent="0.25" outlineLevel="1" collapsed="1">
      <c r="A448" s="528" t="s">
        <v>310</v>
      </c>
      <c r="B448" s="516" t="s">
        <v>1913</v>
      </c>
      <c r="C448" s="534" t="s">
        <v>61</v>
      </c>
      <c r="D448" s="534" t="s">
        <v>1456</v>
      </c>
      <c r="E448" s="535"/>
      <c r="F448" s="445"/>
      <c r="G448" s="445"/>
      <c r="H448" s="446">
        <f t="shared" si="41"/>
        <v>512394.1000000001</v>
      </c>
      <c r="I448" s="536"/>
      <c r="J448" s="536"/>
      <c r="K448" s="537"/>
    </row>
    <row r="449" ht="14.5" customHeight="1" spans="1:11" x14ac:dyDescent="0.25" outlineLevel="1" collapsed="1">
      <c r="A449" s="528" t="s">
        <v>312</v>
      </c>
      <c r="B449" s="516" t="s">
        <v>1914</v>
      </c>
      <c r="C449" s="534" t="s">
        <v>61</v>
      </c>
      <c r="D449" s="534" t="s">
        <v>1915</v>
      </c>
      <c r="E449" s="535"/>
      <c r="F449" s="445"/>
      <c r="G449" s="445"/>
      <c r="H449" s="446">
        <f t="shared" si="41"/>
        <v>6299.05</v>
      </c>
      <c r="I449" s="536"/>
      <c r="J449" s="536"/>
      <c r="K449" s="537"/>
    </row>
    <row r="450" ht="14.5" customHeight="1" spans="1:11" x14ac:dyDescent="0.25" outlineLevel="1" collapsed="1">
      <c r="A450" s="528" t="s">
        <v>314</v>
      </c>
      <c r="B450" s="516" t="s">
        <v>1916</v>
      </c>
      <c r="C450" s="534" t="s">
        <v>61</v>
      </c>
      <c r="D450" s="534" t="s">
        <v>1456</v>
      </c>
      <c r="E450" s="535"/>
      <c r="F450" s="445"/>
      <c r="G450" s="445"/>
      <c r="H450" s="446">
        <f t="shared" si="41"/>
        <v>114870.601</v>
      </c>
      <c r="I450" s="536"/>
      <c r="J450" s="536"/>
      <c r="K450" s="537"/>
    </row>
    <row r="451" ht="14.5" customHeight="1" spans="1:11" x14ac:dyDescent="0.25" outlineLevel="1" collapsed="1">
      <c r="A451" s="528" t="s">
        <v>316</v>
      </c>
      <c r="B451" s="516" t="s">
        <v>1917</v>
      </c>
      <c r="C451" s="534" t="s">
        <v>1918</v>
      </c>
      <c r="D451" s="534" t="s">
        <v>1919</v>
      </c>
      <c r="E451" s="538"/>
      <c r="F451" s="538"/>
      <c r="G451" s="538"/>
      <c r="H451" s="446">
        <f t="shared" si="41"/>
        <v>3656.597333134689</v>
      </c>
      <c r="I451" s="539"/>
      <c r="J451" s="540"/>
      <c r="K451" s="537"/>
    </row>
    <row r="452" spans="1:11" x14ac:dyDescent="0.25" outlineLevel="1" collapsed="1">
      <c r="A452" s="528" t="s">
        <v>318</v>
      </c>
      <c r="B452" s="516" t="s">
        <v>1920</v>
      </c>
      <c r="C452" s="534" t="s">
        <v>61</v>
      </c>
      <c r="D452" s="534" t="s">
        <v>1456</v>
      </c>
      <c r="E452" s="535"/>
      <c r="F452" s="535"/>
      <c r="G452" s="535"/>
      <c r="H452" s="446">
        <f t="shared" si="41"/>
        <v>0</v>
      </c>
      <c r="I452" s="536"/>
      <c r="J452" s="536"/>
      <c r="K452" s="537"/>
    </row>
    <row r="453" ht="14.5" customHeight="1" spans="1:11" x14ac:dyDescent="0.25" outlineLevel="1" collapsed="1">
      <c r="A453" s="528" t="s">
        <v>478</v>
      </c>
      <c r="B453" s="516" t="s">
        <v>1921</v>
      </c>
      <c r="C453" s="534" t="s">
        <v>1918</v>
      </c>
      <c r="D453" s="534" t="s">
        <v>1919</v>
      </c>
      <c r="E453" s="541"/>
      <c r="F453" s="541"/>
      <c r="G453" s="541"/>
      <c r="H453" s="446">
        <f t="shared" si="41"/>
        <v>0</v>
      </c>
      <c r="I453" s="539"/>
      <c r="J453" s="540"/>
      <c r="K453" s="537"/>
    </row>
    <row r="454" spans="1:11" x14ac:dyDescent="0.25" outlineLevel="1" collapsed="1">
      <c r="A454" s="528" t="s">
        <v>481</v>
      </c>
      <c r="B454" s="516" t="s">
        <v>1922</v>
      </c>
      <c r="C454" s="534" t="s">
        <v>61</v>
      </c>
      <c r="D454" s="534" t="s">
        <v>1456</v>
      </c>
      <c r="E454" s="535"/>
      <c r="F454" s="535"/>
      <c r="G454" s="535"/>
      <c r="H454" s="446">
        <f t="shared" si="41"/>
        <v>0</v>
      </c>
      <c r="I454" s="536"/>
      <c r="J454" s="536"/>
      <c r="K454" s="537"/>
    </row>
    <row r="455" ht="14.5" customHeight="1" spans="1:11" x14ac:dyDescent="0.25" outlineLevel="1" collapsed="1">
      <c r="A455" s="528" t="s">
        <v>483</v>
      </c>
      <c r="B455" s="516" t="s">
        <v>1923</v>
      </c>
      <c r="C455" s="534" t="s">
        <v>1918</v>
      </c>
      <c r="D455" s="534" t="s">
        <v>1919</v>
      </c>
      <c r="E455" s="538"/>
      <c r="F455" s="538"/>
      <c r="G455" s="538"/>
      <c r="H455" s="446">
        <f t="shared" si="41"/>
        <v>0</v>
      </c>
      <c r="I455" s="539"/>
      <c r="J455" s="540"/>
      <c r="K455" s="537"/>
    </row>
    <row r="456" spans="1:11" x14ac:dyDescent="0.25" outlineLevel="1" collapsed="1">
      <c r="A456" s="528" t="s">
        <v>485</v>
      </c>
      <c r="B456" s="516" t="s">
        <v>1924</v>
      </c>
      <c r="C456" s="534" t="s">
        <v>61</v>
      </c>
      <c r="D456" s="534" t="s">
        <v>1456</v>
      </c>
      <c r="E456" s="535"/>
      <c r="F456" s="535"/>
      <c r="G456" s="535"/>
      <c r="H456" s="446">
        <f t="shared" si="41"/>
        <v>0</v>
      </c>
      <c r="I456" s="536"/>
      <c r="J456" s="536"/>
      <c r="K456" s="537"/>
    </row>
    <row r="457" ht="14.5" customHeight="1" spans="1:11" x14ac:dyDescent="0.25" outlineLevel="1" collapsed="1">
      <c r="A457" s="528" t="s">
        <v>488</v>
      </c>
      <c r="B457" s="516" t="s">
        <v>1925</v>
      </c>
      <c r="C457" s="534" t="s">
        <v>1918</v>
      </c>
      <c r="D457" s="534" t="s">
        <v>1919</v>
      </c>
      <c r="E457" s="538"/>
      <c r="F457" s="538"/>
      <c r="G457" s="538"/>
      <c r="H457" s="446">
        <f t="shared" si="41"/>
        <v>0</v>
      </c>
      <c r="I457" s="539"/>
      <c r="J457" s="540"/>
      <c r="K457" s="537"/>
    </row>
    <row r="458" spans="1:11" x14ac:dyDescent="0.25" outlineLevel="1" collapsed="1">
      <c r="A458" s="528" t="s">
        <v>403</v>
      </c>
      <c r="B458" s="516" t="s">
        <v>1926</v>
      </c>
      <c r="C458" s="534" t="s">
        <v>61</v>
      </c>
      <c r="D458" s="534" t="s">
        <v>1927</v>
      </c>
      <c r="E458" s="535"/>
      <c r="F458" s="535"/>
      <c r="G458" s="535"/>
      <c r="H458" s="446">
        <f t="shared" si="41"/>
        <v>102.08334217875164</v>
      </c>
      <c r="I458" s="536"/>
      <c r="J458" s="536"/>
      <c r="K458" s="537"/>
    </row>
    <row r="459" ht="14.5" customHeight="1" spans="1:11" x14ac:dyDescent="0.25" outlineLevel="1" collapsed="1">
      <c r="A459" s="528" t="s">
        <v>407</v>
      </c>
      <c r="B459" s="516" t="s">
        <v>1928</v>
      </c>
      <c r="C459" s="534" t="s">
        <v>1918</v>
      </c>
      <c r="D459" s="534" t="s">
        <v>1493</v>
      </c>
      <c r="E459" s="538"/>
      <c r="F459" s="538"/>
      <c r="G459" s="538"/>
      <c r="H459" s="446">
        <f t="shared" si="41"/>
        <v>83.76005988437797</v>
      </c>
      <c r="I459" s="539"/>
      <c r="J459" s="540"/>
      <c r="K459" s="537"/>
    </row>
    <row r="460" ht="14.5" customHeight="1" spans="1:11" x14ac:dyDescent="0.25" outlineLevel="1" collapsed="1">
      <c r="A460" s="528" t="s">
        <v>410</v>
      </c>
      <c r="B460" s="516" t="s">
        <v>1929</v>
      </c>
      <c r="C460" s="534" t="s">
        <v>1918</v>
      </c>
      <c r="D460" s="534" t="s">
        <v>1930</v>
      </c>
      <c r="E460" s="538"/>
      <c r="F460" s="538"/>
      <c r="G460" s="538"/>
      <c r="H460" s="446">
        <f t="shared" si="41"/>
        <v>48.75252759391033</v>
      </c>
      <c r="I460" s="539"/>
      <c r="J460" s="540"/>
      <c r="K460" s="537"/>
    </row>
    <row r="461" spans="1:11" x14ac:dyDescent="0.25" outlineLevel="1" collapsed="1">
      <c r="A461" s="528" t="s">
        <v>413</v>
      </c>
      <c r="B461" s="516" t="s">
        <v>1931</v>
      </c>
      <c r="C461" s="534" t="s">
        <v>1918</v>
      </c>
      <c r="D461" s="534" t="s">
        <v>1927</v>
      </c>
      <c r="E461" s="535"/>
      <c r="F461" s="535"/>
      <c r="G461" s="535"/>
      <c r="H461" s="446">
        <f t="shared" si="41"/>
        <v>433.93516714251894</v>
      </c>
      <c r="I461" s="536"/>
      <c r="J461" s="536"/>
      <c r="K461" s="537"/>
    </row>
    <row r="462" ht="14.5" customHeight="1" spans="1:11" x14ac:dyDescent="0.25" outlineLevel="1" collapsed="1">
      <c r="A462" s="528" t="s">
        <v>416</v>
      </c>
      <c r="B462" s="516" t="s">
        <v>1932</v>
      </c>
      <c r="C462" s="534" t="s">
        <v>1918</v>
      </c>
      <c r="D462" s="534" t="s">
        <v>1919</v>
      </c>
      <c r="E462" s="538"/>
      <c r="F462" s="538"/>
      <c r="G462" s="538"/>
      <c r="H462" s="446">
        <f t="shared" si="41"/>
        <v>783.7018</v>
      </c>
      <c r="I462" s="539"/>
      <c r="J462" s="540"/>
      <c r="K462" s="537"/>
    </row>
    <row r="463" ht="14.5" customHeight="1" spans="1:11" x14ac:dyDescent="0.25" outlineLevel="1" collapsed="1">
      <c r="A463" s="528" t="s">
        <v>419</v>
      </c>
      <c r="B463" s="516" t="s">
        <v>1933</v>
      </c>
      <c r="C463" s="534"/>
      <c r="D463" s="534" t="s">
        <v>1493</v>
      </c>
      <c r="E463" s="538"/>
      <c r="F463" s="538"/>
      <c r="G463" s="538"/>
      <c r="H463" s="446">
        <f t="shared" si="41"/>
        <v>85</v>
      </c>
      <c r="I463" s="539"/>
      <c r="J463" s="540"/>
      <c r="K463" s="537"/>
    </row>
    <row r="464" spans="1:11" x14ac:dyDescent="0.25" outlineLevel="1" collapsed="1">
      <c r="A464" s="542" t="s">
        <v>423</v>
      </c>
      <c r="B464" s="543" t="s">
        <v>1934</v>
      </c>
      <c r="C464" s="542" t="s">
        <v>1935</v>
      </c>
      <c r="D464" s="542" t="s">
        <v>1912</v>
      </c>
      <c r="E464" s="542">
        <f t="shared" ref="E464:F464" si="42">IFERROR(E448/E449,0)</f>
        <v>81.34466308411587</v>
      </c>
      <c r="F464" s="542">
        <f t="shared" si="42"/>
        <v>0</v>
      </c>
      <c r="G464" s="542">
        <f>IFERROR(G448/G449,0)</f>
        <v>0</v>
      </c>
      <c r="H464" s="446">
        <f>IFERROR(H448/H449,0)</f>
        <v>81.34466308411587</v>
      </c>
      <c r="I464" s="542">
        <f>IFERROR(I448/I449,0)</f>
        <v>0</v>
      </c>
      <c r="J464" s="544"/>
      <c r="K464" s="545"/>
    </row>
    <row r="465" ht="42" customHeight="1" spans="1:11" x14ac:dyDescent="0.25" outlineLevel="1" collapsed="1">
      <c r="A465" s="542" t="s">
        <v>425</v>
      </c>
      <c r="B465" s="543" t="s">
        <v>1936</v>
      </c>
      <c r="C465" s="542" t="s">
        <v>1937</v>
      </c>
      <c r="D465" s="542" t="s">
        <v>1938</v>
      </c>
      <c r="E465" s="542">
        <f t="shared" ref="E465:I465" si="43">IFERROR((((E450*E451)+(E452*E453)+(E454*E455)+(E456*E457))/E448),0)</f>
        <v>819.7509168668782</v>
      </c>
      <c r="F465" s="542">
        <f t="shared" si="43"/>
        <v>0</v>
      </c>
      <c r="G465" s="542">
        <f t="shared" si="43"/>
        <v>0</v>
      </c>
      <c r="H465" s="542">
        <f t="shared" si="43"/>
        <v>819.7509168668782</v>
      </c>
      <c r="I465" s="542">
        <f t="shared" si="43"/>
        <v>0</v>
      </c>
      <c r="J465" s="544"/>
      <c r="K465" s="545"/>
    </row>
    <row r="466" ht="42" customHeight="1" spans="1:11" x14ac:dyDescent="0.25" outlineLevel="1" collapsed="1">
      <c r="A466" s="542" t="s">
        <v>427</v>
      </c>
      <c r="B466" s="543" t="s">
        <v>1939</v>
      </c>
      <c r="C466" s="542" t="s">
        <v>1940</v>
      </c>
      <c r="D466" s="542" t="s">
        <v>1493</v>
      </c>
      <c r="E466" s="542">
        <f t="shared" ref="E466:F466" si="44">IFERROR(((E450*E451)/((E450*E451)+(E452*E453)+(E454*E455)+(E456*E457))),0)</f>
        <v>1</v>
      </c>
      <c r="F466" s="542">
        <f t="shared" si="44"/>
        <v>0</v>
      </c>
      <c r="G466" s="542">
        <f>IFERROR(((G450*G451)/((G450*G451)+(G452*G453)+(G454*G455)+(G456*G457))),0)</f>
        <v>0</v>
      </c>
      <c r="H466" s="446">
        <f>IFERROR(((H450*H451)/((H450*H451)+(H452*H453)+(H454*H455)+(H456*H457))),0)</f>
        <v>1</v>
      </c>
      <c r="I466" s="542">
        <f>IFERROR(((I450*I451)/((I450*I451)+(I452*I453)+(I454*I455)+(I456*I457))),0)</f>
        <v>0</v>
      </c>
      <c r="J466" s="544"/>
      <c r="K466" s="545"/>
    </row>
    <row r="467" ht="14.5" customHeight="1" spans="1:11" x14ac:dyDescent="0.25">
      <c r="A467" s="546"/>
      <c r="B467" s="547"/>
      <c r="C467" s="548"/>
      <c r="D467" s="548"/>
      <c r="E467" s="548"/>
      <c r="F467" s="548"/>
      <c r="G467" s="549"/>
      <c r="H467" s="550"/>
      <c r="I467" s="551"/>
      <c r="J467" s="552"/>
      <c r="K467" s="553"/>
    </row>
    <row r="468" spans="1:11" x14ac:dyDescent="0.25">
      <c r="A468" s="522" t="s">
        <v>1941</v>
      </c>
      <c r="B468" s="523" t="s">
        <v>1942</v>
      </c>
      <c r="C468" s="524"/>
      <c r="D468" s="525"/>
      <c r="E468" s="525"/>
      <c r="F468" s="525"/>
      <c r="G468" s="525"/>
      <c r="H468" s="525"/>
      <c r="I468" s="525"/>
      <c r="J468" s="442"/>
      <c r="K468" s="442"/>
    </row>
    <row r="469" ht="14.5" customHeight="1" spans="1:11" x14ac:dyDescent="0.25" outlineLevel="1" collapsed="1">
      <c r="A469" s="528" t="s">
        <v>306</v>
      </c>
      <c r="B469" s="516" t="s">
        <v>1911</v>
      </c>
      <c r="C469" s="529"/>
      <c r="D469" s="530"/>
      <c r="E469" s="531"/>
      <c r="F469" s="530"/>
      <c r="G469" s="530"/>
      <c r="H469" s="532"/>
      <c r="I469" s="530"/>
      <c r="J469" s="489"/>
      <c r="K469" s="533"/>
    </row>
    <row r="470" ht="14.5" customHeight="1" spans="1:11" x14ac:dyDescent="0.25" outlineLevel="1" collapsed="1">
      <c r="A470" s="528" t="s">
        <v>308</v>
      </c>
      <c r="B470" s="516" t="s">
        <v>1836</v>
      </c>
      <c r="C470" s="293" t="s">
        <v>61</v>
      </c>
      <c r="D470" s="534" t="s">
        <v>1912</v>
      </c>
      <c r="E470" s="535"/>
      <c r="F470" s="445"/>
      <c r="G470" s="445"/>
      <c r="H470" s="446">
        <f t="shared" ref="H470:H486" si="45">IF(K$9=1,E470,IF(K$9=2,(E470+F470)/2,(E470+F470+G470)/3))</f>
        <v>80</v>
      </c>
      <c r="I470" s="536"/>
      <c r="J470" s="536"/>
      <c r="K470" s="537"/>
    </row>
    <row r="471" ht="14.5" customHeight="1" spans="1:11" x14ac:dyDescent="0.25" outlineLevel="1" collapsed="1">
      <c r="A471" s="528" t="s">
        <v>310</v>
      </c>
      <c r="B471" s="516" t="s">
        <v>1913</v>
      </c>
      <c r="C471" s="534" t="s">
        <v>61</v>
      </c>
      <c r="D471" s="534" t="s">
        <v>1456</v>
      </c>
      <c r="E471" s="535"/>
      <c r="F471" s="445"/>
      <c r="G471" s="445"/>
      <c r="H471" s="446">
        <f t="shared" si="45"/>
        <v>547819.1000000001</v>
      </c>
      <c r="I471" s="536"/>
      <c r="J471" s="536"/>
      <c r="K471" s="537"/>
    </row>
    <row r="472" ht="14.5" customHeight="1" spans="1:11" x14ac:dyDescent="0.25" outlineLevel="1" collapsed="1">
      <c r="A472" s="528" t="s">
        <v>312</v>
      </c>
      <c r="B472" s="516" t="s">
        <v>1914</v>
      </c>
      <c r="C472" s="534" t="s">
        <v>61</v>
      </c>
      <c r="D472" s="534" t="s">
        <v>1915</v>
      </c>
      <c r="E472" s="535"/>
      <c r="F472" s="445"/>
      <c r="G472" s="445"/>
      <c r="H472" s="446">
        <f t="shared" si="45"/>
        <v>7218.8166666666675</v>
      </c>
      <c r="I472" s="536"/>
      <c r="J472" s="536"/>
      <c r="K472" s="537"/>
    </row>
    <row r="473" ht="14.5" customHeight="1" spans="1:11" x14ac:dyDescent="0.25" outlineLevel="1" collapsed="1">
      <c r="A473" s="528" t="s">
        <v>314</v>
      </c>
      <c r="B473" s="516" t="s">
        <v>1916</v>
      </c>
      <c r="C473" s="534" t="s">
        <v>61</v>
      </c>
      <c r="D473" s="534" t="s">
        <v>1456</v>
      </c>
      <c r="E473" s="535"/>
      <c r="F473" s="445"/>
      <c r="G473" s="445"/>
      <c r="H473" s="446">
        <f t="shared" si="45"/>
        <v>133402.51100000003</v>
      </c>
      <c r="I473" s="536"/>
      <c r="J473" s="536"/>
      <c r="K473" s="537"/>
    </row>
    <row r="474" ht="14.5" customHeight="1" spans="1:11" x14ac:dyDescent="0.25" outlineLevel="1" collapsed="1">
      <c r="A474" s="528" t="s">
        <v>316</v>
      </c>
      <c r="B474" s="516" t="s">
        <v>1917</v>
      </c>
      <c r="C474" s="534" t="s">
        <v>1918</v>
      </c>
      <c r="D474" s="534" t="s">
        <v>1919</v>
      </c>
      <c r="E474" s="538"/>
      <c r="F474" s="538"/>
      <c r="G474" s="538"/>
      <c r="H474" s="446">
        <f t="shared" si="45"/>
        <v>3421.2679832363433</v>
      </c>
      <c r="I474" s="539"/>
      <c r="J474" s="540"/>
      <c r="K474" s="537"/>
    </row>
    <row r="475" spans="1:11" x14ac:dyDescent="0.25" outlineLevel="1" collapsed="1">
      <c r="A475" s="528" t="s">
        <v>318</v>
      </c>
      <c r="B475" s="516" t="s">
        <v>1920</v>
      </c>
      <c r="C475" s="534" t="s">
        <v>61</v>
      </c>
      <c r="D475" s="534" t="s">
        <v>1456</v>
      </c>
      <c r="E475" s="535"/>
      <c r="F475" s="535"/>
      <c r="G475" s="535"/>
      <c r="H475" s="446">
        <f t="shared" si="45"/>
        <v>0</v>
      </c>
      <c r="I475" s="536"/>
      <c r="J475" s="536"/>
      <c r="K475" s="537"/>
    </row>
    <row r="476" ht="14.5" customHeight="1" spans="1:11" x14ac:dyDescent="0.25" outlineLevel="1" collapsed="1">
      <c r="A476" s="528" t="s">
        <v>478</v>
      </c>
      <c r="B476" s="516" t="s">
        <v>1921</v>
      </c>
      <c r="C476" s="534" t="s">
        <v>1918</v>
      </c>
      <c r="D476" s="534" t="s">
        <v>1919</v>
      </c>
      <c r="E476" s="541"/>
      <c r="F476" s="541"/>
      <c r="G476" s="541"/>
      <c r="H476" s="446">
        <f t="shared" si="45"/>
        <v>0</v>
      </c>
      <c r="I476" s="539"/>
      <c r="J476" s="540"/>
      <c r="K476" s="537"/>
    </row>
    <row r="477" spans="1:11" x14ac:dyDescent="0.25" outlineLevel="1" collapsed="1">
      <c r="A477" s="528" t="s">
        <v>481</v>
      </c>
      <c r="B477" s="516" t="s">
        <v>1922</v>
      </c>
      <c r="C477" s="534" t="s">
        <v>61</v>
      </c>
      <c r="D477" s="534" t="s">
        <v>1456</v>
      </c>
      <c r="E477" s="535"/>
      <c r="F477" s="535"/>
      <c r="G477" s="535"/>
      <c r="H477" s="446">
        <f t="shared" si="45"/>
        <v>0</v>
      </c>
      <c r="I477" s="536"/>
      <c r="J477" s="536"/>
      <c r="K477" s="537"/>
    </row>
    <row r="478" ht="14.5" customHeight="1" spans="1:11" x14ac:dyDescent="0.25" outlineLevel="1" collapsed="1">
      <c r="A478" s="528" t="s">
        <v>483</v>
      </c>
      <c r="B478" s="516" t="s">
        <v>1923</v>
      </c>
      <c r="C478" s="534" t="s">
        <v>1918</v>
      </c>
      <c r="D478" s="534" t="s">
        <v>1919</v>
      </c>
      <c r="E478" s="538"/>
      <c r="F478" s="538"/>
      <c r="G478" s="538"/>
      <c r="H478" s="446">
        <f t="shared" si="45"/>
        <v>0</v>
      </c>
      <c r="I478" s="539"/>
      <c r="J478" s="540"/>
      <c r="K478" s="537"/>
    </row>
    <row r="479" spans="1:11" x14ac:dyDescent="0.25" outlineLevel="1" collapsed="1">
      <c r="A479" s="528" t="s">
        <v>485</v>
      </c>
      <c r="B479" s="516" t="s">
        <v>1924</v>
      </c>
      <c r="C479" s="534" t="s">
        <v>61</v>
      </c>
      <c r="D479" s="534" t="s">
        <v>1456</v>
      </c>
      <c r="E479" s="535"/>
      <c r="F479" s="535"/>
      <c r="G479" s="535"/>
      <c r="H479" s="446">
        <f t="shared" si="45"/>
        <v>1338.1395327145324</v>
      </c>
      <c r="I479" s="536"/>
      <c r="J479" s="536"/>
      <c r="K479" s="537"/>
    </row>
    <row r="480" ht="14.5" customHeight="1" spans="1:11" x14ac:dyDescent="0.25" outlineLevel="1" collapsed="1">
      <c r="A480" s="528" t="s">
        <v>488</v>
      </c>
      <c r="B480" s="516" t="s">
        <v>1925</v>
      </c>
      <c r="C480" s="534" t="s">
        <v>1918</v>
      </c>
      <c r="D480" s="534" t="s">
        <v>1919</v>
      </c>
      <c r="E480" s="538"/>
      <c r="F480" s="538"/>
      <c r="G480" s="538"/>
      <c r="H480" s="446">
        <f t="shared" si="45"/>
        <v>3421.2679832363433</v>
      </c>
      <c r="I480" s="539"/>
      <c r="J480" s="540"/>
      <c r="K480" s="537"/>
    </row>
    <row r="481" spans="1:11" x14ac:dyDescent="0.25" outlineLevel="1" collapsed="1">
      <c r="A481" s="528" t="s">
        <v>403</v>
      </c>
      <c r="B481" s="516" t="s">
        <v>1926</v>
      </c>
      <c r="C481" s="534" t="s">
        <v>61</v>
      </c>
      <c r="D481" s="534" t="s">
        <v>1927</v>
      </c>
      <c r="E481" s="535"/>
      <c r="F481" s="535"/>
      <c r="G481" s="535"/>
      <c r="H481" s="446">
        <f t="shared" si="45"/>
        <v>101.53591569343729</v>
      </c>
      <c r="I481" s="536"/>
      <c r="J481" s="536"/>
      <c r="K481" s="537"/>
    </row>
    <row r="482" ht="14.5" customHeight="1" spans="1:11" x14ac:dyDescent="0.25" outlineLevel="1" collapsed="1">
      <c r="A482" s="528" t="s">
        <v>407</v>
      </c>
      <c r="B482" s="516" t="s">
        <v>1928</v>
      </c>
      <c r="C482" s="534" t="s">
        <v>1918</v>
      </c>
      <c r="D482" s="534" t="s">
        <v>1493</v>
      </c>
      <c r="E482" s="538"/>
      <c r="F482" s="538"/>
      <c r="G482" s="538"/>
      <c r="H482" s="446">
        <f t="shared" si="45"/>
        <v>82.00213180882373</v>
      </c>
      <c r="I482" s="539"/>
      <c r="J482" s="540"/>
      <c r="K482" s="537"/>
    </row>
    <row r="483" ht="14.5" customHeight="1" spans="1:11" x14ac:dyDescent="0.25" outlineLevel="1" collapsed="1">
      <c r="A483" s="528" t="s">
        <v>410</v>
      </c>
      <c r="B483" s="516" t="s">
        <v>1929</v>
      </c>
      <c r="C483" s="534" t="s">
        <v>1918</v>
      </c>
      <c r="D483" s="534" t="s">
        <v>1930</v>
      </c>
      <c r="E483" s="538"/>
      <c r="F483" s="538"/>
      <c r="G483" s="538"/>
      <c r="H483" s="446">
        <f t="shared" si="45"/>
        <v>49.590763285454265</v>
      </c>
      <c r="I483" s="539"/>
      <c r="J483" s="540"/>
      <c r="K483" s="537"/>
    </row>
    <row r="484" spans="1:11" x14ac:dyDescent="0.25" outlineLevel="1" collapsed="1">
      <c r="A484" s="528" t="s">
        <v>413</v>
      </c>
      <c r="B484" s="516" t="s">
        <v>1931</v>
      </c>
      <c r="C484" s="534" t="s">
        <v>1918</v>
      </c>
      <c r="D484" s="534" t="s">
        <v>1927</v>
      </c>
      <c r="E484" s="535"/>
      <c r="F484" s="535"/>
      <c r="G484" s="535"/>
      <c r="H484" s="446">
        <f t="shared" si="45"/>
        <v>442.63668639434235</v>
      </c>
      <c r="I484" s="536"/>
      <c r="J484" s="536"/>
      <c r="K484" s="537"/>
    </row>
    <row r="485" ht="14.5" customHeight="1" spans="1:11" x14ac:dyDescent="0.25" outlineLevel="1" collapsed="1">
      <c r="A485" s="528" t="s">
        <v>416</v>
      </c>
      <c r="B485" s="516" t="s">
        <v>1932</v>
      </c>
      <c r="C485" s="534" t="s">
        <v>1918</v>
      </c>
      <c r="D485" s="534" t="s">
        <v>1919</v>
      </c>
      <c r="E485" s="538"/>
      <c r="F485" s="538"/>
      <c r="G485" s="538"/>
      <c r="H485" s="446">
        <f t="shared" si="45"/>
        <v>788.3555833333335</v>
      </c>
      <c r="I485" s="539"/>
      <c r="J485" s="540"/>
      <c r="K485" s="537"/>
    </row>
    <row r="486" ht="14.5" customHeight="1" spans="1:11" x14ac:dyDescent="0.25" outlineLevel="1" collapsed="1">
      <c r="A486" s="528" t="s">
        <v>419</v>
      </c>
      <c r="B486" s="516" t="s">
        <v>1933</v>
      </c>
      <c r="C486" s="534"/>
      <c r="D486" s="534" t="s">
        <v>1493</v>
      </c>
      <c r="E486" s="538"/>
      <c r="F486" s="538"/>
      <c r="G486" s="538"/>
      <c r="H486" s="446">
        <f t="shared" si="45"/>
        <v>82</v>
      </c>
      <c r="I486" s="539"/>
      <c r="J486" s="540"/>
      <c r="K486" s="537"/>
    </row>
    <row r="487" spans="1:11" x14ac:dyDescent="0.25" outlineLevel="1" collapsed="1">
      <c r="A487" s="542" t="s">
        <v>423</v>
      </c>
      <c r="B487" s="543" t="s">
        <v>1934</v>
      </c>
      <c r="C487" s="542" t="s">
        <v>1935</v>
      </c>
      <c r="D487" s="542" t="s">
        <v>1912</v>
      </c>
      <c r="E487" s="542">
        <f t="shared" ref="E487:F487" si="46">IFERROR(E471/E472,0)</f>
        <v>75.88765933474785</v>
      </c>
      <c r="F487" s="542">
        <f t="shared" si="46"/>
        <v>0</v>
      </c>
      <c r="G487" s="542">
        <f>IFERROR(G471/G472,0)</f>
        <v>0</v>
      </c>
      <c r="H487" s="446">
        <f>IFERROR(H471/H472,0)</f>
        <v>75.88765933474785</v>
      </c>
      <c r="I487" s="542">
        <f>IFERROR(I471/I472,0)</f>
        <v>0</v>
      </c>
      <c r="J487" s="544"/>
      <c r="K487" s="545"/>
    </row>
    <row r="488" ht="42" customHeight="1" spans="1:11" x14ac:dyDescent="0.25" outlineLevel="1" collapsed="1">
      <c r="A488" s="542" t="s">
        <v>425</v>
      </c>
      <c r="B488" s="543" t="s">
        <v>1936</v>
      </c>
      <c r="C488" s="542" t="s">
        <v>1937</v>
      </c>
      <c r="D488" s="542" t="s">
        <v>1938</v>
      </c>
      <c r="E488" s="542">
        <f t="shared" ref="E488:F488" si="47">IFERROR((((E473*E474)+(E475*E476)+(E477*E478)+(E479*E480))/E471),0)</f>
        <v>841.4892319526888</v>
      </c>
      <c r="F488" s="542">
        <f t="shared" si="47"/>
        <v>0</v>
      </c>
      <c r="G488" s="542">
        <f>IFERROR((((G473*G474)+(G475*G476)+(G477*G478)+(G479*G480))/G471),0)</f>
        <v>0</v>
      </c>
      <c r="H488" s="446">
        <f>IFERROR((((H473*H474)+(H475*H476)+(H477*H478)+(H479*H480))/H471),0)</f>
        <v>841.4892319526888</v>
      </c>
      <c r="I488" s="542">
        <f>IFERROR((((I473*I474)+(I475*I476)+(I477*I478)+(I479*I480))/I471),0)</f>
        <v>0</v>
      </c>
      <c r="J488" s="544"/>
      <c r="K488" s="545"/>
    </row>
    <row r="489" ht="42" customHeight="1" spans="1:11" x14ac:dyDescent="0.25" outlineLevel="1" collapsed="1">
      <c r="A489" s="542" t="s">
        <v>427</v>
      </c>
      <c r="B489" s="543" t="s">
        <v>1939</v>
      </c>
      <c r="C489" s="542" t="s">
        <v>1940</v>
      </c>
      <c r="D489" s="542" t="s">
        <v>1493</v>
      </c>
      <c r="E489" s="542">
        <f t="shared" ref="E489:F489" si="48">IFERROR(((E473*E474)/((E473*E474)+(E475*E476)+(E477*E478)+(E479*E480))),0)</f>
        <v>0.9900687763683489</v>
      </c>
      <c r="F489" s="542">
        <f t="shared" si="48"/>
        <v>0</v>
      </c>
      <c r="G489" s="542">
        <f>IFERROR(((G473*G474)/((G473*G474)+(G475*G476)+(G477*G478)+(G479*G480))),0)</f>
        <v>0</v>
      </c>
      <c r="H489" s="446">
        <f>IFERROR(((H473*H474)/((H473*H474)+(H475*H476)+(H477*H478)+(H479*H480))),0)</f>
        <v>0.9900687763683489</v>
      </c>
      <c r="I489" s="542">
        <f>IFERROR(((I473*I474)/((I473*I474)+(I475*I476)+(I477*I478)+(I479*I480))),0)</f>
        <v>0</v>
      </c>
      <c r="J489" s="544"/>
      <c r="K489" s="545"/>
    </row>
    <row r="490" ht="14.5" customHeight="1" spans="1:11" x14ac:dyDescent="0.25">
      <c r="A490" s="546"/>
      <c r="B490" s="547"/>
      <c r="C490" s="548"/>
      <c r="D490" s="548"/>
      <c r="E490" s="548"/>
      <c r="F490" s="548"/>
      <c r="G490" s="549"/>
      <c r="H490" s="550"/>
      <c r="I490" s="551"/>
      <c r="J490" s="554"/>
      <c r="K490" s="553"/>
    </row>
    <row r="491" spans="1:11" x14ac:dyDescent="0.25">
      <c r="A491" s="522" t="s">
        <v>1943</v>
      </c>
      <c r="B491" s="523" t="s">
        <v>1944</v>
      </c>
      <c r="C491" s="524"/>
      <c r="D491" s="525"/>
      <c r="E491" s="525"/>
      <c r="F491" s="525"/>
      <c r="G491" s="525"/>
      <c r="H491" s="525"/>
      <c r="I491" s="525"/>
      <c r="J491" s="442"/>
      <c r="K491" s="442"/>
    </row>
    <row r="492" ht="14.5" customHeight="1" spans="1:11" x14ac:dyDescent="0.25" outlineLevel="1" collapsed="1">
      <c r="A492" s="528" t="s">
        <v>306</v>
      </c>
      <c r="B492" s="516" t="s">
        <v>1911</v>
      </c>
      <c r="C492" s="529"/>
      <c r="D492" s="530"/>
      <c r="E492" s="531"/>
      <c r="F492" s="530"/>
      <c r="G492" s="530"/>
      <c r="H492" s="532"/>
      <c r="I492" s="530"/>
      <c r="J492" s="489"/>
      <c r="K492" s="555"/>
    </row>
    <row r="493" ht="14.5" customHeight="1" spans="1:11" x14ac:dyDescent="0.25" outlineLevel="1" collapsed="1">
      <c r="A493" s="528" t="s">
        <v>308</v>
      </c>
      <c r="B493" s="516" t="s">
        <v>1836</v>
      </c>
      <c r="C493" s="293" t="s">
        <v>61</v>
      </c>
      <c r="D493" s="534" t="s">
        <v>1912</v>
      </c>
      <c r="E493" s="535"/>
      <c r="F493" s="445"/>
      <c r="G493" s="445"/>
      <c r="H493" s="446">
        <f t="shared" ref="H493:H509" si="49">IF(K$9=1,E493,IF(K$9=2,(E493+F493)/2,(E493+F493+G493)/3))</f>
        <v>0</v>
      </c>
      <c r="I493" s="536"/>
      <c r="J493" s="536"/>
      <c r="K493" s="537"/>
    </row>
    <row r="494" ht="14.5" customHeight="1" spans="1:11" x14ac:dyDescent="0.25" outlineLevel="1" collapsed="1">
      <c r="A494" s="528" t="s">
        <v>310</v>
      </c>
      <c r="B494" s="516" t="s">
        <v>1913</v>
      </c>
      <c r="C494" s="534" t="s">
        <v>61</v>
      </c>
      <c r="D494" s="534" t="s">
        <v>1456</v>
      </c>
      <c r="E494" s="535"/>
      <c r="F494" s="445"/>
      <c r="G494" s="445"/>
      <c r="H494" s="446">
        <f t="shared" si="49"/>
        <v>0</v>
      </c>
      <c r="I494" s="536"/>
      <c r="J494" s="536"/>
      <c r="K494" s="537"/>
    </row>
    <row r="495" ht="14.5" customHeight="1" spans="1:11" x14ac:dyDescent="0.25" outlineLevel="1" collapsed="1">
      <c r="A495" s="528" t="s">
        <v>312</v>
      </c>
      <c r="B495" s="516" t="s">
        <v>1914</v>
      </c>
      <c r="C495" s="534" t="s">
        <v>61</v>
      </c>
      <c r="D495" s="534" t="s">
        <v>1915</v>
      </c>
      <c r="E495" s="535"/>
      <c r="F495" s="445"/>
      <c r="G495" s="445"/>
      <c r="H495" s="446">
        <f t="shared" si="49"/>
        <v>0</v>
      </c>
      <c r="I495" s="536"/>
      <c r="J495" s="536"/>
      <c r="K495" s="537"/>
    </row>
    <row r="496" ht="14.5" customHeight="1" spans="1:11" x14ac:dyDescent="0.25" outlineLevel="1" collapsed="1">
      <c r="A496" s="528" t="s">
        <v>314</v>
      </c>
      <c r="B496" s="516" t="s">
        <v>1916</v>
      </c>
      <c r="C496" s="534" t="s">
        <v>61</v>
      </c>
      <c r="D496" s="534" t="s">
        <v>1456</v>
      </c>
      <c r="E496" s="535"/>
      <c r="F496" s="445"/>
      <c r="G496" s="445"/>
      <c r="H496" s="446">
        <f t="shared" si="49"/>
        <v>0</v>
      </c>
      <c r="I496" s="536"/>
      <c r="J496" s="536"/>
      <c r="K496" s="537"/>
    </row>
    <row r="497" ht="14.5" customHeight="1" spans="1:11" x14ac:dyDescent="0.25" outlineLevel="1" collapsed="1">
      <c r="A497" s="528" t="s">
        <v>316</v>
      </c>
      <c r="B497" s="516" t="s">
        <v>1917</v>
      </c>
      <c r="C497" s="534" t="s">
        <v>1918</v>
      </c>
      <c r="D497" s="534" t="s">
        <v>1919</v>
      </c>
      <c r="E497" s="538"/>
      <c r="F497" s="538"/>
      <c r="G497" s="538"/>
      <c r="H497" s="446">
        <f t="shared" si="49"/>
        <v>0</v>
      </c>
      <c r="I497" s="539"/>
      <c r="J497" s="540"/>
      <c r="K497" s="537"/>
    </row>
    <row r="498" spans="1:11" x14ac:dyDescent="0.25" outlineLevel="1" collapsed="1">
      <c r="A498" s="528" t="s">
        <v>318</v>
      </c>
      <c r="B498" s="516" t="s">
        <v>1920</v>
      </c>
      <c r="C498" s="534" t="s">
        <v>61</v>
      </c>
      <c r="D498" s="534" t="s">
        <v>1456</v>
      </c>
      <c r="E498" s="536"/>
      <c r="F498" s="536"/>
      <c r="G498" s="536"/>
      <c r="H498" s="446">
        <f t="shared" si="49"/>
        <v>0</v>
      </c>
      <c r="I498" s="536"/>
      <c r="J498" s="536"/>
      <c r="K498" s="537"/>
    </row>
    <row r="499" ht="14.5" customHeight="1" spans="1:11" x14ac:dyDescent="0.25" outlineLevel="1" collapsed="1">
      <c r="A499" s="528" t="s">
        <v>478</v>
      </c>
      <c r="B499" s="516" t="s">
        <v>1921</v>
      </c>
      <c r="C499" s="534" t="s">
        <v>1918</v>
      </c>
      <c r="D499" s="534" t="s">
        <v>1919</v>
      </c>
      <c r="E499" s="539"/>
      <c r="F499" s="539"/>
      <c r="G499" s="539"/>
      <c r="H499" s="446">
        <f t="shared" si="49"/>
        <v>0</v>
      </c>
      <c r="I499" s="539"/>
      <c r="J499" s="540"/>
      <c r="K499" s="537"/>
    </row>
    <row r="500" spans="1:11" x14ac:dyDescent="0.25" outlineLevel="1" collapsed="1">
      <c r="A500" s="528" t="s">
        <v>481</v>
      </c>
      <c r="B500" s="516" t="s">
        <v>1922</v>
      </c>
      <c r="C500" s="534" t="s">
        <v>61</v>
      </c>
      <c r="D500" s="534" t="s">
        <v>1456</v>
      </c>
      <c r="E500" s="535"/>
      <c r="F500" s="535"/>
      <c r="G500" s="535"/>
      <c r="H500" s="446">
        <f t="shared" si="49"/>
        <v>0</v>
      </c>
      <c r="I500" s="536"/>
      <c r="J500" s="536"/>
      <c r="K500" s="537"/>
    </row>
    <row r="501" ht="14.5" customHeight="1" spans="1:11" x14ac:dyDescent="0.25" outlineLevel="1" collapsed="1">
      <c r="A501" s="528" t="s">
        <v>483</v>
      </c>
      <c r="B501" s="516" t="s">
        <v>1923</v>
      </c>
      <c r="C501" s="534" t="s">
        <v>1918</v>
      </c>
      <c r="D501" s="534" t="s">
        <v>1919</v>
      </c>
      <c r="E501" s="538"/>
      <c r="F501" s="538"/>
      <c r="G501" s="538"/>
      <c r="H501" s="446">
        <f t="shared" si="49"/>
        <v>0</v>
      </c>
      <c r="I501" s="539"/>
      <c r="J501" s="540"/>
      <c r="K501" s="537"/>
    </row>
    <row r="502" spans="1:11" x14ac:dyDescent="0.25" outlineLevel="1" collapsed="1">
      <c r="A502" s="528" t="s">
        <v>485</v>
      </c>
      <c r="B502" s="516" t="s">
        <v>1924</v>
      </c>
      <c r="C502" s="534" t="s">
        <v>61</v>
      </c>
      <c r="D502" s="534" t="s">
        <v>1456</v>
      </c>
      <c r="E502" s="535"/>
      <c r="F502" s="535"/>
      <c r="G502" s="535"/>
      <c r="H502" s="446">
        <f t="shared" si="49"/>
        <v>0</v>
      </c>
      <c r="I502" s="536"/>
      <c r="J502" s="536"/>
      <c r="K502" s="537"/>
    </row>
    <row r="503" ht="14.5" customHeight="1" spans="1:11" x14ac:dyDescent="0.25" outlineLevel="1" collapsed="1">
      <c r="A503" s="528" t="s">
        <v>488</v>
      </c>
      <c r="B503" s="516" t="s">
        <v>1925</v>
      </c>
      <c r="C503" s="534" t="s">
        <v>1918</v>
      </c>
      <c r="D503" s="534" t="s">
        <v>1919</v>
      </c>
      <c r="E503" s="538"/>
      <c r="F503" s="538"/>
      <c r="G503" s="538"/>
      <c r="H503" s="446">
        <f t="shared" si="49"/>
        <v>0</v>
      </c>
      <c r="I503" s="539"/>
      <c r="J503" s="540"/>
      <c r="K503" s="537"/>
    </row>
    <row r="504" spans="1:11" x14ac:dyDescent="0.25" outlineLevel="1" collapsed="1">
      <c r="A504" s="528" t="s">
        <v>403</v>
      </c>
      <c r="B504" s="516" t="s">
        <v>1926</v>
      </c>
      <c r="C504" s="534" t="s">
        <v>61</v>
      </c>
      <c r="D504" s="534" t="s">
        <v>1927</v>
      </c>
      <c r="E504" s="535"/>
      <c r="F504" s="535"/>
      <c r="G504" s="535"/>
      <c r="H504" s="446">
        <f t="shared" si="49"/>
        <v>0</v>
      </c>
      <c r="I504" s="536"/>
      <c r="J504" s="536"/>
      <c r="K504" s="537"/>
    </row>
    <row r="505" ht="14.5" customHeight="1" spans="1:11" x14ac:dyDescent="0.25" outlineLevel="1" collapsed="1">
      <c r="A505" s="528" t="s">
        <v>407</v>
      </c>
      <c r="B505" s="516" t="s">
        <v>1928</v>
      </c>
      <c r="C505" s="534" t="s">
        <v>1918</v>
      </c>
      <c r="D505" s="534" t="s">
        <v>1493</v>
      </c>
      <c r="E505" s="538"/>
      <c r="F505" s="538"/>
      <c r="G505" s="538"/>
      <c r="H505" s="446">
        <f t="shared" si="49"/>
        <v>0</v>
      </c>
      <c r="I505" s="539"/>
      <c r="J505" s="540"/>
      <c r="K505" s="537"/>
    </row>
    <row r="506" ht="14.5" customHeight="1" spans="1:11" x14ac:dyDescent="0.25" outlineLevel="1" collapsed="1">
      <c r="A506" s="528" t="s">
        <v>410</v>
      </c>
      <c r="B506" s="516" t="s">
        <v>1929</v>
      </c>
      <c r="C506" s="534" t="s">
        <v>1918</v>
      </c>
      <c r="D506" s="534" t="s">
        <v>1930</v>
      </c>
      <c r="E506" s="538"/>
      <c r="F506" s="538"/>
      <c r="G506" s="538"/>
      <c r="H506" s="446">
        <f t="shared" si="49"/>
        <v>0</v>
      </c>
      <c r="I506" s="539"/>
      <c r="J506" s="540"/>
      <c r="K506" s="537"/>
    </row>
    <row r="507" spans="1:11" x14ac:dyDescent="0.25" outlineLevel="1" collapsed="1">
      <c r="A507" s="528" t="s">
        <v>413</v>
      </c>
      <c r="B507" s="516" t="s">
        <v>1931</v>
      </c>
      <c r="C507" s="534" t="s">
        <v>1918</v>
      </c>
      <c r="D507" s="534" t="s">
        <v>1927</v>
      </c>
      <c r="E507" s="535"/>
      <c r="F507" s="535"/>
      <c r="G507" s="535"/>
      <c r="H507" s="446">
        <f t="shared" si="49"/>
        <v>0</v>
      </c>
      <c r="I507" s="536"/>
      <c r="J507" s="536"/>
      <c r="K507" s="537"/>
    </row>
    <row r="508" ht="14.5" customHeight="1" spans="1:11" x14ac:dyDescent="0.25" outlineLevel="1" collapsed="1">
      <c r="A508" s="528" t="s">
        <v>416</v>
      </c>
      <c r="B508" s="516" t="s">
        <v>1932</v>
      </c>
      <c r="C508" s="534" t="s">
        <v>1918</v>
      </c>
      <c r="D508" s="534" t="s">
        <v>1919</v>
      </c>
      <c r="E508" s="538"/>
      <c r="F508" s="538"/>
      <c r="G508" s="538"/>
      <c r="H508" s="446">
        <f t="shared" si="49"/>
        <v>0</v>
      </c>
      <c r="I508" s="539"/>
      <c r="J508" s="540"/>
      <c r="K508" s="537"/>
    </row>
    <row r="509" ht="14.5" customHeight="1" spans="1:11" x14ac:dyDescent="0.25" outlineLevel="1" collapsed="1">
      <c r="A509" s="528" t="s">
        <v>419</v>
      </c>
      <c r="B509" s="516" t="s">
        <v>1933</v>
      </c>
      <c r="C509" s="534"/>
      <c r="D509" s="534" t="s">
        <v>1493</v>
      </c>
      <c r="E509" s="538"/>
      <c r="F509" s="538"/>
      <c r="G509" s="538"/>
      <c r="H509" s="446">
        <f t="shared" si="49"/>
        <v>0</v>
      </c>
      <c r="I509" s="539"/>
      <c r="J509" s="540"/>
      <c r="K509" s="537"/>
    </row>
    <row r="510" spans="1:11" x14ac:dyDescent="0.25" outlineLevel="1" collapsed="1">
      <c r="A510" s="542" t="s">
        <v>423</v>
      </c>
      <c r="B510" s="543" t="s">
        <v>1934</v>
      </c>
      <c r="C510" s="542" t="s">
        <v>1935</v>
      </c>
      <c r="D510" s="542" t="s">
        <v>1912</v>
      </c>
      <c r="E510" s="542">
        <f t="shared" ref="E510" si="50">IFERROR((E494/E495),0)</f>
        <v>0</v>
      </c>
      <c r="F510" s="542">
        <f t="shared" ref="F510:I510" si="51">IFERROR((F494/F495),0)</f>
        <v>0</v>
      </c>
      <c r="G510" s="542">
        <f t="shared" si="51"/>
        <v>0</v>
      </c>
      <c r="H510" s="542">
        <f t="shared" si="51"/>
        <v>0</v>
      </c>
      <c r="I510" s="542">
        <f t="shared" si="51"/>
        <v>0</v>
      </c>
      <c r="J510" s="544"/>
      <c r="K510" s="545"/>
    </row>
    <row r="511" ht="42" customHeight="1" spans="1:11" x14ac:dyDescent="0.25" outlineLevel="1" collapsed="1">
      <c r="A511" s="542" t="s">
        <v>425</v>
      </c>
      <c r="B511" s="543" t="s">
        <v>1936</v>
      </c>
      <c r="C511" s="542" t="s">
        <v>1937</v>
      </c>
      <c r="D511" s="542" t="s">
        <v>1938</v>
      </c>
      <c r="E511" s="542">
        <f t="shared" ref="E511" si="52">IFERROR((((E496*E497)+(E498*E499)+(E500*E501)+(E502*E503))/E494),0)</f>
        <v>0</v>
      </c>
      <c r="F511" s="542">
        <f t="shared" ref="F511:I511" si="53">IFERROR((((F496*F497)+(F498*F499)+(F500*F501)+(F502*F503))/F494),0)</f>
        <v>0</v>
      </c>
      <c r="G511" s="542">
        <f t="shared" si="53"/>
        <v>0</v>
      </c>
      <c r="H511" s="542">
        <f t="shared" si="53"/>
        <v>0</v>
      </c>
      <c r="I511" s="542">
        <f t="shared" si="53"/>
        <v>0</v>
      </c>
      <c r="J511" s="544"/>
      <c r="K511" s="545"/>
    </row>
    <row r="512" ht="42" customHeight="1" spans="1:11" x14ac:dyDescent="0.25" outlineLevel="1" collapsed="1">
      <c r="A512" s="542" t="s">
        <v>427</v>
      </c>
      <c r="B512" s="543" t="s">
        <v>1939</v>
      </c>
      <c r="C512" s="542" t="s">
        <v>1940</v>
      </c>
      <c r="D512" s="542" t="s">
        <v>1493</v>
      </c>
      <c r="E512" s="542">
        <f t="shared" ref="E512" si="54">IFERROR(((E496*E497)/((E496*E497)+(E498*E499)+(E500*E501)+(E502*E503))),0)</f>
        <v>0</v>
      </c>
      <c r="F512" s="542">
        <f t="shared" ref="F512:I512" si="55">IFERROR(((F496*F497)/((F496*F497)+(F498*F499)+(F500*F501)+(F502*F503))),0)</f>
        <v>0</v>
      </c>
      <c r="G512" s="542">
        <f t="shared" si="55"/>
        <v>0</v>
      </c>
      <c r="H512" s="542">
        <f t="shared" si="55"/>
        <v>0</v>
      </c>
      <c r="I512" s="542">
        <f t="shared" si="55"/>
        <v>0</v>
      </c>
      <c r="J512" s="544"/>
      <c r="K512" s="545"/>
    </row>
    <row r="513" ht="14.5" customHeight="1" spans="2:11" x14ac:dyDescent="0.25">
      <c r="B513" s="547"/>
      <c r="E513" s="253"/>
      <c r="F513" s="253"/>
      <c r="G513" s="30"/>
      <c r="H513" s="556"/>
      <c r="I513" s="551"/>
      <c r="J513" s="554"/>
      <c r="K513" s="553"/>
    </row>
    <row r="514" spans="1:11" x14ac:dyDescent="0.25">
      <c r="A514" s="522" t="s">
        <v>1945</v>
      </c>
      <c r="B514" s="523" t="s">
        <v>1946</v>
      </c>
      <c r="C514" s="524"/>
      <c r="D514" s="525"/>
      <c r="E514" s="525"/>
      <c r="F514" s="525"/>
      <c r="G514" s="525"/>
      <c r="H514" s="525"/>
      <c r="I514" s="525"/>
      <c r="J514" s="442"/>
      <c r="K514" s="442"/>
    </row>
    <row r="515" ht="14.5" customHeight="1" spans="1:11" x14ac:dyDescent="0.25" outlineLevel="1" collapsed="1">
      <c r="A515" s="528" t="s">
        <v>306</v>
      </c>
      <c r="B515" s="516" t="s">
        <v>1911</v>
      </c>
      <c r="C515" s="529"/>
      <c r="D515" s="530"/>
      <c r="E515" s="531"/>
      <c r="F515" s="530"/>
      <c r="G515" s="530"/>
      <c r="H515" s="557"/>
      <c r="I515" s="530"/>
      <c r="J515" s="489"/>
      <c r="K515" s="533"/>
    </row>
    <row r="516" ht="14.5" customHeight="1" spans="1:11" x14ac:dyDescent="0.25" outlineLevel="1" collapsed="1">
      <c r="A516" s="528" t="s">
        <v>308</v>
      </c>
      <c r="B516" s="516" t="s">
        <v>1836</v>
      </c>
      <c r="C516" s="293" t="s">
        <v>61</v>
      </c>
      <c r="D516" s="534" t="s">
        <v>1912</v>
      </c>
      <c r="E516" s="536"/>
      <c r="F516" s="445"/>
      <c r="G516" s="445"/>
      <c r="H516" s="446">
        <f t="shared" ref="H516:H532" si="56">IF(K$9=1,E516,IF(K$9=2,(E516+F516)/2,(E516+F516+G516)/3))</f>
        <v>0</v>
      </c>
      <c r="I516" s="536"/>
      <c r="J516" s="536"/>
      <c r="K516" s="537"/>
    </row>
    <row r="517" ht="14.5" customHeight="1" spans="1:11" x14ac:dyDescent="0.25" outlineLevel="1" collapsed="1">
      <c r="A517" s="528" t="s">
        <v>310</v>
      </c>
      <c r="B517" s="516" t="s">
        <v>1913</v>
      </c>
      <c r="C517" s="534" t="s">
        <v>61</v>
      </c>
      <c r="D517" s="534" t="s">
        <v>1456</v>
      </c>
      <c r="E517" s="536"/>
      <c r="F517" s="445"/>
      <c r="G517" s="445"/>
      <c r="H517" s="446">
        <f t="shared" si="56"/>
        <v>0</v>
      </c>
      <c r="I517" s="536"/>
      <c r="J517" s="536"/>
      <c r="K517" s="537"/>
    </row>
    <row r="518" ht="14.5" customHeight="1" spans="1:11" x14ac:dyDescent="0.25" outlineLevel="1" collapsed="1">
      <c r="A518" s="528" t="s">
        <v>312</v>
      </c>
      <c r="B518" s="516" t="s">
        <v>1914</v>
      </c>
      <c r="C518" s="534" t="s">
        <v>61</v>
      </c>
      <c r="D518" s="534" t="s">
        <v>1915</v>
      </c>
      <c r="E518" s="536"/>
      <c r="F518" s="445"/>
      <c r="G518" s="445"/>
      <c r="H518" s="446">
        <f t="shared" si="56"/>
        <v>0</v>
      </c>
      <c r="I518" s="536"/>
      <c r="J518" s="536"/>
      <c r="K518" s="537"/>
    </row>
    <row r="519" ht="14.5" customHeight="1" spans="1:11" x14ac:dyDescent="0.25" outlineLevel="1" collapsed="1">
      <c r="A519" s="528" t="s">
        <v>314</v>
      </c>
      <c r="B519" s="516" t="s">
        <v>1916</v>
      </c>
      <c r="C519" s="534" t="s">
        <v>61</v>
      </c>
      <c r="D519" s="534" t="s">
        <v>1456</v>
      </c>
      <c r="E519" s="536"/>
      <c r="F519" s="445"/>
      <c r="G519" s="445"/>
      <c r="H519" s="446">
        <f t="shared" si="56"/>
        <v>0</v>
      </c>
      <c r="I519" s="536"/>
      <c r="J519" s="536"/>
      <c r="K519" s="537"/>
    </row>
    <row r="520" ht="14.5" customHeight="1" spans="1:11" x14ac:dyDescent="0.25" outlineLevel="1" collapsed="1">
      <c r="A520" s="528" t="s">
        <v>316</v>
      </c>
      <c r="B520" s="516" t="s">
        <v>1917</v>
      </c>
      <c r="C520" s="534" t="s">
        <v>1918</v>
      </c>
      <c r="D520" s="534" t="s">
        <v>1919</v>
      </c>
      <c r="E520" s="539"/>
      <c r="F520" s="539"/>
      <c r="G520" s="539"/>
      <c r="H520" s="446">
        <f t="shared" si="56"/>
        <v>0</v>
      </c>
      <c r="I520" s="539"/>
      <c r="J520" s="540"/>
      <c r="K520" s="537"/>
    </row>
    <row r="521" spans="1:11" x14ac:dyDescent="0.25" outlineLevel="1" collapsed="1">
      <c r="A521" s="528" t="s">
        <v>318</v>
      </c>
      <c r="B521" s="516" t="s">
        <v>1920</v>
      </c>
      <c r="C521" s="534" t="s">
        <v>61</v>
      </c>
      <c r="D521" s="534" t="s">
        <v>1456</v>
      </c>
      <c r="E521" s="536"/>
      <c r="F521" s="536"/>
      <c r="G521" s="536"/>
      <c r="H521" s="446">
        <f t="shared" si="56"/>
        <v>0</v>
      </c>
      <c r="I521" s="536"/>
      <c r="J521" s="536"/>
      <c r="K521" s="537"/>
    </row>
    <row r="522" ht="14.5" customHeight="1" spans="1:11" x14ac:dyDescent="0.25" outlineLevel="1" collapsed="1">
      <c r="A522" s="528" t="s">
        <v>478</v>
      </c>
      <c r="B522" s="516" t="s">
        <v>1921</v>
      </c>
      <c r="C522" s="534" t="s">
        <v>1918</v>
      </c>
      <c r="D522" s="534" t="s">
        <v>1919</v>
      </c>
      <c r="E522" s="539"/>
      <c r="F522" s="539"/>
      <c r="G522" s="539"/>
      <c r="H522" s="446">
        <f t="shared" si="56"/>
        <v>0</v>
      </c>
      <c r="I522" s="539"/>
      <c r="J522" s="540"/>
      <c r="K522" s="537"/>
    </row>
    <row r="523" spans="1:11" x14ac:dyDescent="0.25" outlineLevel="1" collapsed="1">
      <c r="A523" s="528" t="s">
        <v>481</v>
      </c>
      <c r="B523" s="516" t="s">
        <v>1922</v>
      </c>
      <c r="C523" s="534" t="s">
        <v>61</v>
      </c>
      <c r="D523" s="534" t="s">
        <v>1456</v>
      </c>
      <c r="E523" s="536"/>
      <c r="F523" s="536"/>
      <c r="G523" s="536"/>
      <c r="H523" s="446">
        <f t="shared" si="56"/>
        <v>0</v>
      </c>
      <c r="I523" s="536"/>
      <c r="J523" s="536"/>
      <c r="K523" s="537"/>
    </row>
    <row r="524" ht="14.5" customHeight="1" spans="1:11" x14ac:dyDescent="0.25" outlineLevel="1" collapsed="1">
      <c r="A524" s="528" t="s">
        <v>483</v>
      </c>
      <c r="B524" s="516" t="s">
        <v>1923</v>
      </c>
      <c r="C524" s="534" t="s">
        <v>1918</v>
      </c>
      <c r="D524" s="534" t="s">
        <v>1919</v>
      </c>
      <c r="E524" s="539"/>
      <c r="F524" s="539"/>
      <c r="G524" s="539"/>
      <c r="H524" s="446">
        <f t="shared" si="56"/>
        <v>0</v>
      </c>
      <c r="I524" s="539"/>
      <c r="J524" s="540"/>
      <c r="K524" s="537"/>
    </row>
    <row r="525" spans="1:11" x14ac:dyDescent="0.25" outlineLevel="1" collapsed="1">
      <c r="A525" s="528" t="s">
        <v>485</v>
      </c>
      <c r="B525" s="516" t="s">
        <v>1924</v>
      </c>
      <c r="C525" s="534" t="s">
        <v>61</v>
      </c>
      <c r="D525" s="534" t="s">
        <v>1456</v>
      </c>
      <c r="E525" s="536"/>
      <c r="F525" s="536"/>
      <c r="G525" s="536"/>
      <c r="H525" s="446">
        <f t="shared" si="56"/>
        <v>0</v>
      </c>
      <c r="I525" s="536"/>
      <c r="J525" s="536"/>
      <c r="K525" s="537"/>
    </row>
    <row r="526" ht="14.5" customHeight="1" spans="1:11" x14ac:dyDescent="0.25" outlineLevel="1" collapsed="1">
      <c r="A526" s="528" t="s">
        <v>488</v>
      </c>
      <c r="B526" s="516" t="s">
        <v>1925</v>
      </c>
      <c r="C526" s="534" t="s">
        <v>1918</v>
      </c>
      <c r="D526" s="534" t="s">
        <v>1919</v>
      </c>
      <c r="E526" s="539"/>
      <c r="F526" s="539"/>
      <c r="G526" s="539"/>
      <c r="H526" s="446">
        <f t="shared" si="56"/>
        <v>0</v>
      </c>
      <c r="I526" s="539"/>
      <c r="J526" s="540"/>
      <c r="K526" s="537"/>
    </row>
    <row r="527" spans="1:11" x14ac:dyDescent="0.25" outlineLevel="1" collapsed="1">
      <c r="A527" s="528" t="s">
        <v>403</v>
      </c>
      <c r="B527" s="516" t="s">
        <v>1926</v>
      </c>
      <c r="C527" s="534" t="s">
        <v>61</v>
      </c>
      <c r="D527" s="534" t="s">
        <v>1927</v>
      </c>
      <c r="E527" s="536"/>
      <c r="F527" s="536"/>
      <c r="G527" s="536"/>
      <c r="H527" s="446">
        <f t="shared" si="56"/>
        <v>0</v>
      </c>
      <c r="I527" s="536"/>
      <c r="J527" s="536"/>
      <c r="K527" s="537"/>
    </row>
    <row r="528" ht="14.5" customHeight="1" spans="1:11" x14ac:dyDescent="0.25" outlineLevel="1" collapsed="1">
      <c r="A528" s="528" t="s">
        <v>407</v>
      </c>
      <c r="B528" s="516" t="s">
        <v>1928</v>
      </c>
      <c r="C528" s="534" t="s">
        <v>1918</v>
      </c>
      <c r="D528" s="534" t="s">
        <v>1493</v>
      </c>
      <c r="E528" s="539"/>
      <c r="F528" s="539"/>
      <c r="G528" s="539"/>
      <c r="H528" s="446">
        <f t="shared" si="56"/>
        <v>0</v>
      </c>
      <c r="I528" s="539"/>
      <c r="J528" s="540"/>
      <c r="K528" s="537"/>
    </row>
    <row r="529" ht="14.5" customHeight="1" spans="1:11" x14ac:dyDescent="0.25" outlineLevel="1" collapsed="1">
      <c r="A529" s="528" t="s">
        <v>410</v>
      </c>
      <c r="B529" s="516" t="s">
        <v>1929</v>
      </c>
      <c r="C529" s="534" t="s">
        <v>1918</v>
      </c>
      <c r="D529" s="534" t="s">
        <v>1930</v>
      </c>
      <c r="E529" s="539"/>
      <c r="F529" s="539"/>
      <c r="G529" s="539"/>
      <c r="H529" s="446">
        <f t="shared" si="56"/>
        <v>0</v>
      </c>
      <c r="I529" s="539"/>
      <c r="J529" s="540"/>
      <c r="K529" s="537"/>
    </row>
    <row r="530" spans="1:11" x14ac:dyDescent="0.25" outlineLevel="1" collapsed="1">
      <c r="A530" s="528" t="s">
        <v>413</v>
      </c>
      <c r="B530" s="516" t="s">
        <v>1931</v>
      </c>
      <c r="C530" s="534" t="s">
        <v>1918</v>
      </c>
      <c r="D530" s="534" t="s">
        <v>1927</v>
      </c>
      <c r="E530" s="536"/>
      <c r="F530" s="536"/>
      <c r="G530" s="536"/>
      <c r="H530" s="446">
        <f t="shared" si="56"/>
        <v>0</v>
      </c>
      <c r="I530" s="536"/>
      <c r="J530" s="536"/>
      <c r="K530" s="537"/>
    </row>
    <row r="531" ht="14.5" customHeight="1" spans="1:11" x14ac:dyDescent="0.25" outlineLevel="1" collapsed="1">
      <c r="A531" s="528" t="s">
        <v>416</v>
      </c>
      <c r="B531" s="516" t="s">
        <v>1932</v>
      </c>
      <c r="C531" s="534" t="s">
        <v>1918</v>
      </c>
      <c r="D531" s="534" t="s">
        <v>1919</v>
      </c>
      <c r="E531" s="539"/>
      <c r="F531" s="539"/>
      <c r="G531" s="539"/>
      <c r="H531" s="446">
        <f t="shared" si="56"/>
        <v>0</v>
      </c>
      <c r="I531" s="539"/>
      <c r="J531" s="540"/>
      <c r="K531" s="537"/>
    </row>
    <row r="532" ht="14.5" customHeight="1" spans="1:11" x14ac:dyDescent="0.25" outlineLevel="1" collapsed="1">
      <c r="A532" s="528" t="s">
        <v>419</v>
      </c>
      <c r="B532" s="516" t="s">
        <v>1933</v>
      </c>
      <c r="C532" s="534"/>
      <c r="D532" s="534" t="s">
        <v>1493</v>
      </c>
      <c r="E532" s="538"/>
      <c r="F532" s="538"/>
      <c r="G532" s="538"/>
      <c r="H532" s="446">
        <f t="shared" si="56"/>
        <v>0</v>
      </c>
      <c r="I532" s="539"/>
      <c r="J532" s="540"/>
      <c r="K532" s="537"/>
    </row>
    <row r="533" spans="1:11" x14ac:dyDescent="0.25" outlineLevel="1" collapsed="1">
      <c r="A533" s="542" t="s">
        <v>423</v>
      </c>
      <c r="B533" s="543" t="s">
        <v>1934</v>
      </c>
      <c r="C533" s="542" t="s">
        <v>1935</v>
      </c>
      <c r="D533" s="542" t="s">
        <v>1912</v>
      </c>
      <c r="E533" s="542">
        <f t="shared" ref="E533:F533" si="57">IFERROR(E517/E518,0)</f>
        <v>0</v>
      </c>
      <c r="F533" s="542">
        <f t="shared" si="57"/>
        <v>0</v>
      </c>
      <c r="G533" s="542">
        <f>IFERROR(G517/G518,0)</f>
        <v>0</v>
      </c>
      <c r="H533" s="446">
        <f>IFERROR(H517/H518,0)</f>
        <v>0</v>
      </c>
      <c r="I533" s="542">
        <f>IFERROR(I517/I518,0)</f>
        <v>0</v>
      </c>
      <c r="J533" s="544"/>
      <c r="K533" s="545"/>
    </row>
    <row r="534" ht="42" customHeight="1" spans="1:11" x14ac:dyDescent="0.25" outlineLevel="1" collapsed="1">
      <c r="A534" s="542" t="s">
        <v>425</v>
      </c>
      <c r="B534" s="543" t="s">
        <v>1936</v>
      </c>
      <c r="C534" s="542" t="s">
        <v>1937</v>
      </c>
      <c r="D534" s="542" t="s">
        <v>1938</v>
      </c>
      <c r="E534" s="542">
        <f t="shared" ref="E534:F534" si="58">IFERROR((((E519*E520)+(E521*E522)+(E523*E524)+(E525*E526))/(E517)),0)</f>
        <v>0</v>
      </c>
      <c r="F534" s="542">
        <f t="shared" si="58"/>
        <v>0</v>
      </c>
      <c r="G534" s="542">
        <f>IFERROR((((G519*G520)+(G521*G522)+(G523*G524)+(G525*G526))/(G517)),0)</f>
        <v>0</v>
      </c>
      <c r="H534" s="446">
        <f>IFERROR((((H519*H520)+(H521*H522)+(H523*H524)+(H525*H526))/(H517)),0)</f>
        <v>0</v>
      </c>
      <c r="I534" s="542">
        <f>IFERROR((((I519*I520)+(I521*I522)+(I523*I524)+(I525*I526))/(I517)),0)</f>
        <v>0</v>
      </c>
      <c r="J534" s="544"/>
      <c r="K534" s="545"/>
    </row>
    <row r="535" ht="42" customHeight="1" spans="1:11" x14ac:dyDescent="0.25" outlineLevel="1" collapsed="1">
      <c r="A535" s="542" t="s">
        <v>427</v>
      </c>
      <c r="B535" s="543" t="s">
        <v>1939</v>
      </c>
      <c r="C535" s="542" t="s">
        <v>1940</v>
      </c>
      <c r="D535" s="542" t="s">
        <v>1493</v>
      </c>
      <c r="E535" s="542">
        <f t="shared" ref="E535:F535" si="59">IFERROR((E519*E520)/((E519*E520)+(E521*E522)+(E523*E524)+(E525*E526)),0)</f>
        <v>0</v>
      </c>
      <c r="F535" s="542">
        <f t="shared" si="59"/>
        <v>0</v>
      </c>
      <c r="G535" s="542">
        <f>IFERROR((G519*G520)/((G519*G520)+(G521*G522)+(G523*G524)+(G525*G526)),0)</f>
        <v>0</v>
      </c>
      <c r="H535" s="446">
        <f>IFERROR((H519*H520)/((H519*H520)+(H521*H522)+(H523*H524)+(H525*H526)),0)</f>
        <v>0</v>
      </c>
      <c r="I535" s="542">
        <f>IFERROR((I519*I520)/((I519*I520)+(I521*I522)+(I523*I524)+(I525*I526)),0)</f>
        <v>0</v>
      </c>
      <c r="J535" s="544"/>
      <c r="K535" s="545"/>
    </row>
    <row r="536" spans="1:11" x14ac:dyDescent="0.25">
      <c r="A536" s="558"/>
      <c r="B536" s="559"/>
      <c r="C536" s="560"/>
      <c r="D536" s="558"/>
      <c r="E536" s="561"/>
      <c r="F536" s="561"/>
      <c r="G536" s="561"/>
      <c r="H536" s="561"/>
      <c r="I536" s="561"/>
      <c r="J536" s="544"/>
      <c r="K536" s="545"/>
    </row>
    <row r="537" spans="1:11" x14ac:dyDescent="0.25">
      <c r="A537" s="522" t="s">
        <v>1947</v>
      </c>
      <c r="B537" s="523" t="s">
        <v>1948</v>
      </c>
      <c r="C537" s="524"/>
      <c r="D537" s="525"/>
      <c r="E537" s="525"/>
      <c r="F537" s="525"/>
      <c r="G537" s="525"/>
      <c r="H537" s="525"/>
      <c r="I537" s="525"/>
      <c r="J537" s="442"/>
      <c r="K537" s="442"/>
    </row>
    <row r="538" ht="14.5" customHeight="1" spans="1:11" x14ac:dyDescent="0.25" outlineLevel="1" collapsed="1">
      <c r="A538" s="528" t="s">
        <v>306</v>
      </c>
      <c r="B538" s="516" t="s">
        <v>1911</v>
      </c>
      <c r="C538" s="529"/>
      <c r="D538" s="530"/>
      <c r="E538" s="531"/>
      <c r="F538" s="530"/>
      <c r="G538" s="530"/>
      <c r="H538" s="557"/>
      <c r="I538" s="530"/>
      <c r="J538" s="489"/>
      <c r="K538" s="533"/>
    </row>
    <row r="539" ht="14.5" customHeight="1" spans="1:11" x14ac:dyDescent="0.25" outlineLevel="1" collapsed="1">
      <c r="A539" s="528" t="s">
        <v>308</v>
      </c>
      <c r="B539" s="516" t="s">
        <v>1836</v>
      </c>
      <c r="C539" s="293" t="s">
        <v>61</v>
      </c>
      <c r="D539" s="534" t="s">
        <v>1912</v>
      </c>
      <c r="E539" s="536"/>
      <c r="F539" s="445"/>
      <c r="G539" s="445"/>
      <c r="H539" s="446">
        <f t="shared" ref="H539:H555" si="60">IF(K$9=1,E539,IF(K$9=2,(E539+F539)/2,(E539+F539+G539)/3))</f>
        <v>0</v>
      </c>
      <c r="I539" s="536"/>
      <c r="J539" s="536"/>
      <c r="K539" s="537"/>
    </row>
    <row r="540" ht="14.5" customHeight="1" spans="1:11" x14ac:dyDescent="0.25" outlineLevel="1" collapsed="1">
      <c r="A540" s="528" t="s">
        <v>310</v>
      </c>
      <c r="B540" s="516" t="s">
        <v>1913</v>
      </c>
      <c r="C540" s="534" t="s">
        <v>61</v>
      </c>
      <c r="D540" s="534" t="s">
        <v>1456</v>
      </c>
      <c r="E540" s="536"/>
      <c r="F540" s="445"/>
      <c r="G540" s="445"/>
      <c r="H540" s="446">
        <f t="shared" si="60"/>
        <v>0</v>
      </c>
      <c r="I540" s="536"/>
      <c r="J540" s="536"/>
      <c r="K540" s="537"/>
    </row>
    <row r="541" ht="14.5" customHeight="1" spans="1:11" x14ac:dyDescent="0.25" outlineLevel="1" collapsed="1">
      <c r="A541" s="528" t="s">
        <v>312</v>
      </c>
      <c r="B541" s="516" t="s">
        <v>1914</v>
      </c>
      <c r="C541" s="534" t="s">
        <v>61</v>
      </c>
      <c r="D541" s="534" t="s">
        <v>1915</v>
      </c>
      <c r="E541" s="536"/>
      <c r="F541" s="445"/>
      <c r="G541" s="445"/>
      <c r="H541" s="446">
        <f t="shared" si="60"/>
        <v>0</v>
      </c>
      <c r="I541" s="536"/>
      <c r="J541" s="536"/>
      <c r="K541" s="537"/>
    </row>
    <row r="542" ht="14.5" customHeight="1" spans="1:11" x14ac:dyDescent="0.25" outlineLevel="1" collapsed="1">
      <c r="A542" s="528" t="s">
        <v>314</v>
      </c>
      <c r="B542" s="516" t="s">
        <v>1916</v>
      </c>
      <c r="C542" s="534" t="s">
        <v>61</v>
      </c>
      <c r="D542" s="534" t="s">
        <v>1456</v>
      </c>
      <c r="E542" s="536"/>
      <c r="F542" s="445"/>
      <c r="G542" s="445"/>
      <c r="H542" s="446">
        <f t="shared" si="60"/>
        <v>0</v>
      </c>
      <c r="I542" s="536"/>
      <c r="J542" s="536"/>
      <c r="K542" s="537"/>
    </row>
    <row r="543" ht="14.5" customHeight="1" spans="1:11" x14ac:dyDescent="0.25" outlineLevel="1" collapsed="1">
      <c r="A543" s="528" t="s">
        <v>316</v>
      </c>
      <c r="B543" s="516" t="s">
        <v>1917</v>
      </c>
      <c r="C543" s="534" t="s">
        <v>1918</v>
      </c>
      <c r="D543" s="534" t="s">
        <v>1919</v>
      </c>
      <c r="E543" s="539"/>
      <c r="F543" s="539"/>
      <c r="G543" s="539"/>
      <c r="H543" s="446">
        <f t="shared" si="60"/>
        <v>0</v>
      </c>
      <c r="I543" s="539"/>
      <c r="J543" s="540"/>
      <c r="K543" s="537"/>
    </row>
    <row r="544" spans="1:11" x14ac:dyDescent="0.25" outlineLevel="1" collapsed="1">
      <c r="A544" s="528" t="s">
        <v>318</v>
      </c>
      <c r="B544" s="516" t="s">
        <v>1920</v>
      </c>
      <c r="C544" s="534" t="s">
        <v>61</v>
      </c>
      <c r="D544" s="534" t="s">
        <v>1456</v>
      </c>
      <c r="E544" s="536"/>
      <c r="F544" s="536"/>
      <c r="G544" s="536"/>
      <c r="H544" s="446">
        <f t="shared" si="60"/>
        <v>0</v>
      </c>
      <c r="I544" s="536"/>
      <c r="J544" s="536"/>
      <c r="K544" s="537"/>
    </row>
    <row r="545" ht="14.5" customHeight="1" spans="1:11" x14ac:dyDescent="0.25" outlineLevel="1" collapsed="1">
      <c r="A545" s="528" t="s">
        <v>478</v>
      </c>
      <c r="B545" s="516" t="s">
        <v>1921</v>
      </c>
      <c r="C545" s="534" t="s">
        <v>1918</v>
      </c>
      <c r="D545" s="534" t="s">
        <v>1919</v>
      </c>
      <c r="E545" s="539"/>
      <c r="F545" s="539"/>
      <c r="G545" s="539"/>
      <c r="H545" s="446">
        <f t="shared" si="60"/>
        <v>0</v>
      </c>
      <c r="I545" s="539"/>
      <c r="J545" s="540"/>
      <c r="K545" s="537"/>
    </row>
    <row r="546" spans="1:11" x14ac:dyDescent="0.25" outlineLevel="1" collapsed="1">
      <c r="A546" s="528" t="s">
        <v>481</v>
      </c>
      <c r="B546" s="516" t="s">
        <v>1922</v>
      </c>
      <c r="C546" s="534" t="s">
        <v>61</v>
      </c>
      <c r="D546" s="534" t="s">
        <v>1456</v>
      </c>
      <c r="E546" s="536"/>
      <c r="F546" s="536"/>
      <c r="G546" s="536"/>
      <c r="H546" s="446">
        <f t="shared" si="60"/>
        <v>0</v>
      </c>
      <c r="I546" s="536"/>
      <c r="J546" s="536"/>
      <c r="K546" s="537"/>
    </row>
    <row r="547" ht="14.5" customHeight="1" spans="1:11" x14ac:dyDescent="0.25" outlineLevel="1" collapsed="1">
      <c r="A547" s="528" t="s">
        <v>483</v>
      </c>
      <c r="B547" s="516" t="s">
        <v>1923</v>
      </c>
      <c r="C547" s="534" t="s">
        <v>1918</v>
      </c>
      <c r="D547" s="534" t="s">
        <v>1919</v>
      </c>
      <c r="E547" s="539"/>
      <c r="F547" s="539"/>
      <c r="G547" s="539"/>
      <c r="H547" s="446">
        <f t="shared" si="60"/>
        <v>0</v>
      </c>
      <c r="I547" s="539"/>
      <c r="J547" s="540"/>
      <c r="K547" s="537"/>
    </row>
    <row r="548" spans="1:11" x14ac:dyDescent="0.25" outlineLevel="1" collapsed="1">
      <c r="A548" s="528" t="s">
        <v>485</v>
      </c>
      <c r="B548" s="516" t="s">
        <v>1924</v>
      </c>
      <c r="C548" s="534" t="s">
        <v>61</v>
      </c>
      <c r="D548" s="534" t="s">
        <v>1456</v>
      </c>
      <c r="E548" s="536"/>
      <c r="F548" s="536"/>
      <c r="G548" s="536"/>
      <c r="H548" s="446">
        <f t="shared" si="60"/>
        <v>0</v>
      </c>
      <c r="I548" s="536"/>
      <c r="J548" s="536"/>
      <c r="K548" s="537"/>
    </row>
    <row r="549" ht="14.5" customHeight="1" spans="1:11" x14ac:dyDescent="0.25" outlineLevel="1" collapsed="1">
      <c r="A549" s="528" t="s">
        <v>488</v>
      </c>
      <c r="B549" s="516" t="s">
        <v>1925</v>
      </c>
      <c r="C549" s="534" t="s">
        <v>1918</v>
      </c>
      <c r="D549" s="534" t="s">
        <v>1919</v>
      </c>
      <c r="E549" s="539"/>
      <c r="F549" s="539"/>
      <c r="G549" s="539"/>
      <c r="H549" s="446">
        <f t="shared" si="60"/>
        <v>0</v>
      </c>
      <c r="I549" s="539"/>
      <c r="J549" s="540"/>
      <c r="K549" s="537"/>
    </row>
    <row r="550" spans="1:11" x14ac:dyDescent="0.25" outlineLevel="1" collapsed="1">
      <c r="A550" s="528" t="s">
        <v>403</v>
      </c>
      <c r="B550" s="516" t="s">
        <v>1926</v>
      </c>
      <c r="C550" s="534" t="s">
        <v>61</v>
      </c>
      <c r="D550" s="534" t="s">
        <v>1927</v>
      </c>
      <c r="E550" s="536"/>
      <c r="F550" s="536"/>
      <c r="G550" s="536"/>
      <c r="H550" s="446">
        <f t="shared" si="60"/>
        <v>0</v>
      </c>
      <c r="I550" s="536"/>
      <c r="J550" s="536"/>
      <c r="K550" s="537"/>
    </row>
    <row r="551" ht="14.5" customHeight="1" spans="1:11" x14ac:dyDescent="0.25" outlineLevel="1" collapsed="1">
      <c r="A551" s="528" t="s">
        <v>407</v>
      </c>
      <c r="B551" s="516" t="s">
        <v>1928</v>
      </c>
      <c r="C551" s="534" t="s">
        <v>1918</v>
      </c>
      <c r="D551" s="534" t="s">
        <v>1493</v>
      </c>
      <c r="E551" s="539"/>
      <c r="F551" s="539"/>
      <c r="G551" s="539"/>
      <c r="H551" s="446">
        <f t="shared" si="60"/>
        <v>0</v>
      </c>
      <c r="I551" s="539"/>
      <c r="J551" s="540"/>
      <c r="K551" s="537"/>
    </row>
    <row r="552" ht="14.5" customHeight="1" spans="1:11" x14ac:dyDescent="0.25" outlineLevel="1" collapsed="1">
      <c r="A552" s="528" t="s">
        <v>410</v>
      </c>
      <c r="B552" s="516" t="s">
        <v>1929</v>
      </c>
      <c r="C552" s="534" t="s">
        <v>1918</v>
      </c>
      <c r="D552" s="534" t="s">
        <v>1930</v>
      </c>
      <c r="E552" s="539"/>
      <c r="F552" s="539"/>
      <c r="G552" s="539"/>
      <c r="H552" s="446">
        <f t="shared" si="60"/>
        <v>0</v>
      </c>
      <c r="I552" s="539"/>
      <c r="J552" s="540"/>
      <c r="K552" s="537"/>
    </row>
    <row r="553" spans="1:11" x14ac:dyDescent="0.25" outlineLevel="1" collapsed="1">
      <c r="A553" s="528" t="s">
        <v>413</v>
      </c>
      <c r="B553" s="516" t="s">
        <v>1931</v>
      </c>
      <c r="C553" s="534" t="s">
        <v>1918</v>
      </c>
      <c r="D553" s="534" t="s">
        <v>1927</v>
      </c>
      <c r="E553" s="536"/>
      <c r="F553" s="536"/>
      <c r="G553" s="536"/>
      <c r="H553" s="446">
        <f t="shared" si="60"/>
        <v>0</v>
      </c>
      <c r="I553" s="536"/>
      <c r="J553" s="536"/>
      <c r="K553" s="537"/>
    </row>
    <row r="554" ht="14.5" customHeight="1" spans="1:11" x14ac:dyDescent="0.25" outlineLevel="1" collapsed="1">
      <c r="A554" s="528" t="s">
        <v>416</v>
      </c>
      <c r="B554" s="516" t="s">
        <v>1932</v>
      </c>
      <c r="C554" s="534" t="s">
        <v>1918</v>
      </c>
      <c r="D554" s="534" t="s">
        <v>1919</v>
      </c>
      <c r="E554" s="539"/>
      <c r="F554" s="539"/>
      <c r="G554" s="539"/>
      <c r="H554" s="446">
        <f t="shared" si="60"/>
        <v>0</v>
      </c>
      <c r="I554" s="539"/>
      <c r="J554" s="540"/>
      <c r="K554" s="537"/>
    </row>
    <row r="555" ht="14.5" customHeight="1" spans="1:11" x14ac:dyDescent="0.25" outlineLevel="1" collapsed="1">
      <c r="A555" s="528" t="s">
        <v>419</v>
      </c>
      <c r="B555" s="516" t="s">
        <v>1933</v>
      </c>
      <c r="C555" s="534"/>
      <c r="D555" s="534" t="s">
        <v>1493</v>
      </c>
      <c r="E555" s="538"/>
      <c r="F555" s="538"/>
      <c r="G555" s="538"/>
      <c r="H555" s="446">
        <f t="shared" si="60"/>
        <v>0</v>
      </c>
      <c r="I555" s="539"/>
      <c r="J555" s="540"/>
      <c r="K555" s="537"/>
    </row>
    <row r="556" spans="1:11" x14ac:dyDescent="0.25" outlineLevel="1" collapsed="1">
      <c r="A556" s="542" t="s">
        <v>423</v>
      </c>
      <c r="B556" s="543" t="s">
        <v>1934</v>
      </c>
      <c r="C556" s="542" t="s">
        <v>1935</v>
      </c>
      <c r="D556" s="542" t="s">
        <v>1912</v>
      </c>
      <c r="E556" s="542">
        <f t="shared" ref="E556:F556" si="61">IFERROR(E540/E541,0)</f>
        <v>0</v>
      </c>
      <c r="F556" s="542">
        <f t="shared" si="61"/>
        <v>0</v>
      </c>
      <c r="G556" s="542">
        <f>IFERROR(G540/G541,0)</f>
        <v>0</v>
      </c>
      <c r="H556" s="446">
        <f>IFERROR(H540/H541,0)</f>
        <v>0</v>
      </c>
      <c r="I556" s="542">
        <f>IFERROR(I540/I541,0)</f>
        <v>0</v>
      </c>
      <c r="J556" s="544"/>
      <c r="K556" s="545"/>
    </row>
    <row r="557" ht="42" customHeight="1" spans="1:11" x14ac:dyDescent="0.25" outlineLevel="1" collapsed="1">
      <c r="A557" s="542" t="s">
        <v>425</v>
      </c>
      <c r="B557" s="543" t="s">
        <v>1936</v>
      </c>
      <c r="C557" s="542" t="s">
        <v>1937</v>
      </c>
      <c r="D557" s="542" t="s">
        <v>1938</v>
      </c>
      <c r="E557" s="542">
        <f t="shared" ref="E557:F557" si="62">IFERROR((((E542*E543)+(E544*E545)+(E546*E547)+(E548*E549))/(E540)),0)</f>
        <v>0</v>
      </c>
      <c r="F557" s="542">
        <f t="shared" si="62"/>
        <v>0</v>
      </c>
      <c r="G557" s="542">
        <f>IFERROR((((G542*G543)+(G544*G545)+(G546*G547)+(G548*G549))/(G540)),0)</f>
        <v>0</v>
      </c>
      <c r="H557" s="446">
        <f>IFERROR((((H542*H543)+(H544*H545)+(H546*H547)+(H548*H549))/(H540)),0)</f>
        <v>0</v>
      </c>
      <c r="I557" s="542">
        <f>IFERROR((((I542*I543)+(I544*I545)+(I546*I547)+(I548*I549))/(I540)),0)</f>
        <v>0</v>
      </c>
      <c r="J557" s="544"/>
      <c r="K557" s="545"/>
    </row>
    <row r="558" ht="42" customHeight="1" spans="1:11" x14ac:dyDescent="0.25" outlineLevel="1" collapsed="1">
      <c r="A558" s="542" t="s">
        <v>427</v>
      </c>
      <c r="B558" s="543" t="s">
        <v>1939</v>
      </c>
      <c r="C558" s="542" t="s">
        <v>1940</v>
      </c>
      <c r="D558" s="542" t="s">
        <v>1493</v>
      </c>
      <c r="E558" s="542">
        <f t="shared" ref="E558:F558" si="63">IFERROR((E542*E543)/((E542*E543)+(E544*E545)+(E546*E547)+(E548*E549)),0)</f>
        <v>0</v>
      </c>
      <c r="F558" s="542">
        <f t="shared" si="63"/>
        <v>0</v>
      </c>
      <c r="G558" s="542">
        <f>IFERROR((G542*G543)/((G542*G543)+(G544*G545)+(G546*G547)+(G548*G549)),0)</f>
        <v>0</v>
      </c>
      <c r="H558" s="446">
        <f>IFERROR((H542*H543)/((H542*H543)+(H544*H545)+(H546*H547)+(H548*H549)),0)</f>
        <v>0</v>
      </c>
      <c r="I558" s="542">
        <f>IFERROR((I542*I543)/((I542*I543)+(I544*I545)+(I546*I547)+(I548*I549)),0)</f>
        <v>0</v>
      </c>
      <c r="J558" s="544"/>
      <c r="K558" s="545"/>
    </row>
    <row r="559" spans="1:11" x14ac:dyDescent="0.25">
      <c r="A559" s="558"/>
      <c r="B559" s="559"/>
      <c r="C559" s="560"/>
      <c r="D559" s="558"/>
      <c r="E559" s="561"/>
      <c r="F559" s="561"/>
      <c r="G559" s="561"/>
      <c r="H559" s="561"/>
      <c r="I559" s="561"/>
      <c r="J559" s="544"/>
      <c r="K559" s="545"/>
    </row>
    <row r="560" ht="42" customHeight="1" spans="1:11" x14ac:dyDescent="0.25">
      <c r="A560" s="542" t="s">
        <v>429</v>
      </c>
      <c r="B560" s="543" t="s">
        <v>1949</v>
      </c>
      <c r="C560" s="542" t="s">
        <v>1950</v>
      </c>
      <c r="D560" s="542" t="s">
        <v>1951</v>
      </c>
      <c r="E560" s="542">
        <f t="shared" ref="E560:F560" si="64">E540+E517+E494+E471+E448</f>
        <v>1060213.2000000002</v>
      </c>
      <c r="F560" s="542">
        <f t="shared" si="64"/>
        <v>0</v>
      </c>
      <c r="G560" s="542">
        <f>G540+G517+G494+G471+G448</f>
        <v>0</v>
      </c>
      <c r="H560" s="446">
        <f>H540+H517+H494+H471+H448</f>
        <v>1060213.2000000002</v>
      </c>
      <c r="I560" s="542">
        <f>I540+I517+I494+I471+I448</f>
        <v>0</v>
      </c>
      <c r="J560" s="544"/>
      <c r="K560" s="545"/>
    </row>
    <row r="561" ht="28" customHeight="1" spans="1:11" x14ac:dyDescent="0.25">
      <c r="A561" s="542" t="s">
        <v>431</v>
      </c>
      <c r="B561" s="543" t="s">
        <v>1952</v>
      </c>
      <c r="C561" s="542" t="s">
        <v>1953</v>
      </c>
      <c r="D561" s="542" t="s">
        <v>1493</v>
      </c>
      <c r="E561" s="542">
        <f t="shared" ref="E561:F561" si="65">IFERROR((E556*E551+E528*E533+E510*E505+E487*E482+E464*E459)/(E556+E533+E510+E487+E464),0)</f>
        <v>82.91160172462848</v>
      </c>
      <c r="F561" s="542">
        <f t="shared" si="65"/>
        <v>0</v>
      </c>
      <c r="G561" s="542">
        <f>IFERROR((G556*G551+G528*G533+G510*G505+G487*G482+G464*G459)/(G556+G533+G510+G487+G464),0)</f>
        <v>0</v>
      </c>
      <c r="H561" s="446">
        <f>IFERROR((H556*H551+H528*H533+H510*H505+H487*H482+H464*H459)/(H556+H533+H510+H487+H464),0)</f>
        <v>82.91160172462848</v>
      </c>
      <c r="I561" s="542">
        <f>IFERROR((I556*I551+I528*I533+I510*I505+I487*I482+I464*I459)/(I556+I533+I510+I487+I464),0)</f>
        <v>0</v>
      </c>
      <c r="J561" s="544"/>
      <c r="K561" s="545"/>
    </row>
    <row r="562" ht="70" customHeight="1" spans="1:11" x14ac:dyDescent="0.25">
      <c r="A562" s="542" t="s">
        <v>433</v>
      </c>
      <c r="B562" s="543" t="s">
        <v>1954</v>
      </c>
      <c r="C562" s="542" t="s">
        <v>1955</v>
      </c>
      <c r="D562" s="542" t="s">
        <v>1912</v>
      </c>
      <c r="E562" s="542">
        <f t="shared" ref="E562:F562" si="66">E556+E533+E510+E487+E464</f>
        <v>157.2323224188637</v>
      </c>
      <c r="F562" s="542">
        <f t="shared" si="66"/>
        <v>0</v>
      </c>
      <c r="G562" s="542">
        <f>G556+G533+G510+G487+G464</f>
        <v>0</v>
      </c>
      <c r="H562" s="446">
        <f>H556+H533+H510+H487+H464</f>
        <v>157.2323224188637</v>
      </c>
      <c r="I562" s="542">
        <f>I556+I533+I510+I487+I464</f>
        <v>0</v>
      </c>
      <c r="J562" s="544"/>
      <c r="K562" s="545"/>
    </row>
    <row r="563" ht="28" customHeight="1" spans="1:11" x14ac:dyDescent="0.25">
      <c r="A563" s="542" t="s">
        <v>435</v>
      </c>
      <c r="B563" s="543" t="s">
        <v>1956</v>
      </c>
      <c r="C563" s="542" t="s">
        <v>1953</v>
      </c>
      <c r="D563" s="542" t="s">
        <v>1938</v>
      </c>
      <c r="E563" s="542">
        <f t="shared" ref="E563:F563" si="67">IFERROR((E557*E556+E534*E533+E511*E510+E488*E487+E465*E464)/(E556+E533+E510+E487+E464),0)</f>
        <v>830.2428426004989</v>
      </c>
      <c r="F563" s="542">
        <f t="shared" si="67"/>
        <v>0</v>
      </c>
      <c r="G563" s="542">
        <f>IFERROR((G557*G556+G534*G533+G511*G510+G488*G487+G465*G464)/(G556+G533+G510+G487+G464),0)</f>
        <v>0</v>
      </c>
      <c r="H563" s="446">
        <f>IFERROR((H557*H556+H534*H533+H511*H510+H488*H487+H465*H464)/(H556+H533+H510+H487+H464),0)</f>
        <v>830.2428426004989</v>
      </c>
      <c r="I563" s="542">
        <f>IFERROR((I557*I556+I534*I533+I511*I510+I488*I487+I465*I464)/(I556+I533+I510+I487+I464),0)</f>
        <v>0</v>
      </c>
      <c r="J563" s="544"/>
      <c r="K563" s="545"/>
    </row>
    <row r="564" ht="28" customHeight="1" spans="1:11" x14ac:dyDescent="0.25">
      <c r="A564" s="542" t="s">
        <v>437</v>
      </c>
      <c r="B564" s="543" t="s">
        <v>1957</v>
      </c>
      <c r="C564" s="542" t="s">
        <v>1953</v>
      </c>
      <c r="D564" s="542" t="s">
        <v>1493</v>
      </c>
      <c r="E564" s="542">
        <f t="shared" ref="E564:F564" si="68">IFERROR((((E464*E466)+(E487*E489)+(E510*E512)+(E533*E535)+(E558*E556))/(E464+E487+E510+E533+E556)),0)</f>
        <v>0.9952067278270673</v>
      </c>
      <c r="F564" s="542">
        <f t="shared" si="68"/>
        <v>0</v>
      </c>
      <c r="G564" s="542">
        <f>IFERROR((((G464*G466)+(G487*G489)+(G510*G512)+(G533*G535)+(G558*G556))/(G464+G487+G510+G533+G556)),0)</f>
        <v>0</v>
      </c>
      <c r="H564" s="446">
        <f>IFERROR((((H464*H466)+(H487*H489)+(H510*H512)+(H533*H535)+(H558*H556))/(H464+H487+H510+H533+H556)),0)</f>
        <v>0.9952067278270673</v>
      </c>
      <c r="I564" s="542">
        <f>IFERROR((((I464*I466)+(I487*I489)+(I510*I512)+(I533*I535)+(I558*I556))/(I464+I487+I510+I533+I556)),0)</f>
        <v>0</v>
      </c>
      <c r="J564" s="544"/>
      <c r="K564" s="545"/>
    </row>
    <row r="565" spans="1:11" x14ac:dyDescent="0.25">
      <c r="A565" s="562"/>
      <c r="B565" s="289"/>
      <c r="C565" s="562"/>
      <c r="D565" s="562"/>
      <c r="E565" s="562"/>
      <c r="F565" s="562"/>
      <c r="G565" s="443"/>
      <c r="H565" s="563"/>
      <c r="I565" s="564"/>
      <c r="J565" s="537"/>
      <c r="K565" s="553"/>
    </row>
    <row r="566" spans="1:11" x14ac:dyDescent="0.25">
      <c r="A566" s="440" t="s">
        <v>439</v>
      </c>
      <c r="B566" s="565" t="s">
        <v>440</v>
      </c>
      <c r="C566" s="439"/>
      <c r="D566" s="440"/>
      <c r="E566" s="440"/>
      <c r="F566" s="440"/>
      <c r="G566" s="440"/>
      <c r="H566" s="440"/>
      <c r="I566" s="440"/>
      <c r="J566" s="442"/>
      <c r="K566" s="442"/>
    </row>
    <row r="567" spans="1:11" x14ac:dyDescent="0.25">
      <c r="A567" s="440" t="s">
        <v>1958</v>
      </c>
      <c r="B567" s="565" t="s">
        <v>1959</v>
      </c>
      <c r="C567" s="439" t="s">
        <v>1960</v>
      </c>
      <c r="D567" s="440"/>
      <c r="E567" s="440"/>
      <c r="F567" s="440"/>
      <c r="G567" s="440"/>
      <c r="H567" s="440"/>
      <c r="I567" s="440"/>
      <c r="J567" s="442"/>
      <c r="K567" s="442"/>
    </row>
    <row r="568" ht="14.5" customHeight="1" spans="1:11" x14ac:dyDescent="0.25" outlineLevel="1" collapsed="1">
      <c r="A568" s="528" t="s">
        <v>306</v>
      </c>
      <c r="B568" s="516" t="s">
        <v>1911</v>
      </c>
      <c r="C568" s="528"/>
      <c r="D568" s="530"/>
      <c r="E568" s="530"/>
      <c r="F568" s="530"/>
      <c r="G568" s="530"/>
      <c r="H568" s="530"/>
      <c r="I568" s="530"/>
      <c r="J568" s="489"/>
      <c r="K568" s="533"/>
    </row>
    <row r="569" ht="14.5" customHeight="1" spans="1:11" x14ac:dyDescent="0.25" outlineLevel="1" collapsed="1">
      <c r="A569" s="528" t="s">
        <v>308</v>
      </c>
      <c r="B569" s="516" t="s">
        <v>1836</v>
      </c>
      <c r="C569" s="534"/>
      <c r="D569" s="534" t="s">
        <v>1912</v>
      </c>
      <c r="E569" s="426"/>
      <c r="F569" s="445"/>
      <c r="G569" s="445"/>
      <c r="H569" s="446">
        <f t="shared" ref="H569:H585" si="69">IF(K$9=1,E569,IF(K$9=2,(E569+F569)/2,(E569+F569+G569)/3))</f>
        <v>140</v>
      </c>
      <c r="I569" s="426"/>
      <c r="J569" s="426"/>
      <c r="K569" s="553"/>
    </row>
    <row r="570" ht="14.5" customHeight="1" spans="1:11" x14ac:dyDescent="0.25" outlineLevel="1" collapsed="1">
      <c r="A570" s="528" t="s">
        <v>310</v>
      </c>
      <c r="B570" s="516" t="s">
        <v>1913</v>
      </c>
      <c r="C570" s="534" t="s">
        <v>61</v>
      </c>
      <c r="D570" s="534" t="s">
        <v>1456</v>
      </c>
      <c r="E570" s="426"/>
      <c r="F570" s="445"/>
      <c r="G570" s="445"/>
      <c r="H570" s="446">
        <f t="shared" si="69"/>
        <v>1063421.3</v>
      </c>
      <c r="I570" s="426"/>
      <c r="J570" s="426"/>
      <c r="K570" s="553"/>
    </row>
    <row r="571" ht="14.5" customHeight="1" spans="1:11" x14ac:dyDescent="0.25" outlineLevel="1" collapsed="1">
      <c r="A571" s="528" t="s">
        <v>312</v>
      </c>
      <c r="B571" s="516" t="s">
        <v>1914</v>
      </c>
      <c r="C571" s="534" t="s">
        <v>61</v>
      </c>
      <c r="D571" s="534" t="s">
        <v>1915</v>
      </c>
      <c r="E571" s="426"/>
      <c r="F571" s="445"/>
      <c r="G571" s="445"/>
      <c r="H571" s="446">
        <f t="shared" si="69"/>
        <v>8045.316666666666</v>
      </c>
      <c r="I571" s="426"/>
      <c r="J571" s="426"/>
      <c r="K571" s="553"/>
    </row>
    <row r="572" ht="14.5" customHeight="1" spans="1:11" x14ac:dyDescent="0.25" outlineLevel="1" collapsed="1">
      <c r="A572" s="528" t="s">
        <v>314</v>
      </c>
      <c r="B572" s="516" t="s">
        <v>1916</v>
      </c>
      <c r="C572" s="534" t="s">
        <v>61</v>
      </c>
      <c r="D572" s="534" t="s">
        <v>1456</v>
      </c>
      <c r="E572" s="426"/>
      <c r="F572" s="445"/>
      <c r="G572" s="445"/>
      <c r="H572" s="446">
        <f t="shared" si="69"/>
        <v>250103.00900000002</v>
      </c>
      <c r="I572" s="426"/>
      <c r="J572" s="426"/>
      <c r="K572" s="553"/>
    </row>
    <row r="573" ht="14.5" customHeight="1" spans="1:11" x14ac:dyDescent="0.25" outlineLevel="1" collapsed="1">
      <c r="A573" s="528" t="s">
        <v>316</v>
      </c>
      <c r="B573" s="516" t="s">
        <v>1917</v>
      </c>
      <c r="C573" s="534" t="s">
        <v>1918</v>
      </c>
      <c r="D573" s="534" t="s">
        <v>1919</v>
      </c>
      <c r="E573" s="539"/>
      <c r="F573" s="539"/>
      <c r="G573" s="539"/>
      <c r="H573" s="446">
        <f t="shared" si="69"/>
        <v>3442.1448714212493</v>
      </c>
      <c r="I573" s="539"/>
      <c r="J573" s="540"/>
      <c r="K573" s="553"/>
    </row>
    <row r="574" spans="1:11" x14ac:dyDescent="0.25" outlineLevel="1" collapsed="1">
      <c r="A574" s="528" t="s">
        <v>318</v>
      </c>
      <c r="B574" s="516" t="s">
        <v>1920</v>
      </c>
      <c r="C574" s="534" t="s">
        <v>61</v>
      </c>
      <c r="D574" s="534" t="s">
        <v>1456</v>
      </c>
      <c r="E574" s="536"/>
      <c r="F574" s="536"/>
      <c r="G574" s="536"/>
      <c r="H574" s="446">
        <f t="shared" si="69"/>
        <v>0</v>
      </c>
      <c r="I574" s="536"/>
      <c r="J574" s="536"/>
      <c r="K574" s="553"/>
    </row>
    <row r="575" ht="14.5" customHeight="1" spans="1:11" x14ac:dyDescent="0.25" outlineLevel="1" collapsed="1">
      <c r="A575" s="528" t="s">
        <v>478</v>
      </c>
      <c r="B575" s="516" t="s">
        <v>1921</v>
      </c>
      <c r="C575" s="534" t="s">
        <v>1918</v>
      </c>
      <c r="D575" s="534" t="s">
        <v>1919</v>
      </c>
      <c r="E575" s="539"/>
      <c r="F575" s="539"/>
      <c r="G575" s="539"/>
      <c r="H575" s="446">
        <f t="shared" si="69"/>
        <v>0</v>
      </c>
      <c r="I575" s="539"/>
      <c r="J575" s="540"/>
      <c r="K575" s="553"/>
    </row>
    <row r="576" spans="1:11" x14ac:dyDescent="0.25" outlineLevel="1" collapsed="1">
      <c r="A576" s="528" t="s">
        <v>481</v>
      </c>
      <c r="B576" s="516" t="s">
        <v>1922</v>
      </c>
      <c r="C576" s="534" t="s">
        <v>61</v>
      </c>
      <c r="D576" s="534" t="s">
        <v>1456</v>
      </c>
      <c r="E576" s="536"/>
      <c r="F576" s="536"/>
      <c r="G576" s="536"/>
      <c r="H576" s="446">
        <f t="shared" si="69"/>
        <v>0</v>
      </c>
      <c r="I576" s="536"/>
      <c r="J576" s="536"/>
      <c r="K576" s="553"/>
    </row>
    <row r="577" ht="14.5" customHeight="1" spans="1:11" x14ac:dyDescent="0.25" outlineLevel="1" collapsed="1">
      <c r="A577" s="528" t="s">
        <v>483</v>
      </c>
      <c r="B577" s="516" t="s">
        <v>1923</v>
      </c>
      <c r="C577" s="534" t="s">
        <v>1918</v>
      </c>
      <c r="D577" s="534" t="s">
        <v>1919</v>
      </c>
      <c r="E577" s="539"/>
      <c r="F577" s="539"/>
      <c r="G577" s="539"/>
      <c r="H577" s="446">
        <f t="shared" si="69"/>
        <v>0</v>
      </c>
      <c r="I577" s="539"/>
      <c r="J577" s="540"/>
      <c r="K577" s="553"/>
    </row>
    <row r="578" spans="1:11" x14ac:dyDescent="0.25" outlineLevel="1" collapsed="1">
      <c r="A578" s="528" t="s">
        <v>485</v>
      </c>
      <c r="B578" s="516" t="s">
        <v>1924</v>
      </c>
      <c r="C578" s="534" t="s">
        <v>61</v>
      </c>
      <c r="D578" s="534" t="s">
        <v>1456</v>
      </c>
      <c r="E578" s="536"/>
      <c r="F578" s="536"/>
      <c r="G578" s="536"/>
      <c r="H578" s="446">
        <f t="shared" si="69"/>
        <v>4443.397486039228</v>
      </c>
      <c r="I578" s="536"/>
      <c r="J578" s="536"/>
      <c r="K578" s="553"/>
    </row>
    <row r="579" ht="14.5" customHeight="1" spans="1:11" x14ac:dyDescent="0.25" outlineLevel="1" collapsed="1">
      <c r="A579" s="528" t="s">
        <v>488</v>
      </c>
      <c r="B579" s="516" t="s">
        <v>1925</v>
      </c>
      <c r="C579" s="534" t="s">
        <v>1918</v>
      </c>
      <c r="D579" s="534" t="s">
        <v>1919</v>
      </c>
      <c r="E579" s="539"/>
      <c r="F579" s="539"/>
      <c r="G579" s="539"/>
      <c r="H579" s="446">
        <f t="shared" si="69"/>
        <v>3442.1448714212493</v>
      </c>
      <c r="I579" s="539"/>
      <c r="J579" s="540"/>
      <c r="K579" s="553"/>
    </row>
    <row r="580" spans="1:11" x14ac:dyDescent="0.25" outlineLevel="1" collapsed="1">
      <c r="A580" s="528" t="s">
        <v>403</v>
      </c>
      <c r="B580" s="516" t="s">
        <v>1926</v>
      </c>
      <c r="C580" s="534" t="s">
        <v>61</v>
      </c>
      <c r="D580" s="534" t="s">
        <v>1927</v>
      </c>
      <c r="E580" s="536"/>
      <c r="F580" s="536"/>
      <c r="G580" s="536"/>
      <c r="H580" s="446">
        <f t="shared" si="69"/>
        <v>132.8010867559449</v>
      </c>
      <c r="I580" s="536"/>
      <c r="J580" s="536"/>
      <c r="K580" s="553"/>
    </row>
    <row r="581" ht="14.5" customHeight="1" spans="1:11" x14ac:dyDescent="0.25" outlineLevel="1" collapsed="1">
      <c r="A581" s="528" t="s">
        <v>407</v>
      </c>
      <c r="B581" s="516" t="s">
        <v>1928</v>
      </c>
      <c r="C581" s="534" t="s">
        <v>1918</v>
      </c>
      <c r="D581" s="534" t="s">
        <v>1493</v>
      </c>
      <c r="E581" s="539"/>
      <c r="F581" s="539"/>
      <c r="G581" s="539"/>
      <c r="H581" s="446">
        <f t="shared" si="69"/>
        <v>84.2233613877289</v>
      </c>
      <c r="I581" s="539"/>
      <c r="J581" s="540"/>
      <c r="K581" s="553"/>
    </row>
    <row r="582" ht="14.5" customHeight="1" spans="1:11" x14ac:dyDescent="0.25" outlineLevel="1" collapsed="1">
      <c r="A582" s="528" t="s">
        <v>410</v>
      </c>
      <c r="B582" s="516" t="s">
        <v>1929</v>
      </c>
      <c r="C582" s="534" t="s">
        <v>1918</v>
      </c>
      <c r="D582" s="534" t="s">
        <v>1930</v>
      </c>
      <c r="E582" s="539"/>
      <c r="F582" s="539"/>
      <c r="G582" s="539"/>
      <c r="H582" s="446">
        <f t="shared" si="69"/>
        <v>101.27714148267593</v>
      </c>
      <c r="I582" s="539"/>
      <c r="J582" s="566"/>
      <c r="K582" s="553"/>
    </row>
    <row r="583" ht="14.5" customHeight="1" spans="1:11" x14ac:dyDescent="0.25" outlineLevel="1" collapsed="1">
      <c r="A583" s="528" t="s">
        <v>413</v>
      </c>
      <c r="B583" s="516" t="s">
        <v>1931</v>
      </c>
      <c r="C583" s="534" t="s">
        <v>1918</v>
      </c>
      <c r="D583" s="534" t="s">
        <v>1927</v>
      </c>
      <c r="E583" s="536"/>
      <c r="F583" s="536"/>
      <c r="G583" s="536"/>
      <c r="H583" s="446">
        <f t="shared" si="69"/>
        <v>527.9089494231733</v>
      </c>
      <c r="I583" s="536"/>
      <c r="J583" s="567"/>
      <c r="K583" s="568"/>
    </row>
    <row r="584" ht="14.5" customHeight="1" spans="1:11" x14ac:dyDescent="0.25" outlineLevel="1" collapsed="1">
      <c r="A584" s="528" t="s">
        <v>416</v>
      </c>
      <c r="B584" s="516" t="s">
        <v>1932</v>
      </c>
      <c r="C584" s="534" t="s">
        <v>1918</v>
      </c>
      <c r="D584" s="534" t="s">
        <v>1919</v>
      </c>
      <c r="E584" s="539"/>
      <c r="F584" s="539"/>
      <c r="G584" s="539"/>
      <c r="H584" s="446">
        <f t="shared" si="69"/>
        <v>823.2125000000001</v>
      </c>
      <c r="I584" s="539"/>
      <c r="J584" s="540"/>
      <c r="K584" s="568"/>
    </row>
    <row r="585" ht="14.5" customHeight="1" spans="1:11" x14ac:dyDescent="0.25" outlineLevel="1" collapsed="1">
      <c r="A585" s="528" t="s">
        <v>419</v>
      </c>
      <c r="B585" s="516" t="s">
        <v>1933</v>
      </c>
      <c r="C585" s="534"/>
      <c r="D585" s="534" t="s">
        <v>1493</v>
      </c>
      <c r="E585" s="539"/>
      <c r="F585" s="539"/>
      <c r="G585" s="539"/>
      <c r="H585" s="446">
        <f t="shared" si="69"/>
        <v>83.92</v>
      </c>
      <c r="I585" s="539"/>
      <c r="J585" s="540"/>
      <c r="K585" s="553"/>
    </row>
    <row r="586" spans="1:11" x14ac:dyDescent="0.25" outlineLevel="1" collapsed="1">
      <c r="A586" s="542" t="s">
        <v>423</v>
      </c>
      <c r="B586" s="543" t="s">
        <v>1934</v>
      </c>
      <c r="C586" s="542" t="s">
        <v>1935</v>
      </c>
      <c r="D586" s="542" t="s">
        <v>1912</v>
      </c>
      <c r="E586" s="542">
        <f t="shared" ref="E586:F586" si="70">IFERROR(E570/E571,0)</f>
        <v>132.17892397026014</v>
      </c>
      <c r="F586" s="542">
        <f t="shared" si="70"/>
        <v>0</v>
      </c>
      <c r="G586" s="542">
        <f>IFERROR(G570/G571,0)</f>
        <v>0</v>
      </c>
      <c r="H586" s="446">
        <f>IFERROR(H570/H571,0)</f>
        <v>132.17892397026014</v>
      </c>
      <c r="I586" s="542">
        <f>IFERROR(I570/I571,0)</f>
        <v>0</v>
      </c>
      <c r="J586" s="544"/>
      <c r="K586" s="545"/>
    </row>
    <row r="587" ht="42" customHeight="1" spans="1:11" x14ac:dyDescent="0.25" outlineLevel="1" collapsed="1">
      <c r="A587" s="542" t="s">
        <v>425</v>
      </c>
      <c r="B587" s="543" t="s">
        <v>1936</v>
      </c>
      <c r="C587" s="542" t="s">
        <v>1937</v>
      </c>
      <c r="D587" s="542" t="s">
        <v>1938</v>
      </c>
      <c r="E587" s="542">
        <f t="shared" ref="E587:F587" si="71">IFERROR((((E572*E573)+(E574*E575)+(E576*E577)+(E578*E579))/E570),0)</f>
        <v>823.9308424841862</v>
      </c>
      <c r="F587" s="542">
        <f t="shared" si="71"/>
        <v>0</v>
      </c>
      <c r="G587" s="542">
        <f>IFERROR((((G572*G573)+(G574*G575)+(G576*G577)+(G578*G579))/G570),0)</f>
        <v>0</v>
      </c>
      <c r="H587" s="446">
        <f>IFERROR((((H572*H573)+(H574*H575)+(H576*H577)+(H578*H579))/H570),0)</f>
        <v>823.9308424841862</v>
      </c>
      <c r="I587" s="542">
        <f>IFERROR((((I572*I573)+(I574*I575)+(I576*I577)+(I578*I579))/I570),0)</f>
        <v>0</v>
      </c>
      <c r="J587" s="544"/>
      <c r="K587" s="545"/>
    </row>
    <row r="588" ht="42" customHeight="1" spans="1:11" x14ac:dyDescent="0.25" outlineLevel="1" collapsed="1">
      <c r="A588" s="542" t="s">
        <v>427</v>
      </c>
      <c r="B588" s="543" t="s">
        <v>1939</v>
      </c>
      <c r="C588" s="542" t="s">
        <v>1940</v>
      </c>
      <c r="D588" s="542" t="s">
        <v>1493</v>
      </c>
      <c r="E588" s="542">
        <f t="shared" ref="E588:F588" si="72">IFERROR(((E572*E573)/((E572*E573)+(E574*E575)+(E576*E577)+(E578*E579))),0)</f>
        <v>0.9825438608724459</v>
      </c>
      <c r="F588" s="542">
        <f t="shared" si="72"/>
        <v>0</v>
      </c>
      <c r="G588" s="542">
        <f>IFERROR(((G572*G573)/((G572*G573)+(G574*G575)+(G576*G577)+(G578*G579))),0)</f>
        <v>0</v>
      </c>
      <c r="H588" s="446">
        <f>IFERROR(((H572*H573)/((H572*H573)+(H574*H575)+(H576*H577)+(H578*H579))),0)</f>
        <v>0.9825438608724459</v>
      </c>
      <c r="I588" s="542">
        <f>IFERROR(((I572*I573)/((I572*I573)+(I574*I575)+(I576*I577)+(I578*I579))),0)</f>
        <v>0</v>
      </c>
      <c r="J588" s="544"/>
      <c r="K588" s="545"/>
    </row>
    <row r="589" spans="1:11" x14ac:dyDescent="0.25">
      <c r="A589" s="569"/>
      <c r="B589" s="570"/>
      <c r="C589" s="571"/>
      <c r="D589" s="572"/>
      <c r="E589" s="572"/>
      <c r="F589" s="572"/>
      <c r="G589" s="573"/>
      <c r="H589" s="563"/>
      <c r="I589" s="564"/>
      <c r="J589" s="537"/>
      <c r="K589" s="553"/>
    </row>
    <row r="590" spans="1:11" x14ac:dyDescent="0.25">
      <c r="A590" s="440" t="s">
        <v>1961</v>
      </c>
      <c r="B590" s="565" t="s">
        <v>1962</v>
      </c>
      <c r="C590" s="439" t="s">
        <v>1960</v>
      </c>
      <c r="D590" s="440"/>
      <c r="E590" s="440"/>
      <c r="F590" s="440"/>
      <c r="G590" s="440"/>
      <c r="H590" s="440"/>
      <c r="I590" s="440"/>
      <c r="J590" s="442"/>
      <c r="K590" s="442"/>
    </row>
    <row r="591" ht="14.5" customHeight="1" spans="1:11" x14ac:dyDescent="0.25" outlineLevel="1" collapsed="1">
      <c r="A591" s="528" t="s">
        <v>306</v>
      </c>
      <c r="B591" s="516" t="s">
        <v>1911</v>
      </c>
      <c r="C591" s="528"/>
      <c r="D591" s="574"/>
      <c r="E591" s="530"/>
      <c r="F591" s="530"/>
      <c r="G591" s="530"/>
      <c r="H591" s="530"/>
      <c r="I591" s="530"/>
      <c r="J591" s="489"/>
      <c r="K591" s="533"/>
    </row>
    <row r="592" ht="14.5" customHeight="1" spans="1:11" x14ac:dyDescent="0.25" outlineLevel="1" collapsed="1">
      <c r="A592" s="528" t="s">
        <v>308</v>
      </c>
      <c r="B592" s="516" t="s">
        <v>1836</v>
      </c>
      <c r="C592" s="534"/>
      <c r="D592" s="534" t="s">
        <v>1912</v>
      </c>
      <c r="E592" s="536"/>
      <c r="F592" s="445"/>
      <c r="G592" s="445"/>
      <c r="H592" s="446">
        <f t="shared" ref="H592:H608" si="73">IF(K$9=1,E592,IF(K$9=2,(E592+F592)/2,(E592+F592+G592)/3))</f>
        <v>150</v>
      </c>
      <c r="I592" s="426"/>
      <c r="J592" s="426"/>
      <c r="K592" s="553"/>
    </row>
    <row r="593" ht="14.5" customHeight="1" spans="1:11" x14ac:dyDescent="0.25" outlineLevel="1" collapsed="1">
      <c r="A593" s="528" t="s">
        <v>310</v>
      </c>
      <c r="B593" s="516" t="s">
        <v>1913</v>
      </c>
      <c r="C593" s="534" t="s">
        <v>61</v>
      </c>
      <c r="D593" s="534" t="s">
        <v>1456</v>
      </c>
      <c r="E593" s="426"/>
      <c r="F593" s="445"/>
      <c r="G593" s="445"/>
      <c r="H593" s="446">
        <f t="shared" si="73"/>
        <v>1090214.4</v>
      </c>
      <c r="I593" s="426"/>
      <c r="J593" s="426"/>
      <c r="K593" s="553"/>
    </row>
    <row r="594" ht="14.5" customHeight="1" spans="1:11" x14ac:dyDescent="0.25" outlineLevel="1" collapsed="1">
      <c r="A594" s="528" t="s">
        <v>312</v>
      </c>
      <c r="B594" s="516" t="s">
        <v>1914</v>
      </c>
      <c r="C594" s="534" t="s">
        <v>61</v>
      </c>
      <c r="D594" s="534" t="s">
        <v>1915</v>
      </c>
      <c r="E594" s="426"/>
      <c r="F594" s="445"/>
      <c r="G594" s="445"/>
      <c r="H594" s="446">
        <f t="shared" si="73"/>
        <v>8023.483333333334</v>
      </c>
      <c r="I594" s="426"/>
      <c r="J594" s="426"/>
      <c r="K594" s="553"/>
    </row>
    <row r="595" ht="14.5" customHeight="1" spans="1:11" x14ac:dyDescent="0.25" outlineLevel="1" collapsed="1">
      <c r="A595" s="528" t="s">
        <v>314</v>
      </c>
      <c r="B595" s="516" t="s">
        <v>1916</v>
      </c>
      <c r="C595" s="534" t="s">
        <v>61</v>
      </c>
      <c r="D595" s="534" t="s">
        <v>1456</v>
      </c>
      <c r="E595" s="426"/>
      <c r="F595" s="445"/>
      <c r="G595" s="445"/>
      <c r="H595" s="446">
        <f t="shared" si="73"/>
        <v>236854.85400000002</v>
      </c>
      <c r="I595" s="426"/>
      <c r="J595" s="426"/>
      <c r="K595" s="553"/>
    </row>
    <row r="596" ht="14.5" customHeight="1" spans="1:11" x14ac:dyDescent="0.25" outlineLevel="1" collapsed="1">
      <c r="A596" s="528" t="s">
        <v>316</v>
      </c>
      <c r="B596" s="516" t="s">
        <v>1917</v>
      </c>
      <c r="C596" s="534" t="s">
        <v>1918</v>
      </c>
      <c r="D596" s="534" t="s">
        <v>1919</v>
      </c>
      <c r="E596" s="539"/>
      <c r="F596" s="539"/>
      <c r="G596" s="539"/>
      <c r="H596" s="446">
        <f t="shared" si="73"/>
        <v>3447.385391304142</v>
      </c>
      <c r="I596" s="539"/>
      <c r="J596" s="540"/>
      <c r="K596" s="553"/>
    </row>
    <row r="597" spans="1:11" x14ac:dyDescent="0.25" outlineLevel="1" collapsed="1">
      <c r="A597" s="528" t="s">
        <v>318</v>
      </c>
      <c r="B597" s="516" t="s">
        <v>1920</v>
      </c>
      <c r="C597" s="534" t="s">
        <v>61</v>
      </c>
      <c r="D597" s="534" t="s">
        <v>1456</v>
      </c>
      <c r="E597" s="536"/>
      <c r="F597" s="536"/>
      <c r="G597" s="536"/>
      <c r="H597" s="446">
        <f t="shared" si="73"/>
        <v>0</v>
      </c>
      <c r="I597" s="536"/>
      <c r="J597" s="536"/>
      <c r="K597" s="553"/>
    </row>
    <row r="598" ht="14.5" customHeight="1" spans="1:11" x14ac:dyDescent="0.25" outlineLevel="1" collapsed="1">
      <c r="A598" s="528" t="s">
        <v>478</v>
      </c>
      <c r="B598" s="516" t="s">
        <v>1921</v>
      </c>
      <c r="C598" s="534" t="s">
        <v>1918</v>
      </c>
      <c r="D598" s="534" t="s">
        <v>1919</v>
      </c>
      <c r="E598" s="539"/>
      <c r="F598" s="539"/>
      <c r="G598" s="539"/>
      <c r="H598" s="446">
        <f t="shared" si="73"/>
        <v>0</v>
      </c>
      <c r="I598" s="539"/>
      <c r="J598" s="540"/>
      <c r="K598" s="553"/>
    </row>
    <row r="599" spans="1:11" x14ac:dyDescent="0.25" outlineLevel="1" collapsed="1">
      <c r="A599" s="528" t="s">
        <v>481</v>
      </c>
      <c r="B599" s="516" t="s">
        <v>1922</v>
      </c>
      <c r="C599" s="534" t="s">
        <v>61</v>
      </c>
      <c r="D599" s="534" t="s">
        <v>1456</v>
      </c>
      <c r="E599" s="536"/>
      <c r="F599" s="536"/>
      <c r="G599" s="536"/>
      <c r="H599" s="446">
        <f t="shared" si="73"/>
        <v>0</v>
      </c>
      <c r="I599" s="536"/>
      <c r="J599" s="536"/>
      <c r="K599" s="553"/>
    </row>
    <row r="600" ht="14.5" customHeight="1" spans="1:11" x14ac:dyDescent="0.25" outlineLevel="1" collapsed="1">
      <c r="A600" s="528" t="s">
        <v>483</v>
      </c>
      <c r="B600" s="516" t="s">
        <v>1923</v>
      </c>
      <c r="C600" s="534" t="s">
        <v>1918</v>
      </c>
      <c r="D600" s="534" t="s">
        <v>1919</v>
      </c>
      <c r="E600" s="539"/>
      <c r="F600" s="539"/>
      <c r="G600" s="539"/>
      <c r="H600" s="446">
        <f t="shared" si="73"/>
        <v>0</v>
      </c>
      <c r="I600" s="539"/>
      <c r="J600" s="540"/>
      <c r="K600" s="553"/>
    </row>
    <row r="601" spans="1:11" x14ac:dyDescent="0.25" outlineLevel="1" collapsed="1">
      <c r="A601" s="528" t="s">
        <v>485</v>
      </c>
      <c r="B601" s="516" t="s">
        <v>1924</v>
      </c>
      <c r="C601" s="534" t="s">
        <v>61</v>
      </c>
      <c r="D601" s="534" t="s">
        <v>1456</v>
      </c>
      <c r="E601" s="536"/>
      <c r="F601" s="536"/>
      <c r="G601" s="536"/>
      <c r="H601" s="446">
        <f t="shared" si="73"/>
        <v>3677.730691366987</v>
      </c>
      <c r="I601" s="536"/>
      <c r="J601" s="536"/>
      <c r="K601" s="553"/>
    </row>
    <row r="602" ht="14.5" customHeight="1" spans="1:11" x14ac:dyDescent="0.25" outlineLevel="1" collapsed="1">
      <c r="A602" s="528" t="s">
        <v>488</v>
      </c>
      <c r="B602" s="516" t="s">
        <v>1925</v>
      </c>
      <c r="C602" s="534" t="s">
        <v>1918</v>
      </c>
      <c r="D602" s="534" t="s">
        <v>1919</v>
      </c>
      <c r="E602" s="539"/>
      <c r="F602" s="539"/>
      <c r="G602" s="539"/>
      <c r="H602" s="446">
        <f t="shared" si="73"/>
        <v>3447.385391304142</v>
      </c>
      <c r="I602" s="539"/>
      <c r="J602" s="540"/>
      <c r="K602" s="553"/>
    </row>
    <row r="603" spans="1:11" x14ac:dyDescent="0.25" outlineLevel="1" collapsed="1">
      <c r="A603" s="528" t="s">
        <v>403</v>
      </c>
      <c r="B603" s="516" t="s">
        <v>1926</v>
      </c>
      <c r="C603" s="534" t="s">
        <v>61</v>
      </c>
      <c r="D603" s="534" t="s">
        <v>1927</v>
      </c>
      <c r="E603" s="536"/>
      <c r="F603" s="536"/>
      <c r="G603" s="536"/>
      <c r="H603" s="446">
        <f t="shared" si="73"/>
        <v>182.16998533040154</v>
      </c>
      <c r="I603" s="536"/>
      <c r="J603" s="536"/>
      <c r="K603" s="553"/>
    </row>
    <row r="604" ht="14.5" customHeight="1" spans="1:11" x14ac:dyDescent="0.25" outlineLevel="1" collapsed="1">
      <c r="A604" s="528" t="s">
        <v>407</v>
      </c>
      <c r="B604" s="516" t="s">
        <v>1928</v>
      </c>
      <c r="C604" s="534" t="s">
        <v>1918</v>
      </c>
      <c r="D604" s="534" t="s">
        <v>1493</v>
      </c>
      <c r="E604" s="539"/>
      <c r="F604" s="539"/>
      <c r="G604" s="539"/>
      <c r="H604" s="446">
        <f t="shared" si="73"/>
        <v>84.4729074039721</v>
      </c>
      <c r="I604" s="539"/>
      <c r="J604" s="540"/>
      <c r="K604" s="553"/>
    </row>
    <row r="605" ht="14.5" customHeight="1" spans="1:11" x14ac:dyDescent="0.25" outlineLevel="1" collapsed="1">
      <c r="A605" s="528" t="s">
        <v>410</v>
      </c>
      <c r="B605" s="516" t="s">
        <v>1929</v>
      </c>
      <c r="C605" s="534" t="s">
        <v>1918</v>
      </c>
      <c r="D605" s="534" t="s">
        <v>1930</v>
      </c>
      <c r="E605" s="539"/>
      <c r="F605" s="539"/>
      <c r="G605" s="539"/>
      <c r="H605" s="446">
        <f t="shared" si="73"/>
        <v>105.95487597366935</v>
      </c>
      <c r="I605" s="539"/>
      <c r="J605" s="566"/>
      <c r="K605" s="553"/>
    </row>
    <row r="606" ht="14.5" customHeight="1" spans="1:11" x14ac:dyDescent="0.25" outlineLevel="1" collapsed="1">
      <c r="A606" s="528" t="s">
        <v>413</v>
      </c>
      <c r="B606" s="516" t="s">
        <v>1931</v>
      </c>
      <c r="C606" s="534" t="s">
        <v>1918</v>
      </c>
      <c r="D606" s="534" t="s">
        <v>1927</v>
      </c>
      <c r="E606" s="536"/>
      <c r="F606" s="536"/>
      <c r="G606" s="536"/>
      <c r="H606" s="446">
        <f t="shared" si="73"/>
        <v>526.5820870222861</v>
      </c>
      <c r="I606" s="536"/>
      <c r="J606" s="567"/>
      <c r="K606" s="568"/>
    </row>
    <row r="607" ht="14.5" customHeight="1" spans="1:11" x14ac:dyDescent="0.25" outlineLevel="1" collapsed="1">
      <c r="A607" s="528" t="s">
        <v>416</v>
      </c>
      <c r="B607" s="516" t="s">
        <v>1932</v>
      </c>
      <c r="C607" s="534" t="s">
        <v>1918</v>
      </c>
      <c r="D607" s="534" t="s">
        <v>1919</v>
      </c>
      <c r="E607" s="539"/>
      <c r="F607" s="539"/>
      <c r="G607" s="539"/>
      <c r="H607" s="446">
        <f t="shared" si="73"/>
        <v>821.2084166666665</v>
      </c>
      <c r="I607" s="539"/>
      <c r="J607" s="540"/>
      <c r="K607" s="568"/>
    </row>
    <row r="608" ht="14.5" customHeight="1" spans="1:11" x14ac:dyDescent="0.25" outlineLevel="1" collapsed="1">
      <c r="A608" s="528" t="s">
        <v>419</v>
      </c>
      <c r="B608" s="516" t="s">
        <v>1933</v>
      </c>
      <c r="C608" s="534"/>
      <c r="D608" s="534" t="s">
        <v>1493</v>
      </c>
      <c r="E608" s="539"/>
      <c r="F608" s="539"/>
      <c r="G608" s="539"/>
      <c r="H608" s="446">
        <f t="shared" si="73"/>
        <v>85.44</v>
      </c>
      <c r="I608" s="539"/>
      <c r="J608" s="540"/>
      <c r="K608" s="553"/>
    </row>
    <row r="609" spans="1:11" x14ac:dyDescent="0.25" outlineLevel="1" collapsed="1">
      <c r="A609" s="542" t="s">
        <v>423</v>
      </c>
      <c r="B609" s="543" t="s">
        <v>1934</v>
      </c>
      <c r="C609" s="542" t="s">
        <v>1935</v>
      </c>
      <c r="D609" s="542" t="s">
        <v>1912</v>
      </c>
      <c r="E609" s="542">
        <f t="shared" ref="E609:F609" si="74">IFERROR(E593/E594,0)</f>
        <v>135.87794162552007</v>
      </c>
      <c r="F609" s="542">
        <f t="shared" si="74"/>
        <v>0</v>
      </c>
      <c r="G609" s="542">
        <f>IFERROR(G593/G594,0)</f>
        <v>0</v>
      </c>
      <c r="H609" s="446">
        <f>IFERROR(H593/H594,0)</f>
        <v>135.87794162552007</v>
      </c>
      <c r="I609" s="542">
        <f>IFERROR(I593/I594,0)</f>
        <v>0</v>
      </c>
      <c r="J609" s="544"/>
      <c r="K609" s="545"/>
    </row>
    <row r="610" ht="42" customHeight="1" spans="1:11" x14ac:dyDescent="0.25" outlineLevel="1" collapsed="1">
      <c r="A610" s="542" t="s">
        <v>425</v>
      </c>
      <c r="B610" s="543" t="s">
        <v>1936</v>
      </c>
      <c r="C610" s="542" t="s">
        <v>1937</v>
      </c>
      <c r="D610" s="542" t="s">
        <v>1938</v>
      </c>
      <c r="E610" s="542">
        <f t="shared" ref="E610:F610" si="75">IFERROR((((E595*E596)+(E597*E598)+(E599*E600)+(E601*E602))/E593),0)</f>
        <v>760.5921537980465</v>
      </c>
      <c r="F610" s="542">
        <f t="shared" si="75"/>
        <v>0</v>
      </c>
      <c r="G610" s="542">
        <f>IFERROR((((G595*G596)+(G597*G598)+(G599*G600)+(G601*G602))/G593),0)</f>
        <v>0</v>
      </c>
      <c r="H610" s="446">
        <f>IFERROR((((H595*H596)+(H597*H598)+(H599*H600)+(H601*H602))/H593),0)</f>
        <v>760.5921537980465</v>
      </c>
      <c r="I610" s="542">
        <f>IFERROR((((I595*I596)+(I597*I598)+(I599*I600)+(I601*I602))/I593),0)</f>
        <v>0</v>
      </c>
      <c r="J610" s="544"/>
      <c r="K610" s="545"/>
    </row>
    <row r="611" ht="42" customHeight="1" spans="1:11" x14ac:dyDescent="0.25" outlineLevel="1" collapsed="1">
      <c r="A611" s="542" t="s">
        <v>427</v>
      </c>
      <c r="B611" s="543" t="s">
        <v>1939</v>
      </c>
      <c r="C611" s="542" t="s">
        <v>1940</v>
      </c>
      <c r="D611" s="542" t="s">
        <v>1493</v>
      </c>
      <c r="E611" s="542">
        <f t="shared" ref="E611:F611" si="76">IFERROR(((E595*E596)/((E595*E596)+(E597*E598)+(E599*E600)+(E601*E602))),0)</f>
        <v>0.9847100520867642</v>
      </c>
      <c r="F611" s="542">
        <f t="shared" si="76"/>
        <v>0</v>
      </c>
      <c r="G611" s="542">
        <f>IFERROR(((G595*G596)/((G595*G596)+(G597*G598)+(G599*G600)+(G601*G602))),0)</f>
        <v>0</v>
      </c>
      <c r="H611" s="446">
        <f>IFERROR(((H595*H596)/((H595*H596)+(H597*H598)+(H599*H600)+(H601*H602))),0)</f>
        <v>0.9847100520867642</v>
      </c>
      <c r="I611" s="542">
        <f>IFERROR(((I595*I596)/((I595*I596)+(I597*I598)+(I599*I600)+(I601*I602))),0)</f>
        <v>0</v>
      </c>
      <c r="J611" s="544"/>
      <c r="K611" s="545"/>
    </row>
    <row r="612" spans="1:11" x14ac:dyDescent="0.25">
      <c r="A612" s="443"/>
      <c r="B612" s="349"/>
      <c r="C612" s="293"/>
      <c r="D612" s="293"/>
      <c r="E612" s="443"/>
      <c r="F612" s="443"/>
      <c r="G612" s="443"/>
      <c r="H612" s="575"/>
      <c r="I612" s="564"/>
      <c r="J612" s="537"/>
      <c r="K612" s="456"/>
    </row>
    <row r="613" spans="1:11" x14ac:dyDescent="0.25">
      <c r="A613" s="440" t="s">
        <v>1963</v>
      </c>
      <c r="B613" s="565" t="s">
        <v>1964</v>
      </c>
      <c r="C613" s="439" t="s">
        <v>1960</v>
      </c>
      <c r="D613" s="440"/>
      <c r="E613" s="440"/>
      <c r="F613" s="440"/>
      <c r="G613" s="440"/>
      <c r="H613" s="440"/>
      <c r="I613" s="440"/>
      <c r="J613" s="442"/>
      <c r="K613" s="442"/>
    </row>
    <row r="614" ht="14.5" customHeight="1" spans="1:11" x14ac:dyDescent="0.25" outlineLevel="1" collapsed="1">
      <c r="A614" s="528" t="s">
        <v>306</v>
      </c>
      <c r="B614" s="516" t="s">
        <v>1911</v>
      </c>
      <c r="C614" s="528"/>
      <c r="D614" s="574"/>
      <c r="E614" s="530"/>
      <c r="F614" s="530"/>
      <c r="G614" s="530"/>
      <c r="H614" s="557"/>
      <c r="I614" s="530"/>
      <c r="J614" s="489"/>
      <c r="K614" s="533"/>
    </row>
    <row r="615" ht="14.5" customHeight="1" spans="1:11" x14ac:dyDescent="0.25" outlineLevel="1" collapsed="1">
      <c r="A615" s="528" t="s">
        <v>308</v>
      </c>
      <c r="B615" s="516" t="s">
        <v>1836</v>
      </c>
      <c r="C615" s="534"/>
      <c r="D615" s="534" t="s">
        <v>1912</v>
      </c>
      <c r="E615" s="536"/>
      <c r="F615" s="445"/>
      <c r="G615" s="445"/>
      <c r="H615" s="446">
        <f t="shared" ref="H615:H631" si="77">IF(K$9=1,E615,IF(K$9=2,(E615+F615)/2,(E615+F615+G615)/3))</f>
        <v>0</v>
      </c>
      <c r="I615" s="426"/>
      <c r="J615" s="426"/>
      <c r="K615" s="553"/>
    </row>
    <row r="616" ht="14.5" customHeight="1" spans="1:11" x14ac:dyDescent="0.25" outlineLevel="1" collapsed="1">
      <c r="A616" s="528" t="s">
        <v>310</v>
      </c>
      <c r="B616" s="516" t="s">
        <v>1913</v>
      </c>
      <c r="C616" s="534" t="s">
        <v>61</v>
      </c>
      <c r="D616" s="534" t="s">
        <v>1456</v>
      </c>
      <c r="E616" s="426"/>
      <c r="F616" s="445"/>
      <c r="G616" s="445"/>
      <c r="H616" s="446">
        <f t="shared" si="77"/>
        <v>0</v>
      </c>
      <c r="I616" s="426"/>
      <c r="J616" s="426"/>
      <c r="K616" s="553"/>
    </row>
    <row r="617" ht="14.5" customHeight="1" spans="1:11" x14ac:dyDescent="0.25" outlineLevel="1" collapsed="1">
      <c r="A617" s="528" t="s">
        <v>312</v>
      </c>
      <c r="B617" s="516" t="s">
        <v>1914</v>
      </c>
      <c r="C617" s="534" t="s">
        <v>61</v>
      </c>
      <c r="D617" s="534" t="s">
        <v>1915</v>
      </c>
      <c r="E617" s="426"/>
      <c r="F617" s="445"/>
      <c r="G617" s="445"/>
      <c r="H617" s="446">
        <f t="shared" si="77"/>
        <v>0</v>
      </c>
      <c r="I617" s="426"/>
      <c r="J617" s="426"/>
      <c r="K617" s="553"/>
    </row>
    <row r="618" ht="14.5" customHeight="1" spans="1:11" x14ac:dyDescent="0.25" outlineLevel="1" collapsed="1">
      <c r="A618" s="528" t="s">
        <v>314</v>
      </c>
      <c r="B618" s="516" t="s">
        <v>1916</v>
      </c>
      <c r="C618" s="534" t="s">
        <v>61</v>
      </c>
      <c r="D618" s="534" t="s">
        <v>1456</v>
      </c>
      <c r="E618" s="426"/>
      <c r="F618" s="445"/>
      <c r="G618" s="445"/>
      <c r="H618" s="446">
        <f t="shared" si="77"/>
        <v>0</v>
      </c>
      <c r="I618" s="426"/>
      <c r="J618" s="426"/>
      <c r="K618" s="553"/>
    </row>
    <row r="619" ht="14.5" customHeight="1" spans="1:11" x14ac:dyDescent="0.25" outlineLevel="1" collapsed="1">
      <c r="A619" s="528" t="s">
        <v>316</v>
      </c>
      <c r="B619" s="516" t="s">
        <v>1917</v>
      </c>
      <c r="C619" s="534" t="s">
        <v>1918</v>
      </c>
      <c r="D619" s="534" t="s">
        <v>1919</v>
      </c>
      <c r="E619" s="539"/>
      <c r="F619" s="539"/>
      <c r="G619" s="539"/>
      <c r="H619" s="446">
        <f t="shared" si="77"/>
        <v>0</v>
      </c>
      <c r="I619" s="539"/>
      <c r="J619" s="540"/>
      <c r="K619" s="553"/>
    </row>
    <row r="620" spans="1:11" x14ac:dyDescent="0.25" outlineLevel="1" collapsed="1">
      <c r="A620" s="528" t="s">
        <v>318</v>
      </c>
      <c r="B620" s="516" t="s">
        <v>1920</v>
      </c>
      <c r="C620" s="534" t="s">
        <v>61</v>
      </c>
      <c r="D620" s="534" t="s">
        <v>1456</v>
      </c>
      <c r="E620" s="536"/>
      <c r="F620" s="536"/>
      <c r="G620" s="536"/>
      <c r="H620" s="446">
        <f t="shared" si="77"/>
        <v>0</v>
      </c>
      <c r="I620" s="536"/>
      <c r="J620" s="536"/>
      <c r="K620" s="553"/>
    </row>
    <row r="621" ht="14.5" customHeight="1" spans="1:11" x14ac:dyDescent="0.25" outlineLevel="1" collapsed="1">
      <c r="A621" s="528" t="s">
        <v>478</v>
      </c>
      <c r="B621" s="516" t="s">
        <v>1921</v>
      </c>
      <c r="C621" s="534" t="s">
        <v>1918</v>
      </c>
      <c r="D621" s="534" t="s">
        <v>1919</v>
      </c>
      <c r="E621" s="539"/>
      <c r="F621" s="539"/>
      <c r="G621" s="539"/>
      <c r="H621" s="446">
        <f t="shared" si="77"/>
        <v>0</v>
      </c>
      <c r="I621" s="539"/>
      <c r="J621" s="540"/>
      <c r="K621" s="553"/>
    </row>
    <row r="622" spans="1:11" x14ac:dyDescent="0.25" outlineLevel="1" collapsed="1">
      <c r="A622" s="528" t="s">
        <v>481</v>
      </c>
      <c r="B622" s="516" t="s">
        <v>1922</v>
      </c>
      <c r="C622" s="534" t="s">
        <v>61</v>
      </c>
      <c r="D622" s="534" t="s">
        <v>1456</v>
      </c>
      <c r="E622" s="536"/>
      <c r="F622" s="536"/>
      <c r="G622" s="536"/>
      <c r="H622" s="446">
        <f t="shared" si="77"/>
        <v>0</v>
      </c>
      <c r="I622" s="536"/>
      <c r="J622" s="536"/>
      <c r="K622" s="553"/>
    </row>
    <row r="623" ht="14.5" customHeight="1" spans="1:11" x14ac:dyDescent="0.25" outlineLevel="1" collapsed="1">
      <c r="A623" s="528" t="s">
        <v>483</v>
      </c>
      <c r="B623" s="516" t="s">
        <v>1923</v>
      </c>
      <c r="C623" s="534" t="s">
        <v>1918</v>
      </c>
      <c r="D623" s="534" t="s">
        <v>1919</v>
      </c>
      <c r="E623" s="539"/>
      <c r="F623" s="539"/>
      <c r="G623" s="539"/>
      <c r="H623" s="446">
        <f t="shared" si="77"/>
        <v>0</v>
      </c>
      <c r="I623" s="539"/>
      <c r="J623" s="540"/>
      <c r="K623" s="553"/>
    </row>
    <row r="624" spans="1:11" x14ac:dyDescent="0.25" outlineLevel="1" collapsed="1">
      <c r="A624" s="528" t="s">
        <v>485</v>
      </c>
      <c r="B624" s="516" t="s">
        <v>1924</v>
      </c>
      <c r="C624" s="534" t="s">
        <v>61</v>
      </c>
      <c r="D624" s="534" t="s">
        <v>1456</v>
      </c>
      <c r="E624" s="536"/>
      <c r="F624" s="536"/>
      <c r="G624" s="536"/>
      <c r="H624" s="446">
        <f t="shared" si="77"/>
        <v>0</v>
      </c>
      <c r="I624" s="536"/>
      <c r="J624" s="536"/>
      <c r="K624" s="553"/>
    </row>
    <row r="625" ht="14.5" customHeight="1" spans="1:11" x14ac:dyDescent="0.25" outlineLevel="1" collapsed="1">
      <c r="A625" s="528" t="s">
        <v>488</v>
      </c>
      <c r="B625" s="516" t="s">
        <v>1925</v>
      </c>
      <c r="C625" s="534" t="s">
        <v>1918</v>
      </c>
      <c r="D625" s="534" t="s">
        <v>1919</v>
      </c>
      <c r="E625" s="539"/>
      <c r="F625" s="539"/>
      <c r="G625" s="539"/>
      <c r="H625" s="446">
        <f t="shared" si="77"/>
        <v>0</v>
      </c>
      <c r="I625" s="539"/>
      <c r="J625" s="540"/>
      <c r="K625" s="553"/>
    </row>
    <row r="626" spans="1:11" x14ac:dyDescent="0.25" outlineLevel="1" collapsed="1">
      <c r="A626" s="528" t="s">
        <v>403</v>
      </c>
      <c r="B626" s="516" t="s">
        <v>1926</v>
      </c>
      <c r="C626" s="534" t="s">
        <v>61</v>
      </c>
      <c r="D626" s="534" t="s">
        <v>1927</v>
      </c>
      <c r="E626" s="536"/>
      <c r="F626" s="536"/>
      <c r="G626" s="536"/>
      <c r="H626" s="446">
        <f t="shared" si="77"/>
        <v>0</v>
      </c>
      <c r="I626" s="536"/>
      <c r="J626" s="536"/>
      <c r="K626" s="553"/>
    </row>
    <row r="627" ht="14.5" customHeight="1" spans="1:11" x14ac:dyDescent="0.25" outlineLevel="1" collapsed="1">
      <c r="A627" s="528" t="s">
        <v>407</v>
      </c>
      <c r="B627" s="516" t="s">
        <v>1928</v>
      </c>
      <c r="C627" s="534" t="s">
        <v>1918</v>
      </c>
      <c r="D627" s="534" t="s">
        <v>1493</v>
      </c>
      <c r="E627" s="539"/>
      <c r="F627" s="539"/>
      <c r="G627" s="539"/>
      <c r="H627" s="446">
        <f t="shared" si="77"/>
        <v>0</v>
      </c>
      <c r="I627" s="539"/>
      <c r="J627" s="540"/>
      <c r="K627" s="553"/>
    </row>
    <row r="628" ht="14.5" customHeight="1" spans="1:11" x14ac:dyDescent="0.25" outlineLevel="1" collapsed="1">
      <c r="A628" s="528" t="s">
        <v>410</v>
      </c>
      <c r="B628" s="516" t="s">
        <v>1929</v>
      </c>
      <c r="C628" s="534" t="s">
        <v>1918</v>
      </c>
      <c r="D628" s="534" t="s">
        <v>1930</v>
      </c>
      <c r="E628" s="539"/>
      <c r="F628" s="539"/>
      <c r="G628" s="539"/>
      <c r="H628" s="446">
        <f t="shared" si="77"/>
        <v>0</v>
      </c>
      <c r="I628" s="539"/>
      <c r="J628" s="566"/>
      <c r="K628" s="553"/>
    </row>
    <row r="629" ht="14.5" customHeight="1" spans="1:11" x14ac:dyDescent="0.25" outlineLevel="1" collapsed="1">
      <c r="A629" s="528" t="s">
        <v>413</v>
      </c>
      <c r="B629" s="516" t="s">
        <v>1931</v>
      </c>
      <c r="C629" s="534" t="s">
        <v>1918</v>
      </c>
      <c r="D629" s="534" t="s">
        <v>1927</v>
      </c>
      <c r="E629" s="536"/>
      <c r="F629" s="536"/>
      <c r="G629" s="536"/>
      <c r="H629" s="446">
        <f t="shared" si="77"/>
        <v>0</v>
      </c>
      <c r="I629" s="536"/>
      <c r="J629" s="567"/>
      <c r="K629" s="568"/>
    </row>
    <row r="630" ht="14.5" customHeight="1" spans="1:11" x14ac:dyDescent="0.25" outlineLevel="1" collapsed="1">
      <c r="A630" s="528" t="s">
        <v>416</v>
      </c>
      <c r="B630" s="516" t="s">
        <v>1932</v>
      </c>
      <c r="C630" s="534" t="s">
        <v>1918</v>
      </c>
      <c r="D630" s="534" t="s">
        <v>1919</v>
      </c>
      <c r="E630" s="539"/>
      <c r="F630" s="539"/>
      <c r="G630" s="539"/>
      <c r="H630" s="446">
        <f t="shared" si="77"/>
        <v>0</v>
      </c>
      <c r="I630" s="539"/>
      <c r="J630" s="540"/>
      <c r="K630" s="568"/>
    </row>
    <row r="631" ht="14.5" customHeight="1" spans="1:11" x14ac:dyDescent="0.25" outlineLevel="1" collapsed="1">
      <c r="A631" s="528" t="s">
        <v>419</v>
      </c>
      <c r="B631" s="516" t="s">
        <v>1933</v>
      </c>
      <c r="C631" s="534"/>
      <c r="D631" s="534" t="s">
        <v>1493</v>
      </c>
      <c r="E631" s="539"/>
      <c r="F631" s="539"/>
      <c r="G631" s="539"/>
      <c r="H631" s="446">
        <f t="shared" si="77"/>
        <v>0</v>
      </c>
      <c r="I631" s="539"/>
      <c r="J631" s="540"/>
      <c r="K631" s="553"/>
    </row>
    <row r="632" spans="1:11" x14ac:dyDescent="0.25" outlineLevel="1" collapsed="1">
      <c r="A632" s="542" t="s">
        <v>423</v>
      </c>
      <c r="B632" s="543" t="s">
        <v>1934</v>
      </c>
      <c r="C632" s="542" t="s">
        <v>1935</v>
      </c>
      <c r="D632" s="542" t="s">
        <v>1912</v>
      </c>
      <c r="E632" s="542">
        <f t="shared" ref="E632:F632" si="78">IFERROR(E616/E617,0)</f>
        <v>0</v>
      </c>
      <c r="F632" s="542">
        <f t="shared" si="78"/>
        <v>0</v>
      </c>
      <c r="G632" s="542">
        <f>IFERROR(G616/G617,0)</f>
        <v>0</v>
      </c>
      <c r="H632" s="446">
        <f>IFERROR(H616/H617,0)</f>
        <v>0</v>
      </c>
      <c r="I632" s="542">
        <f>IFERROR(I616/I617,0)</f>
        <v>0</v>
      </c>
      <c r="J632" s="544"/>
      <c r="K632" s="545"/>
    </row>
    <row r="633" ht="42" customHeight="1" spans="1:11" x14ac:dyDescent="0.25" outlineLevel="1" collapsed="1">
      <c r="A633" s="542" t="s">
        <v>425</v>
      </c>
      <c r="B633" s="543" t="s">
        <v>1936</v>
      </c>
      <c r="C633" s="542" t="s">
        <v>1937</v>
      </c>
      <c r="D633" s="542" t="s">
        <v>1938</v>
      </c>
      <c r="E633" s="542">
        <f t="shared" ref="E633:F633" si="79">IFERROR((((E618*E619)+(E620*E621)+(E622*E623)+(E624*E625))/E616),0)</f>
        <v>0</v>
      </c>
      <c r="F633" s="542">
        <f t="shared" si="79"/>
        <v>0</v>
      </c>
      <c r="G633" s="542">
        <f>IFERROR((((G618*G619)+(G620*G621)+(G622*G623)+(G624*G625))/G616),0)</f>
        <v>0</v>
      </c>
      <c r="H633" s="446">
        <f>IFERROR((((H618*H619)+(H620*H621)+(H622*H623)+(H624*H625))/H616),0)</f>
        <v>0</v>
      </c>
      <c r="I633" s="542">
        <f>IFERROR((((I618*I619)+(I620*I621)+(I622*I623)+(I624*I625))/I616),0)</f>
        <v>0</v>
      </c>
      <c r="J633" s="544"/>
      <c r="K633" s="545"/>
    </row>
    <row r="634" ht="42" customHeight="1" spans="1:11" x14ac:dyDescent="0.25" outlineLevel="1" collapsed="1">
      <c r="A634" s="542" t="s">
        <v>427</v>
      </c>
      <c r="B634" s="543" t="s">
        <v>1939</v>
      </c>
      <c r="C634" s="542" t="s">
        <v>1940</v>
      </c>
      <c r="D634" s="542" t="s">
        <v>1493</v>
      </c>
      <c r="E634" s="542">
        <f t="shared" ref="E634:F634" si="80">IFERROR(((E618*E619)/((E618*E619)+(E620*E621)+(E622*E623)+(E624*E625))),0)</f>
        <v>0</v>
      </c>
      <c r="F634" s="542">
        <f t="shared" si="80"/>
        <v>0</v>
      </c>
      <c r="G634" s="542">
        <f>IFERROR(((G618*G619)/((G618*G619)+(G620*G621)+(G622*G623)+(G624*G625))),0)</f>
        <v>0</v>
      </c>
      <c r="H634" s="446">
        <f>IFERROR(((H618*H619)/((H618*H619)+(H620*H621)+(H622*H623)+(H624*H625))),0)</f>
        <v>0</v>
      </c>
      <c r="I634" s="542">
        <f>IFERROR(((I618*I619)/((I618*I619)+(I620*I621)+(I622*I623)+(I624*I625))),0)</f>
        <v>0</v>
      </c>
      <c r="J634" s="544"/>
      <c r="K634" s="545"/>
    </row>
    <row r="635" spans="1:11" x14ac:dyDescent="0.25">
      <c r="A635" s="484"/>
      <c r="B635" s="486"/>
      <c r="C635" s="414"/>
      <c r="D635" s="484"/>
      <c r="E635" s="484"/>
      <c r="F635" s="484"/>
      <c r="G635" s="484"/>
      <c r="H635" s="484"/>
      <c r="I635" s="484"/>
      <c r="J635" s="487"/>
      <c r="K635" s="456"/>
    </row>
    <row r="636" spans="1:11" x14ac:dyDescent="0.25">
      <c r="A636" s="440" t="s">
        <v>1965</v>
      </c>
      <c r="B636" s="565" t="s">
        <v>1966</v>
      </c>
      <c r="C636" s="439" t="s">
        <v>1960</v>
      </c>
      <c r="D636" s="440"/>
      <c r="E636" s="440"/>
      <c r="F636" s="440"/>
      <c r="G636" s="440"/>
      <c r="H636" s="440"/>
      <c r="I636" s="440"/>
      <c r="J636" s="442"/>
      <c r="K636" s="442"/>
    </row>
    <row r="637" ht="14.5" customHeight="1" spans="1:11" x14ac:dyDescent="0.25" outlineLevel="1" collapsed="1">
      <c r="A637" s="528" t="s">
        <v>306</v>
      </c>
      <c r="B637" s="516" t="s">
        <v>1911</v>
      </c>
      <c r="C637" s="528"/>
      <c r="D637" s="574"/>
      <c r="E637" s="530"/>
      <c r="F637" s="530"/>
      <c r="G637" s="530"/>
      <c r="H637" s="557"/>
      <c r="I637" s="530"/>
      <c r="J637" s="489"/>
      <c r="K637" s="533"/>
    </row>
    <row r="638" ht="14.5" customHeight="1" spans="1:11" x14ac:dyDescent="0.25" outlineLevel="1" collapsed="1">
      <c r="A638" s="528" t="s">
        <v>308</v>
      </c>
      <c r="B638" s="516" t="s">
        <v>1836</v>
      </c>
      <c r="C638" s="534"/>
      <c r="D638" s="534" t="s">
        <v>1912</v>
      </c>
      <c r="E638" s="536"/>
      <c r="F638" s="445"/>
      <c r="G638" s="445"/>
      <c r="H638" s="446">
        <f t="shared" ref="H638:H654" si="81">IF(K$9=1,E638,IF(K$9=2,(E638+F638)/2,(E638+F638+G638)/3))</f>
        <v>0</v>
      </c>
      <c r="I638" s="536"/>
      <c r="J638" s="536"/>
      <c r="K638" s="553"/>
    </row>
    <row r="639" ht="14.5" customHeight="1" spans="1:11" x14ac:dyDescent="0.25" outlineLevel="1" collapsed="1">
      <c r="A639" s="528" t="s">
        <v>310</v>
      </c>
      <c r="B639" s="516" t="s">
        <v>1913</v>
      </c>
      <c r="C639" s="534" t="s">
        <v>61</v>
      </c>
      <c r="D639" s="534" t="s">
        <v>1456</v>
      </c>
      <c r="E639" s="426"/>
      <c r="F639" s="445"/>
      <c r="G639" s="445"/>
      <c r="H639" s="446">
        <f t="shared" si="81"/>
        <v>0</v>
      </c>
      <c r="I639" s="576"/>
      <c r="J639" s="577"/>
      <c r="K639" s="553"/>
    </row>
    <row r="640" ht="14.5" customHeight="1" spans="1:11" x14ac:dyDescent="0.25" outlineLevel="1" collapsed="1">
      <c r="A640" s="528" t="s">
        <v>312</v>
      </c>
      <c r="B640" s="516" t="s">
        <v>1914</v>
      </c>
      <c r="C640" s="534" t="s">
        <v>61</v>
      </c>
      <c r="D640" s="534" t="s">
        <v>1915</v>
      </c>
      <c r="E640" s="426"/>
      <c r="F640" s="445"/>
      <c r="G640" s="445"/>
      <c r="H640" s="446">
        <f t="shared" si="81"/>
        <v>0</v>
      </c>
      <c r="I640" s="578"/>
      <c r="J640" s="579"/>
      <c r="K640" s="553"/>
    </row>
    <row r="641" ht="14.5" customHeight="1" spans="1:11" x14ac:dyDescent="0.25" outlineLevel="1" collapsed="1">
      <c r="A641" s="528" t="s">
        <v>314</v>
      </c>
      <c r="B641" s="516" t="s">
        <v>1916</v>
      </c>
      <c r="C641" s="534" t="s">
        <v>61</v>
      </c>
      <c r="D641" s="534" t="s">
        <v>1456</v>
      </c>
      <c r="E641" s="426"/>
      <c r="F641" s="445"/>
      <c r="G641" s="445"/>
      <c r="H641" s="446">
        <f t="shared" si="81"/>
        <v>0</v>
      </c>
      <c r="I641" s="576"/>
      <c r="J641" s="577"/>
      <c r="K641" s="553"/>
    </row>
    <row r="642" ht="14.5" customHeight="1" spans="1:11" x14ac:dyDescent="0.25" outlineLevel="1" collapsed="1">
      <c r="A642" s="528" t="s">
        <v>316</v>
      </c>
      <c r="B642" s="516" t="s">
        <v>1917</v>
      </c>
      <c r="C642" s="534" t="s">
        <v>1918</v>
      </c>
      <c r="D642" s="534" t="s">
        <v>1919</v>
      </c>
      <c r="E642" s="539"/>
      <c r="F642" s="539"/>
      <c r="G642" s="539"/>
      <c r="H642" s="446">
        <f t="shared" si="81"/>
        <v>0</v>
      </c>
      <c r="I642" s="539"/>
      <c r="J642" s="540"/>
      <c r="K642" s="553"/>
    </row>
    <row r="643" spans="1:11" x14ac:dyDescent="0.25" outlineLevel="1" collapsed="1">
      <c r="A643" s="528" t="s">
        <v>318</v>
      </c>
      <c r="B643" s="516" t="s">
        <v>1920</v>
      </c>
      <c r="C643" s="534" t="s">
        <v>61</v>
      </c>
      <c r="D643" s="534" t="s">
        <v>1456</v>
      </c>
      <c r="E643" s="536"/>
      <c r="F643" s="536"/>
      <c r="G643" s="536"/>
      <c r="H643" s="446">
        <f t="shared" si="81"/>
        <v>0</v>
      </c>
      <c r="I643" s="536"/>
      <c r="J643" s="536"/>
      <c r="K643" s="553"/>
    </row>
    <row r="644" ht="14.5" customHeight="1" spans="1:11" x14ac:dyDescent="0.25" outlineLevel="1" collapsed="1">
      <c r="A644" s="528" t="s">
        <v>478</v>
      </c>
      <c r="B644" s="516" t="s">
        <v>1921</v>
      </c>
      <c r="C644" s="534" t="s">
        <v>1918</v>
      </c>
      <c r="D644" s="534" t="s">
        <v>1919</v>
      </c>
      <c r="E644" s="539"/>
      <c r="F644" s="539"/>
      <c r="G644" s="539"/>
      <c r="H644" s="446">
        <f t="shared" si="81"/>
        <v>0</v>
      </c>
      <c r="I644" s="539"/>
      <c r="J644" s="540"/>
      <c r="K644" s="553"/>
    </row>
    <row r="645" spans="1:11" x14ac:dyDescent="0.25" outlineLevel="1" collapsed="1">
      <c r="A645" s="528" t="s">
        <v>481</v>
      </c>
      <c r="B645" s="516" t="s">
        <v>1922</v>
      </c>
      <c r="C645" s="534" t="s">
        <v>61</v>
      </c>
      <c r="D645" s="534" t="s">
        <v>1456</v>
      </c>
      <c r="E645" s="536"/>
      <c r="F645" s="536"/>
      <c r="G645" s="536"/>
      <c r="H645" s="446">
        <f t="shared" si="81"/>
        <v>0</v>
      </c>
      <c r="I645" s="536"/>
      <c r="J645" s="536"/>
      <c r="K645" s="553"/>
    </row>
    <row r="646" ht="14.5" customHeight="1" spans="1:11" x14ac:dyDescent="0.25" outlineLevel="1" collapsed="1">
      <c r="A646" s="528" t="s">
        <v>483</v>
      </c>
      <c r="B646" s="516" t="s">
        <v>1923</v>
      </c>
      <c r="C646" s="534" t="s">
        <v>1918</v>
      </c>
      <c r="D646" s="534" t="s">
        <v>1919</v>
      </c>
      <c r="E646" s="539"/>
      <c r="F646" s="539"/>
      <c r="G646" s="539"/>
      <c r="H646" s="446">
        <f t="shared" si="81"/>
        <v>0</v>
      </c>
      <c r="I646" s="539"/>
      <c r="J646" s="540"/>
      <c r="K646" s="553"/>
    </row>
    <row r="647" spans="1:11" x14ac:dyDescent="0.25" outlineLevel="1" collapsed="1">
      <c r="A647" s="528" t="s">
        <v>485</v>
      </c>
      <c r="B647" s="516" t="s">
        <v>1924</v>
      </c>
      <c r="C647" s="534" t="s">
        <v>61</v>
      </c>
      <c r="D647" s="534" t="s">
        <v>1456</v>
      </c>
      <c r="E647" s="536"/>
      <c r="F647" s="536"/>
      <c r="G647" s="536"/>
      <c r="H647" s="446">
        <f t="shared" si="81"/>
        <v>0</v>
      </c>
      <c r="I647" s="536"/>
      <c r="J647" s="536"/>
      <c r="K647" s="553"/>
    </row>
    <row r="648" ht="14.5" customHeight="1" spans="1:11" x14ac:dyDescent="0.25" outlineLevel="1" collapsed="1">
      <c r="A648" s="528" t="s">
        <v>488</v>
      </c>
      <c r="B648" s="516" t="s">
        <v>1925</v>
      </c>
      <c r="C648" s="534" t="s">
        <v>1918</v>
      </c>
      <c r="D648" s="534" t="s">
        <v>1919</v>
      </c>
      <c r="E648" s="539"/>
      <c r="F648" s="539"/>
      <c r="G648" s="539"/>
      <c r="H648" s="446">
        <f t="shared" si="81"/>
        <v>0</v>
      </c>
      <c r="I648" s="539"/>
      <c r="J648" s="540"/>
      <c r="K648" s="553"/>
    </row>
    <row r="649" spans="1:11" x14ac:dyDescent="0.25" outlineLevel="1" collapsed="1">
      <c r="A649" s="528" t="s">
        <v>403</v>
      </c>
      <c r="B649" s="516" t="s">
        <v>1926</v>
      </c>
      <c r="C649" s="534" t="s">
        <v>61</v>
      </c>
      <c r="D649" s="534" t="s">
        <v>1927</v>
      </c>
      <c r="E649" s="536"/>
      <c r="F649" s="536"/>
      <c r="G649" s="536"/>
      <c r="H649" s="446">
        <f t="shared" si="81"/>
        <v>0</v>
      </c>
      <c r="I649" s="536"/>
      <c r="J649" s="536"/>
      <c r="K649" s="553"/>
    </row>
    <row r="650" ht="14.5" customHeight="1" spans="1:11" x14ac:dyDescent="0.25" outlineLevel="1" collapsed="1">
      <c r="A650" s="528" t="s">
        <v>407</v>
      </c>
      <c r="B650" s="516" t="s">
        <v>1928</v>
      </c>
      <c r="C650" s="534" t="s">
        <v>1918</v>
      </c>
      <c r="D650" s="534" t="s">
        <v>1493</v>
      </c>
      <c r="E650" s="539"/>
      <c r="F650" s="539"/>
      <c r="G650" s="539"/>
      <c r="H650" s="446">
        <f t="shared" si="81"/>
        <v>0</v>
      </c>
      <c r="I650" s="539"/>
      <c r="J650" s="540"/>
      <c r="K650" s="553"/>
    </row>
    <row r="651" ht="14.5" customHeight="1" spans="1:11" x14ac:dyDescent="0.25" outlineLevel="1" collapsed="1">
      <c r="A651" s="528" t="s">
        <v>410</v>
      </c>
      <c r="B651" s="516" t="s">
        <v>1929</v>
      </c>
      <c r="C651" s="534" t="s">
        <v>1918</v>
      </c>
      <c r="D651" s="534" t="s">
        <v>1930</v>
      </c>
      <c r="E651" s="539"/>
      <c r="F651" s="539"/>
      <c r="G651" s="539"/>
      <c r="H651" s="446">
        <f t="shared" si="81"/>
        <v>0</v>
      </c>
      <c r="I651" s="539"/>
      <c r="J651" s="566"/>
      <c r="K651" s="553"/>
    </row>
    <row r="652" ht="14.5" customHeight="1" spans="1:11" x14ac:dyDescent="0.25" outlineLevel="1" collapsed="1">
      <c r="A652" s="528" t="s">
        <v>413</v>
      </c>
      <c r="B652" s="516" t="s">
        <v>1931</v>
      </c>
      <c r="C652" s="534" t="s">
        <v>1918</v>
      </c>
      <c r="D652" s="534" t="s">
        <v>1927</v>
      </c>
      <c r="E652" s="536"/>
      <c r="F652" s="536"/>
      <c r="G652" s="536"/>
      <c r="H652" s="446">
        <f t="shared" si="81"/>
        <v>0</v>
      </c>
      <c r="I652" s="536"/>
      <c r="J652" s="567"/>
      <c r="K652" s="568"/>
    </row>
    <row r="653" ht="14.5" customHeight="1" spans="1:11" x14ac:dyDescent="0.25" outlineLevel="1" collapsed="1">
      <c r="A653" s="528" t="s">
        <v>416</v>
      </c>
      <c r="B653" s="516" t="s">
        <v>1932</v>
      </c>
      <c r="C653" s="534" t="s">
        <v>1918</v>
      </c>
      <c r="D653" s="534" t="s">
        <v>1919</v>
      </c>
      <c r="E653" s="539"/>
      <c r="F653" s="539"/>
      <c r="G653" s="539"/>
      <c r="H653" s="446">
        <f t="shared" si="81"/>
        <v>0</v>
      </c>
      <c r="I653" s="539"/>
      <c r="J653" s="540"/>
      <c r="K653" s="568"/>
    </row>
    <row r="654" ht="14.5" customHeight="1" spans="1:11" x14ac:dyDescent="0.25" outlineLevel="1" collapsed="1">
      <c r="A654" s="528" t="s">
        <v>419</v>
      </c>
      <c r="B654" s="516" t="s">
        <v>1933</v>
      </c>
      <c r="C654" s="534"/>
      <c r="D654" s="534" t="s">
        <v>1493</v>
      </c>
      <c r="E654" s="539"/>
      <c r="F654" s="539"/>
      <c r="G654" s="539"/>
      <c r="H654" s="446">
        <f t="shared" si="81"/>
        <v>0</v>
      </c>
      <c r="I654" s="539"/>
      <c r="J654" s="540"/>
      <c r="K654" s="553"/>
    </row>
    <row r="655" spans="1:11" x14ac:dyDescent="0.25" outlineLevel="1" collapsed="1">
      <c r="A655" s="542" t="s">
        <v>423</v>
      </c>
      <c r="B655" s="543" t="s">
        <v>1934</v>
      </c>
      <c r="C655" s="542" t="s">
        <v>1935</v>
      </c>
      <c r="D655" s="542" t="s">
        <v>1912</v>
      </c>
      <c r="E655" s="542">
        <f t="shared" ref="E655:F655" si="82">IFERROR(E639/E640,0)</f>
        <v>0</v>
      </c>
      <c r="F655" s="542">
        <f t="shared" si="82"/>
        <v>0</v>
      </c>
      <c r="G655" s="542">
        <f>IFERROR(G639/G640,0)</f>
        <v>0</v>
      </c>
      <c r="H655" s="446">
        <f>IFERROR(H639/H640,0)</f>
        <v>0</v>
      </c>
      <c r="I655" s="542">
        <f>IFERROR(I639/I640,0)</f>
        <v>0</v>
      </c>
      <c r="J655" s="544"/>
      <c r="K655" s="545"/>
    </row>
    <row r="656" ht="42" customHeight="1" spans="1:11" x14ac:dyDescent="0.25" outlineLevel="1" collapsed="1">
      <c r="A656" s="542" t="s">
        <v>425</v>
      </c>
      <c r="B656" s="543" t="s">
        <v>1936</v>
      </c>
      <c r="C656" s="542" t="s">
        <v>1937</v>
      </c>
      <c r="D656" s="542" t="s">
        <v>1938</v>
      </c>
      <c r="E656" s="542">
        <f t="shared" ref="E656:F656" si="83">IFERROR((((E641*E642)+(E643*E644)+(E645*E646)+(E647*E648))/E639),0)</f>
        <v>0</v>
      </c>
      <c r="F656" s="542">
        <f t="shared" si="83"/>
        <v>0</v>
      </c>
      <c r="G656" s="542">
        <f>IFERROR((((G641*G642)+(G643*G644)+(G645*G646)+(G647*G648))/G639),0)</f>
        <v>0</v>
      </c>
      <c r="H656" s="446">
        <f>IFERROR((((H641*H642)+(H643*H644)+(H645*H646)+(H647*H648))/H639),0)</f>
        <v>0</v>
      </c>
      <c r="I656" s="542">
        <f>IFERROR((((I641*I642)+(I643*I644)+(I645*I646)+(I647*I648))/I639),0)</f>
        <v>0</v>
      </c>
      <c r="J656" s="544"/>
      <c r="K656" s="545"/>
    </row>
    <row r="657" ht="42" customHeight="1" spans="1:11" x14ac:dyDescent="0.25" outlineLevel="1" collapsed="1">
      <c r="A657" s="542" t="s">
        <v>427</v>
      </c>
      <c r="B657" s="543" t="s">
        <v>1939</v>
      </c>
      <c r="C657" s="542" t="s">
        <v>1940</v>
      </c>
      <c r="D657" s="542" t="s">
        <v>1493</v>
      </c>
      <c r="E657" s="542">
        <f t="shared" ref="E657:F657" si="84">IFERROR(((E641*E642)/((E641*E642)+(E643*E644)+(E645*E646)+(E647*E648))),0)</f>
        <v>0</v>
      </c>
      <c r="F657" s="542">
        <f t="shared" si="84"/>
        <v>0</v>
      </c>
      <c r="G657" s="542">
        <f>IFERROR(((G641*G642)/((G641*G642)+(G643*G644)+(G645*G646)+(G647*G648))),0)</f>
        <v>0</v>
      </c>
      <c r="H657" s="446">
        <f>IFERROR(((H641*H642)/((H641*H642)+(H643*H644)+(H645*H646)+(H647*H648))),0)</f>
        <v>0</v>
      </c>
      <c r="I657" s="542">
        <f>IFERROR(((I641*I642)/((I641*I642)+(I643*I644)+(I645*I646)+(I647*I648))),0)</f>
        <v>0</v>
      </c>
      <c r="J657" s="544"/>
      <c r="K657" s="545"/>
    </row>
    <row r="658" spans="1:11" x14ac:dyDescent="0.25">
      <c r="A658" s="443"/>
      <c r="B658" s="349"/>
      <c r="C658" s="293"/>
      <c r="D658" s="293"/>
      <c r="E658" s="443"/>
      <c r="F658" s="443"/>
      <c r="G658" s="443"/>
      <c r="H658" s="575"/>
      <c r="I658" s="564"/>
      <c r="J658" s="537"/>
      <c r="K658" s="456"/>
    </row>
    <row r="659" spans="1:11" x14ac:dyDescent="0.25">
      <c r="A659" s="440" t="s">
        <v>1967</v>
      </c>
      <c r="B659" s="565" t="s">
        <v>1968</v>
      </c>
      <c r="C659" s="439" t="s">
        <v>1960</v>
      </c>
      <c r="D659" s="440"/>
      <c r="E659" s="440"/>
      <c r="F659" s="440"/>
      <c r="G659" s="440"/>
      <c r="H659" s="440"/>
      <c r="I659" s="440"/>
      <c r="J659" s="442"/>
      <c r="K659" s="442"/>
    </row>
    <row r="660" ht="14.5" customHeight="1" spans="1:11" x14ac:dyDescent="0.25" outlineLevel="1" collapsed="1">
      <c r="A660" s="528" t="s">
        <v>306</v>
      </c>
      <c r="B660" s="516" t="s">
        <v>1911</v>
      </c>
      <c r="C660" s="528"/>
      <c r="D660" s="574"/>
      <c r="E660" s="530"/>
      <c r="F660" s="530"/>
      <c r="G660" s="530"/>
      <c r="H660" s="557"/>
      <c r="I660" s="530"/>
      <c r="J660" s="489"/>
      <c r="K660" s="533"/>
    </row>
    <row r="661" ht="14.5" customHeight="1" spans="1:11" x14ac:dyDescent="0.25" outlineLevel="1" collapsed="1">
      <c r="A661" s="528" t="s">
        <v>308</v>
      </c>
      <c r="B661" s="516" t="s">
        <v>1836</v>
      </c>
      <c r="C661" s="534"/>
      <c r="D661" s="534" t="s">
        <v>1912</v>
      </c>
      <c r="E661" s="536"/>
      <c r="F661" s="445"/>
      <c r="G661" s="445"/>
      <c r="H661" s="446">
        <f t="shared" ref="H661:H677" si="85">IF(K$9=1,E661,IF(K$9=2,(E661+F661)/2,(E661+F661+G661)/3))</f>
        <v>0</v>
      </c>
      <c r="I661" s="536"/>
      <c r="J661" s="536"/>
      <c r="K661" s="553"/>
    </row>
    <row r="662" ht="14.5" customHeight="1" spans="1:11" x14ac:dyDescent="0.25" outlineLevel="1" collapsed="1">
      <c r="A662" s="528" t="s">
        <v>310</v>
      </c>
      <c r="B662" s="516" t="s">
        <v>1913</v>
      </c>
      <c r="C662" s="534" t="s">
        <v>61</v>
      </c>
      <c r="D662" s="534" t="s">
        <v>1456</v>
      </c>
      <c r="E662" s="580"/>
      <c r="F662" s="445"/>
      <c r="G662" s="445"/>
      <c r="H662" s="446">
        <f t="shared" si="85"/>
        <v>0</v>
      </c>
      <c r="I662" s="576"/>
      <c r="J662" s="577"/>
      <c r="K662" s="553"/>
    </row>
    <row r="663" ht="14.5" customHeight="1" spans="1:11" x14ac:dyDescent="0.25" outlineLevel="1" collapsed="1">
      <c r="A663" s="528" t="s">
        <v>312</v>
      </c>
      <c r="B663" s="516" t="s">
        <v>1914</v>
      </c>
      <c r="C663" s="534" t="s">
        <v>61</v>
      </c>
      <c r="D663" s="534" t="s">
        <v>1915</v>
      </c>
      <c r="E663" s="426"/>
      <c r="F663" s="445"/>
      <c r="G663" s="445"/>
      <c r="H663" s="446">
        <f t="shared" si="85"/>
        <v>0</v>
      </c>
      <c r="I663" s="578"/>
      <c r="J663" s="579"/>
      <c r="K663" s="553"/>
    </row>
    <row r="664" ht="14.5" customHeight="1" spans="1:11" x14ac:dyDescent="0.25" outlineLevel="1" collapsed="1">
      <c r="A664" s="528" t="s">
        <v>314</v>
      </c>
      <c r="B664" s="516" t="s">
        <v>1916</v>
      </c>
      <c r="C664" s="534" t="s">
        <v>61</v>
      </c>
      <c r="D664" s="534" t="s">
        <v>1456</v>
      </c>
      <c r="E664" s="426"/>
      <c r="F664" s="445"/>
      <c r="G664" s="445"/>
      <c r="H664" s="446">
        <f t="shared" si="85"/>
        <v>0</v>
      </c>
      <c r="I664" s="576"/>
      <c r="J664" s="577"/>
      <c r="K664" s="553"/>
    </row>
    <row r="665" ht="14.5" customHeight="1" spans="1:11" x14ac:dyDescent="0.25" outlineLevel="1" collapsed="1">
      <c r="A665" s="528" t="s">
        <v>316</v>
      </c>
      <c r="B665" s="516" t="s">
        <v>1917</v>
      </c>
      <c r="C665" s="534" t="s">
        <v>1918</v>
      </c>
      <c r="D665" s="534" t="s">
        <v>1919</v>
      </c>
      <c r="E665" s="539"/>
      <c r="F665" s="539"/>
      <c r="G665" s="539"/>
      <c r="H665" s="446">
        <f t="shared" si="85"/>
        <v>0</v>
      </c>
      <c r="I665" s="539"/>
      <c r="J665" s="540"/>
      <c r="K665" s="553"/>
    </row>
    <row r="666" spans="1:11" x14ac:dyDescent="0.25" outlineLevel="1" collapsed="1">
      <c r="A666" s="528" t="s">
        <v>318</v>
      </c>
      <c r="B666" s="516" t="s">
        <v>1920</v>
      </c>
      <c r="C666" s="534" t="s">
        <v>61</v>
      </c>
      <c r="D666" s="534" t="s">
        <v>1456</v>
      </c>
      <c r="E666" s="536"/>
      <c r="F666" s="536"/>
      <c r="G666" s="536"/>
      <c r="H666" s="446">
        <f t="shared" si="85"/>
        <v>0</v>
      </c>
      <c r="I666" s="536"/>
      <c r="J666" s="536"/>
      <c r="K666" s="553"/>
    </row>
    <row r="667" ht="14.5" customHeight="1" spans="1:11" x14ac:dyDescent="0.25" outlineLevel="1" collapsed="1">
      <c r="A667" s="528" t="s">
        <v>478</v>
      </c>
      <c r="B667" s="516" t="s">
        <v>1921</v>
      </c>
      <c r="C667" s="534" t="s">
        <v>1918</v>
      </c>
      <c r="D667" s="534" t="s">
        <v>1919</v>
      </c>
      <c r="E667" s="539"/>
      <c r="F667" s="539"/>
      <c r="G667" s="539"/>
      <c r="H667" s="446">
        <f t="shared" si="85"/>
        <v>0</v>
      </c>
      <c r="I667" s="539"/>
      <c r="J667" s="540"/>
      <c r="K667" s="553"/>
    </row>
    <row r="668" spans="1:11" x14ac:dyDescent="0.25" outlineLevel="1" collapsed="1">
      <c r="A668" s="528" t="s">
        <v>481</v>
      </c>
      <c r="B668" s="516" t="s">
        <v>1922</v>
      </c>
      <c r="C668" s="534" t="s">
        <v>61</v>
      </c>
      <c r="D668" s="534" t="s">
        <v>1456</v>
      </c>
      <c r="E668" s="536"/>
      <c r="F668" s="536"/>
      <c r="G668" s="536"/>
      <c r="H668" s="446">
        <f t="shared" si="85"/>
        <v>0</v>
      </c>
      <c r="I668" s="536"/>
      <c r="J668" s="536"/>
      <c r="K668" s="553"/>
    </row>
    <row r="669" ht="14.5" customHeight="1" spans="1:11" x14ac:dyDescent="0.25" outlineLevel="1" collapsed="1">
      <c r="A669" s="528" t="s">
        <v>483</v>
      </c>
      <c r="B669" s="516" t="s">
        <v>1923</v>
      </c>
      <c r="C669" s="534" t="s">
        <v>1918</v>
      </c>
      <c r="D669" s="534" t="s">
        <v>1919</v>
      </c>
      <c r="E669" s="539"/>
      <c r="F669" s="539"/>
      <c r="G669" s="539"/>
      <c r="H669" s="446">
        <f t="shared" si="85"/>
        <v>0</v>
      </c>
      <c r="I669" s="539"/>
      <c r="J669" s="540"/>
      <c r="K669" s="553"/>
    </row>
    <row r="670" spans="1:11" x14ac:dyDescent="0.25" outlineLevel="1" collapsed="1">
      <c r="A670" s="528" t="s">
        <v>485</v>
      </c>
      <c r="B670" s="516" t="s">
        <v>1924</v>
      </c>
      <c r="C670" s="534" t="s">
        <v>61</v>
      </c>
      <c r="D670" s="534" t="s">
        <v>1456</v>
      </c>
      <c r="E670" s="536"/>
      <c r="F670" s="536"/>
      <c r="G670" s="536"/>
      <c r="H670" s="446">
        <f t="shared" si="85"/>
        <v>0</v>
      </c>
      <c r="I670" s="536"/>
      <c r="J670" s="536"/>
      <c r="K670" s="553"/>
    </row>
    <row r="671" ht="14.5" customHeight="1" spans="1:11" x14ac:dyDescent="0.25" outlineLevel="1" collapsed="1">
      <c r="A671" s="528" t="s">
        <v>488</v>
      </c>
      <c r="B671" s="516" t="s">
        <v>1925</v>
      </c>
      <c r="C671" s="534" t="s">
        <v>1918</v>
      </c>
      <c r="D671" s="534" t="s">
        <v>1919</v>
      </c>
      <c r="E671" s="539"/>
      <c r="F671" s="539"/>
      <c r="G671" s="539"/>
      <c r="H671" s="446">
        <f t="shared" si="85"/>
        <v>0</v>
      </c>
      <c r="I671" s="539"/>
      <c r="J671" s="540"/>
      <c r="K671" s="553"/>
    </row>
    <row r="672" spans="1:11" x14ac:dyDescent="0.25" outlineLevel="1" collapsed="1">
      <c r="A672" s="528" t="s">
        <v>403</v>
      </c>
      <c r="B672" s="516" t="s">
        <v>1926</v>
      </c>
      <c r="C672" s="534" t="s">
        <v>61</v>
      </c>
      <c r="D672" s="534" t="s">
        <v>1927</v>
      </c>
      <c r="E672" s="536"/>
      <c r="F672" s="536"/>
      <c r="G672" s="536"/>
      <c r="H672" s="446">
        <f t="shared" si="85"/>
        <v>0</v>
      </c>
      <c r="I672" s="536"/>
      <c r="J672" s="536"/>
      <c r="K672" s="553"/>
    </row>
    <row r="673" ht="14.5" customHeight="1" spans="1:11" x14ac:dyDescent="0.25" outlineLevel="1" collapsed="1">
      <c r="A673" s="528" t="s">
        <v>407</v>
      </c>
      <c r="B673" s="516" t="s">
        <v>1928</v>
      </c>
      <c r="C673" s="534" t="s">
        <v>1918</v>
      </c>
      <c r="D673" s="534" t="s">
        <v>1493</v>
      </c>
      <c r="E673" s="539"/>
      <c r="F673" s="539"/>
      <c r="G673" s="539"/>
      <c r="H673" s="446">
        <f t="shared" si="85"/>
        <v>0</v>
      </c>
      <c r="I673" s="578"/>
      <c r="J673" s="579"/>
      <c r="K673" s="553"/>
    </row>
    <row r="674" ht="14.5" customHeight="1" spans="1:11" x14ac:dyDescent="0.25" outlineLevel="1" collapsed="1">
      <c r="A674" s="528" t="s">
        <v>410</v>
      </c>
      <c r="B674" s="516" t="s">
        <v>1929</v>
      </c>
      <c r="C674" s="534" t="s">
        <v>1918</v>
      </c>
      <c r="D674" s="534" t="s">
        <v>1930</v>
      </c>
      <c r="E674" s="539"/>
      <c r="F674" s="539"/>
      <c r="G674" s="539"/>
      <c r="H674" s="446">
        <f t="shared" si="85"/>
        <v>0</v>
      </c>
      <c r="I674" s="539"/>
      <c r="J674" s="566"/>
      <c r="K674" s="553"/>
    </row>
    <row r="675" ht="14.5" customHeight="1" spans="1:11" x14ac:dyDescent="0.25" outlineLevel="1" collapsed="1">
      <c r="A675" s="528" t="s">
        <v>413</v>
      </c>
      <c r="B675" s="516" t="s">
        <v>1931</v>
      </c>
      <c r="C675" s="534" t="s">
        <v>1918</v>
      </c>
      <c r="D675" s="534" t="s">
        <v>1927</v>
      </c>
      <c r="E675" s="536"/>
      <c r="F675" s="536"/>
      <c r="G675" s="536"/>
      <c r="H675" s="446">
        <f t="shared" si="85"/>
        <v>0</v>
      </c>
      <c r="I675" s="536"/>
      <c r="J675" s="567"/>
      <c r="K675" s="568"/>
    </row>
    <row r="676" ht="14.5" customHeight="1" spans="1:11" x14ac:dyDescent="0.25" outlineLevel="1" collapsed="1">
      <c r="A676" s="528" t="s">
        <v>416</v>
      </c>
      <c r="B676" s="516" t="s">
        <v>1932</v>
      </c>
      <c r="C676" s="534" t="s">
        <v>1918</v>
      </c>
      <c r="D676" s="534" t="s">
        <v>1919</v>
      </c>
      <c r="E676" s="539"/>
      <c r="F676" s="539"/>
      <c r="G676" s="539"/>
      <c r="H676" s="446">
        <f t="shared" si="85"/>
        <v>0</v>
      </c>
      <c r="I676" s="539"/>
      <c r="J676" s="540"/>
      <c r="K676" s="568"/>
    </row>
    <row r="677" ht="14.5" customHeight="1" spans="1:11" x14ac:dyDescent="0.25" outlineLevel="1" collapsed="1">
      <c r="A677" s="528" t="s">
        <v>419</v>
      </c>
      <c r="B677" s="516" t="s">
        <v>1933</v>
      </c>
      <c r="C677" s="534"/>
      <c r="D677" s="534" t="s">
        <v>1493</v>
      </c>
      <c r="E677" s="539"/>
      <c r="F677" s="539"/>
      <c r="G677" s="539"/>
      <c r="H677" s="446">
        <f t="shared" si="85"/>
        <v>0</v>
      </c>
      <c r="I677" s="539"/>
      <c r="J677" s="540"/>
      <c r="K677" s="553"/>
    </row>
    <row r="678" spans="1:11" x14ac:dyDescent="0.25" outlineLevel="1" collapsed="1">
      <c r="A678" s="542" t="s">
        <v>423</v>
      </c>
      <c r="B678" s="543" t="s">
        <v>1934</v>
      </c>
      <c r="C678" s="542" t="s">
        <v>1935</v>
      </c>
      <c r="D678" s="542" t="s">
        <v>1912</v>
      </c>
      <c r="E678" s="542">
        <f t="shared" ref="E678:F678" si="86">IFERROR(E662/E663,0)</f>
        <v>0</v>
      </c>
      <c r="F678" s="542">
        <f t="shared" si="86"/>
        <v>0</v>
      </c>
      <c r="G678" s="542">
        <f>IFERROR(G662/G663,0)</f>
        <v>0</v>
      </c>
      <c r="H678" s="446">
        <f>IFERROR(H662/H663,0)</f>
        <v>0</v>
      </c>
      <c r="I678" s="542">
        <f>IFERROR(I662/I663,0)</f>
        <v>0</v>
      </c>
      <c r="J678" s="544"/>
      <c r="K678" s="545"/>
    </row>
    <row r="679" ht="42" customHeight="1" spans="1:11" x14ac:dyDescent="0.25" outlineLevel="1" collapsed="1">
      <c r="A679" s="542" t="s">
        <v>425</v>
      </c>
      <c r="B679" s="543" t="s">
        <v>1936</v>
      </c>
      <c r="C679" s="542" t="s">
        <v>1937</v>
      </c>
      <c r="D679" s="542" t="s">
        <v>1938</v>
      </c>
      <c r="E679" s="542">
        <f t="shared" ref="E679:F679" si="87">IFERROR((((E664*E665)+(E666*E667)+(E668*E669)+(E670*E671))/E662),0)</f>
        <v>0</v>
      </c>
      <c r="F679" s="542">
        <f t="shared" si="87"/>
        <v>0</v>
      </c>
      <c r="G679" s="542">
        <f>IFERROR((((G664*G665)+(G666*G667)+(G668*G669)+(G670*G671))/G662),0)</f>
        <v>0</v>
      </c>
      <c r="H679" s="446">
        <f>IFERROR((((H664*H665)+(H666*H667)+(H668*H669)+(H670*H671))/H662),0)</f>
        <v>0</v>
      </c>
      <c r="I679" s="542">
        <f>IFERROR((((I664*I665)+(I666*I667)+(I668*I669)+(I670*I671))/I662),0)</f>
        <v>0</v>
      </c>
      <c r="J679" s="544"/>
      <c r="K679" s="545"/>
    </row>
    <row r="680" ht="42" customHeight="1" spans="1:11" x14ac:dyDescent="0.25" outlineLevel="1" collapsed="1">
      <c r="A680" s="542" t="s">
        <v>427</v>
      </c>
      <c r="B680" s="543" t="s">
        <v>1939</v>
      </c>
      <c r="C680" s="542" t="s">
        <v>1940</v>
      </c>
      <c r="D680" s="542" t="s">
        <v>1493</v>
      </c>
      <c r="E680" s="542">
        <f t="shared" ref="E680:F680" si="88">IFERROR(((E664*E665)/((E664*E665)+(E666*E667)+(E668*E669)+(E670*E671))),0)</f>
        <v>0</v>
      </c>
      <c r="F680" s="542">
        <f t="shared" si="88"/>
        <v>0</v>
      </c>
      <c r="G680" s="542">
        <f>IFERROR(((G664*G665)/((G664*G665)+(G666*G667)+(G668*G669)+(G670*G671))),0)</f>
        <v>0</v>
      </c>
      <c r="H680" s="446">
        <f>IFERROR(((H664*H665)/((H664*H665)+(H666*H667)+(H668*H669)+(H670*H671))),0)</f>
        <v>0</v>
      </c>
      <c r="I680" s="542">
        <f>IFERROR(((I664*I665)/((I664*I665)+(I666*I667)+(I668*I669)+(I670*I671))),0)</f>
        <v>0</v>
      </c>
      <c r="J680" s="581"/>
      <c r="K680" s="545"/>
    </row>
    <row r="681" ht="14.5" customHeight="1" spans="1:11" x14ac:dyDescent="0.25">
      <c r="A681" s="582"/>
      <c r="B681" s="583"/>
      <c r="C681" s="584"/>
      <c r="D681" s="582"/>
      <c r="E681" s="582"/>
      <c r="F681" s="582"/>
      <c r="G681" s="582"/>
      <c r="H681" s="585"/>
      <c r="I681" s="582"/>
      <c r="J681" s="477"/>
      <c r="K681" s="586"/>
    </row>
    <row r="682" ht="28" customHeight="1" spans="1:11" x14ac:dyDescent="0.25">
      <c r="A682" s="440" t="s">
        <v>443</v>
      </c>
      <c r="B682" s="565" t="s">
        <v>444</v>
      </c>
      <c r="C682" s="439" t="s">
        <v>1969</v>
      </c>
      <c r="D682" s="440"/>
      <c r="E682" s="440"/>
      <c r="F682" s="440"/>
      <c r="G682" s="440"/>
      <c r="H682" s="440"/>
      <c r="I682" s="440"/>
      <c r="J682" s="442"/>
      <c r="K682" s="442"/>
    </row>
    <row r="683" ht="42" customHeight="1" spans="1:11" x14ac:dyDescent="0.25">
      <c r="A683" s="542" t="s">
        <v>445</v>
      </c>
      <c r="B683" s="543" t="s">
        <v>1970</v>
      </c>
      <c r="C683" s="542" t="s">
        <v>1971</v>
      </c>
      <c r="D683" s="542" t="s">
        <v>1951</v>
      </c>
      <c r="E683" s="542">
        <f t="shared" ref="E683:I683" si="89">E662+E639+E616+E593+E570</f>
        <v>2153635.7</v>
      </c>
      <c r="F683" s="542">
        <f t="shared" si="89"/>
        <v>0</v>
      </c>
      <c r="G683" s="542">
        <f t="shared" si="89"/>
        <v>0</v>
      </c>
      <c r="H683" s="542">
        <f t="shared" si="89"/>
        <v>2153635.7</v>
      </c>
      <c r="I683" s="542">
        <f t="shared" si="89"/>
        <v>0</v>
      </c>
      <c r="J683" s="544"/>
      <c r="K683" s="545"/>
    </row>
    <row r="684" ht="28" customHeight="1" spans="1:11" x14ac:dyDescent="0.25">
      <c r="A684" s="542" t="s">
        <v>447</v>
      </c>
      <c r="B684" s="543" t="s">
        <v>1972</v>
      </c>
      <c r="C684" s="542" t="s">
        <v>1953</v>
      </c>
      <c r="D684" s="542" t="s">
        <v>1493</v>
      </c>
      <c r="E684" s="542">
        <f t="shared" ref="E684:F684" si="90">IFERROR((E673*E678+E655*E650+E632*E627+E609*E604+E581*E586)/(E678+E655+E632+E609+E586),0)</f>
        <v>84.34985618558684</v>
      </c>
      <c r="F684" s="542">
        <f t="shared" si="90"/>
        <v>0</v>
      </c>
      <c r="G684" s="542">
        <f>IFERROR((G673*G678+G655*G650+G632*G627+G609*G604+G581*G586)/(G678+G655+G632+G609+G586),0)</f>
        <v>0</v>
      </c>
      <c r="H684" s="446">
        <f>IFERROR((H673*H678+H655*H650+H632*H627+H609*H604+H581*H586)/(H678+H655+H632+H609+H586),0)</f>
        <v>84.34985618558684</v>
      </c>
      <c r="I684" s="542">
        <f>IFERROR((I673*I678+I655*I650+I632*I627+I609*I604+I581*I586)/(I678+I655+I632+I609+I586),0)</f>
        <v>0</v>
      </c>
      <c r="J684" s="544"/>
      <c r="K684" s="545"/>
    </row>
    <row r="685" ht="70" customHeight="1" spans="1:11" x14ac:dyDescent="0.25">
      <c r="A685" s="542" t="s">
        <v>449</v>
      </c>
      <c r="B685" s="543" t="s">
        <v>1973</v>
      </c>
      <c r="C685" s="542" t="s">
        <v>1974</v>
      </c>
      <c r="D685" s="542" t="s">
        <v>1912</v>
      </c>
      <c r="E685" s="542">
        <f t="shared" ref="E685:F685" si="91">E678+E655+E632+E609+E586</f>
        <v>268.0568655957802</v>
      </c>
      <c r="F685" s="542">
        <f t="shared" si="91"/>
        <v>0</v>
      </c>
      <c r="G685" s="542">
        <f>G678+G655+G632+G609+G586</f>
        <v>0</v>
      </c>
      <c r="H685" s="446">
        <f>H678+H655+H632+H609+H586</f>
        <v>268.0568655957802</v>
      </c>
      <c r="I685" s="542">
        <f>I678+I655+I632+I609+I586</f>
        <v>0</v>
      </c>
      <c r="J685" s="544"/>
      <c r="K685" s="545"/>
    </row>
    <row r="686" ht="28" customHeight="1" spans="1:11" x14ac:dyDescent="0.25">
      <c r="A686" s="542" t="s">
        <v>451</v>
      </c>
      <c r="B686" s="543" t="s">
        <v>1975</v>
      </c>
      <c r="C686" s="542" t="s">
        <v>1953</v>
      </c>
      <c r="D686" s="542" t="s">
        <v>1938</v>
      </c>
      <c r="E686" s="542">
        <f t="shared" ref="E686:F686" si="92">IFERROR((E679*E678+E656*E655+E633*E632+E610*E609+E586*E587)/(E678+E655+E632+E609+E586),0)</f>
        <v>791.8244809298797</v>
      </c>
      <c r="F686" s="542">
        <f t="shared" si="92"/>
        <v>0</v>
      </c>
      <c r="G686" s="542">
        <f>IFERROR((G679*G678+G656*G655+G633*G632+G610*G609+G586*G587)/(G678+G655+G632+G609+G586),0)</f>
        <v>0</v>
      </c>
      <c r="H686" s="446">
        <f>IFERROR((H679*H678+H656*H655+H633*H632+H610*H609+H586*H587)/(H678+H655+H632+H609+H586),0)</f>
        <v>791.8244809298797</v>
      </c>
      <c r="I686" s="542">
        <f>IFERROR((I679*I678+I656*I655+I633*I632+I610*I609+I586*I587)/(I678+I655+I632+I609+I586),0)</f>
        <v>0</v>
      </c>
      <c r="J686" s="544"/>
      <c r="K686" s="545"/>
    </row>
    <row r="687" ht="28" customHeight="1" spans="1:11" x14ac:dyDescent="0.25">
      <c r="A687" s="542" t="s">
        <v>453</v>
      </c>
      <c r="B687" s="543" t="s">
        <v>1976</v>
      </c>
      <c r="C687" s="542" t="s">
        <v>1953</v>
      </c>
      <c r="D687" s="542" t="s">
        <v>1493</v>
      </c>
      <c r="E687" s="542">
        <f t="shared" ref="E687:F687" si="93">IFERROR((((E609*E611)+(E632*E634)+(E655*E657)+(E678*E680)+(E586*E588))/(E586+E609+E632+E655+E678)),0)</f>
        <v>0.9836419025238494</v>
      </c>
      <c r="F687" s="542">
        <f t="shared" si="93"/>
        <v>0</v>
      </c>
      <c r="G687" s="542">
        <f>IFERROR((((G609*G611)+(G632*G634)+(G655*G657)+(G678*G680)+(G586*G588))/(G586+G609+G632+G655+G678)),0)</f>
        <v>0</v>
      </c>
      <c r="H687" s="446">
        <f>IFERROR((((H609*H611)+(H632*H634)+(H655*H657)+(H678*H680)+(H586*H588))/(H586+H609+H632+H655+H678)),0)</f>
        <v>0.9836419025238494</v>
      </c>
      <c r="I687" s="542">
        <f>IFERROR((((I609*I611)+(I632*I634)+(I655*I657)+(I678*I680)+(I586*I588))/(I586+I609+I632+I655+I678)),0)</f>
        <v>0</v>
      </c>
      <c r="J687" s="544"/>
      <c r="K687" s="545"/>
    </row>
    <row r="688" ht="28" customHeight="1" spans="1:11" x14ac:dyDescent="0.25">
      <c r="A688" s="542" t="s">
        <v>455</v>
      </c>
      <c r="B688" s="543" t="s">
        <v>1977</v>
      </c>
      <c r="C688" s="542" t="s">
        <v>1978</v>
      </c>
      <c r="D688" s="542" t="s">
        <v>1493</v>
      </c>
      <c r="E688" s="542">
        <f t="shared" ref="E688:F688" si="94">IFERROR((E684*E685+E561*E562)/(E562+E685),0)</f>
        <v>83.81812367157337</v>
      </c>
      <c r="F688" s="542">
        <f t="shared" si="94"/>
        <v>0</v>
      </c>
      <c r="G688" s="542">
        <f>IFERROR((G684*G685+G561*G562)/(G562+G685),0)</f>
        <v>0</v>
      </c>
      <c r="H688" s="446">
        <f>IFERROR((H684*H685+H561*H562)/(H562+H685),0)</f>
        <v>83.81812367157337</v>
      </c>
      <c r="I688" s="542">
        <f>IFERROR((I684*I685+I561*I562)/(I562+I685),0)</f>
        <v>0</v>
      </c>
      <c r="J688" s="544"/>
      <c r="K688" s="545"/>
    </row>
    <row r="689" ht="14.5" customHeight="1" spans="1:11" x14ac:dyDescent="0.25">
      <c r="A689" s="587"/>
      <c r="B689" s="349"/>
      <c r="C689" s="293"/>
      <c r="D689" s="293"/>
      <c r="E689" s="245"/>
      <c r="F689" s="245"/>
      <c r="G689" s="245"/>
      <c r="H689" s="585"/>
      <c r="I689" s="564"/>
      <c r="J689" s="537"/>
      <c r="K689" s="456"/>
    </row>
    <row r="690" ht="42" customHeight="1" spans="1:11" x14ac:dyDescent="0.25">
      <c r="A690" s="484" t="s">
        <v>457</v>
      </c>
      <c r="B690" s="486" t="s">
        <v>458</v>
      </c>
      <c r="C690" s="414"/>
      <c r="D690" s="414"/>
      <c r="E690" s="484"/>
      <c r="F690" s="484"/>
      <c r="G690" s="484"/>
      <c r="H690" s="563"/>
      <c r="I690" s="588"/>
      <c r="J690" s="589"/>
      <c r="K690" s="456"/>
    </row>
    <row r="691" spans="1:11" x14ac:dyDescent="0.25">
      <c r="A691" s="590" t="s">
        <v>459</v>
      </c>
      <c r="B691" s="438" t="s">
        <v>1979</v>
      </c>
      <c r="C691" s="439"/>
      <c r="D691" s="440"/>
      <c r="E691" s="440"/>
      <c r="F691" s="440"/>
      <c r="G691" s="440"/>
      <c r="H691" s="441"/>
      <c r="I691" s="440"/>
      <c r="J691" s="442"/>
      <c r="K691" s="442"/>
    </row>
    <row r="692" spans="1:11" x14ac:dyDescent="0.25">
      <c r="A692" s="437" t="s">
        <v>461</v>
      </c>
      <c r="B692" s="438" t="s">
        <v>1980</v>
      </c>
      <c r="C692" s="439"/>
      <c r="D692" s="440"/>
      <c r="E692" s="440"/>
      <c r="F692" s="440"/>
      <c r="G692" s="440"/>
      <c r="H692" s="441"/>
      <c r="I692" s="440"/>
      <c r="J692" s="442"/>
      <c r="K692" s="442"/>
    </row>
    <row r="693" ht="14.5" customHeight="1" spans="1:11" x14ac:dyDescent="0.25">
      <c r="A693" s="293" t="s">
        <v>306</v>
      </c>
      <c r="B693" s="349" t="s">
        <v>1981</v>
      </c>
      <c r="C693" s="293" t="s">
        <v>61</v>
      </c>
      <c r="D693" s="293" t="s">
        <v>1822</v>
      </c>
      <c r="E693" s="591"/>
      <c r="F693" s="445"/>
      <c r="G693" s="445"/>
      <c r="H693" s="446">
        <f t="shared" ref="H693:H711" si="95">IF(K$9=1,E693,IF(K$9=2,(E693+F693)/2,(E693+F693+G693)/3))</f>
        <v>1144.79</v>
      </c>
      <c r="I693" s="445"/>
      <c r="J693" s="228"/>
      <c r="K693" s="591"/>
    </row>
    <row r="694" ht="14.5" customHeight="1" spans="1:11" x14ac:dyDescent="0.25">
      <c r="A694" s="592" t="s">
        <v>308</v>
      </c>
      <c r="B694" s="593" t="s">
        <v>1982</v>
      </c>
      <c r="C694" s="594" t="s">
        <v>61</v>
      </c>
      <c r="D694" s="594" t="s">
        <v>1822</v>
      </c>
      <c r="E694" s="228"/>
      <c r="F694" s="445"/>
      <c r="G694" s="445"/>
      <c r="H694" s="446">
        <f t="shared" si="95"/>
        <v>39.123358992527514</v>
      </c>
      <c r="I694" s="228"/>
      <c r="J694" s="228"/>
      <c r="K694" s="595"/>
    </row>
    <row r="695" ht="14.5" customHeight="1" spans="1:11" x14ac:dyDescent="0.25">
      <c r="A695" s="592" t="s">
        <v>310</v>
      </c>
      <c r="B695" s="593" t="s">
        <v>1983</v>
      </c>
      <c r="C695" s="594" t="s">
        <v>61</v>
      </c>
      <c r="D695" s="596" t="s">
        <v>1822</v>
      </c>
      <c r="E695" s="591"/>
      <c r="F695" s="445"/>
      <c r="G695" s="445"/>
      <c r="H695" s="446">
        <f>IF(K$9=1,E695,IF(K$9=2,(E695+F695)/2,(E695+F695+G695)/3))</f>
        <v>0</v>
      </c>
      <c r="I695" s="228"/>
      <c r="J695" s="228"/>
      <c r="K695" s="595"/>
    </row>
    <row r="696" ht="29" customHeight="1" spans="1:11" x14ac:dyDescent="0.25">
      <c r="A696" s="592" t="s">
        <v>312</v>
      </c>
      <c r="B696" s="593" t="s">
        <v>1984</v>
      </c>
      <c r="C696" s="594" t="s">
        <v>61</v>
      </c>
      <c r="D696" s="596" t="s">
        <v>1822</v>
      </c>
      <c r="E696" s="228"/>
      <c r="F696" s="445"/>
      <c r="G696" s="445"/>
      <c r="H696" s="446">
        <f t="shared" si="95"/>
        <v>0</v>
      </c>
      <c r="I696" s="228"/>
      <c r="J696" s="228"/>
      <c r="K696" s="595"/>
    </row>
    <row r="697" ht="14.5" customHeight="1" spans="1:11" x14ac:dyDescent="0.25">
      <c r="A697" s="592" t="s">
        <v>314</v>
      </c>
      <c r="B697" s="593" t="s">
        <v>1985</v>
      </c>
      <c r="C697" s="594" t="s">
        <v>61</v>
      </c>
      <c r="D697" s="596" t="s">
        <v>1822</v>
      </c>
      <c r="E697" s="591"/>
      <c r="F697" s="445"/>
      <c r="G697" s="445"/>
      <c r="H697" s="446">
        <f t="shared" si="95"/>
        <v>0</v>
      </c>
      <c r="I697" s="228"/>
      <c r="J697" s="228"/>
      <c r="K697" s="595"/>
    </row>
    <row r="698" ht="14.5" customHeight="1" spans="1:11" x14ac:dyDescent="0.25">
      <c r="A698" s="422" t="s">
        <v>316</v>
      </c>
      <c r="B698" s="597" t="s">
        <v>1986</v>
      </c>
      <c r="C698" s="598" t="s">
        <v>61</v>
      </c>
      <c r="D698" s="599" t="s">
        <v>1822</v>
      </c>
      <c r="E698" s="228"/>
      <c r="F698" s="445"/>
      <c r="G698" s="445"/>
      <c r="H698" s="446">
        <f>IF(K$9=1,E698,IF(K$9=2,(E698+F698)/2,(E698+F698+G698)/3))</f>
        <v>0</v>
      </c>
      <c r="I698" s="228"/>
      <c r="J698" s="228"/>
      <c r="K698" s="595"/>
    </row>
    <row r="699" ht="28" customHeight="1" spans="1:11" x14ac:dyDescent="0.25">
      <c r="A699" s="293" t="s">
        <v>318</v>
      </c>
      <c r="B699" s="349" t="s">
        <v>1987</v>
      </c>
      <c r="C699" s="293" t="s">
        <v>61</v>
      </c>
      <c r="D699" s="293" t="s">
        <v>1822</v>
      </c>
      <c r="E699" s="228"/>
      <c r="F699" s="445"/>
      <c r="G699" s="445"/>
      <c r="H699" s="446">
        <f t="shared" si="95"/>
        <v>0</v>
      </c>
      <c r="I699" s="228"/>
      <c r="J699" s="228"/>
      <c r="K699" s="595"/>
    </row>
    <row r="700" ht="28" customHeight="1" spans="1:11" x14ac:dyDescent="0.25">
      <c r="A700" s="293" t="s">
        <v>478</v>
      </c>
      <c r="B700" s="349" t="s">
        <v>1988</v>
      </c>
      <c r="C700" s="293" t="s">
        <v>61</v>
      </c>
      <c r="D700" s="293" t="s">
        <v>1989</v>
      </c>
      <c r="E700" s="228"/>
      <c r="F700" s="445"/>
      <c r="G700" s="445"/>
      <c r="H700" s="446">
        <f t="shared" si="95"/>
        <v>0</v>
      </c>
      <c r="I700" s="228"/>
      <c r="J700" s="228"/>
      <c r="K700" s="595"/>
    </row>
    <row r="701" ht="14.5" customHeight="1" spans="1:11" x14ac:dyDescent="0.25">
      <c r="A701" s="592" t="s">
        <v>481</v>
      </c>
      <c r="B701" s="435" t="s">
        <v>1990</v>
      </c>
      <c r="C701" s="422" t="s">
        <v>1580</v>
      </c>
      <c r="D701" s="422" t="s">
        <v>1991</v>
      </c>
      <c r="E701" s="228"/>
      <c r="F701" s="445"/>
      <c r="G701" s="445"/>
      <c r="H701" s="446">
        <f t="shared" si="95"/>
        <v>0.727</v>
      </c>
      <c r="I701" s="228"/>
      <c r="J701" s="228"/>
      <c r="K701" s="595"/>
    </row>
    <row r="702" ht="14.5" customHeight="1" spans="1:11" x14ac:dyDescent="0.25">
      <c r="A702" s="422" t="s">
        <v>483</v>
      </c>
      <c r="B702" s="435" t="s">
        <v>1992</v>
      </c>
      <c r="C702" s="422" t="s">
        <v>1580</v>
      </c>
      <c r="D702" s="422" t="s">
        <v>1991</v>
      </c>
      <c r="E702" s="228"/>
      <c r="F702" s="445"/>
      <c r="G702" s="445"/>
      <c r="H702" s="446">
        <f t="shared" si="95"/>
        <v>0</v>
      </c>
      <c r="I702" s="228"/>
      <c r="J702" s="228"/>
      <c r="K702" s="595"/>
    </row>
    <row r="703" ht="29" customHeight="1" spans="1:11" x14ac:dyDescent="0.25">
      <c r="A703" s="422" t="s">
        <v>485</v>
      </c>
      <c r="B703" s="593" t="s">
        <v>1993</v>
      </c>
      <c r="C703" s="594" t="s">
        <v>61</v>
      </c>
      <c r="D703" s="596" t="s">
        <v>1493</v>
      </c>
      <c r="E703" s="228"/>
      <c r="F703" s="445"/>
      <c r="G703" s="445"/>
      <c r="H703" s="446">
        <f t="shared" si="95"/>
        <v>0</v>
      </c>
      <c r="I703" s="228"/>
      <c r="J703" s="228"/>
      <c r="K703" s="595"/>
    </row>
    <row r="704" ht="14.5" customHeight="1" spans="1:11" x14ac:dyDescent="0.25">
      <c r="A704" s="293" t="s">
        <v>488</v>
      </c>
      <c r="B704" s="349" t="s">
        <v>1994</v>
      </c>
      <c r="C704" s="293" t="s">
        <v>61</v>
      </c>
      <c r="D704" s="293" t="s">
        <v>1493</v>
      </c>
      <c r="E704" s="228"/>
      <c r="F704" s="445"/>
      <c r="G704" s="445"/>
      <c r="H704" s="446">
        <f t="shared" si="95"/>
        <v>0</v>
      </c>
      <c r="I704" s="228"/>
      <c r="J704" s="228"/>
      <c r="K704" s="595"/>
    </row>
    <row r="705" ht="14.5" customHeight="1" spans="1:11" x14ac:dyDescent="0.25">
      <c r="A705" s="293" t="s">
        <v>403</v>
      </c>
      <c r="B705" s="349" t="s">
        <v>1994</v>
      </c>
      <c r="C705" s="293" t="s">
        <v>61</v>
      </c>
      <c r="D705" s="293" t="s">
        <v>1822</v>
      </c>
      <c r="E705" s="228"/>
      <c r="F705" s="445"/>
      <c r="G705" s="445"/>
      <c r="H705" s="446">
        <f t="shared" si="95"/>
        <v>0</v>
      </c>
      <c r="I705" s="228"/>
      <c r="J705" s="228"/>
      <c r="K705" s="595"/>
    </row>
    <row r="706" ht="14.5" customHeight="1" spans="1:11" x14ac:dyDescent="0.25">
      <c r="A706" s="293" t="s">
        <v>407</v>
      </c>
      <c r="B706" s="349" t="s">
        <v>1994</v>
      </c>
      <c r="C706" s="293" t="s">
        <v>61</v>
      </c>
      <c r="D706" s="293" t="s">
        <v>1487</v>
      </c>
      <c r="E706" s="228"/>
      <c r="F706" s="445"/>
      <c r="G706" s="445"/>
      <c r="H706" s="446">
        <f t="shared" si="95"/>
        <v>0</v>
      </c>
      <c r="I706" s="228"/>
      <c r="J706" s="228"/>
      <c r="K706" s="595"/>
    </row>
    <row r="707" ht="14.5" customHeight="1" spans="1:11" x14ac:dyDescent="0.25">
      <c r="A707" s="293" t="s">
        <v>410</v>
      </c>
      <c r="B707" s="349" t="s">
        <v>1995</v>
      </c>
      <c r="C707" s="293" t="s">
        <v>61</v>
      </c>
      <c r="D707" s="293" t="s">
        <v>1487</v>
      </c>
      <c r="E707" s="228"/>
      <c r="F707" s="445"/>
      <c r="G707" s="445"/>
      <c r="H707" s="446">
        <f t="shared" si="95"/>
        <v>0</v>
      </c>
      <c r="I707" s="228"/>
      <c r="J707" s="228"/>
      <c r="K707" s="595"/>
    </row>
    <row r="708" ht="28" customHeight="1" spans="1:11" x14ac:dyDescent="0.25">
      <c r="A708" s="293" t="s">
        <v>413</v>
      </c>
      <c r="B708" s="349" t="s">
        <v>1996</v>
      </c>
      <c r="C708" s="293" t="s">
        <v>61</v>
      </c>
      <c r="D708" s="293" t="s">
        <v>1997</v>
      </c>
      <c r="E708" s="228"/>
      <c r="F708" s="445"/>
      <c r="G708" s="445"/>
      <c r="H708" s="446">
        <f t="shared" si="95"/>
        <v>0</v>
      </c>
      <c r="I708" s="228"/>
      <c r="J708" s="228"/>
      <c r="K708" s="595"/>
    </row>
    <row r="709" ht="14.5" customHeight="1" spans="1:11" x14ac:dyDescent="0.25">
      <c r="A709" s="293" t="s">
        <v>416</v>
      </c>
      <c r="B709" s="349" t="s">
        <v>1998</v>
      </c>
      <c r="C709" s="293" t="s">
        <v>61</v>
      </c>
      <c r="D709" s="293" t="s">
        <v>1997</v>
      </c>
      <c r="E709" s="228"/>
      <c r="F709" s="445"/>
      <c r="G709" s="445"/>
      <c r="H709" s="446">
        <f t="shared" si="95"/>
        <v>0</v>
      </c>
      <c r="I709" s="228"/>
      <c r="J709" s="228"/>
      <c r="K709" s="595"/>
    </row>
    <row r="710" ht="14.5" customHeight="1" spans="1:11" x14ac:dyDescent="0.25">
      <c r="A710" s="293" t="s">
        <v>419</v>
      </c>
      <c r="B710" s="349" t="s">
        <v>1999</v>
      </c>
      <c r="C710" s="293" t="s">
        <v>61</v>
      </c>
      <c r="D710" s="293" t="s">
        <v>2000</v>
      </c>
      <c r="E710" s="426"/>
      <c r="F710" s="445"/>
      <c r="G710" s="445"/>
      <c r="H710" s="446">
        <f t="shared" si="95"/>
        <v>1488473</v>
      </c>
      <c r="I710" s="426"/>
      <c r="J710" s="426"/>
      <c r="K710" s="595"/>
    </row>
    <row r="711" ht="14.5" customHeight="1" spans="1:11" x14ac:dyDescent="0.25">
      <c r="A711" s="293" t="s">
        <v>423</v>
      </c>
      <c r="B711" s="349" t="s">
        <v>2001</v>
      </c>
      <c r="C711" s="293" t="s">
        <v>61</v>
      </c>
      <c r="D711" s="293" t="s">
        <v>2002</v>
      </c>
      <c r="E711" s="228"/>
      <c r="F711" s="445"/>
      <c r="G711" s="445"/>
      <c r="H711" s="446">
        <f t="shared" si="95"/>
        <v>44444.4</v>
      </c>
      <c r="I711" s="228"/>
      <c r="J711" s="228"/>
      <c r="K711" s="595"/>
    </row>
    <row r="712" ht="14.5" customHeight="1" spans="1:11" x14ac:dyDescent="0.25">
      <c r="A712" s="293" t="s">
        <v>425</v>
      </c>
      <c r="B712" s="349" t="s">
        <v>2003</v>
      </c>
      <c r="C712" s="293"/>
      <c r="D712" s="293" t="s">
        <v>2004</v>
      </c>
      <c r="E712" s="600"/>
      <c r="F712" s="600"/>
      <c r="G712" s="228"/>
      <c r="H712" s="446">
        <f>G712</f>
        <v>0</v>
      </c>
      <c r="I712" s="601"/>
      <c r="J712" s="471"/>
      <c r="K712" s="447"/>
    </row>
    <row r="713" ht="14.5" customHeight="1" spans="1:11" x14ac:dyDescent="0.25">
      <c r="A713" s="293" t="s">
        <v>427</v>
      </c>
      <c r="B713" s="349" t="s">
        <v>2005</v>
      </c>
      <c r="C713" s="293"/>
      <c r="D713" s="293" t="s">
        <v>2004</v>
      </c>
      <c r="E713" s="600"/>
      <c r="F713" s="600"/>
      <c r="G713" s="228"/>
      <c r="H713" s="446">
        <f>G713</f>
        <v>0</v>
      </c>
      <c r="I713" s="601"/>
      <c r="J713" s="471"/>
      <c r="K713" s="447"/>
    </row>
    <row r="714" ht="28" customHeight="1" spans="1:11" x14ac:dyDescent="0.25">
      <c r="A714" s="293" t="s">
        <v>514</v>
      </c>
      <c r="B714" s="349" t="s">
        <v>2006</v>
      </c>
      <c r="C714" s="293"/>
      <c r="D714" s="293" t="s">
        <v>2007</v>
      </c>
      <c r="E714" s="600"/>
      <c r="F714" s="600"/>
      <c r="G714" s="602">
        <f>IFERROR(G712-G713,0)</f>
        <v>0</v>
      </c>
      <c r="H714" s="446">
        <f>G714</f>
        <v>0</v>
      </c>
      <c r="I714" s="601"/>
      <c r="J714" s="471"/>
      <c r="K714" s="447"/>
    </row>
    <row r="715" ht="14.5" customHeight="1" spans="1:11" x14ac:dyDescent="0.25">
      <c r="A715" s="293" t="s">
        <v>516</v>
      </c>
      <c r="B715" s="349" t="s">
        <v>2008</v>
      </c>
      <c r="C715" s="293"/>
      <c r="D715" s="293" t="s">
        <v>1951</v>
      </c>
      <c r="E715" s="600"/>
      <c r="F715" s="600"/>
      <c r="G715" s="228"/>
      <c r="H715" s="446">
        <f>G715</f>
        <v>0</v>
      </c>
      <c r="I715" s="601"/>
      <c r="J715" s="471"/>
      <c r="K715" s="447"/>
    </row>
    <row r="716" ht="28" customHeight="1" spans="1:11" x14ac:dyDescent="0.25">
      <c r="A716" s="452" t="s">
        <v>518</v>
      </c>
      <c r="B716" s="453" t="s">
        <v>2009</v>
      </c>
      <c r="C716" s="452" t="s">
        <v>2010</v>
      </c>
      <c r="D716" s="452" t="s">
        <v>1822</v>
      </c>
      <c r="E716" s="446">
        <f>E693+E694+E699+E695+E696+E697+E698</f>
        <v>1183.9133589925275</v>
      </c>
      <c r="F716" s="446">
        <f t="shared" ref="F716:I716" si="96">F693+F694+F699+F695+F696+F697+F698</f>
        <v>0</v>
      </c>
      <c r="G716" s="446">
        <f t="shared" si="96"/>
        <v>0</v>
      </c>
      <c r="H716" s="446">
        <f t="shared" si="96"/>
        <v>1183.9133589925275</v>
      </c>
      <c r="I716" s="446">
        <f t="shared" si="96"/>
        <v>0</v>
      </c>
      <c r="J716" s="603"/>
      <c r="K716" s="456"/>
    </row>
    <row r="717" ht="42" customHeight="1" spans="1:11" x14ac:dyDescent="0.25">
      <c r="A717" s="452" t="s">
        <v>520</v>
      </c>
      <c r="B717" s="453" t="s">
        <v>2011</v>
      </c>
      <c r="C717" s="452" t="s">
        <v>2012</v>
      </c>
      <c r="D717" s="452" t="s">
        <v>1822</v>
      </c>
      <c r="E717" s="446">
        <f>IF(E716&gt;E842, E716-E842, 0)</f>
        <v>694.7059488365276</v>
      </c>
      <c r="F717" s="446">
        <f t="shared" ref="F717:I717" si="97">IF(F716&gt;F842, F716-F842, 0)</f>
        <v>0</v>
      </c>
      <c r="G717" s="446">
        <f t="shared" si="97"/>
        <v>0</v>
      </c>
      <c r="H717" s="446">
        <f t="shared" si="97"/>
        <v>694.7059488365276</v>
      </c>
      <c r="I717" s="446">
        <f t="shared" si="97"/>
        <v>0</v>
      </c>
      <c r="J717" s="517"/>
      <c r="K717" s="456"/>
    </row>
    <row r="718" ht="28" customHeight="1" spans="1:11" x14ac:dyDescent="0.25">
      <c r="A718" s="452" t="s">
        <v>522</v>
      </c>
      <c r="B718" s="453" t="s">
        <v>2013</v>
      </c>
      <c r="C718" s="452" t="s">
        <v>2014</v>
      </c>
      <c r="D718" s="452" t="s">
        <v>1826</v>
      </c>
      <c r="E718" s="446">
        <f t="shared" ref="E718" si="98">E717*860/10</f>
        <v>59744.711599941365</v>
      </c>
      <c r="F718" s="446">
        <f t="shared" ref="F718:I718" si="99">F717*860/10</f>
        <v>0</v>
      </c>
      <c r="G718" s="446">
        <f t="shared" si="99"/>
        <v>0</v>
      </c>
      <c r="H718" s="446">
        <f t="shared" si="99"/>
        <v>59744.711599941365</v>
      </c>
      <c r="I718" s="446">
        <f t="shared" si="99"/>
        <v>0</v>
      </c>
      <c r="J718" s="517"/>
      <c r="K718" s="456"/>
    </row>
    <row r="719" ht="28" customHeight="1" spans="1:11" x14ac:dyDescent="0.25">
      <c r="A719" s="452" t="s">
        <v>524</v>
      </c>
      <c r="B719" s="453" t="s">
        <v>2015</v>
      </c>
      <c r="C719" s="452"/>
      <c r="D719" s="452" t="s">
        <v>1826</v>
      </c>
      <c r="E719" s="446">
        <f>E699*E700/10</f>
        <v>0</v>
      </c>
      <c r="F719" s="446">
        <f t="shared" ref="F719:I719" si="100">F699*F700/10</f>
        <v>0</v>
      </c>
      <c r="G719" s="446">
        <f t="shared" si="100"/>
        <v>0</v>
      </c>
      <c r="H719" s="446">
        <f t="shared" si="100"/>
        <v>0</v>
      </c>
      <c r="I719" s="446">
        <f t="shared" si="100"/>
        <v>0</v>
      </c>
      <c r="J719" s="517"/>
      <c r="K719" s="456"/>
    </row>
    <row r="720" spans="1:11" x14ac:dyDescent="0.25">
      <c r="A720" s="604" t="s">
        <v>524</v>
      </c>
      <c r="B720" s="605" t="s">
        <v>2016</v>
      </c>
      <c r="C720" s="604"/>
      <c r="D720" s="604" t="s">
        <v>1822</v>
      </c>
      <c r="E720" s="606">
        <f>E694+E695+E696+E697</f>
        <v>39.123358992527514</v>
      </c>
      <c r="F720" s="606">
        <f t="shared" ref="F720:I720" si="101">F694+F695+F696+F697</f>
        <v>0</v>
      </c>
      <c r="G720" s="606">
        <f t="shared" si="101"/>
        <v>0</v>
      </c>
      <c r="H720" s="606">
        <f t="shared" si="101"/>
        <v>39.123358992527514</v>
      </c>
      <c r="I720" s="606">
        <f t="shared" si="101"/>
        <v>0</v>
      </c>
      <c r="J720" s="517"/>
      <c r="K720" s="456"/>
    </row>
    <row r="721" ht="14.5" customHeight="1" spans="1:11" x14ac:dyDescent="0.25">
      <c r="A721" s="604" t="s">
        <v>520</v>
      </c>
      <c r="B721" s="605" t="s">
        <v>2017</v>
      </c>
      <c r="C721" s="604" t="s">
        <v>2018</v>
      </c>
      <c r="D721" s="604" t="s">
        <v>1560</v>
      </c>
      <c r="E721" s="606">
        <f>E693*10^5/1000*E701</f>
        <v>83226.233</v>
      </c>
      <c r="F721" s="606">
        <f t="shared" ref="F721:I721" si="102">F693*10^5/1000*F701</f>
        <v>0</v>
      </c>
      <c r="G721" s="606">
        <f t="shared" si="102"/>
        <v>0</v>
      </c>
      <c r="H721" s="606">
        <f t="shared" si="102"/>
        <v>83226.233</v>
      </c>
      <c r="I721" s="606">
        <f t="shared" si="102"/>
        <v>0</v>
      </c>
      <c r="J721" s="607"/>
      <c r="K721" s="456"/>
    </row>
    <row r="722" ht="28" customHeight="1" spans="1:11" x14ac:dyDescent="0.25">
      <c r="A722" s="604" t="s">
        <v>522</v>
      </c>
      <c r="B722" s="605" t="s">
        <v>2019</v>
      </c>
      <c r="C722" s="604" t="s">
        <v>2020</v>
      </c>
      <c r="D722" s="604" t="s">
        <v>1560</v>
      </c>
      <c r="E722" s="606">
        <f>(E702*E699*10^5/1000)+E818</f>
        <v>0</v>
      </c>
      <c r="F722" s="606">
        <f t="shared" ref="F722:I722" si="103">(F702*F699*10^5/1000)+F818</f>
        <v>0</v>
      </c>
      <c r="G722" s="606">
        <f t="shared" si="103"/>
        <v>0</v>
      </c>
      <c r="H722" s="606">
        <f t="shared" si="103"/>
        <v>0</v>
      </c>
      <c r="I722" s="606">
        <f t="shared" si="103"/>
        <v>0</v>
      </c>
      <c r="J722" s="607"/>
      <c r="K722" s="456"/>
    </row>
    <row r="723" ht="14.5" customHeight="1" spans="1:11" x14ac:dyDescent="0.25">
      <c r="A723" s="604" t="s">
        <v>524</v>
      </c>
      <c r="B723" s="605" t="s">
        <v>2021</v>
      </c>
      <c r="C723" s="604" t="s">
        <v>2022</v>
      </c>
      <c r="D723" s="604" t="s">
        <v>1560</v>
      </c>
      <c r="E723" s="606">
        <f>E722+E721</f>
        <v>83226.233</v>
      </c>
      <c r="F723" s="606">
        <f t="shared" ref="F723:I723" si="104">F722+F721</f>
        <v>0</v>
      </c>
      <c r="G723" s="606">
        <f t="shared" si="104"/>
        <v>0</v>
      </c>
      <c r="H723" s="606">
        <f t="shared" si="104"/>
        <v>83226.233</v>
      </c>
      <c r="I723" s="606">
        <f t="shared" si="104"/>
        <v>0</v>
      </c>
      <c r="J723" s="607"/>
      <c r="K723" s="456"/>
    </row>
    <row r="724" spans="1:11" x14ac:dyDescent="0.25">
      <c r="A724" s="608"/>
      <c r="B724" s="609"/>
      <c r="C724" s="610"/>
      <c r="D724" s="610"/>
      <c r="E724" s="610"/>
      <c r="F724" s="610"/>
      <c r="G724" s="610"/>
      <c r="H724" s="611"/>
      <c r="I724" s="610"/>
      <c r="J724" s="612"/>
      <c r="K724" s="613"/>
    </row>
    <row r="725" spans="1:11" x14ac:dyDescent="0.25">
      <c r="A725" s="437" t="s">
        <v>2023</v>
      </c>
      <c r="B725" s="438" t="s">
        <v>2024</v>
      </c>
      <c r="C725" s="439"/>
      <c r="D725" s="440"/>
      <c r="E725" s="440"/>
      <c r="F725" s="440"/>
      <c r="G725" s="440"/>
      <c r="H725" s="441"/>
      <c r="I725" s="440"/>
      <c r="J725" s="442"/>
      <c r="K725" s="442"/>
    </row>
    <row r="726" ht="14.5" customHeight="1" spans="1:11" x14ac:dyDescent="0.25">
      <c r="A726" s="437" t="s">
        <v>2025</v>
      </c>
      <c r="B726" s="438" t="s">
        <v>2026</v>
      </c>
      <c r="C726" s="439"/>
      <c r="D726" s="440"/>
      <c r="E726" s="440"/>
      <c r="F726" s="440"/>
      <c r="G726" s="440"/>
      <c r="H726" s="441"/>
      <c r="I726" s="440"/>
      <c r="J726" s="442"/>
      <c r="K726" s="442"/>
    </row>
    <row r="727" ht="14.5" customHeight="1" spans="1:11" x14ac:dyDescent="0.25">
      <c r="A727" s="1" t="s">
        <v>306</v>
      </c>
      <c r="B727" s="349" t="s">
        <v>2027</v>
      </c>
      <c r="C727" s="293"/>
      <c r="D727" s="293" t="s">
        <v>2028</v>
      </c>
      <c r="E727" s="473"/>
      <c r="F727" s="473"/>
      <c r="G727" s="473"/>
      <c r="H727" s="614" t="s">
        <v>2029</v>
      </c>
      <c r="I727" s="473"/>
      <c r="J727" s="612"/>
      <c r="K727" s="456"/>
    </row>
    <row r="728" ht="14.5" customHeight="1" spans="1:11" x14ac:dyDescent="0.25">
      <c r="A728" s="443" t="s">
        <v>308</v>
      </c>
      <c r="B728" s="349" t="s">
        <v>2030</v>
      </c>
      <c r="C728" s="293" t="s">
        <v>61</v>
      </c>
      <c r="D728" s="443" t="s">
        <v>1487</v>
      </c>
      <c r="E728" s="228"/>
      <c r="F728" s="445"/>
      <c r="G728" s="445"/>
      <c r="H728" s="446">
        <f t="shared" ref="H728:H735" si="105">IF(K$9=1,E728,IF(K$9=2,(E728+F728)/2,(E728+F728+G728)/3))</f>
        <v>0</v>
      </c>
      <c r="I728" s="228"/>
      <c r="J728" s="228"/>
      <c r="K728" s="456"/>
    </row>
    <row r="729" ht="14.5" customHeight="1" spans="1:11" x14ac:dyDescent="0.25">
      <c r="A729" s="443" t="s">
        <v>310</v>
      </c>
      <c r="B729" s="349" t="s">
        <v>2031</v>
      </c>
      <c r="C729" s="293" t="s">
        <v>2032</v>
      </c>
      <c r="D729" s="443" t="s">
        <v>2033</v>
      </c>
      <c r="E729" s="228"/>
      <c r="F729" s="445"/>
      <c r="G729" s="445"/>
      <c r="H729" s="446">
        <f t="shared" si="105"/>
        <v>0</v>
      </c>
      <c r="I729" s="228"/>
      <c r="J729" s="228"/>
      <c r="K729" s="615"/>
    </row>
    <row r="730" ht="28" customHeight="1" spans="1:11" x14ac:dyDescent="0.25">
      <c r="A730" s="443" t="s">
        <v>312</v>
      </c>
      <c r="B730" s="349" t="s">
        <v>2034</v>
      </c>
      <c r="C730" s="293" t="s">
        <v>2035</v>
      </c>
      <c r="D730" s="443" t="s">
        <v>2036</v>
      </c>
      <c r="E730" s="228"/>
      <c r="F730" s="445"/>
      <c r="G730" s="445"/>
      <c r="H730" s="446">
        <f t="shared" si="105"/>
        <v>0</v>
      </c>
      <c r="I730" s="228"/>
      <c r="J730" s="228"/>
      <c r="K730" s="615"/>
    </row>
    <row r="731" ht="14.5" customHeight="1" spans="1:11" x14ac:dyDescent="0.25">
      <c r="A731" s="443" t="s">
        <v>314</v>
      </c>
      <c r="B731" s="349" t="s">
        <v>2037</v>
      </c>
      <c r="C731" s="293" t="s">
        <v>61</v>
      </c>
      <c r="D731" s="443" t="s">
        <v>2038</v>
      </c>
      <c r="E731" s="470"/>
      <c r="F731" s="470"/>
      <c r="G731" s="470"/>
      <c r="H731" s="446">
        <f t="shared" si="105"/>
        <v>0</v>
      </c>
      <c r="I731" s="470"/>
      <c r="J731" s="471"/>
      <c r="K731" s="615"/>
    </row>
    <row r="732" ht="14.5" customHeight="1" spans="1:11" x14ac:dyDescent="0.25">
      <c r="A732" s="443" t="s">
        <v>316</v>
      </c>
      <c r="B732" s="349" t="s">
        <v>2039</v>
      </c>
      <c r="C732" s="293" t="s">
        <v>61</v>
      </c>
      <c r="D732" s="443" t="s">
        <v>1493</v>
      </c>
      <c r="E732" s="470"/>
      <c r="F732" s="470"/>
      <c r="G732" s="470"/>
      <c r="H732" s="446">
        <f t="shared" si="105"/>
        <v>0</v>
      </c>
      <c r="I732" s="470"/>
      <c r="J732" s="471"/>
      <c r="K732" s="615"/>
    </row>
    <row r="733" ht="14.5" customHeight="1" spans="1:11" x14ac:dyDescent="0.25">
      <c r="A733" s="443" t="s">
        <v>318</v>
      </c>
      <c r="B733" s="349" t="s">
        <v>2040</v>
      </c>
      <c r="C733" s="293" t="s">
        <v>61</v>
      </c>
      <c r="D733" s="443" t="s">
        <v>1495</v>
      </c>
      <c r="E733" s="470"/>
      <c r="F733" s="470"/>
      <c r="G733" s="470"/>
      <c r="H733" s="446">
        <f t="shared" si="105"/>
        <v>0</v>
      </c>
      <c r="I733" s="470"/>
      <c r="J733" s="471"/>
      <c r="K733" s="615"/>
    </row>
    <row r="734" ht="14.5" customHeight="1" spans="1:11" x14ac:dyDescent="0.25">
      <c r="A734" s="443" t="s">
        <v>478</v>
      </c>
      <c r="B734" s="349" t="s">
        <v>2041</v>
      </c>
      <c r="C734" s="293" t="s">
        <v>61</v>
      </c>
      <c r="D734" s="443" t="s">
        <v>1495</v>
      </c>
      <c r="E734" s="470"/>
      <c r="F734" s="470"/>
      <c r="G734" s="470"/>
      <c r="H734" s="446">
        <f t="shared" si="105"/>
        <v>0</v>
      </c>
      <c r="I734" s="470"/>
      <c r="J734" s="471"/>
      <c r="K734" s="615"/>
    </row>
    <row r="735" ht="14.5" customHeight="1" spans="1:11" x14ac:dyDescent="0.25">
      <c r="A735" s="443" t="s">
        <v>481</v>
      </c>
      <c r="B735" s="349" t="s">
        <v>1751</v>
      </c>
      <c r="C735" s="293" t="s">
        <v>61</v>
      </c>
      <c r="D735" s="443" t="s">
        <v>1915</v>
      </c>
      <c r="E735" s="228"/>
      <c r="F735" s="228"/>
      <c r="G735" s="228"/>
      <c r="H735" s="446">
        <f t="shared" si="105"/>
        <v>0</v>
      </c>
      <c r="I735" s="228"/>
      <c r="J735" s="228"/>
      <c r="K735" s="615"/>
    </row>
    <row r="736" spans="1:11" x14ac:dyDescent="0.25">
      <c r="A736" s="443"/>
      <c r="B736" s="616"/>
      <c r="C736" s="293"/>
      <c r="D736" s="443"/>
      <c r="E736" s="443"/>
      <c r="F736" s="443"/>
      <c r="G736" s="473"/>
      <c r="H736" s="474"/>
      <c r="I736" s="473"/>
      <c r="J736" s="473"/>
      <c r="K736" s="456"/>
    </row>
    <row r="737" ht="14.5" customHeight="1" spans="1:11" x14ac:dyDescent="0.25">
      <c r="A737" s="437" t="s">
        <v>2042</v>
      </c>
      <c r="B737" s="438" t="s">
        <v>2043</v>
      </c>
      <c r="C737" s="439"/>
      <c r="D737" s="440"/>
      <c r="E737" s="440"/>
      <c r="F737" s="440"/>
      <c r="G737" s="440"/>
      <c r="H737" s="441"/>
      <c r="I737" s="440"/>
      <c r="J737" s="442"/>
      <c r="K737" s="442"/>
    </row>
    <row r="738" ht="14.5" customHeight="1" spans="1:11" x14ac:dyDescent="0.25">
      <c r="A738" s="1" t="s">
        <v>306</v>
      </c>
      <c r="B738" s="349" t="s">
        <v>2027</v>
      </c>
      <c r="C738" s="293"/>
      <c r="D738" s="293" t="s">
        <v>2028</v>
      </c>
      <c r="E738" s="473"/>
      <c r="F738" s="473"/>
      <c r="G738" s="473"/>
      <c r="H738" s="614" t="s">
        <v>2029</v>
      </c>
      <c r="I738" s="473"/>
      <c r="J738" s="473"/>
      <c r="K738" s="617"/>
    </row>
    <row r="739" ht="14.5" customHeight="1" spans="1:11" x14ac:dyDescent="0.25">
      <c r="A739" s="1" t="s">
        <v>308</v>
      </c>
      <c r="B739" s="349" t="s">
        <v>2030</v>
      </c>
      <c r="C739" s="293" t="s">
        <v>61</v>
      </c>
      <c r="D739" s="293" t="s">
        <v>1487</v>
      </c>
      <c r="E739" s="618">
        <f>H739</f>
        <v>829.58</v>
      </c>
      <c r="F739" s="600"/>
      <c r="G739" s="600"/>
      <c r="H739" s="446">
        <f>'Annex CPP'!$C$17</f>
        <v>829.58</v>
      </c>
      <c r="I739" s="454">
        <f>H739</f>
        <v>829.58</v>
      </c>
      <c r="J739" s="455"/>
      <c r="K739" s="617"/>
    </row>
    <row r="740" ht="14.5" customHeight="1" spans="1:11" x14ac:dyDescent="0.25">
      <c r="A740" s="1" t="s">
        <v>310</v>
      </c>
      <c r="B740" s="349" t="s">
        <v>2044</v>
      </c>
      <c r="C740" s="293" t="s">
        <v>61</v>
      </c>
      <c r="D740" s="293" t="s">
        <v>2033</v>
      </c>
      <c r="E740" s="618">
        <f t="shared" ref="E740:E743" si="106">H740</f>
        <v>66354.07216</v>
      </c>
      <c r="F740" s="600"/>
      <c r="G740" s="600"/>
      <c r="H740" s="446">
        <f>'Annex CPP'!G35</f>
        <v>66354.07216</v>
      </c>
      <c r="I740" s="454">
        <f>'Annex CPP'!O35</f>
        <v>0</v>
      </c>
      <c r="J740" s="455"/>
      <c r="K740" s="617"/>
    </row>
    <row r="741" ht="14.5" customHeight="1" spans="1:11" x14ac:dyDescent="0.25">
      <c r="A741" s="1" t="s">
        <v>312</v>
      </c>
      <c r="B741" s="349" t="s">
        <v>1497</v>
      </c>
      <c r="C741" s="293" t="s">
        <v>61</v>
      </c>
      <c r="D741" s="293" t="s">
        <v>1493</v>
      </c>
      <c r="E741" s="618">
        <f t="shared" si="106"/>
        <v>8.33</v>
      </c>
      <c r="F741" s="600"/>
      <c r="G741" s="600"/>
      <c r="H741" s="446">
        <f>'Annex CPP'!E37</f>
        <v>8.33</v>
      </c>
      <c r="I741" s="454">
        <f>'Annex CPP'!K37</f>
        <v>0</v>
      </c>
      <c r="J741" s="455"/>
      <c r="K741" s="617"/>
    </row>
    <row r="742" ht="14.5" customHeight="1" spans="1:11" x14ac:dyDescent="0.25">
      <c r="A742" s="1" t="s">
        <v>314</v>
      </c>
      <c r="B742" s="349" t="s">
        <v>2045</v>
      </c>
      <c r="C742" s="293" t="s">
        <v>61</v>
      </c>
      <c r="D742" s="293" t="s">
        <v>2046</v>
      </c>
      <c r="E742" s="618">
        <f t="shared" si="106"/>
        <v>2601.180210440486</v>
      </c>
      <c r="F742" s="600"/>
      <c r="G742" s="600"/>
      <c r="H742" s="446">
        <f>'Annex CPP'!F17</f>
        <v>2601.180210440486</v>
      </c>
      <c r="I742" s="454">
        <f>'Annex CPP'!F17</f>
        <v>2601.180210440486</v>
      </c>
      <c r="J742" s="455"/>
      <c r="K742" s="617"/>
    </row>
    <row r="743" ht="14.5" customHeight="1" spans="1:11" x14ac:dyDescent="0.25">
      <c r="A743" s="1" t="s">
        <v>316</v>
      </c>
      <c r="B743" s="349" t="s">
        <v>2047</v>
      </c>
      <c r="C743" s="293" t="s">
        <v>61</v>
      </c>
      <c r="D743" s="293" t="s">
        <v>2046</v>
      </c>
      <c r="E743" s="618">
        <f t="shared" si="106"/>
        <v>2564.570826735534</v>
      </c>
      <c r="F743" s="600"/>
      <c r="G743" s="600"/>
      <c r="H743" s="446">
        <f>H1313</f>
        <v>2564.570826735534</v>
      </c>
      <c r="I743" s="454">
        <f>I1313</f>
        <v>0</v>
      </c>
      <c r="J743" s="455"/>
      <c r="K743" s="617"/>
    </row>
    <row r="744" spans="1:11" x14ac:dyDescent="0.25">
      <c r="A744" s="443"/>
      <c r="B744" s="349"/>
      <c r="C744" s="293"/>
      <c r="D744" s="443"/>
      <c r="E744" s="443"/>
      <c r="F744" s="443"/>
      <c r="G744" s="293"/>
      <c r="H744" s="474"/>
      <c r="I744" s="293"/>
      <c r="J744" s="517"/>
      <c r="K744" s="456"/>
    </row>
    <row r="745" spans="1:11" x14ac:dyDescent="0.25">
      <c r="A745" s="437" t="s">
        <v>2048</v>
      </c>
      <c r="B745" s="438" t="s">
        <v>622</v>
      </c>
      <c r="C745" s="439"/>
      <c r="D745" s="440"/>
      <c r="E745" s="440"/>
      <c r="F745" s="440"/>
      <c r="G745" s="440"/>
      <c r="H745" s="441"/>
      <c r="I745" s="440"/>
      <c r="J745" s="442"/>
      <c r="K745" s="442"/>
    </row>
    <row r="746" ht="14.5" customHeight="1" spans="1:11" x14ac:dyDescent="0.25">
      <c r="A746" s="1" t="s">
        <v>306</v>
      </c>
      <c r="B746" s="349" t="s">
        <v>2027</v>
      </c>
      <c r="C746" s="293"/>
      <c r="D746" s="293" t="s">
        <v>2028</v>
      </c>
      <c r="E746" s="473"/>
      <c r="F746" s="473"/>
      <c r="G746" s="473"/>
      <c r="H746" s="614" t="s">
        <v>2049</v>
      </c>
      <c r="I746" s="473"/>
      <c r="J746" s="473"/>
      <c r="K746" s="456"/>
    </row>
    <row r="747" ht="14.5" customHeight="1" spans="1:11" x14ac:dyDescent="0.25">
      <c r="A747" s="1" t="s">
        <v>308</v>
      </c>
      <c r="B747" s="349" t="s">
        <v>2030</v>
      </c>
      <c r="C747" s="610"/>
      <c r="D747" s="443" t="s">
        <v>1487</v>
      </c>
      <c r="E747" s="228"/>
      <c r="F747" s="445"/>
      <c r="G747" s="445"/>
      <c r="H747" s="446">
        <f t="shared" ref="H747:H752" si="107">IF(K$9=1,E747,IF(K$9=2,(E747+F747)/2,(E747+F747+G747)/3))</f>
        <v>0</v>
      </c>
      <c r="I747" s="228"/>
      <c r="J747" s="228"/>
      <c r="K747" s="456"/>
    </row>
    <row r="748" ht="14.5" customHeight="1" spans="1:11" x14ac:dyDescent="0.25">
      <c r="A748" s="1" t="s">
        <v>310</v>
      </c>
      <c r="B748" s="349" t="s">
        <v>2044</v>
      </c>
      <c r="C748" s="293" t="s">
        <v>61</v>
      </c>
      <c r="D748" s="443" t="s">
        <v>1822</v>
      </c>
      <c r="E748" s="228"/>
      <c r="F748" s="445"/>
      <c r="G748" s="445"/>
      <c r="H748" s="446">
        <f t="shared" si="107"/>
        <v>0</v>
      </c>
      <c r="I748" s="228"/>
      <c r="J748" s="228"/>
      <c r="K748" s="456"/>
    </row>
    <row r="749" ht="14.5" customHeight="1" spans="1:11" x14ac:dyDescent="0.25">
      <c r="A749" s="1" t="s">
        <v>312</v>
      </c>
      <c r="B749" s="349" t="s">
        <v>2050</v>
      </c>
      <c r="C749" s="293"/>
      <c r="D749" s="443" t="s">
        <v>1493</v>
      </c>
      <c r="E749" s="470"/>
      <c r="F749" s="470"/>
      <c r="G749" s="470"/>
      <c r="H749" s="446">
        <f t="shared" si="107"/>
        <v>0</v>
      </c>
      <c r="I749" s="470"/>
      <c r="J749" s="471"/>
      <c r="K749" s="456"/>
    </row>
    <row r="750" ht="14.5" customHeight="1" spans="1:11" x14ac:dyDescent="0.25">
      <c r="A750" s="1" t="s">
        <v>314</v>
      </c>
      <c r="B750" s="349" t="s">
        <v>1497</v>
      </c>
      <c r="C750" s="293"/>
      <c r="D750" s="443" t="s">
        <v>1493</v>
      </c>
      <c r="E750" s="470"/>
      <c r="F750" s="470"/>
      <c r="G750" s="470"/>
      <c r="H750" s="446">
        <f t="shared" si="107"/>
        <v>0</v>
      </c>
      <c r="I750" s="470"/>
      <c r="J750" s="471"/>
      <c r="K750" s="495"/>
    </row>
    <row r="751" ht="14.5" customHeight="1" spans="1:11" x14ac:dyDescent="0.25">
      <c r="A751" s="1" t="s">
        <v>316</v>
      </c>
      <c r="B751" s="349" t="s">
        <v>2045</v>
      </c>
      <c r="C751" s="293"/>
      <c r="D751" s="443" t="s">
        <v>2046</v>
      </c>
      <c r="E751" s="470"/>
      <c r="F751" s="470"/>
      <c r="G751" s="470"/>
      <c r="H751" s="446">
        <f t="shared" si="107"/>
        <v>0</v>
      </c>
      <c r="I751" s="470"/>
      <c r="J751" s="471"/>
      <c r="K751" s="495"/>
    </row>
    <row r="752" ht="14.5" customHeight="1" spans="1:11" x14ac:dyDescent="0.25">
      <c r="A752" s="443" t="s">
        <v>316</v>
      </c>
      <c r="B752" s="349" t="s">
        <v>1751</v>
      </c>
      <c r="C752" s="293" t="s">
        <v>61</v>
      </c>
      <c r="D752" s="443" t="s">
        <v>1915</v>
      </c>
      <c r="E752" s="228"/>
      <c r="F752" s="445"/>
      <c r="G752" s="445"/>
      <c r="H752" s="446">
        <f t="shared" si="107"/>
        <v>0</v>
      </c>
      <c r="I752" s="228"/>
      <c r="J752" s="228"/>
      <c r="K752" s="456"/>
    </row>
    <row r="753" spans="1:11" x14ac:dyDescent="0.25">
      <c r="A753" s="443"/>
      <c r="B753" s="349"/>
      <c r="C753" s="293"/>
      <c r="D753" s="443"/>
      <c r="E753" s="473"/>
      <c r="F753" s="473"/>
      <c r="G753" s="517"/>
      <c r="H753" s="474"/>
      <c r="I753" s="517"/>
      <c r="J753" s="517"/>
      <c r="K753" s="456"/>
    </row>
    <row r="754" spans="1:11" x14ac:dyDescent="0.25">
      <c r="A754" s="437" t="s">
        <v>2051</v>
      </c>
      <c r="B754" s="438" t="s">
        <v>2052</v>
      </c>
      <c r="C754" s="439"/>
      <c r="D754" s="440"/>
      <c r="E754" s="442"/>
      <c r="F754" s="442"/>
      <c r="G754" s="442"/>
      <c r="H754" s="441"/>
      <c r="I754" s="442"/>
      <c r="J754" s="442"/>
      <c r="K754" s="442"/>
    </row>
    <row r="755" ht="14.5" customHeight="1" spans="1:11" x14ac:dyDescent="0.25">
      <c r="A755" s="443" t="s">
        <v>306</v>
      </c>
      <c r="B755" s="349" t="s">
        <v>2053</v>
      </c>
      <c r="C755" s="293" t="s">
        <v>61</v>
      </c>
      <c r="D755" s="443" t="s">
        <v>1487</v>
      </c>
      <c r="E755" s="228"/>
      <c r="F755" s="445"/>
      <c r="G755" s="445"/>
      <c r="H755" s="446">
        <f t="shared" ref="H755:H757" si="108">IF(K$9=1,E755,IF(K$9=2,(E755+F755)/2,(E755+F755+G755)/3))</f>
        <v>0</v>
      </c>
      <c r="I755" s="228"/>
      <c r="J755" s="228"/>
      <c r="K755" s="456"/>
    </row>
    <row r="756" ht="14.5" customHeight="1" spans="1:11" s="274" customFormat="1" x14ac:dyDescent="0.25">
      <c r="A756" s="443" t="s">
        <v>308</v>
      </c>
      <c r="B756" s="349" t="s">
        <v>2054</v>
      </c>
      <c r="C756" s="293" t="s">
        <v>61</v>
      </c>
      <c r="D756" s="443" t="s">
        <v>1822</v>
      </c>
      <c r="E756" s="228"/>
      <c r="F756" s="445"/>
      <c r="G756" s="445"/>
      <c r="H756" s="446">
        <f t="shared" si="108"/>
        <v>0</v>
      </c>
      <c r="I756" s="228"/>
      <c r="J756" s="228"/>
      <c r="K756" s="456"/>
    </row>
    <row r="757" ht="14.5" customHeight="1" spans="1:11" x14ac:dyDescent="0.25">
      <c r="A757" s="443" t="s">
        <v>310</v>
      </c>
      <c r="B757" s="349" t="s">
        <v>2055</v>
      </c>
      <c r="C757" s="293" t="s">
        <v>61</v>
      </c>
      <c r="D757" s="443" t="s">
        <v>1915</v>
      </c>
      <c r="E757" s="228"/>
      <c r="F757" s="445"/>
      <c r="G757" s="445"/>
      <c r="H757" s="446">
        <f t="shared" si="108"/>
        <v>0</v>
      </c>
      <c r="I757" s="228"/>
      <c r="J757" s="228"/>
      <c r="K757" s="456"/>
    </row>
    <row r="758" spans="1:11" x14ac:dyDescent="0.25">
      <c r="A758" s="443"/>
      <c r="B758" s="349"/>
      <c r="C758" s="293"/>
      <c r="D758" s="443"/>
      <c r="E758" s="473"/>
      <c r="F758" s="473"/>
      <c r="G758" s="517"/>
      <c r="H758" s="474"/>
      <c r="I758" s="517"/>
      <c r="J758" s="517"/>
      <c r="K758" s="456"/>
    </row>
    <row r="759" spans="1:11" x14ac:dyDescent="0.25">
      <c r="A759" s="437" t="s">
        <v>2056</v>
      </c>
      <c r="B759" s="438" t="s">
        <v>643</v>
      </c>
      <c r="C759" s="439"/>
      <c r="D759" s="440"/>
      <c r="E759" s="442"/>
      <c r="F759" s="442"/>
      <c r="G759" s="442"/>
      <c r="H759" s="441"/>
      <c r="I759" s="442"/>
      <c r="J759" s="442"/>
      <c r="K759" s="442"/>
    </row>
    <row r="760" spans="1:11" x14ac:dyDescent="0.25" outlineLevel="1" collapsed="1">
      <c r="A760" s="443" t="s">
        <v>306</v>
      </c>
      <c r="B760" s="349" t="s">
        <v>2057</v>
      </c>
      <c r="C760" s="293"/>
      <c r="D760" s="293" t="s">
        <v>2028</v>
      </c>
      <c r="E760" s="473"/>
      <c r="F760" s="473"/>
      <c r="G760" s="473"/>
      <c r="H760" s="614" t="s">
        <v>2049</v>
      </c>
      <c r="I760" s="473"/>
      <c r="J760" s="473"/>
      <c r="K760" s="456"/>
    </row>
    <row r="761" ht="14.5" customHeight="1" spans="1:11" x14ac:dyDescent="0.25" outlineLevel="1" collapsed="1">
      <c r="A761" s="443" t="s">
        <v>308</v>
      </c>
      <c r="B761" s="349" t="s">
        <v>2030</v>
      </c>
      <c r="C761" s="293" t="s">
        <v>61</v>
      </c>
      <c r="D761" s="293" t="s">
        <v>1487</v>
      </c>
      <c r="E761" s="228"/>
      <c r="F761" s="445"/>
      <c r="G761" s="445"/>
      <c r="H761" s="446">
        <f t="shared" ref="H761:H780" si="109">IF(K$9=1,E761,IF(K$9=2,(E761+F761)/2,(E761+F761+G761)/3))</f>
        <v>17.6</v>
      </c>
      <c r="I761" s="426"/>
      <c r="J761" s="426"/>
      <c r="K761" s="456"/>
    </row>
    <row r="762" ht="14.5" customHeight="1" spans="1:11" x14ac:dyDescent="0.25" outlineLevel="1" collapsed="1">
      <c r="A762" s="443" t="s">
        <v>310</v>
      </c>
      <c r="B762" s="349" t="s">
        <v>2058</v>
      </c>
      <c r="C762" s="293" t="s">
        <v>61</v>
      </c>
      <c r="D762" s="293" t="s">
        <v>1822</v>
      </c>
      <c r="E762" s="228"/>
      <c r="F762" s="445"/>
      <c r="G762" s="445"/>
      <c r="H762" s="446">
        <f t="shared" si="109"/>
        <v>779.51468375</v>
      </c>
      <c r="I762" s="228"/>
      <c r="J762" s="228"/>
      <c r="K762" s="456"/>
    </row>
    <row r="763" ht="14.5" customHeight="1" spans="1:11" x14ac:dyDescent="0.25" outlineLevel="1" collapsed="1">
      <c r="A763" s="443" t="s">
        <v>312</v>
      </c>
      <c r="B763" s="349" t="s">
        <v>1497</v>
      </c>
      <c r="C763" s="293" t="s">
        <v>61</v>
      </c>
      <c r="D763" s="293" t="s">
        <v>1493</v>
      </c>
      <c r="E763" s="470"/>
      <c r="F763" s="470"/>
      <c r="G763" s="470"/>
      <c r="H763" s="446">
        <f t="shared" si="109"/>
        <v>0</v>
      </c>
      <c r="I763" s="470"/>
      <c r="J763" s="471"/>
      <c r="K763" s="456"/>
    </row>
    <row r="764" ht="14.5" customHeight="1" spans="1:11" x14ac:dyDescent="0.25" outlineLevel="1" collapsed="1">
      <c r="A764" s="443" t="s">
        <v>314</v>
      </c>
      <c r="B764" s="349" t="s">
        <v>2059</v>
      </c>
      <c r="C764" s="293" t="s">
        <v>61</v>
      </c>
      <c r="D764" s="443" t="s">
        <v>2046</v>
      </c>
      <c r="E764" s="470"/>
      <c r="F764" s="470"/>
      <c r="G764" s="470"/>
      <c r="H764" s="446">
        <f t="shared" si="109"/>
        <v>0</v>
      </c>
      <c r="I764" s="470"/>
      <c r="J764" s="471"/>
      <c r="K764" s="456"/>
    </row>
    <row r="765" ht="14.5" customHeight="1" spans="1:11" x14ac:dyDescent="0.25" outlineLevel="1" collapsed="1">
      <c r="A765" s="619" t="s">
        <v>316</v>
      </c>
      <c r="B765" s="349" t="s">
        <v>1751</v>
      </c>
      <c r="C765" s="293" t="s">
        <v>61</v>
      </c>
      <c r="D765" s="443" t="s">
        <v>1915</v>
      </c>
      <c r="E765" s="228"/>
      <c r="F765" s="445"/>
      <c r="G765" s="445"/>
      <c r="H765" s="446">
        <f t="shared" si="109"/>
        <v>7660.733333333334</v>
      </c>
      <c r="I765" s="228"/>
      <c r="J765" s="228"/>
      <c r="K765" s="456"/>
    </row>
    <row r="766" ht="14.5" customHeight="1" spans="1:11" x14ac:dyDescent="0.25" outlineLevel="1" collapsed="1">
      <c r="A766" s="619"/>
      <c r="B766" s="439" t="s">
        <v>2060</v>
      </c>
      <c r="C766" s="620"/>
      <c r="D766" s="620"/>
      <c r="E766" s="621"/>
      <c r="F766" s="621"/>
      <c r="G766" s="622"/>
      <c r="H766" s="623"/>
      <c r="I766" s="622"/>
      <c r="J766" s="442"/>
      <c r="K766" s="442"/>
    </row>
    <row r="767" ht="14.5" customHeight="1" spans="1:11" x14ac:dyDescent="0.25" outlineLevel="1" collapsed="1">
      <c r="A767" s="619" t="s">
        <v>318</v>
      </c>
      <c r="B767" s="349" t="s">
        <v>2061</v>
      </c>
      <c r="C767" s="293" t="s">
        <v>61</v>
      </c>
      <c r="D767" s="293" t="s">
        <v>1771</v>
      </c>
      <c r="E767" s="470"/>
      <c r="F767" s="470"/>
      <c r="G767" s="470"/>
      <c r="H767" s="446">
        <f t="shared" si="109"/>
        <v>817.719</v>
      </c>
      <c r="I767" s="624"/>
      <c r="J767" s="625"/>
      <c r="K767" s="456"/>
    </row>
    <row r="768" ht="14.5" customHeight="1" spans="1:11" x14ac:dyDescent="0.25" outlineLevel="1" collapsed="1">
      <c r="A768" s="443" t="s">
        <v>478</v>
      </c>
      <c r="B768" s="349" t="s">
        <v>2062</v>
      </c>
      <c r="C768" s="293" t="s">
        <v>61</v>
      </c>
      <c r="D768" s="293" t="s">
        <v>2063</v>
      </c>
      <c r="E768" s="228"/>
      <c r="F768" s="445"/>
      <c r="G768" s="445"/>
      <c r="H768" s="446">
        <f t="shared" si="109"/>
        <v>97.50915716338818</v>
      </c>
      <c r="I768" s="426"/>
      <c r="J768" s="426"/>
      <c r="K768" s="456"/>
    </row>
    <row r="769" ht="14.5" customHeight="1" spans="1:11" x14ac:dyDescent="0.25" outlineLevel="1" collapsed="1">
      <c r="A769" s="443" t="s">
        <v>481</v>
      </c>
      <c r="B769" s="349" t="s">
        <v>2064</v>
      </c>
      <c r="C769" s="293" t="s">
        <v>61</v>
      </c>
      <c r="D769" s="293" t="s">
        <v>1927</v>
      </c>
      <c r="E769" s="228"/>
      <c r="F769" s="445"/>
      <c r="G769" s="445"/>
      <c r="H769" s="446">
        <f t="shared" si="109"/>
        <v>517.1768144006667</v>
      </c>
      <c r="I769" s="426"/>
      <c r="J769" s="426"/>
      <c r="K769" s="456"/>
    </row>
    <row r="770" ht="14.5" customHeight="1" spans="1:11" x14ac:dyDescent="0.25" outlineLevel="1" collapsed="1">
      <c r="A770" s="443" t="s">
        <v>483</v>
      </c>
      <c r="B770" s="349" t="s">
        <v>2065</v>
      </c>
      <c r="C770" s="293" t="s">
        <v>61</v>
      </c>
      <c r="D770" s="293" t="s">
        <v>1951</v>
      </c>
      <c r="E770" s="228"/>
      <c r="F770" s="445"/>
      <c r="G770" s="445"/>
      <c r="H770" s="446">
        <f t="shared" si="109"/>
        <v>2204383.727732431</v>
      </c>
      <c r="I770" s="426"/>
      <c r="J770" s="426"/>
      <c r="K770" s="456"/>
    </row>
    <row r="771" spans="1:11" x14ac:dyDescent="0.25" outlineLevel="1" collapsed="1">
      <c r="A771" s="443"/>
      <c r="B771" s="439" t="s">
        <v>2066</v>
      </c>
      <c r="C771" s="440"/>
      <c r="D771" s="440"/>
      <c r="E771" s="442"/>
      <c r="F771" s="442"/>
      <c r="G771" s="442"/>
      <c r="H771" s="441"/>
      <c r="I771" s="442"/>
      <c r="J771" s="442"/>
      <c r="K771" s="442"/>
    </row>
    <row r="772" ht="14.5" customHeight="1" spans="1:11" x14ac:dyDescent="0.25" outlineLevel="1" collapsed="1">
      <c r="A772" s="443" t="s">
        <v>485</v>
      </c>
      <c r="B772" s="349" t="s">
        <v>2067</v>
      </c>
      <c r="C772" s="293" t="s">
        <v>61</v>
      </c>
      <c r="D772" s="293" t="s">
        <v>2063</v>
      </c>
      <c r="E772" s="228"/>
      <c r="F772" s="445"/>
      <c r="G772" s="445"/>
      <c r="H772" s="446">
        <f t="shared" si="109"/>
        <v>45.23948367672878</v>
      </c>
      <c r="I772" s="426"/>
      <c r="J772" s="426"/>
      <c r="K772" s="456"/>
    </row>
    <row r="773" ht="14.5" customHeight="1" spans="1:11" x14ac:dyDescent="0.25" outlineLevel="1" collapsed="1">
      <c r="A773" s="443" t="s">
        <v>488</v>
      </c>
      <c r="B773" s="349" t="s">
        <v>2068</v>
      </c>
      <c r="C773" s="293" t="s">
        <v>61</v>
      </c>
      <c r="D773" s="293" t="s">
        <v>1927</v>
      </c>
      <c r="E773" s="228"/>
      <c r="F773" s="445"/>
      <c r="G773" s="445"/>
      <c r="H773" s="446">
        <f t="shared" si="109"/>
        <v>442.5267080447564</v>
      </c>
      <c r="I773" s="426"/>
      <c r="J773" s="426"/>
      <c r="K773" s="456"/>
    </row>
    <row r="774" ht="14.5" customHeight="1" spans="1:11" x14ac:dyDescent="0.25" outlineLevel="1" collapsed="1">
      <c r="A774" s="443" t="s">
        <v>403</v>
      </c>
      <c r="B774" s="349" t="s">
        <v>2069</v>
      </c>
      <c r="C774" s="293" t="s">
        <v>61</v>
      </c>
      <c r="D774" s="293" t="s">
        <v>2070</v>
      </c>
      <c r="E774" s="470"/>
      <c r="F774" s="470"/>
      <c r="G774" s="470"/>
      <c r="H774" s="446">
        <f t="shared" si="109"/>
        <v>789.776</v>
      </c>
      <c r="I774" s="624"/>
      <c r="J774" s="625"/>
      <c r="K774" s="456"/>
    </row>
    <row r="775" ht="14.5" customHeight="1" spans="1:11" x14ac:dyDescent="0.25" outlineLevel="1" collapsed="1">
      <c r="A775" s="443" t="s">
        <v>407</v>
      </c>
      <c r="B775" s="349" t="s">
        <v>2071</v>
      </c>
      <c r="C775" s="293" t="s">
        <v>61</v>
      </c>
      <c r="D775" s="293" t="s">
        <v>1951</v>
      </c>
      <c r="E775" s="228"/>
      <c r="F775" s="445"/>
      <c r="G775" s="445"/>
      <c r="H775" s="446">
        <f t="shared" si="109"/>
        <v>2204383.727732431</v>
      </c>
      <c r="I775" s="626"/>
      <c r="J775" s="627"/>
      <c r="K775" s="456"/>
    </row>
    <row r="776" spans="1:11" x14ac:dyDescent="0.25" outlineLevel="1" collapsed="1">
      <c r="A776" s="443"/>
      <c r="B776" s="439" t="s">
        <v>2072</v>
      </c>
      <c r="C776" s="440"/>
      <c r="D776" s="440"/>
      <c r="E776" s="442"/>
      <c r="F776" s="442"/>
      <c r="G776" s="442"/>
      <c r="H776" s="441"/>
      <c r="I776" s="442"/>
      <c r="J776" s="442"/>
      <c r="K776" s="442"/>
    </row>
    <row r="777" ht="14.5" customHeight="1" spans="1:11" x14ac:dyDescent="0.25" outlineLevel="1" collapsed="1">
      <c r="A777" s="443" t="s">
        <v>410</v>
      </c>
      <c r="B777" s="349" t="s">
        <v>2067</v>
      </c>
      <c r="C777" s="293" t="s">
        <v>61</v>
      </c>
      <c r="D777" s="293" t="s">
        <v>2063</v>
      </c>
      <c r="E777" s="228"/>
      <c r="F777" s="445"/>
      <c r="G777" s="445"/>
      <c r="H777" s="446">
        <f t="shared" si="109"/>
        <v>0</v>
      </c>
      <c r="I777" s="426"/>
      <c r="J777" s="426"/>
      <c r="K777" s="456"/>
    </row>
    <row r="778" ht="14.5" customHeight="1" spans="1:11" x14ac:dyDescent="0.25" outlineLevel="1" collapsed="1">
      <c r="A778" s="587" t="s">
        <v>416</v>
      </c>
      <c r="B778" s="349" t="s">
        <v>2068</v>
      </c>
      <c r="C778" s="293" t="s">
        <v>61</v>
      </c>
      <c r="D778" s="293" t="s">
        <v>1927</v>
      </c>
      <c r="E778" s="228"/>
      <c r="F778" s="445"/>
      <c r="G778" s="445"/>
      <c r="H778" s="446">
        <f t="shared" si="109"/>
        <v>0</v>
      </c>
      <c r="I778" s="426"/>
      <c r="J778" s="426"/>
      <c r="K778" s="456"/>
    </row>
    <row r="779" ht="14.5" customHeight="1" spans="1:11" x14ac:dyDescent="0.25" outlineLevel="1" collapsed="1">
      <c r="A779" s="587" t="s">
        <v>419</v>
      </c>
      <c r="B779" s="349" t="s">
        <v>2069</v>
      </c>
      <c r="C779" s="293" t="s">
        <v>61</v>
      </c>
      <c r="D779" s="293" t="s">
        <v>2070</v>
      </c>
      <c r="E779" s="470"/>
      <c r="F779" s="470"/>
      <c r="G779" s="470"/>
      <c r="H779" s="446">
        <f t="shared" si="109"/>
        <v>0</v>
      </c>
      <c r="I779" s="624"/>
      <c r="J779" s="625"/>
      <c r="K779" s="456"/>
    </row>
    <row r="780" ht="14.5" customHeight="1" spans="1:11" x14ac:dyDescent="0.25" outlineLevel="1" collapsed="1">
      <c r="A780" s="587" t="s">
        <v>423</v>
      </c>
      <c r="B780" s="349" t="s">
        <v>2071</v>
      </c>
      <c r="C780" s="293" t="s">
        <v>61</v>
      </c>
      <c r="D780" s="293" t="s">
        <v>1951</v>
      </c>
      <c r="E780" s="228"/>
      <c r="F780" s="445"/>
      <c r="G780" s="445"/>
      <c r="H780" s="446">
        <f t="shared" si="109"/>
        <v>0</v>
      </c>
      <c r="I780" s="576"/>
      <c r="J780" s="577"/>
      <c r="K780" s="456"/>
    </row>
    <row r="781" ht="42" customHeight="1" spans="1:11" x14ac:dyDescent="0.25" outlineLevel="1" collapsed="1">
      <c r="A781" s="452" t="s">
        <v>425</v>
      </c>
      <c r="B781" s="453" t="s">
        <v>2073</v>
      </c>
      <c r="C781" s="452" t="s">
        <v>2074</v>
      </c>
      <c r="D781" s="452" t="s">
        <v>1826</v>
      </c>
      <c r="E781" s="446">
        <f t="shared" ref="E781" si="110">(E775*E774+E779*E780)/1000</f>
        <v>1740969.3629536086</v>
      </c>
      <c r="F781" s="446">
        <f t="shared" ref="F781:I781" si="111">(F775*F774+F779*F780)/1000</f>
        <v>0</v>
      </c>
      <c r="G781" s="446">
        <f t="shared" si="111"/>
        <v>0</v>
      </c>
      <c r="H781" s="446">
        <f t="shared" si="111"/>
        <v>1740969.3629536086</v>
      </c>
      <c r="I781" s="446">
        <f t="shared" si="111"/>
        <v>0</v>
      </c>
      <c r="J781" s="517"/>
      <c r="K781" s="456"/>
    </row>
    <row r="782" ht="28" customHeight="1" spans="1:11" x14ac:dyDescent="0.25" outlineLevel="1" collapsed="1">
      <c r="A782" s="452" t="s">
        <v>427</v>
      </c>
      <c r="B782" s="453" t="s">
        <v>2075</v>
      </c>
      <c r="C782" s="452" t="s">
        <v>2076</v>
      </c>
      <c r="D782" s="452" t="s">
        <v>1826</v>
      </c>
      <c r="E782" s="446">
        <f t="shared" ref="E782" si="112">(E770*E767)/1000-E781</f>
        <v>61597.09450402716</v>
      </c>
      <c r="F782" s="446">
        <f t="shared" ref="F782:I782" si="113">(F770*F767)/1000-F781</f>
        <v>0</v>
      </c>
      <c r="G782" s="446">
        <f t="shared" si="113"/>
        <v>0</v>
      </c>
      <c r="H782" s="446">
        <f t="shared" si="113"/>
        <v>61597.09450402716</v>
      </c>
      <c r="I782" s="446">
        <f t="shared" si="113"/>
        <v>0</v>
      </c>
      <c r="J782" s="517"/>
      <c r="K782" s="456"/>
    </row>
    <row r="783" ht="28" customHeight="1" spans="1:11" x14ac:dyDescent="0.25" outlineLevel="1" collapsed="1">
      <c r="A783" s="452" t="s">
        <v>514</v>
      </c>
      <c r="B783" s="453" t="s">
        <v>2077</v>
      </c>
      <c r="C783" s="452" t="s">
        <v>2078</v>
      </c>
      <c r="D783" s="452" t="s">
        <v>2079</v>
      </c>
      <c r="E783" s="446">
        <f t="shared" ref="E783" si="114">IFERROR((E781*1000/(E767*E770)),0)</f>
        <v>0.9658281145479071</v>
      </c>
      <c r="F783" s="446">
        <f t="shared" ref="F783:I783" si="115">IFERROR((F781*1000/(F767*F770)),0)</f>
        <v>0</v>
      </c>
      <c r="G783" s="446">
        <f t="shared" si="115"/>
        <v>0</v>
      </c>
      <c r="H783" s="446">
        <f t="shared" si="115"/>
        <v>0.9658281145479071</v>
      </c>
      <c r="I783" s="446">
        <f t="shared" si="115"/>
        <v>0</v>
      </c>
      <c r="J783" s="517"/>
      <c r="K783" s="456"/>
    </row>
    <row r="784" spans="1:11" x14ac:dyDescent="0.25">
      <c r="A784" s="293"/>
      <c r="B784" s="349"/>
      <c r="C784" s="293"/>
      <c r="D784" s="293"/>
      <c r="E784" s="443"/>
      <c r="F784" s="443"/>
      <c r="G784" s="293"/>
      <c r="H784" s="474"/>
      <c r="I784" s="293"/>
      <c r="J784" s="517"/>
      <c r="K784" s="456"/>
    </row>
    <row r="785" spans="1:11" x14ac:dyDescent="0.25">
      <c r="A785" s="443"/>
      <c r="B785" s="349"/>
      <c r="C785" s="293"/>
      <c r="D785" s="443"/>
      <c r="E785" s="443"/>
      <c r="F785" s="443"/>
      <c r="G785" s="293"/>
      <c r="H785" s="474"/>
      <c r="I785" s="293"/>
      <c r="J785" s="517"/>
      <c r="K785" s="456"/>
    </row>
    <row r="786" spans="1:11" x14ac:dyDescent="0.25">
      <c r="A786" s="437" t="s">
        <v>2080</v>
      </c>
      <c r="B786" s="438" t="s">
        <v>671</v>
      </c>
      <c r="C786" s="439"/>
      <c r="D786" s="440"/>
      <c r="E786" s="440"/>
      <c r="F786" s="440"/>
      <c r="G786" s="440"/>
      <c r="H786" s="441"/>
      <c r="I786" s="440"/>
      <c r="J786" s="442"/>
      <c r="K786" s="442"/>
    </row>
    <row r="787" spans="1:11" x14ac:dyDescent="0.25" outlineLevel="1" collapsed="1">
      <c r="A787" s="443" t="s">
        <v>306</v>
      </c>
      <c r="B787" s="349" t="s">
        <v>2057</v>
      </c>
      <c r="C787" s="293"/>
      <c r="D787" s="293" t="s">
        <v>2028</v>
      </c>
      <c r="E787" s="473"/>
      <c r="F787" s="473"/>
      <c r="G787" s="473"/>
      <c r="H787" s="614" t="s">
        <v>31</v>
      </c>
      <c r="I787" s="473"/>
      <c r="J787" s="473"/>
      <c r="K787" s="456"/>
    </row>
    <row r="788" ht="14.5" customHeight="1" spans="1:11" x14ac:dyDescent="0.25" outlineLevel="1" collapsed="1">
      <c r="A788" s="443" t="s">
        <v>308</v>
      </c>
      <c r="B788" s="349" t="s">
        <v>2030</v>
      </c>
      <c r="C788" s="293" t="s">
        <v>61</v>
      </c>
      <c r="D788" s="293" t="s">
        <v>1487</v>
      </c>
      <c r="E788" s="228"/>
      <c r="F788" s="445"/>
      <c r="G788" s="445"/>
      <c r="H788" s="446">
        <f t="shared" ref="H788:H807" si="116">IF(K$9=1,E788,IF(K$9=2,(E788+F788)/2,(E788+F788+G788)/3))</f>
        <v>66.4</v>
      </c>
      <c r="I788" s="228"/>
      <c r="J788" s="228"/>
      <c r="K788" s="456"/>
    </row>
    <row r="789" ht="14.5" customHeight="1" spans="1:11" x14ac:dyDescent="0.25" outlineLevel="1" collapsed="1">
      <c r="A789" s="443" t="s">
        <v>310</v>
      </c>
      <c r="B789" s="349" t="s">
        <v>2058</v>
      </c>
      <c r="C789" s="293" t="s">
        <v>61</v>
      </c>
      <c r="D789" s="293" t="s">
        <v>1822</v>
      </c>
      <c r="E789" s="228"/>
      <c r="F789" s="445"/>
      <c r="G789" s="445"/>
      <c r="H789" s="446">
        <f t="shared" si="116"/>
        <v>3739.338125</v>
      </c>
      <c r="I789" s="228"/>
      <c r="J789" s="228"/>
      <c r="K789" s="456"/>
    </row>
    <row r="790" ht="14.5" customHeight="1" spans="1:11" x14ac:dyDescent="0.25" outlineLevel="1" collapsed="1">
      <c r="A790" s="443" t="s">
        <v>312</v>
      </c>
      <c r="B790" s="349" t="s">
        <v>1497</v>
      </c>
      <c r="C790" s="293" t="s">
        <v>61</v>
      </c>
      <c r="D790" s="293" t="s">
        <v>1493</v>
      </c>
      <c r="E790" s="470"/>
      <c r="F790" s="445"/>
      <c r="G790" s="445"/>
      <c r="H790" s="446">
        <f t="shared" si="116"/>
        <v>0</v>
      </c>
      <c r="I790" s="470"/>
      <c r="J790" s="471"/>
      <c r="K790" s="456"/>
    </row>
    <row r="791" ht="14.5" customHeight="1" spans="1:11" x14ac:dyDescent="0.25" outlineLevel="1" collapsed="1">
      <c r="A791" s="443" t="s">
        <v>314</v>
      </c>
      <c r="B791" s="349" t="s">
        <v>2059</v>
      </c>
      <c r="C791" s="293" t="s">
        <v>61</v>
      </c>
      <c r="D791" s="293" t="s">
        <v>2046</v>
      </c>
      <c r="E791" s="470"/>
      <c r="F791" s="445"/>
      <c r="G791" s="445"/>
      <c r="H791" s="446">
        <f t="shared" si="116"/>
        <v>0</v>
      </c>
      <c r="I791" s="470"/>
      <c r="J791" s="471"/>
      <c r="K791" s="456"/>
    </row>
    <row r="792" ht="14.5" customHeight="1" spans="1:11" x14ac:dyDescent="0.25" outlineLevel="1" collapsed="1">
      <c r="A792" s="619" t="s">
        <v>316</v>
      </c>
      <c r="B792" s="349" t="s">
        <v>1751</v>
      </c>
      <c r="C792" s="293" t="s">
        <v>61</v>
      </c>
      <c r="D792" s="293" t="s">
        <v>1915</v>
      </c>
      <c r="E792" s="228"/>
      <c r="F792" s="445"/>
      <c r="G792" s="445"/>
      <c r="H792" s="446">
        <f t="shared" si="116"/>
        <v>8385.85</v>
      </c>
      <c r="I792" s="228"/>
      <c r="J792" s="228"/>
      <c r="K792" s="456"/>
    </row>
    <row r="793" ht="14.5" customHeight="1" spans="1:11" x14ac:dyDescent="0.25" outlineLevel="1" collapsed="1">
      <c r="A793" s="628"/>
      <c r="B793" s="439" t="s">
        <v>2060</v>
      </c>
      <c r="C793" s="620"/>
      <c r="D793" s="620"/>
      <c r="E793" s="621"/>
      <c r="F793" s="621"/>
      <c r="G793" s="621"/>
      <c r="H793" s="623"/>
      <c r="I793" s="621"/>
      <c r="J793" s="442"/>
      <c r="K793" s="442"/>
    </row>
    <row r="794" ht="14.5" customHeight="1" spans="1:11" x14ac:dyDescent="0.25" outlineLevel="1" collapsed="1">
      <c r="A794" s="619" t="s">
        <v>318</v>
      </c>
      <c r="B794" s="349" t="s">
        <v>2061</v>
      </c>
      <c r="C794" s="293" t="s">
        <v>61</v>
      </c>
      <c r="D794" s="293" t="s">
        <v>1771</v>
      </c>
      <c r="E794" s="228"/>
      <c r="F794" s="445"/>
      <c r="G794" s="445"/>
      <c r="H794" s="446">
        <f t="shared" si="116"/>
        <v>791.689</v>
      </c>
      <c r="I794" s="228"/>
      <c r="J794" s="228"/>
      <c r="K794" s="456"/>
    </row>
    <row r="795" ht="14.5" customHeight="1" spans="1:11" x14ac:dyDescent="0.25" outlineLevel="1" collapsed="1">
      <c r="A795" s="443" t="s">
        <v>478</v>
      </c>
      <c r="B795" s="349" t="s">
        <v>2062</v>
      </c>
      <c r="C795" s="293" t="s">
        <v>61</v>
      </c>
      <c r="D795" s="293" t="s">
        <v>2063</v>
      </c>
      <c r="E795" s="228"/>
      <c r="F795" s="445"/>
      <c r="G795" s="445"/>
      <c r="H795" s="446">
        <f t="shared" si="116"/>
        <v>47.114910808037095</v>
      </c>
      <c r="I795" s="228"/>
      <c r="J795" s="228"/>
      <c r="K795" s="456"/>
    </row>
    <row r="796" ht="14.5" customHeight="1" spans="1:11" x14ac:dyDescent="0.25" outlineLevel="1" collapsed="1">
      <c r="A796" s="443" t="s">
        <v>481</v>
      </c>
      <c r="B796" s="349" t="s">
        <v>2064</v>
      </c>
      <c r="C796" s="293" t="s">
        <v>61</v>
      </c>
      <c r="D796" s="293" t="s">
        <v>1927</v>
      </c>
      <c r="E796" s="228"/>
      <c r="F796" s="445"/>
      <c r="G796" s="445"/>
      <c r="H796" s="446">
        <f t="shared" si="116"/>
        <v>447.04839884411484</v>
      </c>
      <c r="I796" s="228"/>
      <c r="J796" s="228"/>
      <c r="K796" s="456"/>
    </row>
    <row r="797" ht="14.5" customHeight="1" spans="1:11" x14ac:dyDescent="0.25" outlineLevel="1" collapsed="1">
      <c r="A797" s="443" t="s">
        <v>483</v>
      </c>
      <c r="B797" s="349" t="s">
        <v>2065</v>
      </c>
      <c r="C797" s="293" t="s">
        <v>61</v>
      </c>
      <c r="D797" s="293" t="s">
        <v>1951</v>
      </c>
      <c r="E797" s="228"/>
      <c r="F797" s="445"/>
      <c r="G797" s="445"/>
      <c r="H797" s="446">
        <f t="shared" si="116"/>
        <v>2318900.9459649962</v>
      </c>
      <c r="I797" s="228"/>
      <c r="J797" s="228"/>
      <c r="K797" s="456"/>
    </row>
    <row r="798" spans="1:11" x14ac:dyDescent="0.25" outlineLevel="1" collapsed="1">
      <c r="A798" s="628"/>
      <c r="B798" s="439" t="s">
        <v>2066</v>
      </c>
      <c r="C798" s="439"/>
      <c r="D798" s="440"/>
      <c r="E798" s="442"/>
      <c r="F798" s="442"/>
      <c r="G798" s="442"/>
      <c r="H798" s="441"/>
      <c r="I798" s="442"/>
      <c r="J798" s="442"/>
      <c r="K798" s="442"/>
    </row>
    <row r="799" ht="14.5" customHeight="1" spans="1:11" x14ac:dyDescent="0.25" outlineLevel="1" collapsed="1">
      <c r="A799" s="443" t="s">
        <v>485</v>
      </c>
      <c r="B799" s="349" t="s">
        <v>2067</v>
      </c>
      <c r="C799" s="293" t="s">
        <v>61</v>
      </c>
      <c r="D799" s="293" t="s">
        <v>2063</v>
      </c>
      <c r="E799" s="228"/>
      <c r="F799" s="445"/>
      <c r="G799" s="445"/>
      <c r="H799" s="446">
        <f t="shared" si="116"/>
        <v>20.28048542918974</v>
      </c>
      <c r="I799" s="228"/>
      <c r="J799" s="228"/>
      <c r="K799" s="456"/>
    </row>
    <row r="800" ht="14.5" customHeight="1" spans="1:11" x14ac:dyDescent="0.25" outlineLevel="1" collapsed="1">
      <c r="A800" s="443" t="s">
        <v>488</v>
      </c>
      <c r="B800" s="349" t="s">
        <v>2068</v>
      </c>
      <c r="C800" s="293" t="s">
        <v>61</v>
      </c>
      <c r="D800" s="293" t="s">
        <v>1927</v>
      </c>
      <c r="E800" s="228"/>
      <c r="F800" s="445"/>
      <c r="G800" s="445"/>
      <c r="H800" s="446">
        <f t="shared" si="116"/>
        <v>373.8706970302486</v>
      </c>
      <c r="I800" s="228"/>
      <c r="J800" s="228"/>
      <c r="K800" s="456"/>
    </row>
    <row r="801" ht="14.5" customHeight="1" spans="1:11" x14ac:dyDescent="0.25" outlineLevel="1" collapsed="1">
      <c r="A801" s="443" t="s">
        <v>403</v>
      </c>
      <c r="B801" s="349" t="s">
        <v>2069</v>
      </c>
      <c r="C801" s="293" t="s">
        <v>61</v>
      </c>
      <c r="D801" s="293" t="s">
        <v>2070</v>
      </c>
      <c r="E801" s="228"/>
      <c r="F801" s="445"/>
      <c r="G801" s="445"/>
      <c r="H801" s="446">
        <f t="shared" si="116"/>
        <v>761.812</v>
      </c>
      <c r="I801" s="228"/>
      <c r="J801" s="228"/>
      <c r="K801" s="456"/>
    </row>
    <row r="802" ht="14.5" customHeight="1" spans="1:11" x14ac:dyDescent="0.25" outlineLevel="1" collapsed="1">
      <c r="A802" s="443" t="s">
        <v>407</v>
      </c>
      <c r="B802" s="349" t="s">
        <v>2071</v>
      </c>
      <c r="C802" s="293" t="s">
        <v>61</v>
      </c>
      <c r="D802" s="293" t="s">
        <v>1951</v>
      </c>
      <c r="E802" s="228"/>
      <c r="F802" s="445"/>
      <c r="G802" s="445"/>
      <c r="H802" s="446">
        <f t="shared" si="116"/>
        <v>191715.49196602276</v>
      </c>
      <c r="I802" s="228"/>
      <c r="J802" s="228"/>
      <c r="K802" s="456"/>
    </row>
    <row r="803" spans="1:11" x14ac:dyDescent="0.25" outlineLevel="1" collapsed="1">
      <c r="A803" s="628"/>
      <c r="B803" s="439" t="s">
        <v>2072</v>
      </c>
      <c r="C803" s="620"/>
      <c r="D803" s="620"/>
      <c r="E803" s="629"/>
      <c r="F803" s="629"/>
      <c r="G803" s="629"/>
      <c r="H803" s="441"/>
      <c r="I803" s="629"/>
      <c r="J803" s="442"/>
      <c r="K803" s="442"/>
    </row>
    <row r="804" ht="14.5" customHeight="1" spans="1:11" x14ac:dyDescent="0.25" outlineLevel="1" collapsed="1">
      <c r="A804" s="443" t="s">
        <v>410</v>
      </c>
      <c r="B804" s="349" t="s">
        <v>2067</v>
      </c>
      <c r="C804" s="293" t="s">
        <v>61</v>
      </c>
      <c r="D804" s="293" t="s">
        <v>2063</v>
      </c>
      <c r="E804" s="228"/>
      <c r="F804" s="445"/>
      <c r="G804" s="445"/>
      <c r="H804" s="446">
        <f t="shared" si="116"/>
        <v>11.194326071037466</v>
      </c>
      <c r="I804" s="228"/>
      <c r="J804" s="228"/>
      <c r="K804" s="456"/>
    </row>
    <row r="805" ht="14.5" customHeight="1" spans="1:11" x14ac:dyDescent="0.25" outlineLevel="1" collapsed="1">
      <c r="A805" s="587" t="s">
        <v>416</v>
      </c>
      <c r="B805" s="349" t="s">
        <v>2068</v>
      </c>
      <c r="C805" s="293" t="s">
        <v>61</v>
      </c>
      <c r="D805" s="293" t="s">
        <v>1927</v>
      </c>
      <c r="E805" s="228"/>
      <c r="F805" s="445"/>
      <c r="G805" s="445"/>
      <c r="H805" s="446">
        <f t="shared" si="116"/>
        <v>295.42341479421293</v>
      </c>
      <c r="I805" s="228"/>
      <c r="J805" s="228"/>
      <c r="K805" s="456"/>
    </row>
    <row r="806" ht="14.5" customHeight="1" spans="1:11" x14ac:dyDescent="0.25" outlineLevel="1" collapsed="1">
      <c r="A806" s="587" t="s">
        <v>419</v>
      </c>
      <c r="B806" s="349" t="s">
        <v>2069</v>
      </c>
      <c r="C806" s="293" t="s">
        <v>61</v>
      </c>
      <c r="D806" s="293" t="s">
        <v>2070</v>
      </c>
      <c r="E806" s="228"/>
      <c r="F806" s="445"/>
      <c r="G806" s="445"/>
      <c r="H806" s="446">
        <f t="shared" si="116"/>
        <v>725.386</v>
      </c>
      <c r="I806" s="228"/>
      <c r="J806" s="228"/>
      <c r="K806" s="456"/>
    </row>
    <row r="807" ht="14.5" customHeight="1" spans="1:11" x14ac:dyDescent="0.25" outlineLevel="1" collapsed="1">
      <c r="A807" s="587" t="s">
        <v>423</v>
      </c>
      <c r="B807" s="349" t="s">
        <v>2071</v>
      </c>
      <c r="C807" s="293" t="s">
        <v>61</v>
      </c>
      <c r="D807" s="293" t="s">
        <v>1951</v>
      </c>
      <c r="E807" s="228"/>
      <c r="F807" s="445"/>
      <c r="G807" s="445"/>
      <c r="H807" s="446">
        <f t="shared" si="116"/>
        <v>748466.8289561297</v>
      </c>
      <c r="I807" s="228"/>
      <c r="J807" s="228"/>
      <c r="K807" s="456"/>
    </row>
    <row r="808" ht="42" customHeight="1" spans="1:11" x14ac:dyDescent="0.25">
      <c r="A808" s="452" t="s">
        <v>425</v>
      </c>
      <c r="B808" s="453" t="s">
        <v>2073</v>
      </c>
      <c r="C808" s="452" t="s">
        <v>2081</v>
      </c>
      <c r="D808" s="452" t="s">
        <v>1826</v>
      </c>
      <c r="E808" s="446">
        <f t="shared" ref="E808" si="117">(E802*E801+E806*E807)/1000</f>
        <v>688978.5215547908</v>
      </c>
      <c r="F808" s="446">
        <f t="shared" ref="F808:I808" si="118">(F802*F801+F806*F807)/1000</f>
        <v>0</v>
      </c>
      <c r="G808" s="446">
        <f t="shared" si="118"/>
        <v>0</v>
      </c>
      <c r="H808" s="446">
        <f t="shared" si="118"/>
        <v>688978.5215547908</v>
      </c>
      <c r="I808" s="446">
        <f t="shared" si="118"/>
        <v>0</v>
      </c>
      <c r="J808" s="517"/>
      <c r="K808" s="456"/>
    </row>
    <row r="809" ht="28" customHeight="1" spans="1:11" x14ac:dyDescent="0.25">
      <c r="A809" s="452" t="s">
        <v>427</v>
      </c>
      <c r="B809" s="453" t="s">
        <v>2075</v>
      </c>
      <c r="C809" s="452" t="s">
        <v>2082</v>
      </c>
      <c r="D809" s="452" t="s">
        <v>1826</v>
      </c>
      <c r="E809" s="446">
        <f t="shared" ref="E809" si="119">((E797*E794)/1000)-E808</f>
        <v>1146869.849455291</v>
      </c>
      <c r="F809" s="446">
        <f t="shared" ref="F809:I809" si="120">((F797*F794)/1000)-F808</f>
        <v>0</v>
      </c>
      <c r="G809" s="446">
        <f t="shared" si="120"/>
        <v>0</v>
      </c>
      <c r="H809" s="446">
        <f t="shared" si="120"/>
        <v>1146869.849455291</v>
      </c>
      <c r="I809" s="446">
        <f t="shared" si="120"/>
        <v>0</v>
      </c>
      <c r="J809" s="517"/>
      <c r="K809" s="456"/>
    </row>
    <row r="810" ht="28" customHeight="1" spans="1:11" x14ac:dyDescent="0.25">
      <c r="A810" s="452" t="s">
        <v>514</v>
      </c>
      <c r="B810" s="453" t="s">
        <v>2077</v>
      </c>
      <c r="C810" s="452" t="s">
        <v>2083</v>
      </c>
      <c r="D810" s="452" t="s">
        <v>2079</v>
      </c>
      <c r="E810" s="446">
        <f t="shared" ref="E810" si="121">IFERROR((E808*1000/(E794*E797)),0)</f>
        <v>0.37529162671300326</v>
      </c>
      <c r="F810" s="446">
        <f t="shared" ref="F810:I810" si="122">IFERROR((F808*1000/(F794*F797)),0)</f>
        <v>0</v>
      </c>
      <c r="G810" s="446">
        <f t="shared" si="122"/>
        <v>0</v>
      </c>
      <c r="H810" s="446">
        <f t="shared" si="122"/>
        <v>0.37529162671300326</v>
      </c>
      <c r="I810" s="446">
        <f t="shared" si="122"/>
        <v>0</v>
      </c>
      <c r="J810" s="517"/>
      <c r="K810" s="456"/>
    </row>
    <row r="811" ht="56" customHeight="1" spans="1:11" x14ac:dyDescent="0.25">
      <c r="A811" s="452" t="s">
        <v>516</v>
      </c>
      <c r="B811" s="453" t="s">
        <v>2084</v>
      </c>
      <c r="C811" s="452" t="s">
        <v>2085</v>
      </c>
      <c r="D811" s="452" t="s">
        <v>2079</v>
      </c>
      <c r="E811" s="446">
        <f t="shared" ref="E811" si="123">IFERROR((E781+E808)/((E809+E782)+(E781+E808)),0)</f>
        <v>0.6678589438169555</v>
      </c>
      <c r="F811" s="446">
        <f t="shared" ref="F811:I811" si="124">IFERROR((F781+F808)/((F809+F782)+(F781+F808)),0)</f>
        <v>0</v>
      </c>
      <c r="G811" s="446">
        <f t="shared" si="124"/>
        <v>0</v>
      </c>
      <c r="H811" s="446">
        <f t="shared" si="124"/>
        <v>0.6678589438169555</v>
      </c>
      <c r="I811" s="446">
        <f t="shared" si="124"/>
        <v>0</v>
      </c>
      <c r="J811" s="630"/>
      <c r="K811" s="456"/>
    </row>
    <row r="812" ht="28" customHeight="1" spans="1:11" x14ac:dyDescent="0.25">
      <c r="A812" s="631" t="s">
        <v>2086</v>
      </c>
      <c r="B812" s="632" t="s">
        <v>2087</v>
      </c>
      <c r="C812" s="633"/>
      <c r="D812" s="633"/>
      <c r="E812" s="623"/>
      <c r="F812" s="623"/>
      <c r="G812" s="623"/>
      <c r="H812" s="623"/>
      <c r="I812" s="623"/>
      <c r="J812" s="634"/>
      <c r="K812" s="635"/>
    </row>
    <row r="813" spans="1:11" x14ac:dyDescent="0.25">
      <c r="A813" s="599" t="s">
        <v>306</v>
      </c>
      <c r="B813" s="597" t="s">
        <v>2088</v>
      </c>
      <c r="C813" s="598" t="s">
        <v>61</v>
      </c>
      <c r="D813" s="599" t="s">
        <v>1487</v>
      </c>
      <c r="E813" s="455"/>
      <c r="F813" s="455"/>
      <c r="G813" s="455"/>
      <c r="H813" s="446">
        <f t="shared" ref="H813:H817" si="125">IF(K$9=1,E813,IF(K$9=2,(E813+F813)/2,(E813+F813+G813)/3))</f>
        <v>0</v>
      </c>
      <c r="I813" s="455"/>
      <c r="J813" s="630"/>
      <c r="K813" s="456"/>
    </row>
    <row r="814" ht="14.5" customHeight="1" spans="1:11" x14ac:dyDescent="0.25">
      <c r="A814" s="599" t="s">
        <v>308</v>
      </c>
      <c r="B814" s="597" t="s">
        <v>2087</v>
      </c>
      <c r="C814" s="598" t="s">
        <v>61</v>
      </c>
      <c r="D814" s="599" t="s">
        <v>1822</v>
      </c>
      <c r="E814" s="228"/>
      <c r="F814" s="455"/>
      <c r="G814" s="455"/>
      <c r="H814" s="446">
        <f t="shared" si="125"/>
        <v>0</v>
      </c>
      <c r="I814" s="455"/>
      <c r="J814" s="228"/>
      <c r="K814" s="456"/>
    </row>
    <row r="815" spans="1:11" x14ac:dyDescent="0.25">
      <c r="A815" s="599" t="s">
        <v>310</v>
      </c>
      <c r="B815" s="597" t="s">
        <v>2089</v>
      </c>
      <c r="C815" s="598" t="s">
        <v>61</v>
      </c>
      <c r="D815" s="599" t="s">
        <v>1495</v>
      </c>
      <c r="E815" s="455"/>
      <c r="F815" s="455"/>
      <c r="G815" s="455"/>
      <c r="H815" s="446">
        <f t="shared" si="125"/>
        <v>0</v>
      </c>
      <c r="I815" s="455"/>
      <c r="J815" s="630"/>
      <c r="K815" s="456"/>
    </row>
    <row r="816" spans="1:11" x14ac:dyDescent="0.25">
      <c r="A816" s="599" t="s">
        <v>312</v>
      </c>
      <c r="B816" s="597" t="s">
        <v>2090</v>
      </c>
      <c r="C816" s="598" t="s">
        <v>61</v>
      </c>
      <c r="D816" s="599" t="s">
        <v>1495</v>
      </c>
      <c r="E816" s="455"/>
      <c r="F816" s="455"/>
      <c r="G816" s="455"/>
      <c r="H816" s="446">
        <f t="shared" si="125"/>
        <v>0</v>
      </c>
      <c r="I816" s="455"/>
      <c r="J816" s="630"/>
      <c r="K816" s="456"/>
    </row>
    <row r="817" spans="1:11" x14ac:dyDescent="0.25">
      <c r="A817" s="599" t="s">
        <v>314</v>
      </c>
      <c r="B817" s="636" t="s">
        <v>1992</v>
      </c>
      <c r="C817" s="637" t="s">
        <v>1580</v>
      </c>
      <c r="D817" s="638" t="s">
        <v>2091</v>
      </c>
      <c r="E817" s="455"/>
      <c r="F817" s="455"/>
      <c r="G817" s="455"/>
      <c r="H817" s="446">
        <f t="shared" si="125"/>
        <v>0</v>
      </c>
      <c r="I817" s="455"/>
      <c r="J817" s="630"/>
      <c r="K817" s="456"/>
    </row>
    <row r="818" ht="28" customHeight="1" spans="1:11" x14ac:dyDescent="0.25">
      <c r="A818" s="639" t="s">
        <v>316</v>
      </c>
      <c r="B818" s="640" t="s">
        <v>2092</v>
      </c>
      <c r="C818" s="641" t="s">
        <v>61</v>
      </c>
      <c r="D818" s="642" t="s">
        <v>2093</v>
      </c>
      <c r="E818" s="606">
        <f>E814*E817*10^5/1000</f>
        <v>0</v>
      </c>
      <c r="F818" s="606">
        <f t="shared" ref="F818:I818" si="126">F814*F817*10^5/1000</f>
        <v>0</v>
      </c>
      <c r="G818" s="606">
        <f t="shared" si="126"/>
        <v>0</v>
      </c>
      <c r="H818" s="606">
        <f t="shared" si="126"/>
        <v>0</v>
      </c>
      <c r="I818" s="606">
        <f t="shared" si="126"/>
        <v>0</v>
      </c>
      <c r="J818" s="630"/>
      <c r="K818" s="456"/>
    </row>
    <row r="819" ht="28" customHeight="1" spans="1:11" s="274" customFormat="1" x14ac:dyDescent="0.25">
      <c r="A819" s="643" t="s">
        <v>318</v>
      </c>
      <c r="B819" s="644" t="s">
        <v>2094</v>
      </c>
      <c r="C819" s="643" t="s">
        <v>2095</v>
      </c>
      <c r="D819" s="643" t="s">
        <v>1826</v>
      </c>
      <c r="E819" s="446">
        <f>E814*E816/10</f>
        <v>0</v>
      </c>
      <c r="F819" s="446">
        <f t="shared" ref="F819:I819" si="127">F814*F816/10</f>
        <v>0</v>
      </c>
      <c r="G819" s="446">
        <f t="shared" si="127"/>
        <v>0</v>
      </c>
      <c r="H819" s="446">
        <f t="shared" si="127"/>
        <v>0</v>
      </c>
      <c r="I819" s="446">
        <f t="shared" si="127"/>
        <v>0</v>
      </c>
      <c r="J819" s="645"/>
      <c r="K819" s="646"/>
    </row>
    <row r="820" spans="1:11" x14ac:dyDescent="0.25">
      <c r="A820" s="631" t="s">
        <v>694</v>
      </c>
      <c r="B820" s="647" t="s">
        <v>695</v>
      </c>
      <c r="C820" s="648"/>
      <c r="D820" s="649"/>
      <c r="E820" s="650"/>
      <c r="F820" s="650"/>
      <c r="G820" s="650"/>
      <c r="H820" s="650"/>
      <c r="I820" s="650"/>
      <c r="J820" s="630"/>
      <c r="K820" s="456"/>
    </row>
    <row r="821" spans="1:11" x14ac:dyDescent="0.25">
      <c r="A821" s="631" t="s">
        <v>696</v>
      </c>
      <c r="B821" s="647" t="s">
        <v>697</v>
      </c>
      <c r="C821" s="648"/>
      <c r="D821" s="649"/>
      <c r="E821" s="650"/>
      <c r="F821" s="650"/>
      <c r="G821" s="650"/>
      <c r="H821" s="650"/>
      <c r="I821" s="650"/>
      <c r="J821" s="630"/>
      <c r="K821" s="456"/>
    </row>
    <row r="822" spans="1:11" x14ac:dyDescent="0.25">
      <c r="A822" s="651" t="s">
        <v>306</v>
      </c>
      <c r="B822" s="652" t="s">
        <v>2027</v>
      </c>
      <c r="C822" s="653"/>
      <c r="D822" s="653" t="s">
        <v>2028</v>
      </c>
      <c r="E822" s="654"/>
      <c r="F822" s="654"/>
      <c r="G822" s="654"/>
      <c r="H822" s="653" t="s">
        <v>2049</v>
      </c>
      <c r="I822" s="654"/>
      <c r="J822" s="630"/>
      <c r="K822" s="456"/>
    </row>
    <row r="823" ht="14.5" customHeight="1" spans="1:11" x14ac:dyDescent="0.25">
      <c r="A823" s="655" t="s">
        <v>308</v>
      </c>
      <c r="B823" s="656" t="s">
        <v>2096</v>
      </c>
      <c r="C823" s="657" t="s">
        <v>61</v>
      </c>
      <c r="D823" s="596" t="s">
        <v>1487</v>
      </c>
      <c r="E823" s="658"/>
      <c r="F823" s="445"/>
      <c r="G823" s="445"/>
      <c r="H823" s="446">
        <f t="shared" ref="H823:H827" si="128">IF(K$9=1,E823,IF(K$9=2,(E823+F823)/2,(E823+F823+G823)/3))</f>
        <v>0</v>
      </c>
      <c r="I823" s="658"/>
      <c r="J823" s="630"/>
      <c r="K823" s="456"/>
    </row>
    <row r="824" ht="14.5" customHeight="1" spans="1:11" x14ac:dyDescent="0.25">
      <c r="A824" s="655" t="s">
        <v>310</v>
      </c>
      <c r="B824" s="656" t="s">
        <v>2097</v>
      </c>
      <c r="C824" s="657" t="s">
        <v>61</v>
      </c>
      <c r="D824" s="596" t="s">
        <v>1822</v>
      </c>
      <c r="E824" s="591"/>
      <c r="F824" s="445"/>
      <c r="G824" s="445"/>
      <c r="H824" s="446">
        <f t="shared" si="128"/>
        <v>0</v>
      </c>
      <c r="I824" s="658"/>
      <c r="J824" s="630"/>
      <c r="K824" s="456"/>
    </row>
    <row r="825" ht="14.5" customHeight="1" spans="1:11" x14ac:dyDescent="0.25">
      <c r="A825" s="655" t="s">
        <v>312</v>
      </c>
      <c r="B825" s="656" t="s">
        <v>2050</v>
      </c>
      <c r="C825" s="657" t="s">
        <v>61</v>
      </c>
      <c r="D825" s="596" t="s">
        <v>1493</v>
      </c>
      <c r="E825" s="658"/>
      <c r="F825" s="445"/>
      <c r="G825" s="445"/>
      <c r="H825" s="446">
        <f t="shared" si="128"/>
        <v>0</v>
      </c>
      <c r="I825" s="658"/>
      <c r="J825" s="630"/>
      <c r="K825" s="456"/>
    </row>
    <row r="826" ht="14.5" customHeight="1" spans="1:11" x14ac:dyDescent="0.25">
      <c r="A826" s="655" t="s">
        <v>314</v>
      </c>
      <c r="B826" s="656" t="s">
        <v>2039</v>
      </c>
      <c r="C826" s="657" t="s">
        <v>61</v>
      </c>
      <c r="D826" s="596" t="s">
        <v>1822</v>
      </c>
      <c r="E826" s="658"/>
      <c r="F826" s="445"/>
      <c r="G826" s="445"/>
      <c r="H826" s="446">
        <f t="shared" si="128"/>
        <v>0</v>
      </c>
      <c r="I826" s="658"/>
      <c r="J826" s="630"/>
      <c r="K826" s="456"/>
    </row>
    <row r="827" ht="14.5" customHeight="1" spans="1:11" x14ac:dyDescent="0.25">
      <c r="A827" s="655" t="s">
        <v>316</v>
      </c>
      <c r="B827" s="656" t="s">
        <v>1751</v>
      </c>
      <c r="C827" s="657" t="s">
        <v>61</v>
      </c>
      <c r="D827" s="596" t="s">
        <v>1915</v>
      </c>
      <c r="E827" s="658"/>
      <c r="F827" s="445"/>
      <c r="G827" s="445"/>
      <c r="H827" s="446">
        <f t="shared" si="128"/>
        <v>0</v>
      </c>
      <c r="I827" s="658"/>
      <c r="J827" s="630"/>
      <c r="K827" s="456"/>
    </row>
    <row r="828" spans="1:11" x14ac:dyDescent="0.25">
      <c r="A828" s="631" t="s">
        <v>710</v>
      </c>
      <c r="B828" s="647" t="s">
        <v>711</v>
      </c>
      <c r="C828" s="648"/>
      <c r="D828" s="649"/>
      <c r="E828" s="650"/>
      <c r="F828" s="650"/>
      <c r="G828" s="650"/>
      <c r="H828" s="650"/>
      <c r="I828" s="650"/>
      <c r="J828" s="630"/>
      <c r="K828" s="456"/>
    </row>
    <row r="829" spans="1:11" x14ac:dyDescent="0.25">
      <c r="A829" s="651" t="s">
        <v>306</v>
      </c>
      <c r="B829" s="652" t="s">
        <v>2027</v>
      </c>
      <c r="C829" s="653"/>
      <c r="D829" s="653" t="s">
        <v>2028</v>
      </c>
      <c r="E829" s="654"/>
      <c r="F829" s="654"/>
      <c r="G829" s="654"/>
      <c r="H829" s="653" t="s">
        <v>2049</v>
      </c>
      <c r="I829" s="654"/>
      <c r="J829" s="630"/>
      <c r="K829" s="456"/>
    </row>
    <row r="830" ht="14.5" customHeight="1" spans="1:11" x14ac:dyDescent="0.25">
      <c r="A830" s="655" t="s">
        <v>308</v>
      </c>
      <c r="B830" s="656" t="s">
        <v>1800</v>
      </c>
      <c r="C830" s="657" t="s">
        <v>61</v>
      </c>
      <c r="D830" s="596" t="s">
        <v>1487</v>
      </c>
      <c r="E830" s="658"/>
      <c r="F830" s="445"/>
      <c r="G830" s="445"/>
      <c r="H830" s="446">
        <f t="shared" ref="H830:H834" si="129">IF(K$9=1,E830,IF(K$9=2,(E830+F830)/2,(E830+F830+G830)/3))</f>
        <v>0</v>
      </c>
      <c r="I830" s="658"/>
      <c r="J830" s="630"/>
      <c r="K830" s="456"/>
    </row>
    <row r="831" ht="14.5" customHeight="1" spans="1:11" x14ac:dyDescent="0.25">
      <c r="A831" s="655" t="s">
        <v>310</v>
      </c>
      <c r="B831" s="656" t="s">
        <v>2031</v>
      </c>
      <c r="C831" s="657" t="s">
        <v>61</v>
      </c>
      <c r="D831" s="596" t="s">
        <v>1822</v>
      </c>
      <c r="E831" s="591"/>
      <c r="F831" s="445"/>
      <c r="G831" s="445"/>
      <c r="H831" s="446">
        <f t="shared" si="129"/>
        <v>0</v>
      </c>
      <c r="I831" s="658"/>
      <c r="J831" s="630"/>
      <c r="K831" s="456"/>
    </row>
    <row r="832" ht="14.5" customHeight="1" spans="1:11" x14ac:dyDescent="0.25">
      <c r="A832" s="655" t="s">
        <v>312</v>
      </c>
      <c r="B832" s="656" t="s">
        <v>2050</v>
      </c>
      <c r="C832" s="657" t="s">
        <v>61</v>
      </c>
      <c r="D832" s="596" t="s">
        <v>1493</v>
      </c>
      <c r="E832" s="658"/>
      <c r="F832" s="445"/>
      <c r="G832" s="445"/>
      <c r="H832" s="446">
        <f t="shared" si="129"/>
        <v>0</v>
      </c>
      <c r="I832" s="658"/>
      <c r="J832" s="630"/>
      <c r="K832" s="456"/>
    </row>
    <row r="833" ht="14.5" customHeight="1" spans="1:11" x14ac:dyDescent="0.25">
      <c r="A833" s="655" t="s">
        <v>314</v>
      </c>
      <c r="B833" s="656" t="s">
        <v>2039</v>
      </c>
      <c r="C833" s="657" t="s">
        <v>61</v>
      </c>
      <c r="D833" s="596" t="s">
        <v>1822</v>
      </c>
      <c r="E833" s="658"/>
      <c r="F833" s="445"/>
      <c r="G833" s="445"/>
      <c r="H833" s="446">
        <f t="shared" si="129"/>
        <v>0</v>
      </c>
      <c r="I833" s="658"/>
      <c r="J833" s="630"/>
      <c r="K833" s="456"/>
    </row>
    <row r="834" ht="14.5" customHeight="1" spans="1:11" x14ac:dyDescent="0.25">
      <c r="A834" s="655" t="s">
        <v>316</v>
      </c>
      <c r="B834" s="656" t="s">
        <v>2098</v>
      </c>
      <c r="C834" s="657" t="s">
        <v>61</v>
      </c>
      <c r="D834" s="596" t="s">
        <v>1915</v>
      </c>
      <c r="E834" s="658"/>
      <c r="F834" s="445"/>
      <c r="G834" s="445"/>
      <c r="H834" s="446">
        <f t="shared" si="129"/>
        <v>0</v>
      </c>
      <c r="I834" s="658"/>
      <c r="J834" s="630"/>
      <c r="K834" s="456"/>
    </row>
    <row r="835" spans="1:11" x14ac:dyDescent="0.25">
      <c r="A835" s="659" t="s">
        <v>316</v>
      </c>
      <c r="B835" s="660" t="s">
        <v>2099</v>
      </c>
      <c r="C835" s="661" t="s">
        <v>61</v>
      </c>
      <c r="D835" s="642" t="s">
        <v>1822</v>
      </c>
      <c r="E835" s="606">
        <f>E824+E831</f>
        <v>0</v>
      </c>
      <c r="F835" s="606">
        <f t="shared" ref="F835:I835" si="130">F824+F831</f>
        <v>0</v>
      </c>
      <c r="G835" s="606">
        <f t="shared" si="130"/>
        <v>0</v>
      </c>
      <c r="H835" s="606">
        <f t="shared" si="130"/>
        <v>0</v>
      </c>
      <c r="I835" s="606">
        <f t="shared" si="130"/>
        <v>0</v>
      </c>
      <c r="J835" s="630"/>
      <c r="K835" s="456"/>
    </row>
    <row r="836" spans="1:11" x14ac:dyDescent="0.25">
      <c r="A836" s="659" t="s">
        <v>318</v>
      </c>
      <c r="B836" s="660" t="s">
        <v>2100</v>
      </c>
      <c r="C836" s="661" t="s">
        <v>61</v>
      </c>
      <c r="D836" s="642" t="s">
        <v>1822</v>
      </c>
      <c r="E836" s="606">
        <f>E720+E698</f>
        <v>39.123358992527514</v>
      </c>
      <c r="F836" s="606">
        <f t="shared" ref="F836:I836" si="131">F720+F698</f>
        <v>0</v>
      </c>
      <c r="G836" s="606">
        <f t="shared" si="131"/>
        <v>0</v>
      </c>
      <c r="H836" s="606">
        <f t="shared" si="131"/>
        <v>39.123358992527514</v>
      </c>
      <c r="I836" s="606">
        <f t="shared" si="131"/>
        <v>0</v>
      </c>
      <c r="J836" s="630"/>
      <c r="K836" s="456"/>
    </row>
    <row r="837" ht="28" customHeight="1" spans="1:11" x14ac:dyDescent="0.25">
      <c r="A837" s="659" t="s">
        <v>478</v>
      </c>
      <c r="B837" s="660" t="s">
        <v>2101</v>
      </c>
      <c r="C837" s="661" t="s">
        <v>61</v>
      </c>
      <c r="D837" s="642" t="s">
        <v>1822</v>
      </c>
      <c r="E837" s="606">
        <f>E835+E836</f>
        <v>39.123358992527514</v>
      </c>
      <c r="F837" s="606">
        <f t="shared" ref="F837:I837" si="132">F835+F836</f>
        <v>0</v>
      </c>
      <c r="G837" s="606">
        <f t="shared" si="132"/>
        <v>0</v>
      </c>
      <c r="H837" s="606">
        <f t="shared" si="132"/>
        <v>39.123358992527514</v>
      </c>
      <c r="I837" s="606">
        <f t="shared" si="132"/>
        <v>0</v>
      </c>
      <c r="J837" s="630"/>
      <c r="K837" s="456"/>
    </row>
    <row r="838" spans="1:11" x14ac:dyDescent="0.25">
      <c r="A838" s="443"/>
      <c r="B838" s="349"/>
      <c r="C838" s="293"/>
      <c r="D838" s="443"/>
      <c r="E838" s="443"/>
      <c r="F838" s="443"/>
      <c r="G838" s="293"/>
      <c r="H838" s="474"/>
      <c r="I838" s="293"/>
      <c r="J838" s="517"/>
      <c r="K838" s="456"/>
    </row>
    <row r="839" ht="39.65" customHeight="1" spans="1:14" x14ac:dyDescent="0.25">
      <c r="A839" s="643" t="s">
        <v>724</v>
      </c>
      <c r="B839" s="644" t="s">
        <v>2102</v>
      </c>
      <c r="C839" s="643" t="s">
        <v>2103</v>
      </c>
      <c r="D839" s="643" t="s">
        <v>2033</v>
      </c>
      <c r="E839" s="446">
        <f>E729+E740+E748+E756+E762+E789+E824+E831</f>
        <v>70872.92496875</v>
      </c>
      <c r="F839" s="446">
        <f t="shared" ref="F839:I839" si="133">F729+F740+F748+F756+F762+F789+F824+F831</f>
        <v>0</v>
      </c>
      <c r="G839" s="446">
        <f t="shared" si="133"/>
        <v>0</v>
      </c>
      <c r="H839" s="446">
        <f t="shared" si="133"/>
        <v>70872.92496875</v>
      </c>
      <c r="I839" s="446">
        <f t="shared" si="133"/>
        <v>0</v>
      </c>
      <c r="J839" s="517"/>
      <c r="K839" s="456"/>
      <c r="N839" s="302"/>
    </row>
    <row r="840" spans="1:14" x14ac:dyDescent="0.25">
      <c r="A840" s="604" t="s">
        <v>726</v>
      </c>
      <c r="B840" s="605" t="s">
        <v>2104</v>
      </c>
      <c r="C840" s="604" t="s">
        <v>61</v>
      </c>
      <c r="D840" s="604" t="s">
        <v>2105</v>
      </c>
      <c r="E840" s="662">
        <f>IFERROR((E866*E871+E892*E887+E908*E913+E929*E934+E950*E955+E996*E1004+E1036*E1042+E1058*E1064+E1080*E1086+E1104*E1110+E1128*E1134+E1153*E1162+E1196*E1198+E1211*E1213)/(E1213+E1198+E1162+E1134+E1110+E1086+E1064+E1042+E1004+E955+E934+E913+E892+E871),0)</f>
        <v>0.402289544115975</v>
      </c>
      <c r="F840" s="662">
        <f t="shared" ref="F840:I840" si="134">IFERROR((F866*F871+F892*F887+F908*F913+F929*F934+F950*F955+F996*F1004+F1036*F1042+F1058*F1064+F1080*F1086+F1104*F1110+F1128*F1134+F1153*F1162+F1196*F1198+F1211*F1213)/(F1213+F1198+F1162+F1134+F1110+F1086+F1064+F1042+F1004+F955+F934+F913+F892+F871),0)</f>
        <v>0</v>
      </c>
      <c r="G840" s="662">
        <f t="shared" si="134"/>
        <v>0</v>
      </c>
      <c r="H840" s="662">
        <f t="shared" si="134"/>
        <v>0.402289544115975</v>
      </c>
      <c r="I840" s="662">
        <f t="shared" si="134"/>
        <v>0</v>
      </c>
      <c r="J840" s="517"/>
      <c r="K840" s="515"/>
      <c r="N840" s="302"/>
    </row>
    <row r="841" ht="14.5" customHeight="1" spans="1:14" x14ac:dyDescent="0.25">
      <c r="A841" s="663" t="s">
        <v>729</v>
      </c>
      <c r="B841" s="664" t="s">
        <v>2106</v>
      </c>
      <c r="C841" s="665" t="s">
        <v>61</v>
      </c>
      <c r="D841" s="663" t="s">
        <v>2033</v>
      </c>
      <c r="E841" s="228"/>
      <c r="F841" s="228"/>
      <c r="G841" s="228"/>
      <c r="H841" s="446">
        <f t="shared" ref="H841:H842" si="135">IF(K$9=1,E841,IF(K$9=2,(E841+F841)/2,(E841+F841+G841)/3))</f>
        <v>1293.4463999999998</v>
      </c>
      <c r="I841" s="228"/>
      <c r="J841" s="228"/>
      <c r="K841" s="515"/>
      <c r="N841" s="302"/>
    </row>
    <row r="842" ht="14.5" customHeight="1" spans="1:14" x14ac:dyDescent="0.25">
      <c r="A842" s="663" t="s">
        <v>731</v>
      </c>
      <c r="B842" s="664" t="s">
        <v>2107</v>
      </c>
      <c r="C842" s="665" t="s">
        <v>61</v>
      </c>
      <c r="D842" s="663" t="s">
        <v>2033</v>
      </c>
      <c r="E842" s="228"/>
      <c r="F842" s="228"/>
      <c r="G842" s="228"/>
      <c r="H842" s="446">
        <f t="shared" si="135"/>
        <v>489.207410156</v>
      </c>
      <c r="I842" s="228"/>
      <c r="J842" s="228"/>
      <c r="K842" s="515"/>
      <c r="N842" s="302"/>
    </row>
    <row r="843" ht="28" customHeight="1" spans="1:14" x14ac:dyDescent="0.25">
      <c r="A843" s="452" t="s">
        <v>732</v>
      </c>
      <c r="B843" s="453" t="s">
        <v>2108</v>
      </c>
      <c r="C843" s="452" t="s">
        <v>2109</v>
      </c>
      <c r="D843" s="452" t="s">
        <v>2033</v>
      </c>
      <c r="E843" s="666">
        <f>E841+(IF(E842&gt;E716,(E842-E716),(0)))</f>
        <v>1293.4463999999998</v>
      </c>
      <c r="F843" s="666">
        <f t="shared" ref="F843:I843" si="136">F841+(IF(F842&gt;F716,(F842-F716),(0)))</f>
        <v>0</v>
      </c>
      <c r="G843" s="666">
        <f t="shared" si="136"/>
        <v>0</v>
      </c>
      <c r="H843" s="666">
        <f t="shared" si="136"/>
        <v>1293.4463999999998</v>
      </c>
      <c r="I843" s="666">
        <f t="shared" si="136"/>
        <v>0</v>
      </c>
      <c r="J843" s="517"/>
      <c r="K843" s="456"/>
      <c r="N843" s="302"/>
    </row>
    <row r="844" spans="1:14" x14ac:dyDescent="0.25">
      <c r="A844" s="452" t="s">
        <v>733</v>
      </c>
      <c r="B844" s="453" t="s">
        <v>2110</v>
      </c>
      <c r="C844" s="452" t="s">
        <v>2111</v>
      </c>
      <c r="D844" s="452" t="s">
        <v>1826</v>
      </c>
      <c r="E844" s="666">
        <f>E843*2717/10</f>
        <v>351429.38687999995</v>
      </c>
      <c r="F844" s="666">
        <f t="shared" ref="F844:I844" si="137">F843*2717/10</f>
        <v>0</v>
      </c>
      <c r="G844" s="666">
        <f t="shared" si="137"/>
        <v>0</v>
      </c>
      <c r="H844" s="666">
        <f t="shared" si="137"/>
        <v>351429.38687999995</v>
      </c>
      <c r="I844" s="666">
        <f t="shared" si="137"/>
        <v>0</v>
      </c>
      <c r="J844" s="517"/>
      <c r="K844" s="456"/>
      <c r="N844" s="302"/>
    </row>
    <row r="845" ht="56" customHeight="1" spans="1:11" x14ac:dyDescent="0.25">
      <c r="A845" s="452" t="s">
        <v>734</v>
      </c>
      <c r="B845" s="453" t="s">
        <v>2112</v>
      </c>
      <c r="C845" s="452" t="s">
        <v>2113</v>
      </c>
      <c r="D845" s="452" t="s">
        <v>2033</v>
      </c>
      <c r="E845" s="666">
        <f>E716+E839+E814-E841-E842</f>
        <v>70274.18451758653</v>
      </c>
      <c r="F845" s="666">
        <f t="shared" ref="F845:I845" si="138">F716+F839+F814-F841-F842</f>
        <v>0</v>
      </c>
      <c r="G845" s="666">
        <f t="shared" si="138"/>
        <v>0</v>
      </c>
      <c r="H845" s="666">
        <f t="shared" si="138"/>
        <v>70274.18451758653</v>
      </c>
      <c r="I845" s="666">
        <f t="shared" si="138"/>
        <v>0</v>
      </c>
      <c r="J845" s="667"/>
      <c r="K845" s="456"/>
    </row>
    <row r="846" spans="1:14" x14ac:dyDescent="0.25">
      <c r="A846" s="668"/>
      <c r="B846" s="669"/>
      <c r="C846" s="668"/>
      <c r="D846" s="668"/>
      <c r="E846" s="668"/>
      <c r="F846" s="668"/>
      <c r="G846" s="668"/>
      <c r="H846" s="670"/>
      <c r="I846" s="668"/>
      <c r="J846" s="517"/>
      <c r="K846" s="447"/>
      <c r="N846" s="302"/>
    </row>
    <row r="847" spans="1:11" x14ac:dyDescent="0.25">
      <c r="A847" s="440" t="s">
        <v>1870</v>
      </c>
      <c r="B847" s="440" t="s">
        <v>737</v>
      </c>
      <c r="C847" s="440"/>
      <c r="D847" s="440"/>
      <c r="E847" s="440"/>
      <c r="F847" s="440"/>
      <c r="G847" s="440"/>
      <c r="H847" s="440"/>
      <c r="I847" s="440"/>
      <c r="J847" s="671"/>
      <c r="K847" s="447"/>
    </row>
    <row r="848" ht="14.5" customHeight="1" spans="1:11" x14ac:dyDescent="0.25">
      <c r="A848" s="672" t="s">
        <v>306</v>
      </c>
      <c r="B848" s="673" t="s">
        <v>2114</v>
      </c>
      <c r="C848" s="674" t="s">
        <v>61</v>
      </c>
      <c r="D848" s="604" t="s">
        <v>2115</v>
      </c>
      <c r="E848" s="606">
        <f>E840*E1317/1000</f>
        <v>1.1350135431120332</v>
      </c>
      <c r="F848" s="606">
        <f t="shared" ref="F848:I848" si="139">F840*F1317/1000</f>
        <v>0</v>
      </c>
      <c r="G848" s="606">
        <f t="shared" si="139"/>
        <v>0</v>
      </c>
      <c r="H848" s="606">
        <f t="shared" si="139"/>
        <v>1.1350135431120332</v>
      </c>
      <c r="I848" s="606">
        <f t="shared" si="139"/>
        <v>0</v>
      </c>
      <c r="J848" s="517"/>
      <c r="K848" s="447"/>
    </row>
    <row r="849" ht="29" customHeight="1" spans="1:11" x14ac:dyDescent="0.25">
      <c r="A849" s="672" t="s">
        <v>308</v>
      </c>
      <c r="B849" s="673" t="s">
        <v>2116</v>
      </c>
      <c r="C849" s="674" t="s">
        <v>61</v>
      </c>
      <c r="D849" s="604" t="s">
        <v>2115</v>
      </c>
      <c r="E849" s="606">
        <f>IFERROR((E693*E701+E699*E702+E814*E817+(E839-(E824+E831))*E848)/(E839+E699+E693+E814+E720+E698),0)</f>
        <v>1.1279150445073445</v>
      </c>
      <c r="F849" s="606">
        <f t="shared" ref="F849:I849" si="140">IFERROR((F693*F701+F699*F702+F814*F817+(F839-(F824+F831))*F848)/(F839+F699+F693+F814+F720+F698),0)</f>
        <v>0</v>
      </c>
      <c r="G849" s="606">
        <f t="shared" si="140"/>
        <v>0</v>
      </c>
      <c r="H849" s="606">
        <f t="shared" si="140"/>
        <v>1.1279150445073445</v>
      </c>
      <c r="I849" s="606">
        <f t="shared" si="140"/>
        <v>0</v>
      </c>
      <c r="J849" s="517"/>
      <c r="K849" s="447"/>
    </row>
    <row r="850" ht="14.5" customHeight="1" spans="1:11" x14ac:dyDescent="0.25">
      <c r="A850" s="672" t="s">
        <v>310</v>
      </c>
      <c r="B850" s="673" t="s">
        <v>2117</v>
      </c>
      <c r="C850" s="674" t="s">
        <v>61</v>
      </c>
      <c r="D850" s="604" t="s">
        <v>1560</v>
      </c>
      <c r="E850" s="606">
        <f>E841*10^5*E849/1000</f>
        <v>145889.76538238645</v>
      </c>
      <c r="F850" s="606">
        <f t="shared" ref="F850:I850" si="141">F841*10^5*F849/1000</f>
        <v>0</v>
      </c>
      <c r="G850" s="606">
        <f t="shared" si="141"/>
        <v>0</v>
      </c>
      <c r="H850" s="606">
        <f t="shared" si="141"/>
        <v>145889.76538238645</v>
      </c>
      <c r="I850" s="606">
        <f t="shared" si="141"/>
        <v>0</v>
      </c>
      <c r="J850" s="517"/>
      <c r="K850" s="447"/>
    </row>
    <row r="851" ht="14.5" customHeight="1" spans="1:11" x14ac:dyDescent="0.25">
      <c r="A851" s="672" t="s">
        <v>312</v>
      </c>
      <c r="B851" s="673" t="s">
        <v>2118</v>
      </c>
      <c r="C851" s="674" t="s">
        <v>61</v>
      </c>
      <c r="D851" s="604" t="s">
        <v>1560</v>
      </c>
      <c r="E851" s="606">
        <f>E842*10^5*E849/1000</f>
        <v>55178.439779942746</v>
      </c>
      <c r="F851" s="606">
        <f t="shared" ref="F851:I851" si="142">F842*10^5*F849/1000</f>
        <v>0</v>
      </c>
      <c r="G851" s="606">
        <f t="shared" si="142"/>
        <v>0</v>
      </c>
      <c r="H851" s="606">
        <f t="shared" si="142"/>
        <v>55178.439779942746</v>
      </c>
      <c r="I851" s="606">
        <f t="shared" si="142"/>
        <v>0</v>
      </c>
      <c r="J851" s="517"/>
      <c r="K851" s="447"/>
    </row>
    <row r="852" ht="14.5" customHeight="1" spans="1:11" x14ac:dyDescent="0.25">
      <c r="A852" s="672" t="s">
        <v>314</v>
      </c>
      <c r="B852" s="673" t="s">
        <v>2119</v>
      </c>
      <c r="C852" s="674" t="s">
        <v>61</v>
      </c>
      <c r="D852" s="604" t="s">
        <v>1560</v>
      </c>
      <c r="E852" s="606">
        <f>E850+E851</f>
        <v>201068.2051623292</v>
      </c>
      <c r="F852" s="606">
        <f t="shared" ref="F852:I852" si="143">F850+F851</f>
        <v>0</v>
      </c>
      <c r="G852" s="606">
        <f t="shared" si="143"/>
        <v>0</v>
      </c>
      <c r="H852" s="606">
        <f t="shared" si="143"/>
        <v>201068.2051623292</v>
      </c>
      <c r="I852" s="606">
        <f t="shared" si="143"/>
        <v>0</v>
      </c>
      <c r="J852" s="517"/>
      <c r="K852" s="447"/>
    </row>
    <row r="853" spans="1:11" x14ac:dyDescent="0.25">
      <c r="A853" s="663"/>
      <c r="B853" s="664"/>
      <c r="C853" s="293"/>
      <c r="D853" s="443"/>
      <c r="E853" s="443"/>
      <c r="F853" s="443"/>
      <c r="G853" s="443"/>
      <c r="H853" s="474"/>
      <c r="I853" s="675"/>
      <c r="J853" s="490"/>
      <c r="K853" s="447"/>
    </row>
    <row r="854" spans="1:11" x14ac:dyDescent="0.25">
      <c r="A854" s="437" t="s">
        <v>743</v>
      </c>
      <c r="B854" s="438" t="s">
        <v>744</v>
      </c>
      <c r="C854" s="439"/>
      <c r="D854" s="440"/>
      <c r="E854" s="440"/>
      <c r="F854" s="440"/>
      <c r="G854" s="440"/>
      <c r="H854" s="441"/>
      <c r="I854" s="440"/>
      <c r="J854" s="442"/>
      <c r="K854" s="442"/>
    </row>
    <row r="855" spans="1:11" x14ac:dyDescent="0.25">
      <c r="A855" s="437" t="s">
        <v>2120</v>
      </c>
      <c r="B855" s="438" t="s">
        <v>2121</v>
      </c>
      <c r="C855" s="439"/>
      <c r="D855" s="440"/>
      <c r="E855" s="440"/>
      <c r="F855" s="440"/>
      <c r="G855" s="440"/>
      <c r="H855" s="441"/>
      <c r="I855" s="440"/>
      <c r="J855" s="442"/>
      <c r="K855" s="442"/>
    </row>
    <row r="856" ht="28" customHeight="1" spans="1:11" x14ac:dyDescent="0.25" outlineLevel="1" collapsed="1">
      <c r="A856" s="293" t="s">
        <v>306</v>
      </c>
      <c r="B856" s="349" t="s">
        <v>2122</v>
      </c>
      <c r="C856" s="293" t="s">
        <v>2123</v>
      </c>
      <c r="D856" s="293" t="s">
        <v>2124</v>
      </c>
      <c r="E856" s="470"/>
      <c r="F856" s="470"/>
      <c r="G856" s="470"/>
      <c r="H856" s="446">
        <f t="shared" ref="H856:H865" si="144">IF(K$9=1,E856,IF(K$9=2,(E856+F856)/2,(E856+F856+G856)/3))</f>
        <v>4030.40291351977</v>
      </c>
      <c r="I856" s="470"/>
      <c r="J856" s="471"/>
      <c r="K856" s="456"/>
    </row>
    <row r="857" ht="14.5" customHeight="1" spans="1:11" x14ac:dyDescent="0.25" outlineLevel="1" collapsed="1">
      <c r="A857" s="293" t="s">
        <v>308</v>
      </c>
      <c r="B857" s="349" t="s">
        <v>2125</v>
      </c>
      <c r="C857" s="293" t="s">
        <v>61</v>
      </c>
      <c r="D857" s="443" t="s">
        <v>2126</v>
      </c>
      <c r="E857" s="539"/>
      <c r="F857" s="539"/>
      <c r="G857" s="539"/>
      <c r="H857" s="446">
        <f t="shared" si="144"/>
        <v>3885.658445551737</v>
      </c>
      <c r="I857" s="539"/>
      <c r="J857" s="540"/>
      <c r="K857" s="456"/>
    </row>
    <row r="858" ht="14.5" customHeight="1" spans="1:11" x14ac:dyDescent="0.25" outlineLevel="1" collapsed="1">
      <c r="A858" s="422" t="s">
        <v>310</v>
      </c>
      <c r="B858" s="435" t="s">
        <v>2127</v>
      </c>
      <c r="C858" s="422" t="s">
        <v>61</v>
      </c>
      <c r="D858" s="451" t="s">
        <v>2126</v>
      </c>
      <c r="E858" s="540"/>
      <c r="F858" s="445"/>
      <c r="G858" s="445"/>
      <c r="H858" s="446">
        <f t="shared" si="144"/>
        <v>3691.3755232741496</v>
      </c>
      <c r="I858" s="445">
        <f>I857*0.95</f>
        <v>0</v>
      </c>
      <c r="J858" s="540"/>
      <c r="K858" s="456"/>
    </row>
    <row r="859" ht="14.5" customHeight="1" spans="1:11" x14ac:dyDescent="0.25" outlineLevel="1" collapsed="1">
      <c r="A859" s="422" t="s">
        <v>312</v>
      </c>
      <c r="B859" s="435" t="s">
        <v>2128</v>
      </c>
      <c r="C859" s="422" t="s">
        <v>61</v>
      </c>
      <c r="D859" s="451" t="s">
        <v>1493</v>
      </c>
      <c r="E859" s="470"/>
      <c r="F859" s="470"/>
      <c r="G859" s="470"/>
      <c r="H859" s="446">
        <f t="shared" si="144"/>
        <v>13.930114231875516</v>
      </c>
      <c r="I859" s="470"/>
      <c r="J859" s="471"/>
      <c r="K859" s="456"/>
    </row>
    <row r="860" ht="14.5" customHeight="1" spans="1:11" x14ac:dyDescent="0.25" outlineLevel="1" collapsed="1">
      <c r="A860" s="422" t="s">
        <v>314</v>
      </c>
      <c r="B860" s="435" t="s">
        <v>2129</v>
      </c>
      <c r="C860" s="422" t="s">
        <v>61</v>
      </c>
      <c r="D860" s="451" t="s">
        <v>1493</v>
      </c>
      <c r="E860" s="471"/>
      <c r="F860" s="445"/>
      <c r="G860" s="445"/>
      <c r="H860" s="446">
        <f t="shared" si="144"/>
        <v>0</v>
      </c>
      <c r="I860" s="471"/>
      <c r="J860" s="471"/>
      <c r="K860" s="456"/>
    </row>
    <row r="861" ht="14.5" customHeight="1" spans="1:11" x14ac:dyDescent="0.25" outlineLevel="1" collapsed="1">
      <c r="A861" s="422" t="s">
        <v>316</v>
      </c>
      <c r="B861" s="435" t="s">
        <v>2130</v>
      </c>
      <c r="C861" s="422" t="s">
        <v>61</v>
      </c>
      <c r="D861" s="451" t="s">
        <v>1493</v>
      </c>
      <c r="E861" s="245"/>
      <c r="F861" s="245"/>
      <c r="G861" s="245"/>
      <c r="H861" s="446">
        <f t="shared" si="144"/>
        <v>100</v>
      </c>
      <c r="I861" s="245"/>
      <c r="J861" s="471"/>
      <c r="K861" s="456"/>
    </row>
    <row r="862" ht="14.5" customHeight="1" spans="1:11" x14ac:dyDescent="0.25" outlineLevel="1" collapsed="1">
      <c r="A862" s="293" t="s">
        <v>318</v>
      </c>
      <c r="B862" s="349" t="s">
        <v>2131</v>
      </c>
      <c r="C862" s="293" t="s">
        <v>61</v>
      </c>
      <c r="D862" s="443" t="s">
        <v>1456</v>
      </c>
      <c r="E862" s="228"/>
      <c r="F862" s="445"/>
      <c r="G862" s="445"/>
      <c r="H862" s="446">
        <f t="shared" si="144"/>
        <v>5177557.196</v>
      </c>
      <c r="I862" s="228"/>
      <c r="J862" s="228"/>
      <c r="K862" s="456"/>
    </row>
    <row r="863" ht="14.5" customHeight="1" spans="1:11" x14ac:dyDescent="0.25" outlineLevel="1" collapsed="1">
      <c r="A863" s="293" t="s">
        <v>478</v>
      </c>
      <c r="B863" s="349" t="s">
        <v>2132</v>
      </c>
      <c r="C863" s="293" t="s">
        <v>61</v>
      </c>
      <c r="D863" s="443" t="s">
        <v>1456</v>
      </c>
      <c r="E863" s="228"/>
      <c r="F863" s="445"/>
      <c r="G863" s="445"/>
      <c r="H863" s="446">
        <f t="shared" si="144"/>
        <v>4374276.42484276</v>
      </c>
      <c r="I863" s="228"/>
      <c r="J863" s="228"/>
      <c r="K863" s="456"/>
    </row>
    <row r="864" ht="14.5" customHeight="1" spans="1:11" x14ac:dyDescent="0.25" outlineLevel="1" collapsed="1">
      <c r="A864" s="293" t="s">
        <v>481</v>
      </c>
      <c r="B864" s="349" t="s">
        <v>2133</v>
      </c>
      <c r="C864" s="293" t="s">
        <v>61</v>
      </c>
      <c r="D864" s="443" t="s">
        <v>1456</v>
      </c>
      <c r="E864" s="228"/>
      <c r="F864" s="445"/>
      <c r="G864" s="445"/>
      <c r="H864" s="446">
        <f t="shared" si="144"/>
        <v>362085.2350792208</v>
      </c>
      <c r="I864" s="676"/>
      <c r="J864" s="677"/>
      <c r="K864" s="456"/>
    </row>
    <row r="865" ht="14.5" customHeight="1" spans="1:11" x14ac:dyDescent="0.25" outlineLevel="1" collapsed="1">
      <c r="A865" s="293" t="s">
        <v>483</v>
      </c>
      <c r="B865" s="349" t="s">
        <v>2134</v>
      </c>
      <c r="C865" s="293" t="s">
        <v>61</v>
      </c>
      <c r="D865" s="443" t="s">
        <v>1456</v>
      </c>
      <c r="E865" s="228"/>
      <c r="F865" s="445"/>
      <c r="G865" s="445"/>
      <c r="H865" s="446">
        <f t="shared" si="144"/>
        <v>373145.73992077925</v>
      </c>
      <c r="I865" s="228"/>
      <c r="J865" s="228"/>
      <c r="K865" s="456"/>
    </row>
    <row r="866" ht="14.5" customHeight="1" spans="1:11" x14ac:dyDescent="0.25" outlineLevel="1" collapsed="1">
      <c r="A866" s="604" t="s">
        <v>485</v>
      </c>
      <c r="B866" s="605" t="s">
        <v>2135</v>
      </c>
      <c r="C866" s="604" t="s">
        <v>61</v>
      </c>
      <c r="D866" s="678" t="s">
        <v>2136</v>
      </c>
      <c r="E866" s="679">
        <f>IFERROR((IF(E860=0,'Emission Factor &amp; GWP Backup'!$E$29,3.664*(E860/100)/E858*1000)),0)</f>
        <v>0.40235147999999316</v>
      </c>
      <c r="F866" s="679">
        <f>IFERROR((IF(F860=0,'Emission Factor &amp; GWP Backup'!$E$29,3.664*(F860/100)/F858*1000)),0)</f>
        <v>0.40235147999999316</v>
      </c>
      <c r="G866" s="679">
        <f>IFERROR((IF(G860=0,'Emission Factor &amp; GWP Backup'!$E$29,3.664*(G860/100)/G858*1000)),0)</f>
        <v>0.40235147999999316</v>
      </c>
      <c r="H866" s="679">
        <f>IFERROR((IF(H860=0,'Emission Factor &amp; GWP Backup'!$E$29,3.664*(H860/100)/H858*1000)),0)</f>
        <v>0.40235147999999316</v>
      </c>
      <c r="I866" s="679">
        <f>IFERROR((IF(I860=0,'Emission Factor &amp; GWP Backup'!$E$29,3.664*(I860/100)/I858*1000)),0)</f>
        <v>0.40235147999999316</v>
      </c>
      <c r="J866" s="228"/>
      <c r="K866" s="456"/>
    </row>
    <row r="867" spans="1:13" x14ac:dyDescent="0.25" outlineLevel="1" collapsed="1">
      <c r="A867" s="452" t="s">
        <v>488</v>
      </c>
      <c r="B867" s="453" t="s">
        <v>2137</v>
      </c>
      <c r="C867" s="452" t="s">
        <v>2138</v>
      </c>
      <c r="D867" s="452" t="s">
        <v>1456</v>
      </c>
      <c r="E867" s="452">
        <f t="shared" ref="E867:F867" si="145">E863+E865+E864</f>
        <v>5109507.39984276</v>
      </c>
      <c r="F867" s="452">
        <f t="shared" si="145"/>
        <v>0</v>
      </c>
      <c r="G867" s="452">
        <f>G863+G865+G864</f>
        <v>0</v>
      </c>
      <c r="H867" s="446">
        <f>H863+H865+H864</f>
        <v>5109507.39984276</v>
      </c>
      <c r="I867" s="452">
        <f>I863+I865+I864</f>
        <v>0</v>
      </c>
      <c r="J867" s="517"/>
      <c r="K867" s="456"/>
      <c r="M867" s="680"/>
    </row>
    <row r="868" spans="1:11" x14ac:dyDescent="0.25" outlineLevel="1" collapsed="1">
      <c r="A868" s="452" t="s">
        <v>403</v>
      </c>
      <c r="B868" s="453" t="s">
        <v>2139</v>
      </c>
      <c r="C868" s="452" t="s">
        <v>2140</v>
      </c>
      <c r="D868" s="452" t="s">
        <v>1826</v>
      </c>
      <c r="E868" s="452">
        <f t="shared" ref="E868:F868" si="146">E857*E863/1000</f>
        <v>16996944.133368127</v>
      </c>
      <c r="F868" s="452">
        <f t="shared" si="146"/>
        <v>0</v>
      </c>
      <c r="G868" s="452">
        <f>G857*G863/1000</f>
        <v>0</v>
      </c>
      <c r="H868" s="446">
        <f>H857*H863/1000</f>
        <v>16996944.133368127</v>
      </c>
      <c r="I868" s="452">
        <f>I857*I863/1000</f>
        <v>0</v>
      </c>
      <c r="J868" s="517"/>
      <c r="K868" s="456"/>
    </row>
    <row r="869" spans="1:14" x14ac:dyDescent="0.25" outlineLevel="1" collapsed="1">
      <c r="A869" s="452" t="s">
        <v>407</v>
      </c>
      <c r="B869" s="453" t="s">
        <v>2141</v>
      </c>
      <c r="C869" s="452" t="s">
        <v>2142</v>
      </c>
      <c r="D869" s="452" t="s">
        <v>1826</v>
      </c>
      <c r="E869" s="681">
        <f t="shared" ref="E869:F869" si="147">(E864*E857)/1000</f>
        <v>1406939.55169516</v>
      </c>
      <c r="F869" s="681">
        <f t="shared" si="147"/>
        <v>0</v>
      </c>
      <c r="G869" s="681">
        <f>(G864*G857)/1000</f>
        <v>0</v>
      </c>
      <c r="H869" s="446">
        <f>(H864*H857)/1000</f>
        <v>1406939.55169516</v>
      </c>
      <c r="I869" s="452">
        <f>(I864*I857)/1000</f>
        <v>0</v>
      </c>
      <c r="J869" s="517"/>
      <c r="K869" s="456"/>
      <c r="M869" s="682"/>
      <c r="N869" s="682"/>
    </row>
    <row r="870" spans="1:11" x14ac:dyDescent="0.25" outlineLevel="1" collapsed="1">
      <c r="A870" s="452" t="s">
        <v>410</v>
      </c>
      <c r="B870" s="453" t="s">
        <v>2143</v>
      </c>
      <c r="C870" s="452" t="s">
        <v>2144</v>
      </c>
      <c r="D870" s="452" t="s">
        <v>1826</v>
      </c>
      <c r="E870" s="452">
        <f t="shared" ref="E870:F870" si="148">E857*E865/1000</f>
        <v>1449916.8957448278</v>
      </c>
      <c r="F870" s="452">
        <f t="shared" si="148"/>
        <v>0</v>
      </c>
      <c r="G870" s="452">
        <f>G857*G865/1000</f>
        <v>0</v>
      </c>
      <c r="H870" s="446">
        <f>H857*H865/1000</f>
        <v>1449916.8957448278</v>
      </c>
      <c r="I870" s="452">
        <f>I857*I865/1000</f>
        <v>0</v>
      </c>
      <c r="J870" s="517"/>
      <c r="K870" s="456"/>
    </row>
    <row r="871" spans="1:11" x14ac:dyDescent="0.25" outlineLevel="1" collapsed="1">
      <c r="A871" s="452" t="s">
        <v>413</v>
      </c>
      <c r="B871" s="453" t="s">
        <v>2145</v>
      </c>
      <c r="C871" s="452"/>
      <c r="D871" s="452" t="s">
        <v>1826</v>
      </c>
      <c r="E871" s="452">
        <f t="shared" ref="E871:F871" si="149">E868+E869</f>
        <v>18403883.685063288</v>
      </c>
      <c r="F871" s="452">
        <f t="shared" si="149"/>
        <v>0</v>
      </c>
      <c r="G871" s="452">
        <f>G868+G869</f>
        <v>0</v>
      </c>
      <c r="H871" s="446">
        <f>H868+H869</f>
        <v>18403883.685063288</v>
      </c>
      <c r="I871" s="446">
        <f>I868+I869</f>
        <v>0</v>
      </c>
      <c r="J871" s="517"/>
      <c r="K871" s="456"/>
    </row>
    <row r="872" spans="1:11" x14ac:dyDescent="0.25" outlineLevel="1" collapsed="1">
      <c r="A872" s="683" t="s">
        <v>416</v>
      </c>
      <c r="B872" s="605" t="s">
        <v>2146</v>
      </c>
      <c r="C872" s="604"/>
      <c r="D872" s="678" t="s">
        <v>2147</v>
      </c>
      <c r="E872" s="606">
        <f t="shared" ref="E872:F872" si="150">E$858*E863*1000*E$861/100*E$866/10^6</f>
        <v>6496808.346160973</v>
      </c>
      <c r="F872" s="606">
        <f t="shared" si="150"/>
        <v>0</v>
      </c>
      <c r="G872" s="606">
        <f>G$858*G863*1000*G$861/100*G$866/10^6</f>
        <v>0</v>
      </c>
      <c r="H872" s="606">
        <f t="shared" ref="H872:I872" si="151">H$858*H863*1000*H$861/100*H$866/10^6</f>
        <v>6496808.346160973</v>
      </c>
      <c r="I872" s="606">
        <f t="shared" si="151"/>
        <v>0</v>
      </c>
      <c r="J872" s="517"/>
      <c r="K872" s="456"/>
    </row>
    <row r="873" spans="1:11" x14ac:dyDescent="0.25" outlineLevel="1" collapsed="1">
      <c r="A873" s="683" t="s">
        <v>419</v>
      </c>
      <c r="B873" s="605" t="s">
        <v>2148</v>
      </c>
      <c r="C873" s="604"/>
      <c r="D873" s="678" t="s">
        <v>2147</v>
      </c>
      <c r="E873" s="606">
        <f t="shared" ref="E873:F873" si="152">E$858*E864*1000*E$861/100*E$866/10^6</f>
        <v>537780.0003503208</v>
      </c>
      <c r="F873" s="606">
        <f t="shared" si="152"/>
        <v>0</v>
      </c>
      <c r="G873" s="606">
        <f>G$858*G864*1000*G$861/100*G$866/10^6</f>
        <v>0</v>
      </c>
      <c r="H873" s="606">
        <f t="shared" ref="H873:I873" si="153">H$858*H864*1000*H$861/100*H$866/10^6</f>
        <v>537780.0003503208</v>
      </c>
      <c r="I873" s="606">
        <f t="shared" si="153"/>
        <v>0</v>
      </c>
      <c r="J873" s="517"/>
      <c r="K873" s="456"/>
    </row>
    <row r="874" spans="1:11" x14ac:dyDescent="0.25" outlineLevel="1" collapsed="1">
      <c r="A874" s="683" t="s">
        <v>423</v>
      </c>
      <c r="B874" s="605" t="s">
        <v>2149</v>
      </c>
      <c r="C874" s="604"/>
      <c r="D874" s="678" t="s">
        <v>2147</v>
      </c>
      <c r="E874" s="606">
        <f t="shared" ref="E874:F874" si="154">E$858*E865*1000*E$861/100*E$866/10^6</f>
        <v>554207.3984359308</v>
      </c>
      <c r="F874" s="606">
        <f t="shared" si="154"/>
        <v>0</v>
      </c>
      <c r="G874" s="606">
        <f>G$858*G865*1000*G$861/100*G$866/10^6</f>
        <v>0</v>
      </c>
      <c r="H874" s="606">
        <f t="shared" ref="H874:I874" si="155">H$858*H865*1000*H$861/100*H$866/10^6</f>
        <v>554207.3984359308</v>
      </c>
      <c r="I874" s="606">
        <f t="shared" si="155"/>
        <v>0</v>
      </c>
      <c r="J874" s="517"/>
      <c r="K874" s="456"/>
    </row>
    <row r="875" spans="1:11" x14ac:dyDescent="0.25">
      <c r="A875" s="514"/>
      <c r="B875" s="349"/>
      <c r="C875" s="293"/>
      <c r="D875" s="443"/>
      <c r="E875" s="663"/>
      <c r="F875" s="663"/>
      <c r="G875" s="663"/>
      <c r="H875" s="500"/>
      <c r="I875" s="665"/>
      <c r="J875" s="517"/>
      <c r="K875" s="456"/>
    </row>
    <row r="876" spans="1:11" x14ac:dyDescent="0.25">
      <c r="A876" s="437" t="s">
        <v>2150</v>
      </c>
      <c r="B876" s="438" t="s">
        <v>2151</v>
      </c>
      <c r="C876" s="439"/>
      <c r="D876" s="440"/>
      <c r="E876" s="440"/>
      <c r="F876" s="440"/>
      <c r="G876" s="440"/>
      <c r="H876" s="441"/>
      <c r="I876" s="440"/>
      <c r="J876" s="487"/>
      <c r="K876" s="495"/>
    </row>
    <row r="877" ht="28" customHeight="1" spans="1:11" x14ac:dyDescent="0.25" outlineLevel="1" collapsed="1">
      <c r="A877" s="293" t="s">
        <v>306</v>
      </c>
      <c r="B877" s="349" t="s">
        <v>2122</v>
      </c>
      <c r="C877" s="293" t="s">
        <v>2123</v>
      </c>
      <c r="D877" s="293" t="s">
        <v>2124</v>
      </c>
      <c r="E877" s="470"/>
      <c r="F877" s="470"/>
      <c r="G877" s="470"/>
      <c r="H877" s="446">
        <f t="shared" ref="H877:H886" si="156">IF(K$9=1,E877,IF(K$9=2,(E877+F877)/2,(E877+F877+G877)/3))</f>
        <v>0</v>
      </c>
      <c r="I877" s="470"/>
      <c r="J877" s="471"/>
      <c r="K877" s="456"/>
    </row>
    <row r="878" ht="14.5" customHeight="1" spans="1:11" x14ac:dyDescent="0.25" outlineLevel="1" collapsed="1">
      <c r="A878" s="293" t="s">
        <v>308</v>
      </c>
      <c r="B878" s="349" t="s">
        <v>2152</v>
      </c>
      <c r="C878" s="293" t="s">
        <v>61</v>
      </c>
      <c r="D878" s="443" t="s">
        <v>2126</v>
      </c>
      <c r="E878" s="470"/>
      <c r="F878" s="470"/>
      <c r="G878" s="470"/>
      <c r="H878" s="446">
        <f t="shared" si="156"/>
        <v>0</v>
      </c>
      <c r="I878" s="470"/>
      <c r="J878" s="471"/>
      <c r="K878" s="456"/>
    </row>
    <row r="879" ht="14.5" customHeight="1" spans="1:11" x14ac:dyDescent="0.25" outlineLevel="1" collapsed="1">
      <c r="A879" s="422" t="s">
        <v>310</v>
      </c>
      <c r="B879" s="435" t="s">
        <v>2153</v>
      </c>
      <c r="C879" s="422" t="s">
        <v>61</v>
      </c>
      <c r="D879" s="451" t="s">
        <v>2126</v>
      </c>
      <c r="E879" s="540"/>
      <c r="F879" s="540">
        <f t="shared" ref="F879:G879" si="157">F878*0.95</f>
        <v>0</v>
      </c>
      <c r="G879" s="540">
        <f t="shared" si="157"/>
        <v>0</v>
      </c>
      <c r="H879" s="446">
        <f t="shared" si="156"/>
        <v>0</v>
      </c>
      <c r="I879" s="540">
        <f>I878*0.95</f>
        <v>0</v>
      </c>
      <c r="J879" s="471"/>
      <c r="K879" s="456"/>
    </row>
    <row r="880" ht="14.5" customHeight="1" spans="1:11" x14ac:dyDescent="0.25" outlineLevel="1" collapsed="1">
      <c r="A880" s="422" t="s">
        <v>312</v>
      </c>
      <c r="B880" s="435" t="s">
        <v>2128</v>
      </c>
      <c r="C880" s="422" t="s">
        <v>61</v>
      </c>
      <c r="D880" s="451" t="s">
        <v>1493</v>
      </c>
      <c r="E880" s="471"/>
      <c r="F880" s="445"/>
      <c r="G880" s="445"/>
      <c r="H880" s="446">
        <f t="shared" si="156"/>
        <v>0</v>
      </c>
      <c r="I880" s="471"/>
      <c r="J880" s="471"/>
      <c r="K880" s="456"/>
    </row>
    <row r="881" ht="14.5" customHeight="1" spans="1:11" x14ac:dyDescent="0.25" outlineLevel="1" collapsed="1">
      <c r="A881" s="422" t="s">
        <v>314</v>
      </c>
      <c r="B881" s="435" t="s">
        <v>2154</v>
      </c>
      <c r="C881" s="422" t="s">
        <v>61</v>
      </c>
      <c r="D881" s="451" t="s">
        <v>1493</v>
      </c>
      <c r="E881" s="471"/>
      <c r="F881" s="445"/>
      <c r="G881" s="445"/>
      <c r="H881" s="446">
        <f t="shared" si="156"/>
        <v>0</v>
      </c>
      <c r="I881" s="471"/>
      <c r="J881" s="471"/>
      <c r="K881" s="456"/>
    </row>
    <row r="882" ht="14.5" customHeight="1" spans="1:11" x14ac:dyDescent="0.25" outlineLevel="1" collapsed="1">
      <c r="A882" s="422" t="s">
        <v>316</v>
      </c>
      <c r="B882" s="435" t="s">
        <v>2130</v>
      </c>
      <c r="C882" s="422"/>
      <c r="D882" s="451"/>
      <c r="E882" s="245"/>
      <c r="F882" s="245"/>
      <c r="G882" s="245"/>
      <c r="H882" s="446">
        <f t="shared" si="156"/>
        <v>100</v>
      </c>
      <c r="I882" s="245"/>
      <c r="J882" s="471"/>
      <c r="K882" s="456"/>
    </row>
    <row r="883" ht="14.5" customHeight="1" spans="1:11" x14ac:dyDescent="0.25" outlineLevel="1" collapsed="1">
      <c r="A883" s="293" t="s">
        <v>318</v>
      </c>
      <c r="B883" s="349" t="s">
        <v>2131</v>
      </c>
      <c r="C883" s="293" t="s">
        <v>61</v>
      </c>
      <c r="D883" s="443" t="s">
        <v>1456</v>
      </c>
      <c r="E883" s="228"/>
      <c r="F883" s="445"/>
      <c r="G883" s="445"/>
      <c r="H883" s="446">
        <f t="shared" si="156"/>
        <v>0</v>
      </c>
      <c r="I883" s="228"/>
      <c r="J883" s="228"/>
      <c r="K883" s="456"/>
    </row>
    <row r="884" ht="14.5" customHeight="1" spans="1:11" x14ac:dyDescent="0.25" outlineLevel="1" collapsed="1">
      <c r="A884" s="293" t="s">
        <v>478</v>
      </c>
      <c r="B884" s="349" t="s">
        <v>2155</v>
      </c>
      <c r="C884" s="293" t="s">
        <v>61</v>
      </c>
      <c r="D884" s="443" t="s">
        <v>1456</v>
      </c>
      <c r="E884" s="228"/>
      <c r="F884" s="445"/>
      <c r="G884" s="445"/>
      <c r="H884" s="446">
        <f t="shared" si="156"/>
        <v>0</v>
      </c>
      <c r="I884" s="228"/>
      <c r="J884" s="228"/>
      <c r="K884" s="456"/>
    </row>
    <row r="885" ht="14.5" customHeight="1" spans="1:11" x14ac:dyDescent="0.25" outlineLevel="1" collapsed="1">
      <c r="A885" s="293" t="s">
        <v>481</v>
      </c>
      <c r="B885" s="349" t="s">
        <v>2156</v>
      </c>
      <c r="C885" s="293" t="s">
        <v>61</v>
      </c>
      <c r="D885" s="443" t="s">
        <v>1456</v>
      </c>
      <c r="E885" s="228"/>
      <c r="F885" s="445"/>
      <c r="G885" s="445"/>
      <c r="H885" s="446">
        <f t="shared" si="156"/>
        <v>0</v>
      </c>
      <c r="I885" s="228"/>
      <c r="J885" s="228"/>
      <c r="K885" s="456"/>
    </row>
    <row r="886" ht="14.5" customHeight="1" spans="1:11" x14ac:dyDescent="0.25" outlineLevel="1" collapsed="1">
      <c r="A886" s="293" t="s">
        <v>483</v>
      </c>
      <c r="B886" s="349" t="s">
        <v>2134</v>
      </c>
      <c r="C886" s="293" t="s">
        <v>61</v>
      </c>
      <c r="D886" s="443" t="s">
        <v>1456</v>
      </c>
      <c r="E886" s="228"/>
      <c r="F886" s="445"/>
      <c r="G886" s="445"/>
      <c r="H886" s="446">
        <f t="shared" si="156"/>
        <v>0</v>
      </c>
      <c r="I886" s="228"/>
      <c r="J886" s="228"/>
      <c r="K886" s="456"/>
    </row>
    <row r="887" ht="14.5" customHeight="1" spans="1:11" x14ac:dyDescent="0.25" outlineLevel="1" collapsed="1">
      <c r="A887" s="604" t="s">
        <v>485</v>
      </c>
      <c r="B887" s="605" t="s">
        <v>2157</v>
      </c>
      <c r="C887" s="604" t="s">
        <v>61</v>
      </c>
      <c r="D887" s="678" t="s">
        <v>2136</v>
      </c>
      <c r="E887" s="662">
        <f>IFERROR((IF(E881=0,'Emission Factor &amp; GWP Backup'!$E$20,3.664*(E881/100)/E879*1000)),0)</f>
        <v>0.40821299999999305</v>
      </c>
      <c r="F887" s="662">
        <f>IFERROR((IF(F881=0,'Emission Factor &amp; GWP Backup'!$E$20,3.664*(F881/100)/F879*1000)),0)</f>
        <v>0.40821299999999305</v>
      </c>
      <c r="G887" s="662">
        <f>IFERROR((IF(G881=0,'Emission Factor &amp; GWP Backup'!$E$20,3.664*(G881/100)/G879*1000)),0)</f>
        <v>0.40821299999999305</v>
      </c>
      <c r="H887" s="662">
        <f>IFERROR((IF(H881=0,'Emission Factor &amp; GWP Backup'!$E$20,3.664*(H881/100)/H879*1000)),0)</f>
        <v>0.40821299999999305</v>
      </c>
      <c r="I887" s="662">
        <f>IFERROR((IF(I881=0,'Emission Factor &amp; GWP Backup'!$E$20,3.664*(I881/100)/I879*1000)),0)</f>
        <v>0.40821299999999305</v>
      </c>
      <c r="J887" s="228"/>
      <c r="K887" s="456"/>
    </row>
    <row r="888" spans="1:11" x14ac:dyDescent="0.25" outlineLevel="1" collapsed="1">
      <c r="A888" s="452" t="s">
        <v>488</v>
      </c>
      <c r="B888" s="453" t="s">
        <v>2137</v>
      </c>
      <c r="C888" s="452" t="s">
        <v>2138</v>
      </c>
      <c r="D888" s="452" t="s">
        <v>1456</v>
      </c>
      <c r="E888" s="666">
        <f t="shared" ref="E888" si="158">E884+E886+E885</f>
        <v>0</v>
      </c>
      <c r="F888" s="666">
        <f t="shared" ref="F888:I888" si="159">F884+F886+F885</f>
        <v>0</v>
      </c>
      <c r="G888" s="666">
        <f t="shared" si="159"/>
        <v>0</v>
      </c>
      <c r="H888" s="666">
        <f t="shared" si="159"/>
        <v>0</v>
      </c>
      <c r="I888" s="666">
        <f t="shared" si="159"/>
        <v>0</v>
      </c>
      <c r="J888" s="517"/>
      <c r="K888" s="456"/>
    </row>
    <row r="889" spans="1:11" x14ac:dyDescent="0.25" outlineLevel="1" collapsed="1">
      <c r="A889" s="452" t="s">
        <v>403</v>
      </c>
      <c r="B889" s="453" t="s">
        <v>2139</v>
      </c>
      <c r="C889" s="452" t="s">
        <v>2158</v>
      </c>
      <c r="D889" s="452" t="s">
        <v>1826</v>
      </c>
      <c r="E889" s="666">
        <f t="shared" ref="E889" si="160">E878*E884/1000</f>
        <v>0</v>
      </c>
      <c r="F889" s="666">
        <f t="shared" ref="F889:I889" si="161">F878*F884/1000</f>
        <v>0</v>
      </c>
      <c r="G889" s="666">
        <f t="shared" si="161"/>
        <v>0</v>
      </c>
      <c r="H889" s="666">
        <f t="shared" si="161"/>
        <v>0</v>
      </c>
      <c r="I889" s="666">
        <f t="shared" si="161"/>
        <v>0</v>
      </c>
      <c r="J889" s="517"/>
      <c r="K889" s="456"/>
    </row>
    <row r="890" spans="1:11" x14ac:dyDescent="0.25" outlineLevel="1" collapsed="1">
      <c r="A890" s="452" t="s">
        <v>407</v>
      </c>
      <c r="B890" s="453" t="s">
        <v>2159</v>
      </c>
      <c r="C890" s="452" t="s">
        <v>2160</v>
      </c>
      <c r="D890" s="452" t="s">
        <v>1826</v>
      </c>
      <c r="E890" s="666">
        <f t="shared" ref="E890" si="162">(E885*E878)/1000</f>
        <v>0</v>
      </c>
      <c r="F890" s="666">
        <f t="shared" ref="F890:I890" si="163">(F885*F878)/1000</f>
        <v>0</v>
      </c>
      <c r="G890" s="666">
        <f t="shared" si="163"/>
        <v>0</v>
      </c>
      <c r="H890" s="666">
        <f t="shared" si="163"/>
        <v>0</v>
      </c>
      <c r="I890" s="666">
        <f t="shared" si="163"/>
        <v>0</v>
      </c>
      <c r="J890" s="517"/>
      <c r="K890" s="456"/>
    </row>
    <row r="891" spans="1:11" x14ac:dyDescent="0.25" outlineLevel="1" collapsed="1">
      <c r="A891" s="452" t="s">
        <v>410</v>
      </c>
      <c r="B891" s="453" t="s">
        <v>2143</v>
      </c>
      <c r="C891" s="452" t="s">
        <v>2161</v>
      </c>
      <c r="D891" s="452" t="s">
        <v>1826</v>
      </c>
      <c r="E891" s="666">
        <f t="shared" ref="E891" si="164">E878*E886/1000</f>
        <v>0</v>
      </c>
      <c r="F891" s="666">
        <f t="shared" ref="F891:I891" si="165">F878*F886/1000</f>
        <v>0</v>
      </c>
      <c r="G891" s="666">
        <f t="shared" si="165"/>
        <v>0</v>
      </c>
      <c r="H891" s="666">
        <f t="shared" si="165"/>
        <v>0</v>
      </c>
      <c r="I891" s="666">
        <f t="shared" si="165"/>
        <v>0</v>
      </c>
      <c r="J891" s="517"/>
      <c r="K891" s="456"/>
    </row>
    <row r="892" spans="1:11" x14ac:dyDescent="0.25" outlineLevel="1" collapsed="1">
      <c r="A892" s="452" t="s">
        <v>413</v>
      </c>
      <c r="B892" s="453" t="s">
        <v>2145</v>
      </c>
      <c r="C892" s="452"/>
      <c r="D892" s="452" t="s">
        <v>1826</v>
      </c>
      <c r="E892" s="666">
        <f t="shared" ref="E892" si="166">E889+E890</f>
        <v>0</v>
      </c>
      <c r="F892" s="666">
        <f t="shared" ref="F892:I892" si="167">F889+F890</f>
        <v>0</v>
      </c>
      <c r="G892" s="666">
        <f t="shared" si="167"/>
        <v>0</v>
      </c>
      <c r="H892" s="666">
        <f t="shared" si="167"/>
        <v>0</v>
      </c>
      <c r="I892" s="666">
        <f t="shared" si="167"/>
        <v>0</v>
      </c>
      <c r="J892" s="517"/>
      <c r="K892" s="456"/>
    </row>
    <row r="893" spans="1:11" x14ac:dyDescent="0.25" outlineLevel="1" collapsed="1">
      <c r="A893" s="604" t="s">
        <v>416</v>
      </c>
      <c r="B893" s="605" t="s">
        <v>2146</v>
      </c>
      <c r="C893" s="604"/>
      <c r="D893" s="678" t="s">
        <v>2147</v>
      </c>
      <c r="E893" s="662">
        <f t="shared" ref="E893:I893" si="168">E$884*1000*E$879*E$887*E$882/100/10^6</f>
        <v>0</v>
      </c>
      <c r="F893" s="662">
        <f t="shared" si="168"/>
        <v>0</v>
      </c>
      <c r="G893" s="662">
        <f t="shared" si="168"/>
        <v>0</v>
      </c>
      <c r="H893" s="662">
        <f t="shared" si="168"/>
        <v>0</v>
      </c>
      <c r="I893" s="662">
        <f t="shared" si="168"/>
        <v>0</v>
      </c>
      <c r="J893" s="517"/>
      <c r="K893" s="456"/>
    </row>
    <row r="894" spans="1:11" x14ac:dyDescent="0.25" outlineLevel="1" collapsed="1">
      <c r="A894" s="604" t="s">
        <v>419</v>
      </c>
      <c r="B894" s="605" t="s">
        <v>2162</v>
      </c>
      <c r="C894" s="604"/>
      <c r="D894" s="678" t="s">
        <v>2147</v>
      </c>
      <c r="E894" s="662">
        <f t="shared" ref="E894" si="169">E884*1000*E$879*E$887*E$882/100/10^6</f>
        <v>0</v>
      </c>
      <c r="F894" s="662">
        <f t="shared" ref="F894:I894" si="170">F884*1000*F$879*F$887*F$882/100/10^6</f>
        <v>0</v>
      </c>
      <c r="G894" s="662">
        <f t="shared" si="170"/>
        <v>0</v>
      </c>
      <c r="H894" s="662">
        <f t="shared" si="170"/>
        <v>0</v>
      </c>
      <c r="I894" s="662">
        <f t="shared" si="170"/>
        <v>0</v>
      </c>
      <c r="J894" s="517"/>
      <c r="K894" s="456"/>
    </row>
    <row r="895" spans="1:11" x14ac:dyDescent="0.25" outlineLevel="1" collapsed="1">
      <c r="A895" s="604" t="s">
        <v>423</v>
      </c>
      <c r="B895" s="605" t="s">
        <v>2149</v>
      </c>
      <c r="C895" s="604"/>
      <c r="D895" s="678" t="s">
        <v>2147</v>
      </c>
      <c r="E895" s="662">
        <f t="shared" ref="E895" si="171">E885*1000*E$879*E$887*E$882/100/10^6</f>
        <v>0</v>
      </c>
      <c r="F895" s="662">
        <f t="shared" ref="F895:I895" si="172">F885*1000*F$879*F$887*F$882/100/10^6</f>
        <v>0</v>
      </c>
      <c r="G895" s="662">
        <f t="shared" si="172"/>
        <v>0</v>
      </c>
      <c r="H895" s="662">
        <f t="shared" si="172"/>
        <v>0</v>
      </c>
      <c r="I895" s="662">
        <f t="shared" si="172"/>
        <v>0</v>
      </c>
      <c r="J895" s="517"/>
      <c r="K895" s="456"/>
    </row>
    <row r="896" spans="1:11" x14ac:dyDescent="0.25">
      <c r="A896" s="443"/>
      <c r="B896" s="349"/>
      <c r="C896" s="293"/>
      <c r="D896" s="443"/>
      <c r="E896" s="443"/>
      <c r="F896" s="443"/>
      <c r="G896" s="443"/>
      <c r="H896" s="474"/>
      <c r="I896" s="293"/>
      <c r="J896" s="517"/>
      <c r="K896" s="456"/>
    </row>
    <row r="897" spans="1:11" x14ac:dyDescent="0.25">
      <c r="A897" s="437" t="s">
        <v>2163</v>
      </c>
      <c r="B897" s="438" t="s">
        <v>2164</v>
      </c>
      <c r="C897" s="439"/>
      <c r="D897" s="440"/>
      <c r="E897" s="440"/>
      <c r="F897" s="440"/>
      <c r="G897" s="440"/>
      <c r="H897" s="441"/>
      <c r="I897" s="440"/>
      <c r="J897" s="442"/>
      <c r="K897" s="442"/>
    </row>
    <row r="898" ht="28" customHeight="1" spans="1:11" x14ac:dyDescent="0.25" outlineLevel="1" collapsed="1">
      <c r="A898" s="293" t="s">
        <v>306</v>
      </c>
      <c r="B898" s="349" t="s">
        <v>2122</v>
      </c>
      <c r="C898" s="293" t="s">
        <v>2123</v>
      </c>
      <c r="D898" s="293" t="s">
        <v>2124</v>
      </c>
      <c r="E898" s="470"/>
      <c r="F898" s="470"/>
      <c r="G898" s="470"/>
      <c r="H898" s="446">
        <f t="shared" ref="H898:H907" si="173">IF(K$9=1,E898,IF(K$9=2,(E898+F898)/2,(E898+F898+G898)/3))</f>
        <v>0</v>
      </c>
      <c r="I898" s="470"/>
      <c r="J898" s="471"/>
      <c r="K898" s="456"/>
    </row>
    <row r="899" ht="14.5" customHeight="1" spans="1:11" x14ac:dyDescent="0.25" outlineLevel="1" collapsed="1">
      <c r="A899" s="293" t="s">
        <v>308</v>
      </c>
      <c r="B899" s="349" t="s">
        <v>2165</v>
      </c>
      <c r="C899" s="293"/>
      <c r="D899" s="443" t="s">
        <v>2126</v>
      </c>
      <c r="E899" s="470"/>
      <c r="F899" s="470"/>
      <c r="G899" s="470"/>
      <c r="H899" s="446">
        <f t="shared" si="173"/>
        <v>0</v>
      </c>
      <c r="I899" s="470"/>
      <c r="J899" s="471"/>
      <c r="K899" s="456"/>
    </row>
    <row r="900" ht="14.5" customHeight="1" spans="1:11" x14ac:dyDescent="0.25" outlineLevel="1" collapsed="1">
      <c r="A900" s="422" t="s">
        <v>2166</v>
      </c>
      <c r="B900" s="435" t="s">
        <v>2153</v>
      </c>
      <c r="C900" s="422"/>
      <c r="D900" s="451" t="s">
        <v>2126</v>
      </c>
      <c r="E900" s="540"/>
      <c r="F900" s="540">
        <f>F899*0.95</f>
        <v>0</v>
      </c>
      <c r="G900" s="540">
        <f>G899*0.95</f>
        <v>0</v>
      </c>
      <c r="H900" s="446">
        <f t="shared" si="173"/>
        <v>0</v>
      </c>
      <c r="I900" s="540">
        <f>I899*0.95</f>
        <v>0</v>
      </c>
      <c r="J900" s="471"/>
      <c r="K900" s="456"/>
    </row>
    <row r="901" ht="14.5" customHeight="1" spans="1:11" x14ac:dyDescent="0.25" outlineLevel="1" collapsed="1">
      <c r="A901" s="293" t="s">
        <v>312</v>
      </c>
      <c r="B901" s="349" t="s">
        <v>2128</v>
      </c>
      <c r="C901" s="293" t="s">
        <v>61</v>
      </c>
      <c r="D901" s="443" t="s">
        <v>1493</v>
      </c>
      <c r="E901" s="471"/>
      <c r="F901" s="471"/>
      <c r="G901" s="445"/>
      <c r="H901" s="446">
        <f t="shared" si="173"/>
        <v>0</v>
      </c>
      <c r="I901" s="471"/>
      <c r="J901" s="471"/>
      <c r="K901" s="456"/>
    </row>
    <row r="902" ht="14.5" customHeight="1" spans="1:11" x14ac:dyDescent="0.25" outlineLevel="1" collapsed="1">
      <c r="A902" s="422" t="s">
        <v>314</v>
      </c>
      <c r="B902" s="435" t="s">
        <v>2167</v>
      </c>
      <c r="C902" s="422"/>
      <c r="D902" s="451"/>
      <c r="E902" s="471"/>
      <c r="F902" s="471"/>
      <c r="G902" s="445"/>
      <c r="H902" s="446">
        <f t="shared" si="173"/>
        <v>0</v>
      </c>
      <c r="I902" s="471"/>
      <c r="J902" s="471"/>
      <c r="K902" s="456"/>
    </row>
    <row r="903" ht="14.5" customHeight="1" spans="1:11" x14ac:dyDescent="0.25" outlineLevel="1" collapsed="1">
      <c r="A903" s="422" t="s">
        <v>316</v>
      </c>
      <c r="B903" s="435" t="s">
        <v>2168</v>
      </c>
      <c r="C903" s="422"/>
      <c r="D903" s="451"/>
      <c r="E903" s="245"/>
      <c r="F903" s="245"/>
      <c r="G903" s="684"/>
      <c r="H903" s="446">
        <f t="shared" si="173"/>
        <v>100</v>
      </c>
      <c r="I903" s="245"/>
      <c r="J903" s="471"/>
      <c r="K903" s="456"/>
    </row>
    <row r="904" ht="14.5" customHeight="1" spans="1:11" x14ac:dyDescent="0.25" outlineLevel="1" collapsed="1">
      <c r="A904" s="293" t="s">
        <v>318</v>
      </c>
      <c r="B904" s="349" t="s">
        <v>2131</v>
      </c>
      <c r="C904" s="293" t="s">
        <v>61</v>
      </c>
      <c r="D904" s="443" t="s">
        <v>1456</v>
      </c>
      <c r="E904" s="228"/>
      <c r="F904" s="471"/>
      <c r="G904" s="445"/>
      <c r="H904" s="446">
        <f t="shared" si="173"/>
        <v>0</v>
      </c>
      <c r="I904" s="228"/>
      <c r="J904" s="228"/>
      <c r="K904" s="456"/>
    </row>
    <row r="905" ht="14.5" customHeight="1" spans="1:11" x14ac:dyDescent="0.25" outlineLevel="1" collapsed="1">
      <c r="A905" s="293" t="s">
        <v>478</v>
      </c>
      <c r="B905" s="349" t="s">
        <v>2155</v>
      </c>
      <c r="C905" s="293" t="s">
        <v>61</v>
      </c>
      <c r="D905" s="443" t="s">
        <v>1456</v>
      </c>
      <c r="E905" s="228"/>
      <c r="F905" s="471"/>
      <c r="G905" s="445"/>
      <c r="H905" s="446">
        <f t="shared" si="173"/>
        <v>0</v>
      </c>
      <c r="I905" s="228"/>
      <c r="J905" s="228"/>
      <c r="K905" s="456"/>
    </row>
    <row r="906" ht="14.5" customHeight="1" spans="1:11" x14ac:dyDescent="0.25" outlineLevel="1" collapsed="1">
      <c r="A906" s="293" t="s">
        <v>481</v>
      </c>
      <c r="B906" s="349" t="s">
        <v>2169</v>
      </c>
      <c r="C906" s="293" t="s">
        <v>61</v>
      </c>
      <c r="D906" s="443" t="s">
        <v>1456</v>
      </c>
      <c r="E906" s="228"/>
      <c r="F906" s="445"/>
      <c r="G906" s="445"/>
      <c r="H906" s="446">
        <f t="shared" si="173"/>
        <v>0</v>
      </c>
      <c r="I906" s="228"/>
      <c r="J906" s="228"/>
      <c r="K906" s="456"/>
    </row>
    <row r="907" ht="14.5" customHeight="1" spans="1:11" x14ac:dyDescent="0.25" outlineLevel="1" collapsed="1">
      <c r="A907" s="293" t="s">
        <v>483</v>
      </c>
      <c r="B907" s="349" t="s">
        <v>2134</v>
      </c>
      <c r="C907" s="293" t="s">
        <v>61</v>
      </c>
      <c r="D907" s="443" t="s">
        <v>1456</v>
      </c>
      <c r="E907" s="228"/>
      <c r="F907" s="445"/>
      <c r="G907" s="445"/>
      <c r="H907" s="446">
        <f t="shared" si="173"/>
        <v>0</v>
      </c>
      <c r="I907" s="228"/>
      <c r="J907" s="228"/>
      <c r="K907" s="456"/>
    </row>
    <row r="908" ht="14.5" customHeight="1" spans="1:11" x14ac:dyDescent="0.25" outlineLevel="1" collapsed="1">
      <c r="A908" s="604" t="s">
        <v>485</v>
      </c>
      <c r="B908" s="605" t="s">
        <v>2170</v>
      </c>
      <c r="C908" s="604" t="s">
        <v>61</v>
      </c>
      <c r="D908" s="678" t="s">
        <v>2136</v>
      </c>
      <c r="E908" s="662">
        <f>IFERROR((IF(E902=0,'Emission Factor &amp; GWP Backup'!$E$28,3.664*(E902/100)/E900*1000)),0)</f>
        <v>0.39607127999999325</v>
      </c>
      <c r="F908" s="662">
        <f>IFERROR((IF(F902=0,'Emission Factor &amp; GWP Backup'!$E$28,3.664*(F902/100)/F900*1000)),0)</f>
        <v>0.39607127999999325</v>
      </c>
      <c r="G908" s="662">
        <f>IFERROR((IF(G902=0,'Emission Factor &amp; GWP Backup'!$E$28,3.664*(G902/100)/G900*1000)),0)</f>
        <v>0.39607127999999325</v>
      </c>
      <c r="H908" s="662">
        <f>IFERROR((IF(H902=0,'Emission Factor &amp; GWP Backup'!$E$28,3.664*(H902/100)/H900*1000)),0)</f>
        <v>0.39607127999999325</v>
      </c>
      <c r="I908" s="662">
        <f>IFERROR((IF(I902=0,'Emission Factor &amp; GWP Backup'!$E$28,3.664*(I902/100)/I900*1000)),0)</f>
        <v>0.39607127999999325</v>
      </c>
      <c r="J908" s="228"/>
      <c r="K908" s="456"/>
    </row>
    <row r="909" spans="1:11" x14ac:dyDescent="0.25" outlineLevel="1" collapsed="1">
      <c r="A909" s="452" t="s">
        <v>488</v>
      </c>
      <c r="B909" s="453" t="s">
        <v>2137</v>
      </c>
      <c r="C909" s="452" t="s">
        <v>2138</v>
      </c>
      <c r="D909" s="452" t="s">
        <v>1456</v>
      </c>
      <c r="E909" s="446">
        <f t="shared" ref="E909" si="174">E905+E907+E906</f>
        <v>0</v>
      </c>
      <c r="F909" s="446">
        <f t="shared" ref="F909:I909" si="175">F905+F907+F906</f>
        <v>0</v>
      </c>
      <c r="G909" s="446">
        <f t="shared" si="175"/>
        <v>0</v>
      </c>
      <c r="H909" s="446">
        <f t="shared" si="175"/>
        <v>0</v>
      </c>
      <c r="I909" s="446">
        <f t="shared" si="175"/>
        <v>0</v>
      </c>
      <c r="J909" s="517"/>
      <c r="K909" s="456"/>
    </row>
    <row r="910" spans="1:11" x14ac:dyDescent="0.25" outlineLevel="1" collapsed="1">
      <c r="A910" s="452" t="s">
        <v>403</v>
      </c>
      <c r="B910" s="453" t="s">
        <v>2139</v>
      </c>
      <c r="C910" s="452" t="s">
        <v>2158</v>
      </c>
      <c r="D910" s="452" t="s">
        <v>1826</v>
      </c>
      <c r="E910" s="446">
        <f t="shared" ref="E910" si="176">E899*E905/1000</f>
        <v>0</v>
      </c>
      <c r="F910" s="446">
        <f t="shared" ref="F910:I910" si="177">F899*F905/1000</f>
        <v>0</v>
      </c>
      <c r="G910" s="446">
        <f t="shared" si="177"/>
        <v>0</v>
      </c>
      <c r="H910" s="446">
        <f t="shared" si="177"/>
        <v>0</v>
      </c>
      <c r="I910" s="446">
        <f t="shared" si="177"/>
        <v>0</v>
      </c>
      <c r="J910" s="517"/>
      <c r="K910" s="456"/>
    </row>
    <row r="911" spans="1:11" x14ac:dyDescent="0.25" outlineLevel="1" collapsed="1">
      <c r="A911" s="452" t="s">
        <v>407</v>
      </c>
      <c r="B911" s="453" t="s">
        <v>2171</v>
      </c>
      <c r="C911" s="452" t="s">
        <v>2160</v>
      </c>
      <c r="D911" s="452" t="s">
        <v>1826</v>
      </c>
      <c r="E911" s="446">
        <f t="shared" ref="E911" si="178">E906*E899/1000</f>
        <v>0</v>
      </c>
      <c r="F911" s="446">
        <f t="shared" ref="F911:I911" si="179">F906*F899/1000</f>
        <v>0</v>
      </c>
      <c r="G911" s="446">
        <f t="shared" si="179"/>
        <v>0</v>
      </c>
      <c r="H911" s="446">
        <f t="shared" si="179"/>
        <v>0</v>
      </c>
      <c r="I911" s="446">
        <f t="shared" si="179"/>
        <v>0</v>
      </c>
      <c r="J911" s="517"/>
      <c r="K911" s="456"/>
    </row>
    <row r="912" spans="1:11" x14ac:dyDescent="0.25" outlineLevel="1" collapsed="1">
      <c r="A912" s="452" t="s">
        <v>410</v>
      </c>
      <c r="B912" s="453" t="s">
        <v>2143</v>
      </c>
      <c r="C912" s="452" t="s">
        <v>2161</v>
      </c>
      <c r="D912" s="452" t="s">
        <v>1826</v>
      </c>
      <c r="E912" s="446">
        <f t="shared" ref="E912" si="180">E899*E907/1000</f>
        <v>0</v>
      </c>
      <c r="F912" s="446">
        <f t="shared" ref="F912:I912" si="181">F899*F907/1000</f>
        <v>0</v>
      </c>
      <c r="G912" s="446">
        <f t="shared" si="181"/>
        <v>0</v>
      </c>
      <c r="H912" s="446">
        <f t="shared" si="181"/>
        <v>0</v>
      </c>
      <c r="I912" s="446">
        <f t="shared" si="181"/>
        <v>0</v>
      </c>
      <c r="J912" s="517"/>
      <c r="K912" s="456"/>
    </row>
    <row r="913" spans="1:11" x14ac:dyDescent="0.25" outlineLevel="1" collapsed="1">
      <c r="A913" s="452" t="s">
        <v>413</v>
      </c>
      <c r="B913" s="453" t="s">
        <v>2145</v>
      </c>
      <c r="C913" s="452" t="s">
        <v>2172</v>
      </c>
      <c r="D913" s="452" t="s">
        <v>1826</v>
      </c>
      <c r="E913" s="446">
        <f t="shared" ref="E913" si="182">E910+E911</f>
        <v>0</v>
      </c>
      <c r="F913" s="446">
        <f t="shared" ref="F913:I913" si="183">F910+F911</f>
        <v>0</v>
      </c>
      <c r="G913" s="446">
        <f t="shared" si="183"/>
        <v>0</v>
      </c>
      <c r="H913" s="446">
        <f t="shared" si="183"/>
        <v>0</v>
      </c>
      <c r="I913" s="446">
        <f t="shared" si="183"/>
        <v>0</v>
      </c>
      <c r="J913" s="517"/>
      <c r="K913" s="456"/>
    </row>
    <row r="914" ht="18" customHeight="1" spans="1:11" x14ac:dyDescent="0.25" outlineLevel="1" collapsed="1">
      <c r="A914" s="604" t="s">
        <v>416</v>
      </c>
      <c r="B914" s="605" t="s">
        <v>2146</v>
      </c>
      <c r="C914" s="604"/>
      <c r="D914" s="678" t="s">
        <v>2147</v>
      </c>
      <c r="E914" s="606">
        <f t="shared" ref="E914" si="184">E905*1000*E$900*E$903/100*E$908/10^6</f>
        <v>0</v>
      </c>
      <c r="F914" s="606">
        <f t="shared" ref="F914:I914" si="185">F905*1000*F$900*F$903/100*F$908/10^6</f>
        <v>0</v>
      </c>
      <c r="G914" s="606">
        <f t="shared" si="185"/>
        <v>0</v>
      </c>
      <c r="H914" s="606">
        <f t="shared" si="185"/>
        <v>0</v>
      </c>
      <c r="I914" s="606">
        <f t="shared" si="185"/>
        <v>0</v>
      </c>
      <c r="J914" s="517"/>
      <c r="K914" s="456"/>
    </row>
    <row r="915" spans="1:11" x14ac:dyDescent="0.25" outlineLevel="1" collapsed="1">
      <c r="A915" s="604" t="s">
        <v>419</v>
      </c>
      <c r="B915" s="605" t="s">
        <v>2162</v>
      </c>
      <c r="C915" s="604"/>
      <c r="D915" s="678" t="s">
        <v>2147</v>
      </c>
      <c r="E915" s="606">
        <f t="shared" ref="E915" si="186">E906*1000*E$900*E$903/100*E$908/10^6</f>
        <v>0</v>
      </c>
      <c r="F915" s="606">
        <f t="shared" ref="F915:I915" si="187">F906*1000*F$900*F$903/100*F$908/10^6</f>
        <v>0</v>
      </c>
      <c r="G915" s="606">
        <f t="shared" si="187"/>
        <v>0</v>
      </c>
      <c r="H915" s="606">
        <f t="shared" si="187"/>
        <v>0</v>
      </c>
      <c r="I915" s="606">
        <f t="shared" si="187"/>
        <v>0</v>
      </c>
      <c r="J915" s="517"/>
      <c r="K915" s="456"/>
    </row>
    <row r="916" spans="1:11" x14ac:dyDescent="0.25" outlineLevel="1" collapsed="1">
      <c r="A916" s="604" t="s">
        <v>423</v>
      </c>
      <c r="B916" s="605" t="s">
        <v>2149</v>
      </c>
      <c r="C916" s="604"/>
      <c r="D916" s="678" t="s">
        <v>2147</v>
      </c>
      <c r="E916" s="606">
        <f t="shared" ref="E916" si="188">E907*1000*E$900*E$903/100*E$908/10^6</f>
        <v>0</v>
      </c>
      <c r="F916" s="606">
        <f t="shared" ref="F916:I916" si="189">F907*1000*F$900*F$903/100*F$908/10^6</f>
        <v>0</v>
      </c>
      <c r="G916" s="606">
        <f t="shared" si="189"/>
        <v>0</v>
      </c>
      <c r="H916" s="606">
        <f t="shared" si="189"/>
        <v>0</v>
      </c>
      <c r="I916" s="606">
        <f t="shared" si="189"/>
        <v>0</v>
      </c>
      <c r="J916" s="517"/>
      <c r="K916" s="456"/>
    </row>
    <row r="917" spans="1:11" x14ac:dyDescent="0.25">
      <c r="A917" s="443"/>
      <c r="B917" s="349"/>
      <c r="C917" s="293"/>
      <c r="D917" s="443"/>
      <c r="E917" s="443"/>
      <c r="F917" s="443"/>
      <c r="G917" s="443"/>
      <c r="H917" s="474"/>
      <c r="I917" s="293"/>
      <c r="J917" s="517"/>
      <c r="K917" s="456"/>
    </row>
    <row r="918" spans="1:11" x14ac:dyDescent="0.25">
      <c r="A918" s="437" t="s">
        <v>2173</v>
      </c>
      <c r="B918" s="438" t="s">
        <v>2174</v>
      </c>
      <c r="C918" s="439"/>
      <c r="D918" s="440"/>
      <c r="E918" s="440"/>
      <c r="F918" s="440"/>
      <c r="G918" s="440"/>
      <c r="H918" s="441"/>
      <c r="I918" s="440"/>
      <c r="J918" s="442"/>
      <c r="K918" s="442"/>
    </row>
    <row r="919" ht="28" customHeight="1" spans="1:11" x14ac:dyDescent="0.25" outlineLevel="1" collapsed="1">
      <c r="A919" s="293" t="s">
        <v>306</v>
      </c>
      <c r="B919" s="349" t="s">
        <v>2122</v>
      </c>
      <c r="C919" s="293" t="s">
        <v>2123</v>
      </c>
      <c r="D919" s="293" t="s">
        <v>2124</v>
      </c>
      <c r="E919" s="470"/>
      <c r="F919" s="470"/>
      <c r="G919" s="470"/>
      <c r="H919" s="446">
        <f t="shared" ref="H919:H928" si="190">IF(K$9=1,E919,IF(K$9=2,(E919+F919)/2,(E919+F919+G919)/3))</f>
        <v>0</v>
      </c>
      <c r="I919" s="470"/>
      <c r="J919" s="471"/>
      <c r="K919" s="456"/>
    </row>
    <row r="920" ht="14.5" customHeight="1" spans="1:11" x14ac:dyDescent="0.25" outlineLevel="1" collapsed="1">
      <c r="A920" s="293" t="s">
        <v>308</v>
      </c>
      <c r="B920" s="349" t="s">
        <v>2165</v>
      </c>
      <c r="C920" s="293" t="s">
        <v>61</v>
      </c>
      <c r="D920" s="443" t="s">
        <v>2126</v>
      </c>
      <c r="E920" s="470"/>
      <c r="F920" s="470"/>
      <c r="G920" s="470"/>
      <c r="H920" s="446">
        <f t="shared" si="190"/>
        <v>0</v>
      </c>
      <c r="I920" s="470"/>
      <c r="J920" s="471"/>
      <c r="K920" s="456"/>
    </row>
    <row r="921" ht="14.5" customHeight="1" spans="1:11" x14ac:dyDescent="0.25" outlineLevel="1" collapsed="1">
      <c r="A921" s="422" t="s">
        <v>310</v>
      </c>
      <c r="B921" s="435" t="s">
        <v>2153</v>
      </c>
      <c r="C921" s="422" t="s">
        <v>61</v>
      </c>
      <c r="D921" s="451" t="s">
        <v>2126</v>
      </c>
      <c r="E921" s="540"/>
      <c r="F921" s="540">
        <f t="shared" ref="F921:G921" si="191">F920*0.95</f>
        <v>0</v>
      </c>
      <c r="G921" s="540">
        <f t="shared" si="191"/>
        <v>0</v>
      </c>
      <c r="H921" s="446">
        <f t="shared" si="190"/>
        <v>0</v>
      </c>
      <c r="I921" s="540">
        <f>I920*0.95</f>
        <v>0</v>
      </c>
      <c r="J921" s="471"/>
      <c r="K921" s="456"/>
    </row>
    <row r="922" ht="14.5" customHeight="1" spans="1:11" x14ac:dyDescent="0.25" outlineLevel="1" collapsed="1">
      <c r="A922" s="293" t="s">
        <v>312</v>
      </c>
      <c r="B922" s="349" t="s">
        <v>2128</v>
      </c>
      <c r="C922" s="293" t="s">
        <v>61</v>
      </c>
      <c r="D922" s="443" t="s">
        <v>1493</v>
      </c>
      <c r="E922" s="470"/>
      <c r="F922" s="470"/>
      <c r="G922" s="470"/>
      <c r="H922" s="446">
        <f t="shared" si="190"/>
        <v>0</v>
      </c>
      <c r="I922" s="470"/>
      <c r="J922" s="471"/>
      <c r="K922" s="456"/>
    </row>
    <row r="923" ht="14.5" customHeight="1" spans="1:11" x14ac:dyDescent="0.25" outlineLevel="1" collapsed="1">
      <c r="A923" s="422" t="s">
        <v>314</v>
      </c>
      <c r="B923" s="435" t="s">
        <v>2175</v>
      </c>
      <c r="C923" s="422" t="s">
        <v>61</v>
      </c>
      <c r="D923" s="451" t="s">
        <v>1493</v>
      </c>
      <c r="E923" s="471"/>
      <c r="F923" s="471"/>
      <c r="G923" s="471"/>
      <c r="H923" s="446">
        <f t="shared" si="190"/>
        <v>0</v>
      </c>
      <c r="I923" s="471"/>
      <c r="J923" s="471"/>
      <c r="K923" s="456"/>
    </row>
    <row r="924" ht="14.5" customHeight="1" spans="1:11" x14ac:dyDescent="0.25" outlineLevel="1" collapsed="1">
      <c r="A924" s="422" t="s">
        <v>316</v>
      </c>
      <c r="B924" s="435" t="s">
        <v>2130</v>
      </c>
      <c r="C924" s="422" t="s">
        <v>61</v>
      </c>
      <c r="D924" s="451" t="s">
        <v>1493</v>
      </c>
      <c r="E924" s="245"/>
      <c r="F924" s="245"/>
      <c r="G924" s="245"/>
      <c r="H924" s="446">
        <f t="shared" si="190"/>
        <v>100</v>
      </c>
      <c r="I924" s="245"/>
      <c r="J924" s="471"/>
      <c r="K924" s="456"/>
    </row>
    <row r="925" ht="14.5" customHeight="1" spans="1:11" x14ac:dyDescent="0.25" outlineLevel="1" collapsed="1">
      <c r="A925" s="293" t="s">
        <v>318</v>
      </c>
      <c r="B925" s="349" t="s">
        <v>2131</v>
      </c>
      <c r="C925" s="293" t="s">
        <v>61</v>
      </c>
      <c r="D925" s="443" t="s">
        <v>1456</v>
      </c>
      <c r="E925" s="228"/>
      <c r="F925" s="228"/>
      <c r="G925" s="228"/>
      <c r="H925" s="446">
        <f t="shared" si="190"/>
        <v>0</v>
      </c>
      <c r="I925" s="228"/>
      <c r="J925" s="228"/>
      <c r="K925" s="456"/>
    </row>
    <row r="926" ht="14.5" customHeight="1" spans="1:11" x14ac:dyDescent="0.25" outlineLevel="1" collapsed="1">
      <c r="A926" s="293" t="s">
        <v>478</v>
      </c>
      <c r="B926" s="349" t="s">
        <v>2155</v>
      </c>
      <c r="C926" s="293" t="s">
        <v>61</v>
      </c>
      <c r="D926" s="443" t="s">
        <v>1456</v>
      </c>
      <c r="E926" s="228"/>
      <c r="F926" s="445"/>
      <c r="G926" s="445"/>
      <c r="H926" s="446">
        <f t="shared" si="190"/>
        <v>0</v>
      </c>
      <c r="I926" s="228"/>
      <c r="J926" s="228"/>
      <c r="K926" s="456"/>
    </row>
    <row r="927" ht="14.5" customHeight="1" spans="1:11" x14ac:dyDescent="0.25" outlineLevel="1" collapsed="1">
      <c r="A927" s="293" t="s">
        <v>481</v>
      </c>
      <c r="B927" s="349" t="s">
        <v>2169</v>
      </c>
      <c r="C927" s="293" t="s">
        <v>61</v>
      </c>
      <c r="D927" s="443" t="s">
        <v>1456</v>
      </c>
      <c r="E927" s="228"/>
      <c r="F927" s="445"/>
      <c r="G927" s="445"/>
      <c r="H927" s="446">
        <f t="shared" si="190"/>
        <v>0</v>
      </c>
      <c r="I927" s="228"/>
      <c r="J927" s="228"/>
      <c r="K927" s="456"/>
    </row>
    <row r="928" ht="14.5" customHeight="1" spans="1:11" x14ac:dyDescent="0.25" outlineLevel="1" collapsed="1">
      <c r="A928" s="293" t="s">
        <v>483</v>
      </c>
      <c r="B928" s="349" t="s">
        <v>2134</v>
      </c>
      <c r="C928" s="293" t="s">
        <v>61</v>
      </c>
      <c r="D928" s="443" t="s">
        <v>1456</v>
      </c>
      <c r="E928" s="228"/>
      <c r="F928" s="445"/>
      <c r="G928" s="445"/>
      <c r="H928" s="446">
        <f t="shared" si="190"/>
        <v>0</v>
      </c>
      <c r="I928" s="228"/>
      <c r="J928" s="228"/>
      <c r="K928" s="456"/>
    </row>
    <row r="929" ht="14.5" customHeight="1" spans="1:11" x14ac:dyDescent="0.25" outlineLevel="1" collapsed="1">
      <c r="A929" s="604" t="s">
        <v>485</v>
      </c>
      <c r="B929" s="605" t="s">
        <v>2176</v>
      </c>
      <c r="C929" s="604" t="s">
        <v>61</v>
      </c>
      <c r="D929" s="678" t="s">
        <v>2136</v>
      </c>
      <c r="E929" s="662">
        <f>IFERROR((IF(E923=0,'Emission Factor &amp; GWP Backup'!$E$30,3.664*(E923/100)/E921*1000)),0)</f>
        <v>0.4228667999999928</v>
      </c>
      <c r="F929" s="662">
        <f>IFERROR((IF(F923=0,'Emission Factor &amp; GWP Backup'!$E$30,3.664*(F923/100)/F921*1000)),0)</f>
        <v>0.4228667999999928</v>
      </c>
      <c r="G929" s="662">
        <f>IFERROR((IF(G923=0,'Emission Factor &amp; GWP Backup'!$E$30,3.664*(G923/100)/G921*1000)),0)</f>
        <v>0.4228667999999928</v>
      </c>
      <c r="H929" s="662">
        <f>IFERROR((IF(H923=0,'Emission Factor &amp; GWP Backup'!$E$30,3.664*(H923/100)/H921*1000)),0)</f>
        <v>0.4228667999999928</v>
      </c>
      <c r="I929" s="662">
        <f>IFERROR((IF(I923=0,'Emission Factor &amp; GWP Backup'!$E$30,3.664*(I923/100)/I921*1000)),0)</f>
        <v>0.4228667999999928</v>
      </c>
      <c r="J929" s="228"/>
      <c r="K929" s="456"/>
    </row>
    <row r="930" spans="1:11" x14ac:dyDescent="0.25" outlineLevel="1" collapsed="1">
      <c r="A930" s="452" t="s">
        <v>488</v>
      </c>
      <c r="B930" s="453" t="s">
        <v>2137</v>
      </c>
      <c r="C930" s="452" t="s">
        <v>2138</v>
      </c>
      <c r="D930" s="452" t="s">
        <v>1456</v>
      </c>
      <c r="E930" s="446">
        <f t="shared" ref="E930" si="192">E926+E928+E927</f>
        <v>0</v>
      </c>
      <c r="F930" s="446">
        <f t="shared" ref="F930:I930" si="193">F926+F928+F927</f>
        <v>0</v>
      </c>
      <c r="G930" s="446">
        <f t="shared" si="193"/>
        <v>0</v>
      </c>
      <c r="H930" s="446">
        <f t="shared" si="193"/>
        <v>0</v>
      </c>
      <c r="I930" s="446">
        <f t="shared" si="193"/>
        <v>0</v>
      </c>
      <c r="J930" s="517"/>
      <c r="K930" s="456"/>
    </row>
    <row r="931" spans="1:11" x14ac:dyDescent="0.25" outlineLevel="1" collapsed="1">
      <c r="A931" s="452" t="s">
        <v>403</v>
      </c>
      <c r="B931" s="453" t="s">
        <v>2139</v>
      </c>
      <c r="C931" s="452" t="s">
        <v>2158</v>
      </c>
      <c r="D931" s="452" t="s">
        <v>1826</v>
      </c>
      <c r="E931" s="446">
        <f t="shared" ref="E931" si="194">E920*E926/1000</f>
        <v>0</v>
      </c>
      <c r="F931" s="446">
        <f t="shared" ref="F931:I931" si="195">F920*F926/1000</f>
        <v>0</v>
      </c>
      <c r="G931" s="446">
        <f t="shared" si="195"/>
        <v>0</v>
      </c>
      <c r="H931" s="446">
        <f t="shared" si="195"/>
        <v>0</v>
      </c>
      <c r="I931" s="446">
        <f t="shared" si="195"/>
        <v>0</v>
      </c>
      <c r="J931" s="517"/>
      <c r="K931" s="456"/>
    </row>
    <row r="932" spans="1:11" x14ac:dyDescent="0.25" outlineLevel="1" collapsed="1">
      <c r="A932" s="452" t="s">
        <v>407</v>
      </c>
      <c r="B932" s="453" t="s">
        <v>2171</v>
      </c>
      <c r="C932" s="452" t="s">
        <v>2160</v>
      </c>
      <c r="D932" s="452" t="s">
        <v>1826</v>
      </c>
      <c r="E932" s="446">
        <f t="shared" ref="E932" si="196">E920*E927/1000</f>
        <v>0</v>
      </c>
      <c r="F932" s="446">
        <f t="shared" ref="F932:I932" si="197">F920*F927/1000</f>
        <v>0</v>
      </c>
      <c r="G932" s="446">
        <f t="shared" si="197"/>
        <v>0</v>
      </c>
      <c r="H932" s="446">
        <f t="shared" si="197"/>
        <v>0</v>
      </c>
      <c r="I932" s="446">
        <f t="shared" si="197"/>
        <v>0</v>
      </c>
      <c r="J932" s="517"/>
      <c r="K932" s="456"/>
    </row>
    <row r="933" spans="1:11" x14ac:dyDescent="0.25" outlineLevel="1" collapsed="1">
      <c r="A933" s="452" t="s">
        <v>410</v>
      </c>
      <c r="B933" s="453" t="s">
        <v>2143</v>
      </c>
      <c r="C933" s="452" t="s">
        <v>2161</v>
      </c>
      <c r="D933" s="452" t="s">
        <v>1826</v>
      </c>
      <c r="E933" s="446">
        <f t="shared" ref="E933" si="198">E920*E928/1000</f>
        <v>0</v>
      </c>
      <c r="F933" s="446">
        <f t="shared" ref="F933:I933" si="199">F920*F928/1000</f>
        <v>0</v>
      </c>
      <c r="G933" s="446">
        <f t="shared" si="199"/>
        <v>0</v>
      </c>
      <c r="H933" s="446">
        <f t="shared" si="199"/>
        <v>0</v>
      </c>
      <c r="I933" s="446">
        <f t="shared" si="199"/>
        <v>0</v>
      </c>
      <c r="J933" s="517"/>
      <c r="K933" s="456"/>
    </row>
    <row r="934" spans="1:11" x14ac:dyDescent="0.25" outlineLevel="1" collapsed="1">
      <c r="A934" s="452" t="s">
        <v>413</v>
      </c>
      <c r="B934" s="453" t="s">
        <v>2145</v>
      </c>
      <c r="C934" s="452"/>
      <c r="D934" s="452" t="s">
        <v>1826</v>
      </c>
      <c r="E934" s="446">
        <f t="shared" ref="E934" si="200">E931+E932</f>
        <v>0</v>
      </c>
      <c r="F934" s="446">
        <f t="shared" ref="F934:I934" si="201">F931+F932</f>
        <v>0</v>
      </c>
      <c r="G934" s="446">
        <f t="shared" si="201"/>
        <v>0</v>
      </c>
      <c r="H934" s="446">
        <f t="shared" si="201"/>
        <v>0</v>
      </c>
      <c r="I934" s="446">
        <f t="shared" si="201"/>
        <v>0</v>
      </c>
      <c r="J934" s="517"/>
      <c r="K934" s="456"/>
    </row>
    <row r="935" ht="17.25" customHeight="1" spans="1:11" x14ac:dyDescent="0.25" outlineLevel="1" collapsed="1">
      <c r="A935" s="604" t="s">
        <v>416</v>
      </c>
      <c r="B935" s="605" t="s">
        <v>2146</v>
      </c>
      <c r="C935" s="604"/>
      <c r="D935" s="678" t="s">
        <v>2147</v>
      </c>
      <c r="E935" s="606">
        <f t="shared" ref="E935" si="202">E926*E$921*1000*E$924/100*E$929/10^6</f>
        <v>0</v>
      </c>
      <c r="F935" s="606">
        <f t="shared" ref="F935:I935" si="203">F926*F$921*1000*F$924/100*F$929/10^6</f>
        <v>0</v>
      </c>
      <c r="G935" s="606">
        <f t="shared" si="203"/>
        <v>0</v>
      </c>
      <c r="H935" s="606">
        <f t="shared" si="203"/>
        <v>0</v>
      </c>
      <c r="I935" s="606">
        <f t="shared" si="203"/>
        <v>0</v>
      </c>
      <c r="J935" s="517"/>
      <c r="K935" s="456"/>
    </row>
    <row r="936" spans="1:11" x14ac:dyDescent="0.25" outlineLevel="1" collapsed="1">
      <c r="A936" s="604" t="s">
        <v>419</v>
      </c>
      <c r="B936" s="605" t="s">
        <v>2162</v>
      </c>
      <c r="C936" s="604"/>
      <c r="D936" s="678" t="s">
        <v>2147</v>
      </c>
      <c r="E936" s="606">
        <f t="shared" ref="E936" si="204">E927*E$921*1000*E$924/100*E$929/10^6</f>
        <v>0</v>
      </c>
      <c r="F936" s="606">
        <f t="shared" ref="F936:I936" si="205">F927*F$921*1000*F$924/100*F$929/10^6</f>
        <v>0</v>
      </c>
      <c r="G936" s="606">
        <f t="shared" si="205"/>
        <v>0</v>
      </c>
      <c r="H936" s="606">
        <f t="shared" si="205"/>
        <v>0</v>
      </c>
      <c r="I936" s="606">
        <f t="shared" si="205"/>
        <v>0</v>
      </c>
      <c r="J936" s="517"/>
      <c r="K936" s="456"/>
    </row>
    <row r="937" spans="1:11" x14ac:dyDescent="0.25" outlineLevel="1" collapsed="1">
      <c r="A937" s="604" t="s">
        <v>423</v>
      </c>
      <c r="B937" s="605" t="s">
        <v>2149</v>
      </c>
      <c r="C937" s="604"/>
      <c r="D937" s="678" t="s">
        <v>2147</v>
      </c>
      <c r="E937" s="606">
        <f t="shared" ref="E937" si="206">E928*E$921*1000*E$924/100*E$929/10^6</f>
        <v>0</v>
      </c>
      <c r="F937" s="606">
        <f t="shared" ref="F937:I937" si="207">F928*F$921*1000*F$924/100*F$929/10^6</f>
        <v>0</v>
      </c>
      <c r="G937" s="606">
        <f t="shared" si="207"/>
        <v>0</v>
      </c>
      <c r="H937" s="606">
        <f t="shared" si="207"/>
        <v>0</v>
      </c>
      <c r="I937" s="606">
        <f t="shared" si="207"/>
        <v>0</v>
      </c>
      <c r="J937" s="517"/>
      <c r="K937" s="456"/>
    </row>
    <row r="938" spans="1:11" x14ac:dyDescent="0.25">
      <c r="A938" s="443"/>
      <c r="B938" s="349"/>
      <c r="C938" s="293"/>
      <c r="D938" s="443"/>
      <c r="E938" s="443"/>
      <c r="F938" s="443"/>
      <c r="G938" s="443"/>
      <c r="H938" s="474"/>
      <c r="I938" s="293"/>
      <c r="J938" s="517"/>
      <c r="K938" s="456"/>
    </row>
    <row r="939" spans="1:11" x14ac:dyDescent="0.25">
      <c r="A939" s="437" t="s">
        <v>2177</v>
      </c>
      <c r="B939" s="438" t="s">
        <v>2178</v>
      </c>
      <c r="C939" s="439"/>
      <c r="D939" s="440"/>
      <c r="E939" s="440"/>
      <c r="F939" s="440"/>
      <c r="G939" s="440"/>
      <c r="H939" s="441"/>
      <c r="I939" s="440"/>
      <c r="J939" s="442"/>
      <c r="K939" s="442"/>
    </row>
    <row r="940" ht="28" customHeight="1" spans="1:11" x14ac:dyDescent="0.25" outlineLevel="1" collapsed="1">
      <c r="A940" s="293" t="s">
        <v>306</v>
      </c>
      <c r="B940" s="349" t="s">
        <v>2122</v>
      </c>
      <c r="C940" s="293" t="s">
        <v>2123</v>
      </c>
      <c r="D940" s="443" t="s">
        <v>2124</v>
      </c>
      <c r="E940" s="470"/>
      <c r="F940" s="470"/>
      <c r="G940" s="470"/>
      <c r="H940" s="446">
        <f t="shared" ref="H940:H949" si="208">IF(K$9=1,E940,IF(K$9=2,(E940+F940)/2,(E940+F940+G940)/3))</f>
        <v>0</v>
      </c>
      <c r="I940" s="470"/>
      <c r="J940" s="685"/>
      <c r="K940" s="686"/>
    </row>
    <row r="941" ht="14.5" customHeight="1" spans="1:11" x14ac:dyDescent="0.25" outlineLevel="1" collapsed="1">
      <c r="A941" s="293" t="s">
        <v>308</v>
      </c>
      <c r="B941" s="349" t="s">
        <v>2152</v>
      </c>
      <c r="C941" s="293" t="s">
        <v>61</v>
      </c>
      <c r="D941" s="443" t="s">
        <v>2126</v>
      </c>
      <c r="E941" s="470"/>
      <c r="F941" s="470"/>
      <c r="G941" s="470"/>
      <c r="H941" s="446">
        <f t="shared" si="208"/>
        <v>0</v>
      </c>
      <c r="I941" s="470"/>
      <c r="J941" s="685"/>
      <c r="K941" s="686"/>
    </row>
    <row r="942" ht="19.5" customHeight="1" spans="1:11" x14ac:dyDescent="0.25" outlineLevel="1" collapsed="1">
      <c r="A942" s="422" t="s">
        <v>310</v>
      </c>
      <c r="B942" s="435" t="s">
        <v>2153</v>
      </c>
      <c r="C942" s="422" t="s">
        <v>61</v>
      </c>
      <c r="D942" s="451" t="s">
        <v>2126</v>
      </c>
      <c r="E942" s="540"/>
      <c r="F942" s="540">
        <f t="shared" ref="F942:G942" si="209">F941*0.95</f>
        <v>0</v>
      </c>
      <c r="G942" s="540">
        <f t="shared" si="209"/>
        <v>0</v>
      </c>
      <c r="H942" s="446">
        <f t="shared" si="208"/>
        <v>0</v>
      </c>
      <c r="I942" s="540">
        <f>I941*0.95</f>
        <v>0</v>
      </c>
      <c r="J942" s="471"/>
      <c r="K942" s="686"/>
    </row>
    <row r="943" ht="14.5" customHeight="1" spans="1:11" x14ac:dyDescent="0.25" outlineLevel="1" collapsed="1">
      <c r="A943" s="293" t="s">
        <v>312</v>
      </c>
      <c r="B943" s="349" t="s">
        <v>2128</v>
      </c>
      <c r="C943" s="293" t="s">
        <v>61</v>
      </c>
      <c r="D943" s="443" t="s">
        <v>1493</v>
      </c>
      <c r="E943" s="470"/>
      <c r="F943" s="470"/>
      <c r="G943" s="470"/>
      <c r="H943" s="446">
        <f t="shared" si="208"/>
        <v>0</v>
      </c>
      <c r="I943" s="470"/>
      <c r="J943" s="685"/>
      <c r="K943" s="456"/>
    </row>
    <row r="944" ht="14.5" customHeight="1" spans="1:11" x14ac:dyDescent="0.25" outlineLevel="1" collapsed="1">
      <c r="A944" s="422" t="s">
        <v>314</v>
      </c>
      <c r="B944" s="435" t="s">
        <v>2154</v>
      </c>
      <c r="C944" s="422" t="s">
        <v>61</v>
      </c>
      <c r="D944" s="451" t="s">
        <v>1493</v>
      </c>
      <c r="E944" s="471"/>
      <c r="F944" s="471"/>
      <c r="G944" s="471"/>
      <c r="H944" s="446">
        <f t="shared" si="208"/>
        <v>0</v>
      </c>
      <c r="I944" s="471"/>
      <c r="J944" s="685"/>
      <c r="K944" s="686"/>
    </row>
    <row r="945" ht="14.5" customHeight="1" spans="1:11" x14ac:dyDescent="0.25" outlineLevel="1" collapsed="1">
      <c r="A945" s="422" t="s">
        <v>316</v>
      </c>
      <c r="B945" s="435" t="s">
        <v>2179</v>
      </c>
      <c r="C945" s="422" t="s">
        <v>61</v>
      </c>
      <c r="D945" s="451" t="s">
        <v>1493</v>
      </c>
      <c r="E945" s="245"/>
      <c r="F945" s="245"/>
      <c r="G945" s="245"/>
      <c r="H945" s="446">
        <f t="shared" si="208"/>
        <v>100</v>
      </c>
      <c r="I945" s="245"/>
      <c r="J945" s="685"/>
      <c r="K945" s="686"/>
    </row>
    <row r="946" ht="14.5" customHeight="1" spans="1:11" x14ac:dyDescent="0.25" outlineLevel="1" collapsed="1">
      <c r="A946" s="293" t="s">
        <v>318</v>
      </c>
      <c r="B946" s="349" t="s">
        <v>2131</v>
      </c>
      <c r="C946" s="293" t="s">
        <v>61</v>
      </c>
      <c r="D946" s="443" t="s">
        <v>1456</v>
      </c>
      <c r="E946" s="228"/>
      <c r="F946" s="445"/>
      <c r="G946" s="445"/>
      <c r="H946" s="446">
        <f t="shared" si="208"/>
        <v>0</v>
      </c>
      <c r="I946" s="228"/>
      <c r="J946" s="687"/>
      <c r="K946" s="686"/>
    </row>
    <row r="947" ht="14.5" customHeight="1" spans="1:11" x14ac:dyDescent="0.25" outlineLevel="1" collapsed="1">
      <c r="A947" s="293" t="s">
        <v>478</v>
      </c>
      <c r="B947" s="349" t="s">
        <v>2155</v>
      </c>
      <c r="C947" s="293" t="s">
        <v>61</v>
      </c>
      <c r="D947" s="443" t="s">
        <v>1456</v>
      </c>
      <c r="E947" s="228"/>
      <c r="F947" s="445"/>
      <c r="G947" s="445"/>
      <c r="H947" s="446">
        <f t="shared" si="208"/>
        <v>0</v>
      </c>
      <c r="I947" s="228"/>
      <c r="J947" s="687"/>
      <c r="K947" s="686"/>
    </row>
    <row r="948" ht="14.5" customHeight="1" spans="1:11" x14ac:dyDescent="0.25" outlineLevel="1" collapsed="1">
      <c r="A948" s="293" t="s">
        <v>481</v>
      </c>
      <c r="B948" s="349" t="s">
        <v>2169</v>
      </c>
      <c r="C948" s="293" t="s">
        <v>61</v>
      </c>
      <c r="D948" s="443" t="s">
        <v>1456</v>
      </c>
      <c r="E948" s="228"/>
      <c r="F948" s="445"/>
      <c r="G948" s="445"/>
      <c r="H948" s="446">
        <f t="shared" si="208"/>
        <v>0</v>
      </c>
      <c r="I948" s="228"/>
      <c r="J948" s="687"/>
      <c r="K948" s="686"/>
    </row>
    <row r="949" ht="14.5" customHeight="1" spans="1:11" x14ac:dyDescent="0.25" outlineLevel="1" collapsed="1">
      <c r="A949" s="293" t="s">
        <v>483</v>
      </c>
      <c r="B949" s="349" t="s">
        <v>2134</v>
      </c>
      <c r="C949" s="293" t="s">
        <v>61</v>
      </c>
      <c r="D949" s="443" t="s">
        <v>1456</v>
      </c>
      <c r="E949" s="228"/>
      <c r="F949" s="445"/>
      <c r="G949" s="445"/>
      <c r="H949" s="446">
        <f t="shared" si="208"/>
        <v>0</v>
      </c>
      <c r="I949" s="228"/>
      <c r="J949" s="687"/>
      <c r="K949" s="686"/>
    </row>
    <row r="950" ht="14.5" customHeight="1" spans="1:11" x14ac:dyDescent="0.25" outlineLevel="1" collapsed="1">
      <c r="A950" s="604" t="s">
        <v>485</v>
      </c>
      <c r="B950" s="605" t="s">
        <v>2180</v>
      </c>
      <c r="C950" s="604" t="s">
        <v>61</v>
      </c>
      <c r="D950" s="678" t="s">
        <v>2136</v>
      </c>
      <c r="E950" s="662">
        <f>IFERROR((IF(E944=0,'Emission Factor &amp; GWP Backup'!$E$28,3.664*(E944/100)/E942*1000)),0)</f>
        <v>0.39607127999999325</v>
      </c>
      <c r="F950" s="662">
        <f>IFERROR((IF(F944=0,'Emission Factor &amp; GWP Backup'!$E$28,3.664*(F944/100)/F942*1000)),0)</f>
        <v>0.39607127999999325</v>
      </c>
      <c r="G950" s="662">
        <f>IFERROR((IF(G944=0,'Emission Factor &amp; GWP Backup'!$E$28,3.664*(G944/100)/G942*1000)),0)</f>
        <v>0.39607127999999325</v>
      </c>
      <c r="H950" s="662">
        <f>IFERROR((IF(H944=0,'Emission Factor &amp; GWP Backup'!$E$28,3.664*(H944/100)/H942*1000)),0)</f>
        <v>0.39607127999999325</v>
      </c>
      <c r="I950" s="662">
        <f>IFERROR((IF(I944=0,'Emission Factor &amp; GWP Backup'!$E$28,3.664*(I944/100)/I942*1000)),0)</f>
        <v>0.39607127999999325</v>
      </c>
      <c r="J950" s="228"/>
      <c r="K950" s="686"/>
    </row>
    <row r="951" spans="1:11" x14ac:dyDescent="0.25" outlineLevel="1" collapsed="1">
      <c r="A951" s="452" t="s">
        <v>488</v>
      </c>
      <c r="B951" s="453" t="s">
        <v>2137</v>
      </c>
      <c r="C951" s="452" t="s">
        <v>2138</v>
      </c>
      <c r="D951" s="452" t="s">
        <v>1456</v>
      </c>
      <c r="E951" s="446">
        <f t="shared" ref="E951" si="210">E947+E949+E948</f>
        <v>0</v>
      </c>
      <c r="F951" s="446">
        <f t="shared" ref="F951:I951" si="211">F947+F949+F948</f>
        <v>0</v>
      </c>
      <c r="G951" s="446">
        <f t="shared" si="211"/>
        <v>0</v>
      </c>
      <c r="H951" s="446">
        <f t="shared" si="211"/>
        <v>0</v>
      </c>
      <c r="I951" s="446">
        <f t="shared" si="211"/>
        <v>0</v>
      </c>
      <c r="J951" s="517"/>
      <c r="K951" s="456"/>
    </row>
    <row r="952" spans="1:11" x14ac:dyDescent="0.25" outlineLevel="1" collapsed="1">
      <c r="A952" s="452" t="s">
        <v>403</v>
      </c>
      <c r="B952" s="453" t="s">
        <v>2139</v>
      </c>
      <c r="C952" s="452" t="s">
        <v>2158</v>
      </c>
      <c r="D952" s="452" t="s">
        <v>1826</v>
      </c>
      <c r="E952" s="446">
        <f t="shared" ref="E952" si="212">E941*E947/1000</f>
        <v>0</v>
      </c>
      <c r="F952" s="446">
        <f t="shared" ref="F952:I952" si="213">F941*F947/1000</f>
        <v>0</v>
      </c>
      <c r="G952" s="446">
        <f t="shared" si="213"/>
        <v>0</v>
      </c>
      <c r="H952" s="446">
        <f t="shared" si="213"/>
        <v>0</v>
      </c>
      <c r="I952" s="446">
        <f t="shared" si="213"/>
        <v>0</v>
      </c>
      <c r="J952" s="517"/>
      <c r="K952" s="456"/>
    </row>
    <row r="953" spans="1:11" x14ac:dyDescent="0.25" outlineLevel="1" collapsed="1">
      <c r="A953" s="452" t="s">
        <v>407</v>
      </c>
      <c r="B953" s="453" t="s">
        <v>2171</v>
      </c>
      <c r="C953" s="452" t="s">
        <v>2160</v>
      </c>
      <c r="D953" s="452" t="s">
        <v>1826</v>
      </c>
      <c r="E953" s="446">
        <f t="shared" ref="E953" si="214">E941*E948/1000</f>
        <v>0</v>
      </c>
      <c r="F953" s="446">
        <f t="shared" ref="F953:I953" si="215">F941*F948/1000</f>
        <v>0</v>
      </c>
      <c r="G953" s="446">
        <f t="shared" si="215"/>
        <v>0</v>
      </c>
      <c r="H953" s="446">
        <f t="shared" si="215"/>
        <v>0</v>
      </c>
      <c r="I953" s="446">
        <f t="shared" si="215"/>
        <v>0</v>
      </c>
      <c r="J953" s="517"/>
      <c r="K953" s="456"/>
    </row>
    <row r="954" spans="1:11" x14ac:dyDescent="0.25" outlineLevel="1" collapsed="1">
      <c r="A954" s="452" t="s">
        <v>410</v>
      </c>
      <c r="B954" s="453" t="s">
        <v>2143</v>
      </c>
      <c r="C954" s="452" t="s">
        <v>2161</v>
      </c>
      <c r="D954" s="452" t="s">
        <v>1826</v>
      </c>
      <c r="E954" s="446">
        <f t="shared" ref="E954" si="216">E941*E949/1000</f>
        <v>0</v>
      </c>
      <c r="F954" s="446">
        <f t="shared" ref="F954:I954" si="217">F941*F949/1000</f>
        <v>0</v>
      </c>
      <c r="G954" s="446">
        <f t="shared" si="217"/>
        <v>0</v>
      </c>
      <c r="H954" s="446">
        <f t="shared" si="217"/>
        <v>0</v>
      </c>
      <c r="I954" s="446">
        <f t="shared" si="217"/>
        <v>0</v>
      </c>
      <c r="J954" s="517"/>
      <c r="K954" s="456"/>
    </row>
    <row r="955" spans="1:11" x14ac:dyDescent="0.25" outlineLevel="1" collapsed="1">
      <c r="A955" s="452" t="s">
        <v>413</v>
      </c>
      <c r="B955" s="453" t="s">
        <v>2145</v>
      </c>
      <c r="C955" s="452" t="s">
        <v>2181</v>
      </c>
      <c r="D955" s="452" t="s">
        <v>1826</v>
      </c>
      <c r="E955" s="446">
        <f t="shared" ref="E955" si="218">E952+E953</f>
        <v>0</v>
      </c>
      <c r="F955" s="446">
        <f t="shared" ref="F955:I955" si="219">F952+F953</f>
        <v>0</v>
      </c>
      <c r="G955" s="446">
        <f t="shared" si="219"/>
        <v>0</v>
      </c>
      <c r="H955" s="446">
        <f t="shared" si="219"/>
        <v>0</v>
      </c>
      <c r="I955" s="446">
        <f t="shared" si="219"/>
        <v>0</v>
      </c>
      <c r="J955" s="517"/>
      <c r="K955" s="456"/>
    </row>
    <row r="956" ht="18.75" customHeight="1" spans="1:11" x14ac:dyDescent="0.25" outlineLevel="1" collapsed="1">
      <c r="A956" s="604" t="s">
        <v>416</v>
      </c>
      <c r="B956" s="605" t="s">
        <v>2146</v>
      </c>
      <c r="C956" s="604"/>
      <c r="D956" s="604" t="s">
        <v>2147</v>
      </c>
      <c r="E956" s="606">
        <f t="shared" ref="E956" si="220">E947*1000*E$942*E$945/100*E$950/10^6</f>
        <v>0</v>
      </c>
      <c r="F956" s="606">
        <f t="shared" ref="F956:I956" si="221">F947*1000*F$942*F$945/100*F$950/10^6</f>
        <v>0</v>
      </c>
      <c r="G956" s="606">
        <f t="shared" si="221"/>
        <v>0</v>
      </c>
      <c r="H956" s="606">
        <f t="shared" si="221"/>
        <v>0</v>
      </c>
      <c r="I956" s="606">
        <f t="shared" si="221"/>
        <v>0</v>
      </c>
      <c r="J956" s="517"/>
      <c r="K956" s="456"/>
    </row>
    <row r="957" spans="1:11" x14ac:dyDescent="0.25" outlineLevel="1" collapsed="1">
      <c r="A957" s="604" t="s">
        <v>419</v>
      </c>
      <c r="B957" s="605" t="s">
        <v>2162</v>
      </c>
      <c r="C957" s="604"/>
      <c r="D957" s="604" t="s">
        <v>2147</v>
      </c>
      <c r="E957" s="606">
        <f t="shared" ref="E957" si="222">E948*1000*E$942*E$945/100*E$950/10^6</f>
        <v>0</v>
      </c>
      <c r="F957" s="606">
        <f t="shared" ref="F957:I957" si="223">F948*1000*F$942*F$945/100*F$950/10^6</f>
        <v>0</v>
      </c>
      <c r="G957" s="606">
        <f t="shared" si="223"/>
        <v>0</v>
      </c>
      <c r="H957" s="606">
        <f t="shared" si="223"/>
        <v>0</v>
      </c>
      <c r="I957" s="606">
        <f t="shared" si="223"/>
        <v>0</v>
      </c>
      <c r="J957" s="517"/>
      <c r="K957" s="456"/>
    </row>
    <row r="958" spans="1:11" x14ac:dyDescent="0.25" outlineLevel="1" collapsed="1">
      <c r="A958" s="604" t="s">
        <v>423</v>
      </c>
      <c r="B958" s="605" t="s">
        <v>2149</v>
      </c>
      <c r="C958" s="604"/>
      <c r="D958" s="604" t="s">
        <v>2147</v>
      </c>
      <c r="E958" s="606">
        <f t="shared" ref="E958" si="224">E949*1000*E$942*E$945/100*E$950/10^6</f>
        <v>0</v>
      </c>
      <c r="F958" s="606">
        <f t="shared" ref="F958:I958" si="225">F949*1000*F$942*F$945/100*F$950/10^6</f>
        <v>0</v>
      </c>
      <c r="G958" s="606">
        <f t="shared" si="225"/>
        <v>0</v>
      </c>
      <c r="H958" s="606">
        <f t="shared" si="225"/>
        <v>0</v>
      </c>
      <c r="I958" s="606">
        <f t="shared" si="225"/>
        <v>0</v>
      </c>
      <c r="J958" s="671"/>
      <c r="K958" s="456"/>
    </row>
    <row r="959" spans="1:11" x14ac:dyDescent="0.25">
      <c r="A959" s="514"/>
      <c r="B959" s="349"/>
      <c r="C959" s="688"/>
      <c r="D959" s="514"/>
      <c r="E959" s="514"/>
      <c r="F959" s="514"/>
      <c r="G959" s="514"/>
      <c r="H959" s="689"/>
      <c r="I959" s="690"/>
      <c r="J959" s="691"/>
      <c r="K959" s="686"/>
    </row>
    <row r="960" ht="28" customHeight="1" spans="1:11" x14ac:dyDescent="0.25">
      <c r="A960" s="437" t="s">
        <v>1036</v>
      </c>
      <c r="B960" s="438" t="s">
        <v>1037</v>
      </c>
      <c r="C960" s="692"/>
      <c r="D960" s="693"/>
      <c r="E960" s="693"/>
      <c r="F960" s="693"/>
      <c r="G960" s="693"/>
      <c r="H960" s="694"/>
      <c r="I960" s="438"/>
      <c r="J960" s="442"/>
      <c r="K960" s="442"/>
    </row>
    <row r="961" ht="28" customHeight="1" spans="1:11" x14ac:dyDescent="0.25" outlineLevel="1" collapsed="1">
      <c r="A961" s="293" t="s">
        <v>306</v>
      </c>
      <c r="B961" s="349" t="s">
        <v>2122</v>
      </c>
      <c r="C961" s="293" t="s">
        <v>2123</v>
      </c>
      <c r="D961" s="293" t="s">
        <v>2124</v>
      </c>
      <c r="E961" s="695"/>
      <c r="F961" s="695"/>
      <c r="G961" s="695"/>
      <c r="H961" s="446">
        <f t="shared" ref="H961:H970" si="226">IF(K$9=1,E961,IF(K$9=2,(E961+F961)/2,(E961+F961+G961)/3))</f>
        <v>7377.820930939159</v>
      </c>
      <c r="I961" s="470"/>
      <c r="J961" s="471"/>
      <c r="K961" s="456"/>
    </row>
    <row r="962" ht="14.5" customHeight="1" spans="1:11" x14ac:dyDescent="0.25" outlineLevel="1" collapsed="1">
      <c r="A962" s="293" t="s">
        <v>308</v>
      </c>
      <c r="B962" s="349" t="s">
        <v>2182</v>
      </c>
      <c r="C962" s="293" t="s">
        <v>61</v>
      </c>
      <c r="D962" s="443" t="s">
        <v>2126</v>
      </c>
      <c r="E962" s="695"/>
      <c r="F962" s="695"/>
      <c r="G962" s="695"/>
      <c r="H962" s="446">
        <f t="shared" si="226"/>
        <v>3462.7542248138584</v>
      </c>
      <c r="I962" s="470"/>
      <c r="J962" s="471"/>
      <c r="K962" s="456"/>
    </row>
    <row r="963" ht="14.5" customHeight="1" spans="1:11" x14ac:dyDescent="0.25" outlineLevel="1" collapsed="1">
      <c r="A963" s="422" t="s">
        <v>310</v>
      </c>
      <c r="B963" s="435" t="s">
        <v>2153</v>
      </c>
      <c r="C963" s="422" t="s">
        <v>61</v>
      </c>
      <c r="D963" s="451" t="s">
        <v>2126</v>
      </c>
      <c r="E963" s="540"/>
      <c r="F963" s="540">
        <f t="shared" ref="F963:G963" si="227">F962*0.95</f>
        <v>0</v>
      </c>
      <c r="G963" s="540">
        <f t="shared" si="227"/>
        <v>0</v>
      </c>
      <c r="H963" s="446">
        <f t="shared" si="226"/>
        <v>3289.6165135731653</v>
      </c>
      <c r="I963" s="540">
        <f>I962*0.95</f>
        <v>0</v>
      </c>
      <c r="J963" s="471"/>
      <c r="K963" s="456"/>
    </row>
    <row r="964" ht="14.5" customHeight="1" spans="1:11" x14ac:dyDescent="0.25" outlineLevel="1" collapsed="1">
      <c r="A964" s="293" t="s">
        <v>312</v>
      </c>
      <c r="B964" s="349" t="s">
        <v>2128</v>
      </c>
      <c r="C964" s="293" t="s">
        <v>61</v>
      </c>
      <c r="D964" s="443" t="s">
        <v>1493</v>
      </c>
      <c r="E964" s="695"/>
      <c r="F964" s="695"/>
      <c r="G964" s="695"/>
      <c r="H964" s="446">
        <f t="shared" si="226"/>
        <v>0</v>
      </c>
      <c r="I964" s="470"/>
      <c r="J964" s="471"/>
      <c r="K964" s="456"/>
    </row>
    <row r="965" ht="14.5" customHeight="1" spans="1:11" x14ac:dyDescent="0.25" outlineLevel="1" collapsed="1">
      <c r="A965" s="422" t="s">
        <v>314</v>
      </c>
      <c r="B965" s="435" t="s">
        <v>2183</v>
      </c>
      <c r="C965" s="422" t="s">
        <v>61</v>
      </c>
      <c r="D965" s="451" t="s">
        <v>1493</v>
      </c>
      <c r="E965" s="696"/>
      <c r="F965" s="445"/>
      <c r="G965" s="445"/>
      <c r="H965" s="446">
        <f t="shared" si="226"/>
        <v>0</v>
      </c>
      <c r="I965" s="471"/>
      <c r="J965" s="471"/>
      <c r="K965" s="456"/>
    </row>
    <row r="966" ht="14.5" customHeight="1" spans="1:11" x14ac:dyDescent="0.25" outlineLevel="1" collapsed="1">
      <c r="A966" s="422" t="s">
        <v>316</v>
      </c>
      <c r="B966" s="435" t="s">
        <v>2184</v>
      </c>
      <c r="C966" s="422" t="s">
        <v>61</v>
      </c>
      <c r="D966" s="451" t="s">
        <v>1493</v>
      </c>
      <c r="E966" s="697"/>
      <c r="F966" s="684"/>
      <c r="G966" s="684"/>
      <c r="H966" s="446">
        <f t="shared" si="226"/>
        <v>100</v>
      </c>
      <c r="I966" s="245"/>
      <c r="J966" s="471"/>
      <c r="K966" s="456"/>
    </row>
    <row r="967" ht="14.5" customHeight="1" spans="1:11" x14ac:dyDescent="0.25" outlineLevel="1" collapsed="1">
      <c r="A967" s="293" t="s">
        <v>318</v>
      </c>
      <c r="B967" s="349" t="s">
        <v>2131</v>
      </c>
      <c r="C967" s="293" t="s">
        <v>61</v>
      </c>
      <c r="D967" s="443" t="s">
        <v>1456</v>
      </c>
      <c r="E967" s="698"/>
      <c r="F967" s="445"/>
      <c r="G967" s="445"/>
      <c r="H967" s="446">
        <f t="shared" si="226"/>
        <v>10612.586</v>
      </c>
      <c r="I967" s="228"/>
      <c r="J967" s="228"/>
      <c r="K967" s="456"/>
    </row>
    <row r="968" ht="14.5" customHeight="1" spans="1:11" x14ac:dyDescent="0.25" outlineLevel="1" collapsed="1">
      <c r="A968" s="293" t="s">
        <v>478</v>
      </c>
      <c r="B968" s="349" t="s">
        <v>2155</v>
      </c>
      <c r="C968" s="293" t="s">
        <v>61</v>
      </c>
      <c r="D968" s="443" t="s">
        <v>1456</v>
      </c>
      <c r="E968" s="698"/>
      <c r="F968" s="445"/>
      <c r="G968" s="445"/>
      <c r="H968" s="446">
        <f t="shared" si="226"/>
        <v>2734.09</v>
      </c>
      <c r="I968" s="228"/>
      <c r="J968" s="228"/>
      <c r="K968" s="456"/>
    </row>
    <row r="969" ht="14.5" customHeight="1" spans="1:11" x14ac:dyDescent="0.25" outlineLevel="1" collapsed="1">
      <c r="A969" s="293" t="s">
        <v>481</v>
      </c>
      <c r="B969" s="349" t="s">
        <v>2169</v>
      </c>
      <c r="C969" s="293" t="s">
        <v>61</v>
      </c>
      <c r="D969" s="443" t="s">
        <v>1456</v>
      </c>
      <c r="E969" s="698"/>
      <c r="F969" s="445"/>
      <c r="G969" s="445"/>
      <c r="H969" s="446">
        <f t="shared" si="226"/>
        <v>0</v>
      </c>
      <c r="I969" s="228"/>
      <c r="J969" s="228"/>
      <c r="K969" s="456"/>
    </row>
    <row r="970" ht="14.5" customHeight="1" spans="1:11" x14ac:dyDescent="0.25" outlineLevel="1" collapsed="1">
      <c r="A970" s="293" t="s">
        <v>483</v>
      </c>
      <c r="B970" s="349" t="s">
        <v>2134</v>
      </c>
      <c r="C970" s="293" t="s">
        <v>61</v>
      </c>
      <c r="D970" s="443" t="s">
        <v>1456</v>
      </c>
      <c r="E970" s="698"/>
      <c r="F970" s="445"/>
      <c r="G970" s="445"/>
      <c r="H970" s="446">
        <f t="shared" si="226"/>
        <v>8719.15</v>
      </c>
      <c r="I970" s="228"/>
      <c r="J970" s="228"/>
      <c r="K970" s="456"/>
    </row>
    <row r="971" ht="14.5" customHeight="1" spans="1:11" x14ac:dyDescent="0.25" outlineLevel="1" collapsed="1">
      <c r="A971" s="604" t="s">
        <v>485</v>
      </c>
      <c r="B971" s="605" t="s">
        <v>2185</v>
      </c>
      <c r="C971" s="604" t="s">
        <v>61</v>
      </c>
      <c r="D971" s="678" t="s">
        <v>2186</v>
      </c>
      <c r="E971" s="699">
        <f>IFERROR((IF(E965=0,'Emission Factor &amp; GWP Backup'!$E$48,3.664*(E965/100)/E963*1000)),0)</f>
        <v>0.4186799999999929</v>
      </c>
      <c r="F971" s="699">
        <f>IFERROR((IF(F965=0,'Emission Factor &amp; GWP Backup'!$E$48,3.664*(F965/100)/F963*1000)),0)</f>
        <v>0.4186799999999929</v>
      </c>
      <c r="G971" s="699">
        <f>IFERROR((IF(G965=0,'Emission Factor &amp; GWP Backup'!$E$48,3.664*(G965/100)/G963*1000)),0)</f>
        <v>0.4186799999999929</v>
      </c>
      <c r="H971" s="699">
        <f>IFERROR((IF(H965=0,'Emission Factor &amp; GWP Backup'!$E$48,3.664*(H965/100)/H963*1000)),0)</f>
        <v>0.4186799999999929</v>
      </c>
      <c r="I971" s="699">
        <f>IFERROR((IF(I965=0,'Emission Factor &amp; GWP Backup'!$E$48,3.664*(I965/100)/I963*1000)),0)</f>
        <v>0.4186799999999929</v>
      </c>
      <c r="J971" s="228"/>
      <c r="K971" s="456"/>
    </row>
    <row r="972" ht="14.5" customHeight="1" spans="1:11" x14ac:dyDescent="0.25" outlineLevel="1" collapsed="1">
      <c r="A972" s="604" t="s">
        <v>488</v>
      </c>
      <c r="B972" s="605" t="s">
        <v>2187</v>
      </c>
      <c r="C972" s="604" t="s">
        <v>61</v>
      </c>
      <c r="D972" s="678" t="s">
        <v>2136</v>
      </c>
      <c r="E972" s="700">
        <f>'Emission Factor &amp; GWP Backup'!$H$48</f>
        <v>0.00351691199999994</v>
      </c>
      <c r="F972" s="700">
        <f>'Emission Factor &amp; GWP Backup'!$H$48</f>
        <v>0.00351691199999994</v>
      </c>
      <c r="G972" s="700">
        <f>'Emission Factor &amp; GWP Backup'!$H$48</f>
        <v>0.00351691199999994</v>
      </c>
      <c r="H972" s="700">
        <f>'Emission Factor &amp; GWP Backup'!$H$48</f>
        <v>0.00351691199999994</v>
      </c>
      <c r="I972" s="700">
        <f>'Emission Factor &amp; GWP Backup'!$H$48</f>
        <v>0.00351691199999994</v>
      </c>
      <c r="J972" s="228"/>
      <c r="K972" s="456"/>
    </row>
    <row r="973" ht="14.5" customHeight="1" spans="1:11" x14ac:dyDescent="0.25" outlineLevel="1" collapsed="1">
      <c r="A973" s="604" t="s">
        <v>403</v>
      </c>
      <c r="B973" s="605" t="s">
        <v>2188</v>
      </c>
      <c r="C973" s="604" t="s">
        <v>61</v>
      </c>
      <c r="D973" s="678" t="s">
        <v>2136</v>
      </c>
      <c r="E973" s="700">
        <f>'Emission Factor &amp; GWP Backup'!$K$48</f>
        <v>0.004438007999999925</v>
      </c>
      <c r="F973" s="700">
        <f>'Emission Factor &amp; GWP Backup'!$K$48</f>
        <v>0.004438007999999925</v>
      </c>
      <c r="G973" s="700">
        <f>'Emission Factor &amp; GWP Backup'!$K$48</f>
        <v>0.004438007999999925</v>
      </c>
      <c r="H973" s="700">
        <f>'Emission Factor &amp; GWP Backup'!$K$48</f>
        <v>0.004438007999999925</v>
      </c>
      <c r="I973" s="700">
        <f>'Emission Factor &amp; GWP Backup'!$K$48</f>
        <v>0.004438007999999925</v>
      </c>
      <c r="J973" s="228"/>
      <c r="K973" s="456"/>
    </row>
    <row r="974" spans="1:11" x14ac:dyDescent="0.25" outlineLevel="1" collapsed="1">
      <c r="A974" s="452" t="s">
        <v>407</v>
      </c>
      <c r="B974" s="453" t="s">
        <v>2137</v>
      </c>
      <c r="C974" s="452" t="s">
        <v>2138</v>
      </c>
      <c r="D974" s="452" t="s">
        <v>1456</v>
      </c>
      <c r="E974" s="454">
        <f>E968+E970+E969</f>
        <v>11453.24</v>
      </c>
      <c r="F974" s="454">
        <f t="shared" ref="F974:I974" si="228">F968+F970+F969</f>
        <v>0</v>
      </c>
      <c r="G974" s="454">
        <f t="shared" si="228"/>
        <v>0</v>
      </c>
      <c r="H974" s="454">
        <f t="shared" si="228"/>
        <v>11453.24</v>
      </c>
      <c r="I974" s="454">
        <f t="shared" si="228"/>
        <v>0</v>
      </c>
      <c r="J974" s="517"/>
      <c r="K974" s="456"/>
    </row>
    <row r="975" spans="1:11" x14ac:dyDescent="0.25" outlineLevel="1" collapsed="1">
      <c r="A975" s="452" t="s">
        <v>410</v>
      </c>
      <c r="B975" s="453" t="s">
        <v>2139</v>
      </c>
      <c r="C975" s="452" t="s">
        <v>2158</v>
      </c>
      <c r="D975" s="452" t="s">
        <v>1826</v>
      </c>
      <c r="E975" s="454">
        <f>E962*E968/1000</f>
        <v>9467.481698521324</v>
      </c>
      <c r="F975" s="454">
        <f t="shared" ref="F975:I975" si="229">F962*F968/1000</f>
        <v>0</v>
      </c>
      <c r="G975" s="454">
        <f t="shared" si="229"/>
        <v>0</v>
      </c>
      <c r="H975" s="454">
        <f>H962*H968/1000</f>
        <v>9467.481698521324</v>
      </c>
      <c r="I975" s="454">
        <f t="shared" si="229"/>
        <v>0</v>
      </c>
      <c r="J975" s="517"/>
      <c r="K975" s="456"/>
    </row>
    <row r="976" spans="1:11" x14ac:dyDescent="0.25" outlineLevel="1" collapsed="1">
      <c r="A976" s="452" t="s">
        <v>413</v>
      </c>
      <c r="B976" s="453" t="s">
        <v>2171</v>
      </c>
      <c r="C976" s="452" t="s">
        <v>2160</v>
      </c>
      <c r="D976" s="452" t="s">
        <v>1826</v>
      </c>
      <c r="E976" s="454">
        <f>E962*E969/1000</f>
        <v>0</v>
      </c>
      <c r="F976" s="454">
        <f t="shared" ref="F976:I976" si="230">F962*F969/1000</f>
        <v>0</v>
      </c>
      <c r="G976" s="454">
        <f t="shared" si="230"/>
        <v>0</v>
      </c>
      <c r="H976" s="454">
        <f t="shared" si="230"/>
        <v>0</v>
      </c>
      <c r="I976" s="454">
        <f t="shared" si="230"/>
        <v>0</v>
      </c>
      <c r="J976" s="517"/>
      <c r="K976" s="456"/>
    </row>
    <row r="977" ht="17.25" customHeight="1" spans="1:11" x14ac:dyDescent="0.25" outlineLevel="1" collapsed="1">
      <c r="A977" s="452" t="s">
        <v>416</v>
      </c>
      <c r="B977" s="453" t="s">
        <v>2143</v>
      </c>
      <c r="C977" s="452" t="s">
        <v>2161</v>
      </c>
      <c r="D977" s="452" t="s">
        <v>1826</v>
      </c>
      <c r="E977" s="454">
        <f>E962*E970/1000</f>
        <v>30192.273499285755</v>
      </c>
      <c r="F977" s="454">
        <f t="shared" ref="F977:I977" si="231">F962*F970/1000</f>
        <v>0</v>
      </c>
      <c r="G977" s="454">
        <f t="shared" si="231"/>
        <v>0</v>
      </c>
      <c r="H977" s="454">
        <f>H962*H970/1000</f>
        <v>30192.273499285755</v>
      </c>
      <c r="I977" s="454">
        <f t="shared" si="231"/>
        <v>0</v>
      </c>
      <c r="J977" s="455"/>
      <c r="K977" s="456"/>
    </row>
    <row r="978" ht="17.25" customHeight="1" spans="1:11" x14ac:dyDescent="0.25" outlineLevel="1" collapsed="1">
      <c r="A978" s="452" t="s">
        <v>419</v>
      </c>
      <c r="B978" s="453" t="s">
        <v>2145</v>
      </c>
      <c r="C978" s="452" t="s">
        <v>2189</v>
      </c>
      <c r="D978" s="452" t="s">
        <v>1826</v>
      </c>
      <c r="E978" s="454">
        <f>E975+E976</f>
        <v>9467.481698521324</v>
      </c>
      <c r="F978" s="454">
        <f t="shared" ref="F978:I978" si="232">F975+F976</f>
        <v>0</v>
      </c>
      <c r="G978" s="454">
        <f t="shared" si="232"/>
        <v>0</v>
      </c>
      <c r="H978" s="454">
        <f t="shared" si="232"/>
        <v>9467.481698521324</v>
      </c>
      <c r="I978" s="454">
        <f t="shared" si="232"/>
        <v>0</v>
      </c>
      <c r="J978" s="517"/>
      <c r="K978" s="456"/>
    </row>
    <row r="979" ht="17.25" customHeight="1" spans="1:11" x14ac:dyDescent="0.25" outlineLevel="1" collapsed="1">
      <c r="A979" s="604" t="s">
        <v>423</v>
      </c>
      <c r="B979" s="605" t="s">
        <v>2190</v>
      </c>
      <c r="C979" s="604"/>
      <c r="D979" s="604" t="s">
        <v>2147</v>
      </c>
      <c r="E979" s="701">
        <f t="shared" ref="E979:E981" si="233">E968*E$963*1000*E$966/100*E$971/10^6</f>
        <v>3765.6529756599984</v>
      </c>
      <c r="F979" s="701">
        <f t="shared" ref="F979:I979" si="234">F968*F$963*1000*F$966/100*F$971/10^6</f>
        <v>0</v>
      </c>
      <c r="G979" s="701">
        <f t="shared" si="234"/>
        <v>0</v>
      </c>
      <c r="H979" s="701">
        <f t="shared" si="234"/>
        <v>3765.6529756599984</v>
      </c>
      <c r="I979" s="701">
        <f t="shared" si="234"/>
        <v>0</v>
      </c>
      <c r="J979" s="517"/>
      <c r="K979" s="456"/>
    </row>
    <row r="980" ht="29.5" customHeight="1" spans="1:11" x14ac:dyDescent="0.25" outlineLevel="1" collapsed="1">
      <c r="A980" s="604" t="s">
        <v>425</v>
      </c>
      <c r="B980" s="605" t="s">
        <v>2191</v>
      </c>
      <c r="C980" s="604"/>
      <c r="D980" s="604" t="s">
        <v>2147</v>
      </c>
      <c r="E980" s="606">
        <f t="shared" si="233"/>
        <v>0</v>
      </c>
      <c r="F980" s="606">
        <f t="shared" ref="F980:I980" si="235">F969*F$963*1000*F$966/100*F$971/10^6</f>
        <v>0</v>
      </c>
      <c r="G980" s="606">
        <f t="shared" si="235"/>
        <v>0</v>
      </c>
      <c r="H980" s="606">
        <f t="shared" si="235"/>
        <v>0</v>
      </c>
      <c r="I980" s="606">
        <f t="shared" si="235"/>
        <v>0</v>
      </c>
      <c r="J980" s="517"/>
      <c r="K980" s="456"/>
    </row>
    <row r="981" spans="1:11" x14ac:dyDescent="0.25" outlineLevel="1" collapsed="1">
      <c r="A981" s="604" t="s">
        <v>427</v>
      </c>
      <c r="B981" s="605" t="s">
        <v>2192</v>
      </c>
      <c r="C981" s="604"/>
      <c r="D981" s="604" t="s">
        <v>2147</v>
      </c>
      <c r="E981" s="606">
        <f t="shared" si="233"/>
        <v>12008.856015246705</v>
      </c>
      <c r="F981" s="606">
        <f t="shared" ref="F981:I981" si="236">F970*F$963*1000*F$966/100*F$971/10^6</f>
        <v>0</v>
      </c>
      <c r="G981" s="606">
        <f t="shared" si="236"/>
        <v>0</v>
      </c>
      <c r="H981" s="606">
        <f t="shared" si="236"/>
        <v>12008.856015246705</v>
      </c>
      <c r="I981" s="606">
        <f t="shared" si="236"/>
        <v>0</v>
      </c>
      <c r="J981" s="517"/>
      <c r="K981" s="456"/>
    </row>
    <row r="982" spans="1:11" x14ac:dyDescent="0.25" outlineLevel="1" collapsed="1">
      <c r="A982" s="604" t="s">
        <v>514</v>
      </c>
      <c r="B982" s="605" t="s">
        <v>2193</v>
      </c>
      <c r="C982" s="604"/>
      <c r="D982" s="604" t="s">
        <v>2147</v>
      </c>
      <c r="E982" s="606">
        <f>E974*E$963*1000*E$966/100*(E$972+E$973)/10^6</f>
        <v>299.7156708272274</v>
      </c>
      <c r="F982" s="606">
        <f t="shared" ref="F982:I982" si="237">F974*F$963*1000*F$966/100*(F$972+F$973)/10^6</f>
        <v>0</v>
      </c>
      <c r="G982" s="606">
        <f t="shared" si="237"/>
        <v>0</v>
      </c>
      <c r="H982" s="606">
        <f t="shared" si="237"/>
        <v>299.7156708272274</v>
      </c>
      <c r="I982" s="606">
        <f t="shared" si="237"/>
        <v>0</v>
      </c>
      <c r="J982" s="517"/>
      <c r="K982" s="495"/>
    </row>
    <row r="983" spans="1:11" x14ac:dyDescent="0.25">
      <c r="A983" s="702"/>
      <c r="B983" s="703"/>
      <c r="C983" s="702"/>
      <c r="D983" s="704"/>
      <c r="E983" s="704"/>
      <c r="F983" s="704"/>
      <c r="G983" s="704"/>
      <c r="H983" s="500"/>
      <c r="I983" s="704"/>
      <c r="J983" s="487"/>
      <c r="K983" s="495"/>
    </row>
    <row r="984" ht="28" customHeight="1" spans="1:11" x14ac:dyDescent="0.25">
      <c r="A984" s="437" t="s">
        <v>1044</v>
      </c>
      <c r="B984" s="438" t="s">
        <v>2194</v>
      </c>
      <c r="C984" s="705"/>
      <c r="D984" s="706"/>
      <c r="E984" s="706"/>
      <c r="F984" s="706"/>
      <c r="G984" s="706"/>
      <c r="H984" s="706"/>
      <c r="I984" s="438"/>
      <c r="J984" s="442"/>
      <c r="K984" s="442"/>
    </row>
    <row r="985" ht="28" customHeight="1" spans="1:11" x14ac:dyDescent="0.25" outlineLevel="1" collapsed="1">
      <c r="A985" s="293" t="s">
        <v>306</v>
      </c>
      <c r="B985" s="349" t="s">
        <v>2122</v>
      </c>
      <c r="C985" s="293" t="s">
        <v>2123</v>
      </c>
      <c r="D985" s="293" t="s">
        <v>2124</v>
      </c>
      <c r="E985" s="470"/>
      <c r="F985" s="470"/>
      <c r="G985" s="470"/>
      <c r="H985" s="446">
        <f t="shared" ref="H985:H995" si="238">IF(K$9=1,E985,IF(K$9=2,(E985+F985)/2,(E985+F985+G985)/3))</f>
        <v>0</v>
      </c>
      <c r="I985" s="470"/>
      <c r="J985" s="471"/>
      <c r="K985" s="456"/>
    </row>
    <row r="986" ht="14.5" customHeight="1" spans="1:11" x14ac:dyDescent="0.25" outlineLevel="1" collapsed="1">
      <c r="A986" s="293" t="s">
        <v>308</v>
      </c>
      <c r="B986" s="349" t="s">
        <v>2182</v>
      </c>
      <c r="C986" s="293" t="s">
        <v>61</v>
      </c>
      <c r="D986" s="443" t="s">
        <v>2126</v>
      </c>
      <c r="E986" s="470"/>
      <c r="F986" s="470"/>
      <c r="G986" s="470"/>
      <c r="H986" s="446">
        <f t="shared" si="238"/>
        <v>0</v>
      </c>
      <c r="I986" s="470"/>
      <c r="J986" s="471"/>
      <c r="K986" s="456"/>
    </row>
    <row r="987" ht="14.5" customHeight="1" spans="1:11" x14ac:dyDescent="0.25" outlineLevel="1" collapsed="1">
      <c r="A987" s="422" t="s">
        <v>310</v>
      </c>
      <c r="B987" s="435" t="s">
        <v>2153</v>
      </c>
      <c r="C987" s="422" t="s">
        <v>61</v>
      </c>
      <c r="D987" s="451"/>
      <c r="E987" s="540"/>
      <c r="F987" s="540">
        <f t="shared" ref="F987:G987" si="239">F986*0.95</f>
        <v>0</v>
      </c>
      <c r="G987" s="540">
        <f t="shared" si="239"/>
        <v>0</v>
      </c>
      <c r="H987" s="446">
        <f t="shared" si="238"/>
        <v>0</v>
      </c>
      <c r="I987" s="540">
        <f>I986*0.95</f>
        <v>0</v>
      </c>
      <c r="J987" s="471"/>
      <c r="K987" s="456"/>
    </row>
    <row r="988" ht="14.5" customHeight="1" spans="1:11" x14ac:dyDescent="0.25" outlineLevel="1" collapsed="1">
      <c r="A988" s="293" t="s">
        <v>312</v>
      </c>
      <c r="B988" s="349" t="s">
        <v>2195</v>
      </c>
      <c r="C988" s="293" t="s">
        <v>61</v>
      </c>
      <c r="D988" s="443" t="s">
        <v>1493</v>
      </c>
      <c r="E988" s="470"/>
      <c r="F988" s="470"/>
      <c r="G988" s="470"/>
      <c r="H988" s="446">
        <f t="shared" si="238"/>
        <v>0</v>
      </c>
      <c r="I988" s="470"/>
      <c r="J988" s="471"/>
      <c r="K988" s="456"/>
    </row>
    <row r="989" ht="14.5" customHeight="1" spans="1:11" x14ac:dyDescent="0.25" outlineLevel="1" collapsed="1">
      <c r="A989" s="422" t="s">
        <v>314</v>
      </c>
      <c r="B989" s="435" t="s">
        <v>2196</v>
      </c>
      <c r="C989" s="422" t="s">
        <v>61</v>
      </c>
      <c r="D989" s="451" t="s">
        <v>1493</v>
      </c>
      <c r="E989" s="471"/>
      <c r="F989" s="445"/>
      <c r="G989" s="445"/>
      <c r="H989" s="446">
        <f t="shared" si="238"/>
        <v>0</v>
      </c>
      <c r="I989" s="471"/>
      <c r="J989" s="471"/>
      <c r="K989" s="456"/>
    </row>
    <row r="990" ht="14.5" customHeight="1" spans="1:11" x14ac:dyDescent="0.25" outlineLevel="1" collapsed="1">
      <c r="A990" s="422" t="s">
        <v>316</v>
      </c>
      <c r="B990" s="435" t="s">
        <v>2197</v>
      </c>
      <c r="C990" s="422" t="s">
        <v>61</v>
      </c>
      <c r="D990" s="451" t="s">
        <v>1493</v>
      </c>
      <c r="E990" s="471"/>
      <c r="F990" s="445"/>
      <c r="G990" s="445"/>
      <c r="H990" s="446">
        <f t="shared" si="238"/>
        <v>0</v>
      </c>
      <c r="I990" s="471"/>
      <c r="J990" s="471"/>
      <c r="K990" s="456"/>
    </row>
    <row r="991" ht="14.5" customHeight="1" spans="1:11" x14ac:dyDescent="0.25" outlineLevel="1" collapsed="1">
      <c r="A991" s="422" t="s">
        <v>318</v>
      </c>
      <c r="B991" s="435" t="s">
        <v>2198</v>
      </c>
      <c r="C991" s="422" t="s">
        <v>61</v>
      </c>
      <c r="D991" s="451" t="s">
        <v>1493</v>
      </c>
      <c r="E991" s="443"/>
      <c r="F991" s="684"/>
      <c r="G991" s="445"/>
      <c r="H991" s="446">
        <f t="shared" si="238"/>
        <v>100</v>
      </c>
      <c r="I991" s="443"/>
      <c r="J991" s="471"/>
      <c r="K991" s="456"/>
    </row>
    <row r="992" ht="14.5" customHeight="1" spans="1:11" x14ac:dyDescent="0.25" outlineLevel="1" collapsed="1">
      <c r="A992" s="293" t="s">
        <v>478</v>
      </c>
      <c r="B992" s="349" t="s">
        <v>2131</v>
      </c>
      <c r="C992" s="293" t="s">
        <v>61</v>
      </c>
      <c r="D992" s="443" t="s">
        <v>1456</v>
      </c>
      <c r="E992" s="698"/>
      <c r="F992" s="445"/>
      <c r="G992" s="445"/>
      <c r="H992" s="446">
        <f t="shared" si="238"/>
        <v>0</v>
      </c>
      <c r="I992" s="228"/>
      <c r="J992" s="228"/>
      <c r="K992" s="456"/>
    </row>
    <row r="993" ht="14.5" customHeight="1" spans="1:11" x14ac:dyDescent="0.25" outlineLevel="1" collapsed="1">
      <c r="A993" s="293" t="s">
        <v>481</v>
      </c>
      <c r="B993" s="349" t="s">
        <v>2155</v>
      </c>
      <c r="C993" s="293" t="s">
        <v>61</v>
      </c>
      <c r="D993" s="443" t="s">
        <v>1456</v>
      </c>
      <c r="E993" s="698"/>
      <c r="F993" s="445"/>
      <c r="G993" s="445"/>
      <c r="H993" s="446">
        <f t="shared" si="238"/>
        <v>0</v>
      </c>
      <c r="I993" s="228"/>
      <c r="J993" s="228"/>
      <c r="K993" s="456"/>
    </row>
    <row r="994" ht="14.5" customHeight="1" spans="1:11" x14ac:dyDescent="0.25" outlineLevel="1" collapsed="1">
      <c r="A994" s="293" t="s">
        <v>483</v>
      </c>
      <c r="B994" s="349" t="s">
        <v>2169</v>
      </c>
      <c r="C994" s="293" t="s">
        <v>61</v>
      </c>
      <c r="D994" s="443" t="s">
        <v>1456</v>
      </c>
      <c r="E994" s="698"/>
      <c r="F994" s="445"/>
      <c r="G994" s="445"/>
      <c r="H994" s="446">
        <f t="shared" si="238"/>
        <v>0</v>
      </c>
      <c r="I994" s="228"/>
      <c r="J994" s="228"/>
      <c r="K994" s="456"/>
    </row>
    <row r="995" ht="14.5" customHeight="1" spans="1:11" x14ac:dyDescent="0.25" outlineLevel="1" collapsed="1">
      <c r="A995" s="293" t="s">
        <v>485</v>
      </c>
      <c r="B995" s="349" t="s">
        <v>2199</v>
      </c>
      <c r="C995" s="293" t="s">
        <v>61</v>
      </c>
      <c r="D995" s="443" t="s">
        <v>1456</v>
      </c>
      <c r="E995" s="698"/>
      <c r="F995" s="445"/>
      <c r="G995" s="445"/>
      <c r="H995" s="446">
        <f t="shared" si="238"/>
        <v>0</v>
      </c>
      <c r="I995" s="228"/>
      <c r="J995" s="228"/>
      <c r="K995" s="456"/>
    </row>
    <row r="996" ht="14.5" customHeight="1" spans="1:11" x14ac:dyDescent="0.25" outlineLevel="1" collapsed="1">
      <c r="A996" s="604" t="s">
        <v>488</v>
      </c>
      <c r="B996" s="605" t="s">
        <v>2200</v>
      </c>
      <c r="C996" s="604" t="s">
        <v>61</v>
      </c>
      <c r="D996" s="678" t="s">
        <v>2136</v>
      </c>
      <c r="E996" s="662">
        <f>IFERROR(1*E989/100*3.664*1000/E986,0)</f>
        <v>0</v>
      </c>
      <c r="F996" s="662">
        <f t="shared" ref="F996:I996" si="240">IFERROR(1*F989/100*3.664*1000/F986,0)</f>
        <v>0</v>
      </c>
      <c r="G996" s="662">
        <f t="shared" si="240"/>
        <v>0</v>
      </c>
      <c r="H996" s="662">
        <f t="shared" si="240"/>
        <v>0</v>
      </c>
      <c r="I996" s="662">
        <f t="shared" si="240"/>
        <v>0</v>
      </c>
      <c r="J996" s="228"/>
      <c r="K996" s="456"/>
    </row>
    <row r="997" ht="14.5" customHeight="1" spans="1:11" x14ac:dyDescent="0.25" outlineLevel="1" collapsed="1">
      <c r="A997" s="604" t="s">
        <v>403</v>
      </c>
      <c r="B997" s="605" t="s">
        <v>2185</v>
      </c>
      <c r="C997" s="604" t="s">
        <v>61</v>
      </c>
      <c r="D997" s="678" t="s">
        <v>2136</v>
      </c>
      <c r="E997" s="662">
        <f>IFERROR(1*E990/100*3.664*1000/E987,0)</f>
        <v>0</v>
      </c>
      <c r="F997" s="662">
        <f t="shared" ref="F997:I997" si="241">IFERROR(1*F990/100*3.664*1000/F987,0)</f>
        <v>0</v>
      </c>
      <c r="G997" s="662">
        <f t="shared" si="241"/>
        <v>0</v>
      </c>
      <c r="H997" s="662">
        <f t="shared" si="241"/>
        <v>0</v>
      </c>
      <c r="I997" s="662">
        <f t="shared" si="241"/>
        <v>0</v>
      </c>
      <c r="J997" s="228"/>
      <c r="K997" s="456"/>
    </row>
    <row r="998" ht="14.5" customHeight="1" spans="1:11" x14ac:dyDescent="0.25" outlineLevel="1" collapsed="1">
      <c r="A998" s="707" t="s">
        <v>485</v>
      </c>
      <c r="B998" s="708" t="s">
        <v>2201</v>
      </c>
      <c r="C998" s="709" t="s">
        <v>61</v>
      </c>
      <c r="D998" s="709" t="s">
        <v>2136</v>
      </c>
      <c r="E998" s="710">
        <f>'Emission Factor &amp; GWP Backup'!$H$43</f>
        <v>0.00351691199999994</v>
      </c>
      <c r="F998" s="710">
        <f>'Emission Factor &amp; GWP Backup'!$H$43</f>
        <v>0.00351691199999994</v>
      </c>
      <c r="G998" s="710">
        <f>'Emission Factor &amp; GWP Backup'!$H$43</f>
        <v>0.00351691199999994</v>
      </c>
      <c r="H998" s="710">
        <f>'Emission Factor &amp; GWP Backup'!$H$43</f>
        <v>0.00351691199999994</v>
      </c>
      <c r="I998" s="710">
        <f>'Emission Factor &amp; GWP Backup'!$H$43</f>
        <v>0.00351691199999994</v>
      </c>
      <c r="J998" s="228"/>
      <c r="K998" s="456"/>
    </row>
    <row r="999" ht="14.5" customHeight="1" spans="1:11" x14ac:dyDescent="0.25" outlineLevel="1" collapsed="1">
      <c r="A999" s="707" t="s">
        <v>488</v>
      </c>
      <c r="B999" s="708" t="s">
        <v>2188</v>
      </c>
      <c r="C999" s="709" t="s">
        <v>61</v>
      </c>
      <c r="D999" s="709" t="s">
        <v>2136</v>
      </c>
      <c r="E999" s="710">
        <f>'Emission Factor &amp; GWP Backup'!$K$43</f>
        <v>0.004438007999999925</v>
      </c>
      <c r="F999" s="710">
        <f>'Emission Factor &amp; GWP Backup'!$K$43</f>
        <v>0.004438007999999925</v>
      </c>
      <c r="G999" s="710">
        <f>'Emission Factor &amp; GWP Backup'!$K$43</f>
        <v>0.004438007999999925</v>
      </c>
      <c r="H999" s="710">
        <f>'Emission Factor &amp; GWP Backup'!$K$43</f>
        <v>0.004438007999999925</v>
      </c>
      <c r="I999" s="710">
        <f>'Emission Factor &amp; GWP Backup'!$K$43</f>
        <v>0.004438007999999925</v>
      </c>
      <c r="J999" s="228"/>
      <c r="K999" s="456"/>
    </row>
    <row r="1000" spans="1:11" x14ac:dyDescent="0.25" outlineLevel="1" collapsed="1">
      <c r="A1000" s="452" t="s">
        <v>407</v>
      </c>
      <c r="B1000" s="453" t="s">
        <v>2137</v>
      </c>
      <c r="C1000" s="452" t="s">
        <v>2138</v>
      </c>
      <c r="D1000" s="452" t="s">
        <v>1456</v>
      </c>
      <c r="E1000" s="446">
        <f t="shared" ref="E1000" si="242">E993+E995+E994</f>
        <v>0</v>
      </c>
      <c r="F1000" s="446">
        <f t="shared" ref="F1000:I1000" si="243">F993+F995+F994</f>
        <v>0</v>
      </c>
      <c r="G1000" s="446">
        <f t="shared" si="243"/>
        <v>0</v>
      </c>
      <c r="H1000" s="446">
        <f t="shared" si="243"/>
        <v>0</v>
      </c>
      <c r="I1000" s="446">
        <f t="shared" si="243"/>
        <v>0</v>
      </c>
      <c r="J1000" s="711"/>
      <c r="K1000" s="456"/>
    </row>
    <row r="1001" spans="1:11" x14ac:dyDescent="0.25" outlineLevel="1" collapsed="1">
      <c r="A1001" s="452" t="s">
        <v>410</v>
      </c>
      <c r="B1001" s="453" t="s">
        <v>2139</v>
      </c>
      <c r="C1001" s="452" t="s">
        <v>2158</v>
      </c>
      <c r="D1001" s="452" t="s">
        <v>1826</v>
      </c>
      <c r="E1001" s="446">
        <f t="shared" ref="E1001" si="244">E986*E993/1000</f>
        <v>0</v>
      </c>
      <c r="F1001" s="446">
        <f t="shared" ref="F1001:I1001" si="245">F986*F993/1000</f>
        <v>0</v>
      </c>
      <c r="G1001" s="446">
        <f t="shared" si="245"/>
        <v>0</v>
      </c>
      <c r="H1001" s="446">
        <f t="shared" si="245"/>
        <v>0</v>
      </c>
      <c r="I1001" s="446">
        <f t="shared" si="245"/>
        <v>0</v>
      </c>
      <c r="J1001" s="517"/>
      <c r="K1001" s="456"/>
    </row>
    <row r="1002" spans="1:11" x14ac:dyDescent="0.25" outlineLevel="1" collapsed="1">
      <c r="A1002" s="452" t="s">
        <v>413</v>
      </c>
      <c r="B1002" s="453" t="s">
        <v>2171</v>
      </c>
      <c r="C1002" s="452" t="s">
        <v>2160</v>
      </c>
      <c r="D1002" s="452" t="s">
        <v>1826</v>
      </c>
      <c r="E1002" s="446">
        <f t="shared" ref="E1002" si="246">E986*E994/1000</f>
        <v>0</v>
      </c>
      <c r="F1002" s="446">
        <f t="shared" ref="F1002:I1002" si="247">F986*F994/1000</f>
        <v>0</v>
      </c>
      <c r="G1002" s="446">
        <f t="shared" si="247"/>
        <v>0</v>
      </c>
      <c r="H1002" s="446">
        <f t="shared" si="247"/>
        <v>0</v>
      </c>
      <c r="I1002" s="446">
        <f t="shared" si="247"/>
        <v>0</v>
      </c>
      <c r="J1002" s="517"/>
      <c r="K1002" s="456"/>
    </row>
    <row r="1003" spans="1:11" x14ac:dyDescent="0.25" outlineLevel="1" collapsed="1">
      <c r="A1003" s="452" t="s">
        <v>416</v>
      </c>
      <c r="B1003" s="453" t="s">
        <v>2143</v>
      </c>
      <c r="C1003" s="452" t="s">
        <v>2161</v>
      </c>
      <c r="D1003" s="452" t="s">
        <v>1826</v>
      </c>
      <c r="E1003" s="446">
        <f t="shared" ref="E1003" si="248">E986*E995/1000</f>
        <v>0</v>
      </c>
      <c r="F1003" s="446">
        <f t="shared" ref="F1003:I1003" si="249">F986*F995/1000</f>
        <v>0</v>
      </c>
      <c r="G1003" s="446">
        <f t="shared" si="249"/>
        <v>0</v>
      </c>
      <c r="H1003" s="446">
        <f t="shared" si="249"/>
        <v>0</v>
      </c>
      <c r="I1003" s="446">
        <f t="shared" si="249"/>
        <v>0</v>
      </c>
      <c r="J1003" s="517"/>
      <c r="K1003" s="456"/>
    </row>
    <row r="1004" spans="1:11" x14ac:dyDescent="0.25" outlineLevel="1" collapsed="1">
      <c r="A1004" s="604" t="s">
        <v>419</v>
      </c>
      <c r="B1004" s="605" t="s">
        <v>2145</v>
      </c>
      <c r="C1004" s="604"/>
      <c r="D1004" s="604" t="s">
        <v>1826</v>
      </c>
      <c r="E1004" s="606">
        <f t="shared" ref="E1004" si="250">E1001+E1002</f>
        <v>0</v>
      </c>
      <c r="F1004" s="606">
        <f t="shared" ref="F1004:I1004" si="251">F1001+F1002</f>
        <v>0</v>
      </c>
      <c r="G1004" s="606">
        <f t="shared" si="251"/>
        <v>0</v>
      </c>
      <c r="H1004" s="606">
        <f t="shared" si="251"/>
        <v>0</v>
      </c>
      <c r="I1004" s="606">
        <f t="shared" si="251"/>
        <v>0</v>
      </c>
      <c r="J1004" s="517"/>
      <c r="K1004" s="456"/>
    </row>
    <row r="1005" spans="1:11" x14ac:dyDescent="0.25" outlineLevel="1" collapsed="1">
      <c r="A1005" s="604" t="s">
        <v>423</v>
      </c>
      <c r="B1005" s="605" t="s">
        <v>2202</v>
      </c>
      <c r="C1005" s="604"/>
      <c r="D1005" s="604" t="s">
        <v>2147</v>
      </c>
      <c r="E1005" s="606">
        <f t="shared" ref="E1005" si="252">E993*E$987*1000*E$991/100*E$996/10^6</f>
        <v>0</v>
      </c>
      <c r="F1005" s="606">
        <f t="shared" ref="F1005:I1005" si="253">F993*F$987*1000*F$991/100*F$996/10^6</f>
        <v>0</v>
      </c>
      <c r="G1005" s="606">
        <f t="shared" si="253"/>
        <v>0</v>
      </c>
      <c r="H1005" s="606">
        <f t="shared" si="253"/>
        <v>0</v>
      </c>
      <c r="I1005" s="606">
        <f t="shared" si="253"/>
        <v>0</v>
      </c>
      <c r="J1005" s="517"/>
      <c r="K1005" s="456"/>
    </row>
    <row r="1006" spans="1:11" x14ac:dyDescent="0.25" outlineLevel="1" collapsed="1">
      <c r="A1006" s="604" t="s">
        <v>425</v>
      </c>
      <c r="B1006" s="605" t="s">
        <v>2203</v>
      </c>
      <c r="C1006" s="604"/>
      <c r="D1006" s="604" t="s">
        <v>2147</v>
      </c>
      <c r="E1006" s="606">
        <f t="shared" ref="E1006" si="254">E994*E$987*1000*E$991/100*E$996/10^6</f>
        <v>0</v>
      </c>
      <c r="F1006" s="606">
        <f t="shared" ref="F1006:I1006" si="255">F994*F$987*1000*F$991/100*F$996/10^6</f>
        <v>0</v>
      </c>
      <c r="G1006" s="606">
        <f t="shared" si="255"/>
        <v>0</v>
      </c>
      <c r="H1006" s="606">
        <f t="shared" si="255"/>
        <v>0</v>
      </c>
      <c r="I1006" s="606">
        <f t="shared" si="255"/>
        <v>0</v>
      </c>
      <c r="J1006" s="517"/>
      <c r="K1006" s="456"/>
    </row>
    <row r="1007" spans="1:11" x14ac:dyDescent="0.25" outlineLevel="1" collapsed="1">
      <c r="A1007" s="604" t="s">
        <v>427</v>
      </c>
      <c r="B1007" s="605" t="s">
        <v>2204</v>
      </c>
      <c r="C1007" s="604"/>
      <c r="D1007" s="604" t="s">
        <v>2147</v>
      </c>
      <c r="E1007" s="606">
        <f t="shared" ref="E1007" si="256">E995*E$987*1000*E$991/100*E$996/10^6</f>
        <v>0</v>
      </c>
      <c r="F1007" s="606">
        <f t="shared" ref="F1007:I1007" si="257">F995*F$987*1000*F$991/100*F$996/10^6</f>
        <v>0</v>
      </c>
      <c r="G1007" s="606">
        <f t="shared" si="257"/>
        <v>0</v>
      </c>
      <c r="H1007" s="606">
        <f t="shared" si="257"/>
        <v>0</v>
      </c>
      <c r="I1007" s="606">
        <f t="shared" si="257"/>
        <v>0</v>
      </c>
      <c r="J1007" s="517"/>
      <c r="K1007" s="456"/>
    </row>
    <row r="1008" ht="16.5" customHeight="1" spans="1:11" x14ac:dyDescent="0.25" outlineLevel="1" collapsed="1">
      <c r="A1008" s="604" t="s">
        <v>514</v>
      </c>
      <c r="B1008" s="605" t="s">
        <v>2190</v>
      </c>
      <c r="C1008" s="604"/>
      <c r="D1008" s="604" t="s">
        <v>2147</v>
      </c>
      <c r="E1008" s="606">
        <f t="shared" ref="E1008" si="258">E993*E$987*1000*E$991/100*E$997/10^6</f>
        <v>0</v>
      </c>
      <c r="F1008" s="606">
        <f t="shared" ref="F1008:I1008" si="259">F993*F$987*1000*F$991/100*F$997/10^6</f>
        <v>0</v>
      </c>
      <c r="G1008" s="606">
        <f t="shared" si="259"/>
        <v>0</v>
      </c>
      <c r="H1008" s="606">
        <f t="shared" si="259"/>
        <v>0</v>
      </c>
      <c r="I1008" s="606">
        <f t="shared" si="259"/>
        <v>0</v>
      </c>
      <c r="J1008" s="517"/>
      <c r="K1008" s="456"/>
    </row>
    <row r="1009" spans="1:11" x14ac:dyDescent="0.25" outlineLevel="1" collapsed="1">
      <c r="A1009" s="604" t="s">
        <v>516</v>
      </c>
      <c r="B1009" s="605" t="s">
        <v>2191</v>
      </c>
      <c r="C1009" s="604"/>
      <c r="D1009" s="604" t="s">
        <v>2147</v>
      </c>
      <c r="E1009" s="606">
        <f t="shared" ref="E1009" si="260">E994*E$987*1000*E$991/100*E$997/10^6</f>
        <v>0</v>
      </c>
      <c r="F1009" s="606">
        <f t="shared" ref="F1009:I1009" si="261">F994*F$987*1000*F$991/100*F$997/10^6</f>
        <v>0</v>
      </c>
      <c r="G1009" s="606">
        <f t="shared" si="261"/>
        <v>0</v>
      </c>
      <c r="H1009" s="606">
        <f t="shared" si="261"/>
        <v>0</v>
      </c>
      <c r="I1009" s="606">
        <f t="shared" si="261"/>
        <v>0</v>
      </c>
      <c r="J1009" s="517"/>
      <c r="K1009" s="456"/>
    </row>
    <row r="1010" spans="1:11" x14ac:dyDescent="0.25" outlineLevel="1" collapsed="1">
      <c r="A1010" s="604" t="s">
        <v>518</v>
      </c>
      <c r="B1010" s="605" t="s">
        <v>2192</v>
      </c>
      <c r="C1010" s="604"/>
      <c r="D1010" s="604" t="s">
        <v>2147</v>
      </c>
      <c r="E1010" s="606">
        <f t="shared" ref="E1010" si="262">E995*E$987*1000*E$991/100*E$997/10^6</f>
        <v>0</v>
      </c>
      <c r="F1010" s="606">
        <f t="shared" ref="F1010:I1010" si="263">F995*F$987*1000*F$991/100*F$997/10^6</f>
        <v>0</v>
      </c>
      <c r="G1010" s="606">
        <f t="shared" si="263"/>
        <v>0</v>
      </c>
      <c r="H1010" s="606">
        <f t="shared" si="263"/>
        <v>0</v>
      </c>
      <c r="I1010" s="606">
        <f t="shared" si="263"/>
        <v>0</v>
      </c>
      <c r="J1010" s="517"/>
      <c r="K1010" s="456"/>
    </row>
    <row r="1011" spans="1:11" x14ac:dyDescent="0.25" outlineLevel="1" collapsed="1">
      <c r="A1011" s="604" t="s">
        <v>520</v>
      </c>
      <c r="B1011" s="605" t="s">
        <v>2205</v>
      </c>
      <c r="C1011" s="604"/>
      <c r="D1011" s="604" t="s">
        <v>2147</v>
      </c>
      <c r="E1011" s="606">
        <f>E1000*E$987*1000*E$991/100*(E$998+E999)/10^6</f>
        <v>0</v>
      </c>
      <c r="F1011" s="606">
        <f t="shared" ref="F1011:I1011" si="264">F1000*F$987*1000*F$991/100*(F$998+F999)/10^6</f>
        <v>0</v>
      </c>
      <c r="G1011" s="606">
        <f t="shared" si="264"/>
        <v>0</v>
      </c>
      <c r="H1011" s="606">
        <f t="shared" si="264"/>
        <v>0</v>
      </c>
      <c r="I1011" s="606">
        <f t="shared" si="264"/>
        <v>0</v>
      </c>
      <c r="J1011" s="517"/>
      <c r="K1011" s="456"/>
    </row>
    <row r="1012" ht="42" customHeight="1" spans="1:11" x14ac:dyDescent="0.25">
      <c r="A1012" s="452" t="s">
        <v>1053</v>
      </c>
      <c r="B1012" s="453" t="s">
        <v>2139</v>
      </c>
      <c r="C1012" s="452" t="s">
        <v>2206</v>
      </c>
      <c r="D1012" s="452" t="s">
        <v>1826</v>
      </c>
      <c r="E1012" s="446">
        <f>E868+E889+E910+E931+E952+E975+E1001</f>
        <v>17006411.615066648</v>
      </c>
      <c r="F1012" s="446">
        <f t="shared" ref="F1012:I1012" si="265">F868+F889+F910+F931+F952+F975+F1001</f>
        <v>0</v>
      </c>
      <c r="G1012" s="446">
        <f t="shared" si="265"/>
        <v>0</v>
      </c>
      <c r="H1012" s="446">
        <f t="shared" si="265"/>
        <v>17006411.615066648</v>
      </c>
      <c r="I1012" s="446">
        <f t="shared" si="265"/>
        <v>0</v>
      </c>
      <c r="J1012" s="517"/>
      <c r="K1012" s="456"/>
    </row>
    <row r="1013" ht="73.5" customHeight="1" spans="1:11" x14ac:dyDescent="0.25">
      <c r="A1013" s="452" t="s">
        <v>1055</v>
      </c>
      <c r="B1013" s="453" t="s">
        <v>2171</v>
      </c>
      <c r="C1013" s="712" t="s">
        <v>2207</v>
      </c>
      <c r="D1013" s="452" t="s">
        <v>1826</v>
      </c>
      <c r="E1013" s="446">
        <f>E869+E890+E911+E932+E953+E976*(1-E811)+E1002*(1-E811)</f>
        <v>1406939.55169516</v>
      </c>
      <c r="F1013" s="446">
        <f t="shared" ref="F1013" si="266">F869+F890+F911+F932+F953+F976+F1002</f>
        <v>0</v>
      </c>
      <c r="G1013" s="446">
        <f t="shared" ref="G1013:H1013" si="267">G869+G890+G911+G932+G953+G976*(1-G811)+G1002*(1-G811)</f>
        <v>0</v>
      </c>
      <c r="H1013" s="446">
        <f t="shared" si="267"/>
        <v>1406939.55169516</v>
      </c>
      <c r="I1013" s="446">
        <f t="shared" ref="I1013" si="268">I869+I890+I911+I932+I953+I976*(1-I811)+I1002*(1-I811)</f>
        <v>0</v>
      </c>
      <c r="J1013" s="517"/>
      <c r="K1013" s="456"/>
    </row>
    <row r="1014" ht="28" customHeight="1" spans="1:11" x14ac:dyDescent="0.25">
      <c r="A1014" s="452" t="s">
        <v>1057</v>
      </c>
      <c r="B1014" s="453" t="s">
        <v>2208</v>
      </c>
      <c r="C1014" s="452" t="s">
        <v>2209</v>
      </c>
      <c r="D1014" s="452" t="s">
        <v>1826</v>
      </c>
      <c r="E1014" s="446">
        <f t="shared" ref="E1014:G1014" si="269">E870+E891+E912+E933+E954+E976*(E811)+E1002*(E811)</f>
        <v>1449916.8957448278</v>
      </c>
      <c r="F1014" s="446">
        <f t="shared" si="269"/>
        <v>0</v>
      </c>
      <c r="G1014" s="446">
        <f t="shared" si="269"/>
        <v>0</v>
      </c>
      <c r="H1014" s="446">
        <f>H870+H891+H912+H933+H954+H976*(H811)+H1002*(H811)</f>
        <v>1449916.8957448278</v>
      </c>
      <c r="I1014" s="446">
        <f>I870+I891+I912+I933+I954+I976*(I811)+I1002*(I811)</f>
        <v>0</v>
      </c>
      <c r="J1014" s="517"/>
      <c r="K1014" s="456"/>
    </row>
    <row r="1015" spans="1:11" x14ac:dyDescent="0.25">
      <c r="A1015" s="604" t="s">
        <v>2210</v>
      </c>
      <c r="B1015" s="605" t="s">
        <v>2202</v>
      </c>
      <c r="C1015" s="604"/>
      <c r="D1015" s="604" t="s">
        <v>2147</v>
      </c>
      <c r="E1015" s="606">
        <f>E872+E893+E914+E935+E956+E1005</f>
        <v>6496808.346160973</v>
      </c>
      <c r="F1015" s="446">
        <f t="shared" ref="F1015" si="270">F871+F892+F913+F934+F955+F978+F1004</f>
        <v>0</v>
      </c>
      <c r="G1015" s="606">
        <f t="shared" ref="G1015:I1015" si="271">G872+G893+G914+G935+G956+G1005</f>
        <v>0</v>
      </c>
      <c r="H1015" s="606">
        <f t="shared" si="271"/>
        <v>6496808.346160973</v>
      </c>
      <c r="I1015" s="606">
        <f t="shared" si="271"/>
        <v>0</v>
      </c>
      <c r="J1015" s="517"/>
      <c r="K1015" s="456"/>
    </row>
    <row r="1016" spans="1:11" x14ac:dyDescent="0.25">
      <c r="A1016" s="604" t="s">
        <v>2211</v>
      </c>
      <c r="B1016" s="605" t="s">
        <v>2203</v>
      </c>
      <c r="C1016" s="604"/>
      <c r="D1016" s="604" t="s">
        <v>2147</v>
      </c>
      <c r="E1016" s="606">
        <f t="shared" ref="E1016" si="272">E873+E894+E915+E936+E957+E1006</f>
        <v>537780.0003503208</v>
      </c>
      <c r="F1016" s="446">
        <f t="shared" ref="F1016" si="273">F872+F893+F914+F935+F956+F979+F1005</f>
        <v>0</v>
      </c>
      <c r="G1016" s="606">
        <f t="shared" ref="G1016:I1016" si="274">G873+G894+G915+G936+G957+G1006</f>
        <v>0</v>
      </c>
      <c r="H1016" s="606">
        <f t="shared" si="274"/>
        <v>537780.0003503208</v>
      </c>
      <c r="I1016" s="606">
        <f t="shared" si="274"/>
        <v>0</v>
      </c>
      <c r="J1016" s="517"/>
      <c r="K1016" s="456"/>
    </row>
    <row r="1017" spans="1:11" x14ac:dyDescent="0.25">
      <c r="A1017" s="604" t="s">
        <v>2212</v>
      </c>
      <c r="B1017" s="605" t="s">
        <v>2204</v>
      </c>
      <c r="C1017" s="604"/>
      <c r="D1017" s="604" t="s">
        <v>2147</v>
      </c>
      <c r="E1017" s="606">
        <f t="shared" ref="E1017" si="275">E874+E895+E916+E937+E958+E1007</f>
        <v>554207.3984359308</v>
      </c>
      <c r="F1017" s="446">
        <f t="shared" ref="F1017" si="276">F873+F894+F915+F936+F957+F980+F1006</f>
        <v>0</v>
      </c>
      <c r="G1017" s="606">
        <f t="shared" ref="G1017:I1017" si="277">G874+G895+G916+G937+G958+G1007</f>
        <v>0</v>
      </c>
      <c r="H1017" s="606">
        <f t="shared" si="277"/>
        <v>554207.3984359308</v>
      </c>
      <c r="I1017" s="606">
        <f t="shared" si="277"/>
        <v>0</v>
      </c>
      <c r="J1017" s="517"/>
      <c r="K1017" s="456"/>
    </row>
    <row r="1018" ht="18.75" customHeight="1" spans="1:11" x14ac:dyDescent="0.25">
      <c r="A1018" s="604" t="s">
        <v>2213</v>
      </c>
      <c r="B1018" s="605" t="s">
        <v>2190</v>
      </c>
      <c r="C1018" s="604"/>
      <c r="D1018" s="604" t="s">
        <v>2147</v>
      </c>
      <c r="E1018" s="606">
        <f>E979+E1008</f>
        <v>3765.6529756599984</v>
      </c>
      <c r="F1018" s="446">
        <f t="shared" ref="F1018" si="278">F874+F895+F916+F937+F958+F981+F1007</f>
        <v>0</v>
      </c>
      <c r="G1018" s="606">
        <f t="shared" ref="G1018:I1018" si="279">G979+G1008</f>
        <v>0</v>
      </c>
      <c r="H1018" s="606">
        <f t="shared" si="279"/>
        <v>3765.6529756599984</v>
      </c>
      <c r="I1018" s="606">
        <f t="shared" si="279"/>
        <v>0</v>
      </c>
      <c r="J1018" s="517"/>
      <c r="K1018" s="456"/>
    </row>
    <row r="1019" spans="1:11" x14ac:dyDescent="0.25">
      <c r="A1019" s="604" t="s">
        <v>2214</v>
      </c>
      <c r="B1019" s="605" t="s">
        <v>2191</v>
      </c>
      <c r="C1019" s="604"/>
      <c r="D1019" s="604" t="s">
        <v>2147</v>
      </c>
      <c r="E1019" s="606">
        <f t="shared" ref="E1019" si="280">E980+E1009</f>
        <v>0</v>
      </c>
      <c r="F1019" s="446">
        <f t="shared" ref="F1019" si="281">F875+F896+F917+F938+F959+F982+F1008</f>
        <v>0</v>
      </c>
      <c r="G1019" s="606">
        <f t="shared" ref="G1019:I1019" si="282">G980+G1009</f>
        <v>0</v>
      </c>
      <c r="H1019" s="606">
        <f t="shared" si="282"/>
        <v>0</v>
      </c>
      <c r="I1019" s="606">
        <f t="shared" si="282"/>
        <v>0</v>
      </c>
      <c r="J1019" s="517"/>
      <c r="K1019" s="456"/>
    </row>
    <row r="1020" spans="1:11" x14ac:dyDescent="0.25">
      <c r="A1020" s="604" t="s">
        <v>2215</v>
      </c>
      <c r="B1020" s="605" t="s">
        <v>2192</v>
      </c>
      <c r="C1020" s="604"/>
      <c r="D1020" s="604" t="s">
        <v>2147</v>
      </c>
      <c r="E1020" s="606">
        <f t="shared" ref="E1020" si="283">E981+E1010</f>
        <v>12008.856015246705</v>
      </c>
      <c r="F1020" s="446">
        <f t="shared" ref="F1020" si="284">F876+F897+F918+F939+F960+F983+F1009</f>
        <v>0</v>
      </c>
      <c r="G1020" s="606">
        <f t="shared" ref="G1020:I1020" si="285">G981+G1010</f>
        <v>0</v>
      </c>
      <c r="H1020" s="606">
        <f t="shared" si="285"/>
        <v>12008.856015246705</v>
      </c>
      <c r="I1020" s="606">
        <f t="shared" si="285"/>
        <v>0</v>
      </c>
      <c r="J1020" s="517"/>
      <c r="K1020" s="456"/>
    </row>
    <row r="1021" spans="1:11" x14ac:dyDescent="0.25">
      <c r="A1021" s="713" t="s">
        <v>2216</v>
      </c>
      <c r="B1021" s="714" t="s">
        <v>2217</v>
      </c>
      <c r="C1021" s="713"/>
      <c r="D1021" s="713" t="s">
        <v>2147</v>
      </c>
      <c r="E1021" s="606">
        <f>E1015+E1016+E1017</f>
        <v>7588795.744947225</v>
      </c>
      <c r="F1021" s="446">
        <f t="shared" ref="F1021" si="286">F877+F898+F919+F940+F961+F984+F1010</f>
        <v>0</v>
      </c>
      <c r="G1021" s="606">
        <f t="shared" ref="G1021:I1021" si="287">G1015+G1016+G1017</f>
        <v>0</v>
      </c>
      <c r="H1021" s="606">
        <f t="shared" si="287"/>
        <v>7588795.744947225</v>
      </c>
      <c r="I1021" s="606">
        <f t="shared" si="287"/>
        <v>0</v>
      </c>
      <c r="J1021" s="517"/>
      <c r="K1021" s="456"/>
    </row>
    <row r="1022" spans="1:11" x14ac:dyDescent="0.25">
      <c r="A1022" s="715" t="s">
        <v>2218</v>
      </c>
      <c r="B1022" s="714" t="s">
        <v>2219</v>
      </c>
      <c r="C1022" s="713"/>
      <c r="D1022" s="713" t="s">
        <v>2147</v>
      </c>
      <c r="E1022" s="606">
        <f>E1018+E1019+E1020</f>
        <v>15774.508990906703</v>
      </c>
      <c r="F1022" s="446">
        <f t="shared" ref="F1022" si="288">F878+F899+F920+F941+F962+F985+F1011</f>
        <v>0</v>
      </c>
      <c r="G1022" s="606">
        <f t="shared" ref="G1022:I1022" si="289">G1018+G1019+G1020</f>
        <v>0</v>
      </c>
      <c r="H1022" s="606">
        <f t="shared" si="289"/>
        <v>15774.508990906703</v>
      </c>
      <c r="I1022" s="606">
        <f t="shared" si="289"/>
        <v>0</v>
      </c>
      <c r="J1022" s="517"/>
      <c r="K1022" s="456"/>
    </row>
    <row r="1023" spans="1:11" x14ac:dyDescent="0.25">
      <c r="A1023" s="663"/>
      <c r="B1023" s="703"/>
      <c r="C1023" s="702"/>
      <c r="D1023" s="704"/>
      <c r="E1023" s="704"/>
      <c r="F1023" s="704"/>
      <c r="G1023" s="704"/>
      <c r="H1023" s="500"/>
      <c r="I1023" s="704"/>
      <c r="J1023" s="487"/>
      <c r="K1023" s="495"/>
    </row>
    <row r="1024" spans="1:11" x14ac:dyDescent="0.25">
      <c r="A1024" s="437" t="s">
        <v>1058</v>
      </c>
      <c r="B1024" s="438" t="s">
        <v>840</v>
      </c>
      <c r="C1024" s="439"/>
      <c r="D1024" s="440"/>
      <c r="E1024" s="440"/>
      <c r="F1024" s="440"/>
      <c r="G1024" s="440"/>
      <c r="H1024" s="441"/>
      <c r="I1024" s="440"/>
      <c r="J1024" s="442"/>
      <c r="K1024" s="442"/>
    </row>
    <row r="1025" spans="1:11" x14ac:dyDescent="0.25">
      <c r="A1025" s="437" t="s">
        <v>1059</v>
      </c>
      <c r="B1025" s="438" t="s">
        <v>842</v>
      </c>
      <c r="C1025" s="439"/>
      <c r="D1025" s="440"/>
      <c r="E1025" s="440"/>
      <c r="F1025" s="440"/>
      <c r="G1025" s="440"/>
      <c r="H1025" s="441"/>
      <c r="I1025" s="441"/>
      <c r="J1025" s="442"/>
      <c r="K1025" s="442"/>
    </row>
    <row r="1026" ht="28" customHeight="1" spans="1:11" x14ac:dyDescent="0.25" outlineLevel="1" collapsed="1">
      <c r="A1026" s="293" t="s">
        <v>306</v>
      </c>
      <c r="B1026" s="349" t="s">
        <v>2122</v>
      </c>
      <c r="C1026" s="293" t="s">
        <v>2123</v>
      </c>
      <c r="D1026" s="293" t="s">
        <v>2124</v>
      </c>
      <c r="E1026" s="470"/>
      <c r="F1026" s="470"/>
      <c r="G1026" s="470"/>
      <c r="H1026" s="446">
        <f t="shared" ref="H1026:H1035" si="290">IF(K$9=1,E1026,IF(K$9=2,(E1026+F1026)/2,(E1026+F1026+G1026)/3))</f>
        <v>0</v>
      </c>
      <c r="I1026" s="470"/>
      <c r="J1026" s="471"/>
      <c r="K1026" s="716"/>
    </row>
    <row r="1027" ht="14.5" customHeight="1" spans="1:11" x14ac:dyDescent="0.25" outlineLevel="1" collapsed="1">
      <c r="A1027" s="293" t="s">
        <v>308</v>
      </c>
      <c r="B1027" s="349" t="s">
        <v>2220</v>
      </c>
      <c r="C1027" s="293" t="s">
        <v>61</v>
      </c>
      <c r="D1027" s="443" t="s">
        <v>2126</v>
      </c>
      <c r="E1027" s="470"/>
      <c r="F1027" s="470"/>
      <c r="G1027" s="470"/>
      <c r="H1027" s="446">
        <f t="shared" si="290"/>
        <v>0</v>
      </c>
      <c r="I1027" s="470"/>
      <c r="J1027" s="471"/>
      <c r="K1027" s="716"/>
    </row>
    <row r="1028" ht="14.5" customHeight="1" spans="1:11" x14ac:dyDescent="0.25" outlineLevel="1" collapsed="1">
      <c r="A1028" s="422" t="s">
        <v>310</v>
      </c>
      <c r="B1028" s="435" t="s">
        <v>2221</v>
      </c>
      <c r="C1028" s="422" t="s">
        <v>61</v>
      </c>
      <c r="D1028" s="451" t="s">
        <v>2126</v>
      </c>
      <c r="E1028" s="471"/>
      <c r="F1028" s="471">
        <f t="shared" ref="F1028:I1028" si="291">F1027*0.95</f>
        <v>0</v>
      </c>
      <c r="G1028" s="471">
        <f t="shared" si="291"/>
        <v>0</v>
      </c>
      <c r="H1028" s="446">
        <f t="shared" si="290"/>
        <v>0</v>
      </c>
      <c r="I1028" s="471">
        <f t="shared" si="291"/>
        <v>0</v>
      </c>
      <c r="J1028" s="471"/>
      <c r="K1028" s="716"/>
    </row>
    <row r="1029" ht="14.5" customHeight="1" spans="1:11" x14ac:dyDescent="0.25" outlineLevel="1" collapsed="1">
      <c r="A1029" s="293" t="s">
        <v>312</v>
      </c>
      <c r="B1029" s="349" t="s">
        <v>2222</v>
      </c>
      <c r="C1029" s="293" t="s">
        <v>61</v>
      </c>
      <c r="D1029" s="443" t="s">
        <v>2223</v>
      </c>
      <c r="E1029" s="228"/>
      <c r="F1029" s="228"/>
      <c r="G1029" s="228"/>
      <c r="H1029" s="446">
        <f t="shared" si="290"/>
        <v>0</v>
      </c>
      <c r="I1029" s="228"/>
      <c r="J1029" s="228"/>
      <c r="K1029" s="716"/>
    </row>
    <row r="1030" ht="14.5" customHeight="1" spans="1:11" x14ac:dyDescent="0.25" outlineLevel="1" collapsed="1">
      <c r="A1030" s="293" t="s">
        <v>314</v>
      </c>
      <c r="B1030" s="349" t="s">
        <v>2224</v>
      </c>
      <c r="C1030" s="293" t="s">
        <v>61</v>
      </c>
      <c r="D1030" s="443" t="s">
        <v>2225</v>
      </c>
      <c r="E1030" s="470"/>
      <c r="F1030" s="470"/>
      <c r="G1030" s="470"/>
      <c r="H1030" s="446">
        <f t="shared" si="290"/>
        <v>0</v>
      </c>
      <c r="I1030" s="470"/>
      <c r="J1030" s="471"/>
      <c r="K1030" s="716"/>
    </row>
    <row r="1031" ht="14.5" customHeight="1" spans="1:11" x14ac:dyDescent="0.25" outlineLevel="1" collapsed="1">
      <c r="A1031" s="422" t="s">
        <v>316</v>
      </c>
      <c r="B1031" s="435" t="s">
        <v>2226</v>
      </c>
      <c r="C1031" s="422" t="s">
        <v>61</v>
      </c>
      <c r="D1031" s="451" t="s">
        <v>1590</v>
      </c>
      <c r="E1031" s="245"/>
      <c r="F1031" s="245"/>
      <c r="G1031" s="245"/>
      <c r="H1031" s="446">
        <f t="shared" si="290"/>
        <v>100</v>
      </c>
      <c r="I1031" s="245"/>
      <c r="J1031" s="471"/>
      <c r="K1031" s="716"/>
    </row>
    <row r="1032" ht="14.5" customHeight="1" spans="1:11" x14ac:dyDescent="0.25" outlineLevel="1" collapsed="1">
      <c r="A1032" s="293" t="s">
        <v>318</v>
      </c>
      <c r="B1032" s="349" t="s">
        <v>2227</v>
      </c>
      <c r="C1032" s="293" t="s">
        <v>61</v>
      </c>
      <c r="D1032" s="443" t="s">
        <v>2223</v>
      </c>
      <c r="E1032" s="228"/>
      <c r="F1032" s="228"/>
      <c r="G1032" s="228"/>
      <c r="H1032" s="446">
        <f t="shared" si="290"/>
        <v>0</v>
      </c>
      <c r="I1032" s="228"/>
      <c r="J1032" s="228"/>
      <c r="K1032" s="716"/>
    </row>
    <row r="1033" ht="14.5" customHeight="1" spans="1:11" x14ac:dyDescent="0.25" outlineLevel="1" collapsed="1">
      <c r="A1033" s="293" t="s">
        <v>478</v>
      </c>
      <c r="B1033" s="349" t="s">
        <v>2155</v>
      </c>
      <c r="C1033" s="293" t="s">
        <v>61</v>
      </c>
      <c r="D1033" s="443" t="s">
        <v>2223</v>
      </c>
      <c r="E1033" s="228"/>
      <c r="F1033" s="228"/>
      <c r="G1033" s="228"/>
      <c r="H1033" s="446">
        <f t="shared" si="290"/>
        <v>0</v>
      </c>
      <c r="I1033" s="228"/>
      <c r="J1033" s="228"/>
      <c r="K1033" s="716"/>
    </row>
    <row r="1034" ht="14.5" customHeight="1" spans="1:11" x14ac:dyDescent="0.25" outlineLevel="1" collapsed="1">
      <c r="A1034" s="293" t="s">
        <v>481</v>
      </c>
      <c r="B1034" s="349" t="s">
        <v>2169</v>
      </c>
      <c r="C1034" s="293" t="s">
        <v>61</v>
      </c>
      <c r="D1034" s="443" t="s">
        <v>2223</v>
      </c>
      <c r="E1034" s="228"/>
      <c r="F1034" s="228"/>
      <c r="G1034" s="228"/>
      <c r="H1034" s="446">
        <f t="shared" si="290"/>
        <v>0</v>
      </c>
      <c r="I1034" s="717"/>
      <c r="J1034" s="677"/>
      <c r="K1034" s="716"/>
    </row>
    <row r="1035" ht="14.5" customHeight="1" spans="1:11" x14ac:dyDescent="0.25" outlineLevel="1" collapsed="1">
      <c r="A1035" s="293" t="s">
        <v>483</v>
      </c>
      <c r="B1035" s="349" t="s">
        <v>2134</v>
      </c>
      <c r="C1035" s="293" t="s">
        <v>61</v>
      </c>
      <c r="D1035" s="443" t="s">
        <v>2223</v>
      </c>
      <c r="E1035" s="228"/>
      <c r="F1035" s="228"/>
      <c r="G1035" s="228"/>
      <c r="H1035" s="446">
        <f t="shared" si="290"/>
        <v>0</v>
      </c>
      <c r="I1035" s="228"/>
      <c r="J1035" s="228"/>
      <c r="K1035" s="716"/>
    </row>
    <row r="1036" ht="21" customHeight="1" spans="1:11" x14ac:dyDescent="0.25" outlineLevel="1" collapsed="1">
      <c r="A1036" s="604" t="s">
        <v>485</v>
      </c>
      <c r="B1036" s="605" t="s">
        <v>2228</v>
      </c>
      <c r="C1036" s="604" t="s">
        <v>61</v>
      </c>
      <c r="D1036" s="678" t="s">
        <v>2186</v>
      </c>
      <c r="E1036" s="662">
        <f>'Emission Factor &amp; GWP Backup'!$E$14</f>
        <v>0.3240583199999945</v>
      </c>
      <c r="F1036" s="662">
        <f>'Emission Factor &amp; GWP Backup'!$E$14</f>
        <v>0.3240583199999945</v>
      </c>
      <c r="G1036" s="662">
        <f>'Emission Factor &amp; GWP Backup'!$E$14</f>
        <v>0.3240583199999945</v>
      </c>
      <c r="H1036" s="662">
        <f>'Emission Factor &amp; GWP Backup'!$E$14</f>
        <v>0.3240583199999945</v>
      </c>
      <c r="I1036" s="662">
        <f>'Emission Factor &amp; GWP Backup'!$E$14</f>
        <v>0.3240583199999945</v>
      </c>
      <c r="J1036" s="228"/>
      <c r="K1036" s="716"/>
    </row>
    <row r="1037" ht="28" customHeight="1" spans="1:11" x14ac:dyDescent="0.25" outlineLevel="1" collapsed="1">
      <c r="A1037" s="452" t="s">
        <v>488</v>
      </c>
      <c r="B1037" s="453" t="s">
        <v>2229</v>
      </c>
      <c r="C1037" s="452" t="s">
        <v>2230</v>
      </c>
      <c r="D1037" s="452" t="s">
        <v>1456</v>
      </c>
      <c r="E1037" s="446">
        <f t="shared" ref="E1037" si="292">(E1032+E1033+E1035+E1034)*E1030</f>
        <v>0</v>
      </c>
      <c r="F1037" s="446">
        <f t="shared" ref="F1037:I1037" si="293">(F1032+F1033+F1035+F1034)*F1030</f>
        <v>0</v>
      </c>
      <c r="G1037" s="446">
        <f t="shared" si="293"/>
        <v>0</v>
      </c>
      <c r="H1037" s="446">
        <f t="shared" si="293"/>
        <v>0</v>
      </c>
      <c r="I1037" s="446">
        <f t="shared" si="293"/>
        <v>0</v>
      </c>
      <c r="J1037" s="517"/>
      <c r="K1037" s="456"/>
    </row>
    <row r="1038" spans="1:11" x14ac:dyDescent="0.25" outlineLevel="1" collapsed="1">
      <c r="A1038" s="452" t="s">
        <v>403</v>
      </c>
      <c r="B1038" s="453" t="s">
        <v>2231</v>
      </c>
      <c r="C1038" s="452" t="s">
        <v>2232</v>
      </c>
      <c r="D1038" s="452" t="s">
        <v>1826</v>
      </c>
      <c r="E1038" s="446">
        <f t="shared" ref="E1038" si="294">E1032*E1030*E1027/1000</f>
        <v>0</v>
      </c>
      <c r="F1038" s="446">
        <f t="shared" ref="F1038:I1038" si="295">F1032*F1030*F1027/1000</f>
        <v>0</v>
      </c>
      <c r="G1038" s="446">
        <f t="shared" si="295"/>
        <v>0</v>
      </c>
      <c r="H1038" s="446">
        <f t="shared" si="295"/>
        <v>0</v>
      </c>
      <c r="I1038" s="446">
        <f t="shared" si="295"/>
        <v>0</v>
      </c>
      <c r="J1038" s="517"/>
      <c r="K1038" s="456"/>
    </row>
    <row r="1039" ht="28" customHeight="1" spans="1:11" x14ac:dyDescent="0.25" outlineLevel="1" collapsed="1">
      <c r="A1039" s="452" t="s">
        <v>407</v>
      </c>
      <c r="B1039" s="453" t="s">
        <v>2139</v>
      </c>
      <c r="C1039" s="452" t="s">
        <v>2233</v>
      </c>
      <c r="D1039" s="452" t="s">
        <v>1826</v>
      </c>
      <c r="E1039" s="446">
        <f t="shared" ref="E1039" si="296">E1033*E1030*E1027/1000</f>
        <v>0</v>
      </c>
      <c r="F1039" s="446">
        <f t="shared" ref="F1039:I1039" si="297">F1033*F1030*F1027/1000</f>
        <v>0</v>
      </c>
      <c r="G1039" s="446">
        <f t="shared" si="297"/>
        <v>0</v>
      </c>
      <c r="H1039" s="446">
        <f t="shared" si="297"/>
        <v>0</v>
      </c>
      <c r="I1039" s="446">
        <f t="shared" si="297"/>
        <v>0</v>
      </c>
      <c r="J1039" s="517"/>
      <c r="K1039" s="456"/>
    </row>
    <row r="1040" ht="28" customHeight="1" spans="1:11" x14ac:dyDescent="0.25" outlineLevel="1" collapsed="1">
      <c r="A1040" s="452" t="s">
        <v>410</v>
      </c>
      <c r="B1040" s="453" t="s">
        <v>2171</v>
      </c>
      <c r="C1040" s="452" t="s">
        <v>2234</v>
      </c>
      <c r="D1040" s="452" t="s">
        <v>1826</v>
      </c>
      <c r="E1040" s="446">
        <f t="shared" ref="E1040" si="298">E1034*E1030*E1027/1000</f>
        <v>0</v>
      </c>
      <c r="F1040" s="446">
        <f t="shared" ref="F1040:I1040" si="299">F1034*F1030*F1027/1000</f>
        <v>0</v>
      </c>
      <c r="G1040" s="446">
        <f t="shared" si="299"/>
        <v>0</v>
      </c>
      <c r="H1040" s="446">
        <f t="shared" si="299"/>
        <v>0</v>
      </c>
      <c r="I1040" s="446">
        <f t="shared" si="299"/>
        <v>0</v>
      </c>
      <c r="J1040" s="517"/>
      <c r="K1040" s="456"/>
    </row>
    <row r="1041" ht="28" customHeight="1" spans="1:11" x14ac:dyDescent="0.25" outlineLevel="1" collapsed="1">
      <c r="A1041" s="452" t="s">
        <v>413</v>
      </c>
      <c r="B1041" s="453" t="s">
        <v>2143</v>
      </c>
      <c r="C1041" s="452" t="s">
        <v>2235</v>
      </c>
      <c r="D1041" s="452" t="s">
        <v>1826</v>
      </c>
      <c r="E1041" s="446">
        <f t="shared" ref="E1041" si="300">E1027*E1030*E1035/1000</f>
        <v>0</v>
      </c>
      <c r="F1041" s="446">
        <f t="shared" ref="F1041:I1041" si="301">F1027*F1030*F1035/1000</f>
        <v>0</v>
      </c>
      <c r="G1041" s="446">
        <f t="shared" si="301"/>
        <v>0</v>
      </c>
      <c r="H1041" s="446">
        <f t="shared" si="301"/>
        <v>0</v>
      </c>
      <c r="I1041" s="446">
        <f t="shared" si="301"/>
        <v>0</v>
      </c>
      <c r="J1041" s="517"/>
      <c r="K1041" s="456"/>
    </row>
    <row r="1042" spans="1:11" x14ac:dyDescent="0.25" outlineLevel="1" collapsed="1">
      <c r="A1042" s="452" t="s">
        <v>416</v>
      </c>
      <c r="B1042" s="453" t="s">
        <v>2145</v>
      </c>
      <c r="C1042" s="452" t="s">
        <v>2172</v>
      </c>
      <c r="D1042" s="452" t="s">
        <v>1826</v>
      </c>
      <c r="E1042" s="446">
        <f t="shared" ref="E1042" si="302">E1038+E1039+E1040</f>
        <v>0</v>
      </c>
      <c r="F1042" s="446">
        <f t="shared" ref="F1042:I1042" si="303">F1038+F1039+F1040</f>
        <v>0</v>
      </c>
      <c r="G1042" s="446">
        <f t="shared" si="303"/>
        <v>0</v>
      </c>
      <c r="H1042" s="446">
        <f t="shared" si="303"/>
        <v>0</v>
      </c>
      <c r="I1042" s="446">
        <f t="shared" si="303"/>
        <v>0</v>
      </c>
      <c r="J1042" s="517"/>
      <c r="K1042" s="456"/>
    </row>
    <row r="1043" spans="1:11" x14ac:dyDescent="0.25" outlineLevel="1" collapsed="1">
      <c r="A1043" s="604" t="s">
        <v>419</v>
      </c>
      <c r="B1043" s="605" t="s">
        <v>2236</v>
      </c>
      <c r="C1043" s="604"/>
      <c r="D1043" s="604" t="s">
        <v>2147</v>
      </c>
      <c r="E1043" s="606">
        <f t="shared" ref="E1043" si="304">E1032*1000*E$1030*E$1028*E$1036*E$1031/100/10^6</f>
        <v>0</v>
      </c>
      <c r="F1043" s="606">
        <f t="shared" ref="F1043:I1043" si="305">F1032*1000*F$1030*F$1028*F$1036*F$1031/100/10^6</f>
        <v>0</v>
      </c>
      <c r="G1043" s="606">
        <f t="shared" si="305"/>
        <v>0</v>
      </c>
      <c r="H1043" s="606">
        <f t="shared" si="305"/>
        <v>0</v>
      </c>
      <c r="I1043" s="606">
        <f t="shared" si="305"/>
        <v>0</v>
      </c>
      <c r="J1043" s="517"/>
      <c r="K1043" s="456"/>
    </row>
    <row r="1044" spans="1:11" x14ac:dyDescent="0.25" outlineLevel="1" collapsed="1">
      <c r="A1044" s="604" t="s">
        <v>423</v>
      </c>
      <c r="B1044" s="605" t="s">
        <v>2146</v>
      </c>
      <c r="C1044" s="604"/>
      <c r="D1044" s="604" t="s">
        <v>2147</v>
      </c>
      <c r="E1044" s="606">
        <f t="shared" ref="E1044" si="306">E1033*1000*E$1030*E$1028*E$1036*E$1031/100/10^6</f>
        <v>0</v>
      </c>
      <c r="F1044" s="606">
        <f t="shared" ref="F1044:I1044" si="307">F1033*1000*F$1030*F$1028*F$1036*F$1031/100/10^6</f>
        <v>0</v>
      </c>
      <c r="G1044" s="606">
        <f t="shared" si="307"/>
        <v>0</v>
      </c>
      <c r="H1044" s="606">
        <f t="shared" si="307"/>
        <v>0</v>
      </c>
      <c r="I1044" s="606">
        <f t="shared" si="307"/>
        <v>0</v>
      </c>
      <c r="J1044" s="517"/>
      <c r="K1044" s="456"/>
    </row>
    <row r="1045" spans="1:11" x14ac:dyDescent="0.25" outlineLevel="1" collapsed="1">
      <c r="A1045" s="604" t="s">
        <v>425</v>
      </c>
      <c r="B1045" s="605" t="s">
        <v>2162</v>
      </c>
      <c r="C1045" s="604"/>
      <c r="D1045" s="604" t="s">
        <v>2147</v>
      </c>
      <c r="E1045" s="606">
        <f t="shared" ref="E1045" si="308">E1034*1000*E$1030*E$1028*E$1036*E$1031/100/10^6</f>
        <v>0</v>
      </c>
      <c r="F1045" s="606">
        <f t="shared" ref="F1045:I1045" si="309">F1034*1000*F$1030*F$1028*F$1036*F$1031/100/10^6</f>
        <v>0</v>
      </c>
      <c r="G1045" s="606">
        <f t="shared" si="309"/>
        <v>0</v>
      </c>
      <c r="H1045" s="606">
        <f t="shared" si="309"/>
        <v>0</v>
      </c>
      <c r="I1045" s="606">
        <f t="shared" si="309"/>
        <v>0</v>
      </c>
      <c r="J1045" s="517"/>
      <c r="K1045" s="456"/>
    </row>
    <row r="1046" spans="1:11" x14ac:dyDescent="0.25" outlineLevel="1" collapsed="1">
      <c r="A1046" s="604" t="s">
        <v>427</v>
      </c>
      <c r="B1046" s="605" t="s">
        <v>2149</v>
      </c>
      <c r="C1046" s="604"/>
      <c r="D1046" s="604" t="s">
        <v>2147</v>
      </c>
      <c r="E1046" s="606">
        <f t="shared" ref="E1046" si="310">E1035*1000*E$1030*E$1028*E$1036*E$1031/100/10^6</f>
        <v>0</v>
      </c>
      <c r="F1046" s="606">
        <f t="shared" ref="F1046:I1046" si="311">F1035*1000*F$1030*F$1028*F$1036*F$1031/100/10^6</f>
        <v>0</v>
      </c>
      <c r="G1046" s="606">
        <f t="shared" si="311"/>
        <v>0</v>
      </c>
      <c r="H1046" s="606">
        <f t="shared" si="311"/>
        <v>0</v>
      </c>
      <c r="I1046" s="606">
        <f t="shared" si="311"/>
        <v>0</v>
      </c>
      <c r="J1046" s="517"/>
      <c r="K1046" s="456"/>
    </row>
    <row r="1047" spans="1:11" x14ac:dyDescent="0.25">
      <c r="A1047" s="443"/>
      <c r="B1047" s="349"/>
      <c r="C1047" s="293"/>
      <c r="D1047" s="443"/>
      <c r="E1047" s="443"/>
      <c r="F1047" s="443"/>
      <c r="G1047" s="443"/>
      <c r="H1047" s="474"/>
      <c r="I1047" s="293"/>
      <c r="J1047" s="517"/>
      <c r="K1047" s="456"/>
    </row>
    <row r="1048" spans="1:11" x14ac:dyDescent="0.25">
      <c r="A1048" s="437" t="s">
        <v>2237</v>
      </c>
      <c r="B1048" s="438" t="s">
        <v>2238</v>
      </c>
      <c r="C1048" s="439"/>
      <c r="D1048" s="440"/>
      <c r="E1048" s="440"/>
      <c r="F1048" s="440"/>
      <c r="G1048" s="440"/>
      <c r="H1048" s="441"/>
      <c r="I1048" s="440"/>
      <c r="J1048" s="442"/>
      <c r="K1048" s="442"/>
    </row>
    <row r="1049" ht="28" customHeight="1" spans="1:11" x14ac:dyDescent="0.25" outlineLevel="1" collapsed="1">
      <c r="A1049" s="293" t="s">
        <v>306</v>
      </c>
      <c r="B1049" s="349" t="s">
        <v>2122</v>
      </c>
      <c r="C1049" s="293" t="s">
        <v>2123</v>
      </c>
      <c r="D1049" s="293" t="s">
        <v>2124</v>
      </c>
      <c r="E1049" s="470"/>
      <c r="F1049" s="470"/>
      <c r="G1049" s="470"/>
      <c r="H1049" s="446">
        <f t="shared" ref="H1049:H1057" si="312">IF(K$9=1,E1049,IF(K$9=2,(E1049+F1049)/2,(E1049+F1049+G1049)/3))</f>
        <v>50715.82180792927</v>
      </c>
      <c r="I1049" s="470"/>
      <c r="J1049" s="471"/>
      <c r="K1049" s="456"/>
    </row>
    <row r="1050" ht="14.5" customHeight="1" spans="1:11" x14ac:dyDescent="0.25" outlineLevel="1" collapsed="1">
      <c r="A1050" s="293" t="s">
        <v>308</v>
      </c>
      <c r="B1050" s="349" t="s">
        <v>2220</v>
      </c>
      <c r="C1050" s="293" t="s">
        <v>61</v>
      </c>
      <c r="D1050" s="443" t="s">
        <v>2126</v>
      </c>
      <c r="E1050" s="470"/>
      <c r="F1050" s="470"/>
      <c r="G1050" s="470"/>
      <c r="H1050" s="446">
        <f t="shared" si="312"/>
        <v>10471.61</v>
      </c>
      <c r="I1050" s="470"/>
      <c r="J1050" s="471"/>
      <c r="K1050" s="456"/>
    </row>
    <row r="1051" ht="14.5" customHeight="1" spans="1:11" x14ac:dyDescent="0.25" outlineLevel="1" collapsed="1">
      <c r="A1051" s="422" t="s">
        <v>310</v>
      </c>
      <c r="B1051" s="435" t="s">
        <v>2221</v>
      </c>
      <c r="C1051" s="422" t="s">
        <v>61</v>
      </c>
      <c r="D1051" s="451" t="s">
        <v>2126</v>
      </c>
      <c r="E1051" s="471"/>
      <c r="F1051" s="471">
        <f t="shared" ref="F1051" si="313">F1050*0.95</f>
        <v>0</v>
      </c>
      <c r="G1051" s="471">
        <f t="shared" ref="G1051:I1051" si="314">G1050*0.95</f>
        <v>0</v>
      </c>
      <c r="H1051" s="446">
        <f t="shared" si="312"/>
        <v>9948.0295</v>
      </c>
      <c r="I1051" s="471">
        <f t="shared" si="314"/>
        <v>0</v>
      </c>
      <c r="J1051" s="471"/>
      <c r="K1051" s="456"/>
    </row>
    <row r="1052" ht="14.5" customHeight="1" spans="1:11" x14ac:dyDescent="0.25" outlineLevel="1" collapsed="1">
      <c r="A1052" s="293" t="s">
        <v>312</v>
      </c>
      <c r="B1052" s="349" t="s">
        <v>2131</v>
      </c>
      <c r="C1052" s="293" t="s">
        <v>61</v>
      </c>
      <c r="D1052" s="443" t="s">
        <v>1456</v>
      </c>
      <c r="E1052" s="228"/>
      <c r="F1052" s="228"/>
      <c r="G1052" s="228"/>
      <c r="H1052" s="446">
        <f t="shared" si="312"/>
        <v>67526.989</v>
      </c>
      <c r="I1052" s="228"/>
      <c r="J1052" s="228"/>
      <c r="K1052" s="456"/>
    </row>
    <row r="1053" ht="14.5" customHeight="1" spans="1:11" x14ac:dyDescent="0.25" outlineLevel="1" collapsed="1">
      <c r="A1053" s="422" t="s">
        <v>314</v>
      </c>
      <c r="B1053" s="435" t="s">
        <v>2130</v>
      </c>
      <c r="C1053" s="422" t="s">
        <v>61</v>
      </c>
      <c r="D1053" s="451" t="s">
        <v>1493</v>
      </c>
      <c r="E1053" s="1"/>
      <c r="F1053" s="1"/>
      <c r="G1053" s="1"/>
      <c r="H1053" s="446">
        <f t="shared" si="312"/>
        <v>100</v>
      </c>
      <c r="I1053" s="1"/>
      <c r="J1053" s="228"/>
      <c r="K1053" s="456"/>
    </row>
    <row r="1054" ht="14.5" customHeight="1" spans="1:11" x14ac:dyDescent="0.25" outlineLevel="1" collapsed="1">
      <c r="A1054" s="293" t="s">
        <v>316</v>
      </c>
      <c r="B1054" s="349" t="s">
        <v>2227</v>
      </c>
      <c r="C1054" s="293" t="s">
        <v>61</v>
      </c>
      <c r="D1054" s="443" t="s">
        <v>1456</v>
      </c>
      <c r="E1054" s="228"/>
      <c r="F1054" s="228"/>
      <c r="G1054" s="228"/>
      <c r="H1054" s="446">
        <f t="shared" si="312"/>
        <v>0</v>
      </c>
      <c r="I1054" s="228"/>
      <c r="J1054" s="228"/>
      <c r="K1054" s="456"/>
    </row>
    <row r="1055" ht="14.5" customHeight="1" spans="1:11" x14ac:dyDescent="0.25" outlineLevel="1" collapsed="1">
      <c r="A1055" s="293" t="s">
        <v>318</v>
      </c>
      <c r="B1055" s="349" t="s">
        <v>2155</v>
      </c>
      <c r="C1055" s="293" t="s">
        <v>61</v>
      </c>
      <c r="D1055" s="443" t="s">
        <v>1456</v>
      </c>
      <c r="E1055" s="228"/>
      <c r="F1055" s="228"/>
      <c r="G1055" s="228"/>
      <c r="H1055" s="446">
        <f t="shared" si="312"/>
        <v>0</v>
      </c>
      <c r="I1055" s="228"/>
      <c r="J1055" s="228"/>
      <c r="K1055" s="456"/>
    </row>
    <row r="1056" ht="14.5" customHeight="1" spans="1:11" x14ac:dyDescent="0.25" outlineLevel="1" collapsed="1">
      <c r="A1056" s="293" t="s">
        <v>478</v>
      </c>
      <c r="B1056" s="349" t="s">
        <v>2169</v>
      </c>
      <c r="C1056" s="293" t="s">
        <v>61</v>
      </c>
      <c r="D1056" s="443" t="s">
        <v>1456</v>
      </c>
      <c r="E1056" s="228"/>
      <c r="F1056" s="228"/>
      <c r="G1056" s="228"/>
      <c r="H1056" s="446">
        <f t="shared" si="312"/>
        <v>0</v>
      </c>
      <c r="I1056" s="228"/>
      <c r="J1056" s="228"/>
      <c r="K1056" s="456"/>
    </row>
    <row r="1057" ht="14.5" customHeight="1" spans="1:11" x14ac:dyDescent="0.25" outlineLevel="1" collapsed="1">
      <c r="A1057" s="293" t="s">
        <v>481</v>
      </c>
      <c r="B1057" s="349" t="s">
        <v>2199</v>
      </c>
      <c r="C1057" s="293" t="s">
        <v>61</v>
      </c>
      <c r="D1057" s="443" t="s">
        <v>1456</v>
      </c>
      <c r="E1057" s="228"/>
      <c r="F1057" s="228"/>
      <c r="G1057" s="228"/>
      <c r="H1057" s="446">
        <f t="shared" si="312"/>
        <v>67122.84700000001</v>
      </c>
      <c r="I1057" s="228"/>
      <c r="J1057" s="228"/>
      <c r="K1057" s="456"/>
    </row>
    <row r="1058" ht="14.5" customHeight="1" spans="1:11" x14ac:dyDescent="0.25" outlineLevel="1" collapsed="1">
      <c r="A1058" s="604" t="s">
        <v>483</v>
      </c>
      <c r="B1058" s="605" t="s">
        <v>2239</v>
      </c>
      <c r="C1058" s="604" t="s">
        <v>61</v>
      </c>
      <c r="D1058" s="678" t="s">
        <v>2136</v>
      </c>
      <c r="E1058" s="662">
        <f>'Emission Factor &amp; GWP Backup'!$E$14</f>
        <v>0.3240583199999945</v>
      </c>
      <c r="F1058" s="662">
        <f>'Emission Factor &amp; GWP Backup'!$E$14</f>
        <v>0.3240583199999945</v>
      </c>
      <c r="G1058" s="662">
        <f>'Emission Factor &amp; GWP Backup'!$E$14</f>
        <v>0.3240583199999945</v>
      </c>
      <c r="H1058" s="662">
        <f>'Emission Factor &amp; GWP Backup'!$E$14</f>
        <v>0.3240583199999945</v>
      </c>
      <c r="I1058" s="662">
        <f>'Emission Factor &amp; GWP Backup'!$E$14</f>
        <v>0.3240583199999945</v>
      </c>
      <c r="J1058" s="228"/>
      <c r="K1058" s="456"/>
    </row>
    <row r="1059" spans="1:11" x14ac:dyDescent="0.25" outlineLevel="1" collapsed="1">
      <c r="A1059" s="452" t="s">
        <v>485</v>
      </c>
      <c r="B1059" s="453" t="s">
        <v>2240</v>
      </c>
      <c r="C1059" s="452" t="s">
        <v>2241</v>
      </c>
      <c r="D1059" s="452" t="s">
        <v>1456</v>
      </c>
      <c r="E1059" s="446">
        <f t="shared" ref="E1059" si="315">E1054+E1055+E1057+E1056</f>
        <v>67122.84700000001</v>
      </c>
      <c r="F1059" s="446">
        <f t="shared" ref="F1059:I1059" si="316">F1054+F1055+F1057+F1056</f>
        <v>0</v>
      </c>
      <c r="G1059" s="446">
        <f t="shared" si="316"/>
        <v>0</v>
      </c>
      <c r="H1059" s="446">
        <f t="shared" si="316"/>
        <v>67122.84700000001</v>
      </c>
      <c r="I1059" s="446">
        <f t="shared" si="316"/>
        <v>0</v>
      </c>
      <c r="J1059" s="517"/>
      <c r="K1059" s="456"/>
    </row>
    <row r="1060" spans="1:11" x14ac:dyDescent="0.25" outlineLevel="1" collapsed="1">
      <c r="A1060" s="452" t="s">
        <v>488</v>
      </c>
      <c r="B1060" s="453" t="s">
        <v>2231</v>
      </c>
      <c r="C1060" s="452" t="s">
        <v>2242</v>
      </c>
      <c r="D1060" s="452" t="s">
        <v>1826</v>
      </c>
      <c r="E1060" s="446">
        <f t="shared" ref="E1060" si="317">(E1054)*E1050/1000</f>
        <v>0</v>
      </c>
      <c r="F1060" s="446">
        <f t="shared" ref="F1060:I1060" si="318">(F1054)*F1050/1000</f>
        <v>0</v>
      </c>
      <c r="G1060" s="446">
        <f t="shared" si="318"/>
        <v>0</v>
      </c>
      <c r="H1060" s="446">
        <f t="shared" si="318"/>
        <v>0</v>
      </c>
      <c r="I1060" s="446">
        <f t="shared" si="318"/>
        <v>0</v>
      </c>
      <c r="J1060" s="517"/>
      <c r="K1060" s="456"/>
    </row>
    <row r="1061" spans="1:11" x14ac:dyDescent="0.25" outlineLevel="1" collapsed="1">
      <c r="A1061" s="452" t="s">
        <v>403</v>
      </c>
      <c r="B1061" s="453" t="s">
        <v>2139</v>
      </c>
      <c r="C1061" s="452" t="s">
        <v>2243</v>
      </c>
      <c r="D1061" s="452" t="s">
        <v>1826</v>
      </c>
      <c r="E1061" s="446">
        <f t="shared" ref="E1061" si="319">E1055*E1050/1000</f>
        <v>0</v>
      </c>
      <c r="F1061" s="446">
        <f t="shared" ref="F1061:I1061" si="320">F1055*F1050/1000</f>
        <v>0</v>
      </c>
      <c r="G1061" s="446">
        <f t="shared" si="320"/>
        <v>0</v>
      </c>
      <c r="H1061" s="446">
        <f t="shared" si="320"/>
        <v>0</v>
      </c>
      <c r="I1061" s="446">
        <f t="shared" si="320"/>
        <v>0</v>
      </c>
      <c r="J1061" s="517"/>
      <c r="K1061" s="456"/>
    </row>
    <row r="1062" spans="1:11" x14ac:dyDescent="0.25" outlineLevel="1" collapsed="1">
      <c r="A1062" s="452" t="s">
        <v>407</v>
      </c>
      <c r="B1062" s="453" t="s">
        <v>2171</v>
      </c>
      <c r="C1062" s="452" t="s">
        <v>2244</v>
      </c>
      <c r="D1062" s="452" t="s">
        <v>1826</v>
      </c>
      <c r="E1062" s="446">
        <f t="shared" ref="E1062" si="321">E1056*E1050/1000</f>
        <v>0</v>
      </c>
      <c r="F1062" s="446">
        <f t="shared" ref="F1062:I1062" si="322">F1056*F1050/1000</f>
        <v>0</v>
      </c>
      <c r="G1062" s="446">
        <f t="shared" si="322"/>
        <v>0</v>
      </c>
      <c r="H1062" s="446">
        <f t="shared" si="322"/>
        <v>0</v>
      </c>
      <c r="I1062" s="446">
        <f t="shared" si="322"/>
        <v>0</v>
      </c>
      <c r="J1062" s="517"/>
      <c r="K1062" s="456"/>
    </row>
    <row r="1063" spans="1:11" x14ac:dyDescent="0.25" outlineLevel="1" collapsed="1">
      <c r="A1063" s="452" t="s">
        <v>410</v>
      </c>
      <c r="B1063" s="453" t="s">
        <v>2143</v>
      </c>
      <c r="C1063" s="452" t="s">
        <v>2245</v>
      </c>
      <c r="D1063" s="452" t="s">
        <v>1826</v>
      </c>
      <c r="E1063" s="446">
        <f t="shared" ref="E1063" si="323">E1057*E1050/1000</f>
        <v>702884.2758736701</v>
      </c>
      <c r="F1063" s="446">
        <f t="shared" ref="F1063:I1063" si="324">F1057*F1050/1000</f>
        <v>0</v>
      </c>
      <c r="G1063" s="446">
        <f t="shared" si="324"/>
        <v>0</v>
      </c>
      <c r="H1063" s="446">
        <f t="shared" si="324"/>
        <v>702884.2758736701</v>
      </c>
      <c r="I1063" s="446">
        <f t="shared" si="324"/>
        <v>0</v>
      </c>
      <c r="J1063" s="517"/>
      <c r="K1063" s="456"/>
    </row>
    <row r="1064" spans="1:11" x14ac:dyDescent="0.25" outlineLevel="1" collapsed="1">
      <c r="A1064" s="452" t="s">
        <v>413</v>
      </c>
      <c r="B1064" s="453" t="s">
        <v>2145</v>
      </c>
      <c r="C1064" s="452" t="s">
        <v>2246</v>
      </c>
      <c r="D1064" s="452" t="s">
        <v>1826</v>
      </c>
      <c r="E1064" s="446">
        <f t="shared" ref="E1064" si="325">E1060+E1061+E1062</f>
        <v>0</v>
      </c>
      <c r="F1064" s="446">
        <f t="shared" ref="F1064:I1064" si="326">F1060+F1061+F1062</f>
        <v>0</v>
      </c>
      <c r="G1064" s="446">
        <f t="shared" si="326"/>
        <v>0</v>
      </c>
      <c r="H1064" s="446">
        <f t="shared" si="326"/>
        <v>0</v>
      </c>
      <c r="I1064" s="446">
        <f t="shared" si="326"/>
        <v>0</v>
      </c>
      <c r="J1064" s="517"/>
      <c r="K1064" s="456"/>
    </row>
    <row r="1065" spans="1:11" x14ac:dyDescent="0.25" outlineLevel="1" collapsed="1">
      <c r="A1065" s="604" t="s">
        <v>416</v>
      </c>
      <c r="B1065" s="605" t="s">
        <v>2236</v>
      </c>
      <c r="C1065" s="604"/>
      <c r="D1065" s="604" t="s">
        <v>2147</v>
      </c>
      <c r="E1065" s="606">
        <f t="shared" ref="E1065" si="327">E1054*1000*E$1051*E$1053/100*E$1058/10^6</f>
        <v>0</v>
      </c>
      <c r="F1065" s="606">
        <f t="shared" ref="F1065:I1065" si="328">F1054*1000*F$1051*F$1053/100*F$1058/10^6</f>
        <v>0</v>
      </c>
      <c r="G1065" s="606">
        <f t="shared" si="328"/>
        <v>0</v>
      </c>
      <c r="H1065" s="606">
        <f t="shared" si="328"/>
        <v>0</v>
      </c>
      <c r="I1065" s="606">
        <f t="shared" si="328"/>
        <v>0</v>
      </c>
      <c r="J1065" s="517"/>
      <c r="K1065" s="456"/>
    </row>
    <row r="1066" spans="1:11" x14ac:dyDescent="0.25" outlineLevel="1" collapsed="1">
      <c r="A1066" s="604" t="s">
        <v>419</v>
      </c>
      <c r="B1066" s="605" t="s">
        <v>2146</v>
      </c>
      <c r="C1066" s="604"/>
      <c r="D1066" s="604" t="s">
        <v>2147</v>
      </c>
      <c r="E1066" s="606">
        <f t="shared" ref="E1066" si="329">E1055*1000*E$1051*E$1053/100*E$1058/10^6</f>
        <v>0</v>
      </c>
      <c r="F1066" s="606">
        <f t="shared" ref="F1066:I1066" si="330">F1055*1000*F$1051*F$1053/100*F$1058/10^6</f>
        <v>0</v>
      </c>
      <c r="G1066" s="606">
        <f t="shared" si="330"/>
        <v>0</v>
      </c>
      <c r="H1066" s="606">
        <f t="shared" si="330"/>
        <v>0</v>
      </c>
      <c r="I1066" s="606">
        <f t="shared" si="330"/>
        <v>0</v>
      </c>
      <c r="J1066" s="517"/>
      <c r="K1066" s="456"/>
    </row>
    <row r="1067" spans="1:11" x14ac:dyDescent="0.25" outlineLevel="1" collapsed="1">
      <c r="A1067" s="604" t="s">
        <v>423</v>
      </c>
      <c r="B1067" s="605" t="s">
        <v>2162</v>
      </c>
      <c r="C1067" s="604"/>
      <c r="D1067" s="604" t="s">
        <v>2147</v>
      </c>
      <c r="E1067" s="606">
        <f t="shared" ref="E1067" si="331">E1056*1000*E$1051*E$1053/100*E$1058/10^6</f>
        <v>0</v>
      </c>
      <c r="F1067" s="606">
        <f t="shared" ref="F1067:I1067" si="332">F1056*1000*F$1051*F$1053/100*F$1058/10^6</f>
        <v>0</v>
      </c>
      <c r="G1067" s="606">
        <f t="shared" si="332"/>
        <v>0</v>
      </c>
      <c r="H1067" s="606">
        <f t="shared" si="332"/>
        <v>0</v>
      </c>
      <c r="I1067" s="606">
        <f t="shared" si="332"/>
        <v>0</v>
      </c>
      <c r="J1067" s="517"/>
      <c r="K1067" s="456"/>
    </row>
    <row r="1068" spans="1:11" x14ac:dyDescent="0.25" outlineLevel="1" collapsed="1">
      <c r="A1068" s="604" t="s">
        <v>425</v>
      </c>
      <c r="B1068" s="605" t="s">
        <v>2149</v>
      </c>
      <c r="C1068" s="604"/>
      <c r="D1068" s="604" t="s">
        <v>2147</v>
      </c>
      <c r="E1068" s="606">
        <f t="shared" ref="E1068" si="333">E1057*1000*E$1051*E$1053/100*E$1058/10^6</f>
        <v>216386.7227143325</v>
      </c>
      <c r="F1068" s="606">
        <f t="shared" ref="F1068:I1068" si="334">F1057*1000*F$1051*F$1053/100*F$1058/10^6</f>
        <v>0</v>
      </c>
      <c r="G1068" s="606">
        <f t="shared" si="334"/>
        <v>0</v>
      </c>
      <c r="H1068" s="606">
        <f t="shared" si="334"/>
        <v>216386.7227143325</v>
      </c>
      <c r="I1068" s="606">
        <f t="shared" si="334"/>
        <v>0</v>
      </c>
      <c r="J1068" s="517"/>
      <c r="K1068" s="456"/>
    </row>
    <row r="1069" spans="1:11" x14ac:dyDescent="0.25">
      <c r="A1069" s="293"/>
      <c r="B1069" s="349"/>
      <c r="C1069" s="293"/>
      <c r="D1069" s="443"/>
      <c r="E1069" s="443"/>
      <c r="F1069" s="443"/>
      <c r="G1069" s="443"/>
      <c r="H1069" s="474"/>
      <c r="I1069" s="293"/>
      <c r="J1069" s="449"/>
      <c r="K1069" s="456"/>
    </row>
    <row r="1070" spans="1:11" x14ac:dyDescent="0.25">
      <c r="A1070" s="437" t="s">
        <v>2247</v>
      </c>
      <c r="B1070" s="438" t="s">
        <v>2248</v>
      </c>
      <c r="C1070" s="439"/>
      <c r="D1070" s="440"/>
      <c r="E1070" s="440"/>
      <c r="F1070" s="440"/>
      <c r="G1070" s="440"/>
      <c r="H1070" s="441"/>
      <c r="I1070" s="440"/>
      <c r="J1070" s="442"/>
      <c r="K1070" s="442"/>
    </row>
    <row r="1071" ht="28" customHeight="1" spans="1:11" x14ac:dyDescent="0.25" outlineLevel="1" collapsed="1">
      <c r="A1071" s="293" t="s">
        <v>306</v>
      </c>
      <c r="B1071" s="349" t="s">
        <v>2122</v>
      </c>
      <c r="C1071" s="293" t="s">
        <v>2123</v>
      </c>
      <c r="D1071" s="293" t="s">
        <v>2124</v>
      </c>
      <c r="E1071" s="470"/>
      <c r="F1071" s="470"/>
      <c r="G1071" s="470"/>
      <c r="H1071" s="446">
        <f t="shared" ref="H1071:H1079" si="335">IF(K$9=1,E1071,IF(K$9=2,(E1071+F1071)/2,(E1071+F1071+G1071)/3))</f>
        <v>0</v>
      </c>
      <c r="I1071" s="470"/>
      <c r="J1071" s="471"/>
      <c r="K1071" s="456"/>
    </row>
    <row r="1072" ht="14.5" customHeight="1" spans="1:11" x14ac:dyDescent="0.25" outlineLevel="1" collapsed="1">
      <c r="A1072" s="293" t="s">
        <v>308</v>
      </c>
      <c r="B1072" s="349" t="s">
        <v>2220</v>
      </c>
      <c r="C1072" s="293" t="s">
        <v>61</v>
      </c>
      <c r="D1072" s="443" t="s">
        <v>2126</v>
      </c>
      <c r="E1072" s="470"/>
      <c r="F1072" s="470"/>
      <c r="G1072" s="470"/>
      <c r="H1072" s="446">
        <f t="shared" si="335"/>
        <v>0</v>
      </c>
      <c r="I1072" s="470"/>
      <c r="J1072" s="471"/>
      <c r="K1072" s="456"/>
    </row>
    <row r="1073" ht="14.5" customHeight="1" spans="1:11" x14ac:dyDescent="0.25" outlineLevel="1" collapsed="1">
      <c r="A1073" s="422" t="s">
        <v>310</v>
      </c>
      <c r="B1073" s="435" t="s">
        <v>2221</v>
      </c>
      <c r="C1073" s="422" t="s">
        <v>61</v>
      </c>
      <c r="D1073" s="451" t="s">
        <v>2126</v>
      </c>
      <c r="E1073" s="471"/>
      <c r="F1073" s="471">
        <f t="shared" ref="F1073" si="336">F1072*0.95</f>
        <v>0</v>
      </c>
      <c r="G1073" s="471">
        <f t="shared" ref="G1073:I1073" si="337">G1072*0.95</f>
        <v>0</v>
      </c>
      <c r="H1073" s="446">
        <f t="shared" si="335"/>
        <v>0</v>
      </c>
      <c r="I1073" s="471">
        <f t="shared" si="337"/>
        <v>0</v>
      </c>
      <c r="J1073" s="471"/>
      <c r="K1073" s="456"/>
    </row>
    <row r="1074" ht="14.5" customHeight="1" spans="1:11" x14ac:dyDescent="0.25" outlineLevel="1" collapsed="1">
      <c r="A1074" s="422" t="s">
        <v>312</v>
      </c>
      <c r="B1074" s="435" t="s">
        <v>2249</v>
      </c>
      <c r="C1074" s="422" t="s">
        <v>61</v>
      </c>
      <c r="D1074" s="451" t="s">
        <v>1493</v>
      </c>
      <c r="E1074" s="245"/>
      <c r="F1074" s="684"/>
      <c r="G1074" s="684"/>
      <c r="H1074" s="446">
        <f t="shared" si="335"/>
        <v>100</v>
      </c>
      <c r="I1074" s="245"/>
      <c r="J1074" s="471"/>
      <c r="K1074" s="456"/>
    </row>
    <row r="1075" ht="14.5" customHeight="1" spans="1:11" x14ac:dyDescent="0.25" outlineLevel="1" collapsed="1">
      <c r="A1075" s="293" t="s">
        <v>314</v>
      </c>
      <c r="B1075" s="349" t="s">
        <v>2222</v>
      </c>
      <c r="C1075" s="293" t="s">
        <v>61</v>
      </c>
      <c r="D1075" s="443" t="s">
        <v>1456</v>
      </c>
      <c r="E1075" s="228"/>
      <c r="F1075" s="445"/>
      <c r="G1075" s="445"/>
      <c r="H1075" s="446">
        <f t="shared" si="335"/>
        <v>0</v>
      </c>
      <c r="I1075" s="228"/>
      <c r="J1075" s="228"/>
      <c r="K1075" s="456"/>
    </row>
    <row r="1076" ht="14.5" customHeight="1" spans="1:11" x14ac:dyDescent="0.25" outlineLevel="1" collapsed="1">
      <c r="A1076" s="293" t="s">
        <v>316</v>
      </c>
      <c r="B1076" s="349" t="s">
        <v>2227</v>
      </c>
      <c r="C1076" s="293" t="s">
        <v>61</v>
      </c>
      <c r="D1076" s="443" t="s">
        <v>1456</v>
      </c>
      <c r="E1076" s="228"/>
      <c r="F1076" s="445"/>
      <c r="G1076" s="445"/>
      <c r="H1076" s="446">
        <f t="shared" si="335"/>
        <v>0</v>
      </c>
      <c r="I1076" s="228"/>
      <c r="J1076" s="228"/>
      <c r="K1076" s="456"/>
    </row>
    <row r="1077" ht="14.5" customHeight="1" spans="1:11" x14ac:dyDescent="0.25" outlineLevel="1" collapsed="1">
      <c r="A1077" s="293" t="s">
        <v>318</v>
      </c>
      <c r="B1077" s="349" t="s">
        <v>2155</v>
      </c>
      <c r="C1077" s="293" t="s">
        <v>61</v>
      </c>
      <c r="D1077" s="443" t="s">
        <v>1456</v>
      </c>
      <c r="E1077" s="228"/>
      <c r="F1077" s="445"/>
      <c r="G1077" s="445"/>
      <c r="H1077" s="446">
        <f t="shared" si="335"/>
        <v>0</v>
      </c>
      <c r="I1077" s="228"/>
      <c r="J1077" s="228"/>
      <c r="K1077" s="456"/>
    </row>
    <row r="1078" ht="14.5" customHeight="1" spans="1:11" x14ac:dyDescent="0.25" outlineLevel="1" collapsed="1">
      <c r="A1078" s="293" t="s">
        <v>478</v>
      </c>
      <c r="B1078" s="349" t="s">
        <v>2169</v>
      </c>
      <c r="C1078" s="293" t="s">
        <v>61</v>
      </c>
      <c r="D1078" s="443" t="s">
        <v>1456</v>
      </c>
      <c r="E1078" s="228"/>
      <c r="F1078" s="445"/>
      <c r="G1078" s="445"/>
      <c r="H1078" s="446">
        <f t="shared" si="335"/>
        <v>0</v>
      </c>
      <c r="I1078" s="228"/>
      <c r="J1078" s="228"/>
      <c r="K1078" s="456"/>
    </row>
    <row r="1079" ht="14.5" customHeight="1" spans="1:11" x14ac:dyDescent="0.25" outlineLevel="1" collapsed="1">
      <c r="A1079" s="293" t="s">
        <v>481</v>
      </c>
      <c r="B1079" s="349" t="s">
        <v>2199</v>
      </c>
      <c r="C1079" s="293" t="s">
        <v>61</v>
      </c>
      <c r="D1079" s="443" t="s">
        <v>1456</v>
      </c>
      <c r="E1079" s="228"/>
      <c r="F1079" s="445"/>
      <c r="G1079" s="445"/>
      <c r="H1079" s="446">
        <f t="shared" si="335"/>
        <v>0</v>
      </c>
      <c r="I1079" s="228"/>
      <c r="J1079" s="228"/>
      <c r="K1079" s="456"/>
    </row>
    <row r="1080" ht="14.5" customHeight="1" spans="1:11" x14ac:dyDescent="0.25" outlineLevel="1" collapsed="1">
      <c r="A1080" s="604" t="s">
        <v>483</v>
      </c>
      <c r="B1080" s="605" t="s">
        <v>2180</v>
      </c>
      <c r="C1080" s="604" t="s">
        <v>61</v>
      </c>
      <c r="D1080" s="678" t="s">
        <v>2250</v>
      </c>
      <c r="E1080" s="662">
        <f>'Emission Factor &amp; GWP Backup'!$E$14</f>
        <v>0.3240583199999945</v>
      </c>
      <c r="F1080" s="662">
        <f>'Emission Factor &amp; GWP Backup'!$E$14</f>
        <v>0.3240583199999945</v>
      </c>
      <c r="G1080" s="662">
        <f>'Emission Factor &amp; GWP Backup'!$E$14</f>
        <v>0.3240583199999945</v>
      </c>
      <c r="H1080" s="662">
        <f>'Emission Factor &amp; GWP Backup'!$E$14</f>
        <v>0.3240583199999945</v>
      </c>
      <c r="I1080" s="662">
        <f>'Emission Factor &amp; GWP Backup'!$E$14</f>
        <v>0.3240583199999945</v>
      </c>
      <c r="J1080" s="228"/>
      <c r="K1080" s="456"/>
    </row>
    <row r="1081" spans="1:11" x14ac:dyDescent="0.25" outlineLevel="1" collapsed="1">
      <c r="A1081" s="452" t="s">
        <v>485</v>
      </c>
      <c r="B1081" s="453" t="s">
        <v>2251</v>
      </c>
      <c r="C1081" s="452" t="s">
        <v>2241</v>
      </c>
      <c r="D1081" s="452" t="s">
        <v>1456</v>
      </c>
      <c r="E1081" s="446">
        <f t="shared" ref="E1081" si="338">E1076+E1077+E1079+E1078</f>
        <v>0</v>
      </c>
      <c r="F1081" s="446">
        <f t="shared" ref="F1081:I1081" si="339">F1076+F1077+F1079+F1078</f>
        <v>0</v>
      </c>
      <c r="G1081" s="446">
        <f t="shared" si="339"/>
        <v>0</v>
      </c>
      <c r="H1081" s="446">
        <f t="shared" si="339"/>
        <v>0</v>
      </c>
      <c r="I1081" s="446">
        <f t="shared" si="339"/>
        <v>0</v>
      </c>
      <c r="J1081" s="517"/>
      <c r="K1081" s="456"/>
    </row>
    <row r="1082" spans="1:11" x14ac:dyDescent="0.25" outlineLevel="1" collapsed="1">
      <c r="A1082" s="452" t="s">
        <v>488</v>
      </c>
      <c r="B1082" s="453" t="s">
        <v>2231</v>
      </c>
      <c r="C1082" s="452" t="s">
        <v>2242</v>
      </c>
      <c r="D1082" s="452" t="s">
        <v>1826</v>
      </c>
      <c r="E1082" s="446">
        <f t="shared" ref="E1082" si="340">(E1076)*E1072/1000</f>
        <v>0</v>
      </c>
      <c r="F1082" s="446">
        <f t="shared" ref="F1082:I1082" si="341">(F1076)*F1072/1000</f>
        <v>0</v>
      </c>
      <c r="G1082" s="446">
        <f t="shared" si="341"/>
        <v>0</v>
      </c>
      <c r="H1082" s="446">
        <f t="shared" si="341"/>
        <v>0</v>
      </c>
      <c r="I1082" s="446">
        <f t="shared" si="341"/>
        <v>0</v>
      </c>
      <c r="J1082" s="517"/>
      <c r="K1082" s="456"/>
    </row>
    <row r="1083" spans="1:11" x14ac:dyDescent="0.25" outlineLevel="1" collapsed="1">
      <c r="A1083" s="452" t="s">
        <v>403</v>
      </c>
      <c r="B1083" s="453" t="s">
        <v>2139</v>
      </c>
      <c r="C1083" s="452" t="s">
        <v>2243</v>
      </c>
      <c r="D1083" s="452" t="s">
        <v>1826</v>
      </c>
      <c r="E1083" s="446">
        <f t="shared" ref="E1083" si="342">E1077*E1072/1000</f>
        <v>0</v>
      </c>
      <c r="F1083" s="446">
        <f t="shared" ref="F1083:I1083" si="343">F1077*F1072/1000</f>
        <v>0</v>
      </c>
      <c r="G1083" s="446">
        <f t="shared" si="343"/>
        <v>0</v>
      </c>
      <c r="H1083" s="446">
        <f t="shared" si="343"/>
        <v>0</v>
      </c>
      <c r="I1083" s="446">
        <f t="shared" si="343"/>
        <v>0</v>
      </c>
      <c r="J1083" s="517"/>
      <c r="K1083" s="456"/>
    </row>
    <row r="1084" spans="1:11" x14ac:dyDescent="0.25" outlineLevel="1" collapsed="1">
      <c r="A1084" s="452" t="s">
        <v>407</v>
      </c>
      <c r="B1084" s="453" t="s">
        <v>2171</v>
      </c>
      <c r="C1084" s="452" t="s">
        <v>2244</v>
      </c>
      <c r="D1084" s="452" t="s">
        <v>1826</v>
      </c>
      <c r="E1084" s="446">
        <f t="shared" ref="E1084" si="344">E1078*E1072/1000</f>
        <v>0</v>
      </c>
      <c r="F1084" s="446">
        <f t="shared" ref="F1084:I1084" si="345">F1078*F1072/1000</f>
        <v>0</v>
      </c>
      <c r="G1084" s="446">
        <f t="shared" si="345"/>
        <v>0</v>
      </c>
      <c r="H1084" s="446">
        <f t="shared" si="345"/>
        <v>0</v>
      </c>
      <c r="I1084" s="446">
        <f t="shared" si="345"/>
        <v>0</v>
      </c>
      <c r="J1084" s="517"/>
      <c r="K1084" s="456"/>
    </row>
    <row r="1085" spans="1:11" x14ac:dyDescent="0.25" outlineLevel="1" collapsed="1">
      <c r="A1085" s="452" t="s">
        <v>410</v>
      </c>
      <c r="B1085" s="453" t="s">
        <v>2143</v>
      </c>
      <c r="C1085" s="452" t="s">
        <v>2245</v>
      </c>
      <c r="D1085" s="452" t="s">
        <v>1826</v>
      </c>
      <c r="E1085" s="446">
        <f t="shared" ref="E1085" si="346">E1079*E1072/1000</f>
        <v>0</v>
      </c>
      <c r="F1085" s="446">
        <f t="shared" ref="F1085:I1085" si="347">F1079*F1072/1000</f>
        <v>0</v>
      </c>
      <c r="G1085" s="446">
        <f t="shared" si="347"/>
        <v>0</v>
      </c>
      <c r="H1085" s="446">
        <f t="shared" si="347"/>
        <v>0</v>
      </c>
      <c r="I1085" s="446">
        <f t="shared" si="347"/>
        <v>0</v>
      </c>
      <c r="J1085" s="517"/>
      <c r="K1085" s="456"/>
    </row>
    <row r="1086" spans="1:11" x14ac:dyDescent="0.25" outlineLevel="1" collapsed="1">
      <c r="A1086" s="452" t="s">
        <v>413</v>
      </c>
      <c r="B1086" s="453" t="s">
        <v>2145</v>
      </c>
      <c r="C1086" s="452" t="s">
        <v>2252</v>
      </c>
      <c r="D1086" s="452" t="s">
        <v>1826</v>
      </c>
      <c r="E1086" s="446">
        <f t="shared" ref="E1086" si="348">E1082+E1083+E1084</f>
        <v>0</v>
      </c>
      <c r="F1086" s="446">
        <f t="shared" ref="F1086:I1086" si="349">F1082+F1083+F1084</f>
        <v>0</v>
      </c>
      <c r="G1086" s="446">
        <f t="shared" si="349"/>
        <v>0</v>
      </c>
      <c r="H1086" s="446">
        <f t="shared" si="349"/>
        <v>0</v>
      </c>
      <c r="I1086" s="446">
        <f t="shared" si="349"/>
        <v>0</v>
      </c>
      <c r="J1086" s="517"/>
      <c r="K1086" s="456"/>
    </row>
    <row r="1087" spans="1:11" x14ac:dyDescent="0.25" outlineLevel="1" collapsed="1">
      <c r="A1087" s="604" t="s">
        <v>416</v>
      </c>
      <c r="B1087" s="605" t="s">
        <v>2236</v>
      </c>
      <c r="C1087" s="604"/>
      <c r="D1087" s="604" t="s">
        <v>2147</v>
      </c>
      <c r="E1087" s="606">
        <f t="shared" ref="E1087" si="350">E1076*1000*E$1073*E$1074/100*E$1080/10^6</f>
        <v>0</v>
      </c>
      <c r="F1087" s="606">
        <f t="shared" ref="F1087:I1087" si="351">F1076*1000*F$1073*F$1074/100*F$1080/10^6</f>
        <v>0</v>
      </c>
      <c r="G1087" s="606">
        <f t="shared" si="351"/>
        <v>0</v>
      </c>
      <c r="H1087" s="606">
        <f t="shared" si="351"/>
        <v>0</v>
      </c>
      <c r="I1087" s="606">
        <f t="shared" si="351"/>
        <v>0</v>
      </c>
      <c r="J1087" s="517"/>
      <c r="K1087" s="456"/>
    </row>
    <row r="1088" spans="1:11" x14ac:dyDescent="0.25" outlineLevel="1" collapsed="1">
      <c r="A1088" s="604" t="s">
        <v>419</v>
      </c>
      <c r="B1088" s="605" t="s">
        <v>2146</v>
      </c>
      <c r="C1088" s="604"/>
      <c r="D1088" s="604" t="s">
        <v>2147</v>
      </c>
      <c r="E1088" s="606">
        <f t="shared" ref="E1088" si="352">E1077*1000*E$1073*E$1074/100*E$1080/10^6</f>
        <v>0</v>
      </c>
      <c r="F1088" s="606">
        <f t="shared" ref="F1088:I1088" si="353">F1077*1000*F$1073*F$1074/100*F$1080/10^6</f>
        <v>0</v>
      </c>
      <c r="G1088" s="606">
        <f t="shared" si="353"/>
        <v>0</v>
      </c>
      <c r="H1088" s="606">
        <f t="shared" si="353"/>
        <v>0</v>
      </c>
      <c r="I1088" s="606">
        <f t="shared" si="353"/>
        <v>0</v>
      </c>
      <c r="J1088" s="517"/>
      <c r="K1088" s="456"/>
    </row>
    <row r="1089" spans="1:11" x14ac:dyDescent="0.25" outlineLevel="1" collapsed="1">
      <c r="A1089" s="604" t="s">
        <v>423</v>
      </c>
      <c r="B1089" s="605" t="s">
        <v>2162</v>
      </c>
      <c r="C1089" s="604"/>
      <c r="D1089" s="604" t="s">
        <v>2147</v>
      </c>
      <c r="E1089" s="606">
        <f t="shared" ref="E1089" si="354">E1078*1000*E$1073*E$1074/100*E$1080/10^6</f>
        <v>0</v>
      </c>
      <c r="F1089" s="606">
        <f t="shared" ref="F1089:I1089" si="355">F1078*1000*F$1073*F$1074/100*F$1080/10^6</f>
        <v>0</v>
      </c>
      <c r="G1089" s="606">
        <f t="shared" si="355"/>
        <v>0</v>
      </c>
      <c r="H1089" s="606">
        <f t="shared" si="355"/>
        <v>0</v>
      </c>
      <c r="I1089" s="606">
        <f t="shared" si="355"/>
        <v>0</v>
      </c>
      <c r="J1089" s="517"/>
      <c r="K1089" s="456"/>
    </row>
    <row r="1090" spans="1:11" x14ac:dyDescent="0.25" outlineLevel="1" collapsed="1">
      <c r="A1090" s="604" t="s">
        <v>425</v>
      </c>
      <c r="B1090" s="605" t="s">
        <v>2149</v>
      </c>
      <c r="C1090" s="604"/>
      <c r="D1090" s="604" t="s">
        <v>2147</v>
      </c>
      <c r="E1090" s="606">
        <f t="shared" ref="E1090" si="356">E1079*1000*E$1073*E$1074/100*E$1080/10^6</f>
        <v>0</v>
      </c>
      <c r="F1090" s="606">
        <f t="shared" ref="F1090:I1090" si="357">F1079*1000*F$1073*F$1074/100*F$1080/10^6</f>
        <v>0</v>
      </c>
      <c r="G1090" s="606">
        <f t="shared" si="357"/>
        <v>0</v>
      </c>
      <c r="H1090" s="606">
        <f t="shared" si="357"/>
        <v>0</v>
      </c>
      <c r="I1090" s="606">
        <f t="shared" si="357"/>
        <v>0</v>
      </c>
      <c r="J1090" s="517"/>
      <c r="K1090" s="456"/>
    </row>
    <row r="1091" spans="1:11" x14ac:dyDescent="0.25">
      <c r="A1091" s="443"/>
      <c r="B1091" s="486"/>
      <c r="C1091" s="414"/>
      <c r="D1091" s="443"/>
      <c r="E1091" s="443"/>
      <c r="F1091" s="443"/>
      <c r="G1091" s="443"/>
      <c r="H1091" s="474"/>
      <c r="I1091" s="293"/>
      <c r="J1091" s="517"/>
      <c r="K1091" s="456"/>
    </row>
    <row r="1092" spans="1:11" x14ac:dyDescent="0.25">
      <c r="A1092" s="437" t="s">
        <v>2253</v>
      </c>
      <c r="B1092" s="438" t="s">
        <v>2254</v>
      </c>
      <c r="C1092" s="439"/>
      <c r="D1092" s="440"/>
      <c r="E1092" s="440"/>
      <c r="F1092" s="440"/>
      <c r="G1092" s="440"/>
      <c r="H1092" s="441"/>
      <c r="I1092" s="441"/>
      <c r="J1092" s="442"/>
      <c r="K1092" s="442"/>
    </row>
    <row r="1093" ht="28" customHeight="1" spans="1:11" x14ac:dyDescent="0.25" outlineLevel="1" collapsed="1">
      <c r="A1093" s="293" t="s">
        <v>306</v>
      </c>
      <c r="B1093" s="349" t="s">
        <v>2122</v>
      </c>
      <c r="C1093" s="293" t="s">
        <v>2123</v>
      </c>
      <c r="D1093" s="293" t="s">
        <v>2124</v>
      </c>
      <c r="E1093" s="470"/>
      <c r="F1093" s="470"/>
      <c r="G1093" s="470"/>
      <c r="H1093" s="446">
        <f t="shared" ref="H1093:H1103" si="358">IF(K$9=1,E1093,IF(K$9=2,(E1093+F1093)/2,(E1093+F1093+G1093)/3))</f>
        <v>82780.25542068144</v>
      </c>
      <c r="I1093" s="470"/>
      <c r="J1093" s="471"/>
      <c r="K1093" s="716"/>
    </row>
    <row r="1094" ht="14.5" customHeight="1" spans="1:11" x14ac:dyDescent="0.25" outlineLevel="1" collapsed="1">
      <c r="A1094" s="293" t="s">
        <v>308</v>
      </c>
      <c r="B1094" s="349" t="s">
        <v>2220</v>
      </c>
      <c r="C1094" s="293"/>
      <c r="D1094" s="443" t="s">
        <v>2126</v>
      </c>
      <c r="E1094" s="471"/>
      <c r="F1094" s="471"/>
      <c r="G1094" s="471"/>
      <c r="H1094" s="446">
        <f t="shared" si="358"/>
        <v>10948.457339913632</v>
      </c>
      <c r="I1094" s="470"/>
      <c r="J1094" s="471"/>
      <c r="K1094" s="716"/>
    </row>
    <row r="1095" ht="14.5" customHeight="1" spans="1:11" x14ac:dyDescent="0.25" outlineLevel="1" collapsed="1">
      <c r="A1095" s="422" t="s">
        <v>310</v>
      </c>
      <c r="B1095" s="435" t="s">
        <v>2221</v>
      </c>
      <c r="C1095" s="422"/>
      <c r="D1095" s="451" t="s">
        <v>2126</v>
      </c>
      <c r="E1095" s="471"/>
      <c r="F1095" s="471">
        <f t="shared" ref="F1095" si="359">F1094*0.95</f>
        <v>0</v>
      </c>
      <c r="G1095" s="471">
        <f t="shared" ref="G1095:I1095" si="360">G1094*0.95</f>
        <v>0</v>
      </c>
      <c r="H1095" s="446">
        <f t="shared" si="358"/>
        <v>10401.034472917949</v>
      </c>
      <c r="I1095" s="471">
        <f t="shared" si="360"/>
        <v>0</v>
      </c>
      <c r="J1095" s="471"/>
      <c r="K1095" s="716"/>
    </row>
    <row r="1096" ht="14.5" customHeight="1" spans="1:11" x14ac:dyDescent="0.25" outlineLevel="1" collapsed="1">
      <c r="A1096" s="293" t="s">
        <v>312</v>
      </c>
      <c r="B1096" s="349" t="s">
        <v>2222</v>
      </c>
      <c r="C1096" s="293" t="s">
        <v>61</v>
      </c>
      <c r="D1096" s="443" t="s">
        <v>2223</v>
      </c>
      <c r="E1096" s="228"/>
      <c r="F1096" s="228"/>
      <c r="G1096" s="228"/>
      <c r="H1096" s="446">
        <f t="shared" si="358"/>
        <v>1802.6219999999998</v>
      </c>
      <c r="I1096" s="228"/>
      <c r="J1096" s="228"/>
      <c r="K1096" s="716"/>
    </row>
    <row r="1097" ht="14.5" customHeight="1" spans="1:11" x14ac:dyDescent="0.25" outlineLevel="1" collapsed="1">
      <c r="A1097" s="293" t="s">
        <v>314</v>
      </c>
      <c r="B1097" s="349" t="s">
        <v>2255</v>
      </c>
      <c r="C1097" s="293" t="s">
        <v>61</v>
      </c>
      <c r="D1097" s="443" t="s">
        <v>2256</v>
      </c>
      <c r="E1097" s="470"/>
      <c r="F1097" s="470"/>
      <c r="G1097" s="470"/>
      <c r="H1097" s="446">
        <f t="shared" si="358"/>
        <v>0.827889565124786</v>
      </c>
      <c r="I1097" s="470"/>
      <c r="J1097" s="471"/>
      <c r="K1097" s="716"/>
    </row>
    <row r="1098" ht="14.5" customHeight="1" spans="1:11" x14ac:dyDescent="0.25" outlineLevel="1" collapsed="1">
      <c r="A1098" s="422" t="s">
        <v>316</v>
      </c>
      <c r="B1098" s="435" t="s">
        <v>2179</v>
      </c>
      <c r="C1098" s="422" t="s">
        <v>61</v>
      </c>
      <c r="D1098" s="451" t="s">
        <v>1493</v>
      </c>
      <c r="E1098" s="245"/>
      <c r="F1098" s="245"/>
      <c r="G1098" s="245"/>
      <c r="H1098" s="446">
        <f t="shared" si="358"/>
        <v>100</v>
      </c>
      <c r="I1098" s="245"/>
      <c r="J1098" s="471"/>
      <c r="K1098" s="716"/>
    </row>
    <row r="1099" ht="14.5" customHeight="1" spans="1:11" x14ac:dyDescent="0.25" outlineLevel="1" collapsed="1">
      <c r="A1099" s="293" t="s">
        <v>318</v>
      </c>
      <c r="B1099" s="349" t="s">
        <v>2227</v>
      </c>
      <c r="C1099" s="293" t="s">
        <v>61</v>
      </c>
      <c r="D1099" s="443" t="s">
        <v>2223</v>
      </c>
      <c r="E1099" s="228"/>
      <c r="F1099" s="445"/>
      <c r="G1099" s="445"/>
      <c r="H1099" s="446">
        <f t="shared" si="358"/>
        <v>0</v>
      </c>
      <c r="I1099" s="228"/>
      <c r="J1099" s="228"/>
      <c r="K1099" s="716"/>
    </row>
    <row r="1100" ht="14.5" customHeight="1" spans="1:11" x14ac:dyDescent="0.25" outlineLevel="1" collapsed="1">
      <c r="A1100" s="293" t="s">
        <v>478</v>
      </c>
      <c r="B1100" s="349" t="s">
        <v>2155</v>
      </c>
      <c r="C1100" s="293" t="s">
        <v>61</v>
      </c>
      <c r="D1100" s="443" t="s">
        <v>2223</v>
      </c>
      <c r="E1100" s="228"/>
      <c r="F1100" s="445"/>
      <c r="G1100" s="445"/>
      <c r="H1100" s="446">
        <f t="shared" si="358"/>
        <v>1165.051</v>
      </c>
      <c r="I1100" s="228"/>
      <c r="J1100" s="228"/>
      <c r="K1100" s="456"/>
    </row>
    <row r="1101" ht="14.5" customHeight="1" spans="1:11" x14ac:dyDescent="0.25" outlineLevel="1" collapsed="1">
      <c r="A1101" s="293" t="s">
        <v>481</v>
      </c>
      <c r="B1101" s="349" t="s">
        <v>2169</v>
      </c>
      <c r="C1101" s="293" t="s">
        <v>61</v>
      </c>
      <c r="D1101" s="443" t="s">
        <v>2223</v>
      </c>
      <c r="E1101" s="228"/>
      <c r="F1101" s="445"/>
      <c r="G1101" s="445"/>
      <c r="H1101" s="446">
        <f t="shared" si="358"/>
        <v>201.14720180198745</v>
      </c>
      <c r="I1101" s="228"/>
      <c r="J1101" s="228"/>
      <c r="K1101" s="456"/>
    </row>
    <row r="1102" ht="28" customHeight="1" spans="1:11" x14ac:dyDescent="0.25" outlineLevel="1" collapsed="1">
      <c r="A1102" s="293" t="s">
        <v>483</v>
      </c>
      <c r="B1102" s="349" t="s">
        <v>2257</v>
      </c>
      <c r="C1102" s="293" t="s">
        <v>61</v>
      </c>
      <c r="D1102" s="443" t="s">
        <v>2223</v>
      </c>
      <c r="E1102" s="228"/>
      <c r="F1102" s="445"/>
      <c r="G1102" s="445"/>
      <c r="H1102" s="446">
        <f t="shared" si="358"/>
        <v>0</v>
      </c>
      <c r="I1102" s="228"/>
      <c r="J1102" s="228"/>
      <c r="K1102" s="456"/>
    </row>
    <row r="1103" ht="14.5" customHeight="1" spans="1:11" x14ac:dyDescent="0.25" outlineLevel="1" collapsed="1">
      <c r="A1103" s="293" t="s">
        <v>485</v>
      </c>
      <c r="B1103" s="349" t="s">
        <v>2199</v>
      </c>
      <c r="C1103" s="293" t="s">
        <v>61</v>
      </c>
      <c r="D1103" s="443" t="s">
        <v>2223</v>
      </c>
      <c r="E1103" s="228"/>
      <c r="F1103" s="445"/>
      <c r="G1103" s="445"/>
      <c r="H1103" s="446">
        <f t="shared" si="358"/>
        <v>117.42279819801254</v>
      </c>
      <c r="I1103" s="228"/>
      <c r="J1103" s="228"/>
      <c r="K1103" s="456"/>
    </row>
    <row r="1104" ht="14.5" customHeight="1" spans="1:11" x14ac:dyDescent="0.25" outlineLevel="1" collapsed="1">
      <c r="A1104" s="604" t="s">
        <v>488</v>
      </c>
      <c r="B1104" s="605" t="s">
        <v>2180</v>
      </c>
      <c r="C1104" s="604" t="s">
        <v>61</v>
      </c>
      <c r="D1104" s="678" t="s">
        <v>2136</v>
      </c>
      <c r="E1104" s="662">
        <f>'Emission Factor &amp; GWP Backup'!$E$13</f>
        <v>0.31024187999999475</v>
      </c>
      <c r="F1104" s="662">
        <f>'Emission Factor &amp; GWP Backup'!$E$13</f>
        <v>0.31024187999999475</v>
      </c>
      <c r="G1104" s="662">
        <f>'Emission Factor &amp; GWP Backup'!$E$13</f>
        <v>0.31024187999999475</v>
      </c>
      <c r="H1104" s="662">
        <f>'Emission Factor &amp; GWP Backup'!$E$13</f>
        <v>0.31024187999999475</v>
      </c>
      <c r="I1104" s="662">
        <f>'Emission Factor &amp; GWP Backup'!$E$13</f>
        <v>0.31024187999999475</v>
      </c>
      <c r="J1104" s="228"/>
      <c r="K1104" s="456"/>
    </row>
    <row r="1105" ht="28" customHeight="1" spans="1:11" x14ac:dyDescent="0.25" outlineLevel="1" collapsed="1">
      <c r="A1105" s="452" t="s">
        <v>403</v>
      </c>
      <c r="B1105" s="453" t="s">
        <v>2258</v>
      </c>
      <c r="C1105" s="452" t="s">
        <v>2259</v>
      </c>
      <c r="D1105" s="452" t="s">
        <v>1456</v>
      </c>
      <c r="E1105" s="446">
        <f t="shared" ref="E1105" si="361">(E1099+E1100+E1102+E1103+E1101)*E1097</f>
        <v>1228.2743444999999</v>
      </c>
      <c r="F1105" s="446">
        <f t="shared" ref="F1105:I1105" si="362">(F1099+F1100+F1102+F1103+F1101)*F1097</f>
        <v>0</v>
      </c>
      <c r="G1105" s="446">
        <f t="shared" si="362"/>
        <v>0</v>
      </c>
      <c r="H1105" s="446">
        <f t="shared" si="362"/>
        <v>1228.2743444999999</v>
      </c>
      <c r="I1105" s="446">
        <f t="shared" si="362"/>
        <v>0</v>
      </c>
      <c r="J1105" s="517"/>
      <c r="K1105" s="456"/>
    </row>
    <row r="1106" spans="1:11" x14ac:dyDescent="0.25" outlineLevel="1" collapsed="1">
      <c r="A1106" s="452" t="s">
        <v>407</v>
      </c>
      <c r="B1106" s="453" t="s">
        <v>2231</v>
      </c>
      <c r="C1106" s="452" t="s">
        <v>2260</v>
      </c>
      <c r="D1106" s="452" t="s">
        <v>1826</v>
      </c>
      <c r="E1106" s="446">
        <f t="shared" ref="E1106" si="363">E1099*E1097*E1094/1000</f>
        <v>0</v>
      </c>
      <c r="F1106" s="446">
        <f t="shared" ref="F1106:I1106" si="364">F1099*F1097*F1094/1000</f>
        <v>0</v>
      </c>
      <c r="G1106" s="446">
        <f t="shared" si="364"/>
        <v>0</v>
      </c>
      <c r="H1106" s="446">
        <f t="shared" si="364"/>
        <v>0</v>
      </c>
      <c r="I1106" s="446">
        <f t="shared" si="364"/>
        <v>0</v>
      </c>
      <c r="J1106" s="517"/>
      <c r="K1106" s="456"/>
    </row>
    <row r="1107" ht="28" customHeight="1" spans="1:11" x14ac:dyDescent="0.25" outlineLevel="1" collapsed="1">
      <c r="A1107" s="452" t="s">
        <v>410</v>
      </c>
      <c r="B1107" s="453" t="s">
        <v>2139</v>
      </c>
      <c r="C1107" s="452" t="s">
        <v>2261</v>
      </c>
      <c r="D1107" s="452" t="s">
        <v>1826</v>
      </c>
      <c r="E1107" s="446">
        <f t="shared" ref="E1107" si="365">E1100*E1097*E1094/1000</f>
        <v>10560.154597399429</v>
      </c>
      <c r="F1107" s="446">
        <f t="shared" ref="F1107:I1107" si="366">F1100*F1097*F1094/1000</f>
        <v>0</v>
      </c>
      <c r="G1107" s="446">
        <f t="shared" si="366"/>
        <v>0</v>
      </c>
      <c r="H1107" s="446">
        <f t="shared" si="366"/>
        <v>10560.154597399429</v>
      </c>
      <c r="I1107" s="446">
        <f t="shared" si="366"/>
        <v>0</v>
      </c>
      <c r="J1107" s="517"/>
      <c r="K1107" s="456"/>
    </row>
    <row r="1108" ht="28" customHeight="1" spans="1:11" x14ac:dyDescent="0.25" outlineLevel="1" collapsed="1">
      <c r="A1108" s="452" t="s">
        <v>413</v>
      </c>
      <c r="B1108" s="453" t="s">
        <v>2262</v>
      </c>
      <c r="C1108" s="452" t="s">
        <v>2263</v>
      </c>
      <c r="D1108" s="452" t="s">
        <v>1826</v>
      </c>
      <c r="E1108" s="446">
        <f t="shared" ref="E1108" si="367">E1101*E1097*E1094/1000</f>
        <v>1823.2210846248693</v>
      </c>
      <c r="F1108" s="446">
        <f t="shared" ref="F1108:I1108" si="368">F1101*F1097*F1094/1000</f>
        <v>0</v>
      </c>
      <c r="G1108" s="446">
        <f t="shared" si="368"/>
        <v>0</v>
      </c>
      <c r="H1108" s="446">
        <f t="shared" si="368"/>
        <v>1823.2210846248693</v>
      </c>
      <c r="I1108" s="446">
        <f t="shared" si="368"/>
        <v>0</v>
      </c>
      <c r="J1108" s="517"/>
      <c r="K1108" s="456"/>
    </row>
    <row r="1109" ht="28" customHeight="1" spans="1:11" x14ac:dyDescent="0.25" outlineLevel="1" collapsed="1">
      <c r="A1109" s="452" t="s">
        <v>416</v>
      </c>
      <c r="B1109" s="453" t="s">
        <v>2143</v>
      </c>
      <c r="C1109" s="452" t="s">
        <v>2264</v>
      </c>
      <c r="D1109" s="452" t="s">
        <v>1826</v>
      </c>
      <c r="E1109" s="446">
        <f t="shared" ref="E1109" si="369">(E1103+E1102)*E1097*E1094/1000</f>
        <v>1064.3335804443307</v>
      </c>
      <c r="F1109" s="446">
        <f t="shared" ref="F1109:I1109" si="370">(F1103+F1102)*F1097*F1094/1000</f>
        <v>0</v>
      </c>
      <c r="G1109" s="446">
        <f t="shared" si="370"/>
        <v>0</v>
      </c>
      <c r="H1109" s="446">
        <f t="shared" si="370"/>
        <v>1064.3335804443307</v>
      </c>
      <c r="I1109" s="446">
        <f t="shared" si="370"/>
        <v>0</v>
      </c>
      <c r="J1109" s="517"/>
      <c r="K1109" s="456"/>
    </row>
    <row r="1110" ht="28" customHeight="1" spans="1:11" x14ac:dyDescent="0.25" outlineLevel="1" collapsed="1">
      <c r="A1110" s="452" t="s">
        <v>419</v>
      </c>
      <c r="B1110" s="453" t="s">
        <v>2145</v>
      </c>
      <c r="C1110" s="452" t="s">
        <v>2265</v>
      </c>
      <c r="D1110" s="452" t="s">
        <v>1826</v>
      </c>
      <c r="E1110" s="446">
        <f t="shared" ref="E1110" si="371">E1106+E1107+E1108</f>
        <v>12383.375682024298</v>
      </c>
      <c r="F1110" s="446">
        <f t="shared" ref="F1110:I1110" si="372">F1106+F1107+F1108</f>
        <v>0</v>
      </c>
      <c r="G1110" s="446">
        <f t="shared" si="372"/>
        <v>0</v>
      </c>
      <c r="H1110" s="446">
        <f t="shared" si="372"/>
        <v>12383.375682024298</v>
      </c>
      <c r="I1110" s="446">
        <f t="shared" si="372"/>
        <v>0</v>
      </c>
      <c r="J1110" s="517"/>
      <c r="K1110" s="456"/>
    </row>
    <row r="1111" spans="1:11" x14ac:dyDescent="0.25" outlineLevel="1" collapsed="1">
      <c r="A1111" s="604" t="s">
        <v>423</v>
      </c>
      <c r="B1111" s="605" t="s">
        <v>2236</v>
      </c>
      <c r="C1111" s="604"/>
      <c r="D1111" s="604" t="s">
        <v>2147</v>
      </c>
      <c r="E1111" s="606">
        <f t="shared" ref="E1111" si="373">E1099*E$1097*1000*E$1095*E$1098/100*E$1104/10^6</f>
        <v>0</v>
      </c>
      <c r="F1111" s="606">
        <f t="shared" ref="F1111:I1111" si="374">F1099*F$1097*1000*F$1095*F$1098/100*F$1104/10^6</f>
        <v>0</v>
      </c>
      <c r="G1111" s="606">
        <f t="shared" si="374"/>
        <v>0</v>
      </c>
      <c r="H1111" s="606">
        <f t="shared" si="374"/>
        <v>0</v>
      </c>
      <c r="I1111" s="606">
        <f t="shared" si="374"/>
        <v>0</v>
      </c>
      <c r="J1111" s="517"/>
      <c r="K1111" s="456"/>
    </row>
    <row r="1112" spans="1:11" x14ac:dyDescent="0.25" outlineLevel="1" collapsed="1">
      <c r="A1112" s="604" t="s">
        <v>425</v>
      </c>
      <c r="B1112" s="605" t="s">
        <v>2146</v>
      </c>
      <c r="C1112" s="604"/>
      <c r="D1112" s="604" t="s">
        <v>2147</v>
      </c>
      <c r="E1112" s="606">
        <f t="shared" ref="E1112" si="375">E1100*E$1097*1000*E$1095*E$1098/100*E$1104/10^6</f>
        <v>3112.3921046183973</v>
      </c>
      <c r="F1112" s="606">
        <f t="shared" ref="F1112:I1112" si="376">F1100*F$1097*1000*F$1095*F$1098/100*F$1104/10^6</f>
        <v>0</v>
      </c>
      <c r="G1112" s="606">
        <f t="shared" si="376"/>
        <v>0</v>
      </c>
      <c r="H1112" s="606">
        <f t="shared" si="376"/>
        <v>3112.3921046183973</v>
      </c>
      <c r="I1112" s="606">
        <f t="shared" si="376"/>
        <v>0</v>
      </c>
      <c r="J1112" s="517"/>
      <c r="K1112" s="456"/>
    </row>
    <row r="1113" spans="1:11" x14ac:dyDescent="0.25" outlineLevel="1" collapsed="1">
      <c r="A1113" s="604" t="s">
        <v>427</v>
      </c>
      <c r="B1113" s="605" t="s">
        <v>2162</v>
      </c>
      <c r="C1113" s="604"/>
      <c r="D1113" s="604" t="s">
        <v>2147</v>
      </c>
      <c r="E1113" s="606">
        <f t="shared" ref="E1113" si="377">E1101*E$1097*1000*E$1095*E$1098/100*E$1104/10^6</f>
        <v>537.3575601021664</v>
      </c>
      <c r="F1113" s="606">
        <f t="shared" ref="F1113:I1113" si="378">F1101*F$1097*1000*F$1095*F$1098/100*F$1104/10^6</f>
        <v>0</v>
      </c>
      <c r="G1113" s="606">
        <f t="shared" si="378"/>
        <v>0</v>
      </c>
      <c r="H1113" s="606">
        <f t="shared" si="378"/>
        <v>537.3575601021664</v>
      </c>
      <c r="I1113" s="606">
        <f t="shared" si="378"/>
        <v>0</v>
      </c>
      <c r="J1113" s="517"/>
      <c r="K1113" s="456"/>
    </row>
    <row r="1114" spans="1:11" x14ac:dyDescent="0.25" outlineLevel="1" collapsed="1">
      <c r="A1114" s="604" t="s">
        <v>514</v>
      </c>
      <c r="B1114" s="605" t="s">
        <v>2149</v>
      </c>
      <c r="C1114" s="604"/>
      <c r="D1114" s="604" t="s">
        <v>2147</v>
      </c>
      <c r="E1114" s="606">
        <f>(E1102+E1103)*E$1097*1000*E$1095*E$1098/100*E$1104/10^6</f>
        <v>313.69080839696596</v>
      </c>
      <c r="F1114" s="606">
        <f t="shared" ref="F1114:I1114" si="379">(F1102+F1103)*F$1097*1000*F$1095*F$1098/100*F$1104/10^6</f>
        <v>0</v>
      </c>
      <c r="G1114" s="606">
        <f t="shared" si="379"/>
        <v>0</v>
      </c>
      <c r="H1114" s="606">
        <f t="shared" si="379"/>
        <v>313.69080839696596</v>
      </c>
      <c r="I1114" s="606">
        <f t="shared" si="379"/>
        <v>0</v>
      </c>
      <c r="J1114" s="517"/>
      <c r="K1114" s="456"/>
    </row>
    <row r="1115" spans="1:11" x14ac:dyDescent="0.25">
      <c r="A1115" s="443"/>
      <c r="B1115" s="349"/>
      <c r="C1115" s="293"/>
      <c r="D1115" s="443"/>
      <c r="E1115" s="443"/>
      <c r="F1115" s="443"/>
      <c r="G1115" s="293"/>
      <c r="H1115" s="474"/>
      <c r="I1115" s="293"/>
      <c r="J1115" s="517"/>
      <c r="K1115" s="456"/>
    </row>
    <row r="1116" spans="1:11" x14ac:dyDescent="0.25">
      <c r="A1116" s="437" t="s">
        <v>2266</v>
      </c>
      <c r="B1116" s="438" t="s">
        <v>2267</v>
      </c>
      <c r="C1116" s="439"/>
      <c r="D1116" s="440"/>
      <c r="E1116" s="440"/>
      <c r="F1116" s="440"/>
      <c r="G1116" s="440"/>
      <c r="H1116" s="441"/>
      <c r="I1116" s="440"/>
      <c r="J1116" s="442"/>
      <c r="K1116" s="442"/>
    </row>
    <row r="1117" ht="28" customHeight="1" spans="1:11" x14ac:dyDescent="0.25" outlineLevel="1" collapsed="1">
      <c r="A1117" s="293" t="s">
        <v>306</v>
      </c>
      <c r="B1117" s="349" t="s">
        <v>2122</v>
      </c>
      <c r="C1117" s="293" t="s">
        <v>2123</v>
      </c>
      <c r="D1117" s="293" t="s">
        <v>2124</v>
      </c>
      <c r="E1117" s="470"/>
      <c r="F1117" s="470"/>
      <c r="G1117" s="470"/>
      <c r="H1117" s="446">
        <f t="shared" ref="H1117:H1127" si="380">IF(K$9=1,E1117,IF(K$9=2,(E1117+F1117)/2,(E1117+F1117+G1117)/3))</f>
        <v>0</v>
      </c>
      <c r="I1117" s="470"/>
      <c r="J1117" s="471"/>
      <c r="K1117" s="456"/>
    </row>
    <row r="1118" ht="14.5" customHeight="1" spans="1:11" x14ac:dyDescent="0.25" outlineLevel="1" collapsed="1">
      <c r="A1118" s="293" t="s">
        <v>308</v>
      </c>
      <c r="B1118" s="349" t="s">
        <v>2220</v>
      </c>
      <c r="C1118" s="293"/>
      <c r="D1118" s="443" t="s">
        <v>2126</v>
      </c>
      <c r="E1118" s="470"/>
      <c r="F1118" s="470"/>
      <c r="G1118" s="470"/>
      <c r="H1118" s="446">
        <f t="shared" si="380"/>
        <v>0</v>
      </c>
      <c r="I1118" s="470"/>
      <c r="J1118" s="471"/>
      <c r="K1118" s="456"/>
    </row>
    <row r="1119" ht="14.5" customHeight="1" spans="1:11" x14ac:dyDescent="0.25" outlineLevel="1" collapsed="1">
      <c r="A1119" s="422" t="s">
        <v>310</v>
      </c>
      <c r="B1119" s="435" t="s">
        <v>2221</v>
      </c>
      <c r="C1119" s="422"/>
      <c r="D1119" s="451" t="s">
        <v>2126</v>
      </c>
      <c r="E1119" s="471"/>
      <c r="F1119" s="471">
        <f t="shared" ref="F1119" si="381">F1118*0.95</f>
        <v>0</v>
      </c>
      <c r="G1119" s="471">
        <f t="shared" ref="G1119" si="382">G1118*0.95</f>
        <v>0</v>
      </c>
      <c r="H1119" s="446">
        <f t="shared" si="380"/>
        <v>0</v>
      </c>
      <c r="I1119" s="471">
        <f>I1118</f>
        <v>0</v>
      </c>
      <c r="J1119" s="471"/>
      <c r="K1119" s="456"/>
    </row>
    <row r="1120" ht="14.5" customHeight="1" spans="1:11" x14ac:dyDescent="0.25" outlineLevel="1" collapsed="1">
      <c r="A1120" s="293" t="s">
        <v>312</v>
      </c>
      <c r="B1120" s="349" t="s">
        <v>2222</v>
      </c>
      <c r="C1120" s="293" t="s">
        <v>61</v>
      </c>
      <c r="D1120" s="443" t="s">
        <v>2223</v>
      </c>
      <c r="E1120" s="228"/>
      <c r="F1120" s="228"/>
      <c r="G1120" s="228"/>
      <c r="H1120" s="446">
        <f t="shared" si="380"/>
        <v>0</v>
      </c>
      <c r="I1120" s="228"/>
      <c r="J1120" s="228"/>
      <c r="K1120" s="456"/>
    </row>
    <row r="1121" ht="14.5" customHeight="1" spans="1:11" x14ac:dyDescent="0.25" outlineLevel="1" collapsed="1">
      <c r="A1121" s="293" t="s">
        <v>314</v>
      </c>
      <c r="B1121" s="349" t="s">
        <v>2255</v>
      </c>
      <c r="C1121" s="293" t="s">
        <v>61</v>
      </c>
      <c r="D1121" s="443" t="s">
        <v>2225</v>
      </c>
      <c r="E1121" s="470"/>
      <c r="F1121" s="470"/>
      <c r="G1121" s="470"/>
      <c r="H1121" s="446">
        <f t="shared" si="380"/>
        <v>0</v>
      </c>
      <c r="I1121" s="470"/>
      <c r="J1121" s="471"/>
      <c r="K1121" s="456"/>
    </row>
    <row r="1122" ht="14.5" customHeight="1" spans="1:11" x14ac:dyDescent="0.25" outlineLevel="1" collapsed="1">
      <c r="A1122" s="422" t="s">
        <v>316</v>
      </c>
      <c r="B1122" s="435" t="s">
        <v>2130</v>
      </c>
      <c r="C1122" s="422" t="s">
        <v>61</v>
      </c>
      <c r="D1122" s="451" t="s">
        <v>1493</v>
      </c>
      <c r="E1122" s="245"/>
      <c r="F1122" s="245"/>
      <c r="G1122" s="245"/>
      <c r="H1122" s="446">
        <f t="shared" si="380"/>
        <v>100</v>
      </c>
      <c r="I1122" s="245"/>
      <c r="J1122" s="471"/>
      <c r="K1122" s="456"/>
    </row>
    <row r="1123" ht="14.5" customHeight="1" spans="1:11" x14ac:dyDescent="0.25" outlineLevel="1" collapsed="1">
      <c r="A1123" s="293" t="s">
        <v>318</v>
      </c>
      <c r="B1123" s="349" t="s">
        <v>2227</v>
      </c>
      <c r="C1123" s="293" t="s">
        <v>61</v>
      </c>
      <c r="D1123" s="443" t="s">
        <v>2223</v>
      </c>
      <c r="E1123" s="228"/>
      <c r="F1123" s="228"/>
      <c r="G1123" s="228"/>
      <c r="H1123" s="446">
        <f t="shared" si="380"/>
        <v>0</v>
      </c>
      <c r="I1123" s="228"/>
      <c r="J1123" s="228"/>
      <c r="K1123" s="456"/>
    </row>
    <row r="1124" ht="14.5" customHeight="1" spans="1:11" x14ac:dyDescent="0.25" outlineLevel="1" collapsed="1">
      <c r="A1124" s="293" t="s">
        <v>478</v>
      </c>
      <c r="B1124" s="349" t="s">
        <v>2155</v>
      </c>
      <c r="C1124" s="293" t="s">
        <v>61</v>
      </c>
      <c r="D1124" s="443" t="s">
        <v>2223</v>
      </c>
      <c r="E1124" s="228"/>
      <c r="F1124" s="445"/>
      <c r="G1124" s="445"/>
      <c r="H1124" s="446">
        <f t="shared" si="380"/>
        <v>0</v>
      </c>
      <c r="I1124" s="228"/>
      <c r="J1124" s="228"/>
      <c r="K1124" s="456"/>
    </row>
    <row r="1125" ht="14.5" customHeight="1" spans="1:11" x14ac:dyDescent="0.25" outlineLevel="1" collapsed="1">
      <c r="A1125" s="293" t="s">
        <v>481</v>
      </c>
      <c r="B1125" s="349" t="s">
        <v>2169</v>
      </c>
      <c r="C1125" s="293" t="s">
        <v>61</v>
      </c>
      <c r="D1125" s="443" t="s">
        <v>2223</v>
      </c>
      <c r="E1125" s="228"/>
      <c r="F1125" s="445"/>
      <c r="G1125" s="445"/>
      <c r="H1125" s="446">
        <f t="shared" si="380"/>
        <v>0</v>
      </c>
      <c r="I1125" s="718"/>
      <c r="J1125" s="677"/>
      <c r="K1125" s="456"/>
    </row>
    <row r="1126" ht="28" customHeight="1" spans="1:11" x14ac:dyDescent="0.25" outlineLevel="1" collapsed="1">
      <c r="A1126" s="293" t="s">
        <v>483</v>
      </c>
      <c r="B1126" s="349" t="s">
        <v>2257</v>
      </c>
      <c r="C1126" s="293" t="s">
        <v>61</v>
      </c>
      <c r="D1126" s="443" t="s">
        <v>2223</v>
      </c>
      <c r="E1126" s="228"/>
      <c r="F1126" s="445"/>
      <c r="G1126" s="445"/>
      <c r="H1126" s="446">
        <f t="shared" si="380"/>
        <v>0</v>
      </c>
      <c r="I1126" s="228"/>
      <c r="J1126" s="228"/>
      <c r="K1126" s="456"/>
    </row>
    <row r="1127" ht="14.5" customHeight="1" spans="1:11" x14ac:dyDescent="0.25" outlineLevel="1" collapsed="1">
      <c r="A1127" s="293" t="s">
        <v>485</v>
      </c>
      <c r="B1127" s="349" t="s">
        <v>2199</v>
      </c>
      <c r="C1127" s="293" t="s">
        <v>61</v>
      </c>
      <c r="D1127" s="443" t="s">
        <v>2223</v>
      </c>
      <c r="E1127" s="228"/>
      <c r="F1127" s="445"/>
      <c r="G1127" s="445"/>
      <c r="H1127" s="446">
        <f t="shared" si="380"/>
        <v>0</v>
      </c>
      <c r="I1127" s="228"/>
      <c r="J1127" s="228"/>
      <c r="K1127" s="456"/>
    </row>
    <row r="1128" ht="14.5" customHeight="1" spans="1:11" x14ac:dyDescent="0.25" outlineLevel="1" collapsed="1">
      <c r="A1128" s="604" t="s">
        <v>488</v>
      </c>
      <c r="B1128" s="605" t="s">
        <v>2180</v>
      </c>
      <c r="C1128" s="604" t="s">
        <v>61</v>
      </c>
      <c r="D1128" s="678" t="s">
        <v>2136</v>
      </c>
      <c r="E1128" s="662">
        <f>'Emission Factor &amp; GWP Backup'!$E$13</f>
        <v>0.31024187999999475</v>
      </c>
      <c r="F1128" s="662">
        <f>'Emission Factor &amp; GWP Backup'!$E$13</f>
        <v>0.31024187999999475</v>
      </c>
      <c r="G1128" s="662">
        <f>'Emission Factor &amp; GWP Backup'!$E$13</f>
        <v>0.31024187999999475</v>
      </c>
      <c r="H1128" s="662">
        <f>'Emission Factor &amp; GWP Backup'!$E$13</f>
        <v>0.31024187999999475</v>
      </c>
      <c r="I1128" s="662">
        <f>'Emission Factor &amp; GWP Backup'!$E$13</f>
        <v>0.31024187999999475</v>
      </c>
      <c r="J1128" s="228"/>
      <c r="K1128" s="456"/>
    </row>
    <row r="1129" ht="28" customHeight="1" spans="1:11" x14ac:dyDescent="0.25" outlineLevel="1" collapsed="1">
      <c r="A1129" s="452" t="s">
        <v>403</v>
      </c>
      <c r="B1129" s="453" t="s">
        <v>2268</v>
      </c>
      <c r="C1129" s="452" t="s">
        <v>2259</v>
      </c>
      <c r="D1129" s="452" t="s">
        <v>1456</v>
      </c>
      <c r="E1129" s="446">
        <f t="shared" ref="E1129" si="383">(E1123+E1124+E1127+E1125+E1126)*E1121</f>
        <v>0</v>
      </c>
      <c r="F1129" s="446">
        <f t="shared" ref="F1129:I1129" si="384">(F1123+F1124+F1127+F1125+F1126)*F1121</f>
        <v>0</v>
      </c>
      <c r="G1129" s="446">
        <f t="shared" si="384"/>
        <v>0</v>
      </c>
      <c r="H1129" s="446">
        <f t="shared" si="384"/>
        <v>0</v>
      </c>
      <c r="I1129" s="446">
        <f t="shared" si="384"/>
        <v>0</v>
      </c>
      <c r="J1129" s="517"/>
      <c r="K1129" s="456"/>
    </row>
    <row r="1130" spans="1:11" x14ac:dyDescent="0.25" outlineLevel="1" collapsed="1">
      <c r="A1130" s="452" t="s">
        <v>407</v>
      </c>
      <c r="B1130" s="453" t="s">
        <v>2231</v>
      </c>
      <c r="C1130" s="452" t="s">
        <v>2260</v>
      </c>
      <c r="D1130" s="452" t="s">
        <v>1826</v>
      </c>
      <c r="E1130" s="446">
        <f t="shared" ref="E1130" si="385">E1123*E1121*E1118/1000</f>
        <v>0</v>
      </c>
      <c r="F1130" s="446">
        <f t="shared" ref="F1130:I1130" si="386">F1123*F1121*F1118/1000</f>
        <v>0</v>
      </c>
      <c r="G1130" s="446">
        <f t="shared" si="386"/>
        <v>0</v>
      </c>
      <c r="H1130" s="446">
        <f t="shared" si="386"/>
        <v>0</v>
      </c>
      <c r="I1130" s="446">
        <f t="shared" si="386"/>
        <v>0</v>
      </c>
      <c r="J1130" s="517"/>
      <c r="K1130" s="456"/>
    </row>
    <row r="1131" ht="28" customHeight="1" spans="1:11" x14ac:dyDescent="0.25" outlineLevel="1" collapsed="1">
      <c r="A1131" s="452" t="s">
        <v>410</v>
      </c>
      <c r="B1131" s="453" t="s">
        <v>2139</v>
      </c>
      <c r="C1131" s="452" t="s">
        <v>2261</v>
      </c>
      <c r="D1131" s="452" t="s">
        <v>1826</v>
      </c>
      <c r="E1131" s="446">
        <f t="shared" ref="E1131" si="387">E1124*E1121*E1118/1000</f>
        <v>0</v>
      </c>
      <c r="F1131" s="446">
        <f t="shared" ref="F1131:I1131" si="388">F1124*F1121*F1118/1000</f>
        <v>0</v>
      </c>
      <c r="G1131" s="446">
        <f t="shared" si="388"/>
        <v>0</v>
      </c>
      <c r="H1131" s="446">
        <f t="shared" si="388"/>
        <v>0</v>
      </c>
      <c r="I1131" s="446">
        <f t="shared" si="388"/>
        <v>0</v>
      </c>
      <c r="J1131" s="517"/>
      <c r="K1131" s="456"/>
    </row>
    <row r="1132" ht="28" customHeight="1" spans="1:11" x14ac:dyDescent="0.25" outlineLevel="1" collapsed="1">
      <c r="A1132" s="452" t="s">
        <v>413</v>
      </c>
      <c r="B1132" s="453" t="s">
        <v>2262</v>
      </c>
      <c r="C1132" s="452" t="s">
        <v>2263</v>
      </c>
      <c r="D1132" s="452" t="s">
        <v>1826</v>
      </c>
      <c r="E1132" s="446">
        <f t="shared" ref="E1132" si="389">E1125*E1121*E1118/1000</f>
        <v>0</v>
      </c>
      <c r="F1132" s="446">
        <f t="shared" ref="F1132:I1132" si="390">F1125*F1121*F1118/1000</f>
        <v>0</v>
      </c>
      <c r="G1132" s="446">
        <f t="shared" si="390"/>
        <v>0</v>
      </c>
      <c r="H1132" s="446">
        <f t="shared" si="390"/>
        <v>0</v>
      </c>
      <c r="I1132" s="446">
        <f t="shared" si="390"/>
        <v>0</v>
      </c>
      <c r="J1132" s="517"/>
      <c r="K1132" s="456"/>
    </row>
    <row r="1133" ht="28" customHeight="1" spans="1:11" x14ac:dyDescent="0.25" outlineLevel="1" collapsed="1">
      <c r="A1133" s="452" t="s">
        <v>416</v>
      </c>
      <c r="B1133" s="453" t="s">
        <v>2143</v>
      </c>
      <c r="C1133" s="452" t="s">
        <v>2264</v>
      </c>
      <c r="D1133" s="452" t="s">
        <v>1826</v>
      </c>
      <c r="E1133" s="446">
        <f t="shared" ref="E1133" si="391">(E1127+E1126)*E1121*E1118/1000</f>
        <v>0</v>
      </c>
      <c r="F1133" s="446">
        <f t="shared" ref="F1133:I1133" si="392">(F1127+F1126)*F1121*F1118/1000</f>
        <v>0</v>
      </c>
      <c r="G1133" s="446">
        <f t="shared" si="392"/>
        <v>0</v>
      </c>
      <c r="H1133" s="446">
        <f t="shared" si="392"/>
        <v>0</v>
      </c>
      <c r="I1133" s="446">
        <f t="shared" si="392"/>
        <v>0</v>
      </c>
      <c r="J1133" s="517"/>
      <c r="K1133" s="456"/>
    </row>
    <row r="1134" spans="1:11" x14ac:dyDescent="0.25" outlineLevel="1" collapsed="1">
      <c r="A1134" s="452" t="s">
        <v>419</v>
      </c>
      <c r="B1134" s="453" t="s">
        <v>2145</v>
      </c>
      <c r="C1134" s="452"/>
      <c r="D1134" s="452" t="s">
        <v>1826</v>
      </c>
      <c r="E1134" s="446">
        <f t="shared" ref="E1134:I1134" si="393">E1130+E1131+E1132</f>
        <v>0</v>
      </c>
      <c r="F1134" s="446">
        <f t="shared" si="393"/>
        <v>0</v>
      </c>
      <c r="G1134" s="446">
        <f t="shared" si="393"/>
        <v>0</v>
      </c>
      <c r="H1134" s="446">
        <f t="shared" si="393"/>
        <v>0</v>
      </c>
      <c r="I1134" s="446">
        <f t="shared" si="393"/>
        <v>0</v>
      </c>
      <c r="J1134" s="517"/>
      <c r="K1134" s="456"/>
    </row>
    <row r="1135" spans="1:11" x14ac:dyDescent="0.25" outlineLevel="1" collapsed="1">
      <c r="A1135" s="604" t="s">
        <v>423</v>
      </c>
      <c r="B1135" s="605" t="s">
        <v>2236</v>
      </c>
      <c r="C1135" s="604"/>
      <c r="D1135" s="604" t="s">
        <v>2147</v>
      </c>
      <c r="E1135" s="606">
        <f t="shared" ref="E1135" si="394">E1123*1000*E$1121*E$1119*E$1128*E$1122/100/10^6</f>
        <v>0</v>
      </c>
      <c r="F1135" s="606">
        <f t="shared" ref="F1135:I1135" si="395">F1123*1000*F$1121*F$1119*F$1128*F$1122/100/10^6</f>
        <v>0</v>
      </c>
      <c r="G1135" s="606">
        <f t="shared" si="395"/>
        <v>0</v>
      </c>
      <c r="H1135" s="606">
        <f t="shared" si="395"/>
        <v>0</v>
      </c>
      <c r="I1135" s="606">
        <f t="shared" si="395"/>
        <v>0</v>
      </c>
      <c r="J1135" s="517"/>
      <c r="K1135" s="456"/>
    </row>
    <row r="1136" spans="1:11" x14ac:dyDescent="0.25" outlineLevel="1" collapsed="1">
      <c r="A1136" s="604" t="s">
        <v>425</v>
      </c>
      <c r="B1136" s="605" t="s">
        <v>2146</v>
      </c>
      <c r="C1136" s="604"/>
      <c r="D1136" s="604" t="s">
        <v>2147</v>
      </c>
      <c r="E1136" s="606">
        <f t="shared" ref="E1136" si="396">E1124*1000*E$1121*E$1119*E$1128*E$1122/100/10^6</f>
        <v>0</v>
      </c>
      <c r="F1136" s="606">
        <f t="shared" ref="F1136:I1136" si="397">F1124*1000*F$1121*F$1119*F$1128*F$1122/100/10^6</f>
        <v>0</v>
      </c>
      <c r="G1136" s="606">
        <f t="shared" si="397"/>
        <v>0</v>
      </c>
      <c r="H1136" s="606">
        <f t="shared" si="397"/>
        <v>0</v>
      </c>
      <c r="I1136" s="606">
        <f t="shared" si="397"/>
        <v>0</v>
      </c>
      <c r="J1136" s="517"/>
      <c r="K1136" s="456"/>
    </row>
    <row r="1137" spans="1:11" x14ac:dyDescent="0.25" outlineLevel="1" collapsed="1">
      <c r="A1137" s="604" t="s">
        <v>427</v>
      </c>
      <c r="B1137" s="605" t="s">
        <v>2162</v>
      </c>
      <c r="C1137" s="604"/>
      <c r="D1137" s="604" t="s">
        <v>2147</v>
      </c>
      <c r="E1137" s="606">
        <f t="shared" ref="E1137" si="398">E1125*1000*E$1121*E$1119*E$1128*E$1122/100/10^6</f>
        <v>0</v>
      </c>
      <c r="F1137" s="606">
        <f t="shared" ref="F1137:I1137" si="399">F1125*1000*F$1121*F$1119*F$1128*F$1122/100/10^6</f>
        <v>0</v>
      </c>
      <c r="G1137" s="606">
        <f t="shared" si="399"/>
        <v>0</v>
      </c>
      <c r="H1137" s="606">
        <f t="shared" si="399"/>
        <v>0</v>
      </c>
      <c r="I1137" s="606">
        <f t="shared" si="399"/>
        <v>0</v>
      </c>
      <c r="J1137" s="517"/>
      <c r="K1137" s="456"/>
    </row>
    <row r="1138" spans="1:11" x14ac:dyDescent="0.25" outlineLevel="1" collapsed="1">
      <c r="A1138" s="604" t="s">
        <v>514</v>
      </c>
      <c r="B1138" s="605" t="s">
        <v>2149</v>
      </c>
      <c r="C1138" s="604"/>
      <c r="D1138" s="604" t="s">
        <v>2147</v>
      </c>
      <c r="E1138" s="606">
        <f t="shared" ref="E1138" si="400">E1127*1000*E$1121*E$1119*E$1128*E$1122/100/10^6</f>
        <v>0</v>
      </c>
      <c r="F1138" s="606">
        <f t="shared" ref="F1138:I1138" si="401">F1127*1000*F$1121*F$1119*F$1128*F$1122/100/10^6</f>
        <v>0</v>
      </c>
      <c r="G1138" s="606">
        <f t="shared" si="401"/>
        <v>0</v>
      </c>
      <c r="H1138" s="606">
        <f t="shared" si="401"/>
        <v>0</v>
      </c>
      <c r="I1138" s="606">
        <f t="shared" si="401"/>
        <v>0</v>
      </c>
      <c r="J1138" s="517"/>
      <c r="K1138" s="456"/>
    </row>
    <row r="1139" ht="31.5" customHeight="1" spans="1:11" x14ac:dyDescent="0.25">
      <c r="A1139" s="443"/>
      <c r="B1139" s="349"/>
      <c r="C1139" s="293"/>
      <c r="D1139" s="293"/>
      <c r="E1139" s="443"/>
      <c r="F1139" s="443"/>
      <c r="G1139" s="443"/>
      <c r="H1139" s="474"/>
      <c r="I1139" s="293"/>
      <c r="J1139" s="517"/>
      <c r="K1139" s="456"/>
    </row>
    <row r="1140" spans="1:11" x14ac:dyDescent="0.25">
      <c r="A1140" s="437" t="s">
        <v>1095</v>
      </c>
      <c r="B1140" s="438" t="s">
        <v>1096</v>
      </c>
      <c r="C1140" s="705"/>
      <c r="D1140" s="706"/>
      <c r="E1140" s="706"/>
      <c r="F1140" s="706"/>
      <c r="G1140" s="706"/>
      <c r="H1140" s="706"/>
      <c r="I1140" s="438"/>
      <c r="J1140" s="442"/>
      <c r="K1140" s="442"/>
    </row>
    <row r="1141" ht="28" customHeight="1" spans="1:11" x14ac:dyDescent="0.25" outlineLevel="1" collapsed="1">
      <c r="A1141" s="293" t="s">
        <v>306</v>
      </c>
      <c r="B1141" s="349" t="s">
        <v>2122</v>
      </c>
      <c r="C1141" s="293" t="s">
        <v>2123</v>
      </c>
      <c r="D1141" s="293" t="s">
        <v>2124</v>
      </c>
      <c r="E1141" s="470"/>
      <c r="F1141" s="470"/>
      <c r="G1141" s="470"/>
      <c r="H1141" s="446">
        <f t="shared" ref="H1141:H1152" si="402">IF(K$9=1,E1141,IF(K$9=2,(E1141+F1141)/2,(E1141+F1141+G1141)/3))</f>
        <v>0</v>
      </c>
      <c r="I1141" s="470"/>
      <c r="J1141" s="471"/>
      <c r="K1141" s="456"/>
    </row>
    <row r="1142" ht="14.5" customHeight="1" spans="1:11" x14ac:dyDescent="0.25" outlineLevel="1" collapsed="1">
      <c r="A1142" s="293" t="s">
        <v>308</v>
      </c>
      <c r="B1142" s="349" t="s">
        <v>2220</v>
      </c>
      <c r="C1142" s="293"/>
      <c r="D1142" s="443" t="s">
        <v>2126</v>
      </c>
      <c r="E1142" s="470"/>
      <c r="F1142" s="470"/>
      <c r="G1142" s="470"/>
      <c r="H1142" s="446">
        <f t="shared" si="402"/>
        <v>0</v>
      </c>
      <c r="I1142" s="470"/>
      <c r="J1142" s="471"/>
      <c r="K1142" s="456"/>
    </row>
    <row r="1143" ht="14.5" customHeight="1" spans="1:11" x14ac:dyDescent="0.25" outlineLevel="1" collapsed="1">
      <c r="A1143" s="422" t="s">
        <v>310</v>
      </c>
      <c r="B1143" s="435" t="s">
        <v>2221</v>
      </c>
      <c r="C1143" s="422"/>
      <c r="D1143" s="451" t="s">
        <v>1919</v>
      </c>
      <c r="E1143" s="471"/>
      <c r="F1143" s="471">
        <f t="shared" ref="F1143" si="403">F1142*0.95</f>
        <v>0</v>
      </c>
      <c r="G1143" s="471">
        <f t="shared" ref="G1143:I1143" si="404">G1142*0.95</f>
        <v>0</v>
      </c>
      <c r="H1143" s="446">
        <f t="shared" si="402"/>
        <v>0</v>
      </c>
      <c r="I1143" s="471">
        <f t="shared" si="404"/>
        <v>0</v>
      </c>
      <c r="J1143" s="471"/>
      <c r="K1143" s="456"/>
    </row>
    <row r="1144" ht="14.5" customHeight="1" spans="1:11" x14ac:dyDescent="0.25" outlineLevel="1" collapsed="1">
      <c r="A1144" s="293" t="s">
        <v>312</v>
      </c>
      <c r="B1144" s="349" t="s">
        <v>2222</v>
      </c>
      <c r="C1144" s="293" t="s">
        <v>61</v>
      </c>
      <c r="D1144" s="443" t="s">
        <v>2223</v>
      </c>
      <c r="E1144" s="228"/>
      <c r="F1144" s="228"/>
      <c r="G1144" s="228"/>
      <c r="H1144" s="446">
        <f t="shared" si="402"/>
        <v>0</v>
      </c>
      <c r="I1144" s="228"/>
      <c r="J1144" s="228"/>
      <c r="K1144" s="456"/>
    </row>
    <row r="1145" ht="14.5" customHeight="1" spans="1:11" x14ac:dyDescent="0.25" outlineLevel="1" collapsed="1">
      <c r="A1145" s="293" t="s">
        <v>312</v>
      </c>
      <c r="B1145" s="349" t="s">
        <v>2255</v>
      </c>
      <c r="C1145" s="293" t="s">
        <v>61</v>
      </c>
      <c r="D1145" s="443" t="s">
        <v>2225</v>
      </c>
      <c r="E1145" s="470"/>
      <c r="F1145" s="470"/>
      <c r="G1145" s="470"/>
      <c r="H1145" s="446">
        <f t="shared" si="402"/>
        <v>0</v>
      </c>
      <c r="I1145" s="470"/>
      <c r="J1145" s="471"/>
      <c r="K1145" s="456"/>
    </row>
    <row r="1146" ht="14.5" customHeight="1" spans="1:11" x14ac:dyDescent="0.25" outlineLevel="1" collapsed="1">
      <c r="A1146" s="422" t="s">
        <v>314</v>
      </c>
      <c r="B1146" s="435" t="s">
        <v>2269</v>
      </c>
      <c r="C1146" s="422" t="s">
        <v>61</v>
      </c>
      <c r="D1146" s="451" t="s">
        <v>1493</v>
      </c>
      <c r="E1146" s="245"/>
      <c r="F1146" s="684"/>
      <c r="G1146" s="684"/>
      <c r="H1146" s="446">
        <f t="shared" si="402"/>
        <v>100</v>
      </c>
      <c r="I1146" s="245"/>
      <c r="J1146" s="471"/>
      <c r="K1146" s="456"/>
    </row>
    <row r="1147" ht="14.5" customHeight="1" spans="1:11" x14ac:dyDescent="0.25" outlineLevel="1" collapsed="1">
      <c r="A1147" s="422" t="s">
        <v>316</v>
      </c>
      <c r="B1147" s="435" t="s">
        <v>2270</v>
      </c>
      <c r="C1147" s="422" t="s">
        <v>61</v>
      </c>
      <c r="D1147" s="451" t="s">
        <v>1493</v>
      </c>
      <c r="E1147" s="471"/>
      <c r="F1147" s="445"/>
      <c r="G1147" s="445"/>
      <c r="H1147" s="446">
        <f t="shared" si="402"/>
        <v>0</v>
      </c>
      <c r="I1147" s="471"/>
      <c r="J1147" s="471"/>
      <c r="K1147" s="456"/>
    </row>
    <row r="1148" ht="14.5" customHeight="1" spans="1:11" x14ac:dyDescent="0.25" outlineLevel="1" collapsed="1">
      <c r="A1148" s="422" t="s">
        <v>318</v>
      </c>
      <c r="B1148" s="435" t="s">
        <v>2271</v>
      </c>
      <c r="C1148" s="422" t="s">
        <v>61</v>
      </c>
      <c r="D1148" s="451" t="s">
        <v>1493</v>
      </c>
      <c r="E1148" s="471"/>
      <c r="F1148" s="445"/>
      <c r="G1148" s="445"/>
      <c r="H1148" s="446">
        <f t="shared" si="402"/>
        <v>0</v>
      </c>
      <c r="I1148" s="471"/>
      <c r="J1148" s="471"/>
      <c r="K1148" s="456"/>
    </row>
    <row r="1149" ht="14.5" customHeight="1" spans="1:11" x14ac:dyDescent="0.25" outlineLevel="1" collapsed="1">
      <c r="A1149" s="293" t="s">
        <v>478</v>
      </c>
      <c r="B1149" s="349" t="s">
        <v>2227</v>
      </c>
      <c r="C1149" s="293" t="s">
        <v>61</v>
      </c>
      <c r="D1149" s="443" t="s">
        <v>2223</v>
      </c>
      <c r="E1149" s="228"/>
      <c r="F1149" s="445"/>
      <c r="G1149" s="445"/>
      <c r="H1149" s="446">
        <f t="shared" si="402"/>
        <v>0</v>
      </c>
      <c r="I1149" s="228"/>
      <c r="J1149" s="228"/>
      <c r="K1149" s="456"/>
    </row>
    <row r="1150" ht="14.5" customHeight="1" spans="1:11" x14ac:dyDescent="0.25" outlineLevel="1" collapsed="1">
      <c r="A1150" s="293" t="s">
        <v>481</v>
      </c>
      <c r="B1150" s="349" t="s">
        <v>2155</v>
      </c>
      <c r="C1150" s="293" t="s">
        <v>61</v>
      </c>
      <c r="D1150" s="443" t="s">
        <v>2223</v>
      </c>
      <c r="E1150" s="228"/>
      <c r="F1150" s="445"/>
      <c r="G1150" s="445"/>
      <c r="H1150" s="446">
        <f t="shared" si="402"/>
        <v>0</v>
      </c>
      <c r="I1150" s="228"/>
      <c r="J1150" s="228"/>
      <c r="K1150" s="456"/>
    </row>
    <row r="1151" ht="14.5" customHeight="1" spans="1:11" x14ac:dyDescent="0.25" outlineLevel="1" collapsed="1">
      <c r="A1151" s="293" t="s">
        <v>483</v>
      </c>
      <c r="B1151" s="349" t="s">
        <v>2169</v>
      </c>
      <c r="C1151" s="293" t="s">
        <v>61</v>
      </c>
      <c r="D1151" s="443" t="s">
        <v>2223</v>
      </c>
      <c r="E1151" s="228"/>
      <c r="F1151" s="445"/>
      <c r="G1151" s="445"/>
      <c r="H1151" s="446">
        <f t="shared" si="402"/>
        <v>0</v>
      </c>
      <c r="I1151" s="228"/>
      <c r="J1151" s="228"/>
      <c r="K1151" s="456"/>
    </row>
    <row r="1152" ht="14.5" customHeight="1" spans="1:11" x14ac:dyDescent="0.25" outlineLevel="1" collapsed="1">
      <c r="A1152" s="293" t="s">
        <v>485</v>
      </c>
      <c r="B1152" s="349" t="s">
        <v>2134</v>
      </c>
      <c r="C1152" s="293" t="s">
        <v>61</v>
      </c>
      <c r="D1152" s="443" t="s">
        <v>2223</v>
      </c>
      <c r="E1152" s="228"/>
      <c r="F1152" s="445"/>
      <c r="G1152" s="445"/>
      <c r="H1152" s="446">
        <f t="shared" si="402"/>
        <v>0</v>
      </c>
      <c r="I1152" s="228"/>
      <c r="J1152" s="228"/>
      <c r="K1152" s="456"/>
    </row>
    <row r="1153" ht="14.5" customHeight="1" spans="1:11" x14ac:dyDescent="0.25" outlineLevel="1" collapsed="1">
      <c r="A1153" s="604" t="s">
        <v>488</v>
      </c>
      <c r="B1153" s="605" t="s">
        <v>2272</v>
      </c>
      <c r="C1153" s="604"/>
      <c r="D1153" s="678" t="s">
        <v>2136</v>
      </c>
      <c r="E1153" s="606">
        <f>IFERROR((1*3.664*E1147/100)/(E1143/1000),0)</f>
        <v>0</v>
      </c>
      <c r="F1153" s="606">
        <f t="shared" ref="F1153:I1153" si="405">IFERROR((1*3.664*F1147/100)/(F1143/1000),0)</f>
        <v>0</v>
      </c>
      <c r="G1153" s="606">
        <f t="shared" si="405"/>
        <v>0</v>
      </c>
      <c r="H1153" s="606">
        <f t="shared" si="405"/>
        <v>0</v>
      </c>
      <c r="I1153" s="606">
        <f t="shared" si="405"/>
        <v>0</v>
      </c>
      <c r="J1153" s="228"/>
      <c r="K1153" s="456"/>
    </row>
    <row r="1154" ht="14.5" customHeight="1" spans="1:11" x14ac:dyDescent="0.25" outlineLevel="1" collapsed="1">
      <c r="A1154" s="604" t="s">
        <v>403</v>
      </c>
      <c r="B1154" s="605" t="s">
        <v>2273</v>
      </c>
      <c r="C1154" s="604"/>
      <c r="D1154" s="678" t="s">
        <v>2136</v>
      </c>
      <c r="E1154" s="606">
        <f>IFERROR((1*3.664*E1148/100)/(E1143/1000),0)</f>
        <v>0</v>
      </c>
      <c r="F1154" s="606">
        <f t="shared" ref="F1154:I1154" si="406">IFERROR((1*3.664*F1148/100)/(F1143/1000),0)</f>
        <v>0</v>
      </c>
      <c r="G1154" s="606">
        <f t="shared" si="406"/>
        <v>0</v>
      </c>
      <c r="H1154" s="606">
        <f t="shared" si="406"/>
        <v>0</v>
      </c>
      <c r="I1154" s="606">
        <f t="shared" si="406"/>
        <v>0</v>
      </c>
      <c r="J1154" s="228"/>
      <c r="K1154" s="456"/>
    </row>
    <row r="1155" ht="14.5" customHeight="1" spans="1:11" x14ac:dyDescent="0.25" outlineLevel="1" collapsed="1">
      <c r="A1155" s="604" t="s">
        <v>407</v>
      </c>
      <c r="B1155" s="605" t="s">
        <v>2187</v>
      </c>
      <c r="C1155" s="604"/>
      <c r="D1155" s="678" t="s">
        <v>2136</v>
      </c>
      <c r="E1155" s="719">
        <f>'Emission Factor &amp; GWP Backup'!$H$43</f>
        <v>0.00351691199999994</v>
      </c>
      <c r="F1155" s="719">
        <f>'Emission Factor &amp; GWP Backup'!$H$43</f>
        <v>0.00351691199999994</v>
      </c>
      <c r="G1155" s="719">
        <f>'Emission Factor &amp; GWP Backup'!$H$43</f>
        <v>0.00351691199999994</v>
      </c>
      <c r="H1155" s="719">
        <f>'Emission Factor &amp; GWP Backup'!$H$43</f>
        <v>0.00351691199999994</v>
      </c>
      <c r="I1155" s="719">
        <f>'Emission Factor &amp; GWP Backup'!$H$43</f>
        <v>0.00351691199999994</v>
      </c>
      <c r="J1155" s="228"/>
      <c r="K1155" s="456"/>
    </row>
    <row r="1156" ht="14.5" customHeight="1" spans="1:11" x14ac:dyDescent="0.25" outlineLevel="1" collapsed="1">
      <c r="A1156" s="604" t="s">
        <v>410</v>
      </c>
      <c r="B1156" s="605" t="s">
        <v>2188</v>
      </c>
      <c r="C1156" s="604"/>
      <c r="D1156" s="678" t="s">
        <v>2136</v>
      </c>
      <c r="E1156" s="719">
        <f>'Emission Factor &amp; GWP Backup'!$K$43</f>
        <v>0.004438007999999925</v>
      </c>
      <c r="F1156" s="719">
        <f>'Emission Factor &amp; GWP Backup'!$K$43</f>
        <v>0.004438007999999925</v>
      </c>
      <c r="G1156" s="719">
        <f>'Emission Factor &amp; GWP Backup'!$K$43</f>
        <v>0.004438007999999925</v>
      </c>
      <c r="H1156" s="719">
        <f>'Emission Factor &amp; GWP Backup'!$K$43</f>
        <v>0.004438007999999925</v>
      </c>
      <c r="I1156" s="719">
        <f>'Emission Factor &amp; GWP Backup'!$K$43</f>
        <v>0.004438007999999925</v>
      </c>
      <c r="J1156" s="228"/>
      <c r="K1156" s="456"/>
    </row>
    <row r="1157" ht="28" customHeight="1" spans="1:11" x14ac:dyDescent="0.25" outlineLevel="1" collapsed="1">
      <c r="A1157" s="452" t="s">
        <v>403</v>
      </c>
      <c r="B1157" s="453" t="s">
        <v>2274</v>
      </c>
      <c r="C1157" s="452" t="s">
        <v>2275</v>
      </c>
      <c r="D1157" s="452" t="s">
        <v>1456</v>
      </c>
      <c r="E1157" s="446">
        <f t="shared" ref="E1157" si="407">(E1149+E1150+E1152+E1151)*E1144</f>
        <v>0</v>
      </c>
      <c r="F1157" s="446">
        <f t="shared" ref="F1157:I1157" si="408">(F1149+F1150+F1152+F1151)*F1144</f>
        <v>0</v>
      </c>
      <c r="G1157" s="446">
        <f t="shared" si="408"/>
        <v>0</v>
      </c>
      <c r="H1157" s="446">
        <f t="shared" si="408"/>
        <v>0</v>
      </c>
      <c r="I1157" s="446">
        <f t="shared" si="408"/>
        <v>0</v>
      </c>
      <c r="J1157" s="517"/>
      <c r="K1157" s="456"/>
    </row>
    <row r="1158" spans="1:11" x14ac:dyDescent="0.25" outlineLevel="1" collapsed="1">
      <c r="A1158" s="452" t="s">
        <v>407</v>
      </c>
      <c r="B1158" s="453" t="s">
        <v>2231</v>
      </c>
      <c r="C1158" s="452" t="s">
        <v>2260</v>
      </c>
      <c r="D1158" s="452" t="s">
        <v>1826</v>
      </c>
      <c r="E1158" s="446">
        <f t="shared" ref="E1158" si="409">E1149*E1145*E1142/1000</f>
        <v>0</v>
      </c>
      <c r="F1158" s="446">
        <f t="shared" ref="F1158:I1158" si="410">F1149*F1145*F1142/1000</f>
        <v>0</v>
      </c>
      <c r="G1158" s="446">
        <f t="shared" si="410"/>
        <v>0</v>
      </c>
      <c r="H1158" s="446">
        <f t="shared" si="410"/>
        <v>0</v>
      </c>
      <c r="I1158" s="446">
        <f t="shared" si="410"/>
        <v>0</v>
      </c>
      <c r="J1158" s="517"/>
      <c r="K1158" s="456"/>
    </row>
    <row r="1159" ht="28" customHeight="1" spans="1:11" x14ac:dyDescent="0.25" outlineLevel="1" collapsed="1">
      <c r="A1159" s="452" t="s">
        <v>410</v>
      </c>
      <c r="B1159" s="453" t="s">
        <v>2139</v>
      </c>
      <c r="C1159" s="452" t="s">
        <v>2261</v>
      </c>
      <c r="D1159" s="452" t="s">
        <v>1826</v>
      </c>
      <c r="E1159" s="446">
        <f t="shared" ref="E1159" si="411">E1150*E1145*E1142/1000</f>
        <v>0</v>
      </c>
      <c r="F1159" s="446">
        <f t="shared" ref="F1159:I1159" si="412">F1150*F1145*F1142/1000</f>
        <v>0</v>
      </c>
      <c r="G1159" s="446">
        <f t="shared" si="412"/>
        <v>0</v>
      </c>
      <c r="H1159" s="446">
        <f t="shared" si="412"/>
        <v>0</v>
      </c>
      <c r="I1159" s="446">
        <f t="shared" si="412"/>
        <v>0</v>
      </c>
      <c r="J1159" s="517"/>
      <c r="K1159" s="456"/>
    </row>
    <row r="1160" ht="28" customHeight="1" spans="1:11" x14ac:dyDescent="0.25" outlineLevel="1" collapsed="1">
      <c r="A1160" s="452" t="s">
        <v>413</v>
      </c>
      <c r="B1160" s="453" t="s">
        <v>2262</v>
      </c>
      <c r="C1160" s="452" t="s">
        <v>2263</v>
      </c>
      <c r="D1160" s="452" t="s">
        <v>1826</v>
      </c>
      <c r="E1160" s="446">
        <f t="shared" ref="E1160" si="413">E1151*E1145*E1142/1000</f>
        <v>0</v>
      </c>
      <c r="F1160" s="446">
        <f t="shared" ref="F1160:I1160" si="414">F1151*F1145*F1142/1000</f>
        <v>0</v>
      </c>
      <c r="G1160" s="446">
        <f t="shared" si="414"/>
        <v>0</v>
      </c>
      <c r="H1160" s="446">
        <f t="shared" si="414"/>
        <v>0</v>
      </c>
      <c r="I1160" s="446">
        <f t="shared" si="414"/>
        <v>0</v>
      </c>
      <c r="J1160" s="517"/>
      <c r="K1160" s="456"/>
    </row>
    <row r="1161" ht="28" customHeight="1" spans="1:11" x14ac:dyDescent="0.25" outlineLevel="1" collapsed="1">
      <c r="A1161" s="452" t="s">
        <v>416</v>
      </c>
      <c r="B1161" s="453" t="s">
        <v>2143</v>
      </c>
      <c r="C1161" s="452" t="s">
        <v>2276</v>
      </c>
      <c r="D1161" s="452" t="s">
        <v>1826</v>
      </c>
      <c r="E1161" s="446">
        <f t="shared" ref="E1161" si="415">E1152*E1145*E1142/1000</f>
        <v>0</v>
      </c>
      <c r="F1161" s="446">
        <f t="shared" ref="F1161:I1161" si="416">F1152*F1145*F1142/1000</f>
        <v>0</v>
      </c>
      <c r="G1161" s="446">
        <f t="shared" si="416"/>
        <v>0</v>
      </c>
      <c r="H1161" s="446">
        <f t="shared" si="416"/>
        <v>0</v>
      </c>
      <c r="I1161" s="446">
        <f t="shared" si="416"/>
        <v>0</v>
      </c>
      <c r="J1161" s="517"/>
      <c r="K1161" s="456"/>
    </row>
    <row r="1162" spans="1:11" x14ac:dyDescent="0.25" outlineLevel="1" collapsed="1">
      <c r="A1162" s="452" t="s">
        <v>419</v>
      </c>
      <c r="B1162" s="453" t="s">
        <v>2145</v>
      </c>
      <c r="C1162" s="452"/>
      <c r="D1162" s="452" t="s">
        <v>1826</v>
      </c>
      <c r="E1162" s="446">
        <f t="shared" ref="E1162" si="417">E1158+E1159+E1160</f>
        <v>0</v>
      </c>
      <c r="F1162" s="446">
        <f t="shared" ref="F1162:I1162" si="418">F1158+F1159+F1160</f>
        <v>0</v>
      </c>
      <c r="G1162" s="446">
        <f t="shared" si="418"/>
        <v>0</v>
      </c>
      <c r="H1162" s="446">
        <f t="shared" si="418"/>
        <v>0</v>
      </c>
      <c r="I1162" s="446">
        <f t="shared" si="418"/>
        <v>0</v>
      </c>
      <c r="J1162" s="517"/>
      <c r="K1162" s="456"/>
    </row>
    <row r="1163" spans="1:11" x14ac:dyDescent="0.25" outlineLevel="1" collapsed="1">
      <c r="A1163" s="604" t="s">
        <v>423</v>
      </c>
      <c r="B1163" s="605" t="s">
        <v>2277</v>
      </c>
      <c r="C1163" s="604"/>
      <c r="D1163" s="604" t="s">
        <v>1575</v>
      </c>
      <c r="E1163" s="606">
        <f>E1149*1000*E$1145*E$1143*E$1146/100*(E$1153)/10^6</f>
        <v>0</v>
      </c>
      <c r="F1163" s="606">
        <f t="shared" ref="F1163:I1163" si="419">F1149*1000*F$1145*F$1143*F$1146/100*(F$1153)/10^6</f>
        <v>0</v>
      </c>
      <c r="G1163" s="606">
        <f t="shared" si="419"/>
        <v>0</v>
      </c>
      <c r="H1163" s="606">
        <f t="shared" si="419"/>
        <v>0</v>
      </c>
      <c r="I1163" s="606">
        <f t="shared" si="419"/>
        <v>0</v>
      </c>
      <c r="J1163" s="517"/>
      <c r="K1163" s="456"/>
    </row>
    <row r="1164" spans="1:11" x14ac:dyDescent="0.25" outlineLevel="1" collapsed="1">
      <c r="A1164" s="604" t="s">
        <v>425</v>
      </c>
      <c r="B1164" s="605" t="s">
        <v>2202</v>
      </c>
      <c r="C1164" s="604"/>
      <c r="D1164" s="604" t="s">
        <v>1575</v>
      </c>
      <c r="E1164" s="606">
        <f>E1150*1000*E$1145*E$1143*E$1146/100*(E$1153)/10^6</f>
        <v>0</v>
      </c>
      <c r="F1164" s="606">
        <f t="shared" ref="F1164:I1164" si="420">F1150*1000*F$1145*F$1143*F$1146/100*(F$1153)/10^6</f>
        <v>0</v>
      </c>
      <c r="G1164" s="606">
        <f t="shared" si="420"/>
        <v>0</v>
      </c>
      <c r="H1164" s="606">
        <f t="shared" si="420"/>
        <v>0</v>
      </c>
      <c r="I1164" s="606">
        <f t="shared" si="420"/>
        <v>0</v>
      </c>
      <c r="J1164" s="517"/>
      <c r="K1164" s="456"/>
    </row>
    <row r="1165" spans="1:11" x14ac:dyDescent="0.25" outlineLevel="1" collapsed="1">
      <c r="A1165" s="604" t="s">
        <v>427</v>
      </c>
      <c r="B1165" s="605" t="s">
        <v>2203</v>
      </c>
      <c r="C1165" s="604"/>
      <c r="D1165" s="604" t="s">
        <v>1575</v>
      </c>
      <c r="E1165" s="606">
        <f>E1151*1000*E$1145*E$1143*E$1146/100*(E$1153)/10^6</f>
        <v>0</v>
      </c>
      <c r="F1165" s="606">
        <f t="shared" ref="F1165:I1165" si="421">F1151*1000*F$1145*F$1143*F$1146/100*(F$1153)/10^6</f>
        <v>0</v>
      </c>
      <c r="G1165" s="606">
        <f t="shared" si="421"/>
        <v>0</v>
      </c>
      <c r="H1165" s="606">
        <f t="shared" si="421"/>
        <v>0</v>
      </c>
      <c r="I1165" s="606">
        <f t="shared" si="421"/>
        <v>0</v>
      </c>
      <c r="J1165" s="517"/>
      <c r="K1165" s="456"/>
    </row>
    <row r="1166" spans="1:11" x14ac:dyDescent="0.25" outlineLevel="1" collapsed="1">
      <c r="A1166" s="604" t="s">
        <v>514</v>
      </c>
      <c r="B1166" s="605" t="s">
        <v>2204</v>
      </c>
      <c r="C1166" s="604"/>
      <c r="D1166" s="604" t="s">
        <v>1575</v>
      </c>
      <c r="E1166" s="606">
        <f>E1152*1000*E$1145*E$1143*E$1146/100*(E$1153)/10^6</f>
        <v>0</v>
      </c>
      <c r="F1166" s="606">
        <f t="shared" ref="F1166:I1166" si="422">F1152*1000*F$1145*F$1143*F$1146/100*(F$1153)/10^6</f>
        <v>0</v>
      </c>
      <c r="G1166" s="606">
        <f t="shared" si="422"/>
        <v>0</v>
      </c>
      <c r="H1166" s="606">
        <f t="shared" si="422"/>
        <v>0</v>
      </c>
      <c r="I1166" s="606">
        <f t="shared" si="422"/>
        <v>0</v>
      </c>
      <c r="J1166" s="517"/>
      <c r="K1166" s="456"/>
    </row>
    <row r="1167" spans="1:11" x14ac:dyDescent="0.25" outlineLevel="1" collapsed="1">
      <c r="A1167" s="604" t="s">
        <v>516</v>
      </c>
      <c r="B1167" s="605" t="s">
        <v>2278</v>
      </c>
      <c r="C1167" s="604"/>
      <c r="D1167" s="604" t="s">
        <v>1575</v>
      </c>
      <c r="E1167" s="606">
        <f t="shared" ref="E1167" si="423">E1149*1000*E$1145*E$1143*E$1146/100*E$1154/10^6</f>
        <v>0</v>
      </c>
      <c r="F1167" s="606">
        <f t="shared" ref="F1167:I1167" si="424">F1149*1000*F$1145*F$1143*F$1146/100*F$1154/10^6</f>
        <v>0</v>
      </c>
      <c r="G1167" s="606">
        <f t="shared" si="424"/>
        <v>0</v>
      </c>
      <c r="H1167" s="606">
        <f t="shared" si="424"/>
        <v>0</v>
      </c>
      <c r="I1167" s="606">
        <f t="shared" si="424"/>
        <v>0</v>
      </c>
      <c r="J1167" s="517"/>
      <c r="K1167" s="456"/>
    </row>
    <row r="1168" spans="1:11" x14ac:dyDescent="0.25" outlineLevel="1" collapsed="1">
      <c r="A1168" s="604" t="s">
        <v>518</v>
      </c>
      <c r="B1168" s="605" t="s">
        <v>2279</v>
      </c>
      <c r="C1168" s="604"/>
      <c r="D1168" s="604" t="s">
        <v>1575</v>
      </c>
      <c r="E1168" s="606">
        <f t="shared" ref="E1168" si="425">E1150*1000*E$1145*E$1143*E$1146/100*E$1154/10^6</f>
        <v>0</v>
      </c>
      <c r="F1168" s="606">
        <f t="shared" ref="F1168:I1168" si="426">F1150*1000*F$1145*F$1143*F$1146/100*F$1154/10^6</f>
        <v>0</v>
      </c>
      <c r="G1168" s="606">
        <f t="shared" si="426"/>
        <v>0</v>
      </c>
      <c r="H1168" s="606">
        <f t="shared" si="426"/>
        <v>0</v>
      </c>
      <c r="I1168" s="606">
        <f t="shared" si="426"/>
        <v>0</v>
      </c>
      <c r="J1168" s="517"/>
      <c r="K1168" s="456"/>
    </row>
    <row r="1169" ht="14.25" customHeight="1" spans="1:11" x14ac:dyDescent="0.25" outlineLevel="1" collapsed="1">
      <c r="A1169" s="604" t="s">
        <v>520</v>
      </c>
      <c r="B1169" s="605" t="s">
        <v>2280</v>
      </c>
      <c r="C1169" s="604"/>
      <c r="D1169" s="604" t="s">
        <v>1575</v>
      </c>
      <c r="E1169" s="606">
        <f t="shared" ref="E1169" si="427">E1151*1000*E$1145*E$1143*E$1146/100*E$1154/10^6</f>
        <v>0</v>
      </c>
      <c r="F1169" s="606">
        <f t="shared" ref="F1169:I1169" si="428">F1151*1000*F$1145*F$1143*F$1146/100*F$1154/10^6</f>
        <v>0</v>
      </c>
      <c r="G1169" s="606">
        <f t="shared" si="428"/>
        <v>0</v>
      </c>
      <c r="H1169" s="606">
        <f t="shared" si="428"/>
        <v>0</v>
      </c>
      <c r="I1169" s="606">
        <f t="shared" si="428"/>
        <v>0</v>
      </c>
      <c r="J1169" s="517"/>
      <c r="K1169" s="456"/>
    </row>
    <row r="1170" ht="15.75" customHeight="1" spans="1:11" x14ac:dyDescent="0.25" outlineLevel="1" collapsed="1">
      <c r="A1170" s="604" t="s">
        <v>522</v>
      </c>
      <c r="B1170" s="605" t="s">
        <v>2192</v>
      </c>
      <c r="C1170" s="604"/>
      <c r="D1170" s="604" t="s">
        <v>1575</v>
      </c>
      <c r="E1170" s="606">
        <f t="shared" ref="E1170" si="429">E1152*1000*E$1145*E$1143*E$1146/100*E$1154/10^6</f>
        <v>0</v>
      </c>
      <c r="F1170" s="606">
        <f t="shared" ref="F1170:I1170" si="430">F1152*1000*F$1145*F$1143*F$1146/100*F$1154/10^6</f>
        <v>0</v>
      </c>
      <c r="G1170" s="606">
        <f t="shared" si="430"/>
        <v>0</v>
      </c>
      <c r="H1170" s="606">
        <f t="shared" si="430"/>
        <v>0</v>
      </c>
      <c r="I1170" s="606">
        <f t="shared" si="430"/>
        <v>0</v>
      </c>
      <c r="J1170" s="517"/>
      <c r="K1170" s="456"/>
    </row>
    <row r="1171" ht="42" customHeight="1" spans="1:11" x14ac:dyDescent="0.25">
      <c r="A1171" s="452" t="s">
        <v>1106</v>
      </c>
      <c r="B1171" s="453" t="s">
        <v>2281</v>
      </c>
      <c r="C1171" s="452" t="s">
        <v>2282</v>
      </c>
      <c r="D1171" s="452" t="s">
        <v>1826</v>
      </c>
      <c r="E1171" s="446">
        <f t="shared" ref="E1171:G1171" si="431">(E1130+E1106+E1082+E1060+E1038+E1158)</f>
        <v>0</v>
      </c>
      <c r="F1171" s="446">
        <f t="shared" si="431"/>
        <v>0</v>
      </c>
      <c r="G1171" s="446">
        <f t="shared" si="431"/>
        <v>0</v>
      </c>
      <c r="H1171" s="446">
        <f>(H1130+H1106+H1082+H1060+H1038+H1158)</f>
        <v>0</v>
      </c>
      <c r="I1171" s="446">
        <f>(I1130+I1106+I1082+I1060+I1038+I1158)</f>
        <v>0</v>
      </c>
      <c r="J1171" s="517"/>
      <c r="K1171" s="456"/>
    </row>
    <row r="1172" ht="42" customHeight="1" spans="1:11" x14ac:dyDescent="0.25">
      <c r="A1172" s="452" t="s">
        <v>1107</v>
      </c>
      <c r="B1172" s="453" t="s">
        <v>2283</v>
      </c>
      <c r="C1172" s="452" t="s">
        <v>2284</v>
      </c>
      <c r="D1172" s="452" t="s">
        <v>1826</v>
      </c>
      <c r="E1172" s="446">
        <f>(E1131+E1107+E1083+E1061+E1039+E1159)</f>
        <v>10560.154597399429</v>
      </c>
      <c r="F1172" s="446">
        <f t="shared" ref="F1172:I1172" si="432">(F1131+F1107+F1083+F1061+F1039+F1159)</f>
        <v>0</v>
      </c>
      <c r="G1172" s="446">
        <f t="shared" si="432"/>
        <v>0</v>
      </c>
      <c r="H1172" s="446">
        <f t="shared" si="432"/>
        <v>10560.154597399429</v>
      </c>
      <c r="I1172" s="446">
        <f t="shared" si="432"/>
        <v>0</v>
      </c>
      <c r="J1172" s="517"/>
      <c r="K1172" s="456"/>
    </row>
    <row r="1173" ht="56" customHeight="1" spans="1:11" x14ac:dyDescent="0.25">
      <c r="A1173" s="452" t="s">
        <v>793</v>
      </c>
      <c r="B1173" s="453" t="s">
        <v>2285</v>
      </c>
      <c r="C1173" s="452" t="s">
        <v>2286</v>
      </c>
      <c r="D1173" s="452" t="s">
        <v>1826</v>
      </c>
      <c r="E1173" s="446">
        <f t="shared" ref="E1173:G1173" si="433">(E1132+E1108+E1084+E1062+E1040+E1160*(1-E811))</f>
        <v>1823.2210846248693</v>
      </c>
      <c r="F1173" s="446">
        <f t="shared" si="433"/>
        <v>0</v>
      </c>
      <c r="G1173" s="446">
        <f t="shared" si="433"/>
        <v>0</v>
      </c>
      <c r="H1173" s="446">
        <f>(H1132+H1108+H1084+H1062+H1040+H1160*(1-H811))</f>
        <v>1823.2210846248693</v>
      </c>
      <c r="I1173" s="446">
        <f>(I1132+I1108+I1084+I1062+I1040+I1160*(1-I811))</f>
        <v>0</v>
      </c>
      <c r="J1173" s="517"/>
      <c r="K1173" s="456"/>
    </row>
    <row r="1174" ht="42" customHeight="1" spans="1:11" x14ac:dyDescent="0.25">
      <c r="A1174" s="452" t="s">
        <v>1109</v>
      </c>
      <c r="B1174" s="453" t="s">
        <v>2287</v>
      </c>
      <c r="C1174" s="452" t="s">
        <v>2288</v>
      </c>
      <c r="D1174" s="452" t="s">
        <v>1826</v>
      </c>
      <c r="E1174" s="446">
        <f t="shared" ref="E1174:G1174" si="434">E1133+E1109+E1085+E1063+E1041+E1160*(E811)</f>
        <v>703948.6094541145</v>
      </c>
      <c r="F1174" s="446">
        <f t="shared" si="434"/>
        <v>0</v>
      </c>
      <c r="G1174" s="446">
        <f t="shared" si="434"/>
        <v>0</v>
      </c>
      <c r="H1174" s="446">
        <f>H1133+H1109+H1085+H1063+H1041+H1160*(H811)</f>
        <v>703948.6094541145</v>
      </c>
      <c r="I1174" s="446">
        <f>I1133+I1109+I1085+I1063+I1041+I1160*(I811)</f>
        <v>0</v>
      </c>
      <c r="J1174" s="517"/>
      <c r="K1174" s="456"/>
    </row>
    <row r="1175" spans="1:11" x14ac:dyDescent="0.25">
      <c r="A1175" s="604" t="s">
        <v>2289</v>
      </c>
      <c r="B1175" s="605" t="s">
        <v>2277</v>
      </c>
      <c r="C1175" s="604"/>
      <c r="D1175" s="604" t="s">
        <v>1575</v>
      </c>
      <c r="E1175" s="606">
        <f t="shared" ref="E1175:E1178" si="435">E1043+E1065+E1087+E1111+E1135+E1163</f>
        <v>0</v>
      </c>
      <c r="F1175" s="606">
        <f t="shared" ref="F1175:I1175" si="436">F1043+F1065+F1087+F1111+F1135+F1163</f>
        <v>0</v>
      </c>
      <c r="G1175" s="606">
        <f t="shared" si="436"/>
        <v>0</v>
      </c>
      <c r="H1175" s="606">
        <f t="shared" si="436"/>
        <v>0</v>
      </c>
      <c r="I1175" s="606">
        <f t="shared" si="436"/>
        <v>0</v>
      </c>
      <c r="J1175" s="517"/>
      <c r="K1175" s="456"/>
    </row>
    <row r="1176" spans="1:11" x14ac:dyDescent="0.25">
      <c r="A1176" s="604" t="s">
        <v>826</v>
      </c>
      <c r="B1176" s="605" t="s">
        <v>2202</v>
      </c>
      <c r="C1176" s="604"/>
      <c r="D1176" s="604" t="s">
        <v>1575</v>
      </c>
      <c r="E1176" s="606">
        <f t="shared" si="435"/>
        <v>3112.3921046183973</v>
      </c>
      <c r="F1176" s="606">
        <f t="shared" ref="F1176:I1176" si="437">F1044+F1066+F1088+F1112+F1136+F1164</f>
        <v>0</v>
      </c>
      <c r="G1176" s="606">
        <f t="shared" si="437"/>
        <v>0</v>
      </c>
      <c r="H1176" s="606">
        <f t="shared" si="437"/>
        <v>3112.3921046183973</v>
      </c>
      <c r="I1176" s="606">
        <f t="shared" si="437"/>
        <v>0</v>
      </c>
      <c r="J1176" s="517"/>
      <c r="K1176" s="456"/>
    </row>
    <row r="1177" spans="1:11" x14ac:dyDescent="0.25">
      <c r="A1177" s="604" t="s">
        <v>828</v>
      </c>
      <c r="B1177" s="605" t="s">
        <v>2203</v>
      </c>
      <c r="C1177" s="604"/>
      <c r="D1177" s="604" t="s">
        <v>1575</v>
      </c>
      <c r="E1177" s="606">
        <f t="shared" si="435"/>
        <v>537.3575601021664</v>
      </c>
      <c r="F1177" s="606">
        <f t="shared" ref="F1177:I1177" si="438">F1045+F1067+F1089+F1113+F1137+F1165</f>
        <v>0</v>
      </c>
      <c r="G1177" s="606">
        <f t="shared" si="438"/>
        <v>0</v>
      </c>
      <c r="H1177" s="606">
        <f t="shared" si="438"/>
        <v>537.3575601021664</v>
      </c>
      <c r="I1177" s="606">
        <f t="shared" si="438"/>
        <v>0</v>
      </c>
      <c r="J1177" s="517"/>
      <c r="K1177" s="456"/>
    </row>
    <row r="1178" spans="1:11" x14ac:dyDescent="0.25">
      <c r="A1178" s="604" t="s">
        <v>830</v>
      </c>
      <c r="B1178" s="605" t="s">
        <v>2204</v>
      </c>
      <c r="C1178" s="604"/>
      <c r="D1178" s="604" t="s">
        <v>1575</v>
      </c>
      <c r="E1178" s="606">
        <f t="shared" si="435"/>
        <v>216700.41352272948</v>
      </c>
      <c r="F1178" s="606">
        <f t="shared" ref="F1178:I1178" si="439">F1046+F1068+F1090+F1114+F1138+F1166</f>
        <v>0</v>
      </c>
      <c r="G1178" s="606">
        <f t="shared" si="439"/>
        <v>0</v>
      </c>
      <c r="H1178" s="606">
        <f t="shared" si="439"/>
        <v>216700.41352272948</v>
      </c>
      <c r="I1178" s="606">
        <f t="shared" si="439"/>
        <v>0</v>
      </c>
      <c r="J1178" s="517"/>
      <c r="K1178" s="456"/>
    </row>
    <row r="1179" spans="1:11" x14ac:dyDescent="0.25">
      <c r="A1179" s="604" t="s">
        <v>832</v>
      </c>
      <c r="B1179" s="605" t="s">
        <v>2290</v>
      </c>
      <c r="C1179" s="604"/>
      <c r="D1179" s="604" t="s">
        <v>1575</v>
      </c>
      <c r="E1179" s="606">
        <f t="shared" ref="E1179" si="440">E1167</f>
        <v>0</v>
      </c>
      <c r="F1179" s="606">
        <f t="shared" ref="F1179:I1179" si="441">F1167</f>
        <v>0</v>
      </c>
      <c r="G1179" s="606">
        <f t="shared" si="441"/>
        <v>0</v>
      </c>
      <c r="H1179" s="606">
        <f t="shared" si="441"/>
        <v>0</v>
      </c>
      <c r="I1179" s="606">
        <f t="shared" si="441"/>
        <v>0</v>
      </c>
      <c r="J1179" s="517"/>
      <c r="K1179" s="456"/>
    </row>
    <row r="1180" spans="1:11" x14ac:dyDescent="0.25">
      <c r="A1180" s="604" t="s">
        <v>834</v>
      </c>
      <c r="B1180" s="605" t="s">
        <v>2190</v>
      </c>
      <c r="C1180" s="604"/>
      <c r="D1180" s="604" t="s">
        <v>1575</v>
      </c>
      <c r="E1180" s="606">
        <f t="shared" ref="E1180" si="442">E1168</f>
        <v>0</v>
      </c>
      <c r="F1180" s="606">
        <f t="shared" ref="F1180:I1180" si="443">F1168</f>
        <v>0</v>
      </c>
      <c r="G1180" s="606">
        <f t="shared" si="443"/>
        <v>0</v>
      </c>
      <c r="H1180" s="606">
        <f t="shared" si="443"/>
        <v>0</v>
      </c>
      <c r="I1180" s="606">
        <f t="shared" si="443"/>
        <v>0</v>
      </c>
      <c r="J1180" s="517"/>
      <c r="K1180" s="456"/>
    </row>
    <row r="1181" spans="1:11" x14ac:dyDescent="0.25">
      <c r="A1181" s="604" t="s">
        <v>836</v>
      </c>
      <c r="B1181" s="605" t="s">
        <v>2191</v>
      </c>
      <c r="C1181" s="604"/>
      <c r="D1181" s="604" t="s">
        <v>1575</v>
      </c>
      <c r="E1181" s="606">
        <f t="shared" ref="E1181" si="444">E1169</f>
        <v>0</v>
      </c>
      <c r="F1181" s="606">
        <f t="shared" ref="F1181:I1181" si="445">F1169</f>
        <v>0</v>
      </c>
      <c r="G1181" s="606">
        <f t="shared" si="445"/>
        <v>0</v>
      </c>
      <c r="H1181" s="606">
        <f t="shared" si="445"/>
        <v>0</v>
      </c>
      <c r="I1181" s="606">
        <f t="shared" si="445"/>
        <v>0</v>
      </c>
      <c r="J1181" s="517"/>
      <c r="K1181" s="456"/>
    </row>
    <row r="1182" spans="1:11" x14ac:dyDescent="0.25">
      <c r="A1182" s="604" t="s">
        <v>2291</v>
      </c>
      <c r="B1182" s="605" t="s">
        <v>2192</v>
      </c>
      <c r="C1182" s="604"/>
      <c r="D1182" s="604" t="s">
        <v>1575</v>
      </c>
      <c r="E1182" s="606">
        <f t="shared" ref="E1182" si="446">E1170</f>
        <v>0</v>
      </c>
      <c r="F1182" s="606">
        <f t="shared" ref="F1182:I1182" si="447">F1170</f>
        <v>0</v>
      </c>
      <c r="G1182" s="606">
        <f t="shared" si="447"/>
        <v>0</v>
      </c>
      <c r="H1182" s="606">
        <f t="shared" si="447"/>
        <v>0</v>
      </c>
      <c r="I1182" s="606">
        <f t="shared" si="447"/>
        <v>0</v>
      </c>
      <c r="J1182" s="517"/>
      <c r="K1182" s="456"/>
    </row>
    <row r="1183" spans="1:11" x14ac:dyDescent="0.25">
      <c r="A1183" s="604" t="s">
        <v>2292</v>
      </c>
      <c r="B1183" s="714" t="s">
        <v>2293</v>
      </c>
      <c r="C1183" s="713"/>
      <c r="D1183" s="713" t="s">
        <v>2147</v>
      </c>
      <c r="E1183" s="606">
        <f>SUM(E1175:E1178)</f>
        <v>220350.16318745003</v>
      </c>
      <c r="F1183" s="606">
        <f t="shared" ref="F1183:I1183" si="448">SUM(F1175:F1178)</f>
        <v>0</v>
      </c>
      <c r="G1183" s="606">
        <f t="shared" si="448"/>
        <v>0</v>
      </c>
      <c r="H1183" s="606">
        <f t="shared" si="448"/>
        <v>220350.16318745003</v>
      </c>
      <c r="I1183" s="606">
        <f t="shared" si="448"/>
        <v>0</v>
      </c>
      <c r="J1183" s="517"/>
      <c r="K1183" s="456"/>
    </row>
    <row r="1184" spans="1:11" x14ac:dyDescent="0.25">
      <c r="A1184" s="604" t="s">
        <v>2294</v>
      </c>
      <c r="B1184" s="714" t="s">
        <v>2295</v>
      </c>
      <c r="C1184" s="713"/>
      <c r="D1184" s="713" t="s">
        <v>2147</v>
      </c>
      <c r="E1184" s="606">
        <f>SUM(E1179:E1182)</f>
        <v>0</v>
      </c>
      <c r="F1184" s="606">
        <f t="shared" ref="F1184:I1184" si="449">SUM(F1179:F1182)</f>
        <v>0</v>
      </c>
      <c r="G1184" s="606">
        <f t="shared" si="449"/>
        <v>0</v>
      </c>
      <c r="H1184" s="606">
        <f t="shared" si="449"/>
        <v>0</v>
      </c>
      <c r="I1184" s="606">
        <f t="shared" si="449"/>
        <v>0</v>
      </c>
      <c r="J1184" s="517"/>
      <c r="K1184" s="456"/>
    </row>
    <row r="1185" spans="1:11" x14ac:dyDescent="0.25">
      <c r="A1185" s="293"/>
      <c r="B1185" s="486"/>
      <c r="C1185" s="414"/>
      <c r="D1185" s="414"/>
      <c r="E1185" s="414"/>
      <c r="F1185" s="414"/>
      <c r="G1185" s="414"/>
      <c r="H1185" s="650"/>
      <c r="I1185" s="414"/>
      <c r="J1185" s="518"/>
      <c r="K1185" s="646"/>
    </row>
    <row r="1186" spans="1:11" x14ac:dyDescent="0.25">
      <c r="A1186" s="437" t="s">
        <v>373</v>
      </c>
      <c r="B1186" s="438" t="s">
        <v>1110</v>
      </c>
      <c r="C1186" s="439"/>
      <c r="D1186" s="440"/>
      <c r="E1186" s="440"/>
      <c r="F1186" s="440"/>
      <c r="G1186" s="440"/>
      <c r="H1186" s="441"/>
      <c r="I1186" s="440"/>
      <c r="J1186" s="442"/>
      <c r="K1186" s="442"/>
    </row>
    <row r="1187" spans="1:11" x14ac:dyDescent="0.25">
      <c r="A1187" s="437" t="s">
        <v>375</v>
      </c>
      <c r="B1187" s="438" t="s">
        <v>1111</v>
      </c>
      <c r="C1187" s="439"/>
      <c r="D1187" s="440"/>
      <c r="E1187" s="440"/>
      <c r="F1187" s="440"/>
      <c r="G1187" s="440"/>
      <c r="H1187" s="441"/>
      <c r="I1187" s="440"/>
      <c r="J1187" s="442"/>
      <c r="K1187" s="442"/>
    </row>
    <row r="1188" ht="28" customHeight="1" spans="1:11" x14ac:dyDescent="0.25" outlineLevel="1" collapsed="1">
      <c r="A1188" s="443" t="s">
        <v>306</v>
      </c>
      <c r="B1188" s="349" t="s">
        <v>2122</v>
      </c>
      <c r="C1188" s="293" t="s">
        <v>2123</v>
      </c>
      <c r="D1188" s="293" t="s">
        <v>2296</v>
      </c>
      <c r="E1188" s="470"/>
      <c r="F1188" s="470"/>
      <c r="G1188" s="470"/>
      <c r="H1188" s="446">
        <f t="shared" ref="H1188:H1195" si="450">IF(K$9=1,E1188,IF(K$9=2,(E1188+F1188)/2,(E1188+F1188+G1188)/3))</f>
        <v>0</v>
      </c>
      <c r="I1188" s="470"/>
      <c r="J1188" s="471"/>
      <c r="K1188" s="720"/>
    </row>
    <row r="1189" ht="14.5" customHeight="1" spans="1:11" x14ac:dyDescent="0.25" outlineLevel="1" collapsed="1">
      <c r="A1189" s="443" t="s">
        <v>308</v>
      </c>
      <c r="B1189" s="349" t="s">
        <v>2297</v>
      </c>
      <c r="C1189" s="293"/>
      <c r="D1189" s="443" t="s">
        <v>2298</v>
      </c>
      <c r="E1189" s="470"/>
      <c r="F1189" s="470"/>
      <c r="G1189" s="470"/>
      <c r="H1189" s="446">
        <f t="shared" si="450"/>
        <v>0</v>
      </c>
      <c r="I1189" s="470"/>
      <c r="J1189" s="471"/>
      <c r="K1189" s="720"/>
    </row>
    <row r="1190" ht="14.5" customHeight="1" spans="1:11" x14ac:dyDescent="0.25" outlineLevel="1" collapsed="1">
      <c r="A1190" s="451" t="s">
        <v>310</v>
      </c>
      <c r="B1190" s="435" t="s">
        <v>2221</v>
      </c>
      <c r="C1190" s="422"/>
      <c r="D1190" s="451" t="s">
        <v>2298</v>
      </c>
      <c r="E1190" s="471"/>
      <c r="F1190" s="471">
        <f t="shared" ref="F1190:I1190" si="451">F1189*0.9</f>
        <v>0</v>
      </c>
      <c r="G1190" s="471">
        <f t="shared" si="451"/>
        <v>0</v>
      </c>
      <c r="H1190" s="446">
        <f t="shared" si="450"/>
        <v>0</v>
      </c>
      <c r="I1190" s="471">
        <f t="shared" si="451"/>
        <v>0</v>
      </c>
      <c r="J1190" s="471"/>
      <c r="K1190" s="720"/>
    </row>
    <row r="1191" ht="14.5" customHeight="1" spans="1:11" x14ac:dyDescent="0.25" outlineLevel="1" collapsed="1">
      <c r="A1191" s="451" t="s">
        <v>312</v>
      </c>
      <c r="B1191" s="435" t="s">
        <v>2130</v>
      </c>
      <c r="C1191" s="422"/>
      <c r="D1191" s="451" t="s">
        <v>1493</v>
      </c>
      <c r="E1191" s="245"/>
      <c r="F1191" s="245"/>
      <c r="G1191" s="245"/>
      <c r="H1191" s="446">
        <f t="shared" si="450"/>
        <v>100</v>
      </c>
      <c r="I1191" s="245"/>
      <c r="J1191" s="471"/>
      <c r="K1191" s="720"/>
    </row>
    <row r="1192" ht="14.5" customHeight="1" spans="1:11" x14ac:dyDescent="0.25" outlineLevel="1" collapsed="1">
      <c r="A1192" s="443" t="s">
        <v>314</v>
      </c>
      <c r="B1192" s="349" t="s">
        <v>2131</v>
      </c>
      <c r="C1192" s="293" t="s">
        <v>61</v>
      </c>
      <c r="D1192" s="443" t="s">
        <v>2299</v>
      </c>
      <c r="E1192" s="228"/>
      <c r="F1192" s="445"/>
      <c r="G1192" s="445"/>
      <c r="H1192" s="446">
        <f t="shared" si="450"/>
        <v>0</v>
      </c>
      <c r="I1192" s="228"/>
      <c r="J1192" s="228"/>
      <c r="K1192" s="720"/>
    </row>
    <row r="1193" ht="14.5" customHeight="1" spans="1:11" x14ac:dyDescent="0.25" outlineLevel="1" collapsed="1">
      <c r="A1193" s="443" t="s">
        <v>316</v>
      </c>
      <c r="B1193" s="349" t="s">
        <v>2300</v>
      </c>
      <c r="C1193" s="293" t="s">
        <v>61</v>
      </c>
      <c r="D1193" s="443" t="s">
        <v>2299</v>
      </c>
      <c r="E1193" s="228"/>
      <c r="F1193" s="445"/>
      <c r="G1193" s="445"/>
      <c r="H1193" s="446">
        <f t="shared" si="450"/>
        <v>0</v>
      </c>
      <c r="I1193" s="228"/>
      <c r="J1193" s="228"/>
      <c r="K1193" s="720"/>
    </row>
    <row r="1194" ht="14.5" customHeight="1" spans="1:11" x14ac:dyDescent="0.25" outlineLevel="1" collapsed="1">
      <c r="A1194" s="443" t="s">
        <v>318</v>
      </c>
      <c r="B1194" s="664" t="s">
        <v>2301</v>
      </c>
      <c r="C1194" s="665" t="s">
        <v>61</v>
      </c>
      <c r="D1194" s="443" t="s">
        <v>2299</v>
      </c>
      <c r="E1194" s="228"/>
      <c r="F1194" s="445"/>
      <c r="G1194" s="445"/>
      <c r="H1194" s="446">
        <f t="shared" si="450"/>
        <v>0</v>
      </c>
      <c r="I1194" s="228"/>
      <c r="J1194" s="228"/>
      <c r="K1194" s="720"/>
    </row>
    <row r="1195" ht="14.5" customHeight="1" spans="1:11" x14ac:dyDescent="0.25" outlineLevel="1" collapsed="1">
      <c r="A1195" s="443" t="s">
        <v>478</v>
      </c>
      <c r="B1195" s="349" t="s">
        <v>2199</v>
      </c>
      <c r="C1195" s="293" t="s">
        <v>61</v>
      </c>
      <c r="D1195" s="443" t="s">
        <v>2299</v>
      </c>
      <c r="E1195" s="228"/>
      <c r="F1195" s="445"/>
      <c r="G1195" s="445"/>
      <c r="H1195" s="446">
        <f t="shared" si="450"/>
        <v>0</v>
      </c>
      <c r="I1195" s="228"/>
      <c r="J1195" s="228"/>
      <c r="K1195" s="720"/>
    </row>
    <row r="1196" ht="14.5" customHeight="1" spans="1:11" x14ac:dyDescent="0.25" outlineLevel="1" collapsed="1">
      <c r="A1196" s="678" t="s">
        <v>481</v>
      </c>
      <c r="B1196" s="605" t="s">
        <v>2302</v>
      </c>
      <c r="C1196" s="604" t="s">
        <v>61</v>
      </c>
      <c r="D1196" s="678" t="s">
        <v>2136</v>
      </c>
      <c r="E1196" s="662">
        <f>'Emission Factor &amp; GWP Backup'!$E$41</f>
        <v>0.234879479999996</v>
      </c>
      <c r="F1196" s="662">
        <f>'Emission Factor &amp; GWP Backup'!$E$41</f>
        <v>0.234879479999996</v>
      </c>
      <c r="G1196" s="662">
        <f>'Emission Factor &amp; GWP Backup'!$E$41</f>
        <v>0.234879479999996</v>
      </c>
      <c r="H1196" s="662">
        <f>'Emission Factor &amp; GWP Backup'!$E$41</f>
        <v>0.234879479999996</v>
      </c>
      <c r="I1196" s="662">
        <f>'Emission Factor &amp; GWP Backup'!$E$41</f>
        <v>0.234879479999996</v>
      </c>
      <c r="J1196" s="228"/>
      <c r="K1196" s="720"/>
    </row>
    <row r="1197" spans="1:11" x14ac:dyDescent="0.25" outlineLevel="1" collapsed="1">
      <c r="A1197" s="452" t="s">
        <v>483</v>
      </c>
      <c r="B1197" s="453" t="s">
        <v>2303</v>
      </c>
      <c r="C1197" s="452" t="s">
        <v>2304</v>
      </c>
      <c r="D1197" s="452" t="s">
        <v>2299</v>
      </c>
      <c r="E1197" s="446">
        <f t="shared" ref="E1197" si="452">E1193+E1195+E1194</f>
        <v>0</v>
      </c>
      <c r="F1197" s="446">
        <f t="shared" ref="F1197:I1197" si="453">F1193+F1195+F1194</f>
        <v>0</v>
      </c>
      <c r="G1197" s="446">
        <f t="shared" si="453"/>
        <v>0</v>
      </c>
      <c r="H1197" s="446">
        <f t="shared" si="453"/>
        <v>0</v>
      </c>
      <c r="I1197" s="446">
        <f t="shared" si="453"/>
        <v>0</v>
      </c>
      <c r="J1197" s="517"/>
      <c r="K1197" s="456"/>
    </row>
    <row r="1198" spans="1:11" x14ac:dyDescent="0.25" outlineLevel="1" collapsed="1">
      <c r="A1198" s="452" t="s">
        <v>485</v>
      </c>
      <c r="B1198" s="453" t="s">
        <v>2145</v>
      </c>
      <c r="C1198" s="452" t="s">
        <v>2305</v>
      </c>
      <c r="D1198" s="452" t="s">
        <v>1826</v>
      </c>
      <c r="E1198" s="446">
        <f t="shared" ref="E1198" si="454">E1193*E1189</f>
        <v>0</v>
      </c>
      <c r="F1198" s="446">
        <f t="shared" ref="F1198:I1198" si="455">F1193*F1189</f>
        <v>0</v>
      </c>
      <c r="G1198" s="446">
        <f t="shared" si="455"/>
        <v>0</v>
      </c>
      <c r="H1198" s="446">
        <f t="shared" si="455"/>
        <v>0</v>
      </c>
      <c r="I1198" s="446">
        <f t="shared" si="455"/>
        <v>0</v>
      </c>
      <c r="J1198" s="517"/>
      <c r="K1198" s="456"/>
    </row>
    <row r="1199" spans="1:11" x14ac:dyDescent="0.25" outlineLevel="1" collapsed="1">
      <c r="A1199" s="452" t="s">
        <v>488</v>
      </c>
      <c r="B1199" s="453" t="s">
        <v>2143</v>
      </c>
      <c r="C1199" s="452" t="s">
        <v>2306</v>
      </c>
      <c r="D1199" s="452" t="s">
        <v>1826</v>
      </c>
      <c r="E1199" s="446">
        <f t="shared" ref="E1199" si="456">(E1195+E1194)*E1189</f>
        <v>0</v>
      </c>
      <c r="F1199" s="446">
        <f t="shared" ref="F1199:I1199" si="457">(F1195+F1194)*F1189</f>
        <v>0</v>
      </c>
      <c r="G1199" s="446">
        <f t="shared" si="457"/>
        <v>0</v>
      </c>
      <c r="H1199" s="446">
        <f t="shared" si="457"/>
        <v>0</v>
      </c>
      <c r="I1199" s="446">
        <f t="shared" si="457"/>
        <v>0</v>
      </c>
      <c r="J1199" s="517"/>
      <c r="K1199" s="456"/>
    </row>
    <row r="1200" spans="1:11" x14ac:dyDescent="0.25" outlineLevel="1" collapsed="1">
      <c r="A1200" s="604" t="s">
        <v>403</v>
      </c>
      <c r="B1200" s="605" t="s">
        <v>2307</v>
      </c>
      <c r="C1200" s="604"/>
      <c r="D1200" s="604" t="s">
        <v>1575</v>
      </c>
      <c r="E1200" s="606">
        <f t="shared" ref="E1200" si="458">E1193*10^6*E$1190*E$1191/100*E$1196/10^6</f>
        <v>0</v>
      </c>
      <c r="F1200" s="606">
        <f t="shared" ref="F1200:I1200" si="459">F1193*10^6*F$1190*F$1191/100*F$1196/10^6</f>
        <v>0</v>
      </c>
      <c r="G1200" s="606">
        <f t="shared" si="459"/>
        <v>0</v>
      </c>
      <c r="H1200" s="606">
        <f t="shared" si="459"/>
        <v>0</v>
      </c>
      <c r="I1200" s="606">
        <f t="shared" si="459"/>
        <v>0</v>
      </c>
      <c r="J1200" s="517"/>
      <c r="K1200" s="456"/>
    </row>
    <row r="1201" spans="1:11" x14ac:dyDescent="0.25" outlineLevel="1" collapsed="1">
      <c r="A1201" s="604" t="s">
        <v>407</v>
      </c>
      <c r="B1201" s="605" t="s">
        <v>2308</v>
      </c>
      <c r="C1201" s="604"/>
      <c r="D1201" s="604" t="s">
        <v>1575</v>
      </c>
      <c r="E1201" s="606">
        <f t="shared" ref="E1201" si="460">E1195*10^6*E$1190*E$1191/100*E$1196/10^6</f>
        <v>0</v>
      </c>
      <c r="F1201" s="606">
        <f t="shared" ref="F1201:I1201" si="461">F1195*10^6*F$1190*F$1191/100*F$1196/10^6</f>
        <v>0</v>
      </c>
      <c r="G1201" s="606">
        <f t="shared" si="461"/>
        <v>0</v>
      </c>
      <c r="H1201" s="606">
        <f t="shared" si="461"/>
        <v>0</v>
      </c>
      <c r="I1201" s="606">
        <f t="shared" si="461"/>
        <v>0</v>
      </c>
      <c r="J1201" s="517"/>
      <c r="K1201" s="456"/>
    </row>
    <row r="1202" spans="1:11" x14ac:dyDescent="0.25">
      <c r="A1202" s="443"/>
      <c r="B1202" s="349"/>
      <c r="C1202" s="293"/>
      <c r="D1202" s="443"/>
      <c r="E1202" s="443"/>
      <c r="F1202" s="443"/>
      <c r="G1202" s="443"/>
      <c r="H1202" s="474"/>
      <c r="I1202" s="293"/>
      <c r="J1202" s="517"/>
      <c r="K1202" s="456"/>
    </row>
    <row r="1203" spans="1:11" x14ac:dyDescent="0.25">
      <c r="A1203" s="437" t="s">
        <v>1115</v>
      </c>
      <c r="B1203" s="438" t="s">
        <v>971</v>
      </c>
      <c r="C1203" s="439"/>
      <c r="D1203" s="440"/>
      <c r="E1203" s="440"/>
      <c r="F1203" s="440"/>
      <c r="G1203" s="440"/>
      <c r="H1203" s="441"/>
      <c r="I1203" s="440"/>
      <c r="J1203" s="442"/>
      <c r="K1203" s="442"/>
    </row>
    <row r="1204" ht="28" customHeight="1" spans="1:11" x14ac:dyDescent="0.25" outlineLevel="1" collapsed="1">
      <c r="A1204" s="443" t="s">
        <v>306</v>
      </c>
      <c r="B1204" s="349" t="s">
        <v>2122</v>
      </c>
      <c r="C1204" s="293" t="s">
        <v>2123</v>
      </c>
      <c r="D1204" s="293" t="s">
        <v>2309</v>
      </c>
      <c r="E1204" s="470"/>
      <c r="F1204" s="470"/>
      <c r="G1204" s="470"/>
      <c r="H1204" s="446">
        <f t="shared" ref="H1204:H1210" si="462">IF(K$9=1,E1204,IF(K$9=2,(E1204+F1204)/2,(E1204+F1204+G1204)/3))</f>
        <v>0</v>
      </c>
      <c r="I1204" s="470"/>
      <c r="J1204" s="471"/>
      <c r="K1204" s="456"/>
    </row>
    <row r="1205" ht="14.5" customHeight="1" spans="1:11" x14ac:dyDescent="0.25" outlineLevel="1" collapsed="1">
      <c r="A1205" s="443" t="s">
        <v>308</v>
      </c>
      <c r="B1205" s="349" t="s">
        <v>2297</v>
      </c>
      <c r="C1205" s="293"/>
      <c r="D1205" s="443" t="s">
        <v>1771</v>
      </c>
      <c r="E1205" s="470"/>
      <c r="F1205" s="470"/>
      <c r="G1205" s="470"/>
      <c r="H1205" s="446">
        <f t="shared" si="462"/>
        <v>0</v>
      </c>
      <c r="I1205" s="470"/>
      <c r="J1205" s="471"/>
      <c r="K1205" s="456"/>
    </row>
    <row r="1206" ht="14.5" customHeight="1" spans="1:11" x14ac:dyDescent="0.25" outlineLevel="1" collapsed="1">
      <c r="A1206" s="451" t="s">
        <v>310</v>
      </c>
      <c r="B1206" s="435" t="s">
        <v>2221</v>
      </c>
      <c r="C1206" s="422"/>
      <c r="D1206" s="451" t="s">
        <v>1771</v>
      </c>
      <c r="E1206" s="471"/>
      <c r="F1206" s="471">
        <f t="shared" ref="F1206" si="463">F1205*0.9</f>
        <v>0</v>
      </c>
      <c r="G1206" s="471">
        <f t="shared" ref="G1206" si="464">G1205*0.9</f>
        <v>0</v>
      </c>
      <c r="H1206" s="446">
        <f t="shared" si="462"/>
        <v>0</v>
      </c>
      <c r="I1206" s="471">
        <f t="shared" ref="I1206" si="465">I1205*0.9</f>
        <v>0</v>
      </c>
      <c r="J1206" s="471"/>
      <c r="K1206" s="456"/>
    </row>
    <row r="1207" ht="14.5" customHeight="1" spans="1:11" x14ac:dyDescent="0.25" outlineLevel="1" collapsed="1">
      <c r="A1207" s="451" t="s">
        <v>312</v>
      </c>
      <c r="B1207" s="435" t="s">
        <v>2310</v>
      </c>
      <c r="C1207" s="422"/>
      <c r="D1207" s="451" t="s">
        <v>1493</v>
      </c>
      <c r="E1207" s="245"/>
      <c r="F1207" s="445"/>
      <c r="G1207" s="445"/>
      <c r="H1207" s="446">
        <f t="shared" si="462"/>
        <v>100</v>
      </c>
      <c r="I1207" s="245"/>
      <c r="J1207" s="471"/>
      <c r="K1207" s="456"/>
    </row>
    <row r="1208" ht="14.5" customHeight="1" spans="1:11" x14ac:dyDescent="0.25" outlineLevel="1" collapsed="1">
      <c r="A1208" s="443" t="s">
        <v>314</v>
      </c>
      <c r="B1208" s="349" t="s">
        <v>2222</v>
      </c>
      <c r="C1208" s="293" t="s">
        <v>61</v>
      </c>
      <c r="D1208" s="443" t="s">
        <v>2311</v>
      </c>
      <c r="E1208" s="228"/>
      <c r="F1208" s="445"/>
      <c r="G1208" s="445"/>
      <c r="H1208" s="446">
        <f t="shared" si="462"/>
        <v>0</v>
      </c>
      <c r="I1208" s="228"/>
      <c r="J1208" s="228"/>
      <c r="K1208" s="456"/>
    </row>
    <row r="1209" ht="14.5" customHeight="1" spans="1:11" x14ac:dyDescent="0.25" outlineLevel="1" collapsed="1">
      <c r="A1209" s="443" t="s">
        <v>316</v>
      </c>
      <c r="B1209" s="349" t="s">
        <v>2300</v>
      </c>
      <c r="C1209" s="293" t="s">
        <v>61</v>
      </c>
      <c r="D1209" s="443" t="s">
        <v>2311</v>
      </c>
      <c r="E1209" s="228"/>
      <c r="F1209" s="445"/>
      <c r="G1209" s="445"/>
      <c r="H1209" s="446">
        <f t="shared" si="462"/>
        <v>0</v>
      </c>
      <c r="I1209" s="228"/>
      <c r="J1209" s="228"/>
      <c r="K1209" s="456"/>
    </row>
    <row r="1210" ht="14.5" customHeight="1" spans="1:11" x14ac:dyDescent="0.25" outlineLevel="1" collapsed="1">
      <c r="A1210" s="443" t="s">
        <v>318</v>
      </c>
      <c r="B1210" s="349" t="s">
        <v>2199</v>
      </c>
      <c r="C1210" s="293" t="s">
        <v>61</v>
      </c>
      <c r="D1210" s="443" t="s">
        <v>2311</v>
      </c>
      <c r="E1210" s="228"/>
      <c r="F1210" s="445"/>
      <c r="G1210" s="445"/>
      <c r="H1210" s="446">
        <f t="shared" si="462"/>
        <v>0</v>
      </c>
      <c r="I1210" s="228"/>
      <c r="J1210" s="228"/>
      <c r="K1210" s="456"/>
    </row>
    <row r="1211" ht="14.5" customHeight="1" spans="1:11" s="274" customFormat="1" x14ac:dyDescent="0.25" outlineLevel="1" collapsed="1">
      <c r="A1211" s="721" t="s">
        <v>478</v>
      </c>
      <c r="B1211" s="722" t="s">
        <v>2180</v>
      </c>
      <c r="C1211" s="723"/>
      <c r="D1211" s="721" t="s">
        <v>2136</v>
      </c>
      <c r="E1211" s="662">
        <f>'Emission Factor &amp; GWP Backup'!$E$15</f>
        <v>0.2641870799999955</v>
      </c>
      <c r="F1211" s="662">
        <f>'Emission Factor &amp; GWP Backup'!$E$15</f>
        <v>0.2641870799999955</v>
      </c>
      <c r="G1211" s="662">
        <f>'Emission Factor &amp; GWP Backup'!$E$15</f>
        <v>0.2641870799999955</v>
      </c>
      <c r="H1211" s="662">
        <f>'Emission Factor &amp; GWP Backup'!$E$15</f>
        <v>0.2641870799999955</v>
      </c>
      <c r="I1211" s="662">
        <f>'Emission Factor &amp; GWP Backup'!$E$15</f>
        <v>0.2641870799999955</v>
      </c>
      <c r="J1211" s="724"/>
      <c r="K1211" s="646"/>
    </row>
    <row r="1212" spans="1:11" s="274" customFormat="1" x14ac:dyDescent="0.25" outlineLevel="1" collapsed="1">
      <c r="A1212" s="643" t="s">
        <v>481</v>
      </c>
      <c r="B1212" s="644" t="s">
        <v>2312</v>
      </c>
      <c r="C1212" s="643" t="s">
        <v>2313</v>
      </c>
      <c r="D1212" s="643" t="s">
        <v>2311</v>
      </c>
      <c r="E1212" s="446">
        <f t="shared" ref="E1212" si="466">E1209+E1210</f>
        <v>0</v>
      </c>
      <c r="F1212" s="446">
        <f t="shared" ref="F1212:I1212" si="467">F1209+F1210</f>
        <v>0</v>
      </c>
      <c r="G1212" s="446">
        <f t="shared" si="467"/>
        <v>0</v>
      </c>
      <c r="H1212" s="446">
        <f t="shared" si="467"/>
        <v>0</v>
      </c>
      <c r="I1212" s="446">
        <f t="shared" si="467"/>
        <v>0</v>
      </c>
      <c r="J1212" s="518"/>
      <c r="K1212" s="646"/>
    </row>
    <row r="1213" spans="1:11" s="274" customFormat="1" x14ac:dyDescent="0.25" outlineLevel="1" collapsed="1">
      <c r="A1213" s="643" t="s">
        <v>483</v>
      </c>
      <c r="B1213" s="644" t="s">
        <v>2145</v>
      </c>
      <c r="C1213" s="643" t="s">
        <v>2305</v>
      </c>
      <c r="D1213" s="643" t="s">
        <v>1826</v>
      </c>
      <c r="E1213" s="446">
        <f t="shared" ref="E1213" si="468">E1209*E1205</f>
        <v>0</v>
      </c>
      <c r="F1213" s="446">
        <f t="shared" ref="F1213:I1213" si="469">F1209*F1205</f>
        <v>0</v>
      </c>
      <c r="G1213" s="446">
        <f t="shared" si="469"/>
        <v>0</v>
      </c>
      <c r="H1213" s="446">
        <f t="shared" si="469"/>
        <v>0</v>
      </c>
      <c r="I1213" s="446">
        <f t="shared" si="469"/>
        <v>0</v>
      </c>
      <c r="J1213" s="518"/>
      <c r="K1213" s="646"/>
    </row>
    <row r="1214" spans="1:11" s="274" customFormat="1" x14ac:dyDescent="0.25" outlineLevel="1" collapsed="1">
      <c r="A1214" s="643" t="s">
        <v>485</v>
      </c>
      <c r="B1214" s="644" t="s">
        <v>2143</v>
      </c>
      <c r="C1214" s="643" t="s">
        <v>2314</v>
      </c>
      <c r="D1214" s="643" t="s">
        <v>1826</v>
      </c>
      <c r="E1214" s="446">
        <f t="shared" ref="E1214" si="470">E1210*E1205</f>
        <v>0</v>
      </c>
      <c r="F1214" s="446">
        <f t="shared" ref="F1214:I1214" si="471">F1210*F1205</f>
        <v>0</v>
      </c>
      <c r="G1214" s="446">
        <f t="shared" si="471"/>
        <v>0</v>
      </c>
      <c r="H1214" s="446">
        <f t="shared" si="471"/>
        <v>0</v>
      </c>
      <c r="I1214" s="446">
        <f t="shared" si="471"/>
        <v>0</v>
      </c>
      <c r="J1214" s="518"/>
      <c r="K1214" s="646"/>
    </row>
    <row r="1215" spans="1:11" s="274" customFormat="1" x14ac:dyDescent="0.25" outlineLevel="1" collapsed="1">
      <c r="A1215" s="723" t="s">
        <v>488</v>
      </c>
      <c r="B1215" s="722" t="s">
        <v>2315</v>
      </c>
      <c r="C1215" s="723"/>
      <c r="D1215" s="723" t="s">
        <v>2147</v>
      </c>
      <c r="E1215" s="606">
        <f t="shared" ref="E1215" si="472">E1209*10^6*E$1206*E$1207/100*E$1211/10^6</f>
        <v>0</v>
      </c>
      <c r="F1215" s="606">
        <f t="shared" ref="F1215:I1215" si="473">F1209*10^6*F$1206*F$1207/100*F$1211/10^6</f>
        <v>0</v>
      </c>
      <c r="G1215" s="606">
        <f t="shared" si="473"/>
        <v>0</v>
      </c>
      <c r="H1215" s="606">
        <f t="shared" si="473"/>
        <v>0</v>
      </c>
      <c r="I1215" s="606">
        <f t="shared" si="473"/>
        <v>0</v>
      </c>
      <c r="J1215" s="518"/>
      <c r="K1215" s="646"/>
    </row>
    <row r="1216" spans="1:11" s="274" customFormat="1" x14ac:dyDescent="0.25" outlineLevel="1" collapsed="1">
      <c r="A1216" s="723" t="s">
        <v>403</v>
      </c>
      <c r="B1216" s="722" t="s">
        <v>2316</v>
      </c>
      <c r="C1216" s="723"/>
      <c r="D1216" s="723" t="s">
        <v>2147</v>
      </c>
      <c r="E1216" s="606">
        <f t="shared" ref="E1216" si="474">E1210*10^6*E$1206*E$1207/100*E$1211/10^6</f>
        <v>0</v>
      </c>
      <c r="F1216" s="606">
        <f t="shared" ref="F1216:I1216" si="475">F1210*10^6*F$1206*F$1207/100*F$1211/10^6</f>
        <v>0</v>
      </c>
      <c r="G1216" s="606">
        <f t="shared" si="475"/>
        <v>0</v>
      </c>
      <c r="H1216" s="606">
        <f t="shared" si="475"/>
        <v>0</v>
      </c>
      <c r="I1216" s="606">
        <f t="shared" si="475"/>
        <v>0</v>
      </c>
      <c r="J1216" s="518"/>
      <c r="K1216" s="646"/>
    </row>
    <row r="1217" spans="1:11" s="274" customFormat="1" x14ac:dyDescent="0.25" outlineLevel="1" collapsed="1">
      <c r="A1217" s="643" t="s">
        <v>1121</v>
      </c>
      <c r="B1217" s="644" t="s">
        <v>2317</v>
      </c>
      <c r="C1217" s="643" t="s">
        <v>2318</v>
      </c>
      <c r="D1217" s="643" t="s">
        <v>1826</v>
      </c>
      <c r="E1217" s="446">
        <f t="shared" ref="E1217" si="476">E1198+E1213</f>
        <v>0</v>
      </c>
      <c r="F1217" s="446">
        <f t="shared" ref="F1217:I1217" si="477">F1198+F1213</f>
        <v>0</v>
      </c>
      <c r="G1217" s="446">
        <f t="shared" si="477"/>
        <v>0</v>
      </c>
      <c r="H1217" s="446">
        <f t="shared" si="477"/>
        <v>0</v>
      </c>
      <c r="I1217" s="446">
        <f t="shared" si="477"/>
        <v>0</v>
      </c>
      <c r="J1217" s="518"/>
      <c r="K1217" s="646"/>
    </row>
    <row r="1218" spans="1:11" s="274" customFormat="1" x14ac:dyDescent="0.25" outlineLevel="1" collapsed="1">
      <c r="A1218" s="643" t="s">
        <v>1122</v>
      </c>
      <c r="B1218" s="644" t="s">
        <v>2319</v>
      </c>
      <c r="C1218" s="643" t="s">
        <v>2320</v>
      </c>
      <c r="D1218" s="643" t="s">
        <v>1826</v>
      </c>
      <c r="E1218" s="446">
        <f t="shared" ref="E1218" si="478">E1199+E1214</f>
        <v>0</v>
      </c>
      <c r="F1218" s="446">
        <f t="shared" ref="F1218:I1218" si="479">F1199+F1214</f>
        <v>0</v>
      </c>
      <c r="G1218" s="446">
        <f t="shared" si="479"/>
        <v>0</v>
      </c>
      <c r="H1218" s="446">
        <f t="shared" si="479"/>
        <v>0</v>
      </c>
      <c r="I1218" s="446">
        <f t="shared" si="479"/>
        <v>0</v>
      </c>
      <c r="J1218" s="518"/>
      <c r="K1218" s="646"/>
    </row>
    <row r="1219" spans="1:11" s="274" customFormat="1" x14ac:dyDescent="0.25" outlineLevel="1" collapsed="1">
      <c r="A1219" s="723" t="s">
        <v>2321</v>
      </c>
      <c r="B1219" s="722" t="s">
        <v>2322</v>
      </c>
      <c r="C1219" s="723"/>
      <c r="D1219" s="723" t="s">
        <v>2147</v>
      </c>
      <c r="E1219" s="606">
        <f t="shared" ref="E1219" si="480">E1200+E1215</f>
        <v>0</v>
      </c>
      <c r="F1219" s="606">
        <f t="shared" ref="F1219:I1219" si="481">F1200+F1215</f>
        <v>0</v>
      </c>
      <c r="G1219" s="606">
        <f t="shared" si="481"/>
        <v>0</v>
      </c>
      <c r="H1219" s="606">
        <f t="shared" si="481"/>
        <v>0</v>
      </c>
      <c r="I1219" s="606">
        <f t="shared" si="481"/>
        <v>0</v>
      </c>
      <c r="J1219" s="518"/>
      <c r="K1219" s="646"/>
    </row>
    <row r="1220" spans="1:11" s="274" customFormat="1" x14ac:dyDescent="0.25" outlineLevel="1" collapsed="1">
      <c r="A1220" s="723" t="s">
        <v>2323</v>
      </c>
      <c r="B1220" s="722" t="s">
        <v>2324</v>
      </c>
      <c r="C1220" s="723"/>
      <c r="D1220" s="723" t="s">
        <v>2147</v>
      </c>
      <c r="E1220" s="606">
        <f t="shared" ref="E1220" si="482">E1201+E1216</f>
        <v>0</v>
      </c>
      <c r="F1220" s="606">
        <f t="shared" ref="F1220:I1220" si="483">F1201+F1216</f>
        <v>0</v>
      </c>
      <c r="G1220" s="606">
        <f t="shared" si="483"/>
        <v>0</v>
      </c>
      <c r="H1220" s="606">
        <f t="shared" si="483"/>
        <v>0</v>
      </c>
      <c r="I1220" s="606">
        <f t="shared" si="483"/>
        <v>0</v>
      </c>
      <c r="J1220" s="518"/>
      <c r="K1220" s="646"/>
    </row>
    <row r="1221" spans="1:11" s="274" customFormat="1" x14ac:dyDescent="0.25" outlineLevel="1" collapsed="1">
      <c r="A1221" s="723" t="s">
        <v>922</v>
      </c>
      <c r="B1221" s="714" t="s">
        <v>2325</v>
      </c>
      <c r="C1221" s="713"/>
      <c r="D1221" s="713" t="s">
        <v>2147</v>
      </c>
      <c r="E1221" s="606">
        <f>E1219+E1220</f>
        <v>0</v>
      </c>
      <c r="F1221" s="606">
        <f t="shared" ref="F1221:I1221" si="484">F1219+F1220</f>
        <v>0</v>
      </c>
      <c r="G1221" s="606">
        <f t="shared" si="484"/>
        <v>0</v>
      </c>
      <c r="H1221" s="606">
        <f t="shared" si="484"/>
        <v>0</v>
      </c>
      <c r="I1221" s="606">
        <f t="shared" si="484"/>
        <v>0</v>
      </c>
      <c r="J1221" s="518"/>
      <c r="K1221" s="646"/>
    </row>
    <row r="1222" spans="1:11" x14ac:dyDescent="0.25">
      <c r="A1222" s="663"/>
      <c r="B1222" s="703"/>
      <c r="C1222" s="704"/>
      <c r="D1222" s="704"/>
      <c r="E1222" s="704"/>
      <c r="F1222" s="704"/>
      <c r="G1222" s="704"/>
      <c r="H1222" s="500"/>
      <c r="I1222" s="704"/>
      <c r="J1222" s="487"/>
      <c r="K1222" s="495"/>
    </row>
    <row r="1223" spans="1:11" x14ac:dyDescent="0.25">
      <c r="A1223" s="725" t="s">
        <v>1154</v>
      </c>
      <c r="B1223" s="726" t="s">
        <v>1123</v>
      </c>
      <c r="C1223" s="727"/>
      <c r="D1223" s="728"/>
      <c r="E1223" s="729"/>
      <c r="F1223" s="729"/>
      <c r="G1223" s="729"/>
      <c r="H1223" s="730"/>
      <c r="I1223" s="731"/>
      <c r="J1223" s="442"/>
      <c r="K1223" s="442"/>
    </row>
    <row r="1224" spans="1:11" x14ac:dyDescent="0.25">
      <c r="A1224" s="522" t="s">
        <v>2326</v>
      </c>
      <c r="B1224" s="732" t="s">
        <v>1124</v>
      </c>
      <c r="C1224" s="733"/>
      <c r="D1224" s="734"/>
      <c r="E1224" s="735"/>
      <c r="F1224" s="735"/>
      <c r="G1224" s="735"/>
      <c r="H1224" s="736"/>
      <c r="I1224" s="737"/>
      <c r="J1224" s="738"/>
      <c r="K1224" s="739"/>
    </row>
    <row r="1225" spans="1:11" x14ac:dyDescent="0.25" outlineLevel="1" collapsed="1">
      <c r="A1225" s="522" t="s">
        <v>2327</v>
      </c>
      <c r="B1225" s="732" t="s">
        <v>2328</v>
      </c>
      <c r="C1225" s="733"/>
      <c r="D1225" s="734"/>
      <c r="E1225" s="735"/>
      <c r="F1225" s="735"/>
      <c r="G1225" s="735"/>
      <c r="H1225" s="736"/>
      <c r="I1225" s="737"/>
      <c r="J1225" s="738"/>
      <c r="K1225" s="739"/>
    </row>
    <row r="1226" ht="29" customHeight="1" spans="1:11" x14ac:dyDescent="0.25" outlineLevel="1" collapsed="1">
      <c r="A1226" s="740" t="s">
        <v>306</v>
      </c>
      <c r="B1226" s="741" t="s">
        <v>2329</v>
      </c>
      <c r="C1226" s="742" t="s">
        <v>2123</v>
      </c>
      <c r="D1226" s="743" t="s">
        <v>2330</v>
      </c>
      <c r="E1226" s="539"/>
      <c r="F1226" s="539"/>
      <c r="G1226" s="539"/>
      <c r="H1226" s="446">
        <f t="shared" ref="H1226:H1230" si="485">IF(K$9=1,E1226,IF(K$9=2,(E1226+F1226)/2,(E1226+F1226+G1226)/3))</f>
        <v>0</v>
      </c>
      <c r="I1226" s="539"/>
      <c r="J1226" s="540"/>
      <c r="K1226" s="739"/>
    </row>
    <row r="1227" ht="14.5" customHeight="1" spans="1:11" x14ac:dyDescent="0.25" outlineLevel="1" collapsed="1">
      <c r="A1227" s="740" t="s">
        <v>308</v>
      </c>
      <c r="B1227" s="516" t="s">
        <v>2331</v>
      </c>
      <c r="C1227" s="534" t="s">
        <v>61</v>
      </c>
      <c r="D1227" s="528" t="s">
        <v>1771</v>
      </c>
      <c r="E1227" s="539"/>
      <c r="F1227" s="539"/>
      <c r="G1227" s="539"/>
      <c r="H1227" s="446">
        <f t="shared" si="485"/>
        <v>0</v>
      </c>
      <c r="I1227" s="539"/>
      <c r="J1227" s="540"/>
      <c r="K1227" s="739"/>
    </row>
    <row r="1228" spans="1:11" x14ac:dyDescent="0.25" outlineLevel="1" collapsed="1">
      <c r="A1228" s="740" t="s">
        <v>310</v>
      </c>
      <c r="B1228" s="516" t="s">
        <v>2332</v>
      </c>
      <c r="C1228" s="534" t="s">
        <v>61</v>
      </c>
      <c r="D1228" s="528" t="s">
        <v>1951</v>
      </c>
      <c r="E1228" s="536"/>
      <c r="F1228" s="536"/>
      <c r="G1228" s="536"/>
      <c r="H1228" s="446">
        <f t="shared" si="485"/>
        <v>0</v>
      </c>
      <c r="I1228" s="536"/>
      <c r="J1228" s="536"/>
      <c r="K1228" s="739"/>
    </row>
    <row r="1229" spans="1:11" x14ac:dyDescent="0.25" outlineLevel="1" collapsed="1">
      <c r="A1229" s="744" t="s">
        <v>312</v>
      </c>
      <c r="B1229" s="745" t="s">
        <v>2333</v>
      </c>
      <c r="C1229" s="744" t="s">
        <v>61</v>
      </c>
      <c r="D1229" s="744" t="s">
        <v>1762</v>
      </c>
      <c r="E1229" s="536"/>
      <c r="F1229" s="536"/>
      <c r="G1229" s="536"/>
      <c r="H1229" s="446">
        <f t="shared" si="485"/>
        <v>0</v>
      </c>
      <c r="I1229" s="536"/>
      <c r="J1229" s="536"/>
      <c r="K1229" s="746"/>
    </row>
    <row r="1230" spans="1:11" x14ac:dyDescent="0.25" outlineLevel="1" collapsed="1">
      <c r="A1230" s="744" t="s">
        <v>314</v>
      </c>
      <c r="B1230" s="745" t="s">
        <v>2334</v>
      </c>
      <c r="C1230" s="744" t="s">
        <v>61</v>
      </c>
      <c r="D1230" s="744" t="s">
        <v>2335</v>
      </c>
      <c r="E1230" s="536"/>
      <c r="F1230" s="536"/>
      <c r="G1230" s="536"/>
      <c r="H1230" s="446">
        <f t="shared" si="485"/>
        <v>0</v>
      </c>
      <c r="I1230" s="536"/>
      <c r="J1230" s="536"/>
      <c r="K1230" s="746"/>
    </row>
    <row r="1231" spans="1:11" s="274" customFormat="1" x14ac:dyDescent="0.25" outlineLevel="1" collapsed="1">
      <c r="A1231" s="747" t="s">
        <v>316</v>
      </c>
      <c r="B1231" s="748" t="s">
        <v>2336</v>
      </c>
      <c r="C1231" s="747" t="s">
        <v>61</v>
      </c>
      <c r="D1231" s="747" t="s">
        <v>2337</v>
      </c>
      <c r="E1231" s="662">
        <f>E840</f>
        <v>0.402289544115975</v>
      </c>
      <c r="F1231" s="662">
        <f>F840</f>
        <v>0</v>
      </c>
      <c r="G1231" s="662">
        <f>G840</f>
        <v>0</v>
      </c>
      <c r="H1231" s="662">
        <f>H840</f>
        <v>0.402289544115975</v>
      </c>
      <c r="I1231" s="662">
        <f>I840</f>
        <v>0</v>
      </c>
      <c r="J1231" s="749"/>
      <c r="K1231" s="750"/>
    </row>
    <row r="1232" spans="1:11" s="274" customFormat="1" x14ac:dyDescent="0.25" outlineLevel="1" collapsed="1">
      <c r="A1232" s="606" t="s">
        <v>318</v>
      </c>
      <c r="B1232" s="751" t="s">
        <v>2338</v>
      </c>
      <c r="C1232" s="606" t="s">
        <v>2339</v>
      </c>
      <c r="D1232" s="606" t="s">
        <v>1826</v>
      </c>
      <c r="E1232" s="606">
        <f t="shared" ref="E1232:F1232" si="486">(E1227*E1228)/1000</f>
        <v>0</v>
      </c>
      <c r="F1232" s="606">
        <f t="shared" si="486"/>
        <v>0</v>
      </c>
      <c r="G1232" s="606">
        <f>(G1227*G1228)/1000</f>
        <v>0</v>
      </c>
      <c r="H1232" s="606">
        <f>(H1227*H1228)/1000</f>
        <v>0</v>
      </c>
      <c r="I1232" s="606">
        <f>(I1227*I1228)/1000</f>
        <v>0</v>
      </c>
      <c r="J1232" s="658"/>
      <c r="K1232" s="750"/>
    </row>
    <row r="1233" spans="1:11" x14ac:dyDescent="0.25" outlineLevel="1" collapsed="1">
      <c r="A1233" s="752"/>
      <c r="B1233" s="753"/>
      <c r="C1233" s="296"/>
      <c r="D1233" s="296"/>
      <c r="E1233" s="650"/>
      <c r="F1233" s="650"/>
      <c r="G1233" s="650"/>
      <c r="H1233" s="650"/>
      <c r="I1233" s="296"/>
      <c r="J1233" s="455"/>
      <c r="K1233" s="754"/>
    </row>
    <row r="1234" spans="1:11" x14ac:dyDescent="0.25" outlineLevel="1" collapsed="1">
      <c r="A1234" s="522" t="s">
        <v>2340</v>
      </c>
      <c r="B1234" s="732" t="s">
        <v>2341</v>
      </c>
      <c r="C1234" s="733"/>
      <c r="D1234" s="734"/>
      <c r="E1234" s="735"/>
      <c r="F1234" s="735"/>
      <c r="G1234" s="735"/>
      <c r="H1234" s="736"/>
      <c r="I1234" s="735"/>
      <c r="J1234" s="536"/>
      <c r="K1234" s="739"/>
    </row>
    <row r="1235" ht="29" customHeight="1" spans="1:11" x14ac:dyDescent="0.25" outlineLevel="1" collapsed="1">
      <c r="A1235" s="740" t="s">
        <v>306</v>
      </c>
      <c r="B1235" s="741" t="s">
        <v>2329</v>
      </c>
      <c r="C1235" s="742" t="s">
        <v>2123</v>
      </c>
      <c r="D1235" s="743" t="s">
        <v>2330</v>
      </c>
      <c r="E1235" s="539"/>
      <c r="F1235" s="539"/>
      <c r="G1235" s="539"/>
      <c r="H1235" s="446">
        <f t="shared" ref="H1235:H1239" si="487">IF(K$9=1,E1235,IF(K$9=2,(E1235+F1235)/2,(E1235+F1235+G1235)/3))</f>
        <v>690.517747527632</v>
      </c>
      <c r="I1235" s="539"/>
      <c r="J1235" s="540"/>
      <c r="K1235" s="739"/>
    </row>
    <row r="1236" ht="14.5" customHeight="1" spans="1:11" x14ac:dyDescent="0.25" outlineLevel="1" collapsed="1">
      <c r="A1236" s="740" t="s">
        <v>308</v>
      </c>
      <c r="B1236" s="516" t="s">
        <v>2342</v>
      </c>
      <c r="C1236" s="534" t="s">
        <v>61</v>
      </c>
      <c r="D1236" s="528" t="s">
        <v>1771</v>
      </c>
      <c r="E1236" s="539"/>
      <c r="F1236" s="539"/>
      <c r="G1236" s="539"/>
      <c r="H1236" s="446">
        <f t="shared" si="487"/>
        <v>695.743</v>
      </c>
      <c r="I1236" s="539"/>
      <c r="J1236" s="540"/>
      <c r="K1236" s="739"/>
    </row>
    <row r="1237" spans="1:11" x14ac:dyDescent="0.25" outlineLevel="1" collapsed="1">
      <c r="A1237" s="740" t="s">
        <v>310</v>
      </c>
      <c r="B1237" s="516" t="s">
        <v>2343</v>
      </c>
      <c r="C1237" s="534" t="s">
        <v>61</v>
      </c>
      <c r="D1237" s="528" t="s">
        <v>1951</v>
      </c>
      <c r="E1237" s="536"/>
      <c r="F1237" s="536"/>
      <c r="G1237" s="536"/>
      <c r="H1237" s="446">
        <f t="shared" si="487"/>
        <v>7427.600000000002</v>
      </c>
      <c r="I1237" s="536"/>
      <c r="J1237" s="536"/>
      <c r="K1237" s="739"/>
    </row>
    <row r="1238" spans="1:11" x14ac:dyDescent="0.25" outlineLevel="1" collapsed="1">
      <c r="A1238" s="744" t="s">
        <v>312</v>
      </c>
      <c r="B1238" s="745" t="s">
        <v>2333</v>
      </c>
      <c r="C1238" s="744" t="s">
        <v>61</v>
      </c>
      <c r="D1238" s="744" t="s">
        <v>1762</v>
      </c>
      <c r="E1238" s="536"/>
      <c r="F1238" s="536"/>
      <c r="G1238" s="536"/>
      <c r="H1238" s="446">
        <f t="shared" si="487"/>
        <v>284.6080859113191</v>
      </c>
      <c r="I1238" s="536"/>
      <c r="J1238" s="536"/>
      <c r="K1238" s="746"/>
    </row>
    <row r="1239" spans="1:11" x14ac:dyDescent="0.25" outlineLevel="1" collapsed="1">
      <c r="A1239" s="744" t="s">
        <v>314</v>
      </c>
      <c r="B1239" s="745" t="s">
        <v>2334</v>
      </c>
      <c r="C1239" s="744" t="s">
        <v>61</v>
      </c>
      <c r="D1239" s="744" t="s">
        <v>2335</v>
      </c>
      <c r="E1239" s="536"/>
      <c r="F1239" s="536"/>
      <c r="G1239" s="536"/>
      <c r="H1239" s="446">
        <f t="shared" si="487"/>
        <v>40.931218888259465</v>
      </c>
      <c r="I1239" s="536"/>
      <c r="J1239" s="536"/>
      <c r="K1239" s="746"/>
    </row>
    <row r="1240" spans="1:11" s="274" customFormat="1" x14ac:dyDescent="0.25" outlineLevel="1" collapsed="1">
      <c r="A1240" s="747" t="s">
        <v>316</v>
      </c>
      <c r="B1240" s="748" t="s">
        <v>2344</v>
      </c>
      <c r="C1240" s="747" t="s">
        <v>61</v>
      </c>
      <c r="D1240" s="747" t="s">
        <v>2337</v>
      </c>
      <c r="E1240" s="662">
        <f>E840</f>
        <v>0.402289544115975</v>
      </c>
      <c r="F1240" s="662">
        <f t="shared" ref="F1240:I1240" si="488">F840</f>
        <v>0</v>
      </c>
      <c r="G1240" s="662">
        <f t="shared" si="488"/>
        <v>0</v>
      </c>
      <c r="H1240" s="662">
        <f t="shared" si="488"/>
        <v>0.402289544115975</v>
      </c>
      <c r="I1240" s="662">
        <f t="shared" si="488"/>
        <v>0</v>
      </c>
      <c r="J1240" s="749"/>
      <c r="K1240" s="750"/>
    </row>
    <row r="1241" spans="1:11" s="274" customFormat="1" x14ac:dyDescent="0.25" outlineLevel="1" collapsed="1">
      <c r="A1241" s="446" t="s">
        <v>316</v>
      </c>
      <c r="B1241" s="755" t="s">
        <v>2345</v>
      </c>
      <c r="C1241" s="446" t="s">
        <v>2339</v>
      </c>
      <c r="D1241" s="446" t="s">
        <v>1826</v>
      </c>
      <c r="E1241" s="446">
        <f t="shared" ref="E1241" si="489">(E1236*E1237)/1000</f>
        <v>5167.700706800002</v>
      </c>
      <c r="F1241" s="446">
        <f t="shared" ref="F1241:I1241" si="490">(F1236*F1237)/1000</f>
        <v>0</v>
      </c>
      <c r="G1241" s="446">
        <f t="shared" si="490"/>
        <v>0</v>
      </c>
      <c r="H1241" s="446">
        <f t="shared" si="490"/>
        <v>5167.700706800002</v>
      </c>
      <c r="I1241" s="446">
        <f t="shared" si="490"/>
        <v>0</v>
      </c>
      <c r="J1241" s="658"/>
      <c r="K1241" s="750"/>
    </row>
    <row r="1242" ht="28" customHeight="1" spans="1:11" s="274" customFormat="1" x14ac:dyDescent="0.25" outlineLevel="1" collapsed="1">
      <c r="A1242" s="446" t="s">
        <v>2346</v>
      </c>
      <c r="B1242" s="755" t="s">
        <v>2347</v>
      </c>
      <c r="C1242" s="446" t="s">
        <v>2348</v>
      </c>
      <c r="D1242" s="446" t="s">
        <v>1826</v>
      </c>
      <c r="E1242" s="446">
        <f t="shared" ref="E1242" si="491">E1232+E1241</f>
        <v>5167.700706800002</v>
      </c>
      <c r="F1242" s="446">
        <f t="shared" ref="F1242:I1242" si="492">F1232+F1241</f>
        <v>0</v>
      </c>
      <c r="G1242" s="446">
        <f t="shared" si="492"/>
        <v>0</v>
      </c>
      <c r="H1242" s="446">
        <f t="shared" si="492"/>
        <v>5167.700706800002</v>
      </c>
      <c r="I1242" s="446">
        <f t="shared" si="492"/>
        <v>0</v>
      </c>
      <c r="J1242" s="658"/>
      <c r="K1242" s="750"/>
    </row>
    <row r="1243" spans="1:11" s="274" customFormat="1" x14ac:dyDescent="0.25" outlineLevel="1" collapsed="1">
      <c r="A1243" s="756" t="s">
        <v>2349</v>
      </c>
      <c r="B1243" s="751" t="s">
        <v>2350</v>
      </c>
      <c r="C1243" s="606"/>
      <c r="D1243" s="606" t="s">
        <v>1560</v>
      </c>
      <c r="E1243" s="662">
        <f>(E1232*E1231*10^6+E1240*E1241*10^6)/10^6</f>
        <v>2078.9119614663746</v>
      </c>
      <c r="F1243" s="662">
        <f t="shared" ref="F1243:I1243" si="493">(F1232*F1231*10^6+F1240*F1241*10^6)/10^6</f>
        <v>0</v>
      </c>
      <c r="G1243" s="662">
        <f t="shared" si="493"/>
        <v>0</v>
      </c>
      <c r="H1243" s="662">
        <f t="shared" si="493"/>
        <v>2078.9119614663746</v>
      </c>
      <c r="I1243" s="662">
        <f t="shared" si="493"/>
        <v>0</v>
      </c>
      <c r="J1243" s="757"/>
      <c r="K1243" s="758"/>
    </row>
    <row r="1244" ht="16.15" customHeight="1" spans="1:11" x14ac:dyDescent="0.25">
      <c r="A1244" s="759"/>
      <c r="B1244" s="760"/>
      <c r="C1244" s="761"/>
      <c r="D1244" s="761"/>
      <c r="E1244" s="761"/>
      <c r="F1244" s="761"/>
      <c r="G1244" s="761"/>
      <c r="H1244" s="762"/>
      <c r="I1244" s="763"/>
      <c r="J1244" s="764"/>
      <c r="K1244" s="739"/>
    </row>
    <row r="1245" ht="16.15" customHeight="1" spans="1:11" x14ac:dyDescent="0.25">
      <c r="A1245" s="522" t="s">
        <v>2351</v>
      </c>
      <c r="B1245" s="732" t="s">
        <v>2352</v>
      </c>
      <c r="C1245" s="733"/>
      <c r="D1245" s="734"/>
      <c r="E1245" s="735"/>
      <c r="F1245" s="735"/>
      <c r="G1245" s="735"/>
      <c r="H1245" s="736"/>
      <c r="I1245" s="737"/>
      <c r="J1245" s="738"/>
      <c r="K1245" s="739"/>
    </row>
    <row r="1246" ht="29" customHeight="1" spans="1:11" x14ac:dyDescent="0.25" outlineLevel="1" collapsed="1">
      <c r="A1246" s="740" t="s">
        <v>306</v>
      </c>
      <c r="B1246" s="741" t="s">
        <v>2329</v>
      </c>
      <c r="C1246" s="742" t="s">
        <v>2123</v>
      </c>
      <c r="D1246" s="743" t="s">
        <v>2330</v>
      </c>
      <c r="E1246" s="539"/>
      <c r="F1246" s="539"/>
      <c r="G1246" s="539"/>
      <c r="H1246" s="446">
        <f t="shared" ref="H1246:H1250" si="494">IF(K$9=1,E1246,IF(K$9=2,(E1246+F1246)/2,(E1246+F1246+G1246)/3))</f>
        <v>0</v>
      </c>
      <c r="I1246" s="539"/>
      <c r="J1246" s="540"/>
      <c r="K1246" s="739"/>
    </row>
    <row r="1247" ht="16.15" customHeight="1" spans="1:11" x14ac:dyDescent="0.25" outlineLevel="1" collapsed="1">
      <c r="A1247" s="740" t="s">
        <v>308</v>
      </c>
      <c r="B1247" s="516" t="s">
        <v>1770</v>
      </c>
      <c r="C1247" s="534" t="s">
        <v>61</v>
      </c>
      <c r="D1247" s="528" t="s">
        <v>1771</v>
      </c>
      <c r="E1247" s="539"/>
      <c r="F1247" s="539"/>
      <c r="G1247" s="539"/>
      <c r="H1247" s="446">
        <f t="shared" si="494"/>
        <v>0</v>
      </c>
      <c r="I1247" s="539"/>
      <c r="J1247" s="540"/>
      <c r="K1247" s="739"/>
    </row>
    <row r="1248" ht="16.15" customHeight="1" spans="1:11" x14ac:dyDescent="0.25" outlineLevel="1" collapsed="1">
      <c r="A1248" s="740" t="s">
        <v>310</v>
      </c>
      <c r="B1248" s="516" t="s">
        <v>2332</v>
      </c>
      <c r="C1248" s="534" t="s">
        <v>61</v>
      </c>
      <c r="D1248" s="528" t="s">
        <v>1951</v>
      </c>
      <c r="E1248" s="536"/>
      <c r="F1248" s="536"/>
      <c r="G1248" s="536"/>
      <c r="H1248" s="446">
        <f t="shared" si="494"/>
        <v>0</v>
      </c>
      <c r="I1248" s="536"/>
      <c r="J1248" s="536"/>
      <c r="K1248" s="739"/>
    </row>
    <row r="1249" ht="16.15" customHeight="1" spans="1:11" x14ac:dyDescent="0.25" outlineLevel="1" collapsed="1">
      <c r="A1249" s="744" t="s">
        <v>312</v>
      </c>
      <c r="B1249" s="745" t="s">
        <v>2333</v>
      </c>
      <c r="C1249" s="744" t="s">
        <v>61</v>
      </c>
      <c r="D1249" s="744" t="s">
        <v>1762</v>
      </c>
      <c r="E1249" s="536"/>
      <c r="F1249" s="445"/>
      <c r="G1249" s="445"/>
      <c r="H1249" s="446">
        <f t="shared" si="494"/>
        <v>0</v>
      </c>
      <c r="I1249" s="536"/>
      <c r="J1249" s="536"/>
      <c r="K1249" s="746"/>
    </row>
    <row r="1250" ht="16.15" customHeight="1" spans="1:11" x14ac:dyDescent="0.25" outlineLevel="1" collapsed="1">
      <c r="A1250" s="744" t="s">
        <v>314</v>
      </c>
      <c r="B1250" s="745" t="s">
        <v>2334</v>
      </c>
      <c r="C1250" s="744" t="s">
        <v>61</v>
      </c>
      <c r="D1250" s="744" t="s">
        <v>2335</v>
      </c>
      <c r="E1250" s="536"/>
      <c r="F1250" s="445"/>
      <c r="G1250" s="445"/>
      <c r="H1250" s="446">
        <f t="shared" si="494"/>
        <v>0</v>
      </c>
      <c r="I1250" s="536"/>
      <c r="J1250" s="536"/>
      <c r="K1250" s="746"/>
    </row>
    <row r="1251" ht="16.15" customHeight="1" spans="1:11" s="274" customFormat="1" x14ac:dyDescent="0.25" outlineLevel="1" collapsed="1">
      <c r="A1251" s="747" t="s">
        <v>316</v>
      </c>
      <c r="B1251" s="748" t="s">
        <v>2336</v>
      </c>
      <c r="C1251" s="747" t="s">
        <v>61</v>
      </c>
      <c r="D1251" s="747" t="s">
        <v>2186</v>
      </c>
      <c r="E1251" s="662">
        <f>E840</f>
        <v>0.402289544115975</v>
      </c>
      <c r="F1251" s="662">
        <f>F840</f>
        <v>0</v>
      </c>
      <c r="G1251" s="662">
        <f>G840</f>
        <v>0</v>
      </c>
      <c r="H1251" s="662">
        <f>H840</f>
        <v>0.402289544115975</v>
      </c>
      <c r="I1251" s="662">
        <f>I840</f>
        <v>0</v>
      </c>
      <c r="J1251" s="749"/>
      <c r="K1251" s="750"/>
    </row>
    <row r="1252" ht="16.15" customHeight="1" spans="1:11" s="274" customFormat="1" x14ac:dyDescent="0.25" outlineLevel="1" collapsed="1">
      <c r="A1252" s="446" t="s">
        <v>316</v>
      </c>
      <c r="B1252" s="755" t="s">
        <v>2353</v>
      </c>
      <c r="C1252" s="446" t="s">
        <v>2339</v>
      </c>
      <c r="D1252" s="446" t="s">
        <v>1826</v>
      </c>
      <c r="E1252" s="446">
        <f t="shared" ref="E1252:F1252" si="495">(E1247*E1248)/1000</f>
        <v>0</v>
      </c>
      <c r="F1252" s="446">
        <f t="shared" si="495"/>
        <v>0</v>
      </c>
      <c r="G1252" s="446">
        <f>(G1247*G1248)/1000</f>
        <v>0</v>
      </c>
      <c r="H1252" s="446">
        <f>(H1247*H1248)/1000</f>
        <v>0</v>
      </c>
      <c r="I1252" s="446">
        <f>(I1247*I1248)/1000</f>
        <v>0</v>
      </c>
      <c r="J1252" s="658"/>
      <c r="K1252" s="750"/>
    </row>
    <row r="1253" ht="16.15" customHeight="1" spans="1:11" x14ac:dyDescent="0.25" outlineLevel="1" collapsed="1">
      <c r="A1253" s="522" t="s">
        <v>2354</v>
      </c>
      <c r="B1253" s="732" t="s">
        <v>2355</v>
      </c>
      <c r="C1253" s="733"/>
      <c r="D1253" s="734"/>
      <c r="E1253" s="735"/>
      <c r="F1253" s="735"/>
      <c r="G1253" s="735"/>
      <c r="H1253" s="736"/>
      <c r="I1253" s="735"/>
      <c r="J1253" s="536"/>
      <c r="K1253" s="739"/>
    </row>
    <row r="1254" ht="27" customHeight="1" spans="1:11" x14ac:dyDescent="0.25" outlineLevel="1" collapsed="1">
      <c r="A1254" s="740" t="s">
        <v>306</v>
      </c>
      <c r="B1254" s="741" t="s">
        <v>2329</v>
      </c>
      <c r="C1254" s="742" t="s">
        <v>2123</v>
      </c>
      <c r="D1254" s="743" t="s">
        <v>2330</v>
      </c>
      <c r="E1254" s="539"/>
      <c r="F1254" s="539"/>
      <c r="G1254" s="539"/>
      <c r="H1254" s="446">
        <f t="shared" ref="H1254:H1258" si="496">IF(K$9=1,E1254,IF(K$9=2,(E1254+F1254)/2,(E1254+F1254+G1254)/3))</f>
        <v>0</v>
      </c>
      <c r="I1254" s="539"/>
      <c r="J1254" s="540"/>
      <c r="K1254" s="739"/>
    </row>
    <row r="1255" ht="16.15" customHeight="1" spans="1:11" x14ac:dyDescent="0.25" outlineLevel="1" collapsed="1">
      <c r="A1255" s="740" t="s">
        <v>308</v>
      </c>
      <c r="B1255" s="516" t="s">
        <v>1779</v>
      </c>
      <c r="C1255" s="534" t="s">
        <v>61</v>
      </c>
      <c r="D1255" s="528" t="s">
        <v>1771</v>
      </c>
      <c r="E1255" s="539"/>
      <c r="F1255" s="539"/>
      <c r="G1255" s="539"/>
      <c r="H1255" s="446">
        <f t="shared" si="496"/>
        <v>0</v>
      </c>
      <c r="I1255" s="539"/>
      <c r="J1255" s="540"/>
      <c r="K1255" s="739"/>
    </row>
    <row r="1256" ht="16.15" customHeight="1" spans="1:11" x14ac:dyDescent="0.25" outlineLevel="1" collapsed="1">
      <c r="A1256" s="740" t="s">
        <v>310</v>
      </c>
      <c r="B1256" s="516" t="s">
        <v>2343</v>
      </c>
      <c r="C1256" s="534" t="s">
        <v>61</v>
      </c>
      <c r="D1256" s="528" t="s">
        <v>1951</v>
      </c>
      <c r="E1256" s="536"/>
      <c r="F1256" s="445"/>
      <c r="G1256" s="445"/>
      <c r="H1256" s="446">
        <f t="shared" si="496"/>
        <v>0</v>
      </c>
      <c r="I1256" s="536"/>
      <c r="J1256" s="536"/>
      <c r="K1256" s="739"/>
    </row>
    <row r="1257" ht="16.15" customHeight="1" spans="1:11" x14ac:dyDescent="0.25" outlineLevel="1" collapsed="1">
      <c r="A1257" s="744" t="s">
        <v>312</v>
      </c>
      <c r="B1257" s="745" t="s">
        <v>2333</v>
      </c>
      <c r="C1257" s="744" t="s">
        <v>61</v>
      </c>
      <c r="D1257" s="744" t="s">
        <v>1762</v>
      </c>
      <c r="E1257" s="536"/>
      <c r="F1257" s="445"/>
      <c r="G1257" s="445"/>
      <c r="H1257" s="446">
        <f t="shared" si="496"/>
        <v>0</v>
      </c>
      <c r="I1257" s="536"/>
      <c r="J1257" s="536"/>
      <c r="K1257" s="746"/>
    </row>
    <row r="1258" ht="16.15" customHeight="1" spans="1:11" x14ac:dyDescent="0.25" outlineLevel="1" collapsed="1">
      <c r="A1258" s="744" t="s">
        <v>314</v>
      </c>
      <c r="B1258" s="745" t="s">
        <v>2334</v>
      </c>
      <c r="C1258" s="744" t="s">
        <v>61</v>
      </c>
      <c r="D1258" s="744" t="s">
        <v>2335</v>
      </c>
      <c r="E1258" s="536"/>
      <c r="F1258" s="445"/>
      <c r="G1258" s="445"/>
      <c r="H1258" s="446">
        <f t="shared" si="496"/>
        <v>0</v>
      </c>
      <c r="I1258" s="536"/>
      <c r="J1258" s="536"/>
      <c r="K1258" s="746"/>
    </row>
    <row r="1259" ht="16.15" customHeight="1" spans="1:11" s="274" customFormat="1" x14ac:dyDescent="0.25" outlineLevel="1" collapsed="1">
      <c r="A1259" s="747" t="s">
        <v>316</v>
      </c>
      <c r="B1259" s="748" t="s">
        <v>2344</v>
      </c>
      <c r="C1259" s="747" t="s">
        <v>61</v>
      </c>
      <c r="D1259" s="747" t="s">
        <v>2186</v>
      </c>
      <c r="E1259" s="662">
        <f>E840</f>
        <v>0.402289544115975</v>
      </c>
      <c r="F1259" s="662">
        <f>F840</f>
        <v>0</v>
      </c>
      <c r="G1259" s="662">
        <f>G840</f>
        <v>0</v>
      </c>
      <c r="H1259" s="662">
        <f>H840</f>
        <v>0.402289544115975</v>
      </c>
      <c r="I1259" s="662">
        <f>I840</f>
        <v>0</v>
      </c>
      <c r="J1259" s="749"/>
      <c r="K1259" s="750"/>
    </row>
    <row r="1260" ht="16.15" customHeight="1" spans="1:11" s="274" customFormat="1" x14ac:dyDescent="0.25" outlineLevel="1" collapsed="1">
      <c r="A1260" s="446" t="s">
        <v>316</v>
      </c>
      <c r="B1260" s="755" t="s">
        <v>2356</v>
      </c>
      <c r="C1260" s="446" t="s">
        <v>2339</v>
      </c>
      <c r="D1260" s="446" t="s">
        <v>1826</v>
      </c>
      <c r="E1260" s="446">
        <f t="shared" ref="E1260:G1260" si="497">(E1255*E1256)/1000</f>
        <v>0</v>
      </c>
      <c r="F1260" s="446">
        <f t="shared" si="497"/>
        <v>0</v>
      </c>
      <c r="G1260" s="446">
        <f t="shared" si="497"/>
        <v>0</v>
      </c>
      <c r="H1260" s="446">
        <f>(H1255*H1256)/1000</f>
        <v>0</v>
      </c>
      <c r="I1260" s="446">
        <f>(I1255*I1256)/1000</f>
        <v>0</v>
      </c>
      <c r="J1260" s="658"/>
      <c r="K1260" s="750"/>
    </row>
    <row r="1261" ht="28.15" customHeight="1" spans="1:11" s="274" customFormat="1" x14ac:dyDescent="0.25">
      <c r="A1261" s="446" t="s">
        <v>2357</v>
      </c>
      <c r="B1261" s="755" t="s">
        <v>2358</v>
      </c>
      <c r="C1261" s="446" t="s">
        <v>2359</v>
      </c>
      <c r="D1261" s="446" t="s">
        <v>1826</v>
      </c>
      <c r="E1261" s="446">
        <f t="shared" ref="E1261:G1261" si="498">E1260+E1252</f>
        <v>0</v>
      </c>
      <c r="F1261" s="446">
        <f t="shared" si="498"/>
        <v>0</v>
      </c>
      <c r="G1261" s="446">
        <f t="shared" si="498"/>
        <v>0</v>
      </c>
      <c r="H1261" s="446">
        <f>H1260+H1252</f>
        <v>0</v>
      </c>
      <c r="I1261" s="446">
        <f>I1260+I1252</f>
        <v>0</v>
      </c>
      <c r="J1261" s="658"/>
      <c r="K1261" s="750"/>
    </row>
    <row r="1262" ht="16.15" customHeight="1" spans="1:11" s="274" customFormat="1" x14ac:dyDescent="0.25">
      <c r="A1262" s="446" t="s">
        <v>2360</v>
      </c>
      <c r="B1262" s="755" t="s">
        <v>2361</v>
      </c>
      <c r="C1262" s="446"/>
      <c r="D1262" s="446" t="s">
        <v>1493</v>
      </c>
      <c r="E1262" s="446">
        <f>E688</f>
        <v>83.81812367157337</v>
      </c>
      <c r="F1262" s="446">
        <f>F688</f>
        <v>0</v>
      </c>
      <c r="G1262" s="446">
        <f>G688</f>
        <v>0</v>
      </c>
      <c r="H1262" s="446">
        <f>H688</f>
        <v>83.81812367157337</v>
      </c>
      <c r="I1262" s="446">
        <f>I688</f>
        <v>0</v>
      </c>
      <c r="J1262" s="658"/>
      <c r="K1262" s="750"/>
    </row>
    <row r="1263" ht="36.65" customHeight="1" spans="1:11" s="274" customFormat="1" x14ac:dyDescent="0.25">
      <c r="A1263" s="446" t="s">
        <v>2362</v>
      </c>
      <c r="B1263" s="755" t="s">
        <v>2363</v>
      </c>
      <c r="C1263" s="446" t="s">
        <v>2364</v>
      </c>
      <c r="D1263" s="446" t="s">
        <v>1826</v>
      </c>
      <c r="E1263" s="446">
        <f>IFERROR(E1261*100/E1262,0)</f>
        <v>0</v>
      </c>
      <c r="F1263" s="446">
        <f>IFERROR(F1261*100/F1262,0)</f>
        <v>0</v>
      </c>
      <c r="G1263" s="446">
        <f>IFERROR(G1261*100/G1262,0)</f>
        <v>0</v>
      </c>
      <c r="H1263" s="446">
        <f>IFERROR(H1261*100/H1262,0)</f>
        <v>0</v>
      </c>
      <c r="I1263" s="446">
        <f>IFERROR(I1261*100/I1262,0)</f>
        <v>0</v>
      </c>
      <c r="J1263" s="658"/>
      <c r="K1263" s="750"/>
    </row>
    <row r="1264" ht="28.15" customHeight="1" spans="1:11" s="274" customFormat="1" x14ac:dyDescent="0.25">
      <c r="A1264" s="606" t="s">
        <v>2360</v>
      </c>
      <c r="B1264" s="751" t="s">
        <v>2365</v>
      </c>
      <c r="C1264" s="606"/>
      <c r="D1264" s="606" t="s">
        <v>1560</v>
      </c>
      <c r="E1264" s="606">
        <f>IFERROR((E1252*E1251*10^6+E1259*E1260*10^6)/((E1262/100)*10^6),0)</f>
        <v>0</v>
      </c>
      <c r="F1264" s="606">
        <f t="shared" ref="F1264:I1264" si="499">IFERROR((F1252*F1251*10^6+F1259*F1260*10^6)/((F1262/100)*10^6),0)</f>
        <v>0</v>
      </c>
      <c r="G1264" s="606">
        <f t="shared" si="499"/>
        <v>0</v>
      </c>
      <c r="H1264" s="606">
        <f t="shared" si="499"/>
        <v>0</v>
      </c>
      <c r="I1264" s="606">
        <f t="shared" si="499"/>
        <v>0</v>
      </c>
      <c r="J1264" s="658"/>
      <c r="K1264" s="750"/>
    </row>
    <row r="1265" ht="20.25" customHeight="1" spans="1:11" s="274" customFormat="1" x14ac:dyDescent="0.25">
      <c r="A1265" s="446" t="s">
        <v>2366</v>
      </c>
      <c r="B1265" s="755" t="s">
        <v>2367</v>
      </c>
      <c r="C1265" s="446" t="s">
        <v>2368</v>
      </c>
      <c r="D1265" s="446" t="s">
        <v>1826</v>
      </c>
      <c r="E1265" s="446">
        <f t="shared" ref="E1265:E1266" si="500">E1242-E1263</f>
        <v>5167.700706800002</v>
      </c>
      <c r="F1265" s="446">
        <f t="shared" ref="F1265:I1265" si="501">F1242-F1263</f>
        <v>0</v>
      </c>
      <c r="G1265" s="446">
        <f t="shared" si="501"/>
        <v>0</v>
      </c>
      <c r="H1265" s="446">
        <f t="shared" si="501"/>
        <v>5167.700706800002</v>
      </c>
      <c r="I1265" s="446">
        <f t="shared" si="501"/>
        <v>0</v>
      </c>
      <c r="J1265" s="658"/>
      <c r="K1265" s="750"/>
    </row>
    <row r="1266" ht="21.75" customHeight="1" spans="1:11" s="274" customFormat="1" x14ac:dyDescent="0.25">
      <c r="A1266" s="765" t="s">
        <v>2369</v>
      </c>
      <c r="B1266" s="751" t="s">
        <v>2370</v>
      </c>
      <c r="C1266" s="606"/>
      <c r="D1266" s="606" t="s">
        <v>1560</v>
      </c>
      <c r="E1266" s="606">
        <f t="shared" si="500"/>
        <v>2078.9119614663746</v>
      </c>
      <c r="F1266" s="606">
        <f t="shared" ref="F1266:I1266" si="502">F1243-F1264</f>
        <v>0</v>
      </c>
      <c r="G1266" s="606">
        <f t="shared" si="502"/>
        <v>0</v>
      </c>
      <c r="H1266" s="606">
        <f t="shared" si="502"/>
        <v>2078.9119614663746</v>
      </c>
      <c r="I1266" s="606">
        <f t="shared" si="502"/>
        <v>0</v>
      </c>
      <c r="J1266" s="658"/>
      <c r="K1266" s="750"/>
    </row>
    <row r="1267" ht="16.15" customHeight="1" spans="1:11" s="274" customFormat="1" x14ac:dyDescent="0.25">
      <c r="A1267" s="765" t="s">
        <v>2371</v>
      </c>
      <c r="B1267" s="751" t="s">
        <v>2372</v>
      </c>
      <c r="C1267" s="606"/>
      <c r="D1267" s="606" t="s">
        <v>1560</v>
      </c>
      <c r="E1267" s="606">
        <f>E1243</f>
        <v>2078.9119614663746</v>
      </c>
      <c r="F1267" s="606">
        <f t="shared" ref="F1267:I1267" si="503">F1243</f>
        <v>0</v>
      </c>
      <c r="G1267" s="606">
        <f t="shared" si="503"/>
        <v>0</v>
      </c>
      <c r="H1267" s="606">
        <f t="shared" si="503"/>
        <v>2078.9119614663746</v>
      </c>
      <c r="I1267" s="606">
        <f t="shared" si="503"/>
        <v>0</v>
      </c>
      <c r="J1267" s="658"/>
      <c r="K1267" s="495"/>
    </row>
    <row r="1268" spans="1:11" x14ac:dyDescent="0.25" outlineLevel="1" collapsed="1">
      <c r="A1268" s="522" t="s">
        <v>989</v>
      </c>
      <c r="B1268" s="732" t="s">
        <v>2373</v>
      </c>
      <c r="C1268" s="733"/>
      <c r="D1268" s="734"/>
      <c r="E1268" s="735"/>
      <c r="F1268" s="735"/>
      <c r="G1268" s="735"/>
      <c r="H1268" s="736"/>
      <c r="I1268" s="735"/>
      <c r="J1268" s="536"/>
      <c r="K1268" s="739"/>
    </row>
    <row r="1269" spans="1:11" x14ac:dyDescent="0.25" outlineLevel="1" collapsed="1">
      <c r="A1269" s="522" t="s">
        <v>2374</v>
      </c>
      <c r="B1269" s="732" t="s">
        <v>2375</v>
      </c>
      <c r="C1269" s="733"/>
      <c r="D1269" s="734"/>
      <c r="E1269" s="735"/>
      <c r="F1269" s="735"/>
      <c r="G1269" s="735"/>
      <c r="H1269" s="736"/>
      <c r="I1269" s="735"/>
      <c r="J1269" s="536"/>
      <c r="K1269" s="739"/>
    </row>
    <row r="1270" ht="28.9" customHeight="1" spans="1:11" x14ac:dyDescent="0.25" outlineLevel="1" collapsed="1">
      <c r="A1270" s="766" t="s">
        <v>306</v>
      </c>
      <c r="B1270" s="767" t="s">
        <v>2376</v>
      </c>
      <c r="C1270" s="768" t="s">
        <v>2123</v>
      </c>
      <c r="D1270" s="769" t="s">
        <v>2124</v>
      </c>
      <c r="E1270" s="455"/>
      <c r="F1270" s="445"/>
      <c r="G1270" s="445"/>
      <c r="H1270" s="446">
        <f t="shared" ref="H1270:H1274" si="504">IF(K$9=1,E1270,IF(K$9=2,(E1270+F1270)/2,(E1270+F1270+G1270)/3))</f>
        <v>0</v>
      </c>
      <c r="I1270" s="455"/>
      <c r="J1270" s="455"/>
      <c r="K1270" s="495"/>
    </row>
    <row r="1271" ht="16.15" customHeight="1" spans="1:11" x14ac:dyDescent="0.25" outlineLevel="1" collapsed="1">
      <c r="A1271" s="766" t="s">
        <v>308</v>
      </c>
      <c r="B1271" s="770" t="s">
        <v>2377</v>
      </c>
      <c r="C1271" s="771" t="s">
        <v>61</v>
      </c>
      <c r="D1271" s="772" t="s">
        <v>1771</v>
      </c>
      <c r="E1271" s="455"/>
      <c r="F1271" s="445"/>
      <c r="G1271" s="445"/>
      <c r="H1271" s="446">
        <f t="shared" si="504"/>
        <v>0</v>
      </c>
      <c r="I1271" s="455"/>
      <c r="J1271" s="455"/>
      <c r="K1271" s="495"/>
    </row>
    <row r="1272" ht="16.15" customHeight="1" spans="1:11" x14ac:dyDescent="0.25" outlineLevel="1" collapsed="1">
      <c r="A1272" s="766" t="s">
        <v>310</v>
      </c>
      <c r="B1272" s="770" t="s">
        <v>2378</v>
      </c>
      <c r="C1272" s="771" t="s">
        <v>61</v>
      </c>
      <c r="D1272" s="772" t="s">
        <v>1456</v>
      </c>
      <c r="E1272" s="455"/>
      <c r="F1272" s="445"/>
      <c r="G1272" s="445"/>
      <c r="H1272" s="446">
        <f t="shared" si="504"/>
        <v>0</v>
      </c>
      <c r="I1272" s="455"/>
      <c r="J1272" s="455"/>
      <c r="K1272" s="495"/>
    </row>
    <row r="1273" ht="16.15" customHeight="1" spans="1:11" x14ac:dyDescent="0.25" outlineLevel="1" collapsed="1">
      <c r="A1273" s="773" t="s">
        <v>312</v>
      </c>
      <c r="B1273" s="774" t="s">
        <v>2379</v>
      </c>
      <c r="C1273" s="773" t="s">
        <v>61</v>
      </c>
      <c r="D1273" s="773" t="s">
        <v>1762</v>
      </c>
      <c r="E1273" s="455"/>
      <c r="F1273" s="445"/>
      <c r="G1273" s="445"/>
      <c r="H1273" s="446">
        <f t="shared" si="504"/>
        <v>0</v>
      </c>
      <c r="I1273" s="455"/>
      <c r="J1273" s="455"/>
      <c r="K1273" s="495"/>
    </row>
    <row r="1274" ht="16.15" customHeight="1" spans="1:11" x14ac:dyDescent="0.25" outlineLevel="1" collapsed="1">
      <c r="A1274" s="773" t="s">
        <v>314</v>
      </c>
      <c r="B1274" s="774" t="s">
        <v>2334</v>
      </c>
      <c r="C1274" s="773" t="s">
        <v>61</v>
      </c>
      <c r="D1274" s="773" t="s">
        <v>2335</v>
      </c>
      <c r="E1274" s="455"/>
      <c r="F1274" s="445"/>
      <c r="G1274" s="445"/>
      <c r="H1274" s="446">
        <f t="shared" si="504"/>
        <v>0</v>
      </c>
      <c r="I1274" s="455"/>
      <c r="J1274" s="455"/>
      <c r="K1274" s="495"/>
    </row>
    <row r="1275" ht="16.15" customHeight="1" spans="1:11" x14ac:dyDescent="0.25" outlineLevel="1" collapsed="1">
      <c r="A1275" s="713" t="s">
        <v>316</v>
      </c>
      <c r="B1275" s="714" t="s">
        <v>2380</v>
      </c>
      <c r="C1275" s="713" t="s">
        <v>2339</v>
      </c>
      <c r="D1275" s="713" t="s">
        <v>1826</v>
      </c>
      <c r="E1275" s="606">
        <f>(E1271*E1272)/1000</f>
        <v>0</v>
      </c>
      <c r="F1275" s="606">
        <f t="shared" ref="F1275:I1275" si="505">(F1271*F1272)/1000</f>
        <v>0</v>
      </c>
      <c r="G1275" s="606">
        <f t="shared" si="505"/>
        <v>0</v>
      </c>
      <c r="H1275" s="606">
        <f t="shared" si="505"/>
        <v>0</v>
      </c>
      <c r="I1275" s="606">
        <f t="shared" si="505"/>
        <v>0</v>
      </c>
      <c r="J1275" s="455"/>
      <c r="K1275" s="495"/>
    </row>
    <row r="1276" ht="16.15" customHeight="1" spans="1:11" x14ac:dyDescent="0.25" outlineLevel="1" collapsed="1">
      <c r="A1276" s="715" t="s">
        <v>318</v>
      </c>
      <c r="B1276" s="714" t="s">
        <v>2381</v>
      </c>
      <c r="C1276" s="713" t="s">
        <v>726</v>
      </c>
      <c r="D1276" s="713" t="s">
        <v>2186</v>
      </c>
      <c r="E1276" s="662">
        <f>E840</f>
        <v>0.402289544115975</v>
      </c>
      <c r="F1276" s="662">
        <f t="shared" ref="F1276:I1276" si="506">F840</f>
        <v>0</v>
      </c>
      <c r="G1276" s="662">
        <f t="shared" si="506"/>
        <v>0</v>
      </c>
      <c r="H1276" s="662">
        <f t="shared" si="506"/>
        <v>0.402289544115975</v>
      </c>
      <c r="I1276" s="662">
        <f t="shared" si="506"/>
        <v>0</v>
      </c>
      <c r="J1276" s="455"/>
      <c r="K1276" s="495"/>
    </row>
    <row r="1277" ht="16.15" customHeight="1" spans="1:11" x14ac:dyDescent="0.25" outlineLevel="1" collapsed="1">
      <c r="A1277" s="715" t="s">
        <v>478</v>
      </c>
      <c r="B1277" s="714" t="s">
        <v>2382</v>
      </c>
      <c r="C1277" s="713" t="s">
        <v>2383</v>
      </c>
      <c r="D1277" s="713" t="s">
        <v>2147</v>
      </c>
      <c r="E1277" s="606">
        <f>E1276*E1275</f>
        <v>0</v>
      </c>
      <c r="F1277" s="606">
        <f t="shared" ref="F1277:I1277" si="507">F1276*F1275</f>
        <v>0</v>
      </c>
      <c r="G1277" s="606">
        <f t="shared" si="507"/>
        <v>0</v>
      </c>
      <c r="H1277" s="606">
        <f t="shared" si="507"/>
        <v>0</v>
      </c>
      <c r="I1277" s="606">
        <f t="shared" si="507"/>
        <v>0</v>
      </c>
      <c r="J1277" s="775"/>
      <c r="K1277" s="495"/>
    </row>
    <row r="1278" ht="16.15" customHeight="1" spans="1:11" x14ac:dyDescent="0.25" outlineLevel="1" collapsed="1">
      <c r="A1278" s="776"/>
      <c r="B1278" s="777"/>
      <c r="C1278" s="776"/>
      <c r="D1278" s="776"/>
      <c r="E1278" s="296"/>
      <c r="F1278" s="296"/>
      <c r="G1278" s="296"/>
      <c r="H1278" s="446">
        <f t="shared" ref="H1278:H1284" si="508">IF(K$9=1,E1278,IF(K$9=2,(E1278+F1278)/2,(E1278+F1278+G1278)/3))</f>
        <v>0</v>
      </c>
      <c r="I1278" s="296"/>
      <c r="J1278" s="455"/>
      <c r="K1278" s="495"/>
    </row>
    <row r="1279" spans="1:11" x14ac:dyDescent="0.25" outlineLevel="1" collapsed="1">
      <c r="A1279" s="522" t="s">
        <v>2384</v>
      </c>
      <c r="B1279" s="732" t="s">
        <v>2385</v>
      </c>
      <c r="C1279" s="733"/>
      <c r="D1279" s="734"/>
      <c r="E1279" s="735"/>
      <c r="F1279" s="735"/>
      <c r="G1279" s="735"/>
      <c r="H1279" s="736">
        <f t="shared" si="508"/>
        <v>0</v>
      </c>
      <c r="I1279" s="735"/>
      <c r="J1279" s="536"/>
      <c r="K1279" s="739"/>
    </row>
    <row r="1280" ht="24" customHeight="1" spans="1:11" x14ac:dyDescent="0.25" outlineLevel="1" collapsed="1">
      <c r="A1280" s="766" t="s">
        <v>306</v>
      </c>
      <c r="B1280" s="767" t="s">
        <v>2386</v>
      </c>
      <c r="C1280" s="768" t="s">
        <v>2123</v>
      </c>
      <c r="D1280" s="769" t="s">
        <v>2124</v>
      </c>
      <c r="E1280" s="455"/>
      <c r="F1280" s="445"/>
      <c r="G1280" s="445"/>
      <c r="H1280" s="446">
        <f t="shared" si="508"/>
        <v>0</v>
      </c>
      <c r="I1280" s="455"/>
      <c r="J1280" s="455"/>
      <c r="K1280" s="495"/>
    </row>
    <row r="1281" ht="16.15" customHeight="1" spans="1:11" x14ac:dyDescent="0.25" outlineLevel="1" collapsed="1">
      <c r="A1281" s="766" t="s">
        <v>308</v>
      </c>
      <c r="B1281" s="770" t="s">
        <v>2377</v>
      </c>
      <c r="C1281" s="771" t="s">
        <v>61</v>
      </c>
      <c r="D1281" s="772" t="s">
        <v>1771</v>
      </c>
      <c r="E1281" s="455"/>
      <c r="F1281" s="445"/>
      <c r="G1281" s="445"/>
      <c r="H1281" s="446">
        <f t="shared" si="508"/>
        <v>0</v>
      </c>
      <c r="I1281" s="455"/>
      <c r="J1281" s="455"/>
      <c r="K1281" s="495"/>
    </row>
    <row r="1282" ht="16.15" customHeight="1" spans="1:11" x14ac:dyDescent="0.25" outlineLevel="1" collapsed="1">
      <c r="A1282" s="766" t="s">
        <v>310</v>
      </c>
      <c r="B1282" s="770" t="s">
        <v>2387</v>
      </c>
      <c r="C1282" s="771" t="s">
        <v>61</v>
      </c>
      <c r="D1282" s="772" t="s">
        <v>1456</v>
      </c>
      <c r="E1282" s="455"/>
      <c r="F1282" s="445"/>
      <c r="G1282" s="445"/>
      <c r="H1282" s="446">
        <f t="shared" si="508"/>
        <v>0</v>
      </c>
      <c r="I1282" s="455"/>
      <c r="J1282" s="455"/>
      <c r="K1282" s="495"/>
    </row>
    <row r="1283" ht="16.15" customHeight="1" spans="1:11" x14ac:dyDescent="0.25" outlineLevel="1" collapsed="1">
      <c r="A1283" s="773" t="s">
        <v>312</v>
      </c>
      <c r="B1283" s="774" t="s">
        <v>2379</v>
      </c>
      <c r="C1283" s="773" t="s">
        <v>61</v>
      </c>
      <c r="D1283" s="773" t="s">
        <v>1762</v>
      </c>
      <c r="E1283" s="455"/>
      <c r="F1283" s="445"/>
      <c r="G1283" s="445"/>
      <c r="H1283" s="446">
        <f t="shared" si="508"/>
        <v>0</v>
      </c>
      <c r="I1283" s="455"/>
      <c r="J1283" s="455"/>
      <c r="K1283" s="495"/>
    </row>
    <row r="1284" ht="16.15" customHeight="1" spans="1:11" x14ac:dyDescent="0.25" outlineLevel="1" collapsed="1">
      <c r="A1284" s="773" t="s">
        <v>314</v>
      </c>
      <c r="B1284" s="774" t="s">
        <v>2334</v>
      </c>
      <c r="C1284" s="773" t="s">
        <v>61</v>
      </c>
      <c r="D1284" s="773" t="s">
        <v>2335</v>
      </c>
      <c r="E1284" s="455"/>
      <c r="F1284" s="445"/>
      <c r="G1284" s="445"/>
      <c r="H1284" s="446">
        <f t="shared" si="508"/>
        <v>0</v>
      </c>
      <c r="I1284" s="455"/>
      <c r="J1284" s="455"/>
      <c r="K1284" s="495"/>
    </row>
    <row r="1285" ht="16.15" customHeight="1" spans="1:11" x14ac:dyDescent="0.25" outlineLevel="1" collapsed="1">
      <c r="A1285" s="713" t="s">
        <v>316</v>
      </c>
      <c r="B1285" s="714" t="s">
        <v>2388</v>
      </c>
      <c r="C1285" s="713" t="s">
        <v>2339</v>
      </c>
      <c r="D1285" s="713" t="s">
        <v>1826</v>
      </c>
      <c r="E1285" s="606">
        <f>(E1281*E1282)/1000</f>
        <v>0</v>
      </c>
      <c r="F1285" s="606">
        <f t="shared" ref="F1285:I1285" si="509">(F1281*F1282)/1000</f>
        <v>0</v>
      </c>
      <c r="G1285" s="606">
        <f t="shared" si="509"/>
        <v>0</v>
      </c>
      <c r="H1285" s="606">
        <f t="shared" si="509"/>
        <v>0</v>
      </c>
      <c r="I1285" s="606">
        <f t="shared" si="509"/>
        <v>0</v>
      </c>
      <c r="J1285" s="455"/>
      <c r="K1285" s="495"/>
    </row>
    <row r="1286" ht="16.15" customHeight="1" spans="1:11" x14ac:dyDescent="0.25" outlineLevel="1" collapsed="1">
      <c r="A1286" s="713" t="s">
        <v>318</v>
      </c>
      <c r="B1286" s="778" t="s">
        <v>2389</v>
      </c>
      <c r="C1286" s="713"/>
      <c r="D1286" s="713" t="s">
        <v>2186</v>
      </c>
      <c r="E1286" s="606">
        <f>E840</f>
        <v>0.402289544115975</v>
      </c>
      <c r="F1286" s="606">
        <f t="shared" ref="F1286:I1286" si="510">F840</f>
        <v>0</v>
      </c>
      <c r="G1286" s="606">
        <f t="shared" si="510"/>
        <v>0</v>
      </c>
      <c r="H1286" s="606">
        <f t="shared" si="510"/>
        <v>0.402289544115975</v>
      </c>
      <c r="I1286" s="606">
        <f t="shared" si="510"/>
        <v>0</v>
      </c>
      <c r="J1286" s="455"/>
      <c r="K1286" s="495"/>
    </row>
    <row r="1287" ht="16.15" customHeight="1" spans="1:11" x14ac:dyDescent="0.25" outlineLevel="1" collapsed="1">
      <c r="A1287" s="713" t="s">
        <v>478</v>
      </c>
      <c r="B1287" s="778" t="s">
        <v>2390</v>
      </c>
      <c r="C1287" s="713"/>
      <c r="D1287" s="713" t="s">
        <v>2147</v>
      </c>
      <c r="E1287" s="606">
        <f>E1286*E1285</f>
        <v>0</v>
      </c>
      <c r="F1287" s="606">
        <f t="shared" ref="F1287:I1287" si="511">F1286*F1285</f>
        <v>0</v>
      </c>
      <c r="G1287" s="606">
        <f t="shared" si="511"/>
        <v>0</v>
      </c>
      <c r="H1287" s="606">
        <f t="shared" si="511"/>
        <v>0</v>
      </c>
      <c r="I1287" s="606">
        <f t="shared" si="511"/>
        <v>0</v>
      </c>
      <c r="J1287" s="455"/>
      <c r="K1287" s="495"/>
    </row>
    <row r="1288" ht="16.15" customHeight="1" spans="1:11" x14ac:dyDescent="0.25" outlineLevel="1" collapsed="1">
      <c r="A1288" s="713" t="s">
        <v>481</v>
      </c>
      <c r="B1288" s="778" t="s">
        <v>2391</v>
      </c>
      <c r="C1288" s="713"/>
      <c r="D1288" s="713" t="s">
        <v>1826</v>
      </c>
      <c r="E1288" s="606">
        <f>E1275-E1285</f>
        <v>0</v>
      </c>
      <c r="F1288" s="606">
        <f t="shared" ref="F1288:I1288" si="512">F1275-F1285</f>
        <v>0</v>
      </c>
      <c r="G1288" s="606">
        <f t="shared" si="512"/>
        <v>0</v>
      </c>
      <c r="H1288" s="606">
        <f t="shared" si="512"/>
        <v>0</v>
      </c>
      <c r="I1288" s="606">
        <f t="shared" si="512"/>
        <v>0</v>
      </c>
      <c r="J1288" s="455"/>
      <c r="K1288" s="495"/>
    </row>
    <row r="1289" ht="16.15" customHeight="1" spans="1:11" x14ac:dyDescent="0.25" outlineLevel="1" collapsed="1">
      <c r="A1289" s="713" t="s">
        <v>483</v>
      </c>
      <c r="B1289" s="779" t="s">
        <v>2392</v>
      </c>
      <c r="C1289" s="713"/>
      <c r="D1289" s="780" t="s">
        <v>2147</v>
      </c>
      <c r="E1289" s="606">
        <f>E1277-E1287</f>
        <v>0</v>
      </c>
      <c r="F1289" s="606">
        <f t="shared" ref="F1289:I1289" si="513">F1277-F1287</f>
        <v>0</v>
      </c>
      <c r="G1289" s="606">
        <f t="shared" si="513"/>
        <v>0</v>
      </c>
      <c r="H1289" s="606">
        <f t="shared" si="513"/>
        <v>0</v>
      </c>
      <c r="I1289" s="606">
        <f t="shared" si="513"/>
        <v>0</v>
      </c>
      <c r="J1289" s="455"/>
      <c r="K1289" s="495"/>
    </row>
    <row r="1290" ht="16.15" customHeight="1" spans="1:11" x14ac:dyDescent="0.25">
      <c r="A1290" s="781"/>
      <c r="B1290" s="753"/>
      <c r="C1290" s="296"/>
      <c r="D1290" s="296"/>
      <c r="E1290" s="296"/>
      <c r="F1290" s="296"/>
      <c r="G1290" s="296"/>
      <c r="H1290" s="650"/>
      <c r="I1290" s="296"/>
      <c r="J1290" s="455"/>
      <c r="K1290" s="495"/>
    </row>
    <row r="1291" spans="1:11" x14ac:dyDescent="0.25" outlineLevel="1" collapsed="1">
      <c r="A1291" s="522" t="s">
        <v>991</v>
      </c>
      <c r="B1291" s="732" t="s">
        <v>2393</v>
      </c>
      <c r="C1291" s="733"/>
      <c r="D1291" s="734"/>
      <c r="E1291" s="735"/>
      <c r="F1291" s="735"/>
      <c r="G1291" s="735"/>
      <c r="H1291" s="736"/>
      <c r="I1291" s="735"/>
      <c r="J1291" s="536"/>
      <c r="K1291" s="739"/>
    </row>
    <row r="1292" ht="29" customHeight="1" spans="1:11" x14ac:dyDescent="0.25">
      <c r="A1292" s="776" t="s">
        <v>58</v>
      </c>
      <c r="B1292" s="767" t="s">
        <v>2394</v>
      </c>
      <c r="C1292" s="768" t="s">
        <v>2123</v>
      </c>
      <c r="D1292" s="769" t="s">
        <v>2124</v>
      </c>
      <c r="E1292" s="455"/>
      <c r="F1292" s="455"/>
      <c r="G1292" s="455"/>
      <c r="H1292" s="446">
        <f t="shared" ref="H1292:H1297" si="514">IF(K$9=1,E1292,IF(K$9=2,(E1292+F1292)/2,(E1292+F1292+G1292)/3))</f>
        <v>0</v>
      </c>
      <c r="I1292" s="455"/>
      <c r="J1292" s="455"/>
      <c r="K1292" s="495"/>
    </row>
    <row r="1293" ht="16.15" customHeight="1" spans="1:11" x14ac:dyDescent="0.25">
      <c r="A1293" s="766" t="s">
        <v>64</v>
      </c>
      <c r="B1293" s="782" t="s">
        <v>2125</v>
      </c>
      <c r="C1293" s="771" t="s">
        <v>61</v>
      </c>
      <c r="D1293" s="772" t="s">
        <v>2126</v>
      </c>
      <c r="E1293" s="538"/>
      <c r="F1293" s="538"/>
      <c r="G1293" s="538"/>
      <c r="H1293" s="446">
        <f t="shared" si="514"/>
        <v>0</v>
      </c>
      <c r="I1293" s="538"/>
      <c r="J1293" s="455"/>
      <c r="K1293" s="495"/>
    </row>
    <row r="1294" ht="16.15" customHeight="1" spans="1:11" x14ac:dyDescent="0.25">
      <c r="A1294" s="783" t="s">
        <v>68</v>
      </c>
      <c r="B1294" s="784" t="s">
        <v>2395</v>
      </c>
      <c r="C1294" s="785" t="s">
        <v>61</v>
      </c>
      <c r="D1294" s="655" t="s">
        <v>2126</v>
      </c>
      <c r="E1294" s="786"/>
      <c r="F1294" s="786"/>
      <c r="G1294" s="786"/>
      <c r="H1294" s="446">
        <f t="shared" si="514"/>
        <v>0</v>
      </c>
      <c r="I1294" s="786"/>
      <c r="J1294" s="455"/>
      <c r="K1294" s="495"/>
    </row>
    <row r="1295" ht="16.15" customHeight="1" spans="1:11" x14ac:dyDescent="0.25">
      <c r="A1295" s="766" t="s">
        <v>74</v>
      </c>
      <c r="B1295" s="782" t="s">
        <v>2396</v>
      </c>
      <c r="C1295" s="771" t="s">
        <v>61</v>
      </c>
      <c r="D1295" s="772" t="s">
        <v>1456</v>
      </c>
      <c r="E1295" s="535"/>
      <c r="F1295" s="535"/>
      <c r="G1295" s="535"/>
      <c r="H1295" s="446">
        <f t="shared" si="514"/>
        <v>0</v>
      </c>
      <c r="I1295" s="535"/>
      <c r="J1295" s="455"/>
      <c r="K1295" s="495"/>
    </row>
    <row r="1296" ht="16.15" customHeight="1" spans="1:11" x14ac:dyDescent="0.25">
      <c r="A1296" s="766" t="s">
        <v>80</v>
      </c>
      <c r="B1296" s="782" t="s">
        <v>2397</v>
      </c>
      <c r="C1296" s="771" t="s">
        <v>61</v>
      </c>
      <c r="D1296" s="772" t="s">
        <v>1493</v>
      </c>
      <c r="E1296" s="538"/>
      <c r="F1296" s="538"/>
      <c r="G1296" s="538"/>
      <c r="H1296" s="446">
        <f t="shared" si="514"/>
        <v>0</v>
      </c>
      <c r="I1296" s="538"/>
      <c r="J1296" s="455"/>
      <c r="K1296" s="495"/>
    </row>
    <row r="1297" ht="16.15" customHeight="1" spans="1:11" x14ac:dyDescent="0.25">
      <c r="A1297" s="787" t="s">
        <v>82</v>
      </c>
      <c r="B1297" s="788" t="s">
        <v>2129</v>
      </c>
      <c r="C1297" s="789" t="s">
        <v>61</v>
      </c>
      <c r="D1297" s="790" t="s">
        <v>1493</v>
      </c>
      <c r="E1297" s="791"/>
      <c r="F1297" s="792"/>
      <c r="G1297" s="792"/>
      <c r="H1297" s="606">
        <f t="shared" si="514"/>
        <v>0</v>
      </c>
      <c r="I1297" s="792"/>
      <c r="J1297" s="455"/>
      <c r="K1297" s="495"/>
    </row>
    <row r="1298" ht="16.15" customHeight="1" spans="1:11" x14ac:dyDescent="0.25">
      <c r="A1298" s="793" t="s">
        <v>121</v>
      </c>
      <c r="B1298" s="794" t="s">
        <v>2228</v>
      </c>
      <c r="C1298" s="795" t="s">
        <v>61</v>
      </c>
      <c r="D1298" s="659" t="s">
        <v>2136</v>
      </c>
      <c r="E1298" s="606">
        <f>IFERROR((1*1000*(E1297/100)*3.664/E1294),0)</f>
        <v>0</v>
      </c>
      <c r="F1298" s="606">
        <f>IFERROR((1*1000*(F1297/100)*3.664/F1294),0)</f>
        <v>0</v>
      </c>
      <c r="G1298" s="606">
        <f>IFERROR((1*1000*(G1297/100)*3.664/G1294),0)</f>
        <v>0</v>
      </c>
      <c r="H1298" s="606">
        <f>IFERROR((1*1000*(H1297/100)*3.664/H1294),0)</f>
        <v>0</v>
      </c>
      <c r="I1298" s="606">
        <f>IFERROR((1*1000*(I1297/100)*3.664/I1294),0)</f>
        <v>0</v>
      </c>
      <c r="J1298" s="455"/>
      <c r="K1298" s="495"/>
    </row>
    <row r="1299" ht="16.15" customHeight="1" spans="1:11" x14ac:dyDescent="0.25">
      <c r="A1299" s="796" t="s">
        <v>144</v>
      </c>
      <c r="B1299" s="797" t="s">
        <v>2398</v>
      </c>
      <c r="C1299" s="795" t="s">
        <v>61</v>
      </c>
      <c r="D1299" s="798" t="s">
        <v>1472</v>
      </c>
      <c r="E1299" s="606">
        <f>E1294*E1295/1000</f>
        <v>0</v>
      </c>
      <c r="F1299" s="606">
        <f t="shared" ref="F1299:I1299" si="515">F1294*F1295/1000</f>
        <v>0</v>
      </c>
      <c r="G1299" s="606">
        <f t="shared" si="515"/>
        <v>0</v>
      </c>
      <c r="H1299" s="606">
        <f t="shared" si="515"/>
        <v>0</v>
      </c>
      <c r="I1299" s="606">
        <f t="shared" si="515"/>
        <v>0</v>
      </c>
      <c r="J1299" s="455"/>
      <c r="K1299" s="495"/>
    </row>
    <row r="1300" ht="16.15" customHeight="1" spans="1:11" x14ac:dyDescent="0.25">
      <c r="A1300" s="796" t="s">
        <v>146</v>
      </c>
      <c r="B1300" s="797" t="s">
        <v>2399</v>
      </c>
      <c r="C1300" s="795" t="s">
        <v>61</v>
      </c>
      <c r="D1300" s="713" t="s">
        <v>2147</v>
      </c>
      <c r="E1300" s="606">
        <f>E1299*E1298</f>
        <v>0</v>
      </c>
      <c r="F1300" s="606">
        <f t="shared" ref="F1300:I1300" si="516">F1299*F1298</f>
        <v>0</v>
      </c>
      <c r="G1300" s="606">
        <f t="shared" si="516"/>
        <v>0</v>
      </c>
      <c r="H1300" s="606">
        <f t="shared" si="516"/>
        <v>0</v>
      </c>
      <c r="I1300" s="606">
        <f t="shared" si="516"/>
        <v>0</v>
      </c>
      <c r="J1300" s="455"/>
      <c r="K1300" s="495"/>
    </row>
    <row r="1301" ht="16.15" customHeight="1" spans="1:11" x14ac:dyDescent="0.25">
      <c r="A1301" s="799"/>
      <c r="B1301" s="800"/>
      <c r="C1301" s="801"/>
      <c r="D1301" s="802"/>
      <c r="E1301" s="296"/>
      <c r="F1301" s="296"/>
      <c r="G1301" s="296"/>
      <c r="H1301" s="650"/>
      <c r="I1301" s="296"/>
      <c r="J1301" s="455"/>
      <c r="K1301" s="495"/>
    </row>
    <row r="1302" ht="16.15" customHeight="1" spans="1:11" x14ac:dyDescent="0.25">
      <c r="A1302" s="781"/>
      <c r="B1302" s="753"/>
      <c r="C1302" s="296"/>
      <c r="D1302" s="296"/>
      <c r="E1302" s="296"/>
      <c r="F1302" s="296"/>
      <c r="G1302" s="296"/>
      <c r="H1302" s="650"/>
      <c r="I1302" s="296"/>
      <c r="J1302" s="455"/>
      <c r="K1302" s="495"/>
    </row>
    <row r="1303" spans="1:11" x14ac:dyDescent="0.25">
      <c r="A1303" s="437" t="s">
        <v>993</v>
      </c>
      <c r="B1303" s="438" t="s">
        <v>994</v>
      </c>
      <c r="C1303" s="439"/>
      <c r="D1303" s="440"/>
      <c r="E1303" s="440"/>
      <c r="F1303" s="440"/>
      <c r="G1303" s="440"/>
      <c r="H1303" s="441"/>
      <c r="I1303" s="440"/>
      <c r="J1303" s="442"/>
      <c r="K1303" s="442"/>
    </row>
    <row r="1304" ht="28" customHeight="1" spans="1:11" s="274" customFormat="1" x14ac:dyDescent="0.25">
      <c r="A1304" s="643" t="s">
        <v>2400</v>
      </c>
      <c r="B1304" s="644" t="s">
        <v>2401</v>
      </c>
      <c r="C1304" s="643" t="s">
        <v>2402</v>
      </c>
      <c r="D1304" s="643" t="s">
        <v>1826</v>
      </c>
      <c r="E1304" s="446">
        <f>E1012+E1013+E1171+E1172+E1173+E1217-E1299</f>
        <v>18425734.54244383</v>
      </c>
      <c r="F1304" s="446">
        <f t="shared" ref="F1304:I1304" si="517">F1012+F1013+F1171+F1172+F1173+F1217-F1299</f>
        <v>0</v>
      </c>
      <c r="G1304" s="446">
        <f t="shared" si="517"/>
        <v>0</v>
      </c>
      <c r="H1304" s="446">
        <f t="shared" si="517"/>
        <v>18425734.54244383</v>
      </c>
      <c r="I1304" s="446">
        <f t="shared" si="517"/>
        <v>0</v>
      </c>
      <c r="J1304" s="518"/>
      <c r="K1304" s="646"/>
    </row>
    <row r="1305" spans="1:11" s="274" customFormat="1" x14ac:dyDescent="0.25">
      <c r="A1305" s="643" t="s">
        <v>2403</v>
      </c>
      <c r="B1305" s="644" t="s">
        <v>2404</v>
      </c>
      <c r="C1305" s="643" t="s">
        <v>2405</v>
      </c>
      <c r="D1305" s="643" t="s">
        <v>1826</v>
      </c>
      <c r="E1305" s="446">
        <f>E1174+E1014+E1218+E1288+E1265</f>
        <v>2159033.2059057425</v>
      </c>
      <c r="F1305" s="446">
        <f t="shared" ref="F1305:I1305" si="518">F1174+F1014+F1218+F1288+F1265</f>
        <v>0</v>
      </c>
      <c r="G1305" s="446">
        <f t="shared" si="518"/>
        <v>0</v>
      </c>
      <c r="H1305" s="446">
        <f t="shared" si="518"/>
        <v>2159033.2059057425</v>
      </c>
      <c r="I1305" s="446">
        <f t="shared" si="518"/>
        <v>0</v>
      </c>
      <c r="J1305" s="518"/>
      <c r="K1305" s="646"/>
    </row>
    <row r="1306" spans="1:11" s="274" customFormat="1" x14ac:dyDescent="0.25">
      <c r="A1306" s="643" t="s">
        <v>2406</v>
      </c>
      <c r="B1306" s="644" t="s">
        <v>2407</v>
      </c>
      <c r="C1306" s="643" t="s">
        <v>2408</v>
      </c>
      <c r="D1306" s="643" t="s">
        <v>1826</v>
      </c>
      <c r="E1306" s="446">
        <f>E1304+E1305</f>
        <v>20584767.748349573</v>
      </c>
      <c r="F1306" s="446">
        <f t="shared" ref="F1306:I1306" si="519">F1304+F1305</f>
        <v>0</v>
      </c>
      <c r="G1306" s="446">
        <f t="shared" si="519"/>
        <v>0</v>
      </c>
      <c r="H1306" s="446">
        <f t="shared" si="519"/>
        <v>20584767.748349573</v>
      </c>
      <c r="I1306" s="446">
        <f t="shared" si="519"/>
        <v>0</v>
      </c>
      <c r="J1306" s="658"/>
      <c r="K1306" s="646"/>
    </row>
    <row r="1307" spans="1:11" s="274" customFormat="1" x14ac:dyDescent="0.25">
      <c r="A1307" s="723" t="s">
        <v>2409</v>
      </c>
      <c r="B1307" s="722" t="s">
        <v>2410</v>
      </c>
      <c r="C1307" s="795" t="s">
        <v>61</v>
      </c>
      <c r="D1307" s="723" t="s">
        <v>1560</v>
      </c>
      <c r="E1307" s="606">
        <f>E1015+E1016+E1175+E1176+E1177+E1219-E1300</f>
        <v>7038238.096176014</v>
      </c>
      <c r="F1307" s="606">
        <f t="shared" ref="F1307:I1307" si="520">F1015+F1016+F1175+F1176+F1177+F1219-F1300</f>
        <v>0</v>
      </c>
      <c r="G1307" s="606">
        <f t="shared" si="520"/>
        <v>0</v>
      </c>
      <c r="H1307" s="606">
        <f t="shared" si="520"/>
        <v>7038238.096176014</v>
      </c>
      <c r="I1307" s="606">
        <f t="shared" si="520"/>
        <v>0</v>
      </c>
      <c r="J1307" s="658"/>
      <c r="K1307" s="646"/>
    </row>
    <row r="1308" spans="1:11" s="274" customFormat="1" x14ac:dyDescent="0.25">
      <c r="A1308" s="723" t="s">
        <v>1003</v>
      </c>
      <c r="B1308" s="722" t="s">
        <v>2411</v>
      </c>
      <c r="C1308" s="795" t="s">
        <v>61</v>
      </c>
      <c r="D1308" s="723" t="s">
        <v>1560</v>
      </c>
      <c r="E1308" s="606">
        <f>E1017+E1178+E1220+E1289+E1266</f>
        <v>772986.7239201268</v>
      </c>
      <c r="F1308" s="606">
        <f t="shared" ref="F1308:I1308" si="521">F1017+F1178+F1220+F1289+F1266</f>
        <v>0</v>
      </c>
      <c r="G1308" s="606">
        <f t="shared" si="521"/>
        <v>0</v>
      </c>
      <c r="H1308" s="606">
        <f t="shared" si="521"/>
        <v>772986.7239201268</v>
      </c>
      <c r="I1308" s="606">
        <f t="shared" si="521"/>
        <v>0</v>
      </c>
      <c r="J1308" s="658"/>
      <c r="K1308" s="646"/>
    </row>
    <row r="1309" spans="1:11" s="274" customFormat="1" x14ac:dyDescent="0.25">
      <c r="A1309" s="723" t="s">
        <v>1005</v>
      </c>
      <c r="B1309" s="722" t="s">
        <v>2412</v>
      </c>
      <c r="C1309" s="795" t="s">
        <v>61</v>
      </c>
      <c r="D1309" s="723" t="s">
        <v>1560</v>
      </c>
      <c r="E1309" s="606">
        <f t="shared" ref="E1309" si="522">E1308+E1307</f>
        <v>7811224.820096141</v>
      </c>
      <c r="F1309" s="606">
        <f t="shared" ref="F1309:I1309" si="523">F1308+F1307</f>
        <v>0</v>
      </c>
      <c r="G1309" s="606">
        <f t="shared" si="523"/>
        <v>0</v>
      </c>
      <c r="H1309" s="606">
        <f t="shared" si="523"/>
        <v>7811224.820096141</v>
      </c>
      <c r="I1309" s="606">
        <f t="shared" si="523"/>
        <v>0</v>
      </c>
      <c r="J1309" s="658"/>
      <c r="K1309" s="646"/>
    </row>
    <row r="1310" spans="1:11" s="274" customFormat="1" x14ac:dyDescent="0.25">
      <c r="A1310" s="803" t="s">
        <v>2413</v>
      </c>
      <c r="B1310" s="804" t="s">
        <v>2414</v>
      </c>
      <c r="C1310" s="795" t="s">
        <v>61</v>
      </c>
      <c r="D1310" s="803" t="s">
        <v>1560</v>
      </c>
      <c r="E1310" s="805">
        <f t="shared" ref="E1310" si="524">E1267</f>
        <v>2078.9119614663746</v>
      </c>
      <c r="F1310" s="805">
        <f t="shared" ref="F1310:I1310" si="525">F1267</f>
        <v>0</v>
      </c>
      <c r="G1310" s="805">
        <f t="shared" si="525"/>
        <v>0</v>
      </c>
      <c r="H1310" s="805">
        <f t="shared" si="525"/>
        <v>2078.9119614663746</v>
      </c>
      <c r="I1310" s="805">
        <f t="shared" si="525"/>
        <v>0</v>
      </c>
      <c r="J1310" s="614"/>
      <c r="K1310" s="646"/>
    </row>
    <row r="1311" spans="1:11" x14ac:dyDescent="0.25">
      <c r="A1311" s="437" t="s">
        <v>1007</v>
      </c>
      <c r="B1311" s="438" t="s">
        <v>1008</v>
      </c>
      <c r="C1311" s="439"/>
      <c r="D1311" s="440"/>
      <c r="E1311" s="440"/>
      <c r="F1311" s="440"/>
      <c r="G1311" s="440"/>
      <c r="H1311" s="441"/>
      <c r="I1311" s="440"/>
      <c r="J1311" s="487"/>
      <c r="K1311" s="495"/>
    </row>
    <row r="1312" spans="1:11" x14ac:dyDescent="0.25">
      <c r="A1312" s="452" t="s">
        <v>2415</v>
      </c>
      <c r="B1312" s="453" t="s">
        <v>2416</v>
      </c>
      <c r="C1312" s="452" t="s">
        <v>2417</v>
      </c>
      <c r="D1312" s="452" t="s">
        <v>1495</v>
      </c>
      <c r="E1312" s="452">
        <f>IFERROR((E1130+E1106+E1082+E1060+E1038+E1158)*10/E729,0)</f>
        <v>0</v>
      </c>
      <c r="F1312" s="452">
        <f t="shared" ref="F1312:I1312" si="526">IFERROR((F1130+F1106+F1082+F1060+F1038+F1158)*10/F729,0)</f>
        <v>0</v>
      </c>
      <c r="G1312" s="452">
        <f t="shared" si="526"/>
        <v>0</v>
      </c>
      <c r="H1312" s="643">
        <f t="shared" si="526"/>
        <v>0</v>
      </c>
      <c r="I1312" s="452">
        <f t="shared" si="526"/>
        <v>0</v>
      </c>
      <c r="J1312" s="517"/>
      <c r="K1312" s="456"/>
    </row>
    <row r="1313" spans="1:11" x14ac:dyDescent="0.25">
      <c r="A1313" s="452" t="s">
        <v>2418</v>
      </c>
      <c r="B1313" s="453" t="s">
        <v>2419</v>
      </c>
      <c r="C1313" s="452" t="s">
        <v>2420</v>
      </c>
      <c r="D1313" s="452" t="s">
        <v>1495</v>
      </c>
      <c r="E1313" s="452">
        <f>IFERROR(((E1131+E1107+E1083+E1061+E1039+E1159)*10+(E868+E889+E910+E931+E952+E975+E1001)*10)/E740,0)</f>
        <v>2564.570826735534</v>
      </c>
      <c r="F1313" s="452">
        <f t="shared" ref="F1313:I1313" si="527">IFERROR(((F1131+F1107+F1083+F1061+F1039+F1159)*10+(F868+F889+F910+F931+F952+F975+F1001)*10)/F740,0)</f>
        <v>0</v>
      </c>
      <c r="G1313" s="452">
        <f t="shared" si="527"/>
        <v>0</v>
      </c>
      <c r="H1313" s="643">
        <f t="shared" si="527"/>
        <v>2564.570826735534</v>
      </c>
      <c r="I1313" s="452">
        <f t="shared" si="527"/>
        <v>0</v>
      </c>
      <c r="J1313" s="517"/>
      <c r="K1313" s="456"/>
    </row>
    <row r="1314" spans="1:11" x14ac:dyDescent="0.25">
      <c r="A1314" s="452" t="s">
        <v>2421</v>
      </c>
      <c r="B1314" s="453" t="s">
        <v>2422</v>
      </c>
      <c r="C1314" s="452" t="s">
        <v>2423</v>
      </c>
      <c r="D1314" s="452" t="s">
        <v>1495</v>
      </c>
      <c r="E1314" s="452">
        <f>IFERROR(E1217*10/E748,0)</f>
        <v>0</v>
      </c>
      <c r="F1314" s="452">
        <f t="shared" ref="F1314:I1314" si="528">IFERROR(F1217*10/F748,0)</f>
        <v>0</v>
      </c>
      <c r="G1314" s="452">
        <f t="shared" si="528"/>
        <v>0</v>
      </c>
      <c r="H1314" s="643">
        <f t="shared" si="528"/>
        <v>0</v>
      </c>
      <c r="I1314" s="452">
        <f t="shared" si="528"/>
        <v>0</v>
      </c>
      <c r="J1314" s="517"/>
      <c r="K1314" s="456"/>
    </row>
    <row r="1315" ht="28" customHeight="1" spans="1:11" x14ac:dyDescent="0.25">
      <c r="A1315" s="452" t="s">
        <v>2424</v>
      </c>
      <c r="B1315" s="453" t="s">
        <v>2425</v>
      </c>
      <c r="C1315" s="452" t="s">
        <v>2426</v>
      </c>
      <c r="D1315" s="452" t="s">
        <v>1495</v>
      </c>
      <c r="E1315" s="454">
        <f>IFERROR(((E794*E797*1000)-((E801*E802*1000)+(E806*E807*1000)))/((E684/100)*E789*10^5),0)</f>
        <v>3636.0935777411933</v>
      </c>
      <c r="F1315" s="454">
        <f t="shared" ref="F1315:I1315" si="529">IFERROR(((F794*F797*1000)-((F801*F802*1000)+(F806*F807*1000)))/((F684/100)*F789*10^5),0)</f>
        <v>0</v>
      </c>
      <c r="G1315" s="454">
        <f t="shared" si="529"/>
        <v>0</v>
      </c>
      <c r="H1315" s="446">
        <f t="shared" si="529"/>
        <v>3636.0935777411933</v>
      </c>
      <c r="I1315" s="454">
        <f t="shared" si="529"/>
        <v>0</v>
      </c>
      <c r="J1315" s="455"/>
      <c r="K1315" s="456"/>
    </row>
    <row r="1316" ht="28" customHeight="1" spans="1:11" s="274" customFormat="1" x14ac:dyDescent="0.25">
      <c r="A1316" s="452" t="s">
        <v>2427</v>
      </c>
      <c r="B1316" s="453" t="s">
        <v>2428</v>
      </c>
      <c r="C1316" s="452" t="s">
        <v>2426</v>
      </c>
      <c r="D1316" s="452" t="s">
        <v>1495</v>
      </c>
      <c r="E1316" s="454">
        <f>IFERROR(((E767*E770*1000)-((E774*E775*1000)+(E779*E780*1000)))/((E684/100)*E762*10^5),0)</f>
        <v>936.8101345736408</v>
      </c>
      <c r="F1316" s="454">
        <f t="shared" ref="F1316:I1316" si="530">IFERROR(((F767*F770*1000)-((F774*F775*1000)+(F779*F780*1000)))/((F684/100)*F762*10^5),0)</f>
        <v>0</v>
      </c>
      <c r="G1316" s="454">
        <f t="shared" si="530"/>
        <v>0</v>
      </c>
      <c r="H1316" s="446">
        <f t="shared" si="530"/>
        <v>936.8101345736408</v>
      </c>
      <c r="I1316" s="454">
        <f t="shared" si="530"/>
        <v>0</v>
      </c>
      <c r="J1316" s="455"/>
      <c r="K1316" s="456"/>
    </row>
    <row r="1317" ht="28" customHeight="1" spans="1:11" x14ac:dyDescent="0.25">
      <c r="A1317" s="643" t="s">
        <v>2429</v>
      </c>
      <c r="B1317" s="644" t="s">
        <v>2430</v>
      </c>
      <c r="C1317" s="452" t="s">
        <v>2431</v>
      </c>
      <c r="D1317" s="643" t="s">
        <v>1495</v>
      </c>
      <c r="E1317" s="446">
        <f>'NF - 5 Power Mix'!$E$70</f>
        <v>2821.3846462408255</v>
      </c>
      <c r="F1317" s="446">
        <f>'NF - 5 Power Mix'!$E$70</f>
        <v>2821.3846462408255</v>
      </c>
      <c r="G1317" s="446">
        <f>'NF - 5 Power Mix'!$E$70</f>
        <v>2821.3846462408255</v>
      </c>
      <c r="H1317" s="446">
        <f>'NF - 5 Power Mix'!$E$70</f>
        <v>2821.3846462408255</v>
      </c>
      <c r="I1317" s="446">
        <f>'NF - 5 Power Mix'!$F$70</f>
        <v>0</v>
      </c>
      <c r="J1317" s="658"/>
      <c r="K1317" s="750"/>
    </row>
    <row r="1318" ht="28" customHeight="1" spans="1:11" x14ac:dyDescent="0.25">
      <c r="A1318" s="643" t="s">
        <v>2432</v>
      </c>
      <c r="B1318" s="644" t="s">
        <v>2433</v>
      </c>
      <c r="C1318" s="452"/>
      <c r="D1318" s="643" t="s">
        <v>1495</v>
      </c>
      <c r="E1318" s="446">
        <f>'NF - 5 Power Mix'!$E$71</f>
        <v>2789.1585655703766</v>
      </c>
      <c r="F1318" s="446">
        <f>'NF - 5 Power Mix'!$E$71</f>
        <v>2789.1585655703766</v>
      </c>
      <c r="G1318" s="446">
        <f>'NF - 5 Power Mix'!$E$71</f>
        <v>2789.1585655703766</v>
      </c>
      <c r="H1318" s="446">
        <f>'NF - 5 Power Mix'!$E$71</f>
        <v>2789.1585655703766</v>
      </c>
      <c r="I1318" s="446" t="e">
        <f>'NF - 5 Power Mix'!$F$71</f>
        <v>#DIV/0!</v>
      </c>
      <c r="J1318" s="658"/>
      <c r="K1318" s="646"/>
    </row>
    <row r="1319" spans="1:11" x14ac:dyDescent="0.25">
      <c r="A1319" s="443"/>
      <c r="B1319" s="486"/>
      <c r="C1319" s="484"/>
      <c r="D1319" s="414"/>
      <c r="E1319" s="484"/>
      <c r="F1319" s="484"/>
      <c r="G1319" s="484"/>
      <c r="H1319" s="474"/>
      <c r="I1319" s="414"/>
      <c r="J1319" s="518"/>
      <c r="K1319" s="495"/>
    </row>
    <row r="1320" spans="1:11" x14ac:dyDescent="0.25">
      <c r="A1320" s="437" t="s">
        <v>1161</v>
      </c>
      <c r="B1320" s="438" t="s">
        <v>2434</v>
      </c>
      <c r="C1320" s="439"/>
      <c r="D1320" s="440"/>
      <c r="E1320" s="440"/>
      <c r="F1320" s="440"/>
      <c r="G1320" s="440"/>
      <c r="H1320" s="441"/>
      <c r="I1320" s="440"/>
      <c r="J1320" s="442"/>
      <c r="K1320" s="442"/>
    </row>
    <row r="1321" ht="14.5" customHeight="1" spans="1:11" x14ac:dyDescent="0.25">
      <c r="A1321" s="443" t="s">
        <v>58</v>
      </c>
      <c r="B1321" s="349" t="s">
        <v>2435</v>
      </c>
      <c r="C1321" s="665" t="s">
        <v>61</v>
      </c>
      <c r="D1321" s="665" t="s">
        <v>1771</v>
      </c>
      <c r="E1321" s="539"/>
      <c r="F1321" s="445"/>
      <c r="G1321" s="445"/>
      <c r="H1321" s="446">
        <f t="shared" ref="H1321:H1325" si="531">IF(K$9=1,E1321,IF(K$9=2,(E1321+F1321)/2,(E1321+F1321+G1321)/3))</f>
        <v>3482.7822441899325</v>
      </c>
      <c r="I1321" s="539"/>
      <c r="J1321" s="540"/>
      <c r="K1321" s="456"/>
    </row>
    <row r="1322" ht="14.5" customHeight="1" spans="1:11" x14ac:dyDescent="0.25">
      <c r="A1322" s="443" t="s">
        <v>64</v>
      </c>
      <c r="B1322" s="349" t="s">
        <v>2436</v>
      </c>
      <c r="C1322" s="665" t="s">
        <v>61</v>
      </c>
      <c r="D1322" s="665" t="s">
        <v>1493</v>
      </c>
      <c r="E1322" s="470"/>
      <c r="F1322" s="445"/>
      <c r="G1322" s="445"/>
      <c r="H1322" s="446">
        <f t="shared" si="531"/>
        <v>39.14073725469841</v>
      </c>
      <c r="I1322" s="806"/>
      <c r="J1322" s="579"/>
      <c r="K1322" s="456"/>
    </row>
    <row r="1323" ht="14.5" customHeight="1" spans="1:11" x14ac:dyDescent="0.25">
      <c r="A1323" s="443" t="s">
        <v>68</v>
      </c>
      <c r="B1323" s="349" t="s">
        <v>2437</v>
      </c>
      <c r="C1323" s="665" t="s">
        <v>61</v>
      </c>
      <c r="D1323" s="665" t="s">
        <v>1493</v>
      </c>
      <c r="E1323" s="470"/>
      <c r="F1323" s="445"/>
      <c r="G1323" s="445"/>
      <c r="H1323" s="446">
        <f t="shared" si="531"/>
        <v>2.0332141897901357</v>
      </c>
      <c r="I1323" s="470"/>
      <c r="J1323" s="471"/>
      <c r="K1323" s="456"/>
    </row>
    <row r="1324" ht="14.5" customHeight="1" spans="1:11" x14ac:dyDescent="0.25">
      <c r="A1324" s="443" t="s">
        <v>74</v>
      </c>
      <c r="B1324" s="349" t="s">
        <v>2438</v>
      </c>
      <c r="C1324" s="665" t="s">
        <v>61</v>
      </c>
      <c r="D1324" s="665" t="s">
        <v>1493</v>
      </c>
      <c r="E1324" s="470"/>
      <c r="F1324" s="445"/>
      <c r="G1324" s="445"/>
      <c r="H1324" s="446">
        <f t="shared" si="531"/>
        <v>12.234134628365876</v>
      </c>
      <c r="I1324" s="470"/>
      <c r="J1324" s="471"/>
      <c r="K1324" s="456"/>
    </row>
    <row r="1325" ht="14.5" customHeight="1" spans="1:11" x14ac:dyDescent="0.25">
      <c r="A1325" s="451" t="s">
        <v>80</v>
      </c>
      <c r="B1325" s="435" t="s">
        <v>2439</v>
      </c>
      <c r="C1325" s="807" t="s">
        <v>61</v>
      </c>
      <c r="D1325" s="293" t="s">
        <v>1493</v>
      </c>
      <c r="E1325" s="470"/>
      <c r="F1325" s="471"/>
      <c r="G1325" s="471"/>
      <c r="H1325" s="446">
        <f t="shared" si="531"/>
        <v>0</v>
      </c>
      <c r="I1325" s="470"/>
      <c r="J1325" s="456"/>
      <c r="K1325" s="456"/>
    </row>
    <row r="1326" spans="1:11" x14ac:dyDescent="0.25">
      <c r="A1326" s="437" t="s">
        <v>1173</v>
      </c>
      <c r="B1326" s="438" t="s">
        <v>1174</v>
      </c>
      <c r="C1326" s="439"/>
      <c r="D1326" s="440"/>
      <c r="E1326" s="442"/>
      <c r="F1326" s="442"/>
      <c r="G1326" s="442"/>
      <c r="H1326" s="441"/>
      <c r="I1326" s="442"/>
      <c r="J1326" s="487"/>
      <c r="K1326" s="495"/>
    </row>
    <row r="1327" ht="14.5" customHeight="1" spans="1:11" x14ac:dyDescent="0.25" outlineLevel="1" collapsed="1">
      <c r="A1327" s="466" t="s">
        <v>58</v>
      </c>
      <c r="B1327" s="349" t="s">
        <v>2440</v>
      </c>
      <c r="C1327" s="665" t="s">
        <v>61</v>
      </c>
      <c r="D1327" s="663" t="s">
        <v>1456</v>
      </c>
      <c r="E1327" s="228"/>
      <c r="F1327" s="445"/>
      <c r="G1327" s="445"/>
      <c r="H1327" s="441"/>
      <c r="I1327" s="228"/>
      <c r="J1327" s="228"/>
      <c r="K1327" s="716"/>
    </row>
    <row r="1328" ht="14.5" customHeight="1" spans="1:11" x14ac:dyDescent="0.25" outlineLevel="1" collapsed="1">
      <c r="A1328" s="443" t="s">
        <v>64</v>
      </c>
      <c r="B1328" s="349" t="s">
        <v>2441</v>
      </c>
      <c r="C1328" s="665" t="s">
        <v>61</v>
      </c>
      <c r="D1328" s="665" t="s">
        <v>1911</v>
      </c>
      <c r="E1328" s="481"/>
      <c r="F1328" s="808"/>
      <c r="G1328" s="481"/>
      <c r="H1328" s="809"/>
      <c r="I1328" s="481"/>
      <c r="J1328" s="482"/>
      <c r="K1328" s="716"/>
    </row>
    <row r="1329" ht="16" customHeight="1" spans="1:11" x14ac:dyDescent="0.25" outlineLevel="1" collapsed="1">
      <c r="A1329" s="443" t="s">
        <v>68</v>
      </c>
      <c r="B1329" s="349" t="s">
        <v>2442</v>
      </c>
      <c r="C1329" s="665" t="s">
        <v>61</v>
      </c>
      <c r="D1329" s="665" t="s">
        <v>2443</v>
      </c>
      <c r="E1329" s="228"/>
      <c r="F1329" s="445"/>
      <c r="G1329" s="445"/>
      <c r="H1329" s="446">
        <f t="shared" ref="H1329:H1339" si="532">IF(K$9=1,E1329,IF(K$9=2,(E1329+F1329)/2,(E1329+F1329+G1329)/3))</f>
        <v>10.81346032010137</v>
      </c>
      <c r="I1329" s="228"/>
      <c r="J1329" s="228"/>
      <c r="K1329" s="716"/>
    </row>
    <row r="1330" ht="14.5" customHeight="1" spans="1:11" x14ac:dyDescent="0.25" outlineLevel="1" collapsed="1">
      <c r="A1330" s="443" t="s">
        <v>74</v>
      </c>
      <c r="B1330" s="349" t="s">
        <v>2444</v>
      </c>
      <c r="C1330" s="665" t="s">
        <v>61</v>
      </c>
      <c r="D1330" s="665" t="s">
        <v>1493</v>
      </c>
      <c r="E1330" s="470"/>
      <c r="F1330" s="445"/>
      <c r="G1330" s="445"/>
      <c r="H1330" s="446">
        <f t="shared" si="532"/>
        <v>39.02022905079718</v>
      </c>
      <c r="I1330" s="470"/>
      <c r="J1330" s="471"/>
      <c r="K1330" s="716"/>
    </row>
    <row r="1331" ht="14.5" customHeight="1" spans="1:11" x14ac:dyDescent="0.25" outlineLevel="1" collapsed="1">
      <c r="A1331" s="443" t="s">
        <v>80</v>
      </c>
      <c r="B1331" s="349" t="s">
        <v>2445</v>
      </c>
      <c r="C1331" s="665" t="s">
        <v>61</v>
      </c>
      <c r="D1331" s="665" t="s">
        <v>1493</v>
      </c>
      <c r="E1331" s="470"/>
      <c r="F1331" s="445"/>
      <c r="G1331" s="445"/>
      <c r="H1331" s="446">
        <f t="shared" si="532"/>
        <v>8.019963392967496</v>
      </c>
      <c r="I1331" s="470"/>
      <c r="J1331" s="471"/>
      <c r="K1331" s="716"/>
    </row>
    <row r="1332" ht="14.5" customHeight="1" spans="1:11" x14ac:dyDescent="0.25" outlineLevel="1" collapsed="1">
      <c r="A1332" s="443" t="s">
        <v>82</v>
      </c>
      <c r="B1332" s="349" t="s">
        <v>2446</v>
      </c>
      <c r="C1332" s="665" t="s">
        <v>61</v>
      </c>
      <c r="D1332" s="665" t="s">
        <v>1493</v>
      </c>
      <c r="E1332" s="470"/>
      <c r="F1332" s="445"/>
      <c r="G1332" s="445"/>
      <c r="H1332" s="446">
        <f t="shared" si="532"/>
        <v>30.999432324496354</v>
      </c>
      <c r="I1332" s="470"/>
      <c r="J1332" s="471"/>
      <c r="K1332" s="716"/>
    </row>
    <row r="1333" ht="14.5" customHeight="1" spans="1:11" x14ac:dyDescent="0.25" outlineLevel="1" collapsed="1">
      <c r="A1333" s="443" t="s">
        <v>121</v>
      </c>
      <c r="B1333" s="349" t="s">
        <v>2447</v>
      </c>
      <c r="C1333" s="665" t="s">
        <v>61</v>
      </c>
      <c r="D1333" s="665" t="s">
        <v>1493</v>
      </c>
      <c r="E1333" s="470"/>
      <c r="F1333" s="445"/>
      <c r="G1333" s="445"/>
      <c r="H1333" s="446">
        <f t="shared" si="532"/>
        <v>4.231807146829811</v>
      </c>
      <c r="I1333" s="470"/>
      <c r="J1333" s="471"/>
      <c r="K1333" s="716"/>
    </row>
    <row r="1334" ht="14.5" customHeight="1" spans="1:11" x14ac:dyDescent="0.25" outlineLevel="1" collapsed="1">
      <c r="A1334" s="293" t="s">
        <v>144</v>
      </c>
      <c r="B1334" s="349" t="s">
        <v>2448</v>
      </c>
      <c r="C1334" s="665" t="s">
        <v>61</v>
      </c>
      <c r="D1334" s="665" t="s">
        <v>1493</v>
      </c>
      <c r="E1334" s="470"/>
      <c r="F1334" s="445"/>
      <c r="G1334" s="445"/>
      <c r="H1334" s="446">
        <f t="shared" si="532"/>
        <v>4.586569568038562</v>
      </c>
      <c r="I1334" s="470"/>
      <c r="J1334" s="471"/>
      <c r="K1334" s="716"/>
    </row>
    <row r="1335" ht="14.5" customHeight="1" spans="1:11" x14ac:dyDescent="0.25" outlineLevel="1" collapsed="1">
      <c r="A1335" s="293" t="s">
        <v>146</v>
      </c>
      <c r="B1335" s="349" t="s">
        <v>2449</v>
      </c>
      <c r="C1335" s="665" t="s">
        <v>61</v>
      </c>
      <c r="D1335" s="665" t="s">
        <v>1493</v>
      </c>
      <c r="E1335" s="470"/>
      <c r="F1335" s="445"/>
      <c r="G1335" s="445"/>
      <c r="H1335" s="446">
        <f t="shared" si="532"/>
        <v>93.30412418849379</v>
      </c>
      <c r="I1335" s="470"/>
      <c r="J1335" s="471"/>
      <c r="K1335" s="716"/>
    </row>
    <row r="1336" ht="14.5" customHeight="1" spans="1:11" x14ac:dyDescent="0.25" outlineLevel="1" collapsed="1">
      <c r="A1336" s="293" t="s">
        <v>148</v>
      </c>
      <c r="B1336" s="349" t="s">
        <v>2450</v>
      </c>
      <c r="C1336" s="665" t="s">
        <v>61</v>
      </c>
      <c r="D1336" s="665" t="s">
        <v>1595</v>
      </c>
      <c r="E1336" s="470"/>
      <c r="F1336" s="445"/>
      <c r="G1336" s="445"/>
      <c r="H1336" s="446">
        <f t="shared" si="532"/>
        <v>0.71</v>
      </c>
      <c r="I1336" s="470"/>
      <c r="J1336" s="471"/>
      <c r="K1336" s="716"/>
    </row>
    <row r="1337" ht="14.5" customHeight="1" spans="1:11" x14ac:dyDescent="0.25" outlineLevel="1" collapsed="1">
      <c r="A1337" s="293" t="s">
        <v>150</v>
      </c>
      <c r="B1337" s="349" t="s">
        <v>2451</v>
      </c>
      <c r="C1337" s="665" t="s">
        <v>61</v>
      </c>
      <c r="D1337" s="665" t="s">
        <v>1595</v>
      </c>
      <c r="E1337" s="470"/>
      <c r="F1337" s="445"/>
      <c r="G1337" s="445"/>
      <c r="H1337" s="446">
        <f t="shared" si="532"/>
        <v>3.03</v>
      </c>
      <c r="I1337" s="470"/>
      <c r="J1337" s="471"/>
      <c r="K1337" s="716"/>
    </row>
    <row r="1338" ht="14.5" customHeight="1" spans="1:11" x14ac:dyDescent="0.25" outlineLevel="1" collapsed="1">
      <c r="A1338" s="293" t="s">
        <v>152</v>
      </c>
      <c r="B1338" s="349" t="s">
        <v>2452</v>
      </c>
      <c r="C1338" s="665" t="s">
        <v>61</v>
      </c>
      <c r="D1338" s="665" t="s">
        <v>1493</v>
      </c>
      <c r="E1338" s="470"/>
      <c r="F1338" s="445"/>
      <c r="G1338" s="445"/>
      <c r="H1338" s="446">
        <f t="shared" si="532"/>
        <v>18.879329154307253</v>
      </c>
      <c r="I1338" s="470"/>
      <c r="J1338" s="471"/>
      <c r="K1338" s="716"/>
    </row>
    <row r="1339" ht="14.5" customHeight="1" spans="1:11" x14ac:dyDescent="0.25" outlineLevel="1" collapsed="1">
      <c r="A1339" s="293" t="s">
        <v>155</v>
      </c>
      <c r="B1339" s="349" t="s">
        <v>2453</v>
      </c>
      <c r="C1339" s="665" t="s">
        <v>61</v>
      </c>
      <c r="D1339" s="665" t="s">
        <v>1493</v>
      </c>
      <c r="E1339" s="470"/>
      <c r="F1339" s="445"/>
      <c r="G1339" s="445"/>
      <c r="H1339" s="446">
        <f t="shared" si="532"/>
        <v>38.358107495983184</v>
      </c>
      <c r="I1339" s="470"/>
      <c r="J1339" s="471"/>
      <c r="K1339" s="716"/>
    </row>
    <row r="1340" spans="1:11" x14ac:dyDescent="0.25" outlineLevel="1" collapsed="1">
      <c r="A1340" s="293" t="s">
        <v>158</v>
      </c>
      <c r="B1340" s="349" t="s">
        <v>2454</v>
      </c>
      <c r="C1340" s="665" t="s">
        <v>61</v>
      </c>
      <c r="D1340" s="665" t="s">
        <v>1771</v>
      </c>
      <c r="E1340" s="446">
        <f>E96</f>
        <v>747.0143875151521</v>
      </c>
      <c r="F1340" s="446">
        <f>F96</f>
        <v>0</v>
      </c>
      <c r="G1340" s="446">
        <f>G96</f>
        <v>0</v>
      </c>
      <c r="H1340" s="446">
        <f>H96</f>
        <v>747.0143875151521</v>
      </c>
      <c r="I1340" s="446">
        <f>I96</f>
        <v>0</v>
      </c>
      <c r="J1340" s="455"/>
      <c r="K1340" s="456"/>
    </row>
    <row r="1341" spans="1:11" x14ac:dyDescent="0.25" outlineLevel="1" collapsed="1">
      <c r="A1341" s="675" t="s">
        <v>160</v>
      </c>
      <c r="B1341" s="349" t="s">
        <v>2455</v>
      </c>
      <c r="C1341" s="665" t="s">
        <v>61</v>
      </c>
      <c r="D1341" s="665" t="s">
        <v>1493</v>
      </c>
      <c r="E1341" s="446">
        <f>E688</f>
        <v>83.81812367157337</v>
      </c>
      <c r="F1341" s="446">
        <f>F688</f>
        <v>0</v>
      </c>
      <c r="G1341" s="446">
        <f>G688</f>
        <v>0</v>
      </c>
      <c r="H1341" s="446">
        <f>H688</f>
        <v>83.81812367157337</v>
      </c>
      <c r="I1341" s="446">
        <f>I688</f>
        <v>0</v>
      </c>
      <c r="J1341" s="455"/>
      <c r="K1341" s="456"/>
    </row>
    <row r="1342" spans="1:11" x14ac:dyDescent="0.25">
      <c r="A1342" s="293"/>
      <c r="B1342" s="349"/>
      <c r="C1342" s="675"/>
      <c r="D1342" s="665"/>
      <c r="E1342" s="664"/>
      <c r="F1342" s="664"/>
      <c r="G1342" s="665"/>
      <c r="H1342" s="810"/>
      <c r="I1342" s="664"/>
      <c r="J1342" s="456"/>
      <c r="K1342" s="456"/>
    </row>
    <row r="1343" spans="1:11" x14ac:dyDescent="0.25">
      <c r="A1343" s="437" t="s">
        <v>1194</v>
      </c>
      <c r="B1343" s="438" t="s">
        <v>2456</v>
      </c>
      <c r="C1343" s="439"/>
      <c r="D1343" s="440"/>
      <c r="E1343" s="440"/>
      <c r="F1343" s="440"/>
      <c r="G1343" s="440"/>
      <c r="H1343" s="441"/>
      <c r="I1343" s="440"/>
      <c r="J1343" s="442"/>
      <c r="K1343" s="442"/>
    </row>
    <row r="1344" ht="28" customHeight="1" spans="1:11" x14ac:dyDescent="0.25">
      <c r="A1344" s="437" t="s">
        <v>2457</v>
      </c>
      <c r="B1344" s="438" t="s">
        <v>1197</v>
      </c>
      <c r="C1344" s="439"/>
      <c r="D1344" s="440"/>
      <c r="E1344" s="440"/>
      <c r="F1344" s="440"/>
      <c r="G1344" s="440"/>
      <c r="H1344" s="441"/>
      <c r="I1344" s="440"/>
      <c r="J1344" s="442"/>
      <c r="K1344" s="442"/>
    </row>
    <row r="1345" spans="1:11" x14ac:dyDescent="0.25">
      <c r="A1345" s="452" t="s">
        <v>306</v>
      </c>
      <c r="B1345" s="453" t="s">
        <v>2458</v>
      </c>
      <c r="C1345" s="452" t="s">
        <v>61</v>
      </c>
      <c r="D1345" s="452" t="s">
        <v>1822</v>
      </c>
      <c r="E1345" s="453"/>
      <c r="F1345" s="453"/>
      <c r="G1345" s="452"/>
      <c r="H1345" s="755"/>
      <c r="I1345" s="452">
        <f>'Annex Addl Eqp List-Env'!J27</f>
        <v>0</v>
      </c>
      <c r="J1345" s="456"/>
      <c r="K1345" s="456"/>
    </row>
    <row r="1346" spans="1:11" x14ac:dyDescent="0.25">
      <c r="A1346" s="452" t="s">
        <v>308</v>
      </c>
      <c r="B1346" s="453" t="s">
        <v>2459</v>
      </c>
      <c r="C1346" s="452" t="s">
        <v>61</v>
      </c>
      <c r="D1346" s="452" t="s">
        <v>1826</v>
      </c>
      <c r="E1346" s="453"/>
      <c r="F1346" s="453"/>
      <c r="G1346" s="452"/>
      <c r="H1346" s="755"/>
      <c r="I1346" s="452">
        <f>'Annex Addl Eqp List-Env'!K27</f>
        <v>0</v>
      </c>
      <c r="J1346" s="456"/>
      <c r="K1346" s="456"/>
    </row>
    <row r="1347" ht="14.5" customHeight="1" spans="1:11" x14ac:dyDescent="0.25">
      <c r="A1347" s="811"/>
      <c r="B1347" s="812"/>
      <c r="C1347" s="684"/>
      <c r="D1347" s="684"/>
      <c r="E1347" s="813"/>
      <c r="F1347" s="813"/>
      <c r="G1347" s="813"/>
      <c r="H1347" s="814"/>
      <c r="I1347" s="813"/>
      <c r="J1347" s="489"/>
      <c r="K1347" s="815"/>
    </row>
    <row r="1348" spans="1:11" x14ac:dyDescent="0.25">
      <c r="A1348" s="437" t="s">
        <v>2460</v>
      </c>
      <c r="B1348" s="438" t="s">
        <v>2461</v>
      </c>
      <c r="C1348" s="439"/>
      <c r="D1348" s="440"/>
      <c r="E1348" s="440"/>
      <c r="F1348" s="440"/>
      <c r="G1348" s="440"/>
      <c r="H1348" s="441"/>
      <c r="I1348" s="440"/>
      <c r="J1348" s="442"/>
      <c r="K1348" s="442"/>
    </row>
    <row r="1349" ht="29" customHeight="1" spans="1:11" x14ac:dyDescent="0.25">
      <c r="A1349" s="811" t="s">
        <v>306</v>
      </c>
      <c r="B1349" s="812" t="s">
        <v>2462</v>
      </c>
      <c r="C1349" s="684" t="s">
        <v>61</v>
      </c>
      <c r="D1349" s="684" t="s">
        <v>1456</v>
      </c>
      <c r="E1349" s="816"/>
      <c r="F1349" s="816"/>
      <c r="G1349" s="817"/>
      <c r="H1349" s="818"/>
      <c r="I1349" s="819"/>
      <c r="J1349" s="489"/>
      <c r="K1349" s="815"/>
    </row>
    <row r="1350" ht="29" customHeight="1" spans="1:11" x14ac:dyDescent="0.25">
      <c r="A1350" s="811" t="s">
        <v>308</v>
      </c>
      <c r="B1350" s="812" t="s">
        <v>2463</v>
      </c>
      <c r="C1350" s="684" t="s">
        <v>61</v>
      </c>
      <c r="D1350" s="684" t="s">
        <v>1456</v>
      </c>
      <c r="E1350" s="816"/>
      <c r="F1350" s="816"/>
      <c r="G1350" s="817"/>
      <c r="H1350" s="818"/>
      <c r="I1350" s="819"/>
      <c r="J1350" s="489"/>
      <c r="K1350" s="815"/>
    </row>
    <row r="1351" ht="29" customHeight="1" spans="1:11" x14ac:dyDescent="0.25">
      <c r="A1351" s="811" t="s">
        <v>310</v>
      </c>
      <c r="B1351" s="812" t="s">
        <v>2464</v>
      </c>
      <c r="C1351" s="684" t="s">
        <v>61</v>
      </c>
      <c r="D1351" s="684" t="s">
        <v>1456</v>
      </c>
      <c r="E1351" s="816"/>
      <c r="F1351" s="816"/>
      <c r="G1351" s="817"/>
      <c r="H1351" s="818"/>
      <c r="I1351" s="819"/>
      <c r="J1351" s="489"/>
      <c r="K1351" s="815"/>
    </row>
    <row r="1352" spans="1:11" x14ac:dyDescent="0.25">
      <c r="A1352" s="437" t="s">
        <v>2465</v>
      </c>
      <c r="B1352" s="438" t="s">
        <v>1216</v>
      </c>
      <c r="C1352" s="439"/>
      <c r="D1352" s="440"/>
      <c r="E1352" s="440"/>
      <c r="F1352" s="440"/>
      <c r="G1352" s="440"/>
      <c r="H1352" s="441"/>
      <c r="I1352" s="440"/>
      <c r="J1352" s="442"/>
      <c r="K1352" s="442"/>
    </row>
    <row r="1353" spans="1:11" x14ac:dyDescent="0.25">
      <c r="A1353" s="452" t="s">
        <v>306</v>
      </c>
      <c r="B1353" s="453" t="s">
        <v>2466</v>
      </c>
      <c r="C1353" s="452" t="s">
        <v>61</v>
      </c>
      <c r="D1353" s="452" t="s">
        <v>1822</v>
      </c>
      <c r="E1353" s="453"/>
      <c r="F1353" s="453"/>
      <c r="G1353" s="452"/>
      <c r="H1353" s="755"/>
      <c r="I1353" s="453">
        <f>'Annex Project Activites List'!K27</f>
        <v>0</v>
      </c>
      <c r="J1353" s="456"/>
      <c r="K1353" s="456"/>
    </row>
    <row r="1354" spans="1:11" x14ac:dyDescent="0.25">
      <c r="A1354" s="452" t="s">
        <v>308</v>
      </c>
      <c r="B1354" s="453" t="s">
        <v>2467</v>
      </c>
      <c r="C1354" s="452" t="s">
        <v>61</v>
      </c>
      <c r="D1354" s="452" t="s">
        <v>1826</v>
      </c>
      <c r="E1354" s="453"/>
      <c r="F1354" s="453"/>
      <c r="G1354" s="452"/>
      <c r="H1354" s="755"/>
      <c r="I1354" s="453">
        <f>'Annex Project Activites List'!L27</f>
        <v>0</v>
      </c>
      <c r="J1354" s="456"/>
      <c r="K1354" s="456"/>
    </row>
    <row r="1355" spans="1:11" x14ac:dyDescent="0.25">
      <c r="A1355" s="437" t="s">
        <v>2468</v>
      </c>
      <c r="B1355" s="438" t="s">
        <v>1223</v>
      </c>
      <c r="C1355" s="439"/>
      <c r="D1355" s="440"/>
      <c r="E1355" s="440"/>
      <c r="F1355" s="440"/>
      <c r="G1355" s="440"/>
      <c r="H1355" s="441"/>
      <c r="I1355" s="440"/>
      <c r="J1355" s="442"/>
      <c r="K1355" s="442"/>
    </row>
    <row r="1356" ht="29" customHeight="1" spans="1:11" x14ac:dyDescent="0.25" outlineLevel="1" collapsed="1">
      <c r="A1356" s="811" t="s">
        <v>306</v>
      </c>
      <c r="B1356" s="812" t="s">
        <v>2469</v>
      </c>
      <c r="C1356" s="684" t="s">
        <v>61</v>
      </c>
      <c r="D1356" s="684" t="s">
        <v>1822</v>
      </c>
      <c r="E1356" s="600"/>
      <c r="F1356" s="600"/>
      <c r="G1356" s="600"/>
      <c r="H1356" s="818"/>
      <c r="I1356" s="819"/>
      <c r="J1356" s="489"/>
      <c r="K1356" s="815"/>
    </row>
    <row r="1357" ht="29" customHeight="1" spans="1:11" x14ac:dyDescent="0.25" outlineLevel="1" collapsed="1">
      <c r="A1357" s="811" t="s">
        <v>308</v>
      </c>
      <c r="B1357" s="812" t="s">
        <v>2470</v>
      </c>
      <c r="C1357" s="684" t="s">
        <v>61</v>
      </c>
      <c r="D1357" s="684" t="s">
        <v>1826</v>
      </c>
      <c r="E1357" s="600"/>
      <c r="F1357" s="600"/>
      <c r="G1357" s="600"/>
      <c r="H1357" s="818"/>
      <c r="I1357" s="819"/>
      <c r="J1357" s="489"/>
      <c r="K1357" s="815"/>
    </row>
    <row r="1358" ht="29" customHeight="1" spans="1:11" x14ac:dyDescent="0.25" outlineLevel="1" collapsed="1">
      <c r="A1358" s="811" t="s">
        <v>310</v>
      </c>
      <c r="B1358" s="812" t="s">
        <v>2471</v>
      </c>
      <c r="C1358" s="684" t="s">
        <v>61</v>
      </c>
      <c r="D1358" s="684" t="s">
        <v>2472</v>
      </c>
      <c r="E1358" s="600"/>
      <c r="F1358" s="600"/>
      <c r="G1358" s="600"/>
      <c r="H1358" s="818"/>
      <c r="I1358" s="819"/>
      <c r="J1358" s="489"/>
      <c r="K1358" s="815"/>
    </row>
    <row r="1359" ht="29" customHeight="1" spans="1:11" x14ac:dyDescent="0.25" outlineLevel="1" collapsed="1">
      <c r="A1359" s="811" t="s">
        <v>312</v>
      </c>
      <c r="B1359" s="812" t="s">
        <v>2473</v>
      </c>
      <c r="C1359" s="684" t="s">
        <v>61</v>
      </c>
      <c r="D1359" s="684" t="s">
        <v>2472</v>
      </c>
      <c r="E1359" s="600"/>
      <c r="F1359" s="600"/>
      <c r="G1359" s="600"/>
      <c r="H1359" s="818"/>
      <c r="I1359" s="819"/>
      <c r="J1359" s="489"/>
      <c r="K1359" s="815"/>
    </row>
    <row r="1360" ht="14.5" customHeight="1" spans="1:11" x14ac:dyDescent="0.25" outlineLevel="1" collapsed="1">
      <c r="A1360" s="811" t="s">
        <v>314</v>
      </c>
      <c r="B1360" s="812" t="s">
        <v>2474</v>
      </c>
      <c r="C1360" s="684" t="s">
        <v>1423</v>
      </c>
      <c r="D1360" s="684"/>
      <c r="E1360" s="600"/>
      <c r="F1360" s="600"/>
      <c r="G1360" s="600"/>
      <c r="H1360" s="818"/>
      <c r="I1360" s="819"/>
      <c r="J1360" s="489"/>
      <c r="K1360" s="815"/>
    </row>
    <row r="1361" ht="55.15" customHeight="1" spans="1:11" x14ac:dyDescent="0.25" outlineLevel="1" collapsed="1">
      <c r="A1361" s="811" t="s">
        <v>316</v>
      </c>
      <c r="B1361" s="812" t="s">
        <v>2475</v>
      </c>
      <c r="C1361" s="684" t="s">
        <v>61</v>
      </c>
      <c r="D1361" s="684" t="s">
        <v>1822</v>
      </c>
      <c r="E1361" s="600"/>
      <c r="F1361" s="600"/>
      <c r="G1361" s="600"/>
      <c r="H1361" s="818"/>
      <c r="I1361" s="819"/>
      <c r="J1361" s="489"/>
      <c r="K1361" s="815"/>
    </row>
    <row r="1362" ht="41.5" customHeight="1" spans="1:11" x14ac:dyDescent="0.25" outlineLevel="1" collapsed="1">
      <c r="A1362" s="811" t="s">
        <v>318</v>
      </c>
      <c r="B1362" s="812" t="s">
        <v>2476</v>
      </c>
      <c r="C1362" s="684" t="s">
        <v>61</v>
      </c>
      <c r="D1362" s="684" t="s">
        <v>1826</v>
      </c>
      <c r="E1362" s="600"/>
      <c r="F1362" s="600"/>
      <c r="G1362" s="600"/>
      <c r="H1362" s="820"/>
      <c r="I1362" s="819"/>
      <c r="J1362" s="489"/>
      <c r="K1362" s="815"/>
    </row>
    <row r="1363" ht="57.65" customHeight="1" spans="1:11" x14ac:dyDescent="0.25" outlineLevel="1" collapsed="1">
      <c r="A1363" s="811" t="s">
        <v>478</v>
      </c>
      <c r="B1363" s="812" t="s">
        <v>2477</v>
      </c>
      <c r="C1363" s="684" t="s">
        <v>61</v>
      </c>
      <c r="D1363" s="684" t="s">
        <v>1456</v>
      </c>
      <c r="E1363" s="600"/>
      <c r="F1363" s="600"/>
      <c r="G1363" s="600"/>
      <c r="H1363" s="820"/>
      <c r="I1363" s="819"/>
      <c r="J1363" s="489"/>
      <c r="K1363" s="815"/>
    </row>
    <row r="1364" ht="29" customHeight="1" spans="1:11" x14ac:dyDescent="0.25" outlineLevel="1" collapsed="1">
      <c r="A1364" s="821" t="s">
        <v>481</v>
      </c>
      <c r="B1364" s="812" t="s">
        <v>2478</v>
      </c>
      <c r="C1364" s="684" t="s">
        <v>61</v>
      </c>
      <c r="D1364" s="684" t="s">
        <v>1822</v>
      </c>
      <c r="E1364" s="600"/>
      <c r="F1364" s="600"/>
      <c r="G1364" s="600"/>
      <c r="H1364" s="820"/>
      <c r="I1364" s="819"/>
      <c r="J1364" s="489"/>
      <c r="K1364" s="815"/>
    </row>
    <row r="1365" ht="14.5" customHeight="1" spans="1:11" x14ac:dyDescent="0.25" outlineLevel="1" collapsed="1">
      <c r="A1365" s="811" t="s">
        <v>483</v>
      </c>
      <c r="B1365" s="812" t="s">
        <v>2474</v>
      </c>
      <c r="C1365" s="684" t="s">
        <v>1423</v>
      </c>
      <c r="D1365" s="684"/>
      <c r="E1365" s="600"/>
      <c r="F1365" s="600"/>
      <c r="G1365" s="600"/>
      <c r="H1365" s="822"/>
      <c r="I1365" s="819"/>
      <c r="J1365" s="489"/>
      <c r="K1365" s="815"/>
    </row>
    <row r="1366" spans="1:11" x14ac:dyDescent="0.25">
      <c r="A1366" s="437" t="s">
        <v>2479</v>
      </c>
      <c r="B1366" s="438" t="s">
        <v>1247</v>
      </c>
      <c r="C1366" s="439"/>
      <c r="D1366" s="440"/>
      <c r="E1366" s="440"/>
      <c r="F1366" s="440"/>
      <c r="G1366" s="440"/>
      <c r="H1366" s="441"/>
      <c r="I1366" s="440"/>
      <c r="J1366" s="442"/>
      <c r="K1366" s="442"/>
    </row>
    <row r="1367" ht="14.5" customHeight="1" spans="1:11" x14ac:dyDescent="0.25">
      <c r="A1367" s="811" t="s">
        <v>306</v>
      </c>
      <c r="B1367" s="812" t="s">
        <v>2480</v>
      </c>
      <c r="C1367" s="684" t="s">
        <v>61</v>
      </c>
      <c r="D1367" s="684" t="s">
        <v>1822</v>
      </c>
      <c r="E1367" s="600"/>
      <c r="F1367" s="600"/>
      <c r="G1367" s="600"/>
      <c r="H1367" s="822"/>
      <c r="I1367" s="813"/>
      <c r="J1367" s="489"/>
      <c r="K1367" s="815"/>
    </row>
    <row r="1368" ht="14.5" customHeight="1" spans="1:11" x14ac:dyDescent="0.25">
      <c r="A1368" s="811" t="s">
        <v>308</v>
      </c>
      <c r="B1368" s="812" t="s">
        <v>2481</v>
      </c>
      <c r="C1368" s="684" t="s">
        <v>61</v>
      </c>
      <c r="D1368" s="684" t="s">
        <v>2482</v>
      </c>
      <c r="E1368" s="600"/>
      <c r="F1368" s="600"/>
      <c r="G1368" s="600"/>
      <c r="H1368" s="822"/>
      <c r="I1368" s="813"/>
      <c r="J1368" s="489"/>
      <c r="K1368" s="815"/>
    </row>
    <row r="1369" ht="14.5" customHeight="1" spans="1:11" x14ac:dyDescent="0.25">
      <c r="A1369" s="811"/>
      <c r="B1369" s="812"/>
      <c r="C1369" s="684"/>
      <c r="D1369" s="684"/>
      <c r="E1369" s="813"/>
      <c r="F1369" s="813"/>
      <c r="G1369" s="813"/>
      <c r="H1369" s="814"/>
      <c r="I1369" s="813"/>
      <c r="J1369" s="823"/>
      <c r="K1369" s="815"/>
    </row>
    <row r="1370" ht="14.5" customHeight="1" spans="1:11" x14ac:dyDescent="0.25">
      <c r="A1370" s="824"/>
      <c r="B1370" s="824"/>
      <c r="C1370" s="824"/>
      <c r="D1370" s="824"/>
      <c r="E1370" s="824"/>
      <c r="F1370" s="824"/>
      <c r="G1370" s="824"/>
      <c r="H1370" s="824"/>
      <c r="I1370" s="824"/>
      <c r="J1370" s="617"/>
      <c r="K1370" s="825"/>
    </row>
    <row r="1371" ht="14.5" customHeight="1" spans="1:11" x14ac:dyDescent="0.25">
      <c r="A1371" s="811"/>
      <c r="B1371" s="826"/>
      <c r="C1371" s="811"/>
      <c r="D1371" s="811"/>
      <c r="E1371" s="824"/>
      <c r="F1371" s="824"/>
      <c r="G1371" s="811"/>
      <c r="H1371" s="827"/>
      <c r="I1371" s="824"/>
      <c r="J1371" s="617"/>
      <c r="K1371" s="617"/>
    </row>
    <row r="1372" spans="1:11" x14ac:dyDescent="0.25">
      <c r="A1372" s="452" t="s">
        <v>1253</v>
      </c>
      <c r="B1372" s="453" t="s">
        <v>1254</v>
      </c>
      <c r="C1372" s="452"/>
      <c r="D1372" s="452"/>
      <c r="E1372" s="453"/>
      <c r="F1372" s="453"/>
      <c r="G1372" s="452"/>
      <c r="H1372" s="755"/>
      <c r="I1372" s="453"/>
      <c r="J1372" s="456"/>
      <c r="K1372" s="456"/>
    </row>
    <row r="1373" ht="14.5" customHeight="1" spans="1:11" x14ac:dyDescent="0.25">
      <c r="A1373" s="811" t="s">
        <v>306</v>
      </c>
      <c r="B1373" s="828" t="s">
        <v>2483</v>
      </c>
      <c r="C1373" s="684"/>
      <c r="D1373" s="684" t="s">
        <v>2028</v>
      </c>
      <c r="E1373" s="228"/>
      <c r="F1373" s="228"/>
      <c r="G1373" s="228"/>
      <c r="H1373" s="446" t="str">
        <f>IF(AND(E1373="Yes",F1373="Yes",G1373="Yes"),"Yes","No")</f>
        <v>Yes</v>
      </c>
      <c r="I1373" s="228"/>
      <c r="J1373" s="228"/>
      <c r="K1373" s="617"/>
    </row>
    <row r="1374" ht="14.5" customHeight="1" spans="1:11" x14ac:dyDescent="0.25">
      <c r="A1374" s="811" t="s">
        <v>308</v>
      </c>
      <c r="B1374" s="828" t="s">
        <v>2484</v>
      </c>
      <c r="C1374" s="684"/>
      <c r="D1374" s="684" t="s">
        <v>2028</v>
      </c>
      <c r="E1374" s="228"/>
      <c r="F1374" s="228"/>
      <c r="G1374" s="228"/>
      <c r="H1374" s="446" t="str">
        <f t="shared" ref="H1374:H1380" si="533">IF(AND(E1374="Yes",F1374="Yes",G1374="Yes"),"Yes","No")</f>
        <v>Yes</v>
      </c>
      <c r="I1374" s="228"/>
      <c r="J1374" s="228"/>
      <c r="K1374" s="617"/>
    </row>
    <row r="1375" ht="14.5" customHeight="1" spans="1:11" x14ac:dyDescent="0.25">
      <c r="A1375" s="811" t="s">
        <v>310</v>
      </c>
      <c r="B1375" s="828" t="s">
        <v>2485</v>
      </c>
      <c r="C1375" s="684"/>
      <c r="D1375" s="684" t="s">
        <v>2028</v>
      </c>
      <c r="E1375" s="228"/>
      <c r="F1375" s="228"/>
      <c r="G1375" s="228"/>
      <c r="H1375" s="446" t="str">
        <f t="shared" si="533"/>
        <v>Yes</v>
      </c>
      <c r="I1375" s="228"/>
      <c r="J1375" s="228"/>
      <c r="K1375" s="617"/>
    </row>
    <row r="1376" ht="14.5" customHeight="1" spans="1:11" x14ac:dyDescent="0.25">
      <c r="A1376" s="811" t="s">
        <v>312</v>
      </c>
      <c r="B1376" s="828" t="s">
        <v>2486</v>
      </c>
      <c r="C1376" s="684"/>
      <c r="D1376" s="684" t="s">
        <v>2028</v>
      </c>
      <c r="E1376" s="228"/>
      <c r="F1376" s="228"/>
      <c r="G1376" s="228"/>
      <c r="H1376" s="446" t="str">
        <f t="shared" si="533"/>
        <v>Yes</v>
      </c>
      <c r="I1376" s="228"/>
      <c r="J1376" s="228"/>
      <c r="K1376" s="617"/>
    </row>
    <row r="1377" ht="14.5" customHeight="1" spans="1:11" x14ac:dyDescent="0.25">
      <c r="A1377" s="811" t="s">
        <v>314</v>
      </c>
      <c r="B1377" s="828" t="s">
        <v>2487</v>
      </c>
      <c r="C1377" s="684"/>
      <c r="D1377" s="684" t="s">
        <v>2028</v>
      </c>
      <c r="E1377" s="228"/>
      <c r="F1377" s="228"/>
      <c r="G1377" s="228"/>
      <c r="H1377" s="446" t="str">
        <f t="shared" si="533"/>
        <v>Yes</v>
      </c>
      <c r="I1377" s="228"/>
      <c r="J1377" s="228"/>
      <c r="K1377" s="617"/>
    </row>
    <row r="1378" ht="14.5" customHeight="1" spans="1:11" x14ac:dyDescent="0.25">
      <c r="A1378" s="811" t="s">
        <v>316</v>
      </c>
      <c r="B1378" s="828" t="s">
        <v>2488</v>
      </c>
      <c r="C1378" s="684"/>
      <c r="D1378" s="684" t="s">
        <v>2028</v>
      </c>
      <c r="E1378" s="228"/>
      <c r="F1378" s="228"/>
      <c r="G1378" s="228"/>
      <c r="H1378" s="446" t="str">
        <f t="shared" si="533"/>
        <v>Yes</v>
      </c>
      <c r="I1378" s="228"/>
      <c r="J1378" s="228"/>
      <c r="K1378" s="617"/>
    </row>
    <row r="1379" ht="14.5" customHeight="1" spans="1:11" x14ac:dyDescent="0.25">
      <c r="A1379" s="811" t="s">
        <v>318</v>
      </c>
      <c r="B1379" s="246" t="s">
        <v>2489</v>
      </c>
      <c r="C1379" s="684"/>
      <c r="D1379" s="684" t="s">
        <v>2028</v>
      </c>
      <c r="E1379" s="228"/>
      <c r="F1379" s="228"/>
      <c r="G1379" s="228"/>
      <c r="H1379" s="446" t="str">
        <f t="shared" si="533"/>
        <v>Yes</v>
      </c>
      <c r="I1379" s="228"/>
      <c r="J1379" s="228"/>
      <c r="K1379" s="815"/>
    </row>
    <row r="1380" ht="14.5" customHeight="1" spans="1:11" x14ac:dyDescent="0.25">
      <c r="A1380" s="811" t="s">
        <v>478</v>
      </c>
      <c r="B1380" s="246" t="s">
        <v>2490</v>
      </c>
      <c r="C1380" s="684"/>
      <c r="D1380" s="684" t="s">
        <v>2028</v>
      </c>
      <c r="E1380" s="228"/>
      <c r="F1380" s="228"/>
      <c r="G1380" s="228"/>
      <c r="H1380" s="446" t="str">
        <f t="shared" si="533"/>
        <v>Yes</v>
      </c>
      <c r="I1380" s="228"/>
      <c r="J1380" s="496"/>
      <c r="K1380" s="815"/>
    </row>
    <row r="1381" ht="14.5" customHeight="1" spans="1:11" x14ac:dyDescent="0.25">
      <c r="A1381" s="829" t="s">
        <v>1264</v>
      </c>
      <c r="B1381" s="503" t="s">
        <v>1265</v>
      </c>
      <c r="C1381" s="504" t="s">
        <v>61</v>
      </c>
      <c r="D1381" s="504" t="s">
        <v>2491</v>
      </c>
      <c r="E1381" s="504"/>
      <c r="F1381" s="504"/>
      <c r="G1381" s="504"/>
      <c r="H1381" s="504"/>
      <c r="I1381" s="830"/>
      <c r="J1381" s="442"/>
      <c r="K1381" s="442"/>
    </row>
    <row r="1382" ht="14.5" customHeight="1" spans="1:11" x14ac:dyDescent="0.25">
      <c r="A1382" s="507" t="s">
        <v>306</v>
      </c>
      <c r="B1382" s="246" t="s">
        <v>2492</v>
      </c>
      <c r="C1382" s="245" t="s">
        <v>61</v>
      </c>
      <c r="D1382" s="245" t="s">
        <v>2491</v>
      </c>
      <c r="E1382" s="698"/>
      <c r="F1382" s="445"/>
      <c r="G1382" s="445"/>
      <c r="H1382" s="446">
        <f t="shared" ref="H1382" si="534">IF(K$9=1,E1382,IF(K$9=2,(E1382+F1382)/2,(E1382+F1382+G1382)/3))</f>
        <v>671</v>
      </c>
      <c r="I1382" s="698"/>
      <c r="J1382" s="831"/>
      <c r="K1382" s="832"/>
    </row>
    <row r="1383" ht="14.5" customHeight="1" spans="1:11" x14ac:dyDescent="0.25">
      <c r="A1383" s="833" t="s">
        <v>308</v>
      </c>
      <c r="B1383" s="834" t="s">
        <v>1268</v>
      </c>
      <c r="C1383" s="242"/>
      <c r="D1383" s="835"/>
      <c r="E1383" s="836"/>
      <c r="F1383" s="836"/>
      <c r="G1383" s="836"/>
      <c r="H1383" s="585"/>
      <c r="I1383" s="836"/>
      <c r="J1383" s="837"/>
      <c r="K1383" s="838"/>
    </row>
    <row r="1384" ht="14.5" customHeight="1" spans="1:11" x14ac:dyDescent="0.25">
      <c r="A1384" s="833" t="s">
        <v>103</v>
      </c>
      <c r="B1384" s="834" t="s">
        <v>1269</v>
      </c>
      <c r="C1384" s="242"/>
      <c r="D1384" s="835"/>
      <c r="E1384" s="836"/>
      <c r="F1384" s="836"/>
      <c r="G1384" s="836"/>
      <c r="H1384" s="585"/>
      <c r="I1384" s="836"/>
      <c r="J1384" s="837"/>
      <c r="K1384" s="838"/>
    </row>
    <row r="1385" ht="14.5" customHeight="1" spans="1:11" x14ac:dyDescent="0.25">
      <c r="A1385" s="507" t="s">
        <v>1270</v>
      </c>
      <c r="B1385" s="508" t="s">
        <v>2493</v>
      </c>
      <c r="C1385" s="245" t="s">
        <v>61</v>
      </c>
      <c r="D1385" s="509" t="s">
        <v>1826</v>
      </c>
      <c r="E1385" s="698"/>
      <c r="F1385" s="445"/>
      <c r="G1385" s="445"/>
      <c r="H1385" s="446">
        <f t="shared" ref="H1385:H1391" si="535">IF(K$9=1,E1385,IF(K$9=2,(E1385+F1385)/2,(E1385+F1385+G1385)/3))</f>
        <v>19201.659600000054</v>
      </c>
      <c r="I1385" s="698"/>
      <c r="J1385" s="831"/>
      <c r="K1385" s="832"/>
    </row>
    <row r="1386" ht="14.5" customHeight="1" spans="1:11" x14ac:dyDescent="0.25">
      <c r="A1386" s="507" t="s">
        <v>1272</v>
      </c>
      <c r="B1386" s="508" t="s">
        <v>37</v>
      </c>
      <c r="C1386" s="245" t="s">
        <v>61</v>
      </c>
      <c r="D1386" s="509" t="s">
        <v>1826</v>
      </c>
      <c r="E1386" s="228"/>
      <c r="F1386" s="445"/>
      <c r="G1386" s="445"/>
      <c r="H1386" s="446">
        <f t="shared" si="535"/>
        <v>0</v>
      </c>
      <c r="I1386" s="228"/>
      <c r="J1386" s="839"/>
      <c r="K1386" s="832"/>
    </row>
    <row r="1387" ht="14.5" customHeight="1" spans="1:11" x14ac:dyDescent="0.25">
      <c r="A1387" s="507" t="s">
        <v>1274</v>
      </c>
      <c r="B1387" s="508" t="s">
        <v>2494</v>
      </c>
      <c r="C1387" s="245" t="s">
        <v>61</v>
      </c>
      <c r="D1387" s="509" t="s">
        <v>1826</v>
      </c>
      <c r="E1387" s="228"/>
      <c r="F1387" s="445"/>
      <c r="G1387" s="445"/>
      <c r="H1387" s="446">
        <f t="shared" si="535"/>
        <v>0</v>
      </c>
      <c r="I1387" s="228"/>
      <c r="J1387" s="839"/>
      <c r="K1387" s="832"/>
    </row>
    <row r="1388" ht="14.5" customHeight="1" spans="1:11" x14ac:dyDescent="0.25">
      <c r="A1388" s="507" t="s">
        <v>1276</v>
      </c>
      <c r="B1388" s="508" t="s">
        <v>2495</v>
      </c>
      <c r="C1388" s="245" t="s">
        <v>61</v>
      </c>
      <c r="D1388" s="509" t="s">
        <v>1826</v>
      </c>
      <c r="E1388" s="228"/>
      <c r="F1388" s="445"/>
      <c r="G1388" s="445"/>
      <c r="H1388" s="446">
        <f t="shared" si="535"/>
        <v>0</v>
      </c>
      <c r="I1388" s="228"/>
      <c r="J1388" s="839"/>
      <c r="K1388" s="832"/>
    </row>
    <row r="1389" ht="14.5" customHeight="1" spans="1:11" x14ac:dyDescent="0.25">
      <c r="A1389" s="833" t="s">
        <v>125</v>
      </c>
      <c r="B1389" s="834" t="s">
        <v>2496</v>
      </c>
      <c r="C1389" s="245" t="s">
        <v>61</v>
      </c>
      <c r="D1389" s="509" t="s">
        <v>1826</v>
      </c>
      <c r="E1389" s="698"/>
      <c r="F1389" s="445"/>
      <c r="G1389" s="445"/>
      <c r="H1389" s="446">
        <f t="shared" si="535"/>
        <v>1737.9841993131747</v>
      </c>
      <c r="I1389" s="698"/>
      <c r="J1389" s="831"/>
      <c r="K1389" s="832"/>
    </row>
    <row r="1390" ht="14.5" customHeight="1" spans="1:11" x14ac:dyDescent="0.25">
      <c r="A1390" s="833" t="s">
        <v>182</v>
      </c>
      <c r="B1390" s="834" t="s">
        <v>1110</v>
      </c>
      <c r="C1390" s="245" t="s">
        <v>61</v>
      </c>
      <c r="D1390" s="509" t="s">
        <v>1826</v>
      </c>
      <c r="E1390" s="228"/>
      <c r="F1390" s="445"/>
      <c r="G1390" s="445"/>
      <c r="H1390" s="446">
        <f t="shared" si="535"/>
        <v>0</v>
      </c>
      <c r="I1390" s="228"/>
      <c r="J1390" s="839"/>
      <c r="K1390" s="832"/>
    </row>
    <row r="1391" ht="14.5" customHeight="1" spans="1:11" x14ac:dyDescent="0.25">
      <c r="A1391" s="507" t="s">
        <v>310</v>
      </c>
      <c r="B1391" s="508" t="s">
        <v>2497</v>
      </c>
      <c r="C1391" s="245" t="s">
        <v>61</v>
      </c>
      <c r="D1391" s="509" t="s">
        <v>2033</v>
      </c>
      <c r="E1391" s="698"/>
      <c r="F1391" s="445"/>
      <c r="G1391" s="445"/>
      <c r="H1391" s="446">
        <f t="shared" si="535"/>
        <v>437.9492017270165</v>
      </c>
      <c r="I1391" s="698"/>
      <c r="J1391" s="696"/>
      <c r="K1391" s="832"/>
    </row>
    <row r="1392" spans="1:11" x14ac:dyDescent="0.25">
      <c r="A1392" s="840"/>
      <c r="B1392" s="841"/>
      <c r="C1392" s="414"/>
      <c r="D1392" s="484"/>
      <c r="E1392" s="842"/>
      <c r="F1392" s="842"/>
      <c r="G1392" s="842"/>
      <c r="H1392" s="843"/>
      <c r="I1392" s="844"/>
      <c r="J1392" s="845"/>
      <c r="K1392" s="495"/>
    </row>
    <row r="1393" spans="1:11" x14ac:dyDescent="0.25">
      <c r="A1393" s="437" t="s">
        <v>1281</v>
      </c>
      <c r="B1393" s="438" t="s">
        <v>2498</v>
      </c>
      <c r="C1393" s="439" t="s">
        <v>2028</v>
      </c>
      <c r="D1393" s="440"/>
      <c r="E1393" s="846"/>
      <c r="F1393" s="846"/>
      <c r="G1393" s="847"/>
      <c r="H1393" s="848"/>
      <c r="I1393" s="849"/>
      <c r="J1393" s="442"/>
      <c r="K1393" s="442"/>
    </row>
    <row r="1394" ht="15.5" customHeight="1" spans="1:11" s="274" customFormat="1" x14ac:dyDescent="0.25">
      <c r="A1394" s="850" t="s">
        <v>1284</v>
      </c>
      <c r="B1394" s="851" t="s">
        <v>2499</v>
      </c>
      <c r="C1394" s="852"/>
      <c r="D1394" s="852"/>
      <c r="E1394" s="852"/>
      <c r="F1394" s="852"/>
      <c r="G1394" s="852"/>
      <c r="H1394" s="853"/>
      <c r="I1394" s="852"/>
      <c r="J1394" s="854"/>
      <c r="K1394" s="855"/>
    </row>
    <row r="1395" ht="45.75" customHeight="1" spans="1:11" x14ac:dyDescent="0.25">
      <c r="A1395" s="331" t="s">
        <v>1543</v>
      </c>
      <c r="B1395" s="332" t="s">
        <v>1544</v>
      </c>
      <c r="C1395" s="331" t="s">
        <v>1545</v>
      </c>
      <c r="D1395" s="331" t="s">
        <v>1453</v>
      </c>
      <c r="E1395" s="856" t="str">
        <f>E8</f>
        <v>Baseline Year</v>
      </c>
      <c r="F1395" s="857" t="str">
        <f>IF($K$9=1,"Do not Enter any Data in this Coloumn","Year 2 
(Baseline)")</f>
        <v>Do not Enter any Data in this Coloumn</v>
      </c>
      <c r="G1395" s="857" t="str">
        <f>IF($K$9=3,"Year 3 
(Baseline)","Do not Enter any Data in this Coloumn")</f>
        <v>Do not Enter any Data in this Coloumn</v>
      </c>
      <c r="H1395" s="856" t="str">
        <f>H8</f>
        <v>Baseline Year(s)</v>
      </c>
      <c r="I1395" s="856" t="str">
        <f>I8</f>
        <v>Current/Assessment /Target Year   </v>
      </c>
      <c r="J1395" s="856" t="str">
        <f>J8</f>
        <v>Source of Data</v>
      </c>
      <c r="K1395" s="856" t="s">
        <v>1548</v>
      </c>
    </row>
    <row r="1396" ht="22.5" customHeight="1" spans="1:11" x14ac:dyDescent="0.25">
      <c r="A1396" s="331"/>
      <c r="B1396" s="332"/>
      <c r="C1396" s="331"/>
      <c r="D1396" s="331"/>
      <c r="E1396" s="856" t="str">
        <f>E9</f>
        <v>2023-24</v>
      </c>
      <c r="F1396" s="856">
        <f>F9</f>
      </c>
      <c r="G1396" s="856" t="str">
        <f>G9</f>
        <v> </v>
      </c>
      <c r="H1396" s="856" t="str">
        <f>H9</f>
        <v>2023-24</v>
      </c>
      <c r="I1396" s="856" t="str">
        <f>I9</f>
        <v>2025-26</v>
      </c>
      <c r="J1396" s="858"/>
      <c r="K1396" s="859"/>
    </row>
    <row r="1397" spans="1:11" x14ac:dyDescent="0.25">
      <c r="A1397" s="723">
        <v>1</v>
      </c>
      <c r="B1397" s="722" t="s">
        <v>2500</v>
      </c>
      <c r="C1397" s="723" t="s">
        <v>61</v>
      </c>
      <c r="D1397" s="723" t="s">
        <v>2147</v>
      </c>
      <c r="E1397" s="606">
        <f>E1423</f>
        <v>621645.239202561</v>
      </c>
      <c r="F1397" s="606">
        <f t="shared" ref="F1397:I1397" si="536">F1423</f>
        <v>0</v>
      </c>
      <c r="G1397" s="606">
        <f t="shared" si="536"/>
        <v>0</v>
      </c>
      <c r="H1397" s="606">
        <f t="shared" si="536"/>
        <v>621645.239202561</v>
      </c>
      <c r="I1397" s="606">
        <f t="shared" si="536"/>
        <v>0</v>
      </c>
      <c r="J1397" s="845"/>
      <c r="K1397" s="845"/>
    </row>
    <row r="1398" spans="1:11" x14ac:dyDescent="0.25">
      <c r="A1398" s="723">
        <v>2</v>
      </c>
      <c r="B1398" s="722" t="s">
        <v>2501</v>
      </c>
      <c r="C1398" s="723" t="s">
        <v>61</v>
      </c>
      <c r="D1398" s="723" t="s">
        <v>2147</v>
      </c>
      <c r="E1398" s="606">
        <f>E1449</f>
        <v>64919.920292295144</v>
      </c>
      <c r="F1398" s="606">
        <f t="shared" ref="F1398:I1398" si="537">F1449</f>
        <v>0</v>
      </c>
      <c r="G1398" s="606">
        <f t="shared" si="537"/>
        <v>0</v>
      </c>
      <c r="H1398" s="606">
        <f t="shared" si="537"/>
        <v>64919.920292295144</v>
      </c>
      <c r="I1398" s="606">
        <f t="shared" si="537"/>
        <v>0</v>
      </c>
      <c r="J1398" s="845"/>
      <c r="K1398" s="845"/>
    </row>
    <row r="1399" spans="1:11" x14ac:dyDescent="0.25">
      <c r="A1399" s="723">
        <v>3</v>
      </c>
      <c r="B1399" s="722" t="s">
        <v>2502</v>
      </c>
      <c r="C1399" s="723" t="s">
        <v>61</v>
      </c>
      <c r="D1399" s="723" t="s">
        <v>2147</v>
      </c>
      <c r="E1399" s="606">
        <f>E1431</f>
        <v>43002.86121553445</v>
      </c>
      <c r="F1399" s="606">
        <f>F1431</f>
        <v>0</v>
      </c>
      <c r="G1399" s="606">
        <f>G1431</f>
        <v>0</v>
      </c>
      <c r="H1399" s="606">
        <f>H1431</f>
        <v>43002.86121553445</v>
      </c>
      <c r="I1399" s="606">
        <f>I1431</f>
        <v>0</v>
      </c>
      <c r="J1399" s="845"/>
      <c r="K1399" s="845"/>
    </row>
    <row r="1400" spans="1:11" x14ac:dyDescent="0.25">
      <c r="A1400" s="723">
        <v>4</v>
      </c>
      <c r="B1400" s="722" t="s">
        <v>2503</v>
      </c>
      <c r="C1400" s="723" t="s">
        <v>61</v>
      </c>
      <c r="D1400" s="723" t="s">
        <v>2147</v>
      </c>
      <c r="E1400" s="606">
        <f>E1437</f>
        <v>10195.956180138399</v>
      </c>
      <c r="F1400" s="606">
        <f>F1437</f>
        <v>0</v>
      </c>
      <c r="G1400" s="606">
        <f>G1437</f>
        <v>0</v>
      </c>
      <c r="H1400" s="606">
        <f>H1437</f>
        <v>10195.956180138399</v>
      </c>
      <c r="I1400" s="606">
        <f>I1437</f>
        <v>0</v>
      </c>
      <c r="J1400" s="845"/>
      <c r="K1400" s="845"/>
    </row>
    <row r="1401" spans="1:11" x14ac:dyDescent="0.25">
      <c r="A1401" s="723">
        <v>5</v>
      </c>
      <c r="B1401" s="722" t="s">
        <v>2504</v>
      </c>
      <c r="C1401" s="723" t="s">
        <v>61</v>
      </c>
      <c r="D1401" s="723" t="s">
        <v>2147</v>
      </c>
      <c r="E1401" s="606">
        <f t="shared" ref="E1401:F1401" si="538">E1453</f>
        <v>359.16650000000004</v>
      </c>
      <c r="F1401" s="606">
        <f t="shared" si="538"/>
        <v>0</v>
      </c>
      <c r="G1401" s="606">
        <f>G1453</f>
        <v>0</v>
      </c>
      <c r="H1401" s="606">
        <f>H1453</f>
        <v>359.16650000000004</v>
      </c>
      <c r="I1401" s="606">
        <f>I1453</f>
        <v>0</v>
      </c>
      <c r="J1401" s="845"/>
      <c r="K1401" s="845"/>
    </row>
    <row r="1402" spans="1:11" x14ac:dyDescent="0.25">
      <c r="A1402" s="723">
        <v>6</v>
      </c>
      <c r="B1402" s="722" t="s">
        <v>2505</v>
      </c>
      <c r="C1402" s="723" t="s">
        <v>61</v>
      </c>
      <c r="D1402" s="723" t="s">
        <v>2147</v>
      </c>
      <c r="E1402" s="606">
        <f t="shared" ref="E1402:F1402" si="539">E1459</f>
        <v>0</v>
      </c>
      <c r="F1402" s="606">
        <f t="shared" si="539"/>
        <v>0</v>
      </c>
      <c r="G1402" s="606">
        <f>G1459</f>
        <v>0</v>
      </c>
      <c r="H1402" s="606">
        <f>H1459</f>
        <v>0</v>
      </c>
      <c r="I1402" s="606">
        <f>I1459</f>
        <v>0</v>
      </c>
      <c r="J1402" s="845"/>
      <c r="K1402" s="845"/>
    </row>
    <row r="1403" spans="1:11" x14ac:dyDescent="0.25">
      <c r="A1403" s="723">
        <v>7</v>
      </c>
      <c r="B1403" s="722" t="s">
        <v>2506</v>
      </c>
      <c r="C1403" s="723" t="s">
        <v>61</v>
      </c>
      <c r="D1403" s="723" t="s">
        <v>2147</v>
      </c>
      <c r="E1403" s="606">
        <f t="shared" ref="E1403:F1403" si="540">E1465</f>
        <v>0</v>
      </c>
      <c r="F1403" s="606">
        <f t="shared" si="540"/>
        <v>0</v>
      </c>
      <c r="G1403" s="606">
        <f>G1465</f>
        <v>0</v>
      </c>
      <c r="H1403" s="606">
        <f>H1465</f>
        <v>0</v>
      </c>
      <c r="I1403" s="606">
        <f>I1465</f>
        <v>0</v>
      </c>
      <c r="J1403" s="845"/>
      <c r="K1403" s="845"/>
    </row>
    <row r="1404" spans="1:11" x14ac:dyDescent="0.25">
      <c r="A1404" s="723">
        <v>8</v>
      </c>
      <c r="B1404" s="722" t="s">
        <v>2507</v>
      </c>
      <c r="C1404" s="723" t="s">
        <v>61</v>
      </c>
      <c r="D1404" s="723" t="s">
        <v>2147</v>
      </c>
      <c r="E1404" s="606">
        <f>IF('General Information'!$G$4="refinery",E1402, IF('General Information'!$G$4="Integrated",SUM(E1397:E1402),E1397+E1398+E1399+E1400+E1401))</f>
        <v>740123.1433905291</v>
      </c>
      <c r="F1404" s="606">
        <f>IF('General Information'!$G$4="refinery",F1402, IF('General Information'!$G$4="Integrated",SUM(F1397:F1402),F1397+F1398+F1399+F1400+F1401))</f>
        <v>0</v>
      </c>
      <c r="G1404" s="606">
        <f>IF('General Information'!$G$4="refinery",G1402, IF('General Information'!$G$4="Integrated",SUM(G1397:G1402),G1397+G1398+G1399+G1400+G1401))</f>
        <v>0</v>
      </c>
      <c r="H1404" s="606">
        <f>IF('General Information'!$G$4="refinery",H1402, IF('General Information'!$G$4="Integrated",SUM(H1397:H1402),H1397+H1398+H1399+H1400+H1401))</f>
        <v>740123.1433905291</v>
      </c>
      <c r="I1404" s="606">
        <f>IF('General Information'!$G$4="refinery",I1402, IF('General Information'!$G$4="Integrated",SUM(I1397:I1402),I1397+I1398+I1399+I1400+I1401))</f>
        <v>0</v>
      </c>
      <c r="J1404" s="845"/>
      <c r="K1404" s="845"/>
    </row>
    <row r="1405" spans="1:11" x14ac:dyDescent="0.25">
      <c r="A1405" s="331"/>
      <c r="B1405" s="332"/>
      <c r="C1405" s="331"/>
      <c r="D1405" s="331"/>
      <c r="E1405" s="331"/>
      <c r="F1405" s="331"/>
      <c r="G1405" s="331"/>
      <c r="H1405" s="331"/>
      <c r="I1405" s="331"/>
      <c r="J1405" s="518"/>
      <c r="K1405" s="646"/>
    </row>
    <row r="1406" ht="14.5" customHeight="1" hidden="1" spans="1:11" x14ac:dyDescent="0.25">
      <c r="A1406" s="860" t="s">
        <v>54</v>
      </c>
      <c r="B1406" s="565" t="s">
        <v>1549</v>
      </c>
      <c r="C1406" s="565"/>
      <c r="D1406" s="565"/>
      <c r="E1406" s="861"/>
      <c r="F1406" s="861"/>
      <c r="G1406" s="861"/>
      <c r="H1406" s="862"/>
      <c r="I1406" s="861"/>
      <c r="J1406" s="863"/>
      <c r="K1406" s="863"/>
    </row>
    <row r="1407" ht="14.5" customHeight="1" hidden="1" spans="1:11" x14ac:dyDescent="0.25">
      <c r="A1407" s="864" t="s">
        <v>306</v>
      </c>
      <c r="B1407" s="865" t="s">
        <v>1550</v>
      </c>
      <c r="C1407" s="864" t="s">
        <v>61</v>
      </c>
      <c r="D1407" s="864" t="s">
        <v>1551</v>
      </c>
      <c r="E1407" s="446">
        <f t="shared" ref="E1407:I1407" si="541">$H$54</f>
        <v>410661.738</v>
      </c>
      <c r="F1407" s="446">
        <f t="shared" si="541"/>
        <v>410661.738</v>
      </c>
      <c r="G1407" s="446">
        <f t="shared" si="541"/>
        <v>410661.738</v>
      </c>
      <c r="H1407" s="446">
        <f>$H$54</f>
        <v>410661.738</v>
      </c>
      <c r="I1407" s="446">
        <f t="shared" si="541"/>
        <v>410661.738</v>
      </c>
      <c r="J1407" s="845"/>
      <c r="K1407" s="845"/>
    </row>
    <row r="1408" ht="14.5" customHeight="1" hidden="1" spans="1:11" x14ac:dyDescent="0.25">
      <c r="A1408" s="864" t="s">
        <v>308</v>
      </c>
      <c r="B1408" s="865" t="s">
        <v>1322</v>
      </c>
      <c r="C1408" s="864" t="s">
        <v>1552</v>
      </c>
      <c r="D1408" s="864" t="s">
        <v>1553</v>
      </c>
      <c r="E1408" s="864"/>
      <c r="F1408" s="864"/>
      <c r="G1408" s="864"/>
      <c r="H1408" s="866" t="s">
        <v>1561</v>
      </c>
      <c r="I1408" s="864"/>
      <c r="J1408" s="845"/>
      <c r="K1408" s="845"/>
    </row>
    <row r="1409" ht="14.5" customHeight="1" hidden="1" spans="1:11" x14ac:dyDescent="0.25">
      <c r="A1409" s="864" t="s">
        <v>310</v>
      </c>
      <c r="B1409" s="865" t="s">
        <v>1555</v>
      </c>
      <c r="C1409" s="864" t="s">
        <v>1556</v>
      </c>
      <c r="D1409" s="864" t="s">
        <v>1557</v>
      </c>
      <c r="E1409" s="446">
        <f>IF(E1408="Soderberg",E1462,E1461)</f>
        <v>0</v>
      </c>
      <c r="F1409" s="446">
        <f>IF(F1408="Soderberg",F1462,F1461)</f>
        <v>0</v>
      </c>
      <c r="G1409" s="446">
        <f>IF(G1408="Prebake",'Emission Factor &amp; GWP Backup'!$D$69,IF(G1408="Soderberg",'Emission Factor &amp; GWP Backup'!$D$70,0))</f>
        <v>0.07</v>
      </c>
      <c r="H1409" s="446">
        <f>IF(H1408="Prebake",'Emission Factor &amp; GWP Backup'!$D$69,IF(H1408="Soderberg",'Emission Factor &amp; GWP Backup'!$D$70,0))</f>
        <v>0.07</v>
      </c>
      <c r="I1409" s="446">
        <f>IF(I1408="Prebake",'Emission Factor &amp; GWP Backup'!$D$69,IF(I1408="Soderberg",'Emission Factor &amp; GWP Backup'!$D$70,0))</f>
        <v>0.07</v>
      </c>
      <c r="J1409" s="845"/>
      <c r="K1409" s="845"/>
    </row>
    <row r="1410" ht="14.5" customHeight="1" hidden="1" spans="1:11" x14ac:dyDescent="0.25">
      <c r="A1410" s="864" t="s">
        <v>312</v>
      </c>
      <c r="B1410" s="865" t="s">
        <v>1558</v>
      </c>
      <c r="C1410" s="864" t="s">
        <v>1559</v>
      </c>
      <c r="D1410" s="864" t="s">
        <v>1560</v>
      </c>
      <c r="E1410" s="446">
        <f>E1409*E1407</f>
        <v>0</v>
      </c>
      <c r="F1410" s="446">
        <f>F1409*F1407</f>
        <v>0</v>
      </c>
      <c r="G1410" s="446">
        <f>G1409*G1407</f>
        <v>28746.321660000005</v>
      </c>
      <c r="H1410" s="446">
        <f>H1409*H1407</f>
        <v>28746.321660000005</v>
      </c>
      <c r="I1410" s="446">
        <f>I1409*I1407</f>
        <v>28746.321660000005</v>
      </c>
      <c r="J1410" s="845"/>
      <c r="K1410" s="845"/>
    </row>
    <row r="1411" ht="14.5" customHeight="1" hidden="1" spans="1:11" x14ac:dyDescent="0.25">
      <c r="A1411" s="860" t="s">
        <v>459</v>
      </c>
      <c r="B1411" s="565" t="s">
        <v>2508</v>
      </c>
      <c r="C1411" s="565"/>
      <c r="D1411" s="565"/>
      <c r="E1411" s="861"/>
      <c r="F1411" s="861"/>
      <c r="G1411" s="861"/>
      <c r="H1411" s="862"/>
      <c r="I1411" s="861"/>
      <c r="J1411" s="863"/>
      <c r="K1411" s="863"/>
    </row>
    <row r="1412" ht="14.5" customHeight="1" hidden="1" spans="1:11" x14ac:dyDescent="0.25">
      <c r="A1412" s="864" t="s">
        <v>306</v>
      </c>
      <c r="B1412" s="865" t="s">
        <v>1322</v>
      </c>
      <c r="C1412" s="864" t="s">
        <v>1552</v>
      </c>
      <c r="D1412" s="867" t="s">
        <v>1553</v>
      </c>
      <c r="E1412" s="864"/>
      <c r="F1412" s="864"/>
      <c r="G1412" s="864"/>
      <c r="H1412" s="864" t="s">
        <v>1562</v>
      </c>
      <c r="I1412" s="864"/>
      <c r="J1412" s="845"/>
      <c r="K1412" s="845"/>
    </row>
    <row r="1413" ht="14.5" customHeight="1" hidden="1" spans="1:11" x14ac:dyDescent="0.25">
      <c r="A1413" s="864" t="s">
        <v>308</v>
      </c>
      <c r="B1413" s="865" t="s">
        <v>1564</v>
      </c>
      <c r="C1413" s="864" t="s">
        <v>1556</v>
      </c>
      <c r="D1413" s="867" t="s">
        <v>1565</v>
      </c>
      <c r="E1413" s="446">
        <f>IF(E1412="CWPB",'Emission Factor &amp; GWP Backup'!$D$71,IF(E1412="SWPB",'Emission Factor &amp; GWP Backup'!$D$72,IF(E1412="VSS",'Emission Factor &amp; GWP Backup'!$D$73,IF(E1412="HSS",'Emission Factor &amp; GWP Backup'!$D$74,0))))</f>
        <v>0.4</v>
      </c>
      <c r="F1413" s="446">
        <f>IF(F1412="CWPB",'Emission Factor &amp; GWP Backup'!$D$71,IF(F1412="SWPB",'Emission Factor &amp; GWP Backup'!$D$72,IF(F1412="VSS",'Emission Factor &amp; GWP Backup'!$D$73,IF(F1412="HSS",'Emission Factor &amp; GWP Backup'!$D$74,0))))</f>
        <v>0.4</v>
      </c>
      <c r="G1413" s="446">
        <f>IF(G1412="CWPB",'Emission Factor &amp; GWP Backup'!$D$71,IF(G1412="SWPB",'Emission Factor &amp; GWP Backup'!$D$72,IF(G1412="VSS",'Emission Factor &amp; GWP Backup'!$D$73,IF(G1412="HSS",'Emission Factor &amp; GWP Backup'!$D$74,0))))</f>
        <v>0.4</v>
      </c>
      <c r="H1413" s="446">
        <f>IF(H1412="CWPB",'Emission Factor &amp; GWP Backup'!$D$71,IF(H1412="SWPB",'Emission Factor &amp; GWP Backup'!$D$72,IF(H1412="VSS",'Emission Factor &amp; GWP Backup'!$D$73,IF(H1412="HSS",'Emission Factor &amp; GWP Backup'!$D$74,0))))</f>
        <v>0.4</v>
      </c>
      <c r="I1413" s="446">
        <f>IF(I1412="CWPB",'Emission Factor &amp; GWP Backup'!$D$71,IF(I1412="SWPB",'Emission Factor &amp; GWP Backup'!$D$72,IF(I1412="VSS",'Emission Factor &amp; GWP Backup'!$D$73,IF(I1412="HSS",'Emission Factor &amp; GWP Backup'!$D$74,0))))</f>
        <v>0.4</v>
      </c>
      <c r="J1413" s="845"/>
      <c r="K1413" s="845"/>
    </row>
    <row r="1414" ht="14.5" customHeight="1" hidden="1" spans="1:11" x14ac:dyDescent="0.25">
      <c r="A1414" s="864" t="s">
        <v>310</v>
      </c>
      <c r="B1414" s="865" t="s">
        <v>1566</v>
      </c>
      <c r="C1414" s="864" t="s">
        <v>1556</v>
      </c>
      <c r="D1414" s="867" t="s">
        <v>1567</v>
      </c>
      <c r="E1414" s="446">
        <f>IF(E1412="CWPB",'Emission Factor &amp; GWP Backup'!$D$75,IF(E1412="SWPB",'Emission Factor &amp; GWP Backup'!$D$76,IF(E1412="VSS",'Emission Factor &amp; GWP Backup'!$D$77,IF(E1412="HSS",'Emission Factor &amp; GWP Backup'!$D$78,0))))</f>
        <v>0.03</v>
      </c>
      <c r="F1414" s="446">
        <f>IF(F1412="CWPB",'Emission Factor &amp; GWP Backup'!$D$75,IF(F1412="SWPB",'Emission Factor &amp; GWP Backup'!$D$76,IF(F1412="VSS",'Emission Factor &amp; GWP Backup'!$D$77,IF(F1412="HSS",'Emission Factor &amp; GWP Backup'!$D$78,0))))</f>
        <v>0.03</v>
      </c>
      <c r="G1414" s="446">
        <f>IF(G1412="CWPB",'Emission Factor &amp; GWP Backup'!$D$75,IF(G1412="SWPB",'Emission Factor &amp; GWP Backup'!$D$76,IF(G1412="VSS",'Emission Factor &amp; GWP Backup'!$D$77,IF(G1412="HSS",'Emission Factor &amp; GWP Backup'!$D$78,0))))</f>
        <v>0.03</v>
      </c>
      <c r="H1414" s="446">
        <f>IF(H1412="CWPB",'Emission Factor &amp; GWP Backup'!$D$75,IF(H1412="SWPB",'Emission Factor &amp; GWP Backup'!$D$76,IF(H1412="VSS",'Emission Factor &amp; GWP Backup'!$D$77,IF(H1412="HSS",'Emission Factor &amp; GWP Backup'!$D$78,0))))</f>
        <v>0.03</v>
      </c>
      <c r="I1414" s="446">
        <f>IF(I1412="CWPB",'Emission Factor &amp; GWP Backup'!$D$75,IF(I1412="SWPB",'Emission Factor &amp; GWP Backup'!$D$76,IF(I1412="VSS",'Emission Factor &amp; GWP Backup'!$D$77,IF(I1412="HSS",'Emission Factor &amp; GWP Backup'!$D$78,0))))</f>
        <v>0.03</v>
      </c>
      <c r="J1414" s="845"/>
      <c r="K1414" s="845"/>
    </row>
    <row r="1415" ht="14.5" customHeight="1" hidden="1" spans="1:11" x14ac:dyDescent="0.25">
      <c r="A1415" s="864" t="s">
        <v>312</v>
      </c>
      <c r="B1415" s="865" t="s">
        <v>1569</v>
      </c>
      <c r="C1415" s="864" t="s">
        <v>1556</v>
      </c>
      <c r="D1415" s="867" t="s">
        <v>1570</v>
      </c>
      <c r="E1415" s="868"/>
      <c r="F1415" s="445"/>
      <c r="G1415" s="445"/>
      <c r="H1415" s="446">
        <f t="shared" ref="H1415:H1416" si="542">IF(K$9=1,E1415,IF(K$9=2,(E1415+F1415)/2,(E1415+F1415+G1415)/3))</f>
        <v>6500</v>
      </c>
      <c r="I1415" s="869"/>
      <c r="J1415" s="845"/>
      <c r="K1415" s="845"/>
    </row>
    <row r="1416" ht="14.5" customHeight="1" hidden="1" spans="1:11" x14ac:dyDescent="0.25">
      <c r="A1416" s="864" t="s">
        <v>314</v>
      </c>
      <c r="B1416" s="865" t="s">
        <v>1571</v>
      </c>
      <c r="C1416" s="864" t="s">
        <v>1556</v>
      </c>
      <c r="D1416" s="867" t="s">
        <v>1572</v>
      </c>
      <c r="E1416" s="868"/>
      <c r="F1416" s="445"/>
      <c r="G1416" s="445"/>
      <c r="H1416" s="446">
        <f t="shared" si="542"/>
        <v>9200</v>
      </c>
      <c r="I1416" s="869"/>
      <c r="J1416" s="845"/>
      <c r="K1416" s="845"/>
    </row>
    <row r="1417" ht="43.5" customHeight="1" hidden="1" spans="1:11" s="870" customFormat="1" x14ac:dyDescent="0.25">
      <c r="A1417" s="867" t="s">
        <v>316</v>
      </c>
      <c r="B1417" s="871" t="s">
        <v>1573</v>
      </c>
      <c r="C1417" s="872" t="s">
        <v>1574</v>
      </c>
      <c r="D1417" s="867" t="s">
        <v>1575</v>
      </c>
      <c r="E1417" s="446">
        <f>(E1407*E1413*E1415+E1407*E1414*E1416)/1000</f>
        <v>1181063.158488</v>
      </c>
      <c r="F1417" s="446">
        <f>(F1407*F1413*F1415+F1407*F1414*F1416)/1000</f>
        <v>0</v>
      </c>
      <c r="G1417" s="446">
        <f>(G1407*G1413*G1415+G1407*G1414*G1416)/1000</f>
        <v>0</v>
      </c>
      <c r="H1417" s="446">
        <f>(H1407*H1413*H1415+H1407*H1414*H1416)/1000</f>
        <v>1181063.158488</v>
      </c>
      <c r="I1417" s="446">
        <f>(I1407*I1413*I1415+I1407*I1414*I1416)/1000</f>
        <v>1181063.158488</v>
      </c>
      <c r="J1417" s="845"/>
      <c r="K1417" s="845"/>
    </row>
    <row r="1418" ht="14.5" customHeight="1" spans="1:11" x14ac:dyDescent="0.25">
      <c r="A1418" s="860" t="s">
        <v>103</v>
      </c>
      <c r="B1418" s="565" t="s">
        <v>1286</v>
      </c>
      <c r="C1418" s="565"/>
      <c r="D1418" s="565"/>
      <c r="E1418" s="873"/>
      <c r="F1418" s="873"/>
      <c r="G1418" s="873"/>
      <c r="H1418" s="874"/>
      <c r="I1418" s="873"/>
      <c r="J1418" s="863"/>
      <c r="K1418" s="863"/>
    </row>
    <row r="1419" ht="14.5" customHeight="1" spans="1:11" x14ac:dyDescent="0.25">
      <c r="A1419" s="875" t="s">
        <v>306</v>
      </c>
      <c r="B1419" s="876" t="s">
        <v>1550</v>
      </c>
      <c r="C1419" s="875" t="s">
        <v>61</v>
      </c>
      <c r="D1419" s="875" t="s">
        <v>1577</v>
      </c>
      <c r="E1419" s="446">
        <f>E54</f>
        <v>410661.738</v>
      </c>
      <c r="F1419" s="446">
        <f t="shared" ref="F1419:I1419" si="543">F54</f>
        <v>0</v>
      </c>
      <c r="G1419" s="446">
        <f t="shared" si="543"/>
        <v>0</v>
      </c>
      <c r="H1419" s="446">
        <f t="shared" si="543"/>
        <v>410661.738</v>
      </c>
      <c r="I1419" s="446">
        <f t="shared" si="543"/>
        <v>0</v>
      </c>
      <c r="J1419" s="845"/>
      <c r="K1419" s="845"/>
    </row>
    <row r="1420" ht="14.5" customHeight="1" spans="1:11" x14ac:dyDescent="0.25">
      <c r="A1420" s="877" t="s">
        <v>308</v>
      </c>
      <c r="B1420" s="878" t="s">
        <v>1578</v>
      </c>
      <c r="C1420" s="877" t="s">
        <v>61</v>
      </c>
      <c r="D1420" s="877" t="s">
        <v>1579</v>
      </c>
      <c r="E1420" s="228"/>
      <c r="F1420" s="445"/>
      <c r="G1420" s="445"/>
      <c r="H1420" s="446">
        <f t="shared" ref="H1420:H1422" si="544">IF(K$9=1,E1420,IF(K$9=2,(E1420+F1420)/2,(E1420+F1420+G1420)/3))</f>
        <v>0.426856</v>
      </c>
      <c r="I1420" s="228"/>
      <c r="J1420" s="845"/>
      <c r="K1420" s="845"/>
    </row>
    <row r="1421" ht="14.5" customHeight="1" spans="1:11" x14ac:dyDescent="0.25">
      <c r="A1421" s="877" t="s">
        <v>310</v>
      </c>
      <c r="B1421" s="878" t="s">
        <v>1291</v>
      </c>
      <c r="C1421" s="877" t="s">
        <v>1580</v>
      </c>
      <c r="D1421" s="877" t="s">
        <v>1581</v>
      </c>
      <c r="E1421" s="228"/>
      <c r="F1421" s="445"/>
      <c r="G1421" s="445"/>
      <c r="H1421" s="446">
        <f t="shared" si="544"/>
        <v>2.625</v>
      </c>
      <c r="I1421" s="228"/>
      <c r="J1421" s="845"/>
      <c r="K1421" s="845"/>
    </row>
    <row r="1422" ht="14.5" customHeight="1" spans="1:11" x14ac:dyDescent="0.25">
      <c r="A1422" s="877" t="s">
        <v>312</v>
      </c>
      <c r="B1422" s="878" t="s">
        <v>1296</v>
      </c>
      <c r="C1422" s="877" t="s">
        <v>1580</v>
      </c>
      <c r="D1422" s="877" t="s">
        <v>1581</v>
      </c>
      <c r="E1422" s="228"/>
      <c r="F1422" s="445"/>
      <c r="G1422" s="445"/>
      <c r="H1422" s="446">
        <f t="shared" si="544"/>
        <v>0.587</v>
      </c>
      <c r="I1422" s="228"/>
      <c r="J1422" s="845"/>
      <c r="K1422" s="845"/>
    </row>
    <row r="1423" ht="14.5" customHeight="1" spans="1:11" x14ac:dyDescent="0.25">
      <c r="A1423" s="879" t="s">
        <v>314</v>
      </c>
      <c r="B1423" s="880" t="s">
        <v>2509</v>
      </c>
      <c r="C1423" s="879" t="s">
        <v>61</v>
      </c>
      <c r="D1423" s="879" t="s">
        <v>1560</v>
      </c>
      <c r="E1423" s="606">
        <f>(E1419*E1420*((100-E1421-E1422)/100))*3.664</f>
        <v>621645.239202561</v>
      </c>
      <c r="F1423" s="606">
        <f t="shared" ref="F1423:I1423" si="545">(F1419*F1420*((100-F1421-F1422)/100))*3.664</f>
        <v>0</v>
      </c>
      <c r="G1423" s="606">
        <f t="shared" si="545"/>
        <v>0</v>
      </c>
      <c r="H1423" s="606">
        <f t="shared" si="545"/>
        <v>621645.239202561</v>
      </c>
      <c r="I1423" s="606">
        <f t="shared" si="545"/>
        <v>0</v>
      </c>
      <c r="J1423" s="845"/>
      <c r="K1423" s="845"/>
    </row>
    <row r="1424" ht="14.5" customHeight="1" spans="1:11" x14ac:dyDescent="0.25">
      <c r="A1424" s="860" t="s">
        <v>125</v>
      </c>
      <c r="B1424" s="565" t="s">
        <v>1299</v>
      </c>
      <c r="C1424" s="565"/>
      <c r="D1424" s="565"/>
      <c r="E1424" s="873"/>
      <c r="F1424" s="873"/>
      <c r="G1424" s="873"/>
      <c r="H1424" s="874"/>
      <c r="I1424" s="873"/>
      <c r="J1424" s="863"/>
      <c r="K1424" s="863"/>
    </row>
    <row r="1425" ht="14.5" customHeight="1" spans="1:11" x14ac:dyDescent="0.25">
      <c r="A1425" s="877" t="s">
        <v>306</v>
      </c>
      <c r="B1425" s="878" t="s">
        <v>1584</v>
      </c>
      <c r="C1425" s="877" t="s">
        <v>1580</v>
      </c>
      <c r="D1425" s="877" t="s">
        <v>1585</v>
      </c>
      <c r="E1425" s="228"/>
      <c r="F1425" s="445"/>
      <c r="G1425" s="445"/>
      <c r="H1425" s="446">
        <f t="shared" ref="H1425:H1427" si="546">IF(K$9=1,E1425,IF(K$9=2,(E1425+F1425)/2,(E1425+F1425+G1425)/3))</f>
        <v>0.27986500000000003</v>
      </c>
      <c r="I1425" s="228"/>
      <c r="J1425" s="845"/>
      <c r="K1425" s="845"/>
    </row>
    <row r="1426" ht="14.5" customHeight="1" spans="1:11" x14ac:dyDescent="0.25">
      <c r="A1426" s="877" t="s">
        <v>308</v>
      </c>
      <c r="B1426" s="878" t="s">
        <v>1586</v>
      </c>
      <c r="C1426" s="877" t="s">
        <v>1580</v>
      </c>
      <c r="D1426" s="877" t="s">
        <v>1585</v>
      </c>
      <c r="E1426" s="228"/>
      <c r="F1426" s="445"/>
      <c r="G1426" s="445"/>
      <c r="H1426" s="446">
        <f t="shared" si="546"/>
        <v>0.264101</v>
      </c>
      <c r="I1426" s="228"/>
      <c r="J1426" s="845"/>
      <c r="K1426" s="845"/>
    </row>
    <row r="1427" ht="14.5" customHeight="1" spans="1:11" x14ac:dyDescent="0.25">
      <c r="A1427" s="877" t="s">
        <v>310</v>
      </c>
      <c r="B1427" s="878" t="s">
        <v>1587</v>
      </c>
      <c r="C1427" s="877" t="s">
        <v>61</v>
      </c>
      <c r="D1427" s="877" t="s">
        <v>1585</v>
      </c>
      <c r="E1427" s="228"/>
      <c r="F1427" s="445"/>
      <c r="G1427" s="445"/>
      <c r="H1427" s="446">
        <f t="shared" si="546"/>
        <v>222432.28744925003</v>
      </c>
      <c r="I1427" s="228"/>
      <c r="J1427" s="845"/>
      <c r="K1427" s="845"/>
    </row>
    <row r="1428" ht="14.5" customHeight="1" spans="1:11" x14ac:dyDescent="0.25">
      <c r="A1428" s="879" t="s">
        <v>312</v>
      </c>
      <c r="B1428" s="880" t="s">
        <v>1588</v>
      </c>
      <c r="C1428" s="879" t="s">
        <v>61</v>
      </c>
      <c r="D1428" s="879" t="s">
        <v>1585</v>
      </c>
      <c r="E1428" s="606">
        <f>IFERROR((E1425/E1426)*E1427,0)</f>
        <v>235709.11176778722</v>
      </c>
      <c r="F1428" s="606">
        <f t="shared" ref="F1428:I1428" si="547">IFERROR((F1425/F1426)*F1427,0)</f>
        <v>0</v>
      </c>
      <c r="G1428" s="606">
        <f t="shared" si="547"/>
        <v>0</v>
      </c>
      <c r="H1428" s="606">
        <f t="shared" si="547"/>
        <v>235709.11176778722</v>
      </c>
      <c r="I1428" s="606">
        <f t="shared" si="547"/>
        <v>0</v>
      </c>
      <c r="J1428" s="845"/>
      <c r="K1428" s="845"/>
    </row>
    <row r="1429" ht="14.5" customHeight="1" spans="1:11" x14ac:dyDescent="0.25">
      <c r="A1429" s="877" t="s">
        <v>314</v>
      </c>
      <c r="B1429" s="878" t="s">
        <v>1589</v>
      </c>
      <c r="C1429" s="877" t="s">
        <v>1580</v>
      </c>
      <c r="D1429" s="877" t="s">
        <v>1590</v>
      </c>
      <c r="E1429" s="228"/>
      <c r="F1429" s="445"/>
      <c r="G1429" s="445"/>
      <c r="H1429" s="446">
        <f t="shared" ref="H1429:H1430" si="548">IF(K$9=1,E1429,IF(K$9=2,(E1429+F1429)/2,(E1429+F1429+G1429)/3))</f>
        <v>0.5</v>
      </c>
      <c r="I1429" s="228"/>
      <c r="J1429" s="845"/>
      <c r="K1429" s="845"/>
    </row>
    <row r="1430" ht="29" customHeight="1" spans="1:11" x14ac:dyDescent="0.25">
      <c r="A1430" s="877" t="s">
        <v>316</v>
      </c>
      <c r="B1430" s="878" t="s">
        <v>1591</v>
      </c>
      <c r="C1430" s="877" t="s">
        <v>61</v>
      </c>
      <c r="D1430" s="877" t="s">
        <v>1585</v>
      </c>
      <c r="E1430" s="228"/>
      <c r="F1430" s="445"/>
      <c r="G1430" s="445"/>
      <c r="H1430" s="446">
        <f t="shared" si="548"/>
        <v>361.68999999999994</v>
      </c>
      <c r="I1430" s="228"/>
      <c r="J1430" s="845"/>
      <c r="K1430" s="845"/>
    </row>
    <row r="1431" ht="14.5" customHeight="1" spans="1:11" x14ac:dyDescent="0.25">
      <c r="A1431" s="879" t="s">
        <v>318</v>
      </c>
      <c r="B1431" s="880" t="s">
        <v>1592</v>
      </c>
      <c r="C1431" s="879" t="s">
        <v>61</v>
      </c>
      <c r="D1431" s="879" t="s">
        <v>1560</v>
      </c>
      <c r="E1431" s="606">
        <f>((E1428-((E1429*E1428)/100)-E1427-E1430)*3.664)</f>
        <v>43002.86121553445</v>
      </c>
      <c r="F1431" s="606">
        <f t="shared" ref="F1431:I1431" si="549">((F1428-((F1429*F1428)/100)-F1427-F1430)*3.664)</f>
        <v>0</v>
      </c>
      <c r="G1431" s="606">
        <f t="shared" si="549"/>
        <v>0</v>
      </c>
      <c r="H1431" s="606">
        <f t="shared" si="549"/>
        <v>43002.86121553445</v>
      </c>
      <c r="I1431" s="606">
        <f t="shared" si="549"/>
        <v>0</v>
      </c>
      <c r="J1431" s="845"/>
      <c r="K1431" s="845"/>
    </row>
    <row r="1432" ht="14.5" customHeight="1" spans="1:11" x14ac:dyDescent="0.25">
      <c r="A1432" s="860" t="s">
        <v>182</v>
      </c>
      <c r="B1432" s="565" t="s">
        <v>1312</v>
      </c>
      <c r="C1432" s="565"/>
      <c r="D1432" s="565"/>
      <c r="E1432" s="873"/>
      <c r="F1432" s="873"/>
      <c r="G1432" s="873"/>
      <c r="H1432" s="874"/>
      <c r="I1432" s="873"/>
      <c r="J1432" s="863"/>
      <c r="K1432" s="863"/>
    </row>
    <row r="1433" ht="29" customHeight="1" spans="1:11" x14ac:dyDescent="0.25">
      <c r="A1433" s="877" t="s">
        <v>306</v>
      </c>
      <c r="B1433" s="878" t="s">
        <v>1594</v>
      </c>
      <c r="C1433" s="877" t="s">
        <v>1580</v>
      </c>
      <c r="D1433" s="877" t="s">
        <v>1595</v>
      </c>
      <c r="E1433" s="228"/>
      <c r="F1433" s="445"/>
      <c r="G1433" s="445"/>
      <c r="H1433" s="446">
        <f t="shared" ref="H1433:H1436" si="550">IF(K$9=1,E1433,IF(K$9=2,(E1433+F1433)/2,(E1433+F1433+G1433)/3))</f>
        <v>0.013099999999999999</v>
      </c>
      <c r="I1433" s="228"/>
      <c r="J1433" s="845"/>
      <c r="K1433" s="845"/>
    </row>
    <row r="1434" ht="14.5" customHeight="1" spans="1:11" x14ac:dyDescent="0.25">
      <c r="A1434" s="877" t="s">
        <v>308</v>
      </c>
      <c r="B1434" s="878" t="s">
        <v>1587</v>
      </c>
      <c r="C1434" s="877" t="s">
        <v>61</v>
      </c>
      <c r="D1434" s="877" t="s">
        <v>1551</v>
      </c>
      <c r="E1434" s="228"/>
      <c r="F1434" s="445"/>
      <c r="G1434" s="445"/>
      <c r="H1434" s="446">
        <f t="shared" si="550"/>
        <v>222432.28744925003</v>
      </c>
      <c r="I1434" s="228"/>
      <c r="J1434" s="845"/>
      <c r="K1434" s="845"/>
    </row>
    <row r="1435" ht="14.5" customHeight="1" spans="1:11" x14ac:dyDescent="0.25">
      <c r="A1435" s="877" t="s">
        <v>310</v>
      </c>
      <c r="B1435" s="878" t="s">
        <v>1596</v>
      </c>
      <c r="C1435" s="877" t="s">
        <v>1580</v>
      </c>
      <c r="D1435" s="877" t="s">
        <v>1493</v>
      </c>
      <c r="E1435" s="228"/>
      <c r="F1435" s="445"/>
      <c r="G1435" s="445"/>
      <c r="H1435" s="446">
        <f t="shared" si="550"/>
        <v>2</v>
      </c>
      <c r="I1435" s="228"/>
      <c r="J1435" s="845"/>
      <c r="K1435" s="845"/>
    </row>
    <row r="1436" ht="14.5" customHeight="1" spans="1:11" x14ac:dyDescent="0.25">
      <c r="A1436" s="877" t="s">
        <v>312</v>
      </c>
      <c r="B1436" s="878" t="s">
        <v>1597</v>
      </c>
      <c r="C1436" s="877" t="s">
        <v>1580</v>
      </c>
      <c r="D1436" s="877" t="s">
        <v>1493</v>
      </c>
      <c r="E1436" s="228"/>
      <c r="F1436" s="445"/>
      <c r="G1436" s="445"/>
      <c r="H1436" s="446">
        <f t="shared" si="550"/>
        <v>2.5</v>
      </c>
      <c r="I1436" s="228"/>
      <c r="J1436" s="845"/>
      <c r="K1436" s="845"/>
    </row>
    <row r="1437" ht="14.5" customHeight="1" spans="1:11" x14ac:dyDescent="0.25">
      <c r="A1437" s="879" t="s">
        <v>314</v>
      </c>
      <c r="B1437" s="880" t="s">
        <v>1598</v>
      </c>
      <c r="C1437" s="879" t="s">
        <v>61</v>
      </c>
      <c r="D1437" s="879" t="s">
        <v>1560</v>
      </c>
      <c r="E1437" s="606">
        <f>(E1433*E1434*(100-E1435-E1436)/100)*3.664</f>
        <v>10195.956180138399</v>
      </c>
      <c r="F1437" s="606">
        <f t="shared" ref="F1437:I1437" si="551">(F1433*F1434*(100-F1435-F1436)/100)*3.664</f>
        <v>0</v>
      </c>
      <c r="G1437" s="606">
        <f t="shared" si="551"/>
        <v>0</v>
      </c>
      <c r="H1437" s="606">
        <f t="shared" si="551"/>
        <v>10195.956180138399</v>
      </c>
      <c r="I1437" s="606">
        <f t="shared" si="551"/>
        <v>0</v>
      </c>
      <c r="J1437" s="845"/>
      <c r="K1437" s="845"/>
    </row>
    <row r="1438" ht="14.5" customHeight="1" spans="1:11" x14ac:dyDescent="0.25">
      <c r="A1438" s="860" t="s">
        <v>322</v>
      </c>
      <c r="B1438" s="565" t="s">
        <v>1321</v>
      </c>
      <c r="C1438" s="565"/>
      <c r="D1438" s="565"/>
      <c r="E1438" s="873"/>
      <c r="F1438" s="873"/>
      <c r="G1438" s="873"/>
      <c r="H1438" s="874"/>
      <c r="I1438" s="873"/>
      <c r="J1438" s="845"/>
      <c r="K1438" s="845"/>
    </row>
    <row r="1439" ht="22.15" customHeight="1" spans="1:11" x14ac:dyDescent="0.25">
      <c r="A1439" s="881" t="s">
        <v>306</v>
      </c>
      <c r="B1439" s="882" t="s">
        <v>1322</v>
      </c>
      <c r="C1439" s="881" t="s">
        <v>1553</v>
      </c>
      <c r="D1439" s="881" t="s">
        <v>1553</v>
      </c>
      <c r="E1439" s="883"/>
      <c r="F1439" s="883"/>
      <c r="G1439" s="883"/>
      <c r="H1439" s="883" t="s">
        <v>2510</v>
      </c>
      <c r="I1439" s="883"/>
      <c r="J1439" s="884" t="s">
        <v>2511</v>
      </c>
      <c r="K1439" s="845"/>
    </row>
    <row r="1440" ht="29" customHeight="1" spans="1:11" s="870" customFormat="1" x14ac:dyDescent="0.25">
      <c r="A1440" s="707" t="s">
        <v>308</v>
      </c>
      <c r="B1440" s="708" t="s">
        <v>1599</v>
      </c>
      <c r="C1440" s="707" t="s">
        <v>1556</v>
      </c>
      <c r="D1440" s="709" t="s">
        <v>1600</v>
      </c>
      <c r="E1440" s="662">
        <f>IF(E$1439="PFPBL",'Emission Factor &amp; GWP Backup'!$D$79,IF(E$1439="PFPBM",'Emission Factor &amp; GWP Backup'!$D$80,IF(E$1439="SWPB",'Emission Factor &amp; GWP Backup'!$D$81,IF(E$1439="VSS",'Emission Factor &amp; GWP Backup'!$D$82,IF(E$1439="HSS",'Emission Factor &amp; GWP Backup'!$D$83,"")))))</f>
        <v>0.122</v>
      </c>
      <c r="F1440" s="662">
        <f>IF(F$1439="PFPBL",'Emission Factor &amp; GWP Backup'!$D$79,IF(F$1439="PFPBM",'Emission Factor &amp; GWP Backup'!$D$80,IF(F$1439="SWPB",'Emission Factor &amp; GWP Backup'!$D$81,IF(F$1439="VSS",'Emission Factor &amp; GWP Backup'!$D$82,IF(F$1439="HSS",'Emission Factor &amp; GWP Backup'!$D$83,"")))))</f>
        <v>0.122</v>
      </c>
      <c r="G1440" s="662">
        <f>IF(G$1439="PFPBL",'Emission Factor &amp; GWP Backup'!$D$79,IF(G$1439="PFPBM",'Emission Factor &amp; GWP Backup'!$D$80,IF(G$1439="SWPB",'Emission Factor &amp; GWP Backup'!$D$81,IF(G$1439="VSS",'Emission Factor &amp; GWP Backup'!$D$82,IF(G$1439="HSS",'Emission Factor &amp; GWP Backup'!$D$83,"")))))</f>
        <v>0.122</v>
      </c>
      <c r="H1440" s="662">
        <f>IF(H$1439="PFPBL",'Emission Factor &amp; GWP Backup'!$D$79,IF(H$1439="PFPBM",'Emission Factor &amp; GWP Backup'!$D$80,IF(H$1439="SWPB",'Emission Factor &amp; GWP Backup'!$D$81,IF(H$1439="VSS",'Emission Factor &amp; GWP Backup'!$D$82,IF(H$1439="HSS",'Emission Factor &amp; GWP Backup'!$D$83,"")))))</f>
        <v>0.122</v>
      </c>
      <c r="I1440" s="662">
        <f>IF(I$1439="PFPBL",'Emission Factor &amp; GWP Backup'!$D$79,IF(I$1439="PFPBM",'Emission Factor &amp; GWP Backup'!$D$80,IF(I$1439="SWPB",'Emission Factor &amp; GWP Backup'!$D$81,IF(I$1439="VSS",'Emission Factor &amp; GWP Backup'!$D$82,IF(I$1439="HSS",'Emission Factor &amp; GWP Backup'!$D$83,"")))))</f>
        <v>0.122</v>
      </c>
      <c r="J1440" s="845"/>
      <c r="K1440" s="845"/>
    </row>
    <row r="1441" ht="29" customHeight="1" spans="1:11" s="870" customFormat="1" x14ac:dyDescent="0.25">
      <c r="A1441" s="707" t="s">
        <v>310</v>
      </c>
      <c r="B1441" s="708" t="s">
        <v>1601</v>
      </c>
      <c r="C1441" s="707" t="s">
        <v>1556</v>
      </c>
      <c r="D1441" s="709" t="s">
        <v>1601</v>
      </c>
      <c r="E1441" s="662">
        <f>IF(E$1439="PFPBL",'Emission Factor &amp; GWP Backup'!$D$84,IF(E$1439="PFPBM",'Emission Factor &amp; GWP Backup'!$D$85,IF(E$1439="SWPB",'Emission Factor &amp; GWP Backup'!$D$86,IF(E$1439="VSS",'Emission Factor &amp; GWP Backup'!$D$87,IF(E$1439="HSS",'Emission Factor &amp; GWP Backup'!$D$88,"")))))</f>
        <v>0.097</v>
      </c>
      <c r="F1441" s="662">
        <f>IF(F$1439="PFPBL",'Emission Factor &amp; GWP Backup'!$D$84,IF(F$1439="PFPBM",'Emission Factor &amp; GWP Backup'!$D$85,IF(F$1439="SWPB",'Emission Factor &amp; GWP Backup'!$D$86,IF(F$1439="VSS",'Emission Factor &amp; GWP Backup'!$D$87,IF(F$1439="HSS",'Emission Factor &amp; GWP Backup'!$D$88,"")))))</f>
        <v>0.097</v>
      </c>
      <c r="G1441" s="662">
        <f>IF(G$1439="PFPBL",'Emission Factor &amp; GWP Backup'!$D$84,IF(G$1439="PFPBM",'Emission Factor &amp; GWP Backup'!$D$85,IF(G$1439="SWPB",'Emission Factor &amp; GWP Backup'!$D$86,IF(G$1439="VSS",'Emission Factor &amp; GWP Backup'!$D$87,IF(G$1439="HSS",'Emission Factor &amp; GWP Backup'!$D$88,"")))))</f>
        <v>0.097</v>
      </c>
      <c r="H1441" s="662">
        <f>IF(H$1439="PFPBL",'Emission Factor &amp; GWP Backup'!$D$84,IF(H$1439="PFPBM",'Emission Factor &amp; GWP Backup'!$D$85,IF(H$1439="SWPB",'Emission Factor &amp; GWP Backup'!$D$86,IF(H$1439="VSS",'Emission Factor &amp; GWP Backup'!$D$87,IF(H$1439="HSS",'Emission Factor &amp; GWP Backup'!$D$88,"")))))</f>
        <v>0.097</v>
      </c>
      <c r="I1441" s="662">
        <f>IF(I$1439="PFPBL",'Emission Factor &amp; GWP Backup'!$D$84,IF(I$1439="PFPBM",'Emission Factor &amp; GWP Backup'!$D$85,IF(I$1439="SWPB",'Emission Factor &amp; GWP Backup'!$D$86,IF(I$1439="VSS",'Emission Factor &amp; GWP Backup'!$D$87,IF(I$1439="HSS",'Emission Factor &amp; GWP Backup'!$D$88,"")))))</f>
        <v>0.097</v>
      </c>
      <c r="J1441" s="845"/>
      <c r="K1441" s="845"/>
    </row>
    <row r="1442" ht="14.5" customHeight="1" spans="1:11" s="870" customFormat="1" x14ac:dyDescent="0.25">
      <c r="A1442" s="877" t="s">
        <v>312</v>
      </c>
      <c r="B1442" s="593" t="s">
        <v>2512</v>
      </c>
      <c r="C1442" s="596" t="s">
        <v>61</v>
      </c>
      <c r="D1442" s="594" t="s">
        <v>2513</v>
      </c>
      <c r="E1442" s="885"/>
      <c r="F1442" s="445"/>
      <c r="G1442" s="445"/>
      <c r="H1442" s="446">
        <f>IF(K$9=1,E1442,IF(K$9=2,(E1442+F1442)/2,(E1442+F1442+G1442)/3))</f>
        <v>0.1167236050512448</v>
      </c>
      <c r="I1442" s="885"/>
      <c r="J1442" s="845"/>
      <c r="K1442" s="845"/>
    </row>
    <row r="1443" ht="14.5" customHeight="1" spans="1:11" s="870" customFormat="1" x14ac:dyDescent="0.25">
      <c r="A1443" s="877" t="s">
        <v>314</v>
      </c>
      <c r="B1443" s="593" t="s">
        <v>2514</v>
      </c>
      <c r="C1443" s="596" t="s">
        <v>61</v>
      </c>
      <c r="D1443" s="594" t="s">
        <v>2515</v>
      </c>
      <c r="E1443" s="885"/>
      <c r="F1443" s="445"/>
      <c r="G1443" s="445"/>
      <c r="H1443" s="446">
        <f>IF(K$9=1,E1443,IF(K$9=2,(E1443+F1443)/2,(E1443+F1443+G1443)/3))</f>
        <v>1.4404784335387735</v>
      </c>
      <c r="I1443" s="885"/>
      <c r="J1443" s="845"/>
      <c r="K1443" s="845"/>
    </row>
    <row r="1444" ht="14.5" customHeight="1" spans="1:11" x14ac:dyDescent="0.25">
      <c r="A1444" s="879" t="s">
        <v>316</v>
      </c>
      <c r="B1444" s="880" t="s">
        <v>1603</v>
      </c>
      <c r="C1444" s="879" t="s">
        <v>1580</v>
      </c>
      <c r="D1444" s="879" t="s">
        <v>1604</v>
      </c>
      <c r="E1444" s="606">
        <f>E1442*E1443</f>
        <v>0.16813783576121558</v>
      </c>
      <c r="F1444" s="606">
        <f t="shared" ref="F1444:I1444" si="552">F1442*F1443</f>
        <v>0</v>
      </c>
      <c r="G1444" s="606">
        <f t="shared" si="552"/>
        <v>0</v>
      </c>
      <c r="H1444" s="606">
        <f t="shared" si="552"/>
        <v>0.16813783576121558</v>
      </c>
      <c r="I1444" s="606">
        <f t="shared" si="552"/>
        <v>0</v>
      </c>
      <c r="J1444" s="845"/>
      <c r="K1444" s="845"/>
    </row>
    <row r="1445" ht="14.5" customHeight="1" spans="1:11" x14ac:dyDescent="0.25">
      <c r="A1445" s="879" t="s">
        <v>318</v>
      </c>
      <c r="B1445" s="880" t="s">
        <v>1605</v>
      </c>
      <c r="C1445" s="879" t="s">
        <v>1580</v>
      </c>
      <c r="D1445" s="879" t="s">
        <v>1565</v>
      </c>
      <c r="E1445" s="606">
        <f t="shared" ref="E1445:I1446" si="553">E1444*E1440</f>
        <v>0.0205128159628683</v>
      </c>
      <c r="F1445" s="606">
        <f t="shared" si="553"/>
        <v>0</v>
      </c>
      <c r="G1445" s="606">
        <f t="shared" si="553"/>
        <v>0</v>
      </c>
      <c r="H1445" s="606">
        <f t="shared" si="553"/>
        <v>0.0205128159628683</v>
      </c>
      <c r="I1445" s="606">
        <f t="shared" si="553"/>
        <v>0</v>
      </c>
      <c r="J1445" s="845"/>
      <c r="K1445" s="845"/>
    </row>
    <row r="1446" ht="14.5" customHeight="1" spans="1:11" x14ac:dyDescent="0.25">
      <c r="A1446" s="879" t="s">
        <v>478</v>
      </c>
      <c r="B1446" s="880" t="s">
        <v>1606</v>
      </c>
      <c r="C1446" s="879" t="s">
        <v>1580</v>
      </c>
      <c r="D1446" s="879" t="s">
        <v>1567</v>
      </c>
      <c r="E1446" s="606">
        <f t="shared" si="553"/>
        <v>0.001989743148398225</v>
      </c>
      <c r="F1446" s="606">
        <f t="shared" si="553"/>
        <v>0</v>
      </c>
      <c r="G1446" s="606">
        <f t="shared" si="553"/>
        <v>0</v>
      </c>
      <c r="H1446" s="606">
        <f t="shared" si="553"/>
        <v>0.001989743148398225</v>
      </c>
      <c r="I1446" s="606">
        <f t="shared" si="553"/>
        <v>0</v>
      </c>
      <c r="J1446" s="845"/>
      <c r="K1446" s="845"/>
    </row>
    <row r="1447" ht="14.5" customHeight="1" spans="1:11" x14ac:dyDescent="0.25">
      <c r="A1447" s="879" t="s">
        <v>481</v>
      </c>
      <c r="B1447" s="880" t="s">
        <v>1607</v>
      </c>
      <c r="C1447" s="879" t="s">
        <v>61</v>
      </c>
      <c r="D1447" s="879" t="s">
        <v>1608</v>
      </c>
      <c r="E1447" s="606">
        <f>E1445*E1419</f>
        <v>8423.828654585639</v>
      </c>
      <c r="F1447" s="606">
        <f t="shared" ref="F1447:I1447" si="554">F1445*F1419</f>
        <v>0</v>
      </c>
      <c r="G1447" s="606">
        <f t="shared" si="554"/>
        <v>0</v>
      </c>
      <c r="H1447" s="606">
        <f t="shared" si="554"/>
        <v>8423.828654585639</v>
      </c>
      <c r="I1447" s="606">
        <f t="shared" si="554"/>
        <v>0</v>
      </c>
      <c r="J1447" s="845"/>
      <c r="K1447" s="845"/>
    </row>
    <row r="1448" ht="14.5" customHeight="1" spans="1:11" x14ac:dyDescent="0.25">
      <c r="A1448" s="879" t="s">
        <v>483</v>
      </c>
      <c r="B1448" s="880" t="s">
        <v>1609</v>
      </c>
      <c r="C1448" s="879" t="s">
        <v>61</v>
      </c>
      <c r="D1448" s="879" t="s">
        <v>1610</v>
      </c>
      <c r="E1448" s="606">
        <f>E1446*E1419</f>
        <v>817.111379494807</v>
      </c>
      <c r="F1448" s="606">
        <f t="shared" ref="F1448:I1448" si="555">F1446*F1419</f>
        <v>0</v>
      </c>
      <c r="G1448" s="606">
        <f t="shared" si="555"/>
        <v>0</v>
      </c>
      <c r="H1448" s="606">
        <f t="shared" si="555"/>
        <v>817.111379494807</v>
      </c>
      <c r="I1448" s="606">
        <f t="shared" si="555"/>
        <v>0</v>
      </c>
      <c r="J1448" s="845"/>
      <c r="K1448" s="845"/>
    </row>
    <row r="1449" ht="14.5" customHeight="1" spans="1:11" x14ac:dyDescent="0.25">
      <c r="A1449" s="879" t="s">
        <v>485</v>
      </c>
      <c r="B1449" s="880" t="s">
        <v>1611</v>
      </c>
      <c r="C1449" s="879" t="s">
        <v>61</v>
      </c>
      <c r="D1449" s="879" t="s">
        <v>1575</v>
      </c>
      <c r="E1449" s="606">
        <f>(E1447*'Emission Factor &amp; GWP Backup'!$E$63+E1448*'Emission Factor &amp; GWP Backup'!$E$64)/1000</f>
        <v>64919.920292295144</v>
      </c>
      <c r="F1449" s="606">
        <f>(F1447*'Emission Factor &amp; GWP Backup'!$E$63+F1448*'Emission Factor &amp; GWP Backup'!$E$64)/1000</f>
        <v>0</v>
      </c>
      <c r="G1449" s="606">
        <f>(G1447*'Emission Factor &amp; GWP Backup'!$E$63+G1448*'Emission Factor &amp; GWP Backup'!$E$64)/1000</f>
        <v>0</v>
      </c>
      <c r="H1449" s="606">
        <f>(H1447*'Emission Factor &amp; GWP Backup'!$E$63+H1448*'Emission Factor &amp; GWP Backup'!$E$64)/1000</f>
        <v>64919.920292295144</v>
      </c>
      <c r="I1449" s="606">
        <f>(I1447*'Emission Factor &amp; GWP Backup'!$E$63+I1448*'Emission Factor &amp; GWP Backup'!$E$64)/1000</f>
        <v>0</v>
      </c>
      <c r="J1449" s="845"/>
      <c r="K1449" s="845"/>
    </row>
    <row r="1450" ht="14.5" customHeight="1" spans="1:11" x14ac:dyDescent="0.25">
      <c r="A1450" s="860" t="s">
        <v>1326</v>
      </c>
      <c r="B1450" s="565" t="s">
        <v>1327</v>
      </c>
      <c r="C1450" s="565"/>
      <c r="D1450" s="565"/>
      <c r="E1450" s="873"/>
      <c r="F1450" s="873"/>
      <c r="G1450" s="873"/>
      <c r="H1450" s="874"/>
      <c r="I1450" s="873"/>
      <c r="J1450" s="863"/>
      <c r="K1450" s="863"/>
    </row>
    <row r="1451" ht="14.5" customHeight="1" spans="1:11" x14ac:dyDescent="0.25">
      <c r="A1451" s="877" t="s">
        <v>306</v>
      </c>
      <c r="B1451" s="878" t="s">
        <v>1328</v>
      </c>
      <c r="C1451" s="877" t="s">
        <v>61</v>
      </c>
      <c r="D1451" s="877" t="s">
        <v>1585</v>
      </c>
      <c r="E1451" s="228"/>
      <c r="F1451" s="445"/>
      <c r="G1451" s="445"/>
      <c r="H1451" s="446">
        <f t="shared" ref="H1451:H1452" si="556">IF(K$9=1,E1451,IF(K$9=2,(E1451+F1451)/2,(E1451+F1451+G1451)/3))</f>
        <v>910.8050000000001</v>
      </c>
      <c r="I1451" s="228"/>
      <c r="J1451" s="845"/>
      <c r="K1451" s="845"/>
    </row>
    <row r="1452" ht="14.5" customHeight="1" spans="1:11" x14ac:dyDescent="0.25">
      <c r="A1452" s="877" t="s">
        <v>308</v>
      </c>
      <c r="B1452" s="878" t="s">
        <v>1330</v>
      </c>
      <c r="C1452" s="877" t="s">
        <v>1580</v>
      </c>
      <c r="D1452" s="877" t="s">
        <v>1613</v>
      </c>
      <c r="E1452" s="228"/>
      <c r="F1452" s="445"/>
      <c r="G1452" s="445"/>
      <c r="H1452" s="446">
        <f t="shared" si="556"/>
        <v>0.95</v>
      </c>
      <c r="I1452" s="228"/>
      <c r="J1452" s="845"/>
      <c r="K1452" s="845"/>
    </row>
    <row r="1453" ht="14.5" customHeight="1" spans="1:11" x14ac:dyDescent="0.25">
      <c r="A1453" s="879" t="s">
        <v>310</v>
      </c>
      <c r="B1453" s="880" t="s">
        <v>1614</v>
      </c>
      <c r="C1453" s="879" t="s">
        <v>61</v>
      </c>
      <c r="D1453" s="879" t="s">
        <v>2147</v>
      </c>
      <c r="E1453" s="662">
        <f>E1451*E1452*(44/106)</f>
        <v>359.16650000000004</v>
      </c>
      <c r="F1453" s="662">
        <f>F1451*F1452*(44/106)</f>
        <v>0</v>
      </c>
      <c r="G1453" s="662">
        <f>G1451*G1452*(44/106)</f>
        <v>0</v>
      </c>
      <c r="H1453" s="662">
        <f>H1451*H1452*(44/106)</f>
        <v>359.16650000000004</v>
      </c>
      <c r="I1453" s="662">
        <f>I1451*I1452*(44/106)</f>
        <v>0</v>
      </c>
      <c r="J1453" s="845"/>
      <c r="K1453" s="845"/>
    </row>
    <row r="1454" ht="14.5" customHeight="1" spans="1:11" x14ac:dyDescent="0.25">
      <c r="A1454" s="860" t="s">
        <v>1333</v>
      </c>
      <c r="B1454" s="565" t="s">
        <v>1334</v>
      </c>
      <c r="C1454" s="565"/>
      <c r="D1454" s="565"/>
      <c r="E1454" s="873"/>
      <c r="F1454" s="873"/>
      <c r="G1454" s="873"/>
      <c r="H1454" s="874"/>
      <c r="I1454" s="873"/>
      <c r="J1454" s="863"/>
      <c r="K1454" s="863"/>
    </row>
    <row r="1455" ht="14.5" customHeight="1" spans="1:11" x14ac:dyDescent="0.25">
      <c r="A1455" s="877" t="s">
        <v>306</v>
      </c>
      <c r="B1455" s="878" t="s">
        <v>1335</v>
      </c>
      <c r="C1455" s="877" t="s">
        <v>61</v>
      </c>
      <c r="D1455" s="877" t="s">
        <v>1585</v>
      </c>
      <c r="E1455" s="489"/>
      <c r="F1455" s="445"/>
      <c r="G1455" s="445"/>
      <c r="H1455" s="446">
        <f t="shared" ref="H1455:H1458" si="557">IF(K$9=1,E1455,IF(K$9=2,(E1455+F1455)/2,(E1455+F1455+G1455)/3))</f>
        <v>0</v>
      </c>
      <c r="I1455" s="489"/>
      <c r="J1455" s="845"/>
      <c r="K1455" s="845"/>
    </row>
    <row r="1456" ht="14.5" customHeight="1" spans="1:11" x14ac:dyDescent="0.25">
      <c r="A1456" s="877" t="s">
        <v>308</v>
      </c>
      <c r="B1456" s="878" t="s">
        <v>1336</v>
      </c>
      <c r="C1456" s="877" t="s">
        <v>1580</v>
      </c>
      <c r="D1456" s="877" t="s">
        <v>1613</v>
      </c>
      <c r="E1456" s="228"/>
      <c r="F1456" s="445"/>
      <c r="G1456" s="445"/>
      <c r="H1456" s="446">
        <f t="shared" si="557"/>
        <v>0</v>
      </c>
      <c r="I1456" s="228"/>
      <c r="J1456" s="845"/>
      <c r="K1456" s="845"/>
    </row>
    <row r="1457" ht="14.5" customHeight="1" spans="1:11" x14ac:dyDescent="0.25">
      <c r="A1457" s="877" t="s">
        <v>310</v>
      </c>
      <c r="B1457" s="878" t="s">
        <v>1339</v>
      </c>
      <c r="C1457" s="877" t="s">
        <v>61</v>
      </c>
      <c r="D1457" s="877" t="s">
        <v>1560</v>
      </c>
      <c r="E1457" s="489"/>
      <c r="F1457" s="445"/>
      <c r="G1457" s="445"/>
      <c r="H1457" s="446">
        <f t="shared" si="557"/>
        <v>0</v>
      </c>
      <c r="I1457" s="489"/>
      <c r="J1457" s="845"/>
      <c r="K1457" s="845"/>
    </row>
    <row r="1458" ht="14.5" customHeight="1" spans="1:11" x14ac:dyDescent="0.25">
      <c r="A1458" s="877" t="s">
        <v>312</v>
      </c>
      <c r="B1458" s="878" t="s">
        <v>1340</v>
      </c>
      <c r="C1458" s="877" t="s">
        <v>1580</v>
      </c>
      <c r="D1458" s="877" t="s">
        <v>1613</v>
      </c>
      <c r="E1458" s="228"/>
      <c r="F1458" s="445"/>
      <c r="G1458" s="445"/>
      <c r="H1458" s="446">
        <f t="shared" si="557"/>
        <v>0</v>
      </c>
      <c r="I1458" s="228"/>
      <c r="J1458" s="845"/>
      <c r="K1458" s="845"/>
    </row>
    <row r="1459" ht="14.5" customHeight="1" spans="1:11" x14ac:dyDescent="0.25">
      <c r="A1459" s="879" t="s">
        <v>314</v>
      </c>
      <c r="B1459" s="880" t="s">
        <v>1616</v>
      </c>
      <c r="C1459" s="879" t="s">
        <v>1580</v>
      </c>
      <c r="D1459" s="879" t="s">
        <v>2147</v>
      </c>
      <c r="E1459" s="662">
        <f>(E1455*E1456*44/56)+(E1457*E1458*44/74)</f>
        <v>0</v>
      </c>
      <c r="F1459" s="662">
        <f>(F1455*F1456*44/56)+(F1457*F1458*44/74)</f>
        <v>0</v>
      </c>
      <c r="G1459" s="662">
        <f>(G1455*G1456*44/56)+(G1457*G1458*44/74)</f>
        <v>0</v>
      </c>
      <c r="H1459" s="662">
        <f>(H1455*H1456*44/56)+(H1457*H1458*44/74)</f>
        <v>0</v>
      </c>
      <c r="I1459" s="662">
        <f>(I1455*I1456*44/56)+(I1457*I1458*44/74)</f>
        <v>0</v>
      </c>
      <c r="J1459" s="845"/>
      <c r="K1459" s="845"/>
    </row>
    <row r="1460" ht="14.5" customHeight="1" hidden="1" spans="1:11" x14ac:dyDescent="0.25">
      <c r="A1460" s="874" t="s">
        <v>1521</v>
      </c>
      <c r="B1460" s="886" t="s">
        <v>2516</v>
      </c>
      <c r="C1460" s="886"/>
      <c r="D1460" s="886"/>
      <c r="E1460" s="504"/>
      <c r="F1460" s="504"/>
      <c r="G1460" s="504"/>
      <c r="H1460" s="887"/>
      <c r="I1460" s="504"/>
      <c r="J1460" s="861"/>
      <c r="K1460" s="861"/>
    </row>
    <row r="1461" ht="14.5" customHeight="1" hidden="1" spans="1:11" x14ac:dyDescent="0.25">
      <c r="A1461" s="596" t="s">
        <v>306</v>
      </c>
      <c r="B1461" s="593" t="s">
        <v>2517</v>
      </c>
      <c r="C1461" s="594" t="s">
        <v>61</v>
      </c>
      <c r="D1461" s="594" t="s">
        <v>1585</v>
      </c>
      <c r="E1461" s="471"/>
      <c r="F1461" s="445"/>
      <c r="G1461" s="445"/>
      <c r="H1461" s="446">
        <f t="shared" ref="H1461:H1464" si="558">IF(K$9=1,E1461,IF(K$9=2,(E1461+F1461)/2,(E1461+F1461+G1461)/3))</f>
        <v>0</v>
      </c>
      <c r="I1461" s="471"/>
      <c r="J1461" s="845"/>
      <c r="K1461" s="845"/>
    </row>
    <row r="1462" ht="14.5" customHeight="1" hidden="1" spans="1:11" x14ac:dyDescent="0.25">
      <c r="A1462" s="596" t="s">
        <v>308</v>
      </c>
      <c r="B1462" s="593" t="s">
        <v>2518</v>
      </c>
      <c r="C1462" s="594" t="s">
        <v>61</v>
      </c>
      <c r="D1462" s="594" t="s">
        <v>1585</v>
      </c>
      <c r="E1462" s="471"/>
      <c r="F1462" s="445"/>
      <c r="G1462" s="445"/>
      <c r="H1462" s="446">
        <f t="shared" si="558"/>
        <v>0</v>
      </c>
      <c r="I1462" s="471"/>
      <c r="J1462" s="845"/>
      <c r="K1462" s="845"/>
    </row>
    <row r="1463" ht="14.5" customHeight="1" hidden="1" spans="1:11" x14ac:dyDescent="0.25">
      <c r="A1463" s="596" t="s">
        <v>310</v>
      </c>
      <c r="B1463" s="593" t="s">
        <v>2519</v>
      </c>
      <c r="C1463" s="594" t="s">
        <v>61</v>
      </c>
      <c r="D1463" s="594" t="s">
        <v>1585</v>
      </c>
      <c r="E1463" s="471"/>
      <c r="F1463" s="445"/>
      <c r="G1463" s="445"/>
      <c r="H1463" s="446">
        <f t="shared" si="558"/>
        <v>0</v>
      </c>
      <c r="I1463" s="471"/>
      <c r="J1463" s="845"/>
      <c r="K1463" s="845"/>
    </row>
    <row r="1464" ht="14.5" customHeight="1" hidden="1" spans="1:11" x14ac:dyDescent="0.25">
      <c r="A1464" s="596" t="s">
        <v>312</v>
      </c>
      <c r="B1464" s="593" t="s">
        <v>2520</v>
      </c>
      <c r="C1464" s="594" t="s">
        <v>61</v>
      </c>
      <c r="D1464" s="594" t="s">
        <v>1585</v>
      </c>
      <c r="E1464" s="471"/>
      <c r="F1464" s="445"/>
      <c r="G1464" s="445"/>
      <c r="H1464" s="446">
        <f t="shared" si="558"/>
        <v>0</v>
      </c>
      <c r="I1464" s="471"/>
      <c r="J1464" s="845"/>
      <c r="K1464" s="845"/>
    </row>
    <row r="1465" ht="16.5" customHeight="1" hidden="1" spans="1:11" x14ac:dyDescent="0.25">
      <c r="A1465" s="707" t="s">
        <v>314</v>
      </c>
      <c r="B1465" s="708" t="s">
        <v>2521</v>
      </c>
      <c r="C1465" s="709" t="s">
        <v>61</v>
      </c>
      <c r="D1465" s="709" t="s">
        <v>1560</v>
      </c>
      <c r="E1465" s="662">
        <f>E1461*'Emission Factor &amp; GWP Backup'!$E$93+'Form Sa1'!E1462*'Emission Factor &amp; GWP Backup'!$E$94+'Form Sa1'!E1463*'Emission Factor &amp; GWP Backup'!$E$95+'Form Sa1'!E1464*'Emission Factor &amp; GWP Backup'!$E$102</f>
        <v>0</v>
      </c>
      <c r="F1465" s="662">
        <f>F1461*'Emission Factor &amp; GWP Backup'!$E$93+'Form Sa1'!F1462*'Emission Factor &amp; GWP Backup'!$E$94+'Form Sa1'!F1463*'Emission Factor &amp; GWP Backup'!$E$95+'Form Sa1'!F1464*'Emission Factor &amp; GWP Backup'!$E$102</f>
        <v>0</v>
      </c>
      <c r="G1465" s="662">
        <f>G1461*'Emission Factor &amp; GWP Backup'!$E$93+'Form Sa1'!G1462*'Emission Factor &amp; GWP Backup'!$E$94+'Form Sa1'!G1463*'Emission Factor &amp; GWP Backup'!$E$95+'Form Sa1'!G1464*'Emission Factor &amp; GWP Backup'!$E$102</f>
        <v>0</v>
      </c>
      <c r="H1465" s="662">
        <f>H1461*'Emission Factor &amp; GWP Backup'!$E$93+'Form Sa1'!H1462*'Emission Factor &amp; GWP Backup'!$E$94+'Form Sa1'!H1463*'Emission Factor &amp; GWP Backup'!$E$95+'Form Sa1'!H1464*'Emission Factor &amp; GWP Backup'!$E$102</f>
        <v>0</v>
      </c>
      <c r="I1465" s="662">
        <f>I1461*'Emission Factor &amp; GWP Backup'!$E$93+'Form Sa1'!I1462*'Emission Factor &amp; GWP Backup'!$E$94+'Form Sa1'!I1463*'Emission Factor &amp; GWP Backup'!$E$95+'Form Sa1'!I1464*'Emission Factor &amp; GWP Backup'!$E$102</f>
        <v>0</v>
      </c>
      <c r="J1465" s="845"/>
      <c r="K1465" s="845"/>
    </row>
    <row r="1466" ht="14.5" customHeight="1" spans="1:11" x14ac:dyDescent="0.25">
      <c r="A1466" s="30"/>
      <c r="B1466" s="31"/>
      <c r="C1466" s="888"/>
      <c r="D1466" s="888"/>
      <c r="E1466" s="888"/>
      <c r="F1466" s="888"/>
      <c r="G1466" s="888"/>
      <c r="H1466" s="889"/>
      <c r="I1466" s="888"/>
      <c r="J1466" s="888"/>
      <c r="K1466" s="890"/>
    </row>
    <row r="1467" ht="14.5" customHeight="1" spans="1:11" x14ac:dyDescent="0.25">
      <c r="A1467" s="30"/>
      <c r="B1467" s="31"/>
      <c r="C1467" s="888"/>
      <c r="D1467" s="888"/>
      <c r="E1467" s="888"/>
      <c r="F1467" s="888"/>
      <c r="G1467" s="888"/>
      <c r="H1467" s="889"/>
      <c r="I1467" s="888"/>
      <c r="J1467" s="888"/>
      <c r="K1467" s="890"/>
    </row>
    <row r="1468" ht="14.5" customHeight="1" spans="1:11" x14ac:dyDescent="0.25">
      <c r="A1468" s="891"/>
      <c r="B1468" s="246" t="s">
        <v>2522</v>
      </c>
      <c r="C1468" s="888"/>
      <c r="D1468" s="888"/>
      <c r="E1468" s="888"/>
      <c r="F1468" s="888"/>
      <c r="G1468" s="888"/>
      <c r="H1468" s="889"/>
      <c r="I1468" s="888"/>
      <c r="J1468" s="888"/>
      <c r="K1468" s="892"/>
    </row>
    <row r="1469" ht="14.5" customHeight="1" spans="1:11" x14ac:dyDescent="0.25">
      <c r="A1469" s="1">
        <v>0</v>
      </c>
      <c r="B1469" s="893" t="s">
        <v>2523</v>
      </c>
      <c r="C1469" s="894"/>
      <c r="D1469" s="895"/>
      <c r="E1469" s="896"/>
      <c r="F1469" s="896"/>
      <c r="G1469" s="895"/>
      <c r="H1469" s="897"/>
      <c r="I1469" s="896"/>
      <c r="J1469" s="896"/>
      <c r="K1469" s="892"/>
    </row>
    <row r="1470" ht="14.5" customHeight="1" spans="1:11" x14ac:dyDescent="0.25">
      <c r="A1470" s="452"/>
      <c r="B1470" s="812" t="s">
        <v>2524</v>
      </c>
      <c r="C1470" s="894"/>
      <c r="D1470" s="895"/>
      <c r="E1470" s="896"/>
      <c r="F1470" s="896"/>
      <c r="G1470" s="895"/>
      <c r="H1470" s="897"/>
      <c r="I1470" s="896"/>
      <c r="J1470" s="896"/>
      <c r="K1470" s="892"/>
    </row>
    <row r="1471" ht="14.5" customHeight="1" spans="1:11" x14ac:dyDescent="0.25">
      <c r="A1471" s="604"/>
      <c r="B1471" s="812" t="s">
        <v>2525</v>
      </c>
      <c r="C1471" s="894"/>
      <c r="D1471" s="895"/>
      <c r="E1471" s="896"/>
      <c r="F1471" s="896"/>
      <c r="G1471" s="895"/>
      <c r="H1471" s="897"/>
      <c r="I1471" s="896"/>
      <c r="J1471" s="896"/>
      <c r="K1471" s="892"/>
    </row>
    <row r="1472" ht="14.5" customHeight="1" spans="1:11" x14ac:dyDescent="0.25">
      <c r="A1472" s="1" t="s">
        <v>31</v>
      </c>
      <c r="B1472" s="812" t="s">
        <v>32</v>
      </c>
      <c r="C1472" s="894"/>
      <c r="D1472" s="895"/>
      <c r="E1472" s="896"/>
      <c r="F1472" s="896"/>
      <c r="G1472" s="895"/>
      <c r="H1472" s="897"/>
      <c r="I1472" s="896"/>
      <c r="J1472" s="896"/>
      <c r="K1472" s="892"/>
    </row>
    <row r="1473" ht="14.5" customHeight="1" spans="1:11" x14ac:dyDescent="0.25">
      <c r="A1473" s="898"/>
      <c r="B1473" s="812" t="s">
        <v>29</v>
      </c>
      <c r="C1473" s="894"/>
      <c r="D1473" s="895"/>
      <c r="E1473" s="896"/>
      <c r="F1473" s="896"/>
      <c r="G1473" s="895"/>
      <c r="H1473" s="897"/>
      <c r="I1473" s="896"/>
      <c r="J1473" s="896"/>
      <c r="K1473" s="899"/>
    </row>
    <row r="1474" ht="14.5" customHeight="1" spans="1:11" x14ac:dyDescent="0.25">
      <c r="A1474" s="900"/>
      <c r="B1474" s="812" t="s">
        <v>2526</v>
      </c>
      <c r="C1474" s="894"/>
      <c r="D1474" s="894"/>
      <c r="E1474" s="894"/>
      <c r="F1474" s="894"/>
      <c r="G1474" s="894"/>
      <c r="H1474" s="889"/>
      <c r="I1474" s="894"/>
      <c r="J1474" s="894"/>
      <c r="K1474" s="899"/>
    </row>
    <row r="1475" ht="14.25" customHeight="1" spans="1:11" x14ac:dyDescent="0.25">
      <c r="A1475" s="888"/>
      <c r="B1475" s="31"/>
      <c r="C1475" s="894"/>
      <c r="D1475" s="894"/>
      <c r="E1475" s="894"/>
      <c r="F1475" s="894"/>
      <c r="G1475" s="894"/>
      <c r="H1475" s="889"/>
      <c r="I1475" s="894"/>
      <c r="J1475" s="894"/>
      <c r="K1475" s="894"/>
    </row>
    <row r="1476" ht="14.25" customHeight="1" spans="1:11" x14ac:dyDescent="0.25">
      <c r="A1476" s="899" t="s">
        <v>2527</v>
      </c>
      <c r="B1476" s="899"/>
      <c r="C1476" s="899"/>
      <c r="D1476" s="899"/>
      <c r="E1476" s="899"/>
      <c r="F1476" s="899"/>
      <c r="G1476" s="899"/>
      <c r="H1476" s="899"/>
      <c r="I1476" s="899"/>
      <c r="J1476" s="899"/>
      <c r="K1476" s="899"/>
    </row>
    <row r="1477" ht="14.5" customHeight="1" spans="1:11" x14ac:dyDescent="0.25">
      <c r="A1477" s="894"/>
      <c r="B1477" s="894"/>
      <c r="C1477" s="894"/>
      <c r="D1477" s="894"/>
      <c r="E1477" s="894"/>
      <c r="F1477" s="894"/>
      <c r="G1477" s="894"/>
      <c r="H1477" s="894"/>
      <c r="I1477" s="894"/>
      <c r="J1477" s="894"/>
      <c r="K1477" s="892"/>
    </row>
    <row r="1478" ht="14.5" customHeight="1" spans="1:11" x14ac:dyDescent="0.25">
      <c r="A1478" s="888"/>
      <c r="B1478" s="31"/>
      <c r="C1478" s="894"/>
      <c r="D1478" s="895"/>
      <c r="E1478" s="896"/>
      <c r="F1478" s="896"/>
      <c r="G1478" s="895"/>
      <c r="H1478" s="897"/>
      <c r="I1478" s="895"/>
      <c r="J1478" s="895"/>
      <c r="K1478" s="892"/>
    </row>
    <row r="1479" ht="14.5" customHeight="1" spans="1:11" x14ac:dyDescent="0.25">
      <c r="A1479" s="888"/>
      <c r="B1479" s="31"/>
      <c r="C1479" s="894"/>
      <c r="D1479" s="895"/>
      <c r="E1479" s="896"/>
      <c r="F1479" s="896"/>
      <c r="G1479" s="895"/>
      <c r="H1479" s="897"/>
      <c r="I1479" s="895"/>
      <c r="J1479" s="895"/>
      <c r="K1479" s="892"/>
    </row>
    <row r="1480" ht="14.5" customHeight="1" spans="1:11" x14ac:dyDescent="0.25">
      <c r="A1480" s="888"/>
      <c r="B1480" s="31"/>
      <c r="C1480" s="894"/>
      <c r="D1480" s="895"/>
      <c r="E1480" s="896"/>
      <c r="F1480" s="896"/>
      <c r="G1480" s="895"/>
      <c r="H1480" s="897"/>
      <c r="I1480" s="895"/>
      <c r="J1480" s="895"/>
      <c r="K1480" s="901"/>
    </row>
    <row r="1481" ht="14.5" customHeight="1" spans="1:11" x14ac:dyDescent="0.25">
      <c r="A1481" s="892" t="s">
        <v>2528</v>
      </c>
      <c r="B1481" s="899"/>
      <c r="C1481" s="901"/>
      <c r="D1481" s="901"/>
      <c r="E1481" s="901"/>
      <c r="F1481" s="901"/>
      <c r="G1481" s="901"/>
      <c r="H1481" s="901"/>
      <c r="I1481" s="901"/>
      <c r="J1481" s="901"/>
      <c r="K1481" s="892"/>
    </row>
    <row r="1482" ht="14.5" customHeight="1" spans="1:11" x14ac:dyDescent="0.25">
      <c r="A1482" s="902" t="s">
        <v>2529</v>
      </c>
      <c r="B1482" s="899"/>
      <c r="C1482" s="894"/>
      <c r="D1482" s="895"/>
      <c r="E1482" s="896"/>
      <c r="F1482" s="896"/>
      <c r="G1482" s="895"/>
      <c r="H1482" s="897"/>
      <c r="I1482" s="895"/>
      <c r="J1482" s="895"/>
      <c r="K1482" s="901"/>
    </row>
    <row r="1483" ht="14.5" customHeight="1" spans="1:11" x14ac:dyDescent="0.25">
      <c r="A1483" s="902" t="s">
        <v>2530</v>
      </c>
      <c r="B1483" s="899"/>
      <c r="C1483" s="894"/>
      <c r="D1483" s="895"/>
      <c r="E1483" s="896"/>
      <c r="F1483" s="896"/>
      <c r="G1483" s="895"/>
      <c r="H1483" s="897"/>
      <c r="I1483" s="901" t="s">
        <v>2531</v>
      </c>
      <c r="J1483" s="901"/>
      <c r="K1483" s="892"/>
    </row>
    <row r="1484" ht="14.5" customHeight="1" spans="1:11" x14ac:dyDescent="0.25">
      <c r="A1484" s="892" t="s">
        <v>2532</v>
      </c>
      <c r="B1484" s="892"/>
      <c r="C1484" s="894"/>
      <c r="D1484" s="895"/>
      <c r="E1484" s="896"/>
      <c r="F1484" s="896"/>
      <c r="G1484" s="895"/>
      <c r="H1484" s="897"/>
      <c r="I1484" s="895"/>
      <c r="J1484" s="895"/>
      <c r="K1484" s="892"/>
    </row>
    <row r="1485" ht="14.5" customHeight="1" spans="1:11" x14ac:dyDescent="0.25">
      <c r="A1485" s="892"/>
      <c r="B1485" s="899"/>
      <c r="C1485" s="894"/>
      <c r="D1485" s="895"/>
      <c r="E1485" s="896"/>
      <c r="F1485" s="896"/>
      <c r="G1485" s="895"/>
      <c r="H1485" s="897"/>
      <c r="I1485" s="895"/>
      <c r="J1485" s="895"/>
      <c r="K1485" s="892"/>
    </row>
    <row r="1486" ht="14.5" customHeight="1" spans="1:11" x14ac:dyDescent="0.25">
      <c r="A1486" s="892" t="s">
        <v>2533</v>
      </c>
      <c r="B1486" s="892"/>
      <c r="C1486" s="894"/>
      <c r="D1486" s="895"/>
      <c r="E1486" s="896"/>
      <c r="F1486" s="896"/>
      <c r="G1486" s="895"/>
      <c r="H1486" s="897"/>
      <c r="I1486" s="895"/>
      <c r="J1486" s="895"/>
      <c r="K1486" s="903"/>
    </row>
    <row r="1487" ht="14.5" customHeight="1" spans="1:10" x14ac:dyDescent="0.25">
      <c r="A1487" s="30"/>
      <c r="B1487" s="31"/>
      <c r="C1487" s="888"/>
      <c r="D1487" s="30"/>
      <c r="E1487" s="904"/>
      <c r="F1487" s="904"/>
      <c r="G1487" s="30"/>
      <c r="H1487" s="897"/>
      <c r="I1487" s="30"/>
      <c r="J1487" s="30"/>
    </row>
  </sheetData>
  <sheetProtection sheet="1" autoFilter="0" algorithmName="SHA-512" hashValue="buEpJwrcS8P4oD7KHavMnJV4V9+2bv44VQKYmJR5zq1wsGXjT1QVI+MIbsLCTr9xZ0Djf1Ww6dUlOtTd/La68g==" saltValue="s6lzFxf/ZLDv7hS8XT4BNw==" spinCount="100000"/>
  <mergeCells count="31">
    <mergeCell ref="A1:K1"/>
    <mergeCell ref="A2:K2"/>
    <mergeCell ref="A3:B3"/>
    <mergeCell ref="C3:K3"/>
    <mergeCell ref="A4:B4"/>
    <mergeCell ref="C4:K4"/>
    <mergeCell ref="A5:B5"/>
    <mergeCell ref="C5:K5"/>
    <mergeCell ref="A6:B7"/>
    <mergeCell ref="C445:I445"/>
    <mergeCell ref="C468:I468"/>
    <mergeCell ref="C491:I491"/>
    <mergeCell ref="C514:I514"/>
    <mergeCell ref="C537:I537"/>
    <mergeCell ref="C960:H960"/>
    <mergeCell ref="C984:H984"/>
    <mergeCell ref="C1140:H1140"/>
    <mergeCell ref="A1370:I1370"/>
    <mergeCell ref="H1393:I1393"/>
    <mergeCell ref="B1406:D1406"/>
    <mergeCell ref="B1411:D1411"/>
    <mergeCell ref="B1418:D1418"/>
    <mergeCell ref="B1424:D1424"/>
    <mergeCell ref="B1432:D1432"/>
    <mergeCell ref="B1438:D1438"/>
    <mergeCell ref="B1450:D1450"/>
    <mergeCell ref="B1454:D1454"/>
    <mergeCell ref="B1460:D1460"/>
    <mergeCell ref="A1476:K1476"/>
    <mergeCell ref="A1484:B1484"/>
    <mergeCell ref="A1486:B1486"/>
  </mergeCells>
  <conditionalFormatting sqref="A1474">
    <cfRule type="cellIs" dxfId="8" priority="12170" operator="equal">
      <formula>"NA"</formula>
    </cfRule>
    <cfRule type="cellIs" dxfId="9" priority="12165" operator="equal">
      <formula>"NA"</formula>
    </cfRule>
    <cfRule type="cellIs" dxfId="10" priority="12172" operator="equal">
      <formula>"NA"</formula>
    </cfRule>
    <cfRule type="cellIs" dxfId="11" priority="12171" operator="equal">
      <formula>"NA"</formula>
    </cfRule>
    <cfRule type="cellIs" dxfId="12" priority="12166" operator="equal">
      <formula>"NA"</formula>
    </cfRule>
    <cfRule type="cellIs" dxfId="13" priority="12167" operator="equal">
      <formula>"NA"</formula>
    </cfRule>
    <cfRule type="cellIs" dxfId="14" priority="12168" operator="equal">
      <formula>"NA"</formula>
    </cfRule>
    <cfRule type="cellIs" dxfId="15" priority="12169" operator="equal">
      <formula>"NA"</formula>
    </cfRule>
  </conditionalFormatting>
  <conditionalFormatting sqref="A464:G464 A465:J465 A466:G466 G712:G713">
    <cfRule type="cellIs" dxfId="16" priority="10881" operator="equal">
      <formula>"NA"</formula>
    </cfRule>
    <cfRule type="cellIs" dxfId="17" priority="10882" operator="equal">
      <formula>"NA"</formula>
    </cfRule>
  </conditionalFormatting>
  <conditionalFormatting sqref="A533:G535">
    <cfRule type="cellIs" dxfId="18" priority="8533" operator="equal">
      <formula>"NA"</formula>
    </cfRule>
    <cfRule type="cellIs" dxfId="19" priority="8534" operator="equal">
      <formula>"NA"</formula>
    </cfRule>
  </conditionalFormatting>
  <conditionalFormatting sqref="A556:G558">
    <cfRule type="cellIs" dxfId="20" priority="10890" operator="equal">
      <formula>"NA"</formula>
    </cfRule>
    <cfRule type="cellIs" dxfId="21" priority="10889" operator="equal">
      <formula>"NA"</formula>
    </cfRule>
  </conditionalFormatting>
  <conditionalFormatting sqref="A560:G564">
    <cfRule type="cellIs" dxfId="22" priority="10892" operator="equal">
      <formula>"NA"</formula>
    </cfRule>
    <cfRule type="cellIs" dxfId="23" priority="10891" operator="equal">
      <formula>"NA"</formula>
    </cfRule>
  </conditionalFormatting>
  <conditionalFormatting sqref="A586:G588">
    <cfRule type="cellIs" dxfId="24" priority="10893" operator="equal">
      <formula>"NA"</formula>
    </cfRule>
    <cfRule type="cellIs" dxfId="25" priority="10894" operator="equal">
      <formula>"NA"</formula>
    </cfRule>
  </conditionalFormatting>
  <conditionalFormatting sqref="A609:G611">
    <cfRule type="cellIs" dxfId="26" priority="10896" operator="equal">
      <formula>"NA"</formula>
    </cfRule>
    <cfRule type="cellIs" dxfId="27" priority="10895" operator="equal">
      <formula>"NA"</formula>
    </cfRule>
  </conditionalFormatting>
  <conditionalFormatting sqref="A632:G634">
    <cfRule type="cellIs" dxfId="28" priority="10897" operator="equal">
      <formula>"NA"</formula>
    </cfRule>
    <cfRule type="cellIs" dxfId="29" priority="10898" operator="equal">
      <formula>"NA"</formula>
    </cfRule>
  </conditionalFormatting>
  <conditionalFormatting sqref="A655:G657">
    <cfRule type="cellIs" dxfId="30" priority="10899" operator="equal">
      <formula>"NA"</formula>
    </cfRule>
    <cfRule type="cellIs" dxfId="31" priority="10900" operator="equal">
      <formula>"NA"</formula>
    </cfRule>
  </conditionalFormatting>
  <conditionalFormatting sqref="A678:G680">
    <cfRule type="cellIs" dxfId="32" priority="10902" operator="equal">
      <formula>"NA"</formula>
    </cfRule>
    <cfRule type="cellIs" dxfId="33" priority="10901" operator="equal">
      <formula>"NA"</formula>
    </cfRule>
  </conditionalFormatting>
  <conditionalFormatting sqref="A510:K512">
    <cfRule type="cellIs" dxfId="34" priority="8543" operator="equal">
      <formula>"NA"</formula>
    </cfRule>
    <cfRule type="cellIs" dxfId="35" priority="8544" operator="equal">
      <formula>"NA"</formula>
    </cfRule>
  </conditionalFormatting>
  <conditionalFormatting sqref="D11:D26">
    <cfRule type="cellIs" dxfId="36" priority="349" operator="equal">
      <formula>"NA"</formula>
    </cfRule>
    <cfRule type="cellIs" dxfId="37" priority="363" operator="equal">
      <formula>"NA"</formula>
    </cfRule>
    <cfRule type="cellIs" dxfId="38" priority="364" operator="equal">
      <formula>"NA"</formula>
    </cfRule>
    <cfRule type="cellIs" dxfId="39" priority="365" operator="equal">
      <formula>"NA"</formula>
    </cfRule>
    <cfRule type="cellIs" dxfId="40" priority="366" operator="equal">
      <formula>"NA"</formula>
    </cfRule>
    <cfRule type="cellIs" dxfId="41" priority="367" operator="equal">
      <formula>"NA"</formula>
    </cfRule>
    <cfRule type="cellIs" dxfId="42" priority="368" operator="equal">
      <formula>"NA"</formula>
    </cfRule>
    <cfRule type="cellIs" dxfId="43" priority="352" operator="equal">
      <formula>"NA"</formula>
    </cfRule>
    <cfRule type="cellIs" dxfId="44" priority="362" operator="equal">
      <formula>"NA"</formula>
    </cfRule>
    <cfRule type="cellIs" dxfId="45" priority="361" operator="equal">
      <formula>"NA"</formula>
    </cfRule>
    <cfRule type="cellIs" dxfId="46" priority="360" operator="equal">
      <formula>"NA"</formula>
    </cfRule>
    <cfRule type="cellIs" dxfId="47" priority="359" operator="equal">
      <formula>"NA"</formula>
    </cfRule>
    <cfRule type="cellIs" dxfId="48" priority="358" operator="equal">
      <formula>"NA"</formula>
    </cfRule>
    <cfRule type="cellIs" dxfId="49" priority="357" operator="equal">
      <formula>"NA"</formula>
    </cfRule>
    <cfRule type="cellIs" dxfId="50" priority="356" operator="equal">
      <formula>"NA"</formula>
    </cfRule>
    <cfRule type="cellIs" dxfId="51" priority="351" operator="equal">
      <formula>"NA"</formula>
    </cfRule>
    <cfRule type="cellIs" dxfId="52" priority="350" operator="equal">
      <formula>"NA"</formula>
    </cfRule>
    <cfRule type="cellIs" dxfId="53" priority="355" operator="equal">
      <formula>"NA"</formula>
    </cfRule>
    <cfRule type="cellIs" dxfId="54" priority="354" operator="equal">
      <formula>"NA"</formula>
    </cfRule>
    <cfRule type="cellIs" dxfId="55" priority="353" operator="equal">
      <formula>"NA"</formula>
    </cfRule>
  </conditionalFormatting>
  <conditionalFormatting sqref="D28:D40">
    <cfRule type="cellIs" dxfId="56" priority="343" operator="equal">
      <formula>"NA"</formula>
    </cfRule>
    <cfRule type="cellIs" dxfId="57" priority="344" operator="equal">
      <formula>"NA"</formula>
    </cfRule>
    <cfRule type="cellIs" dxfId="58" priority="340" operator="equal">
      <formula>"NA"</formula>
    </cfRule>
    <cfRule type="cellIs" dxfId="59" priority="345" operator="equal">
      <formula>"NA"</formula>
    </cfRule>
    <cfRule type="cellIs" dxfId="60" priority="346" operator="equal">
      <formula>"NA"</formula>
    </cfRule>
    <cfRule type="cellIs" dxfId="61" priority="347" operator="equal">
      <formula>"NA"</formula>
    </cfRule>
    <cfRule type="cellIs" dxfId="62" priority="348" operator="equal">
      <formula>"NA"</formula>
    </cfRule>
    <cfRule type="cellIs" dxfId="63" priority="335" operator="equal">
      <formula>"NA"</formula>
    </cfRule>
    <cfRule type="cellIs" dxfId="64" priority="329" operator="equal">
      <formula>"NA"</formula>
    </cfRule>
    <cfRule type="cellIs" dxfId="65" priority="330" operator="equal">
      <formula>"NA"</formula>
    </cfRule>
    <cfRule type="cellIs" dxfId="66" priority="331" operator="equal">
      <formula>"NA"</formula>
    </cfRule>
    <cfRule type="cellIs" dxfId="67" priority="332" operator="equal">
      <formula>"NA"</formula>
    </cfRule>
    <cfRule type="cellIs" dxfId="68" priority="333" operator="equal">
      <formula>"NA"</formula>
    </cfRule>
    <cfRule type="cellIs" dxfId="69" priority="334" operator="equal">
      <formula>"NA"</formula>
    </cfRule>
    <cfRule type="cellIs" dxfId="70" priority="336" operator="equal">
      <formula>"NA"</formula>
    </cfRule>
    <cfRule type="cellIs" dxfId="71" priority="337" operator="equal">
      <formula>"NA"</formula>
    </cfRule>
    <cfRule type="cellIs" dxfId="72" priority="338" operator="equal">
      <formula>"NA"</formula>
    </cfRule>
    <cfRule type="cellIs" dxfId="73" priority="339" operator="equal">
      <formula>"NA"</formula>
    </cfRule>
    <cfRule type="cellIs" dxfId="74" priority="341" operator="equal">
      <formula>"NA"</formula>
    </cfRule>
    <cfRule type="cellIs" dxfId="75" priority="342" operator="equal">
      <formula>"NA"</formula>
    </cfRule>
  </conditionalFormatting>
  <conditionalFormatting sqref="D446">
    <cfRule type="cellIs" dxfId="76" priority="7680" operator="equal">
      <formula>"NA"</formula>
    </cfRule>
    <cfRule type="cellIs" dxfId="77" priority="7676" operator="equal">
      <formula>"NA"</formula>
    </cfRule>
    <cfRule type="cellIs" dxfId="78" priority="7679" operator="equal">
      <formula>"NA"</formula>
    </cfRule>
    <cfRule type="cellIs" dxfId="79" priority="7678" operator="equal">
      <formula>"NA"</formula>
    </cfRule>
    <cfRule type="cellIs" dxfId="80" priority="7675" operator="equal">
      <formula>"NA"</formula>
    </cfRule>
    <cfRule type="cellIs" dxfId="81" priority="7677" operator="equal">
      <formula>"NA"</formula>
    </cfRule>
  </conditionalFormatting>
  <conditionalFormatting sqref="D469">
    <cfRule type="cellIs" dxfId="82" priority="7573" operator="equal">
      <formula>"NA"</formula>
    </cfRule>
    <cfRule type="cellIs" dxfId="83" priority="7572" operator="equal">
      <formula>"NA"</formula>
    </cfRule>
    <cfRule type="cellIs" dxfId="84" priority="7571" operator="equal">
      <formula>"NA"</formula>
    </cfRule>
    <cfRule type="cellIs" dxfId="85" priority="7576" operator="equal">
      <formula>"NA"</formula>
    </cfRule>
    <cfRule type="cellIs" dxfId="86" priority="7575" operator="equal">
      <formula>"NA"</formula>
    </cfRule>
    <cfRule type="cellIs" dxfId="87" priority="7574" operator="equal">
      <formula>"NA"</formula>
    </cfRule>
  </conditionalFormatting>
  <conditionalFormatting sqref="D492">
    <cfRule type="cellIs" dxfId="88" priority="7504" operator="equal">
      <formula>"NA"</formula>
    </cfRule>
    <cfRule type="cellIs" dxfId="89" priority="7503" operator="equal">
      <formula>"NA"</formula>
    </cfRule>
    <cfRule type="cellIs" dxfId="90" priority="7500" operator="equal">
      <formula>"NA"</formula>
    </cfRule>
    <cfRule type="cellIs" dxfId="91" priority="7499" operator="equal">
      <formula>"NA"</formula>
    </cfRule>
    <cfRule type="cellIs" dxfId="92" priority="7501" operator="equal">
      <formula>"NA"</formula>
    </cfRule>
    <cfRule type="cellIs" dxfId="93" priority="7502" operator="equal">
      <formula>"NA"</formula>
    </cfRule>
  </conditionalFormatting>
  <conditionalFormatting sqref="D515">
    <cfRule type="cellIs" dxfId="94" priority="7427" operator="equal">
      <formula>"NA"</formula>
    </cfRule>
    <cfRule type="cellIs" dxfId="95" priority="7430" operator="equal">
      <formula>"NA"</formula>
    </cfRule>
    <cfRule type="cellIs" dxfId="96" priority="7431" operator="equal">
      <formula>"NA"</formula>
    </cfRule>
    <cfRule type="cellIs" dxfId="97" priority="7428" operator="equal">
      <formula>"NA"</formula>
    </cfRule>
    <cfRule type="cellIs" dxfId="98" priority="7429" operator="equal">
      <formula>"NA"</formula>
    </cfRule>
    <cfRule type="cellIs" dxfId="99" priority="7432" operator="equal">
      <formula>"NA"</formula>
    </cfRule>
  </conditionalFormatting>
  <conditionalFormatting sqref="D538">
    <cfRule type="cellIs" dxfId="100" priority="7359" operator="equal">
      <formula>"NA"</formula>
    </cfRule>
    <cfRule type="cellIs" dxfId="101" priority="7358" operator="equal">
      <formula>"NA"</formula>
    </cfRule>
    <cfRule type="cellIs" dxfId="102" priority="7356" operator="equal">
      <formula>"NA"</formula>
    </cfRule>
    <cfRule type="cellIs" dxfId="103" priority="7355" operator="equal">
      <formula>"NA"</formula>
    </cfRule>
    <cfRule type="cellIs" dxfId="104" priority="7357" operator="equal">
      <formula>"NA"</formula>
    </cfRule>
    <cfRule type="cellIs" dxfId="105" priority="7360" operator="equal">
      <formula>"NA"</formula>
    </cfRule>
  </conditionalFormatting>
  <conditionalFormatting sqref="D591">
    <cfRule type="cellIs" dxfId="106" priority="11488" operator="equal">
      <formula>"NA"</formula>
    </cfRule>
    <cfRule type="cellIs" dxfId="107" priority="11487" operator="equal">
      <formula>"NA"</formula>
    </cfRule>
    <cfRule type="cellIs" dxfId="108" priority="11486" operator="equal">
      <formula>"NA"</formula>
    </cfRule>
    <cfRule type="cellIs" dxfId="109" priority="11485" operator="equal">
      <formula>"NA"</formula>
    </cfRule>
  </conditionalFormatting>
  <conditionalFormatting sqref="D614">
    <cfRule type="cellIs" dxfId="110" priority="11422" operator="equal">
      <formula>"NA"</formula>
    </cfRule>
    <cfRule type="cellIs" dxfId="111" priority="11421" operator="equal">
      <formula>"NA"</formula>
    </cfRule>
    <cfRule type="cellIs" dxfId="112" priority="11420" operator="equal">
      <formula>"NA"</formula>
    </cfRule>
    <cfRule type="cellIs" dxfId="113" priority="11419" operator="equal">
      <formula>"NA"</formula>
    </cfRule>
  </conditionalFormatting>
  <conditionalFormatting sqref="D637">
    <cfRule type="cellIs" dxfId="114" priority="11353" operator="equal">
      <formula>"NA"</formula>
    </cfRule>
    <cfRule type="cellIs" dxfId="115" priority="11354" operator="equal">
      <formula>"NA"</formula>
    </cfRule>
    <cfRule type="cellIs" dxfId="116" priority="11355" operator="equal">
      <formula>"NA"</formula>
    </cfRule>
    <cfRule type="cellIs" dxfId="117" priority="11356" operator="equal">
      <formula>"NA"</formula>
    </cfRule>
  </conditionalFormatting>
  <conditionalFormatting sqref="D660">
    <cfRule type="cellIs" dxfId="118" priority="11290" operator="equal">
      <formula>"NA"</formula>
    </cfRule>
    <cfRule type="cellIs" dxfId="119" priority="11289" operator="equal">
      <formula>"NA"</formula>
    </cfRule>
    <cfRule type="cellIs" dxfId="120" priority="11288" operator="equal">
      <formula>"NA"</formula>
    </cfRule>
    <cfRule type="cellIs" dxfId="121" priority="11287" operator="equal">
      <formula>"NA"</formula>
    </cfRule>
  </conditionalFormatting>
  <conditionalFormatting sqref="D446:E446 J808:J813 J815:J837 E1091:J1091 E1092:I1092 K1093 J1397:K1404 J1433:K1449">
    <cfRule type="cellIs" dxfId="122" priority="7682" operator="equal">
      <formula>"NA"</formula>
    </cfRule>
    <cfRule type="cellIs" dxfId="123" priority="7681" operator="equal">
      <formula>"NA"</formula>
    </cfRule>
  </conditionalFormatting>
  <conditionalFormatting sqref="D469:E469">
    <cfRule type="cellIs" dxfId="124" priority="7578" operator="equal">
      <formula>"NA"</formula>
    </cfRule>
    <cfRule type="cellIs" dxfId="125" priority="7577" operator="equal">
      <formula>"NA"</formula>
    </cfRule>
  </conditionalFormatting>
  <conditionalFormatting sqref="D492:E492">
    <cfRule type="cellIs" dxfId="126" priority="7505" operator="equal">
      <formula>"NA"</formula>
    </cfRule>
    <cfRule type="cellIs" dxfId="127" priority="7506" operator="equal">
      <formula>"NA"</formula>
    </cfRule>
  </conditionalFormatting>
  <conditionalFormatting sqref="D515:E515">
    <cfRule type="cellIs" dxfId="128" priority="7434" operator="equal">
      <formula>"NA"</formula>
    </cfRule>
    <cfRule type="cellIs" dxfId="129" priority="7433" operator="equal">
      <formula>"NA"</formula>
    </cfRule>
  </conditionalFormatting>
  <conditionalFormatting sqref="D538:E538">
    <cfRule type="cellIs" dxfId="130" priority="7362" operator="equal">
      <formula>"NA"</formula>
    </cfRule>
    <cfRule type="cellIs" dxfId="131" priority="7361" operator="equal">
      <formula>"NA"</formula>
    </cfRule>
  </conditionalFormatting>
  <conditionalFormatting sqref="D591:E591">
    <cfRule type="cellIs" dxfId="132" priority="11478" operator="equal">
      <formula>"NA"</formula>
    </cfRule>
    <cfRule type="cellIs" dxfId="133" priority="11477" operator="equal">
      <formula>"NA"</formula>
    </cfRule>
    <cfRule type="cellIs" dxfId="134" priority="11479" operator="equal">
      <formula>"NA"</formula>
    </cfRule>
    <cfRule type="cellIs" dxfId="135" priority="11480" operator="equal">
      <formula>"NA"</formula>
    </cfRule>
  </conditionalFormatting>
  <conditionalFormatting sqref="D614:E614">
    <cfRule type="cellIs" dxfId="136" priority="11411" operator="equal">
      <formula>"NA"</formula>
    </cfRule>
    <cfRule type="cellIs" dxfId="137" priority="11413" operator="equal">
      <formula>"NA"</formula>
    </cfRule>
    <cfRule type="cellIs" dxfId="138" priority="11414" operator="equal">
      <formula>"NA"</formula>
    </cfRule>
    <cfRule type="cellIs" dxfId="139" priority="11412" operator="equal">
      <formula>"NA"</formula>
    </cfRule>
  </conditionalFormatting>
  <conditionalFormatting sqref="D637:E637">
    <cfRule type="cellIs" dxfId="140" priority="11345" operator="equal">
      <formula>"NA"</formula>
    </cfRule>
    <cfRule type="cellIs" dxfId="141" priority="11346" operator="equal">
      <formula>"NA"</formula>
    </cfRule>
    <cfRule type="cellIs" dxfId="142" priority="11347" operator="equal">
      <formula>"NA"</formula>
    </cfRule>
    <cfRule type="cellIs" dxfId="143" priority="11348" operator="equal">
      <formula>"NA"</formula>
    </cfRule>
  </conditionalFormatting>
  <conditionalFormatting sqref="D660:E660">
    <cfRule type="cellIs" dxfId="144" priority="11279" operator="equal">
      <formula>"NA"</formula>
    </cfRule>
    <cfRule type="cellIs" dxfId="145" priority="11282" operator="equal">
      <formula>"NA"</formula>
    </cfRule>
    <cfRule type="cellIs" dxfId="146" priority="11281" operator="equal">
      <formula>"NA"</formula>
    </cfRule>
    <cfRule type="cellIs" dxfId="147" priority="11280" operator="equal">
      <formula>"NA"</formula>
    </cfRule>
  </conditionalFormatting>
  <conditionalFormatting sqref="D568:H568">
    <cfRule type="cellIs" dxfId="148" priority="2128" operator="equal">
      <formula>"NA"</formula>
    </cfRule>
    <cfRule type="cellIs" dxfId="149" priority="2127" operator="equal">
      <formula>"NA"</formula>
    </cfRule>
  </conditionalFormatting>
  <conditionalFormatting sqref="D568:J568">
    <cfRule type="cellIs" dxfId="150" priority="2129" operator="equal">
      <formula>"NA"</formula>
    </cfRule>
    <cfRule type="cellIs" dxfId="151" priority="2130" operator="equal">
      <formula>"NA"</formula>
    </cfRule>
  </conditionalFormatting>
  <conditionalFormatting sqref="D568:K568">
    <cfRule type="cellIs" dxfId="152" priority="3932" operator="equal">
      <formula>"NA"</formula>
    </cfRule>
    <cfRule type="cellIs" dxfId="153" priority="3931" operator="equal">
      <formula>"NA"</formula>
    </cfRule>
    <cfRule type="cellIs" dxfId="154" priority="3933" operator="equal">
      <formula>"NA"</formula>
    </cfRule>
    <cfRule type="cellIs" dxfId="155" priority="3934" operator="equal">
      <formula>"NA"</formula>
    </cfRule>
  </conditionalFormatting>
  <conditionalFormatting sqref="E43:E47">
    <cfRule type="cellIs" dxfId="156" priority="4417" operator="equal">
      <formula>"NA"</formula>
    </cfRule>
    <cfRule type="cellIs" dxfId="157" priority="4418" operator="equal">
      <formula>"NA"</formula>
    </cfRule>
  </conditionalFormatting>
  <conditionalFormatting sqref="E52:E57">
    <cfRule type="cellIs" dxfId="158" priority="4382" operator="equal">
      <formula>"NA"</formula>
    </cfRule>
    <cfRule type="cellIs" dxfId="159" priority="4381" operator="equal">
      <formula>"NA"</formula>
    </cfRule>
  </conditionalFormatting>
  <conditionalFormatting sqref="E64:E67 E70 E73:F73 E74:E75 E117:E118 E123:E124 E135:E136 E141:E142 I141:J142 E147:E148 I147:J148 E153:E154 E165:F165 H165:J165 E166:E167 I407:J408 I413:J414 H431:J431 I431:J433 I464:K464 J465:K465 I466:K466 I487:K489 I533:K535 I556:K558 I560:K564 I586:K588 I609:K611 I632:K634 I655:K657 I678:J680 K678:K681 A681:J681 J683:K683 I684:K688 H798 H803 K856 K877 K898 K919 K961 E967:E970 I967:J970 J971:J973 K985 K1049 K1071 K1117 K1141 K1204">
    <cfRule type="cellIs" dxfId="160" priority="12990" operator="equal">
      <formula>"NA"</formula>
    </cfRule>
  </conditionalFormatting>
  <conditionalFormatting sqref="E64:E67 E70">
    <cfRule type="cellIs" dxfId="161" priority="10198" operator="equal">
      <formula>"NA"</formula>
    </cfRule>
    <cfRule type="cellIs" dxfId="162" priority="4376" operator="equal">
      <formula>"NA"</formula>
    </cfRule>
    <cfRule type="cellIs" dxfId="163" priority="10199" operator="equal">
      <formula>"NA"</formula>
    </cfRule>
    <cfRule type="cellIs" dxfId="164" priority="10200" operator="equal">
      <formula>"NA"</formula>
    </cfRule>
    <cfRule type="cellIs" dxfId="165" priority="4375" operator="equal">
      <formula>"NA"</formula>
    </cfRule>
  </conditionalFormatting>
  <conditionalFormatting sqref="E70 E64:E67">
    <cfRule type="cellIs" dxfId="166" priority="10197" operator="equal">
      <formula>"NA"</formula>
    </cfRule>
  </conditionalFormatting>
  <conditionalFormatting sqref="E70">
    <cfRule type="cellIs" dxfId="167" priority="10195" operator="equal">
      <formula>"NA"</formula>
    </cfRule>
    <cfRule type="cellIs" dxfId="168" priority="10196" operator="equal">
      <formula>"NA"</formula>
    </cfRule>
  </conditionalFormatting>
  <conditionalFormatting sqref="E78:E83 E73:F73 E74:E75">
    <cfRule type="cellIs" dxfId="169" priority="10183" operator="equal">
      <formula>"NA"</formula>
    </cfRule>
  </conditionalFormatting>
  <conditionalFormatting sqref="E78:E83">
    <cfRule type="cellIs" dxfId="170" priority="10179" operator="equal">
      <formula>"NA"</formula>
    </cfRule>
    <cfRule type="cellIs" dxfId="171" priority="10180" operator="equal">
      <formula>"NA"</formula>
    </cfRule>
  </conditionalFormatting>
  <conditionalFormatting sqref="E78:E85">
    <cfRule type="cellIs" dxfId="172" priority="10705" operator="equal">
      <formula>"NA"</formula>
    </cfRule>
    <cfRule type="cellIs" dxfId="173" priority="10706" operator="equal">
      <formula>"NA"</formula>
    </cfRule>
  </conditionalFormatting>
  <conditionalFormatting sqref="E86:E94">
    <cfRule type="cellIs" dxfId="174" priority="713" operator="equal">
      <formula>"NA"</formula>
    </cfRule>
    <cfRule type="cellIs" dxfId="175" priority="714" operator="equal">
      <formula>"NA"</formula>
    </cfRule>
  </conditionalFormatting>
  <conditionalFormatting sqref="E98:E106">
    <cfRule type="cellIs" dxfId="176" priority="2173" operator="equal">
      <formula>"NA"</formula>
    </cfRule>
    <cfRule type="cellIs" dxfId="177" priority="2174" operator="equal">
      <formula>"NA"</formula>
    </cfRule>
  </conditionalFormatting>
  <conditionalFormatting sqref="E100">
    <cfRule type="cellIs" dxfId="178" priority="2171" operator="equal">
      <formula>"NA"</formula>
    </cfRule>
    <cfRule type="cellIs" dxfId="179" priority="2172" operator="equal">
      <formula>"NA"</formula>
    </cfRule>
  </conditionalFormatting>
  <conditionalFormatting sqref="E100:E101">
    <cfRule type="cellIs" dxfId="180" priority="2169" operator="equal">
      <formula>"NA"</formula>
    </cfRule>
    <cfRule type="cellIs" dxfId="181" priority="2170" operator="equal">
      <formula>"NA"</formula>
    </cfRule>
  </conditionalFormatting>
  <conditionalFormatting sqref="E101">
    <cfRule type="cellIs" dxfId="182" priority="2167" operator="equal">
      <formula>"NA"</formula>
    </cfRule>
    <cfRule type="cellIs" dxfId="183" priority="2168" operator="equal">
      <formula>"NA"</formula>
    </cfRule>
  </conditionalFormatting>
  <conditionalFormatting sqref="E107:E108">
    <cfRule type="cellIs" dxfId="184" priority="2164" operator="equal">
      <formula>"NA"</formula>
    </cfRule>
    <cfRule type="cellIs" dxfId="185" priority="2163" operator="equal">
      <formula>"NA"</formula>
    </cfRule>
  </conditionalFormatting>
  <conditionalFormatting sqref="E111:E112">
    <cfRule type="cellIs" dxfId="186" priority="4255" operator="equal">
      <formula>"NA"</formula>
    </cfRule>
    <cfRule type="cellIs" dxfId="187" priority="2158" operator="equal">
      <formula>"NA"</formula>
    </cfRule>
    <cfRule type="cellIs" dxfId="188" priority="2160" operator="equal">
      <formula>"NA"</formula>
    </cfRule>
    <cfRule type="cellIs" dxfId="189" priority="2159" operator="equal">
      <formula>"NA"</formula>
    </cfRule>
    <cfRule type="cellIs" dxfId="190" priority="2157" operator="equal">
      <formula>"NA"</formula>
    </cfRule>
    <cfRule type="cellIs" dxfId="191" priority="4256" operator="equal">
      <formula>"NA"</formula>
    </cfRule>
  </conditionalFormatting>
  <conditionalFormatting sqref="E112">
    <cfRule type="cellIs" dxfId="192" priority="2162" operator="equal">
      <formula>"NA"</formula>
    </cfRule>
    <cfRule type="cellIs" dxfId="193" priority="2161" operator="equal">
      <formula>"NA"</formula>
    </cfRule>
  </conditionalFormatting>
  <conditionalFormatting sqref="E117:E118">
    <cfRule type="cellIs" dxfId="194" priority="10164" operator="equal">
      <formula>"NA"</formula>
    </cfRule>
    <cfRule type="cellIs" dxfId="195" priority="10163" operator="equal">
      <formula>"NA"</formula>
    </cfRule>
    <cfRule type="cellIs" dxfId="196" priority="8212" operator="equal">
      <formula>"NA"</formula>
    </cfRule>
    <cfRule type="cellIs" dxfId="197" priority="8211" operator="equal">
      <formula>"NA"</formula>
    </cfRule>
  </conditionalFormatting>
  <conditionalFormatting sqref="E123:E124">
    <cfRule type="cellIs" dxfId="198" priority="8199" operator="equal">
      <formula>"NA"</formula>
    </cfRule>
    <cfRule type="cellIs" dxfId="199" priority="8200" operator="equal">
      <formula>"NA"</formula>
    </cfRule>
    <cfRule type="cellIs" dxfId="200" priority="10159" operator="equal">
      <formula>"NA"</formula>
    </cfRule>
    <cfRule type="cellIs" dxfId="201" priority="10160" operator="equal">
      <formula>"NA"</formula>
    </cfRule>
  </conditionalFormatting>
  <conditionalFormatting sqref="E129:E130">
    <cfRule type="cellIs" dxfId="202" priority="4234" operator="equal">
      <formula>"NA"</formula>
    </cfRule>
    <cfRule type="cellIs" dxfId="203" priority="4233" operator="equal">
      <formula>"NA"</formula>
    </cfRule>
  </conditionalFormatting>
  <conditionalFormatting sqref="E130">
    <cfRule type="cellIs" dxfId="204" priority="2154" operator="equal">
      <formula>"NA"</formula>
    </cfRule>
    <cfRule type="cellIs" dxfId="205" priority="2153" operator="equal">
      <formula>"NA"</formula>
    </cfRule>
  </conditionalFormatting>
  <conditionalFormatting sqref="E130:E132">
    <cfRule type="cellIs" dxfId="206" priority="2152" operator="equal">
      <formula>"NA"</formula>
    </cfRule>
    <cfRule type="cellIs" dxfId="207" priority="2151" operator="equal">
      <formula>"NA"</formula>
    </cfRule>
  </conditionalFormatting>
  <conditionalFormatting sqref="E135:E136">
    <cfRule type="cellIs" dxfId="208" priority="8186" operator="equal">
      <formula>"NA"</formula>
    </cfRule>
    <cfRule type="cellIs" dxfId="209" priority="8185" operator="equal">
      <formula>"NA"</formula>
    </cfRule>
    <cfRule type="cellIs" dxfId="210" priority="10151" operator="equal">
      <formula>"NA"</formula>
    </cfRule>
    <cfRule type="cellIs" dxfId="211" priority="10152" operator="equal">
      <formula>"NA"</formula>
    </cfRule>
  </conditionalFormatting>
  <conditionalFormatting sqref="E141:E142">
    <cfRule type="cellIs" dxfId="212" priority="8179" operator="equal">
      <formula>"NA"</formula>
    </cfRule>
    <cfRule type="cellIs" dxfId="213" priority="8180" operator="equal">
      <formula>"NA"</formula>
    </cfRule>
    <cfRule type="cellIs" dxfId="214" priority="10147" operator="equal">
      <formula>"NA"</formula>
    </cfRule>
    <cfRule type="cellIs" dxfId="215" priority="10148" operator="equal">
      <formula>"NA"</formula>
    </cfRule>
  </conditionalFormatting>
  <conditionalFormatting sqref="E147:E148 E165:G165 E407:E408 E413:E414 E431:G431 E432:E433">
    <cfRule type="cellIs" dxfId="216" priority="8762" operator="equal">
      <formula>"NA"</formula>
    </cfRule>
  </conditionalFormatting>
  <conditionalFormatting sqref="E147:E148 I694:J711">
    <cfRule type="cellIs" dxfId="217" priority="10141" operator="equal">
      <formula>"NA"</formula>
    </cfRule>
    <cfRule type="cellIs" dxfId="218" priority="10142" operator="equal">
      <formula>"NA"</formula>
    </cfRule>
    <cfRule type="cellIs" dxfId="219" priority="10143" operator="equal">
      <formula>"NA"</formula>
    </cfRule>
    <cfRule type="cellIs" dxfId="220" priority="10144" operator="equal">
      <formula>"NA"</formula>
    </cfRule>
  </conditionalFormatting>
  <conditionalFormatting sqref="E153:E154">
    <cfRule type="cellIs" dxfId="221" priority="10135" operator="equal">
      <formula>"NA"</formula>
    </cfRule>
    <cfRule type="cellIs" dxfId="222" priority="10136" operator="equal">
      <formula>"NA"</formula>
    </cfRule>
    <cfRule type="cellIs" dxfId="223" priority="6311" operator="equal">
      <formula>"NA"</formula>
    </cfRule>
    <cfRule type="cellIs" dxfId="224" priority="6312" operator="equal">
      <formula>"NA"</formula>
    </cfRule>
    <cfRule type="cellIs" dxfId="225" priority="10137" operator="equal">
      <formula>"NA"</formula>
    </cfRule>
    <cfRule type="cellIs" dxfId="226" priority="10138" operator="equal">
      <formula>"NA"</formula>
    </cfRule>
  </conditionalFormatting>
  <conditionalFormatting sqref="E159:E160">
    <cfRule type="cellIs" dxfId="227" priority="691" operator="equal">
      <formula>"NA"</formula>
    </cfRule>
    <cfRule type="cellIs" dxfId="228" priority="692" operator="equal">
      <formula>"NA"</formula>
    </cfRule>
  </conditionalFormatting>
  <conditionalFormatting sqref="E166:E167 E165:F165">
    <cfRule type="cellIs" dxfId="229" priority="10125" operator="equal">
      <formula>"NA"</formula>
    </cfRule>
  </conditionalFormatting>
  <conditionalFormatting sqref="E166:E167">
    <cfRule type="cellIs" dxfId="230" priority="10122" operator="equal">
      <formula>"NA"</formula>
    </cfRule>
    <cfRule type="cellIs" dxfId="231" priority="10121" operator="equal">
      <formula>"NA"</formula>
    </cfRule>
  </conditionalFormatting>
  <conditionalFormatting sqref="E172">
    <cfRule type="cellIs" dxfId="232" priority="10690" operator="equal">
      <formula>"NA"</formula>
    </cfRule>
    <cfRule type="cellIs" dxfId="233" priority="10689" operator="equal">
      <formula>"NA"</formula>
    </cfRule>
  </conditionalFormatting>
  <conditionalFormatting sqref="E175:E183">
    <cfRule type="cellIs" dxfId="234" priority="10688" operator="equal">
      <formula>"NA"</formula>
    </cfRule>
    <cfRule type="cellIs" dxfId="235" priority="10687" operator="equal">
      <formula>"NA"</formula>
    </cfRule>
  </conditionalFormatting>
  <conditionalFormatting sqref="E190:E191">
    <cfRule type="cellIs" dxfId="236" priority="4209" operator="equal">
      <formula>"NA"</formula>
    </cfRule>
    <cfRule type="cellIs" dxfId="237" priority="4210" operator="equal">
      <formula>"NA"</formula>
    </cfRule>
  </conditionalFormatting>
  <conditionalFormatting sqref="E195:E196 E197:H197 E198:E206">
    <cfRule type="cellIs" dxfId="238" priority="4199" operator="equal">
      <formula>"NA"</formula>
    </cfRule>
    <cfRule type="cellIs" dxfId="239" priority="4200" operator="equal">
      <formula>"NA"</formula>
    </cfRule>
  </conditionalFormatting>
  <conditionalFormatting sqref="E229:E240">
    <cfRule type="cellIs" dxfId="240" priority="4168" operator="equal">
      <formula>"NA"</formula>
    </cfRule>
    <cfRule type="cellIs" dxfId="241" priority="4167" operator="equal">
      <formula>"NA"</formula>
    </cfRule>
  </conditionalFormatting>
  <conditionalFormatting sqref="E231">
    <cfRule type="cellIs" dxfId="242" priority="4174" operator="equal">
      <formula>"NA"</formula>
    </cfRule>
    <cfRule type="cellIs" dxfId="243" priority="4173" operator="equal">
      <formula>"NA"</formula>
    </cfRule>
  </conditionalFormatting>
  <conditionalFormatting sqref="E246:E257">
    <cfRule type="cellIs" dxfId="244" priority="4151" operator="equal">
      <formula>"NA"</formula>
    </cfRule>
    <cfRule type="cellIs" dxfId="245" priority="4152" operator="equal">
      <formula>"NA"</formula>
    </cfRule>
  </conditionalFormatting>
  <conditionalFormatting sqref="E248">
    <cfRule type="cellIs" dxfId="246" priority="4158" operator="equal">
      <formula>"NA"</formula>
    </cfRule>
    <cfRule type="cellIs" dxfId="247" priority="4157" operator="equal">
      <formula>"NA"</formula>
    </cfRule>
  </conditionalFormatting>
  <conditionalFormatting sqref="E263:E274">
    <cfRule type="cellIs" dxfId="248" priority="4136" operator="equal">
      <formula>"NA"</formula>
    </cfRule>
    <cfRule type="cellIs" dxfId="249" priority="4135" operator="equal">
      <formula>"NA"</formula>
    </cfRule>
  </conditionalFormatting>
  <conditionalFormatting sqref="E265">
    <cfRule type="cellIs" dxfId="250" priority="4142" operator="equal">
      <formula>"NA"</formula>
    </cfRule>
    <cfRule type="cellIs" dxfId="251" priority="4141" operator="equal">
      <formula>"NA"</formula>
    </cfRule>
  </conditionalFormatting>
  <conditionalFormatting sqref="E280:E291">
    <cfRule type="cellIs" dxfId="252" priority="4120" operator="equal">
      <formula>"NA"</formula>
    </cfRule>
    <cfRule type="cellIs" dxfId="253" priority="4119" operator="equal">
      <formula>"NA"</formula>
    </cfRule>
  </conditionalFormatting>
  <conditionalFormatting sqref="E282">
    <cfRule type="cellIs" dxfId="254" priority="4126" operator="equal">
      <formula>"NA"</formula>
    </cfRule>
    <cfRule type="cellIs" dxfId="255" priority="4125" operator="equal">
      <formula>"NA"</formula>
    </cfRule>
  </conditionalFormatting>
  <conditionalFormatting sqref="E297:E308">
    <cfRule type="cellIs" dxfId="256" priority="4104" operator="equal">
      <formula>"NA"</formula>
    </cfRule>
    <cfRule type="cellIs" dxfId="257" priority="4103" operator="equal">
      <formula>"NA"</formula>
    </cfRule>
  </conditionalFormatting>
  <conditionalFormatting sqref="E299">
    <cfRule type="cellIs" dxfId="258" priority="4110" operator="equal">
      <formula>"NA"</formula>
    </cfRule>
    <cfRule type="cellIs" dxfId="259" priority="4109" operator="equal">
      <formula>"NA"</formula>
    </cfRule>
  </conditionalFormatting>
  <conditionalFormatting sqref="E314:E325">
    <cfRule type="cellIs" dxfId="260" priority="4088" operator="equal">
      <formula>"NA"</formula>
    </cfRule>
    <cfRule type="cellIs" dxfId="261" priority="4087" operator="equal">
      <formula>"NA"</formula>
    </cfRule>
  </conditionalFormatting>
  <conditionalFormatting sqref="E316">
    <cfRule type="cellIs" dxfId="262" priority="4094" operator="equal">
      <formula>"NA"</formula>
    </cfRule>
    <cfRule type="cellIs" dxfId="263" priority="4093" operator="equal">
      <formula>"NA"</formula>
    </cfRule>
  </conditionalFormatting>
  <conditionalFormatting sqref="E331:E342">
    <cfRule type="cellIs" dxfId="264" priority="4071" operator="equal">
      <formula>"NA"</formula>
    </cfRule>
    <cfRule type="cellIs" dxfId="265" priority="4072" operator="equal">
      <formula>"NA"</formula>
    </cfRule>
  </conditionalFormatting>
  <conditionalFormatting sqref="E333">
    <cfRule type="cellIs" dxfId="266" priority="4077" operator="equal">
      <formula>"NA"</formula>
    </cfRule>
    <cfRule type="cellIs" dxfId="267" priority="4078" operator="equal">
      <formula>"NA"</formula>
    </cfRule>
  </conditionalFormatting>
  <conditionalFormatting sqref="E348:E359">
    <cfRule type="cellIs" dxfId="268" priority="4055" operator="equal">
      <formula>"NA"</formula>
    </cfRule>
    <cfRule type="cellIs" dxfId="269" priority="4056" operator="equal">
      <formula>"NA"</formula>
    </cfRule>
  </conditionalFormatting>
  <conditionalFormatting sqref="E350">
    <cfRule type="cellIs" dxfId="270" priority="4062" operator="equal">
      <formula>"NA"</formula>
    </cfRule>
    <cfRule type="cellIs" dxfId="271" priority="4061" operator="equal">
      <formula>"NA"</formula>
    </cfRule>
  </conditionalFormatting>
  <conditionalFormatting sqref="E365:E376">
    <cfRule type="cellIs" dxfId="272" priority="4040" operator="equal">
      <formula>"NA"</formula>
    </cfRule>
    <cfRule type="cellIs" dxfId="273" priority="4039" operator="equal">
      <formula>"NA"</formula>
    </cfRule>
  </conditionalFormatting>
  <conditionalFormatting sqref="E367">
    <cfRule type="cellIs" dxfId="274" priority="4046" operator="equal">
      <formula>"NA"</formula>
    </cfRule>
    <cfRule type="cellIs" dxfId="275" priority="4045" operator="equal">
      <formula>"NA"</formula>
    </cfRule>
  </conditionalFormatting>
  <conditionalFormatting sqref="E388:E391">
    <cfRule type="cellIs" dxfId="276" priority="4030" operator="equal">
      <formula>"NA"</formula>
    </cfRule>
    <cfRule type="cellIs" dxfId="277" priority="4029" operator="equal">
      <formula>"NA"</formula>
    </cfRule>
  </conditionalFormatting>
  <conditionalFormatting sqref="E395:E396">
    <cfRule type="cellIs" dxfId="278" priority="4026" operator="equal">
      <formula>"NA"</formula>
    </cfRule>
    <cfRule type="cellIs" dxfId="279" priority="4025" operator="equal">
      <formula>"NA"</formula>
    </cfRule>
  </conditionalFormatting>
  <conditionalFormatting sqref="E401:E402">
    <cfRule type="cellIs" dxfId="280" priority="4021" operator="equal">
      <formula>"NA"</formula>
    </cfRule>
    <cfRule type="cellIs" dxfId="281" priority="4022" operator="equal">
      <formula>"NA"</formula>
    </cfRule>
  </conditionalFormatting>
  <conditionalFormatting sqref="E419:E420">
    <cfRule type="cellIs" dxfId="282" priority="4018" operator="equal">
      <formula>"NA"</formula>
    </cfRule>
    <cfRule type="cellIs" dxfId="283" priority="4017" operator="equal">
      <formula>"NA"</formula>
    </cfRule>
  </conditionalFormatting>
  <conditionalFormatting sqref="E425:E426">
    <cfRule type="cellIs" dxfId="284" priority="4014" operator="equal">
      <formula>"NA"</formula>
    </cfRule>
    <cfRule type="cellIs" dxfId="285" priority="4013" operator="equal">
      <formula>"NA"</formula>
    </cfRule>
  </conditionalFormatting>
  <conditionalFormatting sqref="E438:E440">
    <cfRule type="cellIs" dxfId="286" priority="8578" operator="equal">
      <formula>"NA"</formula>
    </cfRule>
    <cfRule type="cellIs" dxfId="287" priority="8577" operator="equal">
      <formula>"NA"</formula>
    </cfRule>
  </conditionalFormatting>
  <conditionalFormatting sqref="E446">
    <cfRule type="cellIs" dxfId="288" priority="11211" operator="equal">
      <formula>"NA"</formula>
    </cfRule>
    <cfRule type="cellIs" dxfId="289" priority="11212" operator="equal">
      <formula>"NA"</formula>
    </cfRule>
    <cfRule type="cellIs" dxfId="290" priority="11213" operator="equal">
      <formula>"NA"</formula>
    </cfRule>
    <cfRule type="cellIs" dxfId="291" priority="11214" operator="equal">
      <formula>"NA"</formula>
    </cfRule>
    <cfRule type="cellIs" dxfId="292" priority="10094" operator="equal">
      <formula>"NA"</formula>
    </cfRule>
    <cfRule type="cellIs" dxfId="293" priority="10093" operator="equal">
      <formula>"NA"</formula>
    </cfRule>
    <cfRule type="cellIs" dxfId="294" priority="10091" operator="equal">
      <formula>"NA"</formula>
    </cfRule>
    <cfRule type="cellIs" dxfId="295" priority="10092" operator="equal">
      <formula>"NA"</formula>
    </cfRule>
  </conditionalFormatting>
  <conditionalFormatting sqref="E469">
    <cfRule type="cellIs" dxfId="296" priority="7641" operator="equal">
      <formula>"NA"</formula>
    </cfRule>
    <cfRule type="cellIs" dxfId="297" priority="7642" operator="equal">
      <formula>"NA"</formula>
    </cfRule>
    <cfRule type="cellIs" dxfId="298" priority="7600" operator="equal">
      <formula>"NA"</formula>
    </cfRule>
    <cfRule type="cellIs" dxfId="299" priority="7639" operator="equal">
      <formula>"NA"</formula>
    </cfRule>
    <cfRule type="cellIs" dxfId="300" priority="7597" operator="equal">
      <formula>"NA"</formula>
    </cfRule>
    <cfRule type="cellIs" dxfId="301" priority="7598" operator="equal">
      <formula>"NA"</formula>
    </cfRule>
    <cfRule type="cellIs" dxfId="302" priority="7599" operator="equal">
      <formula>"NA"</formula>
    </cfRule>
    <cfRule type="cellIs" dxfId="303" priority="7640" operator="equal">
      <formula>"NA"</formula>
    </cfRule>
  </conditionalFormatting>
  <conditionalFormatting sqref="E492">
    <cfRule type="cellIs" dxfId="304" priority="7568" operator="equal">
      <formula>"NA"</formula>
    </cfRule>
    <cfRule type="cellIs" dxfId="305" priority="7570" operator="equal">
      <formula>"NA"</formula>
    </cfRule>
    <cfRule type="cellIs" dxfId="306" priority="7567" operator="equal">
      <formula>"NA"</formula>
    </cfRule>
    <cfRule type="cellIs" dxfId="307" priority="7530" operator="equal">
      <formula>"NA"</formula>
    </cfRule>
    <cfRule type="cellIs" dxfId="308" priority="7529" operator="equal">
      <formula>"NA"</formula>
    </cfRule>
    <cfRule type="cellIs" dxfId="309" priority="7569" operator="equal">
      <formula>"NA"</formula>
    </cfRule>
    <cfRule type="cellIs" dxfId="310" priority="7527" operator="equal">
      <formula>"NA"</formula>
    </cfRule>
    <cfRule type="cellIs" dxfId="311" priority="7526" operator="equal">
      <formula>"NA"</formula>
    </cfRule>
    <cfRule type="cellIs" dxfId="312" priority="7525" operator="equal">
      <formula>"NA"</formula>
    </cfRule>
    <cfRule type="cellIs" dxfId="313" priority="7528" operator="equal">
      <formula>"NA"</formula>
    </cfRule>
  </conditionalFormatting>
  <conditionalFormatting sqref="E515">
    <cfRule type="cellIs" dxfId="314" priority="7454" operator="equal">
      <formula>"NA"</formula>
    </cfRule>
    <cfRule type="cellIs" dxfId="315" priority="7496" operator="equal">
      <formula>"NA"</formula>
    </cfRule>
    <cfRule type="cellIs" dxfId="316" priority="7497" operator="equal">
      <formula>"NA"</formula>
    </cfRule>
    <cfRule type="cellIs" dxfId="317" priority="7498" operator="equal">
      <formula>"NA"</formula>
    </cfRule>
    <cfRule type="cellIs" dxfId="318" priority="7453" operator="equal">
      <formula>"NA"</formula>
    </cfRule>
    <cfRule type="cellIs" dxfId="319" priority="7455" operator="equal">
      <formula>"NA"</formula>
    </cfRule>
    <cfRule type="cellIs" dxfId="320" priority="7456" operator="equal">
      <formula>"NA"</formula>
    </cfRule>
    <cfRule type="cellIs" dxfId="321" priority="7457" operator="equal">
      <formula>"NA"</formula>
    </cfRule>
    <cfRule type="cellIs" dxfId="322" priority="7458" operator="equal">
      <formula>"NA"</formula>
    </cfRule>
    <cfRule type="cellIs" dxfId="323" priority="7495" operator="equal">
      <formula>"NA"</formula>
    </cfRule>
  </conditionalFormatting>
  <conditionalFormatting sqref="E538">
    <cfRule type="cellIs" dxfId="324" priority="7423" operator="equal">
      <formula>"NA"</formula>
    </cfRule>
    <cfRule type="cellIs" dxfId="325" priority="7426" operator="equal">
      <formula>"NA"</formula>
    </cfRule>
    <cfRule type="cellIs" dxfId="326" priority="7425" operator="equal">
      <formula>"NA"</formula>
    </cfRule>
    <cfRule type="cellIs" dxfId="327" priority="7424" operator="equal">
      <formula>"NA"</formula>
    </cfRule>
    <cfRule type="cellIs" dxfId="328" priority="7381" operator="equal">
      <formula>"NA"</formula>
    </cfRule>
    <cfRule type="cellIs" dxfId="329" priority="7382" operator="equal">
      <formula>"NA"</formula>
    </cfRule>
    <cfRule type="cellIs" dxfId="330" priority="7383" operator="equal">
      <formula>"NA"</formula>
    </cfRule>
    <cfRule type="cellIs" dxfId="331" priority="7386" operator="equal">
      <formula>"NA"</formula>
    </cfRule>
    <cfRule type="cellIs" dxfId="332" priority="7384" operator="equal">
      <formula>"NA"</formula>
    </cfRule>
    <cfRule type="cellIs" dxfId="333" priority="7385" operator="equal">
      <formula>"NA"</formula>
    </cfRule>
  </conditionalFormatting>
  <conditionalFormatting sqref="E569">
    <cfRule type="cellIs" dxfId="334" priority="434" operator="equal">
      <formula>"NA"</formula>
    </cfRule>
    <cfRule type="cellIs" dxfId="335" priority="427" operator="equal">
      <formula>"NA"</formula>
    </cfRule>
  </conditionalFormatting>
  <conditionalFormatting sqref="E569:E570">
    <cfRule type="cellIs" dxfId="336" priority="435" operator="equal">
      <formula>"NA"</formula>
    </cfRule>
    <cfRule type="cellIs" dxfId="337" priority="436" operator="equal">
      <formula>"NA"</formula>
    </cfRule>
  </conditionalFormatting>
  <conditionalFormatting sqref="E570">
    <cfRule type="cellIs" dxfId="338" priority="438" operator="equal">
      <formula>"NA"</formula>
    </cfRule>
    <cfRule type="cellIs" dxfId="339" priority="437" operator="equal">
      <formula>"NA"</formula>
    </cfRule>
  </conditionalFormatting>
  <conditionalFormatting sqref="E571">
    <cfRule type="cellIs" dxfId="340" priority="432" operator="equal">
      <formula>"NA"</formula>
    </cfRule>
    <cfRule type="cellIs" dxfId="341" priority="433" operator="equal">
      <formula>"NA"</formula>
    </cfRule>
  </conditionalFormatting>
  <conditionalFormatting sqref="E571:E572">
    <cfRule type="cellIs" dxfId="342" priority="431" operator="equal">
      <formula>"NA"</formula>
    </cfRule>
    <cfRule type="cellIs" dxfId="343" priority="430" operator="equal">
      <formula>"NA"</formula>
    </cfRule>
  </conditionalFormatting>
  <conditionalFormatting sqref="E572">
    <cfRule type="cellIs" dxfId="344" priority="444" operator="equal">
      <formula>"NA"</formula>
    </cfRule>
    <cfRule type="cellIs" dxfId="345" priority="445" operator="equal">
      <formula>"NA"</formula>
    </cfRule>
    <cfRule type="cellIs" dxfId="346" priority="446" operator="equal">
      <formula>"NA"</formula>
    </cfRule>
    <cfRule type="cellIs" dxfId="347" priority="442" operator="equal">
      <formula>"NA"</formula>
    </cfRule>
    <cfRule type="cellIs" dxfId="348" priority="428" operator="equal">
      <formula>"NA"</formula>
    </cfRule>
    <cfRule type="cellIs" dxfId="349" priority="429" operator="equal">
      <formula>"NA"</formula>
    </cfRule>
    <cfRule type="cellIs" dxfId="350" priority="439" operator="equal">
      <formula>"NA"</formula>
    </cfRule>
    <cfRule type="cellIs" dxfId="351" priority="440" operator="equal">
      <formula>"NA"</formula>
    </cfRule>
    <cfRule type="cellIs" dxfId="352" priority="441" operator="equal">
      <formula>"NA"</formula>
    </cfRule>
    <cfRule type="cellIs" dxfId="353" priority="443" operator="equal">
      <formula>"NA"</formula>
    </cfRule>
  </conditionalFormatting>
  <conditionalFormatting sqref="E593">
    <cfRule type="cellIs" dxfId="354" priority="2118" operator="equal">
      <formula>"NA"</formula>
    </cfRule>
    <cfRule type="cellIs" dxfId="355" priority="2117" operator="equal">
      <formula>"NA"</formula>
    </cfRule>
  </conditionalFormatting>
  <conditionalFormatting sqref="E593:E594">
    <cfRule type="cellIs" dxfId="356" priority="2115" operator="equal">
      <formula>"NA"</formula>
    </cfRule>
    <cfRule type="cellIs" dxfId="357" priority="2116" operator="equal">
      <formula>"NA"</formula>
    </cfRule>
  </conditionalFormatting>
  <conditionalFormatting sqref="E594:E595">
    <cfRule type="cellIs" dxfId="358" priority="2106" operator="equal">
      <formula>"NA"</formula>
    </cfRule>
    <cfRule type="cellIs" dxfId="359" priority="2105" operator="equal">
      <formula>"NA"</formula>
    </cfRule>
  </conditionalFormatting>
  <conditionalFormatting sqref="E595">
    <cfRule type="cellIs" dxfId="360" priority="2107" operator="equal">
      <formula>"NA"</formula>
    </cfRule>
    <cfRule type="cellIs" dxfId="361" priority="2110" operator="equal">
      <formula>"NA"</formula>
    </cfRule>
    <cfRule type="cellIs" dxfId="362" priority="2111" operator="equal">
      <formula>"NA"</formula>
    </cfRule>
    <cfRule type="cellIs" dxfId="363" priority="2103" operator="equal">
      <formula>"NA"</formula>
    </cfRule>
    <cfRule type="cellIs" dxfId="364" priority="2104" operator="equal">
      <formula>"NA"</formula>
    </cfRule>
    <cfRule type="cellIs" dxfId="365" priority="2112" operator="equal">
      <formula>"NA"</formula>
    </cfRule>
    <cfRule type="cellIs" dxfId="366" priority="2113" operator="equal">
      <formula>"NA"</formula>
    </cfRule>
    <cfRule type="cellIs" dxfId="367" priority="2114" operator="equal">
      <formula>"NA"</formula>
    </cfRule>
    <cfRule type="cellIs" dxfId="368" priority="2108" operator="equal">
      <formula>"NA"</formula>
    </cfRule>
    <cfRule type="cellIs" dxfId="369" priority="2109" operator="equal">
      <formula>"NA"</formula>
    </cfRule>
  </conditionalFormatting>
  <conditionalFormatting sqref="E616">
    <cfRule type="cellIs" dxfId="370" priority="2099" operator="equal">
      <formula>"NA"</formula>
    </cfRule>
    <cfRule type="cellIs" dxfId="371" priority="2102" operator="equal">
      <formula>"NA"</formula>
    </cfRule>
    <cfRule type="cellIs" dxfId="372" priority="2101" operator="equal">
      <formula>"NA"</formula>
    </cfRule>
    <cfRule type="cellIs" dxfId="373" priority="2100" operator="equal">
      <formula>"NA"</formula>
    </cfRule>
    <cfRule type="cellIs" dxfId="374" priority="2098" operator="equal">
      <formula>"NA"</formula>
    </cfRule>
    <cfRule type="cellIs" dxfId="375" priority="2097" operator="equal">
      <formula>"NA"</formula>
    </cfRule>
  </conditionalFormatting>
  <conditionalFormatting sqref="E616:E617">
    <cfRule type="cellIs" dxfId="376" priority="2095" operator="equal">
      <formula>"NA"</formula>
    </cfRule>
    <cfRule type="cellIs" dxfId="377" priority="2096" operator="equal">
      <formula>"NA"</formula>
    </cfRule>
  </conditionalFormatting>
  <conditionalFormatting sqref="E617:E618">
    <cfRule type="cellIs" dxfId="378" priority="2085" operator="equal">
      <formula>"NA"</formula>
    </cfRule>
    <cfRule type="cellIs" dxfId="379" priority="2086" operator="equal">
      <formula>"NA"</formula>
    </cfRule>
  </conditionalFormatting>
  <conditionalFormatting sqref="E618">
    <cfRule type="cellIs" dxfId="380" priority="2093" operator="equal">
      <formula>"NA"</formula>
    </cfRule>
    <cfRule type="cellIs" dxfId="381" priority="2092" operator="equal">
      <formula>"NA"</formula>
    </cfRule>
    <cfRule type="cellIs" dxfId="382" priority="2091" operator="equal">
      <formula>"NA"</formula>
    </cfRule>
    <cfRule type="cellIs" dxfId="383" priority="2090" operator="equal">
      <formula>"NA"</formula>
    </cfRule>
    <cfRule type="cellIs" dxfId="384" priority="2089" operator="equal">
      <formula>"NA"</formula>
    </cfRule>
    <cfRule type="cellIs" dxfId="385" priority="2088" operator="equal">
      <formula>"NA"</formula>
    </cfRule>
    <cfRule type="cellIs" dxfId="386" priority="2084" operator="equal">
      <formula>"NA"</formula>
    </cfRule>
    <cfRule type="cellIs" dxfId="387" priority="2083" operator="equal">
      <formula>"NA"</formula>
    </cfRule>
    <cfRule type="cellIs" dxfId="388" priority="2094" operator="equal">
      <formula>"NA"</formula>
    </cfRule>
    <cfRule type="cellIs" dxfId="389" priority="2087" operator="equal">
      <formula>"NA"</formula>
    </cfRule>
  </conditionalFormatting>
  <conditionalFormatting sqref="E639">
    <cfRule type="cellIs" dxfId="390" priority="2082" operator="equal">
      <formula>"NA"</formula>
    </cfRule>
    <cfRule type="cellIs" dxfId="391" priority="2081" operator="equal">
      <formula>"NA"</formula>
    </cfRule>
    <cfRule type="cellIs" dxfId="392" priority="2080" operator="equal">
      <formula>"NA"</formula>
    </cfRule>
    <cfRule type="cellIs" dxfId="393" priority="2079" operator="equal">
      <formula>"NA"</formula>
    </cfRule>
    <cfRule type="cellIs" dxfId="394" priority="2078" operator="equal">
      <formula>"NA"</formula>
    </cfRule>
    <cfRule type="cellIs" dxfId="395" priority="2077" operator="equal">
      <formula>"NA"</formula>
    </cfRule>
  </conditionalFormatting>
  <conditionalFormatting sqref="E639:E640">
    <cfRule type="cellIs" dxfId="396" priority="2075" operator="equal">
      <formula>"NA"</formula>
    </cfRule>
    <cfRule type="cellIs" dxfId="397" priority="2076" operator="equal">
      <formula>"NA"</formula>
    </cfRule>
  </conditionalFormatting>
  <conditionalFormatting sqref="E640:E641">
    <cfRule type="cellIs" dxfId="398" priority="2065" operator="equal">
      <formula>"NA"</formula>
    </cfRule>
    <cfRule type="cellIs" dxfId="399" priority="2066" operator="equal">
      <formula>"NA"</formula>
    </cfRule>
  </conditionalFormatting>
  <conditionalFormatting sqref="E641">
    <cfRule type="cellIs" dxfId="400" priority="2071" operator="equal">
      <formula>"NA"</formula>
    </cfRule>
    <cfRule type="cellIs" dxfId="401" priority="2070" operator="equal">
      <formula>"NA"</formula>
    </cfRule>
    <cfRule type="cellIs" dxfId="402" priority="2067" operator="equal">
      <formula>"NA"</formula>
    </cfRule>
    <cfRule type="cellIs" dxfId="403" priority="2069" operator="equal">
      <formula>"NA"</formula>
    </cfRule>
    <cfRule type="cellIs" dxfId="404" priority="2064" operator="equal">
      <formula>"NA"</formula>
    </cfRule>
    <cfRule type="cellIs" dxfId="405" priority="2063" operator="equal">
      <formula>"NA"</formula>
    </cfRule>
    <cfRule type="cellIs" dxfId="406" priority="2068" operator="equal">
      <formula>"NA"</formula>
    </cfRule>
    <cfRule type="cellIs" dxfId="407" priority="2072" operator="equal">
      <formula>"NA"</formula>
    </cfRule>
    <cfRule type="cellIs" dxfId="408" priority="2073" operator="equal">
      <formula>"NA"</formula>
    </cfRule>
    <cfRule type="cellIs" dxfId="409" priority="2074" operator="equal">
      <formula>"NA"</formula>
    </cfRule>
  </conditionalFormatting>
  <conditionalFormatting sqref="E662">
    <cfRule type="cellIs" dxfId="410" priority="2061" operator="equal">
      <formula>"NA"</formula>
    </cfRule>
    <cfRule type="cellIs" dxfId="411" priority="2056" operator="equal">
      <formula>"NA"</formula>
    </cfRule>
    <cfRule type="cellIs" dxfId="412" priority="2062" operator="equal">
      <formula>"NA"</formula>
    </cfRule>
    <cfRule type="cellIs" dxfId="413" priority="2058" operator="equal">
      <formula>"NA"</formula>
    </cfRule>
    <cfRule type="cellIs" dxfId="414" priority="2060" operator="equal">
      <formula>"NA"</formula>
    </cfRule>
    <cfRule type="cellIs" dxfId="415" priority="2059" operator="equal">
      <formula>"NA"</formula>
    </cfRule>
    <cfRule type="cellIs" dxfId="416" priority="2057" operator="equal">
      <formula>"NA"</formula>
    </cfRule>
    <cfRule type="cellIs" dxfId="417" priority="2055" operator="equal">
      <formula>"NA"</formula>
    </cfRule>
    <cfRule type="cellIs" dxfId="418" priority="2054" operator="equal">
      <formula>"NA"</formula>
    </cfRule>
    <cfRule type="cellIs" dxfId="419" priority="2053" operator="equal">
      <formula>"NA"</formula>
    </cfRule>
  </conditionalFormatting>
  <conditionalFormatting sqref="E662:E663">
    <cfRule type="cellIs" dxfId="420" priority="2052" operator="equal">
      <formula>"NA"</formula>
    </cfRule>
    <cfRule type="cellIs" dxfId="421" priority="2051" operator="equal">
      <formula>"NA"</formula>
    </cfRule>
  </conditionalFormatting>
  <conditionalFormatting sqref="E663:E664">
    <cfRule type="cellIs" dxfId="422" priority="2042" operator="equal">
      <formula>"NA"</formula>
    </cfRule>
    <cfRule type="cellIs" dxfId="423" priority="2041" operator="equal">
      <formula>"NA"</formula>
    </cfRule>
  </conditionalFormatting>
  <conditionalFormatting sqref="E664">
    <cfRule type="cellIs" dxfId="424" priority="2044" operator="equal">
      <formula>"NA"</formula>
    </cfRule>
    <cfRule type="cellIs" dxfId="425" priority="2043" operator="equal">
      <formula>"NA"</formula>
    </cfRule>
    <cfRule type="cellIs" dxfId="426" priority="2040" operator="equal">
      <formula>"NA"</formula>
    </cfRule>
    <cfRule type="cellIs" dxfId="427" priority="2049" operator="equal">
      <formula>"NA"</formula>
    </cfRule>
    <cfRule type="cellIs" dxfId="428" priority="2050" operator="equal">
      <formula>"NA"</formula>
    </cfRule>
    <cfRule type="cellIs" dxfId="429" priority="2039" operator="equal">
      <formula>"NA"</formula>
    </cfRule>
    <cfRule type="cellIs" dxfId="430" priority="2048" operator="equal">
      <formula>"NA"</formula>
    </cfRule>
    <cfRule type="cellIs" dxfId="431" priority="2047" operator="equal">
      <formula>"NA"</formula>
    </cfRule>
    <cfRule type="cellIs" dxfId="432" priority="2046" operator="equal">
      <formula>"NA"</formula>
    </cfRule>
    <cfRule type="cellIs" dxfId="433" priority="2045" operator="equal">
      <formula>"NA"</formula>
    </cfRule>
  </conditionalFormatting>
  <conditionalFormatting sqref="E694 E696 E700:E711">
    <cfRule type="cellIs" dxfId="434" priority="2038" operator="equal">
      <formula>"NA"</formula>
    </cfRule>
  </conditionalFormatting>
  <conditionalFormatting sqref="E698:E699">
    <cfRule type="cellIs" dxfId="435" priority="16" operator="equal">
      <formula>"NA"</formula>
    </cfRule>
    <cfRule type="cellIs" dxfId="436" priority="15" operator="equal">
      <formula>"NA"</formula>
    </cfRule>
  </conditionalFormatting>
  <conditionalFormatting sqref="E699">
    <cfRule type="cellIs" dxfId="437" priority="14" operator="equal">
      <formula>"NA"</formula>
    </cfRule>
    <cfRule type="cellIs" dxfId="438" priority="13" operator="equal">
      <formula>"NA"</formula>
    </cfRule>
  </conditionalFormatting>
  <conditionalFormatting sqref="E700:E711 E694 E696">
    <cfRule type="cellIs" dxfId="439" priority="2037" operator="equal">
      <formula>"NA"</formula>
    </cfRule>
  </conditionalFormatting>
  <conditionalFormatting sqref="E710">
    <cfRule type="cellIs" dxfId="440" priority="2032" operator="equal">
      <formula>"NA"</formula>
    </cfRule>
    <cfRule type="cellIs" dxfId="441" priority="2033" operator="equal">
      <formula>"NA"</formula>
    </cfRule>
    <cfRule type="cellIs" dxfId="442" priority="2034" operator="equal">
      <formula>"NA"</formula>
    </cfRule>
    <cfRule type="cellIs" dxfId="443" priority="2035" operator="equal">
      <formula>"NA"</formula>
    </cfRule>
    <cfRule type="cellIs" dxfId="444" priority="2036" operator="equal">
      <formula>"NA"</formula>
    </cfRule>
    <cfRule type="cellIs" dxfId="445" priority="2031" operator="equal">
      <formula>"NA"</formula>
    </cfRule>
  </conditionalFormatting>
  <conditionalFormatting sqref="E728:E730 E735:G735">
    <cfRule type="cellIs" dxfId="446" priority="422" operator="equal">
      <formula>"NA"</formula>
    </cfRule>
    <cfRule type="cellIs" dxfId="447" priority="421" operator="equal">
      <formula>"NA"</formula>
    </cfRule>
  </conditionalFormatting>
  <conditionalFormatting sqref="E728:E730">
    <cfRule type="cellIs" dxfId="448" priority="418" operator="equal">
      <formula>"NA"</formula>
    </cfRule>
    <cfRule type="cellIs" dxfId="449" priority="415" operator="equal">
      <formula>"NA"</formula>
    </cfRule>
    <cfRule type="cellIs" dxfId="450" priority="414" operator="equal">
      <formula>"NA"</formula>
    </cfRule>
    <cfRule type="cellIs" dxfId="451" priority="419" operator="equal">
      <formula>"NA"</formula>
    </cfRule>
    <cfRule type="cellIs" dxfId="452" priority="420" operator="equal">
      <formula>"NA"</formula>
    </cfRule>
    <cfRule type="cellIs" dxfId="453" priority="416" operator="equal">
      <formula>"NA"</formula>
    </cfRule>
    <cfRule type="cellIs" dxfId="454" priority="417" operator="equal">
      <formula>"NA"</formula>
    </cfRule>
    <cfRule type="cellIs" dxfId="455" priority="412" operator="equal">
      <formula>"NA"</formula>
    </cfRule>
    <cfRule type="cellIs" dxfId="456" priority="411" operator="equal">
      <formula>"NA"</formula>
    </cfRule>
    <cfRule type="cellIs" dxfId="457" priority="413" operator="equal">
      <formula>"NA"</formula>
    </cfRule>
  </conditionalFormatting>
  <conditionalFormatting sqref="E730">
    <cfRule type="cellIs" dxfId="458" priority="404" operator="equal">
      <formula>"NA"</formula>
    </cfRule>
    <cfRule type="cellIs" dxfId="459" priority="405" operator="equal">
      <formula>"NA"</formula>
    </cfRule>
    <cfRule type="cellIs" dxfId="460" priority="406" operator="equal">
      <formula>"NA"</formula>
    </cfRule>
    <cfRule type="cellIs" dxfId="461" priority="407" operator="equal">
      <formula>"NA"</formula>
    </cfRule>
    <cfRule type="cellIs" dxfId="462" priority="408" operator="equal">
      <formula>"NA"</formula>
    </cfRule>
    <cfRule type="cellIs" dxfId="463" priority="409" operator="equal">
      <formula>"NA"</formula>
    </cfRule>
    <cfRule type="cellIs" dxfId="464" priority="410" operator="equal">
      <formula>"NA"</formula>
    </cfRule>
    <cfRule type="cellIs" dxfId="465" priority="402" operator="equal">
      <formula>"NA"</formula>
    </cfRule>
    <cfRule type="cellIs" dxfId="466" priority="399" operator="equal">
      <formula>"NA"</formula>
    </cfRule>
    <cfRule type="cellIs" dxfId="467" priority="400" operator="equal">
      <formula>"NA"</formula>
    </cfRule>
    <cfRule type="cellIs" dxfId="468" priority="401" operator="equal">
      <formula>"NA"</formula>
    </cfRule>
    <cfRule type="cellIs" dxfId="469" priority="403" operator="equal">
      <formula>"NA"</formula>
    </cfRule>
  </conditionalFormatting>
  <conditionalFormatting sqref="E747:E748 E752">
    <cfRule type="cellIs" dxfId="470" priority="8488" operator="equal">
      <formula>"NA"</formula>
    </cfRule>
    <cfRule type="cellIs" dxfId="471" priority="8487" operator="equal">
      <formula>"NA"</formula>
    </cfRule>
  </conditionalFormatting>
  <conditionalFormatting sqref="E747:E748 E744:G746 E753:H754">
    <cfRule type="cellIs" dxfId="472" priority="8489" operator="equal">
      <formula>"NA"</formula>
    </cfRule>
  </conditionalFormatting>
  <conditionalFormatting sqref="E755:E757">
    <cfRule type="cellIs" dxfId="473" priority="8486" operator="equal">
      <formula>"NA"</formula>
    </cfRule>
    <cfRule type="cellIs" dxfId="474" priority="8485" operator="equal">
      <formula>"NA"</formula>
    </cfRule>
  </conditionalFormatting>
  <conditionalFormatting sqref="E761:E762">
    <cfRule type="cellIs" dxfId="475" priority="394" operator="equal">
      <formula>"NA"</formula>
    </cfRule>
    <cfRule type="cellIs" dxfId="476" priority="393" operator="equal">
      <formula>"NA"</formula>
    </cfRule>
    <cfRule type="cellIs" dxfId="477" priority="392" operator="equal">
      <formula>"NA"</formula>
    </cfRule>
    <cfRule type="cellIs" dxfId="478" priority="391" operator="equal">
      <formula>"NA"</formula>
    </cfRule>
  </conditionalFormatting>
  <conditionalFormatting sqref="E761:E765">
    <cfRule type="cellIs" dxfId="479" priority="395" operator="equal">
      <formula>"NA"</formula>
    </cfRule>
    <cfRule type="cellIs" dxfId="480" priority="396" operator="equal">
      <formula>"NA"</formula>
    </cfRule>
  </conditionalFormatting>
  <conditionalFormatting sqref="E765">
    <cfRule type="cellIs" dxfId="481" priority="389" operator="equal">
      <formula>"NA"</formula>
    </cfRule>
    <cfRule type="cellIs" dxfId="482" priority="387" operator="equal">
      <formula>"NA"</formula>
    </cfRule>
    <cfRule type="cellIs" dxfId="483" priority="388" operator="equal">
      <formula>"NA"</formula>
    </cfRule>
    <cfRule type="cellIs" dxfId="484" priority="390" operator="equal">
      <formula>"NA"</formula>
    </cfRule>
  </conditionalFormatting>
  <conditionalFormatting sqref="E767:E770">
    <cfRule type="cellIs" dxfId="485" priority="386" operator="equal">
      <formula>"NA"</formula>
    </cfRule>
    <cfRule type="cellIs" dxfId="486" priority="385" operator="equal">
      <formula>"NA"</formula>
    </cfRule>
  </conditionalFormatting>
  <conditionalFormatting sqref="E768:E770">
    <cfRule type="cellIs" dxfId="487" priority="383" operator="equal">
      <formula>"NA"</formula>
    </cfRule>
    <cfRule type="cellIs" dxfId="488" priority="381" operator="equal">
      <formula>"NA"</formula>
    </cfRule>
    <cfRule type="cellIs" dxfId="489" priority="382" operator="equal">
      <formula>"NA"</formula>
    </cfRule>
    <cfRule type="cellIs" dxfId="490" priority="384" operator="equal">
      <formula>"NA"</formula>
    </cfRule>
  </conditionalFormatting>
  <conditionalFormatting sqref="E772:E773 E775">
    <cfRule type="cellIs" dxfId="491" priority="375" operator="equal">
      <formula>"NA"</formula>
    </cfRule>
    <cfRule type="cellIs" dxfId="492" priority="378" operator="equal">
      <formula>"NA"</formula>
    </cfRule>
    <cfRule type="cellIs" dxfId="493" priority="376" operator="equal">
      <formula>"NA"</formula>
    </cfRule>
    <cfRule type="cellIs" dxfId="494" priority="377" operator="equal">
      <formula>"NA"</formula>
    </cfRule>
  </conditionalFormatting>
  <conditionalFormatting sqref="E772:E775">
    <cfRule type="cellIs" dxfId="495" priority="379" operator="equal">
      <formula>"NA"</formula>
    </cfRule>
    <cfRule type="cellIs" dxfId="496" priority="380" operator="equal">
      <formula>"NA"</formula>
    </cfRule>
  </conditionalFormatting>
  <conditionalFormatting sqref="E777:E778 E780">
    <cfRule type="cellIs" dxfId="497" priority="371" operator="equal">
      <formula>"NA"</formula>
    </cfRule>
    <cfRule type="cellIs" dxfId="498" priority="372" operator="equal">
      <formula>"NA"</formula>
    </cfRule>
    <cfRule type="cellIs" dxfId="499" priority="369" operator="equal">
      <formula>"NA"</formula>
    </cfRule>
    <cfRule type="cellIs" dxfId="500" priority="370" operator="equal">
      <formula>"NA"</formula>
    </cfRule>
  </conditionalFormatting>
  <conditionalFormatting sqref="E777:E780">
    <cfRule type="cellIs" dxfId="501" priority="374" operator="equal">
      <formula>"NA"</formula>
    </cfRule>
    <cfRule type="cellIs" dxfId="502" priority="373" operator="equal">
      <formula>"NA"</formula>
    </cfRule>
  </conditionalFormatting>
  <conditionalFormatting sqref="E788:E789">
    <cfRule type="cellIs" dxfId="503" priority="3079" operator="equal">
      <formula>"NA"</formula>
    </cfRule>
    <cfRule type="cellIs" dxfId="504" priority="3080" operator="equal">
      <formula>"NA"</formula>
    </cfRule>
  </conditionalFormatting>
  <conditionalFormatting sqref="E792 E794:E797">
    <cfRule type="cellIs" dxfId="505" priority="12078" operator="equal">
      <formula>"NA"</formula>
    </cfRule>
  </conditionalFormatting>
  <conditionalFormatting sqref="E792">
    <cfRule type="cellIs" dxfId="506" priority="3078" operator="equal">
      <formula>"NA"</formula>
    </cfRule>
    <cfRule type="cellIs" dxfId="507" priority="3077" operator="equal">
      <formula>"NA"</formula>
    </cfRule>
  </conditionalFormatting>
  <conditionalFormatting sqref="E794:E797 E792">
    <cfRule type="cellIs" dxfId="508" priority="12077" operator="equal">
      <formula>"NA"</formula>
    </cfRule>
  </conditionalFormatting>
  <conditionalFormatting sqref="E794:E797">
    <cfRule type="cellIs" dxfId="509" priority="11879" operator="equal">
      <formula>"NA"</formula>
    </cfRule>
    <cfRule type="cellIs" dxfId="510" priority="11880" operator="equal">
      <formula>"NA"</formula>
    </cfRule>
    <cfRule type="cellIs" dxfId="511" priority="8466" operator="equal">
      <formula>"NA"</formula>
    </cfRule>
    <cfRule type="cellIs" dxfId="512" priority="8465" operator="equal">
      <formula>"NA"</formula>
    </cfRule>
  </conditionalFormatting>
  <conditionalFormatting sqref="E804:E807">
    <cfRule type="cellIs" dxfId="513" priority="11865" operator="equal">
      <formula>"NA"</formula>
    </cfRule>
    <cfRule type="cellIs" dxfId="514" priority="11868" operator="equal">
      <formula>"NA"</formula>
    </cfRule>
    <cfRule type="cellIs" dxfId="515" priority="11869" operator="equal">
      <formula>"NA"</formula>
    </cfRule>
    <cfRule type="cellIs" dxfId="516" priority="11870" operator="equal">
      <formula>"NA"</formula>
    </cfRule>
    <cfRule type="cellIs" dxfId="517" priority="12073" operator="equal">
      <formula>"NA"</formula>
    </cfRule>
    <cfRule type="cellIs" dxfId="518" priority="11867" operator="equal">
      <formula>"NA"</formula>
    </cfRule>
    <cfRule type="cellIs" dxfId="519" priority="12074" operator="equal">
      <formula>"NA"</formula>
    </cfRule>
    <cfRule type="cellIs" dxfId="520" priority="11866" operator="equal">
      <formula>"NA"</formula>
    </cfRule>
    <cfRule type="cellIs" dxfId="521" priority="8462" operator="equal">
      <formula>"NA"</formula>
    </cfRule>
    <cfRule type="cellIs" dxfId="522" priority="8461" operator="equal">
      <formula>"NA"</formula>
    </cfRule>
  </conditionalFormatting>
  <conditionalFormatting sqref="E814">
    <cfRule type="cellIs" dxfId="523" priority="9" operator="equal">
      <formula>"NA"</formula>
    </cfRule>
    <cfRule type="cellIs" dxfId="524" priority="10" operator="equal">
      <formula>"NA"</formula>
    </cfRule>
    <cfRule type="cellIs" dxfId="525" priority="12" operator="equal">
      <formula>"NA"</formula>
    </cfRule>
    <cfRule type="cellIs" dxfId="526" priority="11" operator="equal">
      <formula>"NA"</formula>
    </cfRule>
  </conditionalFormatting>
  <conditionalFormatting sqref="E842">
    <cfRule type="cellIs" dxfId="527" priority="1630" operator="equal">
      <formula>"NA"</formula>
    </cfRule>
    <cfRule type="cellIs" dxfId="528" priority="1631" operator="equal">
      <formula>"NA"</formula>
    </cfRule>
    <cfRule type="cellIs" dxfId="529" priority="1632" operator="equal">
      <formula>"NA"</formula>
    </cfRule>
    <cfRule type="cellIs" dxfId="530" priority="1633" operator="equal">
      <formula>"NA"</formula>
    </cfRule>
    <cfRule type="cellIs" dxfId="531" priority="1634" operator="equal">
      <formula>"NA"</formula>
    </cfRule>
    <cfRule type="cellIs" dxfId="532" priority="1635" operator="equal">
      <formula>"NA"</formula>
    </cfRule>
    <cfRule type="cellIs" dxfId="533" priority="1636" operator="equal">
      <formula>"NA"</formula>
    </cfRule>
    <cfRule type="cellIs" dxfId="534" priority="1637" operator="equal">
      <formula>"NA"</formula>
    </cfRule>
    <cfRule type="cellIs" dxfId="535" priority="1638" operator="equal">
      <formula>"NA"</formula>
    </cfRule>
    <cfRule type="cellIs" dxfId="536" priority="1639" operator="equal">
      <formula>"NA"</formula>
    </cfRule>
    <cfRule type="cellIs" dxfId="537" priority="1640" operator="equal">
      <formula>"NA"</formula>
    </cfRule>
    <cfRule type="cellIs" dxfId="538" priority="1641" operator="equal">
      <formula>"NA"</formula>
    </cfRule>
    <cfRule type="cellIs" dxfId="539" priority="1642" operator="equal">
      <formula>"NA"</formula>
    </cfRule>
    <cfRule type="cellIs" dxfId="540" priority="1643" operator="equal">
      <formula>"NA"</formula>
    </cfRule>
    <cfRule type="cellIs" dxfId="541" priority="1644" operator="equal">
      <formula>"NA"</formula>
    </cfRule>
    <cfRule type="cellIs" dxfId="542" priority="1645" operator="equal">
      <formula>"NA"</formula>
    </cfRule>
    <cfRule type="cellIs" dxfId="543" priority="1646" operator="equal">
      <formula>"NA"</formula>
    </cfRule>
    <cfRule type="cellIs" dxfId="544" priority="1647" operator="equal">
      <formula>"NA"</formula>
    </cfRule>
    <cfRule type="cellIs" dxfId="545" priority="1648" operator="equal">
      <formula>"NA"</formula>
    </cfRule>
    <cfRule type="cellIs" dxfId="546" priority="1649" operator="equal">
      <formula>"NA"</formula>
    </cfRule>
    <cfRule type="cellIs" dxfId="547" priority="1650" operator="equal">
      <formula>"NA"</formula>
    </cfRule>
    <cfRule type="cellIs" dxfId="548" priority="1651" operator="equal">
      <formula>"NA"</formula>
    </cfRule>
    <cfRule type="cellIs" dxfId="549" priority="1652" operator="equal">
      <formula>"NA"</formula>
    </cfRule>
    <cfRule type="cellIs" dxfId="550" priority="1653" operator="equal">
      <formula>"NA"</formula>
    </cfRule>
    <cfRule type="cellIs" dxfId="551" priority="1654" operator="equal">
      <formula>"NA"</formula>
    </cfRule>
    <cfRule type="cellIs" dxfId="552" priority="1655" operator="equal">
      <formula>"NA"</formula>
    </cfRule>
    <cfRule type="cellIs" dxfId="553" priority="1657" operator="equal">
      <formula>"NA"</formula>
    </cfRule>
    <cfRule type="cellIs" dxfId="554" priority="1658" operator="equal">
      <formula>"NA"</formula>
    </cfRule>
    <cfRule type="cellIs" dxfId="555" priority="1659" operator="equal">
      <formula>"NA"</formula>
    </cfRule>
    <cfRule type="cellIs" dxfId="556" priority="1660" operator="equal">
      <formula>"NA"</formula>
    </cfRule>
    <cfRule type="cellIs" dxfId="557" priority="1656" operator="equal">
      <formula>"NA"</formula>
    </cfRule>
    <cfRule type="cellIs" dxfId="558" priority="1609" operator="equal">
      <formula>"NA"</formula>
    </cfRule>
    <cfRule type="cellIs" dxfId="559" priority="1610" operator="equal">
      <formula>"NA"</formula>
    </cfRule>
    <cfRule type="cellIs" dxfId="560" priority="1611" operator="equal">
      <formula>"NA"</formula>
    </cfRule>
    <cfRule type="cellIs" dxfId="561" priority="1612" operator="equal">
      <formula>"NA"</formula>
    </cfRule>
    <cfRule type="cellIs" dxfId="562" priority="1613" operator="equal">
      <formula>"NA"</formula>
    </cfRule>
    <cfRule type="cellIs" dxfId="563" priority="1614" operator="equal">
      <formula>"NA"</formula>
    </cfRule>
    <cfRule type="cellIs" dxfId="564" priority="1615" operator="equal">
      <formula>"NA"</formula>
    </cfRule>
    <cfRule type="cellIs" dxfId="565" priority="1616" operator="equal">
      <formula>"NA"</formula>
    </cfRule>
    <cfRule type="cellIs" dxfId="566" priority="1617" operator="equal">
      <formula>"NA"</formula>
    </cfRule>
    <cfRule type="cellIs" dxfId="567" priority="1618" operator="equal">
      <formula>"NA"</formula>
    </cfRule>
    <cfRule type="cellIs" dxfId="568" priority="1619" operator="equal">
      <formula>"NA"</formula>
    </cfRule>
    <cfRule type="cellIs" dxfId="569" priority="1620" operator="equal">
      <formula>"NA"</formula>
    </cfRule>
    <cfRule type="cellIs" dxfId="570" priority="1621" operator="equal">
      <formula>"NA"</formula>
    </cfRule>
    <cfRule type="cellIs" dxfId="571" priority="1622" operator="equal">
      <formula>"NA"</formula>
    </cfRule>
    <cfRule type="cellIs" dxfId="572" priority="1623" operator="equal">
      <formula>"NA"</formula>
    </cfRule>
    <cfRule type="cellIs" dxfId="573" priority="1624" operator="equal">
      <formula>"NA"</formula>
    </cfRule>
    <cfRule type="cellIs" dxfId="574" priority="1625" operator="equal">
      <formula>"NA"</formula>
    </cfRule>
    <cfRule type="cellIs" dxfId="575" priority="1626" operator="equal">
      <formula>"NA"</formula>
    </cfRule>
    <cfRule type="cellIs" dxfId="576" priority="1627" operator="equal">
      <formula>"NA"</formula>
    </cfRule>
    <cfRule type="cellIs" dxfId="577" priority="1628" operator="equal">
      <formula>"NA"</formula>
    </cfRule>
    <cfRule type="cellIs" dxfId="578" priority="1629" operator="equal">
      <formula>"NA"</formula>
    </cfRule>
  </conditionalFormatting>
  <conditionalFormatting sqref="E859:E862 E856:G856 F861:G861">
    <cfRule type="cellIs" dxfId="579" priority="1709" operator="equal">
      <formula>"NA"</formula>
    </cfRule>
  </conditionalFormatting>
  <conditionalFormatting sqref="E859:E862 F861:G861">
    <cfRule type="cellIs" dxfId="580" priority="1738" operator="equal">
      <formula>"NA"</formula>
    </cfRule>
    <cfRule type="cellIs" dxfId="581" priority="1737" operator="equal">
      <formula>"NA"</formula>
    </cfRule>
  </conditionalFormatting>
  <conditionalFormatting sqref="E859:E863 F861:G861">
    <cfRule type="cellIs" dxfId="582" priority="1724" operator="equal">
      <formula>"NA"</formula>
    </cfRule>
    <cfRule type="cellIs" dxfId="583" priority="1723" operator="equal">
      <formula>"NA"</formula>
    </cfRule>
  </conditionalFormatting>
  <conditionalFormatting sqref="E862">
    <cfRule type="cellIs" dxfId="584" priority="1699" operator="equal">
      <formula>"NA"</formula>
    </cfRule>
    <cfRule type="cellIs" dxfId="585" priority="1728" operator="equal">
      <formula>"NA"</formula>
    </cfRule>
    <cfRule type="cellIs" dxfId="586" priority="1734" operator="equal">
      <formula>"NA"</formula>
    </cfRule>
    <cfRule type="cellIs" dxfId="587" priority="1733" operator="equal">
      <formula>"NA"</formula>
    </cfRule>
    <cfRule type="cellIs" dxfId="588" priority="1732" operator="equal">
      <formula>"NA"</formula>
    </cfRule>
    <cfRule type="cellIs" dxfId="589" priority="1731" operator="equal">
      <formula>"NA"</formula>
    </cfRule>
    <cfRule type="cellIs" dxfId="590" priority="1730" operator="equal">
      <formula>"NA"</formula>
    </cfRule>
    <cfRule type="cellIs" dxfId="591" priority="1729" operator="equal">
      <formula>"NA"</formula>
    </cfRule>
    <cfRule type="cellIs" dxfId="592" priority="1727" operator="equal">
      <formula>"NA"</formula>
    </cfRule>
    <cfRule type="cellIs" dxfId="593" priority="1725" operator="equal">
      <formula>"NA"</formula>
    </cfRule>
    <cfRule type="cellIs" dxfId="594" priority="1735" operator="equal">
      <formula>"NA"</formula>
    </cfRule>
    <cfRule type="cellIs" dxfId="595" priority="1736" operator="equal">
      <formula>"NA"</formula>
    </cfRule>
    <cfRule type="cellIs" dxfId="596" priority="1726" operator="equal">
      <formula>"NA"</formula>
    </cfRule>
    <cfRule type="cellIs" dxfId="597" priority="1700" operator="equal">
      <formula>"NA"</formula>
    </cfRule>
    <cfRule type="cellIs" dxfId="598" priority="1701" operator="equal">
      <formula>"NA"</formula>
    </cfRule>
    <cfRule type="cellIs" dxfId="599" priority="1702" operator="equal">
      <formula>"NA"</formula>
    </cfRule>
    <cfRule type="cellIs" dxfId="600" priority="1703" operator="equal">
      <formula>"NA"</formula>
    </cfRule>
    <cfRule type="cellIs" dxfId="601" priority="1704" operator="equal">
      <formula>"NA"</formula>
    </cfRule>
    <cfRule type="cellIs" dxfId="602" priority="1705" operator="equal">
      <formula>"NA"</formula>
    </cfRule>
    <cfRule type="cellIs" dxfId="603" priority="1706" operator="equal">
      <formula>"NA"</formula>
    </cfRule>
    <cfRule type="cellIs" dxfId="604" priority="1707" operator="equal">
      <formula>"NA"</formula>
    </cfRule>
    <cfRule type="cellIs" dxfId="605" priority="1708" operator="equal">
      <formula>"NA"</formula>
    </cfRule>
  </conditionalFormatting>
  <conditionalFormatting sqref="E862:E863">
    <cfRule type="cellIs" dxfId="606" priority="1741" operator="equal">
      <formula>"NA"</formula>
    </cfRule>
    <cfRule type="cellIs" dxfId="607" priority="1743" operator="equal">
      <formula>"NA"</formula>
    </cfRule>
    <cfRule type="cellIs" dxfId="608" priority="1744" operator="equal">
      <formula>"NA"</formula>
    </cfRule>
    <cfRule type="cellIs" dxfId="609" priority="1745" operator="equal">
      <formula>"NA"</formula>
    </cfRule>
    <cfRule type="cellIs" dxfId="610" priority="1746" operator="equal">
      <formula>"NA"</formula>
    </cfRule>
    <cfRule type="cellIs" dxfId="611" priority="1747" operator="equal">
      <formula>"NA"</formula>
    </cfRule>
    <cfRule type="cellIs" dxfId="612" priority="1719" operator="equal">
      <formula>"NA"</formula>
    </cfRule>
    <cfRule type="cellIs" dxfId="613" priority="1748" operator="equal">
      <formula>"NA"</formula>
    </cfRule>
    <cfRule type="cellIs" dxfId="614" priority="1749" operator="equal">
      <formula>"NA"</formula>
    </cfRule>
    <cfRule type="cellIs" dxfId="615" priority="1695" operator="equal">
      <formula>"NA"</formula>
    </cfRule>
    <cfRule type="cellIs" dxfId="616" priority="1696" operator="equal">
      <formula>"NA"</formula>
    </cfRule>
    <cfRule type="cellIs" dxfId="617" priority="1722" operator="equal">
      <formula>"NA"</formula>
    </cfRule>
    <cfRule type="cellIs" dxfId="618" priority="1750" operator="equal">
      <formula>"NA"</formula>
    </cfRule>
    <cfRule type="cellIs" dxfId="619" priority="1712" operator="equal">
      <formula>"NA"</formula>
    </cfRule>
    <cfRule type="cellIs" dxfId="620" priority="1711" operator="equal">
      <formula>"NA"</formula>
    </cfRule>
    <cfRule type="cellIs" dxfId="621" priority="1751" operator="equal">
      <formula>"NA"</formula>
    </cfRule>
    <cfRule type="cellIs" dxfId="622" priority="1752" operator="equal">
      <formula>"NA"</formula>
    </cfRule>
    <cfRule type="cellIs" dxfId="623" priority="1713" operator="equal">
      <formula>"NA"</formula>
    </cfRule>
    <cfRule type="cellIs" dxfId="624" priority="1714" operator="equal">
      <formula>"NA"</formula>
    </cfRule>
    <cfRule type="cellIs" dxfId="625" priority="1715" operator="equal">
      <formula>"NA"</formula>
    </cfRule>
    <cfRule type="cellIs" dxfId="626" priority="1716" operator="equal">
      <formula>"NA"</formula>
    </cfRule>
    <cfRule type="cellIs" dxfId="627" priority="1717" operator="equal">
      <formula>"NA"</formula>
    </cfRule>
    <cfRule type="cellIs" dxfId="628" priority="1718" operator="equal">
      <formula>"NA"</formula>
    </cfRule>
    <cfRule type="cellIs" dxfId="629" priority="1721" operator="equal">
      <formula>"NA"</formula>
    </cfRule>
    <cfRule type="cellIs" dxfId="630" priority="1742" operator="equal">
      <formula>"NA"</formula>
    </cfRule>
    <cfRule type="cellIs" dxfId="631" priority="1720" operator="equal">
      <formula>"NA"</formula>
    </cfRule>
  </conditionalFormatting>
  <conditionalFormatting sqref="E863">
    <cfRule type="cellIs" dxfId="632" priority="1697" operator="equal">
      <formula>"NA"</formula>
    </cfRule>
    <cfRule type="cellIs" dxfId="633" priority="1687" operator="equal">
      <formula>"NA"</formula>
    </cfRule>
    <cfRule type="cellIs" dxfId="634" priority="1688" operator="equal">
      <formula>"NA"</formula>
    </cfRule>
    <cfRule type="cellIs" dxfId="635" priority="1689" operator="equal">
      <formula>"NA"</formula>
    </cfRule>
    <cfRule type="cellIs" dxfId="636" priority="1690" operator="equal">
      <formula>"NA"</formula>
    </cfRule>
    <cfRule type="cellIs" dxfId="637" priority="1691" operator="equal">
      <formula>"NA"</formula>
    </cfRule>
    <cfRule type="cellIs" dxfId="638" priority="1692" operator="equal">
      <formula>"NA"</formula>
    </cfRule>
    <cfRule type="cellIs" dxfId="639" priority="1693" operator="equal">
      <formula>"NA"</formula>
    </cfRule>
    <cfRule type="cellIs" dxfId="640" priority="1694" operator="equal">
      <formula>"NA"</formula>
    </cfRule>
    <cfRule type="cellIs" dxfId="641" priority="1698" operator="equal">
      <formula>"NA"</formula>
    </cfRule>
  </conditionalFormatting>
  <conditionalFormatting sqref="E863:E864">
    <cfRule type="cellIs" dxfId="642" priority="1683" operator="equal">
      <formula>"NA"</formula>
    </cfRule>
    <cfRule type="cellIs" dxfId="643" priority="1684" operator="equal">
      <formula>"NA"</formula>
    </cfRule>
  </conditionalFormatting>
  <conditionalFormatting sqref="E864">
    <cfRule type="cellIs" dxfId="644" priority="1686" operator="equal">
      <formula>"NA"</formula>
    </cfRule>
    <cfRule type="cellIs" dxfId="645" priority="1679" operator="equal">
      <formula>"NA"</formula>
    </cfRule>
    <cfRule type="cellIs" dxfId="646" priority="1680" operator="equal">
      <formula>"NA"</formula>
    </cfRule>
    <cfRule type="cellIs" dxfId="647" priority="1682" operator="equal">
      <formula>"NA"</formula>
    </cfRule>
    <cfRule type="cellIs" dxfId="648" priority="1681" operator="equal">
      <formula>"NA"</formula>
    </cfRule>
    <cfRule type="cellIs" dxfId="649" priority="1676" operator="equal">
      <formula>"NA"</formula>
    </cfRule>
    <cfRule type="cellIs" dxfId="650" priority="1685" operator="equal">
      <formula>"NA"</formula>
    </cfRule>
    <cfRule type="cellIs" dxfId="651" priority="1675" operator="equal">
      <formula>"NA"</formula>
    </cfRule>
    <cfRule type="cellIs" dxfId="652" priority="1678" operator="equal">
      <formula>"NA"</formula>
    </cfRule>
    <cfRule type="cellIs" dxfId="653" priority="1677" operator="equal">
      <formula>"NA"</formula>
    </cfRule>
  </conditionalFormatting>
  <conditionalFormatting sqref="E864:E865">
    <cfRule type="cellIs" dxfId="654" priority="1671" operator="equal">
      <formula>"NA"</formula>
    </cfRule>
    <cfRule type="cellIs" dxfId="655" priority="1672" operator="equal">
      <formula>"NA"</formula>
    </cfRule>
  </conditionalFormatting>
  <conditionalFormatting sqref="E865">
    <cfRule type="cellIs" dxfId="656" priority="1667" operator="equal">
      <formula>"NA"</formula>
    </cfRule>
    <cfRule type="cellIs" dxfId="657" priority="1663" operator="equal">
      <formula>"NA"</formula>
    </cfRule>
    <cfRule type="cellIs" dxfId="658" priority="1662" operator="equal">
      <formula>"NA"</formula>
    </cfRule>
    <cfRule type="cellIs" dxfId="659" priority="1668" operator="equal">
      <formula>"NA"</formula>
    </cfRule>
    <cfRule type="cellIs" dxfId="660" priority="1673" operator="equal">
      <formula>"NA"</formula>
    </cfRule>
    <cfRule type="cellIs" dxfId="661" priority="1674" operator="equal">
      <formula>"NA"</formula>
    </cfRule>
    <cfRule type="cellIs" dxfId="662" priority="1670" operator="equal">
      <formula>"NA"</formula>
    </cfRule>
    <cfRule type="cellIs" dxfId="663" priority="1669" operator="equal">
      <formula>"NA"</formula>
    </cfRule>
    <cfRule type="cellIs" dxfId="664" priority="1661" operator="equal">
      <formula>"NA"</formula>
    </cfRule>
    <cfRule type="cellIs" dxfId="665" priority="1666" operator="equal">
      <formula>"NA"</formula>
    </cfRule>
    <cfRule type="cellIs" dxfId="666" priority="1665" operator="equal">
      <formula>"NA"</formula>
    </cfRule>
    <cfRule type="cellIs" dxfId="667" priority="1664" operator="equal">
      <formula>"NA"</formula>
    </cfRule>
  </conditionalFormatting>
  <conditionalFormatting sqref="E883:E886">
    <cfRule type="cellIs" dxfId="668" priority="11829" operator="equal">
      <formula>"NA"</formula>
    </cfRule>
    <cfRule type="cellIs" dxfId="669" priority="11835" operator="equal">
      <formula>"NA"</formula>
    </cfRule>
    <cfRule type="cellIs" dxfId="670" priority="11828" operator="equal">
      <formula>"NA"</formula>
    </cfRule>
    <cfRule type="cellIs" dxfId="671" priority="11827" operator="equal">
      <formula>"NA"</formula>
    </cfRule>
    <cfRule type="cellIs" dxfId="672" priority="11832" operator="equal">
      <formula>"NA"</formula>
    </cfRule>
    <cfRule type="cellIs" dxfId="673" priority="11833" operator="equal">
      <formula>"NA"</formula>
    </cfRule>
    <cfRule type="cellIs" dxfId="674" priority="11834" operator="equal">
      <formula>"NA"</formula>
    </cfRule>
    <cfRule type="cellIs" dxfId="675" priority="11836" operator="equal">
      <formula>"NA"</formula>
    </cfRule>
    <cfRule type="cellIs" dxfId="676" priority="11831" operator="equal">
      <formula>"NA"</formula>
    </cfRule>
    <cfRule type="cellIs" dxfId="677" priority="11838" operator="equal">
      <formula>"NA"</formula>
    </cfRule>
    <cfRule type="cellIs" dxfId="678" priority="11830" operator="equal">
      <formula>"NA"</formula>
    </cfRule>
    <cfRule type="cellIs" dxfId="679" priority="11837" operator="equal">
      <formula>"NA"</formula>
    </cfRule>
  </conditionalFormatting>
  <conditionalFormatting sqref="E904:E907">
    <cfRule type="cellIs" dxfId="680" priority="11822" operator="equal">
      <formula>"NA"</formula>
    </cfRule>
    <cfRule type="cellIs" dxfId="681" priority="11823" operator="equal">
      <formula>"NA"</formula>
    </cfRule>
    <cfRule type="cellIs" dxfId="682" priority="11817" operator="equal">
      <formula>"NA"</formula>
    </cfRule>
    <cfRule type="cellIs" dxfId="683" priority="11816" operator="equal">
      <formula>"NA"</formula>
    </cfRule>
    <cfRule type="cellIs" dxfId="684" priority="11815" operator="equal">
      <formula>"NA"</formula>
    </cfRule>
    <cfRule type="cellIs" dxfId="685" priority="11826" operator="equal">
      <formula>"NA"</formula>
    </cfRule>
    <cfRule type="cellIs" dxfId="686" priority="11825" operator="equal">
      <formula>"NA"</formula>
    </cfRule>
    <cfRule type="cellIs" dxfId="687" priority="11824" operator="equal">
      <formula>"NA"</formula>
    </cfRule>
    <cfRule type="cellIs" dxfId="688" priority="11821" operator="equal">
      <formula>"NA"</formula>
    </cfRule>
    <cfRule type="cellIs" dxfId="689" priority="11820" operator="equal">
      <formula>"NA"</formula>
    </cfRule>
    <cfRule type="cellIs" dxfId="690" priority="11819" operator="equal">
      <formula>"NA"</formula>
    </cfRule>
    <cfRule type="cellIs" dxfId="691" priority="11818" operator="equal">
      <formula>"NA"</formula>
    </cfRule>
  </conditionalFormatting>
  <conditionalFormatting sqref="E925:E928">
    <cfRule type="cellIs" dxfId="692" priority="11814" operator="equal">
      <formula>"NA"</formula>
    </cfRule>
    <cfRule type="cellIs" dxfId="693" priority="11805" operator="equal">
      <formula>"NA"</formula>
    </cfRule>
    <cfRule type="cellIs" dxfId="694" priority="11806" operator="equal">
      <formula>"NA"</formula>
    </cfRule>
    <cfRule type="cellIs" dxfId="695" priority="11804" operator="equal">
      <formula>"NA"</formula>
    </cfRule>
    <cfRule type="cellIs" dxfId="696" priority="11803" operator="equal">
      <formula>"NA"</formula>
    </cfRule>
    <cfRule type="cellIs" dxfId="697" priority="11813" operator="equal">
      <formula>"NA"</formula>
    </cfRule>
    <cfRule type="cellIs" dxfId="698" priority="11812" operator="equal">
      <formula>"NA"</formula>
    </cfRule>
    <cfRule type="cellIs" dxfId="699" priority="11811" operator="equal">
      <formula>"NA"</formula>
    </cfRule>
    <cfRule type="cellIs" dxfId="700" priority="11810" operator="equal">
      <formula>"NA"</formula>
    </cfRule>
    <cfRule type="cellIs" dxfId="701" priority="11809" operator="equal">
      <formula>"NA"</formula>
    </cfRule>
    <cfRule type="cellIs" dxfId="702" priority="11808" operator="equal">
      <formula>"NA"</formula>
    </cfRule>
    <cfRule type="cellIs" dxfId="703" priority="11807" operator="equal">
      <formula>"NA"</formula>
    </cfRule>
  </conditionalFormatting>
  <conditionalFormatting sqref="E946:E949">
    <cfRule type="cellIs" dxfId="704" priority="11794" operator="equal">
      <formula>"NA"</formula>
    </cfRule>
    <cfRule type="cellIs" dxfId="705" priority="11793" operator="equal">
      <formula>"NA"</formula>
    </cfRule>
    <cfRule type="cellIs" dxfId="706" priority="11802" operator="equal">
      <formula>"NA"</formula>
    </cfRule>
    <cfRule type="cellIs" dxfId="707" priority="11791" operator="equal">
      <formula>"NA"</formula>
    </cfRule>
    <cfRule type="cellIs" dxfId="708" priority="11801" operator="equal">
      <formula>"NA"</formula>
    </cfRule>
    <cfRule type="cellIs" dxfId="709" priority="11800" operator="equal">
      <formula>"NA"</formula>
    </cfRule>
    <cfRule type="cellIs" dxfId="710" priority="11799" operator="equal">
      <formula>"NA"</formula>
    </cfRule>
    <cfRule type="cellIs" dxfId="711" priority="11798" operator="equal">
      <formula>"NA"</formula>
    </cfRule>
    <cfRule type="cellIs" dxfId="712" priority="11797" operator="equal">
      <formula>"NA"</formula>
    </cfRule>
    <cfRule type="cellIs" dxfId="713" priority="11796" operator="equal">
      <formula>"NA"</formula>
    </cfRule>
    <cfRule type="cellIs" dxfId="714" priority="11795" operator="equal">
      <formula>"NA"</formula>
    </cfRule>
    <cfRule type="cellIs" dxfId="715" priority="11792" operator="equal">
      <formula>"NA"</formula>
    </cfRule>
  </conditionalFormatting>
  <conditionalFormatting sqref="E992:E995">
    <cfRule type="cellIs" dxfId="716" priority="1571" operator="equal">
      <formula>"NA"</formula>
    </cfRule>
    <cfRule type="cellIs" dxfId="717" priority="1570" operator="equal">
      <formula>"NA"</formula>
    </cfRule>
    <cfRule type="cellIs" dxfId="718" priority="1569" operator="equal">
      <formula>"NA"</formula>
    </cfRule>
    <cfRule type="cellIs" dxfId="719" priority="1568" operator="equal">
      <formula>"NA"</formula>
    </cfRule>
    <cfRule type="cellIs" dxfId="720" priority="1567" operator="equal">
      <formula>"NA"</formula>
    </cfRule>
    <cfRule type="cellIs" dxfId="721" priority="1566" operator="equal">
      <formula>"NA"</formula>
    </cfRule>
    <cfRule type="cellIs" dxfId="722" priority="1565" operator="equal">
      <formula>"NA"</formula>
    </cfRule>
    <cfRule type="cellIs" dxfId="723" priority="1564" operator="equal">
      <formula>"NA"</formula>
    </cfRule>
    <cfRule type="cellIs" dxfId="724" priority="1563" operator="equal">
      <formula>"NA"</formula>
    </cfRule>
    <cfRule type="cellIs" dxfId="725" priority="1562" operator="equal">
      <formula>"NA"</formula>
    </cfRule>
    <cfRule type="cellIs" dxfId="726" priority="1561" operator="equal">
      <formula>"NA"</formula>
    </cfRule>
    <cfRule type="cellIs" dxfId="727" priority="1560" operator="equal">
      <formula>"NA"</formula>
    </cfRule>
    <cfRule type="cellIs" dxfId="728" priority="1559" operator="equal">
      <formula>"NA"</formula>
    </cfRule>
    <cfRule type="cellIs" dxfId="729" priority="1558" operator="equal">
      <formula>"NA"</formula>
    </cfRule>
    <cfRule type="cellIs" dxfId="730" priority="1557" operator="equal">
      <formula>"NA"</formula>
    </cfRule>
    <cfRule type="cellIs" dxfId="731" priority="1556" operator="equal">
      <formula>"NA"</formula>
    </cfRule>
    <cfRule type="cellIs" dxfId="732" priority="1555" operator="equal">
      <formula>"NA"</formula>
    </cfRule>
    <cfRule type="cellIs" dxfId="733" priority="1554" operator="equal">
      <formula>"NA"</formula>
    </cfRule>
    <cfRule type="cellIs" dxfId="734" priority="1553" operator="equal">
      <formula>"NA"</formula>
    </cfRule>
    <cfRule type="cellIs" dxfId="735" priority="1552" operator="equal">
      <formula>"NA"</formula>
    </cfRule>
    <cfRule type="cellIs" dxfId="736" priority="1551" operator="equal">
      <formula>"NA"</formula>
    </cfRule>
    <cfRule type="cellIs" dxfId="737" priority="1550" operator="equal">
      <formula>"NA"</formula>
    </cfRule>
    <cfRule type="cellIs" dxfId="738" priority="1549" operator="equal">
      <formula>"NA"</formula>
    </cfRule>
    <cfRule type="cellIs" dxfId="739" priority="1548" operator="equal">
      <formula>"NA"</formula>
    </cfRule>
    <cfRule type="cellIs" dxfId="740" priority="1547" operator="equal">
      <formula>"NA"</formula>
    </cfRule>
    <cfRule type="cellIs" dxfId="741" priority="1546" operator="equal">
      <formula>"NA"</formula>
    </cfRule>
    <cfRule type="cellIs" dxfId="742" priority="1545" operator="equal">
      <formula>"NA"</formula>
    </cfRule>
    <cfRule type="cellIs" dxfId="743" priority="1544" operator="equal">
      <formula>"NA"</formula>
    </cfRule>
    <cfRule type="cellIs" dxfId="744" priority="1543" operator="equal">
      <formula>"NA"</formula>
    </cfRule>
    <cfRule type="cellIs" dxfId="745" priority="1542" operator="equal">
      <formula>"NA"</formula>
    </cfRule>
    <cfRule type="cellIs" dxfId="746" priority="1540" operator="equal">
      <formula>"NA"</formula>
    </cfRule>
    <cfRule type="cellIs" dxfId="747" priority="1539" operator="equal">
      <formula>"NA"</formula>
    </cfRule>
    <cfRule type="cellIs" dxfId="748" priority="1574" operator="equal">
      <formula>"NA"</formula>
    </cfRule>
    <cfRule type="cellIs" dxfId="749" priority="1538" operator="equal">
      <formula>"NA"</formula>
    </cfRule>
    <cfRule type="cellIs" dxfId="750" priority="1537" operator="equal">
      <formula>"NA"</formula>
    </cfRule>
    <cfRule type="cellIs" dxfId="751" priority="1536" operator="equal">
      <formula>"NA"</formula>
    </cfRule>
    <cfRule type="cellIs" dxfId="752" priority="1535" operator="equal">
      <formula>"NA"</formula>
    </cfRule>
    <cfRule type="cellIs" dxfId="753" priority="1534" operator="equal">
      <formula>"NA"</formula>
    </cfRule>
    <cfRule type="cellIs" dxfId="754" priority="1533" operator="equal">
      <formula>"NA"</formula>
    </cfRule>
    <cfRule type="cellIs" dxfId="755" priority="1532" operator="equal">
      <formula>"NA"</formula>
    </cfRule>
    <cfRule type="cellIs" dxfId="756" priority="1531" operator="equal">
      <formula>"NA"</formula>
    </cfRule>
    <cfRule type="cellIs" dxfId="757" priority="1530" operator="equal">
      <formula>"NA"</formula>
    </cfRule>
    <cfRule type="cellIs" dxfId="758" priority="1529" operator="equal">
      <formula>"NA"</formula>
    </cfRule>
    <cfRule type="cellIs" dxfId="759" priority="1528" operator="equal">
      <formula>"NA"</formula>
    </cfRule>
    <cfRule type="cellIs" dxfId="760" priority="1527" operator="equal">
      <formula>"NA"</formula>
    </cfRule>
    <cfRule type="cellIs" dxfId="761" priority="1596" operator="equal">
      <formula>"NA"</formula>
    </cfRule>
    <cfRule type="cellIs" dxfId="762" priority="1541" operator="equal">
      <formula>"NA"</formula>
    </cfRule>
    <cfRule type="cellIs" dxfId="763" priority="1573" operator="equal">
      <formula>"NA"</formula>
    </cfRule>
    <cfRule type="cellIs" dxfId="764" priority="1606" operator="equal">
      <formula>"NA"</formula>
    </cfRule>
    <cfRule type="cellIs" dxfId="765" priority="1605" operator="equal">
      <formula>"NA"</formula>
    </cfRule>
    <cfRule type="cellIs" dxfId="766" priority="1604" operator="equal">
      <formula>"NA"</formula>
    </cfRule>
    <cfRule type="cellIs" dxfId="767" priority="1603" operator="equal">
      <formula>"NA"</formula>
    </cfRule>
    <cfRule type="cellIs" dxfId="768" priority="1602" operator="equal">
      <formula>"NA"</formula>
    </cfRule>
    <cfRule type="cellIs" dxfId="769" priority="1601" operator="equal">
      <formula>"NA"</formula>
    </cfRule>
    <cfRule type="cellIs" dxfId="770" priority="1600" operator="equal">
      <formula>"NA"</formula>
    </cfRule>
    <cfRule type="cellIs" dxfId="771" priority="1599" operator="equal">
      <formula>"NA"</formula>
    </cfRule>
    <cfRule type="cellIs" dxfId="772" priority="1598" operator="equal">
      <formula>"NA"</formula>
    </cfRule>
    <cfRule type="cellIs" dxfId="773" priority="1597" operator="equal">
      <formula>"NA"</formula>
    </cfRule>
    <cfRule type="cellIs" dxfId="774" priority="1572" operator="equal">
      <formula>"NA"</formula>
    </cfRule>
    <cfRule type="cellIs" dxfId="775" priority="1595" operator="equal">
      <formula>"NA"</formula>
    </cfRule>
    <cfRule type="cellIs" dxfId="776" priority="1594" operator="equal">
      <formula>"NA"</formula>
    </cfRule>
    <cfRule type="cellIs" dxfId="777" priority="1593" operator="equal">
      <formula>"NA"</formula>
    </cfRule>
    <cfRule type="cellIs" dxfId="778" priority="1592" operator="equal">
      <formula>"NA"</formula>
    </cfRule>
    <cfRule type="cellIs" dxfId="779" priority="1591" operator="equal">
      <formula>"NA"</formula>
    </cfRule>
    <cfRule type="cellIs" dxfId="780" priority="1590" operator="equal">
      <formula>"NA"</formula>
    </cfRule>
    <cfRule type="cellIs" dxfId="781" priority="1589" operator="equal">
      <formula>"NA"</formula>
    </cfRule>
    <cfRule type="cellIs" dxfId="782" priority="1588" operator="equal">
      <formula>"NA"</formula>
    </cfRule>
    <cfRule type="cellIs" dxfId="783" priority="1587" operator="equal">
      <formula>"NA"</formula>
    </cfRule>
    <cfRule type="cellIs" dxfId="784" priority="1586" operator="equal">
      <formula>"NA"</formula>
    </cfRule>
    <cfRule type="cellIs" dxfId="785" priority="1585" operator="equal">
      <formula>"NA"</formula>
    </cfRule>
    <cfRule type="cellIs" dxfId="786" priority="1584" operator="equal">
      <formula>"NA"</formula>
    </cfRule>
    <cfRule type="cellIs" dxfId="787" priority="1583" operator="equal">
      <formula>"NA"</formula>
    </cfRule>
    <cfRule type="cellIs" dxfId="788" priority="1582" operator="equal">
      <formula>"NA"</formula>
    </cfRule>
    <cfRule type="cellIs" dxfId="789" priority="1581" operator="equal">
      <formula>"NA"</formula>
    </cfRule>
    <cfRule type="cellIs" dxfId="790" priority="1580" operator="equal">
      <formula>"NA"</formula>
    </cfRule>
    <cfRule type="cellIs" dxfId="791" priority="1579" operator="equal">
      <formula>"NA"</formula>
    </cfRule>
    <cfRule type="cellIs" dxfId="792" priority="1578" operator="equal">
      <formula>"NA"</formula>
    </cfRule>
    <cfRule type="cellIs" dxfId="793" priority="1577" operator="equal">
      <formula>"NA"</formula>
    </cfRule>
    <cfRule type="cellIs" dxfId="794" priority="1576" operator="equal">
      <formula>"NA"</formula>
    </cfRule>
    <cfRule type="cellIs" dxfId="795" priority="1575" operator="equal">
      <formula>"NA"</formula>
    </cfRule>
  </conditionalFormatting>
  <conditionalFormatting sqref="E1026:E1028 F1028:G1028">
    <cfRule type="cellIs" dxfId="796" priority="1513" operator="equal">
      <formula>"NA"</formula>
    </cfRule>
    <cfRule type="cellIs" dxfId="797" priority="1514" operator="equal">
      <formula>"NA"</formula>
    </cfRule>
  </conditionalFormatting>
  <conditionalFormatting sqref="E1026:E1028">
    <cfRule type="cellIs" dxfId="798" priority="1473" operator="equal">
      <formula>"NA"</formula>
    </cfRule>
    <cfRule type="cellIs" dxfId="799" priority="1474" operator="equal">
      <formula>"NA"</formula>
    </cfRule>
  </conditionalFormatting>
  <conditionalFormatting sqref="E1032:E1034">
    <cfRule type="cellIs" dxfId="800" priority="1516" operator="equal">
      <formula>"NA"</formula>
    </cfRule>
    <cfRule type="cellIs" dxfId="801" priority="1517" operator="equal">
      <formula>"NA"</formula>
    </cfRule>
    <cfRule type="cellIs" dxfId="802" priority="1518" operator="equal">
      <formula>"NA"</formula>
    </cfRule>
    <cfRule type="cellIs" dxfId="803" priority="1519" operator="equal">
      <formula>"NA"</formula>
    </cfRule>
    <cfRule type="cellIs" dxfId="804" priority="1520" operator="equal">
      <formula>"NA"</formula>
    </cfRule>
    <cfRule type="cellIs" dxfId="805" priority="1521" operator="equal">
      <formula>"NA"</formula>
    </cfRule>
    <cfRule type="cellIs" dxfId="806" priority="1522" operator="equal">
      <formula>"NA"</formula>
    </cfRule>
    <cfRule type="cellIs" dxfId="807" priority="1525" operator="equal">
      <formula>"NA"</formula>
    </cfRule>
    <cfRule type="cellIs" dxfId="808" priority="1526" operator="equal">
      <formula>"NA"</formula>
    </cfRule>
    <cfRule type="cellIs" dxfId="809" priority="1515" operator="equal">
      <formula>"NA"</formula>
    </cfRule>
  </conditionalFormatting>
  <conditionalFormatting sqref="E1032:E1035">
    <cfRule type="cellIs" dxfId="810" priority="1523" operator="equal">
      <formula>"NA"</formula>
    </cfRule>
    <cfRule type="cellIs" dxfId="811" priority="1524" operator="equal">
      <formula>"NA"</formula>
    </cfRule>
  </conditionalFormatting>
  <conditionalFormatting sqref="E1034:E1035 I1035">
    <cfRule type="cellIs" dxfId="812" priority="1441" operator="equal">
      <formula>"NA"</formula>
    </cfRule>
    <cfRule type="cellIs" dxfId="813" priority="1442" operator="equal">
      <formula>"NA"</formula>
    </cfRule>
  </conditionalFormatting>
  <conditionalFormatting sqref="E1052:E1057">
    <cfRule type="cellIs" dxfId="814" priority="2763" operator="equal">
      <formula>"NA"</formula>
    </cfRule>
    <cfRule type="cellIs" dxfId="815" priority="2764" operator="equal">
      <formula>"NA"</formula>
    </cfRule>
    <cfRule type="cellIs" dxfId="816" priority="2766" operator="equal">
      <formula>"NA"</formula>
    </cfRule>
    <cfRule type="cellIs" dxfId="817" priority="12024" operator="equal">
      <formula>"NA"</formula>
    </cfRule>
    <cfRule type="cellIs" dxfId="818" priority="2765" operator="equal">
      <formula>"NA"</formula>
    </cfRule>
    <cfRule type="cellIs" dxfId="819" priority="12023" operator="equal">
      <formula>"NA"</formula>
    </cfRule>
    <cfRule type="cellIs" dxfId="820" priority="12022" operator="equal">
      <formula>"NA"</formula>
    </cfRule>
    <cfRule type="cellIs" dxfId="821" priority="12021" operator="equal">
      <formula>"NA"</formula>
    </cfRule>
  </conditionalFormatting>
  <conditionalFormatting sqref="E1075:E1079">
    <cfRule type="cellIs" dxfId="822" priority="7154" operator="equal">
      <formula>"NA"</formula>
    </cfRule>
    <cfRule type="cellIs" dxfId="823" priority="7155" operator="equal">
      <formula>"NA"</formula>
    </cfRule>
    <cfRule type="cellIs" dxfId="824" priority="7156" operator="equal">
      <formula>"NA"</formula>
    </cfRule>
    <cfRule type="cellIs" dxfId="825" priority="7157" operator="equal">
      <formula>"NA"</formula>
    </cfRule>
    <cfRule type="cellIs" dxfId="826" priority="7158" operator="equal">
      <formula>"NA"</formula>
    </cfRule>
    <cfRule type="cellIs" dxfId="827" priority="7161" operator="equal">
      <formula>"NA"</formula>
    </cfRule>
    <cfRule type="cellIs" dxfId="828" priority="7162" operator="equal">
      <formula>"NA"</formula>
    </cfRule>
    <cfRule type="cellIs" dxfId="829" priority="7151" operator="equal">
      <formula>"NA"</formula>
    </cfRule>
    <cfRule type="cellIs" dxfId="830" priority="7152" operator="equal">
      <formula>"NA"</formula>
    </cfRule>
    <cfRule type="cellIs" dxfId="831" priority="7153" operator="equal">
      <formula>"NA"</formula>
    </cfRule>
  </conditionalFormatting>
  <conditionalFormatting sqref="E1099:E1103">
    <cfRule type="cellIs" dxfId="832" priority="1122" operator="equal">
      <formula>"NA"</formula>
    </cfRule>
    <cfRule type="cellIs" dxfId="833" priority="1121" operator="equal">
      <formula>"NA"</formula>
    </cfRule>
    <cfRule type="cellIs" dxfId="834" priority="1119" operator="equal">
      <formula>"NA"</formula>
    </cfRule>
    <cfRule type="cellIs" dxfId="835" priority="1118" operator="equal">
      <formula>"NA"</formula>
    </cfRule>
    <cfRule type="cellIs" dxfId="836" priority="1117" operator="equal">
      <formula>"NA"</formula>
    </cfRule>
    <cfRule type="cellIs" dxfId="837" priority="1120" operator="equal">
      <formula>"NA"</formula>
    </cfRule>
    <cfRule type="cellIs" dxfId="838" priority="1123" operator="equal">
      <formula>"NA"</formula>
    </cfRule>
    <cfRule type="cellIs" dxfId="839" priority="1124" operator="equal">
      <formula>"NA"</formula>
    </cfRule>
  </conditionalFormatting>
  <conditionalFormatting sqref="E1123:E1127">
    <cfRule type="cellIs" dxfId="840" priority="946" operator="equal">
      <formula>"NA"</formula>
    </cfRule>
    <cfRule type="cellIs" dxfId="841" priority="945" operator="equal">
      <formula>"NA"</formula>
    </cfRule>
    <cfRule type="cellIs" dxfId="842" priority="944" operator="equal">
      <formula>"NA"</formula>
    </cfRule>
    <cfRule type="cellIs" dxfId="843" priority="943" operator="equal">
      <formula>"NA"</formula>
    </cfRule>
    <cfRule type="cellIs" dxfId="844" priority="942" operator="equal">
      <formula>"NA"</formula>
    </cfRule>
    <cfRule type="cellIs" dxfId="845" priority="941" operator="equal">
      <formula>"NA"</formula>
    </cfRule>
    <cfRule type="cellIs" dxfId="846" priority="947" operator="equal">
      <formula>"NA"</formula>
    </cfRule>
    <cfRule type="cellIs" dxfId="847" priority="948" operator="equal">
      <formula>"NA"</formula>
    </cfRule>
  </conditionalFormatting>
  <conditionalFormatting sqref="E1125">
    <cfRule type="cellIs" dxfId="848" priority="909" operator="equal">
      <formula>"NA"</formula>
    </cfRule>
    <cfRule type="cellIs" dxfId="849" priority="845" operator="equal">
      <formula>"NA"</formula>
    </cfRule>
    <cfRule type="cellIs" dxfId="850" priority="846" operator="equal">
      <formula>"NA"</formula>
    </cfRule>
    <cfRule type="cellIs" dxfId="851" priority="847" operator="equal">
      <formula>"NA"</formula>
    </cfRule>
    <cfRule type="cellIs" dxfId="852" priority="848" operator="equal">
      <formula>"NA"</formula>
    </cfRule>
    <cfRule type="cellIs" dxfId="853" priority="849" operator="equal">
      <formula>"NA"</formula>
    </cfRule>
    <cfRule type="cellIs" dxfId="854" priority="850" operator="equal">
      <formula>"NA"</formula>
    </cfRule>
    <cfRule type="cellIs" dxfId="855" priority="851" operator="equal">
      <formula>"NA"</formula>
    </cfRule>
    <cfRule type="cellIs" dxfId="856" priority="852" operator="equal">
      <formula>"NA"</formula>
    </cfRule>
    <cfRule type="cellIs" dxfId="857" priority="853" operator="equal">
      <formula>"NA"</formula>
    </cfRule>
    <cfRule type="cellIs" dxfId="858" priority="854" operator="equal">
      <formula>"NA"</formula>
    </cfRule>
    <cfRule type="cellIs" dxfId="859" priority="855" operator="equal">
      <formula>"NA"</formula>
    </cfRule>
    <cfRule type="cellIs" dxfId="860" priority="856" operator="equal">
      <formula>"NA"</formula>
    </cfRule>
    <cfRule type="cellIs" dxfId="861" priority="920" operator="equal">
      <formula>"NA"</formula>
    </cfRule>
    <cfRule type="cellIs" dxfId="862" priority="919" operator="equal">
      <formula>"NA"</formula>
    </cfRule>
    <cfRule type="cellIs" dxfId="863" priority="918" operator="equal">
      <formula>"NA"</formula>
    </cfRule>
    <cfRule type="cellIs" dxfId="864" priority="917" operator="equal">
      <formula>"NA"</formula>
    </cfRule>
    <cfRule type="cellIs" dxfId="865" priority="916" operator="equal">
      <formula>"NA"</formula>
    </cfRule>
    <cfRule type="cellIs" dxfId="866" priority="915" operator="equal">
      <formula>"NA"</formula>
    </cfRule>
    <cfRule type="cellIs" dxfId="867" priority="914" operator="equal">
      <formula>"NA"</formula>
    </cfRule>
    <cfRule type="cellIs" dxfId="868" priority="913" operator="equal">
      <formula>"NA"</formula>
    </cfRule>
    <cfRule type="cellIs" dxfId="869" priority="912" operator="equal">
      <formula>"NA"</formula>
    </cfRule>
    <cfRule type="cellIs" dxfId="870" priority="911" operator="equal">
      <formula>"NA"</formula>
    </cfRule>
    <cfRule type="cellIs" dxfId="871" priority="910" operator="equal">
      <formula>"NA"</formula>
    </cfRule>
  </conditionalFormatting>
  <conditionalFormatting sqref="E1125:E1127">
    <cfRule type="cellIs" dxfId="872" priority="877" operator="equal">
      <formula>"NA"</formula>
    </cfRule>
    <cfRule type="cellIs" dxfId="873" priority="878" operator="equal">
      <formula>"NA"</formula>
    </cfRule>
    <cfRule type="cellIs" dxfId="874" priority="879" operator="equal">
      <formula>"NA"</formula>
    </cfRule>
    <cfRule type="cellIs" dxfId="875" priority="880" operator="equal">
      <formula>"NA"</formula>
    </cfRule>
    <cfRule type="cellIs" dxfId="876" priority="874" operator="equal">
      <formula>"NA"</formula>
    </cfRule>
    <cfRule type="cellIs" dxfId="877" priority="875" operator="equal">
      <formula>"NA"</formula>
    </cfRule>
    <cfRule type="cellIs" dxfId="878" priority="873" operator="equal">
      <formula>"NA"</formula>
    </cfRule>
    <cfRule type="cellIs" dxfId="879" priority="881" operator="equal">
      <formula>"NA"</formula>
    </cfRule>
    <cfRule type="cellIs" dxfId="880" priority="876" operator="equal">
      <formula>"NA"</formula>
    </cfRule>
    <cfRule type="cellIs" dxfId="881" priority="882" operator="equal">
      <formula>"NA"</formula>
    </cfRule>
    <cfRule type="cellIs" dxfId="882" priority="871" operator="equal">
      <formula>"NA"</formula>
    </cfRule>
    <cfRule type="cellIs" dxfId="883" priority="872" operator="equal">
      <formula>"NA"</formula>
    </cfRule>
  </conditionalFormatting>
  <conditionalFormatting sqref="E1127">
    <cfRule type="cellIs" dxfId="884" priority="898" operator="equal">
      <formula>"NA"</formula>
    </cfRule>
    <cfRule type="cellIs" dxfId="885" priority="907" operator="equal">
      <formula>"NA"</formula>
    </cfRule>
    <cfRule type="cellIs" dxfId="886" priority="844" operator="equal">
      <formula>"NA"</formula>
    </cfRule>
    <cfRule type="cellIs" dxfId="887" priority="908" operator="equal">
      <formula>"NA"</formula>
    </cfRule>
    <cfRule type="cellIs" dxfId="888" priority="906" operator="equal">
      <formula>"NA"</formula>
    </cfRule>
    <cfRule type="cellIs" dxfId="889" priority="905" operator="equal">
      <formula>"NA"</formula>
    </cfRule>
    <cfRule type="cellIs" dxfId="890" priority="904" operator="equal">
      <formula>"NA"</formula>
    </cfRule>
    <cfRule type="cellIs" dxfId="891" priority="903" operator="equal">
      <formula>"NA"</formula>
    </cfRule>
    <cfRule type="cellIs" dxfId="892" priority="902" operator="equal">
      <formula>"NA"</formula>
    </cfRule>
    <cfRule type="cellIs" dxfId="893" priority="901" operator="equal">
      <formula>"NA"</formula>
    </cfRule>
    <cfRule type="cellIs" dxfId="894" priority="900" operator="equal">
      <formula>"NA"</formula>
    </cfRule>
    <cfRule type="cellIs" dxfId="895" priority="840" operator="equal">
      <formula>"NA"</formula>
    </cfRule>
    <cfRule type="cellIs" dxfId="896" priority="839" operator="equal">
      <formula>"NA"</formula>
    </cfRule>
    <cfRule type="cellIs" dxfId="897" priority="838" operator="equal">
      <formula>"NA"</formula>
    </cfRule>
    <cfRule type="cellIs" dxfId="898" priority="899" operator="equal">
      <formula>"NA"</formula>
    </cfRule>
    <cfRule type="cellIs" dxfId="899" priority="837" operator="equal">
      <formula>"NA"</formula>
    </cfRule>
    <cfRule type="cellIs" dxfId="900" priority="836" operator="equal">
      <formula>"NA"</formula>
    </cfRule>
    <cfRule type="cellIs" dxfId="901" priority="835" operator="equal">
      <formula>"NA"</formula>
    </cfRule>
    <cfRule type="cellIs" dxfId="902" priority="834" operator="equal">
      <formula>"NA"</formula>
    </cfRule>
    <cfRule type="cellIs" dxfId="903" priority="833" operator="equal">
      <formula>"NA"</formula>
    </cfRule>
    <cfRule type="cellIs" dxfId="904" priority="843" operator="equal">
      <formula>"NA"</formula>
    </cfRule>
    <cfRule type="cellIs" dxfId="905" priority="897" operator="equal">
      <formula>"NA"</formula>
    </cfRule>
    <cfRule type="cellIs" dxfId="906" priority="841" operator="equal">
      <formula>"NA"</formula>
    </cfRule>
    <cfRule type="cellIs" dxfId="907" priority="842" operator="equal">
      <formula>"NA"</formula>
    </cfRule>
  </conditionalFormatting>
  <conditionalFormatting sqref="E1149:E1152 E1192:E1195 E1208:E1210 E1186:I1187 E1202:J1202 E1203:I1203 E1303:I1303 E1311:J1311">
    <cfRule type="cellIs" dxfId="908" priority="7057" operator="equal">
      <formula>"NA"</formula>
    </cfRule>
  </conditionalFormatting>
  <conditionalFormatting sqref="E1149:E1152 E1186:I1187 E1192:E1195 E1202:J1202 E1203:I1203 E1208:E1210 E1303:I1303 E1311:J1311">
    <cfRule type="cellIs" dxfId="909" priority="7058" operator="equal">
      <formula>"NA"</formula>
    </cfRule>
  </conditionalFormatting>
  <conditionalFormatting sqref="E1149:E1152">
    <cfRule type="cellIs" dxfId="910" priority="7051" operator="equal">
      <formula>"NA"</formula>
    </cfRule>
    <cfRule type="cellIs" dxfId="911" priority="11974" operator="equal">
      <formula>"NA"</formula>
    </cfRule>
    <cfRule type="cellIs" dxfId="912" priority="11976" operator="equal">
      <formula>"NA"</formula>
    </cfRule>
    <cfRule type="cellIs" dxfId="913" priority="11975" operator="equal">
      <formula>"NA"</formula>
    </cfRule>
    <cfRule type="cellIs" dxfId="914" priority="11973" operator="equal">
      <formula>"NA"</formula>
    </cfRule>
    <cfRule type="cellIs" dxfId="915" priority="7052" operator="equal">
      <formula>"NA"</formula>
    </cfRule>
  </conditionalFormatting>
  <conditionalFormatting sqref="E1192:E1195">
    <cfRule type="cellIs" dxfId="916" priority="11958" operator="equal">
      <formula>"NA"</formula>
    </cfRule>
    <cfRule type="cellIs" dxfId="917" priority="7044" operator="equal">
      <formula>"NA"</formula>
    </cfRule>
    <cfRule type="cellIs" dxfId="918" priority="7043" operator="equal">
      <formula>"NA"</formula>
    </cfRule>
    <cfRule type="cellIs" dxfId="919" priority="11959" operator="equal">
      <formula>"NA"</formula>
    </cfRule>
    <cfRule type="cellIs" dxfId="920" priority="11957" operator="equal">
      <formula>"NA"</formula>
    </cfRule>
    <cfRule type="cellIs" dxfId="921" priority="11960" operator="equal">
      <formula>"NA"</formula>
    </cfRule>
  </conditionalFormatting>
  <conditionalFormatting sqref="E1208:E1210">
    <cfRule type="cellIs" dxfId="922" priority="7036" operator="equal">
      <formula>"NA"</formula>
    </cfRule>
    <cfRule type="cellIs" dxfId="923" priority="7035" operator="equal">
      <formula>"NA"</formula>
    </cfRule>
    <cfRule type="cellIs" dxfId="924" priority="11949" operator="equal">
      <formula>"NA"</formula>
    </cfRule>
    <cfRule type="cellIs" dxfId="925" priority="11950" operator="equal">
      <formula>"NA"</formula>
    </cfRule>
    <cfRule type="cellIs" dxfId="926" priority="11951" operator="equal">
      <formula>"NA"</formula>
    </cfRule>
    <cfRule type="cellIs" dxfId="927" priority="11952" operator="equal">
      <formula>"NA"</formula>
    </cfRule>
  </conditionalFormatting>
  <conditionalFormatting sqref="E1248:E1250">
    <cfRule type="cellIs" dxfId="928" priority="6998" operator="equal">
      <formula>"NA"</formula>
    </cfRule>
    <cfRule type="cellIs" dxfId="929" priority="6997" operator="equal">
      <formula>"NA"</formula>
    </cfRule>
  </conditionalFormatting>
  <conditionalFormatting sqref="E1256:E1258">
    <cfRule type="cellIs" dxfId="930" priority="6992" operator="equal">
      <formula>"NA"</formula>
    </cfRule>
    <cfRule type="cellIs" dxfId="931" priority="6991" operator="equal">
      <formula>"NA"</formula>
    </cfRule>
  </conditionalFormatting>
  <conditionalFormatting sqref="E1327">
    <cfRule type="cellIs" dxfId="932" priority="761" operator="equal">
      <formula>"NA"</formula>
    </cfRule>
    <cfRule type="cellIs" dxfId="933" priority="762" operator="equal">
      <formula>"NA"</formula>
    </cfRule>
    <cfRule type="cellIs" dxfId="934" priority="763" operator="equal">
      <formula>"NA"</formula>
    </cfRule>
    <cfRule type="cellIs" dxfId="935" priority="764" operator="equal">
      <formula>"NA"</formula>
    </cfRule>
    <cfRule type="cellIs" dxfId="936" priority="765" operator="equal">
      <formula>"NA"</formula>
    </cfRule>
    <cfRule type="cellIs" dxfId="937" priority="766" operator="equal">
      <formula>"NA"</formula>
    </cfRule>
    <cfRule type="cellIs" dxfId="938" priority="760" operator="equal">
      <formula>"NA"</formula>
    </cfRule>
    <cfRule type="cellIs" dxfId="939" priority="759" operator="equal">
      <formula>"NA"</formula>
    </cfRule>
  </conditionalFormatting>
  <conditionalFormatting sqref="E1327:E1328">
    <cfRule type="cellIs" dxfId="940" priority="827" operator="equal">
      <formula>"NA"</formula>
    </cfRule>
    <cfRule type="cellIs" dxfId="941" priority="828" operator="equal">
      <formula>"NA"</formula>
    </cfRule>
  </conditionalFormatting>
  <conditionalFormatting sqref="E1327:E1329">
    <cfRule type="cellIs" dxfId="942" priority="816" operator="equal">
      <formula>"NA"</formula>
    </cfRule>
    <cfRule type="cellIs" dxfId="943" priority="815" operator="equal">
      <formula>"NA"</formula>
    </cfRule>
  </conditionalFormatting>
  <conditionalFormatting sqref="E1328">
    <cfRule type="cellIs" dxfId="944" priority="822" operator="equal">
      <formula>"NA"</formula>
    </cfRule>
    <cfRule type="cellIs" dxfId="945" priority="821" operator="equal">
      <formula>"NA"</formula>
    </cfRule>
    <cfRule type="cellIs" dxfId="946" priority="823" operator="equal">
      <formula>"NA"</formula>
    </cfRule>
    <cfRule type="cellIs" dxfId="947" priority="826" operator="equal">
      <formula>"NA"</formula>
    </cfRule>
    <cfRule type="cellIs" dxfId="948" priority="825" operator="equal">
      <formula>"NA"</formula>
    </cfRule>
    <cfRule type="cellIs" dxfId="949" priority="824" operator="equal">
      <formula>"NA"</formula>
    </cfRule>
  </conditionalFormatting>
  <conditionalFormatting sqref="E1328:E1329">
    <cfRule type="cellIs" dxfId="950" priority="817" operator="equal">
      <formula>"NA"</formula>
    </cfRule>
    <cfRule type="cellIs" dxfId="951" priority="818" operator="equal">
      <formula>"NA"</formula>
    </cfRule>
  </conditionalFormatting>
  <conditionalFormatting sqref="E1329">
    <cfRule type="cellIs" dxfId="952" priority="810" operator="equal">
      <formula>"NA"</formula>
    </cfRule>
    <cfRule type="cellIs" dxfId="953" priority="809" operator="equal">
      <formula>"NA"</formula>
    </cfRule>
    <cfRule type="cellIs" dxfId="954" priority="808" operator="equal">
      <formula>"NA"</formula>
    </cfRule>
    <cfRule type="cellIs" dxfId="955" priority="807" operator="equal">
      <formula>"NA"</formula>
    </cfRule>
    <cfRule type="cellIs" dxfId="956" priority="806" operator="equal">
      <formula>"NA"</formula>
    </cfRule>
    <cfRule type="cellIs" dxfId="957" priority="805" operator="equal">
      <formula>"NA"</formula>
    </cfRule>
    <cfRule type="cellIs" dxfId="958" priority="781" operator="equal">
      <formula>"NA"</formula>
    </cfRule>
    <cfRule type="cellIs" dxfId="959" priority="820" operator="equal">
      <formula>"NA"</formula>
    </cfRule>
    <cfRule type="cellIs" dxfId="960" priority="819" operator="equal">
      <formula>"NA"</formula>
    </cfRule>
    <cfRule type="cellIs" dxfId="961" priority="814" operator="equal">
      <formula>"NA"</formula>
    </cfRule>
    <cfRule type="cellIs" dxfId="962" priority="783" operator="equal">
      <formula>"NA"</formula>
    </cfRule>
    <cfRule type="cellIs" dxfId="963" priority="782" operator="equal">
      <formula>"NA"</formula>
    </cfRule>
    <cfRule type="cellIs" dxfId="964" priority="777" operator="equal">
      <formula>"NA"</formula>
    </cfRule>
    <cfRule type="cellIs" dxfId="965" priority="780" operator="equal">
      <formula>"NA"</formula>
    </cfRule>
    <cfRule type="cellIs" dxfId="966" priority="779" operator="equal">
      <formula>"NA"</formula>
    </cfRule>
    <cfRule type="cellIs" dxfId="967" priority="2562" operator="equal">
      <formula>"NA"</formula>
    </cfRule>
    <cfRule type="cellIs" dxfId="968" priority="2561" operator="equal">
      <formula>"NA"</formula>
    </cfRule>
    <cfRule type="cellIs" dxfId="969" priority="2558" operator="equal">
      <formula>"NA"</formula>
    </cfRule>
    <cfRule type="cellIs" dxfId="970" priority="2557" operator="equal">
      <formula>"NA"</formula>
    </cfRule>
    <cfRule type="cellIs" dxfId="971" priority="778" operator="equal">
      <formula>"NA"</formula>
    </cfRule>
    <cfRule type="cellIs" dxfId="972" priority="812" operator="equal">
      <formula>"NA"</formula>
    </cfRule>
    <cfRule type="cellIs" dxfId="973" priority="803" operator="equal">
      <formula>"NA"</formula>
    </cfRule>
    <cfRule type="cellIs" dxfId="974" priority="804" operator="equal">
      <formula>"NA"</formula>
    </cfRule>
    <cfRule type="cellIs" dxfId="975" priority="792" operator="equal">
      <formula>"NA"</formula>
    </cfRule>
    <cfRule type="cellIs" dxfId="976" priority="793" operator="equal">
      <formula>"NA"</formula>
    </cfRule>
    <cfRule type="cellIs" dxfId="977" priority="794" operator="equal">
      <formula>"NA"</formula>
    </cfRule>
    <cfRule type="cellIs" dxfId="978" priority="795" operator="equal">
      <formula>"NA"</formula>
    </cfRule>
    <cfRule type="cellIs" dxfId="979" priority="796" operator="equal">
      <formula>"NA"</formula>
    </cfRule>
    <cfRule type="cellIs" dxfId="980" priority="797" operator="equal">
      <formula>"NA"</formula>
    </cfRule>
    <cfRule type="cellIs" dxfId="981" priority="798" operator="equal">
      <formula>"NA"</formula>
    </cfRule>
    <cfRule type="cellIs" dxfId="982" priority="811" operator="equal">
      <formula>"NA"</formula>
    </cfRule>
    <cfRule type="cellIs" dxfId="983" priority="789" operator="equal">
      <formula>"NA"</formula>
    </cfRule>
    <cfRule type="cellIs" dxfId="984" priority="790" operator="equal">
      <formula>"NA"</formula>
    </cfRule>
    <cfRule type="cellIs" dxfId="985" priority="813" operator="equal">
      <formula>"NA"</formula>
    </cfRule>
    <cfRule type="cellIs" dxfId="986" priority="784" operator="equal">
      <formula>"NA"</formula>
    </cfRule>
    <cfRule type="cellIs" dxfId="987" priority="791" operator="equal">
      <formula>"NA"</formula>
    </cfRule>
    <cfRule type="cellIs" dxfId="988" priority="775" operator="equal">
      <formula>"NA"</formula>
    </cfRule>
    <cfRule type="cellIs" dxfId="989" priority="776" operator="equal">
      <formula>"NA"</formula>
    </cfRule>
  </conditionalFormatting>
  <conditionalFormatting sqref="E1329:E1330">
    <cfRule type="cellIs" dxfId="990" priority="799" operator="equal">
      <formula>"NA"</formula>
    </cfRule>
    <cfRule type="cellIs" dxfId="991" priority="800" operator="equal">
      <formula>"NA"</formula>
    </cfRule>
  </conditionalFormatting>
  <conditionalFormatting sqref="E1329:E1339">
    <cfRule type="cellIs" dxfId="992" priority="786" operator="equal">
      <formula>"NA"</formula>
    </cfRule>
    <cfRule type="cellIs" dxfId="993" priority="785" operator="equal">
      <formula>"NA"</formula>
    </cfRule>
  </conditionalFormatting>
  <conditionalFormatting sqref="E1330:E1339">
    <cfRule type="cellIs" dxfId="994" priority="787" operator="equal">
      <formula>"NA"</formula>
    </cfRule>
    <cfRule type="cellIs" dxfId="995" priority="788" operator="equal">
      <formula>"NA"</formula>
    </cfRule>
  </conditionalFormatting>
  <conditionalFormatting sqref="E1332:E1339">
    <cfRule type="cellIs" dxfId="996" priority="801" operator="equal">
      <formula>"NA"</formula>
    </cfRule>
    <cfRule type="cellIs" dxfId="997" priority="802" operator="equal">
      <formula>"NA"</formula>
    </cfRule>
  </conditionalFormatting>
  <conditionalFormatting sqref="E1336:E1337">
    <cfRule type="cellIs" dxfId="998" priority="767" operator="equal">
      <formula>"NA"</formula>
    </cfRule>
    <cfRule type="cellIs" dxfId="999" priority="769" operator="equal">
      <formula>"NA"</formula>
    </cfRule>
    <cfRule type="cellIs" dxfId="1000" priority="770" operator="equal">
      <formula>"NA"</formula>
    </cfRule>
    <cfRule type="cellIs" dxfId="1001" priority="768" operator="equal">
      <formula>"NA"</formula>
    </cfRule>
  </conditionalFormatting>
  <conditionalFormatting sqref="E1339">
    <cfRule type="cellIs" dxfId="1002" priority="771" operator="equal">
      <formula>"NA"</formula>
    </cfRule>
    <cfRule type="cellIs" dxfId="1003" priority="773" operator="equal">
      <formula>"NA"</formula>
    </cfRule>
    <cfRule type="cellIs" dxfId="1004" priority="774" operator="equal">
      <formula>"NA"</formula>
    </cfRule>
    <cfRule type="cellIs" dxfId="1005" priority="772" operator="equal">
      <formula>"NA"</formula>
    </cfRule>
  </conditionalFormatting>
  <conditionalFormatting sqref="E1382">
    <cfRule type="cellIs" dxfId="1006" priority="4513" operator="equal">
      <formula>"NA"</formula>
    </cfRule>
    <cfRule type="cellIs" dxfId="1007" priority="4514" operator="equal">
      <formula>"NA"</formula>
    </cfRule>
    <cfRule type="cellIs" dxfId="1008" priority="756" operator="equal">
      <formula>"NA"</formula>
    </cfRule>
    <cfRule type="cellIs" dxfId="1009" priority="4509" operator="equal">
      <formula>"NA"</formula>
    </cfRule>
    <cfRule type="cellIs" dxfId="1010" priority="753" operator="equal">
      <formula>"NA"</formula>
    </cfRule>
    <cfRule type="cellIs" dxfId="1011" priority="754" operator="equal">
      <formula>"NA"</formula>
    </cfRule>
    <cfRule type="cellIs" dxfId="1012" priority="755" operator="equal">
      <formula>"NA"</formula>
    </cfRule>
    <cfRule type="cellIs" dxfId="1013" priority="4510" operator="equal">
      <formula>"NA"</formula>
    </cfRule>
    <cfRule type="cellIs" dxfId="1014" priority="757" operator="equal">
      <formula>"NA"</formula>
    </cfRule>
    <cfRule type="cellIs" dxfId="1015" priority="758" operator="equal">
      <formula>"NA"</formula>
    </cfRule>
  </conditionalFormatting>
  <conditionalFormatting sqref="E1385">
    <cfRule type="cellIs" dxfId="1016" priority="743" operator="equal">
      <formula>"NA"</formula>
    </cfRule>
    <cfRule type="cellIs" dxfId="1017" priority="744" operator="equal">
      <formula>"NA"</formula>
    </cfRule>
    <cfRule type="cellIs" dxfId="1018" priority="745" operator="equal">
      <formula>"NA"</formula>
    </cfRule>
    <cfRule type="cellIs" dxfId="1019" priority="746" operator="equal">
      <formula>"NA"</formula>
    </cfRule>
    <cfRule type="cellIs" dxfId="1020" priority="732" operator="equal">
      <formula>"NA"</formula>
    </cfRule>
    <cfRule type="cellIs" dxfId="1021" priority="731" operator="equal">
      <formula>"NA"</formula>
    </cfRule>
    <cfRule type="cellIs" dxfId="1022" priority="730" operator="equal">
      <formula>"NA"</formula>
    </cfRule>
    <cfRule type="cellIs" dxfId="1023" priority="734" operator="equal">
      <formula>"NA"</formula>
    </cfRule>
    <cfRule type="cellIs" dxfId="1024" priority="729" operator="equal">
      <formula>"NA"</formula>
    </cfRule>
    <cfRule type="cellIs" dxfId="1025" priority="728" operator="equal">
      <formula>"NA"</formula>
    </cfRule>
    <cfRule type="cellIs" dxfId="1026" priority="735" operator="equal">
      <formula>"NA"</formula>
    </cfRule>
    <cfRule type="cellIs" dxfId="1027" priority="736" operator="equal">
      <formula>"NA"</formula>
    </cfRule>
    <cfRule type="cellIs" dxfId="1028" priority="737" operator="equal">
      <formula>"NA"</formula>
    </cfRule>
    <cfRule type="cellIs" dxfId="1029" priority="738" operator="equal">
      <formula>"NA"</formula>
    </cfRule>
    <cfRule type="cellIs" dxfId="1030" priority="739" operator="equal">
      <formula>"NA"</formula>
    </cfRule>
    <cfRule type="cellIs" dxfId="1031" priority="727" operator="equal">
      <formula>"NA"</formula>
    </cfRule>
    <cfRule type="cellIs" dxfId="1032" priority="733" operator="equal">
      <formula>"NA"</formula>
    </cfRule>
    <cfRule type="cellIs" dxfId="1033" priority="741" operator="equal">
      <formula>"NA"</formula>
    </cfRule>
    <cfRule type="cellIs" dxfId="1034" priority="742" operator="equal">
      <formula>"NA"</formula>
    </cfRule>
    <cfRule type="cellIs" dxfId="1035" priority="740" operator="equal">
      <formula>"NA"</formula>
    </cfRule>
  </conditionalFormatting>
  <conditionalFormatting sqref="E1385:E1391">
    <cfRule type="cellIs" dxfId="1036" priority="749" operator="equal">
      <formula>"NA"</formula>
    </cfRule>
    <cfRule type="cellIs" dxfId="1037" priority="750" operator="equal">
      <formula>"NA"</formula>
    </cfRule>
    <cfRule type="cellIs" dxfId="1038" priority="751" operator="equal">
      <formula>"NA"</formula>
    </cfRule>
    <cfRule type="cellIs" dxfId="1039" priority="752" operator="equal">
      <formula>"NA"</formula>
    </cfRule>
    <cfRule type="cellIs" dxfId="1040" priority="748" operator="equal">
      <formula>"NA"</formula>
    </cfRule>
    <cfRule type="cellIs" dxfId="1041" priority="747" operator="equal">
      <formula>"NA"</formula>
    </cfRule>
    <cfRule type="cellIs" dxfId="1042" priority="4504" operator="equal">
      <formula>"NA"</formula>
    </cfRule>
    <cfRule type="cellIs" dxfId="1043" priority="4503" operator="equal">
      <formula>"NA"</formula>
    </cfRule>
    <cfRule type="cellIs" dxfId="1044" priority="4500" operator="equal">
      <formula>"NA"</formula>
    </cfRule>
    <cfRule type="cellIs" dxfId="1045" priority="4499" operator="equal">
      <formula>"NA"</formula>
    </cfRule>
  </conditionalFormatting>
  <conditionalFormatting sqref="E73:F73 E74:E75 E78:E83">
    <cfRule type="cellIs" dxfId="1046" priority="10188" operator="equal">
      <formula>"NA"</formula>
    </cfRule>
    <cfRule type="cellIs" dxfId="1047" priority="10184" operator="equal">
      <formula>"NA"</formula>
    </cfRule>
    <cfRule type="cellIs" dxfId="1048" priority="10187" operator="equal">
      <formula>"NA"</formula>
    </cfRule>
  </conditionalFormatting>
  <conditionalFormatting sqref="E73:F73 E165:F165 H165:J165 H431:J431 E736:F737 H744:H745 H746:J746 E752 E755:E757 E784:F786 E788:E789 E792 E794:E797 H798:I798 E799:E802 H803:I803 E804:E807 E854:I855 K856 J872:J874 E875:J876 K877 E896:J896 E897:I897 K898 E917:J917 E918:I918 K919 E938:J938 E939:I939 E959:J959 K961 E961:E962 I961:J962 J963 E964:E970 I964:J970 J971:J973 K985 E1024:I1025 E1047:J1047 E1048:I1048 K1049 K1071 H1115:J1115 H1116:I1116 I1117:K1117 I1120:J1127 J1128 E1139:J1139 K1141 E1149:E1152 E1192:E1195 K1204 E1208:E1210 E1320:I1320 E1326:J1326 E1343:I1344 E1348:I1348 E1352:I1352 E1355:I1355 E1366:I1366 E1392:H1393 I794:J797 I799:J802 I804:J807 I744:J744 I745">
    <cfRule type="cellIs" dxfId="1049" priority="12996" operator="equal">
      <formula>"NA"</formula>
    </cfRule>
  </conditionalFormatting>
  <conditionalFormatting sqref="E73:F73 E165:F165 H165:J165 H431:J431 H798:I798 H803:I803 K856 K877 K898 K919 K961 E964:E970 I964:J970 J971:J973 K985 K1049 K1071 I1117:K1117 K1141 K1204 E792 E794:E797 E799:E802 E804:E807 E1149:E1152 E1192:E1195 E1208:E1210 E752 E755:E757 E736:F737 H744:H745 H746:J746 E784:F786 E788:E789 E854:I855 J872:J874 E875:J876 E896:J896 E897:I897 E917:J917 E918:I918 E938:J938 E939:I939 E959:J959 E961:E962 I961:J962 J963 E1024:I1025 E1047:J1047 E1048:I1048 H1115:J1115 H1116:I1116 I1120:J1127 J1128 E1139:J1139 E1320:I1320 E1326:J1326 E1343:I1344 E1348:I1348 E1352:I1352 E1355:I1355 E1366:I1366 E1392:H1393">
    <cfRule type="cellIs" dxfId="1050" priority="12995" operator="equal">
      <formula>"NA"</formula>
    </cfRule>
  </conditionalFormatting>
  <conditionalFormatting sqref="E73:F73">
    <cfRule type="cellIs" dxfId="1051" priority="10186" operator="equal">
      <formula>"NA"</formula>
    </cfRule>
    <cfRule type="cellIs" dxfId="1052" priority="10185" operator="equal">
      <formula>"NA"</formula>
    </cfRule>
    <cfRule type="cellIs" dxfId="1053" priority="10189" operator="equal">
      <formula>"NA"</formula>
    </cfRule>
    <cfRule type="cellIs" dxfId="1054" priority="10190" operator="equal">
      <formula>"NA"</formula>
    </cfRule>
  </conditionalFormatting>
  <conditionalFormatting sqref="E165:F165 E166:E167">
    <cfRule type="cellIs" dxfId="1055" priority="10129" operator="equal">
      <formula>"NA"</formula>
    </cfRule>
    <cfRule type="cellIs" dxfId="1056" priority="10126" operator="equal">
      <formula>"NA"</formula>
    </cfRule>
    <cfRule type="cellIs" dxfId="1057" priority="10130" operator="equal">
      <formula>"NA"</formula>
    </cfRule>
  </conditionalFormatting>
  <conditionalFormatting sqref="E165:F165">
    <cfRule type="cellIs" dxfId="1058" priority="10128" operator="equal">
      <formula>"NA"</formula>
    </cfRule>
    <cfRule type="cellIs" dxfId="1059" priority="10132" operator="equal">
      <formula>"NA"</formula>
    </cfRule>
    <cfRule type="cellIs" dxfId="1060" priority="10127" operator="equal">
      <formula>"NA"</formula>
    </cfRule>
    <cfRule type="cellIs" dxfId="1061" priority="10131" operator="equal">
      <formula>"NA"</formula>
    </cfRule>
  </conditionalFormatting>
  <conditionalFormatting sqref="E446:F446">
    <cfRule type="cellIs" dxfId="1062" priority="11205" operator="equal">
      <formula>"NA"</formula>
    </cfRule>
    <cfRule type="cellIs" dxfId="1063" priority="11204" operator="equal">
      <formula>"NA"</formula>
    </cfRule>
    <cfRule type="cellIs" dxfId="1064" priority="11206" operator="equal">
      <formula>"NA"</formula>
    </cfRule>
    <cfRule type="cellIs" dxfId="1065" priority="10095" operator="equal">
      <formula>"NA"</formula>
    </cfRule>
    <cfRule type="cellIs" dxfId="1066" priority="10096" operator="equal">
      <formula>"NA"</formula>
    </cfRule>
    <cfRule type="cellIs" dxfId="1067" priority="11203" operator="equal">
      <formula>"NA"</formula>
    </cfRule>
  </conditionalFormatting>
  <conditionalFormatting sqref="E469:F469">
    <cfRule type="cellIs" dxfId="1068" priority="7634" operator="equal">
      <formula>"NA"</formula>
    </cfRule>
    <cfRule type="cellIs" dxfId="1069" priority="7632" operator="equal">
      <formula>"NA"</formula>
    </cfRule>
    <cfRule type="cellIs" dxfId="1070" priority="7631" operator="equal">
      <formula>"NA"</formula>
    </cfRule>
    <cfRule type="cellIs" dxfId="1071" priority="7601" operator="equal">
      <formula>"NA"</formula>
    </cfRule>
    <cfRule type="cellIs" dxfId="1072" priority="7602" operator="equal">
      <formula>"NA"</formula>
    </cfRule>
    <cfRule type="cellIs" dxfId="1073" priority="7633" operator="equal">
      <formula>"NA"</formula>
    </cfRule>
  </conditionalFormatting>
  <conditionalFormatting sqref="E492:F492">
    <cfRule type="cellIs" dxfId="1074" priority="7559" operator="equal">
      <formula>"NA"</formula>
    </cfRule>
    <cfRule type="cellIs" dxfId="1075" priority="7562" operator="equal">
      <formula>"NA"</formula>
    </cfRule>
    <cfRule type="cellIs" dxfId="1076" priority="7561" operator="equal">
      <formula>"NA"</formula>
    </cfRule>
    <cfRule type="cellIs" dxfId="1077" priority="7560" operator="equal">
      <formula>"NA"</formula>
    </cfRule>
  </conditionalFormatting>
  <conditionalFormatting sqref="E515:F515">
    <cfRule type="cellIs" dxfId="1078" priority="7487" operator="equal">
      <formula>"NA"</formula>
    </cfRule>
    <cfRule type="cellIs" dxfId="1079" priority="7490" operator="equal">
      <formula>"NA"</formula>
    </cfRule>
    <cfRule type="cellIs" dxfId="1080" priority="7489" operator="equal">
      <formula>"NA"</formula>
    </cfRule>
    <cfRule type="cellIs" dxfId="1081" priority="7488" operator="equal">
      <formula>"NA"</formula>
    </cfRule>
  </conditionalFormatting>
  <conditionalFormatting sqref="E538:F538">
    <cfRule type="cellIs" dxfId="1082" priority="7415" operator="equal">
      <formula>"NA"</formula>
    </cfRule>
    <cfRule type="cellIs" dxfId="1083" priority="7416" operator="equal">
      <formula>"NA"</formula>
    </cfRule>
    <cfRule type="cellIs" dxfId="1084" priority="7417" operator="equal">
      <formula>"NA"</formula>
    </cfRule>
    <cfRule type="cellIs" dxfId="1085" priority="7418" operator="equal">
      <formula>"NA"</formula>
    </cfRule>
  </conditionalFormatting>
  <conditionalFormatting sqref="E841:F842">
    <cfRule type="cellIs" dxfId="1086" priority="11854" operator="equal">
      <formula>"NA"</formula>
    </cfRule>
    <cfRule type="cellIs" dxfId="1087" priority="11857" operator="equal">
      <formula>"NA"</formula>
    </cfRule>
    <cfRule type="cellIs" dxfId="1088" priority="11862" operator="equal">
      <formula>"NA"</formula>
    </cfRule>
    <cfRule type="cellIs" dxfId="1089" priority="11861" operator="equal">
      <formula>"NA"</formula>
    </cfRule>
    <cfRule type="cellIs" dxfId="1090" priority="11855" operator="equal">
      <formula>"NA"</formula>
    </cfRule>
    <cfRule type="cellIs" dxfId="1091" priority="11859" operator="equal">
      <formula>"NA"</formula>
    </cfRule>
    <cfRule type="cellIs" dxfId="1092" priority="11853" operator="equal">
      <formula>"NA"</formula>
    </cfRule>
    <cfRule type="cellIs" dxfId="1093" priority="11856" operator="equal">
      <formula>"NA"</formula>
    </cfRule>
    <cfRule type="cellIs" dxfId="1094" priority="11860" operator="equal">
      <formula>"NA"</formula>
    </cfRule>
    <cfRule type="cellIs" dxfId="1095" priority="11858" operator="equal">
      <formula>"NA"</formula>
    </cfRule>
  </conditionalFormatting>
  <conditionalFormatting sqref="E1036:F1036 I1035">
    <cfRule type="cellIs" dxfId="1096" priority="9829" operator="equal">
      <formula>"NA"</formula>
    </cfRule>
  </conditionalFormatting>
  <conditionalFormatting sqref="E1036:F1036">
    <cfRule type="cellIs" dxfId="1097" priority="9832" operator="equal">
      <formula>"NA"</formula>
    </cfRule>
    <cfRule type="cellIs" dxfId="1098" priority="9823" operator="equal">
      <formula>"NA"</formula>
    </cfRule>
    <cfRule type="cellIs" dxfId="1099" priority="9828" operator="equal">
      <formula>"NA"</formula>
    </cfRule>
    <cfRule type="cellIs" dxfId="1100" priority="9831" operator="equal">
      <formula>"NA"</formula>
    </cfRule>
    <cfRule type="cellIs" dxfId="1101" priority="9827" operator="equal">
      <formula>"NA"</formula>
    </cfRule>
    <cfRule type="cellIs" dxfId="1102" priority="9826" operator="equal">
      <formula>"NA"</formula>
    </cfRule>
    <cfRule type="cellIs" dxfId="1103" priority="9825" operator="equal">
      <formula>"NA"</formula>
    </cfRule>
    <cfRule type="cellIs" dxfId="1104" priority="9824" operator="equal">
      <formula>"NA"</formula>
    </cfRule>
  </conditionalFormatting>
  <conditionalFormatting sqref="E73:G73 E74:E75">
    <cfRule type="cellIs" dxfId="1105" priority="4363" operator="equal">
      <formula>"NA"</formula>
    </cfRule>
    <cfRule type="cellIs" dxfId="1106" priority="4364" operator="equal">
      <formula>"NA"</formula>
    </cfRule>
  </conditionalFormatting>
  <conditionalFormatting sqref="E100:G100">
    <cfRule type="cellIs" dxfId="1107" priority="2175" operator="equal">
      <formula>"NA"</formula>
    </cfRule>
    <cfRule type="cellIs" dxfId="1108" priority="2176" operator="equal">
      <formula>"NA"</formula>
    </cfRule>
  </conditionalFormatting>
  <conditionalFormatting sqref="E103:G103">
    <cfRule type="cellIs" dxfId="1109" priority="2165" operator="equal">
      <formula>"NA"</formula>
    </cfRule>
    <cfRule type="cellIs" dxfId="1110" priority="2166" operator="equal">
      <formula>"NA"</formula>
    </cfRule>
  </conditionalFormatting>
  <conditionalFormatting sqref="E114:G114">
    <cfRule type="cellIs" dxfId="1111" priority="2155" operator="equal">
      <formula>"NA"</formula>
    </cfRule>
    <cfRule type="cellIs" dxfId="1112" priority="2156" operator="equal">
      <formula>"NA"</formula>
    </cfRule>
  </conditionalFormatting>
  <conditionalFormatting sqref="E165:G165 E147:E148 E407:E408 E413:E414 E431:J431 E432:E433">
    <cfRule type="cellIs" dxfId="1113" priority="8761" operator="equal">
      <formula>"NA"</formula>
    </cfRule>
  </conditionalFormatting>
  <conditionalFormatting sqref="E165:G165 E431:G431">
    <cfRule type="cellIs" dxfId="1114" priority="8764" operator="equal">
      <formula>"NA"</formula>
    </cfRule>
    <cfRule type="cellIs" dxfId="1115" priority="8763" operator="equal">
      <formula>"NA"</formula>
    </cfRule>
  </conditionalFormatting>
  <conditionalFormatting sqref="E383:G384">
    <cfRule type="cellIs" dxfId="1116" priority="5484" operator="equal">
      <formula>"NA"</formula>
    </cfRule>
    <cfRule type="cellIs" dxfId="1117" priority="5483" operator="equal">
      <formula>"NA"</formula>
    </cfRule>
  </conditionalFormatting>
  <conditionalFormatting sqref="E735:G735">
    <cfRule type="cellIs" dxfId="1118" priority="397" operator="equal">
      <formula>"NA"</formula>
    </cfRule>
    <cfRule type="cellIs" dxfId="1119" priority="398" operator="equal">
      <formula>"NA"</formula>
    </cfRule>
  </conditionalFormatting>
  <conditionalFormatting sqref="E744:G746 E747:E748 E753:H754">
    <cfRule type="cellIs" dxfId="1120" priority="8490" operator="equal">
      <formula>"NA"</formula>
    </cfRule>
  </conditionalFormatting>
  <conditionalFormatting sqref="E841:G842">
    <cfRule type="cellIs" dxfId="1121" priority="3063" operator="equal">
      <formula>"NA"</formula>
    </cfRule>
    <cfRule type="cellIs" dxfId="1122" priority="3064" operator="equal">
      <formula>"NA"</formula>
    </cfRule>
  </conditionalFormatting>
  <conditionalFormatting sqref="E856:G856 E859:E862 F861:G861">
    <cfRule type="cellIs" dxfId="1123" priority="1710" operator="equal">
      <formula>"NA"</formula>
    </cfRule>
  </conditionalFormatting>
  <conditionalFormatting sqref="E856:G856">
    <cfRule type="cellIs" dxfId="1124" priority="1739" operator="equal">
      <formula>"NA"</formula>
    </cfRule>
    <cfRule type="cellIs" dxfId="1125" priority="1740" operator="equal">
      <formula>"NA"</formula>
    </cfRule>
  </conditionalFormatting>
  <conditionalFormatting sqref="E882:G882">
    <cfRule type="cellIs" dxfId="1126" priority="313" operator="equal">
      <formula>"NA"</formula>
    </cfRule>
    <cfRule type="cellIs" dxfId="1127" priority="314" operator="equal">
      <formula>"NA"</formula>
    </cfRule>
  </conditionalFormatting>
  <conditionalFormatting sqref="E961:G962 F964:G964">
    <cfRule type="cellIs" dxfId="1128" priority="200" operator="equal">
      <formula>"NA"</formula>
    </cfRule>
    <cfRule type="cellIs" dxfId="1129" priority="199" operator="equal">
      <formula>"NA"</formula>
    </cfRule>
  </conditionalFormatting>
  <conditionalFormatting sqref="E1026:G1026">
    <cfRule type="cellIs" dxfId="1130" priority="1472" operator="equal">
      <formula>"NA"</formula>
    </cfRule>
    <cfRule type="cellIs" dxfId="1131" priority="1471" operator="equal">
      <formula>"NA"</formula>
    </cfRule>
  </conditionalFormatting>
  <conditionalFormatting sqref="E1029:G1029">
    <cfRule type="cellIs" dxfId="1132" priority="2803" operator="equal">
      <formula>"NA"</formula>
    </cfRule>
    <cfRule type="cellIs" dxfId="1133" priority="1451" operator="equal">
      <formula>"NA"</formula>
    </cfRule>
    <cfRule type="cellIs" dxfId="1134" priority="2804" operator="equal">
      <formula>"NA"</formula>
    </cfRule>
    <cfRule type="cellIs" dxfId="1135" priority="1446" operator="equal">
      <formula>"NA"</formula>
    </cfRule>
    <cfRule type="cellIs" dxfId="1136" priority="1448" operator="equal">
      <formula>"NA"</formula>
    </cfRule>
    <cfRule type="cellIs" dxfId="1137" priority="1449" operator="equal">
      <formula>"NA"</formula>
    </cfRule>
    <cfRule type="cellIs" dxfId="1138" priority="1450" operator="equal">
      <formula>"NA"</formula>
    </cfRule>
    <cfRule type="cellIs" dxfId="1139" priority="1452" operator="equal">
      <formula>"NA"</formula>
    </cfRule>
    <cfRule type="cellIs" dxfId="1140" priority="1453" operator="equal">
      <formula>"NA"</formula>
    </cfRule>
    <cfRule type="cellIs" dxfId="1141" priority="1454" operator="equal">
      <formula>"NA"</formula>
    </cfRule>
    <cfRule type="cellIs" dxfId="1142" priority="1455" operator="equal">
      <formula>"NA"</formula>
    </cfRule>
    <cfRule type="cellIs" dxfId="1143" priority="1445" operator="equal">
      <formula>"NA"</formula>
    </cfRule>
    <cfRule type="cellIs" dxfId="1144" priority="1456" operator="equal">
      <formula>"NA"</formula>
    </cfRule>
    <cfRule type="cellIs" dxfId="1145" priority="1447" operator="equal">
      <formula>"NA"</formula>
    </cfRule>
  </conditionalFormatting>
  <conditionalFormatting sqref="E1034:G1034">
    <cfRule type="cellIs" dxfId="1146" priority="1502" operator="equal">
      <formula>"NA"</formula>
    </cfRule>
    <cfRule type="cellIs" dxfId="1147" priority="1503" operator="equal">
      <formula>"NA"</formula>
    </cfRule>
    <cfRule type="cellIs" dxfId="1148" priority="1466" operator="equal">
      <formula>"NA"</formula>
    </cfRule>
    <cfRule type="cellIs" dxfId="1149" priority="1505" operator="equal">
      <formula>"NA"</formula>
    </cfRule>
    <cfRule type="cellIs" dxfId="1150" priority="1506" operator="equal">
      <formula>"NA"</formula>
    </cfRule>
    <cfRule type="cellIs" dxfId="1151" priority="1459" operator="equal">
      <formula>"NA"</formula>
    </cfRule>
    <cfRule type="cellIs" dxfId="1152" priority="1508" operator="equal">
      <formula>"NA"</formula>
    </cfRule>
    <cfRule type="cellIs" dxfId="1153" priority="1509" operator="equal">
      <formula>"NA"</formula>
    </cfRule>
    <cfRule type="cellIs" dxfId="1154" priority="1510" operator="equal">
      <formula>"NA"</formula>
    </cfRule>
    <cfRule type="cellIs" dxfId="1155" priority="1511" operator="equal">
      <formula>"NA"</formula>
    </cfRule>
    <cfRule type="cellIs" dxfId="1156" priority="1512" operator="equal">
      <formula>"NA"</formula>
    </cfRule>
    <cfRule type="cellIs" dxfId="1157" priority="1504" operator="equal">
      <formula>"NA"</formula>
    </cfRule>
    <cfRule type="cellIs" dxfId="1158" priority="1464" operator="equal">
      <formula>"NA"</formula>
    </cfRule>
    <cfRule type="cellIs" dxfId="1159" priority="1485" operator="equal">
      <formula>"NA"</formula>
    </cfRule>
    <cfRule type="cellIs" dxfId="1160" priority="1465" operator="equal">
      <formula>"NA"</formula>
    </cfRule>
    <cfRule type="cellIs" dxfId="1161" priority="1467" operator="equal">
      <formula>"NA"</formula>
    </cfRule>
    <cfRule type="cellIs" dxfId="1162" priority="1468" operator="equal">
      <formula>"NA"</formula>
    </cfRule>
    <cfRule type="cellIs" dxfId="1163" priority="1469" operator="equal">
      <formula>"NA"</formula>
    </cfRule>
    <cfRule type="cellIs" dxfId="1164" priority="1470" operator="equal">
      <formula>"NA"</formula>
    </cfRule>
    <cfRule type="cellIs" dxfId="1165" priority="1462" operator="equal">
      <formula>"NA"</formula>
    </cfRule>
    <cfRule type="cellIs" dxfId="1166" priority="1461" operator="equal">
      <formula>"NA"</formula>
    </cfRule>
    <cfRule type="cellIs" dxfId="1167" priority="1475" operator="equal">
      <formula>"NA"</formula>
    </cfRule>
    <cfRule type="cellIs" dxfId="1168" priority="1463" operator="equal">
      <formula>"NA"</formula>
    </cfRule>
    <cfRule type="cellIs" dxfId="1169" priority="1476" operator="equal">
      <formula>"NA"</formula>
    </cfRule>
    <cfRule type="cellIs" dxfId="1170" priority="1477" operator="equal">
      <formula>"NA"</formula>
    </cfRule>
    <cfRule type="cellIs" dxfId="1171" priority="1478" operator="equal">
      <formula>"NA"</formula>
    </cfRule>
    <cfRule type="cellIs" dxfId="1172" priority="1479" operator="equal">
      <formula>"NA"</formula>
    </cfRule>
    <cfRule type="cellIs" dxfId="1173" priority="1480" operator="equal">
      <formula>"NA"</formula>
    </cfRule>
    <cfRule type="cellIs" dxfId="1174" priority="1481" operator="equal">
      <formula>"NA"</formula>
    </cfRule>
    <cfRule type="cellIs" dxfId="1175" priority="1482" operator="equal">
      <formula>"NA"</formula>
    </cfRule>
    <cfRule type="cellIs" dxfId="1176" priority="1460" operator="equal">
      <formula>"NA"</formula>
    </cfRule>
    <cfRule type="cellIs" dxfId="1177" priority="1483" operator="equal">
      <formula>"NA"</formula>
    </cfRule>
    <cfRule type="cellIs" dxfId="1178" priority="1484" operator="equal">
      <formula>"NA"</formula>
    </cfRule>
    <cfRule type="cellIs" dxfId="1179" priority="1486" operator="equal">
      <formula>"NA"</formula>
    </cfRule>
    <cfRule type="cellIs" dxfId="1180" priority="1487" operator="equal">
      <formula>"NA"</formula>
    </cfRule>
    <cfRule type="cellIs" dxfId="1181" priority="1488" operator="equal">
      <formula>"NA"</formula>
    </cfRule>
    <cfRule type="cellIs" dxfId="1182" priority="1497" operator="equal">
      <formula>"NA"</formula>
    </cfRule>
    <cfRule type="cellIs" dxfId="1183" priority="1498" operator="equal">
      <formula>"NA"</formula>
    </cfRule>
    <cfRule type="cellIs" dxfId="1184" priority="1501" operator="equal">
      <formula>"NA"</formula>
    </cfRule>
    <cfRule type="cellIs" dxfId="1185" priority="1507" operator="equal">
      <formula>"NA"</formula>
    </cfRule>
  </conditionalFormatting>
  <conditionalFormatting sqref="E1035:G1035 I1035">
    <cfRule type="cellIs" dxfId="1186" priority="1424" operator="equal">
      <formula>"NA"</formula>
    </cfRule>
    <cfRule type="cellIs" dxfId="1187" priority="1425" operator="equal">
      <formula>"NA"</formula>
    </cfRule>
    <cfRule type="cellIs" dxfId="1188" priority="1426" operator="equal">
      <formula>"NA"</formula>
    </cfRule>
    <cfRule type="cellIs" dxfId="1189" priority="1427" operator="equal">
      <formula>"NA"</formula>
    </cfRule>
    <cfRule type="cellIs" dxfId="1190" priority="1428" operator="equal">
      <formula>"NA"</formula>
    </cfRule>
    <cfRule type="cellIs" dxfId="1191" priority="1429" operator="equal">
      <formula>"NA"</formula>
    </cfRule>
    <cfRule type="cellIs" dxfId="1192" priority="1430" operator="equal">
      <formula>"NA"</formula>
    </cfRule>
    <cfRule type="cellIs" dxfId="1193" priority="1431" operator="equal">
      <formula>"NA"</formula>
    </cfRule>
    <cfRule type="cellIs" dxfId="1194" priority="1432" operator="equal">
      <formula>"NA"</formula>
    </cfRule>
    <cfRule type="cellIs" dxfId="1195" priority="1433" operator="equal">
      <formula>"NA"</formula>
    </cfRule>
    <cfRule type="cellIs" dxfId="1196" priority="1434" operator="equal">
      <formula>"NA"</formula>
    </cfRule>
    <cfRule type="cellIs" dxfId="1197" priority="1435" operator="equal">
      <formula>"NA"</formula>
    </cfRule>
    <cfRule type="cellIs" dxfId="1198" priority="1436" operator="equal">
      <formula>"NA"</formula>
    </cfRule>
    <cfRule type="cellIs" dxfId="1199" priority="1437" operator="equal">
      <formula>"NA"</formula>
    </cfRule>
    <cfRule type="cellIs" dxfId="1200" priority="1438" operator="equal">
      <formula>"NA"</formula>
    </cfRule>
    <cfRule type="cellIs" dxfId="1201" priority="1439" operator="equal">
      <formula>"NA"</formula>
    </cfRule>
    <cfRule type="cellIs" dxfId="1202" priority="1443" operator="equal">
      <formula>"NA"</formula>
    </cfRule>
    <cfRule type="cellIs" dxfId="1203" priority="1444" operator="equal">
      <formula>"NA"</formula>
    </cfRule>
    <cfRule type="cellIs" dxfId="1204" priority="1409" operator="equal">
      <formula>"NA"</formula>
    </cfRule>
    <cfRule type="cellIs" dxfId="1205" priority="1440" operator="equal">
      <formula>"NA"</formula>
    </cfRule>
    <cfRule type="cellIs" dxfId="1206" priority="1399" operator="equal">
      <formula>"NA"</formula>
    </cfRule>
    <cfRule type="cellIs" dxfId="1207" priority="1400" operator="equal">
      <formula>"NA"</formula>
    </cfRule>
    <cfRule type="cellIs" dxfId="1208" priority="1401" operator="equal">
      <formula>"NA"</formula>
    </cfRule>
    <cfRule type="cellIs" dxfId="1209" priority="1402" operator="equal">
      <formula>"NA"</formula>
    </cfRule>
    <cfRule type="cellIs" dxfId="1210" priority="1403" operator="equal">
      <formula>"NA"</formula>
    </cfRule>
    <cfRule type="cellIs" dxfId="1211" priority="1404" operator="equal">
      <formula>"NA"</formula>
    </cfRule>
    <cfRule type="cellIs" dxfId="1212" priority="1405" operator="equal">
      <formula>"NA"</formula>
    </cfRule>
    <cfRule type="cellIs" dxfId="1213" priority="1406" operator="equal">
      <formula>"NA"</formula>
    </cfRule>
    <cfRule type="cellIs" dxfId="1214" priority="1407" operator="equal">
      <formula>"NA"</formula>
    </cfRule>
    <cfRule type="cellIs" dxfId="1215" priority="1408" operator="equal">
      <formula>"NA"</formula>
    </cfRule>
    <cfRule type="cellIs" dxfId="1216" priority="1410" operator="equal">
      <formula>"NA"</formula>
    </cfRule>
    <cfRule type="cellIs" dxfId="1217" priority="1411" operator="equal">
      <formula>"NA"</formula>
    </cfRule>
    <cfRule type="cellIs" dxfId="1218" priority="1412" operator="equal">
      <formula>"NA"</formula>
    </cfRule>
    <cfRule type="cellIs" dxfId="1219" priority="1413" operator="equal">
      <formula>"NA"</formula>
    </cfRule>
    <cfRule type="cellIs" dxfId="1220" priority="1414" operator="equal">
      <formula>"NA"</formula>
    </cfRule>
    <cfRule type="cellIs" dxfId="1221" priority="1415" operator="equal">
      <formula>"NA"</formula>
    </cfRule>
    <cfRule type="cellIs" dxfId="1222" priority="1416" operator="equal">
      <formula>"NA"</formula>
    </cfRule>
    <cfRule type="cellIs" dxfId="1223" priority="1417" operator="equal">
      <formula>"NA"</formula>
    </cfRule>
    <cfRule type="cellIs" dxfId="1224" priority="1418" operator="equal">
      <formula>"NA"</formula>
    </cfRule>
    <cfRule type="cellIs" dxfId="1225" priority="1419" operator="equal">
      <formula>"NA"</formula>
    </cfRule>
    <cfRule type="cellIs" dxfId="1226" priority="1420" operator="equal">
      <formula>"NA"</formula>
    </cfRule>
    <cfRule type="cellIs" dxfId="1227" priority="1421" operator="equal">
      <formula>"NA"</formula>
    </cfRule>
    <cfRule type="cellIs" dxfId="1228" priority="1422" operator="equal">
      <formula>"NA"</formula>
    </cfRule>
    <cfRule type="cellIs" dxfId="1229" priority="1423" operator="equal">
      <formula>"NA"</formula>
    </cfRule>
  </conditionalFormatting>
  <conditionalFormatting sqref="E1051:G1051">
    <cfRule type="cellIs" dxfId="1230" priority="129" operator="equal">
      <formula>"NA"</formula>
    </cfRule>
    <cfRule type="cellIs" dxfId="1231" priority="132" operator="equal">
      <formula>"NA"</formula>
    </cfRule>
    <cfRule type="cellIs" dxfId="1232" priority="131" operator="equal">
      <formula>"NA"</formula>
    </cfRule>
    <cfRule type="cellIs" dxfId="1233" priority="130" operator="equal">
      <formula>"NA"</formula>
    </cfRule>
  </conditionalFormatting>
  <conditionalFormatting sqref="E1054:G1057">
    <cfRule type="cellIs" dxfId="1234" priority="154" operator="equal">
      <formula>"NA"</formula>
    </cfRule>
    <cfRule type="cellIs" dxfId="1235" priority="153" operator="equal">
      <formula>"NA"</formula>
    </cfRule>
    <cfRule type="cellIs" dxfId="1236" priority="152" operator="equal">
      <formula>"NA"</formula>
    </cfRule>
    <cfRule type="cellIs" dxfId="1237" priority="151" operator="equal">
      <formula>"NA"</formula>
    </cfRule>
  </conditionalFormatting>
  <conditionalFormatting sqref="E1073:G1073">
    <cfRule type="cellIs" dxfId="1238" priority="124" operator="equal">
      <formula>"NA"</formula>
    </cfRule>
    <cfRule type="cellIs" dxfId="1239" priority="121" operator="equal">
      <formula>"NA"</formula>
    </cfRule>
    <cfRule type="cellIs" dxfId="1240" priority="122" operator="equal">
      <formula>"NA"</formula>
    </cfRule>
    <cfRule type="cellIs" dxfId="1241" priority="123" operator="equal">
      <formula>"NA"</formula>
    </cfRule>
  </conditionalFormatting>
  <conditionalFormatting sqref="E1095:G1095">
    <cfRule type="cellIs" dxfId="1242" priority="114" operator="equal">
      <formula>"NA"</formula>
    </cfRule>
    <cfRule type="cellIs" dxfId="1243" priority="115" operator="equal">
      <formula>"NA"</formula>
    </cfRule>
    <cfRule type="cellIs" dxfId="1244" priority="116" operator="equal">
      <formula>"NA"</formula>
    </cfRule>
    <cfRule type="cellIs" dxfId="1245" priority="113" operator="equal">
      <formula>"NA"</formula>
    </cfRule>
  </conditionalFormatting>
  <conditionalFormatting sqref="E1096:G1096 E1099:E1103">
    <cfRule type="cellIs" dxfId="1246" priority="2749" operator="equal">
      <formula>"NA"</formula>
    </cfRule>
    <cfRule type="cellIs" dxfId="1247" priority="2750" operator="equal">
      <formula>"NA"</formula>
    </cfRule>
  </conditionalFormatting>
  <conditionalFormatting sqref="E1096:G1096">
    <cfRule type="cellIs" dxfId="1248" priority="2737" operator="equal">
      <formula>"NA"</formula>
    </cfRule>
    <cfRule type="cellIs" dxfId="1249" priority="1114" operator="equal">
      <formula>"NA"</formula>
    </cfRule>
    <cfRule type="cellIs" dxfId="1250" priority="1112" operator="equal">
      <formula>"NA"</formula>
    </cfRule>
    <cfRule type="cellIs" dxfId="1251" priority="1115" operator="equal">
      <formula>"NA"</formula>
    </cfRule>
    <cfRule type="cellIs" dxfId="1252" priority="2738" operator="equal">
      <formula>"NA"</formula>
    </cfRule>
    <cfRule type="cellIs" dxfId="1253" priority="1111" operator="equal">
      <formula>"NA"</formula>
    </cfRule>
    <cfRule type="cellIs" dxfId="1254" priority="1116" operator="equal">
      <formula>"NA"</formula>
    </cfRule>
    <cfRule type="cellIs" dxfId="1255" priority="1113" operator="equal">
      <formula>"NA"</formula>
    </cfRule>
  </conditionalFormatting>
  <conditionalFormatting sqref="E1115:G1117">
    <cfRule type="cellIs" dxfId="1256" priority="933" operator="equal">
      <formula>"NA"</formula>
    </cfRule>
    <cfRule type="cellIs" dxfId="1257" priority="934" operator="equal">
      <formula>"NA"</formula>
    </cfRule>
  </conditionalFormatting>
  <conditionalFormatting sqref="E1117:G1117">
    <cfRule type="cellIs" dxfId="1258" priority="870" operator="equal">
      <formula>"NA"</formula>
    </cfRule>
    <cfRule type="cellIs" dxfId="1259" priority="869" operator="equal">
      <formula>"NA"</formula>
    </cfRule>
    <cfRule type="cellIs" dxfId="1260" priority="895" operator="equal">
      <formula>"NA"</formula>
    </cfRule>
    <cfRule type="cellIs" dxfId="1261" priority="896" operator="equal">
      <formula>"NA"</formula>
    </cfRule>
  </conditionalFormatting>
  <conditionalFormatting sqref="E1119:G1119">
    <cfRule type="cellIs" dxfId="1262" priority="108" operator="equal">
      <formula>"NA"</formula>
    </cfRule>
    <cfRule type="cellIs" dxfId="1263" priority="107" operator="equal">
      <formula>"NA"</formula>
    </cfRule>
    <cfRule type="cellIs" dxfId="1264" priority="106" operator="equal">
      <formula>"NA"</formula>
    </cfRule>
    <cfRule type="cellIs" dxfId="1265" priority="105" operator="equal">
      <formula>"NA"</formula>
    </cfRule>
  </conditionalFormatting>
  <conditionalFormatting sqref="E1120:G1120 E1123:E1127 F1123:G1123">
    <cfRule type="cellIs" dxfId="1266" priority="2713" operator="equal">
      <formula>"NA"</formula>
    </cfRule>
  </conditionalFormatting>
  <conditionalFormatting sqref="E1120:G1120 F1123:G1123 E1123:E1127">
    <cfRule type="cellIs" dxfId="1267" priority="2714" operator="equal">
      <formula>"NA"</formula>
    </cfRule>
  </conditionalFormatting>
  <conditionalFormatting sqref="E1120:G1120">
    <cfRule type="cellIs" dxfId="1268" priority="893" operator="equal">
      <formula>"NA"</formula>
    </cfRule>
    <cfRule type="cellIs" dxfId="1269" priority="932" operator="equal">
      <formula>"NA"</formula>
    </cfRule>
    <cfRule type="cellIs" dxfId="1270" priority="2701" operator="equal">
      <formula>"NA"</formula>
    </cfRule>
    <cfRule type="cellIs" dxfId="1271" priority="2702" operator="equal">
      <formula>"NA"</formula>
    </cfRule>
    <cfRule type="cellIs" dxfId="1272" priority="930" operator="equal">
      <formula>"NA"</formula>
    </cfRule>
    <cfRule type="cellIs" dxfId="1273" priority="885" operator="equal">
      <formula>"NA"</formula>
    </cfRule>
    <cfRule type="cellIs" dxfId="1274" priority="884" operator="equal">
      <formula>"NA"</formula>
    </cfRule>
    <cfRule type="cellIs" dxfId="1275" priority="931" operator="equal">
      <formula>"NA"</formula>
    </cfRule>
    <cfRule type="cellIs" dxfId="1276" priority="883" operator="equal">
      <formula>"NA"</formula>
    </cfRule>
    <cfRule type="cellIs" dxfId="1277" priority="891" operator="equal">
      <formula>"NA"</formula>
    </cfRule>
    <cfRule type="cellIs" dxfId="1278" priority="886" operator="equal">
      <formula>"NA"</formula>
    </cfRule>
    <cfRule type="cellIs" dxfId="1279" priority="890" operator="equal">
      <formula>"NA"</formula>
    </cfRule>
    <cfRule type="cellIs" dxfId="1280" priority="889" operator="equal">
      <formula>"NA"</formula>
    </cfRule>
    <cfRule type="cellIs" dxfId="1281" priority="888" operator="equal">
      <formula>"NA"</formula>
    </cfRule>
    <cfRule type="cellIs" dxfId="1282" priority="887" operator="equal">
      <formula>"NA"</formula>
    </cfRule>
    <cfRule type="cellIs" dxfId="1283" priority="857" operator="equal">
      <formula>"NA"</formula>
    </cfRule>
    <cfRule type="cellIs" dxfId="1284" priority="858" operator="equal">
      <formula>"NA"</formula>
    </cfRule>
    <cfRule type="cellIs" dxfId="1285" priority="859" operator="equal">
      <formula>"NA"</formula>
    </cfRule>
    <cfRule type="cellIs" dxfId="1286" priority="860" operator="equal">
      <formula>"NA"</formula>
    </cfRule>
    <cfRule type="cellIs" dxfId="1287" priority="861" operator="equal">
      <formula>"NA"</formula>
    </cfRule>
    <cfRule type="cellIs" dxfId="1288" priority="862" operator="equal">
      <formula>"NA"</formula>
    </cfRule>
    <cfRule type="cellIs" dxfId="1289" priority="863" operator="equal">
      <formula>"NA"</formula>
    </cfRule>
    <cfRule type="cellIs" dxfId="1290" priority="864" operator="equal">
      <formula>"NA"</formula>
    </cfRule>
    <cfRule type="cellIs" dxfId="1291" priority="868" operator="equal">
      <formula>"NA"</formula>
    </cfRule>
    <cfRule type="cellIs" dxfId="1292" priority="867" operator="equal">
      <formula>"NA"</formula>
    </cfRule>
    <cfRule type="cellIs" dxfId="1293" priority="866" operator="equal">
      <formula>"NA"</formula>
    </cfRule>
    <cfRule type="cellIs" dxfId="1294" priority="921" operator="equal">
      <formula>"NA"</formula>
    </cfRule>
    <cfRule type="cellIs" dxfId="1295" priority="922" operator="equal">
      <formula>"NA"</formula>
    </cfRule>
    <cfRule type="cellIs" dxfId="1296" priority="923" operator="equal">
      <formula>"NA"</formula>
    </cfRule>
    <cfRule type="cellIs" dxfId="1297" priority="924" operator="equal">
      <formula>"NA"</formula>
    </cfRule>
    <cfRule type="cellIs" dxfId="1298" priority="892" operator="equal">
      <formula>"NA"</formula>
    </cfRule>
    <cfRule type="cellIs" dxfId="1299" priority="925" operator="equal">
      <formula>"NA"</formula>
    </cfRule>
    <cfRule type="cellIs" dxfId="1300" priority="926" operator="equal">
      <formula>"NA"</formula>
    </cfRule>
    <cfRule type="cellIs" dxfId="1301" priority="927" operator="equal">
      <formula>"NA"</formula>
    </cfRule>
    <cfRule type="cellIs" dxfId="1302" priority="928" operator="equal">
      <formula>"NA"</formula>
    </cfRule>
    <cfRule type="cellIs" dxfId="1303" priority="940" operator="equal">
      <formula>"NA"</formula>
    </cfRule>
    <cfRule type="cellIs" dxfId="1304" priority="939" operator="equal">
      <formula>"NA"</formula>
    </cfRule>
    <cfRule type="cellIs" dxfId="1305" priority="938" operator="equal">
      <formula>"NA"</formula>
    </cfRule>
    <cfRule type="cellIs" dxfId="1306" priority="937" operator="equal">
      <formula>"NA"</formula>
    </cfRule>
    <cfRule type="cellIs" dxfId="1307" priority="936" operator="equal">
      <formula>"NA"</formula>
    </cfRule>
    <cfRule type="cellIs" dxfId="1308" priority="935" operator="equal">
      <formula>"NA"</formula>
    </cfRule>
    <cfRule type="cellIs" dxfId="1309" priority="865" operator="equal">
      <formula>"NA"</formula>
    </cfRule>
    <cfRule type="cellIs" dxfId="1310" priority="929" operator="equal">
      <formula>"NA"</formula>
    </cfRule>
    <cfRule type="cellIs" dxfId="1311" priority="894" operator="equal">
      <formula>"NA"</formula>
    </cfRule>
  </conditionalFormatting>
  <conditionalFormatting sqref="E1143:G1143">
    <cfRule type="cellIs" dxfId="1312" priority="101" operator="equal">
      <formula>"NA"</formula>
    </cfRule>
    <cfRule type="cellIs" dxfId="1313" priority="102" operator="equal">
      <formula>"NA"</formula>
    </cfRule>
    <cfRule type="cellIs" dxfId="1314" priority="103" operator="equal">
      <formula>"NA"</formula>
    </cfRule>
    <cfRule type="cellIs" dxfId="1315" priority="104" operator="equal">
      <formula>"NA"</formula>
    </cfRule>
  </conditionalFormatting>
  <conditionalFormatting sqref="E1144:G1144">
    <cfRule type="cellIs" dxfId="1316" priority="11717" operator="equal">
      <formula>"NA"</formula>
    </cfRule>
    <cfRule type="cellIs" dxfId="1317" priority="7026" operator="equal">
      <formula>"NA"</formula>
    </cfRule>
    <cfRule type="cellIs" dxfId="1318" priority="7025" operator="equal">
      <formula>"NA"</formula>
    </cfRule>
    <cfRule type="cellIs" dxfId="1319" priority="11718" operator="equal">
      <formula>"NA"</formula>
    </cfRule>
    <cfRule type="cellIs" dxfId="1320" priority="7029" operator="equal">
      <formula>"NA"</formula>
    </cfRule>
    <cfRule type="cellIs" dxfId="1321" priority="7030" operator="equal">
      <formula>"NA"</formula>
    </cfRule>
    <cfRule type="cellIs" dxfId="1322" priority="11719" operator="equal">
      <formula>"NA"</formula>
    </cfRule>
    <cfRule type="cellIs" dxfId="1323" priority="11720" operator="equal">
      <formula>"NA"</formula>
    </cfRule>
    <cfRule type="cellIs" dxfId="1324" priority="11721" operator="equal">
      <formula>"NA"</formula>
    </cfRule>
    <cfRule type="cellIs" dxfId="1325" priority="11722" operator="equal">
      <formula>"NA"</formula>
    </cfRule>
  </conditionalFormatting>
  <conditionalFormatting sqref="E1190:G1190 I1190">
    <cfRule type="cellIs" dxfId="1326" priority="262" operator="equal">
      <formula>"NA"</formula>
    </cfRule>
    <cfRule type="cellIs" dxfId="1327" priority="261" operator="equal">
      <formula>"NA"</formula>
    </cfRule>
  </conditionalFormatting>
  <conditionalFormatting sqref="E1206:G1206 I1206">
    <cfRule type="cellIs" dxfId="1328" priority="93" operator="equal">
      <formula>"NA"</formula>
    </cfRule>
    <cfRule type="cellIs" dxfId="1329" priority="96" operator="equal">
      <formula>"NA"</formula>
    </cfRule>
    <cfRule type="cellIs" dxfId="1330" priority="95" operator="equal">
      <formula>"NA"</formula>
    </cfRule>
    <cfRule type="cellIs" dxfId="1331" priority="94" operator="equal">
      <formula>"NA"</formula>
    </cfRule>
  </conditionalFormatting>
  <conditionalFormatting sqref="E1228:G1230">
    <cfRule type="cellIs" dxfId="1332" priority="150" operator="equal">
      <formula>"NA"</formula>
    </cfRule>
    <cfRule type="cellIs" dxfId="1333" priority="149" operator="equal">
      <formula>"NA"</formula>
    </cfRule>
  </conditionalFormatting>
  <conditionalFormatting sqref="E1237:G1239">
    <cfRule type="cellIs" dxfId="1334" priority="2573" operator="equal">
      <formula>"NA"</formula>
    </cfRule>
    <cfRule type="cellIs" dxfId="1335" priority="2574" operator="equal">
      <formula>"NA"</formula>
    </cfRule>
  </conditionalFormatting>
  <conditionalFormatting sqref="E1295:G1295">
    <cfRule type="cellIs" dxfId="1336" priority="829" operator="equal">
      <formula>"NA"</formula>
    </cfRule>
    <cfRule type="cellIs" dxfId="1337" priority="830" operator="equal">
      <formula>"NA"</formula>
    </cfRule>
  </conditionalFormatting>
  <conditionalFormatting sqref="E73:H73">
    <cfRule type="cellIs" dxfId="1338" priority="4366" operator="equal">
      <formula>"NA"</formula>
    </cfRule>
    <cfRule type="cellIs" dxfId="1339" priority="4365" operator="equal">
      <formula>"NA"</formula>
    </cfRule>
  </conditionalFormatting>
  <conditionalFormatting sqref="E197:H197">
    <cfRule type="cellIs" dxfId="1340" priority="4206" operator="equal">
      <formula>"NA"</formula>
    </cfRule>
    <cfRule type="cellIs" dxfId="1341" priority="4205" operator="equal">
      <formula>"NA"</formula>
    </cfRule>
  </conditionalFormatting>
  <conditionalFormatting sqref="E614:H614">
    <cfRule type="cellIs" dxfId="1342" priority="11389" operator="equal">
      <formula>"NA"</formula>
    </cfRule>
    <cfRule type="cellIs" dxfId="1343" priority="11387" operator="equal">
      <formula>"NA"</formula>
    </cfRule>
    <cfRule type="cellIs" dxfId="1344" priority="11388" operator="equal">
      <formula>"NA"</formula>
    </cfRule>
    <cfRule type="cellIs" dxfId="1345" priority="11390" operator="equal">
      <formula>"NA"</formula>
    </cfRule>
  </conditionalFormatting>
  <conditionalFormatting sqref="E637:H637">
    <cfRule type="cellIs" dxfId="1346" priority="11321" operator="equal">
      <formula>"NA"</formula>
    </cfRule>
    <cfRule type="cellIs" dxfId="1347" priority="11322" operator="equal">
      <formula>"NA"</formula>
    </cfRule>
    <cfRule type="cellIs" dxfId="1348" priority="11323" operator="equal">
      <formula>"NA"</formula>
    </cfRule>
    <cfRule type="cellIs" dxfId="1349" priority="11324" operator="equal">
      <formula>"NA"</formula>
    </cfRule>
  </conditionalFormatting>
  <conditionalFormatting sqref="E660:H660">
    <cfRule type="cellIs" dxfId="1350" priority="11258" operator="equal">
      <formula>"NA"</formula>
    </cfRule>
    <cfRule type="cellIs" dxfId="1351" priority="11255" operator="equal">
      <formula>"NA"</formula>
    </cfRule>
    <cfRule type="cellIs" dxfId="1352" priority="11256" operator="equal">
      <formula>"NA"</formula>
    </cfRule>
    <cfRule type="cellIs" dxfId="1353" priority="11257" operator="equal">
      <formula>"NA"</formula>
    </cfRule>
  </conditionalFormatting>
  <conditionalFormatting sqref="E758:H760">
    <cfRule type="cellIs" dxfId="1354" priority="2030" operator="equal">
      <formula>"NA"</formula>
    </cfRule>
    <cfRule type="cellIs" dxfId="1355" priority="2029" operator="equal">
      <formula>"NA"</formula>
    </cfRule>
  </conditionalFormatting>
  <conditionalFormatting sqref="E787:H787">
    <cfRule type="cellIs" dxfId="1356" priority="3081" operator="equal">
      <formula>"NA"</formula>
    </cfRule>
    <cfRule type="cellIs" dxfId="1357" priority="3082" operator="equal">
      <formula>"NA"</formula>
    </cfRule>
  </conditionalFormatting>
  <conditionalFormatting sqref="E1349:H1351">
    <cfRule type="cellIs" dxfId="1358" priority="12176" operator="equal">
      <formula>"NA"</formula>
    </cfRule>
    <cfRule type="cellIs" dxfId="1359" priority="12175" operator="equal">
      <formula>"NA"</formula>
    </cfRule>
  </conditionalFormatting>
  <conditionalFormatting sqref="E591:I591">
    <cfRule type="cellIs" dxfId="1360" priority="11471" operator="equal">
      <formula>"NA"</formula>
    </cfRule>
    <cfRule type="cellIs" dxfId="1361" priority="11469" operator="equal">
      <formula>"NA"</formula>
    </cfRule>
    <cfRule type="cellIs" dxfId="1362" priority="11470" operator="equal">
      <formula>"NA"</formula>
    </cfRule>
    <cfRule type="cellIs" dxfId="1363" priority="11472" operator="equal">
      <formula>"NA"</formula>
    </cfRule>
  </conditionalFormatting>
  <conditionalFormatting sqref="E725:I726 G736:J736 G737:I737 G784:J785 G786:I786">
    <cfRule type="cellIs" dxfId="1364" priority="8523" operator="equal">
      <formula>"NA"</formula>
    </cfRule>
    <cfRule type="cellIs" dxfId="1365" priority="8524" operator="equal">
      <formula>"NA"</formula>
    </cfRule>
  </conditionalFormatting>
  <conditionalFormatting sqref="E866:I866">
    <cfRule type="cellIs" dxfId="1366" priority="148" operator="equal">
      <formula>"NA"</formula>
    </cfRule>
    <cfRule type="cellIs" dxfId="1367" priority="147" operator="equal">
      <formula>"NA"</formula>
    </cfRule>
  </conditionalFormatting>
  <conditionalFormatting sqref="E1036:I1036 E1105:I1114">
    <cfRule type="cellIs" dxfId="1368" priority="2848" operator="equal">
      <formula>"NA"</formula>
    </cfRule>
    <cfRule type="cellIs" dxfId="1369" priority="2847" operator="equal">
      <formula>"NA"</formula>
    </cfRule>
    <cfRule type="cellIs" dxfId="1370" priority="2846" operator="equal">
      <formula>"NA"</formula>
    </cfRule>
    <cfRule type="cellIs" dxfId="1371" priority="2845" operator="equal">
      <formula>"NA"</formula>
    </cfRule>
    <cfRule type="cellIs" dxfId="1372" priority="2844" operator="equal">
      <formula>"NA"</formula>
    </cfRule>
    <cfRule type="cellIs" dxfId="1373" priority="2843" operator="equal">
      <formula>"NA"</formula>
    </cfRule>
    <cfRule type="cellIs" dxfId="1374" priority="2841" operator="equal">
      <formula>"NA"</formula>
    </cfRule>
    <cfRule type="cellIs" dxfId="1375" priority="2814" operator="equal">
      <formula>"NA"</formula>
    </cfRule>
    <cfRule type="cellIs" dxfId="1376" priority="2830" operator="equal">
      <formula>"NA"</formula>
    </cfRule>
    <cfRule type="cellIs" dxfId="1377" priority="2837" operator="equal">
      <formula>"NA"</formula>
    </cfRule>
    <cfRule type="cellIs" dxfId="1378" priority="2836" operator="equal">
      <formula>"NA"</formula>
    </cfRule>
    <cfRule type="cellIs" dxfId="1379" priority="2835" operator="equal">
      <formula>"NA"</formula>
    </cfRule>
    <cfRule type="cellIs" dxfId="1380" priority="2834" operator="equal">
      <formula>"NA"</formula>
    </cfRule>
    <cfRule type="cellIs" dxfId="1381" priority="2833" operator="equal">
      <formula>"NA"</formula>
    </cfRule>
    <cfRule type="cellIs" dxfId="1382" priority="2809" operator="equal">
      <formula>"NA"</formula>
    </cfRule>
    <cfRule type="cellIs" dxfId="1383" priority="2810" operator="equal">
      <formula>"NA"</formula>
    </cfRule>
    <cfRule type="cellIs" dxfId="1384" priority="2811" operator="equal">
      <formula>"NA"</formula>
    </cfRule>
    <cfRule type="cellIs" dxfId="1385" priority="2812" operator="equal">
      <formula>"NA"</formula>
    </cfRule>
    <cfRule type="cellIs" dxfId="1386" priority="2829" operator="equal">
      <formula>"NA"</formula>
    </cfRule>
    <cfRule type="cellIs" dxfId="1387" priority="2828" operator="equal">
      <formula>"NA"</formula>
    </cfRule>
    <cfRule type="cellIs" dxfId="1388" priority="2827" operator="equal">
      <formula>"NA"</formula>
    </cfRule>
    <cfRule type="cellIs" dxfId="1389" priority="2826" operator="equal">
      <formula>"NA"</formula>
    </cfRule>
    <cfRule type="cellIs" dxfId="1390" priority="2825" operator="equal">
      <formula>"NA"</formula>
    </cfRule>
    <cfRule type="cellIs" dxfId="1391" priority="2832" operator="equal">
      <formula>"NA"</formula>
    </cfRule>
    <cfRule type="cellIs" dxfId="1392" priority="2820" operator="equal">
      <formula>"NA"</formula>
    </cfRule>
    <cfRule type="cellIs" dxfId="1393" priority="2819" operator="equal">
      <formula>"NA"</formula>
    </cfRule>
    <cfRule type="cellIs" dxfId="1394" priority="2817" operator="equal">
      <formula>"NA"</formula>
    </cfRule>
    <cfRule type="cellIs" dxfId="1395" priority="2816" operator="equal">
      <formula>"NA"</formula>
    </cfRule>
    <cfRule type="cellIs" dxfId="1396" priority="2815" operator="equal">
      <formula>"NA"</formula>
    </cfRule>
    <cfRule type="cellIs" dxfId="1397" priority="2813" operator="equal">
      <formula>"NA"</formula>
    </cfRule>
    <cfRule type="cellIs" dxfId="1398" priority="2818" operator="equal">
      <formula>"NA"</formula>
    </cfRule>
    <cfRule type="cellIs" dxfId="1399" priority="2876" operator="equal">
      <formula>"NA"</formula>
    </cfRule>
    <cfRule type="cellIs" dxfId="1400" priority="2877" operator="equal">
      <formula>"NA"</formula>
    </cfRule>
    <cfRule type="cellIs" dxfId="1401" priority="2878" operator="equal">
      <formula>"NA"</formula>
    </cfRule>
    <cfRule type="cellIs" dxfId="1402" priority="2879" operator="equal">
      <formula>"NA"</formula>
    </cfRule>
    <cfRule type="cellIs" dxfId="1403" priority="2880" operator="equal">
      <formula>"NA"</formula>
    </cfRule>
    <cfRule type="cellIs" dxfId="1404" priority="2881" operator="equal">
      <formula>"NA"</formula>
    </cfRule>
    <cfRule type="cellIs" dxfId="1405" priority="2882" operator="equal">
      <formula>"NA"</formula>
    </cfRule>
    <cfRule type="cellIs" dxfId="1406" priority="2883" operator="equal">
      <formula>"NA"</formula>
    </cfRule>
    <cfRule type="cellIs" dxfId="1407" priority="2884" operator="equal">
      <formula>"NA"</formula>
    </cfRule>
    <cfRule type="cellIs" dxfId="1408" priority="2838" operator="equal">
      <formula>"NA"</formula>
    </cfRule>
    <cfRule type="cellIs" dxfId="1409" priority="2875" operator="equal">
      <formula>"NA"</formula>
    </cfRule>
    <cfRule type="cellIs" dxfId="1410" priority="2874" operator="equal">
      <formula>"NA"</formula>
    </cfRule>
    <cfRule type="cellIs" dxfId="1411" priority="2873" operator="equal">
      <formula>"NA"</formula>
    </cfRule>
    <cfRule type="cellIs" dxfId="1412" priority="2854" operator="equal">
      <formula>"NA"</formula>
    </cfRule>
    <cfRule type="cellIs" dxfId="1413" priority="2853" operator="equal">
      <formula>"NA"</formula>
    </cfRule>
    <cfRule type="cellIs" dxfId="1414" priority="2852" operator="equal">
      <formula>"NA"</formula>
    </cfRule>
    <cfRule type="cellIs" dxfId="1415" priority="2851" operator="equal">
      <formula>"NA"</formula>
    </cfRule>
    <cfRule type="cellIs" dxfId="1416" priority="2850" operator="equal">
      <formula>"NA"</formula>
    </cfRule>
    <cfRule type="cellIs" dxfId="1417" priority="2849" operator="equal">
      <formula>"NA"</formula>
    </cfRule>
    <cfRule type="cellIs" dxfId="1418" priority="2831" operator="equal">
      <formula>"NA"</formula>
    </cfRule>
    <cfRule type="cellIs" dxfId="1419" priority="2842" operator="equal">
      <formula>"NA"</formula>
    </cfRule>
  </conditionalFormatting>
  <conditionalFormatting sqref="E1036:I1036">
    <cfRule type="cellIs" dxfId="1420" priority="2807" operator="equal">
      <formula>"NA"</formula>
    </cfRule>
    <cfRule type="cellIs" dxfId="1421" priority="2808" operator="equal">
      <formula>"NA"</formula>
    </cfRule>
  </conditionalFormatting>
  <conditionalFormatting sqref="E1058:I1058">
    <cfRule type="cellIs" dxfId="1422" priority="1382" operator="equal">
      <formula>"NA"</formula>
    </cfRule>
    <cfRule type="cellIs" dxfId="1423" priority="1383" operator="equal">
      <formula>"NA"</formula>
    </cfRule>
    <cfRule type="cellIs" dxfId="1424" priority="1384" operator="equal">
      <formula>"NA"</formula>
    </cfRule>
    <cfRule type="cellIs" dxfId="1425" priority="1385" operator="equal">
      <formula>"NA"</formula>
    </cfRule>
    <cfRule type="cellIs" dxfId="1426" priority="1386" operator="equal">
      <formula>"NA"</formula>
    </cfRule>
    <cfRule type="cellIs" dxfId="1427" priority="1387" operator="equal">
      <formula>"NA"</formula>
    </cfRule>
    <cfRule type="cellIs" dxfId="1428" priority="1378" operator="equal">
      <formula>"NA"</formula>
    </cfRule>
    <cfRule type="cellIs" dxfId="1429" priority="1347" operator="equal">
      <formula>"NA"</formula>
    </cfRule>
    <cfRule type="cellIs" dxfId="1430" priority="1348" operator="equal">
      <formula>"NA"</formula>
    </cfRule>
    <cfRule type="cellIs" dxfId="1431" priority="1349" operator="equal">
      <formula>"NA"</formula>
    </cfRule>
    <cfRule type="cellIs" dxfId="1432" priority="1350" operator="equal">
      <formula>"NA"</formula>
    </cfRule>
    <cfRule type="cellIs" dxfId="1433" priority="1351" operator="equal">
      <formula>"NA"</formula>
    </cfRule>
    <cfRule type="cellIs" dxfId="1434" priority="1352" operator="equal">
      <formula>"NA"</formula>
    </cfRule>
    <cfRule type="cellIs" dxfId="1435" priority="1353" operator="equal">
      <formula>"NA"</formula>
    </cfRule>
    <cfRule type="cellIs" dxfId="1436" priority="1354" operator="equal">
      <formula>"NA"</formula>
    </cfRule>
    <cfRule type="cellIs" dxfId="1437" priority="1355" operator="equal">
      <formula>"NA"</formula>
    </cfRule>
    <cfRule type="cellIs" dxfId="1438" priority="1356" operator="equal">
      <formula>"NA"</formula>
    </cfRule>
    <cfRule type="cellIs" dxfId="1439" priority="1357" operator="equal">
      <formula>"NA"</formula>
    </cfRule>
    <cfRule type="cellIs" dxfId="1440" priority="1358" operator="equal">
      <formula>"NA"</formula>
    </cfRule>
    <cfRule type="cellIs" dxfId="1441" priority="1359" operator="equal">
      <formula>"NA"</formula>
    </cfRule>
    <cfRule type="cellIs" dxfId="1442" priority="1360" operator="equal">
      <formula>"NA"</formula>
    </cfRule>
    <cfRule type="cellIs" dxfId="1443" priority="1361" operator="equal">
      <formula>"NA"</formula>
    </cfRule>
    <cfRule type="cellIs" dxfId="1444" priority="1362" operator="equal">
      <formula>"NA"</formula>
    </cfRule>
    <cfRule type="cellIs" dxfId="1445" priority="1363" operator="equal">
      <formula>"NA"</formula>
    </cfRule>
    <cfRule type="cellIs" dxfId="1446" priority="1364" operator="equal">
      <formula>"NA"</formula>
    </cfRule>
    <cfRule type="cellIs" dxfId="1447" priority="1365" operator="equal">
      <formula>"NA"</formula>
    </cfRule>
    <cfRule type="cellIs" dxfId="1448" priority="1366" operator="equal">
      <formula>"NA"</formula>
    </cfRule>
    <cfRule type="cellIs" dxfId="1449" priority="1367" operator="equal">
      <formula>"NA"</formula>
    </cfRule>
    <cfRule type="cellIs" dxfId="1450" priority="1368" operator="equal">
      <formula>"NA"</formula>
    </cfRule>
    <cfRule type="cellIs" dxfId="1451" priority="1369" operator="equal">
      <formula>"NA"</formula>
    </cfRule>
    <cfRule type="cellIs" dxfId="1452" priority="1394" operator="equal">
      <formula>"NA"</formula>
    </cfRule>
    <cfRule type="cellIs" dxfId="1453" priority="1370" operator="equal">
      <formula>"NA"</formula>
    </cfRule>
    <cfRule type="cellIs" dxfId="1454" priority="1371" operator="equal">
      <formula>"NA"</formula>
    </cfRule>
    <cfRule type="cellIs" dxfId="1455" priority="1372" operator="equal">
      <formula>"NA"</formula>
    </cfRule>
    <cfRule type="cellIs" dxfId="1456" priority="1373" operator="equal">
      <formula>"NA"</formula>
    </cfRule>
    <cfRule type="cellIs" dxfId="1457" priority="1374" operator="equal">
      <formula>"NA"</formula>
    </cfRule>
    <cfRule type="cellIs" dxfId="1458" priority="1375" operator="equal">
      <formula>"NA"</formula>
    </cfRule>
    <cfRule type="cellIs" dxfId="1459" priority="1393" operator="equal">
      <formula>"NA"</formula>
    </cfRule>
    <cfRule type="cellIs" dxfId="1460" priority="1392" operator="equal">
      <formula>"NA"</formula>
    </cfRule>
    <cfRule type="cellIs" dxfId="1461" priority="1376" operator="equal">
      <formula>"NA"</formula>
    </cfRule>
    <cfRule type="cellIs" dxfId="1462" priority="1377" operator="equal">
      <formula>"NA"</formula>
    </cfRule>
    <cfRule type="cellIs" dxfId="1463" priority="1391" operator="equal">
      <formula>"NA"</formula>
    </cfRule>
    <cfRule type="cellIs" dxfId="1464" priority="1390" operator="equal">
      <formula>"NA"</formula>
    </cfRule>
    <cfRule type="cellIs" dxfId="1465" priority="1379" operator="equal">
      <formula>"NA"</formula>
    </cfRule>
    <cfRule type="cellIs" dxfId="1466" priority="1380" operator="equal">
      <formula>"NA"</formula>
    </cfRule>
    <cfRule type="cellIs" dxfId="1467" priority="1389" operator="equal">
      <formula>"NA"</formula>
    </cfRule>
    <cfRule type="cellIs" dxfId="1468" priority="1388" operator="equal">
      <formula>"NA"</formula>
    </cfRule>
    <cfRule type="cellIs" dxfId="1469" priority="1381" operator="equal">
      <formula>"NA"</formula>
    </cfRule>
  </conditionalFormatting>
  <conditionalFormatting sqref="E1058:I1068">
    <cfRule type="cellIs" dxfId="1470" priority="1341" operator="equal">
      <formula>"NA"</formula>
    </cfRule>
    <cfRule type="cellIs" dxfId="1471" priority="1342" operator="equal">
      <formula>"NA"</formula>
    </cfRule>
  </conditionalFormatting>
  <conditionalFormatting sqref="E1059:I1068">
    <cfRule type="cellIs" dxfId="1472" priority="1323" operator="equal">
      <formula>"NA"</formula>
    </cfRule>
    <cfRule type="cellIs" dxfId="1473" priority="1322" operator="equal">
      <formula>"NA"</formula>
    </cfRule>
    <cfRule type="cellIs" dxfId="1474" priority="1321" operator="equal">
      <formula>"NA"</formula>
    </cfRule>
    <cfRule type="cellIs" dxfId="1475" priority="1291" operator="equal">
      <formula>"NA"</formula>
    </cfRule>
    <cfRule type="cellIs" dxfId="1476" priority="1292" operator="equal">
      <formula>"NA"</formula>
    </cfRule>
    <cfRule type="cellIs" dxfId="1477" priority="1293" operator="equal">
      <formula>"NA"</formula>
    </cfRule>
    <cfRule type="cellIs" dxfId="1478" priority="1294" operator="equal">
      <formula>"NA"</formula>
    </cfRule>
    <cfRule type="cellIs" dxfId="1479" priority="1320" operator="equal">
      <formula>"NA"</formula>
    </cfRule>
    <cfRule type="cellIs" dxfId="1480" priority="1296" operator="equal">
      <formula>"NA"</formula>
    </cfRule>
    <cfRule type="cellIs" dxfId="1481" priority="1297" operator="equal">
      <formula>"NA"</formula>
    </cfRule>
    <cfRule type="cellIs" dxfId="1482" priority="1298" operator="equal">
      <formula>"NA"</formula>
    </cfRule>
    <cfRule type="cellIs" dxfId="1483" priority="1299" operator="equal">
      <formula>"NA"</formula>
    </cfRule>
    <cfRule type="cellIs" dxfId="1484" priority="1300" operator="equal">
      <formula>"NA"</formula>
    </cfRule>
    <cfRule type="cellIs" dxfId="1485" priority="1313" operator="equal">
      <formula>"NA"</formula>
    </cfRule>
    <cfRule type="cellIs" dxfId="1486" priority="1314" operator="equal">
      <formula>"NA"</formula>
    </cfRule>
    <cfRule type="cellIs" dxfId="1487" priority="1315" operator="equal">
      <formula>"NA"</formula>
    </cfRule>
    <cfRule type="cellIs" dxfId="1488" priority="1316" operator="equal">
      <formula>"NA"</formula>
    </cfRule>
    <cfRule type="cellIs" dxfId="1489" priority="1317" operator="equal">
      <formula>"NA"</formula>
    </cfRule>
    <cfRule type="cellIs" dxfId="1490" priority="1326" operator="equal">
      <formula>"NA"</formula>
    </cfRule>
    <cfRule type="cellIs" dxfId="1491" priority="1302" operator="equal">
      <formula>"NA"</formula>
    </cfRule>
    <cfRule type="cellIs" dxfId="1492" priority="1318" operator="equal">
      <formula>"NA"</formula>
    </cfRule>
    <cfRule type="cellIs" dxfId="1493" priority="1335" operator="equal">
      <formula>"NA"</formula>
    </cfRule>
    <cfRule type="cellIs" dxfId="1494" priority="1340" operator="equal">
      <formula>"NA"</formula>
    </cfRule>
    <cfRule type="cellIs" dxfId="1495" priority="1339" operator="equal">
      <formula>"NA"</formula>
    </cfRule>
    <cfRule type="cellIs" dxfId="1496" priority="1338" operator="equal">
      <formula>"NA"</formula>
    </cfRule>
    <cfRule type="cellIs" dxfId="1497" priority="1319" operator="equal">
      <formula>"NA"</formula>
    </cfRule>
    <cfRule type="cellIs" dxfId="1498" priority="1337" operator="equal">
      <formula>"NA"</formula>
    </cfRule>
    <cfRule type="cellIs" dxfId="1499" priority="1301" operator="equal">
      <formula>"NA"</formula>
    </cfRule>
    <cfRule type="cellIs" dxfId="1500" priority="1295" operator="equal">
      <formula>"NA"</formula>
    </cfRule>
    <cfRule type="cellIs" dxfId="1501" priority="1303" operator="equal">
      <formula>"NA"</formula>
    </cfRule>
    <cfRule type="cellIs" dxfId="1502" priority="1304" operator="equal">
      <formula>"NA"</formula>
    </cfRule>
    <cfRule type="cellIs" dxfId="1503" priority="1305" operator="equal">
      <formula>"NA"</formula>
    </cfRule>
    <cfRule type="cellIs" dxfId="1504" priority="1306" operator="equal">
      <formula>"NA"</formula>
    </cfRule>
    <cfRule type="cellIs" dxfId="1505" priority="1307" operator="equal">
      <formula>"NA"</formula>
    </cfRule>
    <cfRule type="cellIs" dxfId="1506" priority="1308" operator="equal">
      <formula>"NA"</formula>
    </cfRule>
    <cfRule type="cellIs" dxfId="1507" priority="1309" operator="equal">
      <formula>"NA"</formula>
    </cfRule>
    <cfRule type="cellIs" dxfId="1508" priority="1310" operator="equal">
      <formula>"NA"</formula>
    </cfRule>
    <cfRule type="cellIs" dxfId="1509" priority="1311" operator="equal">
      <formula>"NA"</formula>
    </cfRule>
    <cfRule type="cellIs" dxfId="1510" priority="1312" operator="equal">
      <formula>"NA"</formula>
    </cfRule>
    <cfRule type="cellIs" dxfId="1511" priority="1336" operator="equal">
      <formula>"NA"</formula>
    </cfRule>
    <cfRule type="cellIs" dxfId="1512" priority="1334" operator="equal">
      <formula>"NA"</formula>
    </cfRule>
    <cfRule type="cellIs" dxfId="1513" priority="1333" operator="equal">
      <formula>"NA"</formula>
    </cfRule>
    <cfRule type="cellIs" dxfId="1514" priority="1332" operator="equal">
      <formula>"NA"</formula>
    </cfRule>
    <cfRule type="cellIs" dxfId="1515" priority="1331" operator="equal">
      <formula>"NA"</formula>
    </cfRule>
    <cfRule type="cellIs" dxfId="1516" priority="1330" operator="equal">
      <formula>"NA"</formula>
    </cfRule>
    <cfRule type="cellIs" dxfId="1517" priority="1329" operator="equal">
      <formula>"NA"</formula>
    </cfRule>
    <cfRule type="cellIs" dxfId="1518" priority="1328" operator="equal">
      <formula>"NA"</formula>
    </cfRule>
    <cfRule type="cellIs" dxfId="1519" priority="1327" operator="equal">
      <formula>"NA"</formula>
    </cfRule>
    <cfRule type="cellIs" dxfId="1520" priority="1325" operator="equal">
      <formula>"NA"</formula>
    </cfRule>
    <cfRule type="cellIs" dxfId="1521" priority="1324" operator="equal">
      <formula>"NA"</formula>
    </cfRule>
  </conditionalFormatting>
  <conditionalFormatting sqref="E1059:I1070">
    <cfRule type="cellIs" dxfId="1522" priority="1344" operator="equal">
      <formula>"NA"</formula>
    </cfRule>
    <cfRule type="cellIs" dxfId="1523" priority="1343" operator="equal">
      <formula>"NA"</formula>
    </cfRule>
  </conditionalFormatting>
  <conditionalFormatting sqref="E1080:I1080">
    <cfRule type="cellIs" dxfId="1524" priority="1271" operator="equal">
      <formula>"NA"</formula>
    </cfRule>
    <cfRule type="cellIs" dxfId="1525" priority="1270" operator="equal">
      <formula>"NA"</formula>
    </cfRule>
    <cfRule type="cellIs" dxfId="1526" priority="1269" operator="equal">
      <formula>"NA"</formula>
    </cfRule>
    <cfRule type="cellIs" dxfId="1527" priority="1268" operator="equal">
      <formula>"NA"</formula>
    </cfRule>
    <cfRule type="cellIs" dxfId="1528" priority="1267" operator="equal">
      <formula>"NA"</formula>
    </cfRule>
    <cfRule type="cellIs" dxfId="1529" priority="1266" operator="equal">
      <formula>"NA"</formula>
    </cfRule>
    <cfRule type="cellIs" dxfId="1530" priority="1265" operator="equal">
      <formula>"NA"</formula>
    </cfRule>
    <cfRule type="cellIs" dxfId="1531" priority="1248" operator="equal">
      <formula>"NA"</formula>
    </cfRule>
    <cfRule type="cellIs" dxfId="1532" priority="1264" operator="equal">
      <formula>"NA"</formula>
    </cfRule>
    <cfRule type="cellIs" dxfId="1533" priority="1263" operator="equal">
      <formula>"NA"</formula>
    </cfRule>
    <cfRule type="cellIs" dxfId="1534" priority="1262" operator="equal">
      <formula>"NA"</formula>
    </cfRule>
    <cfRule type="cellIs" dxfId="1535" priority="1279" operator="equal">
      <formula>"NA"</formula>
    </cfRule>
    <cfRule type="cellIs" dxfId="1536" priority="1280" operator="equal">
      <formula>"NA"</formula>
    </cfRule>
    <cfRule type="cellIs" dxfId="1537" priority="1281" operator="equal">
      <formula>"NA"</formula>
    </cfRule>
    <cfRule type="cellIs" dxfId="1538" priority="1261" operator="equal">
      <formula>"NA"</formula>
    </cfRule>
    <cfRule type="cellIs" dxfId="1539" priority="1260" operator="equal">
      <formula>"NA"</formula>
    </cfRule>
    <cfRule type="cellIs" dxfId="1540" priority="1259" operator="equal">
      <formula>"NA"</formula>
    </cfRule>
    <cfRule type="cellIs" dxfId="1541" priority="1258" operator="equal">
      <formula>"NA"</formula>
    </cfRule>
    <cfRule type="cellIs" dxfId="1542" priority="1257" operator="equal">
      <formula>"NA"</formula>
    </cfRule>
    <cfRule type="cellIs" dxfId="1543" priority="1249" operator="equal">
      <formula>"NA"</formula>
    </cfRule>
    <cfRule type="cellIs" dxfId="1544" priority="1250" operator="equal">
      <formula>"NA"</formula>
    </cfRule>
    <cfRule type="cellIs" dxfId="1545" priority="1251" operator="equal">
      <formula>"NA"</formula>
    </cfRule>
    <cfRule type="cellIs" dxfId="1546" priority="1252" operator="equal">
      <formula>"NA"</formula>
    </cfRule>
    <cfRule type="cellIs" dxfId="1547" priority="1253" operator="equal">
      <formula>"NA"</formula>
    </cfRule>
    <cfRule type="cellIs" dxfId="1548" priority="1254" operator="equal">
      <formula>"NA"</formula>
    </cfRule>
    <cfRule type="cellIs" dxfId="1549" priority="1255" operator="equal">
      <formula>"NA"</formula>
    </cfRule>
    <cfRule type="cellIs" dxfId="1550" priority="1278" operator="equal">
      <formula>"NA"</formula>
    </cfRule>
    <cfRule type="cellIs" dxfId="1551" priority="1275" operator="equal">
      <formula>"NA"</formula>
    </cfRule>
    <cfRule type="cellIs" dxfId="1552" priority="1277" operator="equal">
      <formula>"NA"</formula>
    </cfRule>
    <cfRule type="cellIs" dxfId="1553" priority="1276" operator="equal">
      <formula>"NA"</formula>
    </cfRule>
    <cfRule type="cellIs" dxfId="1554" priority="1274" operator="equal">
      <formula>"NA"</formula>
    </cfRule>
    <cfRule type="cellIs" dxfId="1555" priority="1273" operator="equal">
      <formula>"NA"</formula>
    </cfRule>
    <cfRule type="cellIs" dxfId="1556" priority="1272" operator="equal">
      <formula>"NA"</formula>
    </cfRule>
    <cfRule type="cellIs" dxfId="1557" priority="1256" operator="equal">
      <formula>"NA"</formula>
    </cfRule>
    <cfRule type="cellIs" dxfId="1558" priority="1282" operator="equal">
      <formula>"NA"</formula>
    </cfRule>
    <cfRule type="cellIs" dxfId="1559" priority="1235" operator="equal">
      <formula>"NA"</formula>
    </cfRule>
    <cfRule type="cellIs" dxfId="1560" priority="1236" operator="equal">
      <formula>"NA"</formula>
    </cfRule>
    <cfRule type="cellIs" dxfId="1561" priority="1237" operator="equal">
      <formula>"NA"</formula>
    </cfRule>
    <cfRule type="cellIs" dxfId="1562" priority="1238" operator="equal">
      <formula>"NA"</formula>
    </cfRule>
    <cfRule type="cellIs" dxfId="1563" priority="1239" operator="equal">
      <formula>"NA"</formula>
    </cfRule>
    <cfRule type="cellIs" dxfId="1564" priority="1240" operator="equal">
      <formula>"NA"</formula>
    </cfRule>
    <cfRule type="cellIs" dxfId="1565" priority="1241" operator="equal">
      <formula>"NA"</formula>
    </cfRule>
    <cfRule type="cellIs" dxfId="1566" priority="1242" operator="equal">
      <formula>"NA"</formula>
    </cfRule>
    <cfRule type="cellIs" dxfId="1567" priority="1243" operator="equal">
      <formula>"NA"</formula>
    </cfRule>
    <cfRule type="cellIs" dxfId="1568" priority="1244" operator="equal">
      <formula>"NA"</formula>
    </cfRule>
    <cfRule type="cellIs" dxfId="1569" priority="1245" operator="equal">
      <formula>"NA"</formula>
    </cfRule>
    <cfRule type="cellIs" dxfId="1570" priority="1246" operator="equal">
      <formula>"NA"</formula>
    </cfRule>
    <cfRule type="cellIs" dxfId="1571" priority="1247" operator="equal">
      <formula>"NA"</formula>
    </cfRule>
  </conditionalFormatting>
  <conditionalFormatting sqref="E1080:I1090">
    <cfRule type="cellIs" dxfId="1572" priority="1229" operator="equal">
      <formula>"NA"</formula>
    </cfRule>
    <cfRule type="cellIs" dxfId="1573" priority="1230" operator="equal">
      <formula>"NA"</formula>
    </cfRule>
  </conditionalFormatting>
  <conditionalFormatting sqref="E1081:I1090">
    <cfRule type="cellIs" dxfId="1574" priority="1205" operator="equal">
      <formula>"NA"</formula>
    </cfRule>
    <cfRule type="cellIs" dxfId="1575" priority="1216" operator="equal">
      <formula>"NA"</formula>
    </cfRule>
    <cfRule type="cellIs" dxfId="1576" priority="1217" operator="equal">
      <formula>"NA"</formula>
    </cfRule>
    <cfRule type="cellIs" dxfId="1577" priority="1218" operator="equal">
      <formula>"NA"</formula>
    </cfRule>
    <cfRule type="cellIs" dxfId="1578" priority="1219" operator="equal">
      <formula>"NA"</formula>
    </cfRule>
    <cfRule type="cellIs" dxfId="1579" priority="1220" operator="equal">
      <formula>"NA"</formula>
    </cfRule>
    <cfRule type="cellIs" dxfId="1580" priority="1221" operator="equal">
      <formula>"NA"</formula>
    </cfRule>
    <cfRule type="cellIs" dxfId="1581" priority="1222" operator="equal">
      <formula>"NA"</formula>
    </cfRule>
    <cfRule type="cellIs" dxfId="1582" priority="1223" operator="equal">
      <formula>"NA"</formula>
    </cfRule>
    <cfRule type="cellIs" dxfId="1583" priority="1224" operator="equal">
      <formula>"NA"</formula>
    </cfRule>
    <cfRule type="cellIs" dxfId="1584" priority="1225" operator="equal">
      <formula>"NA"</formula>
    </cfRule>
    <cfRule type="cellIs" dxfId="1585" priority="1226" operator="equal">
      <formula>"NA"</formula>
    </cfRule>
    <cfRule type="cellIs" dxfId="1586" priority="1227" operator="equal">
      <formula>"NA"</formula>
    </cfRule>
    <cfRule type="cellIs" dxfId="1587" priority="1228" operator="equal">
      <formula>"NA"</formula>
    </cfRule>
    <cfRule type="cellIs" dxfId="1588" priority="1184" operator="equal">
      <formula>"NA"</formula>
    </cfRule>
    <cfRule type="cellIs" dxfId="1589" priority="1203" operator="equal">
      <formula>"NA"</formula>
    </cfRule>
    <cfRule type="cellIs" dxfId="1590" priority="1202" operator="equal">
      <formula>"NA"</formula>
    </cfRule>
    <cfRule type="cellIs" dxfId="1591" priority="1201" operator="equal">
      <formula>"NA"</formula>
    </cfRule>
    <cfRule type="cellIs" dxfId="1592" priority="1200" operator="equal">
      <formula>"NA"</formula>
    </cfRule>
    <cfRule type="cellIs" dxfId="1593" priority="1195" operator="equal">
      <formula>"NA"</formula>
    </cfRule>
    <cfRule type="cellIs" dxfId="1594" priority="1194" operator="equal">
      <formula>"NA"</formula>
    </cfRule>
    <cfRule type="cellIs" dxfId="1595" priority="1193" operator="equal">
      <formula>"NA"</formula>
    </cfRule>
    <cfRule type="cellIs" dxfId="1596" priority="1192" operator="equal">
      <formula>"NA"</formula>
    </cfRule>
    <cfRule type="cellIs" dxfId="1597" priority="1191" operator="equal">
      <formula>"NA"</formula>
    </cfRule>
    <cfRule type="cellIs" dxfId="1598" priority="1190" operator="equal">
      <formula>"NA"</formula>
    </cfRule>
    <cfRule type="cellIs" dxfId="1599" priority="1199" operator="equal">
      <formula>"NA"</formula>
    </cfRule>
    <cfRule type="cellIs" dxfId="1600" priority="1188" operator="equal">
      <formula>"NA"</formula>
    </cfRule>
    <cfRule type="cellIs" dxfId="1601" priority="1187" operator="equal">
      <formula>"NA"</formula>
    </cfRule>
    <cfRule type="cellIs" dxfId="1602" priority="1186" operator="equal">
      <formula>"NA"</formula>
    </cfRule>
    <cfRule type="cellIs" dxfId="1603" priority="1185" operator="equal">
      <formula>"NA"</formula>
    </cfRule>
    <cfRule type="cellIs" dxfId="1604" priority="1198" operator="equal">
      <formula>"NA"</formula>
    </cfRule>
    <cfRule type="cellIs" dxfId="1605" priority="1183" operator="equal">
      <formula>"NA"</formula>
    </cfRule>
    <cfRule type="cellIs" dxfId="1606" priority="1215" operator="equal">
      <formula>"NA"</formula>
    </cfRule>
    <cfRule type="cellIs" dxfId="1607" priority="1181" operator="equal">
      <formula>"NA"</formula>
    </cfRule>
    <cfRule type="cellIs" dxfId="1608" priority="1180" operator="equal">
      <formula>"NA"</formula>
    </cfRule>
    <cfRule type="cellIs" dxfId="1609" priority="1179" operator="equal">
      <formula>"NA"</formula>
    </cfRule>
    <cfRule type="cellIs" dxfId="1610" priority="1206" operator="equal">
      <formula>"NA"</formula>
    </cfRule>
    <cfRule type="cellIs" dxfId="1611" priority="1197" operator="equal">
      <formula>"NA"</formula>
    </cfRule>
    <cfRule type="cellIs" dxfId="1612" priority="1189" operator="equal">
      <formula>"NA"</formula>
    </cfRule>
    <cfRule type="cellIs" dxfId="1613" priority="1196" operator="equal">
      <formula>"NA"</formula>
    </cfRule>
    <cfRule type="cellIs" dxfId="1614" priority="1232" operator="equal">
      <formula>"NA"</formula>
    </cfRule>
    <cfRule type="cellIs" dxfId="1615" priority="1204" operator="equal">
      <formula>"NA"</formula>
    </cfRule>
    <cfRule type="cellIs" dxfId="1616" priority="1231" operator="equal">
      <formula>"NA"</formula>
    </cfRule>
    <cfRule type="cellIs" dxfId="1617" priority="1207" operator="equal">
      <formula>"NA"</formula>
    </cfRule>
    <cfRule type="cellIs" dxfId="1618" priority="1208" operator="equal">
      <formula>"NA"</formula>
    </cfRule>
    <cfRule type="cellIs" dxfId="1619" priority="1209" operator="equal">
      <formula>"NA"</formula>
    </cfRule>
    <cfRule type="cellIs" dxfId="1620" priority="1210" operator="equal">
      <formula>"NA"</formula>
    </cfRule>
    <cfRule type="cellIs" dxfId="1621" priority="1211" operator="equal">
      <formula>"NA"</formula>
    </cfRule>
    <cfRule type="cellIs" dxfId="1622" priority="1212" operator="equal">
      <formula>"NA"</formula>
    </cfRule>
    <cfRule type="cellIs" dxfId="1623" priority="1213" operator="equal">
      <formula>"NA"</formula>
    </cfRule>
    <cfRule type="cellIs" dxfId="1624" priority="1214" operator="equal">
      <formula>"NA"</formula>
    </cfRule>
    <cfRule type="cellIs" dxfId="1625" priority="1182" operator="equal">
      <formula>"NA"</formula>
    </cfRule>
  </conditionalFormatting>
  <conditionalFormatting sqref="E1104:I1104">
    <cfRule type="cellIs" dxfId="1626" priority="1142" operator="equal">
      <formula>"NA"</formula>
    </cfRule>
    <cfRule type="cellIs" dxfId="1627" priority="1143" operator="equal">
      <formula>"NA"</formula>
    </cfRule>
    <cfRule type="cellIs" dxfId="1628" priority="1144" operator="equal">
      <formula>"NA"</formula>
    </cfRule>
    <cfRule type="cellIs" dxfId="1629" priority="1145" operator="equal">
      <formula>"NA"</formula>
    </cfRule>
    <cfRule type="cellIs" dxfId="1630" priority="1146" operator="equal">
      <formula>"NA"</formula>
    </cfRule>
    <cfRule type="cellIs" dxfId="1631" priority="1147" operator="equal">
      <formula>"NA"</formula>
    </cfRule>
    <cfRule type="cellIs" dxfId="1632" priority="1148" operator="equal">
      <formula>"NA"</formula>
    </cfRule>
    <cfRule type="cellIs" dxfId="1633" priority="1149" operator="equal">
      <formula>"NA"</formula>
    </cfRule>
    <cfRule type="cellIs" dxfId="1634" priority="1150" operator="equal">
      <formula>"NA"</formula>
    </cfRule>
    <cfRule type="cellIs" dxfId="1635" priority="1151" operator="equal">
      <formula>"NA"</formula>
    </cfRule>
    <cfRule type="cellIs" dxfId="1636" priority="1152" operator="equal">
      <formula>"NA"</formula>
    </cfRule>
    <cfRule type="cellIs" dxfId="1637" priority="1153" operator="equal">
      <formula>"NA"</formula>
    </cfRule>
    <cfRule type="cellIs" dxfId="1638" priority="1154" operator="equal">
      <formula>"NA"</formula>
    </cfRule>
    <cfRule type="cellIs" dxfId="1639" priority="1155" operator="equal">
      <formula>"NA"</formula>
    </cfRule>
    <cfRule type="cellIs" dxfId="1640" priority="1156" operator="equal">
      <formula>"NA"</formula>
    </cfRule>
    <cfRule type="cellIs" dxfId="1641" priority="1157" operator="equal">
      <formula>"NA"</formula>
    </cfRule>
    <cfRule type="cellIs" dxfId="1642" priority="1158" operator="equal">
      <formula>"NA"</formula>
    </cfRule>
    <cfRule type="cellIs" dxfId="1643" priority="1159" operator="equal">
      <formula>"NA"</formula>
    </cfRule>
    <cfRule type="cellIs" dxfId="1644" priority="1160" operator="equal">
      <formula>"NA"</formula>
    </cfRule>
    <cfRule type="cellIs" dxfId="1645" priority="1161" operator="equal">
      <formula>"NA"</formula>
    </cfRule>
    <cfRule type="cellIs" dxfId="1646" priority="1162" operator="equal">
      <formula>"NA"</formula>
    </cfRule>
    <cfRule type="cellIs" dxfId="1647" priority="1163" operator="equal">
      <formula>"NA"</formula>
    </cfRule>
    <cfRule type="cellIs" dxfId="1648" priority="1164" operator="equal">
      <formula>"NA"</formula>
    </cfRule>
    <cfRule type="cellIs" dxfId="1649" priority="1165" operator="equal">
      <formula>"NA"</formula>
    </cfRule>
    <cfRule type="cellIs" dxfId="1650" priority="1166" operator="equal">
      <formula>"NA"</formula>
    </cfRule>
    <cfRule type="cellIs" dxfId="1651" priority="1167" operator="equal">
      <formula>"NA"</formula>
    </cfRule>
    <cfRule type="cellIs" dxfId="1652" priority="1168" operator="equal">
      <formula>"NA"</formula>
    </cfRule>
    <cfRule type="cellIs" dxfId="1653" priority="1169" operator="equal">
      <formula>"NA"</formula>
    </cfRule>
    <cfRule type="cellIs" dxfId="1654" priority="1170" operator="equal">
      <formula>"NA"</formula>
    </cfRule>
    <cfRule type="cellIs" dxfId="1655" priority="1171" operator="equal">
      <formula>"NA"</formula>
    </cfRule>
    <cfRule type="cellIs" dxfId="1656" priority="1172" operator="equal">
      <formula>"NA"</formula>
    </cfRule>
    <cfRule type="cellIs" dxfId="1657" priority="1140" operator="equal">
      <formula>"NA"</formula>
    </cfRule>
    <cfRule type="cellIs" dxfId="1658" priority="1125" operator="equal">
      <formula>"NA"</formula>
    </cfRule>
    <cfRule type="cellIs" dxfId="1659" priority="1126" operator="equal">
      <formula>"NA"</formula>
    </cfRule>
    <cfRule type="cellIs" dxfId="1660" priority="1127" operator="equal">
      <formula>"NA"</formula>
    </cfRule>
    <cfRule type="cellIs" dxfId="1661" priority="1128" operator="equal">
      <formula>"NA"</formula>
    </cfRule>
    <cfRule type="cellIs" dxfId="1662" priority="1129" operator="equal">
      <formula>"NA"</formula>
    </cfRule>
    <cfRule type="cellIs" dxfId="1663" priority="1130" operator="equal">
      <formula>"NA"</formula>
    </cfRule>
    <cfRule type="cellIs" dxfId="1664" priority="1131" operator="equal">
      <formula>"NA"</formula>
    </cfRule>
    <cfRule type="cellIs" dxfId="1665" priority="1132" operator="equal">
      <formula>"NA"</formula>
    </cfRule>
    <cfRule type="cellIs" dxfId="1666" priority="1133" operator="equal">
      <formula>"NA"</formula>
    </cfRule>
    <cfRule type="cellIs" dxfId="1667" priority="1134" operator="equal">
      <formula>"NA"</formula>
    </cfRule>
    <cfRule type="cellIs" dxfId="1668" priority="1135" operator="equal">
      <formula>"NA"</formula>
    </cfRule>
    <cfRule type="cellIs" dxfId="1669" priority="1136" operator="equal">
      <formula>"NA"</formula>
    </cfRule>
    <cfRule type="cellIs" dxfId="1670" priority="1137" operator="equal">
      <formula>"NA"</formula>
    </cfRule>
    <cfRule type="cellIs" dxfId="1671" priority="1138" operator="equal">
      <formula>"NA"</formula>
    </cfRule>
    <cfRule type="cellIs" dxfId="1672" priority="1139" operator="equal">
      <formula>"NA"</formula>
    </cfRule>
    <cfRule type="cellIs" dxfId="1673" priority="1141" operator="equal">
      <formula>"NA"</formula>
    </cfRule>
  </conditionalFormatting>
  <conditionalFormatting sqref="E1104:I1114">
    <cfRule type="cellIs" dxfId="1674" priority="1175" operator="equal">
      <formula>"NA"</formula>
    </cfRule>
    <cfRule type="cellIs" dxfId="1675" priority="1176" operator="equal">
      <formula>"NA"</formula>
    </cfRule>
  </conditionalFormatting>
  <conditionalFormatting sqref="E1128:I1128">
    <cfRule type="cellIs" dxfId="1676" priority="1028" operator="equal">
      <formula>"NA"</formula>
    </cfRule>
    <cfRule type="cellIs" dxfId="1677" priority="1030" operator="equal">
      <formula>"NA"</formula>
    </cfRule>
    <cfRule type="cellIs" dxfId="1678" priority="1016" operator="equal">
      <formula>"NA"</formula>
    </cfRule>
    <cfRule type="cellIs" dxfId="1679" priority="1029" operator="equal">
      <formula>"NA"</formula>
    </cfRule>
    <cfRule type="cellIs" dxfId="1680" priority="1006" operator="equal">
      <formula>"NA"</formula>
    </cfRule>
    <cfRule type="cellIs" dxfId="1681" priority="1032" operator="equal">
      <formula>"NA"</formula>
    </cfRule>
    <cfRule type="cellIs" dxfId="1682" priority="1007" operator="equal">
      <formula>"NA"</formula>
    </cfRule>
    <cfRule type="cellIs" dxfId="1683" priority="1027" operator="equal">
      <formula>"NA"</formula>
    </cfRule>
    <cfRule type="cellIs" dxfId="1684" priority="1015" operator="equal">
      <formula>"NA"</formula>
    </cfRule>
    <cfRule type="cellIs" dxfId="1685" priority="1014" operator="equal">
      <formula>"NA"</formula>
    </cfRule>
    <cfRule type="cellIs" dxfId="1686" priority="1026" operator="equal">
      <formula>"NA"</formula>
    </cfRule>
    <cfRule type="cellIs" dxfId="1687" priority="1025" operator="equal">
      <formula>"NA"</formula>
    </cfRule>
    <cfRule type="cellIs" dxfId="1688" priority="1013" operator="equal">
      <formula>"NA"</formula>
    </cfRule>
    <cfRule type="cellIs" dxfId="1689" priority="1012" operator="equal">
      <formula>"NA"</formula>
    </cfRule>
    <cfRule type="cellIs" dxfId="1690" priority="1024" operator="equal">
      <formula>"NA"</formula>
    </cfRule>
    <cfRule type="cellIs" dxfId="1691" priority="1023" operator="equal">
      <formula>"NA"</formula>
    </cfRule>
    <cfRule type="cellIs" dxfId="1692" priority="1022" operator="equal">
      <formula>"NA"</formula>
    </cfRule>
    <cfRule type="cellIs" dxfId="1693" priority="1021" operator="equal">
      <formula>"NA"</formula>
    </cfRule>
    <cfRule type="cellIs" dxfId="1694" priority="1020" operator="equal">
      <formula>"NA"</formula>
    </cfRule>
    <cfRule type="cellIs" dxfId="1695" priority="1019" operator="equal">
      <formula>"NA"</formula>
    </cfRule>
    <cfRule type="cellIs" dxfId="1696" priority="1018" operator="equal">
      <formula>"NA"</formula>
    </cfRule>
    <cfRule type="cellIs" dxfId="1697" priority="1017" operator="equal">
      <formula>"NA"</formula>
    </cfRule>
    <cfRule type="cellIs" dxfId="1698" priority="1008" operator="equal">
      <formula>"NA"</formula>
    </cfRule>
    <cfRule type="cellIs" dxfId="1699" priority="1031" operator="equal">
      <formula>"NA"</formula>
    </cfRule>
    <cfRule type="cellIs" dxfId="1700" priority="1009" operator="equal">
      <formula>"NA"</formula>
    </cfRule>
    <cfRule type="cellIs" dxfId="1701" priority="1010" operator="equal">
      <formula>"NA"</formula>
    </cfRule>
    <cfRule type="cellIs" dxfId="1702" priority="1005" operator="equal">
      <formula>"NA"</formula>
    </cfRule>
    <cfRule type="cellIs" dxfId="1703" priority="1011" operator="equal">
      <formula>"NA"</formula>
    </cfRule>
    <cfRule type="cellIs" dxfId="1704" priority="1052" operator="equal">
      <formula>"NA"</formula>
    </cfRule>
    <cfRule type="cellIs" dxfId="1705" priority="1051" operator="equal">
      <formula>"NA"</formula>
    </cfRule>
    <cfRule type="cellIs" dxfId="1706" priority="1050" operator="equal">
      <formula>"NA"</formula>
    </cfRule>
    <cfRule type="cellIs" dxfId="1707" priority="1049" operator="equal">
      <formula>"NA"</formula>
    </cfRule>
    <cfRule type="cellIs" dxfId="1708" priority="1048" operator="equal">
      <formula>"NA"</formula>
    </cfRule>
    <cfRule type="cellIs" dxfId="1709" priority="1047" operator="equal">
      <formula>"NA"</formula>
    </cfRule>
    <cfRule type="cellIs" dxfId="1710" priority="1046" operator="equal">
      <formula>"NA"</formula>
    </cfRule>
    <cfRule type="cellIs" dxfId="1711" priority="1045" operator="equal">
      <formula>"NA"</formula>
    </cfRule>
    <cfRule type="cellIs" dxfId="1712" priority="1044" operator="equal">
      <formula>"NA"</formula>
    </cfRule>
    <cfRule type="cellIs" dxfId="1713" priority="1043" operator="equal">
      <formula>"NA"</formula>
    </cfRule>
    <cfRule type="cellIs" dxfId="1714" priority="1042" operator="equal">
      <formula>"NA"</formula>
    </cfRule>
    <cfRule type="cellIs" dxfId="1715" priority="1041" operator="equal">
      <formula>"NA"</formula>
    </cfRule>
    <cfRule type="cellIs" dxfId="1716" priority="1040" operator="equal">
      <formula>"NA"</formula>
    </cfRule>
    <cfRule type="cellIs" dxfId="1717" priority="1039" operator="equal">
      <formula>"NA"</formula>
    </cfRule>
    <cfRule type="cellIs" dxfId="1718" priority="1038" operator="equal">
      <formula>"NA"</formula>
    </cfRule>
    <cfRule type="cellIs" dxfId="1719" priority="1037" operator="equal">
      <formula>"NA"</formula>
    </cfRule>
    <cfRule type="cellIs" dxfId="1720" priority="1036" operator="equal">
      <formula>"NA"</formula>
    </cfRule>
    <cfRule type="cellIs" dxfId="1721" priority="1035" operator="equal">
      <formula>"NA"</formula>
    </cfRule>
    <cfRule type="cellIs" dxfId="1722" priority="1034" operator="equal">
      <formula>"NA"</formula>
    </cfRule>
    <cfRule type="cellIs" dxfId="1723" priority="1033" operator="equal">
      <formula>"NA"</formula>
    </cfRule>
  </conditionalFormatting>
  <conditionalFormatting sqref="E1128:I1138">
    <cfRule type="cellIs" dxfId="1724" priority="999" operator="equal">
      <formula>"NA"</formula>
    </cfRule>
    <cfRule type="cellIs" dxfId="1725" priority="1000" operator="equal">
      <formula>"NA"</formula>
    </cfRule>
  </conditionalFormatting>
  <conditionalFormatting sqref="E1129:I1138">
    <cfRule type="cellIs" dxfId="1726" priority="984" operator="equal">
      <formula>"NA"</formula>
    </cfRule>
    <cfRule type="cellIs" dxfId="1727" priority="983" operator="equal">
      <formula>"NA"</formula>
    </cfRule>
    <cfRule type="cellIs" dxfId="1728" priority="968" operator="equal">
      <formula>"NA"</formula>
    </cfRule>
    <cfRule type="cellIs" dxfId="1729" priority="982" operator="equal">
      <formula>"NA"</formula>
    </cfRule>
    <cfRule type="cellIs" dxfId="1730" priority="967" operator="equal">
      <formula>"NA"</formula>
    </cfRule>
    <cfRule type="cellIs" dxfId="1731" priority="981" operator="equal">
      <formula>"NA"</formula>
    </cfRule>
    <cfRule type="cellIs" dxfId="1732" priority="966" operator="equal">
      <formula>"NA"</formula>
    </cfRule>
    <cfRule type="cellIs" dxfId="1733" priority="980" operator="equal">
      <formula>"NA"</formula>
    </cfRule>
    <cfRule type="cellIs" dxfId="1734" priority="979" operator="equal">
      <formula>"NA"</formula>
    </cfRule>
    <cfRule type="cellIs" dxfId="1735" priority="978" operator="equal">
      <formula>"NA"</formula>
    </cfRule>
    <cfRule type="cellIs" dxfId="1736" priority="965" operator="equal">
      <formula>"NA"</formula>
    </cfRule>
    <cfRule type="cellIs" dxfId="1737" priority="977" operator="equal">
      <formula>"NA"</formula>
    </cfRule>
    <cfRule type="cellIs" dxfId="1738" priority="964" operator="equal">
      <formula>"NA"</formula>
    </cfRule>
    <cfRule type="cellIs" dxfId="1739" priority="961" operator="equal">
      <formula>"NA"</formula>
    </cfRule>
    <cfRule type="cellIs" dxfId="1740" priority="969" operator="equal">
      <formula>"NA"</formula>
    </cfRule>
    <cfRule type="cellIs" dxfId="1741" priority="970" operator="equal">
      <formula>"NA"</formula>
    </cfRule>
    <cfRule type="cellIs" dxfId="1742" priority="971" operator="equal">
      <formula>"NA"</formula>
    </cfRule>
    <cfRule type="cellIs" dxfId="1743" priority="972" operator="equal">
      <formula>"NA"</formula>
    </cfRule>
    <cfRule type="cellIs" dxfId="1744" priority="973" operator="equal">
      <formula>"NA"</formula>
    </cfRule>
    <cfRule type="cellIs" dxfId="1745" priority="956" operator="equal">
      <formula>"NA"</formula>
    </cfRule>
    <cfRule type="cellIs" dxfId="1746" priority="974" operator="equal">
      <formula>"NA"</formula>
    </cfRule>
    <cfRule type="cellIs" dxfId="1747" priority="955" operator="equal">
      <formula>"NA"</formula>
    </cfRule>
    <cfRule type="cellIs" dxfId="1748" priority="1002" operator="equal">
      <formula>"NA"</formula>
    </cfRule>
    <cfRule type="cellIs" dxfId="1749" priority="975" operator="equal">
      <formula>"NA"</formula>
    </cfRule>
    <cfRule type="cellIs" dxfId="1750" priority="1001" operator="equal">
      <formula>"NA"</formula>
    </cfRule>
    <cfRule type="cellIs" dxfId="1751" priority="998" operator="equal">
      <formula>"NA"</formula>
    </cfRule>
    <cfRule type="cellIs" dxfId="1752" priority="997" operator="equal">
      <formula>"NA"</formula>
    </cfRule>
    <cfRule type="cellIs" dxfId="1753" priority="996" operator="equal">
      <formula>"NA"</formula>
    </cfRule>
    <cfRule type="cellIs" dxfId="1754" priority="995" operator="equal">
      <formula>"NA"</formula>
    </cfRule>
    <cfRule type="cellIs" dxfId="1755" priority="994" operator="equal">
      <formula>"NA"</formula>
    </cfRule>
    <cfRule type="cellIs" dxfId="1756" priority="954" operator="equal">
      <formula>"NA"</formula>
    </cfRule>
    <cfRule type="cellIs" dxfId="1757" priority="993" operator="equal">
      <formula>"NA"</formula>
    </cfRule>
    <cfRule type="cellIs" dxfId="1758" priority="992" operator="equal">
      <formula>"NA"</formula>
    </cfRule>
    <cfRule type="cellIs" dxfId="1759" priority="991" operator="equal">
      <formula>"NA"</formula>
    </cfRule>
    <cfRule type="cellIs" dxfId="1760" priority="990" operator="equal">
      <formula>"NA"</formula>
    </cfRule>
    <cfRule type="cellIs" dxfId="1761" priority="989" operator="equal">
      <formula>"NA"</formula>
    </cfRule>
    <cfRule type="cellIs" dxfId="1762" priority="988" operator="equal">
      <formula>"NA"</formula>
    </cfRule>
    <cfRule type="cellIs" dxfId="1763" priority="976" operator="equal">
      <formula>"NA"</formula>
    </cfRule>
    <cfRule type="cellIs" dxfId="1764" priority="987" operator="equal">
      <formula>"NA"</formula>
    </cfRule>
    <cfRule type="cellIs" dxfId="1765" priority="963" operator="equal">
      <formula>"NA"</formula>
    </cfRule>
    <cfRule type="cellIs" dxfId="1766" priority="962" operator="equal">
      <formula>"NA"</formula>
    </cfRule>
    <cfRule type="cellIs" dxfId="1767" priority="953" operator="equal">
      <formula>"NA"</formula>
    </cfRule>
    <cfRule type="cellIs" dxfId="1768" priority="960" operator="equal">
      <formula>"NA"</formula>
    </cfRule>
    <cfRule type="cellIs" dxfId="1769" priority="959" operator="equal">
      <formula>"NA"</formula>
    </cfRule>
    <cfRule type="cellIs" dxfId="1770" priority="958" operator="equal">
      <formula>"NA"</formula>
    </cfRule>
    <cfRule type="cellIs" dxfId="1771" priority="957" operator="equal">
      <formula>"NA"</formula>
    </cfRule>
    <cfRule type="cellIs" dxfId="1772" priority="986" operator="equal">
      <formula>"NA"</formula>
    </cfRule>
    <cfRule type="cellIs" dxfId="1773" priority="952" operator="equal">
      <formula>"NA"</formula>
    </cfRule>
    <cfRule type="cellIs" dxfId="1774" priority="951" operator="equal">
      <formula>"NA"</formula>
    </cfRule>
    <cfRule type="cellIs" dxfId="1775" priority="950" operator="equal">
      <formula>"NA"</formula>
    </cfRule>
    <cfRule type="cellIs" dxfId="1776" priority="949" operator="equal">
      <formula>"NA"</formula>
    </cfRule>
    <cfRule type="cellIs" dxfId="1777" priority="985" operator="equal">
      <formula>"NA"</formula>
    </cfRule>
  </conditionalFormatting>
  <conditionalFormatting sqref="E1153:I1184">
    <cfRule type="cellIs" dxfId="1778" priority="832" operator="equal">
      <formula>"NA"</formula>
    </cfRule>
    <cfRule type="cellIs" dxfId="1779" priority="831" operator="equal">
      <formula>"NA"</formula>
    </cfRule>
  </conditionalFormatting>
  <conditionalFormatting sqref="E838:J838">
    <cfRule type="cellIs" dxfId="1780" priority="7346" operator="equal">
      <formula>"NA"</formula>
    </cfRule>
    <cfRule type="cellIs" dxfId="1781" priority="7345" operator="equal">
      <formula>"NA"</formula>
    </cfRule>
  </conditionalFormatting>
  <conditionalFormatting sqref="E1058:J1058">
    <cfRule type="cellIs" dxfId="1782" priority="1398" operator="equal">
      <formula>"NA"</formula>
    </cfRule>
    <cfRule type="cellIs" dxfId="1783" priority="1396" operator="equal">
      <formula>"NA"</formula>
    </cfRule>
    <cfRule type="cellIs" dxfId="1784" priority="1395" operator="equal">
      <formula>"NA"</formula>
    </cfRule>
    <cfRule type="cellIs" dxfId="1785" priority="1397" operator="equal">
      <formula>"NA"</formula>
    </cfRule>
  </conditionalFormatting>
  <conditionalFormatting sqref="E1080:J1080">
    <cfRule type="cellIs" dxfId="1786" priority="1283" operator="equal">
      <formula>"NA"</formula>
    </cfRule>
    <cfRule type="cellIs" dxfId="1787" priority="1286" operator="equal">
      <formula>"NA"</formula>
    </cfRule>
    <cfRule type="cellIs" dxfId="1788" priority="1285" operator="equal">
      <formula>"NA"</formula>
    </cfRule>
    <cfRule type="cellIs" dxfId="1789" priority="1284" operator="equal">
      <formula>"NA"</formula>
    </cfRule>
  </conditionalFormatting>
  <conditionalFormatting sqref="E1104:J1104">
    <cfRule type="cellIs" dxfId="1790" priority="1177" operator="equal">
      <formula>"NA"</formula>
    </cfRule>
    <cfRule type="cellIs" dxfId="1791" priority="1174" operator="equal">
      <formula>"NA"</formula>
    </cfRule>
    <cfRule type="cellIs" dxfId="1792" priority="1173" operator="equal">
      <formula>"NA"</formula>
    </cfRule>
    <cfRule type="cellIs" dxfId="1793" priority="1178" operator="equal">
      <formula>"NA"</formula>
    </cfRule>
  </conditionalFormatting>
  <conditionalFormatting sqref="E1128:J1128">
    <cfRule type="cellIs" dxfId="1794" priority="1056" operator="equal">
      <formula>"NA"</formula>
    </cfRule>
    <cfRule type="cellIs" dxfId="1795" priority="1055" operator="equal">
      <formula>"NA"</formula>
    </cfRule>
    <cfRule type="cellIs" dxfId="1796" priority="1053" operator="equal">
      <formula>"NA"</formula>
    </cfRule>
    <cfRule type="cellIs" dxfId="1797" priority="1054" operator="equal">
      <formula>"NA"</formula>
    </cfRule>
  </conditionalFormatting>
  <conditionalFormatting sqref="E9:K9">
    <cfRule type="cellIs" dxfId="1798" priority="2232" operator="equal">
      <formula>"NA"</formula>
    </cfRule>
    <cfRule type="cellIs" dxfId="1799" priority="2231" operator="equal">
      <formula>"NA"</formula>
    </cfRule>
  </conditionalFormatting>
  <conditionalFormatting sqref="F8">
    <cfRule type="expression" dxfId="1800" priority="2234">
      <formula>$K$9=1</formula>
    </cfRule>
  </conditionalFormatting>
  <conditionalFormatting sqref="F11:F26">
    <cfRule type="expression" dxfId="1801" priority="474">
      <formula>$K$9&lt;2</formula>
    </cfRule>
  </conditionalFormatting>
  <conditionalFormatting sqref="F28:F40">
    <cfRule type="expression" dxfId="1802" priority="472">
      <formula>$K$9&lt;2</formula>
    </cfRule>
  </conditionalFormatting>
  <conditionalFormatting sqref="F43:F47">
    <cfRule type="expression" dxfId="1803" priority="722">
      <formula>$K$9&lt;2</formula>
    </cfRule>
  </conditionalFormatting>
  <conditionalFormatting sqref="F52:F57">
    <cfRule type="expression" dxfId="1804" priority="720">
      <formula>$K$9&lt;2</formula>
    </cfRule>
  </conditionalFormatting>
  <conditionalFormatting sqref="F64:F67 F70">
    <cfRule type="expression" dxfId="1805" priority="718">
      <formula>$K$9&lt;2</formula>
    </cfRule>
  </conditionalFormatting>
  <conditionalFormatting sqref="F74:F75 F78:F83 F86:F93">
    <cfRule type="expression" dxfId="1806" priority="716">
      <formula>$K$9&lt;2</formula>
    </cfRule>
  </conditionalFormatting>
  <conditionalFormatting sqref="F98:F99">
    <cfRule type="expression" dxfId="1807" priority="712">
      <formula>$K$9&lt;2</formula>
    </cfRule>
  </conditionalFormatting>
  <conditionalFormatting sqref="F101">
    <cfRule type="expression" dxfId="1808" priority="710">
      <formula>$K$9&lt;2</formula>
    </cfRule>
  </conditionalFormatting>
  <conditionalFormatting sqref="F111:F112">
    <cfRule type="expression" dxfId="1809" priority="708">
      <formula>$K$9&lt;2</formula>
    </cfRule>
  </conditionalFormatting>
  <conditionalFormatting sqref="F117:F118">
    <cfRule type="expression" dxfId="1810" priority="706">
      <formula>$K$9&lt;2</formula>
    </cfRule>
  </conditionalFormatting>
  <conditionalFormatting sqref="F123:F124">
    <cfRule type="expression" dxfId="1811" priority="704">
      <formula>$K$9&lt;2</formula>
    </cfRule>
  </conditionalFormatting>
  <conditionalFormatting sqref="F129:F130">
    <cfRule type="expression" dxfId="1812" priority="702">
      <formula>$K$9&lt;2</formula>
    </cfRule>
  </conditionalFormatting>
  <conditionalFormatting sqref="F135:F136">
    <cfRule type="expression" dxfId="1813" priority="700">
      <formula>$K$9&lt;2</formula>
    </cfRule>
  </conditionalFormatting>
  <conditionalFormatting sqref="F141:F142">
    <cfRule type="expression" dxfId="1814" priority="698">
      <formula>$K$9&lt;2</formula>
    </cfRule>
  </conditionalFormatting>
  <conditionalFormatting sqref="F147:F148">
    <cfRule type="expression" dxfId="1815" priority="696">
      <formula>$K$9&lt;2</formula>
    </cfRule>
  </conditionalFormatting>
  <conditionalFormatting sqref="F153:F154">
    <cfRule type="expression" dxfId="1816" priority="694">
      <formula>$K$9&lt;2</formula>
    </cfRule>
  </conditionalFormatting>
  <conditionalFormatting sqref="F159:F160">
    <cfRule type="expression" dxfId="1817" priority="690">
      <formula>$K$9&lt;2</formula>
    </cfRule>
  </conditionalFormatting>
  <conditionalFormatting sqref="F166:F167">
    <cfRule type="expression" dxfId="1818" priority="688">
      <formula>$K$9&lt;2</formula>
    </cfRule>
  </conditionalFormatting>
  <conditionalFormatting sqref="F172 F175:F183">
    <cfRule type="expression" dxfId="1819" priority="686">
      <formula>$K$9&lt;2</formula>
    </cfRule>
  </conditionalFormatting>
  <conditionalFormatting sqref="F190:F191">
    <cfRule type="expression" dxfId="1820" priority="683">
      <formula>$K$9&lt;2</formula>
    </cfRule>
  </conditionalFormatting>
  <conditionalFormatting sqref="F195:F196">
    <cfRule type="expression" dxfId="1821" priority="681">
      <formula>$K$9&lt;2</formula>
    </cfRule>
  </conditionalFormatting>
  <conditionalFormatting sqref="F198:F206">
    <cfRule type="expression" dxfId="1822" priority="679">
      <formula>$K$9&lt;2</formula>
    </cfRule>
  </conditionalFormatting>
  <conditionalFormatting sqref="F212:F213">
    <cfRule type="expression" dxfId="1823" priority="673">
      <formula>$K$9&lt;2</formula>
    </cfRule>
  </conditionalFormatting>
  <conditionalFormatting sqref="F215:F223">
    <cfRule type="expression" dxfId="1824" priority="671">
      <formula>$K$9&lt;2</formula>
    </cfRule>
  </conditionalFormatting>
  <conditionalFormatting sqref="F229:F230">
    <cfRule type="expression" dxfId="1825" priority="665">
      <formula>$K$9&lt;2</formula>
    </cfRule>
  </conditionalFormatting>
  <conditionalFormatting sqref="F232:F240">
    <cfRule type="expression" dxfId="1826" priority="663">
      <formula>$K$9&lt;2</formula>
    </cfRule>
  </conditionalFormatting>
  <conditionalFormatting sqref="F246:F247">
    <cfRule type="expression" dxfId="1827" priority="657">
      <formula>$K$9&lt;2</formula>
    </cfRule>
  </conditionalFormatting>
  <conditionalFormatting sqref="F249:F257">
    <cfRule type="expression" dxfId="1828" priority="655">
      <formula>$K$9&lt;2</formula>
    </cfRule>
  </conditionalFormatting>
  <conditionalFormatting sqref="F263:F264">
    <cfRule type="expression" dxfId="1829" priority="649">
      <formula>$K$9&lt;2</formula>
    </cfRule>
  </conditionalFormatting>
  <conditionalFormatting sqref="F266:F274">
    <cfRule type="expression" dxfId="1830" priority="647">
      <formula>$K$9&lt;2</formula>
    </cfRule>
  </conditionalFormatting>
  <conditionalFormatting sqref="F280:F281">
    <cfRule type="expression" dxfId="1831" priority="641">
      <formula>$K$9&lt;2</formula>
    </cfRule>
  </conditionalFormatting>
  <conditionalFormatting sqref="F283:F291">
    <cfRule type="expression" dxfId="1832" priority="639">
      <formula>$K$9&lt;2</formula>
    </cfRule>
  </conditionalFormatting>
  <conditionalFormatting sqref="F297:F298">
    <cfRule type="expression" dxfId="1833" priority="633">
      <formula>$K$9&lt;2</formula>
    </cfRule>
  </conditionalFormatting>
  <conditionalFormatting sqref="F300:F308">
    <cfRule type="expression" dxfId="1834" priority="631">
      <formula>$K$9&lt;2</formula>
    </cfRule>
  </conditionalFormatting>
  <conditionalFormatting sqref="F314:F315">
    <cfRule type="expression" dxfId="1835" priority="625">
      <formula>$K$9&lt;2</formula>
    </cfRule>
  </conditionalFormatting>
  <conditionalFormatting sqref="F317:F325">
    <cfRule type="expression" dxfId="1836" priority="623">
      <formula>$K$9&lt;2</formula>
    </cfRule>
  </conditionalFormatting>
  <conditionalFormatting sqref="F331:F332">
    <cfRule type="expression" dxfId="1837" priority="617">
      <formula>$K$9&lt;2</formula>
    </cfRule>
  </conditionalFormatting>
  <conditionalFormatting sqref="F334:F342">
    <cfRule type="expression" dxfId="1838" priority="615">
      <formula>$K$9&lt;2</formula>
    </cfRule>
  </conditionalFormatting>
  <conditionalFormatting sqref="F348:F349">
    <cfRule type="expression" dxfId="1839" priority="609">
      <formula>$K$9&lt;2</formula>
    </cfRule>
  </conditionalFormatting>
  <conditionalFormatting sqref="F351:F359">
    <cfRule type="expression" dxfId="1840" priority="607">
      <formula>$K$9&lt;2</formula>
    </cfRule>
  </conditionalFormatting>
  <conditionalFormatting sqref="F365:F366">
    <cfRule type="expression" dxfId="1841" priority="601">
      <formula>$K$9&lt;2</formula>
    </cfRule>
  </conditionalFormatting>
  <conditionalFormatting sqref="F368:F376">
    <cfRule type="expression" dxfId="1842" priority="599">
      <formula>$K$9&lt;2</formula>
    </cfRule>
  </conditionalFormatting>
  <conditionalFormatting sqref="F388:F391">
    <cfRule type="expression" dxfId="1843" priority="597">
      <formula>$K$9&lt;2</formula>
    </cfRule>
  </conditionalFormatting>
  <conditionalFormatting sqref="F395:F396">
    <cfRule type="expression" dxfId="1844" priority="595">
      <formula>$K$9&lt;2</formula>
    </cfRule>
  </conditionalFormatting>
  <conditionalFormatting sqref="F401:F402">
    <cfRule type="expression" dxfId="1845" priority="593">
      <formula>$K$9&lt;2</formula>
    </cfRule>
  </conditionalFormatting>
  <conditionalFormatting sqref="F407:F408">
    <cfRule type="expression" dxfId="1846" priority="591">
      <formula>$K$9&lt;2</formula>
    </cfRule>
  </conditionalFormatting>
  <conditionalFormatting sqref="F413:F414">
    <cfRule type="expression" dxfId="1847" priority="589">
      <formula>$K$9&lt;2</formula>
    </cfRule>
  </conditionalFormatting>
  <conditionalFormatting sqref="F419:F420">
    <cfRule type="expression" dxfId="1848" priority="587">
      <formula>$K$9&lt;2</formula>
    </cfRule>
  </conditionalFormatting>
  <conditionalFormatting sqref="F425:F426">
    <cfRule type="expression" dxfId="1849" priority="585">
      <formula>$K$9&lt;2</formula>
    </cfRule>
  </conditionalFormatting>
  <conditionalFormatting sqref="F432:F433">
    <cfRule type="expression" dxfId="1850" priority="583">
      <formula>$K$9&lt;2</formula>
    </cfRule>
  </conditionalFormatting>
  <conditionalFormatting sqref="F438:F440">
    <cfRule type="expression" dxfId="1851" priority="581">
      <formula>$K$9&lt;2</formula>
    </cfRule>
  </conditionalFormatting>
  <conditionalFormatting sqref="F446">
    <cfRule type="cellIs" dxfId="1852" priority="11201" operator="equal">
      <formula>"NA"</formula>
    </cfRule>
    <cfRule type="cellIs" dxfId="1853" priority="11202" operator="equal">
      <formula>"NA"</formula>
    </cfRule>
  </conditionalFormatting>
  <conditionalFormatting sqref="F447:F450">
    <cfRule type="expression" dxfId="1854" priority="579">
      <formula>$K$9&lt;2</formula>
    </cfRule>
  </conditionalFormatting>
  <conditionalFormatting sqref="F469">
    <cfRule type="cellIs" dxfId="1855" priority="7630" operator="equal">
      <formula>"NA"</formula>
    </cfRule>
    <cfRule type="cellIs" dxfId="1856" priority="7629" operator="equal">
      <formula>"NA"</formula>
    </cfRule>
  </conditionalFormatting>
  <conditionalFormatting sqref="F470:F473">
    <cfRule type="expression" dxfId="1857" priority="577">
      <formula>$K$9&lt;2</formula>
    </cfRule>
  </conditionalFormatting>
  <conditionalFormatting sqref="F493:F496">
    <cfRule type="expression" dxfId="1858" priority="575">
      <formula>$K$9&lt;2</formula>
    </cfRule>
  </conditionalFormatting>
  <conditionalFormatting sqref="F516:F519">
    <cfRule type="expression" dxfId="1859" priority="573">
      <formula>$K$9&lt;2</formula>
    </cfRule>
  </conditionalFormatting>
  <conditionalFormatting sqref="F539:F542">
    <cfRule type="expression" dxfId="1860" priority="571">
      <formula>$K$9&lt;2</formula>
    </cfRule>
  </conditionalFormatting>
  <conditionalFormatting sqref="F569:F572">
    <cfRule type="expression" dxfId="1861" priority="569">
      <formula>$K$9&lt;2</formula>
    </cfRule>
  </conditionalFormatting>
  <conditionalFormatting sqref="F592:F595">
    <cfRule type="expression" dxfId="1862" priority="567">
      <formula>$K$9&lt;2</formula>
    </cfRule>
  </conditionalFormatting>
  <conditionalFormatting sqref="F615:F618">
    <cfRule type="expression" dxfId="1863" priority="565">
      <formula>$K$9&lt;2</formula>
    </cfRule>
  </conditionalFormatting>
  <conditionalFormatting sqref="F638:F641">
    <cfRule type="expression" dxfId="1864" priority="563">
      <formula>$K$9&lt;2</formula>
    </cfRule>
  </conditionalFormatting>
  <conditionalFormatting sqref="F661:F664">
    <cfRule type="expression" dxfId="1865" priority="561">
      <formula>$K$9&lt;2</formula>
    </cfRule>
  </conditionalFormatting>
  <conditionalFormatting sqref="F693:F711">
    <cfRule type="expression" dxfId="1866" priority="559">
      <formula>$K$9&lt;2</formula>
    </cfRule>
  </conditionalFormatting>
  <conditionalFormatting sqref="F728:F730">
    <cfRule type="expression" dxfId="1867" priority="557">
      <formula>$K$9&lt;2</formula>
    </cfRule>
  </conditionalFormatting>
  <conditionalFormatting sqref="F747:F748 F752">
    <cfRule type="expression" dxfId="1868" priority="553">
      <formula>$K$9&lt;2</formula>
    </cfRule>
  </conditionalFormatting>
  <conditionalFormatting sqref="F755:F757">
    <cfRule type="expression" dxfId="1869" priority="551">
      <formula>$K$9&lt;2</formula>
    </cfRule>
  </conditionalFormatting>
  <conditionalFormatting sqref="F761:F762 F765">
    <cfRule type="expression" dxfId="1870" priority="549">
      <formula>$K$9&lt;2</formula>
    </cfRule>
  </conditionalFormatting>
  <conditionalFormatting sqref="F768:F770">
    <cfRule type="expression" dxfId="1871" priority="547">
      <formula>$K$9&lt;2</formula>
    </cfRule>
  </conditionalFormatting>
  <conditionalFormatting sqref="F772:F773 F775">
    <cfRule type="expression" dxfId="1872" priority="545">
      <formula>$K$9&lt;2</formula>
    </cfRule>
  </conditionalFormatting>
  <conditionalFormatting sqref="F777:F778 F780">
    <cfRule type="expression" dxfId="1873" priority="543">
      <formula>$K$9&lt;2</formula>
    </cfRule>
  </conditionalFormatting>
  <conditionalFormatting sqref="F788:F792">
    <cfRule type="expression" dxfId="1874" priority="541">
      <formula>$K$9&lt;2</formula>
    </cfRule>
  </conditionalFormatting>
  <conditionalFormatting sqref="F794:F797">
    <cfRule type="expression" dxfId="1875" priority="539">
      <formula>$K$9&lt;2</formula>
    </cfRule>
  </conditionalFormatting>
  <conditionalFormatting sqref="F799:F802">
    <cfRule type="expression" dxfId="1876" priority="537">
      <formula>$K$9&lt;2</formula>
    </cfRule>
  </conditionalFormatting>
  <conditionalFormatting sqref="F804:F807">
    <cfRule type="expression" dxfId="1877" priority="535">
      <formula>$K$9&lt;2</formula>
    </cfRule>
  </conditionalFormatting>
  <conditionalFormatting sqref="F823:F827">
    <cfRule type="expression" dxfId="1878" priority="480">
      <formula>$K$9&lt;2</formula>
    </cfRule>
  </conditionalFormatting>
  <conditionalFormatting sqref="F830:F834">
    <cfRule type="expression" dxfId="1879" priority="478">
      <formula>$K$9&lt;2</formula>
    </cfRule>
  </conditionalFormatting>
  <conditionalFormatting sqref="F858 F860 F862:F865">
    <cfRule type="expression" dxfId="1880" priority="533">
      <formula>$K$9&lt;2</formula>
    </cfRule>
  </conditionalFormatting>
  <conditionalFormatting sqref="F880:F881 F883:F886">
    <cfRule type="expression" dxfId="1881" priority="530">
      <formula>$K$9&lt;2</formula>
    </cfRule>
  </conditionalFormatting>
  <conditionalFormatting sqref="F901:F907">
    <cfRule type="expression" dxfId="1882" priority="528">
      <formula>$K$9&lt;2</formula>
    </cfRule>
  </conditionalFormatting>
  <conditionalFormatting sqref="F926:F928">
    <cfRule type="expression" dxfId="1883" priority="526">
      <formula>$K$9&lt;2</formula>
    </cfRule>
  </conditionalFormatting>
  <conditionalFormatting sqref="F946:F949">
    <cfRule type="expression" dxfId="1884" priority="524">
      <formula>$K$9&lt;2</formula>
    </cfRule>
  </conditionalFormatting>
  <conditionalFormatting sqref="F965:F970">
    <cfRule type="expression" dxfId="1885" priority="522">
      <formula>$K$9&lt;2</formula>
    </cfRule>
  </conditionalFormatting>
  <conditionalFormatting sqref="F989:F995">
    <cfRule type="expression" dxfId="1886" priority="520">
      <formula>$K$9&lt;2</formula>
    </cfRule>
  </conditionalFormatting>
  <conditionalFormatting sqref="F1074:F1079">
    <cfRule type="expression" dxfId="1887" priority="514">
      <formula>$K$9&lt;2</formula>
    </cfRule>
  </conditionalFormatting>
  <conditionalFormatting sqref="F1099:F1103">
    <cfRule type="expression" dxfId="1888" priority="512">
      <formula>$K$9&lt;2</formula>
    </cfRule>
  </conditionalFormatting>
  <conditionalFormatting sqref="F1124:F1127">
    <cfRule type="expression" dxfId="1889" priority="510">
      <formula>$K$9&lt;2</formula>
    </cfRule>
  </conditionalFormatting>
  <conditionalFormatting sqref="F1146:F1152">
    <cfRule type="expression" dxfId="1890" priority="508">
      <formula>$K$9&lt;2</formula>
    </cfRule>
  </conditionalFormatting>
  <conditionalFormatting sqref="F1191:F1195">
    <cfRule type="expression" dxfId="1891" priority="506">
      <formula>$K$9&lt;2</formula>
    </cfRule>
  </conditionalFormatting>
  <conditionalFormatting sqref="F1207:F1210">
    <cfRule type="expression" dxfId="1892" priority="504">
      <formula>$K$9&lt;2</formula>
    </cfRule>
  </conditionalFormatting>
  <conditionalFormatting sqref="F1249:F1250">
    <cfRule type="expression" dxfId="1893" priority="500">
      <formula>$K$9&lt;2</formula>
    </cfRule>
  </conditionalFormatting>
  <conditionalFormatting sqref="F1256:F1258">
    <cfRule type="expression" dxfId="1894" priority="498">
      <formula>$K$9&lt;2</formula>
    </cfRule>
  </conditionalFormatting>
  <conditionalFormatting sqref="F1270:F1274">
    <cfRule type="expression" dxfId="1895" priority="496">
      <formula>$K$9&lt;2</formula>
    </cfRule>
  </conditionalFormatting>
  <conditionalFormatting sqref="F1280:F1284">
    <cfRule type="expression" dxfId="1896" priority="494">
      <formula>$K$9&lt;2</formula>
    </cfRule>
  </conditionalFormatting>
  <conditionalFormatting sqref="F1321:F1325">
    <cfRule type="expression" dxfId="1897" priority="490">
      <formula>$K$9&lt;2</formula>
    </cfRule>
  </conditionalFormatting>
  <conditionalFormatting sqref="F1327">
    <cfRule type="expression" dxfId="1898" priority="488">
      <formula>$K$9&lt;2</formula>
    </cfRule>
  </conditionalFormatting>
  <conditionalFormatting sqref="F1328">
    <cfRule type="cellIs" dxfId="1899" priority="9881" operator="equal">
      <formula>"NA"</formula>
    </cfRule>
    <cfRule type="cellIs" dxfId="1900" priority="9885" operator="equal">
      <formula>"NA"</formula>
    </cfRule>
    <cfRule type="cellIs" dxfId="1901" priority="9886" operator="equal">
      <formula>"NA"</formula>
    </cfRule>
    <cfRule type="cellIs" dxfId="1902" priority="9887" operator="equal">
      <formula>"NA"</formula>
    </cfRule>
    <cfRule type="cellIs" dxfId="1903" priority="9888" operator="equal">
      <formula>"NA"</formula>
    </cfRule>
    <cfRule type="cellIs" dxfId="1904" priority="9889" operator="equal">
      <formula>"NA"</formula>
    </cfRule>
    <cfRule type="cellIs" dxfId="1905" priority="9890" operator="equal">
      <formula>"NA"</formula>
    </cfRule>
    <cfRule type="cellIs" dxfId="1906" priority="9909" operator="equal">
      <formula>"NA"</formula>
    </cfRule>
    <cfRule type="cellIs" dxfId="1907" priority="9910" operator="equal">
      <formula>"NA"</formula>
    </cfRule>
    <cfRule type="cellIs" dxfId="1908" priority="9913" operator="equal">
      <formula>"NA"</formula>
    </cfRule>
    <cfRule type="cellIs" dxfId="1909" priority="9914" operator="equal">
      <formula>"NA"</formula>
    </cfRule>
    <cfRule type="cellIs" dxfId="1910" priority="9915" operator="equal">
      <formula>"NA"</formula>
    </cfRule>
    <cfRule type="cellIs" dxfId="1911" priority="9916" operator="equal">
      <formula>"NA"</formula>
    </cfRule>
    <cfRule type="cellIs" dxfId="1912" priority="9917" operator="equal">
      <formula>"NA"</formula>
    </cfRule>
    <cfRule type="cellIs" dxfId="1913" priority="9918" operator="equal">
      <formula>"NA"</formula>
    </cfRule>
    <cfRule type="cellIs" dxfId="1914" priority="12183" operator="equal">
      <formula>"NA"</formula>
    </cfRule>
    <cfRule type="cellIs" dxfId="1915" priority="12184" operator="equal">
      <formula>"NA"</formula>
    </cfRule>
    <cfRule type="cellIs" dxfId="1916" priority="9882" operator="equal">
      <formula>"NA"</formula>
    </cfRule>
    <cfRule type="cellIs" dxfId="1917" priority="9857" operator="equal">
      <formula>"NA"</formula>
    </cfRule>
    <cfRule type="cellIs" dxfId="1918" priority="9858" operator="equal">
      <formula>"NA"</formula>
    </cfRule>
    <cfRule type="cellIs" dxfId="1919" priority="9859" operator="equal">
      <formula>"NA"</formula>
    </cfRule>
    <cfRule type="cellIs" dxfId="1920" priority="9860" operator="equal">
      <formula>"NA"</formula>
    </cfRule>
    <cfRule type="cellIs" dxfId="1921" priority="9861" operator="equal">
      <formula>"NA"</formula>
    </cfRule>
    <cfRule type="cellIs" dxfId="1922" priority="9862" operator="equal">
      <formula>"NA"</formula>
    </cfRule>
    <cfRule type="cellIs" dxfId="1923" priority="12177" operator="equal">
      <formula>"NA"</formula>
    </cfRule>
    <cfRule type="cellIs" dxfId="1924" priority="12178" operator="equal">
      <formula>"NA"</formula>
    </cfRule>
    <cfRule type="cellIs" dxfId="1925" priority="12179" operator="equal">
      <formula>"NA"</formula>
    </cfRule>
    <cfRule type="cellIs" dxfId="1926" priority="12180" operator="equal">
      <formula>"NA"</formula>
    </cfRule>
    <cfRule type="cellIs" dxfId="1927" priority="12181" operator="equal">
      <formula>"NA"</formula>
    </cfRule>
    <cfRule type="cellIs" dxfId="1928" priority="12182" operator="equal">
      <formula>"NA"</formula>
    </cfRule>
  </conditionalFormatting>
  <conditionalFormatting sqref="F1329:F1339">
    <cfRule type="expression" dxfId="1929" priority="486">
      <formula>$K$9&lt;2</formula>
    </cfRule>
  </conditionalFormatting>
  <conditionalFormatting sqref="F1382">
    <cfRule type="expression" dxfId="1930" priority="484">
      <formula>$K$9&lt;2</formula>
    </cfRule>
  </conditionalFormatting>
  <conditionalFormatting sqref="F1385:F1391">
    <cfRule type="expression" dxfId="1931" priority="482">
      <formula>$K$9&lt;2</formula>
    </cfRule>
  </conditionalFormatting>
  <conditionalFormatting sqref="F1395">
    <cfRule type="expression" dxfId="1932" priority="448">
      <formula>$K$9=1</formula>
    </cfRule>
  </conditionalFormatting>
  <conditionalFormatting sqref="F1415:F1416">
    <cfRule type="expression" dxfId="1933" priority="470">
      <formula>$K$9&lt;2</formula>
    </cfRule>
  </conditionalFormatting>
  <conditionalFormatting sqref="F1420:F1422">
    <cfRule type="expression" dxfId="1934" priority="468">
      <formula>$K$9&lt;2</formula>
    </cfRule>
  </conditionalFormatting>
  <conditionalFormatting sqref="F1425:F1427">
    <cfRule type="expression" dxfId="1935" priority="466">
      <formula>$K$9&lt;2</formula>
    </cfRule>
  </conditionalFormatting>
  <conditionalFormatting sqref="F1429:F1430">
    <cfRule type="expression" dxfId="1936" priority="464">
      <formula>$K$9&lt;2</formula>
    </cfRule>
  </conditionalFormatting>
  <conditionalFormatting sqref="F1433:F1436">
    <cfRule type="expression" dxfId="1937" priority="462">
      <formula>$K$9&lt;2</formula>
    </cfRule>
  </conditionalFormatting>
  <conditionalFormatting sqref="F1442:F1443">
    <cfRule type="expression" dxfId="1938" priority="460">
      <formula>$K$9&lt;2</formula>
    </cfRule>
  </conditionalFormatting>
  <conditionalFormatting sqref="F1451:F1452">
    <cfRule type="expression" dxfId="1939" priority="458">
      <formula>$K$9&lt;2</formula>
    </cfRule>
  </conditionalFormatting>
  <conditionalFormatting sqref="F1455:F1458">
    <cfRule type="expression" dxfId="1940" priority="456">
      <formula>$K$9&lt;2</formula>
    </cfRule>
  </conditionalFormatting>
  <conditionalFormatting sqref="F1461:F1464">
    <cfRule type="expression" dxfId="1941" priority="454">
      <formula>$K$9&lt;2</formula>
    </cfRule>
  </conditionalFormatting>
  <conditionalFormatting sqref="F84:G85">
    <cfRule type="cellIs" dxfId="1942" priority="245" operator="equal">
      <formula>"NA"</formula>
    </cfRule>
    <cfRule type="cellIs" dxfId="1943" priority="246" operator="equal">
      <formula>"NA"</formula>
    </cfRule>
  </conditionalFormatting>
  <conditionalFormatting sqref="F94:G94">
    <cfRule type="cellIs" dxfId="1944" priority="241" operator="equal">
      <formula>"NA"</formula>
    </cfRule>
    <cfRule type="cellIs" dxfId="1945" priority="242" operator="equal">
      <formula>"NA"</formula>
    </cfRule>
  </conditionalFormatting>
  <conditionalFormatting sqref="F100:G100 A487:G489">
    <cfRule type="cellIs" dxfId="1946" priority="8546" operator="equal">
      <formula>"NA"</formula>
    </cfRule>
    <cfRule type="cellIs" dxfId="1947" priority="8545" operator="equal">
      <formula>"NA"</formula>
    </cfRule>
  </conditionalFormatting>
  <conditionalFormatting sqref="F100:G100">
    <cfRule type="cellIs" dxfId="1948" priority="4310" operator="equal">
      <formula>"NA"</formula>
    </cfRule>
    <cfRule type="cellIs" dxfId="1949" priority="4309" operator="equal">
      <formula>"NA"</formula>
    </cfRule>
    <cfRule type="cellIs" dxfId="1950" priority="10177" operator="equal">
      <formula>"NA"</formula>
    </cfRule>
    <cfRule type="cellIs" dxfId="1951" priority="10178" operator="equal">
      <formula>"NA"</formula>
    </cfRule>
    <cfRule type="cellIs" dxfId="1952" priority="10176" operator="equal">
      <formula>"NA"</formula>
    </cfRule>
    <cfRule type="cellIs" dxfId="1953" priority="10175" operator="equal">
      <formula>"NA"</formula>
    </cfRule>
  </conditionalFormatting>
  <conditionalFormatting sqref="F102:G108">
    <cfRule type="cellIs" dxfId="1954" priority="238" operator="equal">
      <formula>"NA"</formula>
    </cfRule>
    <cfRule type="cellIs" dxfId="1955" priority="237" operator="equal">
      <formula>"NA"</formula>
    </cfRule>
  </conditionalFormatting>
  <conditionalFormatting sqref="F131:G132">
    <cfRule type="cellIs" dxfId="1956" priority="236" operator="equal">
      <formula>"NA"</formula>
    </cfRule>
    <cfRule type="cellIs" dxfId="1957" priority="235" operator="equal">
      <formula>"NA"</formula>
    </cfRule>
  </conditionalFormatting>
  <conditionalFormatting sqref="F214:G214">
    <cfRule type="cellIs" dxfId="1958" priority="676" operator="equal">
      <formula>"NA"</formula>
    </cfRule>
    <cfRule type="cellIs" dxfId="1959" priority="677" operator="equal">
      <formula>"NA"</formula>
    </cfRule>
  </conditionalFormatting>
  <conditionalFormatting sqref="F231:G231">
    <cfRule type="cellIs" dxfId="1960" priority="669" operator="equal">
      <formula>"NA"</formula>
    </cfRule>
    <cfRule type="cellIs" dxfId="1961" priority="668" operator="equal">
      <formula>"NA"</formula>
    </cfRule>
  </conditionalFormatting>
  <conditionalFormatting sqref="F248:G248">
    <cfRule type="cellIs" dxfId="1962" priority="661" operator="equal">
      <formula>"NA"</formula>
    </cfRule>
    <cfRule type="cellIs" dxfId="1963" priority="660" operator="equal">
      <formula>"NA"</formula>
    </cfRule>
  </conditionalFormatting>
  <conditionalFormatting sqref="F265:G265">
    <cfRule type="cellIs" dxfId="1964" priority="652" operator="equal">
      <formula>"NA"</formula>
    </cfRule>
    <cfRule type="cellIs" dxfId="1965" priority="653" operator="equal">
      <formula>"NA"</formula>
    </cfRule>
  </conditionalFormatting>
  <conditionalFormatting sqref="F282:G282">
    <cfRule type="cellIs" dxfId="1966" priority="644" operator="equal">
      <formula>"NA"</formula>
    </cfRule>
    <cfRule type="cellIs" dxfId="1967" priority="645" operator="equal">
      <formula>"NA"</formula>
    </cfRule>
  </conditionalFormatting>
  <conditionalFormatting sqref="F299:G299">
    <cfRule type="cellIs" dxfId="1968" priority="636" operator="equal">
      <formula>"NA"</formula>
    </cfRule>
    <cfRule type="cellIs" dxfId="1969" priority="637" operator="equal">
      <formula>"NA"</formula>
    </cfRule>
  </conditionalFormatting>
  <conditionalFormatting sqref="F316:G316">
    <cfRule type="cellIs" dxfId="1970" priority="628" operator="equal">
      <formula>"NA"</formula>
    </cfRule>
    <cfRule type="cellIs" dxfId="1971" priority="629" operator="equal">
      <formula>"NA"</formula>
    </cfRule>
  </conditionalFormatting>
  <conditionalFormatting sqref="F333:G333">
    <cfRule type="cellIs" dxfId="1972" priority="621" operator="equal">
      <formula>"NA"</formula>
    </cfRule>
    <cfRule type="cellIs" dxfId="1973" priority="620" operator="equal">
      <formula>"NA"</formula>
    </cfRule>
  </conditionalFormatting>
  <conditionalFormatting sqref="F350:G350">
    <cfRule type="cellIs" dxfId="1974" priority="613" operator="equal">
      <formula>"NA"</formula>
    </cfRule>
    <cfRule type="cellIs" dxfId="1975" priority="612" operator="equal">
      <formula>"NA"</formula>
    </cfRule>
  </conditionalFormatting>
  <conditionalFormatting sqref="F367:G367">
    <cfRule type="cellIs" dxfId="1976" priority="605" operator="equal">
      <formula>"NA"</formula>
    </cfRule>
    <cfRule type="cellIs" dxfId="1977" priority="604" operator="equal">
      <formula>"NA"</formula>
    </cfRule>
  </conditionalFormatting>
  <conditionalFormatting sqref="F492:G492">
    <cfRule type="cellIs" dxfId="1978" priority="7551" operator="equal">
      <formula>"NA"</formula>
    </cfRule>
    <cfRule type="cellIs" dxfId="1979" priority="7553" operator="equal">
      <formula>"NA"</formula>
    </cfRule>
    <cfRule type="cellIs" dxfId="1980" priority="7552" operator="equal">
      <formula>"NA"</formula>
    </cfRule>
    <cfRule type="cellIs" dxfId="1981" priority="7554" operator="equal">
      <formula>"NA"</formula>
    </cfRule>
  </conditionalFormatting>
  <conditionalFormatting sqref="F515:G515">
    <cfRule type="cellIs" dxfId="1982" priority="7479" operator="equal">
      <formula>"NA"</formula>
    </cfRule>
    <cfRule type="cellIs" dxfId="1983" priority="7481" operator="equal">
      <formula>"NA"</formula>
    </cfRule>
    <cfRule type="cellIs" dxfId="1984" priority="7482" operator="equal">
      <formula>"NA"</formula>
    </cfRule>
    <cfRule type="cellIs" dxfId="1985" priority="7480" operator="equal">
      <formula>"NA"</formula>
    </cfRule>
  </conditionalFormatting>
  <conditionalFormatting sqref="F538:G538">
    <cfRule type="cellIs" dxfId="1986" priority="7407" operator="equal">
      <formula>"NA"</formula>
    </cfRule>
    <cfRule type="cellIs" dxfId="1987" priority="7408" operator="equal">
      <formula>"NA"</formula>
    </cfRule>
    <cfRule type="cellIs" dxfId="1988" priority="7409" operator="equal">
      <formula>"NA"</formula>
    </cfRule>
    <cfRule type="cellIs" dxfId="1989" priority="7410" operator="equal">
      <formula>"NA"</formula>
    </cfRule>
  </conditionalFormatting>
  <conditionalFormatting sqref="F763:G764">
    <cfRule type="cellIs" dxfId="1990" priority="233" operator="equal">
      <formula>"NA"</formula>
    </cfRule>
    <cfRule type="cellIs" dxfId="1991" priority="232" operator="equal">
      <formula>"NA"</formula>
    </cfRule>
  </conditionalFormatting>
  <conditionalFormatting sqref="F767:G767">
    <cfRule type="cellIs" dxfId="1992" priority="231" operator="equal">
      <formula>"NA"</formula>
    </cfRule>
    <cfRule type="cellIs" dxfId="1993" priority="230" operator="equal">
      <formula>"NA"</formula>
    </cfRule>
  </conditionalFormatting>
  <conditionalFormatting sqref="F774:G774">
    <cfRule type="cellIs" dxfId="1994" priority="229" operator="equal">
      <formula>"NA"</formula>
    </cfRule>
    <cfRule type="cellIs" dxfId="1995" priority="228" operator="equal">
      <formula>"NA"</formula>
    </cfRule>
  </conditionalFormatting>
  <conditionalFormatting sqref="F779:G779">
    <cfRule type="cellIs" dxfId="1996" priority="226" operator="equal">
      <formula>"NA"</formula>
    </cfRule>
    <cfRule type="cellIs" dxfId="1997" priority="227" operator="equal">
      <formula>"NA"</formula>
    </cfRule>
  </conditionalFormatting>
  <conditionalFormatting sqref="F859:G859">
    <cfRule type="cellIs" dxfId="1998" priority="220" operator="equal">
      <formula>"NA"</formula>
    </cfRule>
    <cfRule type="cellIs" dxfId="1999" priority="223" operator="equal">
      <formula>"NA"</formula>
    </cfRule>
    <cfRule type="cellIs" dxfId="2000" priority="222" operator="equal">
      <formula>"NA"</formula>
    </cfRule>
    <cfRule type="cellIs" dxfId="2001" priority="221" operator="equal">
      <formula>"NA"</formula>
    </cfRule>
    <cfRule type="cellIs" dxfId="2002" priority="224" operator="equal">
      <formula>"NA"</formula>
    </cfRule>
    <cfRule type="cellIs" dxfId="2003" priority="225" operator="equal">
      <formula>"NA"</formula>
    </cfRule>
  </conditionalFormatting>
  <conditionalFormatting sqref="F925:G925">
    <cfRule type="cellIs" dxfId="2004" priority="195" operator="equal">
      <formula>"NA"</formula>
    </cfRule>
    <cfRule type="cellIs" dxfId="2005" priority="196" operator="equal">
      <formula>"NA"</formula>
    </cfRule>
    <cfRule type="cellIs" dxfId="2006" priority="192" operator="equal">
      <formula>"NA"</formula>
    </cfRule>
    <cfRule type="cellIs" dxfId="2007" priority="193" operator="equal">
      <formula>"NA"</formula>
    </cfRule>
    <cfRule type="cellIs" dxfId="2008" priority="191" operator="equal">
      <formula>"NA"</formula>
    </cfRule>
    <cfRule type="cellIs" dxfId="2009" priority="194" operator="equal">
      <formula>"NA"</formula>
    </cfRule>
    <cfRule type="cellIs" dxfId="2010" priority="190" operator="equal">
      <formula>"NA"</formula>
    </cfRule>
    <cfRule type="cellIs" dxfId="2011" priority="189" operator="equal">
      <formula>"NA"</formula>
    </cfRule>
    <cfRule type="cellIs" dxfId="2012" priority="188" operator="equal">
      <formula>"NA"</formula>
    </cfRule>
    <cfRule type="cellIs" dxfId="2013" priority="187" operator="equal">
      <formula>"NA"</formula>
    </cfRule>
    <cfRule type="cellIs" dxfId="2014" priority="186" operator="equal">
      <formula>"NA"</formula>
    </cfRule>
    <cfRule type="cellIs" dxfId="2015" priority="185" operator="equal">
      <formula>"NA"</formula>
    </cfRule>
  </conditionalFormatting>
  <conditionalFormatting sqref="F961:G962">
    <cfRule type="cellIs" dxfId="2016" priority="198" operator="equal">
      <formula>"NA"</formula>
    </cfRule>
    <cfRule type="cellIs" dxfId="2017" priority="197" operator="equal">
      <formula>"NA"</formula>
    </cfRule>
  </conditionalFormatting>
  <conditionalFormatting sqref="F1026:G1027">
    <cfRule type="cellIs" dxfId="2018" priority="165" operator="equal">
      <formula>"NA"</formula>
    </cfRule>
    <cfRule type="cellIs" dxfId="2019" priority="166" operator="equal">
      <formula>"NA"</formula>
    </cfRule>
  </conditionalFormatting>
  <conditionalFormatting sqref="F1026:G1028">
    <cfRule type="cellIs" dxfId="2020" priority="168" operator="equal">
      <formula>"NA"</formula>
    </cfRule>
    <cfRule type="cellIs" dxfId="2021" priority="167" operator="equal">
      <formula>"NA"</formula>
    </cfRule>
  </conditionalFormatting>
  <conditionalFormatting sqref="F1032:G1034">
    <cfRule type="cellIs" dxfId="2022" priority="180" operator="equal">
      <formula>"NA"</formula>
    </cfRule>
    <cfRule type="cellIs" dxfId="2023" priority="173" operator="equal">
      <formula>"NA"</formula>
    </cfRule>
    <cfRule type="cellIs" dxfId="2024" priority="174" operator="equal">
      <formula>"NA"</formula>
    </cfRule>
    <cfRule type="cellIs" dxfId="2025" priority="175" operator="equal">
      <formula>"NA"</formula>
    </cfRule>
    <cfRule type="cellIs" dxfId="2026" priority="170" operator="equal">
      <formula>"NA"</formula>
    </cfRule>
    <cfRule type="cellIs" dxfId="2027" priority="179" operator="equal">
      <formula>"NA"</formula>
    </cfRule>
    <cfRule type="cellIs" dxfId="2028" priority="176" operator="equal">
      <formula>"NA"</formula>
    </cfRule>
    <cfRule type="cellIs" dxfId="2029" priority="169" operator="equal">
      <formula>"NA"</formula>
    </cfRule>
    <cfRule type="cellIs" dxfId="2030" priority="171" operator="equal">
      <formula>"NA"</formula>
    </cfRule>
    <cfRule type="cellIs" dxfId="2031" priority="172" operator="equal">
      <formula>"NA"</formula>
    </cfRule>
  </conditionalFormatting>
  <conditionalFormatting sqref="F1032:G1035">
    <cfRule type="cellIs" dxfId="2032" priority="178" operator="equal">
      <formula>"NA"</formula>
    </cfRule>
    <cfRule type="cellIs" dxfId="2033" priority="177" operator="equal">
      <formula>"NA"</formula>
    </cfRule>
  </conditionalFormatting>
  <conditionalFormatting sqref="F1034:G1035">
    <cfRule type="cellIs" dxfId="2034" priority="164" operator="equal">
      <formula>"NA"</formula>
    </cfRule>
    <cfRule type="cellIs" dxfId="2035" priority="163" operator="equal">
      <formula>"NA"</formula>
    </cfRule>
  </conditionalFormatting>
  <conditionalFormatting sqref="F1052:G1057">
    <cfRule type="cellIs" dxfId="2036" priority="159" operator="equal">
      <formula>"NA"</formula>
    </cfRule>
    <cfRule type="cellIs" dxfId="2037" priority="162" operator="equal">
      <formula>"NA"</formula>
    </cfRule>
    <cfRule type="cellIs" dxfId="2038" priority="161" operator="equal">
      <formula>"NA"</formula>
    </cfRule>
    <cfRule type="cellIs" dxfId="2039" priority="160" operator="equal">
      <formula>"NA"</formula>
    </cfRule>
    <cfRule type="cellIs" dxfId="2040" priority="158" operator="equal">
      <formula>"NA"</formula>
    </cfRule>
    <cfRule type="cellIs" dxfId="2041" priority="157" operator="equal">
      <formula>"NA"</formula>
    </cfRule>
    <cfRule type="cellIs" dxfId="2042" priority="156" operator="equal">
      <formula>"NA"</formula>
    </cfRule>
    <cfRule type="cellIs" dxfId="2043" priority="155" operator="equal">
      <formula>"NA"</formula>
    </cfRule>
  </conditionalFormatting>
  <conditionalFormatting sqref="F1123:G1123">
    <cfRule type="cellIs" dxfId="2044" priority="204" operator="equal">
      <formula>"NA"</formula>
    </cfRule>
    <cfRule type="cellIs" dxfId="2045" priority="205" operator="equal">
      <formula>"NA"</formula>
    </cfRule>
    <cfRule type="cellIs" dxfId="2046" priority="206" operator="equal">
      <formula>"NA"</formula>
    </cfRule>
    <cfRule type="cellIs" dxfId="2047" priority="207" operator="equal">
      <formula>"NA"</formula>
    </cfRule>
    <cfRule type="cellIs" dxfId="2048" priority="208" operator="equal">
      <formula>"NA"</formula>
    </cfRule>
    <cfRule type="cellIs" dxfId="2049" priority="201" operator="equal">
      <formula>"NA"</formula>
    </cfRule>
    <cfRule type="cellIs" dxfId="2050" priority="202" operator="equal">
      <formula>"NA"</formula>
    </cfRule>
    <cfRule type="cellIs" dxfId="2051" priority="203" operator="equal">
      <formula>"NA"</formula>
    </cfRule>
  </conditionalFormatting>
  <conditionalFormatting sqref="F1248:G1248">
    <cfRule type="cellIs" dxfId="2052" priority="184" operator="equal">
      <formula>"NA"</formula>
    </cfRule>
    <cfRule type="cellIs" dxfId="2053" priority="183" operator="equal">
      <formula>"NA"</formula>
    </cfRule>
  </conditionalFormatting>
  <conditionalFormatting sqref="F100:H100">
    <cfRule type="cellIs" dxfId="2054" priority="10720" operator="equal">
      <formula>"NA"</formula>
    </cfRule>
    <cfRule type="cellIs" dxfId="2055" priority="10719" operator="equal">
      <formula>"NA"</formula>
    </cfRule>
  </conditionalFormatting>
  <conditionalFormatting sqref="F214:H214">
    <cfRule type="cellIs" dxfId="2056" priority="674" operator="equal">
      <formula>"NA"</formula>
    </cfRule>
    <cfRule type="cellIs" dxfId="2057" priority="675" operator="equal">
      <formula>"NA"</formula>
    </cfRule>
  </conditionalFormatting>
  <conditionalFormatting sqref="F231:H231">
    <cfRule type="cellIs" dxfId="2058" priority="666" operator="equal">
      <formula>"NA"</formula>
    </cfRule>
    <cfRule type="cellIs" dxfId="2059" priority="667" operator="equal">
      <formula>"NA"</formula>
    </cfRule>
  </conditionalFormatting>
  <conditionalFormatting sqref="F248:H248">
    <cfRule type="cellIs" dxfId="2060" priority="658" operator="equal">
      <formula>"NA"</formula>
    </cfRule>
    <cfRule type="cellIs" dxfId="2061" priority="659" operator="equal">
      <formula>"NA"</formula>
    </cfRule>
  </conditionalFormatting>
  <conditionalFormatting sqref="F265:H265">
    <cfRule type="cellIs" dxfId="2062" priority="650" operator="equal">
      <formula>"NA"</formula>
    </cfRule>
    <cfRule type="cellIs" dxfId="2063" priority="651" operator="equal">
      <formula>"NA"</formula>
    </cfRule>
  </conditionalFormatting>
  <conditionalFormatting sqref="F282:H282">
    <cfRule type="cellIs" dxfId="2064" priority="643" operator="equal">
      <formula>"NA"</formula>
    </cfRule>
    <cfRule type="cellIs" dxfId="2065" priority="642" operator="equal">
      <formula>"NA"</formula>
    </cfRule>
  </conditionalFormatting>
  <conditionalFormatting sqref="F299:H299">
    <cfRule type="cellIs" dxfId="2066" priority="635" operator="equal">
      <formula>"NA"</formula>
    </cfRule>
    <cfRule type="cellIs" dxfId="2067" priority="634" operator="equal">
      <formula>"NA"</formula>
    </cfRule>
  </conditionalFormatting>
  <conditionalFormatting sqref="F316:H316">
    <cfRule type="cellIs" dxfId="2068" priority="627" operator="equal">
      <formula>"NA"</formula>
    </cfRule>
    <cfRule type="cellIs" dxfId="2069" priority="626" operator="equal">
      <formula>"NA"</formula>
    </cfRule>
  </conditionalFormatting>
  <conditionalFormatting sqref="F333:H333">
    <cfRule type="cellIs" dxfId="2070" priority="619" operator="equal">
      <formula>"NA"</formula>
    </cfRule>
    <cfRule type="cellIs" dxfId="2071" priority="618" operator="equal">
      <formula>"NA"</formula>
    </cfRule>
  </conditionalFormatting>
  <conditionalFormatting sqref="F350:H350">
    <cfRule type="cellIs" dxfId="2072" priority="610" operator="equal">
      <formula>"NA"</formula>
    </cfRule>
    <cfRule type="cellIs" dxfId="2073" priority="611" operator="equal">
      <formula>"NA"</formula>
    </cfRule>
  </conditionalFormatting>
  <conditionalFormatting sqref="F367:H367">
    <cfRule type="cellIs" dxfId="2074" priority="602" operator="equal">
      <formula>"NA"</formula>
    </cfRule>
    <cfRule type="cellIs" dxfId="2075" priority="603" operator="equal">
      <formula>"NA"</formula>
    </cfRule>
  </conditionalFormatting>
  <conditionalFormatting sqref="F614:H614">
    <cfRule type="cellIs" dxfId="2076" priority="3826" operator="equal">
      <formula>"NA"</formula>
    </cfRule>
    <cfRule type="cellIs" dxfId="2077" priority="3825" operator="equal">
      <formula>"NA"</formula>
    </cfRule>
    <cfRule type="cellIs" dxfId="2078" priority="3824" operator="equal">
      <formula>"NA"</formula>
    </cfRule>
    <cfRule type="cellIs" dxfId="2079" priority="3823" operator="equal">
      <formula>"NA"</formula>
    </cfRule>
  </conditionalFormatting>
  <conditionalFormatting sqref="F637:H637">
    <cfRule type="cellIs" dxfId="2080" priority="3741" operator="equal">
      <formula>"NA"</formula>
    </cfRule>
    <cfRule type="cellIs" dxfId="2081" priority="3739" operator="equal">
      <formula>"NA"</formula>
    </cfRule>
    <cfRule type="cellIs" dxfId="2082" priority="3742" operator="equal">
      <formula>"NA"</formula>
    </cfRule>
    <cfRule type="cellIs" dxfId="2083" priority="3740" operator="equal">
      <formula>"NA"</formula>
    </cfRule>
  </conditionalFormatting>
  <conditionalFormatting sqref="F660:H660">
    <cfRule type="cellIs" dxfId="2084" priority="3649" operator="equal">
      <formula>"NA"</formula>
    </cfRule>
    <cfRule type="cellIs" dxfId="2085" priority="3650" operator="equal">
      <formula>"NA"</formula>
    </cfRule>
    <cfRule type="cellIs" dxfId="2086" priority="3647" operator="equal">
      <formula>"NA"</formula>
    </cfRule>
    <cfRule type="cellIs" dxfId="2087" priority="3648" operator="equal">
      <formula>"NA"</formula>
    </cfRule>
  </conditionalFormatting>
  <conditionalFormatting sqref="F1328:H1328">
    <cfRule type="cellIs" dxfId="2088" priority="2570" operator="equal">
      <formula>"NA"</formula>
    </cfRule>
    <cfRule type="cellIs" dxfId="2089" priority="2569" operator="equal">
      <formula>"NA"</formula>
    </cfRule>
  </conditionalFormatting>
  <conditionalFormatting sqref="F591:K591">
    <cfRule type="cellIs" dxfId="2090" priority="3856" operator="equal">
      <formula>"NA"</formula>
    </cfRule>
    <cfRule type="cellIs" dxfId="2091" priority="3857" operator="equal">
      <formula>"NA"</formula>
    </cfRule>
    <cfRule type="cellIs" dxfId="2092" priority="3858" operator="equal">
      <formula>"NA"</formula>
    </cfRule>
    <cfRule type="cellIs" dxfId="2093" priority="3855" operator="equal">
      <formula>"NA"</formula>
    </cfRule>
  </conditionalFormatting>
  <conditionalFormatting sqref="G8">
    <cfRule type="expression" dxfId="2094" priority="2233">
      <formula>$K$9&lt;3</formula>
    </cfRule>
  </conditionalFormatting>
  <conditionalFormatting sqref="G11:G26">
    <cfRule type="expression" dxfId="2095" priority="473">
      <formula>$K$9&lt;3</formula>
    </cfRule>
  </conditionalFormatting>
  <conditionalFormatting sqref="G28:G40">
    <cfRule type="expression" dxfId="2096" priority="471">
      <formula>$K$9&lt;3</formula>
    </cfRule>
  </conditionalFormatting>
  <conditionalFormatting sqref="G43:G47">
    <cfRule type="expression" dxfId="2097" priority="721">
      <formula>$K$9&lt;3</formula>
    </cfRule>
  </conditionalFormatting>
  <conditionalFormatting sqref="G52:G57">
    <cfRule type="expression" dxfId="2098" priority="719">
      <formula>$K$9&lt;3</formula>
    </cfRule>
  </conditionalFormatting>
  <conditionalFormatting sqref="G64:G67 G70">
    <cfRule type="expression" dxfId="2099" priority="717">
      <formula>$K$9&lt;3</formula>
    </cfRule>
  </conditionalFormatting>
  <conditionalFormatting sqref="G73">
    <cfRule type="cellIs" dxfId="2100" priority="4354" operator="equal">
      <formula>"NA"</formula>
    </cfRule>
    <cfRule type="cellIs" dxfId="2101" priority="4353" operator="equal">
      <formula>"NA"</formula>
    </cfRule>
  </conditionalFormatting>
  <conditionalFormatting sqref="G74:G75 G78:G83 G86:G93">
    <cfRule type="expression" dxfId="2102" priority="715">
      <formula>$K$9&lt;3</formula>
    </cfRule>
  </conditionalFormatting>
  <conditionalFormatting sqref="G98:G99">
    <cfRule type="expression" dxfId="2103" priority="711">
      <formula>$K$9&lt;3</formula>
    </cfRule>
  </conditionalFormatting>
  <conditionalFormatting sqref="G101">
    <cfRule type="expression" dxfId="2104" priority="709">
      <formula>$K$9&lt;3</formula>
    </cfRule>
  </conditionalFormatting>
  <conditionalFormatting sqref="G111:G112">
    <cfRule type="expression" dxfId="2105" priority="707">
      <formula>$K$9&lt;3</formula>
    </cfRule>
  </conditionalFormatting>
  <conditionalFormatting sqref="G117:G118">
    <cfRule type="expression" dxfId="2106" priority="705">
      <formula>$K$9&lt;3</formula>
    </cfRule>
  </conditionalFormatting>
  <conditionalFormatting sqref="G123:G124">
    <cfRule type="expression" dxfId="2107" priority="703">
      <formula>$K$9&lt;3</formula>
    </cfRule>
  </conditionalFormatting>
  <conditionalFormatting sqref="G129:G130">
    <cfRule type="expression" dxfId="2108" priority="701">
      <formula>$K$9&lt;3</formula>
    </cfRule>
  </conditionalFormatting>
  <conditionalFormatting sqref="G135:G136">
    <cfRule type="expression" dxfId="2109" priority="699">
      <formula>$K$9&lt;3</formula>
    </cfRule>
  </conditionalFormatting>
  <conditionalFormatting sqref="G141:G142">
    <cfRule type="expression" dxfId="2110" priority="697">
      <formula>$K$9&lt;3</formula>
    </cfRule>
  </conditionalFormatting>
  <conditionalFormatting sqref="G147:G148">
    <cfRule type="expression" dxfId="2111" priority="695">
      <formula>$K$9&lt;3</formula>
    </cfRule>
  </conditionalFormatting>
  <conditionalFormatting sqref="G153:G154">
    <cfRule type="expression" dxfId="2112" priority="693">
      <formula>$K$9&lt;3</formula>
    </cfRule>
  </conditionalFormatting>
  <conditionalFormatting sqref="G159:G160">
    <cfRule type="expression" dxfId="2113" priority="689">
      <formula>$K$9&lt;3</formula>
    </cfRule>
  </conditionalFormatting>
  <conditionalFormatting sqref="G165">
    <cfRule type="cellIs" dxfId="2114" priority="8555" operator="equal">
      <formula>"NA"</formula>
    </cfRule>
    <cfRule type="cellIs" dxfId="2115" priority="8556" operator="equal">
      <formula>"NA"</formula>
    </cfRule>
    <cfRule type="cellIs" dxfId="2116" priority="8565" operator="equal">
      <formula>"NA"</formula>
    </cfRule>
    <cfRule type="cellIs" dxfId="2117" priority="8564" operator="equal">
      <formula>"NA"</formula>
    </cfRule>
    <cfRule type="cellIs" dxfId="2118" priority="8566" operator="equal">
      <formula>"NA"</formula>
    </cfRule>
    <cfRule type="cellIs" dxfId="2119" priority="8560" operator="equal">
      <formula>"NA"</formula>
    </cfRule>
    <cfRule type="cellIs" dxfId="2120" priority="8558" operator="equal">
      <formula>"NA"</formula>
    </cfRule>
    <cfRule type="cellIs" dxfId="2121" priority="8557" operator="equal">
      <formula>"NA"</formula>
    </cfRule>
    <cfRule type="cellIs" dxfId="2122" priority="8562" operator="equal">
      <formula>"NA"</formula>
    </cfRule>
    <cfRule type="cellIs" dxfId="2123" priority="8559" operator="equal">
      <formula>"NA"</formula>
    </cfRule>
    <cfRule type="cellIs" dxfId="2124" priority="8563" operator="equal">
      <formula>"NA"</formula>
    </cfRule>
    <cfRule type="cellIs" dxfId="2125" priority="8561" operator="equal">
      <formula>"NA"</formula>
    </cfRule>
  </conditionalFormatting>
  <conditionalFormatting sqref="G166:G167">
    <cfRule type="expression" dxfId="2126" priority="687">
      <formula>$K$9&lt;3</formula>
    </cfRule>
  </conditionalFormatting>
  <conditionalFormatting sqref="G172 G175:G183">
    <cfRule type="expression" dxfId="2127" priority="685">
      <formula>$K$9&lt;3</formula>
    </cfRule>
  </conditionalFormatting>
  <conditionalFormatting sqref="G190:G191">
    <cfRule type="expression" dxfId="2128" priority="682">
      <formula>$K$9&lt;3</formula>
    </cfRule>
  </conditionalFormatting>
  <conditionalFormatting sqref="G195:G196">
    <cfRule type="expression" dxfId="2129" priority="680">
      <formula>$K$9&lt;3</formula>
    </cfRule>
  </conditionalFormatting>
  <conditionalFormatting sqref="G198:G206">
    <cfRule type="expression" dxfId="2130" priority="678">
      <formula>$K$9&lt;3</formula>
    </cfRule>
  </conditionalFormatting>
  <conditionalFormatting sqref="G212:G213">
    <cfRule type="expression" dxfId="2131" priority="672">
      <formula>$K$9&lt;3</formula>
    </cfRule>
  </conditionalFormatting>
  <conditionalFormatting sqref="G215:G223">
    <cfRule type="expression" dxfId="2132" priority="670">
      <formula>$K$9&lt;3</formula>
    </cfRule>
  </conditionalFormatting>
  <conditionalFormatting sqref="G229:G230">
    <cfRule type="expression" dxfId="2133" priority="664">
      <formula>$K$9&lt;3</formula>
    </cfRule>
  </conditionalFormatting>
  <conditionalFormatting sqref="G232:G240">
    <cfRule type="expression" dxfId="2134" priority="662">
      <formula>$K$9&lt;3</formula>
    </cfRule>
  </conditionalFormatting>
  <conditionalFormatting sqref="G246:G247">
    <cfRule type="expression" dxfId="2135" priority="656">
      <formula>$K$9&lt;3</formula>
    </cfRule>
  </conditionalFormatting>
  <conditionalFormatting sqref="G249:G257">
    <cfRule type="expression" dxfId="2136" priority="654">
      <formula>$K$9&lt;3</formula>
    </cfRule>
  </conditionalFormatting>
  <conditionalFormatting sqref="G263:G264">
    <cfRule type="expression" dxfId="2137" priority="648">
      <formula>$K$9&lt;3</formula>
    </cfRule>
  </conditionalFormatting>
  <conditionalFormatting sqref="G266:G274">
    <cfRule type="expression" dxfId="2138" priority="646">
      <formula>$K$9&lt;3</formula>
    </cfRule>
  </conditionalFormatting>
  <conditionalFormatting sqref="G280:G281">
    <cfRule type="expression" dxfId="2139" priority="640">
      <formula>$K$9&lt;3</formula>
    </cfRule>
  </conditionalFormatting>
  <conditionalFormatting sqref="G283:G291">
    <cfRule type="expression" dxfId="2140" priority="638">
      <formula>$K$9&lt;3</formula>
    </cfRule>
  </conditionalFormatting>
  <conditionalFormatting sqref="G297:G298">
    <cfRule type="expression" dxfId="2141" priority="632">
      <formula>$K$9&lt;3</formula>
    </cfRule>
  </conditionalFormatting>
  <conditionalFormatting sqref="G300:G308">
    <cfRule type="expression" dxfId="2142" priority="630">
      <formula>$K$9&lt;3</formula>
    </cfRule>
  </conditionalFormatting>
  <conditionalFormatting sqref="G314:G315">
    <cfRule type="expression" dxfId="2143" priority="624">
      <formula>$K$9&lt;3</formula>
    </cfRule>
  </conditionalFormatting>
  <conditionalFormatting sqref="G317:G325">
    <cfRule type="expression" dxfId="2144" priority="622">
      <formula>$K$9&lt;3</formula>
    </cfRule>
  </conditionalFormatting>
  <conditionalFormatting sqref="G331:G332">
    <cfRule type="expression" dxfId="2145" priority="616">
      <formula>$K$9&lt;3</formula>
    </cfRule>
  </conditionalFormatting>
  <conditionalFormatting sqref="G334:G342">
    <cfRule type="expression" dxfId="2146" priority="614">
      <formula>$K$9&lt;3</formula>
    </cfRule>
  </conditionalFormatting>
  <conditionalFormatting sqref="G348:G349">
    <cfRule type="expression" dxfId="2147" priority="608">
      <formula>$K$9&lt;3</formula>
    </cfRule>
  </conditionalFormatting>
  <conditionalFormatting sqref="G351:G359">
    <cfRule type="expression" dxfId="2148" priority="606">
      <formula>$K$9&lt;3</formula>
    </cfRule>
  </conditionalFormatting>
  <conditionalFormatting sqref="G365:G366">
    <cfRule type="expression" dxfId="2149" priority="600">
      <formula>$K$9&lt;3</formula>
    </cfRule>
  </conditionalFormatting>
  <conditionalFormatting sqref="G368:G376">
    <cfRule type="expression" dxfId="2150" priority="598">
      <formula>$K$9&lt;3</formula>
    </cfRule>
  </conditionalFormatting>
  <conditionalFormatting sqref="G383">
    <cfRule type="cellIs" dxfId="2151" priority="5495" operator="equal">
      <formula>"NA"</formula>
    </cfRule>
    <cfRule type="cellIs" dxfId="2152" priority="5496" operator="equal">
      <formula>"NA"</formula>
    </cfRule>
    <cfRule type="cellIs" dxfId="2153" priority="5498" operator="equal">
      <formula>"NA"</formula>
    </cfRule>
    <cfRule type="cellIs" dxfId="2154" priority="5490" operator="equal">
      <formula>"NA"</formula>
    </cfRule>
    <cfRule type="cellIs" dxfId="2155" priority="5497" operator="equal">
      <formula>"NA"</formula>
    </cfRule>
    <cfRule type="cellIs" dxfId="2156" priority="5499" operator="equal">
      <formula>"NA"</formula>
    </cfRule>
    <cfRule type="cellIs" dxfId="2157" priority="5500" operator="equal">
      <formula>"NA"</formula>
    </cfRule>
    <cfRule type="cellIs" dxfId="2158" priority="5501" operator="equal">
      <formula>"NA"</formula>
    </cfRule>
    <cfRule type="cellIs" dxfId="2159" priority="5502" operator="equal">
      <formula>"NA"</formula>
    </cfRule>
    <cfRule type="cellIs" dxfId="2160" priority="5503" operator="equal">
      <formula>"NA"</formula>
    </cfRule>
    <cfRule type="cellIs" dxfId="2161" priority="5504" operator="equal">
      <formula>"NA"</formula>
    </cfRule>
    <cfRule type="cellIs" dxfId="2162" priority="5505" operator="equal">
      <formula>"NA"</formula>
    </cfRule>
    <cfRule type="cellIs" dxfId="2163" priority="5506" operator="equal">
      <formula>"NA"</formula>
    </cfRule>
    <cfRule type="cellIs" dxfId="2164" priority="5507" operator="equal">
      <formula>"NA"</formula>
    </cfRule>
    <cfRule type="cellIs" dxfId="2165" priority="5508" operator="equal">
      <formula>"NA"</formula>
    </cfRule>
    <cfRule type="cellIs" dxfId="2166" priority="5487" operator="equal">
      <formula>"NA"</formula>
    </cfRule>
    <cfRule type="cellIs" dxfId="2167" priority="5488" operator="equal">
      <formula>"NA"</formula>
    </cfRule>
    <cfRule type="cellIs" dxfId="2168" priority="5489" operator="equal">
      <formula>"NA"</formula>
    </cfRule>
    <cfRule type="cellIs" dxfId="2169" priority="5491" operator="equal">
      <formula>"NA"</formula>
    </cfRule>
    <cfRule type="cellIs" dxfId="2170" priority="5492" operator="equal">
      <formula>"NA"</formula>
    </cfRule>
    <cfRule type="cellIs" dxfId="2171" priority="5493" operator="equal">
      <formula>"NA"</formula>
    </cfRule>
    <cfRule type="cellIs" dxfId="2172" priority="5494" operator="equal">
      <formula>"NA"</formula>
    </cfRule>
  </conditionalFormatting>
  <conditionalFormatting sqref="G384">
    <cfRule type="cellIs" dxfId="2173" priority="5478" operator="equal">
      <formula>"NA"</formula>
    </cfRule>
    <cfRule type="cellIs" dxfId="2174" priority="5477" operator="equal">
      <formula>"NA"</formula>
    </cfRule>
    <cfRule type="cellIs" dxfId="2175" priority="5476" operator="equal">
      <formula>"NA"</formula>
    </cfRule>
    <cfRule type="cellIs" dxfId="2176" priority="5475" operator="equal">
      <formula>"NA"</formula>
    </cfRule>
    <cfRule type="cellIs" dxfId="2177" priority="5474" operator="equal">
      <formula>"NA"</formula>
    </cfRule>
    <cfRule type="cellIs" dxfId="2178" priority="5482" operator="equal">
      <formula>"NA"</formula>
    </cfRule>
    <cfRule type="cellIs" dxfId="2179" priority="5473" operator="equal">
      <formula>"NA"</formula>
    </cfRule>
    <cfRule type="cellIs" dxfId="2180" priority="5472" operator="equal">
      <formula>"NA"</formula>
    </cfRule>
    <cfRule type="cellIs" dxfId="2181" priority="5471" operator="equal">
      <formula>"NA"</formula>
    </cfRule>
    <cfRule type="cellIs" dxfId="2182" priority="5470" operator="equal">
      <formula>"NA"</formula>
    </cfRule>
    <cfRule type="cellIs" dxfId="2183" priority="5469" operator="equal">
      <formula>"NA"</formula>
    </cfRule>
    <cfRule type="cellIs" dxfId="2184" priority="5468" operator="equal">
      <formula>"NA"</formula>
    </cfRule>
    <cfRule type="cellIs" dxfId="2185" priority="5467" operator="equal">
      <formula>"NA"</formula>
    </cfRule>
    <cfRule type="cellIs" dxfId="2186" priority="5466" operator="equal">
      <formula>"NA"</formula>
    </cfRule>
    <cfRule type="cellIs" dxfId="2187" priority="5465" operator="equal">
      <formula>"NA"</formula>
    </cfRule>
    <cfRule type="cellIs" dxfId="2188" priority="5463" operator="equal">
      <formula>"NA"</formula>
    </cfRule>
    <cfRule type="cellIs" dxfId="2189" priority="5481" operator="equal">
      <formula>"NA"</formula>
    </cfRule>
    <cfRule type="cellIs" dxfId="2190" priority="5464" operator="equal">
      <formula>"NA"</formula>
    </cfRule>
    <cfRule type="cellIs" dxfId="2191" priority="5480" operator="equal">
      <formula>"NA"</formula>
    </cfRule>
    <cfRule type="cellIs" dxfId="2192" priority="5479" operator="equal">
      <formula>"NA"</formula>
    </cfRule>
  </conditionalFormatting>
  <conditionalFormatting sqref="G388:G391">
    <cfRule type="expression" dxfId="2193" priority="596">
      <formula>$K$9&lt;3</formula>
    </cfRule>
  </conditionalFormatting>
  <conditionalFormatting sqref="G395:G396">
    <cfRule type="expression" dxfId="2194" priority="594">
      <formula>$K$9&lt;3</formula>
    </cfRule>
  </conditionalFormatting>
  <conditionalFormatting sqref="G401:G402">
    <cfRule type="expression" dxfId="2195" priority="592">
      <formula>$K$9&lt;3</formula>
    </cfRule>
  </conditionalFormatting>
  <conditionalFormatting sqref="G407:G408">
    <cfRule type="expression" dxfId="2196" priority="590">
      <formula>$K$9&lt;3</formula>
    </cfRule>
  </conditionalFormatting>
  <conditionalFormatting sqref="G413:G414">
    <cfRule type="expression" dxfId="2197" priority="588">
      <formula>$K$9&lt;3</formula>
    </cfRule>
  </conditionalFormatting>
  <conditionalFormatting sqref="G419:G420">
    <cfRule type="expression" dxfId="2198" priority="586">
      <formula>$K$9&lt;3</formula>
    </cfRule>
  </conditionalFormatting>
  <conditionalFormatting sqref="G425:G426">
    <cfRule type="expression" dxfId="2199" priority="584">
      <formula>$K$9&lt;3</formula>
    </cfRule>
  </conditionalFormatting>
  <conditionalFormatting sqref="G432:G433">
    <cfRule type="expression" dxfId="2200" priority="582">
      <formula>$K$9&lt;3</formula>
    </cfRule>
  </conditionalFormatting>
  <conditionalFormatting sqref="G438:G440">
    <cfRule type="expression" dxfId="2201" priority="580">
      <formula>$K$9&lt;3</formula>
    </cfRule>
  </conditionalFormatting>
  <conditionalFormatting sqref="G446">
    <cfRule type="cellIs" dxfId="2202" priority="4004" operator="equal">
      <formula>"NA"</formula>
    </cfRule>
    <cfRule type="cellIs" dxfId="2203" priority="4003" operator="equal">
      <formula>"NA"</formula>
    </cfRule>
    <cfRule type="cellIs" dxfId="2204" priority="4005" operator="equal">
      <formula>"NA"</formula>
    </cfRule>
    <cfRule type="cellIs" dxfId="2205" priority="4006" operator="equal">
      <formula>"NA"</formula>
    </cfRule>
  </conditionalFormatting>
  <conditionalFormatting sqref="G447:G450">
    <cfRule type="expression" dxfId="2206" priority="578">
      <formula>$K$9&lt;3</formula>
    </cfRule>
  </conditionalFormatting>
  <conditionalFormatting sqref="G469">
    <cfRule type="cellIs" dxfId="2207" priority="3990" operator="equal">
      <formula>"NA"</formula>
    </cfRule>
    <cfRule type="cellIs" dxfId="2208" priority="3989" operator="equal">
      <formula>"NA"</formula>
    </cfRule>
    <cfRule type="cellIs" dxfId="2209" priority="3988" operator="equal">
      <formula>"NA"</formula>
    </cfRule>
    <cfRule type="cellIs" dxfId="2210" priority="3987" operator="equal">
      <formula>"NA"</formula>
    </cfRule>
  </conditionalFormatting>
  <conditionalFormatting sqref="G470:G473">
    <cfRule type="expression" dxfId="2211" priority="576">
      <formula>$K$9&lt;3</formula>
    </cfRule>
  </conditionalFormatting>
  <conditionalFormatting sqref="G493:G496">
    <cfRule type="expression" dxfId="2212" priority="574">
      <formula>$K$9&lt;3</formula>
    </cfRule>
  </conditionalFormatting>
  <conditionalFormatting sqref="G516:G519">
    <cfRule type="expression" dxfId="2213" priority="572">
      <formula>$K$9&lt;3</formula>
    </cfRule>
  </conditionalFormatting>
  <conditionalFormatting sqref="G539:G542">
    <cfRule type="expression" dxfId="2214" priority="570">
      <formula>$K$9&lt;3</formula>
    </cfRule>
  </conditionalFormatting>
  <conditionalFormatting sqref="G569:G572">
    <cfRule type="expression" dxfId="2215" priority="568">
      <formula>$K$9&lt;3</formula>
    </cfRule>
  </conditionalFormatting>
  <conditionalFormatting sqref="G592:G595">
    <cfRule type="expression" dxfId="2216" priority="566">
      <formula>$K$9&lt;3</formula>
    </cfRule>
  </conditionalFormatting>
  <conditionalFormatting sqref="G614">
    <cfRule type="cellIs" dxfId="2217" priority="3822" operator="equal">
      <formula>"NA"</formula>
    </cfRule>
    <cfRule type="cellIs" dxfId="2218" priority="3821" operator="equal">
      <formula>"NA"</formula>
    </cfRule>
    <cfRule type="cellIs" dxfId="2219" priority="3820" operator="equal">
      <formula>"NA"</formula>
    </cfRule>
    <cfRule type="cellIs" dxfId="2220" priority="3819" operator="equal">
      <formula>"NA"</formula>
    </cfRule>
    <cfRule type="cellIs" dxfId="2221" priority="3818" operator="equal">
      <formula>"NA"</formula>
    </cfRule>
    <cfRule type="cellIs" dxfId="2222" priority="3817" operator="equal">
      <formula>"NA"</formula>
    </cfRule>
    <cfRule type="cellIs" dxfId="2223" priority="3816" operator="equal">
      <formula>"NA"</formula>
    </cfRule>
    <cfRule type="cellIs" dxfId="2224" priority="3815" operator="equal">
      <formula>"NA"</formula>
    </cfRule>
    <cfRule type="cellIs" dxfId="2225" priority="3813" operator="equal">
      <formula>"NA"</formula>
    </cfRule>
    <cfRule type="cellIs" dxfId="2226" priority="3814" operator="equal">
      <formula>"NA"</formula>
    </cfRule>
    <cfRule type="cellIs" dxfId="2227" priority="3810" operator="equal">
      <formula>"NA"</formula>
    </cfRule>
    <cfRule type="cellIs" dxfId="2228" priority="3809" operator="equal">
      <formula>"NA"</formula>
    </cfRule>
    <cfRule type="cellIs" dxfId="2229" priority="3808" operator="equal">
      <formula>"NA"</formula>
    </cfRule>
    <cfRule type="cellIs" dxfId="2230" priority="3807" operator="equal">
      <formula>"NA"</formula>
    </cfRule>
    <cfRule type="cellIs" dxfId="2231" priority="3812" operator="equal">
      <formula>"NA"</formula>
    </cfRule>
    <cfRule type="cellIs" dxfId="2232" priority="3811" operator="equal">
      <formula>"NA"</formula>
    </cfRule>
  </conditionalFormatting>
  <conditionalFormatting sqref="G615:G618">
    <cfRule type="expression" dxfId="2233" priority="564">
      <formula>$K$9&lt;3</formula>
    </cfRule>
  </conditionalFormatting>
  <conditionalFormatting sqref="G637">
    <cfRule type="cellIs" dxfId="2234" priority="3726" operator="equal">
      <formula>"NA"</formula>
    </cfRule>
    <cfRule type="cellIs" dxfId="2235" priority="3719" operator="equal">
      <formula>"NA"</formula>
    </cfRule>
    <cfRule type="cellIs" dxfId="2236" priority="3727" operator="equal">
      <formula>"NA"</formula>
    </cfRule>
    <cfRule type="cellIs" dxfId="2237" priority="3720" operator="equal">
      <formula>"NA"</formula>
    </cfRule>
    <cfRule type="cellIs" dxfId="2238" priority="3717" operator="equal">
      <formula>"NA"</formula>
    </cfRule>
    <cfRule type="cellIs" dxfId="2239" priority="3725" operator="equal">
      <formula>"NA"</formula>
    </cfRule>
    <cfRule type="cellIs" dxfId="2240" priority="3721" operator="equal">
      <formula>"NA"</formula>
    </cfRule>
    <cfRule type="cellIs" dxfId="2241" priority="3729" operator="equal">
      <formula>"NA"</formula>
    </cfRule>
    <cfRule type="cellIs" dxfId="2242" priority="3730" operator="equal">
      <formula>"NA"</formula>
    </cfRule>
    <cfRule type="cellIs" dxfId="2243" priority="3731" operator="equal">
      <formula>"NA"</formula>
    </cfRule>
    <cfRule type="cellIs" dxfId="2244" priority="3733" operator="equal">
      <formula>"NA"</formula>
    </cfRule>
    <cfRule type="cellIs" dxfId="2245" priority="3734" operator="equal">
      <formula>"NA"</formula>
    </cfRule>
    <cfRule type="cellIs" dxfId="2246" priority="3735" operator="equal">
      <formula>"NA"</formula>
    </cfRule>
    <cfRule type="cellIs" dxfId="2247" priority="3736" operator="equal">
      <formula>"NA"</formula>
    </cfRule>
    <cfRule type="cellIs" dxfId="2248" priority="3737" operator="equal">
      <formula>"NA"</formula>
    </cfRule>
    <cfRule type="cellIs" dxfId="2249" priority="3738" operator="equal">
      <formula>"NA"</formula>
    </cfRule>
    <cfRule type="cellIs" dxfId="2250" priority="3732" operator="equal">
      <formula>"NA"</formula>
    </cfRule>
    <cfRule type="cellIs" dxfId="2251" priority="3724" operator="equal">
      <formula>"NA"</formula>
    </cfRule>
    <cfRule type="cellIs" dxfId="2252" priority="3716" operator="equal">
      <formula>"NA"</formula>
    </cfRule>
    <cfRule type="cellIs" dxfId="2253" priority="3715" operator="equal">
      <formula>"NA"</formula>
    </cfRule>
    <cfRule type="cellIs" dxfId="2254" priority="3723" operator="equal">
      <formula>"NA"</formula>
    </cfRule>
    <cfRule type="cellIs" dxfId="2255" priority="3722" operator="equal">
      <formula>"NA"</formula>
    </cfRule>
    <cfRule type="cellIs" dxfId="2256" priority="3718" operator="equal">
      <formula>"NA"</formula>
    </cfRule>
    <cfRule type="cellIs" dxfId="2257" priority="3728" operator="equal">
      <formula>"NA"</formula>
    </cfRule>
  </conditionalFormatting>
  <conditionalFormatting sqref="G638:G641">
    <cfRule type="expression" dxfId="2258" priority="562">
      <formula>$K$9&lt;3</formula>
    </cfRule>
  </conditionalFormatting>
  <conditionalFormatting sqref="G660">
    <cfRule type="cellIs" dxfId="2259" priority="3629" operator="equal">
      <formula>"NA"</formula>
    </cfRule>
    <cfRule type="cellIs" dxfId="2260" priority="3625" operator="equal">
      <formula>"NA"</formula>
    </cfRule>
    <cfRule type="cellIs" dxfId="2261" priority="3624" operator="equal">
      <formula>"NA"</formula>
    </cfRule>
    <cfRule type="cellIs" dxfId="2262" priority="3635" operator="equal">
      <formula>"NA"</formula>
    </cfRule>
    <cfRule type="cellIs" dxfId="2263" priority="3633" operator="equal">
      <formula>"NA"</formula>
    </cfRule>
    <cfRule type="cellIs" dxfId="2264" priority="3615" operator="equal">
      <formula>"NA"</formula>
    </cfRule>
    <cfRule type="cellIs" dxfId="2265" priority="3623" operator="equal">
      <formula>"NA"</formula>
    </cfRule>
    <cfRule type="cellIs" dxfId="2266" priority="3622" operator="equal">
      <formula>"NA"</formula>
    </cfRule>
    <cfRule type="cellIs" dxfId="2267" priority="3621" operator="equal">
      <formula>"NA"</formula>
    </cfRule>
    <cfRule type="cellIs" dxfId="2268" priority="3616" operator="equal">
      <formula>"NA"</formula>
    </cfRule>
    <cfRule type="cellIs" dxfId="2269" priority="3617" operator="equal">
      <formula>"NA"</formula>
    </cfRule>
    <cfRule type="cellIs" dxfId="2270" priority="3620" operator="equal">
      <formula>"NA"</formula>
    </cfRule>
    <cfRule type="cellIs" dxfId="2271" priority="3644" operator="equal">
      <formula>"NA"</formula>
    </cfRule>
    <cfRule type="cellIs" dxfId="2272" priority="3646" operator="equal">
      <formula>"NA"</formula>
    </cfRule>
    <cfRule type="cellIs" dxfId="2273" priority="3645" operator="equal">
      <formula>"NA"</formula>
    </cfRule>
    <cfRule type="cellIs" dxfId="2274" priority="3619" operator="equal">
      <formula>"NA"</formula>
    </cfRule>
    <cfRule type="cellIs" dxfId="2275" priority="3643" operator="equal">
      <formula>"NA"</formula>
    </cfRule>
    <cfRule type="cellIs" dxfId="2276" priority="3642" operator="equal">
      <formula>"NA"</formula>
    </cfRule>
    <cfRule type="cellIs" dxfId="2277" priority="3641" operator="equal">
      <formula>"NA"</formula>
    </cfRule>
    <cfRule type="cellIs" dxfId="2278" priority="3640" operator="equal">
      <formula>"NA"</formula>
    </cfRule>
    <cfRule type="cellIs" dxfId="2279" priority="3639" operator="equal">
      <formula>"NA"</formula>
    </cfRule>
    <cfRule type="cellIs" dxfId="2280" priority="3638" operator="equal">
      <formula>"NA"</formula>
    </cfRule>
    <cfRule type="cellIs" dxfId="2281" priority="3637" operator="equal">
      <formula>"NA"</formula>
    </cfRule>
    <cfRule type="cellIs" dxfId="2282" priority="3636" operator="equal">
      <formula>"NA"</formula>
    </cfRule>
    <cfRule type="cellIs" dxfId="2283" priority="3634" operator="equal">
      <formula>"NA"</formula>
    </cfRule>
    <cfRule type="cellIs" dxfId="2284" priority="3632" operator="equal">
      <formula>"NA"</formula>
    </cfRule>
    <cfRule type="cellIs" dxfId="2285" priority="3631" operator="equal">
      <formula>"NA"</formula>
    </cfRule>
    <cfRule type="cellIs" dxfId="2286" priority="3630" operator="equal">
      <formula>"NA"</formula>
    </cfRule>
    <cfRule type="cellIs" dxfId="2287" priority="3628" operator="equal">
      <formula>"NA"</formula>
    </cfRule>
    <cfRule type="cellIs" dxfId="2288" priority="3627" operator="equal">
      <formula>"NA"</formula>
    </cfRule>
    <cfRule type="cellIs" dxfId="2289" priority="3626" operator="equal">
      <formula>"NA"</formula>
    </cfRule>
    <cfRule type="cellIs" dxfId="2290" priority="3618" operator="equal">
      <formula>"NA"</formula>
    </cfRule>
  </conditionalFormatting>
  <conditionalFormatting sqref="G661:G664">
    <cfRule type="expression" dxfId="2291" priority="560">
      <formula>$K$9&lt;3</formula>
    </cfRule>
  </conditionalFormatting>
  <conditionalFormatting sqref="G693:G711">
    <cfRule type="expression" dxfId="2292" priority="558">
      <formula>$K$9&lt;3</formula>
    </cfRule>
  </conditionalFormatting>
  <conditionalFormatting sqref="G715">
    <cfRule type="cellIs" dxfId="2293" priority="3536" operator="equal">
      <formula>"NA"</formula>
    </cfRule>
    <cfRule type="cellIs" dxfId="2294" priority="3535" operator="equal">
      <formula>"NA"</formula>
    </cfRule>
  </conditionalFormatting>
  <conditionalFormatting sqref="G728:G730">
    <cfRule type="expression" dxfId="2295" priority="556">
      <formula>$K$9&lt;3</formula>
    </cfRule>
  </conditionalFormatting>
  <conditionalFormatting sqref="G735">
    <cfRule type="cellIs" dxfId="2296" priority="8039" operator="equal">
      <formula>"NA"</formula>
    </cfRule>
    <cfRule type="cellIs" dxfId="2297" priority="8040" operator="equal">
      <formula>"NA"</formula>
    </cfRule>
  </conditionalFormatting>
  <conditionalFormatting sqref="G747:G748 G752">
    <cfRule type="expression" dxfId="2298" priority="552">
      <formula>$K$9&lt;3</formula>
    </cfRule>
  </conditionalFormatting>
  <conditionalFormatting sqref="G755:G757">
    <cfRule type="expression" dxfId="2299" priority="550">
      <formula>$K$9&lt;3</formula>
    </cfRule>
  </conditionalFormatting>
  <conditionalFormatting sqref="G761:G762 G765">
    <cfRule type="expression" dxfId="2300" priority="548">
      <formula>$K$9&lt;3</formula>
    </cfRule>
  </conditionalFormatting>
  <conditionalFormatting sqref="G766">
    <cfRule type="cellIs" dxfId="2301" priority="3526" operator="equal">
      <formula>"NA"</formula>
    </cfRule>
    <cfRule type="cellIs" dxfId="2302" priority="3525" operator="equal">
      <formula>"NA"</formula>
    </cfRule>
  </conditionalFormatting>
  <conditionalFormatting sqref="G768:G770">
    <cfRule type="expression" dxfId="2303" priority="546">
      <formula>$K$9&lt;3</formula>
    </cfRule>
  </conditionalFormatting>
  <conditionalFormatting sqref="G772:G773 G775">
    <cfRule type="expression" dxfId="2304" priority="544">
      <formula>$K$9&lt;3</formula>
    </cfRule>
  </conditionalFormatting>
  <conditionalFormatting sqref="G777:G778 G780">
    <cfRule type="expression" dxfId="2305" priority="542">
      <formula>$K$9&lt;3</formula>
    </cfRule>
  </conditionalFormatting>
  <conditionalFormatting sqref="G788:G792">
    <cfRule type="expression" dxfId="2306" priority="540">
      <formula>$K$9&lt;3</formula>
    </cfRule>
  </conditionalFormatting>
  <conditionalFormatting sqref="G793 E798:G798 E803:G803">
    <cfRule type="cellIs" dxfId="2307" priority="8522" operator="equal">
      <formula>"NA"</formula>
    </cfRule>
    <cfRule type="cellIs" dxfId="2308" priority="8521" operator="equal">
      <formula>"NA"</formula>
    </cfRule>
  </conditionalFormatting>
  <conditionalFormatting sqref="G794:G797">
    <cfRule type="expression" dxfId="2309" priority="538">
      <formula>$K$9&lt;3</formula>
    </cfRule>
  </conditionalFormatting>
  <conditionalFormatting sqref="G799:G802">
    <cfRule type="expression" dxfId="2310" priority="536">
      <formula>$K$9&lt;3</formula>
    </cfRule>
  </conditionalFormatting>
  <conditionalFormatting sqref="G804:G807">
    <cfRule type="expression" dxfId="2311" priority="534">
      <formula>$K$9&lt;3</formula>
    </cfRule>
  </conditionalFormatting>
  <conditionalFormatting sqref="G823:G827">
    <cfRule type="expression" dxfId="2312" priority="479">
      <formula>$K$9&lt;3</formula>
    </cfRule>
  </conditionalFormatting>
  <conditionalFormatting sqref="G830:G834">
    <cfRule type="expression" dxfId="2313" priority="477">
      <formula>$K$9&lt;3</formula>
    </cfRule>
  </conditionalFormatting>
  <conditionalFormatting sqref="G841:G842">
    <cfRule type="cellIs" dxfId="2314" priority="3058" operator="equal">
      <formula>"NA"</formula>
    </cfRule>
    <cfRule type="cellIs" dxfId="2315" priority="3065" operator="equal">
      <formula>"NA"</formula>
    </cfRule>
    <cfRule type="cellIs" dxfId="2316" priority="3060" operator="equal">
      <formula>"NA"</formula>
    </cfRule>
    <cfRule type="cellIs" dxfId="2317" priority="3061" operator="equal">
      <formula>"NA"</formula>
    </cfRule>
    <cfRule type="cellIs" dxfId="2318" priority="3062" operator="equal">
      <formula>"NA"</formula>
    </cfRule>
    <cfRule type="cellIs" dxfId="2319" priority="3055" operator="equal">
      <formula>"NA"</formula>
    </cfRule>
    <cfRule type="cellIs" dxfId="2320" priority="3066" operator="equal">
      <formula>"NA"</formula>
    </cfRule>
    <cfRule type="cellIs" dxfId="2321" priority="3057" operator="equal">
      <formula>"NA"</formula>
    </cfRule>
    <cfRule type="cellIs" dxfId="2322" priority="3056" operator="equal">
      <formula>"NA"</formula>
    </cfRule>
    <cfRule type="cellIs" dxfId="2323" priority="3059" operator="equal">
      <formula>"NA"</formula>
    </cfRule>
  </conditionalFormatting>
  <conditionalFormatting sqref="G842">
    <cfRule type="cellIs" dxfId="2324" priority="3048" operator="equal">
      <formula>"NA"</formula>
    </cfRule>
    <cfRule type="cellIs" dxfId="2325" priority="3049" operator="equal">
      <formula>"NA"</formula>
    </cfRule>
    <cfRule type="cellIs" dxfId="2326" priority="3050" operator="equal">
      <formula>"NA"</formula>
    </cfRule>
    <cfRule type="cellIs" dxfId="2327" priority="3051" operator="equal">
      <formula>"NA"</formula>
    </cfRule>
    <cfRule type="cellIs" dxfId="2328" priority="3052" operator="equal">
      <formula>"NA"</formula>
    </cfRule>
    <cfRule type="cellIs" dxfId="2329" priority="3053" operator="equal">
      <formula>"NA"</formula>
    </cfRule>
    <cfRule type="cellIs" dxfId="2330" priority="3054" operator="equal">
      <formula>"NA"</formula>
    </cfRule>
    <cfRule type="cellIs" dxfId="2331" priority="3041" operator="equal">
      <formula>"NA"</formula>
    </cfRule>
    <cfRule type="cellIs" dxfId="2332" priority="3013" operator="equal">
      <formula>"NA"</formula>
    </cfRule>
    <cfRule type="cellIs" dxfId="2333" priority="3014" operator="equal">
      <formula>"NA"</formula>
    </cfRule>
    <cfRule type="cellIs" dxfId="2334" priority="3015" operator="equal">
      <formula>"NA"</formula>
    </cfRule>
    <cfRule type="cellIs" dxfId="2335" priority="3016" operator="equal">
      <formula>"NA"</formula>
    </cfRule>
    <cfRule type="cellIs" dxfId="2336" priority="3017" operator="equal">
      <formula>"NA"</formula>
    </cfRule>
    <cfRule type="cellIs" dxfId="2337" priority="3018" operator="equal">
      <formula>"NA"</formula>
    </cfRule>
    <cfRule type="cellIs" dxfId="2338" priority="3019" operator="equal">
      <formula>"NA"</formula>
    </cfRule>
    <cfRule type="cellIs" dxfId="2339" priority="3020" operator="equal">
      <formula>"NA"</formula>
    </cfRule>
    <cfRule type="cellIs" dxfId="2340" priority="3021" operator="equal">
      <formula>"NA"</formula>
    </cfRule>
    <cfRule type="cellIs" dxfId="2341" priority="3022" operator="equal">
      <formula>"NA"</formula>
    </cfRule>
    <cfRule type="cellIs" dxfId="2342" priority="3023" operator="equal">
      <formula>"NA"</formula>
    </cfRule>
    <cfRule type="cellIs" dxfId="2343" priority="3024" operator="equal">
      <formula>"NA"</formula>
    </cfRule>
    <cfRule type="cellIs" dxfId="2344" priority="3025" operator="equal">
      <formula>"NA"</formula>
    </cfRule>
    <cfRule type="cellIs" dxfId="2345" priority="3026" operator="equal">
      <formula>"NA"</formula>
    </cfRule>
    <cfRule type="cellIs" dxfId="2346" priority="3027" operator="equal">
      <formula>"NA"</formula>
    </cfRule>
    <cfRule type="cellIs" dxfId="2347" priority="3028" operator="equal">
      <formula>"NA"</formula>
    </cfRule>
    <cfRule type="cellIs" dxfId="2348" priority="3029" operator="equal">
      <formula>"NA"</formula>
    </cfRule>
    <cfRule type="cellIs" dxfId="2349" priority="3030" operator="equal">
      <formula>"NA"</formula>
    </cfRule>
    <cfRule type="cellIs" dxfId="2350" priority="3031" operator="equal">
      <formula>"NA"</formula>
    </cfRule>
    <cfRule type="cellIs" dxfId="2351" priority="3032" operator="equal">
      <formula>"NA"</formula>
    </cfRule>
    <cfRule type="cellIs" dxfId="2352" priority="3033" operator="equal">
      <formula>"NA"</formula>
    </cfRule>
    <cfRule type="cellIs" dxfId="2353" priority="3034" operator="equal">
      <formula>"NA"</formula>
    </cfRule>
    <cfRule type="cellIs" dxfId="2354" priority="3035" operator="equal">
      <formula>"NA"</formula>
    </cfRule>
    <cfRule type="cellIs" dxfId="2355" priority="3036" operator="equal">
      <formula>"NA"</formula>
    </cfRule>
    <cfRule type="cellIs" dxfId="2356" priority="3037" operator="equal">
      <formula>"NA"</formula>
    </cfRule>
    <cfRule type="cellIs" dxfId="2357" priority="3038" operator="equal">
      <formula>"NA"</formula>
    </cfRule>
    <cfRule type="cellIs" dxfId="2358" priority="3039" operator="equal">
      <formula>"NA"</formula>
    </cfRule>
    <cfRule type="cellIs" dxfId="2359" priority="3040" operator="equal">
      <formula>"NA"</formula>
    </cfRule>
    <cfRule type="cellIs" dxfId="2360" priority="3042" operator="equal">
      <formula>"NA"</formula>
    </cfRule>
    <cfRule type="cellIs" dxfId="2361" priority="3043" operator="equal">
      <formula>"NA"</formula>
    </cfRule>
    <cfRule type="cellIs" dxfId="2362" priority="3044" operator="equal">
      <formula>"NA"</formula>
    </cfRule>
    <cfRule type="cellIs" dxfId="2363" priority="3045" operator="equal">
      <formula>"NA"</formula>
    </cfRule>
    <cfRule type="cellIs" dxfId="2364" priority="3046" operator="equal">
      <formula>"NA"</formula>
    </cfRule>
    <cfRule type="cellIs" dxfId="2365" priority="3047" operator="equal">
      <formula>"NA"</formula>
    </cfRule>
  </conditionalFormatting>
  <conditionalFormatting sqref="G858 G860 G862:G865">
    <cfRule type="expression" dxfId="2366" priority="532">
      <formula>$K$9&lt;3</formula>
    </cfRule>
  </conditionalFormatting>
  <conditionalFormatting sqref="G880:G881 G883:G886">
    <cfRule type="expression" dxfId="2367" priority="529">
      <formula>$K$9&lt;3</formula>
    </cfRule>
  </conditionalFormatting>
  <conditionalFormatting sqref="G901:G907">
    <cfRule type="expression" dxfId="2368" priority="527">
      <formula>$K$9&lt;3</formula>
    </cfRule>
  </conditionalFormatting>
  <conditionalFormatting sqref="G926:G928">
    <cfRule type="expression" dxfId="2369" priority="525">
      <formula>$K$9&lt;3</formula>
    </cfRule>
  </conditionalFormatting>
  <conditionalFormatting sqref="G946:G949">
    <cfRule type="expression" dxfId="2370" priority="523">
      <formula>$K$9&lt;3</formula>
    </cfRule>
  </conditionalFormatting>
  <conditionalFormatting sqref="G965:G970">
    <cfRule type="expression" dxfId="2371" priority="521">
      <formula>$K$9&lt;3</formula>
    </cfRule>
  </conditionalFormatting>
  <conditionalFormatting sqref="G989:G995">
    <cfRule type="expression" dxfId="2372" priority="519">
      <formula>$K$9&lt;3</formula>
    </cfRule>
  </conditionalFormatting>
  <conditionalFormatting sqref="G1074:G1079">
    <cfRule type="expression" dxfId="2373" priority="513">
      <formula>$K$9&lt;3</formula>
    </cfRule>
  </conditionalFormatting>
  <conditionalFormatting sqref="G1099:G1103">
    <cfRule type="expression" dxfId="2374" priority="511">
      <formula>$K$9&lt;3</formula>
    </cfRule>
  </conditionalFormatting>
  <conditionalFormatting sqref="G1124:G1127">
    <cfRule type="expression" dxfId="2375" priority="509">
      <formula>$K$9&lt;3</formula>
    </cfRule>
  </conditionalFormatting>
  <conditionalFormatting sqref="G1146:G1152">
    <cfRule type="expression" dxfId="2376" priority="507">
      <formula>$K$9&lt;3</formula>
    </cfRule>
  </conditionalFormatting>
  <conditionalFormatting sqref="G1191:G1195">
    <cfRule type="expression" dxfId="2377" priority="505">
      <formula>$K$9&lt;3</formula>
    </cfRule>
  </conditionalFormatting>
  <conditionalFormatting sqref="G1207:G1210">
    <cfRule type="expression" dxfId="2378" priority="503">
      <formula>$K$9&lt;3</formula>
    </cfRule>
  </conditionalFormatting>
  <conditionalFormatting sqref="G1249:G1250">
    <cfRule type="expression" dxfId="2379" priority="499">
      <formula>$K$9&lt;3</formula>
    </cfRule>
  </conditionalFormatting>
  <conditionalFormatting sqref="G1256:G1258">
    <cfRule type="expression" dxfId="2380" priority="497">
      <formula>$K$9&lt;3</formula>
    </cfRule>
  </conditionalFormatting>
  <conditionalFormatting sqref="G1270:G1274">
    <cfRule type="expression" dxfId="2381" priority="495">
      <formula>$K$9&lt;3</formula>
    </cfRule>
  </conditionalFormatting>
  <conditionalFormatting sqref="G1280:G1284">
    <cfRule type="expression" dxfId="2382" priority="493">
      <formula>$K$9&lt;3</formula>
    </cfRule>
  </conditionalFormatting>
  <conditionalFormatting sqref="G1321:G1325">
    <cfRule type="expression" dxfId="2383" priority="489">
      <formula>$K$9&lt;3</formula>
    </cfRule>
  </conditionalFormatting>
  <conditionalFormatting sqref="G1327">
    <cfRule type="expression" dxfId="2384" priority="487">
      <formula>$K$9&lt;3</formula>
    </cfRule>
  </conditionalFormatting>
  <conditionalFormatting sqref="G1328">
    <cfRule type="cellIs" dxfId="2385" priority="2563" operator="equal">
      <formula>"NA"</formula>
    </cfRule>
    <cfRule type="cellIs" dxfId="2386" priority="2552" operator="equal">
      <formula>"NA"</formula>
    </cfRule>
    <cfRule type="cellIs" dxfId="2387" priority="2565" operator="equal">
      <formula>"NA"</formula>
    </cfRule>
    <cfRule type="cellIs" dxfId="2388" priority="2564" operator="equal">
      <formula>"NA"</formula>
    </cfRule>
    <cfRule type="cellIs" dxfId="2389" priority="2566" operator="equal">
      <formula>"NA"</formula>
    </cfRule>
    <cfRule type="cellIs" dxfId="2390" priority="2549" operator="equal">
      <formula>"NA"</formula>
    </cfRule>
    <cfRule type="cellIs" dxfId="2391" priority="2550" operator="equal">
      <formula>"NA"</formula>
    </cfRule>
    <cfRule type="cellIs" dxfId="2392" priority="2551" operator="equal">
      <formula>"NA"</formula>
    </cfRule>
  </conditionalFormatting>
  <conditionalFormatting sqref="G1329:G1339">
    <cfRule type="expression" dxfId="2393" priority="485">
      <formula>$K$9&lt;3</formula>
    </cfRule>
  </conditionalFormatting>
  <conditionalFormatting sqref="G1382">
    <cfRule type="expression" dxfId="2394" priority="483">
      <formula>$K$9&lt;3</formula>
    </cfRule>
  </conditionalFormatting>
  <conditionalFormatting sqref="G1385:G1391">
    <cfRule type="expression" dxfId="2395" priority="481">
      <formula>$K$9&lt;3</formula>
    </cfRule>
  </conditionalFormatting>
  <conditionalFormatting sqref="G1395">
    <cfRule type="expression" dxfId="2396" priority="447">
      <formula>$K$9&lt;3</formula>
    </cfRule>
  </conditionalFormatting>
  <conditionalFormatting sqref="G1415:G1416">
    <cfRule type="expression" dxfId="2397" priority="469">
      <formula>$K$9&lt;3</formula>
    </cfRule>
  </conditionalFormatting>
  <conditionalFormatting sqref="G1420:G1422">
    <cfRule type="expression" dxfId="2398" priority="467">
      <formula>$K$9&lt;3</formula>
    </cfRule>
  </conditionalFormatting>
  <conditionalFormatting sqref="G1425:G1427">
    <cfRule type="expression" dxfId="2399" priority="465">
      <formula>$K$9&lt;3</formula>
    </cfRule>
  </conditionalFormatting>
  <conditionalFormatting sqref="G1429:G1430">
    <cfRule type="expression" dxfId="2400" priority="463">
      <formula>$K$9&lt;3</formula>
    </cfRule>
  </conditionalFormatting>
  <conditionalFormatting sqref="G1433:G1436">
    <cfRule type="expression" dxfId="2401" priority="461">
      <formula>$K$9&lt;3</formula>
    </cfRule>
  </conditionalFormatting>
  <conditionalFormatting sqref="G1442:G1443">
    <cfRule type="expression" dxfId="2402" priority="459">
      <formula>$K$9&lt;3</formula>
    </cfRule>
  </conditionalFormatting>
  <conditionalFormatting sqref="G1451:G1452">
    <cfRule type="expression" dxfId="2403" priority="457">
      <formula>$K$9&lt;3</formula>
    </cfRule>
  </conditionalFormatting>
  <conditionalFormatting sqref="G1455:G1458">
    <cfRule type="expression" dxfId="2404" priority="455">
      <formula>$K$9&lt;3</formula>
    </cfRule>
  </conditionalFormatting>
  <conditionalFormatting sqref="G1461:G1464">
    <cfRule type="expression" dxfId="2405" priority="453">
      <formula>$K$9&lt;3</formula>
    </cfRule>
  </conditionalFormatting>
  <conditionalFormatting sqref="G446:H446">
    <cfRule type="cellIs" dxfId="2406" priority="4010" operator="equal">
      <formula>"NA"</formula>
    </cfRule>
    <cfRule type="cellIs" dxfId="2407" priority="4007" operator="equal">
      <formula>"NA"</formula>
    </cfRule>
    <cfRule type="cellIs" dxfId="2408" priority="4008" operator="equal">
      <formula>"NA"</formula>
    </cfRule>
    <cfRule type="cellIs" dxfId="2409" priority="4009" operator="equal">
      <formula>"NA"</formula>
    </cfRule>
  </conditionalFormatting>
  <conditionalFormatting sqref="G469:H469">
    <cfRule type="cellIs" dxfId="2410" priority="3994" operator="equal">
      <formula>"NA"</formula>
    </cfRule>
    <cfRule type="cellIs" dxfId="2411" priority="3993" operator="equal">
      <formula>"NA"</formula>
    </cfRule>
    <cfRule type="cellIs" dxfId="2412" priority="3992" operator="equal">
      <formula>"NA"</formula>
    </cfRule>
    <cfRule type="cellIs" dxfId="2413" priority="3991" operator="equal">
      <formula>"NA"</formula>
    </cfRule>
  </conditionalFormatting>
  <conditionalFormatting sqref="G492:H492">
    <cfRule type="cellIs" dxfId="2414" priority="7546" operator="equal">
      <formula>"NA"</formula>
    </cfRule>
    <cfRule type="cellIs" dxfId="2415" priority="7543" operator="equal">
      <formula>"NA"</formula>
    </cfRule>
    <cfRule type="cellIs" dxfId="2416" priority="7544" operator="equal">
      <formula>"NA"</formula>
    </cfRule>
    <cfRule type="cellIs" dxfId="2417" priority="7545" operator="equal">
      <formula>"NA"</formula>
    </cfRule>
  </conditionalFormatting>
  <conditionalFormatting sqref="G515:H515">
    <cfRule type="cellIs" dxfId="2418" priority="7474" operator="equal">
      <formula>"NA"</formula>
    </cfRule>
    <cfRule type="cellIs" dxfId="2419" priority="7473" operator="equal">
      <formula>"NA"</formula>
    </cfRule>
    <cfRule type="cellIs" dxfId="2420" priority="7472" operator="equal">
      <formula>"NA"</formula>
    </cfRule>
    <cfRule type="cellIs" dxfId="2421" priority="7471" operator="equal">
      <formula>"NA"</formula>
    </cfRule>
  </conditionalFormatting>
  <conditionalFormatting sqref="G538:H538">
    <cfRule type="cellIs" dxfId="2422" priority="7401" operator="equal">
      <formula>"NA"</formula>
    </cfRule>
    <cfRule type="cellIs" dxfId="2423" priority="7402" operator="equal">
      <formula>"NA"</formula>
    </cfRule>
    <cfRule type="cellIs" dxfId="2424" priority="7400" operator="equal">
      <formula>"NA"</formula>
    </cfRule>
    <cfRule type="cellIs" dxfId="2425" priority="7399" operator="equal">
      <formula>"NA"</formula>
    </cfRule>
  </conditionalFormatting>
  <conditionalFormatting sqref="G1328:H1328">
    <cfRule type="cellIs" dxfId="2426" priority="2568" operator="equal">
      <formula>"NA"</formula>
    </cfRule>
    <cfRule type="cellIs" dxfId="2427" priority="2567" operator="equal">
      <formula>"NA"</formula>
    </cfRule>
  </conditionalFormatting>
  <conditionalFormatting sqref="G73:J73">
    <cfRule type="cellIs" dxfId="2428" priority="4343" operator="equal">
      <formula>"NA"</formula>
    </cfRule>
    <cfRule type="cellIs" dxfId="2429" priority="4344" operator="equal">
      <formula>"NA"</formula>
    </cfRule>
  </conditionalFormatting>
  <conditionalFormatting sqref="H100">
    <cfRule type="cellIs" dxfId="2430" priority="10722" operator="equal">
      <formula>"NA"</formula>
    </cfRule>
    <cfRule type="cellIs" dxfId="2431" priority="10721" operator="equal">
      <formula>"NA"</formula>
    </cfRule>
  </conditionalFormatting>
  <conditionalFormatting sqref="H446">
    <cfRule type="cellIs" dxfId="2432" priority="11190" operator="equal">
      <formula>"NA"</formula>
    </cfRule>
    <cfRule type="cellIs" dxfId="2433" priority="11189" operator="equal">
      <formula>"NA"</formula>
    </cfRule>
    <cfRule type="cellIs" dxfId="2434" priority="11188" operator="equal">
      <formula>"NA"</formula>
    </cfRule>
    <cfRule type="cellIs" dxfId="2435" priority="11187" operator="equal">
      <formula>"NA"</formula>
    </cfRule>
  </conditionalFormatting>
  <conditionalFormatting sqref="H469">
    <cfRule type="cellIs" dxfId="2436" priority="7618" operator="equal">
      <formula>"NA"</formula>
    </cfRule>
    <cfRule type="cellIs" dxfId="2437" priority="7616" operator="equal">
      <formula>"NA"</formula>
    </cfRule>
    <cfRule type="cellIs" dxfId="2438" priority="7617" operator="equal">
      <formula>"NA"</formula>
    </cfRule>
    <cfRule type="cellIs" dxfId="2439" priority="7615" operator="equal">
      <formula>"NA"</formula>
    </cfRule>
  </conditionalFormatting>
  <conditionalFormatting sqref="H1327:H1328">
    <cfRule type="cellIs" dxfId="2440" priority="6941" operator="equal">
      <formula>"NA"</formula>
    </cfRule>
    <cfRule type="cellIs" dxfId="2441" priority="6942" operator="equal">
      <formula>"NA"</formula>
    </cfRule>
  </conditionalFormatting>
  <conditionalFormatting sqref="H1328">
    <cfRule type="cellIs" dxfId="2442" priority="6940" operator="equal">
      <formula>"NA"</formula>
    </cfRule>
    <cfRule type="cellIs" dxfId="2443" priority="6939" operator="equal">
      <formula>"NA"</formula>
    </cfRule>
  </conditionalFormatting>
  <conditionalFormatting sqref="H1356:H1361">
    <cfRule type="cellIs" dxfId="2444" priority="12174" operator="equal">
      <formula>"NA"</formula>
    </cfRule>
    <cfRule type="cellIs" dxfId="2445" priority="12173" operator="equal">
      <formula>"NA"</formula>
    </cfRule>
  </conditionalFormatting>
  <conditionalFormatting sqref="H1383:H1384">
    <cfRule type="cellIs" dxfId="2446" priority="10204" operator="equal">
      <formula>"NA"</formula>
    </cfRule>
    <cfRule type="cellIs" dxfId="2447" priority="10203" operator="equal">
      <formula>"NA"</formula>
    </cfRule>
  </conditionalFormatting>
  <conditionalFormatting sqref="H444:I444 H658 H689">
    <cfRule type="cellIs" dxfId="2448" priority="11568" operator="equal">
      <formula>"NA"</formula>
    </cfRule>
    <cfRule type="cellIs" dxfId="2449" priority="11567" operator="equal">
      <formula>"NA"</formula>
    </cfRule>
  </conditionalFormatting>
  <conditionalFormatting sqref="H566:I567">
    <cfRule type="cellIs" dxfId="2450" priority="11566" operator="equal">
      <formula>"NA"</formula>
    </cfRule>
    <cfRule type="cellIs" dxfId="2451" priority="11565" operator="equal">
      <formula>"NA"</formula>
    </cfRule>
  </conditionalFormatting>
  <conditionalFormatting sqref="H590:I590">
    <cfRule type="cellIs" dxfId="2452" priority="11498" operator="equal">
      <formula>"NA"</formula>
    </cfRule>
    <cfRule type="cellIs" dxfId="2453" priority="11497" operator="equal">
      <formula>"NA"</formula>
    </cfRule>
  </conditionalFormatting>
  <conditionalFormatting sqref="H613:I613">
    <cfRule type="cellIs" dxfId="2454" priority="11431" operator="equal">
      <formula>"NA"</formula>
    </cfRule>
    <cfRule type="cellIs" dxfId="2455" priority="11432" operator="equal">
      <formula>"NA"</formula>
    </cfRule>
  </conditionalFormatting>
  <conditionalFormatting sqref="H659:I659">
    <cfRule type="cellIs" dxfId="2456" priority="11299" operator="equal">
      <formula>"NA"</formula>
    </cfRule>
    <cfRule type="cellIs" dxfId="2457" priority="11300" operator="equal">
      <formula>"NA"</formula>
    </cfRule>
  </conditionalFormatting>
  <conditionalFormatting sqref="H682:I682 A683:J683 A684:G688">
    <cfRule type="cellIs" dxfId="2458" priority="10903" operator="equal">
      <formula>"NA"</formula>
    </cfRule>
    <cfRule type="cellIs" dxfId="2459" priority="10904" operator="equal">
      <formula>"NA"</formula>
    </cfRule>
  </conditionalFormatting>
  <conditionalFormatting sqref="H1223:I1223 H1224:J1225">
    <cfRule type="cellIs" dxfId="2460" priority="7013" operator="equal">
      <formula>"NA"</formula>
    </cfRule>
    <cfRule type="cellIs" dxfId="2461" priority="7014" operator="equal">
      <formula>"NA"</formula>
    </cfRule>
  </conditionalFormatting>
  <conditionalFormatting sqref="H214:J214">
    <cfRule type="cellIs" dxfId="2462" priority="4182" operator="equal">
      <formula>"NA"</formula>
    </cfRule>
    <cfRule type="cellIs" dxfId="2463" priority="4181" operator="equal">
      <formula>"NA"</formula>
    </cfRule>
  </conditionalFormatting>
  <conditionalFormatting sqref="H231:J231">
    <cfRule type="cellIs" dxfId="2464" priority="4166" operator="equal">
      <formula>"NA"</formula>
    </cfRule>
    <cfRule type="cellIs" dxfId="2465" priority="4165" operator="equal">
      <formula>"NA"</formula>
    </cfRule>
  </conditionalFormatting>
  <conditionalFormatting sqref="H248:J248">
    <cfRule type="cellIs" dxfId="2466" priority="4149" operator="equal">
      <formula>"NA"</formula>
    </cfRule>
    <cfRule type="cellIs" dxfId="2467" priority="4150" operator="equal">
      <formula>"NA"</formula>
    </cfRule>
  </conditionalFormatting>
  <conditionalFormatting sqref="H265:J265">
    <cfRule type="cellIs" dxfId="2468" priority="4133" operator="equal">
      <formula>"NA"</formula>
    </cfRule>
    <cfRule type="cellIs" dxfId="2469" priority="4134" operator="equal">
      <formula>"NA"</formula>
    </cfRule>
  </conditionalFormatting>
  <conditionalFormatting sqref="H282:J282">
    <cfRule type="cellIs" dxfId="2470" priority="4118" operator="equal">
      <formula>"NA"</formula>
    </cfRule>
    <cfRule type="cellIs" dxfId="2471" priority="4117" operator="equal">
      <formula>"NA"</formula>
    </cfRule>
  </conditionalFormatting>
  <conditionalFormatting sqref="H299:J299">
    <cfRule type="cellIs" dxfId="2472" priority="4102" operator="equal">
      <formula>"NA"</formula>
    </cfRule>
    <cfRule type="cellIs" dxfId="2473" priority="4101" operator="equal">
      <formula>"NA"</formula>
    </cfRule>
  </conditionalFormatting>
  <conditionalFormatting sqref="H316:J316">
    <cfRule type="cellIs" dxfId="2474" priority="4086" operator="equal">
      <formula>"NA"</formula>
    </cfRule>
    <cfRule type="cellIs" dxfId="2475" priority="4085" operator="equal">
      <formula>"NA"</formula>
    </cfRule>
  </conditionalFormatting>
  <conditionalFormatting sqref="H333:J333">
    <cfRule type="cellIs" dxfId="2476" priority="4070" operator="equal">
      <formula>"NA"</formula>
    </cfRule>
    <cfRule type="cellIs" dxfId="2477" priority="4069" operator="equal">
      <formula>"NA"</formula>
    </cfRule>
  </conditionalFormatting>
  <conditionalFormatting sqref="H350:J350">
    <cfRule type="cellIs" dxfId="2478" priority="4053" operator="equal">
      <formula>"NA"</formula>
    </cfRule>
    <cfRule type="cellIs" dxfId="2479" priority="4054" operator="equal">
      <formula>"NA"</formula>
    </cfRule>
  </conditionalFormatting>
  <conditionalFormatting sqref="H367:J367">
    <cfRule type="cellIs" dxfId="2480" priority="4037" operator="equal">
      <formula>"NA"</formula>
    </cfRule>
    <cfRule type="cellIs" dxfId="2481" priority="4038" operator="equal">
      <formula>"NA"</formula>
    </cfRule>
  </conditionalFormatting>
  <conditionalFormatting sqref="H635:J635 H636:I636">
    <cfRule type="cellIs" dxfId="2482" priority="11365" operator="equal">
      <formula>"NA"</formula>
    </cfRule>
    <cfRule type="cellIs" dxfId="2483" priority="11366" operator="equal">
      <formula>"NA"</formula>
    </cfRule>
  </conditionalFormatting>
  <conditionalFormatting sqref="H1245:J1245">
    <cfRule type="cellIs" dxfId="2484" priority="7002" operator="equal">
      <formula>"NA"</formula>
    </cfRule>
    <cfRule type="cellIs" dxfId="2485" priority="7001" operator="equal">
      <formula>"NA"</formula>
    </cfRule>
  </conditionalFormatting>
  <conditionalFormatting sqref="H1253:J1253">
    <cfRule type="cellIs" dxfId="2486" priority="6995" operator="equal">
      <formula>"NA"</formula>
    </cfRule>
    <cfRule type="cellIs" dxfId="2487" priority="6996" operator="equal">
      <formula>"NA"</formula>
    </cfRule>
  </conditionalFormatting>
  <conditionalFormatting sqref="H492:K492">
    <cfRule type="cellIs" dxfId="2488" priority="7537" operator="equal">
      <formula>"NA"</formula>
    </cfRule>
    <cfRule type="cellIs" dxfId="2489" priority="7538" operator="equal">
      <formula>"NA"</formula>
    </cfRule>
    <cfRule type="cellIs" dxfId="2490" priority="7535" operator="equal">
      <formula>"NA"</formula>
    </cfRule>
    <cfRule type="cellIs" dxfId="2491" priority="7536" operator="equal">
      <formula>"NA"</formula>
    </cfRule>
  </conditionalFormatting>
  <conditionalFormatting sqref="H515:K515">
    <cfRule type="cellIs" dxfId="2492" priority="7466" operator="equal">
      <formula>"NA"</formula>
    </cfRule>
    <cfRule type="cellIs" dxfId="2493" priority="7465" operator="equal">
      <formula>"NA"</formula>
    </cfRule>
    <cfRule type="cellIs" dxfId="2494" priority="7464" operator="equal">
      <formula>"NA"</formula>
    </cfRule>
    <cfRule type="cellIs" dxfId="2495" priority="7463" operator="equal">
      <formula>"NA"</formula>
    </cfRule>
  </conditionalFormatting>
  <conditionalFormatting sqref="H538:K538">
    <cfRule type="cellIs" dxfId="2496" priority="7394" operator="equal">
      <formula>"NA"</formula>
    </cfRule>
    <cfRule type="cellIs" dxfId="2497" priority="7393" operator="equal">
      <formula>"NA"</formula>
    </cfRule>
    <cfRule type="cellIs" dxfId="2498" priority="7392" operator="equal">
      <formula>"NA"</formula>
    </cfRule>
    <cfRule type="cellIs" dxfId="2499" priority="7391" operator="equal">
      <formula>"NA"</formula>
    </cfRule>
  </conditionalFormatting>
  <conditionalFormatting sqref="I195:I206">
    <cfRule type="cellIs" dxfId="2500" priority="326" operator="equal">
      <formula>"NA"</formula>
    </cfRule>
    <cfRule type="cellIs" dxfId="2501" priority="325" operator="equal">
      <formula>"NA"</formula>
    </cfRule>
  </conditionalFormatting>
  <conditionalFormatting sqref="I197">
    <cfRule type="cellIs" dxfId="2502" priority="328" operator="equal">
      <formula>"NA"</formula>
    </cfRule>
    <cfRule type="cellIs" dxfId="2503" priority="327" operator="equal">
      <formula>"NA"</formula>
    </cfRule>
  </conditionalFormatting>
  <conditionalFormatting sqref="I212:I223">
    <cfRule type="cellIs" dxfId="2504" priority="321" operator="equal">
      <formula>"NA"</formula>
    </cfRule>
    <cfRule type="cellIs" dxfId="2505" priority="322" operator="equal">
      <formula>"NA"</formula>
    </cfRule>
  </conditionalFormatting>
  <conditionalFormatting sqref="I214">
    <cfRule type="cellIs" dxfId="2506" priority="323" operator="equal">
      <formula>"NA"</formula>
    </cfRule>
    <cfRule type="cellIs" dxfId="2507" priority="324" operator="equal">
      <formula>"NA"</formula>
    </cfRule>
  </conditionalFormatting>
  <conditionalFormatting sqref="I229:I240">
    <cfRule type="cellIs" dxfId="2508" priority="318" operator="equal">
      <formula>"NA"</formula>
    </cfRule>
    <cfRule type="cellIs" dxfId="2509" priority="317" operator="equal">
      <formula>"NA"</formula>
    </cfRule>
  </conditionalFormatting>
  <conditionalFormatting sqref="I231">
    <cfRule type="cellIs" dxfId="2510" priority="320" operator="equal">
      <formula>"NA"</formula>
    </cfRule>
    <cfRule type="cellIs" dxfId="2511" priority="319" operator="equal">
      <formula>"NA"</formula>
    </cfRule>
  </conditionalFormatting>
  <conditionalFormatting sqref="I693">
    <cfRule type="expression" dxfId="2512" priority="234">
      <formula>$K$9&lt;3</formula>
    </cfRule>
  </conditionalFormatting>
  <conditionalFormatting sqref="I793">
    <cfRule type="cellIs" dxfId="2513" priority="11890" operator="equal">
      <formula>"NA"</formula>
    </cfRule>
  </conditionalFormatting>
  <conditionalFormatting sqref="I856">
    <cfRule type="cellIs" dxfId="2514" priority="216" operator="equal">
      <formula>"NA"</formula>
    </cfRule>
    <cfRule type="cellIs" dxfId="2515" priority="217" operator="equal">
      <formula>"NA"</formula>
    </cfRule>
  </conditionalFormatting>
  <conditionalFormatting sqref="I858">
    <cfRule type="expression" dxfId="2516" priority="215">
      <formula>$K$9&lt;3</formula>
    </cfRule>
  </conditionalFormatting>
  <conditionalFormatting sqref="I859">
    <cfRule type="cellIs" dxfId="2517" priority="209" operator="equal">
      <formula>"NA"</formula>
    </cfRule>
    <cfRule type="cellIs" dxfId="2518" priority="210" operator="equal">
      <formula>"NA"</formula>
    </cfRule>
    <cfRule type="cellIs" dxfId="2519" priority="211" operator="equal">
      <formula>"NA"</formula>
    </cfRule>
    <cfRule type="cellIs" dxfId="2520" priority="212" operator="equal">
      <formula>"NA"</formula>
    </cfRule>
  </conditionalFormatting>
  <conditionalFormatting sqref="I880:I882">
    <cfRule type="cellIs" dxfId="2521" priority="315" operator="equal">
      <formula>"NA"</formula>
    </cfRule>
    <cfRule type="cellIs" dxfId="2522" priority="316" operator="equal">
      <formula>"NA"</formula>
    </cfRule>
  </conditionalFormatting>
  <conditionalFormatting sqref="I1028">
    <cfRule type="cellIs" dxfId="2523" priority="134" operator="equal">
      <formula>"NA"</formula>
    </cfRule>
    <cfRule type="cellIs" dxfId="2524" priority="133" operator="equal">
      <formula>"NA"</formula>
    </cfRule>
  </conditionalFormatting>
  <conditionalFormatting sqref="I1035 E1036:F1036">
    <cfRule type="cellIs" dxfId="2525" priority="9830" operator="equal">
      <formula>"NA"</formula>
    </cfRule>
  </conditionalFormatting>
  <conditionalFormatting sqref="I1051">
    <cfRule type="cellIs" dxfId="2526" priority="126" operator="equal">
      <formula>"NA"</formula>
    </cfRule>
    <cfRule type="cellIs" dxfId="2527" priority="127" operator="equal">
      <formula>"NA"</formula>
    </cfRule>
    <cfRule type="cellIs" dxfId="2528" priority="128" operator="equal">
      <formula>"NA"</formula>
    </cfRule>
    <cfRule type="cellIs" dxfId="2529" priority="125" operator="equal">
      <formula>"NA"</formula>
    </cfRule>
  </conditionalFormatting>
  <conditionalFormatting sqref="I1073">
    <cfRule type="cellIs" dxfId="2530" priority="117" operator="equal">
      <formula>"NA"</formula>
    </cfRule>
    <cfRule type="cellIs" dxfId="2531" priority="118" operator="equal">
      <formula>"NA"</formula>
    </cfRule>
  </conditionalFormatting>
  <conditionalFormatting sqref="I1095">
    <cfRule type="cellIs" dxfId="2532" priority="112" operator="equal">
      <formula>"NA"</formula>
    </cfRule>
    <cfRule type="cellIs" dxfId="2533" priority="111" operator="equal">
      <formula>"NA"</formula>
    </cfRule>
    <cfRule type="cellIs" dxfId="2534" priority="109" operator="equal">
      <formula>"NA"</formula>
    </cfRule>
    <cfRule type="cellIs" dxfId="2535" priority="110" operator="equal">
      <formula>"NA"</formula>
    </cfRule>
  </conditionalFormatting>
  <conditionalFormatting sqref="I1119">
    <cfRule type="cellIs" dxfId="2536" priority="278" operator="equal">
      <formula>"NA"</formula>
    </cfRule>
    <cfRule type="cellIs" dxfId="2537" priority="277" operator="equal">
      <formula>"NA"</formula>
    </cfRule>
  </conditionalFormatting>
  <conditionalFormatting sqref="I1143">
    <cfRule type="cellIs" dxfId="2538" priority="98" operator="equal">
      <formula>"NA"</formula>
    </cfRule>
    <cfRule type="cellIs" dxfId="2539" priority="97" operator="equal">
      <formula>"NA"</formula>
    </cfRule>
  </conditionalFormatting>
  <conditionalFormatting sqref="I1295">
    <cfRule type="cellIs" dxfId="2540" priority="182" operator="equal">
      <formula>"NA"</formula>
    </cfRule>
    <cfRule type="cellIs" dxfId="2541" priority="181" operator="equal">
      <formula>"NA"</formula>
    </cfRule>
  </conditionalFormatting>
  <conditionalFormatting sqref="I43:J44 I45 I46:J47 E799:E802">
    <cfRule type="cellIs" dxfId="2542" priority="11875" operator="equal">
      <formula>"NA"</formula>
    </cfRule>
    <cfRule type="cellIs" dxfId="2543" priority="11874" operator="equal">
      <formula>"NA"</formula>
    </cfRule>
    <cfRule type="cellIs" dxfId="2544" priority="11873" operator="equal">
      <formula>"NA"</formula>
    </cfRule>
    <cfRule type="cellIs" dxfId="2545" priority="8463" operator="equal">
      <formula>"NA"</formula>
    </cfRule>
    <cfRule type="cellIs" dxfId="2546" priority="8464" operator="equal">
      <formula>"NA"</formula>
    </cfRule>
    <cfRule type="cellIs" dxfId="2547" priority="12075" operator="equal">
      <formula>"NA"</formula>
    </cfRule>
    <cfRule type="cellIs" dxfId="2548" priority="12076" operator="equal">
      <formula>"NA"</formula>
    </cfRule>
    <cfRule type="cellIs" dxfId="2549" priority="11876" operator="equal">
      <formula>"NA"</formula>
    </cfRule>
  </conditionalFormatting>
  <conditionalFormatting sqref="I43:J44">
    <cfRule type="cellIs" dxfId="2550" priority="4393" operator="equal">
      <formula>"NA"</formula>
    </cfRule>
    <cfRule type="cellIs" dxfId="2551" priority="4392" operator="equal">
      <formula>"NA"</formula>
    </cfRule>
    <cfRule type="cellIs" dxfId="2552" priority="4383" operator="equal">
      <formula>"NA"</formula>
    </cfRule>
    <cfRule type="cellIs" dxfId="2553" priority="4394" operator="equal">
      <formula>"NA"</formula>
    </cfRule>
    <cfRule type="cellIs" dxfId="2554" priority="4386" operator="equal">
      <formula>"NA"</formula>
    </cfRule>
    <cfRule type="cellIs" dxfId="2555" priority="4385" operator="equal">
      <formula>"NA"</formula>
    </cfRule>
    <cfRule type="cellIs" dxfId="2556" priority="4387" operator="equal">
      <formula>"NA"</formula>
    </cfRule>
    <cfRule type="cellIs" dxfId="2557" priority="4388" operator="equal">
      <formula>"NA"</formula>
    </cfRule>
    <cfRule type="cellIs" dxfId="2558" priority="4384" operator="equal">
      <formula>"NA"</formula>
    </cfRule>
    <cfRule type="cellIs" dxfId="2559" priority="4391" operator="equal">
      <formula>"NA"</formula>
    </cfRule>
    <cfRule type="cellIs" dxfId="2560" priority="4389" operator="equal">
      <formula>"NA"</formula>
    </cfRule>
    <cfRule type="cellIs" dxfId="2561" priority="4390" operator="equal">
      <formula>"NA"</formula>
    </cfRule>
  </conditionalFormatting>
  <conditionalFormatting sqref="I52:J57">
    <cfRule type="cellIs" dxfId="2562" priority="4378" operator="equal">
      <formula>"NA"</formula>
    </cfRule>
    <cfRule type="cellIs" dxfId="2563" priority="4379" operator="equal">
      <formula>"NA"</formula>
    </cfRule>
    <cfRule type="cellIs" dxfId="2564" priority="4377" operator="equal">
      <formula>"NA"</formula>
    </cfRule>
    <cfRule type="cellIs" dxfId="2565" priority="4380" operator="equal">
      <formula>"NA"</formula>
    </cfRule>
  </conditionalFormatting>
  <conditionalFormatting sqref="I64:J67 I70:J70">
    <cfRule type="cellIs" dxfId="2566" priority="4367" operator="equal">
      <formula>"NA"</formula>
    </cfRule>
    <cfRule type="cellIs" dxfId="2567" priority="4370" operator="equal">
      <formula>"NA"</formula>
    </cfRule>
    <cfRule type="cellIs" dxfId="2568" priority="4368" operator="equal">
      <formula>"NA"</formula>
    </cfRule>
    <cfRule type="cellIs" dxfId="2569" priority="4369" operator="equal">
      <formula>"NA"</formula>
    </cfRule>
  </conditionalFormatting>
  <conditionalFormatting sqref="I73:J73">
    <cfRule type="cellIs" dxfId="2570" priority="4334" operator="equal">
      <formula>"NA"</formula>
    </cfRule>
    <cfRule type="cellIs" dxfId="2571" priority="4333" operator="equal">
      <formula>"NA"</formula>
    </cfRule>
    <cfRule type="cellIs" dxfId="2572" priority="4345" operator="equal">
      <formula>"NA"</formula>
    </cfRule>
    <cfRule type="cellIs" dxfId="2573" priority="4346" operator="equal">
      <formula>"NA"</formula>
    </cfRule>
  </conditionalFormatting>
  <conditionalFormatting sqref="I73:J75">
    <cfRule type="cellIs" dxfId="2574" priority="4331" operator="equal">
      <formula>"NA"</formula>
    </cfRule>
    <cfRule type="cellIs" dxfId="2575" priority="4332" operator="equal">
      <formula>"NA"</formula>
    </cfRule>
  </conditionalFormatting>
  <conditionalFormatting sqref="I74:J74">
    <cfRule type="cellIs" dxfId="2576" priority="4323" operator="equal">
      <formula>"NA"</formula>
    </cfRule>
    <cfRule type="cellIs" dxfId="2577" priority="4324" operator="equal">
      <formula>"NA"</formula>
    </cfRule>
  </conditionalFormatting>
  <conditionalFormatting sqref="I74:J75">
    <cfRule type="cellIs" dxfId="2578" priority="4325" operator="equal">
      <formula>"NA"</formula>
    </cfRule>
    <cfRule type="cellIs" dxfId="2579" priority="4326" operator="equal">
      <formula>"NA"</formula>
    </cfRule>
    <cfRule type="cellIs" dxfId="2580" priority="4319" operator="equal">
      <formula>"NA"</formula>
    </cfRule>
    <cfRule type="cellIs" dxfId="2581" priority="4320" operator="equal">
      <formula>"NA"</formula>
    </cfRule>
  </conditionalFormatting>
  <conditionalFormatting sqref="I74:J83 J84:J85 I86:J95">
    <cfRule type="cellIs" dxfId="2582" priority="4339" operator="equal">
      <formula>"NA"</formula>
    </cfRule>
    <cfRule type="cellIs" dxfId="2583" priority="4340" operator="equal">
      <formula>"NA"</formula>
    </cfRule>
  </conditionalFormatting>
  <conditionalFormatting sqref="I75:J75">
    <cfRule type="cellIs" dxfId="2584" priority="4313" operator="equal">
      <formula>"NA"</formula>
    </cfRule>
    <cfRule type="cellIs" dxfId="2585" priority="4318" operator="equal">
      <formula>"NA"</formula>
    </cfRule>
    <cfRule type="cellIs" dxfId="2586" priority="4317" operator="equal">
      <formula>"NA"</formula>
    </cfRule>
    <cfRule type="cellIs" dxfId="2587" priority="4314" operator="equal">
      <formula>"NA"</formula>
    </cfRule>
    <cfRule type="cellIs" dxfId="2588" priority="4315" operator="equal">
      <formula>"NA"</formula>
    </cfRule>
    <cfRule type="cellIs" dxfId="2589" priority="4316" operator="equal">
      <formula>"NA"</formula>
    </cfRule>
  </conditionalFormatting>
  <conditionalFormatting sqref="I78:J83 J84:J85 I86:J93">
    <cfRule type="cellIs" dxfId="2590" priority="4335" operator="equal">
      <formula>"NA"</formula>
    </cfRule>
    <cfRule type="cellIs" dxfId="2591" priority="4336" operator="equal">
      <formula>"NA"</formula>
    </cfRule>
  </conditionalFormatting>
  <conditionalFormatting sqref="I78:J88">
    <cfRule type="cellIs" dxfId="2592" priority="244" operator="equal">
      <formula>"NA"</formula>
    </cfRule>
    <cfRule type="cellIs" dxfId="2593" priority="243" operator="equal">
      <formula>"NA"</formula>
    </cfRule>
  </conditionalFormatting>
  <conditionalFormatting sqref="I98:J99">
    <cfRule type="cellIs" dxfId="2594" priority="4296" operator="equal">
      <formula>"NA"</formula>
    </cfRule>
    <cfRule type="cellIs" dxfId="2595" priority="4295" operator="equal">
      <formula>"NA"</formula>
    </cfRule>
  </conditionalFormatting>
  <conditionalFormatting sqref="I98:J101">
    <cfRule type="cellIs" dxfId="2596" priority="4285" operator="equal">
      <formula>"NA"</formula>
    </cfRule>
    <cfRule type="cellIs" dxfId="2597" priority="4286" operator="equal">
      <formula>"NA"</formula>
    </cfRule>
  </conditionalFormatting>
  <conditionalFormatting sqref="I98:J108">
    <cfRule type="cellIs" dxfId="2598" priority="4289" operator="equal">
      <formula>"NA"</formula>
    </cfRule>
    <cfRule type="cellIs" dxfId="2599" priority="4290" operator="equal">
      <formula>"NA"</formula>
    </cfRule>
  </conditionalFormatting>
  <conditionalFormatting sqref="I100:J100">
    <cfRule type="cellIs" dxfId="2600" priority="4288" operator="equal">
      <formula>"NA"</formula>
    </cfRule>
    <cfRule type="cellIs" dxfId="2601" priority="4292" operator="equal">
      <formula>"NA"</formula>
    </cfRule>
    <cfRule type="cellIs" dxfId="2602" priority="4291" operator="equal">
      <formula>"NA"</formula>
    </cfRule>
    <cfRule type="cellIs" dxfId="2603" priority="4287" operator="equal">
      <formula>"NA"</formula>
    </cfRule>
  </conditionalFormatting>
  <conditionalFormatting sqref="I101:J101">
    <cfRule type="cellIs" dxfId="2604" priority="4280" operator="equal">
      <formula>"NA"</formula>
    </cfRule>
    <cfRule type="cellIs" dxfId="2605" priority="4277" operator="equal">
      <formula>"NA"</formula>
    </cfRule>
    <cfRule type="cellIs" dxfId="2606" priority="4278" operator="equal">
      <formula>"NA"</formula>
    </cfRule>
    <cfRule type="cellIs" dxfId="2607" priority="4279" operator="equal">
      <formula>"NA"</formula>
    </cfRule>
  </conditionalFormatting>
  <conditionalFormatting sqref="I103:J103">
    <cfRule type="cellIs" dxfId="2608" priority="4283" operator="equal">
      <formula>"NA"</formula>
    </cfRule>
    <cfRule type="cellIs" dxfId="2609" priority="4284" operator="equal">
      <formula>"NA"</formula>
    </cfRule>
  </conditionalFormatting>
  <conditionalFormatting sqref="I105:J106">
    <cfRule type="cellIs" dxfId="2610" priority="4282" operator="equal">
      <formula>"NA"</formula>
    </cfRule>
    <cfRule type="cellIs" dxfId="2611" priority="4281" operator="equal">
      <formula>"NA"</formula>
    </cfRule>
  </conditionalFormatting>
  <conditionalFormatting sqref="I111:J111">
    <cfRule type="cellIs" dxfId="2612" priority="4237" operator="equal">
      <formula>"NA"</formula>
    </cfRule>
    <cfRule type="cellIs" dxfId="2613" priority="4236" operator="equal">
      <formula>"NA"</formula>
    </cfRule>
    <cfRule type="cellIs" dxfId="2614" priority="4239" operator="equal">
      <formula>"NA"</formula>
    </cfRule>
    <cfRule type="cellIs" dxfId="2615" priority="4240" operator="equal">
      <formula>"NA"</formula>
    </cfRule>
    <cfRule type="cellIs" dxfId="2616" priority="4238" operator="equal">
      <formula>"NA"</formula>
    </cfRule>
    <cfRule type="cellIs" dxfId="2617" priority="4235" operator="equal">
      <formula>"NA"</formula>
    </cfRule>
  </conditionalFormatting>
  <conditionalFormatting sqref="I111:J112">
    <cfRule type="cellIs" dxfId="2618" priority="4243" operator="equal">
      <formula>"NA"</formula>
    </cfRule>
    <cfRule type="cellIs" dxfId="2619" priority="4244" operator="equal">
      <formula>"NA"</formula>
    </cfRule>
    <cfRule type="cellIs" dxfId="2620" priority="4241" operator="equal">
      <formula>"NA"</formula>
    </cfRule>
    <cfRule type="cellIs" dxfId="2621" priority="4242" operator="equal">
      <formula>"NA"</formula>
    </cfRule>
  </conditionalFormatting>
  <conditionalFormatting sqref="I112:J114">
    <cfRule type="cellIs" dxfId="2622" priority="4245" operator="equal">
      <formula>"NA"</formula>
    </cfRule>
    <cfRule type="cellIs" dxfId="2623" priority="4246" operator="equal">
      <formula>"NA"</formula>
    </cfRule>
  </conditionalFormatting>
  <conditionalFormatting sqref="I117:J118 I119 I123:J124">
    <cfRule type="cellIs" dxfId="2624" priority="10669" operator="equal">
      <formula>"NA"</formula>
    </cfRule>
    <cfRule type="cellIs" dxfId="2625" priority="10670" operator="equal">
      <formula>"NA"</formula>
    </cfRule>
  </conditionalFormatting>
  <conditionalFormatting sqref="I118:J118 I119">
    <cfRule type="cellIs" dxfId="2626" priority="11702" operator="equal">
      <formula>"NA"</formula>
    </cfRule>
    <cfRule type="cellIs" dxfId="2627" priority="11701" operator="equal">
      <formula>"NA"</formula>
    </cfRule>
  </conditionalFormatting>
  <conditionalFormatting sqref="I124:J124">
    <cfRule type="cellIs" dxfId="2628" priority="11699" operator="equal">
      <formula>"NA"</formula>
    </cfRule>
    <cfRule type="cellIs" dxfId="2629" priority="11700" operator="equal">
      <formula>"NA"</formula>
    </cfRule>
  </conditionalFormatting>
  <conditionalFormatting sqref="I129:J129">
    <cfRule type="cellIs" dxfId="2630" priority="4219" operator="equal">
      <formula>"NA"</formula>
    </cfRule>
    <cfRule type="cellIs" dxfId="2631" priority="4220" operator="equal">
      <formula>"NA"</formula>
    </cfRule>
    <cfRule type="cellIs" dxfId="2632" priority="4221" operator="equal">
      <formula>"NA"</formula>
    </cfRule>
    <cfRule type="cellIs" dxfId="2633" priority="4222" operator="equal">
      <formula>"NA"</formula>
    </cfRule>
  </conditionalFormatting>
  <conditionalFormatting sqref="I129:J130">
    <cfRule type="cellIs" dxfId="2634" priority="4224" operator="equal">
      <formula>"NA"</formula>
    </cfRule>
    <cfRule type="cellIs" dxfId="2635" priority="4223" operator="equal">
      <formula>"NA"</formula>
    </cfRule>
  </conditionalFormatting>
  <conditionalFormatting sqref="I130:J132">
    <cfRule type="cellIs" dxfId="2636" priority="4225" operator="equal">
      <formula>"NA"</formula>
    </cfRule>
    <cfRule type="cellIs" dxfId="2637" priority="4226" operator="equal">
      <formula>"NA"</formula>
    </cfRule>
  </conditionalFormatting>
  <conditionalFormatting sqref="I135:J136">
    <cfRule type="cellIs" dxfId="2638" priority="7709" operator="equal">
      <formula>"NA"</formula>
    </cfRule>
    <cfRule type="cellIs" dxfId="2639" priority="7710" operator="equal">
      <formula>"NA"</formula>
    </cfRule>
  </conditionalFormatting>
  <conditionalFormatting sqref="I136:J136">
    <cfRule type="cellIs" dxfId="2640" priority="7711" operator="equal">
      <formula>"NA"</formula>
    </cfRule>
    <cfRule type="cellIs" dxfId="2641" priority="7712" operator="equal">
      <formula>"NA"</formula>
    </cfRule>
  </conditionalFormatting>
  <conditionalFormatting sqref="I141:J142 I147:J148 I407:J408 I413:J414 I431:J433 J683:K683 J465:K465 E64:E67 E70 E73:F73 E74:E75 E117:E118 E123:E124 E135:E136 E141:E142 E147:E148 E153:E154 E165:F165 E166:E167 H165:J165 I464:K464 I466:K466 I487:K489 I533:K535 I556:K558 I560:K564 I586:K588 I609:K611 I632:K634 I655:K657 I678:J680 K678:K681 A681:J681 I684:K688 H798 H803 K856 K877 K898 K919 K961 E967:E970 I967:J970 J971:J973 K985 K1049 K1071 K1117 K1141 K1204">
    <cfRule type="cellIs" dxfId="2642" priority="12989" operator="equal">
      <formula>"NA"</formula>
    </cfRule>
  </conditionalFormatting>
  <conditionalFormatting sqref="I142:J142">
    <cfRule type="cellIs" dxfId="2643" priority="11693" operator="equal">
      <formula>"NA"</formula>
    </cfRule>
    <cfRule type="cellIs" dxfId="2644" priority="11694" operator="equal">
      <formula>"NA"</formula>
    </cfRule>
  </conditionalFormatting>
  <conditionalFormatting sqref="I148:J150">
    <cfRule type="cellIs" dxfId="2645" priority="11692" operator="equal">
      <formula>"NA"</formula>
    </cfRule>
    <cfRule type="cellIs" dxfId="2646" priority="11691" operator="equal">
      <formula>"NA"</formula>
    </cfRule>
  </conditionalFormatting>
  <conditionalFormatting sqref="I153:J153">
    <cfRule type="cellIs" dxfId="2647" priority="6251" operator="equal">
      <formula>"NA"</formula>
    </cfRule>
    <cfRule type="cellIs" dxfId="2648" priority="6246" operator="equal">
      <formula>"NA"</formula>
    </cfRule>
    <cfRule type="cellIs" dxfId="2649" priority="6245" operator="equal">
      <formula>"NA"</formula>
    </cfRule>
    <cfRule type="cellIs" dxfId="2650" priority="6256" operator="equal">
      <formula>"NA"</formula>
    </cfRule>
    <cfRule type="cellIs" dxfId="2651" priority="6255" operator="equal">
      <formula>"NA"</formula>
    </cfRule>
    <cfRule type="cellIs" dxfId="2652" priority="6257" operator="equal">
      <formula>"NA"</formula>
    </cfRule>
    <cfRule type="cellIs" dxfId="2653" priority="6243" operator="equal">
      <formula>"NA"</formula>
    </cfRule>
    <cfRule type="cellIs" dxfId="2654" priority="6252" operator="equal">
      <formula>"NA"</formula>
    </cfRule>
    <cfRule type="cellIs" dxfId="2655" priority="6241" operator="equal">
      <formula>"NA"</formula>
    </cfRule>
    <cfRule type="cellIs" dxfId="2656" priority="6242" operator="equal">
      <formula>"NA"</formula>
    </cfRule>
    <cfRule type="cellIs" dxfId="2657" priority="6258" operator="equal">
      <formula>"NA"</formula>
    </cfRule>
    <cfRule type="cellIs" dxfId="2658" priority="6253" operator="equal">
      <formula>"NA"</formula>
    </cfRule>
    <cfRule type="cellIs" dxfId="2659" priority="6254" operator="equal">
      <formula>"NA"</formula>
    </cfRule>
    <cfRule type="cellIs" dxfId="2660" priority="6244" operator="equal">
      <formula>"NA"</formula>
    </cfRule>
    <cfRule type="cellIs" dxfId="2661" priority="6249" operator="equal">
      <formula>"NA"</formula>
    </cfRule>
    <cfRule type="cellIs" dxfId="2662" priority="6248" operator="equal">
      <formula>"NA"</formula>
    </cfRule>
    <cfRule type="cellIs" dxfId="2663" priority="6247" operator="equal">
      <formula>"NA"</formula>
    </cfRule>
    <cfRule type="cellIs" dxfId="2664" priority="6250" operator="equal">
      <formula>"NA"</formula>
    </cfRule>
  </conditionalFormatting>
  <conditionalFormatting sqref="I153:J154">
    <cfRule type="cellIs" dxfId="2665" priority="6279" operator="equal">
      <formula>"NA"</formula>
    </cfRule>
    <cfRule type="cellIs" dxfId="2666" priority="6260" operator="equal">
      <formula>"NA"</formula>
    </cfRule>
    <cfRule type="cellIs" dxfId="2667" priority="6284" operator="equal">
      <formula>"NA"</formula>
    </cfRule>
    <cfRule type="cellIs" dxfId="2668" priority="6259" operator="equal">
      <formula>"NA"</formula>
    </cfRule>
    <cfRule type="cellIs" dxfId="2669" priority="6280" operator="equal">
      <formula>"NA"</formula>
    </cfRule>
    <cfRule type="cellIs" dxfId="2670" priority="6283" operator="equal">
      <formula>"NA"</formula>
    </cfRule>
  </conditionalFormatting>
  <conditionalFormatting sqref="I154:J154">
    <cfRule type="cellIs" dxfId="2671" priority="6268" operator="equal">
      <formula>"NA"</formula>
    </cfRule>
    <cfRule type="cellIs" dxfId="2672" priority="6269" operator="equal">
      <formula>"NA"</formula>
    </cfRule>
    <cfRule type="cellIs" dxfId="2673" priority="6270" operator="equal">
      <formula>"NA"</formula>
    </cfRule>
    <cfRule type="cellIs" dxfId="2674" priority="6272" operator="equal">
      <formula>"NA"</formula>
    </cfRule>
    <cfRule type="cellIs" dxfId="2675" priority="6273" operator="equal">
      <formula>"NA"</formula>
    </cfRule>
    <cfRule type="cellIs" dxfId="2676" priority="6274" operator="equal">
      <formula>"NA"</formula>
    </cfRule>
    <cfRule type="cellIs" dxfId="2677" priority="6275" operator="equal">
      <formula>"NA"</formula>
    </cfRule>
    <cfRule type="cellIs" dxfId="2678" priority="6277" operator="equal">
      <formula>"NA"</formula>
    </cfRule>
    <cfRule type="cellIs" dxfId="2679" priority="6263" operator="equal">
      <formula>"NA"</formula>
    </cfRule>
    <cfRule type="cellIs" dxfId="2680" priority="6267" operator="equal">
      <formula>"NA"</formula>
    </cfRule>
    <cfRule type="cellIs" dxfId="2681" priority="6271" operator="equal">
      <formula>"NA"</formula>
    </cfRule>
    <cfRule type="cellIs" dxfId="2682" priority="6281" operator="equal">
      <formula>"NA"</formula>
    </cfRule>
    <cfRule type="cellIs" dxfId="2683" priority="6282" operator="equal">
      <formula>"NA"</formula>
    </cfRule>
    <cfRule type="cellIs" dxfId="2684" priority="6264" operator="equal">
      <formula>"NA"</formula>
    </cfRule>
    <cfRule type="cellIs" dxfId="2685" priority="6265" operator="equal">
      <formula>"NA"</formula>
    </cfRule>
    <cfRule type="cellIs" dxfId="2686" priority="6266" operator="equal">
      <formula>"NA"</formula>
    </cfRule>
    <cfRule type="cellIs" dxfId="2687" priority="6276" operator="equal">
      <formula>"NA"</formula>
    </cfRule>
    <cfRule type="cellIs" dxfId="2688" priority="6278" operator="equal">
      <formula>"NA"</formula>
    </cfRule>
  </conditionalFormatting>
  <conditionalFormatting sqref="I159:J160">
    <cfRule type="cellIs" dxfId="2689" priority="4212" operator="equal">
      <formula>"NA"</formula>
    </cfRule>
    <cfRule type="cellIs" dxfId="2690" priority="4211" operator="equal">
      <formula>"NA"</formula>
    </cfRule>
  </conditionalFormatting>
  <conditionalFormatting sqref="I159:J162">
    <cfRule type="cellIs" dxfId="2691" priority="4216" operator="equal">
      <formula>"NA"</formula>
    </cfRule>
    <cfRule type="cellIs" dxfId="2692" priority="4215" operator="equal">
      <formula>"NA"</formula>
    </cfRule>
  </conditionalFormatting>
  <conditionalFormatting sqref="I165:J165">
    <cfRule type="cellIs" dxfId="2693" priority="9805" operator="equal">
      <formula>"NA"</formula>
    </cfRule>
    <cfRule type="cellIs" dxfId="2694" priority="9808" operator="equal">
      <formula>"NA"</formula>
    </cfRule>
    <cfRule type="cellIs" dxfId="2695" priority="9802" operator="equal">
      <formula>"NA"</formula>
    </cfRule>
    <cfRule type="cellIs" dxfId="2696" priority="9801" operator="equal">
      <formula>"NA"</formula>
    </cfRule>
    <cfRule type="cellIs" dxfId="2697" priority="9804" operator="equal">
      <formula>"NA"</formula>
    </cfRule>
    <cfRule type="cellIs" dxfId="2698" priority="9809" operator="equal">
      <formula>"NA"</formula>
    </cfRule>
    <cfRule type="cellIs" dxfId="2699" priority="9810" operator="equal">
      <formula>"NA"</formula>
    </cfRule>
    <cfRule type="cellIs" dxfId="2700" priority="9807" operator="equal">
      <formula>"NA"</formula>
    </cfRule>
    <cfRule type="cellIs" dxfId="2701" priority="9803" operator="equal">
      <formula>"NA"</formula>
    </cfRule>
    <cfRule type="cellIs" dxfId="2702" priority="9806" operator="equal">
      <formula>"NA"</formula>
    </cfRule>
  </conditionalFormatting>
  <conditionalFormatting sqref="I165:J167 J168:J169">
    <cfRule type="cellIs" dxfId="2703" priority="8330" operator="equal">
      <formula>"NA"</formula>
    </cfRule>
    <cfRule type="cellIs" dxfId="2704" priority="8329" operator="equal">
      <formula>"NA"</formula>
    </cfRule>
  </conditionalFormatting>
  <conditionalFormatting sqref="I166:J167 J168:J169">
    <cfRule type="cellIs" dxfId="2705" priority="8328" operator="equal">
      <formula>"NA"</formula>
    </cfRule>
  </conditionalFormatting>
  <conditionalFormatting sqref="I172:J183">
    <cfRule type="cellIs" dxfId="2706" priority="10665" operator="equal">
      <formula>"NA"</formula>
    </cfRule>
    <cfRule type="cellIs" dxfId="2707" priority="10666" operator="equal">
      <formula>"NA"</formula>
    </cfRule>
  </conditionalFormatting>
  <conditionalFormatting sqref="I190:J191">
    <cfRule type="cellIs" dxfId="2708" priority="4208" operator="equal">
      <formula>"NA"</formula>
    </cfRule>
    <cfRule type="cellIs" dxfId="2709" priority="4207" operator="equal">
      <formula>"NA"</formula>
    </cfRule>
  </conditionalFormatting>
  <conditionalFormatting sqref="I195:J206 E212:E223">
    <cfRule type="cellIs" dxfId="2710" priority="4184" operator="equal">
      <formula>"NA"</formula>
    </cfRule>
    <cfRule type="cellIs" dxfId="2711" priority="4183" operator="equal">
      <formula>"NA"</formula>
    </cfRule>
  </conditionalFormatting>
  <conditionalFormatting sqref="I197:J197 E214">
    <cfRule type="cellIs" dxfId="2712" priority="4190" operator="equal">
      <formula>"NA"</formula>
    </cfRule>
    <cfRule type="cellIs" dxfId="2713" priority="4189" operator="equal">
      <formula>"NA"</formula>
    </cfRule>
  </conditionalFormatting>
  <conditionalFormatting sqref="I212:J223">
    <cfRule type="cellIs" dxfId="2714" priority="4175" operator="equal">
      <formula>"NA"</formula>
    </cfRule>
    <cfRule type="cellIs" dxfId="2715" priority="4176" operator="equal">
      <formula>"NA"</formula>
    </cfRule>
  </conditionalFormatting>
  <conditionalFormatting sqref="I229:J240">
    <cfRule type="cellIs" dxfId="2716" priority="4159" operator="equal">
      <formula>"NA"</formula>
    </cfRule>
    <cfRule type="cellIs" dxfId="2717" priority="4160" operator="equal">
      <formula>"NA"</formula>
    </cfRule>
  </conditionalFormatting>
  <conditionalFormatting sqref="I246:J257">
    <cfRule type="cellIs" dxfId="2718" priority="4144" operator="equal">
      <formula>"NA"</formula>
    </cfRule>
    <cfRule type="cellIs" dxfId="2719" priority="4143" operator="equal">
      <formula>"NA"</formula>
    </cfRule>
  </conditionalFormatting>
  <conditionalFormatting sqref="I263:J274">
    <cfRule type="cellIs" dxfId="2720" priority="4128" operator="equal">
      <formula>"NA"</formula>
    </cfRule>
    <cfRule type="cellIs" dxfId="2721" priority="4127" operator="equal">
      <formula>"NA"</formula>
    </cfRule>
  </conditionalFormatting>
  <conditionalFormatting sqref="I280:J291">
    <cfRule type="cellIs" dxfId="2722" priority="4112" operator="equal">
      <formula>"NA"</formula>
    </cfRule>
    <cfRule type="cellIs" dxfId="2723" priority="4111" operator="equal">
      <formula>"NA"</formula>
    </cfRule>
  </conditionalFormatting>
  <conditionalFormatting sqref="I297:J308">
    <cfRule type="cellIs" dxfId="2724" priority="4096" operator="equal">
      <formula>"NA"</formula>
    </cfRule>
    <cfRule type="cellIs" dxfId="2725" priority="4095" operator="equal">
      <formula>"NA"</formula>
    </cfRule>
  </conditionalFormatting>
  <conditionalFormatting sqref="I314:J325">
    <cfRule type="cellIs" dxfId="2726" priority="4079" operator="equal">
      <formula>"NA"</formula>
    </cfRule>
    <cfRule type="cellIs" dxfId="2727" priority="4080" operator="equal">
      <formula>"NA"</formula>
    </cfRule>
  </conditionalFormatting>
  <conditionalFormatting sqref="I331:J342">
    <cfRule type="cellIs" dxfId="2728" priority="4064" operator="equal">
      <formula>"NA"</formula>
    </cfRule>
    <cfRule type="cellIs" dxfId="2729" priority="4063" operator="equal">
      <formula>"NA"</formula>
    </cfRule>
  </conditionalFormatting>
  <conditionalFormatting sqref="I348:J359">
    <cfRule type="cellIs" dxfId="2730" priority="4048" operator="equal">
      <formula>"NA"</formula>
    </cfRule>
    <cfRule type="cellIs" dxfId="2731" priority="4047" operator="equal">
      <formula>"NA"</formula>
    </cfRule>
  </conditionalFormatting>
  <conditionalFormatting sqref="I365:J376">
    <cfRule type="cellIs" dxfId="2732" priority="4031" operator="equal">
      <formula>"NA"</formula>
    </cfRule>
    <cfRule type="cellIs" dxfId="2733" priority="4032" operator="equal">
      <formula>"NA"</formula>
    </cfRule>
  </conditionalFormatting>
  <conditionalFormatting sqref="I383:J384 J385">
    <cfRule type="cellIs" dxfId="2734" priority="5458" operator="equal">
      <formula>"NA"</formula>
    </cfRule>
    <cfRule type="cellIs" dxfId="2735" priority="5457" operator="equal">
      <formula>"NA"</formula>
    </cfRule>
  </conditionalFormatting>
  <conditionalFormatting sqref="I383:J384">
    <cfRule type="cellIs" dxfId="2736" priority="5453" operator="equal">
      <formula>"NA"</formula>
    </cfRule>
    <cfRule type="cellIs" dxfId="2737" priority="5454" operator="equal">
      <formula>"NA"</formula>
    </cfRule>
    <cfRule type="cellIs" dxfId="2738" priority="5455" operator="equal">
      <formula>"NA"</formula>
    </cfRule>
    <cfRule type="cellIs" dxfId="2739" priority="5456" operator="equal">
      <formula>"NA"</formula>
    </cfRule>
    <cfRule type="cellIs" dxfId="2740" priority="5437" operator="equal">
      <formula>"NA"</formula>
    </cfRule>
    <cfRule type="cellIs" dxfId="2741" priority="5438" operator="equal">
      <formula>"NA"</formula>
    </cfRule>
    <cfRule type="cellIs" dxfId="2742" priority="5439" operator="equal">
      <formula>"NA"</formula>
    </cfRule>
    <cfRule type="cellIs" dxfId="2743" priority="5440" operator="equal">
      <formula>"NA"</formula>
    </cfRule>
    <cfRule type="cellIs" dxfId="2744" priority="5441" operator="equal">
      <formula>"NA"</formula>
    </cfRule>
    <cfRule type="cellIs" dxfId="2745" priority="5442" operator="equal">
      <formula>"NA"</formula>
    </cfRule>
    <cfRule type="cellIs" dxfId="2746" priority="5443" operator="equal">
      <formula>"NA"</formula>
    </cfRule>
    <cfRule type="cellIs" dxfId="2747" priority="5444" operator="equal">
      <formula>"NA"</formula>
    </cfRule>
    <cfRule type="cellIs" dxfId="2748" priority="5445" operator="equal">
      <formula>"NA"</formula>
    </cfRule>
    <cfRule type="cellIs" dxfId="2749" priority="5446" operator="equal">
      <formula>"NA"</formula>
    </cfRule>
    <cfRule type="cellIs" dxfId="2750" priority="5447" operator="equal">
      <formula>"NA"</formula>
    </cfRule>
    <cfRule type="cellIs" dxfId="2751" priority="5448" operator="equal">
      <formula>"NA"</formula>
    </cfRule>
    <cfRule type="cellIs" dxfId="2752" priority="5449" operator="equal">
      <formula>"NA"</formula>
    </cfRule>
    <cfRule type="cellIs" dxfId="2753" priority="5450" operator="equal">
      <formula>"NA"</formula>
    </cfRule>
    <cfRule type="cellIs" dxfId="2754" priority="5451" operator="equal">
      <formula>"NA"</formula>
    </cfRule>
    <cfRule type="cellIs" dxfId="2755" priority="5452" operator="equal">
      <formula>"NA"</formula>
    </cfRule>
  </conditionalFormatting>
  <conditionalFormatting sqref="I388:J391">
    <cfRule type="cellIs" dxfId="2756" priority="4028" operator="equal">
      <formula>"NA"</formula>
    </cfRule>
    <cfRule type="cellIs" dxfId="2757" priority="4027" operator="equal">
      <formula>"NA"</formula>
    </cfRule>
  </conditionalFormatting>
  <conditionalFormatting sqref="I395:J396">
    <cfRule type="cellIs" dxfId="2758" priority="4024" operator="equal">
      <formula>"NA"</formula>
    </cfRule>
    <cfRule type="cellIs" dxfId="2759" priority="4023" operator="equal">
      <formula>"NA"</formula>
    </cfRule>
  </conditionalFormatting>
  <conditionalFormatting sqref="I401:J402">
    <cfRule type="cellIs" dxfId="2760" priority="4020" operator="equal">
      <formula>"NA"</formula>
    </cfRule>
    <cfRule type="cellIs" dxfId="2761" priority="4019" operator="equal">
      <formula>"NA"</formula>
    </cfRule>
  </conditionalFormatting>
  <conditionalFormatting sqref="I407:J410">
    <cfRule type="cellIs" dxfId="2762" priority="11670" operator="equal">
      <formula>"NA"</formula>
    </cfRule>
    <cfRule type="cellIs" dxfId="2763" priority="11669" operator="equal">
      <formula>"NA"</formula>
    </cfRule>
  </conditionalFormatting>
  <conditionalFormatting sqref="I413:J416">
    <cfRule type="cellIs" dxfId="2764" priority="11668" operator="equal">
      <formula>"NA"</formula>
    </cfRule>
    <cfRule type="cellIs" dxfId="2765" priority="11667" operator="equal">
      <formula>"NA"</formula>
    </cfRule>
  </conditionalFormatting>
  <conditionalFormatting sqref="I419:J420">
    <cfRule type="cellIs" dxfId="2766" priority="4015" operator="equal">
      <formula>"NA"</formula>
    </cfRule>
    <cfRule type="cellIs" dxfId="2767" priority="4016" operator="equal">
      <formula>"NA"</formula>
    </cfRule>
  </conditionalFormatting>
  <conditionalFormatting sqref="I425:J426">
    <cfRule type="cellIs" dxfId="2768" priority="4012" operator="equal">
      <formula>"NA"</formula>
    </cfRule>
    <cfRule type="cellIs" dxfId="2769" priority="4011" operator="equal">
      <formula>"NA"</formula>
    </cfRule>
  </conditionalFormatting>
  <conditionalFormatting sqref="I432:J435">
    <cfRule type="cellIs" dxfId="2770" priority="11662" operator="equal">
      <formula>"NA"</formula>
    </cfRule>
    <cfRule type="cellIs" dxfId="2771" priority="11661" operator="equal">
      <formula>"NA"</formula>
    </cfRule>
  </conditionalFormatting>
  <conditionalFormatting sqref="I438:J440">
    <cfRule type="cellIs" dxfId="2772" priority="10615" operator="equal">
      <formula>"NA"</formula>
    </cfRule>
    <cfRule type="cellIs" dxfId="2773" priority="10616" operator="equal">
      <formula>"NA"</formula>
    </cfRule>
  </conditionalFormatting>
  <conditionalFormatting sqref="I438:J441">
    <cfRule type="cellIs" dxfId="2774" priority="10751" operator="equal">
      <formula>"NA"</formula>
    </cfRule>
    <cfRule type="cellIs" dxfId="2775" priority="10752" operator="equal">
      <formula>"NA"</formula>
    </cfRule>
  </conditionalFormatting>
  <conditionalFormatting sqref="I446:J446">
    <cfRule type="cellIs" dxfId="2776" priority="3997" operator="equal">
      <formula>"NA"</formula>
    </cfRule>
    <cfRule type="cellIs" dxfId="2777" priority="3995" operator="equal">
      <formula>"NA"</formula>
    </cfRule>
    <cfRule type="cellIs" dxfId="2778" priority="3996" operator="equal">
      <formula>"NA"</formula>
    </cfRule>
    <cfRule type="cellIs" dxfId="2779" priority="3998" operator="equal">
      <formula>"NA"</formula>
    </cfRule>
  </conditionalFormatting>
  <conditionalFormatting sqref="I469:J469">
    <cfRule type="cellIs" dxfId="2780" priority="3982" operator="equal">
      <formula>"NA"</formula>
    </cfRule>
    <cfRule type="cellIs" dxfId="2781" priority="3981" operator="equal">
      <formula>"NA"</formula>
    </cfRule>
    <cfRule type="cellIs" dxfId="2782" priority="3980" operator="equal">
      <formula>"NA"</formula>
    </cfRule>
    <cfRule type="cellIs" dxfId="2783" priority="3979" operator="equal">
      <formula>"NA"</formula>
    </cfRule>
  </conditionalFormatting>
  <conditionalFormatting sqref="I492:J492">
    <cfRule type="cellIs" dxfId="2784" priority="7533" operator="equal">
      <formula>"NA"</formula>
    </cfRule>
    <cfRule type="cellIs" dxfId="2785" priority="7532" operator="equal">
      <formula>"NA"</formula>
    </cfRule>
    <cfRule type="cellIs" dxfId="2786" priority="7531" operator="equal">
      <formula>"NA"</formula>
    </cfRule>
    <cfRule type="cellIs" dxfId="2787" priority="7534" operator="equal">
      <formula>"NA"</formula>
    </cfRule>
  </conditionalFormatting>
  <conditionalFormatting sqref="I496:J496 I498:J498 I500:J500 I502:J502 I504:J504">
    <cfRule type="cellIs" dxfId="2788" priority="7514" operator="equal">
      <formula>"NA"</formula>
    </cfRule>
    <cfRule type="cellIs" dxfId="2789" priority="7510" operator="equal">
      <formula>"NA"</formula>
    </cfRule>
    <cfRule type="cellIs" dxfId="2790" priority="7508" operator="equal">
      <formula>"NA"</formula>
    </cfRule>
    <cfRule type="cellIs" dxfId="2791" priority="7509" operator="equal">
      <formula>"NA"</formula>
    </cfRule>
    <cfRule type="cellIs" dxfId="2792" priority="7507" operator="equal">
      <formula>"NA"</formula>
    </cfRule>
    <cfRule type="cellIs" dxfId="2793" priority="7511" operator="equal">
      <formula>"NA"</formula>
    </cfRule>
    <cfRule type="cellIs" dxfId="2794" priority="7512" operator="equal">
      <formula>"NA"</formula>
    </cfRule>
    <cfRule type="cellIs" dxfId="2795" priority="7513" operator="equal">
      <formula>"NA"</formula>
    </cfRule>
  </conditionalFormatting>
  <conditionalFormatting sqref="I515:J515">
    <cfRule type="cellIs" dxfId="2796" priority="7459" operator="equal">
      <formula>"NA"</formula>
    </cfRule>
    <cfRule type="cellIs" dxfId="2797" priority="7460" operator="equal">
      <formula>"NA"</formula>
    </cfRule>
    <cfRule type="cellIs" dxfId="2798" priority="7461" operator="equal">
      <formula>"NA"</formula>
    </cfRule>
    <cfRule type="cellIs" dxfId="2799" priority="7462" operator="equal">
      <formula>"NA"</formula>
    </cfRule>
  </conditionalFormatting>
  <conditionalFormatting sqref="I519:J519 I521:J521 I523:J523 I525:J525 I527:J527">
    <cfRule type="cellIs" dxfId="2800" priority="7437" operator="equal">
      <formula>"NA"</formula>
    </cfRule>
    <cfRule type="cellIs" dxfId="2801" priority="7438" operator="equal">
      <formula>"NA"</formula>
    </cfRule>
    <cfRule type="cellIs" dxfId="2802" priority="7439" operator="equal">
      <formula>"NA"</formula>
    </cfRule>
    <cfRule type="cellIs" dxfId="2803" priority="7440" operator="equal">
      <formula>"NA"</formula>
    </cfRule>
    <cfRule type="cellIs" dxfId="2804" priority="7441" operator="equal">
      <formula>"NA"</formula>
    </cfRule>
    <cfRule type="cellIs" dxfId="2805" priority="7442" operator="equal">
      <formula>"NA"</formula>
    </cfRule>
    <cfRule type="cellIs" dxfId="2806" priority="7435" operator="equal">
      <formula>"NA"</formula>
    </cfRule>
    <cfRule type="cellIs" dxfId="2807" priority="7436" operator="equal">
      <formula>"NA"</formula>
    </cfRule>
  </conditionalFormatting>
  <conditionalFormatting sqref="I538:J538">
    <cfRule type="cellIs" dxfId="2808" priority="7390" operator="equal">
      <formula>"NA"</formula>
    </cfRule>
    <cfRule type="cellIs" dxfId="2809" priority="7388" operator="equal">
      <formula>"NA"</formula>
    </cfRule>
    <cfRule type="cellIs" dxfId="2810" priority="7387" operator="equal">
      <formula>"NA"</formula>
    </cfRule>
    <cfRule type="cellIs" dxfId="2811" priority="7389" operator="equal">
      <formula>"NA"</formula>
    </cfRule>
  </conditionalFormatting>
  <conditionalFormatting sqref="I542:J542 I544:J544 I546:J546 I548:J548 I550:J550">
    <cfRule type="cellIs" dxfId="2812" priority="7364" operator="equal">
      <formula>"NA"</formula>
    </cfRule>
    <cfRule type="cellIs" dxfId="2813" priority="7366" operator="equal">
      <formula>"NA"</formula>
    </cfRule>
    <cfRule type="cellIs" dxfId="2814" priority="7370" operator="equal">
      <formula>"NA"</formula>
    </cfRule>
    <cfRule type="cellIs" dxfId="2815" priority="7365" operator="equal">
      <formula>"NA"</formula>
    </cfRule>
    <cfRule type="cellIs" dxfId="2816" priority="7369" operator="equal">
      <formula>"NA"</formula>
    </cfRule>
    <cfRule type="cellIs" dxfId="2817" priority="7367" operator="equal">
      <formula>"NA"</formula>
    </cfRule>
    <cfRule type="cellIs" dxfId="2818" priority="7368" operator="equal">
      <formula>"NA"</formula>
    </cfRule>
    <cfRule type="cellIs" dxfId="2819" priority="7363" operator="equal">
      <formula>"NA"</formula>
    </cfRule>
  </conditionalFormatting>
  <conditionalFormatting sqref="I568:J568">
    <cfRule type="cellIs" dxfId="2820" priority="3930" operator="equal">
      <formula>"NA"</formula>
    </cfRule>
    <cfRule type="cellIs" dxfId="2821" priority="3929" operator="equal">
      <formula>"NA"</formula>
    </cfRule>
    <cfRule type="cellIs" dxfId="2822" priority="3922" operator="equal">
      <formula>"NA"</formula>
    </cfRule>
    <cfRule type="cellIs" dxfId="2823" priority="3928" operator="equal">
      <formula>"NA"</formula>
    </cfRule>
    <cfRule type="cellIs" dxfId="2824" priority="3927" operator="equal">
      <formula>"NA"</formula>
    </cfRule>
    <cfRule type="cellIs" dxfId="2825" priority="3924" operator="equal">
      <formula>"NA"</formula>
    </cfRule>
    <cfRule type="cellIs" dxfId="2826" priority="3921" operator="equal">
      <formula>"NA"</formula>
    </cfRule>
    <cfRule type="cellIs" dxfId="2827" priority="3923" operator="equal">
      <formula>"NA"</formula>
    </cfRule>
    <cfRule type="cellIs" dxfId="2828" priority="3926" operator="equal">
      <formula>"NA"</formula>
    </cfRule>
    <cfRule type="cellIs" dxfId="2829" priority="3925" operator="equal">
      <formula>"NA"</formula>
    </cfRule>
  </conditionalFormatting>
  <conditionalFormatting sqref="I569:J569">
    <cfRule type="cellIs" dxfId="2830" priority="3912" operator="equal">
      <formula>"NA"</formula>
    </cfRule>
    <cfRule type="cellIs" dxfId="2831" priority="3911" operator="equal">
      <formula>"NA"</formula>
    </cfRule>
    <cfRule type="cellIs" dxfId="2832" priority="3901" operator="equal">
      <formula>"NA"</formula>
    </cfRule>
    <cfRule type="cellIs" dxfId="2833" priority="3900" operator="equal">
      <formula>"NA"</formula>
    </cfRule>
    <cfRule type="cellIs" dxfId="2834" priority="3899" operator="equal">
      <formula>"NA"</formula>
    </cfRule>
    <cfRule type="cellIs" dxfId="2835" priority="3902" operator="equal">
      <formula>"NA"</formula>
    </cfRule>
  </conditionalFormatting>
  <conditionalFormatting sqref="I569:J570">
    <cfRule type="cellIs" dxfId="2836" priority="3913" operator="equal">
      <formula>"NA"</formula>
    </cfRule>
    <cfRule type="cellIs" dxfId="2837" priority="3914" operator="equal">
      <formula>"NA"</formula>
    </cfRule>
  </conditionalFormatting>
  <conditionalFormatting sqref="I570:J570">
    <cfRule type="cellIs" dxfId="2838" priority="3918" operator="equal">
      <formula>"NA"</formula>
    </cfRule>
    <cfRule type="cellIs" dxfId="2839" priority="3917" operator="equal">
      <formula>"NA"</formula>
    </cfRule>
  </conditionalFormatting>
  <conditionalFormatting sqref="I571:J571">
    <cfRule type="cellIs" dxfId="2840" priority="3909" operator="equal">
      <formula>"NA"</formula>
    </cfRule>
    <cfRule type="cellIs" dxfId="2841" priority="3910" operator="equal">
      <formula>"NA"</formula>
    </cfRule>
  </conditionalFormatting>
  <conditionalFormatting sqref="I571:J572">
    <cfRule type="cellIs" dxfId="2842" priority="3905" operator="equal">
      <formula>"NA"</formula>
    </cfRule>
    <cfRule type="cellIs" dxfId="2843" priority="3906" operator="equal">
      <formula>"NA"</formula>
    </cfRule>
  </conditionalFormatting>
  <conditionalFormatting sqref="I572:J572 I574:J574 I576:J576 I578:J578 I580:J580">
    <cfRule type="cellIs" dxfId="2844" priority="3942" operator="equal">
      <formula>"NA"</formula>
    </cfRule>
    <cfRule type="cellIs" dxfId="2845" priority="3941" operator="equal">
      <formula>"NA"</formula>
    </cfRule>
    <cfRule type="cellIs" dxfId="2846" priority="3940" operator="equal">
      <formula>"NA"</formula>
    </cfRule>
    <cfRule type="cellIs" dxfId="2847" priority="3935" operator="equal">
      <formula>"NA"</formula>
    </cfRule>
    <cfRule type="cellIs" dxfId="2848" priority="3936" operator="equal">
      <formula>"NA"</formula>
    </cfRule>
    <cfRule type="cellIs" dxfId="2849" priority="3937" operator="equal">
      <formula>"NA"</formula>
    </cfRule>
    <cfRule type="cellIs" dxfId="2850" priority="3939" operator="equal">
      <formula>"NA"</formula>
    </cfRule>
    <cfRule type="cellIs" dxfId="2851" priority="3938" operator="equal">
      <formula>"NA"</formula>
    </cfRule>
  </conditionalFormatting>
  <conditionalFormatting sqref="I572:J572">
    <cfRule type="cellIs" dxfId="2852" priority="3903" operator="equal">
      <formula>"NA"</formula>
    </cfRule>
    <cfRule type="cellIs" dxfId="2853" priority="3904" operator="equal">
      <formula>"NA"</formula>
    </cfRule>
  </conditionalFormatting>
  <conditionalFormatting sqref="I592:J592">
    <cfRule type="cellIs" dxfId="2854" priority="3835" operator="equal">
      <formula>"NA"</formula>
    </cfRule>
    <cfRule type="cellIs" dxfId="2855" priority="3836" operator="equal">
      <formula>"NA"</formula>
    </cfRule>
  </conditionalFormatting>
  <conditionalFormatting sqref="I592:J593">
    <cfRule type="cellIs" dxfId="2856" priority="3838" operator="equal">
      <formula>"NA"</formula>
    </cfRule>
    <cfRule type="cellIs" dxfId="2857" priority="3837" operator="equal">
      <formula>"NA"</formula>
    </cfRule>
  </conditionalFormatting>
  <conditionalFormatting sqref="I593:J593">
    <cfRule type="cellIs" dxfId="2858" priority="3841" operator="equal">
      <formula>"NA"</formula>
    </cfRule>
    <cfRule type="cellIs" dxfId="2859" priority="3842" operator="equal">
      <formula>"NA"</formula>
    </cfRule>
  </conditionalFormatting>
  <conditionalFormatting sqref="I594:J594">
    <cfRule type="cellIs" dxfId="2860" priority="3833" operator="equal">
      <formula>"NA"</formula>
    </cfRule>
    <cfRule type="cellIs" dxfId="2861" priority="3834" operator="equal">
      <formula>"NA"</formula>
    </cfRule>
  </conditionalFormatting>
  <conditionalFormatting sqref="I594:J595">
    <cfRule type="cellIs" dxfId="2862" priority="3830" operator="equal">
      <formula>"NA"</formula>
    </cfRule>
    <cfRule type="cellIs" dxfId="2863" priority="3829" operator="equal">
      <formula>"NA"</formula>
    </cfRule>
  </conditionalFormatting>
  <conditionalFormatting sqref="I595:J595 I597:J597 I599:J599 I601:J601 I603:J603">
    <cfRule type="cellIs" dxfId="2864" priority="3865" operator="equal">
      <formula>"NA"</formula>
    </cfRule>
    <cfRule type="cellIs" dxfId="2865" priority="3866" operator="equal">
      <formula>"NA"</formula>
    </cfRule>
    <cfRule type="cellIs" dxfId="2866" priority="3859" operator="equal">
      <formula>"NA"</formula>
    </cfRule>
    <cfRule type="cellIs" dxfId="2867" priority="3860" operator="equal">
      <formula>"NA"</formula>
    </cfRule>
    <cfRule type="cellIs" dxfId="2868" priority="3861" operator="equal">
      <formula>"NA"</formula>
    </cfRule>
    <cfRule type="cellIs" dxfId="2869" priority="3862" operator="equal">
      <formula>"NA"</formula>
    </cfRule>
    <cfRule type="cellIs" dxfId="2870" priority="3863" operator="equal">
      <formula>"NA"</formula>
    </cfRule>
    <cfRule type="cellIs" dxfId="2871" priority="3864" operator="equal">
      <formula>"NA"</formula>
    </cfRule>
  </conditionalFormatting>
  <conditionalFormatting sqref="I595:J595">
    <cfRule type="cellIs" dxfId="2872" priority="3828" operator="equal">
      <formula>"NA"</formula>
    </cfRule>
    <cfRule type="cellIs" dxfId="2873" priority="3827" operator="equal">
      <formula>"NA"</formula>
    </cfRule>
  </conditionalFormatting>
  <conditionalFormatting sqref="I614:J614">
    <cfRule type="cellIs" dxfId="2874" priority="3759" operator="equal">
      <formula>"NA"</formula>
    </cfRule>
    <cfRule type="cellIs" dxfId="2875" priority="3770" operator="equal">
      <formula>"NA"</formula>
    </cfRule>
    <cfRule type="cellIs" dxfId="2876" priority="3760" operator="equal">
      <formula>"NA"</formula>
    </cfRule>
    <cfRule type="cellIs" dxfId="2877" priority="3761" operator="equal">
      <formula>"NA"</formula>
    </cfRule>
    <cfRule type="cellIs" dxfId="2878" priority="3769" operator="equal">
      <formula>"NA"</formula>
    </cfRule>
    <cfRule type="cellIs" dxfId="2879" priority="3768" operator="equal">
      <formula>"NA"</formula>
    </cfRule>
    <cfRule type="cellIs" dxfId="2880" priority="3767" operator="equal">
      <formula>"NA"</formula>
    </cfRule>
    <cfRule type="cellIs" dxfId="2881" priority="3766" operator="equal">
      <formula>"NA"</formula>
    </cfRule>
    <cfRule type="cellIs" dxfId="2882" priority="3765" operator="equal">
      <formula>"NA"</formula>
    </cfRule>
    <cfRule type="cellIs" dxfId="2883" priority="3764" operator="equal">
      <formula>"NA"</formula>
    </cfRule>
    <cfRule type="cellIs" dxfId="2884" priority="3763" operator="equal">
      <formula>"NA"</formula>
    </cfRule>
    <cfRule type="cellIs" dxfId="2885" priority="3762" operator="equal">
      <formula>"NA"</formula>
    </cfRule>
  </conditionalFormatting>
  <conditionalFormatting sqref="I615:J615">
    <cfRule type="cellIs" dxfId="2886" priority="3751" operator="equal">
      <formula>"NA"</formula>
    </cfRule>
    <cfRule type="cellIs" dxfId="2887" priority="3752" operator="equal">
      <formula>"NA"</formula>
    </cfRule>
  </conditionalFormatting>
  <conditionalFormatting sqref="I615:J616">
    <cfRule type="cellIs" dxfId="2888" priority="3753" operator="equal">
      <formula>"NA"</formula>
    </cfRule>
    <cfRule type="cellIs" dxfId="2889" priority="3754" operator="equal">
      <formula>"NA"</formula>
    </cfRule>
  </conditionalFormatting>
  <conditionalFormatting sqref="I616:J616">
    <cfRule type="cellIs" dxfId="2890" priority="3758" operator="equal">
      <formula>"NA"</formula>
    </cfRule>
    <cfRule type="cellIs" dxfId="2891" priority="3757" operator="equal">
      <formula>"NA"</formula>
    </cfRule>
  </conditionalFormatting>
  <conditionalFormatting sqref="I617:J617">
    <cfRule type="cellIs" dxfId="2892" priority="3750" operator="equal">
      <formula>"NA"</formula>
    </cfRule>
    <cfRule type="cellIs" dxfId="2893" priority="3749" operator="equal">
      <formula>"NA"</formula>
    </cfRule>
  </conditionalFormatting>
  <conditionalFormatting sqref="I617:J618">
    <cfRule type="cellIs" dxfId="2894" priority="3746" operator="equal">
      <formula>"NA"</formula>
    </cfRule>
    <cfRule type="cellIs" dxfId="2895" priority="3745" operator="equal">
      <formula>"NA"</formula>
    </cfRule>
  </conditionalFormatting>
  <conditionalFormatting sqref="I618:J618 I620:J620 I622:J622 I624:J624 I626:J626">
    <cfRule type="cellIs" dxfId="2896" priority="3776" operator="equal">
      <formula>"NA"</formula>
    </cfRule>
    <cfRule type="cellIs" dxfId="2897" priority="3778" operator="equal">
      <formula>"NA"</formula>
    </cfRule>
    <cfRule type="cellIs" dxfId="2898" priority="3777" operator="equal">
      <formula>"NA"</formula>
    </cfRule>
    <cfRule type="cellIs" dxfId="2899" priority="3782" operator="equal">
      <formula>"NA"</formula>
    </cfRule>
    <cfRule type="cellIs" dxfId="2900" priority="3781" operator="equal">
      <formula>"NA"</formula>
    </cfRule>
    <cfRule type="cellIs" dxfId="2901" priority="3780" operator="equal">
      <formula>"NA"</formula>
    </cfRule>
    <cfRule type="cellIs" dxfId="2902" priority="3775" operator="equal">
      <formula>"NA"</formula>
    </cfRule>
    <cfRule type="cellIs" dxfId="2903" priority="3779" operator="equal">
      <formula>"NA"</formula>
    </cfRule>
  </conditionalFormatting>
  <conditionalFormatting sqref="I618:J618">
    <cfRule type="cellIs" dxfId="2904" priority="3744" operator="equal">
      <formula>"NA"</formula>
    </cfRule>
    <cfRule type="cellIs" dxfId="2905" priority="3743" operator="equal">
      <formula>"NA"</formula>
    </cfRule>
  </conditionalFormatting>
  <conditionalFormatting sqref="I637:J637">
    <cfRule type="cellIs" dxfId="2906" priority="3678" operator="equal">
      <formula>"NA"</formula>
    </cfRule>
    <cfRule type="cellIs" dxfId="2907" priority="3677" operator="equal">
      <formula>"NA"</formula>
    </cfRule>
    <cfRule type="cellIs" dxfId="2908" priority="3676" operator="equal">
      <formula>"NA"</formula>
    </cfRule>
    <cfRule type="cellIs" dxfId="2909" priority="3675" operator="equal">
      <formula>"NA"</formula>
    </cfRule>
    <cfRule type="cellIs" dxfId="2910" priority="3673" operator="equal">
      <formula>"NA"</formula>
    </cfRule>
    <cfRule type="cellIs" dxfId="2911" priority="3672" operator="equal">
      <formula>"NA"</formula>
    </cfRule>
    <cfRule type="cellIs" dxfId="2912" priority="3671" operator="equal">
      <formula>"NA"</formula>
    </cfRule>
    <cfRule type="cellIs" dxfId="2913" priority="3670" operator="equal">
      <formula>"NA"</formula>
    </cfRule>
    <cfRule type="cellIs" dxfId="2914" priority="3669" operator="equal">
      <formula>"NA"</formula>
    </cfRule>
    <cfRule type="cellIs" dxfId="2915" priority="3668" operator="equal">
      <formula>"NA"</formula>
    </cfRule>
    <cfRule type="cellIs" dxfId="2916" priority="3667" operator="equal">
      <formula>"NA"</formula>
    </cfRule>
    <cfRule type="cellIs" dxfId="2917" priority="3674" operator="equal">
      <formula>"NA"</formula>
    </cfRule>
  </conditionalFormatting>
  <conditionalFormatting sqref="I639:J639">
    <cfRule type="cellIs" dxfId="2918" priority="3651" operator="equal">
      <formula>"NA"</formula>
    </cfRule>
    <cfRule type="cellIs" dxfId="2919" priority="3666" operator="equal">
      <formula>"NA"</formula>
    </cfRule>
    <cfRule type="cellIs" dxfId="2920" priority="3665" operator="equal">
      <formula>"NA"</formula>
    </cfRule>
    <cfRule type="cellIs" dxfId="2921" priority="3654" operator="equal">
      <formula>"NA"</formula>
    </cfRule>
    <cfRule type="cellIs" dxfId="2922" priority="3653" operator="equal">
      <formula>"NA"</formula>
    </cfRule>
    <cfRule type="cellIs" dxfId="2923" priority="3652" operator="equal">
      <formula>"NA"</formula>
    </cfRule>
  </conditionalFormatting>
  <conditionalFormatting sqref="I639:J640">
    <cfRule type="cellIs" dxfId="2924" priority="3661" operator="equal">
      <formula>"NA"</formula>
    </cfRule>
    <cfRule type="cellIs" dxfId="2925" priority="3662" operator="equal">
      <formula>"NA"</formula>
    </cfRule>
  </conditionalFormatting>
  <conditionalFormatting sqref="I640:J641">
    <cfRule type="cellIs" dxfId="2926" priority="3657" operator="equal">
      <formula>"NA"</formula>
    </cfRule>
    <cfRule type="cellIs" dxfId="2927" priority="3658" operator="equal">
      <formula>"NA"</formula>
    </cfRule>
  </conditionalFormatting>
  <conditionalFormatting sqref="I641:J641 I643:J643 I645:J645 I647:J647 I649:J649">
    <cfRule type="cellIs" dxfId="2928" priority="3683" operator="equal">
      <formula>"NA"</formula>
    </cfRule>
    <cfRule type="cellIs" dxfId="2929" priority="3684" operator="equal">
      <formula>"NA"</formula>
    </cfRule>
    <cfRule type="cellIs" dxfId="2930" priority="3690" operator="equal">
      <formula>"NA"</formula>
    </cfRule>
    <cfRule type="cellIs" dxfId="2931" priority="3689" operator="equal">
      <formula>"NA"</formula>
    </cfRule>
    <cfRule type="cellIs" dxfId="2932" priority="3688" operator="equal">
      <formula>"NA"</formula>
    </cfRule>
    <cfRule type="cellIs" dxfId="2933" priority="3687" operator="equal">
      <formula>"NA"</formula>
    </cfRule>
    <cfRule type="cellIs" dxfId="2934" priority="3686" operator="equal">
      <formula>"NA"</formula>
    </cfRule>
    <cfRule type="cellIs" dxfId="2935" priority="3685" operator="equal">
      <formula>"NA"</formula>
    </cfRule>
  </conditionalFormatting>
  <conditionalFormatting sqref="I641:J641">
    <cfRule type="cellIs" dxfId="2936" priority="3655" operator="equal">
      <formula>"NA"</formula>
    </cfRule>
    <cfRule type="cellIs" dxfId="2937" priority="3656" operator="equal">
      <formula>"NA"</formula>
    </cfRule>
  </conditionalFormatting>
  <conditionalFormatting sqref="I660:J660">
    <cfRule type="cellIs" dxfId="2938" priority="3574" operator="equal">
      <formula>"NA"</formula>
    </cfRule>
    <cfRule type="cellIs" dxfId="2939" priority="3563" operator="equal">
      <formula>"NA"</formula>
    </cfRule>
    <cfRule type="cellIs" dxfId="2940" priority="3572" operator="equal">
      <formula>"NA"</formula>
    </cfRule>
    <cfRule type="cellIs" dxfId="2941" priority="3565" operator="equal">
      <formula>"NA"</formula>
    </cfRule>
    <cfRule type="cellIs" dxfId="2942" priority="3566" operator="equal">
      <formula>"NA"</formula>
    </cfRule>
    <cfRule type="cellIs" dxfId="2943" priority="3567" operator="equal">
      <formula>"NA"</formula>
    </cfRule>
    <cfRule type="cellIs" dxfId="2944" priority="3564" operator="equal">
      <formula>"NA"</formula>
    </cfRule>
    <cfRule type="cellIs" dxfId="2945" priority="3568" operator="equal">
      <formula>"NA"</formula>
    </cfRule>
    <cfRule type="cellIs" dxfId="2946" priority="3569" operator="equal">
      <formula>"NA"</formula>
    </cfRule>
    <cfRule type="cellIs" dxfId="2947" priority="3570" operator="equal">
      <formula>"NA"</formula>
    </cfRule>
    <cfRule type="cellIs" dxfId="2948" priority="3571" operator="equal">
      <formula>"NA"</formula>
    </cfRule>
    <cfRule type="cellIs" dxfId="2949" priority="3573" operator="equal">
      <formula>"NA"</formula>
    </cfRule>
  </conditionalFormatting>
  <conditionalFormatting sqref="I662:J662">
    <cfRule type="cellIs" dxfId="2950" priority="3561" operator="equal">
      <formula>"NA"</formula>
    </cfRule>
    <cfRule type="cellIs" dxfId="2951" priority="3562" operator="equal">
      <formula>"NA"</formula>
    </cfRule>
  </conditionalFormatting>
  <conditionalFormatting sqref="I662:J663">
    <cfRule type="cellIs" dxfId="2952" priority="3557" operator="equal">
      <formula>"NA"</formula>
    </cfRule>
    <cfRule type="cellIs" dxfId="2953" priority="3558" operator="equal">
      <formula>"NA"</formula>
    </cfRule>
  </conditionalFormatting>
  <conditionalFormatting sqref="I663:J664">
    <cfRule type="cellIs" dxfId="2954" priority="3553" operator="equal">
      <formula>"NA"</formula>
    </cfRule>
    <cfRule type="cellIs" dxfId="2955" priority="3554" operator="equal">
      <formula>"NA"</formula>
    </cfRule>
  </conditionalFormatting>
  <conditionalFormatting sqref="I664:J664 I666:J666 I668:J668 I670:J670 I672:J672">
    <cfRule type="cellIs" dxfId="2956" priority="3583" operator="equal">
      <formula>"NA"</formula>
    </cfRule>
    <cfRule type="cellIs" dxfId="2957" priority="3584" operator="equal">
      <formula>"NA"</formula>
    </cfRule>
    <cfRule type="cellIs" dxfId="2958" priority="3585" operator="equal">
      <formula>"NA"</formula>
    </cfRule>
    <cfRule type="cellIs" dxfId="2959" priority="3586" operator="equal">
      <formula>"NA"</formula>
    </cfRule>
    <cfRule type="cellIs" dxfId="2960" priority="3579" operator="equal">
      <formula>"NA"</formula>
    </cfRule>
    <cfRule type="cellIs" dxfId="2961" priority="3580" operator="equal">
      <formula>"NA"</formula>
    </cfRule>
    <cfRule type="cellIs" dxfId="2962" priority="3581" operator="equal">
      <formula>"NA"</formula>
    </cfRule>
    <cfRule type="cellIs" dxfId="2963" priority="3582" operator="equal">
      <formula>"NA"</formula>
    </cfRule>
  </conditionalFormatting>
  <conditionalFormatting sqref="I664:J664">
    <cfRule type="cellIs" dxfId="2964" priority="3552" operator="equal">
      <formula>"NA"</formula>
    </cfRule>
    <cfRule type="cellIs" dxfId="2965" priority="3551" operator="equal">
      <formula>"NA"</formula>
    </cfRule>
  </conditionalFormatting>
  <conditionalFormatting sqref="I710:J710">
    <cfRule type="cellIs" dxfId="2966" priority="3537" operator="equal">
      <formula>"NA"</formula>
    </cfRule>
    <cfRule type="cellIs" dxfId="2967" priority="3538" operator="equal">
      <formula>"NA"</formula>
    </cfRule>
  </conditionalFormatting>
  <conditionalFormatting sqref="I728:J728 I730:J730 I732:J735">
    <cfRule type="cellIs" dxfId="2968" priority="11636" operator="equal">
      <formula>"NA"</formula>
    </cfRule>
    <cfRule type="cellIs" dxfId="2969" priority="11635" operator="equal">
      <formula>"NA"</formula>
    </cfRule>
  </conditionalFormatting>
  <conditionalFormatting sqref="I728:J728 I730:J730 I735:J735">
    <cfRule type="cellIs" dxfId="2970" priority="10540" operator="equal">
      <formula>"NA"</formula>
    </cfRule>
  </conditionalFormatting>
  <conditionalFormatting sqref="I728:J730">
    <cfRule type="cellIs" dxfId="2971" priority="7744" operator="equal">
      <formula>"NA"</formula>
    </cfRule>
    <cfRule type="cellIs" dxfId="2972" priority="7743" operator="equal">
      <formula>"NA"</formula>
    </cfRule>
  </conditionalFormatting>
  <conditionalFormatting sqref="I729:J729">
    <cfRule type="cellIs" dxfId="2973" priority="7742" operator="equal">
      <formula>"NA"</formula>
    </cfRule>
    <cfRule type="cellIs" dxfId="2974" priority="7741" operator="equal">
      <formula>"NA"</formula>
    </cfRule>
    <cfRule type="cellIs" dxfId="2975" priority="7740" operator="equal">
      <formula>"NA"</formula>
    </cfRule>
    <cfRule type="cellIs" dxfId="2976" priority="7739" operator="equal">
      <formula>"NA"</formula>
    </cfRule>
  </conditionalFormatting>
  <conditionalFormatting sqref="I735:J735 I728:J728 I730:J730">
    <cfRule type="cellIs" dxfId="2977" priority="10539" operator="equal">
      <formula>"NA"</formula>
    </cfRule>
  </conditionalFormatting>
  <conditionalFormatting sqref="I735:J735">
    <cfRule type="cellIs" dxfId="2978" priority="10538" operator="equal">
      <formula>"NA"</formula>
    </cfRule>
    <cfRule type="cellIs" dxfId="2979" priority="10537" operator="equal">
      <formula>"NA"</formula>
    </cfRule>
  </conditionalFormatting>
  <conditionalFormatting sqref="I746:J748 I752:J753 I755:J758 I744:J744 I745 I754 I759">
    <cfRule type="cellIs" dxfId="2980" priority="10535" operator="equal">
      <formula>"NA"</formula>
    </cfRule>
  </conditionalFormatting>
  <conditionalFormatting sqref="I747:J748 I752:J752">
    <cfRule type="cellIs" dxfId="2981" priority="10534" operator="equal">
      <formula>"NA"</formula>
    </cfRule>
    <cfRule type="cellIs" dxfId="2982" priority="10533" operator="equal">
      <formula>"NA"</formula>
    </cfRule>
  </conditionalFormatting>
  <conditionalFormatting sqref="I747:J748 I752:J753 I754 I755:J758 I759">
    <cfRule type="cellIs" dxfId="2983" priority="10536" operator="equal">
      <formula>"NA"</formula>
    </cfRule>
  </conditionalFormatting>
  <conditionalFormatting sqref="I747:J752">
    <cfRule type="cellIs" dxfId="2984" priority="11633" operator="equal">
      <formula>"NA"</formula>
    </cfRule>
    <cfRule type="cellIs" dxfId="2985" priority="11634" operator="equal">
      <formula>"NA"</formula>
    </cfRule>
  </conditionalFormatting>
  <conditionalFormatting sqref="I755:J757">
    <cfRule type="cellIs" dxfId="2986" priority="10532" operator="equal">
      <formula>"NA"</formula>
    </cfRule>
    <cfRule type="cellIs" dxfId="2987" priority="10531" operator="equal">
      <formula>"NA"</formula>
    </cfRule>
  </conditionalFormatting>
  <conditionalFormatting sqref="I760:J762">
    <cfRule type="cellIs" dxfId="2988" priority="3480" operator="equal">
      <formula>"NA"</formula>
    </cfRule>
    <cfRule type="cellIs" dxfId="2989" priority="3479" operator="equal">
      <formula>"NA"</formula>
    </cfRule>
  </conditionalFormatting>
  <conditionalFormatting sqref="I761:J761">
    <cfRule type="cellIs" dxfId="2990" priority="3470" operator="equal">
      <formula>"NA"</formula>
    </cfRule>
    <cfRule type="cellIs" dxfId="2991" priority="3472" operator="equal">
      <formula>"NA"</formula>
    </cfRule>
    <cfRule type="cellIs" dxfId="2992" priority="3469" operator="equal">
      <formula>"NA"</formula>
    </cfRule>
    <cfRule type="cellIs" dxfId="2993" priority="3471" operator="equal">
      <formula>"NA"</formula>
    </cfRule>
  </conditionalFormatting>
  <conditionalFormatting sqref="I761:J762">
    <cfRule type="cellIs" dxfId="2994" priority="3478" operator="equal">
      <formula>"NA"</formula>
    </cfRule>
    <cfRule type="cellIs" dxfId="2995" priority="3477" operator="equal">
      <formula>"NA"</formula>
    </cfRule>
  </conditionalFormatting>
  <conditionalFormatting sqref="I761:J765">
    <cfRule type="cellIs" dxfId="2996" priority="3482" operator="equal">
      <formula>"NA"</formula>
    </cfRule>
    <cfRule type="cellIs" dxfId="2997" priority="3481" operator="equal">
      <formula>"NA"</formula>
    </cfRule>
  </conditionalFormatting>
  <conditionalFormatting sqref="I765:J765 I766">
    <cfRule type="cellIs" dxfId="2998" priority="3475" operator="equal">
      <formula>"NA"</formula>
    </cfRule>
    <cfRule type="cellIs" dxfId="2999" priority="3476" operator="equal">
      <formula>"NA"</formula>
    </cfRule>
  </conditionalFormatting>
  <conditionalFormatting sqref="I765:J765">
    <cfRule type="cellIs" dxfId="3000" priority="3473" operator="equal">
      <formula>"NA"</formula>
    </cfRule>
    <cfRule type="cellIs" dxfId="3001" priority="3474" operator="equal">
      <formula>"NA"</formula>
    </cfRule>
  </conditionalFormatting>
  <conditionalFormatting sqref="I767:J770">
    <cfRule type="cellIs" dxfId="3002" priority="3414" operator="equal">
      <formula>"NA"</formula>
    </cfRule>
    <cfRule type="cellIs" dxfId="3003" priority="3423" operator="equal">
      <formula>"NA"</formula>
    </cfRule>
    <cfRule type="cellIs" dxfId="3004" priority="3424" operator="equal">
      <formula>"NA"</formula>
    </cfRule>
    <cfRule type="cellIs" dxfId="3005" priority="3413" operator="equal">
      <formula>"NA"</formula>
    </cfRule>
  </conditionalFormatting>
  <conditionalFormatting sqref="I768:J770">
    <cfRule type="cellIs" dxfId="3006" priority="3422" operator="equal">
      <formula>"NA"</formula>
    </cfRule>
    <cfRule type="cellIs" dxfId="3007" priority="3419" operator="equal">
      <formula>"NA"</formula>
    </cfRule>
    <cfRule type="cellIs" dxfId="3008" priority="3411" operator="equal">
      <formula>"NA"</formula>
    </cfRule>
    <cfRule type="cellIs" dxfId="3009" priority="3412" operator="equal">
      <formula>"NA"</formula>
    </cfRule>
    <cfRule type="cellIs" dxfId="3010" priority="3420" operator="equal">
      <formula>"NA"</formula>
    </cfRule>
    <cfRule type="cellIs" dxfId="3011" priority="3421" operator="equal">
      <formula>"NA"</formula>
    </cfRule>
  </conditionalFormatting>
  <conditionalFormatting sqref="I772:J773 I775:J775">
    <cfRule type="cellIs" dxfId="3012" priority="3355" operator="equal">
      <formula>"NA"</formula>
    </cfRule>
    <cfRule type="cellIs" dxfId="3013" priority="3354" operator="equal">
      <formula>"NA"</formula>
    </cfRule>
    <cfRule type="cellIs" dxfId="3014" priority="3353" operator="equal">
      <formula>"NA"</formula>
    </cfRule>
    <cfRule type="cellIs" dxfId="3015" priority="3356" operator="equal">
      <formula>"NA"</formula>
    </cfRule>
  </conditionalFormatting>
  <conditionalFormatting sqref="I772:J773">
    <cfRule type="cellIs" dxfId="3016" priority="3349" operator="equal">
      <formula>"NA"</formula>
    </cfRule>
    <cfRule type="cellIs" dxfId="3017" priority="3350" operator="equal">
      <formula>"NA"</formula>
    </cfRule>
  </conditionalFormatting>
  <conditionalFormatting sqref="I772:J774">
    <cfRule type="cellIs" dxfId="3018" priority="3351" operator="equal">
      <formula>"NA"</formula>
    </cfRule>
    <cfRule type="cellIs" dxfId="3019" priority="3352" operator="equal">
      <formula>"NA"</formula>
    </cfRule>
  </conditionalFormatting>
  <conditionalFormatting sqref="I772:J775">
    <cfRule type="cellIs" dxfId="3020" priority="3357" operator="equal">
      <formula>"NA"</formula>
    </cfRule>
    <cfRule type="cellIs" dxfId="3021" priority="3358" operator="equal">
      <formula>"NA"</formula>
    </cfRule>
  </conditionalFormatting>
  <conditionalFormatting sqref="I775:J775">
    <cfRule type="cellIs" dxfId="3022" priority="3339" operator="equal">
      <formula>"NA"</formula>
    </cfRule>
    <cfRule type="cellIs" dxfId="3023" priority="3348" operator="equal">
      <formula>"NA"</formula>
    </cfRule>
    <cfRule type="cellIs" dxfId="3024" priority="3347" operator="equal">
      <formula>"NA"</formula>
    </cfRule>
    <cfRule type="cellIs" dxfId="3025" priority="3341" operator="equal">
      <formula>"NA"</formula>
    </cfRule>
    <cfRule type="cellIs" dxfId="3026" priority="3342" operator="equal">
      <formula>"NA"</formula>
    </cfRule>
    <cfRule type="cellIs" dxfId="3027" priority="3343" operator="equal">
      <formula>"NA"</formula>
    </cfRule>
    <cfRule type="cellIs" dxfId="3028" priority="3344" operator="equal">
      <formula>"NA"</formula>
    </cfRule>
    <cfRule type="cellIs" dxfId="3029" priority="3345" operator="equal">
      <formula>"NA"</formula>
    </cfRule>
    <cfRule type="cellIs" dxfId="3030" priority="3346" operator="equal">
      <formula>"NA"</formula>
    </cfRule>
    <cfRule type="cellIs" dxfId="3031" priority="3340" operator="equal">
      <formula>"NA"</formula>
    </cfRule>
  </conditionalFormatting>
  <conditionalFormatting sqref="I777:J778 I780:J780">
    <cfRule type="cellIs" dxfId="3032" priority="3175" operator="equal">
      <formula>"NA"</formula>
    </cfRule>
    <cfRule type="cellIs" dxfId="3033" priority="3176" operator="equal">
      <formula>"NA"</formula>
    </cfRule>
    <cfRule type="cellIs" dxfId="3034" priority="3177" operator="equal">
      <formula>"NA"</formula>
    </cfRule>
    <cfRule type="cellIs" dxfId="3035" priority="3178" operator="equal">
      <formula>"NA"</formula>
    </cfRule>
  </conditionalFormatting>
  <conditionalFormatting sqref="I777:J778">
    <cfRule type="cellIs" dxfId="3036" priority="3172" operator="equal">
      <formula>"NA"</formula>
    </cfRule>
    <cfRule type="cellIs" dxfId="3037" priority="3171" operator="equal">
      <formula>"NA"</formula>
    </cfRule>
  </conditionalFormatting>
  <conditionalFormatting sqref="I777:J779">
    <cfRule type="cellIs" dxfId="3038" priority="3174" operator="equal">
      <formula>"NA"</formula>
    </cfRule>
    <cfRule type="cellIs" dxfId="3039" priority="3173" operator="equal">
      <formula>"NA"</formula>
    </cfRule>
  </conditionalFormatting>
  <conditionalFormatting sqref="I777:J780">
    <cfRule type="cellIs" dxfId="3040" priority="3179" operator="equal">
      <formula>"NA"</formula>
    </cfRule>
    <cfRule type="cellIs" dxfId="3041" priority="3180" operator="equal">
      <formula>"NA"</formula>
    </cfRule>
  </conditionalFormatting>
  <conditionalFormatting sqref="I780:J780">
    <cfRule type="cellIs" dxfId="3042" priority="3083" operator="equal">
      <formula>"NA"</formula>
    </cfRule>
    <cfRule type="cellIs" dxfId="3043" priority="3084" operator="equal">
      <formula>"NA"</formula>
    </cfRule>
    <cfRule type="cellIs" dxfId="3044" priority="3085" operator="equal">
      <formula>"NA"</formula>
    </cfRule>
    <cfRule type="cellIs" dxfId="3045" priority="3086" operator="equal">
      <formula>"NA"</formula>
    </cfRule>
    <cfRule type="cellIs" dxfId="3046" priority="3087" operator="equal">
      <formula>"NA"</formula>
    </cfRule>
    <cfRule type="cellIs" dxfId="3047" priority="3088" operator="equal">
      <formula>"NA"</formula>
    </cfRule>
    <cfRule type="cellIs" dxfId="3048" priority="3089" operator="equal">
      <formula>"NA"</formula>
    </cfRule>
    <cfRule type="cellIs" dxfId="3049" priority="3090" operator="equal">
      <formula>"NA"</formula>
    </cfRule>
    <cfRule type="cellIs" dxfId="3050" priority="3091" operator="equal">
      <formula>"NA"</formula>
    </cfRule>
    <cfRule type="cellIs" dxfId="3051" priority="3092" operator="equal">
      <formula>"NA"</formula>
    </cfRule>
    <cfRule type="cellIs" dxfId="3052" priority="3093" operator="equal">
      <formula>"NA"</formula>
    </cfRule>
    <cfRule type="cellIs" dxfId="3053" priority="3094" operator="equal">
      <formula>"NA"</formula>
    </cfRule>
    <cfRule type="cellIs" dxfId="3054" priority="3095" operator="equal">
      <formula>"NA"</formula>
    </cfRule>
    <cfRule type="cellIs" dxfId="3055" priority="3096" operator="equal">
      <formula>"NA"</formula>
    </cfRule>
    <cfRule type="cellIs" dxfId="3056" priority="3097" operator="equal">
      <formula>"NA"</formula>
    </cfRule>
    <cfRule type="cellIs" dxfId="3057" priority="3098" operator="equal">
      <formula>"NA"</formula>
    </cfRule>
    <cfRule type="cellIs" dxfId="3058" priority="3099" operator="equal">
      <formula>"NA"</formula>
    </cfRule>
    <cfRule type="cellIs" dxfId="3059" priority="3100" operator="equal">
      <formula>"NA"</formula>
    </cfRule>
    <cfRule type="cellIs" dxfId="3060" priority="3101" operator="equal">
      <formula>"NA"</formula>
    </cfRule>
    <cfRule type="cellIs" dxfId="3061" priority="3102" operator="equal">
      <formula>"NA"</formula>
    </cfRule>
    <cfRule type="cellIs" dxfId="3062" priority="3103" operator="equal">
      <formula>"NA"</formula>
    </cfRule>
    <cfRule type="cellIs" dxfId="3063" priority="3104" operator="equal">
      <formula>"NA"</formula>
    </cfRule>
    <cfRule type="cellIs" dxfId="3064" priority="3105" operator="equal">
      <formula>"NA"</formula>
    </cfRule>
    <cfRule type="cellIs" dxfId="3065" priority="3106" operator="equal">
      <formula>"NA"</formula>
    </cfRule>
    <cfRule type="cellIs" dxfId="3066" priority="3107" operator="equal">
      <formula>"NA"</formula>
    </cfRule>
    <cfRule type="cellIs" dxfId="3067" priority="3108" operator="equal">
      <formula>"NA"</formula>
    </cfRule>
    <cfRule type="cellIs" dxfId="3068" priority="3109" operator="equal">
      <formula>"NA"</formula>
    </cfRule>
    <cfRule type="cellIs" dxfId="3069" priority="3110" operator="equal">
      <formula>"NA"</formula>
    </cfRule>
    <cfRule type="cellIs" dxfId="3070" priority="3111" operator="equal">
      <formula>"NA"</formula>
    </cfRule>
    <cfRule type="cellIs" dxfId="3071" priority="3112" operator="equal">
      <formula>"NA"</formula>
    </cfRule>
    <cfRule type="cellIs" dxfId="3072" priority="3113" operator="equal">
      <formula>"NA"</formula>
    </cfRule>
    <cfRule type="cellIs" dxfId="3073" priority="3114" operator="equal">
      <formula>"NA"</formula>
    </cfRule>
    <cfRule type="cellIs" dxfId="3074" priority="3115" operator="equal">
      <formula>"NA"</formula>
    </cfRule>
    <cfRule type="cellIs" dxfId="3075" priority="3116" operator="equal">
      <formula>"NA"</formula>
    </cfRule>
    <cfRule type="cellIs" dxfId="3076" priority="3117" operator="equal">
      <formula>"NA"</formula>
    </cfRule>
    <cfRule type="cellIs" dxfId="3077" priority="3118" operator="equal">
      <formula>"NA"</formula>
    </cfRule>
    <cfRule type="cellIs" dxfId="3078" priority="3119" operator="equal">
      <formula>"NA"</formula>
    </cfRule>
    <cfRule type="cellIs" dxfId="3079" priority="3120" operator="equal">
      <formula>"NA"</formula>
    </cfRule>
    <cfRule type="cellIs" dxfId="3080" priority="3121" operator="equal">
      <formula>"NA"</formula>
    </cfRule>
    <cfRule type="cellIs" dxfId="3081" priority="3122" operator="equal">
      <formula>"NA"</formula>
    </cfRule>
    <cfRule type="cellIs" dxfId="3082" priority="3123" operator="equal">
      <formula>"NA"</formula>
    </cfRule>
    <cfRule type="cellIs" dxfId="3083" priority="3124" operator="equal">
      <formula>"NA"</formula>
    </cfRule>
    <cfRule type="cellIs" dxfId="3084" priority="3125" operator="equal">
      <formula>"NA"</formula>
    </cfRule>
    <cfRule type="cellIs" dxfId="3085" priority="3126" operator="equal">
      <formula>"NA"</formula>
    </cfRule>
    <cfRule type="cellIs" dxfId="3086" priority="3127" operator="equal">
      <formula>"NA"</formula>
    </cfRule>
    <cfRule type="cellIs" dxfId="3087" priority="3128" operator="equal">
      <formula>"NA"</formula>
    </cfRule>
    <cfRule type="cellIs" dxfId="3088" priority="3129" operator="equal">
      <formula>"NA"</formula>
    </cfRule>
    <cfRule type="cellIs" dxfId="3089" priority="3131" operator="equal">
      <formula>"NA"</formula>
    </cfRule>
    <cfRule type="cellIs" dxfId="3090" priority="3132" operator="equal">
      <formula>"NA"</formula>
    </cfRule>
    <cfRule type="cellIs" dxfId="3091" priority="3133" operator="equal">
      <formula>"NA"</formula>
    </cfRule>
    <cfRule type="cellIs" dxfId="3092" priority="3134" operator="equal">
      <formula>"NA"</formula>
    </cfRule>
    <cfRule type="cellIs" dxfId="3093" priority="3135" operator="equal">
      <formula>"NA"</formula>
    </cfRule>
    <cfRule type="cellIs" dxfId="3094" priority="3136" operator="equal">
      <formula>"NA"</formula>
    </cfRule>
    <cfRule type="cellIs" dxfId="3095" priority="3137" operator="equal">
      <formula>"NA"</formula>
    </cfRule>
    <cfRule type="cellIs" dxfId="3096" priority="3138" operator="equal">
      <formula>"NA"</formula>
    </cfRule>
    <cfRule type="cellIs" dxfId="3097" priority="3139" operator="equal">
      <formula>"NA"</formula>
    </cfRule>
    <cfRule type="cellIs" dxfId="3098" priority="3140" operator="equal">
      <formula>"NA"</formula>
    </cfRule>
    <cfRule type="cellIs" dxfId="3099" priority="3141" operator="equal">
      <formula>"NA"</formula>
    </cfRule>
    <cfRule type="cellIs" dxfId="3100" priority="3142" operator="equal">
      <formula>"NA"</formula>
    </cfRule>
    <cfRule type="cellIs" dxfId="3101" priority="3143" operator="equal">
      <formula>"NA"</formula>
    </cfRule>
    <cfRule type="cellIs" dxfId="3102" priority="3144" operator="equal">
      <formula>"NA"</formula>
    </cfRule>
    <cfRule type="cellIs" dxfId="3103" priority="3145" operator="equal">
      <formula>"NA"</formula>
    </cfRule>
    <cfRule type="cellIs" dxfId="3104" priority="3146" operator="equal">
      <formula>"NA"</formula>
    </cfRule>
    <cfRule type="cellIs" dxfId="3105" priority="3147" operator="equal">
      <formula>"NA"</formula>
    </cfRule>
    <cfRule type="cellIs" dxfId="3106" priority="3148" operator="equal">
      <formula>"NA"</formula>
    </cfRule>
    <cfRule type="cellIs" dxfId="3107" priority="3149" operator="equal">
      <formula>"NA"</formula>
    </cfRule>
    <cfRule type="cellIs" dxfId="3108" priority="3150" operator="equal">
      <formula>"NA"</formula>
    </cfRule>
    <cfRule type="cellIs" dxfId="3109" priority="3151" operator="equal">
      <formula>"NA"</formula>
    </cfRule>
    <cfRule type="cellIs" dxfId="3110" priority="3152" operator="equal">
      <formula>"NA"</formula>
    </cfRule>
    <cfRule type="cellIs" dxfId="3111" priority="3153" operator="equal">
      <formula>"NA"</formula>
    </cfRule>
    <cfRule type="cellIs" dxfId="3112" priority="3154" operator="equal">
      <formula>"NA"</formula>
    </cfRule>
    <cfRule type="cellIs" dxfId="3113" priority="3155" operator="equal">
      <formula>"NA"</formula>
    </cfRule>
    <cfRule type="cellIs" dxfId="3114" priority="3156" operator="equal">
      <formula>"NA"</formula>
    </cfRule>
    <cfRule type="cellIs" dxfId="3115" priority="3130" operator="equal">
      <formula>"NA"</formula>
    </cfRule>
    <cfRule type="cellIs" dxfId="3116" priority="3157" operator="equal">
      <formula>"NA"</formula>
    </cfRule>
    <cfRule type="cellIs" dxfId="3117" priority="3158" operator="equal">
      <formula>"NA"</formula>
    </cfRule>
    <cfRule type="cellIs" dxfId="3118" priority="3159" operator="equal">
      <formula>"NA"</formula>
    </cfRule>
    <cfRule type="cellIs" dxfId="3119" priority="3160" operator="equal">
      <formula>"NA"</formula>
    </cfRule>
    <cfRule type="cellIs" dxfId="3120" priority="3161" operator="equal">
      <formula>"NA"</formula>
    </cfRule>
    <cfRule type="cellIs" dxfId="3121" priority="3162" operator="equal">
      <formula>"NA"</formula>
    </cfRule>
    <cfRule type="cellIs" dxfId="3122" priority="3163" operator="equal">
      <formula>"NA"</formula>
    </cfRule>
    <cfRule type="cellIs" dxfId="3123" priority="3164" operator="equal">
      <formula>"NA"</formula>
    </cfRule>
    <cfRule type="cellIs" dxfId="3124" priority="3165" operator="equal">
      <formula>"NA"</formula>
    </cfRule>
    <cfRule type="cellIs" dxfId="3125" priority="3166" operator="equal">
      <formula>"NA"</formula>
    </cfRule>
    <cfRule type="cellIs" dxfId="3126" priority="3167" operator="equal">
      <formula>"NA"</formula>
    </cfRule>
    <cfRule type="cellIs" dxfId="3127" priority="3168" operator="equal">
      <formula>"NA"</formula>
    </cfRule>
    <cfRule type="cellIs" dxfId="3128" priority="3169" operator="equal">
      <formula>"NA"</formula>
    </cfRule>
    <cfRule type="cellIs" dxfId="3129" priority="3170" operator="equal">
      <formula>"NA"</formula>
    </cfRule>
  </conditionalFormatting>
  <conditionalFormatting sqref="I787:J789 I792:J792">
    <cfRule type="cellIs" dxfId="3130" priority="3074" operator="equal">
      <formula>"NA"</formula>
    </cfRule>
    <cfRule type="cellIs" dxfId="3131" priority="3073" operator="equal">
      <formula>"NA"</formula>
    </cfRule>
  </conditionalFormatting>
  <conditionalFormatting sqref="I788:J789">
    <cfRule type="cellIs" dxfId="3132" priority="3071" operator="equal">
      <formula>"NA"</formula>
    </cfRule>
    <cfRule type="cellIs" dxfId="3133" priority="3072" operator="equal">
      <formula>"NA"</formula>
    </cfRule>
  </conditionalFormatting>
  <conditionalFormatting sqref="I792:J792">
    <cfRule type="cellIs" dxfId="3134" priority="3069" operator="equal">
      <formula>"NA"</formula>
    </cfRule>
    <cfRule type="cellIs" dxfId="3135" priority="3068" operator="equal">
      <formula>"NA"</formula>
    </cfRule>
    <cfRule type="cellIs" dxfId="3136" priority="3067" operator="equal">
      <formula>"NA"</formula>
    </cfRule>
    <cfRule type="cellIs" dxfId="3137" priority="3070" operator="equal">
      <formula>"NA"</formula>
    </cfRule>
  </conditionalFormatting>
  <conditionalFormatting sqref="I794:J797 I799:J802 I804:J807 I793 I798 I803">
    <cfRule type="cellIs" dxfId="3138" priority="11889" operator="equal">
      <formula>"NA"</formula>
    </cfRule>
  </conditionalFormatting>
  <conditionalFormatting sqref="I794:J797">
    <cfRule type="cellIs" dxfId="3139" priority="10501" operator="equal">
      <formula>"NA"</formula>
    </cfRule>
    <cfRule type="cellIs" dxfId="3140" priority="11616" operator="equal">
      <formula>"NA"</formula>
    </cfRule>
    <cfRule type="cellIs" dxfId="3141" priority="11615" operator="equal">
      <formula>"NA"</formula>
    </cfRule>
    <cfRule type="cellIs" dxfId="3142" priority="10502" operator="equal">
      <formula>"NA"</formula>
    </cfRule>
    <cfRule type="cellIs" dxfId="3143" priority="10499" operator="equal">
      <formula>"NA"</formula>
    </cfRule>
    <cfRule type="cellIs" dxfId="3144" priority="10500" operator="equal">
      <formula>"NA"</formula>
    </cfRule>
    <cfRule type="cellIs" dxfId="3145" priority="10512" operator="equal">
      <formula>"NA"</formula>
    </cfRule>
    <cfRule type="cellIs" dxfId="3146" priority="10511" operator="equal">
      <formula>"NA"</formula>
    </cfRule>
  </conditionalFormatting>
  <conditionalFormatting sqref="I799:J802">
    <cfRule type="cellIs" dxfId="3147" priority="11614" operator="equal">
      <formula>"NA"</formula>
    </cfRule>
    <cfRule type="cellIs" dxfId="3148" priority="11613" operator="equal">
      <formula>"NA"</formula>
    </cfRule>
    <cfRule type="cellIs" dxfId="3149" priority="10494" operator="equal">
      <formula>"NA"</formula>
    </cfRule>
    <cfRule type="cellIs" dxfId="3150" priority="10493" operator="equal">
      <formula>"NA"</formula>
    </cfRule>
    <cfRule type="cellIs" dxfId="3151" priority="10497" operator="equal">
      <formula>"NA"</formula>
    </cfRule>
    <cfRule type="cellIs" dxfId="3152" priority="10496" operator="equal">
      <formula>"NA"</formula>
    </cfRule>
    <cfRule type="cellIs" dxfId="3153" priority="10498" operator="equal">
      <formula>"NA"</formula>
    </cfRule>
    <cfRule type="cellIs" dxfId="3154" priority="10510" operator="equal">
      <formula>"NA"</formula>
    </cfRule>
    <cfRule type="cellIs" dxfId="3155" priority="10509" operator="equal">
      <formula>"NA"</formula>
    </cfRule>
    <cfRule type="cellIs" dxfId="3156" priority="10495" operator="equal">
      <formula>"NA"</formula>
    </cfRule>
  </conditionalFormatting>
  <conditionalFormatting sqref="I804:J807">
    <cfRule type="cellIs" dxfId="3157" priority="11612" operator="equal">
      <formula>"NA"</formula>
    </cfRule>
    <cfRule type="cellIs" dxfId="3158" priority="11611" operator="equal">
      <formula>"NA"</formula>
    </cfRule>
    <cfRule type="cellIs" dxfId="3159" priority="10487" operator="equal">
      <formula>"NA"</formula>
    </cfRule>
    <cfRule type="cellIs" dxfId="3160" priority="10488" operator="equal">
      <formula>"NA"</formula>
    </cfRule>
    <cfRule type="cellIs" dxfId="3161" priority="10489" operator="equal">
      <formula>"NA"</formula>
    </cfRule>
    <cfRule type="cellIs" dxfId="3162" priority="10490" operator="equal">
      <formula>"NA"</formula>
    </cfRule>
    <cfRule type="cellIs" dxfId="3163" priority="10491" operator="equal">
      <formula>"NA"</formula>
    </cfRule>
    <cfRule type="cellIs" dxfId="3164" priority="10492" operator="equal">
      <formula>"NA"</formula>
    </cfRule>
    <cfRule type="cellIs" dxfId="3165" priority="10507" operator="equal">
      <formula>"NA"</formula>
    </cfRule>
    <cfRule type="cellIs" dxfId="3166" priority="10506" operator="equal">
      <formula>"NA"</formula>
    </cfRule>
    <cfRule type="cellIs" dxfId="3167" priority="10505" operator="equal">
      <formula>"NA"</formula>
    </cfRule>
    <cfRule type="cellIs" dxfId="3168" priority="10508" operator="equal">
      <formula>"NA"</formula>
    </cfRule>
  </conditionalFormatting>
  <conditionalFormatting sqref="I841:J842">
    <cfRule type="cellIs" dxfId="3169" priority="3012" operator="equal">
      <formula>"NA"</formula>
    </cfRule>
    <cfRule type="cellIs" dxfId="3170" priority="3011" operator="equal">
      <formula>"NA"</formula>
    </cfRule>
    <cfRule type="cellIs" dxfId="3171" priority="3010" operator="equal">
      <formula>"NA"</formula>
    </cfRule>
    <cfRule type="cellIs" dxfId="3172" priority="3009" operator="equal">
      <formula>"NA"</formula>
    </cfRule>
    <cfRule type="cellIs" dxfId="3173" priority="3008" operator="equal">
      <formula>"NA"</formula>
    </cfRule>
    <cfRule type="cellIs" dxfId="3174" priority="3007" operator="equal">
      <formula>"NA"</formula>
    </cfRule>
    <cfRule type="cellIs" dxfId="3175" priority="3005" operator="equal">
      <formula>"NA"</formula>
    </cfRule>
    <cfRule type="cellIs" dxfId="3176" priority="3004" operator="equal">
      <formula>"NA"</formula>
    </cfRule>
    <cfRule type="cellIs" dxfId="3177" priority="3003" operator="equal">
      <formula>"NA"</formula>
    </cfRule>
    <cfRule type="cellIs" dxfId="3178" priority="3002" operator="equal">
      <formula>"NA"</formula>
    </cfRule>
    <cfRule type="cellIs" dxfId="3179" priority="3001" operator="equal">
      <formula>"NA"</formula>
    </cfRule>
    <cfRule type="cellIs" dxfId="3180" priority="3006" operator="equal">
      <formula>"NA"</formula>
    </cfRule>
    <cfRule type="cellIs" dxfId="3181" priority="2999" operator="equal">
      <formula>"NA"</formula>
    </cfRule>
    <cfRule type="cellIs" dxfId="3182" priority="3000" operator="equal">
      <formula>"NA"</formula>
    </cfRule>
  </conditionalFormatting>
  <conditionalFormatting sqref="I856:J856">
    <cfRule type="cellIs" dxfId="3183" priority="218" operator="equal">
      <formula>"NA"</formula>
    </cfRule>
    <cfRule type="cellIs" dxfId="3184" priority="219" operator="equal">
      <formula>"NA"</formula>
    </cfRule>
  </conditionalFormatting>
  <conditionalFormatting sqref="I859:J859">
    <cfRule type="cellIs" dxfId="3185" priority="214" operator="equal">
      <formula>"NA"</formula>
    </cfRule>
    <cfRule type="cellIs" dxfId="3186" priority="213" operator="equal">
      <formula>"NA"</formula>
    </cfRule>
  </conditionalFormatting>
  <conditionalFormatting sqref="I860:J865 J866">
    <cfRule type="cellIs" dxfId="3187" priority="2898" operator="equal">
      <formula>"NA"</formula>
    </cfRule>
    <cfRule type="cellIs" dxfId="3188" priority="2897" operator="equal">
      <formula>"NA"</formula>
    </cfRule>
  </conditionalFormatting>
  <conditionalFormatting sqref="I862:J865 J866">
    <cfRule type="cellIs" dxfId="3189" priority="2895" operator="equal">
      <formula>"NA"</formula>
    </cfRule>
    <cfRule type="cellIs" dxfId="3190" priority="2886" operator="equal">
      <formula>"NA"</formula>
    </cfRule>
    <cfRule type="cellIs" dxfId="3191" priority="2885" operator="equal">
      <formula>"NA"</formula>
    </cfRule>
    <cfRule type="cellIs" dxfId="3192" priority="2891" operator="equal">
      <formula>"NA"</formula>
    </cfRule>
    <cfRule type="cellIs" dxfId="3193" priority="2887" operator="equal">
      <formula>"NA"</formula>
    </cfRule>
    <cfRule type="cellIs" dxfId="3194" priority="2896" operator="equal">
      <formula>"NA"</formula>
    </cfRule>
    <cfRule type="cellIs" dxfId="3195" priority="2894" operator="equal">
      <formula>"NA"</formula>
    </cfRule>
    <cfRule type="cellIs" dxfId="3196" priority="2893" operator="equal">
      <formula>"NA"</formula>
    </cfRule>
    <cfRule type="cellIs" dxfId="3197" priority="2892" operator="equal">
      <formula>"NA"</formula>
    </cfRule>
    <cfRule type="cellIs" dxfId="3198" priority="2890" operator="equal">
      <formula>"NA"</formula>
    </cfRule>
    <cfRule type="cellIs" dxfId="3199" priority="2889" operator="equal">
      <formula>"NA"</formula>
    </cfRule>
    <cfRule type="cellIs" dxfId="3200" priority="2888" operator="equal">
      <formula>"NA"</formula>
    </cfRule>
  </conditionalFormatting>
  <conditionalFormatting sqref="I877:J878 J879:J882 I883:J886 J887">
    <cfRule type="cellIs" dxfId="3201" priority="11606" operator="equal">
      <formula>"NA"</formula>
    </cfRule>
  </conditionalFormatting>
  <conditionalFormatting sqref="I883:J886 J887 I877:J878 J879:J882">
    <cfRule type="cellIs" dxfId="3202" priority="11605" operator="equal">
      <formula>"NA"</formula>
    </cfRule>
  </conditionalFormatting>
  <conditionalFormatting sqref="I883:J886 J887">
    <cfRule type="cellIs" dxfId="3203" priority="10451" operator="equal">
      <formula>"NA"</formula>
    </cfRule>
    <cfRule type="cellIs" dxfId="3204" priority="10452" operator="equal">
      <formula>"NA"</formula>
    </cfRule>
    <cfRule type="cellIs" dxfId="3205" priority="10462" operator="equal">
      <formula>"NA"</formula>
    </cfRule>
    <cfRule type="cellIs" dxfId="3206" priority="10457" operator="equal">
      <formula>"NA"</formula>
    </cfRule>
    <cfRule type="cellIs" dxfId="3207" priority="10458" operator="equal">
      <formula>"NA"</formula>
    </cfRule>
    <cfRule type="cellIs" dxfId="3208" priority="10459" operator="equal">
      <formula>"NA"</formula>
    </cfRule>
    <cfRule type="cellIs" dxfId="3209" priority="10460" operator="equal">
      <formula>"NA"</formula>
    </cfRule>
    <cfRule type="cellIs" dxfId="3210" priority="10461" operator="equal">
      <formula>"NA"</formula>
    </cfRule>
    <cfRule type="cellIs" dxfId="3211" priority="10456" operator="equal">
      <formula>"NA"</formula>
    </cfRule>
    <cfRule type="cellIs" dxfId="3212" priority="10455" operator="equal">
      <formula>"NA"</formula>
    </cfRule>
    <cfRule type="cellIs" dxfId="3213" priority="10454" operator="equal">
      <formula>"NA"</formula>
    </cfRule>
    <cfRule type="cellIs" dxfId="3214" priority="10453" operator="equal">
      <formula>"NA"</formula>
    </cfRule>
  </conditionalFormatting>
  <conditionalFormatting sqref="I898:J899 J900 I901:J907 J908">
    <cfRule type="cellIs" dxfId="3215" priority="11604" operator="equal">
      <formula>"NA"</formula>
    </cfRule>
  </conditionalFormatting>
  <conditionalFormatting sqref="I901:J907 J908 I898:J899 J900">
    <cfRule type="cellIs" dxfId="3216" priority="11603" operator="equal">
      <formula>"NA"</formula>
    </cfRule>
  </conditionalFormatting>
  <conditionalFormatting sqref="I904:J907 J908">
    <cfRule type="cellIs" dxfId="3217" priority="10441" operator="equal">
      <formula>"NA"</formula>
    </cfRule>
    <cfRule type="cellIs" dxfId="3218" priority="10443" operator="equal">
      <formula>"NA"</formula>
    </cfRule>
    <cfRule type="cellIs" dxfId="3219" priority="10444" operator="equal">
      <formula>"NA"</formula>
    </cfRule>
    <cfRule type="cellIs" dxfId="3220" priority="10445" operator="equal">
      <formula>"NA"</formula>
    </cfRule>
    <cfRule type="cellIs" dxfId="3221" priority="10446" operator="equal">
      <formula>"NA"</formula>
    </cfRule>
    <cfRule type="cellIs" dxfId="3222" priority="10447" operator="equal">
      <formula>"NA"</formula>
    </cfRule>
    <cfRule type="cellIs" dxfId="3223" priority="10448" operator="equal">
      <formula>"NA"</formula>
    </cfRule>
    <cfRule type="cellIs" dxfId="3224" priority="10449" operator="equal">
      <formula>"NA"</formula>
    </cfRule>
    <cfRule type="cellIs" dxfId="3225" priority="10450" operator="equal">
      <formula>"NA"</formula>
    </cfRule>
    <cfRule type="cellIs" dxfId="3226" priority="10442" operator="equal">
      <formula>"NA"</formula>
    </cfRule>
    <cfRule type="cellIs" dxfId="3227" priority="10439" operator="equal">
      <formula>"NA"</formula>
    </cfRule>
    <cfRule type="cellIs" dxfId="3228" priority="10440" operator="equal">
      <formula>"NA"</formula>
    </cfRule>
  </conditionalFormatting>
  <conditionalFormatting sqref="I919:J920 J921 I922:J928 J929">
    <cfRule type="cellIs" dxfId="3229" priority="11602" operator="equal">
      <formula>"NA"</formula>
    </cfRule>
  </conditionalFormatting>
  <conditionalFormatting sqref="I922:J928 J929 I919:J920 J921">
    <cfRule type="cellIs" dxfId="3230" priority="11601" operator="equal">
      <formula>"NA"</formula>
    </cfRule>
  </conditionalFormatting>
  <conditionalFormatting sqref="I925:J928 J929">
    <cfRule type="cellIs" dxfId="3231" priority="10430" operator="equal">
      <formula>"NA"</formula>
    </cfRule>
    <cfRule type="cellIs" dxfId="3232" priority="10437" operator="equal">
      <formula>"NA"</formula>
    </cfRule>
    <cfRule type="cellIs" dxfId="3233" priority="10436" operator="equal">
      <formula>"NA"</formula>
    </cfRule>
    <cfRule type="cellIs" dxfId="3234" priority="10435" operator="equal">
      <formula>"NA"</formula>
    </cfRule>
    <cfRule type="cellIs" dxfId="3235" priority="10434" operator="equal">
      <formula>"NA"</formula>
    </cfRule>
    <cfRule type="cellIs" dxfId="3236" priority="10433" operator="equal">
      <formula>"NA"</formula>
    </cfRule>
    <cfRule type="cellIs" dxfId="3237" priority="10432" operator="equal">
      <formula>"NA"</formula>
    </cfRule>
    <cfRule type="cellIs" dxfId="3238" priority="10431" operator="equal">
      <formula>"NA"</formula>
    </cfRule>
    <cfRule type="cellIs" dxfId="3239" priority="10429" operator="equal">
      <formula>"NA"</formula>
    </cfRule>
    <cfRule type="cellIs" dxfId="3240" priority="10428" operator="equal">
      <formula>"NA"</formula>
    </cfRule>
    <cfRule type="cellIs" dxfId="3241" priority="10427" operator="equal">
      <formula>"NA"</formula>
    </cfRule>
    <cfRule type="cellIs" dxfId="3242" priority="10438" operator="equal">
      <formula>"NA"</formula>
    </cfRule>
  </conditionalFormatting>
  <conditionalFormatting sqref="I940:J941 J942 I943:J949 J950">
    <cfRule type="cellIs" dxfId="3243" priority="11600" operator="equal">
      <formula>"NA"</formula>
    </cfRule>
  </conditionalFormatting>
  <conditionalFormatting sqref="I943:J949 J950 I940:J941 J942">
    <cfRule type="cellIs" dxfId="3244" priority="11599" operator="equal">
      <formula>"NA"</formula>
    </cfRule>
  </conditionalFormatting>
  <conditionalFormatting sqref="I946:J949 J950">
    <cfRule type="cellIs" dxfId="3245" priority="10416" operator="equal">
      <formula>"NA"</formula>
    </cfRule>
    <cfRule type="cellIs" dxfId="3246" priority="10417" operator="equal">
      <formula>"NA"</formula>
    </cfRule>
    <cfRule type="cellIs" dxfId="3247" priority="10420" operator="equal">
      <formula>"NA"</formula>
    </cfRule>
    <cfRule type="cellIs" dxfId="3248" priority="10419" operator="equal">
      <formula>"NA"</formula>
    </cfRule>
    <cfRule type="cellIs" dxfId="3249" priority="10418" operator="equal">
      <formula>"NA"</formula>
    </cfRule>
    <cfRule type="cellIs" dxfId="3250" priority="10426" operator="equal">
      <formula>"NA"</formula>
    </cfRule>
    <cfRule type="cellIs" dxfId="3251" priority="10424" operator="equal">
      <formula>"NA"</formula>
    </cfRule>
    <cfRule type="cellIs" dxfId="3252" priority="10423" operator="equal">
      <formula>"NA"</formula>
    </cfRule>
    <cfRule type="cellIs" dxfId="3253" priority="10422" operator="equal">
      <formula>"NA"</formula>
    </cfRule>
    <cfRule type="cellIs" dxfId="3254" priority="10421" operator="equal">
      <formula>"NA"</formula>
    </cfRule>
    <cfRule type="cellIs" dxfId="3255" priority="10415" operator="equal">
      <formula>"NA"</formula>
    </cfRule>
    <cfRule type="cellIs" dxfId="3256" priority="10425" operator="equal">
      <formula>"NA"</formula>
    </cfRule>
  </conditionalFormatting>
  <conditionalFormatting sqref="I985:J986 J987 I988:J990 J991 I992:J995 J996:J999">
    <cfRule type="cellIs" dxfId="3257" priority="11596" operator="equal">
      <formula>"NA"</formula>
    </cfRule>
  </conditionalFormatting>
  <conditionalFormatting sqref="I992:J995 J996:J999 I985:J986 J987 I988:J990 J991">
    <cfRule type="cellIs" dxfId="3258" priority="11595" operator="equal">
      <formula>"NA"</formula>
    </cfRule>
  </conditionalFormatting>
  <conditionalFormatting sqref="I992:J995 J996:J999">
    <cfRule type="cellIs" dxfId="3259" priority="10395" operator="equal">
      <formula>"NA"</formula>
    </cfRule>
    <cfRule type="cellIs" dxfId="3260" priority="10396" operator="equal">
      <formula>"NA"</formula>
    </cfRule>
    <cfRule type="cellIs" dxfId="3261" priority="10398" operator="equal">
      <formula>"NA"</formula>
    </cfRule>
    <cfRule type="cellIs" dxfId="3262" priority="10399" operator="equal">
      <formula>"NA"</formula>
    </cfRule>
    <cfRule type="cellIs" dxfId="3263" priority="10400" operator="equal">
      <formula>"NA"</formula>
    </cfRule>
    <cfRule type="cellIs" dxfId="3264" priority="10401" operator="equal">
      <formula>"NA"</formula>
    </cfRule>
    <cfRule type="cellIs" dxfId="3265" priority="10402" operator="equal">
      <formula>"NA"</formula>
    </cfRule>
    <cfRule type="cellIs" dxfId="3266" priority="10397" operator="equal">
      <formula>"NA"</formula>
    </cfRule>
    <cfRule type="cellIs" dxfId="3267" priority="10391" operator="equal">
      <formula>"NA"</formula>
    </cfRule>
    <cfRule type="cellIs" dxfId="3268" priority="10392" operator="equal">
      <formula>"NA"</formula>
    </cfRule>
    <cfRule type="cellIs" dxfId="3269" priority="10393" operator="equal">
      <formula>"NA"</formula>
    </cfRule>
    <cfRule type="cellIs" dxfId="3270" priority="10394" operator="equal">
      <formula>"NA"</formula>
    </cfRule>
  </conditionalFormatting>
  <conditionalFormatting sqref="I1026:J1028">
    <cfRule type="cellIs" dxfId="3271" priority="136" operator="equal">
      <formula>"NA"</formula>
    </cfRule>
    <cfRule type="cellIs" dxfId="3272" priority="135" operator="equal">
      <formula>"NA"</formula>
    </cfRule>
  </conditionalFormatting>
  <conditionalFormatting sqref="I1029:J1029">
    <cfRule type="cellIs" dxfId="3273" priority="2777" operator="equal">
      <formula>"NA"</formula>
    </cfRule>
    <cfRule type="cellIs" dxfId="3274" priority="2779" operator="equal">
      <formula>"NA"</formula>
    </cfRule>
    <cfRule type="cellIs" dxfId="3275" priority="2780" operator="equal">
      <formula>"NA"</formula>
    </cfRule>
    <cfRule type="cellIs" dxfId="3276" priority="2781" operator="equal">
      <formula>"NA"</formula>
    </cfRule>
    <cfRule type="cellIs" dxfId="3277" priority="2782" operator="equal">
      <formula>"NA"</formula>
    </cfRule>
    <cfRule type="cellIs" dxfId="3278" priority="2783" operator="equal">
      <formula>"NA"</formula>
    </cfRule>
    <cfRule type="cellIs" dxfId="3279" priority="2784" operator="equal">
      <formula>"NA"</formula>
    </cfRule>
    <cfRule type="cellIs" dxfId="3280" priority="2787" operator="equal">
      <formula>"NA"</formula>
    </cfRule>
    <cfRule type="cellIs" dxfId="3281" priority="2788" operator="equal">
      <formula>"NA"</formula>
    </cfRule>
    <cfRule type="cellIs" dxfId="3282" priority="2789" operator="equal">
      <formula>"NA"</formula>
    </cfRule>
    <cfRule type="cellIs" dxfId="3283" priority="2790" operator="equal">
      <formula>"NA"</formula>
    </cfRule>
    <cfRule type="cellIs" dxfId="3284" priority="2778" operator="equal">
      <formula>"NA"</formula>
    </cfRule>
  </conditionalFormatting>
  <conditionalFormatting sqref="I1029:J1034 J1035:J1036">
    <cfRule type="cellIs" dxfId="3285" priority="2792" operator="equal">
      <formula>"NA"</formula>
    </cfRule>
    <cfRule type="cellIs" dxfId="3286" priority="2791" operator="equal">
      <formula>"NA"</formula>
    </cfRule>
  </conditionalFormatting>
  <conditionalFormatting sqref="I1032:J1034 J1035:J1036">
    <cfRule type="cellIs" dxfId="3287" priority="2772" operator="equal">
      <formula>"NA"</formula>
    </cfRule>
    <cfRule type="cellIs" dxfId="3288" priority="2773" operator="equal">
      <formula>"NA"</formula>
    </cfRule>
    <cfRule type="cellIs" dxfId="3289" priority="2774" operator="equal">
      <formula>"NA"</formula>
    </cfRule>
    <cfRule type="cellIs" dxfId="3290" priority="2775" operator="equal">
      <formula>"NA"</formula>
    </cfRule>
    <cfRule type="cellIs" dxfId="3291" priority="2776" operator="equal">
      <formula>"NA"</formula>
    </cfRule>
    <cfRule type="cellIs" dxfId="3292" priority="2767" operator="equal">
      <formula>"NA"</formula>
    </cfRule>
    <cfRule type="cellIs" dxfId="3293" priority="2785" operator="equal">
      <formula>"NA"</formula>
    </cfRule>
    <cfRule type="cellIs" dxfId="3294" priority="2786" operator="equal">
      <formula>"NA"</formula>
    </cfRule>
    <cfRule type="cellIs" dxfId="3295" priority="2768" operator="equal">
      <formula>"NA"</formula>
    </cfRule>
    <cfRule type="cellIs" dxfId="3296" priority="2769" operator="equal">
      <formula>"NA"</formula>
    </cfRule>
    <cfRule type="cellIs" dxfId="3297" priority="2770" operator="equal">
      <formula>"NA"</formula>
    </cfRule>
    <cfRule type="cellIs" dxfId="3298" priority="2771" operator="equal">
      <formula>"NA"</formula>
    </cfRule>
  </conditionalFormatting>
  <conditionalFormatting sqref="I1052:J1057 J1058">
    <cfRule type="cellIs" dxfId="3299" priority="2755" operator="equal">
      <formula>"NA"</formula>
    </cfRule>
    <cfRule type="cellIs" dxfId="3300" priority="2757" operator="equal">
      <formula>"NA"</formula>
    </cfRule>
    <cfRule type="cellIs" dxfId="3301" priority="2758" operator="equal">
      <formula>"NA"</formula>
    </cfRule>
    <cfRule type="cellIs" dxfId="3302" priority="2756" operator="equal">
      <formula>"NA"</formula>
    </cfRule>
  </conditionalFormatting>
  <conditionalFormatting sqref="I1052:J1057">
    <cfRule type="cellIs" dxfId="3303" priority="2752" operator="equal">
      <formula>"NA"</formula>
    </cfRule>
    <cfRule type="cellIs" dxfId="3304" priority="2754" operator="equal">
      <formula>"NA"</formula>
    </cfRule>
    <cfRule type="cellIs" dxfId="3305" priority="2753" operator="equal">
      <formula>"NA"</formula>
    </cfRule>
    <cfRule type="cellIs" dxfId="3306" priority="2751" operator="equal">
      <formula>"NA"</formula>
    </cfRule>
  </conditionalFormatting>
  <conditionalFormatting sqref="I1071:J1073">
    <cfRule type="cellIs" dxfId="3307" priority="120" operator="equal">
      <formula>"NA"</formula>
    </cfRule>
    <cfRule type="cellIs" dxfId="3308" priority="119" operator="equal">
      <formula>"NA"</formula>
    </cfRule>
  </conditionalFormatting>
  <conditionalFormatting sqref="I1074:J1079 J1080">
    <cfRule type="cellIs" dxfId="3309" priority="7149" operator="equal">
      <formula>"NA"</formula>
    </cfRule>
    <cfRule type="cellIs" dxfId="3310" priority="7150" operator="equal">
      <formula>"NA"</formula>
    </cfRule>
  </conditionalFormatting>
  <conditionalFormatting sqref="I1075:J1079 J1080">
    <cfRule type="cellIs" dxfId="3311" priority="7148" operator="equal">
      <formula>"NA"</formula>
    </cfRule>
    <cfRule type="cellIs" dxfId="3312" priority="7146" operator="equal">
      <formula>"NA"</formula>
    </cfRule>
    <cfRule type="cellIs" dxfId="3313" priority="7145" operator="equal">
      <formula>"NA"</formula>
    </cfRule>
    <cfRule type="cellIs" dxfId="3314" priority="7144" operator="equal">
      <formula>"NA"</formula>
    </cfRule>
    <cfRule type="cellIs" dxfId="3315" priority="7143" operator="equal">
      <formula>"NA"</formula>
    </cfRule>
    <cfRule type="cellIs" dxfId="3316" priority="7147" operator="equal">
      <formula>"NA"</formula>
    </cfRule>
  </conditionalFormatting>
  <conditionalFormatting sqref="I1075:J1079">
    <cfRule type="cellIs" dxfId="3317" priority="7139" operator="equal">
      <formula>"NA"</formula>
    </cfRule>
    <cfRule type="cellIs" dxfId="3318" priority="7140" operator="equal">
      <formula>"NA"</formula>
    </cfRule>
    <cfRule type="cellIs" dxfId="3319" priority="7141" operator="equal">
      <formula>"NA"</formula>
    </cfRule>
    <cfRule type="cellIs" dxfId="3320" priority="7142" operator="equal">
      <formula>"NA"</formula>
    </cfRule>
  </conditionalFormatting>
  <conditionalFormatting sqref="I1096:J1096 I1099:J1103 J1104">
    <cfRule type="cellIs" dxfId="3321" priority="2732" operator="equal">
      <formula>"NA"</formula>
    </cfRule>
  </conditionalFormatting>
  <conditionalFormatting sqref="I1096:J1096">
    <cfRule type="cellIs" dxfId="3322" priority="2718" operator="equal">
      <formula>"NA"</formula>
    </cfRule>
    <cfRule type="cellIs" dxfId="3323" priority="2722" operator="equal">
      <formula>"NA"</formula>
    </cfRule>
    <cfRule type="cellIs" dxfId="3324" priority="2721" operator="equal">
      <formula>"NA"</formula>
    </cfRule>
    <cfRule type="cellIs" dxfId="3325" priority="2720" operator="equal">
      <formula>"NA"</formula>
    </cfRule>
    <cfRule type="cellIs" dxfId="3326" priority="2719" operator="equal">
      <formula>"NA"</formula>
    </cfRule>
    <cfRule type="cellIs" dxfId="3327" priority="2715" operator="equal">
      <formula>"NA"</formula>
    </cfRule>
    <cfRule type="cellIs" dxfId="3328" priority="2716" operator="equal">
      <formula>"NA"</formula>
    </cfRule>
    <cfRule type="cellIs" dxfId="3329" priority="2717" operator="equal">
      <formula>"NA"</formula>
    </cfRule>
  </conditionalFormatting>
  <conditionalFormatting sqref="I1099:J1103 J1104 I1096:J1096">
    <cfRule type="cellIs" dxfId="3330" priority="2731" operator="equal">
      <formula>"NA"</formula>
    </cfRule>
  </conditionalFormatting>
  <conditionalFormatting sqref="I1099:J1103 J1104">
    <cfRule type="cellIs" dxfId="3331" priority="2729" operator="equal">
      <formula>"NA"</formula>
    </cfRule>
    <cfRule type="cellIs" dxfId="3332" priority="2730" operator="equal">
      <formula>"NA"</formula>
    </cfRule>
    <cfRule type="cellIs" dxfId="3333" priority="2727" operator="equal">
      <formula>"NA"</formula>
    </cfRule>
    <cfRule type="cellIs" dxfId="3334" priority="2728" operator="equal">
      <formula>"NA"</formula>
    </cfRule>
  </conditionalFormatting>
  <conditionalFormatting sqref="I1099:J1103">
    <cfRule type="cellIs" dxfId="3335" priority="2723" operator="equal">
      <formula>"NA"</formula>
    </cfRule>
    <cfRule type="cellIs" dxfId="3336" priority="2724" operator="equal">
      <formula>"NA"</formula>
    </cfRule>
    <cfRule type="cellIs" dxfId="3337" priority="2725" operator="equal">
      <formula>"NA"</formula>
    </cfRule>
    <cfRule type="cellIs" dxfId="3338" priority="2726" operator="equal">
      <formula>"NA"</formula>
    </cfRule>
  </conditionalFormatting>
  <conditionalFormatting sqref="I1118:J1119">
    <cfRule type="cellIs" dxfId="3339" priority="279" operator="equal">
      <formula>"NA"</formula>
    </cfRule>
    <cfRule type="cellIs" dxfId="3340" priority="280" operator="equal">
      <formula>"NA"</formula>
    </cfRule>
  </conditionalFormatting>
  <conditionalFormatting sqref="I1120:J1120 I1123:J1127 J1128">
    <cfRule type="cellIs" dxfId="3341" priority="2592" operator="equal">
      <formula>"NA"</formula>
    </cfRule>
  </conditionalFormatting>
  <conditionalFormatting sqref="I1120:J1120">
    <cfRule type="cellIs" dxfId="3342" priority="2575" operator="equal">
      <formula>"NA"</formula>
    </cfRule>
    <cfRule type="cellIs" dxfId="3343" priority="2576" operator="equal">
      <formula>"NA"</formula>
    </cfRule>
    <cfRule type="cellIs" dxfId="3344" priority="2577" operator="equal">
      <formula>"NA"</formula>
    </cfRule>
    <cfRule type="cellIs" dxfId="3345" priority="2578" operator="equal">
      <formula>"NA"</formula>
    </cfRule>
    <cfRule type="cellIs" dxfId="3346" priority="2580" operator="equal">
      <formula>"NA"</formula>
    </cfRule>
    <cfRule type="cellIs" dxfId="3347" priority="2581" operator="equal">
      <formula>"NA"</formula>
    </cfRule>
    <cfRule type="cellIs" dxfId="3348" priority="2582" operator="equal">
      <formula>"NA"</formula>
    </cfRule>
    <cfRule type="cellIs" dxfId="3349" priority="2579" operator="equal">
      <formula>"NA"</formula>
    </cfRule>
  </conditionalFormatting>
  <conditionalFormatting sqref="I1123:J1127 J1128 I1120:J1120">
    <cfRule type="cellIs" dxfId="3350" priority="2591" operator="equal">
      <formula>"NA"</formula>
    </cfRule>
  </conditionalFormatting>
  <conditionalFormatting sqref="I1123:J1127 J1128">
    <cfRule type="cellIs" dxfId="3351" priority="2589" operator="equal">
      <formula>"NA"</formula>
    </cfRule>
    <cfRule type="cellIs" dxfId="3352" priority="2587" operator="equal">
      <formula>"NA"</formula>
    </cfRule>
    <cfRule type="cellIs" dxfId="3353" priority="2588" operator="equal">
      <formula>"NA"</formula>
    </cfRule>
    <cfRule type="cellIs" dxfId="3354" priority="2590" operator="equal">
      <formula>"NA"</formula>
    </cfRule>
  </conditionalFormatting>
  <conditionalFormatting sqref="I1123:J1127">
    <cfRule type="cellIs" dxfId="3355" priority="2583" operator="equal">
      <formula>"NA"</formula>
    </cfRule>
    <cfRule type="cellIs" dxfId="3356" priority="2584" operator="equal">
      <formula>"NA"</formula>
    </cfRule>
    <cfRule type="cellIs" dxfId="3357" priority="2585" operator="equal">
      <formula>"NA"</formula>
    </cfRule>
    <cfRule type="cellIs" dxfId="3358" priority="2586" operator="equal">
      <formula>"NA"</formula>
    </cfRule>
  </conditionalFormatting>
  <conditionalFormatting sqref="I1141:J1143">
    <cfRule type="cellIs" dxfId="3359" priority="99" operator="equal">
      <formula>"NA"</formula>
    </cfRule>
    <cfRule type="cellIs" dxfId="3360" priority="100" operator="equal">
      <formula>"NA"</formula>
    </cfRule>
  </conditionalFormatting>
  <conditionalFormatting sqref="I1144:J1144">
    <cfRule type="cellIs" dxfId="3361" priority="6978" operator="equal">
      <formula>"NA"</formula>
    </cfRule>
    <cfRule type="cellIs" dxfId="3362" priority="6971" operator="equal">
      <formula>"NA"</formula>
    </cfRule>
    <cfRule type="cellIs" dxfId="3363" priority="6979" operator="equal">
      <formula>"NA"</formula>
    </cfRule>
    <cfRule type="cellIs" dxfId="3364" priority="6972" operator="equal">
      <formula>"NA"</formula>
    </cfRule>
    <cfRule type="cellIs" dxfId="3365" priority="6973" operator="equal">
      <formula>"NA"</formula>
    </cfRule>
    <cfRule type="cellIs" dxfId="3366" priority="6974" operator="equal">
      <formula>"NA"</formula>
    </cfRule>
    <cfRule type="cellIs" dxfId="3367" priority="6975" operator="equal">
      <formula>"NA"</formula>
    </cfRule>
    <cfRule type="cellIs" dxfId="3368" priority="6977" operator="equal">
      <formula>"NA"</formula>
    </cfRule>
    <cfRule type="cellIs" dxfId="3369" priority="6980" operator="equal">
      <formula>"NA"</formula>
    </cfRule>
    <cfRule type="cellIs" dxfId="3370" priority="6976" operator="equal">
      <formula>"NA"</formula>
    </cfRule>
  </conditionalFormatting>
  <conditionalFormatting sqref="I1144:J1152 J1153:J1156">
    <cfRule type="cellIs" dxfId="3371" priority="7019" operator="equal">
      <formula>"NA"</formula>
    </cfRule>
    <cfRule type="cellIs" dxfId="3372" priority="7020" operator="equal">
      <formula>"NA"</formula>
    </cfRule>
  </conditionalFormatting>
  <conditionalFormatting sqref="I1149:J1152 J1153:J1156">
    <cfRule type="cellIs" dxfId="3373" priority="6988" operator="equal">
      <formula>"NA"</formula>
    </cfRule>
    <cfRule type="cellIs" dxfId="3374" priority="6989" operator="equal">
      <formula>"NA"</formula>
    </cfRule>
    <cfRule type="cellIs" dxfId="3375" priority="6987" operator="equal">
      <formula>"NA"</formula>
    </cfRule>
    <cfRule type="cellIs" dxfId="3376" priority="6985" operator="equal">
      <formula>"NA"</formula>
    </cfRule>
    <cfRule type="cellIs" dxfId="3377" priority="6984" operator="equal">
      <formula>"NA"</formula>
    </cfRule>
    <cfRule type="cellIs" dxfId="3378" priority="6983" operator="equal">
      <formula>"NA"</formula>
    </cfRule>
    <cfRule type="cellIs" dxfId="3379" priority="6982" operator="equal">
      <formula>"NA"</formula>
    </cfRule>
    <cfRule type="cellIs" dxfId="3380" priority="6981" operator="equal">
      <formula>"NA"</formula>
    </cfRule>
    <cfRule type="cellIs" dxfId="3381" priority="6986" operator="equal">
      <formula>"NA"</formula>
    </cfRule>
    <cfRule type="cellIs" dxfId="3382" priority="6990" operator="equal">
      <formula>"NA"</formula>
    </cfRule>
  </conditionalFormatting>
  <conditionalFormatting sqref="I1188:J1190 E1190:G1190">
    <cfRule type="cellIs" dxfId="3383" priority="263" operator="equal">
      <formula>"NA"</formula>
    </cfRule>
    <cfRule type="cellIs" dxfId="3384" priority="264" operator="equal">
      <formula>"NA"</formula>
    </cfRule>
  </conditionalFormatting>
  <conditionalFormatting sqref="I1191:J1195 J1196">
    <cfRule type="cellIs" dxfId="3385" priority="7017" operator="equal">
      <formula>"NA"</formula>
    </cfRule>
    <cfRule type="cellIs" dxfId="3386" priority="7018" operator="equal">
      <formula>"NA"</formula>
    </cfRule>
  </conditionalFormatting>
  <conditionalFormatting sqref="I1192:J1195 J1196">
    <cfRule type="cellIs" dxfId="3387" priority="6967" operator="equal">
      <formula>"NA"</formula>
    </cfRule>
    <cfRule type="cellIs" dxfId="3388" priority="6966" operator="equal">
      <formula>"NA"</formula>
    </cfRule>
    <cfRule type="cellIs" dxfId="3389" priority="6965" operator="equal">
      <formula>"NA"</formula>
    </cfRule>
    <cfRule type="cellIs" dxfId="3390" priority="6964" operator="equal">
      <formula>"NA"</formula>
    </cfRule>
    <cfRule type="cellIs" dxfId="3391" priority="6963" operator="equal">
      <formula>"NA"</formula>
    </cfRule>
    <cfRule type="cellIs" dxfId="3392" priority="6962" operator="equal">
      <formula>"NA"</formula>
    </cfRule>
    <cfRule type="cellIs" dxfId="3393" priority="6961" operator="equal">
      <formula>"NA"</formula>
    </cfRule>
    <cfRule type="cellIs" dxfId="3394" priority="6969" operator="equal">
      <formula>"NA"</formula>
    </cfRule>
    <cfRule type="cellIs" dxfId="3395" priority="6970" operator="equal">
      <formula>"NA"</formula>
    </cfRule>
    <cfRule type="cellIs" dxfId="3396" priority="6968" operator="equal">
      <formula>"NA"</formula>
    </cfRule>
  </conditionalFormatting>
  <conditionalFormatting sqref="I1204:J1205 J1206:J1207 I1208:J1210 J1211">
    <cfRule type="cellIs" dxfId="3397" priority="7016" operator="equal">
      <formula>"NA"</formula>
    </cfRule>
  </conditionalFormatting>
  <conditionalFormatting sqref="I1208:J1210 J1211 I1204:J1205 J1206:J1207">
    <cfRule type="cellIs" dxfId="3398" priority="7015" operator="equal">
      <formula>"NA"</formula>
    </cfRule>
  </conditionalFormatting>
  <conditionalFormatting sqref="I1208:J1210 J1211">
    <cfRule type="cellIs" dxfId="3399" priority="6958" operator="equal">
      <formula>"NA"</formula>
    </cfRule>
    <cfRule type="cellIs" dxfId="3400" priority="6960" operator="equal">
      <formula>"NA"</formula>
    </cfRule>
    <cfRule type="cellIs" dxfId="3401" priority="6957" operator="equal">
      <formula>"NA"</formula>
    </cfRule>
    <cfRule type="cellIs" dxfId="3402" priority="6956" operator="equal">
      <formula>"NA"</formula>
    </cfRule>
    <cfRule type="cellIs" dxfId="3403" priority="6959" operator="equal">
      <formula>"NA"</formula>
    </cfRule>
    <cfRule type="cellIs" dxfId="3404" priority="6955" operator="equal">
      <formula>"NA"</formula>
    </cfRule>
    <cfRule type="cellIs" dxfId="3405" priority="6954" operator="equal">
      <formula>"NA"</formula>
    </cfRule>
    <cfRule type="cellIs" dxfId="3406" priority="6953" operator="equal">
      <formula>"NA"</formula>
    </cfRule>
    <cfRule type="cellIs" dxfId="3407" priority="6951" operator="equal">
      <formula>"NA"</formula>
    </cfRule>
    <cfRule type="cellIs" dxfId="3408" priority="6952" operator="equal">
      <formula>"NA"</formula>
    </cfRule>
  </conditionalFormatting>
  <conditionalFormatting sqref="I1228:J1230 J1231">
    <cfRule type="cellIs" dxfId="3409" priority="7012" operator="equal">
      <formula>"NA"</formula>
    </cfRule>
    <cfRule type="cellIs" dxfId="3410" priority="6950" operator="equal">
      <formula>"NA"</formula>
    </cfRule>
    <cfRule type="cellIs" dxfId="3411" priority="6949" operator="equal">
      <formula>"NA"</formula>
    </cfRule>
    <cfRule type="cellIs" dxfId="3412" priority="7011" operator="equal">
      <formula>"NA"</formula>
    </cfRule>
  </conditionalFormatting>
  <conditionalFormatting sqref="I1234:J1234">
    <cfRule type="cellIs" dxfId="3413" priority="7007" operator="equal">
      <formula>"NA"</formula>
    </cfRule>
    <cfRule type="cellIs" dxfId="3414" priority="7008" operator="equal">
      <formula>"NA"</formula>
    </cfRule>
  </conditionalFormatting>
  <conditionalFormatting sqref="I1237:J1239 J1240">
    <cfRule type="cellIs" dxfId="3415" priority="2571" operator="equal">
      <formula>"NA"</formula>
    </cfRule>
    <cfRule type="cellIs" dxfId="3416" priority="2572" operator="equal">
      <formula>"NA"</formula>
    </cfRule>
  </conditionalFormatting>
  <conditionalFormatting sqref="I1248:J1250 J1251">
    <cfRule type="cellIs" dxfId="3417" priority="6999" operator="equal">
      <formula>"NA"</formula>
    </cfRule>
    <cfRule type="cellIs" dxfId="3418" priority="7000" operator="equal">
      <formula>"NA"</formula>
    </cfRule>
    <cfRule type="cellIs" dxfId="3419" priority="6946" operator="equal">
      <formula>"NA"</formula>
    </cfRule>
    <cfRule type="cellIs" dxfId="3420" priority="6945" operator="equal">
      <formula>"NA"</formula>
    </cfRule>
  </conditionalFormatting>
  <conditionalFormatting sqref="I1256:J1258">
    <cfRule type="cellIs" dxfId="3421" priority="6994" operator="equal">
      <formula>"NA"</formula>
    </cfRule>
    <cfRule type="cellIs" dxfId="3422" priority="6943" operator="equal">
      <formula>"NA"</formula>
    </cfRule>
    <cfRule type="cellIs" dxfId="3423" priority="6944" operator="equal">
      <formula>"NA"</formula>
    </cfRule>
    <cfRule type="cellIs" dxfId="3424" priority="6993" operator="equal">
      <formula>"NA"</formula>
    </cfRule>
  </conditionalFormatting>
  <conditionalFormatting sqref="I1268:J1269">
    <cfRule type="cellIs" dxfId="3425" priority="251" operator="equal">
      <formula>"NA"</formula>
    </cfRule>
    <cfRule type="cellIs" dxfId="3426" priority="252" operator="equal">
      <formula>"NA"</formula>
    </cfRule>
  </conditionalFormatting>
  <conditionalFormatting sqref="I1279:J1279">
    <cfRule type="cellIs" dxfId="3427" priority="249" operator="equal">
      <formula>"NA"</formula>
    </cfRule>
    <cfRule type="cellIs" dxfId="3428" priority="250" operator="equal">
      <formula>"NA"</formula>
    </cfRule>
  </conditionalFormatting>
  <conditionalFormatting sqref="I1291:J1291">
    <cfRule type="cellIs" dxfId="3429" priority="247" operator="equal">
      <formula>"NA"</formula>
    </cfRule>
    <cfRule type="cellIs" dxfId="3430" priority="248" operator="equal">
      <formula>"NA"</formula>
    </cfRule>
  </conditionalFormatting>
  <conditionalFormatting sqref="I1327:J1327">
    <cfRule type="cellIs" dxfId="3431" priority="2458" operator="equal">
      <formula>"NA"</formula>
    </cfRule>
    <cfRule type="cellIs" dxfId="3432" priority="2453" operator="equal">
      <formula>"NA"</formula>
    </cfRule>
    <cfRule type="cellIs" dxfId="3433" priority="2454" operator="equal">
      <formula>"NA"</formula>
    </cfRule>
    <cfRule type="cellIs" dxfId="3434" priority="2455" operator="equal">
      <formula>"NA"</formula>
    </cfRule>
    <cfRule type="cellIs" dxfId="3435" priority="2456" operator="equal">
      <formula>"NA"</formula>
    </cfRule>
    <cfRule type="cellIs" dxfId="3436" priority="2457" operator="equal">
      <formula>"NA"</formula>
    </cfRule>
    <cfRule type="cellIs" dxfId="3437" priority="2461" operator="equal">
      <formula>"NA"</formula>
    </cfRule>
    <cfRule type="cellIs" dxfId="3438" priority="2462" operator="equal">
      <formula>"NA"</formula>
    </cfRule>
  </conditionalFormatting>
  <conditionalFormatting sqref="I1327:J1329">
    <cfRule type="cellIs" dxfId="3439" priority="2435" operator="equal">
      <formula>"NA"</formula>
    </cfRule>
    <cfRule type="cellIs" dxfId="3440" priority="2438" operator="equal">
      <formula>"NA"</formula>
    </cfRule>
    <cfRule type="cellIs" dxfId="3441" priority="2437" operator="equal">
      <formula>"NA"</formula>
    </cfRule>
    <cfRule type="cellIs" dxfId="3442" priority="2436" operator="equal">
      <formula>"NA"</formula>
    </cfRule>
  </conditionalFormatting>
  <conditionalFormatting sqref="I1328:J1328">
    <cfRule type="cellIs" dxfId="3443" priority="2465" operator="equal">
      <formula>"NA"</formula>
    </cfRule>
    <cfRule type="cellIs" dxfId="3444" priority="2470" operator="equal">
      <formula>"NA"</formula>
    </cfRule>
    <cfRule type="cellIs" dxfId="3445" priority="2467" operator="equal">
      <formula>"NA"</formula>
    </cfRule>
    <cfRule type="cellIs" dxfId="3446" priority="2468" operator="equal">
      <formula>"NA"</formula>
    </cfRule>
    <cfRule type="cellIs" dxfId="3447" priority="2469" operator="equal">
      <formula>"NA"</formula>
    </cfRule>
    <cfRule type="cellIs" dxfId="3448" priority="2466" operator="equal">
      <formula>"NA"</formula>
    </cfRule>
    <cfRule type="cellIs" dxfId="3449" priority="2463" operator="equal">
      <formula>"NA"</formula>
    </cfRule>
    <cfRule type="cellIs" dxfId="3450" priority="2464" operator="equal">
      <formula>"NA"</formula>
    </cfRule>
  </conditionalFormatting>
  <conditionalFormatting sqref="I1329:J1329">
    <cfRule type="cellIs" dxfId="3451" priority="2447" operator="equal">
      <formula>"NA"</formula>
    </cfRule>
    <cfRule type="cellIs" dxfId="3452" priority="2448" operator="equal">
      <formula>"NA"</formula>
    </cfRule>
    <cfRule type="cellIs" dxfId="3453" priority="2445" operator="equal">
      <formula>"NA"</formula>
    </cfRule>
    <cfRule type="cellIs" dxfId="3454" priority="2444" operator="equal">
      <formula>"NA"</formula>
    </cfRule>
    <cfRule type="cellIs" dxfId="3455" priority="2443" operator="equal">
      <formula>"NA"</formula>
    </cfRule>
    <cfRule type="cellIs" dxfId="3456" priority="2446" operator="equal">
      <formula>"NA"</formula>
    </cfRule>
  </conditionalFormatting>
  <conditionalFormatting sqref="I1329:J1339">
    <cfRule type="cellIs" dxfId="3457" priority="2459" operator="equal">
      <formula>"NA"</formula>
    </cfRule>
    <cfRule type="cellIs" dxfId="3458" priority="2460" operator="equal">
      <formula>"NA"</formula>
    </cfRule>
  </conditionalFormatting>
  <conditionalFormatting sqref="I1336:J1337">
    <cfRule type="cellIs" dxfId="3459" priority="2427" operator="equal">
      <formula>"NA"</formula>
    </cfRule>
    <cfRule type="cellIs" dxfId="3460" priority="2428" operator="equal">
      <formula>"NA"</formula>
    </cfRule>
    <cfRule type="cellIs" dxfId="3461" priority="2425" operator="equal">
      <formula>"NA"</formula>
    </cfRule>
    <cfRule type="cellIs" dxfId="3462" priority="2426" operator="equal">
      <formula>"NA"</formula>
    </cfRule>
  </conditionalFormatting>
  <conditionalFormatting sqref="I1339:J1339">
    <cfRule type="cellIs" dxfId="3463" priority="2431" operator="equal">
      <formula>"NA"</formula>
    </cfRule>
    <cfRule type="cellIs" dxfId="3464" priority="2433" operator="equal">
      <formula>"NA"</formula>
    </cfRule>
    <cfRule type="cellIs" dxfId="3465" priority="2434" operator="equal">
      <formula>"NA"</formula>
    </cfRule>
    <cfRule type="cellIs" dxfId="3466" priority="2432" operator="equal">
      <formula>"NA"</formula>
    </cfRule>
  </conditionalFormatting>
  <conditionalFormatting sqref="I1382:J1382">
    <cfRule type="cellIs" dxfId="3467" priority="4473" operator="equal">
      <formula>"NA"</formula>
    </cfRule>
    <cfRule type="cellIs" dxfId="3468" priority="4474" operator="equal">
      <formula>"NA"</formula>
    </cfRule>
    <cfRule type="cellIs" dxfId="3469" priority="4472" operator="equal">
      <formula>"NA"</formula>
    </cfRule>
    <cfRule type="cellIs" dxfId="3470" priority="4471" operator="equal">
      <formula>"NA"</formula>
    </cfRule>
    <cfRule type="cellIs" dxfId="3471" priority="4470" operator="equal">
      <formula>"NA"</formula>
    </cfRule>
    <cfRule type="cellIs" dxfId="3472" priority="4469" operator="equal">
      <formula>"NA"</formula>
    </cfRule>
    <cfRule type="cellIs" dxfId="3473" priority="4468" operator="equal">
      <formula>"NA"</formula>
    </cfRule>
    <cfRule type="cellIs" dxfId="3474" priority="4467" operator="equal">
      <formula>"NA"</formula>
    </cfRule>
    <cfRule type="cellIs" dxfId="3475" priority="4466" operator="equal">
      <formula>"NA"</formula>
    </cfRule>
    <cfRule type="cellIs" dxfId="3476" priority="4465" operator="equal">
      <formula>"NA"</formula>
    </cfRule>
  </conditionalFormatting>
  <conditionalFormatting sqref="I1385:J1385">
    <cfRule type="cellIs" dxfId="3477" priority="4453" operator="equal">
      <formula>"NA"</formula>
    </cfRule>
    <cfRule type="cellIs" dxfId="3478" priority="4452" operator="equal">
      <formula>"NA"</formula>
    </cfRule>
    <cfRule type="cellIs" dxfId="3479" priority="4451" operator="equal">
      <formula>"NA"</formula>
    </cfRule>
    <cfRule type="cellIs" dxfId="3480" priority="4450" operator="equal">
      <formula>"NA"</formula>
    </cfRule>
    <cfRule type="cellIs" dxfId="3481" priority="4449" operator="equal">
      <formula>"NA"</formula>
    </cfRule>
    <cfRule type="cellIs" dxfId="3482" priority="4448" operator="equal">
      <formula>"NA"</formula>
    </cfRule>
    <cfRule type="cellIs" dxfId="3483" priority="4437" operator="equal">
      <formula>"NA"</formula>
    </cfRule>
    <cfRule type="cellIs" dxfId="3484" priority="4447" operator="equal">
      <formula>"NA"</formula>
    </cfRule>
    <cfRule type="cellIs" dxfId="3485" priority="4454" operator="equal">
      <formula>"NA"</formula>
    </cfRule>
    <cfRule type="cellIs" dxfId="3486" priority="4446" operator="equal">
      <formula>"NA"</formula>
    </cfRule>
    <cfRule type="cellIs" dxfId="3487" priority="4445" operator="equal">
      <formula>"NA"</formula>
    </cfRule>
    <cfRule type="cellIs" dxfId="3488" priority="4444" operator="equal">
      <formula>"NA"</formula>
    </cfRule>
    <cfRule type="cellIs" dxfId="3489" priority="4443" operator="equal">
      <formula>"NA"</formula>
    </cfRule>
    <cfRule type="cellIs" dxfId="3490" priority="4442" operator="equal">
      <formula>"NA"</formula>
    </cfRule>
    <cfRule type="cellIs" dxfId="3491" priority="4440" operator="equal">
      <formula>"NA"</formula>
    </cfRule>
    <cfRule type="cellIs" dxfId="3492" priority="4439" operator="equal">
      <formula>"NA"</formula>
    </cfRule>
    <cfRule type="cellIs" dxfId="3493" priority="4438" operator="equal">
      <formula>"NA"</formula>
    </cfRule>
    <cfRule type="cellIs" dxfId="3494" priority="4436" operator="equal">
      <formula>"NA"</formula>
    </cfRule>
    <cfRule type="cellIs" dxfId="3495" priority="4435" operator="equal">
      <formula>"NA"</formula>
    </cfRule>
    <cfRule type="cellIs" dxfId="3496" priority="4441" operator="equal">
      <formula>"NA"</formula>
    </cfRule>
  </conditionalFormatting>
  <conditionalFormatting sqref="I1385:J1391">
    <cfRule type="cellIs" dxfId="3497" priority="4462" operator="equal">
      <formula>"NA"</formula>
    </cfRule>
    <cfRule type="cellIs" dxfId="3498" priority="4457" operator="equal">
      <formula>"NA"</formula>
    </cfRule>
    <cfRule type="cellIs" dxfId="3499" priority="4456" operator="equal">
      <formula>"NA"</formula>
    </cfRule>
    <cfRule type="cellIs" dxfId="3500" priority="4458" operator="equal">
      <formula>"NA"</formula>
    </cfRule>
    <cfRule type="cellIs" dxfId="3501" priority="4460" operator="equal">
      <formula>"NA"</formula>
    </cfRule>
    <cfRule type="cellIs" dxfId="3502" priority="4459" operator="equal">
      <formula>"NA"</formula>
    </cfRule>
    <cfRule type="cellIs" dxfId="3503" priority="4455" operator="equal">
      <formula>"NA"</formula>
    </cfRule>
    <cfRule type="cellIs" dxfId="3504" priority="4461" operator="equal">
      <formula>"NA"</formula>
    </cfRule>
  </conditionalFormatting>
  <conditionalFormatting sqref="I1385:J1392">
    <cfRule type="cellIs" dxfId="3505" priority="4463" operator="equal">
      <formula>"NA"</formula>
    </cfRule>
    <cfRule type="cellIs" dxfId="3506" priority="4464" operator="equal">
      <formula>"NA"</formula>
    </cfRule>
  </conditionalFormatting>
  <conditionalFormatting sqref="I446:K446">
    <cfRule type="cellIs" dxfId="3507" priority="4001" operator="equal">
      <formula>"NA"</formula>
    </cfRule>
    <cfRule type="cellIs" dxfId="3508" priority="3999" operator="equal">
      <formula>"NA"</formula>
    </cfRule>
    <cfRule type="cellIs" dxfId="3509" priority="4000" operator="equal">
      <formula>"NA"</formula>
    </cfRule>
    <cfRule type="cellIs" dxfId="3510" priority="4002" operator="equal">
      <formula>"NA"</formula>
    </cfRule>
  </conditionalFormatting>
  <conditionalFormatting sqref="I469:K469">
    <cfRule type="cellIs" dxfId="3511" priority="3986" operator="equal">
      <formula>"NA"</formula>
    </cfRule>
    <cfRule type="cellIs" dxfId="3512" priority="3985" operator="equal">
      <formula>"NA"</formula>
    </cfRule>
    <cfRule type="cellIs" dxfId="3513" priority="3984" operator="equal">
      <formula>"NA"</formula>
    </cfRule>
    <cfRule type="cellIs" dxfId="3514" priority="3983" operator="equal">
      <formula>"NA"</formula>
    </cfRule>
  </conditionalFormatting>
  <conditionalFormatting sqref="I614:K614">
    <cfRule type="cellIs" dxfId="3515" priority="3773" operator="equal">
      <formula>"NA"</formula>
    </cfRule>
    <cfRule type="cellIs" dxfId="3516" priority="3774" operator="equal">
      <formula>"NA"</formula>
    </cfRule>
    <cfRule type="cellIs" dxfId="3517" priority="3771" operator="equal">
      <formula>"NA"</formula>
    </cfRule>
    <cfRule type="cellIs" dxfId="3518" priority="3772" operator="equal">
      <formula>"NA"</formula>
    </cfRule>
  </conditionalFormatting>
  <conditionalFormatting sqref="I637:K637">
    <cfRule type="cellIs" dxfId="3519" priority="3682" operator="equal">
      <formula>"NA"</formula>
    </cfRule>
    <cfRule type="cellIs" dxfId="3520" priority="3679" operator="equal">
      <formula>"NA"</formula>
    </cfRule>
    <cfRule type="cellIs" dxfId="3521" priority="3680" operator="equal">
      <formula>"NA"</formula>
    </cfRule>
    <cfRule type="cellIs" dxfId="3522" priority="3681" operator="equal">
      <formula>"NA"</formula>
    </cfRule>
  </conditionalFormatting>
  <conditionalFormatting sqref="I660:K660">
    <cfRule type="cellIs" dxfId="3523" priority="3576" operator="equal">
      <formula>"NA"</formula>
    </cfRule>
    <cfRule type="cellIs" dxfId="3524" priority="3577" operator="equal">
      <formula>"NA"</formula>
    </cfRule>
    <cfRule type="cellIs" dxfId="3525" priority="3575" operator="equal">
      <formula>"NA"</formula>
    </cfRule>
    <cfRule type="cellIs" dxfId="3526" priority="3578" operator="equal">
      <formula>"NA"</formula>
    </cfRule>
  </conditionalFormatting>
  <conditionalFormatting sqref="J168:J169 I166:J167">
    <cfRule type="cellIs" dxfId="3527" priority="8327" operator="equal">
      <formula>"NA"</formula>
    </cfRule>
  </conditionalFormatting>
  <conditionalFormatting sqref="J168:J169">
    <cfRule type="cellIs" dxfId="3528" priority="7884" operator="equal">
      <formula>"NA"</formula>
    </cfRule>
    <cfRule type="cellIs" dxfId="3529" priority="7883" operator="equal">
      <formula>"NA"</formula>
    </cfRule>
  </conditionalFormatting>
  <conditionalFormatting sqref="J591">
    <cfRule type="cellIs" dxfId="3530" priority="3854" operator="equal">
      <formula>"NA"</formula>
    </cfRule>
    <cfRule type="cellIs" dxfId="3531" priority="3846" operator="equal">
      <formula>"NA"</formula>
    </cfRule>
    <cfRule type="cellIs" dxfId="3532" priority="3847" operator="equal">
      <formula>"NA"</formula>
    </cfRule>
    <cfRule type="cellIs" dxfId="3533" priority="3843" operator="equal">
      <formula>"NA"</formula>
    </cfRule>
    <cfRule type="cellIs" dxfId="3534" priority="3850" operator="equal">
      <formula>"NA"</formula>
    </cfRule>
    <cfRule type="cellIs" dxfId="3535" priority="3853" operator="equal">
      <formula>"NA"</formula>
    </cfRule>
    <cfRule type="cellIs" dxfId="3536" priority="3852" operator="equal">
      <formula>"NA"</formula>
    </cfRule>
    <cfRule type="cellIs" dxfId="3537" priority="3851" operator="equal">
      <formula>"NA"</formula>
    </cfRule>
    <cfRule type="cellIs" dxfId="3538" priority="3849" operator="equal">
      <formula>"NA"</formula>
    </cfRule>
    <cfRule type="cellIs" dxfId="3539" priority="3848" operator="equal">
      <formula>"NA"</formula>
    </cfRule>
    <cfRule type="cellIs" dxfId="3540" priority="3844" operator="equal">
      <formula>"NA"</formula>
    </cfRule>
    <cfRule type="cellIs" dxfId="3541" priority="3845" operator="equal">
      <formula>"NA"</formula>
    </cfRule>
  </conditionalFormatting>
  <conditionalFormatting sqref="J693">
    <cfRule type="cellIs" dxfId="3542" priority="69" operator="equal">
      <formula>"NA"</formula>
    </cfRule>
    <cfRule type="cellIs" dxfId="3543" priority="70" operator="equal">
      <formula>"NA"</formula>
    </cfRule>
    <cfRule type="cellIs" dxfId="3544" priority="71" operator="equal">
      <formula>"NA"</formula>
    </cfRule>
    <cfRule type="cellIs" dxfId="3545" priority="72" operator="equal">
      <formula>"NA"</formula>
    </cfRule>
  </conditionalFormatting>
  <conditionalFormatting sqref="J814">
    <cfRule type="cellIs" dxfId="3546" priority="77" operator="equal">
      <formula>"NA"</formula>
    </cfRule>
    <cfRule type="cellIs" dxfId="3547" priority="78" operator="equal">
      <formula>"NA"</formula>
    </cfRule>
    <cfRule type="cellIs" dxfId="3548" priority="79" operator="equal">
      <formula>"NA"</formula>
    </cfRule>
    <cfRule type="cellIs" dxfId="3549" priority="80" operator="equal">
      <formula>"NA"</formula>
    </cfRule>
  </conditionalFormatting>
  <conditionalFormatting sqref="J1259">
    <cfRule type="cellIs" dxfId="3550" priority="2236" operator="equal">
      <formula>"NA"</formula>
    </cfRule>
    <cfRule type="cellIs" dxfId="3551" priority="2235" operator="equal">
      <formula>"NA"</formula>
    </cfRule>
  </conditionalFormatting>
  <conditionalFormatting sqref="J11:K26">
    <cfRule type="cellIs" dxfId="3552" priority="2216" operator="equal">
      <formula>"NA"</formula>
    </cfRule>
    <cfRule type="cellIs" dxfId="3553" priority="2214" operator="equal">
      <formula>"NA"</formula>
    </cfRule>
    <cfRule type="cellIs" dxfId="3554" priority="2213" operator="equal">
      <formula>"NA"</formula>
    </cfRule>
    <cfRule type="cellIs" dxfId="3555" priority="2212" operator="equal">
      <formula>"NA"</formula>
    </cfRule>
    <cfRule type="cellIs" dxfId="3556" priority="2209" operator="equal">
      <formula>"NA"</formula>
    </cfRule>
    <cfRule type="cellIs" dxfId="3557" priority="2220" operator="equal">
      <formula>"NA"</formula>
    </cfRule>
    <cfRule type="cellIs" dxfId="3558" priority="2211" operator="equal">
      <formula>"NA"</formula>
    </cfRule>
    <cfRule type="cellIs" dxfId="3559" priority="2215" operator="equal">
      <formula>"NA"</formula>
    </cfRule>
    <cfRule type="cellIs" dxfId="3560" priority="2206" operator="equal">
      <formula>"NA"</formula>
    </cfRule>
    <cfRule type="cellIs" dxfId="3561" priority="2208" operator="equal">
      <formula>"NA"</formula>
    </cfRule>
    <cfRule type="cellIs" dxfId="3562" priority="2205" operator="equal">
      <formula>"NA"</formula>
    </cfRule>
    <cfRule type="cellIs" dxfId="3563" priority="2222" operator="equal">
      <formula>"NA"</formula>
    </cfRule>
    <cfRule type="cellIs" dxfId="3564" priority="2223" operator="equal">
      <formula>"NA"</formula>
    </cfRule>
    <cfRule type="cellIs" dxfId="3565" priority="2217" operator="equal">
      <formula>"NA"</formula>
    </cfRule>
    <cfRule type="cellIs" dxfId="3566" priority="2207" operator="equal">
      <formula>"NA"</formula>
    </cfRule>
    <cfRule type="cellIs" dxfId="3567" priority="2218" operator="equal">
      <formula>"NA"</formula>
    </cfRule>
    <cfRule type="cellIs" dxfId="3568" priority="2219" operator="equal">
      <formula>"NA"</formula>
    </cfRule>
    <cfRule type="cellIs" dxfId="3569" priority="2221" operator="equal">
      <formula>"NA"</formula>
    </cfRule>
    <cfRule type="cellIs" dxfId="3570" priority="2224" operator="equal">
      <formula>"NA"</formula>
    </cfRule>
    <cfRule type="cellIs" dxfId="3571" priority="2210" operator="equal">
      <formula>"NA"</formula>
    </cfRule>
  </conditionalFormatting>
  <conditionalFormatting sqref="J28:K40">
    <cfRule type="cellIs" dxfId="3572" priority="2195" operator="equal">
      <formula>"NA"</formula>
    </cfRule>
    <cfRule type="cellIs" dxfId="3573" priority="2196" operator="equal">
      <formula>"NA"</formula>
    </cfRule>
    <cfRule type="cellIs" dxfId="3574" priority="2198" operator="equal">
      <formula>"NA"</formula>
    </cfRule>
    <cfRule type="cellIs" dxfId="3575" priority="2199" operator="equal">
      <formula>"NA"</formula>
    </cfRule>
    <cfRule type="cellIs" dxfId="3576" priority="2200" operator="equal">
      <formula>"NA"</formula>
    </cfRule>
    <cfRule type="cellIs" dxfId="3577" priority="2201" operator="equal">
      <formula>"NA"</formula>
    </cfRule>
    <cfRule type="cellIs" dxfId="3578" priority="2202" operator="equal">
      <formula>"NA"</formula>
    </cfRule>
    <cfRule type="cellIs" dxfId="3579" priority="2203" operator="equal">
      <formula>"NA"</formula>
    </cfRule>
    <cfRule type="cellIs" dxfId="3580" priority="2204" operator="equal">
      <formula>"NA"</formula>
    </cfRule>
    <cfRule type="cellIs" dxfId="3581" priority="2191" operator="equal">
      <formula>"NA"</formula>
    </cfRule>
    <cfRule type="cellIs" dxfId="3582" priority="2197" operator="equal">
      <formula>"NA"</formula>
    </cfRule>
    <cfRule type="cellIs" dxfId="3583" priority="2185" operator="equal">
      <formula>"NA"</formula>
    </cfRule>
    <cfRule type="cellIs" dxfId="3584" priority="2186" operator="equal">
      <formula>"NA"</formula>
    </cfRule>
    <cfRule type="cellIs" dxfId="3585" priority="2187" operator="equal">
      <formula>"NA"</formula>
    </cfRule>
    <cfRule type="cellIs" dxfId="3586" priority="2188" operator="equal">
      <formula>"NA"</formula>
    </cfRule>
    <cfRule type="cellIs" dxfId="3587" priority="2189" operator="equal">
      <formula>"NA"</formula>
    </cfRule>
    <cfRule type="cellIs" dxfId="3588" priority="2190" operator="equal">
      <formula>"NA"</formula>
    </cfRule>
    <cfRule type="cellIs" dxfId="3589" priority="2192" operator="equal">
      <formula>"NA"</formula>
    </cfRule>
    <cfRule type="cellIs" dxfId="3590" priority="2193" operator="equal">
      <formula>"NA"</formula>
    </cfRule>
    <cfRule type="cellIs" dxfId="3591" priority="2194" operator="equal">
      <formula>"NA"</formula>
    </cfRule>
  </conditionalFormatting>
  <conditionalFormatting sqref="J1407:K1410 J1412:K1417 J1419:K1423 J1425:K1431 J1451:K1453 J1455:K1459 J1461:K1465">
    <cfRule type="cellIs" dxfId="3592" priority="2178" operator="equal">
      <formula>"NA"</formula>
    </cfRule>
    <cfRule type="cellIs" dxfId="3593" priority="2177" operator="equal">
      <formula>"NA"</formula>
    </cfRule>
  </conditionalFormatting>
  <conditionalFormatting sqref="K446">
    <cfRule type="cellIs" dxfId="3594" priority="11003" operator="equal">
      <formula>"NA"</formula>
    </cfRule>
    <cfRule type="cellIs" dxfId="3595" priority="11006" operator="equal">
      <formula>"NA"</formula>
    </cfRule>
    <cfRule type="cellIs" dxfId="3596" priority="11005" operator="equal">
      <formula>"NA"</formula>
    </cfRule>
    <cfRule type="cellIs" dxfId="3597" priority="11004" operator="equal">
      <formula>"NA"</formula>
    </cfRule>
  </conditionalFormatting>
  <conditionalFormatting sqref="K469">
    <cfRule type="cellIs" dxfId="3598" priority="10995" operator="equal">
      <formula>"NA"</formula>
    </cfRule>
    <cfRule type="cellIs" dxfId="3599" priority="10996" operator="equal">
      <formula>"NA"</formula>
    </cfRule>
    <cfRule type="cellIs" dxfId="3600" priority="10997" operator="equal">
      <formula>"NA"</formula>
    </cfRule>
    <cfRule type="cellIs" dxfId="3601" priority="10998" operator="equal">
      <formula>"NA"</formula>
    </cfRule>
  </conditionalFormatting>
  <conditionalFormatting sqref="K492">
    <cfRule type="cellIs" dxfId="3602" priority="10987" operator="equal">
      <formula>"NA"</formula>
    </cfRule>
    <cfRule type="cellIs" dxfId="3603" priority="10990" operator="equal">
      <formula>"NA"</formula>
    </cfRule>
    <cfRule type="cellIs" dxfId="3604" priority="10989" operator="equal">
      <formula>"NA"</formula>
    </cfRule>
    <cfRule type="cellIs" dxfId="3605" priority="10988" operator="equal">
      <formula>"NA"</formula>
    </cfRule>
  </conditionalFormatting>
  <conditionalFormatting sqref="K515">
    <cfRule type="cellIs" dxfId="3606" priority="10981" operator="equal">
      <formula>"NA"</formula>
    </cfRule>
    <cfRule type="cellIs" dxfId="3607" priority="10980" operator="equal">
      <formula>"NA"</formula>
    </cfRule>
    <cfRule type="cellIs" dxfId="3608" priority="10979" operator="equal">
      <formula>"NA"</formula>
    </cfRule>
    <cfRule type="cellIs" dxfId="3609" priority="10982" operator="equal">
      <formula>"NA"</formula>
    </cfRule>
  </conditionalFormatting>
  <conditionalFormatting sqref="K538">
    <cfRule type="cellIs" dxfId="3610" priority="10922" operator="equal">
      <formula>"NA"</formula>
    </cfRule>
    <cfRule type="cellIs" dxfId="3611" priority="10921" operator="equal">
      <formula>"NA"</formula>
    </cfRule>
    <cfRule type="cellIs" dxfId="3612" priority="10920" operator="equal">
      <formula>"NA"</formula>
    </cfRule>
    <cfRule type="cellIs" dxfId="3613" priority="10919" operator="equal">
      <formula>"NA"</formula>
    </cfRule>
  </conditionalFormatting>
  <conditionalFormatting sqref="K568">
    <cfRule type="cellIs" dxfId="3614" priority="11506" operator="equal">
      <formula>"NA"</formula>
    </cfRule>
    <cfRule type="cellIs" dxfId="3615" priority="11505" operator="equal">
      <formula>"NA"</formula>
    </cfRule>
    <cfRule type="cellIs" dxfId="3616" priority="11508" operator="equal">
      <formula>"NA"</formula>
    </cfRule>
    <cfRule type="cellIs" dxfId="3617" priority="11507" operator="equal">
      <formula>"NA"</formula>
    </cfRule>
  </conditionalFormatting>
  <conditionalFormatting sqref="K591">
    <cfRule type="cellIs" dxfId="3618" priority="11440" operator="equal">
      <formula>"NA"</formula>
    </cfRule>
    <cfRule type="cellIs" dxfId="3619" priority="11438" operator="equal">
      <formula>"NA"</formula>
    </cfRule>
    <cfRule type="cellIs" dxfId="3620" priority="11437" operator="equal">
      <formula>"NA"</formula>
    </cfRule>
    <cfRule type="cellIs" dxfId="3621" priority="11439" operator="equal">
      <formula>"NA"</formula>
    </cfRule>
  </conditionalFormatting>
  <conditionalFormatting sqref="K614">
    <cfRule type="cellIs" dxfId="3622" priority="11372" operator="equal">
      <formula>"NA"</formula>
    </cfRule>
    <cfRule type="cellIs" dxfId="3623" priority="11373" operator="equal">
      <formula>"NA"</formula>
    </cfRule>
    <cfRule type="cellIs" dxfId="3624" priority="11374" operator="equal">
      <formula>"NA"</formula>
    </cfRule>
    <cfRule type="cellIs" dxfId="3625" priority="11371" operator="equal">
      <formula>"NA"</formula>
    </cfRule>
  </conditionalFormatting>
  <conditionalFormatting sqref="K637">
    <cfRule type="cellIs" dxfId="3626" priority="11305" operator="equal">
      <formula>"NA"</formula>
    </cfRule>
    <cfRule type="cellIs" dxfId="3627" priority="11306" operator="equal">
      <formula>"NA"</formula>
    </cfRule>
    <cfRule type="cellIs" dxfId="3628" priority="11307" operator="equal">
      <formula>"NA"</formula>
    </cfRule>
    <cfRule type="cellIs" dxfId="3629" priority="11308" operator="equal">
      <formula>"NA"</formula>
    </cfRule>
  </conditionalFormatting>
  <conditionalFormatting sqref="K660">
    <cfRule type="cellIs" dxfId="3630" priority="11239" operator="equal">
      <formula>"NA"</formula>
    </cfRule>
    <cfRule type="cellIs" dxfId="3631" priority="11240" operator="equal">
      <formula>"NA"</formula>
    </cfRule>
    <cfRule type="cellIs" dxfId="3632" priority="11241" operator="equal">
      <formula>"NA"</formula>
    </cfRule>
    <cfRule type="cellIs" dxfId="3633" priority="11242" operator="equal">
      <formula>"NA"</formula>
    </cfRule>
  </conditionalFormatting>
  <conditionalFormatting sqref="K1026">
    <cfRule type="cellIs" dxfId="3634" priority="7925" operator="equal">
      <formula>"NA"</formula>
    </cfRule>
    <cfRule type="cellIs" dxfId="3635" priority="7921" operator="equal">
      <formula>"NA"</formula>
    </cfRule>
    <cfRule type="cellIs" dxfId="3636" priority="7930" operator="equal">
      <formula>"NA"</formula>
    </cfRule>
    <cfRule type="cellIs" dxfId="3637" priority="7929" operator="equal">
      <formula>"NA"</formula>
    </cfRule>
    <cfRule type="cellIs" dxfId="3638" priority="7928" operator="equal">
      <formula>"NA"</formula>
    </cfRule>
    <cfRule type="cellIs" dxfId="3639" priority="7927" operator="equal">
      <formula>"NA"</formula>
    </cfRule>
    <cfRule type="cellIs" dxfId="3640" priority="7926" operator="equal">
      <formula>"NA"</formula>
    </cfRule>
    <cfRule type="cellIs" dxfId="3641" priority="7915" operator="equal">
      <formula>"NA"</formula>
    </cfRule>
    <cfRule type="cellIs" dxfId="3642" priority="7916" operator="equal">
      <formula>"NA"</formula>
    </cfRule>
    <cfRule type="cellIs" dxfId="3643" priority="7917" operator="equal">
      <formula>"NA"</formula>
    </cfRule>
    <cfRule type="cellIs" dxfId="3644" priority="7918" operator="equal">
      <formula>"NA"</formula>
    </cfRule>
    <cfRule type="cellIs" dxfId="3645" priority="7919" operator="equal">
      <formula>"NA"</formula>
    </cfRule>
    <cfRule type="cellIs" dxfId="3646" priority="7920" operator="equal">
      <formula>"NA"</formula>
    </cfRule>
    <cfRule type="cellIs" dxfId="3647" priority="7924" operator="equal">
      <formula>"NA"</formula>
    </cfRule>
    <cfRule type="cellIs" dxfId="3648" priority="7922" operator="equal">
      <formula>"NA"</formula>
    </cfRule>
    <cfRule type="cellIs" dxfId="3649" priority="7923" operator="equal">
      <formula>"NA"</formula>
    </cfRule>
  </conditionalFormatting>
  <conditionalFormatting sqref="K1037">
    <cfRule type="cellIs" dxfId="3650" priority="9682" operator="equal">
      <formula>"NA"</formula>
    </cfRule>
    <cfRule type="cellIs" dxfId="3651" priority="9667" operator="equal">
      <formula>"NA"</formula>
    </cfRule>
    <cfRule type="cellIs" dxfId="3652" priority="9668" operator="equal">
      <formula>"NA"</formula>
    </cfRule>
    <cfRule type="cellIs" dxfId="3653" priority="9669" operator="equal">
      <formula>"NA"</formula>
    </cfRule>
    <cfRule type="cellIs" dxfId="3654" priority="9670" operator="equal">
      <formula>"NA"</formula>
    </cfRule>
    <cfRule type="cellIs" dxfId="3655" priority="9672" operator="equal">
      <formula>"NA"</formula>
    </cfRule>
    <cfRule type="cellIs" dxfId="3656" priority="9673" operator="equal">
      <formula>"NA"</formula>
    </cfRule>
    <cfRule type="cellIs" dxfId="3657" priority="9675" operator="equal">
      <formula>"NA"</formula>
    </cfRule>
    <cfRule type="cellIs" dxfId="3658" priority="9676" operator="equal">
      <formula>"NA"</formula>
    </cfRule>
    <cfRule type="cellIs" dxfId="3659" priority="9677" operator="equal">
      <formula>"NA"</formula>
    </cfRule>
    <cfRule type="cellIs" dxfId="3660" priority="9678" operator="equal">
      <formula>"NA"</formula>
    </cfRule>
    <cfRule type="cellIs" dxfId="3661" priority="9681" operator="equal">
      <formula>"NA"</formula>
    </cfRule>
    <cfRule type="cellIs" dxfId="3662" priority="9671" operator="equal">
      <formula>"NA"</formula>
    </cfRule>
    <cfRule type="cellIs" dxfId="3663" priority="9674" operator="equal">
      <formula>"NA"</formula>
    </cfRule>
  </conditionalFormatting>
  <conditionalFormatting sqref="K1093">
    <cfRule type="cellIs" dxfId="3664" priority="7911" operator="equal">
      <formula>"NA"</formula>
    </cfRule>
    <cfRule type="cellIs" dxfId="3665" priority="7910" operator="equal">
      <formula>"NA"</formula>
    </cfRule>
    <cfRule type="cellIs" dxfId="3666" priority="7912" operator="equal">
      <formula>"NA"</formula>
    </cfRule>
    <cfRule type="cellIs" dxfId="3667" priority="7909" operator="equal">
      <formula>"NA"</formula>
    </cfRule>
    <cfRule type="cellIs" dxfId="3668" priority="7906" operator="equal">
      <formula>"NA"</formula>
    </cfRule>
    <cfRule type="cellIs" dxfId="3669" priority="7905" operator="equal">
      <formula>"NA"</formula>
    </cfRule>
    <cfRule type="cellIs" dxfId="3670" priority="7904" operator="equal">
      <formula>"NA"</formula>
    </cfRule>
    <cfRule type="cellIs" dxfId="3671" priority="7903" operator="equal">
      <formula>"NA"</formula>
    </cfRule>
    <cfRule type="cellIs" dxfId="3672" priority="7908" operator="equal">
      <formula>"NA"</formula>
    </cfRule>
    <cfRule type="cellIs" dxfId="3673" priority="7907" operator="equal">
      <formula>"NA"</formula>
    </cfRule>
  </conditionalFormatting>
  <conditionalFormatting sqref="K1188">
    <cfRule type="cellIs" dxfId="3674" priority="7902" operator="equal">
      <formula>"NA"</formula>
    </cfRule>
    <cfRule type="cellIs" dxfId="3675" priority="7901" operator="equal">
      <formula>"NA"</formula>
    </cfRule>
    <cfRule type="cellIs" dxfId="3676" priority="7900" operator="equal">
      <formula>"NA"</formula>
    </cfRule>
    <cfRule type="cellIs" dxfId="3677" priority="7899" operator="equal">
      <formula>"NA"</formula>
    </cfRule>
    <cfRule type="cellIs" dxfId="3678" priority="7898" operator="equal">
      <formula>"NA"</formula>
    </cfRule>
    <cfRule type="cellIs" dxfId="3679" priority="7897" operator="equal">
      <formula>"NA"</formula>
    </cfRule>
    <cfRule type="cellIs" dxfId="3680" priority="7892" operator="equal">
      <formula>"NA"</formula>
    </cfRule>
    <cfRule type="cellIs" dxfId="3681" priority="7896" operator="equal">
      <formula>"NA"</formula>
    </cfRule>
    <cfRule type="cellIs" dxfId="3682" priority="7895" operator="equal">
      <formula>"NA"</formula>
    </cfRule>
    <cfRule type="cellIs" dxfId="3683" priority="7894" operator="equal">
      <formula>"NA"</formula>
    </cfRule>
    <cfRule type="cellIs" dxfId="3684" priority="7893" operator="equal">
      <formula>"NA"</formula>
    </cfRule>
    <cfRule type="cellIs" dxfId="3685" priority="7891" operator="equal">
      <formula>"NA"</formula>
    </cfRule>
  </conditionalFormatting>
  <dataValidations count="815">
    <dataValidation type="list" allowBlank="1" showInputMessage="1" showErrorMessage="1" sqref="A1472">
      <formula1>"Yes,No"</formula1>
    </dataValidation>
    <dataValidation type="textLength" allowBlank="1" showInputMessage="1" showErrorMessage="1" sqref="A1474:A1475">
      <formula1>1</formula1>
      <formula2>100000</formula2>
    </dataValidation>
    <dataValidation type="decimal" operator="greaterThan" allowBlank="1" showInputMessage="1" showErrorMessage="1" error="Please do not enter text" sqref="D11:D26">
      <formula1>-1</formula1>
    </dataValidation>
    <dataValidation type="decimal" operator="greaterThan" allowBlank="1" showInputMessage="1" showErrorMessage="1" error="Please do not enter text" sqref="D28:D40">
      <formula1>-1</formula1>
    </dataValidation>
    <dataValidation showInputMessage="1" showErrorMessage="1" error="Please do not enter text" sqref="E100:G100"/>
    <dataValidation type="decimal" operator="greaterThan" allowBlank="1" showInputMessage="1" showErrorMessage="1" error="Please do not enter text" sqref="E101">
      <formula1>-1</formula1>
    </dataValidation>
    <dataValidation type="decimal" operator="notEqual" allowBlank="1" showInputMessage="1" promptTitle="Numeric Input" prompt="Please insert numeric value or leave blank_x000a_" showErrorMessage="1" error="Please do not enter '0' or text" sqref="E1026:E1028">
      <formula1>0</formula1>
    </dataValidation>
    <dataValidation type="decimal" operator="greaterThan" promptTitle="Numeric Input" prompt="Please enter numeric values or leave blank" showErrorMessage="1" errorTitle="Text Alert" error="Please do not enter text" sqref="E1029">
      <formula1>-1</formula1>
    </dataValidation>
    <dataValidation type="decimal" operator="notEqual" allowBlank="1" showInputMessage="1" promptTitle="Numeric Input" prompt="Please insert numeric value or leave blank_x000a_" showErrorMessage="1" error="Please do not enter '0' or text" sqref="E1030:E1031">
      <formula1>0</formula1>
    </dataValidation>
    <dataValidation type="decimal" operator="greaterThan" promptTitle="Numeric Input" prompt="Please enter numeric values or leave blank" showErrorMessage="1" errorTitle="Text Alert" error="Please do not enter text" sqref="E1032:E1036">
      <formula1>-1</formula1>
    </dataValidation>
    <dataValidation type="decimal" operator="notEqual" allowBlank="1" showInputMessage="1" promptTitle="Numeric Input" prompt="Please insert numeric value or leave blank_x000a_" showErrorMessage="1" error="Please do not enter '0' or text" sqref="E1049:E1051">
      <formula1>0</formula1>
    </dataValidation>
    <dataValidation type="decimal" operator="greaterThan" promptTitle="Numeric Input" prompt="Please enter numeric values or leave blank" showErrorMessage="1" errorTitle="Text Alert" error="Please do not enter text" sqref="E1052:E1058">
      <formula1>-1</formula1>
    </dataValidation>
    <dataValidation type="decimal" operator="notEqual" allowBlank="1" showInputMessage="1" promptTitle="Numeric Input" prompt="Please insert numeric value or leave blank_x000a_" showErrorMessage="1" error="Please do not enter '0' or text" sqref="E1071:E1074">
      <formula1>0</formula1>
    </dataValidation>
    <dataValidation type="decimal" operator="greaterThan" promptTitle="Numeric Input" prompt="Please enter numeric values or leave blank" showErrorMessage="1" errorTitle="Text Alert" error="Please do not enter text" sqref="E1075:E1080">
      <formula1>-1</formula1>
    </dataValidation>
    <dataValidation type="decimal" operator="notEqual" allowBlank="1" showInputMessage="1" promptTitle="Numeric Input" prompt="Please insert numeric value or leave blank_x000a_" showErrorMessage="1" error="Please do not enter '0' or text" sqref="E1093:E1095">
      <formula1>0</formula1>
    </dataValidation>
    <dataValidation type="decimal" operator="greaterThan" promptTitle="Numeric Input" prompt="Please enter numeric values or leave blank" showErrorMessage="1" errorTitle="Text Alert" error="Please do not enter text" sqref="E1096">
      <formula1>-1</formula1>
    </dataValidation>
    <dataValidation type="decimal" operator="notEqual" allowBlank="1" showInputMessage="1" promptTitle="Numeric Input" prompt="Please insert numeric value or leave blank_x000a_" showErrorMessage="1" error="Please do not enter '0' or text" sqref="E1097:E1098">
      <formula1>0</formula1>
    </dataValidation>
    <dataValidation type="decimal" operator="greaterThan" promptTitle="Numeric Input" prompt="Please enter numeric values or leave blank" showErrorMessage="1" errorTitle="Text Alert" error="Please do not enter text" sqref="E1099:E1104">
      <formula1>-1</formula1>
    </dataValidation>
    <dataValidation type="list" allowBlank="1" showInputMessage="1" showErrorMessage="1" sqref="E11:I26">
      <formula1>"Yes, No,Not Applicable"</formula1>
    </dataValidation>
    <dataValidation type="decimal" operator="greaterThan" allowBlank="1" showInputMessage="1" showErrorMessage="1" error="Please do not enter text" sqref="E111:E112">
      <formula1>-1</formula1>
    </dataValidation>
    <dataValidation type="decimal" operator="notEqual" allowBlank="1" showInputMessage="1" promptTitle="Numeric Input" prompt="Please insert numeric value or leave blank_x000a_" showErrorMessage="1" error="Please do not enter '0' or text" sqref="E1117:E1119">
      <formula1>0</formula1>
    </dataValidation>
    <dataValidation type="decimal" operator="greaterThan" promptTitle="Numeric Input" prompt="Please enter numeric values or leave blank" showErrorMessage="1" errorTitle="Text Alert" error="Please do not enter text" sqref="E1120">
      <formula1>-1</formula1>
    </dataValidation>
    <dataValidation type="decimal" operator="notEqual" allowBlank="1" showInputMessage="1" promptTitle="Numeric Input" prompt="Please insert numeric value or leave blank_x000a_" showErrorMessage="1" error="Please do not enter '0' or text" sqref="E1121:E1122">
      <formula1>0</formula1>
    </dataValidation>
    <dataValidation type="decimal" operator="greaterThan" promptTitle="Numeric Input" prompt="Please enter numeric values or leave blank" showErrorMessage="1" errorTitle="Text Alert" error="Please do not enter text" sqref="E1123:E1128">
      <formula1>-1</formula1>
    </dataValidation>
    <dataValidation type="decimal" operator="notEqual" allowBlank="1" showInputMessage="1" promptTitle="Numeric Input" prompt="Please insert numeric value or leave blank_x000a_" showErrorMessage="1" error="Please do not enter '0' or text" sqref="E113:E114">
      <formula1>0</formula1>
    </dataValidation>
    <dataValidation type="decimal" operator="notEqual" allowBlank="1" showInputMessage="1" promptTitle="Numeric Input" prompt="Please insert numeric value or leave blank_x000a_" showErrorMessage="1" error="Please do not enter '0' or text" sqref="E1141:E1143">
      <formula1>0</formula1>
    </dataValidation>
    <dataValidation type="decimal" operator="greaterThan" promptTitle="Numeric Input" prompt="Please enter numeric values or leave blank" showErrorMessage="1" errorTitle="Text Alert" error="Please do not enter text" sqref="E1144">
      <formula1>-1</formula1>
    </dataValidation>
    <dataValidation type="decimal" operator="notEqual" allowBlank="1" showInputMessage="1" promptTitle="Numeric Input" prompt="Please insert numeric value or leave blank_x000a_" showErrorMessage="1" error="Please do not enter '0' or text" sqref="E1145:E1148">
      <formula1>0</formula1>
    </dataValidation>
    <dataValidation type="decimal" operator="greaterThan" promptTitle="Numeric Input" prompt="Please enter numeric values or leave blank" showErrorMessage="1" errorTitle="Text Alert" error="Please do not enter text" sqref="E1149:E1152">
      <formula1>-1</formula1>
    </dataValidation>
    <dataValidation promptTitle="Numeric Input" prompt="Please enter numeric values or leave blank" showErrorMessage="1" errorTitle="Text Alert" error="Please do not enter text" sqref="E1153:I1153"/>
    <dataValidation type="decimal" operator="greaterThan" promptTitle="Numeric Input" prompt="Please enter numeric values or leave blank" showErrorMessage="1" errorTitle="Text Alert" error="Please do not enter text" sqref="E1154:J1156">
      <formula1>-1</formula1>
    </dataValidation>
    <dataValidation type="decimal" operator="greaterThan" allowBlank="1" showInputMessage="1" showErrorMessage="1" error="Please do not enter text" sqref="E117:E118">
      <formula1>-1</formula1>
    </dataValidation>
    <dataValidation type="decimal" operator="notEqual" allowBlank="1" showInputMessage="1" promptTitle="Numeric Input" prompt="Please insert numeric value or leave blank_x000a_" showErrorMessage="1" error="Please do not enter '0' or text" sqref="E1188:E1191">
      <formula1>0</formula1>
    </dataValidation>
    <dataValidation type="decimal" operator="notEqual" allowBlank="1" showInputMessage="1" promptTitle="Numeric Input" prompt="Please insert numeric value or leave blank_x000a_" showErrorMessage="1" error="Please do not enter '0' or text" sqref="E119:E120">
      <formula1>0</formula1>
    </dataValidation>
    <dataValidation type="decimal" operator="greaterThan" promptTitle="Numeric Input" prompt="Please enter numeric values or leave blank" showErrorMessage="1" errorTitle="Text Alert" error="Please do not enter text" sqref="E1192:E1196">
      <formula1>-1</formula1>
    </dataValidation>
    <dataValidation type="decimal" operator="notEqual" allowBlank="1" showInputMessage="1" promptTitle="Numeric Input" prompt="Please insert numeric value or leave blank_x000a_" showErrorMessage="1" error="Please do not enter '0' or text" sqref="E1204:E1207">
      <formula1>0</formula1>
    </dataValidation>
    <dataValidation type="decimal" operator="greaterThan" promptTitle="Numeric Input" prompt="Please enter numeric values or leave blank" showErrorMessage="1" errorTitle="Text Alert" error="Please do not enter text" sqref="E1208:E1211">
      <formula1>-1</formula1>
    </dataValidation>
    <dataValidation type="decimal" operator="notEqual" allowBlank="1" showInputMessage="1" promptTitle="Numeric Input" prompt="Please insert numeric value or leave blank_x000a_" showErrorMessage="1" error="Please do not enter '0' or text" sqref="E1226:E1227">
      <formula1>0</formula1>
    </dataValidation>
    <dataValidation type="decimal" operator="greaterThan" showInputMessage="1" showErrorMessage="1" sqref="E1228:E1231">
      <formula1>-1</formula1>
    </dataValidation>
    <dataValidation type="decimal" operator="greaterThan" allowBlank="1" showInputMessage="1" showErrorMessage="1" error="Please do not enter text" sqref="E123:E124">
      <formula1>-1</formula1>
    </dataValidation>
    <dataValidation type="decimal" operator="notEqual" allowBlank="1" showInputMessage="1" promptTitle="Numeric Input" prompt="Please insert numeric value or leave blank_x000a_" showErrorMessage="1" error="Please do not enter '0' or text" sqref="E1235:G1236">
      <formula1>0</formula1>
    </dataValidation>
    <dataValidation type="decimal" operator="greaterThan" showInputMessage="1" showErrorMessage="1" sqref="E1237:G1240">
      <formula1>-1</formula1>
    </dataValidation>
    <dataValidation type="decimal" operator="notEqual" allowBlank="1" showInputMessage="1" promptTitle="Numeric Input" prompt="Please insert numeric value or leave blank_x000a_" showErrorMessage="1" error="Please do not enter '0' or text" sqref="E1246:E1247">
      <formula1>0</formula1>
    </dataValidation>
    <dataValidation type="decimal" operator="greaterThan" showInputMessage="1" showErrorMessage="1" sqref="E1248:E1251">
      <formula1>-1</formula1>
    </dataValidation>
    <dataValidation type="decimal" operator="notEqual" allowBlank="1" showInputMessage="1" promptTitle="Numeric Input" prompt="Please insert numeric value or leave blank_x000a_" showErrorMessage="1" error="Please do not enter '0' or text" sqref="E125:E126">
      <formula1>0</formula1>
    </dataValidation>
    <dataValidation type="decimal" operator="notEqual" allowBlank="1" showInputMessage="1" promptTitle="Numeric Input" prompt="Please insert numeric value or leave blank_x000a_" showErrorMessage="1" error="Please do not enter '0' or text" sqref="E1254:E1255">
      <formula1>0</formula1>
    </dataValidation>
    <dataValidation type="decimal" operator="greaterThan" showInputMessage="1" showErrorMessage="1" sqref="E1256:E1259">
      <formula1>-1</formula1>
    </dataValidation>
    <dataValidation type="decimal" operator="greaterThan" allowBlank="1" showInputMessage="1" showErrorMessage="1" error="Please do not enter text" sqref="E129:E130">
      <formula1>-1</formula1>
    </dataValidation>
    <dataValidation type="decimal" operator="notEqual" allowBlank="1" showInputMessage="1" promptTitle="Numeric Input" prompt="Please insert numeric value or leave blank_x000a_" showErrorMessage="1" error="Please do not enter '0' or text" sqref="E1293:E1294">
      <formula1>0</formula1>
    </dataValidation>
    <dataValidation type="decimal" operator="greaterThan" showInputMessage="1" showErrorMessage="1" sqref="E1295">
      <formula1>-1</formula1>
    </dataValidation>
    <dataValidation type="decimal" operator="notEqual" allowBlank="1" showInputMessage="1" promptTitle="Numeric Input" prompt="Please insert numeric value or leave blank_x000a_" showErrorMessage="1" error="Please do not enter '0' or text" sqref="E1296:E1298">
      <formula1>0</formula1>
    </dataValidation>
    <dataValidation type="decimal" operator="notEqual" allowBlank="1" showInputMessage="1" promptTitle="Numeric Input" prompt="Please insert numeric value or leave blank_x000a_" showErrorMessage="1" error="Please do not enter '0' or text" sqref="E131:E132">
      <formula1>0</formula1>
    </dataValidation>
    <dataValidation type="decimal" operator="notEqual" allowBlank="1" showInputMessage="1" promptTitle="Numeric Input" prompt="Please insert numeric value or leave blank_x000a_" showErrorMessage="1" error="Please do not enter '0' or text" sqref="E1321:E1325">
      <formula1>0</formula1>
    </dataValidation>
    <dataValidation type="decimal" operator="greaterThan" promptTitle="Numeric Input" prompt="Please enter numeric values or leave blank" showErrorMessage="1" errorTitle="Text Alert" error="Please do not enter text" sqref="E1327">
      <formula1>-1</formula1>
    </dataValidation>
    <dataValidation type="textLength" allowBlank="1" showInputMessage="1" showErrorMessage="1" sqref="E1328:J1328">
      <formula1>1</formula1>
      <formula2>100000</formula2>
    </dataValidation>
    <dataValidation type="decimal" operator="greaterThan" promptTitle="Numeric Input" prompt="Please enter numeric values or leave blank" showErrorMessage="1" errorTitle="Text Alert" error="Please do not enter text" sqref="E1329">
      <formula1>-1</formula1>
    </dataValidation>
    <dataValidation type="decimal" operator="notEqual" allowBlank="1" showInputMessage="1" promptTitle="Numeric Input" prompt="Please insert numeric value or leave blank_x000a_" showErrorMessage="1" error="Please do not enter '0' or text" sqref="E1330:E1339">
      <formula1>0</formula1>
    </dataValidation>
    <dataValidation type="decimal" operator="greaterThan" promptTitle="Numeric Input" prompt="Please enter numeric values or leave blank" showErrorMessage="1" errorTitle="Text Alert" error="Please do not enter text" sqref="E1340:J1341">
      <formula1>-1</formula1>
    </dataValidation>
    <dataValidation type="decimal" operator="greaterThan" allowBlank="1" showInputMessage="1" showErrorMessage="1" error="Please do not enter text" sqref="E135:E136">
      <formula1>-1</formula1>
    </dataValidation>
    <dataValidation type="decimal" operator="notEqual" allowBlank="1" showInputMessage="1" promptTitle="Numeric Input" prompt="Please insert numeric value or leave blank_x000a_" showErrorMessage="1" error="Please do not enter '0' or text" sqref="E137">
      <formula1>0</formula1>
    </dataValidation>
    <dataValidation type="list" allowBlank="1" showInputMessage="1" showErrorMessage="1" sqref="E1373:G1380">
      <formula1>"Yes,No"</formula1>
    </dataValidation>
    <dataValidation type="decimal" allowBlank="1" showInputMessage="1" promptTitle="Numeric Input" prompt="Please insert numeric value or leave blank_x000a_" showErrorMessage="1" sqref="E138">
      <formula1>1</formula1>
      <formula2>10000000</formula2>
    </dataValidation>
    <dataValidation type="decimal" operator="greaterThan" promptTitle="Numeric Input" prompt="Please enter numeric values or leave blank" showErrorMessage="1" errorTitle="Text Alert" error="Please do not enter text" sqref="E1382">
      <formula1>-1</formula1>
    </dataValidation>
    <dataValidation type="decimal" operator="greaterThan" promptTitle="Numeric Input" prompt="Please enter numeric values or leave blank" showErrorMessage="1" errorTitle="Text Alert" error="Please do not enter text" sqref="E1385:E1391">
      <formula1>-1</formula1>
    </dataValidation>
    <dataValidation type="list" allowBlank="1" showInputMessage="1" showErrorMessage="1" sqref="E1393:H1393">
      <formula1>"Yes,No"</formula1>
    </dataValidation>
    <dataValidation type="list" allowBlank="1" showInputMessage="1" showErrorMessage="1" sqref="E1408:I1408">
      <formula1>"Prebake,Soderberg"</formula1>
    </dataValidation>
    <dataValidation type="decimal" operator="greaterThan" allowBlank="1" showInputMessage="1" showErrorMessage="1" error="Please do not enter text" sqref="E141:E142">
      <formula1>-1</formula1>
    </dataValidation>
    <dataValidation type="list" allowBlank="1" showInputMessage="1" showErrorMessage="1" sqref="E1412:I1412">
      <formula1>"CWPB,SWPB,VSS,HSS,Not Applicable"</formula1>
    </dataValidation>
    <dataValidation type="decimal" operator="notEqual" allowBlank="1" showInputMessage="1" promptTitle="Numeric Input" prompt="Please insert numeric value or leave blank_x000a_" showErrorMessage="1" error="Please do not enter '0' or text" sqref="E143:E144">
      <formula1>0</formula1>
    </dataValidation>
    <dataValidation type="list" allowBlank="1" showInputMessage="1" showErrorMessage="1" sqref="E1439:I1439">
      <formula1>"PFPBL, PFPBM, SWPB, VSS, HSS"</formula1>
    </dataValidation>
    <dataValidation type="decimal" operator="greaterThan" allowBlank="1" showInputMessage="1" showErrorMessage="1" error="Please do not enter text" sqref="E147:E148">
      <formula1>-1</formula1>
    </dataValidation>
    <dataValidation type="decimal" operator="notEqual" allowBlank="1" showInputMessage="1" promptTitle="Numeric Input" prompt="Please insert numeric value or leave blank_x000a_" showErrorMessage="1" error="Please do not enter '0' or text" sqref="E149:E150">
      <formula1>0</formula1>
    </dataValidation>
    <dataValidation type="decimal" operator="greaterThan" allowBlank="1" showInputMessage="1" showErrorMessage="1" error="Please do not enter text" sqref="E153:E154">
      <formula1>-1</formula1>
    </dataValidation>
    <dataValidation type="decimal" operator="notEqual" allowBlank="1" showInputMessage="1" promptTitle="Numeric Input" prompt="Please insert numeric value or leave blank_x000a_" showErrorMessage="1" error="Please do not enter '0' or text" sqref="E155:E156">
      <formula1>0</formula1>
    </dataValidation>
    <dataValidation type="decimal" operator="greaterThan" allowBlank="1" showInputMessage="1" showErrorMessage="1" error="Please do not enter text" sqref="E159:E160">
      <formula1>-1</formula1>
    </dataValidation>
    <dataValidation type="decimal" operator="notEqual" allowBlank="1" showInputMessage="1" promptTitle="Numeric Input" prompt="Please insert numeric value or leave blank_x000a_" showErrorMessage="1" error="Please do not enter '0' or text" sqref="E161:E162">
      <formula1>0</formula1>
    </dataValidation>
    <dataValidation type="textLength" allowBlank="1" showInputMessage="1" showErrorMessage="1" sqref="E165:J165">
      <formula1>1</formula1>
      <formula2>100000</formula2>
    </dataValidation>
    <dataValidation type="decimal" operator="greaterThan" allowBlank="1" showInputMessage="1" showErrorMessage="1" error="Please do not enter text" sqref="E166:E167">
      <formula1>-1</formula1>
    </dataValidation>
    <dataValidation type="decimal" operator="notEqual" allowBlank="1" showInputMessage="1" promptTitle="Numeric Input" prompt="Please insert numeric value or leave blank_x000a_" showErrorMessage="1" error="Please do not enter '0' or text" sqref="E168:E169">
      <formula1>0</formula1>
    </dataValidation>
    <dataValidation type="decimal" operator="greaterThan" allowBlank="1" showInputMessage="1" showErrorMessage="1" error="Please do not enter text" sqref="E172">
      <formula1>-1</formula1>
    </dataValidation>
    <dataValidation type="decimal" operator="notEqual" allowBlank="1" showInputMessage="1" promptTitle="Numeric Input" prompt="Please insert numeric value or leave blank_x000a_" showErrorMessage="1" error="Please do not enter '0' or text" sqref="E173:E174">
      <formula1>0</formula1>
    </dataValidation>
    <dataValidation type="decimal" operator="greaterThan" allowBlank="1" showInputMessage="1" showErrorMessage="1" error="Please do not enter text" sqref="E175:E183">
      <formula1>-1</formula1>
    </dataValidation>
    <dataValidation type="decimal" operator="notEqual" allowBlank="1" showInputMessage="1" promptTitle="Numeric Input" prompt="Please insert numeric value or leave blank_x000a_" showErrorMessage="1" error="Please do not enter '0' or text" sqref="E187:E189">
      <formula1>0</formula1>
    </dataValidation>
    <dataValidation type="decimal" operator="greaterThan" allowBlank="1" showInputMessage="1" showErrorMessage="1" error="Please do not enter text" sqref="E190:E191">
      <formula1>-1</formula1>
    </dataValidation>
    <dataValidation type="decimal" operator="greaterThan" allowBlank="1" showInputMessage="1" showErrorMessage="1" error="Please do not enter text" sqref="E195:E196">
      <formula1>-1</formula1>
    </dataValidation>
    <dataValidation type="textLength" allowBlank="1" showInputMessage="1" showErrorMessage="1" sqref="E197:J197">
      <formula1>1</formula1>
      <formula2>100000</formula2>
    </dataValidation>
    <dataValidation type="decimal" operator="greaterThan" allowBlank="1" showInputMessage="1" showErrorMessage="1" error="Please do not enter text" sqref="E198:E206">
      <formula1>-1</formula1>
    </dataValidation>
    <dataValidation type="decimal" operator="notEqual" allowBlank="1" showInputMessage="1" promptTitle="Numeric Input" prompt="Please insert numeric value or leave blank_x000a_" showErrorMessage="1" error="Please do not enter '0' or text" sqref="E207:E210">
      <formula1>0</formula1>
    </dataValidation>
    <dataValidation type="decimal" operator="greaterThan" allowBlank="1" showInputMessage="1" showErrorMessage="1" error="Please do not enter text" sqref="E212:E213">
      <formula1>-1</formula1>
    </dataValidation>
    <dataValidation type="textLength" allowBlank="1" showInputMessage="1" showErrorMessage="1" sqref="E214:J214">
      <formula1>1</formula1>
      <formula2>100000</formula2>
    </dataValidation>
    <dataValidation type="decimal" operator="greaterThan" allowBlank="1" showInputMessage="1" showErrorMessage="1" error="Please do not enter text" sqref="E215:E223">
      <formula1>-1</formula1>
    </dataValidation>
    <dataValidation type="decimal" operator="notEqual" allowBlank="1" showInputMessage="1" promptTitle="Numeric Input" prompt="Please insert numeric value or leave blank_x000a_" showErrorMessage="1" error="Please do not enter '0' or text" sqref="E224:E227">
      <formula1>0</formula1>
    </dataValidation>
    <dataValidation type="decimal" operator="greaterThan" allowBlank="1" showInputMessage="1" showErrorMessage="1" error="Please do not enter text" sqref="E229:E230">
      <formula1>-1</formula1>
    </dataValidation>
    <dataValidation type="textLength" allowBlank="1" showInputMessage="1" showErrorMessage="1" sqref="E231:J231">
      <formula1>1</formula1>
      <formula2>100000</formula2>
    </dataValidation>
    <dataValidation type="decimal" operator="greaterThan" allowBlank="1" showInputMessage="1" showErrorMessage="1" error="Please do not enter text" sqref="E232:E240">
      <formula1>-1</formula1>
    </dataValidation>
    <dataValidation type="decimal" operator="notEqual" allowBlank="1" showInputMessage="1" promptTitle="Numeric Input" prompt="Please insert numeric value or leave blank_x000a_" showErrorMessage="1" error="Please do not enter '0' or text" sqref="E241:E244">
      <formula1>0</formula1>
    </dataValidation>
    <dataValidation type="decimal" operator="greaterThan" allowBlank="1" showInputMessage="1" showErrorMessage="1" error="Please do not enter text" sqref="E246:E247">
      <formula1>-1</formula1>
    </dataValidation>
    <dataValidation type="textLength" allowBlank="1" showInputMessage="1" showErrorMessage="1" sqref="E248:J248">
      <formula1>1</formula1>
      <formula2>100000</formula2>
    </dataValidation>
    <dataValidation type="decimal" operator="greaterThan" allowBlank="1" showInputMessage="1" showErrorMessage="1" error="Please do not enter text" sqref="E249:E257">
      <formula1>-1</formula1>
    </dataValidation>
    <dataValidation type="decimal" operator="notEqual" allowBlank="1" showInputMessage="1" promptTitle="Numeric Input" prompt="Please insert numeric value or leave blank_x000a_" showErrorMessage="1" error="Please do not enter '0' or text" sqref="E258:E261">
      <formula1>0</formula1>
    </dataValidation>
    <dataValidation type="decimal" operator="greaterThan" allowBlank="1" showInputMessage="1" showErrorMessage="1" error="Please do not enter text" sqref="E263:E264">
      <formula1>-1</formula1>
    </dataValidation>
    <dataValidation type="textLength" allowBlank="1" showInputMessage="1" showErrorMessage="1" sqref="E265:J265">
      <formula1>1</formula1>
      <formula2>100000</formula2>
    </dataValidation>
    <dataValidation type="decimal" operator="greaterThan" allowBlank="1" showInputMessage="1" showErrorMessage="1" error="Please do not enter text" sqref="E266:E274">
      <formula1>-1</formula1>
    </dataValidation>
    <dataValidation type="decimal" operator="notEqual" allowBlank="1" showInputMessage="1" promptTitle="Numeric Input" prompt="Please insert numeric value or leave blank_x000a_" showErrorMessage="1" error="Please do not enter '0' or text" sqref="E275:E278">
      <formula1>0</formula1>
    </dataValidation>
    <dataValidation type="list" allowBlank="1" showInputMessage="1" showErrorMessage="1" sqref="E28:I40">
      <formula1>"Yes, No,Not Applicable"</formula1>
    </dataValidation>
    <dataValidation type="decimal" operator="greaterThan" allowBlank="1" showInputMessage="1" showErrorMessage="1" error="Please do not enter text" sqref="E280:E281">
      <formula1>-1</formula1>
    </dataValidation>
    <dataValidation type="textLength" allowBlank="1" showInputMessage="1" showErrorMessage="1" sqref="E282:J282">
      <formula1>1</formula1>
      <formula2>100000</formula2>
    </dataValidation>
    <dataValidation type="decimal" operator="greaterThan" allowBlank="1" showInputMessage="1" showErrorMessage="1" error="Please do not enter text" sqref="E283:E291">
      <formula1>-1</formula1>
    </dataValidation>
    <dataValidation type="decimal" operator="notEqual" allowBlank="1" showInputMessage="1" promptTitle="Numeric Input" prompt="Please insert numeric value or leave blank_x000a_" showErrorMessage="1" error="Please do not enter '0' or text" sqref="E292:E295">
      <formula1>0</formula1>
    </dataValidation>
    <dataValidation type="decimal" operator="greaterThan" allowBlank="1" showInputMessage="1" showErrorMessage="1" error="Please do not enter text" sqref="E297:E298">
      <formula1>-1</formula1>
    </dataValidation>
    <dataValidation type="textLength" allowBlank="1" showInputMessage="1" showErrorMessage="1" sqref="E299:J299">
      <formula1>1</formula1>
      <formula2>100000</formula2>
    </dataValidation>
    <dataValidation type="decimal" operator="greaterThan" allowBlank="1" showInputMessage="1" showErrorMessage="1" error="Please do not enter text" sqref="E300:E308">
      <formula1>-1</formula1>
    </dataValidation>
    <dataValidation type="decimal" operator="notEqual" allowBlank="1" showInputMessage="1" promptTitle="Numeric Input" prompt="Please insert numeric value or leave blank_x000a_" showErrorMessage="1" error="Please do not enter '0' or text" sqref="E309:E312">
      <formula1>0</formula1>
    </dataValidation>
    <dataValidation type="decimal" operator="greaterThan" allowBlank="1" showInputMessage="1" showErrorMessage="1" error="Please do not enter text" sqref="E314:E315">
      <formula1>-1</formula1>
    </dataValidation>
    <dataValidation type="textLength" allowBlank="1" showInputMessage="1" showErrorMessage="1" sqref="E316:J316">
      <formula1>1</formula1>
      <formula2>100000</formula2>
    </dataValidation>
    <dataValidation type="decimal" operator="greaterThan" allowBlank="1" showInputMessage="1" showErrorMessage="1" error="Please do not enter text" sqref="E317:E325">
      <formula1>-1</formula1>
    </dataValidation>
    <dataValidation type="decimal" operator="notEqual" allowBlank="1" showInputMessage="1" promptTitle="Numeric Input" prompt="Please insert numeric value or leave blank_x000a_" showErrorMessage="1" error="Please do not enter '0' or text" sqref="E326:E329">
      <formula1>0</formula1>
    </dataValidation>
    <dataValidation type="decimal" operator="greaterThan" allowBlank="1" showInputMessage="1" showErrorMessage="1" error="Please do not enter text" sqref="E331:E332">
      <formula1>-1</formula1>
    </dataValidation>
    <dataValidation type="textLength" allowBlank="1" showInputMessage="1" showErrorMessage="1" sqref="E333:J333">
      <formula1>1</formula1>
      <formula2>100000</formula2>
    </dataValidation>
    <dataValidation type="decimal" operator="greaterThan" allowBlank="1" showInputMessage="1" showErrorMessage="1" error="Please do not enter text" sqref="E334:E342">
      <formula1>-1</formula1>
    </dataValidation>
    <dataValidation type="decimal" operator="notEqual" allowBlank="1" showInputMessage="1" promptTitle="Numeric Input" prompt="Please insert numeric value or leave blank_x000a_" showErrorMessage="1" error="Please do not enter '0' or text" sqref="E343:E346">
      <formula1>0</formula1>
    </dataValidation>
    <dataValidation type="decimal" operator="greaterThan" allowBlank="1" showInputMessage="1" showErrorMessage="1" error="Please do not enter text" sqref="E348:E349">
      <formula1>-1</formula1>
    </dataValidation>
    <dataValidation type="textLength" allowBlank="1" showInputMessage="1" showErrorMessage="1" sqref="E350:J350">
      <formula1>1</formula1>
      <formula2>100000</formula2>
    </dataValidation>
    <dataValidation type="decimal" operator="greaterThan" allowBlank="1" showInputMessage="1" showErrorMessage="1" error="Please do not enter text" sqref="E351:E359">
      <formula1>-1</formula1>
    </dataValidation>
    <dataValidation type="decimal" operator="notEqual" allowBlank="1" showInputMessage="1" promptTitle="Numeric Input" prompt="Please insert numeric value or leave blank_x000a_" showErrorMessage="1" error="Please do not enter '0' or text" sqref="E360:E363">
      <formula1>0</formula1>
    </dataValidation>
    <dataValidation type="decimal" operator="greaterThan" allowBlank="1" showInputMessage="1" showErrorMessage="1" error="Please do not enter text" sqref="E365:E366">
      <formula1>-1</formula1>
    </dataValidation>
    <dataValidation type="textLength" allowBlank="1" showInputMessage="1" showErrorMessage="1" sqref="E367:J367">
      <formula1>1</formula1>
      <formula2>100000</formula2>
    </dataValidation>
    <dataValidation type="decimal" operator="greaterThan" allowBlank="1" showInputMessage="1" showErrorMessage="1" error="Please do not enter text" sqref="E368:E376">
      <formula1>-1</formula1>
    </dataValidation>
    <dataValidation type="decimal" operator="notEqual" allowBlank="1" showInputMessage="1" promptTitle="Numeric Input" prompt="Please insert numeric value or leave blank_x000a_" showErrorMessage="1" error="Please do not enter '0' or text" sqref="E377:E380">
      <formula1>0</formula1>
    </dataValidation>
    <dataValidation type="decimal" operator="greaterThan" allowBlank="1" showInputMessage="1" showErrorMessage="1" error="Please do not enter text" sqref="E383:G384">
      <formula1>-1</formula1>
    </dataValidation>
    <dataValidation type="decimal" operator="notEqual" allowBlank="1" showInputMessage="1" promptTitle="Numeric Input" prompt="Please insert numeric value or leave blank_x000a_" showErrorMessage="1" error="Please do not enter '0' or text" sqref="E386:E387">
      <formula1>0</formula1>
    </dataValidation>
    <dataValidation type="decimal" operator="greaterThan" allowBlank="1" showInputMessage="1" showErrorMessage="1" error="Please do not enter text" sqref="E388:E391">
      <formula1>-1</formula1>
    </dataValidation>
    <dataValidation type="decimal" operator="greaterThan" allowBlank="1" showInputMessage="1" showErrorMessage="1" error="Please do not enter text" sqref="E395:E396">
      <formula1>-1</formula1>
    </dataValidation>
    <dataValidation type="decimal" operator="notEqual" allowBlank="1" showInputMessage="1" promptTitle="Numeric Input" prompt="Please insert numeric value or leave blank_x000a_" showErrorMessage="1" error="Please do not enter '0' or text" sqref="E397:E398">
      <formula1>0</formula1>
    </dataValidation>
    <dataValidation type="decimal" operator="greaterThan" allowBlank="1" showInputMessage="1" showErrorMessage="1" error="Please do not enter text" sqref="E401:E402">
      <formula1>-1</formula1>
    </dataValidation>
    <dataValidation type="decimal" operator="notEqual" allowBlank="1" showInputMessage="1" promptTitle="Numeric Input" prompt="Please insert numeric value or leave blank_x000a_" showErrorMessage="1" error="Please do not enter '0' or text" sqref="E403:E404">
      <formula1>0</formula1>
    </dataValidation>
    <dataValidation type="decimal" operator="greaterThan" allowBlank="1" showInputMessage="1" showErrorMessage="1" error="Please do not enter text" sqref="E407:E408">
      <formula1>-1</formula1>
    </dataValidation>
    <dataValidation type="decimal" operator="notEqual" allowBlank="1" showInputMessage="1" promptTitle="Numeric Input" prompt="Please insert numeric value or leave blank_x000a_" showErrorMessage="1" error="Please do not enter '0' or text" sqref="E409:E410">
      <formula1>0</formula1>
    </dataValidation>
    <dataValidation type="decimal" operator="greaterThan" allowBlank="1" showInputMessage="1" showErrorMessage="1" error="Please do not enter text" sqref="E413:E414">
      <formula1>-1</formula1>
    </dataValidation>
    <dataValidation type="decimal" operator="notEqual" allowBlank="1" showInputMessage="1" promptTitle="Numeric Input" prompt="Please insert numeric value or leave blank_x000a_" showErrorMessage="1" error="Please do not enter '0' or text" sqref="E415:E416">
      <formula1>0</formula1>
    </dataValidation>
    <dataValidation type="decimal" operator="greaterThan" allowBlank="1" showInputMessage="1" showErrorMessage="1" error="Please do not enter text" sqref="E419:E420">
      <formula1>-1</formula1>
    </dataValidation>
    <dataValidation type="decimal" operator="notEqual" allowBlank="1" showInputMessage="1" promptTitle="Numeric Input" prompt="Please insert numeric value or leave blank_x000a_" showErrorMessage="1" error="Please do not enter '0' or text" sqref="E421:E422">
      <formula1>0</formula1>
    </dataValidation>
    <dataValidation type="decimal" operator="greaterThan" allowBlank="1" showInputMessage="1" showErrorMessage="1" error="Please do not enter text" sqref="E425:E426">
      <formula1>-1</formula1>
    </dataValidation>
    <dataValidation type="decimal" operator="notEqual" allowBlank="1" showInputMessage="1" promptTitle="Numeric Input" prompt="Please insert numeric value or leave blank_x000a_" showErrorMessage="1" error="Please do not enter '0' or text" sqref="E427:E428">
      <formula1>0</formula1>
    </dataValidation>
    <dataValidation type="decimal" operator="greaterThan" allowBlank="1" showInputMessage="1" showErrorMessage="1" error="Please do not enter text" sqref="E43:E47">
      <formula1>-1</formula1>
    </dataValidation>
    <dataValidation type="decimal" operator="greaterThan" allowBlank="1" showInputMessage="1" showErrorMessage="1" error="Please do not enter text" sqref="E432:E433">
      <formula1>-1</formula1>
    </dataValidation>
    <dataValidation type="decimal" operator="notEqual" allowBlank="1" showInputMessage="1" promptTitle="Numeric Input" prompt="Please insert numeric value or leave blank_x000a_" showErrorMessage="1" error="Please do not enter '0' or text" sqref="E434:E435">
      <formula1>0</formula1>
    </dataValidation>
    <dataValidation type="decimal" operator="greaterThan" allowBlank="1" showInputMessage="1" showErrorMessage="1" error="Please do not enter text" sqref="E438:E440">
      <formula1>-1</formula1>
    </dataValidation>
    <dataValidation type="decimal" operator="notEqual" allowBlank="1" showInputMessage="1" promptTitle="Numeric Input" prompt="Please insert numeric value or leave blank_x000a_" showErrorMessage="1" error="Please do not enter '0' or text" sqref="E441">
      <formula1>0</formula1>
    </dataValidation>
    <dataValidation type="decimal" operator="greaterThan" showInputMessage="1" showErrorMessage="1" sqref="E447:E450">
      <formula1>-1</formula1>
    </dataValidation>
    <dataValidation type="decimal" operator="notEqual" allowBlank="1" showInputMessage="1" promptTitle="Numeric Input" prompt="Please insert numeric value or leave blank_x000a_" showErrorMessage="1" error="Please do not enter '0' or text" sqref="E451">
      <formula1>0</formula1>
    </dataValidation>
    <dataValidation type="decimal" operator="greaterThan" showInputMessage="1" showErrorMessage="1" sqref="E452">
      <formula1>-1</formula1>
    </dataValidation>
    <dataValidation type="decimal" operator="notEqual" allowBlank="1" showInputMessage="1" promptTitle="Numeric Input" prompt="Please insert numeric value or leave blank_x000a_" showErrorMessage="1" error="Please do not enter '0' or text" sqref="E453">
      <formula1>0</formula1>
    </dataValidation>
    <dataValidation type="decimal" operator="greaterThan" showInputMessage="1" showErrorMessage="1" sqref="E454">
      <formula1>-1</formula1>
    </dataValidation>
    <dataValidation type="decimal" operator="notEqual" allowBlank="1" showInputMessage="1" promptTitle="Numeric Input" prompt="Please insert numeric value or leave blank_x000a_" showErrorMessage="1" error="Please do not enter '0' or text" sqref="E455">
      <formula1>0</formula1>
    </dataValidation>
    <dataValidation type="decimal" operator="greaterThan" showInputMessage="1" showErrorMessage="1" sqref="E456">
      <formula1>-1</formula1>
    </dataValidation>
    <dataValidation type="decimal" operator="notEqual" allowBlank="1" showInputMessage="1" promptTitle="Numeric Input" prompt="Please insert numeric value or leave blank_x000a_" showErrorMessage="1" error="Please do not enter '0' or text" sqref="E457">
      <formula1>0</formula1>
    </dataValidation>
    <dataValidation type="decimal" operator="greaterThan" showInputMessage="1" showErrorMessage="1" sqref="E458">
      <formula1>-1</formula1>
    </dataValidation>
    <dataValidation type="decimal" operator="notEqual" allowBlank="1" showInputMessage="1" promptTitle="Numeric Input" prompt="Please insert numeric value or leave blank_x000a_" showErrorMessage="1" error="Please do not enter '0' or text" sqref="E459:E460">
      <formula1>0</formula1>
    </dataValidation>
    <dataValidation type="decimal" operator="greaterThan" showInputMessage="1" showErrorMessage="1" sqref="E461">
      <formula1>-1</formula1>
    </dataValidation>
    <dataValidation type="decimal" operator="notEqual" allowBlank="1" showInputMessage="1" promptTitle="Numeric Input" prompt="Please insert numeric value or leave blank_x000a_" showErrorMessage="1" error="Please do not enter '0' or text" sqref="E462:E463">
      <formula1>0</formula1>
    </dataValidation>
    <dataValidation showInputMessage="1" promptTitle="Numeric Input" prompt="Please insert numeric value or leave blank_x000a_" showErrorMessage="1" error="Please do not enter '0' or text" sqref="E464:J466"/>
    <dataValidation type="decimal" operator="greaterThan" showInputMessage="1" showErrorMessage="1" sqref="E470:E473">
      <formula1>-1</formula1>
    </dataValidation>
    <dataValidation type="decimal" operator="notEqual" allowBlank="1" showInputMessage="1" promptTitle="Numeric Input" prompt="Please insert numeric value or leave blank_x000a_" showErrorMessage="1" error="Please do not enter '0' or text" sqref="E474">
      <formula1>0</formula1>
    </dataValidation>
    <dataValidation type="decimal" operator="greaterThan" showInputMessage="1" showErrorMessage="1" sqref="E475">
      <formula1>-1</formula1>
    </dataValidation>
    <dataValidation type="decimal" operator="notEqual" allowBlank="1" showInputMessage="1" promptTitle="Numeric Input" prompt="Please insert numeric value or leave blank_x000a_" showErrorMessage="1" error="Please do not enter '0' or text" sqref="E476">
      <formula1>0</formula1>
    </dataValidation>
    <dataValidation type="decimal" operator="greaterThan" showInputMessage="1" showErrorMessage="1" sqref="E477">
      <formula1>-1</formula1>
    </dataValidation>
    <dataValidation type="decimal" operator="notEqual" allowBlank="1" showInputMessage="1" promptTitle="Numeric Input" prompt="Please insert numeric value or leave blank_x000a_" showErrorMessage="1" error="Please do not enter '0' or text" sqref="E478">
      <formula1>0</formula1>
    </dataValidation>
    <dataValidation type="decimal" operator="greaterThan" showInputMessage="1" showErrorMessage="1" sqref="E479">
      <formula1>-1</formula1>
    </dataValidation>
    <dataValidation type="decimal" operator="notEqual" allowBlank="1" showInputMessage="1" promptTitle="Numeric Input" prompt="Please insert numeric value or leave blank_x000a_" showErrorMessage="1" error="Please do not enter '0' or text" sqref="E480">
      <formula1>0</formula1>
    </dataValidation>
    <dataValidation type="decimal" operator="greaterThan" showInputMessage="1" showErrorMessage="1" sqref="E481">
      <formula1>-1</formula1>
    </dataValidation>
    <dataValidation type="decimal" operator="notEqual" allowBlank="1" showInputMessage="1" promptTitle="Numeric Input" prompt="Please insert numeric value or leave blank_x000a_" showErrorMessage="1" error="Please do not enter '0' or text" sqref="E482:E483">
      <formula1>0</formula1>
    </dataValidation>
    <dataValidation type="decimal" operator="greaterThan" showInputMessage="1" showErrorMessage="1" sqref="E484">
      <formula1>-1</formula1>
    </dataValidation>
    <dataValidation type="decimal" operator="notEqual" allowBlank="1" showInputMessage="1" promptTitle="Numeric Input" prompt="Please insert numeric value or leave blank_x000a_" showErrorMessage="1" error="Please do not enter '0' or text" sqref="E485:E486">
      <formula1>0</formula1>
    </dataValidation>
    <dataValidation showInputMessage="1" promptTitle="Numeric Input" prompt="Please insert numeric value or leave blank_x000a_" showErrorMessage="1" error="Please do not enter '0' or text" sqref="E487:J489"/>
    <dataValidation type="decimal" operator="greaterThan" showInputMessage="1" showErrorMessage="1" sqref="E493:E496">
      <formula1>-1</formula1>
    </dataValidation>
    <dataValidation type="decimal" operator="notEqual" allowBlank="1" showInputMessage="1" promptTitle="Numeric Input" prompt="Please insert numeric value or leave blank_x000a_" showErrorMessage="1" error="Please do not enter '0' or text" sqref="E497">
      <formula1>0</formula1>
    </dataValidation>
    <dataValidation type="decimal" operator="greaterThan" showInputMessage="1" showErrorMessage="1" sqref="E498">
      <formula1>-1</formula1>
    </dataValidation>
    <dataValidation type="decimal" operator="notEqual" allowBlank="1" showInputMessage="1" promptTitle="Numeric Input" prompt="Please insert numeric value or leave blank_x000a_" showErrorMessage="1" error="Please do not enter '0' or text" sqref="E499">
      <formula1>0</formula1>
    </dataValidation>
    <dataValidation type="decimal" operator="greaterThan" showInputMessage="1" showErrorMessage="1" sqref="E500">
      <formula1>-1</formula1>
    </dataValidation>
    <dataValidation type="decimal" operator="notEqual" allowBlank="1" showInputMessage="1" promptTitle="Numeric Input" prompt="Please insert numeric value or leave blank_x000a_" showErrorMessage="1" error="Please do not enter '0' or text" sqref="E501">
      <formula1>0</formula1>
    </dataValidation>
    <dataValidation type="decimal" operator="greaterThan" showInputMessage="1" showErrorMessage="1" sqref="E502">
      <formula1>-1</formula1>
    </dataValidation>
    <dataValidation type="decimal" operator="notEqual" allowBlank="1" showInputMessage="1" promptTitle="Numeric Input" prompt="Please insert numeric value or leave blank_x000a_" showErrorMessage="1" error="Please do not enter '0' or text" sqref="E503">
      <formula1>0</formula1>
    </dataValidation>
    <dataValidation type="decimal" operator="greaterThan" showInputMessage="1" showErrorMessage="1" sqref="E504">
      <formula1>-1</formula1>
    </dataValidation>
    <dataValidation type="decimal" operator="notEqual" allowBlank="1" showInputMessage="1" promptTitle="Numeric Input" prompt="Please insert numeric value or leave blank_x000a_" showErrorMessage="1" error="Please do not enter '0' or text" sqref="E505:E506">
      <formula1>0</formula1>
    </dataValidation>
    <dataValidation type="decimal" operator="greaterThan" showInputMessage="1" showErrorMessage="1" sqref="E507">
      <formula1>-1</formula1>
    </dataValidation>
    <dataValidation type="decimal" operator="notEqual" allowBlank="1" showInputMessage="1" promptTitle="Numeric Input" prompt="Please insert numeric value or leave blank_x000a_" showErrorMessage="1" error="Please do not enter '0' or text" sqref="E508:E509">
      <formula1>0</formula1>
    </dataValidation>
    <dataValidation showInputMessage="1" promptTitle="Numeric Input" prompt="Please insert numeric value or leave blank_x000a_" showErrorMessage="1" error="Please do not enter '0' or text" sqref="E510:J512"/>
    <dataValidation type="decimal" operator="greaterThan" showInputMessage="1" showErrorMessage="1" sqref="E516:E519">
      <formula1>-1</formula1>
    </dataValidation>
    <dataValidation type="decimal" operator="greaterThan" allowBlank="1" showInputMessage="1" showErrorMessage="1" error="Please do not enter text" sqref="E52:E57">
      <formula1>-1</formula1>
    </dataValidation>
    <dataValidation type="decimal" operator="notEqual" allowBlank="1" showInputMessage="1" promptTitle="Numeric Input" prompt="Please insert numeric value or leave blank_x000a_" showErrorMessage="1" error="Please do not enter '0' or text" sqref="E520">
      <formula1>0</formula1>
    </dataValidation>
    <dataValidation type="decimal" operator="greaterThan" showInputMessage="1" showErrorMessage="1" sqref="E521">
      <formula1>-1</formula1>
    </dataValidation>
    <dataValidation type="decimal" operator="notEqual" allowBlank="1" showInputMessage="1" promptTitle="Numeric Input" prompt="Please insert numeric value or leave blank_x000a_" showErrorMessage="1" error="Please do not enter '0' or text" sqref="E522">
      <formula1>0</formula1>
    </dataValidation>
    <dataValidation type="decimal" operator="greaterThan" showInputMessage="1" showErrorMessage="1" sqref="E523">
      <formula1>-1</formula1>
    </dataValidation>
    <dataValidation type="decimal" operator="notEqual" allowBlank="1" showInputMessage="1" promptTitle="Numeric Input" prompt="Please insert numeric value or leave blank_x000a_" showErrorMessage="1" error="Please do not enter '0' or text" sqref="E524">
      <formula1>0</formula1>
    </dataValidation>
    <dataValidation type="decimal" operator="greaterThan" showInputMessage="1" showErrorMessage="1" sqref="E525">
      <formula1>-1</formula1>
    </dataValidation>
    <dataValidation type="decimal" operator="notEqual" allowBlank="1" showInputMessage="1" promptTitle="Numeric Input" prompt="Please insert numeric value or leave blank_x000a_" showErrorMessage="1" error="Please do not enter '0' or text" sqref="E526">
      <formula1>0</formula1>
    </dataValidation>
    <dataValidation type="decimal" operator="greaterThan" showInputMessage="1" showErrorMessage="1" sqref="E527">
      <formula1>-1</formula1>
    </dataValidation>
    <dataValidation type="decimal" operator="notEqual" allowBlank="1" showInputMessage="1" promptTitle="Numeric Input" prompt="Please insert numeric value or leave blank_x000a_" showErrorMessage="1" error="Please do not enter '0' or text" sqref="E528:E529">
      <formula1>0</formula1>
    </dataValidation>
    <dataValidation type="decimal" operator="greaterThan" showInputMessage="1" showErrorMessage="1" sqref="E530">
      <formula1>-1</formula1>
    </dataValidation>
    <dataValidation type="decimal" operator="notEqual" allowBlank="1" showInputMessage="1" promptTitle="Numeric Input" prompt="Please insert numeric value or leave blank_x000a_" showErrorMessage="1" error="Please do not enter '0' or text" sqref="E531:E532">
      <formula1>0</formula1>
    </dataValidation>
    <dataValidation showInputMessage="1" promptTitle="Numeric Input" prompt="Please insert numeric value or leave blank_x000a_" showErrorMessage="1" error="Please do not enter '0' or text" sqref="E533:J536"/>
    <dataValidation type="decimal" operator="greaterThan" showInputMessage="1" showErrorMessage="1" sqref="E539:E542">
      <formula1>-1</formula1>
    </dataValidation>
    <dataValidation type="decimal" operator="notEqual" allowBlank="1" showInputMessage="1" promptTitle="Numeric Input" prompt="Please insert numeric value or leave blank_x000a_" showErrorMessage="1" error="Please do not enter '0' or text" sqref="E543">
      <formula1>0</formula1>
    </dataValidation>
    <dataValidation type="decimal" operator="greaterThan" showInputMessage="1" showErrorMessage="1" sqref="E544">
      <formula1>-1</formula1>
    </dataValidation>
    <dataValidation type="decimal" operator="notEqual" allowBlank="1" showInputMessage="1" promptTitle="Numeric Input" prompt="Please insert numeric value or leave blank_x000a_" showErrorMessage="1" error="Please do not enter '0' or text" sqref="E545">
      <formula1>0</formula1>
    </dataValidation>
    <dataValidation type="decimal" operator="greaterThan" showInputMessage="1" showErrorMessage="1" sqref="E546">
      <formula1>-1</formula1>
    </dataValidation>
    <dataValidation type="decimal" operator="notEqual" allowBlank="1" showInputMessage="1" promptTitle="Numeric Input" prompt="Please insert numeric value or leave blank_x000a_" showErrorMessage="1" error="Please do not enter '0' or text" sqref="E547">
      <formula1>0</formula1>
    </dataValidation>
    <dataValidation type="decimal" operator="greaterThan" showInputMessage="1" showErrorMessage="1" sqref="E548">
      <formula1>-1</formula1>
    </dataValidation>
    <dataValidation type="decimal" operator="notEqual" allowBlank="1" showInputMessage="1" promptTitle="Numeric Input" prompt="Please insert numeric value or leave blank_x000a_" showErrorMessage="1" error="Please do not enter '0' or text" sqref="E549">
      <formula1>0</formula1>
    </dataValidation>
    <dataValidation type="decimal" operator="greaterThan" showInputMessage="1" showErrorMessage="1" sqref="E550">
      <formula1>-1</formula1>
    </dataValidation>
    <dataValidation type="decimal" operator="notEqual" allowBlank="1" showInputMessage="1" promptTitle="Numeric Input" prompt="Please insert numeric value or leave blank_x000a_" showErrorMessage="1" error="Please do not enter '0' or text" sqref="E551:E552">
      <formula1>0</formula1>
    </dataValidation>
    <dataValidation type="decimal" operator="greaterThan" showInputMessage="1" showErrorMessage="1" sqref="E553">
      <formula1>-1</formula1>
    </dataValidation>
    <dataValidation type="decimal" operator="notEqual" allowBlank="1" showInputMessage="1" promptTitle="Numeric Input" prompt="Please insert numeric value or leave blank_x000a_" showErrorMessage="1" error="Please do not enter '0' or text" sqref="E554:E555">
      <formula1>0</formula1>
    </dataValidation>
    <dataValidation showInputMessage="1" promptTitle="Numeric Input" prompt="Please insert numeric value or leave blank_x000a_" showErrorMessage="1" error="Please do not enter '0' or text" sqref="E556:J559"/>
    <dataValidation promptTitle="Numeric Input" prompt="Please insert numeric value or leave blank_x000a_" error="Please do not enter '0' or text" sqref="E560:J562"/>
    <dataValidation showInputMessage="1" promptTitle="Numeric Input" prompt="Please insert numeric value or leave blank_x000a_" showErrorMessage="1" error="Please do not enter '0' or text" sqref="E563:J564"/>
    <dataValidation type="decimal" operator="greaterThan" showInputMessage="1" showErrorMessage="1" sqref="E569:E572">
      <formula1>-1</formula1>
    </dataValidation>
    <dataValidation type="decimal" operator="notEqual" allowBlank="1" showInputMessage="1" promptTitle="Numeric Input" prompt="Please insert numeric value or leave blank_x000a_" showErrorMessage="1" error="Please do not enter '0' or text" sqref="E573">
      <formula1>0</formula1>
    </dataValidation>
    <dataValidation type="decimal" operator="greaterThan" showInputMessage="1" showErrorMessage="1" sqref="E574">
      <formula1>-1</formula1>
    </dataValidation>
    <dataValidation type="decimal" operator="notEqual" allowBlank="1" showInputMessage="1" promptTitle="Numeric Input" prompt="Please insert numeric value or leave blank_x000a_" showErrorMessage="1" error="Please do not enter '0' or text" sqref="E575">
      <formula1>0</formula1>
    </dataValidation>
    <dataValidation type="decimal" operator="greaterThan" showInputMessage="1" showErrorMessage="1" sqref="E576">
      <formula1>-1</formula1>
    </dataValidation>
    <dataValidation type="decimal" operator="notEqual" allowBlank="1" showInputMessage="1" promptTitle="Numeric Input" prompt="Please insert numeric value or leave blank_x000a_" showErrorMessage="1" error="Please do not enter '0' or text" sqref="E577">
      <formula1>0</formula1>
    </dataValidation>
    <dataValidation type="decimal" operator="greaterThan" showInputMessage="1" showErrorMessage="1" sqref="E578">
      <formula1>-1</formula1>
    </dataValidation>
    <dataValidation type="decimal" operator="notEqual" allowBlank="1" showInputMessage="1" promptTitle="Numeric Input" prompt="Please insert numeric value or leave blank_x000a_" showErrorMessage="1" error="Please do not enter '0' or text" sqref="E579">
      <formula1>0</formula1>
    </dataValidation>
    <dataValidation type="decimal" operator="greaterThan" showInputMessage="1" showErrorMessage="1" sqref="E580">
      <formula1>-1</formula1>
    </dataValidation>
    <dataValidation type="decimal" operator="notEqual" allowBlank="1" showInputMessage="1" promptTitle="Numeric Input" prompt="Please insert numeric value or leave blank_x000a_" showErrorMessage="1" error="Please do not enter '0' or text" sqref="E581:E582">
      <formula1>0</formula1>
    </dataValidation>
    <dataValidation type="decimal" operator="greaterThan" showInputMessage="1" showErrorMessage="1" sqref="E583">
      <formula1>-1</formula1>
    </dataValidation>
    <dataValidation type="decimal" operator="notEqual" allowBlank="1" showInputMessage="1" promptTitle="Numeric Input" prompt="Please insert numeric value or leave blank_x000a_" showErrorMessage="1" error="Please do not enter '0' or text" sqref="E584:E585">
      <formula1>0</formula1>
    </dataValidation>
    <dataValidation showInputMessage="1" promptTitle="Numeric Input" prompt="Please insert numeric value or leave blank_x000a_" showErrorMessage="1" error="Please do not enter '0' or text" sqref="E586:J588"/>
    <dataValidation type="decimal" operator="greaterThan" showInputMessage="1" showErrorMessage="1" sqref="E592:E595">
      <formula1>-1</formula1>
    </dataValidation>
    <dataValidation type="decimal" operator="notEqual" allowBlank="1" showInputMessage="1" promptTitle="Numeric Input" prompt="Please insert numeric value or leave blank_x000a_" showErrorMessage="1" error="Please do not enter '0' or text" sqref="E596">
      <formula1>0</formula1>
    </dataValidation>
    <dataValidation type="decimal" operator="greaterThan" showInputMessage="1" showErrorMessage="1" sqref="E597">
      <formula1>-1</formula1>
    </dataValidation>
    <dataValidation type="decimal" operator="notEqual" allowBlank="1" showInputMessage="1" promptTitle="Numeric Input" prompt="Please insert numeric value or leave blank_x000a_" showErrorMessage="1" error="Please do not enter '0' or text" sqref="E598">
      <formula1>0</formula1>
    </dataValidation>
    <dataValidation type="decimal" operator="greaterThan" showInputMessage="1" showErrorMessage="1" sqref="E599">
      <formula1>-1</formula1>
    </dataValidation>
    <dataValidation type="decimal" operator="notEqual" allowBlank="1" showInputMessage="1" promptTitle="Numeric Input" prompt="Please insert numeric value or leave blank_x000a_" showErrorMessage="1" error="Please do not enter '0' or text" sqref="E600">
      <formula1>0</formula1>
    </dataValidation>
    <dataValidation type="decimal" operator="greaterThan" showInputMessage="1" showErrorMessage="1" sqref="E601">
      <formula1>-1</formula1>
    </dataValidation>
    <dataValidation type="decimal" operator="notEqual" allowBlank="1" showInputMessage="1" promptTitle="Numeric Input" prompt="Please insert numeric value or leave blank_x000a_" showErrorMessage="1" error="Please do not enter '0' or text" sqref="E602">
      <formula1>0</formula1>
    </dataValidation>
    <dataValidation type="decimal" operator="greaterThan" showInputMessage="1" showErrorMessage="1" sqref="E603">
      <formula1>-1</formula1>
    </dataValidation>
    <dataValidation type="decimal" operator="notEqual" allowBlank="1" showInputMessage="1" promptTitle="Numeric Input" prompt="Please insert numeric value or leave blank_x000a_" showErrorMessage="1" error="Please do not enter '0' or text" sqref="E604:E605">
      <formula1>0</formula1>
    </dataValidation>
    <dataValidation type="decimal" operator="greaterThan" showInputMessage="1" showErrorMessage="1" sqref="E606">
      <formula1>-1</formula1>
    </dataValidation>
    <dataValidation type="decimal" operator="notEqual" allowBlank="1" showInputMessage="1" promptTitle="Numeric Input" prompt="Please insert numeric value or leave blank_x000a_" showErrorMessage="1" error="Please do not enter '0' or text" sqref="E607:E608">
      <formula1>0</formula1>
    </dataValidation>
    <dataValidation showInputMessage="1" promptTitle="Numeric Input" prompt="Please insert numeric value or leave blank_x000a_" showErrorMessage="1" error="Please do not enter '0' or text" sqref="E609:J611"/>
    <dataValidation type="decimal" operator="greaterThan" showInputMessage="1" showErrorMessage="1" sqref="E615:E618">
      <formula1>-1</formula1>
    </dataValidation>
    <dataValidation type="decimal" operator="notEqual" allowBlank="1" showInputMessage="1" promptTitle="Numeric Input" prompt="Please insert numeric value or leave blank_x000a_" showErrorMessage="1" error="Please do not enter '0' or text" sqref="E619">
      <formula1>0</formula1>
    </dataValidation>
    <dataValidation type="decimal" operator="greaterThan" showInputMessage="1" showErrorMessage="1" sqref="E620">
      <formula1>-1</formula1>
    </dataValidation>
    <dataValidation type="decimal" operator="notEqual" allowBlank="1" showInputMessage="1" promptTitle="Numeric Input" prompt="Please insert numeric value or leave blank_x000a_" showErrorMessage="1" error="Please do not enter '0' or text" sqref="E621">
      <formula1>0</formula1>
    </dataValidation>
    <dataValidation type="decimal" operator="greaterThan" showInputMessage="1" showErrorMessage="1" sqref="E622">
      <formula1>-1</formula1>
    </dataValidation>
    <dataValidation type="decimal" operator="notEqual" allowBlank="1" showInputMessage="1" promptTitle="Numeric Input" prompt="Please insert numeric value or leave blank_x000a_" showErrorMessage="1" error="Please do not enter '0' or text" sqref="E623">
      <formula1>0</formula1>
    </dataValidation>
    <dataValidation type="decimal" operator="greaterThan" showInputMessage="1" showErrorMessage="1" sqref="E624">
      <formula1>-1</formula1>
    </dataValidation>
    <dataValidation type="decimal" operator="notEqual" allowBlank="1" showInputMessage="1" promptTitle="Numeric Input" prompt="Please insert numeric value or leave blank_x000a_" showErrorMessage="1" error="Please do not enter '0' or text" sqref="E625">
      <formula1>0</formula1>
    </dataValidation>
    <dataValidation type="decimal" operator="greaterThan" showInputMessage="1" showErrorMessage="1" sqref="E626">
      <formula1>-1</formula1>
    </dataValidation>
    <dataValidation type="decimal" operator="notEqual" allowBlank="1" showInputMessage="1" promptTitle="Numeric Input" prompt="Please insert numeric value or leave blank_x000a_" showErrorMessage="1" error="Please do not enter '0' or text" sqref="E627:E628">
      <formula1>0</formula1>
    </dataValidation>
    <dataValidation type="decimal" operator="greaterThan" showInputMessage="1" showErrorMessage="1" sqref="E629">
      <formula1>-1</formula1>
    </dataValidation>
    <dataValidation type="decimal" operator="notEqual" allowBlank="1" showInputMessage="1" promptTitle="Numeric Input" prompt="Please insert numeric value or leave blank_x000a_" showErrorMessage="1" error="Please do not enter '0' or text" sqref="E630:E631">
      <formula1>0</formula1>
    </dataValidation>
    <dataValidation showInputMessage="1" promptTitle="Numeric Input" prompt="Please insert numeric value or leave blank_x000a_" showErrorMessage="1" error="Please do not enter '0' or text" sqref="E632:J634"/>
    <dataValidation type="decimal" operator="greaterThan" showInputMessage="1" showErrorMessage="1" sqref="E638:E641">
      <formula1>-1</formula1>
    </dataValidation>
    <dataValidation type="decimal" operator="greaterThan" allowBlank="1" showInputMessage="1" showErrorMessage="1" error="Please do not enter text" sqref="E64:E67">
      <formula1>-1</formula1>
    </dataValidation>
    <dataValidation type="decimal" operator="notEqual" allowBlank="1" showInputMessage="1" promptTitle="Numeric Input" prompt="Please insert numeric value or leave blank_x000a_" showErrorMessage="1" error="Please do not enter '0' or text" sqref="E642">
      <formula1>0</formula1>
    </dataValidation>
    <dataValidation type="decimal" operator="greaterThan" showInputMessage="1" showErrorMessage="1" sqref="E643">
      <formula1>-1</formula1>
    </dataValidation>
    <dataValidation type="decimal" operator="notEqual" allowBlank="1" showInputMessage="1" promptTitle="Numeric Input" prompt="Please insert numeric value or leave blank_x000a_" showErrorMessage="1" error="Please do not enter '0' or text" sqref="E644">
      <formula1>0</formula1>
    </dataValidation>
    <dataValidation type="decimal" operator="greaterThan" showInputMessage="1" showErrorMessage="1" sqref="E645">
      <formula1>-1</formula1>
    </dataValidation>
    <dataValidation type="decimal" operator="notEqual" allowBlank="1" showInputMessage="1" promptTitle="Numeric Input" prompt="Please insert numeric value or leave blank_x000a_" showErrorMessage="1" error="Please do not enter '0' or text" sqref="E646">
      <formula1>0</formula1>
    </dataValidation>
    <dataValidation type="decimal" operator="greaterThan" showInputMessage="1" showErrorMessage="1" sqref="E647">
      <formula1>-1</formula1>
    </dataValidation>
    <dataValidation type="decimal" operator="notEqual" allowBlank="1" showInputMessage="1" promptTitle="Numeric Input" prompt="Please insert numeric value or leave blank_x000a_" showErrorMessage="1" error="Please do not enter '0' or text" sqref="E648">
      <formula1>0</formula1>
    </dataValidation>
    <dataValidation type="decimal" operator="greaterThan" showInputMessage="1" showErrorMessage="1" sqref="E649">
      <formula1>-1</formula1>
    </dataValidation>
    <dataValidation type="decimal" operator="notEqual" allowBlank="1" showInputMessage="1" promptTitle="Numeric Input" prompt="Please insert numeric value or leave blank_x000a_" showErrorMessage="1" error="Please do not enter '0' or text" sqref="E650:E651">
      <formula1>0</formula1>
    </dataValidation>
    <dataValidation type="decimal" operator="greaterThan" showInputMessage="1" showErrorMessage="1" sqref="E652">
      <formula1>-1</formula1>
    </dataValidation>
    <dataValidation type="decimal" operator="notEqual" allowBlank="1" showInputMessage="1" promptTitle="Numeric Input" prompt="Please insert numeric value or leave blank_x000a_" showErrorMessage="1" error="Please do not enter '0' or text" sqref="E653:E654">
      <formula1>0</formula1>
    </dataValidation>
    <dataValidation showInputMessage="1" promptTitle="Numeric Input" prompt="Please insert numeric value or leave blank_x000a_" showErrorMessage="1" error="Please do not enter '0' or text" sqref="E655:J657"/>
    <dataValidation type="decimal" operator="greaterThan" showInputMessage="1" showErrorMessage="1" sqref="E661:E664">
      <formula1>-1</formula1>
    </dataValidation>
    <dataValidation type="decimal" operator="notEqual" allowBlank="1" showInputMessage="1" promptTitle="Numeric Input" prompt="Please insert numeric value or leave blank_x000a_" showErrorMessage="1" error="Please do not enter '0' or text" sqref="E665">
      <formula1>0</formula1>
    </dataValidation>
    <dataValidation type="decimal" operator="greaterThan" showInputMessage="1" showErrorMessage="1" sqref="E666">
      <formula1>-1</formula1>
    </dataValidation>
    <dataValidation type="decimal" operator="notEqual" allowBlank="1" showInputMessage="1" promptTitle="Numeric Input" prompt="Please insert numeric value or leave blank_x000a_" showErrorMessage="1" error="Please do not enter '0' or text" sqref="E667">
      <formula1>0</formula1>
    </dataValidation>
    <dataValidation type="decimal" operator="greaterThan" showInputMessage="1" showErrorMessage="1" sqref="E668">
      <formula1>-1</formula1>
    </dataValidation>
    <dataValidation type="decimal" operator="notEqual" allowBlank="1" showInputMessage="1" promptTitle="Numeric Input" prompt="Please insert numeric value or leave blank_x000a_" showErrorMessage="1" error="Please do not enter '0' or text" sqref="E669">
      <formula1>0</formula1>
    </dataValidation>
    <dataValidation type="decimal" operator="greaterThan" showInputMessage="1" showErrorMessage="1" sqref="E670">
      <formula1>-1</formula1>
    </dataValidation>
    <dataValidation type="decimal" operator="notEqual" allowBlank="1" showInputMessage="1" promptTitle="Numeric Input" prompt="Please insert numeric value or leave blank_x000a_" showErrorMessage="1" error="Please do not enter '0' or text" sqref="E671">
      <formula1>0</formula1>
    </dataValidation>
    <dataValidation type="decimal" operator="greaterThan" showInputMessage="1" showErrorMessage="1" sqref="E672">
      <formula1>-1</formula1>
    </dataValidation>
    <dataValidation type="decimal" operator="notEqual" allowBlank="1" showInputMessage="1" promptTitle="Numeric Input" prompt="Please insert numeric value or leave blank_x000a_" showErrorMessage="1" error="Please do not enter '0' or text" sqref="E673:E674">
      <formula1>0</formula1>
    </dataValidation>
    <dataValidation type="decimal" operator="greaterThan" showInputMessage="1" showErrorMessage="1" sqref="E675">
      <formula1>-1</formula1>
    </dataValidation>
    <dataValidation type="decimal" operator="notEqual" allowBlank="1" showInputMessage="1" promptTitle="Numeric Input" prompt="Please insert numeric value or leave blank_x000a_" showErrorMessage="1" error="Please do not enter '0' or text" sqref="E676:E677">
      <formula1>0</formula1>
    </dataValidation>
    <dataValidation showInputMessage="1" promptTitle="Numeric Input" prompt="Please insert numeric value or leave blank_x000a_" showErrorMessage="1" error="Please do not enter '0' or text" sqref="E678:J681"/>
    <dataValidation type="decimal" operator="notEqual" allowBlank="1" showInputMessage="1" promptTitle="Numeric Input" prompt="Please insert numeric value or leave blank_x000a_" showErrorMessage="1" error="Please do not enter '0' or text" sqref="E68:E69">
      <formula1>0</formula1>
    </dataValidation>
    <dataValidation promptTitle="Numeric Input" prompt="Please insert numeric value or leave blank_x000a_" error="Please do not enter '0' or text" sqref="E683:J685"/>
    <dataValidation showInputMessage="1" promptTitle="Numeric Input" prompt="Please insert numeric value or leave blank_x000a_" showErrorMessage="1" error="Please do not enter '0' or text" sqref="E686:J687"/>
    <dataValidation promptTitle="Numeric Input" prompt="Please enter numeric values or leave blank" errorTitle="Text Alert" error="Please do not enter &quot;0&quot; or text" sqref="E688:J688"/>
    <dataValidation type="decimal" operator="notEqual" allowBlank="1" showInputMessage="1" promptTitle="Numeric Input" prompt="Please enter numeric values or leave blank" showErrorMessage="1" errorTitle="Text Alert" error="Please do not enter &quot;0&quot; or text" sqref="E689:G689">
      <formula1>0</formula1>
    </dataValidation>
    <dataValidation type="decimal" operator="greaterThan" promptTitle="Numeric Input" prompt="Please enter numeric values or leave blank" showErrorMessage="1" errorTitle="Text Alert" error="Please do not enter text" sqref="E694">
      <formula1>-1</formula1>
    </dataValidation>
    <dataValidation type="decimal" operator="greaterThan" promptTitle="Numeric Input" prompt="Please enter numeric values or leave blank" showErrorMessage="1" errorTitle="Text Alert" error="Please do not enter text" sqref="E696">
      <formula1>-1</formula1>
    </dataValidation>
    <dataValidation type="decimal" operator="greaterThan" promptTitle="Numeric Input" prompt="Please enter numeric values or leave blank" showErrorMessage="1" errorTitle="Text Alert" error="Please do not enter text" sqref="E698:E715">
      <formula1>-1</formula1>
    </dataValidation>
    <dataValidation type="decimal" operator="greaterThan" allowBlank="1" showInputMessage="1" showErrorMessage="1" error="Please do not enter text" sqref="E70">
      <formula1>-1</formula1>
    </dataValidation>
    <dataValidation type="list" allowBlank="1" showInputMessage="1" showErrorMessage="1" sqref="E727:I727">
      <formula1>"YES,NO"</formula1>
    </dataValidation>
    <dataValidation type="decimal" operator="greaterThan" promptTitle="Numeric Input" prompt="Please enter numeric values or leave blank" showErrorMessage="1" errorTitle="Text Alert" error="Please do not enter text" sqref="E728:E730">
      <formula1>-1</formula1>
    </dataValidation>
    <dataValidation type="textLength" allowBlank="1" showInputMessage="1" showErrorMessage="1" sqref="E73:F73">
      <formula1>1</formula1>
      <formula2>100000</formula2>
    </dataValidation>
    <dataValidation type="decimal" operator="notEqual" allowBlank="1" showInputMessage="1" promptTitle="Numeric Input" prompt="Please insert numeric value or leave blank_x000a_" showErrorMessage="1" error="Please do not enter '0' or text" sqref="E731:E734">
      <formula1>0</formula1>
    </dataValidation>
    <dataValidation type="decimal" operator="greaterThan" promptTitle="Numeric Input" prompt="Please enter numeric values or leave blank" showErrorMessage="1" errorTitle="Text Alert" error="Please do not enter text" sqref="E735:G735">
      <formula1>-1</formula1>
    </dataValidation>
    <dataValidation type="list" allowBlank="1" showInputMessage="1" showErrorMessage="1" sqref="E738:J738">
      <formula1>"YES,NO"</formula1>
    </dataValidation>
    <dataValidation type="decimal" operator="greaterThan" allowBlank="1" showInputMessage="1" showErrorMessage="1" error="Please do not enter text" sqref="E74:E75">
      <formula1>-1</formula1>
    </dataValidation>
    <dataValidation type="list" showInputMessage="1" showErrorMessage="1" sqref="E746:J746">
      <formula1>"Yes, No"</formula1>
    </dataValidation>
    <dataValidation type="decimal" operator="greaterThan" promptTitle="Numeric Input" prompt="Please enter numeric values or leave blank" showErrorMessage="1" errorTitle="Text Alert" error="Please do not enter text" sqref="E747:E748">
      <formula1>-1</formula1>
    </dataValidation>
    <dataValidation type="decimal" operator="notEqual" allowBlank="1" showInputMessage="1" promptTitle="Numeric Input" prompt="Please insert numeric value or leave blank_x000a_" showErrorMessage="1" error="Please do not enter '0' or text" sqref="E749:E751">
      <formula1>0</formula1>
    </dataValidation>
    <dataValidation type="decimal" operator="greaterThan" promptTitle="Numeric Input" prompt="Please enter numeric values or leave blank" showErrorMessage="1" errorTitle="Text Alert" error="Please do not enter text" sqref="E752">
      <formula1>-1</formula1>
    </dataValidation>
    <dataValidation type="decimal" operator="greaterThan" promptTitle="Numeric Input" prompt="Please enter numeric values or leave blank" showErrorMessage="1" errorTitle="Text Alert" error="Please do not enter text" sqref="E755:E757">
      <formula1>-1</formula1>
    </dataValidation>
    <dataValidation type="decimal" operator="notEqual" allowBlank="1" showInputMessage="1" promptTitle="Numeric Input" prompt="Please enter numeric values or leave blank" showErrorMessage="1" errorTitle="Text Alert" error="Please do not enter &quot;0&quot; or text" sqref="E76:E77">
      <formula1>0</formula1>
    </dataValidation>
    <dataValidation type="list" showInputMessage="1" showErrorMessage="1" sqref="E760:J760">
      <formula1>"Yes,No"</formula1>
    </dataValidation>
    <dataValidation type="decimal" operator="greaterThan" promptTitle="Numeric Input" prompt="Please enter numeric values or leave blank" showErrorMessage="1" errorTitle="Text Alert" error="Please do not enter text" sqref="E761:E762">
      <formula1>-1</formula1>
    </dataValidation>
    <dataValidation type="decimal" operator="notEqual" allowBlank="1" showInputMessage="1" promptTitle="Numeric Input" prompt="Please insert numeric value or leave blank_x000a_" showErrorMessage="1" error="Please do not enter '0' or text" sqref="E763:E764">
      <formula1>0</formula1>
    </dataValidation>
    <dataValidation type="decimal" operator="greaterThan" promptTitle="Numeric Input" prompt="Please enter numeric values or leave blank" showErrorMessage="1" errorTitle="Text Alert" error="Please do not enter text" sqref="E765">
      <formula1>-1</formula1>
    </dataValidation>
    <dataValidation type="decimal" operator="notEqual" allowBlank="1" showInputMessage="1" promptTitle="Numeric Input" prompt="Please insert numeric value or leave blank_x000a_" showErrorMessage="1" error="Please do not enter '0' or text" sqref="E767">
      <formula1>0</formula1>
    </dataValidation>
    <dataValidation type="decimal" operator="greaterThan" promptTitle="Numeric Input" prompt="Please enter numeric values or leave blank" showErrorMessage="1" errorTitle="Text Alert" error="Please do not enter text" sqref="E768:E770">
      <formula1>-1</formula1>
    </dataValidation>
    <dataValidation type="decimal" operator="greaterThan" promptTitle="Numeric Input" prompt="Please enter numeric values or leave blank" showErrorMessage="1" errorTitle="Text Alert" error="Please do not enter text" sqref="E772:E773">
      <formula1>-1</formula1>
    </dataValidation>
    <dataValidation type="decimal" operator="notEqual" allowBlank="1" showInputMessage="1" promptTitle="Numeric Input" prompt="Please insert numeric value or leave blank_x000a_" showErrorMessage="1" error="Please do not enter '0' or text" sqref="E774">
      <formula1>0</formula1>
    </dataValidation>
    <dataValidation type="decimal" operator="greaterThan" promptTitle="Numeric Input" prompt="Please enter numeric values or leave blank" showErrorMessage="1" errorTitle="Text Alert" error="Please do not enter text" sqref="E775">
      <formula1>-1</formula1>
    </dataValidation>
    <dataValidation type="decimal" operator="greaterThan" promptTitle="Numeric Input" prompt="Please enter numeric values or leave blank" showErrorMessage="1" errorTitle="Text Alert" error="Please do not enter text" sqref="E777:E778">
      <formula1>-1</formula1>
    </dataValidation>
    <dataValidation type="decimal" operator="notEqual" allowBlank="1" showInputMessage="1" promptTitle="Numeric Input" prompt="Please insert numeric value or leave blank_x000a_" showErrorMessage="1" error="Please do not enter '0' or text" sqref="E779">
      <formula1>0</formula1>
    </dataValidation>
    <dataValidation type="decimal" operator="greaterThan" allowBlank="1" showInputMessage="1" showErrorMessage="1" error="Please do not enter text" sqref="E78:E93">
      <formula1>-1</formula1>
    </dataValidation>
    <dataValidation type="decimal" operator="greaterThan" promptTitle="Numeric Input" prompt="Please enter numeric values or leave blank" showErrorMessage="1" errorTitle="Text Alert" error="Please do not enter text" sqref="E780">
      <formula1>-1</formula1>
    </dataValidation>
    <dataValidation type="list" allowBlank="1" showInputMessage="1" showErrorMessage="1" sqref="E787:J787">
      <formula1>"Yes,No"</formula1>
    </dataValidation>
    <dataValidation type="decimal" operator="greaterThan" promptTitle="Numeric Input" prompt="Please enter numeric values or leave blank" showErrorMessage="1" errorTitle="Text Alert" error="Please do not enter text" sqref="E788:E789">
      <formula1>-1</formula1>
    </dataValidation>
    <dataValidation type="decimal" operator="notEqual" allowBlank="1" showInputMessage="1" promptTitle="Numeric Input" prompt="Please insert numeric value or leave blank_x000a_" showErrorMessage="1" error="Please do not enter '0' or text" sqref="E790:E791">
      <formula1>0</formula1>
    </dataValidation>
    <dataValidation type="decimal" operator="greaterThan" promptTitle="Numeric Input" prompt="Please enter numeric values or leave blank" showErrorMessage="1" errorTitle="Text Alert" error="Please do not enter text" sqref="E792">
      <formula1>-1</formula1>
    </dataValidation>
    <dataValidation type="decimal" operator="greaterThan" promptTitle="Numeric Input" prompt="Please enter numeric values or leave blank" showErrorMessage="1" errorTitle="Text Alert" error="Please do not enter text" sqref="E794:E797">
      <formula1>-1</formula1>
    </dataValidation>
    <dataValidation type="decimal" operator="greaterThan" promptTitle="Numeric Input" prompt="Please enter numeric values or leave blank" showErrorMessage="1" errorTitle="Text Alert" error="Please do not enter text" sqref="E799:E802">
      <formula1>-1</formula1>
    </dataValidation>
    <dataValidation type="decimal" operator="greaterThan" promptTitle="Numeric Input" prompt="Please enter numeric values or leave blank" showErrorMessage="1" errorTitle="Text Alert" error="Please do not enter text" sqref="E804:E807">
      <formula1>-1</formula1>
    </dataValidation>
    <dataValidation type="decimal" operator="greaterThan" promptTitle="Numeric Input" prompt="Please enter numeric values or leave blank" showErrorMessage="1" errorTitle="Text Alert" error="Please do not enter text" sqref="E814">
      <formula1>-1</formula1>
    </dataValidation>
    <dataValidation type="list" allowBlank="1" showInputMessage="1" showErrorMessage="1" sqref="E822:I822">
      <formula1>"Yes,No"</formula1>
    </dataValidation>
    <dataValidation type="list" allowBlank="1" showInputMessage="1" showErrorMessage="1" sqref="E829:I829">
      <formula1>"Yes,No"</formula1>
    </dataValidation>
    <dataValidation type="decimal" operator="greaterThan" promptTitle="Numeric Input" prompt="Please enter numeric values or leave blank" showErrorMessage="1" errorTitle="Text Alert" error="Please do not enter text" sqref="E841:G842">
      <formula1>-1</formula1>
    </dataValidation>
    <dataValidation type="decimal" operator="notEqual" allowBlank="1" showInputMessage="1" promptTitle="Numeric Input" prompt="Please insert numeric value or leave blank_x000a_" showErrorMessage="1" error="Please do not enter '0' or text" sqref="E856:E861">
      <formula1>0</formula1>
    </dataValidation>
    <dataValidation type="decimal" operator="greaterThan" promptTitle="Numeric Input" prompt="Please enter numeric values or leave blank" showErrorMessage="1" errorTitle="Text Alert" error="Please do not enter text" sqref="E862:E865">
      <formula1>-1</formula1>
    </dataValidation>
    <dataValidation type="decimal" operator="notEqual" allowBlank="1" showInputMessage="1" promptTitle="Numeric Input" prompt="Please insert numeric value or leave blank_x000a_" showErrorMessage="1" error="Please do not enter '0' or text" sqref="E877:E882">
      <formula1>0</formula1>
    </dataValidation>
    <dataValidation type="decimal" operator="greaterThan" promptTitle="Numeric Input" prompt="Please enter numeric values or leave blank" showErrorMessage="1" errorTitle="Text Alert" error="Please do not enter text" sqref="E883:E886">
      <formula1>-1</formula1>
    </dataValidation>
    <dataValidation type="decimal" operator="notEqual" allowBlank="1" showInputMessage="1" promptTitle="Numeric Input" prompt="Please insert numeric value or leave blank_x000a_" showErrorMessage="1" error="Please do not enter '0' or text" sqref="E898:E903">
      <formula1>0</formula1>
    </dataValidation>
    <dataValidation type="decimal" operator="greaterThan" promptTitle="Numeric Input" prompt="Please enter numeric values or leave blank" showErrorMessage="1" errorTitle="Text Alert" error="Please do not enter text" sqref="E904:E907">
      <formula1>-1</formula1>
    </dataValidation>
    <dataValidation type="decimal" operator="notEqual" allowBlank="1" showInputMessage="1" promptTitle="Numeric Input" prompt="Please insert numeric value or leave blank_x000a_" showErrorMessage="1" error="Please do not enter '0' or text" sqref="E919:E924">
      <formula1>0</formula1>
    </dataValidation>
    <dataValidation type="decimal" operator="greaterThan" promptTitle="Numeric Input" prompt="Please enter numeric values or leave blank" showErrorMessage="1" errorTitle="Text Alert" error="Please do not enter text" sqref="E925:E928">
      <formula1>-1</formula1>
    </dataValidation>
    <dataValidation showInputMessage="1" promptTitle="Numeric Input" prompt="Please insert numeric value or leave blank_x000a_" showErrorMessage="1" sqref="E94"/>
    <dataValidation type="decimal" operator="notEqual" allowBlank="1" showInputMessage="1" promptTitle="Numeric Input" prompt="Please insert numeric value or leave blank_x000a_" showErrorMessage="1" error="Please do not enter '0' or text" sqref="E940:E945">
      <formula1>0</formula1>
    </dataValidation>
    <dataValidation type="decimal" operator="greaterThan" promptTitle="Numeric Input" prompt="Please enter numeric values or leave blank" showErrorMessage="1" errorTitle="Text Alert" error="Please do not enter text" sqref="E946:E949">
      <formula1>-1</formula1>
    </dataValidation>
    <dataValidation type="decimal" allowBlank="1" showInputMessage="1" promptTitle="Numeric Input" prompt="Please insert numeric value or leave blank_x000a_" showErrorMessage="1" sqref="E95">
      <formula1>1</formula1>
      <formula2>10000000</formula2>
    </dataValidation>
    <dataValidation type="decimal" operator="notEqual" allowBlank="1" showInputMessage="1" promptTitle="Numeric Input" prompt="Please insert numeric value or leave blank_x000a_" showErrorMessage="1" error="Please do not enter '0' or text" sqref="E961:E966">
      <formula1>0</formula1>
    </dataValidation>
    <dataValidation type="decimal" operator="greaterThan" promptTitle="Numeric Input" prompt="Please enter numeric values or leave blank" showErrorMessage="1" errorTitle="Text Alert" error="Please do not enter text" sqref="E967:E970">
      <formula1>-1</formula1>
    </dataValidation>
    <dataValidation type="decimal" operator="greaterThan" promptTitle="Numeric Input" prompt="Please enter numeric values or leave blank" showErrorMessage="1" errorTitle="Text Alert" error="Please do not enter text" sqref="E972:J973">
      <formula1>-1</formula1>
    </dataValidation>
    <dataValidation type="decimal" operator="greaterThan" allowBlank="1" showInputMessage="1" showErrorMessage="1" error="Please do not enter text" sqref="E98:E99">
      <formula1>-1</formula1>
    </dataValidation>
    <dataValidation type="decimal" operator="notEqual" allowBlank="1" showInputMessage="1" promptTitle="Numeric Input" prompt="Please insert numeric value or leave blank_x000a_" showErrorMessage="1" error="Please do not enter '0' or text" sqref="E985:E991">
      <formula1>0</formula1>
    </dataValidation>
    <dataValidation type="decimal" operator="greaterThan" promptTitle="Numeric Input" prompt="Please enter numeric values or leave blank" showErrorMessage="1" errorTitle="Text Alert" error="Please do not enter text" sqref="E992:E999">
      <formula1>-1</formula1>
    </dataValidation>
    <dataValidation type="decimal" operator="notEqual" allowBlank="1" showInputMessage="1" promptTitle="Numeric only" prompt="Please enter numeric value or leave blank" showErrorMessage="1" errorTitle="Numeric value only" error="Plesse do not enter &quot;0&quot; or text" sqref="F101:G108">
      <formula1>0</formula1>
    </dataValidation>
    <dataValidation type="decimal" operator="notEqual" allowBlank="1" showInputMessage="1" promptTitle="Numeric only" prompt="Please enter numeric value or leave blank" showErrorMessage="1" errorTitle="Numeric value only" error="Plesse do not enter &quot;0&quot; or text" sqref="F1026:G1027">
      <formula1>0</formula1>
    </dataValidation>
    <dataValidation type="decimal" operator="notEqual" allowBlank="1" showInputMessage="1" promptTitle="Numeric Input" prompt="Please insert numeric value or leave blank_x000a_" showErrorMessage="1" error="Please do not enter '0' or text" sqref="F1028:G1028">
      <formula1>0</formula1>
    </dataValidation>
    <dataValidation type="decimal" operator="notEqual" allowBlank="1" showInputMessage="1" promptTitle="Numeric only" prompt="Please enter numeric value or leave blank" showErrorMessage="1" errorTitle="Numeric value only" error="Plesse do not enter &quot;0&quot; or text" sqref="F1029:G1035">
      <formula1>0</formula1>
    </dataValidation>
    <dataValidation type="decimal" operator="greaterThan" promptTitle="Numeric Input" prompt="Please enter numeric values or leave blank" showErrorMessage="1" errorTitle="Text Alert" error="Please do not enter text" sqref="F1036:J1036">
      <formula1>-1</formula1>
    </dataValidation>
    <dataValidation type="decimal" operator="notEqual" allowBlank="1" showInputMessage="1" promptTitle="Numeric only" prompt="Please enter numeric value or leave blank" showErrorMessage="1" errorTitle="Numeric value only" error="Plesse do not enter &quot;0&quot; or text" sqref="F1049:G1050">
      <formula1>0</formula1>
    </dataValidation>
    <dataValidation type="decimal" operator="notEqual" allowBlank="1" showInputMessage="1" promptTitle="Numeric Input" prompt="Please insert numeric value or leave blank_x000a_" showErrorMessage="1" error="Please do not enter '0' or text" sqref="F1051:G1051">
      <formula1>0</formula1>
    </dataValidation>
    <dataValidation type="decimal" operator="notEqual" allowBlank="1" showInputMessage="1" promptTitle="Numeric only" prompt="Please enter numeric value or leave blank" showErrorMessage="1" errorTitle="Numeric value only" error="Plesse do not enter &quot;0&quot; or text" sqref="F1052:G1057">
      <formula1>0</formula1>
    </dataValidation>
    <dataValidation type="decimal" operator="greaterThan" promptTitle="Numeric Input" prompt="Please enter numeric values or leave blank" showErrorMessage="1" errorTitle="Text Alert" error="Please do not enter text" sqref="F1058:J1058">
      <formula1>-1</formula1>
    </dataValidation>
    <dataValidation type="decimal" operator="notEqual" allowBlank="1" showInputMessage="1" promptTitle="Numeric only" prompt="Please enter numeric value or leave blank" showErrorMessage="1" errorTitle="Numeric value only" error="Plesse do not enter &quot;0&quot; or text" sqref="F1071:G1072">
      <formula1>0</formula1>
    </dataValidation>
    <dataValidation type="decimal" operator="notEqual" allowBlank="1" showInputMessage="1" promptTitle="Numeric Input" prompt="Please insert numeric value or leave blank_x000a_" showErrorMessage="1" error="Please do not enter '0' or text" sqref="F1073:G1073">
      <formula1>0</formula1>
    </dataValidation>
    <dataValidation type="decimal" operator="notEqual" allowBlank="1" showInputMessage="1" promptTitle="Numeric only" prompt="Please enter numeric value or leave blank" showErrorMessage="1" errorTitle="Numeric value only" error="Plesse do not enter &quot;0&quot; or text" sqref="F1074:G1079">
      <formula1>0</formula1>
    </dataValidation>
    <dataValidation type="decimal" operator="greaterThan" promptTitle="Numeric Input" prompt="Please enter numeric values or leave blank" showErrorMessage="1" errorTitle="Text Alert" error="Please do not enter text" sqref="F1080:J1080">
      <formula1>-1</formula1>
    </dataValidation>
    <dataValidation type="decimal" operator="notEqual" allowBlank="1" showInputMessage="1" promptTitle="Numeric only" prompt="Please enter numeric value or leave blank" showErrorMessage="1" errorTitle="Numeric value only" error="Plesse do not enter &quot;0&quot; or text" sqref="F1093:G1094">
      <formula1>0</formula1>
    </dataValidation>
    <dataValidation type="decimal" operator="notEqual" allowBlank="1" showInputMessage="1" promptTitle="Numeric Input" prompt="Please insert numeric value or leave blank_x000a_" showErrorMessage="1" error="Please do not enter '0' or text" sqref="F1095:G1095">
      <formula1>0</formula1>
    </dataValidation>
    <dataValidation type="decimal" operator="notEqual" allowBlank="1" showInputMessage="1" promptTitle="Numeric only" prompt="Please enter numeric value or leave blank" showErrorMessage="1" errorTitle="Numeric value only" error="Plesse do not enter &quot;0&quot; or text" sqref="F1096:G1103">
      <formula1>0</formula1>
    </dataValidation>
    <dataValidation type="decimal" operator="greaterThan" promptTitle="Numeric Input" prompt="Please enter numeric values or leave blank" showErrorMessage="1" errorTitle="Text Alert" error="Please do not enter text" sqref="F1104:J1104">
      <formula1>-1</formula1>
    </dataValidation>
    <dataValidation type="decimal" operator="notEqual" allowBlank="1" showInputMessage="1" promptTitle="Numeric only" prompt="Please enter numeric value or leave blank" showErrorMessage="1" errorTitle="Numeric value only" error="Plesse do not enter &quot;0&quot; or text" sqref="F111:G114">
      <formula1>0</formula1>
    </dataValidation>
    <dataValidation type="decimal" operator="notEqual" allowBlank="1" showInputMessage="1" promptTitle="Numeric only" prompt="Please enter numeric value or leave blank" showErrorMessage="1" errorTitle="Numeric value only" error="Plesse do not enter &quot;0&quot; or text" sqref="F1117:G1118">
      <formula1>0</formula1>
    </dataValidation>
    <dataValidation type="decimal" operator="notEqual" allowBlank="1" showInputMessage="1" promptTitle="Numeric Input" prompt="Please insert numeric value or leave blank_x000a_" showErrorMessage="1" error="Please do not enter '0' or text" sqref="F1119:G1119">
      <formula1>0</formula1>
    </dataValidation>
    <dataValidation type="decimal" operator="notEqual" allowBlank="1" showInputMessage="1" promptTitle="Numeric only" prompt="Please enter numeric value or leave blank" showErrorMessage="1" errorTitle="Numeric value only" error="Plesse do not enter &quot;0&quot; or text" sqref="F1120:G1127">
      <formula1>0</formula1>
    </dataValidation>
    <dataValidation type="decimal" operator="greaterThan" promptTitle="Numeric Input" prompt="Please enter numeric values or leave blank" showErrorMessage="1" errorTitle="Text Alert" error="Please do not enter text" sqref="F1128:J1128">
      <formula1>-1</formula1>
    </dataValidation>
    <dataValidation type="decimal" operator="notEqual" allowBlank="1" showInputMessage="1" promptTitle="Numeric only" prompt="Please enter numeric value or leave blank" showErrorMessage="1" errorTitle="Numeric value only" error="Plesse do not enter &quot;0&quot; or text" sqref="F1141:G1142">
      <formula1>0</formula1>
    </dataValidation>
    <dataValidation type="decimal" operator="notEqual" allowBlank="1" showInputMessage="1" promptTitle="Numeric Input" prompt="Please insert numeric value or leave blank_x000a_" showErrorMessage="1" error="Please do not enter '0' or text" sqref="F1143:G1143">
      <formula1>0</formula1>
    </dataValidation>
    <dataValidation type="decimal" operator="notEqual" allowBlank="1" showInputMessage="1" promptTitle="Numeric only" prompt="Please enter numeric value or leave blank" showErrorMessage="1" errorTitle="Numeric value only" error="Plesse do not enter &quot;0&quot; or text" sqref="F1144:G1152">
      <formula1>0</formula1>
    </dataValidation>
    <dataValidation type="decimal" operator="notEqual" allowBlank="1" showInputMessage="1" promptTitle="Numeric only" prompt="Please enter numeric value or leave blank" showErrorMessage="1" errorTitle="Numeric value only" error="Plesse do not enter &quot;0&quot; or text" sqref="F117:G120">
      <formula1>0</formula1>
    </dataValidation>
    <dataValidation type="decimal" operator="notEqual" allowBlank="1" showInputMessage="1" promptTitle="Numeric only" prompt="Please enter numeric value or leave blank" showErrorMessage="1" errorTitle="Numeric value only" error="Plesse do not enter &quot;0&quot; or text" sqref="F1188:G1189">
      <formula1>0</formula1>
    </dataValidation>
    <dataValidation type="decimal" operator="notEqual" allowBlank="1" showInputMessage="1" promptTitle="Numeric Input" prompt="Please insert numeric value or leave blank_x000a_" showErrorMessage="1" error="Please do not enter '0' or text" sqref="F1190:G1190">
      <formula1>0</formula1>
    </dataValidation>
    <dataValidation type="decimal" operator="notEqual" allowBlank="1" showInputMessage="1" promptTitle="Numeric only" prompt="Please enter numeric value or leave blank" showErrorMessage="1" errorTitle="Numeric value only" error="Plesse do not enter &quot;0&quot; or text" sqref="F1191:G1195">
      <formula1>0</formula1>
    </dataValidation>
    <dataValidation type="decimal" operator="greaterThan" promptTitle="Numeric Input" prompt="Please enter numeric values or leave blank" showErrorMessage="1" errorTitle="Text Alert" error="Please do not enter text" sqref="F1196:J1196">
      <formula1>-1</formula1>
    </dataValidation>
    <dataValidation type="decimal" operator="notEqual" allowBlank="1" showInputMessage="1" promptTitle="Numeric only" prompt="Please enter numeric value or leave blank" showErrorMessage="1" errorTitle="Numeric value only" error="Plesse do not enter &quot;0&quot; or text" sqref="F1204:G1205">
      <formula1>0</formula1>
    </dataValidation>
    <dataValidation type="decimal" operator="notEqual" allowBlank="1" showInputMessage="1" promptTitle="Numeric Input" prompt="Please insert numeric value or leave blank_x000a_" showErrorMessage="1" error="Please do not enter '0' or text" sqref="F1206:G1207">
      <formula1>0</formula1>
    </dataValidation>
    <dataValidation type="decimal" operator="notEqual" allowBlank="1" showInputMessage="1" promptTitle="Numeric only" prompt="Please enter numeric value or leave blank" showErrorMessage="1" errorTitle="Numeric value only" error="Plesse do not enter &quot;0&quot; or text" sqref="F1208:G1210">
      <formula1>0</formula1>
    </dataValidation>
    <dataValidation type="decimal" operator="greaterThan" promptTitle="Numeric Input" prompt="Please enter numeric values or leave blank" showErrorMessage="1" errorTitle="Text Alert" error="Please do not enter text" sqref="F1211:J1211">
      <formula1>-1</formula1>
    </dataValidation>
    <dataValidation type="decimal" operator="notEqual" allowBlank="1" showInputMessage="1" promptTitle="Numeric only" prompt="Please enter numeric value or leave blank" showErrorMessage="1" errorTitle="Numeric value only" error="Plesse do not enter &quot;0&quot; or text" sqref="F1226:G1230">
      <formula1>0</formula1>
    </dataValidation>
    <dataValidation type="decimal" operator="notEqual" allowBlank="1" showInputMessage="1" promptTitle="Numeric only" prompt="Please enter numeric value or leave blank" showErrorMessage="1" errorTitle="Numeric value only" error="Plesse do not enter &quot;0&quot; or text" sqref="F123:G126">
      <formula1>0</formula1>
    </dataValidation>
    <dataValidation type="decimal" operator="greaterThan" showInputMessage="1" showErrorMessage="1" sqref="F1231:J1231">
      <formula1>-1</formula1>
    </dataValidation>
    <dataValidation type="decimal" operator="notEqual" allowBlank="1" showInputMessage="1" promptTitle="Numeric only" prompt="Please enter numeric value or leave blank" showErrorMessage="1" errorTitle="Numeric value only" error="Plesse do not enter &quot;0&quot; or text" sqref="F1246:G1250">
      <formula1>0</formula1>
    </dataValidation>
    <dataValidation type="decimal" operator="greaterThan" showInputMessage="1" showErrorMessage="1" sqref="F1251:J1251">
      <formula1>-1</formula1>
    </dataValidation>
    <dataValidation type="decimal" operator="notEqual" allowBlank="1" showInputMessage="1" promptTitle="Numeric only" prompt="Please enter numeric value or leave blank" showErrorMessage="1" errorTitle="Numeric value only" error="Plesse do not enter &quot;0&quot; or text" sqref="F1254:G1258">
      <formula1>0</formula1>
    </dataValidation>
    <dataValidation type="decimal" operator="greaterThan" showInputMessage="1" showErrorMessage="1" sqref="F1259:J1259">
      <formula1>-1</formula1>
    </dataValidation>
    <dataValidation type="decimal" operator="notEqual" allowBlank="1" showInputMessage="1" promptTitle="Numeric only" prompt="Please enter numeric value or leave blank" showErrorMessage="1" errorTitle="Numeric value only" error="Plesse do not enter &quot;0&quot; or text" sqref="F1270:G1274">
      <formula1>0</formula1>
    </dataValidation>
    <dataValidation type="decimal" operator="notEqual" allowBlank="1" showInputMessage="1" promptTitle="Numeric only" prompt="Please enter numeric value or leave blank" showErrorMessage="1" errorTitle="Numeric value only" error="Plesse do not enter &quot;0&quot; or text" sqref="F1280:G1284">
      <formula1>0</formula1>
    </dataValidation>
    <dataValidation type="decimal" operator="notEqual" allowBlank="1" showInputMessage="1" promptTitle="Numeric only" prompt="Please enter numeric value or leave blank" showErrorMessage="1" errorTitle="Numeric value only" error="Plesse do not enter &quot;0&quot; or text" sqref="F129:G132">
      <formula1>0</formula1>
    </dataValidation>
    <dataValidation type="decimal" operator="notEqual" allowBlank="1" showInputMessage="1" promptTitle="Numeric only" prompt="Please enter numeric value or leave blank" showErrorMessage="1" errorTitle="Numeric value only" error="Plesse do not enter &quot;0&quot; or text" sqref="F1292:G1296">
      <formula1>0</formula1>
    </dataValidation>
    <dataValidation type="decimal" operator="notEqual" allowBlank="1" showInputMessage="1" promptTitle="Numeric Input" prompt="Please insert numeric value or leave blank_x000a_" showErrorMessage="1" error="Please do not enter '0' or text" sqref="F1298:I1298">
      <formula1>0</formula1>
    </dataValidation>
    <dataValidation type="decimal" operator="notEqual" allowBlank="1" showInputMessage="1" promptTitle="Numeric only" prompt="Please enter numeric value or leave blank" showErrorMessage="1" errorTitle="Numeric value only" error="Plesse do not enter &quot;0&quot; or text" sqref="F1321:G1325">
      <formula1>0</formula1>
    </dataValidation>
    <dataValidation type="decimal" operator="notEqual" allowBlank="1" showInputMessage="1" promptTitle="Numeric only" prompt="Please enter numeric value or leave blank" showErrorMessage="1" errorTitle="Numeric value only" error="Plesse do not enter &quot;0&quot; or text" sqref="F1327:G1327">
      <formula1>0</formula1>
    </dataValidation>
    <dataValidation type="decimal" operator="notEqual" allowBlank="1" showInputMessage="1" promptTitle="Numeric only" prompt="Please enter numeric value or leave blank" showErrorMessage="1" errorTitle="Numeric value only" error="Plesse do not enter &quot;0&quot; or text" sqref="F1329:G1339">
      <formula1>0</formula1>
    </dataValidation>
    <dataValidation type="decimal" operator="notEqual" allowBlank="1" showInputMessage="1" promptTitle="Numeric only" prompt="Please enter numeric value or leave blank" showErrorMessage="1" errorTitle="Numeric value only" error="Plesse do not enter &quot;0&quot; or text" sqref="F135:G138">
      <formula1>0</formula1>
    </dataValidation>
    <dataValidation type="decimal" operator="notEqual" allowBlank="1" showInputMessage="1" promptTitle="Numeric only" prompt="Please enter numeric value or leave blank" showErrorMessage="1" errorTitle="Numeric value only" error="Plesse do not enter &quot;0&quot; or text" sqref="F1382:G1382">
      <formula1>0</formula1>
    </dataValidation>
    <dataValidation type="decimal" operator="notEqual" allowBlank="1" showInputMessage="1" promptTitle="Numeric only" prompt="Please enter numeric value or leave blank" showErrorMessage="1" errorTitle="Numeric value only" error="Plesse do not enter &quot;0&quot; or text" sqref="F1385:G1391">
      <formula1>0</formula1>
    </dataValidation>
    <dataValidation type="decimal" operator="notEqual" allowBlank="1" showInputMessage="1" promptTitle="Numeric only" prompt="Please enter numeric value or leave blank" showErrorMessage="1" errorTitle="Numeric value only" error="Plesse do not enter &quot;0&quot; or text" sqref="F141:G144">
      <formula1>0</formula1>
    </dataValidation>
    <dataValidation type="decimal" operator="notEqual" allowBlank="1" showInputMessage="1" promptTitle="Numeric only" prompt="Please enter numeric value or leave blank" showErrorMessage="1" errorTitle="Numeric value only" error="Plesse do not enter &quot;0&quot; or text" sqref="F1415:G1416">
      <formula1>0</formula1>
    </dataValidation>
    <dataValidation type="decimal" operator="notEqual" allowBlank="1" showInputMessage="1" promptTitle="Numeric only" prompt="Please enter numeric value or leave blank" showErrorMessage="1" errorTitle="Numeric value only" error="Plesse do not enter &quot;0&quot; or text" sqref="F1420:G1422">
      <formula1>0</formula1>
    </dataValidation>
    <dataValidation type="decimal" operator="notEqual" allowBlank="1" showInputMessage="1" promptTitle="Numeric only" prompt="Please enter numeric value or leave blank" showErrorMessage="1" errorTitle="Numeric value only" error="Plesse do not enter &quot;0&quot; or text" sqref="F1425:G1427">
      <formula1>0</formula1>
    </dataValidation>
    <dataValidation type="decimal" operator="notEqual" allowBlank="1" showInputMessage="1" promptTitle="Numeric only" prompt="Please enter numeric value or leave blank" showErrorMessage="1" errorTitle="Numeric value only" error="Plesse do not enter &quot;0&quot; or text" sqref="F1429:G1430">
      <formula1>0</formula1>
    </dataValidation>
    <dataValidation type="decimal" operator="notEqual" allowBlank="1" showInputMessage="1" promptTitle="Numeric only" prompt="Please enter numeric value or leave blank" showErrorMessage="1" errorTitle="Numeric value only" error="Plesse do not enter &quot;0&quot; or text" sqref="F1433:G1436">
      <formula1>0</formula1>
    </dataValidation>
    <dataValidation type="decimal" operator="notEqual" allowBlank="1" showInputMessage="1" promptTitle="Numeric only" prompt="Please enter numeric value or leave blank" showErrorMessage="1" errorTitle="Numeric value only" error="Plesse do not enter &quot;0&quot; or text" sqref="F1442:G1443">
      <formula1>0</formula1>
    </dataValidation>
    <dataValidation type="decimal" operator="notEqual" allowBlank="1" showInputMessage="1" promptTitle="Numeric only" prompt="Please enter numeric value or leave blank" showErrorMessage="1" errorTitle="Numeric value only" error="Plesse do not enter &quot;0&quot; or text" sqref="F1451:G1452">
      <formula1>0</formula1>
    </dataValidation>
    <dataValidation type="decimal" operator="notEqual" allowBlank="1" showInputMessage="1" promptTitle="Numeric only" prompt="Please enter numeric value or leave blank" showErrorMessage="1" errorTitle="Numeric value only" error="Plesse do not enter &quot;0&quot; or text" sqref="F1455:G1458">
      <formula1>0</formula1>
    </dataValidation>
    <dataValidation type="decimal" operator="notEqual" allowBlank="1" showInputMessage="1" promptTitle="Numeric only" prompt="Please enter numeric value or leave blank" showErrorMessage="1" errorTitle="Numeric value only" error="Plesse do not enter &quot;0&quot; or text" sqref="F1461:G1464">
      <formula1>0</formula1>
    </dataValidation>
    <dataValidation type="decimal" operator="notEqual" allowBlank="1" showInputMessage="1" promptTitle="Numeric only" prompt="Please enter numeric value or leave blank" showErrorMessage="1" errorTitle="Numeric value only" error="Plesse do not enter &quot;0&quot; or text" sqref="F147:G150">
      <formula1>0</formula1>
    </dataValidation>
    <dataValidation type="decimal" operator="notEqual" allowBlank="1" showInputMessage="1" promptTitle="Numeric only" prompt="Please enter numeric value or leave blank" showErrorMessage="1" errorTitle="Numeric value only" error="Plesse do not enter &quot;0&quot; or text" sqref="F153:G156">
      <formula1>0</formula1>
    </dataValidation>
    <dataValidation type="decimal" operator="notEqual" allowBlank="1" showInputMessage="1" promptTitle="Numeric only" prompt="Please enter numeric value or leave blank" showErrorMessage="1" errorTitle="Numeric value only" error="Plesse do not enter &quot;0&quot; or text" sqref="F159:G162">
      <formula1>0</formula1>
    </dataValidation>
    <dataValidation type="decimal" operator="notEqual" allowBlank="1" showInputMessage="1" promptTitle="Numeric only" prompt="Please enter numeric value or leave blank" showErrorMessage="1" errorTitle="Numeric value only" error="Plesse do not enter &quot;0&quot; or text" sqref="F166:G169">
      <formula1>0</formula1>
    </dataValidation>
    <dataValidation type="decimal" operator="notEqual" allowBlank="1" showInputMessage="1" promptTitle="Numeric only" prompt="Please enter numeric value or leave blank" showErrorMessage="1" errorTitle="Numeric value only" error="Plesse do not enter &quot;0&quot; or text" sqref="F172:G183">
      <formula1>0</formula1>
    </dataValidation>
    <dataValidation type="decimal" operator="notEqual" allowBlank="1" showInputMessage="1" promptTitle="Numeric only" prompt="Please enter numeric value or leave blank" showErrorMessage="1" errorTitle="Numeric value only" error="Plesse do not enter &quot;0&quot; or text" sqref="F187:G191">
      <formula1>0</formula1>
    </dataValidation>
    <dataValidation type="decimal" operator="notEqual" allowBlank="1" showInputMessage="1" promptTitle="Numeric only" prompt="Please enter numeric value or leave blank" showErrorMessage="1" errorTitle="Numeric value only" error="Plesse do not enter &quot;0&quot; or text" sqref="F195:G196">
      <formula1>0</formula1>
    </dataValidation>
    <dataValidation type="decimal" operator="notEqual" allowBlank="1" showInputMessage="1" promptTitle="Numeric only" prompt="Please enter numeric value or leave blank" showErrorMessage="1" errorTitle="Numeric value only" error="Plesse do not enter &quot;0&quot; or text" sqref="F198:G210">
      <formula1>0</formula1>
    </dataValidation>
    <dataValidation type="decimal" operator="notEqual" allowBlank="1" showInputMessage="1" promptTitle="Numeric only" prompt="Please enter numeric value or leave blank" showErrorMessage="1" errorTitle="Numeric value only" error="Plesse do not enter &quot;0&quot; or text" sqref="F212:G213">
      <formula1>0</formula1>
    </dataValidation>
    <dataValidation type="decimal" operator="notEqual" allowBlank="1" showInputMessage="1" promptTitle="Numeric only" prompt="Please enter numeric value or leave blank" showErrorMessage="1" errorTitle="Numeric value only" error="Plesse do not enter &quot;0&quot; or text" sqref="F215:G227">
      <formula1>0</formula1>
    </dataValidation>
    <dataValidation type="decimal" operator="notEqual" allowBlank="1" showInputMessage="1" promptTitle="Numeric only" prompt="Please enter numeric value or leave blank" showErrorMessage="1" errorTitle="Numeric value only" error="Plesse do not enter &quot;0&quot; or text" sqref="F229:G230">
      <formula1>0</formula1>
    </dataValidation>
    <dataValidation type="decimal" operator="notEqual" allowBlank="1" showInputMessage="1" promptTitle="Numeric only" prompt="Please enter numeric value or leave blank" showErrorMessage="1" errorTitle="Numeric value only" error="Plesse do not enter &quot;0&quot; or text" sqref="F232:G244">
      <formula1>0</formula1>
    </dataValidation>
    <dataValidation type="decimal" operator="notEqual" allowBlank="1" showInputMessage="1" promptTitle="Numeric only" prompt="Please enter numeric value or leave blank" showErrorMessage="1" errorTitle="Numeric value only" error="Plesse do not enter &quot;0&quot; or text" sqref="F246:G247">
      <formula1>0</formula1>
    </dataValidation>
    <dataValidation type="decimal" operator="notEqual" allowBlank="1" showInputMessage="1" promptTitle="Numeric only" prompt="Please enter numeric value or leave blank" showErrorMessage="1" errorTitle="Numeric value only" error="Plesse do not enter &quot;0&quot; or text" sqref="F249:G261">
      <formula1>0</formula1>
    </dataValidation>
    <dataValidation type="decimal" operator="notEqual" allowBlank="1" showInputMessage="1" promptTitle="Numeric only" prompt="Please enter numeric value or leave blank" showErrorMessage="1" errorTitle="Numeric value only" error="Plesse do not enter &quot;0&quot; or text" sqref="F263:G264">
      <formula1>0</formula1>
    </dataValidation>
    <dataValidation type="decimal" operator="notEqual" allowBlank="1" showInputMessage="1" promptTitle="Numeric only" prompt="Please enter numeric value or leave blank" showErrorMessage="1" errorTitle="Numeric value only" error="Plesse do not enter &quot;0&quot; or text" sqref="F266:G278">
      <formula1>0</formula1>
    </dataValidation>
    <dataValidation type="decimal" operator="notEqual" allowBlank="1" showInputMessage="1" promptTitle="Numeric only" prompt="Please enter numeric value or leave blank" showErrorMessage="1" errorTitle="Numeric value only" error="Plesse do not enter &quot;0&quot; or text" sqref="F280:G281">
      <formula1>0</formula1>
    </dataValidation>
    <dataValidation type="decimal" operator="notEqual" allowBlank="1" showInputMessage="1" promptTitle="Numeric only" prompt="Please enter numeric value or leave blank" showErrorMessage="1" errorTitle="Numeric value only" error="Plesse do not enter &quot;0&quot; or text" sqref="F283:G295">
      <formula1>0</formula1>
    </dataValidation>
    <dataValidation type="decimal" operator="notEqual" allowBlank="1" showInputMessage="1" promptTitle="Numeric only" prompt="Please enter numeric value or leave blank" showErrorMessage="1" errorTitle="Numeric value only" error="Plesse do not enter &quot;0&quot; or text" sqref="F297:G298">
      <formula1>0</formula1>
    </dataValidation>
    <dataValidation type="decimal" operator="notEqual" allowBlank="1" showInputMessage="1" promptTitle="Numeric only" prompt="Please enter numeric value or leave blank" showErrorMessage="1" errorTitle="Numeric value only" error="Plesse do not enter &quot;0&quot; or text" sqref="F300:G312">
      <formula1>0</formula1>
    </dataValidation>
    <dataValidation type="decimal" operator="notEqual" allowBlank="1" showInputMessage="1" promptTitle="Numeric only" prompt="Please enter numeric value or leave blank" showErrorMessage="1" errorTitle="Numeric value only" error="Plesse do not enter &quot;0&quot; or text" sqref="F314:G315">
      <formula1>0</formula1>
    </dataValidation>
    <dataValidation type="decimal" operator="notEqual" allowBlank="1" showInputMessage="1" promptTitle="Numeric only" prompt="Please enter numeric value or leave blank" showErrorMessage="1" errorTitle="Numeric value only" error="Plesse do not enter &quot;0&quot; or text" sqref="F317:G329">
      <formula1>0</formula1>
    </dataValidation>
    <dataValidation type="decimal" operator="notEqual" allowBlank="1" showInputMessage="1" promptTitle="Numeric only" prompt="Please enter numeric value or leave blank" showErrorMessage="1" errorTitle="Numeric value only" error="Plesse do not enter &quot;0&quot; or text" sqref="F331:G332">
      <formula1>0</formula1>
    </dataValidation>
    <dataValidation type="decimal" operator="notEqual" allowBlank="1" showInputMessage="1" promptTitle="Numeric only" prompt="Please enter numeric value or leave blank" showErrorMessage="1" errorTitle="Numeric value only" error="Plesse do not enter &quot;0&quot; or text" sqref="F334:G346">
      <formula1>0</formula1>
    </dataValidation>
    <dataValidation type="decimal" operator="notEqual" allowBlank="1" showInputMessage="1" promptTitle="Numeric only" prompt="Please enter numeric value or leave blank" showErrorMessage="1" errorTitle="Numeric value only" error="Plesse do not enter &quot;0&quot; or text" sqref="F348:G349">
      <formula1>0</formula1>
    </dataValidation>
    <dataValidation type="decimal" operator="notEqual" allowBlank="1" showInputMessage="1" promptTitle="Numeric only" prompt="Please enter numeric value or leave blank" showErrorMessage="1" errorTitle="Numeric value only" error="Plesse do not enter &quot;0&quot; or text" sqref="F351:G363">
      <formula1>0</formula1>
    </dataValidation>
    <dataValidation type="decimal" operator="notEqual" allowBlank="1" showInputMessage="1" promptTitle="Numeric only" prompt="Please enter numeric value or leave blank" showErrorMessage="1" errorTitle="Numeric value only" error="Plesse do not enter &quot;0&quot; or text" sqref="F365:G366">
      <formula1>0</formula1>
    </dataValidation>
    <dataValidation type="decimal" operator="notEqual" allowBlank="1" showInputMessage="1" promptTitle="Numeric only" prompt="Please enter numeric value or leave blank" showErrorMessage="1" errorTitle="Numeric value only" error="Plesse do not enter &quot;0&quot; or text" sqref="F368:G380">
      <formula1>0</formula1>
    </dataValidation>
    <dataValidation type="decimal" operator="notEqual" allowBlank="1" showInputMessage="1" promptTitle="Numeric only" prompt="Please enter numeric value or leave blank" showErrorMessage="1" errorTitle="Numeric value only" error="Plesse do not enter &quot;0&quot; or text" sqref="F386:G391">
      <formula1>0</formula1>
    </dataValidation>
    <dataValidation type="decimal" operator="notEqual" allowBlank="1" showInputMessage="1" promptTitle="Numeric only" prompt="Please enter numeric value or leave blank" showErrorMessage="1" errorTitle="Numeric value only" error="Plesse do not enter &quot;0&quot; or text" sqref="F395:G398">
      <formula1>0</formula1>
    </dataValidation>
    <dataValidation type="decimal" operator="notEqual" allowBlank="1" showInputMessage="1" promptTitle="Numeric only" prompt="Please enter numeric value or leave blank" showErrorMessage="1" errorTitle="Numeric value only" error="Plesse do not enter &quot;0&quot; or text" sqref="F401:G404">
      <formula1>0</formula1>
    </dataValidation>
    <dataValidation type="decimal" operator="notEqual" allowBlank="1" showInputMessage="1" promptTitle="Numeric only" prompt="Please enter numeric value or leave blank" showErrorMessage="1" errorTitle="Numeric value only" error="Plesse do not enter &quot;0&quot; or text" sqref="F407:G410">
      <formula1>0</formula1>
    </dataValidation>
    <dataValidation type="decimal" operator="notEqual" allowBlank="1" showInputMessage="1" promptTitle="Numeric only" prompt="Please enter numeric value or leave blank" showErrorMessage="1" errorTitle="Numeric value only" error="Plesse do not enter &quot;0&quot; or text" sqref="F413:G416">
      <formula1>0</formula1>
    </dataValidation>
    <dataValidation type="decimal" operator="notEqual" allowBlank="1" showInputMessage="1" promptTitle="Numeric only" prompt="Please enter numeric value or leave blank" showErrorMessage="1" errorTitle="Numeric value only" error="Plesse do not enter &quot;0&quot; or text" sqref="F419:G422">
      <formula1>0</formula1>
    </dataValidation>
    <dataValidation type="decimal" operator="notEqual" allowBlank="1" showInputMessage="1" promptTitle="Numeric only" prompt="Please enter numeric value or leave blank" showErrorMessage="1" errorTitle="Numeric value only" error="Plesse do not enter &quot;0&quot; or text" sqref="F425:G428">
      <formula1>0</formula1>
    </dataValidation>
    <dataValidation type="decimal" operator="notEqual" allowBlank="1" showInputMessage="1" promptTitle="Numeric only" prompt="Please enter numeric value or leave blank" showErrorMessage="1" errorTitle="Numeric value only" error="Plesse do not enter &quot;0&quot; or text" sqref="F43:G47">
      <formula1>0</formula1>
    </dataValidation>
    <dataValidation type="decimal" operator="notEqual" allowBlank="1" showInputMessage="1" promptTitle="Numeric only" prompt="Please enter numeric value or leave blank" showErrorMessage="1" errorTitle="Numeric value only" error="Plesse do not enter &quot;0&quot; or text" sqref="F432:G435">
      <formula1>0</formula1>
    </dataValidation>
    <dataValidation type="decimal" operator="notEqual" allowBlank="1" showInputMessage="1" promptTitle="Numeric only" prompt="Please enter numeric value or leave blank" showErrorMessage="1" errorTitle="Numeric value only" error="Plesse do not enter &quot;0&quot; or text" sqref="F438:G441">
      <formula1>0</formula1>
    </dataValidation>
    <dataValidation type="decimal" operator="notEqual" allowBlank="1" showInputMessage="1" promptTitle="Numeric only" prompt="Please enter numeric value or leave blank" showErrorMessage="1" errorTitle="Numeric value only" error="Plesse do not enter &quot;0&quot; or text" sqref="F447:G463">
      <formula1>0</formula1>
    </dataValidation>
    <dataValidation type="decimal" operator="notEqual" allowBlank="1" showInputMessage="1" promptTitle="Numeric only" prompt="Please enter numeric value or leave blank" showErrorMessage="1" errorTitle="Numeric value only" error="Plesse do not enter &quot;0&quot; or text" sqref="F470:G486">
      <formula1>0</formula1>
    </dataValidation>
    <dataValidation type="decimal" operator="notEqual" allowBlank="1" showInputMessage="1" promptTitle="Numeric only" prompt="Please enter numeric value or leave blank" showErrorMessage="1" errorTitle="Numeric value only" error="Plesse do not enter &quot;0&quot; or text" sqref="F493:G509">
      <formula1>0</formula1>
    </dataValidation>
    <dataValidation type="decimal" operator="notEqual" allowBlank="1" showInputMessage="1" promptTitle="Numeric only" prompt="Please enter numeric value or leave blank" showErrorMessage="1" errorTitle="Numeric value only" error="Plesse do not enter &quot;0&quot; or text" sqref="F516:G532">
      <formula1>0</formula1>
    </dataValidation>
    <dataValidation type="decimal" operator="notEqual" allowBlank="1" showInputMessage="1" promptTitle="Numeric only" prompt="Please enter numeric value or leave blank" showErrorMessage="1" errorTitle="Numeric value only" error="Plesse do not enter &quot;0&quot; or text" sqref="F52:G57">
      <formula1>0</formula1>
    </dataValidation>
    <dataValidation type="decimal" operator="notEqual" allowBlank="1" showInputMessage="1" promptTitle="Numeric only" prompt="Please enter numeric value or leave blank" showErrorMessage="1" errorTitle="Numeric value only" error="Plesse do not enter &quot;0&quot; or text" sqref="F539:G555">
      <formula1>0</formula1>
    </dataValidation>
    <dataValidation type="decimal" operator="notEqual" allowBlank="1" showInputMessage="1" promptTitle="Numeric only" prompt="Please enter numeric value or leave blank" showErrorMessage="1" errorTitle="Numeric value only" error="Plesse do not enter &quot;0&quot; or text" sqref="F569:G585">
      <formula1>0</formula1>
    </dataValidation>
    <dataValidation type="decimal" operator="notEqual" allowBlank="1" showInputMessage="1" promptTitle="Numeric only" prompt="Please enter numeric value or leave blank" showErrorMessage="1" errorTitle="Numeric value only" error="Plesse do not enter &quot;0&quot; or text" sqref="F592:G608">
      <formula1>0</formula1>
    </dataValidation>
    <dataValidation type="decimal" operator="notEqual" allowBlank="1" showInputMessage="1" promptTitle="Numeric only" prompt="Please enter numeric value or leave blank" showErrorMessage="1" errorTitle="Numeric value only" error="Plesse do not enter &quot;0&quot; or text" sqref="F615:G631">
      <formula1>0</formula1>
    </dataValidation>
    <dataValidation type="decimal" operator="notEqual" allowBlank="1" showInputMessage="1" promptTitle="Numeric only" prompt="Please enter numeric value or leave blank" showErrorMessage="1" errorTitle="Numeric value only" error="Plesse do not enter &quot;0&quot; or text" sqref="F638:G654">
      <formula1>0</formula1>
    </dataValidation>
    <dataValidation type="decimal" operator="notEqual" allowBlank="1" showInputMessage="1" promptTitle="Numeric only" prompt="Please enter numeric value or leave blank" showErrorMessage="1" errorTitle="Numeric value only" error="Plesse do not enter &quot;0&quot; or text" sqref="F64:G70">
      <formula1>0</formula1>
    </dataValidation>
    <dataValidation type="decimal" operator="notEqual" allowBlank="1" showInputMessage="1" promptTitle="Numeric only" prompt="Please enter numeric value or leave blank" showErrorMessage="1" errorTitle="Numeric value only" error="Plesse do not enter &quot;0&quot; or text" sqref="F661:G677">
      <formula1>0</formula1>
    </dataValidation>
    <dataValidation type="decimal" operator="notEqual" allowBlank="1" showInputMessage="1" promptTitle="Numeric only" prompt="Please enter numeric value or leave blank" showErrorMessage="1" errorTitle="Numeric value only" error="Plesse do not enter &quot;0&quot; or text" sqref="F693:G711">
      <formula1>0</formula1>
    </dataValidation>
    <dataValidation type="decimal" operator="greaterThan" promptTitle="Numeric Input" prompt="Please enter numeric values or leave blank" showErrorMessage="1" errorTitle="Text Alert" error="Please do not enter text" sqref="F712:F715">
      <formula1>-1</formula1>
    </dataValidation>
    <dataValidation type="decimal" operator="notEqual" allowBlank="1" showInputMessage="1" promptTitle="Numeric only" prompt="Please enter numeric value or leave blank" showErrorMessage="1" errorTitle="Numeric value only" error="Plesse do not enter &quot;0&quot; or text" sqref="F728:G734">
      <formula1>0</formula1>
    </dataValidation>
    <dataValidation type="decimal" operator="notEqual" allowBlank="1" showInputMessage="1" promptTitle="Numeric only" prompt="Please enter numeric value or leave blank" showErrorMessage="1" errorTitle="Numeric value only" error="Plesse do not enter &quot;0&quot; or text" sqref="F74:G95">
      <formula1>0</formula1>
    </dataValidation>
    <dataValidation type="decimal" operator="notEqual" allowBlank="1" showInputMessage="1" promptTitle="Numeric only" prompt="Please enter numeric value or leave blank" showErrorMessage="1" errorTitle="Numeric value only" error="Plesse do not enter &quot;0&quot; or text" sqref="F747:G752">
      <formula1>0</formula1>
    </dataValidation>
    <dataValidation type="decimal" operator="notEqual" allowBlank="1" showInputMessage="1" promptTitle="Numeric only" prompt="Please enter numeric value or leave blank" showErrorMessage="1" errorTitle="Numeric value only" error="Plesse do not enter &quot;0&quot; or text" sqref="F755:G757">
      <formula1>0</formula1>
    </dataValidation>
    <dataValidation type="decimal" operator="notEqual" allowBlank="1" showInputMessage="1" promptTitle="Numeric only" prompt="Please enter numeric value or leave blank" showErrorMessage="1" errorTitle="Numeric value only" error="Plesse do not enter &quot;0&quot; or text" sqref="F761:G765">
      <formula1>0</formula1>
    </dataValidation>
    <dataValidation type="decimal" operator="notEqual" allowBlank="1" showInputMessage="1" promptTitle="Numeric only" prompt="Please enter numeric value or leave blank" showErrorMessage="1" errorTitle="Numeric value only" error="Plesse do not enter &quot;0&quot; or text" sqref="F767:G770">
      <formula1>0</formula1>
    </dataValidation>
    <dataValidation type="decimal" operator="notEqual" allowBlank="1" showInputMessage="1" promptTitle="Numeric only" prompt="Please enter numeric value or leave blank" showErrorMessage="1" errorTitle="Numeric value only" error="Plesse do not enter &quot;0&quot; or text" sqref="F772:G775">
      <formula1>0</formula1>
    </dataValidation>
    <dataValidation type="decimal" operator="notEqual" allowBlank="1" showInputMessage="1" promptTitle="Numeric only" prompt="Please enter numeric value or leave blank" showErrorMessage="1" errorTitle="Numeric value only" error="Plesse do not enter &quot;0&quot; or text" sqref="F777:G780">
      <formula1>0</formula1>
    </dataValidation>
    <dataValidation type="decimal" operator="notEqual" allowBlank="1" showInputMessage="1" promptTitle="Numeric only" prompt="Please enter numeric value or leave blank" showErrorMessage="1" errorTitle="Numeric value only" error="Plesse do not enter &quot;0&quot; or text" sqref="F788:G792">
      <formula1>0</formula1>
    </dataValidation>
    <dataValidation type="decimal" operator="notEqual" allowBlank="1" showInputMessage="1" promptTitle="Numeric only" prompt="Please enter numeric value or leave blank" showErrorMessage="1" errorTitle="Numeric value only" error="Plesse do not enter &quot;0&quot; or text" sqref="F794:G797">
      <formula1>0</formula1>
    </dataValidation>
    <dataValidation type="decimal" operator="notEqual" allowBlank="1" showInputMessage="1" promptTitle="Numeric only" prompt="Please enter numeric value or leave blank" showErrorMessage="1" errorTitle="Numeric value only" error="Plesse do not enter &quot;0&quot; or text" sqref="F799:G802">
      <formula1>0</formula1>
    </dataValidation>
    <dataValidation type="decimal" operator="notEqual" allowBlank="1" showInputMessage="1" promptTitle="Numeric only" prompt="Please enter numeric value or leave blank" showErrorMessage="1" errorTitle="Numeric value only" error="Plesse do not enter &quot;0&quot; or text" sqref="F804:G807">
      <formula1>0</formula1>
    </dataValidation>
    <dataValidation type="decimal" operator="notEqual" allowBlank="1" showInputMessage="1" promptTitle="Numeric only" prompt="Please enter numeric value or leave blank" showErrorMessage="1" errorTitle="Numeric value only" error="Plesse do not enter &quot;0&quot; or text" sqref="F823:G827">
      <formula1>0</formula1>
    </dataValidation>
    <dataValidation type="decimal" operator="notEqual" allowBlank="1" showInputMessage="1" promptTitle="Numeric only" prompt="Please enter numeric value or leave blank" showErrorMessage="1" errorTitle="Numeric value only" error="Plesse do not enter &quot;0&quot; or text" sqref="F830:G834">
      <formula1>0</formula1>
    </dataValidation>
    <dataValidation type="decimal" operator="notEqual" allowBlank="1" showInputMessage="1" promptTitle="Numeric only" prompt="Please enter numeric value or leave blank" showErrorMessage="1" errorTitle="Numeric value only" error="Plesse do not enter &quot;0&quot; or text" sqref="F856:G860">
      <formula1>0</formula1>
    </dataValidation>
    <dataValidation type="decimal" operator="notEqual" allowBlank="1" showInputMessage="1" promptTitle="Numeric Input" prompt="Please insert numeric value or leave blank_x000a_" showErrorMessage="1" error="Please do not enter '0' or text" sqref="F861:G861">
      <formula1>0</formula1>
    </dataValidation>
    <dataValidation type="decimal" operator="notEqual" allowBlank="1" showInputMessage="1" promptTitle="Numeric only" prompt="Please enter numeric value or leave blank" showErrorMessage="1" errorTitle="Numeric value only" error="Plesse do not enter &quot;0&quot; or text" sqref="F862:G865">
      <formula1>0</formula1>
    </dataValidation>
    <dataValidation type="decimal" operator="notEqual" allowBlank="1" showInputMessage="1" promptTitle="Numeric only" prompt="Please enter numeric value or leave blank" showErrorMessage="1" errorTitle="Numeric value only" error="Plesse do not enter &quot;0&quot; or text" sqref="F877:G878">
      <formula1>0</formula1>
    </dataValidation>
    <dataValidation type="decimal" operator="notEqual" allowBlank="1" showInputMessage="1" promptTitle="Numeric Input" prompt="Please insert numeric value or leave blank_x000a_" showErrorMessage="1" error="Please do not enter '0' or text" sqref="F879:G879">
      <formula1>0</formula1>
    </dataValidation>
    <dataValidation type="decimal" operator="notEqual" allowBlank="1" showInputMessage="1" promptTitle="Numeric only" prompt="Please enter numeric value or leave blank" showErrorMessage="1" errorTitle="Numeric value only" error="Plesse do not enter &quot;0&quot; or text" sqref="F880:G881">
      <formula1>0</formula1>
    </dataValidation>
    <dataValidation type="decimal" operator="notEqual" allowBlank="1" showInputMessage="1" promptTitle="Numeric Input" prompt="Please insert numeric value or leave blank_x000a_" showErrorMessage="1" error="Please do not enter '0' or text" sqref="F882:G882">
      <formula1>0</formula1>
    </dataValidation>
    <dataValidation type="decimal" operator="notEqual" allowBlank="1" showInputMessage="1" promptTitle="Numeric only" prompt="Please enter numeric value or leave blank" showErrorMessage="1" errorTitle="Numeric value only" error="Plesse do not enter &quot;0&quot; or text" sqref="F883:G886">
      <formula1>0</formula1>
    </dataValidation>
    <dataValidation type="decimal" operator="notEqual" allowBlank="1" showInputMessage="1" promptTitle="Numeric only" prompt="Please enter numeric value or leave blank" showErrorMessage="1" errorTitle="Numeric value only" error="Plesse do not enter &quot;0&quot; or text" sqref="F898:G899">
      <formula1>0</formula1>
    </dataValidation>
    <dataValidation type="decimal" operator="notEqual" allowBlank="1" showInputMessage="1" promptTitle="Numeric Input" prompt="Please insert numeric value or leave blank_x000a_" showErrorMessage="1" error="Please do not enter '0' or text" sqref="F900:G900">
      <formula1>0</formula1>
    </dataValidation>
    <dataValidation type="decimal" operator="notEqual" allowBlank="1" showInputMessage="1" promptTitle="Numeric only" prompt="Please enter numeric value or leave blank" showErrorMessage="1" errorTitle="Numeric value only" error="Plesse do not enter &quot;0&quot; or text" sqref="F901:G907">
      <formula1>0</formula1>
    </dataValidation>
    <dataValidation type="decimal" operator="notEqual" allowBlank="1" showInputMessage="1" promptTitle="Numeric only" prompt="Please enter numeric value or leave blank" showErrorMessage="1" errorTitle="Numeric value only" error="Plesse do not enter &quot;0&quot; or text" sqref="F919:G920">
      <formula1>0</formula1>
    </dataValidation>
    <dataValidation type="decimal" operator="notEqual" allowBlank="1" showInputMessage="1" promptTitle="Numeric Input" prompt="Please insert numeric value or leave blank_x000a_" showErrorMessage="1" error="Please do not enter '0' or text" sqref="F921:G921">
      <formula1>0</formula1>
    </dataValidation>
    <dataValidation type="decimal" operator="notEqual" allowBlank="1" showInputMessage="1" promptTitle="Numeric only" prompt="Please enter numeric value or leave blank" showErrorMessage="1" errorTitle="Numeric value only" error="Plesse do not enter &quot;0&quot; or text" sqref="F922:G928">
      <formula1>0</formula1>
    </dataValidation>
    <dataValidation type="decimal" operator="notEqual" allowBlank="1" showInputMessage="1" promptTitle="Numeric only" prompt="Please enter numeric value or leave blank" showErrorMessage="1" errorTitle="Numeric value only" error="Plesse do not enter &quot;0&quot; or text" sqref="F940:G941">
      <formula1>0</formula1>
    </dataValidation>
    <dataValidation type="decimal" operator="notEqual" allowBlank="1" showInputMessage="1" promptTitle="Numeric Input" prompt="Please insert numeric value or leave blank_x000a_" showErrorMessage="1" error="Please do not enter '0' or text" sqref="F942:G942">
      <formula1>0</formula1>
    </dataValidation>
    <dataValidation type="decimal" operator="notEqual" allowBlank="1" showInputMessage="1" promptTitle="Numeric only" prompt="Please enter numeric value or leave blank" showErrorMessage="1" errorTitle="Numeric value only" error="Plesse do not enter &quot;0&quot; or text" sqref="F943:G949">
      <formula1>0</formula1>
    </dataValidation>
    <dataValidation type="decimal" operator="notEqual" allowBlank="1" showInputMessage="1" promptTitle="Numeric only" prompt="Please enter numeric value or leave blank" showErrorMessage="1" errorTitle="Numeric value only" error="Plesse do not enter &quot;0&quot; or text" sqref="F961:G962">
      <formula1>0</formula1>
    </dataValidation>
    <dataValidation type="decimal" operator="notEqual" allowBlank="1" showInputMessage="1" promptTitle="Numeric Input" prompt="Please insert numeric value or leave blank_x000a_" showErrorMessage="1" error="Please do not enter '0' or text" sqref="F963:G963">
      <formula1>0</formula1>
    </dataValidation>
    <dataValidation type="decimal" operator="notEqual" allowBlank="1" showInputMessage="1" promptTitle="Numeric only" prompt="Please enter numeric value or leave blank" showErrorMessage="1" errorTitle="Numeric value only" error="Plesse do not enter &quot;0&quot; or text" sqref="F964:G970">
      <formula1>0</formula1>
    </dataValidation>
    <dataValidation type="decimal" operator="notEqual" allowBlank="1" showInputMessage="1" promptTitle="Numeric only" prompt="Please enter numeric value or leave blank" showErrorMessage="1" errorTitle="Numeric value only" error="Plesse do not enter &quot;0&quot; or text" sqref="F98:G99">
      <formula1>0</formula1>
    </dataValidation>
    <dataValidation type="decimal" operator="notEqual" allowBlank="1" showInputMessage="1" promptTitle="Numeric only" prompt="Please enter numeric value or leave blank" showErrorMessage="1" errorTitle="Numeric value only" error="Plesse do not enter &quot;0&quot; or text" sqref="F985:G986">
      <formula1>0</formula1>
    </dataValidation>
    <dataValidation type="decimal" operator="notEqual" allowBlank="1" showInputMessage="1" promptTitle="Numeric Input" prompt="Please insert numeric value or leave blank_x000a_" showErrorMessage="1" error="Please do not enter '0' or text" sqref="F987:G987">
      <formula1>0</formula1>
    </dataValidation>
    <dataValidation type="decimal" operator="notEqual" allowBlank="1" showInputMessage="1" promptTitle="Numeric only" prompt="Please enter numeric value or leave blank" showErrorMessage="1" errorTitle="Numeric value only" error="Plesse do not enter &quot;0&quot; or text" sqref="F988:G995">
      <formula1>0</formula1>
    </dataValidation>
    <dataValidation type="decimal" operator="greaterThan" promptTitle="Numeric Input" prompt="Please enter numeric values or leave blank" showErrorMessage="1" errorTitle="Text Alert" error="Please do not enter text" sqref="F996:J999">
      <formula1>-1</formula1>
    </dataValidation>
    <dataValidation type="decimal" operator="greaterThan" allowBlank="1" showInputMessage="1" showErrorMessage="1" error="Please do not enter text" sqref="G712:G713">
      <formula1>-1</formula1>
    </dataValidation>
    <dataValidation type="decimal" operator="greaterThan" promptTitle="Numeric Input" prompt="Please enter numeric values or leave blank" showErrorMessage="1" errorTitle="Text Alert" error="Please do not enter text" sqref="G714:J715">
      <formula1>-1</formula1>
    </dataValidation>
    <dataValidation type="decimal" operator="greaterThan" showInputMessage="1" showErrorMessage="1" sqref="H1240:J1240">
      <formula1>-1</formula1>
    </dataValidation>
    <dataValidation promptTitle="Numeric Input" prompt="Please enter numeric values or leave blank" showErrorMessage="1" errorTitle="Text Alert" error="Please do not enter text" sqref="H1373:H1380"/>
    <dataValidation type="decimal" operator="greaterThan" promptTitle="Numeric Input" prompt="Please enter numeric values or leave blank" showErrorMessage="1" errorTitle="Text Alert" error="Please do not enter text" sqref="H1381:I1381">
      <formula1>-1</formula1>
    </dataValidation>
    <dataValidation showInputMessage="1" showErrorMessage="1" error="Please do not enter text" sqref="I100:J100"/>
    <dataValidation type="decimal" operator="greaterThan" allowBlank="1" showInputMessage="1" showErrorMessage="1" error="Please do not enter text" sqref="I101:J101">
      <formula1>-1</formula1>
    </dataValidation>
    <dataValidation type="decimal" operator="notEqual" allowBlank="1" showInputMessage="1" promptTitle="Numeric Input" prompt="Please insert numeric value or leave blank_x000a_" showErrorMessage="1" error="Please do not enter '0' or text" sqref="I102:J103">
      <formula1>0</formula1>
    </dataValidation>
    <dataValidation type="decimal" operator="notEqual" allowBlank="1" showInputMessage="1" promptTitle="Numeric Input" prompt="Please insert numeric value or leave blank_x000a_" showErrorMessage="1" error="Please do not enter '0' or text" sqref="I1026:J1028">
      <formula1>0</formula1>
    </dataValidation>
    <dataValidation type="decimal" operator="greaterThan" promptTitle="Numeric Input" prompt="Please enter numeric values or leave blank" showErrorMessage="1" errorTitle="Text Alert" error="Please do not enter text" sqref="I1029:J1029">
      <formula1>-1</formula1>
    </dataValidation>
    <dataValidation type="decimal" operator="notEqual" allowBlank="1" showInputMessage="1" promptTitle="Numeric Input" prompt="Please insert numeric value or leave blank_x000a_" showErrorMessage="1" error="Please do not enter '0' or text" sqref="I1030:J1031">
      <formula1>0</formula1>
    </dataValidation>
    <dataValidation type="decimal" operator="greaterThan" promptTitle="Numeric Input" prompt="Please enter numeric values or leave blank" showErrorMessage="1" errorTitle="Text Alert" error="Please do not enter text" sqref="I1032:J1036">
      <formula1>-1</formula1>
    </dataValidation>
    <dataValidation type="decimal" operator="greaterThan" allowBlank="1" showInputMessage="1" showErrorMessage="1" error="Please do not enter text" sqref="I104:J106">
      <formula1>-1</formula1>
    </dataValidation>
    <dataValidation type="decimal" operator="notEqual" allowBlank="1" showInputMessage="1" promptTitle="Numeric Input" prompt="Please insert numeric value or leave blank_x000a_" showErrorMessage="1" error="Please do not enter '0' or text" sqref="I1049:J1051">
      <formula1>0</formula1>
    </dataValidation>
    <dataValidation type="decimal" operator="greaterThan" promptTitle="Numeric Input" prompt="Please enter numeric values or leave blank" showErrorMessage="1" errorTitle="Text Alert" error="Please do not enter text" sqref="I1052:J1058">
      <formula1>-1</formula1>
    </dataValidation>
    <dataValidation type="decimal" operator="notEqual" allowBlank="1" showInputMessage="1" promptTitle="Numeric Input" prompt="Please insert numeric value or leave blank_x000a_" showErrorMessage="1" error="Please do not enter '0' or text" sqref="I107:J108">
      <formula1>0</formula1>
    </dataValidation>
    <dataValidation type="decimal" operator="notEqual" allowBlank="1" showInputMessage="1" promptTitle="Numeric Input" prompt="Please insert numeric value or leave blank_x000a_" showErrorMessage="1" error="Please do not enter '0' or text" sqref="I1071:J1074">
      <formula1>0</formula1>
    </dataValidation>
    <dataValidation type="decimal" operator="greaterThan" promptTitle="Numeric Input" prompt="Please enter numeric values or leave blank" showErrorMessage="1" errorTitle="Text Alert" error="Please do not enter text" sqref="I1075:J1080">
      <formula1>-1</formula1>
    </dataValidation>
    <dataValidation type="decimal" operator="notEqual" allowBlank="1" showInputMessage="1" promptTitle="Numeric Input" prompt="Please insert numeric value or leave blank_x000a_" showErrorMessage="1" error="Please do not enter '0' or text" sqref="I1093:J1095">
      <formula1>0</formula1>
    </dataValidation>
    <dataValidation type="decimal" operator="greaterThan" promptTitle="Numeric Input" prompt="Please enter numeric values or leave blank" showErrorMessage="1" errorTitle="Text Alert" error="Please do not enter text" sqref="I1096:J1096">
      <formula1>-1</formula1>
    </dataValidation>
    <dataValidation type="decimal" operator="notEqual" allowBlank="1" showInputMessage="1" promptTitle="Numeric Input" prompt="Please insert numeric value or leave blank_x000a_" showErrorMessage="1" error="Please do not enter '0' or text" sqref="I1097:J1098">
      <formula1>0</formula1>
    </dataValidation>
    <dataValidation type="decimal" operator="greaterThan" promptTitle="Numeric Input" prompt="Please enter numeric values or leave blank" showErrorMessage="1" errorTitle="Text Alert" error="Please do not enter text" sqref="I1099:J1104">
      <formula1>-1</formula1>
    </dataValidation>
    <dataValidation type="decimal" operator="greaterThan" allowBlank="1" showInputMessage="1" showErrorMessage="1" error="Please do not enter text" sqref="I111:J112">
      <formula1>-1</formula1>
    </dataValidation>
    <dataValidation type="decimal" operator="notEqual" allowBlank="1" showInputMessage="1" promptTitle="Numeric Input" prompt="Please insert numeric value or leave blank_x000a_" showErrorMessage="1" error="Please do not enter '0' or text" sqref="I1117:J1119">
      <formula1>0</formula1>
    </dataValidation>
    <dataValidation type="decimal" operator="greaterThan" promptTitle="Numeric Input" prompt="Please enter numeric values or leave blank" showErrorMessage="1" errorTitle="Text Alert" error="Please do not enter text" sqref="I1120:J1120">
      <formula1>-1</formula1>
    </dataValidation>
    <dataValidation type="decimal" operator="notEqual" allowBlank="1" showInputMessage="1" promptTitle="Numeric Input" prompt="Please insert numeric value or leave blank_x000a_" showErrorMessage="1" error="Please do not enter '0' or text" sqref="I1121:J1122">
      <formula1>0</formula1>
    </dataValidation>
    <dataValidation type="decimal" operator="greaterThan" promptTitle="Numeric Input" prompt="Please enter numeric values or leave blank" showErrorMessage="1" errorTitle="Text Alert" error="Please do not enter text" sqref="I1123:J1128">
      <formula1>-1</formula1>
    </dataValidation>
    <dataValidation type="decimal" operator="notEqual" allowBlank="1" showInputMessage="1" promptTitle="Numeric Input" prompt="Please insert numeric value or leave blank_x000a_" showErrorMessage="1" error="Please do not enter '0' or text" sqref="I113:J114">
      <formula1>0</formula1>
    </dataValidation>
    <dataValidation type="decimal" operator="notEqual" allowBlank="1" showInputMessage="1" promptTitle="Numeric Input" prompt="Please insert numeric value or leave blank_x000a_" showErrorMessage="1" error="Please do not enter '0' or text" sqref="I1141:J1143">
      <formula1>0</formula1>
    </dataValidation>
    <dataValidation type="decimal" operator="greaterThan" promptTitle="Numeric Input" prompt="Please enter numeric values or leave blank" showErrorMessage="1" errorTitle="Text Alert" error="Please do not enter text" sqref="I1144:J1144">
      <formula1>-1</formula1>
    </dataValidation>
    <dataValidation type="decimal" operator="notEqual" allowBlank="1" showInputMessage="1" promptTitle="Numeric Input" prompt="Please insert numeric value or leave blank_x000a_" showErrorMessage="1" error="Please do not enter '0' or text" sqref="I1145:J1148">
      <formula1>0</formula1>
    </dataValidation>
    <dataValidation type="decimal" operator="greaterThan" promptTitle="Numeric Input" prompt="Please enter numeric values or leave blank" showErrorMessage="1" errorTitle="Text Alert" error="Please do not enter text" sqref="I1149:J1152">
      <formula1>-1</formula1>
    </dataValidation>
    <dataValidation type="decimal" operator="greaterThan" allowBlank="1" showInputMessage="1" showErrorMessage="1" error="Please do not enter text" sqref="I117:I119">
      <formula1>-1</formula1>
    </dataValidation>
    <dataValidation type="decimal" operator="notEqual" allowBlank="1" showInputMessage="1" promptTitle="Numeric Input" prompt="Please insert numeric value or leave blank_x000a_" showErrorMessage="1" error="Please do not enter '0' or text" sqref="I1188:J1191">
      <formula1>0</formula1>
    </dataValidation>
    <dataValidation type="decimal" operator="greaterThan" promptTitle="Numeric Input" prompt="Please enter numeric values or leave blank" showErrorMessage="1" errorTitle="Text Alert" error="Please do not enter text" sqref="I1192:J1196">
      <formula1>-1</formula1>
    </dataValidation>
    <dataValidation type="decimal" operator="notEqual" allowBlank="1" showInputMessage="1" promptTitle="Numeric Input" prompt="Please insert numeric value or leave blank_x000a_" showErrorMessage="1" error="Please do not enter '0' or text" sqref="I120:J120">
      <formula1>0</formula1>
    </dataValidation>
    <dataValidation type="decimal" operator="notEqual" allowBlank="1" showInputMessage="1" promptTitle="Numeric Input" prompt="Please insert numeric value or leave blank_x000a_" showErrorMessage="1" error="Please do not enter '0' or text" sqref="I1204:J1207">
      <formula1>0</formula1>
    </dataValidation>
    <dataValidation type="decimal" operator="greaterThan" promptTitle="Numeric Input" prompt="Please enter numeric values or leave blank" showErrorMessage="1" errorTitle="Text Alert" error="Please do not enter text" sqref="I1208:J1211">
      <formula1>-1</formula1>
    </dataValidation>
    <dataValidation type="decimal" operator="notEqual" allowBlank="1" showInputMessage="1" promptTitle="Numeric Input" prompt="Please insert numeric value or leave blank_x000a_" showErrorMessage="1" error="Please do not enter '0' or text" sqref="I1226:J1227">
      <formula1>0</formula1>
    </dataValidation>
    <dataValidation type="decimal" operator="greaterThan" showInputMessage="1" showErrorMessage="1" sqref="I1228:J1231">
      <formula1>-1</formula1>
    </dataValidation>
    <dataValidation type="decimal" operator="greaterThan" allowBlank="1" showInputMessage="1" showErrorMessage="1" error="Please do not enter text" sqref="I123:J124">
      <formula1>-1</formula1>
    </dataValidation>
    <dataValidation type="decimal" operator="notEqual" allowBlank="1" showInputMessage="1" promptTitle="Numeric Input" prompt="Please insert numeric value or leave blank_x000a_" showErrorMessage="1" error="Please do not enter '0' or text" sqref="I1235:J1236">
      <formula1>0</formula1>
    </dataValidation>
    <dataValidation type="decimal" operator="greaterThan" showInputMessage="1" showErrorMessage="1" sqref="I1237:J1240">
      <formula1>-1</formula1>
    </dataValidation>
    <dataValidation type="decimal" operator="notEqual" allowBlank="1" showInputMessage="1" promptTitle="Numeric Input" prompt="Please insert numeric value or leave blank_x000a_" showErrorMessage="1" error="Please do not enter '0' or text" sqref="I1246:J1247">
      <formula1>0</formula1>
    </dataValidation>
    <dataValidation type="decimal" operator="greaterThan" showInputMessage="1" showErrorMessage="1" sqref="I1248:J1251">
      <formula1>-1</formula1>
    </dataValidation>
    <dataValidation type="decimal" operator="notEqual" allowBlank="1" showInputMessage="1" promptTitle="Numeric Input" prompt="Please insert numeric value or leave blank_x000a_" showErrorMessage="1" error="Please do not enter '0' or text" sqref="I125:J126">
      <formula1>0</formula1>
    </dataValidation>
    <dataValidation type="decimal" operator="notEqual" allowBlank="1" showInputMessage="1" promptTitle="Numeric Input" prompt="Please insert numeric value or leave blank_x000a_" showErrorMessage="1" error="Please do not enter '0' or text" sqref="I1254:J1255">
      <formula1>0</formula1>
    </dataValidation>
    <dataValidation type="decimal" operator="greaterThan" showInputMessage="1" showErrorMessage="1" sqref="I1256:J1259">
      <formula1>-1</formula1>
    </dataValidation>
    <dataValidation type="decimal" operator="greaterThan" allowBlank="1" showInputMessage="1" showErrorMessage="1" error="Please do not enter text" sqref="I129:J130">
      <formula1>-1</formula1>
    </dataValidation>
    <dataValidation type="decimal" operator="notEqual" allowBlank="1" showInputMessage="1" promptTitle="Numeric Input" prompt="Please insert numeric value or leave blank_x000a_" showErrorMessage="1" error="Please do not enter '0' or text" sqref="I131:J132">
      <formula1>0</formula1>
    </dataValidation>
    <dataValidation type="decimal" operator="notEqual" allowBlank="1" showInputMessage="1" promptTitle="Numeric Input" prompt="Please insert numeric value or leave blank_x000a_" showErrorMessage="1" error="Please do not enter '0' or text" sqref="I1321:I1325">
      <formula1>0</formula1>
    </dataValidation>
    <dataValidation type="decimal" operator="greaterThan" promptTitle="Numeric Input" prompt="Please enter numeric values or leave blank" showErrorMessage="1" errorTitle="Text Alert" error="Please do not enter text" sqref="I1327:J1327">
      <formula1>-1</formula1>
    </dataValidation>
    <dataValidation type="decimal" operator="greaterThan" promptTitle="Numeric Input" prompt="Please enter numeric values or leave blank" showErrorMessage="1" errorTitle="Text Alert" error="Please do not enter text" sqref="I1329:J1329">
      <formula1>-1</formula1>
    </dataValidation>
    <dataValidation type="decimal" operator="notEqual" allowBlank="1" showInputMessage="1" promptTitle="Numeric Input" prompt="Please insert numeric value or leave blank_x000a_" showErrorMessage="1" error="Please do not enter '0' or text" sqref="I1330:J1339">
      <formula1>0</formula1>
    </dataValidation>
    <dataValidation type="decimal" operator="greaterThan" allowBlank="1" showInputMessage="1" showErrorMessage="1" error="Please do not enter text" sqref="I135:J136">
      <formula1>-1</formula1>
    </dataValidation>
    <dataValidation type="decimal" operator="notEqual" allowBlank="1" showInputMessage="1" promptTitle="Numeric Input" prompt="Please insert numeric value or leave blank_x000a_" showErrorMessage="1" error="Please do not enter '0' or text" sqref="I137:J137">
      <formula1>0</formula1>
    </dataValidation>
    <dataValidation type="list" allowBlank="1" showInputMessage="1" showErrorMessage="1" sqref="I1373:J1380">
      <formula1>"Yes,No"</formula1>
    </dataValidation>
    <dataValidation type="decimal" allowBlank="1" showInputMessage="1" promptTitle="Numeric Input" prompt="Please insert numeric value or leave blank_x000a_" showErrorMessage="1" sqref="I138:J138">
      <formula1>1</formula1>
      <formula2>10000000</formula2>
    </dataValidation>
    <dataValidation type="decimal" operator="greaterThan" promptTitle="Numeric Input" prompt="Please enter numeric values or leave blank" showErrorMessage="1" errorTitle="Text Alert" error="Please do not enter text" sqref="I1382:J1382">
      <formula1>-1</formula1>
    </dataValidation>
    <dataValidation type="decimal" operator="greaterThan" promptTitle="Numeric Input" prompt="Please enter numeric values or leave blank" showErrorMessage="1" errorTitle="Text Alert" error="Please do not enter text" sqref="I1385:J1391">
      <formula1>-1</formula1>
    </dataValidation>
    <dataValidation type="decimal" operator="greaterThan" allowBlank="1" showInputMessage="1" showErrorMessage="1" error="Please do not enter text" sqref="I141:J142">
      <formula1>-1</formula1>
    </dataValidation>
    <dataValidation type="decimal" operator="notEqual" allowBlank="1" showInputMessage="1" promptTitle="Numeric Input" prompt="Please insert numeric value or leave blank_x000a_" showErrorMessage="1" error="Please do not enter '0' or text" sqref="I143:J144">
      <formula1>0</formula1>
    </dataValidation>
    <dataValidation type="decimal" operator="greaterThan" allowBlank="1" showInputMessage="1" showErrorMessage="1" error="Please do not enter text" sqref="I147:J148">
      <formula1>-1</formula1>
    </dataValidation>
    <dataValidation type="decimal" operator="notEqual" allowBlank="1" showInputMessage="1" promptTitle="Numeric Input" prompt="Please insert numeric value or leave blank_x000a_" showErrorMessage="1" error="Please do not enter '0' or text" sqref="I149:J150">
      <formula1>0</formula1>
    </dataValidation>
    <dataValidation type="decimal" operator="greaterThan" allowBlank="1" showInputMessage="1" showErrorMessage="1" error="Please do not enter text" sqref="I153:J154">
      <formula1>-1</formula1>
    </dataValidation>
    <dataValidation type="decimal" operator="notEqual" allowBlank="1" showInputMessage="1" promptTitle="Numeric Input" prompt="Please insert numeric value or leave blank_x000a_" showErrorMessage="1" error="Please do not enter '0' or text" sqref="I155:J156">
      <formula1>0</formula1>
    </dataValidation>
    <dataValidation type="decimal" operator="greaterThan" allowBlank="1" showInputMessage="1" showErrorMessage="1" error="Please do not enter text" sqref="I159:J160">
      <formula1>-1</formula1>
    </dataValidation>
    <dataValidation type="decimal" operator="notEqual" allowBlank="1" showInputMessage="1" promptTitle="Numeric Input" prompt="Please insert numeric value or leave blank_x000a_" showErrorMessage="1" error="Please do not enter '0' or text" sqref="I161:J162">
      <formula1>0</formula1>
    </dataValidation>
    <dataValidation type="decimal" operator="greaterThan" allowBlank="1" showInputMessage="1" showErrorMessage="1" error="Please do not enter text" sqref="I166:J169">
      <formula1>-1</formula1>
    </dataValidation>
    <dataValidation type="decimal" operator="greaterThan" allowBlank="1" showInputMessage="1" showErrorMessage="1" error="Please do not enter text" sqref="I172:J172">
      <formula1>-1</formula1>
    </dataValidation>
    <dataValidation type="decimal" operator="notEqual" allowBlank="1" showInputMessage="1" promptTitle="Numeric Input" prompt="Please insert numeric value or leave blank_x000a_" showErrorMessage="1" error="Please do not enter '0' or text" sqref="I173:J174">
      <formula1>0</formula1>
    </dataValidation>
    <dataValidation type="decimal" operator="greaterThan" allowBlank="1" showInputMessage="1" showErrorMessage="1" error="Please do not enter text" sqref="I175:J183">
      <formula1>-1</formula1>
    </dataValidation>
    <dataValidation type="decimal" operator="notEqual" allowBlank="1" showInputMessage="1" promptTitle="Numeric Input" prompt="Please insert numeric value or leave blank_x000a_" showErrorMessage="1" error="Please do not enter '0' or text" sqref="I187:J189">
      <formula1>0</formula1>
    </dataValidation>
    <dataValidation type="decimal" operator="greaterThan" allowBlank="1" showInputMessage="1" showErrorMessage="1" error="Please do not enter text" sqref="I190:J191">
      <formula1>-1</formula1>
    </dataValidation>
    <dataValidation type="decimal" operator="greaterThan" allowBlank="1" showInputMessage="1" showErrorMessage="1" error="Please do not enter text" sqref="I195:J196">
      <formula1>-1</formula1>
    </dataValidation>
    <dataValidation type="decimal" operator="greaterThan" allowBlank="1" showInputMessage="1" showErrorMessage="1" error="Please do not enter text" sqref="I198:J206">
      <formula1>-1</formula1>
    </dataValidation>
    <dataValidation type="decimal" operator="notEqual" allowBlank="1" showInputMessage="1" promptTitle="Numeric Input" prompt="Please insert numeric value or leave blank_x000a_" showErrorMessage="1" error="Please do not enter '0' or text" sqref="I207:J210">
      <formula1>0</formula1>
    </dataValidation>
    <dataValidation type="decimal" operator="greaterThan" allowBlank="1" showInputMessage="1" showErrorMessage="1" error="Please do not enter text" sqref="I212:J213">
      <formula1>-1</formula1>
    </dataValidation>
    <dataValidation type="decimal" operator="greaterThan" allowBlank="1" showInputMessage="1" showErrorMessage="1" error="Please do not enter text" sqref="I215:J223">
      <formula1>-1</formula1>
    </dataValidation>
    <dataValidation type="decimal" operator="notEqual" allowBlank="1" showInputMessage="1" promptTitle="Numeric Input" prompt="Please insert numeric value or leave blank_x000a_" showErrorMessage="1" error="Please do not enter '0' or text" sqref="I224:J227">
      <formula1>0</formula1>
    </dataValidation>
    <dataValidation type="decimal" operator="greaterThan" allowBlank="1" showInputMessage="1" showErrorMessage="1" error="Please do not enter text" sqref="I229:J230">
      <formula1>-1</formula1>
    </dataValidation>
    <dataValidation type="decimal" operator="greaterThan" allowBlank="1" showInputMessage="1" showErrorMessage="1" error="Please do not enter text" sqref="I232:J240">
      <formula1>-1</formula1>
    </dataValidation>
    <dataValidation type="decimal" operator="notEqual" allowBlank="1" showInputMessage="1" promptTitle="Numeric Input" prompt="Please insert numeric value or leave blank_x000a_" showErrorMessage="1" error="Please do not enter '0' or text" sqref="I241:J244">
      <formula1>0</formula1>
    </dataValidation>
    <dataValidation type="decimal" operator="greaterThan" allowBlank="1" showInputMessage="1" showErrorMessage="1" error="Please do not enter text" sqref="I246:J247">
      <formula1>-1</formula1>
    </dataValidation>
    <dataValidation type="decimal" operator="greaterThan" allowBlank="1" showInputMessage="1" showErrorMessage="1" error="Please do not enter text" sqref="I249:J257">
      <formula1>-1</formula1>
    </dataValidation>
    <dataValidation type="decimal" operator="notEqual" allowBlank="1" showInputMessage="1" promptTitle="Numeric Input" prompt="Please insert numeric value or leave blank_x000a_" showErrorMessage="1" error="Please do not enter '0' or text" sqref="I258:J261">
      <formula1>0</formula1>
    </dataValidation>
    <dataValidation type="decimal" operator="greaterThan" allowBlank="1" showInputMessage="1" showErrorMessage="1" error="Please do not enter text" sqref="I263:J264">
      <formula1>-1</formula1>
    </dataValidation>
    <dataValidation type="decimal" operator="greaterThan" allowBlank="1" showInputMessage="1" showErrorMessage="1" error="Please do not enter text" sqref="I266:J274">
      <formula1>-1</formula1>
    </dataValidation>
    <dataValidation type="decimal" operator="notEqual" allowBlank="1" showInputMessage="1" promptTitle="Numeric Input" prompt="Please insert numeric value or leave blank_x000a_" showErrorMessage="1" error="Please do not enter '0' or text" sqref="I275:J278">
      <formula1>0</formula1>
    </dataValidation>
    <dataValidation type="decimal" operator="greaterThan" allowBlank="1" showInputMessage="1" showErrorMessage="1" error="Please do not enter text" sqref="I280:J281">
      <formula1>-1</formula1>
    </dataValidation>
    <dataValidation type="decimal" operator="greaterThan" allowBlank="1" showInputMessage="1" showErrorMessage="1" error="Please do not enter text" sqref="I283:J291">
      <formula1>-1</formula1>
    </dataValidation>
    <dataValidation type="decimal" operator="notEqual" allowBlank="1" showInputMessage="1" promptTitle="Numeric Input" prompt="Please insert numeric value or leave blank_x000a_" showErrorMessage="1" error="Please do not enter '0' or text" sqref="I292:J295">
      <formula1>0</formula1>
    </dataValidation>
    <dataValidation type="decimal" operator="greaterThan" allowBlank="1" showInputMessage="1" showErrorMessage="1" error="Please do not enter text" sqref="I297:J298">
      <formula1>-1</formula1>
    </dataValidation>
    <dataValidation type="decimal" operator="greaterThan" allowBlank="1" showInputMessage="1" showErrorMessage="1" error="Please do not enter text" sqref="I300:J308">
      <formula1>-1</formula1>
    </dataValidation>
    <dataValidation type="decimal" operator="notEqual" allowBlank="1" showInputMessage="1" promptTitle="Numeric Input" prompt="Please insert numeric value or leave blank_x000a_" showErrorMessage="1" error="Please do not enter '0' or text" sqref="I309:J312">
      <formula1>0</formula1>
    </dataValidation>
    <dataValidation type="decimal" operator="greaterThan" allowBlank="1" showInputMessage="1" showErrorMessage="1" error="Please do not enter text" sqref="I314:J315">
      <formula1>-1</formula1>
    </dataValidation>
    <dataValidation type="decimal" operator="greaterThan" allowBlank="1" showInputMessage="1" showErrorMessage="1" error="Please do not enter text" sqref="I317:J325">
      <formula1>-1</formula1>
    </dataValidation>
    <dataValidation type="decimal" operator="notEqual" allowBlank="1" showInputMessage="1" promptTitle="Numeric Input" prompt="Please insert numeric value or leave blank_x000a_" showErrorMessage="1" error="Please do not enter '0' or text" sqref="I326:J329">
      <formula1>0</formula1>
    </dataValidation>
    <dataValidation type="decimal" operator="greaterThan" allowBlank="1" showInputMessage="1" showErrorMessage="1" error="Please do not enter text" sqref="I331:J332">
      <formula1>-1</formula1>
    </dataValidation>
    <dataValidation type="decimal" operator="greaterThan" allowBlank="1" showInputMessage="1" showErrorMessage="1" error="Please do not enter text" sqref="I334:J342">
      <formula1>-1</formula1>
    </dataValidation>
    <dataValidation type="decimal" operator="notEqual" allowBlank="1" showInputMessage="1" promptTitle="Numeric Input" prompt="Please insert numeric value or leave blank_x000a_" showErrorMessage="1" error="Please do not enter '0' or text" sqref="I343:J346">
      <formula1>0</formula1>
    </dataValidation>
    <dataValidation type="decimal" operator="greaterThan" allowBlank="1" showInputMessage="1" showErrorMessage="1" error="Please do not enter text" sqref="I348:J349">
      <formula1>-1</formula1>
    </dataValidation>
    <dataValidation type="decimal" operator="greaterThan" allowBlank="1" showInputMessage="1" showErrorMessage="1" error="Please do not enter text" sqref="I351:J359">
      <formula1>-1</formula1>
    </dataValidation>
    <dataValidation type="decimal" operator="notEqual" allowBlank="1" showInputMessage="1" promptTitle="Numeric Input" prompt="Please insert numeric value or leave blank_x000a_" showErrorMessage="1" error="Please do not enter '0' or text" sqref="I360:J363">
      <formula1>0</formula1>
    </dataValidation>
    <dataValidation type="decimal" operator="greaterThan" allowBlank="1" showInputMessage="1" showErrorMessage="1" error="Please do not enter text" sqref="I365:J366">
      <formula1>-1</formula1>
    </dataValidation>
    <dataValidation type="decimal" operator="greaterThan" allowBlank="1" showInputMessage="1" showErrorMessage="1" error="Please do not enter text" sqref="I368:J376">
      <formula1>-1</formula1>
    </dataValidation>
    <dataValidation type="decimal" operator="notEqual" allowBlank="1" showInputMessage="1" promptTitle="Numeric Input" prompt="Please insert numeric value or leave blank_x000a_" showErrorMessage="1" error="Please do not enter '0' or text" sqref="I377:J380">
      <formula1>0</formula1>
    </dataValidation>
    <dataValidation type="decimal" operator="greaterThan" allowBlank="1" showInputMessage="1" showErrorMessage="1" error="Please do not enter text" sqref="I383:J384">
      <formula1>-1</formula1>
    </dataValidation>
    <dataValidation type="decimal" operator="notEqual" allowBlank="1" showInputMessage="1" promptTitle="Numeric Input" prompt="Please insert numeric value or leave blank_x000a_" showErrorMessage="1" error="Please do not enter '0' or text" sqref="I386:J387">
      <formula1>0</formula1>
    </dataValidation>
    <dataValidation type="decimal" operator="greaterThan" allowBlank="1" showInputMessage="1" showErrorMessage="1" error="Please do not enter text" sqref="I388:J391">
      <formula1>-1</formula1>
    </dataValidation>
    <dataValidation type="decimal" operator="greaterThan" allowBlank="1" showInputMessage="1" showErrorMessage="1" error="Please do not enter text" sqref="I395:J396">
      <formula1>-1</formula1>
    </dataValidation>
    <dataValidation type="decimal" operator="notEqual" allowBlank="1" showInputMessage="1" promptTitle="Numeric Input" prompt="Please insert numeric value or leave blank_x000a_" showErrorMessage="1" error="Please do not enter '0' or text" sqref="I397:J398">
      <formula1>0</formula1>
    </dataValidation>
    <dataValidation type="decimal" operator="greaterThan" allowBlank="1" showInputMessage="1" showErrorMessage="1" error="Please do not enter text" sqref="I401:J402">
      <formula1>-1</formula1>
    </dataValidation>
    <dataValidation type="decimal" operator="notEqual" allowBlank="1" showInputMessage="1" promptTitle="Numeric Input" prompt="Please insert numeric value or leave blank_x000a_" showErrorMessage="1" error="Please do not enter '0' or text" sqref="I403:J404">
      <formula1>0</formula1>
    </dataValidation>
    <dataValidation type="decimal" operator="greaterThan" allowBlank="1" showInputMessage="1" showErrorMessage="1" error="Please do not enter text" sqref="I407:J408">
      <formula1>-1</formula1>
    </dataValidation>
    <dataValidation type="decimal" operator="notEqual" allowBlank="1" showInputMessage="1" promptTitle="Numeric Input" prompt="Please insert numeric value or leave blank_x000a_" showErrorMessage="1" error="Please do not enter '0' or text" sqref="I409:J410">
      <formula1>0</formula1>
    </dataValidation>
    <dataValidation type="decimal" operator="greaterThan" allowBlank="1" showInputMessage="1" showErrorMessage="1" error="Please do not enter text" sqref="I413:J414">
      <formula1>-1</formula1>
    </dataValidation>
    <dataValidation type="decimal" operator="notEqual" allowBlank="1" showInputMessage="1" promptTitle="Numeric Input" prompt="Please insert numeric value or leave blank_x000a_" showErrorMessage="1" error="Please do not enter '0' or text" sqref="I415:J416">
      <formula1>0</formula1>
    </dataValidation>
    <dataValidation type="decimal" operator="greaterThan" allowBlank="1" showInputMessage="1" showErrorMessage="1" error="Please do not enter text" sqref="I419:J420">
      <formula1>-1</formula1>
    </dataValidation>
    <dataValidation type="decimal" operator="notEqual" allowBlank="1" showInputMessage="1" promptTitle="Numeric Input" prompt="Please insert numeric value or leave blank_x000a_" showErrorMessage="1" error="Please do not enter '0' or text" sqref="I421:J422">
      <formula1>0</formula1>
    </dataValidation>
    <dataValidation type="decimal" operator="greaterThan" allowBlank="1" showInputMessage="1" showErrorMessage="1" error="Please do not enter text" sqref="I425:J426">
      <formula1>-1</formula1>
    </dataValidation>
    <dataValidation type="decimal" operator="notEqual" allowBlank="1" showInputMessage="1" promptTitle="Numeric Input" prompt="Please insert numeric value or leave blank_x000a_" showErrorMessage="1" error="Please do not enter '0' or text" sqref="I427:J428">
      <formula1>0</formula1>
    </dataValidation>
    <dataValidation type="decimal" operator="greaterThan" allowBlank="1" showInputMessage="1" showErrorMessage="1" error="Please do not enter text" sqref="I43:I47">
      <formula1>-1</formula1>
    </dataValidation>
    <dataValidation type="decimal" operator="greaterThan" allowBlank="1" showInputMessage="1" showErrorMessage="1" error="Please do not enter text" sqref="I432:J433">
      <formula1>-1</formula1>
    </dataValidation>
    <dataValidation type="decimal" operator="notEqual" allowBlank="1" showInputMessage="1" promptTitle="Numeric Input" prompt="Please insert numeric value or leave blank_x000a_" showErrorMessage="1" error="Please do not enter '0' or text" sqref="I434:J435">
      <formula1>0</formula1>
    </dataValidation>
    <dataValidation type="decimal" operator="greaterThan" allowBlank="1" showInputMessage="1" showErrorMessage="1" error="Please do not enter text" sqref="I438:J440">
      <formula1>-1</formula1>
    </dataValidation>
    <dataValidation type="decimal" operator="notEqual" allowBlank="1" showInputMessage="1" promptTitle="Numeric Input" prompt="Please insert numeric value or leave blank_x000a_" showErrorMessage="1" error="Please do not enter '0' or text" sqref="I441:J441">
      <formula1>0</formula1>
    </dataValidation>
    <dataValidation type="decimal" operator="greaterThan" showInputMessage="1" showErrorMessage="1" sqref="I447:J450">
      <formula1>-1</formula1>
    </dataValidation>
    <dataValidation type="decimal" operator="notEqual" allowBlank="1" showInputMessage="1" promptTitle="Numeric Input" prompt="Please insert numeric value or leave blank_x000a_" showErrorMessage="1" error="Please do not enter '0' or text" sqref="I451:J451">
      <formula1>0</formula1>
    </dataValidation>
    <dataValidation type="decimal" operator="greaterThan" showInputMessage="1" showErrorMessage="1" sqref="I452:J452">
      <formula1>-1</formula1>
    </dataValidation>
    <dataValidation type="decimal" operator="notEqual" allowBlank="1" showInputMessage="1" promptTitle="Numeric Input" prompt="Please insert numeric value or leave blank_x000a_" showErrorMessage="1" error="Please do not enter '0' or text" sqref="I453:J453">
      <formula1>0</formula1>
    </dataValidation>
    <dataValidation type="decimal" operator="greaterThan" showInputMessage="1" showErrorMessage="1" sqref="I454:J454">
      <formula1>-1</formula1>
    </dataValidation>
    <dataValidation type="decimal" operator="notEqual" allowBlank="1" showInputMessage="1" promptTitle="Numeric Input" prompt="Please insert numeric value or leave blank_x000a_" showErrorMessage="1" error="Please do not enter '0' or text" sqref="I455:J455">
      <formula1>0</formula1>
    </dataValidation>
    <dataValidation type="decimal" operator="greaterThan" showInputMessage="1" showErrorMessage="1" sqref="I456:J456">
      <formula1>-1</formula1>
    </dataValidation>
    <dataValidation type="decimal" operator="notEqual" allowBlank="1" showInputMessage="1" promptTitle="Numeric Input" prompt="Please insert numeric value or leave blank_x000a_" showErrorMessage="1" error="Please do not enter '0' or text" sqref="I457:J457">
      <formula1>0</formula1>
    </dataValidation>
    <dataValidation type="decimal" operator="greaterThan" showInputMessage="1" showErrorMessage="1" sqref="I458:J458">
      <formula1>-1</formula1>
    </dataValidation>
    <dataValidation type="decimal" operator="notEqual" allowBlank="1" showInputMessage="1" promptTitle="Numeric Input" prompt="Please insert numeric value or leave blank_x000a_" showErrorMessage="1" error="Please do not enter '0' or text" sqref="I459:J460">
      <formula1>0</formula1>
    </dataValidation>
    <dataValidation type="decimal" operator="greaterThan" showInputMessage="1" showErrorMessage="1" sqref="I461:J461">
      <formula1>-1</formula1>
    </dataValidation>
    <dataValidation type="decimal" operator="notEqual" allowBlank="1" showInputMessage="1" promptTitle="Numeric Input" prompt="Please insert numeric value or leave blank_x000a_" showErrorMessage="1" error="Please do not enter '0' or text" sqref="I462:J463">
      <formula1>0</formula1>
    </dataValidation>
    <dataValidation type="decimal" operator="greaterThan" showInputMessage="1" showErrorMessage="1" sqref="I470:J473">
      <formula1>-1</formula1>
    </dataValidation>
    <dataValidation type="decimal" operator="notEqual" allowBlank="1" showInputMessage="1" promptTitle="Numeric Input" prompt="Please insert numeric value or leave blank_x000a_" showErrorMessage="1" error="Please do not enter '0' or text" sqref="I474:J474">
      <formula1>0</formula1>
    </dataValidation>
    <dataValidation type="decimal" operator="greaterThan" showInputMessage="1" showErrorMessage="1" sqref="I475:J475">
      <formula1>-1</formula1>
    </dataValidation>
    <dataValidation type="decimal" operator="notEqual" allowBlank="1" showInputMessage="1" promptTitle="Numeric Input" prompt="Please insert numeric value or leave blank_x000a_" showErrorMessage="1" error="Please do not enter '0' or text" sqref="I476:J476">
      <formula1>0</formula1>
    </dataValidation>
    <dataValidation type="decimal" operator="greaterThan" showInputMessage="1" showErrorMessage="1" sqref="I477:J477">
      <formula1>-1</formula1>
    </dataValidation>
    <dataValidation type="decimal" operator="notEqual" allowBlank="1" showInputMessage="1" promptTitle="Numeric Input" prompt="Please insert numeric value or leave blank_x000a_" showErrorMessage="1" error="Please do not enter '0' or text" sqref="I478:J478">
      <formula1>0</formula1>
    </dataValidation>
    <dataValidation type="decimal" operator="greaterThan" showInputMessage="1" showErrorMessage="1" sqref="I479:J479">
      <formula1>-1</formula1>
    </dataValidation>
    <dataValidation type="decimal" operator="notEqual" allowBlank="1" showInputMessage="1" promptTitle="Numeric Input" prompt="Please insert numeric value or leave blank_x000a_" showErrorMessage="1" error="Please do not enter '0' or text" sqref="I480:J480">
      <formula1>0</formula1>
    </dataValidation>
    <dataValidation type="decimal" operator="greaterThan" showInputMessage="1" showErrorMessage="1" sqref="I481:J481">
      <formula1>-1</formula1>
    </dataValidation>
    <dataValidation type="decimal" operator="notEqual" allowBlank="1" showInputMessage="1" promptTitle="Numeric Input" prompt="Please insert numeric value or leave blank_x000a_" showErrorMessage="1" error="Please do not enter '0' or text" sqref="I482:J483">
      <formula1>0</formula1>
    </dataValidation>
    <dataValidation type="decimal" operator="greaterThan" showInputMessage="1" showErrorMessage="1" sqref="I484:J484">
      <formula1>-1</formula1>
    </dataValidation>
    <dataValidation type="decimal" operator="notEqual" allowBlank="1" showInputMessage="1" promptTitle="Numeric Input" prompt="Please insert numeric value or leave blank_x000a_" showErrorMessage="1" error="Please do not enter '0' or text" sqref="I485:J486">
      <formula1>0</formula1>
    </dataValidation>
    <dataValidation type="decimal" operator="greaterThan" showInputMessage="1" showErrorMessage="1" sqref="I493:J496">
      <formula1>-1</formula1>
    </dataValidation>
    <dataValidation type="decimal" operator="notEqual" allowBlank="1" showInputMessage="1" promptTitle="Numeric Input" prompt="Please insert numeric value or leave blank_x000a_" showErrorMessage="1" error="Please do not enter '0' or text" sqref="I497:J497">
      <formula1>0</formula1>
    </dataValidation>
    <dataValidation type="decimal" operator="greaterThan" showInputMessage="1" showErrorMessage="1" sqref="I498:J498">
      <formula1>-1</formula1>
    </dataValidation>
    <dataValidation type="decimal" operator="notEqual" allowBlank="1" showInputMessage="1" promptTitle="Numeric Input" prompt="Please insert numeric value or leave blank_x000a_" showErrorMessage="1" error="Please do not enter '0' or text" sqref="I499:J499">
      <formula1>0</formula1>
    </dataValidation>
    <dataValidation type="decimal" operator="greaterThan" showInputMessage="1" showErrorMessage="1" sqref="I500:J500">
      <formula1>-1</formula1>
    </dataValidation>
    <dataValidation type="decimal" operator="notEqual" allowBlank="1" showInputMessage="1" promptTitle="Numeric Input" prompt="Please insert numeric value or leave blank_x000a_" showErrorMessage="1" error="Please do not enter '0' or text" sqref="I501:J501">
      <formula1>0</formula1>
    </dataValidation>
    <dataValidation type="decimal" operator="greaterThan" showInputMessage="1" showErrorMessage="1" sqref="I502:J502">
      <formula1>-1</formula1>
    </dataValidation>
    <dataValidation type="decimal" operator="notEqual" allowBlank="1" showInputMessage="1" promptTitle="Numeric Input" prompt="Please insert numeric value or leave blank_x000a_" showErrorMessage="1" error="Please do not enter '0' or text" sqref="I503:J503">
      <formula1>0</formula1>
    </dataValidation>
    <dataValidation type="decimal" operator="greaterThan" showInputMessage="1" showErrorMessage="1" sqref="I504:J504">
      <formula1>-1</formula1>
    </dataValidation>
    <dataValidation type="decimal" operator="notEqual" allowBlank="1" showInputMessage="1" promptTitle="Numeric Input" prompt="Please insert numeric value or leave blank_x000a_" showErrorMessage="1" error="Please do not enter '0' or text" sqref="I505:J506">
      <formula1>0</formula1>
    </dataValidation>
    <dataValidation type="decimal" operator="greaterThan" showInputMessage="1" showErrorMessage="1" sqref="I507:J507">
      <formula1>-1</formula1>
    </dataValidation>
    <dataValidation type="decimal" operator="notEqual" allowBlank="1" showInputMessage="1" promptTitle="Numeric Input" prompt="Please insert numeric value or leave blank_x000a_" showErrorMessage="1" error="Please do not enter '0' or text" sqref="I508:J509">
      <formula1>0</formula1>
    </dataValidation>
    <dataValidation type="decimal" operator="greaterThan" showInputMessage="1" showErrorMessage="1" sqref="I516:J519">
      <formula1>-1</formula1>
    </dataValidation>
    <dataValidation type="decimal" operator="greaterThan" allowBlank="1" showInputMessage="1" showErrorMessage="1" error="Please do not enter text" sqref="I52:J57">
      <formula1>-1</formula1>
    </dataValidation>
    <dataValidation type="decimal" operator="notEqual" allowBlank="1" showInputMessage="1" promptTitle="Numeric Input" prompt="Please insert numeric value or leave blank_x000a_" showErrorMessage="1" error="Please do not enter '0' or text" sqref="I520:J520">
      <formula1>0</formula1>
    </dataValidation>
    <dataValidation type="decimal" operator="greaterThan" showInputMessage="1" showErrorMessage="1" sqref="I521:J521">
      <formula1>-1</formula1>
    </dataValidation>
    <dataValidation type="decimal" operator="notEqual" allowBlank="1" showInputMessage="1" promptTitle="Numeric Input" prompt="Please insert numeric value or leave blank_x000a_" showErrorMessage="1" error="Please do not enter '0' or text" sqref="I522:J522">
      <formula1>0</formula1>
    </dataValidation>
    <dataValidation type="decimal" operator="greaterThan" showInputMessage="1" showErrorMessage="1" sqref="I523:J523">
      <formula1>-1</formula1>
    </dataValidation>
    <dataValidation type="decimal" operator="notEqual" allowBlank="1" showInputMessage="1" promptTitle="Numeric Input" prompt="Please insert numeric value or leave blank_x000a_" showErrorMessage="1" error="Please do not enter '0' or text" sqref="I524:J524">
      <formula1>0</formula1>
    </dataValidation>
    <dataValidation type="decimal" operator="greaterThan" showInputMessage="1" showErrorMessage="1" sqref="I525:J525">
      <formula1>-1</formula1>
    </dataValidation>
    <dataValidation type="decimal" operator="notEqual" allowBlank="1" showInputMessage="1" promptTitle="Numeric Input" prompt="Please insert numeric value or leave blank_x000a_" showErrorMessage="1" error="Please do not enter '0' or text" sqref="I526:J526">
      <formula1>0</formula1>
    </dataValidation>
    <dataValidation type="decimal" operator="greaterThan" showInputMessage="1" showErrorMessage="1" sqref="I527:J527">
      <formula1>-1</formula1>
    </dataValidation>
    <dataValidation type="decimal" operator="notEqual" allowBlank="1" showInputMessage="1" promptTitle="Numeric Input" prompt="Please insert numeric value or leave blank_x000a_" showErrorMessage="1" error="Please do not enter '0' or text" sqref="I528:J529">
      <formula1>0</formula1>
    </dataValidation>
    <dataValidation type="decimal" operator="greaterThan" showInputMessage="1" showErrorMessage="1" sqref="I530:J530">
      <formula1>-1</formula1>
    </dataValidation>
    <dataValidation type="decimal" operator="notEqual" allowBlank="1" showInputMessage="1" promptTitle="Numeric Input" prompt="Please insert numeric value or leave blank_x000a_" showErrorMessage="1" error="Please do not enter '0' or text" sqref="I531:J532">
      <formula1>0</formula1>
    </dataValidation>
    <dataValidation type="decimal" operator="greaterThan" showInputMessage="1" showErrorMessage="1" sqref="I539:J542">
      <formula1>-1</formula1>
    </dataValidation>
    <dataValidation type="decimal" operator="notEqual" allowBlank="1" showInputMessage="1" promptTitle="Numeric Input" prompt="Please insert numeric value or leave blank_x000a_" showErrorMessage="1" error="Please do not enter '0' or text" sqref="I543:J543">
      <formula1>0</formula1>
    </dataValidation>
    <dataValidation type="decimal" operator="greaterThan" showInputMessage="1" showErrorMessage="1" sqref="I544:J544">
      <formula1>-1</formula1>
    </dataValidation>
    <dataValidation type="decimal" operator="notEqual" allowBlank="1" showInputMessage="1" promptTitle="Numeric Input" prompt="Please insert numeric value or leave blank_x000a_" showErrorMessage="1" error="Please do not enter '0' or text" sqref="I545:J545">
      <formula1>0</formula1>
    </dataValidation>
    <dataValidation type="decimal" operator="greaterThan" showInputMessage="1" showErrorMessage="1" sqref="I546:J546">
      <formula1>-1</formula1>
    </dataValidation>
    <dataValidation type="decimal" operator="notEqual" allowBlank="1" showInputMessage="1" promptTitle="Numeric Input" prompt="Please insert numeric value or leave blank_x000a_" showErrorMessage="1" error="Please do not enter '0' or text" sqref="I547:J547">
      <formula1>0</formula1>
    </dataValidation>
    <dataValidation type="decimal" operator="greaterThan" showInputMessage="1" showErrorMessage="1" sqref="I548:J548">
      <formula1>-1</formula1>
    </dataValidation>
    <dataValidation type="decimal" operator="notEqual" allowBlank="1" showInputMessage="1" promptTitle="Numeric Input" prompt="Please insert numeric value or leave blank_x000a_" showErrorMessage="1" error="Please do not enter '0' or text" sqref="I549:J549">
      <formula1>0</formula1>
    </dataValidation>
    <dataValidation type="decimal" operator="greaterThan" showInputMessage="1" showErrorMessage="1" sqref="I550:J550">
      <formula1>-1</formula1>
    </dataValidation>
    <dataValidation type="decimal" operator="notEqual" allowBlank="1" showInputMessage="1" promptTitle="Numeric Input" prompt="Please insert numeric value or leave blank_x000a_" showErrorMessage="1" error="Please do not enter '0' or text" sqref="I551:J552">
      <formula1>0</formula1>
    </dataValidation>
    <dataValidation type="decimal" operator="greaterThan" showInputMessage="1" showErrorMessage="1" sqref="I553:J553">
      <formula1>-1</formula1>
    </dataValidation>
    <dataValidation type="decimal" operator="notEqual" allowBlank="1" showInputMessage="1" promptTitle="Numeric Input" prompt="Please insert numeric value or leave blank_x000a_" showErrorMessage="1" error="Please do not enter '0' or text" sqref="I554:J555">
      <formula1>0</formula1>
    </dataValidation>
    <dataValidation type="decimal" operator="greaterThan" showInputMessage="1" showErrorMessage="1" sqref="I569:J572">
      <formula1>-1</formula1>
    </dataValidation>
    <dataValidation type="decimal" operator="notEqual" allowBlank="1" showInputMessage="1" promptTitle="Numeric Input" prompt="Please insert numeric value or leave blank_x000a_" showErrorMessage="1" error="Please do not enter '0' or text" sqref="I573:J573">
      <formula1>0</formula1>
    </dataValidation>
    <dataValidation type="decimal" operator="greaterThan" showInputMessage="1" showErrorMessage="1" sqref="I574:J574">
      <formula1>-1</formula1>
    </dataValidation>
    <dataValidation type="decimal" operator="notEqual" allowBlank="1" showInputMessage="1" promptTitle="Numeric Input" prompt="Please insert numeric value or leave blank_x000a_" showErrorMessage="1" error="Please do not enter '0' or text" sqref="I575:J575">
      <formula1>0</formula1>
    </dataValidation>
    <dataValidation type="decimal" operator="greaterThan" showInputMessage="1" showErrorMessage="1" sqref="I576:J576">
      <formula1>-1</formula1>
    </dataValidation>
    <dataValidation type="decimal" operator="notEqual" allowBlank="1" showInputMessage="1" promptTitle="Numeric Input" prompt="Please insert numeric value or leave blank_x000a_" showErrorMessage="1" error="Please do not enter '0' or text" sqref="I577:J577">
      <formula1>0</formula1>
    </dataValidation>
    <dataValidation type="decimal" operator="greaterThan" showInputMessage="1" showErrorMessage="1" sqref="I578:J578">
      <formula1>-1</formula1>
    </dataValidation>
    <dataValidation type="decimal" operator="notEqual" allowBlank="1" showInputMessage="1" promptTitle="Numeric Input" prompt="Please insert numeric value or leave blank_x000a_" showErrorMessage="1" error="Please do not enter '0' or text" sqref="I579:J579">
      <formula1>0</formula1>
    </dataValidation>
    <dataValidation type="decimal" operator="greaterThan" showInputMessage="1" showErrorMessage="1" sqref="I580:J580">
      <formula1>-1</formula1>
    </dataValidation>
    <dataValidation type="decimal" operator="notEqual" allowBlank="1" showInputMessage="1" promptTitle="Numeric Input" prompt="Please insert numeric value or leave blank_x000a_" showErrorMessage="1" error="Please do not enter '0' or text" sqref="I581:J582">
      <formula1>0</formula1>
    </dataValidation>
    <dataValidation type="decimal" operator="greaterThan" showInputMessage="1" showErrorMessage="1" sqref="I583:J583">
      <formula1>-1</formula1>
    </dataValidation>
    <dataValidation type="decimal" operator="notEqual" allowBlank="1" showInputMessage="1" promptTitle="Numeric Input" prompt="Please insert numeric value or leave blank_x000a_" showErrorMessage="1" error="Please do not enter '0' or text" sqref="I584:J585">
      <formula1>0</formula1>
    </dataValidation>
    <dataValidation type="decimal" operator="greaterThan" showInputMessage="1" showErrorMessage="1" sqref="I592:J595">
      <formula1>-1</formula1>
    </dataValidation>
    <dataValidation type="decimal" operator="notEqual" allowBlank="1" showInputMessage="1" promptTitle="Numeric Input" prompt="Please insert numeric value or leave blank_x000a_" showErrorMessage="1" error="Please do not enter '0' or text" sqref="I596:J596">
      <formula1>0</formula1>
    </dataValidation>
    <dataValidation type="decimal" operator="greaterThan" showInputMessage="1" showErrorMessage="1" sqref="I597:J597">
      <formula1>-1</formula1>
    </dataValidation>
    <dataValidation type="decimal" operator="notEqual" allowBlank="1" showInputMessage="1" promptTitle="Numeric Input" prompt="Please insert numeric value or leave blank_x000a_" showErrorMessage="1" error="Please do not enter '0' or text" sqref="I598:J598">
      <formula1>0</formula1>
    </dataValidation>
    <dataValidation type="decimal" operator="greaterThan" showInputMessage="1" showErrorMessage="1" sqref="I599:J599">
      <formula1>-1</formula1>
    </dataValidation>
    <dataValidation type="decimal" operator="notEqual" allowBlank="1" showInputMessage="1" promptTitle="Numeric Input" prompt="Please insert numeric value or leave blank_x000a_" showErrorMessage="1" error="Please do not enter '0' or text" sqref="I600:J600">
      <formula1>0</formula1>
    </dataValidation>
    <dataValidation type="decimal" operator="greaterThan" showInputMessage="1" showErrorMessage="1" sqref="I601:J601">
      <formula1>-1</formula1>
    </dataValidation>
    <dataValidation type="decimal" operator="notEqual" allowBlank="1" showInputMessage="1" promptTitle="Numeric Input" prompt="Please insert numeric value or leave blank_x000a_" showErrorMessage="1" error="Please do not enter '0' or text" sqref="I602:J602">
      <formula1>0</formula1>
    </dataValidation>
    <dataValidation type="decimal" operator="greaterThan" showInputMessage="1" showErrorMessage="1" sqref="I603:J603">
      <formula1>-1</formula1>
    </dataValidation>
    <dataValidation type="decimal" operator="notEqual" allowBlank="1" showInputMessage="1" promptTitle="Numeric Input" prompt="Please insert numeric value or leave blank_x000a_" showErrorMessage="1" error="Please do not enter '0' or text" sqref="I604:J605">
      <formula1>0</formula1>
    </dataValidation>
    <dataValidation type="decimal" operator="greaterThan" showInputMessage="1" showErrorMessage="1" sqref="I606:J606">
      <formula1>-1</formula1>
    </dataValidation>
    <dataValidation type="decimal" operator="notEqual" allowBlank="1" showInputMessage="1" promptTitle="Numeric Input" prompt="Please insert numeric value or leave blank_x000a_" showErrorMessage="1" error="Please do not enter '0' or text" sqref="I607:J608">
      <formula1>0</formula1>
    </dataValidation>
    <dataValidation type="decimal" operator="greaterThan" showInputMessage="1" showErrorMessage="1" sqref="I615:J618">
      <formula1>-1</formula1>
    </dataValidation>
    <dataValidation type="decimal" operator="notEqual" allowBlank="1" showInputMessage="1" promptTitle="Numeric Input" prompt="Please insert numeric value or leave blank_x000a_" showErrorMessage="1" error="Please do not enter '0' or text" sqref="I619:J619">
      <formula1>0</formula1>
    </dataValidation>
    <dataValidation type="decimal" operator="greaterThan" showInputMessage="1" showErrorMessage="1" sqref="I620:J620">
      <formula1>-1</formula1>
    </dataValidation>
    <dataValidation type="decimal" operator="notEqual" allowBlank="1" showInputMessage="1" promptTitle="Numeric Input" prompt="Please insert numeric value or leave blank_x000a_" showErrorMessage="1" error="Please do not enter '0' or text" sqref="I621:J621">
      <formula1>0</formula1>
    </dataValidation>
    <dataValidation type="decimal" operator="greaterThan" showInputMessage="1" showErrorMessage="1" sqref="I622:J622">
      <formula1>-1</formula1>
    </dataValidation>
    <dataValidation type="decimal" operator="notEqual" allowBlank="1" showInputMessage="1" promptTitle="Numeric Input" prompt="Please insert numeric value or leave blank_x000a_" showErrorMessage="1" error="Please do not enter '0' or text" sqref="I623:J623">
      <formula1>0</formula1>
    </dataValidation>
    <dataValidation type="decimal" operator="greaterThan" showInputMessage="1" showErrorMessage="1" sqref="I624:J624">
      <formula1>-1</formula1>
    </dataValidation>
    <dataValidation type="decimal" operator="notEqual" allowBlank="1" showInputMessage="1" promptTitle="Numeric Input" prompt="Please insert numeric value or leave blank_x000a_" showErrorMessage="1" error="Please do not enter '0' or text" sqref="I625:J625">
      <formula1>0</formula1>
    </dataValidation>
    <dataValidation type="decimal" operator="greaterThan" showInputMessage="1" showErrorMessage="1" sqref="I626:J626">
      <formula1>-1</formula1>
    </dataValidation>
    <dataValidation type="decimal" operator="notEqual" allowBlank="1" showInputMessage="1" promptTitle="Numeric Input" prompt="Please insert numeric value or leave blank_x000a_" showErrorMessage="1" error="Please do not enter '0' or text" sqref="I627:J628">
      <formula1>0</formula1>
    </dataValidation>
    <dataValidation type="decimal" operator="greaterThan" showInputMessage="1" showErrorMessage="1" sqref="I629:J629">
      <formula1>-1</formula1>
    </dataValidation>
    <dataValidation type="decimal" operator="notEqual" allowBlank="1" showInputMessage="1" promptTitle="Numeric Input" prompt="Please insert numeric value or leave blank_x000a_" showErrorMessage="1" error="Please do not enter '0' or text" sqref="I630:J631">
      <formula1>0</formula1>
    </dataValidation>
    <dataValidation type="decimal" operator="greaterThan" showInputMessage="1" showErrorMessage="1" sqref="I638:J641">
      <formula1>-1</formula1>
    </dataValidation>
    <dataValidation type="decimal" operator="greaterThan" allowBlank="1" showInputMessage="1" showErrorMessage="1" error="Please do not enter text" sqref="I64:J67">
      <formula1>-1</formula1>
    </dataValidation>
    <dataValidation type="decimal" operator="notEqual" allowBlank="1" showInputMessage="1" promptTitle="Numeric Input" prompt="Please insert numeric value or leave blank_x000a_" showErrorMessage="1" error="Please do not enter '0' or text" sqref="I642:J642">
      <formula1>0</formula1>
    </dataValidation>
    <dataValidation type="decimal" operator="greaterThan" showInputMessage="1" showErrorMessage="1" sqref="I643:J643">
      <formula1>-1</formula1>
    </dataValidation>
    <dataValidation type="decimal" operator="notEqual" allowBlank="1" showInputMessage="1" promptTitle="Numeric Input" prompt="Please insert numeric value or leave blank_x000a_" showErrorMessage="1" error="Please do not enter '0' or text" sqref="I644:J644">
      <formula1>0</formula1>
    </dataValidation>
    <dataValidation type="decimal" operator="greaterThan" showInputMessage="1" showErrorMessage="1" sqref="I645:J645">
      <formula1>-1</formula1>
    </dataValidation>
    <dataValidation type="decimal" operator="notEqual" allowBlank="1" showInputMessage="1" promptTitle="Numeric Input" prompt="Please insert numeric value or leave blank_x000a_" showErrorMessage="1" error="Please do not enter '0' or text" sqref="I646:J646">
      <formula1>0</formula1>
    </dataValidation>
    <dataValidation type="decimal" operator="greaterThan" showInputMessage="1" showErrorMessage="1" sqref="I647:J647">
      <formula1>-1</formula1>
    </dataValidation>
    <dataValidation type="decimal" operator="notEqual" allowBlank="1" showInputMessage="1" promptTitle="Numeric Input" prompt="Please insert numeric value or leave blank_x000a_" showErrorMessage="1" error="Please do not enter '0' or text" sqref="I648:J648">
      <formula1>0</formula1>
    </dataValidation>
    <dataValidation type="decimal" operator="greaterThan" showInputMessage="1" showErrorMessage="1" sqref="I649:J649">
      <formula1>-1</formula1>
    </dataValidation>
    <dataValidation type="decimal" operator="notEqual" allowBlank="1" showInputMessage="1" promptTitle="Numeric Input" prompt="Please insert numeric value or leave blank_x000a_" showErrorMessage="1" error="Please do not enter '0' or text" sqref="I650:J651">
      <formula1>0</formula1>
    </dataValidation>
    <dataValidation type="decimal" operator="greaterThan" showInputMessage="1" showErrorMessage="1" sqref="I652:J652">
      <formula1>-1</formula1>
    </dataValidation>
    <dataValidation type="decimal" operator="notEqual" allowBlank="1" showInputMessage="1" promptTitle="Numeric Input" prompt="Please insert numeric value or leave blank_x000a_" showErrorMessage="1" error="Please do not enter '0' or text" sqref="I653:J654">
      <formula1>0</formula1>
    </dataValidation>
    <dataValidation type="decimal" operator="greaterThan" showInputMessage="1" showErrorMessage="1" sqref="I661:J664">
      <formula1>-1</formula1>
    </dataValidation>
    <dataValidation type="decimal" operator="notEqual" allowBlank="1" showInputMessage="1" promptTitle="Numeric Input" prompt="Please insert numeric value or leave blank_x000a_" showErrorMessage="1" error="Please do not enter '0' or text" sqref="I665:J665">
      <formula1>0</formula1>
    </dataValidation>
    <dataValidation type="decimal" operator="greaterThan" showInputMessage="1" showErrorMessage="1" sqref="I666:J666">
      <formula1>-1</formula1>
    </dataValidation>
    <dataValidation type="decimal" operator="notEqual" allowBlank="1" showInputMessage="1" promptTitle="Numeric Input" prompt="Please insert numeric value or leave blank_x000a_" showErrorMessage="1" error="Please do not enter '0' or text" sqref="I667:J667">
      <formula1>0</formula1>
    </dataValidation>
    <dataValidation type="decimal" operator="greaterThan" showInputMessage="1" showErrorMessage="1" sqref="I668:J668">
      <formula1>-1</formula1>
    </dataValidation>
    <dataValidation type="decimal" operator="notEqual" allowBlank="1" showInputMessage="1" promptTitle="Numeric Input" prompt="Please insert numeric value or leave blank_x000a_" showErrorMessage="1" error="Please do not enter '0' or text" sqref="I669:J669">
      <formula1>0</formula1>
    </dataValidation>
    <dataValidation type="decimal" operator="greaterThan" showInputMessage="1" showErrorMessage="1" sqref="I670:J670">
      <formula1>-1</formula1>
    </dataValidation>
    <dataValidation type="decimal" operator="notEqual" allowBlank="1" showInputMessage="1" promptTitle="Numeric Input" prompt="Please insert numeric value or leave blank_x000a_" showErrorMessage="1" error="Please do not enter '0' or text" sqref="I671:J671">
      <formula1>0</formula1>
    </dataValidation>
    <dataValidation type="decimal" operator="greaterThan" showInputMessage="1" showErrorMessage="1" sqref="I672:J672">
      <formula1>-1</formula1>
    </dataValidation>
    <dataValidation type="decimal" operator="notEqual" allowBlank="1" showInputMessage="1" promptTitle="Numeric Input" prompt="Please insert numeric value or leave blank_x000a_" showErrorMessage="1" error="Please do not enter '0' or text" sqref="I673:J674">
      <formula1>0</formula1>
    </dataValidation>
    <dataValidation type="decimal" operator="greaterThan" showInputMessage="1" showErrorMessage="1" sqref="I675:J675">
      <formula1>-1</formula1>
    </dataValidation>
    <dataValidation type="decimal" operator="notEqual" allowBlank="1" showInputMessage="1" promptTitle="Numeric Input" prompt="Please insert numeric value or leave blank_x000a_" showErrorMessage="1" error="Please do not enter '0' or text" sqref="I676:J677">
      <formula1>0</formula1>
    </dataValidation>
    <dataValidation type="decimal" operator="notEqual" allowBlank="1" showInputMessage="1" promptTitle="Numeric Input" prompt="Please insert numeric value or leave blank_x000a_" showErrorMessage="1" error="Please do not enter '0' or text" sqref="I68:J69">
      <formula1>0</formula1>
    </dataValidation>
    <dataValidation type="decimal" operator="greaterThan" promptTitle="Numeric Input" prompt="Please enter numeric values or leave blank" showErrorMessage="1" errorTitle="Text Alert" error="Please do not enter text" sqref="I694:J711">
      <formula1>-1</formula1>
    </dataValidation>
    <dataValidation type="decimal" operator="greaterThan" allowBlank="1" showInputMessage="1" showErrorMessage="1" error="Please do not enter text" sqref="I70:J70">
      <formula1>-1</formula1>
    </dataValidation>
    <dataValidation type="decimal" operator="greaterThan" allowBlank="1" showInputMessage="1" showErrorMessage="1" error="Please do not enter text" sqref="I712:J713">
      <formula1>-1</formula1>
    </dataValidation>
    <dataValidation type="decimal" operator="greaterThan" promptTitle="Numeric Input" prompt="Please enter numeric values or leave blank" showErrorMessage="1" errorTitle="Text Alert" error="Please do not enter text" sqref="I728:J730">
      <formula1>-1</formula1>
    </dataValidation>
    <dataValidation type="decimal" operator="notEqual" allowBlank="1" showInputMessage="1" promptTitle="Numeric Input" prompt="Please insert numeric value or leave blank_x000a_" showErrorMessage="1" error="Please do not enter '0' or text" sqref="I731:J734">
      <formula1>0</formula1>
    </dataValidation>
    <dataValidation type="decimal" operator="greaterThan" promptTitle="Numeric Input" prompt="Please enter numeric values or leave blank" showErrorMessage="1" errorTitle="Text Alert" error="Please do not enter text" sqref="I735:J735">
      <formula1>-1</formula1>
    </dataValidation>
    <dataValidation type="decimal" operator="greaterThan" allowBlank="1" showInputMessage="1" showErrorMessage="1" error="Please do not enter text" sqref="I74:J75">
      <formula1>-1</formula1>
    </dataValidation>
    <dataValidation type="decimal" operator="greaterThan" promptTitle="Numeric Input" prompt="Please enter numeric values or leave blank" showErrorMessage="1" errorTitle="Text Alert" error="Please do not enter text" sqref="I747:J748">
      <formula1>-1</formula1>
    </dataValidation>
    <dataValidation type="decimal" operator="notEqual" allowBlank="1" showInputMessage="1" promptTitle="Numeric Input" prompt="Please insert numeric value or leave blank_x000a_" showErrorMessage="1" error="Please do not enter '0' or text" sqref="I749:J751">
      <formula1>0</formula1>
    </dataValidation>
    <dataValidation type="decimal" operator="greaterThan" promptTitle="Numeric Input" prompt="Please enter numeric values or leave blank" showErrorMessage="1" errorTitle="Text Alert" error="Please do not enter text" sqref="I752:J752">
      <formula1>-1</formula1>
    </dataValidation>
    <dataValidation type="decimal" operator="greaterThan" promptTitle="Numeric Input" prompt="Please enter numeric values or leave blank" showErrorMessage="1" errorTitle="Text Alert" error="Please do not enter text" sqref="I755:J757">
      <formula1>-1</formula1>
    </dataValidation>
    <dataValidation type="decimal" operator="notEqual" allowBlank="1" showInputMessage="1" promptTitle="Numeric Input" prompt="Please enter numeric values or leave blank" showErrorMessage="1" errorTitle="Text Alert" error="Please do not enter &quot;0&quot; or text" sqref="I76:J77">
      <formula1>0</formula1>
    </dataValidation>
    <dataValidation type="decimal" operator="greaterThan" promptTitle="Numeric Input" prompt="Please enter numeric values or leave blank" showErrorMessage="1" errorTitle="Text Alert" error="Please do not enter text" sqref="I761:J762">
      <formula1>-1</formula1>
    </dataValidation>
    <dataValidation type="decimal" operator="notEqual" allowBlank="1" showInputMessage="1" promptTitle="Numeric Input" prompt="Please insert numeric value or leave blank_x000a_" showErrorMessage="1" error="Please do not enter '0' or text" sqref="I763:J764">
      <formula1>0</formula1>
    </dataValidation>
    <dataValidation type="decimal" operator="greaterThan" promptTitle="Numeric Input" prompt="Please enter numeric values or leave blank" showErrorMessage="1" errorTitle="Text Alert" error="Please do not enter text" sqref="I765:J765">
      <formula1>-1</formula1>
    </dataValidation>
    <dataValidation type="decimal" operator="notEqual" allowBlank="1" showInputMessage="1" promptTitle="Numeric Input" prompt="Please insert numeric value or leave blank_x000a_" showErrorMessage="1" error="Please do not enter '0' or text" sqref="I767:J767">
      <formula1>0</formula1>
    </dataValidation>
    <dataValidation type="decimal" operator="greaterThan" promptTitle="Numeric Input" prompt="Please enter numeric values or leave blank" showErrorMessage="1" errorTitle="Text Alert" error="Please do not enter text" sqref="I768:J770">
      <formula1>-1</formula1>
    </dataValidation>
    <dataValidation type="decimal" operator="greaterThan" promptTitle="Numeric Input" prompt="Please enter numeric values or leave blank" showErrorMessage="1" errorTitle="Text Alert" error="Please do not enter text" sqref="I772:J773">
      <formula1>-1</formula1>
    </dataValidation>
    <dataValidation type="decimal" operator="notEqual" allowBlank="1" showInputMessage="1" promptTitle="Numeric Input" prompt="Please insert numeric value or leave blank_x000a_" showErrorMessage="1" error="Please do not enter '0' or text" sqref="I774:J774">
      <formula1>0</formula1>
    </dataValidation>
    <dataValidation type="decimal" operator="greaterThan" promptTitle="Numeric Input" prompt="Please enter numeric values or leave blank" showErrorMessage="1" errorTitle="Text Alert" error="Please do not enter text" sqref="I775:J775">
      <formula1>-1</formula1>
    </dataValidation>
    <dataValidation type="decimal" operator="greaterThan" promptTitle="Numeric Input" prompt="Please enter numeric values or leave blank" showErrorMessage="1" errorTitle="Text Alert" error="Please do not enter text" sqref="I777:J778">
      <formula1>-1</formula1>
    </dataValidation>
    <dataValidation type="decimal" operator="notEqual" allowBlank="1" showInputMessage="1" promptTitle="Numeric Input" prompt="Please insert numeric value or leave blank_x000a_" showErrorMessage="1" error="Please do not enter '0' or text" sqref="I779:J779">
      <formula1>0</formula1>
    </dataValidation>
    <dataValidation type="decimal" operator="greaterThan" allowBlank="1" showInputMessage="1" showErrorMessage="1" error="Please do not enter text" sqref="I78:J93">
      <formula1>-1</formula1>
    </dataValidation>
    <dataValidation type="decimal" operator="greaterThan" promptTitle="Numeric Input" prompt="Please enter numeric values or leave blank" showErrorMessage="1" errorTitle="Text Alert" error="Please do not enter text" sqref="I780:J780">
      <formula1>-1</formula1>
    </dataValidation>
    <dataValidation type="decimal" operator="greaterThan" promptTitle="Numeric Input" prompt="Please enter numeric values or leave blank" showErrorMessage="1" errorTitle="Text Alert" error="Please do not enter text" sqref="I788:J789">
      <formula1>-1</formula1>
    </dataValidation>
    <dataValidation type="decimal" operator="notEqual" allowBlank="1" showInputMessage="1" promptTitle="Numeric Input" prompt="Please insert numeric value or leave blank_x000a_" showErrorMessage="1" error="Please do not enter '0' or text" sqref="I790:J791">
      <formula1>0</formula1>
    </dataValidation>
    <dataValidation type="decimal" operator="greaterThan" promptTitle="Numeric Input" prompt="Please enter numeric values or leave blank" showErrorMessage="1" errorTitle="Text Alert" error="Please do not enter text" sqref="I792:J792">
      <formula1>-1</formula1>
    </dataValidation>
    <dataValidation type="decimal" operator="greaterThan" promptTitle="Numeric Input" prompt="Please enter numeric values or leave blank" showErrorMessage="1" errorTitle="Text Alert" error="Please do not enter text" sqref="I794:J797">
      <formula1>-1</formula1>
    </dataValidation>
    <dataValidation type="decimal" operator="greaterThan" promptTitle="Numeric Input" prompt="Please enter numeric values or leave blank" showErrorMessage="1" errorTitle="Text Alert" error="Please do not enter text" sqref="I799:J802">
      <formula1>-1</formula1>
    </dataValidation>
    <dataValidation type="decimal" operator="greaterThan" promptTitle="Numeric Input" prompt="Please enter numeric values or leave blank" showErrorMessage="1" errorTitle="Text Alert" error="Please do not enter text" sqref="I804:J807">
      <formula1>-1</formula1>
    </dataValidation>
    <dataValidation type="decimal" operator="greaterThan" promptTitle="Numeric Input" prompt="Please enter numeric values or leave blank" showErrorMessage="1" errorTitle="Text Alert" error="Please do not enter text" sqref="I841:J842">
      <formula1>-1</formula1>
    </dataValidation>
    <dataValidation type="decimal" operator="notEqual" allowBlank="1" showInputMessage="1" promptTitle="Numeric Input" prompt="Please insert numeric value or leave blank_x000a_" showErrorMessage="1" error="Please do not enter '0' or text" sqref="I856:J861">
      <formula1>0</formula1>
    </dataValidation>
    <dataValidation type="decimal" operator="greaterThan" promptTitle="Numeric Input" prompt="Please enter numeric values or leave blank" showErrorMessage="1" errorTitle="Text Alert" error="Please do not enter text" sqref="I862:J865">
      <formula1>-1</formula1>
    </dataValidation>
    <dataValidation type="decimal" operator="notEqual" allowBlank="1" showInputMessage="1" promptTitle="Numeric Input" prompt="Please insert numeric value or leave blank_x000a_" showErrorMessage="1" error="Please do not enter '0' or text" sqref="I877:J882">
      <formula1>0</formula1>
    </dataValidation>
    <dataValidation type="decimal" operator="greaterThan" promptTitle="Numeric Input" prompt="Please enter numeric values or leave blank" showErrorMessage="1" errorTitle="Text Alert" error="Please do not enter text" sqref="I883:J886">
      <formula1>-1</formula1>
    </dataValidation>
    <dataValidation type="decimal" operator="notEqual" allowBlank="1" showInputMessage="1" promptTitle="Numeric Input" prompt="Please insert numeric value or leave blank_x000a_" showErrorMessage="1" error="Please do not enter '0' or text" sqref="I898:J903">
      <formula1>0</formula1>
    </dataValidation>
    <dataValidation type="decimal" operator="greaterThan" promptTitle="Numeric Input" prompt="Please enter numeric values or leave blank" showErrorMessage="1" errorTitle="Text Alert" error="Please do not enter text" sqref="I904:J907">
      <formula1>-1</formula1>
    </dataValidation>
    <dataValidation type="decimal" operator="notEqual" allowBlank="1" showInputMessage="1" promptTitle="Numeric Input" prompt="Please insert numeric value or leave blank_x000a_" showErrorMessage="1" error="Please do not enter '0' or text" sqref="I919:J924">
      <formula1>0</formula1>
    </dataValidation>
    <dataValidation type="decimal" operator="greaterThan" promptTitle="Numeric Input" prompt="Please enter numeric values or leave blank" showErrorMessage="1" errorTitle="Text Alert" error="Please do not enter text" sqref="I925:J928">
      <formula1>-1</formula1>
    </dataValidation>
    <dataValidation type="decimal" allowBlank="1" showInputMessage="1" promptTitle="Numeric Input" prompt="Please insert numeric value or leave blank_x000a_" showErrorMessage="1" sqref="I94:J95">
      <formula1>1</formula1>
      <formula2>10000000</formula2>
    </dataValidation>
    <dataValidation type="decimal" operator="notEqual" allowBlank="1" showInputMessage="1" promptTitle="Numeric Input" prompt="Please insert numeric value or leave blank_x000a_" showErrorMessage="1" error="Please do not enter '0' or text" sqref="I940:J945">
      <formula1>0</formula1>
    </dataValidation>
    <dataValidation type="decimal" operator="greaterThan" promptTitle="Numeric Input" prompt="Please enter numeric values or leave blank" showErrorMessage="1" errorTitle="Text Alert" error="Please do not enter text" sqref="I946:J949">
      <formula1>-1</formula1>
    </dataValidation>
    <dataValidation type="decimal" operator="notEqual" allowBlank="1" showInputMessage="1" promptTitle="Numeric Input" prompt="Please insert numeric value or leave blank_x000a_" showErrorMessage="1" error="Please do not enter '0' or text" sqref="I961:J966">
      <formula1>0</formula1>
    </dataValidation>
    <dataValidation type="decimal" operator="greaterThan" promptTitle="Numeric Input" prompt="Please enter numeric values or leave blank" showErrorMessage="1" errorTitle="Text Alert" error="Please do not enter text" sqref="I967:J970">
      <formula1>-1</formula1>
    </dataValidation>
    <dataValidation type="decimal" operator="greaterThan" allowBlank="1" showInputMessage="1" showErrorMessage="1" error="Please do not enter text" sqref="I98:J99">
      <formula1>-1</formula1>
    </dataValidation>
    <dataValidation type="decimal" operator="notEqual" allowBlank="1" showInputMessage="1" promptTitle="Numeric Input" prompt="Please insert numeric value or leave blank_x000a_" showErrorMessage="1" error="Please do not enter '0' or text" sqref="I985:J991">
      <formula1>0</formula1>
    </dataValidation>
    <dataValidation type="decimal" operator="greaterThan" promptTitle="Numeric Input" prompt="Please enter numeric values or leave blank" showErrorMessage="1" errorTitle="Text Alert" error="Please do not enter text" sqref="I992:J999">
      <formula1>-1</formula1>
    </dataValidation>
    <dataValidation type="decimal" operator="greaterThan" allowBlank="1" showInputMessage="1" showErrorMessage="1" error="Please do not enter text" sqref="J11:K26">
      <formula1>-1</formula1>
    </dataValidation>
    <dataValidation type="decimal" operator="greaterThan" promptTitle="Numeric Input" prompt="Please enter numeric values or leave blank" showErrorMessage="1" errorTitle="Text Alert" error="Please do not enter text" sqref="J1153:J1156">
      <formula1>-1</formula1>
    </dataValidation>
    <dataValidation type="decimal" operator="greaterThan" allowBlank="1" showInputMessage="1" showErrorMessage="1" error="Please do not enter text" sqref="J117:J118">
      <formula1>-1</formula1>
    </dataValidation>
    <dataValidation type="decimal" operator="notEqual" allowBlank="1" showInputMessage="1" promptTitle="Numeric Input" prompt="Please insert numeric value or leave blank_x000a_" showErrorMessage="1" error="Please do not enter '0' or text" sqref="J119:J120">
      <formula1>0</formula1>
    </dataValidation>
    <dataValidation type="decimal" operator="notEqual" allowBlank="1" showInputMessage="1" promptTitle="Numeric Input" prompt="Please insert numeric value or leave blank_x000a_" showErrorMessage="1" error="Please do not enter '0' or text" sqref="J1321:J1324">
      <formula1>0</formula1>
    </dataValidation>
    <dataValidation type="decimal" operator="greaterThan" allowBlank="1" showInputMessage="1" showErrorMessage="1" error="Please do not enter text" sqref="J28:K40">
      <formula1>-1</formula1>
    </dataValidation>
    <dataValidation type="decimal" operator="greaterThan" allowBlank="1" showInputMessage="1" showErrorMessage="1" error="Please do not enter text" sqref="J43:J44">
      <formula1>-1</formula1>
    </dataValidation>
    <dataValidation type="decimal" operator="greaterThan" allowBlank="1" showInputMessage="1" showErrorMessage="1" error="Please do not enter text" sqref="J46:J47">
      <formula1>-1</formula1>
    </dataValidation>
    <dataValidation type="decimal" operator="greaterThan" promptTitle="Numeric Input" prompt="Please enter numeric values or leave blank" showErrorMessage="1" errorTitle="Text Alert" error="Please do not enter text" sqref="J693:J711">
      <formula1>-1</formula1>
    </dataValidation>
    <dataValidation type="decimal" operator="greaterThan" promptTitle="Numeric Input" prompt="Please enter numeric values or leave blank" showErrorMessage="1" errorTitle="Text Alert" error="Please do not enter text" sqref="J814">
      <formula1>-1</formula1>
    </dataValidation>
    <dataValidation type="decimal" operator="greaterThan" promptTitle="Numeric Input" prompt="Please enter numeric values or leave blank" showErrorMessage="1" errorTitle="Text Alert" error="Please do not enter text" sqref="J866">
      <formula1>-1</formula1>
    </dataValidation>
    <dataValidation type="decimal" operator="greaterThan" promptTitle="Numeric Input" prompt="Please enter numeric values or leave blank" showErrorMessage="1" errorTitle="Text Alert" error="Please do not enter text" sqref="J887">
      <formula1>-1</formula1>
    </dataValidation>
    <dataValidation type="decimal" operator="greaterThan" promptTitle="Numeric Input" prompt="Please enter numeric values or leave blank" showErrorMessage="1" errorTitle="Text Alert" error="Please do not enter text" sqref="J908">
      <formula1>-1</formula1>
    </dataValidation>
    <dataValidation type="decimal" operator="greaterThan" promptTitle="Numeric Input" prompt="Please enter numeric values or leave blank" showErrorMessage="1" errorTitle="Text Alert" error="Please do not enter text" sqref="J929">
      <formula1>-1</formula1>
    </dataValidation>
    <dataValidation type="decimal" operator="greaterThan" promptTitle="Numeric Input" prompt="Please enter numeric values or leave blank" showErrorMessage="1" errorTitle="Text Alert" error="Please do not enter text" sqref="J950">
      <formula1>-1</formula1>
    </dataValidation>
    <dataValidation type="decimal" operator="greaterThan" promptTitle="Numeric Input" prompt="Please enter numeric values or leave blank" showErrorMessage="1" errorTitle="Text Alert" error="Please do not enter text" sqref="J971:J973">
      <formula1>-1</formula1>
    </dataValidation>
    <dataValidation promptTitle="Numeric Input" prompt="Please enter numeric values or leave blank" showErrorMessage="1" errorTitle="Text Alert" error="Please do not enter text" sqref="K1382:K1391"/>
    <dataValidation promptTitle="Numeric Input" prompt="Please enter numeric values or leave blank" showErrorMessage="1" errorTitle="Text Alert" error="Please do not enter text" sqref="K712:K715"/>
  </dataValidations>
  <pageMargins left="0.7874015748031497" right="0.5511811023622047" top="0.7480314960629921" bottom="0.7480314960629921" header="0.31496062992125984" footer="0.31496062992125984"/>
  <pageSetup orientation="landscape" horizontalDpi="4294967295" verticalDpi="4294967295" scale="60" fitToWidth="1" fitToHeight="1" firstPageNumber="1" useFirstPageNumber="1" copies="1"/>
  <drawing r:id="rId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workbookViewId="0" zoomScale="100" zoomScaleNormal="100">
      <selection activeCell="B12" sqref="B12"/>
    </sheetView>
  </sheetViews>
  <sheetFormatPr defaultRowHeight="14.5" outlineLevelRow="0" outlineLevelCol="0" x14ac:dyDescent="0.35" customHeight="1"/>
  <cols>
    <col min="1" max="1" width="8" customWidth="1"/>
    <col min="2" max="2" width="47.81640625" customWidth="1"/>
    <col min="3" max="3" width="11.7265625" customWidth="1"/>
    <col min="5" max="5" width="15.7265625" customWidth="1"/>
    <col min="6" max="6" width="11.54296875" customWidth="1"/>
    <col min="7" max="7" width="13.26953125" customWidth="1"/>
    <col min="8" max="8" width="10.7265625" customWidth="1"/>
    <col min="9" max="9" width="11.26953125" customWidth="1"/>
    <col min="10" max="10" width="19.7265625" customWidth="1"/>
    <col min="11" max="11" width="24" customWidth="1"/>
    <col min="12" max="12" width="21.26953125" customWidth="1"/>
    <col min="13" max="13" width="29.81640625" customWidth="1"/>
  </cols>
  <sheetData>
    <row r="1" ht="26" customHeight="1" spans="1:13" x14ac:dyDescent="0.25">
      <c r="A1" s="393" t="s">
        <v>3337</v>
      </c>
      <c r="B1" s="394"/>
      <c r="C1" s="394"/>
      <c r="D1" s="394"/>
      <c r="E1" s="394"/>
      <c r="F1" s="394"/>
      <c r="G1" s="394"/>
      <c r="H1" s="394"/>
      <c r="I1" s="394"/>
      <c r="J1" s="394"/>
      <c r="K1" s="394"/>
      <c r="L1" s="394"/>
      <c r="M1" s="394"/>
    </row>
    <row r="2" spans="1:13" x14ac:dyDescent="0.25">
      <c r="A2" s="244" t="s">
        <v>1361</v>
      </c>
      <c r="B2" s="244"/>
      <c r="C2" s="244"/>
      <c r="D2" s="244"/>
      <c r="E2" s="1369" t="str">
        <f>'General Information'!C3</f>
        <v>HINDALCO INDUSTRIES LIMITED</v>
      </c>
      <c r="F2" s="1369"/>
      <c r="G2" s="1369"/>
      <c r="H2" s="1369"/>
      <c r="I2" s="1369"/>
      <c r="J2" s="1369"/>
      <c r="K2" s="1369"/>
      <c r="L2" s="1369"/>
      <c r="M2" s="1369"/>
    </row>
    <row r="3" ht="30" customHeight="1" spans="1:13" x14ac:dyDescent="0.25">
      <c r="A3" s="1370"/>
      <c r="B3" s="1371"/>
      <c r="C3" s="1371"/>
      <c r="D3" s="1371"/>
      <c r="E3" s="1371"/>
      <c r="F3" s="1372"/>
      <c r="G3" s="1373" t="str">
        <f>'NF - 5 Power Mix'!E4</f>
        <v>Baseline/Previous Year 2023-24</v>
      </c>
      <c r="H3" s="1373"/>
      <c r="I3" s="1374"/>
      <c r="J3" s="1375" t="str">
        <f>'NF - 5 Power Mix'!F4</f>
        <v>Assesment year/ Current Year  FY 2025-26</v>
      </c>
      <c r="K3" s="1373"/>
      <c r="L3" s="1373"/>
      <c r="M3" s="1373"/>
    </row>
    <row r="4" ht="43.5" customHeight="1" spans="1:13" x14ac:dyDescent="0.25">
      <c r="A4" s="1376" t="s">
        <v>46</v>
      </c>
      <c r="B4" s="1376" t="s">
        <v>3338</v>
      </c>
      <c r="C4" s="1376" t="s">
        <v>3339</v>
      </c>
      <c r="D4" s="1376" t="s">
        <v>3340</v>
      </c>
      <c r="E4" s="1377" t="s">
        <v>3341</v>
      </c>
      <c r="F4" s="988" t="s">
        <v>3342</v>
      </c>
      <c r="G4" s="988" t="s">
        <v>3343</v>
      </c>
      <c r="H4" s="988" t="s">
        <v>3344</v>
      </c>
      <c r="I4" s="988" t="s">
        <v>1751</v>
      </c>
      <c r="J4" s="988" t="s">
        <v>3345</v>
      </c>
      <c r="K4" s="988" t="s">
        <v>3346</v>
      </c>
      <c r="L4" s="1377" t="s">
        <v>1548</v>
      </c>
      <c r="M4" s="1377" t="s">
        <v>1673</v>
      </c>
    </row>
    <row r="5" ht="29" customHeight="1" spans="1:13" x14ac:dyDescent="0.25">
      <c r="A5" s="1378"/>
      <c r="B5" s="1378"/>
      <c r="C5" s="1378"/>
      <c r="D5" s="1378"/>
      <c r="E5" s="1379" t="s">
        <v>1423</v>
      </c>
      <c r="F5" s="989" t="s">
        <v>2000</v>
      </c>
      <c r="G5" s="988" t="s">
        <v>3347</v>
      </c>
      <c r="H5" s="989" t="s">
        <v>2000</v>
      </c>
      <c r="I5" s="988" t="s">
        <v>3348</v>
      </c>
      <c r="J5" s="988" t="s">
        <v>3349</v>
      </c>
      <c r="K5" s="988" t="s">
        <v>3247</v>
      </c>
      <c r="L5" s="1379"/>
      <c r="M5" s="1379"/>
    </row>
    <row r="6" spans="1:13" s="1380" customFormat="1" x14ac:dyDescent="0.25">
      <c r="A6" s="541">
        <v>1</v>
      </c>
      <c r="B6" s="1381"/>
      <c r="C6" s="978"/>
      <c r="D6" s="978"/>
      <c r="E6" s="978"/>
      <c r="F6" s="541"/>
      <c r="G6" s="541"/>
      <c r="H6" s="541"/>
      <c r="I6" s="541"/>
      <c r="J6" s="541"/>
      <c r="K6" s="541"/>
      <c r="L6" s="978"/>
      <c r="M6" s="978"/>
    </row>
    <row r="7" spans="1:13" s="1380" customFormat="1" x14ac:dyDescent="0.25">
      <c r="A7" s="541">
        <v>2</v>
      </c>
      <c r="B7" s="1381"/>
      <c r="C7" s="978"/>
      <c r="D7" s="978"/>
      <c r="E7" s="1382"/>
      <c r="F7" s="541"/>
      <c r="G7" s="541"/>
      <c r="H7" s="541"/>
      <c r="I7" s="541"/>
      <c r="J7" s="541"/>
      <c r="K7" s="541"/>
      <c r="L7" s="978"/>
      <c r="M7" s="1382"/>
    </row>
    <row r="8" spans="1:13" s="1380" customFormat="1" x14ac:dyDescent="0.25">
      <c r="A8" s="541">
        <v>3</v>
      </c>
      <c r="B8" s="978"/>
      <c r="C8" s="978"/>
      <c r="D8" s="978"/>
      <c r="E8" s="978"/>
      <c r="F8" s="541"/>
      <c r="G8" s="541"/>
      <c r="H8" s="541"/>
      <c r="I8" s="541"/>
      <c r="J8" s="541"/>
      <c r="K8" s="541"/>
      <c r="L8" s="978"/>
      <c r="M8" s="978"/>
    </row>
    <row r="9" spans="1:13" s="1380" customFormat="1" x14ac:dyDescent="0.25">
      <c r="A9" s="541">
        <v>4</v>
      </c>
      <c r="B9" s="978"/>
      <c r="C9" s="978"/>
      <c r="D9" s="978"/>
      <c r="E9" s="978"/>
      <c r="F9" s="541"/>
      <c r="G9" s="541"/>
      <c r="H9" s="541"/>
      <c r="I9" s="541"/>
      <c r="J9" s="541"/>
      <c r="K9" s="541"/>
      <c r="L9" s="978"/>
      <c r="M9" s="978"/>
    </row>
    <row r="10" spans="1:13" s="1380" customFormat="1" x14ac:dyDescent="0.25">
      <c r="A10" s="541">
        <v>5</v>
      </c>
      <c r="B10" s="978"/>
      <c r="C10" s="978"/>
      <c r="D10" s="978"/>
      <c r="E10" s="978"/>
      <c r="F10" s="541"/>
      <c r="G10" s="541"/>
      <c r="H10" s="541"/>
      <c r="I10" s="541"/>
      <c r="J10" s="541"/>
      <c r="K10" s="541"/>
      <c r="L10" s="978"/>
      <c r="M10" s="978"/>
    </row>
    <row r="11" spans="1:13" s="1380" customFormat="1" x14ac:dyDescent="0.25">
      <c r="A11" s="541">
        <v>6</v>
      </c>
      <c r="B11" s="978"/>
      <c r="C11" s="978"/>
      <c r="D11" s="978"/>
      <c r="E11" s="978"/>
      <c r="F11" s="541"/>
      <c r="G11" s="541"/>
      <c r="H11" s="541"/>
      <c r="I11" s="541"/>
      <c r="J11" s="541"/>
      <c r="K11" s="541"/>
      <c r="L11" s="978"/>
      <c r="M11" s="978"/>
    </row>
    <row r="12" spans="1:13" s="1380" customFormat="1" x14ac:dyDescent="0.25">
      <c r="A12" s="541">
        <v>7</v>
      </c>
      <c r="B12" s="978"/>
      <c r="C12" s="978"/>
      <c r="D12" s="978"/>
      <c r="E12" s="978"/>
      <c r="F12" s="541"/>
      <c r="G12" s="541"/>
      <c r="H12" s="541"/>
      <c r="I12" s="541"/>
      <c r="J12" s="541"/>
      <c r="K12" s="541"/>
      <c r="L12" s="978"/>
      <c r="M12" s="978"/>
    </row>
    <row r="13" spans="1:13" s="1380" customFormat="1" x14ac:dyDescent="0.25">
      <c r="A13" s="541">
        <v>8</v>
      </c>
      <c r="B13" s="978"/>
      <c r="C13" s="978"/>
      <c r="D13" s="978"/>
      <c r="E13" s="978"/>
      <c r="F13" s="541"/>
      <c r="G13" s="541"/>
      <c r="H13" s="541"/>
      <c r="I13" s="541"/>
      <c r="J13" s="541"/>
      <c r="K13" s="541"/>
      <c r="L13" s="978"/>
      <c r="M13" s="978"/>
    </row>
    <row r="14" spans="1:13" s="1380" customFormat="1" x14ac:dyDescent="0.25">
      <c r="A14" s="541">
        <v>9</v>
      </c>
      <c r="B14" s="978"/>
      <c r="C14" s="978"/>
      <c r="D14" s="978"/>
      <c r="E14" s="978"/>
      <c r="F14" s="541"/>
      <c r="G14" s="541"/>
      <c r="H14" s="541"/>
      <c r="I14" s="541"/>
      <c r="J14" s="541"/>
      <c r="K14" s="541"/>
      <c r="L14" s="978"/>
      <c r="M14" s="978"/>
    </row>
    <row r="15" spans="1:13" s="1380" customFormat="1" x14ac:dyDescent="0.25">
      <c r="A15" s="541">
        <v>10</v>
      </c>
      <c r="B15" s="978"/>
      <c r="C15" s="978"/>
      <c r="D15" s="978"/>
      <c r="E15" s="978"/>
      <c r="F15" s="541"/>
      <c r="G15" s="541"/>
      <c r="H15" s="541"/>
      <c r="I15" s="541"/>
      <c r="J15" s="541"/>
      <c r="K15" s="541"/>
      <c r="L15" s="978"/>
      <c r="M15" s="978"/>
    </row>
    <row r="16" spans="1:13" s="1380" customFormat="1" x14ac:dyDescent="0.25">
      <c r="A16" s="541">
        <v>11</v>
      </c>
      <c r="B16" s="978"/>
      <c r="C16" s="978"/>
      <c r="D16" s="978"/>
      <c r="E16" s="978"/>
      <c r="F16" s="541"/>
      <c r="G16" s="541"/>
      <c r="H16" s="541"/>
      <c r="I16" s="541"/>
      <c r="J16" s="541"/>
      <c r="K16" s="541"/>
      <c r="L16" s="978"/>
      <c r="M16" s="978"/>
    </row>
    <row r="17" spans="1:13" s="1380" customFormat="1" x14ac:dyDescent="0.25">
      <c r="A17" s="541">
        <v>12</v>
      </c>
      <c r="B17" s="978"/>
      <c r="C17" s="978"/>
      <c r="D17" s="978"/>
      <c r="E17" s="978"/>
      <c r="F17" s="541"/>
      <c r="G17" s="541"/>
      <c r="H17" s="541"/>
      <c r="I17" s="541"/>
      <c r="J17" s="541"/>
      <c r="K17" s="541"/>
      <c r="L17" s="978"/>
      <c r="M17" s="978"/>
    </row>
    <row r="18" spans="1:13" s="1380" customFormat="1" x14ac:dyDescent="0.25">
      <c r="A18" s="541">
        <v>13</v>
      </c>
      <c r="B18" s="978"/>
      <c r="C18" s="978"/>
      <c r="D18" s="978"/>
      <c r="E18" s="978"/>
      <c r="F18" s="541"/>
      <c r="G18" s="541"/>
      <c r="H18" s="541"/>
      <c r="I18" s="541"/>
      <c r="J18" s="541"/>
      <c r="K18" s="541"/>
      <c r="L18" s="978"/>
      <c r="M18" s="978"/>
    </row>
    <row r="19" spans="1:13" s="1380" customFormat="1" x14ac:dyDescent="0.25">
      <c r="A19" s="541">
        <v>14</v>
      </c>
      <c r="B19" s="978"/>
      <c r="C19" s="978"/>
      <c r="D19" s="978"/>
      <c r="E19" s="978"/>
      <c r="F19" s="541"/>
      <c r="G19" s="541"/>
      <c r="H19" s="541"/>
      <c r="I19" s="541"/>
      <c r="J19" s="541"/>
      <c r="K19" s="541"/>
      <c r="L19" s="978"/>
      <c r="M19" s="978"/>
    </row>
    <row r="20" spans="1:13" s="1380" customFormat="1" x14ac:dyDescent="0.25">
      <c r="A20" s="541">
        <v>15</v>
      </c>
      <c r="B20" s="978"/>
      <c r="C20" s="978"/>
      <c r="D20" s="978"/>
      <c r="E20" s="978"/>
      <c r="F20" s="541"/>
      <c r="G20" s="541"/>
      <c r="H20" s="541"/>
      <c r="I20" s="541"/>
      <c r="J20" s="541"/>
      <c r="K20" s="541"/>
      <c r="L20" s="978"/>
      <c r="M20" s="978"/>
    </row>
    <row r="21" spans="1:13" s="1380" customFormat="1" x14ac:dyDescent="0.25">
      <c r="A21" s="541">
        <v>16</v>
      </c>
      <c r="B21" s="978"/>
      <c r="C21" s="978"/>
      <c r="D21" s="978"/>
      <c r="E21" s="978"/>
      <c r="F21" s="541"/>
      <c r="G21" s="541"/>
      <c r="H21" s="541"/>
      <c r="I21" s="541"/>
      <c r="J21" s="541"/>
      <c r="K21" s="541"/>
      <c r="L21" s="978"/>
      <c r="M21" s="978"/>
    </row>
    <row r="22" spans="1:13" s="1380" customFormat="1" x14ac:dyDescent="0.25">
      <c r="A22" s="541">
        <v>17</v>
      </c>
      <c r="B22" s="978"/>
      <c r="C22" s="978"/>
      <c r="D22" s="978"/>
      <c r="E22" s="978"/>
      <c r="F22" s="541"/>
      <c r="G22" s="541"/>
      <c r="H22" s="541"/>
      <c r="I22" s="541"/>
      <c r="J22" s="541"/>
      <c r="K22" s="541"/>
      <c r="L22" s="978"/>
      <c r="M22" s="978"/>
    </row>
    <row r="23" spans="1:13" s="1380" customFormat="1" x14ac:dyDescent="0.25">
      <c r="A23" s="541">
        <v>18</v>
      </c>
      <c r="B23" s="978"/>
      <c r="C23" s="978"/>
      <c r="D23" s="978"/>
      <c r="E23" s="978"/>
      <c r="F23" s="541"/>
      <c r="G23" s="541"/>
      <c r="H23" s="541"/>
      <c r="I23" s="541"/>
      <c r="J23" s="541"/>
      <c r="K23" s="541"/>
      <c r="L23" s="978"/>
      <c r="M23" s="978"/>
    </row>
    <row r="24" spans="1:13" s="1380" customFormat="1" x14ac:dyDescent="0.25">
      <c r="A24" s="541">
        <v>19</v>
      </c>
      <c r="B24" s="978"/>
      <c r="C24" s="978"/>
      <c r="D24" s="978"/>
      <c r="E24" s="978"/>
      <c r="F24" s="541"/>
      <c r="G24" s="541"/>
      <c r="H24" s="541"/>
      <c r="I24" s="541"/>
      <c r="J24" s="541"/>
      <c r="K24" s="541"/>
      <c r="L24" s="978"/>
      <c r="M24" s="978"/>
    </row>
    <row r="25" spans="1:13" s="1380" customFormat="1" x14ac:dyDescent="0.25">
      <c r="A25" s="541">
        <v>20</v>
      </c>
      <c r="B25" s="978"/>
      <c r="C25" s="978"/>
      <c r="D25" s="978"/>
      <c r="E25" s="978"/>
      <c r="F25" s="541"/>
      <c r="G25" s="541"/>
      <c r="H25" s="541"/>
      <c r="I25" s="541"/>
      <c r="J25" s="541"/>
      <c r="K25" s="541"/>
      <c r="L25" s="978"/>
      <c r="M25" s="978"/>
    </row>
    <row r="26" spans="1:13" s="1380" customFormat="1" x14ac:dyDescent="0.25">
      <c r="A26" s="541">
        <v>21</v>
      </c>
      <c r="B26" s="978"/>
      <c r="C26" s="978"/>
      <c r="D26" s="978"/>
      <c r="E26" s="978"/>
      <c r="F26" s="541"/>
      <c r="G26" s="541"/>
      <c r="H26" s="541"/>
      <c r="I26" s="541"/>
      <c r="J26" s="541"/>
      <c r="K26" s="541"/>
      <c r="L26" s="978"/>
      <c r="M26" s="978"/>
    </row>
    <row r="27" spans="1:13" x14ac:dyDescent="0.25">
      <c r="A27" s="1383" t="s">
        <v>2582</v>
      </c>
      <c r="B27" s="1384"/>
      <c r="C27" s="1384"/>
      <c r="D27" s="1384"/>
      <c r="E27" s="1385"/>
      <c r="F27" s="1386">
        <f t="shared" ref="F27:K27" si="0">SUM(F6:F26)</f>
        <v>0</v>
      </c>
      <c r="G27" s="1386">
        <f t="shared" si="0"/>
        <v>0</v>
      </c>
      <c r="H27" s="1386">
        <f t="shared" si="0"/>
        <v>0</v>
      </c>
      <c r="I27" s="1386">
        <f t="shared" si="0"/>
        <v>0</v>
      </c>
      <c r="J27" s="1386">
        <f t="shared" si="0"/>
        <v>0</v>
      </c>
      <c r="K27" s="1386">
        <f t="shared" si="0"/>
        <v>0</v>
      </c>
      <c r="L27" s="861"/>
      <c r="M27" s="861"/>
    </row>
    <row r="28" spans="1:11" x14ac:dyDescent="0.25">
      <c r="A28" s="1146" t="s">
        <v>3350</v>
      </c>
      <c r="B28" t="s">
        <v>3351</v>
      </c>
      <c r="F28" s="1146"/>
      <c r="G28" s="1146"/>
      <c r="H28" s="1146"/>
      <c r="I28" s="1146"/>
      <c r="J28" s="1146"/>
      <c r="K28" s="1146"/>
    </row>
    <row r="29" spans="1:11" x14ac:dyDescent="0.25">
      <c r="A29" s="1146" t="s">
        <v>3352</v>
      </c>
      <c r="B29" t="s">
        <v>3353</v>
      </c>
      <c r="F29" s="1146"/>
      <c r="G29" s="1146"/>
      <c r="H29" s="1146"/>
      <c r="I29" s="1146"/>
      <c r="J29" s="1146"/>
      <c r="K29" s="1146"/>
    </row>
  </sheetData>
  <sheetProtection sheet="1" insertRows="0" algorithmName="SHA-512" hashValue="lzi053u7Ztn05fGV5ivMC9LzvwxDN9mQanQukRxG1JXPWBcuV5VsZliCwpkgyrOqwxxegQnWQvNDZ6plIaLyaA==" saltValue="pAFR1NFr00AJC1cCzkPcgQ==" spinCount="100000" objects="1" scenarios="1"/>
  <mergeCells count="12">
    <mergeCell ref="A1:M1"/>
    <mergeCell ref="A2:D2"/>
    <mergeCell ref="E2:M2"/>
    <mergeCell ref="A3:F3"/>
    <mergeCell ref="G3:I3"/>
    <mergeCell ref="J3:K3"/>
    <mergeCell ref="L3:M3"/>
    <mergeCell ref="A4:A5"/>
    <mergeCell ref="B4:B5"/>
    <mergeCell ref="C4:C5"/>
    <mergeCell ref="D4:D5"/>
    <mergeCell ref="A27:E27"/>
  </mergeCells>
  <pageMargins left="0.4330708661417323" right="0.31496062992125984" top="0.7480314960629921" bottom="0.7480314960629921" header="0.31496062992125984" footer="0.31496062992125984"/>
  <pageSetup orientation="landscape" horizontalDpi="4294967295" verticalDpi="4294967295"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
  <sheetViews>
    <sheetView workbookViewId="0" zoomScale="100" zoomScaleNormal="100">
      <selection activeCell="H16" sqref="H16"/>
    </sheetView>
  </sheetViews>
  <sheetFormatPr defaultRowHeight="14.5" outlineLevelRow="0" outlineLevelCol="0" x14ac:dyDescent="0.35" customHeight="1"/>
  <cols>
    <col min="1" max="1" width="7.26953125" customWidth="1"/>
    <col min="2" max="2" width="29" customWidth="1"/>
    <col min="3" max="3" width="13.453125" customWidth="1"/>
    <col min="4" max="4" width="17.7265625" customWidth="1"/>
    <col min="5" max="5" width="17.453125" customWidth="1"/>
    <col min="6" max="6" width="16" customWidth="1"/>
    <col min="7" max="7" width="13.26953125" customWidth="1"/>
    <col min="8" max="8" width="14.26953125" customWidth="1"/>
    <col min="9" max="9" width="12.453125" customWidth="1"/>
    <col min="10" max="10" width="11.26953125" customWidth="1"/>
    <col min="11" max="11" width="13.453125" customWidth="1"/>
    <col min="12" max="12" width="14.7265625" customWidth="1"/>
    <col min="13" max="13" width="22.453125" customWidth="1"/>
    <col min="14" max="14" width="22.1796875" customWidth="1"/>
  </cols>
  <sheetData>
    <row r="1" ht="26" customHeight="1" spans="1:14" x14ac:dyDescent="0.25">
      <c r="A1" s="393" t="s">
        <v>3354</v>
      </c>
      <c r="B1" s="394"/>
      <c r="C1" s="394"/>
      <c r="D1" s="394"/>
      <c r="E1" s="394"/>
      <c r="F1" s="394"/>
      <c r="G1" s="394"/>
      <c r="H1" s="394"/>
      <c r="I1" s="394"/>
      <c r="J1" s="394"/>
      <c r="K1" s="394"/>
      <c r="L1" s="394"/>
      <c r="M1" s="394"/>
      <c r="N1" s="394"/>
    </row>
    <row r="2" spans="1:14" x14ac:dyDescent="0.25">
      <c r="A2" s="244" t="s">
        <v>1361</v>
      </c>
      <c r="B2" s="244"/>
      <c r="C2" s="244"/>
      <c r="D2" s="244"/>
      <c r="E2" s="1387" t="str">
        <f>'General Information'!C3</f>
        <v>HINDALCO INDUSTRIES LIMITED</v>
      </c>
      <c r="F2" s="1369"/>
      <c r="G2" s="1369"/>
      <c r="H2" s="1369"/>
      <c r="I2" s="1369"/>
      <c r="J2" s="1369"/>
      <c r="K2" s="1369"/>
      <c r="L2" s="1369"/>
      <c r="M2" s="1369"/>
      <c r="N2" s="1369"/>
    </row>
    <row r="3" ht="31.15" customHeight="1" spans="1:14" x14ac:dyDescent="0.25">
      <c r="A3" s="1388"/>
      <c r="B3" s="1388"/>
      <c r="C3" s="1388"/>
      <c r="D3" s="1388"/>
      <c r="E3" s="1388"/>
      <c r="F3" s="1388"/>
      <c r="G3" s="1373" t="str">
        <f>'NF - 5 Power Mix'!E4</f>
        <v>Baseline/Previous Year 2023-24</v>
      </c>
      <c r="H3" s="1373"/>
      <c r="I3" s="1374"/>
      <c r="J3" s="1373" t="str">
        <f>'NF - 5 Power Mix'!F4</f>
        <v>Assesment year/ Current Year  FY 2025-26</v>
      </c>
      <c r="K3" s="1373"/>
      <c r="L3" s="1374"/>
      <c r="M3" s="1389"/>
      <c r="N3" s="1390"/>
    </row>
    <row r="4" ht="43.5" customHeight="1" spans="1:14" x14ac:dyDescent="0.25">
      <c r="A4" s="1376" t="s">
        <v>46</v>
      </c>
      <c r="B4" s="1376" t="s">
        <v>3338</v>
      </c>
      <c r="C4" s="1376" t="s">
        <v>3339</v>
      </c>
      <c r="D4" s="1376" t="s">
        <v>3340</v>
      </c>
      <c r="E4" s="988" t="s">
        <v>3355</v>
      </c>
      <c r="F4" s="988" t="s">
        <v>3341</v>
      </c>
      <c r="G4" s="988" t="s">
        <v>3342</v>
      </c>
      <c r="H4" s="988" t="s">
        <v>3343</v>
      </c>
      <c r="I4" s="988" t="s">
        <v>3344</v>
      </c>
      <c r="J4" s="988" t="s">
        <v>1751</v>
      </c>
      <c r="K4" s="988" t="s">
        <v>3356</v>
      </c>
      <c r="L4" s="988" t="s">
        <v>3357</v>
      </c>
      <c r="M4" s="1377" t="s">
        <v>1548</v>
      </c>
      <c r="N4" s="1377" t="s">
        <v>1673</v>
      </c>
    </row>
    <row r="5" ht="29" customHeight="1" spans="1:14" x14ac:dyDescent="0.25">
      <c r="A5" s="1378"/>
      <c r="B5" s="1378"/>
      <c r="C5" s="1378"/>
      <c r="D5" s="1378"/>
      <c r="E5" s="989" t="s">
        <v>1423</v>
      </c>
      <c r="F5" s="989" t="s">
        <v>1423</v>
      </c>
      <c r="G5" s="989" t="s">
        <v>2000</v>
      </c>
      <c r="H5" s="988" t="s">
        <v>3347</v>
      </c>
      <c r="I5" s="989" t="s">
        <v>2000</v>
      </c>
      <c r="J5" s="988" t="s">
        <v>3348</v>
      </c>
      <c r="K5" s="988" t="s">
        <v>3349</v>
      </c>
      <c r="L5" s="988" t="s">
        <v>3247</v>
      </c>
      <c r="M5" s="1379"/>
      <c r="N5" s="1379"/>
    </row>
    <row r="6" spans="1:14" s="1380" customFormat="1" x14ac:dyDescent="0.25">
      <c r="A6" s="541">
        <v>1</v>
      </c>
      <c r="B6" s="978"/>
      <c r="C6" s="978"/>
      <c r="D6" s="978"/>
      <c r="E6" s="978"/>
      <c r="F6" s="978"/>
      <c r="G6" s="541"/>
      <c r="H6" s="541"/>
      <c r="I6" s="541"/>
      <c r="J6" s="541"/>
      <c r="K6" s="541"/>
      <c r="L6" s="541"/>
      <c r="M6" s="1391"/>
      <c r="N6" s="978"/>
    </row>
    <row r="7" spans="1:14" s="1380" customFormat="1" x14ac:dyDescent="0.25">
      <c r="A7" s="541">
        <v>2</v>
      </c>
      <c r="B7" s="978"/>
      <c r="C7" s="978"/>
      <c r="D7" s="978"/>
      <c r="E7" s="978"/>
      <c r="F7" s="978"/>
      <c r="G7" s="541"/>
      <c r="H7" s="541"/>
      <c r="I7" s="541"/>
      <c r="J7" s="541"/>
      <c r="K7" s="541"/>
      <c r="L7" s="541"/>
      <c r="M7" s="978"/>
      <c r="N7" s="978"/>
    </row>
    <row r="8" spans="1:14" s="1380" customFormat="1" x14ac:dyDescent="0.25">
      <c r="A8" s="541">
        <v>3</v>
      </c>
      <c r="B8" s="978"/>
      <c r="C8" s="978"/>
      <c r="D8" s="978"/>
      <c r="E8" s="978"/>
      <c r="F8" s="978"/>
      <c r="G8" s="541"/>
      <c r="H8" s="541"/>
      <c r="I8" s="541"/>
      <c r="J8" s="541"/>
      <c r="K8" s="541"/>
      <c r="L8" s="541"/>
      <c r="M8" s="978"/>
      <c r="N8" s="978"/>
    </row>
    <row r="9" spans="1:14" s="1380" customFormat="1" x14ac:dyDescent="0.25">
      <c r="A9" s="541">
        <v>4</v>
      </c>
      <c r="B9" s="978"/>
      <c r="C9" s="978"/>
      <c r="D9" s="978"/>
      <c r="E9" s="978"/>
      <c r="F9" s="978"/>
      <c r="G9" s="541"/>
      <c r="H9" s="541"/>
      <c r="I9" s="541"/>
      <c r="J9" s="541"/>
      <c r="K9" s="541"/>
      <c r="L9" s="541"/>
      <c r="M9" s="978"/>
      <c r="N9" s="978"/>
    </row>
    <row r="10" spans="1:14" s="1380" customFormat="1" x14ac:dyDescent="0.25">
      <c r="A10" s="541">
        <v>5</v>
      </c>
      <c r="B10" s="978"/>
      <c r="C10" s="978"/>
      <c r="D10" s="978"/>
      <c r="E10" s="978"/>
      <c r="F10" s="978"/>
      <c r="G10" s="541"/>
      <c r="H10" s="541"/>
      <c r="I10" s="541"/>
      <c r="J10" s="541"/>
      <c r="K10" s="541"/>
      <c r="L10" s="541"/>
      <c r="M10" s="978"/>
      <c r="N10" s="978"/>
    </row>
    <row r="11" spans="1:14" s="1380" customFormat="1" x14ac:dyDescent="0.25">
      <c r="A11" s="541">
        <v>6</v>
      </c>
      <c r="B11" s="978"/>
      <c r="C11" s="978"/>
      <c r="D11" s="978"/>
      <c r="E11" s="978"/>
      <c r="F11" s="978"/>
      <c r="G11" s="541"/>
      <c r="H11" s="541"/>
      <c r="I11" s="541"/>
      <c r="J11" s="541"/>
      <c r="K11" s="541"/>
      <c r="L11" s="541"/>
      <c r="M11" s="978"/>
      <c r="N11" s="978"/>
    </row>
    <row r="12" spans="1:14" s="1380" customFormat="1" x14ac:dyDescent="0.25">
      <c r="A12" s="541">
        <v>7</v>
      </c>
      <c r="B12" s="978"/>
      <c r="C12" s="978"/>
      <c r="D12" s="978"/>
      <c r="E12" s="978"/>
      <c r="F12" s="978"/>
      <c r="G12" s="541"/>
      <c r="H12" s="541"/>
      <c r="I12" s="541"/>
      <c r="J12" s="541"/>
      <c r="K12" s="541"/>
      <c r="L12" s="541"/>
      <c r="M12" s="978"/>
      <c r="N12" s="978"/>
    </row>
    <row r="13" spans="1:14" s="1380" customFormat="1" x14ac:dyDescent="0.25">
      <c r="A13" s="541">
        <v>8</v>
      </c>
      <c r="B13" s="978"/>
      <c r="C13" s="978"/>
      <c r="D13" s="978"/>
      <c r="E13" s="978"/>
      <c r="F13" s="978"/>
      <c r="G13" s="541"/>
      <c r="H13" s="541"/>
      <c r="I13" s="541"/>
      <c r="J13" s="541"/>
      <c r="K13" s="541"/>
      <c r="L13" s="541"/>
      <c r="M13" s="978"/>
      <c r="N13" s="978"/>
    </row>
    <row r="14" spans="1:14" s="1380" customFormat="1" x14ac:dyDescent="0.25">
      <c r="A14" s="541">
        <v>9</v>
      </c>
      <c r="B14" s="978"/>
      <c r="C14" s="978"/>
      <c r="D14" s="978"/>
      <c r="E14" s="978"/>
      <c r="F14" s="978"/>
      <c r="G14" s="541"/>
      <c r="H14" s="541"/>
      <c r="I14" s="541"/>
      <c r="J14" s="541"/>
      <c r="K14" s="541"/>
      <c r="L14" s="541"/>
      <c r="M14" s="978"/>
      <c r="N14" s="978"/>
    </row>
    <row r="15" spans="1:14" s="1380" customFormat="1" x14ac:dyDescent="0.25">
      <c r="A15" s="541">
        <v>10</v>
      </c>
      <c r="B15" s="978"/>
      <c r="C15" s="978"/>
      <c r="D15" s="978"/>
      <c r="E15" s="978"/>
      <c r="F15" s="978"/>
      <c r="G15" s="541"/>
      <c r="H15" s="541"/>
      <c r="I15" s="541"/>
      <c r="J15" s="541"/>
      <c r="K15" s="541"/>
      <c r="L15" s="541"/>
      <c r="M15" s="978"/>
      <c r="N15" s="978"/>
    </row>
    <row r="16" spans="1:14" s="1380" customFormat="1" x14ac:dyDescent="0.25">
      <c r="A16" s="541">
        <v>11</v>
      </c>
      <c r="B16" s="978"/>
      <c r="C16" s="978"/>
      <c r="D16" s="978"/>
      <c r="E16" s="978"/>
      <c r="F16" s="978"/>
      <c r="G16" s="541"/>
      <c r="H16" s="541"/>
      <c r="I16" s="541"/>
      <c r="J16" s="541"/>
      <c r="K16" s="541"/>
      <c r="L16" s="541"/>
      <c r="M16" s="978"/>
      <c r="N16" s="978"/>
    </row>
    <row r="17" spans="1:14" s="1380" customFormat="1" x14ac:dyDescent="0.25">
      <c r="A17" s="541">
        <v>12</v>
      </c>
      <c r="B17" s="978"/>
      <c r="C17" s="978"/>
      <c r="D17" s="978"/>
      <c r="E17" s="978"/>
      <c r="F17" s="978"/>
      <c r="G17" s="541"/>
      <c r="H17" s="541"/>
      <c r="I17" s="541"/>
      <c r="J17" s="541"/>
      <c r="K17" s="541"/>
      <c r="L17" s="541"/>
      <c r="M17" s="978"/>
      <c r="N17" s="978"/>
    </row>
    <row r="18" spans="1:14" s="1380" customFormat="1" x14ac:dyDescent="0.25">
      <c r="A18" s="541">
        <v>13</v>
      </c>
      <c r="B18" s="978"/>
      <c r="C18" s="978"/>
      <c r="D18" s="978"/>
      <c r="E18" s="978"/>
      <c r="F18" s="978"/>
      <c r="G18" s="541"/>
      <c r="H18" s="541"/>
      <c r="I18" s="541"/>
      <c r="J18" s="541"/>
      <c r="K18" s="541"/>
      <c r="L18" s="541"/>
      <c r="M18" s="978"/>
      <c r="N18" s="978"/>
    </row>
    <row r="19" spans="1:14" s="1380" customFormat="1" x14ac:dyDescent="0.25">
      <c r="A19" s="541">
        <v>14</v>
      </c>
      <c r="B19" s="978"/>
      <c r="C19" s="978"/>
      <c r="D19" s="978"/>
      <c r="E19" s="978"/>
      <c r="F19" s="978"/>
      <c r="G19" s="541"/>
      <c r="H19" s="541"/>
      <c r="I19" s="541"/>
      <c r="J19" s="541"/>
      <c r="K19" s="541"/>
      <c r="L19" s="541"/>
      <c r="M19" s="978"/>
      <c r="N19" s="978"/>
    </row>
    <row r="20" spans="1:14" s="1380" customFormat="1" x14ac:dyDescent="0.25">
      <c r="A20" s="541">
        <v>15</v>
      </c>
      <c r="B20" s="978"/>
      <c r="C20" s="978"/>
      <c r="D20" s="978"/>
      <c r="E20" s="978"/>
      <c r="F20" s="978"/>
      <c r="G20" s="541"/>
      <c r="H20" s="541"/>
      <c r="I20" s="541"/>
      <c r="J20" s="541"/>
      <c r="K20" s="541"/>
      <c r="L20" s="541"/>
      <c r="M20" s="978"/>
      <c r="N20" s="978"/>
    </row>
    <row r="21" spans="1:14" s="1380" customFormat="1" x14ac:dyDescent="0.25">
      <c r="A21" s="541">
        <v>16</v>
      </c>
      <c r="B21" s="978"/>
      <c r="C21" s="978"/>
      <c r="D21" s="978"/>
      <c r="E21" s="978"/>
      <c r="F21" s="978"/>
      <c r="G21" s="541"/>
      <c r="H21" s="541"/>
      <c r="I21" s="541"/>
      <c r="J21" s="541"/>
      <c r="K21" s="541"/>
      <c r="L21" s="541"/>
      <c r="M21" s="978"/>
      <c r="N21" s="978"/>
    </row>
    <row r="22" spans="1:14" s="1380" customFormat="1" x14ac:dyDescent="0.25">
      <c r="A22" s="541">
        <v>17</v>
      </c>
      <c r="B22" s="978"/>
      <c r="C22" s="978"/>
      <c r="D22" s="978"/>
      <c r="E22" s="978"/>
      <c r="F22" s="978"/>
      <c r="G22" s="541"/>
      <c r="H22" s="541"/>
      <c r="I22" s="541"/>
      <c r="J22" s="541"/>
      <c r="K22" s="541"/>
      <c r="L22" s="541"/>
      <c r="M22" s="978"/>
      <c r="N22" s="978"/>
    </row>
    <row r="23" spans="1:14" s="1380" customFormat="1" x14ac:dyDescent="0.25">
      <c r="A23" s="541">
        <v>18</v>
      </c>
      <c r="B23" s="978"/>
      <c r="C23" s="978"/>
      <c r="D23" s="978"/>
      <c r="E23" s="978"/>
      <c r="F23" s="978"/>
      <c r="G23" s="541"/>
      <c r="H23" s="541"/>
      <c r="I23" s="541"/>
      <c r="J23" s="541"/>
      <c r="K23" s="541"/>
      <c r="L23" s="541"/>
      <c r="M23" s="978"/>
      <c r="N23" s="978"/>
    </row>
    <row r="24" spans="1:14" s="1380" customFormat="1" x14ac:dyDescent="0.25">
      <c r="A24" s="541">
        <v>19</v>
      </c>
      <c r="B24" s="978"/>
      <c r="C24" s="978"/>
      <c r="D24" s="978"/>
      <c r="E24" s="978"/>
      <c r="F24" s="978"/>
      <c r="G24" s="541"/>
      <c r="H24" s="541"/>
      <c r="I24" s="541"/>
      <c r="J24" s="541"/>
      <c r="K24" s="541"/>
      <c r="L24" s="541"/>
      <c r="M24" s="978"/>
      <c r="N24" s="978"/>
    </row>
    <row r="25" spans="1:14" s="1380" customFormat="1" x14ac:dyDescent="0.25">
      <c r="A25" s="541">
        <v>20</v>
      </c>
      <c r="B25" s="978"/>
      <c r="C25" s="978"/>
      <c r="D25" s="978"/>
      <c r="E25" s="978"/>
      <c r="F25" s="978"/>
      <c r="G25" s="541"/>
      <c r="H25" s="541"/>
      <c r="I25" s="541"/>
      <c r="J25" s="541"/>
      <c r="K25" s="541"/>
      <c r="L25" s="541"/>
      <c r="M25" s="978"/>
      <c r="N25" s="978"/>
    </row>
    <row r="26" spans="1:14" s="1380" customFormat="1" x14ac:dyDescent="0.25">
      <c r="A26" s="541">
        <v>21</v>
      </c>
      <c r="B26" s="978"/>
      <c r="C26" s="978"/>
      <c r="D26" s="978"/>
      <c r="E26" s="978"/>
      <c r="F26" s="978"/>
      <c r="G26" s="541"/>
      <c r="H26" s="541"/>
      <c r="I26" s="541"/>
      <c r="J26" s="541"/>
      <c r="K26" s="541"/>
      <c r="L26" s="541"/>
      <c r="M26" s="978"/>
      <c r="N26" s="978"/>
    </row>
    <row r="27" spans="1:14" x14ac:dyDescent="0.25">
      <c r="A27" s="1383" t="s">
        <v>2582</v>
      </c>
      <c r="B27" s="1384"/>
      <c r="C27" s="1384"/>
      <c r="D27" s="1384"/>
      <c r="E27" s="1384"/>
      <c r="F27" s="1385"/>
      <c r="G27" s="1386">
        <f t="shared" ref="G27:L27" si="0">SUM(G6:G26)</f>
        <v>0</v>
      </c>
      <c r="H27" s="1386">
        <f t="shared" si="0"/>
        <v>0</v>
      </c>
      <c r="I27" s="1386">
        <f t="shared" si="0"/>
        <v>0</v>
      </c>
      <c r="J27" s="1386">
        <f t="shared" si="0"/>
        <v>0</v>
      </c>
      <c r="K27" s="1386">
        <f t="shared" si="0"/>
        <v>0</v>
      </c>
      <c r="L27" s="1386">
        <f t="shared" si="0"/>
        <v>0</v>
      </c>
      <c r="M27" s="861"/>
      <c r="N27" s="861"/>
    </row>
    <row r="28" spans="1:12" x14ac:dyDescent="0.25">
      <c r="A28" s="1146" t="s">
        <v>3350</v>
      </c>
      <c r="B28" t="s">
        <v>3351</v>
      </c>
      <c r="G28" s="1146"/>
      <c r="H28" s="1146"/>
      <c r="I28" s="1146"/>
      <c r="J28" s="1146"/>
      <c r="K28" s="1146"/>
      <c r="L28" s="1146"/>
    </row>
    <row r="29" spans="1:12" x14ac:dyDescent="0.25">
      <c r="A29" s="1146" t="s">
        <v>3352</v>
      </c>
      <c r="B29" t="s">
        <v>3353</v>
      </c>
      <c r="G29" s="1146"/>
      <c r="H29" s="1146"/>
      <c r="I29" s="1146"/>
      <c r="J29" s="1146"/>
      <c r="K29" s="1146"/>
      <c r="L29" s="1146"/>
    </row>
  </sheetData>
  <sheetProtection sheet="1" insertRows="0" algorithmName="SHA-512" hashValue="2S4R4+3EiFJa4NmLjit21xtXjpGASIBuMgf1A89j6LR0M4B5k83a79G2AXhsKolWcHSmDdzXIxahXNfeSi/r+A==" saltValue="FrrS+I42kzHAsdquyLHrEA==" spinCount="100000"/>
  <mergeCells count="11">
    <mergeCell ref="A1:N1"/>
    <mergeCell ref="A2:D2"/>
    <mergeCell ref="E2:N2"/>
    <mergeCell ref="G3:I3"/>
    <mergeCell ref="J3:L3"/>
    <mergeCell ref="M3:N3"/>
    <mergeCell ref="A4:A5"/>
    <mergeCell ref="B4:B5"/>
    <mergeCell ref="C4:C5"/>
    <mergeCell ref="D4:D5"/>
    <mergeCell ref="A27:F27"/>
  </mergeCells>
  <pageMargins left="0.7086614173228347" right="0.47" top="0.7480314960629921" bottom="0.7480314960629921" header="0.31496062992125984" footer="0.31496062992125984"/>
  <pageSetup orientation="landscape" horizontalDpi="4294967295" verticalDpi="4294967295" scale="5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2"/>
  <sheetViews>
    <sheetView workbookViewId="0" zoomScale="60" zoomScaleNormal="100" view="pageBreakPreview"/>
  </sheetViews>
  <sheetFormatPr defaultRowHeight="14.5" outlineLevelRow="0" outlineLevelCol="0" x14ac:dyDescent="0.35" defaultColWidth="8.81640625" customHeight="1"/>
  <cols>
    <col min="2" max="2" width="18" customWidth="1"/>
    <col min="3" max="3" width="22" customWidth="1"/>
    <col min="4" max="4" width="19" customWidth="1"/>
    <col min="5" max="5" width="14.1796875" customWidth="1"/>
    <col min="6" max="6" width="18.453125" customWidth="1"/>
    <col min="7" max="7" width="14.453125" customWidth="1"/>
    <col min="8" max="8" width="15.453125" customWidth="1"/>
    <col min="9" max="9" width="13.81640625" customWidth="1"/>
    <col min="10" max="10" width="15.81640625" customWidth="1"/>
    <col min="11" max="12" width="12.7265625" customWidth="1"/>
    <col min="13" max="13" width="16" customWidth="1"/>
    <col min="14" max="14" width="11.54296875" customWidth="1"/>
    <col min="15" max="15" width="16" customWidth="1"/>
    <col min="16" max="16" width="15.1796875" customWidth="1"/>
    <col min="17" max="17" width="17.81640625" customWidth="1"/>
    <col min="18" max="18" width="12.81640625" customWidth="1"/>
    <col min="19" max="19" width="27.54296875" customWidth="1"/>
  </cols>
  <sheetData>
    <row r="1" ht="30" customHeight="1" spans="1:19" s="905" customFormat="1" x14ac:dyDescent="0.25">
      <c r="A1" s="906" t="s">
        <v>2534</v>
      </c>
      <c r="B1" s="906"/>
      <c r="C1" s="906"/>
      <c r="D1" s="906"/>
      <c r="E1" s="906"/>
      <c r="F1" s="906"/>
      <c r="G1" s="906"/>
      <c r="H1" s="906"/>
      <c r="I1" s="906"/>
      <c r="J1" s="906"/>
      <c r="K1" s="906"/>
      <c r="L1" s="906"/>
      <c r="M1" s="906"/>
      <c r="N1" s="906"/>
      <c r="O1" s="906"/>
      <c r="P1" s="906"/>
      <c r="Q1" s="906"/>
      <c r="R1" s="906"/>
      <c r="S1" s="906"/>
    </row>
    <row r="2" ht="36.65" customHeight="1" spans="1:19" x14ac:dyDescent="0.25">
      <c r="A2" s="907" t="s">
        <v>1361</v>
      </c>
      <c r="B2" s="907"/>
      <c r="C2" s="907" t="str">
        <f>'Form Sa1'!C3:K3</f>
        <v>HINDALCO INDUSTRIES LIMITED  </v>
      </c>
      <c r="D2" s="907"/>
      <c r="E2" s="907"/>
      <c r="F2" s="907"/>
      <c r="G2" s="907"/>
      <c r="H2" s="907"/>
      <c r="I2" s="907"/>
      <c r="J2" s="907"/>
      <c r="K2" s="907"/>
      <c r="L2" s="907"/>
      <c r="M2" s="907"/>
      <c r="N2" s="907"/>
      <c r="O2" s="907"/>
      <c r="P2" s="907"/>
      <c r="Q2" s="907"/>
      <c r="R2" s="907"/>
      <c r="S2" s="907"/>
    </row>
    <row r="3" ht="30.65" customHeight="1" spans="1:19" x14ac:dyDescent="0.25">
      <c r="A3" s="895">
        <v>1</v>
      </c>
      <c r="B3" s="908" t="s">
        <v>578</v>
      </c>
      <c r="C3" s="909"/>
      <c r="D3" s="909"/>
      <c r="E3" s="909"/>
      <c r="F3" s="909"/>
      <c r="G3" s="909"/>
      <c r="H3" s="909"/>
      <c r="I3" s="909"/>
      <c r="J3" s="909"/>
      <c r="K3" s="909"/>
      <c r="L3" s="909"/>
      <c r="M3" s="909"/>
      <c r="N3" s="909"/>
      <c r="O3" s="909"/>
      <c r="P3" s="909"/>
      <c r="Q3" s="909"/>
      <c r="R3" s="909"/>
      <c r="S3" s="910"/>
    </row>
    <row r="4" ht="51.75" customHeight="1" spans="1:19" x14ac:dyDescent="0.25">
      <c r="A4" s="911" t="s">
        <v>579</v>
      </c>
      <c r="B4" s="912" t="s">
        <v>2535</v>
      </c>
      <c r="C4" s="913" t="s">
        <v>2536</v>
      </c>
      <c r="D4" s="912" t="s">
        <v>2537</v>
      </c>
      <c r="E4" s="912"/>
      <c r="F4" s="912"/>
      <c r="G4" s="912" t="s">
        <v>2538</v>
      </c>
      <c r="H4" s="912"/>
      <c r="I4" s="912"/>
      <c r="J4" s="912"/>
      <c r="K4" s="912"/>
      <c r="L4" s="912" t="s">
        <v>2539</v>
      </c>
      <c r="M4" s="912"/>
      <c r="N4" s="914" t="s">
        <v>1548</v>
      </c>
      <c r="O4" s="915"/>
      <c r="P4" s="916"/>
      <c r="Q4" s="917" t="s">
        <v>1673</v>
      </c>
      <c r="R4" s="918"/>
      <c r="S4" s="919"/>
    </row>
    <row r="5" ht="31" customHeight="1" spans="1:19" x14ac:dyDescent="0.25">
      <c r="A5" s="911"/>
      <c r="B5" s="911"/>
      <c r="C5" s="920"/>
      <c r="D5" s="911" t="s">
        <v>2455</v>
      </c>
      <c r="E5" s="911" t="s">
        <v>2540</v>
      </c>
      <c r="F5" s="911" t="s">
        <v>2541</v>
      </c>
      <c r="G5" s="911" t="s">
        <v>2542</v>
      </c>
      <c r="H5" s="911"/>
      <c r="I5" s="921" t="s">
        <v>2543</v>
      </c>
      <c r="J5" s="921" t="s">
        <v>2544</v>
      </c>
      <c r="K5" s="921" t="s">
        <v>2545</v>
      </c>
      <c r="L5" s="911" t="s">
        <v>2546</v>
      </c>
      <c r="M5" s="911"/>
      <c r="N5" s="922"/>
      <c r="O5" s="923"/>
      <c r="P5" s="924"/>
      <c r="Q5" s="925"/>
      <c r="R5" s="926"/>
      <c r="S5" s="927"/>
    </row>
    <row r="6" ht="15.5" customHeight="1" spans="1:19" x14ac:dyDescent="0.25">
      <c r="A6" s="911"/>
      <c r="B6" s="911"/>
      <c r="C6" s="920" t="s">
        <v>1487</v>
      </c>
      <c r="D6" s="911" t="s">
        <v>1493</v>
      </c>
      <c r="E6" s="911" t="s">
        <v>1989</v>
      </c>
      <c r="F6" s="911" t="s">
        <v>1989</v>
      </c>
      <c r="G6" s="911" t="s">
        <v>2547</v>
      </c>
      <c r="H6" s="928" t="s">
        <v>2548</v>
      </c>
      <c r="I6" s="929" t="s">
        <v>103</v>
      </c>
      <c r="J6" s="921" t="s">
        <v>125</v>
      </c>
      <c r="K6" s="921" t="s">
        <v>182</v>
      </c>
      <c r="L6" s="911" t="s">
        <v>1989</v>
      </c>
      <c r="M6" s="911"/>
      <c r="N6" s="930"/>
      <c r="O6" s="931"/>
      <c r="P6" s="932"/>
      <c r="Q6" s="933"/>
      <c r="R6" s="934"/>
      <c r="S6" s="935"/>
    </row>
    <row r="7" ht="26" customHeight="1" spans="1:19" x14ac:dyDescent="0.25">
      <c r="A7" s="936" t="s">
        <v>58</v>
      </c>
      <c r="B7" s="937" t="s">
        <v>2549</v>
      </c>
      <c r="C7" s="938"/>
      <c r="D7" s="939"/>
      <c r="E7" s="940"/>
      <c r="F7" s="454">
        <f>IFERROR(E7*100/D7,0)</f>
        <v>2679.5180722891564</v>
      </c>
      <c r="G7" s="941"/>
      <c r="H7" s="941"/>
      <c r="I7" s="941"/>
      <c r="J7" s="941"/>
      <c r="K7" s="941"/>
      <c r="L7" s="942"/>
      <c r="M7" s="943"/>
      <c r="N7" s="944"/>
      <c r="O7" s="945"/>
      <c r="P7" s="946"/>
      <c r="Q7" s="944"/>
      <c r="R7" s="945"/>
      <c r="S7" s="946"/>
    </row>
    <row r="8" ht="15.5" customHeight="1" spans="1:19" x14ac:dyDescent="0.25">
      <c r="A8" s="936" t="s">
        <v>64</v>
      </c>
      <c r="B8" s="937" t="s">
        <v>2550</v>
      </c>
      <c r="C8" s="938"/>
      <c r="D8" s="939"/>
      <c r="E8" s="940"/>
      <c r="F8" s="454">
        <f t="shared" ref="F8:F16" si="0">IFERROR(E8*100/D8,0)</f>
        <v>2679.5180722891564</v>
      </c>
      <c r="G8" s="941"/>
      <c r="H8" s="941"/>
      <c r="I8" s="941"/>
      <c r="J8" s="941"/>
      <c r="K8" s="941"/>
      <c r="L8" s="942"/>
      <c r="M8" s="943"/>
      <c r="N8" s="944"/>
      <c r="O8" s="945"/>
      <c r="P8" s="946"/>
      <c r="Q8" s="944"/>
      <c r="R8" s="945"/>
      <c r="S8" s="946"/>
    </row>
    <row r="9" ht="26" customHeight="1" spans="1:19" x14ac:dyDescent="0.25">
      <c r="A9" s="936" t="s">
        <v>2551</v>
      </c>
      <c r="B9" s="937" t="s">
        <v>2552</v>
      </c>
      <c r="C9" s="938"/>
      <c r="D9" s="939"/>
      <c r="E9" s="940"/>
      <c r="F9" s="454">
        <f t="shared" si="0"/>
        <v>2544.578313253012</v>
      </c>
      <c r="G9" s="941"/>
      <c r="H9" s="941"/>
      <c r="I9" s="941"/>
      <c r="J9" s="941"/>
      <c r="K9" s="941"/>
      <c r="L9" s="942"/>
      <c r="M9" s="943"/>
      <c r="N9" s="944"/>
      <c r="O9" s="945"/>
      <c r="P9" s="946"/>
      <c r="Q9" s="944"/>
      <c r="R9" s="945"/>
      <c r="S9" s="946"/>
    </row>
    <row r="10" ht="15.5" customHeight="1" spans="1:19" x14ac:dyDescent="0.25">
      <c r="A10" s="936" t="s">
        <v>2553</v>
      </c>
      <c r="B10" s="937" t="s">
        <v>2554</v>
      </c>
      <c r="C10" s="938"/>
      <c r="D10" s="939"/>
      <c r="E10" s="940"/>
      <c r="F10" s="454">
        <f t="shared" si="0"/>
        <v>2544.578313253012</v>
      </c>
      <c r="G10" s="941"/>
      <c r="H10" s="941"/>
      <c r="I10" s="941"/>
      <c r="J10" s="941"/>
      <c r="K10" s="941"/>
      <c r="L10" s="942"/>
      <c r="M10" s="943"/>
      <c r="N10" s="944"/>
      <c r="O10" s="945"/>
      <c r="P10" s="946"/>
      <c r="Q10" s="944"/>
      <c r="R10" s="945"/>
      <c r="S10" s="946"/>
    </row>
    <row r="11" ht="15.5" customHeight="1" spans="1:19" x14ac:dyDescent="0.25">
      <c r="A11" s="936" t="s">
        <v>80</v>
      </c>
      <c r="B11" s="937" t="s">
        <v>2555</v>
      </c>
      <c r="C11" s="938"/>
      <c r="D11" s="939"/>
      <c r="E11" s="940"/>
      <c r="F11" s="454">
        <f t="shared" si="0"/>
        <v>2547.305389221557</v>
      </c>
      <c r="G11" s="941"/>
      <c r="H11" s="941"/>
      <c r="I11" s="941"/>
      <c r="J11" s="941"/>
      <c r="K11" s="941"/>
      <c r="L11" s="947"/>
      <c r="M11" s="948"/>
      <c r="N11" s="944"/>
      <c r="O11" s="945"/>
      <c r="P11" s="946"/>
      <c r="Q11" s="944"/>
      <c r="R11" s="945"/>
      <c r="S11" s="946"/>
    </row>
    <row r="12" ht="15.5" customHeight="1" spans="1:19" x14ac:dyDescent="0.25">
      <c r="A12" s="936" t="s">
        <v>82</v>
      </c>
      <c r="B12" s="937" t="s">
        <v>2556</v>
      </c>
      <c r="C12" s="938"/>
      <c r="D12" s="939"/>
      <c r="E12" s="940"/>
      <c r="F12" s="454">
        <f t="shared" si="0"/>
        <v>2606.6066066066064</v>
      </c>
      <c r="G12" s="941"/>
      <c r="H12" s="941"/>
      <c r="I12" s="941"/>
      <c r="J12" s="941"/>
      <c r="K12" s="941"/>
      <c r="L12" s="942"/>
      <c r="M12" s="943"/>
      <c r="N12" s="944"/>
      <c r="O12" s="945"/>
      <c r="P12" s="946"/>
      <c r="Q12" s="944"/>
      <c r="R12" s="945"/>
      <c r="S12" s="946"/>
    </row>
    <row r="13" ht="15.5" customHeight="1" spans="1:19" x14ac:dyDescent="0.25">
      <c r="A13" s="936" t="s">
        <v>121</v>
      </c>
      <c r="B13" s="937" t="s">
        <v>2557</v>
      </c>
      <c r="C13" s="938"/>
      <c r="D13" s="939"/>
      <c r="E13" s="940"/>
      <c r="F13" s="454">
        <f t="shared" si="0"/>
        <v>2606.6066066066064</v>
      </c>
      <c r="G13" s="941"/>
      <c r="H13" s="941"/>
      <c r="I13" s="941"/>
      <c r="J13" s="941"/>
      <c r="K13" s="941"/>
      <c r="L13" s="942"/>
      <c r="M13" s="943"/>
      <c r="N13" s="944"/>
      <c r="O13" s="945"/>
      <c r="P13" s="946"/>
      <c r="Q13" s="944"/>
      <c r="R13" s="945"/>
      <c r="S13" s="946"/>
    </row>
    <row r="14" ht="15.5" customHeight="1" spans="1:19" x14ac:dyDescent="0.25">
      <c r="A14" s="936" t="s">
        <v>144</v>
      </c>
      <c r="B14" s="937" t="s">
        <v>2558</v>
      </c>
      <c r="C14" s="938"/>
      <c r="D14" s="939"/>
      <c r="E14" s="940"/>
      <c r="F14" s="454">
        <f t="shared" si="0"/>
        <v>2661.861861861862</v>
      </c>
      <c r="G14" s="941"/>
      <c r="H14" s="941"/>
      <c r="I14" s="941"/>
      <c r="J14" s="941"/>
      <c r="K14" s="941"/>
      <c r="L14" s="942"/>
      <c r="M14" s="943"/>
      <c r="N14" s="944"/>
      <c r="O14" s="945"/>
      <c r="P14" s="946"/>
      <c r="Q14" s="944"/>
      <c r="R14" s="945"/>
      <c r="S14" s="946"/>
    </row>
    <row r="15" ht="15.5" customHeight="1" spans="1:19" x14ac:dyDescent="0.25">
      <c r="A15" s="936" t="s">
        <v>146</v>
      </c>
      <c r="B15" s="937" t="s">
        <v>2559</v>
      </c>
      <c r="C15" s="938"/>
      <c r="D15" s="939"/>
      <c r="E15" s="940"/>
      <c r="F15" s="454">
        <f t="shared" si="0"/>
        <v>2572.5844835792477</v>
      </c>
      <c r="G15" s="941"/>
      <c r="H15" s="941"/>
      <c r="I15" s="941"/>
      <c r="J15" s="941"/>
      <c r="K15" s="941"/>
      <c r="L15" s="942"/>
      <c r="M15" s="943"/>
      <c r="N15" s="944"/>
      <c r="O15" s="945"/>
      <c r="P15" s="946"/>
      <c r="Q15" s="944"/>
      <c r="R15" s="945"/>
      <c r="S15" s="946"/>
    </row>
    <row r="16" ht="15.5" customHeight="1" spans="1:19" x14ac:dyDescent="0.25">
      <c r="A16" s="936" t="s">
        <v>148</v>
      </c>
      <c r="B16" s="937" t="s">
        <v>2560</v>
      </c>
      <c r="C16" s="938"/>
      <c r="D16" s="939"/>
      <c r="E16" s="940"/>
      <c r="F16" s="454">
        <f t="shared" si="0"/>
        <v>2572.5844835792477</v>
      </c>
      <c r="G16" s="941"/>
      <c r="H16" s="941"/>
      <c r="I16" s="941"/>
      <c r="J16" s="941"/>
      <c r="K16" s="941"/>
      <c r="L16" s="942"/>
      <c r="M16" s="943"/>
      <c r="N16" s="944"/>
      <c r="O16" s="945"/>
      <c r="P16" s="946"/>
      <c r="Q16" s="944"/>
      <c r="R16" s="945"/>
      <c r="S16" s="946"/>
    </row>
    <row r="17" ht="28" customHeight="1" spans="1:19" x14ac:dyDescent="0.25">
      <c r="A17" s="454" t="s">
        <v>583</v>
      </c>
      <c r="B17" s="454" t="s">
        <v>2561</v>
      </c>
      <c r="C17" s="454">
        <f>SUM(C7:C16)</f>
        <v>829.58</v>
      </c>
      <c r="D17" s="454">
        <f>IF(SUM(C7:C16)=0,0,(D7*C7+D8*C8+D9*C9+D10*C10+D11*C11+D12*C12+D13*C13+D14*C14+D15*C15+D16*C16)/SUM(C7:C16))</f>
        <v>83.33870151160829</v>
      </c>
      <c r="E17" s="454">
        <f>(E7*C7+E8*C8+E9*C9+E10*C10+E11*C11+E12*C12+E13*C13+E14*C14+E15*C15+E16*C16)/SUM(C7:C16)</f>
        <v>2167.7201475445404</v>
      </c>
      <c r="F17" s="454">
        <f>IFERROR((F7*C7+F8*C8+F9*C9+F10*C10+F11*C11+F12*C12+F13*C13+F14*C14+F15*C15+F16*C16)/SUM(C7:C16),0)</f>
        <v>2601.180210440486</v>
      </c>
      <c r="G17" s="949"/>
      <c r="H17" s="949"/>
      <c r="I17" s="949"/>
      <c r="J17" s="949"/>
      <c r="K17" s="949"/>
      <c r="L17" s="950"/>
      <c r="M17" s="951"/>
      <c r="N17" s="944"/>
      <c r="O17" s="945"/>
      <c r="P17" s="946"/>
      <c r="Q17" s="944"/>
      <c r="R17" s="945"/>
      <c r="S17" s="946"/>
    </row>
    <row r="18" ht="15.65" customHeight="1" spans="1:19" x14ac:dyDescent="0.25">
      <c r="A18" s="936"/>
      <c r="B18" s="952" t="s">
        <v>2562</v>
      </c>
      <c r="C18" s="953"/>
      <c r="D18" s="953"/>
      <c r="E18" s="953"/>
      <c r="F18" s="953"/>
      <c r="G18" s="953"/>
      <c r="H18" s="953"/>
      <c r="I18" s="953"/>
      <c r="J18" s="953"/>
      <c r="K18" s="953"/>
      <c r="L18" s="953"/>
      <c r="M18" s="953"/>
      <c r="N18" s="953"/>
      <c r="O18" s="953"/>
      <c r="P18" s="953"/>
      <c r="Q18" s="953"/>
      <c r="R18" s="953"/>
      <c r="S18" s="954"/>
    </row>
    <row r="19" ht="15.65" customHeight="1" spans="1:19" x14ac:dyDescent="0.25">
      <c r="A19" s="936"/>
      <c r="B19" s="952" t="s">
        <v>2563</v>
      </c>
      <c r="C19" s="953"/>
      <c r="D19" s="953"/>
      <c r="E19" s="953"/>
      <c r="F19" s="953"/>
      <c r="G19" s="953"/>
      <c r="H19" s="953"/>
      <c r="I19" s="953"/>
      <c r="J19" s="953"/>
      <c r="K19" s="953"/>
      <c r="L19" s="953"/>
      <c r="M19" s="953"/>
      <c r="N19" s="953"/>
      <c r="O19" s="953"/>
      <c r="P19" s="953"/>
      <c r="Q19" s="953"/>
      <c r="R19" s="953"/>
      <c r="S19" s="954"/>
    </row>
    <row r="20" ht="15.65" customHeight="1" spans="1:19" x14ac:dyDescent="0.25">
      <c r="A20" s="936"/>
      <c r="B20" s="952" t="s">
        <v>2564</v>
      </c>
      <c r="C20" s="953"/>
      <c r="D20" s="953"/>
      <c r="E20" s="953"/>
      <c r="F20" s="953"/>
      <c r="G20" s="953"/>
      <c r="H20" s="953"/>
      <c r="I20" s="953"/>
      <c r="J20" s="953"/>
      <c r="K20" s="953"/>
      <c r="L20" s="953"/>
      <c r="M20" s="953"/>
      <c r="N20" s="953"/>
      <c r="O20" s="953"/>
      <c r="P20" s="953"/>
      <c r="Q20" s="953"/>
      <c r="R20" s="953"/>
      <c r="S20" s="954"/>
    </row>
    <row r="21" ht="24" customHeight="1" spans="1:19" x14ac:dyDescent="0.25">
      <c r="A21" s="936">
        <v>2</v>
      </c>
      <c r="B21" s="955" t="s">
        <v>585</v>
      </c>
      <c r="C21" s="956"/>
      <c r="D21" s="956"/>
      <c r="E21" s="956"/>
      <c r="F21" s="956"/>
      <c r="G21" s="956"/>
      <c r="H21" s="956"/>
      <c r="I21" s="956"/>
      <c r="J21" s="956"/>
      <c r="K21" s="956"/>
      <c r="L21" s="956"/>
      <c r="M21" s="956"/>
      <c r="N21" s="956"/>
      <c r="O21" s="956"/>
      <c r="P21" s="956"/>
      <c r="Q21" s="956"/>
      <c r="R21" s="956"/>
      <c r="S21" s="957"/>
    </row>
    <row r="22" ht="15.65" customHeight="1" spans="1:19" x14ac:dyDescent="0.25">
      <c r="A22" s="958" t="s">
        <v>586</v>
      </c>
      <c r="B22" s="911" t="s">
        <v>2535</v>
      </c>
      <c r="C22" s="911" t="str">
        <f>'NF - 5 Power Mix'!E4</f>
        <v>Baseline/Previous Year 2023-24</v>
      </c>
      <c r="D22" s="911"/>
      <c r="E22" s="911"/>
      <c r="F22" s="911"/>
      <c r="G22" s="911"/>
      <c r="H22" s="911"/>
      <c r="I22" s="911"/>
      <c r="J22" s="911"/>
      <c r="K22" s="911" t="str">
        <f>'NF - 5 Power Mix'!F4</f>
        <v>Assesment year/ Current Year  FY 2025-26</v>
      </c>
      <c r="L22" s="911"/>
      <c r="M22" s="911"/>
      <c r="N22" s="911"/>
      <c r="O22" s="911"/>
      <c r="P22" s="911"/>
      <c r="Q22" s="911"/>
      <c r="R22" s="911"/>
      <c r="S22" s="959" t="s">
        <v>1548</v>
      </c>
    </row>
    <row r="23" ht="15.5" customHeight="1" spans="1:19" x14ac:dyDescent="0.25">
      <c r="A23" s="958"/>
      <c r="B23" s="911"/>
      <c r="C23" s="911" t="s">
        <v>2565</v>
      </c>
      <c r="D23" s="911"/>
      <c r="E23" s="911" t="s">
        <v>2566</v>
      </c>
      <c r="F23" s="911"/>
      <c r="G23" s="911" t="s">
        <v>2567</v>
      </c>
      <c r="H23" s="911"/>
      <c r="I23" s="911" t="s">
        <v>2568</v>
      </c>
      <c r="J23" s="911"/>
      <c r="K23" s="911" t="s">
        <v>2565</v>
      </c>
      <c r="L23" s="911"/>
      <c r="M23" s="911" t="s">
        <v>2569</v>
      </c>
      <c r="N23" s="911"/>
      <c r="O23" s="911" t="s">
        <v>2570</v>
      </c>
      <c r="P23" s="911"/>
      <c r="Q23" s="911" t="s">
        <v>2568</v>
      </c>
      <c r="R23" s="911"/>
      <c r="S23" s="960"/>
    </row>
    <row r="24" ht="15.5" customHeight="1" spans="1:19" x14ac:dyDescent="0.25">
      <c r="A24" s="958"/>
      <c r="B24" s="911"/>
      <c r="C24" s="911" t="s">
        <v>1487</v>
      </c>
      <c r="D24" s="911"/>
      <c r="E24" s="911" t="s">
        <v>1493</v>
      </c>
      <c r="F24" s="911"/>
      <c r="G24" s="911" t="s">
        <v>2571</v>
      </c>
      <c r="H24" s="911"/>
      <c r="I24" s="911" t="s">
        <v>1989</v>
      </c>
      <c r="J24" s="911"/>
      <c r="K24" s="911" t="s">
        <v>1487</v>
      </c>
      <c r="L24" s="911"/>
      <c r="M24" s="911" t="s">
        <v>1493</v>
      </c>
      <c r="N24" s="911"/>
      <c r="O24" s="911" t="s">
        <v>2571</v>
      </c>
      <c r="P24" s="911"/>
      <c r="Q24" s="911" t="s">
        <v>1989</v>
      </c>
      <c r="R24" s="911"/>
      <c r="S24" s="912"/>
    </row>
    <row r="25" ht="15.5" customHeight="1" spans="1:19" x14ac:dyDescent="0.25">
      <c r="A25" s="936" t="s">
        <v>58</v>
      </c>
      <c r="B25" s="937" t="s">
        <v>2549</v>
      </c>
      <c r="C25" s="961"/>
      <c r="D25" s="962"/>
      <c r="E25" s="963"/>
      <c r="F25" s="541"/>
      <c r="G25" s="961"/>
      <c r="H25" s="962"/>
      <c r="I25" s="944"/>
      <c r="J25" s="946"/>
      <c r="K25" s="961"/>
      <c r="L25" s="962"/>
      <c r="M25" s="963"/>
      <c r="N25" s="541"/>
      <c r="O25" s="961"/>
      <c r="P25" s="962"/>
      <c r="Q25" s="944"/>
      <c r="R25" s="946"/>
      <c r="S25" s="964"/>
    </row>
    <row r="26" ht="15.5" customHeight="1" spans="1:19" x14ac:dyDescent="0.25">
      <c r="A26" s="936" t="s">
        <v>64</v>
      </c>
      <c r="B26" s="937" t="s">
        <v>2550</v>
      </c>
      <c r="C26" s="961"/>
      <c r="D26" s="962"/>
      <c r="E26" s="963"/>
      <c r="F26" s="541"/>
      <c r="G26" s="961"/>
      <c r="H26" s="962"/>
      <c r="I26" s="944"/>
      <c r="J26" s="946"/>
      <c r="K26" s="961"/>
      <c r="L26" s="962"/>
      <c r="M26" s="963"/>
      <c r="N26" s="541"/>
      <c r="O26" s="961"/>
      <c r="P26" s="962"/>
      <c r="Q26" s="944"/>
      <c r="R26" s="946"/>
      <c r="S26" s="964"/>
    </row>
    <row r="27" ht="15.5" customHeight="1" spans="1:19" x14ac:dyDescent="0.25">
      <c r="A27" s="936" t="s">
        <v>2551</v>
      </c>
      <c r="B27" s="937" t="s">
        <v>2552</v>
      </c>
      <c r="C27" s="961"/>
      <c r="D27" s="962"/>
      <c r="E27" s="963"/>
      <c r="F27" s="541"/>
      <c r="G27" s="961"/>
      <c r="H27" s="962"/>
      <c r="I27" s="944"/>
      <c r="J27" s="946"/>
      <c r="K27" s="961"/>
      <c r="L27" s="962"/>
      <c r="M27" s="963"/>
      <c r="N27" s="541"/>
      <c r="O27" s="961"/>
      <c r="P27" s="962"/>
      <c r="Q27" s="944"/>
      <c r="R27" s="946"/>
      <c r="S27" s="964"/>
    </row>
    <row r="28" ht="15.5" customHeight="1" spans="1:19" x14ac:dyDescent="0.25">
      <c r="A28" s="936" t="s">
        <v>2553</v>
      </c>
      <c r="B28" s="937" t="s">
        <v>2554</v>
      </c>
      <c r="C28" s="961"/>
      <c r="D28" s="962"/>
      <c r="E28" s="963"/>
      <c r="F28" s="541"/>
      <c r="G28" s="961"/>
      <c r="H28" s="962"/>
      <c r="I28" s="944"/>
      <c r="J28" s="946"/>
      <c r="K28" s="961"/>
      <c r="L28" s="962"/>
      <c r="M28" s="963"/>
      <c r="N28" s="541"/>
      <c r="O28" s="961"/>
      <c r="P28" s="962"/>
      <c r="Q28" s="944"/>
      <c r="R28" s="946"/>
      <c r="S28" s="964"/>
    </row>
    <row r="29" ht="15.5" customHeight="1" spans="1:19" x14ac:dyDescent="0.25">
      <c r="A29" s="936" t="s">
        <v>80</v>
      </c>
      <c r="B29" s="937" t="s">
        <v>2555</v>
      </c>
      <c r="C29" s="961"/>
      <c r="D29" s="962"/>
      <c r="E29" s="963"/>
      <c r="F29" s="541"/>
      <c r="G29" s="961"/>
      <c r="H29" s="962"/>
      <c r="I29" s="944"/>
      <c r="J29" s="946"/>
      <c r="K29" s="961"/>
      <c r="L29" s="962"/>
      <c r="M29" s="963"/>
      <c r="N29" s="541"/>
      <c r="O29" s="961"/>
      <c r="P29" s="962"/>
      <c r="Q29" s="944"/>
      <c r="R29" s="946"/>
      <c r="S29" s="964"/>
    </row>
    <row r="30" ht="15.5" customHeight="1" spans="1:19" x14ac:dyDescent="0.25">
      <c r="A30" s="936" t="s">
        <v>82</v>
      </c>
      <c r="B30" s="937" t="s">
        <v>2556</v>
      </c>
      <c r="C30" s="961"/>
      <c r="D30" s="962"/>
      <c r="E30" s="963"/>
      <c r="F30" s="541"/>
      <c r="G30" s="961"/>
      <c r="H30" s="962"/>
      <c r="I30" s="944"/>
      <c r="J30" s="946"/>
      <c r="K30" s="961"/>
      <c r="L30" s="962"/>
      <c r="M30" s="963"/>
      <c r="N30" s="541"/>
      <c r="O30" s="961"/>
      <c r="P30" s="962"/>
      <c r="Q30" s="944"/>
      <c r="R30" s="946"/>
      <c r="S30" s="964"/>
    </row>
    <row r="31" ht="15.5" customHeight="1" spans="1:19" x14ac:dyDescent="0.25">
      <c r="A31" s="936" t="s">
        <v>121</v>
      </c>
      <c r="B31" s="937" t="s">
        <v>2557</v>
      </c>
      <c r="C31" s="961"/>
      <c r="D31" s="962"/>
      <c r="E31" s="963"/>
      <c r="F31" s="541"/>
      <c r="G31" s="961"/>
      <c r="H31" s="962"/>
      <c r="I31" s="944"/>
      <c r="J31" s="946"/>
      <c r="K31" s="961"/>
      <c r="L31" s="962"/>
      <c r="M31" s="963"/>
      <c r="N31" s="541"/>
      <c r="O31" s="961"/>
      <c r="P31" s="962"/>
      <c r="Q31" s="944"/>
      <c r="R31" s="946"/>
      <c r="S31" s="964"/>
    </row>
    <row r="32" ht="15.5" customHeight="1" spans="1:19" x14ac:dyDescent="0.25">
      <c r="A32" s="936" t="s">
        <v>144</v>
      </c>
      <c r="B32" s="937" t="s">
        <v>2558</v>
      </c>
      <c r="C32" s="961"/>
      <c r="D32" s="962"/>
      <c r="E32" s="963"/>
      <c r="F32" s="541"/>
      <c r="G32" s="961"/>
      <c r="H32" s="962"/>
      <c r="I32" s="944"/>
      <c r="J32" s="946"/>
      <c r="K32" s="961"/>
      <c r="L32" s="962"/>
      <c r="M32" s="963"/>
      <c r="N32" s="541"/>
      <c r="O32" s="961"/>
      <c r="P32" s="962"/>
      <c r="Q32" s="944"/>
      <c r="R32" s="946"/>
      <c r="S32" s="964"/>
    </row>
    <row r="33" ht="15.5" customHeight="1" spans="1:19" x14ac:dyDescent="0.25">
      <c r="A33" s="936" t="s">
        <v>146</v>
      </c>
      <c r="B33" s="937" t="s">
        <v>2559</v>
      </c>
      <c r="C33" s="961"/>
      <c r="D33" s="962"/>
      <c r="E33" s="963"/>
      <c r="F33" s="541"/>
      <c r="G33" s="961"/>
      <c r="H33" s="962"/>
      <c r="I33" s="944"/>
      <c r="J33" s="946"/>
      <c r="K33" s="961"/>
      <c r="L33" s="962"/>
      <c r="M33" s="963"/>
      <c r="N33" s="541"/>
      <c r="O33" s="961"/>
      <c r="P33" s="962"/>
      <c r="Q33" s="944"/>
      <c r="R33" s="946"/>
      <c r="S33" s="964"/>
    </row>
    <row r="34" ht="15.5" customHeight="1" spans="1:19" x14ac:dyDescent="0.25">
      <c r="A34" s="936" t="s">
        <v>148</v>
      </c>
      <c r="B34" s="937" t="s">
        <v>2560</v>
      </c>
      <c r="C34" s="961"/>
      <c r="D34" s="962"/>
      <c r="E34" s="963"/>
      <c r="F34" s="541"/>
      <c r="G34" s="961"/>
      <c r="H34" s="962"/>
      <c r="I34" s="944"/>
      <c r="J34" s="946"/>
      <c r="K34" s="961"/>
      <c r="L34" s="962"/>
      <c r="M34" s="963"/>
      <c r="N34" s="541"/>
      <c r="O34" s="961"/>
      <c r="P34" s="962"/>
      <c r="Q34" s="944"/>
      <c r="R34" s="946"/>
      <c r="S34" s="964"/>
    </row>
    <row r="35" ht="47.5" customHeight="1" spans="1:19" x14ac:dyDescent="0.25">
      <c r="A35" s="454" t="s">
        <v>591</v>
      </c>
      <c r="B35" s="454" t="s">
        <v>2572</v>
      </c>
      <c r="C35" s="965">
        <f>SUM(C25:D34)</f>
        <v>755.3969963570128</v>
      </c>
      <c r="D35" s="966"/>
      <c r="E35" s="965">
        <f>IFERROR((E25*G25+E26*G26+E27*G27+E28*G28+E29*G29+E30*G30+E31*G31+E32*G32+E33*G33+E34*G34)/G35,0)</f>
        <v>0.916270279477612</v>
      </c>
      <c r="F35" s="966"/>
      <c r="G35" s="965">
        <f>SUM(G25:H34)</f>
        <v>66354.07216</v>
      </c>
      <c r="H35" s="966"/>
      <c r="I35" s="965">
        <f>IFERROR(((G25*I25+G26*I26+G27*I27+G28*I28+G29*I29+G30*I30+G31*I31+G32*I32+G33*I33+G34*I34)/G35),0)</f>
        <v>2584</v>
      </c>
      <c r="J35" s="966"/>
      <c r="K35" s="965">
        <f>SUM(K25:L34)</f>
        <v>0</v>
      </c>
      <c r="L35" s="966"/>
      <c r="M35" s="965">
        <f>IFERROR((M25*O25+M26*O26+M27*O27+M28*O28+M29*O29+M30*O30+M31*O31+M32*O32+M33*O33+M34*O34)/O35,0)</f>
        <v>0</v>
      </c>
      <c r="N35" s="966"/>
      <c r="O35" s="965">
        <f>SUM(O25:P34)</f>
        <v>0</v>
      </c>
      <c r="P35" s="966"/>
      <c r="Q35" s="965">
        <f>IFERROR((O25*Q25+O26*Q26+O27*Q27+O28*Q28+O29*Q29+O30*Q30+O31*Q31+O32*Q32+O33*Q33+O34*Q34)/O35,0)</f>
        <v>0</v>
      </c>
      <c r="R35" s="966"/>
      <c r="S35" s="334"/>
    </row>
    <row r="36" ht="15.5" customHeight="1" spans="1:19" x14ac:dyDescent="0.25">
      <c r="A36" s="936"/>
      <c r="B36" s="967"/>
      <c r="C36" s="967"/>
      <c r="D36" s="967"/>
      <c r="E36" s="967"/>
      <c r="F36" s="967"/>
      <c r="G36" s="967"/>
      <c r="H36" s="967"/>
      <c r="I36" s="967"/>
      <c r="J36" s="967"/>
      <c r="K36" s="967"/>
      <c r="L36" s="967"/>
      <c r="M36" s="967"/>
      <c r="N36" s="967"/>
      <c r="O36" s="967"/>
      <c r="P36" s="967"/>
      <c r="Q36" s="967"/>
      <c r="R36" s="967"/>
      <c r="S36" s="334"/>
    </row>
    <row r="37" ht="57" customHeight="1" spans="1:19" x14ac:dyDescent="0.25">
      <c r="A37" s="936" t="s">
        <v>593</v>
      </c>
      <c r="B37" s="968" t="s">
        <v>2573</v>
      </c>
      <c r="C37" s="937"/>
      <c r="D37" s="937"/>
      <c r="E37" s="969"/>
      <c r="F37" s="970"/>
      <c r="G37" s="970"/>
      <c r="H37" s="970"/>
      <c r="I37" s="970"/>
      <c r="J37" s="971"/>
      <c r="K37" s="972"/>
      <c r="L37" s="973"/>
      <c r="M37" s="973"/>
      <c r="N37" s="973"/>
      <c r="O37" s="973"/>
      <c r="P37" s="973"/>
      <c r="Q37" s="973"/>
      <c r="R37" s="973"/>
      <c r="S37" s="334"/>
    </row>
    <row r="38" ht="15.5" customHeight="1" spans="1:19" x14ac:dyDescent="0.25">
      <c r="A38" s="936"/>
      <c r="B38" s="967" t="s">
        <v>2574</v>
      </c>
      <c r="C38" s="967"/>
      <c r="D38" s="967"/>
      <c r="E38" s="967"/>
      <c r="F38" s="967"/>
      <c r="G38" s="967"/>
      <c r="H38" s="967"/>
      <c r="I38" s="967"/>
      <c r="J38" s="967"/>
      <c r="K38" s="967"/>
      <c r="L38" s="967"/>
      <c r="M38" s="967"/>
      <c r="N38" s="967"/>
      <c r="O38" s="967"/>
      <c r="P38" s="967"/>
      <c r="Q38" s="967"/>
      <c r="R38" s="967"/>
      <c r="S38" s="334"/>
    </row>
    <row r="39" ht="15.5" customHeight="1" spans="1:19" x14ac:dyDescent="0.25">
      <c r="A39" s="936"/>
      <c r="B39" s="967" t="s">
        <v>2575</v>
      </c>
      <c r="C39" s="967"/>
      <c r="D39" s="967"/>
      <c r="E39" s="967"/>
      <c r="F39" s="967"/>
      <c r="G39" s="967"/>
      <c r="H39" s="967"/>
      <c r="I39" s="967"/>
      <c r="J39" s="967"/>
      <c r="K39" s="967"/>
      <c r="L39" s="967"/>
      <c r="M39" s="967"/>
      <c r="N39" s="967"/>
      <c r="O39" s="967"/>
      <c r="P39" s="967"/>
      <c r="Q39" s="967"/>
      <c r="R39" s="967"/>
      <c r="S39" s="334"/>
    </row>
    <row r="40" ht="34.5" customHeight="1" spans="1:19" x14ac:dyDescent="0.25">
      <c r="A40" s="936">
        <v>3</v>
      </c>
      <c r="B40" s="955" t="s">
        <v>597</v>
      </c>
      <c r="C40" s="956"/>
      <c r="D40" s="956"/>
      <c r="E40" s="956"/>
      <c r="F40" s="956"/>
      <c r="G40" s="956"/>
      <c r="H40" s="956"/>
      <c r="I40" s="956"/>
      <c r="J40" s="956"/>
      <c r="K40" s="956"/>
      <c r="L40" s="956"/>
      <c r="M40" s="956"/>
      <c r="N40" s="956"/>
      <c r="O40" s="956"/>
      <c r="P40" s="956"/>
      <c r="Q40" s="956"/>
      <c r="R40" s="956"/>
      <c r="S40" s="957"/>
    </row>
    <row r="41" ht="17.25" customHeight="1" spans="1:19" x14ac:dyDescent="0.25">
      <c r="A41" s="936" t="s">
        <v>598</v>
      </c>
      <c r="B41" s="955" t="s">
        <v>599</v>
      </c>
      <c r="C41" s="956"/>
      <c r="D41" s="956"/>
      <c r="E41" s="956"/>
      <c r="F41" s="956"/>
      <c r="G41" s="956"/>
      <c r="H41" s="956"/>
      <c r="I41" s="956"/>
      <c r="J41" s="956"/>
      <c r="K41" s="956"/>
      <c r="L41" s="956"/>
      <c r="M41" s="956"/>
      <c r="N41" s="956"/>
      <c r="O41" s="956"/>
      <c r="P41" s="956"/>
      <c r="Q41" s="956"/>
      <c r="R41" s="956"/>
      <c r="S41" s="957"/>
    </row>
    <row r="42" ht="17.25" customHeight="1" spans="1:19" x14ac:dyDescent="0.25">
      <c r="A42" s="958" t="s">
        <v>600</v>
      </c>
      <c r="B42" s="911" t="s">
        <v>2535</v>
      </c>
      <c r="C42" s="911" t="str">
        <f>C22</f>
        <v>Baseline/Previous Year 2023-24</v>
      </c>
      <c r="D42" s="911"/>
      <c r="E42" s="911"/>
      <c r="F42" s="911"/>
      <c r="G42" s="911"/>
      <c r="H42" s="911"/>
      <c r="I42" s="911"/>
      <c r="J42" s="911"/>
      <c r="K42" s="911" t="str">
        <f>K22</f>
        <v>Assesment year/ Current Year  FY 2025-26</v>
      </c>
      <c r="L42" s="911"/>
      <c r="M42" s="911"/>
      <c r="N42" s="911"/>
      <c r="O42" s="911"/>
      <c r="P42" s="911"/>
      <c r="Q42" s="911"/>
      <c r="R42" s="911"/>
      <c r="S42" s="861"/>
    </row>
    <row r="43" ht="105.75" customHeight="1" spans="1:19" x14ac:dyDescent="0.25">
      <c r="A43" s="958"/>
      <c r="B43" s="911"/>
      <c r="C43" s="911" t="s">
        <v>2576</v>
      </c>
      <c r="D43" s="911"/>
      <c r="E43" s="911" t="s">
        <v>2577</v>
      </c>
      <c r="F43" s="911"/>
      <c r="G43" s="911" t="s">
        <v>2578</v>
      </c>
      <c r="H43" s="911"/>
      <c r="I43" s="911" t="s">
        <v>2579</v>
      </c>
      <c r="J43" s="911"/>
      <c r="K43" s="911" t="s">
        <v>2576</v>
      </c>
      <c r="L43" s="911"/>
      <c r="M43" s="911" t="s">
        <v>2577</v>
      </c>
      <c r="N43" s="911"/>
      <c r="O43" s="911" t="s">
        <v>2578</v>
      </c>
      <c r="P43" s="911"/>
      <c r="Q43" s="911" t="s">
        <v>2580</v>
      </c>
      <c r="R43" s="911"/>
      <c r="S43" s="974" t="s">
        <v>1548</v>
      </c>
    </row>
    <row r="44" ht="26" customHeight="1" spans="1:19" x14ac:dyDescent="0.25">
      <c r="A44" s="958"/>
      <c r="B44" s="911"/>
      <c r="C44" s="920" t="s">
        <v>1487</v>
      </c>
      <c r="D44" s="975" t="s">
        <v>2581</v>
      </c>
      <c r="E44" s="975" t="s">
        <v>1487</v>
      </c>
      <c r="F44" s="975" t="s">
        <v>2581</v>
      </c>
      <c r="G44" s="975" t="s">
        <v>1487</v>
      </c>
      <c r="H44" s="975" t="s">
        <v>2581</v>
      </c>
      <c r="I44" s="975" t="s">
        <v>1487</v>
      </c>
      <c r="J44" s="975" t="s">
        <v>2581</v>
      </c>
      <c r="K44" s="975" t="s">
        <v>1487</v>
      </c>
      <c r="L44" s="975" t="s">
        <v>2581</v>
      </c>
      <c r="M44" s="975" t="s">
        <v>1487</v>
      </c>
      <c r="N44" s="975" t="s">
        <v>2581</v>
      </c>
      <c r="O44" s="975" t="s">
        <v>1487</v>
      </c>
      <c r="P44" s="975" t="s">
        <v>2581</v>
      </c>
      <c r="Q44" s="975" t="s">
        <v>1487</v>
      </c>
      <c r="R44" s="975" t="s">
        <v>2581</v>
      </c>
      <c r="S44" s="861"/>
    </row>
    <row r="45" ht="15.5" customHeight="1" spans="1:19" x14ac:dyDescent="0.25">
      <c r="A45" s="936" t="s">
        <v>58</v>
      </c>
      <c r="B45" s="976" t="s">
        <v>2549</v>
      </c>
      <c r="C45" s="938"/>
      <c r="D45" s="977"/>
      <c r="E45" s="228"/>
      <c r="F45" s="228"/>
      <c r="G45" s="228"/>
      <c r="H45" s="228"/>
      <c r="I45" s="489"/>
      <c r="J45" s="489"/>
      <c r="K45" s="938"/>
      <c r="L45" s="977"/>
      <c r="M45" s="228"/>
      <c r="N45" s="228"/>
      <c r="O45" s="228"/>
      <c r="P45" s="228"/>
      <c r="Q45" s="489"/>
      <c r="R45" s="489"/>
      <c r="S45" s="978"/>
    </row>
    <row r="46" ht="15.5" customHeight="1" spans="1:19" x14ac:dyDescent="0.25">
      <c r="A46" s="936" t="s">
        <v>64</v>
      </c>
      <c r="B46" s="976" t="s">
        <v>2550</v>
      </c>
      <c r="C46" s="938"/>
      <c r="D46" s="977"/>
      <c r="E46" s="228"/>
      <c r="F46" s="228"/>
      <c r="G46" s="228"/>
      <c r="H46" s="228"/>
      <c r="I46" s="489"/>
      <c r="J46" s="489"/>
      <c r="K46" s="977"/>
      <c r="L46" s="228"/>
      <c r="M46" s="228"/>
      <c r="N46" s="228"/>
      <c r="O46" s="228"/>
      <c r="P46" s="228"/>
      <c r="Q46" s="489"/>
      <c r="R46" s="489"/>
      <c r="S46" s="978"/>
    </row>
    <row r="47" ht="15.5" customHeight="1" spans="1:19" x14ac:dyDescent="0.25">
      <c r="A47" s="936" t="s">
        <v>2551</v>
      </c>
      <c r="B47" s="976" t="s">
        <v>2552</v>
      </c>
      <c r="C47" s="938"/>
      <c r="D47" s="977"/>
      <c r="E47" s="228"/>
      <c r="F47" s="228"/>
      <c r="G47" s="228"/>
      <c r="H47" s="228"/>
      <c r="I47" s="489"/>
      <c r="J47" s="489"/>
      <c r="K47" s="977"/>
      <c r="L47" s="228"/>
      <c r="M47" s="228"/>
      <c r="N47" s="228"/>
      <c r="O47" s="228"/>
      <c r="P47" s="228"/>
      <c r="Q47" s="489"/>
      <c r="R47" s="489"/>
      <c r="S47" s="978"/>
    </row>
    <row r="48" ht="15.5" customHeight="1" spans="1:19" x14ac:dyDescent="0.25">
      <c r="A48" s="936" t="s">
        <v>2553</v>
      </c>
      <c r="B48" s="976" t="s">
        <v>2554</v>
      </c>
      <c r="C48" s="938"/>
      <c r="D48" s="977"/>
      <c r="E48" s="228"/>
      <c r="F48" s="228"/>
      <c r="G48" s="228"/>
      <c r="H48" s="228"/>
      <c r="I48" s="489"/>
      <c r="J48" s="489"/>
      <c r="K48" s="977"/>
      <c r="L48" s="228"/>
      <c r="M48" s="228"/>
      <c r="N48" s="228"/>
      <c r="O48" s="228"/>
      <c r="P48" s="228"/>
      <c r="Q48" s="489"/>
      <c r="R48" s="489"/>
      <c r="S48" s="978"/>
    </row>
    <row r="49" ht="15.5" customHeight="1" spans="1:19" x14ac:dyDescent="0.25">
      <c r="A49" s="936" t="s">
        <v>80</v>
      </c>
      <c r="B49" s="976" t="s">
        <v>2555</v>
      </c>
      <c r="C49" s="938"/>
      <c r="D49" s="977"/>
      <c r="E49" s="228"/>
      <c r="F49" s="228"/>
      <c r="G49" s="228"/>
      <c r="H49" s="228"/>
      <c r="I49" s="489"/>
      <c r="J49" s="489"/>
      <c r="K49" s="949"/>
      <c r="L49" s="978"/>
      <c r="M49" s="978"/>
      <c r="N49" s="978"/>
      <c r="O49" s="978"/>
      <c r="P49" s="978"/>
      <c r="Q49" s="489"/>
      <c r="R49" s="489"/>
      <c r="S49" s="978"/>
    </row>
    <row r="50" ht="15.5" customHeight="1" spans="1:19" x14ac:dyDescent="0.25">
      <c r="A50" s="936" t="s">
        <v>82</v>
      </c>
      <c r="B50" s="976" t="s">
        <v>2556</v>
      </c>
      <c r="C50" s="938"/>
      <c r="D50" s="977"/>
      <c r="E50" s="228"/>
      <c r="F50" s="228"/>
      <c r="G50" s="228"/>
      <c r="H50" s="228"/>
      <c r="I50" s="489"/>
      <c r="J50" s="489"/>
      <c r="K50" s="949"/>
      <c r="L50" s="978"/>
      <c r="M50" s="978"/>
      <c r="N50" s="978"/>
      <c r="O50" s="978"/>
      <c r="P50" s="978"/>
      <c r="Q50" s="489"/>
      <c r="R50" s="489"/>
      <c r="S50" s="978"/>
    </row>
    <row r="51" ht="15.5" customHeight="1" spans="1:19" x14ac:dyDescent="0.25">
      <c r="A51" s="936" t="s">
        <v>121</v>
      </c>
      <c r="B51" s="976" t="s">
        <v>2557</v>
      </c>
      <c r="C51" s="938"/>
      <c r="D51" s="977"/>
      <c r="E51" s="228"/>
      <c r="F51" s="228"/>
      <c r="G51" s="228"/>
      <c r="H51" s="228"/>
      <c r="I51" s="489"/>
      <c r="J51" s="489"/>
      <c r="K51" s="949"/>
      <c r="L51" s="978"/>
      <c r="M51" s="978"/>
      <c r="N51" s="978"/>
      <c r="O51" s="978"/>
      <c r="P51" s="978"/>
      <c r="Q51" s="489"/>
      <c r="R51" s="489"/>
      <c r="S51" s="978"/>
    </row>
    <row r="52" ht="15.5" customHeight="1" spans="1:19" x14ac:dyDescent="0.25">
      <c r="A52" s="936" t="s">
        <v>144</v>
      </c>
      <c r="B52" s="976" t="s">
        <v>2558</v>
      </c>
      <c r="C52" s="938"/>
      <c r="D52" s="977"/>
      <c r="E52" s="228"/>
      <c r="F52" s="228"/>
      <c r="G52" s="228"/>
      <c r="H52" s="228"/>
      <c r="I52" s="489"/>
      <c r="J52" s="489"/>
      <c r="K52" s="949"/>
      <c r="L52" s="978"/>
      <c r="M52" s="978"/>
      <c r="N52" s="978"/>
      <c r="O52" s="978"/>
      <c r="P52" s="978"/>
      <c r="Q52" s="489"/>
      <c r="R52" s="489"/>
      <c r="S52" s="978"/>
    </row>
    <row r="53" ht="15.5" customHeight="1" spans="1:19" x14ac:dyDescent="0.25">
      <c r="A53" s="936" t="s">
        <v>146</v>
      </c>
      <c r="B53" s="976" t="s">
        <v>2559</v>
      </c>
      <c r="C53" s="938"/>
      <c r="D53" s="977"/>
      <c r="E53" s="228"/>
      <c r="F53" s="228"/>
      <c r="G53" s="228"/>
      <c r="H53" s="228"/>
      <c r="I53" s="489"/>
      <c r="J53" s="489"/>
      <c r="K53" s="949"/>
      <c r="L53" s="978"/>
      <c r="M53" s="978"/>
      <c r="N53" s="978"/>
      <c r="O53" s="978"/>
      <c r="P53" s="978"/>
      <c r="Q53" s="489"/>
      <c r="R53" s="489"/>
      <c r="S53" s="978"/>
    </row>
    <row r="54" ht="15.5" customHeight="1" spans="1:19" x14ac:dyDescent="0.25">
      <c r="A54" s="936" t="s">
        <v>148</v>
      </c>
      <c r="B54" s="976" t="s">
        <v>2560</v>
      </c>
      <c r="C54" s="938"/>
      <c r="D54" s="977"/>
      <c r="E54" s="228"/>
      <c r="F54" s="228"/>
      <c r="G54" s="228"/>
      <c r="H54" s="228"/>
      <c r="I54" s="489"/>
      <c r="J54" s="489"/>
      <c r="K54" s="949"/>
      <c r="L54" s="978"/>
      <c r="M54" s="978"/>
      <c r="N54" s="978"/>
      <c r="O54" s="978"/>
      <c r="P54" s="978"/>
      <c r="Q54" s="489"/>
      <c r="R54" s="489"/>
      <c r="S54" s="978"/>
    </row>
    <row r="55" spans="1:19" x14ac:dyDescent="0.25">
      <c r="A55" s="454" t="s">
        <v>605</v>
      </c>
      <c r="B55" s="454" t="s">
        <v>2582</v>
      </c>
      <c r="C55" s="454">
        <f>SUM(C45:C54)</f>
        <v>0</v>
      </c>
      <c r="D55" s="454" t="e">
        <f>(C45*D45+C46*D46+C47*D47+C48*D48+C49*D49+C50*D50+C51*D51+C52*D52+C53*D53+C54*D54)/C55</f>
        <v>#DIV/0!</v>
      </c>
      <c r="E55" s="454">
        <f>SUM(E45:E54)</f>
        <v>0</v>
      </c>
      <c r="F55" s="454">
        <f>SUM(F45:F54)</f>
        <v>0</v>
      </c>
      <c r="G55" s="454">
        <f>SUM(G45:G54)</f>
        <v>0</v>
      </c>
      <c r="H55" s="454">
        <f>SUM(H45:H54)</f>
        <v>0</v>
      </c>
      <c r="I55" s="454"/>
      <c r="J55" s="454"/>
      <c r="K55" s="454">
        <f>SUM(K45:K54)</f>
        <v>0</v>
      </c>
      <c r="L55" s="454" t="e">
        <f>(K45*L45+K46*L46+K47*L47+K48*L48+K49*L49+K50*L50+K51*L51+K52*L52+K53*L53+K54*L54)/K55</f>
        <v>#DIV/0!</v>
      </c>
      <c r="M55" s="454">
        <f>SUM(M45:M54)</f>
        <v>0</v>
      </c>
      <c r="N55" s="454">
        <f>SUM(N45:N54)</f>
        <v>0</v>
      </c>
      <c r="O55" s="454">
        <f>SUM(O45:O54)</f>
        <v>0</v>
      </c>
      <c r="P55" s="454">
        <f>SUM(P45:P54)</f>
        <v>0</v>
      </c>
      <c r="Q55" s="454"/>
      <c r="R55" s="454"/>
      <c r="S55" s="334"/>
    </row>
    <row r="56" ht="15.5" customHeight="1" spans="1:19" x14ac:dyDescent="0.25">
      <c r="A56" s="936"/>
      <c r="B56" s="979"/>
      <c r="C56" s="980" t="s">
        <v>2583</v>
      </c>
      <c r="D56" s="980"/>
      <c r="E56" s="980"/>
      <c r="F56" s="980"/>
      <c r="G56" s="980"/>
      <c r="H56" s="980"/>
      <c r="I56" s="980"/>
      <c r="J56" s="980"/>
      <c r="K56" s="980"/>
      <c r="L56" s="980"/>
      <c r="M56" s="980"/>
      <c r="N56" s="980"/>
      <c r="O56" s="980"/>
      <c r="P56" s="980"/>
      <c r="Q56" s="980"/>
      <c r="R56" s="980"/>
      <c r="S56" s="980"/>
    </row>
    <row r="57" ht="15.65" customHeight="1" spans="1:19" x14ac:dyDescent="0.25">
      <c r="A57" s="936" t="s">
        <v>607</v>
      </c>
      <c r="B57" s="955" t="s">
        <v>608</v>
      </c>
      <c r="C57" s="956"/>
      <c r="D57" s="956"/>
      <c r="E57" s="956"/>
      <c r="F57" s="956"/>
      <c r="G57" s="956"/>
      <c r="H57" s="956"/>
      <c r="I57" s="956"/>
      <c r="J57" s="956"/>
      <c r="K57" s="956"/>
      <c r="L57" s="956"/>
      <c r="M57" s="956"/>
      <c r="N57" s="956"/>
      <c r="O57" s="956"/>
      <c r="P57" s="956"/>
      <c r="Q57" s="956"/>
      <c r="R57" s="956"/>
      <c r="S57" s="957"/>
    </row>
    <row r="58" ht="17.25" customHeight="1" spans="1:19" x14ac:dyDescent="0.25">
      <c r="A58" s="958" t="s">
        <v>609</v>
      </c>
      <c r="B58" s="911" t="s">
        <v>2535</v>
      </c>
      <c r="C58" s="911" t="str">
        <f>C22</f>
        <v>Baseline/Previous Year 2023-24</v>
      </c>
      <c r="D58" s="911"/>
      <c r="E58" s="911"/>
      <c r="F58" s="911"/>
      <c r="G58" s="911"/>
      <c r="H58" s="911"/>
      <c r="I58" s="911"/>
      <c r="J58" s="911"/>
      <c r="K58" s="911" t="str">
        <f>K22</f>
        <v>Assesment year/ Current Year  FY 2025-26</v>
      </c>
      <c r="L58" s="911"/>
      <c r="M58" s="911"/>
      <c r="N58" s="911"/>
      <c r="O58" s="911"/>
      <c r="P58" s="911"/>
      <c r="Q58" s="911"/>
      <c r="R58" s="911"/>
      <c r="S58" s="861"/>
    </row>
    <row r="59" ht="131.5" customHeight="1" spans="1:19" x14ac:dyDescent="0.25">
      <c r="A59" s="958"/>
      <c r="B59" s="911"/>
      <c r="C59" s="920" t="s">
        <v>1887</v>
      </c>
      <c r="D59" s="911" t="s">
        <v>2584</v>
      </c>
      <c r="E59" s="974" t="s">
        <v>2585</v>
      </c>
      <c r="F59" s="911" t="s">
        <v>2586</v>
      </c>
      <c r="G59" s="974" t="s">
        <v>2587</v>
      </c>
      <c r="H59" s="974" t="s">
        <v>2588</v>
      </c>
      <c r="I59" s="974" t="s">
        <v>2589</v>
      </c>
      <c r="J59" s="974" t="s">
        <v>2590</v>
      </c>
      <c r="K59" s="911" t="s">
        <v>1887</v>
      </c>
      <c r="L59" s="911" t="s">
        <v>2584</v>
      </c>
      <c r="M59" s="974" t="s">
        <v>2591</v>
      </c>
      <c r="N59" s="911" t="s">
        <v>2592</v>
      </c>
      <c r="O59" s="974" t="s">
        <v>2587</v>
      </c>
      <c r="P59" s="974" t="s">
        <v>2588</v>
      </c>
      <c r="Q59" s="974" t="s">
        <v>2589</v>
      </c>
      <c r="R59" s="974" t="s">
        <v>2590</v>
      </c>
      <c r="S59" s="974" t="s">
        <v>1548</v>
      </c>
    </row>
    <row r="60" ht="15.5" customHeight="1" spans="1:19" x14ac:dyDescent="0.25">
      <c r="A60" s="958"/>
      <c r="B60" s="911"/>
      <c r="C60" s="920" t="s">
        <v>1487</v>
      </c>
      <c r="D60" s="911" t="s">
        <v>1915</v>
      </c>
      <c r="E60" s="911" t="s">
        <v>1915</v>
      </c>
      <c r="F60" s="911"/>
      <c r="G60" s="911" t="s">
        <v>1487</v>
      </c>
      <c r="H60" s="911" t="s">
        <v>2593</v>
      </c>
      <c r="I60" s="911" t="s">
        <v>1487</v>
      </c>
      <c r="J60" s="911" t="s">
        <v>2593</v>
      </c>
      <c r="K60" s="911" t="s">
        <v>1487</v>
      </c>
      <c r="L60" s="911" t="s">
        <v>1915</v>
      </c>
      <c r="M60" s="911" t="s">
        <v>1915</v>
      </c>
      <c r="N60" s="911"/>
      <c r="O60" s="911" t="s">
        <v>1487</v>
      </c>
      <c r="P60" s="911" t="s">
        <v>2593</v>
      </c>
      <c r="Q60" s="911" t="s">
        <v>1487</v>
      </c>
      <c r="R60" s="911" t="s">
        <v>2593</v>
      </c>
      <c r="S60" s="861"/>
    </row>
    <row r="61" ht="15.5" customHeight="1" spans="1:19" x14ac:dyDescent="0.25">
      <c r="A61" s="936" t="s">
        <v>58</v>
      </c>
      <c r="B61" s="937" t="s">
        <v>2549</v>
      </c>
      <c r="C61" s="454">
        <f>C7</f>
        <v>81.75</v>
      </c>
      <c r="D61" s="950"/>
      <c r="E61" s="950"/>
      <c r="F61" s="454">
        <f>(8760-(D61+E61))/8760</f>
        <v>1</v>
      </c>
      <c r="G61" s="950"/>
      <c r="H61" s="489"/>
      <c r="I61" s="454">
        <f>IFERROR((C45*D45+E45*F45+G45*H45+I45*J45)/(D45+F45+H45+J45),0)</f>
        <v>4.277089253187617</v>
      </c>
      <c r="J61" s="454">
        <f>D45+F45+H45+J45</f>
        <v>459.5712782874621</v>
      </c>
      <c r="K61" s="454">
        <f>C61</f>
        <v>81.75</v>
      </c>
      <c r="L61" s="950"/>
      <c r="M61" s="950"/>
      <c r="N61" s="454">
        <f>(8760-(L61+M61))/8760</f>
        <v>1</v>
      </c>
      <c r="O61" s="950"/>
      <c r="P61" s="489"/>
      <c r="Q61" s="454">
        <f>IFERROR((K45*L45+M45*N45+O45*P45+Q45*R45)/(L45+N45+P45+R45),0)</f>
        <v>0</v>
      </c>
      <c r="R61" s="454">
        <f>L45+N45+P45+R45</f>
        <v>0</v>
      </c>
      <c r="S61" s="978"/>
    </row>
    <row r="62" ht="15.5" customHeight="1" spans="1:19" x14ac:dyDescent="0.25">
      <c r="A62" s="936" t="s">
        <v>64</v>
      </c>
      <c r="B62" s="937" t="s">
        <v>2550</v>
      </c>
      <c r="C62" s="454">
        <f t="shared" ref="C62:C70" si="1">C8</f>
        <v>81.75</v>
      </c>
      <c r="D62" s="950"/>
      <c r="E62" s="950"/>
      <c r="F62" s="454">
        <f>(8760-(D62+E62))/8760</f>
        <v>0.9512195495231308</v>
      </c>
      <c r="G62" s="950"/>
      <c r="H62" s="489"/>
      <c r="I62" s="454">
        <f t="shared" ref="I62:I70" si="2">IFERROR((C46*D46+E46*F46+G46*H46+I46*J46)/(D46+F46+H46+J46),0)</f>
        <v>4.627467213114671</v>
      </c>
      <c r="J62" s="454">
        <f t="shared" ref="J62:J70" si="3">D46+F46+H46+J46</f>
        <v>497.21922935778923</v>
      </c>
      <c r="K62" s="454">
        <f t="shared" ref="K62:K70" si="4">C62</f>
        <v>81.75</v>
      </c>
      <c r="L62" s="950"/>
      <c r="M62" s="950"/>
      <c r="N62" s="454">
        <f>(8760-(L62+M62))/8760</f>
        <v>1</v>
      </c>
      <c r="O62" s="950"/>
      <c r="P62" s="489"/>
      <c r="Q62" s="454">
        <f t="shared" ref="Q62:Q70" si="5">IFERROR((K46*L46+M46*N46+O46*P46+Q46*R46)/(L46+N46+P46+R46),0)</f>
        <v>0</v>
      </c>
      <c r="R62" s="454">
        <f t="shared" ref="R62:R70" si="6">L46+N46+P46+R46</f>
        <v>0</v>
      </c>
      <c r="S62" s="978"/>
    </row>
    <row r="63" ht="15.5" customHeight="1" spans="1:19" x14ac:dyDescent="0.25">
      <c r="A63" s="936" t="s">
        <v>2551</v>
      </c>
      <c r="B63" s="937" t="s">
        <v>2552</v>
      </c>
      <c r="C63" s="454">
        <f t="shared" si="1"/>
        <v>84</v>
      </c>
      <c r="D63" s="950"/>
      <c r="E63" s="950"/>
      <c r="F63" s="454">
        <f>(8760-(D63+E63))/8760</f>
        <v>0.9571109371602522</v>
      </c>
      <c r="G63" s="950"/>
      <c r="H63" s="489"/>
      <c r="I63" s="454">
        <f t="shared" si="2"/>
        <v>2.636601092896189</v>
      </c>
      <c r="J63" s="454">
        <f t="shared" si="3"/>
        <v>275.71314285714436</v>
      </c>
      <c r="K63" s="454">
        <f t="shared" si="4"/>
        <v>84</v>
      </c>
      <c r="L63" s="950"/>
      <c r="M63" s="950"/>
      <c r="N63" s="454">
        <f t="shared" ref="N63:N70" si="7">(8760-(L63+M63))/8760</f>
        <v>1</v>
      </c>
      <c r="O63" s="950"/>
      <c r="P63" s="489"/>
      <c r="Q63" s="454">
        <f t="shared" si="5"/>
        <v>0</v>
      </c>
      <c r="R63" s="454">
        <f t="shared" si="6"/>
        <v>0</v>
      </c>
      <c r="S63" s="978"/>
    </row>
    <row r="64" ht="15.5" customHeight="1" spans="1:19" x14ac:dyDescent="0.25">
      <c r="A64" s="936" t="s">
        <v>2553</v>
      </c>
      <c r="B64" s="937" t="s">
        <v>2554</v>
      </c>
      <c r="C64" s="454">
        <f t="shared" si="1"/>
        <v>84</v>
      </c>
      <c r="D64" s="950"/>
      <c r="E64" s="950"/>
      <c r="F64" s="454">
        <f t="shared" ref="F64:F70" si="8">(8760-(D64+E64))/8760</f>
        <v>0.9924696999347685</v>
      </c>
      <c r="G64" s="950"/>
      <c r="H64" s="489"/>
      <c r="I64" s="454">
        <f t="shared" si="2"/>
        <v>0.5877422586523198</v>
      </c>
      <c r="J64" s="454">
        <f t="shared" si="3"/>
        <v>61.46104761907116</v>
      </c>
      <c r="K64" s="454">
        <f t="shared" si="4"/>
        <v>84</v>
      </c>
      <c r="L64" s="950"/>
      <c r="M64" s="950"/>
      <c r="N64" s="454">
        <f t="shared" si="7"/>
        <v>1</v>
      </c>
      <c r="O64" s="950"/>
      <c r="P64" s="489"/>
      <c r="Q64" s="454">
        <f t="shared" si="5"/>
        <v>0</v>
      </c>
      <c r="R64" s="454">
        <f t="shared" si="6"/>
        <v>0</v>
      </c>
      <c r="S64" s="978"/>
    </row>
    <row r="65" ht="15.5" customHeight="1" spans="1:19" x14ac:dyDescent="0.25">
      <c r="A65" s="936" t="s">
        <v>80</v>
      </c>
      <c r="B65" s="937" t="s">
        <v>2555</v>
      </c>
      <c r="C65" s="454">
        <f t="shared" si="1"/>
        <v>76</v>
      </c>
      <c r="D65" s="950"/>
      <c r="E65" s="950"/>
      <c r="F65" s="454">
        <f t="shared" si="8"/>
        <v>0.9544405431386694</v>
      </c>
      <c r="G65" s="950"/>
      <c r="H65" s="489"/>
      <c r="I65" s="454">
        <f t="shared" si="2"/>
        <v>1.5714808743169688</v>
      </c>
      <c r="J65" s="454">
        <f t="shared" si="3"/>
        <v>181.63010526316123</v>
      </c>
      <c r="K65" s="454">
        <f t="shared" si="4"/>
        <v>76</v>
      </c>
      <c r="L65" s="950"/>
      <c r="M65" s="950"/>
      <c r="N65" s="454">
        <f t="shared" si="7"/>
        <v>1</v>
      </c>
      <c r="O65" s="950"/>
      <c r="P65" s="489"/>
      <c r="Q65" s="454">
        <f t="shared" si="5"/>
        <v>0</v>
      </c>
      <c r="R65" s="454">
        <f t="shared" si="6"/>
        <v>0</v>
      </c>
      <c r="S65" s="978"/>
    </row>
    <row r="66" ht="15.5" customHeight="1" spans="1:19" x14ac:dyDescent="0.25">
      <c r="A66" s="936" t="s">
        <v>82</v>
      </c>
      <c r="B66" s="937" t="s">
        <v>2556</v>
      </c>
      <c r="C66" s="454">
        <f t="shared" si="1"/>
        <v>84</v>
      </c>
      <c r="D66" s="950"/>
      <c r="E66" s="950"/>
      <c r="F66" s="454">
        <f t="shared" si="8"/>
        <v>0.8109814959773849</v>
      </c>
      <c r="G66" s="950"/>
      <c r="H66" s="489"/>
      <c r="I66" s="454">
        <f t="shared" si="2"/>
        <v>2.030777777777822</v>
      </c>
      <c r="J66" s="454">
        <f t="shared" si="3"/>
        <v>212.361333333338</v>
      </c>
      <c r="K66" s="454">
        <f t="shared" si="4"/>
        <v>84</v>
      </c>
      <c r="L66" s="950"/>
      <c r="M66" s="950"/>
      <c r="N66" s="454">
        <f t="shared" si="7"/>
        <v>1</v>
      </c>
      <c r="O66" s="950"/>
      <c r="P66" s="489"/>
      <c r="Q66" s="454">
        <f t="shared" si="5"/>
        <v>0</v>
      </c>
      <c r="R66" s="454">
        <f t="shared" si="6"/>
        <v>0</v>
      </c>
      <c r="S66" s="978"/>
    </row>
    <row r="67" ht="15.5" customHeight="1" spans="1:19" x14ac:dyDescent="0.25">
      <c r="A67" s="936" t="s">
        <v>121</v>
      </c>
      <c r="B67" s="937" t="s">
        <v>2557</v>
      </c>
      <c r="C67" s="454">
        <f t="shared" si="1"/>
        <v>84</v>
      </c>
      <c r="D67" s="950"/>
      <c r="E67" s="950"/>
      <c r="F67" s="454">
        <f t="shared" si="8"/>
        <v>0.9774189062839739</v>
      </c>
      <c r="G67" s="950"/>
      <c r="H67" s="489"/>
      <c r="I67" s="454">
        <f t="shared" si="2"/>
        <v>3.491534608379039</v>
      </c>
      <c r="J67" s="454">
        <f t="shared" si="3"/>
        <v>365.11476190477947</v>
      </c>
      <c r="K67" s="454">
        <f t="shared" si="4"/>
        <v>84</v>
      </c>
      <c r="L67" s="950"/>
      <c r="M67" s="950"/>
      <c r="N67" s="454">
        <f t="shared" si="7"/>
        <v>1</v>
      </c>
      <c r="O67" s="950"/>
      <c r="P67" s="489"/>
      <c r="Q67" s="454">
        <f t="shared" si="5"/>
        <v>0</v>
      </c>
      <c r="R67" s="454">
        <f t="shared" si="6"/>
        <v>0</v>
      </c>
      <c r="S67" s="978"/>
    </row>
    <row r="68" ht="15.5" customHeight="1" spans="1:19" x14ac:dyDescent="0.25">
      <c r="A68" s="936" t="s">
        <v>144</v>
      </c>
      <c r="B68" s="937" t="s">
        <v>2558</v>
      </c>
      <c r="C68" s="454">
        <f t="shared" si="1"/>
        <v>80.08</v>
      </c>
      <c r="D68" s="950"/>
      <c r="E68" s="950"/>
      <c r="F68" s="454">
        <f t="shared" si="8"/>
        <v>0.9912079130914747</v>
      </c>
      <c r="G68" s="950"/>
      <c r="H68" s="489"/>
      <c r="I68" s="454">
        <f t="shared" si="2"/>
        <v>0.4335027322404549</v>
      </c>
      <c r="J68" s="454">
        <f t="shared" si="3"/>
        <v>47.55104895105093</v>
      </c>
      <c r="K68" s="454">
        <f t="shared" si="4"/>
        <v>80.08</v>
      </c>
      <c r="L68" s="950"/>
      <c r="M68" s="950"/>
      <c r="N68" s="454">
        <f t="shared" si="7"/>
        <v>1</v>
      </c>
      <c r="O68" s="950"/>
      <c r="P68" s="489"/>
      <c r="Q68" s="454">
        <f t="shared" si="5"/>
        <v>0</v>
      </c>
      <c r="R68" s="454">
        <f t="shared" si="6"/>
        <v>0</v>
      </c>
      <c r="S68" s="978"/>
    </row>
    <row r="69" ht="15.5" customHeight="1" spans="1:19" x14ac:dyDescent="0.25">
      <c r="A69" s="936" t="s">
        <v>146</v>
      </c>
      <c r="B69" s="937" t="s">
        <v>2559</v>
      </c>
      <c r="C69" s="454">
        <f t="shared" si="1"/>
        <v>87</v>
      </c>
      <c r="D69" s="950"/>
      <c r="E69" s="950"/>
      <c r="F69" s="454">
        <f t="shared" si="8"/>
        <v>0.9579089907101253</v>
      </c>
      <c r="G69" s="950"/>
      <c r="H69" s="489"/>
      <c r="I69" s="454">
        <f t="shared" si="2"/>
        <v>0.8275355191256475</v>
      </c>
      <c r="J69" s="454">
        <f t="shared" si="3"/>
        <v>83.55255172413433</v>
      </c>
      <c r="K69" s="454">
        <f t="shared" si="4"/>
        <v>87</v>
      </c>
      <c r="L69" s="950"/>
      <c r="M69" s="950"/>
      <c r="N69" s="454">
        <f t="shared" si="7"/>
        <v>1</v>
      </c>
      <c r="O69" s="950"/>
      <c r="P69" s="489"/>
      <c r="Q69" s="454">
        <f t="shared" si="5"/>
        <v>0</v>
      </c>
      <c r="R69" s="454">
        <f t="shared" si="6"/>
        <v>0</v>
      </c>
      <c r="S69" s="978"/>
    </row>
    <row r="70" ht="15.5" customHeight="1" spans="1:19" x14ac:dyDescent="0.25">
      <c r="A70" s="936" t="s">
        <v>148</v>
      </c>
      <c r="B70" s="937" t="s">
        <v>2560</v>
      </c>
      <c r="C70" s="454">
        <f t="shared" si="1"/>
        <v>87</v>
      </c>
      <c r="D70" s="950"/>
      <c r="E70" s="950"/>
      <c r="F70" s="454">
        <f t="shared" si="8"/>
        <v>0.9749599013278748</v>
      </c>
      <c r="G70" s="950"/>
      <c r="H70" s="489"/>
      <c r="I70" s="454">
        <f t="shared" si="2"/>
        <v>17.7060628415301</v>
      </c>
      <c r="J70" s="454">
        <f t="shared" si="3"/>
        <v>1787.7017931034482</v>
      </c>
      <c r="K70" s="454">
        <f t="shared" si="4"/>
        <v>87</v>
      </c>
      <c r="L70" s="950"/>
      <c r="M70" s="950"/>
      <c r="N70" s="454">
        <f t="shared" si="7"/>
        <v>1</v>
      </c>
      <c r="O70" s="950"/>
      <c r="P70" s="489"/>
      <c r="Q70" s="454">
        <f t="shared" si="5"/>
        <v>0</v>
      </c>
      <c r="R70" s="454">
        <f t="shared" si="6"/>
        <v>0</v>
      </c>
      <c r="S70" s="978"/>
    </row>
    <row r="71" ht="33" customHeight="1" spans="1:19" s="904" customFormat="1" x14ac:dyDescent="0.25">
      <c r="A71" s="454" t="s">
        <v>613</v>
      </c>
      <c r="B71" s="454" t="s">
        <v>2582</v>
      </c>
      <c r="C71" s="454">
        <f>SUM(C61:C70)</f>
        <v>829.58</v>
      </c>
      <c r="D71" s="454">
        <f>(C61*D61+C62*D62+C63*D63+C64*D64+C65*D65+C66*D66+C67*D67+C68*D68+C69*D69+C70*D70)/(C71*8760)</f>
        <v>0.005102278195238021</v>
      </c>
      <c r="E71" s="454">
        <f>(E61*C61+E62*C62+E63*C63+E64*C64+E65*C65+E66*C66+E67*C67+E68*C68+E69*C69+E70*C70)/(C71*8760)</f>
        <v>0.038298466704998244</v>
      </c>
      <c r="F71" s="454">
        <f>1-D71-E71</f>
        <v>0.9565992550997637</v>
      </c>
      <c r="G71" s="454">
        <f>SUM(G61:G70)</f>
        <v>0.4533169398901467</v>
      </c>
      <c r="H71" s="454">
        <f>(G61*H61+G62*H62+G63*H63+G64*H64+G65*H65+G66*H66+G67*H67+G68*H68+G69*H69+G70*H70)/SUM(G61:G70)</f>
        <v>7.8633882877788</v>
      </c>
      <c r="I71" s="454">
        <f>SUM(I61:I70)</f>
        <v>38.189794171220825</v>
      </c>
      <c r="J71" s="454">
        <f>(I61*J61+I62*J62+I63*J63+I64*J64+I65*J65+I66*J66+I67*J67+I68*J68+I69*J69+I70*J70)/I71</f>
        <v>1015.0349582116515</v>
      </c>
      <c r="K71" s="454">
        <f>SUM(K61:K70)</f>
        <v>829.58</v>
      </c>
      <c r="L71" s="454">
        <f>(K61*L61+K62*L62+K63*L63+K64*L64+K65*L65+K66*L66+K67*L67+K68*L68+K69*L69+K70*L70)/(K71*8760)</f>
        <v>0</v>
      </c>
      <c r="M71" s="454">
        <f>(M61*K61+M62*K62+M63*K63+M64*K64+M65*K65+M66*K66+M67*K67+M68*K68+M69*K69+M70*K70)/(K71*8760)</f>
        <v>0</v>
      </c>
      <c r="N71" s="454">
        <f>1-L71-M71</f>
        <v>1</v>
      </c>
      <c r="O71" s="454">
        <f>SUM(O61:O70)</f>
        <v>0</v>
      </c>
      <c r="P71" s="454" t="e">
        <f>(O61*P61+O62*P62+O63*P63+O64*P64+O65*P65+O66*P66+O67*P67+O68*P68+O69*P69+O70*P70)/SUM(O61:O70)</f>
        <v>#DIV/0!</v>
      </c>
      <c r="Q71" s="454">
        <f>SUM(Q61:Q70)</f>
        <v>0</v>
      </c>
      <c r="R71" s="454" t="e">
        <f>(Q61*R61+Q62*R62+Q63*R63+Q64*R64+Q65*R65+Q66*R66+Q67*R67+Q68*R68+Q69*R69+Q70*R70)/SUM(Q61:Q70)</f>
        <v>#DIV/0!</v>
      </c>
      <c r="S71" s="981"/>
    </row>
    <row r="72" ht="17.25" customHeight="1" spans="1:19" x14ac:dyDescent="0.25">
      <c r="A72" s="936"/>
      <c r="B72" s="952" t="s">
        <v>2594</v>
      </c>
      <c r="C72" s="953"/>
      <c r="D72" s="953"/>
      <c r="E72" s="953"/>
      <c r="F72" s="953"/>
      <c r="G72" s="953"/>
      <c r="H72" s="953"/>
      <c r="I72" s="953"/>
      <c r="J72" s="953"/>
      <c r="K72" s="953"/>
      <c r="L72" s="953"/>
      <c r="M72" s="953"/>
      <c r="N72" s="953"/>
      <c r="O72" s="953"/>
      <c r="P72" s="953"/>
      <c r="Q72" s="953"/>
      <c r="R72" s="953"/>
      <c r="S72" s="954"/>
    </row>
    <row r="73" ht="15.65" customHeight="1" spans="1:19" x14ac:dyDescent="0.25">
      <c r="A73" s="936"/>
      <c r="B73" s="955" t="s">
        <v>2595</v>
      </c>
      <c r="C73" s="956"/>
      <c r="D73" s="956"/>
      <c r="E73" s="956"/>
      <c r="F73" s="956"/>
      <c r="G73" s="956"/>
      <c r="H73" s="956"/>
      <c r="I73" s="956"/>
      <c r="J73" s="956"/>
      <c r="K73" s="956"/>
      <c r="L73" s="956"/>
      <c r="M73" s="956"/>
      <c r="N73" s="956"/>
      <c r="O73" s="956"/>
      <c r="P73" s="956"/>
      <c r="Q73" s="956"/>
      <c r="R73" s="956"/>
      <c r="S73" s="957"/>
    </row>
    <row r="74" ht="17.25" customHeight="1" spans="1:19" x14ac:dyDescent="0.25">
      <c r="A74" s="936"/>
      <c r="B74" s="952" t="s">
        <v>2596</v>
      </c>
      <c r="C74" s="953"/>
      <c r="D74" s="953"/>
      <c r="E74" s="953"/>
      <c r="F74" s="953"/>
      <c r="G74" s="953"/>
      <c r="H74" s="953"/>
      <c r="I74" s="953"/>
      <c r="J74" s="953"/>
      <c r="K74" s="953"/>
      <c r="L74" s="953"/>
      <c r="M74" s="953"/>
      <c r="N74" s="953"/>
      <c r="O74" s="953"/>
      <c r="P74" s="953"/>
      <c r="Q74" s="953"/>
      <c r="R74" s="953"/>
      <c r="S74" s="954"/>
    </row>
    <row r="75" ht="17.25" customHeight="1" spans="1:19" x14ac:dyDescent="0.25">
      <c r="A75" s="936"/>
      <c r="B75" s="982" t="s">
        <v>2597</v>
      </c>
      <c r="C75" s="983"/>
      <c r="D75" s="983"/>
      <c r="E75" s="983"/>
      <c r="F75" s="983"/>
      <c r="G75" s="983"/>
      <c r="H75" s="983"/>
      <c r="I75" s="983"/>
      <c r="J75" s="983"/>
      <c r="K75" s="983"/>
      <c r="L75" s="983"/>
      <c r="M75" s="983"/>
      <c r="N75" s="983"/>
      <c r="O75" s="983"/>
      <c r="P75" s="983"/>
      <c r="Q75" s="983"/>
      <c r="R75" s="983"/>
      <c r="S75" s="984"/>
    </row>
    <row r="76" ht="17.25" customHeight="1" spans="1:19" x14ac:dyDescent="0.25">
      <c r="A76" s="936"/>
      <c r="B76" s="982" t="s">
        <v>2598</v>
      </c>
      <c r="C76" s="983"/>
      <c r="D76" s="983"/>
      <c r="E76" s="983"/>
      <c r="F76" s="983"/>
      <c r="G76" s="983"/>
      <c r="H76" s="983"/>
      <c r="I76" s="983"/>
      <c r="J76" s="983"/>
      <c r="K76" s="983"/>
      <c r="L76" s="983"/>
      <c r="M76" s="983"/>
      <c r="N76" s="983"/>
      <c r="O76" s="983"/>
      <c r="P76" s="983"/>
      <c r="Q76" s="983"/>
      <c r="R76" s="983"/>
      <c r="S76" s="984"/>
    </row>
    <row r="77" ht="17.25" customHeight="1" spans="1:19" x14ac:dyDescent="0.25">
      <c r="A77" s="936"/>
      <c r="B77" s="952" t="s">
        <v>2599</v>
      </c>
      <c r="C77" s="953"/>
      <c r="D77" s="953"/>
      <c r="E77" s="953"/>
      <c r="F77" s="953"/>
      <c r="G77" s="953"/>
      <c r="H77" s="953"/>
      <c r="I77" s="953"/>
      <c r="J77" s="953"/>
      <c r="K77" s="953"/>
      <c r="L77" s="953"/>
      <c r="M77" s="953"/>
      <c r="N77" s="953"/>
      <c r="O77" s="953"/>
      <c r="P77" s="953"/>
      <c r="Q77" s="953"/>
      <c r="R77" s="953"/>
      <c r="S77" s="954"/>
    </row>
    <row r="78" ht="22.5" customHeight="1" spans="1:19" x14ac:dyDescent="0.25">
      <c r="A78" s="936">
        <v>4</v>
      </c>
      <c r="B78" s="955" t="s">
        <v>615</v>
      </c>
      <c r="C78" s="956"/>
      <c r="D78" s="956"/>
      <c r="E78" s="956"/>
      <c r="F78" s="956"/>
      <c r="G78" s="956"/>
      <c r="H78" s="956"/>
      <c r="I78" s="956"/>
      <c r="J78" s="956"/>
      <c r="K78" s="956"/>
      <c r="L78" s="956"/>
      <c r="M78" s="956"/>
      <c r="N78" s="956"/>
      <c r="O78" s="956"/>
      <c r="P78" s="956"/>
      <c r="Q78" s="956"/>
      <c r="R78" s="956"/>
      <c r="S78" s="957"/>
    </row>
    <row r="79" ht="32.25" customHeight="1" spans="1:19" s="556" customFormat="1" x14ac:dyDescent="0.25">
      <c r="A79" s="915" t="s">
        <v>616</v>
      </c>
      <c r="B79" s="911" t="s">
        <v>1453</v>
      </c>
      <c r="C79" s="920" t="s">
        <v>1887</v>
      </c>
      <c r="D79" s="958" t="str">
        <f>C22</f>
        <v>Baseline/Previous Year 2023-24</v>
      </c>
      <c r="E79" s="985"/>
      <c r="F79" s="985"/>
      <c r="G79" s="985"/>
      <c r="H79" s="985"/>
      <c r="I79" s="985"/>
      <c r="J79" s="986"/>
      <c r="K79" s="958" t="str">
        <f>K22</f>
        <v>Assesment year/ Current Year  FY 2025-26</v>
      </c>
      <c r="L79" s="985"/>
      <c r="M79" s="985"/>
      <c r="N79" s="985"/>
      <c r="O79" s="985"/>
      <c r="P79" s="985"/>
      <c r="Q79" s="985"/>
      <c r="R79" s="985"/>
      <c r="S79" s="986"/>
    </row>
    <row r="80" ht="32.25" customHeight="1" spans="1:19" s="987" customFormat="1" x14ac:dyDescent="0.25">
      <c r="A80" s="923"/>
      <c r="B80" s="911"/>
      <c r="C80" s="920"/>
      <c r="D80" s="911" t="s">
        <v>2600</v>
      </c>
      <c r="E80" s="911" t="s">
        <v>2601</v>
      </c>
      <c r="F80" s="911" t="s">
        <v>2436</v>
      </c>
      <c r="G80" s="911" t="s">
        <v>2602</v>
      </c>
      <c r="H80" s="911" t="s">
        <v>2437</v>
      </c>
      <c r="I80" s="911" t="s">
        <v>2603</v>
      </c>
      <c r="J80" s="911" t="s">
        <v>2604</v>
      </c>
      <c r="K80" s="911" t="s">
        <v>2600</v>
      </c>
      <c r="L80" s="911" t="s">
        <v>2601</v>
      </c>
      <c r="M80" s="911" t="s">
        <v>2436</v>
      </c>
      <c r="N80" s="911" t="s">
        <v>2602</v>
      </c>
      <c r="O80" s="911" t="s">
        <v>2437</v>
      </c>
      <c r="P80" s="911" t="s">
        <v>2603</v>
      </c>
      <c r="Q80" s="911" t="s">
        <v>2604</v>
      </c>
      <c r="R80" s="988" t="s">
        <v>1548</v>
      </c>
      <c r="S80" s="989" t="s">
        <v>1673</v>
      </c>
    </row>
    <row r="81" ht="32.25" customHeight="1" spans="1:19" s="987" customFormat="1" x14ac:dyDescent="0.25">
      <c r="A81" s="931"/>
      <c r="B81" s="911"/>
      <c r="C81" s="920" t="s">
        <v>1487</v>
      </c>
      <c r="D81" s="911" t="s">
        <v>1493</v>
      </c>
      <c r="E81" s="911" t="s">
        <v>1493</v>
      </c>
      <c r="F81" s="911" t="s">
        <v>1493</v>
      </c>
      <c r="G81" s="911" t="s">
        <v>1771</v>
      </c>
      <c r="H81" s="911" t="s">
        <v>1493</v>
      </c>
      <c r="I81" s="911" t="s">
        <v>1493</v>
      </c>
      <c r="J81" s="911" t="s">
        <v>1493</v>
      </c>
      <c r="K81" s="911" t="s">
        <v>1493</v>
      </c>
      <c r="L81" s="911" t="s">
        <v>1493</v>
      </c>
      <c r="M81" s="911" t="s">
        <v>1493</v>
      </c>
      <c r="N81" s="911" t="s">
        <v>1771</v>
      </c>
      <c r="O81" s="911" t="s">
        <v>1493</v>
      </c>
      <c r="P81" s="911" t="s">
        <v>1493</v>
      </c>
      <c r="Q81" s="911" t="s">
        <v>1493</v>
      </c>
      <c r="R81" s="860"/>
      <c r="S81" s="860"/>
    </row>
    <row r="82" ht="15.5" customHeight="1" spans="1:19" x14ac:dyDescent="0.25">
      <c r="A82" s="979" t="s">
        <v>58</v>
      </c>
      <c r="B82" s="937" t="s">
        <v>2549</v>
      </c>
      <c r="C82" s="454">
        <f>C7</f>
        <v>81.75</v>
      </c>
      <c r="D82" s="990"/>
      <c r="E82" s="990"/>
      <c r="F82" s="990"/>
      <c r="G82" s="991"/>
      <c r="H82" s="990"/>
      <c r="I82" s="990"/>
      <c r="J82" s="990"/>
      <c r="K82" s="990"/>
      <c r="L82" s="990"/>
      <c r="M82" s="990"/>
      <c r="N82" s="991"/>
      <c r="O82" s="990"/>
      <c r="P82" s="990"/>
      <c r="Q82" s="990"/>
      <c r="R82" s="541"/>
      <c r="S82" s="978"/>
    </row>
    <row r="83" ht="15.5" customHeight="1" spans="1:19" x14ac:dyDescent="0.25">
      <c r="A83" s="979" t="s">
        <v>64</v>
      </c>
      <c r="B83" s="937" t="s">
        <v>2550</v>
      </c>
      <c r="C83" s="454">
        <f t="shared" ref="C83:C91" si="9">C8</f>
        <v>81.75</v>
      </c>
      <c r="D83" s="990"/>
      <c r="E83" s="990"/>
      <c r="F83" s="990"/>
      <c r="G83" s="991"/>
      <c r="H83" s="990"/>
      <c r="I83" s="990"/>
      <c r="J83" s="990"/>
      <c r="K83" s="990"/>
      <c r="L83" s="990"/>
      <c r="M83" s="990"/>
      <c r="N83" s="991"/>
      <c r="O83" s="990"/>
      <c r="P83" s="990"/>
      <c r="Q83" s="990"/>
      <c r="R83" s="541"/>
      <c r="S83" s="978"/>
    </row>
    <row r="84" ht="15.5" customHeight="1" spans="1:19" x14ac:dyDescent="0.25">
      <c r="A84" s="979" t="s">
        <v>2551</v>
      </c>
      <c r="B84" s="937" t="s">
        <v>2552</v>
      </c>
      <c r="C84" s="454">
        <f t="shared" si="9"/>
        <v>84</v>
      </c>
      <c r="D84" s="990"/>
      <c r="E84" s="990"/>
      <c r="F84" s="990"/>
      <c r="G84" s="991"/>
      <c r="H84" s="990"/>
      <c r="I84" s="990"/>
      <c r="J84" s="990"/>
      <c r="K84" s="990"/>
      <c r="L84" s="990"/>
      <c r="M84" s="990"/>
      <c r="N84" s="991"/>
      <c r="O84" s="990"/>
      <c r="P84" s="990"/>
      <c r="Q84" s="990"/>
      <c r="R84" s="541"/>
      <c r="S84" s="978"/>
    </row>
    <row r="85" ht="15.5" customHeight="1" spans="1:19" x14ac:dyDescent="0.25">
      <c r="A85" s="979" t="s">
        <v>2553</v>
      </c>
      <c r="B85" s="937" t="s">
        <v>2554</v>
      </c>
      <c r="C85" s="454">
        <f t="shared" si="9"/>
        <v>84</v>
      </c>
      <c r="D85" s="990"/>
      <c r="E85" s="990"/>
      <c r="F85" s="990"/>
      <c r="G85" s="991"/>
      <c r="H85" s="990"/>
      <c r="I85" s="990"/>
      <c r="J85" s="990"/>
      <c r="K85" s="990"/>
      <c r="L85" s="990"/>
      <c r="M85" s="990"/>
      <c r="N85" s="991"/>
      <c r="O85" s="990"/>
      <c r="P85" s="990"/>
      <c r="Q85" s="990"/>
      <c r="R85" s="541"/>
      <c r="S85" s="978"/>
    </row>
    <row r="86" ht="15.5" customHeight="1" spans="1:19" x14ac:dyDescent="0.25">
      <c r="A86" s="979" t="s">
        <v>80</v>
      </c>
      <c r="B86" s="937" t="s">
        <v>2555</v>
      </c>
      <c r="C86" s="454">
        <f t="shared" si="9"/>
        <v>76</v>
      </c>
      <c r="D86" s="990"/>
      <c r="E86" s="990"/>
      <c r="F86" s="990"/>
      <c r="G86" s="991"/>
      <c r="H86" s="990"/>
      <c r="I86" s="990"/>
      <c r="J86" s="990"/>
      <c r="K86" s="990"/>
      <c r="L86" s="990"/>
      <c r="M86" s="990"/>
      <c r="N86" s="991"/>
      <c r="O86" s="990"/>
      <c r="P86" s="990"/>
      <c r="Q86" s="990"/>
      <c r="R86" s="541"/>
      <c r="S86" s="978"/>
    </row>
    <row r="87" ht="17.25" customHeight="1" spans="1:19" x14ac:dyDescent="0.25">
      <c r="A87" s="979" t="s">
        <v>82</v>
      </c>
      <c r="B87" s="937" t="s">
        <v>2556</v>
      </c>
      <c r="C87" s="454">
        <f t="shared" si="9"/>
        <v>84</v>
      </c>
      <c r="D87" s="990"/>
      <c r="E87" s="990"/>
      <c r="F87" s="990"/>
      <c r="G87" s="991"/>
      <c r="H87" s="990"/>
      <c r="I87" s="990"/>
      <c r="J87" s="990"/>
      <c r="K87" s="990"/>
      <c r="L87" s="990"/>
      <c r="M87" s="990"/>
      <c r="N87" s="991"/>
      <c r="O87" s="990"/>
      <c r="P87" s="990"/>
      <c r="Q87" s="990"/>
      <c r="R87" s="992"/>
      <c r="S87" s="978"/>
    </row>
    <row r="88" ht="15.5" customHeight="1" spans="1:19" x14ac:dyDescent="0.25">
      <c r="A88" s="979" t="s">
        <v>121</v>
      </c>
      <c r="B88" s="937" t="s">
        <v>2557</v>
      </c>
      <c r="C88" s="454">
        <f t="shared" si="9"/>
        <v>84</v>
      </c>
      <c r="D88" s="990"/>
      <c r="E88" s="990"/>
      <c r="F88" s="990"/>
      <c r="G88" s="991"/>
      <c r="H88" s="990"/>
      <c r="I88" s="990"/>
      <c r="J88" s="990"/>
      <c r="K88" s="990"/>
      <c r="L88" s="990"/>
      <c r="M88" s="990"/>
      <c r="N88" s="991"/>
      <c r="O88" s="990"/>
      <c r="P88" s="990"/>
      <c r="Q88" s="990"/>
      <c r="R88" s="541"/>
      <c r="S88" s="978"/>
    </row>
    <row r="89" ht="15.5" customHeight="1" spans="1:19" x14ac:dyDescent="0.25">
      <c r="A89" s="979" t="s">
        <v>144</v>
      </c>
      <c r="B89" s="937" t="s">
        <v>2558</v>
      </c>
      <c r="C89" s="454">
        <f t="shared" si="9"/>
        <v>80.08</v>
      </c>
      <c r="D89" s="990"/>
      <c r="E89" s="990"/>
      <c r="F89" s="990"/>
      <c r="G89" s="991"/>
      <c r="H89" s="990"/>
      <c r="I89" s="990"/>
      <c r="J89" s="990"/>
      <c r="K89" s="990"/>
      <c r="L89" s="990"/>
      <c r="M89" s="990"/>
      <c r="N89" s="991"/>
      <c r="O89" s="990"/>
      <c r="P89" s="990"/>
      <c r="Q89" s="990"/>
      <c r="R89" s="541"/>
      <c r="S89" s="978"/>
    </row>
    <row r="90" ht="15.5" customHeight="1" spans="1:19" x14ac:dyDescent="0.25">
      <c r="A90" s="979" t="s">
        <v>146</v>
      </c>
      <c r="B90" s="937" t="s">
        <v>2559</v>
      </c>
      <c r="C90" s="454">
        <f t="shared" si="9"/>
        <v>87</v>
      </c>
      <c r="D90" s="990"/>
      <c r="E90" s="990"/>
      <c r="F90" s="990"/>
      <c r="G90" s="991"/>
      <c r="H90" s="990"/>
      <c r="I90" s="990"/>
      <c r="J90" s="990"/>
      <c r="K90" s="990"/>
      <c r="L90" s="990"/>
      <c r="M90" s="990"/>
      <c r="N90" s="991"/>
      <c r="O90" s="990"/>
      <c r="P90" s="990"/>
      <c r="Q90" s="990"/>
      <c r="R90" s="541"/>
      <c r="S90" s="978"/>
    </row>
    <row r="91" ht="15.5" customHeight="1" spans="1:19" x14ac:dyDescent="0.25">
      <c r="A91" s="979" t="s">
        <v>148</v>
      </c>
      <c r="B91" s="937" t="s">
        <v>2560</v>
      </c>
      <c r="C91" s="454">
        <f t="shared" si="9"/>
        <v>87</v>
      </c>
      <c r="D91" s="990"/>
      <c r="E91" s="990"/>
      <c r="F91" s="990"/>
      <c r="G91" s="991"/>
      <c r="H91" s="990"/>
      <c r="I91" s="990"/>
      <c r="J91" s="990"/>
      <c r="K91" s="990"/>
      <c r="L91" s="990"/>
      <c r="M91" s="990"/>
      <c r="N91" s="991"/>
      <c r="O91" s="990"/>
      <c r="P91" s="990"/>
      <c r="Q91" s="990"/>
      <c r="R91" s="541"/>
      <c r="S91" s="978"/>
    </row>
    <row r="92" ht="15.5" customHeight="1" spans="1:19" x14ac:dyDescent="0.25">
      <c r="A92" s="979"/>
      <c r="B92" s="976"/>
      <c r="C92" s="993"/>
      <c r="D92" s="994"/>
      <c r="E92" s="994"/>
      <c r="F92" s="994"/>
      <c r="G92" s="994"/>
      <c r="H92" s="994"/>
      <c r="I92" s="994"/>
      <c r="J92" s="994"/>
      <c r="K92" s="994"/>
      <c r="L92" s="994"/>
      <c r="M92" s="994"/>
      <c r="N92" s="994"/>
      <c r="O92" s="994"/>
      <c r="P92" s="994"/>
      <c r="Q92" s="992"/>
      <c r="R92" s="978"/>
      <c r="S92" s="978"/>
    </row>
    <row r="93" ht="99.75" customHeight="1" spans="1:19" x14ac:dyDescent="0.25">
      <c r="A93" s="936"/>
      <c r="B93" s="995" t="s">
        <v>2605</v>
      </c>
      <c r="C93" s="995"/>
      <c r="D93" s="995"/>
      <c r="E93" s="995"/>
      <c r="F93" s="995"/>
      <c r="G93" s="995"/>
      <c r="H93" s="995"/>
      <c r="I93" s="995"/>
      <c r="J93" s="995"/>
      <c r="K93" s="995"/>
      <c r="L93" s="995"/>
      <c r="M93" s="995"/>
      <c r="N93" s="995"/>
      <c r="O93" s="995"/>
      <c r="P93" s="995"/>
      <c r="Q93" s="995"/>
      <c r="R93" s="995"/>
      <c r="S93" s="995"/>
    </row>
    <row r="94" ht="17.25" customHeight="1" spans="1:19" x14ac:dyDescent="0.25">
      <c r="A94" s="936"/>
      <c r="B94" s="967" t="s">
        <v>618</v>
      </c>
      <c r="C94" s="967"/>
      <c r="D94" s="967"/>
      <c r="E94" s="967"/>
      <c r="F94" s="967"/>
      <c r="G94" s="967"/>
      <c r="H94" s="967"/>
      <c r="I94" s="967"/>
      <c r="J94" s="967"/>
      <c r="K94" s="967"/>
      <c r="L94" s="967"/>
      <c r="M94" s="967"/>
      <c r="N94" s="967"/>
      <c r="O94" s="967"/>
      <c r="P94" s="967"/>
      <c r="Q94" s="967"/>
      <c r="R94" s="967"/>
      <c r="S94" s="967"/>
    </row>
    <row r="95" ht="17.25" customHeight="1" spans="1:19" x14ac:dyDescent="0.25">
      <c r="A95" s="936"/>
      <c r="B95" s="980" t="s">
        <v>2606</v>
      </c>
      <c r="C95" s="980"/>
      <c r="D95" s="980"/>
      <c r="E95" s="980"/>
      <c r="F95" s="980"/>
      <c r="G95" s="980"/>
      <c r="H95" s="980"/>
      <c r="I95" s="980"/>
      <c r="J95" s="980"/>
      <c r="K95" s="980"/>
      <c r="L95" s="980"/>
      <c r="M95" s="980"/>
      <c r="N95" s="980"/>
      <c r="O95" s="980"/>
      <c r="P95" s="980"/>
      <c r="Q95" s="980"/>
      <c r="R95" s="980"/>
      <c r="S95" s="980"/>
    </row>
    <row r="96" ht="17.25" customHeight="1" spans="1:19" x14ac:dyDescent="0.25">
      <c r="A96" s="936"/>
      <c r="B96" s="980" t="s">
        <v>2607</v>
      </c>
      <c r="C96" s="980"/>
      <c r="D96" s="980"/>
      <c r="E96" s="980"/>
      <c r="F96" s="980"/>
      <c r="G96" s="980"/>
      <c r="H96" s="980"/>
      <c r="I96" s="980"/>
      <c r="J96" s="980"/>
      <c r="K96" s="980"/>
      <c r="L96" s="980"/>
      <c r="M96" s="980"/>
      <c r="N96" s="980"/>
      <c r="O96" s="980"/>
      <c r="P96" s="980"/>
      <c r="Q96" s="980"/>
      <c r="R96" s="980"/>
      <c r="S96" s="980"/>
    </row>
    <row r="97" ht="17.25" customHeight="1" spans="1:19" x14ac:dyDescent="0.25">
      <c r="A97" s="936"/>
      <c r="B97" s="967" t="s">
        <v>2608</v>
      </c>
      <c r="C97" s="967"/>
      <c r="D97" s="967"/>
      <c r="E97" s="967"/>
      <c r="F97" s="967"/>
      <c r="G97" s="967"/>
      <c r="H97" s="967"/>
      <c r="I97" s="967"/>
      <c r="J97" s="967"/>
      <c r="K97" s="967"/>
      <c r="L97" s="967"/>
      <c r="M97" s="967"/>
      <c r="N97" s="967"/>
      <c r="O97" s="967"/>
      <c r="P97" s="967"/>
      <c r="Q97" s="967"/>
      <c r="R97" s="967"/>
      <c r="S97" s="967"/>
    </row>
    <row r="98" ht="15.5" customHeight="1" spans="1:19" x14ac:dyDescent="0.25">
      <c r="A98" s="936"/>
      <c r="B98" s="996" t="s">
        <v>2609</v>
      </c>
      <c r="C98" s="996"/>
      <c r="D98" s="996"/>
      <c r="E98" s="996"/>
      <c r="F98" s="996"/>
      <c r="G98" s="996"/>
      <c r="H98" s="996"/>
      <c r="I98" s="996"/>
      <c r="J98" s="996"/>
      <c r="K98" s="996"/>
      <c r="L98" s="996"/>
      <c r="M98" s="996"/>
      <c r="N98" s="996"/>
      <c r="O98" s="996"/>
      <c r="P98" s="996"/>
      <c r="Q98" s="996"/>
      <c r="R98" s="996"/>
      <c r="S98" s="996"/>
    </row>
    <row r="99" ht="17.25" customHeight="1" spans="1:19" x14ac:dyDescent="0.25">
      <c r="A99" s="936"/>
      <c r="B99" s="967" t="s">
        <v>2610</v>
      </c>
      <c r="C99" s="967"/>
      <c r="D99" s="967"/>
      <c r="E99" s="967"/>
      <c r="F99" s="967"/>
      <c r="G99" s="967"/>
      <c r="H99" s="967"/>
      <c r="I99" s="967"/>
      <c r="J99" s="967"/>
      <c r="K99" s="967"/>
      <c r="L99" s="967"/>
      <c r="M99" s="967"/>
      <c r="N99" s="967"/>
      <c r="O99" s="967"/>
      <c r="P99" s="967"/>
      <c r="Q99" s="967"/>
      <c r="R99" s="967"/>
      <c r="S99" s="967"/>
    </row>
    <row r="100" ht="17.25" customHeight="1" spans="1:19" x14ac:dyDescent="0.25">
      <c r="A100" s="936"/>
      <c r="B100" s="980" t="s">
        <v>2611</v>
      </c>
      <c r="C100" s="980"/>
      <c r="D100" s="980"/>
      <c r="E100" s="980"/>
      <c r="F100" s="980"/>
      <c r="G100" s="980"/>
      <c r="H100" s="980"/>
      <c r="I100" s="980"/>
      <c r="J100" s="980"/>
      <c r="K100" s="980"/>
      <c r="L100" s="980"/>
      <c r="M100" s="980"/>
      <c r="N100" s="980"/>
      <c r="O100" s="980"/>
      <c r="P100" s="980"/>
      <c r="Q100" s="980"/>
      <c r="R100" s="980"/>
      <c r="S100" s="980"/>
    </row>
    <row r="101" ht="17.25" customHeight="1" spans="1:19" x14ac:dyDescent="0.25">
      <c r="A101" s="936"/>
      <c r="B101" s="967" t="s">
        <v>2612</v>
      </c>
      <c r="C101" s="967"/>
      <c r="D101" s="967"/>
      <c r="E101" s="967"/>
      <c r="F101" s="967"/>
      <c r="G101" s="967"/>
      <c r="H101" s="967"/>
      <c r="I101" s="967"/>
      <c r="J101" s="967"/>
      <c r="K101" s="967"/>
      <c r="L101" s="967"/>
      <c r="M101" s="967"/>
      <c r="N101" s="967"/>
      <c r="O101" s="967"/>
      <c r="P101" s="967"/>
      <c r="Q101" s="967"/>
      <c r="R101" s="967"/>
      <c r="S101" s="967"/>
    </row>
    <row r="102" ht="16.5" customHeight="1" spans="1:19" x14ac:dyDescent="0.25">
      <c r="A102" s="997"/>
      <c r="B102" s="967" t="s">
        <v>2613</v>
      </c>
      <c r="C102" s="967"/>
      <c r="D102" s="967"/>
      <c r="E102" s="967"/>
      <c r="F102" s="967"/>
      <c r="G102" s="967"/>
      <c r="H102" s="967"/>
      <c r="I102" s="967"/>
      <c r="J102" s="967"/>
      <c r="K102" s="967"/>
      <c r="L102" s="967"/>
      <c r="M102" s="967"/>
      <c r="N102" s="967"/>
      <c r="O102" s="967"/>
      <c r="P102" s="967"/>
      <c r="Q102" s="967"/>
      <c r="R102" s="967"/>
      <c r="S102" s="967"/>
    </row>
  </sheetData>
  <sheetProtection sheet="1" algorithmName="SHA-512" hashValue="I9e+1DbJ5P2rPLXZtqDdlPPluYuarYZxeLcnc/hT0nKOZzYu3RxXoCKwezMO0wVKJhF9LYk4DzdFPkLLIGOMgg==" saltValue="tyBaKa03XU4mFT64x2OMRQ==" spinCount="100000" objects="1" scenarios="1"/>
  <mergeCells count="198">
    <mergeCell ref="A1:S1"/>
    <mergeCell ref="A2:B2"/>
    <mergeCell ref="C2:S2"/>
    <mergeCell ref="B3:S3"/>
    <mergeCell ref="D4:F4"/>
    <mergeCell ref="G4:K4"/>
    <mergeCell ref="L4:M4"/>
    <mergeCell ref="N4:P6"/>
    <mergeCell ref="Q4:S6"/>
    <mergeCell ref="A4:A6"/>
    <mergeCell ref="B4:B6"/>
    <mergeCell ref="C4:C5"/>
    <mergeCell ref="G5:H5"/>
    <mergeCell ref="L5:M5"/>
    <mergeCell ref="L6:M6"/>
    <mergeCell ref="N7:P7"/>
    <mergeCell ref="Q7:S7"/>
    <mergeCell ref="N8:P8"/>
    <mergeCell ref="Q8:S8"/>
    <mergeCell ref="N9:P9"/>
    <mergeCell ref="Q9:S9"/>
    <mergeCell ref="N10:P10"/>
    <mergeCell ref="Q10:S10"/>
    <mergeCell ref="N11:P11"/>
    <mergeCell ref="Q11:S11"/>
    <mergeCell ref="N12:P12"/>
    <mergeCell ref="Q12:S12"/>
    <mergeCell ref="N13:P13"/>
    <mergeCell ref="Q13:S13"/>
    <mergeCell ref="N14:P14"/>
    <mergeCell ref="Q14:S14"/>
    <mergeCell ref="N15:P15"/>
    <mergeCell ref="Q15:S15"/>
    <mergeCell ref="N16:P16"/>
    <mergeCell ref="Q16:S16"/>
    <mergeCell ref="N17:P17"/>
    <mergeCell ref="Q17:S17"/>
    <mergeCell ref="B18:S18"/>
    <mergeCell ref="B19:S19"/>
    <mergeCell ref="B20:S20"/>
    <mergeCell ref="B21:S21"/>
    <mergeCell ref="C22:J22"/>
    <mergeCell ref="K22:R22"/>
    <mergeCell ref="A22:A24"/>
    <mergeCell ref="B22:B24"/>
    <mergeCell ref="C23:D23"/>
    <mergeCell ref="E23:F23"/>
    <mergeCell ref="G23:H23"/>
    <mergeCell ref="I23:J23"/>
    <mergeCell ref="K23:L23"/>
    <mergeCell ref="M23:N23"/>
    <mergeCell ref="O23:P23"/>
    <mergeCell ref="Q23:R23"/>
    <mergeCell ref="S22:S24"/>
    <mergeCell ref="C24:D24"/>
    <mergeCell ref="E24:F24"/>
    <mergeCell ref="G24:H24"/>
    <mergeCell ref="I24:J24"/>
    <mergeCell ref="K24:L24"/>
    <mergeCell ref="M24:N24"/>
    <mergeCell ref="O24:P24"/>
    <mergeCell ref="Q24:R24"/>
    <mergeCell ref="C25:D25"/>
    <mergeCell ref="E25:F25"/>
    <mergeCell ref="G25:H25"/>
    <mergeCell ref="I25:J25"/>
    <mergeCell ref="K25:L25"/>
    <mergeCell ref="M25:N25"/>
    <mergeCell ref="O25:P25"/>
    <mergeCell ref="Q25:R25"/>
    <mergeCell ref="C26:D26"/>
    <mergeCell ref="E26:F26"/>
    <mergeCell ref="G26:H26"/>
    <mergeCell ref="I26:J26"/>
    <mergeCell ref="K26:L26"/>
    <mergeCell ref="M26:N26"/>
    <mergeCell ref="O26:P26"/>
    <mergeCell ref="Q26:R26"/>
    <mergeCell ref="C27:D27"/>
    <mergeCell ref="E27:F27"/>
    <mergeCell ref="G27:H27"/>
    <mergeCell ref="I27:J27"/>
    <mergeCell ref="K27:L27"/>
    <mergeCell ref="M27:N27"/>
    <mergeCell ref="O27:P27"/>
    <mergeCell ref="Q27:R27"/>
    <mergeCell ref="C28:D28"/>
    <mergeCell ref="E28:F28"/>
    <mergeCell ref="G28:H28"/>
    <mergeCell ref="I28:J28"/>
    <mergeCell ref="K28:L28"/>
    <mergeCell ref="M28:N28"/>
    <mergeCell ref="O28:P28"/>
    <mergeCell ref="Q28:R28"/>
    <mergeCell ref="C29:D29"/>
    <mergeCell ref="E29:F29"/>
    <mergeCell ref="G29:H29"/>
    <mergeCell ref="I29:J29"/>
    <mergeCell ref="K29:L29"/>
    <mergeCell ref="M29:N29"/>
    <mergeCell ref="O29:P29"/>
    <mergeCell ref="Q29:R29"/>
    <mergeCell ref="C30:D30"/>
    <mergeCell ref="E30:F30"/>
    <mergeCell ref="G30:H30"/>
    <mergeCell ref="I30:J30"/>
    <mergeCell ref="K30:L30"/>
    <mergeCell ref="M30:N30"/>
    <mergeCell ref="O30:P30"/>
    <mergeCell ref="Q30:R30"/>
    <mergeCell ref="C31:D31"/>
    <mergeCell ref="E31:F31"/>
    <mergeCell ref="G31:H31"/>
    <mergeCell ref="I31:J31"/>
    <mergeCell ref="K31:L31"/>
    <mergeCell ref="M31:N31"/>
    <mergeCell ref="O31:P31"/>
    <mergeCell ref="Q31:R31"/>
    <mergeCell ref="C32:D32"/>
    <mergeCell ref="E32:F32"/>
    <mergeCell ref="G32:H32"/>
    <mergeCell ref="I32:J32"/>
    <mergeCell ref="K32:L32"/>
    <mergeCell ref="M32:N32"/>
    <mergeCell ref="O32:P32"/>
    <mergeCell ref="Q32:R32"/>
    <mergeCell ref="C33:D33"/>
    <mergeCell ref="E33:F33"/>
    <mergeCell ref="G33:H33"/>
    <mergeCell ref="I33:J33"/>
    <mergeCell ref="K33:L33"/>
    <mergeCell ref="M33:N33"/>
    <mergeCell ref="O33:P33"/>
    <mergeCell ref="Q33:R33"/>
    <mergeCell ref="C34:D34"/>
    <mergeCell ref="E34:F34"/>
    <mergeCell ref="G34:H34"/>
    <mergeCell ref="I34:J34"/>
    <mergeCell ref="K34:L34"/>
    <mergeCell ref="M34:N34"/>
    <mergeCell ref="O34:P34"/>
    <mergeCell ref="Q34:R34"/>
    <mergeCell ref="C35:D35"/>
    <mergeCell ref="E35:F35"/>
    <mergeCell ref="G35:H35"/>
    <mergeCell ref="I35:J35"/>
    <mergeCell ref="K35:L35"/>
    <mergeCell ref="M35:N35"/>
    <mergeCell ref="O35:P35"/>
    <mergeCell ref="Q35:R35"/>
    <mergeCell ref="B36:R36"/>
    <mergeCell ref="C37:D37"/>
    <mergeCell ref="E37:J37"/>
    <mergeCell ref="K37:R37"/>
    <mergeCell ref="B38:R38"/>
    <mergeCell ref="B39:R39"/>
    <mergeCell ref="B40:S40"/>
    <mergeCell ref="B41:S41"/>
    <mergeCell ref="C42:J42"/>
    <mergeCell ref="K42:R42"/>
    <mergeCell ref="A42:A44"/>
    <mergeCell ref="B42:B44"/>
    <mergeCell ref="C43:D43"/>
    <mergeCell ref="E43:F43"/>
    <mergeCell ref="G43:H43"/>
    <mergeCell ref="I43:J43"/>
    <mergeCell ref="K43:L43"/>
    <mergeCell ref="M43:N43"/>
    <mergeCell ref="O43:P43"/>
    <mergeCell ref="Q43:R43"/>
    <mergeCell ref="C56:S56"/>
    <mergeCell ref="B57:S57"/>
    <mergeCell ref="C58:J58"/>
    <mergeCell ref="K58:R58"/>
    <mergeCell ref="A58:A60"/>
    <mergeCell ref="B58:B60"/>
    <mergeCell ref="B72:S72"/>
    <mergeCell ref="B73:S73"/>
    <mergeCell ref="B74:S74"/>
    <mergeCell ref="B75:S75"/>
    <mergeCell ref="B76:S76"/>
    <mergeCell ref="B77:S77"/>
    <mergeCell ref="B78:S78"/>
    <mergeCell ref="D79:J79"/>
    <mergeCell ref="K79:S79"/>
    <mergeCell ref="A79:A81"/>
    <mergeCell ref="B79:B81"/>
    <mergeCell ref="C79:C80"/>
    <mergeCell ref="B93:S93"/>
    <mergeCell ref="B94:S94"/>
    <mergeCell ref="B95:S95"/>
    <mergeCell ref="B96:S96"/>
    <mergeCell ref="B97:S97"/>
    <mergeCell ref="B98:S98"/>
    <mergeCell ref="B99:S99"/>
    <mergeCell ref="B100:S100"/>
    <mergeCell ref="B101:S101"/>
    <mergeCell ref="B102:S102"/>
  </mergeCells>
  <pageMargins left="0.7" right="0.7" top="0.49" bottom="0.42" header="0.3" footer="0.3"/>
  <pageSetup paperSize="9" orientation="landscape" horizontalDpi="4294967295" verticalDpi="4294967295" scale="43"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30"/>
  <sheetViews>
    <sheetView workbookViewId="0" zoomScale="91" zoomScaleNormal="91">
      <selection activeCell="E124" sqref="E124"/>
    </sheetView>
  </sheetViews>
  <sheetFormatPr defaultRowHeight="14" outlineLevelRow="0" outlineLevelCol="0" x14ac:dyDescent="0.3" customHeight="1"/>
  <cols>
    <col min="1" max="1" width="6.1796875" style="1266" customWidth="1"/>
    <col min="2" max="2" width="59.1796875" style="1267" customWidth="1"/>
    <col min="3" max="3" width="14.7265625" style="1267" customWidth="1"/>
    <col min="4" max="4" width="18.54296875" style="1267" customWidth="1"/>
    <col min="5" max="5" width="18.26953125" style="302" customWidth="1"/>
    <col min="6" max="6" width="16.81640625" style="302" customWidth="1"/>
    <col min="7" max="8" style="1268" hidden="1" customWidth="1"/>
    <col min="9" max="16384" style="302" hidden="1" customWidth="1"/>
  </cols>
  <sheetData>
    <row r="1" ht="26.5" customHeight="1" spans="1:8" s="1269" customFormat="1" x14ac:dyDescent="0.25">
      <c r="A1" s="1270" t="s">
        <v>3268</v>
      </c>
      <c r="B1" s="1271"/>
      <c r="C1" s="1271"/>
      <c r="D1" s="1271"/>
      <c r="E1" s="1271"/>
      <c r="F1" s="1272"/>
      <c r="G1" s="1273"/>
      <c r="H1" s="1273"/>
    </row>
    <row r="2" spans="1:6" x14ac:dyDescent="0.25">
      <c r="A2" s="1274" t="s">
        <v>3269</v>
      </c>
      <c r="B2" s="1275"/>
      <c r="C2" s="1275"/>
      <c r="D2" s="1275"/>
      <c r="E2" s="1275"/>
      <c r="F2" s="1276"/>
    </row>
    <row r="3" spans="1:6" x14ac:dyDescent="0.25">
      <c r="A3" s="1274"/>
      <c r="B3" s="1277" t="s">
        <v>3270</v>
      </c>
      <c r="C3" s="1278" t="str">
        <f>'General Information'!G4</f>
        <v>INTEGRATED</v>
      </c>
      <c r="D3" s="1278"/>
      <c r="E3" s="1278"/>
      <c r="F3" s="1279"/>
    </row>
    <row r="4" ht="36.75" customHeight="1" spans="1:8" s="1280" customFormat="1" x14ac:dyDescent="0.25">
      <c r="A4" s="1281" t="s">
        <v>1543</v>
      </c>
      <c r="B4" s="1282" t="s">
        <v>1544</v>
      </c>
      <c r="C4" s="1282" t="s">
        <v>3271</v>
      </c>
      <c r="D4" s="1282" t="s">
        <v>1453</v>
      </c>
      <c r="E4" s="1013" t="str">
        <f>' Summary Sheet'!E4</f>
        <v>Baseline Year(s)</v>
      </c>
      <c r="F4" s="1013" t="str">
        <f>' Summary Sheet'!F4</f>
        <v>Current/Target Year</v>
      </c>
      <c r="G4" s="1283"/>
      <c r="H4" s="1283"/>
    </row>
    <row r="5" ht="27.75" customHeight="1" spans="1:8" s="1280" customFormat="1" x14ac:dyDescent="0.25">
      <c r="A5" s="1281"/>
      <c r="B5" s="1282"/>
      <c r="C5" s="1282"/>
      <c r="D5" s="1282"/>
      <c r="E5" s="1013" t="str">
        <f>' Summary Sheet'!E5</f>
        <v>2023-24</v>
      </c>
      <c r="F5" s="1013" t="str">
        <f>' Summary Sheet'!F5</f>
        <v>2025-26</v>
      </c>
      <c r="G5" s="1283"/>
      <c r="H5" s="1283"/>
    </row>
    <row r="6" spans="1:6" x14ac:dyDescent="0.25">
      <c r="A6" s="1284" t="s">
        <v>54</v>
      </c>
      <c r="B6" s="1285" t="s">
        <v>2621</v>
      </c>
      <c r="C6" s="1286"/>
      <c r="D6" s="1286"/>
      <c r="E6" s="1287"/>
      <c r="F6" s="1288"/>
    </row>
    <row r="7" spans="1:6" x14ac:dyDescent="0.25">
      <c r="A7" s="1289" t="s">
        <v>56</v>
      </c>
      <c r="B7" s="1236" t="s">
        <v>57</v>
      </c>
      <c r="C7" s="753"/>
      <c r="D7" s="753"/>
      <c r="E7" s="296"/>
      <c r="F7" s="1290"/>
    </row>
    <row r="8" spans="1:6" x14ac:dyDescent="0.25">
      <c r="A8" s="1291" t="s">
        <v>58</v>
      </c>
      <c r="B8" s="753" t="str">
        <f>'Form Sa1'!B45</f>
        <v>Total Hydrate Alumina Production</v>
      </c>
      <c r="C8" s="753" t="str">
        <f>'Form Sa1'!C45</f>
        <v>Annual</v>
      </c>
      <c r="D8" s="753" t="s">
        <v>1456</v>
      </c>
      <c r="E8" s="296">
        <f>'Form Sa1'!H45</f>
        <v>565600</v>
      </c>
      <c r="F8" s="296">
        <f>'Form Sa1'!I45</f>
        <v>0</v>
      </c>
    </row>
    <row r="9" spans="1:6" x14ac:dyDescent="0.25">
      <c r="A9" s="1291" t="s">
        <v>64</v>
      </c>
      <c r="B9" s="753" t="str">
        <f>'Form Sa1'!B46</f>
        <v>Total Calcined Alumina  Production</v>
      </c>
      <c r="C9" s="753" t="str">
        <f>'Form Sa1'!C46</f>
        <v>Annual</v>
      </c>
      <c r="D9" s="753" t="s">
        <v>1456</v>
      </c>
      <c r="E9" s="296">
        <f>'Form Sa1'!H46</f>
        <v>561459</v>
      </c>
      <c r="F9" s="1292">
        <f>'Form Sa1'!I46-'Form Sa1'!I1358</f>
        <v>0</v>
      </c>
    </row>
    <row r="10" ht="14.25" customHeight="1" spans="1:256" x14ac:dyDescent="0.25">
      <c r="A10" s="1293" t="s">
        <v>68</v>
      </c>
      <c r="B10" s="753" t="s">
        <v>3089</v>
      </c>
      <c r="C10" s="1294" t="s">
        <v>61</v>
      </c>
      <c r="D10" s="753" t="s">
        <v>1456</v>
      </c>
      <c r="E10" s="296">
        <f>'Form Sa1'!H112</f>
        <v>0</v>
      </c>
      <c r="F10" s="296">
        <f>'Form Sa1'!I112</f>
        <v>0</v>
      </c>
      <c r="G10" s="296">
        <f>'Form Sa1'!K112</f>
        <v>0</v>
      </c>
      <c r="H10" s="296" t="e">
        <f>'Form Sa1'!#REF!</f>
        <v>#REF!</v>
      </c>
      <c r="I10" s="296" t="e">
        <f>'Form Sa1'!#REF!</f>
        <v>#REF!</v>
      </c>
      <c r="J10" s="296" t="e">
        <f>'Form Sa1'!#REF!</f>
        <v>#REF!</v>
      </c>
      <c r="K10" s="296" t="e">
        <f>'Form Sa1'!#REF!</f>
        <v>#REF!</v>
      </c>
      <c r="L10" s="296" t="e">
        <f>'Form Sa1'!#REF!</f>
        <v>#REF!</v>
      </c>
      <c r="M10" s="296" t="e">
        <f>'Form Sa1'!#REF!</f>
        <v>#REF!</v>
      </c>
      <c r="N10" s="296" t="e">
        <f>'Form Sa1'!#REF!</f>
        <v>#REF!</v>
      </c>
      <c r="O10" s="296" t="e">
        <f>'Form Sa1'!#REF!</f>
        <v>#REF!</v>
      </c>
      <c r="P10" s="296" t="e">
        <f>'Form Sa1'!#REF!</f>
        <v>#REF!</v>
      </c>
      <c r="Q10" s="296" t="e">
        <f>'Form Sa1'!#REF!</f>
        <v>#REF!</v>
      </c>
      <c r="R10" s="296" t="e">
        <f>'Form Sa1'!#REF!</f>
        <v>#REF!</v>
      </c>
      <c r="S10" s="296" t="e">
        <f>'Form Sa1'!#REF!</f>
        <v>#REF!</v>
      </c>
      <c r="T10" s="296" t="e">
        <f>'Form Sa1'!#REF!</f>
        <v>#REF!</v>
      </c>
      <c r="U10" s="296" t="e">
        <f>'Form Sa1'!#REF!</f>
        <v>#REF!</v>
      </c>
      <c r="V10" s="296" t="e">
        <f>'Form Sa1'!#REF!</f>
        <v>#REF!</v>
      </c>
      <c r="W10" s="296" t="e">
        <f>'Form Sa1'!#REF!</f>
        <v>#REF!</v>
      </c>
      <c r="X10" s="296" t="e">
        <f>'Form Sa1'!#REF!</f>
        <v>#REF!</v>
      </c>
      <c r="Y10" s="296">
        <f>'Form Sa1'!L111</f>
        <v>0</v>
      </c>
      <c r="Z10" s="296">
        <f>'Form Sa1'!M111</f>
        <v>0</v>
      </c>
      <c r="AA10" s="296">
        <f>'Form Sa1'!N111</f>
        <v>0</v>
      </c>
      <c r="AB10" s="296">
        <f>'Form Sa1'!O111</f>
        <v>0</v>
      </c>
      <c r="AC10" s="296">
        <f>'Form Sa1'!P111</f>
        <v>0</v>
      </c>
      <c r="AD10" s="296">
        <f>'Form Sa1'!Q111</f>
        <v>0</v>
      </c>
      <c r="AE10" s="296">
        <f>'Form Sa1'!R111</f>
        <v>0</v>
      </c>
      <c r="AF10" s="296">
        <f>'Form Sa1'!S111</f>
        <v>0</v>
      </c>
      <c r="AG10" s="296">
        <f>'Form Sa1'!T111</f>
        <v>0</v>
      </c>
      <c r="AH10" s="296">
        <f>'Form Sa1'!U111</f>
        <v>0</v>
      </c>
      <c r="AI10" s="296">
        <f>'Form Sa1'!V111</f>
        <v>0</v>
      </c>
      <c r="AJ10" s="296">
        <f>'Form Sa1'!W111</f>
        <v>0</v>
      </c>
      <c r="AK10" s="296">
        <f>'Form Sa1'!X111</f>
        <v>0</v>
      </c>
      <c r="AL10" s="296">
        <f>'Form Sa1'!Y111</f>
        <v>0</v>
      </c>
      <c r="AM10" s="296">
        <f>'Form Sa1'!Z111</f>
        <v>0</v>
      </c>
      <c r="AN10" s="296">
        <f>'Form Sa1'!AA111</f>
        <v>0</v>
      </c>
      <c r="AO10" s="296">
        <f>'Form Sa1'!AB111</f>
        <v>0</v>
      </c>
      <c r="AP10" s="296">
        <f>'Form Sa1'!AC111</f>
        <v>0</v>
      </c>
      <c r="AQ10" s="296">
        <f>'Form Sa1'!AD111</f>
        <v>0</v>
      </c>
      <c r="AR10" s="296">
        <f>'Form Sa1'!AE111</f>
        <v>0</v>
      </c>
      <c r="AS10" s="296">
        <f>'Form Sa1'!AF111</f>
        <v>0</v>
      </c>
      <c r="AT10" s="296">
        <f>'Form Sa1'!AG111</f>
        <v>0</v>
      </c>
      <c r="AU10" s="296">
        <f>'Form Sa1'!AH111</f>
        <v>0</v>
      </c>
      <c r="AV10" s="296">
        <f>'Form Sa1'!AI111</f>
        <v>0</v>
      </c>
      <c r="AW10" s="296">
        <f>'Form Sa1'!AJ111</f>
        <v>0</v>
      </c>
      <c r="AX10" s="296">
        <f>'Form Sa1'!AK111</f>
        <v>0</v>
      </c>
      <c r="AY10" s="296">
        <f>'Form Sa1'!AL111</f>
        <v>0</v>
      </c>
      <c r="AZ10" s="296">
        <f>'Form Sa1'!AM111</f>
        <v>0</v>
      </c>
      <c r="BA10" s="296">
        <f>'Form Sa1'!AN111</f>
        <v>0</v>
      </c>
      <c r="BB10" s="296">
        <f>'Form Sa1'!AO111</f>
        <v>0</v>
      </c>
      <c r="BC10" s="296">
        <f>'Form Sa1'!AP111</f>
        <v>0</v>
      </c>
      <c r="BD10" s="296">
        <f>'Form Sa1'!AQ111</f>
        <v>0</v>
      </c>
      <c r="BE10" s="296">
        <f>'Form Sa1'!AR111</f>
        <v>0</v>
      </c>
      <c r="BF10" s="296">
        <f>'Form Sa1'!AS111</f>
        <v>0</v>
      </c>
      <c r="BG10" s="296">
        <f>'Form Sa1'!AT111</f>
        <v>0</v>
      </c>
      <c r="BH10" s="296">
        <f>'Form Sa1'!AU111</f>
        <v>0</v>
      </c>
      <c r="BI10" s="296">
        <f>'Form Sa1'!AV111</f>
        <v>0</v>
      </c>
      <c r="BJ10" s="296">
        <f>'Form Sa1'!AW111</f>
        <v>0</v>
      </c>
      <c r="BK10" s="296">
        <f>'Form Sa1'!AX111</f>
        <v>0</v>
      </c>
      <c r="BL10" s="296">
        <f>'Form Sa1'!AY111</f>
        <v>0</v>
      </c>
      <c r="BM10" s="296">
        <f>'Form Sa1'!AZ111</f>
        <v>0</v>
      </c>
      <c r="BN10" s="296">
        <f>'Form Sa1'!BA111</f>
        <v>0</v>
      </c>
      <c r="BO10" s="296">
        <f>'Form Sa1'!BB111</f>
        <v>0</v>
      </c>
      <c r="BP10" s="296">
        <f>'Form Sa1'!BC111</f>
        <v>0</v>
      </c>
      <c r="BQ10" s="296">
        <f>'Form Sa1'!BD111</f>
        <v>0</v>
      </c>
      <c r="BR10" s="296">
        <f>'Form Sa1'!BE111</f>
        <v>0</v>
      </c>
      <c r="BS10" s="296">
        <f>'Form Sa1'!BF111</f>
        <v>0</v>
      </c>
      <c r="BT10" s="296">
        <f>'Form Sa1'!BG111</f>
        <v>0</v>
      </c>
      <c r="BU10" s="296">
        <f>'Form Sa1'!BH111</f>
        <v>0</v>
      </c>
      <c r="BV10" s="296">
        <f>'Form Sa1'!BI111</f>
        <v>0</v>
      </c>
      <c r="BW10" s="296">
        <f>'Form Sa1'!BJ111</f>
        <v>0</v>
      </c>
      <c r="BX10" s="296">
        <f>'Form Sa1'!BK111</f>
        <v>0</v>
      </c>
      <c r="BY10" s="296">
        <f>'Form Sa1'!BL111</f>
        <v>0</v>
      </c>
      <c r="BZ10" s="296">
        <f>'Form Sa1'!BM111</f>
        <v>0</v>
      </c>
      <c r="CA10" s="296">
        <f>'Form Sa1'!BN111</f>
        <v>0</v>
      </c>
      <c r="CB10" s="296">
        <f>'Form Sa1'!BO111</f>
        <v>0</v>
      </c>
      <c r="CC10" s="296">
        <f>'Form Sa1'!BP111</f>
        <v>0</v>
      </c>
      <c r="CD10" s="296">
        <f>'Form Sa1'!BQ111</f>
        <v>0</v>
      </c>
      <c r="CE10" s="296">
        <f>'Form Sa1'!BR111</f>
        <v>0</v>
      </c>
      <c r="CF10" s="296">
        <f>'Form Sa1'!BS111</f>
        <v>0</v>
      </c>
      <c r="CG10" s="296">
        <f>'Form Sa1'!BT111</f>
        <v>0</v>
      </c>
      <c r="CH10" s="296">
        <f>'Form Sa1'!BU111</f>
        <v>0</v>
      </c>
      <c r="CI10" s="296">
        <f>'Form Sa1'!BV111</f>
        <v>0</v>
      </c>
      <c r="CJ10" s="296">
        <f>'Form Sa1'!BW111</f>
        <v>0</v>
      </c>
      <c r="CK10" s="296">
        <f>'Form Sa1'!BX111</f>
        <v>0</v>
      </c>
      <c r="CL10" s="296">
        <f>'Form Sa1'!BY111</f>
        <v>0</v>
      </c>
      <c r="CM10" s="296">
        <f>'Form Sa1'!BZ111</f>
        <v>0</v>
      </c>
      <c r="CN10" s="296">
        <f>'Form Sa1'!CA111</f>
        <v>0</v>
      </c>
      <c r="CO10" s="296">
        <f>'Form Sa1'!CB111</f>
        <v>0</v>
      </c>
      <c r="CP10" s="296">
        <f>'Form Sa1'!CC111</f>
        <v>0</v>
      </c>
      <c r="CQ10" s="296">
        <f>'Form Sa1'!CD111</f>
        <v>0</v>
      </c>
      <c r="CR10" s="296">
        <f>'Form Sa1'!CE111</f>
        <v>0</v>
      </c>
      <c r="CS10" s="296">
        <f>'Form Sa1'!CF111</f>
        <v>0</v>
      </c>
      <c r="CT10" s="296">
        <f>'Form Sa1'!CG111</f>
        <v>0</v>
      </c>
      <c r="CU10" s="296">
        <f>'Form Sa1'!CH111</f>
        <v>0</v>
      </c>
      <c r="CV10" s="296">
        <f>'Form Sa1'!CI111</f>
        <v>0</v>
      </c>
      <c r="CW10" s="296">
        <f>'Form Sa1'!CJ111</f>
        <v>0</v>
      </c>
      <c r="CX10" s="296">
        <f>'Form Sa1'!CK111</f>
        <v>0</v>
      </c>
      <c r="CY10" s="296">
        <f>'Form Sa1'!CL111</f>
        <v>0</v>
      </c>
      <c r="CZ10" s="296">
        <f>'Form Sa1'!CM111</f>
        <v>0</v>
      </c>
      <c r="DA10" s="296">
        <f>'Form Sa1'!CN111</f>
        <v>0</v>
      </c>
      <c r="DB10" s="296">
        <f>'Form Sa1'!CO111</f>
        <v>0</v>
      </c>
      <c r="DC10" s="296">
        <f>'Form Sa1'!CP111</f>
        <v>0</v>
      </c>
      <c r="DD10" s="296">
        <f>'Form Sa1'!CQ111</f>
        <v>0</v>
      </c>
      <c r="DE10" s="296">
        <f>'Form Sa1'!CR111</f>
        <v>0</v>
      </c>
      <c r="DF10" s="296">
        <f>'Form Sa1'!CS111</f>
        <v>0</v>
      </c>
      <c r="DG10" s="296">
        <f>'Form Sa1'!CT111</f>
        <v>0</v>
      </c>
      <c r="DH10" s="296">
        <f>'Form Sa1'!CU111</f>
        <v>0</v>
      </c>
      <c r="DI10" s="296">
        <f>'Form Sa1'!CV111</f>
        <v>0</v>
      </c>
      <c r="DJ10" s="296">
        <f>'Form Sa1'!CW111</f>
        <v>0</v>
      </c>
      <c r="DK10" s="296">
        <f>'Form Sa1'!CX111</f>
        <v>0</v>
      </c>
      <c r="DL10" s="296">
        <f>'Form Sa1'!CY111</f>
        <v>0</v>
      </c>
      <c r="DM10" s="296">
        <f>'Form Sa1'!CZ111</f>
        <v>0</v>
      </c>
      <c r="DN10" s="296">
        <f>'Form Sa1'!DA111</f>
        <v>0</v>
      </c>
      <c r="DO10" s="296">
        <f>'Form Sa1'!DB111</f>
        <v>0</v>
      </c>
      <c r="DP10" s="296">
        <f>'Form Sa1'!DC111</f>
        <v>0</v>
      </c>
      <c r="DQ10" s="296">
        <f>'Form Sa1'!DD111</f>
        <v>0</v>
      </c>
      <c r="DR10" s="296">
        <f>'Form Sa1'!DE111</f>
        <v>0</v>
      </c>
      <c r="DS10" s="296">
        <f>'Form Sa1'!DF111</f>
        <v>0</v>
      </c>
      <c r="DT10" s="296">
        <f>'Form Sa1'!DG111</f>
        <v>0</v>
      </c>
      <c r="DU10" s="296">
        <f>'Form Sa1'!DH111</f>
        <v>0</v>
      </c>
      <c r="DV10" s="296">
        <f>'Form Sa1'!DI111</f>
        <v>0</v>
      </c>
      <c r="DW10" s="296">
        <f>'Form Sa1'!DJ111</f>
        <v>0</v>
      </c>
      <c r="DX10" s="296">
        <f>'Form Sa1'!DK111</f>
        <v>0</v>
      </c>
      <c r="DY10" s="296">
        <f>'Form Sa1'!DL111</f>
        <v>0</v>
      </c>
      <c r="DZ10" s="296">
        <f>'Form Sa1'!DM111</f>
        <v>0</v>
      </c>
      <c r="EA10" s="296">
        <f>'Form Sa1'!DN111</f>
        <v>0</v>
      </c>
      <c r="EB10" s="296">
        <f>'Form Sa1'!DO111</f>
        <v>0</v>
      </c>
      <c r="EC10" s="296">
        <f>'Form Sa1'!DP111</f>
        <v>0</v>
      </c>
      <c r="ED10" s="296">
        <f>'Form Sa1'!DQ111</f>
        <v>0</v>
      </c>
      <c r="EE10" s="296">
        <f>'Form Sa1'!DR111</f>
        <v>0</v>
      </c>
      <c r="EF10" s="296">
        <f>'Form Sa1'!DS111</f>
        <v>0</v>
      </c>
      <c r="EG10" s="296">
        <f>'Form Sa1'!DT111</f>
        <v>0</v>
      </c>
      <c r="EH10" s="296">
        <f>'Form Sa1'!DU111</f>
        <v>0</v>
      </c>
      <c r="EI10" s="296">
        <f>'Form Sa1'!DV111</f>
        <v>0</v>
      </c>
      <c r="EJ10" s="296">
        <f>'Form Sa1'!DW111</f>
        <v>0</v>
      </c>
      <c r="EK10" s="296">
        <f>'Form Sa1'!DX111</f>
        <v>0</v>
      </c>
      <c r="EL10" s="296">
        <f>'Form Sa1'!DY111</f>
        <v>0</v>
      </c>
      <c r="EM10" s="296">
        <f>'Form Sa1'!DZ111</f>
        <v>0</v>
      </c>
      <c r="EN10" s="296">
        <f>'Form Sa1'!EA111</f>
        <v>0</v>
      </c>
      <c r="EO10" s="296">
        <f>'Form Sa1'!EB111</f>
        <v>0</v>
      </c>
      <c r="EP10" s="296">
        <f>'Form Sa1'!EC111</f>
        <v>0</v>
      </c>
      <c r="EQ10" s="296">
        <f>'Form Sa1'!ED111</f>
        <v>0</v>
      </c>
      <c r="ER10" s="296">
        <f>'Form Sa1'!EE111</f>
        <v>0</v>
      </c>
      <c r="ES10" s="296">
        <f>'Form Sa1'!EF111</f>
        <v>0</v>
      </c>
      <c r="ET10" s="296">
        <f>'Form Sa1'!EG111</f>
        <v>0</v>
      </c>
      <c r="EU10" s="296">
        <f>'Form Sa1'!EH111</f>
        <v>0</v>
      </c>
      <c r="EV10" s="296">
        <f>'Form Sa1'!EI111</f>
        <v>0</v>
      </c>
      <c r="EW10" s="296">
        <f>'Form Sa1'!EJ111</f>
        <v>0</v>
      </c>
      <c r="EX10" s="296">
        <f>'Form Sa1'!EK111</f>
        <v>0</v>
      </c>
      <c r="EY10" s="296">
        <f>'Form Sa1'!EL111</f>
        <v>0</v>
      </c>
      <c r="EZ10" s="296">
        <f>'Form Sa1'!EM111</f>
        <v>0</v>
      </c>
      <c r="FA10" s="296">
        <f>'Form Sa1'!EN111</f>
        <v>0</v>
      </c>
      <c r="FB10" s="296">
        <f>'Form Sa1'!EO111</f>
        <v>0</v>
      </c>
      <c r="FC10" s="296">
        <f>'Form Sa1'!EP111</f>
        <v>0</v>
      </c>
      <c r="FD10" s="296">
        <f>'Form Sa1'!EQ111</f>
        <v>0</v>
      </c>
      <c r="FE10" s="296">
        <f>'Form Sa1'!ER111</f>
        <v>0</v>
      </c>
      <c r="FF10" s="296">
        <f>'Form Sa1'!ES111</f>
        <v>0</v>
      </c>
      <c r="FG10" s="296">
        <f>'Form Sa1'!ET111</f>
        <v>0</v>
      </c>
      <c r="FH10" s="296">
        <f>'Form Sa1'!EU111</f>
        <v>0</v>
      </c>
      <c r="FI10" s="296">
        <f>'Form Sa1'!EV111</f>
        <v>0</v>
      </c>
      <c r="FJ10" s="296">
        <f>'Form Sa1'!EW111</f>
        <v>0</v>
      </c>
      <c r="FK10" s="296">
        <f>'Form Sa1'!EX111</f>
        <v>0</v>
      </c>
      <c r="FL10" s="296">
        <f>'Form Sa1'!EY111</f>
        <v>0</v>
      </c>
      <c r="FM10" s="296">
        <f>'Form Sa1'!EZ111</f>
        <v>0</v>
      </c>
      <c r="FN10" s="296">
        <f>'Form Sa1'!FA111</f>
        <v>0</v>
      </c>
      <c r="FO10" s="296">
        <f>'Form Sa1'!FB111</f>
        <v>0</v>
      </c>
      <c r="FP10" s="296">
        <f>'Form Sa1'!FC111</f>
        <v>0</v>
      </c>
      <c r="FQ10" s="296">
        <f>'Form Sa1'!FD111</f>
        <v>0</v>
      </c>
      <c r="FR10" s="296">
        <f>'Form Sa1'!FE111</f>
        <v>0</v>
      </c>
      <c r="FS10" s="296">
        <f>'Form Sa1'!FF111</f>
        <v>0</v>
      </c>
      <c r="FT10" s="296">
        <f>'Form Sa1'!FG111</f>
        <v>0</v>
      </c>
      <c r="FU10" s="296">
        <f>'Form Sa1'!FH111</f>
        <v>0</v>
      </c>
      <c r="FV10" s="296">
        <f>'Form Sa1'!FI111</f>
        <v>0</v>
      </c>
      <c r="FW10" s="296">
        <f>'Form Sa1'!FJ111</f>
        <v>0</v>
      </c>
      <c r="FX10" s="296">
        <f>'Form Sa1'!FK111</f>
        <v>0</v>
      </c>
      <c r="FY10" s="296">
        <f>'Form Sa1'!FL111</f>
        <v>0</v>
      </c>
      <c r="FZ10" s="296">
        <f>'Form Sa1'!FM111</f>
        <v>0</v>
      </c>
      <c r="GA10" s="296">
        <f>'Form Sa1'!FN111</f>
        <v>0</v>
      </c>
      <c r="GB10" s="296">
        <f>'Form Sa1'!FO111</f>
        <v>0</v>
      </c>
      <c r="GC10" s="296">
        <f>'Form Sa1'!FP111</f>
        <v>0</v>
      </c>
      <c r="GD10" s="296">
        <f>'Form Sa1'!FQ111</f>
        <v>0</v>
      </c>
      <c r="GE10" s="296">
        <f>'Form Sa1'!FR111</f>
        <v>0</v>
      </c>
      <c r="GF10" s="296">
        <f>'Form Sa1'!FS111</f>
        <v>0</v>
      </c>
      <c r="GG10" s="296">
        <f>'Form Sa1'!FT111</f>
        <v>0</v>
      </c>
      <c r="GH10" s="296">
        <f>'Form Sa1'!FU111</f>
        <v>0</v>
      </c>
      <c r="GI10" s="296">
        <f>'Form Sa1'!FV111</f>
        <v>0</v>
      </c>
      <c r="GJ10" s="296">
        <f>'Form Sa1'!FW111</f>
        <v>0</v>
      </c>
      <c r="GK10" s="296">
        <f>'Form Sa1'!FX111</f>
        <v>0</v>
      </c>
      <c r="GL10" s="296">
        <f>'Form Sa1'!FY111</f>
        <v>0</v>
      </c>
      <c r="GM10" s="296">
        <f>'Form Sa1'!FZ111</f>
        <v>0</v>
      </c>
      <c r="GN10" s="296">
        <f>'Form Sa1'!GA111</f>
        <v>0</v>
      </c>
      <c r="GO10" s="296">
        <f>'Form Sa1'!GB111</f>
        <v>0</v>
      </c>
      <c r="GP10" s="296">
        <f>'Form Sa1'!GC111</f>
        <v>0</v>
      </c>
      <c r="GQ10" s="296">
        <f>'Form Sa1'!GD111</f>
        <v>0</v>
      </c>
      <c r="GR10" s="296">
        <f>'Form Sa1'!GE111</f>
        <v>0</v>
      </c>
      <c r="GS10" s="296">
        <f>'Form Sa1'!GF111</f>
        <v>0</v>
      </c>
      <c r="GT10" s="296">
        <f>'Form Sa1'!GG111</f>
        <v>0</v>
      </c>
      <c r="GU10" s="296">
        <f>'Form Sa1'!GH111</f>
        <v>0</v>
      </c>
      <c r="GV10" s="296">
        <f>'Form Sa1'!GI111</f>
        <v>0</v>
      </c>
      <c r="GW10" s="296">
        <f>'Form Sa1'!GJ111</f>
        <v>0</v>
      </c>
      <c r="GX10" s="296">
        <f>'Form Sa1'!GK111</f>
        <v>0</v>
      </c>
      <c r="GY10" s="296">
        <f>'Form Sa1'!GL111</f>
        <v>0</v>
      </c>
      <c r="GZ10" s="296">
        <f>'Form Sa1'!GM111</f>
        <v>0</v>
      </c>
      <c r="HA10" s="296">
        <f>'Form Sa1'!GN111</f>
        <v>0</v>
      </c>
      <c r="HB10" s="296">
        <f>'Form Sa1'!GO111</f>
        <v>0</v>
      </c>
      <c r="HC10" s="296">
        <f>'Form Sa1'!GP111</f>
        <v>0</v>
      </c>
      <c r="HD10" s="296">
        <f>'Form Sa1'!GQ111</f>
        <v>0</v>
      </c>
      <c r="HE10" s="296">
        <f>'Form Sa1'!GR111</f>
        <v>0</v>
      </c>
      <c r="HF10" s="296">
        <f>'Form Sa1'!GS111</f>
        <v>0</v>
      </c>
      <c r="HG10" s="296">
        <f>'Form Sa1'!GT111</f>
        <v>0</v>
      </c>
      <c r="HH10" s="296">
        <f>'Form Sa1'!GU111</f>
        <v>0</v>
      </c>
      <c r="HI10" s="296">
        <f>'Form Sa1'!GV111</f>
        <v>0</v>
      </c>
      <c r="HJ10" s="296">
        <f>'Form Sa1'!GW111</f>
        <v>0</v>
      </c>
      <c r="HK10" s="296">
        <f>'Form Sa1'!GX111</f>
        <v>0</v>
      </c>
      <c r="HL10" s="296">
        <f>'Form Sa1'!GY111</f>
        <v>0</v>
      </c>
      <c r="HM10" s="296">
        <f>'Form Sa1'!GZ111</f>
        <v>0</v>
      </c>
      <c r="HN10" s="296">
        <f>'Form Sa1'!HA111</f>
        <v>0</v>
      </c>
      <c r="HO10" s="296">
        <f>'Form Sa1'!HB111</f>
        <v>0</v>
      </c>
      <c r="HP10" s="296">
        <f>'Form Sa1'!HC111</f>
        <v>0</v>
      </c>
      <c r="HQ10" s="296">
        <f>'Form Sa1'!HD111</f>
        <v>0</v>
      </c>
      <c r="HR10" s="296">
        <f>'Form Sa1'!HE111</f>
        <v>0</v>
      </c>
      <c r="HS10" s="296">
        <f>'Form Sa1'!HF111</f>
        <v>0</v>
      </c>
      <c r="HT10" s="296">
        <f>'Form Sa1'!HG111</f>
        <v>0</v>
      </c>
      <c r="HU10" s="296">
        <f>'Form Sa1'!HH111</f>
        <v>0</v>
      </c>
      <c r="HV10" s="296">
        <f>'Form Sa1'!HI111</f>
        <v>0</v>
      </c>
      <c r="HW10" s="296">
        <f>'Form Sa1'!HJ111</f>
        <v>0</v>
      </c>
      <c r="HX10" s="296">
        <f>'Form Sa1'!HK111</f>
        <v>0</v>
      </c>
      <c r="HY10" s="296">
        <f>'Form Sa1'!HL111</f>
        <v>0</v>
      </c>
      <c r="HZ10" s="296">
        <f>'Form Sa1'!HM111</f>
        <v>0</v>
      </c>
      <c r="IA10" s="296">
        <f>'Form Sa1'!HN111</f>
        <v>0</v>
      </c>
      <c r="IB10" s="296">
        <f>'Form Sa1'!HO111</f>
        <v>0</v>
      </c>
      <c r="IC10" s="296">
        <f>'Form Sa1'!HP111</f>
        <v>0</v>
      </c>
      <c r="ID10" s="296">
        <f>'Form Sa1'!HQ111</f>
        <v>0</v>
      </c>
      <c r="IE10" s="296">
        <f>'Form Sa1'!HR111</f>
        <v>0</v>
      </c>
      <c r="IF10" s="296">
        <f>'Form Sa1'!HS111</f>
        <v>0</v>
      </c>
      <c r="IG10" s="296">
        <f>'Form Sa1'!HT111</f>
        <v>0</v>
      </c>
      <c r="IH10" s="296">
        <f>'Form Sa1'!HU111</f>
        <v>0</v>
      </c>
      <c r="II10" s="296">
        <f>'Form Sa1'!HV111</f>
        <v>0</v>
      </c>
      <c r="IJ10" s="296">
        <f>'Form Sa1'!HW111</f>
        <v>0</v>
      </c>
      <c r="IK10" s="296">
        <f>'Form Sa1'!HX111</f>
        <v>0</v>
      </c>
      <c r="IL10" s="296">
        <f>'Form Sa1'!HY111</f>
        <v>0</v>
      </c>
      <c r="IM10" s="296">
        <f>'Form Sa1'!HZ111</f>
        <v>0</v>
      </c>
      <c r="IN10" s="296">
        <f>'Form Sa1'!IA111</f>
        <v>0</v>
      </c>
      <c r="IO10" s="296">
        <f>'Form Sa1'!IB111</f>
        <v>0</v>
      </c>
      <c r="IP10" s="296">
        <f>'Form Sa1'!IC111</f>
        <v>0</v>
      </c>
      <c r="IQ10" s="296">
        <f>'Form Sa1'!ID111</f>
        <v>0</v>
      </c>
      <c r="IR10" s="296">
        <f>'Form Sa1'!IE111</f>
        <v>0</v>
      </c>
      <c r="IS10" s="296" t="e">
        <f>'Form Sa1'!#REF!</f>
        <v>#REF!</v>
      </c>
      <c r="IT10" s="296" t="e">
        <f>'Form Sa1'!#REF!</f>
        <v>#REF!</v>
      </c>
      <c r="IU10" s="296" t="e">
        <f>'Form Sa1'!#REF!</f>
        <v>#REF!</v>
      </c>
      <c r="IV10" s="296" t="e">
        <f>'Form Sa1'!#REF!</f>
        <v>#REF!</v>
      </c>
    </row>
    <row r="11" spans="1:6" x14ac:dyDescent="0.25">
      <c r="A11" s="1293" t="s">
        <v>74</v>
      </c>
      <c r="B11" s="753" t="s">
        <v>3092</v>
      </c>
      <c r="C11" s="1294" t="s">
        <v>61</v>
      </c>
      <c r="D11" s="753" t="s">
        <v>1456</v>
      </c>
      <c r="E11" s="296">
        <f>'Form Sa1'!H118</f>
        <v>0</v>
      </c>
      <c r="F11" s="296">
        <f>'Form Sa1'!I118</f>
        <v>0</v>
      </c>
    </row>
    <row r="12" spans="1:6" x14ac:dyDescent="0.25">
      <c r="A12" s="1293" t="s">
        <v>80</v>
      </c>
      <c r="B12" s="753" t="s">
        <v>3095</v>
      </c>
      <c r="C12" s="1294" t="s">
        <v>61</v>
      </c>
      <c r="D12" s="753" t="s">
        <v>1456</v>
      </c>
      <c r="E12" s="296">
        <f>'Form Sa1'!H124</f>
        <v>0</v>
      </c>
      <c r="F12" s="296">
        <f>'Form Sa1'!I124</f>
        <v>0</v>
      </c>
    </row>
    <row r="13" spans="1:6" x14ac:dyDescent="0.25">
      <c r="A13" s="1293" t="s">
        <v>82</v>
      </c>
      <c r="B13" s="753" t="s">
        <v>3098</v>
      </c>
      <c r="C13" s="1294" t="s">
        <v>61</v>
      </c>
      <c r="D13" s="753" t="s">
        <v>1456</v>
      </c>
      <c r="E13" s="296">
        <f>'Form Sa1'!H130</f>
        <v>0</v>
      </c>
      <c r="F13" s="296">
        <f>'Form Sa1'!I130</f>
        <v>0</v>
      </c>
    </row>
    <row r="14" spans="1:6" x14ac:dyDescent="0.25">
      <c r="A14" s="1293" t="s">
        <v>121</v>
      </c>
      <c r="B14" s="753" t="s">
        <v>3101</v>
      </c>
      <c r="C14" s="1294" t="s">
        <v>61</v>
      </c>
      <c r="D14" s="753" t="s">
        <v>1456</v>
      </c>
      <c r="E14" s="296">
        <f>'Form Sa1'!H136</f>
        <v>0</v>
      </c>
      <c r="F14" s="296">
        <f>'Form Sa1'!I136</f>
        <v>0</v>
      </c>
    </row>
    <row r="15" spans="1:6" x14ac:dyDescent="0.25">
      <c r="A15" s="1293" t="s">
        <v>144</v>
      </c>
      <c r="B15" s="753" t="s">
        <v>3104</v>
      </c>
      <c r="C15" s="1294" t="s">
        <v>61</v>
      </c>
      <c r="D15" s="753" t="s">
        <v>1456</v>
      </c>
      <c r="E15" s="296">
        <f>'Form Sa1'!H142</f>
        <v>0</v>
      </c>
      <c r="F15" s="296">
        <f>'Form Sa1'!I142</f>
        <v>0</v>
      </c>
    </row>
    <row r="16" spans="1:6" x14ac:dyDescent="0.25">
      <c r="A16" s="1293" t="s">
        <v>146</v>
      </c>
      <c r="B16" s="753" t="s">
        <v>3107</v>
      </c>
      <c r="C16" s="1294" t="s">
        <v>61</v>
      </c>
      <c r="D16" s="753" t="s">
        <v>1456</v>
      </c>
      <c r="E16" s="296">
        <f>'Form Sa1'!H148</f>
        <v>0</v>
      </c>
      <c r="F16" s="296">
        <f>'Form Sa1'!I148</f>
        <v>0</v>
      </c>
    </row>
    <row r="17" spans="1:6" x14ac:dyDescent="0.25">
      <c r="A17" s="1293" t="s">
        <v>148</v>
      </c>
      <c r="B17" s="753" t="s">
        <v>3110</v>
      </c>
      <c r="C17" s="1294" t="s">
        <v>61</v>
      </c>
      <c r="D17" s="753" t="s">
        <v>1456</v>
      </c>
      <c r="E17" s="296">
        <f>'Form Sa1'!H154</f>
        <v>236609.48821399998</v>
      </c>
      <c r="F17" s="296">
        <f>'Form Sa1'!I154</f>
        <v>0</v>
      </c>
    </row>
    <row r="18" spans="1:6" x14ac:dyDescent="0.25">
      <c r="A18" s="1295" t="s">
        <v>150</v>
      </c>
      <c r="B18" s="753" t="s">
        <v>3113</v>
      </c>
      <c r="C18" s="1294" t="s">
        <v>61</v>
      </c>
      <c r="D18" s="753" t="s">
        <v>1456</v>
      </c>
      <c r="E18" s="296">
        <f>'Form Sa1'!H160</f>
        <v>0</v>
      </c>
      <c r="F18" s="296">
        <f>'Form Sa1'!I160</f>
        <v>0</v>
      </c>
    </row>
    <row r="19" spans="1:6" x14ac:dyDescent="0.25">
      <c r="A19" s="1295" t="s">
        <v>152</v>
      </c>
      <c r="B19" s="753" t="s">
        <v>3116</v>
      </c>
      <c r="C19" s="1294" t="s">
        <v>61</v>
      </c>
      <c r="D19" s="753" t="s">
        <v>1456</v>
      </c>
      <c r="E19" s="296">
        <f>'Form Sa1'!H167</f>
        <v>0</v>
      </c>
      <c r="F19" s="296">
        <f>'Form Sa1'!I167</f>
        <v>0</v>
      </c>
    </row>
    <row r="20" spans="1:8" s="1296" customFormat="1" x14ac:dyDescent="0.25">
      <c r="A20" s="910" t="s">
        <v>2620</v>
      </c>
      <c r="B20" s="1236" t="s">
        <v>3272</v>
      </c>
      <c r="C20" s="1297"/>
      <c r="D20" s="1236"/>
      <c r="E20" s="650"/>
      <c r="F20" s="650"/>
      <c r="G20" s="1298"/>
      <c r="H20" s="1298"/>
    </row>
    <row r="21" spans="1:6" x14ac:dyDescent="0.25">
      <c r="A21" s="1293" t="s">
        <v>144</v>
      </c>
      <c r="B21" s="753" t="s">
        <v>2630</v>
      </c>
      <c r="C21" s="1294" t="s">
        <v>61</v>
      </c>
      <c r="D21" s="753" t="s">
        <v>1456</v>
      </c>
      <c r="E21" s="296">
        <f>'Form Sa1'!H66</f>
        <v>30580.066</v>
      </c>
      <c r="F21" s="296">
        <f>'Form Sa1'!I66</f>
        <v>0</v>
      </c>
    </row>
    <row r="22" spans="1:6" x14ac:dyDescent="0.25">
      <c r="A22" s="1293" t="s">
        <v>146</v>
      </c>
      <c r="B22" s="753" t="s">
        <v>3273</v>
      </c>
      <c r="C22" s="1294" t="s">
        <v>61</v>
      </c>
      <c r="D22" s="753" t="s">
        <v>1456</v>
      </c>
      <c r="E22" s="296">
        <f>'Form Sa1'!H67</f>
        <v>34626.579</v>
      </c>
      <c r="F22" s="296">
        <f>'Form Sa1'!I67</f>
        <v>0</v>
      </c>
    </row>
    <row r="23" spans="1:6" x14ac:dyDescent="0.25">
      <c r="A23" s="1293" t="s">
        <v>148</v>
      </c>
      <c r="B23" s="753" t="s">
        <v>3274</v>
      </c>
      <c r="C23" s="1294" t="s">
        <v>61</v>
      </c>
      <c r="D23" s="753" t="s">
        <v>1456</v>
      </c>
      <c r="E23" s="296">
        <f>'Form Sa1'!H98</f>
        <v>44543.327</v>
      </c>
      <c r="F23" s="296">
        <f>'Form Sa1'!I98</f>
        <v>0</v>
      </c>
    </row>
    <row r="24" spans="1:6" x14ac:dyDescent="0.25">
      <c r="A24" s="1295" t="s">
        <v>150</v>
      </c>
      <c r="B24" s="753" t="s">
        <v>3275</v>
      </c>
      <c r="C24" s="1294" t="s">
        <v>61</v>
      </c>
      <c r="D24" s="753" t="s">
        <v>1456</v>
      </c>
      <c r="E24" s="296">
        <f>'Form Sa1'!H99</f>
        <v>49464.495</v>
      </c>
      <c r="F24" s="296">
        <f>'Form Sa1'!I99</f>
        <v>0</v>
      </c>
    </row>
    <row r="25" spans="1:6" x14ac:dyDescent="0.25">
      <c r="A25" s="1299" t="s">
        <v>152</v>
      </c>
      <c r="B25" s="753" t="s">
        <v>3276</v>
      </c>
      <c r="C25" s="1294" t="s">
        <v>61</v>
      </c>
      <c r="D25" s="753" t="s">
        <v>1456</v>
      </c>
      <c r="E25" s="296">
        <f>'Form Sa1'!H64</f>
        <v>0</v>
      </c>
      <c r="F25" s="296">
        <f>'Form Sa1'!I64</f>
        <v>0</v>
      </c>
    </row>
    <row r="26" spans="1:6" x14ac:dyDescent="0.25">
      <c r="A26" s="1299" t="s">
        <v>155</v>
      </c>
      <c r="B26" s="753" t="s">
        <v>2638</v>
      </c>
      <c r="C26" s="1294" t="s">
        <v>61</v>
      </c>
      <c r="D26" s="753" t="s">
        <v>1456</v>
      </c>
      <c r="E26" s="296">
        <f>'Form Sa1'!H65</f>
        <v>0</v>
      </c>
      <c r="F26" s="296">
        <f>'Form Sa1'!I65</f>
        <v>0</v>
      </c>
    </row>
    <row r="27" spans="1:6" x14ac:dyDescent="0.25">
      <c r="A27" s="1299" t="s">
        <v>158</v>
      </c>
      <c r="B27" s="753" t="s">
        <v>3277</v>
      </c>
      <c r="C27" s="1294" t="s">
        <v>61</v>
      </c>
      <c r="D27" s="753" t="s">
        <v>1456</v>
      </c>
      <c r="E27" s="296">
        <f>'Form Sa1'!H105</f>
        <v>0</v>
      </c>
      <c r="F27" s="296">
        <f>'Form Sa1'!I105</f>
        <v>0</v>
      </c>
    </row>
    <row r="28" spans="1:6" x14ac:dyDescent="0.25">
      <c r="A28" s="1299" t="s">
        <v>160</v>
      </c>
      <c r="B28" s="753" t="s">
        <v>3278</v>
      </c>
      <c r="C28" s="1294" t="s">
        <v>61</v>
      </c>
      <c r="D28" s="753" t="s">
        <v>1456</v>
      </c>
      <c r="E28" s="296">
        <f>'Form Sa1'!H106</f>
        <v>244856.08999999997</v>
      </c>
      <c r="F28" s="1292">
        <f>'Form Sa1'!I106+IF(C3="Integrated",'Form Sa1'!I1358,0)</f>
        <v>0</v>
      </c>
    </row>
    <row r="29" spans="1:6" x14ac:dyDescent="0.25">
      <c r="A29" s="1293"/>
      <c r="B29" s="753"/>
      <c r="C29" s="1294"/>
      <c r="D29" s="753"/>
      <c r="E29" s="296"/>
      <c r="F29" s="296"/>
    </row>
    <row r="30" ht="23.25" customHeight="1" spans="1:8" x14ac:dyDescent="0.25">
      <c r="A30" s="1289" t="s">
        <v>84</v>
      </c>
      <c r="B30" s="1236" t="s">
        <v>85</v>
      </c>
      <c r="C30" s="1300"/>
      <c r="D30" s="1295"/>
      <c r="E30" s="1159"/>
      <c r="F30" s="1301"/>
      <c r="G30" s="1302"/>
      <c r="H30" s="302"/>
    </row>
    <row r="31" spans="1:6" x14ac:dyDescent="0.25">
      <c r="A31" s="1291" t="s">
        <v>58</v>
      </c>
      <c r="B31" s="753" t="str">
        <f>'Form Sa1'!B54</f>
        <v>Total Molten Aluminium  Production</v>
      </c>
      <c r="C31" s="753" t="str">
        <f>'Form Sa1'!C54</f>
        <v>Annual</v>
      </c>
      <c r="D31" s="753" t="s">
        <v>1456</v>
      </c>
      <c r="E31" s="296">
        <f>'Form Sa1'!H54</f>
        <v>410661.738</v>
      </c>
      <c r="F31" s="1292">
        <f>'Form Sa1'!I54-'Form Sa1'!I1359</f>
        <v>0</v>
      </c>
    </row>
    <row r="32" spans="1:6" x14ac:dyDescent="0.25">
      <c r="A32" s="1291" t="s">
        <v>64</v>
      </c>
      <c r="B32" s="753" t="str">
        <f>'Form Sa1'!B55</f>
        <v>Total Production- Cast House</v>
      </c>
      <c r="C32" s="753" t="str">
        <f>'Form Sa1'!C55</f>
        <v>Annual</v>
      </c>
      <c r="D32" s="753" t="s">
        <v>1456</v>
      </c>
      <c r="E32" s="296">
        <f>'Form Sa1'!H55</f>
        <v>381860.332</v>
      </c>
      <c r="F32" s="296">
        <f>'Form Sa1'!I55</f>
        <v>0</v>
      </c>
    </row>
    <row r="33" spans="1:6" x14ac:dyDescent="0.25">
      <c r="A33" s="1291" t="s">
        <v>68</v>
      </c>
      <c r="B33" s="753" t="s">
        <v>3178</v>
      </c>
      <c r="C33" s="753" t="s">
        <v>61</v>
      </c>
      <c r="D33" s="753" t="s">
        <v>1456</v>
      </c>
      <c r="E33" s="296">
        <f>'Form Sa1'!H396</f>
        <v>58980.666</v>
      </c>
      <c r="F33" s="296">
        <f>'Form Sa1'!I396</f>
        <v>0</v>
      </c>
    </row>
    <row r="34" spans="1:6" x14ac:dyDescent="0.25">
      <c r="A34" s="1291" t="s">
        <v>74</v>
      </c>
      <c r="B34" s="753" t="s">
        <v>3180</v>
      </c>
      <c r="C34" s="753" t="s">
        <v>61</v>
      </c>
      <c r="D34" s="753" t="s">
        <v>1456</v>
      </c>
      <c r="E34" s="296">
        <f>'Form Sa1'!H402</f>
        <v>210775.162</v>
      </c>
      <c r="F34" s="296">
        <f>'Form Sa1'!I402</f>
        <v>0</v>
      </c>
    </row>
    <row r="35" spans="1:6" x14ac:dyDescent="0.25">
      <c r="A35" s="1291" t="s">
        <v>80</v>
      </c>
      <c r="B35" s="753" t="s">
        <v>3182</v>
      </c>
      <c r="C35" s="753" t="s">
        <v>61</v>
      </c>
      <c r="D35" s="753" t="s">
        <v>1456</v>
      </c>
      <c r="E35" s="296">
        <f>'Form Sa1'!H408</f>
        <v>0</v>
      </c>
      <c r="F35" s="296">
        <f>'Form Sa1'!I408</f>
        <v>0</v>
      </c>
    </row>
    <row r="36" spans="1:6" x14ac:dyDescent="0.25">
      <c r="A36" s="1291" t="s">
        <v>82</v>
      </c>
      <c r="B36" s="753" t="s">
        <v>3184</v>
      </c>
      <c r="C36" s="753" t="s">
        <v>61</v>
      </c>
      <c r="D36" s="753" t="s">
        <v>1456</v>
      </c>
      <c r="E36" s="296">
        <f>'Form Sa1'!H414</f>
        <v>0</v>
      </c>
      <c r="F36" s="296">
        <f>'Form Sa1'!I414</f>
        <v>0</v>
      </c>
    </row>
    <row r="37" spans="1:6" x14ac:dyDescent="0.25">
      <c r="A37" s="1291" t="s">
        <v>121</v>
      </c>
      <c r="B37" s="753" t="s">
        <v>3186</v>
      </c>
      <c r="C37" s="753" t="s">
        <v>61</v>
      </c>
      <c r="D37" s="753" t="s">
        <v>1456</v>
      </c>
      <c r="E37" s="296">
        <f>'Form Sa1'!H420</f>
        <v>55481.148</v>
      </c>
      <c r="F37" s="296">
        <f>'Form Sa1'!I420</f>
        <v>0</v>
      </c>
    </row>
    <row r="38" spans="1:6" x14ac:dyDescent="0.25">
      <c r="A38" s="1291" t="s">
        <v>144</v>
      </c>
      <c r="B38" s="753" t="s">
        <v>3188</v>
      </c>
      <c r="C38" s="753" t="s">
        <v>61</v>
      </c>
      <c r="D38" s="753" t="s">
        <v>1456</v>
      </c>
      <c r="E38" s="296">
        <f>'Form Sa1'!H426</f>
        <v>76567.049</v>
      </c>
      <c r="F38" s="296">
        <f>'Form Sa1'!I426</f>
        <v>0</v>
      </c>
    </row>
    <row r="39" spans="1:6" x14ac:dyDescent="0.25">
      <c r="A39" s="1293" t="s">
        <v>146</v>
      </c>
      <c r="B39" s="753" t="s">
        <v>3190</v>
      </c>
      <c r="C39" s="753" t="s">
        <v>61</v>
      </c>
      <c r="D39" s="753" t="s">
        <v>1456</v>
      </c>
      <c r="E39" s="296">
        <f>'Form Sa1'!H433</f>
        <v>42078.393</v>
      </c>
      <c r="F39" s="296">
        <f>'Form Sa1'!I433</f>
        <v>0</v>
      </c>
    </row>
    <row r="40" spans="1:6" x14ac:dyDescent="0.25">
      <c r="A40" s="1293"/>
      <c r="B40" s="753"/>
      <c r="C40" s="753"/>
      <c r="D40" s="753"/>
      <c r="E40" s="296"/>
      <c r="F40" s="752"/>
    </row>
    <row r="41" spans="1:6" x14ac:dyDescent="0.25">
      <c r="A41" s="1236" t="s">
        <v>459</v>
      </c>
      <c r="B41" s="1236" t="s">
        <v>3279</v>
      </c>
      <c r="C41" s="753"/>
      <c r="D41" s="753"/>
      <c r="E41" s="296"/>
      <c r="F41" s="1290"/>
    </row>
    <row r="42" spans="1:6" x14ac:dyDescent="0.25">
      <c r="A42" s="1297" t="s">
        <v>1640</v>
      </c>
      <c r="B42" s="1236" t="s">
        <v>57</v>
      </c>
      <c r="C42" s="753"/>
      <c r="D42" s="753"/>
      <c r="E42" s="296"/>
      <c r="F42" s="752"/>
    </row>
    <row r="43" spans="1:6" x14ac:dyDescent="0.25">
      <c r="A43" s="1294" t="s">
        <v>58</v>
      </c>
      <c r="B43" s="753" t="s">
        <v>3280</v>
      </c>
      <c r="C43" s="753" t="s">
        <v>1743</v>
      </c>
      <c r="D43" s="753" t="s">
        <v>3120</v>
      </c>
      <c r="E43" s="1303">
        <f>('Form Sa1'!H108*E113)/10^6+'Form Sa1'!H107</f>
        <v>2.798510890404859</v>
      </c>
      <c r="F43" s="1303" t="e">
        <f>('Form Sa1'!I108*F113)/10^6+'Form Sa1'!I107</f>
        <v>#DIV/0!</v>
      </c>
    </row>
    <row r="44" ht="18" customHeight="1" spans="1:6" x14ac:dyDescent="0.25">
      <c r="A44" s="1291" t="s">
        <v>64</v>
      </c>
      <c r="B44" s="753" t="s">
        <v>3121</v>
      </c>
      <c r="C44" s="753" t="s">
        <v>1743</v>
      </c>
      <c r="D44" s="753" t="s">
        <v>3120</v>
      </c>
      <c r="E44" s="1303">
        <f>('Form Sa1'!H69*E113)/10^6+'Form Sa1'!H68</f>
        <v>2.0367461243808735</v>
      </c>
      <c r="F44" s="1303" t="e">
        <f>('Form Sa1'!I69*$F$113)/10^6+'Form Sa1'!I68</f>
        <v>#DIV/0!</v>
      </c>
    </row>
    <row r="45" ht="18" customHeight="1" spans="1:6" x14ac:dyDescent="0.25">
      <c r="A45" s="1291" t="s">
        <v>68</v>
      </c>
      <c r="B45" s="753" t="s">
        <v>3281</v>
      </c>
      <c r="C45" s="753" t="s">
        <v>1743</v>
      </c>
      <c r="D45" s="753" t="s">
        <v>3120</v>
      </c>
      <c r="E45" s="1303">
        <f>('Form Sa1'!H114*$E$113)/10^6+'Form Sa1'!H113</f>
        <v>0</v>
      </c>
      <c r="F45" s="1303" t="e">
        <f>('Form Sa1'!I114*$F$113)/10^6+'Form Sa1'!I113</f>
        <v>#DIV/0!</v>
      </c>
    </row>
    <row r="46" ht="18" customHeight="1" spans="1:6" x14ac:dyDescent="0.25">
      <c r="A46" s="302" t="s">
        <v>74</v>
      </c>
      <c r="B46" s="753" t="s">
        <v>3282</v>
      </c>
      <c r="C46" s="753" t="s">
        <v>1743</v>
      </c>
      <c r="D46" s="753" t="s">
        <v>3120</v>
      </c>
      <c r="E46" s="1303">
        <f>('Form Sa1'!H120*$E$113)/10^6+'Form Sa1'!H119</f>
        <v>0</v>
      </c>
      <c r="F46" s="1303" t="e">
        <f>('Form Sa1'!I120*$F$113)/10^6+'Form Sa1'!I119</f>
        <v>#DIV/0!</v>
      </c>
    </row>
    <row r="47" ht="18" customHeight="1" spans="1:6" x14ac:dyDescent="0.25">
      <c r="A47" s="1291" t="s">
        <v>80</v>
      </c>
      <c r="B47" s="753" t="s">
        <v>3283</v>
      </c>
      <c r="C47" s="753" t="s">
        <v>1743</v>
      </c>
      <c r="D47" s="753" t="s">
        <v>3120</v>
      </c>
      <c r="E47" s="1303">
        <f>('Form Sa1'!H126*$E$113)/10^6+'Form Sa1'!H125</f>
        <v>0</v>
      </c>
      <c r="F47" s="1303" t="e">
        <f>('Form Sa1'!I126*$F$113)/10^6+'Form Sa1'!I125</f>
        <v>#DIV/0!</v>
      </c>
    </row>
    <row r="48" ht="18" customHeight="1" spans="1:6" x14ac:dyDescent="0.25">
      <c r="A48" s="1291" t="s">
        <v>82</v>
      </c>
      <c r="B48" s="753" t="s">
        <v>3284</v>
      </c>
      <c r="C48" s="753" t="s">
        <v>1743</v>
      </c>
      <c r="D48" s="753" t="s">
        <v>3120</v>
      </c>
      <c r="E48" s="1303">
        <f>('Form Sa1'!H132*$E$113)/10^6+'Form Sa1'!H131</f>
        <v>0</v>
      </c>
      <c r="F48" s="1303" t="e">
        <f>('Form Sa1'!I132*$F$113)/10^6+'Form Sa1'!I131</f>
        <v>#DIV/0!</v>
      </c>
    </row>
    <row r="49" ht="16.5" customHeight="1" spans="1:6" x14ac:dyDescent="0.25">
      <c r="A49" s="1291" t="s">
        <v>121</v>
      </c>
      <c r="B49" s="753" t="s">
        <v>3285</v>
      </c>
      <c r="C49" s="753" t="s">
        <v>61</v>
      </c>
      <c r="D49" s="753" t="s">
        <v>3120</v>
      </c>
      <c r="E49" s="1303">
        <f>('Form Sa1'!H138*$E$113)/10^6+'Form Sa1'!H137</f>
        <v>0</v>
      </c>
      <c r="F49" s="1303" t="e">
        <f>('Form Sa1'!I138*$F$113)/10^6+'Form Sa1'!I137</f>
        <v>#DIV/0!</v>
      </c>
    </row>
    <row r="50" ht="16.5" customHeight="1" spans="1:256" x14ac:dyDescent="0.25">
      <c r="A50" s="302" t="s">
        <v>144</v>
      </c>
      <c r="B50" s="753" t="s">
        <v>3286</v>
      </c>
      <c r="C50" s="753" t="s">
        <v>61</v>
      </c>
      <c r="D50" s="753" t="s">
        <v>3120</v>
      </c>
      <c r="E50" s="1303">
        <f>('Form Sa1'!H144*$E$113)/10^6+'Form Sa1'!H143</f>
        <v>0</v>
      </c>
      <c r="F50" s="1303" t="e">
        <f>('Form Sa1'!I144*$F$113)/10^6+'Form Sa1'!I143</f>
        <v>#DIV/0!</v>
      </c>
      <c r="G50" s="296">
        <f>('Form Sa1'!K143+('Form Sa1'!K144*G113))/10^6</f>
        <v>0</v>
      </c>
      <c r="H50" s="296" t="e">
        <f>('Form Sa1'!#REF!+('Form Sa1'!#REF!*H113))/10^6</f>
        <v>#REF!</v>
      </c>
      <c r="I50" s="296" t="e">
        <f>('Form Sa1'!#REF!+('Form Sa1'!#REF!*I113))/10^6</f>
        <v>#REF!</v>
      </c>
      <c r="J50" s="296" t="e">
        <f>('Form Sa1'!#REF!+('Form Sa1'!#REF!*J113))/10^6</f>
        <v>#REF!</v>
      </c>
      <c r="K50" s="296" t="e">
        <f>('Form Sa1'!#REF!+('Form Sa1'!#REF!*K113))/10^6</f>
        <v>#REF!</v>
      </c>
      <c r="L50" s="296" t="e">
        <f>('Form Sa1'!#REF!+('Form Sa1'!#REF!*L113))/10^6</f>
        <v>#REF!</v>
      </c>
      <c r="M50" s="296" t="e">
        <f>('Form Sa1'!#REF!+('Form Sa1'!#REF!*M113))/10^6</f>
        <v>#REF!</v>
      </c>
      <c r="N50" s="296" t="e">
        <f>('Form Sa1'!#REF!+('Form Sa1'!#REF!*N113))/10^6</f>
        <v>#REF!</v>
      </c>
      <c r="O50" s="296" t="e">
        <f>('Form Sa1'!#REF!+('Form Sa1'!#REF!*O113))/10^6</f>
        <v>#REF!</v>
      </c>
      <c r="P50" s="296" t="e">
        <f>('Form Sa1'!#REF!+('Form Sa1'!#REF!*P113))/10^6</f>
        <v>#REF!</v>
      </c>
      <c r="Q50" s="296" t="e">
        <f>('Form Sa1'!#REF!+('Form Sa1'!#REF!*Q113))/10^6</f>
        <v>#REF!</v>
      </c>
      <c r="R50" s="296" t="e">
        <f>('Form Sa1'!#REF!+('Form Sa1'!#REF!*R113))/10^6</f>
        <v>#REF!</v>
      </c>
      <c r="S50" s="296" t="e">
        <f>('Form Sa1'!#REF!+('Form Sa1'!#REF!*S113))/10^6</f>
        <v>#REF!</v>
      </c>
      <c r="T50" s="296" t="e">
        <f>('Form Sa1'!#REF!+('Form Sa1'!#REF!*T113))/10^6</f>
        <v>#REF!</v>
      </c>
      <c r="U50" s="296" t="e">
        <f>('Form Sa1'!#REF!+('Form Sa1'!#REF!*U113))/10^6</f>
        <v>#REF!</v>
      </c>
      <c r="V50" s="296" t="e">
        <f>('Form Sa1'!#REF!+('Form Sa1'!#REF!*V113))/10^6</f>
        <v>#REF!</v>
      </c>
      <c r="W50" s="296" t="e">
        <f>('Form Sa1'!#REF!+('Form Sa1'!#REF!*W113))/10^6</f>
        <v>#REF!</v>
      </c>
      <c r="X50" s="296" t="e">
        <f>('Form Sa1'!#REF!+('Form Sa1'!#REF!*X113))/10^6</f>
        <v>#REF!</v>
      </c>
      <c r="Y50" s="296">
        <f>('Form Sa1'!L142+('Form Sa1'!L143*Y113))/10^6</f>
        <v>0</v>
      </c>
      <c r="Z50" s="296">
        <f>('Form Sa1'!M142+('Form Sa1'!M143*Z113))/10^6</f>
        <v>0</v>
      </c>
      <c r="AA50" s="296">
        <f>('Form Sa1'!N142+('Form Sa1'!N143*AA113))/10^6</f>
        <v>0</v>
      </c>
      <c r="AB50" s="296">
        <f>('Form Sa1'!O142+('Form Sa1'!O143*AB113))/10^6</f>
        <v>0</v>
      </c>
      <c r="AC50" s="296">
        <f>('Form Sa1'!P142+('Form Sa1'!P143*AC113))/10^6</f>
        <v>0</v>
      </c>
      <c r="AD50" s="296">
        <f>('Form Sa1'!Q142+('Form Sa1'!Q143*AD113))/10^6</f>
        <v>0</v>
      </c>
      <c r="AE50" s="296">
        <f>('Form Sa1'!R142+('Form Sa1'!R143*AE113))/10^6</f>
        <v>0</v>
      </c>
      <c r="AF50" s="296">
        <f>('Form Sa1'!S142+('Form Sa1'!S143*AF113))/10^6</f>
        <v>0</v>
      </c>
      <c r="AG50" s="296">
        <f>('Form Sa1'!T142+('Form Sa1'!T143*AG113))/10^6</f>
        <v>0</v>
      </c>
      <c r="AH50" s="296">
        <f>('Form Sa1'!U142+('Form Sa1'!U143*AH113))/10^6</f>
        <v>0</v>
      </c>
      <c r="AI50" s="296">
        <f>('Form Sa1'!V142+('Form Sa1'!V143*AI113))/10^6</f>
        <v>0</v>
      </c>
      <c r="AJ50" s="296">
        <f>('Form Sa1'!W142+('Form Sa1'!W143*AJ113))/10^6</f>
        <v>0</v>
      </c>
      <c r="AK50" s="296">
        <f>('Form Sa1'!X142+('Form Sa1'!X143*AK113))/10^6</f>
        <v>0</v>
      </c>
      <c r="AL50" s="296">
        <f>('Form Sa1'!Y142+('Form Sa1'!Y143*AL113))/10^6</f>
        <v>0</v>
      </c>
      <c r="AM50" s="296">
        <f>('Form Sa1'!Z142+('Form Sa1'!Z143*AM113))/10^6</f>
        <v>0</v>
      </c>
      <c r="AN50" s="296">
        <f>('Form Sa1'!AA142+('Form Sa1'!AA143*AN113))/10^6</f>
        <v>0</v>
      </c>
      <c r="AO50" s="296">
        <f>('Form Sa1'!AB142+('Form Sa1'!AB143*AO113))/10^6</f>
        <v>0</v>
      </c>
      <c r="AP50" s="296">
        <f>('Form Sa1'!AC142+('Form Sa1'!AC143*AP113))/10^6</f>
        <v>0</v>
      </c>
      <c r="AQ50" s="296">
        <f>('Form Sa1'!AD142+('Form Sa1'!AD143*AQ113))/10^6</f>
        <v>0</v>
      </c>
      <c r="AR50" s="296">
        <f>('Form Sa1'!AE142+('Form Sa1'!AE143*AR113))/10^6</f>
        <v>0</v>
      </c>
      <c r="AS50" s="296">
        <f>('Form Sa1'!AF142+('Form Sa1'!AF143*AS113))/10^6</f>
        <v>0</v>
      </c>
      <c r="AT50" s="296">
        <f>('Form Sa1'!AG142+('Form Sa1'!AG143*AT113))/10^6</f>
        <v>0</v>
      </c>
      <c r="AU50" s="296">
        <f>('Form Sa1'!AH142+('Form Sa1'!AH143*AU113))/10^6</f>
        <v>0</v>
      </c>
      <c r="AV50" s="296">
        <f>('Form Sa1'!AI142+('Form Sa1'!AI143*AV113))/10^6</f>
        <v>0</v>
      </c>
      <c r="AW50" s="296">
        <f>('Form Sa1'!AJ142+('Form Sa1'!AJ143*AW113))/10^6</f>
        <v>0</v>
      </c>
      <c r="AX50" s="296">
        <f>('Form Sa1'!AK142+('Form Sa1'!AK143*AX113))/10^6</f>
        <v>0</v>
      </c>
      <c r="AY50" s="296">
        <f>('Form Sa1'!AL142+('Form Sa1'!AL143*AY113))/10^6</f>
        <v>0</v>
      </c>
      <c r="AZ50" s="296">
        <f>('Form Sa1'!AM142+('Form Sa1'!AM143*AZ113))/10^6</f>
        <v>0</v>
      </c>
      <c r="BA50" s="296">
        <f>('Form Sa1'!AN142+('Form Sa1'!AN143*BA113))/10^6</f>
        <v>0</v>
      </c>
      <c r="BB50" s="296">
        <f>('Form Sa1'!AO142+('Form Sa1'!AO143*BB113))/10^6</f>
        <v>0</v>
      </c>
      <c r="BC50" s="296">
        <f>('Form Sa1'!AP142+('Form Sa1'!AP143*BC113))/10^6</f>
        <v>0</v>
      </c>
      <c r="BD50" s="296">
        <f>('Form Sa1'!AQ142+('Form Sa1'!AQ143*BD113))/10^6</f>
        <v>0</v>
      </c>
      <c r="BE50" s="296">
        <f>('Form Sa1'!AR142+('Form Sa1'!AR143*BE113))/10^6</f>
        <v>0</v>
      </c>
      <c r="BF50" s="296">
        <f>('Form Sa1'!AS142+('Form Sa1'!AS143*BF113))/10^6</f>
        <v>0</v>
      </c>
      <c r="BG50" s="296">
        <f>('Form Sa1'!AT142+('Form Sa1'!AT143*BG113))/10^6</f>
        <v>0</v>
      </c>
      <c r="BH50" s="296">
        <f>('Form Sa1'!AU142+('Form Sa1'!AU143*BH113))/10^6</f>
        <v>0</v>
      </c>
      <c r="BI50" s="296">
        <f>('Form Sa1'!AV142+('Form Sa1'!AV143*BI113))/10^6</f>
        <v>0</v>
      </c>
      <c r="BJ50" s="296">
        <f>('Form Sa1'!AW142+('Form Sa1'!AW143*BJ113))/10^6</f>
        <v>0</v>
      </c>
      <c r="BK50" s="296">
        <f>('Form Sa1'!AX142+('Form Sa1'!AX143*BK113))/10^6</f>
        <v>0</v>
      </c>
      <c r="BL50" s="296">
        <f>('Form Sa1'!AY142+('Form Sa1'!AY143*BL113))/10^6</f>
        <v>0</v>
      </c>
      <c r="BM50" s="296">
        <f>('Form Sa1'!AZ142+('Form Sa1'!AZ143*BM113))/10^6</f>
        <v>0</v>
      </c>
      <c r="BN50" s="296">
        <f>('Form Sa1'!BA142+('Form Sa1'!BA143*BN113))/10^6</f>
        <v>0</v>
      </c>
      <c r="BO50" s="296">
        <f>('Form Sa1'!BB142+('Form Sa1'!BB143*BO113))/10^6</f>
        <v>0</v>
      </c>
      <c r="BP50" s="296">
        <f>('Form Sa1'!BC142+('Form Sa1'!BC143*BP113))/10^6</f>
        <v>0</v>
      </c>
      <c r="BQ50" s="296">
        <f>('Form Sa1'!BD142+('Form Sa1'!BD143*BQ113))/10^6</f>
        <v>0</v>
      </c>
      <c r="BR50" s="296">
        <f>('Form Sa1'!BE142+('Form Sa1'!BE143*BR113))/10^6</f>
        <v>0</v>
      </c>
      <c r="BS50" s="296">
        <f>('Form Sa1'!BF142+('Form Sa1'!BF143*BS113))/10^6</f>
        <v>0</v>
      </c>
      <c r="BT50" s="296">
        <f>('Form Sa1'!BG142+('Form Sa1'!BG143*BT113))/10^6</f>
        <v>0</v>
      </c>
      <c r="BU50" s="296">
        <f>('Form Sa1'!BH142+('Form Sa1'!BH143*BU113))/10^6</f>
        <v>0</v>
      </c>
      <c r="BV50" s="296">
        <f>('Form Sa1'!BI142+('Form Sa1'!BI143*BV113))/10^6</f>
        <v>0</v>
      </c>
      <c r="BW50" s="296">
        <f>('Form Sa1'!BJ142+('Form Sa1'!BJ143*BW113))/10^6</f>
        <v>0</v>
      </c>
      <c r="BX50" s="296">
        <f>('Form Sa1'!BK142+('Form Sa1'!BK143*BX113))/10^6</f>
        <v>0</v>
      </c>
      <c r="BY50" s="296">
        <f>('Form Sa1'!BL142+('Form Sa1'!BL143*BY113))/10^6</f>
        <v>0</v>
      </c>
      <c r="BZ50" s="296">
        <f>('Form Sa1'!BM142+('Form Sa1'!BM143*BZ113))/10^6</f>
        <v>0</v>
      </c>
      <c r="CA50" s="296">
        <f>('Form Sa1'!BN142+('Form Sa1'!BN143*CA113))/10^6</f>
        <v>0</v>
      </c>
      <c r="CB50" s="296">
        <f>('Form Sa1'!BO142+('Form Sa1'!BO143*CB113))/10^6</f>
        <v>0</v>
      </c>
      <c r="CC50" s="296">
        <f>('Form Sa1'!BP142+('Form Sa1'!BP143*CC113))/10^6</f>
        <v>0</v>
      </c>
      <c r="CD50" s="296">
        <f>('Form Sa1'!BQ142+('Form Sa1'!BQ143*CD113))/10^6</f>
        <v>0</v>
      </c>
      <c r="CE50" s="296">
        <f>('Form Sa1'!BR142+('Form Sa1'!BR143*CE113))/10^6</f>
        <v>0</v>
      </c>
      <c r="CF50" s="296">
        <f>('Form Sa1'!BS142+('Form Sa1'!BS143*CF113))/10^6</f>
        <v>0</v>
      </c>
      <c r="CG50" s="296">
        <f>('Form Sa1'!BT142+('Form Sa1'!BT143*CG113))/10^6</f>
        <v>0</v>
      </c>
      <c r="CH50" s="296">
        <f>('Form Sa1'!BU142+('Form Sa1'!BU143*CH113))/10^6</f>
        <v>0</v>
      </c>
      <c r="CI50" s="296">
        <f>('Form Sa1'!BV142+('Form Sa1'!BV143*CI113))/10^6</f>
        <v>0</v>
      </c>
      <c r="CJ50" s="296">
        <f>('Form Sa1'!BW142+('Form Sa1'!BW143*CJ113))/10^6</f>
        <v>0</v>
      </c>
      <c r="CK50" s="296">
        <f>('Form Sa1'!BX142+('Form Sa1'!BX143*CK113))/10^6</f>
        <v>0</v>
      </c>
      <c r="CL50" s="296">
        <f>('Form Sa1'!BY142+('Form Sa1'!BY143*CL113))/10^6</f>
        <v>0</v>
      </c>
      <c r="CM50" s="296">
        <f>('Form Sa1'!BZ142+('Form Sa1'!BZ143*CM113))/10^6</f>
        <v>0</v>
      </c>
      <c r="CN50" s="296">
        <f>('Form Sa1'!CA142+('Form Sa1'!CA143*CN113))/10^6</f>
        <v>0</v>
      </c>
      <c r="CO50" s="296">
        <f>('Form Sa1'!CB142+('Form Sa1'!CB143*CO113))/10^6</f>
        <v>0</v>
      </c>
      <c r="CP50" s="296">
        <f>('Form Sa1'!CC142+('Form Sa1'!CC143*CP113))/10^6</f>
        <v>0</v>
      </c>
      <c r="CQ50" s="296">
        <f>('Form Sa1'!CD142+('Form Sa1'!CD143*CQ113))/10^6</f>
        <v>0</v>
      </c>
      <c r="CR50" s="296">
        <f>('Form Sa1'!CE142+('Form Sa1'!CE143*CR113))/10^6</f>
        <v>0</v>
      </c>
      <c r="CS50" s="296">
        <f>('Form Sa1'!CF142+('Form Sa1'!CF143*CS113))/10^6</f>
        <v>0</v>
      </c>
      <c r="CT50" s="296">
        <f>('Form Sa1'!CG142+('Form Sa1'!CG143*CT113))/10^6</f>
        <v>0</v>
      </c>
      <c r="CU50" s="296">
        <f>('Form Sa1'!CH142+('Form Sa1'!CH143*CU113))/10^6</f>
        <v>0</v>
      </c>
      <c r="CV50" s="296">
        <f>('Form Sa1'!CI142+('Form Sa1'!CI143*CV113))/10^6</f>
        <v>0</v>
      </c>
      <c r="CW50" s="296">
        <f>('Form Sa1'!CJ142+('Form Sa1'!CJ143*CW113))/10^6</f>
        <v>0</v>
      </c>
      <c r="CX50" s="296">
        <f>('Form Sa1'!CK142+('Form Sa1'!CK143*CX113))/10^6</f>
        <v>0</v>
      </c>
      <c r="CY50" s="296">
        <f>('Form Sa1'!CL142+('Form Sa1'!CL143*CY113))/10^6</f>
        <v>0</v>
      </c>
      <c r="CZ50" s="296">
        <f>('Form Sa1'!CM142+('Form Sa1'!CM143*CZ113))/10^6</f>
        <v>0</v>
      </c>
      <c r="DA50" s="296">
        <f>('Form Sa1'!CN142+('Form Sa1'!CN143*DA113))/10^6</f>
        <v>0</v>
      </c>
      <c r="DB50" s="296">
        <f>('Form Sa1'!CO142+('Form Sa1'!CO143*DB113))/10^6</f>
        <v>0</v>
      </c>
      <c r="DC50" s="296">
        <f>('Form Sa1'!CP142+('Form Sa1'!CP143*DC113))/10^6</f>
        <v>0</v>
      </c>
      <c r="DD50" s="296">
        <f>('Form Sa1'!CQ142+('Form Sa1'!CQ143*DD113))/10^6</f>
        <v>0</v>
      </c>
      <c r="DE50" s="296">
        <f>('Form Sa1'!CR142+('Form Sa1'!CR143*DE113))/10^6</f>
        <v>0</v>
      </c>
      <c r="DF50" s="296">
        <f>('Form Sa1'!CS142+('Form Sa1'!CS143*DF113))/10^6</f>
        <v>0</v>
      </c>
      <c r="DG50" s="296">
        <f>('Form Sa1'!CT142+('Form Sa1'!CT143*DG113))/10^6</f>
        <v>0</v>
      </c>
      <c r="DH50" s="296">
        <f>('Form Sa1'!CU142+('Form Sa1'!CU143*DH113))/10^6</f>
        <v>0</v>
      </c>
      <c r="DI50" s="296">
        <f>('Form Sa1'!CV142+('Form Sa1'!CV143*DI113))/10^6</f>
        <v>0</v>
      </c>
      <c r="DJ50" s="296">
        <f>('Form Sa1'!CW142+('Form Sa1'!CW143*DJ113))/10^6</f>
        <v>0</v>
      </c>
      <c r="DK50" s="296">
        <f>('Form Sa1'!CX142+('Form Sa1'!CX143*DK113))/10^6</f>
        <v>0</v>
      </c>
      <c r="DL50" s="296">
        <f>('Form Sa1'!CY142+('Form Sa1'!CY143*DL113))/10^6</f>
        <v>0</v>
      </c>
      <c r="DM50" s="296">
        <f>('Form Sa1'!CZ142+('Form Sa1'!CZ143*DM113))/10^6</f>
        <v>0</v>
      </c>
      <c r="DN50" s="296">
        <f>('Form Sa1'!DA142+('Form Sa1'!DA143*DN113))/10^6</f>
        <v>0</v>
      </c>
      <c r="DO50" s="296">
        <f>('Form Sa1'!DB142+('Form Sa1'!DB143*DO113))/10^6</f>
        <v>0</v>
      </c>
      <c r="DP50" s="296">
        <f>('Form Sa1'!DC142+('Form Sa1'!DC143*DP113))/10^6</f>
        <v>0</v>
      </c>
      <c r="DQ50" s="296">
        <f>('Form Sa1'!DD142+('Form Sa1'!DD143*DQ113))/10^6</f>
        <v>0</v>
      </c>
      <c r="DR50" s="296">
        <f>('Form Sa1'!DE142+('Form Sa1'!DE143*DR113))/10^6</f>
        <v>0</v>
      </c>
      <c r="DS50" s="296">
        <f>('Form Sa1'!DF142+('Form Sa1'!DF143*DS113))/10^6</f>
        <v>0</v>
      </c>
      <c r="DT50" s="296">
        <f>('Form Sa1'!DG142+('Form Sa1'!DG143*DT113))/10^6</f>
        <v>0</v>
      </c>
      <c r="DU50" s="296">
        <f>('Form Sa1'!DH142+('Form Sa1'!DH143*DU113))/10^6</f>
        <v>0</v>
      </c>
      <c r="DV50" s="296">
        <f>('Form Sa1'!DI142+('Form Sa1'!DI143*DV113))/10^6</f>
        <v>0</v>
      </c>
      <c r="DW50" s="296">
        <f>('Form Sa1'!DJ142+('Form Sa1'!DJ143*DW113))/10^6</f>
        <v>0</v>
      </c>
      <c r="DX50" s="296">
        <f>('Form Sa1'!DK142+('Form Sa1'!DK143*DX113))/10^6</f>
        <v>0</v>
      </c>
      <c r="DY50" s="296">
        <f>('Form Sa1'!DL142+('Form Sa1'!DL143*DY113))/10^6</f>
        <v>0</v>
      </c>
      <c r="DZ50" s="296">
        <f>('Form Sa1'!DM142+('Form Sa1'!DM143*DZ113))/10^6</f>
        <v>0</v>
      </c>
      <c r="EA50" s="296">
        <f>('Form Sa1'!DN142+('Form Sa1'!DN143*EA113))/10^6</f>
        <v>0</v>
      </c>
      <c r="EB50" s="296">
        <f>('Form Sa1'!DO142+('Form Sa1'!DO143*EB113))/10^6</f>
        <v>0</v>
      </c>
      <c r="EC50" s="296">
        <f>('Form Sa1'!DP142+('Form Sa1'!DP143*EC113))/10^6</f>
        <v>0</v>
      </c>
      <c r="ED50" s="296">
        <f>('Form Sa1'!DQ142+('Form Sa1'!DQ143*ED113))/10^6</f>
        <v>0</v>
      </c>
      <c r="EE50" s="296">
        <f>('Form Sa1'!DR142+('Form Sa1'!DR143*EE113))/10^6</f>
        <v>0</v>
      </c>
      <c r="EF50" s="296">
        <f>('Form Sa1'!DS142+('Form Sa1'!DS143*EF113))/10^6</f>
        <v>0</v>
      </c>
      <c r="EG50" s="296">
        <f>('Form Sa1'!DT142+('Form Sa1'!DT143*EG113))/10^6</f>
        <v>0</v>
      </c>
      <c r="EH50" s="296">
        <f>('Form Sa1'!DU142+('Form Sa1'!DU143*EH113))/10^6</f>
        <v>0</v>
      </c>
      <c r="EI50" s="296">
        <f>('Form Sa1'!DV142+('Form Sa1'!DV143*EI113))/10^6</f>
        <v>0</v>
      </c>
      <c r="EJ50" s="296">
        <f>('Form Sa1'!DW142+('Form Sa1'!DW143*EJ113))/10^6</f>
        <v>0</v>
      </c>
      <c r="EK50" s="296">
        <f>('Form Sa1'!DX142+('Form Sa1'!DX143*EK113))/10^6</f>
        <v>0</v>
      </c>
      <c r="EL50" s="296">
        <f>('Form Sa1'!DY142+('Form Sa1'!DY143*EL113))/10^6</f>
        <v>0</v>
      </c>
      <c r="EM50" s="296">
        <f>('Form Sa1'!DZ142+('Form Sa1'!DZ143*EM113))/10^6</f>
        <v>0</v>
      </c>
      <c r="EN50" s="296">
        <f>('Form Sa1'!EA142+('Form Sa1'!EA143*EN113))/10^6</f>
        <v>0</v>
      </c>
      <c r="EO50" s="296">
        <f>('Form Sa1'!EB142+('Form Sa1'!EB143*EO113))/10^6</f>
        <v>0</v>
      </c>
      <c r="EP50" s="296">
        <f>('Form Sa1'!EC142+('Form Sa1'!EC143*EP113))/10^6</f>
        <v>0</v>
      </c>
      <c r="EQ50" s="296">
        <f>('Form Sa1'!ED142+('Form Sa1'!ED143*EQ113))/10^6</f>
        <v>0</v>
      </c>
      <c r="ER50" s="296">
        <f>('Form Sa1'!EE142+('Form Sa1'!EE143*ER113))/10^6</f>
        <v>0</v>
      </c>
      <c r="ES50" s="296">
        <f>('Form Sa1'!EF142+('Form Sa1'!EF143*ES113))/10^6</f>
        <v>0</v>
      </c>
      <c r="ET50" s="296">
        <f>('Form Sa1'!EG142+('Form Sa1'!EG143*ET113))/10^6</f>
        <v>0</v>
      </c>
      <c r="EU50" s="296">
        <f>('Form Sa1'!EH142+('Form Sa1'!EH143*EU113))/10^6</f>
        <v>0</v>
      </c>
      <c r="EV50" s="296">
        <f>('Form Sa1'!EI142+('Form Sa1'!EI143*EV113))/10^6</f>
        <v>0</v>
      </c>
      <c r="EW50" s="296">
        <f>('Form Sa1'!EJ142+('Form Sa1'!EJ143*EW113))/10^6</f>
        <v>0</v>
      </c>
      <c r="EX50" s="296">
        <f>('Form Sa1'!EK142+('Form Sa1'!EK143*EX113))/10^6</f>
        <v>0</v>
      </c>
      <c r="EY50" s="296">
        <f>('Form Sa1'!EL142+('Form Sa1'!EL143*EY113))/10^6</f>
        <v>0</v>
      </c>
      <c r="EZ50" s="296">
        <f>('Form Sa1'!EM142+('Form Sa1'!EM143*EZ113))/10^6</f>
        <v>0</v>
      </c>
      <c r="FA50" s="296">
        <f>('Form Sa1'!EN142+('Form Sa1'!EN143*FA113))/10^6</f>
        <v>0</v>
      </c>
      <c r="FB50" s="296">
        <f>('Form Sa1'!EO142+('Form Sa1'!EO143*FB113))/10^6</f>
        <v>0</v>
      </c>
      <c r="FC50" s="296">
        <f>('Form Sa1'!EP142+('Form Sa1'!EP143*FC113))/10^6</f>
        <v>0</v>
      </c>
      <c r="FD50" s="296">
        <f>('Form Sa1'!EQ142+('Form Sa1'!EQ143*FD113))/10^6</f>
        <v>0</v>
      </c>
      <c r="FE50" s="296">
        <f>('Form Sa1'!ER142+('Form Sa1'!ER143*FE113))/10^6</f>
        <v>0</v>
      </c>
      <c r="FF50" s="296">
        <f>('Form Sa1'!ES142+('Form Sa1'!ES143*FF113))/10^6</f>
        <v>0</v>
      </c>
      <c r="FG50" s="296">
        <f>('Form Sa1'!ET142+('Form Sa1'!ET143*FG113))/10^6</f>
        <v>0</v>
      </c>
      <c r="FH50" s="296">
        <f>('Form Sa1'!EU142+('Form Sa1'!EU143*FH113))/10^6</f>
        <v>0</v>
      </c>
      <c r="FI50" s="296">
        <f>('Form Sa1'!EV142+('Form Sa1'!EV143*FI113))/10^6</f>
        <v>0</v>
      </c>
      <c r="FJ50" s="296">
        <f>('Form Sa1'!EW142+('Form Sa1'!EW143*FJ113))/10^6</f>
        <v>0</v>
      </c>
      <c r="FK50" s="296">
        <f>('Form Sa1'!EX142+('Form Sa1'!EX143*FK113))/10^6</f>
        <v>0</v>
      </c>
      <c r="FL50" s="296">
        <f>('Form Sa1'!EY142+('Form Sa1'!EY143*FL113))/10^6</f>
        <v>0</v>
      </c>
      <c r="FM50" s="296">
        <f>('Form Sa1'!EZ142+('Form Sa1'!EZ143*FM113))/10^6</f>
        <v>0</v>
      </c>
      <c r="FN50" s="296">
        <f>('Form Sa1'!FA142+('Form Sa1'!FA143*FN113))/10^6</f>
        <v>0</v>
      </c>
      <c r="FO50" s="296">
        <f>('Form Sa1'!FB142+('Form Sa1'!FB143*FO113))/10^6</f>
        <v>0</v>
      </c>
      <c r="FP50" s="296">
        <f>('Form Sa1'!FC142+('Form Sa1'!FC143*FP113))/10^6</f>
        <v>0</v>
      </c>
      <c r="FQ50" s="296">
        <f>('Form Sa1'!FD142+('Form Sa1'!FD143*FQ113))/10^6</f>
        <v>0</v>
      </c>
      <c r="FR50" s="296">
        <f>('Form Sa1'!FE142+('Form Sa1'!FE143*FR113))/10^6</f>
        <v>0</v>
      </c>
      <c r="FS50" s="296">
        <f>('Form Sa1'!FF142+('Form Sa1'!FF143*FS113))/10^6</f>
        <v>0</v>
      </c>
      <c r="FT50" s="296">
        <f>('Form Sa1'!FG142+('Form Sa1'!FG143*FT113))/10^6</f>
        <v>0</v>
      </c>
      <c r="FU50" s="296">
        <f>('Form Sa1'!FH142+('Form Sa1'!FH143*FU113))/10^6</f>
        <v>0</v>
      </c>
      <c r="FV50" s="296">
        <f>('Form Sa1'!FI142+('Form Sa1'!FI143*FV113))/10^6</f>
        <v>0</v>
      </c>
      <c r="FW50" s="296">
        <f>('Form Sa1'!FJ142+('Form Sa1'!FJ143*FW113))/10^6</f>
        <v>0</v>
      </c>
      <c r="FX50" s="296">
        <f>('Form Sa1'!FK142+('Form Sa1'!FK143*FX113))/10^6</f>
        <v>0</v>
      </c>
      <c r="FY50" s="296">
        <f>('Form Sa1'!FL142+('Form Sa1'!FL143*FY113))/10^6</f>
        <v>0</v>
      </c>
      <c r="FZ50" s="296">
        <f>('Form Sa1'!FM142+('Form Sa1'!FM143*FZ113))/10^6</f>
        <v>0</v>
      </c>
      <c r="GA50" s="296">
        <f>('Form Sa1'!FN142+('Form Sa1'!FN143*GA113))/10^6</f>
        <v>0</v>
      </c>
      <c r="GB50" s="296">
        <f>('Form Sa1'!FO142+('Form Sa1'!FO143*GB113))/10^6</f>
        <v>0</v>
      </c>
      <c r="GC50" s="296">
        <f>('Form Sa1'!FP142+('Form Sa1'!FP143*GC113))/10^6</f>
        <v>0</v>
      </c>
      <c r="GD50" s="296">
        <f>('Form Sa1'!FQ142+('Form Sa1'!FQ143*GD113))/10^6</f>
        <v>0</v>
      </c>
      <c r="GE50" s="296">
        <f>('Form Sa1'!FR142+('Form Sa1'!FR143*GE113))/10^6</f>
        <v>0</v>
      </c>
      <c r="GF50" s="296">
        <f>('Form Sa1'!FS142+('Form Sa1'!FS143*GF113))/10^6</f>
        <v>0</v>
      </c>
      <c r="GG50" s="296">
        <f>('Form Sa1'!FT142+('Form Sa1'!FT143*GG113))/10^6</f>
        <v>0</v>
      </c>
      <c r="GH50" s="296">
        <f>('Form Sa1'!FU142+('Form Sa1'!FU143*GH113))/10^6</f>
        <v>0</v>
      </c>
      <c r="GI50" s="296">
        <f>('Form Sa1'!FV142+('Form Sa1'!FV143*GI113))/10^6</f>
        <v>0</v>
      </c>
      <c r="GJ50" s="296">
        <f>('Form Sa1'!FW142+('Form Sa1'!FW143*GJ113))/10^6</f>
        <v>0</v>
      </c>
      <c r="GK50" s="296">
        <f>('Form Sa1'!FX142+('Form Sa1'!FX143*GK113))/10^6</f>
        <v>0</v>
      </c>
      <c r="GL50" s="296">
        <f>('Form Sa1'!FY142+('Form Sa1'!FY143*GL113))/10^6</f>
        <v>0</v>
      </c>
      <c r="GM50" s="296">
        <f>('Form Sa1'!FZ142+('Form Sa1'!FZ143*GM113))/10^6</f>
        <v>0</v>
      </c>
      <c r="GN50" s="296">
        <f>('Form Sa1'!GA142+('Form Sa1'!GA143*GN113))/10^6</f>
        <v>0</v>
      </c>
      <c r="GO50" s="296">
        <f>('Form Sa1'!GB142+('Form Sa1'!GB143*GO113))/10^6</f>
        <v>0</v>
      </c>
      <c r="GP50" s="296">
        <f>('Form Sa1'!GC142+('Form Sa1'!GC143*GP113))/10^6</f>
        <v>0</v>
      </c>
      <c r="GQ50" s="296">
        <f>('Form Sa1'!GD142+('Form Sa1'!GD143*GQ113))/10^6</f>
        <v>0</v>
      </c>
      <c r="GR50" s="296">
        <f>('Form Sa1'!GE142+('Form Sa1'!GE143*GR113))/10^6</f>
        <v>0</v>
      </c>
      <c r="GS50" s="296">
        <f>('Form Sa1'!GF142+('Form Sa1'!GF143*GS113))/10^6</f>
        <v>0</v>
      </c>
      <c r="GT50" s="296">
        <f>('Form Sa1'!GG142+('Form Sa1'!GG143*GT113))/10^6</f>
        <v>0</v>
      </c>
      <c r="GU50" s="296">
        <f>('Form Sa1'!GH142+('Form Sa1'!GH143*GU113))/10^6</f>
        <v>0</v>
      </c>
      <c r="GV50" s="296">
        <f>('Form Sa1'!GI142+('Form Sa1'!GI143*GV113))/10^6</f>
        <v>0</v>
      </c>
      <c r="GW50" s="296">
        <f>('Form Sa1'!GJ142+('Form Sa1'!GJ143*GW113))/10^6</f>
        <v>0</v>
      </c>
      <c r="GX50" s="296">
        <f>('Form Sa1'!GK142+('Form Sa1'!GK143*GX113))/10^6</f>
        <v>0</v>
      </c>
      <c r="GY50" s="296">
        <f>('Form Sa1'!GL142+('Form Sa1'!GL143*GY113))/10^6</f>
        <v>0</v>
      </c>
      <c r="GZ50" s="296">
        <f>('Form Sa1'!GM142+('Form Sa1'!GM143*GZ113))/10^6</f>
        <v>0</v>
      </c>
      <c r="HA50" s="296">
        <f>('Form Sa1'!GN142+('Form Sa1'!GN143*HA113))/10^6</f>
        <v>0</v>
      </c>
      <c r="HB50" s="296">
        <f>('Form Sa1'!GO142+('Form Sa1'!GO143*HB113))/10^6</f>
        <v>0</v>
      </c>
      <c r="HC50" s="296">
        <f>('Form Sa1'!GP142+('Form Sa1'!GP143*HC113))/10^6</f>
        <v>0</v>
      </c>
      <c r="HD50" s="296">
        <f>('Form Sa1'!GQ142+('Form Sa1'!GQ143*HD113))/10^6</f>
        <v>0</v>
      </c>
      <c r="HE50" s="296">
        <f>('Form Sa1'!GR142+('Form Sa1'!GR143*HE113))/10^6</f>
        <v>0</v>
      </c>
      <c r="HF50" s="296">
        <f>('Form Sa1'!GS142+('Form Sa1'!GS143*HF113))/10^6</f>
        <v>0</v>
      </c>
      <c r="HG50" s="296">
        <f>('Form Sa1'!GT142+('Form Sa1'!GT143*HG113))/10^6</f>
        <v>0</v>
      </c>
      <c r="HH50" s="296">
        <f>('Form Sa1'!GU142+('Form Sa1'!GU143*HH113))/10^6</f>
        <v>0</v>
      </c>
      <c r="HI50" s="296">
        <f>('Form Sa1'!GV142+('Form Sa1'!GV143*HI113))/10^6</f>
        <v>0</v>
      </c>
      <c r="HJ50" s="296">
        <f>('Form Sa1'!GW142+('Form Sa1'!GW143*HJ113))/10^6</f>
        <v>0</v>
      </c>
      <c r="HK50" s="296">
        <f>('Form Sa1'!GX142+('Form Sa1'!GX143*HK113))/10^6</f>
        <v>0</v>
      </c>
      <c r="HL50" s="296">
        <f>('Form Sa1'!GY142+('Form Sa1'!GY143*HL113))/10^6</f>
        <v>0</v>
      </c>
      <c r="HM50" s="296">
        <f>('Form Sa1'!GZ142+('Form Sa1'!GZ143*HM113))/10^6</f>
        <v>0</v>
      </c>
      <c r="HN50" s="296">
        <f>('Form Sa1'!HA142+('Form Sa1'!HA143*HN113))/10^6</f>
        <v>0</v>
      </c>
      <c r="HO50" s="296">
        <f>('Form Sa1'!HB142+('Form Sa1'!HB143*HO113))/10^6</f>
        <v>0</v>
      </c>
      <c r="HP50" s="296">
        <f>('Form Sa1'!HC142+('Form Sa1'!HC143*HP113))/10^6</f>
        <v>0</v>
      </c>
      <c r="HQ50" s="296">
        <f>('Form Sa1'!HD142+('Form Sa1'!HD143*HQ113))/10^6</f>
        <v>0</v>
      </c>
      <c r="HR50" s="296">
        <f>('Form Sa1'!HE142+('Form Sa1'!HE143*HR113))/10^6</f>
        <v>0</v>
      </c>
      <c r="HS50" s="296">
        <f>('Form Sa1'!HF142+('Form Sa1'!HF143*HS113))/10^6</f>
        <v>0</v>
      </c>
      <c r="HT50" s="296">
        <f>('Form Sa1'!HG142+('Form Sa1'!HG143*HT113))/10^6</f>
        <v>0</v>
      </c>
      <c r="HU50" s="296">
        <f>('Form Sa1'!HH142+('Form Sa1'!HH143*HU113))/10^6</f>
        <v>0</v>
      </c>
      <c r="HV50" s="296">
        <f>('Form Sa1'!HI142+('Form Sa1'!HI143*HV113))/10^6</f>
        <v>0</v>
      </c>
      <c r="HW50" s="296">
        <f>('Form Sa1'!HJ142+('Form Sa1'!HJ143*HW113))/10^6</f>
        <v>0</v>
      </c>
      <c r="HX50" s="296">
        <f>('Form Sa1'!HK142+('Form Sa1'!HK143*HX113))/10^6</f>
        <v>0</v>
      </c>
      <c r="HY50" s="296">
        <f>('Form Sa1'!HL142+('Form Sa1'!HL143*HY113))/10^6</f>
        <v>0</v>
      </c>
      <c r="HZ50" s="296">
        <f>('Form Sa1'!HM142+('Form Sa1'!HM143*HZ113))/10^6</f>
        <v>0</v>
      </c>
      <c r="IA50" s="296">
        <f>('Form Sa1'!HN142+('Form Sa1'!HN143*IA113))/10^6</f>
        <v>0</v>
      </c>
      <c r="IB50" s="296">
        <f>('Form Sa1'!HO142+('Form Sa1'!HO143*IB113))/10^6</f>
        <v>0</v>
      </c>
      <c r="IC50" s="296">
        <f>('Form Sa1'!HP142+('Form Sa1'!HP143*IC113))/10^6</f>
        <v>0</v>
      </c>
      <c r="ID50" s="296">
        <f>('Form Sa1'!HQ142+('Form Sa1'!HQ143*ID113))/10^6</f>
        <v>0</v>
      </c>
      <c r="IE50" s="296">
        <f>('Form Sa1'!HR142+('Form Sa1'!HR143*IE113))/10^6</f>
        <v>0</v>
      </c>
      <c r="IF50" s="296">
        <f>('Form Sa1'!HS142+('Form Sa1'!HS143*IF113))/10^6</f>
        <v>0</v>
      </c>
      <c r="IG50" s="296">
        <f>('Form Sa1'!HT142+('Form Sa1'!HT143*IG113))/10^6</f>
        <v>0</v>
      </c>
      <c r="IH50" s="296">
        <f>('Form Sa1'!HU142+('Form Sa1'!HU143*IH113))/10^6</f>
        <v>0</v>
      </c>
      <c r="II50" s="296">
        <f>('Form Sa1'!HV142+('Form Sa1'!HV143*II113))/10^6</f>
        <v>0</v>
      </c>
      <c r="IJ50" s="296">
        <f>('Form Sa1'!HW142+('Form Sa1'!HW143*IJ113))/10^6</f>
        <v>0</v>
      </c>
      <c r="IK50" s="296">
        <f>('Form Sa1'!HX142+('Form Sa1'!HX143*IK113))/10^6</f>
        <v>0</v>
      </c>
      <c r="IL50" s="296">
        <f>('Form Sa1'!HY142+('Form Sa1'!HY143*IL113))/10^6</f>
        <v>0</v>
      </c>
      <c r="IM50" s="296">
        <f>('Form Sa1'!HZ142+('Form Sa1'!HZ143*IM113))/10^6</f>
        <v>0</v>
      </c>
      <c r="IN50" s="296">
        <f>('Form Sa1'!IA142+('Form Sa1'!IA143*IN113))/10^6</f>
        <v>0</v>
      </c>
      <c r="IO50" s="296">
        <f>('Form Sa1'!IB142+('Form Sa1'!IB143*IO113))/10^6</f>
        <v>0</v>
      </c>
      <c r="IP50" s="296">
        <f>('Form Sa1'!IC142+('Form Sa1'!IC143*IP113))/10^6</f>
        <v>0</v>
      </c>
      <c r="IQ50" s="296">
        <f>('Form Sa1'!ID142+('Form Sa1'!ID143*IQ113))/10^6</f>
        <v>0</v>
      </c>
      <c r="IR50" s="296">
        <f>('Form Sa1'!IE142+('Form Sa1'!IE143*IR113))/10^6</f>
        <v>0</v>
      </c>
      <c r="IS50" s="296" t="e">
        <f>('Form Sa1'!#REF!+('Form Sa1'!#REF!*IS113))/10^6</f>
        <v>#REF!</v>
      </c>
      <c r="IT50" s="296" t="e">
        <f>('Form Sa1'!#REF!+('Form Sa1'!#REF!*IT113))/10^6</f>
        <v>#REF!</v>
      </c>
      <c r="IU50" s="296" t="e">
        <f>('Form Sa1'!#REF!+('Form Sa1'!#REF!*IU113))/10^6</f>
        <v>#REF!</v>
      </c>
      <c r="IV50" s="296" t="e">
        <f>('Form Sa1'!#REF!+('Form Sa1'!#REF!*IV113))/10^6</f>
        <v>#REF!</v>
      </c>
    </row>
    <row r="51" ht="16.5" customHeight="1" spans="1:8" s="1296" customFormat="1" x14ac:dyDescent="0.25">
      <c r="A51" s="1304" t="s">
        <v>3287</v>
      </c>
      <c r="B51" s="1236" t="s">
        <v>3136</v>
      </c>
      <c r="C51" s="1236"/>
      <c r="D51" s="753"/>
      <c r="E51" s="1305"/>
      <c r="F51" s="1305"/>
      <c r="G51" s="1298"/>
      <c r="H51" s="1298"/>
    </row>
    <row r="52" ht="15.75" customHeight="1" spans="1:6" x14ac:dyDescent="0.25">
      <c r="A52" s="1291" t="s">
        <v>58</v>
      </c>
      <c r="B52" s="753" t="s">
        <v>3137</v>
      </c>
      <c r="C52" s="753" t="s">
        <v>61</v>
      </c>
      <c r="D52" s="753" t="s">
        <v>1826</v>
      </c>
      <c r="E52" s="1303">
        <f>('Form Sa1'!H149+('Form Sa1'!H150*E113/10^6))*E16</f>
        <v>0</v>
      </c>
      <c r="F52" s="1303" t="e">
        <f>('Form Sa1'!I149+('Form Sa1'!I150*F113/10^6))*F16</f>
        <v>#DIV/0!</v>
      </c>
    </row>
    <row r="53" ht="17.25" customHeight="1" spans="1:256" x14ac:dyDescent="0.25">
      <c r="A53" s="1291" t="s">
        <v>64</v>
      </c>
      <c r="B53" s="753" t="s">
        <v>3139</v>
      </c>
      <c r="C53" s="753" t="s">
        <v>61</v>
      </c>
      <c r="D53" s="753" t="s">
        <v>1826</v>
      </c>
      <c r="E53" s="1303">
        <f>('Form Sa1'!H155+('Form Sa1'!H156*E113/10^6))*E17</f>
        <v>0</v>
      </c>
      <c r="F53" s="1303" t="e">
        <f>('Form Sa1'!I155+('Form Sa1'!I156*F113/10^6))*F17</f>
        <v>#DIV/0!</v>
      </c>
      <c r="G53" s="296">
        <f>('Form Sa1'!K155+('Form Sa1'!K156*G113))*G17/10^6</f>
        <v>0</v>
      </c>
      <c r="H53" s="296" t="e">
        <f>('Form Sa1'!#REF!+('Form Sa1'!#REF!*H113))*H17/10^6</f>
        <v>#REF!</v>
      </c>
      <c r="I53" s="296" t="e">
        <f>('Form Sa1'!#REF!+('Form Sa1'!#REF!*I113))*I17/10^6</f>
        <v>#REF!</v>
      </c>
      <c r="J53" s="296" t="e">
        <f>('Form Sa1'!#REF!+('Form Sa1'!#REF!*J113))*J17/10^6</f>
        <v>#REF!</v>
      </c>
      <c r="K53" s="296" t="e">
        <f>('Form Sa1'!#REF!+('Form Sa1'!#REF!*K113))*K17/10^6</f>
        <v>#REF!</v>
      </c>
      <c r="L53" s="296" t="e">
        <f>('Form Sa1'!#REF!+('Form Sa1'!#REF!*L113))*L17/10^6</f>
        <v>#REF!</v>
      </c>
      <c r="M53" s="296" t="e">
        <f>('Form Sa1'!#REF!+('Form Sa1'!#REF!*M113))*M17/10^6</f>
        <v>#REF!</v>
      </c>
      <c r="N53" s="296" t="e">
        <f>('Form Sa1'!#REF!+('Form Sa1'!#REF!*N113))*N17/10^6</f>
        <v>#REF!</v>
      </c>
      <c r="O53" s="296" t="e">
        <f>('Form Sa1'!#REF!+('Form Sa1'!#REF!*O113))*O17/10^6</f>
        <v>#REF!</v>
      </c>
      <c r="P53" s="296" t="e">
        <f>('Form Sa1'!#REF!+('Form Sa1'!#REF!*P113))*P17/10^6</f>
        <v>#REF!</v>
      </c>
      <c r="Q53" s="296" t="e">
        <f>('Form Sa1'!#REF!+('Form Sa1'!#REF!*Q113))*Q17/10^6</f>
        <v>#REF!</v>
      </c>
      <c r="R53" s="296" t="e">
        <f>('Form Sa1'!#REF!+('Form Sa1'!#REF!*R113))*R17/10^6</f>
        <v>#REF!</v>
      </c>
      <c r="S53" s="296" t="e">
        <f>('Form Sa1'!#REF!+('Form Sa1'!#REF!*S113))*S17/10^6</f>
        <v>#REF!</v>
      </c>
      <c r="T53" s="296" t="e">
        <f>('Form Sa1'!#REF!+('Form Sa1'!#REF!*T113))*T17/10^6</f>
        <v>#REF!</v>
      </c>
      <c r="U53" s="296" t="e">
        <f>('Form Sa1'!#REF!+('Form Sa1'!#REF!*U113))*U17/10^6</f>
        <v>#REF!</v>
      </c>
      <c r="V53" s="296" t="e">
        <f>('Form Sa1'!#REF!+('Form Sa1'!#REF!*V113))*V17/10^6</f>
        <v>#REF!</v>
      </c>
      <c r="W53" s="296" t="e">
        <f>('Form Sa1'!#REF!+('Form Sa1'!#REF!*W113))*W17/10^6</f>
        <v>#REF!</v>
      </c>
      <c r="X53" s="296" t="e">
        <f>('Form Sa1'!#REF!+('Form Sa1'!#REF!*X113))*X17/10^6</f>
        <v>#REF!</v>
      </c>
      <c r="Y53" s="296">
        <f>('Form Sa1'!L154+('Form Sa1'!L155*Y113))*Y17/10^6</f>
        <v>0</v>
      </c>
      <c r="Z53" s="296">
        <f>('Form Sa1'!M154+('Form Sa1'!M155*Z113))*Z17/10^6</f>
        <v>0</v>
      </c>
      <c r="AA53" s="296">
        <f>('Form Sa1'!N154+('Form Sa1'!N155*AA113))*AA17/10^6</f>
        <v>0</v>
      </c>
      <c r="AB53" s="296">
        <f>('Form Sa1'!O154+('Form Sa1'!O155*AB113))*AB17/10^6</f>
        <v>0</v>
      </c>
      <c r="AC53" s="296">
        <f>('Form Sa1'!P154+('Form Sa1'!P155*AC113))*AC17/10^6</f>
        <v>0</v>
      </c>
      <c r="AD53" s="296">
        <f>('Form Sa1'!Q154+('Form Sa1'!Q155*AD113))*AD17/10^6</f>
        <v>0</v>
      </c>
      <c r="AE53" s="296">
        <f>('Form Sa1'!R154+('Form Sa1'!R155*AE113))*AE17/10^6</f>
        <v>0</v>
      </c>
      <c r="AF53" s="296">
        <f>('Form Sa1'!S154+('Form Sa1'!S155*AF113))*AF17/10^6</f>
        <v>0</v>
      </c>
      <c r="AG53" s="296">
        <f>('Form Sa1'!T154+('Form Sa1'!T155*AG113))*AG17/10^6</f>
        <v>0</v>
      </c>
      <c r="AH53" s="296">
        <f>('Form Sa1'!U154+('Form Sa1'!U155*AH113))*AH17/10^6</f>
        <v>0</v>
      </c>
      <c r="AI53" s="296">
        <f>('Form Sa1'!V154+('Form Sa1'!V155*AI113))*AI17/10^6</f>
        <v>0</v>
      </c>
      <c r="AJ53" s="296">
        <f>('Form Sa1'!W154+('Form Sa1'!W155*AJ113))*AJ17/10^6</f>
        <v>0</v>
      </c>
      <c r="AK53" s="296">
        <f>('Form Sa1'!X154+('Form Sa1'!X155*AK113))*AK17/10^6</f>
        <v>0</v>
      </c>
      <c r="AL53" s="296">
        <f>('Form Sa1'!Y154+('Form Sa1'!Y155*AL113))*AL17/10^6</f>
        <v>0</v>
      </c>
      <c r="AM53" s="296">
        <f>('Form Sa1'!Z154+('Form Sa1'!Z155*AM113))*AM17/10^6</f>
        <v>0</v>
      </c>
      <c r="AN53" s="296">
        <f>('Form Sa1'!AA154+('Form Sa1'!AA155*AN113))*AN17/10^6</f>
        <v>0</v>
      </c>
      <c r="AO53" s="296">
        <f>('Form Sa1'!AB154+('Form Sa1'!AB155*AO113))*AO17/10^6</f>
        <v>0</v>
      </c>
      <c r="AP53" s="296">
        <f>('Form Sa1'!AC154+('Form Sa1'!AC155*AP113))*AP17/10^6</f>
        <v>0</v>
      </c>
      <c r="AQ53" s="296">
        <f>('Form Sa1'!AD154+('Form Sa1'!AD155*AQ113))*AQ17/10^6</f>
        <v>0</v>
      </c>
      <c r="AR53" s="296">
        <f>('Form Sa1'!AE154+('Form Sa1'!AE155*AR113))*AR17/10^6</f>
        <v>0</v>
      </c>
      <c r="AS53" s="296">
        <f>('Form Sa1'!AF154+('Form Sa1'!AF155*AS113))*AS17/10^6</f>
        <v>0</v>
      </c>
      <c r="AT53" s="296">
        <f>('Form Sa1'!AG154+('Form Sa1'!AG155*AT113))*AT17/10^6</f>
        <v>0</v>
      </c>
      <c r="AU53" s="296">
        <f>('Form Sa1'!AH154+('Form Sa1'!AH155*AU113))*AU17/10^6</f>
        <v>0</v>
      </c>
      <c r="AV53" s="296">
        <f>('Form Sa1'!AI154+('Form Sa1'!AI155*AV113))*AV17/10^6</f>
        <v>0</v>
      </c>
      <c r="AW53" s="296">
        <f>('Form Sa1'!AJ154+('Form Sa1'!AJ155*AW113))*AW17/10^6</f>
        <v>0</v>
      </c>
      <c r="AX53" s="296">
        <f>('Form Sa1'!AK154+('Form Sa1'!AK155*AX113))*AX17/10^6</f>
        <v>0</v>
      </c>
      <c r="AY53" s="296">
        <f>('Form Sa1'!AL154+('Form Sa1'!AL155*AY113))*AY17/10^6</f>
        <v>0</v>
      </c>
      <c r="AZ53" s="296">
        <f>('Form Sa1'!AM154+('Form Sa1'!AM155*AZ113))*AZ17/10^6</f>
        <v>0</v>
      </c>
      <c r="BA53" s="296">
        <f>('Form Sa1'!AN154+('Form Sa1'!AN155*BA113))*BA17/10^6</f>
        <v>0</v>
      </c>
      <c r="BB53" s="296">
        <f>('Form Sa1'!AO154+('Form Sa1'!AO155*BB113))*BB17/10^6</f>
        <v>0</v>
      </c>
      <c r="BC53" s="296">
        <f>('Form Sa1'!AP154+('Form Sa1'!AP155*BC113))*BC17/10^6</f>
        <v>0</v>
      </c>
      <c r="BD53" s="296">
        <f>('Form Sa1'!AQ154+('Form Sa1'!AQ155*BD113))*BD17/10^6</f>
        <v>0</v>
      </c>
      <c r="BE53" s="296">
        <f>('Form Sa1'!AR154+('Form Sa1'!AR155*BE113))*BE17/10^6</f>
        <v>0</v>
      </c>
      <c r="BF53" s="296">
        <f>('Form Sa1'!AS154+('Form Sa1'!AS155*BF113))*BF17/10^6</f>
        <v>0</v>
      </c>
      <c r="BG53" s="296">
        <f>('Form Sa1'!AT154+('Form Sa1'!AT155*BG113))*BG17/10^6</f>
        <v>0</v>
      </c>
      <c r="BH53" s="296">
        <f>('Form Sa1'!AU154+('Form Sa1'!AU155*BH113))*BH17/10^6</f>
        <v>0</v>
      </c>
      <c r="BI53" s="296">
        <f>('Form Sa1'!AV154+('Form Sa1'!AV155*BI113))*BI17/10^6</f>
        <v>0</v>
      </c>
      <c r="BJ53" s="296">
        <f>('Form Sa1'!AW154+('Form Sa1'!AW155*BJ113))*BJ17/10^6</f>
        <v>0</v>
      </c>
      <c r="BK53" s="296">
        <f>('Form Sa1'!AX154+('Form Sa1'!AX155*BK113))*BK17/10^6</f>
        <v>0</v>
      </c>
      <c r="BL53" s="296">
        <f>('Form Sa1'!AY154+('Form Sa1'!AY155*BL113))*BL17/10^6</f>
        <v>0</v>
      </c>
      <c r="BM53" s="296">
        <f>('Form Sa1'!AZ154+('Form Sa1'!AZ155*BM113))*BM17/10^6</f>
        <v>0</v>
      </c>
      <c r="BN53" s="296">
        <f>('Form Sa1'!BA154+('Form Sa1'!BA155*BN113))*BN17/10^6</f>
        <v>0</v>
      </c>
      <c r="BO53" s="296">
        <f>('Form Sa1'!BB154+('Form Sa1'!BB155*BO113))*BO17/10^6</f>
        <v>0</v>
      </c>
      <c r="BP53" s="296">
        <f>('Form Sa1'!BC154+('Form Sa1'!BC155*BP113))*BP17/10^6</f>
        <v>0</v>
      </c>
      <c r="BQ53" s="296">
        <f>('Form Sa1'!BD154+('Form Sa1'!BD155*BQ113))*BQ17/10^6</f>
        <v>0</v>
      </c>
      <c r="BR53" s="296">
        <f>('Form Sa1'!BE154+('Form Sa1'!BE155*BR113))*BR17/10^6</f>
        <v>0</v>
      </c>
      <c r="BS53" s="296">
        <f>('Form Sa1'!BF154+('Form Sa1'!BF155*BS113))*BS17/10^6</f>
        <v>0</v>
      </c>
      <c r="BT53" s="296">
        <f>('Form Sa1'!BG154+('Form Sa1'!BG155*BT113))*BT17/10^6</f>
        <v>0</v>
      </c>
      <c r="BU53" s="296">
        <f>('Form Sa1'!BH154+('Form Sa1'!BH155*BU113))*BU17/10^6</f>
        <v>0</v>
      </c>
      <c r="BV53" s="296">
        <f>('Form Sa1'!BI154+('Form Sa1'!BI155*BV113))*BV17/10^6</f>
        <v>0</v>
      </c>
      <c r="BW53" s="296">
        <f>('Form Sa1'!BJ154+('Form Sa1'!BJ155*BW113))*BW17/10^6</f>
        <v>0</v>
      </c>
      <c r="BX53" s="296">
        <f>('Form Sa1'!BK154+('Form Sa1'!BK155*BX113))*BX17/10^6</f>
        <v>0</v>
      </c>
      <c r="BY53" s="296">
        <f>('Form Sa1'!BL154+('Form Sa1'!BL155*BY113))*BY17/10^6</f>
        <v>0</v>
      </c>
      <c r="BZ53" s="296">
        <f>('Form Sa1'!BM154+('Form Sa1'!BM155*BZ113))*BZ17/10^6</f>
        <v>0</v>
      </c>
      <c r="CA53" s="296">
        <f>('Form Sa1'!BN154+('Form Sa1'!BN155*CA113))*CA17/10^6</f>
        <v>0</v>
      </c>
      <c r="CB53" s="296">
        <f>('Form Sa1'!BO154+('Form Sa1'!BO155*CB113))*CB17/10^6</f>
        <v>0</v>
      </c>
      <c r="CC53" s="296">
        <f>('Form Sa1'!BP154+('Form Sa1'!BP155*CC113))*CC17/10^6</f>
        <v>0</v>
      </c>
      <c r="CD53" s="296">
        <f>('Form Sa1'!BQ154+('Form Sa1'!BQ155*CD113))*CD17/10^6</f>
        <v>0</v>
      </c>
      <c r="CE53" s="296">
        <f>('Form Sa1'!BR154+('Form Sa1'!BR155*CE113))*CE17/10^6</f>
        <v>0</v>
      </c>
      <c r="CF53" s="296">
        <f>('Form Sa1'!BS154+('Form Sa1'!BS155*CF113))*CF17/10^6</f>
        <v>0</v>
      </c>
      <c r="CG53" s="296">
        <f>('Form Sa1'!BT154+('Form Sa1'!BT155*CG113))*CG17/10^6</f>
        <v>0</v>
      </c>
      <c r="CH53" s="296">
        <f>('Form Sa1'!BU154+('Form Sa1'!BU155*CH113))*CH17/10^6</f>
        <v>0</v>
      </c>
      <c r="CI53" s="296">
        <f>('Form Sa1'!BV154+('Form Sa1'!BV155*CI113))*CI17/10^6</f>
        <v>0</v>
      </c>
      <c r="CJ53" s="296">
        <f>('Form Sa1'!BW154+('Form Sa1'!BW155*CJ113))*CJ17/10^6</f>
        <v>0</v>
      </c>
      <c r="CK53" s="296">
        <f>('Form Sa1'!BX154+('Form Sa1'!BX155*CK113))*CK17/10^6</f>
        <v>0</v>
      </c>
      <c r="CL53" s="296">
        <f>('Form Sa1'!BY154+('Form Sa1'!BY155*CL113))*CL17/10^6</f>
        <v>0</v>
      </c>
      <c r="CM53" s="296">
        <f>('Form Sa1'!BZ154+('Form Sa1'!BZ155*CM113))*CM17/10^6</f>
        <v>0</v>
      </c>
      <c r="CN53" s="296">
        <f>('Form Sa1'!CA154+('Form Sa1'!CA155*CN113))*CN17/10^6</f>
        <v>0</v>
      </c>
      <c r="CO53" s="296">
        <f>('Form Sa1'!CB154+('Form Sa1'!CB155*CO113))*CO17/10^6</f>
        <v>0</v>
      </c>
      <c r="CP53" s="296">
        <f>('Form Sa1'!CC154+('Form Sa1'!CC155*CP113))*CP17/10^6</f>
        <v>0</v>
      </c>
      <c r="CQ53" s="296">
        <f>('Form Sa1'!CD154+('Form Sa1'!CD155*CQ113))*CQ17/10^6</f>
        <v>0</v>
      </c>
      <c r="CR53" s="296">
        <f>('Form Sa1'!CE154+('Form Sa1'!CE155*CR113))*CR17/10^6</f>
        <v>0</v>
      </c>
      <c r="CS53" s="296">
        <f>('Form Sa1'!CF154+('Form Sa1'!CF155*CS113))*CS17/10^6</f>
        <v>0</v>
      </c>
      <c r="CT53" s="296">
        <f>('Form Sa1'!CG154+('Form Sa1'!CG155*CT113))*CT17/10^6</f>
        <v>0</v>
      </c>
      <c r="CU53" s="296">
        <f>('Form Sa1'!CH154+('Form Sa1'!CH155*CU113))*CU17/10^6</f>
        <v>0</v>
      </c>
      <c r="CV53" s="296">
        <f>('Form Sa1'!CI154+('Form Sa1'!CI155*CV113))*CV17/10^6</f>
        <v>0</v>
      </c>
      <c r="CW53" s="296">
        <f>('Form Sa1'!CJ154+('Form Sa1'!CJ155*CW113))*CW17/10^6</f>
        <v>0</v>
      </c>
      <c r="CX53" s="296">
        <f>('Form Sa1'!CK154+('Form Sa1'!CK155*CX113))*CX17/10^6</f>
        <v>0</v>
      </c>
      <c r="CY53" s="296">
        <f>('Form Sa1'!CL154+('Form Sa1'!CL155*CY113))*CY17/10^6</f>
        <v>0</v>
      </c>
      <c r="CZ53" s="296">
        <f>('Form Sa1'!CM154+('Form Sa1'!CM155*CZ113))*CZ17/10^6</f>
        <v>0</v>
      </c>
      <c r="DA53" s="296">
        <f>('Form Sa1'!CN154+('Form Sa1'!CN155*DA113))*DA17/10^6</f>
        <v>0</v>
      </c>
      <c r="DB53" s="296">
        <f>('Form Sa1'!CO154+('Form Sa1'!CO155*DB113))*DB17/10^6</f>
        <v>0</v>
      </c>
      <c r="DC53" s="296">
        <f>('Form Sa1'!CP154+('Form Sa1'!CP155*DC113))*DC17/10^6</f>
        <v>0</v>
      </c>
      <c r="DD53" s="296">
        <f>('Form Sa1'!CQ154+('Form Sa1'!CQ155*DD113))*DD17/10^6</f>
        <v>0</v>
      </c>
      <c r="DE53" s="296">
        <f>('Form Sa1'!CR154+('Form Sa1'!CR155*DE113))*DE17/10^6</f>
        <v>0</v>
      </c>
      <c r="DF53" s="296">
        <f>('Form Sa1'!CS154+('Form Sa1'!CS155*DF113))*DF17/10^6</f>
        <v>0</v>
      </c>
      <c r="DG53" s="296">
        <f>('Form Sa1'!CT154+('Form Sa1'!CT155*DG113))*DG17/10^6</f>
        <v>0</v>
      </c>
      <c r="DH53" s="296">
        <f>('Form Sa1'!CU154+('Form Sa1'!CU155*DH113))*DH17/10^6</f>
        <v>0</v>
      </c>
      <c r="DI53" s="296">
        <f>('Form Sa1'!CV154+('Form Sa1'!CV155*DI113))*DI17/10^6</f>
        <v>0</v>
      </c>
      <c r="DJ53" s="296">
        <f>('Form Sa1'!CW154+('Form Sa1'!CW155*DJ113))*DJ17/10^6</f>
        <v>0</v>
      </c>
      <c r="DK53" s="296">
        <f>('Form Sa1'!CX154+('Form Sa1'!CX155*DK113))*DK17/10^6</f>
        <v>0</v>
      </c>
      <c r="DL53" s="296">
        <f>('Form Sa1'!CY154+('Form Sa1'!CY155*DL113))*DL17/10^6</f>
        <v>0</v>
      </c>
      <c r="DM53" s="296">
        <f>('Form Sa1'!CZ154+('Form Sa1'!CZ155*DM113))*DM17/10^6</f>
        <v>0</v>
      </c>
      <c r="DN53" s="296">
        <f>('Form Sa1'!DA154+('Form Sa1'!DA155*DN113))*DN17/10^6</f>
        <v>0</v>
      </c>
      <c r="DO53" s="296">
        <f>('Form Sa1'!DB154+('Form Sa1'!DB155*DO113))*DO17/10^6</f>
        <v>0</v>
      </c>
      <c r="DP53" s="296">
        <f>('Form Sa1'!DC154+('Form Sa1'!DC155*DP113))*DP17/10^6</f>
        <v>0</v>
      </c>
      <c r="DQ53" s="296">
        <f>('Form Sa1'!DD154+('Form Sa1'!DD155*DQ113))*DQ17/10^6</f>
        <v>0</v>
      </c>
      <c r="DR53" s="296">
        <f>('Form Sa1'!DE154+('Form Sa1'!DE155*DR113))*DR17/10^6</f>
        <v>0</v>
      </c>
      <c r="DS53" s="296">
        <f>('Form Sa1'!DF154+('Form Sa1'!DF155*DS113))*DS17/10^6</f>
        <v>0</v>
      </c>
      <c r="DT53" s="296">
        <f>('Form Sa1'!DG154+('Form Sa1'!DG155*DT113))*DT17/10^6</f>
        <v>0</v>
      </c>
      <c r="DU53" s="296">
        <f>('Form Sa1'!DH154+('Form Sa1'!DH155*DU113))*DU17/10^6</f>
        <v>0</v>
      </c>
      <c r="DV53" s="296">
        <f>('Form Sa1'!DI154+('Form Sa1'!DI155*DV113))*DV17/10^6</f>
        <v>0</v>
      </c>
      <c r="DW53" s="296">
        <f>('Form Sa1'!DJ154+('Form Sa1'!DJ155*DW113))*DW17/10^6</f>
        <v>0</v>
      </c>
      <c r="DX53" s="296">
        <f>('Form Sa1'!DK154+('Form Sa1'!DK155*DX113))*DX17/10^6</f>
        <v>0</v>
      </c>
      <c r="DY53" s="296">
        <f>('Form Sa1'!DL154+('Form Sa1'!DL155*DY113))*DY17/10^6</f>
        <v>0</v>
      </c>
      <c r="DZ53" s="296">
        <f>('Form Sa1'!DM154+('Form Sa1'!DM155*DZ113))*DZ17/10^6</f>
        <v>0</v>
      </c>
      <c r="EA53" s="296">
        <f>('Form Sa1'!DN154+('Form Sa1'!DN155*EA113))*EA17/10^6</f>
        <v>0</v>
      </c>
      <c r="EB53" s="296">
        <f>('Form Sa1'!DO154+('Form Sa1'!DO155*EB113))*EB17/10^6</f>
        <v>0</v>
      </c>
      <c r="EC53" s="296">
        <f>('Form Sa1'!DP154+('Form Sa1'!DP155*EC113))*EC17/10^6</f>
        <v>0</v>
      </c>
      <c r="ED53" s="296">
        <f>('Form Sa1'!DQ154+('Form Sa1'!DQ155*ED113))*ED17/10^6</f>
        <v>0</v>
      </c>
      <c r="EE53" s="296">
        <f>('Form Sa1'!DR154+('Form Sa1'!DR155*EE113))*EE17/10^6</f>
        <v>0</v>
      </c>
      <c r="EF53" s="296">
        <f>('Form Sa1'!DS154+('Form Sa1'!DS155*EF113))*EF17/10^6</f>
        <v>0</v>
      </c>
      <c r="EG53" s="296">
        <f>('Form Sa1'!DT154+('Form Sa1'!DT155*EG113))*EG17/10^6</f>
        <v>0</v>
      </c>
      <c r="EH53" s="296">
        <f>('Form Sa1'!DU154+('Form Sa1'!DU155*EH113))*EH17/10^6</f>
        <v>0</v>
      </c>
      <c r="EI53" s="296">
        <f>('Form Sa1'!DV154+('Form Sa1'!DV155*EI113))*EI17/10^6</f>
        <v>0</v>
      </c>
      <c r="EJ53" s="296">
        <f>('Form Sa1'!DW154+('Form Sa1'!DW155*EJ113))*EJ17/10^6</f>
        <v>0</v>
      </c>
      <c r="EK53" s="296">
        <f>('Form Sa1'!DX154+('Form Sa1'!DX155*EK113))*EK17/10^6</f>
        <v>0</v>
      </c>
      <c r="EL53" s="296">
        <f>('Form Sa1'!DY154+('Form Sa1'!DY155*EL113))*EL17/10^6</f>
        <v>0</v>
      </c>
      <c r="EM53" s="296">
        <f>('Form Sa1'!DZ154+('Form Sa1'!DZ155*EM113))*EM17/10^6</f>
        <v>0</v>
      </c>
      <c r="EN53" s="296">
        <f>('Form Sa1'!EA154+('Form Sa1'!EA155*EN113))*EN17/10^6</f>
        <v>0</v>
      </c>
      <c r="EO53" s="296">
        <f>('Form Sa1'!EB154+('Form Sa1'!EB155*EO113))*EO17/10^6</f>
        <v>0</v>
      </c>
      <c r="EP53" s="296">
        <f>('Form Sa1'!EC154+('Form Sa1'!EC155*EP113))*EP17/10^6</f>
        <v>0</v>
      </c>
      <c r="EQ53" s="296">
        <f>('Form Sa1'!ED154+('Form Sa1'!ED155*EQ113))*EQ17/10^6</f>
        <v>0</v>
      </c>
      <c r="ER53" s="296">
        <f>('Form Sa1'!EE154+('Form Sa1'!EE155*ER113))*ER17/10^6</f>
        <v>0</v>
      </c>
      <c r="ES53" s="296">
        <f>('Form Sa1'!EF154+('Form Sa1'!EF155*ES113))*ES17/10^6</f>
        <v>0</v>
      </c>
      <c r="ET53" s="296">
        <f>('Form Sa1'!EG154+('Form Sa1'!EG155*ET113))*ET17/10^6</f>
        <v>0</v>
      </c>
      <c r="EU53" s="296">
        <f>('Form Sa1'!EH154+('Form Sa1'!EH155*EU113))*EU17/10^6</f>
        <v>0</v>
      </c>
      <c r="EV53" s="296">
        <f>('Form Sa1'!EI154+('Form Sa1'!EI155*EV113))*EV17/10^6</f>
        <v>0</v>
      </c>
      <c r="EW53" s="296">
        <f>('Form Sa1'!EJ154+('Form Sa1'!EJ155*EW113))*EW17/10^6</f>
        <v>0</v>
      </c>
      <c r="EX53" s="296">
        <f>('Form Sa1'!EK154+('Form Sa1'!EK155*EX113))*EX17/10^6</f>
        <v>0</v>
      </c>
      <c r="EY53" s="296">
        <f>('Form Sa1'!EL154+('Form Sa1'!EL155*EY113))*EY17/10^6</f>
        <v>0</v>
      </c>
      <c r="EZ53" s="296">
        <f>('Form Sa1'!EM154+('Form Sa1'!EM155*EZ113))*EZ17/10^6</f>
        <v>0</v>
      </c>
      <c r="FA53" s="296">
        <f>('Form Sa1'!EN154+('Form Sa1'!EN155*FA113))*FA17/10^6</f>
        <v>0</v>
      </c>
      <c r="FB53" s="296">
        <f>('Form Sa1'!EO154+('Form Sa1'!EO155*FB113))*FB17/10^6</f>
        <v>0</v>
      </c>
      <c r="FC53" s="296">
        <f>('Form Sa1'!EP154+('Form Sa1'!EP155*FC113))*FC17/10^6</f>
        <v>0</v>
      </c>
      <c r="FD53" s="296">
        <f>('Form Sa1'!EQ154+('Form Sa1'!EQ155*FD113))*FD17/10^6</f>
        <v>0</v>
      </c>
      <c r="FE53" s="296">
        <f>('Form Sa1'!ER154+('Form Sa1'!ER155*FE113))*FE17/10^6</f>
        <v>0</v>
      </c>
      <c r="FF53" s="296">
        <f>('Form Sa1'!ES154+('Form Sa1'!ES155*FF113))*FF17/10^6</f>
        <v>0</v>
      </c>
      <c r="FG53" s="296">
        <f>('Form Sa1'!ET154+('Form Sa1'!ET155*FG113))*FG17/10^6</f>
        <v>0</v>
      </c>
      <c r="FH53" s="296">
        <f>('Form Sa1'!EU154+('Form Sa1'!EU155*FH113))*FH17/10^6</f>
        <v>0</v>
      </c>
      <c r="FI53" s="296">
        <f>('Form Sa1'!EV154+('Form Sa1'!EV155*FI113))*FI17/10^6</f>
        <v>0</v>
      </c>
      <c r="FJ53" s="296">
        <f>('Form Sa1'!EW154+('Form Sa1'!EW155*FJ113))*FJ17/10^6</f>
        <v>0</v>
      </c>
      <c r="FK53" s="296">
        <f>('Form Sa1'!EX154+('Form Sa1'!EX155*FK113))*FK17/10^6</f>
        <v>0</v>
      </c>
      <c r="FL53" s="296">
        <f>('Form Sa1'!EY154+('Form Sa1'!EY155*FL113))*FL17/10^6</f>
        <v>0</v>
      </c>
      <c r="FM53" s="296">
        <f>('Form Sa1'!EZ154+('Form Sa1'!EZ155*FM113))*FM17/10^6</f>
        <v>0</v>
      </c>
      <c r="FN53" s="296">
        <f>('Form Sa1'!FA154+('Form Sa1'!FA155*FN113))*FN17/10^6</f>
        <v>0</v>
      </c>
      <c r="FO53" s="296">
        <f>('Form Sa1'!FB154+('Form Sa1'!FB155*FO113))*FO17/10^6</f>
        <v>0</v>
      </c>
      <c r="FP53" s="296">
        <f>('Form Sa1'!FC154+('Form Sa1'!FC155*FP113))*FP17/10^6</f>
        <v>0</v>
      </c>
      <c r="FQ53" s="296">
        <f>('Form Sa1'!FD154+('Form Sa1'!FD155*FQ113))*FQ17/10^6</f>
        <v>0</v>
      </c>
      <c r="FR53" s="296">
        <f>('Form Sa1'!FE154+('Form Sa1'!FE155*FR113))*FR17/10^6</f>
        <v>0</v>
      </c>
      <c r="FS53" s="296">
        <f>('Form Sa1'!FF154+('Form Sa1'!FF155*FS113))*FS17/10^6</f>
        <v>0</v>
      </c>
      <c r="FT53" s="296">
        <f>('Form Sa1'!FG154+('Form Sa1'!FG155*FT113))*FT17/10^6</f>
        <v>0</v>
      </c>
      <c r="FU53" s="296">
        <f>('Form Sa1'!FH154+('Form Sa1'!FH155*FU113))*FU17/10^6</f>
        <v>0</v>
      </c>
      <c r="FV53" s="296">
        <f>('Form Sa1'!FI154+('Form Sa1'!FI155*FV113))*FV17/10^6</f>
        <v>0</v>
      </c>
      <c r="FW53" s="296">
        <f>('Form Sa1'!FJ154+('Form Sa1'!FJ155*FW113))*FW17/10^6</f>
        <v>0</v>
      </c>
      <c r="FX53" s="296">
        <f>('Form Sa1'!FK154+('Form Sa1'!FK155*FX113))*FX17/10^6</f>
        <v>0</v>
      </c>
      <c r="FY53" s="296">
        <f>('Form Sa1'!FL154+('Form Sa1'!FL155*FY113))*FY17/10^6</f>
        <v>0</v>
      </c>
      <c r="FZ53" s="296">
        <f>('Form Sa1'!FM154+('Form Sa1'!FM155*FZ113))*FZ17/10^6</f>
        <v>0</v>
      </c>
      <c r="GA53" s="296">
        <f>('Form Sa1'!FN154+('Form Sa1'!FN155*GA113))*GA17/10^6</f>
        <v>0</v>
      </c>
      <c r="GB53" s="296">
        <f>('Form Sa1'!FO154+('Form Sa1'!FO155*GB113))*GB17/10^6</f>
        <v>0</v>
      </c>
      <c r="GC53" s="296">
        <f>('Form Sa1'!FP154+('Form Sa1'!FP155*GC113))*GC17/10^6</f>
        <v>0</v>
      </c>
      <c r="GD53" s="296">
        <f>('Form Sa1'!FQ154+('Form Sa1'!FQ155*GD113))*GD17/10^6</f>
        <v>0</v>
      </c>
      <c r="GE53" s="296">
        <f>('Form Sa1'!FR154+('Form Sa1'!FR155*GE113))*GE17/10^6</f>
        <v>0</v>
      </c>
      <c r="GF53" s="296">
        <f>('Form Sa1'!FS154+('Form Sa1'!FS155*GF113))*GF17/10^6</f>
        <v>0</v>
      </c>
      <c r="GG53" s="296">
        <f>('Form Sa1'!FT154+('Form Sa1'!FT155*GG113))*GG17/10^6</f>
        <v>0</v>
      </c>
      <c r="GH53" s="296">
        <f>('Form Sa1'!FU154+('Form Sa1'!FU155*GH113))*GH17/10^6</f>
        <v>0</v>
      </c>
      <c r="GI53" s="296">
        <f>('Form Sa1'!FV154+('Form Sa1'!FV155*GI113))*GI17/10^6</f>
        <v>0</v>
      </c>
      <c r="GJ53" s="296">
        <f>('Form Sa1'!FW154+('Form Sa1'!FW155*GJ113))*GJ17/10^6</f>
        <v>0</v>
      </c>
      <c r="GK53" s="296">
        <f>('Form Sa1'!FX154+('Form Sa1'!FX155*GK113))*GK17/10^6</f>
        <v>0</v>
      </c>
      <c r="GL53" s="296">
        <f>('Form Sa1'!FY154+('Form Sa1'!FY155*GL113))*GL17/10^6</f>
        <v>0</v>
      </c>
      <c r="GM53" s="296">
        <f>('Form Sa1'!FZ154+('Form Sa1'!FZ155*GM113))*GM17/10^6</f>
        <v>0</v>
      </c>
      <c r="GN53" s="296">
        <f>('Form Sa1'!GA154+('Form Sa1'!GA155*GN113))*GN17/10^6</f>
        <v>0</v>
      </c>
      <c r="GO53" s="296">
        <f>('Form Sa1'!GB154+('Form Sa1'!GB155*GO113))*GO17/10^6</f>
        <v>0</v>
      </c>
      <c r="GP53" s="296">
        <f>('Form Sa1'!GC154+('Form Sa1'!GC155*GP113))*GP17/10^6</f>
        <v>0</v>
      </c>
      <c r="GQ53" s="296">
        <f>('Form Sa1'!GD154+('Form Sa1'!GD155*GQ113))*GQ17/10^6</f>
        <v>0</v>
      </c>
      <c r="GR53" s="296">
        <f>('Form Sa1'!GE154+('Form Sa1'!GE155*GR113))*GR17/10^6</f>
        <v>0</v>
      </c>
      <c r="GS53" s="296">
        <f>('Form Sa1'!GF154+('Form Sa1'!GF155*GS113))*GS17/10^6</f>
        <v>0</v>
      </c>
      <c r="GT53" s="296">
        <f>('Form Sa1'!GG154+('Form Sa1'!GG155*GT113))*GT17/10^6</f>
        <v>0</v>
      </c>
      <c r="GU53" s="296">
        <f>('Form Sa1'!GH154+('Form Sa1'!GH155*GU113))*GU17/10^6</f>
        <v>0</v>
      </c>
      <c r="GV53" s="296">
        <f>('Form Sa1'!GI154+('Form Sa1'!GI155*GV113))*GV17/10^6</f>
        <v>0</v>
      </c>
      <c r="GW53" s="296">
        <f>('Form Sa1'!GJ154+('Form Sa1'!GJ155*GW113))*GW17/10^6</f>
        <v>0</v>
      </c>
      <c r="GX53" s="296">
        <f>('Form Sa1'!GK154+('Form Sa1'!GK155*GX113))*GX17/10^6</f>
        <v>0</v>
      </c>
      <c r="GY53" s="296">
        <f>('Form Sa1'!GL154+('Form Sa1'!GL155*GY113))*GY17/10^6</f>
        <v>0</v>
      </c>
      <c r="GZ53" s="296">
        <f>('Form Sa1'!GM154+('Form Sa1'!GM155*GZ113))*GZ17/10^6</f>
        <v>0</v>
      </c>
      <c r="HA53" s="296">
        <f>('Form Sa1'!GN154+('Form Sa1'!GN155*HA113))*HA17/10^6</f>
        <v>0</v>
      </c>
      <c r="HB53" s="296">
        <f>('Form Sa1'!GO154+('Form Sa1'!GO155*HB113))*HB17/10^6</f>
        <v>0</v>
      </c>
      <c r="HC53" s="296">
        <f>('Form Sa1'!GP154+('Form Sa1'!GP155*HC113))*HC17/10^6</f>
        <v>0</v>
      </c>
      <c r="HD53" s="296">
        <f>('Form Sa1'!GQ154+('Form Sa1'!GQ155*HD113))*HD17/10^6</f>
        <v>0</v>
      </c>
      <c r="HE53" s="296">
        <f>('Form Sa1'!GR154+('Form Sa1'!GR155*HE113))*HE17/10^6</f>
        <v>0</v>
      </c>
      <c r="HF53" s="296">
        <f>('Form Sa1'!GS154+('Form Sa1'!GS155*HF113))*HF17/10^6</f>
        <v>0</v>
      </c>
      <c r="HG53" s="296">
        <f>('Form Sa1'!GT154+('Form Sa1'!GT155*HG113))*HG17/10^6</f>
        <v>0</v>
      </c>
      <c r="HH53" s="296">
        <f>('Form Sa1'!GU154+('Form Sa1'!GU155*HH113))*HH17/10^6</f>
        <v>0</v>
      </c>
      <c r="HI53" s="296">
        <f>('Form Sa1'!GV154+('Form Sa1'!GV155*HI113))*HI17/10^6</f>
        <v>0</v>
      </c>
      <c r="HJ53" s="296">
        <f>('Form Sa1'!GW154+('Form Sa1'!GW155*HJ113))*HJ17/10^6</f>
        <v>0</v>
      </c>
      <c r="HK53" s="296">
        <f>('Form Sa1'!GX154+('Form Sa1'!GX155*HK113))*HK17/10^6</f>
        <v>0</v>
      </c>
      <c r="HL53" s="296">
        <f>('Form Sa1'!GY154+('Form Sa1'!GY155*HL113))*HL17/10^6</f>
        <v>0</v>
      </c>
      <c r="HM53" s="296">
        <f>('Form Sa1'!GZ154+('Form Sa1'!GZ155*HM113))*HM17/10^6</f>
        <v>0</v>
      </c>
      <c r="HN53" s="296">
        <f>('Form Sa1'!HA154+('Form Sa1'!HA155*HN113))*HN17/10^6</f>
        <v>0</v>
      </c>
      <c r="HO53" s="296">
        <f>('Form Sa1'!HB154+('Form Sa1'!HB155*HO113))*HO17/10^6</f>
        <v>0</v>
      </c>
      <c r="HP53" s="296">
        <f>('Form Sa1'!HC154+('Form Sa1'!HC155*HP113))*HP17/10^6</f>
        <v>0</v>
      </c>
      <c r="HQ53" s="296">
        <f>('Form Sa1'!HD154+('Form Sa1'!HD155*HQ113))*HQ17/10^6</f>
        <v>0</v>
      </c>
      <c r="HR53" s="296">
        <f>('Form Sa1'!HE154+('Form Sa1'!HE155*HR113))*HR17/10^6</f>
        <v>0</v>
      </c>
      <c r="HS53" s="296">
        <f>('Form Sa1'!HF154+('Form Sa1'!HF155*HS113))*HS17/10^6</f>
        <v>0</v>
      </c>
      <c r="HT53" s="296">
        <f>('Form Sa1'!HG154+('Form Sa1'!HG155*HT113))*HT17/10^6</f>
        <v>0</v>
      </c>
      <c r="HU53" s="296">
        <f>('Form Sa1'!HH154+('Form Sa1'!HH155*HU113))*HU17/10^6</f>
        <v>0</v>
      </c>
      <c r="HV53" s="296">
        <f>('Form Sa1'!HI154+('Form Sa1'!HI155*HV113))*HV17/10^6</f>
        <v>0</v>
      </c>
      <c r="HW53" s="296">
        <f>('Form Sa1'!HJ154+('Form Sa1'!HJ155*HW113))*HW17/10^6</f>
        <v>0</v>
      </c>
      <c r="HX53" s="296">
        <f>('Form Sa1'!HK154+('Form Sa1'!HK155*HX113))*HX17/10^6</f>
        <v>0</v>
      </c>
      <c r="HY53" s="296">
        <f>('Form Sa1'!HL154+('Form Sa1'!HL155*HY113))*HY17/10^6</f>
        <v>0</v>
      </c>
      <c r="HZ53" s="296">
        <f>('Form Sa1'!HM154+('Form Sa1'!HM155*HZ113))*HZ17/10^6</f>
        <v>0</v>
      </c>
      <c r="IA53" s="296">
        <f>('Form Sa1'!HN154+('Form Sa1'!HN155*IA113))*IA17/10^6</f>
        <v>0</v>
      </c>
      <c r="IB53" s="296">
        <f>('Form Sa1'!HO154+('Form Sa1'!HO155*IB113))*IB17/10^6</f>
        <v>0</v>
      </c>
      <c r="IC53" s="296">
        <f>('Form Sa1'!HP154+('Form Sa1'!HP155*IC113))*IC17/10^6</f>
        <v>0</v>
      </c>
      <c r="ID53" s="296">
        <f>('Form Sa1'!HQ154+('Form Sa1'!HQ155*ID113))*ID17/10^6</f>
        <v>0</v>
      </c>
      <c r="IE53" s="296">
        <f>('Form Sa1'!HR154+('Form Sa1'!HR155*IE113))*IE17/10^6</f>
        <v>0</v>
      </c>
      <c r="IF53" s="296">
        <f>('Form Sa1'!HS154+('Form Sa1'!HS155*IF113))*IF17/10^6</f>
        <v>0</v>
      </c>
      <c r="IG53" s="296">
        <f>('Form Sa1'!HT154+('Form Sa1'!HT155*IG113))*IG17/10^6</f>
        <v>0</v>
      </c>
      <c r="IH53" s="296">
        <f>('Form Sa1'!HU154+('Form Sa1'!HU155*IH113))*IH17/10^6</f>
        <v>0</v>
      </c>
      <c r="II53" s="296">
        <f>('Form Sa1'!HV154+('Form Sa1'!HV155*II113))*II17/10^6</f>
        <v>0</v>
      </c>
      <c r="IJ53" s="296">
        <f>('Form Sa1'!HW154+('Form Sa1'!HW155*IJ113))*IJ17/10^6</f>
        <v>0</v>
      </c>
      <c r="IK53" s="296">
        <f>('Form Sa1'!HX154+('Form Sa1'!HX155*IK113))*IK17/10^6</f>
        <v>0</v>
      </c>
      <c r="IL53" s="296">
        <f>('Form Sa1'!HY154+('Form Sa1'!HY155*IL113))*IL17/10^6</f>
        <v>0</v>
      </c>
      <c r="IM53" s="296">
        <f>('Form Sa1'!HZ154+('Form Sa1'!HZ155*IM113))*IM17/10^6</f>
        <v>0</v>
      </c>
      <c r="IN53" s="296">
        <f>('Form Sa1'!IA154+('Form Sa1'!IA155*IN113))*IN17/10^6</f>
        <v>0</v>
      </c>
      <c r="IO53" s="296">
        <f>('Form Sa1'!IB154+('Form Sa1'!IB155*IO113))*IO17/10^6</f>
        <v>0</v>
      </c>
      <c r="IP53" s="296">
        <f>('Form Sa1'!IC154+('Form Sa1'!IC155*IP113))*IP17/10^6</f>
        <v>0</v>
      </c>
      <c r="IQ53" s="296">
        <f>('Form Sa1'!ID154+('Form Sa1'!ID155*IQ113))*IQ17/10^6</f>
        <v>0</v>
      </c>
      <c r="IR53" s="296">
        <f>('Form Sa1'!IE154+('Form Sa1'!IE155*IR113))*IR17/10^6</f>
        <v>0</v>
      </c>
      <c r="IS53" s="296" t="e">
        <f>('Form Sa1'!#REF!+('Form Sa1'!#REF!*IS113))*IS17/10^6</f>
        <v>#REF!</v>
      </c>
      <c r="IT53" s="296" t="e">
        <f>('Form Sa1'!#REF!+('Form Sa1'!#REF!*IT113))*IT17/10^6</f>
        <v>#REF!</v>
      </c>
      <c r="IU53" s="296" t="e">
        <f>('Form Sa1'!#REF!+('Form Sa1'!#REF!*IU113))*IU17/10^6</f>
        <v>#REF!</v>
      </c>
      <c r="IV53" s="296" t="e">
        <f>('Form Sa1'!#REF!+('Form Sa1'!#REF!*IV113))*IV17/10^6</f>
        <v>#REF!</v>
      </c>
    </row>
    <row r="54" ht="16.5" customHeight="1" spans="1:6" x14ac:dyDescent="0.25">
      <c r="A54" s="1291" t="s">
        <v>68</v>
      </c>
      <c r="B54" s="753" t="s">
        <v>3141</v>
      </c>
      <c r="C54" s="753" t="s">
        <v>61</v>
      </c>
      <c r="D54" s="753" t="s">
        <v>1826</v>
      </c>
      <c r="E54" s="1303">
        <f>('Form Sa1'!H161+('Form Sa1'!H162*E113/10^6))*E18</f>
        <v>0</v>
      </c>
      <c r="F54" s="1303" t="e">
        <f>('Form Sa1'!I161+('Form Sa1'!I162*F113/10^6))*F18</f>
        <v>#DIV/0!</v>
      </c>
    </row>
    <row r="55" ht="16.5" customHeight="1" spans="1:6" x14ac:dyDescent="0.25">
      <c r="A55" s="1291" t="s">
        <v>74</v>
      </c>
      <c r="B55" s="753" t="s">
        <v>3143</v>
      </c>
      <c r="C55" s="753" t="s">
        <v>61</v>
      </c>
      <c r="D55" s="753" t="s">
        <v>1826</v>
      </c>
      <c r="E55" s="1303">
        <f>('Form Sa1'!H168+('Form Sa1'!H169*E113/10^6))*E19</f>
        <v>0</v>
      </c>
      <c r="F55" s="1303" t="e">
        <f>('Form Sa1'!I168+('Form Sa1'!I169*F113/10^6))*F19</f>
        <v>#DIV/0!</v>
      </c>
    </row>
    <row r="56" ht="16.5" customHeight="1" spans="1:6" x14ac:dyDescent="0.25">
      <c r="A56" s="1291"/>
      <c r="B56" s="1306"/>
      <c r="C56" s="1307"/>
      <c r="D56" s="1307"/>
      <c r="E56" s="781"/>
      <c r="F56" s="1308"/>
    </row>
    <row r="57" ht="16.5" customHeight="1" spans="1:6" x14ac:dyDescent="0.25">
      <c r="A57" s="1304" t="s">
        <v>1642</v>
      </c>
      <c r="B57" s="1309" t="s">
        <v>3288</v>
      </c>
      <c r="C57" s="1307"/>
      <c r="D57" s="1307"/>
      <c r="E57" s="781"/>
      <c r="F57" s="1308"/>
    </row>
    <row r="58" ht="15.75" customHeight="1" spans="1:6" x14ac:dyDescent="0.25">
      <c r="A58" s="1310" t="s">
        <v>58</v>
      </c>
      <c r="B58" s="753" t="s">
        <v>3192</v>
      </c>
      <c r="C58" s="753" t="s">
        <v>61</v>
      </c>
      <c r="D58" s="753" t="s">
        <v>3120</v>
      </c>
      <c r="E58" s="296">
        <f>('Form Sa1'!H187+('Form Sa1'!H188*E113))/10^6</f>
        <v>44.85246298727394</v>
      </c>
      <c r="F58" s="296" t="e">
        <f>('Form Sa1'!I187+('Form Sa1'!I188*F113))/10^6</f>
        <v>#DIV/0!</v>
      </c>
    </row>
    <row r="59" ht="15.75" customHeight="1" spans="1:6" x14ac:dyDescent="0.25">
      <c r="A59" s="1310" t="s">
        <v>64</v>
      </c>
      <c r="B59" s="753" t="s">
        <v>3194</v>
      </c>
      <c r="C59" s="753" t="s">
        <v>61</v>
      </c>
      <c r="D59" s="753" t="s">
        <v>3120</v>
      </c>
      <c r="E59" s="296">
        <f>('Form Sa1'!H397+'Form Sa1'!H398*E113)/10^6</f>
        <v>1.3750583510766246</v>
      </c>
      <c r="F59" s="296" t="e">
        <f>('Form Sa1'!I397+'Form Sa1'!I398*F113)/10^6</f>
        <v>#DIV/0!</v>
      </c>
    </row>
    <row r="60" ht="15.75" customHeight="1" spans="1:6" x14ac:dyDescent="0.25">
      <c r="A60" s="1310" t="s">
        <v>68</v>
      </c>
      <c r="B60" s="753" t="s">
        <v>3196</v>
      </c>
      <c r="C60" s="753" t="s">
        <v>61</v>
      </c>
      <c r="D60" s="753" t="s">
        <v>3120</v>
      </c>
      <c r="E60" s="296">
        <f>('Form Sa1'!H403+('Form Sa1'!H404*E113))/1000000</f>
        <v>0.10192863148946821</v>
      </c>
      <c r="F60" s="296" t="e">
        <f>('Form Sa1'!I403+('Form Sa1'!I404*F113))/1000000</f>
        <v>#DIV/0!</v>
      </c>
    </row>
    <row r="61" ht="15.75" customHeight="1" spans="1:6" x14ac:dyDescent="0.25">
      <c r="A61" s="1310" t="s">
        <v>74</v>
      </c>
      <c r="B61" s="753" t="s">
        <v>3198</v>
      </c>
      <c r="C61" s="753" t="s">
        <v>61</v>
      </c>
      <c r="D61" s="753" t="s">
        <v>3120</v>
      </c>
      <c r="E61" s="296">
        <f>('Form Sa1'!H409+('Form Sa1'!H410*E113))/1000000</f>
        <v>0</v>
      </c>
      <c r="F61" s="296" t="e">
        <f>('Form Sa1'!I409+('Form Sa1'!I410*F113))/1000000</f>
        <v>#DIV/0!</v>
      </c>
    </row>
    <row r="62" ht="15.75" customHeight="1" spans="1:6" x14ac:dyDescent="0.25">
      <c r="A62" s="1310" t="s">
        <v>80</v>
      </c>
      <c r="B62" s="753" t="s">
        <v>3200</v>
      </c>
      <c r="C62" s="753" t="s">
        <v>61</v>
      </c>
      <c r="D62" s="753" t="s">
        <v>3120</v>
      </c>
      <c r="E62" s="296">
        <f>('Form Sa1'!H415+('Form Sa1'!H416*E113))/1000000</f>
        <v>0</v>
      </c>
      <c r="F62" s="296" t="e">
        <f>('Form Sa1'!I415+('Form Sa1'!I416*F113))/1000000</f>
        <v>#DIV/0!</v>
      </c>
    </row>
    <row r="63" ht="15.75" customHeight="1" spans="1:6" x14ac:dyDescent="0.25">
      <c r="A63" s="1310" t="s">
        <v>82</v>
      </c>
      <c r="B63" s="753" t="s">
        <v>3202</v>
      </c>
      <c r="C63" s="753" t="s">
        <v>61</v>
      </c>
      <c r="D63" s="753" t="s">
        <v>3120</v>
      </c>
      <c r="E63" s="1311">
        <f>('Form Sa1'!H421+('Form Sa1'!H422*E113))/1000000</f>
        <v>0.47047072137388796</v>
      </c>
      <c r="F63" s="1311" t="e">
        <f>('Form Sa1'!I421+('Form Sa1'!I422*F113))/1000000</f>
        <v>#DIV/0!</v>
      </c>
    </row>
    <row r="64" ht="18" customHeight="1" spans="1:6" x14ac:dyDescent="0.25">
      <c r="A64" s="1310" t="s">
        <v>121</v>
      </c>
      <c r="B64" s="753" t="s">
        <v>3289</v>
      </c>
      <c r="C64" s="753" t="s">
        <v>61</v>
      </c>
      <c r="D64" s="753" t="s">
        <v>3120</v>
      </c>
      <c r="E64" s="296">
        <f>('Form Sa1'!H427+('Form Sa1'!H428*E113))/1000000</f>
        <v>4.172637406164195</v>
      </c>
      <c r="F64" s="296" t="e">
        <f>('Form Sa1'!I427+('Form Sa1'!I428*F113))/1000000</f>
        <v>#DIV/0!</v>
      </c>
    </row>
    <row r="65" ht="17.25" customHeight="1" spans="1:6" x14ac:dyDescent="0.25">
      <c r="A65" s="1310" t="s">
        <v>144</v>
      </c>
      <c r="B65" s="753" t="s">
        <v>3206</v>
      </c>
      <c r="C65" s="753" t="s">
        <v>61</v>
      </c>
      <c r="D65" s="753" t="s">
        <v>3120</v>
      </c>
      <c r="E65" s="296">
        <f>('Form Sa1'!H434+('Form Sa1'!H435*E113))/1000000</f>
        <v>2.9233330716687385</v>
      </c>
      <c r="F65" s="296" t="e">
        <f>('Form Sa1'!I434+('Form Sa1'!I435*F113))/1000000</f>
        <v>#DIV/0!</v>
      </c>
    </row>
    <row r="66" ht="17.25" customHeight="1" spans="1:6" x14ac:dyDescent="0.25">
      <c r="A66" s="1310" t="s">
        <v>146</v>
      </c>
      <c r="B66" s="1306" t="s">
        <v>3290</v>
      </c>
      <c r="C66" s="1307" t="s">
        <v>61</v>
      </c>
      <c r="D66" s="753" t="s">
        <v>3120</v>
      </c>
      <c r="E66" s="781">
        <f>(('Form Sa1'!H386*E113)+'Form Sa1'!H387)/10^6</f>
        <v>1.2176904589748758</v>
      </c>
      <c r="F66" s="781" t="e">
        <f>(('Form Sa1'!I386*F113)+'Form Sa1'!I387)/10^6</f>
        <v>#DIV/0!</v>
      </c>
    </row>
    <row r="67" ht="16.5" customHeight="1" spans="1:6" x14ac:dyDescent="0.25">
      <c r="A67" s="1291"/>
      <c r="B67" s="1306"/>
      <c r="C67" s="1307"/>
      <c r="D67" s="1307"/>
      <c r="E67" s="781"/>
      <c r="F67" s="1308"/>
    </row>
    <row r="68" spans="1:6" x14ac:dyDescent="0.25">
      <c r="A68" s="1304" t="s">
        <v>743</v>
      </c>
      <c r="B68" s="1309" t="s">
        <v>3222</v>
      </c>
      <c r="C68" s="1312"/>
      <c r="D68" s="1312"/>
      <c r="E68" s="1312"/>
      <c r="F68" s="1313"/>
    </row>
    <row r="69" spans="1:6" x14ac:dyDescent="0.25">
      <c r="A69" s="1304" t="s">
        <v>3291</v>
      </c>
      <c r="B69" s="1309" t="s">
        <v>57</v>
      </c>
      <c r="C69" s="1307"/>
      <c r="D69" s="1307"/>
      <c r="E69" s="1314"/>
      <c r="F69" s="1315"/>
    </row>
    <row r="70" ht="14.25" customHeight="1" spans="1:6" x14ac:dyDescent="0.25">
      <c r="A70" s="1316" t="s">
        <v>58</v>
      </c>
      <c r="B70" s="755" t="s">
        <v>2677</v>
      </c>
      <c r="C70" s="1317" t="s">
        <v>61</v>
      </c>
      <c r="D70" s="1318" t="s">
        <v>1456</v>
      </c>
      <c r="E70" s="1319">
        <f>'NF - 4 Product Mix'!E51</f>
        <v>561459</v>
      </c>
      <c r="F70" s="1319">
        <f>'NF - 4 Product Mix'!F51</f>
        <v>0</v>
      </c>
    </row>
    <row r="71" spans="1:6" x14ac:dyDescent="0.25">
      <c r="A71" s="1291"/>
      <c r="B71" s="753"/>
      <c r="C71" s="753"/>
      <c r="D71" s="753"/>
      <c r="E71" s="296"/>
      <c r="F71" s="1290"/>
    </row>
    <row r="72" spans="1:6" x14ac:dyDescent="0.25">
      <c r="A72" s="1289" t="s">
        <v>3292</v>
      </c>
      <c r="B72" s="1309" t="s">
        <v>3288</v>
      </c>
      <c r="C72" s="1312"/>
      <c r="D72" s="1312"/>
      <c r="E72" s="1312"/>
      <c r="F72" s="1313"/>
    </row>
    <row r="73" spans="1:6" x14ac:dyDescent="0.25">
      <c r="A73" s="1320" t="s">
        <v>58</v>
      </c>
      <c r="B73" s="1321" t="s">
        <v>2689</v>
      </c>
      <c r="C73" s="1322" t="s">
        <v>61</v>
      </c>
      <c r="D73" s="1322"/>
      <c r="E73" s="1323">
        <f>'NF - 4 Product Mix'!E90</f>
        <v>423396.4640200816</v>
      </c>
      <c r="F73" s="1323">
        <f>'NF - 4 Product Mix'!F90</f>
        <v>0</v>
      </c>
    </row>
    <row r="74" spans="1:6" x14ac:dyDescent="0.25">
      <c r="A74" s="1324"/>
      <c r="B74" s="1325"/>
      <c r="C74" s="1326"/>
      <c r="D74" s="1326"/>
      <c r="E74" s="1327"/>
      <c r="F74" s="1328"/>
    </row>
    <row r="75" spans="1:6" x14ac:dyDescent="0.25">
      <c r="A75" s="1291" t="s">
        <v>1058</v>
      </c>
      <c r="B75" s="1329" t="s">
        <v>3293</v>
      </c>
      <c r="C75" s="1286"/>
      <c r="D75" s="1286"/>
      <c r="E75" s="1286"/>
      <c r="F75" s="1330"/>
    </row>
    <row r="76" spans="1:6" x14ac:dyDescent="0.25">
      <c r="A76" s="1291" t="s">
        <v>3294</v>
      </c>
      <c r="B76" s="1329" t="s">
        <v>3295</v>
      </c>
      <c r="C76" s="1286"/>
      <c r="D76" s="1286"/>
      <c r="E76" s="1286"/>
      <c r="F76" s="1330"/>
    </row>
    <row r="77" ht="28" customHeight="1" spans="1:6" x14ac:dyDescent="0.25">
      <c r="A77" s="1291" t="s">
        <v>306</v>
      </c>
      <c r="B77" s="1331" t="s">
        <v>2011</v>
      </c>
      <c r="C77" s="1332" t="s">
        <v>61</v>
      </c>
      <c r="D77" s="1295" t="s">
        <v>1822</v>
      </c>
      <c r="E77" s="1159">
        <f>'Form Sa1'!H717</f>
        <v>694.7059488365276</v>
      </c>
      <c r="F77" s="1159">
        <f>'Form Sa1'!I717</f>
        <v>0</v>
      </c>
    </row>
    <row r="78" spans="1:6" x14ac:dyDescent="0.25">
      <c r="A78" s="1291" t="s">
        <v>308</v>
      </c>
      <c r="B78" s="1331" t="s">
        <v>3296</v>
      </c>
      <c r="C78" s="1332" t="s">
        <v>61</v>
      </c>
      <c r="D78" s="1295" t="s">
        <v>1822</v>
      </c>
      <c r="E78" s="1159">
        <f>'Form Sa1'!H693</f>
        <v>1144.79</v>
      </c>
      <c r="F78" s="1159">
        <f>'Form Sa1'!I693</f>
        <v>0</v>
      </c>
    </row>
    <row r="79" spans="1:6" x14ac:dyDescent="0.25">
      <c r="A79" s="1291" t="s">
        <v>310</v>
      </c>
      <c r="B79" s="1331" t="s">
        <v>3297</v>
      </c>
      <c r="C79" s="1332" t="s">
        <v>61</v>
      </c>
      <c r="D79" s="1295" t="s">
        <v>1822</v>
      </c>
      <c r="E79" s="1159">
        <f>'Form Sa1'!H694</f>
        <v>39.123358992527514</v>
      </c>
      <c r="F79" s="1159">
        <f>'Form Sa1'!I694</f>
        <v>0</v>
      </c>
    </row>
    <row r="80" ht="28" customHeight="1" spans="1:6" x14ac:dyDescent="0.25">
      <c r="A80" s="1291" t="s">
        <v>312</v>
      </c>
      <c r="B80" s="1331" t="s">
        <v>3298</v>
      </c>
      <c r="C80" s="1332" t="s">
        <v>61</v>
      </c>
      <c r="D80" s="1295" t="s">
        <v>1822</v>
      </c>
      <c r="E80" s="1159">
        <f>'Form Sa1'!H699</f>
        <v>0</v>
      </c>
      <c r="F80" s="1159">
        <f>'Form Sa1'!I699</f>
        <v>0</v>
      </c>
    </row>
    <row r="81" spans="1:6" x14ac:dyDescent="0.25">
      <c r="A81" s="1291" t="s">
        <v>314</v>
      </c>
      <c r="B81" s="1331" t="s">
        <v>1999</v>
      </c>
      <c r="C81" s="1332"/>
      <c r="D81" s="1295" t="s">
        <v>2000</v>
      </c>
      <c r="E81" s="1159">
        <f>'Form Sa1'!H710</f>
        <v>1488473</v>
      </c>
      <c r="F81" s="1159">
        <f>'Form Sa1'!I710</f>
        <v>0</v>
      </c>
    </row>
    <row r="82" spans="1:6" x14ac:dyDescent="0.25">
      <c r="A82" s="1291" t="s">
        <v>316</v>
      </c>
      <c r="B82" s="1331" t="s">
        <v>2001</v>
      </c>
      <c r="C82" s="1331"/>
      <c r="D82" s="1295" t="s">
        <v>2002</v>
      </c>
      <c r="E82" s="1159">
        <f>'Form Sa1'!H711</f>
        <v>44444.4</v>
      </c>
      <c r="F82" s="1159">
        <f>'Form Sa1'!I711</f>
        <v>0</v>
      </c>
    </row>
    <row r="83" spans="1:6" x14ac:dyDescent="0.25">
      <c r="A83" s="1333"/>
      <c r="B83" s="1291"/>
      <c r="C83" s="1295"/>
      <c r="D83" s="1295"/>
      <c r="E83" s="1159"/>
      <c r="F83" s="1311"/>
    </row>
    <row r="84" spans="1:6" x14ac:dyDescent="0.25">
      <c r="A84" s="1334" t="s">
        <v>373</v>
      </c>
      <c r="B84" s="1329" t="s">
        <v>2024</v>
      </c>
      <c r="C84" s="1286"/>
      <c r="D84" s="1286"/>
      <c r="E84" s="1286"/>
      <c r="F84" s="1330"/>
    </row>
    <row r="85" spans="1:6" x14ac:dyDescent="0.25">
      <c r="A85" s="1334" t="s">
        <v>3299</v>
      </c>
      <c r="B85" s="1335" t="s">
        <v>3300</v>
      </c>
      <c r="C85" s="1336"/>
      <c r="D85" s="1337"/>
      <c r="E85" s="1338"/>
      <c r="F85" s="1339"/>
    </row>
    <row r="86" spans="1:6" x14ac:dyDescent="0.25">
      <c r="A86" s="1340" t="s">
        <v>306</v>
      </c>
      <c r="B86" s="1341" t="str">
        <f>'Form Sa1'!B728</f>
        <v>Install Capacity</v>
      </c>
      <c r="C86" s="1336"/>
      <c r="D86" s="1295" t="s">
        <v>1822</v>
      </c>
      <c r="E86" s="1338">
        <f>'Form Sa1'!H728</f>
        <v>0</v>
      </c>
      <c r="F86" s="1339">
        <f>'Form Sa1'!I728</f>
        <v>0</v>
      </c>
    </row>
    <row r="87" spans="1:6" x14ac:dyDescent="0.25">
      <c r="A87" s="1340" t="s">
        <v>308</v>
      </c>
      <c r="B87" s="1341" t="s">
        <v>2032</v>
      </c>
      <c r="C87" s="1332" t="s">
        <v>61</v>
      </c>
      <c r="D87" s="1295" t="s">
        <v>1822</v>
      </c>
      <c r="E87" s="1338">
        <f>'Form Sa1'!H729</f>
        <v>0</v>
      </c>
      <c r="F87" s="1339">
        <f>'Form Sa1'!I729</f>
        <v>0</v>
      </c>
    </row>
    <row r="88" spans="1:6" x14ac:dyDescent="0.25">
      <c r="A88" s="1342" t="s">
        <v>310</v>
      </c>
      <c r="B88" s="1341" t="s">
        <v>3301</v>
      </c>
      <c r="C88" s="1295"/>
      <c r="D88" s="1295" t="s">
        <v>1495</v>
      </c>
      <c r="E88" s="1159">
        <f>'Form Sa1'!H1312</f>
        <v>0</v>
      </c>
      <c r="F88" s="1311">
        <f>'Form Sa1'!I1312</f>
        <v>0</v>
      </c>
    </row>
    <row r="89" spans="1:6" x14ac:dyDescent="0.25">
      <c r="A89" s="1343" t="s">
        <v>3302</v>
      </c>
      <c r="B89" s="810" t="s">
        <v>3303</v>
      </c>
      <c r="C89" s="810"/>
      <c r="D89" s="1344"/>
      <c r="E89" s="1344"/>
      <c r="F89" s="1345"/>
    </row>
    <row r="90" spans="1:6" x14ac:dyDescent="0.25">
      <c r="A90" s="1333" t="s">
        <v>306</v>
      </c>
      <c r="B90" s="1341" t="str">
        <f>'Form Sa1'!B739</f>
        <v>Install Capacity</v>
      </c>
      <c r="C90" s="810"/>
      <c r="D90" s="1295" t="s">
        <v>1487</v>
      </c>
      <c r="E90" s="1346">
        <f>'Form Sa1'!H739</f>
        <v>829.58</v>
      </c>
      <c r="F90" s="1347">
        <f>'Form Sa1'!I739</f>
        <v>829.58</v>
      </c>
    </row>
    <row r="91" spans="1:6" x14ac:dyDescent="0.25">
      <c r="A91" s="1348" t="s">
        <v>308</v>
      </c>
      <c r="B91" s="1332" t="str">
        <f>'Form Sa1'!B740</f>
        <v>Gross Unit generation</v>
      </c>
      <c r="C91" s="1349"/>
      <c r="D91" s="1350" t="s">
        <v>1822</v>
      </c>
      <c r="E91" s="1346">
        <f>'Form Sa1'!H740</f>
        <v>66354.07216</v>
      </c>
      <c r="F91" s="1347">
        <f>'Form Sa1'!I740</f>
        <v>0</v>
      </c>
    </row>
    <row r="92" spans="1:6" x14ac:dyDescent="0.25">
      <c r="A92" s="1333" t="s">
        <v>310</v>
      </c>
      <c r="B92" s="1331" t="s">
        <v>3304</v>
      </c>
      <c r="C92" s="1332"/>
      <c r="D92" s="1295" t="s">
        <v>2046</v>
      </c>
      <c r="E92" s="1346">
        <f>'Form Sa1'!H1313</f>
        <v>2564.570826735534</v>
      </c>
      <c r="F92" s="1347">
        <f>'Form Sa1'!I1313</f>
        <v>0</v>
      </c>
    </row>
    <row r="93" spans="1:6" x14ac:dyDescent="0.25">
      <c r="A93" s="1333" t="s">
        <v>312</v>
      </c>
      <c r="B93" s="1331" t="s">
        <v>1497</v>
      </c>
      <c r="C93" s="1332"/>
      <c r="D93" s="1295" t="s">
        <v>1493</v>
      </c>
      <c r="E93" s="1346">
        <f>'Form Sa1'!H741</f>
        <v>8.33</v>
      </c>
      <c r="F93" s="1346">
        <f>'Form Sa1'!I741</f>
        <v>0</v>
      </c>
    </row>
    <row r="94" spans="1:6" x14ac:dyDescent="0.25">
      <c r="A94" s="1333" t="s">
        <v>314</v>
      </c>
      <c r="B94" s="1331" t="str">
        <f>'Form Sa1'!B743</f>
        <v>Operating Gross Heat Rate</v>
      </c>
      <c r="C94" s="1332"/>
      <c r="D94" s="1295" t="s">
        <v>1495</v>
      </c>
      <c r="E94" s="1346">
        <f>'Form Sa1'!H1313</f>
        <v>2564.570826735534</v>
      </c>
      <c r="F94" s="1346">
        <f>'Form Sa1'!I743</f>
        <v>0</v>
      </c>
    </row>
    <row r="95" spans="1:6" x14ac:dyDescent="0.25">
      <c r="A95" s="1333" t="s">
        <v>3305</v>
      </c>
      <c r="B95" s="1351" t="s">
        <v>622</v>
      </c>
      <c r="C95" s="1332"/>
      <c r="D95" s="1295"/>
      <c r="E95" s="1346"/>
      <c r="F95" s="1347"/>
    </row>
    <row r="96" spans="1:6" x14ac:dyDescent="0.25">
      <c r="A96" s="1333" t="s">
        <v>306</v>
      </c>
      <c r="B96" s="1331" t="str">
        <f>'Form Sa1'!B747</f>
        <v>Install Capacity</v>
      </c>
      <c r="C96" s="1332"/>
      <c r="D96" s="1295" t="s">
        <v>1487</v>
      </c>
      <c r="E96" s="1346">
        <f>'Form Sa1'!H747</f>
        <v>0</v>
      </c>
      <c r="F96" s="1346">
        <f>'Form Sa1'!I747</f>
        <v>0</v>
      </c>
    </row>
    <row r="97" spans="1:6" x14ac:dyDescent="0.25">
      <c r="A97" s="1348" t="s">
        <v>308</v>
      </c>
      <c r="B97" s="1331" t="str">
        <f>'Form Sa1'!B748</f>
        <v>Gross Unit generation</v>
      </c>
      <c r="C97" s="1332"/>
      <c r="D97" s="1350" t="s">
        <v>1822</v>
      </c>
      <c r="E97" s="1346">
        <f>'Form Sa1'!H748</f>
        <v>0</v>
      </c>
      <c r="F97" s="1346">
        <f>'Form Sa1'!I748</f>
        <v>0</v>
      </c>
    </row>
    <row r="98" spans="1:6" x14ac:dyDescent="0.25">
      <c r="A98" s="1333" t="s">
        <v>310</v>
      </c>
      <c r="B98" s="1331" t="s">
        <v>3304</v>
      </c>
      <c r="C98" s="1332"/>
      <c r="D98" s="1295" t="s">
        <v>2046</v>
      </c>
      <c r="E98" s="1346">
        <f>'Form Sa1'!H1314</f>
        <v>0</v>
      </c>
      <c r="F98" s="1346">
        <f>'Form Sa1'!I1314</f>
        <v>0</v>
      </c>
    </row>
    <row r="99" spans="1:6" x14ac:dyDescent="0.25">
      <c r="A99" s="1333" t="s">
        <v>312</v>
      </c>
      <c r="B99" s="1331" t="str">
        <f>'Form Sa1'!B750</f>
        <v>Auxiliary Power Consumption </v>
      </c>
      <c r="C99" s="1332"/>
      <c r="D99" s="1295" t="s">
        <v>1493</v>
      </c>
      <c r="E99" s="1346">
        <f>'Form Sa1'!H750</f>
        <v>0</v>
      </c>
      <c r="F99" s="1346">
        <f>'Form Sa1'!I750</f>
        <v>0</v>
      </c>
    </row>
    <row r="100" ht="15" customHeight="1" spans="1:6" x14ac:dyDescent="0.25">
      <c r="A100" s="1333" t="s">
        <v>314</v>
      </c>
      <c r="B100" s="1352" t="s">
        <v>2045</v>
      </c>
      <c r="C100" s="1332"/>
      <c r="D100" s="1295" t="s">
        <v>1495</v>
      </c>
      <c r="E100" s="1346">
        <f>'Form Sa1'!H751</f>
        <v>0</v>
      </c>
      <c r="F100" s="1346">
        <f>'Form Sa1'!I751</f>
        <v>0</v>
      </c>
    </row>
    <row r="101" spans="1:6" x14ac:dyDescent="0.25">
      <c r="A101" s="1333" t="s">
        <v>316</v>
      </c>
      <c r="B101" s="1331" t="str">
        <f>'Form Sa1'!B749</f>
        <v>Plant Load Factor (PLF)</v>
      </c>
      <c r="C101" s="1332"/>
      <c r="D101" s="1295" t="s">
        <v>1493</v>
      </c>
      <c r="E101" s="1346">
        <f>'Form Sa1'!H749</f>
        <v>0</v>
      </c>
      <c r="F101" s="1346">
        <f>'Form Sa1'!I749</f>
        <v>0</v>
      </c>
    </row>
    <row r="102" spans="1:6" x14ac:dyDescent="0.25">
      <c r="A102" s="1333" t="s">
        <v>3306</v>
      </c>
      <c r="B102" s="1351" t="s">
        <v>3307</v>
      </c>
      <c r="C102" s="1332"/>
      <c r="D102" s="1295"/>
      <c r="E102" s="1346"/>
      <c r="F102" s="1347"/>
    </row>
    <row r="103" spans="1:256" x14ac:dyDescent="0.25">
      <c r="A103" s="1333" t="s">
        <v>306</v>
      </c>
      <c r="B103" s="1331" t="s">
        <v>2030</v>
      </c>
      <c r="C103" s="1332"/>
      <c r="D103" s="1295" t="s">
        <v>1487</v>
      </c>
      <c r="E103" s="1346">
        <f>'Form Sa1'!H788</f>
        <v>66.4</v>
      </c>
      <c r="F103" s="1346">
        <f>'Form Sa1'!I788</f>
        <v>0</v>
      </c>
      <c r="G103" s="1346">
        <f>'Form Sa1'!K788</f>
        <v>0</v>
      </c>
      <c r="H103" s="1346" t="e">
        <f>'Form Sa1'!#REF!</f>
        <v>#REF!</v>
      </c>
      <c r="I103" s="1346" t="e">
        <f>'Form Sa1'!#REF!</f>
        <v>#REF!</v>
      </c>
      <c r="J103" s="1346" t="e">
        <f>'Form Sa1'!#REF!</f>
        <v>#REF!</v>
      </c>
      <c r="K103" s="1346" t="e">
        <f>'Form Sa1'!#REF!</f>
        <v>#REF!</v>
      </c>
      <c r="L103" s="1346" t="e">
        <f>'Form Sa1'!#REF!</f>
        <v>#REF!</v>
      </c>
      <c r="M103" s="1346" t="e">
        <f>'Form Sa1'!#REF!</f>
        <v>#REF!</v>
      </c>
      <c r="N103" s="1346" t="e">
        <f>'Form Sa1'!#REF!</f>
        <v>#REF!</v>
      </c>
      <c r="O103" s="1346" t="e">
        <f>'Form Sa1'!#REF!</f>
        <v>#REF!</v>
      </c>
      <c r="P103" s="1346" t="e">
        <f>'Form Sa1'!#REF!</f>
        <v>#REF!</v>
      </c>
      <c r="Q103" s="1346" t="e">
        <f>'Form Sa1'!#REF!</f>
        <v>#REF!</v>
      </c>
      <c r="R103" s="1346">
        <f>'Form Sa1'!L787</f>
        <v>0</v>
      </c>
      <c r="S103" s="1346">
        <f>'Form Sa1'!M787</f>
        <v>0</v>
      </c>
      <c r="T103" s="1346">
        <f>'Form Sa1'!N787</f>
        <v>0</v>
      </c>
      <c r="U103" s="1346">
        <f>'Form Sa1'!O787</f>
        <v>0</v>
      </c>
      <c r="V103" s="1346">
        <f>'Form Sa1'!P787</f>
        <v>0</v>
      </c>
      <c r="W103" s="1346">
        <f>'Form Sa1'!Q787</f>
        <v>0</v>
      </c>
      <c r="X103" s="1346">
        <f>'Form Sa1'!R787</f>
        <v>0</v>
      </c>
      <c r="Y103" s="1346">
        <f>'Form Sa1'!S787</f>
        <v>0</v>
      </c>
      <c r="Z103" s="1346">
        <f>'Form Sa1'!T787</f>
        <v>0</v>
      </c>
      <c r="AA103" s="1346">
        <f>'Form Sa1'!U787</f>
        <v>0</v>
      </c>
      <c r="AB103" s="1346">
        <f>'Form Sa1'!V787</f>
        <v>0</v>
      </c>
      <c r="AC103" s="1346">
        <f>'Form Sa1'!W787</f>
        <v>0</v>
      </c>
      <c r="AD103" s="1346">
        <f>'Form Sa1'!X787</f>
        <v>0</v>
      </c>
      <c r="AE103" s="1346">
        <f>'Form Sa1'!Y787</f>
        <v>0</v>
      </c>
      <c r="AF103" s="1346">
        <f>'Form Sa1'!Z787</f>
        <v>0</v>
      </c>
      <c r="AG103" s="1346">
        <f>'Form Sa1'!AA787</f>
        <v>0</v>
      </c>
      <c r="AH103" s="1346">
        <f>'Form Sa1'!AB787</f>
        <v>0</v>
      </c>
      <c r="AI103" s="1346">
        <f>'Form Sa1'!AC787</f>
        <v>0</v>
      </c>
      <c r="AJ103" s="1346">
        <f>'Form Sa1'!AD787</f>
        <v>0</v>
      </c>
      <c r="AK103" s="1346">
        <f>'Form Sa1'!AE787</f>
        <v>0</v>
      </c>
      <c r="AL103" s="1346">
        <f>'Form Sa1'!AF787</f>
        <v>0</v>
      </c>
      <c r="AM103" s="1346">
        <f>'Form Sa1'!AG787</f>
        <v>0</v>
      </c>
      <c r="AN103" s="1346">
        <f>'Form Sa1'!AH787</f>
        <v>0</v>
      </c>
      <c r="AO103" s="1346">
        <f>'Form Sa1'!AI787</f>
        <v>0</v>
      </c>
      <c r="AP103" s="1346">
        <f>'Form Sa1'!AJ787</f>
        <v>0</v>
      </c>
      <c r="AQ103" s="1346">
        <f>'Form Sa1'!AK787</f>
        <v>0</v>
      </c>
      <c r="AR103" s="1346">
        <f>'Form Sa1'!AL787</f>
        <v>0</v>
      </c>
      <c r="AS103" s="1346">
        <f>'Form Sa1'!AM787</f>
        <v>0</v>
      </c>
      <c r="AT103" s="1346">
        <f>'Form Sa1'!AN787</f>
        <v>0</v>
      </c>
      <c r="AU103" s="1346">
        <f>'Form Sa1'!AO787</f>
        <v>0</v>
      </c>
      <c r="AV103" s="1346">
        <f>'Form Sa1'!AP787</f>
        <v>0</v>
      </c>
      <c r="AW103" s="1346">
        <f>'Form Sa1'!AQ787</f>
        <v>0</v>
      </c>
      <c r="AX103" s="1346">
        <f>'Form Sa1'!AR787</f>
        <v>0</v>
      </c>
      <c r="AY103" s="1346">
        <f>'Form Sa1'!AS787</f>
        <v>0</v>
      </c>
      <c r="AZ103" s="1346">
        <f>'Form Sa1'!AT787</f>
        <v>0</v>
      </c>
      <c r="BA103" s="1346">
        <f>'Form Sa1'!AU787</f>
        <v>0</v>
      </c>
      <c r="BB103" s="1346">
        <f>'Form Sa1'!AV787</f>
        <v>0</v>
      </c>
      <c r="BC103" s="1346">
        <f>'Form Sa1'!AW787</f>
        <v>0</v>
      </c>
      <c r="BD103" s="1346">
        <f>'Form Sa1'!AX787</f>
        <v>0</v>
      </c>
      <c r="BE103" s="1346">
        <f>'Form Sa1'!AY787</f>
        <v>0</v>
      </c>
      <c r="BF103" s="1346">
        <f>'Form Sa1'!AZ787</f>
        <v>0</v>
      </c>
      <c r="BG103" s="1346">
        <f>'Form Sa1'!BA787</f>
        <v>0</v>
      </c>
      <c r="BH103" s="1346">
        <f>'Form Sa1'!BB787</f>
        <v>0</v>
      </c>
      <c r="BI103" s="1346">
        <f>'Form Sa1'!BC787</f>
        <v>0</v>
      </c>
      <c r="BJ103" s="1346">
        <f>'Form Sa1'!BD787</f>
        <v>0</v>
      </c>
      <c r="BK103" s="1346">
        <f>'Form Sa1'!BE787</f>
        <v>0</v>
      </c>
      <c r="BL103" s="1346">
        <f>'Form Sa1'!BF787</f>
        <v>0</v>
      </c>
      <c r="BM103" s="1346">
        <f>'Form Sa1'!BG787</f>
        <v>0</v>
      </c>
      <c r="BN103" s="1346">
        <f>'Form Sa1'!BH787</f>
        <v>0</v>
      </c>
      <c r="BO103" s="1346">
        <f>'Form Sa1'!BI787</f>
        <v>0</v>
      </c>
      <c r="BP103" s="1346">
        <f>'Form Sa1'!BJ787</f>
        <v>0</v>
      </c>
      <c r="BQ103" s="1346">
        <f>'Form Sa1'!BK787</f>
        <v>0</v>
      </c>
      <c r="BR103" s="1346">
        <f>'Form Sa1'!BL787</f>
        <v>0</v>
      </c>
      <c r="BS103" s="1346">
        <f>'Form Sa1'!BM787</f>
        <v>0</v>
      </c>
      <c r="BT103" s="1346">
        <f>'Form Sa1'!BN787</f>
        <v>0</v>
      </c>
      <c r="BU103" s="1346">
        <f>'Form Sa1'!BO787</f>
        <v>0</v>
      </c>
      <c r="BV103" s="1346">
        <f>'Form Sa1'!BP787</f>
        <v>0</v>
      </c>
      <c r="BW103" s="1346">
        <f>'Form Sa1'!BQ787</f>
        <v>0</v>
      </c>
      <c r="BX103" s="1346">
        <f>'Form Sa1'!BR787</f>
        <v>0</v>
      </c>
      <c r="BY103" s="1346">
        <f>'Form Sa1'!BS787</f>
        <v>0</v>
      </c>
      <c r="BZ103" s="1346">
        <f>'Form Sa1'!BT787</f>
        <v>0</v>
      </c>
      <c r="CA103" s="1346">
        <f>'Form Sa1'!BU787</f>
        <v>0</v>
      </c>
      <c r="CB103" s="1346">
        <f>'Form Sa1'!BV787</f>
        <v>0</v>
      </c>
      <c r="CC103" s="1346">
        <f>'Form Sa1'!BW787</f>
        <v>0</v>
      </c>
      <c r="CD103" s="1346">
        <f>'Form Sa1'!BX787</f>
        <v>0</v>
      </c>
      <c r="CE103" s="1346">
        <f>'Form Sa1'!BY787</f>
        <v>0</v>
      </c>
      <c r="CF103" s="1346">
        <f>'Form Sa1'!BZ787</f>
        <v>0</v>
      </c>
      <c r="CG103" s="1346">
        <f>'Form Sa1'!CA787</f>
        <v>0</v>
      </c>
      <c r="CH103" s="1346">
        <f>'Form Sa1'!CB787</f>
        <v>0</v>
      </c>
      <c r="CI103" s="1346">
        <f>'Form Sa1'!CC787</f>
        <v>0</v>
      </c>
      <c r="CJ103" s="1346">
        <f>'Form Sa1'!CD787</f>
        <v>0</v>
      </c>
      <c r="CK103" s="1346">
        <f>'Form Sa1'!CE787</f>
        <v>0</v>
      </c>
      <c r="CL103" s="1346">
        <f>'Form Sa1'!CF787</f>
        <v>0</v>
      </c>
      <c r="CM103" s="1346">
        <f>'Form Sa1'!CG787</f>
        <v>0</v>
      </c>
      <c r="CN103" s="1346">
        <f>'Form Sa1'!CH787</f>
        <v>0</v>
      </c>
      <c r="CO103" s="1346">
        <f>'Form Sa1'!CI787</f>
        <v>0</v>
      </c>
      <c r="CP103" s="1346">
        <f>'Form Sa1'!CJ787</f>
        <v>0</v>
      </c>
      <c r="CQ103" s="1346">
        <f>'Form Sa1'!CK787</f>
        <v>0</v>
      </c>
      <c r="CR103" s="1346">
        <f>'Form Sa1'!CL787</f>
        <v>0</v>
      </c>
      <c r="CS103" s="1346">
        <f>'Form Sa1'!CM787</f>
        <v>0</v>
      </c>
      <c r="CT103" s="1346">
        <f>'Form Sa1'!CN787</f>
        <v>0</v>
      </c>
      <c r="CU103" s="1346">
        <f>'Form Sa1'!CO787</f>
        <v>0</v>
      </c>
      <c r="CV103" s="1346">
        <f>'Form Sa1'!CP787</f>
        <v>0</v>
      </c>
      <c r="CW103" s="1346">
        <f>'Form Sa1'!CQ787</f>
        <v>0</v>
      </c>
      <c r="CX103" s="1346">
        <f>'Form Sa1'!CR787</f>
        <v>0</v>
      </c>
      <c r="CY103" s="1346">
        <f>'Form Sa1'!CS787</f>
        <v>0</v>
      </c>
      <c r="CZ103" s="1346">
        <f>'Form Sa1'!CT787</f>
        <v>0</v>
      </c>
      <c r="DA103" s="1346">
        <f>'Form Sa1'!CU787</f>
        <v>0</v>
      </c>
      <c r="DB103" s="1346">
        <f>'Form Sa1'!CV787</f>
        <v>0</v>
      </c>
      <c r="DC103" s="1346">
        <f>'Form Sa1'!CW787</f>
        <v>0</v>
      </c>
      <c r="DD103" s="1346">
        <f>'Form Sa1'!CX787</f>
        <v>0</v>
      </c>
      <c r="DE103" s="1346">
        <f>'Form Sa1'!CY787</f>
        <v>0</v>
      </c>
      <c r="DF103" s="1346">
        <f>'Form Sa1'!CZ787</f>
        <v>0</v>
      </c>
      <c r="DG103" s="1346">
        <f>'Form Sa1'!DA787</f>
        <v>0</v>
      </c>
      <c r="DH103" s="1346">
        <f>'Form Sa1'!DB787</f>
        <v>0</v>
      </c>
      <c r="DI103" s="1346">
        <f>'Form Sa1'!DC787</f>
        <v>0</v>
      </c>
      <c r="DJ103" s="1346">
        <f>'Form Sa1'!DD787</f>
        <v>0</v>
      </c>
      <c r="DK103" s="1346">
        <f>'Form Sa1'!DE787</f>
        <v>0</v>
      </c>
      <c r="DL103" s="1346">
        <f>'Form Sa1'!DF787</f>
        <v>0</v>
      </c>
      <c r="DM103" s="1346">
        <f>'Form Sa1'!DG787</f>
        <v>0</v>
      </c>
      <c r="DN103" s="1346">
        <f>'Form Sa1'!DH787</f>
        <v>0</v>
      </c>
      <c r="DO103" s="1346">
        <f>'Form Sa1'!DI787</f>
        <v>0</v>
      </c>
      <c r="DP103" s="1346">
        <f>'Form Sa1'!DJ787</f>
        <v>0</v>
      </c>
      <c r="DQ103" s="1346">
        <f>'Form Sa1'!DK787</f>
        <v>0</v>
      </c>
      <c r="DR103" s="1346">
        <f>'Form Sa1'!DL787</f>
        <v>0</v>
      </c>
      <c r="DS103" s="1346">
        <f>'Form Sa1'!DM787</f>
        <v>0</v>
      </c>
      <c r="DT103" s="1346">
        <f>'Form Sa1'!DN787</f>
        <v>0</v>
      </c>
      <c r="DU103" s="1346">
        <f>'Form Sa1'!DO787</f>
        <v>0</v>
      </c>
      <c r="DV103" s="1346">
        <f>'Form Sa1'!DP787</f>
        <v>0</v>
      </c>
      <c r="DW103" s="1346">
        <f>'Form Sa1'!DQ787</f>
        <v>0</v>
      </c>
      <c r="DX103" s="1346">
        <f>'Form Sa1'!DR787</f>
        <v>0</v>
      </c>
      <c r="DY103" s="1346">
        <f>'Form Sa1'!DS787</f>
        <v>0</v>
      </c>
      <c r="DZ103" s="1346">
        <f>'Form Sa1'!DT787</f>
        <v>0</v>
      </c>
      <c r="EA103" s="1346">
        <f>'Form Sa1'!DU787</f>
        <v>0</v>
      </c>
      <c r="EB103" s="1346">
        <f>'Form Sa1'!DV787</f>
        <v>0</v>
      </c>
      <c r="EC103" s="1346">
        <f>'Form Sa1'!DW787</f>
        <v>0</v>
      </c>
      <c r="ED103" s="1346">
        <f>'Form Sa1'!DX787</f>
        <v>0</v>
      </c>
      <c r="EE103" s="1346">
        <f>'Form Sa1'!DY787</f>
        <v>0</v>
      </c>
      <c r="EF103" s="1346">
        <f>'Form Sa1'!DZ787</f>
        <v>0</v>
      </c>
      <c r="EG103" s="1346">
        <f>'Form Sa1'!EA787</f>
        <v>0</v>
      </c>
      <c r="EH103" s="1346">
        <f>'Form Sa1'!EB787</f>
        <v>0</v>
      </c>
      <c r="EI103" s="1346">
        <f>'Form Sa1'!EC787</f>
        <v>0</v>
      </c>
      <c r="EJ103" s="1346">
        <f>'Form Sa1'!ED787</f>
        <v>0</v>
      </c>
      <c r="EK103" s="1346">
        <f>'Form Sa1'!EE787</f>
        <v>0</v>
      </c>
      <c r="EL103" s="1346">
        <f>'Form Sa1'!EF787</f>
        <v>0</v>
      </c>
      <c r="EM103" s="1346">
        <f>'Form Sa1'!EG787</f>
        <v>0</v>
      </c>
      <c r="EN103" s="1346">
        <f>'Form Sa1'!EH787</f>
        <v>0</v>
      </c>
      <c r="EO103" s="1346">
        <f>'Form Sa1'!EI787</f>
        <v>0</v>
      </c>
      <c r="EP103" s="1346">
        <f>'Form Sa1'!EJ787</f>
        <v>0</v>
      </c>
      <c r="EQ103" s="1346">
        <f>'Form Sa1'!EK787</f>
        <v>0</v>
      </c>
      <c r="ER103" s="1346">
        <f>'Form Sa1'!EL787</f>
        <v>0</v>
      </c>
      <c r="ES103" s="1346">
        <f>'Form Sa1'!EM787</f>
        <v>0</v>
      </c>
      <c r="ET103" s="1346">
        <f>'Form Sa1'!EN787</f>
        <v>0</v>
      </c>
      <c r="EU103" s="1346">
        <f>'Form Sa1'!EO787</f>
        <v>0</v>
      </c>
      <c r="EV103" s="1346">
        <f>'Form Sa1'!EP787</f>
        <v>0</v>
      </c>
      <c r="EW103" s="1346">
        <f>'Form Sa1'!EQ787</f>
        <v>0</v>
      </c>
      <c r="EX103" s="1346">
        <f>'Form Sa1'!ER787</f>
        <v>0</v>
      </c>
      <c r="EY103" s="1346">
        <f>'Form Sa1'!ES787</f>
        <v>0</v>
      </c>
      <c r="EZ103" s="1346">
        <f>'Form Sa1'!ET787</f>
        <v>0</v>
      </c>
      <c r="FA103" s="1346">
        <f>'Form Sa1'!EU787</f>
        <v>0</v>
      </c>
      <c r="FB103" s="1346">
        <f>'Form Sa1'!EV787</f>
        <v>0</v>
      </c>
      <c r="FC103" s="1346">
        <f>'Form Sa1'!EW787</f>
        <v>0</v>
      </c>
      <c r="FD103" s="1346">
        <f>'Form Sa1'!EX787</f>
        <v>0</v>
      </c>
      <c r="FE103" s="1346">
        <f>'Form Sa1'!EY787</f>
        <v>0</v>
      </c>
      <c r="FF103" s="1346">
        <f>'Form Sa1'!EZ787</f>
        <v>0</v>
      </c>
      <c r="FG103" s="1346">
        <f>'Form Sa1'!FA787</f>
        <v>0</v>
      </c>
      <c r="FH103" s="1346">
        <f>'Form Sa1'!FB787</f>
        <v>0</v>
      </c>
      <c r="FI103" s="1346">
        <f>'Form Sa1'!FC787</f>
        <v>0</v>
      </c>
      <c r="FJ103" s="1346">
        <f>'Form Sa1'!FD787</f>
        <v>0</v>
      </c>
      <c r="FK103" s="1346">
        <f>'Form Sa1'!FE787</f>
        <v>0</v>
      </c>
      <c r="FL103" s="1346">
        <f>'Form Sa1'!FF787</f>
        <v>0</v>
      </c>
      <c r="FM103" s="1346">
        <f>'Form Sa1'!FG787</f>
        <v>0</v>
      </c>
      <c r="FN103" s="1346">
        <f>'Form Sa1'!FH787</f>
        <v>0</v>
      </c>
      <c r="FO103" s="1346">
        <f>'Form Sa1'!FI787</f>
        <v>0</v>
      </c>
      <c r="FP103" s="1346">
        <f>'Form Sa1'!FJ787</f>
        <v>0</v>
      </c>
      <c r="FQ103" s="1346">
        <f>'Form Sa1'!FK787</f>
        <v>0</v>
      </c>
      <c r="FR103" s="1346">
        <f>'Form Sa1'!FL787</f>
        <v>0</v>
      </c>
      <c r="FS103" s="1346">
        <f>'Form Sa1'!FM787</f>
        <v>0</v>
      </c>
      <c r="FT103" s="1346">
        <f>'Form Sa1'!FN787</f>
        <v>0</v>
      </c>
      <c r="FU103" s="1346">
        <f>'Form Sa1'!FO787</f>
        <v>0</v>
      </c>
      <c r="FV103" s="1346">
        <f>'Form Sa1'!FP787</f>
        <v>0</v>
      </c>
      <c r="FW103" s="1346">
        <f>'Form Sa1'!FQ787</f>
        <v>0</v>
      </c>
      <c r="FX103" s="1346">
        <f>'Form Sa1'!FR787</f>
        <v>0</v>
      </c>
      <c r="FY103" s="1346">
        <f>'Form Sa1'!FS787</f>
        <v>0</v>
      </c>
      <c r="FZ103" s="1346">
        <f>'Form Sa1'!FT787</f>
        <v>0</v>
      </c>
      <c r="GA103" s="1346">
        <f>'Form Sa1'!FU787</f>
        <v>0</v>
      </c>
      <c r="GB103" s="1346">
        <f>'Form Sa1'!FV787</f>
        <v>0</v>
      </c>
      <c r="GC103" s="1346">
        <f>'Form Sa1'!FW787</f>
        <v>0</v>
      </c>
      <c r="GD103" s="1346">
        <f>'Form Sa1'!FX787</f>
        <v>0</v>
      </c>
      <c r="GE103" s="1346">
        <f>'Form Sa1'!FY787</f>
        <v>0</v>
      </c>
      <c r="GF103" s="1346">
        <f>'Form Sa1'!FZ787</f>
        <v>0</v>
      </c>
      <c r="GG103" s="1346">
        <f>'Form Sa1'!GA787</f>
        <v>0</v>
      </c>
      <c r="GH103" s="1346">
        <f>'Form Sa1'!GB787</f>
        <v>0</v>
      </c>
      <c r="GI103" s="1346">
        <f>'Form Sa1'!GC787</f>
        <v>0</v>
      </c>
      <c r="GJ103" s="1346">
        <f>'Form Sa1'!GD787</f>
        <v>0</v>
      </c>
      <c r="GK103" s="1346">
        <f>'Form Sa1'!GE787</f>
        <v>0</v>
      </c>
      <c r="GL103" s="1346">
        <f>'Form Sa1'!GF787</f>
        <v>0</v>
      </c>
      <c r="GM103" s="1346">
        <f>'Form Sa1'!GG787</f>
        <v>0</v>
      </c>
      <c r="GN103" s="1346">
        <f>'Form Sa1'!GH787</f>
        <v>0</v>
      </c>
      <c r="GO103" s="1346">
        <f>'Form Sa1'!GI787</f>
        <v>0</v>
      </c>
      <c r="GP103" s="1346">
        <f>'Form Sa1'!GJ787</f>
        <v>0</v>
      </c>
      <c r="GQ103" s="1346">
        <f>'Form Sa1'!GK787</f>
        <v>0</v>
      </c>
      <c r="GR103" s="1346">
        <f>'Form Sa1'!GL787</f>
        <v>0</v>
      </c>
      <c r="GS103" s="1346">
        <f>'Form Sa1'!GM787</f>
        <v>0</v>
      </c>
      <c r="GT103" s="1346">
        <f>'Form Sa1'!GN787</f>
        <v>0</v>
      </c>
      <c r="GU103" s="1346">
        <f>'Form Sa1'!GO787</f>
        <v>0</v>
      </c>
      <c r="GV103" s="1346">
        <f>'Form Sa1'!GP787</f>
        <v>0</v>
      </c>
      <c r="GW103" s="1346">
        <f>'Form Sa1'!GQ787</f>
        <v>0</v>
      </c>
      <c r="GX103" s="1346">
        <f>'Form Sa1'!GR787</f>
        <v>0</v>
      </c>
      <c r="GY103" s="1346">
        <f>'Form Sa1'!GS787</f>
        <v>0</v>
      </c>
      <c r="GZ103" s="1346">
        <f>'Form Sa1'!GT787</f>
        <v>0</v>
      </c>
      <c r="HA103" s="1346">
        <f>'Form Sa1'!GU787</f>
        <v>0</v>
      </c>
      <c r="HB103" s="1346">
        <f>'Form Sa1'!GV787</f>
        <v>0</v>
      </c>
      <c r="HC103" s="1346">
        <f>'Form Sa1'!GW787</f>
        <v>0</v>
      </c>
      <c r="HD103" s="1346">
        <f>'Form Sa1'!GX787</f>
        <v>0</v>
      </c>
      <c r="HE103" s="1346">
        <f>'Form Sa1'!GY787</f>
        <v>0</v>
      </c>
      <c r="HF103" s="1346">
        <f>'Form Sa1'!GZ787</f>
        <v>0</v>
      </c>
      <c r="HG103" s="1346">
        <f>'Form Sa1'!HA787</f>
        <v>0</v>
      </c>
      <c r="HH103" s="1346">
        <f>'Form Sa1'!HB787</f>
        <v>0</v>
      </c>
      <c r="HI103" s="1346">
        <f>'Form Sa1'!HC787</f>
        <v>0</v>
      </c>
      <c r="HJ103" s="1346">
        <f>'Form Sa1'!HD787</f>
        <v>0</v>
      </c>
      <c r="HK103" s="1346">
        <f>'Form Sa1'!HE787</f>
        <v>0</v>
      </c>
      <c r="HL103" s="1346">
        <f>'Form Sa1'!HF787</f>
        <v>0</v>
      </c>
      <c r="HM103" s="1346">
        <f>'Form Sa1'!HG787</f>
        <v>0</v>
      </c>
      <c r="HN103" s="1346">
        <f>'Form Sa1'!HH787</f>
        <v>0</v>
      </c>
      <c r="HO103" s="1346">
        <f>'Form Sa1'!HI787</f>
        <v>0</v>
      </c>
      <c r="HP103" s="1346">
        <f>'Form Sa1'!HJ787</f>
        <v>0</v>
      </c>
      <c r="HQ103" s="1346">
        <f>'Form Sa1'!HK787</f>
        <v>0</v>
      </c>
      <c r="HR103" s="1346">
        <f>'Form Sa1'!HL787</f>
        <v>0</v>
      </c>
      <c r="HS103" s="1346">
        <f>'Form Sa1'!HM787</f>
        <v>0</v>
      </c>
      <c r="HT103" s="1346">
        <f>'Form Sa1'!HN787</f>
        <v>0</v>
      </c>
      <c r="HU103" s="1346">
        <f>'Form Sa1'!HO787</f>
        <v>0</v>
      </c>
      <c r="HV103" s="1346">
        <f>'Form Sa1'!HP787</f>
        <v>0</v>
      </c>
      <c r="HW103" s="1346">
        <f>'Form Sa1'!HQ787</f>
        <v>0</v>
      </c>
      <c r="HX103" s="1346">
        <f>'Form Sa1'!HR787</f>
        <v>0</v>
      </c>
      <c r="HY103" s="1346">
        <f>'Form Sa1'!HS787</f>
        <v>0</v>
      </c>
      <c r="HZ103" s="1346">
        <f>'Form Sa1'!HT787</f>
        <v>0</v>
      </c>
      <c r="IA103" s="1346">
        <f>'Form Sa1'!HU787</f>
        <v>0</v>
      </c>
      <c r="IB103" s="1346">
        <f>'Form Sa1'!HV787</f>
        <v>0</v>
      </c>
      <c r="IC103" s="1346">
        <f>'Form Sa1'!HW787</f>
        <v>0</v>
      </c>
      <c r="ID103" s="1346">
        <f>'Form Sa1'!HX787</f>
        <v>0</v>
      </c>
      <c r="IE103" s="1346">
        <f>'Form Sa1'!HY787</f>
        <v>0</v>
      </c>
      <c r="IF103" s="1346">
        <f>'Form Sa1'!HZ787</f>
        <v>0</v>
      </c>
      <c r="IG103" s="1346">
        <f>'Form Sa1'!IA787</f>
        <v>0</v>
      </c>
      <c r="IH103" s="1346">
        <f>'Form Sa1'!IB787</f>
        <v>0</v>
      </c>
      <c r="II103" s="1346">
        <f>'Form Sa1'!IC787</f>
        <v>0</v>
      </c>
      <c r="IJ103" s="1346">
        <f>'Form Sa1'!ID787</f>
        <v>0</v>
      </c>
      <c r="IK103" s="1346">
        <f>'Form Sa1'!IE787</f>
        <v>0</v>
      </c>
      <c r="IL103" s="1346">
        <f>'Form Sa1'!IF787</f>
        <v>0</v>
      </c>
      <c r="IM103" s="1346">
        <f>'Form Sa1'!IG787</f>
        <v>0</v>
      </c>
      <c r="IN103" s="1346">
        <f>'Form Sa1'!IH787</f>
        <v>0</v>
      </c>
      <c r="IO103" s="1346">
        <f>'Form Sa1'!II787</f>
        <v>0</v>
      </c>
      <c r="IP103" s="1346">
        <f>'Form Sa1'!IJ787</f>
        <v>0</v>
      </c>
      <c r="IQ103" s="1346">
        <f>'Form Sa1'!IK787</f>
        <v>0</v>
      </c>
      <c r="IR103" s="1346">
        <f>'Form Sa1'!IL787</f>
        <v>0</v>
      </c>
      <c r="IS103" s="1346">
        <f>'Form Sa1'!IM787</f>
        <v>0</v>
      </c>
      <c r="IT103" s="1346" t="e">
        <f>'Form Sa1'!#REF!</f>
        <v>#REF!</v>
      </c>
      <c r="IU103" s="1346" t="e">
        <f>'Form Sa1'!#REF!</f>
        <v>#REF!</v>
      </c>
      <c r="IV103" s="1346" t="e">
        <f>'Form Sa1'!#REF!</f>
        <v>#REF!</v>
      </c>
    </row>
    <row r="104" spans="1:256" x14ac:dyDescent="0.25">
      <c r="A104" s="1348" t="s">
        <v>308</v>
      </c>
      <c r="B104" s="1331" t="s">
        <v>2044</v>
      </c>
      <c r="C104" s="1332"/>
      <c r="D104" s="1350" t="s">
        <v>1822</v>
      </c>
      <c r="E104" s="1346">
        <f>'Form Sa1'!H789</f>
        <v>3739.338125</v>
      </c>
      <c r="F104" s="1346">
        <f>'Form Sa1'!I789</f>
        <v>0</v>
      </c>
      <c r="G104" s="1346">
        <f>'Form Sa1'!K789</f>
        <v>0</v>
      </c>
      <c r="H104" s="1346" t="e">
        <f>'Form Sa1'!#REF!</f>
        <v>#REF!</v>
      </c>
      <c r="I104" s="1346" t="e">
        <f>'Form Sa1'!#REF!</f>
        <v>#REF!</v>
      </c>
      <c r="J104" s="1346" t="e">
        <f>'Form Sa1'!#REF!</f>
        <v>#REF!</v>
      </c>
      <c r="K104" s="1346" t="e">
        <f>'Form Sa1'!#REF!</f>
        <v>#REF!</v>
      </c>
      <c r="L104" s="1346" t="e">
        <f>'Form Sa1'!#REF!</f>
        <v>#REF!</v>
      </c>
      <c r="M104" s="1346" t="e">
        <f>'Form Sa1'!#REF!</f>
        <v>#REF!</v>
      </c>
      <c r="N104" s="1346" t="e">
        <f>'Form Sa1'!#REF!</f>
        <v>#REF!</v>
      </c>
      <c r="O104" s="1346" t="e">
        <f>'Form Sa1'!#REF!</f>
        <v>#REF!</v>
      </c>
      <c r="P104" s="1346" t="e">
        <f>'Form Sa1'!#REF!</f>
        <v>#REF!</v>
      </c>
      <c r="Q104" s="1346" t="e">
        <f>'Form Sa1'!#REF!</f>
        <v>#REF!</v>
      </c>
      <c r="R104" s="1346">
        <f>'Form Sa1'!L788</f>
        <v>0</v>
      </c>
      <c r="S104" s="1346">
        <f>'Form Sa1'!M788</f>
        <v>0</v>
      </c>
      <c r="T104" s="1346">
        <f>'Form Sa1'!N788</f>
        <v>0</v>
      </c>
      <c r="U104" s="1346">
        <f>'Form Sa1'!O788</f>
        <v>0</v>
      </c>
      <c r="V104" s="1346">
        <f>'Form Sa1'!P788</f>
        <v>0</v>
      </c>
      <c r="W104" s="1346">
        <f>'Form Sa1'!Q788</f>
        <v>0</v>
      </c>
      <c r="X104" s="1346">
        <f>'Form Sa1'!R788</f>
        <v>0</v>
      </c>
      <c r="Y104" s="1346">
        <f>'Form Sa1'!S788</f>
        <v>0</v>
      </c>
      <c r="Z104" s="1346">
        <f>'Form Sa1'!T788</f>
        <v>0</v>
      </c>
      <c r="AA104" s="1346">
        <f>'Form Sa1'!U788</f>
        <v>0</v>
      </c>
      <c r="AB104" s="1346">
        <f>'Form Sa1'!V788</f>
        <v>0</v>
      </c>
      <c r="AC104" s="1346">
        <f>'Form Sa1'!W788</f>
        <v>0</v>
      </c>
      <c r="AD104" s="1346">
        <f>'Form Sa1'!X788</f>
        <v>0</v>
      </c>
      <c r="AE104" s="1346">
        <f>'Form Sa1'!Y788</f>
        <v>0</v>
      </c>
      <c r="AF104" s="1346">
        <f>'Form Sa1'!Z788</f>
        <v>0</v>
      </c>
      <c r="AG104" s="1346">
        <f>'Form Sa1'!AA788</f>
        <v>0</v>
      </c>
      <c r="AH104" s="1346">
        <f>'Form Sa1'!AB788</f>
        <v>0</v>
      </c>
      <c r="AI104" s="1346">
        <f>'Form Sa1'!AC788</f>
        <v>0</v>
      </c>
      <c r="AJ104" s="1346">
        <f>'Form Sa1'!AD788</f>
        <v>0</v>
      </c>
      <c r="AK104" s="1346">
        <f>'Form Sa1'!AE788</f>
        <v>0</v>
      </c>
      <c r="AL104" s="1346">
        <f>'Form Sa1'!AF788</f>
        <v>0</v>
      </c>
      <c r="AM104" s="1346">
        <f>'Form Sa1'!AG788</f>
        <v>0</v>
      </c>
      <c r="AN104" s="1346">
        <f>'Form Sa1'!AH788</f>
        <v>0</v>
      </c>
      <c r="AO104" s="1346">
        <f>'Form Sa1'!AI788</f>
        <v>0</v>
      </c>
      <c r="AP104" s="1346">
        <f>'Form Sa1'!AJ788</f>
        <v>0</v>
      </c>
      <c r="AQ104" s="1346">
        <f>'Form Sa1'!AK788</f>
        <v>0</v>
      </c>
      <c r="AR104" s="1346">
        <f>'Form Sa1'!AL788</f>
        <v>0</v>
      </c>
      <c r="AS104" s="1346">
        <f>'Form Sa1'!AM788</f>
        <v>0</v>
      </c>
      <c r="AT104" s="1346">
        <f>'Form Sa1'!AN788</f>
        <v>0</v>
      </c>
      <c r="AU104" s="1346">
        <f>'Form Sa1'!AO788</f>
        <v>0</v>
      </c>
      <c r="AV104" s="1346">
        <f>'Form Sa1'!AP788</f>
        <v>0</v>
      </c>
      <c r="AW104" s="1346">
        <f>'Form Sa1'!AQ788</f>
        <v>0</v>
      </c>
      <c r="AX104" s="1346">
        <f>'Form Sa1'!AR788</f>
        <v>0</v>
      </c>
      <c r="AY104" s="1346">
        <f>'Form Sa1'!AS788</f>
        <v>0</v>
      </c>
      <c r="AZ104" s="1346">
        <f>'Form Sa1'!AT788</f>
        <v>0</v>
      </c>
      <c r="BA104" s="1346">
        <f>'Form Sa1'!AU788</f>
        <v>0</v>
      </c>
      <c r="BB104" s="1346">
        <f>'Form Sa1'!AV788</f>
        <v>0</v>
      </c>
      <c r="BC104" s="1346">
        <f>'Form Sa1'!AW788</f>
        <v>0</v>
      </c>
      <c r="BD104" s="1346">
        <f>'Form Sa1'!AX788</f>
        <v>0</v>
      </c>
      <c r="BE104" s="1346">
        <f>'Form Sa1'!AY788</f>
        <v>0</v>
      </c>
      <c r="BF104" s="1346">
        <f>'Form Sa1'!AZ788</f>
        <v>0</v>
      </c>
      <c r="BG104" s="1346">
        <f>'Form Sa1'!BA788</f>
        <v>0</v>
      </c>
      <c r="BH104" s="1346">
        <f>'Form Sa1'!BB788</f>
        <v>0</v>
      </c>
      <c r="BI104" s="1346">
        <f>'Form Sa1'!BC788</f>
        <v>0</v>
      </c>
      <c r="BJ104" s="1346">
        <f>'Form Sa1'!BD788</f>
        <v>0</v>
      </c>
      <c r="BK104" s="1346">
        <f>'Form Sa1'!BE788</f>
        <v>0</v>
      </c>
      <c r="BL104" s="1346">
        <f>'Form Sa1'!BF788</f>
        <v>0</v>
      </c>
      <c r="BM104" s="1346">
        <f>'Form Sa1'!BG788</f>
        <v>0</v>
      </c>
      <c r="BN104" s="1346">
        <f>'Form Sa1'!BH788</f>
        <v>0</v>
      </c>
      <c r="BO104" s="1346">
        <f>'Form Sa1'!BI788</f>
        <v>0</v>
      </c>
      <c r="BP104" s="1346">
        <f>'Form Sa1'!BJ788</f>
        <v>0</v>
      </c>
      <c r="BQ104" s="1346">
        <f>'Form Sa1'!BK788</f>
        <v>0</v>
      </c>
      <c r="BR104" s="1346">
        <f>'Form Sa1'!BL788</f>
        <v>0</v>
      </c>
      <c r="BS104" s="1346">
        <f>'Form Sa1'!BM788</f>
        <v>0</v>
      </c>
      <c r="BT104" s="1346">
        <f>'Form Sa1'!BN788</f>
        <v>0</v>
      </c>
      <c r="BU104" s="1346">
        <f>'Form Sa1'!BO788</f>
        <v>0</v>
      </c>
      <c r="BV104" s="1346">
        <f>'Form Sa1'!BP788</f>
        <v>0</v>
      </c>
      <c r="BW104" s="1346">
        <f>'Form Sa1'!BQ788</f>
        <v>0</v>
      </c>
      <c r="BX104" s="1346">
        <f>'Form Sa1'!BR788</f>
        <v>0</v>
      </c>
      <c r="BY104" s="1346">
        <f>'Form Sa1'!BS788</f>
        <v>0</v>
      </c>
      <c r="BZ104" s="1346">
        <f>'Form Sa1'!BT788</f>
        <v>0</v>
      </c>
      <c r="CA104" s="1346">
        <f>'Form Sa1'!BU788</f>
        <v>0</v>
      </c>
      <c r="CB104" s="1346">
        <f>'Form Sa1'!BV788</f>
        <v>0</v>
      </c>
      <c r="CC104" s="1346">
        <f>'Form Sa1'!BW788</f>
        <v>0</v>
      </c>
      <c r="CD104" s="1346">
        <f>'Form Sa1'!BX788</f>
        <v>0</v>
      </c>
      <c r="CE104" s="1346">
        <f>'Form Sa1'!BY788</f>
        <v>0</v>
      </c>
      <c r="CF104" s="1346">
        <f>'Form Sa1'!BZ788</f>
        <v>0</v>
      </c>
      <c r="CG104" s="1346">
        <f>'Form Sa1'!CA788</f>
        <v>0</v>
      </c>
      <c r="CH104" s="1346">
        <f>'Form Sa1'!CB788</f>
        <v>0</v>
      </c>
      <c r="CI104" s="1346">
        <f>'Form Sa1'!CC788</f>
        <v>0</v>
      </c>
      <c r="CJ104" s="1346">
        <f>'Form Sa1'!CD788</f>
        <v>0</v>
      </c>
      <c r="CK104" s="1346">
        <f>'Form Sa1'!CE788</f>
        <v>0</v>
      </c>
      <c r="CL104" s="1346">
        <f>'Form Sa1'!CF788</f>
        <v>0</v>
      </c>
      <c r="CM104" s="1346">
        <f>'Form Sa1'!CG788</f>
        <v>0</v>
      </c>
      <c r="CN104" s="1346">
        <f>'Form Sa1'!CH788</f>
        <v>0</v>
      </c>
      <c r="CO104" s="1346">
        <f>'Form Sa1'!CI788</f>
        <v>0</v>
      </c>
      <c r="CP104" s="1346">
        <f>'Form Sa1'!CJ788</f>
        <v>0</v>
      </c>
      <c r="CQ104" s="1346">
        <f>'Form Sa1'!CK788</f>
        <v>0</v>
      </c>
      <c r="CR104" s="1346">
        <f>'Form Sa1'!CL788</f>
        <v>0</v>
      </c>
      <c r="CS104" s="1346">
        <f>'Form Sa1'!CM788</f>
        <v>0</v>
      </c>
      <c r="CT104" s="1346">
        <f>'Form Sa1'!CN788</f>
        <v>0</v>
      </c>
      <c r="CU104" s="1346">
        <f>'Form Sa1'!CO788</f>
        <v>0</v>
      </c>
      <c r="CV104" s="1346">
        <f>'Form Sa1'!CP788</f>
        <v>0</v>
      </c>
      <c r="CW104" s="1346">
        <f>'Form Sa1'!CQ788</f>
        <v>0</v>
      </c>
      <c r="CX104" s="1346">
        <f>'Form Sa1'!CR788</f>
        <v>0</v>
      </c>
      <c r="CY104" s="1346">
        <f>'Form Sa1'!CS788</f>
        <v>0</v>
      </c>
      <c r="CZ104" s="1346">
        <f>'Form Sa1'!CT788</f>
        <v>0</v>
      </c>
      <c r="DA104" s="1346">
        <f>'Form Sa1'!CU788</f>
        <v>0</v>
      </c>
      <c r="DB104" s="1346">
        <f>'Form Sa1'!CV788</f>
        <v>0</v>
      </c>
      <c r="DC104" s="1346">
        <f>'Form Sa1'!CW788</f>
        <v>0</v>
      </c>
      <c r="DD104" s="1346">
        <f>'Form Sa1'!CX788</f>
        <v>0</v>
      </c>
      <c r="DE104" s="1346">
        <f>'Form Sa1'!CY788</f>
        <v>0</v>
      </c>
      <c r="DF104" s="1346">
        <f>'Form Sa1'!CZ788</f>
        <v>0</v>
      </c>
      <c r="DG104" s="1346">
        <f>'Form Sa1'!DA788</f>
        <v>0</v>
      </c>
      <c r="DH104" s="1346">
        <f>'Form Sa1'!DB788</f>
        <v>0</v>
      </c>
      <c r="DI104" s="1346">
        <f>'Form Sa1'!DC788</f>
        <v>0</v>
      </c>
      <c r="DJ104" s="1346">
        <f>'Form Sa1'!DD788</f>
        <v>0</v>
      </c>
      <c r="DK104" s="1346">
        <f>'Form Sa1'!DE788</f>
        <v>0</v>
      </c>
      <c r="DL104" s="1346">
        <f>'Form Sa1'!DF788</f>
        <v>0</v>
      </c>
      <c r="DM104" s="1346">
        <f>'Form Sa1'!DG788</f>
        <v>0</v>
      </c>
      <c r="DN104" s="1346">
        <f>'Form Sa1'!DH788</f>
        <v>0</v>
      </c>
      <c r="DO104" s="1346">
        <f>'Form Sa1'!DI788</f>
        <v>0</v>
      </c>
      <c r="DP104" s="1346">
        <f>'Form Sa1'!DJ788</f>
        <v>0</v>
      </c>
      <c r="DQ104" s="1346">
        <f>'Form Sa1'!DK788</f>
        <v>0</v>
      </c>
      <c r="DR104" s="1346">
        <f>'Form Sa1'!DL788</f>
        <v>0</v>
      </c>
      <c r="DS104" s="1346">
        <f>'Form Sa1'!DM788</f>
        <v>0</v>
      </c>
      <c r="DT104" s="1346">
        <f>'Form Sa1'!DN788</f>
        <v>0</v>
      </c>
      <c r="DU104" s="1346">
        <f>'Form Sa1'!DO788</f>
        <v>0</v>
      </c>
      <c r="DV104" s="1346">
        <f>'Form Sa1'!DP788</f>
        <v>0</v>
      </c>
      <c r="DW104" s="1346">
        <f>'Form Sa1'!DQ788</f>
        <v>0</v>
      </c>
      <c r="DX104" s="1346">
        <f>'Form Sa1'!DR788</f>
        <v>0</v>
      </c>
      <c r="DY104" s="1346">
        <f>'Form Sa1'!DS788</f>
        <v>0</v>
      </c>
      <c r="DZ104" s="1346">
        <f>'Form Sa1'!DT788</f>
        <v>0</v>
      </c>
      <c r="EA104" s="1346">
        <f>'Form Sa1'!DU788</f>
        <v>0</v>
      </c>
      <c r="EB104" s="1346">
        <f>'Form Sa1'!DV788</f>
        <v>0</v>
      </c>
      <c r="EC104" s="1346">
        <f>'Form Sa1'!DW788</f>
        <v>0</v>
      </c>
      <c r="ED104" s="1346">
        <f>'Form Sa1'!DX788</f>
        <v>0</v>
      </c>
      <c r="EE104" s="1346">
        <f>'Form Sa1'!DY788</f>
        <v>0</v>
      </c>
      <c r="EF104" s="1346">
        <f>'Form Sa1'!DZ788</f>
        <v>0</v>
      </c>
      <c r="EG104" s="1346">
        <f>'Form Sa1'!EA788</f>
        <v>0</v>
      </c>
      <c r="EH104" s="1346">
        <f>'Form Sa1'!EB788</f>
        <v>0</v>
      </c>
      <c r="EI104" s="1346">
        <f>'Form Sa1'!EC788</f>
        <v>0</v>
      </c>
      <c r="EJ104" s="1346">
        <f>'Form Sa1'!ED788</f>
        <v>0</v>
      </c>
      <c r="EK104" s="1346">
        <f>'Form Sa1'!EE788</f>
        <v>0</v>
      </c>
      <c r="EL104" s="1346">
        <f>'Form Sa1'!EF788</f>
        <v>0</v>
      </c>
      <c r="EM104" s="1346">
        <f>'Form Sa1'!EG788</f>
        <v>0</v>
      </c>
      <c r="EN104" s="1346">
        <f>'Form Sa1'!EH788</f>
        <v>0</v>
      </c>
      <c r="EO104" s="1346">
        <f>'Form Sa1'!EI788</f>
        <v>0</v>
      </c>
      <c r="EP104" s="1346">
        <f>'Form Sa1'!EJ788</f>
        <v>0</v>
      </c>
      <c r="EQ104" s="1346">
        <f>'Form Sa1'!EK788</f>
        <v>0</v>
      </c>
      <c r="ER104" s="1346">
        <f>'Form Sa1'!EL788</f>
        <v>0</v>
      </c>
      <c r="ES104" s="1346">
        <f>'Form Sa1'!EM788</f>
        <v>0</v>
      </c>
      <c r="ET104" s="1346">
        <f>'Form Sa1'!EN788</f>
        <v>0</v>
      </c>
      <c r="EU104" s="1346">
        <f>'Form Sa1'!EO788</f>
        <v>0</v>
      </c>
      <c r="EV104" s="1346">
        <f>'Form Sa1'!EP788</f>
        <v>0</v>
      </c>
      <c r="EW104" s="1346">
        <f>'Form Sa1'!EQ788</f>
        <v>0</v>
      </c>
      <c r="EX104" s="1346">
        <f>'Form Sa1'!ER788</f>
        <v>0</v>
      </c>
      <c r="EY104" s="1346">
        <f>'Form Sa1'!ES788</f>
        <v>0</v>
      </c>
      <c r="EZ104" s="1346">
        <f>'Form Sa1'!ET788</f>
        <v>0</v>
      </c>
      <c r="FA104" s="1346">
        <f>'Form Sa1'!EU788</f>
        <v>0</v>
      </c>
      <c r="FB104" s="1346">
        <f>'Form Sa1'!EV788</f>
        <v>0</v>
      </c>
      <c r="FC104" s="1346">
        <f>'Form Sa1'!EW788</f>
        <v>0</v>
      </c>
      <c r="FD104" s="1346">
        <f>'Form Sa1'!EX788</f>
        <v>0</v>
      </c>
      <c r="FE104" s="1346">
        <f>'Form Sa1'!EY788</f>
        <v>0</v>
      </c>
      <c r="FF104" s="1346">
        <f>'Form Sa1'!EZ788</f>
        <v>0</v>
      </c>
      <c r="FG104" s="1346">
        <f>'Form Sa1'!FA788</f>
        <v>0</v>
      </c>
      <c r="FH104" s="1346">
        <f>'Form Sa1'!FB788</f>
        <v>0</v>
      </c>
      <c r="FI104" s="1346">
        <f>'Form Sa1'!FC788</f>
        <v>0</v>
      </c>
      <c r="FJ104" s="1346">
        <f>'Form Sa1'!FD788</f>
        <v>0</v>
      </c>
      <c r="FK104" s="1346">
        <f>'Form Sa1'!FE788</f>
        <v>0</v>
      </c>
      <c r="FL104" s="1346">
        <f>'Form Sa1'!FF788</f>
        <v>0</v>
      </c>
      <c r="FM104" s="1346">
        <f>'Form Sa1'!FG788</f>
        <v>0</v>
      </c>
      <c r="FN104" s="1346">
        <f>'Form Sa1'!FH788</f>
        <v>0</v>
      </c>
      <c r="FO104" s="1346">
        <f>'Form Sa1'!FI788</f>
        <v>0</v>
      </c>
      <c r="FP104" s="1346">
        <f>'Form Sa1'!FJ788</f>
        <v>0</v>
      </c>
      <c r="FQ104" s="1346">
        <f>'Form Sa1'!FK788</f>
        <v>0</v>
      </c>
      <c r="FR104" s="1346">
        <f>'Form Sa1'!FL788</f>
        <v>0</v>
      </c>
      <c r="FS104" s="1346">
        <f>'Form Sa1'!FM788</f>
        <v>0</v>
      </c>
      <c r="FT104" s="1346">
        <f>'Form Sa1'!FN788</f>
        <v>0</v>
      </c>
      <c r="FU104" s="1346">
        <f>'Form Sa1'!FO788</f>
        <v>0</v>
      </c>
      <c r="FV104" s="1346">
        <f>'Form Sa1'!FP788</f>
        <v>0</v>
      </c>
      <c r="FW104" s="1346">
        <f>'Form Sa1'!FQ788</f>
        <v>0</v>
      </c>
      <c r="FX104" s="1346">
        <f>'Form Sa1'!FR788</f>
        <v>0</v>
      </c>
      <c r="FY104" s="1346">
        <f>'Form Sa1'!FS788</f>
        <v>0</v>
      </c>
      <c r="FZ104" s="1346">
        <f>'Form Sa1'!FT788</f>
        <v>0</v>
      </c>
      <c r="GA104" s="1346">
        <f>'Form Sa1'!FU788</f>
        <v>0</v>
      </c>
      <c r="GB104" s="1346">
        <f>'Form Sa1'!FV788</f>
        <v>0</v>
      </c>
      <c r="GC104" s="1346">
        <f>'Form Sa1'!FW788</f>
        <v>0</v>
      </c>
      <c r="GD104" s="1346">
        <f>'Form Sa1'!FX788</f>
        <v>0</v>
      </c>
      <c r="GE104" s="1346">
        <f>'Form Sa1'!FY788</f>
        <v>0</v>
      </c>
      <c r="GF104" s="1346">
        <f>'Form Sa1'!FZ788</f>
        <v>0</v>
      </c>
      <c r="GG104" s="1346">
        <f>'Form Sa1'!GA788</f>
        <v>0</v>
      </c>
      <c r="GH104" s="1346">
        <f>'Form Sa1'!GB788</f>
        <v>0</v>
      </c>
      <c r="GI104" s="1346">
        <f>'Form Sa1'!GC788</f>
        <v>0</v>
      </c>
      <c r="GJ104" s="1346">
        <f>'Form Sa1'!GD788</f>
        <v>0</v>
      </c>
      <c r="GK104" s="1346">
        <f>'Form Sa1'!GE788</f>
        <v>0</v>
      </c>
      <c r="GL104" s="1346">
        <f>'Form Sa1'!GF788</f>
        <v>0</v>
      </c>
      <c r="GM104" s="1346">
        <f>'Form Sa1'!GG788</f>
        <v>0</v>
      </c>
      <c r="GN104" s="1346">
        <f>'Form Sa1'!GH788</f>
        <v>0</v>
      </c>
      <c r="GO104" s="1346">
        <f>'Form Sa1'!GI788</f>
        <v>0</v>
      </c>
      <c r="GP104" s="1346">
        <f>'Form Sa1'!GJ788</f>
        <v>0</v>
      </c>
      <c r="GQ104" s="1346">
        <f>'Form Sa1'!GK788</f>
        <v>0</v>
      </c>
      <c r="GR104" s="1346">
        <f>'Form Sa1'!GL788</f>
        <v>0</v>
      </c>
      <c r="GS104" s="1346">
        <f>'Form Sa1'!GM788</f>
        <v>0</v>
      </c>
      <c r="GT104" s="1346">
        <f>'Form Sa1'!GN788</f>
        <v>0</v>
      </c>
      <c r="GU104" s="1346">
        <f>'Form Sa1'!GO788</f>
        <v>0</v>
      </c>
      <c r="GV104" s="1346">
        <f>'Form Sa1'!GP788</f>
        <v>0</v>
      </c>
      <c r="GW104" s="1346">
        <f>'Form Sa1'!GQ788</f>
        <v>0</v>
      </c>
      <c r="GX104" s="1346">
        <f>'Form Sa1'!GR788</f>
        <v>0</v>
      </c>
      <c r="GY104" s="1346">
        <f>'Form Sa1'!GS788</f>
        <v>0</v>
      </c>
      <c r="GZ104" s="1346">
        <f>'Form Sa1'!GT788</f>
        <v>0</v>
      </c>
      <c r="HA104" s="1346">
        <f>'Form Sa1'!GU788</f>
        <v>0</v>
      </c>
      <c r="HB104" s="1346">
        <f>'Form Sa1'!GV788</f>
        <v>0</v>
      </c>
      <c r="HC104" s="1346">
        <f>'Form Sa1'!GW788</f>
        <v>0</v>
      </c>
      <c r="HD104" s="1346">
        <f>'Form Sa1'!GX788</f>
        <v>0</v>
      </c>
      <c r="HE104" s="1346">
        <f>'Form Sa1'!GY788</f>
        <v>0</v>
      </c>
      <c r="HF104" s="1346">
        <f>'Form Sa1'!GZ788</f>
        <v>0</v>
      </c>
      <c r="HG104" s="1346">
        <f>'Form Sa1'!HA788</f>
        <v>0</v>
      </c>
      <c r="HH104" s="1346">
        <f>'Form Sa1'!HB788</f>
        <v>0</v>
      </c>
      <c r="HI104" s="1346">
        <f>'Form Sa1'!HC788</f>
        <v>0</v>
      </c>
      <c r="HJ104" s="1346">
        <f>'Form Sa1'!HD788</f>
        <v>0</v>
      </c>
      <c r="HK104" s="1346">
        <f>'Form Sa1'!HE788</f>
        <v>0</v>
      </c>
      <c r="HL104" s="1346">
        <f>'Form Sa1'!HF788</f>
        <v>0</v>
      </c>
      <c r="HM104" s="1346">
        <f>'Form Sa1'!HG788</f>
        <v>0</v>
      </c>
      <c r="HN104" s="1346">
        <f>'Form Sa1'!HH788</f>
        <v>0</v>
      </c>
      <c r="HO104" s="1346">
        <f>'Form Sa1'!HI788</f>
        <v>0</v>
      </c>
      <c r="HP104" s="1346">
        <f>'Form Sa1'!HJ788</f>
        <v>0</v>
      </c>
      <c r="HQ104" s="1346">
        <f>'Form Sa1'!HK788</f>
        <v>0</v>
      </c>
      <c r="HR104" s="1346">
        <f>'Form Sa1'!HL788</f>
        <v>0</v>
      </c>
      <c r="HS104" s="1346">
        <f>'Form Sa1'!HM788</f>
        <v>0</v>
      </c>
      <c r="HT104" s="1346">
        <f>'Form Sa1'!HN788</f>
        <v>0</v>
      </c>
      <c r="HU104" s="1346">
        <f>'Form Sa1'!HO788</f>
        <v>0</v>
      </c>
      <c r="HV104" s="1346">
        <f>'Form Sa1'!HP788</f>
        <v>0</v>
      </c>
      <c r="HW104" s="1346">
        <f>'Form Sa1'!HQ788</f>
        <v>0</v>
      </c>
      <c r="HX104" s="1346">
        <f>'Form Sa1'!HR788</f>
        <v>0</v>
      </c>
      <c r="HY104" s="1346">
        <f>'Form Sa1'!HS788</f>
        <v>0</v>
      </c>
      <c r="HZ104" s="1346">
        <f>'Form Sa1'!HT788</f>
        <v>0</v>
      </c>
      <c r="IA104" s="1346">
        <f>'Form Sa1'!HU788</f>
        <v>0</v>
      </c>
      <c r="IB104" s="1346">
        <f>'Form Sa1'!HV788</f>
        <v>0</v>
      </c>
      <c r="IC104" s="1346">
        <f>'Form Sa1'!HW788</f>
        <v>0</v>
      </c>
      <c r="ID104" s="1346">
        <f>'Form Sa1'!HX788</f>
        <v>0</v>
      </c>
      <c r="IE104" s="1346">
        <f>'Form Sa1'!HY788</f>
        <v>0</v>
      </c>
      <c r="IF104" s="1346">
        <f>'Form Sa1'!HZ788</f>
        <v>0</v>
      </c>
      <c r="IG104" s="1346">
        <f>'Form Sa1'!IA788</f>
        <v>0</v>
      </c>
      <c r="IH104" s="1346">
        <f>'Form Sa1'!IB788</f>
        <v>0</v>
      </c>
      <c r="II104" s="1346">
        <f>'Form Sa1'!IC788</f>
        <v>0</v>
      </c>
      <c r="IJ104" s="1346">
        <f>'Form Sa1'!ID788</f>
        <v>0</v>
      </c>
      <c r="IK104" s="1346">
        <f>'Form Sa1'!IE788</f>
        <v>0</v>
      </c>
      <c r="IL104" s="1346">
        <f>'Form Sa1'!IF788</f>
        <v>0</v>
      </c>
      <c r="IM104" s="1346">
        <f>'Form Sa1'!IG788</f>
        <v>0</v>
      </c>
      <c r="IN104" s="1346">
        <f>'Form Sa1'!IH788</f>
        <v>0</v>
      </c>
      <c r="IO104" s="1346">
        <f>'Form Sa1'!II788</f>
        <v>0</v>
      </c>
      <c r="IP104" s="1346">
        <f>'Form Sa1'!IJ788</f>
        <v>0</v>
      </c>
      <c r="IQ104" s="1346">
        <f>'Form Sa1'!IK788</f>
        <v>0</v>
      </c>
      <c r="IR104" s="1346">
        <f>'Form Sa1'!IL788</f>
        <v>0</v>
      </c>
      <c r="IS104" s="1346">
        <f>'Form Sa1'!IM788</f>
        <v>0</v>
      </c>
      <c r="IT104" s="1346" t="e">
        <f>'Form Sa1'!#REF!</f>
        <v>#REF!</v>
      </c>
      <c r="IU104" s="1346" t="e">
        <f>'Form Sa1'!#REF!</f>
        <v>#REF!</v>
      </c>
      <c r="IV104" s="1346" t="e">
        <f>'Form Sa1'!#REF!</f>
        <v>#REF!</v>
      </c>
    </row>
    <row r="105" spans="1:256" x14ac:dyDescent="0.25">
      <c r="A105" s="1333" t="s">
        <v>310</v>
      </c>
      <c r="B105" s="1331" t="s">
        <v>3304</v>
      </c>
      <c r="C105" s="1332"/>
      <c r="D105" s="1295" t="s">
        <v>2046</v>
      </c>
      <c r="E105" s="1346">
        <f>'Form Sa1'!H1315</f>
        <v>3636.0935777411933</v>
      </c>
      <c r="F105" s="1346">
        <f>'Form Sa1'!I1315</f>
        <v>0</v>
      </c>
      <c r="G105" s="1346">
        <f>'Form Sa1'!K1315</f>
        <v>0</v>
      </c>
      <c r="H105" s="1346" t="e">
        <f>'Form Sa1'!#REF!</f>
        <v>#REF!</v>
      </c>
      <c r="I105" s="1346" t="e">
        <f>'Form Sa1'!#REF!</f>
        <v>#REF!</v>
      </c>
      <c r="J105" s="1346" t="e">
        <f>'Form Sa1'!#REF!</f>
        <v>#REF!</v>
      </c>
      <c r="K105" s="1346" t="e">
        <f>'Form Sa1'!#REF!</f>
        <v>#REF!</v>
      </c>
      <c r="L105" s="1346" t="e">
        <f>'Form Sa1'!#REF!</f>
        <v>#REF!</v>
      </c>
      <c r="M105" s="1346" t="e">
        <f>'Form Sa1'!#REF!</f>
        <v>#REF!</v>
      </c>
      <c r="N105" s="1346" t="e">
        <f>'Form Sa1'!#REF!</f>
        <v>#REF!</v>
      </c>
      <c r="O105" s="1346" t="e">
        <f>'Form Sa1'!#REF!</f>
        <v>#REF!</v>
      </c>
      <c r="P105" s="1346" t="e">
        <f>'Form Sa1'!#REF!</f>
        <v>#REF!</v>
      </c>
      <c r="Q105" s="1346" t="e">
        <f>'Form Sa1'!#REF!</f>
        <v>#REF!</v>
      </c>
      <c r="R105" s="1346">
        <f>'Form Sa1'!L1314</f>
        <v>0</v>
      </c>
      <c r="S105" s="1346">
        <f>'Form Sa1'!M1314</f>
        <v>0</v>
      </c>
      <c r="T105" s="1346">
        <f>'Form Sa1'!N1314</f>
        <v>0</v>
      </c>
      <c r="U105" s="1346">
        <f>'Form Sa1'!O1314</f>
        <v>0</v>
      </c>
      <c r="V105" s="1346">
        <f>'Form Sa1'!P1314</f>
        <v>0</v>
      </c>
      <c r="W105" s="1346">
        <f>'Form Sa1'!Q1314</f>
        <v>0</v>
      </c>
      <c r="X105" s="1346">
        <f>'Form Sa1'!R1314</f>
        <v>0</v>
      </c>
      <c r="Y105" s="1346">
        <f>'Form Sa1'!S1314</f>
        <v>0</v>
      </c>
      <c r="Z105" s="1346">
        <f>'Form Sa1'!T1314</f>
        <v>0</v>
      </c>
      <c r="AA105" s="1346">
        <f>'Form Sa1'!U1314</f>
        <v>0</v>
      </c>
      <c r="AB105" s="1346">
        <f>'Form Sa1'!V1314</f>
        <v>0</v>
      </c>
      <c r="AC105" s="1346">
        <f>'Form Sa1'!W1314</f>
        <v>0</v>
      </c>
      <c r="AD105" s="1346">
        <f>'Form Sa1'!X1314</f>
        <v>0</v>
      </c>
      <c r="AE105" s="1346">
        <f>'Form Sa1'!Y1314</f>
        <v>0</v>
      </c>
      <c r="AF105" s="1346">
        <f>'Form Sa1'!Z1314</f>
        <v>0</v>
      </c>
      <c r="AG105" s="1346">
        <f>'Form Sa1'!AA1314</f>
        <v>0</v>
      </c>
      <c r="AH105" s="1346">
        <f>'Form Sa1'!AB1314</f>
        <v>0</v>
      </c>
      <c r="AI105" s="1346">
        <f>'Form Sa1'!AC1314</f>
        <v>0</v>
      </c>
      <c r="AJ105" s="1346">
        <f>'Form Sa1'!AD1314</f>
        <v>0</v>
      </c>
      <c r="AK105" s="1346">
        <f>'Form Sa1'!AE1314</f>
        <v>0</v>
      </c>
      <c r="AL105" s="1346">
        <f>'Form Sa1'!AF1314</f>
        <v>0</v>
      </c>
      <c r="AM105" s="1346">
        <f>'Form Sa1'!AG1314</f>
        <v>0</v>
      </c>
      <c r="AN105" s="1346">
        <f>'Form Sa1'!AH1314</f>
        <v>0</v>
      </c>
      <c r="AO105" s="1346">
        <f>'Form Sa1'!AI1314</f>
        <v>0</v>
      </c>
      <c r="AP105" s="1346">
        <f>'Form Sa1'!AJ1314</f>
        <v>0</v>
      </c>
      <c r="AQ105" s="1346">
        <f>'Form Sa1'!AK1314</f>
        <v>0</v>
      </c>
      <c r="AR105" s="1346">
        <f>'Form Sa1'!AL1314</f>
        <v>0</v>
      </c>
      <c r="AS105" s="1346">
        <f>'Form Sa1'!AM1314</f>
        <v>0</v>
      </c>
      <c r="AT105" s="1346">
        <f>'Form Sa1'!AN1314</f>
        <v>0</v>
      </c>
      <c r="AU105" s="1346">
        <f>'Form Sa1'!AO1314</f>
        <v>0</v>
      </c>
      <c r="AV105" s="1346">
        <f>'Form Sa1'!AP1314</f>
        <v>0</v>
      </c>
      <c r="AW105" s="1346">
        <f>'Form Sa1'!AQ1314</f>
        <v>0</v>
      </c>
      <c r="AX105" s="1346">
        <f>'Form Sa1'!AR1314</f>
        <v>0</v>
      </c>
      <c r="AY105" s="1346">
        <f>'Form Sa1'!AS1314</f>
        <v>0</v>
      </c>
      <c r="AZ105" s="1346">
        <f>'Form Sa1'!AT1314</f>
        <v>0</v>
      </c>
      <c r="BA105" s="1346">
        <f>'Form Sa1'!AU1314</f>
        <v>0</v>
      </c>
      <c r="BB105" s="1346">
        <f>'Form Sa1'!AV1314</f>
        <v>0</v>
      </c>
      <c r="BC105" s="1346">
        <f>'Form Sa1'!AW1314</f>
        <v>0</v>
      </c>
      <c r="BD105" s="1346">
        <f>'Form Sa1'!AX1314</f>
        <v>0</v>
      </c>
      <c r="BE105" s="1346">
        <f>'Form Sa1'!AY1314</f>
        <v>0</v>
      </c>
      <c r="BF105" s="1346">
        <f>'Form Sa1'!AZ1314</f>
        <v>0</v>
      </c>
      <c r="BG105" s="1346">
        <f>'Form Sa1'!BA1314</f>
        <v>0</v>
      </c>
      <c r="BH105" s="1346">
        <f>'Form Sa1'!BB1314</f>
        <v>0</v>
      </c>
      <c r="BI105" s="1346">
        <f>'Form Sa1'!BC1314</f>
        <v>0</v>
      </c>
      <c r="BJ105" s="1346">
        <f>'Form Sa1'!BD1314</f>
        <v>0</v>
      </c>
      <c r="BK105" s="1346">
        <f>'Form Sa1'!BE1314</f>
        <v>0</v>
      </c>
      <c r="BL105" s="1346">
        <f>'Form Sa1'!BF1314</f>
        <v>0</v>
      </c>
      <c r="BM105" s="1346">
        <f>'Form Sa1'!BG1314</f>
        <v>0</v>
      </c>
      <c r="BN105" s="1346">
        <f>'Form Sa1'!BH1314</f>
        <v>0</v>
      </c>
      <c r="BO105" s="1346">
        <f>'Form Sa1'!BI1314</f>
        <v>0</v>
      </c>
      <c r="BP105" s="1346">
        <f>'Form Sa1'!BJ1314</f>
        <v>0</v>
      </c>
      <c r="BQ105" s="1346">
        <f>'Form Sa1'!BK1314</f>
        <v>0</v>
      </c>
      <c r="BR105" s="1346">
        <f>'Form Sa1'!BL1314</f>
        <v>0</v>
      </c>
      <c r="BS105" s="1346">
        <f>'Form Sa1'!BM1314</f>
        <v>0</v>
      </c>
      <c r="BT105" s="1346">
        <f>'Form Sa1'!BN1314</f>
        <v>0</v>
      </c>
      <c r="BU105" s="1346">
        <f>'Form Sa1'!BO1314</f>
        <v>0</v>
      </c>
      <c r="BV105" s="1346">
        <f>'Form Sa1'!BP1314</f>
        <v>0</v>
      </c>
      <c r="BW105" s="1346">
        <f>'Form Sa1'!BQ1314</f>
        <v>0</v>
      </c>
      <c r="BX105" s="1346">
        <f>'Form Sa1'!BR1314</f>
        <v>0</v>
      </c>
      <c r="BY105" s="1346">
        <f>'Form Sa1'!BS1314</f>
        <v>0</v>
      </c>
      <c r="BZ105" s="1346">
        <f>'Form Sa1'!BT1314</f>
        <v>0</v>
      </c>
      <c r="CA105" s="1346">
        <f>'Form Sa1'!BU1314</f>
        <v>0</v>
      </c>
      <c r="CB105" s="1346">
        <f>'Form Sa1'!BV1314</f>
        <v>0</v>
      </c>
      <c r="CC105" s="1346">
        <f>'Form Sa1'!BW1314</f>
        <v>0</v>
      </c>
      <c r="CD105" s="1346">
        <f>'Form Sa1'!BX1314</f>
        <v>0</v>
      </c>
      <c r="CE105" s="1346">
        <f>'Form Sa1'!BY1314</f>
        <v>0</v>
      </c>
      <c r="CF105" s="1346">
        <f>'Form Sa1'!BZ1314</f>
        <v>0</v>
      </c>
      <c r="CG105" s="1346">
        <f>'Form Sa1'!CA1314</f>
        <v>0</v>
      </c>
      <c r="CH105" s="1346">
        <f>'Form Sa1'!CB1314</f>
        <v>0</v>
      </c>
      <c r="CI105" s="1346">
        <f>'Form Sa1'!CC1314</f>
        <v>0</v>
      </c>
      <c r="CJ105" s="1346">
        <f>'Form Sa1'!CD1314</f>
        <v>0</v>
      </c>
      <c r="CK105" s="1346">
        <f>'Form Sa1'!CE1314</f>
        <v>0</v>
      </c>
      <c r="CL105" s="1346">
        <f>'Form Sa1'!CF1314</f>
        <v>0</v>
      </c>
      <c r="CM105" s="1346">
        <f>'Form Sa1'!CG1314</f>
        <v>0</v>
      </c>
      <c r="CN105" s="1346">
        <f>'Form Sa1'!CH1314</f>
        <v>0</v>
      </c>
      <c r="CO105" s="1346">
        <f>'Form Sa1'!CI1314</f>
        <v>0</v>
      </c>
      <c r="CP105" s="1346">
        <f>'Form Sa1'!CJ1314</f>
        <v>0</v>
      </c>
      <c r="CQ105" s="1346">
        <f>'Form Sa1'!CK1314</f>
        <v>0</v>
      </c>
      <c r="CR105" s="1346">
        <f>'Form Sa1'!CL1314</f>
        <v>0</v>
      </c>
      <c r="CS105" s="1346">
        <f>'Form Sa1'!CM1314</f>
        <v>0</v>
      </c>
      <c r="CT105" s="1346">
        <f>'Form Sa1'!CN1314</f>
        <v>0</v>
      </c>
      <c r="CU105" s="1346">
        <f>'Form Sa1'!CO1314</f>
        <v>0</v>
      </c>
      <c r="CV105" s="1346">
        <f>'Form Sa1'!CP1314</f>
        <v>0</v>
      </c>
      <c r="CW105" s="1346">
        <f>'Form Sa1'!CQ1314</f>
        <v>0</v>
      </c>
      <c r="CX105" s="1346">
        <f>'Form Sa1'!CR1314</f>
        <v>0</v>
      </c>
      <c r="CY105" s="1346">
        <f>'Form Sa1'!CS1314</f>
        <v>0</v>
      </c>
      <c r="CZ105" s="1346">
        <f>'Form Sa1'!CT1314</f>
        <v>0</v>
      </c>
      <c r="DA105" s="1346">
        <f>'Form Sa1'!CU1314</f>
        <v>0</v>
      </c>
      <c r="DB105" s="1346">
        <f>'Form Sa1'!CV1314</f>
        <v>0</v>
      </c>
      <c r="DC105" s="1346">
        <f>'Form Sa1'!CW1314</f>
        <v>0</v>
      </c>
      <c r="DD105" s="1346">
        <f>'Form Sa1'!CX1314</f>
        <v>0</v>
      </c>
      <c r="DE105" s="1346">
        <f>'Form Sa1'!CY1314</f>
        <v>0</v>
      </c>
      <c r="DF105" s="1346">
        <f>'Form Sa1'!CZ1314</f>
        <v>0</v>
      </c>
      <c r="DG105" s="1346">
        <f>'Form Sa1'!DA1314</f>
        <v>0</v>
      </c>
      <c r="DH105" s="1346">
        <f>'Form Sa1'!DB1314</f>
        <v>0</v>
      </c>
      <c r="DI105" s="1346">
        <f>'Form Sa1'!DC1314</f>
        <v>0</v>
      </c>
      <c r="DJ105" s="1346">
        <f>'Form Sa1'!DD1314</f>
        <v>0</v>
      </c>
      <c r="DK105" s="1346">
        <f>'Form Sa1'!DE1314</f>
        <v>0</v>
      </c>
      <c r="DL105" s="1346">
        <f>'Form Sa1'!DF1314</f>
        <v>0</v>
      </c>
      <c r="DM105" s="1346">
        <f>'Form Sa1'!DG1314</f>
        <v>0</v>
      </c>
      <c r="DN105" s="1346">
        <f>'Form Sa1'!DH1314</f>
        <v>0</v>
      </c>
      <c r="DO105" s="1346">
        <f>'Form Sa1'!DI1314</f>
        <v>0</v>
      </c>
      <c r="DP105" s="1346">
        <f>'Form Sa1'!DJ1314</f>
        <v>0</v>
      </c>
      <c r="DQ105" s="1346">
        <f>'Form Sa1'!DK1314</f>
        <v>0</v>
      </c>
      <c r="DR105" s="1346">
        <f>'Form Sa1'!DL1314</f>
        <v>0</v>
      </c>
      <c r="DS105" s="1346">
        <f>'Form Sa1'!DM1314</f>
        <v>0</v>
      </c>
      <c r="DT105" s="1346">
        <f>'Form Sa1'!DN1314</f>
        <v>0</v>
      </c>
      <c r="DU105" s="1346">
        <f>'Form Sa1'!DO1314</f>
        <v>0</v>
      </c>
      <c r="DV105" s="1346">
        <f>'Form Sa1'!DP1314</f>
        <v>0</v>
      </c>
      <c r="DW105" s="1346">
        <f>'Form Sa1'!DQ1314</f>
        <v>0</v>
      </c>
      <c r="DX105" s="1346">
        <f>'Form Sa1'!DR1314</f>
        <v>0</v>
      </c>
      <c r="DY105" s="1346">
        <f>'Form Sa1'!DS1314</f>
        <v>0</v>
      </c>
      <c r="DZ105" s="1346">
        <f>'Form Sa1'!DT1314</f>
        <v>0</v>
      </c>
      <c r="EA105" s="1346">
        <f>'Form Sa1'!DU1314</f>
        <v>0</v>
      </c>
      <c r="EB105" s="1346">
        <f>'Form Sa1'!DV1314</f>
        <v>0</v>
      </c>
      <c r="EC105" s="1346">
        <f>'Form Sa1'!DW1314</f>
        <v>0</v>
      </c>
      <c r="ED105" s="1346">
        <f>'Form Sa1'!DX1314</f>
        <v>0</v>
      </c>
      <c r="EE105" s="1346">
        <f>'Form Sa1'!DY1314</f>
        <v>0</v>
      </c>
      <c r="EF105" s="1346">
        <f>'Form Sa1'!DZ1314</f>
        <v>0</v>
      </c>
      <c r="EG105" s="1346">
        <f>'Form Sa1'!EA1314</f>
        <v>0</v>
      </c>
      <c r="EH105" s="1346">
        <f>'Form Sa1'!EB1314</f>
        <v>0</v>
      </c>
      <c r="EI105" s="1346">
        <f>'Form Sa1'!EC1314</f>
        <v>0</v>
      </c>
      <c r="EJ105" s="1346">
        <f>'Form Sa1'!ED1314</f>
        <v>0</v>
      </c>
      <c r="EK105" s="1346">
        <f>'Form Sa1'!EE1314</f>
        <v>0</v>
      </c>
      <c r="EL105" s="1346">
        <f>'Form Sa1'!EF1314</f>
        <v>0</v>
      </c>
      <c r="EM105" s="1346">
        <f>'Form Sa1'!EG1314</f>
        <v>0</v>
      </c>
      <c r="EN105" s="1346">
        <f>'Form Sa1'!EH1314</f>
        <v>0</v>
      </c>
      <c r="EO105" s="1346">
        <f>'Form Sa1'!EI1314</f>
        <v>0</v>
      </c>
      <c r="EP105" s="1346">
        <f>'Form Sa1'!EJ1314</f>
        <v>0</v>
      </c>
      <c r="EQ105" s="1346">
        <f>'Form Sa1'!EK1314</f>
        <v>0</v>
      </c>
      <c r="ER105" s="1346">
        <f>'Form Sa1'!EL1314</f>
        <v>0</v>
      </c>
      <c r="ES105" s="1346">
        <f>'Form Sa1'!EM1314</f>
        <v>0</v>
      </c>
      <c r="ET105" s="1346">
        <f>'Form Sa1'!EN1314</f>
        <v>0</v>
      </c>
      <c r="EU105" s="1346">
        <f>'Form Sa1'!EO1314</f>
        <v>0</v>
      </c>
      <c r="EV105" s="1346">
        <f>'Form Sa1'!EP1314</f>
        <v>0</v>
      </c>
      <c r="EW105" s="1346">
        <f>'Form Sa1'!EQ1314</f>
        <v>0</v>
      </c>
      <c r="EX105" s="1346">
        <f>'Form Sa1'!ER1314</f>
        <v>0</v>
      </c>
      <c r="EY105" s="1346">
        <f>'Form Sa1'!ES1314</f>
        <v>0</v>
      </c>
      <c r="EZ105" s="1346">
        <f>'Form Sa1'!ET1314</f>
        <v>0</v>
      </c>
      <c r="FA105" s="1346">
        <f>'Form Sa1'!EU1314</f>
        <v>0</v>
      </c>
      <c r="FB105" s="1346">
        <f>'Form Sa1'!EV1314</f>
        <v>0</v>
      </c>
      <c r="FC105" s="1346">
        <f>'Form Sa1'!EW1314</f>
        <v>0</v>
      </c>
      <c r="FD105" s="1346">
        <f>'Form Sa1'!EX1314</f>
        <v>0</v>
      </c>
      <c r="FE105" s="1346">
        <f>'Form Sa1'!EY1314</f>
        <v>0</v>
      </c>
      <c r="FF105" s="1346">
        <f>'Form Sa1'!EZ1314</f>
        <v>0</v>
      </c>
      <c r="FG105" s="1346">
        <f>'Form Sa1'!FA1314</f>
        <v>0</v>
      </c>
      <c r="FH105" s="1346">
        <f>'Form Sa1'!FB1314</f>
        <v>0</v>
      </c>
      <c r="FI105" s="1346">
        <f>'Form Sa1'!FC1314</f>
        <v>0</v>
      </c>
      <c r="FJ105" s="1346">
        <f>'Form Sa1'!FD1314</f>
        <v>0</v>
      </c>
      <c r="FK105" s="1346">
        <f>'Form Sa1'!FE1314</f>
        <v>0</v>
      </c>
      <c r="FL105" s="1346">
        <f>'Form Sa1'!FF1314</f>
        <v>0</v>
      </c>
      <c r="FM105" s="1346">
        <f>'Form Sa1'!FG1314</f>
        <v>0</v>
      </c>
      <c r="FN105" s="1346">
        <f>'Form Sa1'!FH1314</f>
        <v>0</v>
      </c>
      <c r="FO105" s="1346">
        <f>'Form Sa1'!FI1314</f>
        <v>0</v>
      </c>
      <c r="FP105" s="1346">
        <f>'Form Sa1'!FJ1314</f>
        <v>0</v>
      </c>
      <c r="FQ105" s="1346">
        <f>'Form Sa1'!FK1314</f>
        <v>0</v>
      </c>
      <c r="FR105" s="1346">
        <f>'Form Sa1'!FL1314</f>
        <v>0</v>
      </c>
      <c r="FS105" s="1346">
        <f>'Form Sa1'!FM1314</f>
        <v>0</v>
      </c>
      <c r="FT105" s="1346">
        <f>'Form Sa1'!FN1314</f>
        <v>0</v>
      </c>
      <c r="FU105" s="1346">
        <f>'Form Sa1'!FO1314</f>
        <v>0</v>
      </c>
      <c r="FV105" s="1346">
        <f>'Form Sa1'!FP1314</f>
        <v>0</v>
      </c>
      <c r="FW105" s="1346">
        <f>'Form Sa1'!FQ1314</f>
        <v>0</v>
      </c>
      <c r="FX105" s="1346">
        <f>'Form Sa1'!FR1314</f>
        <v>0</v>
      </c>
      <c r="FY105" s="1346">
        <f>'Form Sa1'!FS1314</f>
        <v>0</v>
      </c>
      <c r="FZ105" s="1346">
        <f>'Form Sa1'!FT1314</f>
        <v>0</v>
      </c>
      <c r="GA105" s="1346">
        <f>'Form Sa1'!FU1314</f>
        <v>0</v>
      </c>
      <c r="GB105" s="1346">
        <f>'Form Sa1'!FV1314</f>
        <v>0</v>
      </c>
      <c r="GC105" s="1346">
        <f>'Form Sa1'!FW1314</f>
        <v>0</v>
      </c>
      <c r="GD105" s="1346">
        <f>'Form Sa1'!FX1314</f>
        <v>0</v>
      </c>
      <c r="GE105" s="1346">
        <f>'Form Sa1'!FY1314</f>
        <v>0</v>
      </c>
      <c r="GF105" s="1346">
        <f>'Form Sa1'!FZ1314</f>
        <v>0</v>
      </c>
      <c r="GG105" s="1346">
        <f>'Form Sa1'!GA1314</f>
        <v>0</v>
      </c>
      <c r="GH105" s="1346">
        <f>'Form Sa1'!GB1314</f>
        <v>0</v>
      </c>
      <c r="GI105" s="1346">
        <f>'Form Sa1'!GC1314</f>
        <v>0</v>
      </c>
      <c r="GJ105" s="1346">
        <f>'Form Sa1'!GD1314</f>
        <v>0</v>
      </c>
      <c r="GK105" s="1346">
        <f>'Form Sa1'!GE1314</f>
        <v>0</v>
      </c>
      <c r="GL105" s="1346">
        <f>'Form Sa1'!GF1314</f>
        <v>0</v>
      </c>
      <c r="GM105" s="1346">
        <f>'Form Sa1'!GG1314</f>
        <v>0</v>
      </c>
      <c r="GN105" s="1346">
        <f>'Form Sa1'!GH1314</f>
        <v>0</v>
      </c>
      <c r="GO105" s="1346">
        <f>'Form Sa1'!GI1314</f>
        <v>0</v>
      </c>
      <c r="GP105" s="1346">
        <f>'Form Sa1'!GJ1314</f>
        <v>0</v>
      </c>
      <c r="GQ105" s="1346">
        <f>'Form Sa1'!GK1314</f>
        <v>0</v>
      </c>
      <c r="GR105" s="1346">
        <f>'Form Sa1'!GL1314</f>
        <v>0</v>
      </c>
      <c r="GS105" s="1346">
        <f>'Form Sa1'!GM1314</f>
        <v>0</v>
      </c>
      <c r="GT105" s="1346">
        <f>'Form Sa1'!GN1314</f>
        <v>0</v>
      </c>
      <c r="GU105" s="1346">
        <f>'Form Sa1'!GO1314</f>
        <v>0</v>
      </c>
      <c r="GV105" s="1346">
        <f>'Form Sa1'!GP1314</f>
        <v>0</v>
      </c>
      <c r="GW105" s="1346">
        <f>'Form Sa1'!GQ1314</f>
        <v>0</v>
      </c>
      <c r="GX105" s="1346">
        <f>'Form Sa1'!GR1314</f>
        <v>0</v>
      </c>
      <c r="GY105" s="1346">
        <f>'Form Sa1'!GS1314</f>
        <v>0</v>
      </c>
      <c r="GZ105" s="1346">
        <f>'Form Sa1'!GT1314</f>
        <v>0</v>
      </c>
      <c r="HA105" s="1346">
        <f>'Form Sa1'!GU1314</f>
        <v>0</v>
      </c>
      <c r="HB105" s="1346">
        <f>'Form Sa1'!GV1314</f>
        <v>0</v>
      </c>
      <c r="HC105" s="1346">
        <f>'Form Sa1'!GW1314</f>
        <v>0</v>
      </c>
      <c r="HD105" s="1346">
        <f>'Form Sa1'!GX1314</f>
        <v>0</v>
      </c>
      <c r="HE105" s="1346">
        <f>'Form Sa1'!GY1314</f>
        <v>0</v>
      </c>
      <c r="HF105" s="1346">
        <f>'Form Sa1'!GZ1314</f>
        <v>0</v>
      </c>
      <c r="HG105" s="1346">
        <f>'Form Sa1'!HA1314</f>
        <v>0</v>
      </c>
      <c r="HH105" s="1346">
        <f>'Form Sa1'!HB1314</f>
        <v>0</v>
      </c>
      <c r="HI105" s="1346">
        <f>'Form Sa1'!HC1314</f>
        <v>0</v>
      </c>
      <c r="HJ105" s="1346">
        <f>'Form Sa1'!HD1314</f>
        <v>0</v>
      </c>
      <c r="HK105" s="1346">
        <f>'Form Sa1'!HE1314</f>
        <v>0</v>
      </c>
      <c r="HL105" s="1346">
        <f>'Form Sa1'!HF1314</f>
        <v>0</v>
      </c>
      <c r="HM105" s="1346">
        <f>'Form Sa1'!HG1314</f>
        <v>0</v>
      </c>
      <c r="HN105" s="1346">
        <f>'Form Sa1'!HH1314</f>
        <v>0</v>
      </c>
      <c r="HO105" s="1346">
        <f>'Form Sa1'!HI1314</f>
        <v>0</v>
      </c>
      <c r="HP105" s="1346">
        <f>'Form Sa1'!HJ1314</f>
        <v>0</v>
      </c>
      <c r="HQ105" s="1346">
        <f>'Form Sa1'!HK1314</f>
        <v>0</v>
      </c>
      <c r="HR105" s="1346">
        <f>'Form Sa1'!HL1314</f>
        <v>0</v>
      </c>
      <c r="HS105" s="1346">
        <f>'Form Sa1'!HM1314</f>
        <v>0</v>
      </c>
      <c r="HT105" s="1346">
        <f>'Form Sa1'!HN1314</f>
        <v>0</v>
      </c>
      <c r="HU105" s="1346">
        <f>'Form Sa1'!HO1314</f>
        <v>0</v>
      </c>
      <c r="HV105" s="1346">
        <f>'Form Sa1'!HP1314</f>
        <v>0</v>
      </c>
      <c r="HW105" s="1346">
        <f>'Form Sa1'!HQ1314</f>
        <v>0</v>
      </c>
      <c r="HX105" s="1346">
        <f>'Form Sa1'!HR1314</f>
        <v>0</v>
      </c>
      <c r="HY105" s="1346">
        <f>'Form Sa1'!HS1314</f>
        <v>0</v>
      </c>
      <c r="HZ105" s="1346">
        <f>'Form Sa1'!HT1314</f>
        <v>0</v>
      </c>
      <c r="IA105" s="1346">
        <f>'Form Sa1'!HU1314</f>
        <v>0</v>
      </c>
      <c r="IB105" s="1346">
        <f>'Form Sa1'!HV1314</f>
        <v>0</v>
      </c>
      <c r="IC105" s="1346">
        <f>'Form Sa1'!HW1314</f>
        <v>0</v>
      </c>
      <c r="ID105" s="1346">
        <f>'Form Sa1'!HX1314</f>
        <v>0</v>
      </c>
      <c r="IE105" s="1346">
        <f>'Form Sa1'!HY1314</f>
        <v>0</v>
      </c>
      <c r="IF105" s="1346">
        <f>'Form Sa1'!HZ1314</f>
        <v>0</v>
      </c>
      <c r="IG105" s="1346">
        <f>'Form Sa1'!IA1314</f>
        <v>0</v>
      </c>
      <c r="IH105" s="1346">
        <f>'Form Sa1'!IB1314</f>
        <v>0</v>
      </c>
      <c r="II105" s="1346">
        <f>'Form Sa1'!IC1314</f>
        <v>0</v>
      </c>
      <c r="IJ105" s="1346">
        <f>'Form Sa1'!ID1314</f>
        <v>0</v>
      </c>
      <c r="IK105" s="1346">
        <f>'Form Sa1'!IE1314</f>
        <v>0</v>
      </c>
      <c r="IL105" s="1346">
        <f>'Form Sa1'!IF1314</f>
        <v>0</v>
      </c>
      <c r="IM105" s="1346">
        <f>'Form Sa1'!IG1314</f>
        <v>0</v>
      </c>
      <c r="IN105" s="1346">
        <f>'Form Sa1'!IH1314</f>
        <v>0</v>
      </c>
      <c r="IO105" s="1346">
        <f>'Form Sa1'!II1314</f>
        <v>0</v>
      </c>
      <c r="IP105" s="1346">
        <f>'Form Sa1'!IJ1314</f>
        <v>0</v>
      </c>
      <c r="IQ105" s="1346">
        <f>'Form Sa1'!IK1314</f>
        <v>0</v>
      </c>
      <c r="IR105" s="1346">
        <f>'Form Sa1'!IL1314</f>
        <v>0</v>
      </c>
      <c r="IS105" s="1346">
        <f>'Form Sa1'!IM1314</f>
        <v>0</v>
      </c>
      <c r="IT105" s="1346" t="e">
        <f>'Form Sa1'!#REF!</f>
        <v>#REF!</v>
      </c>
      <c r="IU105" s="1346" t="e">
        <f>'Form Sa1'!#REF!</f>
        <v>#REF!</v>
      </c>
      <c r="IV105" s="1346" t="e">
        <f>'Form Sa1'!#REF!</f>
        <v>#REF!</v>
      </c>
    </row>
    <row r="106" spans="1:256" x14ac:dyDescent="0.25">
      <c r="A106" s="1333" t="s">
        <v>312</v>
      </c>
      <c r="B106" s="1331" t="s">
        <v>1497</v>
      </c>
      <c r="C106" s="1332"/>
      <c r="D106" s="1295" t="s">
        <v>1493</v>
      </c>
      <c r="E106" s="1346">
        <f>'Form Sa1'!H790</f>
        <v>0</v>
      </c>
      <c r="F106" s="1346">
        <f>'Form Sa1'!I790</f>
        <v>0</v>
      </c>
      <c r="G106" s="1346">
        <f>'Form Sa1'!K790</f>
        <v>0</v>
      </c>
      <c r="H106" s="1346" t="e">
        <f>'Form Sa1'!#REF!</f>
        <v>#REF!</v>
      </c>
      <c r="I106" s="1346" t="e">
        <f>'Form Sa1'!#REF!</f>
        <v>#REF!</v>
      </c>
      <c r="J106" s="1346" t="e">
        <f>'Form Sa1'!#REF!</f>
        <v>#REF!</v>
      </c>
      <c r="K106" s="1346" t="e">
        <f>'Form Sa1'!#REF!</f>
        <v>#REF!</v>
      </c>
      <c r="L106" s="1346" t="e">
        <f>'Form Sa1'!#REF!</f>
        <v>#REF!</v>
      </c>
      <c r="M106" s="1346" t="e">
        <f>'Form Sa1'!#REF!</f>
        <v>#REF!</v>
      </c>
      <c r="N106" s="1346" t="e">
        <f>'Form Sa1'!#REF!</f>
        <v>#REF!</v>
      </c>
      <c r="O106" s="1346" t="e">
        <f>'Form Sa1'!#REF!</f>
        <v>#REF!</v>
      </c>
      <c r="P106" s="1346" t="e">
        <f>'Form Sa1'!#REF!</f>
        <v>#REF!</v>
      </c>
      <c r="Q106" s="1346" t="e">
        <f>'Form Sa1'!#REF!</f>
        <v>#REF!</v>
      </c>
      <c r="R106" s="1346">
        <f>'Form Sa1'!L789</f>
        <v>0</v>
      </c>
      <c r="S106" s="1346">
        <f>'Form Sa1'!M789</f>
        <v>0</v>
      </c>
      <c r="T106" s="1346">
        <f>'Form Sa1'!N789</f>
        <v>0</v>
      </c>
      <c r="U106" s="1346">
        <f>'Form Sa1'!O789</f>
        <v>0</v>
      </c>
      <c r="V106" s="1346">
        <f>'Form Sa1'!P789</f>
        <v>0</v>
      </c>
      <c r="W106" s="1346">
        <f>'Form Sa1'!Q789</f>
        <v>0</v>
      </c>
      <c r="X106" s="1346">
        <f>'Form Sa1'!R789</f>
        <v>0</v>
      </c>
      <c r="Y106" s="1346">
        <f>'Form Sa1'!S789</f>
        <v>0</v>
      </c>
      <c r="Z106" s="1346">
        <f>'Form Sa1'!T789</f>
        <v>0</v>
      </c>
      <c r="AA106" s="1346">
        <f>'Form Sa1'!U789</f>
        <v>0</v>
      </c>
      <c r="AB106" s="1346">
        <f>'Form Sa1'!V789</f>
        <v>0</v>
      </c>
      <c r="AC106" s="1346">
        <f>'Form Sa1'!W789</f>
        <v>0</v>
      </c>
      <c r="AD106" s="1346">
        <f>'Form Sa1'!X789</f>
        <v>0</v>
      </c>
      <c r="AE106" s="1346">
        <f>'Form Sa1'!Y789</f>
        <v>0</v>
      </c>
      <c r="AF106" s="1346">
        <f>'Form Sa1'!Z789</f>
        <v>0</v>
      </c>
      <c r="AG106" s="1346">
        <f>'Form Sa1'!AA789</f>
        <v>0</v>
      </c>
      <c r="AH106" s="1346">
        <f>'Form Sa1'!AB789</f>
        <v>0</v>
      </c>
      <c r="AI106" s="1346">
        <f>'Form Sa1'!AC789</f>
        <v>0</v>
      </c>
      <c r="AJ106" s="1346">
        <f>'Form Sa1'!AD789</f>
        <v>0</v>
      </c>
      <c r="AK106" s="1346">
        <f>'Form Sa1'!AE789</f>
        <v>0</v>
      </c>
      <c r="AL106" s="1346">
        <f>'Form Sa1'!AF789</f>
        <v>0</v>
      </c>
      <c r="AM106" s="1346">
        <f>'Form Sa1'!AG789</f>
        <v>0</v>
      </c>
      <c r="AN106" s="1346">
        <f>'Form Sa1'!AH789</f>
        <v>0</v>
      </c>
      <c r="AO106" s="1346">
        <f>'Form Sa1'!AI789</f>
        <v>0</v>
      </c>
      <c r="AP106" s="1346">
        <f>'Form Sa1'!AJ789</f>
        <v>0</v>
      </c>
      <c r="AQ106" s="1346">
        <f>'Form Sa1'!AK789</f>
        <v>0</v>
      </c>
      <c r="AR106" s="1346">
        <f>'Form Sa1'!AL789</f>
        <v>0</v>
      </c>
      <c r="AS106" s="1346">
        <f>'Form Sa1'!AM789</f>
        <v>0</v>
      </c>
      <c r="AT106" s="1346">
        <f>'Form Sa1'!AN789</f>
        <v>0</v>
      </c>
      <c r="AU106" s="1346">
        <f>'Form Sa1'!AO789</f>
        <v>0</v>
      </c>
      <c r="AV106" s="1346">
        <f>'Form Sa1'!AP789</f>
        <v>0</v>
      </c>
      <c r="AW106" s="1346">
        <f>'Form Sa1'!AQ789</f>
        <v>0</v>
      </c>
      <c r="AX106" s="1346">
        <f>'Form Sa1'!AR789</f>
        <v>0</v>
      </c>
      <c r="AY106" s="1346">
        <f>'Form Sa1'!AS789</f>
        <v>0</v>
      </c>
      <c r="AZ106" s="1346">
        <f>'Form Sa1'!AT789</f>
        <v>0</v>
      </c>
      <c r="BA106" s="1346">
        <f>'Form Sa1'!AU789</f>
        <v>0</v>
      </c>
      <c r="BB106" s="1346">
        <f>'Form Sa1'!AV789</f>
        <v>0</v>
      </c>
      <c r="BC106" s="1346">
        <f>'Form Sa1'!AW789</f>
        <v>0</v>
      </c>
      <c r="BD106" s="1346">
        <f>'Form Sa1'!AX789</f>
        <v>0</v>
      </c>
      <c r="BE106" s="1346">
        <f>'Form Sa1'!AY789</f>
        <v>0</v>
      </c>
      <c r="BF106" s="1346">
        <f>'Form Sa1'!AZ789</f>
        <v>0</v>
      </c>
      <c r="BG106" s="1346">
        <f>'Form Sa1'!BA789</f>
        <v>0</v>
      </c>
      <c r="BH106" s="1346">
        <f>'Form Sa1'!BB789</f>
        <v>0</v>
      </c>
      <c r="BI106" s="1346">
        <f>'Form Sa1'!BC789</f>
        <v>0</v>
      </c>
      <c r="BJ106" s="1346">
        <f>'Form Sa1'!BD789</f>
        <v>0</v>
      </c>
      <c r="BK106" s="1346">
        <f>'Form Sa1'!BE789</f>
        <v>0</v>
      </c>
      <c r="BL106" s="1346">
        <f>'Form Sa1'!BF789</f>
        <v>0</v>
      </c>
      <c r="BM106" s="1346">
        <f>'Form Sa1'!BG789</f>
        <v>0</v>
      </c>
      <c r="BN106" s="1346">
        <f>'Form Sa1'!BH789</f>
        <v>0</v>
      </c>
      <c r="BO106" s="1346">
        <f>'Form Sa1'!BI789</f>
        <v>0</v>
      </c>
      <c r="BP106" s="1346">
        <f>'Form Sa1'!BJ789</f>
        <v>0</v>
      </c>
      <c r="BQ106" s="1346">
        <f>'Form Sa1'!BK789</f>
        <v>0</v>
      </c>
      <c r="BR106" s="1346">
        <f>'Form Sa1'!BL789</f>
        <v>0</v>
      </c>
      <c r="BS106" s="1346">
        <f>'Form Sa1'!BM789</f>
        <v>0</v>
      </c>
      <c r="BT106" s="1346">
        <f>'Form Sa1'!BN789</f>
        <v>0</v>
      </c>
      <c r="BU106" s="1346">
        <f>'Form Sa1'!BO789</f>
        <v>0</v>
      </c>
      <c r="BV106" s="1346">
        <f>'Form Sa1'!BP789</f>
        <v>0</v>
      </c>
      <c r="BW106" s="1346">
        <f>'Form Sa1'!BQ789</f>
        <v>0</v>
      </c>
      <c r="BX106" s="1346">
        <f>'Form Sa1'!BR789</f>
        <v>0</v>
      </c>
      <c r="BY106" s="1346">
        <f>'Form Sa1'!BS789</f>
        <v>0</v>
      </c>
      <c r="BZ106" s="1346">
        <f>'Form Sa1'!BT789</f>
        <v>0</v>
      </c>
      <c r="CA106" s="1346">
        <f>'Form Sa1'!BU789</f>
        <v>0</v>
      </c>
      <c r="CB106" s="1346">
        <f>'Form Sa1'!BV789</f>
        <v>0</v>
      </c>
      <c r="CC106" s="1346">
        <f>'Form Sa1'!BW789</f>
        <v>0</v>
      </c>
      <c r="CD106" s="1346">
        <f>'Form Sa1'!BX789</f>
        <v>0</v>
      </c>
      <c r="CE106" s="1346">
        <f>'Form Sa1'!BY789</f>
        <v>0</v>
      </c>
      <c r="CF106" s="1346">
        <f>'Form Sa1'!BZ789</f>
        <v>0</v>
      </c>
      <c r="CG106" s="1346">
        <f>'Form Sa1'!CA789</f>
        <v>0</v>
      </c>
      <c r="CH106" s="1346">
        <f>'Form Sa1'!CB789</f>
        <v>0</v>
      </c>
      <c r="CI106" s="1346">
        <f>'Form Sa1'!CC789</f>
        <v>0</v>
      </c>
      <c r="CJ106" s="1346">
        <f>'Form Sa1'!CD789</f>
        <v>0</v>
      </c>
      <c r="CK106" s="1346">
        <f>'Form Sa1'!CE789</f>
        <v>0</v>
      </c>
      <c r="CL106" s="1346">
        <f>'Form Sa1'!CF789</f>
        <v>0</v>
      </c>
      <c r="CM106" s="1346">
        <f>'Form Sa1'!CG789</f>
        <v>0</v>
      </c>
      <c r="CN106" s="1346">
        <f>'Form Sa1'!CH789</f>
        <v>0</v>
      </c>
      <c r="CO106" s="1346">
        <f>'Form Sa1'!CI789</f>
        <v>0</v>
      </c>
      <c r="CP106" s="1346">
        <f>'Form Sa1'!CJ789</f>
        <v>0</v>
      </c>
      <c r="CQ106" s="1346">
        <f>'Form Sa1'!CK789</f>
        <v>0</v>
      </c>
      <c r="CR106" s="1346">
        <f>'Form Sa1'!CL789</f>
        <v>0</v>
      </c>
      <c r="CS106" s="1346">
        <f>'Form Sa1'!CM789</f>
        <v>0</v>
      </c>
      <c r="CT106" s="1346">
        <f>'Form Sa1'!CN789</f>
        <v>0</v>
      </c>
      <c r="CU106" s="1346">
        <f>'Form Sa1'!CO789</f>
        <v>0</v>
      </c>
      <c r="CV106" s="1346">
        <f>'Form Sa1'!CP789</f>
        <v>0</v>
      </c>
      <c r="CW106" s="1346">
        <f>'Form Sa1'!CQ789</f>
        <v>0</v>
      </c>
      <c r="CX106" s="1346">
        <f>'Form Sa1'!CR789</f>
        <v>0</v>
      </c>
      <c r="CY106" s="1346">
        <f>'Form Sa1'!CS789</f>
        <v>0</v>
      </c>
      <c r="CZ106" s="1346">
        <f>'Form Sa1'!CT789</f>
        <v>0</v>
      </c>
      <c r="DA106" s="1346">
        <f>'Form Sa1'!CU789</f>
        <v>0</v>
      </c>
      <c r="DB106" s="1346">
        <f>'Form Sa1'!CV789</f>
        <v>0</v>
      </c>
      <c r="DC106" s="1346">
        <f>'Form Sa1'!CW789</f>
        <v>0</v>
      </c>
      <c r="DD106" s="1346">
        <f>'Form Sa1'!CX789</f>
        <v>0</v>
      </c>
      <c r="DE106" s="1346">
        <f>'Form Sa1'!CY789</f>
        <v>0</v>
      </c>
      <c r="DF106" s="1346">
        <f>'Form Sa1'!CZ789</f>
        <v>0</v>
      </c>
      <c r="DG106" s="1346">
        <f>'Form Sa1'!DA789</f>
        <v>0</v>
      </c>
      <c r="DH106" s="1346">
        <f>'Form Sa1'!DB789</f>
        <v>0</v>
      </c>
      <c r="DI106" s="1346">
        <f>'Form Sa1'!DC789</f>
        <v>0</v>
      </c>
      <c r="DJ106" s="1346">
        <f>'Form Sa1'!DD789</f>
        <v>0</v>
      </c>
      <c r="DK106" s="1346">
        <f>'Form Sa1'!DE789</f>
        <v>0</v>
      </c>
      <c r="DL106" s="1346">
        <f>'Form Sa1'!DF789</f>
        <v>0</v>
      </c>
      <c r="DM106" s="1346">
        <f>'Form Sa1'!DG789</f>
        <v>0</v>
      </c>
      <c r="DN106" s="1346">
        <f>'Form Sa1'!DH789</f>
        <v>0</v>
      </c>
      <c r="DO106" s="1346">
        <f>'Form Sa1'!DI789</f>
        <v>0</v>
      </c>
      <c r="DP106" s="1346">
        <f>'Form Sa1'!DJ789</f>
        <v>0</v>
      </c>
      <c r="DQ106" s="1346">
        <f>'Form Sa1'!DK789</f>
        <v>0</v>
      </c>
      <c r="DR106" s="1346">
        <f>'Form Sa1'!DL789</f>
        <v>0</v>
      </c>
      <c r="DS106" s="1346">
        <f>'Form Sa1'!DM789</f>
        <v>0</v>
      </c>
      <c r="DT106" s="1346">
        <f>'Form Sa1'!DN789</f>
        <v>0</v>
      </c>
      <c r="DU106" s="1346">
        <f>'Form Sa1'!DO789</f>
        <v>0</v>
      </c>
      <c r="DV106" s="1346">
        <f>'Form Sa1'!DP789</f>
        <v>0</v>
      </c>
      <c r="DW106" s="1346">
        <f>'Form Sa1'!DQ789</f>
        <v>0</v>
      </c>
      <c r="DX106" s="1346">
        <f>'Form Sa1'!DR789</f>
        <v>0</v>
      </c>
      <c r="DY106" s="1346">
        <f>'Form Sa1'!DS789</f>
        <v>0</v>
      </c>
      <c r="DZ106" s="1346">
        <f>'Form Sa1'!DT789</f>
        <v>0</v>
      </c>
      <c r="EA106" s="1346">
        <f>'Form Sa1'!DU789</f>
        <v>0</v>
      </c>
      <c r="EB106" s="1346">
        <f>'Form Sa1'!DV789</f>
        <v>0</v>
      </c>
      <c r="EC106" s="1346">
        <f>'Form Sa1'!DW789</f>
        <v>0</v>
      </c>
      <c r="ED106" s="1346">
        <f>'Form Sa1'!DX789</f>
        <v>0</v>
      </c>
      <c r="EE106" s="1346">
        <f>'Form Sa1'!DY789</f>
        <v>0</v>
      </c>
      <c r="EF106" s="1346">
        <f>'Form Sa1'!DZ789</f>
        <v>0</v>
      </c>
      <c r="EG106" s="1346">
        <f>'Form Sa1'!EA789</f>
        <v>0</v>
      </c>
      <c r="EH106" s="1346">
        <f>'Form Sa1'!EB789</f>
        <v>0</v>
      </c>
      <c r="EI106" s="1346">
        <f>'Form Sa1'!EC789</f>
        <v>0</v>
      </c>
      <c r="EJ106" s="1346">
        <f>'Form Sa1'!ED789</f>
        <v>0</v>
      </c>
      <c r="EK106" s="1346">
        <f>'Form Sa1'!EE789</f>
        <v>0</v>
      </c>
      <c r="EL106" s="1346">
        <f>'Form Sa1'!EF789</f>
        <v>0</v>
      </c>
      <c r="EM106" s="1346">
        <f>'Form Sa1'!EG789</f>
        <v>0</v>
      </c>
      <c r="EN106" s="1346">
        <f>'Form Sa1'!EH789</f>
        <v>0</v>
      </c>
      <c r="EO106" s="1346">
        <f>'Form Sa1'!EI789</f>
        <v>0</v>
      </c>
      <c r="EP106" s="1346">
        <f>'Form Sa1'!EJ789</f>
        <v>0</v>
      </c>
      <c r="EQ106" s="1346">
        <f>'Form Sa1'!EK789</f>
        <v>0</v>
      </c>
      <c r="ER106" s="1346">
        <f>'Form Sa1'!EL789</f>
        <v>0</v>
      </c>
      <c r="ES106" s="1346">
        <f>'Form Sa1'!EM789</f>
        <v>0</v>
      </c>
      <c r="ET106" s="1346">
        <f>'Form Sa1'!EN789</f>
        <v>0</v>
      </c>
      <c r="EU106" s="1346">
        <f>'Form Sa1'!EO789</f>
        <v>0</v>
      </c>
      <c r="EV106" s="1346">
        <f>'Form Sa1'!EP789</f>
        <v>0</v>
      </c>
      <c r="EW106" s="1346">
        <f>'Form Sa1'!EQ789</f>
        <v>0</v>
      </c>
      <c r="EX106" s="1346">
        <f>'Form Sa1'!ER789</f>
        <v>0</v>
      </c>
      <c r="EY106" s="1346">
        <f>'Form Sa1'!ES789</f>
        <v>0</v>
      </c>
      <c r="EZ106" s="1346">
        <f>'Form Sa1'!ET789</f>
        <v>0</v>
      </c>
      <c r="FA106" s="1346">
        <f>'Form Sa1'!EU789</f>
        <v>0</v>
      </c>
      <c r="FB106" s="1346">
        <f>'Form Sa1'!EV789</f>
        <v>0</v>
      </c>
      <c r="FC106" s="1346">
        <f>'Form Sa1'!EW789</f>
        <v>0</v>
      </c>
      <c r="FD106" s="1346">
        <f>'Form Sa1'!EX789</f>
        <v>0</v>
      </c>
      <c r="FE106" s="1346">
        <f>'Form Sa1'!EY789</f>
        <v>0</v>
      </c>
      <c r="FF106" s="1346">
        <f>'Form Sa1'!EZ789</f>
        <v>0</v>
      </c>
      <c r="FG106" s="1346">
        <f>'Form Sa1'!FA789</f>
        <v>0</v>
      </c>
      <c r="FH106" s="1346">
        <f>'Form Sa1'!FB789</f>
        <v>0</v>
      </c>
      <c r="FI106" s="1346">
        <f>'Form Sa1'!FC789</f>
        <v>0</v>
      </c>
      <c r="FJ106" s="1346">
        <f>'Form Sa1'!FD789</f>
        <v>0</v>
      </c>
      <c r="FK106" s="1346">
        <f>'Form Sa1'!FE789</f>
        <v>0</v>
      </c>
      <c r="FL106" s="1346">
        <f>'Form Sa1'!FF789</f>
        <v>0</v>
      </c>
      <c r="FM106" s="1346">
        <f>'Form Sa1'!FG789</f>
        <v>0</v>
      </c>
      <c r="FN106" s="1346">
        <f>'Form Sa1'!FH789</f>
        <v>0</v>
      </c>
      <c r="FO106" s="1346">
        <f>'Form Sa1'!FI789</f>
        <v>0</v>
      </c>
      <c r="FP106" s="1346">
        <f>'Form Sa1'!FJ789</f>
        <v>0</v>
      </c>
      <c r="FQ106" s="1346">
        <f>'Form Sa1'!FK789</f>
        <v>0</v>
      </c>
      <c r="FR106" s="1346">
        <f>'Form Sa1'!FL789</f>
        <v>0</v>
      </c>
      <c r="FS106" s="1346">
        <f>'Form Sa1'!FM789</f>
        <v>0</v>
      </c>
      <c r="FT106" s="1346">
        <f>'Form Sa1'!FN789</f>
        <v>0</v>
      </c>
      <c r="FU106" s="1346">
        <f>'Form Sa1'!FO789</f>
        <v>0</v>
      </c>
      <c r="FV106" s="1346">
        <f>'Form Sa1'!FP789</f>
        <v>0</v>
      </c>
      <c r="FW106" s="1346">
        <f>'Form Sa1'!FQ789</f>
        <v>0</v>
      </c>
      <c r="FX106" s="1346">
        <f>'Form Sa1'!FR789</f>
        <v>0</v>
      </c>
      <c r="FY106" s="1346">
        <f>'Form Sa1'!FS789</f>
        <v>0</v>
      </c>
      <c r="FZ106" s="1346">
        <f>'Form Sa1'!FT789</f>
        <v>0</v>
      </c>
      <c r="GA106" s="1346">
        <f>'Form Sa1'!FU789</f>
        <v>0</v>
      </c>
      <c r="GB106" s="1346">
        <f>'Form Sa1'!FV789</f>
        <v>0</v>
      </c>
      <c r="GC106" s="1346">
        <f>'Form Sa1'!FW789</f>
        <v>0</v>
      </c>
      <c r="GD106" s="1346">
        <f>'Form Sa1'!FX789</f>
        <v>0</v>
      </c>
      <c r="GE106" s="1346">
        <f>'Form Sa1'!FY789</f>
        <v>0</v>
      </c>
      <c r="GF106" s="1346">
        <f>'Form Sa1'!FZ789</f>
        <v>0</v>
      </c>
      <c r="GG106" s="1346">
        <f>'Form Sa1'!GA789</f>
        <v>0</v>
      </c>
      <c r="GH106" s="1346">
        <f>'Form Sa1'!GB789</f>
        <v>0</v>
      </c>
      <c r="GI106" s="1346">
        <f>'Form Sa1'!GC789</f>
        <v>0</v>
      </c>
      <c r="GJ106" s="1346">
        <f>'Form Sa1'!GD789</f>
        <v>0</v>
      </c>
      <c r="GK106" s="1346">
        <f>'Form Sa1'!GE789</f>
        <v>0</v>
      </c>
      <c r="GL106" s="1346">
        <f>'Form Sa1'!GF789</f>
        <v>0</v>
      </c>
      <c r="GM106" s="1346">
        <f>'Form Sa1'!GG789</f>
        <v>0</v>
      </c>
      <c r="GN106" s="1346">
        <f>'Form Sa1'!GH789</f>
        <v>0</v>
      </c>
      <c r="GO106" s="1346">
        <f>'Form Sa1'!GI789</f>
        <v>0</v>
      </c>
      <c r="GP106" s="1346">
        <f>'Form Sa1'!GJ789</f>
        <v>0</v>
      </c>
      <c r="GQ106" s="1346">
        <f>'Form Sa1'!GK789</f>
        <v>0</v>
      </c>
      <c r="GR106" s="1346">
        <f>'Form Sa1'!GL789</f>
        <v>0</v>
      </c>
      <c r="GS106" s="1346">
        <f>'Form Sa1'!GM789</f>
        <v>0</v>
      </c>
      <c r="GT106" s="1346">
        <f>'Form Sa1'!GN789</f>
        <v>0</v>
      </c>
      <c r="GU106" s="1346">
        <f>'Form Sa1'!GO789</f>
        <v>0</v>
      </c>
      <c r="GV106" s="1346">
        <f>'Form Sa1'!GP789</f>
        <v>0</v>
      </c>
      <c r="GW106" s="1346">
        <f>'Form Sa1'!GQ789</f>
        <v>0</v>
      </c>
      <c r="GX106" s="1346">
        <f>'Form Sa1'!GR789</f>
        <v>0</v>
      </c>
      <c r="GY106" s="1346">
        <f>'Form Sa1'!GS789</f>
        <v>0</v>
      </c>
      <c r="GZ106" s="1346">
        <f>'Form Sa1'!GT789</f>
        <v>0</v>
      </c>
      <c r="HA106" s="1346">
        <f>'Form Sa1'!GU789</f>
        <v>0</v>
      </c>
      <c r="HB106" s="1346">
        <f>'Form Sa1'!GV789</f>
        <v>0</v>
      </c>
      <c r="HC106" s="1346">
        <f>'Form Sa1'!GW789</f>
        <v>0</v>
      </c>
      <c r="HD106" s="1346">
        <f>'Form Sa1'!GX789</f>
        <v>0</v>
      </c>
      <c r="HE106" s="1346">
        <f>'Form Sa1'!GY789</f>
        <v>0</v>
      </c>
      <c r="HF106" s="1346">
        <f>'Form Sa1'!GZ789</f>
        <v>0</v>
      </c>
      <c r="HG106" s="1346">
        <f>'Form Sa1'!HA789</f>
        <v>0</v>
      </c>
      <c r="HH106" s="1346">
        <f>'Form Sa1'!HB789</f>
        <v>0</v>
      </c>
      <c r="HI106" s="1346">
        <f>'Form Sa1'!HC789</f>
        <v>0</v>
      </c>
      <c r="HJ106" s="1346">
        <f>'Form Sa1'!HD789</f>
        <v>0</v>
      </c>
      <c r="HK106" s="1346">
        <f>'Form Sa1'!HE789</f>
        <v>0</v>
      </c>
      <c r="HL106" s="1346">
        <f>'Form Sa1'!HF789</f>
        <v>0</v>
      </c>
      <c r="HM106" s="1346">
        <f>'Form Sa1'!HG789</f>
        <v>0</v>
      </c>
      <c r="HN106" s="1346">
        <f>'Form Sa1'!HH789</f>
        <v>0</v>
      </c>
      <c r="HO106" s="1346">
        <f>'Form Sa1'!HI789</f>
        <v>0</v>
      </c>
      <c r="HP106" s="1346">
        <f>'Form Sa1'!HJ789</f>
        <v>0</v>
      </c>
      <c r="HQ106" s="1346">
        <f>'Form Sa1'!HK789</f>
        <v>0</v>
      </c>
      <c r="HR106" s="1346">
        <f>'Form Sa1'!HL789</f>
        <v>0</v>
      </c>
      <c r="HS106" s="1346">
        <f>'Form Sa1'!HM789</f>
        <v>0</v>
      </c>
      <c r="HT106" s="1346">
        <f>'Form Sa1'!HN789</f>
        <v>0</v>
      </c>
      <c r="HU106" s="1346">
        <f>'Form Sa1'!HO789</f>
        <v>0</v>
      </c>
      <c r="HV106" s="1346">
        <f>'Form Sa1'!HP789</f>
        <v>0</v>
      </c>
      <c r="HW106" s="1346">
        <f>'Form Sa1'!HQ789</f>
        <v>0</v>
      </c>
      <c r="HX106" s="1346">
        <f>'Form Sa1'!HR789</f>
        <v>0</v>
      </c>
      <c r="HY106" s="1346">
        <f>'Form Sa1'!HS789</f>
        <v>0</v>
      </c>
      <c r="HZ106" s="1346">
        <f>'Form Sa1'!HT789</f>
        <v>0</v>
      </c>
      <c r="IA106" s="1346">
        <f>'Form Sa1'!HU789</f>
        <v>0</v>
      </c>
      <c r="IB106" s="1346">
        <f>'Form Sa1'!HV789</f>
        <v>0</v>
      </c>
      <c r="IC106" s="1346">
        <f>'Form Sa1'!HW789</f>
        <v>0</v>
      </c>
      <c r="ID106" s="1346">
        <f>'Form Sa1'!HX789</f>
        <v>0</v>
      </c>
      <c r="IE106" s="1346">
        <f>'Form Sa1'!HY789</f>
        <v>0</v>
      </c>
      <c r="IF106" s="1346">
        <f>'Form Sa1'!HZ789</f>
        <v>0</v>
      </c>
      <c r="IG106" s="1346">
        <f>'Form Sa1'!IA789</f>
        <v>0</v>
      </c>
      <c r="IH106" s="1346">
        <f>'Form Sa1'!IB789</f>
        <v>0</v>
      </c>
      <c r="II106" s="1346">
        <f>'Form Sa1'!IC789</f>
        <v>0</v>
      </c>
      <c r="IJ106" s="1346">
        <f>'Form Sa1'!ID789</f>
        <v>0</v>
      </c>
      <c r="IK106" s="1346">
        <f>'Form Sa1'!IE789</f>
        <v>0</v>
      </c>
      <c r="IL106" s="1346">
        <f>'Form Sa1'!IF789</f>
        <v>0</v>
      </c>
      <c r="IM106" s="1346">
        <f>'Form Sa1'!IG789</f>
        <v>0</v>
      </c>
      <c r="IN106" s="1346">
        <f>'Form Sa1'!IH789</f>
        <v>0</v>
      </c>
      <c r="IO106" s="1346">
        <f>'Form Sa1'!II789</f>
        <v>0</v>
      </c>
      <c r="IP106" s="1346">
        <f>'Form Sa1'!IJ789</f>
        <v>0</v>
      </c>
      <c r="IQ106" s="1346">
        <f>'Form Sa1'!IK789</f>
        <v>0</v>
      </c>
      <c r="IR106" s="1346">
        <f>'Form Sa1'!IL789</f>
        <v>0</v>
      </c>
      <c r="IS106" s="1346">
        <f>'Form Sa1'!IM789</f>
        <v>0</v>
      </c>
      <c r="IT106" s="1346" t="e">
        <f>'Form Sa1'!#REF!</f>
        <v>#REF!</v>
      </c>
      <c r="IU106" s="1346" t="e">
        <f>'Form Sa1'!#REF!</f>
        <v>#REF!</v>
      </c>
      <c r="IV106" s="1346" t="e">
        <f>'Form Sa1'!#REF!</f>
        <v>#REF!</v>
      </c>
    </row>
    <row r="107" spans="1:256" x14ac:dyDescent="0.25">
      <c r="A107" s="1333" t="s">
        <v>314</v>
      </c>
      <c r="B107" s="1331" t="s">
        <v>3308</v>
      </c>
      <c r="C107" s="1332"/>
      <c r="D107" s="1295" t="s">
        <v>1495</v>
      </c>
      <c r="E107" s="1346">
        <f>'Form Sa1'!H791</f>
        <v>0</v>
      </c>
      <c r="F107" s="1346">
        <f>'Form Sa1'!I791</f>
        <v>0</v>
      </c>
      <c r="G107" s="1346">
        <f>'Form Sa1'!K791</f>
        <v>0</v>
      </c>
      <c r="H107" s="1346" t="e">
        <f>'Form Sa1'!#REF!</f>
        <v>#REF!</v>
      </c>
      <c r="I107" s="1346" t="e">
        <f>'Form Sa1'!#REF!</f>
        <v>#REF!</v>
      </c>
      <c r="J107" s="1346" t="e">
        <f>'Form Sa1'!#REF!</f>
        <v>#REF!</v>
      </c>
      <c r="K107" s="1346" t="e">
        <f>'Form Sa1'!#REF!</f>
        <v>#REF!</v>
      </c>
      <c r="L107" s="1346" t="e">
        <f>'Form Sa1'!#REF!</f>
        <v>#REF!</v>
      </c>
      <c r="M107" s="1346" t="e">
        <f>'Form Sa1'!#REF!</f>
        <v>#REF!</v>
      </c>
      <c r="N107" s="1346" t="e">
        <f>'Form Sa1'!#REF!</f>
        <v>#REF!</v>
      </c>
      <c r="O107" s="1346" t="e">
        <f>'Form Sa1'!#REF!</f>
        <v>#REF!</v>
      </c>
      <c r="P107" s="1346" t="e">
        <f>'Form Sa1'!#REF!</f>
        <v>#REF!</v>
      </c>
      <c r="Q107" s="1346" t="e">
        <f>'Form Sa1'!#REF!</f>
        <v>#REF!</v>
      </c>
      <c r="R107" s="1346">
        <f>'Form Sa1'!L790</f>
        <v>0</v>
      </c>
      <c r="S107" s="1346">
        <f>'Form Sa1'!M790</f>
        <v>0</v>
      </c>
      <c r="T107" s="1346">
        <f>'Form Sa1'!N790</f>
        <v>0</v>
      </c>
      <c r="U107" s="1346">
        <f>'Form Sa1'!O790</f>
        <v>0</v>
      </c>
      <c r="V107" s="1346">
        <f>'Form Sa1'!P790</f>
        <v>0</v>
      </c>
      <c r="W107" s="1346">
        <f>'Form Sa1'!Q790</f>
        <v>0</v>
      </c>
      <c r="X107" s="1346">
        <f>'Form Sa1'!R790</f>
        <v>0</v>
      </c>
      <c r="Y107" s="1346">
        <f>'Form Sa1'!S790</f>
        <v>0</v>
      </c>
      <c r="Z107" s="1346">
        <f>'Form Sa1'!T790</f>
        <v>0</v>
      </c>
      <c r="AA107" s="1346">
        <f>'Form Sa1'!U790</f>
        <v>0</v>
      </c>
      <c r="AB107" s="1346">
        <f>'Form Sa1'!V790</f>
        <v>0</v>
      </c>
      <c r="AC107" s="1346">
        <f>'Form Sa1'!W790</f>
        <v>0</v>
      </c>
      <c r="AD107" s="1346">
        <f>'Form Sa1'!X790</f>
        <v>0</v>
      </c>
      <c r="AE107" s="1346">
        <f>'Form Sa1'!Y790</f>
        <v>0</v>
      </c>
      <c r="AF107" s="1346">
        <f>'Form Sa1'!Z790</f>
        <v>0</v>
      </c>
      <c r="AG107" s="1346">
        <f>'Form Sa1'!AA790</f>
        <v>0</v>
      </c>
      <c r="AH107" s="1346">
        <f>'Form Sa1'!AB790</f>
        <v>0</v>
      </c>
      <c r="AI107" s="1346">
        <f>'Form Sa1'!AC790</f>
        <v>0</v>
      </c>
      <c r="AJ107" s="1346">
        <f>'Form Sa1'!AD790</f>
        <v>0</v>
      </c>
      <c r="AK107" s="1346">
        <f>'Form Sa1'!AE790</f>
        <v>0</v>
      </c>
      <c r="AL107" s="1346">
        <f>'Form Sa1'!AF790</f>
        <v>0</v>
      </c>
      <c r="AM107" s="1346">
        <f>'Form Sa1'!AG790</f>
        <v>0</v>
      </c>
      <c r="AN107" s="1346">
        <f>'Form Sa1'!AH790</f>
        <v>0</v>
      </c>
      <c r="AO107" s="1346">
        <f>'Form Sa1'!AI790</f>
        <v>0</v>
      </c>
      <c r="AP107" s="1346">
        <f>'Form Sa1'!AJ790</f>
        <v>0</v>
      </c>
      <c r="AQ107" s="1346">
        <f>'Form Sa1'!AK790</f>
        <v>0</v>
      </c>
      <c r="AR107" s="1346">
        <f>'Form Sa1'!AL790</f>
        <v>0</v>
      </c>
      <c r="AS107" s="1346">
        <f>'Form Sa1'!AM790</f>
        <v>0</v>
      </c>
      <c r="AT107" s="1346">
        <f>'Form Sa1'!AN790</f>
        <v>0</v>
      </c>
      <c r="AU107" s="1346">
        <f>'Form Sa1'!AO790</f>
        <v>0</v>
      </c>
      <c r="AV107" s="1346">
        <f>'Form Sa1'!AP790</f>
        <v>0</v>
      </c>
      <c r="AW107" s="1346">
        <f>'Form Sa1'!AQ790</f>
        <v>0</v>
      </c>
      <c r="AX107" s="1346">
        <f>'Form Sa1'!AR790</f>
        <v>0</v>
      </c>
      <c r="AY107" s="1346">
        <f>'Form Sa1'!AS790</f>
        <v>0</v>
      </c>
      <c r="AZ107" s="1346">
        <f>'Form Sa1'!AT790</f>
        <v>0</v>
      </c>
      <c r="BA107" s="1346">
        <f>'Form Sa1'!AU790</f>
        <v>0</v>
      </c>
      <c r="BB107" s="1346">
        <f>'Form Sa1'!AV790</f>
        <v>0</v>
      </c>
      <c r="BC107" s="1346">
        <f>'Form Sa1'!AW790</f>
        <v>0</v>
      </c>
      <c r="BD107" s="1346">
        <f>'Form Sa1'!AX790</f>
        <v>0</v>
      </c>
      <c r="BE107" s="1346">
        <f>'Form Sa1'!AY790</f>
        <v>0</v>
      </c>
      <c r="BF107" s="1346">
        <f>'Form Sa1'!AZ790</f>
        <v>0</v>
      </c>
      <c r="BG107" s="1346">
        <f>'Form Sa1'!BA790</f>
        <v>0</v>
      </c>
      <c r="BH107" s="1346">
        <f>'Form Sa1'!BB790</f>
        <v>0</v>
      </c>
      <c r="BI107" s="1346">
        <f>'Form Sa1'!BC790</f>
        <v>0</v>
      </c>
      <c r="BJ107" s="1346">
        <f>'Form Sa1'!BD790</f>
        <v>0</v>
      </c>
      <c r="BK107" s="1346">
        <f>'Form Sa1'!BE790</f>
        <v>0</v>
      </c>
      <c r="BL107" s="1346">
        <f>'Form Sa1'!BF790</f>
        <v>0</v>
      </c>
      <c r="BM107" s="1346">
        <f>'Form Sa1'!BG790</f>
        <v>0</v>
      </c>
      <c r="BN107" s="1346">
        <f>'Form Sa1'!BH790</f>
        <v>0</v>
      </c>
      <c r="BO107" s="1346">
        <f>'Form Sa1'!BI790</f>
        <v>0</v>
      </c>
      <c r="BP107" s="1346">
        <f>'Form Sa1'!BJ790</f>
        <v>0</v>
      </c>
      <c r="BQ107" s="1346">
        <f>'Form Sa1'!BK790</f>
        <v>0</v>
      </c>
      <c r="BR107" s="1346">
        <f>'Form Sa1'!BL790</f>
        <v>0</v>
      </c>
      <c r="BS107" s="1346">
        <f>'Form Sa1'!BM790</f>
        <v>0</v>
      </c>
      <c r="BT107" s="1346">
        <f>'Form Sa1'!BN790</f>
        <v>0</v>
      </c>
      <c r="BU107" s="1346">
        <f>'Form Sa1'!BO790</f>
        <v>0</v>
      </c>
      <c r="BV107" s="1346">
        <f>'Form Sa1'!BP790</f>
        <v>0</v>
      </c>
      <c r="BW107" s="1346">
        <f>'Form Sa1'!BQ790</f>
        <v>0</v>
      </c>
      <c r="BX107" s="1346">
        <f>'Form Sa1'!BR790</f>
        <v>0</v>
      </c>
      <c r="BY107" s="1346">
        <f>'Form Sa1'!BS790</f>
        <v>0</v>
      </c>
      <c r="BZ107" s="1346">
        <f>'Form Sa1'!BT790</f>
        <v>0</v>
      </c>
      <c r="CA107" s="1346">
        <f>'Form Sa1'!BU790</f>
        <v>0</v>
      </c>
      <c r="CB107" s="1346">
        <f>'Form Sa1'!BV790</f>
        <v>0</v>
      </c>
      <c r="CC107" s="1346">
        <f>'Form Sa1'!BW790</f>
        <v>0</v>
      </c>
      <c r="CD107" s="1346">
        <f>'Form Sa1'!BX790</f>
        <v>0</v>
      </c>
      <c r="CE107" s="1346">
        <f>'Form Sa1'!BY790</f>
        <v>0</v>
      </c>
      <c r="CF107" s="1346">
        <f>'Form Sa1'!BZ790</f>
        <v>0</v>
      </c>
      <c r="CG107" s="1346">
        <f>'Form Sa1'!CA790</f>
        <v>0</v>
      </c>
      <c r="CH107" s="1346">
        <f>'Form Sa1'!CB790</f>
        <v>0</v>
      </c>
      <c r="CI107" s="1346">
        <f>'Form Sa1'!CC790</f>
        <v>0</v>
      </c>
      <c r="CJ107" s="1346">
        <f>'Form Sa1'!CD790</f>
        <v>0</v>
      </c>
      <c r="CK107" s="1346">
        <f>'Form Sa1'!CE790</f>
        <v>0</v>
      </c>
      <c r="CL107" s="1346">
        <f>'Form Sa1'!CF790</f>
        <v>0</v>
      </c>
      <c r="CM107" s="1346">
        <f>'Form Sa1'!CG790</f>
        <v>0</v>
      </c>
      <c r="CN107" s="1346">
        <f>'Form Sa1'!CH790</f>
        <v>0</v>
      </c>
      <c r="CO107" s="1346">
        <f>'Form Sa1'!CI790</f>
        <v>0</v>
      </c>
      <c r="CP107" s="1346">
        <f>'Form Sa1'!CJ790</f>
        <v>0</v>
      </c>
      <c r="CQ107" s="1346">
        <f>'Form Sa1'!CK790</f>
        <v>0</v>
      </c>
      <c r="CR107" s="1346">
        <f>'Form Sa1'!CL790</f>
        <v>0</v>
      </c>
      <c r="CS107" s="1346">
        <f>'Form Sa1'!CM790</f>
        <v>0</v>
      </c>
      <c r="CT107" s="1346">
        <f>'Form Sa1'!CN790</f>
        <v>0</v>
      </c>
      <c r="CU107" s="1346">
        <f>'Form Sa1'!CO790</f>
        <v>0</v>
      </c>
      <c r="CV107" s="1346">
        <f>'Form Sa1'!CP790</f>
        <v>0</v>
      </c>
      <c r="CW107" s="1346">
        <f>'Form Sa1'!CQ790</f>
        <v>0</v>
      </c>
      <c r="CX107" s="1346">
        <f>'Form Sa1'!CR790</f>
        <v>0</v>
      </c>
      <c r="CY107" s="1346">
        <f>'Form Sa1'!CS790</f>
        <v>0</v>
      </c>
      <c r="CZ107" s="1346">
        <f>'Form Sa1'!CT790</f>
        <v>0</v>
      </c>
      <c r="DA107" s="1346">
        <f>'Form Sa1'!CU790</f>
        <v>0</v>
      </c>
      <c r="DB107" s="1346">
        <f>'Form Sa1'!CV790</f>
        <v>0</v>
      </c>
      <c r="DC107" s="1346">
        <f>'Form Sa1'!CW790</f>
        <v>0</v>
      </c>
      <c r="DD107" s="1346">
        <f>'Form Sa1'!CX790</f>
        <v>0</v>
      </c>
      <c r="DE107" s="1346">
        <f>'Form Sa1'!CY790</f>
        <v>0</v>
      </c>
      <c r="DF107" s="1346">
        <f>'Form Sa1'!CZ790</f>
        <v>0</v>
      </c>
      <c r="DG107" s="1346">
        <f>'Form Sa1'!DA790</f>
        <v>0</v>
      </c>
      <c r="DH107" s="1346">
        <f>'Form Sa1'!DB790</f>
        <v>0</v>
      </c>
      <c r="DI107" s="1346">
        <f>'Form Sa1'!DC790</f>
        <v>0</v>
      </c>
      <c r="DJ107" s="1346">
        <f>'Form Sa1'!DD790</f>
        <v>0</v>
      </c>
      <c r="DK107" s="1346">
        <f>'Form Sa1'!DE790</f>
        <v>0</v>
      </c>
      <c r="DL107" s="1346">
        <f>'Form Sa1'!DF790</f>
        <v>0</v>
      </c>
      <c r="DM107" s="1346">
        <f>'Form Sa1'!DG790</f>
        <v>0</v>
      </c>
      <c r="DN107" s="1346">
        <f>'Form Sa1'!DH790</f>
        <v>0</v>
      </c>
      <c r="DO107" s="1346">
        <f>'Form Sa1'!DI790</f>
        <v>0</v>
      </c>
      <c r="DP107" s="1346">
        <f>'Form Sa1'!DJ790</f>
        <v>0</v>
      </c>
      <c r="DQ107" s="1346">
        <f>'Form Sa1'!DK790</f>
        <v>0</v>
      </c>
      <c r="DR107" s="1346">
        <f>'Form Sa1'!DL790</f>
        <v>0</v>
      </c>
      <c r="DS107" s="1346">
        <f>'Form Sa1'!DM790</f>
        <v>0</v>
      </c>
      <c r="DT107" s="1346">
        <f>'Form Sa1'!DN790</f>
        <v>0</v>
      </c>
      <c r="DU107" s="1346">
        <f>'Form Sa1'!DO790</f>
        <v>0</v>
      </c>
      <c r="DV107" s="1346">
        <f>'Form Sa1'!DP790</f>
        <v>0</v>
      </c>
      <c r="DW107" s="1346">
        <f>'Form Sa1'!DQ790</f>
        <v>0</v>
      </c>
      <c r="DX107" s="1346">
        <f>'Form Sa1'!DR790</f>
        <v>0</v>
      </c>
      <c r="DY107" s="1346">
        <f>'Form Sa1'!DS790</f>
        <v>0</v>
      </c>
      <c r="DZ107" s="1346">
        <f>'Form Sa1'!DT790</f>
        <v>0</v>
      </c>
      <c r="EA107" s="1346">
        <f>'Form Sa1'!DU790</f>
        <v>0</v>
      </c>
      <c r="EB107" s="1346">
        <f>'Form Sa1'!DV790</f>
        <v>0</v>
      </c>
      <c r="EC107" s="1346">
        <f>'Form Sa1'!DW790</f>
        <v>0</v>
      </c>
      <c r="ED107" s="1346">
        <f>'Form Sa1'!DX790</f>
        <v>0</v>
      </c>
      <c r="EE107" s="1346">
        <f>'Form Sa1'!DY790</f>
        <v>0</v>
      </c>
      <c r="EF107" s="1346">
        <f>'Form Sa1'!DZ790</f>
        <v>0</v>
      </c>
      <c r="EG107" s="1346">
        <f>'Form Sa1'!EA790</f>
        <v>0</v>
      </c>
      <c r="EH107" s="1346">
        <f>'Form Sa1'!EB790</f>
        <v>0</v>
      </c>
      <c r="EI107" s="1346">
        <f>'Form Sa1'!EC790</f>
        <v>0</v>
      </c>
      <c r="EJ107" s="1346">
        <f>'Form Sa1'!ED790</f>
        <v>0</v>
      </c>
      <c r="EK107" s="1346">
        <f>'Form Sa1'!EE790</f>
        <v>0</v>
      </c>
      <c r="EL107" s="1346">
        <f>'Form Sa1'!EF790</f>
        <v>0</v>
      </c>
      <c r="EM107" s="1346">
        <f>'Form Sa1'!EG790</f>
        <v>0</v>
      </c>
      <c r="EN107" s="1346">
        <f>'Form Sa1'!EH790</f>
        <v>0</v>
      </c>
      <c r="EO107" s="1346">
        <f>'Form Sa1'!EI790</f>
        <v>0</v>
      </c>
      <c r="EP107" s="1346">
        <f>'Form Sa1'!EJ790</f>
        <v>0</v>
      </c>
      <c r="EQ107" s="1346">
        <f>'Form Sa1'!EK790</f>
        <v>0</v>
      </c>
      <c r="ER107" s="1346">
        <f>'Form Sa1'!EL790</f>
        <v>0</v>
      </c>
      <c r="ES107" s="1346">
        <f>'Form Sa1'!EM790</f>
        <v>0</v>
      </c>
      <c r="ET107" s="1346">
        <f>'Form Sa1'!EN790</f>
        <v>0</v>
      </c>
      <c r="EU107" s="1346">
        <f>'Form Sa1'!EO790</f>
        <v>0</v>
      </c>
      <c r="EV107" s="1346">
        <f>'Form Sa1'!EP790</f>
        <v>0</v>
      </c>
      <c r="EW107" s="1346">
        <f>'Form Sa1'!EQ790</f>
        <v>0</v>
      </c>
      <c r="EX107" s="1346">
        <f>'Form Sa1'!ER790</f>
        <v>0</v>
      </c>
      <c r="EY107" s="1346">
        <f>'Form Sa1'!ES790</f>
        <v>0</v>
      </c>
      <c r="EZ107" s="1346">
        <f>'Form Sa1'!ET790</f>
        <v>0</v>
      </c>
      <c r="FA107" s="1346">
        <f>'Form Sa1'!EU790</f>
        <v>0</v>
      </c>
      <c r="FB107" s="1346">
        <f>'Form Sa1'!EV790</f>
        <v>0</v>
      </c>
      <c r="FC107" s="1346">
        <f>'Form Sa1'!EW790</f>
        <v>0</v>
      </c>
      <c r="FD107" s="1346">
        <f>'Form Sa1'!EX790</f>
        <v>0</v>
      </c>
      <c r="FE107" s="1346">
        <f>'Form Sa1'!EY790</f>
        <v>0</v>
      </c>
      <c r="FF107" s="1346">
        <f>'Form Sa1'!EZ790</f>
        <v>0</v>
      </c>
      <c r="FG107" s="1346">
        <f>'Form Sa1'!FA790</f>
        <v>0</v>
      </c>
      <c r="FH107" s="1346">
        <f>'Form Sa1'!FB790</f>
        <v>0</v>
      </c>
      <c r="FI107" s="1346">
        <f>'Form Sa1'!FC790</f>
        <v>0</v>
      </c>
      <c r="FJ107" s="1346">
        <f>'Form Sa1'!FD790</f>
        <v>0</v>
      </c>
      <c r="FK107" s="1346">
        <f>'Form Sa1'!FE790</f>
        <v>0</v>
      </c>
      <c r="FL107" s="1346">
        <f>'Form Sa1'!FF790</f>
        <v>0</v>
      </c>
      <c r="FM107" s="1346">
        <f>'Form Sa1'!FG790</f>
        <v>0</v>
      </c>
      <c r="FN107" s="1346">
        <f>'Form Sa1'!FH790</f>
        <v>0</v>
      </c>
      <c r="FO107" s="1346">
        <f>'Form Sa1'!FI790</f>
        <v>0</v>
      </c>
      <c r="FP107" s="1346">
        <f>'Form Sa1'!FJ790</f>
        <v>0</v>
      </c>
      <c r="FQ107" s="1346">
        <f>'Form Sa1'!FK790</f>
        <v>0</v>
      </c>
      <c r="FR107" s="1346">
        <f>'Form Sa1'!FL790</f>
        <v>0</v>
      </c>
      <c r="FS107" s="1346">
        <f>'Form Sa1'!FM790</f>
        <v>0</v>
      </c>
      <c r="FT107" s="1346">
        <f>'Form Sa1'!FN790</f>
        <v>0</v>
      </c>
      <c r="FU107" s="1346">
        <f>'Form Sa1'!FO790</f>
        <v>0</v>
      </c>
      <c r="FV107" s="1346">
        <f>'Form Sa1'!FP790</f>
        <v>0</v>
      </c>
      <c r="FW107" s="1346">
        <f>'Form Sa1'!FQ790</f>
        <v>0</v>
      </c>
      <c r="FX107" s="1346">
        <f>'Form Sa1'!FR790</f>
        <v>0</v>
      </c>
      <c r="FY107" s="1346">
        <f>'Form Sa1'!FS790</f>
        <v>0</v>
      </c>
      <c r="FZ107" s="1346">
        <f>'Form Sa1'!FT790</f>
        <v>0</v>
      </c>
      <c r="GA107" s="1346">
        <f>'Form Sa1'!FU790</f>
        <v>0</v>
      </c>
      <c r="GB107" s="1346">
        <f>'Form Sa1'!FV790</f>
        <v>0</v>
      </c>
      <c r="GC107" s="1346">
        <f>'Form Sa1'!FW790</f>
        <v>0</v>
      </c>
      <c r="GD107" s="1346">
        <f>'Form Sa1'!FX790</f>
        <v>0</v>
      </c>
      <c r="GE107" s="1346">
        <f>'Form Sa1'!FY790</f>
        <v>0</v>
      </c>
      <c r="GF107" s="1346">
        <f>'Form Sa1'!FZ790</f>
        <v>0</v>
      </c>
      <c r="GG107" s="1346">
        <f>'Form Sa1'!GA790</f>
        <v>0</v>
      </c>
      <c r="GH107" s="1346">
        <f>'Form Sa1'!GB790</f>
        <v>0</v>
      </c>
      <c r="GI107" s="1346">
        <f>'Form Sa1'!GC790</f>
        <v>0</v>
      </c>
      <c r="GJ107" s="1346">
        <f>'Form Sa1'!GD790</f>
        <v>0</v>
      </c>
      <c r="GK107" s="1346">
        <f>'Form Sa1'!GE790</f>
        <v>0</v>
      </c>
      <c r="GL107" s="1346">
        <f>'Form Sa1'!GF790</f>
        <v>0</v>
      </c>
      <c r="GM107" s="1346">
        <f>'Form Sa1'!GG790</f>
        <v>0</v>
      </c>
      <c r="GN107" s="1346">
        <f>'Form Sa1'!GH790</f>
        <v>0</v>
      </c>
      <c r="GO107" s="1346">
        <f>'Form Sa1'!GI790</f>
        <v>0</v>
      </c>
      <c r="GP107" s="1346">
        <f>'Form Sa1'!GJ790</f>
        <v>0</v>
      </c>
      <c r="GQ107" s="1346">
        <f>'Form Sa1'!GK790</f>
        <v>0</v>
      </c>
      <c r="GR107" s="1346">
        <f>'Form Sa1'!GL790</f>
        <v>0</v>
      </c>
      <c r="GS107" s="1346">
        <f>'Form Sa1'!GM790</f>
        <v>0</v>
      </c>
      <c r="GT107" s="1346">
        <f>'Form Sa1'!GN790</f>
        <v>0</v>
      </c>
      <c r="GU107" s="1346">
        <f>'Form Sa1'!GO790</f>
        <v>0</v>
      </c>
      <c r="GV107" s="1346">
        <f>'Form Sa1'!GP790</f>
        <v>0</v>
      </c>
      <c r="GW107" s="1346">
        <f>'Form Sa1'!GQ790</f>
        <v>0</v>
      </c>
      <c r="GX107" s="1346">
        <f>'Form Sa1'!GR790</f>
        <v>0</v>
      </c>
      <c r="GY107" s="1346">
        <f>'Form Sa1'!GS790</f>
        <v>0</v>
      </c>
      <c r="GZ107" s="1346">
        <f>'Form Sa1'!GT790</f>
        <v>0</v>
      </c>
      <c r="HA107" s="1346">
        <f>'Form Sa1'!GU790</f>
        <v>0</v>
      </c>
      <c r="HB107" s="1346">
        <f>'Form Sa1'!GV790</f>
        <v>0</v>
      </c>
      <c r="HC107" s="1346">
        <f>'Form Sa1'!GW790</f>
        <v>0</v>
      </c>
      <c r="HD107" s="1346">
        <f>'Form Sa1'!GX790</f>
        <v>0</v>
      </c>
      <c r="HE107" s="1346">
        <f>'Form Sa1'!GY790</f>
        <v>0</v>
      </c>
      <c r="HF107" s="1346">
        <f>'Form Sa1'!GZ790</f>
        <v>0</v>
      </c>
      <c r="HG107" s="1346">
        <f>'Form Sa1'!HA790</f>
        <v>0</v>
      </c>
      <c r="HH107" s="1346">
        <f>'Form Sa1'!HB790</f>
        <v>0</v>
      </c>
      <c r="HI107" s="1346">
        <f>'Form Sa1'!HC790</f>
        <v>0</v>
      </c>
      <c r="HJ107" s="1346">
        <f>'Form Sa1'!HD790</f>
        <v>0</v>
      </c>
      <c r="HK107" s="1346">
        <f>'Form Sa1'!HE790</f>
        <v>0</v>
      </c>
      <c r="HL107" s="1346">
        <f>'Form Sa1'!HF790</f>
        <v>0</v>
      </c>
      <c r="HM107" s="1346">
        <f>'Form Sa1'!HG790</f>
        <v>0</v>
      </c>
      <c r="HN107" s="1346">
        <f>'Form Sa1'!HH790</f>
        <v>0</v>
      </c>
      <c r="HO107" s="1346">
        <f>'Form Sa1'!HI790</f>
        <v>0</v>
      </c>
      <c r="HP107" s="1346">
        <f>'Form Sa1'!HJ790</f>
        <v>0</v>
      </c>
      <c r="HQ107" s="1346">
        <f>'Form Sa1'!HK790</f>
        <v>0</v>
      </c>
      <c r="HR107" s="1346">
        <f>'Form Sa1'!HL790</f>
        <v>0</v>
      </c>
      <c r="HS107" s="1346">
        <f>'Form Sa1'!HM790</f>
        <v>0</v>
      </c>
      <c r="HT107" s="1346">
        <f>'Form Sa1'!HN790</f>
        <v>0</v>
      </c>
      <c r="HU107" s="1346">
        <f>'Form Sa1'!HO790</f>
        <v>0</v>
      </c>
      <c r="HV107" s="1346">
        <f>'Form Sa1'!HP790</f>
        <v>0</v>
      </c>
      <c r="HW107" s="1346">
        <f>'Form Sa1'!HQ790</f>
        <v>0</v>
      </c>
      <c r="HX107" s="1346">
        <f>'Form Sa1'!HR790</f>
        <v>0</v>
      </c>
      <c r="HY107" s="1346">
        <f>'Form Sa1'!HS790</f>
        <v>0</v>
      </c>
      <c r="HZ107" s="1346">
        <f>'Form Sa1'!HT790</f>
        <v>0</v>
      </c>
      <c r="IA107" s="1346">
        <f>'Form Sa1'!HU790</f>
        <v>0</v>
      </c>
      <c r="IB107" s="1346">
        <f>'Form Sa1'!HV790</f>
        <v>0</v>
      </c>
      <c r="IC107" s="1346">
        <f>'Form Sa1'!HW790</f>
        <v>0</v>
      </c>
      <c r="ID107" s="1346">
        <f>'Form Sa1'!HX790</f>
        <v>0</v>
      </c>
      <c r="IE107" s="1346">
        <f>'Form Sa1'!HY790</f>
        <v>0</v>
      </c>
      <c r="IF107" s="1346">
        <f>'Form Sa1'!HZ790</f>
        <v>0</v>
      </c>
      <c r="IG107" s="1346">
        <f>'Form Sa1'!IA790</f>
        <v>0</v>
      </c>
      <c r="IH107" s="1346">
        <f>'Form Sa1'!IB790</f>
        <v>0</v>
      </c>
      <c r="II107" s="1346">
        <f>'Form Sa1'!IC790</f>
        <v>0</v>
      </c>
      <c r="IJ107" s="1346">
        <f>'Form Sa1'!ID790</f>
        <v>0</v>
      </c>
      <c r="IK107" s="1346">
        <f>'Form Sa1'!IE790</f>
        <v>0</v>
      </c>
      <c r="IL107" s="1346">
        <f>'Form Sa1'!IF790</f>
        <v>0</v>
      </c>
      <c r="IM107" s="1346">
        <f>'Form Sa1'!IG790</f>
        <v>0</v>
      </c>
      <c r="IN107" s="1346">
        <f>'Form Sa1'!IH790</f>
        <v>0</v>
      </c>
      <c r="IO107" s="1346">
        <f>'Form Sa1'!II790</f>
        <v>0</v>
      </c>
      <c r="IP107" s="1346">
        <f>'Form Sa1'!IJ790</f>
        <v>0</v>
      </c>
      <c r="IQ107" s="1346">
        <f>'Form Sa1'!IK790</f>
        <v>0</v>
      </c>
      <c r="IR107" s="1346">
        <f>'Form Sa1'!IL790</f>
        <v>0</v>
      </c>
      <c r="IS107" s="1346">
        <f>'Form Sa1'!IM790</f>
        <v>0</v>
      </c>
      <c r="IT107" s="1346" t="e">
        <f>'Form Sa1'!#REF!</f>
        <v>#REF!</v>
      </c>
      <c r="IU107" s="1346" t="e">
        <f>'Form Sa1'!#REF!</f>
        <v>#REF!</v>
      </c>
      <c r="IV107" s="1346" t="e">
        <f>'Form Sa1'!#REF!</f>
        <v>#REF!</v>
      </c>
    </row>
    <row r="108" spans="1:6" x14ac:dyDescent="0.25">
      <c r="A108" s="1333" t="s">
        <v>3309</v>
      </c>
      <c r="B108" s="1351" t="s">
        <v>3310</v>
      </c>
      <c r="C108" s="1332"/>
      <c r="D108" s="1295"/>
      <c r="E108" s="1346"/>
      <c r="F108" s="1347"/>
    </row>
    <row r="109" spans="1:6" x14ac:dyDescent="0.25">
      <c r="A109" s="1333" t="s">
        <v>306</v>
      </c>
      <c r="B109" s="1331" t="s">
        <v>2030</v>
      </c>
      <c r="C109" s="1332"/>
      <c r="D109" s="1295" t="s">
        <v>1487</v>
      </c>
      <c r="E109" s="1346">
        <f>'Form Sa1'!H761</f>
        <v>17.6</v>
      </c>
      <c r="F109" s="1346">
        <f>'Form Sa1'!I761</f>
        <v>0</v>
      </c>
    </row>
    <row r="110" spans="1:6" x14ac:dyDescent="0.25">
      <c r="A110" s="1348" t="s">
        <v>308</v>
      </c>
      <c r="B110" s="1331" t="s">
        <v>2044</v>
      </c>
      <c r="C110" s="1332"/>
      <c r="D110" s="1350" t="s">
        <v>1822</v>
      </c>
      <c r="E110" s="1346">
        <f>'Form Sa1'!H762</f>
        <v>779.51468375</v>
      </c>
      <c r="F110" s="1346">
        <f>'Form Sa1'!I762</f>
        <v>0</v>
      </c>
    </row>
    <row r="111" spans="1:6" x14ac:dyDescent="0.25">
      <c r="A111" s="1333" t="s">
        <v>310</v>
      </c>
      <c r="B111" s="1331" t="s">
        <v>3304</v>
      </c>
      <c r="C111" s="1332"/>
      <c r="D111" s="1295" t="s">
        <v>2046</v>
      </c>
      <c r="E111" s="1346">
        <f>'Form Sa1'!H1316</f>
        <v>936.8101345736408</v>
      </c>
      <c r="F111" s="1346">
        <f>'Form Sa1'!I1316</f>
        <v>0</v>
      </c>
    </row>
    <row r="112" spans="1:6" x14ac:dyDescent="0.25">
      <c r="A112" s="1333" t="s">
        <v>312</v>
      </c>
      <c r="B112" s="1331" t="s">
        <v>1497</v>
      </c>
      <c r="C112" s="1332"/>
      <c r="D112" s="1295" t="s">
        <v>1493</v>
      </c>
      <c r="E112" s="1346">
        <f>'Form Sa1'!H763</f>
        <v>0</v>
      </c>
      <c r="F112" s="1346">
        <f>'Form Sa1'!I763</f>
        <v>0</v>
      </c>
    </row>
    <row r="113" spans="1:8" s="1296" customFormat="1" x14ac:dyDescent="0.25">
      <c r="A113" s="1353" t="s">
        <v>942</v>
      </c>
      <c r="B113" s="1354" t="s">
        <v>3311</v>
      </c>
      <c r="C113" s="810"/>
      <c r="D113" s="1355" t="s">
        <v>1495</v>
      </c>
      <c r="E113" s="500">
        <f>'NF - 5 Power Mix'!E71</f>
        <v>2789.1585655703766</v>
      </c>
      <c r="F113" s="500" t="e">
        <f>'NF - 5 Power Mix'!F71</f>
        <v>#DIV/0!</v>
      </c>
      <c r="G113" s="1298"/>
      <c r="H113" s="1298"/>
    </row>
    <row r="114" spans="1:6" x14ac:dyDescent="0.25">
      <c r="A114" s="1334" t="s">
        <v>3312</v>
      </c>
      <c r="B114" s="1356" t="s">
        <v>3313</v>
      </c>
      <c r="C114" s="1357"/>
      <c r="D114" s="1337" t="s">
        <v>1822</v>
      </c>
      <c r="E114" s="1358">
        <f>'Form Sa1'!H839</f>
        <v>70872.92496875</v>
      </c>
      <c r="F114" s="1359">
        <f>'Form Sa1'!I839</f>
        <v>0</v>
      </c>
    </row>
    <row r="115" ht="15.75" customHeight="1" spans="1:6" x14ac:dyDescent="0.25">
      <c r="A115" s="1334" t="s">
        <v>3314</v>
      </c>
      <c r="B115" s="1356" t="s">
        <v>2106</v>
      </c>
      <c r="C115" s="1357"/>
      <c r="D115" s="1337" t="s">
        <v>1822</v>
      </c>
      <c r="E115" s="1358">
        <f>'Form Sa1'!H843</f>
        <v>1293.4463999999998</v>
      </c>
      <c r="F115" s="1358">
        <f>'Form Sa1'!I843</f>
        <v>0</v>
      </c>
    </row>
    <row r="116" ht="15.75" customHeight="1" spans="1:6" x14ac:dyDescent="0.25">
      <c r="A116" s="1334" t="s">
        <v>3315</v>
      </c>
      <c r="B116" s="1356" t="s">
        <v>2110</v>
      </c>
      <c r="C116" s="1357"/>
      <c r="D116" s="1337" t="s">
        <v>1826</v>
      </c>
      <c r="E116" s="1338">
        <f>E115*2717/10</f>
        <v>351429.38687999995</v>
      </c>
      <c r="F116" s="1339">
        <f>F115*2717/10</f>
        <v>0</v>
      </c>
    </row>
    <row r="117" ht="15.75" customHeight="1" spans="1:6" x14ac:dyDescent="0.25">
      <c r="A117" s="1334" t="s">
        <v>3316</v>
      </c>
      <c r="B117" s="1356" t="s">
        <v>3317</v>
      </c>
      <c r="C117" s="1357"/>
      <c r="D117" s="1337" t="s">
        <v>1822</v>
      </c>
      <c r="E117" s="1338">
        <f>'Form Sa1'!H845</f>
        <v>70274.18451758653</v>
      </c>
      <c r="F117" s="1339">
        <f>'Form Sa1'!I845</f>
        <v>0</v>
      </c>
    </row>
    <row r="118" ht="15.75" customHeight="1" spans="1:6" x14ac:dyDescent="0.25">
      <c r="A118" s="1334" t="s">
        <v>993</v>
      </c>
      <c r="B118" s="1329" t="s">
        <v>3318</v>
      </c>
      <c r="C118" s="1360"/>
      <c r="D118" s="1360"/>
      <c r="E118" s="1361"/>
      <c r="F118" s="1362"/>
    </row>
    <row r="119" ht="15.75" customHeight="1" spans="1:6" x14ac:dyDescent="0.25">
      <c r="A119" s="1334" t="s">
        <v>2400</v>
      </c>
      <c r="B119" s="1356" t="s">
        <v>3319</v>
      </c>
      <c r="C119" s="1357"/>
      <c r="D119" s="1337" t="s">
        <v>1771</v>
      </c>
      <c r="E119" s="1338">
        <f>'Form Sa1'!H899</f>
        <v>0</v>
      </c>
      <c r="F119" s="1339">
        <f>'Form Sa1'!I899</f>
        <v>0</v>
      </c>
    </row>
    <row r="120" ht="15.75" customHeight="1" spans="1:6" x14ac:dyDescent="0.25">
      <c r="A120" s="1334" t="s">
        <v>2403</v>
      </c>
      <c r="B120" s="1356" t="s">
        <v>3320</v>
      </c>
      <c r="C120" s="1357"/>
      <c r="D120" s="1337" t="s">
        <v>1771</v>
      </c>
      <c r="E120" s="1338">
        <f>'Form Sa1'!H857</f>
        <v>3885.658445551737</v>
      </c>
      <c r="F120" s="1339">
        <f>'Form Sa1'!I857</f>
        <v>0</v>
      </c>
    </row>
    <row r="121" spans="1:6" x14ac:dyDescent="0.25">
      <c r="A121" s="1334" t="s">
        <v>2406</v>
      </c>
      <c r="B121" s="1356" t="s">
        <v>3321</v>
      </c>
      <c r="C121" s="1357"/>
      <c r="D121" s="1337" t="s">
        <v>1771</v>
      </c>
      <c r="E121" s="1338">
        <f>'Form Sa1'!H878</f>
        <v>0</v>
      </c>
      <c r="F121" s="1339">
        <f>'Form Sa1'!I878</f>
        <v>0</v>
      </c>
    </row>
    <row r="122" spans="1:6" x14ac:dyDescent="0.25">
      <c r="A122" s="1334" t="s">
        <v>3322</v>
      </c>
      <c r="B122" s="1356" t="s">
        <v>3323</v>
      </c>
      <c r="C122" s="1357"/>
      <c r="D122" s="1337" t="s">
        <v>1771</v>
      </c>
      <c r="E122" s="1338">
        <f>'Form Sa1'!H1027</f>
        <v>0</v>
      </c>
      <c r="F122" s="1339">
        <f>'Form Sa1'!I1027</f>
        <v>0</v>
      </c>
    </row>
    <row r="123" spans="1:6" x14ac:dyDescent="0.25">
      <c r="A123" s="1334" t="s">
        <v>3324</v>
      </c>
      <c r="B123" s="1363" t="s">
        <v>3325</v>
      </c>
      <c r="C123" s="1364"/>
      <c r="D123" s="1337" t="s">
        <v>1771</v>
      </c>
      <c r="E123" s="1365">
        <f>'Form Sa1'!H1094</f>
        <v>10948.457339913632</v>
      </c>
      <c r="F123" s="1366">
        <f>'Form Sa1'!I1094</f>
        <v>0</v>
      </c>
    </row>
    <row r="124" spans="1:6" x14ac:dyDescent="0.25">
      <c r="A124" s="1337" t="s">
        <v>1007</v>
      </c>
      <c r="B124" s="1357" t="s">
        <v>2407</v>
      </c>
      <c r="C124" s="1337"/>
      <c r="D124" s="1337" t="s">
        <v>1826</v>
      </c>
      <c r="E124" s="1338">
        <f>'Form Sa1'!H1306</f>
        <v>20584767.748349573</v>
      </c>
      <c r="F124" s="1338">
        <f>'Form Sa1'!I1306</f>
        <v>0</v>
      </c>
    </row>
    <row r="125" spans="1:6" x14ac:dyDescent="0.25">
      <c r="A125" s="1367" t="s">
        <v>1161</v>
      </c>
      <c r="B125" s="1368" t="s">
        <v>3326</v>
      </c>
      <c r="C125" s="1368"/>
      <c r="D125" s="1368"/>
      <c r="E125" s="1368"/>
      <c r="F125" s="1368"/>
    </row>
    <row r="126" spans="1:6" x14ac:dyDescent="0.25">
      <c r="A126" s="1299" t="s">
        <v>3327</v>
      </c>
      <c r="B126" s="1299" t="s">
        <v>3328</v>
      </c>
      <c r="C126" s="1299"/>
      <c r="D126" s="1299" t="s">
        <v>1826</v>
      </c>
      <c r="E126" s="1301">
        <f>'Form Sa1'!H1012+'Form Sa1'!H1013+'Form Sa1'!H1171+'Form Sa1'!H1172+'Form Sa1'!H1173+'Form Sa1'!H1217</f>
        <v>18425734.54244383</v>
      </c>
      <c r="F126" s="1301">
        <f>'Form Sa1'!I1012+'Form Sa1'!I1013+'Form Sa1'!I1171+'Form Sa1'!I1172+'Form Sa1'!I1173+'Form Sa1'!I1217</f>
        <v>0</v>
      </c>
    </row>
    <row r="127" spans="1:6" x14ac:dyDescent="0.25">
      <c r="A127" s="1299" t="s">
        <v>3329</v>
      </c>
      <c r="B127" s="1299" t="s">
        <v>3330</v>
      </c>
      <c r="C127" s="1299"/>
      <c r="D127" s="1299" t="s">
        <v>1826</v>
      </c>
      <c r="E127" s="1301">
        <f>H976*(1-H811)+H1002*(1-H811)+H1160*(1-H811)</f>
        <v>0</v>
      </c>
      <c r="F127" s="1301">
        <f>I976*(1-I811)+I1002*(1-I811)+I1160*(1-I811)</f>
        <v>0</v>
      </c>
    </row>
    <row r="128" spans="1:6" x14ac:dyDescent="0.25">
      <c r="A128" s="1299" t="s">
        <v>3331</v>
      </c>
      <c r="B128" s="1299" t="s">
        <v>3332</v>
      </c>
      <c r="C128" s="1299"/>
      <c r="D128" s="1299" t="s">
        <v>1826</v>
      </c>
      <c r="E128" s="1301">
        <f>'Form Sa1'!H1014+'Form Sa1'!H1174+'Form Sa1'!H1218</f>
        <v>2153865.5051989425</v>
      </c>
      <c r="F128" s="1301">
        <f>'Form Sa1'!I1014+'Form Sa1'!I1174+'Form Sa1'!I1218</f>
        <v>0</v>
      </c>
    </row>
    <row r="129" spans="1:6" x14ac:dyDescent="0.25">
      <c r="A129" s="1299" t="s">
        <v>3333</v>
      </c>
      <c r="B129" s="1299" t="s">
        <v>3334</v>
      </c>
      <c r="C129" s="1299"/>
      <c r="D129" s="1299" t="s">
        <v>1826</v>
      </c>
      <c r="E129" s="1301">
        <f>H976*(H811)+H1002*(H811)+H1160*(H811)</f>
        <v>0</v>
      </c>
      <c r="F129" s="1301">
        <f>I976*(I811)+I1002*(I811)+I1160*(I811)</f>
        <v>0</v>
      </c>
    </row>
    <row r="130" spans="1:6" x14ac:dyDescent="0.25">
      <c r="A130" s="1299" t="s">
        <v>3335</v>
      </c>
      <c r="B130" s="1299" t="s">
        <v>3336</v>
      </c>
      <c r="C130" s="1299"/>
      <c r="D130" s="1299" t="s">
        <v>1826</v>
      </c>
      <c r="E130" s="1301">
        <f>E126+E128</f>
        <v>20579600.047642775</v>
      </c>
      <c r="F130" s="1301">
        <f>F126+F128</f>
        <v>0</v>
      </c>
    </row>
  </sheetData>
  <sheetProtection sheet="1" algorithmName="SHA-512" hashValue="U4uG7pRrY4YQxpI+910n6sOl8HxZBQQqrEDElfOc4h4um2O6foIvYrL2jXdABpwGo0jl81hq67g08aEbFZRprQ==" saltValue="WRfKZkKfkChGiadsE2e57g==" spinCount="100000" objects="1" scenarios="1"/>
  <mergeCells count="9">
    <mergeCell ref="A1:F1"/>
    <mergeCell ref="A2:F2"/>
    <mergeCell ref="C3:F3"/>
    <mergeCell ref="B68:F68"/>
    <mergeCell ref="B72:F72"/>
    <mergeCell ref="B75:F75"/>
    <mergeCell ref="B76:F76"/>
    <mergeCell ref="B84:F84"/>
    <mergeCell ref="B89:F89"/>
  </mergeCells>
  <conditionalFormatting sqref="E119:F123 E85:F88 E77:F83 E113:F117">
    <cfRule type="cellIs" dxfId="3686" priority="1" operator="equal">
      <formula>"NA"</formula>
    </cfRule>
    <cfRule type="cellIs" dxfId="3687" priority="2" operator="equal">
      <formula>"NA"</formula>
    </cfRule>
  </conditionalFormatting>
  <pageMargins left="0.7086614173228347" right="0.35" top="0.5511811023622047" bottom="0.7480314960629921" header="0.31496062992125984" footer="0.31496062992125984"/>
  <pageSetup orientation="landscape" horizontalDpi="4294967295" verticalDpi="4294967295" scale="85"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66"/>
  <sheetViews>
    <sheetView workbookViewId="0" zoomScale="85" zoomScaleNormal="85">
      <selection activeCell="E113" sqref="E113"/>
    </sheetView>
  </sheetViews>
  <sheetFormatPr defaultRowHeight="14.5" outlineLevelRow="0" outlineLevelCol="0" x14ac:dyDescent="0.35" customHeight="1"/>
  <cols>
    <col min="1" max="1" width="6.26953125" style="998" customWidth="1"/>
    <col min="2" max="2" width="63.81640625" style="999" customWidth="1"/>
    <col min="3" max="3" width="54.7265625" style="999" hidden="1" customWidth="1"/>
    <col min="4" max="4" width="16.26953125" style="1000" customWidth="1"/>
    <col min="5" max="5" width="18.1796875" style="1001" customWidth="1"/>
    <col min="6" max="6" width="19.54296875" style="1001" customWidth="1"/>
    <col min="7" max="7" width="16.7265625" style="1002" hidden="1" customWidth="1"/>
    <col min="8" max="8" width="15.1796875" style="1002" hidden="1" customWidth="1"/>
    <col min="9" max="16382" style="1002" hidden="1" customWidth="1"/>
    <col min="16383" max="16383" width="19.1796875" style="1002" hidden="1" customWidth="1"/>
    <col min="16384" max="16384" width="18.453125" style="1002" hidden="1" customWidth="1"/>
  </cols>
  <sheetData>
    <row r="1" ht="38.5" customHeight="1" spans="1:6" x14ac:dyDescent="0.25">
      <c r="A1" s="1003" t="s">
        <v>2614</v>
      </c>
      <c r="B1" s="1003"/>
      <c r="C1" s="1003"/>
      <c r="D1" s="1003"/>
      <c r="E1" s="1003"/>
      <c r="F1" s="1003"/>
    </row>
    <row r="2" ht="22.5" customHeight="1" spans="1:6" x14ac:dyDescent="0.25">
      <c r="A2" s="1004" t="s">
        <v>2615</v>
      </c>
      <c r="B2" s="1004"/>
      <c r="C2" s="1004"/>
      <c r="D2" s="1004"/>
      <c r="E2" s="1004"/>
      <c r="F2" s="1004"/>
    </row>
    <row r="3" ht="22.9" customHeight="1" spans="1:6" s="1005" customFormat="1" x14ac:dyDescent="0.25">
      <c r="A3" s="1006"/>
      <c r="B3" s="1007" t="s">
        <v>1444</v>
      </c>
      <c r="C3" s="1007" t="str">
        <f>'General Information'!G4</f>
        <v>INTEGRATED</v>
      </c>
      <c r="D3" s="1008"/>
      <c r="E3" s="1008"/>
      <c r="F3" s="1009"/>
    </row>
    <row r="4" ht="42" customHeight="1" spans="1:6" s="1010" customFormat="1" x14ac:dyDescent="0.25">
      <c r="A4" s="1011" t="s">
        <v>1543</v>
      </c>
      <c r="B4" s="1011" t="s">
        <v>1544</v>
      </c>
      <c r="C4" s="1011" t="s">
        <v>2616</v>
      </c>
      <c r="D4" s="1012" t="s">
        <v>1453</v>
      </c>
      <c r="E4" s="1013" t="str">
        <f>'Form Sa1'!H8</f>
        <v>Baseline Year(s)</v>
      </c>
      <c r="F4" s="1013" t="s">
        <v>2617</v>
      </c>
    </row>
    <row r="5" ht="15" customHeight="1" spans="1:6" s="1010" customFormat="1" x14ac:dyDescent="0.25">
      <c r="A5" s="1011"/>
      <c r="B5" s="1011"/>
      <c r="C5" s="1011"/>
      <c r="D5" s="1012"/>
      <c r="E5" s="1013" t="str">
        <f>'Form Sa1'!H9</f>
        <v>2023-24</v>
      </c>
      <c r="F5" s="1013" t="str">
        <f>'Form Sa1'!I9</f>
        <v>2025-26</v>
      </c>
    </row>
    <row r="6" spans="1:6" x14ac:dyDescent="0.25">
      <c r="A6" s="1014"/>
      <c r="B6" s="1015" t="s">
        <v>2618</v>
      </c>
      <c r="C6" s="1015"/>
      <c r="D6" s="1015"/>
      <c r="E6" s="1015"/>
      <c r="F6" s="1015"/>
    </row>
    <row r="7" spans="1:6" x14ac:dyDescent="0.25">
      <c r="A7" s="1016" t="s">
        <v>56</v>
      </c>
      <c r="B7" s="1017" t="s">
        <v>2619</v>
      </c>
      <c r="C7" s="1017"/>
      <c r="D7" s="1018"/>
      <c r="E7" s="1018"/>
      <c r="F7" s="1018"/>
    </row>
    <row r="8" ht="15" customHeight="1" spans="1:6" x14ac:dyDescent="0.25">
      <c r="A8" s="1019" t="s">
        <v>2620</v>
      </c>
      <c r="B8" s="1017" t="s">
        <v>2621</v>
      </c>
      <c r="C8" s="1020"/>
      <c r="D8" s="1021"/>
      <c r="E8" s="1021"/>
      <c r="F8" s="1018"/>
    </row>
    <row r="9" ht="15" customHeight="1" spans="1:6" x14ac:dyDescent="0.25">
      <c r="A9" s="1022" t="s">
        <v>58</v>
      </c>
      <c r="B9" s="1023" t="s">
        <v>2622</v>
      </c>
      <c r="C9" s="1023" t="s">
        <v>2623</v>
      </c>
      <c r="D9" s="1024" t="s">
        <v>1456</v>
      </c>
      <c r="E9" s="1025">
        <f>'Baseline Parameter'!E8</f>
        <v>565600</v>
      </c>
      <c r="F9" s="1025">
        <f>'Baseline Parameter'!F8</f>
        <v>0</v>
      </c>
    </row>
    <row r="10" ht="15" customHeight="1" spans="1:6" x14ac:dyDescent="0.25">
      <c r="A10" s="1022" t="s">
        <v>64</v>
      </c>
      <c r="B10" s="1023" t="s">
        <v>2624</v>
      </c>
      <c r="C10" s="1023" t="s">
        <v>2625</v>
      </c>
      <c r="D10" s="1024" t="s">
        <v>1456</v>
      </c>
      <c r="E10" s="1025">
        <f>'Baseline Parameter'!E9</f>
        <v>561459</v>
      </c>
      <c r="F10" s="1025">
        <f>'Baseline Parameter'!F9</f>
        <v>0</v>
      </c>
    </row>
    <row r="11" ht="15" customHeight="1" spans="1:6" x14ac:dyDescent="0.25">
      <c r="A11" s="1022" t="s">
        <v>68</v>
      </c>
      <c r="B11" s="1026" t="s">
        <v>1728</v>
      </c>
      <c r="C11" s="1026" t="s">
        <v>2626</v>
      </c>
      <c r="D11" s="1027" t="s">
        <v>1493</v>
      </c>
      <c r="E11" s="1025">
        <f>'Form Sa1'!H48</f>
        <v>80.80000000000001</v>
      </c>
      <c r="F11" s="1025">
        <f>'Form Sa1'!I48</f>
        <v>0</v>
      </c>
    </row>
    <row r="12" ht="15" customHeight="1" spans="1:6" x14ac:dyDescent="0.25">
      <c r="A12" s="1022" t="s">
        <v>74</v>
      </c>
      <c r="B12" s="1026" t="s">
        <v>1730</v>
      </c>
      <c r="C12" s="1026" t="s">
        <v>2627</v>
      </c>
      <c r="D12" s="1027" t="s">
        <v>1493</v>
      </c>
      <c r="E12" s="1025">
        <f>'Form Sa1'!H49</f>
        <v>81.94687294752974</v>
      </c>
      <c r="F12" s="1025">
        <f>'Form Sa1'!I49</f>
        <v>0</v>
      </c>
    </row>
    <row r="13" ht="15" customHeight="1" spans="1:6" s="1028" customFormat="1" x14ac:dyDescent="0.25">
      <c r="A13" s="1029" t="s">
        <v>2628</v>
      </c>
      <c r="B13" s="1014" t="s">
        <v>2629</v>
      </c>
      <c r="C13" s="1014"/>
      <c r="D13" s="1030"/>
      <c r="E13" s="1031"/>
      <c r="F13" s="1031"/>
    </row>
    <row r="14" ht="15" customHeight="1" spans="1:6" x14ac:dyDescent="0.25">
      <c r="A14" s="1022" t="s">
        <v>58</v>
      </c>
      <c r="B14" s="1026" t="s">
        <v>2630</v>
      </c>
      <c r="C14" s="1026" t="s">
        <v>2631</v>
      </c>
      <c r="D14" s="1027" t="s">
        <v>1456</v>
      </c>
      <c r="E14" s="1025">
        <f>'Form Sa1'!H66</f>
        <v>30580.066</v>
      </c>
      <c r="F14" s="1025">
        <f>'Form Sa1'!I66</f>
        <v>0</v>
      </c>
    </row>
    <row r="15" ht="15" customHeight="1" spans="1:6" x14ac:dyDescent="0.25">
      <c r="A15" s="1022" t="s">
        <v>64</v>
      </c>
      <c r="B15" s="1026" t="s">
        <v>2632</v>
      </c>
      <c r="C15" s="1026" t="s">
        <v>2633</v>
      </c>
      <c r="D15" s="1027" t="s">
        <v>1456</v>
      </c>
      <c r="E15" s="1025">
        <f>'Form Sa1'!H67</f>
        <v>34626.579</v>
      </c>
      <c r="F15" s="1025">
        <f>'Form Sa1'!I67</f>
        <v>0</v>
      </c>
    </row>
    <row r="16" ht="15" customHeight="1" spans="1:6" x14ac:dyDescent="0.25">
      <c r="A16" s="1022" t="s">
        <v>68</v>
      </c>
      <c r="B16" s="1026" t="s">
        <v>2634</v>
      </c>
      <c r="C16" s="1032" t="s">
        <v>2635</v>
      </c>
      <c r="D16" s="1027" t="s">
        <v>1456</v>
      </c>
      <c r="E16" s="1025">
        <f>E15-E14</f>
        <v>4046.512999999999</v>
      </c>
      <c r="F16" s="1025">
        <f>F15-F14</f>
        <v>0</v>
      </c>
    </row>
    <row r="17" ht="15" customHeight="1" spans="1:6" x14ac:dyDescent="0.25">
      <c r="A17" s="1022" t="s">
        <v>74</v>
      </c>
      <c r="B17" s="1033" t="s">
        <v>2636</v>
      </c>
      <c r="C17" s="1033" t="s">
        <v>2637</v>
      </c>
      <c r="D17" s="1024" t="s">
        <v>1456</v>
      </c>
      <c r="E17" s="1025">
        <f>'Baseline Parameter'!E25</f>
        <v>0</v>
      </c>
      <c r="F17" s="1025">
        <f>'Baseline Parameter'!F25</f>
        <v>0</v>
      </c>
    </row>
    <row r="18" ht="15" customHeight="1" spans="1:6" x14ac:dyDescent="0.25">
      <c r="A18" s="1022" t="s">
        <v>80</v>
      </c>
      <c r="B18" s="1033" t="s">
        <v>2638</v>
      </c>
      <c r="C18" s="1033" t="s">
        <v>2639</v>
      </c>
      <c r="D18" s="1024" t="s">
        <v>1456</v>
      </c>
      <c r="E18" s="1025">
        <f>'Baseline Parameter'!E26</f>
        <v>0</v>
      </c>
      <c r="F18" s="1025">
        <f>'Baseline Parameter'!F26</f>
        <v>0</v>
      </c>
    </row>
    <row r="19" spans="1:6" x14ac:dyDescent="0.25">
      <c r="A19" s="1022" t="s">
        <v>82</v>
      </c>
      <c r="B19" s="1026" t="s">
        <v>2640</v>
      </c>
      <c r="C19" s="1032" t="s">
        <v>2641</v>
      </c>
      <c r="D19" s="1027" t="s">
        <v>1456</v>
      </c>
      <c r="E19" s="1034">
        <f>IF(E16&gt;0, (E17+E16), (E17))</f>
        <v>4046.512999999999</v>
      </c>
      <c r="F19" s="1034">
        <f>IF(F16&gt;0, (F17+F16), (F17))</f>
        <v>0</v>
      </c>
    </row>
    <row r="20" spans="1:255" x14ac:dyDescent="0.25">
      <c r="A20" s="1022" t="s">
        <v>121</v>
      </c>
      <c r="B20" s="1026" t="s">
        <v>2642</v>
      </c>
      <c r="C20" s="1032" t="s">
        <v>2643</v>
      </c>
      <c r="D20" s="1027" t="s">
        <v>1456</v>
      </c>
      <c r="E20" s="1034">
        <f t="shared" ref="E20:BP20" si="0">IF(E16&lt;0,E18-E16, (E18))</f>
        <v>0</v>
      </c>
      <c r="F20" s="1034">
        <f t="shared" si="0"/>
        <v>0</v>
      </c>
      <c r="G20" s="1034">
        <f t="shared" si="0"/>
        <v>0</v>
      </c>
      <c r="H20" s="1034">
        <f t="shared" si="0"/>
        <v>0</v>
      </c>
      <c r="I20" s="1034">
        <f t="shared" si="0"/>
        <v>0</v>
      </c>
      <c r="J20" s="1034">
        <f t="shared" si="0"/>
        <v>0</v>
      </c>
      <c r="K20" s="1034">
        <f t="shared" si="0"/>
        <v>0</v>
      </c>
      <c r="L20" s="1034">
        <f t="shared" si="0"/>
        <v>0</v>
      </c>
      <c r="M20" s="1034">
        <f t="shared" si="0"/>
        <v>0</v>
      </c>
      <c r="N20" s="1034">
        <f t="shared" si="0"/>
        <v>0</v>
      </c>
      <c r="O20" s="1034">
        <f t="shared" si="0"/>
        <v>0</v>
      </c>
      <c r="P20" s="1034">
        <f t="shared" si="0"/>
        <v>0</v>
      </c>
      <c r="Q20" s="1034">
        <f t="shared" si="0"/>
        <v>0</v>
      </c>
      <c r="R20" s="1034">
        <f t="shared" si="0"/>
        <v>0</v>
      </c>
      <c r="S20" s="1034">
        <f t="shared" si="0"/>
        <v>0</v>
      </c>
      <c r="T20" s="1034">
        <f t="shared" si="0"/>
        <v>0</v>
      </c>
      <c r="U20" s="1034">
        <f t="shared" si="0"/>
        <v>0</v>
      </c>
      <c r="V20" s="1034">
        <f t="shared" si="0"/>
        <v>0</v>
      </c>
      <c r="W20" s="1034">
        <f t="shared" si="0"/>
        <v>0</v>
      </c>
      <c r="X20" s="1034">
        <f t="shared" si="0"/>
        <v>0</v>
      </c>
      <c r="Y20" s="1034">
        <f t="shared" si="0"/>
        <v>0</v>
      </c>
      <c r="Z20" s="1034">
        <f t="shared" si="0"/>
        <v>0</v>
      </c>
      <c r="AA20" s="1034">
        <f t="shared" si="0"/>
        <v>0</v>
      </c>
      <c r="AB20" s="1034">
        <f t="shared" si="0"/>
        <v>0</v>
      </c>
      <c r="AC20" s="1034">
        <f t="shared" si="0"/>
        <v>0</v>
      </c>
      <c r="AD20" s="1034">
        <f t="shared" si="0"/>
        <v>0</v>
      </c>
      <c r="AE20" s="1034">
        <f t="shared" si="0"/>
        <v>0</v>
      </c>
      <c r="AF20" s="1034">
        <f t="shared" si="0"/>
        <v>0</v>
      </c>
      <c r="AG20" s="1034">
        <f t="shared" si="0"/>
        <v>0</v>
      </c>
      <c r="AH20" s="1034">
        <f t="shared" si="0"/>
        <v>0</v>
      </c>
      <c r="AI20" s="1034">
        <f t="shared" si="0"/>
        <v>0</v>
      </c>
      <c r="AJ20" s="1034">
        <f t="shared" si="0"/>
        <v>0</v>
      </c>
      <c r="AK20" s="1034">
        <f t="shared" si="0"/>
        <v>0</v>
      </c>
      <c r="AL20" s="1034">
        <f t="shared" si="0"/>
        <v>0</v>
      </c>
      <c r="AM20" s="1034">
        <f t="shared" si="0"/>
        <v>0</v>
      </c>
      <c r="AN20" s="1034">
        <f t="shared" si="0"/>
        <v>0</v>
      </c>
      <c r="AO20" s="1034">
        <f t="shared" si="0"/>
        <v>0</v>
      </c>
      <c r="AP20" s="1034">
        <f t="shared" si="0"/>
        <v>0</v>
      </c>
      <c r="AQ20" s="1034">
        <f t="shared" si="0"/>
        <v>0</v>
      </c>
      <c r="AR20" s="1034">
        <f t="shared" si="0"/>
        <v>0</v>
      </c>
      <c r="AS20" s="1034">
        <f t="shared" si="0"/>
        <v>0</v>
      </c>
      <c r="AT20" s="1034">
        <f t="shared" si="0"/>
        <v>0</v>
      </c>
      <c r="AU20" s="1034">
        <f t="shared" si="0"/>
        <v>0</v>
      </c>
      <c r="AV20" s="1034">
        <f t="shared" si="0"/>
        <v>0</v>
      </c>
      <c r="AW20" s="1034">
        <f t="shared" si="0"/>
        <v>0</v>
      </c>
      <c r="AX20" s="1034">
        <f t="shared" si="0"/>
        <v>0</v>
      </c>
      <c r="AY20" s="1034">
        <f t="shared" si="0"/>
        <v>0</v>
      </c>
      <c r="AZ20" s="1034">
        <f t="shared" si="0"/>
        <v>0</v>
      </c>
      <c r="BA20" s="1034">
        <f t="shared" si="0"/>
        <v>0</v>
      </c>
      <c r="BB20" s="1034">
        <f t="shared" si="0"/>
        <v>0</v>
      </c>
      <c r="BC20" s="1034">
        <f t="shared" si="0"/>
        <v>0</v>
      </c>
      <c r="BD20" s="1034">
        <f t="shared" si="0"/>
        <v>0</v>
      </c>
      <c r="BE20" s="1034">
        <f t="shared" si="0"/>
        <v>0</v>
      </c>
      <c r="BF20" s="1034">
        <f t="shared" si="0"/>
        <v>0</v>
      </c>
      <c r="BG20" s="1034">
        <f t="shared" si="0"/>
        <v>0</v>
      </c>
      <c r="BH20" s="1034">
        <f t="shared" si="0"/>
        <v>0</v>
      </c>
      <c r="BI20" s="1034">
        <f t="shared" si="0"/>
        <v>0</v>
      </c>
      <c r="BJ20" s="1034">
        <f t="shared" si="0"/>
        <v>0</v>
      </c>
      <c r="BK20" s="1034">
        <f t="shared" si="0"/>
        <v>0</v>
      </c>
      <c r="BL20" s="1034">
        <f t="shared" si="0"/>
        <v>0</v>
      </c>
      <c r="BM20" s="1034">
        <f t="shared" si="0"/>
        <v>0</v>
      </c>
      <c r="BN20" s="1034">
        <f t="shared" si="0"/>
        <v>0</v>
      </c>
      <c r="BO20" s="1034">
        <f t="shared" si="0"/>
        <v>0</v>
      </c>
      <c r="BP20" s="1034">
        <f t="shared" si="0"/>
        <v>0</v>
      </c>
      <c r="BQ20" s="1034">
        <f t="shared" ref="BQ20:EB20" si="1">IF(BQ16&lt;0,BQ18-BQ16, (BQ18))</f>
        <v>0</v>
      </c>
      <c r="BR20" s="1034">
        <f t="shared" si="1"/>
        <v>0</v>
      </c>
      <c r="BS20" s="1034">
        <f t="shared" si="1"/>
        <v>0</v>
      </c>
      <c r="BT20" s="1034">
        <f t="shared" si="1"/>
        <v>0</v>
      </c>
      <c r="BU20" s="1034">
        <f t="shared" si="1"/>
        <v>0</v>
      </c>
      <c r="BV20" s="1034">
        <f t="shared" si="1"/>
        <v>0</v>
      </c>
      <c r="BW20" s="1034">
        <f t="shared" si="1"/>
        <v>0</v>
      </c>
      <c r="BX20" s="1034">
        <f t="shared" si="1"/>
        <v>0</v>
      </c>
      <c r="BY20" s="1034">
        <f t="shared" si="1"/>
        <v>0</v>
      </c>
      <c r="BZ20" s="1034">
        <f t="shared" si="1"/>
        <v>0</v>
      </c>
      <c r="CA20" s="1034">
        <f t="shared" si="1"/>
        <v>0</v>
      </c>
      <c r="CB20" s="1034">
        <f t="shared" si="1"/>
        <v>0</v>
      </c>
      <c r="CC20" s="1034">
        <f t="shared" si="1"/>
        <v>0</v>
      </c>
      <c r="CD20" s="1034">
        <f t="shared" si="1"/>
        <v>0</v>
      </c>
      <c r="CE20" s="1034">
        <f t="shared" si="1"/>
        <v>0</v>
      </c>
      <c r="CF20" s="1034">
        <f t="shared" si="1"/>
        <v>0</v>
      </c>
      <c r="CG20" s="1034">
        <f t="shared" si="1"/>
        <v>0</v>
      </c>
      <c r="CH20" s="1034">
        <f t="shared" si="1"/>
        <v>0</v>
      </c>
      <c r="CI20" s="1034">
        <f t="shared" si="1"/>
        <v>0</v>
      </c>
      <c r="CJ20" s="1034">
        <f t="shared" si="1"/>
        <v>0</v>
      </c>
      <c r="CK20" s="1034">
        <f t="shared" si="1"/>
        <v>0</v>
      </c>
      <c r="CL20" s="1034">
        <f t="shared" si="1"/>
        <v>0</v>
      </c>
      <c r="CM20" s="1034">
        <f t="shared" si="1"/>
        <v>0</v>
      </c>
      <c r="CN20" s="1034">
        <f t="shared" si="1"/>
        <v>0</v>
      </c>
      <c r="CO20" s="1034">
        <f t="shared" si="1"/>
        <v>0</v>
      </c>
      <c r="CP20" s="1034">
        <f t="shared" si="1"/>
        <v>0</v>
      </c>
      <c r="CQ20" s="1034">
        <f t="shared" si="1"/>
        <v>0</v>
      </c>
      <c r="CR20" s="1034">
        <f t="shared" si="1"/>
        <v>0</v>
      </c>
      <c r="CS20" s="1034">
        <f t="shared" si="1"/>
        <v>0</v>
      </c>
      <c r="CT20" s="1034">
        <f t="shared" si="1"/>
        <v>0</v>
      </c>
      <c r="CU20" s="1034">
        <f t="shared" si="1"/>
        <v>0</v>
      </c>
      <c r="CV20" s="1034">
        <f t="shared" si="1"/>
        <v>0</v>
      </c>
      <c r="CW20" s="1034">
        <f t="shared" si="1"/>
        <v>0</v>
      </c>
      <c r="CX20" s="1034">
        <f t="shared" si="1"/>
        <v>0</v>
      </c>
      <c r="CY20" s="1034">
        <f t="shared" si="1"/>
        <v>0</v>
      </c>
      <c r="CZ20" s="1034">
        <f t="shared" si="1"/>
        <v>0</v>
      </c>
      <c r="DA20" s="1034">
        <f t="shared" si="1"/>
        <v>0</v>
      </c>
      <c r="DB20" s="1034">
        <f t="shared" si="1"/>
        <v>0</v>
      </c>
      <c r="DC20" s="1034">
        <f t="shared" si="1"/>
        <v>0</v>
      </c>
      <c r="DD20" s="1034">
        <f t="shared" si="1"/>
        <v>0</v>
      </c>
      <c r="DE20" s="1034">
        <f t="shared" si="1"/>
        <v>0</v>
      </c>
      <c r="DF20" s="1034">
        <f t="shared" si="1"/>
        <v>0</v>
      </c>
      <c r="DG20" s="1034">
        <f t="shared" si="1"/>
        <v>0</v>
      </c>
      <c r="DH20" s="1034">
        <f t="shared" si="1"/>
        <v>0</v>
      </c>
      <c r="DI20" s="1034">
        <f t="shared" si="1"/>
        <v>0</v>
      </c>
      <c r="DJ20" s="1034">
        <f t="shared" si="1"/>
        <v>0</v>
      </c>
      <c r="DK20" s="1034">
        <f t="shared" si="1"/>
        <v>0</v>
      </c>
      <c r="DL20" s="1034">
        <f t="shared" si="1"/>
        <v>0</v>
      </c>
      <c r="DM20" s="1034">
        <f t="shared" si="1"/>
        <v>0</v>
      </c>
      <c r="DN20" s="1034">
        <f t="shared" si="1"/>
        <v>0</v>
      </c>
      <c r="DO20" s="1034">
        <f t="shared" si="1"/>
        <v>0</v>
      </c>
      <c r="DP20" s="1034">
        <f t="shared" si="1"/>
        <v>0</v>
      </c>
      <c r="DQ20" s="1034">
        <f t="shared" si="1"/>
        <v>0</v>
      </c>
      <c r="DR20" s="1034">
        <f t="shared" si="1"/>
        <v>0</v>
      </c>
      <c r="DS20" s="1034">
        <f t="shared" si="1"/>
        <v>0</v>
      </c>
      <c r="DT20" s="1034">
        <f t="shared" si="1"/>
        <v>0</v>
      </c>
      <c r="DU20" s="1034">
        <f t="shared" si="1"/>
        <v>0</v>
      </c>
      <c r="DV20" s="1034">
        <f t="shared" si="1"/>
        <v>0</v>
      </c>
      <c r="DW20" s="1034">
        <f t="shared" si="1"/>
        <v>0</v>
      </c>
      <c r="DX20" s="1034">
        <f t="shared" si="1"/>
        <v>0</v>
      </c>
      <c r="DY20" s="1034">
        <f t="shared" si="1"/>
        <v>0</v>
      </c>
      <c r="DZ20" s="1034">
        <f t="shared" si="1"/>
        <v>0</v>
      </c>
      <c r="EA20" s="1034">
        <f t="shared" si="1"/>
        <v>0</v>
      </c>
      <c r="EB20" s="1034">
        <f t="shared" si="1"/>
        <v>0</v>
      </c>
      <c r="EC20" s="1034">
        <f t="shared" ref="EC20:GN20" si="2">IF(EC16&lt;0,EC18-EC16, (EC18))</f>
        <v>0</v>
      </c>
      <c r="ED20" s="1034">
        <f t="shared" si="2"/>
        <v>0</v>
      </c>
      <c r="EE20" s="1034">
        <f t="shared" si="2"/>
        <v>0</v>
      </c>
      <c r="EF20" s="1034">
        <f t="shared" si="2"/>
        <v>0</v>
      </c>
      <c r="EG20" s="1034">
        <f t="shared" si="2"/>
        <v>0</v>
      </c>
      <c r="EH20" s="1034">
        <f t="shared" si="2"/>
        <v>0</v>
      </c>
      <c r="EI20" s="1034">
        <f t="shared" si="2"/>
        <v>0</v>
      </c>
      <c r="EJ20" s="1034">
        <f t="shared" si="2"/>
        <v>0</v>
      </c>
      <c r="EK20" s="1034">
        <f t="shared" si="2"/>
        <v>0</v>
      </c>
      <c r="EL20" s="1034">
        <f t="shared" si="2"/>
        <v>0</v>
      </c>
      <c r="EM20" s="1034">
        <f t="shared" si="2"/>
        <v>0</v>
      </c>
      <c r="EN20" s="1034">
        <f t="shared" si="2"/>
        <v>0</v>
      </c>
      <c r="EO20" s="1034">
        <f t="shared" si="2"/>
        <v>0</v>
      </c>
      <c r="EP20" s="1034">
        <f t="shared" si="2"/>
        <v>0</v>
      </c>
      <c r="EQ20" s="1034">
        <f t="shared" si="2"/>
        <v>0</v>
      </c>
      <c r="ER20" s="1034">
        <f t="shared" si="2"/>
        <v>0</v>
      </c>
      <c r="ES20" s="1034">
        <f t="shared" si="2"/>
        <v>0</v>
      </c>
      <c r="ET20" s="1034">
        <f t="shared" si="2"/>
        <v>0</v>
      </c>
      <c r="EU20" s="1034">
        <f t="shared" si="2"/>
        <v>0</v>
      </c>
      <c r="EV20" s="1034">
        <f t="shared" si="2"/>
        <v>0</v>
      </c>
      <c r="EW20" s="1034">
        <f t="shared" si="2"/>
        <v>0</v>
      </c>
      <c r="EX20" s="1034">
        <f t="shared" si="2"/>
        <v>0</v>
      </c>
      <c r="EY20" s="1034">
        <f t="shared" si="2"/>
        <v>0</v>
      </c>
      <c r="EZ20" s="1034">
        <f t="shared" si="2"/>
        <v>0</v>
      </c>
      <c r="FA20" s="1034">
        <f t="shared" si="2"/>
        <v>0</v>
      </c>
      <c r="FB20" s="1034">
        <f t="shared" si="2"/>
        <v>0</v>
      </c>
      <c r="FC20" s="1034">
        <f t="shared" si="2"/>
        <v>0</v>
      </c>
      <c r="FD20" s="1034">
        <f t="shared" si="2"/>
        <v>0</v>
      </c>
      <c r="FE20" s="1034">
        <f t="shared" si="2"/>
        <v>0</v>
      </c>
      <c r="FF20" s="1034">
        <f t="shared" si="2"/>
        <v>0</v>
      </c>
      <c r="FG20" s="1034">
        <f t="shared" si="2"/>
        <v>0</v>
      </c>
      <c r="FH20" s="1034">
        <f t="shared" si="2"/>
        <v>0</v>
      </c>
      <c r="FI20" s="1034">
        <f t="shared" si="2"/>
        <v>0</v>
      </c>
      <c r="FJ20" s="1034">
        <f t="shared" si="2"/>
        <v>0</v>
      </c>
      <c r="FK20" s="1034">
        <f t="shared" si="2"/>
        <v>0</v>
      </c>
      <c r="FL20" s="1034">
        <f t="shared" si="2"/>
        <v>0</v>
      </c>
      <c r="FM20" s="1034">
        <f t="shared" si="2"/>
        <v>0</v>
      </c>
      <c r="FN20" s="1034">
        <f t="shared" si="2"/>
        <v>0</v>
      </c>
      <c r="FO20" s="1034">
        <f t="shared" si="2"/>
        <v>0</v>
      </c>
      <c r="FP20" s="1034">
        <f t="shared" si="2"/>
        <v>0</v>
      </c>
      <c r="FQ20" s="1034">
        <f t="shared" si="2"/>
        <v>0</v>
      </c>
      <c r="FR20" s="1034">
        <f t="shared" si="2"/>
        <v>0</v>
      </c>
      <c r="FS20" s="1034">
        <f t="shared" si="2"/>
        <v>0</v>
      </c>
      <c r="FT20" s="1034">
        <f t="shared" si="2"/>
        <v>0</v>
      </c>
      <c r="FU20" s="1034">
        <f t="shared" si="2"/>
        <v>0</v>
      </c>
      <c r="FV20" s="1034">
        <f t="shared" si="2"/>
        <v>0</v>
      </c>
      <c r="FW20" s="1034">
        <f t="shared" si="2"/>
        <v>0</v>
      </c>
      <c r="FX20" s="1034">
        <f t="shared" si="2"/>
        <v>0</v>
      </c>
      <c r="FY20" s="1034">
        <f t="shared" si="2"/>
        <v>0</v>
      </c>
      <c r="FZ20" s="1034">
        <f t="shared" si="2"/>
        <v>0</v>
      </c>
      <c r="GA20" s="1034">
        <f t="shared" si="2"/>
        <v>0</v>
      </c>
      <c r="GB20" s="1034">
        <f t="shared" si="2"/>
        <v>0</v>
      </c>
      <c r="GC20" s="1034">
        <f t="shared" si="2"/>
        <v>0</v>
      </c>
      <c r="GD20" s="1034">
        <f t="shared" si="2"/>
        <v>0</v>
      </c>
      <c r="GE20" s="1034">
        <f t="shared" si="2"/>
        <v>0</v>
      </c>
      <c r="GF20" s="1034">
        <f t="shared" si="2"/>
        <v>0</v>
      </c>
      <c r="GG20" s="1034">
        <f t="shared" si="2"/>
        <v>0</v>
      </c>
      <c r="GH20" s="1034">
        <f t="shared" si="2"/>
        <v>0</v>
      </c>
      <c r="GI20" s="1034">
        <f t="shared" si="2"/>
        <v>0</v>
      </c>
      <c r="GJ20" s="1034">
        <f t="shared" si="2"/>
        <v>0</v>
      </c>
      <c r="GK20" s="1034">
        <f t="shared" si="2"/>
        <v>0</v>
      </c>
      <c r="GL20" s="1034">
        <f t="shared" si="2"/>
        <v>0</v>
      </c>
      <c r="GM20" s="1034">
        <f t="shared" si="2"/>
        <v>0</v>
      </c>
      <c r="GN20" s="1034">
        <f t="shared" si="2"/>
        <v>0</v>
      </c>
      <c r="GO20" s="1034">
        <f t="shared" ref="GO20:IU20" si="3">IF(GO16&lt;0,GO18-GO16, (GO18))</f>
        <v>0</v>
      </c>
      <c r="GP20" s="1034">
        <f t="shared" si="3"/>
        <v>0</v>
      </c>
      <c r="GQ20" s="1034">
        <f t="shared" si="3"/>
        <v>0</v>
      </c>
      <c r="GR20" s="1034">
        <f t="shared" si="3"/>
        <v>0</v>
      </c>
      <c r="GS20" s="1034">
        <f t="shared" si="3"/>
        <v>0</v>
      </c>
      <c r="GT20" s="1034">
        <f t="shared" si="3"/>
        <v>0</v>
      </c>
      <c r="GU20" s="1034">
        <f t="shared" si="3"/>
        <v>0</v>
      </c>
      <c r="GV20" s="1034">
        <f t="shared" si="3"/>
        <v>0</v>
      </c>
      <c r="GW20" s="1034">
        <f t="shared" si="3"/>
        <v>0</v>
      </c>
      <c r="GX20" s="1034">
        <f t="shared" si="3"/>
        <v>0</v>
      </c>
      <c r="GY20" s="1034">
        <f t="shared" si="3"/>
        <v>0</v>
      </c>
      <c r="GZ20" s="1034">
        <f t="shared" si="3"/>
        <v>0</v>
      </c>
      <c r="HA20" s="1034">
        <f t="shared" si="3"/>
        <v>0</v>
      </c>
      <c r="HB20" s="1034">
        <f t="shared" si="3"/>
        <v>0</v>
      </c>
      <c r="HC20" s="1034">
        <f t="shared" si="3"/>
        <v>0</v>
      </c>
      <c r="HD20" s="1034">
        <f t="shared" si="3"/>
        <v>0</v>
      </c>
      <c r="HE20" s="1034">
        <f t="shared" si="3"/>
        <v>0</v>
      </c>
      <c r="HF20" s="1034">
        <f t="shared" si="3"/>
        <v>0</v>
      </c>
      <c r="HG20" s="1034">
        <f t="shared" si="3"/>
        <v>0</v>
      </c>
      <c r="HH20" s="1034">
        <f t="shared" si="3"/>
        <v>0</v>
      </c>
      <c r="HI20" s="1034">
        <f t="shared" si="3"/>
        <v>0</v>
      </c>
      <c r="HJ20" s="1034">
        <f t="shared" si="3"/>
        <v>0</v>
      </c>
      <c r="HK20" s="1034">
        <f t="shared" si="3"/>
        <v>0</v>
      </c>
      <c r="HL20" s="1034">
        <f t="shared" si="3"/>
        <v>0</v>
      </c>
      <c r="HM20" s="1034">
        <f t="shared" si="3"/>
        <v>0</v>
      </c>
      <c r="HN20" s="1034">
        <f t="shared" si="3"/>
        <v>0</v>
      </c>
      <c r="HO20" s="1034">
        <f t="shared" si="3"/>
        <v>0</v>
      </c>
      <c r="HP20" s="1034">
        <f t="shared" si="3"/>
        <v>0</v>
      </c>
      <c r="HQ20" s="1034">
        <f t="shared" si="3"/>
        <v>0</v>
      </c>
      <c r="HR20" s="1034">
        <f t="shared" si="3"/>
        <v>0</v>
      </c>
      <c r="HS20" s="1034">
        <f t="shared" si="3"/>
        <v>0</v>
      </c>
      <c r="HT20" s="1034">
        <f t="shared" si="3"/>
        <v>0</v>
      </c>
      <c r="HU20" s="1034">
        <f t="shared" si="3"/>
        <v>0</v>
      </c>
      <c r="HV20" s="1034">
        <f t="shared" si="3"/>
        <v>0</v>
      </c>
      <c r="HW20" s="1034">
        <f t="shared" si="3"/>
        <v>0</v>
      </c>
      <c r="HX20" s="1034">
        <f t="shared" si="3"/>
        <v>0</v>
      </c>
      <c r="HY20" s="1034">
        <f t="shared" si="3"/>
        <v>0</v>
      </c>
      <c r="HZ20" s="1034">
        <f t="shared" si="3"/>
        <v>0</v>
      </c>
      <c r="IA20" s="1034">
        <f t="shared" si="3"/>
        <v>0</v>
      </c>
      <c r="IB20" s="1034">
        <f t="shared" si="3"/>
        <v>0</v>
      </c>
      <c r="IC20" s="1034">
        <f t="shared" si="3"/>
        <v>0</v>
      </c>
      <c r="ID20" s="1034">
        <f t="shared" si="3"/>
        <v>0</v>
      </c>
      <c r="IE20" s="1034">
        <f t="shared" si="3"/>
        <v>0</v>
      </c>
      <c r="IF20" s="1034">
        <f t="shared" si="3"/>
        <v>0</v>
      </c>
      <c r="IG20" s="1034">
        <f t="shared" si="3"/>
        <v>0</v>
      </c>
      <c r="IH20" s="1034">
        <f t="shared" si="3"/>
        <v>0</v>
      </c>
      <c r="II20" s="1034">
        <f t="shared" si="3"/>
        <v>0</v>
      </c>
      <c r="IJ20" s="1034">
        <f t="shared" si="3"/>
        <v>0</v>
      </c>
      <c r="IK20" s="1034">
        <f t="shared" si="3"/>
        <v>0</v>
      </c>
      <c r="IL20" s="1034">
        <f t="shared" si="3"/>
        <v>0</v>
      </c>
      <c r="IM20" s="1034">
        <f t="shared" si="3"/>
        <v>0</v>
      </c>
      <c r="IN20" s="1034">
        <f t="shared" si="3"/>
        <v>0</v>
      </c>
      <c r="IO20" s="1034">
        <f t="shared" si="3"/>
        <v>0</v>
      </c>
      <c r="IP20" s="1034">
        <f t="shared" si="3"/>
        <v>0</v>
      </c>
      <c r="IQ20" s="1034">
        <f t="shared" si="3"/>
        <v>0</v>
      </c>
      <c r="IR20" s="1034">
        <f t="shared" si="3"/>
        <v>0</v>
      </c>
      <c r="IS20" s="1034">
        <f t="shared" si="3"/>
        <v>0</v>
      </c>
      <c r="IT20" s="1034">
        <f t="shared" si="3"/>
        <v>0</v>
      </c>
      <c r="IU20" s="1034">
        <f t="shared" si="3"/>
        <v>0</v>
      </c>
    </row>
    <row r="21" ht="14" customHeight="1" spans="1:255" s="1035" customFormat="1" x14ac:dyDescent="0.25">
      <c r="A21" s="1029" t="s">
        <v>2644</v>
      </c>
      <c r="B21" s="1036" t="s">
        <v>2645</v>
      </c>
      <c r="C21" s="1037"/>
      <c r="D21" s="1030"/>
      <c r="E21" s="1038"/>
      <c r="F21" s="1038"/>
      <c r="G21" s="1039"/>
      <c r="H21" s="1039"/>
      <c r="I21" s="1039"/>
      <c r="J21" s="1039"/>
      <c r="K21" s="1039"/>
      <c r="L21" s="1039"/>
      <c r="M21" s="1039"/>
      <c r="N21" s="1039"/>
      <c r="O21" s="1039"/>
      <c r="P21" s="1039"/>
      <c r="Q21" s="1039"/>
      <c r="R21" s="1039"/>
      <c r="S21" s="1039"/>
      <c r="T21" s="1039"/>
      <c r="U21" s="1039"/>
      <c r="V21" s="1039"/>
      <c r="W21" s="1039"/>
      <c r="X21" s="1039"/>
      <c r="Y21" s="1039"/>
      <c r="Z21" s="1039"/>
      <c r="AA21" s="1039"/>
      <c r="AB21" s="1039"/>
      <c r="AC21" s="1039"/>
      <c r="AD21" s="1039"/>
      <c r="AE21" s="1039"/>
      <c r="AF21" s="1039"/>
      <c r="AG21" s="1039"/>
      <c r="AH21" s="1039"/>
      <c r="AI21" s="1039"/>
      <c r="AJ21" s="1039"/>
      <c r="AK21" s="1039"/>
      <c r="AL21" s="1039"/>
      <c r="AM21" s="1039"/>
      <c r="AN21" s="1039"/>
      <c r="AO21" s="1039"/>
      <c r="AP21" s="1039"/>
      <c r="AQ21" s="1039"/>
      <c r="AR21" s="1039"/>
      <c r="AS21" s="1039"/>
      <c r="AT21" s="1039"/>
      <c r="AU21" s="1039"/>
      <c r="AV21" s="1039"/>
      <c r="AW21" s="1039"/>
      <c r="AX21" s="1039"/>
      <c r="AY21" s="1039"/>
      <c r="AZ21" s="1039"/>
      <c r="BA21" s="1039"/>
      <c r="BB21" s="1039"/>
      <c r="BC21" s="1039"/>
      <c r="BD21" s="1039"/>
      <c r="BE21" s="1039"/>
      <c r="BF21" s="1039"/>
      <c r="BG21" s="1039"/>
      <c r="BH21" s="1039"/>
      <c r="BI21" s="1039"/>
      <c r="BJ21" s="1039"/>
      <c r="BK21" s="1039"/>
      <c r="BL21" s="1039"/>
      <c r="BM21" s="1039"/>
      <c r="BN21" s="1039"/>
      <c r="BO21" s="1039"/>
      <c r="BP21" s="1039"/>
      <c r="BQ21" s="1039"/>
      <c r="BR21" s="1039"/>
      <c r="BS21" s="1039"/>
      <c r="BT21" s="1039"/>
      <c r="BU21" s="1039"/>
      <c r="BV21" s="1039"/>
      <c r="BW21" s="1039"/>
      <c r="BX21" s="1039"/>
      <c r="BY21" s="1039"/>
      <c r="BZ21" s="1039"/>
      <c r="CA21" s="1039"/>
      <c r="CB21" s="1039"/>
      <c r="CC21" s="1039"/>
      <c r="CD21" s="1039"/>
      <c r="CE21" s="1039"/>
      <c r="CF21" s="1039"/>
      <c r="CG21" s="1039"/>
      <c r="CH21" s="1039"/>
      <c r="CI21" s="1039"/>
      <c r="CJ21" s="1039"/>
      <c r="CK21" s="1039"/>
      <c r="CL21" s="1039"/>
      <c r="CM21" s="1039"/>
      <c r="CN21" s="1039"/>
      <c r="CO21" s="1039"/>
      <c r="CP21" s="1039"/>
      <c r="CQ21" s="1039"/>
      <c r="CR21" s="1039"/>
      <c r="CS21" s="1039"/>
      <c r="CT21" s="1039"/>
      <c r="CU21" s="1039"/>
      <c r="CV21" s="1039"/>
      <c r="CW21" s="1039"/>
      <c r="CX21" s="1039"/>
      <c r="CY21" s="1039"/>
      <c r="CZ21" s="1039"/>
      <c r="DA21" s="1039"/>
      <c r="DB21" s="1039"/>
      <c r="DC21" s="1039"/>
      <c r="DD21" s="1039"/>
      <c r="DE21" s="1039"/>
      <c r="DF21" s="1039"/>
      <c r="DG21" s="1039"/>
      <c r="DH21" s="1039"/>
      <c r="DI21" s="1039"/>
      <c r="DJ21" s="1039"/>
      <c r="DK21" s="1039"/>
      <c r="DL21" s="1039"/>
      <c r="DM21" s="1039"/>
      <c r="DN21" s="1039"/>
      <c r="DO21" s="1039"/>
      <c r="DP21" s="1039"/>
      <c r="DQ21" s="1039"/>
      <c r="DR21" s="1039"/>
      <c r="DS21" s="1039"/>
      <c r="DT21" s="1039"/>
      <c r="DU21" s="1039"/>
      <c r="DV21" s="1039"/>
      <c r="DW21" s="1039"/>
      <c r="DX21" s="1039"/>
      <c r="DY21" s="1039"/>
      <c r="DZ21" s="1039"/>
      <c r="EA21" s="1039"/>
      <c r="EB21" s="1039"/>
      <c r="EC21" s="1039"/>
      <c r="ED21" s="1039"/>
      <c r="EE21" s="1039"/>
      <c r="EF21" s="1039"/>
      <c r="EG21" s="1039"/>
      <c r="EH21" s="1039"/>
      <c r="EI21" s="1039"/>
      <c r="EJ21" s="1039"/>
      <c r="EK21" s="1039"/>
      <c r="EL21" s="1039"/>
      <c r="EM21" s="1039"/>
      <c r="EN21" s="1039"/>
      <c r="EO21" s="1039"/>
      <c r="EP21" s="1039"/>
      <c r="EQ21" s="1039"/>
      <c r="ER21" s="1039"/>
      <c r="ES21" s="1039"/>
      <c r="ET21" s="1039"/>
      <c r="EU21" s="1039"/>
      <c r="EV21" s="1039"/>
      <c r="EW21" s="1039"/>
      <c r="EX21" s="1039"/>
      <c r="EY21" s="1039"/>
      <c r="EZ21" s="1039"/>
      <c r="FA21" s="1039"/>
      <c r="FB21" s="1039"/>
      <c r="FC21" s="1039"/>
      <c r="FD21" s="1039"/>
      <c r="FE21" s="1039"/>
      <c r="FF21" s="1039"/>
      <c r="FG21" s="1039"/>
      <c r="FH21" s="1039"/>
      <c r="FI21" s="1039"/>
      <c r="FJ21" s="1039"/>
      <c r="FK21" s="1039"/>
      <c r="FL21" s="1039"/>
      <c r="FM21" s="1039"/>
      <c r="FN21" s="1039"/>
      <c r="FO21" s="1039"/>
      <c r="FP21" s="1039"/>
      <c r="FQ21" s="1039"/>
      <c r="FR21" s="1039"/>
      <c r="FS21" s="1039"/>
      <c r="FT21" s="1039"/>
      <c r="FU21" s="1039"/>
      <c r="FV21" s="1039"/>
      <c r="FW21" s="1039"/>
      <c r="FX21" s="1039"/>
      <c r="FY21" s="1039"/>
      <c r="FZ21" s="1039"/>
      <c r="GA21" s="1039"/>
      <c r="GB21" s="1039"/>
      <c r="GC21" s="1039"/>
      <c r="GD21" s="1039"/>
      <c r="GE21" s="1039"/>
      <c r="GF21" s="1039"/>
      <c r="GG21" s="1039"/>
      <c r="GH21" s="1039"/>
      <c r="GI21" s="1039"/>
      <c r="GJ21" s="1039"/>
      <c r="GK21" s="1039"/>
      <c r="GL21" s="1039"/>
      <c r="GM21" s="1039"/>
      <c r="GN21" s="1039"/>
      <c r="GO21" s="1039"/>
      <c r="GP21" s="1039"/>
      <c r="GQ21" s="1039"/>
      <c r="GR21" s="1039"/>
      <c r="GS21" s="1039"/>
      <c r="GT21" s="1039"/>
      <c r="GU21" s="1039"/>
      <c r="GV21" s="1039"/>
      <c r="GW21" s="1039"/>
      <c r="GX21" s="1039"/>
      <c r="GY21" s="1039"/>
      <c r="GZ21" s="1039"/>
      <c r="HA21" s="1039"/>
      <c r="HB21" s="1039"/>
      <c r="HC21" s="1039"/>
      <c r="HD21" s="1039"/>
      <c r="HE21" s="1039"/>
      <c r="HF21" s="1039"/>
      <c r="HG21" s="1039"/>
      <c r="HH21" s="1039"/>
      <c r="HI21" s="1039"/>
      <c r="HJ21" s="1039"/>
      <c r="HK21" s="1039"/>
      <c r="HL21" s="1039"/>
      <c r="HM21" s="1039"/>
      <c r="HN21" s="1039"/>
      <c r="HO21" s="1039"/>
      <c r="HP21" s="1039"/>
      <c r="HQ21" s="1039"/>
      <c r="HR21" s="1039"/>
      <c r="HS21" s="1039"/>
      <c r="HT21" s="1039"/>
      <c r="HU21" s="1039"/>
      <c r="HV21" s="1039"/>
      <c r="HW21" s="1039"/>
      <c r="HX21" s="1039"/>
      <c r="HY21" s="1039"/>
      <c r="HZ21" s="1039"/>
      <c r="IA21" s="1039"/>
      <c r="IB21" s="1039"/>
      <c r="IC21" s="1039"/>
      <c r="ID21" s="1039"/>
      <c r="IE21" s="1039"/>
      <c r="IF21" s="1039"/>
      <c r="IG21" s="1039"/>
      <c r="IH21" s="1039"/>
      <c r="II21" s="1039"/>
      <c r="IJ21" s="1039"/>
      <c r="IK21" s="1039"/>
      <c r="IL21" s="1039"/>
      <c r="IM21" s="1039"/>
      <c r="IN21" s="1039"/>
      <c r="IO21" s="1039"/>
      <c r="IP21" s="1039"/>
      <c r="IQ21" s="1039"/>
      <c r="IR21" s="1039"/>
      <c r="IS21" s="1039"/>
      <c r="IT21" s="1039"/>
      <c r="IU21" s="1039"/>
    </row>
    <row r="22" ht="15" customHeight="1" spans="1:6" x14ac:dyDescent="0.25">
      <c r="A22" s="1022" t="s">
        <v>58</v>
      </c>
      <c r="B22" s="1022" t="s">
        <v>2646</v>
      </c>
      <c r="C22" s="1022" t="s">
        <v>2647</v>
      </c>
      <c r="D22" s="1027" t="s">
        <v>1456</v>
      </c>
      <c r="E22" s="1025">
        <f>'Form Sa1'!H98</f>
        <v>44543.327</v>
      </c>
      <c r="F22" s="1025">
        <f>'Form Sa1'!I98</f>
        <v>0</v>
      </c>
    </row>
    <row r="23" ht="15" customHeight="1" spans="1:6" x14ac:dyDescent="0.25">
      <c r="A23" s="1022" t="s">
        <v>64</v>
      </c>
      <c r="B23" s="1022" t="s">
        <v>2648</v>
      </c>
      <c r="C23" s="1022" t="s">
        <v>2649</v>
      </c>
      <c r="D23" s="1027" t="s">
        <v>1456</v>
      </c>
      <c r="E23" s="1025">
        <f>'Form Sa1'!H99</f>
        <v>49464.495</v>
      </c>
      <c r="F23" s="1025">
        <f>'Form Sa1'!I99</f>
        <v>0</v>
      </c>
    </row>
    <row r="24" ht="15" customHeight="1" spans="1:6" x14ac:dyDescent="0.25">
      <c r="A24" s="1022" t="s">
        <v>68</v>
      </c>
      <c r="B24" s="1022" t="s">
        <v>2650</v>
      </c>
      <c r="C24" s="1032" t="s">
        <v>2651</v>
      </c>
      <c r="D24" s="1027" t="s">
        <v>1456</v>
      </c>
      <c r="E24" s="1025">
        <f>E23-E22</f>
        <v>4921.168000000005</v>
      </c>
      <c r="F24" s="1025">
        <f>F23-F22</f>
        <v>0</v>
      </c>
    </row>
    <row r="25" ht="15" customHeight="1" spans="1:6" x14ac:dyDescent="0.25">
      <c r="A25" s="1022" t="s">
        <v>74</v>
      </c>
      <c r="B25" s="1022" t="s">
        <v>1794</v>
      </c>
      <c r="C25" s="1022" t="s">
        <v>2652</v>
      </c>
      <c r="D25" s="1027" t="s">
        <v>1456</v>
      </c>
      <c r="E25" s="1025">
        <f>'Baseline Parameter'!E27</f>
        <v>0</v>
      </c>
      <c r="F25" s="1025">
        <f>'Baseline Parameter'!F27</f>
        <v>0</v>
      </c>
    </row>
    <row r="26" ht="15" customHeight="1" spans="1:6" x14ac:dyDescent="0.25">
      <c r="A26" s="1022" t="s">
        <v>80</v>
      </c>
      <c r="B26" s="1022" t="s">
        <v>1795</v>
      </c>
      <c r="C26" s="1022" t="s">
        <v>2653</v>
      </c>
      <c r="D26" s="1027" t="s">
        <v>1456</v>
      </c>
      <c r="E26" s="1025">
        <f>'Baseline Parameter'!E28</f>
        <v>244856.08999999997</v>
      </c>
      <c r="F26" s="1025">
        <f>'Baseline Parameter'!F28</f>
        <v>0</v>
      </c>
    </row>
    <row r="27" spans="1:6" x14ac:dyDescent="0.25">
      <c r="A27" s="1022" t="s">
        <v>82</v>
      </c>
      <c r="B27" s="1022" t="s">
        <v>2654</v>
      </c>
      <c r="C27" s="1032" t="s">
        <v>2655</v>
      </c>
      <c r="D27" s="1027" t="s">
        <v>1456</v>
      </c>
      <c r="E27" s="1034">
        <f>IF(E24&gt;0, (E25+E24), (E25))</f>
        <v>4921.168000000005</v>
      </c>
      <c r="F27" s="1034">
        <f>IF(F24&gt;0, (F25+F24), (F25))</f>
        <v>0</v>
      </c>
    </row>
    <row r="28" spans="1:6" x14ac:dyDescent="0.25">
      <c r="A28" s="1022" t="s">
        <v>121</v>
      </c>
      <c r="B28" s="1022" t="s">
        <v>2656</v>
      </c>
      <c r="C28" s="1032" t="s">
        <v>2657</v>
      </c>
      <c r="D28" s="1027" t="s">
        <v>1456</v>
      </c>
      <c r="E28" s="1034">
        <f>IF(E24&lt;0, E26-E24, (E26))</f>
        <v>244856.08999999997</v>
      </c>
      <c r="F28" s="1034">
        <f>IF(F24&lt;0, F26-F24, (F26))</f>
        <v>0</v>
      </c>
    </row>
    <row r="29" ht="15" customHeight="1" spans="1:6" x14ac:dyDescent="0.25">
      <c r="A29" s="1022"/>
      <c r="B29" s="1022"/>
      <c r="C29" s="1032"/>
      <c r="D29" s="1040"/>
      <c r="E29" s="1034"/>
      <c r="F29" s="1025"/>
    </row>
    <row r="30" ht="17.5" customHeight="1" spans="1:6" s="302" customFormat="1" x14ac:dyDescent="0.25">
      <c r="A30" s="1019" t="s">
        <v>84</v>
      </c>
      <c r="B30" s="1041" t="s">
        <v>85</v>
      </c>
      <c r="C30" s="1042"/>
      <c r="D30" s="1043"/>
      <c r="E30" s="1043"/>
      <c r="F30" s="1044"/>
    </row>
    <row r="31" ht="18.65" customHeight="1" spans="1:6" s="302" customFormat="1" x14ac:dyDescent="0.25">
      <c r="A31" s="1019" t="s">
        <v>2658</v>
      </c>
      <c r="B31" s="1017" t="s">
        <v>2621</v>
      </c>
      <c r="C31" s="1042"/>
      <c r="D31" s="1043"/>
      <c r="E31" s="1043"/>
      <c r="F31" s="1044"/>
    </row>
    <row r="32" ht="15" customHeight="1" spans="1:6" x14ac:dyDescent="0.25">
      <c r="A32" s="1022" t="s">
        <v>58</v>
      </c>
      <c r="B32" s="1023" t="s">
        <v>1837</v>
      </c>
      <c r="C32" s="1023" t="s">
        <v>2659</v>
      </c>
      <c r="D32" s="1024" t="s">
        <v>1456</v>
      </c>
      <c r="E32" s="1025">
        <f>'Baseline Parameter'!E31</f>
        <v>410661.738</v>
      </c>
      <c r="F32" s="1025">
        <f>'Baseline Parameter'!F31</f>
        <v>0</v>
      </c>
    </row>
    <row r="33" ht="15" customHeight="1" spans="1:6" x14ac:dyDescent="0.25">
      <c r="A33" s="1022" t="s">
        <v>64</v>
      </c>
      <c r="B33" s="1023" t="s">
        <v>2660</v>
      </c>
      <c r="C33" s="1023" t="s">
        <v>2661</v>
      </c>
      <c r="D33" s="1024" t="s">
        <v>1456</v>
      </c>
      <c r="E33" s="1025">
        <f>'Baseline Parameter'!E32</f>
        <v>381860.332</v>
      </c>
      <c r="F33" s="1025">
        <f>'Baseline Parameter'!F32</f>
        <v>0</v>
      </c>
    </row>
    <row r="34" ht="15" customHeight="1" spans="1:6" x14ac:dyDescent="0.25">
      <c r="A34" s="1022" t="s">
        <v>68</v>
      </c>
      <c r="B34" s="1026" t="s">
        <v>2662</v>
      </c>
      <c r="C34" s="1023" t="s">
        <v>2663</v>
      </c>
      <c r="D34" s="1045" t="s">
        <v>1493</v>
      </c>
      <c r="E34" s="1025">
        <f>'Form Sa1'!H58</f>
        <v>119.03238782608696</v>
      </c>
      <c r="F34" s="1025">
        <f>'Form Sa1'!I58</f>
        <v>0</v>
      </c>
    </row>
    <row r="35" ht="15" customHeight="1" spans="1:6" x14ac:dyDescent="0.25">
      <c r="A35" s="1022" t="s">
        <v>74</v>
      </c>
      <c r="B35" s="1026" t="s">
        <v>2664</v>
      </c>
      <c r="C35" s="1023" t="s">
        <v>2665</v>
      </c>
      <c r="D35" s="1027" t="s">
        <v>1493</v>
      </c>
      <c r="E35" s="1025">
        <f>'Form Sa1'!H59</f>
        <v>137.21176140855192</v>
      </c>
      <c r="F35" s="1025">
        <f>'Form Sa1'!I59</f>
        <v>0</v>
      </c>
    </row>
    <row r="36" ht="15" customHeight="1" spans="1:6" x14ac:dyDescent="0.25">
      <c r="A36" s="1022"/>
      <c r="B36" s="1033"/>
      <c r="C36" s="1033"/>
      <c r="D36" s="1024"/>
      <c r="E36" s="1025"/>
      <c r="F36" s="1025"/>
    </row>
    <row r="37" ht="15" customHeight="1" spans="1:6" x14ac:dyDescent="0.25">
      <c r="A37" s="1022"/>
      <c r="B37" s="1046" t="s">
        <v>2666</v>
      </c>
      <c r="C37" s="1046"/>
      <c r="D37" s="1046"/>
      <c r="E37" s="1046"/>
      <c r="F37" s="1046"/>
    </row>
    <row r="38" ht="28" customHeight="1" spans="1:6" x14ac:dyDescent="0.25">
      <c r="A38" s="1033" t="s">
        <v>459</v>
      </c>
      <c r="B38" s="1047" t="s">
        <v>1475</v>
      </c>
      <c r="C38" s="1032" t="s">
        <v>2667</v>
      </c>
      <c r="D38" s="1048" t="s">
        <v>1826</v>
      </c>
      <c r="E38" s="1038">
        <f>'Baseline Parameter'!E124</f>
        <v>20584767.748349573</v>
      </c>
      <c r="F38" s="1038">
        <f>'Baseline Parameter'!F124</f>
        <v>0</v>
      </c>
    </row>
    <row r="39" ht="43.15" customHeight="1" spans="1:16384" x14ac:dyDescent="0.25">
      <c r="A39" s="1033" t="s">
        <v>743</v>
      </c>
      <c r="B39" s="1047" t="s">
        <v>2668</v>
      </c>
      <c r="C39" s="1033" t="s">
        <v>2669</v>
      </c>
      <c r="D39" s="1024" t="s">
        <v>1822</v>
      </c>
      <c r="E39" s="1046">
        <f>'NF - 5 Power Mix'!E24</f>
        <v>70274.18451758653</v>
      </c>
      <c r="F39" s="1046">
        <f>'NF - 5 Power Mix'!F24</f>
        <v>0</v>
      </c>
      <c r="XFD39" s="1002"/>
    </row>
    <row r="40" ht="30" customHeight="1" spans="1:6" x14ac:dyDescent="0.25">
      <c r="A40" s="1033" t="s">
        <v>1058</v>
      </c>
      <c r="B40" s="1047" t="s">
        <v>2670</v>
      </c>
      <c r="C40" s="1033" t="s">
        <v>2671</v>
      </c>
      <c r="D40" s="1024" t="s">
        <v>1822</v>
      </c>
      <c r="E40" s="1046">
        <f>'NF - 5 Power Mix'!E6</f>
        <v>1144.79</v>
      </c>
      <c r="F40" s="1046">
        <f>'NF - 5 Power Mix'!F6</f>
        <v>0</v>
      </c>
    </row>
    <row r="41" ht="36" customHeight="1" spans="1:6" x14ac:dyDescent="0.25">
      <c r="A41" s="1033" t="s">
        <v>373</v>
      </c>
      <c r="B41" s="1047" t="s">
        <v>2672</v>
      </c>
      <c r="C41" s="1033" t="s">
        <v>2673</v>
      </c>
      <c r="D41" s="1024" t="s">
        <v>1822</v>
      </c>
      <c r="E41" s="1046">
        <f>'Form Sa1'!H841+'Form Sa1'!H842</f>
        <v>1782.6538101559997</v>
      </c>
      <c r="F41" s="1046">
        <f>'Form Sa1'!I841+'Form Sa1'!I842</f>
        <v>0</v>
      </c>
    </row>
    <row r="42" ht="56.5" customHeight="1" spans="1:16383" s="1046" customFormat="1" x14ac:dyDescent="0.25">
      <c r="A42" s="1033" t="s">
        <v>942</v>
      </c>
      <c r="B42" s="1047" t="s">
        <v>2674</v>
      </c>
      <c r="C42" s="1033" t="s">
        <v>2675</v>
      </c>
      <c r="D42" s="1033" t="s">
        <v>1826</v>
      </c>
      <c r="E42" s="1046">
        <f>E38+((E40+'NF - 5 Power Mix'!E14+'NF - 5 Power Mix'!E15)*860/10)+((('Form Sa1'!H835)*860)/10)+('Form Sa1'!H814*'Form Sa1'!H816/10)-'NF - 5 Power Mix'!E21-'NF - 5 Power Mix'!E22</f>
        <v>20189373.882818602</v>
      </c>
      <c r="F42" s="1046" t="e">
        <f>F38+((F40+'NF - 5 Power Mix'!F14+'NF - 5 Power Mix'!F15)*860/10)+((('Form Sa1'!I835)*860)/10)+('Form Sa1'!I814*'Form Sa1'!I816/10)-'NF - 5 Power Mix'!F21-'NF - 5 Power Mix'!F22</f>
        <v>#DIV/0!</v>
      </c>
      <c r="G42" s="1046">
        <f>G38+((G40+'NF - 5 Power Mix'!G14+'NF - 5 Power Mix'!G15)*860/10)+((('Form Sa1'!J835)*860)/10)+('Form Sa1'!J814*'Form Sa1'!J816/10)-'NF - 5 Power Mix'!G21-'NF - 5 Power Mix'!G22</f>
        <v>0</v>
      </c>
      <c r="H42" s="1046">
        <f>H38+((H40+'NF - 5 Power Mix'!H14+'NF - 5 Power Mix'!H15)*860/10)+((('Form Sa1'!K835)*860)/10)+('Form Sa1'!K814*'Form Sa1'!K816/10)-'NF - 5 Power Mix'!H21-'NF - 5 Power Mix'!H22</f>
        <v>0</v>
      </c>
      <c r="I42" s="1046">
        <f>I38+((I40+'NF - 5 Power Mix'!I14+'NF - 5 Power Mix'!I15)*860/10)+((('Form Sa1'!L835)*860)/10)+('Form Sa1'!L814*'Form Sa1'!L816/10)-'NF - 5 Power Mix'!I21-'NF - 5 Power Mix'!I22</f>
        <v>0</v>
      </c>
      <c r="J42" s="1046">
        <f>J38+((J40+'NF - 5 Power Mix'!J14+'NF - 5 Power Mix'!J15)*860/10)+((('Form Sa1'!M835)*860)/10)+('Form Sa1'!M814*'Form Sa1'!M816/10)-'NF - 5 Power Mix'!J21-'NF - 5 Power Mix'!J22</f>
        <v>0</v>
      </c>
      <c r="K42" s="1046">
        <f>K38+((K40+'NF - 5 Power Mix'!K14+'NF - 5 Power Mix'!K15)*860/10)+((('Form Sa1'!N835)*860)/10)+('Form Sa1'!N814*'Form Sa1'!N816/10)-'NF - 5 Power Mix'!K21-'NF - 5 Power Mix'!K22</f>
        <v>0</v>
      </c>
      <c r="L42" s="1046">
        <f>L38+((L40+'NF - 5 Power Mix'!L14+'NF - 5 Power Mix'!L15)*860/10)+((('Form Sa1'!O835)*860)/10)+('Form Sa1'!O814*'Form Sa1'!O816/10)-'NF - 5 Power Mix'!L21-'NF - 5 Power Mix'!L22</f>
        <v>0</v>
      </c>
      <c r="M42" s="1046">
        <f>M38+((M40+'NF - 5 Power Mix'!M14+'NF - 5 Power Mix'!M15)*860/10)+((('Form Sa1'!P835)*860)/10)+('Form Sa1'!P814*'Form Sa1'!P816/10)-'NF - 5 Power Mix'!M21-'NF - 5 Power Mix'!M22</f>
        <v>0</v>
      </c>
      <c r="N42" s="1046">
        <f>N38+((N40+'NF - 5 Power Mix'!N14+'NF - 5 Power Mix'!N15)*860/10)+((('Form Sa1'!Q835)*860)/10)+('Form Sa1'!Q814*'Form Sa1'!Q816/10)-'NF - 5 Power Mix'!N21-'NF - 5 Power Mix'!N22</f>
        <v>0</v>
      </c>
      <c r="O42" s="1046">
        <f>O38+((O40+'NF - 5 Power Mix'!O14+'NF - 5 Power Mix'!O15)*860/10)+((('Form Sa1'!R835)*860)/10)+('Form Sa1'!R814*'Form Sa1'!R816/10)-'NF - 5 Power Mix'!O21-'NF - 5 Power Mix'!O22</f>
        <v>0</v>
      </c>
      <c r="P42" s="1046">
        <f>P38+((P40+'NF - 5 Power Mix'!P14+'NF - 5 Power Mix'!P15)*860/10)+((('Form Sa1'!S835)*860)/10)+('Form Sa1'!S814*'Form Sa1'!S816/10)-'NF - 5 Power Mix'!P21-'NF - 5 Power Mix'!P22</f>
        <v>0</v>
      </c>
      <c r="Q42" s="1046">
        <f>Q38+((Q40+'NF - 5 Power Mix'!Q14+'NF - 5 Power Mix'!Q15)*860/10)+((('Form Sa1'!T835)*860)/10)+('Form Sa1'!T814*'Form Sa1'!T816/10)-'NF - 5 Power Mix'!Q21-'NF - 5 Power Mix'!Q22</f>
        <v>0</v>
      </c>
      <c r="R42" s="1046">
        <f>R38+((R40+'NF - 5 Power Mix'!R14+'NF - 5 Power Mix'!R15)*860/10)+((('Form Sa1'!U835)*860)/10)+('Form Sa1'!U814*'Form Sa1'!U816/10)-'NF - 5 Power Mix'!R21-'NF - 5 Power Mix'!R22</f>
        <v>0</v>
      </c>
      <c r="S42" s="1046">
        <f>S38+((S40+'NF - 5 Power Mix'!S14+'NF - 5 Power Mix'!S15)*860/10)+((('Form Sa1'!V835)*860)/10)+('Form Sa1'!V814*'Form Sa1'!V816/10)-'NF - 5 Power Mix'!S21-'NF - 5 Power Mix'!S22</f>
        <v>0</v>
      </c>
      <c r="T42" s="1046">
        <f>T38+((T40+'NF - 5 Power Mix'!T14+'NF - 5 Power Mix'!T15)*860/10)+((('Form Sa1'!W835)*860)/10)+('Form Sa1'!W814*'Form Sa1'!W816/10)-'NF - 5 Power Mix'!T21-'NF - 5 Power Mix'!T22</f>
        <v>0</v>
      </c>
      <c r="U42" s="1046">
        <f>U38+((U40+'NF - 5 Power Mix'!U14+'NF - 5 Power Mix'!U15)*860/10)+((('Form Sa1'!X835)*860)/10)+('Form Sa1'!X814*'Form Sa1'!X816/10)-'NF - 5 Power Mix'!U21-'NF - 5 Power Mix'!U22</f>
        <v>0</v>
      </c>
      <c r="V42" s="1046">
        <f>V38+((V40+'NF - 5 Power Mix'!V14+'NF - 5 Power Mix'!V15)*860/10)+((('Form Sa1'!Y835)*860)/10)+('Form Sa1'!Y814*'Form Sa1'!Y816/10)-'NF - 5 Power Mix'!V21-'NF - 5 Power Mix'!V22</f>
        <v>0</v>
      </c>
      <c r="W42" s="1046">
        <f>W38+((W40+'NF - 5 Power Mix'!W14+'NF - 5 Power Mix'!W15)*860/10)+((('Form Sa1'!Z835)*860)/10)+('Form Sa1'!Z814*'Form Sa1'!Z816/10)-'NF - 5 Power Mix'!W21-'NF - 5 Power Mix'!W22</f>
        <v>0</v>
      </c>
      <c r="X42" s="1046">
        <f>X38+((X40+'NF - 5 Power Mix'!X14+'NF - 5 Power Mix'!X15)*860/10)+((('Form Sa1'!AA835)*860)/10)+('Form Sa1'!AA814*'Form Sa1'!AA816/10)-'NF - 5 Power Mix'!X21-'NF - 5 Power Mix'!X22</f>
        <v>0</v>
      </c>
      <c r="Y42" s="1046">
        <f>Y38+((Y40+'NF - 5 Power Mix'!Y14+'NF - 5 Power Mix'!Y15)*860/10)+((('Form Sa1'!AB835)*860)/10)+('Form Sa1'!AB814*'Form Sa1'!AB816/10)-'NF - 5 Power Mix'!Y21-'NF - 5 Power Mix'!Y22</f>
        <v>0</v>
      </c>
      <c r="Z42" s="1046">
        <f>Z38+((Z40+'NF - 5 Power Mix'!Z14+'NF - 5 Power Mix'!Z15)*860/10)+((('Form Sa1'!AC835)*860)/10)+('Form Sa1'!AC814*'Form Sa1'!AC816/10)-'NF - 5 Power Mix'!Z21-'NF - 5 Power Mix'!Z22</f>
        <v>0</v>
      </c>
      <c r="AA42" s="1046">
        <f>AA38+((AA40+'NF - 5 Power Mix'!AA14+'NF - 5 Power Mix'!AA15)*860/10)+((('Form Sa1'!AD835)*860)/10)+('Form Sa1'!AD814*'Form Sa1'!AD816/10)-'NF - 5 Power Mix'!AA21-'NF - 5 Power Mix'!AA22</f>
        <v>0</v>
      </c>
      <c r="AB42" s="1046">
        <f>AB38+((AB40+'NF - 5 Power Mix'!AB14+'NF - 5 Power Mix'!AB15)*860/10)+((('Form Sa1'!AE835)*860)/10)+('Form Sa1'!AE814*'Form Sa1'!AE816/10)-'NF - 5 Power Mix'!AB21-'NF - 5 Power Mix'!AB22</f>
        <v>0</v>
      </c>
      <c r="AC42" s="1046">
        <f>AC38+((AC40+'NF - 5 Power Mix'!AC14+'NF - 5 Power Mix'!AC15)*860/10)+((('Form Sa1'!AF835)*860)/10)+('Form Sa1'!AF814*'Form Sa1'!AF816/10)-'NF - 5 Power Mix'!AC21-'NF - 5 Power Mix'!AC22</f>
        <v>0</v>
      </c>
      <c r="AD42" s="1046">
        <f>AD38+((AD40+'NF - 5 Power Mix'!AD14+'NF - 5 Power Mix'!AD15)*860/10)+((('Form Sa1'!AG835)*860)/10)+('Form Sa1'!AG814*'Form Sa1'!AG816/10)-'NF - 5 Power Mix'!AD21-'NF - 5 Power Mix'!AD22</f>
        <v>0</v>
      </c>
      <c r="AE42" s="1046">
        <f>AE38+((AE40+'NF - 5 Power Mix'!AE14+'NF - 5 Power Mix'!AE15)*860/10)+((('Form Sa1'!AH835)*860)/10)+('Form Sa1'!AH814*'Form Sa1'!AH816/10)-'NF - 5 Power Mix'!AE21-'NF - 5 Power Mix'!AE22</f>
        <v>0</v>
      </c>
      <c r="AF42" s="1046">
        <f>AF38+((AF40+'NF - 5 Power Mix'!AF14+'NF - 5 Power Mix'!AF15)*860/10)+((('Form Sa1'!AI835)*860)/10)+('Form Sa1'!AI814*'Form Sa1'!AI816/10)-'NF - 5 Power Mix'!AF21-'NF - 5 Power Mix'!AF22</f>
        <v>0</v>
      </c>
      <c r="AG42" s="1046">
        <f>AG38+((AG40+'NF - 5 Power Mix'!AG14+'NF - 5 Power Mix'!AG15)*860/10)+((('Form Sa1'!AJ835)*860)/10)+('Form Sa1'!AJ814*'Form Sa1'!AJ816/10)-'NF - 5 Power Mix'!AG21-'NF - 5 Power Mix'!AG22</f>
        <v>0</v>
      </c>
      <c r="AH42" s="1046">
        <f>AH38+((AH40+'NF - 5 Power Mix'!AH14+'NF - 5 Power Mix'!AH15)*860/10)+((('Form Sa1'!AK835)*860)/10)+('Form Sa1'!AK814*'Form Sa1'!AK816/10)-'NF - 5 Power Mix'!AH21-'NF - 5 Power Mix'!AH22</f>
        <v>0</v>
      </c>
      <c r="AI42" s="1046">
        <f>AI38+((AI40+'NF - 5 Power Mix'!AI14+'NF - 5 Power Mix'!AI15)*860/10)+((('Form Sa1'!AL835)*860)/10)+('Form Sa1'!AL814*'Form Sa1'!AL816/10)-'NF - 5 Power Mix'!AI21-'NF - 5 Power Mix'!AI22</f>
        <v>0</v>
      </c>
      <c r="AJ42" s="1046">
        <f>AJ38+((AJ40+'NF - 5 Power Mix'!AJ14+'NF - 5 Power Mix'!AJ15)*860/10)+((('Form Sa1'!AM835)*860)/10)+('Form Sa1'!AM814*'Form Sa1'!AM816/10)-'NF - 5 Power Mix'!AJ21-'NF - 5 Power Mix'!AJ22</f>
        <v>0</v>
      </c>
      <c r="AK42" s="1046">
        <f>AK38+((AK40+'NF - 5 Power Mix'!AK14+'NF - 5 Power Mix'!AK15)*860/10)+((('Form Sa1'!AN835)*860)/10)+('Form Sa1'!AN814*'Form Sa1'!AN816/10)-'NF - 5 Power Mix'!AK21-'NF - 5 Power Mix'!AK22</f>
        <v>0</v>
      </c>
      <c r="AL42" s="1046">
        <f>AL38+((AL40+'NF - 5 Power Mix'!AL14+'NF - 5 Power Mix'!AL15)*860/10)+((('Form Sa1'!AO835)*860)/10)+('Form Sa1'!AO814*'Form Sa1'!AO816/10)-'NF - 5 Power Mix'!AL21-'NF - 5 Power Mix'!AL22</f>
        <v>0</v>
      </c>
      <c r="AM42" s="1046">
        <f>AM38+((AM40+'NF - 5 Power Mix'!AM14+'NF - 5 Power Mix'!AM15)*860/10)+((('Form Sa1'!AP835)*860)/10)+('Form Sa1'!AP814*'Form Sa1'!AP816/10)-'NF - 5 Power Mix'!AM21-'NF - 5 Power Mix'!AM22</f>
        <v>0</v>
      </c>
      <c r="AN42" s="1046">
        <f>AN38+((AN40+'NF - 5 Power Mix'!AN14+'NF - 5 Power Mix'!AN15)*860/10)+((('Form Sa1'!AQ835)*860)/10)+('Form Sa1'!AQ814*'Form Sa1'!AQ816/10)-'NF - 5 Power Mix'!AN21-'NF - 5 Power Mix'!AN22</f>
        <v>0</v>
      </c>
      <c r="AO42" s="1046">
        <f>AO38+((AO40+'NF - 5 Power Mix'!AO14+'NF - 5 Power Mix'!AO15)*860/10)+((('Form Sa1'!AR835)*860)/10)+('Form Sa1'!AR814*'Form Sa1'!AR816/10)-'NF - 5 Power Mix'!AO21-'NF - 5 Power Mix'!AO22</f>
        <v>0</v>
      </c>
      <c r="AP42" s="1046">
        <f>AP38+((AP40+'NF - 5 Power Mix'!AP14+'NF - 5 Power Mix'!AP15)*860/10)+((('Form Sa1'!AS835)*860)/10)+('Form Sa1'!AS814*'Form Sa1'!AS816/10)-'NF - 5 Power Mix'!AP21-'NF - 5 Power Mix'!AP22</f>
        <v>0</v>
      </c>
      <c r="AQ42" s="1046">
        <f>AQ38+((AQ40+'NF - 5 Power Mix'!AQ14+'NF - 5 Power Mix'!AQ15)*860/10)+((('Form Sa1'!AT835)*860)/10)+('Form Sa1'!AT814*'Form Sa1'!AT816/10)-'NF - 5 Power Mix'!AQ21-'NF - 5 Power Mix'!AQ22</f>
        <v>0</v>
      </c>
      <c r="AR42" s="1046">
        <f>AR38+((AR40+'NF - 5 Power Mix'!AR14+'NF - 5 Power Mix'!AR15)*860/10)+((('Form Sa1'!AU835)*860)/10)+('Form Sa1'!AU814*'Form Sa1'!AU816/10)-'NF - 5 Power Mix'!AR21-'NF - 5 Power Mix'!AR22</f>
        <v>0</v>
      </c>
      <c r="AS42" s="1046">
        <f>AS38+((AS40+'NF - 5 Power Mix'!AS14+'NF - 5 Power Mix'!AS15)*860/10)+((('Form Sa1'!AV835)*860)/10)+('Form Sa1'!AV814*'Form Sa1'!AV816/10)-'NF - 5 Power Mix'!AS21-'NF - 5 Power Mix'!AS22</f>
        <v>0</v>
      </c>
      <c r="AT42" s="1046">
        <f>AT38+((AT40+'NF - 5 Power Mix'!AT14+'NF - 5 Power Mix'!AT15)*860/10)+((('Form Sa1'!AW835)*860)/10)+('Form Sa1'!AW814*'Form Sa1'!AW816/10)-'NF - 5 Power Mix'!AT21-'NF - 5 Power Mix'!AT22</f>
        <v>0</v>
      </c>
      <c r="AU42" s="1046">
        <f>AU38+((AU40+'NF - 5 Power Mix'!AU14+'NF - 5 Power Mix'!AU15)*860/10)+((('Form Sa1'!AX835)*860)/10)+('Form Sa1'!AX814*'Form Sa1'!AX816/10)-'NF - 5 Power Mix'!AU21-'NF - 5 Power Mix'!AU22</f>
        <v>0</v>
      </c>
      <c r="AV42" s="1046">
        <f>AV38+((AV40+'NF - 5 Power Mix'!AV14+'NF - 5 Power Mix'!AV15)*860/10)+((('Form Sa1'!AY835)*860)/10)+('Form Sa1'!AY814*'Form Sa1'!AY816/10)-'NF - 5 Power Mix'!AV21-'NF - 5 Power Mix'!AV22</f>
        <v>0</v>
      </c>
      <c r="AW42" s="1046">
        <f>AW38+((AW40+'NF - 5 Power Mix'!AW14+'NF - 5 Power Mix'!AW15)*860/10)+((('Form Sa1'!AZ835)*860)/10)+('Form Sa1'!AZ814*'Form Sa1'!AZ816/10)-'NF - 5 Power Mix'!AW21-'NF - 5 Power Mix'!AW22</f>
        <v>0</v>
      </c>
      <c r="AX42" s="1046">
        <f>AX38+((AX40+'NF - 5 Power Mix'!AX14+'NF - 5 Power Mix'!AX15)*860/10)+((('Form Sa1'!BA835)*860)/10)+('Form Sa1'!BA814*'Form Sa1'!BA816/10)-'NF - 5 Power Mix'!AX21-'NF - 5 Power Mix'!AX22</f>
        <v>0</v>
      </c>
      <c r="AY42" s="1046">
        <f>AY38+((AY40+'NF - 5 Power Mix'!AY14+'NF - 5 Power Mix'!AY15)*860/10)+((('Form Sa1'!BB835)*860)/10)+('Form Sa1'!BB814*'Form Sa1'!BB816/10)-'NF - 5 Power Mix'!AY21-'NF - 5 Power Mix'!AY22</f>
        <v>0</v>
      </c>
      <c r="AZ42" s="1046">
        <f>AZ38+((AZ40+'NF - 5 Power Mix'!AZ14+'NF - 5 Power Mix'!AZ15)*860/10)+((('Form Sa1'!BC835)*860)/10)+('Form Sa1'!BC814*'Form Sa1'!BC816/10)-'NF - 5 Power Mix'!AZ21-'NF - 5 Power Mix'!AZ22</f>
        <v>0</v>
      </c>
      <c r="BA42" s="1046">
        <f>BA38+((BA40+'NF - 5 Power Mix'!BA14+'NF - 5 Power Mix'!BA15)*860/10)+((('Form Sa1'!BD835)*860)/10)+('Form Sa1'!BD814*'Form Sa1'!BD816/10)-'NF - 5 Power Mix'!BA21-'NF - 5 Power Mix'!BA22</f>
        <v>0</v>
      </c>
      <c r="BB42" s="1046">
        <f>BB38+((BB40+'NF - 5 Power Mix'!BB14+'NF - 5 Power Mix'!BB15)*860/10)+((('Form Sa1'!BE835)*860)/10)+('Form Sa1'!BE814*'Form Sa1'!BE816/10)-'NF - 5 Power Mix'!BB21-'NF - 5 Power Mix'!BB22</f>
        <v>0</v>
      </c>
      <c r="BC42" s="1046">
        <f>BC38+((BC40+'NF - 5 Power Mix'!BC14+'NF - 5 Power Mix'!BC15)*860/10)+((('Form Sa1'!BF835)*860)/10)+('Form Sa1'!BF814*'Form Sa1'!BF816/10)-'NF - 5 Power Mix'!BC21-'NF - 5 Power Mix'!BC22</f>
        <v>0</v>
      </c>
      <c r="BD42" s="1046">
        <f>BD38+((BD40+'NF - 5 Power Mix'!BD14+'NF - 5 Power Mix'!BD15)*860/10)+((('Form Sa1'!BG835)*860)/10)+('Form Sa1'!BG814*'Form Sa1'!BG816/10)-'NF - 5 Power Mix'!BD21-'NF - 5 Power Mix'!BD22</f>
        <v>0</v>
      </c>
      <c r="BE42" s="1046">
        <f>BE38+((BE40+'NF - 5 Power Mix'!BE14+'NF - 5 Power Mix'!BE15)*860/10)+((('Form Sa1'!BH835)*860)/10)+('Form Sa1'!BH814*'Form Sa1'!BH816/10)-'NF - 5 Power Mix'!BE21-'NF - 5 Power Mix'!BE22</f>
        <v>0</v>
      </c>
      <c r="BF42" s="1046">
        <f>BF38+((BF40+'NF - 5 Power Mix'!BF14+'NF - 5 Power Mix'!BF15)*860/10)+((('Form Sa1'!BI835)*860)/10)+('Form Sa1'!BI814*'Form Sa1'!BI816/10)-'NF - 5 Power Mix'!BF21-'NF - 5 Power Mix'!BF22</f>
        <v>0</v>
      </c>
      <c r="BG42" s="1046">
        <f>BG38+((BG40+'NF - 5 Power Mix'!BG14+'NF - 5 Power Mix'!BG15)*860/10)+((('Form Sa1'!BJ835)*860)/10)+('Form Sa1'!BJ814*'Form Sa1'!BJ816/10)-'NF - 5 Power Mix'!BG21-'NF - 5 Power Mix'!BG22</f>
        <v>0</v>
      </c>
      <c r="BH42" s="1046">
        <f>BH38+((BH40+'NF - 5 Power Mix'!BH14+'NF - 5 Power Mix'!BH15)*860/10)+((('Form Sa1'!BK835)*860)/10)+('Form Sa1'!BK814*'Form Sa1'!BK816/10)-'NF - 5 Power Mix'!BH21-'NF - 5 Power Mix'!BH22</f>
        <v>0</v>
      </c>
      <c r="BI42" s="1046">
        <f>BI38+((BI40+'NF - 5 Power Mix'!BI14+'NF - 5 Power Mix'!BI15)*860/10)+((('Form Sa1'!BL835)*860)/10)+('Form Sa1'!BL814*'Form Sa1'!BL816/10)-'NF - 5 Power Mix'!BI21-'NF - 5 Power Mix'!BI22</f>
        <v>0</v>
      </c>
      <c r="BJ42" s="1046">
        <f>BJ38+((BJ40+'NF - 5 Power Mix'!BJ14+'NF - 5 Power Mix'!BJ15)*860/10)+((('Form Sa1'!BM835)*860)/10)+('Form Sa1'!BM814*'Form Sa1'!BM816/10)-'NF - 5 Power Mix'!BJ21-'NF - 5 Power Mix'!BJ22</f>
        <v>0</v>
      </c>
      <c r="BK42" s="1046">
        <f>BK38+((BK40+'NF - 5 Power Mix'!BK14+'NF - 5 Power Mix'!BK15)*860/10)+((('Form Sa1'!BN835)*860)/10)+('Form Sa1'!BN814*'Form Sa1'!BN816/10)-'NF - 5 Power Mix'!BK21-'NF - 5 Power Mix'!BK22</f>
        <v>0</v>
      </c>
      <c r="BL42" s="1046">
        <f>BL38+((BL40+'NF - 5 Power Mix'!BL14+'NF - 5 Power Mix'!BL15)*860/10)+((('Form Sa1'!BO835)*860)/10)+('Form Sa1'!BO814*'Form Sa1'!BO816/10)-'NF - 5 Power Mix'!BL21-'NF - 5 Power Mix'!BL22</f>
        <v>0</v>
      </c>
      <c r="BM42" s="1046">
        <f>BM38+((BM40+'NF - 5 Power Mix'!BM14+'NF - 5 Power Mix'!BM15)*860/10)+((('Form Sa1'!BP835)*860)/10)+('Form Sa1'!BP814*'Form Sa1'!BP816/10)-'NF - 5 Power Mix'!BM21-'NF - 5 Power Mix'!BM22</f>
        <v>0</v>
      </c>
      <c r="BN42" s="1046">
        <f>BN38+((BN40+'NF - 5 Power Mix'!BN14+'NF - 5 Power Mix'!BN15)*860/10)+((('Form Sa1'!BQ835)*860)/10)+('Form Sa1'!BQ814*'Form Sa1'!BQ816/10)-'NF - 5 Power Mix'!BN21-'NF - 5 Power Mix'!BN22</f>
        <v>0</v>
      </c>
      <c r="BO42" s="1046">
        <f>BO38+((BO40+'NF - 5 Power Mix'!BO14+'NF - 5 Power Mix'!BO15)*860/10)+((('Form Sa1'!BR835)*860)/10)+('Form Sa1'!BR814*'Form Sa1'!BR816/10)-'NF - 5 Power Mix'!BO21-'NF - 5 Power Mix'!BO22</f>
        <v>0</v>
      </c>
      <c r="BP42" s="1046">
        <f>BP38+((BP40+'NF - 5 Power Mix'!BP14+'NF - 5 Power Mix'!BP15)*860/10)+((('Form Sa1'!BS835)*860)/10)+('Form Sa1'!BS814*'Form Sa1'!BS816/10)-'NF - 5 Power Mix'!BP21-'NF - 5 Power Mix'!BP22</f>
        <v>0</v>
      </c>
      <c r="BQ42" s="1046">
        <f>BQ38+((BQ40+'NF - 5 Power Mix'!BQ14+'NF - 5 Power Mix'!BQ15)*860/10)+((('Form Sa1'!BT835)*860)/10)+('Form Sa1'!BT814*'Form Sa1'!BT816/10)-'NF - 5 Power Mix'!BQ21-'NF - 5 Power Mix'!BQ22</f>
        <v>0</v>
      </c>
      <c r="BR42" s="1046">
        <f>BR38+((BR40+'NF - 5 Power Mix'!BR14+'NF - 5 Power Mix'!BR15)*860/10)+((('Form Sa1'!BU835)*860)/10)+('Form Sa1'!BU814*'Form Sa1'!BU816/10)-'NF - 5 Power Mix'!BR21-'NF - 5 Power Mix'!BR22</f>
        <v>0</v>
      </c>
      <c r="BS42" s="1046">
        <f>BS38+((BS40+'NF - 5 Power Mix'!BS14+'NF - 5 Power Mix'!BS15)*860/10)+((('Form Sa1'!BV835)*860)/10)+('Form Sa1'!BV814*'Form Sa1'!BV816/10)-'NF - 5 Power Mix'!BS21-'NF - 5 Power Mix'!BS22</f>
        <v>0</v>
      </c>
      <c r="BT42" s="1046">
        <f>BT38+((BT40+'NF - 5 Power Mix'!BT14+'NF - 5 Power Mix'!BT15)*860/10)+((('Form Sa1'!BW835)*860)/10)+('Form Sa1'!BW814*'Form Sa1'!BW816/10)-'NF - 5 Power Mix'!BT21-'NF - 5 Power Mix'!BT22</f>
        <v>0</v>
      </c>
      <c r="BU42" s="1046">
        <f>BU38+((BU40+'NF - 5 Power Mix'!BU14+'NF - 5 Power Mix'!BU15)*860/10)+((('Form Sa1'!BX835)*860)/10)+('Form Sa1'!BX814*'Form Sa1'!BX816/10)-'NF - 5 Power Mix'!BU21-'NF - 5 Power Mix'!BU22</f>
        <v>0</v>
      </c>
      <c r="BV42" s="1046">
        <f>BV38+((BV40+'NF - 5 Power Mix'!BV14+'NF - 5 Power Mix'!BV15)*860/10)+((('Form Sa1'!BY835)*860)/10)+('Form Sa1'!BY814*'Form Sa1'!BY816/10)-'NF - 5 Power Mix'!BV21-'NF - 5 Power Mix'!BV22</f>
        <v>0</v>
      </c>
      <c r="BW42" s="1046">
        <f>BW38+((BW40+'NF - 5 Power Mix'!BW14+'NF - 5 Power Mix'!BW15)*860/10)+((('Form Sa1'!BZ835)*860)/10)+('Form Sa1'!BZ814*'Form Sa1'!BZ816/10)-'NF - 5 Power Mix'!BW21-'NF - 5 Power Mix'!BW22</f>
        <v>0</v>
      </c>
      <c r="BX42" s="1046">
        <f>BX38+((BX40+'NF - 5 Power Mix'!BX14+'NF - 5 Power Mix'!BX15)*860/10)+((('Form Sa1'!CA835)*860)/10)+('Form Sa1'!CA814*'Form Sa1'!CA816/10)-'NF - 5 Power Mix'!BX21-'NF - 5 Power Mix'!BX22</f>
        <v>0</v>
      </c>
      <c r="BY42" s="1046">
        <f>BY38+((BY40+'NF - 5 Power Mix'!BY14+'NF - 5 Power Mix'!BY15)*860/10)+((('Form Sa1'!CB835)*860)/10)+('Form Sa1'!CB814*'Form Sa1'!CB816/10)-'NF - 5 Power Mix'!BY21-'NF - 5 Power Mix'!BY22</f>
        <v>0</v>
      </c>
      <c r="BZ42" s="1046">
        <f>BZ38+((BZ40+'NF - 5 Power Mix'!BZ14+'NF - 5 Power Mix'!BZ15)*860/10)+((('Form Sa1'!CC835)*860)/10)+('Form Sa1'!CC814*'Form Sa1'!CC816/10)-'NF - 5 Power Mix'!BZ21-'NF - 5 Power Mix'!BZ22</f>
        <v>0</v>
      </c>
      <c r="CA42" s="1046">
        <f>CA38+((CA40+'NF - 5 Power Mix'!CA14+'NF - 5 Power Mix'!CA15)*860/10)+((('Form Sa1'!CD835)*860)/10)+('Form Sa1'!CD814*'Form Sa1'!CD816/10)-'NF - 5 Power Mix'!CA21-'NF - 5 Power Mix'!CA22</f>
        <v>0</v>
      </c>
      <c r="CB42" s="1046">
        <f>CB38+((CB40+'NF - 5 Power Mix'!CB14+'NF - 5 Power Mix'!CB15)*860/10)+((('Form Sa1'!CE835)*860)/10)+('Form Sa1'!CE814*'Form Sa1'!CE816/10)-'NF - 5 Power Mix'!CB21-'NF - 5 Power Mix'!CB22</f>
        <v>0</v>
      </c>
      <c r="CC42" s="1046">
        <f>CC38+((CC40+'NF - 5 Power Mix'!CC14+'NF - 5 Power Mix'!CC15)*860/10)+((('Form Sa1'!CF835)*860)/10)+('Form Sa1'!CF814*'Form Sa1'!CF816/10)-'NF - 5 Power Mix'!CC21-'NF - 5 Power Mix'!CC22</f>
        <v>0</v>
      </c>
      <c r="CD42" s="1046">
        <f>CD38+((CD40+'NF - 5 Power Mix'!CD14+'NF - 5 Power Mix'!CD15)*860/10)+((('Form Sa1'!CG835)*860)/10)+('Form Sa1'!CG814*'Form Sa1'!CG816/10)-'NF - 5 Power Mix'!CD21-'NF - 5 Power Mix'!CD22</f>
        <v>0</v>
      </c>
      <c r="CE42" s="1046">
        <f>CE38+((CE40+'NF - 5 Power Mix'!CE14+'NF - 5 Power Mix'!CE15)*860/10)+((('Form Sa1'!CH835)*860)/10)+('Form Sa1'!CH814*'Form Sa1'!CH816/10)-'NF - 5 Power Mix'!CE21-'NF - 5 Power Mix'!CE22</f>
        <v>0</v>
      </c>
      <c r="CF42" s="1046">
        <f>CF38+((CF40+'NF - 5 Power Mix'!CF14+'NF - 5 Power Mix'!CF15)*860/10)+((('Form Sa1'!CI835)*860)/10)+('Form Sa1'!CI814*'Form Sa1'!CI816/10)-'NF - 5 Power Mix'!CF21-'NF - 5 Power Mix'!CF22</f>
        <v>0</v>
      </c>
      <c r="CG42" s="1046">
        <f>CG38+((CG40+'NF - 5 Power Mix'!CG14+'NF - 5 Power Mix'!CG15)*860/10)+((('Form Sa1'!CJ835)*860)/10)+('Form Sa1'!CJ814*'Form Sa1'!CJ816/10)-'NF - 5 Power Mix'!CG21-'NF - 5 Power Mix'!CG22</f>
        <v>0</v>
      </c>
      <c r="CH42" s="1046">
        <f>CH38+((CH40+'NF - 5 Power Mix'!CH14+'NF - 5 Power Mix'!CH15)*860/10)+((('Form Sa1'!CK835)*860)/10)+('Form Sa1'!CK814*'Form Sa1'!CK816/10)-'NF - 5 Power Mix'!CH21-'NF - 5 Power Mix'!CH22</f>
        <v>0</v>
      </c>
      <c r="CI42" s="1046">
        <f>CI38+((CI40+'NF - 5 Power Mix'!CI14+'NF - 5 Power Mix'!CI15)*860/10)+((('Form Sa1'!CL835)*860)/10)+('Form Sa1'!CL814*'Form Sa1'!CL816/10)-'NF - 5 Power Mix'!CI21-'NF - 5 Power Mix'!CI22</f>
        <v>0</v>
      </c>
      <c r="CJ42" s="1046">
        <f>CJ38+((CJ40+'NF - 5 Power Mix'!CJ14+'NF - 5 Power Mix'!CJ15)*860/10)+((('Form Sa1'!CM835)*860)/10)+('Form Sa1'!CM814*'Form Sa1'!CM816/10)-'NF - 5 Power Mix'!CJ21-'NF - 5 Power Mix'!CJ22</f>
        <v>0</v>
      </c>
      <c r="CK42" s="1046">
        <f>CK38+((CK40+'NF - 5 Power Mix'!CK14+'NF - 5 Power Mix'!CK15)*860/10)+((('Form Sa1'!CN835)*860)/10)+('Form Sa1'!CN814*'Form Sa1'!CN816/10)-'NF - 5 Power Mix'!CK21-'NF - 5 Power Mix'!CK22</f>
        <v>0</v>
      </c>
      <c r="CL42" s="1046">
        <f>CL38+((CL40+'NF - 5 Power Mix'!CL14+'NF - 5 Power Mix'!CL15)*860/10)+((('Form Sa1'!CO835)*860)/10)+('Form Sa1'!CO814*'Form Sa1'!CO816/10)-'NF - 5 Power Mix'!CL21-'NF - 5 Power Mix'!CL22</f>
        <v>0</v>
      </c>
      <c r="CM42" s="1046">
        <f>CM38+((CM40+'NF - 5 Power Mix'!CM14+'NF - 5 Power Mix'!CM15)*860/10)+((('Form Sa1'!CP835)*860)/10)+('Form Sa1'!CP814*'Form Sa1'!CP816/10)-'NF - 5 Power Mix'!CM21-'NF - 5 Power Mix'!CM22</f>
        <v>0</v>
      </c>
      <c r="CN42" s="1046">
        <f>CN38+((CN40+'NF - 5 Power Mix'!CN14+'NF - 5 Power Mix'!CN15)*860/10)+((('Form Sa1'!CQ835)*860)/10)+('Form Sa1'!CQ814*'Form Sa1'!CQ816/10)-'NF - 5 Power Mix'!CN21-'NF - 5 Power Mix'!CN22</f>
        <v>0</v>
      </c>
      <c r="CO42" s="1046">
        <f>CO38+((CO40+'NF - 5 Power Mix'!CO14+'NF - 5 Power Mix'!CO15)*860/10)+((('Form Sa1'!CR835)*860)/10)+('Form Sa1'!CR814*'Form Sa1'!CR816/10)-'NF - 5 Power Mix'!CO21-'NF - 5 Power Mix'!CO22</f>
        <v>0</v>
      </c>
      <c r="CP42" s="1046">
        <f>CP38+((CP40+'NF - 5 Power Mix'!CP14+'NF - 5 Power Mix'!CP15)*860/10)+((('Form Sa1'!CS835)*860)/10)+('Form Sa1'!CS814*'Form Sa1'!CS816/10)-'NF - 5 Power Mix'!CP21-'NF - 5 Power Mix'!CP22</f>
        <v>0</v>
      </c>
      <c r="CQ42" s="1046">
        <f>CQ38+((CQ40+'NF - 5 Power Mix'!CQ14+'NF - 5 Power Mix'!CQ15)*860/10)+((('Form Sa1'!CT835)*860)/10)+('Form Sa1'!CT814*'Form Sa1'!CT816/10)-'NF - 5 Power Mix'!CQ21-'NF - 5 Power Mix'!CQ22</f>
        <v>0</v>
      </c>
      <c r="CR42" s="1046">
        <f>CR38+((CR40+'NF - 5 Power Mix'!CR14+'NF - 5 Power Mix'!CR15)*860/10)+((('Form Sa1'!CU835)*860)/10)+('Form Sa1'!CU814*'Form Sa1'!CU816/10)-'NF - 5 Power Mix'!CR21-'NF - 5 Power Mix'!CR22</f>
        <v>0</v>
      </c>
      <c r="CS42" s="1046">
        <f>CS38+((CS40+'NF - 5 Power Mix'!CS14+'NF - 5 Power Mix'!CS15)*860/10)+((('Form Sa1'!CV835)*860)/10)+('Form Sa1'!CV814*'Form Sa1'!CV816/10)-'NF - 5 Power Mix'!CS21-'NF - 5 Power Mix'!CS22</f>
        <v>0</v>
      </c>
      <c r="CT42" s="1046">
        <f>CT38+((CT40+'NF - 5 Power Mix'!CT14+'NF - 5 Power Mix'!CT15)*860/10)+((('Form Sa1'!CW835)*860)/10)+('Form Sa1'!CW814*'Form Sa1'!CW816/10)-'NF - 5 Power Mix'!CT21-'NF - 5 Power Mix'!CT22</f>
        <v>0</v>
      </c>
      <c r="CU42" s="1046">
        <f>CU38+((CU40+'NF - 5 Power Mix'!CU14+'NF - 5 Power Mix'!CU15)*860/10)+((('Form Sa1'!CX835)*860)/10)+('Form Sa1'!CX814*'Form Sa1'!CX816/10)-'NF - 5 Power Mix'!CU21-'NF - 5 Power Mix'!CU22</f>
        <v>0</v>
      </c>
      <c r="CV42" s="1046">
        <f>CV38+((CV40+'NF - 5 Power Mix'!CV14+'NF - 5 Power Mix'!CV15)*860/10)+((('Form Sa1'!CY835)*860)/10)+('Form Sa1'!CY814*'Form Sa1'!CY816/10)-'NF - 5 Power Mix'!CV21-'NF - 5 Power Mix'!CV22</f>
        <v>0</v>
      </c>
      <c r="CW42" s="1046">
        <f>CW38+((CW40+'NF - 5 Power Mix'!CW14+'NF - 5 Power Mix'!CW15)*860/10)+((('Form Sa1'!CZ835)*860)/10)+('Form Sa1'!CZ814*'Form Sa1'!CZ816/10)-'NF - 5 Power Mix'!CW21-'NF - 5 Power Mix'!CW22</f>
        <v>0</v>
      </c>
      <c r="CX42" s="1046">
        <f>CX38+((CX40+'NF - 5 Power Mix'!CX14+'NF - 5 Power Mix'!CX15)*860/10)+((('Form Sa1'!DA835)*860)/10)+('Form Sa1'!DA814*'Form Sa1'!DA816/10)-'NF - 5 Power Mix'!CX21-'NF - 5 Power Mix'!CX22</f>
        <v>0</v>
      </c>
      <c r="CY42" s="1046">
        <f>CY38+((CY40+'NF - 5 Power Mix'!CY14+'NF - 5 Power Mix'!CY15)*860/10)+((('Form Sa1'!DB835)*860)/10)+('Form Sa1'!DB814*'Form Sa1'!DB816/10)-'NF - 5 Power Mix'!CY21-'NF - 5 Power Mix'!CY22</f>
        <v>0</v>
      </c>
      <c r="CZ42" s="1046">
        <f>CZ38+((CZ40+'NF - 5 Power Mix'!CZ14+'NF - 5 Power Mix'!CZ15)*860/10)+((('Form Sa1'!DC835)*860)/10)+('Form Sa1'!DC814*'Form Sa1'!DC816/10)-'NF - 5 Power Mix'!CZ21-'NF - 5 Power Mix'!CZ22</f>
        <v>0</v>
      </c>
      <c r="DA42" s="1046">
        <f>DA38+((DA40+'NF - 5 Power Mix'!DA14+'NF - 5 Power Mix'!DA15)*860/10)+((('Form Sa1'!DD835)*860)/10)+('Form Sa1'!DD814*'Form Sa1'!DD816/10)-'NF - 5 Power Mix'!DA21-'NF - 5 Power Mix'!DA22</f>
        <v>0</v>
      </c>
      <c r="DB42" s="1046">
        <f>DB38+((DB40+'NF - 5 Power Mix'!DB14+'NF - 5 Power Mix'!DB15)*860/10)+((('Form Sa1'!DE835)*860)/10)+('Form Sa1'!DE814*'Form Sa1'!DE816/10)-'NF - 5 Power Mix'!DB21-'NF - 5 Power Mix'!DB22</f>
        <v>0</v>
      </c>
      <c r="DC42" s="1046">
        <f>DC38+((DC40+'NF - 5 Power Mix'!DC14+'NF - 5 Power Mix'!DC15)*860/10)+((('Form Sa1'!DF835)*860)/10)+('Form Sa1'!DF814*'Form Sa1'!DF816/10)-'NF - 5 Power Mix'!DC21-'NF - 5 Power Mix'!DC22</f>
        <v>0</v>
      </c>
      <c r="DD42" s="1046">
        <f>DD38+((DD40+'NF - 5 Power Mix'!DD14+'NF - 5 Power Mix'!DD15)*860/10)+((('Form Sa1'!DG835)*860)/10)+('Form Sa1'!DG814*'Form Sa1'!DG816/10)-'NF - 5 Power Mix'!DD21-'NF - 5 Power Mix'!DD22</f>
        <v>0</v>
      </c>
      <c r="DE42" s="1046">
        <f>DE38+((DE40+'NF - 5 Power Mix'!DE14+'NF - 5 Power Mix'!DE15)*860/10)+((('Form Sa1'!DH835)*860)/10)+('Form Sa1'!DH814*'Form Sa1'!DH816/10)-'NF - 5 Power Mix'!DE21-'NF - 5 Power Mix'!DE22</f>
        <v>0</v>
      </c>
      <c r="DF42" s="1046">
        <f>DF38+((DF40+'NF - 5 Power Mix'!DF14+'NF - 5 Power Mix'!DF15)*860/10)+((('Form Sa1'!DI835)*860)/10)+('Form Sa1'!DI814*'Form Sa1'!DI816/10)-'NF - 5 Power Mix'!DF21-'NF - 5 Power Mix'!DF22</f>
        <v>0</v>
      </c>
      <c r="DG42" s="1046">
        <f>DG38+((DG40+'NF - 5 Power Mix'!DG14+'NF - 5 Power Mix'!DG15)*860/10)+((('Form Sa1'!DJ835)*860)/10)+('Form Sa1'!DJ814*'Form Sa1'!DJ816/10)-'NF - 5 Power Mix'!DG21-'NF - 5 Power Mix'!DG22</f>
        <v>0</v>
      </c>
      <c r="DH42" s="1046">
        <f>DH38+((DH40+'NF - 5 Power Mix'!DH14+'NF - 5 Power Mix'!DH15)*860/10)+((('Form Sa1'!DK835)*860)/10)+('Form Sa1'!DK814*'Form Sa1'!DK816/10)-'NF - 5 Power Mix'!DH21-'NF - 5 Power Mix'!DH22</f>
        <v>0</v>
      </c>
      <c r="DI42" s="1046">
        <f>DI38+((DI40+'NF - 5 Power Mix'!DI14+'NF - 5 Power Mix'!DI15)*860/10)+((('Form Sa1'!DL835)*860)/10)+('Form Sa1'!DL814*'Form Sa1'!DL816/10)-'NF - 5 Power Mix'!DI21-'NF - 5 Power Mix'!DI22</f>
        <v>0</v>
      </c>
      <c r="DJ42" s="1046">
        <f>DJ38+((DJ40+'NF - 5 Power Mix'!DJ14+'NF - 5 Power Mix'!DJ15)*860/10)+((('Form Sa1'!DM835)*860)/10)+('Form Sa1'!DM814*'Form Sa1'!DM816/10)-'NF - 5 Power Mix'!DJ21-'NF - 5 Power Mix'!DJ22</f>
        <v>0</v>
      </c>
      <c r="DK42" s="1046">
        <f>DK38+((DK40+'NF - 5 Power Mix'!DK14+'NF - 5 Power Mix'!DK15)*860/10)+((('Form Sa1'!DN835)*860)/10)+('Form Sa1'!DN814*'Form Sa1'!DN816/10)-'NF - 5 Power Mix'!DK21-'NF - 5 Power Mix'!DK22</f>
        <v>0</v>
      </c>
      <c r="DL42" s="1046">
        <f>DL38+((DL40+'NF - 5 Power Mix'!DL14+'NF - 5 Power Mix'!DL15)*860/10)+((('Form Sa1'!DO835)*860)/10)+('Form Sa1'!DO814*'Form Sa1'!DO816/10)-'NF - 5 Power Mix'!DL21-'NF - 5 Power Mix'!DL22</f>
        <v>0</v>
      </c>
      <c r="DM42" s="1046">
        <f>DM38+((DM40+'NF - 5 Power Mix'!DM14+'NF - 5 Power Mix'!DM15)*860/10)+((('Form Sa1'!DP835)*860)/10)+('Form Sa1'!DP814*'Form Sa1'!DP816/10)-'NF - 5 Power Mix'!DM21-'NF - 5 Power Mix'!DM22</f>
        <v>0</v>
      </c>
      <c r="DN42" s="1046">
        <f>DN38+((DN40+'NF - 5 Power Mix'!DN14+'NF - 5 Power Mix'!DN15)*860/10)+((('Form Sa1'!DQ835)*860)/10)+('Form Sa1'!DQ814*'Form Sa1'!DQ816/10)-'NF - 5 Power Mix'!DN21-'NF - 5 Power Mix'!DN22</f>
        <v>0</v>
      </c>
      <c r="DO42" s="1046">
        <f>DO38+((DO40+'NF - 5 Power Mix'!DO14+'NF - 5 Power Mix'!DO15)*860/10)+((('Form Sa1'!DR835)*860)/10)+('Form Sa1'!DR814*'Form Sa1'!DR816/10)-'NF - 5 Power Mix'!DO21-'NF - 5 Power Mix'!DO22</f>
        <v>0</v>
      </c>
      <c r="DP42" s="1046">
        <f>DP38+((DP40+'NF - 5 Power Mix'!DP14+'NF - 5 Power Mix'!DP15)*860/10)+((('Form Sa1'!DS835)*860)/10)+('Form Sa1'!DS814*'Form Sa1'!DS816/10)-'NF - 5 Power Mix'!DP21-'NF - 5 Power Mix'!DP22</f>
        <v>0</v>
      </c>
      <c r="DQ42" s="1046">
        <f>DQ38+((DQ40+'NF - 5 Power Mix'!DQ14+'NF - 5 Power Mix'!DQ15)*860/10)+((('Form Sa1'!DT835)*860)/10)+('Form Sa1'!DT814*'Form Sa1'!DT816/10)-'NF - 5 Power Mix'!DQ21-'NF - 5 Power Mix'!DQ22</f>
        <v>0</v>
      </c>
      <c r="DR42" s="1046">
        <f>DR38+((DR40+'NF - 5 Power Mix'!DR14+'NF - 5 Power Mix'!DR15)*860/10)+((('Form Sa1'!DU835)*860)/10)+('Form Sa1'!DU814*'Form Sa1'!DU816/10)-'NF - 5 Power Mix'!DR21-'NF - 5 Power Mix'!DR22</f>
        <v>0</v>
      </c>
      <c r="DS42" s="1046">
        <f>DS38+((DS40+'NF - 5 Power Mix'!DS14+'NF - 5 Power Mix'!DS15)*860/10)+((('Form Sa1'!DV835)*860)/10)+('Form Sa1'!DV814*'Form Sa1'!DV816/10)-'NF - 5 Power Mix'!DS21-'NF - 5 Power Mix'!DS22</f>
        <v>0</v>
      </c>
      <c r="DT42" s="1046">
        <f>DT38+((DT40+'NF - 5 Power Mix'!DT14+'NF - 5 Power Mix'!DT15)*860/10)+((('Form Sa1'!DW835)*860)/10)+('Form Sa1'!DW814*'Form Sa1'!DW816/10)-'NF - 5 Power Mix'!DT21-'NF - 5 Power Mix'!DT22</f>
        <v>0</v>
      </c>
      <c r="DU42" s="1046">
        <f>DU38+((DU40+'NF - 5 Power Mix'!DU14+'NF - 5 Power Mix'!DU15)*860/10)+((('Form Sa1'!DX835)*860)/10)+('Form Sa1'!DX814*'Form Sa1'!DX816/10)-'NF - 5 Power Mix'!DU21-'NF - 5 Power Mix'!DU22</f>
        <v>0</v>
      </c>
      <c r="DV42" s="1046">
        <f>DV38+((DV40+'NF - 5 Power Mix'!DV14+'NF - 5 Power Mix'!DV15)*860/10)+((('Form Sa1'!DY835)*860)/10)+('Form Sa1'!DY814*'Form Sa1'!DY816/10)-'NF - 5 Power Mix'!DV21-'NF - 5 Power Mix'!DV22</f>
        <v>0</v>
      </c>
      <c r="DW42" s="1046">
        <f>DW38+((DW40+'NF - 5 Power Mix'!DW14+'NF - 5 Power Mix'!DW15)*860/10)+((('Form Sa1'!DZ835)*860)/10)+('Form Sa1'!DZ814*'Form Sa1'!DZ816/10)-'NF - 5 Power Mix'!DW21-'NF - 5 Power Mix'!DW22</f>
        <v>0</v>
      </c>
      <c r="DX42" s="1046">
        <f>DX38+((DX40+'NF - 5 Power Mix'!DX14+'NF - 5 Power Mix'!DX15)*860/10)+((('Form Sa1'!EA835)*860)/10)+('Form Sa1'!EA814*'Form Sa1'!EA816/10)-'NF - 5 Power Mix'!DX21-'NF - 5 Power Mix'!DX22</f>
        <v>0</v>
      </c>
      <c r="DY42" s="1046">
        <f>DY38+((DY40+'NF - 5 Power Mix'!DY14+'NF - 5 Power Mix'!DY15)*860/10)+((('Form Sa1'!EB835)*860)/10)+('Form Sa1'!EB814*'Form Sa1'!EB816/10)-'NF - 5 Power Mix'!DY21-'NF - 5 Power Mix'!DY22</f>
        <v>0</v>
      </c>
      <c r="DZ42" s="1046">
        <f>DZ38+((DZ40+'NF - 5 Power Mix'!DZ14+'NF - 5 Power Mix'!DZ15)*860/10)+((('Form Sa1'!EC835)*860)/10)+('Form Sa1'!EC814*'Form Sa1'!EC816/10)-'NF - 5 Power Mix'!DZ21-'NF - 5 Power Mix'!DZ22</f>
        <v>0</v>
      </c>
      <c r="EA42" s="1046">
        <f>EA38+((EA40+'NF - 5 Power Mix'!EA14+'NF - 5 Power Mix'!EA15)*860/10)+((('Form Sa1'!ED835)*860)/10)+('Form Sa1'!ED814*'Form Sa1'!ED816/10)-'NF - 5 Power Mix'!EA21-'NF - 5 Power Mix'!EA22</f>
        <v>0</v>
      </c>
      <c r="EB42" s="1046">
        <f>EB38+((EB40+'NF - 5 Power Mix'!EB14+'NF - 5 Power Mix'!EB15)*860/10)+((('Form Sa1'!EE835)*860)/10)+('Form Sa1'!EE814*'Form Sa1'!EE816/10)-'NF - 5 Power Mix'!EB21-'NF - 5 Power Mix'!EB22</f>
        <v>0</v>
      </c>
      <c r="EC42" s="1046">
        <f>EC38+((EC40+'NF - 5 Power Mix'!EC14+'NF - 5 Power Mix'!EC15)*860/10)+((('Form Sa1'!EF835)*860)/10)+('Form Sa1'!EF814*'Form Sa1'!EF816/10)-'NF - 5 Power Mix'!EC21-'NF - 5 Power Mix'!EC22</f>
        <v>0</v>
      </c>
      <c r="ED42" s="1046">
        <f>ED38+((ED40+'NF - 5 Power Mix'!ED14+'NF - 5 Power Mix'!ED15)*860/10)+((('Form Sa1'!EG835)*860)/10)+('Form Sa1'!EG814*'Form Sa1'!EG816/10)-'NF - 5 Power Mix'!ED21-'NF - 5 Power Mix'!ED22</f>
        <v>0</v>
      </c>
      <c r="EE42" s="1046">
        <f>EE38+((EE40+'NF - 5 Power Mix'!EE14+'NF - 5 Power Mix'!EE15)*860/10)+((('Form Sa1'!EH835)*860)/10)+('Form Sa1'!EH814*'Form Sa1'!EH816/10)-'NF - 5 Power Mix'!EE21-'NF - 5 Power Mix'!EE22</f>
        <v>0</v>
      </c>
      <c r="EF42" s="1046">
        <f>EF38+((EF40+'NF - 5 Power Mix'!EF14+'NF - 5 Power Mix'!EF15)*860/10)+((('Form Sa1'!EI835)*860)/10)+('Form Sa1'!EI814*'Form Sa1'!EI816/10)-'NF - 5 Power Mix'!EF21-'NF - 5 Power Mix'!EF22</f>
        <v>0</v>
      </c>
      <c r="EG42" s="1046">
        <f>EG38+((EG40+'NF - 5 Power Mix'!EG14+'NF - 5 Power Mix'!EG15)*860/10)+((('Form Sa1'!EJ835)*860)/10)+('Form Sa1'!EJ814*'Form Sa1'!EJ816/10)-'NF - 5 Power Mix'!EG21-'NF - 5 Power Mix'!EG22</f>
        <v>0</v>
      </c>
      <c r="EH42" s="1046">
        <f>EH38+((EH40+'NF - 5 Power Mix'!EH14+'NF - 5 Power Mix'!EH15)*860/10)+((('Form Sa1'!EK835)*860)/10)+('Form Sa1'!EK814*'Form Sa1'!EK816/10)-'NF - 5 Power Mix'!EH21-'NF - 5 Power Mix'!EH22</f>
        <v>0</v>
      </c>
      <c r="EI42" s="1046">
        <f>EI38+((EI40+'NF - 5 Power Mix'!EI14+'NF - 5 Power Mix'!EI15)*860/10)+((('Form Sa1'!EL835)*860)/10)+('Form Sa1'!EL814*'Form Sa1'!EL816/10)-'NF - 5 Power Mix'!EI21-'NF - 5 Power Mix'!EI22</f>
        <v>0</v>
      </c>
      <c r="EJ42" s="1046">
        <f>EJ38+((EJ40+'NF - 5 Power Mix'!EJ14+'NF - 5 Power Mix'!EJ15)*860/10)+((('Form Sa1'!EM835)*860)/10)+('Form Sa1'!EM814*'Form Sa1'!EM816/10)-'NF - 5 Power Mix'!EJ21-'NF - 5 Power Mix'!EJ22</f>
        <v>0</v>
      </c>
      <c r="EK42" s="1046">
        <f>EK38+((EK40+'NF - 5 Power Mix'!EK14+'NF - 5 Power Mix'!EK15)*860/10)+((('Form Sa1'!EN835)*860)/10)+('Form Sa1'!EN814*'Form Sa1'!EN816/10)-'NF - 5 Power Mix'!EK21-'NF - 5 Power Mix'!EK22</f>
        <v>0</v>
      </c>
      <c r="EL42" s="1046">
        <f>EL38+((EL40+'NF - 5 Power Mix'!EL14+'NF - 5 Power Mix'!EL15)*860/10)+((('Form Sa1'!EO835)*860)/10)+('Form Sa1'!EO814*'Form Sa1'!EO816/10)-'NF - 5 Power Mix'!EL21-'NF - 5 Power Mix'!EL22</f>
        <v>0</v>
      </c>
      <c r="EM42" s="1046">
        <f>EM38+((EM40+'NF - 5 Power Mix'!EM14+'NF - 5 Power Mix'!EM15)*860/10)+((('Form Sa1'!EP835)*860)/10)+('Form Sa1'!EP814*'Form Sa1'!EP816/10)-'NF - 5 Power Mix'!EM21-'NF - 5 Power Mix'!EM22</f>
        <v>0</v>
      </c>
      <c r="EN42" s="1046">
        <f>EN38+((EN40+'NF - 5 Power Mix'!EN14+'NF - 5 Power Mix'!EN15)*860/10)+((('Form Sa1'!EQ835)*860)/10)+('Form Sa1'!EQ814*'Form Sa1'!EQ816/10)-'NF - 5 Power Mix'!EN21-'NF - 5 Power Mix'!EN22</f>
        <v>0</v>
      </c>
      <c r="EO42" s="1046">
        <f>EO38+((EO40+'NF - 5 Power Mix'!EO14+'NF - 5 Power Mix'!EO15)*860/10)+((('Form Sa1'!ER835)*860)/10)+('Form Sa1'!ER814*'Form Sa1'!ER816/10)-'NF - 5 Power Mix'!EO21-'NF - 5 Power Mix'!EO22</f>
        <v>0</v>
      </c>
      <c r="EP42" s="1046">
        <f>EP38+((EP40+'NF - 5 Power Mix'!EP14+'NF - 5 Power Mix'!EP15)*860/10)+((('Form Sa1'!ES835)*860)/10)+('Form Sa1'!ES814*'Form Sa1'!ES816/10)-'NF - 5 Power Mix'!EP21-'NF - 5 Power Mix'!EP22</f>
        <v>0</v>
      </c>
      <c r="EQ42" s="1046">
        <f>EQ38+((EQ40+'NF - 5 Power Mix'!EQ14+'NF - 5 Power Mix'!EQ15)*860/10)+((('Form Sa1'!ET835)*860)/10)+('Form Sa1'!ET814*'Form Sa1'!ET816/10)-'NF - 5 Power Mix'!EQ21-'NF - 5 Power Mix'!EQ22</f>
        <v>0</v>
      </c>
      <c r="ER42" s="1046">
        <f>ER38+((ER40+'NF - 5 Power Mix'!ER14+'NF - 5 Power Mix'!ER15)*860/10)+((('Form Sa1'!EU835)*860)/10)+('Form Sa1'!EU814*'Form Sa1'!EU816/10)-'NF - 5 Power Mix'!ER21-'NF - 5 Power Mix'!ER22</f>
        <v>0</v>
      </c>
      <c r="ES42" s="1046">
        <f>ES38+((ES40+'NF - 5 Power Mix'!ES14+'NF - 5 Power Mix'!ES15)*860/10)+((('Form Sa1'!EV835)*860)/10)+('Form Sa1'!EV814*'Form Sa1'!EV816/10)-'NF - 5 Power Mix'!ES21-'NF - 5 Power Mix'!ES22</f>
        <v>0</v>
      </c>
      <c r="ET42" s="1046">
        <f>ET38+((ET40+'NF - 5 Power Mix'!ET14+'NF - 5 Power Mix'!ET15)*860/10)+((('Form Sa1'!EW835)*860)/10)+('Form Sa1'!EW814*'Form Sa1'!EW816/10)-'NF - 5 Power Mix'!ET21-'NF - 5 Power Mix'!ET22</f>
        <v>0</v>
      </c>
      <c r="EU42" s="1046">
        <f>EU38+((EU40+'NF - 5 Power Mix'!EU14+'NF - 5 Power Mix'!EU15)*860/10)+((('Form Sa1'!EX835)*860)/10)+('Form Sa1'!EX814*'Form Sa1'!EX816/10)-'NF - 5 Power Mix'!EU21-'NF - 5 Power Mix'!EU22</f>
        <v>0</v>
      </c>
      <c r="EV42" s="1046">
        <f>EV38+((EV40+'NF - 5 Power Mix'!EV14+'NF - 5 Power Mix'!EV15)*860/10)+((('Form Sa1'!EY835)*860)/10)+('Form Sa1'!EY814*'Form Sa1'!EY816/10)-'NF - 5 Power Mix'!EV21-'NF - 5 Power Mix'!EV22</f>
        <v>0</v>
      </c>
      <c r="EW42" s="1046">
        <f>EW38+((EW40+'NF - 5 Power Mix'!EW14+'NF - 5 Power Mix'!EW15)*860/10)+((('Form Sa1'!EZ835)*860)/10)+('Form Sa1'!EZ814*'Form Sa1'!EZ816/10)-'NF - 5 Power Mix'!EW21-'NF - 5 Power Mix'!EW22</f>
        <v>0</v>
      </c>
      <c r="EX42" s="1046">
        <f>EX38+((EX40+'NF - 5 Power Mix'!EX14+'NF - 5 Power Mix'!EX15)*860/10)+((('Form Sa1'!FA835)*860)/10)+('Form Sa1'!FA814*'Form Sa1'!FA816/10)-'NF - 5 Power Mix'!EX21-'NF - 5 Power Mix'!EX22</f>
        <v>0</v>
      </c>
      <c r="EY42" s="1046">
        <f>EY38+((EY40+'NF - 5 Power Mix'!EY14+'NF - 5 Power Mix'!EY15)*860/10)+((('Form Sa1'!FB835)*860)/10)+('Form Sa1'!FB814*'Form Sa1'!FB816/10)-'NF - 5 Power Mix'!EY21-'NF - 5 Power Mix'!EY22</f>
        <v>0</v>
      </c>
      <c r="EZ42" s="1046">
        <f>EZ38+((EZ40+'NF - 5 Power Mix'!EZ14+'NF - 5 Power Mix'!EZ15)*860/10)+((('Form Sa1'!FC835)*860)/10)+('Form Sa1'!FC814*'Form Sa1'!FC816/10)-'NF - 5 Power Mix'!EZ21-'NF - 5 Power Mix'!EZ22</f>
        <v>0</v>
      </c>
      <c r="FA42" s="1046">
        <f>FA38+((FA40+'NF - 5 Power Mix'!FA14+'NF - 5 Power Mix'!FA15)*860/10)+((('Form Sa1'!FD835)*860)/10)+('Form Sa1'!FD814*'Form Sa1'!FD816/10)-'NF - 5 Power Mix'!FA21-'NF - 5 Power Mix'!FA22</f>
        <v>0</v>
      </c>
      <c r="FB42" s="1046">
        <f>FB38+((FB40+'NF - 5 Power Mix'!FB14+'NF - 5 Power Mix'!FB15)*860/10)+((('Form Sa1'!FE835)*860)/10)+('Form Sa1'!FE814*'Form Sa1'!FE816/10)-'NF - 5 Power Mix'!FB21-'NF - 5 Power Mix'!FB22</f>
        <v>0</v>
      </c>
      <c r="FC42" s="1046">
        <f>FC38+((FC40+'NF - 5 Power Mix'!FC14+'NF - 5 Power Mix'!FC15)*860/10)+((('Form Sa1'!FF835)*860)/10)+('Form Sa1'!FF814*'Form Sa1'!FF816/10)-'NF - 5 Power Mix'!FC21-'NF - 5 Power Mix'!FC22</f>
        <v>0</v>
      </c>
      <c r="FD42" s="1046">
        <f>FD38+((FD40+'NF - 5 Power Mix'!FD14+'NF - 5 Power Mix'!FD15)*860/10)+((('Form Sa1'!FG835)*860)/10)+('Form Sa1'!FG814*'Form Sa1'!FG816/10)-'NF - 5 Power Mix'!FD21-'NF - 5 Power Mix'!FD22</f>
        <v>0</v>
      </c>
      <c r="FE42" s="1046">
        <f>FE38+((FE40+'NF - 5 Power Mix'!FE14+'NF - 5 Power Mix'!FE15)*860/10)+((('Form Sa1'!FH835)*860)/10)+('Form Sa1'!FH814*'Form Sa1'!FH816/10)-'NF - 5 Power Mix'!FE21-'NF - 5 Power Mix'!FE22</f>
        <v>0</v>
      </c>
      <c r="FF42" s="1046">
        <f>FF38+((FF40+'NF - 5 Power Mix'!FF14+'NF - 5 Power Mix'!FF15)*860/10)+((('Form Sa1'!FI835)*860)/10)+('Form Sa1'!FI814*'Form Sa1'!FI816/10)-'NF - 5 Power Mix'!FF21-'NF - 5 Power Mix'!FF22</f>
        <v>0</v>
      </c>
      <c r="FG42" s="1046">
        <f>FG38+((FG40+'NF - 5 Power Mix'!FG14+'NF - 5 Power Mix'!FG15)*860/10)+((('Form Sa1'!FJ835)*860)/10)+('Form Sa1'!FJ814*'Form Sa1'!FJ816/10)-'NF - 5 Power Mix'!FG21-'NF - 5 Power Mix'!FG22</f>
        <v>0</v>
      </c>
      <c r="FH42" s="1046">
        <f>FH38+((FH40+'NF - 5 Power Mix'!FH14+'NF - 5 Power Mix'!FH15)*860/10)+((('Form Sa1'!FK835)*860)/10)+('Form Sa1'!FK814*'Form Sa1'!FK816/10)-'NF - 5 Power Mix'!FH21-'NF - 5 Power Mix'!FH22</f>
        <v>0</v>
      </c>
      <c r="FI42" s="1046">
        <f>FI38+((FI40+'NF - 5 Power Mix'!FI14+'NF - 5 Power Mix'!FI15)*860/10)+((('Form Sa1'!FL835)*860)/10)+('Form Sa1'!FL814*'Form Sa1'!FL816/10)-'NF - 5 Power Mix'!FI21-'NF - 5 Power Mix'!FI22</f>
        <v>0</v>
      </c>
      <c r="FJ42" s="1046">
        <f>FJ38+((FJ40+'NF - 5 Power Mix'!FJ14+'NF - 5 Power Mix'!FJ15)*860/10)+((('Form Sa1'!FM835)*860)/10)+('Form Sa1'!FM814*'Form Sa1'!FM816/10)-'NF - 5 Power Mix'!FJ21-'NF - 5 Power Mix'!FJ22</f>
        <v>0</v>
      </c>
      <c r="FK42" s="1046">
        <f>FK38+((FK40+'NF - 5 Power Mix'!FK14+'NF - 5 Power Mix'!FK15)*860/10)+((('Form Sa1'!FN835)*860)/10)+('Form Sa1'!FN814*'Form Sa1'!FN816/10)-'NF - 5 Power Mix'!FK21-'NF - 5 Power Mix'!FK22</f>
        <v>0</v>
      </c>
      <c r="FL42" s="1046">
        <f>FL38+((FL40+'NF - 5 Power Mix'!FL14+'NF - 5 Power Mix'!FL15)*860/10)+((('Form Sa1'!FO835)*860)/10)+('Form Sa1'!FO814*'Form Sa1'!FO816/10)-'NF - 5 Power Mix'!FL21-'NF - 5 Power Mix'!FL22</f>
        <v>0</v>
      </c>
      <c r="FM42" s="1046">
        <f>FM38+((FM40+'NF - 5 Power Mix'!FM14+'NF - 5 Power Mix'!FM15)*860/10)+((('Form Sa1'!FP835)*860)/10)+('Form Sa1'!FP814*'Form Sa1'!FP816/10)-'NF - 5 Power Mix'!FM21-'NF - 5 Power Mix'!FM22</f>
        <v>0</v>
      </c>
      <c r="FN42" s="1046">
        <f>FN38+((FN40+'NF - 5 Power Mix'!FN14+'NF - 5 Power Mix'!FN15)*860/10)+((('Form Sa1'!FQ835)*860)/10)+('Form Sa1'!FQ814*'Form Sa1'!FQ816/10)-'NF - 5 Power Mix'!FN21-'NF - 5 Power Mix'!FN22</f>
        <v>0</v>
      </c>
      <c r="FO42" s="1046">
        <f>FO38+((FO40+'NF - 5 Power Mix'!FO14+'NF - 5 Power Mix'!FO15)*860/10)+((('Form Sa1'!FR835)*860)/10)+('Form Sa1'!FR814*'Form Sa1'!FR816/10)-'NF - 5 Power Mix'!FO21-'NF - 5 Power Mix'!FO22</f>
        <v>0</v>
      </c>
      <c r="FP42" s="1046">
        <f>FP38+((FP40+'NF - 5 Power Mix'!FP14+'NF - 5 Power Mix'!FP15)*860/10)+((('Form Sa1'!FS835)*860)/10)+('Form Sa1'!FS814*'Form Sa1'!FS816/10)-'NF - 5 Power Mix'!FP21-'NF - 5 Power Mix'!FP22</f>
        <v>0</v>
      </c>
      <c r="FQ42" s="1046">
        <f>FQ38+((FQ40+'NF - 5 Power Mix'!FQ14+'NF - 5 Power Mix'!FQ15)*860/10)+((('Form Sa1'!FT835)*860)/10)+('Form Sa1'!FT814*'Form Sa1'!FT816/10)-'NF - 5 Power Mix'!FQ21-'NF - 5 Power Mix'!FQ22</f>
        <v>0</v>
      </c>
      <c r="FR42" s="1046">
        <f>FR38+((FR40+'NF - 5 Power Mix'!FR14+'NF - 5 Power Mix'!FR15)*860/10)+((('Form Sa1'!FU835)*860)/10)+('Form Sa1'!FU814*'Form Sa1'!FU816/10)-'NF - 5 Power Mix'!FR21-'NF - 5 Power Mix'!FR22</f>
        <v>0</v>
      </c>
      <c r="FS42" s="1046">
        <f>FS38+((FS40+'NF - 5 Power Mix'!FS14+'NF - 5 Power Mix'!FS15)*860/10)+((('Form Sa1'!FV835)*860)/10)+('Form Sa1'!FV814*'Form Sa1'!FV816/10)-'NF - 5 Power Mix'!FS21-'NF - 5 Power Mix'!FS22</f>
        <v>0</v>
      </c>
      <c r="FT42" s="1046">
        <f>FT38+((FT40+'NF - 5 Power Mix'!FT14+'NF - 5 Power Mix'!FT15)*860/10)+((('Form Sa1'!FW835)*860)/10)+('Form Sa1'!FW814*'Form Sa1'!FW816/10)-'NF - 5 Power Mix'!FT21-'NF - 5 Power Mix'!FT22</f>
        <v>0</v>
      </c>
      <c r="FU42" s="1046">
        <f>FU38+((FU40+'NF - 5 Power Mix'!FU14+'NF - 5 Power Mix'!FU15)*860/10)+((('Form Sa1'!FX835)*860)/10)+('Form Sa1'!FX814*'Form Sa1'!FX816/10)-'NF - 5 Power Mix'!FU21-'NF - 5 Power Mix'!FU22</f>
        <v>0</v>
      </c>
      <c r="FV42" s="1046">
        <f>FV38+((FV40+'NF - 5 Power Mix'!FV14+'NF - 5 Power Mix'!FV15)*860/10)+((('Form Sa1'!FY835)*860)/10)+('Form Sa1'!FY814*'Form Sa1'!FY816/10)-'NF - 5 Power Mix'!FV21-'NF - 5 Power Mix'!FV22</f>
        <v>0</v>
      </c>
      <c r="FW42" s="1046">
        <f>FW38+((FW40+'NF - 5 Power Mix'!FW14+'NF - 5 Power Mix'!FW15)*860/10)+((('Form Sa1'!FZ835)*860)/10)+('Form Sa1'!FZ814*'Form Sa1'!FZ816/10)-'NF - 5 Power Mix'!FW21-'NF - 5 Power Mix'!FW22</f>
        <v>0</v>
      </c>
      <c r="FX42" s="1046">
        <f>FX38+((FX40+'NF - 5 Power Mix'!FX14+'NF - 5 Power Mix'!FX15)*860/10)+((('Form Sa1'!GA835)*860)/10)+('Form Sa1'!GA814*'Form Sa1'!GA816/10)-'NF - 5 Power Mix'!FX21-'NF - 5 Power Mix'!FX22</f>
        <v>0</v>
      </c>
      <c r="FY42" s="1046">
        <f>FY38+((FY40+'NF - 5 Power Mix'!FY14+'NF - 5 Power Mix'!FY15)*860/10)+((('Form Sa1'!GB835)*860)/10)+('Form Sa1'!GB814*'Form Sa1'!GB816/10)-'NF - 5 Power Mix'!FY21-'NF - 5 Power Mix'!FY22</f>
        <v>0</v>
      </c>
      <c r="FZ42" s="1046">
        <f>FZ38+((FZ40+'NF - 5 Power Mix'!FZ14+'NF - 5 Power Mix'!FZ15)*860/10)+((('Form Sa1'!GC835)*860)/10)+('Form Sa1'!GC814*'Form Sa1'!GC816/10)-'NF - 5 Power Mix'!FZ21-'NF - 5 Power Mix'!FZ22</f>
        <v>0</v>
      </c>
      <c r="GA42" s="1046">
        <f>GA38+((GA40+'NF - 5 Power Mix'!GA14+'NF - 5 Power Mix'!GA15)*860/10)+((('Form Sa1'!GD835)*860)/10)+('Form Sa1'!GD814*'Form Sa1'!GD816/10)-'NF - 5 Power Mix'!GA21-'NF - 5 Power Mix'!GA22</f>
        <v>0</v>
      </c>
      <c r="GB42" s="1046">
        <f>GB38+((GB40+'NF - 5 Power Mix'!GB14+'NF - 5 Power Mix'!GB15)*860/10)+((('Form Sa1'!GE835)*860)/10)+('Form Sa1'!GE814*'Form Sa1'!GE816/10)-'NF - 5 Power Mix'!GB21-'NF - 5 Power Mix'!GB22</f>
        <v>0</v>
      </c>
      <c r="GC42" s="1046">
        <f>GC38+((GC40+'NF - 5 Power Mix'!GC14+'NF - 5 Power Mix'!GC15)*860/10)+((('Form Sa1'!GF835)*860)/10)+('Form Sa1'!GF814*'Form Sa1'!GF816/10)-'NF - 5 Power Mix'!GC21-'NF - 5 Power Mix'!GC22</f>
        <v>0</v>
      </c>
      <c r="GD42" s="1046">
        <f>GD38+((GD40+'NF - 5 Power Mix'!GD14+'NF - 5 Power Mix'!GD15)*860/10)+((('Form Sa1'!GG835)*860)/10)+('Form Sa1'!GG814*'Form Sa1'!GG816/10)-'NF - 5 Power Mix'!GD21-'NF - 5 Power Mix'!GD22</f>
        <v>0</v>
      </c>
      <c r="GE42" s="1046">
        <f>GE38+((GE40+'NF - 5 Power Mix'!GE14+'NF - 5 Power Mix'!GE15)*860/10)+((('Form Sa1'!GH835)*860)/10)+('Form Sa1'!GH814*'Form Sa1'!GH816/10)-'NF - 5 Power Mix'!GE21-'NF - 5 Power Mix'!GE22</f>
        <v>0</v>
      </c>
      <c r="GF42" s="1046">
        <f>GF38+((GF40+'NF - 5 Power Mix'!GF14+'NF - 5 Power Mix'!GF15)*860/10)+((('Form Sa1'!GI835)*860)/10)+('Form Sa1'!GI814*'Form Sa1'!GI816/10)-'NF - 5 Power Mix'!GF21-'NF - 5 Power Mix'!GF22</f>
        <v>0</v>
      </c>
      <c r="GG42" s="1046">
        <f>GG38+((GG40+'NF - 5 Power Mix'!GG14+'NF - 5 Power Mix'!GG15)*860/10)+((('Form Sa1'!GJ835)*860)/10)+('Form Sa1'!GJ814*'Form Sa1'!GJ816/10)-'NF - 5 Power Mix'!GG21-'NF - 5 Power Mix'!GG22</f>
        <v>0</v>
      </c>
      <c r="GH42" s="1046">
        <f>GH38+((GH40+'NF - 5 Power Mix'!GH14+'NF - 5 Power Mix'!GH15)*860/10)+((('Form Sa1'!GK835)*860)/10)+('Form Sa1'!GK814*'Form Sa1'!GK816/10)-'NF - 5 Power Mix'!GH21-'NF - 5 Power Mix'!GH22</f>
        <v>0</v>
      </c>
      <c r="GI42" s="1046">
        <f>GI38+((GI40+'NF - 5 Power Mix'!GI14+'NF - 5 Power Mix'!GI15)*860/10)+((('Form Sa1'!GL835)*860)/10)+('Form Sa1'!GL814*'Form Sa1'!GL816/10)-'NF - 5 Power Mix'!GI21-'NF - 5 Power Mix'!GI22</f>
        <v>0</v>
      </c>
      <c r="GJ42" s="1046">
        <f>GJ38+((GJ40+'NF - 5 Power Mix'!GJ14+'NF - 5 Power Mix'!GJ15)*860/10)+((('Form Sa1'!GM835)*860)/10)+('Form Sa1'!GM814*'Form Sa1'!GM816/10)-'NF - 5 Power Mix'!GJ21-'NF - 5 Power Mix'!GJ22</f>
        <v>0</v>
      </c>
      <c r="GK42" s="1046">
        <f>GK38+((GK40+'NF - 5 Power Mix'!GK14+'NF - 5 Power Mix'!GK15)*860/10)+((('Form Sa1'!GN835)*860)/10)+('Form Sa1'!GN814*'Form Sa1'!GN816/10)-'NF - 5 Power Mix'!GK21-'NF - 5 Power Mix'!GK22</f>
        <v>0</v>
      </c>
      <c r="GL42" s="1046">
        <f>GL38+((GL40+'NF - 5 Power Mix'!GL14+'NF - 5 Power Mix'!GL15)*860/10)+((('Form Sa1'!GO835)*860)/10)+('Form Sa1'!GO814*'Form Sa1'!GO816/10)-'NF - 5 Power Mix'!GL21-'NF - 5 Power Mix'!GL22</f>
        <v>0</v>
      </c>
      <c r="GM42" s="1046">
        <f>GM38+((GM40+'NF - 5 Power Mix'!GM14+'NF - 5 Power Mix'!GM15)*860/10)+((('Form Sa1'!GP835)*860)/10)+('Form Sa1'!GP814*'Form Sa1'!GP816/10)-'NF - 5 Power Mix'!GM21-'NF - 5 Power Mix'!GM22</f>
        <v>0</v>
      </c>
      <c r="GN42" s="1046">
        <f>GN38+((GN40+'NF - 5 Power Mix'!GN14+'NF - 5 Power Mix'!GN15)*860/10)+((('Form Sa1'!GQ835)*860)/10)+('Form Sa1'!GQ814*'Form Sa1'!GQ816/10)-'NF - 5 Power Mix'!GN21-'NF - 5 Power Mix'!GN22</f>
        <v>0</v>
      </c>
      <c r="GO42" s="1046">
        <f>GO38+((GO40+'NF - 5 Power Mix'!GO14+'NF - 5 Power Mix'!GO15)*860/10)+((('Form Sa1'!GR835)*860)/10)+('Form Sa1'!GR814*'Form Sa1'!GR816/10)-'NF - 5 Power Mix'!GO21-'NF - 5 Power Mix'!GO22</f>
        <v>0</v>
      </c>
      <c r="GP42" s="1046">
        <f>GP38+((GP40+'NF - 5 Power Mix'!GP14+'NF - 5 Power Mix'!GP15)*860/10)+((('Form Sa1'!GS835)*860)/10)+('Form Sa1'!GS814*'Form Sa1'!GS816/10)-'NF - 5 Power Mix'!GP21-'NF - 5 Power Mix'!GP22</f>
        <v>0</v>
      </c>
      <c r="GQ42" s="1046">
        <f>GQ38+((GQ40+'NF - 5 Power Mix'!GQ14+'NF - 5 Power Mix'!GQ15)*860/10)+((('Form Sa1'!GT835)*860)/10)+('Form Sa1'!GT814*'Form Sa1'!GT816/10)-'NF - 5 Power Mix'!GQ21-'NF - 5 Power Mix'!GQ22</f>
        <v>0</v>
      </c>
      <c r="GR42" s="1046">
        <f>GR38+((GR40+'NF - 5 Power Mix'!GR14+'NF - 5 Power Mix'!GR15)*860/10)+((('Form Sa1'!GU835)*860)/10)+('Form Sa1'!GU814*'Form Sa1'!GU816/10)-'NF - 5 Power Mix'!GR21-'NF - 5 Power Mix'!GR22</f>
        <v>0</v>
      </c>
      <c r="GS42" s="1046">
        <f>GS38+((GS40+'NF - 5 Power Mix'!GS14+'NF - 5 Power Mix'!GS15)*860/10)+((('Form Sa1'!GV835)*860)/10)+('Form Sa1'!GV814*'Form Sa1'!GV816/10)-'NF - 5 Power Mix'!GS21-'NF - 5 Power Mix'!GS22</f>
        <v>0</v>
      </c>
      <c r="GT42" s="1046">
        <f>GT38+((GT40+'NF - 5 Power Mix'!GT14+'NF - 5 Power Mix'!GT15)*860/10)+((('Form Sa1'!GW835)*860)/10)+('Form Sa1'!GW814*'Form Sa1'!GW816/10)-'NF - 5 Power Mix'!GT21-'NF - 5 Power Mix'!GT22</f>
        <v>0</v>
      </c>
      <c r="GU42" s="1046">
        <f>GU38+((GU40+'NF - 5 Power Mix'!GU14+'NF - 5 Power Mix'!GU15)*860/10)+((('Form Sa1'!GX835)*860)/10)+('Form Sa1'!GX814*'Form Sa1'!GX816/10)-'NF - 5 Power Mix'!GU21-'NF - 5 Power Mix'!GU22</f>
        <v>0</v>
      </c>
      <c r="GV42" s="1046">
        <f>GV38+((GV40+'NF - 5 Power Mix'!GV14+'NF - 5 Power Mix'!GV15)*860/10)+((('Form Sa1'!GY835)*860)/10)+('Form Sa1'!GY814*'Form Sa1'!GY816/10)-'NF - 5 Power Mix'!GV21-'NF - 5 Power Mix'!GV22</f>
        <v>0</v>
      </c>
      <c r="GW42" s="1046">
        <f>GW38+((GW40+'NF - 5 Power Mix'!GW14+'NF - 5 Power Mix'!GW15)*860/10)+((('Form Sa1'!GZ835)*860)/10)+('Form Sa1'!GZ814*'Form Sa1'!GZ816/10)-'NF - 5 Power Mix'!GW21-'NF - 5 Power Mix'!GW22</f>
        <v>0</v>
      </c>
      <c r="GX42" s="1046">
        <f>GX38+((GX40+'NF - 5 Power Mix'!GX14+'NF - 5 Power Mix'!GX15)*860/10)+((('Form Sa1'!HA835)*860)/10)+('Form Sa1'!HA814*'Form Sa1'!HA816/10)-'NF - 5 Power Mix'!GX21-'NF - 5 Power Mix'!GX22</f>
        <v>0</v>
      </c>
      <c r="GY42" s="1046">
        <f>GY38+((GY40+'NF - 5 Power Mix'!GY14+'NF - 5 Power Mix'!GY15)*860/10)+((('Form Sa1'!HB835)*860)/10)+('Form Sa1'!HB814*'Form Sa1'!HB816/10)-'NF - 5 Power Mix'!GY21-'NF - 5 Power Mix'!GY22</f>
        <v>0</v>
      </c>
      <c r="GZ42" s="1046">
        <f>GZ38+((GZ40+'NF - 5 Power Mix'!GZ14+'NF - 5 Power Mix'!GZ15)*860/10)+((('Form Sa1'!HC835)*860)/10)+('Form Sa1'!HC814*'Form Sa1'!HC816/10)-'NF - 5 Power Mix'!GZ21-'NF - 5 Power Mix'!GZ22</f>
        <v>0</v>
      </c>
      <c r="HA42" s="1046">
        <f>HA38+((HA40+'NF - 5 Power Mix'!HA14+'NF - 5 Power Mix'!HA15)*860/10)+((('Form Sa1'!HD835)*860)/10)+('Form Sa1'!HD814*'Form Sa1'!HD816/10)-'NF - 5 Power Mix'!HA21-'NF - 5 Power Mix'!HA22</f>
        <v>0</v>
      </c>
      <c r="HB42" s="1046">
        <f>HB38+((HB40+'NF - 5 Power Mix'!HB14+'NF - 5 Power Mix'!HB15)*860/10)+((('Form Sa1'!HE835)*860)/10)+('Form Sa1'!HE814*'Form Sa1'!HE816/10)-'NF - 5 Power Mix'!HB21-'NF - 5 Power Mix'!HB22</f>
        <v>0</v>
      </c>
      <c r="HC42" s="1046">
        <f>HC38+((HC40+'NF - 5 Power Mix'!HC14+'NF - 5 Power Mix'!HC15)*860/10)+((('Form Sa1'!HF835)*860)/10)+('Form Sa1'!HF814*'Form Sa1'!HF816/10)-'NF - 5 Power Mix'!HC21-'NF - 5 Power Mix'!HC22</f>
        <v>0</v>
      </c>
      <c r="HD42" s="1046">
        <f>HD38+((HD40+'NF - 5 Power Mix'!HD14+'NF - 5 Power Mix'!HD15)*860/10)+((('Form Sa1'!HG835)*860)/10)+('Form Sa1'!HG814*'Form Sa1'!HG816/10)-'NF - 5 Power Mix'!HD21-'NF - 5 Power Mix'!HD22</f>
        <v>0</v>
      </c>
      <c r="HE42" s="1046">
        <f>HE38+((HE40+'NF - 5 Power Mix'!HE14+'NF - 5 Power Mix'!HE15)*860/10)+((('Form Sa1'!HH835)*860)/10)+('Form Sa1'!HH814*'Form Sa1'!HH816/10)-'NF - 5 Power Mix'!HE21-'NF - 5 Power Mix'!HE22</f>
        <v>0</v>
      </c>
      <c r="HF42" s="1046">
        <f>HF38+((HF40+'NF - 5 Power Mix'!HF14+'NF - 5 Power Mix'!HF15)*860/10)+((('Form Sa1'!HI835)*860)/10)+('Form Sa1'!HI814*'Form Sa1'!HI816/10)-'NF - 5 Power Mix'!HF21-'NF - 5 Power Mix'!HF22</f>
        <v>0</v>
      </c>
      <c r="HG42" s="1046">
        <f>HG38+((HG40+'NF - 5 Power Mix'!HG14+'NF - 5 Power Mix'!HG15)*860/10)+((('Form Sa1'!HJ835)*860)/10)+('Form Sa1'!HJ814*'Form Sa1'!HJ816/10)-'NF - 5 Power Mix'!HG21-'NF - 5 Power Mix'!HG22</f>
        <v>0</v>
      </c>
      <c r="HH42" s="1046">
        <f>HH38+((HH40+'NF - 5 Power Mix'!HH14+'NF - 5 Power Mix'!HH15)*860/10)+((('Form Sa1'!HK835)*860)/10)+('Form Sa1'!HK814*'Form Sa1'!HK816/10)-'NF - 5 Power Mix'!HH21-'NF - 5 Power Mix'!HH22</f>
        <v>0</v>
      </c>
      <c r="HI42" s="1046">
        <f>HI38+((HI40+'NF - 5 Power Mix'!HI14+'NF - 5 Power Mix'!HI15)*860/10)+((('Form Sa1'!HL835)*860)/10)+('Form Sa1'!HL814*'Form Sa1'!HL816/10)-'NF - 5 Power Mix'!HI21-'NF - 5 Power Mix'!HI22</f>
        <v>0</v>
      </c>
      <c r="HJ42" s="1046">
        <f>HJ38+((HJ40+'NF - 5 Power Mix'!HJ14+'NF - 5 Power Mix'!HJ15)*860/10)+((('Form Sa1'!HM835)*860)/10)+('Form Sa1'!HM814*'Form Sa1'!HM816/10)-'NF - 5 Power Mix'!HJ21-'NF - 5 Power Mix'!HJ22</f>
        <v>0</v>
      </c>
      <c r="HK42" s="1046">
        <f>HK38+((HK40+'NF - 5 Power Mix'!HK14+'NF - 5 Power Mix'!HK15)*860/10)+((('Form Sa1'!HN835)*860)/10)+('Form Sa1'!HN814*'Form Sa1'!HN816/10)-'NF - 5 Power Mix'!HK21-'NF - 5 Power Mix'!HK22</f>
        <v>0</v>
      </c>
      <c r="HL42" s="1046">
        <f>HL38+((HL40+'NF - 5 Power Mix'!HL14+'NF - 5 Power Mix'!HL15)*860/10)+((('Form Sa1'!HO835)*860)/10)+('Form Sa1'!HO814*'Form Sa1'!HO816/10)-'NF - 5 Power Mix'!HL21-'NF - 5 Power Mix'!HL22</f>
        <v>0</v>
      </c>
      <c r="HM42" s="1046">
        <f>HM38+((HM40+'NF - 5 Power Mix'!HM14+'NF - 5 Power Mix'!HM15)*860/10)+((('Form Sa1'!HP835)*860)/10)+('Form Sa1'!HP814*'Form Sa1'!HP816/10)-'NF - 5 Power Mix'!HM21-'NF - 5 Power Mix'!HM22</f>
        <v>0</v>
      </c>
      <c r="HN42" s="1046">
        <f>HN38+((HN40+'NF - 5 Power Mix'!HN14+'NF - 5 Power Mix'!HN15)*860/10)+((('Form Sa1'!HQ835)*860)/10)+('Form Sa1'!HQ814*'Form Sa1'!HQ816/10)-'NF - 5 Power Mix'!HN21-'NF - 5 Power Mix'!HN22</f>
        <v>0</v>
      </c>
      <c r="HO42" s="1046">
        <f>HO38+((HO40+'NF - 5 Power Mix'!HO14+'NF - 5 Power Mix'!HO15)*860/10)+((('Form Sa1'!HR835)*860)/10)+('Form Sa1'!HR814*'Form Sa1'!HR816/10)-'NF - 5 Power Mix'!HO21-'NF - 5 Power Mix'!HO22</f>
        <v>0</v>
      </c>
      <c r="HP42" s="1046">
        <f>HP38+((HP40+'NF - 5 Power Mix'!HP14+'NF - 5 Power Mix'!HP15)*860/10)+((('Form Sa1'!HS835)*860)/10)+('Form Sa1'!HS814*'Form Sa1'!HS816/10)-'NF - 5 Power Mix'!HP21-'NF - 5 Power Mix'!HP22</f>
        <v>0</v>
      </c>
      <c r="HQ42" s="1046">
        <f>HQ38+((HQ40+'NF - 5 Power Mix'!HQ14+'NF - 5 Power Mix'!HQ15)*860/10)+((('Form Sa1'!HT835)*860)/10)+('Form Sa1'!HT814*'Form Sa1'!HT816/10)-'NF - 5 Power Mix'!HQ21-'NF - 5 Power Mix'!HQ22</f>
        <v>0</v>
      </c>
      <c r="HR42" s="1046">
        <f>HR38+((HR40+'NF - 5 Power Mix'!HR14+'NF - 5 Power Mix'!HR15)*860/10)+((('Form Sa1'!HU835)*860)/10)+('Form Sa1'!HU814*'Form Sa1'!HU816/10)-'NF - 5 Power Mix'!HR21-'NF - 5 Power Mix'!HR22</f>
        <v>0</v>
      </c>
      <c r="HS42" s="1046">
        <f>HS38+((HS40+'NF - 5 Power Mix'!HS14+'NF - 5 Power Mix'!HS15)*860/10)+((('Form Sa1'!HV835)*860)/10)+('Form Sa1'!HV814*'Form Sa1'!HV816/10)-'NF - 5 Power Mix'!HS21-'NF - 5 Power Mix'!HS22</f>
        <v>0</v>
      </c>
      <c r="HT42" s="1046">
        <f>HT38+((HT40+'NF - 5 Power Mix'!HT14+'NF - 5 Power Mix'!HT15)*860/10)+((('Form Sa1'!HW835)*860)/10)+('Form Sa1'!HW814*'Form Sa1'!HW816/10)-'NF - 5 Power Mix'!HT21-'NF - 5 Power Mix'!HT22</f>
        <v>0</v>
      </c>
      <c r="HU42" s="1046">
        <f>HU38+((HU40+'NF - 5 Power Mix'!HU14+'NF - 5 Power Mix'!HU15)*860/10)+((('Form Sa1'!HX835)*860)/10)+('Form Sa1'!HX814*'Form Sa1'!HX816/10)-'NF - 5 Power Mix'!HU21-'NF - 5 Power Mix'!HU22</f>
        <v>0</v>
      </c>
      <c r="HV42" s="1046">
        <f>HV38+((HV40+'NF - 5 Power Mix'!HV14+'NF - 5 Power Mix'!HV15)*860/10)+((('Form Sa1'!HY835)*860)/10)+('Form Sa1'!HY814*'Form Sa1'!HY816/10)-'NF - 5 Power Mix'!HV21-'NF - 5 Power Mix'!HV22</f>
        <v>0</v>
      </c>
      <c r="HW42" s="1046">
        <f>HW38+((HW40+'NF - 5 Power Mix'!HW14+'NF - 5 Power Mix'!HW15)*860/10)+((('Form Sa1'!HZ835)*860)/10)+('Form Sa1'!HZ814*'Form Sa1'!HZ816/10)-'NF - 5 Power Mix'!HW21-'NF - 5 Power Mix'!HW22</f>
        <v>0</v>
      </c>
      <c r="HX42" s="1046">
        <f>HX38+((HX40+'NF - 5 Power Mix'!HX14+'NF - 5 Power Mix'!HX15)*860/10)+((('Form Sa1'!IA835)*860)/10)+('Form Sa1'!IA814*'Form Sa1'!IA816/10)-'NF - 5 Power Mix'!HX21-'NF - 5 Power Mix'!HX22</f>
        <v>0</v>
      </c>
      <c r="HY42" s="1046">
        <f>HY38+((HY40+'NF - 5 Power Mix'!HY14+'NF - 5 Power Mix'!HY15)*860/10)+((('Form Sa1'!IB835)*860)/10)+('Form Sa1'!IB814*'Form Sa1'!IB816/10)-'NF - 5 Power Mix'!HY21-'NF - 5 Power Mix'!HY22</f>
        <v>0</v>
      </c>
      <c r="HZ42" s="1046">
        <f>HZ38+((HZ40+'NF - 5 Power Mix'!HZ14+'NF - 5 Power Mix'!HZ15)*860/10)+((('Form Sa1'!IC835)*860)/10)+('Form Sa1'!IC814*'Form Sa1'!IC816/10)-'NF - 5 Power Mix'!HZ21-'NF - 5 Power Mix'!HZ22</f>
        <v>0</v>
      </c>
      <c r="IA42" s="1046">
        <f>IA38+((IA40+'NF - 5 Power Mix'!IA14+'NF - 5 Power Mix'!IA15)*860/10)+((('Form Sa1'!ID835)*860)/10)+('Form Sa1'!ID814*'Form Sa1'!ID816/10)-'NF - 5 Power Mix'!IA21-'NF - 5 Power Mix'!IA22</f>
        <v>0</v>
      </c>
      <c r="IB42" s="1046">
        <f>IB38+((IB40+'NF - 5 Power Mix'!IB14+'NF - 5 Power Mix'!IB15)*860/10)+((('Form Sa1'!IE835)*860)/10)+('Form Sa1'!IE814*'Form Sa1'!IE816/10)-'NF - 5 Power Mix'!IB21-'NF - 5 Power Mix'!IB22</f>
        <v>0</v>
      </c>
      <c r="IC42" s="1046">
        <f>IC38+((IC40+'NF - 5 Power Mix'!IC14+'NF - 5 Power Mix'!IC15)*860/10)+((('Form Sa1'!IF835)*860)/10)+('Form Sa1'!IF814*'Form Sa1'!IF816/10)-'NF - 5 Power Mix'!IC21-'NF - 5 Power Mix'!IC22</f>
        <v>0</v>
      </c>
      <c r="ID42" s="1046">
        <f>ID38+((ID40+'NF - 5 Power Mix'!ID14+'NF - 5 Power Mix'!ID15)*860/10)+((('Form Sa1'!IG835)*860)/10)+('Form Sa1'!IG814*'Form Sa1'!IG816/10)-'NF - 5 Power Mix'!ID21-'NF - 5 Power Mix'!ID22</f>
        <v>0</v>
      </c>
      <c r="IE42" s="1046">
        <f>IE38+((IE40+'NF - 5 Power Mix'!IE14+'NF - 5 Power Mix'!IE15)*860/10)+((('Form Sa1'!IH835)*860)/10)+('Form Sa1'!IH814*'Form Sa1'!IH816/10)-'NF - 5 Power Mix'!IE21-'NF - 5 Power Mix'!IE22</f>
        <v>0</v>
      </c>
      <c r="IF42" s="1046">
        <f>IF38+((IF40+'NF - 5 Power Mix'!IF14+'NF - 5 Power Mix'!IF15)*860/10)+((('Form Sa1'!II835)*860)/10)+('Form Sa1'!II814*'Form Sa1'!II816/10)-'NF - 5 Power Mix'!IF21-'NF - 5 Power Mix'!IF22</f>
        <v>0</v>
      </c>
      <c r="IG42" s="1046">
        <f>IG38+((IG40+'NF - 5 Power Mix'!IG14+'NF - 5 Power Mix'!IG15)*860/10)+((('Form Sa1'!IJ835)*860)/10)+('Form Sa1'!IJ814*'Form Sa1'!IJ816/10)-'NF - 5 Power Mix'!IG21-'NF - 5 Power Mix'!IG22</f>
        <v>0</v>
      </c>
      <c r="IH42" s="1046">
        <f>IH38+((IH40+'NF - 5 Power Mix'!IH14+'NF - 5 Power Mix'!IH15)*860/10)+((('Form Sa1'!IK835)*860)/10)+('Form Sa1'!IK814*'Form Sa1'!IK816/10)-'NF - 5 Power Mix'!IH21-'NF - 5 Power Mix'!IH22</f>
        <v>0</v>
      </c>
      <c r="II42" s="1046">
        <f>II38+((II40+'NF - 5 Power Mix'!II14+'NF - 5 Power Mix'!II15)*860/10)+((('Form Sa1'!IL835)*860)/10)+('Form Sa1'!IL814*'Form Sa1'!IL816/10)-'NF - 5 Power Mix'!II21-'NF - 5 Power Mix'!II22</f>
        <v>0</v>
      </c>
      <c r="IJ42" s="1046">
        <f>IJ38+((IJ40+'NF - 5 Power Mix'!IJ14+'NF - 5 Power Mix'!IJ15)*860/10)+((('Form Sa1'!IM835)*860)/10)+('Form Sa1'!IM814*'Form Sa1'!IM816/10)-'NF - 5 Power Mix'!IJ21-'NF - 5 Power Mix'!IJ22</f>
        <v>0</v>
      </c>
      <c r="IK42" s="1046">
        <f>IK38+((IK40+'NF - 5 Power Mix'!IK14+'NF - 5 Power Mix'!IK15)*860/10)+((('Form Sa1'!IN835)*860)/10)+('Form Sa1'!IN814*'Form Sa1'!IN816/10)-'NF - 5 Power Mix'!IK21-'NF - 5 Power Mix'!IK22</f>
        <v>0</v>
      </c>
      <c r="IL42" s="1046">
        <f>IL38+((IL40+'NF - 5 Power Mix'!IL14+'NF - 5 Power Mix'!IL15)*860/10)+((('Form Sa1'!IO835)*860)/10)+('Form Sa1'!IO814*'Form Sa1'!IO816/10)-'NF - 5 Power Mix'!IL21-'NF - 5 Power Mix'!IL22</f>
        <v>0</v>
      </c>
      <c r="IM42" s="1046">
        <f>IM38+((IM40+'NF - 5 Power Mix'!IM14+'NF - 5 Power Mix'!IM15)*860/10)+((('Form Sa1'!IP835)*860)/10)+('Form Sa1'!IP814*'Form Sa1'!IP816/10)-'NF - 5 Power Mix'!IM21-'NF - 5 Power Mix'!IM22</f>
        <v>0</v>
      </c>
      <c r="IN42" s="1046">
        <f>IN38+((IN40+'NF - 5 Power Mix'!IN14+'NF - 5 Power Mix'!IN15)*860/10)+((('Form Sa1'!IQ835)*860)/10)+('Form Sa1'!IQ814*'Form Sa1'!IQ816/10)-'NF - 5 Power Mix'!IN21-'NF - 5 Power Mix'!IN22</f>
        <v>0</v>
      </c>
      <c r="IO42" s="1046">
        <f>IO38+((IO40+'NF - 5 Power Mix'!IO14+'NF - 5 Power Mix'!IO15)*860/10)+((('Form Sa1'!IR835)*860)/10)+('Form Sa1'!IR814*'Form Sa1'!IR816/10)-'NF - 5 Power Mix'!IO21-'NF - 5 Power Mix'!IO22</f>
        <v>0</v>
      </c>
      <c r="IP42" s="1046">
        <f>IP38+((IP40+'NF - 5 Power Mix'!IP14+'NF - 5 Power Mix'!IP15)*860/10)+((('Form Sa1'!IS835)*860)/10)+('Form Sa1'!IS814*'Form Sa1'!IS816/10)-'NF - 5 Power Mix'!IP21-'NF - 5 Power Mix'!IP22</f>
        <v>0</v>
      </c>
      <c r="IQ42" s="1046">
        <f>IQ38+((IQ40+'NF - 5 Power Mix'!IQ14+'NF - 5 Power Mix'!IQ15)*860/10)+((('Form Sa1'!IT835)*860)/10)+('Form Sa1'!IT814*'Form Sa1'!IT816/10)-'NF - 5 Power Mix'!IQ21-'NF - 5 Power Mix'!IQ22</f>
        <v>0</v>
      </c>
      <c r="IR42" s="1046">
        <f>IR38+((IR40+'NF - 5 Power Mix'!IR14+'NF - 5 Power Mix'!IR15)*860/10)+((('Form Sa1'!IU835)*860)/10)+('Form Sa1'!IU814*'Form Sa1'!IU816/10)-'NF - 5 Power Mix'!IR21-'NF - 5 Power Mix'!IR22</f>
        <v>0</v>
      </c>
      <c r="IS42" s="1046">
        <f>IS38+((IS40+'NF - 5 Power Mix'!IS14+'NF - 5 Power Mix'!IS15)*860/10)+((('Form Sa1'!IV835)*860)/10)+('Form Sa1'!IV814*'Form Sa1'!IV816/10)-'NF - 5 Power Mix'!IS21-'NF - 5 Power Mix'!IS22</f>
        <v>0</v>
      </c>
      <c r="IT42" s="1046">
        <f>IT38+((IT40+'NF - 5 Power Mix'!IT14+'NF - 5 Power Mix'!IT15)*860/10)+((('Form Sa1'!IW835)*860)/10)+('Form Sa1'!IW814*'Form Sa1'!IW816/10)-'NF - 5 Power Mix'!IT21-'NF - 5 Power Mix'!IT22</f>
        <v>0</v>
      </c>
      <c r="IU42" s="1046">
        <f>IU38+((IU40+'NF - 5 Power Mix'!IU14+'NF - 5 Power Mix'!IU15)*860/10)+((('Form Sa1'!IX835)*860)/10)+('Form Sa1'!IX814*'Form Sa1'!IX816/10)-'NF - 5 Power Mix'!IU21-'NF - 5 Power Mix'!IU22</f>
        <v>0</v>
      </c>
      <c r="IV42" s="1046">
        <f>IV38+((IV40+'NF - 5 Power Mix'!IV14+'NF - 5 Power Mix'!IV15)*860/10)+((('Form Sa1'!IY835)*860)/10)+('Form Sa1'!IY814*'Form Sa1'!IY816/10)-'NF - 5 Power Mix'!IV21-'NF - 5 Power Mix'!IV22</f>
        <v>0</v>
      </c>
      <c r="IW42" s="1046">
        <f>IW38+((IW40+'NF - 5 Power Mix'!IW14+'NF - 5 Power Mix'!IW15)*860/10)+((('Form Sa1'!IZ835)*860)/10)+('Form Sa1'!IZ814*'Form Sa1'!IZ816/10)-'NF - 5 Power Mix'!IW21-'NF - 5 Power Mix'!IW22</f>
        <v>0</v>
      </c>
      <c r="IX42" s="1046">
        <f>IX38+((IX40+'NF - 5 Power Mix'!IX14+'NF - 5 Power Mix'!IX15)*860/10)+((('Form Sa1'!JA835)*860)/10)+('Form Sa1'!JA814*'Form Sa1'!JA816/10)-'NF - 5 Power Mix'!IX21-'NF - 5 Power Mix'!IX22</f>
        <v>0</v>
      </c>
      <c r="IY42" s="1046">
        <f>IY38+((IY40+'NF - 5 Power Mix'!IY14+'NF - 5 Power Mix'!IY15)*860/10)+((('Form Sa1'!JB835)*860)/10)+('Form Sa1'!JB814*'Form Sa1'!JB816/10)-'NF - 5 Power Mix'!IY21-'NF - 5 Power Mix'!IY22</f>
        <v>0</v>
      </c>
      <c r="IZ42" s="1046">
        <f>IZ38+((IZ40+'NF - 5 Power Mix'!IZ14+'NF - 5 Power Mix'!IZ15)*860/10)+((('Form Sa1'!JC835)*860)/10)+('Form Sa1'!JC814*'Form Sa1'!JC816/10)-'NF - 5 Power Mix'!IZ21-'NF - 5 Power Mix'!IZ22</f>
        <v>0</v>
      </c>
      <c r="JA42" s="1046">
        <f>JA38+((JA40+'NF - 5 Power Mix'!JA14+'NF - 5 Power Mix'!JA15)*860/10)+((('Form Sa1'!JD835)*860)/10)+('Form Sa1'!JD814*'Form Sa1'!JD816/10)-'NF - 5 Power Mix'!JA21-'NF - 5 Power Mix'!JA22</f>
        <v>0</v>
      </c>
      <c r="JB42" s="1046">
        <f>JB38+((JB40+'NF - 5 Power Mix'!JB14+'NF - 5 Power Mix'!JB15)*860/10)+((('Form Sa1'!JE835)*860)/10)+('Form Sa1'!JE814*'Form Sa1'!JE816/10)-'NF - 5 Power Mix'!JB21-'NF - 5 Power Mix'!JB22</f>
        <v>0</v>
      </c>
      <c r="JC42" s="1046">
        <f>JC38+((JC40+'NF - 5 Power Mix'!JC14+'NF - 5 Power Mix'!JC15)*860/10)+((('Form Sa1'!JF835)*860)/10)+('Form Sa1'!JF814*'Form Sa1'!JF816/10)-'NF - 5 Power Mix'!JC21-'NF - 5 Power Mix'!JC22</f>
        <v>0</v>
      </c>
      <c r="JD42" s="1046">
        <f>JD38+((JD40+'NF - 5 Power Mix'!JD14+'NF - 5 Power Mix'!JD15)*860/10)+((('Form Sa1'!JG835)*860)/10)+('Form Sa1'!JG814*'Form Sa1'!JG816/10)-'NF - 5 Power Mix'!JD21-'NF - 5 Power Mix'!JD22</f>
        <v>0</v>
      </c>
      <c r="JE42" s="1046">
        <f>JE38+((JE40+'NF - 5 Power Mix'!JE14+'NF - 5 Power Mix'!JE15)*860/10)+((('Form Sa1'!JH835)*860)/10)+('Form Sa1'!JH814*'Form Sa1'!JH816/10)-'NF - 5 Power Mix'!JE21-'NF - 5 Power Mix'!JE22</f>
        <v>0</v>
      </c>
      <c r="JF42" s="1046">
        <f>JF38+((JF40+'NF - 5 Power Mix'!JF14+'NF - 5 Power Mix'!JF15)*860/10)+((('Form Sa1'!JI835)*860)/10)+('Form Sa1'!JI814*'Form Sa1'!JI816/10)-'NF - 5 Power Mix'!JF21-'NF - 5 Power Mix'!JF22</f>
        <v>0</v>
      </c>
      <c r="JG42" s="1046">
        <f>JG38+((JG40+'NF - 5 Power Mix'!JG14+'NF - 5 Power Mix'!JG15)*860/10)+((('Form Sa1'!JJ835)*860)/10)+('Form Sa1'!JJ814*'Form Sa1'!JJ816/10)-'NF - 5 Power Mix'!JG21-'NF - 5 Power Mix'!JG22</f>
        <v>0</v>
      </c>
      <c r="JH42" s="1046">
        <f>JH38+((JH40+'NF - 5 Power Mix'!JH14+'NF - 5 Power Mix'!JH15)*860/10)+((('Form Sa1'!JK835)*860)/10)+('Form Sa1'!JK814*'Form Sa1'!JK816/10)-'NF - 5 Power Mix'!JH21-'NF - 5 Power Mix'!JH22</f>
        <v>0</v>
      </c>
      <c r="JI42" s="1046">
        <f>JI38+((JI40+'NF - 5 Power Mix'!JI14+'NF - 5 Power Mix'!JI15)*860/10)+((('Form Sa1'!JL835)*860)/10)+('Form Sa1'!JL814*'Form Sa1'!JL816/10)-'NF - 5 Power Mix'!JI21-'NF - 5 Power Mix'!JI22</f>
        <v>0</v>
      </c>
      <c r="JJ42" s="1046">
        <f>JJ38+((JJ40+'NF - 5 Power Mix'!JJ14+'NF - 5 Power Mix'!JJ15)*860/10)+((('Form Sa1'!JM835)*860)/10)+('Form Sa1'!JM814*'Form Sa1'!JM816/10)-'NF - 5 Power Mix'!JJ21-'NF - 5 Power Mix'!JJ22</f>
        <v>0</v>
      </c>
      <c r="JK42" s="1046">
        <f>JK38+((JK40+'NF - 5 Power Mix'!JK14+'NF - 5 Power Mix'!JK15)*860/10)+((('Form Sa1'!JN835)*860)/10)+('Form Sa1'!JN814*'Form Sa1'!JN816/10)-'NF - 5 Power Mix'!JK21-'NF - 5 Power Mix'!JK22</f>
        <v>0</v>
      </c>
      <c r="JL42" s="1046">
        <f>JL38+((JL40+'NF - 5 Power Mix'!JL14+'NF - 5 Power Mix'!JL15)*860/10)+((('Form Sa1'!JO835)*860)/10)+('Form Sa1'!JO814*'Form Sa1'!JO816/10)-'NF - 5 Power Mix'!JL21-'NF - 5 Power Mix'!JL22</f>
        <v>0</v>
      </c>
      <c r="JM42" s="1046">
        <f>JM38+((JM40+'NF - 5 Power Mix'!JM14+'NF - 5 Power Mix'!JM15)*860/10)+((('Form Sa1'!JP835)*860)/10)+('Form Sa1'!JP814*'Form Sa1'!JP816/10)-'NF - 5 Power Mix'!JM21-'NF - 5 Power Mix'!JM22</f>
        <v>0</v>
      </c>
      <c r="JN42" s="1046">
        <f>JN38+((JN40+'NF - 5 Power Mix'!JN14+'NF - 5 Power Mix'!JN15)*860/10)+((('Form Sa1'!JQ835)*860)/10)+('Form Sa1'!JQ814*'Form Sa1'!JQ816/10)-'NF - 5 Power Mix'!JN21-'NF - 5 Power Mix'!JN22</f>
        <v>0</v>
      </c>
      <c r="JO42" s="1046">
        <f>JO38+((JO40+'NF - 5 Power Mix'!JO14+'NF - 5 Power Mix'!JO15)*860/10)+((('Form Sa1'!JR835)*860)/10)+('Form Sa1'!JR814*'Form Sa1'!JR816/10)-'NF - 5 Power Mix'!JO21-'NF - 5 Power Mix'!JO22</f>
        <v>0</v>
      </c>
      <c r="JP42" s="1046">
        <f>JP38+((JP40+'NF - 5 Power Mix'!JP14+'NF - 5 Power Mix'!JP15)*860/10)+((('Form Sa1'!JS835)*860)/10)+('Form Sa1'!JS814*'Form Sa1'!JS816/10)-'NF - 5 Power Mix'!JP21-'NF - 5 Power Mix'!JP22</f>
        <v>0</v>
      </c>
      <c r="JQ42" s="1046">
        <f>JQ38+((JQ40+'NF - 5 Power Mix'!JQ14+'NF - 5 Power Mix'!JQ15)*860/10)+((('Form Sa1'!JT835)*860)/10)+('Form Sa1'!JT814*'Form Sa1'!JT816/10)-'NF - 5 Power Mix'!JQ21-'NF - 5 Power Mix'!JQ22</f>
        <v>0</v>
      </c>
      <c r="JR42" s="1046">
        <f>JR38+((JR40+'NF - 5 Power Mix'!JR14+'NF - 5 Power Mix'!JR15)*860/10)+((('Form Sa1'!JU835)*860)/10)+('Form Sa1'!JU814*'Form Sa1'!JU816/10)-'NF - 5 Power Mix'!JR21-'NF - 5 Power Mix'!JR22</f>
        <v>0</v>
      </c>
      <c r="JS42" s="1046">
        <f>JS38+((JS40+'NF - 5 Power Mix'!JS14+'NF - 5 Power Mix'!JS15)*860/10)+((('Form Sa1'!JV835)*860)/10)+('Form Sa1'!JV814*'Form Sa1'!JV816/10)-'NF - 5 Power Mix'!JS21-'NF - 5 Power Mix'!JS22</f>
        <v>0</v>
      </c>
      <c r="JT42" s="1046">
        <f>JT38+((JT40+'NF - 5 Power Mix'!JT14+'NF - 5 Power Mix'!JT15)*860/10)+((('Form Sa1'!JW835)*860)/10)+('Form Sa1'!JW814*'Form Sa1'!JW816/10)-'NF - 5 Power Mix'!JT21-'NF - 5 Power Mix'!JT22</f>
        <v>0</v>
      </c>
      <c r="JU42" s="1046">
        <f>JU38+((JU40+'NF - 5 Power Mix'!JU14+'NF - 5 Power Mix'!JU15)*860/10)+((('Form Sa1'!JX835)*860)/10)+('Form Sa1'!JX814*'Form Sa1'!JX816/10)-'NF - 5 Power Mix'!JU21-'NF - 5 Power Mix'!JU22</f>
        <v>0</v>
      </c>
      <c r="JV42" s="1046">
        <f>JV38+((JV40+'NF - 5 Power Mix'!JV14+'NF - 5 Power Mix'!JV15)*860/10)+((('Form Sa1'!JY835)*860)/10)+('Form Sa1'!JY814*'Form Sa1'!JY816/10)-'NF - 5 Power Mix'!JV21-'NF - 5 Power Mix'!JV22</f>
        <v>0</v>
      </c>
      <c r="JW42" s="1046">
        <f>JW38+((JW40+'NF - 5 Power Mix'!JW14+'NF - 5 Power Mix'!JW15)*860/10)+((('Form Sa1'!JZ835)*860)/10)+('Form Sa1'!JZ814*'Form Sa1'!JZ816/10)-'NF - 5 Power Mix'!JW21-'NF - 5 Power Mix'!JW22</f>
        <v>0</v>
      </c>
      <c r="JX42" s="1046">
        <f>JX38+((JX40+'NF - 5 Power Mix'!JX14+'NF - 5 Power Mix'!JX15)*860/10)+((('Form Sa1'!KA835)*860)/10)+('Form Sa1'!KA814*'Form Sa1'!KA816/10)-'NF - 5 Power Mix'!JX21-'NF - 5 Power Mix'!JX22</f>
        <v>0</v>
      </c>
      <c r="JY42" s="1046">
        <f>JY38+((JY40+'NF - 5 Power Mix'!JY14+'NF - 5 Power Mix'!JY15)*860/10)+((('Form Sa1'!KB835)*860)/10)+('Form Sa1'!KB814*'Form Sa1'!KB816/10)-'NF - 5 Power Mix'!JY21-'NF - 5 Power Mix'!JY22</f>
        <v>0</v>
      </c>
      <c r="JZ42" s="1046">
        <f>JZ38+((JZ40+'NF - 5 Power Mix'!JZ14+'NF - 5 Power Mix'!JZ15)*860/10)+((('Form Sa1'!KC835)*860)/10)+('Form Sa1'!KC814*'Form Sa1'!KC816/10)-'NF - 5 Power Mix'!JZ21-'NF - 5 Power Mix'!JZ22</f>
        <v>0</v>
      </c>
      <c r="KA42" s="1046">
        <f>KA38+((KA40+'NF - 5 Power Mix'!KA14+'NF - 5 Power Mix'!KA15)*860/10)+((('Form Sa1'!KD835)*860)/10)+('Form Sa1'!KD814*'Form Sa1'!KD816/10)-'NF - 5 Power Mix'!KA21-'NF - 5 Power Mix'!KA22</f>
        <v>0</v>
      </c>
      <c r="KB42" s="1046">
        <f>KB38+((KB40+'NF - 5 Power Mix'!KB14+'NF - 5 Power Mix'!KB15)*860/10)+((('Form Sa1'!KE835)*860)/10)+('Form Sa1'!KE814*'Form Sa1'!KE816/10)-'NF - 5 Power Mix'!KB21-'NF - 5 Power Mix'!KB22</f>
        <v>0</v>
      </c>
      <c r="KC42" s="1046">
        <f>KC38+((KC40+'NF - 5 Power Mix'!KC14+'NF - 5 Power Mix'!KC15)*860/10)+((('Form Sa1'!KF835)*860)/10)+('Form Sa1'!KF814*'Form Sa1'!KF816/10)-'NF - 5 Power Mix'!KC21-'NF - 5 Power Mix'!KC22</f>
        <v>0</v>
      </c>
      <c r="KD42" s="1046">
        <f>KD38+((KD40+'NF - 5 Power Mix'!KD14+'NF - 5 Power Mix'!KD15)*860/10)+((('Form Sa1'!KG835)*860)/10)+('Form Sa1'!KG814*'Form Sa1'!KG816/10)-'NF - 5 Power Mix'!KD21-'NF - 5 Power Mix'!KD22</f>
        <v>0</v>
      </c>
      <c r="KE42" s="1046">
        <f>KE38+((KE40+'NF - 5 Power Mix'!KE14+'NF - 5 Power Mix'!KE15)*860/10)+((('Form Sa1'!KH835)*860)/10)+('Form Sa1'!KH814*'Form Sa1'!KH816/10)-'NF - 5 Power Mix'!KE21-'NF - 5 Power Mix'!KE22</f>
        <v>0</v>
      </c>
      <c r="KF42" s="1046">
        <f>KF38+((KF40+'NF - 5 Power Mix'!KF14+'NF - 5 Power Mix'!KF15)*860/10)+((('Form Sa1'!KI835)*860)/10)+('Form Sa1'!KI814*'Form Sa1'!KI816/10)-'NF - 5 Power Mix'!KF21-'NF - 5 Power Mix'!KF22</f>
        <v>0</v>
      </c>
      <c r="KG42" s="1046">
        <f>KG38+((KG40+'NF - 5 Power Mix'!KG14+'NF - 5 Power Mix'!KG15)*860/10)+((('Form Sa1'!KJ835)*860)/10)+('Form Sa1'!KJ814*'Form Sa1'!KJ816/10)-'NF - 5 Power Mix'!KG21-'NF - 5 Power Mix'!KG22</f>
        <v>0</v>
      </c>
      <c r="KH42" s="1046">
        <f>KH38+((KH40+'NF - 5 Power Mix'!KH14+'NF - 5 Power Mix'!KH15)*860/10)+((('Form Sa1'!KK835)*860)/10)+('Form Sa1'!KK814*'Form Sa1'!KK816/10)-'NF - 5 Power Mix'!KH21-'NF - 5 Power Mix'!KH22</f>
        <v>0</v>
      </c>
      <c r="KI42" s="1046">
        <f>KI38+((KI40+'NF - 5 Power Mix'!KI14+'NF - 5 Power Mix'!KI15)*860/10)+((('Form Sa1'!KL835)*860)/10)+('Form Sa1'!KL814*'Form Sa1'!KL816/10)-'NF - 5 Power Mix'!KI21-'NF - 5 Power Mix'!KI22</f>
        <v>0</v>
      </c>
      <c r="KJ42" s="1046">
        <f>KJ38+((KJ40+'NF - 5 Power Mix'!KJ14+'NF - 5 Power Mix'!KJ15)*860/10)+((('Form Sa1'!KM835)*860)/10)+('Form Sa1'!KM814*'Form Sa1'!KM816/10)-'NF - 5 Power Mix'!KJ21-'NF - 5 Power Mix'!KJ22</f>
        <v>0</v>
      </c>
      <c r="KK42" s="1046">
        <f>KK38+((KK40+'NF - 5 Power Mix'!KK14+'NF - 5 Power Mix'!KK15)*860/10)+((('Form Sa1'!KN835)*860)/10)+('Form Sa1'!KN814*'Form Sa1'!KN816/10)-'NF - 5 Power Mix'!KK21-'NF - 5 Power Mix'!KK22</f>
        <v>0</v>
      </c>
      <c r="KL42" s="1046">
        <f>KL38+((KL40+'NF - 5 Power Mix'!KL14+'NF - 5 Power Mix'!KL15)*860/10)+((('Form Sa1'!KO835)*860)/10)+('Form Sa1'!KO814*'Form Sa1'!KO816/10)-'NF - 5 Power Mix'!KL21-'NF - 5 Power Mix'!KL22</f>
        <v>0</v>
      </c>
      <c r="KM42" s="1046">
        <f>KM38+((KM40+'NF - 5 Power Mix'!KM14+'NF - 5 Power Mix'!KM15)*860/10)+((('Form Sa1'!KP835)*860)/10)+('Form Sa1'!KP814*'Form Sa1'!KP816/10)-'NF - 5 Power Mix'!KM21-'NF - 5 Power Mix'!KM22</f>
        <v>0</v>
      </c>
      <c r="KN42" s="1046">
        <f>KN38+((KN40+'NF - 5 Power Mix'!KN14+'NF - 5 Power Mix'!KN15)*860/10)+((('Form Sa1'!KQ835)*860)/10)+('Form Sa1'!KQ814*'Form Sa1'!KQ816/10)-'NF - 5 Power Mix'!KN21-'NF - 5 Power Mix'!KN22</f>
        <v>0</v>
      </c>
      <c r="KO42" s="1046">
        <f>KO38+((KO40+'NF - 5 Power Mix'!KO14+'NF - 5 Power Mix'!KO15)*860/10)+((('Form Sa1'!KR835)*860)/10)+('Form Sa1'!KR814*'Form Sa1'!KR816/10)-'NF - 5 Power Mix'!KO21-'NF - 5 Power Mix'!KO22</f>
        <v>0</v>
      </c>
      <c r="KP42" s="1046">
        <f>KP38+((KP40+'NF - 5 Power Mix'!KP14+'NF - 5 Power Mix'!KP15)*860/10)+((('Form Sa1'!KS835)*860)/10)+('Form Sa1'!KS814*'Form Sa1'!KS816/10)-'NF - 5 Power Mix'!KP21-'NF - 5 Power Mix'!KP22</f>
        <v>0</v>
      </c>
      <c r="KQ42" s="1046">
        <f>KQ38+((KQ40+'NF - 5 Power Mix'!KQ14+'NF - 5 Power Mix'!KQ15)*860/10)+((('Form Sa1'!KT835)*860)/10)+('Form Sa1'!KT814*'Form Sa1'!KT816/10)-'NF - 5 Power Mix'!KQ21-'NF - 5 Power Mix'!KQ22</f>
        <v>0</v>
      </c>
      <c r="KR42" s="1046">
        <f>KR38+((KR40+'NF - 5 Power Mix'!KR14+'NF - 5 Power Mix'!KR15)*860/10)+((('Form Sa1'!KU835)*860)/10)+('Form Sa1'!KU814*'Form Sa1'!KU816/10)-'NF - 5 Power Mix'!KR21-'NF - 5 Power Mix'!KR22</f>
        <v>0</v>
      </c>
      <c r="KS42" s="1046">
        <f>KS38+((KS40+'NF - 5 Power Mix'!KS14+'NF - 5 Power Mix'!KS15)*860/10)+((('Form Sa1'!KV835)*860)/10)+('Form Sa1'!KV814*'Form Sa1'!KV816/10)-'NF - 5 Power Mix'!KS21-'NF - 5 Power Mix'!KS22</f>
        <v>0</v>
      </c>
      <c r="KT42" s="1046">
        <f>KT38+((KT40+'NF - 5 Power Mix'!KT14+'NF - 5 Power Mix'!KT15)*860/10)+((('Form Sa1'!KW835)*860)/10)+('Form Sa1'!KW814*'Form Sa1'!KW816/10)-'NF - 5 Power Mix'!KT21-'NF - 5 Power Mix'!KT22</f>
        <v>0</v>
      </c>
      <c r="KU42" s="1046">
        <f>KU38+((KU40+'NF - 5 Power Mix'!KU14+'NF - 5 Power Mix'!KU15)*860/10)+((('Form Sa1'!KX835)*860)/10)+('Form Sa1'!KX814*'Form Sa1'!KX816/10)-'NF - 5 Power Mix'!KU21-'NF - 5 Power Mix'!KU22</f>
        <v>0</v>
      </c>
      <c r="KV42" s="1046">
        <f>KV38+((KV40+'NF - 5 Power Mix'!KV14+'NF - 5 Power Mix'!KV15)*860/10)+((('Form Sa1'!KY835)*860)/10)+('Form Sa1'!KY814*'Form Sa1'!KY816/10)-'NF - 5 Power Mix'!KV21-'NF - 5 Power Mix'!KV22</f>
        <v>0</v>
      </c>
      <c r="KW42" s="1046">
        <f>KW38+((KW40+'NF - 5 Power Mix'!KW14+'NF - 5 Power Mix'!KW15)*860/10)+((('Form Sa1'!KZ835)*860)/10)+('Form Sa1'!KZ814*'Form Sa1'!KZ816/10)-'NF - 5 Power Mix'!KW21-'NF - 5 Power Mix'!KW22</f>
        <v>0</v>
      </c>
      <c r="KX42" s="1046">
        <f>KX38+((KX40+'NF - 5 Power Mix'!KX14+'NF - 5 Power Mix'!KX15)*860/10)+((('Form Sa1'!LA835)*860)/10)+('Form Sa1'!LA814*'Form Sa1'!LA816/10)-'NF - 5 Power Mix'!KX21-'NF - 5 Power Mix'!KX22</f>
        <v>0</v>
      </c>
      <c r="KY42" s="1046">
        <f>KY38+((KY40+'NF - 5 Power Mix'!KY14+'NF - 5 Power Mix'!KY15)*860/10)+((('Form Sa1'!LB835)*860)/10)+('Form Sa1'!LB814*'Form Sa1'!LB816/10)-'NF - 5 Power Mix'!KY21-'NF - 5 Power Mix'!KY22</f>
        <v>0</v>
      </c>
      <c r="KZ42" s="1046">
        <f>KZ38+((KZ40+'NF - 5 Power Mix'!KZ14+'NF - 5 Power Mix'!KZ15)*860/10)+((('Form Sa1'!LC835)*860)/10)+('Form Sa1'!LC814*'Form Sa1'!LC816/10)-'NF - 5 Power Mix'!KZ21-'NF - 5 Power Mix'!KZ22</f>
        <v>0</v>
      </c>
      <c r="LA42" s="1046">
        <f>LA38+((LA40+'NF - 5 Power Mix'!LA14+'NF - 5 Power Mix'!LA15)*860/10)+((('Form Sa1'!LD835)*860)/10)+('Form Sa1'!LD814*'Form Sa1'!LD816/10)-'NF - 5 Power Mix'!LA21-'NF - 5 Power Mix'!LA22</f>
        <v>0</v>
      </c>
      <c r="LB42" s="1046">
        <f>LB38+((LB40+'NF - 5 Power Mix'!LB14+'NF - 5 Power Mix'!LB15)*860/10)+((('Form Sa1'!LE835)*860)/10)+('Form Sa1'!LE814*'Form Sa1'!LE816/10)-'NF - 5 Power Mix'!LB21-'NF - 5 Power Mix'!LB22</f>
        <v>0</v>
      </c>
      <c r="LC42" s="1046">
        <f>LC38+((LC40+'NF - 5 Power Mix'!LC14+'NF - 5 Power Mix'!LC15)*860/10)+((('Form Sa1'!LF835)*860)/10)+('Form Sa1'!LF814*'Form Sa1'!LF816/10)-'NF - 5 Power Mix'!LC21-'NF - 5 Power Mix'!LC22</f>
        <v>0</v>
      </c>
      <c r="LD42" s="1046">
        <f>LD38+((LD40+'NF - 5 Power Mix'!LD14+'NF - 5 Power Mix'!LD15)*860/10)+((('Form Sa1'!LG835)*860)/10)+('Form Sa1'!LG814*'Form Sa1'!LG816/10)-'NF - 5 Power Mix'!LD21-'NF - 5 Power Mix'!LD22</f>
        <v>0</v>
      </c>
      <c r="LE42" s="1046">
        <f>LE38+((LE40+'NF - 5 Power Mix'!LE14+'NF - 5 Power Mix'!LE15)*860/10)+((('Form Sa1'!LH835)*860)/10)+('Form Sa1'!LH814*'Form Sa1'!LH816/10)-'NF - 5 Power Mix'!LE21-'NF - 5 Power Mix'!LE22</f>
        <v>0</v>
      </c>
      <c r="LF42" s="1046">
        <f>LF38+((LF40+'NF - 5 Power Mix'!LF14+'NF - 5 Power Mix'!LF15)*860/10)+((('Form Sa1'!LI835)*860)/10)+('Form Sa1'!LI814*'Form Sa1'!LI816/10)-'NF - 5 Power Mix'!LF21-'NF - 5 Power Mix'!LF22</f>
        <v>0</v>
      </c>
      <c r="LG42" s="1046">
        <f>LG38+((LG40+'NF - 5 Power Mix'!LG14+'NF - 5 Power Mix'!LG15)*860/10)+((('Form Sa1'!LJ835)*860)/10)+('Form Sa1'!LJ814*'Form Sa1'!LJ816/10)-'NF - 5 Power Mix'!LG21-'NF - 5 Power Mix'!LG22</f>
        <v>0</v>
      </c>
      <c r="LH42" s="1046">
        <f>LH38+((LH40+'NF - 5 Power Mix'!LH14+'NF - 5 Power Mix'!LH15)*860/10)+((('Form Sa1'!LK835)*860)/10)+('Form Sa1'!LK814*'Form Sa1'!LK816/10)-'NF - 5 Power Mix'!LH21-'NF - 5 Power Mix'!LH22</f>
        <v>0</v>
      </c>
      <c r="LI42" s="1046">
        <f>LI38+((LI40+'NF - 5 Power Mix'!LI14+'NF - 5 Power Mix'!LI15)*860/10)+((('Form Sa1'!LL835)*860)/10)+('Form Sa1'!LL814*'Form Sa1'!LL816/10)-'NF - 5 Power Mix'!LI21-'NF - 5 Power Mix'!LI22</f>
        <v>0</v>
      </c>
      <c r="LJ42" s="1046">
        <f>LJ38+((LJ40+'NF - 5 Power Mix'!LJ14+'NF - 5 Power Mix'!LJ15)*860/10)+((('Form Sa1'!LM835)*860)/10)+('Form Sa1'!LM814*'Form Sa1'!LM816/10)-'NF - 5 Power Mix'!LJ21-'NF - 5 Power Mix'!LJ22</f>
        <v>0</v>
      </c>
      <c r="LK42" s="1046">
        <f>LK38+((LK40+'NF - 5 Power Mix'!LK14+'NF - 5 Power Mix'!LK15)*860/10)+((('Form Sa1'!LN835)*860)/10)+('Form Sa1'!LN814*'Form Sa1'!LN816/10)-'NF - 5 Power Mix'!LK21-'NF - 5 Power Mix'!LK22</f>
        <v>0</v>
      </c>
      <c r="LL42" s="1046">
        <f>LL38+((LL40+'NF - 5 Power Mix'!LL14+'NF - 5 Power Mix'!LL15)*860/10)+((('Form Sa1'!LO835)*860)/10)+('Form Sa1'!LO814*'Form Sa1'!LO816/10)-'NF - 5 Power Mix'!LL21-'NF - 5 Power Mix'!LL22</f>
        <v>0</v>
      </c>
      <c r="LM42" s="1046">
        <f>LM38+((LM40+'NF - 5 Power Mix'!LM14+'NF - 5 Power Mix'!LM15)*860/10)+((('Form Sa1'!LP835)*860)/10)+('Form Sa1'!LP814*'Form Sa1'!LP816/10)-'NF - 5 Power Mix'!LM21-'NF - 5 Power Mix'!LM22</f>
        <v>0</v>
      </c>
      <c r="LN42" s="1046">
        <f>LN38+((LN40+'NF - 5 Power Mix'!LN14+'NF - 5 Power Mix'!LN15)*860/10)+((('Form Sa1'!LQ835)*860)/10)+('Form Sa1'!LQ814*'Form Sa1'!LQ816/10)-'NF - 5 Power Mix'!LN21-'NF - 5 Power Mix'!LN22</f>
        <v>0</v>
      </c>
      <c r="LO42" s="1046">
        <f>LO38+((LO40+'NF - 5 Power Mix'!LO14+'NF - 5 Power Mix'!LO15)*860/10)+((('Form Sa1'!LR835)*860)/10)+('Form Sa1'!LR814*'Form Sa1'!LR816/10)-'NF - 5 Power Mix'!LO21-'NF - 5 Power Mix'!LO22</f>
        <v>0</v>
      </c>
      <c r="LP42" s="1046">
        <f>LP38+((LP40+'NF - 5 Power Mix'!LP14+'NF - 5 Power Mix'!LP15)*860/10)+((('Form Sa1'!LS835)*860)/10)+('Form Sa1'!LS814*'Form Sa1'!LS816/10)-'NF - 5 Power Mix'!LP21-'NF - 5 Power Mix'!LP22</f>
        <v>0</v>
      </c>
      <c r="LQ42" s="1046">
        <f>LQ38+((LQ40+'NF - 5 Power Mix'!LQ14+'NF - 5 Power Mix'!LQ15)*860/10)+((('Form Sa1'!LT835)*860)/10)+('Form Sa1'!LT814*'Form Sa1'!LT816/10)-'NF - 5 Power Mix'!LQ21-'NF - 5 Power Mix'!LQ22</f>
        <v>0</v>
      </c>
      <c r="LR42" s="1046">
        <f>LR38+((LR40+'NF - 5 Power Mix'!LR14+'NF - 5 Power Mix'!LR15)*860/10)+((('Form Sa1'!LU835)*860)/10)+('Form Sa1'!LU814*'Form Sa1'!LU816/10)-'NF - 5 Power Mix'!LR21-'NF - 5 Power Mix'!LR22</f>
        <v>0</v>
      </c>
      <c r="LS42" s="1046">
        <f>LS38+((LS40+'NF - 5 Power Mix'!LS14+'NF - 5 Power Mix'!LS15)*860/10)+((('Form Sa1'!LV835)*860)/10)+('Form Sa1'!LV814*'Form Sa1'!LV816/10)-'NF - 5 Power Mix'!LS21-'NF - 5 Power Mix'!LS22</f>
        <v>0</v>
      </c>
      <c r="LT42" s="1046">
        <f>LT38+((LT40+'NF - 5 Power Mix'!LT14+'NF - 5 Power Mix'!LT15)*860/10)+((('Form Sa1'!LW835)*860)/10)+('Form Sa1'!LW814*'Form Sa1'!LW816/10)-'NF - 5 Power Mix'!LT21-'NF - 5 Power Mix'!LT22</f>
        <v>0</v>
      </c>
      <c r="LU42" s="1046">
        <f>LU38+((LU40+'NF - 5 Power Mix'!LU14+'NF - 5 Power Mix'!LU15)*860/10)+((('Form Sa1'!LX835)*860)/10)+('Form Sa1'!LX814*'Form Sa1'!LX816/10)-'NF - 5 Power Mix'!LU21-'NF - 5 Power Mix'!LU22</f>
        <v>0</v>
      </c>
      <c r="LV42" s="1046">
        <f>LV38+((LV40+'NF - 5 Power Mix'!LV14+'NF - 5 Power Mix'!LV15)*860/10)+((('Form Sa1'!LY835)*860)/10)+('Form Sa1'!LY814*'Form Sa1'!LY816/10)-'NF - 5 Power Mix'!LV21-'NF - 5 Power Mix'!LV22</f>
        <v>0</v>
      </c>
      <c r="LW42" s="1046">
        <f>LW38+((LW40+'NF - 5 Power Mix'!LW14+'NF - 5 Power Mix'!LW15)*860/10)+((('Form Sa1'!LZ835)*860)/10)+('Form Sa1'!LZ814*'Form Sa1'!LZ816/10)-'NF - 5 Power Mix'!LW21-'NF - 5 Power Mix'!LW22</f>
        <v>0</v>
      </c>
      <c r="LX42" s="1046">
        <f>LX38+((LX40+'NF - 5 Power Mix'!LX14+'NF - 5 Power Mix'!LX15)*860/10)+((('Form Sa1'!MA835)*860)/10)+('Form Sa1'!MA814*'Form Sa1'!MA816/10)-'NF - 5 Power Mix'!LX21-'NF - 5 Power Mix'!LX22</f>
        <v>0</v>
      </c>
      <c r="LY42" s="1046">
        <f>LY38+((LY40+'NF - 5 Power Mix'!LY14+'NF - 5 Power Mix'!LY15)*860/10)+((('Form Sa1'!MB835)*860)/10)+('Form Sa1'!MB814*'Form Sa1'!MB816/10)-'NF - 5 Power Mix'!LY21-'NF - 5 Power Mix'!LY22</f>
        <v>0</v>
      </c>
      <c r="LZ42" s="1046">
        <f>LZ38+((LZ40+'NF - 5 Power Mix'!LZ14+'NF - 5 Power Mix'!LZ15)*860/10)+((('Form Sa1'!MC835)*860)/10)+('Form Sa1'!MC814*'Form Sa1'!MC816/10)-'NF - 5 Power Mix'!LZ21-'NF - 5 Power Mix'!LZ22</f>
        <v>0</v>
      </c>
      <c r="MA42" s="1046">
        <f>MA38+((MA40+'NF - 5 Power Mix'!MA14+'NF - 5 Power Mix'!MA15)*860/10)+((('Form Sa1'!MD835)*860)/10)+('Form Sa1'!MD814*'Form Sa1'!MD816/10)-'NF - 5 Power Mix'!MA21-'NF - 5 Power Mix'!MA22</f>
        <v>0</v>
      </c>
      <c r="MB42" s="1046">
        <f>MB38+((MB40+'NF - 5 Power Mix'!MB14+'NF - 5 Power Mix'!MB15)*860/10)+((('Form Sa1'!ME835)*860)/10)+('Form Sa1'!ME814*'Form Sa1'!ME816/10)-'NF - 5 Power Mix'!MB21-'NF - 5 Power Mix'!MB22</f>
        <v>0</v>
      </c>
      <c r="MC42" s="1046">
        <f>MC38+((MC40+'NF - 5 Power Mix'!MC14+'NF - 5 Power Mix'!MC15)*860/10)+((('Form Sa1'!MF835)*860)/10)+('Form Sa1'!MF814*'Form Sa1'!MF816/10)-'NF - 5 Power Mix'!MC21-'NF - 5 Power Mix'!MC22</f>
        <v>0</v>
      </c>
      <c r="MD42" s="1046">
        <f>MD38+((MD40+'NF - 5 Power Mix'!MD14+'NF - 5 Power Mix'!MD15)*860/10)+((('Form Sa1'!MG835)*860)/10)+('Form Sa1'!MG814*'Form Sa1'!MG816/10)-'NF - 5 Power Mix'!MD21-'NF - 5 Power Mix'!MD22</f>
        <v>0</v>
      </c>
      <c r="ME42" s="1046">
        <f>ME38+((ME40+'NF - 5 Power Mix'!ME14+'NF - 5 Power Mix'!ME15)*860/10)+((('Form Sa1'!MH835)*860)/10)+('Form Sa1'!MH814*'Form Sa1'!MH816/10)-'NF - 5 Power Mix'!ME21-'NF - 5 Power Mix'!ME22</f>
        <v>0</v>
      </c>
      <c r="MF42" s="1046">
        <f>MF38+((MF40+'NF - 5 Power Mix'!MF14+'NF - 5 Power Mix'!MF15)*860/10)+((('Form Sa1'!MI835)*860)/10)+('Form Sa1'!MI814*'Form Sa1'!MI816/10)-'NF - 5 Power Mix'!MF21-'NF - 5 Power Mix'!MF22</f>
        <v>0</v>
      </c>
      <c r="MG42" s="1046">
        <f>MG38+((MG40+'NF - 5 Power Mix'!MG14+'NF - 5 Power Mix'!MG15)*860/10)+((('Form Sa1'!MJ835)*860)/10)+('Form Sa1'!MJ814*'Form Sa1'!MJ816/10)-'NF - 5 Power Mix'!MG21-'NF - 5 Power Mix'!MG22</f>
        <v>0</v>
      </c>
      <c r="MH42" s="1046">
        <f>MH38+((MH40+'NF - 5 Power Mix'!MH14+'NF - 5 Power Mix'!MH15)*860/10)+((('Form Sa1'!MK835)*860)/10)+('Form Sa1'!MK814*'Form Sa1'!MK816/10)-'NF - 5 Power Mix'!MH21-'NF - 5 Power Mix'!MH22</f>
        <v>0</v>
      </c>
      <c r="MI42" s="1046">
        <f>MI38+((MI40+'NF - 5 Power Mix'!MI14+'NF - 5 Power Mix'!MI15)*860/10)+((('Form Sa1'!ML835)*860)/10)+('Form Sa1'!ML814*'Form Sa1'!ML816/10)-'NF - 5 Power Mix'!MI21-'NF - 5 Power Mix'!MI22</f>
        <v>0</v>
      </c>
      <c r="MJ42" s="1046">
        <f>MJ38+((MJ40+'NF - 5 Power Mix'!MJ14+'NF - 5 Power Mix'!MJ15)*860/10)+((('Form Sa1'!MM835)*860)/10)+('Form Sa1'!MM814*'Form Sa1'!MM816/10)-'NF - 5 Power Mix'!MJ21-'NF - 5 Power Mix'!MJ22</f>
        <v>0</v>
      </c>
      <c r="MK42" s="1046">
        <f>MK38+((MK40+'NF - 5 Power Mix'!MK14+'NF - 5 Power Mix'!MK15)*860/10)+((('Form Sa1'!MN835)*860)/10)+('Form Sa1'!MN814*'Form Sa1'!MN816/10)-'NF - 5 Power Mix'!MK21-'NF - 5 Power Mix'!MK22</f>
        <v>0</v>
      </c>
      <c r="ML42" s="1046">
        <f>ML38+((ML40+'NF - 5 Power Mix'!ML14+'NF - 5 Power Mix'!ML15)*860/10)+((('Form Sa1'!MO835)*860)/10)+('Form Sa1'!MO814*'Form Sa1'!MO816/10)-'NF - 5 Power Mix'!ML21-'NF - 5 Power Mix'!ML22</f>
        <v>0</v>
      </c>
      <c r="MM42" s="1046">
        <f>MM38+((MM40+'NF - 5 Power Mix'!MM14+'NF - 5 Power Mix'!MM15)*860/10)+((('Form Sa1'!MP835)*860)/10)+('Form Sa1'!MP814*'Form Sa1'!MP816/10)-'NF - 5 Power Mix'!MM21-'NF - 5 Power Mix'!MM22</f>
        <v>0</v>
      </c>
      <c r="MN42" s="1046">
        <f>MN38+((MN40+'NF - 5 Power Mix'!MN14+'NF - 5 Power Mix'!MN15)*860/10)+((('Form Sa1'!MQ835)*860)/10)+('Form Sa1'!MQ814*'Form Sa1'!MQ816/10)-'NF - 5 Power Mix'!MN21-'NF - 5 Power Mix'!MN22</f>
        <v>0</v>
      </c>
      <c r="MO42" s="1046">
        <f>MO38+((MO40+'NF - 5 Power Mix'!MO14+'NF - 5 Power Mix'!MO15)*860/10)+((('Form Sa1'!MR835)*860)/10)+('Form Sa1'!MR814*'Form Sa1'!MR816/10)-'NF - 5 Power Mix'!MO21-'NF - 5 Power Mix'!MO22</f>
        <v>0</v>
      </c>
      <c r="MP42" s="1046">
        <f>MP38+((MP40+'NF - 5 Power Mix'!MP14+'NF - 5 Power Mix'!MP15)*860/10)+((('Form Sa1'!MS835)*860)/10)+('Form Sa1'!MS814*'Form Sa1'!MS816/10)-'NF - 5 Power Mix'!MP21-'NF - 5 Power Mix'!MP22</f>
        <v>0</v>
      </c>
      <c r="MQ42" s="1046">
        <f>MQ38+((MQ40+'NF - 5 Power Mix'!MQ14+'NF - 5 Power Mix'!MQ15)*860/10)+((('Form Sa1'!MT835)*860)/10)+('Form Sa1'!MT814*'Form Sa1'!MT816/10)-'NF - 5 Power Mix'!MQ21-'NF - 5 Power Mix'!MQ22</f>
        <v>0</v>
      </c>
      <c r="MR42" s="1046">
        <f>MR38+((MR40+'NF - 5 Power Mix'!MR14+'NF - 5 Power Mix'!MR15)*860/10)+((('Form Sa1'!MU835)*860)/10)+('Form Sa1'!MU814*'Form Sa1'!MU816/10)-'NF - 5 Power Mix'!MR21-'NF - 5 Power Mix'!MR22</f>
        <v>0</v>
      </c>
      <c r="MS42" s="1046">
        <f>MS38+((MS40+'NF - 5 Power Mix'!MS14+'NF - 5 Power Mix'!MS15)*860/10)+((('Form Sa1'!MV835)*860)/10)+('Form Sa1'!MV814*'Form Sa1'!MV816/10)-'NF - 5 Power Mix'!MS21-'NF - 5 Power Mix'!MS22</f>
        <v>0</v>
      </c>
      <c r="MT42" s="1046">
        <f>MT38+((MT40+'NF - 5 Power Mix'!MT14+'NF - 5 Power Mix'!MT15)*860/10)+((('Form Sa1'!MW835)*860)/10)+('Form Sa1'!MW814*'Form Sa1'!MW816/10)-'NF - 5 Power Mix'!MT21-'NF - 5 Power Mix'!MT22</f>
        <v>0</v>
      </c>
      <c r="MU42" s="1046">
        <f>MU38+((MU40+'NF - 5 Power Mix'!MU14+'NF - 5 Power Mix'!MU15)*860/10)+((('Form Sa1'!MX835)*860)/10)+('Form Sa1'!MX814*'Form Sa1'!MX816/10)-'NF - 5 Power Mix'!MU21-'NF - 5 Power Mix'!MU22</f>
        <v>0</v>
      </c>
      <c r="MV42" s="1046">
        <f>MV38+((MV40+'NF - 5 Power Mix'!MV14+'NF - 5 Power Mix'!MV15)*860/10)+((('Form Sa1'!MY835)*860)/10)+('Form Sa1'!MY814*'Form Sa1'!MY816/10)-'NF - 5 Power Mix'!MV21-'NF - 5 Power Mix'!MV22</f>
        <v>0</v>
      </c>
      <c r="MW42" s="1046">
        <f>MW38+((MW40+'NF - 5 Power Mix'!MW14+'NF - 5 Power Mix'!MW15)*860/10)+((('Form Sa1'!MZ835)*860)/10)+('Form Sa1'!MZ814*'Form Sa1'!MZ816/10)-'NF - 5 Power Mix'!MW21-'NF - 5 Power Mix'!MW22</f>
        <v>0</v>
      </c>
      <c r="MX42" s="1046">
        <f>MX38+((MX40+'NF - 5 Power Mix'!MX14+'NF - 5 Power Mix'!MX15)*860/10)+((('Form Sa1'!NA835)*860)/10)+('Form Sa1'!NA814*'Form Sa1'!NA816/10)-'NF - 5 Power Mix'!MX21-'NF - 5 Power Mix'!MX22</f>
        <v>0</v>
      </c>
      <c r="MY42" s="1046">
        <f>MY38+((MY40+'NF - 5 Power Mix'!MY14+'NF - 5 Power Mix'!MY15)*860/10)+((('Form Sa1'!NB835)*860)/10)+('Form Sa1'!NB814*'Form Sa1'!NB816/10)-'NF - 5 Power Mix'!MY21-'NF - 5 Power Mix'!MY22</f>
        <v>0</v>
      </c>
      <c r="MZ42" s="1046">
        <f>MZ38+((MZ40+'NF - 5 Power Mix'!MZ14+'NF - 5 Power Mix'!MZ15)*860/10)+((('Form Sa1'!NC835)*860)/10)+('Form Sa1'!NC814*'Form Sa1'!NC816/10)-'NF - 5 Power Mix'!MZ21-'NF - 5 Power Mix'!MZ22</f>
        <v>0</v>
      </c>
      <c r="NA42" s="1046">
        <f>NA38+((NA40+'NF - 5 Power Mix'!NA14+'NF - 5 Power Mix'!NA15)*860/10)+((('Form Sa1'!ND835)*860)/10)+('Form Sa1'!ND814*'Form Sa1'!ND816/10)-'NF - 5 Power Mix'!NA21-'NF - 5 Power Mix'!NA22</f>
        <v>0</v>
      </c>
      <c r="NB42" s="1046">
        <f>NB38+((NB40+'NF - 5 Power Mix'!NB14+'NF - 5 Power Mix'!NB15)*860/10)+((('Form Sa1'!NE835)*860)/10)+('Form Sa1'!NE814*'Form Sa1'!NE816/10)-'NF - 5 Power Mix'!NB21-'NF - 5 Power Mix'!NB22</f>
        <v>0</v>
      </c>
      <c r="NC42" s="1046">
        <f>NC38+((NC40+'NF - 5 Power Mix'!NC14+'NF - 5 Power Mix'!NC15)*860/10)+((('Form Sa1'!NF835)*860)/10)+('Form Sa1'!NF814*'Form Sa1'!NF816/10)-'NF - 5 Power Mix'!NC21-'NF - 5 Power Mix'!NC22</f>
        <v>0</v>
      </c>
      <c r="ND42" s="1046">
        <f>ND38+((ND40+'NF - 5 Power Mix'!ND14+'NF - 5 Power Mix'!ND15)*860/10)+((('Form Sa1'!NG835)*860)/10)+('Form Sa1'!NG814*'Form Sa1'!NG816/10)-'NF - 5 Power Mix'!ND21-'NF - 5 Power Mix'!ND22</f>
        <v>0</v>
      </c>
      <c r="NE42" s="1046">
        <f>NE38+((NE40+'NF - 5 Power Mix'!NE14+'NF - 5 Power Mix'!NE15)*860/10)+((('Form Sa1'!NH835)*860)/10)+('Form Sa1'!NH814*'Form Sa1'!NH816/10)-'NF - 5 Power Mix'!NE21-'NF - 5 Power Mix'!NE22</f>
        <v>0</v>
      </c>
      <c r="NF42" s="1046">
        <f>NF38+((NF40+'NF - 5 Power Mix'!NF14+'NF - 5 Power Mix'!NF15)*860/10)+((('Form Sa1'!NI835)*860)/10)+('Form Sa1'!NI814*'Form Sa1'!NI816/10)-'NF - 5 Power Mix'!NF21-'NF - 5 Power Mix'!NF22</f>
        <v>0</v>
      </c>
      <c r="NG42" s="1046">
        <f>NG38+((NG40+'NF - 5 Power Mix'!NG14+'NF - 5 Power Mix'!NG15)*860/10)+((('Form Sa1'!NJ835)*860)/10)+('Form Sa1'!NJ814*'Form Sa1'!NJ816/10)-'NF - 5 Power Mix'!NG21-'NF - 5 Power Mix'!NG22</f>
        <v>0</v>
      </c>
      <c r="NH42" s="1046">
        <f>NH38+((NH40+'NF - 5 Power Mix'!NH14+'NF - 5 Power Mix'!NH15)*860/10)+((('Form Sa1'!NK835)*860)/10)+('Form Sa1'!NK814*'Form Sa1'!NK816/10)-'NF - 5 Power Mix'!NH21-'NF - 5 Power Mix'!NH22</f>
        <v>0</v>
      </c>
      <c r="NI42" s="1046">
        <f>NI38+((NI40+'NF - 5 Power Mix'!NI14+'NF - 5 Power Mix'!NI15)*860/10)+((('Form Sa1'!NL835)*860)/10)+('Form Sa1'!NL814*'Form Sa1'!NL816/10)-'NF - 5 Power Mix'!NI21-'NF - 5 Power Mix'!NI22</f>
        <v>0</v>
      </c>
      <c r="NJ42" s="1046">
        <f>NJ38+((NJ40+'NF - 5 Power Mix'!NJ14+'NF - 5 Power Mix'!NJ15)*860/10)+((('Form Sa1'!NM835)*860)/10)+('Form Sa1'!NM814*'Form Sa1'!NM816/10)-'NF - 5 Power Mix'!NJ21-'NF - 5 Power Mix'!NJ22</f>
        <v>0</v>
      </c>
      <c r="NK42" s="1046">
        <f>NK38+((NK40+'NF - 5 Power Mix'!NK14+'NF - 5 Power Mix'!NK15)*860/10)+((('Form Sa1'!NN835)*860)/10)+('Form Sa1'!NN814*'Form Sa1'!NN816/10)-'NF - 5 Power Mix'!NK21-'NF - 5 Power Mix'!NK22</f>
        <v>0</v>
      </c>
      <c r="NL42" s="1046">
        <f>NL38+((NL40+'NF - 5 Power Mix'!NL14+'NF - 5 Power Mix'!NL15)*860/10)+((('Form Sa1'!NO835)*860)/10)+('Form Sa1'!NO814*'Form Sa1'!NO816/10)-'NF - 5 Power Mix'!NL21-'NF - 5 Power Mix'!NL22</f>
        <v>0</v>
      </c>
      <c r="NM42" s="1046">
        <f>NM38+((NM40+'NF - 5 Power Mix'!NM14+'NF - 5 Power Mix'!NM15)*860/10)+((('Form Sa1'!NP835)*860)/10)+('Form Sa1'!NP814*'Form Sa1'!NP816/10)-'NF - 5 Power Mix'!NM21-'NF - 5 Power Mix'!NM22</f>
        <v>0</v>
      </c>
      <c r="NN42" s="1046">
        <f>NN38+((NN40+'NF - 5 Power Mix'!NN14+'NF - 5 Power Mix'!NN15)*860/10)+((('Form Sa1'!NQ835)*860)/10)+('Form Sa1'!NQ814*'Form Sa1'!NQ816/10)-'NF - 5 Power Mix'!NN21-'NF - 5 Power Mix'!NN22</f>
        <v>0</v>
      </c>
      <c r="NO42" s="1046">
        <f>NO38+((NO40+'NF - 5 Power Mix'!NO14+'NF - 5 Power Mix'!NO15)*860/10)+((('Form Sa1'!NR835)*860)/10)+('Form Sa1'!NR814*'Form Sa1'!NR816/10)-'NF - 5 Power Mix'!NO21-'NF - 5 Power Mix'!NO22</f>
        <v>0</v>
      </c>
      <c r="NP42" s="1046">
        <f>NP38+((NP40+'NF - 5 Power Mix'!NP14+'NF - 5 Power Mix'!NP15)*860/10)+((('Form Sa1'!NS835)*860)/10)+('Form Sa1'!NS814*'Form Sa1'!NS816/10)-'NF - 5 Power Mix'!NP21-'NF - 5 Power Mix'!NP22</f>
        <v>0</v>
      </c>
      <c r="NQ42" s="1046">
        <f>NQ38+((NQ40+'NF - 5 Power Mix'!NQ14+'NF - 5 Power Mix'!NQ15)*860/10)+((('Form Sa1'!NT835)*860)/10)+('Form Sa1'!NT814*'Form Sa1'!NT816/10)-'NF - 5 Power Mix'!NQ21-'NF - 5 Power Mix'!NQ22</f>
        <v>0</v>
      </c>
      <c r="NR42" s="1046">
        <f>NR38+((NR40+'NF - 5 Power Mix'!NR14+'NF - 5 Power Mix'!NR15)*860/10)+((('Form Sa1'!NU835)*860)/10)+('Form Sa1'!NU814*'Form Sa1'!NU816/10)-'NF - 5 Power Mix'!NR21-'NF - 5 Power Mix'!NR22</f>
        <v>0</v>
      </c>
      <c r="NS42" s="1046">
        <f>NS38+((NS40+'NF - 5 Power Mix'!NS14+'NF - 5 Power Mix'!NS15)*860/10)+((('Form Sa1'!NV835)*860)/10)+('Form Sa1'!NV814*'Form Sa1'!NV816/10)-'NF - 5 Power Mix'!NS21-'NF - 5 Power Mix'!NS22</f>
        <v>0</v>
      </c>
      <c r="NT42" s="1046">
        <f>NT38+((NT40+'NF - 5 Power Mix'!NT14+'NF - 5 Power Mix'!NT15)*860/10)+((('Form Sa1'!NW835)*860)/10)+('Form Sa1'!NW814*'Form Sa1'!NW816/10)-'NF - 5 Power Mix'!NT21-'NF - 5 Power Mix'!NT22</f>
        <v>0</v>
      </c>
      <c r="NU42" s="1046">
        <f>NU38+((NU40+'NF - 5 Power Mix'!NU14+'NF - 5 Power Mix'!NU15)*860/10)+((('Form Sa1'!NX835)*860)/10)+('Form Sa1'!NX814*'Form Sa1'!NX816/10)-'NF - 5 Power Mix'!NU21-'NF - 5 Power Mix'!NU22</f>
        <v>0</v>
      </c>
      <c r="NV42" s="1046">
        <f>NV38+((NV40+'NF - 5 Power Mix'!NV14+'NF - 5 Power Mix'!NV15)*860/10)+((('Form Sa1'!NY835)*860)/10)+('Form Sa1'!NY814*'Form Sa1'!NY816/10)-'NF - 5 Power Mix'!NV21-'NF - 5 Power Mix'!NV22</f>
        <v>0</v>
      </c>
      <c r="NW42" s="1046">
        <f>NW38+((NW40+'NF - 5 Power Mix'!NW14+'NF - 5 Power Mix'!NW15)*860/10)+((('Form Sa1'!NZ835)*860)/10)+('Form Sa1'!NZ814*'Form Sa1'!NZ816/10)-'NF - 5 Power Mix'!NW21-'NF - 5 Power Mix'!NW22</f>
        <v>0</v>
      </c>
      <c r="NX42" s="1046">
        <f>NX38+((NX40+'NF - 5 Power Mix'!NX14+'NF - 5 Power Mix'!NX15)*860/10)+((('Form Sa1'!OA835)*860)/10)+('Form Sa1'!OA814*'Form Sa1'!OA816/10)-'NF - 5 Power Mix'!NX21-'NF - 5 Power Mix'!NX22</f>
        <v>0</v>
      </c>
      <c r="NY42" s="1046">
        <f>NY38+((NY40+'NF - 5 Power Mix'!NY14+'NF - 5 Power Mix'!NY15)*860/10)+((('Form Sa1'!OB835)*860)/10)+('Form Sa1'!OB814*'Form Sa1'!OB816/10)-'NF - 5 Power Mix'!NY21-'NF - 5 Power Mix'!NY22</f>
        <v>0</v>
      </c>
      <c r="NZ42" s="1046">
        <f>NZ38+((NZ40+'NF - 5 Power Mix'!NZ14+'NF - 5 Power Mix'!NZ15)*860/10)+((('Form Sa1'!OC835)*860)/10)+('Form Sa1'!OC814*'Form Sa1'!OC816/10)-'NF - 5 Power Mix'!NZ21-'NF - 5 Power Mix'!NZ22</f>
        <v>0</v>
      </c>
      <c r="OA42" s="1046">
        <f>OA38+((OA40+'NF - 5 Power Mix'!OA14+'NF - 5 Power Mix'!OA15)*860/10)+((('Form Sa1'!OD835)*860)/10)+('Form Sa1'!OD814*'Form Sa1'!OD816/10)-'NF - 5 Power Mix'!OA21-'NF - 5 Power Mix'!OA22</f>
        <v>0</v>
      </c>
      <c r="OB42" s="1046">
        <f>OB38+((OB40+'NF - 5 Power Mix'!OB14+'NF - 5 Power Mix'!OB15)*860/10)+((('Form Sa1'!OE835)*860)/10)+('Form Sa1'!OE814*'Form Sa1'!OE816/10)-'NF - 5 Power Mix'!OB21-'NF - 5 Power Mix'!OB22</f>
        <v>0</v>
      </c>
      <c r="OC42" s="1046">
        <f>OC38+((OC40+'NF - 5 Power Mix'!OC14+'NF - 5 Power Mix'!OC15)*860/10)+((('Form Sa1'!OF835)*860)/10)+('Form Sa1'!OF814*'Form Sa1'!OF816/10)-'NF - 5 Power Mix'!OC21-'NF - 5 Power Mix'!OC22</f>
        <v>0</v>
      </c>
      <c r="OD42" s="1046">
        <f>OD38+((OD40+'NF - 5 Power Mix'!OD14+'NF - 5 Power Mix'!OD15)*860/10)+((('Form Sa1'!OG835)*860)/10)+('Form Sa1'!OG814*'Form Sa1'!OG816/10)-'NF - 5 Power Mix'!OD21-'NF - 5 Power Mix'!OD22</f>
        <v>0</v>
      </c>
      <c r="OE42" s="1046">
        <f>OE38+((OE40+'NF - 5 Power Mix'!OE14+'NF - 5 Power Mix'!OE15)*860/10)+((('Form Sa1'!OH835)*860)/10)+('Form Sa1'!OH814*'Form Sa1'!OH816/10)-'NF - 5 Power Mix'!OE21-'NF - 5 Power Mix'!OE22</f>
        <v>0</v>
      </c>
      <c r="OF42" s="1046">
        <f>OF38+((OF40+'NF - 5 Power Mix'!OF14+'NF - 5 Power Mix'!OF15)*860/10)+((('Form Sa1'!OI835)*860)/10)+('Form Sa1'!OI814*'Form Sa1'!OI816/10)-'NF - 5 Power Mix'!OF21-'NF - 5 Power Mix'!OF22</f>
        <v>0</v>
      </c>
      <c r="OG42" s="1046">
        <f>OG38+((OG40+'NF - 5 Power Mix'!OG14+'NF - 5 Power Mix'!OG15)*860/10)+((('Form Sa1'!OJ835)*860)/10)+('Form Sa1'!OJ814*'Form Sa1'!OJ816/10)-'NF - 5 Power Mix'!OG21-'NF - 5 Power Mix'!OG22</f>
        <v>0</v>
      </c>
      <c r="OH42" s="1046">
        <f>OH38+((OH40+'NF - 5 Power Mix'!OH14+'NF - 5 Power Mix'!OH15)*860/10)+((('Form Sa1'!OK835)*860)/10)+('Form Sa1'!OK814*'Form Sa1'!OK816/10)-'NF - 5 Power Mix'!OH21-'NF - 5 Power Mix'!OH22</f>
        <v>0</v>
      </c>
      <c r="OI42" s="1046">
        <f>OI38+((OI40+'NF - 5 Power Mix'!OI14+'NF - 5 Power Mix'!OI15)*860/10)+((('Form Sa1'!OL835)*860)/10)+('Form Sa1'!OL814*'Form Sa1'!OL816/10)-'NF - 5 Power Mix'!OI21-'NF - 5 Power Mix'!OI22</f>
        <v>0</v>
      </c>
      <c r="OJ42" s="1046">
        <f>OJ38+((OJ40+'NF - 5 Power Mix'!OJ14+'NF - 5 Power Mix'!OJ15)*860/10)+((('Form Sa1'!OM835)*860)/10)+('Form Sa1'!OM814*'Form Sa1'!OM816/10)-'NF - 5 Power Mix'!OJ21-'NF - 5 Power Mix'!OJ22</f>
        <v>0</v>
      </c>
      <c r="OK42" s="1046">
        <f>OK38+((OK40+'NF - 5 Power Mix'!OK14+'NF - 5 Power Mix'!OK15)*860/10)+((('Form Sa1'!ON835)*860)/10)+('Form Sa1'!ON814*'Form Sa1'!ON816/10)-'NF - 5 Power Mix'!OK21-'NF - 5 Power Mix'!OK22</f>
        <v>0</v>
      </c>
      <c r="OL42" s="1046">
        <f>OL38+((OL40+'NF - 5 Power Mix'!OL14+'NF - 5 Power Mix'!OL15)*860/10)+((('Form Sa1'!OO835)*860)/10)+('Form Sa1'!OO814*'Form Sa1'!OO816/10)-'NF - 5 Power Mix'!OL21-'NF - 5 Power Mix'!OL22</f>
        <v>0</v>
      </c>
      <c r="OM42" s="1046">
        <f>OM38+((OM40+'NF - 5 Power Mix'!OM14+'NF - 5 Power Mix'!OM15)*860/10)+((('Form Sa1'!OP835)*860)/10)+('Form Sa1'!OP814*'Form Sa1'!OP816/10)-'NF - 5 Power Mix'!OM21-'NF - 5 Power Mix'!OM22</f>
        <v>0</v>
      </c>
      <c r="ON42" s="1046">
        <f>ON38+((ON40+'NF - 5 Power Mix'!ON14+'NF - 5 Power Mix'!ON15)*860/10)+((('Form Sa1'!OQ835)*860)/10)+('Form Sa1'!OQ814*'Form Sa1'!OQ816/10)-'NF - 5 Power Mix'!ON21-'NF - 5 Power Mix'!ON22</f>
        <v>0</v>
      </c>
      <c r="OO42" s="1046">
        <f>OO38+((OO40+'NF - 5 Power Mix'!OO14+'NF - 5 Power Mix'!OO15)*860/10)+((('Form Sa1'!OR835)*860)/10)+('Form Sa1'!OR814*'Form Sa1'!OR816/10)-'NF - 5 Power Mix'!OO21-'NF - 5 Power Mix'!OO22</f>
        <v>0</v>
      </c>
      <c r="OP42" s="1046">
        <f>OP38+((OP40+'NF - 5 Power Mix'!OP14+'NF - 5 Power Mix'!OP15)*860/10)+((('Form Sa1'!OS835)*860)/10)+('Form Sa1'!OS814*'Form Sa1'!OS816/10)-'NF - 5 Power Mix'!OP21-'NF - 5 Power Mix'!OP22</f>
        <v>0</v>
      </c>
      <c r="OQ42" s="1046">
        <f>OQ38+((OQ40+'NF - 5 Power Mix'!OQ14+'NF - 5 Power Mix'!OQ15)*860/10)+((('Form Sa1'!OT835)*860)/10)+('Form Sa1'!OT814*'Form Sa1'!OT816/10)-'NF - 5 Power Mix'!OQ21-'NF - 5 Power Mix'!OQ22</f>
        <v>0</v>
      </c>
      <c r="OR42" s="1046">
        <f>OR38+((OR40+'NF - 5 Power Mix'!OR14+'NF - 5 Power Mix'!OR15)*860/10)+((('Form Sa1'!OU835)*860)/10)+('Form Sa1'!OU814*'Form Sa1'!OU816/10)-'NF - 5 Power Mix'!OR21-'NF - 5 Power Mix'!OR22</f>
        <v>0</v>
      </c>
      <c r="OS42" s="1046">
        <f>OS38+((OS40+'NF - 5 Power Mix'!OS14+'NF - 5 Power Mix'!OS15)*860/10)+((('Form Sa1'!OV835)*860)/10)+('Form Sa1'!OV814*'Form Sa1'!OV816/10)-'NF - 5 Power Mix'!OS21-'NF - 5 Power Mix'!OS22</f>
        <v>0</v>
      </c>
      <c r="OT42" s="1046">
        <f>OT38+((OT40+'NF - 5 Power Mix'!OT14+'NF - 5 Power Mix'!OT15)*860/10)+((('Form Sa1'!OW835)*860)/10)+('Form Sa1'!OW814*'Form Sa1'!OW816/10)-'NF - 5 Power Mix'!OT21-'NF - 5 Power Mix'!OT22</f>
        <v>0</v>
      </c>
      <c r="OU42" s="1046">
        <f>OU38+((OU40+'NF - 5 Power Mix'!OU14+'NF - 5 Power Mix'!OU15)*860/10)+((('Form Sa1'!OX835)*860)/10)+('Form Sa1'!OX814*'Form Sa1'!OX816/10)-'NF - 5 Power Mix'!OU21-'NF - 5 Power Mix'!OU22</f>
        <v>0</v>
      </c>
      <c r="OV42" s="1046">
        <f>OV38+((OV40+'NF - 5 Power Mix'!OV14+'NF - 5 Power Mix'!OV15)*860/10)+((('Form Sa1'!OY835)*860)/10)+('Form Sa1'!OY814*'Form Sa1'!OY816/10)-'NF - 5 Power Mix'!OV21-'NF - 5 Power Mix'!OV22</f>
        <v>0</v>
      </c>
      <c r="OW42" s="1046">
        <f>OW38+((OW40+'NF - 5 Power Mix'!OW14+'NF - 5 Power Mix'!OW15)*860/10)+((('Form Sa1'!OZ835)*860)/10)+('Form Sa1'!OZ814*'Form Sa1'!OZ816/10)-'NF - 5 Power Mix'!OW21-'NF - 5 Power Mix'!OW22</f>
        <v>0</v>
      </c>
      <c r="OX42" s="1046">
        <f>OX38+((OX40+'NF - 5 Power Mix'!OX14+'NF - 5 Power Mix'!OX15)*860/10)+((('Form Sa1'!PA835)*860)/10)+('Form Sa1'!PA814*'Form Sa1'!PA816/10)-'NF - 5 Power Mix'!OX21-'NF - 5 Power Mix'!OX22</f>
        <v>0</v>
      </c>
      <c r="OY42" s="1046">
        <f>OY38+((OY40+'NF - 5 Power Mix'!OY14+'NF - 5 Power Mix'!OY15)*860/10)+((('Form Sa1'!PB835)*860)/10)+('Form Sa1'!PB814*'Form Sa1'!PB816/10)-'NF - 5 Power Mix'!OY21-'NF - 5 Power Mix'!OY22</f>
        <v>0</v>
      </c>
      <c r="OZ42" s="1046">
        <f>OZ38+((OZ40+'NF - 5 Power Mix'!OZ14+'NF - 5 Power Mix'!OZ15)*860/10)+((('Form Sa1'!PC835)*860)/10)+('Form Sa1'!PC814*'Form Sa1'!PC816/10)-'NF - 5 Power Mix'!OZ21-'NF - 5 Power Mix'!OZ22</f>
        <v>0</v>
      </c>
      <c r="PA42" s="1046">
        <f>PA38+((PA40+'NF - 5 Power Mix'!PA14+'NF - 5 Power Mix'!PA15)*860/10)+((('Form Sa1'!PD835)*860)/10)+('Form Sa1'!PD814*'Form Sa1'!PD816/10)-'NF - 5 Power Mix'!PA21-'NF - 5 Power Mix'!PA22</f>
        <v>0</v>
      </c>
      <c r="PB42" s="1046">
        <f>PB38+((PB40+'NF - 5 Power Mix'!PB14+'NF - 5 Power Mix'!PB15)*860/10)+((('Form Sa1'!PE835)*860)/10)+('Form Sa1'!PE814*'Form Sa1'!PE816/10)-'NF - 5 Power Mix'!PB21-'NF - 5 Power Mix'!PB22</f>
        <v>0</v>
      </c>
      <c r="PC42" s="1046">
        <f>PC38+((PC40+'NF - 5 Power Mix'!PC14+'NF - 5 Power Mix'!PC15)*860/10)+((('Form Sa1'!PF835)*860)/10)+('Form Sa1'!PF814*'Form Sa1'!PF816/10)-'NF - 5 Power Mix'!PC21-'NF - 5 Power Mix'!PC22</f>
        <v>0</v>
      </c>
      <c r="PD42" s="1046">
        <f>PD38+((PD40+'NF - 5 Power Mix'!PD14+'NF - 5 Power Mix'!PD15)*860/10)+((('Form Sa1'!PG835)*860)/10)+('Form Sa1'!PG814*'Form Sa1'!PG816/10)-'NF - 5 Power Mix'!PD21-'NF - 5 Power Mix'!PD22</f>
        <v>0</v>
      </c>
      <c r="PE42" s="1046">
        <f>PE38+((PE40+'NF - 5 Power Mix'!PE14+'NF - 5 Power Mix'!PE15)*860/10)+((('Form Sa1'!PH835)*860)/10)+('Form Sa1'!PH814*'Form Sa1'!PH816/10)-'NF - 5 Power Mix'!PE21-'NF - 5 Power Mix'!PE22</f>
        <v>0</v>
      </c>
      <c r="PF42" s="1046">
        <f>PF38+((PF40+'NF - 5 Power Mix'!PF14+'NF - 5 Power Mix'!PF15)*860/10)+((('Form Sa1'!PI835)*860)/10)+('Form Sa1'!PI814*'Form Sa1'!PI816/10)-'NF - 5 Power Mix'!PF21-'NF - 5 Power Mix'!PF22</f>
        <v>0</v>
      </c>
      <c r="PG42" s="1046">
        <f>PG38+((PG40+'NF - 5 Power Mix'!PG14+'NF - 5 Power Mix'!PG15)*860/10)+((('Form Sa1'!PJ835)*860)/10)+('Form Sa1'!PJ814*'Form Sa1'!PJ816/10)-'NF - 5 Power Mix'!PG21-'NF - 5 Power Mix'!PG22</f>
        <v>0</v>
      </c>
      <c r="PH42" s="1046">
        <f>PH38+((PH40+'NF - 5 Power Mix'!PH14+'NF - 5 Power Mix'!PH15)*860/10)+((('Form Sa1'!PK835)*860)/10)+('Form Sa1'!PK814*'Form Sa1'!PK816/10)-'NF - 5 Power Mix'!PH21-'NF - 5 Power Mix'!PH22</f>
        <v>0</v>
      </c>
      <c r="PI42" s="1046">
        <f>PI38+((PI40+'NF - 5 Power Mix'!PI14+'NF - 5 Power Mix'!PI15)*860/10)+((('Form Sa1'!PL835)*860)/10)+('Form Sa1'!PL814*'Form Sa1'!PL816/10)-'NF - 5 Power Mix'!PI21-'NF - 5 Power Mix'!PI22</f>
        <v>0</v>
      </c>
      <c r="PJ42" s="1046">
        <f>PJ38+((PJ40+'NF - 5 Power Mix'!PJ14+'NF - 5 Power Mix'!PJ15)*860/10)+((('Form Sa1'!PM835)*860)/10)+('Form Sa1'!PM814*'Form Sa1'!PM816/10)-'NF - 5 Power Mix'!PJ21-'NF - 5 Power Mix'!PJ22</f>
        <v>0</v>
      </c>
      <c r="PK42" s="1046">
        <f>PK38+((PK40+'NF - 5 Power Mix'!PK14+'NF - 5 Power Mix'!PK15)*860/10)+((('Form Sa1'!PN835)*860)/10)+('Form Sa1'!PN814*'Form Sa1'!PN816/10)-'NF - 5 Power Mix'!PK21-'NF - 5 Power Mix'!PK22</f>
        <v>0</v>
      </c>
      <c r="PL42" s="1046">
        <f>PL38+((PL40+'NF - 5 Power Mix'!PL14+'NF - 5 Power Mix'!PL15)*860/10)+((('Form Sa1'!PO835)*860)/10)+('Form Sa1'!PO814*'Form Sa1'!PO816/10)-'NF - 5 Power Mix'!PL21-'NF - 5 Power Mix'!PL22</f>
        <v>0</v>
      </c>
      <c r="PM42" s="1046">
        <f>PM38+((PM40+'NF - 5 Power Mix'!PM14+'NF - 5 Power Mix'!PM15)*860/10)+((('Form Sa1'!PP835)*860)/10)+('Form Sa1'!PP814*'Form Sa1'!PP816/10)-'NF - 5 Power Mix'!PM21-'NF - 5 Power Mix'!PM22</f>
        <v>0</v>
      </c>
      <c r="PN42" s="1046">
        <f>PN38+((PN40+'NF - 5 Power Mix'!PN14+'NF - 5 Power Mix'!PN15)*860/10)+((('Form Sa1'!PQ835)*860)/10)+('Form Sa1'!PQ814*'Form Sa1'!PQ816/10)-'NF - 5 Power Mix'!PN21-'NF - 5 Power Mix'!PN22</f>
        <v>0</v>
      </c>
      <c r="PO42" s="1046">
        <f>PO38+((PO40+'NF - 5 Power Mix'!PO14+'NF - 5 Power Mix'!PO15)*860/10)+((('Form Sa1'!PR835)*860)/10)+('Form Sa1'!PR814*'Form Sa1'!PR816/10)-'NF - 5 Power Mix'!PO21-'NF - 5 Power Mix'!PO22</f>
        <v>0</v>
      </c>
      <c r="PP42" s="1046">
        <f>PP38+((PP40+'NF - 5 Power Mix'!PP14+'NF - 5 Power Mix'!PP15)*860/10)+((('Form Sa1'!PS835)*860)/10)+('Form Sa1'!PS814*'Form Sa1'!PS816/10)-'NF - 5 Power Mix'!PP21-'NF - 5 Power Mix'!PP22</f>
        <v>0</v>
      </c>
      <c r="PQ42" s="1046">
        <f>PQ38+((PQ40+'NF - 5 Power Mix'!PQ14+'NF - 5 Power Mix'!PQ15)*860/10)+((('Form Sa1'!PT835)*860)/10)+('Form Sa1'!PT814*'Form Sa1'!PT816/10)-'NF - 5 Power Mix'!PQ21-'NF - 5 Power Mix'!PQ22</f>
        <v>0</v>
      </c>
      <c r="PR42" s="1046">
        <f>PR38+((PR40+'NF - 5 Power Mix'!PR14+'NF - 5 Power Mix'!PR15)*860/10)+((('Form Sa1'!PU835)*860)/10)+('Form Sa1'!PU814*'Form Sa1'!PU816/10)-'NF - 5 Power Mix'!PR21-'NF - 5 Power Mix'!PR22</f>
        <v>0</v>
      </c>
      <c r="PS42" s="1046">
        <f>PS38+((PS40+'NF - 5 Power Mix'!PS14+'NF - 5 Power Mix'!PS15)*860/10)+((('Form Sa1'!PV835)*860)/10)+('Form Sa1'!PV814*'Form Sa1'!PV816/10)-'NF - 5 Power Mix'!PS21-'NF - 5 Power Mix'!PS22</f>
        <v>0</v>
      </c>
      <c r="PT42" s="1046">
        <f>PT38+((PT40+'NF - 5 Power Mix'!PT14+'NF - 5 Power Mix'!PT15)*860/10)+((('Form Sa1'!PW835)*860)/10)+('Form Sa1'!PW814*'Form Sa1'!PW816/10)-'NF - 5 Power Mix'!PT21-'NF - 5 Power Mix'!PT22</f>
        <v>0</v>
      </c>
      <c r="PU42" s="1046">
        <f>PU38+((PU40+'NF - 5 Power Mix'!PU14+'NF - 5 Power Mix'!PU15)*860/10)+((('Form Sa1'!PX835)*860)/10)+('Form Sa1'!PX814*'Form Sa1'!PX816/10)-'NF - 5 Power Mix'!PU21-'NF - 5 Power Mix'!PU22</f>
        <v>0</v>
      </c>
      <c r="PV42" s="1046">
        <f>PV38+((PV40+'NF - 5 Power Mix'!PV14+'NF - 5 Power Mix'!PV15)*860/10)+((('Form Sa1'!PY835)*860)/10)+('Form Sa1'!PY814*'Form Sa1'!PY816/10)-'NF - 5 Power Mix'!PV21-'NF - 5 Power Mix'!PV22</f>
        <v>0</v>
      </c>
      <c r="PW42" s="1046">
        <f>PW38+((PW40+'NF - 5 Power Mix'!PW14+'NF - 5 Power Mix'!PW15)*860/10)+((('Form Sa1'!PZ835)*860)/10)+('Form Sa1'!PZ814*'Form Sa1'!PZ816/10)-'NF - 5 Power Mix'!PW21-'NF - 5 Power Mix'!PW22</f>
        <v>0</v>
      </c>
      <c r="PX42" s="1046">
        <f>PX38+((PX40+'NF - 5 Power Mix'!PX14+'NF - 5 Power Mix'!PX15)*860/10)+((('Form Sa1'!QA835)*860)/10)+('Form Sa1'!QA814*'Form Sa1'!QA816/10)-'NF - 5 Power Mix'!PX21-'NF - 5 Power Mix'!PX22</f>
        <v>0</v>
      </c>
      <c r="PY42" s="1046">
        <f>PY38+((PY40+'NF - 5 Power Mix'!PY14+'NF - 5 Power Mix'!PY15)*860/10)+((('Form Sa1'!QB835)*860)/10)+('Form Sa1'!QB814*'Form Sa1'!QB816/10)-'NF - 5 Power Mix'!PY21-'NF - 5 Power Mix'!PY22</f>
        <v>0</v>
      </c>
      <c r="PZ42" s="1046">
        <f>PZ38+((PZ40+'NF - 5 Power Mix'!PZ14+'NF - 5 Power Mix'!PZ15)*860/10)+((('Form Sa1'!QC835)*860)/10)+('Form Sa1'!QC814*'Form Sa1'!QC816/10)-'NF - 5 Power Mix'!PZ21-'NF - 5 Power Mix'!PZ22</f>
        <v>0</v>
      </c>
      <c r="QA42" s="1046">
        <f>QA38+((QA40+'NF - 5 Power Mix'!QA14+'NF - 5 Power Mix'!QA15)*860/10)+((('Form Sa1'!QD835)*860)/10)+('Form Sa1'!QD814*'Form Sa1'!QD816/10)-'NF - 5 Power Mix'!QA21-'NF - 5 Power Mix'!QA22</f>
        <v>0</v>
      </c>
      <c r="QB42" s="1046">
        <f>QB38+((QB40+'NF - 5 Power Mix'!QB14+'NF - 5 Power Mix'!QB15)*860/10)+((('Form Sa1'!QE835)*860)/10)+('Form Sa1'!QE814*'Form Sa1'!QE816/10)-'NF - 5 Power Mix'!QB21-'NF - 5 Power Mix'!QB22</f>
        <v>0</v>
      </c>
      <c r="QC42" s="1046">
        <f>QC38+((QC40+'NF - 5 Power Mix'!QC14+'NF - 5 Power Mix'!QC15)*860/10)+((('Form Sa1'!QF835)*860)/10)+('Form Sa1'!QF814*'Form Sa1'!QF816/10)-'NF - 5 Power Mix'!QC21-'NF - 5 Power Mix'!QC22</f>
        <v>0</v>
      </c>
      <c r="QD42" s="1046">
        <f>QD38+((QD40+'NF - 5 Power Mix'!QD14+'NF - 5 Power Mix'!QD15)*860/10)+((('Form Sa1'!QG835)*860)/10)+('Form Sa1'!QG814*'Form Sa1'!QG816/10)-'NF - 5 Power Mix'!QD21-'NF - 5 Power Mix'!QD22</f>
        <v>0</v>
      </c>
      <c r="QE42" s="1046">
        <f>QE38+((QE40+'NF - 5 Power Mix'!QE14+'NF - 5 Power Mix'!QE15)*860/10)+((('Form Sa1'!QH835)*860)/10)+('Form Sa1'!QH814*'Form Sa1'!QH816/10)-'NF - 5 Power Mix'!QE21-'NF - 5 Power Mix'!QE22</f>
        <v>0</v>
      </c>
      <c r="QF42" s="1046">
        <f>QF38+((QF40+'NF - 5 Power Mix'!QF14+'NF - 5 Power Mix'!QF15)*860/10)+((('Form Sa1'!QI835)*860)/10)+('Form Sa1'!QI814*'Form Sa1'!QI816/10)-'NF - 5 Power Mix'!QF21-'NF - 5 Power Mix'!QF22</f>
        <v>0</v>
      </c>
      <c r="QG42" s="1046">
        <f>QG38+((QG40+'NF - 5 Power Mix'!QG14+'NF - 5 Power Mix'!QG15)*860/10)+((('Form Sa1'!QJ835)*860)/10)+('Form Sa1'!QJ814*'Form Sa1'!QJ816/10)-'NF - 5 Power Mix'!QG21-'NF - 5 Power Mix'!QG22</f>
        <v>0</v>
      </c>
      <c r="QH42" s="1046">
        <f>QH38+((QH40+'NF - 5 Power Mix'!QH14+'NF - 5 Power Mix'!QH15)*860/10)+((('Form Sa1'!QK835)*860)/10)+('Form Sa1'!QK814*'Form Sa1'!QK816/10)-'NF - 5 Power Mix'!QH21-'NF - 5 Power Mix'!QH22</f>
        <v>0</v>
      </c>
      <c r="QI42" s="1046">
        <f>QI38+((QI40+'NF - 5 Power Mix'!QI14+'NF - 5 Power Mix'!QI15)*860/10)+((('Form Sa1'!QL835)*860)/10)+('Form Sa1'!QL814*'Form Sa1'!QL816/10)-'NF - 5 Power Mix'!QI21-'NF - 5 Power Mix'!QI22</f>
        <v>0</v>
      </c>
      <c r="QJ42" s="1046">
        <f>QJ38+((QJ40+'NF - 5 Power Mix'!QJ14+'NF - 5 Power Mix'!QJ15)*860/10)+((('Form Sa1'!QM835)*860)/10)+('Form Sa1'!QM814*'Form Sa1'!QM816/10)-'NF - 5 Power Mix'!QJ21-'NF - 5 Power Mix'!QJ22</f>
        <v>0</v>
      </c>
      <c r="QK42" s="1046">
        <f>QK38+((QK40+'NF - 5 Power Mix'!QK14+'NF - 5 Power Mix'!QK15)*860/10)+((('Form Sa1'!QN835)*860)/10)+('Form Sa1'!QN814*'Form Sa1'!QN816/10)-'NF - 5 Power Mix'!QK21-'NF - 5 Power Mix'!QK22</f>
        <v>0</v>
      </c>
      <c r="QL42" s="1046">
        <f>QL38+((QL40+'NF - 5 Power Mix'!QL14+'NF - 5 Power Mix'!QL15)*860/10)+((('Form Sa1'!QO835)*860)/10)+('Form Sa1'!QO814*'Form Sa1'!QO816/10)-'NF - 5 Power Mix'!QL21-'NF - 5 Power Mix'!QL22</f>
        <v>0</v>
      </c>
      <c r="QM42" s="1046">
        <f>QM38+((QM40+'NF - 5 Power Mix'!QM14+'NF - 5 Power Mix'!QM15)*860/10)+((('Form Sa1'!QP835)*860)/10)+('Form Sa1'!QP814*'Form Sa1'!QP816/10)-'NF - 5 Power Mix'!QM21-'NF - 5 Power Mix'!QM22</f>
        <v>0</v>
      </c>
      <c r="QN42" s="1046">
        <f>QN38+((QN40+'NF - 5 Power Mix'!QN14+'NF - 5 Power Mix'!QN15)*860/10)+((('Form Sa1'!QQ835)*860)/10)+('Form Sa1'!QQ814*'Form Sa1'!QQ816/10)-'NF - 5 Power Mix'!QN21-'NF - 5 Power Mix'!QN22</f>
        <v>0</v>
      </c>
      <c r="QO42" s="1046">
        <f>QO38+((QO40+'NF - 5 Power Mix'!QO14+'NF - 5 Power Mix'!QO15)*860/10)+((('Form Sa1'!QR835)*860)/10)+('Form Sa1'!QR814*'Form Sa1'!QR816/10)-'NF - 5 Power Mix'!QO21-'NF - 5 Power Mix'!QO22</f>
        <v>0</v>
      </c>
      <c r="QP42" s="1046">
        <f>QP38+((QP40+'NF - 5 Power Mix'!QP14+'NF - 5 Power Mix'!QP15)*860/10)+((('Form Sa1'!QS835)*860)/10)+('Form Sa1'!QS814*'Form Sa1'!QS816/10)-'NF - 5 Power Mix'!QP21-'NF - 5 Power Mix'!QP22</f>
        <v>0</v>
      </c>
      <c r="QQ42" s="1046">
        <f>QQ38+((QQ40+'NF - 5 Power Mix'!QQ14+'NF - 5 Power Mix'!QQ15)*860/10)+((('Form Sa1'!QT835)*860)/10)+('Form Sa1'!QT814*'Form Sa1'!QT816/10)-'NF - 5 Power Mix'!QQ21-'NF - 5 Power Mix'!QQ22</f>
        <v>0</v>
      </c>
      <c r="QR42" s="1046">
        <f>QR38+((QR40+'NF - 5 Power Mix'!QR14+'NF - 5 Power Mix'!QR15)*860/10)+((('Form Sa1'!QU835)*860)/10)+('Form Sa1'!QU814*'Form Sa1'!QU816/10)-'NF - 5 Power Mix'!QR21-'NF - 5 Power Mix'!QR22</f>
        <v>0</v>
      </c>
      <c r="QS42" s="1046">
        <f>QS38+((QS40+'NF - 5 Power Mix'!QS14+'NF - 5 Power Mix'!QS15)*860/10)+((('Form Sa1'!QV835)*860)/10)+('Form Sa1'!QV814*'Form Sa1'!QV816/10)-'NF - 5 Power Mix'!QS21-'NF - 5 Power Mix'!QS22</f>
        <v>0</v>
      </c>
      <c r="QT42" s="1046">
        <f>QT38+((QT40+'NF - 5 Power Mix'!QT14+'NF - 5 Power Mix'!QT15)*860/10)+((('Form Sa1'!QW835)*860)/10)+('Form Sa1'!QW814*'Form Sa1'!QW816/10)-'NF - 5 Power Mix'!QT21-'NF - 5 Power Mix'!QT22</f>
        <v>0</v>
      </c>
      <c r="QU42" s="1046">
        <f>QU38+((QU40+'NF - 5 Power Mix'!QU14+'NF - 5 Power Mix'!QU15)*860/10)+((('Form Sa1'!QX835)*860)/10)+('Form Sa1'!QX814*'Form Sa1'!QX816/10)-'NF - 5 Power Mix'!QU21-'NF - 5 Power Mix'!QU22</f>
        <v>0</v>
      </c>
      <c r="QV42" s="1046">
        <f>QV38+((QV40+'NF - 5 Power Mix'!QV14+'NF - 5 Power Mix'!QV15)*860/10)+((('Form Sa1'!QY835)*860)/10)+('Form Sa1'!QY814*'Form Sa1'!QY816/10)-'NF - 5 Power Mix'!QV21-'NF - 5 Power Mix'!QV22</f>
        <v>0</v>
      </c>
      <c r="QW42" s="1046">
        <f>QW38+((QW40+'NF - 5 Power Mix'!QW14+'NF - 5 Power Mix'!QW15)*860/10)+((('Form Sa1'!QZ835)*860)/10)+('Form Sa1'!QZ814*'Form Sa1'!QZ816/10)-'NF - 5 Power Mix'!QW21-'NF - 5 Power Mix'!QW22</f>
        <v>0</v>
      </c>
      <c r="QX42" s="1046">
        <f>QX38+((QX40+'NF - 5 Power Mix'!QX14+'NF - 5 Power Mix'!QX15)*860/10)+((('Form Sa1'!RA835)*860)/10)+('Form Sa1'!RA814*'Form Sa1'!RA816/10)-'NF - 5 Power Mix'!QX21-'NF - 5 Power Mix'!QX22</f>
        <v>0</v>
      </c>
      <c r="QY42" s="1046">
        <f>QY38+((QY40+'NF - 5 Power Mix'!QY14+'NF - 5 Power Mix'!QY15)*860/10)+((('Form Sa1'!RB835)*860)/10)+('Form Sa1'!RB814*'Form Sa1'!RB816/10)-'NF - 5 Power Mix'!QY21-'NF - 5 Power Mix'!QY22</f>
        <v>0</v>
      </c>
      <c r="QZ42" s="1046">
        <f>QZ38+((QZ40+'NF - 5 Power Mix'!QZ14+'NF - 5 Power Mix'!QZ15)*860/10)+((('Form Sa1'!RC835)*860)/10)+('Form Sa1'!RC814*'Form Sa1'!RC816/10)-'NF - 5 Power Mix'!QZ21-'NF - 5 Power Mix'!QZ22</f>
        <v>0</v>
      </c>
      <c r="RA42" s="1046">
        <f>RA38+((RA40+'NF - 5 Power Mix'!RA14+'NF - 5 Power Mix'!RA15)*860/10)+((('Form Sa1'!RD835)*860)/10)+('Form Sa1'!RD814*'Form Sa1'!RD816/10)-'NF - 5 Power Mix'!RA21-'NF - 5 Power Mix'!RA22</f>
        <v>0</v>
      </c>
      <c r="RB42" s="1046">
        <f>RB38+((RB40+'NF - 5 Power Mix'!RB14+'NF - 5 Power Mix'!RB15)*860/10)+((('Form Sa1'!RE835)*860)/10)+('Form Sa1'!RE814*'Form Sa1'!RE816/10)-'NF - 5 Power Mix'!RB21-'NF - 5 Power Mix'!RB22</f>
        <v>0</v>
      </c>
      <c r="RC42" s="1046">
        <f>RC38+((RC40+'NF - 5 Power Mix'!RC14+'NF - 5 Power Mix'!RC15)*860/10)+((('Form Sa1'!RF835)*860)/10)+('Form Sa1'!RF814*'Form Sa1'!RF816/10)-'NF - 5 Power Mix'!RC21-'NF - 5 Power Mix'!RC22</f>
        <v>0</v>
      </c>
      <c r="RD42" s="1046">
        <f>RD38+((RD40+'NF - 5 Power Mix'!RD14+'NF - 5 Power Mix'!RD15)*860/10)+((('Form Sa1'!RG835)*860)/10)+('Form Sa1'!RG814*'Form Sa1'!RG816/10)-'NF - 5 Power Mix'!RD21-'NF - 5 Power Mix'!RD22</f>
        <v>0</v>
      </c>
      <c r="RE42" s="1046">
        <f>RE38+((RE40+'NF - 5 Power Mix'!RE14+'NF - 5 Power Mix'!RE15)*860/10)+((('Form Sa1'!RH835)*860)/10)+('Form Sa1'!RH814*'Form Sa1'!RH816/10)-'NF - 5 Power Mix'!RE21-'NF - 5 Power Mix'!RE22</f>
        <v>0</v>
      </c>
      <c r="RF42" s="1046">
        <f>RF38+((RF40+'NF - 5 Power Mix'!RF14+'NF - 5 Power Mix'!RF15)*860/10)+((('Form Sa1'!RI835)*860)/10)+('Form Sa1'!RI814*'Form Sa1'!RI816/10)-'NF - 5 Power Mix'!RF21-'NF - 5 Power Mix'!RF22</f>
        <v>0</v>
      </c>
      <c r="RG42" s="1046">
        <f>RG38+((RG40+'NF - 5 Power Mix'!RG14+'NF - 5 Power Mix'!RG15)*860/10)+((('Form Sa1'!RJ835)*860)/10)+('Form Sa1'!RJ814*'Form Sa1'!RJ816/10)-'NF - 5 Power Mix'!RG21-'NF - 5 Power Mix'!RG22</f>
        <v>0</v>
      </c>
      <c r="RH42" s="1046">
        <f>RH38+((RH40+'NF - 5 Power Mix'!RH14+'NF - 5 Power Mix'!RH15)*860/10)+((('Form Sa1'!RK835)*860)/10)+('Form Sa1'!RK814*'Form Sa1'!RK816/10)-'NF - 5 Power Mix'!RH21-'NF - 5 Power Mix'!RH22</f>
        <v>0</v>
      </c>
      <c r="RI42" s="1046">
        <f>RI38+((RI40+'NF - 5 Power Mix'!RI14+'NF - 5 Power Mix'!RI15)*860/10)+((('Form Sa1'!RL835)*860)/10)+('Form Sa1'!RL814*'Form Sa1'!RL816/10)-'NF - 5 Power Mix'!RI21-'NF - 5 Power Mix'!RI22</f>
        <v>0</v>
      </c>
      <c r="RJ42" s="1046">
        <f>RJ38+((RJ40+'NF - 5 Power Mix'!RJ14+'NF - 5 Power Mix'!RJ15)*860/10)+((('Form Sa1'!RM835)*860)/10)+('Form Sa1'!RM814*'Form Sa1'!RM816/10)-'NF - 5 Power Mix'!RJ21-'NF - 5 Power Mix'!RJ22</f>
        <v>0</v>
      </c>
      <c r="RK42" s="1046">
        <f>RK38+((RK40+'NF - 5 Power Mix'!RK14+'NF - 5 Power Mix'!RK15)*860/10)+((('Form Sa1'!RN835)*860)/10)+('Form Sa1'!RN814*'Form Sa1'!RN816/10)-'NF - 5 Power Mix'!RK21-'NF - 5 Power Mix'!RK22</f>
        <v>0</v>
      </c>
      <c r="RL42" s="1046">
        <f>RL38+((RL40+'NF - 5 Power Mix'!RL14+'NF - 5 Power Mix'!RL15)*860/10)+((('Form Sa1'!RO835)*860)/10)+('Form Sa1'!RO814*'Form Sa1'!RO816/10)-'NF - 5 Power Mix'!RL21-'NF - 5 Power Mix'!RL22</f>
        <v>0</v>
      </c>
      <c r="RM42" s="1046">
        <f>RM38+((RM40+'NF - 5 Power Mix'!RM14+'NF - 5 Power Mix'!RM15)*860/10)+((('Form Sa1'!RP835)*860)/10)+('Form Sa1'!RP814*'Form Sa1'!RP816/10)-'NF - 5 Power Mix'!RM21-'NF - 5 Power Mix'!RM22</f>
        <v>0</v>
      </c>
      <c r="RN42" s="1046">
        <f>RN38+((RN40+'NF - 5 Power Mix'!RN14+'NF - 5 Power Mix'!RN15)*860/10)+((('Form Sa1'!RQ835)*860)/10)+('Form Sa1'!RQ814*'Form Sa1'!RQ816/10)-'NF - 5 Power Mix'!RN21-'NF - 5 Power Mix'!RN22</f>
        <v>0</v>
      </c>
      <c r="RO42" s="1046">
        <f>RO38+((RO40+'NF - 5 Power Mix'!RO14+'NF - 5 Power Mix'!RO15)*860/10)+((('Form Sa1'!RR835)*860)/10)+('Form Sa1'!RR814*'Form Sa1'!RR816/10)-'NF - 5 Power Mix'!RO21-'NF - 5 Power Mix'!RO22</f>
        <v>0</v>
      </c>
      <c r="RP42" s="1046">
        <f>RP38+((RP40+'NF - 5 Power Mix'!RP14+'NF - 5 Power Mix'!RP15)*860/10)+((('Form Sa1'!RS835)*860)/10)+('Form Sa1'!RS814*'Form Sa1'!RS816/10)-'NF - 5 Power Mix'!RP21-'NF - 5 Power Mix'!RP22</f>
        <v>0</v>
      </c>
      <c r="RQ42" s="1046">
        <f>RQ38+((RQ40+'NF - 5 Power Mix'!RQ14+'NF - 5 Power Mix'!RQ15)*860/10)+((('Form Sa1'!RT835)*860)/10)+('Form Sa1'!RT814*'Form Sa1'!RT816/10)-'NF - 5 Power Mix'!RQ21-'NF - 5 Power Mix'!RQ22</f>
        <v>0</v>
      </c>
      <c r="RR42" s="1046">
        <f>RR38+((RR40+'NF - 5 Power Mix'!RR14+'NF - 5 Power Mix'!RR15)*860/10)+((('Form Sa1'!RU835)*860)/10)+('Form Sa1'!RU814*'Form Sa1'!RU816/10)-'NF - 5 Power Mix'!RR21-'NF - 5 Power Mix'!RR22</f>
        <v>0</v>
      </c>
      <c r="RS42" s="1046">
        <f>RS38+((RS40+'NF - 5 Power Mix'!RS14+'NF - 5 Power Mix'!RS15)*860/10)+((('Form Sa1'!RV835)*860)/10)+('Form Sa1'!RV814*'Form Sa1'!RV816/10)-'NF - 5 Power Mix'!RS21-'NF - 5 Power Mix'!RS22</f>
        <v>0</v>
      </c>
      <c r="RT42" s="1046">
        <f>RT38+((RT40+'NF - 5 Power Mix'!RT14+'NF - 5 Power Mix'!RT15)*860/10)+((('Form Sa1'!RW835)*860)/10)+('Form Sa1'!RW814*'Form Sa1'!RW816/10)-'NF - 5 Power Mix'!RT21-'NF - 5 Power Mix'!RT22</f>
        <v>0</v>
      </c>
      <c r="RU42" s="1046">
        <f>RU38+((RU40+'NF - 5 Power Mix'!RU14+'NF - 5 Power Mix'!RU15)*860/10)+((('Form Sa1'!RX835)*860)/10)+('Form Sa1'!RX814*'Form Sa1'!RX816/10)-'NF - 5 Power Mix'!RU21-'NF - 5 Power Mix'!RU22</f>
        <v>0</v>
      </c>
      <c r="RV42" s="1046">
        <f>RV38+((RV40+'NF - 5 Power Mix'!RV14+'NF - 5 Power Mix'!RV15)*860/10)+((('Form Sa1'!RY835)*860)/10)+('Form Sa1'!RY814*'Form Sa1'!RY816/10)-'NF - 5 Power Mix'!RV21-'NF - 5 Power Mix'!RV22</f>
        <v>0</v>
      </c>
      <c r="RW42" s="1046">
        <f>RW38+((RW40+'NF - 5 Power Mix'!RW14+'NF - 5 Power Mix'!RW15)*860/10)+((('Form Sa1'!RZ835)*860)/10)+('Form Sa1'!RZ814*'Form Sa1'!RZ816/10)-'NF - 5 Power Mix'!RW21-'NF - 5 Power Mix'!RW22</f>
        <v>0</v>
      </c>
      <c r="RX42" s="1046">
        <f>RX38+((RX40+'NF - 5 Power Mix'!RX14+'NF - 5 Power Mix'!RX15)*860/10)+((('Form Sa1'!SA835)*860)/10)+('Form Sa1'!SA814*'Form Sa1'!SA816/10)-'NF - 5 Power Mix'!RX21-'NF - 5 Power Mix'!RX22</f>
        <v>0</v>
      </c>
      <c r="RY42" s="1046">
        <f>RY38+((RY40+'NF - 5 Power Mix'!RY14+'NF - 5 Power Mix'!RY15)*860/10)+((('Form Sa1'!SB835)*860)/10)+('Form Sa1'!SB814*'Form Sa1'!SB816/10)-'NF - 5 Power Mix'!RY21-'NF - 5 Power Mix'!RY22</f>
        <v>0</v>
      </c>
      <c r="RZ42" s="1046">
        <f>RZ38+((RZ40+'NF - 5 Power Mix'!RZ14+'NF - 5 Power Mix'!RZ15)*860/10)+((('Form Sa1'!SC835)*860)/10)+('Form Sa1'!SC814*'Form Sa1'!SC816/10)-'NF - 5 Power Mix'!RZ21-'NF - 5 Power Mix'!RZ22</f>
        <v>0</v>
      </c>
      <c r="SA42" s="1046">
        <f>SA38+((SA40+'NF - 5 Power Mix'!SA14+'NF - 5 Power Mix'!SA15)*860/10)+((('Form Sa1'!SD835)*860)/10)+('Form Sa1'!SD814*'Form Sa1'!SD816/10)-'NF - 5 Power Mix'!SA21-'NF - 5 Power Mix'!SA22</f>
        <v>0</v>
      </c>
      <c r="SB42" s="1046">
        <f>SB38+((SB40+'NF - 5 Power Mix'!SB14+'NF - 5 Power Mix'!SB15)*860/10)+((('Form Sa1'!SE835)*860)/10)+('Form Sa1'!SE814*'Form Sa1'!SE816/10)-'NF - 5 Power Mix'!SB21-'NF - 5 Power Mix'!SB22</f>
        <v>0</v>
      </c>
      <c r="SC42" s="1046">
        <f>SC38+((SC40+'NF - 5 Power Mix'!SC14+'NF - 5 Power Mix'!SC15)*860/10)+((('Form Sa1'!SF835)*860)/10)+('Form Sa1'!SF814*'Form Sa1'!SF816/10)-'NF - 5 Power Mix'!SC21-'NF - 5 Power Mix'!SC22</f>
        <v>0</v>
      </c>
      <c r="SD42" s="1046">
        <f>SD38+((SD40+'NF - 5 Power Mix'!SD14+'NF - 5 Power Mix'!SD15)*860/10)+((('Form Sa1'!SG835)*860)/10)+('Form Sa1'!SG814*'Form Sa1'!SG816/10)-'NF - 5 Power Mix'!SD21-'NF - 5 Power Mix'!SD22</f>
        <v>0</v>
      </c>
      <c r="SE42" s="1046">
        <f>SE38+((SE40+'NF - 5 Power Mix'!SE14+'NF - 5 Power Mix'!SE15)*860/10)+((('Form Sa1'!SH835)*860)/10)+('Form Sa1'!SH814*'Form Sa1'!SH816/10)-'NF - 5 Power Mix'!SE21-'NF - 5 Power Mix'!SE22</f>
        <v>0</v>
      </c>
      <c r="SF42" s="1046">
        <f>SF38+((SF40+'NF - 5 Power Mix'!SF14+'NF - 5 Power Mix'!SF15)*860/10)+((('Form Sa1'!SI835)*860)/10)+('Form Sa1'!SI814*'Form Sa1'!SI816/10)-'NF - 5 Power Mix'!SF21-'NF - 5 Power Mix'!SF22</f>
        <v>0</v>
      </c>
      <c r="SG42" s="1046">
        <f>SG38+((SG40+'NF - 5 Power Mix'!SG14+'NF - 5 Power Mix'!SG15)*860/10)+((('Form Sa1'!SJ835)*860)/10)+('Form Sa1'!SJ814*'Form Sa1'!SJ816/10)-'NF - 5 Power Mix'!SG21-'NF - 5 Power Mix'!SG22</f>
        <v>0</v>
      </c>
      <c r="SH42" s="1046">
        <f>SH38+((SH40+'NF - 5 Power Mix'!SH14+'NF - 5 Power Mix'!SH15)*860/10)+((('Form Sa1'!SK835)*860)/10)+('Form Sa1'!SK814*'Form Sa1'!SK816/10)-'NF - 5 Power Mix'!SH21-'NF - 5 Power Mix'!SH22</f>
        <v>0</v>
      </c>
      <c r="SI42" s="1046">
        <f>SI38+((SI40+'NF - 5 Power Mix'!SI14+'NF - 5 Power Mix'!SI15)*860/10)+((('Form Sa1'!SL835)*860)/10)+('Form Sa1'!SL814*'Form Sa1'!SL816/10)-'NF - 5 Power Mix'!SI21-'NF - 5 Power Mix'!SI22</f>
        <v>0</v>
      </c>
      <c r="SJ42" s="1046">
        <f>SJ38+((SJ40+'NF - 5 Power Mix'!SJ14+'NF - 5 Power Mix'!SJ15)*860/10)+((('Form Sa1'!SM835)*860)/10)+('Form Sa1'!SM814*'Form Sa1'!SM816/10)-'NF - 5 Power Mix'!SJ21-'NF - 5 Power Mix'!SJ22</f>
        <v>0</v>
      </c>
      <c r="SK42" s="1046">
        <f>SK38+((SK40+'NF - 5 Power Mix'!SK14+'NF - 5 Power Mix'!SK15)*860/10)+((('Form Sa1'!SN835)*860)/10)+('Form Sa1'!SN814*'Form Sa1'!SN816/10)-'NF - 5 Power Mix'!SK21-'NF - 5 Power Mix'!SK22</f>
        <v>0</v>
      </c>
      <c r="SL42" s="1046">
        <f>SL38+((SL40+'NF - 5 Power Mix'!SL14+'NF - 5 Power Mix'!SL15)*860/10)+((('Form Sa1'!SO835)*860)/10)+('Form Sa1'!SO814*'Form Sa1'!SO816/10)-'NF - 5 Power Mix'!SL21-'NF - 5 Power Mix'!SL22</f>
        <v>0</v>
      </c>
      <c r="SM42" s="1046">
        <f>SM38+((SM40+'NF - 5 Power Mix'!SM14+'NF - 5 Power Mix'!SM15)*860/10)+((('Form Sa1'!SP835)*860)/10)+('Form Sa1'!SP814*'Form Sa1'!SP816/10)-'NF - 5 Power Mix'!SM21-'NF - 5 Power Mix'!SM22</f>
        <v>0</v>
      </c>
      <c r="SN42" s="1046">
        <f>SN38+((SN40+'NF - 5 Power Mix'!SN14+'NF - 5 Power Mix'!SN15)*860/10)+((('Form Sa1'!SQ835)*860)/10)+('Form Sa1'!SQ814*'Form Sa1'!SQ816/10)-'NF - 5 Power Mix'!SN21-'NF - 5 Power Mix'!SN22</f>
        <v>0</v>
      </c>
      <c r="SO42" s="1046">
        <f>SO38+((SO40+'NF - 5 Power Mix'!SO14+'NF - 5 Power Mix'!SO15)*860/10)+((('Form Sa1'!SR835)*860)/10)+('Form Sa1'!SR814*'Form Sa1'!SR816/10)-'NF - 5 Power Mix'!SO21-'NF - 5 Power Mix'!SO22</f>
        <v>0</v>
      </c>
      <c r="SP42" s="1046">
        <f>SP38+((SP40+'NF - 5 Power Mix'!SP14+'NF - 5 Power Mix'!SP15)*860/10)+((('Form Sa1'!SS835)*860)/10)+('Form Sa1'!SS814*'Form Sa1'!SS816/10)-'NF - 5 Power Mix'!SP21-'NF - 5 Power Mix'!SP22</f>
        <v>0</v>
      </c>
      <c r="SQ42" s="1046">
        <f>SQ38+((SQ40+'NF - 5 Power Mix'!SQ14+'NF - 5 Power Mix'!SQ15)*860/10)+((('Form Sa1'!ST835)*860)/10)+('Form Sa1'!ST814*'Form Sa1'!ST816/10)-'NF - 5 Power Mix'!SQ21-'NF - 5 Power Mix'!SQ22</f>
        <v>0</v>
      </c>
      <c r="SR42" s="1046">
        <f>SR38+((SR40+'NF - 5 Power Mix'!SR14+'NF - 5 Power Mix'!SR15)*860/10)+((('Form Sa1'!SU835)*860)/10)+('Form Sa1'!SU814*'Form Sa1'!SU816/10)-'NF - 5 Power Mix'!SR21-'NF - 5 Power Mix'!SR22</f>
        <v>0</v>
      </c>
      <c r="SS42" s="1046">
        <f>SS38+((SS40+'NF - 5 Power Mix'!SS14+'NF - 5 Power Mix'!SS15)*860/10)+((('Form Sa1'!SV835)*860)/10)+('Form Sa1'!SV814*'Form Sa1'!SV816/10)-'NF - 5 Power Mix'!SS21-'NF - 5 Power Mix'!SS22</f>
        <v>0</v>
      </c>
      <c r="ST42" s="1046">
        <f>ST38+((ST40+'NF - 5 Power Mix'!ST14+'NF - 5 Power Mix'!ST15)*860/10)+((('Form Sa1'!SW835)*860)/10)+('Form Sa1'!SW814*'Form Sa1'!SW816/10)-'NF - 5 Power Mix'!ST21-'NF - 5 Power Mix'!ST22</f>
        <v>0</v>
      </c>
      <c r="SU42" s="1046">
        <f>SU38+((SU40+'NF - 5 Power Mix'!SU14+'NF - 5 Power Mix'!SU15)*860/10)+((('Form Sa1'!SX835)*860)/10)+('Form Sa1'!SX814*'Form Sa1'!SX816/10)-'NF - 5 Power Mix'!SU21-'NF - 5 Power Mix'!SU22</f>
        <v>0</v>
      </c>
      <c r="SV42" s="1046">
        <f>SV38+((SV40+'NF - 5 Power Mix'!SV14+'NF - 5 Power Mix'!SV15)*860/10)+((('Form Sa1'!SY835)*860)/10)+('Form Sa1'!SY814*'Form Sa1'!SY816/10)-'NF - 5 Power Mix'!SV21-'NF - 5 Power Mix'!SV22</f>
        <v>0</v>
      </c>
      <c r="SW42" s="1046">
        <f>SW38+((SW40+'NF - 5 Power Mix'!SW14+'NF - 5 Power Mix'!SW15)*860/10)+((('Form Sa1'!SZ835)*860)/10)+('Form Sa1'!SZ814*'Form Sa1'!SZ816/10)-'NF - 5 Power Mix'!SW21-'NF - 5 Power Mix'!SW22</f>
        <v>0</v>
      </c>
      <c r="SX42" s="1046">
        <f>SX38+((SX40+'NF - 5 Power Mix'!SX14+'NF - 5 Power Mix'!SX15)*860/10)+((('Form Sa1'!TA835)*860)/10)+('Form Sa1'!TA814*'Form Sa1'!TA816/10)-'NF - 5 Power Mix'!SX21-'NF - 5 Power Mix'!SX22</f>
        <v>0</v>
      </c>
      <c r="SY42" s="1046">
        <f>SY38+((SY40+'NF - 5 Power Mix'!SY14+'NF - 5 Power Mix'!SY15)*860/10)+((('Form Sa1'!TB835)*860)/10)+('Form Sa1'!TB814*'Form Sa1'!TB816/10)-'NF - 5 Power Mix'!SY21-'NF - 5 Power Mix'!SY22</f>
        <v>0</v>
      </c>
      <c r="SZ42" s="1046">
        <f>SZ38+((SZ40+'NF - 5 Power Mix'!SZ14+'NF - 5 Power Mix'!SZ15)*860/10)+((('Form Sa1'!TC835)*860)/10)+('Form Sa1'!TC814*'Form Sa1'!TC816/10)-'NF - 5 Power Mix'!SZ21-'NF - 5 Power Mix'!SZ22</f>
        <v>0</v>
      </c>
      <c r="TA42" s="1046">
        <f>TA38+((TA40+'NF - 5 Power Mix'!TA14+'NF - 5 Power Mix'!TA15)*860/10)+((('Form Sa1'!TD835)*860)/10)+('Form Sa1'!TD814*'Form Sa1'!TD816/10)-'NF - 5 Power Mix'!TA21-'NF - 5 Power Mix'!TA22</f>
        <v>0</v>
      </c>
      <c r="TB42" s="1046">
        <f>TB38+((TB40+'NF - 5 Power Mix'!TB14+'NF - 5 Power Mix'!TB15)*860/10)+((('Form Sa1'!TE835)*860)/10)+('Form Sa1'!TE814*'Form Sa1'!TE816/10)-'NF - 5 Power Mix'!TB21-'NF - 5 Power Mix'!TB22</f>
        <v>0</v>
      </c>
      <c r="TC42" s="1046">
        <f>TC38+((TC40+'NF - 5 Power Mix'!TC14+'NF - 5 Power Mix'!TC15)*860/10)+((('Form Sa1'!TF835)*860)/10)+('Form Sa1'!TF814*'Form Sa1'!TF816/10)-'NF - 5 Power Mix'!TC21-'NF - 5 Power Mix'!TC22</f>
        <v>0</v>
      </c>
      <c r="TD42" s="1046">
        <f>TD38+((TD40+'NF - 5 Power Mix'!TD14+'NF - 5 Power Mix'!TD15)*860/10)+((('Form Sa1'!TG835)*860)/10)+('Form Sa1'!TG814*'Form Sa1'!TG816/10)-'NF - 5 Power Mix'!TD21-'NF - 5 Power Mix'!TD22</f>
        <v>0</v>
      </c>
      <c r="TE42" s="1046">
        <f>TE38+((TE40+'NF - 5 Power Mix'!TE14+'NF - 5 Power Mix'!TE15)*860/10)+((('Form Sa1'!TH835)*860)/10)+('Form Sa1'!TH814*'Form Sa1'!TH816/10)-'NF - 5 Power Mix'!TE21-'NF - 5 Power Mix'!TE22</f>
        <v>0</v>
      </c>
      <c r="TF42" s="1046">
        <f>TF38+((TF40+'NF - 5 Power Mix'!TF14+'NF - 5 Power Mix'!TF15)*860/10)+((('Form Sa1'!TI835)*860)/10)+('Form Sa1'!TI814*'Form Sa1'!TI816/10)-'NF - 5 Power Mix'!TF21-'NF - 5 Power Mix'!TF22</f>
        <v>0</v>
      </c>
      <c r="TG42" s="1046">
        <f>TG38+((TG40+'NF - 5 Power Mix'!TG14+'NF - 5 Power Mix'!TG15)*860/10)+((('Form Sa1'!TJ835)*860)/10)+('Form Sa1'!TJ814*'Form Sa1'!TJ816/10)-'NF - 5 Power Mix'!TG21-'NF - 5 Power Mix'!TG22</f>
        <v>0</v>
      </c>
      <c r="TH42" s="1046">
        <f>TH38+((TH40+'NF - 5 Power Mix'!TH14+'NF - 5 Power Mix'!TH15)*860/10)+((('Form Sa1'!TK835)*860)/10)+('Form Sa1'!TK814*'Form Sa1'!TK816/10)-'NF - 5 Power Mix'!TH21-'NF - 5 Power Mix'!TH22</f>
        <v>0</v>
      </c>
      <c r="TI42" s="1046">
        <f>TI38+((TI40+'NF - 5 Power Mix'!TI14+'NF - 5 Power Mix'!TI15)*860/10)+((('Form Sa1'!TL835)*860)/10)+('Form Sa1'!TL814*'Form Sa1'!TL816/10)-'NF - 5 Power Mix'!TI21-'NF - 5 Power Mix'!TI22</f>
        <v>0</v>
      </c>
      <c r="TJ42" s="1046">
        <f>TJ38+((TJ40+'NF - 5 Power Mix'!TJ14+'NF - 5 Power Mix'!TJ15)*860/10)+((('Form Sa1'!TM835)*860)/10)+('Form Sa1'!TM814*'Form Sa1'!TM816/10)-'NF - 5 Power Mix'!TJ21-'NF - 5 Power Mix'!TJ22</f>
        <v>0</v>
      </c>
      <c r="TK42" s="1046">
        <f>TK38+((TK40+'NF - 5 Power Mix'!TK14+'NF - 5 Power Mix'!TK15)*860/10)+((('Form Sa1'!TN835)*860)/10)+('Form Sa1'!TN814*'Form Sa1'!TN816/10)-'NF - 5 Power Mix'!TK21-'NF - 5 Power Mix'!TK22</f>
        <v>0</v>
      </c>
      <c r="TL42" s="1046">
        <f>TL38+((TL40+'NF - 5 Power Mix'!TL14+'NF - 5 Power Mix'!TL15)*860/10)+((('Form Sa1'!TO835)*860)/10)+('Form Sa1'!TO814*'Form Sa1'!TO816/10)-'NF - 5 Power Mix'!TL21-'NF - 5 Power Mix'!TL22</f>
        <v>0</v>
      </c>
      <c r="TM42" s="1046">
        <f>TM38+((TM40+'NF - 5 Power Mix'!TM14+'NF - 5 Power Mix'!TM15)*860/10)+((('Form Sa1'!TP835)*860)/10)+('Form Sa1'!TP814*'Form Sa1'!TP816/10)-'NF - 5 Power Mix'!TM21-'NF - 5 Power Mix'!TM22</f>
        <v>0</v>
      </c>
      <c r="TN42" s="1046">
        <f>TN38+((TN40+'NF - 5 Power Mix'!TN14+'NF - 5 Power Mix'!TN15)*860/10)+((('Form Sa1'!TQ835)*860)/10)+('Form Sa1'!TQ814*'Form Sa1'!TQ816/10)-'NF - 5 Power Mix'!TN21-'NF - 5 Power Mix'!TN22</f>
        <v>0</v>
      </c>
      <c r="TO42" s="1046">
        <f>TO38+((TO40+'NF - 5 Power Mix'!TO14+'NF - 5 Power Mix'!TO15)*860/10)+((('Form Sa1'!TR835)*860)/10)+('Form Sa1'!TR814*'Form Sa1'!TR816/10)-'NF - 5 Power Mix'!TO21-'NF - 5 Power Mix'!TO22</f>
        <v>0</v>
      </c>
      <c r="TP42" s="1046">
        <f>TP38+((TP40+'NF - 5 Power Mix'!TP14+'NF - 5 Power Mix'!TP15)*860/10)+((('Form Sa1'!TS835)*860)/10)+('Form Sa1'!TS814*'Form Sa1'!TS816/10)-'NF - 5 Power Mix'!TP21-'NF - 5 Power Mix'!TP22</f>
        <v>0</v>
      </c>
      <c r="TQ42" s="1046">
        <f>TQ38+((TQ40+'NF - 5 Power Mix'!TQ14+'NF - 5 Power Mix'!TQ15)*860/10)+((('Form Sa1'!TT835)*860)/10)+('Form Sa1'!TT814*'Form Sa1'!TT816/10)-'NF - 5 Power Mix'!TQ21-'NF - 5 Power Mix'!TQ22</f>
        <v>0</v>
      </c>
      <c r="TR42" s="1046">
        <f>TR38+((TR40+'NF - 5 Power Mix'!TR14+'NF - 5 Power Mix'!TR15)*860/10)+((('Form Sa1'!TU835)*860)/10)+('Form Sa1'!TU814*'Form Sa1'!TU816/10)-'NF - 5 Power Mix'!TR21-'NF - 5 Power Mix'!TR22</f>
        <v>0</v>
      </c>
      <c r="TS42" s="1046">
        <f>TS38+((TS40+'NF - 5 Power Mix'!TS14+'NF - 5 Power Mix'!TS15)*860/10)+((('Form Sa1'!TV835)*860)/10)+('Form Sa1'!TV814*'Form Sa1'!TV816/10)-'NF - 5 Power Mix'!TS21-'NF - 5 Power Mix'!TS22</f>
        <v>0</v>
      </c>
      <c r="TT42" s="1046">
        <f>TT38+((TT40+'NF - 5 Power Mix'!TT14+'NF - 5 Power Mix'!TT15)*860/10)+((('Form Sa1'!TW835)*860)/10)+('Form Sa1'!TW814*'Form Sa1'!TW816/10)-'NF - 5 Power Mix'!TT21-'NF - 5 Power Mix'!TT22</f>
        <v>0</v>
      </c>
      <c r="TU42" s="1046">
        <f>TU38+((TU40+'NF - 5 Power Mix'!TU14+'NF - 5 Power Mix'!TU15)*860/10)+((('Form Sa1'!TX835)*860)/10)+('Form Sa1'!TX814*'Form Sa1'!TX816/10)-'NF - 5 Power Mix'!TU21-'NF - 5 Power Mix'!TU22</f>
        <v>0</v>
      </c>
      <c r="TV42" s="1046">
        <f>TV38+((TV40+'NF - 5 Power Mix'!TV14+'NF - 5 Power Mix'!TV15)*860/10)+((('Form Sa1'!TY835)*860)/10)+('Form Sa1'!TY814*'Form Sa1'!TY816/10)-'NF - 5 Power Mix'!TV21-'NF - 5 Power Mix'!TV22</f>
        <v>0</v>
      </c>
      <c r="TW42" s="1046">
        <f>TW38+((TW40+'NF - 5 Power Mix'!TW14+'NF - 5 Power Mix'!TW15)*860/10)+((('Form Sa1'!TZ835)*860)/10)+('Form Sa1'!TZ814*'Form Sa1'!TZ816/10)-'NF - 5 Power Mix'!TW21-'NF - 5 Power Mix'!TW22</f>
        <v>0</v>
      </c>
      <c r="TX42" s="1046">
        <f>TX38+((TX40+'NF - 5 Power Mix'!TX14+'NF - 5 Power Mix'!TX15)*860/10)+((('Form Sa1'!UA835)*860)/10)+('Form Sa1'!UA814*'Form Sa1'!UA816/10)-'NF - 5 Power Mix'!TX21-'NF - 5 Power Mix'!TX22</f>
        <v>0</v>
      </c>
      <c r="TY42" s="1046">
        <f>TY38+((TY40+'NF - 5 Power Mix'!TY14+'NF - 5 Power Mix'!TY15)*860/10)+((('Form Sa1'!UB835)*860)/10)+('Form Sa1'!UB814*'Form Sa1'!UB816/10)-'NF - 5 Power Mix'!TY21-'NF - 5 Power Mix'!TY22</f>
        <v>0</v>
      </c>
      <c r="TZ42" s="1046">
        <f>TZ38+((TZ40+'NF - 5 Power Mix'!TZ14+'NF - 5 Power Mix'!TZ15)*860/10)+((('Form Sa1'!UC835)*860)/10)+('Form Sa1'!UC814*'Form Sa1'!UC816/10)-'NF - 5 Power Mix'!TZ21-'NF - 5 Power Mix'!TZ22</f>
        <v>0</v>
      </c>
      <c r="UA42" s="1046">
        <f>UA38+((UA40+'NF - 5 Power Mix'!UA14+'NF - 5 Power Mix'!UA15)*860/10)+((('Form Sa1'!UD835)*860)/10)+('Form Sa1'!UD814*'Form Sa1'!UD816/10)-'NF - 5 Power Mix'!UA21-'NF - 5 Power Mix'!UA22</f>
        <v>0</v>
      </c>
      <c r="UB42" s="1046">
        <f>UB38+((UB40+'NF - 5 Power Mix'!UB14+'NF - 5 Power Mix'!UB15)*860/10)+((('Form Sa1'!UE835)*860)/10)+('Form Sa1'!UE814*'Form Sa1'!UE816/10)-'NF - 5 Power Mix'!UB21-'NF - 5 Power Mix'!UB22</f>
        <v>0</v>
      </c>
      <c r="UC42" s="1046">
        <f>UC38+((UC40+'NF - 5 Power Mix'!UC14+'NF - 5 Power Mix'!UC15)*860/10)+((('Form Sa1'!UF835)*860)/10)+('Form Sa1'!UF814*'Form Sa1'!UF816/10)-'NF - 5 Power Mix'!UC21-'NF - 5 Power Mix'!UC22</f>
        <v>0</v>
      </c>
      <c r="UD42" s="1046">
        <f>UD38+((UD40+'NF - 5 Power Mix'!UD14+'NF - 5 Power Mix'!UD15)*860/10)+((('Form Sa1'!UG835)*860)/10)+('Form Sa1'!UG814*'Form Sa1'!UG816/10)-'NF - 5 Power Mix'!UD21-'NF - 5 Power Mix'!UD22</f>
        <v>0</v>
      </c>
      <c r="UE42" s="1046">
        <f>UE38+((UE40+'NF - 5 Power Mix'!UE14+'NF - 5 Power Mix'!UE15)*860/10)+((('Form Sa1'!UH835)*860)/10)+('Form Sa1'!UH814*'Form Sa1'!UH816/10)-'NF - 5 Power Mix'!UE21-'NF - 5 Power Mix'!UE22</f>
        <v>0</v>
      </c>
      <c r="UF42" s="1046">
        <f>UF38+((UF40+'NF - 5 Power Mix'!UF14+'NF - 5 Power Mix'!UF15)*860/10)+((('Form Sa1'!UI835)*860)/10)+('Form Sa1'!UI814*'Form Sa1'!UI816/10)-'NF - 5 Power Mix'!UF21-'NF - 5 Power Mix'!UF22</f>
        <v>0</v>
      </c>
      <c r="UG42" s="1046">
        <f>UG38+((UG40+'NF - 5 Power Mix'!UG14+'NF - 5 Power Mix'!UG15)*860/10)+((('Form Sa1'!UJ835)*860)/10)+('Form Sa1'!UJ814*'Form Sa1'!UJ816/10)-'NF - 5 Power Mix'!UG21-'NF - 5 Power Mix'!UG22</f>
        <v>0</v>
      </c>
      <c r="UH42" s="1046">
        <f>UH38+((UH40+'NF - 5 Power Mix'!UH14+'NF - 5 Power Mix'!UH15)*860/10)+((('Form Sa1'!UK835)*860)/10)+('Form Sa1'!UK814*'Form Sa1'!UK816/10)-'NF - 5 Power Mix'!UH21-'NF - 5 Power Mix'!UH22</f>
        <v>0</v>
      </c>
      <c r="UI42" s="1046">
        <f>UI38+((UI40+'NF - 5 Power Mix'!UI14+'NF - 5 Power Mix'!UI15)*860/10)+((('Form Sa1'!UL835)*860)/10)+('Form Sa1'!UL814*'Form Sa1'!UL816/10)-'NF - 5 Power Mix'!UI21-'NF - 5 Power Mix'!UI22</f>
        <v>0</v>
      </c>
      <c r="UJ42" s="1046">
        <f>UJ38+((UJ40+'NF - 5 Power Mix'!UJ14+'NF - 5 Power Mix'!UJ15)*860/10)+((('Form Sa1'!UM835)*860)/10)+('Form Sa1'!UM814*'Form Sa1'!UM816/10)-'NF - 5 Power Mix'!UJ21-'NF - 5 Power Mix'!UJ22</f>
        <v>0</v>
      </c>
      <c r="UK42" s="1046">
        <f>UK38+((UK40+'NF - 5 Power Mix'!UK14+'NF - 5 Power Mix'!UK15)*860/10)+((('Form Sa1'!UN835)*860)/10)+('Form Sa1'!UN814*'Form Sa1'!UN816/10)-'NF - 5 Power Mix'!UK21-'NF - 5 Power Mix'!UK22</f>
        <v>0</v>
      </c>
      <c r="UL42" s="1046">
        <f>UL38+((UL40+'NF - 5 Power Mix'!UL14+'NF - 5 Power Mix'!UL15)*860/10)+((('Form Sa1'!UO835)*860)/10)+('Form Sa1'!UO814*'Form Sa1'!UO816/10)-'NF - 5 Power Mix'!UL21-'NF - 5 Power Mix'!UL22</f>
        <v>0</v>
      </c>
      <c r="UM42" s="1046">
        <f>UM38+((UM40+'NF - 5 Power Mix'!UM14+'NF - 5 Power Mix'!UM15)*860/10)+((('Form Sa1'!UP835)*860)/10)+('Form Sa1'!UP814*'Form Sa1'!UP816/10)-'NF - 5 Power Mix'!UM21-'NF - 5 Power Mix'!UM22</f>
        <v>0</v>
      </c>
      <c r="UN42" s="1046">
        <f>UN38+((UN40+'NF - 5 Power Mix'!UN14+'NF - 5 Power Mix'!UN15)*860/10)+((('Form Sa1'!UQ835)*860)/10)+('Form Sa1'!UQ814*'Form Sa1'!UQ816/10)-'NF - 5 Power Mix'!UN21-'NF - 5 Power Mix'!UN22</f>
        <v>0</v>
      </c>
      <c r="UO42" s="1046">
        <f>UO38+((UO40+'NF - 5 Power Mix'!UO14+'NF - 5 Power Mix'!UO15)*860/10)+((('Form Sa1'!UR835)*860)/10)+('Form Sa1'!UR814*'Form Sa1'!UR816/10)-'NF - 5 Power Mix'!UO21-'NF - 5 Power Mix'!UO22</f>
        <v>0</v>
      </c>
      <c r="UP42" s="1046">
        <f>UP38+((UP40+'NF - 5 Power Mix'!UP14+'NF - 5 Power Mix'!UP15)*860/10)+((('Form Sa1'!US835)*860)/10)+('Form Sa1'!US814*'Form Sa1'!US816/10)-'NF - 5 Power Mix'!UP21-'NF - 5 Power Mix'!UP22</f>
        <v>0</v>
      </c>
      <c r="UQ42" s="1046">
        <f>UQ38+((UQ40+'NF - 5 Power Mix'!UQ14+'NF - 5 Power Mix'!UQ15)*860/10)+((('Form Sa1'!UT835)*860)/10)+('Form Sa1'!UT814*'Form Sa1'!UT816/10)-'NF - 5 Power Mix'!UQ21-'NF - 5 Power Mix'!UQ22</f>
        <v>0</v>
      </c>
      <c r="UR42" s="1046">
        <f>UR38+((UR40+'NF - 5 Power Mix'!UR14+'NF - 5 Power Mix'!UR15)*860/10)+((('Form Sa1'!UU835)*860)/10)+('Form Sa1'!UU814*'Form Sa1'!UU816/10)-'NF - 5 Power Mix'!UR21-'NF - 5 Power Mix'!UR22</f>
        <v>0</v>
      </c>
      <c r="US42" s="1046">
        <f>US38+((US40+'NF - 5 Power Mix'!US14+'NF - 5 Power Mix'!US15)*860/10)+((('Form Sa1'!UV835)*860)/10)+('Form Sa1'!UV814*'Form Sa1'!UV816/10)-'NF - 5 Power Mix'!US21-'NF - 5 Power Mix'!US22</f>
        <v>0</v>
      </c>
      <c r="UT42" s="1046">
        <f>UT38+((UT40+'NF - 5 Power Mix'!UT14+'NF - 5 Power Mix'!UT15)*860/10)+((('Form Sa1'!UW835)*860)/10)+('Form Sa1'!UW814*'Form Sa1'!UW816/10)-'NF - 5 Power Mix'!UT21-'NF - 5 Power Mix'!UT22</f>
        <v>0</v>
      </c>
      <c r="UU42" s="1046">
        <f>UU38+((UU40+'NF - 5 Power Mix'!UU14+'NF - 5 Power Mix'!UU15)*860/10)+((('Form Sa1'!UX835)*860)/10)+('Form Sa1'!UX814*'Form Sa1'!UX816/10)-'NF - 5 Power Mix'!UU21-'NF - 5 Power Mix'!UU22</f>
        <v>0</v>
      </c>
      <c r="UV42" s="1046">
        <f>UV38+((UV40+'NF - 5 Power Mix'!UV14+'NF - 5 Power Mix'!UV15)*860/10)+((('Form Sa1'!UY835)*860)/10)+('Form Sa1'!UY814*'Form Sa1'!UY816/10)-'NF - 5 Power Mix'!UV21-'NF - 5 Power Mix'!UV22</f>
        <v>0</v>
      </c>
      <c r="UW42" s="1046">
        <f>UW38+((UW40+'NF - 5 Power Mix'!UW14+'NF - 5 Power Mix'!UW15)*860/10)+((('Form Sa1'!UZ835)*860)/10)+('Form Sa1'!UZ814*'Form Sa1'!UZ816/10)-'NF - 5 Power Mix'!UW21-'NF - 5 Power Mix'!UW22</f>
        <v>0</v>
      </c>
      <c r="UX42" s="1046">
        <f>UX38+((UX40+'NF - 5 Power Mix'!UX14+'NF - 5 Power Mix'!UX15)*860/10)+((('Form Sa1'!VA835)*860)/10)+('Form Sa1'!VA814*'Form Sa1'!VA816/10)-'NF - 5 Power Mix'!UX21-'NF - 5 Power Mix'!UX22</f>
        <v>0</v>
      </c>
      <c r="UY42" s="1046">
        <f>UY38+((UY40+'NF - 5 Power Mix'!UY14+'NF - 5 Power Mix'!UY15)*860/10)+((('Form Sa1'!VB835)*860)/10)+('Form Sa1'!VB814*'Form Sa1'!VB816/10)-'NF - 5 Power Mix'!UY21-'NF - 5 Power Mix'!UY22</f>
        <v>0</v>
      </c>
      <c r="UZ42" s="1046">
        <f>UZ38+((UZ40+'NF - 5 Power Mix'!UZ14+'NF - 5 Power Mix'!UZ15)*860/10)+((('Form Sa1'!VC835)*860)/10)+('Form Sa1'!VC814*'Form Sa1'!VC816/10)-'NF - 5 Power Mix'!UZ21-'NF - 5 Power Mix'!UZ22</f>
        <v>0</v>
      </c>
      <c r="VA42" s="1046">
        <f>VA38+((VA40+'NF - 5 Power Mix'!VA14+'NF - 5 Power Mix'!VA15)*860/10)+((('Form Sa1'!VD835)*860)/10)+('Form Sa1'!VD814*'Form Sa1'!VD816/10)-'NF - 5 Power Mix'!VA21-'NF - 5 Power Mix'!VA22</f>
        <v>0</v>
      </c>
      <c r="VB42" s="1046">
        <f>VB38+((VB40+'NF - 5 Power Mix'!VB14+'NF - 5 Power Mix'!VB15)*860/10)+((('Form Sa1'!VE835)*860)/10)+('Form Sa1'!VE814*'Form Sa1'!VE816/10)-'NF - 5 Power Mix'!VB21-'NF - 5 Power Mix'!VB22</f>
        <v>0</v>
      </c>
      <c r="VC42" s="1046">
        <f>VC38+((VC40+'NF - 5 Power Mix'!VC14+'NF - 5 Power Mix'!VC15)*860/10)+((('Form Sa1'!VF835)*860)/10)+('Form Sa1'!VF814*'Form Sa1'!VF816/10)-'NF - 5 Power Mix'!VC21-'NF - 5 Power Mix'!VC22</f>
        <v>0</v>
      </c>
      <c r="VD42" s="1046">
        <f>VD38+((VD40+'NF - 5 Power Mix'!VD14+'NF - 5 Power Mix'!VD15)*860/10)+((('Form Sa1'!VG835)*860)/10)+('Form Sa1'!VG814*'Form Sa1'!VG816/10)-'NF - 5 Power Mix'!VD21-'NF - 5 Power Mix'!VD22</f>
        <v>0</v>
      </c>
      <c r="VE42" s="1046">
        <f>VE38+((VE40+'NF - 5 Power Mix'!VE14+'NF - 5 Power Mix'!VE15)*860/10)+((('Form Sa1'!VH835)*860)/10)+('Form Sa1'!VH814*'Form Sa1'!VH816/10)-'NF - 5 Power Mix'!VE21-'NF - 5 Power Mix'!VE22</f>
        <v>0</v>
      </c>
      <c r="VF42" s="1046">
        <f>VF38+((VF40+'NF - 5 Power Mix'!VF14+'NF - 5 Power Mix'!VF15)*860/10)+((('Form Sa1'!VI835)*860)/10)+('Form Sa1'!VI814*'Form Sa1'!VI816/10)-'NF - 5 Power Mix'!VF21-'NF - 5 Power Mix'!VF22</f>
        <v>0</v>
      </c>
      <c r="VG42" s="1046">
        <f>VG38+((VG40+'NF - 5 Power Mix'!VG14+'NF - 5 Power Mix'!VG15)*860/10)+((('Form Sa1'!VJ835)*860)/10)+('Form Sa1'!VJ814*'Form Sa1'!VJ816/10)-'NF - 5 Power Mix'!VG21-'NF - 5 Power Mix'!VG22</f>
        <v>0</v>
      </c>
      <c r="VH42" s="1046">
        <f>VH38+((VH40+'NF - 5 Power Mix'!VH14+'NF - 5 Power Mix'!VH15)*860/10)+((('Form Sa1'!VK835)*860)/10)+('Form Sa1'!VK814*'Form Sa1'!VK816/10)-'NF - 5 Power Mix'!VH21-'NF - 5 Power Mix'!VH22</f>
        <v>0</v>
      </c>
      <c r="VI42" s="1046">
        <f>VI38+((VI40+'NF - 5 Power Mix'!VI14+'NF - 5 Power Mix'!VI15)*860/10)+((('Form Sa1'!VL835)*860)/10)+('Form Sa1'!VL814*'Form Sa1'!VL816/10)-'NF - 5 Power Mix'!VI21-'NF - 5 Power Mix'!VI22</f>
        <v>0</v>
      </c>
      <c r="VJ42" s="1046">
        <f>VJ38+((VJ40+'NF - 5 Power Mix'!VJ14+'NF - 5 Power Mix'!VJ15)*860/10)+((('Form Sa1'!VM835)*860)/10)+('Form Sa1'!VM814*'Form Sa1'!VM816/10)-'NF - 5 Power Mix'!VJ21-'NF - 5 Power Mix'!VJ22</f>
        <v>0</v>
      </c>
      <c r="VK42" s="1046">
        <f>VK38+((VK40+'NF - 5 Power Mix'!VK14+'NF - 5 Power Mix'!VK15)*860/10)+((('Form Sa1'!VN835)*860)/10)+('Form Sa1'!VN814*'Form Sa1'!VN816/10)-'NF - 5 Power Mix'!VK21-'NF - 5 Power Mix'!VK22</f>
        <v>0</v>
      </c>
      <c r="VL42" s="1046">
        <f>VL38+((VL40+'NF - 5 Power Mix'!VL14+'NF - 5 Power Mix'!VL15)*860/10)+((('Form Sa1'!VO835)*860)/10)+('Form Sa1'!VO814*'Form Sa1'!VO816/10)-'NF - 5 Power Mix'!VL21-'NF - 5 Power Mix'!VL22</f>
        <v>0</v>
      </c>
      <c r="VM42" s="1046">
        <f>VM38+((VM40+'NF - 5 Power Mix'!VM14+'NF - 5 Power Mix'!VM15)*860/10)+((('Form Sa1'!VP835)*860)/10)+('Form Sa1'!VP814*'Form Sa1'!VP816/10)-'NF - 5 Power Mix'!VM21-'NF - 5 Power Mix'!VM22</f>
        <v>0</v>
      </c>
      <c r="VN42" s="1046">
        <f>VN38+((VN40+'NF - 5 Power Mix'!VN14+'NF - 5 Power Mix'!VN15)*860/10)+((('Form Sa1'!VQ835)*860)/10)+('Form Sa1'!VQ814*'Form Sa1'!VQ816/10)-'NF - 5 Power Mix'!VN21-'NF - 5 Power Mix'!VN22</f>
        <v>0</v>
      </c>
      <c r="VO42" s="1046">
        <f>VO38+((VO40+'NF - 5 Power Mix'!VO14+'NF - 5 Power Mix'!VO15)*860/10)+((('Form Sa1'!VR835)*860)/10)+('Form Sa1'!VR814*'Form Sa1'!VR816/10)-'NF - 5 Power Mix'!VO21-'NF - 5 Power Mix'!VO22</f>
        <v>0</v>
      </c>
      <c r="VP42" s="1046">
        <f>VP38+((VP40+'NF - 5 Power Mix'!VP14+'NF - 5 Power Mix'!VP15)*860/10)+((('Form Sa1'!VS835)*860)/10)+('Form Sa1'!VS814*'Form Sa1'!VS816/10)-'NF - 5 Power Mix'!VP21-'NF - 5 Power Mix'!VP22</f>
        <v>0</v>
      </c>
      <c r="VQ42" s="1046">
        <f>VQ38+((VQ40+'NF - 5 Power Mix'!VQ14+'NF - 5 Power Mix'!VQ15)*860/10)+((('Form Sa1'!VT835)*860)/10)+('Form Sa1'!VT814*'Form Sa1'!VT816/10)-'NF - 5 Power Mix'!VQ21-'NF - 5 Power Mix'!VQ22</f>
        <v>0</v>
      </c>
      <c r="VR42" s="1046">
        <f>VR38+((VR40+'NF - 5 Power Mix'!VR14+'NF - 5 Power Mix'!VR15)*860/10)+((('Form Sa1'!VU835)*860)/10)+('Form Sa1'!VU814*'Form Sa1'!VU816/10)-'NF - 5 Power Mix'!VR21-'NF - 5 Power Mix'!VR22</f>
        <v>0</v>
      </c>
      <c r="VS42" s="1046">
        <f>VS38+((VS40+'NF - 5 Power Mix'!VS14+'NF - 5 Power Mix'!VS15)*860/10)+((('Form Sa1'!VV835)*860)/10)+('Form Sa1'!VV814*'Form Sa1'!VV816/10)-'NF - 5 Power Mix'!VS21-'NF - 5 Power Mix'!VS22</f>
        <v>0</v>
      </c>
      <c r="VT42" s="1046">
        <f>VT38+((VT40+'NF - 5 Power Mix'!VT14+'NF - 5 Power Mix'!VT15)*860/10)+((('Form Sa1'!VW835)*860)/10)+('Form Sa1'!VW814*'Form Sa1'!VW816/10)-'NF - 5 Power Mix'!VT21-'NF - 5 Power Mix'!VT22</f>
        <v>0</v>
      </c>
      <c r="VU42" s="1046">
        <f>VU38+((VU40+'NF - 5 Power Mix'!VU14+'NF - 5 Power Mix'!VU15)*860/10)+((('Form Sa1'!VX835)*860)/10)+('Form Sa1'!VX814*'Form Sa1'!VX816/10)-'NF - 5 Power Mix'!VU21-'NF - 5 Power Mix'!VU22</f>
        <v>0</v>
      </c>
      <c r="VV42" s="1046">
        <f>VV38+((VV40+'NF - 5 Power Mix'!VV14+'NF - 5 Power Mix'!VV15)*860/10)+((('Form Sa1'!VY835)*860)/10)+('Form Sa1'!VY814*'Form Sa1'!VY816/10)-'NF - 5 Power Mix'!VV21-'NF - 5 Power Mix'!VV22</f>
        <v>0</v>
      </c>
      <c r="VW42" s="1046">
        <f>VW38+((VW40+'NF - 5 Power Mix'!VW14+'NF - 5 Power Mix'!VW15)*860/10)+((('Form Sa1'!VZ835)*860)/10)+('Form Sa1'!VZ814*'Form Sa1'!VZ816/10)-'NF - 5 Power Mix'!VW21-'NF - 5 Power Mix'!VW22</f>
        <v>0</v>
      </c>
      <c r="VX42" s="1046">
        <f>VX38+((VX40+'NF - 5 Power Mix'!VX14+'NF - 5 Power Mix'!VX15)*860/10)+((('Form Sa1'!WA835)*860)/10)+('Form Sa1'!WA814*'Form Sa1'!WA816/10)-'NF - 5 Power Mix'!VX21-'NF - 5 Power Mix'!VX22</f>
        <v>0</v>
      </c>
      <c r="VY42" s="1046">
        <f>VY38+((VY40+'NF - 5 Power Mix'!VY14+'NF - 5 Power Mix'!VY15)*860/10)+((('Form Sa1'!WB835)*860)/10)+('Form Sa1'!WB814*'Form Sa1'!WB816/10)-'NF - 5 Power Mix'!VY21-'NF - 5 Power Mix'!VY22</f>
        <v>0</v>
      </c>
      <c r="VZ42" s="1046">
        <f>VZ38+((VZ40+'NF - 5 Power Mix'!VZ14+'NF - 5 Power Mix'!VZ15)*860/10)+((('Form Sa1'!WC835)*860)/10)+('Form Sa1'!WC814*'Form Sa1'!WC816/10)-'NF - 5 Power Mix'!VZ21-'NF - 5 Power Mix'!VZ22</f>
        <v>0</v>
      </c>
      <c r="WA42" s="1046">
        <f>WA38+((WA40+'NF - 5 Power Mix'!WA14+'NF - 5 Power Mix'!WA15)*860/10)+((('Form Sa1'!WD835)*860)/10)+('Form Sa1'!WD814*'Form Sa1'!WD816/10)-'NF - 5 Power Mix'!WA21-'NF - 5 Power Mix'!WA22</f>
        <v>0</v>
      </c>
      <c r="WB42" s="1046">
        <f>WB38+((WB40+'NF - 5 Power Mix'!WB14+'NF - 5 Power Mix'!WB15)*860/10)+((('Form Sa1'!WE835)*860)/10)+('Form Sa1'!WE814*'Form Sa1'!WE816/10)-'NF - 5 Power Mix'!WB21-'NF - 5 Power Mix'!WB22</f>
        <v>0</v>
      </c>
      <c r="WC42" s="1046">
        <f>WC38+((WC40+'NF - 5 Power Mix'!WC14+'NF - 5 Power Mix'!WC15)*860/10)+((('Form Sa1'!WF835)*860)/10)+('Form Sa1'!WF814*'Form Sa1'!WF816/10)-'NF - 5 Power Mix'!WC21-'NF - 5 Power Mix'!WC22</f>
        <v>0</v>
      </c>
      <c r="WD42" s="1046">
        <f>WD38+((WD40+'NF - 5 Power Mix'!WD14+'NF - 5 Power Mix'!WD15)*860/10)+((('Form Sa1'!WG835)*860)/10)+('Form Sa1'!WG814*'Form Sa1'!WG816/10)-'NF - 5 Power Mix'!WD21-'NF - 5 Power Mix'!WD22</f>
        <v>0</v>
      </c>
      <c r="WE42" s="1046">
        <f>WE38+((WE40+'NF - 5 Power Mix'!WE14+'NF - 5 Power Mix'!WE15)*860/10)+((('Form Sa1'!WH835)*860)/10)+('Form Sa1'!WH814*'Form Sa1'!WH816/10)-'NF - 5 Power Mix'!WE21-'NF - 5 Power Mix'!WE22</f>
        <v>0</v>
      </c>
      <c r="WF42" s="1046">
        <f>WF38+((WF40+'NF - 5 Power Mix'!WF14+'NF - 5 Power Mix'!WF15)*860/10)+((('Form Sa1'!WI835)*860)/10)+('Form Sa1'!WI814*'Form Sa1'!WI816/10)-'NF - 5 Power Mix'!WF21-'NF - 5 Power Mix'!WF22</f>
        <v>0</v>
      </c>
      <c r="WG42" s="1046">
        <f>WG38+((WG40+'NF - 5 Power Mix'!WG14+'NF - 5 Power Mix'!WG15)*860/10)+((('Form Sa1'!WJ835)*860)/10)+('Form Sa1'!WJ814*'Form Sa1'!WJ816/10)-'NF - 5 Power Mix'!WG21-'NF - 5 Power Mix'!WG22</f>
        <v>0</v>
      </c>
      <c r="WH42" s="1046">
        <f>WH38+((WH40+'NF - 5 Power Mix'!WH14+'NF - 5 Power Mix'!WH15)*860/10)+((('Form Sa1'!WK835)*860)/10)+('Form Sa1'!WK814*'Form Sa1'!WK816/10)-'NF - 5 Power Mix'!WH21-'NF - 5 Power Mix'!WH22</f>
        <v>0</v>
      </c>
      <c r="WI42" s="1046">
        <f>WI38+((WI40+'NF - 5 Power Mix'!WI14+'NF - 5 Power Mix'!WI15)*860/10)+((('Form Sa1'!WL835)*860)/10)+('Form Sa1'!WL814*'Form Sa1'!WL816/10)-'NF - 5 Power Mix'!WI21-'NF - 5 Power Mix'!WI22</f>
        <v>0</v>
      </c>
      <c r="WJ42" s="1046">
        <f>WJ38+((WJ40+'NF - 5 Power Mix'!WJ14+'NF - 5 Power Mix'!WJ15)*860/10)+((('Form Sa1'!WM835)*860)/10)+('Form Sa1'!WM814*'Form Sa1'!WM816/10)-'NF - 5 Power Mix'!WJ21-'NF - 5 Power Mix'!WJ22</f>
        <v>0</v>
      </c>
      <c r="WK42" s="1046">
        <f>WK38+((WK40+'NF - 5 Power Mix'!WK14+'NF - 5 Power Mix'!WK15)*860/10)+((('Form Sa1'!WN835)*860)/10)+('Form Sa1'!WN814*'Form Sa1'!WN816/10)-'NF - 5 Power Mix'!WK21-'NF - 5 Power Mix'!WK22</f>
        <v>0</v>
      </c>
      <c r="WL42" s="1046">
        <f>WL38+((WL40+'NF - 5 Power Mix'!WL14+'NF - 5 Power Mix'!WL15)*860/10)+((('Form Sa1'!WO835)*860)/10)+('Form Sa1'!WO814*'Form Sa1'!WO816/10)-'NF - 5 Power Mix'!WL21-'NF - 5 Power Mix'!WL22</f>
        <v>0</v>
      </c>
      <c r="WM42" s="1046">
        <f>WM38+((WM40+'NF - 5 Power Mix'!WM14+'NF - 5 Power Mix'!WM15)*860/10)+((('Form Sa1'!WP835)*860)/10)+('Form Sa1'!WP814*'Form Sa1'!WP816/10)-'NF - 5 Power Mix'!WM21-'NF - 5 Power Mix'!WM22</f>
        <v>0</v>
      </c>
      <c r="WN42" s="1046">
        <f>WN38+((WN40+'NF - 5 Power Mix'!WN14+'NF - 5 Power Mix'!WN15)*860/10)+((('Form Sa1'!WQ835)*860)/10)+('Form Sa1'!WQ814*'Form Sa1'!WQ816/10)-'NF - 5 Power Mix'!WN21-'NF - 5 Power Mix'!WN22</f>
        <v>0</v>
      </c>
      <c r="WO42" s="1046">
        <f>WO38+((WO40+'NF - 5 Power Mix'!WO14+'NF - 5 Power Mix'!WO15)*860/10)+((('Form Sa1'!WR835)*860)/10)+('Form Sa1'!WR814*'Form Sa1'!WR816/10)-'NF - 5 Power Mix'!WO21-'NF - 5 Power Mix'!WO22</f>
        <v>0</v>
      </c>
      <c r="WP42" s="1046">
        <f>WP38+((WP40+'NF - 5 Power Mix'!WP14+'NF - 5 Power Mix'!WP15)*860/10)+((('Form Sa1'!WS835)*860)/10)+('Form Sa1'!WS814*'Form Sa1'!WS816/10)-'NF - 5 Power Mix'!WP21-'NF - 5 Power Mix'!WP22</f>
        <v>0</v>
      </c>
      <c r="WQ42" s="1046">
        <f>WQ38+((WQ40+'NF - 5 Power Mix'!WQ14+'NF - 5 Power Mix'!WQ15)*860/10)+((('Form Sa1'!WT835)*860)/10)+('Form Sa1'!WT814*'Form Sa1'!WT816/10)-'NF - 5 Power Mix'!WQ21-'NF - 5 Power Mix'!WQ22</f>
        <v>0</v>
      </c>
      <c r="WR42" s="1046">
        <f>WR38+((WR40+'NF - 5 Power Mix'!WR14+'NF - 5 Power Mix'!WR15)*860/10)+((('Form Sa1'!WU835)*860)/10)+('Form Sa1'!WU814*'Form Sa1'!WU816/10)-'NF - 5 Power Mix'!WR21-'NF - 5 Power Mix'!WR22</f>
        <v>0</v>
      </c>
      <c r="WS42" s="1046">
        <f>WS38+((WS40+'NF - 5 Power Mix'!WS14+'NF - 5 Power Mix'!WS15)*860/10)+((('Form Sa1'!WV835)*860)/10)+('Form Sa1'!WV814*'Form Sa1'!WV816/10)-'NF - 5 Power Mix'!WS21-'NF - 5 Power Mix'!WS22</f>
        <v>0</v>
      </c>
      <c r="WT42" s="1046">
        <f>WT38+((WT40+'NF - 5 Power Mix'!WT14+'NF - 5 Power Mix'!WT15)*860/10)+((('Form Sa1'!WW835)*860)/10)+('Form Sa1'!WW814*'Form Sa1'!WW816/10)-'NF - 5 Power Mix'!WT21-'NF - 5 Power Mix'!WT22</f>
        <v>0</v>
      </c>
      <c r="WU42" s="1046">
        <f>WU38+((WU40+'NF - 5 Power Mix'!WU14+'NF - 5 Power Mix'!WU15)*860/10)+((('Form Sa1'!WX835)*860)/10)+('Form Sa1'!WX814*'Form Sa1'!WX816/10)-'NF - 5 Power Mix'!WU21-'NF - 5 Power Mix'!WU22</f>
        <v>0</v>
      </c>
      <c r="WV42" s="1046">
        <f>WV38+((WV40+'NF - 5 Power Mix'!WV14+'NF - 5 Power Mix'!WV15)*860/10)+((('Form Sa1'!WY835)*860)/10)+('Form Sa1'!WY814*'Form Sa1'!WY816/10)-'NF - 5 Power Mix'!WV21-'NF - 5 Power Mix'!WV22</f>
        <v>0</v>
      </c>
      <c r="WW42" s="1046">
        <f>WW38+((WW40+'NF - 5 Power Mix'!WW14+'NF - 5 Power Mix'!WW15)*860/10)+((('Form Sa1'!WZ835)*860)/10)+('Form Sa1'!WZ814*'Form Sa1'!WZ816/10)-'NF - 5 Power Mix'!WW21-'NF - 5 Power Mix'!WW22</f>
        <v>0</v>
      </c>
      <c r="WX42" s="1046">
        <f>WX38+((WX40+'NF - 5 Power Mix'!WX14+'NF - 5 Power Mix'!WX15)*860/10)+((('Form Sa1'!XA835)*860)/10)+('Form Sa1'!XA814*'Form Sa1'!XA816/10)-'NF - 5 Power Mix'!WX21-'NF - 5 Power Mix'!WX22</f>
        <v>0</v>
      </c>
      <c r="WY42" s="1046">
        <f>WY38+((WY40+'NF - 5 Power Mix'!WY14+'NF - 5 Power Mix'!WY15)*860/10)+((('Form Sa1'!XB835)*860)/10)+('Form Sa1'!XB814*'Form Sa1'!XB816/10)-'NF - 5 Power Mix'!WY21-'NF - 5 Power Mix'!WY22</f>
        <v>0</v>
      </c>
      <c r="WZ42" s="1046">
        <f>WZ38+((WZ40+'NF - 5 Power Mix'!WZ14+'NF - 5 Power Mix'!WZ15)*860/10)+((('Form Sa1'!XC835)*860)/10)+('Form Sa1'!XC814*'Form Sa1'!XC816/10)-'NF - 5 Power Mix'!WZ21-'NF - 5 Power Mix'!WZ22</f>
        <v>0</v>
      </c>
      <c r="XA42" s="1046">
        <f>XA38+((XA40+'NF - 5 Power Mix'!XA14+'NF - 5 Power Mix'!XA15)*860/10)+((('Form Sa1'!XD835)*860)/10)+('Form Sa1'!XD814*'Form Sa1'!XD816/10)-'NF - 5 Power Mix'!XA21-'NF - 5 Power Mix'!XA22</f>
        <v>0</v>
      </c>
      <c r="XB42" s="1046">
        <f>XB38+((XB40+'NF - 5 Power Mix'!XB14+'NF - 5 Power Mix'!XB15)*860/10)+((('Form Sa1'!XE835)*860)/10)+('Form Sa1'!XE814*'Form Sa1'!XE816/10)-'NF - 5 Power Mix'!XB21-'NF - 5 Power Mix'!XB22</f>
        <v>0</v>
      </c>
      <c r="XC42" s="1046">
        <f>XC38+((XC40+'NF - 5 Power Mix'!XC14+'NF - 5 Power Mix'!XC15)*860/10)+((('Form Sa1'!XF835)*860)/10)+('Form Sa1'!XF814*'Form Sa1'!XF816/10)-'NF - 5 Power Mix'!XC21-'NF - 5 Power Mix'!XC22</f>
        <v>0</v>
      </c>
      <c r="XD42" s="1046">
        <f>XD38+((XD40+'NF - 5 Power Mix'!XD14+'NF - 5 Power Mix'!XD15)*860/10)+((('Form Sa1'!XG835)*860)/10)+('Form Sa1'!XG814*'Form Sa1'!XG816/10)-'NF - 5 Power Mix'!XD21-'NF - 5 Power Mix'!XD22</f>
        <v>0</v>
      </c>
      <c r="XE42" s="1046">
        <f>XE38+((XE40+'NF - 5 Power Mix'!XE14+'NF - 5 Power Mix'!XE15)*860/10)+((('Form Sa1'!XH835)*860)/10)+('Form Sa1'!XH814*'Form Sa1'!XH816/10)-'NF - 5 Power Mix'!XE21-'NF - 5 Power Mix'!XE22</f>
        <v>0</v>
      </c>
      <c r="XF42" s="1046">
        <f>XF38+((XF40+'NF - 5 Power Mix'!XF14+'NF - 5 Power Mix'!XF15)*860/10)+((('Form Sa1'!XI835)*860)/10)+('Form Sa1'!XI814*'Form Sa1'!XI816/10)-'NF - 5 Power Mix'!XF21-'NF - 5 Power Mix'!XF22</f>
        <v>0</v>
      </c>
      <c r="XG42" s="1046">
        <f>XG38+((XG40+'NF - 5 Power Mix'!XG14+'NF - 5 Power Mix'!XG15)*860/10)+((('Form Sa1'!XJ835)*860)/10)+('Form Sa1'!XJ814*'Form Sa1'!XJ816/10)-'NF - 5 Power Mix'!XG21-'NF - 5 Power Mix'!XG22</f>
        <v>0</v>
      </c>
      <c r="XH42" s="1046">
        <f>XH38+((XH40+'NF - 5 Power Mix'!XH14+'NF - 5 Power Mix'!XH15)*860/10)+((('Form Sa1'!XK835)*860)/10)+('Form Sa1'!XK814*'Form Sa1'!XK816/10)-'NF - 5 Power Mix'!XH21-'NF - 5 Power Mix'!XH22</f>
        <v>0</v>
      </c>
      <c r="XI42" s="1046">
        <f>XI38+((XI40+'NF - 5 Power Mix'!XI14+'NF - 5 Power Mix'!XI15)*860/10)+((('Form Sa1'!XL835)*860)/10)+('Form Sa1'!XL814*'Form Sa1'!XL816/10)-'NF - 5 Power Mix'!XI21-'NF - 5 Power Mix'!XI22</f>
        <v>0</v>
      </c>
      <c r="XJ42" s="1046">
        <f>XJ38+((XJ40+'NF - 5 Power Mix'!XJ14+'NF - 5 Power Mix'!XJ15)*860/10)+((('Form Sa1'!XM835)*860)/10)+('Form Sa1'!XM814*'Form Sa1'!XM816/10)-'NF - 5 Power Mix'!XJ21-'NF - 5 Power Mix'!XJ22</f>
        <v>0</v>
      </c>
      <c r="XK42" s="1046">
        <f>XK38+((XK40+'NF - 5 Power Mix'!XK14+'NF - 5 Power Mix'!XK15)*860/10)+((('Form Sa1'!XN835)*860)/10)+('Form Sa1'!XN814*'Form Sa1'!XN816/10)-'NF - 5 Power Mix'!XK21-'NF - 5 Power Mix'!XK22</f>
        <v>0</v>
      </c>
      <c r="XL42" s="1046">
        <f>XL38+((XL40+'NF - 5 Power Mix'!XL14+'NF - 5 Power Mix'!XL15)*860/10)+((('Form Sa1'!XO835)*860)/10)+('Form Sa1'!XO814*'Form Sa1'!XO816/10)-'NF - 5 Power Mix'!XL21-'NF - 5 Power Mix'!XL22</f>
        <v>0</v>
      </c>
      <c r="XM42" s="1046">
        <f>XM38+((XM40+'NF - 5 Power Mix'!XM14+'NF - 5 Power Mix'!XM15)*860/10)+((('Form Sa1'!XP835)*860)/10)+('Form Sa1'!XP814*'Form Sa1'!XP816/10)-'NF - 5 Power Mix'!XM21-'NF - 5 Power Mix'!XM22</f>
        <v>0</v>
      </c>
      <c r="XN42" s="1046">
        <f>XN38+((XN40+'NF - 5 Power Mix'!XN14+'NF - 5 Power Mix'!XN15)*860/10)+((('Form Sa1'!XQ835)*860)/10)+('Form Sa1'!XQ814*'Form Sa1'!XQ816/10)-'NF - 5 Power Mix'!XN21-'NF - 5 Power Mix'!XN22</f>
        <v>0</v>
      </c>
      <c r="XO42" s="1046">
        <f>XO38+((XO40+'NF - 5 Power Mix'!XO14+'NF - 5 Power Mix'!XO15)*860/10)+((('Form Sa1'!XR835)*860)/10)+('Form Sa1'!XR814*'Form Sa1'!XR816/10)-'NF - 5 Power Mix'!XO21-'NF - 5 Power Mix'!XO22</f>
        <v>0</v>
      </c>
      <c r="XP42" s="1046">
        <f>XP38+((XP40+'NF - 5 Power Mix'!XP14+'NF - 5 Power Mix'!XP15)*860/10)+((('Form Sa1'!XS835)*860)/10)+('Form Sa1'!XS814*'Form Sa1'!XS816/10)-'NF - 5 Power Mix'!XP21-'NF - 5 Power Mix'!XP22</f>
        <v>0</v>
      </c>
      <c r="XQ42" s="1046">
        <f>XQ38+((XQ40+'NF - 5 Power Mix'!XQ14+'NF - 5 Power Mix'!XQ15)*860/10)+((('Form Sa1'!XT835)*860)/10)+('Form Sa1'!XT814*'Form Sa1'!XT816/10)-'NF - 5 Power Mix'!XQ21-'NF - 5 Power Mix'!XQ22</f>
        <v>0</v>
      </c>
      <c r="XR42" s="1046">
        <f>XR38+((XR40+'NF - 5 Power Mix'!XR14+'NF - 5 Power Mix'!XR15)*860/10)+((('Form Sa1'!XU835)*860)/10)+('Form Sa1'!XU814*'Form Sa1'!XU816/10)-'NF - 5 Power Mix'!XR21-'NF - 5 Power Mix'!XR22</f>
        <v>0</v>
      </c>
      <c r="XS42" s="1046">
        <f>XS38+((XS40+'NF - 5 Power Mix'!XS14+'NF - 5 Power Mix'!XS15)*860/10)+((('Form Sa1'!XV835)*860)/10)+('Form Sa1'!XV814*'Form Sa1'!XV816/10)-'NF - 5 Power Mix'!XS21-'NF - 5 Power Mix'!XS22</f>
        <v>0</v>
      </c>
      <c r="XT42" s="1046">
        <f>XT38+((XT40+'NF - 5 Power Mix'!XT14+'NF - 5 Power Mix'!XT15)*860/10)+((('Form Sa1'!XW835)*860)/10)+('Form Sa1'!XW814*'Form Sa1'!XW816/10)-'NF - 5 Power Mix'!XT21-'NF - 5 Power Mix'!XT22</f>
        <v>0</v>
      </c>
      <c r="XU42" s="1046">
        <f>XU38+((XU40+'NF - 5 Power Mix'!XU14+'NF - 5 Power Mix'!XU15)*860/10)+((('Form Sa1'!XX835)*860)/10)+('Form Sa1'!XX814*'Form Sa1'!XX816/10)-'NF - 5 Power Mix'!XU21-'NF - 5 Power Mix'!XU22</f>
        <v>0</v>
      </c>
      <c r="XV42" s="1046">
        <f>XV38+((XV40+'NF - 5 Power Mix'!XV14+'NF - 5 Power Mix'!XV15)*860/10)+((('Form Sa1'!XY835)*860)/10)+('Form Sa1'!XY814*'Form Sa1'!XY816/10)-'NF - 5 Power Mix'!XV21-'NF - 5 Power Mix'!XV22</f>
        <v>0</v>
      </c>
      <c r="XW42" s="1046">
        <f>XW38+((XW40+'NF - 5 Power Mix'!XW14+'NF - 5 Power Mix'!XW15)*860/10)+((('Form Sa1'!XZ835)*860)/10)+('Form Sa1'!XZ814*'Form Sa1'!XZ816/10)-'NF - 5 Power Mix'!XW21-'NF - 5 Power Mix'!XW22</f>
        <v>0</v>
      </c>
      <c r="XX42" s="1046">
        <f>XX38+((XX40+'NF - 5 Power Mix'!XX14+'NF - 5 Power Mix'!XX15)*860/10)+((('Form Sa1'!YA835)*860)/10)+('Form Sa1'!YA814*'Form Sa1'!YA816/10)-'NF - 5 Power Mix'!XX21-'NF - 5 Power Mix'!XX22</f>
        <v>0</v>
      </c>
      <c r="XY42" s="1046">
        <f>XY38+((XY40+'NF - 5 Power Mix'!XY14+'NF - 5 Power Mix'!XY15)*860/10)+((('Form Sa1'!YB835)*860)/10)+('Form Sa1'!YB814*'Form Sa1'!YB816/10)-'NF - 5 Power Mix'!XY21-'NF - 5 Power Mix'!XY22</f>
        <v>0</v>
      </c>
      <c r="XZ42" s="1046">
        <f>XZ38+((XZ40+'NF - 5 Power Mix'!XZ14+'NF - 5 Power Mix'!XZ15)*860/10)+((('Form Sa1'!YC835)*860)/10)+('Form Sa1'!YC814*'Form Sa1'!YC816/10)-'NF - 5 Power Mix'!XZ21-'NF - 5 Power Mix'!XZ22</f>
        <v>0</v>
      </c>
      <c r="YA42" s="1046">
        <f>YA38+((YA40+'NF - 5 Power Mix'!YA14+'NF - 5 Power Mix'!YA15)*860/10)+((('Form Sa1'!YD835)*860)/10)+('Form Sa1'!YD814*'Form Sa1'!YD816/10)-'NF - 5 Power Mix'!YA21-'NF - 5 Power Mix'!YA22</f>
        <v>0</v>
      </c>
      <c r="YB42" s="1046">
        <f>YB38+((YB40+'NF - 5 Power Mix'!YB14+'NF - 5 Power Mix'!YB15)*860/10)+((('Form Sa1'!YE835)*860)/10)+('Form Sa1'!YE814*'Form Sa1'!YE816/10)-'NF - 5 Power Mix'!YB21-'NF - 5 Power Mix'!YB22</f>
        <v>0</v>
      </c>
      <c r="YC42" s="1046">
        <f>YC38+((YC40+'NF - 5 Power Mix'!YC14+'NF - 5 Power Mix'!YC15)*860/10)+((('Form Sa1'!YF835)*860)/10)+('Form Sa1'!YF814*'Form Sa1'!YF816/10)-'NF - 5 Power Mix'!YC21-'NF - 5 Power Mix'!YC22</f>
        <v>0</v>
      </c>
      <c r="YD42" s="1046">
        <f>YD38+((YD40+'NF - 5 Power Mix'!YD14+'NF - 5 Power Mix'!YD15)*860/10)+((('Form Sa1'!YG835)*860)/10)+('Form Sa1'!YG814*'Form Sa1'!YG816/10)-'NF - 5 Power Mix'!YD21-'NF - 5 Power Mix'!YD22</f>
        <v>0</v>
      </c>
      <c r="YE42" s="1046">
        <f>YE38+((YE40+'NF - 5 Power Mix'!YE14+'NF - 5 Power Mix'!YE15)*860/10)+((('Form Sa1'!YH835)*860)/10)+('Form Sa1'!YH814*'Form Sa1'!YH816/10)-'NF - 5 Power Mix'!YE21-'NF - 5 Power Mix'!YE22</f>
        <v>0</v>
      </c>
      <c r="YF42" s="1046">
        <f>YF38+((YF40+'NF - 5 Power Mix'!YF14+'NF - 5 Power Mix'!YF15)*860/10)+((('Form Sa1'!YI835)*860)/10)+('Form Sa1'!YI814*'Form Sa1'!YI816/10)-'NF - 5 Power Mix'!YF21-'NF - 5 Power Mix'!YF22</f>
        <v>0</v>
      </c>
      <c r="YG42" s="1046">
        <f>YG38+((YG40+'NF - 5 Power Mix'!YG14+'NF - 5 Power Mix'!YG15)*860/10)+((('Form Sa1'!YJ835)*860)/10)+('Form Sa1'!YJ814*'Form Sa1'!YJ816/10)-'NF - 5 Power Mix'!YG21-'NF - 5 Power Mix'!YG22</f>
        <v>0</v>
      </c>
      <c r="YH42" s="1046">
        <f>YH38+((YH40+'NF - 5 Power Mix'!YH14+'NF - 5 Power Mix'!YH15)*860/10)+((('Form Sa1'!YK835)*860)/10)+('Form Sa1'!YK814*'Form Sa1'!YK816/10)-'NF - 5 Power Mix'!YH21-'NF - 5 Power Mix'!YH22</f>
        <v>0</v>
      </c>
      <c r="YI42" s="1046">
        <f>YI38+((YI40+'NF - 5 Power Mix'!YI14+'NF - 5 Power Mix'!YI15)*860/10)+((('Form Sa1'!YL835)*860)/10)+('Form Sa1'!YL814*'Form Sa1'!YL816/10)-'NF - 5 Power Mix'!YI21-'NF - 5 Power Mix'!YI22</f>
        <v>0</v>
      </c>
      <c r="YJ42" s="1046">
        <f>YJ38+((YJ40+'NF - 5 Power Mix'!YJ14+'NF - 5 Power Mix'!YJ15)*860/10)+((('Form Sa1'!YM835)*860)/10)+('Form Sa1'!YM814*'Form Sa1'!YM816/10)-'NF - 5 Power Mix'!YJ21-'NF - 5 Power Mix'!YJ22</f>
        <v>0</v>
      </c>
      <c r="YK42" s="1046">
        <f>YK38+((YK40+'NF - 5 Power Mix'!YK14+'NF - 5 Power Mix'!YK15)*860/10)+((('Form Sa1'!YN835)*860)/10)+('Form Sa1'!YN814*'Form Sa1'!YN816/10)-'NF - 5 Power Mix'!YK21-'NF - 5 Power Mix'!YK22</f>
        <v>0</v>
      </c>
      <c r="YL42" s="1046">
        <f>YL38+((YL40+'NF - 5 Power Mix'!YL14+'NF - 5 Power Mix'!YL15)*860/10)+((('Form Sa1'!YO835)*860)/10)+('Form Sa1'!YO814*'Form Sa1'!YO816/10)-'NF - 5 Power Mix'!YL21-'NF - 5 Power Mix'!YL22</f>
        <v>0</v>
      </c>
      <c r="YM42" s="1046">
        <f>YM38+((YM40+'NF - 5 Power Mix'!YM14+'NF - 5 Power Mix'!YM15)*860/10)+((('Form Sa1'!YP835)*860)/10)+('Form Sa1'!YP814*'Form Sa1'!YP816/10)-'NF - 5 Power Mix'!YM21-'NF - 5 Power Mix'!YM22</f>
        <v>0</v>
      </c>
      <c r="YN42" s="1046">
        <f>YN38+((YN40+'NF - 5 Power Mix'!YN14+'NF - 5 Power Mix'!YN15)*860/10)+((('Form Sa1'!YQ835)*860)/10)+('Form Sa1'!YQ814*'Form Sa1'!YQ816/10)-'NF - 5 Power Mix'!YN21-'NF - 5 Power Mix'!YN22</f>
        <v>0</v>
      </c>
      <c r="YO42" s="1046">
        <f>YO38+((YO40+'NF - 5 Power Mix'!YO14+'NF - 5 Power Mix'!YO15)*860/10)+((('Form Sa1'!YR835)*860)/10)+('Form Sa1'!YR814*'Form Sa1'!YR816/10)-'NF - 5 Power Mix'!YO21-'NF - 5 Power Mix'!YO22</f>
        <v>0</v>
      </c>
      <c r="YP42" s="1046">
        <f>YP38+((YP40+'NF - 5 Power Mix'!YP14+'NF - 5 Power Mix'!YP15)*860/10)+((('Form Sa1'!YS835)*860)/10)+('Form Sa1'!YS814*'Form Sa1'!YS816/10)-'NF - 5 Power Mix'!YP21-'NF - 5 Power Mix'!YP22</f>
        <v>0</v>
      </c>
      <c r="YQ42" s="1046">
        <f>YQ38+((YQ40+'NF - 5 Power Mix'!YQ14+'NF - 5 Power Mix'!YQ15)*860/10)+((('Form Sa1'!YT835)*860)/10)+('Form Sa1'!YT814*'Form Sa1'!YT816/10)-'NF - 5 Power Mix'!YQ21-'NF - 5 Power Mix'!YQ22</f>
        <v>0</v>
      </c>
      <c r="YR42" s="1046">
        <f>YR38+((YR40+'NF - 5 Power Mix'!YR14+'NF - 5 Power Mix'!YR15)*860/10)+((('Form Sa1'!YU835)*860)/10)+('Form Sa1'!YU814*'Form Sa1'!YU816/10)-'NF - 5 Power Mix'!YR21-'NF - 5 Power Mix'!YR22</f>
        <v>0</v>
      </c>
      <c r="YS42" s="1046">
        <f>YS38+((YS40+'NF - 5 Power Mix'!YS14+'NF - 5 Power Mix'!YS15)*860/10)+((('Form Sa1'!YV835)*860)/10)+('Form Sa1'!YV814*'Form Sa1'!YV816/10)-'NF - 5 Power Mix'!YS21-'NF - 5 Power Mix'!YS22</f>
        <v>0</v>
      </c>
      <c r="YT42" s="1046">
        <f>YT38+((YT40+'NF - 5 Power Mix'!YT14+'NF - 5 Power Mix'!YT15)*860/10)+((('Form Sa1'!YW835)*860)/10)+('Form Sa1'!YW814*'Form Sa1'!YW816/10)-'NF - 5 Power Mix'!YT21-'NF - 5 Power Mix'!YT22</f>
        <v>0</v>
      </c>
      <c r="YU42" s="1046">
        <f>YU38+((YU40+'NF - 5 Power Mix'!YU14+'NF - 5 Power Mix'!YU15)*860/10)+((('Form Sa1'!YX835)*860)/10)+('Form Sa1'!YX814*'Form Sa1'!YX816/10)-'NF - 5 Power Mix'!YU21-'NF - 5 Power Mix'!YU22</f>
        <v>0</v>
      </c>
      <c r="YV42" s="1046">
        <f>YV38+((YV40+'NF - 5 Power Mix'!YV14+'NF - 5 Power Mix'!YV15)*860/10)+((('Form Sa1'!YY835)*860)/10)+('Form Sa1'!YY814*'Form Sa1'!YY816/10)-'NF - 5 Power Mix'!YV21-'NF - 5 Power Mix'!YV22</f>
        <v>0</v>
      </c>
      <c r="YW42" s="1046">
        <f>YW38+((YW40+'NF - 5 Power Mix'!YW14+'NF - 5 Power Mix'!YW15)*860/10)+((('Form Sa1'!YZ835)*860)/10)+('Form Sa1'!YZ814*'Form Sa1'!YZ816/10)-'NF - 5 Power Mix'!YW21-'NF - 5 Power Mix'!YW22</f>
        <v>0</v>
      </c>
      <c r="YX42" s="1046">
        <f>YX38+((YX40+'NF - 5 Power Mix'!YX14+'NF - 5 Power Mix'!YX15)*860/10)+((('Form Sa1'!ZA835)*860)/10)+('Form Sa1'!ZA814*'Form Sa1'!ZA816/10)-'NF - 5 Power Mix'!YX21-'NF - 5 Power Mix'!YX22</f>
        <v>0</v>
      </c>
      <c r="YY42" s="1046">
        <f>YY38+((YY40+'NF - 5 Power Mix'!YY14+'NF - 5 Power Mix'!YY15)*860/10)+((('Form Sa1'!ZB835)*860)/10)+('Form Sa1'!ZB814*'Form Sa1'!ZB816/10)-'NF - 5 Power Mix'!YY21-'NF - 5 Power Mix'!YY22</f>
        <v>0</v>
      </c>
      <c r="YZ42" s="1046">
        <f>YZ38+((YZ40+'NF - 5 Power Mix'!YZ14+'NF - 5 Power Mix'!YZ15)*860/10)+((('Form Sa1'!ZC835)*860)/10)+('Form Sa1'!ZC814*'Form Sa1'!ZC816/10)-'NF - 5 Power Mix'!YZ21-'NF - 5 Power Mix'!YZ22</f>
        <v>0</v>
      </c>
      <c r="ZA42" s="1046">
        <f>ZA38+((ZA40+'NF - 5 Power Mix'!ZA14+'NF - 5 Power Mix'!ZA15)*860/10)+((('Form Sa1'!ZD835)*860)/10)+('Form Sa1'!ZD814*'Form Sa1'!ZD816/10)-'NF - 5 Power Mix'!ZA21-'NF - 5 Power Mix'!ZA22</f>
        <v>0</v>
      </c>
      <c r="ZB42" s="1046">
        <f>ZB38+((ZB40+'NF - 5 Power Mix'!ZB14+'NF - 5 Power Mix'!ZB15)*860/10)+((('Form Sa1'!ZE835)*860)/10)+('Form Sa1'!ZE814*'Form Sa1'!ZE816/10)-'NF - 5 Power Mix'!ZB21-'NF - 5 Power Mix'!ZB22</f>
        <v>0</v>
      </c>
      <c r="ZC42" s="1046">
        <f>ZC38+((ZC40+'NF - 5 Power Mix'!ZC14+'NF - 5 Power Mix'!ZC15)*860/10)+((('Form Sa1'!ZF835)*860)/10)+('Form Sa1'!ZF814*'Form Sa1'!ZF816/10)-'NF - 5 Power Mix'!ZC21-'NF - 5 Power Mix'!ZC22</f>
        <v>0</v>
      </c>
      <c r="ZD42" s="1046">
        <f>ZD38+((ZD40+'NF - 5 Power Mix'!ZD14+'NF - 5 Power Mix'!ZD15)*860/10)+((('Form Sa1'!ZG835)*860)/10)+('Form Sa1'!ZG814*'Form Sa1'!ZG816/10)-'NF - 5 Power Mix'!ZD21-'NF - 5 Power Mix'!ZD22</f>
        <v>0</v>
      </c>
      <c r="ZE42" s="1046">
        <f>ZE38+((ZE40+'NF - 5 Power Mix'!ZE14+'NF - 5 Power Mix'!ZE15)*860/10)+((('Form Sa1'!ZH835)*860)/10)+('Form Sa1'!ZH814*'Form Sa1'!ZH816/10)-'NF - 5 Power Mix'!ZE21-'NF - 5 Power Mix'!ZE22</f>
        <v>0</v>
      </c>
      <c r="ZF42" s="1046">
        <f>ZF38+((ZF40+'NF - 5 Power Mix'!ZF14+'NF - 5 Power Mix'!ZF15)*860/10)+((('Form Sa1'!ZI835)*860)/10)+('Form Sa1'!ZI814*'Form Sa1'!ZI816/10)-'NF - 5 Power Mix'!ZF21-'NF - 5 Power Mix'!ZF22</f>
        <v>0</v>
      </c>
      <c r="ZG42" s="1046">
        <f>ZG38+((ZG40+'NF - 5 Power Mix'!ZG14+'NF - 5 Power Mix'!ZG15)*860/10)+((('Form Sa1'!ZJ835)*860)/10)+('Form Sa1'!ZJ814*'Form Sa1'!ZJ816/10)-'NF - 5 Power Mix'!ZG21-'NF - 5 Power Mix'!ZG22</f>
        <v>0</v>
      </c>
      <c r="ZH42" s="1046">
        <f>ZH38+((ZH40+'NF - 5 Power Mix'!ZH14+'NF - 5 Power Mix'!ZH15)*860/10)+((('Form Sa1'!ZK835)*860)/10)+('Form Sa1'!ZK814*'Form Sa1'!ZK816/10)-'NF - 5 Power Mix'!ZH21-'NF - 5 Power Mix'!ZH22</f>
        <v>0</v>
      </c>
      <c r="ZI42" s="1046">
        <f>ZI38+((ZI40+'NF - 5 Power Mix'!ZI14+'NF - 5 Power Mix'!ZI15)*860/10)+((('Form Sa1'!ZL835)*860)/10)+('Form Sa1'!ZL814*'Form Sa1'!ZL816/10)-'NF - 5 Power Mix'!ZI21-'NF - 5 Power Mix'!ZI22</f>
        <v>0</v>
      </c>
      <c r="ZJ42" s="1046">
        <f>ZJ38+((ZJ40+'NF - 5 Power Mix'!ZJ14+'NF - 5 Power Mix'!ZJ15)*860/10)+((('Form Sa1'!ZM835)*860)/10)+('Form Sa1'!ZM814*'Form Sa1'!ZM816/10)-'NF - 5 Power Mix'!ZJ21-'NF - 5 Power Mix'!ZJ22</f>
        <v>0</v>
      </c>
      <c r="ZK42" s="1046">
        <f>ZK38+((ZK40+'NF - 5 Power Mix'!ZK14+'NF - 5 Power Mix'!ZK15)*860/10)+((('Form Sa1'!ZN835)*860)/10)+('Form Sa1'!ZN814*'Form Sa1'!ZN816/10)-'NF - 5 Power Mix'!ZK21-'NF - 5 Power Mix'!ZK22</f>
        <v>0</v>
      </c>
      <c r="ZL42" s="1046">
        <f>ZL38+((ZL40+'NF - 5 Power Mix'!ZL14+'NF - 5 Power Mix'!ZL15)*860/10)+((('Form Sa1'!ZO835)*860)/10)+('Form Sa1'!ZO814*'Form Sa1'!ZO816/10)-'NF - 5 Power Mix'!ZL21-'NF - 5 Power Mix'!ZL22</f>
        <v>0</v>
      </c>
      <c r="ZM42" s="1046">
        <f>ZM38+((ZM40+'NF - 5 Power Mix'!ZM14+'NF - 5 Power Mix'!ZM15)*860/10)+((('Form Sa1'!ZP835)*860)/10)+('Form Sa1'!ZP814*'Form Sa1'!ZP816/10)-'NF - 5 Power Mix'!ZM21-'NF - 5 Power Mix'!ZM22</f>
        <v>0</v>
      </c>
      <c r="ZN42" s="1046">
        <f>ZN38+((ZN40+'NF - 5 Power Mix'!ZN14+'NF - 5 Power Mix'!ZN15)*860/10)+((('Form Sa1'!ZQ835)*860)/10)+('Form Sa1'!ZQ814*'Form Sa1'!ZQ816/10)-'NF - 5 Power Mix'!ZN21-'NF - 5 Power Mix'!ZN22</f>
        <v>0</v>
      </c>
      <c r="ZO42" s="1046">
        <f>ZO38+((ZO40+'NF - 5 Power Mix'!ZO14+'NF - 5 Power Mix'!ZO15)*860/10)+((('Form Sa1'!ZR835)*860)/10)+('Form Sa1'!ZR814*'Form Sa1'!ZR816/10)-'NF - 5 Power Mix'!ZO21-'NF - 5 Power Mix'!ZO22</f>
        <v>0</v>
      </c>
      <c r="ZP42" s="1046">
        <f>ZP38+((ZP40+'NF - 5 Power Mix'!ZP14+'NF - 5 Power Mix'!ZP15)*860/10)+((('Form Sa1'!ZS835)*860)/10)+('Form Sa1'!ZS814*'Form Sa1'!ZS816/10)-'NF - 5 Power Mix'!ZP21-'NF - 5 Power Mix'!ZP22</f>
        <v>0</v>
      </c>
      <c r="ZQ42" s="1046">
        <f>ZQ38+((ZQ40+'NF - 5 Power Mix'!ZQ14+'NF - 5 Power Mix'!ZQ15)*860/10)+((('Form Sa1'!ZT835)*860)/10)+('Form Sa1'!ZT814*'Form Sa1'!ZT816/10)-'NF - 5 Power Mix'!ZQ21-'NF - 5 Power Mix'!ZQ22</f>
        <v>0</v>
      </c>
      <c r="ZR42" s="1046">
        <f>ZR38+((ZR40+'NF - 5 Power Mix'!ZR14+'NF - 5 Power Mix'!ZR15)*860/10)+((('Form Sa1'!ZU835)*860)/10)+('Form Sa1'!ZU814*'Form Sa1'!ZU816/10)-'NF - 5 Power Mix'!ZR21-'NF - 5 Power Mix'!ZR22</f>
        <v>0</v>
      </c>
      <c r="ZS42" s="1046">
        <f>ZS38+((ZS40+'NF - 5 Power Mix'!ZS14+'NF - 5 Power Mix'!ZS15)*860/10)+((('Form Sa1'!ZV835)*860)/10)+('Form Sa1'!ZV814*'Form Sa1'!ZV816/10)-'NF - 5 Power Mix'!ZS21-'NF - 5 Power Mix'!ZS22</f>
        <v>0</v>
      </c>
      <c r="ZT42" s="1046">
        <f>ZT38+((ZT40+'NF - 5 Power Mix'!ZT14+'NF - 5 Power Mix'!ZT15)*860/10)+((('Form Sa1'!ZW835)*860)/10)+('Form Sa1'!ZW814*'Form Sa1'!ZW816/10)-'NF - 5 Power Mix'!ZT21-'NF - 5 Power Mix'!ZT22</f>
        <v>0</v>
      </c>
      <c r="ZU42" s="1046">
        <f>ZU38+((ZU40+'NF - 5 Power Mix'!ZU14+'NF - 5 Power Mix'!ZU15)*860/10)+((('Form Sa1'!ZX835)*860)/10)+('Form Sa1'!ZX814*'Form Sa1'!ZX816/10)-'NF - 5 Power Mix'!ZU21-'NF - 5 Power Mix'!ZU22</f>
        <v>0</v>
      </c>
      <c r="ZV42" s="1046">
        <f>ZV38+((ZV40+'NF - 5 Power Mix'!ZV14+'NF - 5 Power Mix'!ZV15)*860/10)+((('Form Sa1'!ZY835)*860)/10)+('Form Sa1'!ZY814*'Form Sa1'!ZY816/10)-'NF - 5 Power Mix'!ZV21-'NF - 5 Power Mix'!ZV22</f>
        <v>0</v>
      </c>
      <c r="ZW42" s="1046">
        <f>ZW38+((ZW40+'NF - 5 Power Mix'!ZW14+'NF - 5 Power Mix'!ZW15)*860/10)+((('Form Sa1'!ZZ835)*860)/10)+('Form Sa1'!ZZ814*'Form Sa1'!ZZ816/10)-'NF - 5 Power Mix'!ZW21-'NF - 5 Power Mix'!ZW22</f>
        <v>0</v>
      </c>
      <c r="ZX42" s="1046">
        <f>ZX38+((ZX40+'NF - 5 Power Mix'!ZX14+'NF - 5 Power Mix'!ZX15)*860/10)+((('Form Sa1'!AAA835)*860)/10)+('Form Sa1'!AAA814*'Form Sa1'!AAA816/10)-'NF - 5 Power Mix'!ZX21-'NF - 5 Power Mix'!ZX22</f>
        <v>0</v>
      </c>
      <c r="ZY42" s="1046">
        <f>ZY38+((ZY40+'NF - 5 Power Mix'!ZY14+'NF - 5 Power Mix'!ZY15)*860/10)+((('Form Sa1'!AAB835)*860)/10)+('Form Sa1'!AAB814*'Form Sa1'!AAB816/10)-'NF - 5 Power Mix'!ZY21-'NF - 5 Power Mix'!ZY22</f>
        <v>0</v>
      </c>
      <c r="ZZ42" s="1046">
        <f>ZZ38+((ZZ40+'NF - 5 Power Mix'!ZZ14+'NF - 5 Power Mix'!ZZ15)*860/10)+((('Form Sa1'!AAC835)*860)/10)+('Form Sa1'!AAC814*'Form Sa1'!AAC816/10)-'NF - 5 Power Mix'!ZZ21-'NF - 5 Power Mix'!ZZ22</f>
        <v>0</v>
      </c>
      <c r="AAA42" s="1046">
        <f>AAA38+((AAA40+'NF - 5 Power Mix'!AAA14+'NF - 5 Power Mix'!AAA15)*860/10)+((('Form Sa1'!AAD835)*860)/10)+('Form Sa1'!AAD814*'Form Sa1'!AAD816/10)-'NF - 5 Power Mix'!AAA21-'NF - 5 Power Mix'!AAA22</f>
        <v>0</v>
      </c>
      <c r="AAB42" s="1046">
        <f>AAB38+((AAB40+'NF - 5 Power Mix'!AAB14+'NF - 5 Power Mix'!AAB15)*860/10)+((('Form Sa1'!AAE835)*860)/10)+('Form Sa1'!AAE814*'Form Sa1'!AAE816/10)-'NF - 5 Power Mix'!AAB21-'NF - 5 Power Mix'!AAB22</f>
        <v>0</v>
      </c>
      <c r="AAC42" s="1046">
        <f>AAC38+((AAC40+'NF - 5 Power Mix'!AAC14+'NF - 5 Power Mix'!AAC15)*860/10)+((('Form Sa1'!AAF835)*860)/10)+('Form Sa1'!AAF814*'Form Sa1'!AAF816/10)-'NF - 5 Power Mix'!AAC21-'NF - 5 Power Mix'!AAC22</f>
        <v>0</v>
      </c>
      <c r="AAD42" s="1046">
        <f>AAD38+((AAD40+'NF - 5 Power Mix'!AAD14+'NF - 5 Power Mix'!AAD15)*860/10)+((('Form Sa1'!AAG835)*860)/10)+('Form Sa1'!AAG814*'Form Sa1'!AAG816/10)-'NF - 5 Power Mix'!AAD21-'NF - 5 Power Mix'!AAD22</f>
        <v>0</v>
      </c>
      <c r="AAE42" s="1046">
        <f>AAE38+((AAE40+'NF - 5 Power Mix'!AAE14+'NF - 5 Power Mix'!AAE15)*860/10)+((('Form Sa1'!AAH835)*860)/10)+('Form Sa1'!AAH814*'Form Sa1'!AAH816/10)-'NF - 5 Power Mix'!AAE21-'NF - 5 Power Mix'!AAE22</f>
        <v>0</v>
      </c>
      <c r="AAF42" s="1046">
        <f>AAF38+((AAF40+'NF - 5 Power Mix'!AAF14+'NF - 5 Power Mix'!AAF15)*860/10)+((('Form Sa1'!AAI835)*860)/10)+('Form Sa1'!AAI814*'Form Sa1'!AAI816/10)-'NF - 5 Power Mix'!AAF21-'NF - 5 Power Mix'!AAF22</f>
        <v>0</v>
      </c>
      <c r="AAG42" s="1046">
        <f>AAG38+((AAG40+'NF - 5 Power Mix'!AAG14+'NF - 5 Power Mix'!AAG15)*860/10)+((('Form Sa1'!AAJ835)*860)/10)+('Form Sa1'!AAJ814*'Form Sa1'!AAJ816/10)-'NF - 5 Power Mix'!AAG21-'NF - 5 Power Mix'!AAG22</f>
        <v>0</v>
      </c>
      <c r="AAH42" s="1046">
        <f>AAH38+((AAH40+'NF - 5 Power Mix'!AAH14+'NF - 5 Power Mix'!AAH15)*860/10)+((('Form Sa1'!AAK835)*860)/10)+('Form Sa1'!AAK814*'Form Sa1'!AAK816/10)-'NF - 5 Power Mix'!AAH21-'NF - 5 Power Mix'!AAH22</f>
        <v>0</v>
      </c>
      <c r="AAI42" s="1046">
        <f>AAI38+((AAI40+'NF - 5 Power Mix'!AAI14+'NF - 5 Power Mix'!AAI15)*860/10)+((('Form Sa1'!AAL835)*860)/10)+('Form Sa1'!AAL814*'Form Sa1'!AAL816/10)-'NF - 5 Power Mix'!AAI21-'NF - 5 Power Mix'!AAI22</f>
        <v>0</v>
      </c>
      <c r="AAJ42" s="1046">
        <f>AAJ38+((AAJ40+'NF - 5 Power Mix'!AAJ14+'NF - 5 Power Mix'!AAJ15)*860/10)+((('Form Sa1'!AAM835)*860)/10)+('Form Sa1'!AAM814*'Form Sa1'!AAM816/10)-'NF - 5 Power Mix'!AAJ21-'NF - 5 Power Mix'!AAJ22</f>
        <v>0</v>
      </c>
      <c r="AAK42" s="1046">
        <f>AAK38+((AAK40+'NF - 5 Power Mix'!AAK14+'NF - 5 Power Mix'!AAK15)*860/10)+((('Form Sa1'!AAN835)*860)/10)+('Form Sa1'!AAN814*'Form Sa1'!AAN816/10)-'NF - 5 Power Mix'!AAK21-'NF - 5 Power Mix'!AAK22</f>
        <v>0</v>
      </c>
      <c r="AAL42" s="1046">
        <f>AAL38+((AAL40+'NF - 5 Power Mix'!AAL14+'NF - 5 Power Mix'!AAL15)*860/10)+((('Form Sa1'!AAO835)*860)/10)+('Form Sa1'!AAO814*'Form Sa1'!AAO816/10)-'NF - 5 Power Mix'!AAL21-'NF - 5 Power Mix'!AAL22</f>
        <v>0</v>
      </c>
      <c r="AAM42" s="1046">
        <f>AAM38+((AAM40+'NF - 5 Power Mix'!AAM14+'NF - 5 Power Mix'!AAM15)*860/10)+((('Form Sa1'!AAP835)*860)/10)+('Form Sa1'!AAP814*'Form Sa1'!AAP816/10)-'NF - 5 Power Mix'!AAM21-'NF - 5 Power Mix'!AAM22</f>
        <v>0</v>
      </c>
      <c r="AAN42" s="1046">
        <f>AAN38+((AAN40+'NF - 5 Power Mix'!AAN14+'NF - 5 Power Mix'!AAN15)*860/10)+((('Form Sa1'!AAQ835)*860)/10)+('Form Sa1'!AAQ814*'Form Sa1'!AAQ816/10)-'NF - 5 Power Mix'!AAN21-'NF - 5 Power Mix'!AAN22</f>
        <v>0</v>
      </c>
      <c r="AAO42" s="1046">
        <f>AAO38+((AAO40+'NF - 5 Power Mix'!AAO14+'NF - 5 Power Mix'!AAO15)*860/10)+((('Form Sa1'!AAR835)*860)/10)+('Form Sa1'!AAR814*'Form Sa1'!AAR816/10)-'NF - 5 Power Mix'!AAO21-'NF - 5 Power Mix'!AAO22</f>
        <v>0</v>
      </c>
      <c r="AAP42" s="1046">
        <f>AAP38+((AAP40+'NF - 5 Power Mix'!AAP14+'NF - 5 Power Mix'!AAP15)*860/10)+((('Form Sa1'!AAS835)*860)/10)+('Form Sa1'!AAS814*'Form Sa1'!AAS816/10)-'NF - 5 Power Mix'!AAP21-'NF - 5 Power Mix'!AAP22</f>
        <v>0</v>
      </c>
      <c r="AAQ42" s="1046">
        <f>AAQ38+((AAQ40+'NF - 5 Power Mix'!AAQ14+'NF - 5 Power Mix'!AAQ15)*860/10)+((('Form Sa1'!AAT835)*860)/10)+('Form Sa1'!AAT814*'Form Sa1'!AAT816/10)-'NF - 5 Power Mix'!AAQ21-'NF - 5 Power Mix'!AAQ22</f>
        <v>0</v>
      </c>
      <c r="AAR42" s="1046">
        <f>AAR38+((AAR40+'NF - 5 Power Mix'!AAR14+'NF - 5 Power Mix'!AAR15)*860/10)+((('Form Sa1'!AAU835)*860)/10)+('Form Sa1'!AAU814*'Form Sa1'!AAU816/10)-'NF - 5 Power Mix'!AAR21-'NF - 5 Power Mix'!AAR22</f>
        <v>0</v>
      </c>
      <c r="AAS42" s="1046">
        <f>AAS38+((AAS40+'NF - 5 Power Mix'!AAS14+'NF - 5 Power Mix'!AAS15)*860/10)+((('Form Sa1'!AAV835)*860)/10)+('Form Sa1'!AAV814*'Form Sa1'!AAV816/10)-'NF - 5 Power Mix'!AAS21-'NF - 5 Power Mix'!AAS22</f>
        <v>0</v>
      </c>
      <c r="AAT42" s="1046">
        <f>AAT38+((AAT40+'NF - 5 Power Mix'!AAT14+'NF - 5 Power Mix'!AAT15)*860/10)+((('Form Sa1'!AAW835)*860)/10)+('Form Sa1'!AAW814*'Form Sa1'!AAW816/10)-'NF - 5 Power Mix'!AAT21-'NF - 5 Power Mix'!AAT22</f>
        <v>0</v>
      </c>
      <c r="AAU42" s="1046">
        <f>AAU38+((AAU40+'NF - 5 Power Mix'!AAU14+'NF - 5 Power Mix'!AAU15)*860/10)+((('Form Sa1'!AAX835)*860)/10)+('Form Sa1'!AAX814*'Form Sa1'!AAX816/10)-'NF - 5 Power Mix'!AAU21-'NF - 5 Power Mix'!AAU22</f>
        <v>0</v>
      </c>
      <c r="AAV42" s="1046">
        <f>AAV38+((AAV40+'NF - 5 Power Mix'!AAV14+'NF - 5 Power Mix'!AAV15)*860/10)+((('Form Sa1'!AAY835)*860)/10)+('Form Sa1'!AAY814*'Form Sa1'!AAY816/10)-'NF - 5 Power Mix'!AAV21-'NF - 5 Power Mix'!AAV22</f>
        <v>0</v>
      </c>
      <c r="AAW42" s="1046">
        <f>AAW38+((AAW40+'NF - 5 Power Mix'!AAW14+'NF - 5 Power Mix'!AAW15)*860/10)+((('Form Sa1'!AAZ835)*860)/10)+('Form Sa1'!AAZ814*'Form Sa1'!AAZ816/10)-'NF - 5 Power Mix'!AAW21-'NF - 5 Power Mix'!AAW22</f>
        <v>0</v>
      </c>
      <c r="AAX42" s="1046">
        <f>AAX38+((AAX40+'NF - 5 Power Mix'!AAX14+'NF - 5 Power Mix'!AAX15)*860/10)+((('Form Sa1'!ABA835)*860)/10)+('Form Sa1'!ABA814*'Form Sa1'!ABA816/10)-'NF - 5 Power Mix'!AAX21-'NF - 5 Power Mix'!AAX22</f>
        <v>0</v>
      </c>
      <c r="AAY42" s="1046">
        <f>AAY38+((AAY40+'NF - 5 Power Mix'!AAY14+'NF - 5 Power Mix'!AAY15)*860/10)+((('Form Sa1'!ABB835)*860)/10)+('Form Sa1'!ABB814*'Form Sa1'!ABB816/10)-'NF - 5 Power Mix'!AAY21-'NF - 5 Power Mix'!AAY22</f>
        <v>0</v>
      </c>
      <c r="AAZ42" s="1046">
        <f>AAZ38+((AAZ40+'NF - 5 Power Mix'!AAZ14+'NF - 5 Power Mix'!AAZ15)*860/10)+((('Form Sa1'!ABC835)*860)/10)+('Form Sa1'!ABC814*'Form Sa1'!ABC816/10)-'NF - 5 Power Mix'!AAZ21-'NF - 5 Power Mix'!AAZ22</f>
        <v>0</v>
      </c>
      <c r="ABA42" s="1046">
        <f>ABA38+((ABA40+'NF - 5 Power Mix'!ABA14+'NF - 5 Power Mix'!ABA15)*860/10)+((('Form Sa1'!ABD835)*860)/10)+('Form Sa1'!ABD814*'Form Sa1'!ABD816/10)-'NF - 5 Power Mix'!ABA21-'NF - 5 Power Mix'!ABA22</f>
        <v>0</v>
      </c>
      <c r="ABB42" s="1046">
        <f>ABB38+((ABB40+'NF - 5 Power Mix'!ABB14+'NF - 5 Power Mix'!ABB15)*860/10)+((('Form Sa1'!ABE835)*860)/10)+('Form Sa1'!ABE814*'Form Sa1'!ABE816/10)-'NF - 5 Power Mix'!ABB21-'NF - 5 Power Mix'!ABB22</f>
        <v>0</v>
      </c>
      <c r="ABC42" s="1046">
        <f>ABC38+((ABC40+'NF - 5 Power Mix'!ABC14+'NF - 5 Power Mix'!ABC15)*860/10)+((('Form Sa1'!ABF835)*860)/10)+('Form Sa1'!ABF814*'Form Sa1'!ABF816/10)-'NF - 5 Power Mix'!ABC21-'NF - 5 Power Mix'!ABC22</f>
        <v>0</v>
      </c>
      <c r="ABD42" s="1046">
        <f>ABD38+((ABD40+'NF - 5 Power Mix'!ABD14+'NF - 5 Power Mix'!ABD15)*860/10)+((('Form Sa1'!ABG835)*860)/10)+('Form Sa1'!ABG814*'Form Sa1'!ABG816/10)-'NF - 5 Power Mix'!ABD21-'NF - 5 Power Mix'!ABD22</f>
        <v>0</v>
      </c>
      <c r="ABE42" s="1046">
        <f>ABE38+((ABE40+'NF - 5 Power Mix'!ABE14+'NF - 5 Power Mix'!ABE15)*860/10)+((('Form Sa1'!ABH835)*860)/10)+('Form Sa1'!ABH814*'Form Sa1'!ABH816/10)-'NF - 5 Power Mix'!ABE21-'NF - 5 Power Mix'!ABE22</f>
        <v>0</v>
      </c>
      <c r="ABF42" s="1046">
        <f>ABF38+((ABF40+'NF - 5 Power Mix'!ABF14+'NF - 5 Power Mix'!ABF15)*860/10)+((('Form Sa1'!ABI835)*860)/10)+('Form Sa1'!ABI814*'Form Sa1'!ABI816/10)-'NF - 5 Power Mix'!ABF21-'NF - 5 Power Mix'!ABF22</f>
        <v>0</v>
      </c>
      <c r="ABG42" s="1046">
        <f>ABG38+((ABG40+'NF - 5 Power Mix'!ABG14+'NF - 5 Power Mix'!ABG15)*860/10)+((('Form Sa1'!ABJ835)*860)/10)+('Form Sa1'!ABJ814*'Form Sa1'!ABJ816/10)-'NF - 5 Power Mix'!ABG21-'NF - 5 Power Mix'!ABG22</f>
        <v>0</v>
      </c>
      <c r="ABH42" s="1046">
        <f>ABH38+((ABH40+'NF - 5 Power Mix'!ABH14+'NF - 5 Power Mix'!ABH15)*860/10)+((('Form Sa1'!ABK835)*860)/10)+('Form Sa1'!ABK814*'Form Sa1'!ABK816/10)-'NF - 5 Power Mix'!ABH21-'NF - 5 Power Mix'!ABH22</f>
        <v>0</v>
      </c>
      <c r="ABI42" s="1046">
        <f>ABI38+((ABI40+'NF - 5 Power Mix'!ABI14+'NF - 5 Power Mix'!ABI15)*860/10)+((('Form Sa1'!ABL835)*860)/10)+('Form Sa1'!ABL814*'Form Sa1'!ABL816/10)-'NF - 5 Power Mix'!ABI21-'NF - 5 Power Mix'!ABI22</f>
        <v>0</v>
      </c>
      <c r="ABJ42" s="1046">
        <f>ABJ38+((ABJ40+'NF - 5 Power Mix'!ABJ14+'NF - 5 Power Mix'!ABJ15)*860/10)+((('Form Sa1'!ABM835)*860)/10)+('Form Sa1'!ABM814*'Form Sa1'!ABM816/10)-'NF - 5 Power Mix'!ABJ21-'NF - 5 Power Mix'!ABJ22</f>
        <v>0</v>
      </c>
      <c r="ABK42" s="1046">
        <f>ABK38+((ABK40+'NF - 5 Power Mix'!ABK14+'NF - 5 Power Mix'!ABK15)*860/10)+((('Form Sa1'!ABN835)*860)/10)+('Form Sa1'!ABN814*'Form Sa1'!ABN816/10)-'NF - 5 Power Mix'!ABK21-'NF - 5 Power Mix'!ABK22</f>
        <v>0</v>
      </c>
      <c r="ABL42" s="1046">
        <f>ABL38+((ABL40+'NF - 5 Power Mix'!ABL14+'NF - 5 Power Mix'!ABL15)*860/10)+((('Form Sa1'!ABO835)*860)/10)+('Form Sa1'!ABO814*'Form Sa1'!ABO816/10)-'NF - 5 Power Mix'!ABL21-'NF - 5 Power Mix'!ABL22</f>
        <v>0</v>
      </c>
      <c r="ABM42" s="1046">
        <f>ABM38+((ABM40+'NF - 5 Power Mix'!ABM14+'NF - 5 Power Mix'!ABM15)*860/10)+((('Form Sa1'!ABP835)*860)/10)+('Form Sa1'!ABP814*'Form Sa1'!ABP816/10)-'NF - 5 Power Mix'!ABM21-'NF - 5 Power Mix'!ABM22</f>
        <v>0</v>
      </c>
      <c r="ABN42" s="1046">
        <f>ABN38+((ABN40+'NF - 5 Power Mix'!ABN14+'NF - 5 Power Mix'!ABN15)*860/10)+((('Form Sa1'!ABQ835)*860)/10)+('Form Sa1'!ABQ814*'Form Sa1'!ABQ816/10)-'NF - 5 Power Mix'!ABN21-'NF - 5 Power Mix'!ABN22</f>
        <v>0</v>
      </c>
      <c r="ABO42" s="1046">
        <f>ABO38+((ABO40+'NF - 5 Power Mix'!ABO14+'NF - 5 Power Mix'!ABO15)*860/10)+((('Form Sa1'!ABR835)*860)/10)+('Form Sa1'!ABR814*'Form Sa1'!ABR816/10)-'NF - 5 Power Mix'!ABO21-'NF - 5 Power Mix'!ABO22</f>
        <v>0</v>
      </c>
      <c r="ABP42" s="1046">
        <f>ABP38+((ABP40+'NF - 5 Power Mix'!ABP14+'NF - 5 Power Mix'!ABP15)*860/10)+((('Form Sa1'!ABS835)*860)/10)+('Form Sa1'!ABS814*'Form Sa1'!ABS816/10)-'NF - 5 Power Mix'!ABP21-'NF - 5 Power Mix'!ABP22</f>
        <v>0</v>
      </c>
      <c r="ABQ42" s="1046">
        <f>ABQ38+((ABQ40+'NF - 5 Power Mix'!ABQ14+'NF - 5 Power Mix'!ABQ15)*860/10)+((('Form Sa1'!ABT835)*860)/10)+('Form Sa1'!ABT814*'Form Sa1'!ABT816/10)-'NF - 5 Power Mix'!ABQ21-'NF - 5 Power Mix'!ABQ22</f>
        <v>0</v>
      </c>
      <c r="ABR42" s="1046">
        <f>ABR38+((ABR40+'NF - 5 Power Mix'!ABR14+'NF - 5 Power Mix'!ABR15)*860/10)+((('Form Sa1'!ABU835)*860)/10)+('Form Sa1'!ABU814*'Form Sa1'!ABU816/10)-'NF - 5 Power Mix'!ABR21-'NF - 5 Power Mix'!ABR22</f>
        <v>0</v>
      </c>
      <c r="ABS42" s="1046">
        <f>ABS38+((ABS40+'NF - 5 Power Mix'!ABS14+'NF - 5 Power Mix'!ABS15)*860/10)+((('Form Sa1'!ABV835)*860)/10)+('Form Sa1'!ABV814*'Form Sa1'!ABV816/10)-'NF - 5 Power Mix'!ABS21-'NF - 5 Power Mix'!ABS22</f>
        <v>0</v>
      </c>
      <c r="ABT42" s="1046">
        <f>ABT38+((ABT40+'NF - 5 Power Mix'!ABT14+'NF - 5 Power Mix'!ABT15)*860/10)+((('Form Sa1'!ABW835)*860)/10)+('Form Sa1'!ABW814*'Form Sa1'!ABW816/10)-'NF - 5 Power Mix'!ABT21-'NF - 5 Power Mix'!ABT22</f>
        <v>0</v>
      </c>
      <c r="ABU42" s="1046">
        <f>ABU38+((ABU40+'NF - 5 Power Mix'!ABU14+'NF - 5 Power Mix'!ABU15)*860/10)+((('Form Sa1'!ABX835)*860)/10)+('Form Sa1'!ABX814*'Form Sa1'!ABX816/10)-'NF - 5 Power Mix'!ABU21-'NF - 5 Power Mix'!ABU22</f>
        <v>0</v>
      </c>
      <c r="ABV42" s="1046">
        <f>ABV38+((ABV40+'NF - 5 Power Mix'!ABV14+'NF - 5 Power Mix'!ABV15)*860/10)+((('Form Sa1'!ABY835)*860)/10)+('Form Sa1'!ABY814*'Form Sa1'!ABY816/10)-'NF - 5 Power Mix'!ABV21-'NF - 5 Power Mix'!ABV22</f>
        <v>0</v>
      </c>
      <c r="ABW42" s="1046">
        <f>ABW38+((ABW40+'NF - 5 Power Mix'!ABW14+'NF - 5 Power Mix'!ABW15)*860/10)+((('Form Sa1'!ABZ835)*860)/10)+('Form Sa1'!ABZ814*'Form Sa1'!ABZ816/10)-'NF - 5 Power Mix'!ABW21-'NF - 5 Power Mix'!ABW22</f>
        <v>0</v>
      </c>
      <c r="ABX42" s="1046">
        <f>ABX38+((ABX40+'NF - 5 Power Mix'!ABX14+'NF - 5 Power Mix'!ABX15)*860/10)+((('Form Sa1'!ACA835)*860)/10)+('Form Sa1'!ACA814*'Form Sa1'!ACA816/10)-'NF - 5 Power Mix'!ABX21-'NF - 5 Power Mix'!ABX22</f>
        <v>0</v>
      </c>
      <c r="ABY42" s="1046">
        <f>ABY38+((ABY40+'NF - 5 Power Mix'!ABY14+'NF - 5 Power Mix'!ABY15)*860/10)+((('Form Sa1'!ACB835)*860)/10)+('Form Sa1'!ACB814*'Form Sa1'!ACB816/10)-'NF - 5 Power Mix'!ABY21-'NF - 5 Power Mix'!ABY22</f>
        <v>0</v>
      </c>
      <c r="ABZ42" s="1046">
        <f>ABZ38+((ABZ40+'NF - 5 Power Mix'!ABZ14+'NF - 5 Power Mix'!ABZ15)*860/10)+((('Form Sa1'!ACC835)*860)/10)+('Form Sa1'!ACC814*'Form Sa1'!ACC816/10)-'NF - 5 Power Mix'!ABZ21-'NF - 5 Power Mix'!ABZ22</f>
        <v>0</v>
      </c>
      <c r="ACA42" s="1046">
        <f>ACA38+((ACA40+'NF - 5 Power Mix'!ACA14+'NF - 5 Power Mix'!ACA15)*860/10)+((('Form Sa1'!ACD835)*860)/10)+('Form Sa1'!ACD814*'Form Sa1'!ACD816/10)-'NF - 5 Power Mix'!ACA21-'NF - 5 Power Mix'!ACA22</f>
        <v>0</v>
      </c>
      <c r="ACB42" s="1046">
        <f>ACB38+((ACB40+'NF - 5 Power Mix'!ACB14+'NF - 5 Power Mix'!ACB15)*860/10)+((('Form Sa1'!ACE835)*860)/10)+('Form Sa1'!ACE814*'Form Sa1'!ACE816/10)-'NF - 5 Power Mix'!ACB21-'NF - 5 Power Mix'!ACB22</f>
        <v>0</v>
      </c>
      <c r="ACC42" s="1046">
        <f>ACC38+((ACC40+'NF - 5 Power Mix'!ACC14+'NF - 5 Power Mix'!ACC15)*860/10)+((('Form Sa1'!ACF835)*860)/10)+('Form Sa1'!ACF814*'Form Sa1'!ACF816/10)-'NF - 5 Power Mix'!ACC21-'NF - 5 Power Mix'!ACC22</f>
        <v>0</v>
      </c>
      <c r="ACD42" s="1046">
        <f>ACD38+((ACD40+'NF - 5 Power Mix'!ACD14+'NF - 5 Power Mix'!ACD15)*860/10)+((('Form Sa1'!ACG835)*860)/10)+('Form Sa1'!ACG814*'Form Sa1'!ACG816/10)-'NF - 5 Power Mix'!ACD21-'NF - 5 Power Mix'!ACD22</f>
        <v>0</v>
      </c>
      <c r="ACE42" s="1046">
        <f>ACE38+((ACE40+'NF - 5 Power Mix'!ACE14+'NF - 5 Power Mix'!ACE15)*860/10)+((('Form Sa1'!ACH835)*860)/10)+('Form Sa1'!ACH814*'Form Sa1'!ACH816/10)-'NF - 5 Power Mix'!ACE21-'NF - 5 Power Mix'!ACE22</f>
        <v>0</v>
      </c>
      <c r="ACF42" s="1046">
        <f>ACF38+((ACF40+'NF - 5 Power Mix'!ACF14+'NF - 5 Power Mix'!ACF15)*860/10)+((('Form Sa1'!ACI835)*860)/10)+('Form Sa1'!ACI814*'Form Sa1'!ACI816/10)-'NF - 5 Power Mix'!ACF21-'NF - 5 Power Mix'!ACF22</f>
        <v>0</v>
      </c>
      <c r="ACG42" s="1046">
        <f>ACG38+((ACG40+'NF - 5 Power Mix'!ACG14+'NF - 5 Power Mix'!ACG15)*860/10)+((('Form Sa1'!ACJ835)*860)/10)+('Form Sa1'!ACJ814*'Form Sa1'!ACJ816/10)-'NF - 5 Power Mix'!ACG21-'NF - 5 Power Mix'!ACG22</f>
        <v>0</v>
      </c>
      <c r="ACH42" s="1046">
        <f>ACH38+((ACH40+'NF - 5 Power Mix'!ACH14+'NF - 5 Power Mix'!ACH15)*860/10)+((('Form Sa1'!ACK835)*860)/10)+('Form Sa1'!ACK814*'Form Sa1'!ACK816/10)-'NF - 5 Power Mix'!ACH21-'NF - 5 Power Mix'!ACH22</f>
        <v>0</v>
      </c>
      <c r="ACI42" s="1046">
        <f>ACI38+((ACI40+'NF - 5 Power Mix'!ACI14+'NF - 5 Power Mix'!ACI15)*860/10)+((('Form Sa1'!ACL835)*860)/10)+('Form Sa1'!ACL814*'Form Sa1'!ACL816/10)-'NF - 5 Power Mix'!ACI21-'NF - 5 Power Mix'!ACI22</f>
        <v>0</v>
      </c>
      <c r="ACJ42" s="1046">
        <f>ACJ38+((ACJ40+'NF - 5 Power Mix'!ACJ14+'NF - 5 Power Mix'!ACJ15)*860/10)+((('Form Sa1'!ACM835)*860)/10)+('Form Sa1'!ACM814*'Form Sa1'!ACM816/10)-'NF - 5 Power Mix'!ACJ21-'NF - 5 Power Mix'!ACJ22</f>
        <v>0</v>
      </c>
      <c r="ACK42" s="1046">
        <f>ACK38+((ACK40+'NF - 5 Power Mix'!ACK14+'NF - 5 Power Mix'!ACK15)*860/10)+((('Form Sa1'!ACN835)*860)/10)+('Form Sa1'!ACN814*'Form Sa1'!ACN816/10)-'NF - 5 Power Mix'!ACK21-'NF - 5 Power Mix'!ACK22</f>
        <v>0</v>
      </c>
      <c r="ACL42" s="1046">
        <f>ACL38+((ACL40+'NF - 5 Power Mix'!ACL14+'NF - 5 Power Mix'!ACL15)*860/10)+((('Form Sa1'!ACO835)*860)/10)+('Form Sa1'!ACO814*'Form Sa1'!ACO816/10)-'NF - 5 Power Mix'!ACL21-'NF - 5 Power Mix'!ACL22</f>
        <v>0</v>
      </c>
      <c r="ACM42" s="1046">
        <f>ACM38+((ACM40+'NF - 5 Power Mix'!ACM14+'NF - 5 Power Mix'!ACM15)*860/10)+((('Form Sa1'!ACP835)*860)/10)+('Form Sa1'!ACP814*'Form Sa1'!ACP816/10)-'NF - 5 Power Mix'!ACM21-'NF - 5 Power Mix'!ACM22</f>
        <v>0</v>
      </c>
      <c r="ACN42" s="1046">
        <f>ACN38+((ACN40+'NF - 5 Power Mix'!ACN14+'NF - 5 Power Mix'!ACN15)*860/10)+((('Form Sa1'!ACQ835)*860)/10)+('Form Sa1'!ACQ814*'Form Sa1'!ACQ816/10)-'NF - 5 Power Mix'!ACN21-'NF - 5 Power Mix'!ACN22</f>
        <v>0</v>
      </c>
      <c r="ACO42" s="1046">
        <f>ACO38+((ACO40+'NF - 5 Power Mix'!ACO14+'NF - 5 Power Mix'!ACO15)*860/10)+((('Form Sa1'!ACR835)*860)/10)+('Form Sa1'!ACR814*'Form Sa1'!ACR816/10)-'NF - 5 Power Mix'!ACO21-'NF - 5 Power Mix'!ACO22</f>
        <v>0</v>
      </c>
      <c r="ACP42" s="1046">
        <f>ACP38+((ACP40+'NF - 5 Power Mix'!ACP14+'NF - 5 Power Mix'!ACP15)*860/10)+((('Form Sa1'!ACS835)*860)/10)+('Form Sa1'!ACS814*'Form Sa1'!ACS816/10)-'NF - 5 Power Mix'!ACP21-'NF - 5 Power Mix'!ACP22</f>
        <v>0</v>
      </c>
      <c r="ACQ42" s="1046">
        <f>ACQ38+((ACQ40+'NF - 5 Power Mix'!ACQ14+'NF - 5 Power Mix'!ACQ15)*860/10)+((('Form Sa1'!ACT835)*860)/10)+('Form Sa1'!ACT814*'Form Sa1'!ACT816/10)-'NF - 5 Power Mix'!ACQ21-'NF - 5 Power Mix'!ACQ22</f>
        <v>0</v>
      </c>
      <c r="ACR42" s="1046">
        <f>ACR38+((ACR40+'NF - 5 Power Mix'!ACR14+'NF - 5 Power Mix'!ACR15)*860/10)+((('Form Sa1'!ACU835)*860)/10)+('Form Sa1'!ACU814*'Form Sa1'!ACU816/10)-'NF - 5 Power Mix'!ACR21-'NF - 5 Power Mix'!ACR22</f>
        <v>0</v>
      </c>
      <c r="ACS42" s="1046">
        <f>ACS38+((ACS40+'NF - 5 Power Mix'!ACS14+'NF - 5 Power Mix'!ACS15)*860/10)+((('Form Sa1'!ACV835)*860)/10)+('Form Sa1'!ACV814*'Form Sa1'!ACV816/10)-'NF - 5 Power Mix'!ACS21-'NF - 5 Power Mix'!ACS22</f>
        <v>0</v>
      </c>
      <c r="ACT42" s="1046">
        <f>ACT38+((ACT40+'NF - 5 Power Mix'!ACT14+'NF - 5 Power Mix'!ACT15)*860/10)+((('Form Sa1'!ACW835)*860)/10)+('Form Sa1'!ACW814*'Form Sa1'!ACW816/10)-'NF - 5 Power Mix'!ACT21-'NF - 5 Power Mix'!ACT22</f>
        <v>0</v>
      </c>
      <c r="ACU42" s="1046">
        <f>ACU38+((ACU40+'NF - 5 Power Mix'!ACU14+'NF - 5 Power Mix'!ACU15)*860/10)+((('Form Sa1'!ACX835)*860)/10)+('Form Sa1'!ACX814*'Form Sa1'!ACX816/10)-'NF - 5 Power Mix'!ACU21-'NF - 5 Power Mix'!ACU22</f>
        <v>0</v>
      </c>
      <c r="ACV42" s="1046">
        <f>ACV38+((ACV40+'NF - 5 Power Mix'!ACV14+'NF - 5 Power Mix'!ACV15)*860/10)+((('Form Sa1'!ACY835)*860)/10)+('Form Sa1'!ACY814*'Form Sa1'!ACY816/10)-'NF - 5 Power Mix'!ACV21-'NF - 5 Power Mix'!ACV22</f>
        <v>0</v>
      </c>
      <c r="ACW42" s="1046">
        <f>ACW38+((ACW40+'NF - 5 Power Mix'!ACW14+'NF - 5 Power Mix'!ACW15)*860/10)+((('Form Sa1'!ACZ835)*860)/10)+('Form Sa1'!ACZ814*'Form Sa1'!ACZ816/10)-'NF - 5 Power Mix'!ACW21-'NF - 5 Power Mix'!ACW22</f>
        <v>0</v>
      </c>
      <c r="ACX42" s="1046">
        <f>ACX38+((ACX40+'NF - 5 Power Mix'!ACX14+'NF - 5 Power Mix'!ACX15)*860/10)+((('Form Sa1'!ADA835)*860)/10)+('Form Sa1'!ADA814*'Form Sa1'!ADA816/10)-'NF - 5 Power Mix'!ACX21-'NF - 5 Power Mix'!ACX22</f>
        <v>0</v>
      </c>
      <c r="ACY42" s="1046">
        <f>ACY38+((ACY40+'NF - 5 Power Mix'!ACY14+'NF - 5 Power Mix'!ACY15)*860/10)+((('Form Sa1'!ADB835)*860)/10)+('Form Sa1'!ADB814*'Form Sa1'!ADB816/10)-'NF - 5 Power Mix'!ACY21-'NF - 5 Power Mix'!ACY22</f>
        <v>0</v>
      </c>
      <c r="ACZ42" s="1046">
        <f>ACZ38+((ACZ40+'NF - 5 Power Mix'!ACZ14+'NF - 5 Power Mix'!ACZ15)*860/10)+((('Form Sa1'!ADC835)*860)/10)+('Form Sa1'!ADC814*'Form Sa1'!ADC816/10)-'NF - 5 Power Mix'!ACZ21-'NF - 5 Power Mix'!ACZ22</f>
        <v>0</v>
      </c>
      <c r="ADA42" s="1046">
        <f>ADA38+((ADA40+'NF - 5 Power Mix'!ADA14+'NF - 5 Power Mix'!ADA15)*860/10)+((('Form Sa1'!ADD835)*860)/10)+('Form Sa1'!ADD814*'Form Sa1'!ADD816/10)-'NF - 5 Power Mix'!ADA21-'NF - 5 Power Mix'!ADA22</f>
        <v>0</v>
      </c>
      <c r="ADB42" s="1046">
        <f>ADB38+((ADB40+'NF - 5 Power Mix'!ADB14+'NF - 5 Power Mix'!ADB15)*860/10)+((('Form Sa1'!ADE835)*860)/10)+('Form Sa1'!ADE814*'Form Sa1'!ADE816/10)-'NF - 5 Power Mix'!ADB21-'NF - 5 Power Mix'!ADB22</f>
        <v>0</v>
      </c>
      <c r="ADC42" s="1046">
        <f>ADC38+((ADC40+'NF - 5 Power Mix'!ADC14+'NF - 5 Power Mix'!ADC15)*860/10)+((('Form Sa1'!ADF835)*860)/10)+('Form Sa1'!ADF814*'Form Sa1'!ADF816/10)-'NF - 5 Power Mix'!ADC21-'NF - 5 Power Mix'!ADC22</f>
        <v>0</v>
      </c>
      <c r="ADD42" s="1046">
        <f>ADD38+((ADD40+'NF - 5 Power Mix'!ADD14+'NF - 5 Power Mix'!ADD15)*860/10)+((('Form Sa1'!ADG835)*860)/10)+('Form Sa1'!ADG814*'Form Sa1'!ADG816/10)-'NF - 5 Power Mix'!ADD21-'NF - 5 Power Mix'!ADD22</f>
        <v>0</v>
      </c>
      <c r="ADE42" s="1046">
        <f>ADE38+((ADE40+'NF - 5 Power Mix'!ADE14+'NF - 5 Power Mix'!ADE15)*860/10)+((('Form Sa1'!ADH835)*860)/10)+('Form Sa1'!ADH814*'Form Sa1'!ADH816/10)-'NF - 5 Power Mix'!ADE21-'NF - 5 Power Mix'!ADE22</f>
        <v>0</v>
      </c>
      <c r="ADF42" s="1046">
        <f>ADF38+((ADF40+'NF - 5 Power Mix'!ADF14+'NF - 5 Power Mix'!ADF15)*860/10)+((('Form Sa1'!ADI835)*860)/10)+('Form Sa1'!ADI814*'Form Sa1'!ADI816/10)-'NF - 5 Power Mix'!ADF21-'NF - 5 Power Mix'!ADF22</f>
        <v>0</v>
      </c>
      <c r="ADG42" s="1046">
        <f>ADG38+((ADG40+'NF - 5 Power Mix'!ADG14+'NF - 5 Power Mix'!ADG15)*860/10)+((('Form Sa1'!ADJ835)*860)/10)+('Form Sa1'!ADJ814*'Form Sa1'!ADJ816/10)-'NF - 5 Power Mix'!ADG21-'NF - 5 Power Mix'!ADG22</f>
        <v>0</v>
      </c>
      <c r="ADH42" s="1046">
        <f>ADH38+((ADH40+'NF - 5 Power Mix'!ADH14+'NF - 5 Power Mix'!ADH15)*860/10)+((('Form Sa1'!ADK835)*860)/10)+('Form Sa1'!ADK814*'Form Sa1'!ADK816/10)-'NF - 5 Power Mix'!ADH21-'NF - 5 Power Mix'!ADH22</f>
        <v>0</v>
      </c>
      <c r="ADI42" s="1046">
        <f>ADI38+((ADI40+'NF - 5 Power Mix'!ADI14+'NF - 5 Power Mix'!ADI15)*860/10)+((('Form Sa1'!ADL835)*860)/10)+('Form Sa1'!ADL814*'Form Sa1'!ADL816/10)-'NF - 5 Power Mix'!ADI21-'NF - 5 Power Mix'!ADI22</f>
        <v>0</v>
      </c>
      <c r="ADJ42" s="1046">
        <f>ADJ38+((ADJ40+'NF - 5 Power Mix'!ADJ14+'NF - 5 Power Mix'!ADJ15)*860/10)+((('Form Sa1'!ADM835)*860)/10)+('Form Sa1'!ADM814*'Form Sa1'!ADM816/10)-'NF - 5 Power Mix'!ADJ21-'NF - 5 Power Mix'!ADJ22</f>
        <v>0</v>
      </c>
      <c r="ADK42" s="1046">
        <f>ADK38+((ADK40+'NF - 5 Power Mix'!ADK14+'NF - 5 Power Mix'!ADK15)*860/10)+((('Form Sa1'!ADN835)*860)/10)+('Form Sa1'!ADN814*'Form Sa1'!ADN816/10)-'NF - 5 Power Mix'!ADK21-'NF - 5 Power Mix'!ADK22</f>
        <v>0</v>
      </c>
      <c r="ADL42" s="1046">
        <f>ADL38+((ADL40+'NF - 5 Power Mix'!ADL14+'NF - 5 Power Mix'!ADL15)*860/10)+((('Form Sa1'!ADO835)*860)/10)+('Form Sa1'!ADO814*'Form Sa1'!ADO816/10)-'NF - 5 Power Mix'!ADL21-'NF - 5 Power Mix'!ADL22</f>
        <v>0</v>
      </c>
      <c r="ADM42" s="1046">
        <f>ADM38+((ADM40+'NF - 5 Power Mix'!ADM14+'NF - 5 Power Mix'!ADM15)*860/10)+((('Form Sa1'!ADP835)*860)/10)+('Form Sa1'!ADP814*'Form Sa1'!ADP816/10)-'NF - 5 Power Mix'!ADM21-'NF - 5 Power Mix'!ADM22</f>
        <v>0</v>
      </c>
      <c r="ADN42" s="1046">
        <f>ADN38+((ADN40+'NF - 5 Power Mix'!ADN14+'NF - 5 Power Mix'!ADN15)*860/10)+((('Form Sa1'!ADQ835)*860)/10)+('Form Sa1'!ADQ814*'Form Sa1'!ADQ816/10)-'NF - 5 Power Mix'!ADN21-'NF - 5 Power Mix'!ADN22</f>
        <v>0</v>
      </c>
      <c r="ADO42" s="1046">
        <f>ADO38+((ADO40+'NF - 5 Power Mix'!ADO14+'NF - 5 Power Mix'!ADO15)*860/10)+((('Form Sa1'!ADR835)*860)/10)+('Form Sa1'!ADR814*'Form Sa1'!ADR816/10)-'NF - 5 Power Mix'!ADO21-'NF - 5 Power Mix'!ADO22</f>
        <v>0</v>
      </c>
      <c r="ADP42" s="1046">
        <f>ADP38+((ADP40+'NF - 5 Power Mix'!ADP14+'NF - 5 Power Mix'!ADP15)*860/10)+((('Form Sa1'!ADS835)*860)/10)+('Form Sa1'!ADS814*'Form Sa1'!ADS816/10)-'NF - 5 Power Mix'!ADP21-'NF - 5 Power Mix'!ADP22</f>
        <v>0</v>
      </c>
      <c r="ADQ42" s="1046">
        <f>ADQ38+((ADQ40+'NF - 5 Power Mix'!ADQ14+'NF - 5 Power Mix'!ADQ15)*860/10)+((('Form Sa1'!ADT835)*860)/10)+('Form Sa1'!ADT814*'Form Sa1'!ADT816/10)-'NF - 5 Power Mix'!ADQ21-'NF - 5 Power Mix'!ADQ22</f>
        <v>0</v>
      </c>
      <c r="ADR42" s="1046">
        <f>ADR38+((ADR40+'NF - 5 Power Mix'!ADR14+'NF - 5 Power Mix'!ADR15)*860/10)+((('Form Sa1'!ADU835)*860)/10)+('Form Sa1'!ADU814*'Form Sa1'!ADU816/10)-'NF - 5 Power Mix'!ADR21-'NF - 5 Power Mix'!ADR22</f>
        <v>0</v>
      </c>
      <c r="ADS42" s="1046">
        <f>ADS38+((ADS40+'NF - 5 Power Mix'!ADS14+'NF - 5 Power Mix'!ADS15)*860/10)+((('Form Sa1'!ADV835)*860)/10)+('Form Sa1'!ADV814*'Form Sa1'!ADV816/10)-'NF - 5 Power Mix'!ADS21-'NF - 5 Power Mix'!ADS22</f>
        <v>0</v>
      </c>
      <c r="ADT42" s="1046">
        <f>ADT38+((ADT40+'NF - 5 Power Mix'!ADT14+'NF - 5 Power Mix'!ADT15)*860/10)+((('Form Sa1'!ADW835)*860)/10)+('Form Sa1'!ADW814*'Form Sa1'!ADW816/10)-'NF - 5 Power Mix'!ADT21-'NF - 5 Power Mix'!ADT22</f>
        <v>0</v>
      </c>
      <c r="ADU42" s="1046">
        <f>ADU38+((ADU40+'NF - 5 Power Mix'!ADU14+'NF - 5 Power Mix'!ADU15)*860/10)+((('Form Sa1'!ADX835)*860)/10)+('Form Sa1'!ADX814*'Form Sa1'!ADX816/10)-'NF - 5 Power Mix'!ADU21-'NF - 5 Power Mix'!ADU22</f>
        <v>0</v>
      </c>
      <c r="ADV42" s="1046">
        <f>ADV38+((ADV40+'NF - 5 Power Mix'!ADV14+'NF - 5 Power Mix'!ADV15)*860/10)+((('Form Sa1'!ADY835)*860)/10)+('Form Sa1'!ADY814*'Form Sa1'!ADY816/10)-'NF - 5 Power Mix'!ADV21-'NF - 5 Power Mix'!ADV22</f>
        <v>0</v>
      </c>
      <c r="ADW42" s="1046">
        <f>ADW38+((ADW40+'NF - 5 Power Mix'!ADW14+'NF - 5 Power Mix'!ADW15)*860/10)+((('Form Sa1'!ADZ835)*860)/10)+('Form Sa1'!ADZ814*'Form Sa1'!ADZ816/10)-'NF - 5 Power Mix'!ADW21-'NF - 5 Power Mix'!ADW22</f>
        <v>0</v>
      </c>
      <c r="ADX42" s="1046">
        <f>ADX38+((ADX40+'NF - 5 Power Mix'!ADX14+'NF - 5 Power Mix'!ADX15)*860/10)+((('Form Sa1'!AEA835)*860)/10)+('Form Sa1'!AEA814*'Form Sa1'!AEA816/10)-'NF - 5 Power Mix'!ADX21-'NF - 5 Power Mix'!ADX22</f>
        <v>0</v>
      </c>
      <c r="ADY42" s="1046">
        <f>ADY38+((ADY40+'NF - 5 Power Mix'!ADY14+'NF - 5 Power Mix'!ADY15)*860/10)+((('Form Sa1'!AEB835)*860)/10)+('Form Sa1'!AEB814*'Form Sa1'!AEB816/10)-'NF - 5 Power Mix'!ADY21-'NF - 5 Power Mix'!ADY22</f>
        <v>0</v>
      </c>
      <c r="ADZ42" s="1046">
        <f>ADZ38+((ADZ40+'NF - 5 Power Mix'!ADZ14+'NF - 5 Power Mix'!ADZ15)*860/10)+((('Form Sa1'!AEC835)*860)/10)+('Form Sa1'!AEC814*'Form Sa1'!AEC816/10)-'NF - 5 Power Mix'!ADZ21-'NF - 5 Power Mix'!ADZ22</f>
        <v>0</v>
      </c>
      <c r="AEA42" s="1046">
        <f>AEA38+((AEA40+'NF - 5 Power Mix'!AEA14+'NF - 5 Power Mix'!AEA15)*860/10)+((('Form Sa1'!AED835)*860)/10)+('Form Sa1'!AED814*'Form Sa1'!AED816/10)-'NF - 5 Power Mix'!AEA21-'NF - 5 Power Mix'!AEA22</f>
        <v>0</v>
      </c>
      <c r="AEB42" s="1046">
        <f>AEB38+((AEB40+'NF - 5 Power Mix'!AEB14+'NF - 5 Power Mix'!AEB15)*860/10)+((('Form Sa1'!AEE835)*860)/10)+('Form Sa1'!AEE814*'Form Sa1'!AEE816/10)-'NF - 5 Power Mix'!AEB21-'NF - 5 Power Mix'!AEB22</f>
        <v>0</v>
      </c>
      <c r="AEC42" s="1046">
        <f>AEC38+((AEC40+'NF - 5 Power Mix'!AEC14+'NF - 5 Power Mix'!AEC15)*860/10)+((('Form Sa1'!AEF835)*860)/10)+('Form Sa1'!AEF814*'Form Sa1'!AEF816/10)-'NF - 5 Power Mix'!AEC21-'NF - 5 Power Mix'!AEC22</f>
        <v>0</v>
      </c>
      <c r="AED42" s="1046">
        <f>AED38+((AED40+'NF - 5 Power Mix'!AED14+'NF - 5 Power Mix'!AED15)*860/10)+((('Form Sa1'!AEG835)*860)/10)+('Form Sa1'!AEG814*'Form Sa1'!AEG816/10)-'NF - 5 Power Mix'!AED21-'NF - 5 Power Mix'!AED22</f>
        <v>0</v>
      </c>
      <c r="AEE42" s="1046">
        <f>AEE38+((AEE40+'NF - 5 Power Mix'!AEE14+'NF - 5 Power Mix'!AEE15)*860/10)+((('Form Sa1'!AEH835)*860)/10)+('Form Sa1'!AEH814*'Form Sa1'!AEH816/10)-'NF - 5 Power Mix'!AEE21-'NF - 5 Power Mix'!AEE22</f>
        <v>0</v>
      </c>
      <c r="AEF42" s="1046">
        <f>AEF38+((AEF40+'NF - 5 Power Mix'!AEF14+'NF - 5 Power Mix'!AEF15)*860/10)+((('Form Sa1'!AEI835)*860)/10)+('Form Sa1'!AEI814*'Form Sa1'!AEI816/10)-'NF - 5 Power Mix'!AEF21-'NF - 5 Power Mix'!AEF22</f>
        <v>0</v>
      </c>
      <c r="AEG42" s="1046">
        <f>AEG38+((AEG40+'NF - 5 Power Mix'!AEG14+'NF - 5 Power Mix'!AEG15)*860/10)+((('Form Sa1'!AEJ835)*860)/10)+('Form Sa1'!AEJ814*'Form Sa1'!AEJ816/10)-'NF - 5 Power Mix'!AEG21-'NF - 5 Power Mix'!AEG22</f>
        <v>0</v>
      </c>
      <c r="AEH42" s="1046">
        <f>AEH38+((AEH40+'NF - 5 Power Mix'!AEH14+'NF - 5 Power Mix'!AEH15)*860/10)+((('Form Sa1'!AEK835)*860)/10)+('Form Sa1'!AEK814*'Form Sa1'!AEK816/10)-'NF - 5 Power Mix'!AEH21-'NF - 5 Power Mix'!AEH22</f>
        <v>0</v>
      </c>
      <c r="AEI42" s="1046">
        <f>AEI38+((AEI40+'NF - 5 Power Mix'!AEI14+'NF - 5 Power Mix'!AEI15)*860/10)+((('Form Sa1'!AEL835)*860)/10)+('Form Sa1'!AEL814*'Form Sa1'!AEL816/10)-'NF - 5 Power Mix'!AEI21-'NF - 5 Power Mix'!AEI22</f>
        <v>0</v>
      </c>
      <c r="AEJ42" s="1046">
        <f>AEJ38+((AEJ40+'NF - 5 Power Mix'!AEJ14+'NF - 5 Power Mix'!AEJ15)*860/10)+((('Form Sa1'!AEM835)*860)/10)+('Form Sa1'!AEM814*'Form Sa1'!AEM816/10)-'NF - 5 Power Mix'!AEJ21-'NF - 5 Power Mix'!AEJ22</f>
        <v>0</v>
      </c>
      <c r="AEK42" s="1046">
        <f>AEK38+((AEK40+'NF - 5 Power Mix'!AEK14+'NF - 5 Power Mix'!AEK15)*860/10)+((('Form Sa1'!AEN835)*860)/10)+('Form Sa1'!AEN814*'Form Sa1'!AEN816/10)-'NF - 5 Power Mix'!AEK21-'NF - 5 Power Mix'!AEK22</f>
        <v>0</v>
      </c>
      <c r="AEL42" s="1046">
        <f>AEL38+((AEL40+'NF - 5 Power Mix'!AEL14+'NF - 5 Power Mix'!AEL15)*860/10)+((('Form Sa1'!AEO835)*860)/10)+('Form Sa1'!AEO814*'Form Sa1'!AEO816/10)-'NF - 5 Power Mix'!AEL21-'NF - 5 Power Mix'!AEL22</f>
        <v>0</v>
      </c>
      <c r="AEM42" s="1046">
        <f>AEM38+((AEM40+'NF - 5 Power Mix'!AEM14+'NF - 5 Power Mix'!AEM15)*860/10)+((('Form Sa1'!AEP835)*860)/10)+('Form Sa1'!AEP814*'Form Sa1'!AEP816/10)-'NF - 5 Power Mix'!AEM21-'NF - 5 Power Mix'!AEM22</f>
        <v>0</v>
      </c>
      <c r="AEN42" s="1046">
        <f>AEN38+((AEN40+'NF - 5 Power Mix'!AEN14+'NF - 5 Power Mix'!AEN15)*860/10)+((('Form Sa1'!AEQ835)*860)/10)+('Form Sa1'!AEQ814*'Form Sa1'!AEQ816/10)-'NF - 5 Power Mix'!AEN21-'NF - 5 Power Mix'!AEN22</f>
        <v>0</v>
      </c>
      <c r="AEO42" s="1046">
        <f>AEO38+((AEO40+'NF - 5 Power Mix'!AEO14+'NF - 5 Power Mix'!AEO15)*860/10)+((('Form Sa1'!AER835)*860)/10)+('Form Sa1'!AER814*'Form Sa1'!AER816/10)-'NF - 5 Power Mix'!AEO21-'NF - 5 Power Mix'!AEO22</f>
        <v>0</v>
      </c>
      <c r="AEP42" s="1046">
        <f>AEP38+((AEP40+'NF - 5 Power Mix'!AEP14+'NF - 5 Power Mix'!AEP15)*860/10)+((('Form Sa1'!AES835)*860)/10)+('Form Sa1'!AES814*'Form Sa1'!AES816/10)-'NF - 5 Power Mix'!AEP21-'NF - 5 Power Mix'!AEP22</f>
        <v>0</v>
      </c>
      <c r="AEQ42" s="1046">
        <f>AEQ38+((AEQ40+'NF - 5 Power Mix'!AEQ14+'NF - 5 Power Mix'!AEQ15)*860/10)+((('Form Sa1'!AET835)*860)/10)+('Form Sa1'!AET814*'Form Sa1'!AET816/10)-'NF - 5 Power Mix'!AEQ21-'NF - 5 Power Mix'!AEQ22</f>
        <v>0</v>
      </c>
      <c r="AER42" s="1046">
        <f>AER38+((AER40+'NF - 5 Power Mix'!AER14+'NF - 5 Power Mix'!AER15)*860/10)+((('Form Sa1'!AEU835)*860)/10)+('Form Sa1'!AEU814*'Form Sa1'!AEU816/10)-'NF - 5 Power Mix'!AER21-'NF - 5 Power Mix'!AER22</f>
        <v>0</v>
      </c>
      <c r="AES42" s="1046">
        <f>AES38+((AES40+'NF - 5 Power Mix'!AES14+'NF - 5 Power Mix'!AES15)*860/10)+((('Form Sa1'!AEV835)*860)/10)+('Form Sa1'!AEV814*'Form Sa1'!AEV816/10)-'NF - 5 Power Mix'!AES21-'NF - 5 Power Mix'!AES22</f>
        <v>0</v>
      </c>
      <c r="AET42" s="1046">
        <f>AET38+((AET40+'NF - 5 Power Mix'!AET14+'NF - 5 Power Mix'!AET15)*860/10)+((('Form Sa1'!AEW835)*860)/10)+('Form Sa1'!AEW814*'Form Sa1'!AEW816/10)-'NF - 5 Power Mix'!AET21-'NF - 5 Power Mix'!AET22</f>
        <v>0</v>
      </c>
      <c r="AEU42" s="1046">
        <f>AEU38+((AEU40+'NF - 5 Power Mix'!AEU14+'NF - 5 Power Mix'!AEU15)*860/10)+((('Form Sa1'!AEX835)*860)/10)+('Form Sa1'!AEX814*'Form Sa1'!AEX816/10)-'NF - 5 Power Mix'!AEU21-'NF - 5 Power Mix'!AEU22</f>
        <v>0</v>
      </c>
      <c r="AEV42" s="1046">
        <f>AEV38+((AEV40+'NF - 5 Power Mix'!AEV14+'NF - 5 Power Mix'!AEV15)*860/10)+((('Form Sa1'!AEY835)*860)/10)+('Form Sa1'!AEY814*'Form Sa1'!AEY816/10)-'NF - 5 Power Mix'!AEV21-'NF - 5 Power Mix'!AEV22</f>
        <v>0</v>
      </c>
      <c r="AEW42" s="1046">
        <f>AEW38+((AEW40+'NF - 5 Power Mix'!AEW14+'NF - 5 Power Mix'!AEW15)*860/10)+((('Form Sa1'!AEZ835)*860)/10)+('Form Sa1'!AEZ814*'Form Sa1'!AEZ816/10)-'NF - 5 Power Mix'!AEW21-'NF - 5 Power Mix'!AEW22</f>
        <v>0</v>
      </c>
      <c r="AEX42" s="1046">
        <f>AEX38+((AEX40+'NF - 5 Power Mix'!AEX14+'NF - 5 Power Mix'!AEX15)*860/10)+((('Form Sa1'!AFA835)*860)/10)+('Form Sa1'!AFA814*'Form Sa1'!AFA816/10)-'NF - 5 Power Mix'!AEX21-'NF - 5 Power Mix'!AEX22</f>
        <v>0</v>
      </c>
      <c r="AEY42" s="1046">
        <f>AEY38+((AEY40+'NF - 5 Power Mix'!AEY14+'NF - 5 Power Mix'!AEY15)*860/10)+((('Form Sa1'!AFB835)*860)/10)+('Form Sa1'!AFB814*'Form Sa1'!AFB816/10)-'NF - 5 Power Mix'!AEY21-'NF - 5 Power Mix'!AEY22</f>
        <v>0</v>
      </c>
      <c r="AEZ42" s="1046">
        <f>AEZ38+((AEZ40+'NF - 5 Power Mix'!AEZ14+'NF - 5 Power Mix'!AEZ15)*860/10)+((('Form Sa1'!AFC835)*860)/10)+('Form Sa1'!AFC814*'Form Sa1'!AFC816/10)-'NF - 5 Power Mix'!AEZ21-'NF - 5 Power Mix'!AEZ22</f>
        <v>0</v>
      </c>
      <c r="AFA42" s="1046">
        <f>AFA38+((AFA40+'NF - 5 Power Mix'!AFA14+'NF - 5 Power Mix'!AFA15)*860/10)+((('Form Sa1'!AFD835)*860)/10)+('Form Sa1'!AFD814*'Form Sa1'!AFD816/10)-'NF - 5 Power Mix'!AFA21-'NF - 5 Power Mix'!AFA22</f>
        <v>0</v>
      </c>
      <c r="AFB42" s="1046">
        <f>AFB38+((AFB40+'NF - 5 Power Mix'!AFB14+'NF - 5 Power Mix'!AFB15)*860/10)+((('Form Sa1'!AFE835)*860)/10)+('Form Sa1'!AFE814*'Form Sa1'!AFE816/10)-'NF - 5 Power Mix'!AFB21-'NF - 5 Power Mix'!AFB22</f>
        <v>0</v>
      </c>
      <c r="AFC42" s="1046">
        <f>AFC38+((AFC40+'NF - 5 Power Mix'!AFC14+'NF - 5 Power Mix'!AFC15)*860/10)+((('Form Sa1'!AFF835)*860)/10)+('Form Sa1'!AFF814*'Form Sa1'!AFF816/10)-'NF - 5 Power Mix'!AFC21-'NF - 5 Power Mix'!AFC22</f>
        <v>0</v>
      </c>
      <c r="AFD42" s="1046">
        <f>AFD38+((AFD40+'NF - 5 Power Mix'!AFD14+'NF - 5 Power Mix'!AFD15)*860/10)+((('Form Sa1'!AFG835)*860)/10)+('Form Sa1'!AFG814*'Form Sa1'!AFG816/10)-'NF - 5 Power Mix'!AFD21-'NF - 5 Power Mix'!AFD22</f>
        <v>0</v>
      </c>
      <c r="AFE42" s="1046">
        <f>AFE38+((AFE40+'NF - 5 Power Mix'!AFE14+'NF - 5 Power Mix'!AFE15)*860/10)+((('Form Sa1'!AFH835)*860)/10)+('Form Sa1'!AFH814*'Form Sa1'!AFH816/10)-'NF - 5 Power Mix'!AFE21-'NF - 5 Power Mix'!AFE22</f>
        <v>0</v>
      </c>
      <c r="AFF42" s="1046">
        <f>AFF38+((AFF40+'NF - 5 Power Mix'!AFF14+'NF - 5 Power Mix'!AFF15)*860/10)+((('Form Sa1'!AFI835)*860)/10)+('Form Sa1'!AFI814*'Form Sa1'!AFI816/10)-'NF - 5 Power Mix'!AFF21-'NF - 5 Power Mix'!AFF22</f>
        <v>0</v>
      </c>
      <c r="AFG42" s="1046">
        <f>AFG38+((AFG40+'NF - 5 Power Mix'!AFG14+'NF - 5 Power Mix'!AFG15)*860/10)+((('Form Sa1'!AFJ835)*860)/10)+('Form Sa1'!AFJ814*'Form Sa1'!AFJ816/10)-'NF - 5 Power Mix'!AFG21-'NF - 5 Power Mix'!AFG22</f>
        <v>0</v>
      </c>
      <c r="AFH42" s="1046">
        <f>AFH38+((AFH40+'NF - 5 Power Mix'!AFH14+'NF - 5 Power Mix'!AFH15)*860/10)+((('Form Sa1'!AFK835)*860)/10)+('Form Sa1'!AFK814*'Form Sa1'!AFK816/10)-'NF - 5 Power Mix'!AFH21-'NF - 5 Power Mix'!AFH22</f>
        <v>0</v>
      </c>
      <c r="AFI42" s="1046">
        <f>AFI38+((AFI40+'NF - 5 Power Mix'!AFI14+'NF - 5 Power Mix'!AFI15)*860/10)+((('Form Sa1'!AFL835)*860)/10)+('Form Sa1'!AFL814*'Form Sa1'!AFL816/10)-'NF - 5 Power Mix'!AFI21-'NF - 5 Power Mix'!AFI22</f>
        <v>0</v>
      </c>
      <c r="AFJ42" s="1046">
        <f>AFJ38+((AFJ40+'NF - 5 Power Mix'!AFJ14+'NF - 5 Power Mix'!AFJ15)*860/10)+((('Form Sa1'!AFM835)*860)/10)+('Form Sa1'!AFM814*'Form Sa1'!AFM816/10)-'NF - 5 Power Mix'!AFJ21-'NF - 5 Power Mix'!AFJ22</f>
        <v>0</v>
      </c>
      <c r="AFK42" s="1046">
        <f>AFK38+((AFK40+'NF - 5 Power Mix'!AFK14+'NF - 5 Power Mix'!AFK15)*860/10)+((('Form Sa1'!AFN835)*860)/10)+('Form Sa1'!AFN814*'Form Sa1'!AFN816/10)-'NF - 5 Power Mix'!AFK21-'NF - 5 Power Mix'!AFK22</f>
        <v>0</v>
      </c>
      <c r="AFL42" s="1046">
        <f>AFL38+((AFL40+'NF - 5 Power Mix'!AFL14+'NF - 5 Power Mix'!AFL15)*860/10)+((('Form Sa1'!AFO835)*860)/10)+('Form Sa1'!AFO814*'Form Sa1'!AFO816/10)-'NF - 5 Power Mix'!AFL21-'NF - 5 Power Mix'!AFL22</f>
        <v>0</v>
      </c>
      <c r="AFM42" s="1046">
        <f>AFM38+((AFM40+'NF - 5 Power Mix'!AFM14+'NF - 5 Power Mix'!AFM15)*860/10)+((('Form Sa1'!AFP835)*860)/10)+('Form Sa1'!AFP814*'Form Sa1'!AFP816/10)-'NF - 5 Power Mix'!AFM21-'NF - 5 Power Mix'!AFM22</f>
        <v>0</v>
      </c>
      <c r="AFN42" s="1046">
        <f>AFN38+((AFN40+'NF - 5 Power Mix'!AFN14+'NF - 5 Power Mix'!AFN15)*860/10)+((('Form Sa1'!AFQ835)*860)/10)+('Form Sa1'!AFQ814*'Form Sa1'!AFQ816/10)-'NF - 5 Power Mix'!AFN21-'NF - 5 Power Mix'!AFN22</f>
        <v>0</v>
      </c>
      <c r="AFO42" s="1046">
        <f>AFO38+((AFO40+'NF - 5 Power Mix'!AFO14+'NF - 5 Power Mix'!AFO15)*860/10)+((('Form Sa1'!AFR835)*860)/10)+('Form Sa1'!AFR814*'Form Sa1'!AFR816/10)-'NF - 5 Power Mix'!AFO21-'NF - 5 Power Mix'!AFO22</f>
        <v>0</v>
      </c>
      <c r="AFP42" s="1046">
        <f>AFP38+((AFP40+'NF - 5 Power Mix'!AFP14+'NF - 5 Power Mix'!AFP15)*860/10)+((('Form Sa1'!AFS835)*860)/10)+('Form Sa1'!AFS814*'Form Sa1'!AFS816/10)-'NF - 5 Power Mix'!AFP21-'NF - 5 Power Mix'!AFP22</f>
        <v>0</v>
      </c>
      <c r="AFQ42" s="1046">
        <f>AFQ38+((AFQ40+'NF - 5 Power Mix'!AFQ14+'NF - 5 Power Mix'!AFQ15)*860/10)+((('Form Sa1'!AFT835)*860)/10)+('Form Sa1'!AFT814*'Form Sa1'!AFT816/10)-'NF - 5 Power Mix'!AFQ21-'NF - 5 Power Mix'!AFQ22</f>
        <v>0</v>
      </c>
      <c r="AFR42" s="1046">
        <f>AFR38+((AFR40+'NF - 5 Power Mix'!AFR14+'NF - 5 Power Mix'!AFR15)*860/10)+((('Form Sa1'!AFU835)*860)/10)+('Form Sa1'!AFU814*'Form Sa1'!AFU816/10)-'NF - 5 Power Mix'!AFR21-'NF - 5 Power Mix'!AFR22</f>
        <v>0</v>
      </c>
      <c r="AFS42" s="1046">
        <f>AFS38+((AFS40+'NF - 5 Power Mix'!AFS14+'NF - 5 Power Mix'!AFS15)*860/10)+((('Form Sa1'!AFV835)*860)/10)+('Form Sa1'!AFV814*'Form Sa1'!AFV816/10)-'NF - 5 Power Mix'!AFS21-'NF - 5 Power Mix'!AFS22</f>
        <v>0</v>
      </c>
      <c r="AFT42" s="1046">
        <f>AFT38+((AFT40+'NF - 5 Power Mix'!AFT14+'NF - 5 Power Mix'!AFT15)*860/10)+((('Form Sa1'!AFW835)*860)/10)+('Form Sa1'!AFW814*'Form Sa1'!AFW816/10)-'NF - 5 Power Mix'!AFT21-'NF - 5 Power Mix'!AFT22</f>
        <v>0</v>
      </c>
      <c r="AFU42" s="1046">
        <f>AFU38+((AFU40+'NF - 5 Power Mix'!AFU14+'NF - 5 Power Mix'!AFU15)*860/10)+((('Form Sa1'!AFX835)*860)/10)+('Form Sa1'!AFX814*'Form Sa1'!AFX816/10)-'NF - 5 Power Mix'!AFU21-'NF - 5 Power Mix'!AFU22</f>
        <v>0</v>
      </c>
      <c r="AFV42" s="1046">
        <f>AFV38+((AFV40+'NF - 5 Power Mix'!AFV14+'NF - 5 Power Mix'!AFV15)*860/10)+((('Form Sa1'!AFY835)*860)/10)+('Form Sa1'!AFY814*'Form Sa1'!AFY816/10)-'NF - 5 Power Mix'!AFV21-'NF - 5 Power Mix'!AFV22</f>
        <v>0</v>
      </c>
      <c r="AFW42" s="1046">
        <f>AFW38+((AFW40+'NF - 5 Power Mix'!AFW14+'NF - 5 Power Mix'!AFW15)*860/10)+((('Form Sa1'!AFZ835)*860)/10)+('Form Sa1'!AFZ814*'Form Sa1'!AFZ816/10)-'NF - 5 Power Mix'!AFW21-'NF - 5 Power Mix'!AFW22</f>
        <v>0</v>
      </c>
      <c r="AFX42" s="1046">
        <f>AFX38+((AFX40+'NF - 5 Power Mix'!AFX14+'NF - 5 Power Mix'!AFX15)*860/10)+((('Form Sa1'!AGA835)*860)/10)+('Form Sa1'!AGA814*'Form Sa1'!AGA816/10)-'NF - 5 Power Mix'!AFX21-'NF - 5 Power Mix'!AFX22</f>
        <v>0</v>
      </c>
      <c r="AFY42" s="1046">
        <f>AFY38+((AFY40+'NF - 5 Power Mix'!AFY14+'NF - 5 Power Mix'!AFY15)*860/10)+((('Form Sa1'!AGB835)*860)/10)+('Form Sa1'!AGB814*'Form Sa1'!AGB816/10)-'NF - 5 Power Mix'!AFY21-'NF - 5 Power Mix'!AFY22</f>
        <v>0</v>
      </c>
      <c r="AFZ42" s="1046">
        <f>AFZ38+((AFZ40+'NF - 5 Power Mix'!AFZ14+'NF - 5 Power Mix'!AFZ15)*860/10)+((('Form Sa1'!AGC835)*860)/10)+('Form Sa1'!AGC814*'Form Sa1'!AGC816/10)-'NF - 5 Power Mix'!AFZ21-'NF - 5 Power Mix'!AFZ22</f>
        <v>0</v>
      </c>
      <c r="AGA42" s="1046">
        <f>AGA38+((AGA40+'NF - 5 Power Mix'!AGA14+'NF - 5 Power Mix'!AGA15)*860/10)+((('Form Sa1'!AGD835)*860)/10)+('Form Sa1'!AGD814*'Form Sa1'!AGD816/10)-'NF - 5 Power Mix'!AGA21-'NF - 5 Power Mix'!AGA22</f>
        <v>0</v>
      </c>
      <c r="AGB42" s="1046">
        <f>AGB38+((AGB40+'NF - 5 Power Mix'!AGB14+'NF - 5 Power Mix'!AGB15)*860/10)+((('Form Sa1'!AGE835)*860)/10)+('Form Sa1'!AGE814*'Form Sa1'!AGE816/10)-'NF - 5 Power Mix'!AGB21-'NF - 5 Power Mix'!AGB22</f>
        <v>0</v>
      </c>
      <c r="AGC42" s="1046">
        <f>AGC38+((AGC40+'NF - 5 Power Mix'!AGC14+'NF - 5 Power Mix'!AGC15)*860/10)+((('Form Sa1'!AGF835)*860)/10)+('Form Sa1'!AGF814*'Form Sa1'!AGF816/10)-'NF - 5 Power Mix'!AGC21-'NF - 5 Power Mix'!AGC22</f>
        <v>0</v>
      </c>
      <c r="AGD42" s="1046">
        <f>AGD38+((AGD40+'NF - 5 Power Mix'!AGD14+'NF - 5 Power Mix'!AGD15)*860/10)+((('Form Sa1'!AGG835)*860)/10)+('Form Sa1'!AGG814*'Form Sa1'!AGG816/10)-'NF - 5 Power Mix'!AGD21-'NF - 5 Power Mix'!AGD22</f>
        <v>0</v>
      </c>
      <c r="AGE42" s="1046">
        <f>AGE38+((AGE40+'NF - 5 Power Mix'!AGE14+'NF - 5 Power Mix'!AGE15)*860/10)+((('Form Sa1'!AGH835)*860)/10)+('Form Sa1'!AGH814*'Form Sa1'!AGH816/10)-'NF - 5 Power Mix'!AGE21-'NF - 5 Power Mix'!AGE22</f>
        <v>0</v>
      </c>
      <c r="AGF42" s="1046">
        <f>AGF38+((AGF40+'NF - 5 Power Mix'!AGF14+'NF - 5 Power Mix'!AGF15)*860/10)+((('Form Sa1'!AGI835)*860)/10)+('Form Sa1'!AGI814*'Form Sa1'!AGI816/10)-'NF - 5 Power Mix'!AGF21-'NF - 5 Power Mix'!AGF22</f>
        <v>0</v>
      </c>
      <c r="AGG42" s="1046">
        <f>AGG38+((AGG40+'NF - 5 Power Mix'!AGG14+'NF - 5 Power Mix'!AGG15)*860/10)+((('Form Sa1'!AGJ835)*860)/10)+('Form Sa1'!AGJ814*'Form Sa1'!AGJ816/10)-'NF - 5 Power Mix'!AGG21-'NF - 5 Power Mix'!AGG22</f>
        <v>0</v>
      </c>
      <c r="AGH42" s="1046">
        <f>AGH38+((AGH40+'NF - 5 Power Mix'!AGH14+'NF - 5 Power Mix'!AGH15)*860/10)+((('Form Sa1'!AGK835)*860)/10)+('Form Sa1'!AGK814*'Form Sa1'!AGK816/10)-'NF - 5 Power Mix'!AGH21-'NF - 5 Power Mix'!AGH22</f>
        <v>0</v>
      </c>
      <c r="AGI42" s="1046">
        <f>AGI38+((AGI40+'NF - 5 Power Mix'!AGI14+'NF - 5 Power Mix'!AGI15)*860/10)+((('Form Sa1'!AGL835)*860)/10)+('Form Sa1'!AGL814*'Form Sa1'!AGL816/10)-'NF - 5 Power Mix'!AGI21-'NF - 5 Power Mix'!AGI22</f>
        <v>0</v>
      </c>
      <c r="AGJ42" s="1046">
        <f>AGJ38+((AGJ40+'NF - 5 Power Mix'!AGJ14+'NF - 5 Power Mix'!AGJ15)*860/10)+((('Form Sa1'!AGM835)*860)/10)+('Form Sa1'!AGM814*'Form Sa1'!AGM816/10)-'NF - 5 Power Mix'!AGJ21-'NF - 5 Power Mix'!AGJ22</f>
        <v>0</v>
      </c>
      <c r="AGK42" s="1046">
        <f>AGK38+((AGK40+'NF - 5 Power Mix'!AGK14+'NF - 5 Power Mix'!AGK15)*860/10)+((('Form Sa1'!AGN835)*860)/10)+('Form Sa1'!AGN814*'Form Sa1'!AGN816/10)-'NF - 5 Power Mix'!AGK21-'NF - 5 Power Mix'!AGK22</f>
        <v>0</v>
      </c>
      <c r="AGL42" s="1046">
        <f>AGL38+((AGL40+'NF - 5 Power Mix'!AGL14+'NF - 5 Power Mix'!AGL15)*860/10)+((('Form Sa1'!AGO835)*860)/10)+('Form Sa1'!AGO814*'Form Sa1'!AGO816/10)-'NF - 5 Power Mix'!AGL21-'NF - 5 Power Mix'!AGL22</f>
        <v>0</v>
      </c>
      <c r="AGM42" s="1046">
        <f>AGM38+((AGM40+'NF - 5 Power Mix'!AGM14+'NF - 5 Power Mix'!AGM15)*860/10)+((('Form Sa1'!AGP835)*860)/10)+('Form Sa1'!AGP814*'Form Sa1'!AGP816/10)-'NF - 5 Power Mix'!AGM21-'NF - 5 Power Mix'!AGM22</f>
        <v>0</v>
      </c>
      <c r="AGN42" s="1046">
        <f>AGN38+((AGN40+'NF - 5 Power Mix'!AGN14+'NF - 5 Power Mix'!AGN15)*860/10)+((('Form Sa1'!AGQ835)*860)/10)+('Form Sa1'!AGQ814*'Form Sa1'!AGQ816/10)-'NF - 5 Power Mix'!AGN21-'NF - 5 Power Mix'!AGN22</f>
        <v>0</v>
      </c>
      <c r="AGO42" s="1046">
        <f>AGO38+((AGO40+'NF - 5 Power Mix'!AGO14+'NF - 5 Power Mix'!AGO15)*860/10)+((('Form Sa1'!AGR835)*860)/10)+('Form Sa1'!AGR814*'Form Sa1'!AGR816/10)-'NF - 5 Power Mix'!AGO21-'NF - 5 Power Mix'!AGO22</f>
        <v>0</v>
      </c>
      <c r="AGP42" s="1046">
        <f>AGP38+((AGP40+'NF - 5 Power Mix'!AGP14+'NF - 5 Power Mix'!AGP15)*860/10)+((('Form Sa1'!AGS835)*860)/10)+('Form Sa1'!AGS814*'Form Sa1'!AGS816/10)-'NF - 5 Power Mix'!AGP21-'NF - 5 Power Mix'!AGP22</f>
        <v>0</v>
      </c>
      <c r="AGQ42" s="1046">
        <f>AGQ38+((AGQ40+'NF - 5 Power Mix'!AGQ14+'NF - 5 Power Mix'!AGQ15)*860/10)+((('Form Sa1'!AGT835)*860)/10)+('Form Sa1'!AGT814*'Form Sa1'!AGT816/10)-'NF - 5 Power Mix'!AGQ21-'NF - 5 Power Mix'!AGQ22</f>
        <v>0</v>
      </c>
      <c r="AGR42" s="1046">
        <f>AGR38+((AGR40+'NF - 5 Power Mix'!AGR14+'NF - 5 Power Mix'!AGR15)*860/10)+((('Form Sa1'!AGU835)*860)/10)+('Form Sa1'!AGU814*'Form Sa1'!AGU816/10)-'NF - 5 Power Mix'!AGR21-'NF - 5 Power Mix'!AGR22</f>
        <v>0</v>
      </c>
      <c r="AGS42" s="1046">
        <f>AGS38+((AGS40+'NF - 5 Power Mix'!AGS14+'NF - 5 Power Mix'!AGS15)*860/10)+((('Form Sa1'!AGV835)*860)/10)+('Form Sa1'!AGV814*'Form Sa1'!AGV816/10)-'NF - 5 Power Mix'!AGS21-'NF - 5 Power Mix'!AGS22</f>
        <v>0</v>
      </c>
      <c r="AGT42" s="1046">
        <f>AGT38+((AGT40+'NF - 5 Power Mix'!AGT14+'NF - 5 Power Mix'!AGT15)*860/10)+((('Form Sa1'!AGW835)*860)/10)+('Form Sa1'!AGW814*'Form Sa1'!AGW816/10)-'NF - 5 Power Mix'!AGT21-'NF - 5 Power Mix'!AGT22</f>
        <v>0</v>
      </c>
      <c r="AGU42" s="1046">
        <f>AGU38+((AGU40+'NF - 5 Power Mix'!AGU14+'NF - 5 Power Mix'!AGU15)*860/10)+((('Form Sa1'!AGX835)*860)/10)+('Form Sa1'!AGX814*'Form Sa1'!AGX816/10)-'NF - 5 Power Mix'!AGU21-'NF - 5 Power Mix'!AGU22</f>
        <v>0</v>
      </c>
      <c r="AGV42" s="1046">
        <f>AGV38+((AGV40+'NF - 5 Power Mix'!AGV14+'NF - 5 Power Mix'!AGV15)*860/10)+((('Form Sa1'!AGY835)*860)/10)+('Form Sa1'!AGY814*'Form Sa1'!AGY816/10)-'NF - 5 Power Mix'!AGV21-'NF - 5 Power Mix'!AGV22</f>
        <v>0</v>
      </c>
      <c r="AGW42" s="1046">
        <f>AGW38+((AGW40+'NF - 5 Power Mix'!AGW14+'NF - 5 Power Mix'!AGW15)*860/10)+((('Form Sa1'!AGZ835)*860)/10)+('Form Sa1'!AGZ814*'Form Sa1'!AGZ816/10)-'NF - 5 Power Mix'!AGW21-'NF - 5 Power Mix'!AGW22</f>
        <v>0</v>
      </c>
      <c r="AGX42" s="1046">
        <f>AGX38+((AGX40+'NF - 5 Power Mix'!AGX14+'NF - 5 Power Mix'!AGX15)*860/10)+((('Form Sa1'!AHA835)*860)/10)+('Form Sa1'!AHA814*'Form Sa1'!AHA816/10)-'NF - 5 Power Mix'!AGX21-'NF - 5 Power Mix'!AGX22</f>
        <v>0</v>
      </c>
      <c r="AGY42" s="1046">
        <f>AGY38+((AGY40+'NF - 5 Power Mix'!AGY14+'NF - 5 Power Mix'!AGY15)*860/10)+((('Form Sa1'!AHB835)*860)/10)+('Form Sa1'!AHB814*'Form Sa1'!AHB816/10)-'NF - 5 Power Mix'!AGY21-'NF - 5 Power Mix'!AGY22</f>
        <v>0</v>
      </c>
      <c r="AGZ42" s="1046">
        <f>AGZ38+((AGZ40+'NF - 5 Power Mix'!AGZ14+'NF - 5 Power Mix'!AGZ15)*860/10)+((('Form Sa1'!AHC835)*860)/10)+('Form Sa1'!AHC814*'Form Sa1'!AHC816/10)-'NF - 5 Power Mix'!AGZ21-'NF - 5 Power Mix'!AGZ22</f>
        <v>0</v>
      </c>
      <c r="AHA42" s="1046">
        <f>AHA38+((AHA40+'NF - 5 Power Mix'!AHA14+'NF - 5 Power Mix'!AHA15)*860/10)+((('Form Sa1'!AHD835)*860)/10)+('Form Sa1'!AHD814*'Form Sa1'!AHD816/10)-'NF - 5 Power Mix'!AHA21-'NF - 5 Power Mix'!AHA22</f>
        <v>0</v>
      </c>
      <c r="AHB42" s="1046">
        <f>AHB38+((AHB40+'NF - 5 Power Mix'!AHB14+'NF - 5 Power Mix'!AHB15)*860/10)+((('Form Sa1'!AHE835)*860)/10)+('Form Sa1'!AHE814*'Form Sa1'!AHE816/10)-'NF - 5 Power Mix'!AHB21-'NF - 5 Power Mix'!AHB22</f>
        <v>0</v>
      </c>
      <c r="AHC42" s="1046">
        <f>AHC38+((AHC40+'NF - 5 Power Mix'!AHC14+'NF - 5 Power Mix'!AHC15)*860/10)+((('Form Sa1'!AHF835)*860)/10)+('Form Sa1'!AHF814*'Form Sa1'!AHF816/10)-'NF - 5 Power Mix'!AHC21-'NF - 5 Power Mix'!AHC22</f>
        <v>0</v>
      </c>
      <c r="AHD42" s="1046">
        <f>AHD38+((AHD40+'NF - 5 Power Mix'!AHD14+'NF - 5 Power Mix'!AHD15)*860/10)+((('Form Sa1'!AHG835)*860)/10)+('Form Sa1'!AHG814*'Form Sa1'!AHG816/10)-'NF - 5 Power Mix'!AHD21-'NF - 5 Power Mix'!AHD22</f>
        <v>0</v>
      </c>
      <c r="AHE42" s="1046">
        <f>AHE38+((AHE40+'NF - 5 Power Mix'!AHE14+'NF - 5 Power Mix'!AHE15)*860/10)+((('Form Sa1'!AHH835)*860)/10)+('Form Sa1'!AHH814*'Form Sa1'!AHH816/10)-'NF - 5 Power Mix'!AHE21-'NF - 5 Power Mix'!AHE22</f>
        <v>0</v>
      </c>
      <c r="AHF42" s="1046">
        <f>AHF38+((AHF40+'NF - 5 Power Mix'!AHF14+'NF - 5 Power Mix'!AHF15)*860/10)+((('Form Sa1'!AHI835)*860)/10)+('Form Sa1'!AHI814*'Form Sa1'!AHI816/10)-'NF - 5 Power Mix'!AHF21-'NF - 5 Power Mix'!AHF22</f>
        <v>0</v>
      </c>
      <c r="AHG42" s="1046">
        <f>AHG38+((AHG40+'NF - 5 Power Mix'!AHG14+'NF - 5 Power Mix'!AHG15)*860/10)+((('Form Sa1'!AHJ835)*860)/10)+('Form Sa1'!AHJ814*'Form Sa1'!AHJ816/10)-'NF - 5 Power Mix'!AHG21-'NF - 5 Power Mix'!AHG22</f>
        <v>0</v>
      </c>
      <c r="AHH42" s="1046">
        <f>AHH38+((AHH40+'NF - 5 Power Mix'!AHH14+'NF - 5 Power Mix'!AHH15)*860/10)+((('Form Sa1'!AHK835)*860)/10)+('Form Sa1'!AHK814*'Form Sa1'!AHK816/10)-'NF - 5 Power Mix'!AHH21-'NF - 5 Power Mix'!AHH22</f>
        <v>0</v>
      </c>
      <c r="AHI42" s="1046">
        <f>AHI38+((AHI40+'NF - 5 Power Mix'!AHI14+'NF - 5 Power Mix'!AHI15)*860/10)+((('Form Sa1'!AHL835)*860)/10)+('Form Sa1'!AHL814*'Form Sa1'!AHL816/10)-'NF - 5 Power Mix'!AHI21-'NF - 5 Power Mix'!AHI22</f>
        <v>0</v>
      </c>
      <c r="AHJ42" s="1046">
        <f>AHJ38+((AHJ40+'NF - 5 Power Mix'!AHJ14+'NF - 5 Power Mix'!AHJ15)*860/10)+((('Form Sa1'!AHM835)*860)/10)+('Form Sa1'!AHM814*'Form Sa1'!AHM816/10)-'NF - 5 Power Mix'!AHJ21-'NF - 5 Power Mix'!AHJ22</f>
        <v>0</v>
      </c>
      <c r="AHK42" s="1046">
        <f>AHK38+((AHK40+'NF - 5 Power Mix'!AHK14+'NF - 5 Power Mix'!AHK15)*860/10)+((('Form Sa1'!AHN835)*860)/10)+('Form Sa1'!AHN814*'Form Sa1'!AHN816/10)-'NF - 5 Power Mix'!AHK21-'NF - 5 Power Mix'!AHK22</f>
        <v>0</v>
      </c>
      <c r="AHL42" s="1046">
        <f>AHL38+((AHL40+'NF - 5 Power Mix'!AHL14+'NF - 5 Power Mix'!AHL15)*860/10)+((('Form Sa1'!AHO835)*860)/10)+('Form Sa1'!AHO814*'Form Sa1'!AHO816/10)-'NF - 5 Power Mix'!AHL21-'NF - 5 Power Mix'!AHL22</f>
        <v>0</v>
      </c>
      <c r="AHM42" s="1046">
        <f>AHM38+((AHM40+'NF - 5 Power Mix'!AHM14+'NF - 5 Power Mix'!AHM15)*860/10)+((('Form Sa1'!AHP835)*860)/10)+('Form Sa1'!AHP814*'Form Sa1'!AHP816/10)-'NF - 5 Power Mix'!AHM21-'NF - 5 Power Mix'!AHM22</f>
        <v>0</v>
      </c>
      <c r="AHN42" s="1046">
        <f>AHN38+((AHN40+'NF - 5 Power Mix'!AHN14+'NF - 5 Power Mix'!AHN15)*860/10)+((('Form Sa1'!AHQ835)*860)/10)+('Form Sa1'!AHQ814*'Form Sa1'!AHQ816/10)-'NF - 5 Power Mix'!AHN21-'NF - 5 Power Mix'!AHN22</f>
        <v>0</v>
      </c>
      <c r="AHO42" s="1046">
        <f>AHO38+((AHO40+'NF - 5 Power Mix'!AHO14+'NF - 5 Power Mix'!AHO15)*860/10)+((('Form Sa1'!AHR835)*860)/10)+('Form Sa1'!AHR814*'Form Sa1'!AHR816/10)-'NF - 5 Power Mix'!AHO21-'NF - 5 Power Mix'!AHO22</f>
        <v>0</v>
      </c>
      <c r="AHP42" s="1046">
        <f>AHP38+((AHP40+'NF - 5 Power Mix'!AHP14+'NF - 5 Power Mix'!AHP15)*860/10)+((('Form Sa1'!AHS835)*860)/10)+('Form Sa1'!AHS814*'Form Sa1'!AHS816/10)-'NF - 5 Power Mix'!AHP21-'NF - 5 Power Mix'!AHP22</f>
        <v>0</v>
      </c>
      <c r="AHQ42" s="1046">
        <f>AHQ38+((AHQ40+'NF - 5 Power Mix'!AHQ14+'NF - 5 Power Mix'!AHQ15)*860/10)+((('Form Sa1'!AHT835)*860)/10)+('Form Sa1'!AHT814*'Form Sa1'!AHT816/10)-'NF - 5 Power Mix'!AHQ21-'NF - 5 Power Mix'!AHQ22</f>
        <v>0</v>
      </c>
      <c r="AHR42" s="1046">
        <f>AHR38+((AHR40+'NF - 5 Power Mix'!AHR14+'NF - 5 Power Mix'!AHR15)*860/10)+((('Form Sa1'!AHU835)*860)/10)+('Form Sa1'!AHU814*'Form Sa1'!AHU816/10)-'NF - 5 Power Mix'!AHR21-'NF - 5 Power Mix'!AHR22</f>
        <v>0</v>
      </c>
      <c r="AHS42" s="1046">
        <f>AHS38+((AHS40+'NF - 5 Power Mix'!AHS14+'NF - 5 Power Mix'!AHS15)*860/10)+((('Form Sa1'!AHV835)*860)/10)+('Form Sa1'!AHV814*'Form Sa1'!AHV816/10)-'NF - 5 Power Mix'!AHS21-'NF - 5 Power Mix'!AHS22</f>
        <v>0</v>
      </c>
      <c r="AHT42" s="1046">
        <f>AHT38+((AHT40+'NF - 5 Power Mix'!AHT14+'NF - 5 Power Mix'!AHT15)*860/10)+((('Form Sa1'!AHW835)*860)/10)+('Form Sa1'!AHW814*'Form Sa1'!AHW816/10)-'NF - 5 Power Mix'!AHT21-'NF - 5 Power Mix'!AHT22</f>
        <v>0</v>
      </c>
      <c r="AHU42" s="1046">
        <f>AHU38+((AHU40+'NF - 5 Power Mix'!AHU14+'NF - 5 Power Mix'!AHU15)*860/10)+((('Form Sa1'!AHX835)*860)/10)+('Form Sa1'!AHX814*'Form Sa1'!AHX816/10)-'NF - 5 Power Mix'!AHU21-'NF - 5 Power Mix'!AHU22</f>
        <v>0</v>
      </c>
      <c r="AHV42" s="1046">
        <f>AHV38+((AHV40+'NF - 5 Power Mix'!AHV14+'NF - 5 Power Mix'!AHV15)*860/10)+((('Form Sa1'!AHY835)*860)/10)+('Form Sa1'!AHY814*'Form Sa1'!AHY816/10)-'NF - 5 Power Mix'!AHV21-'NF - 5 Power Mix'!AHV22</f>
        <v>0</v>
      </c>
      <c r="AHW42" s="1046">
        <f>AHW38+((AHW40+'NF - 5 Power Mix'!AHW14+'NF - 5 Power Mix'!AHW15)*860/10)+((('Form Sa1'!AHZ835)*860)/10)+('Form Sa1'!AHZ814*'Form Sa1'!AHZ816/10)-'NF - 5 Power Mix'!AHW21-'NF - 5 Power Mix'!AHW22</f>
        <v>0</v>
      </c>
      <c r="AHX42" s="1046">
        <f>AHX38+((AHX40+'NF - 5 Power Mix'!AHX14+'NF - 5 Power Mix'!AHX15)*860/10)+((('Form Sa1'!AIA835)*860)/10)+('Form Sa1'!AIA814*'Form Sa1'!AIA816/10)-'NF - 5 Power Mix'!AHX21-'NF - 5 Power Mix'!AHX22</f>
        <v>0</v>
      </c>
      <c r="AHY42" s="1046">
        <f>AHY38+((AHY40+'NF - 5 Power Mix'!AHY14+'NF - 5 Power Mix'!AHY15)*860/10)+((('Form Sa1'!AIB835)*860)/10)+('Form Sa1'!AIB814*'Form Sa1'!AIB816/10)-'NF - 5 Power Mix'!AHY21-'NF - 5 Power Mix'!AHY22</f>
        <v>0</v>
      </c>
      <c r="AHZ42" s="1046">
        <f>AHZ38+((AHZ40+'NF - 5 Power Mix'!AHZ14+'NF - 5 Power Mix'!AHZ15)*860/10)+((('Form Sa1'!AIC835)*860)/10)+('Form Sa1'!AIC814*'Form Sa1'!AIC816/10)-'NF - 5 Power Mix'!AHZ21-'NF - 5 Power Mix'!AHZ22</f>
        <v>0</v>
      </c>
      <c r="AIA42" s="1046">
        <f>AIA38+((AIA40+'NF - 5 Power Mix'!AIA14+'NF - 5 Power Mix'!AIA15)*860/10)+((('Form Sa1'!AID835)*860)/10)+('Form Sa1'!AID814*'Form Sa1'!AID816/10)-'NF - 5 Power Mix'!AIA21-'NF - 5 Power Mix'!AIA22</f>
        <v>0</v>
      </c>
      <c r="AIB42" s="1046">
        <f>AIB38+((AIB40+'NF - 5 Power Mix'!AIB14+'NF - 5 Power Mix'!AIB15)*860/10)+((('Form Sa1'!AIE835)*860)/10)+('Form Sa1'!AIE814*'Form Sa1'!AIE816/10)-'NF - 5 Power Mix'!AIB21-'NF - 5 Power Mix'!AIB22</f>
        <v>0</v>
      </c>
      <c r="AIC42" s="1046">
        <f>AIC38+((AIC40+'NF - 5 Power Mix'!AIC14+'NF - 5 Power Mix'!AIC15)*860/10)+((('Form Sa1'!AIF835)*860)/10)+('Form Sa1'!AIF814*'Form Sa1'!AIF816/10)-'NF - 5 Power Mix'!AIC21-'NF - 5 Power Mix'!AIC22</f>
        <v>0</v>
      </c>
      <c r="AID42" s="1046">
        <f>AID38+((AID40+'NF - 5 Power Mix'!AID14+'NF - 5 Power Mix'!AID15)*860/10)+((('Form Sa1'!AIG835)*860)/10)+('Form Sa1'!AIG814*'Form Sa1'!AIG816/10)-'NF - 5 Power Mix'!AID21-'NF - 5 Power Mix'!AID22</f>
        <v>0</v>
      </c>
      <c r="AIE42" s="1046">
        <f>AIE38+((AIE40+'NF - 5 Power Mix'!AIE14+'NF - 5 Power Mix'!AIE15)*860/10)+((('Form Sa1'!AIH835)*860)/10)+('Form Sa1'!AIH814*'Form Sa1'!AIH816/10)-'NF - 5 Power Mix'!AIE21-'NF - 5 Power Mix'!AIE22</f>
        <v>0</v>
      </c>
      <c r="AIF42" s="1046">
        <f>AIF38+((AIF40+'NF - 5 Power Mix'!AIF14+'NF - 5 Power Mix'!AIF15)*860/10)+((('Form Sa1'!AII835)*860)/10)+('Form Sa1'!AII814*'Form Sa1'!AII816/10)-'NF - 5 Power Mix'!AIF21-'NF - 5 Power Mix'!AIF22</f>
        <v>0</v>
      </c>
      <c r="AIG42" s="1046">
        <f>AIG38+((AIG40+'NF - 5 Power Mix'!AIG14+'NF - 5 Power Mix'!AIG15)*860/10)+((('Form Sa1'!AIJ835)*860)/10)+('Form Sa1'!AIJ814*'Form Sa1'!AIJ816/10)-'NF - 5 Power Mix'!AIG21-'NF - 5 Power Mix'!AIG22</f>
        <v>0</v>
      </c>
      <c r="AIH42" s="1046">
        <f>AIH38+((AIH40+'NF - 5 Power Mix'!AIH14+'NF - 5 Power Mix'!AIH15)*860/10)+((('Form Sa1'!AIK835)*860)/10)+('Form Sa1'!AIK814*'Form Sa1'!AIK816/10)-'NF - 5 Power Mix'!AIH21-'NF - 5 Power Mix'!AIH22</f>
        <v>0</v>
      </c>
      <c r="AII42" s="1046">
        <f>AII38+((AII40+'NF - 5 Power Mix'!AII14+'NF - 5 Power Mix'!AII15)*860/10)+((('Form Sa1'!AIL835)*860)/10)+('Form Sa1'!AIL814*'Form Sa1'!AIL816/10)-'NF - 5 Power Mix'!AII21-'NF - 5 Power Mix'!AII22</f>
        <v>0</v>
      </c>
      <c r="AIJ42" s="1046">
        <f>AIJ38+((AIJ40+'NF - 5 Power Mix'!AIJ14+'NF - 5 Power Mix'!AIJ15)*860/10)+((('Form Sa1'!AIM835)*860)/10)+('Form Sa1'!AIM814*'Form Sa1'!AIM816/10)-'NF - 5 Power Mix'!AIJ21-'NF - 5 Power Mix'!AIJ22</f>
        <v>0</v>
      </c>
      <c r="AIK42" s="1046">
        <f>AIK38+((AIK40+'NF - 5 Power Mix'!AIK14+'NF - 5 Power Mix'!AIK15)*860/10)+((('Form Sa1'!AIN835)*860)/10)+('Form Sa1'!AIN814*'Form Sa1'!AIN816/10)-'NF - 5 Power Mix'!AIK21-'NF - 5 Power Mix'!AIK22</f>
        <v>0</v>
      </c>
      <c r="AIL42" s="1046">
        <f>AIL38+((AIL40+'NF - 5 Power Mix'!AIL14+'NF - 5 Power Mix'!AIL15)*860/10)+((('Form Sa1'!AIO835)*860)/10)+('Form Sa1'!AIO814*'Form Sa1'!AIO816/10)-'NF - 5 Power Mix'!AIL21-'NF - 5 Power Mix'!AIL22</f>
        <v>0</v>
      </c>
      <c r="AIM42" s="1046">
        <f>AIM38+((AIM40+'NF - 5 Power Mix'!AIM14+'NF - 5 Power Mix'!AIM15)*860/10)+((('Form Sa1'!AIP835)*860)/10)+('Form Sa1'!AIP814*'Form Sa1'!AIP816/10)-'NF - 5 Power Mix'!AIM21-'NF - 5 Power Mix'!AIM22</f>
        <v>0</v>
      </c>
      <c r="AIN42" s="1046">
        <f>AIN38+((AIN40+'NF - 5 Power Mix'!AIN14+'NF - 5 Power Mix'!AIN15)*860/10)+((('Form Sa1'!AIQ835)*860)/10)+('Form Sa1'!AIQ814*'Form Sa1'!AIQ816/10)-'NF - 5 Power Mix'!AIN21-'NF - 5 Power Mix'!AIN22</f>
        <v>0</v>
      </c>
      <c r="AIO42" s="1046">
        <f>AIO38+((AIO40+'NF - 5 Power Mix'!AIO14+'NF - 5 Power Mix'!AIO15)*860/10)+((('Form Sa1'!AIR835)*860)/10)+('Form Sa1'!AIR814*'Form Sa1'!AIR816/10)-'NF - 5 Power Mix'!AIO21-'NF - 5 Power Mix'!AIO22</f>
        <v>0</v>
      </c>
      <c r="AIP42" s="1046">
        <f>AIP38+((AIP40+'NF - 5 Power Mix'!AIP14+'NF - 5 Power Mix'!AIP15)*860/10)+((('Form Sa1'!AIS835)*860)/10)+('Form Sa1'!AIS814*'Form Sa1'!AIS816/10)-'NF - 5 Power Mix'!AIP21-'NF - 5 Power Mix'!AIP22</f>
        <v>0</v>
      </c>
      <c r="AIQ42" s="1046">
        <f>AIQ38+((AIQ40+'NF - 5 Power Mix'!AIQ14+'NF - 5 Power Mix'!AIQ15)*860/10)+((('Form Sa1'!AIT835)*860)/10)+('Form Sa1'!AIT814*'Form Sa1'!AIT816/10)-'NF - 5 Power Mix'!AIQ21-'NF - 5 Power Mix'!AIQ22</f>
        <v>0</v>
      </c>
      <c r="AIR42" s="1046">
        <f>AIR38+((AIR40+'NF - 5 Power Mix'!AIR14+'NF - 5 Power Mix'!AIR15)*860/10)+((('Form Sa1'!AIU835)*860)/10)+('Form Sa1'!AIU814*'Form Sa1'!AIU816/10)-'NF - 5 Power Mix'!AIR21-'NF - 5 Power Mix'!AIR22</f>
        <v>0</v>
      </c>
      <c r="AIS42" s="1046">
        <f>AIS38+((AIS40+'NF - 5 Power Mix'!AIS14+'NF - 5 Power Mix'!AIS15)*860/10)+((('Form Sa1'!AIV835)*860)/10)+('Form Sa1'!AIV814*'Form Sa1'!AIV816/10)-'NF - 5 Power Mix'!AIS21-'NF - 5 Power Mix'!AIS22</f>
        <v>0</v>
      </c>
      <c r="AIT42" s="1046">
        <f>AIT38+((AIT40+'NF - 5 Power Mix'!AIT14+'NF - 5 Power Mix'!AIT15)*860/10)+((('Form Sa1'!AIW835)*860)/10)+('Form Sa1'!AIW814*'Form Sa1'!AIW816/10)-'NF - 5 Power Mix'!AIT21-'NF - 5 Power Mix'!AIT22</f>
        <v>0</v>
      </c>
      <c r="AIU42" s="1046">
        <f>AIU38+((AIU40+'NF - 5 Power Mix'!AIU14+'NF - 5 Power Mix'!AIU15)*860/10)+((('Form Sa1'!AIX835)*860)/10)+('Form Sa1'!AIX814*'Form Sa1'!AIX816/10)-'NF - 5 Power Mix'!AIU21-'NF - 5 Power Mix'!AIU22</f>
        <v>0</v>
      </c>
      <c r="AIV42" s="1046">
        <f>AIV38+((AIV40+'NF - 5 Power Mix'!AIV14+'NF - 5 Power Mix'!AIV15)*860/10)+((('Form Sa1'!AIY835)*860)/10)+('Form Sa1'!AIY814*'Form Sa1'!AIY816/10)-'NF - 5 Power Mix'!AIV21-'NF - 5 Power Mix'!AIV22</f>
        <v>0</v>
      </c>
      <c r="AIW42" s="1046">
        <f>AIW38+((AIW40+'NF - 5 Power Mix'!AIW14+'NF - 5 Power Mix'!AIW15)*860/10)+((('Form Sa1'!AIZ835)*860)/10)+('Form Sa1'!AIZ814*'Form Sa1'!AIZ816/10)-'NF - 5 Power Mix'!AIW21-'NF - 5 Power Mix'!AIW22</f>
        <v>0</v>
      </c>
      <c r="AIX42" s="1046">
        <f>AIX38+((AIX40+'NF - 5 Power Mix'!AIX14+'NF - 5 Power Mix'!AIX15)*860/10)+((('Form Sa1'!AJA835)*860)/10)+('Form Sa1'!AJA814*'Form Sa1'!AJA816/10)-'NF - 5 Power Mix'!AIX21-'NF - 5 Power Mix'!AIX22</f>
        <v>0</v>
      </c>
      <c r="AIY42" s="1046">
        <f>AIY38+((AIY40+'NF - 5 Power Mix'!AIY14+'NF - 5 Power Mix'!AIY15)*860/10)+((('Form Sa1'!AJB835)*860)/10)+('Form Sa1'!AJB814*'Form Sa1'!AJB816/10)-'NF - 5 Power Mix'!AIY21-'NF - 5 Power Mix'!AIY22</f>
        <v>0</v>
      </c>
      <c r="AIZ42" s="1046">
        <f>AIZ38+((AIZ40+'NF - 5 Power Mix'!AIZ14+'NF - 5 Power Mix'!AIZ15)*860/10)+((('Form Sa1'!AJC835)*860)/10)+('Form Sa1'!AJC814*'Form Sa1'!AJC816/10)-'NF - 5 Power Mix'!AIZ21-'NF - 5 Power Mix'!AIZ22</f>
        <v>0</v>
      </c>
      <c r="AJA42" s="1046">
        <f>AJA38+((AJA40+'NF - 5 Power Mix'!AJA14+'NF - 5 Power Mix'!AJA15)*860/10)+((('Form Sa1'!AJD835)*860)/10)+('Form Sa1'!AJD814*'Form Sa1'!AJD816/10)-'NF - 5 Power Mix'!AJA21-'NF - 5 Power Mix'!AJA22</f>
        <v>0</v>
      </c>
      <c r="AJB42" s="1046">
        <f>AJB38+((AJB40+'NF - 5 Power Mix'!AJB14+'NF - 5 Power Mix'!AJB15)*860/10)+((('Form Sa1'!AJE835)*860)/10)+('Form Sa1'!AJE814*'Form Sa1'!AJE816/10)-'NF - 5 Power Mix'!AJB21-'NF - 5 Power Mix'!AJB22</f>
        <v>0</v>
      </c>
      <c r="AJC42" s="1046">
        <f>AJC38+((AJC40+'NF - 5 Power Mix'!AJC14+'NF - 5 Power Mix'!AJC15)*860/10)+((('Form Sa1'!AJF835)*860)/10)+('Form Sa1'!AJF814*'Form Sa1'!AJF816/10)-'NF - 5 Power Mix'!AJC21-'NF - 5 Power Mix'!AJC22</f>
        <v>0</v>
      </c>
      <c r="AJD42" s="1046">
        <f>AJD38+((AJD40+'NF - 5 Power Mix'!AJD14+'NF - 5 Power Mix'!AJD15)*860/10)+((('Form Sa1'!AJG835)*860)/10)+('Form Sa1'!AJG814*'Form Sa1'!AJG816/10)-'NF - 5 Power Mix'!AJD21-'NF - 5 Power Mix'!AJD22</f>
        <v>0</v>
      </c>
      <c r="AJE42" s="1046">
        <f>AJE38+((AJE40+'NF - 5 Power Mix'!AJE14+'NF - 5 Power Mix'!AJE15)*860/10)+((('Form Sa1'!AJH835)*860)/10)+('Form Sa1'!AJH814*'Form Sa1'!AJH816/10)-'NF - 5 Power Mix'!AJE21-'NF - 5 Power Mix'!AJE22</f>
        <v>0</v>
      </c>
      <c r="AJF42" s="1046">
        <f>AJF38+((AJF40+'NF - 5 Power Mix'!AJF14+'NF - 5 Power Mix'!AJF15)*860/10)+((('Form Sa1'!AJI835)*860)/10)+('Form Sa1'!AJI814*'Form Sa1'!AJI816/10)-'NF - 5 Power Mix'!AJF21-'NF - 5 Power Mix'!AJF22</f>
        <v>0</v>
      </c>
      <c r="AJG42" s="1046">
        <f>AJG38+((AJG40+'NF - 5 Power Mix'!AJG14+'NF - 5 Power Mix'!AJG15)*860/10)+((('Form Sa1'!AJJ835)*860)/10)+('Form Sa1'!AJJ814*'Form Sa1'!AJJ816/10)-'NF - 5 Power Mix'!AJG21-'NF - 5 Power Mix'!AJG22</f>
        <v>0</v>
      </c>
      <c r="AJH42" s="1046">
        <f>AJH38+((AJH40+'NF - 5 Power Mix'!AJH14+'NF - 5 Power Mix'!AJH15)*860/10)+((('Form Sa1'!AJK835)*860)/10)+('Form Sa1'!AJK814*'Form Sa1'!AJK816/10)-'NF - 5 Power Mix'!AJH21-'NF - 5 Power Mix'!AJH22</f>
        <v>0</v>
      </c>
      <c r="AJI42" s="1046">
        <f>AJI38+((AJI40+'NF - 5 Power Mix'!AJI14+'NF - 5 Power Mix'!AJI15)*860/10)+((('Form Sa1'!AJL835)*860)/10)+('Form Sa1'!AJL814*'Form Sa1'!AJL816/10)-'NF - 5 Power Mix'!AJI21-'NF - 5 Power Mix'!AJI22</f>
        <v>0</v>
      </c>
      <c r="AJJ42" s="1046">
        <f>AJJ38+((AJJ40+'NF - 5 Power Mix'!AJJ14+'NF - 5 Power Mix'!AJJ15)*860/10)+((('Form Sa1'!AJM835)*860)/10)+('Form Sa1'!AJM814*'Form Sa1'!AJM816/10)-'NF - 5 Power Mix'!AJJ21-'NF - 5 Power Mix'!AJJ22</f>
        <v>0</v>
      </c>
      <c r="AJK42" s="1046">
        <f>AJK38+((AJK40+'NF - 5 Power Mix'!AJK14+'NF - 5 Power Mix'!AJK15)*860/10)+((('Form Sa1'!AJN835)*860)/10)+('Form Sa1'!AJN814*'Form Sa1'!AJN816/10)-'NF - 5 Power Mix'!AJK21-'NF - 5 Power Mix'!AJK22</f>
        <v>0</v>
      </c>
      <c r="AJL42" s="1046">
        <f>AJL38+((AJL40+'NF - 5 Power Mix'!AJL14+'NF - 5 Power Mix'!AJL15)*860/10)+((('Form Sa1'!AJO835)*860)/10)+('Form Sa1'!AJO814*'Form Sa1'!AJO816/10)-'NF - 5 Power Mix'!AJL21-'NF - 5 Power Mix'!AJL22</f>
        <v>0</v>
      </c>
      <c r="AJM42" s="1046">
        <f>AJM38+((AJM40+'NF - 5 Power Mix'!AJM14+'NF - 5 Power Mix'!AJM15)*860/10)+((('Form Sa1'!AJP835)*860)/10)+('Form Sa1'!AJP814*'Form Sa1'!AJP816/10)-'NF - 5 Power Mix'!AJM21-'NF - 5 Power Mix'!AJM22</f>
        <v>0</v>
      </c>
      <c r="AJN42" s="1046">
        <f>AJN38+((AJN40+'NF - 5 Power Mix'!AJN14+'NF - 5 Power Mix'!AJN15)*860/10)+((('Form Sa1'!AJQ835)*860)/10)+('Form Sa1'!AJQ814*'Form Sa1'!AJQ816/10)-'NF - 5 Power Mix'!AJN21-'NF - 5 Power Mix'!AJN22</f>
        <v>0</v>
      </c>
      <c r="AJO42" s="1046">
        <f>AJO38+((AJO40+'NF - 5 Power Mix'!AJO14+'NF - 5 Power Mix'!AJO15)*860/10)+((('Form Sa1'!AJR835)*860)/10)+('Form Sa1'!AJR814*'Form Sa1'!AJR816/10)-'NF - 5 Power Mix'!AJO21-'NF - 5 Power Mix'!AJO22</f>
        <v>0</v>
      </c>
      <c r="AJP42" s="1046">
        <f>AJP38+((AJP40+'NF - 5 Power Mix'!AJP14+'NF - 5 Power Mix'!AJP15)*860/10)+((('Form Sa1'!AJS835)*860)/10)+('Form Sa1'!AJS814*'Form Sa1'!AJS816/10)-'NF - 5 Power Mix'!AJP21-'NF - 5 Power Mix'!AJP22</f>
        <v>0</v>
      </c>
      <c r="AJQ42" s="1046">
        <f>AJQ38+((AJQ40+'NF - 5 Power Mix'!AJQ14+'NF - 5 Power Mix'!AJQ15)*860/10)+((('Form Sa1'!AJT835)*860)/10)+('Form Sa1'!AJT814*'Form Sa1'!AJT816/10)-'NF - 5 Power Mix'!AJQ21-'NF - 5 Power Mix'!AJQ22</f>
        <v>0</v>
      </c>
      <c r="AJR42" s="1046">
        <f>AJR38+((AJR40+'NF - 5 Power Mix'!AJR14+'NF - 5 Power Mix'!AJR15)*860/10)+((('Form Sa1'!AJU835)*860)/10)+('Form Sa1'!AJU814*'Form Sa1'!AJU816/10)-'NF - 5 Power Mix'!AJR21-'NF - 5 Power Mix'!AJR22</f>
        <v>0</v>
      </c>
      <c r="AJS42" s="1046">
        <f>AJS38+((AJS40+'NF - 5 Power Mix'!AJS14+'NF - 5 Power Mix'!AJS15)*860/10)+((('Form Sa1'!AJV835)*860)/10)+('Form Sa1'!AJV814*'Form Sa1'!AJV816/10)-'NF - 5 Power Mix'!AJS21-'NF - 5 Power Mix'!AJS22</f>
        <v>0</v>
      </c>
      <c r="AJT42" s="1046">
        <f>AJT38+((AJT40+'NF - 5 Power Mix'!AJT14+'NF - 5 Power Mix'!AJT15)*860/10)+((('Form Sa1'!AJW835)*860)/10)+('Form Sa1'!AJW814*'Form Sa1'!AJW816/10)-'NF - 5 Power Mix'!AJT21-'NF - 5 Power Mix'!AJT22</f>
        <v>0</v>
      </c>
      <c r="AJU42" s="1046">
        <f>AJU38+((AJU40+'NF - 5 Power Mix'!AJU14+'NF - 5 Power Mix'!AJU15)*860/10)+((('Form Sa1'!AJX835)*860)/10)+('Form Sa1'!AJX814*'Form Sa1'!AJX816/10)-'NF - 5 Power Mix'!AJU21-'NF - 5 Power Mix'!AJU22</f>
        <v>0</v>
      </c>
      <c r="AJV42" s="1046">
        <f>AJV38+((AJV40+'NF - 5 Power Mix'!AJV14+'NF - 5 Power Mix'!AJV15)*860/10)+((('Form Sa1'!AJY835)*860)/10)+('Form Sa1'!AJY814*'Form Sa1'!AJY816/10)-'NF - 5 Power Mix'!AJV21-'NF - 5 Power Mix'!AJV22</f>
        <v>0</v>
      </c>
      <c r="AJW42" s="1046">
        <f>AJW38+((AJW40+'NF - 5 Power Mix'!AJW14+'NF - 5 Power Mix'!AJW15)*860/10)+((('Form Sa1'!AJZ835)*860)/10)+('Form Sa1'!AJZ814*'Form Sa1'!AJZ816/10)-'NF - 5 Power Mix'!AJW21-'NF - 5 Power Mix'!AJW22</f>
        <v>0</v>
      </c>
      <c r="AJX42" s="1046">
        <f>AJX38+((AJX40+'NF - 5 Power Mix'!AJX14+'NF - 5 Power Mix'!AJX15)*860/10)+((('Form Sa1'!AKA835)*860)/10)+('Form Sa1'!AKA814*'Form Sa1'!AKA816/10)-'NF - 5 Power Mix'!AJX21-'NF - 5 Power Mix'!AJX22</f>
        <v>0</v>
      </c>
      <c r="AJY42" s="1046">
        <f>AJY38+((AJY40+'NF - 5 Power Mix'!AJY14+'NF - 5 Power Mix'!AJY15)*860/10)+((('Form Sa1'!AKB835)*860)/10)+('Form Sa1'!AKB814*'Form Sa1'!AKB816/10)-'NF - 5 Power Mix'!AJY21-'NF - 5 Power Mix'!AJY22</f>
        <v>0</v>
      </c>
      <c r="AJZ42" s="1046">
        <f>AJZ38+((AJZ40+'NF - 5 Power Mix'!AJZ14+'NF - 5 Power Mix'!AJZ15)*860/10)+((('Form Sa1'!AKC835)*860)/10)+('Form Sa1'!AKC814*'Form Sa1'!AKC816/10)-'NF - 5 Power Mix'!AJZ21-'NF - 5 Power Mix'!AJZ22</f>
        <v>0</v>
      </c>
      <c r="AKA42" s="1046">
        <f>AKA38+((AKA40+'NF - 5 Power Mix'!AKA14+'NF - 5 Power Mix'!AKA15)*860/10)+((('Form Sa1'!AKD835)*860)/10)+('Form Sa1'!AKD814*'Form Sa1'!AKD816/10)-'NF - 5 Power Mix'!AKA21-'NF - 5 Power Mix'!AKA22</f>
        <v>0</v>
      </c>
      <c r="AKB42" s="1046">
        <f>AKB38+((AKB40+'NF - 5 Power Mix'!AKB14+'NF - 5 Power Mix'!AKB15)*860/10)+((('Form Sa1'!AKE835)*860)/10)+('Form Sa1'!AKE814*'Form Sa1'!AKE816/10)-'NF - 5 Power Mix'!AKB21-'NF - 5 Power Mix'!AKB22</f>
        <v>0</v>
      </c>
      <c r="AKC42" s="1046">
        <f>AKC38+((AKC40+'NF - 5 Power Mix'!AKC14+'NF - 5 Power Mix'!AKC15)*860/10)+((('Form Sa1'!AKF835)*860)/10)+('Form Sa1'!AKF814*'Form Sa1'!AKF816/10)-'NF - 5 Power Mix'!AKC21-'NF - 5 Power Mix'!AKC22</f>
        <v>0</v>
      </c>
      <c r="AKD42" s="1046">
        <f>AKD38+((AKD40+'NF - 5 Power Mix'!AKD14+'NF - 5 Power Mix'!AKD15)*860/10)+((('Form Sa1'!AKG835)*860)/10)+('Form Sa1'!AKG814*'Form Sa1'!AKG816/10)-'NF - 5 Power Mix'!AKD21-'NF - 5 Power Mix'!AKD22</f>
        <v>0</v>
      </c>
      <c r="AKE42" s="1046">
        <f>AKE38+((AKE40+'NF - 5 Power Mix'!AKE14+'NF - 5 Power Mix'!AKE15)*860/10)+((('Form Sa1'!AKH835)*860)/10)+('Form Sa1'!AKH814*'Form Sa1'!AKH816/10)-'NF - 5 Power Mix'!AKE21-'NF - 5 Power Mix'!AKE22</f>
        <v>0</v>
      </c>
      <c r="AKF42" s="1046">
        <f>AKF38+((AKF40+'NF - 5 Power Mix'!AKF14+'NF - 5 Power Mix'!AKF15)*860/10)+((('Form Sa1'!AKI835)*860)/10)+('Form Sa1'!AKI814*'Form Sa1'!AKI816/10)-'NF - 5 Power Mix'!AKF21-'NF - 5 Power Mix'!AKF22</f>
        <v>0</v>
      </c>
      <c r="AKG42" s="1046">
        <f>AKG38+((AKG40+'NF - 5 Power Mix'!AKG14+'NF - 5 Power Mix'!AKG15)*860/10)+((('Form Sa1'!AKJ835)*860)/10)+('Form Sa1'!AKJ814*'Form Sa1'!AKJ816/10)-'NF - 5 Power Mix'!AKG21-'NF - 5 Power Mix'!AKG22</f>
        <v>0</v>
      </c>
      <c r="AKH42" s="1046">
        <f>AKH38+((AKH40+'NF - 5 Power Mix'!AKH14+'NF - 5 Power Mix'!AKH15)*860/10)+((('Form Sa1'!AKK835)*860)/10)+('Form Sa1'!AKK814*'Form Sa1'!AKK816/10)-'NF - 5 Power Mix'!AKH21-'NF - 5 Power Mix'!AKH22</f>
        <v>0</v>
      </c>
      <c r="AKI42" s="1046">
        <f>AKI38+((AKI40+'NF - 5 Power Mix'!AKI14+'NF - 5 Power Mix'!AKI15)*860/10)+((('Form Sa1'!AKL835)*860)/10)+('Form Sa1'!AKL814*'Form Sa1'!AKL816/10)-'NF - 5 Power Mix'!AKI21-'NF - 5 Power Mix'!AKI22</f>
        <v>0</v>
      </c>
      <c r="AKJ42" s="1046">
        <f>AKJ38+((AKJ40+'NF - 5 Power Mix'!AKJ14+'NF - 5 Power Mix'!AKJ15)*860/10)+((('Form Sa1'!AKM835)*860)/10)+('Form Sa1'!AKM814*'Form Sa1'!AKM816/10)-'NF - 5 Power Mix'!AKJ21-'NF - 5 Power Mix'!AKJ22</f>
        <v>0</v>
      </c>
      <c r="AKK42" s="1046">
        <f>AKK38+((AKK40+'NF - 5 Power Mix'!AKK14+'NF - 5 Power Mix'!AKK15)*860/10)+((('Form Sa1'!AKN835)*860)/10)+('Form Sa1'!AKN814*'Form Sa1'!AKN816/10)-'NF - 5 Power Mix'!AKK21-'NF - 5 Power Mix'!AKK22</f>
        <v>0</v>
      </c>
      <c r="AKL42" s="1046">
        <f>AKL38+((AKL40+'NF - 5 Power Mix'!AKL14+'NF - 5 Power Mix'!AKL15)*860/10)+((('Form Sa1'!AKO835)*860)/10)+('Form Sa1'!AKO814*'Form Sa1'!AKO816/10)-'NF - 5 Power Mix'!AKL21-'NF - 5 Power Mix'!AKL22</f>
        <v>0</v>
      </c>
      <c r="AKM42" s="1046">
        <f>AKM38+((AKM40+'NF - 5 Power Mix'!AKM14+'NF - 5 Power Mix'!AKM15)*860/10)+((('Form Sa1'!AKP835)*860)/10)+('Form Sa1'!AKP814*'Form Sa1'!AKP816/10)-'NF - 5 Power Mix'!AKM21-'NF - 5 Power Mix'!AKM22</f>
        <v>0</v>
      </c>
      <c r="AKN42" s="1046">
        <f>AKN38+((AKN40+'NF - 5 Power Mix'!AKN14+'NF - 5 Power Mix'!AKN15)*860/10)+((('Form Sa1'!AKQ835)*860)/10)+('Form Sa1'!AKQ814*'Form Sa1'!AKQ816/10)-'NF - 5 Power Mix'!AKN21-'NF - 5 Power Mix'!AKN22</f>
        <v>0</v>
      </c>
      <c r="AKO42" s="1046">
        <f>AKO38+((AKO40+'NF - 5 Power Mix'!AKO14+'NF - 5 Power Mix'!AKO15)*860/10)+((('Form Sa1'!AKR835)*860)/10)+('Form Sa1'!AKR814*'Form Sa1'!AKR816/10)-'NF - 5 Power Mix'!AKO21-'NF - 5 Power Mix'!AKO22</f>
        <v>0</v>
      </c>
      <c r="AKP42" s="1046">
        <f>AKP38+((AKP40+'NF - 5 Power Mix'!AKP14+'NF - 5 Power Mix'!AKP15)*860/10)+((('Form Sa1'!AKS835)*860)/10)+('Form Sa1'!AKS814*'Form Sa1'!AKS816/10)-'NF - 5 Power Mix'!AKP21-'NF - 5 Power Mix'!AKP22</f>
        <v>0</v>
      </c>
      <c r="AKQ42" s="1046">
        <f>AKQ38+((AKQ40+'NF - 5 Power Mix'!AKQ14+'NF - 5 Power Mix'!AKQ15)*860/10)+((('Form Sa1'!AKT835)*860)/10)+('Form Sa1'!AKT814*'Form Sa1'!AKT816/10)-'NF - 5 Power Mix'!AKQ21-'NF - 5 Power Mix'!AKQ22</f>
        <v>0</v>
      </c>
      <c r="AKR42" s="1046">
        <f>AKR38+((AKR40+'NF - 5 Power Mix'!AKR14+'NF - 5 Power Mix'!AKR15)*860/10)+((('Form Sa1'!AKU835)*860)/10)+('Form Sa1'!AKU814*'Form Sa1'!AKU816/10)-'NF - 5 Power Mix'!AKR21-'NF - 5 Power Mix'!AKR22</f>
        <v>0</v>
      </c>
      <c r="AKS42" s="1046">
        <f>AKS38+((AKS40+'NF - 5 Power Mix'!AKS14+'NF - 5 Power Mix'!AKS15)*860/10)+((('Form Sa1'!AKV835)*860)/10)+('Form Sa1'!AKV814*'Form Sa1'!AKV816/10)-'NF - 5 Power Mix'!AKS21-'NF - 5 Power Mix'!AKS22</f>
        <v>0</v>
      </c>
      <c r="AKT42" s="1046">
        <f>AKT38+((AKT40+'NF - 5 Power Mix'!AKT14+'NF - 5 Power Mix'!AKT15)*860/10)+((('Form Sa1'!AKW835)*860)/10)+('Form Sa1'!AKW814*'Form Sa1'!AKW816/10)-'NF - 5 Power Mix'!AKT21-'NF - 5 Power Mix'!AKT22</f>
        <v>0</v>
      </c>
      <c r="AKU42" s="1046">
        <f>AKU38+((AKU40+'NF - 5 Power Mix'!AKU14+'NF - 5 Power Mix'!AKU15)*860/10)+((('Form Sa1'!AKX835)*860)/10)+('Form Sa1'!AKX814*'Form Sa1'!AKX816/10)-'NF - 5 Power Mix'!AKU21-'NF - 5 Power Mix'!AKU22</f>
        <v>0</v>
      </c>
      <c r="AKV42" s="1046">
        <f>AKV38+((AKV40+'NF - 5 Power Mix'!AKV14+'NF - 5 Power Mix'!AKV15)*860/10)+((('Form Sa1'!AKY835)*860)/10)+('Form Sa1'!AKY814*'Form Sa1'!AKY816/10)-'NF - 5 Power Mix'!AKV21-'NF - 5 Power Mix'!AKV22</f>
        <v>0</v>
      </c>
      <c r="AKW42" s="1046">
        <f>AKW38+((AKW40+'NF - 5 Power Mix'!AKW14+'NF - 5 Power Mix'!AKW15)*860/10)+((('Form Sa1'!AKZ835)*860)/10)+('Form Sa1'!AKZ814*'Form Sa1'!AKZ816/10)-'NF - 5 Power Mix'!AKW21-'NF - 5 Power Mix'!AKW22</f>
        <v>0</v>
      </c>
      <c r="AKX42" s="1046">
        <f>AKX38+((AKX40+'NF - 5 Power Mix'!AKX14+'NF - 5 Power Mix'!AKX15)*860/10)+((('Form Sa1'!ALA835)*860)/10)+('Form Sa1'!ALA814*'Form Sa1'!ALA816/10)-'NF - 5 Power Mix'!AKX21-'NF - 5 Power Mix'!AKX22</f>
        <v>0</v>
      </c>
      <c r="AKY42" s="1046">
        <f>AKY38+((AKY40+'NF - 5 Power Mix'!AKY14+'NF - 5 Power Mix'!AKY15)*860/10)+((('Form Sa1'!ALB835)*860)/10)+('Form Sa1'!ALB814*'Form Sa1'!ALB816/10)-'NF - 5 Power Mix'!AKY21-'NF - 5 Power Mix'!AKY22</f>
        <v>0</v>
      </c>
      <c r="AKZ42" s="1046">
        <f>AKZ38+((AKZ40+'NF - 5 Power Mix'!AKZ14+'NF - 5 Power Mix'!AKZ15)*860/10)+((('Form Sa1'!ALC835)*860)/10)+('Form Sa1'!ALC814*'Form Sa1'!ALC816/10)-'NF - 5 Power Mix'!AKZ21-'NF - 5 Power Mix'!AKZ22</f>
        <v>0</v>
      </c>
      <c r="ALA42" s="1046">
        <f>ALA38+((ALA40+'NF - 5 Power Mix'!ALA14+'NF - 5 Power Mix'!ALA15)*860/10)+((('Form Sa1'!ALD835)*860)/10)+('Form Sa1'!ALD814*'Form Sa1'!ALD816/10)-'NF - 5 Power Mix'!ALA21-'NF - 5 Power Mix'!ALA22</f>
        <v>0</v>
      </c>
      <c r="ALB42" s="1046">
        <f>ALB38+((ALB40+'NF - 5 Power Mix'!ALB14+'NF - 5 Power Mix'!ALB15)*860/10)+((('Form Sa1'!ALE835)*860)/10)+('Form Sa1'!ALE814*'Form Sa1'!ALE816/10)-'NF - 5 Power Mix'!ALB21-'NF - 5 Power Mix'!ALB22</f>
        <v>0</v>
      </c>
      <c r="ALC42" s="1046">
        <f>ALC38+((ALC40+'NF - 5 Power Mix'!ALC14+'NF - 5 Power Mix'!ALC15)*860/10)+((('Form Sa1'!ALF835)*860)/10)+('Form Sa1'!ALF814*'Form Sa1'!ALF816/10)-'NF - 5 Power Mix'!ALC21-'NF - 5 Power Mix'!ALC22</f>
        <v>0</v>
      </c>
      <c r="ALD42" s="1046">
        <f>ALD38+((ALD40+'NF - 5 Power Mix'!ALD14+'NF - 5 Power Mix'!ALD15)*860/10)+((('Form Sa1'!ALG835)*860)/10)+('Form Sa1'!ALG814*'Form Sa1'!ALG816/10)-'NF - 5 Power Mix'!ALD21-'NF - 5 Power Mix'!ALD22</f>
        <v>0</v>
      </c>
      <c r="ALE42" s="1046">
        <f>ALE38+((ALE40+'NF - 5 Power Mix'!ALE14+'NF - 5 Power Mix'!ALE15)*860/10)+((('Form Sa1'!ALH835)*860)/10)+('Form Sa1'!ALH814*'Form Sa1'!ALH816/10)-'NF - 5 Power Mix'!ALE21-'NF - 5 Power Mix'!ALE22</f>
        <v>0</v>
      </c>
      <c r="ALF42" s="1046">
        <f>ALF38+((ALF40+'NF - 5 Power Mix'!ALF14+'NF - 5 Power Mix'!ALF15)*860/10)+((('Form Sa1'!ALI835)*860)/10)+('Form Sa1'!ALI814*'Form Sa1'!ALI816/10)-'NF - 5 Power Mix'!ALF21-'NF - 5 Power Mix'!ALF22</f>
        <v>0</v>
      </c>
      <c r="ALG42" s="1046">
        <f>ALG38+((ALG40+'NF - 5 Power Mix'!ALG14+'NF - 5 Power Mix'!ALG15)*860/10)+((('Form Sa1'!ALJ835)*860)/10)+('Form Sa1'!ALJ814*'Form Sa1'!ALJ816/10)-'NF - 5 Power Mix'!ALG21-'NF - 5 Power Mix'!ALG22</f>
        <v>0</v>
      </c>
      <c r="ALH42" s="1046">
        <f>ALH38+((ALH40+'NF - 5 Power Mix'!ALH14+'NF - 5 Power Mix'!ALH15)*860/10)+((('Form Sa1'!ALK835)*860)/10)+('Form Sa1'!ALK814*'Form Sa1'!ALK816/10)-'NF - 5 Power Mix'!ALH21-'NF - 5 Power Mix'!ALH22</f>
        <v>0</v>
      </c>
      <c r="ALI42" s="1046">
        <f>ALI38+((ALI40+'NF - 5 Power Mix'!ALI14+'NF - 5 Power Mix'!ALI15)*860/10)+((('Form Sa1'!ALL835)*860)/10)+('Form Sa1'!ALL814*'Form Sa1'!ALL816/10)-'NF - 5 Power Mix'!ALI21-'NF - 5 Power Mix'!ALI22</f>
        <v>0</v>
      </c>
      <c r="ALJ42" s="1046">
        <f>ALJ38+((ALJ40+'NF - 5 Power Mix'!ALJ14+'NF - 5 Power Mix'!ALJ15)*860/10)+((('Form Sa1'!ALM835)*860)/10)+('Form Sa1'!ALM814*'Form Sa1'!ALM816/10)-'NF - 5 Power Mix'!ALJ21-'NF - 5 Power Mix'!ALJ22</f>
        <v>0</v>
      </c>
      <c r="ALK42" s="1046">
        <f>ALK38+((ALK40+'NF - 5 Power Mix'!ALK14+'NF - 5 Power Mix'!ALK15)*860/10)+((('Form Sa1'!ALN835)*860)/10)+('Form Sa1'!ALN814*'Form Sa1'!ALN816/10)-'NF - 5 Power Mix'!ALK21-'NF - 5 Power Mix'!ALK22</f>
        <v>0</v>
      </c>
      <c r="ALL42" s="1046">
        <f>ALL38+((ALL40+'NF - 5 Power Mix'!ALL14+'NF - 5 Power Mix'!ALL15)*860/10)+((('Form Sa1'!ALO835)*860)/10)+('Form Sa1'!ALO814*'Form Sa1'!ALO816/10)-'NF - 5 Power Mix'!ALL21-'NF - 5 Power Mix'!ALL22</f>
        <v>0</v>
      </c>
      <c r="ALM42" s="1046">
        <f>ALM38+((ALM40+'NF - 5 Power Mix'!ALM14+'NF - 5 Power Mix'!ALM15)*860/10)+((('Form Sa1'!ALP835)*860)/10)+('Form Sa1'!ALP814*'Form Sa1'!ALP816/10)-'NF - 5 Power Mix'!ALM21-'NF - 5 Power Mix'!ALM22</f>
        <v>0</v>
      </c>
      <c r="ALN42" s="1046">
        <f>ALN38+((ALN40+'NF - 5 Power Mix'!ALN14+'NF - 5 Power Mix'!ALN15)*860/10)+((('Form Sa1'!ALQ835)*860)/10)+('Form Sa1'!ALQ814*'Form Sa1'!ALQ816/10)-'NF - 5 Power Mix'!ALN21-'NF - 5 Power Mix'!ALN22</f>
        <v>0</v>
      </c>
      <c r="ALO42" s="1046">
        <f>ALO38+((ALO40+'NF - 5 Power Mix'!ALO14+'NF - 5 Power Mix'!ALO15)*860/10)+((('Form Sa1'!ALR835)*860)/10)+('Form Sa1'!ALR814*'Form Sa1'!ALR816/10)-'NF - 5 Power Mix'!ALO21-'NF - 5 Power Mix'!ALO22</f>
        <v>0</v>
      </c>
      <c r="ALP42" s="1046">
        <f>ALP38+((ALP40+'NF - 5 Power Mix'!ALP14+'NF - 5 Power Mix'!ALP15)*860/10)+((('Form Sa1'!ALS835)*860)/10)+('Form Sa1'!ALS814*'Form Sa1'!ALS816/10)-'NF - 5 Power Mix'!ALP21-'NF - 5 Power Mix'!ALP22</f>
        <v>0</v>
      </c>
      <c r="ALQ42" s="1046">
        <f>ALQ38+((ALQ40+'NF - 5 Power Mix'!ALQ14+'NF - 5 Power Mix'!ALQ15)*860/10)+((('Form Sa1'!ALT835)*860)/10)+('Form Sa1'!ALT814*'Form Sa1'!ALT816/10)-'NF - 5 Power Mix'!ALQ21-'NF - 5 Power Mix'!ALQ22</f>
        <v>0</v>
      </c>
      <c r="ALR42" s="1046">
        <f>ALR38+((ALR40+'NF - 5 Power Mix'!ALR14+'NF - 5 Power Mix'!ALR15)*860/10)+((('Form Sa1'!ALU835)*860)/10)+('Form Sa1'!ALU814*'Form Sa1'!ALU816/10)-'NF - 5 Power Mix'!ALR21-'NF - 5 Power Mix'!ALR22</f>
        <v>0</v>
      </c>
      <c r="ALS42" s="1046">
        <f>ALS38+((ALS40+'NF - 5 Power Mix'!ALS14+'NF - 5 Power Mix'!ALS15)*860/10)+((('Form Sa1'!ALV835)*860)/10)+('Form Sa1'!ALV814*'Form Sa1'!ALV816/10)-'NF - 5 Power Mix'!ALS21-'NF - 5 Power Mix'!ALS22</f>
        <v>0</v>
      </c>
      <c r="ALT42" s="1046">
        <f>ALT38+((ALT40+'NF - 5 Power Mix'!ALT14+'NF - 5 Power Mix'!ALT15)*860/10)+((('Form Sa1'!ALW835)*860)/10)+('Form Sa1'!ALW814*'Form Sa1'!ALW816/10)-'NF - 5 Power Mix'!ALT21-'NF - 5 Power Mix'!ALT22</f>
        <v>0</v>
      </c>
      <c r="ALU42" s="1046">
        <f>ALU38+((ALU40+'NF - 5 Power Mix'!ALU14+'NF - 5 Power Mix'!ALU15)*860/10)+((('Form Sa1'!ALX835)*860)/10)+('Form Sa1'!ALX814*'Form Sa1'!ALX816/10)-'NF - 5 Power Mix'!ALU21-'NF - 5 Power Mix'!ALU22</f>
        <v>0</v>
      </c>
      <c r="ALV42" s="1046">
        <f>ALV38+((ALV40+'NF - 5 Power Mix'!ALV14+'NF - 5 Power Mix'!ALV15)*860/10)+((('Form Sa1'!ALY835)*860)/10)+('Form Sa1'!ALY814*'Form Sa1'!ALY816/10)-'NF - 5 Power Mix'!ALV21-'NF - 5 Power Mix'!ALV22</f>
        <v>0</v>
      </c>
      <c r="ALW42" s="1046">
        <f>ALW38+((ALW40+'NF - 5 Power Mix'!ALW14+'NF - 5 Power Mix'!ALW15)*860/10)+((('Form Sa1'!ALZ835)*860)/10)+('Form Sa1'!ALZ814*'Form Sa1'!ALZ816/10)-'NF - 5 Power Mix'!ALW21-'NF - 5 Power Mix'!ALW22</f>
        <v>0</v>
      </c>
      <c r="ALX42" s="1046">
        <f>ALX38+((ALX40+'NF - 5 Power Mix'!ALX14+'NF - 5 Power Mix'!ALX15)*860/10)+((('Form Sa1'!AMA835)*860)/10)+('Form Sa1'!AMA814*'Form Sa1'!AMA816/10)-'NF - 5 Power Mix'!ALX21-'NF - 5 Power Mix'!ALX22</f>
        <v>0</v>
      </c>
      <c r="ALY42" s="1046">
        <f>ALY38+((ALY40+'NF - 5 Power Mix'!ALY14+'NF - 5 Power Mix'!ALY15)*860/10)+((('Form Sa1'!AMB835)*860)/10)+('Form Sa1'!AMB814*'Form Sa1'!AMB816/10)-'NF - 5 Power Mix'!ALY21-'NF - 5 Power Mix'!ALY22</f>
        <v>0</v>
      </c>
      <c r="ALZ42" s="1046">
        <f>ALZ38+((ALZ40+'NF - 5 Power Mix'!ALZ14+'NF - 5 Power Mix'!ALZ15)*860/10)+((('Form Sa1'!AMC835)*860)/10)+('Form Sa1'!AMC814*'Form Sa1'!AMC816/10)-'NF - 5 Power Mix'!ALZ21-'NF - 5 Power Mix'!ALZ22</f>
        <v>0</v>
      </c>
      <c r="AMA42" s="1046">
        <f>AMA38+((AMA40+'NF - 5 Power Mix'!AMA14+'NF - 5 Power Mix'!AMA15)*860/10)+((('Form Sa1'!AMD835)*860)/10)+('Form Sa1'!AMD814*'Form Sa1'!AMD816/10)-'NF - 5 Power Mix'!AMA21-'NF - 5 Power Mix'!AMA22</f>
        <v>0</v>
      </c>
      <c r="AMB42" s="1046">
        <f>AMB38+((AMB40+'NF - 5 Power Mix'!AMB14+'NF - 5 Power Mix'!AMB15)*860/10)+((('Form Sa1'!AME835)*860)/10)+('Form Sa1'!AME814*'Form Sa1'!AME816/10)-'NF - 5 Power Mix'!AMB21-'NF - 5 Power Mix'!AMB22</f>
        <v>0</v>
      </c>
      <c r="AMC42" s="1046">
        <f>AMC38+((AMC40+'NF - 5 Power Mix'!AMC14+'NF - 5 Power Mix'!AMC15)*860/10)+((('Form Sa1'!AMF835)*860)/10)+('Form Sa1'!AMF814*'Form Sa1'!AMF816/10)-'NF - 5 Power Mix'!AMC21-'NF - 5 Power Mix'!AMC22</f>
        <v>0</v>
      </c>
      <c r="AMD42" s="1046">
        <f>AMD38+((AMD40+'NF - 5 Power Mix'!AMD14+'NF - 5 Power Mix'!AMD15)*860/10)+((('Form Sa1'!AMG835)*860)/10)+('Form Sa1'!AMG814*'Form Sa1'!AMG816/10)-'NF - 5 Power Mix'!AMD21-'NF - 5 Power Mix'!AMD22</f>
        <v>0</v>
      </c>
      <c r="AME42" s="1046">
        <f>AME38+((AME40+'NF - 5 Power Mix'!AME14+'NF - 5 Power Mix'!AME15)*860/10)+((('Form Sa1'!AMH835)*860)/10)+('Form Sa1'!AMH814*'Form Sa1'!AMH816/10)-'NF - 5 Power Mix'!AME21-'NF - 5 Power Mix'!AME22</f>
        <v>0</v>
      </c>
      <c r="AMF42" s="1046">
        <f>AMF38+((AMF40+'NF - 5 Power Mix'!AMF14+'NF - 5 Power Mix'!AMF15)*860/10)+((('Form Sa1'!AMI835)*860)/10)+('Form Sa1'!AMI814*'Form Sa1'!AMI816/10)-'NF - 5 Power Mix'!AMF21-'NF - 5 Power Mix'!AMF22</f>
        <v>0</v>
      </c>
      <c r="AMG42" s="1046">
        <f>AMG38+((AMG40+'NF - 5 Power Mix'!AMG14+'NF - 5 Power Mix'!AMG15)*860/10)+((('Form Sa1'!AMJ835)*860)/10)+('Form Sa1'!AMJ814*'Form Sa1'!AMJ816/10)-'NF - 5 Power Mix'!AMG21-'NF - 5 Power Mix'!AMG22</f>
        <v>0</v>
      </c>
      <c r="AMH42" s="1046">
        <f>AMH38+((AMH40+'NF - 5 Power Mix'!AMH14+'NF - 5 Power Mix'!AMH15)*860/10)+((('Form Sa1'!AMK835)*860)/10)+('Form Sa1'!AMK814*'Form Sa1'!AMK816/10)-'NF - 5 Power Mix'!AMH21-'NF - 5 Power Mix'!AMH22</f>
        <v>0</v>
      </c>
      <c r="AMI42" s="1046">
        <f>AMI38+((AMI40+'NF - 5 Power Mix'!AMI14+'NF - 5 Power Mix'!AMI15)*860/10)+((('Form Sa1'!AML835)*860)/10)+('Form Sa1'!AML814*'Form Sa1'!AML816/10)-'NF - 5 Power Mix'!AMI21-'NF - 5 Power Mix'!AMI22</f>
        <v>0</v>
      </c>
      <c r="AMJ42" s="1046">
        <f>AMJ38+((AMJ40+'NF - 5 Power Mix'!AMJ14+'NF - 5 Power Mix'!AMJ15)*860/10)+((('Form Sa1'!AMM835)*860)/10)+('Form Sa1'!AMM814*'Form Sa1'!AMM816/10)-'NF - 5 Power Mix'!AMJ21-'NF - 5 Power Mix'!AMJ22</f>
        <v>0</v>
      </c>
      <c r="AMK42" s="1046">
        <f>AMK38+((AMK40+'NF - 5 Power Mix'!AMK14+'NF - 5 Power Mix'!AMK15)*860/10)+((('Form Sa1'!AMN835)*860)/10)+('Form Sa1'!AMN814*'Form Sa1'!AMN816/10)-'NF - 5 Power Mix'!AMK21-'NF - 5 Power Mix'!AMK22</f>
        <v>0</v>
      </c>
      <c r="AML42" s="1046">
        <f>AML38+((AML40+'NF - 5 Power Mix'!AML14+'NF - 5 Power Mix'!AML15)*860/10)+((('Form Sa1'!AMO835)*860)/10)+('Form Sa1'!AMO814*'Form Sa1'!AMO816/10)-'NF - 5 Power Mix'!AML21-'NF - 5 Power Mix'!AML22</f>
        <v>0</v>
      </c>
      <c r="AMM42" s="1046">
        <f>AMM38+((AMM40+'NF - 5 Power Mix'!AMM14+'NF - 5 Power Mix'!AMM15)*860/10)+((('Form Sa1'!AMP835)*860)/10)+('Form Sa1'!AMP814*'Form Sa1'!AMP816/10)-'NF - 5 Power Mix'!AMM21-'NF - 5 Power Mix'!AMM22</f>
        <v>0</v>
      </c>
      <c r="AMN42" s="1046">
        <f>AMN38+((AMN40+'NF - 5 Power Mix'!AMN14+'NF - 5 Power Mix'!AMN15)*860/10)+((('Form Sa1'!AMQ835)*860)/10)+('Form Sa1'!AMQ814*'Form Sa1'!AMQ816/10)-'NF - 5 Power Mix'!AMN21-'NF - 5 Power Mix'!AMN22</f>
        <v>0</v>
      </c>
      <c r="AMO42" s="1046">
        <f>AMO38+((AMO40+'NF - 5 Power Mix'!AMO14+'NF - 5 Power Mix'!AMO15)*860/10)+((('Form Sa1'!AMR835)*860)/10)+('Form Sa1'!AMR814*'Form Sa1'!AMR816/10)-'NF - 5 Power Mix'!AMO21-'NF - 5 Power Mix'!AMO22</f>
        <v>0</v>
      </c>
      <c r="AMP42" s="1046">
        <f>AMP38+((AMP40+'NF - 5 Power Mix'!AMP14+'NF - 5 Power Mix'!AMP15)*860/10)+((('Form Sa1'!AMS835)*860)/10)+('Form Sa1'!AMS814*'Form Sa1'!AMS816/10)-'NF - 5 Power Mix'!AMP21-'NF - 5 Power Mix'!AMP22</f>
        <v>0</v>
      </c>
      <c r="AMQ42" s="1046">
        <f>AMQ38+((AMQ40+'NF - 5 Power Mix'!AMQ14+'NF - 5 Power Mix'!AMQ15)*860/10)+((('Form Sa1'!AMT835)*860)/10)+('Form Sa1'!AMT814*'Form Sa1'!AMT816/10)-'NF - 5 Power Mix'!AMQ21-'NF - 5 Power Mix'!AMQ22</f>
        <v>0</v>
      </c>
      <c r="AMR42" s="1046">
        <f>AMR38+((AMR40+'NF - 5 Power Mix'!AMR14+'NF - 5 Power Mix'!AMR15)*860/10)+((('Form Sa1'!AMU835)*860)/10)+('Form Sa1'!AMU814*'Form Sa1'!AMU816/10)-'NF - 5 Power Mix'!AMR21-'NF - 5 Power Mix'!AMR22</f>
        <v>0</v>
      </c>
      <c r="AMS42" s="1046">
        <f>AMS38+((AMS40+'NF - 5 Power Mix'!AMS14+'NF - 5 Power Mix'!AMS15)*860/10)+((('Form Sa1'!AMV835)*860)/10)+('Form Sa1'!AMV814*'Form Sa1'!AMV816/10)-'NF - 5 Power Mix'!AMS21-'NF - 5 Power Mix'!AMS22</f>
        <v>0</v>
      </c>
      <c r="AMT42" s="1046">
        <f>AMT38+((AMT40+'NF - 5 Power Mix'!AMT14+'NF - 5 Power Mix'!AMT15)*860/10)+((('Form Sa1'!AMW835)*860)/10)+('Form Sa1'!AMW814*'Form Sa1'!AMW816/10)-'NF - 5 Power Mix'!AMT21-'NF - 5 Power Mix'!AMT22</f>
        <v>0</v>
      </c>
      <c r="AMU42" s="1046">
        <f>AMU38+((AMU40+'NF - 5 Power Mix'!AMU14+'NF - 5 Power Mix'!AMU15)*860/10)+((('Form Sa1'!AMX835)*860)/10)+('Form Sa1'!AMX814*'Form Sa1'!AMX816/10)-'NF - 5 Power Mix'!AMU21-'NF - 5 Power Mix'!AMU22</f>
        <v>0</v>
      </c>
      <c r="AMV42" s="1046">
        <f>AMV38+((AMV40+'NF - 5 Power Mix'!AMV14+'NF - 5 Power Mix'!AMV15)*860/10)+((('Form Sa1'!AMY835)*860)/10)+('Form Sa1'!AMY814*'Form Sa1'!AMY816/10)-'NF - 5 Power Mix'!AMV21-'NF - 5 Power Mix'!AMV22</f>
        <v>0</v>
      </c>
      <c r="AMW42" s="1046">
        <f>AMW38+((AMW40+'NF - 5 Power Mix'!AMW14+'NF - 5 Power Mix'!AMW15)*860/10)+((('Form Sa1'!AMZ835)*860)/10)+('Form Sa1'!AMZ814*'Form Sa1'!AMZ816/10)-'NF - 5 Power Mix'!AMW21-'NF - 5 Power Mix'!AMW22</f>
        <v>0</v>
      </c>
      <c r="AMX42" s="1046">
        <f>AMX38+((AMX40+'NF - 5 Power Mix'!AMX14+'NF - 5 Power Mix'!AMX15)*860/10)+((('Form Sa1'!ANA835)*860)/10)+('Form Sa1'!ANA814*'Form Sa1'!ANA816/10)-'NF - 5 Power Mix'!AMX21-'NF - 5 Power Mix'!AMX22</f>
        <v>0</v>
      </c>
      <c r="AMY42" s="1046">
        <f>AMY38+((AMY40+'NF - 5 Power Mix'!AMY14+'NF - 5 Power Mix'!AMY15)*860/10)+((('Form Sa1'!ANB835)*860)/10)+('Form Sa1'!ANB814*'Form Sa1'!ANB816/10)-'NF - 5 Power Mix'!AMY21-'NF - 5 Power Mix'!AMY22</f>
        <v>0</v>
      </c>
      <c r="AMZ42" s="1046">
        <f>AMZ38+((AMZ40+'NF - 5 Power Mix'!AMZ14+'NF - 5 Power Mix'!AMZ15)*860/10)+((('Form Sa1'!ANC835)*860)/10)+('Form Sa1'!ANC814*'Form Sa1'!ANC816/10)-'NF - 5 Power Mix'!AMZ21-'NF - 5 Power Mix'!AMZ22</f>
        <v>0</v>
      </c>
      <c r="ANA42" s="1046">
        <f>ANA38+((ANA40+'NF - 5 Power Mix'!ANA14+'NF - 5 Power Mix'!ANA15)*860/10)+((('Form Sa1'!AND835)*860)/10)+('Form Sa1'!AND814*'Form Sa1'!AND816/10)-'NF - 5 Power Mix'!ANA21-'NF - 5 Power Mix'!ANA22</f>
        <v>0</v>
      </c>
      <c r="ANB42" s="1046">
        <f>ANB38+((ANB40+'NF - 5 Power Mix'!ANB14+'NF - 5 Power Mix'!ANB15)*860/10)+((('Form Sa1'!ANE835)*860)/10)+('Form Sa1'!ANE814*'Form Sa1'!ANE816/10)-'NF - 5 Power Mix'!ANB21-'NF - 5 Power Mix'!ANB22</f>
        <v>0</v>
      </c>
      <c r="ANC42" s="1046">
        <f>ANC38+((ANC40+'NF - 5 Power Mix'!ANC14+'NF - 5 Power Mix'!ANC15)*860/10)+((('Form Sa1'!ANF835)*860)/10)+('Form Sa1'!ANF814*'Form Sa1'!ANF816/10)-'NF - 5 Power Mix'!ANC21-'NF - 5 Power Mix'!ANC22</f>
        <v>0</v>
      </c>
      <c r="AND42" s="1046">
        <f>AND38+((AND40+'NF - 5 Power Mix'!AND14+'NF - 5 Power Mix'!AND15)*860/10)+((('Form Sa1'!ANG835)*860)/10)+('Form Sa1'!ANG814*'Form Sa1'!ANG816/10)-'NF - 5 Power Mix'!AND21-'NF - 5 Power Mix'!AND22</f>
        <v>0</v>
      </c>
      <c r="ANE42" s="1046">
        <f>ANE38+((ANE40+'NF - 5 Power Mix'!ANE14+'NF - 5 Power Mix'!ANE15)*860/10)+((('Form Sa1'!ANH835)*860)/10)+('Form Sa1'!ANH814*'Form Sa1'!ANH816/10)-'NF - 5 Power Mix'!ANE21-'NF - 5 Power Mix'!ANE22</f>
        <v>0</v>
      </c>
      <c r="ANF42" s="1046">
        <f>ANF38+((ANF40+'NF - 5 Power Mix'!ANF14+'NF - 5 Power Mix'!ANF15)*860/10)+((('Form Sa1'!ANI835)*860)/10)+('Form Sa1'!ANI814*'Form Sa1'!ANI816/10)-'NF - 5 Power Mix'!ANF21-'NF - 5 Power Mix'!ANF22</f>
        <v>0</v>
      </c>
      <c r="ANG42" s="1046">
        <f>ANG38+((ANG40+'NF - 5 Power Mix'!ANG14+'NF - 5 Power Mix'!ANG15)*860/10)+((('Form Sa1'!ANJ835)*860)/10)+('Form Sa1'!ANJ814*'Form Sa1'!ANJ816/10)-'NF - 5 Power Mix'!ANG21-'NF - 5 Power Mix'!ANG22</f>
        <v>0</v>
      </c>
      <c r="ANH42" s="1046">
        <f>ANH38+((ANH40+'NF - 5 Power Mix'!ANH14+'NF - 5 Power Mix'!ANH15)*860/10)+((('Form Sa1'!ANK835)*860)/10)+('Form Sa1'!ANK814*'Form Sa1'!ANK816/10)-'NF - 5 Power Mix'!ANH21-'NF - 5 Power Mix'!ANH22</f>
        <v>0</v>
      </c>
      <c r="ANI42" s="1046">
        <f>ANI38+((ANI40+'NF - 5 Power Mix'!ANI14+'NF - 5 Power Mix'!ANI15)*860/10)+((('Form Sa1'!ANL835)*860)/10)+('Form Sa1'!ANL814*'Form Sa1'!ANL816/10)-'NF - 5 Power Mix'!ANI21-'NF - 5 Power Mix'!ANI22</f>
        <v>0</v>
      </c>
      <c r="ANJ42" s="1046">
        <f>ANJ38+((ANJ40+'NF - 5 Power Mix'!ANJ14+'NF - 5 Power Mix'!ANJ15)*860/10)+((('Form Sa1'!ANM835)*860)/10)+('Form Sa1'!ANM814*'Form Sa1'!ANM816/10)-'NF - 5 Power Mix'!ANJ21-'NF - 5 Power Mix'!ANJ22</f>
        <v>0</v>
      </c>
      <c r="ANK42" s="1046">
        <f>ANK38+((ANK40+'NF - 5 Power Mix'!ANK14+'NF - 5 Power Mix'!ANK15)*860/10)+((('Form Sa1'!ANN835)*860)/10)+('Form Sa1'!ANN814*'Form Sa1'!ANN816/10)-'NF - 5 Power Mix'!ANK21-'NF - 5 Power Mix'!ANK22</f>
        <v>0</v>
      </c>
      <c r="ANL42" s="1046">
        <f>ANL38+((ANL40+'NF - 5 Power Mix'!ANL14+'NF - 5 Power Mix'!ANL15)*860/10)+((('Form Sa1'!ANO835)*860)/10)+('Form Sa1'!ANO814*'Form Sa1'!ANO816/10)-'NF - 5 Power Mix'!ANL21-'NF - 5 Power Mix'!ANL22</f>
        <v>0</v>
      </c>
      <c r="ANM42" s="1046">
        <f>ANM38+((ANM40+'NF - 5 Power Mix'!ANM14+'NF - 5 Power Mix'!ANM15)*860/10)+((('Form Sa1'!ANP835)*860)/10)+('Form Sa1'!ANP814*'Form Sa1'!ANP816/10)-'NF - 5 Power Mix'!ANM21-'NF - 5 Power Mix'!ANM22</f>
        <v>0</v>
      </c>
      <c r="ANN42" s="1046">
        <f>ANN38+((ANN40+'NF - 5 Power Mix'!ANN14+'NF - 5 Power Mix'!ANN15)*860/10)+((('Form Sa1'!ANQ835)*860)/10)+('Form Sa1'!ANQ814*'Form Sa1'!ANQ816/10)-'NF - 5 Power Mix'!ANN21-'NF - 5 Power Mix'!ANN22</f>
        <v>0</v>
      </c>
      <c r="ANO42" s="1046">
        <f>ANO38+((ANO40+'NF - 5 Power Mix'!ANO14+'NF - 5 Power Mix'!ANO15)*860/10)+((('Form Sa1'!ANR835)*860)/10)+('Form Sa1'!ANR814*'Form Sa1'!ANR816/10)-'NF - 5 Power Mix'!ANO21-'NF - 5 Power Mix'!ANO22</f>
        <v>0</v>
      </c>
      <c r="ANP42" s="1046">
        <f>ANP38+((ANP40+'NF - 5 Power Mix'!ANP14+'NF - 5 Power Mix'!ANP15)*860/10)+((('Form Sa1'!ANS835)*860)/10)+('Form Sa1'!ANS814*'Form Sa1'!ANS816/10)-'NF - 5 Power Mix'!ANP21-'NF - 5 Power Mix'!ANP22</f>
        <v>0</v>
      </c>
      <c r="ANQ42" s="1046">
        <f>ANQ38+((ANQ40+'NF - 5 Power Mix'!ANQ14+'NF - 5 Power Mix'!ANQ15)*860/10)+((('Form Sa1'!ANT835)*860)/10)+('Form Sa1'!ANT814*'Form Sa1'!ANT816/10)-'NF - 5 Power Mix'!ANQ21-'NF - 5 Power Mix'!ANQ22</f>
        <v>0</v>
      </c>
      <c r="ANR42" s="1046">
        <f>ANR38+((ANR40+'NF - 5 Power Mix'!ANR14+'NF - 5 Power Mix'!ANR15)*860/10)+((('Form Sa1'!ANU835)*860)/10)+('Form Sa1'!ANU814*'Form Sa1'!ANU816/10)-'NF - 5 Power Mix'!ANR21-'NF - 5 Power Mix'!ANR22</f>
        <v>0</v>
      </c>
      <c r="ANS42" s="1046">
        <f>ANS38+((ANS40+'NF - 5 Power Mix'!ANS14+'NF - 5 Power Mix'!ANS15)*860/10)+((('Form Sa1'!ANV835)*860)/10)+('Form Sa1'!ANV814*'Form Sa1'!ANV816/10)-'NF - 5 Power Mix'!ANS21-'NF - 5 Power Mix'!ANS22</f>
        <v>0</v>
      </c>
      <c r="ANT42" s="1046">
        <f>ANT38+((ANT40+'NF - 5 Power Mix'!ANT14+'NF - 5 Power Mix'!ANT15)*860/10)+((('Form Sa1'!ANW835)*860)/10)+('Form Sa1'!ANW814*'Form Sa1'!ANW816/10)-'NF - 5 Power Mix'!ANT21-'NF - 5 Power Mix'!ANT22</f>
        <v>0</v>
      </c>
      <c r="ANU42" s="1046">
        <f>ANU38+((ANU40+'NF - 5 Power Mix'!ANU14+'NF - 5 Power Mix'!ANU15)*860/10)+((('Form Sa1'!ANX835)*860)/10)+('Form Sa1'!ANX814*'Form Sa1'!ANX816/10)-'NF - 5 Power Mix'!ANU21-'NF - 5 Power Mix'!ANU22</f>
        <v>0</v>
      </c>
      <c r="ANV42" s="1046">
        <f>ANV38+((ANV40+'NF - 5 Power Mix'!ANV14+'NF - 5 Power Mix'!ANV15)*860/10)+((('Form Sa1'!ANY835)*860)/10)+('Form Sa1'!ANY814*'Form Sa1'!ANY816/10)-'NF - 5 Power Mix'!ANV21-'NF - 5 Power Mix'!ANV22</f>
        <v>0</v>
      </c>
      <c r="ANW42" s="1046">
        <f>ANW38+((ANW40+'NF - 5 Power Mix'!ANW14+'NF - 5 Power Mix'!ANW15)*860/10)+((('Form Sa1'!ANZ835)*860)/10)+('Form Sa1'!ANZ814*'Form Sa1'!ANZ816/10)-'NF - 5 Power Mix'!ANW21-'NF - 5 Power Mix'!ANW22</f>
        <v>0</v>
      </c>
      <c r="ANX42" s="1046">
        <f>ANX38+((ANX40+'NF - 5 Power Mix'!ANX14+'NF - 5 Power Mix'!ANX15)*860/10)+((('Form Sa1'!AOA835)*860)/10)+('Form Sa1'!AOA814*'Form Sa1'!AOA816/10)-'NF - 5 Power Mix'!ANX21-'NF - 5 Power Mix'!ANX22</f>
        <v>0</v>
      </c>
      <c r="ANY42" s="1046">
        <f>ANY38+((ANY40+'NF - 5 Power Mix'!ANY14+'NF - 5 Power Mix'!ANY15)*860/10)+((('Form Sa1'!AOB835)*860)/10)+('Form Sa1'!AOB814*'Form Sa1'!AOB816/10)-'NF - 5 Power Mix'!ANY21-'NF - 5 Power Mix'!ANY22</f>
        <v>0</v>
      </c>
      <c r="ANZ42" s="1046">
        <f>ANZ38+((ANZ40+'NF - 5 Power Mix'!ANZ14+'NF - 5 Power Mix'!ANZ15)*860/10)+((('Form Sa1'!AOC835)*860)/10)+('Form Sa1'!AOC814*'Form Sa1'!AOC816/10)-'NF - 5 Power Mix'!ANZ21-'NF - 5 Power Mix'!ANZ22</f>
        <v>0</v>
      </c>
      <c r="AOA42" s="1046">
        <f>AOA38+((AOA40+'NF - 5 Power Mix'!AOA14+'NF - 5 Power Mix'!AOA15)*860/10)+((('Form Sa1'!AOD835)*860)/10)+('Form Sa1'!AOD814*'Form Sa1'!AOD816/10)-'NF - 5 Power Mix'!AOA21-'NF - 5 Power Mix'!AOA22</f>
        <v>0</v>
      </c>
      <c r="AOB42" s="1046">
        <f>AOB38+((AOB40+'NF - 5 Power Mix'!AOB14+'NF - 5 Power Mix'!AOB15)*860/10)+((('Form Sa1'!AOE835)*860)/10)+('Form Sa1'!AOE814*'Form Sa1'!AOE816/10)-'NF - 5 Power Mix'!AOB21-'NF - 5 Power Mix'!AOB22</f>
        <v>0</v>
      </c>
      <c r="AOC42" s="1046">
        <f>AOC38+((AOC40+'NF - 5 Power Mix'!AOC14+'NF - 5 Power Mix'!AOC15)*860/10)+((('Form Sa1'!AOF835)*860)/10)+('Form Sa1'!AOF814*'Form Sa1'!AOF816/10)-'NF - 5 Power Mix'!AOC21-'NF - 5 Power Mix'!AOC22</f>
        <v>0</v>
      </c>
      <c r="AOD42" s="1046">
        <f>AOD38+((AOD40+'NF - 5 Power Mix'!AOD14+'NF - 5 Power Mix'!AOD15)*860/10)+((('Form Sa1'!AOG835)*860)/10)+('Form Sa1'!AOG814*'Form Sa1'!AOG816/10)-'NF - 5 Power Mix'!AOD21-'NF - 5 Power Mix'!AOD22</f>
        <v>0</v>
      </c>
      <c r="AOE42" s="1046">
        <f>AOE38+((AOE40+'NF - 5 Power Mix'!AOE14+'NF - 5 Power Mix'!AOE15)*860/10)+((('Form Sa1'!AOH835)*860)/10)+('Form Sa1'!AOH814*'Form Sa1'!AOH816/10)-'NF - 5 Power Mix'!AOE21-'NF - 5 Power Mix'!AOE22</f>
        <v>0</v>
      </c>
      <c r="AOF42" s="1046">
        <f>AOF38+((AOF40+'NF - 5 Power Mix'!AOF14+'NF - 5 Power Mix'!AOF15)*860/10)+((('Form Sa1'!AOI835)*860)/10)+('Form Sa1'!AOI814*'Form Sa1'!AOI816/10)-'NF - 5 Power Mix'!AOF21-'NF - 5 Power Mix'!AOF22</f>
        <v>0</v>
      </c>
      <c r="AOG42" s="1046">
        <f>AOG38+((AOG40+'NF - 5 Power Mix'!AOG14+'NF - 5 Power Mix'!AOG15)*860/10)+((('Form Sa1'!AOJ835)*860)/10)+('Form Sa1'!AOJ814*'Form Sa1'!AOJ816/10)-'NF - 5 Power Mix'!AOG21-'NF - 5 Power Mix'!AOG22</f>
        <v>0</v>
      </c>
      <c r="AOH42" s="1046">
        <f>AOH38+((AOH40+'NF - 5 Power Mix'!AOH14+'NF - 5 Power Mix'!AOH15)*860/10)+((('Form Sa1'!AOK835)*860)/10)+('Form Sa1'!AOK814*'Form Sa1'!AOK816/10)-'NF - 5 Power Mix'!AOH21-'NF - 5 Power Mix'!AOH22</f>
        <v>0</v>
      </c>
      <c r="AOI42" s="1046">
        <f>AOI38+((AOI40+'NF - 5 Power Mix'!AOI14+'NF - 5 Power Mix'!AOI15)*860/10)+((('Form Sa1'!AOL835)*860)/10)+('Form Sa1'!AOL814*'Form Sa1'!AOL816/10)-'NF - 5 Power Mix'!AOI21-'NF - 5 Power Mix'!AOI22</f>
        <v>0</v>
      </c>
      <c r="AOJ42" s="1046">
        <f>AOJ38+((AOJ40+'NF - 5 Power Mix'!AOJ14+'NF - 5 Power Mix'!AOJ15)*860/10)+((('Form Sa1'!AOM835)*860)/10)+('Form Sa1'!AOM814*'Form Sa1'!AOM816/10)-'NF - 5 Power Mix'!AOJ21-'NF - 5 Power Mix'!AOJ22</f>
        <v>0</v>
      </c>
      <c r="AOK42" s="1046">
        <f>AOK38+((AOK40+'NF - 5 Power Mix'!AOK14+'NF - 5 Power Mix'!AOK15)*860/10)+((('Form Sa1'!AON835)*860)/10)+('Form Sa1'!AON814*'Form Sa1'!AON816/10)-'NF - 5 Power Mix'!AOK21-'NF - 5 Power Mix'!AOK22</f>
        <v>0</v>
      </c>
      <c r="AOL42" s="1046">
        <f>AOL38+((AOL40+'NF - 5 Power Mix'!AOL14+'NF - 5 Power Mix'!AOL15)*860/10)+((('Form Sa1'!AOO835)*860)/10)+('Form Sa1'!AOO814*'Form Sa1'!AOO816/10)-'NF - 5 Power Mix'!AOL21-'NF - 5 Power Mix'!AOL22</f>
        <v>0</v>
      </c>
      <c r="AOM42" s="1046">
        <f>AOM38+((AOM40+'NF - 5 Power Mix'!AOM14+'NF - 5 Power Mix'!AOM15)*860/10)+((('Form Sa1'!AOP835)*860)/10)+('Form Sa1'!AOP814*'Form Sa1'!AOP816/10)-'NF - 5 Power Mix'!AOM21-'NF - 5 Power Mix'!AOM22</f>
        <v>0</v>
      </c>
      <c r="AON42" s="1046">
        <f>AON38+((AON40+'NF - 5 Power Mix'!AON14+'NF - 5 Power Mix'!AON15)*860/10)+((('Form Sa1'!AOQ835)*860)/10)+('Form Sa1'!AOQ814*'Form Sa1'!AOQ816/10)-'NF - 5 Power Mix'!AON21-'NF - 5 Power Mix'!AON22</f>
        <v>0</v>
      </c>
      <c r="AOO42" s="1046">
        <f>AOO38+((AOO40+'NF - 5 Power Mix'!AOO14+'NF - 5 Power Mix'!AOO15)*860/10)+((('Form Sa1'!AOR835)*860)/10)+('Form Sa1'!AOR814*'Form Sa1'!AOR816/10)-'NF - 5 Power Mix'!AOO21-'NF - 5 Power Mix'!AOO22</f>
        <v>0</v>
      </c>
      <c r="AOP42" s="1046">
        <f>AOP38+((AOP40+'NF - 5 Power Mix'!AOP14+'NF - 5 Power Mix'!AOP15)*860/10)+((('Form Sa1'!AOS835)*860)/10)+('Form Sa1'!AOS814*'Form Sa1'!AOS816/10)-'NF - 5 Power Mix'!AOP21-'NF - 5 Power Mix'!AOP22</f>
        <v>0</v>
      </c>
      <c r="AOQ42" s="1046">
        <f>AOQ38+((AOQ40+'NF - 5 Power Mix'!AOQ14+'NF - 5 Power Mix'!AOQ15)*860/10)+((('Form Sa1'!AOT835)*860)/10)+('Form Sa1'!AOT814*'Form Sa1'!AOT816/10)-'NF - 5 Power Mix'!AOQ21-'NF - 5 Power Mix'!AOQ22</f>
        <v>0</v>
      </c>
      <c r="AOR42" s="1046">
        <f>AOR38+((AOR40+'NF - 5 Power Mix'!AOR14+'NF - 5 Power Mix'!AOR15)*860/10)+((('Form Sa1'!AOU835)*860)/10)+('Form Sa1'!AOU814*'Form Sa1'!AOU816/10)-'NF - 5 Power Mix'!AOR21-'NF - 5 Power Mix'!AOR22</f>
        <v>0</v>
      </c>
      <c r="AOS42" s="1046">
        <f>AOS38+((AOS40+'NF - 5 Power Mix'!AOS14+'NF - 5 Power Mix'!AOS15)*860/10)+((('Form Sa1'!AOV835)*860)/10)+('Form Sa1'!AOV814*'Form Sa1'!AOV816/10)-'NF - 5 Power Mix'!AOS21-'NF - 5 Power Mix'!AOS22</f>
        <v>0</v>
      </c>
      <c r="AOT42" s="1046">
        <f>AOT38+((AOT40+'NF - 5 Power Mix'!AOT14+'NF - 5 Power Mix'!AOT15)*860/10)+((('Form Sa1'!AOW835)*860)/10)+('Form Sa1'!AOW814*'Form Sa1'!AOW816/10)-'NF - 5 Power Mix'!AOT21-'NF - 5 Power Mix'!AOT22</f>
        <v>0</v>
      </c>
      <c r="AOU42" s="1046">
        <f>AOU38+((AOU40+'NF - 5 Power Mix'!AOU14+'NF - 5 Power Mix'!AOU15)*860/10)+((('Form Sa1'!AOX835)*860)/10)+('Form Sa1'!AOX814*'Form Sa1'!AOX816/10)-'NF - 5 Power Mix'!AOU21-'NF - 5 Power Mix'!AOU22</f>
        <v>0</v>
      </c>
      <c r="AOV42" s="1046">
        <f>AOV38+((AOV40+'NF - 5 Power Mix'!AOV14+'NF - 5 Power Mix'!AOV15)*860/10)+((('Form Sa1'!AOY835)*860)/10)+('Form Sa1'!AOY814*'Form Sa1'!AOY816/10)-'NF - 5 Power Mix'!AOV21-'NF - 5 Power Mix'!AOV22</f>
        <v>0</v>
      </c>
      <c r="AOW42" s="1046">
        <f>AOW38+((AOW40+'NF - 5 Power Mix'!AOW14+'NF - 5 Power Mix'!AOW15)*860/10)+((('Form Sa1'!AOZ835)*860)/10)+('Form Sa1'!AOZ814*'Form Sa1'!AOZ816/10)-'NF - 5 Power Mix'!AOW21-'NF - 5 Power Mix'!AOW22</f>
        <v>0</v>
      </c>
      <c r="AOX42" s="1046">
        <f>AOX38+((AOX40+'NF - 5 Power Mix'!AOX14+'NF - 5 Power Mix'!AOX15)*860/10)+((('Form Sa1'!APA835)*860)/10)+('Form Sa1'!APA814*'Form Sa1'!APA816/10)-'NF - 5 Power Mix'!AOX21-'NF - 5 Power Mix'!AOX22</f>
        <v>0</v>
      </c>
      <c r="AOY42" s="1046">
        <f>AOY38+((AOY40+'NF - 5 Power Mix'!AOY14+'NF - 5 Power Mix'!AOY15)*860/10)+((('Form Sa1'!APB835)*860)/10)+('Form Sa1'!APB814*'Form Sa1'!APB816/10)-'NF - 5 Power Mix'!AOY21-'NF - 5 Power Mix'!AOY22</f>
        <v>0</v>
      </c>
      <c r="AOZ42" s="1046">
        <f>AOZ38+((AOZ40+'NF - 5 Power Mix'!AOZ14+'NF - 5 Power Mix'!AOZ15)*860/10)+((('Form Sa1'!APC835)*860)/10)+('Form Sa1'!APC814*'Form Sa1'!APC816/10)-'NF - 5 Power Mix'!AOZ21-'NF - 5 Power Mix'!AOZ22</f>
        <v>0</v>
      </c>
      <c r="APA42" s="1046">
        <f>APA38+((APA40+'NF - 5 Power Mix'!APA14+'NF - 5 Power Mix'!APA15)*860/10)+((('Form Sa1'!APD835)*860)/10)+('Form Sa1'!APD814*'Form Sa1'!APD816/10)-'NF - 5 Power Mix'!APA21-'NF - 5 Power Mix'!APA22</f>
        <v>0</v>
      </c>
      <c r="APB42" s="1046">
        <f>APB38+((APB40+'NF - 5 Power Mix'!APB14+'NF - 5 Power Mix'!APB15)*860/10)+((('Form Sa1'!APE835)*860)/10)+('Form Sa1'!APE814*'Form Sa1'!APE816/10)-'NF - 5 Power Mix'!APB21-'NF - 5 Power Mix'!APB22</f>
        <v>0</v>
      </c>
      <c r="APC42" s="1046">
        <f>APC38+((APC40+'NF - 5 Power Mix'!APC14+'NF - 5 Power Mix'!APC15)*860/10)+((('Form Sa1'!APF835)*860)/10)+('Form Sa1'!APF814*'Form Sa1'!APF816/10)-'NF - 5 Power Mix'!APC21-'NF - 5 Power Mix'!APC22</f>
        <v>0</v>
      </c>
      <c r="APD42" s="1046">
        <f>APD38+((APD40+'NF - 5 Power Mix'!APD14+'NF - 5 Power Mix'!APD15)*860/10)+((('Form Sa1'!APG835)*860)/10)+('Form Sa1'!APG814*'Form Sa1'!APG816/10)-'NF - 5 Power Mix'!APD21-'NF - 5 Power Mix'!APD22</f>
        <v>0</v>
      </c>
      <c r="APE42" s="1046">
        <f>APE38+((APE40+'NF - 5 Power Mix'!APE14+'NF - 5 Power Mix'!APE15)*860/10)+((('Form Sa1'!APH835)*860)/10)+('Form Sa1'!APH814*'Form Sa1'!APH816/10)-'NF - 5 Power Mix'!APE21-'NF - 5 Power Mix'!APE22</f>
        <v>0</v>
      </c>
      <c r="APF42" s="1046">
        <f>APF38+((APF40+'NF - 5 Power Mix'!APF14+'NF - 5 Power Mix'!APF15)*860/10)+((('Form Sa1'!API835)*860)/10)+('Form Sa1'!API814*'Form Sa1'!API816/10)-'NF - 5 Power Mix'!APF21-'NF - 5 Power Mix'!APF22</f>
        <v>0</v>
      </c>
      <c r="APG42" s="1046">
        <f>APG38+((APG40+'NF - 5 Power Mix'!APG14+'NF - 5 Power Mix'!APG15)*860/10)+((('Form Sa1'!APJ835)*860)/10)+('Form Sa1'!APJ814*'Form Sa1'!APJ816/10)-'NF - 5 Power Mix'!APG21-'NF - 5 Power Mix'!APG22</f>
        <v>0</v>
      </c>
      <c r="APH42" s="1046">
        <f>APH38+((APH40+'NF - 5 Power Mix'!APH14+'NF - 5 Power Mix'!APH15)*860/10)+((('Form Sa1'!APK835)*860)/10)+('Form Sa1'!APK814*'Form Sa1'!APK816/10)-'NF - 5 Power Mix'!APH21-'NF - 5 Power Mix'!APH22</f>
        <v>0</v>
      </c>
      <c r="API42" s="1046">
        <f>API38+((API40+'NF - 5 Power Mix'!API14+'NF - 5 Power Mix'!API15)*860/10)+((('Form Sa1'!APL835)*860)/10)+('Form Sa1'!APL814*'Form Sa1'!APL816/10)-'NF - 5 Power Mix'!API21-'NF - 5 Power Mix'!API22</f>
        <v>0</v>
      </c>
      <c r="APJ42" s="1046">
        <f>APJ38+((APJ40+'NF - 5 Power Mix'!APJ14+'NF - 5 Power Mix'!APJ15)*860/10)+((('Form Sa1'!APM835)*860)/10)+('Form Sa1'!APM814*'Form Sa1'!APM816/10)-'NF - 5 Power Mix'!APJ21-'NF - 5 Power Mix'!APJ22</f>
        <v>0</v>
      </c>
      <c r="APK42" s="1046">
        <f>APK38+((APK40+'NF - 5 Power Mix'!APK14+'NF - 5 Power Mix'!APK15)*860/10)+((('Form Sa1'!APN835)*860)/10)+('Form Sa1'!APN814*'Form Sa1'!APN816/10)-'NF - 5 Power Mix'!APK21-'NF - 5 Power Mix'!APK22</f>
        <v>0</v>
      </c>
      <c r="APL42" s="1046">
        <f>APL38+((APL40+'NF - 5 Power Mix'!APL14+'NF - 5 Power Mix'!APL15)*860/10)+((('Form Sa1'!APO835)*860)/10)+('Form Sa1'!APO814*'Form Sa1'!APO816/10)-'NF - 5 Power Mix'!APL21-'NF - 5 Power Mix'!APL22</f>
        <v>0</v>
      </c>
      <c r="APM42" s="1046">
        <f>APM38+((APM40+'NF - 5 Power Mix'!APM14+'NF - 5 Power Mix'!APM15)*860/10)+((('Form Sa1'!APP835)*860)/10)+('Form Sa1'!APP814*'Form Sa1'!APP816/10)-'NF - 5 Power Mix'!APM21-'NF - 5 Power Mix'!APM22</f>
        <v>0</v>
      </c>
      <c r="APN42" s="1046">
        <f>APN38+((APN40+'NF - 5 Power Mix'!APN14+'NF - 5 Power Mix'!APN15)*860/10)+((('Form Sa1'!APQ835)*860)/10)+('Form Sa1'!APQ814*'Form Sa1'!APQ816/10)-'NF - 5 Power Mix'!APN21-'NF - 5 Power Mix'!APN22</f>
        <v>0</v>
      </c>
      <c r="APO42" s="1046">
        <f>APO38+((APO40+'NF - 5 Power Mix'!APO14+'NF - 5 Power Mix'!APO15)*860/10)+((('Form Sa1'!APR835)*860)/10)+('Form Sa1'!APR814*'Form Sa1'!APR816/10)-'NF - 5 Power Mix'!APO21-'NF - 5 Power Mix'!APO22</f>
        <v>0</v>
      </c>
      <c r="APP42" s="1046">
        <f>APP38+((APP40+'NF - 5 Power Mix'!APP14+'NF - 5 Power Mix'!APP15)*860/10)+((('Form Sa1'!APS835)*860)/10)+('Form Sa1'!APS814*'Form Sa1'!APS816/10)-'NF - 5 Power Mix'!APP21-'NF - 5 Power Mix'!APP22</f>
        <v>0</v>
      </c>
      <c r="APQ42" s="1046">
        <f>APQ38+((APQ40+'NF - 5 Power Mix'!APQ14+'NF - 5 Power Mix'!APQ15)*860/10)+((('Form Sa1'!APT835)*860)/10)+('Form Sa1'!APT814*'Form Sa1'!APT816/10)-'NF - 5 Power Mix'!APQ21-'NF - 5 Power Mix'!APQ22</f>
        <v>0</v>
      </c>
      <c r="APR42" s="1046">
        <f>APR38+((APR40+'NF - 5 Power Mix'!APR14+'NF - 5 Power Mix'!APR15)*860/10)+((('Form Sa1'!APU835)*860)/10)+('Form Sa1'!APU814*'Form Sa1'!APU816/10)-'NF - 5 Power Mix'!APR21-'NF - 5 Power Mix'!APR22</f>
        <v>0</v>
      </c>
      <c r="APS42" s="1046">
        <f>APS38+((APS40+'NF - 5 Power Mix'!APS14+'NF - 5 Power Mix'!APS15)*860/10)+((('Form Sa1'!APV835)*860)/10)+('Form Sa1'!APV814*'Form Sa1'!APV816/10)-'NF - 5 Power Mix'!APS21-'NF - 5 Power Mix'!APS22</f>
        <v>0</v>
      </c>
      <c r="APT42" s="1046">
        <f>APT38+((APT40+'NF - 5 Power Mix'!APT14+'NF - 5 Power Mix'!APT15)*860/10)+((('Form Sa1'!APW835)*860)/10)+('Form Sa1'!APW814*'Form Sa1'!APW816/10)-'NF - 5 Power Mix'!APT21-'NF - 5 Power Mix'!APT22</f>
        <v>0</v>
      </c>
      <c r="APU42" s="1046">
        <f>APU38+((APU40+'NF - 5 Power Mix'!APU14+'NF - 5 Power Mix'!APU15)*860/10)+((('Form Sa1'!APX835)*860)/10)+('Form Sa1'!APX814*'Form Sa1'!APX816/10)-'NF - 5 Power Mix'!APU21-'NF - 5 Power Mix'!APU22</f>
        <v>0</v>
      </c>
      <c r="APV42" s="1046">
        <f>APV38+((APV40+'NF - 5 Power Mix'!APV14+'NF - 5 Power Mix'!APV15)*860/10)+((('Form Sa1'!APY835)*860)/10)+('Form Sa1'!APY814*'Form Sa1'!APY816/10)-'NF - 5 Power Mix'!APV21-'NF - 5 Power Mix'!APV22</f>
        <v>0</v>
      </c>
      <c r="APW42" s="1046">
        <f>APW38+((APW40+'NF - 5 Power Mix'!APW14+'NF - 5 Power Mix'!APW15)*860/10)+((('Form Sa1'!APZ835)*860)/10)+('Form Sa1'!APZ814*'Form Sa1'!APZ816/10)-'NF - 5 Power Mix'!APW21-'NF - 5 Power Mix'!APW22</f>
        <v>0</v>
      </c>
      <c r="APX42" s="1046">
        <f>APX38+((APX40+'NF - 5 Power Mix'!APX14+'NF - 5 Power Mix'!APX15)*860/10)+((('Form Sa1'!AQA835)*860)/10)+('Form Sa1'!AQA814*'Form Sa1'!AQA816/10)-'NF - 5 Power Mix'!APX21-'NF - 5 Power Mix'!APX22</f>
        <v>0</v>
      </c>
      <c r="APY42" s="1046">
        <f>APY38+((APY40+'NF - 5 Power Mix'!APY14+'NF - 5 Power Mix'!APY15)*860/10)+((('Form Sa1'!AQB835)*860)/10)+('Form Sa1'!AQB814*'Form Sa1'!AQB816/10)-'NF - 5 Power Mix'!APY21-'NF - 5 Power Mix'!APY22</f>
        <v>0</v>
      </c>
      <c r="APZ42" s="1046">
        <f>APZ38+((APZ40+'NF - 5 Power Mix'!APZ14+'NF - 5 Power Mix'!APZ15)*860/10)+((('Form Sa1'!AQC835)*860)/10)+('Form Sa1'!AQC814*'Form Sa1'!AQC816/10)-'NF - 5 Power Mix'!APZ21-'NF - 5 Power Mix'!APZ22</f>
        <v>0</v>
      </c>
      <c r="AQA42" s="1046">
        <f>AQA38+((AQA40+'NF - 5 Power Mix'!AQA14+'NF - 5 Power Mix'!AQA15)*860/10)+((('Form Sa1'!AQD835)*860)/10)+('Form Sa1'!AQD814*'Form Sa1'!AQD816/10)-'NF - 5 Power Mix'!AQA21-'NF - 5 Power Mix'!AQA22</f>
        <v>0</v>
      </c>
      <c r="AQB42" s="1046">
        <f>AQB38+((AQB40+'NF - 5 Power Mix'!AQB14+'NF - 5 Power Mix'!AQB15)*860/10)+((('Form Sa1'!AQE835)*860)/10)+('Form Sa1'!AQE814*'Form Sa1'!AQE816/10)-'NF - 5 Power Mix'!AQB21-'NF - 5 Power Mix'!AQB22</f>
        <v>0</v>
      </c>
      <c r="AQC42" s="1046">
        <f>AQC38+((AQC40+'NF - 5 Power Mix'!AQC14+'NF - 5 Power Mix'!AQC15)*860/10)+((('Form Sa1'!AQF835)*860)/10)+('Form Sa1'!AQF814*'Form Sa1'!AQF816/10)-'NF - 5 Power Mix'!AQC21-'NF - 5 Power Mix'!AQC22</f>
        <v>0</v>
      </c>
      <c r="AQD42" s="1046">
        <f>AQD38+((AQD40+'NF - 5 Power Mix'!AQD14+'NF - 5 Power Mix'!AQD15)*860/10)+((('Form Sa1'!AQG835)*860)/10)+('Form Sa1'!AQG814*'Form Sa1'!AQG816/10)-'NF - 5 Power Mix'!AQD21-'NF - 5 Power Mix'!AQD22</f>
        <v>0</v>
      </c>
      <c r="AQE42" s="1046">
        <f>AQE38+((AQE40+'NF - 5 Power Mix'!AQE14+'NF - 5 Power Mix'!AQE15)*860/10)+((('Form Sa1'!AQH835)*860)/10)+('Form Sa1'!AQH814*'Form Sa1'!AQH816/10)-'NF - 5 Power Mix'!AQE21-'NF - 5 Power Mix'!AQE22</f>
        <v>0</v>
      </c>
      <c r="AQF42" s="1046">
        <f>AQF38+((AQF40+'NF - 5 Power Mix'!AQF14+'NF - 5 Power Mix'!AQF15)*860/10)+((('Form Sa1'!AQI835)*860)/10)+('Form Sa1'!AQI814*'Form Sa1'!AQI816/10)-'NF - 5 Power Mix'!AQF21-'NF - 5 Power Mix'!AQF22</f>
        <v>0</v>
      </c>
      <c r="AQG42" s="1046">
        <f>AQG38+((AQG40+'NF - 5 Power Mix'!AQG14+'NF - 5 Power Mix'!AQG15)*860/10)+((('Form Sa1'!AQJ835)*860)/10)+('Form Sa1'!AQJ814*'Form Sa1'!AQJ816/10)-'NF - 5 Power Mix'!AQG21-'NF - 5 Power Mix'!AQG22</f>
        <v>0</v>
      </c>
      <c r="AQH42" s="1046">
        <f>AQH38+((AQH40+'NF - 5 Power Mix'!AQH14+'NF - 5 Power Mix'!AQH15)*860/10)+((('Form Sa1'!AQK835)*860)/10)+('Form Sa1'!AQK814*'Form Sa1'!AQK816/10)-'NF - 5 Power Mix'!AQH21-'NF - 5 Power Mix'!AQH22</f>
        <v>0</v>
      </c>
      <c r="AQI42" s="1046">
        <f>AQI38+((AQI40+'NF - 5 Power Mix'!AQI14+'NF - 5 Power Mix'!AQI15)*860/10)+((('Form Sa1'!AQL835)*860)/10)+('Form Sa1'!AQL814*'Form Sa1'!AQL816/10)-'NF - 5 Power Mix'!AQI21-'NF - 5 Power Mix'!AQI22</f>
        <v>0</v>
      </c>
      <c r="AQJ42" s="1046">
        <f>AQJ38+((AQJ40+'NF - 5 Power Mix'!AQJ14+'NF - 5 Power Mix'!AQJ15)*860/10)+((('Form Sa1'!AQM835)*860)/10)+('Form Sa1'!AQM814*'Form Sa1'!AQM816/10)-'NF - 5 Power Mix'!AQJ21-'NF - 5 Power Mix'!AQJ22</f>
        <v>0</v>
      </c>
      <c r="AQK42" s="1046">
        <f>AQK38+((AQK40+'NF - 5 Power Mix'!AQK14+'NF - 5 Power Mix'!AQK15)*860/10)+((('Form Sa1'!AQN835)*860)/10)+('Form Sa1'!AQN814*'Form Sa1'!AQN816/10)-'NF - 5 Power Mix'!AQK21-'NF - 5 Power Mix'!AQK22</f>
        <v>0</v>
      </c>
      <c r="AQL42" s="1046">
        <f>AQL38+((AQL40+'NF - 5 Power Mix'!AQL14+'NF - 5 Power Mix'!AQL15)*860/10)+((('Form Sa1'!AQO835)*860)/10)+('Form Sa1'!AQO814*'Form Sa1'!AQO816/10)-'NF - 5 Power Mix'!AQL21-'NF - 5 Power Mix'!AQL22</f>
        <v>0</v>
      </c>
      <c r="AQM42" s="1046">
        <f>AQM38+((AQM40+'NF - 5 Power Mix'!AQM14+'NF - 5 Power Mix'!AQM15)*860/10)+((('Form Sa1'!AQP835)*860)/10)+('Form Sa1'!AQP814*'Form Sa1'!AQP816/10)-'NF - 5 Power Mix'!AQM21-'NF - 5 Power Mix'!AQM22</f>
        <v>0</v>
      </c>
      <c r="AQN42" s="1046">
        <f>AQN38+((AQN40+'NF - 5 Power Mix'!AQN14+'NF - 5 Power Mix'!AQN15)*860/10)+((('Form Sa1'!AQQ835)*860)/10)+('Form Sa1'!AQQ814*'Form Sa1'!AQQ816/10)-'NF - 5 Power Mix'!AQN21-'NF - 5 Power Mix'!AQN22</f>
        <v>0</v>
      </c>
      <c r="AQO42" s="1046">
        <f>AQO38+((AQO40+'NF - 5 Power Mix'!AQO14+'NF - 5 Power Mix'!AQO15)*860/10)+((('Form Sa1'!AQR835)*860)/10)+('Form Sa1'!AQR814*'Form Sa1'!AQR816/10)-'NF - 5 Power Mix'!AQO21-'NF - 5 Power Mix'!AQO22</f>
        <v>0</v>
      </c>
      <c r="AQP42" s="1046">
        <f>AQP38+((AQP40+'NF - 5 Power Mix'!AQP14+'NF - 5 Power Mix'!AQP15)*860/10)+((('Form Sa1'!AQS835)*860)/10)+('Form Sa1'!AQS814*'Form Sa1'!AQS816/10)-'NF - 5 Power Mix'!AQP21-'NF - 5 Power Mix'!AQP22</f>
        <v>0</v>
      </c>
      <c r="AQQ42" s="1046">
        <f>AQQ38+((AQQ40+'NF - 5 Power Mix'!AQQ14+'NF - 5 Power Mix'!AQQ15)*860/10)+((('Form Sa1'!AQT835)*860)/10)+('Form Sa1'!AQT814*'Form Sa1'!AQT816/10)-'NF - 5 Power Mix'!AQQ21-'NF - 5 Power Mix'!AQQ22</f>
        <v>0</v>
      </c>
      <c r="AQR42" s="1046">
        <f>AQR38+((AQR40+'NF - 5 Power Mix'!AQR14+'NF - 5 Power Mix'!AQR15)*860/10)+((('Form Sa1'!AQU835)*860)/10)+('Form Sa1'!AQU814*'Form Sa1'!AQU816/10)-'NF - 5 Power Mix'!AQR21-'NF - 5 Power Mix'!AQR22</f>
        <v>0</v>
      </c>
      <c r="AQS42" s="1046">
        <f>AQS38+((AQS40+'NF - 5 Power Mix'!AQS14+'NF - 5 Power Mix'!AQS15)*860/10)+((('Form Sa1'!AQV835)*860)/10)+('Form Sa1'!AQV814*'Form Sa1'!AQV816/10)-'NF - 5 Power Mix'!AQS21-'NF - 5 Power Mix'!AQS22</f>
        <v>0</v>
      </c>
      <c r="AQT42" s="1046">
        <f>AQT38+((AQT40+'NF - 5 Power Mix'!AQT14+'NF - 5 Power Mix'!AQT15)*860/10)+((('Form Sa1'!AQW835)*860)/10)+('Form Sa1'!AQW814*'Form Sa1'!AQW816/10)-'NF - 5 Power Mix'!AQT21-'NF - 5 Power Mix'!AQT22</f>
        <v>0</v>
      </c>
      <c r="AQU42" s="1046">
        <f>AQU38+((AQU40+'NF - 5 Power Mix'!AQU14+'NF - 5 Power Mix'!AQU15)*860/10)+((('Form Sa1'!AQX835)*860)/10)+('Form Sa1'!AQX814*'Form Sa1'!AQX816/10)-'NF - 5 Power Mix'!AQU21-'NF - 5 Power Mix'!AQU22</f>
        <v>0</v>
      </c>
      <c r="AQV42" s="1046">
        <f>AQV38+((AQV40+'NF - 5 Power Mix'!AQV14+'NF - 5 Power Mix'!AQV15)*860/10)+((('Form Sa1'!AQY835)*860)/10)+('Form Sa1'!AQY814*'Form Sa1'!AQY816/10)-'NF - 5 Power Mix'!AQV21-'NF - 5 Power Mix'!AQV22</f>
        <v>0</v>
      </c>
      <c r="AQW42" s="1046">
        <f>AQW38+((AQW40+'NF - 5 Power Mix'!AQW14+'NF - 5 Power Mix'!AQW15)*860/10)+((('Form Sa1'!AQZ835)*860)/10)+('Form Sa1'!AQZ814*'Form Sa1'!AQZ816/10)-'NF - 5 Power Mix'!AQW21-'NF - 5 Power Mix'!AQW22</f>
        <v>0</v>
      </c>
      <c r="AQX42" s="1046">
        <f>AQX38+((AQX40+'NF - 5 Power Mix'!AQX14+'NF - 5 Power Mix'!AQX15)*860/10)+((('Form Sa1'!ARA835)*860)/10)+('Form Sa1'!ARA814*'Form Sa1'!ARA816/10)-'NF - 5 Power Mix'!AQX21-'NF - 5 Power Mix'!AQX22</f>
        <v>0</v>
      </c>
      <c r="AQY42" s="1046">
        <f>AQY38+((AQY40+'NF - 5 Power Mix'!AQY14+'NF - 5 Power Mix'!AQY15)*860/10)+((('Form Sa1'!ARB835)*860)/10)+('Form Sa1'!ARB814*'Form Sa1'!ARB816/10)-'NF - 5 Power Mix'!AQY21-'NF - 5 Power Mix'!AQY22</f>
        <v>0</v>
      </c>
      <c r="AQZ42" s="1046">
        <f>AQZ38+((AQZ40+'NF - 5 Power Mix'!AQZ14+'NF - 5 Power Mix'!AQZ15)*860/10)+((('Form Sa1'!ARC835)*860)/10)+('Form Sa1'!ARC814*'Form Sa1'!ARC816/10)-'NF - 5 Power Mix'!AQZ21-'NF - 5 Power Mix'!AQZ22</f>
        <v>0</v>
      </c>
      <c r="ARA42" s="1046">
        <f>ARA38+((ARA40+'NF - 5 Power Mix'!ARA14+'NF - 5 Power Mix'!ARA15)*860/10)+((('Form Sa1'!ARD835)*860)/10)+('Form Sa1'!ARD814*'Form Sa1'!ARD816/10)-'NF - 5 Power Mix'!ARA21-'NF - 5 Power Mix'!ARA22</f>
        <v>0</v>
      </c>
      <c r="ARB42" s="1046">
        <f>ARB38+((ARB40+'NF - 5 Power Mix'!ARB14+'NF - 5 Power Mix'!ARB15)*860/10)+((('Form Sa1'!ARE835)*860)/10)+('Form Sa1'!ARE814*'Form Sa1'!ARE816/10)-'NF - 5 Power Mix'!ARB21-'NF - 5 Power Mix'!ARB22</f>
        <v>0</v>
      </c>
      <c r="ARC42" s="1046">
        <f>ARC38+((ARC40+'NF - 5 Power Mix'!ARC14+'NF - 5 Power Mix'!ARC15)*860/10)+((('Form Sa1'!ARF835)*860)/10)+('Form Sa1'!ARF814*'Form Sa1'!ARF816/10)-'NF - 5 Power Mix'!ARC21-'NF - 5 Power Mix'!ARC22</f>
        <v>0</v>
      </c>
      <c r="ARD42" s="1046">
        <f>ARD38+((ARD40+'NF - 5 Power Mix'!ARD14+'NF - 5 Power Mix'!ARD15)*860/10)+((('Form Sa1'!ARG835)*860)/10)+('Form Sa1'!ARG814*'Form Sa1'!ARG816/10)-'NF - 5 Power Mix'!ARD21-'NF - 5 Power Mix'!ARD22</f>
        <v>0</v>
      </c>
      <c r="ARE42" s="1046">
        <f>ARE38+((ARE40+'NF - 5 Power Mix'!ARE14+'NF - 5 Power Mix'!ARE15)*860/10)+((('Form Sa1'!ARH835)*860)/10)+('Form Sa1'!ARH814*'Form Sa1'!ARH816/10)-'NF - 5 Power Mix'!ARE21-'NF - 5 Power Mix'!ARE22</f>
        <v>0</v>
      </c>
      <c r="ARF42" s="1046">
        <f>ARF38+((ARF40+'NF - 5 Power Mix'!ARF14+'NF - 5 Power Mix'!ARF15)*860/10)+((('Form Sa1'!ARI835)*860)/10)+('Form Sa1'!ARI814*'Form Sa1'!ARI816/10)-'NF - 5 Power Mix'!ARF21-'NF - 5 Power Mix'!ARF22</f>
        <v>0</v>
      </c>
      <c r="ARG42" s="1046">
        <f>ARG38+((ARG40+'NF - 5 Power Mix'!ARG14+'NF - 5 Power Mix'!ARG15)*860/10)+((('Form Sa1'!ARJ835)*860)/10)+('Form Sa1'!ARJ814*'Form Sa1'!ARJ816/10)-'NF - 5 Power Mix'!ARG21-'NF - 5 Power Mix'!ARG22</f>
        <v>0</v>
      </c>
      <c r="ARH42" s="1046">
        <f>ARH38+((ARH40+'NF - 5 Power Mix'!ARH14+'NF - 5 Power Mix'!ARH15)*860/10)+((('Form Sa1'!ARK835)*860)/10)+('Form Sa1'!ARK814*'Form Sa1'!ARK816/10)-'NF - 5 Power Mix'!ARH21-'NF - 5 Power Mix'!ARH22</f>
        <v>0</v>
      </c>
      <c r="ARI42" s="1046">
        <f>ARI38+((ARI40+'NF - 5 Power Mix'!ARI14+'NF - 5 Power Mix'!ARI15)*860/10)+((('Form Sa1'!ARL835)*860)/10)+('Form Sa1'!ARL814*'Form Sa1'!ARL816/10)-'NF - 5 Power Mix'!ARI21-'NF - 5 Power Mix'!ARI22</f>
        <v>0</v>
      </c>
      <c r="ARJ42" s="1046">
        <f>ARJ38+((ARJ40+'NF - 5 Power Mix'!ARJ14+'NF - 5 Power Mix'!ARJ15)*860/10)+((('Form Sa1'!ARM835)*860)/10)+('Form Sa1'!ARM814*'Form Sa1'!ARM816/10)-'NF - 5 Power Mix'!ARJ21-'NF - 5 Power Mix'!ARJ22</f>
        <v>0</v>
      </c>
      <c r="ARK42" s="1046">
        <f>ARK38+((ARK40+'NF - 5 Power Mix'!ARK14+'NF - 5 Power Mix'!ARK15)*860/10)+((('Form Sa1'!ARN835)*860)/10)+('Form Sa1'!ARN814*'Form Sa1'!ARN816/10)-'NF - 5 Power Mix'!ARK21-'NF - 5 Power Mix'!ARK22</f>
        <v>0</v>
      </c>
      <c r="ARL42" s="1046">
        <f>ARL38+((ARL40+'NF - 5 Power Mix'!ARL14+'NF - 5 Power Mix'!ARL15)*860/10)+((('Form Sa1'!ARO835)*860)/10)+('Form Sa1'!ARO814*'Form Sa1'!ARO816/10)-'NF - 5 Power Mix'!ARL21-'NF - 5 Power Mix'!ARL22</f>
        <v>0</v>
      </c>
      <c r="ARM42" s="1046">
        <f>ARM38+((ARM40+'NF - 5 Power Mix'!ARM14+'NF - 5 Power Mix'!ARM15)*860/10)+((('Form Sa1'!ARP835)*860)/10)+('Form Sa1'!ARP814*'Form Sa1'!ARP816/10)-'NF - 5 Power Mix'!ARM21-'NF - 5 Power Mix'!ARM22</f>
        <v>0</v>
      </c>
      <c r="ARN42" s="1046">
        <f>ARN38+((ARN40+'NF - 5 Power Mix'!ARN14+'NF - 5 Power Mix'!ARN15)*860/10)+((('Form Sa1'!ARQ835)*860)/10)+('Form Sa1'!ARQ814*'Form Sa1'!ARQ816/10)-'NF - 5 Power Mix'!ARN21-'NF - 5 Power Mix'!ARN22</f>
        <v>0</v>
      </c>
      <c r="ARO42" s="1046">
        <f>ARO38+((ARO40+'NF - 5 Power Mix'!ARO14+'NF - 5 Power Mix'!ARO15)*860/10)+((('Form Sa1'!ARR835)*860)/10)+('Form Sa1'!ARR814*'Form Sa1'!ARR816/10)-'NF - 5 Power Mix'!ARO21-'NF - 5 Power Mix'!ARO22</f>
        <v>0</v>
      </c>
      <c r="ARP42" s="1046">
        <f>ARP38+((ARP40+'NF - 5 Power Mix'!ARP14+'NF - 5 Power Mix'!ARP15)*860/10)+((('Form Sa1'!ARS835)*860)/10)+('Form Sa1'!ARS814*'Form Sa1'!ARS816/10)-'NF - 5 Power Mix'!ARP21-'NF - 5 Power Mix'!ARP22</f>
        <v>0</v>
      </c>
      <c r="ARQ42" s="1046">
        <f>ARQ38+((ARQ40+'NF - 5 Power Mix'!ARQ14+'NF - 5 Power Mix'!ARQ15)*860/10)+((('Form Sa1'!ART835)*860)/10)+('Form Sa1'!ART814*'Form Sa1'!ART816/10)-'NF - 5 Power Mix'!ARQ21-'NF - 5 Power Mix'!ARQ22</f>
        <v>0</v>
      </c>
      <c r="ARR42" s="1046">
        <f>ARR38+((ARR40+'NF - 5 Power Mix'!ARR14+'NF - 5 Power Mix'!ARR15)*860/10)+((('Form Sa1'!ARU835)*860)/10)+('Form Sa1'!ARU814*'Form Sa1'!ARU816/10)-'NF - 5 Power Mix'!ARR21-'NF - 5 Power Mix'!ARR22</f>
        <v>0</v>
      </c>
      <c r="ARS42" s="1046">
        <f>ARS38+((ARS40+'NF - 5 Power Mix'!ARS14+'NF - 5 Power Mix'!ARS15)*860/10)+((('Form Sa1'!ARV835)*860)/10)+('Form Sa1'!ARV814*'Form Sa1'!ARV816/10)-'NF - 5 Power Mix'!ARS21-'NF - 5 Power Mix'!ARS22</f>
        <v>0</v>
      </c>
      <c r="ART42" s="1046">
        <f>ART38+((ART40+'NF - 5 Power Mix'!ART14+'NF - 5 Power Mix'!ART15)*860/10)+((('Form Sa1'!ARW835)*860)/10)+('Form Sa1'!ARW814*'Form Sa1'!ARW816/10)-'NF - 5 Power Mix'!ART21-'NF - 5 Power Mix'!ART22</f>
        <v>0</v>
      </c>
      <c r="ARU42" s="1046">
        <f>ARU38+((ARU40+'NF - 5 Power Mix'!ARU14+'NF - 5 Power Mix'!ARU15)*860/10)+((('Form Sa1'!ARX835)*860)/10)+('Form Sa1'!ARX814*'Form Sa1'!ARX816/10)-'NF - 5 Power Mix'!ARU21-'NF - 5 Power Mix'!ARU22</f>
        <v>0</v>
      </c>
      <c r="ARV42" s="1046">
        <f>ARV38+((ARV40+'NF - 5 Power Mix'!ARV14+'NF - 5 Power Mix'!ARV15)*860/10)+((('Form Sa1'!ARY835)*860)/10)+('Form Sa1'!ARY814*'Form Sa1'!ARY816/10)-'NF - 5 Power Mix'!ARV21-'NF - 5 Power Mix'!ARV22</f>
        <v>0</v>
      </c>
      <c r="ARW42" s="1046">
        <f>ARW38+((ARW40+'NF - 5 Power Mix'!ARW14+'NF - 5 Power Mix'!ARW15)*860/10)+((('Form Sa1'!ARZ835)*860)/10)+('Form Sa1'!ARZ814*'Form Sa1'!ARZ816/10)-'NF - 5 Power Mix'!ARW21-'NF - 5 Power Mix'!ARW22</f>
        <v>0</v>
      </c>
      <c r="ARX42" s="1046">
        <f>ARX38+((ARX40+'NF - 5 Power Mix'!ARX14+'NF - 5 Power Mix'!ARX15)*860/10)+((('Form Sa1'!ASA835)*860)/10)+('Form Sa1'!ASA814*'Form Sa1'!ASA816/10)-'NF - 5 Power Mix'!ARX21-'NF - 5 Power Mix'!ARX22</f>
        <v>0</v>
      </c>
      <c r="ARY42" s="1046">
        <f>ARY38+((ARY40+'NF - 5 Power Mix'!ARY14+'NF - 5 Power Mix'!ARY15)*860/10)+((('Form Sa1'!ASB835)*860)/10)+('Form Sa1'!ASB814*'Form Sa1'!ASB816/10)-'NF - 5 Power Mix'!ARY21-'NF - 5 Power Mix'!ARY22</f>
        <v>0</v>
      </c>
      <c r="ARZ42" s="1046">
        <f>ARZ38+((ARZ40+'NF - 5 Power Mix'!ARZ14+'NF - 5 Power Mix'!ARZ15)*860/10)+((('Form Sa1'!ASC835)*860)/10)+('Form Sa1'!ASC814*'Form Sa1'!ASC816/10)-'NF - 5 Power Mix'!ARZ21-'NF - 5 Power Mix'!ARZ22</f>
        <v>0</v>
      </c>
      <c r="ASA42" s="1046">
        <f>ASA38+((ASA40+'NF - 5 Power Mix'!ASA14+'NF - 5 Power Mix'!ASA15)*860/10)+((('Form Sa1'!ASD835)*860)/10)+('Form Sa1'!ASD814*'Form Sa1'!ASD816/10)-'NF - 5 Power Mix'!ASA21-'NF - 5 Power Mix'!ASA22</f>
        <v>0</v>
      </c>
      <c r="ASB42" s="1046">
        <f>ASB38+((ASB40+'NF - 5 Power Mix'!ASB14+'NF - 5 Power Mix'!ASB15)*860/10)+((('Form Sa1'!ASE835)*860)/10)+('Form Sa1'!ASE814*'Form Sa1'!ASE816/10)-'NF - 5 Power Mix'!ASB21-'NF - 5 Power Mix'!ASB22</f>
        <v>0</v>
      </c>
      <c r="ASC42" s="1046">
        <f>ASC38+((ASC40+'NF - 5 Power Mix'!ASC14+'NF - 5 Power Mix'!ASC15)*860/10)+((('Form Sa1'!ASF835)*860)/10)+('Form Sa1'!ASF814*'Form Sa1'!ASF816/10)-'NF - 5 Power Mix'!ASC21-'NF - 5 Power Mix'!ASC22</f>
        <v>0</v>
      </c>
      <c r="ASD42" s="1046">
        <f>ASD38+((ASD40+'NF - 5 Power Mix'!ASD14+'NF - 5 Power Mix'!ASD15)*860/10)+((('Form Sa1'!ASG835)*860)/10)+('Form Sa1'!ASG814*'Form Sa1'!ASG816/10)-'NF - 5 Power Mix'!ASD21-'NF - 5 Power Mix'!ASD22</f>
        <v>0</v>
      </c>
      <c r="ASE42" s="1046">
        <f>ASE38+((ASE40+'NF - 5 Power Mix'!ASE14+'NF - 5 Power Mix'!ASE15)*860/10)+((('Form Sa1'!ASH835)*860)/10)+('Form Sa1'!ASH814*'Form Sa1'!ASH816/10)-'NF - 5 Power Mix'!ASE21-'NF - 5 Power Mix'!ASE22</f>
        <v>0</v>
      </c>
      <c r="ASF42" s="1046">
        <f>ASF38+((ASF40+'NF - 5 Power Mix'!ASF14+'NF - 5 Power Mix'!ASF15)*860/10)+((('Form Sa1'!ASI835)*860)/10)+('Form Sa1'!ASI814*'Form Sa1'!ASI816/10)-'NF - 5 Power Mix'!ASF21-'NF - 5 Power Mix'!ASF22</f>
        <v>0</v>
      </c>
      <c r="ASG42" s="1046">
        <f>ASG38+((ASG40+'NF - 5 Power Mix'!ASG14+'NF - 5 Power Mix'!ASG15)*860/10)+((('Form Sa1'!ASJ835)*860)/10)+('Form Sa1'!ASJ814*'Form Sa1'!ASJ816/10)-'NF - 5 Power Mix'!ASG21-'NF - 5 Power Mix'!ASG22</f>
        <v>0</v>
      </c>
      <c r="ASH42" s="1046">
        <f>ASH38+((ASH40+'NF - 5 Power Mix'!ASH14+'NF - 5 Power Mix'!ASH15)*860/10)+((('Form Sa1'!ASK835)*860)/10)+('Form Sa1'!ASK814*'Form Sa1'!ASK816/10)-'NF - 5 Power Mix'!ASH21-'NF - 5 Power Mix'!ASH22</f>
        <v>0</v>
      </c>
      <c r="ASI42" s="1046">
        <f>ASI38+((ASI40+'NF - 5 Power Mix'!ASI14+'NF - 5 Power Mix'!ASI15)*860/10)+((('Form Sa1'!ASL835)*860)/10)+('Form Sa1'!ASL814*'Form Sa1'!ASL816/10)-'NF - 5 Power Mix'!ASI21-'NF - 5 Power Mix'!ASI22</f>
        <v>0</v>
      </c>
      <c r="ASJ42" s="1046">
        <f>ASJ38+((ASJ40+'NF - 5 Power Mix'!ASJ14+'NF - 5 Power Mix'!ASJ15)*860/10)+((('Form Sa1'!ASM835)*860)/10)+('Form Sa1'!ASM814*'Form Sa1'!ASM816/10)-'NF - 5 Power Mix'!ASJ21-'NF - 5 Power Mix'!ASJ22</f>
        <v>0</v>
      </c>
      <c r="ASK42" s="1046">
        <f>ASK38+((ASK40+'NF - 5 Power Mix'!ASK14+'NF - 5 Power Mix'!ASK15)*860/10)+((('Form Sa1'!ASN835)*860)/10)+('Form Sa1'!ASN814*'Form Sa1'!ASN816/10)-'NF - 5 Power Mix'!ASK21-'NF - 5 Power Mix'!ASK22</f>
        <v>0</v>
      </c>
      <c r="ASL42" s="1046">
        <f>ASL38+((ASL40+'NF - 5 Power Mix'!ASL14+'NF - 5 Power Mix'!ASL15)*860/10)+((('Form Sa1'!ASO835)*860)/10)+('Form Sa1'!ASO814*'Form Sa1'!ASO816/10)-'NF - 5 Power Mix'!ASL21-'NF - 5 Power Mix'!ASL22</f>
        <v>0</v>
      </c>
      <c r="ASM42" s="1046">
        <f>ASM38+((ASM40+'NF - 5 Power Mix'!ASM14+'NF - 5 Power Mix'!ASM15)*860/10)+((('Form Sa1'!ASP835)*860)/10)+('Form Sa1'!ASP814*'Form Sa1'!ASP816/10)-'NF - 5 Power Mix'!ASM21-'NF - 5 Power Mix'!ASM22</f>
        <v>0</v>
      </c>
      <c r="ASN42" s="1046">
        <f>ASN38+((ASN40+'NF - 5 Power Mix'!ASN14+'NF - 5 Power Mix'!ASN15)*860/10)+((('Form Sa1'!ASQ835)*860)/10)+('Form Sa1'!ASQ814*'Form Sa1'!ASQ816/10)-'NF - 5 Power Mix'!ASN21-'NF - 5 Power Mix'!ASN22</f>
        <v>0</v>
      </c>
      <c r="ASO42" s="1046">
        <f>ASO38+((ASO40+'NF - 5 Power Mix'!ASO14+'NF - 5 Power Mix'!ASO15)*860/10)+((('Form Sa1'!ASR835)*860)/10)+('Form Sa1'!ASR814*'Form Sa1'!ASR816/10)-'NF - 5 Power Mix'!ASO21-'NF - 5 Power Mix'!ASO22</f>
        <v>0</v>
      </c>
      <c r="ASP42" s="1046">
        <f>ASP38+((ASP40+'NF - 5 Power Mix'!ASP14+'NF - 5 Power Mix'!ASP15)*860/10)+((('Form Sa1'!ASS835)*860)/10)+('Form Sa1'!ASS814*'Form Sa1'!ASS816/10)-'NF - 5 Power Mix'!ASP21-'NF - 5 Power Mix'!ASP22</f>
        <v>0</v>
      </c>
      <c r="ASQ42" s="1046">
        <f>ASQ38+((ASQ40+'NF - 5 Power Mix'!ASQ14+'NF - 5 Power Mix'!ASQ15)*860/10)+((('Form Sa1'!AST835)*860)/10)+('Form Sa1'!AST814*'Form Sa1'!AST816/10)-'NF - 5 Power Mix'!ASQ21-'NF - 5 Power Mix'!ASQ22</f>
        <v>0</v>
      </c>
      <c r="ASR42" s="1046">
        <f>ASR38+((ASR40+'NF - 5 Power Mix'!ASR14+'NF - 5 Power Mix'!ASR15)*860/10)+((('Form Sa1'!ASU835)*860)/10)+('Form Sa1'!ASU814*'Form Sa1'!ASU816/10)-'NF - 5 Power Mix'!ASR21-'NF - 5 Power Mix'!ASR22</f>
        <v>0</v>
      </c>
      <c r="ASS42" s="1046">
        <f>ASS38+((ASS40+'NF - 5 Power Mix'!ASS14+'NF - 5 Power Mix'!ASS15)*860/10)+((('Form Sa1'!ASV835)*860)/10)+('Form Sa1'!ASV814*'Form Sa1'!ASV816/10)-'NF - 5 Power Mix'!ASS21-'NF - 5 Power Mix'!ASS22</f>
        <v>0</v>
      </c>
      <c r="AST42" s="1046">
        <f>AST38+((AST40+'NF - 5 Power Mix'!AST14+'NF - 5 Power Mix'!AST15)*860/10)+((('Form Sa1'!ASW835)*860)/10)+('Form Sa1'!ASW814*'Form Sa1'!ASW816/10)-'NF - 5 Power Mix'!AST21-'NF - 5 Power Mix'!AST22</f>
        <v>0</v>
      </c>
      <c r="ASU42" s="1046">
        <f>ASU38+((ASU40+'NF - 5 Power Mix'!ASU14+'NF - 5 Power Mix'!ASU15)*860/10)+((('Form Sa1'!ASX835)*860)/10)+('Form Sa1'!ASX814*'Form Sa1'!ASX816/10)-'NF - 5 Power Mix'!ASU21-'NF - 5 Power Mix'!ASU22</f>
        <v>0</v>
      </c>
      <c r="ASV42" s="1046">
        <f>ASV38+((ASV40+'NF - 5 Power Mix'!ASV14+'NF - 5 Power Mix'!ASV15)*860/10)+((('Form Sa1'!ASY835)*860)/10)+('Form Sa1'!ASY814*'Form Sa1'!ASY816/10)-'NF - 5 Power Mix'!ASV21-'NF - 5 Power Mix'!ASV22</f>
        <v>0</v>
      </c>
      <c r="ASW42" s="1046">
        <f>ASW38+((ASW40+'NF - 5 Power Mix'!ASW14+'NF - 5 Power Mix'!ASW15)*860/10)+((('Form Sa1'!ASZ835)*860)/10)+('Form Sa1'!ASZ814*'Form Sa1'!ASZ816/10)-'NF - 5 Power Mix'!ASW21-'NF - 5 Power Mix'!ASW22</f>
        <v>0</v>
      </c>
      <c r="ASX42" s="1046">
        <f>ASX38+((ASX40+'NF - 5 Power Mix'!ASX14+'NF - 5 Power Mix'!ASX15)*860/10)+((('Form Sa1'!ATA835)*860)/10)+('Form Sa1'!ATA814*'Form Sa1'!ATA816/10)-'NF - 5 Power Mix'!ASX21-'NF - 5 Power Mix'!ASX22</f>
        <v>0</v>
      </c>
      <c r="ASY42" s="1046">
        <f>ASY38+((ASY40+'NF - 5 Power Mix'!ASY14+'NF - 5 Power Mix'!ASY15)*860/10)+((('Form Sa1'!ATB835)*860)/10)+('Form Sa1'!ATB814*'Form Sa1'!ATB816/10)-'NF - 5 Power Mix'!ASY21-'NF - 5 Power Mix'!ASY22</f>
        <v>0</v>
      </c>
      <c r="ASZ42" s="1046">
        <f>ASZ38+((ASZ40+'NF - 5 Power Mix'!ASZ14+'NF - 5 Power Mix'!ASZ15)*860/10)+((('Form Sa1'!ATC835)*860)/10)+('Form Sa1'!ATC814*'Form Sa1'!ATC816/10)-'NF - 5 Power Mix'!ASZ21-'NF - 5 Power Mix'!ASZ22</f>
        <v>0</v>
      </c>
      <c r="ATA42" s="1046">
        <f>ATA38+((ATA40+'NF - 5 Power Mix'!ATA14+'NF - 5 Power Mix'!ATA15)*860/10)+((('Form Sa1'!ATD835)*860)/10)+('Form Sa1'!ATD814*'Form Sa1'!ATD816/10)-'NF - 5 Power Mix'!ATA21-'NF - 5 Power Mix'!ATA22</f>
        <v>0</v>
      </c>
      <c r="ATB42" s="1046">
        <f>ATB38+((ATB40+'NF - 5 Power Mix'!ATB14+'NF - 5 Power Mix'!ATB15)*860/10)+((('Form Sa1'!ATE835)*860)/10)+('Form Sa1'!ATE814*'Form Sa1'!ATE816/10)-'NF - 5 Power Mix'!ATB21-'NF - 5 Power Mix'!ATB22</f>
        <v>0</v>
      </c>
      <c r="ATC42" s="1046">
        <f>ATC38+((ATC40+'NF - 5 Power Mix'!ATC14+'NF - 5 Power Mix'!ATC15)*860/10)+((('Form Sa1'!ATF835)*860)/10)+('Form Sa1'!ATF814*'Form Sa1'!ATF816/10)-'NF - 5 Power Mix'!ATC21-'NF - 5 Power Mix'!ATC22</f>
        <v>0</v>
      </c>
      <c r="ATD42" s="1046">
        <f>ATD38+((ATD40+'NF - 5 Power Mix'!ATD14+'NF - 5 Power Mix'!ATD15)*860/10)+((('Form Sa1'!ATG835)*860)/10)+('Form Sa1'!ATG814*'Form Sa1'!ATG816/10)-'NF - 5 Power Mix'!ATD21-'NF - 5 Power Mix'!ATD22</f>
        <v>0</v>
      </c>
      <c r="ATE42" s="1046">
        <f>ATE38+((ATE40+'NF - 5 Power Mix'!ATE14+'NF - 5 Power Mix'!ATE15)*860/10)+((('Form Sa1'!ATH835)*860)/10)+('Form Sa1'!ATH814*'Form Sa1'!ATH816/10)-'NF - 5 Power Mix'!ATE21-'NF - 5 Power Mix'!ATE22</f>
        <v>0</v>
      </c>
      <c r="ATF42" s="1046">
        <f>ATF38+((ATF40+'NF - 5 Power Mix'!ATF14+'NF - 5 Power Mix'!ATF15)*860/10)+((('Form Sa1'!ATI835)*860)/10)+('Form Sa1'!ATI814*'Form Sa1'!ATI816/10)-'NF - 5 Power Mix'!ATF21-'NF - 5 Power Mix'!ATF22</f>
        <v>0</v>
      </c>
      <c r="ATG42" s="1046">
        <f>ATG38+((ATG40+'NF - 5 Power Mix'!ATG14+'NF - 5 Power Mix'!ATG15)*860/10)+((('Form Sa1'!ATJ835)*860)/10)+('Form Sa1'!ATJ814*'Form Sa1'!ATJ816/10)-'NF - 5 Power Mix'!ATG21-'NF - 5 Power Mix'!ATG22</f>
        <v>0</v>
      </c>
      <c r="ATH42" s="1046">
        <f>ATH38+((ATH40+'NF - 5 Power Mix'!ATH14+'NF - 5 Power Mix'!ATH15)*860/10)+((('Form Sa1'!ATK835)*860)/10)+('Form Sa1'!ATK814*'Form Sa1'!ATK816/10)-'NF - 5 Power Mix'!ATH21-'NF - 5 Power Mix'!ATH22</f>
        <v>0</v>
      </c>
      <c r="ATI42" s="1046">
        <f>ATI38+((ATI40+'NF - 5 Power Mix'!ATI14+'NF - 5 Power Mix'!ATI15)*860/10)+((('Form Sa1'!ATL835)*860)/10)+('Form Sa1'!ATL814*'Form Sa1'!ATL816/10)-'NF - 5 Power Mix'!ATI21-'NF - 5 Power Mix'!ATI22</f>
        <v>0</v>
      </c>
      <c r="ATJ42" s="1046">
        <f>ATJ38+((ATJ40+'NF - 5 Power Mix'!ATJ14+'NF - 5 Power Mix'!ATJ15)*860/10)+((('Form Sa1'!ATM835)*860)/10)+('Form Sa1'!ATM814*'Form Sa1'!ATM816/10)-'NF - 5 Power Mix'!ATJ21-'NF - 5 Power Mix'!ATJ22</f>
        <v>0</v>
      </c>
      <c r="ATK42" s="1046">
        <f>ATK38+((ATK40+'NF - 5 Power Mix'!ATK14+'NF - 5 Power Mix'!ATK15)*860/10)+((('Form Sa1'!ATN835)*860)/10)+('Form Sa1'!ATN814*'Form Sa1'!ATN816/10)-'NF - 5 Power Mix'!ATK21-'NF - 5 Power Mix'!ATK22</f>
        <v>0</v>
      </c>
      <c r="ATL42" s="1046">
        <f>ATL38+((ATL40+'NF - 5 Power Mix'!ATL14+'NF - 5 Power Mix'!ATL15)*860/10)+((('Form Sa1'!ATO835)*860)/10)+('Form Sa1'!ATO814*'Form Sa1'!ATO816/10)-'NF - 5 Power Mix'!ATL21-'NF - 5 Power Mix'!ATL22</f>
        <v>0</v>
      </c>
      <c r="ATM42" s="1046">
        <f>ATM38+((ATM40+'NF - 5 Power Mix'!ATM14+'NF - 5 Power Mix'!ATM15)*860/10)+((('Form Sa1'!ATP835)*860)/10)+('Form Sa1'!ATP814*'Form Sa1'!ATP816/10)-'NF - 5 Power Mix'!ATM21-'NF - 5 Power Mix'!ATM22</f>
        <v>0</v>
      </c>
      <c r="ATN42" s="1046">
        <f>ATN38+((ATN40+'NF - 5 Power Mix'!ATN14+'NF - 5 Power Mix'!ATN15)*860/10)+((('Form Sa1'!ATQ835)*860)/10)+('Form Sa1'!ATQ814*'Form Sa1'!ATQ816/10)-'NF - 5 Power Mix'!ATN21-'NF - 5 Power Mix'!ATN22</f>
        <v>0</v>
      </c>
      <c r="ATO42" s="1046">
        <f>ATO38+((ATO40+'NF - 5 Power Mix'!ATO14+'NF - 5 Power Mix'!ATO15)*860/10)+((('Form Sa1'!ATR835)*860)/10)+('Form Sa1'!ATR814*'Form Sa1'!ATR816/10)-'NF - 5 Power Mix'!ATO21-'NF - 5 Power Mix'!ATO22</f>
        <v>0</v>
      </c>
      <c r="ATP42" s="1046">
        <f>ATP38+((ATP40+'NF - 5 Power Mix'!ATP14+'NF - 5 Power Mix'!ATP15)*860/10)+((('Form Sa1'!ATS835)*860)/10)+('Form Sa1'!ATS814*'Form Sa1'!ATS816/10)-'NF - 5 Power Mix'!ATP21-'NF - 5 Power Mix'!ATP22</f>
        <v>0</v>
      </c>
      <c r="ATQ42" s="1046">
        <f>ATQ38+((ATQ40+'NF - 5 Power Mix'!ATQ14+'NF - 5 Power Mix'!ATQ15)*860/10)+((('Form Sa1'!ATT835)*860)/10)+('Form Sa1'!ATT814*'Form Sa1'!ATT816/10)-'NF - 5 Power Mix'!ATQ21-'NF - 5 Power Mix'!ATQ22</f>
        <v>0</v>
      </c>
      <c r="ATR42" s="1046">
        <f>ATR38+((ATR40+'NF - 5 Power Mix'!ATR14+'NF - 5 Power Mix'!ATR15)*860/10)+((('Form Sa1'!ATU835)*860)/10)+('Form Sa1'!ATU814*'Form Sa1'!ATU816/10)-'NF - 5 Power Mix'!ATR21-'NF - 5 Power Mix'!ATR22</f>
        <v>0</v>
      </c>
      <c r="ATS42" s="1046">
        <f>ATS38+((ATS40+'NF - 5 Power Mix'!ATS14+'NF - 5 Power Mix'!ATS15)*860/10)+((('Form Sa1'!ATV835)*860)/10)+('Form Sa1'!ATV814*'Form Sa1'!ATV816/10)-'NF - 5 Power Mix'!ATS21-'NF - 5 Power Mix'!ATS22</f>
        <v>0</v>
      </c>
      <c r="ATT42" s="1046">
        <f>ATT38+((ATT40+'NF - 5 Power Mix'!ATT14+'NF - 5 Power Mix'!ATT15)*860/10)+((('Form Sa1'!ATW835)*860)/10)+('Form Sa1'!ATW814*'Form Sa1'!ATW816/10)-'NF - 5 Power Mix'!ATT21-'NF - 5 Power Mix'!ATT22</f>
        <v>0</v>
      </c>
      <c r="ATU42" s="1046">
        <f>ATU38+((ATU40+'NF - 5 Power Mix'!ATU14+'NF - 5 Power Mix'!ATU15)*860/10)+((('Form Sa1'!ATX835)*860)/10)+('Form Sa1'!ATX814*'Form Sa1'!ATX816/10)-'NF - 5 Power Mix'!ATU21-'NF - 5 Power Mix'!ATU22</f>
        <v>0</v>
      </c>
      <c r="ATV42" s="1046">
        <f>ATV38+((ATV40+'NF - 5 Power Mix'!ATV14+'NF - 5 Power Mix'!ATV15)*860/10)+((('Form Sa1'!ATY835)*860)/10)+('Form Sa1'!ATY814*'Form Sa1'!ATY816/10)-'NF - 5 Power Mix'!ATV21-'NF - 5 Power Mix'!ATV22</f>
        <v>0</v>
      </c>
      <c r="ATW42" s="1046">
        <f>ATW38+((ATW40+'NF - 5 Power Mix'!ATW14+'NF - 5 Power Mix'!ATW15)*860/10)+((('Form Sa1'!ATZ835)*860)/10)+('Form Sa1'!ATZ814*'Form Sa1'!ATZ816/10)-'NF - 5 Power Mix'!ATW21-'NF - 5 Power Mix'!ATW22</f>
        <v>0</v>
      </c>
      <c r="ATX42" s="1046">
        <f>ATX38+((ATX40+'NF - 5 Power Mix'!ATX14+'NF - 5 Power Mix'!ATX15)*860/10)+((('Form Sa1'!AUA835)*860)/10)+('Form Sa1'!AUA814*'Form Sa1'!AUA816/10)-'NF - 5 Power Mix'!ATX21-'NF - 5 Power Mix'!ATX22</f>
        <v>0</v>
      </c>
      <c r="ATY42" s="1046">
        <f>ATY38+((ATY40+'NF - 5 Power Mix'!ATY14+'NF - 5 Power Mix'!ATY15)*860/10)+((('Form Sa1'!AUB835)*860)/10)+('Form Sa1'!AUB814*'Form Sa1'!AUB816/10)-'NF - 5 Power Mix'!ATY21-'NF - 5 Power Mix'!ATY22</f>
        <v>0</v>
      </c>
      <c r="ATZ42" s="1046">
        <f>ATZ38+((ATZ40+'NF - 5 Power Mix'!ATZ14+'NF - 5 Power Mix'!ATZ15)*860/10)+((('Form Sa1'!AUC835)*860)/10)+('Form Sa1'!AUC814*'Form Sa1'!AUC816/10)-'NF - 5 Power Mix'!ATZ21-'NF - 5 Power Mix'!ATZ22</f>
        <v>0</v>
      </c>
      <c r="AUA42" s="1046">
        <f>AUA38+((AUA40+'NF - 5 Power Mix'!AUA14+'NF - 5 Power Mix'!AUA15)*860/10)+((('Form Sa1'!AUD835)*860)/10)+('Form Sa1'!AUD814*'Form Sa1'!AUD816/10)-'NF - 5 Power Mix'!AUA21-'NF - 5 Power Mix'!AUA22</f>
        <v>0</v>
      </c>
      <c r="AUB42" s="1046">
        <f>AUB38+((AUB40+'NF - 5 Power Mix'!AUB14+'NF - 5 Power Mix'!AUB15)*860/10)+((('Form Sa1'!AUE835)*860)/10)+('Form Sa1'!AUE814*'Form Sa1'!AUE816/10)-'NF - 5 Power Mix'!AUB21-'NF - 5 Power Mix'!AUB22</f>
        <v>0</v>
      </c>
      <c r="AUC42" s="1046">
        <f>AUC38+((AUC40+'NF - 5 Power Mix'!AUC14+'NF - 5 Power Mix'!AUC15)*860/10)+((('Form Sa1'!AUF835)*860)/10)+('Form Sa1'!AUF814*'Form Sa1'!AUF816/10)-'NF - 5 Power Mix'!AUC21-'NF - 5 Power Mix'!AUC22</f>
        <v>0</v>
      </c>
      <c r="AUD42" s="1046">
        <f>AUD38+((AUD40+'NF - 5 Power Mix'!AUD14+'NF - 5 Power Mix'!AUD15)*860/10)+((('Form Sa1'!AUG835)*860)/10)+('Form Sa1'!AUG814*'Form Sa1'!AUG816/10)-'NF - 5 Power Mix'!AUD21-'NF - 5 Power Mix'!AUD22</f>
        <v>0</v>
      </c>
      <c r="AUE42" s="1046">
        <f>AUE38+((AUE40+'NF - 5 Power Mix'!AUE14+'NF - 5 Power Mix'!AUE15)*860/10)+((('Form Sa1'!AUH835)*860)/10)+('Form Sa1'!AUH814*'Form Sa1'!AUH816/10)-'NF - 5 Power Mix'!AUE21-'NF - 5 Power Mix'!AUE22</f>
        <v>0</v>
      </c>
      <c r="AUF42" s="1046">
        <f>AUF38+((AUF40+'NF - 5 Power Mix'!AUF14+'NF - 5 Power Mix'!AUF15)*860/10)+((('Form Sa1'!AUI835)*860)/10)+('Form Sa1'!AUI814*'Form Sa1'!AUI816/10)-'NF - 5 Power Mix'!AUF21-'NF - 5 Power Mix'!AUF22</f>
        <v>0</v>
      </c>
      <c r="AUG42" s="1046">
        <f>AUG38+((AUG40+'NF - 5 Power Mix'!AUG14+'NF - 5 Power Mix'!AUG15)*860/10)+((('Form Sa1'!AUJ835)*860)/10)+('Form Sa1'!AUJ814*'Form Sa1'!AUJ816/10)-'NF - 5 Power Mix'!AUG21-'NF - 5 Power Mix'!AUG22</f>
        <v>0</v>
      </c>
      <c r="AUH42" s="1046">
        <f>AUH38+((AUH40+'NF - 5 Power Mix'!AUH14+'NF - 5 Power Mix'!AUH15)*860/10)+((('Form Sa1'!AUK835)*860)/10)+('Form Sa1'!AUK814*'Form Sa1'!AUK816/10)-'NF - 5 Power Mix'!AUH21-'NF - 5 Power Mix'!AUH22</f>
        <v>0</v>
      </c>
      <c r="AUI42" s="1046">
        <f>AUI38+((AUI40+'NF - 5 Power Mix'!AUI14+'NF - 5 Power Mix'!AUI15)*860/10)+((('Form Sa1'!AUL835)*860)/10)+('Form Sa1'!AUL814*'Form Sa1'!AUL816/10)-'NF - 5 Power Mix'!AUI21-'NF - 5 Power Mix'!AUI22</f>
        <v>0</v>
      </c>
      <c r="AUJ42" s="1046">
        <f>AUJ38+((AUJ40+'NF - 5 Power Mix'!AUJ14+'NF - 5 Power Mix'!AUJ15)*860/10)+((('Form Sa1'!AUM835)*860)/10)+('Form Sa1'!AUM814*'Form Sa1'!AUM816/10)-'NF - 5 Power Mix'!AUJ21-'NF - 5 Power Mix'!AUJ22</f>
        <v>0</v>
      </c>
      <c r="AUK42" s="1046">
        <f>AUK38+((AUK40+'NF - 5 Power Mix'!AUK14+'NF - 5 Power Mix'!AUK15)*860/10)+((('Form Sa1'!AUN835)*860)/10)+('Form Sa1'!AUN814*'Form Sa1'!AUN816/10)-'NF - 5 Power Mix'!AUK21-'NF - 5 Power Mix'!AUK22</f>
        <v>0</v>
      </c>
      <c r="AUL42" s="1046">
        <f>AUL38+((AUL40+'NF - 5 Power Mix'!AUL14+'NF - 5 Power Mix'!AUL15)*860/10)+((('Form Sa1'!AUO835)*860)/10)+('Form Sa1'!AUO814*'Form Sa1'!AUO816/10)-'NF - 5 Power Mix'!AUL21-'NF - 5 Power Mix'!AUL22</f>
        <v>0</v>
      </c>
      <c r="AUM42" s="1046">
        <f>AUM38+((AUM40+'NF - 5 Power Mix'!AUM14+'NF - 5 Power Mix'!AUM15)*860/10)+((('Form Sa1'!AUP835)*860)/10)+('Form Sa1'!AUP814*'Form Sa1'!AUP816/10)-'NF - 5 Power Mix'!AUM21-'NF - 5 Power Mix'!AUM22</f>
        <v>0</v>
      </c>
      <c r="AUN42" s="1046">
        <f>AUN38+((AUN40+'NF - 5 Power Mix'!AUN14+'NF - 5 Power Mix'!AUN15)*860/10)+((('Form Sa1'!AUQ835)*860)/10)+('Form Sa1'!AUQ814*'Form Sa1'!AUQ816/10)-'NF - 5 Power Mix'!AUN21-'NF - 5 Power Mix'!AUN22</f>
        <v>0</v>
      </c>
      <c r="AUO42" s="1046">
        <f>AUO38+((AUO40+'NF - 5 Power Mix'!AUO14+'NF - 5 Power Mix'!AUO15)*860/10)+((('Form Sa1'!AUR835)*860)/10)+('Form Sa1'!AUR814*'Form Sa1'!AUR816/10)-'NF - 5 Power Mix'!AUO21-'NF - 5 Power Mix'!AUO22</f>
        <v>0</v>
      </c>
      <c r="AUP42" s="1046">
        <f>AUP38+((AUP40+'NF - 5 Power Mix'!AUP14+'NF - 5 Power Mix'!AUP15)*860/10)+((('Form Sa1'!AUS835)*860)/10)+('Form Sa1'!AUS814*'Form Sa1'!AUS816/10)-'NF - 5 Power Mix'!AUP21-'NF - 5 Power Mix'!AUP22</f>
        <v>0</v>
      </c>
      <c r="AUQ42" s="1046">
        <f>AUQ38+((AUQ40+'NF - 5 Power Mix'!AUQ14+'NF - 5 Power Mix'!AUQ15)*860/10)+((('Form Sa1'!AUT835)*860)/10)+('Form Sa1'!AUT814*'Form Sa1'!AUT816/10)-'NF - 5 Power Mix'!AUQ21-'NF - 5 Power Mix'!AUQ22</f>
        <v>0</v>
      </c>
      <c r="AUR42" s="1046">
        <f>AUR38+((AUR40+'NF - 5 Power Mix'!AUR14+'NF - 5 Power Mix'!AUR15)*860/10)+((('Form Sa1'!AUU835)*860)/10)+('Form Sa1'!AUU814*'Form Sa1'!AUU816/10)-'NF - 5 Power Mix'!AUR21-'NF - 5 Power Mix'!AUR22</f>
        <v>0</v>
      </c>
      <c r="AUS42" s="1046">
        <f>AUS38+((AUS40+'NF - 5 Power Mix'!AUS14+'NF - 5 Power Mix'!AUS15)*860/10)+((('Form Sa1'!AUV835)*860)/10)+('Form Sa1'!AUV814*'Form Sa1'!AUV816/10)-'NF - 5 Power Mix'!AUS21-'NF - 5 Power Mix'!AUS22</f>
        <v>0</v>
      </c>
      <c r="AUT42" s="1046">
        <f>AUT38+((AUT40+'NF - 5 Power Mix'!AUT14+'NF - 5 Power Mix'!AUT15)*860/10)+((('Form Sa1'!AUW835)*860)/10)+('Form Sa1'!AUW814*'Form Sa1'!AUW816/10)-'NF - 5 Power Mix'!AUT21-'NF - 5 Power Mix'!AUT22</f>
        <v>0</v>
      </c>
      <c r="AUU42" s="1046">
        <f>AUU38+((AUU40+'NF - 5 Power Mix'!AUU14+'NF - 5 Power Mix'!AUU15)*860/10)+((('Form Sa1'!AUX835)*860)/10)+('Form Sa1'!AUX814*'Form Sa1'!AUX816/10)-'NF - 5 Power Mix'!AUU21-'NF - 5 Power Mix'!AUU22</f>
        <v>0</v>
      </c>
      <c r="AUV42" s="1046">
        <f>AUV38+((AUV40+'NF - 5 Power Mix'!AUV14+'NF - 5 Power Mix'!AUV15)*860/10)+((('Form Sa1'!AUY835)*860)/10)+('Form Sa1'!AUY814*'Form Sa1'!AUY816/10)-'NF - 5 Power Mix'!AUV21-'NF - 5 Power Mix'!AUV22</f>
        <v>0</v>
      </c>
      <c r="AUW42" s="1046">
        <f>AUW38+((AUW40+'NF - 5 Power Mix'!AUW14+'NF - 5 Power Mix'!AUW15)*860/10)+((('Form Sa1'!AUZ835)*860)/10)+('Form Sa1'!AUZ814*'Form Sa1'!AUZ816/10)-'NF - 5 Power Mix'!AUW21-'NF - 5 Power Mix'!AUW22</f>
        <v>0</v>
      </c>
      <c r="AUX42" s="1046">
        <f>AUX38+((AUX40+'NF - 5 Power Mix'!AUX14+'NF - 5 Power Mix'!AUX15)*860/10)+((('Form Sa1'!AVA835)*860)/10)+('Form Sa1'!AVA814*'Form Sa1'!AVA816/10)-'NF - 5 Power Mix'!AUX21-'NF - 5 Power Mix'!AUX22</f>
        <v>0</v>
      </c>
      <c r="AUY42" s="1046">
        <f>AUY38+((AUY40+'NF - 5 Power Mix'!AUY14+'NF - 5 Power Mix'!AUY15)*860/10)+((('Form Sa1'!AVB835)*860)/10)+('Form Sa1'!AVB814*'Form Sa1'!AVB816/10)-'NF - 5 Power Mix'!AUY21-'NF - 5 Power Mix'!AUY22</f>
        <v>0</v>
      </c>
      <c r="AUZ42" s="1046">
        <f>AUZ38+((AUZ40+'NF - 5 Power Mix'!AUZ14+'NF - 5 Power Mix'!AUZ15)*860/10)+((('Form Sa1'!AVC835)*860)/10)+('Form Sa1'!AVC814*'Form Sa1'!AVC816/10)-'NF - 5 Power Mix'!AUZ21-'NF - 5 Power Mix'!AUZ22</f>
        <v>0</v>
      </c>
      <c r="AVA42" s="1046">
        <f>AVA38+((AVA40+'NF - 5 Power Mix'!AVA14+'NF - 5 Power Mix'!AVA15)*860/10)+((('Form Sa1'!AVD835)*860)/10)+('Form Sa1'!AVD814*'Form Sa1'!AVD816/10)-'NF - 5 Power Mix'!AVA21-'NF - 5 Power Mix'!AVA22</f>
        <v>0</v>
      </c>
      <c r="AVB42" s="1046">
        <f>AVB38+((AVB40+'NF - 5 Power Mix'!AVB14+'NF - 5 Power Mix'!AVB15)*860/10)+((('Form Sa1'!AVE835)*860)/10)+('Form Sa1'!AVE814*'Form Sa1'!AVE816/10)-'NF - 5 Power Mix'!AVB21-'NF - 5 Power Mix'!AVB22</f>
        <v>0</v>
      </c>
      <c r="AVC42" s="1046">
        <f>AVC38+((AVC40+'NF - 5 Power Mix'!AVC14+'NF - 5 Power Mix'!AVC15)*860/10)+((('Form Sa1'!AVF835)*860)/10)+('Form Sa1'!AVF814*'Form Sa1'!AVF816/10)-'NF - 5 Power Mix'!AVC21-'NF - 5 Power Mix'!AVC22</f>
        <v>0</v>
      </c>
      <c r="AVD42" s="1046">
        <f>AVD38+((AVD40+'NF - 5 Power Mix'!AVD14+'NF - 5 Power Mix'!AVD15)*860/10)+((('Form Sa1'!AVG835)*860)/10)+('Form Sa1'!AVG814*'Form Sa1'!AVG816/10)-'NF - 5 Power Mix'!AVD21-'NF - 5 Power Mix'!AVD22</f>
        <v>0</v>
      </c>
      <c r="AVE42" s="1046">
        <f>AVE38+((AVE40+'NF - 5 Power Mix'!AVE14+'NF - 5 Power Mix'!AVE15)*860/10)+((('Form Sa1'!AVH835)*860)/10)+('Form Sa1'!AVH814*'Form Sa1'!AVH816/10)-'NF - 5 Power Mix'!AVE21-'NF - 5 Power Mix'!AVE22</f>
        <v>0</v>
      </c>
      <c r="AVF42" s="1046">
        <f>AVF38+((AVF40+'NF - 5 Power Mix'!AVF14+'NF - 5 Power Mix'!AVF15)*860/10)+((('Form Sa1'!AVI835)*860)/10)+('Form Sa1'!AVI814*'Form Sa1'!AVI816/10)-'NF - 5 Power Mix'!AVF21-'NF - 5 Power Mix'!AVF22</f>
        <v>0</v>
      </c>
      <c r="AVG42" s="1046">
        <f>AVG38+((AVG40+'NF - 5 Power Mix'!AVG14+'NF - 5 Power Mix'!AVG15)*860/10)+((('Form Sa1'!AVJ835)*860)/10)+('Form Sa1'!AVJ814*'Form Sa1'!AVJ816/10)-'NF - 5 Power Mix'!AVG21-'NF - 5 Power Mix'!AVG22</f>
        <v>0</v>
      </c>
      <c r="AVH42" s="1046">
        <f>AVH38+((AVH40+'NF - 5 Power Mix'!AVH14+'NF - 5 Power Mix'!AVH15)*860/10)+((('Form Sa1'!AVK835)*860)/10)+('Form Sa1'!AVK814*'Form Sa1'!AVK816/10)-'NF - 5 Power Mix'!AVH21-'NF - 5 Power Mix'!AVH22</f>
        <v>0</v>
      </c>
      <c r="AVI42" s="1046">
        <f>AVI38+((AVI40+'NF - 5 Power Mix'!AVI14+'NF - 5 Power Mix'!AVI15)*860/10)+((('Form Sa1'!AVL835)*860)/10)+('Form Sa1'!AVL814*'Form Sa1'!AVL816/10)-'NF - 5 Power Mix'!AVI21-'NF - 5 Power Mix'!AVI22</f>
        <v>0</v>
      </c>
      <c r="AVJ42" s="1046">
        <f>AVJ38+((AVJ40+'NF - 5 Power Mix'!AVJ14+'NF - 5 Power Mix'!AVJ15)*860/10)+((('Form Sa1'!AVM835)*860)/10)+('Form Sa1'!AVM814*'Form Sa1'!AVM816/10)-'NF - 5 Power Mix'!AVJ21-'NF - 5 Power Mix'!AVJ22</f>
        <v>0</v>
      </c>
      <c r="AVK42" s="1046">
        <f>AVK38+((AVK40+'NF - 5 Power Mix'!AVK14+'NF - 5 Power Mix'!AVK15)*860/10)+((('Form Sa1'!AVN835)*860)/10)+('Form Sa1'!AVN814*'Form Sa1'!AVN816/10)-'NF - 5 Power Mix'!AVK21-'NF - 5 Power Mix'!AVK22</f>
        <v>0</v>
      </c>
      <c r="AVL42" s="1046">
        <f>AVL38+((AVL40+'NF - 5 Power Mix'!AVL14+'NF - 5 Power Mix'!AVL15)*860/10)+((('Form Sa1'!AVO835)*860)/10)+('Form Sa1'!AVO814*'Form Sa1'!AVO816/10)-'NF - 5 Power Mix'!AVL21-'NF - 5 Power Mix'!AVL22</f>
        <v>0</v>
      </c>
      <c r="AVM42" s="1046">
        <f>AVM38+((AVM40+'NF - 5 Power Mix'!AVM14+'NF - 5 Power Mix'!AVM15)*860/10)+((('Form Sa1'!AVP835)*860)/10)+('Form Sa1'!AVP814*'Form Sa1'!AVP816/10)-'NF - 5 Power Mix'!AVM21-'NF - 5 Power Mix'!AVM22</f>
        <v>0</v>
      </c>
      <c r="AVN42" s="1046">
        <f>AVN38+((AVN40+'NF - 5 Power Mix'!AVN14+'NF - 5 Power Mix'!AVN15)*860/10)+((('Form Sa1'!AVQ835)*860)/10)+('Form Sa1'!AVQ814*'Form Sa1'!AVQ816/10)-'NF - 5 Power Mix'!AVN21-'NF - 5 Power Mix'!AVN22</f>
        <v>0</v>
      </c>
      <c r="AVO42" s="1046">
        <f>AVO38+((AVO40+'NF - 5 Power Mix'!AVO14+'NF - 5 Power Mix'!AVO15)*860/10)+((('Form Sa1'!AVR835)*860)/10)+('Form Sa1'!AVR814*'Form Sa1'!AVR816/10)-'NF - 5 Power Mix'!AVO21-'NF - 5 Power Mix'!AVO22</f>
        <v>0</v>
      </c>
      <c r="AVP42" s="1046">
        <f>AVP38+((AVP40+'NF - 5 Power Mix'!AVP14+'NF - 5 Power Mix'!AVP15)*860/10)+((('Form Sa1'!AVS835)*860)/10)+('Form Sa1'!AVS814*'Form Sa1'!AVS816/10)-'NF - 5 Power Mix'!AVP21-'NF - 5 Power Mix'!AVP22</f>
        <v>0</v>
      </c>
      <c r="AVQ42" s="1046">
        <f>AVQ38+((AVQ40+'NF - 5 Power Mix'!AVQ14+'NF - 5 Power Mix'!AVQ15)*860/10)+((('Form Sa1'!AVT835)*860)/10)+('Form Sa1'!AVT814*'Form Sa1'!AVT816/10)-'NF - 5 Power Mix'!AVQ21-'NF - 5 Power Mix'!AVQ22</f>
        <v>0</v>
      </c>
      <c r="AVR42" s="1046">
        <f>AVR38+((AVR40+'NF - 5 Power Mix'!AVR14+'NF - 5 Power Mix'!AVR15)*860/10)+((('Form Sa1'!AVU835)*860)/10)+('Form Sa1'!AVU814*'Form Sa1'!AVU816/10)-'NF - 5 Power Mix'!AVR21-'NF - 5 Power Mix'!AVR22</f>
        <v>0</v>
      </c>
      <c r="AVS42" s="1046">
        <f>AVS38+((AVS40+'NF - 5 Power Mix'!AVS14+'NF - 5 Power Mix'!AVS15)*860/10)+((('Form Sa1'!AVV835)*860)/10)+('Form Sa1'!AVV814*'Form Sa1'!AVV816/10)-'NF - 5 Power Mix'!AVS21-'NF - 5 Power Mix'!AVS22</f>
        <v>0</v>
      </c>
      <c r="AVT42" s="1046">
        <f>AVT38+((AVT40+'NF - 5 Power Mix'!AVT14+'NF - 5 Power Mix'!AVT15)*860/10)+((('Form Sa1'!AVW835)*860)/10)+('Form Sa1'!AVW814*'Form Sa1'!AVW816/10)-'NF - 5 Power Mix'!AVT21-'NF - 5 Power Mix'!AVT22</f>
        <v>0</v>
      </c>
      <c r="AVU42" s="1046">
        <f>AVU38+((AVU40+'NF - 5 Power Mix'!AVU14+'NF - 5 Power Mix'!AVU15)*860/10)+((('Form Sa1'!AVX835)*860)/10)+('Form Sa1'!AVX814*'Form Sa1'!AVX816/10)-'NF - 5 Power Mix'!AVU21-'NF - 5 Power Mix'!AVU22</f>
        <v>0</v>
      </c>
      <c r="AVV42" s="1046">
        <f>AVV38+((AVV40+'NF - 5 Power Mix'!AVV14+'NF - 5 Power Mix'!AVV15)*860/10)+((('Form Sa1'!AVY835)*860)/10)+('Form Sa1'!AVY814*'Form Sa1'!AVY816/10)-'NF - 5 Power Mix'!AVV21-'NF - 5 Power Mix'!AVV22</f>
        <v>0</v>
      </c>
      <c r="AVW42" s="1046">
        <f>AVW38+((AVW40+'NF - 5 Power Mix'!AVW14+'NF - 5 Power Mix'!AVW15)*860/10)+((('Form Sa1'!AVZ835)*860)/10)+('Form Sa1'!AVZ814*'Form Sa1'!AVZ816/10)-'NF - 5 Power Mix'!AVW21-'NF - 5 Power Mix'!AVW22</f>
        <v>0</v>
      </c>
      <c r="AVX42" s="1046">
        <f>AVX38+((AVX40+'NF - 5 Power Mix'!AVX14+'NF - 5 Power Mix'!AVX15)*860/10)+((('Form Sa1'!AWA835)*860)/10)+('Form Sa1'!AWA814*'Form Sa1'!AWA816/10)-'NF - 5 Power Mix'!AVX21-'NF - 5 Power Mix'!AVX22</f>
        <v>0</v>
      </c>
      <c r="AVY42" s="1046">
        <f>AVY38+((AVY40+'NF - 5 Power Mix'!AVY14+'NF - 5 Power Mix'!AVY15)*860/10)+((('Form Sa1'!AWB835)*860)/10)+('Form Sa1'!AWB814*'Form Sa1'!AWB816/10)-'NF - 5 Power Mix'!AVY21-'NF - 5 Power Mix'!AVY22</f>
        <v>0</v>
      </c>
      <c r="AVZ42" s="1046">
        <f>AVZ38+((AVZ40+'NF - 5 Power Mix'!AVZ14+'NF - 5 Power Mix'!AVZ15)*860/10)+((('Form Sa1'!AWC835)*860)/10)+('Form Sa1'!AWC814*'Form Sa1'!AWC816/10)-'NF - 5 Power Mix'!AVZ21-'NF - 5 Power Mix'!AVZ22</f>
        <v>0</v>
      </c>
      <c r="AWA42" s="1046">
        <f>AWA38+((AWA40+'NF - 5 Power Mix'!AWA14+'NF - 5 Power Mix'!AWA15)*860/10)+((('Form Sa1'!AWD835)*860)/10)+('Form Sa1'!AWD814*'Form Sa1'!AWD816/10)-'NF - 5 Power Mix'!AWA21-'NF - 5 Power Mix'!AWA22</f>
        <v>0</v>
      </c>
      <c r="AWB42" s="1046">
        <f>AWB38+((AWB40+'NF - 5 Power Mix'!AWB14+'NF - 5 Power Mix'!AWB15)*860/10)+((('Form Sa1'!AWE835)*860)/10)+('Form Sa1'!AWE814*'Form Sa1'!AWE816/10)-'NF - 5 Power Mix'!AWB21-'NF - 5 Power Mix'!AWB22</f>
        <v>0</v>
      </c>
      <c r="AWC42" s="1046">
        <f>AWC38+((AWC40+'NF - 5 Power Mix'!AWC14+'NF - 5 Power Mix'!AWC15)*860/10)+((('Form Sa1'!AWF835)*860)/10)+('Form Sa1'!AWF814*'Form Sa1'!AWF816/10)-'NF - 5 Power Mix'!AWC21-'NF - 5 Power Mix'!AWC22</f>
        <v>0</v>
      </c>
      <c r="AWD42" s="1046">
        <f>AWD38+((AWD40+'NF - 5 Power Mix'!AWD14+'NF - 5 Power Mix'!AWD15)*860/10)+((('Form Sa1'!AWG835)*860)/10)+('Form Sa1'!AWG814*'Form Sa1'!AWG816/10)-'NF - 5 Power Mix'!AWD21-'NF - 5 Power Mix'!AWD22</f>
        <v>0</v>
      </c>
      <c r="AWE42" s="1046">
        <f>AWE38+((AWE40+'NF - 5 Power Mix'!AWE14+'NF - 5 Power Mix'!AWE15)*860/10)+((('Form Sa1'!AWH835)*860)/10)+('Form Sa1'!AWH814*'Form Sa1'!AWH816/10)-'NF - 5 Power Mix'!AWE21-'NF - 5 Power Mix'!AWE22</f>
        <v>0</v>
      </c>
      <c r="AWF42" s="1046">
        <f>AWF38+((AWF40+'NF - 5 Power Mix'!AWF14+'NF - 5 Power Mix'!AWF15)*860/10)+((('Form Sa1'!AWI835)*860)/10)+('Form Sa1'!AWI814*'Form Sa1'!AWI816/10)-'NF - 5 Power Mix'!AWF21-'NF - 5 Power Mix'!AWF22</f>
        <v>0</v>
      </c>
      <c r="AWG42" s="1046">
        <f>AWG38+((AWG40+'NF - 5 Power Mix'!AWG14+'NF - 5 Power Mix'!AWG15)*860/10)+((('Form Sa1'!AWJ835)*860)/10)+('Form Sa1'!AWJ814*'Form Sa1'!AWJ816/10)-'NF - 5 Power Mix'!AWG21-'NF - 5 Power Mix'!AWG22</f>
        <v>0</v>
      </c>
      <c r="AWH42" s="1046">
        <f>AWH38+((AWH40+'NF - 5 Power Mix'!AWH14+'NF - 5 Power Mix'!AWH15)*860/10)+((('Form Sa1'!AWK835)*860)/10)+('Form Sa1'!AWK814*'Form Sa1'!AWK816/10)-'NF - 5 Power Mix'!AWH21-'NF - 5 Power Mix'!AWH22</f>
        <v>0</v>
      </c>
      <c r="AWI42" s="1046">
        <f>AWI38+((AWI40+'NF - 5 Power Mix'!AWI14+'NF - 5 Power Mix'!AWI15)*860/10)+((('Form Sa1'!AWL835)*860)/10)+('Form Sa1'!AWL814*'Form Sa1'!AWL816/10)-'NF - 5 Power Mix'!AWI21-'NF - 5 Power Mix'!AWI22</f>
        <v>0</v>
      </c>
      <c r="AWJ42" s="1046">
        <f>AWJ38+((AWJ40+'NF - 5 Power Mix'!AWJ14+'NF - 5 Power Mix'!AWJ15)*860/10)+((('Form Sa1'!AWM835)*860)/10)+('Form Sa1'!AWM814*'Form Sa1'!AWM816/10)-'NF - 5 Power Mix'!AWJ21-'NF - 5 Power Mix'!AWJ22</f>
        <v>0</v>
      </c>
      <c r="AWK42" s="1046">
        <f>AWK38+((AWK40+'NF - 5 Power Mix'!AWK14+'NF - 5 Power Mix'!AWK15)*860/10)+((('Form Sa1'!AWN835)*860)/10)+('Form Sa1'!AWN814*'Form Sa1'!AWN816/10)-'NF - 5 Power Mix'!AWK21-'NF - 5 Power Mix'!AWK22</f>
        <v>0</v>
      </c>
      <c r="AWL42" s="1046">
        <f>AWL38+((AWL40+'NF - 5 Power Mix'!AWL14+'NF - 5 Power Mix'!AWL15)*860/10)+((('Form Sa1'!AWO835)*860)/10)+('Form Sa1'!AWO814*'Form Sa1'!AWO816/10)-'NF - 5 Power Mix'!AWL21-'NF - 5 Power Mix'!AWL22</f>
        <v>0</v>
      </c>
      <c r="AWM42" s="1046">
        <f>AWM38+((AWM40+'NF - 5 Power Mix'!AWM14+'NF - 5 Power Mix'!AWM15)*860/10)+((('Form Sa1'!AWP835)*860)/10)+('Form Sa1'!AWP814*'Form Sa1'!AWP816/10)-'NF - 5 Power Mix'!AWM21-'NF - 5 Power Mix'!AWM22</f>
        <v>0</v>
      </c>
      <c r="AWN42" s="1046">
        <f>AWN38+((AWN40+'NF - 5 Power Mix'!AWN14+'NF - 5 Power Mix'!AWN15)*860/10)+((('Form Sa1'!AWQ835)*860)/10)+('Form Sa1'!AWQ814*'Form Sa1'!AWQ816/10)-'NF - 5 Power Mix'!AWN21-'NF - 5 Power Mix'!AWN22</f>
        <v>0</v>
      </c>
      <c r="AWO42" s="1046">
        <f>AWO38+((AWO40+'NF - 5 Power Mix'!AWO14+'NF - 5 Power Mix'!AWO15)*860/10)+((('Form Sa1'!AWR835)*860)/10)+('Form Sa1'!AWR814*'Form Sa1'!AWR816/10)-'NF - 5 Power Mix'!AWO21-'NF - 5 Power Mix'!AWO22</f>
        <v>0</v>
      </c>
      <c r="AWP42" s="1046">
        <f>AWP38+((AWP40+'NF - 5 Power Mix'!AWP14+'NF - 5 Power Mix'!AWP15)*860/10)+((('Form Sa1'!AWS835)*860)/10)+('Form Sa1'!AWS814*'Form Sa1'!AWS816/10)-'NF - 5 Power Mix'!AWP21-'NF - 5 Power Mix'!AWP22</f>
        <v>0</v>
      </c>
      <c r="AWQ42" s="1046">
        <f>AWQ38+((AWQ40+'NF - 5 Power Mix'!AWQ14+'NF - 5 Power Mix'!AWQ15)*860/10)+((('Form Sa1'!AWT835)*860)/10)+('Form Sa1'!AWT814*'Form Sa1'!AWT816/10)-'NF - 5 Power Mix'!AWQ21-'NF - 5 Power Mix'!AWQ22</f>
        <v>0</v>
      </c>
      <c r="AWR42" s="1046">
        <f>AWR38+((AWR40+'NF - 5 Power Mix'!AWR14+'NF - 5 Power Mix'!AWR15)*860/10)+((('Form Sa1'!AWU835)*860)/10)+('Form Sa1'!AWU814*'Form Sa1'!AWU816/10)-'NF - 5 Power Mix'!AWR21-'NF - 5 Power Mix'!AWR22</f>
        <v>0</v>
      </c>
      <c r="AWS42" s="1046">
        <f>AWS38+((AWS40+'NF - 5 Power Mix'!AWS14+'NF - 5 Power Mix'!AWS15)*860/10)+((('Form Sa1'!AWV835)*860)/10)+('Form Sa1'!AWV814*'Form Sa1'!AWV816/10)-'NF - 5 Power Mix'!AWS21-'NF - 5 Power Mix'!AWS22</f>
        <v>0</v>
      </c>
      <c r="AWT42" s="1046">
        <f>AWT38+((AWT40+'NF - 5 Power Mix'!AWT14+'NF - 5 Power Mix'!AWT15)*860/10)+((('Form Sa1'!AWW835)*860)/10)+('Form Sa1'!AWW814*'Form Sa1'!AWW816/10)-'NF - 5 Power Mix'!AWT21-'NF - 5 Power Mix'!AWT22</f>
        <v>0</v>
      </c>
      <c r="AWU42" s="1046">
        <f>AWU38+((AWU40+'NF - 5 Power Mix'!AWU14+'NF - 5 Power Mix'!AWU15)*860/10)+((('Form Sa1'!AWX835)*860)/10)+('Form Sa1'!AWX814*'Form Sa1'!AWX816/10)-'NF - 5 Power Mix'!AWU21-'NF - 5 Power Mix'!AWU22</f>
        <v>0</v>
      </c>
      <c r="AWV42" s="1046">
        <f>AWV38+((AWV40+'NF - 5 Power Mix'!AWV14+'NF - 5 Power Mix'!AWV15)*860/10)+((('Form Sa1'!AWY835)*860)/10)+('Form Sa1'!AWY814*'Form Sa1'!AWY816/10)-'NF - 5 Power Mix'!AWV21-'NF - 5 Power Mix'!AWV22</f>
        <v>0</v>
      </c>
      <c r="AWW42" s="1046">
        <f>AWW38+((AWW40+'NF - 5 Power Mix'!AWW14+'NF - 5 Power Mix'!AWW15)*860/10)+((('Form Sa1'!AWZ835)*860)/10)+('Form Sa1'!AWZ814*'Form Sa1'!AWZ816/10)-'NF - 5 Power Mix'!AWW21-'NF - 5 Power Mix'!AWW22</f>
        <v>0</v>
      </c>
      <c r="AWX42" s="1046">
        <f>AWX38+((AWX40+'NF - 5 Power Mix'!AWX14+'NF - 5 Power Mix'!AWX15)*860/10)+((('Form Sa1'!AXA835)*860)/10)+('Form Sa1'!AXA814*'Form Sa1'!AXA816/10)-'NF - 5 Power Mix'!AWX21-'NF - 5 Power Mix'!AWX22</f>
        <v>0</v>
      </c>
      <c r="AWY42" s="1046">
        <f>AWY38+((AWY40+'NF - 5 Power Mix'!AWY14+'NF - 5 Power Mix'!AWY15)*860/10)+((('Form Sa1'!AXB835)*860)/10)+('Form Sa1'!AXB814*'Form Sa1'!AXB816/10)-'NF - 5 Power Mix'!AWY21-'NF - 5 Power Mix'!AWY22</f>
        <v>0</v>
      </c>
      <c r="AWZ42" s="1046">
        <f>AWZ38+((AWZ40+'NF - 5 Power Mix'!AWZ14+'NF - 5 Power Mix'!AWZ15)*860/10)+((('Form Sa1'!AXC835)*860)/10)+('Form Sa1'!AXC814*'Form Sa1'!AXC816/10)-'NF - 5 Power Mix'!AWZ21-'NF - 5 Power Mix'!AWZ22</f>
        <v>0</v>
      </c>
      <c r="AXA42" s="1046">
        <f>AXA38+((AXA40+'NF - 5 Power Mix'!AXA14+'NF - 5 Power Mix'!AXA15)*860/10)+((('Form Sa1'!AXD835)*860)/10)+('Form Sa1'!AXD814*'Form Sa1'!AXD816/10)-'NF - 5 Power Mix'!AXA21-'NF - 5 Power Mix'!AXA22</f>
        <v>0</v>
      </c>
      <c r="AXB42" s="1046">
        <f>AXB38+((AXB40+'NF - 5 Power Mix'!AXB14+'NF - 5 Power Mix'!AXB15)*860/10)+((('Form Sa1'!AXE835)*860)/10)+('Form Sa1'!AXE814*'Form Sa1'!AXE816/10)-'NF - 5 Power Mix'!AXB21-'NF - 5 Power Mix'!AXB22</f>
        <v>0</v>
      </c>
      <c r="AXC42" s="1046">
        <f>AXC38+((AXC40+'NF - 5 Power Mix'!AXC14+'NF - 5 Power Mix'!AXC15)*860/10)+((('Form Sa1'!AXF835)*860)/10)+('Form Sa1'!AXF814*'Form Sa1'!AXF816/10)-'NF - 5 Power Mix'!AXC21-'NF - 5 Power Mix'!AXC22</f>
        <v>0</v>
      </c>
      <c r="AXD42" s="1046">
        <f>AXD38+((AXD40+'NF - 5 Power Mix'!AXD14+'NF - 5 Power Mix'!AXD15)*860/10)+((('Form Sa1'!AXG835)*860)/10)+('Form Sa1'!AXG814*'Form Sa1'!AXG816/10)-'NF - 5 Power Mix'!AXD21-'NF - 5 Power Mix'!AXD22</f>
        <v>0</v>
      </c>
      <c r="AXE42" s="1046">
        <f>AXE38+((AXE40+'NF - 5 Power Mix'!AXE14+'NF - 5 Power Mix'!AXE15)*860/10)+((('Form Sa1'!AXH835)*860)/10)+('Form Sa1'!AXH814*'Form Sa1'!AXH816/10)-'NF - 5 Power Mix'!AXE21-'NF - 5 Power Mix'!AXE22</f>
        <v>0</v>
      </c>
      <c r="AXF42" s="1046">
        <f>AXF38+((AXF40+'NF - 5 Power Mix'!AXF14+'NF - 5 Power Mix'!AXF15)*860/10)+((('Form Sa1'!AXI835)*860)/10)+('Form Sa1'!AXI814*'Form Sa1'!AXI816/10)-'NF - 5 Power Mix'!AXF21-'NF - 5 Power Mix'!AXF22</f>
        <v>0</v>
      </c>
      <c r="AXG42" s="1046">
        <f>AXG38+((AXG40+'NF - 5 Power Mix'!AXG14+'NF - 5 Power Mix'!AXG15)*860/10)+((('Form Sa1'!AXJ835)*860)/10)+('Form Sa1'!AXJ814*'Form Sa1'!AXJ816/10)-'NF - 5 Power Mix'!AXG21-'NF - 5 Power Mix'!AXG22</f>
        <v>0</v>
      </c>
      <c r="AXH42" s="1046">
        <f>AXH38+((AXH40+'NF - 5 Power Mix'!AXH14+'NF - 5 Power Mix'!AXH15)*860/10)+((('Form Sa1'!AXK835)*860)/10)+('Form Sa1'!AXK814*'Form Sa1'!AXK816/10)-'NF - 5 Power Mix'!AXH21-'NF - 5 Power Mix'!AXH22</f>
        <v>0</v>
      </c>
      <c r="AXI42" s="1046">
        <f>AXI38+((AXI40+'NF - 5 Power Mix'!AXI14+'NF - 5 Power Mix'!AXI15)*860/10)+((('Form Sa1'!AXL835)*860)/10)+('Form Sa1'!AXL814*'Form Sa1'!AXL816/10)-'NF - 5 Power Mix'!AXI21-'NF - 5 Power Mix'!AXI22</f>
        <v>0</v>
      </c>
      <c r="AXJ42" s="1046">
        <f>AXJ38+((AXJ40+'NF - 5 Power Mix'!AXJ14+'NF - 5 Power Mix'!AXJ15)*860/10)+((('Form Sa1'!AXM835)*860)/10)+('Form Sa1'!AXM814*'Form Sa1'!AXM816/10)-'NF - 5 Power Mix'!AXJ21-'NF - 5 Power Mix'!AXJ22</f>
        <v>0</v>
      </c>
      <c r="AXK42" s="1046">
        <f>AXK38+((AXK40+'NF - 5 Power Mix'!AXK14+'NF - 5 Power Mix'!AXK15)*860/10)+((('Form Sa1'!AXN835)*860)/10)+('Form Sa1'!AXN814*'Form Sa1'!AXN816/10)-'NF - 5 Power Mix'!AXK21-'NF - 5 Power Mix'!AXK22</f>
        <v>0</v>
      </c>
      <c r="AXL42" s="1046">
        <f>AXL38+((AXL40+'NF - 5 Power Mix'!AXL14+'NF - 5 Power Mix'!AXL15)*860/10)+((('Form Sa1'!AXO835)*860)/10)+('Form Sa1'!AXO814*'Form Sa1'!AXO816/10)-'NF - 5 Power Mix'!AXL21-'NF - 5 Power Mix'!AXL22</f>
        <v>0</v>
      </c>
      <c r="AXM42" s="1046">
        <f>AXM38+((AXM40+'NF - 5 Power Mix'!AXM14+'NF - 5 Power Mix'!AXM15)*860/10)+((('Form Sa1'!AXP835)*860)/10)+('Form Sa1'!AXP814*'Form Sa1'!AXP816/10)-'NF - 5 Power Mix'!AXM21-'NF - 5 Power Mix'!AXM22</f>
        <v>0</v>
      </c>
      <c r="AXN42" s="1046">
        <f>AXN38+((AXN40+'NF - 5 Power Mix'!AXN14+'NF - 5 Power Mix'!AXN15)*860/10)+((('Form Sa1'!AXQ835)*860)/10)+('Form Sa1'!AXQ814*'Form Sa1'!AXQ816/10)-'NF - 5 Power Mix'!AXN21-'NF - 5 Power Mix'!AXN22</f>
        <v>0</v>
      </c>
      <c r="AXO42" s="1046">
        <f>AXO38+((AXO40+'NF - 5 Power Mix'!AXO14+'NF - 5 Power Mix'!AXO15)*860/10)+((('Form Sa1'!AXR835)*860)/10)+('Form Sa1'!AXR814*'Form Sa1'!AXR816/10)-'NF - 5 Power Mix'!AXO21-'NF - 5 Power Mix'!AXO22</f>
        <v>0</v>
      </c>
      <c r="AXP42" s="1046">
        <f>AXP38+((AXP40+'NF - 5 Power Mix'!AXP14+'NF - 5 Power Mix'!AXP15)*860/10)+((('Form Sa1'!AXS835)*860)/10)+('Form Sa1'!AXS814*'Form Sa1'!AXS816/10)-'NF - 5 Power Mix'!AXP21-'NF - 5 Power Mix'!AXP22</f>
        <v>0</v>
      </c>
      <c r="AXQ42" s="1046">
        <f>AXQ38+((AXQ40+'NF - 5 Power Mix'!AXQ14+'NF - 5 Power Mix'!AXQ15)*860/10)+((('Form Sa1'!AXT835)*860)/10)+('Form Sa1'!AXT814*'Form Sa1'!AXT816/10)-'NF - 5 Power Mix'!AXQ21-'NF - 5 Power Mix'!AXQ22</f>
        <v>0</v>
      </c>
      <c r="AXR42" s="1046">
        <f>AXR38+((AXR40+'NF - 5 Power Mix'!AXR14+'NF - 5 Power Mix'!AXR15)*860/10)+((('Form Sa1'!AXU835)*860)/10)+('Form Sa1'!AXU814*'Form Sa1'!AXU816/10)-'NF - 5 Power Mix'!AXR21-'NF - 5 Power Mix'!AXR22</f>
        <v>0</v>
      </c>
      <c r="AXS42" s="1046">
        <f>AXS38+((AXS40+'NF - 5 Power Mix'!AXS14+'NF - 5 Power Mix'!AXS15)*860/10)+((('Form Sa1'!AXV835)*860)/10)+('Form Sa1'!AXV814*'Form Sa1'!AXV816/10)-'NF - 5 Power Mix'!AXS21-'NF - 5 Power Mix'!AXS22</f>
        <v>0</v>
      </c>
      <c r="AXT42" s="1046">
        <f>AXT38+((AXT40+'NF - 5 Power Mix'!AXT14+'NF - 5 Power Mix'!AXT15)*860/10)+((('Form Sa1'!AXW835)*860)/10)+('Form Sa1'!AXW814*'Form Sa1'!AXW816/10)-'NF - 5 Power Mix'!AXT21-'NF - 5 Power Mix'!AXT22</f>
        <v>0</v>
      </c>
      <c r="AXU42" s="1046">
        <f>AXU38+((AXU40+'NF - 5 Power Mix'!AXU14+'NF - 5 Power Mix'!AXU15)*860/10)+((('Form Sa1'!AXX835)*860)/10)+('Form Sa1'!AXX814*'Form Sa1'!AXX816/10)-'NF - 5 Power Mix'!AXU21-'NF - 5 Power Mix'!AXU22</f>
        <v>0</v>
      </c>
      <c r="AXV42" s="1046">
        <f>AXV38+((AXV40+'NF - 5 Power Mix'!AXV14+'NF - 5 Power Mix'!AXV15)*860/10)+((('Form Sa1'!AXY835)*860)/10)+('Form Sa1'!AXY814*'Form Sa1'!AXY816/10)-'NF - 5 Power Mix'!AXV21-'NF - 5 Power Mix'!AXV22</f>
        <v>0</v>
      </c>
      <c r="AXW42" s="1046">
        <f>AXW38+((AXW40+'NF - 5 Power Mix'!AXW14+'NF - 5 Power Mix'!AXW15)*860/10)+((('Form Sa1'!AXZ835)*860)/10)+('Form Sa1'!AXZ814*'Form Sa1'!AXZ816/10)-'NF - 5 Power Mix'!AXW21-'NF - 5 Power Mix'!AXW22</f>
        <v>0</v>
      </c>
      <c r="AXX42" s="1046">
        <f>AXX38+((AXX40+'NF - 5 Power Mix'!AXX14+'NF - 5 Power Mix'!AXX15)*860/10)+((('Form Sa1'!AYA835)*860)/10)+('Form Sa1'!AYA814*'Form Sa1'!AYA816/10)-'NF - 5 Power Mix'!AXX21-'NF - 5 Power Mix'!AXX22</f>
        <v>0</v>
      </c>
      <c r="AXY42" s="1046">
        <f>AXY38+((AXY40+'NF - 5 Power Mix'!AXY14+'NF - 5 Power Mix'!AXY15)*860/10)+((('Form Sa1'!AYB835)*860)/10)+('Form Sa1'!AYB814*'Form Sa1'!AYB816/10)-'NF - 5 Power Mix'!AXY21-'NF - 5 Power Mix'!AXY22</f>
        <v>0</v>
      </c>
      <c r="AXZ42" s="1046">
        <f>AXZ38+((AXZ40+'NF - 5 Power Mix'!AXZ14+'NF - 5 Power Mix'!AXZ15)*860/10)+((('Form Sa1'!AYC835)*860)/10)+('Form Sa1'!AYC814*'Form Sa1'!AYC816/10)-'NF - 5 Power Mix'!AXZ21-'NF - 5 Power Mix'!AXZ22</f>
        <v>0</v>
      </c>
      <c r="AYA42" s="1046">
        <f>AYA38+((AYA40+'NF - 5 Power Mix'!AYA14+'NF - 5 Power Mix'!AYA15)*860/10)+((('Form Sa1'!AYD835)*860)/10)+('Form Sa1'!AYD814*'Form Sa1'!AYD816/10)-'NF - 5 Power Mix'!AYA21-'NF - 5 Power Mix'!AYA22</f>
        <v>0</v>
      </c>
      <c r="AYB42" s="1046">
        <f>AYB38+((AYB40+'NF - 5 Power Mix'!AYB14+'NF - 5 Power Mix'!AYB15)*860/10)+((('Form Sa1'!AYE835)*860)/10)+('Form Sa1'!AYE814*'Form Sa1'!AYE816/10)-'NF - 5 Power Mix'!AYB21-'NF - 5 Power Mix'!AYB22</f>
        <v>0</v>
      </c>
      <c r="AYC42" s="1046">
        <f>AYC38+((AYC40+'NF - 5 Power Mix'!AYC14+'NF - 5 Power Mix'!AYC15)*860/10)+((('Form Sa1'!AYF835)*860)/10)+('Form Sa1'!AYF814*'Form Sa1'!AYF816/10)-'NF - 5 Power Mix'!AYC21-'NF - 5 Power Mix'!AYC22</f>
        <v>0</v>
      </c>
      <c r="AYD42" s="1046">
        <f>AYD38+((AYD40+'NF - 5 Power Mix'!AYD14+'NF - 5 Power Mix'!AYD15)*860/10)+((('Form Sa1'!AYG835)*860)/10)+('Form Sa1'!AYG814*'Form Sa1'!AYG816/10)-'NF - 5 Power Mix'!AYD21-'NF - 5 Power Mix'!AYD22</f>
        <v>0</v>
      </c>
      <c r="AYE42" s="1046">
        <f>AYE38+((AYE40+'NF - 5 Power Mix'!AYE14+'NF - 5 Power Mix'!AYE15)*860/10)+((('Form Sa1'!AYH835)*860)/10)+('Form Sa1'!AYH814*'Form Sa1'!AYH816/10)-'NF - 5 Power Mix'!AYE21-'NF - 5 Power Mix'!AYE22</f>
        <v>0</v>
      </c>
      <c r="AYF42" s="1046">
        <f>AYF38+((AYF40+'NF - 5 Power Mix'!AYF14+'NF - 5 Power Mix'!AYF15)*860/10)+((('Form Sa1'!AYI835)*860)/10)+('Form Sa1'!AYI814*'Form Sa1'!AYI816/10)-'NF - 5 Power Mix'!AYF21-'NF - 5 Power Mix'!AYF22</f>
        <v>0</v>
      </c>
      <c r="AYG42" s="1046">
        <f>AYG38+((AYG40+'NF - 5 Power Mix'!AYG14+'NF - 5 Power Mix'!AYG15)*860/10)+((('Form Sa1'!AYJ835)*860)/10)+('Form Sa1'!AYJ814*'Form Sa1'!AYJ816/10)-'NF - 5 Power Mix'!AYG21-'NF - 5 Power Mix'!AYG22</f>
        <v>0</v>
      </c>
      <c r="AYH42" s="1046">
        <f>AYH38+((AYH40+'NF - 5 Power Mix'!AYH14+'NF - 5 Power Mix'!AYH15)*860/10)+((('Form Sa1'!AYK835)*860)/10)+('Form Sa1'!AYK814*'Form Sa1'!AYK816/10)-'NF - 5 Power Mix'!AYH21-'NF - 5 Power Mix'!AYH22</f>
        <v>0</v>
      </c>
      <c r="AYI42" s="1046">
        <f>AYI38+((AYI40+'NF - 5 Power Mix'!AYI14+'NF - 5 Power Mix'!AYI15)*860/10)+((('Form Sa1'!AYL835)*860)/10)+('Form Sa1'!AYL814*'Form Sa1'!AYL816/10)-'NF - 5 Power Mix'!AYI21-'NF - 5 Power Mix'!AYI22</f>
        <v>0</v>
      </c>
      <c r="AYJ42" s="1046">
        <f>AYJ38+((AYJ40+'NF - 5 Power Mix'!AYJ14+'NF - 5 Power Mix'!AYJ15)*860/10)+((('Form Sa1'!AYM835)*860)/10)+('Form Sa1'!AYM814*'Form Sa1'!AYM816/10)-'NF - 5 Power Mix'!AYJ21-'NF - 5 Power Mix'!AYJ22</f>
        <v>0</v>
      </c>
      <c r="AYK42" s="1046">
        <f>AYK38+((AYK40+'NF - 5 Power Mix'!AYK14+'NF - 5 Power Mix'!AYK15)*860/10)+((('Form Sa1'!AYN835)*860)/10)+('Form Sa1'!AYN814*'Form Sa1'!AYN816/10)-'NF - 5 Power Mix'!AYK21-'NF - 5 Power Mix'!AYK22</f>
        <v>0</v>
      </c>
      <c r="AYL42" s="1046">
        <f>AYL38+((AYL40+'NF - 5 Power Mix'!AYL14+'NF - 5 Power Mix'!AYL15)*860/10)+((('Form Sa1'!AYO835)*860)/10)+('Form Sa1'!AYO814*'Form Sa1'!AYO816/10)-'NF - 5 Power Mix'!AYL21-'NF - 5 Power Mix'!AYL22</f>
        <v>0</v>
      </c>
      <c r="AYM42" s="1046">
        <f>AYM38+((AYM40+'NF - 5 Power Mix'!AYM14+'NF - 5 Power Mix'!AYM15)*860/10)+((('Form Sa1'!AYP835)*860)/10)+('Form Sa1'!AYP814*'Form Sa1'!AYP816/10)-'NF - 5 Power Mix'!AYM21-'NF - 5 Power Mix'!AYM22</f>
        <v>0</v>
      </c>
      <c r="AYN42" s="1046">
        <f>AYN38+((AYN40+'NF - 5 Power Mix'!AYN14+'NF - 5 Power Mix'!AYN15)*860/10)+((('Form Sa1'!AYQ835)*860)/10)+('Form Sa1'!AYQ814*'Form Sa1'!AYQ816/10)-'NF - 5 Power Mix'!AYN21-'NF - 5 Power Mix'!AYN22</f>
        <v>0</v>
      </c>
      <c r="AYO42" s="1046">
        <f>AYO38+((AYO40+'NF - 5 Power Mix'!AYO14+'NF - 5 Power Mix'!AYO15)*860/10)+((('Form Sa1'!AYR835)*860)/10)+('Form Sa1'!AYR814*'Form Sa1'!AYR816/10)-'NF - 5 Power Mix'!AYO21-'NF - 5 Power Mix'!AYO22</f>
        <v>0</v>
      </c>
      <c r="AYP42" s="1046">
        <f>AYP38+((AYP40+'NF - 5 Power Mix'!AYP14+'NF - 5 Power Mix'!AYP15)*860/10)+((('Form Sa1'!AYS835)*860)/10)+('Form Sa1'!AYS814*'Form Sa1'!AYS816/10)-'NF - 5 Power Mix'!AYP21-'NF - 5 Power Mix'!AYP22</f>
        <v>0</v>
      </c>
      <c r="AYQ42" s="1046">
        <f>AYQ38+((AYQ40+'NF - 5 Power Mix'!AYQ14+'NF - 5 Power Mix'!AYQ15)*860/10)+((('Form Sa1'!AYT835)*860)/10)+('Form Sa1'!AYT814*'Form Sa1'!AYT816/10)-'NF - 5 Power Mix'!AYQ21-'NF - 5 Power Mix'!AYQ22</f>
        <v>0</v>
      </c>
      <c r="AYR42" s="1046">
        <f>AYR38+((AYR40+'NF - 5 Power Mix'!AYR14+'NF - 5 Power Mix'!AYR15)*860/10)+((('Form Sa1'!AYU835)*860)/10)+('Form Sa1'!AYU814*'Form Sa1'!AYU816/10)-'NF - 5 Power Mix'!AYR21-'NF - 5 Power Mix'!AYR22</f>
        <v>0</v>
      </c>
      <c r="AYS42" s="1046">
        <f>AYS38+((AYS40+'NF - 5 Power Mix'!AYS14+'NF - 5 Power Mix'!AYS15)*860/10)+((('Form Sa1'!AYV835)*860)/10)+('Form Sa1'!AYV814*'Form Sa1'!AYV816/10)-'NF - 5 Power Mix'!AYS21-'NF - 5 Power Mix'!AYS22</f>
        <v>0</v>
      </c>
      <c r="AYT42" s="1046">
        <f>AYT38+((AYT40+'NF - 5 Power Mix'!AYT14+'NF - 5 Power Mix'!AYT15)*860/10)+((('Form Sa1'!AYW835)*860)/10)+('Form Sa1'!AYW814*'Form Sa1'!AYW816/10)-'NF - 5 Power Mix'!AYT21-'NF - 5 Power Mix'!AYT22</f>
        <v>0</v>
      </c>
      <c r="AYU42" s="1046">
        <f>AYU38+((AYU40+'NF - 5 Power Mix'!AYU14+'NF - 5 Power Mix'!AYU15)*860/10)+((('Form Sa1'!AYX835)*860)/10)+('Form Sa1'!AYX814*'Form Sa1'!AYX816/10)-'NF - 5 Power Mix'!AYU21-'NF - 5 Power Mix'!AYU22</f>
        <v>0</v>
      </c>
      <c r="AYV42" s="1046">
        <f>AYV38+((AYV40+'NF - 5 Power Mix'!AYV14+'NF - 5 Power Mix'!AYV15)*860/10)+((('Form Sa1'!AYY835)*860)/10)+('Form Sa1'!AYY814*'Form Sa1'!AYY816/10)-'NF - 5 Power Mix'!AYV21-'NF - 5 Power Mix'!AYV22</f>
        <v>0</v>
      </c>
      <c r="AYW42" s="1046">
        <f>AYW38+((AYW40+'NF - 5 Power Mix'!AYW14+'NF - 5 Power Mix'!AYW15)*860/10)+((('Form Sa1'!AYZ835)*860)/10)+('Form Sa1'!AYZ814*'Form Sa1'!AYZ816/10)-'NF - 5 Power Mix'!AYW21-'NF - 5 Power Mix'!AYW22</f>
        <v>0</v>
      </c>
      <c r="AYX42" s="1046">
        <f>AYX38+((AYX40+'NF - 5 Power Mix'!AYX14+'NF - 5 Power Mix'!AYX15)*860/10)+((('Form Sa1'!AZA835)*860)/10)+('Form Sa1'!AZA814*'Form Sa1'!AZA816/10)-'NF - 5 Power Mix'!AYX21-'NF - 5 Power Mix'!AYX22</f>
        <v>0</v>
      </c>
      <c r="AYY42" s="1046">
        <f>AYY38+((AYY40+'NF - 5 Power Mix'!AYY14+'NF - 5 Power Mix'!AYY15)*860/10)+((('Form Sa1'!AZB835)*860)/10)+('Form Sa1'!AZB814*'Form Sa1'!AZB816/10)-'NF - 5 Power Mix'!AYY21-'NF - 5 Power Mix'!AYY22</f>
        <v>0</v>
      </c>
      <c r="AYZ42" s="1046">
        <f>AYZ38+((AYZ40+'NF - 5 Power Mix'!AYZ14+'NF - 5 Power Mix'!AYZ15)*860/10)+((('Form Sa1'!AZC835)*860)/10)+('Form Sa1'!AZC814*'Form Sa1'!AZC816/10)-'NF - 5 Power Mix'!AYZ21-'NF - 5 Power Mix'!AYZ22</f>
        <v>0</v>
      </c>
      <c r="AZA42" s="1046">
        <f>AZA38+((AZA40+'NF - 5 Power Mix'!AZA14+'NF - 5 Power Mix'!AZA15)*860/10)+((('Form Sa1'!AZD835)*860)/10)+('Form Sa1'!AZD814*'Form Sa1'!AZD816/10)-'NF - 5 Power Mix'!AZA21-'NF - 5 Power Mix'!AZA22</f>
        <v>0</v>
      </c>
      <c r="AZB42" s="1046">
        <f>AZB38+((AZB40+'NF - 5 Power Mix'!AZB14+'NF - 5 Power Mix'!AZB15)*860/10)+((('Form Sa1'!AZE835)*860)/10)+('Form Sa1'!AZE814*'Form Sa1'!AZE816/10)-'NF - 5 Power Mix'!AZB21-'NF - 5 Power Mix'!AZB22</f>
        <v>0</v>
      </c>
      <c r="AZC42" s="1046">
        <f>AZC38+((AZC40+'NF - 5 Power Mix'!AZC14+'NF - 5 Power Mix'!AZC15)*860/10)+((('Form Sa1'!AZF835)*860)/10)+('Form Sa1'!AZF814*'Form Sa1'!AZF816/10)-'NF - 5 Power Mix'!AZC21-'NF - 5 Power Mix'!AZC22</f>
        <v>0</v>
      </c>
      <c r="AZD42" s="1046">
        <f>AZD38+((AZD40+'NF - 5 Power Mix'!AZD14+'NF - 5 Power Mix'!AZD15)*860/10)+((('Form Sa1'!AZG835)*860)/10)+('Form Sa1'!AZG814*'Form Sa1'!AZG816/10)-'NF - 5 Power Mix'!AZD21-'NF - 5 Power Mix'!AZD22</f>
        <v>0</v>
      </c>
      <c r="AZE42" s="1046">
        <f>AZE38+((AZE40+'NF - 5 Power Mix'!AZE14+'NF - 5 Power Mix'!AZE15)*860/10)+((('Form Sa1'!AZH835)*860)/10)+('Form Sa1'!AZH814*'Form Sa1'!AZH816/10)-'NF - 5 Power Mix'!AZE21-'NF - 5 Power Mix'!AZE22</f>
        <v>0</v>
      </c>
      <c r="AZF42" s="1046">
        <f>AZF38+((AZF40+'NF - 5 Power Mix'!AZF14+'NF - 5 Power Mix'!AZF15)*860/10)+((('Form Sa1'!AZI835)*860)/10)+('Form Sa1'!AZI814*'Form Sa1'!AZI816/10)-'NF - 5 Power Mix'!AZF21-'NF - 5 Power Mix'!AZF22</f>
        <v>0</v>
      </c>
      <c r="AZG42" s="1046">
        <f>AZG38+((AZG40+'NF - 5 Power Mix'!AZG14+'NF - 5 Power Mix'!AZG15)*860/10)+((('Form Sa1'!AZJ835)*860)/10)+('Form Sa1'!AZJ814*'Form Sa1'!AZJ816/10)-'NF - 5 Power Mix'!AZG21-'NF - 5 Power Mix'!AZG22</f>
        <v>0</v>
      </c>
      <c r="AZH42" s="1046">
        <f>AZH38+((AZH40+'NF - 5 Power Mix'!AZH14+'NF - 5 Power Mix'!AZH15)*860/10)+((('Form Sa1'!AZK835)*860)/10)+('Form Sa1'!AZK814*'Form Sa1'!AZK816/10)-'NF - 5 Power Mix'!AZH21-'NF - 5 Power Mix'!AZH22</f>
        <v>0</v>
      </c>
      <c r="AZI42" s="1046">
        <f>AZI38+((AZI40+'NF - 5 Power Mix'!AZI14+'NF - 5 Power Mix'!AZI15)*860/10)+((('Form Sa1'!AZL835)*860)/10)+('Form Sa1'!AZL814*'Form Sa1'!AZL816/10)-'NF - 5 Power Mix'!AZI21-'NF - 5 Power Mix'!AZI22</f>
        <v>0</v>
      </c>
      <c r="AZJ42" s="1046">
        <f>AZJ38+((AZJ40+'NF - 5 Power Mix'!AZJ14+'NF - 5 Power Mix'!AZJ15)*860/10)+((('Form Sa1'!AZM835)*860)/10)+('Form Sa1'!AZM814*'Form Sa1'!AZM816/10)-'NF - 5 Power Mix'!AZJ21-'NF - 5 Power Mix'!AZJ22</f>
        <v>0</v>
      </c>
      <c r="AZK42" s="1046">
        <f>AZK38+((AZK40+'NF - 5 Power Mix'!AZK14+'NF - 5 Power Mix'!AZK15)*860/10)+((('Form Sa1'!AZN835)*860)/10)+('Form Sa1'!AZN814*'Form Sa1'!AZN816/10)-'NF - 5 Power Mix'!AZK21-'NF - 5 Power Mix'!AZK22</f>
        <v>0</v>
      </c>
      <c r="AZL42" s="1046">
        <f>AZL38+((AZL40+'NF - 5 Power Mix'!AZL14+'NF - 5 Power Mix'!AZL15)*860/10)+((('Form Sa1'!AZO835)*860)/10)+('Form Sa1'!AZO814*'Form Sa1'!AZO816/10)-'NF - 5 Power Mix'!AZL21-'NF - 5 Power Mix'!AZL22</f>
        <v>0</v>
      </c>
      <c r="AZM42" s="1046">
        <f>AZM38+((AZM40+'NF - 5 Power Mix'!AZM14+'NF - 5 Power Mix'!AZM15)*860/10)+((('Form Sa1'!AZP835)*860)/10)+('Form Sa1'!AZP814*'Form Sa1'!AZP816/10)-'NF - 5 Power Mix'!AZM21-'NF - 5 Power Mix'!AZM22</f>
        <v>0</v>
      </c>
      <c r="AZN42" s="1046">
        <f>AZN38+((AZN40+'NF - 5 Power Mix'!AZN14+'NF - 5 Power Mix'!AZN15)*860/10)+((('Form Sa1'!AZQ835)*860)/10)+('Form Sa1'!AZQ814*'Form Sa1'!AZQ816/10)-'NF - 5 Power Mix'!AZN21-'NF - 5 Power Mix'!AZN22</f>
        <v>0</v>
      </c>
      <c r="AZO42" s="1046">
        <f>AZO38+((AZO40+'NF - 5 Power Mix'!AZO14+'NF - 5 Power Mix'!AZO15)*860/10)+((('Form Sa1'!AZR835)*860)/10)+('Form Sa1'!AZR814*'Form Sa1'!AZR816/10)-'NF - 5 Power Mix'!AZO21-'NF - 5 Power Mix'!AZO22</f>
        <v>0</v>
      </c>
      <c r="AZP42" s="1046">
        <f>AZP38+((AZP40+'NF - 5 Power Mix'!AZP14+'NF - 5 Power Mix'!AZP15)*860/10)+((('Form Sa1'!AZS835)*860)/10)+('Form Sa1'!AZS814*'Form Sa1'!AZS816/10)-'NF - 5 Power Mix'!AZP21-'NF - 5 Power Mix'!AZP22</f>
        <v>0</v>
      </c>
      <c r="AZQ42" s="1046">
        <f>AZQ38+((AZQ40+'NF - 5 Power Mix'!AZQ14+'NF - 5 Power Mix'!AZQ15)*860/10)+((('Form Sa1'!AZT835)*860)/10)+('Form Sa1'!AZT814*'Form Sa1'!AZT816/10)-'NF - 5 Power Mix'!AZQ21-'NF - 5 Power Mix'!AZQ22</f>
        <v>0</v>
      </c>
      <c r="AZR42" s="1046">
        <f>AZR38+((AZR40+'NF - 5 Power Mix'!AZR14+'NF - 5 Power Mix'!AZR15)*860/10)+((('Form Sa1'!AZU835)*860)/10)+('Form Sa1'!AZU814*'Form Sa1'!AZU816/10)-'NF - 5 Power Mix'!AZR21-'NF - 5 Power Mix'!AZR22</f>
        <v>0</v>
      </c>
      <c r="AZS42" s="1046">
        <f>AZS38+((AZS40+'NF - 5 Power Mix'!AZS14+'NF - 5 Power Mix'!AZS15)*860/10)+((('Form Sa1'!AZV835)*860)/10)+('Form Sa1'!AZV814*'Form Sa1'!AZV816/10)-'NF - 5 Power Mix'!AZS21-'NF - 5 Power Mix'!AZS22</f>
        <v>0</v>
      </c>
      <c r="AZT42" s="1046">
        <f>AZT38+((AZT40+'NF - 5 Power Mix'!AZT14+'NF - 5 Power Mix'!AZT15)*860/10)+((('Form Sa1'!AZW835)*860)/10)+('Form Sa1'!AZW814*'Form Sa1'!AZW816/10)-'NF - 5 Power Mix'!AZT21-'NF - 5 Power Mix'!AZT22</f>
        <v>0</v>
      </c>
      <c r="AZU42" s="1046">
        <f>AZU38+((AZU40+'NF - 5 Power Mix'!AZU14+'NF - 5 Power Mix'!AZU15)*860/10)+((('Form Sa1'!AZX835)*860)/10)+('Form Sa1'!AZX814*'Form Sa1'!AZX816/10)-'NF - 5 Power Mix'!AZU21-'NF - 5 Power Mix'!AZU22</f>
        <v>0</v>
      </c>
      <c r="AZV42" s="1046">
        <f>AZV38+((AZV40+'NF - 5 Power Mix'!AZV14+'NF - 5 Power Mix'!AZV15)*860/10)+((('Form Sa1'!AZY835)*860)/10)+('Form Sa1'!AZY814*'Form Sa1'!AZY816/10)-'NF - 5 Power Mix'!AZV21-'NF - 5 Power Mix'!AZV22</f>
        <v>0</v>
      </c>
      <c r="AZW42" s="1046">
        <f>AZW38+((AZW40+'NF - 5 Power Mix'!AZW14+'NF - 5 Power Mix'!AZW15)*860/10)+((('Form Sa1'!AZZ835)*860)/10)+('Form Sa1'!AZZ814*'Form Sa1'!AZZ816/10)-'NF - 5 Power Mix'!AZW21-'NF - 5 Power Mix'!AZW22</f>
        <v>0</v>
      </c>
      <c r="AZX42" s="1046">
        <f>AZX38+((AZX40+'NF - 5 Power Mix'!AZX14+'NF - 5 Power Mix'!AZX15)*860/10)+((('Form Sa1'!BAA835)*860)/10)+('Form Sa1'!BAA814*'Form Sa1'!BAA816/10)-'NF - 5 Power Mix'!AZX21-'NF - 5 Power Mix'!AZX22</f>
        <v>0</v>
      </c>
      <c r="AZY42" s="1046">
        <f>AZY38+((AZY40+'NF - 5 Power Mix'!AZY14+'NF - 5 Power Mix'!AZY15)*860/10)+((('Form Sa1'!BAB835)*860)/10)+('Form Sa1'!BAB814*'Form Sa1'!BAB816/10)-'NF - 5 Power Mix'!AZY21-'NF - 5 Power Mix'!AZY22</f>
        <v>0</v>
      </c>
      <c r="AZZ42" s="1046">
        <f>AZZ38+((AZZ40+'NF - 5 Power Mix'!AZZ14+'NF - 5 Power Mix'!AZZ15)*860/10)+((('Form Sa1'!BAC835)*860)/10)+('Form Sa1'!BAC814*'Form Sa1'!BAC816/10)-'NF - 5 Power Mix'!AZZ21-'NF - 5 Power Mix'!AZZ22</f>
        <v>0</v>
      </c>
      <c r="BAA42" s="1046">
        <f>BAA38+((BAA40+'NF - 5 Power Mix'!BAA14+'NF - 5 Power Mix'!BAA15)*860/10)+((('Form Sa1'!BAD835)*860)/10)+('Form Sa1'!BAD814*'Form Sa1'!BAD816/10)-'NF - 5 Power Mix'!BAA21-'NF - 5 Power Mix'!BAA22</f>
        <v>0</v>
      </c>
      <c r="BAB42" s="1046">
        <f>BAB38+((BAB40+'NF - 5 Power Mix'!BAB14+'NF - 5 Power Mix'!BAB15)*860/10)+((('Form Sa1'!BAE835)*860)/10)+('Form Sa1'!BAE814*'Form Sa1'!BAE816/10)-'NF - 5 Power Mix'!BAB21-'NF - 5 Power Mix'!BAB22</f>
        <v>0</v>
      </c>
      <c r="BAC42" s="1046">
        <f>BAC38+((BAC40+'NF - 5 Power Mix'!BAC14+'NF - 5 Power Mix'!BAC15)*860/10)+((('Form Sa1'!BAF835)*860)/10)+('Form Sa1'!BAF814*'Form Sa1'!BAF816/10)-'NF - 5 Power Mix'!BAC21-'NF - 5 Power Mix'!BAC22</f>
        <v>0</v>
      </c>
      <c r="BAD42" s="1046">
        <f>BAD38+((BAD40+'NF - 5 Power Mix'!BAD14+'NF - 5 Power Mix'!BAD15)*860/10)+((('Form Sa1'!BAG835)*860)/10)+('Form Sa1'!BAG814*'Form Sa1'!BAG816/10)-'NF - 5 Power Mix'!BAD21-'NF - 5 Power Mix'!BAD22</f>
        <v>0</v>
      </c>
      <c r="BAE42" s="1046">
        <f>BAE38+((BAE40+'NF - 5 Power Mix'!BAE14+'NF - 5 Power Mix'!BAE15)*860/10)+((('Form Sa1'!BAH835)*860)/10)+('Form Sa1'!BAH814*'Form Sa1'!BAH816/10)-'NF - 5 Power Mix'!BAE21-'NF - 5 Power Mix'!BAE22</f>
        <v>0</v>
      </c>
      <c r="BAF42" s="1046">
        <f>BAF38+((BAF40+'NF - 5 Power Mix'!BAF14+'NF - 5 Power Mix'!BAF15)*860/10)+((('Form Sa1'!BAI835)*860)/10)+('Form Sa1'!BAI814*'Form Sa1'!BAI816/10)-'NF - 5 Power Mix'!BAF21-'NF - 5 Power Mix'!BAF22</f>
        <v>0</v>
      </c>
      <c r="BAG42" s="1046">
        <f>BAG38+((BAG40+'NF - 5 Power Mix'!BAG14+'NF - 5 Power Mix'!BAG15)*860/10)+((('Form Sa1'!BAJ835)*860)/10)+('Form Sa1'!BAJ814*'Form Sa1'!BAJ816/10)-'NF - 5 Power Mix'!BAG21-'NF - 5 Power Mix'!BAG22</f>
        <v>0</v>
      </c>
      <c r="BAH42" s="1046">
        <f>BAH38+((BAH40+'NF - 5 Power Mix'!BAH14+'NF - 5 Power Mix'!BAH15)*860/10)+((('Form Sa1'!BAK835)*860)/10)+('Form Sa1'!BAK814*'Form Sa1'!BAK816/10)-'NF - 5 Power Mix'!BAH21-'NF - 5 Power Mix'!BAH22</f>
        <v>0</v>
      </c>
      <c r="BAI42" s="1046">
        <f>BAI38+((BAI40+'NF - 5 Power Mix'!BAI14+'NF - 5 Power Mix'!BAI15)*860/10)+((('Form Sa1'!BAL835)*860)/10)+('Form Sa1'!BAL814*'Form Sa1'!BAL816/10)-'NF - 5 Power Mix'!BAI21-'NF - 5 Power Mix'!BAI22</f>
        <v>0</v>
      </c>
      <c r="BAJ42" s="1046">
        <f>BAJ38+((BAJ40+'NF - 5 Power Mix'!BAJ14+'NF - 5 Power Mix'!BAJ15)*860/10)+((('Form Sa1'!BAM835)*860)/10)+('Form Sa1'!BAM814*'Form Sa1'!BAM816/10)-'NF - 5 Power Mix'!BAJ21-'NF - 5 Power Mix'!BAJ22</f>
        <v>0</v>
      </c>
      <c r="BAK42" s="1046">
        <f>BAK38+((BAK40+'NF - 5 Power Mix'!BAK14+'NF - 5 Power Mix'!BAK15)*860/10)+((('Form Sa1'!BAN835)*860)/10)+('Form Sa1'!BAN814*'Form Sa1'!BAN816/10)-'NF - 5 Power Mix'!BAK21-'NF - 5 Power Mix'!BAK22</f>
        <v>0</v>
      </c>
      <c r="BAL42" s="1046">
        <f>BAL38+((BAL40+'NF - 5 Power Mix'!BAL14+'NF - 5 Power Mix'!BAL15)*860/10)+((('Form Sa1'!BAO835)*860)/10)+('Form Sa1'!BAO814*'Form Sa1'!BAO816/10)-'NF - 5 Power Mix'!BAL21-'NF - 5 Power Mix'!BAL22</f>
        <v>0</v>
      </c>
      <c r="BAM42" s="1046">
        <f>BAM38+((BAM40+'NF - 5 Power Mix'!BAM14+'NF - 5 Power Mix'!BAM15)*860/10)+((('Form Sa1'!BAP835)*860)/10)+('Form Sa1'!BAP814*'Form Sa1'!BAP816/10)-'NF - 5 Power Mix'!BAM21-'NF - 5 Power Mix'!BAM22</f>
        <v>0</v>
      </c>
      <c r="BAN42" s="1046">
        <f>BAN38+((BAN40+'NF - 5 Power Mix'!BAN14+'NF - 5 Power Mix'!BAN15)*860/10)+((('Form Sa1'!BAQ835)*860)/10)+('Form Sa1'!BAQ814*'Form Sa1'!BAQ816/10)-'NF - 5 Power Mix'!BAN21-'NF - 5 Power Mix'!BAN22</f>
        <v>0</v>
      </c>
      <c r="BAO42" s="1046">
        <f>BAO38+((BAO40+'NF - 5 Power Mix'!BAO14+'NF - 5 Power Mix'!BAO15)*860/10)+((('Form Sa1'!BAR835)*860)/10)+('Form Sa1'!BAR814*'Form Sa1'!BAR816/10)-'NF - 5 Power Mix'!BAO21-'NF - 5 Power Mix'!BAO22</f>
        <v>0</v>
      </c>
      <c r="BAP42" s="1046">
        <f>BAP38+((BAP40+'NF - 5 Power Mix'!BAP14+'NF - 5 Power Mix'!BAP15)*860/10)+((('Form Sa1'!BAS835)*860)/10)+('Form Sa1'!BAS814*'Form Sa1'!BAS816/10)-'NF - 5 Power Mix'!BAP21-'NF - 5 Power Mix'!BAP22</f>
        <v>0</v>
      </c>
      <c r="BAQ42" s="1046">
        <f>BAQ38+((BAQ40+'NF - 5 Power Mix'!BAQ14+'NF - 5 Power Mix'!BAQ15)*860/10)+((('Form Sa1'!BAT835)*860)/10)+('Form Sa1'!BAT814*'Form Sa1'!BAT816/10)-'NF - 5 Power Mix'!BAQ21-'NF - 5 Power Mix'!BAQ22</f>
        <v>0</v>
      </c>
      <c r="BAR42" s="1046">
        <f>BAR38+((BAR40+'NF - 5 Power Mix'!BAR14+'NF - 5 Power Mix'!BAR15)*860/10)+((('Form Sa1'!BAU835)*860)/10)+('Form Sa1'!BAU814*'Form Sa1'!BAU816/10)-'NF - 5 Power Mix'!BAR21-'NF - 5 Power Mix'!BAR22</f>
        <v>0</v>
      </c>
      <c r="BAS42" s="1046">
        <f>BAS38+((BAS40+'NF - 5 Power Mix'!BAS14+'NF - 5 Power Mix'!BAS15)*860/10)+((('Form Sa1'!BAV835)*860)/10)+('Form Sa1'!BAV814*'Form Sa1'!BAV816/10)-'NF - 5 Power Mix'!BAS21-'NF - 5 Power Mix'!BAS22</f>
        <v>0</v>
      </c>
      <c r="BAT42" s="1046">
        <f>BAT38+((BAT40+'NF - 5 Power Mix'!BAT14+'NF - 5 Power Mix'!BAT15)*860/10)+((('Form Sa1'!BAW835)*860)/10)+('Form Sa1'!BAW814*'Form Sa1'!BAW816/10)-'NF - 5 Power Mix'!BAT21-'NF - 5 Power Mix'!BAT22</f>
        <v>0</v>
      </c>
      <c r="BAU42" s="1046">
        <f>BAU38+((BAU40+'NF - 5 Power Mix'!BAU14+'NF - 5 Power Mix'!BAU15)*860/10)+((('Form Sa1'!BAX835)*860)/10)+('Form Sa1'!BAX814*'Form Sa1'!BAX816/10)-'NF - 5 Power Mix'!BAU21-'NF - 5 Power Mix'!BAU22</f>
        <v>0</v>
      </c>
      <c r="BAV42" s="1046">
        <f>BAV38+((BAV40+'NF - 5 Power Mix'!BAV14+'NF - 5 Power Mix'!BAV15)*860/10)+((('Form Sa1'!BAY835)*860)/10)+('Form Sa1'!BAY814*'Form Sa1'!BAY816/10)-'NF - 5 Power Mix'!BAV21-'NF - 5 Power Mix'!BAV22</f>
        <v>0</v>
      </c>
      <c r="BAW42" s="1046">
        <f>BAW38+((BAW40+'NF - 5 Power Mix'!BAW14+'NF - 5 Power Mix'!BAW15)*860/10)+((('Form Sa1'!BAZ835)*860)/10)+('Form Sa1'!BAZ814*'Form Sa1'!BAZ816/10)-'NF - 5 Power Mix'!BAW21-'NF - 5 Power Mix'!BAW22</f>
        <v>0</v>
      </c>
      <c r="BAX42" s="1046">
        <f>BAX38+((BAX40+'NF - 5 Power Mix'!BAX14+'NF - 5 Power Mix'!BAX15)*860/10)+((('Form Sa1'!BBA835)*860)/10)+('Form Sa1'!BBA814*'Form Sa1'!BBA816/10)-'NF - 5 Power Mix'!BAX21-'NF - 5 Power Mix'!BAX22</f>
        <v>0</v>
      </c>
      <c r="BAY42" s="1046">
        <f>BAY38+((BAY40+'NF - 5 Power Mix'!BAY14+'NF - 5 Power Mix'!BAY15)*860/10)+((('Form Sa1'!BBB835)*860)/10)+('Form Sa1'!BBB814*'Form Sa1'!BBB816/10)-'NF - 5 Power Mix'!BAY21-'NF - 5 Power Mix'!BAY22</f>
        <v>0</v>
      </c>
      <c r="BAZ42" s="1046">
        <f>BAZ38+((BAZ40+'NF - 5 Power Mix'!BAZ14+'NF - 5 Power Mix'!BAZ15)*860/10)+((('Form Sa1'!BBC835)*860)/10)+('Form Sa1'!BBC814*'Form Sa1'!BBC816/10)-'NF - 5 Power Mix'!BAZ21-'NF - 5 Power Mix'!BAZ22</f>
        <v>0</v>
      </c>
      <c r="BBA42" s="1046">
        <f>BBA38+((BBA40+'NF - 5 Power Mix'!BBA14+'NF - 5 Power Mix'!BBA15)*860/10)+((('Form Sa1'!BBD835)*860)/10)+('Form Sa1'!BBD814*'Form Sa1'!BBD816/10)-'NF - 5 Power Mix'!BBA21-'NF - 5 Power Mix'!BBA22</f>
        <v>0</v>
      </c>
      <c r="BBB42" s="1046">
        <f>BBB38+((BBB40+'NF - 5 Power Mix'!BBB14+'NF - 5 Power Mix'!BBB15)*860/10)+((('Form Sa1'!BBE835)*860)/10)+('Form Sa1'!BBE814*'Form Sa1'!BBE816/10)-'NF - 5 Power Mix'!BBB21-'NF - 5 Power Mix'!BBB22</f>
        <v>0</v>
      </c>
      <c r="BBC42" s="1046">
        <f>BBC38+((BBC40+'NF - 5 Power Mix'!BBC14+'NF - 5 Power Mix'!BBC15)*860/10)+((('Form Sa1'!BBF835)*860)/10)+('Form Sa1'!BBF814*'Form Sa1'!BBF816/10)-'NF - 5 Power Mix'!BBC21-'NF - 5 Power Mix'!BBC22</f>
        <v>0</v>
      </c>
      <c r="BBD42" s="1046">
        <f>BBD38+((BBD40+'NF - 5 Power Mix'!BBD14+'NF - 5 Power Mix'!BBD15)*860/10)+((('Form Sa1'!BBG835)*860)/10)+('Form Sa1'!BBG814*'Form Sa1'!BBG816/10)-'NF - 5 Power Mix'!BBD21-'NF - 5 Power Mix'!BBD22</f>
        <v>0</v>
      </c>
      <c r="BBE42" s="1046">
        <f>BBE38+((BBE40+'NF - 5 Power Mix'!BBE14+'NF - 5 Power Mix'!BBE15)*860/10)+((('Form Sa1'!BBH835)*860)/10)+('Form Sa1'!BBH814*'Form Sa1'!BBH816/10)-'NF - 5 Power Mix'!BBE21-'NF - 5 Power Mix'!BBE22</f>
        <v>0</v>
      </c>
      <c r="BBF42" s="1046">
        <f>BBF38+((BBF40+'NF - 5 Power Mix'!BBF14+'NF - 5 Power Mix'!BBF15)*860/10)+((('Form Sa1'!BBI835)*860)/10)+('Form Sa1'!BBI814*'Form Sa1'!BBI816/10)-'NF - 5 Power Mix'!BBF21-'NF - 5 Power Mix'!BBF22</f>
        <v>0</v>
      </c>
      <c r="BBG42" s="1046">
        <f>BBG38+((BBG40+'NF - 5 Power Mix'!BBG14+'NF - 5 Power Mix'!BBG15)*860/10)+((('Form Sa1'!BBJ835)*860)/10)+('Form Sa1'!BBJ814*'Form Sa1'!BBJ816/10)-'NF - 5 Power Mix'!BBG21-'NF - 5 Power Mix'!BBG22</f>
        <v>0</v>
      </c>
      <c r="BBH42" s="1046">
        <f>BBH38+((BBH40+'NF - 5 Power Mix'!BBH14+'NF - 5 Power Mix'!BBH15)*860/10)+((('Form Sa1'!BBK835)*860)/10)+('Form Sa1'!BBK814*'Form Sa1'!BBK816/10)-'NF - 5 Power Mix'!BBH21-'NF - 5 Power Mix'!BBH22</f>
        <v>0</v>
      </c>
      <c r="BBI42" s="1046">
        <f>BBI38+((BBI40+'NF - 5 Power Mix'!BBI14+'NF - 5 Power Mix'!BBI15)*860/10)+((('Form Sa1'!BBL835)*860)/10)+('Form Sa1'!BBL814*'Form Sa1'!BBL816/10)-'NF - 5 Power Mix'!BBI21-'NF - 5 Power Mix'!BBI22</f>
        <v>0</v>
      </c>
      <c r="BBJ42" s="1046">
        <f>BBJ38+((BBJ40+'NF - 5 Power Mix'!BBJ14+'NF - 5 Power Mix'!BBJ15)*860/10)+((('Form Sa1'!BBM835)*860)/10)+('Form Sa1'!BBM814*'Form Sa1'!BBM816/10)-'NF - 5 Power Mix'!BBJ21-'NF - 5 Power Mix'!BBJ22</f>
        <v>0</v>
      </c>
      <c r="BBK42" s="1046">
        <f>BBK38+((BBK40+'NF - 5 Power Mix'!BBK14+'NF - 5 Power Mix'!BBK15)*860/10)+((('Form Sa1'!BBN835)*860)/10)+('Form Sa1'!BBN814*'Form Sa1'!BBN816/10)-'NF - 5 Power Mix'!BBK21-'NF - 5 Power Mix'!BBK22</f>
        <v>0</v>
      </c>
      <c r="BBL42" s="1046">
        <f>BBL38+((BBL40+'NF - 5 Power Mix'!BBL14+'NF - 5 Power Mix'!BBL15)*860/10)+((('Form Sa1'!BBO835)*860)/10)+('Form Sa1'!BBO814*'Form Sa1'!BBO816/10)-'NF - 5 Power Mix'!BBL21-'NF - 5 Power Mix'!BBL22</f>
        <v>0</v>
      </c>
      <c r="BBM42" s="1046">
        <f>BBM38+((BBM40+'NF - 5 Power Mix'!BBM14+'NF - 5 Power Mix'!BBM15)*860/10)+((('Form Sa1'!BBP835)*860)/10)+('Form Sa1'!BBP814*'Form Sa1'!BBP816/10)-'NF - 5 Power Mix'!BBM21-'NF - 5 Power Mix'!BBM22</f>
        <v>0</v>
      </c>
      <c r="BBN42" s="1046">
        <f>BBN38+((BBN40+'NF - 5 Power Mix'!BBN14+'NF - 5 Power Mix'!BBN15)*860/10)+((('Form Sa1'!BBQ835)*860)/10)+('Form Sa1'!BBQ814*'Form Sa1'!BBQ816/10)-'NF - 5 Power Mix'!BBN21-'NF - 5 Power Mix'!BBN22</f>
        <v>0</v>
      </c>
      <c r="BBO42" s="1046">
        <f>BBO38+((BBO40+'NF - 5 Power Mix'!BBO14+'NF - 5 Power Mix'!BBO15)*860/10)+((('Form Sa1'!BBR835)*860)/10)+('Form Sa1'!BBR814*'Form Sa1'!BBR816/10)-'NF - 5 Power Mix'!BBO21-'NF - 5 Power Mix'!BBO22</f>
        <v>0</v>
      </c>
      <c r="BBP42" s="1046">
        <f>BBP38+((BBP40+'NF - 5 Power Mix'!BBP14+'NF - 5 Power Mix'!BBP15)*860/10)+((('Form Sa1'!BBS835)*860)/10)+('Form Sa1'!BBS814*'Form Sa1'!BBS816/10)-'NF - 5 Power Mix'!BBP21-'NF - 5 Power Mix'!BBP22</f>
        <v>0</v>
      </c>
      <c r="BBQ42" s="1046">
        <f>BBQ38+((BBQ40+'NF - 5 Power Mix'!BBQ14+'NF - 5 Power Mix'!BBQ15)*860/10)+((('Form Sa1'!BBT835)*860)/10)+('Form Sa1'!BBT814*'Form Sa1'!BBT816/10)-'NF - 5 Power Mix'!BBQ21-'NF - 5 Power Mix'!BBQ22</f>
        <v>0</v>
      </c>
      <c r="BBR42" s="1046">
        <f>BBR38+((BBR40+'NF - 5 Power Mix'!BBR14+'NF - 5 Power Mix'!BBR15)*860/10)+((('Form Sa1'!BBU835)*860)/10)+('Form Sa1'!BBU814*'Form Sa1'!BBU816/10)-'NF - 5 Power Mix'!BBR21-'NF - 5 Power Mix'!BBR22</f>
        <v>0</v>
      </c>
      <c r="BBS42" s="1046">
        <f>BBS38+((BBS40+'NF - 5 Power Mix'!BBS14+'NF - 5 Power Mix'!BBS15)*860/10)+((('Form Sa1'!BBV835)*860)/10)+('Form Sa1'!BBV814*'Form Sa1'!BBV816/10)-'NF - 5 Power Mix'!BBS21-'NF - 5 Power Mix'!BBS22</f>
        <v>0</v>
      </c>
      <c r="BBT42" s="1046">
        <f>BBT38+((BBT40+'NF - 5 Power Mix'!BBT14+'NF - 5 Power Mix'!BBT15)*860/10)+((('Form Sa1'!BBW835)*860)/10)+('Form Sa1'!BBW814*'Form Sa1'!BBW816/10)-'NF - 5 Power Mix'!BBT21-'NF - 5 Power Mix'!BBT22</f>
        <v>0</v>
      </c>
      <c r="BBU42" s="1046">
        <f>BBU38+((BBU40+'NF - 5 Power Mix'!BBU14+'NF - 5 Power Mix'!BBU15)*860/10)+((('Form Sa1'!BBX835)*860)/10)+('Form Sa1'!BBX814*'Form Sa1'!BBX816/10)-'NF - 5 Power Mix'!BBU21-'NF - 5 Power Mix'!BBU22</f>
        <v>0</v>
      </c>
      <c r="BBV42" s="1046">
        <f>BBV38+((BBV40+'NF - 5 Power Mix'!BBV14+'NF - 5 Power Mix'!BBV15)*860/10)+((('Form Sa1'!BBY835)*860)/10)+('Form Sa1'!BBY814*'Form Sa1'!BBY816/10)-'NF - 5 Power Mix'!BBV21-'NF - 5 Power Mix'!BBV22</f>
        <v>0</v>
      </c>
      <c r="BBW42" s="1046">
        <f>BBW38+((BBW40+'NF - 5 Power Mix'!BBW14+'NF - 5 Power Mix'!BBW15)*860/10)+((('Form Sa1'!BBZ835)*860)/10)+('Form Sa1'!BBZ814*'Form Sa1'!BBZ816/10)-'NF - 5 Power Mix'!BBW21-'NF - 5 Power Mix'!BBW22</f>
        <v>0</v>
      </c>
      <c r="BBX42" s="1046">
        <f>BBX38+((BBX40+'NF - 5 Power Mix'!BBX14+'NF - 5 Power Mix'!BBX15)*860/10)+((('Form Sa1'!BCA835)*860)/10)+('Form Sa1'!BCA814*'Form Sa1'!BCA816/10)-'NF - 5 Power Mix'!BBX21-'NF - 5 Power Mix'!BBX22</f>
        <v>0</v>
      </c>
      <c r="BBY42" s="1046">
        <f>BBY38+((BBY40+'NF - 5 Power Mix'!BBY14+'NF - 5 Power Mix'!BBY15)*860/10)+((('Form Sa1'!BCB835)*860)/10)+('Form Sa1'!BCB814*'Form Sa1'!BCB816/10)-'NF - 5 Power Mix'!BBY21-'NF - 5 Power Mix'!BBY22</f>
        <v>0</v>
      </c>
      <c r="BBZ42" s="1046">
        <f>BBZ38+((BBZ40+'NF - 5 Power Mix'!BBZ14+'NF - 5 Power Mix'!BBZ15)*860/10)+((('Form Sa1'!BCC835)*860)/10)+('Form Sa1'!BCC814*'Form Sa1'!BCC816/10)-'NF - 5 Power Mix'!BBZ21-'NF - 5 Power Mix'!BBZ22</f>
        <v>0</v>
      </c>
      <c r="BCA42" s="1046">
        <f>BCA38+((BCA40+'NF - 5 Power Mix'!BCA14+'NF - 5 Power Mix'!BCA15)*860/10)+((('Form Sa1'!BCD835)*860)/10)+('Form Sa1'!BCD814*'Form Sa1'!BCD816/10)-'NF - 5 Power Mix'!BCA21-'NF - 5 Power Mix'!BCA22</f>
        <v>0</v>
      </c>
      <c r="BCB42" s="1046">
        <f>BCB38+((BCB40+'NF - 5 Power Mix'!BCB14+'NF - 5 Power Mix'!BCB15)*860/10)+((('Form Sa1'!BCE835)*860)/10)+('Form Sa1'!BCE814*'Form Sa1'!BCE816/10)-'NF - 5 Power Mix'!BCB21-'NF - 5 Power Mix'!BCB22</f>
        <v>0</v>
      </c>
      <c r="BCC42" s="1046">
        <f>BCC38+((BCC40+'NF - 5 Power Mix'!BCC14+'NF - 5 Power Mix'!BCC15)*860/10)+((('Form Sa1'!BCF835)*860)/10)+('Form Sa1'!BCF814*'Form Sa1'!BCF816/10)-'NF - 5 Power Mix'!BCC21-'NF - 5 Power Mix'!BCC22</f>
        <v>0</v>
      </c>
      <c r="BCD42" s="1046">
        <f>BCD38+((BCD40+'NF - 5 Power Mix'!BCD14+'NF - 5 Power Mix'!BCD15)*860/10)+((('Form Sa1'!BCG835)*860)/10)+('Form Sa1'!BCG814*'Form Sa1'!BCG816/10)-'NF - 5 Power Mix'!BCD21-'NF - 5 Power Mix'!BCD22</f>
        <v>0</v>
      </c>
      <c r="BCE42" s="1046">
        <f>BCE38+((BCE40+'NF - 5 Power Mix'!BCE14+'NF - 5 Power Mix'!BCE15)*860/10)+((('Form Sa1'!BCH835)*860)/10)+('Form Sa1'!BCH814*'Form Sa1'!BCH816/10)-'NF - 5 Power Mix'!BCE21-'NF - 5 Power Mix'!BCE22</f>
        <v>0</v>
      </c>
      <c r="BCF42" s="1046">
        <f>BCF38+((BCF40+'NF - 5 Power Mix'!BCF14+'NF - 5 Power Mix'!BCF15)*860/10)+((('Form Sa1'!BCI835)*860)/10)+('Form Sa1'!BCI814*'Form Sa1'!BCI816/10)-'NF - 5 Power Mix'!BCF21-'NF - 5 Power Mix'!BCF22</f>
        <v>0</v>
      </c>
      <c r="BCG42" s="1046">
        <f>BCG38+((BCG40+'NF - 5 Power Mix'!BCG14+'NF - 5 Power Mix'!BCG15)*860/10)+((('Form Sa1'!BCJ835)*860)/10)+('Form Sa1'!BCJ814*'Form Sa1'!BCJ816/10)-'NF - 5 Power Mix'!BCG21-'NF - 5 Power Mix'!BCG22</f>
        <v>0</v>
      </c>
      <c r="BCH42" s="1046">
        <f>BCH38+((BCH40+'NF - 5 Power Mix'!BCH14+'NF - 5 Power Mix'!BCH15)*860/10)+((('Form Sa1'!BCK835)*860)/10)+('Form Sa1'!BCK814*'Form Sa1'!BCK816/10)-'NF - 5 Power Mix'!BCH21-'NF - 5 Power Mix'!BCH22</f>
        <v>0</v>
      </c>
      <c r="BCI42" s="1046">
        <f>BCI38+((BCI40+'NF - 5 Power Mix'!BCI14+'NF - 5 Power Mix'!BCI15)*860/10)+((('Form Sa1'!BCL835)*860)/10)+('Form Sa1'!BCL814*'Form Sa1'!BCL816/10)-'NF - 5 Power Mix'!BCI21-'NF - 5 Power Mix'!BCI22</f>
        <v>0</v>
      </c>
      <c r="BCJ42" s="1046">
        <f>BCJ38+((BCJ40+'NF - 5 Power Mix'!BCJ14+'NF - 5 Power Mix'!BCJ15)*860/10)+((('Form Sa1'!BCM835)*860)/10)+('Form Sa1'!BCM814*'Form Sa1'!BCM816/10)-'NF - 5 Power Mix'!BCJ21-'NF - 5 Power Mix'!BCJ22</f>
        <v>0</v>
      </c>
      <c r="BCK42" s="1046">
        <f>BCK38+((BCK40+'NF - 5 Power Mix'!BCK14+'NF - 5 Power Mix'!BCK15)*860/10)+((('Form Sa1'!BCN835)*860)/10)+('Form Sa1'!BCN814*'Form Sa1'!BCN816/10)-'NF - 5 Power Mix'!BCK21-'NF - 5 Power Mix'!BCK22</f>
        <v>0</v>
      </c>
      <c r="BCL42" s="1046">
        <f>BCL38+((BCL40+'NF - 5 Power Mix'!BCL14+'NF - 5 Power Mix'!BCL15)*860/10)+((('Form Sa1'!BCO835)*860)/10)+('Form Sa1'!BCO814*'Form Sa1'!BCO816/10)-'NF - 5 Power Mix'!BCL21-'NF - 5 Power Mix'!BCL22</f>
        <v>0</v>
      </c>
      <c r="BCM42" s="1046">
        <f>BCM38+((BCM40+'NF - 5 Power Mix'!BCM14+'NF - 5 Power Mix'!BCM15)*860/10)+((('Form Sa1'!BCP835)*860)/10)+('Form Sa1'!BCP814*'Form Sa1'!BCP816/10)-'NF - 5 Power Mix'!BCM21-'NF - 5 Power Mix'!BCM22</f>
        <v>0</v>
      </c>
      <c r="BCN42" s="1046">
        <f>BCN38+((BCN40+'NF - 5 Power Mix'!BCN14+'NF - 5 Power Mix'!BCN15)*860/10)+((('Form Sa1'!BCQ835)*860)/10)+('Form Sa1'!BCQ814*'Form Sa1'!BCQ816/10)-'NF - 5 Power Mix'!BCN21-'NF - 5 Power Mix'!BCN22</f>
        <v>0</v>
      </c>
      <c r="BCO42" s="1046">
        <f>BCO38+((BCO40+'NF - 5 Power Mix'!BCO14+'NF - 5 Power Mix'!BCO15)*860/10)+((('Form Sa1'!BCR835)*860)/10)+('Form Sa1'!BCR814*'Form Sa1'!BCR816/10)-'NF - 5 Power Mix'!BCO21-'NF - 5 Power Mix'!BCO22</f>
        <v>0</v>
      </c>
      <c r="BCP42" s="1046">
        <f>BCP38+((BCP40+'NF - 5 Power Mix'!BCP14+'NF - 5 Power Mix'!BCP15)*860/10)+((('Form Sa1'!BCS835)*860)/10)+('Form Sa1'!BCS814*'Form Sa1'!BCS816/10)-'NF - 5 Power Mix'!BCP21-'NF - 5 Power Mix'!BCP22</f>
        <v>0</v>
      </c>
      <c r="BCQ42" s="1046">
        <f>BCQ38+((BCQ40+'NF - 5 Power Mix'!BCQ14+'NF - 5 Power Mix'!BCQ15)*860/10)+((('Form Sa1'!BCT835)*860)/10)+('Form Sa1'!BCT814*'Form Sa1'!BCT816/10)-'NF - 5 Power Mix'!BCQ21-'NF - 5 Power Mix'!BCQ22</f>
        <v>0</v>
      </c>
      <c r="BCR42" s="1046">
        <f>BCR38+((BCR40+'NF - 5 Power Mix'!BCR14+'NF - 5 Power Mix'!BCR15)*860/10)+((('Form Sa1'!BCU835)*860)/10)+('Form Sa1'!BCU814*'Form Sa1'!BCU816/10)-'NF - 5 Power Mix'!BCR21-'NF - 5 Power Mix'!BCR22</f>
        <v>0</v>
      </c>
      <c r="BCS42" s="1046">
        <f>BCS38+((BCS40+'NF - 5 Power Mix'!BCS14+'NF - 5 Power Mix'!BCS15)*860/10)+((('Form Sa1'!BCV835)*860)/10)+('Form Sa1'!BCV814*'Form Sa1'!BCV816/10)-'NF - 5 Power Mix'!BCS21-'NF - 5 Power Mix'!BCS22</f>
        <v>0</v>
      </c>
      <c r="BCT42" s="1046">
        <f>BCT38+((BCT40+'NF - 5 Power Mix'!BCT14+'NF - 5 Power Mix'!BCT15)*860/10)+((('Form Sa1'!BCW835)*860)/10)+('Form Sa1'!BCW814*'Form Sa1'!BCW816/10)-'NF - 5 Power Mix'!BCT21-'NF - 5 Power Mix'!BCT22</f>
        <v>0</v>
      </c>
      <c r="BCU42" s="1046">
        <f>BCU38+((BCU40+'NF - 5 Power Mix'!BCU14+'NF - 5 Power Mix'!BCU15)*860/10)+((('Form Sa1'!BCX835)*860)/10)+('Form Sa1'!BCX814*'Form Sa1'!BCX816/10)-'NF - 5 Power Mix'!BCU21-'NF - 5 Power Mix'!BCU22</f>
        <v>0</v>
      </c>
      <c r="BCV42" s="1046">
        <f>BCV38+((BCV40+'NF - 5 Power Mix'!BCV14+'NF - 5 Power Mix'!BCV15)*860/10)+((('Form Sa1'!BCY835)*860)/10)+('Form Sa1'!BCY814*'Form Sa1'!BCY816/10)-'NF - 5 Power Mix'!BCV21-'NF - 5 Power Mix'!BCV22</f>
        <v>0</v>
      </c>
      <c r="BCW42" s="1046">
        <f>BCW38+((BCW40+'NF - 5 Power Mix'!BCW14+'NF - 5 Power Mix'!BCW15)*860/10)+((('Form Sa1'!BCZ835)*860)/10)+('Form Sa1'!BCZ814*'Form Sa1'!BCZ816/10)-'NF - 5 Power Mix'!BCW21-'NF - 5 Power Mix'!BCW22</f>
        <v>0</v>
      </c>
      <c r="BCX42" s="1046">
        <f>BCX38+((BCX40+'NF - 5 Power Mix'!BCX14+'NF - 5 Power Mix'!BCX15)*860/10)+((('Form Sa1'!BDA835)*860)/10)+('Form Sa1'!BDA814*'Form Sa1'!BDA816/10)-'NF - 5 Power Mix'!BCX21-'NF - 5 Power Mix'!BCX22</f>
        <v>0</v>
      </c>
      <c r="BCY42" s="1046">
        <f>BCY38+((BCY40+'NF - 5 Power Mix'!BCY14+'NF - 5 Power Mix'!BCY15)*860/10)+((('Form Sa1'!BDB835)*860)/10)+('Form Sa1'!BDB814*'Form Sa1'!BDB816/10)-'NF - 5 Power Mix'!BCY21-'NF - 5 Power Mix'!BCY22</f>
        <v>0</v>
      </c>
      <c r="BCZ42" s="1046">
        <f>BCZ38+((BCZ40+'NF - 5 Power Mix'!BCZ14+'NF - 5 Power Mix'!BCZ15)*860/10)+((('Form Sa1'!BDC835)*860)/10)+('Form Sa1'!BDC814*'Form Sa1'!BDC816/10)-'NF - 5 Power Mix'!BCZ21-'NF - 5 Power Mix'!BCZ22</f>
        <v>0</v>
      </c>
      <c r="BDA42" s="1046">
        <f>BDA38+((BDA40+'NF - 5 Power Mix'!BDA14+'NF - 5 Power Mix'!BDA15)*860/10)+((('Form Sa1'!BDD835)*860)/10)+('Form Sa1'!BDD814*'Form Sa1'!BDD816/10)-'NF - 5 Power Mix'!BDA21-'NF - 5 Power Mix'!BDA22</f>
        <v>0</v>
      </c>
      <c r="BDB42" s="1046">
        <f>BDB38+((BDB40+'NF - 5 Power Mix'!BDB14+'NF - 5 Power Mix'!BDB15)*860/10)+((('Form Sa1'!BDE835)*860)/10)+('Form Sa1'!BDE814*'Form Sa1'!BDE816/10)-'NF - 5 Power Mix'!BDB21-'NF - 5 Power Mix'!BDB22</f>
        <v>0</v>
      </c>
      <c r="BDC42" s="1046">
        <f>BDC38+((BDC40+'NF - 5 Power Mix'!BDC14+'NF - 5 Power Mix'!BDC15)*860/10)+((('Form Sa1'!BDF835)*860)/10)+('Form Sa1'!BDF814*'Form Sa1'!BDF816/10)-'NF - 5 Power Mix'!BDC21-'NF - 5 Power Mix'!BDC22</f>
        <v>0</v>
      </c>
      <c r="BDD42" s="1046">
        <f>BDD38+((BDD40+'NF - 5 Power Mix'!BDD14+'NF - 5 Power Mix'!BDD15)*860/10)+((('Form Sa1'!BDG835)*860)/10)+('Form Sa1'!BDG814*'Form Sa1'!BDG816/10)-'NF - 5 Power Mix'!BDD21-'NF - 5 Power Mix'!BDD22</f>
        <v>0</v>
      </c>
      <c r="BDE42" s="1046">
        <f>BDE38+((BDE40+'NF - 5 Power Mix'!BDE14+'NF - 5 Power Mix'!BDE15)*860/10)+((('Form Sa1'!BDH835)*860)/10)+('Form Sa1'!BDH814*'Form Sa1'!BDH816/10)-'NF - 5 Power Mix'!BDE21-'NF - 5 Power Mix'!BDE22</f>
        <v>0</v>
      </c>
      <c r="BDF42" s="1046">
        <f>BDF38+((BDF40+'NF - 5 Power Mix'!BDF14+'NF - 5 Power Mix'!BDF15)*860/10)+((('Form Sa1'!BDI835)*860)/10)+('Form Sa1'!BDI814*'Form Sa1'!BDI816/10)-'NF - 5 Power Mix'!BDF21-'NF - 5 Power Mix'!BDF22</f>
        <v>0</v>
      </c>
      <c r="BDG42" s="1046">
        <f>BDG38+((BDG40+'NF - 5 Power Mix'!BDG14+'NF - 5 Power Mix'!BDG15)*860/10)+((('Form Sa1'!BDJ835)*860)/10)+('Form Sa1'!BDJ814*'Form Sa1'!BDJ816/10)-'NF - 5 Power Mix'!BDG21-'NF - 5 Power Mix'!BDG22</f>
        <v>0</v>
      </c>
      <c r="BDH42" s="1046">
        <f>BDH38+((BDH40+'NF - 5 Power Mix'!BDH14+'NF - 5 Power Mix'!BDH15)*860/10)+((('Form Sa1'!BDK835)*860)/10)+('Form Sa1'!BDK814*'Form Sa1'!BDK816/10)-'NF - 5 Power Mix'!BDH21-'NF - 5 Power Mix'!BDH22</f>
        <v>0</v>
      </c>
      <c r="BDI42" s="1046">
        <f>BDI38+((BDI40+'NF - 5 Power Mix'!BDI14+'NF - 5 Power Mix'!BDI15)*860/10)+((('Form Sa1'!BDL835)*860)/10)+('Form Sa1'!BDL814*'Form Sa1'!BDL816/10)-'NF - 5 Power Mix'!BDI21-'NF - 5 Power Mix'!BDI22</f>
        <v>0</v>
      </c>
      <c r="BDJ42" s="1046">
        <f>BDJ38+((BDJ40+'NF - 5 Power Mix'!BDJ14+'NF - 5 Power Mix'!BDJ15)*860/10)+((('Form Sa1'!BDM835)*860)/10)+('Form Sa1'!BDM814*'Form Sa1'!BDM816/10)-'NF - 5 Power Mix'!BDJ21-'NF - 5 Power Mix'!BDJ22</f>
        <v>0</v>
      </c>
      <c r="BDK42" s="1046">
        <f>BDK38+((BDK40+'NF - 5 Power Mix'!BDK14+'NF - 5 Power Mix'!BDK15)*860/10)+((('Form Sa1'!BDN835)*860)/10)+('Form Sa1'!BDN814*'Form Sa1'!BDN816/10)-'NF - 5 Power Mix'!BDK21-'NF - 5 Power Mix'!BDK22</f>
        <v>0</v>
      </c>
      <c r="BDL42" s="1046">
        <f>BDL38+((BDL40+'NF - 5 Power Mix'!BDL14+'NF - 5 Power Mix'!BDL15)*860/10)+((('Form Sa1'!BDO835)*860)/10)+('Form Sa1'!BDO814*'Form Sa1'!BDO816/10)-'NF - 5 Power Mix'!BDL21-'NF - 5 Power Mix'!BDL22</f>
        <v>0</v>
      </c>
      <c r="BDM42" s="1046">
        <f>BDM38+((BDM40+'NF - 5 Power Mix'!BDM14+'NF - 5 Power Mix'!BDM15)*860/10)+((('Form Sa1'!BDP835)*860)/10)+('Form Sa1'!BDP814*'Form Sa1'!BDP816/10)-'NF - 5 Power Mix'!BDM21-'NF - 5 Power Mix'!BDM22</f>
        <v>0</v>
      </c>
      <c r="BDN42" s="1046">
        <f>BDN38+((BDN40+'NF - 5 Power Mix'!BDN14+'NF - 5 Power Mix'!BDN15)*860/10)+((('Form Sa1'!BDQ835)*860)/10)+('Form Sa1'!BDQ814*'Form Sa1'!BDQ816/10)-'NF - 5 Power Mix'!BDN21-'NF - 5 Power Mix'!BDN22</f>
        <v>0</v>
      </c>
      <c r="BDO42" s="1046">
        <f>BDO38+((BDO40+'NF - 5 Power Mix'!BDO14+'NF - 5 Power Mix'!BDO15)*860/10)+((('Form Sa1'!BDR835)*860)/10)+('Form Sa1'!BDR814*'Form Sa1'!BDR816/10)-'NF - 5 Power Mix'!BDO21-'NF - 5 Power Mix'!BDO22</f>
        <v>0</v>
      </c>
      <c r="BDP42" s="1046">
        <f>BDP38+((BDP40+'NF - 5 Power Mix'!BDP14+'NF - 5 Power Mix'!BDP15)*860/10)+((('Form Sa1'!BDS835)*860)/10)+('Form Sa1'!BDS814*'Form Sa1'!BDS816/10)-'NF - 5 Power Mix'!BDP21-'NF - 5 Power Mix'!BDP22</f>
        <v>0</v>
      </c>
      <c r="BDQ42" s="1046">
        <f>BDQ38+((BDQ40+'NF - 5 Power Mix'!BDQ14+'NF - 5 Power Mix'!BDQ15)*860/10)+((('Form Sa1'!BDT835)*860)/10)+('Form Sa1'!BDT814*'Form Sa1'!BDT816/10)-'NF - 5 Power Mix'!BDQ21-'NF - 5 Power Mix'!BDQ22</f>
        <v>0</v>
      </c>
      <c r="BDR42" s="1046">
        <f>BDR38+((BDR40+'NF - 5 Power Mix'!BDR14+'NF - 5 Power Mix'!BDR15)*860/10)+((('Form Sa1'!BDU835)*860)/10)+('Form Sa1'!BDU814*'Form Sa1'!BDU816/10)-'NF - 5 Power Mix'!BDR21-'NF - 5 Power Mix'!BDR22</f>
        <v>0</v>
      </c>
      <c r="BDS42" s="1046">
        <f>BDS38+((BDS40+'NF - 5 Power Mix'!BDS14+'NF - 5 Power Mix'!BDS15)*860/10)+((('Form Sa1'!BDV835)*860)/10)+('Form Sa1'!BDV814*'Form Sa1'!BDV816/10)-'NF - 5 Power Mix'!BDS21-'NF - 5 Power Mix'!BDS22</f>
        <v>0</v>
      </c>
      <c r="BDT42" s="1046">
        <f>BDT38+((BDT40+'NF - 5 Power Mix'!BDT14+'NF - 5 Power Mix'!BDT15)*860/10)+((('Form Sa1'!BDW835)*860)/10)+('Form Sa1'!BDW814*'Form Sa1'!BDW816/10)-'NF - 5 Power Mix'!BDT21-'NF - 5 Power Mix'!BDT22</f>
        <v>0</v>
      </c>
      <c r="BDU42" s="1046">
        <f>BDU38+((BDU40+'NF - 5 Power Mix'!BDU14+'NF - 5 Power Mix'!BDU15)*860/10)+((('Form Sa1'!BDX835)*860)/10)+('Form Sa1'!BDX814*'Form Sa1'!BDX816/10)-'NF - 5 Power Mix'!BDU21-'NF - 5 Power Mix'!BDU22</f>
        <v>0</v>
      </c>
      <c r="BDV42" s="1046">
        <f>BDV38+((BDV40+'NF - 5 Power Mix'!BDV14+'NF - 5 Power Mix'!BDV15)*860/10)+((('Form Sa1'!BDY835)*860)/10)+('Form Sa1'!BDY814*'Form Sa1'!BDY816/10)-'NF - 5 Power Mix'!BDV21-'NF - 5 Power Mix'!BDV22</f>
        <v>0</v>
      </c>
      <c r="BDW42" s="1046">
        <f>BDW38+((BDW40+'NF - 5 Power Mix'!BDW14+'NF - 5 Power Mix'!BDW15)*860/10)+((('Form Sa1'!BDZ835)*860)/10)+('Form Sa1'!BDZ814*'Form Sa1'!BDZ816/10)-'NF - 5 Power Mix'!BDW21-'NF - 5 Power Mix'!BDW22</f>
        <v>0</v>
      </c>
      <c r="BDX42" s="1046">
        <f>BDX38+((BDX40+'NF - 5 Power Mix'!BDX14+'NF - 5 Power Mix'!BDX15)*860/10)+((('Form Sa1'!BEA835)*860)/10)+('Form Sa1'!BEA814*'Form Sa1'!BEA816/10)-'NF - 5 Power Mix'!BDX21-'NF - 5 Power Mix'!BDX22</f>
        <v>0</v>
      </c>
      <c r="BDY42" s="1046">
        <f>BDY38+((BDY40+'NF - 5 Power Mix'!BDY14+'NF - 5 Power Mix'!BDY15)*860/10)+((('Form Sa1'!BEB835)*860)/10)+('Form Sa1'!BEB814*'Form Sa1'!BEB816/10)-'NF - 5 Power Mix'!BDY21-'NF - 5 Power Mix'!BDY22</f>
        <v>0</v>
      </c>
      <c r="BDZ42" s="1046">
        <f>BDZ38+((BDZ40+'NF - 5 Power Mix'!BDZ14+'NF - 5 Power Mix'!BDZ15)*860/10)+((('Form Sa1'!BEC835)*860)/10)+('Form Sa1'!BEC814*'Form Sa1'!BEC816/10)-'NF - 5 Power Mix'!BDZ21-'NF - 5 Power Mix'!BDZ22</f>
        <v>0</v>
      </c>
      <c r="BEA42" s="1046">
        <f>BEA38+((BEA40+'NF - 5 Power Mix'!BEA14+'NF - 5 Power Mix'!BEA15)*860/10)+((('Form Sa1'!BED835)*860)/10)+('Form Sa1'!BED814*'Form Sa1'!BED816/10)-'NF - 5 Power Mix'!BEA21-'NF - 5 Power Mix'!BEA22</f>
        <v>0</v>
      </c>
      <c r="BEB42" s="1046">
        <f>BEB38+((BEB40+'NF - 5 Power Mix'!BEB14+'NF - 5 Power Mix'!BEB15)*860/10)+((('Form Sa1'!BEE835)*860)/10)+('Form Sa1'!BEE814*'Form Sa1'!BEE816/10)-'NF - 5 Power Mix'!BEB21-'NF - 5 Power Mix'!BEB22</f>
        <v>0</v>
      </c>
      <c r="BEC42" s="1046">
        <f>BEC38+((BEC40+'NF - 5 Power Mix'!BEC14+'NF - 5 Power Mix'!BEC15)*860/10)+((('Form Sa1'!BEF835)*860)/10)+('Form Sa1'!BEF814*'Form Sa1'!BEF816/10)-'NF - 5 Power Mix'!BEC21-'NF - 5 Power Mix'!BEC22</f>
        <v>0</v>
      </c>
      <c r="BED42" s="1046">
        <f>BED38+((BED40+'NF - 5 Power Mix'!BED14+'NF - 5 Power Mix'!BED15)*860/10)+((('Form Sa1'!BEG835)*860)/10)+('Form Sa1'!BEG814*'Form Sa1'!BEG816/10)-'NF - 5 Power Mix'!BED21-'NF - 5 Power Mix'!BED22</f>
        <v>0</v>
      </c>
      <c r="BEE42" s="1046">
        <f>BEE38+((BEE40+'NF - 5 Power Mix'!BEE14+'NF - 5 Power Mix'!BEE15)*860/10)+((('Form Sa1'!BEH835)*860)/10)+('Form Sa1'!BEH814*'Form Sa1'!BEH816/10)-'NF - 5 Power Mix'!BEE21-'NF - 5 Power Mix'!BEE22</f>
        <v>0</v>
      </c>
      <c r="BEF42" s="1046">
        <f>BEF38+((BEF40+'NF - 5 Power Mix'!BEF14+'NF - 5 Power Mix'!BEF15)*860/10)+((('Form Sa1'!BEI835)*860)/10)+('Form Sa1'!BEI814*'Form Sa1'!BEI816/10)-'NF - 5 Power Mix'!BEF21-'NF - 5 Power Mix'!BEF22</f>
        <v>0</v>
      </c>
      <c r="BEG42" s="1046">
        <f>BEG38+((BEG40+'NF - 5 Power Mix'!BEG14+'NF - 5 Power Mix'!BEG15)*860/10)+((('Form Sa1'!BEJ835)*860)/10)+('Form Sa1'!BEJ814*'Form Sa1'!BEJ816/10)-'NF - 5 Power Mix'!BEG21-'NF - 5 Power Mix'!BEG22</f>
        <v>0</v>
      </c>
      <c r="BEH42" s="1046">
        <f>BEH38+((BEH40+'NF - 5 Power Mix'!BEH14+'NF - 5 Power Mix'!BEH15)*860/10)+((('Form Sa1'!BEK835)*860)/10)+('Form Sa1'!BEK814*'Form Sa1'!BEK816/10)-'NF - 5 Power Mix'!BEH21-'NF - 5 Power Mix'!BEH22</f>
        <v>0</v>
      </c>
      <c r="BEI42" s="1046">
        <f>BEI38+((BEI40+'NF - 5 Power Mix'!BEI14+'NF - 5 Power Mix'!BEI15)*860/10)+((('Form Sa1'!BEL835)*860)/10)+('Form Sa1'!BEL814*'Form Sa1'!BEL816/10)-'NF - 5 Power Mix'!BEI21-'NF - 5 Power Mix'!BEI22</f>
        <v>0</v>
      </c>
      <c r="BEJ42" s="1046">
        <f>BEJ38+((BEJ40+'NF - 5 Power Mix'!BEJ14+'NF - 5 Power Mix'!BEJ15)*860/10)+((('Form Sa1'!BEM835)*860)/10)+('Form Sa1'!BEM814*'Form Sa1'!BEM816/10)-'NF - 5 Power Mix'!BEJ21-'NF - 5 Power Mix'!BEJ22</f>
        <v>0</v>
      </c>
      <c r="BEK42" s="1046">
        <f>BEK38+((BEK40+'NF - 5 Power Mix'!BEK14+'NF - 5 Power Mix'!BEK15)*860/10)+((('Form Sa1'!BEN835)*860)/10)+('Form Sa1'!BEN814*'Form Sa1'!BEN816/10)-'NF - 5 Power Mix'!BEK21-'NF - 5 Power Mix'!BEK22</f>
        <v>0</v>
      </c>
      <c r="BEL42" s="1046">
        <f>BEL38+((BEL40+'NF - 5 Power Mix'!BEL14+'NF - 5 Power Mix'!BEL15)*860/10)+((('Form Sa1'!BEO835)*860)/10)+('Form Sa1'!BEO814*'Form Sa1'!BEO816/10)-'NF - 5 Power Mix'!BEL21-'NF - 5 Power Mix'!BEL22</f>
        <v>0</v>
      </c>
      <c r="BEM42" s="1046">
        <f>BEM38+((BEM40+'NF - 5 Power Mix'!BEM14+'NF - 5 Power Mix'!BEM15)*860/10)+((('Form Sa1'!BEP835)*860)/10)+('Form Sa1'!BEP814*'Form Sa1'!BEP816/10)-'NF - 5 Power Mix'!BEM21-'NF - 5 Power Mix'!BEM22</f>
        <v>0</v>
      </c>
      <c r="BEN42" s="1046">
        <f>BEN38+((BEN40+'NF - 5 Power Mix'!BEN14+'NF - 5 Power Mix'!BEN15)*860/10)+((('Form Sa1'!BEQ835)*860)/10)+('Form Sa1'!BEQ814*'Form Sa1'!BEQ816/10)-'NF - 5 Power Mix'!BEN21-'NF - 5 Power Mix'!BEN22</f>
        <v>0</v>
      </c>
      <c r="BEO42" s="1046">
        <f>BEO38+((BEO40+'NF - 5 Power Mix'!BEO14+'NF - 5 Power Mix'!BEO15)*860/10)+((('Form Sa1'!BER835)*860)/10)+('Form Sa1'!BER814*'Form Sa1'!BER816/10)-'NF - 5 Power Mix'!BEO21-'NF - 5 Power Mix'!BEO22</f>
        <v>0</v>
      </c>
      <c r="BEP42" s="1046">
        <f>BEP38+((BEP40+'NF - 5 Power Mix'!BEP14+'NF - 5 Power Mix'!BEP15)*860/10)+((('Form Sa1'!BES835)*860)/10)+('Form Sa1'!BES814*'Form Sa1'!BES816/10)-'NF - 5 Power Mix'!BEP21-'NF - 5 Power Mix'!BEP22</f>
        <v>0</v>
      </c>
      <c r="BEQ42" s="1046">
        <f>BEQ38+((BEQ40+'NF - 5 Power Mix'!BEQ14+'NF - 5 Power Mix'!BEQ15)*860/10)+((('Form Sa1'!BET835)*860)/10)+('Form Sa1'!BET814*'Form Sa1'!BET816/10)-'NF - 5 Power Mix'!BEQ21-'NF - 5 Power Mix'!BEQ22</f>
        <v>0</v>
      </c>
      <c r="BER42" s="1046">
        <f>BER38+((BER40+'NF - 5 Power Mix'!BER14+'NF - 5 Power Mix'!BER15)*860/10)+((('Form Sa1'!BEU835)*860)/10)+('Form Sa1'!BEU814*'Form Sa1'!BEU816/10)-'NF - 5 Power Mix'!BER21-'NF - 5 Power Mix'!BER22</f>
        <v>0</v>
      </c>
      <c r="BES42" s="1046">
        <f>BES38+((BES40+'NF - 5 Power Mix'!BES14+'NF - 5 Power Mix'!BES15)*860/10)+((('Form Sa1'!BEV835)*860)/10)+('Form Sa1'!BEV814*'Form Sa1'!BEV816/10)-'NF - 5 Power Mix'!BES21-'NF - 5 Power Mix'!BES22</f>
        <v>0</v>
      </c>
      <c r="BET42" s="1046">
        <f>BET38+((BET40+'NF - 5 Power Mix'!BET14+'NF - 5 Power Mix'!BET15)*860/10)+((('Form Sa1'!BEW835)*860)/10)+('Form Sa1'!BEW814*'Form Sa1'!BEW816/10)-'NF - 5 Power Mix'!BET21-'NF - 5 Power Mix'!BET22</f>
        <v>0</v>
      </c>
      <c r="BEU42" s="1046">
        <f>BEU38+((BEU40+'NF - 5 Power Mix'!BEU14+'NF - 5 Power Mix'!BEU15)*860/10)+((('Form Sa1'!BEX835)*860)/10)+('Form Sa1'!BEX814*'Form Sa1'!BEX816/10)-'NF - 5 Power Mix'!BEU21-'NF - 5 Power Mix'!BEU22</f>
        <v>0</v>
      </c>
      <c r="BEV42" s="1046">
        <f>BEV38+((BEV40+'NF - 5 Power Mix'!BEV14+'NF - 5 Power Mix'!BEV15)*860/10)+((('Form Sa1'!BEY835)*860)/10)+('Form Sa1'!BEY814*'Form Sa1'!BEY816/10)-'NF - 5 Power Mix'!BEV21-'NF - 5 Power Mix'!BEV22</f>
        <v>0</v>
      </c>
      <c r="BEW42" s="1046">
        <f>BEW38+((BEW40+'NF - 5 Power Mix'!BEW14+'NF - 5 Power Mix'!BEW15)*860/10)+((('Form Sa1'!BEZ835)*860)/10)+('Form Sa1'!BEZ814*'Form Sa1'!BEZ816/10)-'NF - 5 Power Mix'!BEW21-'NF - 5 Power Mix'!BEW22</f>
        <v>0</v>
      </c>
      <c r="BEX42" s="1046">
        <f>BEX38+((BEX40+'NF - 5 Power Mix'!BEX14+'NF - 5 Power Mix'!BEX15)*860/10)+((('Form Sa1'!BFA835)*860)/10)+('Form Sa1'!BFA814*'Form Sa1'!BFA816/10)-'NF - 5 Power Mix'!BEX21-'NF - 5 Power Mix'!BEX22</f>
        <v>0</v>
      </c>
      <c r="BEY42" s="1046">
        <f>BEY38+((BEY40+'NF - 5 Power Mix'!BEY14+'NF - 5 Power Mix'!BEY15)*860/10)+((('Form Sa1'!BFB835)*860)/10)+('Form Sa1'!BFB814*'Form Sa1'!BFB816/10)-'NF - 5 Power Mix'!BEY21-'NF - 5 Power Mix'!BEY22</f>
        <v>0</v>
      </c>
      <c r="BEZ42" s="1046">
        <f>BEZ38+((BEZ40+'NF - 5 Power Mix'!BEZ14+'NF - 5 Power Mix'!BEZ15)*860/10)+((('Form Sa1'!BFC835)*860)/10)+('Form Sa1'!BFC814*'Form Sa1'!BFC816/10)-'NF - 5 Power Mix'!BEZ21-'NF - 5 Power Mix'!BEZ22</f>
        <v>0</v>
      </c>
      <c r="BFA42" s="1046">
        <f>BFA38+((BFA40+'NF - 5 Power Mix'!BFA14+'NF - 5 Power Mix'!BFA15)*860/10)+((('Form Sa1'!BFD835)*860)/10)+('Form Sa1'!BFD814*'Form Sa1'!BFD816/10)-'NF - 5 Power Mix'!BFA21-'NF - 5 Power Mix'!BFA22</f>
        <v>0</v>
      </c>
      <c r="BFB42" s="1046">
        <f>BFB38+((BFB40+'NF - 5 Power Mix'!BFB14+'NF - 5 Power Mix'!BFB15)*860/10)+((('Form Sa1'!BFE835)*860)/10)+('Form Sa1'!BFE814*'Form Sa1'!BFE816/10)-'NF - 5 Power Mix'!BFB21-'NF - 5 Power Mix'!BFB22</f>
        <v>0</v>
      </c>
      <c r="BFC42" s="1046">
        <f>BFC38+((BFC40+'NF - 5 Power Mix'!BFC14+'NF - 5 Power Mix'!BFC15)*860/10)+((('Form Sa1'!BFF835)*860)/10)+('Form Sa1'!BFF814*'Form Sa1'!BFF816/10)-'NF - 5 Power Mix'!BFC21-'NF - 5 Power Mix'!BFC22</f>
        <v>0</v>
      </c>
      <c r="BFD42" s="1046">
        <f>BFD38+((BFD40+'NF - 5 Power Mix'!BFD14+'NF - 5 Power Mix'!BFD15)*860/10)+((('Form Sa1'!BFG835)*860)/10)+('Form Sa1'!BFG814*'Form Sa1'!BFG816/10)-'NF - 5 Power Mix'!BFD21-'NF - 5 Power Mix'!BFD22</f>
        <v>0</v>
      </c>
      <c r="BFE42" s="1046">
        <f>BFE38+((BFE40+'NF - 5 Power Mix'!BFE14+'NF - 5 Power Mix'!BFE15)*860/10)+((('Form Sa1'!BFH835)*860)/10)+('Form Sa1'!BFH814*'Form Sa1'!BFH816/10)-'NF - 5 Power Mix'!BFE21-'NF - 5 Power Mix'!BFE22</f>
        <v>0</v>
      </c>
      <c r="BFF42" s="1046">
        <f>BFF38+((BFF40+'NF - 5 Power Mix'!BFF14+'NF - 5 Power Mix'!BFF15)*860/10)+((('Form Sa1'!BFI835)*860)/10)+('Form Sa1'!BFI814*'Form Sa1'!BFI816/10)-'NF - 5 Power Mix'!BFF21-'NF - 5 Power Mix'!BFF22</f>
        <v>0</v>
      </c>
      <c r="BFG42" s="1046">
        <f>BFG38+((BFG40+'NF - 5 Power Mix'!BFG14+'NF - 5 Power Mix'!BFG15)*860/10)+((('Form Sa1'!BFJ835)*860)/10)+('Form Sa1'!BFJ814*'Form Sa1'!BFJ816/10)-'NF - 5 Power Mix'!BFG21-'NF - 5 Power Mix'!BFG22</f>
        <v>0</v>
      </c>
      <c r="BFH42" s="1046">
        <f>BFH38+((BFH40+'NF - 5 Power Mix'!BFH14+'NF - 5 Power Mix'!BFH15)*860/10)+((('Form Sa1'!BFK835)*860)/10)+('Form Sa1'!BFK814*'Form Sa1'!BFK816/10)-'NF - 5 Power Mix'!BFH21-'NF - 5 Power Mix'!BFH22</f>
        <v>0</v>
      </c>
      <c r="BFI42" s="1046">
        <f>BFI38+((BFI40+'NF - 5 Power Mix'!BFI14+'NF - 5 Power Mix'!BFI15)*860/10)+((('Form Sa1'!BFL835)*860)/10)+('Form Sa1'!BFL814*'Form Sa1'!BFL816/10)-'NF - 5 Power Mix'!BFI21-'NF - 5 Power Mix'!BFI22</f>
        <v>0</v>
      </c>
      <c r="BFJ42" s="1046">
        <f>BFJ38+((BFJ40+'NF - 5 Power Mix'!BFJ14+'NF - 5 Power Mix'!BFJ15)*860/10)+((('Form Sa1'!BFM835)*860)/10)+('Form Sa1'!BFM814*'Form Sa1'!BFM816/10)-'NF - 5 Power Mix'!BFJ21-'NF - 5 Power Mix'!BFJ22</f>
        <v>0</v>
      </c>
      <c r="BFK42" s="1046">
        <f>BFK38+((BFK40+'NF - 5 Power Mix'!BFK14+'NF - 5 Power Mix'!BFK15)*860/10)+((('Form Sa1'!BFN835)*860)/10)+('Form Sa1'!BFN814*'Form Sa1'!BFN816/10)-'NF - 5 Power Mix'!BFK21-'NF - 5 Power Mix'!BFK22</f>
        <v>0</v>
      </c>
      <c r="BFL42" s="1046">
        <f>BFL38+((BFL40+'NF - 5 Power Mix'!BFL14+'NF - 5 Power Mix'!BFL15)*860/10)+((('Form Sa1'!BFO835)*860)/10)+('Form Sa1'!BFO814*'Form Sa1'!BFO816/10)-'NF - 5 Power Mix'!BFL21-'NF - 5 Power Mix'!BFL22</f>
        <v>0</v>
      </c>
      <c r="BFM42" s="1046">
        <f>BFM38+((BFM40+'NF - 5 Power Mix'!BFM14+'NF - 5 Power Mix'!BFM15)*860/10)+((('Form Sa1'!BFP835)*860)/10)+('Form Sa1'!BFP814*'Form Sa1'!BFP816/10)-'NF - 5 Power Mix'!BFM21-'NF - 5 Power Mix'!BFM22</f>
        <v>0</v>
      </c>
      <c r="BFN42" s="1046">
        <f>BFN38+((BFN40+'NF - 5 Power Mix'!BFN14+'NF - 5 Power Mix'!BFN15)*860/10)+((('Form Sa1'!BFQ835)*860)/10)+('Form Sa1'!BFQ814*'Form Sa1'!BFQ816/10)-'NF - 5 Power Mix'!BFN21-'NF - 5 Power Mix'!BFN22</f>
        <v>0</v>
      </c>
      <c r="BFO42" s="1046">
        <f>BFO38+((BFO40+'NF - 5 Power Mix'!BFO14+'NF - 5 Power Mix'!BFO15)*860/10)+((('Form Sa1'!BFR835)*860)/10)+('Form Sa1'!BFR814*'Form Sa1'!BFR816/10)-'NF - 5 Power Mix'!BFO21-'NF - 5 Power Mix'!BFO22</f>
        <v>0</v>
      </c>
      <c r="BFP42" s="1046">
        <f>BFP38+((BFP40+'NF - 5 Power Mix'!BFP14+'NF - 5 Power Mix'!BFP15)*860/10)+((('Form Sa1'!BFS835)*860)/10)+('Form Sa1'!BFS814*'Form Sa1'!BFS816/10)-'NF - 5 Power Mix'!BFP21-'NF - 5 Power Mix'!BFP22</f>
        <v>0</v>
      </c>
      <c r="BFQ42" s="1046">
        <f>BFQ38+((BFQ40+'NF - 5 Power Mix'!BFQ14+'NF - 5 Power Mix'!BFQ15)*860/10)+((('Form Sa1'!BFT835)*860)/10)+('Form Sa1'!BFT814*'Form Sa1'!BFT816/10)-'NF - 5 Power Mix'!BFQ21-'NF - 5 Power Mix'!BFQ22</f>
        <v>0</v>
      </c>
      <c r="BFR42" s="1046">
        <f>BFR38+((BFR40+'NF - 5 Power Mix'!BFR14+'NF - 5 Power Mix'!BFR15)*860/10)+((('Form Sa1'!BFU835)*860)/10)+('Form Sa1'!BFU814*'Form Sa1'!BFU816/10)-'NF - 5 Power Mix'!BFR21-'NF - 5 Power Mix'!BFR22</f>
        <v>0</v>
      </c>
      <c r="BFS42" s="1046">
        <f>BFS38+((BFS40+'NF - 5 Power Mix'!BFS14+'NF - 5 Power Mix'!BFS15)*860/10)+((('Form Sa1'!BFV835)*860)/10)+('Form Sa1'!BFV814*'Form Sa1'!BFV816/10)-'NF - 5 Power Mix'!BFS21-'NF - 5 Power Mix'!BFS22</f>
        <v>0</v>
      </c>
      <c r="BFT42" s="1046">
        <f>BFT38+((BFT40+'NF - 5 Power Mix'!BFT14+'NF - 5 Power Mix'!BFT15)*860/10)+((('Form Sa1'!BFW835)*860)/10)+('Form Sa1'!BFW814*'Form Sa1'!BFW816/10)-'NF - 5 Power Mix'!BFT21-'NF - 5 Power Mix'!BFT22</f>
        <v>0</v>
      </c>
      <c r="BFU42" s="1046">
        <f>BFU38+((BFU40+'NF - 5 Power Mix'!BFU14+'NF - 5 Power Mix'!BFU15)*860/10)+((('Form Sa1'!BFX835)*860)/10)+('Form Sa1'!BFX814*'Form Sa1'!BFX816/10)-'NF - 5 Power Mix'!BFU21-'NF - 5 Power Mix'!BFU22</f>
        <v>0</v>
      </c>
      <c r="BFV42" s="1046">
        <f>BFV38+((BFV40+'NF - 5 Power Mix'!BFV14+'NF - 5 Power Mix'!BFV15)*860/10)+((('Form Sa1'!BFY835)*860)/10)+('Form Sa1'!BFY814*'Form Sa1'!BFY816/10)-'NF - 5 Power Mix'!BFV21-'NF - 5 Power Mix'!BFV22</f>
        <v>0</v>
      </c>
      <c r="BFW42" s="1046">
        <f>BFW38+((BFW40+'NF - 5 Power Mix'!BFW14+'NF - 5 Power Mix'!BFW15)*860/10)+((('Form Sa1'!BFZ835)*860)/10)+('Form Sa1'!BFZ814*'Form Sa1'!BFZ816/10)-'NF - 5 Power Mix'!BFW21-'NF - 5 Power Mix'!BFW22</f>
        <v>0</v>
      </c>
      <c r="BFX42" s="1046">
        <f>BFX38+((BFX40+'NF - 5 Power Mix'!BFX14+'NF - 5 Power Mix'!BFX15)*860/10)+((('Form Sa1'!BGA835)*860)/10)+('Form Sa1'!BGA814*'Form Sa1'!BGA816/10)-'NF - 5 Power Mix'!BFX21-'NF - 5 Power Mix'!BFX22</f>
        <v>0</v>
      </c>
      <c r="BFY42" s="1046">
        <f>BFY38+((BFY40+'NF - 5 Power Mix'!BFY14+'NF - 5 Power Mix'!BFY15)*860/10)+((('Form Sa1'!BGB835)*860)/10)+('Form Sa1'!BGB814*'Form Sa1'!BGB816/10)-'NF - 5 Power Mix'!BFY21-'NF - 5 Power Mix'!BFY22</f>
        <v>0</v>
      </c>
      <c r="BFZ42" s="1046">
        <f>BFZ38+((BFZ40+'NF - 5 Power Mix'!BFZ14+'NF - 5 Power Mix'!BFZ15)*860/10)+((('Form Sa1'!BGC835)*860)/10)+('Form Sa1'!BGC814*'Form Sa1'!BGC816/10)-'NF - 5 Power Mix'!BFZ21-'NF - 5 Power Mix'!BFZ22</f>
        <v>0</v>
      </c>
      <c r="BGA42" s="1046">
        <f>BGA38+((BGA40+'NF - 5 Power Mix'!BGA14+'NF - 5 Power Mix'!BGA15)*860/10)+((('Form Sa1'!BGD835)*860)/10)+('Form Sa1'!BGD814*'Form Sa1'!BGD816/10)-'NF - 5 Power Mix'!BGA21-'NF - 5 Power Mix'!BGA22</f>
        <v>0</v>
      </c>
      <c r="BGB42" s="1046">
        <f>BGB38+((BGB40+'NF - 5 Power Mix'!BGB14+'NF - 5 Power Mix'!BGB15)*860/10)+((('Form Sa1'!BGE835)*860)/10)+('Form Sa1'!BGE814*'Form Sa1'!BGE816/10)-'NF - 5 Power Mix'!BGB21-'NF - 5 Power Mix'!BGB22</f>
        <v>0</v>
      </c>
      <c r="BGC42" s="1046">
        <f>BGC38+((BGC40+'NF - 5 Power Mix'!BGC14+'NF - 5 Power Mix'!BGC15)*860/10)+((('Form Sa1'!BGF835)*860)/10)+('Form Sa1'!BGF814*'Form Sa1'!BGF816/10)-'NF - 5 Power Mix'!BGC21-'NF - 5 Power Mix'!BGC22</f>
        <v>0</v>
      </c>
      <c r="BGD42" s="1046">
        <f>BGD38+((BGD40+'NF - 5 Power Mix'!BGD14+'NF - 5 Power Mix'!BGD15)*860/10)+((('Form Sa1'!BGG835)*860)/10)+('Form Sa1'!BGG814*'Form Sa1'!BGG816/10)-'NF - 5 Power Mix'!BGD21-'NF - 5 Power Mix'!BGD22</f>
        <v>0</v>
      </c>
      <c r="BGE42" s="1046">
        <f>BGE38+((BGE40+'NF - 5 Power Mix'!BGE14+'NF - 5 Power Mix'!BGE15)*860/10)+((('Form Sa1'!BGH835)*860)/10)+('Form Sa1'!BGH814*'Form Sa1'!BGH816/10)-'NF - 5 Power Mix'!BGE21-'NF - 5 Power Mix'!BGE22</f>
        <v>0</v>
      </c>
      <c r="BGF42" s="1046">
        <f>BGF38+((BGF40+'NF - 5 Power Mix'!BGF14+'NF - 5 Power Mix'!BGF15)*860/10)+((('Form Sa1'!BGI835)*860)/10)+('Form Sa1'!BGI814*'Form Sa1'!BGI816/10)-'NF - 5 Power Mix'!BGF21-'NF - 5 Power Mix'!BGF22</f>
        <v>0</v>
      </c>
      <c r="BGG42" s="1046">
        <f>BGG38+((BGG40+'NF - 5 Power Mix'!BGG14+'NF - 5 Power Mix'!BGG15)*860/10)+((('Form Sa1'!BGJ835)*860)/10)+('Form Sa1'!BGJ814*'Form Sa1'!BGJ816/10)-'NF - 5 Power Mix'!BGG21-'NF - 5 Power Mix'!BGG22</f>
        <v>0</v>
      </c>
      <c r="BGH42" s="1046">
        <f>BGH38+((BGH40+'NF - 5 Power Mix'!BGH14+'NF - 5 Power Mix'!BGH15)*860/10)+((('Form Sa1'!BGK835)*860)/10)+('Form Sa1'!BGK814*'Form Sa1'!BGK816/10)-'NF - 5 Power Mix'!BGH21-'NF - 5 Power Mix'!BGH22</f>
        <v>0</v>
      </c>
      <c r="BGI42" s="1046">
        <f>BGI38+((BGI40+'NF - 5 Power Mix'!BGI14+'NF - 5 Power Mix'!BGI15)*860/10)+((('Form Sa1'!BGL835)*860)/10)+('Form Sa1'!BGL814*'Form Sa1'!BGL816/10)-'NF - 5 Power Mix'!BGI21-'NF - 5 Power Mix'!BGI22</f>
        <v>0</v>
      </c>
      <c r="BGJ42" s="1046">
        <f>BGJ38+((BGJ40+'NF - 5 Power Mix'!BGJ14+'NF - 5 Power Mix'!BGJ15)*860/10)+((('Form Sa1'!BGM835)*860)/10)+('Form Sa1'!BGM814*'Form Sa1'!BGM816/10)-'NF - 5 Power Mix'!BGJ21-'NF - 5 Power Mix'!BGJ22</f>
        <v>0</v>
      </c>
      <c r="BGK42" s="1046">
        <f>BGK38+((BGK40+'NF - 5 Power Mix'!BGK14+'NF - 5 Power Mix'!BGK15)*860/10)+((('Form Sa1'!BGN835)*860)/10)+('Form Sa1'!BGN814*'Form Sa1'!BGN816/10)-'NF - 5 Power Mix'!BGK21-'NF - 5 Power Mix'!BGK22</f>
        <v>0</v>
      </c>
      <c r="BGL42" s="1046">
        <f>BGL38+((BGL40+'NF - 5 Power Mix'!BGL14+'NF - 5 Power Mix'!BGL15)*860/10)+((('Form Sa1'!BGO835)*860)/10)+('Form Sa1'!BGO814*'Form Sa1'!BGO816/10)-'NF - 5 Power Mix'!BGL21-'NF - 5 Power Mix'!BGL22</f>
        <v>0</v>
      </c>
      <c r="BGM42" s="1046">
        <f>BGM38+((BGM40+'NF - 5 Power Mix'!BGM14+'NF - 5 Power Mix'!BGM15)*860/10)+((('Form Sa1'!BGP835)*860)/10)+('Form Sa1'!BGP814*'Form Sa1'!BGP816/10)-'NF - 5 Power Mix'!BGM21-'NF - 5 Power Mix'!BGM22</f>
        <v>0</v>
      </c>
      <c r="BGN42" s="1046">
        <f>BGN38+((BGN40+'NF - 5 Power Mix'!BGN14+'NF - 5 Power Mix'!BGN15)*860/10)+((('Form Sa1'!BGQ835)*860)/10)+('Form Sa1'!BGQ814*'Form Sa1'!BGQ816/10)-'NF - 5 Power Mix'!BGN21-'NF - 5 Power Mix'!BGN22</f>
        <v>0</v>
      </c>
      <c r="BGO42" s="1046">
        <f>BGO38+((BGO40+'NF - 5 Power Mix'!BGO14+'NF - 5 Power Mix'!BGO15)*860/10)+((('Form Sa1'!BGR835)*860)/10)+('Form Sa1'!BGR814*'Form Sa1'!BGR816/10)-'NF - 5 Power Mix'!BGO21-'NF - 5 Power Mix'!BGO22</f>
        <v>0</v>
      </c>
      <c r="BGP42" s="1046">
        <f>BGP38+((BGP40+'NF - 5 Power Mix'!BGP14+'NF - 5 Power Mix'!BGP15)*860/10)+((('Form Sa1'!BGS835)*860)/10)+('Form Sa1'!BGS814*'Form Sa1'!BGS816/10)-'NF - 5 Power Mix'!BGP21-'NF - 5 Power Mix'!BGP22</f>
        <v>0</v>
      </c>
      <c r="BGQ42" s="1046">
        <f>BGQ38+((BGQ40+'NF - 5 Power Mix'!BGQ14+'NF - 5 Power Mix'!BGQ15)*860/10)+((('Form Sa1'!BGT835)*860)/10)+('Form Sa1'!BGT814*'Form Sa1'!BGT816/10)-'NF - 5 Power Mix'!BGQ21-'NF - 5 Power Mix'!BGQ22</f>
        <v>0</v>
      </c>
      <c r="BGR42" s="1046">
        <f>BGR38+((BGR40+'NF - 5 Power Mix'!BGR14+'NF - 5 Power Mix'!BGR15)*860/10)+((('Form Sa1'!BGU835)*860)/10)+('Form Sa1'!BGU814*'Form Sa1'!BGU816/10)-'NF - 5 Power Mix'!BGR21-'NF - 5 Power Mix'!BGR22</f>
        <v>0</v>
      </c>
      <c r="BGS42" s="1046">
        <f>BGS38+((BGS40+'NF - 5 Power Mix'!BGS14+'NF - 5 Power Mix'!BGS15)*860/10)+((('Form Sa1'!BGV835)*860)/10)+('Form Sa1'!BGV814*'Form Sa1'!BGV816/10)-'NF - 5 Power Mix'!BGS21-'NF - 5 Power Mix'!BGS22</f>
        <v>0</v>
      </c>
      <c r="BGT42" s="1046">
        <f>BGT38+((BGT40+'NF - 5 Power Mix'!BGT14+'NF - 5 Power Mix'!BGT15)*860/10)+((('Form Sa1'!BGW835)*860)/10)+('Form Sa1'!BGW814*'Form Sa1'!BGW816/10)-'NF - 5 Power Mix'!BGT21-'NF - 5 Power Mix'!BGT22</f>
        <v>0</v>
      </c>
      <c r="BGU42" s="1046">
        <f>BGU38+((BGU40+'NF - 5 Power Mix'!BGU14+'NF - 5 Power Mix'!BGU15)*860/10)+((('Form Sa1'!BGX835)*860)/10)+('Form Sa1'!BGX814*'Form Sa1'!BGX816/10)-'NF - 5 Power Mix'!BGU21-'NF - 5 Power Mix'!BGU22</f>
        <v>0</v>
      </c>
      <c r="BGV42" s="1046">
        <f>BGV38+((BGV40+'NF - 5 Power Mix'!BGV14+'NF - 5 Power Mix'!BGV15)*860/10)+((('Form Sa1'!BGY835)*860)/10)+('Form Sa1'!BGY814*'Form Sa1'!BGY816/10)-'NF - 5 Power Mix'!BGV21-'NF - 5 Power Mix'!BGV22</f>
        <v>0</v>
      </c>
      <c r="BGW42" s="1046">
        <f>BGW38+((BGW40+'NF - 5 Power Mix'!BGW14+'NF - 5 Power Mix'!BGW15)*860/10)+((('Form Sa1'!BGZ835)*860)/10)+('Form Sa1'!BGZ814*'Form Sa1'!BGZ816/10)-'NF - 5 Power Mix'!BGW21-'NF - 5 Power Mix'!BGW22</f>
        <v>0</v>
      </c>
      <c r="BGX42" s="1046">
        <f>BGX38+((BGX40+'NF - 5 Power Mix'!BGX14+'NF - 5 Power Mix'!BGX15)*860/10)+((('Form Sa1'!BHA835)*860)/10)+('Form Sa1'!BHA814*'Form Sa1'!BHA816/10)-'NF - 5 Power Mix'!BGX21-'NF - 5 Power Mix'!BGX22</f>
        <v>0</v>
      </c>
      <c r="BGY42" s="1046">
        <f>BGY38+((BGY40+'NF - 5 Power Mix'!BGY14+'NF - 5 Power Mix'!BGY15)*860/10)+((('Form Sa1'!BHB835)*860)/10)+('Form Sa1'!BHB814*'Form Sa1'!BHB816/10)-'NF - 5 Power Mix'!BGY21-'NF - 5 Power Mix'!BGY22</f>
        <v>0</v>
      </c>
      <c r="BGZ42" s="1046">
        <f>BGZ38+((BGZ40+'NF - 5 Power Mix'!BGZ14+'NF - 5 Power Mix'!BGZ15)*860/10)+((('Form Sa1'!BHC835)*860)/10)+('Form Sa1'!BHC814*'Form Sa1'!BHC816/10)-'NF - 5 Power Mix'!BGZ21-'NF - 5 Power Mix'!BGZ22</f>
        <v>0</v>
      </c>
      <c r="BHA42" s="1046">
        <f>BHA38+((BHA40+'NF - 5 Power Mix'!BHA14+'NF - 5 Power Mix'!BHA15)*860/10)+((('Form Sa1'!BHD835)*860)/10)+('Form Sa1'!BHD814*'Form Sa1'!BHD816/10)-'NF - 5 Power Mix'!BHA21-'NF - 5 Power Mix'!BHA22</f>
        <v>0</v>
      </c>
      <c r="BHB42" s="1046">
        <f>BHB38+((BHB40+'NF - 5 Power Mix'!BHB14+'NF - 5 Power Mix'!BHB15)*860/10)+((('Form Sa1'!BHE835)*860)/10)+('Form Sa1'!BHE814*'Form Sa1'!BHE816/10)-'NF - 5 Power Mix'!BHB21-'NF - 5 Power Mix'!BHB22</f>
        <v>0</v>
      </c>
      <c r="BHC42" s="1046">
        <f>BHC38+((BHC40+'NF - 5 Power Mix'!BHC14+'NF - 5 Power Mix'!BHC15)*860/10)+((('Form Sa1'!BHF835)*860)/10)+('Form Sa1'!BHF814*'Form Sa1'!BHF816/10)-'NF - 5 Power Mix'!BHC21-'NF - 5 Power Mix'!BHC22</f>
        <v>0</v>
      </c>
      <c r="BHD42" s="1046">
        <f>BHD38+((BHD40+'NF - 5 Power Mix'!BHD14+'NF - 5 Power Mix'!BHD15)*860/10)+((('Form Sa1'!BHG835)*860)/10)+('Form Sa1'!BHG814*'Form Sa1'!BHG816/10)-'NF - 5 Power Mix'!BHD21-'NF - 5 Power Mix'!BHD22</f>
        <v>0</v>
      </c>
      <c r="BHE42" s="1046">
        <f>BHE38+((BHE40+'NF - 5 Power Mix'!BHE14+'NF - 5 Power Mix'!BHE15)*860/10)+((('Form Sa1'!BHH835)*860)/10)+('Form Sa1'!BHH814*'Form Sa1'!BHH816/10)-'NF - 5 Power Mix'!BHE21-'NF - 5 Power Mix'!BHE22</f>
        <v>0</v>
      </c>
      <c r="BHF42" s="1046">
        <f>BHF38+((BHF40+'NF - 5 Power Mix'!BHF14+'NF - 5 Power Mix'!BHF15)*860/10)+((('Form Sa1'!BHI835)*860)/10)+('Form Sa1'!BHI814*'Form Sa1'!BHI816/10)-'NF - 5 Power Mix'!BHF21-'NF - 5 Power Mix'!BHF22</f>
        <v>0</v>
      </c>
      <c r="BHG42" s="1046">
        <f>BHG38+((BHG40+'NF - 5 Power Mix'!BHG14+'NF - 5 Power Mix'!BHG15)*860/10)+((('Form Sa1'!BHJ835)*860)/10)+('Form Sa1'!BHJ814*'Form Sa1'!BHJ816/10)-'NF - 5 Power Mix'!BHG21-'NF - 5 Power Mix'!BHG22</f>
        <v>0</v>
      </c>
      <c r="BHH42" s="1046">
        <f>BHH38+((BHH40+'NF - 5 Power Mix'!BHH14+'NF - 5 Power Mix'!BHH15)*860/10)+((('Form Sa1'!BHK835)*860)/10)+('Form Sa1'!BHK814*'Form Sa1'!BHK816/10)-'NF - 5 Power Mix'!BHH21-'NF - 5 Power Mix'!BHH22</f>
        <v>0</v>
      </c>
      <c r="BHI42" s="1046">
        <f>BHI38+((BHI40+'NF - 5 Power Mix'!BHI14+'NF - 5 Power Mix'!BHI15)*860/10)+((('Form Sa1'!BHL835)*860)/10)+('Form Sa1'!BHL814*'Form Sa1'!BHL816/10)-'NF - 5 Power Mix'!BHI21-'NF - 5 Power Mix'!BHI22</f>
        <v>0</v>
      </c>
      <c r="BHJ42" s="1046">
        <f>BHJ38+((BHJ40+'NF - 5 Power Mix'!BHJ14+'NF - 5 Power Mix'!BHJ15)*860/10)+((('Form Sa1'!BHM835)*860)/10)+('Form Sa1'!BHM814*'Form Sa1'!BHM816/10)-'NF - 5 Power Mix'!BHJ21-'NF - 5 Power Mix'!BHJ22</f>
        <v>0</v>
      </c>
      <c r="BHK42" s="1046">
        <f>BHK38+((BHK40+'NF - 5 Power Mix'!BHK14+'NF - 5 Power Mix'!BHK15)*860/10)+((('Form Sa1'!BHN835)*860)/10)+('Form Sa1'!BHN814*'Form Sa1'!BHN816/10)-'NF - 5 Power Mix'!BHK21-'NF - 5 Power Mix'!BHK22</f>
        <v>0</v>
      </c>
      <c r="BHL42" s="1046">
        <f>BHL38+((BHL40+'NF - 5 Power Mix'!BHL14+'NF - 5 Power Mix'!BHL15)*860/10)+((('Form Sa1'!BHO835)*860)/10)+('Form Sa1'!BHO814*'Form Sa1'!BHO816/10)-'NF - 5 Power Mix'!BHL21-'NF - 5 Power Mix'!BHL22</f>
        <v>0</v>
      </c>
      <c r="BHM42" s="1046">
        <f>BHM38+((BHM40+'NF - 5 Power Mix'!BHM14+'NF - 5 Power Mix'!BHM15)*860/10)+((('Form Sa1'!BHP835)*860)/10)+('Form Sa1'!BHP814*'Form Sa1'!BHP816/10)-'NF - 5 Power Mix'!BHM21-'NF - 5 Power Mix'!BHM22</f>
        <v>0</v>
      </c>
      <c r="BHN42" s="1046">
        <f>BHN38+((BHN40+'NF - 5 Power Mix'!BHN14+'NF - 5 Power Mix'!BHN15)*860/10)+((('Form Sa1'!BHQ835)*860)/10)+('Form Sa1'!BHQ814*'Form Sa1'!BHQ816/10)-'NF - 5 Power Mix'!BHN21-'NF - 5 Power Mix'!BHN22</f>
        <v>0</v>
      </c>
      <c r="BHO42" s="1046">
        <f>BHO38+((BHO40+'NF - 5 Power Mix'!BHO14+'NF - 5 Power Mix'!BHO15)*860/10)+((('Form Sa1'!BHR835)*860)/10)+('Form Sa1'!BHR814*'Form Sa1'!BHR816/10)-'NF - 5 Power Mix'!BHO21-'NF - 5 Power Mix'!BHO22</f>
        <v>0</v>
      </c>
      <c r="BHP42" s="1046">
        <f>BHP38+((BHP40+'NF - 5 Power Mix'!BHP14+'NF - 5 Power Mix'!BHP15)*860/10)+((('Form Sa1'!BHS835)*860)/10)+('Form Sa1'!BHS814*'Form Sa1'!BHS816/10)-'NF - 5 Power Mix'!BHP21-'NF - 5 Power Mix'!BHP22</f>
        <v>0</v>
      </c>
      <c r="BHQ42" s="1046">
        <f>BHQ38+((BHQ40+'NF - 5 Power Mix'!BHQ14+'NF - 5 Power Mix'!BHQ15)*860/10)+((('Form Sa1'!BHT835)*860)/10)+('Form Sa1'!BHT814*'Form Sa1'!BHT816/10)-'NF - 5 Power Mix'!BHQ21-'NF - 5 Power Mix'!BHQ22</f>
        <v>0</v>
      </c>
      <c r="BHR42" s="1046">
        <f>BHR38+((BHR40+'NF - 5 Power Mix'!BHR14+'NF - 5 Power Mix'!BHR15)*860/10)+((('Form Sa1'!BHU835)*860)/10)+('Form Sa1'!BHU814*'Form Sa1'!BHU816/10)-'NF - 5 Power Mix'!BHR21-'NF - 5 Power Mix'!BHR22</f>
        <v>0</v>
      </c>
      <c r="BHS42" s="1046">
        <f>BHS38+((BHS40+'NF - 5 Power Mix'!BHS14+'NF - 5 Power Mix'!BHS15)*860/10)+((('Form Sa1'!BHV835)*860)/10)+('Form Sa1'!BHV814*'Form Sa1'!BHV816/10)-'NF - 5 Power Mix'!BHS21-'NF - 5 Power Mix'!BHS22</f>
        <v>0</v>
      </c>
      <c r="BHT42" s="1046">
        <f>BHT38+((BHT40+'NF - 5 Power Mix'!BHT14+'NF - 5 Power Mix'!BHT15)*860/10)+((('Form Sa1'!BHW835)*860)/10)+('Form Sa1'!BHW814*'Form Sa1'!BHW816/10)-'NF - 5 Power Mix'!BHT21-'NF - 5 Power Mix'!BHT22</f>
        <v>0</v>
      </c>
      <c r="BHU42" s="1046">
        <f>BHU38+((BHU40+'NF - 5 Power Mix'!BHU14+'NF - 5 Power Mix'!BHU15)*860/10)+((('Form Sa1'!BHX835)*860)/10)+('Form Sa1'!BHX814*'Form Sa1'!BHX816/10)-'NF - 5 Power Mix'!BHU21-'NF - 5 Power Mix'!BHU22</f>
        <v>0</v>
      </c>
      <c r="BHV42" s="1046">
        <f>BHV38+((BHV40+'NF - 5 Power Mix'!BHV14+'NF - 5 Power Mix'!BHV15)*860/10)+((('Form Sa1'!BHY835)*860)/10)+('Form Sa1'!BHY814*'Form Sa1'!BHY816/10)-'NF - 5 Power Mix'!BHV21-'NF - 5 Power Mix'!BHV22</f>
        <v>0</v>
      </c>
      <c r="BHW42" s="1046">
        <f>BHW38+((BHW40+'NF - 5 Power Mix'!BHW14+'NF - 5 Power Mix'!BHW15)*860/10)+((('Form Sa1'!BHZ835)*860)/10)+('Form Sa1'!BHZ814*'Form Sa1'!BHZ816/10)-'NF - 5 Power Mix'!BHW21-'NF - 5 Power Mix'!BHW22</f>
        <v>0</v>
      </c>
      <c r="BHX42" s="1046">
        <f>BHX38+((BHX40+'NF - 5 Power Mix'!BHX14+'NF - 5 Power Mix'!BHX15)*860/10)+((('Form Sa1'!BIA835)*860)/10)+('Form Sa1'!BIA814*'Form Sa1'!BIA816/10)-'NF - 5 Power Mix'!BHX21-'NF - 5 Power Mix'!BHX22</f>
        <v>0</v>
      </c>
      <c r="BHY42" s="1046">
        <f>BHY38+((BHY40+'NF - 5 Power Mix'!BHY14+'NF - 5 Power Mix'!BHY15)*860/10)+((('Form Sa1'!BIB835)*860)/10)+('Form Sa1'!BIB814*'Form Sa1'!BIB816/10)-'NF - 5 Power Mix'!BHY21-'NF - 5 Power Mix'!BHY22</f>
        <v>0</v>
      </c>
      <c r="BHZ42" s="1046">
        <f>BHZ38+((BHZ40+'NF - 5 Power Mix'!BHZ14+'NF - 5 Power Mix'!BHZ15)*860/10)+((('Form Sa1'!BIC835)*860)/10)+('Form Sa1'!BIC814*'Form Sa1'!BIC816/10)-'NF - 5 Power Mix'!BHZ21-'NF - 5 Power Mix'!BHZ22</f>
        <v>0</v>
      </c>
      <c r="BIA42" s="1046">
        <f>BIA38+((BIA40+'NF - 5 Power Mix'!BIA14+'NF - 5 Power Mix'!BIA15)*860/10)+((('Form Sa1'!BID835)*860)/10)+('Form Sa1'!BID814*'Form Sa1'!BID816/10)-'NF - 5 Power Mix'!BIA21-'NF - 5 Power Mix'!BIA22</f>
        <v>0</v>
      </c>
      <c r="BIB42" s="1046">
        <f>BIB38+((BIB40+'NF - 5 Power Mix'!BIB14+'NF - 5 Power Mix'!BIB15)*860/10)+((('Form Sa1'!BIE835)*860)/10)+('Form Sa1'!BIE814*'Form Sa1'!BIE816/10)-'NF - 5 Power Mix'!BIB21-'NF - 5 Power Mix'!BIB22</f>
        <v>0</v>
      </c>
      <c r="BIC42" s="1046">
        <f>BIC38+((BIC40+'NF - 5 Power Mix'!BIC14+'NF - 5 Power Mix'!BIC15)*860/10)+((('Form Sa1'!BIF835)*860)/10)+('Form Sa1'!BIF814*'Form Sa1'!BIF816/10)-'NF - 5 Power Mix'!BIC21-'NF - 5 Power Mix'!BIC22</f>
        <v>0</v>
      </c>
      <c r="BID42" s="1046">
        <f>BID38+((BID40+'NF - 5 Power Mix'!BID14+'NF - 5 Power Mix'!BID15)*860/10)+((('Form Sa1'!BIG835)*860)/10)+('Form Sa1'!BIG814*'Form Sa1'!BIG816/10)-'NF - 5 Power Mix'!BID21-'NF - 5 Power Mix'!BID22</f>
        <v>0</v>
      </c>
      <c r="BIE42" s="1046">
        <f>BIE38+((BIE40+'NF - 5 Power Mix'!BIE14+'NF - 5 Power Mix'!BIE15)*860/10)+((('Form Sa1'!BIH835)*860)/10)+('Form Sa1'!BIH814*'Form Sa1'!BIH816/10)-'NF - 5 Power Mix'!BIE21-'NF - 5 Power Mix'!BIE22</f>
        <v>0</v>
      </c>
      <c r="BIF42" s="1046">
        <f>BIF38+((BIF40+'NF - 5 Power Mix'!BIF14+'NF - 5 Power Mix'!BIF15)*860/10)+((('Form Sa1'!BII835)*860)/10)+('Form Sa1'!BII814*'Form Sa1'!BII816/10)-'NF - 5 Power Mix'!BIF21-'NF - 5 Power Mix'!BIF22</f>
        <v>0</v>
      </c>
      <c r="BIG42" s="1046">
        <f>BIG38+((BIG40+'NF - 5 Power Mix'!BIG14+'NF - 5 Power Mix'!BIG15)*860/10)+((('Form Sa1'!BIJ835)*860)/10)+('Form Sa1'!BIJ814*'Form Sa1'!BIJ816/10)-'NF - 5 Power Mix'!BIG21-'NF - 5 Power Mix'!BIG22</f>
        <v>0</v>
      </c>
      <c r="BIH42" s="1046">
        <f>BIH38+((BIH40+'NF - 5 Power Mix'!BIH14+'NF - 5 Power Mix'!BIH15)*860/10)+((('Form Sa1'!BIK835)*860)/10)+('Form Sa1'!BIK814*'Form Sa1'!BIK816/10)-'NF - 5 Power Mix'!BIH21-'NF - 5 Power Mix'!BIH22</f>
        <v>0</v>
      </c>
      <c r="BII42" s="1046">
        <f>BII38+((BII40+'NF - 5 Power Mix'!BII14+'NF - 5 Power Mix'!BII15)*860/10)+((('Form Sa1'!BIL835)*860)/10)+('Form Sa1'!BIL814*'Form Sa1'!BIL816/10)-'NF - 5 Power Mix'!BII21-'NF - 5 Power Mix'!BII22</f>
        <v>0</v>
      </c>
      <c r="BIJ42" s="1046">
        <f>BIJ38+((BIJ40+'NF - 5 Power Mix'!BIJ14+'NF - 5 Power Mix'!BIJ15)*860/10)+((('Form Sa1'!BIM835)*860)/10)+('Form Sa1'!BIM814*'Form Sa1'!BIM816/10)-'NF - 5 Power Mix'!BIJ21-'NF - 5 Power Mix'!BIJ22</f>
        <v>0</v>
      </c>
      <c r="BIK42" s="1046">
        <f>BIK38+((BIK40+'NF - 5 Power Mix'!BIK14+'NF - 5 Power Mix'!BIK15)*860/10)+((('Form Sa1'!BIN835)*860)/10)+('Form Sa1'!BIN814*'Form Sa1'!BIN816/10)-'NF - 5 Power Mix'!BIK21-'NF - 5 Power Mix'!BIK22</f>
        <v>0</v>
      </c>
      <c r="BIL42" s="1046">
        <f>BIL38+((BIL40+'NF - 5 Power Mix'!BIL14+'NF - 5 Power Mix'!BIL15)*860/10)+((('Form Sa1'!BIO835)*860)/10)+('Form Sa1'!BIO814*'Form Sa1'!BIO816/10)-'NF - 5 Power Mix'!BIL21-'NF - 5 Power Mix'!BIL22</f>
        <v>0</v>
      </c>
      <c r="BIM42" s="1046">
        <f>BIM38+((BIM40+'NF - 5 Power Mix'!BIM14+'NF - 5 Power Mix'!BIM15)*860/10)+((('Form Sa1'!BIP835)*860)/10)+('Form Sa1'!BIP814*'Form Sa1'!BIP816/10)-'NF - 5 Power Mix'!BIM21-'NF - 5 Power Mix'!BIM22</f>
        <v>0</v>
      </c>
      <c r="BIN42" s="1046">
        <f>BIN38+((BIN40+'NF - 5 Power Mix'!BIN14+'NF - 5 Power Mix'!BIN15)*860/10)+((('Form Sa1'!BIQ835)*860)/10)+('Form Sa1'!BIQ814*'Form Sa1'!BIQ816/10)-'NF - 5 Power Mix'!BIN21-'NF - 5 Power Mix'!BIN22</f>
        <v>0</v>
      </c>
      <c r="BIO42" s="1046">
        <f>BIO38+((BIO40+'NF - 5 Power Mix'!BIO14+'NF - 5 Power Mix'!BIO15)*860/10)+((('Form Sa1'!BIR835)*860)/10)+('Form Sa1'!BIR814*'Form Sa1'!BIR816/10)-'NF - 5 Power Mix'!BIO21-'NF - 5 Power Mix'!BIO22</f>
        <v>0</v>
      </c>
      <c r="BIP42" s="1046">
        <f>BIP38+((BIP40+'NF - 5 Power Mix'!BIP14+'NF - 5 Power Mix'!BIP15)*860/10)+((('Form Sa1'!BIS835)*860)/10)+('Form Sa1'!BIS814*'Form Sa1'!BIS816/10)-'NF - 5 Power Mix'!BIP21-'NF - 5 Power Mix'!BIP22</f>
        <v>0</v>
      </c>
      <c r="BIQ42" s="1046">
        <f>BIQ38+((BIQ40+'NF - 5 Power Mix'!BIQ14+'NF - 5 Power Mix'!BIQ15)*860/10)+((('Form Sa1'!BIT835)*860)/10)+('Form Sa1'!BIT814*'Form Sa1'!BIT816/10)-'NF - 5 Power Mix'!BIQ21-'NF - 5 Power Mix'!BIQ22</f>
        <v>0</v>
      </c>
      <c r="BIR42" s="1046">
        <f>BIR38+((BIR40+'NF - 5 Power Mix'!BIR14+'NF - 5 Power Mix'!BIR15)*860/10)+((('Form Sa1'!BIU835)*860)/10)+('Form Sa1'!BIU814*'Form Sa1'!BIU816/10)-'NF - 5 Power Mix'!BIR21-'NF - 5 Power Mix'!BIR22</f>
        <v>0</v>
      </c>
      <c r="BIS42" s="1046">
        <f>BIS38+((BIS40+'NF - 5 Power Mix'!BIS14+'NF - 5 Power Mix'!BIS15)*860/10)+((('Form Sa1'!BIV835)*860)/10)+('Form Sa1'!BIV814*'Form Sa1'!BIV816/10)-'NF - 5 Power Mix'!BIS21-'NF - 5 Power Mix'!BIS22</f>
        <v>0</v>
      </c>
      <c r="BIT42" s="1046">
        <f>BIT38+((BIT40+'NF - 5 Power Mix'!BIT14+'NF - 5 Power Mix'!BIT15)*860/10)+((('Form Sa1'!BIW835)*860)/10)+('Form Sa1'!BIW814*'Form Sa1'!BIW816/10)-'NF - 5 Power Mix'!BIT21-'NF - 5 Power Mix'!BIT22</f>
        <v>0</v>
      </c>
      <c r="BIU42" s="1046">
        <f>BIU38+((BIU40+'NF - 5 Power Mix'!BIU14+'NF - 5 Power Mix'!BIU15)*860/10)+((('Form Sa1'!BIX835)*860)/10)+('Form Sa1'!BIX814*'Form Sa1'!BIX816/10)-'NF - 5 Power Mix'!BIU21-'NF - 5 Power Mix'!BIU22</f>
        <v>0</v>
      </c>
      <c r="BIV42" s="1046">
        <f>BIV38+((BIV40+'NF - 5 Power Mix'!BIV14+'NF - 5 Power Mix'!BIV15)*860/10)+((('Form Sa1'!BIY835)*860)/10)+('Form Sa1'!BIY814*'Form Sa1'!BIY816/10)-'NF - 5 Power Mix'!BIV21-'NF - 5 Power Mix'!BIV22</f>
        <v>0</v>
      </c>
      <c r="BIW42" s="1046">
        <f>BIW38+((BIW40+'NF - 5 Power Mix'!BIW14+'NF - 5 Power Mix'!BIW15)*860/10)+((('Form Sa1'!BIZ835)*860)/10)+('Form Sa1'!BIZ814*'Form Sa1'!BIZ816/10)-'NF - 5 Power Mix'!BIW21-'NF - 5 Power Mix'!BIW22</f>
        <v>0</v>
      </c>
      <c r="BIX42" s="1046">
        <f>BIX38+((BIX40+'NF - 5 Power Mix'!BIX14+'NF - 5 Power Mix'!BIX15)*860/10)+((('Form Sa1'!BJA835)*860)/10)+('Form Sa1'!BJA814*'Form Sa1'!BJA816/10)-'NF - 5 Power Mix'!BIX21-'NF - 5 Power Mix'!BIX22</f>
        <v>0</v>
      </c>
      <c r="BIY42" s="1046">
        <f>BIY38+((BIY40+'NF - 5 Power Mix'!BIY14+'NF - 5 Power Mix'!BIY15)*860/10)+((('Form Sa1'!BJB835)*860)/10)+('Form Sa1'!BJB814*'Form Sa1'!BJB816/10)-'NF - 5 Power Mix'!BIY21-'NF - 5 Power Mix'!BIY22</f>
        <v>0</v>
      </c>
      <c r="BIZ42" s="1046">
        <f>BIZ38+((BIZ40+'NF - 5 Power Mix'!BIZ14+'NF - 5 Power Mix'!BIZ15)*860/10)+((('Form Sa1'!BJC835)*860)/10)+('Form Sa1'!BJC814*'Form Sa1'!BJC816/10)-'NF - 5 Power Mix'!BIZ21-'NF - 5 Power Mix'!BIZ22</f>
        <v>0</v>
      </c>
      <c r="BJA42" s="1046">
        <f>BJA38+((BJA40+'NF - 5 Power Mix'!BJA14+'NF - 5 Power Mix'!BJA15)*860/10)+((('Form Sa1'!BJD835)*860)/10)+('Form Sa1'!BJD814*'Form Sa1'!BJD816/10)-'NF - 5 Power Mix'!BJA21-'NF - 5 Power Mix'!BJA22</f>
        <v>0</v>
      </c>
      <c r="BJB42" s="1046">
        <f>BJB38+((BJB40+'NF - 5 Power Mix'!BJB14+'NF - 5 Power Mix'!BJB15)*860/10)+((('Form Sa1'!BJE835)*860)/10)+('Form Sa1'!BJE814*'Form Sa1'!BJE816/10)-'NF - 5 Power Mix'!BJB21-'NF - 5 Power Mix'!BJB22</f>
        <v>0</v>
      </c>
      <c r="BJC42" s="1046">
        <f>BJC38+((BJC40+'NF - 5 Power Mix'!BJC14+'NF - 5 Power Mix'!BJC15)*860/10)+((('Form Sa1'!BJF835)*860)/10)+('Form Sa1'!BJF814*'Form Sa1'!BJF816/10)-'NF - 5 Power Mix'!BJC21-'NF - 5 Power Mix'!BJC22</f>
        <v>0</v>
      </c>
      <c r="BJD42" s="1046">
        <f>BJD38+((BJD40+'NF - 5 Power Mix'!BJD14+'NF - 5 Power Mix'!BJD15)*860/10)+((('Form Sa1'!BJG835)*860)/10)+('Form Sa1'!BJG814*'Form Sa1'!BJG816/10)-'NF - 5 Power Mix'!BJD21-'NF - 5 Power Mix'!BJD22</f>
        <v>0</v>
      </c>
      <c r="BJE42" s="1046">
        <f>BJE38+((BJE40+'NF - 5 Power Mix'!BJE14+'NF - 5 Power Mix'!BJE15)*860/10)+((('Form Sa1'!BJH835)*860)/10)+('Form Sa1'!BJH814*'Form Sa1'!BJH816/10)-'NF - 5 Power Mix'!BJE21-'NF - 5 Power Mix'!BJE22</f>
        <v>0</v>
      </c>
      <c r="BJF42" s="1046">
        <f>BJF38+((BJF40+'NF - 5 Power Mix'!BJF14+'NF - 5 Power Mix'!BJF15)*860/10)+((('Form Sa1'!BJI835)*860)/10)+('Form Sa1'!BJI814*'Form Sa1'!BJI816/10)-'NF - 5 Power Mix'!BJF21-'NF - 5 Power Mix'!BJF22</f>
        <v>0</v>
      </c>
      <c r="BJG42" s="1046">
        <f>BJG38+((BJG40+'NF - 5 Power Mix'!BJG14+'NF - 5 Power Mix'!BJG15)*860/10)+((('Form Sa1'!BJJ835)*860)/10)+('Form Sa1'!BJJ814*'Form Sa1'!BJJ816/10)-'NF - 5 Power Mix'!BJG21-'NF - 5 Power Mix'!BJG22</f>
        <v>0</v>
      </c>
      <c r="BJH42" s="1046">
        <f>BJH38+((BJH40+'NF - 5 Power Mix'!BJH14+'NF - 5 Power Mix'!BJH15)*860/10)+((('Form Sa1'!BJK835)*860)/10)+('Form Sa1'!BJK814*'Form Sa1'!BJK816/10)-'NF - 5 Power Mix'!BJH21-'NF - 5 Power Mix'!BJH22</f>
        <v>0</v>
      </c>
      <c r="BJI42" s="1046">
        <f>BJI38+((BJI40+'NF - 5 Power Mix'!BJI14+'NF - 5 Power Mix'!BJI15)*860/10)+((('Form Sa1'!BJL835)*860)/10)+('Form Sa1'!BJL814*'Form Sa1'!BJL816/10)-'NF - 5 Power Mix'!BJI21-'NF - 5 Power Mix'!BJI22</f>
        <v>0</v>
      </c>
      <c r="BJJ42" s="1046">
        <f>BJJ38+((BJJ40+'NF - 5 Power Mix'!BJJ14+'NF - 5 Power Mix'!BJJ15)*860/10)+((('Form Sa1'!BJM835)*860)/10)+('Form Sa1'!BJM814*'Form Sa1'!BJM816/10)-'NF - 5 Power Mix'!BJJ21-'NF - 5 Power Mix'!BJJ22</f>
        <v>0</v>
      </c>
      <c r="BJK42" s="1046">
        <f>BJK38+((BJK40+'NF - 5 Power Mix'!BJK14+'NF - 5 Power Mix'!BJK15)*860/10)+((('Form Sa1'!BJN835)*860)/10)+('Form Sa1'!BJN814*'Form Sa1'!BJN816/10)-'NF - 5 Power Mix'!BJK21-'NF - 5 Power Mix'!BJK22</f>
        <v>0</v>
      </c>
      <c r="BJL42" s="1046">
        <f>BJL38+((BJL40+'NF - 5 Power Mix'!BJL14+'NF - 5 Power Mix'!BJL15)*860/10)+((('Form Sa1'!BJO835)*860)/10)+('Form Sa1'!BJO814*'Form Sa1'!BJO816/10)-'NF - 5 Power Mix'!BJL21-'NF - 5 Power Mix'!BJL22</f>
        <v>0</v>
      </c>
      <c r="BJM42" s="1046">
        <f>BJM38+((BJM40+'NF - 5 Power Mix'!BJM14+'NF - 5 Power Mix'!BJM15)*860/10)+((('Form Sa1'!BJP835)*860)/10)+('Form Sa1'!BJP814*'Form Sa1'!BJP816/10)-'NF - 5 Power Mix'!BJM21-'NF - 5 Power Mix'!BJM22</f>
        <v>0</v>
      </c>
      <c r="BJN42" s="1046">
        <f>BJN38+((BJN40+'NF - 5 Power Mix'!BJN14+'NF - 5 Power Mix'!BJN15)*860/10)+((('Form Sa1'!BJQ835)*860)/10)+('Form Sa1'!BJQ814*'Form Sa1'!BJQ816/10)-'NF - 5 Power Mix'!BJN21-'NF - 5 Power Mix'!BJN22</f>
        <v>0</v>
      </c>
      <c r="BJO42" s="1046">
        <f>BJO38+((BJO40+'NF - 5 Power Mix'!BJO14+'NF - 5 Power Mix'!BJO15)*860/10)+((('Form Sa1'!BJR835)*860)/10)+('Form Sa1'!BJR814*'Form Sa1'!BJR816/10)-'NF - 5 Power Mix'!BJO21-'NF - 5 Power Mix'!BJO22</f>
        <v>0</v>
      </c>
      <c r="BJP42" s="1046">
        <f>BJP38+((BJP40+'NF - 5 Power Mix'!BJP14+'NF - 5 Power Mix'!BJP15)*860/10)+((('Form Sa1'!BJS835)*860)/10)+('Form Sa1'!BJS814*'Form Sa1'!BJS816/10)-'NF - 5 Power Mix'!BJP21-'NF - 5 Power Mix'!BJP22</f>
        <v>0</v>
      </c>
      <c r="BJQ42" s="1046">
        <f>BJQ38+((BJQ40+'NF - 5 Power Mix'!BJQ14+'NF - 5 Power Mix'!BJQ15)*860/10)+((('Form Sa1'!BJT835)*860)/10)+('Form Sa1'!BJT814*'Form Sa1'!BJT816/10)-'NF - 5 Power Mix'!BJQ21-'NF - 5 Power Mix'!BJQ22</f>
        <v>0</v>
      </c>
      <c r="BJR42" s="1046">
        <f>BJR38+((BJR40+'NF - 5 Power Mix'!BJR14+'NF - 5 Power Mix'!BJR15)*860/10)+((('Form Sa1'!BJU835)*860)/10)+('Form Sa1'!BJU814*'Form Sa1'!BJU816/10)-'NF - 5 Power Mix'!BJR21-'NF - 5 Power Mix'!BJR22</f>
        <v>0</v>
      </c>
      <c r="BJS42" s="1046">
        <f>BJS38+((BJS40+'NF - 5 Power Mix'!BJS14+'NF - 5 Power Mix'!BJS15)*860/10)+((('Form Sa1'!BJV835)*860)/10)+('Form Sa1'!BJV814*'Form Sa1'!BJV816/10)-'NF - 5 Power Mix'!BJS21-'NF - 5 Power Mix'!BJS22</f>
        <v>0</v>
      </c>
      <c r="BJT42" s="1046">
        <f>BJT38+((BJT40+'NF - 5 Power Mix'!BJT14+'NF - 5 Power Mix'!BJT15)*860/10)+((('Form Sa1'!BJW835)*860)/10)+('Form Sa1'!BJW814*'Form Sa1'!BJW816/10)-'NF - 5 Power Mix'!BJT21-'NF - 5 Power Mix'!BJT22</f>
        <v>0</v>
      </c>
      <c r="BJU42" s="1046">
        <f>BJU38+((BJU40+'NF - 5 Power Mix'!BJU14+'NF - 5 Power Mix'!BJU15)*860/10)+((('Form Sa1'!BJX835)*860)/10)+('Form Sa1'!BJX814*'Form Sa1'!BJX816/10)-'NF - 5 Power Mix'!BJU21-'NF - 5 Power Mix'!BJU22</f>
        <v>0</v>
      </c>
      <c r="BJV42" s="1046">
        <f>BJV38+((BJV40+'NF - 5 Power Mix'!BJV14+'NF - 5 Power Mix'!BJV15)*860/10)+((('Form Sa1'!BJY835)*860)/10)+('Form Sa1'!BJY814*'Form Sa1'!BJY816/10)-'NF - 5 Power Mix'!BJV21-'NF - 5 Power Mix'!BJV22</f>
        <v>0</v>
      </c>
      <c r="BJW42" s="1046">
        <f>BJW38+((BJW40+'NF - 5 Power Mix'!BJW14+'NF - 5 Power Mix'!BJW15)*860/10)+((('Form Sa1'!BJZ835)*860)/10)+('Form Sa1'!BJZ814*'Form Sa1'!BJZ816/10)-'NF - 5 Power Mix'!BJW21-'NF - 5 Power Mix'!BJW22</f>
        <v>0</v>
      </c>
      <c r="BJX42" s="1046">
        <f>BJX38+((BJX40+'NF - 5 Power Mix'!BJX14+'NF - 5 Power Mix'!BJX15)*860/10)+((('Form Sa1'!BKA835)*860)/10)+('Form Sa1'!BKA814*'Form Sa1'!BKA816/10)-'NF - 5 Power Mix'!BJX21-'NF - 5 Power Mix'!BJX22</f>
        <v>0</v>
      </c>
      <c r="BJY42" s="1046">
        <f>BJY38+((BJY40+'NF - 5 Power Mix'!BJY14+'NF - 5 Power Mix'!BJY15)*860/10)+((('Form Sa1'!BKB835)*860)/10)+('Form Sa1'!BKB814*'Form Sa1'!BKB816/10)-'NF - 5 Power Mix'!BJY21-'NF - 5 Power Mix'!BJY22</f>
        <v>0</v>
      </c>
      <c r="BJZ42" s="1046">
        <f>BJZ38+((BJZ40+'NF - 5 Power Mix'!BJZ14+'NF - 5 Power Mix'!BJZ15)*860/10)+((('Form Sa1'!BKC835)*860)/10)+('Form Sa1'!BKC814*'Form Sa1'!BKC816/10)-'NF - 5 Power Mix'!BJZ21-'NF - 5 Power Mix'!BJZ22</f>
        <v>0</v>
      </c>
      <c r="BKA42" s="1046">
        <f>BKA38+((BKA40+'NF - 5 Power Mix'!BKA14+'NF - 5 Power Mix'!BKA15)*860/10)+((('Form Sa1'!BKD835)*860)/10)+('Form Sa1'!BKD814*'Form Sa1'!BKD816/10)-'NF - 5 Power Mix'!BKA21-'NF - 5 Power Mix'!BKA22</f>
        <v>0</v>
      </c>
      <c r="BKB42" s="1046">
        <f>BKB38+((BKB40+'NF - 5 Power Mix'!BKB14+'NF - 5 Power Mix'!BKB15)*860/10)+((('Form Sa1'!BKE835)*860)/10)+('Form Sa1'!BKE814*'Form Sa1'!BKE816/10)-'NF - 5 Power Mix'!BKB21-'NF - 5 Power Mix'!BKB22</f>
        <v>0</v>
      </c>
      <c r="BKC42" s="1046">
        <f>BKC38+((BKC40+'NF - 5 Power Mix'!BKC14+'NF - 5 Power Mix'!BKC15)*860/10)+((('Form Sa1'!BKF835)*860)/10)+('Form Sa1'!BKF814*'Form Sa1'!BKF816/10)-'NF - 5 Power Mix'!BKC21-'NF - 5 Power Mix'!BKC22</f>
        <v>0</v>
      </c>
      <c r="BKD42" s="1046">
        <f>BKD38+((BKD40+'NF - 5 Power Mix'!BKD14+'NF - 5 Power Mix'!BKD15)*860/10)+((('Form Sa1'!BKG835)*860)/10)+('Form Sa1'!BKG814*'Form Sa1'!BKG816/10)-'NF - 5 Power Mix'!BKD21-'NF - 5 Power Mix'!BKD22</f>
        <v>0</v>
      </c>
      <c r="BKE42" s="1046">
        <f>BKE38+((BKE40+'NF - 5 Power Mix'!BKE14+'NF - 5 Power Mix'!BKE15)*860/10)+((('Form Sa1'!BKH835)*860)/10)+('Form Sa1'!BKH814*'Form Sa1'!BKH816/10)-'NF - 5 Power Mix'!BKE21-'NF - 5 Power Mix'!BKE22</f>
        <v>0</v>
      </c>
      <c r="BKF42" s="1046">
        <f>BKF38+((BKF40+'NF - 5 Power Mix'!BKF14+'NF - 5 Power Mix'!BKF15)*860/10)+((('Form Sa1'!BKI835)*860)/10)+('Form Sa1'!BKI814*'Form Sa1'!BKI816/10)-'NF - 5 Power Mix'!BKF21-'NF - 5 Power Mix'!BKF22</f>
        <v>0</v>
      </c>
      <c r="BKG42" s="1046">
        <f>BKG38+((BKG40+'NF - 5 Power Mix'!BKG14+'NF - 5 Power Mix'!BKG15)*860/10)+((('Form Sa1'!BKJ835)*860)/10)+('Form Sa1'!BKJ814*'Form Sa1'!BKJ816/10)-'NF - 5 Power Mix'!BKG21-'NF - 5 Power Mix'!BKG22</f>
        <v>0</v>
      </c>
      <c r="BKH42" s="1046">
        <f>BKH38+((BKH40+'NF - 5 Power Mix'!BKH14+'NF - 5 Power Mix'!BKH15)*860/10)+((('Form Sa1'!BKK835)*860)/10)+('Form Sa1'!BKK814*'Form Sa1'!BKK816/10)-'NF - 5 Power Mix'!BKH21-'NF - 5 Power Mix'!BKH22</f>
        <v>0</v>
      </c>
      <c r="BKI42" s="1046">
        <f>BKI38+((BKI40+'NF - 5 Power Mix'!BKI14+'NF - 5 Power Mix'!BKI15)*860/10)+((('Form Sa1'!BKL835)*860)/10)+('Form Sa1'!BKL814*'Form Sa1'!BKL816/10)-'NF - 5 Power Mix'!BKI21-'NF - 5 Power Mix'!BKI22</f>
        <v>0</v>
      </c>
      <c r="BKJ42" s="1046">
        <f>BKJ38+((BKJ40+'NF - 5 Power Mix'!BKJ14+'NF - 5 Power Mix'!BKJ15)*860/10)+((('Form Sa1'!BKM835)*860)/10)+('Form Sa1'!BKM814*'Form Sa1'!BKM816/10)-'NF - 5 Power Mix'!BKJ21-'NF - 5 Power Mix'!BKJ22</f>
        <v>0</v>
      </c>
      <c r="BKK42" s="1046">
        <f>BKK38+((BKK40+'NF - 5 Power Mix'!BKK14+'NF - 5 Power Mix'!BKK15)*860/10)+((('Form Sa1'!BKN835)*860)/10)+('Form Sa1'!BKN814*'Form Sa1'!BKN816/10)-'NF - 5 Power Mix'!BKK21-'NF - 5 Power Mix'!BKK22</f>
        <v>0</v>
      </c>
      <c r="BKL42" s="1046">
        <f>BKL38+((BKL40+'NF - 5 Power Mix'!BKL14+'NF - 5 Power Mix'!BKL15)*860/10)+((('Form Sa1'!BKO835)*860)/10)+('Form Sa1'!BKO814*'Form Sa1'!BKO816/10)-'NF - 5 Power Mix'!BKL21-'NF - 5 Power Mix'!BKL22</f>
        <v>0</v>
      </c>
      <c r="BKM42" s="1046">
        <f>BKM38+((BKM40+'NF - 5 Power Mix'!BKM14+'NF - 5 Power Mix'!BKM15)*860/10)+((('Form Sa1'!BKP835)*860)/10)+('Form Sa1'!BKP814*'Form Sa1'!BKP816/10)-'NF - 5 Power Mix'!BKM21-'NF - 5 Power Mix'!BKM22</f>
        <v>0</v>
      </c>
      <c r="BKN42" s="1046">
        <f>BKN38+((BKN40+'NF - 5 Power Mix'!BKN14+'NF - 5 Power Mix'!BKN15)*860/10)+((('Form Sa1'!BKQ835)*860)/10)+('Form Sa1'!BKQ814*'Form Sa1'!BKQ816/10)-'NF - 5 Power Mix'!BKN21-'NF - 5 Power Mix'!BKN22</f>
        <v>0</v>
      </c>
      <c r="BKO42" s="1046">
        <f>BKO38+((BKO40+'NF - 5 Power Mix'!BKO14+'NF - 5 Power Mix'!BKO15)*860/10)+((('Form Sa1'!BKR835)*860)/10)+('Form Sa1'!BKR814*'Form Sa1'!BKR816/10)-'NF - 5 Power Mix'!BKO21-'NF - 5 Power Mix'!BKO22</f>
        <v>0</v>
      </c>
      <c r="BKP42" s="1046">
        <f>BKP38+((BKP40+'NF - 5 Power Mix'!BKP14+'NF - 5 Power Mix'!BKP15)*860/10)+((('Form Sa1'!BKS835)*860)/10)+('Form Sa1'!BKS814*'Form Sa1'!BKS816/10)-'NF - 5 Power Mix'!BKP21-'NF - 5 Power Mix'!BKP22</f>
        <v>0</v>
      </c>
      <c r="BKQ42" s="1046">
        <f>BKQ38+((BKQ40+'NF - 5 Power Mix'!BKQ14+'NF - 5 Power Mix'!BKQ15)*860/10)+((('Form Sa1'!BKT835)*860)/10)+('Form Sa1'!BKT814*'Form Sa1'!BKT816/10)-'NF - 5 Power Mix'!BKQ21-'NF - 5 Power Mix'!BKQ22</f>
        <v>0</v>
      </c>
      <c r="BKR42" s="1046">
        <f>BKR38+((BKR40+'NF - 5 Power Mix'!BKR14+'NF - 5 Power Mix'!BKR15)*860/10)+((('Form Sa1'!BKU835)*860)/10)+('Form Sa1'!BKU814*'Form Sa1'!BKU816/10)-'NF - 5 Power Mix'!BKR21-'NF - 5 Power Mix'!BKR22</f>
        <v>0</v>
      </c>
      <c r="BKS42" s="1046">
        <f>BKS38+((BKS40+'NF - 5 Power Mix'!BKS14+'NF - 5 Power Mix'!BKS15)*860/10)+((('Form Sa1'!BKV835)*860)/10)+('Form Sa1'!BKV814*'Form Sa1'!BKV816/10)-'NF - 5 Power Mix'!BKS21-'NF - 5 Power Mix'!BKS22</f>
        <v>0</v>
      </c>
      <c r="BKT42" s="1046">
        <f>BKT38+((BKT40+'NF - 5 Power Mix'!BKT14+'NF - 5 Power Mix'!BKT15)*860/10)+((('Form Sa1'!BKW835)*860)/10)+('Form Sa1'!BKW814*'Form Sa1'!BKW816/10)-'NF - 5 Power Mix'!BKT21-'NF - 5 Power Mix'!BKT22</f>
        <v>0</v>
      </c>
      <c r="BKU42" s="1046">
        <f>BKU38+((BKU40+'NF - 5 Power Mix'!BKU14+'NF - 5 Power Mix'!BKU15)*860/10)+((('Form Sa1'!BKX835)*860)/10)+('Form Sa1'!BKX814*'Form Sa1'!BKX816/10)-'NF - 5 Power Mix'!BKU21-'NF - 5 Power Mix'!BKU22</f>
        <v>0</v>
      </c>
      <c r="BKV42" s="1046">
        <f>BKV38+((BKV40+'NF - 5 Power Mix'!BKV14+'NF - 5 Power Mix'!BKV15)*860/10)+((('Form Sa1'!BKY835)*860)/10)+('Form Sa1'!BKY814*'Form Sa1'!BKY816/10)-'NF - 5 Power Mix'!BKV21-'NF - 5 Power Mix'!BKV22</f>
        <v>0</v>
      </c>
      <c r="BKW42" s="1046">
        <f>BKW38+((BKW40+'NF - 5 Power Mix'!BKW14+'NF - 5 Power Mix'!BKW15)*860/10)+((('Form Sa1'!BKZ835)*860)/10)+('Form Sa1'!BKZ814*'Form Sa1'!BKZ816/10)-'NF - 5 Power Mix'!BKW21-'NF - 5 Power Mix'!BKW22</f>
        <v>0</v>
      </c>
      <c r="BKX42" s="1046">
        <f>BKX38+((BKX40+'NF - 5 Power Mix'!BKX14+'NF - 5 Power Mix'!BKX15)*860/10)+((('Form Sa1'!BLA835)*860)/10)+('Form Sa1'!BLA814*'Form Sa1'!BLA816/10)-'NF - 5 Power Mix'!BKX21-'NF - 5 Power Mix'!BKX22</f>
        <v>0</v>
      </c>
      <c r="BKY42" s="1046">
        <f>BKY38+((BKY40+'NF - 5 Power Mix'!BKY14+'NF - 5 Power Mix'!BKY15)*860/10)+((('Form Sa1'!BLB835)*860)/10)+('Form Sa1'!BLB814*'Form Sa1'!BLB816/10)-'NF - 5 Power Mix'!BKY21-'NF - 5 Power Mix'!BKY22</f>
        <v>0</v>
      </c>
      <c r="BKZ42" s="1046">
        <f>BKZ38+((BKZ40+'NF - 5 Power Mix'!BKZ14+'NF - 5 Power Mix'!BKZ15)*860/10)+((('Form Sa1'!BLC835)*860)/10)+('Form Sa1'!BLC814*'Form Sa1'!BLC816/10)-'NF - 5 Power Mix'!BKZ21-'NF - 5 Power Mix'!BKZ22</f>
        <v>0</v>
      </c>
      <c r="BLA42" s="1046">
        <f>BLA38+((BLA40+'NF - 5 Power Mix'!BLA14+'NF - 5 Power Mix'!BLA15)*860/10)+((('Form Sa1'!BLD835)*860)/10)+('Form Sa1'!BLD814*'Form Sa1'!BLD816/10)-'NF - 5 Power Mix'!BLA21-'NF - 5 Power Mix'!BLA22</f>
        <v>0</v>
      </c>
      <c r="BLB42" s="1046">
        <f>BLB38+((BLB40+'NF - 5 Power Mix'!BLB14+'NF - 5 Power Mix'!BLB15)*860/10)+((('Form Sa1'!BLE835)*860)/10)+('Form Sa1'!BLE814*'Form Sa1'!BLE816/10)-'NF - 5 Power Mix'!BLB21-'NF - 5 Power Mix'!BLB22</f>
        <v>0</v>
      </c>
      <c r="BLC42" s="1046">
        <f>BLC38+((BLC40+'NF - 5 Power Mix'!BLC14+'NF - 5 Power Mix'!BLC15)*860/10)+((('Form Sa1'!BLF835)*860)/10)+('Form Sa1'!BLF814*'Form Sa1'!BLF816/10)-'NF - 5 Power Mix'!BLC21-'NF - 5 Power Mix'!BLC22</f>
        <v>0</v>
      </c>
      <c r="BLD42" s="1046">
        <f>BLD38+((BLD40+'NF - 5 Power Mix'!BLD14+'NF - 5 Power Mix'!BLD15)*860/10)+((('Form Sa1'!BLG835)*860)/10)+('Form Sa1'!BLG814*'Form Sa1'!BLG816/10)-'NF - 5 Power Mix'!BLD21-'NF - 5 Power Mix'!BLD22</f>
        <v>0</v>
      </c>
      <c r="BLE42" s="1046">
        <f>BLE38+((BLE40+'NF - 5 Power Mix'!BLE14+'NF - 5 Power Mix'!BLE15)*860/10)+((('Form Sa1'!BLH835)*860)/10)+('Form Sa1'!BLH814*'Form Sa1'!BLH816/10)-'NF - 5 Power Mix'!BLE21-'NF - 5 Power Mix'!BLE22</f>
        <v>0</v>
      </c>
      <c r="BLF42" s="1046">
        <f>BLF38+((BLF40+'NF - 5 Power Mix'!BLF14+'NF - 5 Power Mix'!BLF15)*860/10)+((('Form Sa1'!BLI835)*860)/10)+('Form Sa1'!BLI814*'Form Sa1'!BLI816/10)-'NF - 5 Power Mix'!BLF21-'NF - 5 Power Mix'!BLF22</f>
        <v>0</v>
      </c>
      <c r="BLG42" s="1046">
        <f>BLG38+((BLG40+'NF - 5 Power Mix'!BLG14+'NF - 5 Power Mix'!BLG15)*860/10)+((('Form Sa1'!BLJ835)*860)/10)+('Form Sa1'!BLJ814*'Form Sa1'!BLJ816/10)-'NF - 5 Power Mix'!BLG21-'NF - 5 Power Mix'!BLG22</f>
        <v>0</v>
      </c>
      <c r="BLH42" s="1046">
        <f>BLH38+((BLH40+'NF - 5 Power Mix'!BLH14+'NF - 5 Power Mix'!BLH15)*860/10)+((('Form Sa1'!BLK835)*860)/10)+('Form Sa1'!BLK814*'Form Sa1'!BLK816/10)-'NF - 5 Power Mix'!BLH21-'NF - 5 Power Mix'!BLH22</f>
        <v>0</v>
      </c>
      <c r="BLI42" s="1046">
        <f>BLI38+((BLI40+'NF - 5 Power Mix'!BLI14+'NF - 5 Power Mix'!BLI15)*860/10)+((('Form Sa1'!BLL835)*860)/10)+('Form Sa1'!BLL814*'Form Sa1'!BLL816/10)-'NF - 5 Power Mix'!BLI21-'NF - 5 Power Mix'!BLI22</f>
        <v>0</v>
      </c>
      <c r="BLJ42" s="1046">
        <f>BLJ38+((BLJ40+'NF - 5 Power Mix'!BLJ14+'NF - 5 Power Mix'!BLJ15)*860/10)+((('Form Sa1'!BLM835)*860)/10)+('Form Sa1'!BLM814*'Form Sa1'!BLM816/10)-'NF - 5 Power Mix'!BLJ21-'NF - 5 Power Mix'!BLJ22</f>
        <v>0</v>
      </c>
      <c r="BLK42" s="1046">
        <f>BLK38+((BLK40+'NF - 5 Power Mix'!BLK14+'NF - 5 Power Mix'!BLK15)*860/10)+((('Form Sa1'!BLN835)*860)/10)+('Form Sa1'!BLN814*'Form Sa1'!BLN816/10)-'NF - 5 Power Mix'!BLK21-'NF - 5 Power Mix'!BLK22</f>
        <v>0</v>
      </c>
      <c r="BLL42" s="1046">
        <f>BLL38+((BLL40+'NF - 5 Power Mix'!BLL14+'NF - 5 Power Mix'!BLL15)*860/10)+((('Form Sa1'!BLO835)*860)/10)+('Form Sa1'!BLO814*'Form Sa1'!BLO816/10)-'NF - 5 Power Mix'!BLL21-'NF - 5 Power Mix'!BLL22</f>
        <v>0</v>
      </c>
      <c r="BLM42" s="1046">
        <f>BLM38+((BLM40+'NF - 5 Power Mix'!BLM14+'NF - 5 Power Mix'!BLM15)*860/10)+((('Form Sa1'!BLP835)*860)/10)+('Form Sa1'!BLP814*'Form Sa1'!BLP816/10)-'NF - 5 Power Mix'!BLM21-'NF - 5 Power Mix'!BLM22</f>
        <v>0</v>
      </c>
      <c r="BLN42" s="1046">
        <f>BLN38+((BLN40+'NF - 5 Power Mix'!BLN14+'NF - 5 Power Mix'!BLN15)*860/10)+((('Form Sa1'!BLQ835)*860)/10)+('Form Sa1'!BLQ814*'Form Sa1'!BLQ816/10)-'NF - 5 Power Mix'!BLN21-'NF - 5 Power Mix'!BLN22</f>
        <v>0</v>
      </c>
      <c r="BLO42" s="1046">
        <f>BLO38+((BLO40+'NF - 5 Power Mix'!BLO14+'NF - 5 Power Mix'!BLO15)*860/10)+((('Form Sa1'!BLR835)*860)/10)+('Form Sa1'!BLR814*'Form Sa1'!BLR816/10)-'NF - 5 Power Mix'!BLO21-'NF - 5 Power Mix'!BLO22</f>
        <v>0</v>
      </c>
      <c r="BLP42" s="1046">
        <f>BLP38+((BLP40+'NF - 5 Power Mix'!BLP14+'NF - 5 Power Mix'!BLP15)*860/10)+((('Form Sa1'!BLS835)*860)/10)+('Form Sa1'!BLS814*'Form Sa1'!BLS816/10)-'NF - 5 Power Mix'!BLP21-'NF - 5 Power Mix'!BLP22</f>
        <v>0</v>
      </c>
      <c r="BLQ42" s="1046">
        <f>BLQ38+((BLQ40+'NF - 5 Power Mix'!BLQ14+'NF - 5 Power Mix'!BLQ15)*860/10)+((('Form Sa1'!BLT835)*860)/10)+('Form Sa1'!BLT814*'Form Sa1'!BLT816/10)-'NF - 5 Power Mix'!BLQ21-'NF - 5 Power Mix'!BLQ22</f>
        <v>0</v>
      </c>
      <c r="BLR42" s="1046">
        <f>BLR38+((BLR40+'NF - 5 Power Mix'!BLR14+'NF - 5 Power Mix'!BLR15)*860/10)+((('Form Sa1'!BLU835)*860)/10)+('Form Sa1'!BLU814*'Form Sa1'!BLU816/10)-'NF - 5 Power Mix'!BLR21-'NF - 5 Power Mix'!BLR22</f>
        <v>0</v>
      </c>
      <c r="BLS42" s="1046">
        <f>BLS38+((BLS40+'NF - 5 Power Mix'!BLS14+'NF - 5 Power Mix'!BLS15)*860/10)+((('Form Sa1'!BLV835)*860)/10)+('Form Sa1'!BLV814*'Form Sa1'!BLV816/10)-'NF - 5 Power Mix'!BLS21-'NF - 5 Power Mix'!BLS22</f>
        <v>0</v>
      </c>
      <c r="BLT42" s="1046">
        <f>BLT38+((BLT40+'NF - 5 Power Mix'!BLT14+'NF - 5 Power Mix'!BLT15)*860/10)+((('Form Sa1'!BLW835)*860)/10)+('Form Sa1'!BLW814*'Form Sa1'!BLW816/10)-'NF - 5 Power Mix'!BLT21-'NF - 5 Power Mix'!BLT22</f>
        <v>0</v>
      </c>
      <c r="BLU42" s="1046">
        <f>BLU38+((BLU40+'NF - 5 Power Mix'!BLU14+'NF - 5 Power Mix'!BLU15)*860/10)+((('Form Sa1'!BLX835)*860)/10)+('Form Sa1'!BLX814*'Form Sa1'!BLX816/10)-'NF - 5 Power Mix'!BLU21-'NF - 5 Power Mix'!BLU22</f>
        <v>0</v>
      </c>
      <c r="BLV42" s="1046">
        <f>BLV38+((BLV40+'NF - 5 Power Mix'!BLV14+'NF - 5 Power Mix'!BLV15)*860/10)+((('Form Sa1'!BLY835)*860)/10)+('Form Sa1'!BLY814*'Form Sa1'!BLY816/10)-'NF - 5 Power Mix'!BLV21-'NF - 5 Power Mix'!BLV22</f>
        <v>0</v>
      </c>
      <c r="BLW42" s="1046">
        <f>BLW38+((BLW40+'NF - 5 Power Mix'!BLW14+'NF - 5 Power Mix'!BLW15)*860/10)+((('Form Sa1'!BLZ835)*860)/10)+('Form Sa1'!BLZ814*'Form Sa1'!BLZ816/10)-'NF - 5 Power Mix'!BLW21-'NF - 5 Power Mix'!BLW22</f>
        <v>0</v>
      </c>
      <c r="BLX42" s="1046">
        <f>BLX38+((BLX40+'NF - 5 Power Mix'!BLX14+'NF - 5 Power Mix'!BLX15)*860/10)+((('Form Sa1'!BMA835)*860)/10)+('Form Sa1'!BMA814*'Form Sa1'!BMA816/10)-'NF - 5 Power Mix'!BLX21-'NF - 5 Power Mix'!BLX22</f>
        <v>0</v>
      </c>
      <c r="BLY42" s="1046">
        <f>BLY38+((BLY40+'NF - 5 Power Mix'!BLY14+'NF - 5 Power Mix'!BLY15)*860/10)+((('Form Sa1'!BMB835)*860)/10)+('Form Sa1'!BMB814*'Form Sa1'!BMB816/10)-'NF - 5 Power Mix'!BLY21-'NF - 5 Power Mix'!BLY22</f>
        <v>0</v>
      </c>
      <c r="BLZ42" s="1046">
        <f>BLZ38+((BLZ40+'NF - 5 Power Mix'!BLZ14+'NF - 5 Power Mix'!BLZ15)*860/10)+((('Form Sa1'!BMC835)*860)/10)+('Form Sa1'!BMC814*'Form Sa1'!BMC816/10)-'NF - 5 Power Mix'!BLZ21-'NF - 5 Power Mix'!BLZ22</f>
        <v>0</v>
      </c>
      <c r="BMA42" s="1046">
        <f>BMA38+((BMA40+'NF - 5 Power Mix'!BMA14+'NF - 5 Power Mix'!BMA15)*860/10)+((('Form Sa1'!BMD835)*860)/10)+('Form Sa1'!BMD814*'Form Sa1'!BMD816/10)-'NF - 5 Power Mix'!BMA21-'NF - 5 Power Mix'!BMA22</f>
        <v>0</v>
      </c>
      <c r="BMB42" s="1046">
        <f>BMB38+((BMB40+'NF - 5 Power Mix'!BMB14+'NF - 5 Power Mix'!BMB15)*860/10)+((('Form Sa1'!BME835)*860)/10)+('Form Sa1'!BME814*'Form Sa1'!BME816/10)-'NF - 5 Power Mix'!BMB21-'NF - 5 Power Mix'!BMB22</f>
        <v>0</v>
      </c>
      <c r="BMC42" s="1046">
        <f>BMC38+((BMC40+'NF - 5 Power Mix'!BMC14+'NF - 5 Power Mix'!BMC15)*860/10)+((('Form Sa1'!BMF835)*860)/10)+('Form Sa1'!BMF814*'Form Sa1'!BMF816/10)-'NF - 5 Power Mix'!BMC21-'NF - 5 Power Mix'!BMC22</f>
        <v>0</v>
      </c>
      <c r="BMD42" s="1046">
        <f>BMD38+((BMD40+'NF - 5 Power Mix'!BMD14+'NF - 5 Power Mix'!BMD15)*860/10)+((('Form Sa1'!BMG835)*860)/10)+('Form Sa1'!BMG814*'Form Sa1'!BMG816/10)-'NF - 5 Power Mix'!BMD21-'NF - 5 Power Mix'!BMD22</f>
        <v>0</v>
      </c>
      <c r="BME42" s="1046">
        <f>BME38+((BME40+'NF - 5 Power Mix'!BME14+'NF - 5 Power Mix'!BME15)*860/10)+((('Form Sa1'!BMH835)*860)/10)+('Form Sa1'!BMH814*'Form Sa1'!BMH816/10)-'NF - 5 Power Mix'!BME21-'NF - 5 Power Mix'!BME22</f>
        <v>0</v>
      </c>
      <c r="BMF42" s="1046">
        <f>BMF38+((BMF40+'NF - 5 Power Mix'!BMF14+'NF - 5 Power Mix'!BMF15)*860/10)+((('Form Sa1'!BMI835)*860)/10)+('Form Sa1'!BMI814*'Form Sa1'!BMI816/10)-'NF - 5 Power Mix'!BMF21-'NF - 5 Power Mix'!BMF22</f>
        <v>0</v>
      </c>
      <c r="BMG42" s="1046">
        <f>BMG38+((BMG40+'NF - 5 Power Mix'!BMG14+'NF - 5 Power Mix'!BMG15)*860/10)+((('Form Sa1'!BMJ835)*860)/10)+('Form Sa1'!BMJ814*'Form Sa1'!BMJ816/10)-'NF - 5 Power Mix'!BMG21-'NF - 5 Power Mix'!BMG22</f>
        <v>0</v>
      </c>
      <c r="BMH42" s="1046">
        <f>BMH38+((BMH40+'NF - 5 Power Mix'!BMH14+'NF - 5 Power Mix'!BMH15)*860/10)+((('Form Sa1'!BMK835)*860)/10)+('Form Sa1'!BMK814*'Form Sa1'!BMK816/10)-'NF - 5 Power Mix'!BMH21-'NF - 5 Power Mix'!BMH22</f>
        <v>0</v>
      </c>
      <c r="BMI42" s="1046">
        <f>BMI38+((BMI40+'NF - 5 Power Mix'!BMI14+'NF - 5 Power Mix'!BMI15)*860/10)+((('Form Sa1'!BML835)*860)/10)+('Form Sa1'!BML814*'Form Sa1'!BML816/10)-'NF - 5 Power Mix'!BMI21-'NF - 5 Power Mix'!BMI22</f>
        <v>0</v>
      </c>
      <c r="BMJ42" s="1046">
        <f>BMJ38+((BMJ40+'NF - 5 Power Mix'!BMJ14+'NF - 5 Power Mix'!BMJ15)*860/10)+((('Form Sa1'!BMM835)*860)/10)+('Form Sa1'!BMM814*'Form Sa1'!BMM816/10)-'NF - 5 Power Mix'!BMJ21-'NF - 5 Power Mix'!BMJ22</f>
        <v>0</v>
      </c>
      <c r="BMK42" s="1046">
        <f>BMK38+((BMK40+'NF - 5 Power Mix'!BMK14+'NF - 5 Power Mix'!BMK15)*860/10)+((('Form Sa1'!BMN835)*860)/10)+('Form Sa1'!BMN814*'Form Sa1'!BMN816/10)-'NF - 5 Power Mix'!BMK21-'NF - 5 Power Mix'!BMK22</f>
        <v>0</v>
      </c>
      <c r="BML42" s="1046">
        <f>BML38+((BML40+'NF - 5 Power Mix'!BML14+'NF - 5 Power Mix'!BML15)*860/10)+((('Form Sa1'!BMO835)*860)/10)+('Form Sa1'!BMO814*'Form Sa1'!BMO816/10)-'NF - 5 Power Mix'!BML21-'NF - 5 Power Mix'!BML22</f>
        <v>0</v>
      </c>
      <c r="BMM42" s="1046">
        <f>BMM38+((BMM40+'NF - 5 Power Mix'!BMM14+'NF - 5 Power Mix'!BMM15)*860/10)+((('Form Sa1'!BMP835)*860)/10)+('Form Sa1'!BMP814*'Form Sa1'!BMP816/10)-'NF - 5 Power Mix'!BMM21-'NF - 5 Power Mix'!BMM22</f>
        <v>0</v>
      </c>
      <c r="BMN42" s="1046">
        <f>BMN38+((BMN40+'NF - 5 Power Mix'!BMN14+'NF - 5 Power Mix'!BMN15)*860/10)+((('Form Sa1'!BMQ835)*860)/10)+('Form Sa1'!BMQ814*'Form Sa1'!BMQ816/10)-'NF - 5 Power Mix'!BMN21-'NF - 5 Power Mix'!BMN22</f>
        <v>0</v>
      </c>
      <c r="BMO42" s="1046">
        <f>BMO38+((BMO40+'NF - 5 Power Mix'!BMO14+'NF - 5 Power Mix'!BMO15)*860/10)+((('Form Sa1'!BMR835)*860)/10)+('Form Sa1'!BMR814*'Form Sa1'!BMR816/10)-'NF - 5 Power Mix'!BMO21-'NF - 5 Power Mix'!BMO22</f>
        <v>0</v>
      </c>
      <c r="BMP42" s="1046">
        <f>BMP38+((BMP40+'NF - 5 Power Mix'!BMP14+'NF - 5 Power Mix'!BMP15)*860/10)+((('Form Sa1'!BMS835)*860)/10)+('Form Sa1'!BMS814*'Form Sa1'!BMS816/10)-'NF - 5 Power Mix'!BMP21-'NF - 5 Power Mix'!BMP22</f>
        <v>0</v>
      </c>
      <c r="BMQ42" s="1046">
        <f>BMQ38+((BMQ40+'NF - 5 Power Mix'!BMQ14+'NF - 5 Power Mix'!BMQ15)*860/10)+((('Form Sa1'!BMT835)*860)/10)+('Form Sa1'!BMT814*'Form Sa1'!BMT816/10)-'NF - 5 Power Mix'!BMQ21-'NF - 5 Power Mix'!BMQ22</f>
        <v>0</v>
      </c>
      <c r="BMR42" s="1046">
        <f>BMR38+((BMR40+'NF - 5 Power Mix'!BMR14+'NF - 5 Power Mix'!BMR15)*860/10)+((('Form Sa1'!BMU835)*860)/10)+('Form Sa1'!BMU814*'Form Sa1'!BMU816/10)-'NF - 5 Power Mix'!BMR21-'NF - 5 Power Mix'!BMR22</f>
        <v>0</v>
      </c>
      <c r="BMS42" s="1046">
        <f>BMS38+((BMS40+'NF - 5 Power Mix'!BMS14+'NF - 5 Power Mix'!BMS15)*860/10)+((('Form Sa1'!BMV835)*860)/10)+('Form Sa1'!BMV814*'Form Sa1'!BMV816/10)-'NF - 5 Power Mix'!BMS21-'NF - 5 Power Mix'!BMS22</f>
        <v>0</v>
      </c>
      <c r="BMT42" s="1046">
        <f>BMT38+((BMT40+'NF - 5 Power Mix'!BMT14+'NF - 5 Power Mix'!BMT15)*860/10)+((('Form Sa1'!BMW835)*860)/10)+('Form Sa1'!BMW814*'Form Sa1'!BMW816/10)-'NF - 5 Power Mix'!BMT21-'NF - 5 Power Mix'!BMT22</f>
        <v>0</v>
      </c>
      <c r="BMU42" s="1046">
        <f>BMU38+((BMU40+'NF - 5 Power Mix'!BMU14+'NF - 5 Power Mix'!BMU15)*860/10)+((('Form Sa1'!BMX835)*860)/10)+('Form Sa1'!BMX814*'Form Sa1'!BMX816/10)-'NF - 5 Power Mix'!BMU21-'NF - 5 Power Mix'!BMU22</f>
        <v>0</v>
      </c>
      <c r="BMV42" s="1046">
        <f>BMV38+((BMV40+'NF - 5 Power Mix'!BMV14+'NF - 5 Power Mix'!BMV15)*860/10)+((('Form Sa1'!BMY835)*860)/10)+('Form Sa1'!BMY814*'Form Sa1'!BMY816/10)-'NF - 5 Power Mix'!BMV21-'NF - 5 Power Mix'!BMV22</f>
        <v>0</v>
      </c>
      <c r="BMW42" s="1046">
        <f>BMW38+((BMW40+'NF - 5 Power Mix'!BMW14+'NF - 5 Power Mix'!BMW15)*860/10)+((('Form Sa1'!BMZ835)*860)/10)+('Form Sa1'!BMZ814*'Form Sa1'!BMZ816/10)-'NF - 5 Power Mix'!BMW21-'NF - 5 Power Mix'!BMW22</f>
        <v>0</v>
      </c>
      <c r="BMX42" s="1046">
        <f>BMX38+((BMX40+'NF - 5 Power Mix'!BMX14+'NF - 5 Power Mix'!BMX15)*860/10)+((('Form Sa1'!BNA835)*860)/10)+('Form Sa1'!BNA814*'Form Sa1'!BNA816/10)-'NF - 5 Power Mix'!BMX21-'NF - 5 Power Mix'!BMX22</f>
        <v>0</v>
      </c>
      <c r="BMY42" s="1046">
        <f>BMY38+((BMY40+'NF - 5 Power Mix'!BMY14+'NF - 5 Power Mix'!BMY15)*860/10)+((('Form Sa1'!BNB835)*860)/10)+('Form Sa1'!BNB814*'Form Sa1'!BNB816/10)-'NF - 5 Power Mix'!BMY21-'NF - 5 Power Mix'!BMY22</f>
        <v>0</v>
      </c>
      <c r="BMZ42" s="1046">
        <f>BMZ38+((BMZ40+'NF - 5 Power Mix'!BMZ14+'NF - 5 Power Mix'!BMZ15)*860/10)+((('Form Sa1'!BNC835)*860)/10)+('Form Sa1'!BNC814*'Form Sa1'!BNC816/10)-'NF - 5 Power Mix'!BMZ21-'NF - 5 Power Mix'!BMZ22</f>
        <v>0</v>
      </c>
      <c r="BNA42" s="1046">
        <f>BNA38+((BNA40+'NF - 5 Power Mix'!BNA14+'NF - 5 Power Mix'!BNA15)*860/10)+((('Form Sa1'!BND835)*860)/10)+('Form Sa1'!BND814*'Form Sa1'!BND816/10)-'NF - 5 Power Mix'!BNA21-'NF - 5 Power Mix'!BNA22</f>
        <v>0</v>
      </c>
      <c r="BNB42" s="1046">
        <f>BNB38+((BNB40+'NF - 5 Power Mix'!BNB14+'NF - 5 Power Mix'!BNB15)*860/10)+((('Form Sa1'!BNE835)*860)/10)+('Form Sa1'!BNE814*'Form Sa1'!BNE816/10)-'NF - 5 Power Mix'!BNB21-'NF - 5 Power Mix'!BNB22</f>
        <v>0</v>
      </c>
      <c r="BNC42" s="1046">
        <f>BNC38+((BNC40+'NF - 5 Power Mix'!BNC14+'NF - 5 Power Mix'!BNC15)*860/10)+((('Form Sa1'!BNF835)*860)/10)+('Form Sa1'!BNF814*'Form Sa1'!BNF816/10)-'NF - 5 Power Mix'!BNC21-'NF - 5 Power Mix'!BNC22</f>
        <v>0</v>
      </c>
      <c r="BND42" s="1046">
        <f>BND38+((BND40+'NF - 5 Power Mix'!BND14+'NF - 5 Power Mix'!BND15)*860/10)+((('Form Sa1'!BNG835)*860)/10)+('Form Sa1'!BNG814*'Form Sa1'!BNG816/10)-'NF - 5 Power Mix'!BND21-'NF - 5 Power Mix'!BND22</f>
        <v>0</v>
      </c>
      <c r="BNE42" s="1046">
        <f>BNE38+((BNE40+'NF - 5 Power Mix'!BNE14+'NF - 5 Power Mix'!BNE15)*860/10)+((('Form Sa1'!BNH835)*860)/10)+('Form Sa1'!BNH814*'Form Sa1'!BNH816/10)-'NF - 5 Power Mix'!BNE21-'NF - 5 Power Mix'!BNE22</f>
        <v>0</v>
      </c>
      <c r="BNF42" s="1046">
        <f>BNF38+((BNF40+'NF - 5 Power Mix'!BNF14+'NF - 5 Power Mix'!BNF15)*860/10)+((('Form Sa1'!BNI835)*860)/10)+('Form Sa1'!BNI814*'Form Sa1'!BNI816/10)-'NF - 5 Power Mix'!BNF21-'NF - 5 Power Mix'!BNF22</f>
        <v>0</v>
      </c>
      <c r="BNG42" s="1046">
        <f>BNG38+((BNG40+'NF - 5 Power Mix'!BNG14+'NF - 5 Power Mix'!BNG15)*860/10)+((('Form Sa1'!BNJ835)*860)/10)+('Form Sa1'!BNJ814*'Form Sa1'!BNJ816/10)-'NF - 5 Power Mix'!BNG21-'NF - 5 Power Mix'!BNG22</f>
        <v>0</v>
      </c>
      <c r="BNH42" s="1046">
        <f>BNH38+((BNH40+'NF - 5 Power Mix'!BNH14+'NF - 5 Power Mix'!BNH15)*860/10)+((('Form Sa1'!BNK835)*860)/10)+('Form Sa1'!BNK814*'Form Sa1'!BNK816/10)-'NF - 5 Power Mix'!BNH21-'NF - 5 Power Mix'!BNH22</f>
        <v>0</v>
      </c>
      <c r="BNI42" s="1046">
        <f>BNI38+((BNI40+'NF - 5 Power Mix'!BNI14+'NF - 5 Power Mix'!BNI15)*860/10)+((('Form Sa1'!BNL835)*860)/10)+('Form Sa1'!BNL814*'Form Sa1'!BNL816/10)-'NF - 5 Power Mix'!BNI21-'NF - 5 Power Mix'!BNI22</f>
        <v>0</v>
      </c>
      <c r="BNJ42" s="1046">
        <f>BNJ38+((BNJ40+'NF - 5 Power Mix'!BNJ14+'NF - 5 Power Mix'!BNJ15)*860/10)+((('Form Sa1'!BNM835)*860)/10)+('Form Sa1'!BNM814*'Form Sa1'!BNM816/10)-'NF - 5 Power Mix'!BNJ21-'NF - 5 Power Mix'!BNJ22</f>
        <v>0</v>
      </c>
      <c r="BNK42" s="1046">
        <f>BNK38+((BNK40+'NF - 5 Power Mix'!BNK14+'NF - 5 Power Mix'!BNK15)*860/10)+((('Form Sa1'!BNN835)*860)/10)+('Form Sa1'!BNN814*'Form Sa1'!BNN816/10)-'NF - 5 Power Mix'!BNK21-'NF - 5 Power Mix'!BNK22</f>
        <v>0</v>
      </c>
      <c r="BNL42" s="1046">
        <f>BNL38+((BNL40+'NF - 5 Power Mix'!BNL14+'NF - 5 Power Mix'!BNL15)*860/10)+((('Form Sa1'!BNO835)*860)/10)+('Form Sa1'!BNO814*'Form Sa1'!BNO816/10)-'NF - 5 Power Mix'!BNL21-'NF - 5 Power Mix'!BNL22</f>
        <v>0</v>
      </c>
      <c r="BNM42" s="1046">
        <f>BNM38+((BNM40+'NF - 5 Power Mix'!BNM14+'NF - 5 Power Mix'!BNM15)*860/10)+((('Form Sa1'!BNP835)*860)/10)+('Form Sa1'!BNP814*'Form Sa1'!BNP816/10)-'NF - 5 Power Mix'!BNM21-'NF - 5 Power Mix'!BNM22</f>
        <v>0</v>
      </c>
      <c r="BNN42" s="1046">
        <f>BNN38+((BNN40+'NF - 5 Power Mix'!BNN14+'NF - 5 Power Mix'!BNN15)*860/10)+((('Form Sa1'!BNQ835)*860)/10)+('Form Sa1'!BNQ814*'Form Sa1'!BNQ816/10)-'NF - 5 Power Mix'!BNN21-'NF - 5 Power Mix'!BNN22</f>
        <v>0</v>
      </c>
      <c r="BNO42" s="1046">
        <f>BNO38+((BNO40+'NF - 5 Power Mix'!BNO14+'NF - 5 Power Mix'!BNO15)*860/10)+((('Form Sa1'!BNR835)*860)/10)+('Form Sa1'!BNR814*'Form Sa1'!BNR816/10)-'NF - 5 Power Mix'!BNO21-'NF - 5 Power Mix'!BNO22</f>
        <v>0</v>
      </c>
      <c r="BNP42" s="1046">
        <f>BNP38+((BNP40+'NF - 5 Power Mix'!BNP14+'NF - 5 Power Mix'!BNP15)*860/10)+((('Form Sa1'!BNS835)*860)/10)+('Form Sa1'!BNS814*'Form Sa1'!BNS816/10)-'NF - 5 Power Mix'!BNP21-'NF - 5 Power Mix'!BNP22</f>
        <v>0</v>
      </c>
      <c r="BNQ42" s="1046">
        <f>BNQ38+((BNQ40+'NF - 5 Power Mix'!BNQ14+'NF - 5 Power Mix'!BNQ15)*860/10)+((('Form Sa1'!BNT835)*860)/10)+('Form Sa1'!BNT814*'Form Sa1'!BNT816/10)-'NF - 5 Power Mix'!BNQ21-'NF - 5 Power Mix'!BNQ22</f>
        <v>0</v>
      </c>
      <c r="BNR42" s="1046">
        <f>BNR38+((BNR40+'NF - 5 Power Mix'!BNR14+'NF - 5 Power Mix'!BNR15)*860/10)+((('Form Sa1'!BNU835)*860)/10)+('Form Sa1'!BNU814*'Form Sa1'!BNU816/10)-'NF - 5 Power Mix'!BNR21-'NF - 5 Power Mix'!BNR22</f>
        <v>0</v>
      </c>
      <c r="BNS42" s="1046">
        <f>BNS38+((BNS40+'NF - 5 Power Mix'!BNS14+'NF - 5 Power Mix'!BNS15)*860/10)+((('Form Sa1'!BNV835)*860)/10)+('Form Sa1'!BNV814*'Form Sa1'!BNV816/10)-'NF - 5 Power Mix'!BNS21-'NF - 5 Power Mix'!BNS22</f>
        <v>0</v>
      </c>
      <c r="BNT42" s="1046">
        <f>BNT38+((BNT40+'NF - 5 Power Mix'!BNT14+'NF - 5 Power Mix'!BNT15)*860/10)+((('Form Sa1'!BNW835)*860)/10)+('Form Sa1'!BNW814*'Form Sa1'!BNW816/10)-'NF - 5 Power Mix'!BNT21-'NF - 5 Power Mix'!BNT22</f>
        <v>0</v>
      </c>
      <c r="BNU42" s="1046">
        <f>BNU38+((BNU40+'NF - 5 Power Mix'!BNU14+'NF - 5 Power Mix'!BNU15)*860/10)+((('Form Sa1'!BNX835)*860)/10)+('Form Sa1'!BNX814*'Form Sa1'!BNX816/10)-'NF - 5 Power Mix'!BNU21-'NF - 5 Power Mix'!BNU22</f>
        <v>0</v>
      </c>
      <c r="BNV42" s="1046">
        <f>BNV38+((BNV40+'NF - 5 Power Mix'!BNV14+'NF - 5 Power Mix'!BNV15)*860/10)+((('Form Sa1'!BNY835)*860)/10)+('Form Sa1'!BNY814*'Form Sa1'!BNY816/10)-'NF - 5 Power Mix'!BNV21-'NF - 5 Power Mix'!BNV22</f>
        <v>0</v>
      </c>
      <c r="BNW42" s="1046">
        <f>BNW38+((BNW40+'NF - 5 Power Mix'!BNW14+'NF - 5 Power Mix'!BNW15)*860/10)+((('Form Sa1'!BNZ835)*860)/10)+('Form Sa1'!BNZ814*'Form Sa1'!BNZ816/10)-'NF - 5 Power Mix'!BNW21-'NF - 5 Power Mix'!BNW22</f>
        <v>0</v>
      </c>
      <c r="BNX42" s="1046">
        <f>BNX38+((BNX40+'NF - 5 Power Mix'!BNX14+'NF - 5 Power Mix'!BNX15)*860/10)+((('Form Sa1'!BOA835)*860)/10)+('Form Sa1'!BOA814*'Form Sa1'!BOA816/10)-'NF - 5 Power Mix'!BNX21-'NF - 5 Power Mix'!BNX22</f>
        <v>0</v>
      </c>
      <c r="BNY42" s="1046">
        <f>BNY38+((BNY40+'NF - 5 Power Mix'!BNY14+'NF - 5 Power Mix'!BNY15)*860/10)+((('Form Sa1'!BOB835)*860)/10)+('Form Sa1'!BOB814*'Form Sa1'!BOB816/10)-'NF - 5 Power Mix'!BNY21-'NF - 5 Power Mix'!BNY22</f>
        <v>0</v>
      </c>
      <c r="BNZ42" s="1046">
        <f>BNZ38+((BNZ40+'NF - 5 Power Mix'!BNZ14+'NF - 5 Power Mix'!BNZ15)*860/10)+((('Form Sa1'!BOC835)*860)/10)+('Form Sa1'!BOC814*'Form Sa1'!BOC816/10)-'NF - 5 Power Mix'!BNZ21-'NF - 5 Power Mix'!BNZ22</f>
        <v>0</v>
      </c>
      <c r="BOA42" s="1046">
        <f>BOA38+((BOA40+'NF - 5 Power Mix'!BOA14+'NF - 5 Power Mix'!BOA15)*860/10)+((('Form Sa1'!BOD835)*860)/10)+('Form Sa1'!BOD814*'Form Sa1'!BOD816/10)-'NF - 5 Power Mix'!BOA21-'NF - 5 Power Mix'!BOA22</f>
        <v>0</v>
      </c>
      <c r="BOB42" s="1046">
        <f>BOB38+((BOB40+'NF - 5 Power Mix'!BOB14+'NF - 5 Power Mix'!BOB15)*860/10)+((('Form Sa1'!BOE835)*860)/10)+('Form Sa1'!BOE814*'Form Sa1'!BOE816/10)-'NF - 5 Power Mix'!BOB21-'NF - 5 Power Mix'!BOB22</f>
        <v>0</v>
      </c>
      <c r="BOC42" s="1046">
        <f>BOC38+((BOC40+'NF - 5 Power Mix'!BOC14+'NF - 5 Power Mix'!BOC15)*860/10)+((('Form Sa1'!BOF835)*860)/10)+('Form Sa1'!BOF814*'Form Sa1'!BOF816/10)-'NF - 5 Power Mix'!BOC21-'NF - 5 Power Mix'!BOC22</f>
        <v>0</v>
      </c>
      <c r="BOD42" s="1046">
        <f>BOD38+((BOD40+'NF - 5 Power Mix'!BOD14+'NF - 5 Power Mix'!BOD15)*860/10)+((('Form Sa1'!BOG835)*860)/10)+('Form Sa1'!BOG814*'Form Sa1'!BOG816/10)-'NF - 5 Power Mix'!BOD21-'NF - 5 Power Mix'!BOD22</f>
        <v>0</v>
      </c>
      <c r="BOE42" s="1046">
        <f>BOE38+((BOE40+'NF - 5 Power Mix'!BOE14+'NF - 5 Power Mix'!BOE15)*860/10)+((('Form Sa1'!BOH835)*860)/10)+('Form Sa1'!BOH814*'Form Sa1'!BOH816/10)-'NF - 5 Power Mix'!BOE21-'NF - 5 Power Mix'!BOE22</f>
        <v>0</v>
      </c>
      <c r="BOF42" s="1046">
        <f>BOF38+((BOF40+'NF - 5 Power Mix'!BOF14+'NF - 5 Power Mix'!BOF15)*860/10)+((('Form Sa1'!BOI835)*860)/10)+('Form Sa1'!BOI814*'Form Sa1'!BOI816/10)-'NF - 5 Power Mix'!BOF21-'NF - 5 Power Mix'!BOF22</f>
        <v>0</v>
      </c>
      <c r="BOG42" s="1046">
        <f>BOG38+((BOG40+'NF - 5 Power Mix'!BOG14+'NF - 5 Power Mix'!BOG15)*860/10)+((('Form Sa1'!BOJ835)*860)/10)+('Form Sa1'!BOJ814*'Form Sa1'!BOJ816/10)-'NF - 5 Power Mix'!BOG21-'NF - 5 Power Mix'!BOG22</f>
        <v>0</v>
      </c>
      <c r="BOH42" s="1046">
        <f>BOH38+((BOH40+'NF - 5 Power Mix'!BOH14+'NF - 5 Power Mix'!BOH15)*860/10)+((('Form Sa1'!BOK835)*860)/10)+('Form Sa1'!BOK814*'Form Sa1'!BOK816/10)-'NF - 5 Power Mix'!BOH21-'NF - 5 Power Mix'!BOH22</f>
        <v>0</v>
      </c>
      <c r="BOI42" s="1046">
        <f>BOI38+((BOI40+'NF - 5 Power Mix'!BOI14+'NF - 5 Power Mix'!BOI15)*860/10)+((('Form Sa1'!BOL835)*860)/10)+('Form Sa1'!BOL814*'Form Sa1'!BOL816/10)-'NF - 5 Power Mix'!BOI21-'NF - 5 Power Mix'!BOI22</f>
        <v>0</v>
      </c>
      <c r="BOJ42" s="1046">
        <f>BOJ38+((BOJ40+'NF - 5 Power Mix'!BOJ14+'NF - 5 Power Mix'!BOJ15)*860/10)+((('Form Sa1'!BOM835)*860)/10)+('Form Sa1'!BOM814*'Form Sa1'!BOM816/10)-'NF - 5 Power Mix'!BOJ21-'NF - 5 Power Mix'!BOJ22</f>
        <v>0</v>
      </c>
      <c r="BOK42" s="1046">
        <f>BOK38+((BOK40+'NF - 5 Power Mix'!BOK14+'NF - 5 Power Mix'!BOK15)*860/10)+((('Form Sa1'!BON835)*860)/10)+('Form Sa1'!BON814*'Form Sa1'!BON816/10)-'NF - 5 Power Mix'!BOK21-'NF - 5 Power Mix'!BOK22</f>
        <v>0</v>
      </c>
      <c r="BOL42" s="1046">
        <f>BOL38+((BOL40+'NF - 5 Power Mix'!BOL14+'NF - 5 Power Mix'!BOL15)*860/10)+((('Form Sa1'!BOO835)*860)/10)+('Form Sa1'!BOO814*'Form Sa1'!BOO816/10)-'NF - 5 Power Mix'!BOL21-'NF - 5 Power Mix'!BOL22</f>
        <v>0</v>
      </c>
      <c r="BOM42" s="1046">
        <f>BOM38+((BOM40+'NF - 5 Power Mix'!BOM14+'NF - 5 Power Mix'!BOM15)*860/10)+((('Form Sa1'!BOP835)*860)/10)+('Form Sa1'!BOP814*'Form Sa1'!BOP816/10)-'NF - 5 Power Mix'!BOM21-'NF - 5 Power Mix'!BOM22</f>
        <v>0</v>
      </c>
      <c r="BON42" s="1046">
        <f>BON38+((BON40+'NF - 5 Power Mix'!BON14+'NF - 5 Power Mix'!BON15)*860/10)+((('Form Sa1'!BOQ835)*860)/10)+('Form Sa1'!BOQ814*'Form Sa1'!BOQ816/10)-'NF - 5 Power Mix'!BON21-'NF - 5 Power Mix'!BON22</f>
        <v>0</v>
      </c>
      <c r="BOO42" s="1046">
        <f>BOO38+((BOO40+'NF - 5 Power Mix'!BOO14+'NF - 5 Power Mix'!BOO15)*860/10)+((('Form Sa1'!BOR835)*860)/10)+('Form Sa1'!BOR814*'Form Sa1'!BOR816/10)-'NF - 5 Power Mix'!BOO21-'NF - 5 Power Mix'!BOO22</f>
        <v>0</v>
      </c>
      <c r="BOP42" s="1046">
        <f>BOP38+((BOP40+'NF - 5 Power Mix'!BOP14+'NF - 5 Power Mix'!BOP15)*860/10)+((('Form Sa1'!BOS835)*860)/10)+('Form Sa1'!BOS814*'Form Sa1'!BOS816/10)-'NF - 5 Power Mix'!BOP21-'NF - 5 Power Mix'!BOP22</f>
        <v>0</v>
      </c>
      <c r="BOQ42" s="1046">
        <f>BOQ38+((BOQ40+'NF - 5 Power Mix'!BOQ14+'NF - 5 Power Mix'!BOQ15)*860/10)+((('Form Sa1'!BOT835)*860)/10)+('Form Sa1'!BOT814*'Form Sa1'!BOT816/10)-'NF - 5 Power Mix'!BOQ21-'NF - 5 Power Mix'!BOQ22</f>
        <v>0</v>
      </c>
      <c r="BOR42" s="1046">
        <f>BOR38+((BOR40+'NF - 5 Power Mix'!BOR14+'NF - 5 Power Mix'!BOR15)*860/10)+((('Form Sa1'!BOU835)*860)/10)+('Form Sa1'!BOU814*'Form Sa1'!BOU816/10)-'NF - 5 Power Mix'!BOR21-'NF - 5 Power Mix'!BOR22</f>
        <v>0</v>
      </c>
      <c r="BOS42" s="1046">
        <f>BOS38+((BOS40+'NF - 5 Power Mix'!BOS14+'NF - 5 Power Mix'!BOS15)*860/10)+((('Form Sa1'!BOV835)*860)/10)+('Form Sa1'!BOV814*'Form Sa1'!BOV816/10)-'NF - 5 Power Mix'!BOS21-'NF - 5 Power Mix'!BOS22</f>
        <v>0</v>
      </c>
      <c r="BOT42" s="1046">
        <f>BOT38+((BOT40+'NF - 5 Power Mix'!BOT14+'NF - 5 Power Mix'!BOT15)*860/10)+((('Form Sa1'!BOW835)*860)/10)+('Form Sa1'!BOW814*'Form Sa1'!BOW816/10)-'NF - 5 Power Mix'!BOT21-'NF - 5 Power Mix'!BOT22</f>
        <v>0</v>
      </c>
      <c r="BOU42" s="1046">
        <f>BOU38+((BOU40+'NF - 5 Power Mix'!BOU14+'NF - 5 Power Mix'!BOU15)*860/10)+((('Form Sa1'!BOX835)*860)/10)+('Form Sa1'!BOX814*'Form Sa1'!BOX816/10)-'NF - 5 Power Mix'!BOU21-'NF - 5 Power Mix'!BOU22</f>
        <v>0</v>
      </c>
      <c r="BOV42" s="1046">
        <f>BOV38+((BOV40+'NF - 5 Power Mix'!BOV14+'NF - 5 Power Mix'!BOV15)*860/10)+((('Form Sa1'!BOY835)*860)/10)+('Form Sa1'!BOY814*'Form Sa1'!BOY816/10)-'NF - 5 Power Mix'!BOV21-'NF - 5 Power Mix'!BOV22</f>
        <v>0</v>
      </c>
      <c r="BOW42" s="1046">
        <f>BOW38+((BOW40+'NF - 5 Power Mix'!BOW14+'NF - 5 Power Mix'!BOW15)*860/10)+((('Form Sa1'!BOZ835)*860)/10)+('Form Sa1'!BOZ814*'Form Sa1'!BOZ816/10)-'NF - 5 Power Mix'!BOW21-'NF - 5 Power Mix'!BOW22</f>
        <v>0</v>
      </c>
      <c r="BOX42" s="1046">
        <f>BOX38+((BOX40+'NF - 5 Power Mix'!BOX14+'NF - 5 Power Mix'!BOX15)*860/10)+((('Form Sa1'!BPA835)*860)/10)+('Form Sa1'!BPA814*'Form Sa1'!BPA816/10)-'NF - 5 Power Mix'!BOX21-'NF - 5 Power Mix'!BOX22</f>
        <v>0</v>
      </c>
      <c r="BOY42" s="1046">
        <f>BOY38+((BOY40+'NF - 5 Power Mix'!BOY14+'NF - 5 Power Mix'!BOY15)*860/10)+((('Form Sa1'!BPB835)*860)/10)+('Form Sa1'!BPB814*'Form Sa1'!BPB816/10)-'NF - 5 Power Mix'!BOY21-'NF - 5 Power Mix'!BOY22</f>
        <v>0</v>
      </c>
      <c r="BOZ42" s="1046">
        <f>BOZ38+((BOZ40+'NF - 5 Power Mix'!BOZ14+'NF - 5 Power Mix'!BOZ15)*860/10)+((('Form Sa1'!BPC835)*860)/10)+('Form Sa1'!BPC814*'Form Sa1'!BPC816/10)-'NF - 5 Power Mix'!BOZ21-'NF - 5 Power Mix'!BOZ22</f>
        <v>0</v>
      </c>
      <c r="BPA42" s="1046">
        <f>BPA38+((BPA40+'NF - 5 Power Mix'!BPA14+'NF - 5 Power Mix'!BPA15)*860/10)+((('Form Sa1'!BPD835)*860)/10)+('Form Sa1'!BPD814*'Form Sa1'!BPD816/10)-'NF - 5 Power Mix'!BPA21-'NF - 5 Power Mix'!BPA22</f>
        <v>0</v>
      </c>
      <c r="BPB42" s="1046">
        <f>BPB38+((BPB40+'NF - 5 Power Mix'!BPB14+'NF - 5 Power Mix'!BPB15)*860/10)+((('Form Sa1'!BPE835)*860)/10)+('Form Sa1'!BPE814*'Form Sa1'!BPE816/10)-'NF - 5 Power Mix'!BPB21-'NF - 5 Power Mix'!BPB22</f>
        <v>0</v>
      </c>
      <c r="BPC42" s="1046">
        <f>BPC38+((BPC40+'NF - 5 Power Mix'!BPC14+'NF - 5 Power Mix'!BPC15)*860/10)+((('Form Sa1'!BPF835)*860)/10)+('Form Sa1'!BPF814*'Form Sa1'!BPF816/10)-'NF - 5 Power Mix'!BPC21-'NF - 5 Power Mix'!BPC22</f>
        <v>0</v>
      </c>
      <c r="BPD42" s="1046">
        <f>BPD38+((BPD40+'NF - 5 Power Mix'!BPD14+'NF - 5 Power Mix'!BPD15)*860/10)+((('Form Sa1'!BPG835)*860)/10)+('Form Sa1'!BPG814*'Form Sa1'!BPG816/10)-'NF - 5 Power Mix'!BPD21-'NF - 5 Power Mix'!BPD22</f>
        <v>0</v>
      </c>
      <c r="BPE42" s="1046">
        <f>BPE38+((BPE40+'NF - 5 Power Mix'!BPE14+'NF - 5 Power Mix'!BPE15)*860/10)+((('Form Sa1'!BPH835)*860)/10)+('Form Sa1'!BPH814*'Form Sa1'!BPH816/10)-'NF - 5 Power Mix'!BPE21-'NF - 5 Power Mix'!BPE22</f>
        <v>0</v>
      </c>
      <c r="BPF42" s="1046">
        <f>BPF38+((BPF40+'NF - 5 Power Mix'!BPF14+'NF - 5 Power Mix'!BPF15)*860/10)+((('Form Sa1'!BPI835)*860)/10)+('Form Sa1'!BPI814*'Form Sa1'!BPI816/10)-'NF - 5 Power Mix'!BPF21-'NF - 5 Power Mix'!BPF22</f>
        <v>0</v>
      </c>
      <c r="BPG42" s="1046">
        <f>BPG38+((BPG40+'NF - 5 Power Mix'!BPG14+'NF - 5 Power Mix'!BPG15)*860/10)+((('Form Sa1'!BPJ835)*860)/10)+('Form Sa1'!BPJ814*'Form Sa1'!BPJ816/10)-'NF - 5 Power Mix'!BPG21-'NF - 5 Power Mix'!BPG22</f>
        <v>0</v>
      </c>
      <c r="BPH42" s="1046">
        <f>BPH38+((BPH40+'NF - 5 Power Mix'!BPH14+'NF - 5 Power Mix'!BPH15)*860/10)+((('Form Sa1'!BPK835)*860)/10)+('Form Sa1'!BPK814*'Form Sa1'!BPK816/10)-'NF - 5 Power Mix'!BPH21-'NF - 5 Power Mix'!BPH22</f>
        <v>0</v>
      </c>
      <c r="BPI42" s="1046">
        <f>BPI38+((BPI40+'NF - 5 Power Mix'!BPI14+'NF - 5 Power Mix'!BPI15)*860/10)+((('Form Sa1'!BPL835)*860)/10)+('Form Sa1'!BPL814*'Form Sa1'!BPL816/10)-'NF - 5 Power Mix'!BPI21-'NF - 5 Power Mix'!BPI22</f>
        <v>0</v>
      </c>
      <c r="BPJ42" s="1046">
        <f>BPJ38+((BPJ40+'NF - 5 Power Mix'!BPJ14+'NF - 5 Power Mix'!BPJ15)*860/10)+((('Form Sa1'!BPM835)*860)/10)+('Form Sa1'!BPM814*'Form Sa1'!BPM816/10)-'NF - 5 Power Mix'!BPJ21-'NF - 5 Power Mix'!BPJ22</f>
        <v>0</v>
      </c>
      <c r="BPK42" s="1046">
        <f>BPK38+((BPK40+'NF - 5 Power Mix'!BPK14+'NF - 5 Power Mix'!BPK15)*860/10)+((('Form Sa1'!BPN835)*860)/10)+('Form Sa1'!BPN814*'Form Sa1'!BPN816/10)-'NF - 5 Power Mix'!BPK21-'NF - 5 Power Mix'!BPK22</f>
        <v>0</v>
      </c>
      <c r="BPL42" s="1046">
        <f>BPL38+((BPL40+'NF - 5 Power Mix'!BPL14+'NF - 5 Power Mix'!BPL15)*860/10)+((('Form Sa1'!BPO835)*860)/10)+('Form Sa1'!BPO814*'Form Sa1'!BPO816/10)-'NF - 5 Power Mix'!BPL21-'NF - 5 Power Mix'!BPL22</f>
        <v>0</v>
      </c>
      <c r="BPM42" s="1046">
        <f>BPM38+((BPM40+'NF - 5 Power Mix'!BPM14+'NF - 5 Power Mix'!BPM15)*860/10)+((('Form Sa1'!BPP835)*860)/10)+('Form Sa1'!BPP814*'Form Sa1'!BPP816/10)-'NF - 5 Power Mix'!BPM21-'NF - 5 Power Mix'!BPM22</f>
        <v>0</v>
      </c>
      <c r="BPN42" s="1046">
        <f>BPN38+((BPN40+'NF - 5 Power Mix'!BPN14+'NF - 5 Power Mix'!BPN15)*860/10)+((('Form Sa1'!BPQ835)*860)/10)+('Form Sa1'!BPQ814*'Form Sa1'!BPQ816/10)-'NF - 5 Power Mix'!BPN21-'NF - 5 Power Mix'!BPN22</f>
        <v>0</v>
      </c>
      <c r="BPO42" s="1046">
        <f>BPO38+((BPO40+'NF - 5 Power Mix'!BPO14+'NF - 5 Power Mix'!BPO15)*860/10)+((('Form Sa1'!BPR835)*860)/10)+('Form Sa1'!BPR814*'Form Sa1'!BPR816/10)-'NF - 5 Power Mix'!BPO21-'NF - 5 Power Mix'!BPO22</f>
        <v>0</v>
      </c>
      <c r="BPP42" s="1046">
        <f>BPP38+((BPP40+'NF - 5 Power Mix'!BPP14+'NF - 5 Power Mix'!BPP15)*860/10)+((('Form Sa1'!BPS835)*860)/10)+('Form Sa1'!BPS814*'Form Sa1'!BPS816/10)-'NF - 5 Power Mix'!BPP21-'NF - 5 Power Mix'!BPP22</f>
        <v>0</v>
      </c>
      <c r="BPQ42" s="1046">
        <f>BPQ38+((BPQ40+'NF - 5 Power Mix'!BPQ14+'NF - 5 Power Mix'!BPQ15)*860/10)+((('Form Sa1'!BPT835)*860)/10)+('Form Sa1'!BPT814*'Form Sa1'!BPT816/10)-'NF - 5 Power Mix'!BPQ21-'NF - 5 Power Mix'!BPQ22</f>
        <v>0</v>
      </c>
      <c r="BPR42" s="1046">
        <f>BPR38+((BPR40+'NF - 5 Power Mix'!BPR14+'NF - 5 Power Mix'!BPR15)*860/10)+((('Form Sa1'!BPU835)*860)/10)+('Form Sa1'!BPU814*'Form Sa1'!BPU816/10)-'NF - 5 Power Mix'!BPR21-'NF - 5 Power Mix'!BPR22</f>
        <v>0</v>
      </c>
      <c r="BPS42" s="1046">
        <f>BPS38+((BPS40+'NF - 5 Power Mix'!BPS14+'NF - 5 Power Mix'!BPS15)*860/10)+((('Form Sa1'!BPV835)*860)/10)+('Form Sa1'!BPV814*'Form Sa1'!BPV816/10)-'NF - 5 Power Mix'!BPS21-'NF - 5 Power Mix'!BPS22</f>
        <v>0</v>
      </c>
      <c r="BPT42" s="1046">
        <f>BPT38+((BPT40+'NF - 5 Power Mix'!BPT14+'NF - 5 Power Mix'!BPT15)*860/10)+((('Form Sa1'!BPW835)*860)/10)+('Form Sa1'!BPW814*'Form Sa1'!BPW816/10)-'NF - 5 Power Mix'!BPT21-'NF - 5 Power Mix'!BPT22</f>
        <v>0</v>
      </c>
      <c r="BPU42" s="1046">
        <f>BPU38+((BPU40+'NF - 5 Power Mix'!BPU14+'NF - 5 Power Mix'!BPU15)*860/10)+((('Form Sa1'!BPX835)*860)/10)+('Form Sa1'!BPX814*'Form Sa1'!BPX816/10)-'NF - 5 Power Mix'!BPU21-'NF - 5 Power Mix'!BPU22</f>
        <v>0</v>
      </c>
      <c r="BPV42" s="1046">
        <f>BPV38+((BPV40+'NF - 5 Power Mix'!BPV14+'NF - 5 Power Mix'!BPV15)*860/10)+((('Form Sa1'!BPY835)*860)/10)+('Form Sa1'!BPY814*'Form Sa1'!BPY816/10)-'NF - 5 Power Mix'!BPV21-'NF - 5 Power Mix'!BPV22</f>
        <v>0</v>
      </c>
      <c r="BPW42" s="1046">
        <f>BPW38+((BPW40+'NF - 5 Power Mix'!BPW14+'NF - 5 Power Mix'!BPW15)*860/10)+((('Form Sa1'!BPZ835)*860)/10)+('Form Sa1'!BPZ814*'Form Sa1'!BPZ816/10)-'NF - 5 Power Mix'!BPW21-'NF - 5 Power Mix'!BPW22</f>
        <v>0</v>
      </c>
      <c r="BPX42" s="1046">
        <f>BPX38+((BPX40+'NF - 5 Power Mix'!BPX14+'NF - 5 Power Mix'!BPX15)*860/10)+((('Form Sa1'!BQA835)*860)/10)+('Form Sa1'!BQA814*'Form Sa1'!BQA816/10)-'NF - 5 Power Mix'!BPX21-'NF - 5 Power Mix'!BPX22</f>
        <v>0</v>
      </c>
      <c r="BPY42" s="1046">
        <f>BPY38+((BPY40+'NF - 5 Power Mix'!BPY14+'NF - 5 Power Mix'!BPY15)*860/10)+((('Form Sa1'!BQB835)*860)/10)+('Form Sa1'!BQB814*'Form Sa1'!BQB816/10)-'NF - 5 Power Mix'!BPY21-'NF - 5 Power Mix'!BPY22</f>
        <v>0</v>
      </c>
      <c r="BPZ42" s="1046">
        <f>BPZ38+((BPZ40+'NF - 5 Power Mix'!BPZ14+'NF - 5 Power Mix'!BPZ15)*860/10)+((('Form Sa1'!BQC835)*860)/10)+('Form Sa1'!BQC814*'Form Sa1'!BQC816/10)-'NF - 5 Power Mix'!BPZ21-'NF - 5 Power Mix'!BPZ22</f>
        <v>0</v>
      </c>
      <c r="BQA42" s="1046">
        <f>BQA38+((BQA40+'NF - 5 Power Mix'!BQA14+'NF - 5 Power Mix'!BQA15)*860/10)+((('Form Sa1'!BQD835)*860)/10)+('Form Sa1'!BQD814*'Form Sa1'!BQD816/10)-'NF - 5 Power Mix'!BQA21-'NF - 5 Power Mix'!BQA22</f>
        <v>0</v>
      </c>
      <c r="BQB42" s="1046">
        <f>BQB38+((BQB40+'NF - 5 Power Mix'!BQB14+'NF - 5 Power Mix'!BQB15)*860/10)+((('Form Sa1'!BQE835)*860)/10)+('Form Sa1'!BQE814*'Form Sa1'!BQE816/10)-'NF - 5 Power Mix'!BQB21-'NF - 5 Power Mix'!BQB22</f>
        <v>0</v>
      </c>
      <c r="BQC42" s="1046">
        <f>BQC38+((BQC40+'NF - 5 Power Mix'!BQC14+'NF - 5 Power Mix'!BQC15)*860/10)+((('Form Sa1'!BQF835)*860)/10)+('Form Sa1'!BQF814*'Form Sa1'!BQF816/10)-'NF - 5 Power Mix'!BQC21-'NF - 5 Power Mix'!BQC22</f>
        <v>0</v>
      </c>
      <c r="BQD42" s="1046">
        <f>BQD38+((BQD40+'NF - 5 Power Mix'!BQD14+'NF - 5 Power Mix'!BQD15)*860/10)+((('Form Sa1'!BQG835)*860)/10)+('Form Sa1'!BQG814*'Form Sa1'!BQG816/10)-'NF - 5 Power Mix'!BQD21-'NF - 5 Power Mix'!BQD22</f>
        <v>0</v>
      </c>
      <c r="BQE42" s="1046">
        <f>BQE38+((BQE40+'NF - 5 Power Mix'!BQE14+'NF - 5 Power Mix'!BQE15)*860/10)+((('Form Sa1'!BQH835)*860)/10)+('Form Sa1'!BQH814*'Form Sa1'!BQH816/10)-'NF - 5 Power Mix'!BQE21-'NF - 5 Power Mix'!BQE22</f>
        <v>0</v>
      </c>
      <c r="BQF42" s="1046">
        <f>BQF38+((BQF40+'NF - 5 Power Mix'!BQF14+'NF - 5 Power Mix'!BQF15)*860/10)+((('Form Sa1'!BQI835)*860)/10)+('Form Sa1'!BQI814*'Form Sa1'!BQI816/10)-'NF - 5 Power Mix'!BQF21-'NF - 5 Power Mix'!BQF22</f>
        <v>0</v>
      </c>
      <c r="BQG42" s="1046">
        <f>BQG38+((BQG40+'NF - 5 Power Mix'!BQG14+'NF - 5 Power Mix'!BQG15)*860/10)+((('Form Sa1'!BQJ835)*860)/10)+('Form Sa1'!BQJ814*'Form Sa1'!BQJ816/10)-'NF - 5 Power Mix'!BQG21-'NF - 5 Power Mix'!BQG22</f>
        <v>0</v>
      </c>
      <c r="BQH42" s="1046">
        <f>BQH38+((BQH40+'NF - 5 Power Mix'!BQH14+'NF - 5 Power Mix'!BQH15)*860/10)+((('Form Sa1'!BQK835)*860)/10)+('Form Sa1'!BQK814*'Form Sa1'!BQK816/10)-'NF - 5 Power Mix'!BQH21-'NF - 5 Power Mix'!BQH22</f>
        <v>0</v>
      </c>
      <c r="BQI42" s="1046">
        <f>BQI38+((BQI40+'NF - 5 Power Mix'!BQI14+'NF - 5 Power Mix'!BQI15)*860/10)+((('Form Sa1'!BQL835)*860)/10)+('Form Sa1'!BQL814*'Form Sa1'!BQL816/10)-'NF - 5 Power Mix'!BQI21-'NF - 5 Power Mix'!BQI22</f>
        <v>0</v>
      </c>
      <c r="BQJ42" s="1046">
        <f>BQJ38+((BQJ40+'NF - 5 Power Mix'!BQJ14+'NF - 5 Power Mix'!BQJ15)*860/10)+((('Form Sa1'!BQM835)*860)/10)+('Form Sa1'!BQM814*'Form Sa1'!BQM816/10)-'NF - 5 Power Mix'!BQJ21-'NF - 5 Power Mix'!BQJ22</f>
        <v>0</v>
      </c>
      <c r="BQK42" s="1046">
        <f>BQK38+((BQK40+'NF - 5 Power Mix'!BQK14+'NF - 5 Power Mix'!BQK15)*860/10)+((('Form Sa1'!BQN835)*860)/10)+('Form Sa1'!BQN814*'Form Sa1'!BQN816/10)-'NF - 5 Power Mix'!BQK21-'NF - 5 Power Mix'!BQK22</f>
        <v>0</v>
      </c>
      <c r="BQL42" s="1046">
        <f>BQL38+((BQL40+'NF - 5 Power Mix'!BQL14+'NF - 5 Power Mix'!BQL15)*860/10)+((('Form Sa1'!BQO835)*860)/10)+('Form Sa1'!BQO814*'Form Sa1'!BQO816/10)-'NF - 5 Power Mix'!BQL21-'NF - 5 Power Mix'!BQL22</f>
        <v>0</v>
      </c>
      <c r="BQM42" s="1046">
        <f>BQM38+((BQM40+'NF - 5 Power Mix'!BQM14+'NF - 5 Power Mix'!BQM15)*860/10)+((('Form Sa1'!BQP835)*860)/10)+('Form Sa1'!BQP814*'Form Sa1'!BQP816/10)-'NF - 5 Power Mix'!BQM21-'NF - 5 Power Mix'!BQM22</f>
        <v>0</v>
      </c>
      <c r="BQN42" s="1046">
        <f>BQN38+((BQN40+'NF - 5 Power Mix'!BQN14+'NF - 5 Power Mix'!BQN15)*860/10)+((('Form Sa1'!BQQ835)*860)/10)+('Form Sa1'!BQQ814*'Form Sa1'!BQQ816/10)-'NF - 5 Power Mix'!BQN21-'NF - 5 Power Mix'!BQN22</f>
        <v>0</v>
      </c>
      <c r="BQO42" s="1046">
        <f>BQO38+((BQO40+'NF - 5 Power Mix'!BQO14+'NF - 5 Power Mix'!BQO15)*860/10)+((('Form Sa1'!BQR835)*860)/10)+('Form Sa1'!BQR814*'Form Sa1'!BQR816/10)-'NF - 5 Power Mix'!BQO21-'NF - 5 Power Mix'!BQO22</f>
        <v>0</v>
      </c>
      <c r="BQP42" s="1046">
        <f>BQP38+((BQP40+'NF - 5 Power Mix'!BQP14+'NF - 5 Power Mix'!BQP15)*860/10)+((('Form Sa1'!BQS835)*860)/10)+('Form Sa1'!BQS814*'Form Sa1'!BQS816/10)-'NF - 5 Power Mix'!BQP21-'NF - 5 Power Mix'!BQP22</f>
        <v>0</v>
      </c>
      <c r="BQQ42" s="1046">
        <f>BQQ38+((BQQ40+'NF - 5 Power Mix'!BQQ14+'NF - 5 Power Mix'!BQQ15)*860/10)+((('Form Sa1'!BQT835)*860)/10)+('Form Sa1'!BQT814*'Form Sa1'!BQT816/10)-'NF - 5 Power Mix'!BQQ21-'NF - 5 Power Mix'!BQQ22</f>
        <v>0</v>
      </c>
      <c r="BQR42" s="1046">
        <f>BQR38+((BQR40+'NF - 5 Power Mix'!BQR14+'NF - 5 Power Mix'!BQR15)*860/10)+((('Form Sa1'!BQU835)*860)/10)+('Form Sa1'!BQU814*'Form Sa1'!BQU816/10)-'NF - 5 Power Mix'!BQR21-'NF - 5 Power Mix'!BQR22</f>
        <v>0</v>
      </c>
      <c r="BQS42" s="1046">
        <f>BQS38+((BQS40+'NF - 5 Power Mix'!BQS14+'NF - 5 Power Mix'!BQS15)*860/10)+((('Form Sa1'!BQV835)*860)/10)+('Form Sa1'!BQV814*'Form Sa1'!BQV816/10)-'NF - 5 Power Mix'!BQS21-'NF - 5 Power Mix'!BQS22</f>
        <v>0</v>
      </c>
      <c r="BQT42" s="1046">
        <f>BQT38+((BQT40+'NF - 5 Power Mix'!BQT14+'NF - 5 Power Mix'!BQT15)*860/10)+((('Form Sa1'!BQW835)*860)/10)+('Form Sa1'!BQW814*'Form Sa1'!BQW816/10)-'NF - 5 Power Mix'!BQT21-'NF - 5 Power Mix'!BQT22</f>
        <v>0</v>
      </c>
      <c r="BQU42" s="1046">
        <f>BQU38+((BQU40+'NF - 5 Power Mix'!BQU14+'NF - 5 Power Mix'!BQU15)*860/10)+((('Form Sa1'!BQX835)*860)/10)+('Form Sa1'!BQX814*'Form Sa1'!BQX816/10)-'NF - 5 Power Mix'!BQU21-'NF - 5 Power Mix'!BQU22</f>
        <v>0</v>
      </c>
      <c r="BQV42" s="1046">
        <f>BQV38+((BQV40+'NF - 5 Power Mix'!BQV14+'NF - 5 Power Mix'!BQV15)*860/10)+((('Form Sa1'!BQY835)*860)/10)+('Form Sa1'!BQY814*'Form Sa1'!BQY816/10)-'NF - 5 Power Mix'!BQV21-'NF - 5 Power Mix'!BQV22</f>
        <v>0</v>
      </c>
      <c r="BQW42" s="1046">
        <f>BQW38+((BQW40+'NF - 5 Power Mix'!BQW14+'NF - 5 Power Mix'!BQW15)*860/10)+((('Form Sa1'!BQZ835)*860)/10)+('Form Sa1'!BQZ814*'Form Sa1'!BQZ816/10)-'NF - 5 Power Mix'!BQW21-'NF - 5 Power Mix'!BQW22</f>
        <v>0</v>
      </c>
      <c r="BQX42" s="1046">
        <f>BQX38+((BQX40+'NF - 5 Power Mix'!BQX14+'NF - 5 Power Mix'!BQX15)*860/10)+((('Form Sa1'!BRA835)*860)/10)+('Form Sa1'!BRA814*'Form Sa1'!BRA816/10)-'NF - 5 Power Mix'!BQX21-'NF - 5 Power Mix'!BQX22</f>
        <v>0</v>
      </c>
      <c r="BQY42" s="1046">
        <f>BQY38+((BQY40+'NF - 5 Power Mix'!BQY14+'NF - 5 Power Mix'!BQY15)*860/10)+((('Form Sa1'!BRB835)*860)/10)+('Form Sa1'!BRB814*'Form Sa1'!BRB816/10)-'NF - 5 Power Mix'!BQY21-'NF - 5 Power Mix'!BQY22</f>
        <v>0</v>
      </c>
      <c r="BQZ42" s="1046">
        <f>BQZ38+((BQZ40+'NF - 5 Power Mix'!BQZ14+'NF - 5 Power Mix'!BQZ15)*860/10)+((('Form Sa1'!BRC835)*860)/10)+('Form Sa1'!BRC814*'Form Sa1'!BRC816/10)-'NF - 5 Power Mix'!BQZ21-'NF - 5 Power Mix'!BQZ22</f>
        <v>0</v>
      </c>
      <c r="BRA42" s="1046">
        <f>BRA38+((BRA40+'NF - 5 Power Mix'!BRA14+'NF - 5 Power Mix'!BRA15)*860/10)+((('Form Sa1'!BRD835)*860)/10)+('Form Sa1'!BRD814*'Form Sa1'!BRD816/10)-'NF - 5 Power Mix'!BRA21-'NF - 5 Power Mix'!BRA22</f>
        <v>0</v>
      </c>
      <c r="BRB42" s="1046">
        <f>BRB38+((BRB40+'NF - 5 Power Mix'!BRB14+'NF - 5 Power Mix'!BRB15)*860/10)+((('Form Sa1'!BRE835)*860)/10)+('Form Sa1'!BRE814*'Form Sa1'!BRE816/10)-'NF - 5 Power Mix'!BRB21-'NF - 5 Power Mix'!BRB22</f>
        <v>0</v>
      </c>
      <c r="BRC42" s="1046">
        <f>BRC38+((BRC40+'NF - 5 Power Mix'!BRC14+'NF - 5 Power Mix'!BRC15)*860/10)+((('Form Sa1'!BRF835)*860)/10)+('Form Sa1'!BRF814*'Form Sa1'!BRF816/10)-'NF - 5 Power Mix'!BRC21-'NF - 5 Power Mix'!BRC22</f>
        <v>0</v>
      </c>
      <c r="BRD42" s="1046">
        <f>BRD38+((BRD40+'NF - 5 Power Mix'!BRD14+'NF - 5 Power Mix'!BRD15)*860/10)+((('Form Sa1'!BRG835)*860)/10)+('Form Sa1'!BRG814*'Form Sa1'!BRG816/10)-'NF - 5 Power Mix'!BRD21-'NF - 5 Power Mix'!BRD22</f>
        <v>0</v>
      </c>
      <c r="BRE42" s="1046">
        <f>BRE38+((BRE40+'NF - 5 Power Mix'!BRE14+'NF - 5 Power Mix'!BRE15)*860/10)+((('Form Sa1'!BRH835)*860)/10)+('Form Sa1'!BRH814*'Form Sa1'!BRH816/10)-'NF - 5 Power Mix'!BRE21-'NF - 5 Power Mix'!BRE22</f>
        <v>0</v>
      </c>
      <c r="BRF42" s="1046">
        <f>BRF38+((BRF40+'NF - 5 Power Mix'!BRF14+'NF - 5 Power Mix'!BRF15)*860/10)+((('Form Sa1'!BRI835)*860)/10)+('Form Sa1'!BRI814*'Form Sa1'!BRI816/10)-'NF - 5 Power Mix'!BRF21-'NF - 5 Power Mix'!BRF22</f>
        <v>0</v>
      </c>
      <c r="BRG42" s="1046">
        <f>BRG38+((BRG40+'NF - 5 Power Mix'!BRG14+'NF - 5 Power Mix'!BRG15)*860/10)+((('Form Sa1'!BRJ835)*860)/10)+('Form Sa1'!BRJ814*'Form Sa1'!BRJ816/10)-'NF - 5 Power Mix'!BRG21-'NF - 5 Power Mix'!BRG22</f>
        <v>0</v>
      </c>
      <c r="BRH42" s="1046">
        <f>BRH38+((BRH40+'NF - 5 Power Mix'!BRH14+'NF - 5 Power Mix'!BRH15)*860/10)+((('Form Sa1'!BRK835)*860)/10)+('Form Sa1'!BRK814*'Form Sa1'!BRK816/10)-'NF - 5 Power Mix'!BRH21-'NF - 5 Power Mix'!BRH22</f>
        <v>0</v>
      </c>
      <c r="BRI42" s="1046">
        <f>BRI38+((BRI40+'NF - 5 Power Mix'!BRI14+'NF - 5 Power Mix'!BRI15)*860/10)+((('Form Sa1'!BRL835)*860)/10)+('Form Sa1'!BRL814*'Form Sa1'!BRL816/10)-'NF - 5 Power Mix'!BRI21-'NF - 5 Power Mix'!BRI22</f>
        <v>0</v>
      </c>
      <c r="BRJ42" s="1046">
        <f>BRJ38+((BRJ40+'NF - 5 Power Mix'!BRJ14+'NF - 5 Power Mix'!BRJ15)*860/10)+((('Form Sa1'!BRM835)*860)/10)+('Form Sa1'!BRM814*'Form Sa1'!BRM816/10)-'NF - 5 Power Mix'!BRJ21-'NF - 5 Power Mix'!BRJ22</f>
        <v>0</v>
      </c>
      <c r="BRK42" s="1046">
        <f>BRK38+((BRK40+'NF - 5 Power Mix'!BRK14+'NF - 5 Power Mix'!BRK15)*860/10)+((('Form Sa1'!BRN835)*860)/10)+('Form Sa1'!BRN814*'Form Sa1'!BRN816/10)-'NF - 5 Power Mix'!BRK21-'NF - 5 Power Mix'!BRK22</f>
        <v>0</v>
      </c>
      <c r="BRL42" s="1046">
        <f>BRL38+((BRL40+'NF - 5 Power Mix'!BRL14+'NF - 5 Power Mix'!BRL15)*860/10)+((('Form Sa1'!BRO835)*860)/10)+('Form Sa1'!BRO814*'Form Sa1'!BRO816/10)-'NF - 5 Power Mix'!BRL21-'NF - 5 Power Mix'!BRL22</f>
        <v>0</v>
      </c>
      <c r="BRM42" s="1046">
        <f>BRM38+((BRM40+'NF - 5 Power Mix'!BRM14+'NF - 5 Power Mix'!BRM15)*860/10)+((('Form Sa1'!BRP835)*860)/10)+('Form Sa1'!BRP814*'Form Sa1'!BRP816/10)-'NF - 5 Power Mix'!BRM21-'NF - 5 Power Mix'!BRM22</f>
        <v>0</v>
      </c>
      <c r="BRN42" s="1046">
        <f>BRN38+((BRN40+'NF - 5 Power Mix'!BRN14+'NF - 5 Power Mix'!BRN15)*860/10)+((('Form Sa1'!BRQ835)*860)/10)+('Form Sa1'!BRQ814*'Form Sa1'!BRQ816/10)-'NF - 5 Power Mix'!BRN21-'NF - 5 Power Mix'!BRN22</f>
        <v>0</v>
      </c>
      <c r="BRO42" s="1046">
        <f>BRO38+((BRO40+'NF - 5 Power Mix'!BRO14+'NF - 5 Power Mix'!BRO15)*860/10)+((('Form Sa1'!BRR835)*860)/10)+('Form Sa1'!BRR814*'Form Sa1'!BRR816/10)-'NF - 5 Power Mix'!BRO21-'NF - 5 Power Mix'!BRO22</f>
        <v>0</v>
      </c>
      <c r="BRP42" s="1046">
        <f>BRP38+((BRP40+'NF - 5 Power Mix'!BRP14+'NF - 5 Power Mix'!BRP15)*860/10)+((('Form Sa1'!BRS835)*860)/10)+('Form Sa1'!BRS814*'Form Sa1'!BRS816/10)-'NF - 5 Power Mix'!BRP21-'NF - 5 Power Mix'!BRP22</f>
        <v>0</v>
      </c>
      <c r="BRQ42" s="1046">
        <f>BRQ38+((BRQ40+'NF - 5 Power Mix'!BRQ14+'NF - 5 Power Mix'!BRQ15)*860/10)+((('Form Sa1'!BRT835)*860)/10)+('Form Sa1'!BRT814*'Form Sa1'!BRT816/10)-'NF - 5 Power Mix'!BRQ21-'NF - 5 Power Mix'!BRQ22</f>
        <v>0</v>
      </c>
      <c r="BRR42" s="1046">
        <f>BRR38+((BRR40+'NF - 5 Power Mix'!BRR14+'NF - 5 Power Mix'!BRR15)*860/10)+((('Form Sa1'!BRU835)*860)/10)+('Form Sa1'!BRU814*'Form Sa1'!BRU816/10)-'NF - 5 Power Mix'!BRR21-'NF - 5 Power Mix'!BRR22</f>
        <v>0</v>
      </c>
      <c r="BRS42" s="1046">
        <f>BRS38+((BRS40+'NF - 5 Power Mix'!BRS14+'NF - 5 Power Mix'!BRS15)*860/10)+((('Form Sa1'!BRV835)*860)/10)+('Form Sa1'!BRV814*'Form Sa1'!BRV816/10)-'NF - 5 Power Mix'!BRS21-'NF - 5 Power Mix'!BRS22</f>
        <v>0</v>
      </c>
      <c r="BRT42" s="1046">
        <f>BRT38+((BRT40+'NF - 5 Power Mix'!BRT14+'NF - 5 Power Mix'!BRT15)*860/10)+((('Form Sa1'!BRW835)*860)/10)+('Form Sa1'!BRW814*'Form Sa1'!BRW816/10)-'NF - 5 Power Mix'!BRT21-'NF - 5 Power Mix'!BRT22</f>
        <v>0</v>
      </c>
      <c r="BRU42" s="1046">
        <f>BRU38+((BRU40+'NF - 5 Power Mix'!BRU14+'NF - 5 Power Mix'!BRU15)*860/10)+((('Form Sa1'!BRX835)*860)/10)+('Form Sa1'!BRX814*'Form Sa1'!BRX816/10)-'NF - 5 Power Mix'!BRU21-'NF - 5 Power Mix'!BRU22</f>
        <v>0</v>
      </c>
      <c r="BRV42" s="1046">
        <f>BRV38+((BRV40+'NF - 5 Power Mix'!BRV14+'NF - 5 Power Mix'!BRV15)*860/10)+((('Form Sa1'!BRY835)*860)/10)+('Form Sa1'!BRY814*'Form Sa1'!BRY816/10)-'NF - 5 Power Mix'!BRV21-'NF - 5 Power Mix'!BRV22</f>
        <v>0</v>
      </c>
      <c r="BRW42" s="1046">
        <f>BRW38+((BRW40+'NF - 5 Power Mix'!BRW14+'NF - 5 Power Mix'!BRW15)*860/10)+((('Form Sa1'!BRZ835)*860)/10)+('Form Sa1'!BRZ814*'Form Sa1'!BRZ816/10)-'NF - 5 Power Mix'!BRW21-'NF - 5 Power Mix'!BRW22</f>
        <v>0</v>
      </c>
      <c r="BRX42" s="1046">
        <f>BRX38+((BRX40+'NF - 5 Power Mix'!BRX14+'NF - 5 Power Mix'!BRX15)*860/10)+((('Form Sa1'!BSA835)*860)/10)+('Form Sa1'!BSA814*'Form Sa1'!BSA816/10)-'NF - 5 Power Mix'!BRX21-'NF - 5 Power Mix'!BRX22</f>
        <v>0</v>
      </c>
      <c r="BRY42" s="1046">
        <f>BRY38+((BRY40+'NF - 5 Power Mix'!BRY14+'NF - 5 Power Mix'!BRY15)*860/10)+((('Form Sa1'!BSB835)*860)/10)+('Form Sa1'!BSB814*'Form Sa1'!BSB816/10)-'NF - 5 Power Mix'!BRY21-'NF - 5 Power Mix'!BRY22</f>
        <v>0</v>
      </c>
      <c r="BRZ42" s="1046">
        <f>BRZ38+((BRZ40+'NF - 5 Power Mix'!BRZ14+'NF - 5 Power Mix'!BRZ15)*860/10)+((('Form Sa1'!BSC835)*860)/10)+('Form Sa1'!BSC814*'Form Sa1'!BSC816/10)-'NF - 5 Power Mix'!BRZ21-'NF - 5 Power Mix'!BRZ22</f>
        <v>0</v>
      </c>
      <c r="BSA42" s="1046">
        <f>BSA38+((BSA40+'NF - 5 Power Mix'!BSA14+'NF - 5 Power Mix'!BSA15)*860/10)+((('Form Sa1'!BSD835)*860)/10)+('Form Sa1'!BSD814*'Form Sa1'!BSD816/10)-'NF - 5 Power Mix'!BSA21-'NF - 5 Power Mix'!BSA22</f>
        <v>0</v>
      </c>
      <c r="BSB42" s="1046">
        <f>BSB38+((BSB40+'NF - 5 Power Mix'!BSB14+'NF - 5 Power Mix'!BSB15)*860/10)+((('Form Sa1'!BSE835)*860)/10)+('Form Sa1'!BSE814*'Form Sa1'!BSE816/10)-'NF - 5 Power Mix'!BSB21-'NF - 5 Power Mix'!BSB22</f>
        <v>0</v>
      </c>
      <c r="BSC42" s="1046">
        <f>BSC38+((BSC40+'NF - 5 Power Mix'!BSC14+'NF - 5 Power Mix'!BSC15)*860/10)+((('Form Sa1'!BSF835)*860)/10)+('Form Sa1'!BSF814*'Form Sa1'!BSF816/10)-'NF - 5 Power Mix'!BSC21-'NF - 5 Power Mix'!BSC22</f>
        <v>0</v>
      </c>
      <c r="BSD42" s="1046">
        <f>BSD38+((BSD40+'NF - 5 Power Mix'!BSD14+'NF - 5 Power Mix'!BSD15)*860/10)+((('Form Sa1'!BSG835)*860)/10)+('Form Sa1'!BSG814*'Form Sa1'!BSG816/10)-'NF - 5 Power Mix'!BSD21-'NF - 5 Power Mix'!BSD22</f>
        <v>0</v>
      </c>
      <c r="BSE42" s="1046">
        <f>BSE38+((BSE40+'NF - 5 Power Mix'!BSE14+'NF - 5 Power Mix'!BSE15)*860/10)+((('Form Sa1'!BSH835)*860)/10)+('Form Sa1'!BSH814*'Form Sa1'!BSH816/10)-'NF - 5 Power Mix'!BSE21-'NF - 5 Power Mix'!BSE22</f>
        <v>0</v>
      </c>
      <c r="BSF42" s="1046">
        <f>BSF38+((BSF40+'NF - 5 Power Mix'!BSF14+'NF - 5 Power Mix'!BSF15)*860/10)+((('Form Sa1'!BSI835)*860)/10)+('Form Sa1'!BSI814*'Form Sa1'!BSI816/10)-'NF - 5 Power Mix'!BSF21-'NF - 5 Power Mix'!BSF22</f>
        <v>0</v>
      </c>
      <c r="BSG42" s="1046">
        <f>BSG38+((BSG40+'NF - 5 Power Mix'!BSG14+'NF - 5 Power Mix'!BSG15)*860/10)+((('Form Sa1'!BSJ835)*860)/10)+('Form Sa1'!BSJ814*'Form Sa1'!BSJ816/10)-'NF - 5 Power Mix'!BSG21-'NF - 5 Power Mix'!BSG22</f>
        <v>0</v>
      </c>
      <c r="BSH42" s="1046">
        <f>BSH38+((BSH40+'NF - 5 Power Mix'!BSH14+'NF - 5 Power Mix'!BSH15)*860/10)+((('Form Sa1'!BSK835)*860)/10)+('Form Sa1'!BSK814*'Form Sa1'!BSK816/10)-'NF - 5 Power Mix'!BSH21-'NF - 5 Power Mix'!BSH22</f>
        <v>0</v>
      </c>
      <c r="BSI42" s="1046">
        <f>BSI38+((BSI40+'NF - 5 Power Mix'!BSI14+'NF - 5 Power Mix'!BSI15)*860/10)+((('Form Sa1'!BSL835)*860)/10)+('Form Sa1'!BSL814*'Form Sa1'!BSL816/10)-'NF - 5 Power Mix'!BSI21-'NF - 5 Power Mix'!BSI22</f>
        <v>0</v>
      </c>
      <c r="BSJ42" s="1046">
        <f>BSJ38+((BSJ40+'NF - 5 Power Mix'!BSJ14+'NF - 5 Power Mix'!BSJ15)*860/10)+((('Form Sa1'!BSM835)*860)/10)+('Form Sa1'!BSM814*'Form Sa1'!BSM816/10)-'NF - 5 Power Mix'!BSJ21-'NF - 5 Power Mix'!BSJ22</f>
        <v>0</v>
      </c>
      <c r="BSK42" s="1046">
        <f>BSK38+((BSK40+'NF - 5 Power Mix'!BSK14+'NF - 5 Power Mix'!BSK15)*860/10)+((('Form Sa1'!BSN835)*860)/10)+('Form Sa1'!BSN814*'Form Sa1'!BSN816/10)-'NF - 5 Power Mix'!BSK21-'NF - 5 Power Mix'!BSK22</f>
        <v>0</v>
      </c>
      <c r="BSL42" s="1046">
        <f>BSL38+((BSL40+'NF - 5 Power Mix'!BSL14+'NF - 5 Power Mix'!BSL15)*860/10)+((('Form Sa1'!BSO835)*860)/10)+('Form Sa1'!BSO814*'Form Sa1'!BSO816/10)-'NF - 5 Power Mix'!BSL21-'NF - 5 Power Mix'!BSL22</f>
        <v>0</v>
      </c>
      <c r="BSM42" s="1046">
        <f>BSM38+((BSM40+'NF - 5 Power Mix'!BSM14+'NF - 5 Power Mix'!BSM15)*860/10)+((('Form Sa1'!BSP835)*860)/10)+('Form Sa1'!BSP814*'Form Sa1'!BSP816/10)-'NF - 5 Power Mix'!BSM21-'NF - 5 Power Mix'!BSM22</f>
        <v>0</v>
      </c>
      <c r="BSN42" s="1046">
        <f>BSN38+((BSN40+'NF - 5 Power Mix'!BSN14+'NF - 5 Power Mix'!BSN15)*860/10)+((('Form Sa1'!BSQ835)*860)/10)+('Form Sa1'!BSQ814*'Form Sa1'!BSQ816/10)-'NF - 5 Power Mix'!BSN21-'NF - 5 Power Mix'!BSN22</f>
        <v>0</v>
      </c>
      <c r="BSO42" s="1046">
        <f>BSO38+((BSO40+'NF - 5 Power Mix'!BSO14+'NF - 5 Power Mix'!BSO15)*860/10)+((('Form Sa1'!BSR835)*860)/10)+('Form Sa1'!BSR814*'Form Sa1'!BSR816/10)-'NF - 5 Power Mix'!BSO21-'NF - 5 Power Mix'!BSO22</f>
        <v>0</v>
      </c>
      <c r="BSP42" s="1046">
        <f>BSP38+((BSP40+'NF - 5 Power Mix'!BSP14+'NF - 5 Power Mix'!BSP15)*860/10)+((('Form Sa1'!BSS835)*860)/10)+('Form Sa1'!BSS814*'Form Sa1'!BSS816/10)-'NF - 5 Power Mix'!BSP21-'NF - 5 Power Mix'!BSP22</f>
        <v>0</v>
      </c>
      <c r="BSQ42" s="1046">
        <f>BSQ38+((BSQ40+'NF - 5 Power Mix'!BSQ14+'NF - 5 Power Mix'!BSQ15)*860/10)+((('Form Sa1'!BST835)*860)/10)+('Form Sa1'!BST814*'Form Sa1'!BST816/10)-'NF - 5 Power Mix'!BSQ21-'NF - 5 Power Mix'!BSQ22</f>
        <v>0</v>
      </c>
      <c r="BSR42" s="1046">
        <f>BSR38+((BSR40+'NF - 5 Power Mix'!BSR14+'NF - 5 Power Mix'!BSR15)*860/10)+((('Form Sa1'!BSU835)*860)/10)+('Form Sa1'!BSU814*'Form Sa1'!BSU816/10)-'NF - 5 Power Mix'!BSR21-'NF - 5 Power Mix'!BSR22</f>
        <v>0</v>
      </c>
      <c r="BSS42" s="1046">
        <f>BSS38+((BSS40+'NF - 5 Power Mix'!BSS14+'NF - 5 Power Mix'!BSS15)*860/10)+((('Form Sa1'!BSV835)*860)/10)+('Form Sa1'!BSV814*'Form Sa1'!BSV816/10)-'NF - 5 Power Mix'!BSS21-'NF - 5 Power Mix'!BSS22</f>
        <v>0</v>
      </c>
      <c r="BST42" s="1046">
        <f>BST38+((BST40+'NF - 5 Power Mix'!BST14+'NF - 5 Power Mix'!BST15)*860/10)+((('Form Sa1'!BSW835)*860)/10)+('Form Sa1'!BSW814*'Form Sa1'!BSW816/10)-'NF - 5 Power Mix'!BST21-'NF - 5 Power Mix'!BST22</f>
        <v>0</v>
      </c>
      <c r="BSU42" s="1046">
        <f>BSU38+((BSU40+'NF - 5 Power Mix'!BSU14+'NF - 5 Power Mix'!BSU15)*860/10)+((('Form Sa1'!BSX835)*860)/10)+('Form Sa1'!BSX814*'Form Sa1'!BSX816/10)-'NF - 5 Power Mix'!BSU21-'NF - 5 Power Mix'!BSU22</f>
        <v>0</v>
      </c>
      <c r="BSV42" s="1046">
        <f>BSV38+((BSV40+'NF - 5 Power Mix'!BSV14+'NF - 5 Power Mix'!BSV15)*860/10)+((('Form Sa1'!BSY835)*860)/10)+('Form Sa1'!BSY814*'Form Sa1'!BSY816/10)-'NF - 5 Power Mix'!BSV21-'NF - 5 Power Mix'!BSV22</f>
        <v>0</v>
      </c>
      <c r="BSW42" s="1046">
        <f>BSW38+((BSW40+'NF - 5 Power Mix'!BSW14+'NF - 5 Power Mix'!BSW15)*860/10)+((('Form Sa1'!BSZ835)*860)/10)+('Form Sa1'!BSZ814*'Form Sa1'!BSZ816/10)-'NF - 5 Power Mix'!BSW21-'NF - 5 Power Mix'!BSW22</f>
        <v>0</v>
      </c>
      <c r="BSX42" s="1046">
        <f>BSX38+((BSX40+'NF - 5 Power Mix'!BSX14+'NF - 5 Power Mix'!BSX15)*860/10)+((('Form Sa1'!BTA835)*860)/10)+('Form Sa1'!BTA814*'Form Sa1'!BTA816/10)-'NF - 5 Power Mix'!BSX21-'NF - 5 Power Mix'!BSX22</f>
        <v>0</v>
      </c>
      <c r="BSY42" s="1046">
        <f>BSY38+((BSY40+'NF - 5 Power Mix'!BSY14+'NF - 5 Power Mix'!BSY15)*860/10)+((('Form Sa1'!BTB835)*860)/10)+('Form Sa1'!BTB814*'Form Sa1'!BTB816/10)-'NF - 5 Power Mix'!BSY21-'NF - 5 Power Mix'!BSY22</f>
        <v>0</v>
      </c>
      <c r="BSZ42" s="1046">
        <f>BSZ38+((BSZ40+'NF - 5 Power Mix'!BSZ14+'NF - 5 Power Mix'!BSZ15)*860/10)+((('Form Sa1'!BTC835)*860)/10)+('Form Sa1'!BTC814*'Form Sa1'!BTC816/10)-'NF - 5 Power Mix'!BSZ21-'NF - 5 Power Mix'!BSZ22</f>
        <v>0</v>
      </c>
      <c r="BTA42" s="1046">
        <f>BTA38+((BTA40+'NF - 5 Power Mix'!BTA14+'NF - 5 Power Mix'!BTA15)*860/10)+((('Form Sa1'!BTD835)*860)/10)+('Form Sa1'!BTD814*'Form Sa1'!BTD816/10)-'NF - 5 Power Mix'!BTA21-'NF - 5 Power Mix'!BTA22</f>
        <v>0</v>
      </c>
      <c r="BTB42" s="1046">
        <f>BTB38+((BTB40+'NF - 5 Power Mix'!BTB14+'NF - 5 Power Mix'!BTB15)*860/10)+((('Form Sa1'!BTE835)*860)/10)+('Form Sa1'!BTE814*'Form Sa1'!BTE816/10)-'NF - 5 Power Mix'!BTB21-'NF - 5 Power Mix'!BTB22</f>
        <v>0</v>
      </c>
      <c r="BTC42" s="1046">
        <f>BTC38+((BTC40+'NF - 5 Power Mix'!BTC14+'NF - 5 Power Mix'!BTC15)*860/10)+((('Form Sa1'!BTF835)*860)/10)+('Form Sa1'!BTF814*'Form Sa1'!BTF816/10)-'NF - 5 Power Mix'!BTC21-'NF - 5 Power Mix'!BTC22</f>
        <v>0</v>
      </c>
      <c r="BTD42" s="1046">
        <f>BTD38+((BTD40+'NF - 5 Power Mix'!BTD14+'NF - 5 Power Mix'!BTD15)*860/10)+((('Form Sa1'!BTG835)*860)/10)+('Form Sa1'!BTG814*'Form Sa1'!BTG816/10)-'NF - 5 Power Mix'!BTD21-'NF - 5 Power Mix'!BTD22</f>
        <v>0</v>
      </c>
      <c r="BTE42" s="1046">
        <f>BTE38+((BTE40+'NF - 5 Power Mix'!BTE14+'NF - 5 Power Mix'!BTE15)*860/10)+((('Form Sa1'!BTH835)*860)/10)+('Form Sa1'!BTH814*'Form Sa1'!BTH816/10)-'NF - 5 Power Mix'!BTE21-'NF - 5 Power Mix'!BTE22</f>
        <v>0</v>
      </c>
      <c r="BTF42" s="1046">
        <f>BTF38+((BTF40+'NF - 5 Power Mix'!BTF14+'NF - 5 Power Mix'!BTF15)*860/10)+((('Form Sa1'!BTI835)*860)/10)+('Form Sa1'!BTI814*'Form Sa1'!BTI816/10)-'NF - 5 Power Mix'!BTF21-'NF - 5 Power Mix'!BTF22</f>
        <v>0</v>
      </c>
      <c r="BTG42" s="1046">
        <f>BTG38+((BTG40+'NF - 5 Power Mix'!BTG14+'NF - 5 Power Mix'!BTG15)*860/10)+((('Form Sa1'!BTJ835)*860)/10)+('Form Sa1'!BTJ814*'Form Sa1'!BTJ816/10)-'NF - 5 Power Mix'!BTG21-'NF - 5 Power Mix'!BTG22</f>
        <v>0</v>
      </c>
      <c r="BTH42" s="1046">
        <f>BTH38+((BTH40+'NF - 5 Power Mix'!BTH14+'NF - 5 Power Mix'!BTH15)*860/10)+((('Form Sa1'!BTK835)*860)/10)+('Form Sa1'!BTK814*'Form Sa1'!BTK816/10)-'NF - 5 Power Mix'!BTH21-'NF - 5 Power Mix'!BTH22</f>
        <v>0</v>
      </c>
      <c r="BTI42" s="1046">
        <f>BTI38+((BTI40+'NF - 5 Power Mix'!BTI14+'NF - 5 Power Mix'!BTI15)*860/10)+((('Form Sa1'!BTL835)*860)/10)+('Form Sa1'!BTL814*'Form Sa1'!BTL816/10)-'NF - 5 Power Mix'!BTI21-'NF - 5 Power Mix'!BTI22</f>
        <v>0</v>
      </c>
      <c r="BTJ42" s="1046">
        <f>BTJ38+((BTJ40+'NF - 5 Power Mix'!BTJ14+'NF - 5 Power Mix'!BTJ15)*860/10)+((('Form Sa1'!BTM835)*860)/10)+('Form Sa1'!BTM814*'Form Sa1'!BTM816/10)-'NF - 5 Power Mix'!BTJ21-'NF - 5 Power Mix'!BTJ22</f>
        <v>0</v>
      </c>
      <c r="BTK42" s="1046">
        <f>BTK38+((BTK40+'NF - 5 Power Mix'!BTK14+'NF - 5 Power Mix'!BTK15)*860/10)+((('Form Sa1'!BTN835)*860)/10)+('Form Sa1'!BTN814*'Form Sa1'!BTN816/10)-'NF - 5 Power Mix'!BTK21-'NF - 5 Power Mix'!BTK22</f>
        <v>0</v>
      </c>
      <c r="BTL42" s="1046">
        <f>BTL38+((BTL40+'NF - 5 Power Mix'!BTL14+'NF - 5 Power Mix'!BTL15)*860/10)+((('Form Sa1'!BTO835)*860)/10)+('Form Sa1'!BTO814*'Form Sa1'!BTO816/10)-'NF - 5 Power Mix'!BTL21-'NF - 5 Power Mix'!BTL22</f>
        <v>0</v>
      </c>
      <c r="BTM42" s="1046">
        <f>BTM38+((BTM40+'NF - 5 Power Mix'!BTM14+'NF - 5 Power Mix'!BTM15)*860/10)+((('Form Sa1'!BTP835)*860)/10)+('Form Sa1'!BTP814*'Form Sa1'!BTP816/10)-'NF - 5 Power Mix'!BTM21-'NF - 5 Power Mix'!BTM22</f>
        <v>0</v>
      </c>
      <c r="BTN42" s="1046">
        <f>BTN38+((BTN40+'NF - 5 Power Mix'!BTN14+'NF - 5 Power Mix'!BTN15)*860/10)+((('Form Sa1'!BTQ835)*860)/10)+('Form Sa1'!BTQ814*'Form Sa1'!BTQ816/10)-'NF - 5 Power Mix'!BTN21-'NF - 5 Power Mix'!BTN22</f>
        <v>0</v>
      </c>
      <c r="BTO42" s="1046">
        <f>BTO38+((BTO40+'NF - 5 Power Mix'!BTO14+'NF - 5 Power Mix'!BTO15)*860/10)+((('Form Sa1'!BTR835)*860)/10)+('Form Sa1'!BTR814*'Form Sa1'!BTR816/10)-'NF - 5 Power Mix'!BTO21-'NF - 5 Power Mix'!BTO22</f>
        <v>0</v>
      </c>
      <c r="BTP42" s="1046">
        <f>BTP38+((BTP40+'NF - 5 Power Mix'!BTP14+'NF - 5 Power Mix'!BTP15)*860/10)+((('Form Sa1'!BTS835)*860)/10)+('Form Sa1'!BTS814*'Form Sa1'!BTS816/10)-'NF - 5 Power Mix'!BTP21-'NF - 5 Power Mix'!BTP22</f>
        <v>0</v>
      </c>
      <c r="BTQ42" s="1046">
        <f>BTQ38+((BTQ40+'NF - 5 Power Mix'!BTQ14+'NF - 5 Power Mix'!BTQ15)*860/10)+((('Form Sa1'!BTT835)*860)/10)+('Form Sa1'!BTT814*'Form Sa1'!BTT816/10)-'NF - 5 Power Mix'!BTQ21-'NF - 5 Power Mix'!BTQ22</f>
        <v>0</v>
      </c>
      <c r="BTR42" s="1046">
        <f>BTR38+((BTR40+'NF - 5 Power Mix'!BTR14+'NF - 5 Power Mix'!BTR15)*860/10)+((('Form Sa1'!BTU835)*860)/10)+('Form Sa1'!BTU814*'Form Sa1'!BTU816/10)-'NF - 5 Power Mix'!BTR21-'NF - 5 Power Mix'!BTR22</f>
        <v>0</v>
      </c>
      <c r="BTS42" s="1046">
        <f>BTS38+((BTS40+'NF - 5 Power Mix'!BTS14+'NF - 5 Power Mix'!BTS15)*860/10)+((('Form Sa1'!BTV835)*860)/10)+('Form Sa1'!BTV814*'Form Sa1'!BTV816/10)-'NF - 5 Power Mix'!BTS21-'NF - 5 Power Mix'!BTS22</f>
        <v>0</v>
      </c>
      <c r="BTT42" s="1046">
        <f>BTT38+((BTT40+'NF - 5 Power Mix'!BTT14+'NF - 5 Power Mix'!BTT15)*860/10)+((('Form Sa1'!BTW835)*860)/10)+('Form Sa1'!BTW814*'Form Sa1'!BTW816/10)-'NF - 5 Power Mix'!BTT21-'NF - 5 Power Mix'!BTT22</f>
        <v>0</v>
      </c>
      <c r="BTU42" s="1046">
        <f>BTU38+((BTU40+'NF - 5 Power Mix'!BTU14+'NF - 5 Power Mix'!BTU15)*860/10)+((('Form Sa1'!BTX835)*860)/10)+('Form Sa1'!BTX814*'Form Sa1'!BTX816/10)-'NF - 5 Power Mix'!BTU21-'NF - 5 Power Mix'!BTU22</f>
        <v>0</v>
      </c>
      <c r="BTV42" s="1046">
        <f>BTV38+((BTV40+'NF - 5 Power Mix'!BTV14+'NF - 5 Power Mix'!BTV15)*860/10)+((('Form Sa1'!BTY835)*860)/10)+('Form Sa1'!BTY814*'Form Sa1'!BTY816/10)-'NF - 5 Power Mix'!BTV21-'NF - 5 Power Mix'!BTV22</f>
        <v>0</v>
      </c>
      <c r="BTW42" s="1046">
        <f>BTW38+((BTW40+'NF - 5 Power Mix'!BTW14+'NF - 5 Power Mix'!BTW15)*860/10)+((('Form Sa1'!BTZ835)*860)/10)+('Form Sa1'!BTZ814*'Form Sa1'!BTZ816/10)-'NF - 5 Power Mix'!BTW21-'NF - 5 Power Mix'!BTW22</f>
        <v>0</v>
      </c>
      <c r="BTX42" s="1046">
        <f>BTX38+((BTX40+'NF - 5 Power Mix'!BTX14+'NF - 5 Power Mix'!BTX15)*860/10)+((('Form Sa1'!BUA835)*860)/10)+('Form Sa1'!BUA814*'Form Sa1'!BUA816/10)-'NF - 5 Power Mix'!BTX21-'NF - 5 Power Mix'!BTX22</f>
        <v>0</v>
      </c>
      <c r="BTY42" s="1046">
        <f>BTY38+((BTY40+'NF - 5 Power Mix'!BTY14+'NF - 5 Power Mix'!BTY15)*860/10)+((('Form Sa1'!BUB835)*860)/10)+('Form Sa1'!BUB814*'Form Sa1'!BUB816/10)-'NF - 5 Power Mix'!BTY21-'NF - 5 Power Mix'!BTY22</f>
        <v>0</v>
      </c>
      <c r="BTZ42" s="1046">
        <f>BTZ38+((BTZ40+'NF - 5 Power Mix'!BTZ14+'NF - 5 Power Mix'!BTZ15)*860/10)+((('Form Sa1'!BUC835)*860)/10)+('Form Sa1'!BUC814*'Form Sa1'!BUC816/10)-'NF - 5 Power Mix'!BTZ21-'NF - 5 Power Mix'!BTZ22</f>
        <v>0</v>
      </c>
      <c r="BUA42" s="1046">
        <f>BUA38+((BUA40+'NF - 5 Power Mix'!BUA14+'NF - 5 Power Mix'!BUA15)*860/10)+((('Form Sa1'!BUD835)*860)/10)+('Form Sa1'!BUD814*'Form Sa1'!BUD816/10)-'NF - 5 Power Mix'!BUA21-'NF - 5 Power Mix'!BUA22</f>
        <v>0</v>
      </c>
      <c r="BUB42" s="1046">
        <f>BUB38+((BUB40+'NF - 5 Power Mix'!BUB14+'NF - 5 Power Mix'!BUB15)*860/10)+((('Form Sa1'!BUE835)*860)/10)+('Form Sa1'!BUE814*'Form Sa1'!BUE816/10)-'NF - 5 Power Mix'!BUB21-'NF - 5 Power Mix'!BUB22</f>
        <v>0</v>
      </c>
      <c r="BUC42" s="1046">
        <f>BUC38+((BUC40+'NF - 5 Power Mix'!BUC14+'NF - 5 Power Mix'!BUC15)*860/10)+((('Form Sa1'!BUF835)*860)/10)+('Form Sa1'!BUF814*'Form Sa1'!BUF816/10)-'NF - 5 Power Mix'!BUC21-'NF - 5 Power Mix'!BUC22</f>
        <v>0</v>
      </c>
      <c r="BUD42" s="1046">
        <f>BUD38+((BUD40+'NF - 5 Power Mix'!BUD14+'NF - 5 Power Mix'!BUD15)*860/10)+((('Form Sa1'!BUG835)*860)/10)+('Form Sa1'!BUG814*'Form Sa1'!BUG816/10)-'NF - 5 Power Mix'!BUD21-'NF - 5 Power Mix'!BUD22</f>
        <v>0</v>
      </c>
      <c r="BUE42" s="1046">
        <f>BUE38+((BUE40+'NF - 5 Power Mix'!BUE14+'NF - 5 Power Mix'!BUE15)*860/10)+((('Form Sa1'!BUH835)*860)/10)+('Form Sa1'!BUH814*'Form Sa1'!BUH816/10)-'NF - 5 Power Mix'!BUE21-'NF - 5 Power Mix'!BUE22</f>
        <v>0</v>
      </c>
      <c r="BUF42" s="1046">
        <f>BUF38+((BUF40+'NF - 5 Power Mix'!BUF14+'NF - 5 Power Mix'!BUF15)*860/10)+((('Form Sa1'!BUI835)*860)/10)+('Form Sa1'!BUI814*'Form Sa1'!BUI816/10)-'NF - 5 Power Mix'!BUF21-'NF - 5 Power Mix'!BUF22</f>
        <v>0</v>
      </c>
      <c r="BUG42" s="1046">
        <f>BUG38+((BUG40+'NF - 5 Power Mix'!BUG14+'NF - 5 Power Mix'!BUG15)*860/10)+((('Form Sa1'!BUJ835)*860)/10)+('Form Sa1'!BUJ814*'Form Sa1'!BUJ816/10)-'NF - 5 Power Mix'!BUG21-'NF - 5 Power Mix'!BUG22</f>
        <v>0</v>
      </c>
      <c r="BUH42" s="1046">
        <f>BUH38+((BUH40+'NF - 5 Power Mix'!BUH14+'NF - 5 Power Mix'!BUH15)*860/10)+((('Form Sa1'!BUK835)*860)/10)+('Form Sa1'!BUK814*'Form Sa1'!BUK816/10)-'NF - 5 Power Mix'!BUH21-'NF - 5 Power Mix'!BUH22</f>
        <v>0</v>
      </c>
      <c r="BUI42" s="1046">
        <f>BUI38+((BUI40+'NF - 5 Power Mix'!BUI14+'NF - 5 Power Mix'!BUI15)*860/10)+((('Form Sa1'!BUL835)*860)/10)+('Form Sa1'!BUL814*'Form Sa1'!BUL816/10)-'NF - 5 Power Mix'!BUI21-'NF - 5 Power Mix'!BUI22</f>
        <v>0</v>
      </c>
      <c r="BUJ42" s="1046">
        <f>BUJ38+((BUJ40+'NF - 5 Power Mix'!BUJ14+'NF - 5 Power Mix'!BUJ15)*860/10)+((('Form Sa1'!BUM835)*860)/10)+('Form Sa1'!BUM814*'Form Sa1'!BUM816/10)-'NF - 5 Power Mix'!BUJ21-'NF - 5 Power Mix'!BUJ22</f>
        <v>0</v>
      </c>
      <c r="BUK42" s="1046">
        <f>BUK38+((BUK40+'NF - 5 Power Mix'!BUK14+'NF - 5 Power Mix'!BUK15)*860/10)+((('Form Sa1'!BUN835)*860)/10)+('Form Sa1'!BUN814*'Form Sa1'!BUN816/10)-'NF - 5 Power Mix'!BUK21-'NF - 5 Power Mix'!BUK22</f>
        <v>0</v>
      </c>
      <c r="BUL42" s="1046">
        <f>BUL38+((BUL40+'NF - 5 Power Mix'!BUL14+'NF - 5 Power Mix'!BUL15)*860/10)+((('Form Sa1'!BUO835)*860)/10)+('Form Sa1'!BUO814*'Form Sa1'!BUO816/10)-'NF - 5 Power Mix'!BUL21-'NF - 5 Power Mix'!BUL22</f>
        <v>0</v>
      </c>
      <c r="BUM42" s="1046">
        <f>BUM38+((BUM40+'NF - 5 Power Mix'!BUM14+'NF - 5 Power Mix'!BUM15)*860/10)+((('Form Sa1'!BUP835)*860)/10)+('Form Sa1'!BUP814*'Form Sa1'!BUP816/10)-'NF - 5 Power Mix'!BUM21-'NF - 5 Power Mix'!BUM22</f>
        <v>0</v>
      </c>
      <c r="BUN42" s="1046">
        <f>BUN38+((BUN40+'NF - 5 Power Mix'!BUN14+'NF - 5 Power Mix'!BUN15)*860/10)+((('Form Sa1'!BUQ835)*860)/10)+('Form Sa1'!BUQ814*'Form Sa1'!BUQ816/10)-'NF - 5 Power Mix'!BUN21-'NF - 5 Power Mix'!BUN22</f>
        <v>0</v>
      </c>
      <c r="BUO42" s="1046">
        <f>BUO38+((BUO40+'NF - 5 Power Mix'!BUO14+'NF - 5 Power Mix'!BUO15)*860/10)+((('Form Sa1'!BUR835)*860)/10)+('Form Sa1'!BUR814*'Form Sa1'!BUR816/10)-'NF - 5 Power Mix'!BUO21-'NF - 5 Power Mix'!BUO22</f>
        <v>0</v>
      </c>
      <c r="BUP42" s="1046">
        <f>BUP38+((BUP40+'NF - 5 Power Mix'!BUP14+'NF - 5 Power Mix'!BUP15)*860/10)+((('Form Sa1'!BUS835)*860)/10)+('Form Sa1'!BUS814*'Form Sa1'!BUS816/10)-'NF - 5 Power Mix'!BUP21-'NF - 5 Power Mix'!BUP22</f>
        <v>0</v>
      </c>
      <c r="BUQ42" s="1046">
        <f>BUQ38+((BUQ40+'NF - 5 Power Mix'!BUQ14+'NF - 5 Power Mix'!BUQ15)*860/10)+((('Form Sa1'!BUT835)*860)/10)+('Form Sa1'!BUT814*'Form Sa1'!BUT816/10)-'NF - 5 Power Mix'!BUQ21-'NF - 5 Power Mix'!BUQ22</f>
        <v>0</v>
      </c>
      <c r="BUR42" s="1046">
        <f>BUR38+((BUR40+'NF - 5 Power Mix'!BUR14+'NF - 5 Power Mix'!BUR15)*860/10)+((('Form Sa1'!BUU835)*860)/10)+('Form Sa1'!BUU814*'Form Sa1'!BUU816/10)-'NF - 5 Power Mix'!BUR21-'NF - 5 Power Mix'!BUR22</f>
        <v>0</v>
      </c>
      <c r="BUS42" s="1046">
        <f>BUS38+((BUS40+'NF - 5 Power Mix'!BUS14+'NF - 5 Power Mix'!BUS15)*860/10)+((('Form Sa1'!BUV835)*860)/10)+('Form Sa1'!BUV814*'Form Sa1'!BUV816/10)-'NF - 5 Power Mix'!BUS21-'NF - 5 Power Mix'!BUS22</f>
        <v>0</v>
      </c>
      <c r="BUT42" s="1046">
        <f>BUT38+((BUT40+'NF - 5 Power Mix'!BUT14+'NF - 5 Power Mix'!BUT15)*860/10)+((('Form Sa1'!BUW835)*860)/10)+('Form Sa1'!BUW814*'Form Sa1'!BUW816/10)-'NF - 5 Power Mix'!BUT21-'NF - 5 Power Mix'!BUT22</f>
        <v>0</v>
      </c>
      <c r="BUU42" s="1046">
        <f>BUU38+((BUU40+'NF - 5 Power Mix'!BUU14+'NF - 5 Power Mix'!BUU15)*860/10)+((('Form Sa1'!BUX835)*860)/10)+('Form Sa1'!BUX814*'Form Sa1'!BUX816/10)-'NF - 5 Power Mix'!BUU21-'NF - 5 Power Mix'!BUU22</f>
        <v>0</v>
      </c>
      <c r="BUV42" s="1046">
        <f>BUV38+((BUV40+'NF - 5 Power Mix'!BUV14+'NF - 5 Power Mix'!BUV15)*860/10)+((('Form Sa1'!BUY835)*860)/10)+('Form Sa1'!BUY814*'Form Sa1'!BUY816/10)-'NF - 5 Power Mix'!BUV21-'NF - 5 Power Mix'!BUV22</f>
        <v>0</v>
      </c>
      <c r="BUW42" s="1046">
        <f>BUW38+((BUW40+'NF - 5 Power Mix'!BUW14+'NF - 5 Power Mix'!BUW15)*860/10)+((('Form Sa1'!BUZ835)*860)/10)+('Form Sa1'!BUZ814*'Form Sa1'!BUZ816/10)-'NF - 5 Power Mix'!BUW21-'NF - 5 Power Mix'!BUW22</f>
        <v>0</v>
      </c>
      <c r="BUX42" s="1046">
        <f>BUX38+((BUX40+'NF - 5 Power Mix'!BUX14+'NF - 5 Power Mix'!BUX15)*860/10)+((('Form Sa1'!BVA835)*860)/10)+('Form Sa1'!BVA814*'Form Sa1'!BVA816/10)-'NF - 5 Power Mix'!BUX21-'NF - 5 Power Mix'!BUX22</f>
        <v>0</v>
      </c>
      <c r="BUY42" s="1046">
        <f>BUY38+((BUY40+'NF - 5 Power Mix'!BUY14+'NF - 5 Power Mix'!BUY15)*860/10)+((('Form Sa1'!BVB835)*860)/10)+('Form Sa1'!BVB814*'Form Sa1'!BVB816/10)-'NF - 5 Power Mix'!BUY21-'NF - 5 Power Mix'!BUY22</f>
        <v>0</v>
      </c>
      <c r="BUZ42" s="1046">
        <f>BUZ38+((BUZ40+'NF - 5 Power Mix'!BUZ14+'NF - 5 Power Mix'!BUZ15)*860/10)+((('Form Sa1'!BVC835)*860)/10)+('Form Sa1'!BVC814*'Form Sa1'!BVC816/10)-'NF - 5 Power Mix'!BUZ21-'NF - 5 Power Mix'!BUZ22</f>
        <v>0</v>
      </c>
      <c r="BVA42" s="1046">
        <f>BVA38+((BVA40+'NF - 5 Power Mix'!BVA14+'NF - 5 Power Mix'!BVA15)*860/10)+((('Form Sa1'!BVD835)*860)/10)+('Form Sa1'!BVD814*'Form Sa1'!BVD816/10)-'NF - 5 Power Mix'!BVA21-'NF - 5 Power Mix'!BVA22</f>
        <v>0</v>
      </c>
      <c r="BVB42" s="1046">
        <f>BVB38+((BVB40+'NF - 5 Power Mix'!BVB14+'NF - 5 Power Mix'!BVB15)*860/10)+((('Form Sa1'!BVE835)*860)/10)+('Form Sa1'!BVE814*'Form Sa1'!BVE816/10)-'NF - 5 Power Mix'!BVB21-'NF - 5 Power Mix'!BVB22</f>
        <v>0</v>
      </c>
      <c r="BVC42" s="1046">
        <f>BVC38+((BVC40+'NF - 5 Power Mix'!BVC14+'NF - 5 Power Mix'!BVC15)*860/10)+((('Form Sa1'!BVF835)*860)/10)+('Form Sa1'!BVF814*'Form Sa1'!BVF816/10)-'NF - 5 Power Mix'!BVC21-'NF - 5 Power Mix'!BVC22</f>
        <v>0</v>
      </c>
      <c r="BVD42" s="1046">
        <f>BVD38+((BVD40+'NF - 5 Power Mix'!BVD14+'NF - 5 Power Mix'!BVD15)*860/10)+((('Form Sa1'!BVG835)*860)/10)+('Form Sa1'!BVG814*'Form Sa1'!BVG816/10)-'NF - 5 Power Mix'!BVD21-'NF - 5 Power Mix'!BVD22</f>
        <v>0</v>
      </c>
      <c r="BVE42" s="1046">
        <f>BVE38+((BVE40+'NF - 5 Power Mix'!BVE14+'NF - 5 Power Mix'!BVE15)*860/10)+((('Form Sa1'!BVH835)*860)/10)+('Form Sa1'!BVH814*'Form Sa1'!BVH816/10)-'NF - 5 Power Mix'!BVE21-'NF - 5 Power Mix'!BVE22</f>
        <v>0</v>
      </c>
      <c r="BVF42" s="1046">
        <f>BVF38+((BVF40+'NF - 5 Power Mix'!BVF14+'NF - 5 Power Mix'!BVF15)*860/10)+((('Form Sa1'!BVI835)*860)/10)+('Form Sa1'!BVI814*'Form Sa1'!BVI816/10)-'NF - 5 Power Mix'!BVF21-'NF - 5 Power Mix'!BVF22</f>
        <v>0</v>
      </c>
      <c r="BVG42" s="1046">
        <f>BVG38+((BVG40+'NF - 5 Power Mix'!BVG14+'NF - 5 Power Mix'!BVG15)*860/10)+((('Form Sa1'!BVJ835)*860)/10)+('Form Sa1'!BVJ814*'Form Sa1'!BVJ816/10)-'NF - 5 Power Mix'!BVG21-'NF - 5 Power Mix'!BVG22</f>
        <v>0</v>
      </c>
      <c r="BVH42" s="1046">
        <f>BVH38+((BVH40+'NF - 5 Power Mix'!BVH14+'NF - 5 Power Mix'!BVH15)*860/10)+((('Form Sa1'!BVK835)*860)/10)+('Form Sa1'!BVK814*'Form Sa1'!BVK816/10)-'NF - 5 Power Mix'!BVH21-'NF - 5 Power Mix'!BVH22</f>
        <v>0</v>
      </c>
      <c r="BVI42" s="1046">
        <f>BVI38+((BVI40+'NF - 5 Power Mix'!BVI14+'NF - 5 Power Mix'!BVI15)*860/10)+((('Form Sa1'!BVL835)*860)/10)+('Form Sa1'!BVL814*'Form Sa1'!BVL816/10)-'NF - 5 Power Mix'!BVI21-'NF - 5 Power Mix'!BVI22</f>
        <v>0</v>
      </c>
      <c r="BVJ42" s="1046">
        <f>BVJ38+((BVJ40+'NF - 5 Power Mix'!BVJ14+'NF - 5 Power Mix'!BVJ15)*860/10)+((('Form Sa1'!BVM835)*860)/10)+('Form Sa1'!BVM814*'Form Sa1'!BVM816/10)-'NF - 5 Power Mix'!BVJ21-'NF - 5 Power Mix'!BVJ22</f>
        <v>0</v>
      </c>
      <c r="BVK42" s="1046">
        <f>BVK38+((BVK40+'NF - 5 Power Mix'!BVK14+'NF - 5 Power Mix'!BVK15)*860/10)+((('Form Sa1'!BVN835)*860)/10)+('Form Sa1'!BVN814*'Form Sa1'!BVN816/10)-'NF - 5 Power Mix'!BVK21-'NF - 5 Power Mix'!BVK22</f>
        <v>0</v>
      </c>
      <c r="BVL42" s="1046">
        <f>BVL38+((BVL40+'NF - 5 Power Mix'!BVL14+'NF - 5 Power Mix'!BVL15)*860/10)+((('Form Sa1'!BVO835)*860)/10)+('Form Sa1'!BVO814*'Form Sa1'!BVO816/10)-'NF - 5 Power Mix'!BVL21-'NF - 5 Power Mix'!BVL22</f>
        <v>0</v>
      </c>
      <c r="BVM42" s="1046">
        <f>BVM38+((BVM40+'NF - 5 Power Mix'!BVM14+'NF - 5 Power Mix'!BVM15)*860/10)+((('Form Sa1'!BVP835)*860)/10)+('Form Sa1'!BVP814*'Form Sa1'!BVP816/10)-'NF - 5 Power Mix'!BVM21-'NF - 5 Power Mix'!BVM22</f>
        <v>0</v>
      </c>
      <c r="BVN42" s="1046">
        <f>BVN38+((BVN40+'NF - 5 Power Mix'!BVN14+'NF - 5 Power Mix'!BVN15)*860/10)+((('Form Sa1'!BVQ835)*860)/10)+('Form Sa1'!BVQ814*'Form Sa1'!BVQ816/10)-'NF - 5 Power Mix'!BVN21-'NF - 5 Power Mix'!BVN22</f>
        <v>0</v>
      </c>
      <c r="BVO42" s="1046">
        <f>BVO38+((BVO40+'NF - 5 Power Mix'!BVO14+'NF - 5 Power Mix'!BVO15)*860/10)+((('Form Sa1'!BVR835)*860)/10)+('Form Sa1'!BVR814*'Form Sa1'!BVR816/10)-'NF - 5 Power Mix'!BVO21-'NF - 5 Power Mix'!BVO22</f>
        <v>0</v>
      </c>
      <c r="BVP42" s="1046">
        <f>BVP38+((BVP40+'NF - 5 Power Mix'!BVP14+'NF - 5 Power Mix'!BVP15)*860/10)+((('Form Sa1'!BVS835)*860)/10)+('Form Sa1'!BVS814*'Form Sa1'!BVS816/10)-'NF - 5 Power Mix'!BVP21-'NF - 5 Power Mix'!BVP22</f>
        <v>0</v>
      </c>
      <c r="BVQ42" s="1046">
        <f>BVQ38+((BVQ40+'NF - 5 Power Mix'!BVQ14+'NF - 5 Power Mix'!BVQ15)*860/10)+((('Form Sa1'!BVT835)*860)/10)+('Form Sa1'!BVT814*'Form Sa1'!BVT816/10)-'NF - 5 Power Mix'!BVQ21-'NF - 5 Power Mix'!BVQ22</f>
        <v>0</v>
      </c>
      <c r="BVR42" s="1046">
        <f>BVR38+((BVR40+'NF - 5 Power Mix'!BVR14+'NF - 5 Power Mix'!BVR15)*860/10)+((('Form Sa1'!BVU835)*860)/10)+('Form Sa1'!BVU814*'Form Sa1'!BVU816/10)-'NF - 5 Power Mix'!BVR21-'NF - 5 Power Mix'!BVR22</f>
        <v>0</v>
      </c>
      <c r="BVS42" s="1046">
        <f>BVS38+((BVS40+'NF - 5 Power Mix'!BVS14+'NF - 5 Power Mix'!BVS15)*860/10)+((('Form Sa1'!BVV835)*860)/10)+('Form Sa1'!BVV814*'Form Sa1'!BVV816/10)-'NF - 5 Power Mix'!BVS21-'NF - 5 Power Mix'!BVS22</f>
        <v>0</v>
      </c>
      <c r="BVT42" s="1046">
        <f>BVT38+((BVT40+'NF - 5 Power Mix'!BVT14+'NF - 5 Power Mix'!BVT15)*860/10)+((('Form Sa1'!BVW835)*860)/10)+('Form Sa1'!BVW814*'Form Sa1'!BVW816/10)-'NF - 5 Power Mix'!BVT21-'NF - 5 Power Mix'!BVT22</f>
        <v>0</v>
      </c>
      <c r="BVU42" s="1046">
        <f>BVU38+((BVU40+'NF - 5 Power Mix'!BVU14+'NF - 5 Power Mix'!BVU15)*860/10)+((('Form Sa1'!BVX835)*860)/10)+('Form Sa1'!BVX814*'Form Sa1'!BVX816/10)-'NF - 5 Power Mix'!BVU21-'NF - 5 Power Mix'!BVU22</f>
        <v>0</v>
      </c>
      <c r="BVV42" s="1046">
        <f>BVV38+((BVV40+'NF - 5 Power Mix'!BVV14+'NF - 5 Power Mix'!BVV15)*860/10)+((('Form Sa1'!BVY835)*860)/10)+('Form Sa1'!BVY814*'Form Sa1'!BVY816/10)-'NF - 5 Power Mix'!BVV21-'NF - 5 Power Mix'!BVV22</f>
        <v>0</v>
      </c>
      <c r="BVW42" s="1046">
        <f>BVW38+((BVW40+'NF - 5 Power Mix'!BVW14+'NF - 5 Power Mix'!BVW15)*860/10)+((('Form Sa1'!BVZ835)*860)/10)+('Form Sa1'!BVZ814*'Form Sa1'!BVZ816/10)-'NF - 5 Power Mix'!BVW21-'NF - 5 Power Mix'!BVW22</f>
        <v>0</v>
      </c>
      <c r="BVX42" s="1046">
        <f>BVX38+((BVX40+'NF - 5 Power Mix'!BVX14+'NF - 5 Power Mix'!BVX15)*860/10)+((('Form Sa1'!BWA835)*860)/10)+('Form Sa1'!BWA814*'Form Sa1'!BWA816/10)-'NF - 5 Power Mix'!BVX21-'NF - 5 Power Mix'!BVX22</f>
        <v>0</v>
      </c>
      <c r="BVY42" s="1046">
        <f>BVY38+((BVY40+'NF - 5 Power Mix'!BVY14+'NF - 5 Power Mix'!BVY15)*860/10)+((('Form Sa1'!BWB835)*860)/10)+('Form Sa1'!BWB814*'Form Sa1'!BWB816/10)-'NF - 5 Power Mix'!BVY21-'NF - 5 Power Mix'!BVY22</f>
        <v>0</v>
      </c>
      <c r="BVZ42" s="1046">
        <f>BVZ38+((BVZ40+'NF - 5 Power Mix'!BVZ14+'NF - 5 Power Mix'!BVZ15)*860/10)+((('Form Sa1'!BWC835)*860)/10)+('Form Sa1'!BWC814*'Form Sa1'!BWC816/10)-'NF - 5 Power Mix'!BVZ21-'NF - 5 Power Mix'!BVZ22</f>
        <v>0</v>
      </c>
      <c r="BWA42" s="1046">
        <f>BWA38+((BWA40+'NF - 5 Power Mix'!BWA14+'NF - 5 Power Mix'!BWA15)*860/10)+((('Form Sa1'!BWD835)*860)/10)+('Form Sa1'!BWD814*'Form Sa1'!BWD816/10)-'NF - 5 Power Mix'!BWA21-'NF - 5 Power Mix'!BWA22</f>
        <v>0</v>
      </c>
      <c r="BWB42" s="1046">
        <f>BWB38+((BWB40+'NF - 5 Power Mix'!BWB14+'NF - 5 Power Mix'!BWB15)*860/10)+((('Form Sa1'!BWE835)*860)/10)+('Form Sa1'!BWE814*'Form Sa1'!BWE816/10)-'NF - 5 Power Mix'!BWB21-'NF - 5 Power Mix'!BWB22</f>
        <v>0</v>
      </c>
      <c r="BWC42" s="1046">
        <f>BWC38+((BWC40+'NF - 5 Power Mix'!BWC14+'NF - 5 Power Mix'!BWC15)*860/10)+((('Form Sa1'!BWF835)*860)/10)+('Form Sa1'!BWF814*'Form Sa1'!BWF816/10)-'NF - 5 Power Mix'!BWC21-'NF - 5 Power Mix'!BWC22</f>
        <v>0</v>
      </c>
      <c r="BWD42" s="1046">
        <f>BWD38+((BWD40+'NF - 5 Power Mix'!BWD14+'NF - 5 Power Mix'!BWD15)*860/10)+((('Form Sa1'!BWG835)*860)/10)+('Form Sa1'!BWG814*'Form Sa1'!BWG816/10)-'NF - 5 Power Mix'!BWD21-'NF - 5 Power Mix'!BWD22</f>
        <v>0</v>
      </c>
      <c r="BWE42" s="1046">
        <f>BWE38+((BWE40+'NF - 5 Power Mix'!BWE14+'NF - 5 Power Mix'!BWE15)*860/10)+((('Form Sa1'!BWH835)*860)/10)+('Form Sa1'!BWH814*'Form Sa1'!BWH816/10)-'NF - 5 Power Mix'!BWE21-'NF - 5 Power Mix'!BWE22</f>
        <v>0</v>
      </c>
      <c r="BWF42" s="1046">
        <f>BWF38+((BWF40+'NF - 5 Power Mix'!BWF14+'NF - 5 Power Mix'!BWF15)*860/10)+((('Form Sa1'!BWI835)*860)/10)+('Form Sa1'!BWI814*'Form Sa1'!BWI816/10)-'NF - 5 Power Mix'!BWF21-'NF - 5 Power Mix'!BWF22</f>
        <v>0</v>
      </c>
      <c r="BWG42" s="1046">
        <f>BWG38+((BWG40+'NF - 5 Power Mix'!BWG14+'NF - 5 Power Mix'!BWG15)*860/10)+((('Form Sa1'!BWJ835)*860)/10)+('Form Sa1'!BWJ814*'Form Sa1'!BWJ816/10)-'NF - 5 Power Mix'!BWG21-'NF - 5 Power Mix'!BWG22</f>
        <v>0</v>
      </c>
      <c r="BWH42" s="1046">
        <f>BWH38+((BWH40+'NF - 5 Power Mix'!BWH14+'NF - 5 Power Mix'!BWH15)*860/10)+((('Form Sa1'!BWK835)*860)/10)+('Form Sa1'!BWK814*'Form Sa1'!BWK816/10)-'NF - 5 Power Mix'!BWH21-'NF - 5 Power Mix'!BWH22</f>
        <v>0</v>
      </c>
      <c r="BWI42" s="1046">
        <f>BWI38+((BWI40+'NF - 5 Power Mix'!BWI14+'NF - 5 Power Mix'!BWI15)*860/10)+((('Form Sa1'!BWL835)*860)/10)+('Form Sa1'!BWL814*'Form Sa1'!BWL816/10)-'NF - 5 Power Mix'!BWI21-'NF - 5 Power Mix'!BWI22</f>
        <v>0</v>
      </c>
      <c r="BWJ42" s="1046">
        <f>BWJ38+((BWJ40+'NF - 5 Power Mix'!BWJ14+'NF - 5 Power Mix'!BWJ15)*860/10)+((('Form Sa1'!BWM835)*860)/10)+('Form Sa1'!BWM814*'Form Sa1'!BWM816/10)-'NF - 5 Power Mix'!BWJ21-'NF - 5 Power Mix'!BWJ22</f>
        <v>0</v>
      </c>
      <c r="BWK42" s="1046">
        <f>BWK38+((BWK40+'NF - 5 Power Mix'!BWK14+'NF - 5 Power Mix'!BWK15)*860/10)+((('Form Sa1'!BWN835)*860)/10)+('Form Sa1'!BWN814*'Form Sa1'!BWN816/10)-'NF - 5 Power Mix'!BWK21-'NF - 5 Power Mix'!BWK22</f>
        <v>0</v>
      </c>
      <c r="BWL42" s="1046">
        <f>BWL38+((BWL40+'NF - 5 Power Mix'!BWL14+'NF - 5 Power Mix'!BWL15)*860/10)+((('Form Sa1'!BWO835)*860)/10)+('Form Sa1'!BWO814*'Form Sa1'!BWO816/10)-'NF - 5 Power Mix'!BWL21-'NF - 5 Power Mix'!BWL22</f>
        <v>0</v>
      </c>
      <c r="BWM42" s="1046">
        <f>BWM38+((BWM40+'NF - 5 Power Mix'!BWM14+'NF - 5 Power Mix'!BWM15)*860/10)+((('Form Sa1'!BWP835)*860)/10)+('Form Sa1'!BWP814*'Form Sa1'!BWP816/10)-'NF - 5 Power Mix'!BWM21-'NF - 5 Power Mix'!BWM22</f>
        <v>0</v>
      </c>
      <c r="BWN42" s="1046">
        <f>BWN38+((BWN40+'NF - 5 Power Mix'!BWN14+'NF - 5 Power Mix'!BWN15)*860/10)+((('Form Sa1'!BWQ835)*860)/10)+('Form Sa1'!BWQ814*'Form Sa1'!BWQ816/10)-'NF - 5 Power Mix'!BWN21-'NF - 5 Power Mix'!BWN22</f>
        <v>0</v>
      </c>
      <c r="BWO42" s="1046">
        <f>BWO38+((BWO40+'NF - 5 Power Mix'!BWO14+'NF - 5 Power Mix'!BWO15)*860/10)+((('Form Sa1'!BWR835)*860)/10)+('Form Sa1'!BWR814*'Form Sa1'!BWR816/10)-'NF - 5 Power Mix'!BWO21-'NF - 5 Power Mix'!BWO22</f>
        <v>0</v>
      </c>
      <c r="BWP42" s="1046">
        <f>BWP38+((BWP40+'NF - 5 Power Mix'!BWP14+'NF - 5 Power Mix'!BWP15)*860/10)+((('Form Sa1'!BWS835)*860)/10)+('Form Sa1'!BWS814*'Form Sa1'!BWS816/10)-'NF - 5 Power Mix'!BWP21-'NF - 5 Power Mix'!BWP22</f>
        <v>0</v>
      </c>
      <c r="BWQ42" s="1046">
        <f>BWQ38+((BWQ40+'NF - 5 Power Mix'!BWQ14+'NF - 5 Power Mix'!BWQ15)*860/10)+((('Form Sa1'!BWT835)*860)/10)+('Form Sa1'!BWT814*'Form Sa1'!BWT816/10)-'NF - 5 Power Mix'!BWQ21-'NF - 5 Power Mix'!BWQ22</f>
        <v>0</v>
      </c>
      <c r="BWR42" s="1046">
        <f>BWR38+((BWR40+'NF - 5 Power Mix'!BWR14+'NF - 5 Power Mix'!BWR15)*860/10)+((('Form Sa1'!BWU835)*860)/10)+('Form Sa1'!BWU814*'Form Sa1'!BWU816/10)-'NF - 5 Power Mix'!BWR21-'NF - 5 Power Mix'!BWR22</f>
        <v>0</v>
      </c>
      <c r="BWS42" s="1046">
        <f>BWS38+((BWS40+'NF - 5 Power Mix'!BWS14+'NF - 5 Power Mix'!BWS15)*860/10)+((('Form Sa1'!BWV835)*860)/10)+('Form Sa1'!BWV814*'Form Sa1'!BWV816/10)-'NF - 5 Power Mix'!BWS21-'NF - 5 Power Mix'!BWS22</f>
        <v>0</v>
      </c>
      <c r="BWT42" s="1046">
        <f>BWT38+((BWT40+'NF - 5 Power Mix'!BWT14+'NF - 5 Power Mix'!BWT15)*860/10)+((('Form Sa1'!BWW835)*860)/10)+('Form Sa1'!BWW814*'Form Sa1'!BWW816/10)-'NF - 5 Power Mix'!BWT21-'NF - 5 Power Mix'!BWT22</f>
        <v>0</v>
      </c>
      <c r="BWU42" s="1046">
        <f>BWU38+((BWU40+'NF - 5 Power Mix'!BWU14+'NF - 5 Power Mix'!BWU15)*860/10)+((('Form Sa1'!BWX835)*860)/10)+('Form Sa1'!BWX814*'Form Sa1'!BWX816/10)-'NF - 5 Power Mix'!BWU21-'NF - 5 Power Mix'!BWU22</f>
        <v>0</v>
      </c>
      <c r="BWV42" s="1046">
        <f>BWV38+((BWV40+'NF - 5 Power Mix'!BWV14+'NF - 5 Power Mix'!BWV15)*860/10)+((('Form Sa1'!BWY835)*860)/10)+('Form Sa1'!BWY814*'Form Sa1'!BWY816/10)-'NF - 5 Power Mix'!BWV21-'NF - 5 Power Mix'!BWV22</f>
        <v>0</v>
      </c>
      <c r="BWW42" s="1046">
        <f>BWW38+((BWW40+'NF - 5 Power Mix'!BWW14+'NF - 5 Power Mix'!BWW15)*860/10)+((('Form Sa1'!BWZ835)*860)/10)+('Form Sa1'!BWZ814*'Form Sa1'!BWZ816/10)-'NF - 5 Power Mix'!BWW21-'NF - 5 Power Mix'!BWW22</f>
        <v>0</v>
      </c>
      <c r="BWX42" s="1046">
        <f>BWX38+((BWX40+'NF - 5 Power Mix'!BWX14+'NF - 5 Power Mix'!BWX15)*860/10)+((('Form Sa1'!BXA835)*860)/10)+('Form Sa1'!BXA814*'Form Sa1'!BXA816/10)-'NF - 5 Power Mix'!BWX21-'NF - 5 Power Mix'!BWX22</f>
        <v>0</v>
      </c>
      <c r="BWY42" s="1046">
        <f>BWY38+((BWY40+'NF - 5 Power Mix'!BWY14+'NF - 5 Power Mix'!BWY15)*860/10)+((('Form Sa1'!BXB835)*860)/10)+('Form Sa1'!BXB814*'Form Sa1'!BXB816/10)-'NF - 5 Power Mix'!BWY21-'NF - 5 Power Mix'!BWY22</f>
        <v>0</v>
      </c>
      <c r="BWZ42" s="1046">
        <f>BWZ38+((BWZ40+'NF - 5 Power Mix'!BWZ14+'NF - 5 Power Mix'!BWZ15)*860/10)+((('Form Sa1'!BXC835)*860)/10)+('Form Sa1'!BXC814*'Form Sa1'!BXC816/10)-'NF - 5 Power Mix'!BWZ21-'NF - 5 Power Mix'!BWZ22</f>
        <v>0</v>
      </c>
      <c r="BXA42" s="1046">
        <f>BXA38+((BXA40+'NF - 5 Power Mix'!BXA14+'NF - 5 Power Mix'!BXA15)*860/10)+((('Form Sa1'!BXD835)*860)/10)+('Form Sa1'!BXD814*'Form Sa1'!BXD816/10)-'NF - 5 Power Mix'!BXA21-'NF - 5 Power Mix'!BXA22</f>
        <v>0</v>
      </c>
      <c r="BXB42" s="1046">
        <f>BXB38+((BXB40+'NF - 5 Power Mix'!BXB14+'NF - 5 Power Mix'!BXB15)*860/10)+((('Form Sa1'!BXE835)*860)/10)+('Form Sa1'!BXE814*'Form Sa1'!BXE816/10)-'NF - 5 Power Mix'!BXB21-'NF - 5 Power Mix'!BXB22</f>
        <v>0</v>
      </c>
      <c r="BXC42" s="1046">
        <f>BXC38+((BXC40+'NF - 5 Power Mix'!BXC14+'NF - 5 Power Mix'!BXC15)*860/10)+((('Form Sa1'!BXF835)*860)/10)+('Form Sa1'!BXF814*'Form Sa1'!BXF816/10)-'NF - 5 Power Mix'!BXC21-'NF - 5 Power Mix'!BXC22</f>
        <v>0</v>
      </c>
      <c r="BXD42" s="1046">
        <f>BXD38+((BXD40+'NF - 5 Power Mix'!BXD14+'NF - 5 Power Mix'!BXD15)*860/10)+((('Form Sa1'!BXG835)*860)/10)+('Form Sa1'!BXG814*'Form Sa1'!BXG816/10)-'NF - 5 Power Mix'!BXD21-'NF - 5 Power Mix'!BXD22</f>
        <v>0</v>
      </c>
      <c r="BXE42" s="1046">
        <f>BXE38+((BXE40+'NF - 5 Power Mix'!BXE14+'NF - 5 Power Mix'!BXE15)*860/10)+((('Form Sa1'!BXH835)*860)/10)+('Form Sa1'!BXH814*'Form Sa1'!BXH816/10)-'NF - 5 Power Mix'!BXE21-'NF - 5 Power Mix'!BXE22</f>
        <v>0</v>
      </c>
      <c r="BXF42" s="1046">
        <f>BXF38+((BXF40+'NF - 5 Power Mix'!BXF14+'NF - 5 Power Mix'!BXF15)*860/10)+((('Form Sa1'!BXI835)*860)/10)+('Form Sa1'!BXI814*'Form Sa1'!BXI816/10)-'NF - 5 Power Mix'!BXF21-'NF - 5 Power Mix'!BXF22</f>
        <v>0</v>
      </c>
      <c r="BXG42" s="1046">
        <f>BXG38+((BXG40+'NF - 5 Power Mix'!BXG14+'NF - 5 Power Mix'!BXG15)*860/10)+((('Form Sa1'!BXJ835)*860)/10)+('Form Sa1'!BXJ814*'Form Sa1'!BXJ816/10)-'NF - 5 Power Mix'!BXG21-'NF - 5 Power Mix'!BXG22</f>
        <v>0</v>
      </c>
      <c r="BXH42" s="1046">
        <f>BXH38+((BXH40+'NF - 5 Power Mix'!BXH14+'NF - 5 Power Mix'!BXH15)*860/10)+((('Form Sa1'!BXK835)*860)/10)+('Form Sa1'!BXK814*'Form Sa1'!BXK816/10)-'NF - 5 Power Mix'!BXH21-'NF - 5 Power Mix'!BXH22</f>
        <v>0</v>
      </c>
      <c r="BXI42" s="1046">
        <f>BXI38+((BXI40+'NF - 5 Power Mix'!BXI14+'NF - 5 Power Mix'!BXI15)*860/10)+((('Form Sa1'!BXL835)*860)/10)+('Form Sa1'!BXL814*'Form Sa1'!BXL816/10)-'NF - 5 Power Mix'!BXI21-'NF - 5 Power Mix'!BXI22</f>
        <v>0</v>
      </c>
      <c r="BXJ42" s="1046">
        <f>BXJ38+((BXJ40+'NF - 5 Power Mix'!BXJ14+'NF - 5 Power Mix'!BXJ15)*860/10)+((('Form Sa1'!BXM835)*860)/10)+('Form Sa1'!BXM814*'Form Sa1'!BXM816/10)-'NF - 5 Power Mix'!BXJ21-'NF - 5 Power Mix'!BXJ22</f>
        <v>0</v>
      </c>
      <c r="BXK42" s="1046">
        <f>BXK38+((BXK40+'NF - 5 Power Mix'!BXK14+'NF - 5 Power Mix'!BXK15)*860/10)+((('Form Sa1'!BXN835)*860)/10)+('Form Sa1'!BXN814*'Form Sa1'!BXN816/10)-'NF - 5 Power Mix'!BXK21-'NF - 5 Power Mix'!BXK22</f>
        <v>0</v>
      </c>
      <c r="BXL42" s="1046">
        <f>BXL38+((BXL40+'NF - 5 Power Mix'!BXL14+'NF - 5 Power Mix'!BXL15)*860/10)+((('Form Sa1'!BXO835)*860)/10)+('Form Sa1'!BXO814*'Form Sa1'!BXO816/10)-'NF - 5 Power Mix'!BXL21-'NF - 5 Power Mix'!BXL22</f>
        <v>0</v>
      </c>
      <c r="BXM42" s="1046">
        <f>BXM38+((BXM40+'NF - 5 Power Mix'!BXM14+'NF - 5 Power Mix'!BXM15)*860/10)+((('Form Sa1'!BXP835)*860)/10)+('Form Sa1'!BXP814*'Form Sa1'!BXP816/10)-'NF - 5 Power Mix'!BXM21-'NF - 5 Power Mix'!BXM22</f>
        <v>0</v>
      </c>
      <c r="BXN42" s="1046">
        <f>BXN38+((BXN40+'NF - 5 Power Mix'!BXN14+'NF - 5 Power Mix'!BXN15)*860/10)+((('Form Sa1'!BXQ835)*860)/10)+('Form Sa1'!BXQ814*'Form Sa1'!BXQ816/10)-'NF - 5 Power Mix'!BXN21-'NF - 5 Power Mix'!BXN22</f>
        <v>0</v>
      </c>
      <c r="BXO42" s="1046">
        <f>BXO38+((BXO40+'NF - 5 Power Mix'!BXO14+'NF - 5 Power Mix'!BXO15)*860/10)+((('Form Sa1'!BXR835)*860)/10)+('Form Sa1'!BXR814*'Form Sa1'!BXR816/10)-'NF - 5 Power Mix'!BXO21-'NF - 5 Power Mix'!BXO22</f>
        <v>0</v>
      </c>
      <c r="BXP42" s="1046">
        <f>BXP38+((BXP40+'NF - 5 Power Mix'!BXP14+'NF - 5 Power Mix'!BXP15)*860/10)+((('Form Sa1'!BXS835)*860)/10)+('Form Sa1'!BXS814*'Form Sa1'!BXS816/10)-'NF - 5 Power Mix'!BXP21-'NF - 5 Power Mix'!BXP22</f>
        <v>0</v>
      </c>
      <c r="BXQ42" s="1046">
        <f>BXQ38+((BXQ40+'NF - 5 Power Mix'!BXQ14+'NF - 5 Power Mix'!BXQ15)*860/10)+((('Form Sa1'!BXT835)*860)/10)+('Form Sa1'!BXT814*'Form Sa1'!BXT816/10)-'NF - 5 Power Mix'!BXQ21-'NF - 5 Power Mix'!BXQ22</f>
        <v>0</v>
      </c>
      <c r="BXR42" s="1046">
        <f>BXR38+((BXR40+'NF - 5 Power Mix'!BXR14+'NF - 5 Power Mix'!BXR15)*860/10)+((('Form Sa1'!BXU835)*860)/10)+('Form Sa1'!BXU814*'Form Sa1'!BXU816/10)-'NF - 5 Power Mix'!BXR21-'NF - 5 Power Mix'!BXR22</f>
        <v>0</v>
      </c>
      <c r="BXS42" s="1046">
        <f>BXS38+((BXS40+'NF - 5 Power Mix'!BXS14+'NF - 5 Power Mix'!BXS15)*860/10)+((('Form Sa1'!BXV835)*860)/10)+('Form Sa1'!BXV814*'Form Sa1'!BXV816/10)-'NF - 5 Power Mix'!BXS21-'NF - 5 Power Mix'!BXS22</f>
        <v>0</v>
      </c>
      <c r="BXT42" s="1046">
        <f>BXT38+((BXT40+'NF - 5 Power Mix'!BXT14+'NF - 5 Power Mix'!BXT15)*860/10)+((('Form Sa1'!BXW835)*860)/10)+('Form Sa1'!BXW814*'Form Sa1'!BXW816/10)-'NF - 5 Power Mix'!BXT21-'NF - 5 Power Mix'!BXT22</f>
        <v>0</v>
      </c>
      <c r="BXU42" s="1046">
        <f>BXU38+((BXU40+'NF - 5 Power Mix'!BXU14+'NF - 5 Power Mix'!BXU15)*860/10)+((('Form Sa1'!BXX835)*860)/10)+('Form Sa1'!BXX814*'Form Sa1'!BXX816/10)-'NF - 5 Power Mix'!BXU21-'NF - 5 Power Mix'!BXU22</f>
        <v>0</v>
      </c>
      <c r="BXV42" s="1046">
        <f>BXV38+((BXV40+'NF - 5 Power Mix'!BXV14+'NF - 5 Power Mix'!BXV15)*860/10)+((('Form Sa1'!BXY835)*860)/10)+('Form Sa1'!BXY814*'Form Sa1'!BXY816/10)-'NF - 5 Power Mix'!BXV21-'NF - 5 Power Mix'!BXV22</f>
        <v>0</v>
      </c>
      <c r="BXW42" s="1046">
        <f>BXW38+((BXW40+'NF - 5 Power Mix'!BXW14+'NF - 5 Power Mix'!BXW15)*860/10)+((('Form Sa1'!BXZ835)*860)/10)+('Form Sa1'!BXZ814*'Form Sa1'!BXZ816/10)-'NF - 5 Power Mix'!BXW21-'NF - 5 Power Mix'!BXW22</f>
        <v>0</v>
      </c>
      <c r="BXX42" s="1046">
        <f>BXX38+((BXX40+'NF - 5 Power Mix'!BXX14+'NF - 5 Power Mix'!BXX15)*860/10)+((('Form Sa1'!BYA835)*860)/10)+('Form Sa1'!BYA814*'Form Sa1'!BYA816/10)-'NF - 5 Power Mix'!BXX21-'NF - 5 Power Mix'!BXX22</f>
        <v>0</v>
      </c>
      <c r="BXY42" s="1046">
        <f>BXY38+((BXY40+'NF - 5 Power Mix'!BXY14+'NF - 5 Power Mix'!BXY15)*860/10)+((('Form Sa1'!BYB835)*860)/10)+('Form Sa1'!BYB814*'Form Sa1'!BYB816/10)-'NF - 5 Power Mix'!BXY21-'NF - 5 Power Mix'!BXY22</f>
        <v>0</v>
      </c>
      <c r="BXZ42" s="1046">
        <f>BXZ38+((BXZ40+'NF - 5 Power Mix'!BXZ14+'NF - 5 Power Mix'!BXZ15)*860/10)+((('Form Sa1'!BYC835)*860)/10)+('Form Sa1'!BYC814*'Form Sa1'!BYC816/10)-'NF - 5 Power Mix'!BXZ21-'NF - 5 Power Mix'!BXZ22</f>
        <v>0</v>
      </c>
      <c r="BYA42" s="1046">
        <f>BYA38+((BYA40+'NF - 5 Power Mix'!BYA14+'NF - 5 Power Mix'!BYA15)*860/10)+((('Form Sa1'!BYD835)*860)/10)+('Form Sa1'!BYD814*'Form Sa1'!BYD816/10)-'NF - 5 Power Mix'!BYA21-'NF - 5 Power Mix'!BYA22</f>
        <v>0</v>
      </c>
      <c r="BYB42" s="1046">
        <f>BYB38+((BYB40+'NF - 5 Power Mix'!BYB14+'NF - 5 Power Mix'!BYB15)*860/10)+((('Form Sa1'!BYE835)*860)/10)+('Form Sa1'!BYE814*'Form Sa1'!BYE816/10)-'NF - 5 Power Mix'!BYB21-'NF - 5 Power Mix'!BYB22</f>
        <v>0</v>
      </c>
      <c r="BYC42" s="1046">
        <f>BYC38+((BYC40+'NF - 5 Power Mix'!BYC14+'NF - 5 Power Mix'!BYC15)*860/10)+((('Form Sa1'!BYF835)*860)/10)+('Form Sa1'!BYF814*'Form Sa1'!BYF816/10)-'NF - 5 Power Mix'!BYC21-'NF - 5 Power Mix'!BYC22</f>
        <v>0</v>
      </c>
      <c r="BYD42" s="1046">
        <f>BYD38+((BYD40+'NF - 5 Power Mix'!BYD14+'NF - 5 Power Mix'!BYD15)*860/10)+((('Form Sa1'!BYG835)*860)/10)+('Form Sa1'!BYG814*'Form Sa1'!BYG816/10)-'NF - 5 Power Mix'!BYD21-'NF - 5 Power Mix'!BYD22</f>
        <v>0</v>
      </c>
      <c r="BYE42" s="1046">
        <f>BYE38+((BYE40+'NF - 5 Power Mix'!BYE14+'NF - 5 Power Mix'!BYE15)*860/10)+((('Form Sa1'!BYH835)*860)/10)+('Form Sa1'!BYH814*'Form Sa1'!BYH816/10)-'NF - 5 Power Mix'!BYE21-'NF - 5 Power Mix'!BYE22</f>
        <v>0</v>
      </c>
      <c r="BYF42" s="1046">
        <f>BYF38+((BYF40+'NF - 5 Power Mix'!BYF14+'NF - 5 Power Mix'!BYF15)*860/10)+((('Form Sa1'!BYI835)*860)/10)+('Form Sa1'!BYI814*'Form Sa1'!BYI816/10)-'NF - 5 Power Mix'!BYF21-'NF - 5 Power Mix'!BYF22</f>
        <v>0</v>
      </c>
      <c r="BYG42" s="1046">
        <f>BYG38+((BYG40+'NF - 5 Power Mix'!BYG14+'NF - 5 Power Mix'!BYG15)*860/10)+((('Form Sa1'!BYJ835)*860)/10)+('Form Sa1'!BYJ814*'Form Sa1'!BYJ816/10)-'NF - 5 Power Mix'!BYG21-'NF - 5 Power Mix'!BYG22</f>
        <v>0</v>
      </c>
      <c r="BYH42" s="1046">
        <f>BYH38+((BYH40+'NF - 5 Power Mix'!BYH14+'NF - 5 Power Mix'!BYH15)*860/10)+((('Form Sa1'!BYK835)*860)/10)+('Form Sa1'!BYK814*'Form Sa1'!BYK816/10)-'NF - 5 Power Mix'!BYH21-'NF - 5 Power Mix'!BYH22</f>
        <v>0</v>
      </c>
      <c r="BYI42" s="1046">
        <f>BYI38+((BYI40+'NF - 5 Power Mix'!BYI14+'NF - 5 Power Mix'!BYI15)*860/10)+((('Form Sa1'!BYL835)*860)/10)+('Form Sa1'!BYL814*'Form Sa1'!BYL816/10)-'NF - 5 Power Mix'!BYI21-'NF - 5 Power Mix'!BYI22</f>
        <v>0</v>
      </c>
      <c r="BYJ42" s="1046">
        <f>BYJ38+((BYJ40+'NF - 5 Power Mix'!BYJ14+'NF - 5 Power Mix'!BYJ15)*860/10)+((('Form Sa1'!BYM835)*860)/10)+('Form Sa1'!BYM814*'Form Sa1'!BYM816/10)-'NF - 5 Power Mix'!BYJ21-'NF - 5 Power Mix'!BYJ22</f>
        <v>0</v>
      </c>
      <c r="BYK42" s="1046">
        <f>BYK38+((BYK40+'NF - 5 Power Mix'!BYK14+'NF - 5 Power Mix'!BYK15)*860/10)+((('Form Sa1'!BYN835)*860)/10)+('Form Sa1'!BYN814*'Form Sa1'!BYN816/10)-'NF - 5 Power Mix'!BYK21-'NF - 5 Power Mix'!BYK22</f>
        <v>0</v>
      </c>
      <c r="BYL42" s="1046">
        <f>BYL38+((BYL40+'NF - 5 Power Mix'!BYL14+'NF - 5 Power Mix'!BYL15)*860/10)+((('Form Sa1'!BYO835)*860)/10)+('Form Sa1'!BYO814*'Form Sa1'!BYO816/10)-'NF - 5 Power Mix'!BYL21-'NF - 5 Power Mix'!BYL22</f>
        <v>0</v>
      </c>
      <c r="BYM42" s="1046">
        <f>BYM38+((BYM40+'NF - 5 Power Mix'!BYM14+'NF - 5 Power Mix'!BYM15)*860/10)+((('Form Sa1'!BYP835)*860)/10)+('Form Sa1'!BYP814*'Form Sa1'!BYP816/10)-'NF - 5 Power Mix'!BYM21-'NF - 5 Power Mix'!BYM22</f>
        <v>0</v>
      </c>
      <c r="BYN42" s="1046">
        <f>BYN38+((BYN40+'NF - 5 Power Mix'!BYN14+'NF - 5 Power Mix'!BYN15)*860/10)+((('Form Sa1'!BYQ835)*860)/10)+('Form Sa1'!BYQ814*'Form Sa1'!BYQ816/10)-'NF - 5 Power Mix'!BYN21-'NF - 5 Power Mix'!BYN22</f>
        <v>0</v>
      </c>
      <c r="BYO42" s="1046">
        <f>BYO38+((BYO40+'NF - 5 Power Mix'!BYO14+'NF - 5 Power Mix'!BYO15)*860/10)+((('Form Sa1'!BYR835)*860)/10)+('Form Sa1'!BYR814*'Form Sa1'!BYR816/10)-'NF - 5 Power Mix'!BYO21-'NF - 5 Power Mix'!BYO22</f>
        <v>0</v>
      </c>
      <c r="BYP42" s="1046">
        <f>BYP38+((BYP40+'NF - 5 Power Mix'!BYP14+'NF - 5 Power Mix'!BYP15)*860/10)+((('Form Sa1'!BYS835)*860)/10)+('Form Sa1'!BYS814*'Form Sa1'!BYS816/10)-'NF - 5 Power Mix'!BYP21-'NF - 5 Power Mix'!BYP22</f>
        <v>0</v>
      </c>
      <c r="BYQ42" s="1046">
        <f>BYQ38+((BYQ40+'NF - 5 Power Mix'!BYQ14+'NF - 5 Power Mix'!BYQ15)*860/10)+((('Form Sa1'!BYT835)*860)/10)+('Form Sa1'!BYT814*'Form Sa1'!BYT816/10)-'NF - 5 Power Mix'!BYQ21-'NF - 5 Power Mix'!BYQ22</f>
        <v>0</v>
      </c>
      <c r="BYR42" s="1046">
        <f>BYR38+((BYR40+'NF - 5 Power Mix'!BYR14+'NF - 5 Power Mix'!BYR15)*860/10)+((('Form Sa1'!BYU835)*860)/10)+('Form Sa1'!BYU814*'Form Sa1'!BYU816/10)-'NF - 5 Power Mix'!BYR21-'NF - 5 Power Mix'!BYR22</f>
        <v>0</v>
      </c>
      <c r="BYS42" s="1046">
        <f>BYS38+((BYS40+'NF - 5 Power Mix'!BYS14+'NF - 5 Power Mix'!BYS15)*860/10)+((('Form Sa1'!BYV835)*860)/10)+('Form Sa1'!BYV814*'Form Sa1'!BYV816/10)-'NF - 5 Power Mix'!BYS21-'NF - 5 Power Mix'!BYS22</f>
        <v>0</v>
      </c>
      <c r="BYT42" s="1046">
        <f>BYT38+((BYT40+'NF - 5 Power Mix'!BYT14+'NF - 5 Power Mix'!BYT15)*860/10)+((('Form Sa1'!BYW835)*860)/10)+('Form Sa1'!BYW814*'Form Sa1'!BYW816/10)-'NF - 5 Power Mix'!BYT21-'NF - 5 Power Mix'!BYT22</f>
        <v>0</v>
      </c>
      <c r="BYU42" s="1046">
        <f>BYU38+((BYU40+'NF - 5 Power Mix'!BYU14+'NF - 5 Power Mix'!BYU15)*860/10)+((('Form Sa1'!BYX835)*860)/10)+('Form Sa1'!BYX814*'Form Sa1'!BYX816/10)-'NF - 5 Power Mix'!BYU21-'NF - 5 Power Mix'!BYU22</f>
        <v>0</v>
      </c>
      <c r="BYV42" s="1046">
        <f>BYV38+((BYV40+'NF - 5 Power Mix'!BYV14+'NF - 5 Power Mix'!BYV15)*860/10)+((('Form Sa1'!BYY835)*860)/10)+('Form Sa1'!BYY814*'Form Sa1'!BYY816/10)-'NF - 5 Power Mix'!BYV21-'NF - 5 Power Mix'!BYV22</f>
        <v>0</v>
      </c>
      <c r="BYW42" s="1046">
        <f>BYW38+((BYW40+'NF - 5 Power Mix'!BYW14+'NF - 5 Power Mix'!BYW15)*860/10)+((('Form Sa1'!BYZ835)*860)/10)+('Form Sa1'!BYZ814*'Form Sa1'!BYZ816/10)-'NF - 5 Power Mix'!BYW21-'NF - 5 Power Mix'!BYW22</f>
        <v>0</v>
      </c>
      <c r="BYX42" s="1046">
        <f>BYX38+((BYX40+'NF - 5 Power Mix'!BYX14+'NF - 5 Power Mix'!BYX15)*860/10)+((('Form Sa1'!BZA835)*860)/10)+('Form Sa1'!BZA814*'Form Sa1'!BZA816/10)-'NF - 5 Power Mix'!BYX21-'NF - 5 Power Mix'!BYX22</f>
        <v>0</v>
      </c>
      <c r="BYY42" s="1046">
        <f>BYY38+((BYY40+'NF - 5 Power Mix'!BYY14+'NF - 5 Power Mix'!BYY15)*860/10)+((('Form Sa1'!BZB835)*860)/10)+('Form Sa1'!BZB814*'Form Sa1'!BZB816/10)-'NF - 5 Power Mix'!BYY21-'NF - 5 Power Mix'!BYY22</f>
        <v>0</v>
      </c>
      <c r="BYZ42" s="1046">
        <f>BYZ38+((BYZ40+'NF - 5 Power Mix'!BYZ14+'NF - 5 Power Mix'!BYZ15)*860/10)+((('Form Sa1'!BZC835)*860)/10)+('Form Sa1'!BZC814*'Form Sa1'!BZC816/10)-'NF - 5 Power Mix'!BYZ21-'NF - 5 Power Mix'!BYZ22</f>
        <v>0</v>
      </c>
      <c r="BZA42" s="1046">
        <f>BZA38+((BZA40+'NF - 5 Power Mix'!BZA14+'NF - 5 Power Mix'!BZA15)*860/10)+((('Form Sa1'!BZD835)*860)/10)+('Form Sa1'!BZD814*'Form Sa1'!BZD816/10)-'NF - 5 Power Mix'!BZA21-'NF - 5 Power Mix'!BZA22</f>
        <v>0</v>
      </c>
      <c r="BZB42" s="1046">
        <f>BZB38+((BZB40+'NF - 5 Power Mix'!BZB14+'NF - 5 Power Mix'!BZB15)*860/10)+((('Form Sa1'!BZE835)*860)/10)+('Form Sa1'!BZE814*'Form Sa1'!BZE816/10)-'NF - 5 Power Mix'!BZB21-'NF - 5 Power Mix'!BZB22</f>
        <v>0</v>
      </c>
      <c r="BZC42" s="1046">
        <f>BZC38+((BZC40+'NF - 5 Power Mix'!BZC14+'NF - 5 Power Mix'!BZC15)*860/10)+((('Form Sa1'!BZF835)*860)/10)+('Form Sa1'!BZF814*'Form Sa1'!BZF816/10)-'NF - 5 Power Mix'!BZC21-'NF - 5 Power Mix'!BZC22</f>
        <v>0</v>
      </c>
      <c r="BZD42" s="1046">
        <f>BZD38+((BZD40+'NF - 5 Power Mix'!BZD14+'NF - 5 Power Mix'!BZD15)*860/10)+((('Form Sa1'!BZG835)*860)/10)+('Form Sa1'!BZG814*'Form Sa1'!BZG816/10)-'NF - 5 Power Mix'!BZD21-'NF - 5 Power Mix'!BZD22</f>
        <v>0</v>
      </c>
      <c r="BZE42" s="1046">
        <f>BZE38+((BZE40+'NF - 5 Power Mix'!BZE14+'NF - 5 Power Mix'!BZE15)*860/10)+((('Form Sa1'!BZH835)*860)/10)+('Form Sa1'!BZH814*'Form Sa1'!BZH816/10)-'NF - 5 Power Mix'!BZE21-'NF - 5 Power Mix'!BZE22</f>
        <v>0</v>
      </c>
      <c r="BZF42" s="1046">
        <f>BZF38+((BZF40+'NF - 5 Power Mix'!BZF14+'NF - 5 Power Mix'!BZF15)*860/10)+((('Form Sa1'!BZI835)*860)/10)+('Form Sa1'!BZI814*'Form Sa1'!BZI816/10)-'NF - 5 Power Mix'!BZF21-'NF - 5 Power Mix'!BZF22</f>
        <v>0</v>
      </c>
      <c r="BZG42" s="1046">
        <f>BZG38+((BZG40+'NF - 5 Power Mix'!BZG14+'NF - 5 Power Mix'!BZG15)*860/10)+((('Form Sa1'!BZJ835)*860)/10)+('Form Sa1'!BZJ814*'Form Sa1'!BZJ816/10)-'NF - 5 Power Mix'!BZG21-'NF - 5 Power Mix'!BZG22</f>
        <v>0</v>
      </c>
      <c r="BZH42" s="1046">
        <f>BZH38+((BZH40+'NF - 5 Power Mix'!BZH14+'NF - 5 Power Mix'!BZH15)*860/10)+((('Form Sa1'!BZK835)*860)/10)+('Form Sa1'!BZK814*'Form Sa1'!BZK816/10)-'NF - 5 Power Mix'!BZH21-'NF - 5 Power Mix'!BZH22</f>
        <v>0</v>
      </c>
      <c r="BZI42" s="1046">
        <f>BZI38+((BZI40+'NF - 5 Power Mix'!BZI14+'NF - 5 Power Mix'!BZI15)*860/10)+((('Form Sa1'!BZL835)*860)/10)+('Form Sa1'!BZL814*'Form Sa1'!BZL816/10)-'NF - 5 Power Mix'!BZI21-'NF - 5 Power Mix'!BZI22</f>
        <v>0</v>
      </c>
      <c r="BZJ42" s="1046">
        <f>BZJ38+((BZJ40+'NF - 5 Power Mix'!BZJ14+'NF - 5 Power Mix'!BZJ15)*860/10)+((('Form Sa1'!BZM835)*860)/10)+('Form Sa1'!BZM814*'Form Sa1'!BZM816/10)-'NF - 5 Power Mix'!BZJ21-'NF - 5 Power Mix'!BZJ22</f>
        <v>0</v>
      </c>
      <c r="BZK42" s="1046">
        <f>BZK38+((BZK40+'NF - 5 Power Mix'!BZK14+'NF - 5 Power Mix'!BZK15)*860/10)+((('Form Sa1'!BZN835)*860)/10)+('Form Sa1'!BZN814*'Form Sa1'!BZN816/10)-'NF - 5 Power Mix'!BZK21-'NF - 5 Power Mix'!BZK22</f>
        <v>0</v>
      </c>
      <c r="BZL42" s="1046">
        <f>BZL38+((BZL40+'NF - 5 Power Mix'!BZL14+'NF - 5 Power Mix'!BZL15)*860/10)+((('Form Sa1'!BZO835)*860)/10)+('Form Sa1'!BZO814*'Form Sa1'!BZO816/10)-'NF - 5 Power Mix'!BZL21-'NF - 5 Power Mix'!BZL22</f>
        <v>0</v>
      </c>
      <c r="BZM42" s="1046">
        <f>BZM38+((BZM40+'NF - 5 Power Mix'!BZM14+'NF - 5 Power Mix'!BZM15)*860/10)+((('Form Sa1'!BZP835)*860)/10)+('Form Sa1'!BZP814*'Form Sa1'!BZP816/10)-'NF - 5 Power Mix'!BZM21-'NF - 5 Power Mix'!BZM22</f>
        <v>0</v>
      </c>
      <c r="BZN42" s="1046">
        <f>BZN38+((BZN40+'NF - 5 Power Mix'!BZN14+'NF - 5 Power Mix'!BZN15)*860/10)+((('Form Sa1'!BZQ835)*860)/10)+('Form Sa1'!BZQ814*'Form Sa1'!BZQ816/10)-'NF - 5 Power Mix'!BZN21-'NF - 5 Power Mix'!BZN22</f>
        <v>0</v>
      </c>
      <c r="BZO42" s="1046">
        <f>BZO38+((BZO40+'NF - 5 Power Mix'!BZO14+'NF - 5 Power Mix'!BZO15)*860/10)+((('Form Sa1'!BZR835)*860)/10)+('Form Sa1'!BZR814*'Form Sa1'!BZR816/10)-'NF - 5 Power Mix'!BZO21-'NF - 5 Power Mix'!BZO22</f>
        <v>0</v>
      </c>
      <c r="BZP42" s="1046">
        <f>BZP38+((BZP40+'NF - 5 Power Mix'!BZP14+'NF - 5 Power Mix'!BZP15)*860/10)+((('Form Sa1'!BZS835)*860)/10)+('Form Sa1'!BZS814*'Form Sa1'!BZS816/10)-'NF - 5 Power Mix'!BZP21-'NF - 5 Power Mix'!BZP22</f>
        <v>0</v>
      </c>
      <c r="BZQ42" s="1046">
        <f>BZQ38+((BZQ40+'NF - 5 Power Mix'!BZQ14+'NF - 5 Power Mix'!BZQ15)*860/10)+((('Form Sa1'!BZT835)*860)/10)+('Form Sa1'!BZT814*'Form Sa1'!BZT816/10)-'NF - 5 Power Mix'!BZQ21-'NF - 5 Power Mix'!BZQ22</f>
        <v>0</v>
      </c>
      <c r="BZR42" s="1046">
        <f>BZR38+((BZR40+'NF - 5 Power Mix'!BZR14+'NF - 5 Power Mix'!BZR15)*860/10)+((('Form Sa1'!BZU835)*860)/10)+('Form Sa1'!BZU814*'Form Sa1'!BZU816/10)-'NF - 5 Power Mix'!BZR21-'NF - 5 Power Mix'!BZR22</f>
        <v>0</v>
      </c>
      <c r="BZS42" s="1046">
        <f>BZS38+((BZS40+'NF - 5 Power Mix'!BZS14+'NF - 5 Power Mix'!BZS15)*860/10)+((('Form Sa1'!BZV835)*860)/10)+('Form Sa1'!BZV814*'Form Sa1'!BZV816/10)-'NF - 5 Power Mix'!BZS21-'NF - 5 Power Mix'!BZS22</f>
        <v>0</v>
      </c>
      <c r="BZT42" s="1046">
        <f>BZT38+((BZT40+'NF - 5 Power Mix'!BZT14+'NF - 5 Power Mix'!BZT15)*860/10)+((('Form Sa1'!BZW835)*860)/10)+('Form Sa1'!BZW814*'Form Sa1'!BZW816/10)-'NF - 5 Power Mix'!BZT21-'NF - 5 Power Mix'!BZT22</f>
        <v>0</v>
      </c>
      <c r="BZU42" s="1046">
        <f>BZU38+((BZU40+'NF - 5 Power Mix'!BZU14+'NF - 5 Power Mix'!BZU15)*860/10)+((('Form Sa1'!BZX835)*860)/10)+('Form Sa1'!BZX814*'Form Sa1'!BZX816/10)-'NF - 5 Power Mix'!BZU21-'NF - 5 Power Mix'!BZU22</f>
        <v>0</v>
      </c>
      <c r="BZV42" s="1046">
        <f>BZV38+((BZV40+'NF - 5 Power Mix'!BZV14+'NF - 5 Power Mix'!BZV15)*860/10)+((('Form Sa1'!BZY835)*860)/10)+('Form Sa1'!BZY814*'Form Sa1'!BZY816/10)-'NF - 5 Power Mix'!BZV21-'NF - 5 Power Mix'!BZV22</f>
        <v>0</v>
      </c>
      <c r="BZW42" s="1046">
        <f>BZW38+((BZW40+'NF - 5 Power Mix'!BZW14+'NF - 5 Power Mix'!BZW15)*860/10)+((('Form Sa1'!BZZ835)*860)/10)+('Form Sa1'!BZZ814*'Form Sa1'!BZZ816/10)-'NF - 5 Power Mix'!BZW21-'NF - 5 Power Mix'!BZW22</f>
        <v>0</v>
      </c>
      <c r="BZX42" s="1046">
        <f>BZX38+((BZX40+'NF - 5 Power Mix'!BZX14+'NF - 5 Power Mix'!BZX15)*860/10)+((('Form Sa1'!CAA835)*860)/10)+('Form Sa1'!CAA814*'Form Sa1'!CAA816/10)-'NF - 5 Power Mix'!BZX21-'NF - 5 Power Mix'!BZX22</f>
        <v>0</v>
      </c>
      <c r="BZY42" s="1046">
        <f>BZY38+((BZY40+'NF - 5 Power Mix'!BZY14+'NF - 5 Power Mix'!BZY15)*860/10)+((('Form Sa1'!CAB835)*860)/10)+('Form Sa1'!CAB814*'Form Sa1'!CAB816/10)-'NF - 5 Power Mix'!BZY21-'NF - 5 Power Mix'!BZY22</f>
        <v>0</v>
      </c>
      <c r="BZZ42" s="1046">
        <f>BZZ38+((BZZ40+'NF - 5 Power Mix'!BZZ14+'NF - 5 Power Mix'!BZZ15)*860/10)+((('Form Sa1'!CAC835)*860)/10)+('Form Sa1'!CAC814*'Form Sa1'!CAC816/10)-'NF - 5 Power Mix'!BZZ21-'NF - 5 Power Mix'!BZZ22</f>
        <v>0</v>
      </c>
      <c r="CAA42" s="1046">
        <f>CAA38+((CAA40+'NF - 5 Power Mix'!CAA14+'NF - 5 Power Mix'!CAA15)*860/10)+((('Form Sa1'!CAD835)*860)/10)+('Form Sa1'!CAD814*'Form Sa1'!CAD816/10)-'NF - 5 Power Mix'!CAA21-'NF - 5 Power Mix'!CAA22</f>
        <v>0</v>
      </c>
      <c r="CAB42" s="1046">
        <f>CAB38+((CAB40+'NF - 5 Power Mix'!CAB14+'NF - 5 Power Mix'!CAB15)*860/10)+((('Form Sa1'!CAE835)*860)/10)+('Form Sa1'!CAE814*'Form Sa1'!CAE816/10)-'NF - 5 Power Mix'!CAB21-'NF - 5 Power Mix'!CAB22</f>
        <v>0</v>
      </c>
      <c r="CAC42" s="1046">
        <f>CAC38+((CAC40+'NF - 5 Power Mix'!CAC14+'NF - 5 Power Mix'!CAC15)*860/10)+((('Form Sa1'!CAF835)*860)/10)+('Form Sa1'!CAF814*'Form Sa1'!CAF816/10)-'NF - 5 Power Mix'!CAC21-'NF - 5 Power Mix'!CAC22</f>
        <v>0</v>
      </c>
      <c r="CAD42" s="1046">
        <f>CAD38+((CAD40+'NF - 5 Power Mix'!CAD14+'NF - 5 Power Mix'!CAD15)*860/10)+((('Form Sa1'!CAG835)*860)/10)+('Form Sa1'!CAG814*'Form Sa1'!CAG816/10)-'NF - 5 Power Mix'!CAD21-'NF - 5 Power Mix'!CAD22</f>
        <v>0</v>
      </c>
      <c r="CAE42" s="1046">
        <f>CAE38+((CAE40+'NF - 5 Power Mix'!CAE14+'NF - 5 Power Mix'!CAE15)*860/10)+((('Form Sa1'!CAH835)*860)/10)+('Form Sa1'!CAH814*'Form Sa1'!CAH816/10)-'NF - 5 Power Mix'!CAE21-'NF - 5 Power Mix'!CAE22</f>
        <v>0</v>
      </c>
      <c r="CAF42" s="1046">
        <f>CAF38+((CAF40+'NF - 5 Power Mix'!CAF14+'NF - 5 Power Mix'!CAF15)*860/10)+((('Form Sa1'!CAI835)*860)/10)+('Form Sa1'!CAI814*'Form Sa1'!CAI816/10)-'NF - 5 Power Mix'!CAF21-'NF - 5 Power Mix'!CAF22</f>
        <v>0</v>
      </c>
      <c r="CAG42" s="1046">
        <f>CAG38+((CAG40+'NF - 5 Power Mix'!CAG14+'NF - 5 Power Mix'!CAG15)*860/10)+((('Form Sa1'!CAJ835)*860)/10)+('Form Sa1'!CAJ814*'Form Sa1'!CAJ816/10)-'NF - 5 Power Mix'!CAG21-'NF - 5 Power Mix'!CAG22</f>
        <v>0</v>
      </c>
      <c r="CAH42" s="1046">
        <f>CAH38+((CAH40+'NF - 5 Power Mix'!CAH14+'NF - 5 Power Mix'!CAH15)*860/10)+((('Form Sa1'!CAK835)*860)/10)+('Form Sa1'!CAK814*'Form Sa1'!CAK816/10)-'NF - 5 Power Mix'!CAH21-'NF - 5 Power Mix'!CAH22</f>
        <v>0</v>
      </c>
      <c r="CAI42" s="1046">
        <f>CAI38+((CAI40+'NF - 5 Power Mix'!CAI14+'NF - 5 Power Mix'!CAI15)*860/10)+((('Form Sa1'!CAL835)*860)/10)+('Form Sa1'!CAL814*'Form Sa1'!CAL816/10)-'NF - 5 Power Mix'!CAI21-'NF - 5 Power Mix'!CAI22</f>
        <v>0</v>
      </c>
      <c r="CAJ42" s="1046">
        <f>CAJ38+((CAJ40+'NF - 5 Power Mix'!CAJ14+'NF - 5 Power Mix'!CAJ15)*860/10)+((('Form Sa1'!CAM835)*860)/10)+('Form Sa1'!CAM814*'Form Sa1'!CAM816/10)-'NF - 5 Power Mix'!CAJ21-'NF - 5 Power Mix'!CAJ22</f>
        <v>0</v>
      </c>
      <c r="CAK42" s="1046">
        <f>CAK38+((CAK40+'NF - 5 Power Mix'!CAK14+'NF - 5 Power Mix'!CAK15)*860/10)+((('Form Sa1'!CAN835)*860)/10)+('Form Sa1'!CAN814*'Form Sa1'!CAN816/10)-'NF - 5 Power Mix'!CAK21-'NF - 5 Power Mix'!CAK22</f>
        <v>0</v>
      </c>
      <c r="CAL42" s="1046">
        <f>CAL38+((CAL40+'NF - 5 Power Mix'!CAL14+'NF - 5 Power Mix'!CAL15)*860/10)+((('Form Sa1'!CAO835)*860)/10)+('Form Sa1'!CAO814*'Form Sa1'!CAO816/10)-'NF - 5 Power Mix'!CAL21-'NF - 5 Power Mix'!CAL22</f>
        <v>0</v>
      </c>
      <c r="CAM42" s="1046">
        <f>CAM38+((CAM40+'NF - 5 Power Mix'!CAM14+'NF - 5 Power Mix'!CAM15)*860/10)+((('Form Sa1'!CAP835)*860)/10)+('Form Sa1'!CAP814*'Form Sa1'!CAP816/10)-'NF - 5 Power Mix'!CAM21-'NF - 5 Power Mix'!CAM22</f>
        <v>0</v>
      </c>
      <c r="CAN42" s="1046">
        <f>CAN38+((CAN40+'NF - 5 Power Mix'!CAN14+'NF - 5 Power Mix'!CAN15)*860/10)+((('Form Sa1'!CAQ835)*860)/10)+('Form Sa1'!CAQ814*'Form Sa1'!CAQ816/10)-'NF - 5 Power Mix'!CAN21-'NF - 5 Power Mix'!CAN22</f>
        <v>0</v>
      </c>
      <c r="CAO42" s="1046">
        <f>CAO38+((CAO40+'NF - 5 Power Mix'!CAO14+'NF - 5 Power Mix'!CAO15)*860/10)+((('Form Sa1'!CAR835)*860)/10)+('Form Sa1'!CAR814*'Form Sa1'!CAR816/10)-'NF - 5 Power Mix'!CAO21-'NF - 5 Power Mix'!CAO22</f>
        <v>0</v>
      </c>
      <c r="CAP42" s="1046">
        <f>CAP38+((CAP40+'NF - 5 Power Mix'!CAP14+'NF - 5 Power Mix'!CAP15)*860/10)+((('Form Sa1'!CAS835)*860)/10)+('Form Sa1'!CAS814*'Form Sa1'!CAS816/10)-'NF - 5 Power Mix'!CAP21-'NF - 5 Power Mix'!CAP22</f>
        <v>0</v>
      </c>
      <c r="CAQ42" s="1046">
        <f>CAQ38+((CAQ40+'NF - 5 Power Mix'!CAQ14+'NF - 5 Power Mix'!CAQ15)*860/10)+((('Form Sa1'!CAT835)*860)/10)+('Form Sa1'!CAT814*'Form Sa1'!CAT816/10)-'NF - 5 Power Mix'!CAQ21-'NF - 5 Power Mix'!CAQ22</f>
        <v>0</v>
      </c>
      <c r="CAR42" s="1046">
        <f>CAR38+((CAR40+'NF - 5 Power Mix'!CAR14+'NF - 5 Power Mix'!CAR15)*860/10)+((('Form Sa1'!CAU835)*860)/10)+('Form Sa1'!CAU814*'Form Sa1'!CAU816/10)-'NF - 5 Power Mix'!CAR21-'NF - 5 Power Mix'!CAR22</f>
        <v>0</v>
      </c>
      <c r="CAS42" s="1046">
        <f>CAS38+((CAS40+'NF - 5 Power Mix'!CAS14+'NF - 5 Power Mix'!CAS15)*860/10)+((('Form Sa1'!CAV835)*860)/10)+('Form Sa1'!CAV814*'Form Sa1'!CAV816/10)-'NF - 5 Power Mix'!CAS21-'NF - 5 Power Mix'!CAS22</f>
        <v>0</v>
      </c>
      <c r="CAT42" s="1046">
        <f>CAT38+((CAT40+'NF - 5 Power Mix'!CAT14+'NF - 5 Power Mix'!CAT15)*860/10)+((('Form Sa1'!CAW835)*860)/10)+('Form Sa1'!CAW814*'Form Sa1'!CAW816/10)-'NF - 5 Power Mix'!CAT21-'NF - 5 Power Mix'!CAT22</f>
        <v>0</v>
      </c>
      <c r="CAU42" s="1046">
        <f>CAU38+((CAU40+'NF - 5 Power Mix'!CAU14+'NF - 5 Power Mix'!CAU15)*860/10)+((('Form Sa1'!CAX835)*860)/10)+('Form Sa1'!CAX814*'Form Sa1'!CAX816/10)-'NF - 5 Power Mix'!CAU21-'NF - 5 Power Mix'!CAU22</f>
        <v>0</v>
      </c>
      <c r="CAV42" s="1046">
        <f>CAV38+((CAV40+'NF - 5 Power Mix'!CAV14+'NF - 5 Power Mix'!CAV15)*860/10)+((('Form Sa1'!CAY835)*860)/10)+('Form Sa1'!CAY814*'Form Sa1'!CAY816/10)-'NF - 5 Power Mix'!CAV21-'NF - 5 Power Mix'!CAV22</f>
        <v>0</v>
      </c>
      <c r="CAW42" s="1046">
        <f>CAW38+((CAW40+'NF - 5 Power Mix'!CAW14+'NF - 5 Power Mix'!CAW15)*860/10)+((('Form Sa1'!CAZ835)*860)/10)+('Form Sa1'!CAZ814*'Form Sa1'!CAZ816/10)-'NF - 5 Power Mix'!CAW21-'NF - 5 Power Mix'!CAW22</f>
        <v>0</v>
      </c>
      <c r="CAX42" s="1046">
        <f>CAX38+((CAX40+'NF - 5 Power Mix'!CAX14+'NF - 5 Power Mix'!CAX15)*860/10)+((('Form Sa1'!CBA835)*860)/10)+('Form Sa1'!CBA814*'Form Sa1'!CBA816/10)-'NF - 5 Power Mix'!CAX21-'NF - 5 Power Mix'!CAX22</f>
        <v>0</v>
      </c>
      <c r="CAY42" s="1046">
        <f>CAY38+((CAY40+'NF - 5 Power Mix'!CAY14+'NF - 5 Power Mix'!CAY15)*860/10)+((('Form Sa1'!CBB835)*860)/10)+('Form Sa1'!CBB814*'Form Sa1'!CBB816/10)-'NF - 5 Power Mix'!CAY21-'NF - 5 Power Mix'!CAY22</f>
        <v>0</v>
      </c>
      <c r="CAZ42" s="1046">
        <f>CAZ38+((CAZ40+'NF - 5 Power Mix'!CAZ14+'NF - 5 Power Mix'!CAZ15)*860/10)+((('Form Sa1'!CBC835)*860)/10)+('Form Sa1'!CBC814*'Form Sa1'!CBC816/10)-'NF - 5 Power Mix'!CAZ21-'NF - 5 Power Mix'!CAZ22</f>
        <v>0</v>
      </c>
      <c r="CBA42" s="1046">
        <f>CBA38+((CBA40+'NF - 5 Power Mix'!CBA14+'NF - 5 Power Mix'!CBA15)*860/10)+((('Form Sa1'!CBD835)*860)/10)+('Form Sa1'!CBD814*'Form Sa1'!CBD816/10)-'NF - 5 Power Mix'!CBA21-'NF - 5 Power Mix'!CBA22</f>
        <v>0</v>
      </c>
      <c r="CBB42" s="1046">
        <f>CBB38+((CBB40+'NF - 5 Power Mix'!CBB14+'NF - 5 Power Mix'!CBB15)*860/10)+((('Form Sa1'!CBE835)*860)/10)+('Form Sa1'!CBE814*'Form Sa1'!CBE816/10)-'NF - 5 Power Mix'!CBB21-'NF - 5 Power Mix'!CBB22</f>
        <v>0</v>
      </c>
      <c r="CBC42" s="1046">
        <f>CBC38+((CBC40+'NF - 5 Power Mix'!CBC14+'NF - 5 Power Mix'!CBC15)*860/10)+((('Form Sa1'!CBF835)*860)/10)+('Form Sa1'!CBF814*'Form Sa1'!CBF816/10)-'NF - 5 Power Mix'!CBC21-'NF - 5 Power Mix'!CBC22</f>
        <v>0</v>
      </c>
      <c r="CBD42" s="1046">
        <f>CBD38+((CBD40+'NF - 5 Power Mix'!CBD14+'NF - 5 Power Mix'!CBD15)*860/10)+((('Form Sa1'!CBG835)*860)/10)+('Form Sa1'!CBG814*'Form Sa1'!CBG816/10)-'NF - 5 Power Mix'!CBD21-'NF - 5 Power Mix'!CBD22</f>
        <v>0</v>
      </c>
      <c r="CBE42" s="1046">
        <f>CBE38+((CBE40+'NF - 5 Power Mix'!CBE14+'NF - 5 Power Mix'!CBE15)*860/10)+((('Form Sa1'!CBH835)*860)/10)+('Form Sa1'!CBH814*'Form Sa1'!CBH816/10)-'NF - 5 Power Mix'!CBE21-'NF - 5 Power Mix'!CBE22</f>
        <v>0</v>
      </c>
      <c r="CBF42" s="1046">
        <f>CBF38+((CBF40+'NF - 5 Power Mix'!CBF14+'NF - 5 Power Mix'!CBF15)*860/10)+((('Form Sa1'!CBI835)*860)/10)+('Form Sa1'!CBI814*'Form Sa1'!CBI816/10)-'NF - 5 Power Mix'!CBF21-'NF - 5 Power Mix'!CBF22</f>
        <v>0</v>
      </c>
      <c r="CBG42" s="1046">
        <f>CBG38+((CBG40+'NF - 5 Power Mix'!CBG14+'NF - 5 Power Mix'!CBG15)*860/10)+((('Form Sa1'!CBJ835)*860)/10)+('Form Sa1'!CBJ814*'Form Sa1'!CBJ816/10)-'NF - 5 Power Mix'!CBG21-'NF - 5 Power Mix'!CBG22</f>
        <v>0</v>
      </c>
      <c r="CBH42" s="1046">
        <f>CBH38+((CBH40+'NF - 5 Power Mix'!CBH14+'NF - 5 Power Mix'!CBH15)*860/10)+((('Form Sa1'!CBK835)*860)/10)+('Form Sa1'!CBK814*'Form Sa1'!CBK816/10)-'NF - 5 Power Mix'!CBH21-'NF - 5 Power Mix'!CBH22</f>
        <v>0</v>
      </c>
      <c r="CBI42" s="1046">
        <f>CBI38+((CBI40+'NF - 5 Power Mix'!CBI14+'NF - 5 Power Mix'!CBI15)*860/10)+((('Form Sa1'!CBL835)*860)/10)+('Form Sa1'!CBL814*'Form Sa1'!CBL816/10)-'NF - 5 Power Mix'!CBI21-'NF - 5 Power Mix'!CBI22</f>
        <v>0</v>
      </c>
      <c r="CBJ42" s="1046">
        <f>CBJ38+((CBJ40+'NF - 5 Power Mix'!CBJ14+'NF - 5 Power Mix'!CBJ15)*860/10)+((('Form Sa1'!CBM835)*860)/10)+('Form Sa1'!CBM814*'Form Sa1'!CBM816/10)-'NF - 5 Power Mix'!CBJ21-'NF - 5 Power Mix'!CBJ22</f>
        <v>0</v>
      </c>
      <c r="CBK42" s="1046">
        <f>CBK38+((CBK40+'NF - 5 Power Mix'!CBK14+'NF - 5 Power Mix'!CBK15)*860/10)+((('Form Sa1'!CBN835)*860)/10)+('Form Sa1'!CBN814*'Form Sa1'!CBN816/10)-'NF - 5 Power Mix'!CBK21-'NF - 5 Power Mix'!CBK22</f>
        <v>0</v>
      </c>
      <c r="CBL42" s="1046">
        <f>CBL38+((CBL40+'NF - 5 Power Mix'!CBL14+'NF - 5 Power Mix'!CBL15)*860/10)+((('Form Sa1'!CBO835)*860)/10)+('Form Sa1'!CBO814*'Form Sa1'!CBO816/10)-'NF - 5 Power Mix'!CBL21-'NF - 5 Power Mix'!CBL22</f>
        <v>0</v>
      </c>
      <c r="CBM42" s="1046">
        <f>CBM38+((CBM40+'NF - 5 Power Mix'!CBM14+'NF - 5 Power Mix'!CBM15)*860/10)+((('Form Sa1'!CBP835)*860)/10)+('Form Sa1'!CBP814*'Form Sa1'!CBP816/10)-'NF - 5 Power Mix'!CBM21-'NF - 5 Power Mix'!CBM22</f>
        <v>0</v>
      </c>
      <c r="CBN42" s="1046">
        <f>CBN38+((CBN40+'NF - 5 Power Mix'!CBN14+'NF - 5 Power Mix'!CBN15)*860/10)+((('Form Sa1'!CBQ835)*860)/10)+('Form Sa1'!CBQ814*'Form Sa1'!CBQ816/10)-'NF - 5 Power Mix'!CBN21-'NF - 5 Power Mix'!CBN22</f>
        <v>0</v>
      </c>
      <c r="CBO42" s="1046">
        <f>CBO38+((CBO40+'NF - 5 Power Mix'!CBO14+'NF - 5 Power Mix'!CBO15)*860/10)+((('Form Sa1'!CBR835)*860)/10)+('Form Sa1'!CBR814*'Form Sa1'!CBR816/10)-'NF - 5 Power Mix'!CBO21-'NF - 5 Power Mix'!CBO22</f>
        <v>0</v>
      </c>
      <c r="CBP42" s="1046">
        <f>CBP38+((CBP40+'NF - 5 Power Mix'!CBP14+'NF - 5 Power Mix'!CBP15)*860/10)+((('Form Sa1'!CBS835)*860)/10)+('Form Sa1'!CBS814*'Form Sa1'!CBS816/10)-'NF - 5 Power Mix'!CBP21-'NF - 5 Power Mix'!CBP22</f>
        <v>0</v>
      </c>
      <c r="CBQ42" s="1046">
        <f>CBQ38+((CBQ40+'NF - 5 Power Mix'!CBQ14+'NF - 5 Power Mix'!CBQ15)*860/10)+((('Form Sa1'!CBT835)*860)/10)+('Form Sa1'!CBT814*'Form Sa1'!CBT816/10)-'NF - 5 Power Mix'!CBQ21-'NF - 5 Power Mix'!CBQ22</f>
        <v>0</v>
      </c>
      <c r="CBR42" s="1046">
        <f>CBR38+((CBR40+'NF - 5 Power Mix'!CBR14+'NF - 5 Power Mix'!CBR15)*860/10)+((('Form Sa1'!CBU835)*860)/10)+('Form Sa1'!CBU814*'Form Sa1'!CBU816/10)-'NF - 5 Power Mix'!CBR21-'NF - 5 Power Mix'!CBR22</f>
        <v>0</v>
      </c>
      <c r="CBS42" s="1046">
        <f>CBS38+((CBS40+'NF - 5 Power Mix'!CBS14+'NF - 5 Power Mix'!CBS15)*860/10)+((('Form Sa1'!CBV835)*860)/10)+('Form Sa1'!CBV814*'Form Sa1'!CBV816/10)-'NF - 5 Power Mix'!CBS21-'NF - 5 Power Mix'!CBS22</f>
        <v>0</v>
      </c>
      <c r="CBT42" s="1046">
        <f>CBT38+((CBT40+'NF - 5 Power Mix'!CBT14+'NF - 5 Power Mix'!CBT15)*860/10)+((('Form Sa1'!CBW835)*860)/10)+('Form Sa1'!CBW814*'Form Sa1'!CBW816/10)-'NF - 5 Power Mix'!CBT21-'NF - 5 Power Mix'!CBT22</f>
        <v>0</v>
      </c>
      <c r="CBU42" s="1046">
        <f>CBU38+((CBU40+'NF - 5 Power Mix'!CBU14+'NF - 5 Power Mix'!CBU15)*860/10)+((('Form Sa1'!CBX835)*860)/10)+('Form Sa1'!CBX814*'Form Sa1'!CBX816/10)-'NF - 5 Power Mix'!CBU21-'NF - 5 Power Mix'!CBU22</f>
        <v>0</v>
      </c>
      <c r="CBV42" s="1046">
        <f>CBV38+((CBV40+'NF - 5 Power Mix'!CBV14+'NF - 5 Power Mix'!CBV15)*860/10)+((('Form Sa1'!CBY835)*860)/10)+('Form Sa1'!CBY814*'Form Sa1'!CBY816/10)-'NF - 5 Power Mix'!CBV21-'NF - 5 Power Mix'!CBV22</f>
        <v>0</v>
      </c>
      <c r="CBW42" s="1046">
        <f>CBW38+((CBW40+'NF - 5 Power Mix'!CBW14+'NF - 5 Power Mix'!CBW15)*860/10)+((('Form Sa1'!CBZ835)*860)/10)+('Form Sa1'!CBZ814*'Form Sa1'!CBZ816/10)-'NF - 5 Power Mix'!CBW21-'NF - 5 Power Mix'!CBW22</f>
        <v>0</v>
      </c>
      <c r="CBX42" s="1046">
        <f>CBX38+((CBX40+'NF - 5 Power Mix'!CBX14+'NF - 5 Power Mix'!CBX15)*860/10)+((('Form Sa1'!CCA835)*860)/10)+('Form Sa1'!CCA814*'Form Sa1'!CCA816/10)-'NF - 5 Power Mix'!CBX21-'NF - 5 Power Mix'!CBX22</f>
        <v>0</v>
      </c>
      <c r="CBY42" s="1046">
        <f>CBY38+((CBY40+'NF - 5 Power Mix'!CBY14+'NF - 5 Power Mix'!CBY15)*860/10)+((('Form Sa1'!CCB835)*860)/10)+('Form Sa1'!CCB814*'Form Sa1'!CCB816/10)-'NF - 5 Power Mix'!CBY21-'NF - 5 Power Mix'!CBY22</f>
        <v>0</v>
      </c>
      <c r="CBZ42" s="1046">
        <f>CBZ38+((CBZ40+'NF - 5 Power Mix'!CBZ14+'NF - 5 Power Mix'!CBZ15)*860/10)+((('Form Sa1'!CCC835)*860)/10)+('Form Sa1'!CCC814*'Form Sa1'!CCC816/10)-'NF - 5 Power Mix'!CBZ21-'NF - 5 Power Mix'!CBZ22</f>
        <v>0</v>
      </c>
      <c r="CCA42" s="1046">
        <f>CCA38+((CCA40+'NF - 5 Power Mix'!CCA14+'NF - 5 Power Mix'!CCA15)*860/10)+((('Form Sa1'!CCD835)*860)/10)+('Form Sa1'!CCD814*'Form Sa1'!CCD816/10)-'NF - 5 Power Mix'!CCA21-'NF - 5 Power Mix'!CCA22</f>
        <v>0</v>
      </c>
      <c r="CCB42" s="1046">
        <f>CCB38+((CCB40+'NF - 5 Power Mix'!CCB14+'NF - 5 Power Mix'!CCB15)*860/10)+((('Form Sa1'!CCE835)*860)/10)+('Form Sa1'!CCE814*'Form Sa1'!CCE816/10)-'NF - 5 Power Mix'!CCB21-'NF - 5 Power Mix'!CCB22</f>
        <v>0</v>
      </c>
      <c r="CCC42" s="1046">
        <f>CCC38+((CCC40+'NF - 5 Power Mix'!CCC14+'NF - 5 Power Mix'!CCC15)*860/10)+((('Form Sa1'!CCF835)*860)/10)+('Form Sa1'!CCF814*'Form Sa1'!CCF816/10)-'NF - 5 Power Mix'!CCC21-'NF - 5 Power Mix'!CCC22</f>
        <v>0</v>
      </c>
      <c r="CCD42" s="1046">
        <f>CCD38+((CCD40+'NF - 5 Power Mix'!CCD14+'NF - 5 Power Mix'!CCD15)*860/10)+((('Form Sa1'!CCG835)*860)/10)+('Form Sa1'!CCG814*'Form Sa1'!CCG816/10)-'NF - 5 Power Mix'!CCD21-'NF - 5 Power Mix'!CCD22</f>
        <v>0</v>
      </c>
      <c r="CCE42" s="1046">
        <f>CCE38+((CCE40+'NF - 5 Power Mix'!CCE14+'NF - 5 Power Mix'!CCE15)*860/10)+((('Form Sa1'!CCH835)*860)/10)+('Form Sa1'!CCH814*'Form Sa1'!CCH816/10)-'NF - 5 Power Mix'!CCE21-'NF - 5 Power Mix'!CCE22</f>
        <v>0</v>
      </c>
      <c r="CCF42" s="1046">
        <f>CCF38+((CCF40+'NF - 5 Power Mix'!CCF14+'NF - 5 Power Mix'!CCF15)*860/10)+((('Form Sa1'!CCI835)*860)/10)+('Form Sa1'!CCI814*'Form Sa1'!CCI816/10)-'NF - 5 Power Mix'!CCF21-'NF - 5 Power Mix'!CCF22</f>
        <v>0</v>
      </c>
      <c r="CCG42" s="1046">
        <f>CCG38+((CCG40+'NF - 5 Power Mix'!CCG14+'NF - 5 Power Mix'!CCG15)*860/10)+((('Form Sa1'!CCJ835)*860)/10)+('Form Sa1'!CCJ814*'Form Sa1'!CCJ816/10)-'NF - 5 Power Mix'!CCG21-'NF - 5 Power Mix'!CCG22</f>
        <v>0</v>
      </c>
      <c r="CCH42" s="1046">
        <f>CCH38+((CCH40+'NF - 5 Power Mix'!CCH14+'NF - 5 Power Mix'!CCH15)*860/10)+((('Form Sa1'!CCK835)*860)/10)+('Form Sa1'!CCK814*'Form Sa1'!CCK816/10)-'NF - 5 Power Mix'!CCH21-'NF - 5 Power Mix'!CCH22</f>
        <v>0</v>
      </c>
      <c r="CCI42" s="1046">
        <f>CCI38+((CCI40+'NF - 5 Power Mix'!CCI14+'NF - 5 Power Mix'!CCI15)*860/10)+((('Form Sa1'!CCL835)*860)/10)+('Form Sa1'!CCL814*'Form Sa1'!CCL816/10)-'NF - 5 Power Mix'!CCI21-'NF - 5 Power Mix'!CCI22</f>
        <v>0</v>
      </c>
      <c r="CCJ42" s="1046">
        <f>CCJ38+((CCJ40+'NF - 5 Power Mix'!CCJ14+'NF - 5 Power Mix'!CCJ15)*860/10)+((('Form Sa1'!CCM835)*860)/10)+('Form Sa1'!CCM814*'Form Sa1'!CCM816/10)-'NF - 5 Power Mix'!CCJ21-'NF - 5 Power Mix'!CCJ22</f>
        <v>0</v>
      </c>
      <c r="CCK42" s="1046">
        <f>CCK38+((CCK40+'NF - 5 Power Mix'!CCK14+'NF - 5 Power Mix'!CCK15)*860/10)+((('Form Sa1'!CCN835)*860)/10)+('Form Sa1'!CCN814*'Form Sa1'!CCN816/10)-'NF - 5 Power Mix'!CCK21-'NF - 5 Power Mix'!CCK22</f>
        <v>0</v>
      </c>
      <c r="CCL42" s="1046">
        <f>CCL38+((CCL40+'NF - 5 Power Mix'!CCL14+'NF - 5 Power Mix'!CCL15)*860/10)+((('Form Sa1'!CCO835)*860)/10)+('Form Sa1'!CCO814*'Form Sa1'!CCO816/10)-'NF - 5 Power Mix'!CCL21-'NF - 5 Power Mix'!CCL22</f>
        <v>0</v>
      </c>
      <c r="CCM42" s="1046">
        <f>CCM38+((CCM40+'NF - 5 Power Mix'!CCM14+'NF - 5 Power Mix'!CCM15)*860/10)+((('Form Sa1'!CCP835)*860)/10)+('Form Sa1'!CCP814*'Form Sa1'!CCP816/10)-'NF - 5 Power Mix'!CCM21-'NF - 5 Power Mix'!CCM22</f>
        <v>0</v>
      </c>
      <c r="CCN42" s="1046">
        <f>CCN38+((CCN40+'NF - 5 Power Mix'!CCN14+'NF - 5 Power Mix'!CCN15)*860/10)+((('Form Sa1'!CCQ835)*860)/10)+('Form Sa1'!CCQ814*'Form Sa1'!CCQ816/10)-'NF - 5 Power Mix'!CCN21-'NF - 5 Power Mix'!CCN22</f>
        <v>0</v>
      </c>
      <c r="CCO42" s="1046">
        <f>CCO38+((CCO40+'NF - 5 Power Mix'!CCO14+'NF - 5 Power Mix'!CCO15)*860/10)+((('Form Sa1'!CCR835)*860)/10)+('Form Sa1'!CCR814*'Form Sa1'!CCR816/10)-'NF - 5 Power Mix'!CCO21-'NF - 5 Power Mix'!CCO22</f>
        <v>0</v>
      </c>
      <c r="CCP42" s="1046">
        <f>CCP38+((CCP40+'NF - 5 Power Mix'!CCP14+'NF - 5 Power Mix'!CCP15)*860/10)+((('Form Sa1'!CCS835)*860)/10)+('Form Sa1'!CCS814*'Form Sa1'!CCS816/10)-'NF - 5 Power Mix'!CCP21-'NF - 5 Power Mix'!CCP22</f>
        <v>0</v>
      </c>
      <c r="CCQ42" s="1046">
        <f>CCQ38+((CCQ40+'NF - 5 Power Mix'!CCQ14+'NF - 5 Power Mix'!CCQ15)*860/10)+((('Form Sa1'!CCT835)*860)/10)+('Form Sa1'!CCT814*'Form Sa1'!CCT816/10)-'NF - 5 Power Mix'!CCQ21-'NF - 5 Power Mix'!CCQ22</f>
        <v>0</v>
      </c>
      <c r="CCR42" s="1046">
        <f>CCR38+((CCR40+'NF - 5 Power Mix'!CCR14+'NF - 5 Power Mix'!CCR15)*860/10)+((('Form Sa1'!CCU835)*860)/10)+('Form Sa1'!CCU814*'Form Sa1'!CCU816/10)-'NF - 5 Power Mix'!CCR21-'NF - 5 Power Mix'!CCR22</f>
        <v>0</v>
      </c>
      <c r="CCS42" s="1046">
        <f>CCS38+((CCS40+'NF - 5 Power Mix'!CCS14+'NF - 5 Power Mix'!CCS15)*860/10)+((('Form Sa1'!CCV835)*860)/10)+('Form Sa1'!CCV814*'Form Sa1'!CCV816/10)-'NF - 5 Power Mix'!CCS21-'NF - 5 Power Mix'!CCS22</f>
        <v>0</v>
      </c>
      <c r="CCT42" s="1046">
        <f>CCT38+((CCT40+'NF - 5 Power Mix'!CCT14+'NF - 5 Power Mix'!CCT15)*860/10)+((('Form Sa1'!CCW835)*860)/10)+('Form Sa1'!CCW814*'Form Sa1'!CCW816/10)-'NF - 5 Power Mix'!CCT21-'NF - 5 Power Mix'!CCT22</f>
        <v>0</v>
      </c>
      <c r="CCU42" s="1046">
        <f>CCU38+((CCU40+'NF - 5 Power Mix'!CCU14+'NF - 5 Power Mix'!CCU15)*860/10)+((('Form Sa1'!CCX835)*860)/10)+('Form Sa1'!CCX814*'Form Sa1'!CCX816/10)-'NF - 5 Power Mix'!CCU21-'NF - 5 Power Mix'!CCU22</f>
        <v>0</v>
      </c>
      <c r="CCV42" s="1046">
        <f>CCV38+((CCV40+'NF - 5 Power Mix'!CCV14+'NF - 5 Power Mix'!CCV15)*860/10)+((('Form Sa1'!CCY835)*860)/10)+('Form Sa1'!CCY814*'Form Sa1'!CCY816/10)-'NF - 5 Power Mix'!CCV21-'NF - 5 Power Mix'!CCV22</f>
        <v>0</v>
      </c>
      <c r="CCW42" s="1046">
        <f>CCW38+((CCW40+'NF - 5 Power Mix'!CCW14+'NF - 5 Power Mix'!CCW15)*860/10)+((('Form Sa1'!CCZ835)*860)/10)+('Form Sa1'!CCZ814*'Form Sa1'!CCZ816/10)-'NF - 5 Power Mix'!CCW21-'NF - 5 Power Mix'!CCW22</f>
        <v>0</v>
      </c>
      <c r="CCX42" s="1046">
        <f>CCX38+((CCX40+'NF - 5 Power Mix'!CCX14+'NF - 5 Power Mix'!CCX15)*860/10)+((('Form Sa1'!CDA835)*860)/10)+('Form Sa1'!CDA814*'Form Sa1'!CDA816/10)-'NF - 5 Power Mix'!CCX21-'NF - 5 Power Mix'!CCX22</f>
        <v>0</v>
      </c>
      <c r="CCY42" s="1046">
        <f>CCY38+((CCY40+'NF - 5 Power Mix'!CCY14+'NF - 5 Power Mix'!CCY15)*860/10)+((('Form Sa1'!CDB835)*860)/10)+('Form Sa1'!CDB814*'Form Sa1'!CDB816/10)-'NF - 5 Power Mix'!CCY21-'NF - 5 Power Mix'!CCY22</f>
        <v>0</v>
      </c>
      <c r="CCZ42" s="1046">
        <f>CCZ38+((CCZ40+'NF - 5 Power Mix'!CCZ14+'NF - 5 Power Mix'!CCZ15)*860/10)+((('Form Sa1'!CDC835)*860)/10)+('Form Sa1'!CDC814*'Form Sa1'!CDC816/10)-'NF - 5 Power Mix'!CCZ21-'NF - 5 Power Mix'!CCZ22</f>
        <v>0</v>
      </c>
      <c r="CDA42" s="1046">
        <f>CDA38+((CDA40+'NF - 5 Power Mix'!CDA14+'NF - 5 Power Mix'!CDA15)*860/10)+((('Form Sa1'!CDD835)*860)/10)+('Form Sa1'!CDD814*'Form Sa1'!CDD816/10)-'NF - 5 Power Mix'!CDA21-'NF - 5 Power Mix'!CDA22</f>
        <v>0</v>
      </c>
      <c r="CDB42" s="1046">
        <f>CDB38+((CDB40+'NF - 5 Power Mix'!CDB14+'NF - 5 Power Mix'!CDB15)*860/10)+((('Form Sa1'!CDE835)*860)/10)+('Form Sa1'!CDE814*'Form Sa1'!CDE816/10)-'NF - 5 Power Mix'!CDB21-'NF - 5 Power Mix'!CDB22</f>
        <v>0</v>
      </c>
      <c r="CDC42" s="1046">
        <f>CDC38+((CDC40+'NF - 5 Power Mix'!CDC14+'NF - 5 Power Mix'!CDC15)*860/10)+((('Form Sa1'!CDF835)*860)/10)+('Form Sa1'!CDF814*'Form Sa1'!CDF816/10)-'NF - 5 Power Mix'!CDC21-'NF - 5 Power Mix'!CDC22</f>
        <v>0</v>
      </c>
      <c r="CDD42" s="1046">
        <f>CDD38+((CDD40+'NF - 5 Power Mix'!CDD14+'NF - 5 Power Mix'!CDD15)*860/10)+((('Form Sa1'!CDG835)*860)/10)+('Form Sa1'!CDG814*'Form Sa1'!CDG816/10)-'NF - 5 Power Mix'!CDD21-'NF - 5 Power Mix'!CDD22</f>
        <v>0</v>
      </c>
      <c r="CDE42" s="1046">
        <f>CDE38+((CDE40+'NF - 5 Power Mix'!CDE14+'NF - 5 Power Mix'!CDE15)*860/10)+((('Form Sa1'!CDH835)*860)/10)+('Form Sa1'!CDH814*'Form Sa1'!CDH816/10)-'NF - 5 Power Mix'!CDE21-'NF - 5 Power Mix'!CDE22</f>
        <v>0</v>
      </c>
      <c r="CDF42" s="1046">
        <f>CDF38+((CDF40+'NF - 5 Power Mix'!CDF14+'NF - 5 Power Mix'!CDF15)*860/10)+((('Form Sa1'!CDI835)*860)/10)+('Form Sa1'!CDI814*'Form Sa1'!CDI816/10)-'NF - 5 Power Mix'!CDF21-'NF - 5 Power Mix'!CDF22</f>
        <v>0</v>
      </c>
      <c r="CDG42" s="1046">
        <f>CDG38+((CDG40+'NF - 5 Power Mix'!CDG14+'NF - 5 Power Mix'!CDG15)*860/10)+((('Form Sa1'!CDJ835)*860)/10)+('Form Sa1'!CDJ814*'Form Sa1'!CDJ816/10)-'NF - 5 Power Mix'!CDG21-'NF - 5 Power Mix'!CDG22</f>
        <v>0</v>
      </c>
      <c r="CDH42" s="1046">
        <f>CDH38+((CDH40+'NF - 5 Power Mix'!CDH14+'NF - 5 Power Mix'!CDH15)*860/10)+((('Form Sa1'!CDK835)*860)/10)+('Form Sa1'!CDK814*'Form Sa1'!CDK816/10)-'NF - 5 Power Mix'!CDH21-'NF - 5 Power Mix'!CDH22</f>
        <v>0</v>
      </c>
      <c r="CDI42" s="1046">
        <f>CDI38+((CDI40+'NF - 5 Power Mix'!CDI14+'NF - 5 Power Mix'!CDI15)*860/10)+((('Form Sa1'!CDL835)*860)/10)+('Form Sa1'!CDL814*'Form Sa1'!CDL816/10)-'NF - 5 Power Mix'!CDI21-'NF - 5 Power Mix'!CDI22</f>
        <v>0</v>
      </c>
      <c r="CDJ42" s="1046">
        <f>CDJ38+((CDJ40+'NF - 5 Power Mix'!CDJ14+'NF - 5 Power Mix'!CDJ15)*860/10)+((('Form Sa1'!CDM835)*860)/10)+('Form Sa1'!CDM814*'Form Sa1'!CDM816/10)-'NF - 5 Power Mix'!CDJ21-'NF - 5 Power Mix'!CDJ22</f>
        <v>0</v>
      </c>
      <c r="CDK42" s="1046">
        <f>CDK38+((CDK40+'NF - 5 Power Mix'!CDK14+'NF - 5 Power Mix'!CDK15)*860/10)+((('Form Sa1'!CDN835)*860)/10)+('Form Sa1'!CDN814*'Form Sa1'!CDN816/10)-'NF - 5 Power Mix'!CDK21-'NF - 5 Power Mix'!CDK22</f>
        <v>0</v>
      </c>
      <c r="CDL42" s="1046">
        <f>CDL38+((CDL40+'NF - 5 Power Mix'!CDL14+'NF - 5 Power Mix'!CDL15)*860/10)+((('Form Sa1'!CDO835)*860)/10)+('Form Sa1'!CDO814*'Form Sa1'!CDO816/10)-'NF - 5 Power Mix'!CDL21-'NF - 5 Power Mix'!CDL22</f>
        <v>0</v>
      </c>
      <c r="CDM42" s="1046">
        <f>CDM38+((CDM40+'NF - 5 Power Mix'!CDM14+'NF - 5 Power Mix'!CDM15)*860/10)+((('Form Sa1'!CDP835)*860)/10)+('Form Sa1'!CDP814*'Form Sa1'!CDP816/10)-'NF - 5 Power Mix'!CDM21-'NF - 5 Power Mix'!CDM22</f>
        <v>0</v>
      </c>
      <c r="CDN42" s="1046">
        <f>CDN38+((CDN40+'NF - 5 Power Mix'!CDN14+'NF - 5 Power Mix'!CDN15)*860/10)+((('Form Sa1'!CDQ835)*860)/10)+('Form Sa1'!CDQ814*'Form Sa1'!CDQ816/10)-'NF - 5 Power Mix'!CDN21-'NF - 5 Power Mix'!CDN22</f>
        <v>0</v>
      </c>
      <c r="CDO42" s="1046">
        <f>CDO38+((CDO40+'NF - 5 Power Mix'!CDO14+'NF - 5 Power Mix'!CDO15)*860/10)+((('Form Sa1'!CDR835)*860)/10)+('Form Sa1'!CDR814*'Form Sa1'!CDR816/10)-'NF - 5 Power Mix'!CDO21-'NF - 5 Power Mix'!CDO22</f>
        <v>0</v>
      </c>
      <c r="CDP42" s="1046">
        <f>CDP38+((CDP40+'NF - 5 Power Mix'!CDP14+'NF - 5 Power Mix'!CDP15)*860/10)+((('Form Sa1'!CDS835)*860)/10)+('Form Sa1'!CDS814*'Form Sa1'!CDS816/10)-'NF - 5 Power Mix'!CDP21-'NF - 5 Power Mix'!CDP22</f>
        <v>0</v>
      </c>
      <c r="CDQ42" s="1046">
        <f>CDQ38+((CDQ40+'NF - 5 Power Mix'!CDQ14+'NF - 5 Power Mix'!CDQ15)*860/10)+((('Form Sa1'!CDT835)*860)/10)+('Form Sa1'!CDT814*'Form Sa1'!CDT816/10)-'NF - 5 Power Mix'!CDQ21-'NF - 5 Power Mix'!CDQ22</f>
        <v>0</v>
      </c>
      <c r="CDR42" s="1046">
        <f>CDR38+((CDR40+'NF - 5 Power Mix'!CDR14+'NF - 5 Power Mix'!CDR15)*860/10)+((('Form Sa1'!CDU835)*860)/10)+('Form Sa1'!CDU814*'Form Sa1'!CDU816/10)-'NF - 5 Power Mix'!CDR21-'NF - 5 Power Mix'!CDR22</f>
        <v>0</v>
      </c>
      <c r="CDS42" s="1046">
        <f>CDS38+((CDS40+'NF - 5 Power Mix'!CDS14+'NF - 5 Power Mix'!CDS15)*860/10)+((('Form Sa1'!CDV835)*860)/10)+('Form Sa1'!CDV814*'Form Sa1'!CDV816/10)-'NF - 5 Power Mix'!CDS21-'NF - 5 Power Mix'!CDS22</f>
        <v>0</v>
      </c>
      <c r="CDT42" s="1046">
        <f>CDT38+((CDT40+'NF - 5 Power Mix'!CDT14+'NF - 5 Power Mix'!CDT15)*860/10)+((('Form Sa1'!CDW835)*860)/10)+('Form Sa1'!CDW814*'Form Sa1'!CDW816/10)-'NF - 5 Power Mix'!CDT21-'NF - 5 Power Mix'!CDT22</f>
        <v>0</v>
      </c>
      <c r="CDU42" s="1046">
        <f>CDU38+((CDU40+'NF - 5 Power Mix'!CDU14+'NF - 5 Power Mix'!CDU15)*860/10)+((('Form Sa1'!CDX835)*860)/10)+('Form Sa1'!CDX814*'Form Sa1'!CDX816/10)-'NF - 5 Power Mix'!CDU21-'NF - 5 Power Mix'!CDU22</f>
        <v>0</v>
      </c>
      <c r="CDV42" s="1046">
        <f>CDV38+((CDV40+'NF - 5 Power Mix'!CDV14+'NF - 5 Power Mix'!CDV15)*860/10)+((('Form Sa1'!CDY835)*860)/10)+('Form Sa1'!CDY814*'Form Sa1'!CDY816/10)-'NF - 5 Power Mix'!CDV21-'NF - 5 Power Mix'!CDV22</f>
        <v>0</v>
      </c>
      <c r="CDW42" s="1046">
        <f>CDW38+((CDW40+'NF - 5 Power Mix'!CDW14+'NF - 5 Power Mix'!CDW15)*860/10)+((('Form Sa1'!CDZ835)*860)/10)+('Form Sa1'!CDZ814*'Form Sa1'!CDZ816/10)-'NF - 5 Power Mix'!CDW21-'NF - 5 Power Mix'!CDW22</f>
        <v>0</v>
      </c>
      <c r="CDX42" s="1046">
        <f>CDX38+((CDX40+'NF - 5 Power Mix'!CDX14+'NF - 5 Power Mix'!CDX15)*860/10)+((('Form Sa1'!CEA835)*860)/10)+('Form Sa1'!CEA814*'Form Sa1'!CEA816/10)-'NF - 5 Power Mix'!CDX21-'NF - 5 Power Mix'!CDX22</f>
        <v>0</v>
      </c>
      <c r="CDY42" s="1046">
        <f>CDY38+((CDY40+'NF - 5 Power Mix'!CDY14+'NF - 5 Power Mix'!CDY15)*860/10)+((('Form Sa1'!CEB835)*860)/10)+('Form Sa1'!CEB814*'Form Sa1'!CEB816/10)-'NF - 5 Power Mix'!CDY21-'NF - 5 Power Mix'!CDY22</f>
        <v>0</v>
      </c>
      <c r="CDZ42" s="1046">
        <f>CDZ38+((CDZ40+'NF - 5 Power Mix'!CDZ14+'NF - 5 Power Mix'!CDZ15)*860/10)+((('Form Sa1'!CEC835)*860)/10)+('Form Sa1'!CEC814*'Form Sa1'!CEC816/10)-'NF - 5 Power Mix'!CDZ21-'NF - 5 Power Mix'!CDZ22</f>
        <v>0</v>
      </c>
      <c r="CEA42" s="1046">
        <f>CEA38+((CEA40+'NF - 5 Power Mix'!CEA14+'NF - 5 Power Mix'!CEA15)*860/10)+((('Form Sa1'!CED835)*860)/10)+('Form Sa1'!CED814*'Form Sa1'!CED816/10)-'NF - 5 Power Mix'!CEA21-'NF - 5 Power Mix'!CEA22</f>
        <v>0</v>
      </c>
      <c r="CEB42" s="1046">
        <f>CEB38+((CEB40+'NF - 5 Power Mix'!CEB14+'NF - 5 Power Mix'!CEB15)*860/10)+((('Form Sa1'!CEE835)*860)/10)+('Form Sa1'!CEE814*'Form Sa1'!CEE816/10)-'NF - 5 Power Mix'!CEB21-'NF - 5 Power Mix'!CEB22</f>
        <v>0</v>
      </c>
      <c r="CEC42" s="1046">
        <f>CEC38+((CEC40+'NF - 5 Power Mix'!CEC14+'NF - 5 Power Mix'!CEC15)*860/10)+((('Form Sa1'!CEF835)*860)/10)+('Form Sa1'!CEF814*'Form Sa1'!CEF816/10)-'NF - 5 Power Mix'!CEC21-'NF - 5 Power Mix'!CEC22</f>
        <v>0</v>
      </c>
      <c r="CED42" s="1046">
        <f>CED38+((CED40+'NF - 5 Power Mix'!CED14+'NF - 5 Power Mix'!CED15)*860/10)+((('Form Sa1'!CEG835)*860)/10)+('Form Sa1'!CEG814*'Form Sa1'!CEG816/10)-'NF - 5 Power Mix'!CED21-'NF - 5 Power Mix'!CED22</f>
        <v>0</v>
      </c>
      <c r="CEE42" s="1046">
        <f>CEE38+((CEE40+'NF - 5 Power Mix'!CEE14+'NF - 5 Power Mix'!CEE15)*860/10)+((('Form Sa1'!CEH835)*860)/10)+('Form Sa1'!CEH814*'Form Sa1'!CEH816/10)-'NF - 5 Power Mix'!CEE21-'NF - 5 Power Mix'!CEE22</f>
        <v>0</v>
      </c>
      <c r="CEF42" s="1046">
        <f>CEF38+((CEF40+'NF - 5 Power Mix'!CEF14+'NF - 5 Power Mix'!CEF15)*860/10)+((('Form Sa1'!CEI835)*860)/10)+('Form Sa1'!CEI814*'Form Sa1'!CEI816/10)-'NF - 5 Power Mix'!CEF21-'NF - 5 Power Mix'!CEF22</f>
        <v>0</v>
      </c>
      <c r="CEG42" s="1046">
        <f>CEG38+((CEG40+'NF - 5 Power Mix'!CEG14+'NF - 5 Power Mix'!CEG15)*860/10)+((('Form Sa1'!CEJ835)*860)/10)+('Form Sa1'!CEJ814*'Form Sa1'!CEJ816/10)-'NF - 5 Power Mix'!CEG21-'NF - 5 Power Mix'!CEG22</f>
        <v>0</v>
      </c>
      <c r="CEH42" s="1046">
        <f>CEH38+((CEH40+'NF - 5 Power Mix'!CEH14+'NF - 5 Power Mix'!CEH15)*860/10)+((('Form Sa1'!CEK835)*860)/10)+('Form Sa1'!CEK814*'Form Sa1'!CEK816/10)-'NF - 5 Power Mix'!CEH21-'NF - 5 Power Mix'!CEH22</f>
        <v>0</v>
      </c>
      <c r="CEI42" s="1046">
        <f>CEI38+((CEI40+'NF - 5 Power Mix'!CEI14+'NF - 5 Power Mix'!CEI15)*860/10)+((('Form Sa1'!CEL835)*860)/10)+('Form Sa1'!CEL814*'Form Sa1'!CEL816/10)-'NF - 5 Power Mix'!CEI21-'NF - 5 Power Mix'!CEI22</f>
        <v>0</v>
      </c>
      <c r="CEJ42" s="1046">
        <f>CEJ38+((CEJ40+'NF - 5 Power Mix'!CEJ14+'NF - 5 Power Mix'!CEJ15)*860/10)+((('Form Sa1'!CEM835)*860)/10)+('Form Sa1'!CEM814*'Form Sa1'!CEM816/10)-'NF - 5 Power Mix'!CEJ21-'NF - 5 Power Mix'!CEJ22</f>
        <v>0</v>
      </c>
      <c r="CEK42" s="1046">
        <f>CEK38+((CEK40+'NF - 5 Power Mix'!CEK14+'NF - 5 Power Mix'!CEK15)*860/10)+((('Form Sa1'!CEN835)*860)/10)+('Form Sa1'!CEN814*'Form Sa1'!CEN816/10)-'NF - 5 Power Mix'!CEK21-'NF - 5 Power Mix'!CEK22</f>
        <v>0</v>
      </c>
      <c r="CEL42" s="1046">
        <f>CEL38+((CEL40+'NF - 5 Power Mix'!CEL14+'NF - 5 Power Mix'!CEL15)*860/10)+((('Form Sa1'!CEO835)*860)/10)+('Form Sa1'!CEO814*'Form Sa1'!CEO816/10)-'NF - 5 Power Mix'!CEL21-'NF - 5 Power Mix'!CEL22</f>
        <v>0</v>
      </c>
      <c r="CEM42" s="1046">
        <f>CEM38+((CEM40+'NF - 5 Power Mix'!CEM14+'NF - 5 Power Mix'!CEM15)*860/10)+((('Form Sa1'!CEP835)*860)/10)+('Form Sa1'!CEP814*'Form Sa1'!CEP816/10)-'NF - 5 Power Mix'!CEM21-'NF - 5 Power Mix'!CEM22</f>
        <v>0</v>
      </c>
      <c r="CEN42" s="1046">
        <f>CEN38+((CEN40+'NF - 5 Power Mix'!CEN14+'NF - 5 Power Mix'!CEN15)*860/10)+((('Form Sa1'!CEQ835)*860)/10)+('Form Sa1'!CEQ814*'Form Sa1'!CEQ816/10)-'NF - 5 Power Mix'!CEN21-'NF - 5 Power Mix'!CEN22</f>
        <v>0</v>
      </c>
      <c r="CEO42" s="1046">
        <f>CEO38+((CEO40+'NF - 5 Power Mix'!CEO14+'NF - 5 Power Mix'!CEO15)*860/10)+((('Form Sa1'!CER835)*860)/10)+('Form Sa1'!CER814*'Form Sa1'!CER816/10)-'NF - 5 Power Mix'!CEO21-'NF - 5 Power Mix'!CEO22</f>
        <v>0</v>
      </c>
      <c r="CEP42" s="1046">
        <f>CEP38+((CEP40+'NF - 5 Power Mix'!CEP14+'NF - 5 Power Mix'!CEP15)*860/10)+((('Form Sa1'!CES835)*860)/10)+('Form Sa1'!CES814*'Form Sa1'!CES816/10)-'NF - 5 Power Mix'!CEP21-'NF - 5 Power Mix'!CEP22</f>
        <v>0</v>
      </c>
      <c r="CEQ42" s="1046">
        <f>CEQ38+((CEQ40+'NF - 5 Power Mix'!CEQ14+'NF - 5 Power Mix'!CEQ15)*860/10)+((('Form Sa1'!CET835)*860)/10)+('Form Sa1'!CET814*'Form Sa1'!CET816/10)-'NF - 5 Power Mix'!CEQ21-'NF - 5 Power Mix'!CEQ22</f>
        <v>0</v>
      </c>
      <c r="CER42" s="1046">
        <f>CER38+((CER40+'NF - 5 Power Mix'!CER14+'NF - 5 Power Mix'!CER15)*860/10)+((('Form Sa1'!CEU835)*860)/10)+('Form Sa1'!CEU814*'Form Sa1'!CEU816/10)-'NF - 5 Power Mix'!CER21-'NF - 5 Power Mix'!CER22</f>
        <v>0</v>
      </c>
      <c r="CES42" s="1046">
        <f>CES38+((CES40+'NF - 5 Power Mix'!CES14+'NF - 5 Power Mix'!CES15)*860/10)+((('Form Sa1'!CEV835)*860)/10)+('Form Sa1'!CEV814*'Form Sa1'!CEV816/10)-'NF - 5 Power Mix'!CES21-'NF - 5 Power Mix'!CES22</f>
        <v>0</v>
      </c>
      <c r="CET42" s="1046">
        <f>CET38+((CET40+'NF - 5 Power Mix'!CET14+'NF - 5 Power Mix'!CET15)*860/10)+((('Form Sa1'!CEW835)*860)/10)+('Form Sa1'!CEW814*'Form Sa1'!CEW816/10)-'NF - 5 Power Mix'!CET21-'NF - 5 Power Mix'!CET22</f>
        <v>0</v>
      </c>
      <c r="CEU42" s="1046">
        <f>CEU38+((CEU40+'NF - 5 Power Mix'!CEU14+'NF - 5 Power Mix'!CEU15)*860/10)+((('Form Sa1'!CEX835)*860)/10)+('Form Sa1'!CEX814*'Form Sa1'!CEX816/10)-'NF - 5 Power Mix'!CEU21-'NF - 5 Power Mix'!CEU22</f>
        <v>0</v>
      </c>
      <c r="CEV42" s="1046">
        <f>CEV38+((CEV40+'NF - 5 Power Mix'!CEV14+'NF - 5 Power Mix'!CEV15)*860/10)+((('Form Sa1'!CEY835)*860)/10)+('Form Sa1'!CEY814*'Form Sa1'!CEY816/10)-'NF - 5 Power Mix'!CEV21-'NF - 5 Power Mix'!CEV22</f>
        <v>0</v>
      </c>
      <c r="CEW42" s="1046">
        <f>CEW38+((CEW40+'NF - 5 Power Mix'!CEW14+'NF - 5 Power Mix'!CEW15)*860/10)+((('Form Sa1'!CEZ835)*860)/10)+('Form Sa1'!CEZ814*'Form Sa1'!CEZ816/10)-'NF - 5 Power Mix'!CEW21-'NF - 5 Power Mix'!CEW22</f>
        <v>0</v>
      </c>
      <c r="CEX42" s="1046">
        <f>CEX38+((CEX40+'NF - 5 Power Mix'!CEX14+'NF - 5 Power Mix'!CEX15)*860/10)+((('Form Sa1'!CFA835)*860)/10)+('Form Sa1'!CFA814*'Form Sa1'!CFA816/10)-'NF - 5 Power Mix'!CEX21-'NF - 5 Power Mix'!CEX22</f>
        <v>0</v>
      </c>
      <c r="CEY42" s="1046">
        <f>CEY38+((CEY40+'NF - 5 Power Mix'!CEY14+'NF - 5 Power Mix'!CEY15)*860/10)+((('Form Sa1'!CFB835)*860)/10)+('Form Sa1'!CFB814*'Form Sa1'!CFB816/10)-'NF - 5 Power Mix'!CEY21-'NF - 5 Power Mix'!CEY22</f>
        <v>0</v>
      </c>
      <c r="CEZ42" s="1046">
        <f>CEZ38+((CEZ40+'NF - 5 Power Mix'!CEZ14+'NF - 5 Power Mix'!CEZ15)*860/10)+((('Form Sa1'!CFC835)*860)/10)+('Form Sa1'!CFC814*'Form Sa1'!CFC816/10)-'NF - 5 Power Mix'!CEZ21-'NF - 5 Power Mix'!CEZ22</f>
        <v>0</v>
      </c>
      <c r="CFA42" s="1046">
        <f>CFA38+((CFA40+'NF - 5 Power Mix'!CFA14+'NF - 5 Power Mix'!CFA15)*860/10)+((('Form Sa1'!CFD835)*860)/10)+('Form Sa1'!CFD814*'Form Sa1'!CFD816/10)-'NF - 5 Power Mix'!CFA21-'NF - 5 Power Mix'!CFA22</f>
        <v>0</v>
      </c>
      <c r="CFB42" s="1046">
        <f>CFB38+((CFB40+'NF - 5 Power Mix'!CFB14+'NF - 5 Power Mix'!CFB15)*860/10)+((('Form Sa1'!CFE835)*860)/10)+('Form Sa1'!CFE814*'Form Sa1'!CFE816/10)-'NF - 5 Power Mix'!CFB21-'NF - 5 Power Mix'!CFB22</f>
        <v>0</v>
      </c>
      <c r="CFC42" s="1046">
        <f>CFC38+((CFC40+'NF - 5 Power Mix'!CFC14+'NF - 5 Power Mix'!CFC15)*860/10)+((('Form Sa1'!CFF835)*860)/10)+('Form Sa1'!CFF814*'Form Sa1'!CFF816/10)-'NF - 5 Power Mix'!CFC21-'NF - 5 Power Mix'!CFC22</f>
        <v>0</v>
      </c>
      <c r="CFD42" s="1046">
        <f>CFD38+((CFD40+'NF - 5 Power Mix'!CFD14+'NF - 5 Power Mix'!CFD15)*860/10)+((('Form Sa1'!CFG835)*860)/10)+('Form Sa1'!CFG814*'Form Sa1'!CFG816/10)-'NF - 5 Power Mix'!CFD21-'NF - 5 Power Mix'!CFD22</f>
        <v>0</v>
      </c>
      <c r="CFE42" s="1046">
        <f>CFE38+((CFE40+'NF - 5 Power Mix'!CFE14+'NF - 5 Power Mix'!CFE15)*860/10)+((('Form Sa1'!CFH835)*860)/10)+('Form Sa1'!CFH814*'Form Sa1'!CFH816/10)-'NF - 5 Power Mix'!CFE21-'NF - 5 Power Mix'!CFE22</f>
        <v>0</v>
      </c>
      <c r="CFF42" s="1046">
        <f>CFF38+((CFF40+'NF - 5 Power Mix'!CFF14+'NF - 5 Power Mix'!CFF15)*860/10)+((('Form Sa1'!CFI835)*860)/10)+('Form Sa1'!CFI814*'Form Sa1'!CFI816/10)-'NF - 5 Power Mix'!CFF21-'NF - 5 Power Mix'!CFF22</f>
        <v>0</v>
      </c>
      <c r="CFG42" s="1046">
        <f>CFG38+((CFG40+'NF - 5 Power Mix'!CFG14+'NF - 5 Power Mix'!CFG15)*860/10)+((('Form Sa1'!CFJ835)*860)/10)+('Form Sa1'!CFJ814*'Form Sa1'!CFJ816/10)-'NF - 5 Power Mix'!CFG21-'NF - 5 Power Mix'!CFG22</f>
        <v>0</v>
      </c>
      <c r="CFH42" s="1046">
        <f>CFH38+((CFH40+'NF - 5 Power Mix'!CFH14+'NF - 5 Power Mix'!CFH15)*860/10)+((('Form Sa1'!CFK835)*860)/10)+('Form Sa1'!CFK814*'Form Sa1'!CFK816/10)-'NF - 5 Power Mix'!CFH21-'NF - 5 Power Mix'!CFH22</f>
        <v>0</v>
      </c>
      <c r="CFI42" s="1046">
        <f>CFI38+((CFI40+'NF - 5 Power Mix'!CFI14+'NF - 5 Power Mix'!CFI15)*860/10)+((('Form Sa1'!CFL835)*860)/10)+('Form Sa1'!CFL814*'Form Sa1'!CFL816/10)-'NF - 5 Power Mix'!CFI21-'NF - 5 Power Mix'!CFI22</f>
        <v>0</v>
      </c>
      <c r="CFJ42" s="1046">
        <f>CFJ38+((CFJ40+'NF - 5 Power Mix'!CFJ14+'NF - 5 Power Mix'!CFJ15)*860/10)+((('Form Sa1'!CFM835)*860)/10)+('Form Sa1'!CFM814*'Form Sa1'!CFM816/10)-'NF - 5 Power Mix'!CFJ21-'NF - 5 Power Mix'!CFJ22</f>
        <v>0</v>
      </c>
      <c r="CFK42" s="1046">
        <f>CFK38+((CFK40+'NF - 5 Power Mix'!CFK14+'NF - 5 Power Mix'!CFK15)*860/10)+((('Form Sa1'!CFN835)*860)/10)+('Form Sa1'!CFN814*'Form Sa1'!CFN816/10)-'NF - 5 Power Mix'!CFK21-'NF - 5 Power Mix'!CFK22</f>
        <v>0</v>
      </c>
      <c r="CFL42" s="1046">
        <f>CFL38+((CFL40+'NF - 5 Power Mix'!CFL14+'NF - 5 Power Mix'!CFL15)*860/10)+((('Form Sa1'!CFO835)*860)/10)+('Form Sa1'!CFO814*'Form Sa1'!CFO816/10)-'NF - 5 Power Mix'!CFL21-'NF - 5 Power Mix'!CFL22</f>
        <v>0</v>
      </c>
      <c r="CFM42" s="1046">
        <f>CFM38+((CFM40+'NF - 5 Power Mix'!CFM14+'NF - 5 Power Mix'!CFM15)*860/10)+((('Form Sa1'!CFP835)*860)/10)+('Form Sa1'!CFP814*'Form Sa1'!CFP816/10)-'NF - 5 Power Mix'!CFM21-'NF - 5 Power Mix'!CFM22</f>
        <v>0</v>
      </c>
      <c r="CFN42" s="1046">
        <f>CFN38+((CFN40+'NF - 5 Power Mix'!CFN14+'NF - 5 Power Mix'!CFN15)*860/10)+((('Form Sa1'!CFQ835)*860)/10)+('Form Sa1'!CFQ814*'Form Sa1'!CFQ816/10)-'NF - 5 Power Mix'!CFN21-'NF - 5 Power Mix'!CFN22</f>
        <v>0</v>
      </c>
      <c r="CFO42" s="1046">
        <f>CFO38+((CFO40+'NF - 5 Power Mix'!CFO14+'NF - 5 Power Mix'!CFO15)*860/10)+((('Form Sa1'!CFR835)*860)/10)+('Form Sa1'!CFR814*'Form Sa1'!CFR816/10)-'NF - 5 Power Mix'!CFO21-'NF - 5 Power Mix'!CFO22</f>
        <v>0</v>
      </c>
      <c r="CFP42" s="1046">
        <f>CFP38+((CFP40+'NF - 5 Power Mix'!CFP14+'NF - 5 Power Mix'!CFP15)*860/10)+((('Form Sa1'!CFS835)*860)/10)+('Form Sa1'!CFS814*'Form Sa1'!CFS816/10)-'NF - 5 Power Mix'!CFP21-'NF - 5 Power Mix'!CFP22</f>
        <v>0</v>
      </c>
      <c r="CFQ42" s="1046">
        <f>CFQ38+((CFQ40+'NF - 5 Power Mix'!CFQ14+'NF - 5 Power Mix'!CFQ15)*860/10)+((('Form Sa1'!CFT835)*860)/10)+('Form Sa1'!CFT814*'Form Sa1'!CFT816/10)-'NF - 5 Power Mix'!CFQ21-'NF - 5 Power Mix'!CFQ22</f>
        <v>0</v>
      </c>
      <c r="CFR42" s="1046">
        <f>CFR38+((CFR40+'NF - 5 Power Mix'!CFR14+'NF - 5 Power Mix'!CFR15)*860/10)+((('Form Sa1'!CFU835)*860)/10)+('Form Sa1'!CFU814*'Form Sa1'!CFU816/10)-'NF - 5 Power Mix'!CFR21-'NF - 5 Power Mix'!CFR22</f>
        <v>0</v>
      </c>
      <c r="CFS42" s="1046">
        <f>CFS38+((CFS40+'NF - 5 Power Mix'!CFS14+'NF - 5 Power Mix'!CFS15)*860/10)+((('Form Sa1'!CFV835)*860)/10)+('Form Sa1'!CFV814*'Form Sa1'!CFV816/10)-'NF - 5 Power Mix'!CFS21-'NF - 5 Power Mix'!CFS22</f>
        <v>0</v>
      </c>
      <c r="CFT42" s="1046">
        <f>CFT38+((CFT40+'NF - 5 Power Mix'!CFT14+'NF - 5 Power Mix'!CFT15)*860/10)+((('Form Sa1'!CFW835)*860)/10)+('Form Sa1'!CFW814*'Form Sa1'!CFW816/10)-'NF - 5 Power Mix'!CFT21-'NF - 5 Power Mix'!CFT22</f>
        <v>0</v>
      </c>
      <c r="CFU42" s="1046">
        <f>CFU38+((CFU40+'NF - 5 Power Mix'!CFU14+'NF - 5 Power Mix'!CFU15)*860/10)+((('Form Sa1'!CFX835)*860)/10)+('Form Sa1'!CFX814*'Form Sa1'!CFX816/10)-'NF - 5 Power Mix'!CFU21-'NF - 5 Power Mix'!CFU22</f>
        <v>0</v>
      </c>
      <c r="CFV42" s="1046">
        <f>CFV38+((CFV40+'NF - 5 Power Mix'!CFV14+'NF - 5 Power Mix'!CFV15)*860/10)+((('Form Sa1'!CFY835)*860)/10)+('Form Sa1'!CFY814*'Form Sa1'!CFY816/10)-'NF - 5 Power Mix'!CFV21-'NF - 5 Power Mix'!CFV22</f>
        <v>0</v>
      </c>
      <c r="CFW42" s="1046">
        <f>CFW38+((CFW40+'NF - 5 Power Mix'!CFW14+'NF - 5 Power Mix'!CFW15)*860/10)+((('Form Sa1'!CFZ835)*860)/10)+('Form Sa1'!CFZ814*'Form Sa1'!CFZ816/10)-'NF - 5 Power Mix'!CFW21-'NF - 5 Power Mix'!CFW22</f>
        <v>0</v>
      </c>
      <c r="CFX42" s="1046">
        <f>CFX38+((CFX40+'NF - 5 Power Mix'!CFX14+'NF - 5 Power Mix'!CFX15)*860/10)+((('Form Sa1'!CGA835)*860)/10)+('Form Sa1'!CGA814*'Form Sa1'!CGA816/10)-'NF - 5 Power Mix'!CFX21-'NF - 5 Power Mix'!CFX22</f>
        <v>0</v>
      </c>
      <c r="CFY42" s="1046">
        <f>CFY38+((CFY40+'NF - 5 Power Mix'!CFY14+'NF - 5 Power Mix'!CFY15)*860/10)+((('Form Sa1'!CGB835)*860)/10)+('Form Sa1'!CGB814*'Form Sa1'!CGB816/10)-'NF - 5 Power Mix'!CFY21-'NF - 5 Power Mix'!CFY22</f>
        <v>0</v>
      </c>
      <c r="CFZ42" s="1046">
        <f>CFZ38+((CFZ40+'NF - 5 Power Mix'!CFZ14+'NF - 5 Power Mix'!CFZ15)*860/10)+((('Form Sa1'!CGC835)*860)/10)+('Form Sa1'!CGC814*'Form Sa1'!CGC816/10)-'NF - 5 Power Mix'!CFZ21-'NF - 5 Power Mix'!CFZ22</f>
        <v>0</v>
      </c>
      <c r="CGA42" s="1046">
        <f>CGA38+((CGA40+'NF - 5 Power Mix'!CGA14+'NF - 5 Power Mix'!CGA15)*860/10)+((('Form Sa1'!CGD835)*860)/10)+('Form Sa1'!CGD814*'Form Sa1'!CGD816/10)-'NF - 5 Power Mix'!CGA21-'NF - 5 Power Mix'!CGA22</f>
        <v>0</v>
      </c>
      <c r="CGB42" s="1046">
        <f>CGB38+((CGB40+'NF - 5 Power Mix'!CGB14+'NF - 5 Power Mix'!CGB15)*860/10)+((('Form Sa1'!CGE835)*860)/10)+('Form Sa1'!CGE814*'Form Sa1'!CGE816/10)-'NF - 5 Power Mix'!CGB21-'NF - 5 Power Mix'!CGB22</f>
        <v>0</v>
      </c>
      <c r="CGC42" s="1046">
        <f>CGC38+((CGC40+'NF - 5 Power Mix'!CGC14+'NF - 5 Power Mix'!CGC15)*860/10)+((('Form Sa1'!CGF835)*860)/10)+('Form Sa1'!CGF814*'Form Sa1'!CGF816/10)-'NF - 5 Power Mix'!CGC21-'NF - 5 Power Mix'!CGC22</f>
        <v>0</v>
      </c>
      <c r="CGD42" s="1046">
        <f>CGD38+((CGD40+'NF - 5 Power Mix'!CGD14+'NF - 5 Power Mix'!CGD15)*860/10)+((('Form Sa1'!CGG835)*860)/10)+('Form Sa1'!CGG814*'Form Sa1'!CGG816/10)-'NF - 5 Power Mix'!CGD21-'NF - 5 Power Mix'!CGD22</f>
        <v>0</v>
      </c>
      <c r="CGE42" s="1046">
        <f>CGE38+((CGE40+'NF - 5 Power Mix'!CGE14+'NF - 5 Power Mix'!CGE15)*860/10)+((('Form Sa1'!CGH835)*860)/10)+('Form Sa1'!CGH814*'Form Sa1'!CGH816/10)-'NF - 5 Power Mix'!CGE21-'NF - 5 Power Mix'!CGE22</f>
        <v>0</v>
      </c>
      <c r="CGF42" s="1046">
        <f>CGF38+((CGF40+'NF - 5 Power Mix'!CGF14+'NF - 5 Power Mix'!CGF15)*860/10)+((('Form Sa1'!CGI835)*860)/10)+('Form Sa1'!CGI814*'Form Sa1'!CGI816/10)-'NF - 5 Power Mix'!CGF21-'NF - 5 Power Mix'!CGF22</f>
        <v>0</v>
      </c>
      <c r="CGG42" s="1046">
        <f>CGG38+((CGG40+'NF - 5 Power Mix'!CGG14+'NF - 5 Power Mix'!CGG15)*860/10)+((('Form Sa1'!CGJ835)*860)/10)+('Form Sa1'!CGJ814*'Form Sa1'!CGJ816/10)-'NF - 5 Power Mix'!CGG21-'NF - 5 Power Mix'!CGG22</f>
        <v>0</v>
      </c>
      <c r="CGH42" s="1046">
        <f>CGH38+((CGH40+'NF - 5 Power Mix'!CGH14+'NF - 5 Power Mix'!CGH15)*860/10)+((('Form Sa1'!CGK835)*860)/10)+('Form Sa1'!CGK814*'Form Sa1'!CGK816/10)-'NF - 5 Power Mix'!CGH21-'NF - 5 Power Mix'!CGH22</f>
        <v>0</v>
      </c>
      <c r="CGI42" s="1046">
        <f>CGI38+((CGI40+'NF - 5 Power Mix'!CGI14+'NF - 5 Power Mix'!CGI15)*860/10)+((('Form Sa1'!CGL835)*860)/10)+('Form Sa1'!CGL814*'Form Sa1'!CGL816/10)-'NF - 5 Power Mix'!CGI21-'NF - 5 Power Mix'!CGI22</f>
        <v>0</v>
      </c>
      <c r="CGJ42" s="1046">
        <f>CGJ38+((CGJ40+'NF - 5 Power Mix'!CGJ14+'NF - 5 Power Mix'!CGJ15)*860/10)+((('Form Sa1'!CGM835)*860)/10)+('Form Sa1'!CGM814*'Form Sa1'!CGM816/10)-'NF - 5 Power Mix'!CGJ21-'NF - 5 Power Mix'!CGJ22</f>
        <v>0</v>
      </c>
      <c r="CGK42" s="1046">
        <f>CGK38+((CGK40+'NF - 5 Power Mix'!CGK14+'NF - 5 Power Mix'!CGK15)*860/10)+((('Form Sa1'!CGN835)*860)/10)+('Form Sa1'!CGN814*'Form Sa1'!CGN816/10)-'NF - 5 Power Mix'!CGK21-'NF - 5 Power Mix'!CGK22</f>
        <v>0</v>
      </c>
      <c r="CGL42" s="1046">
        <f>CGL38+((CGL40+'NF - 5 Power Mix'!CGL14+'NF - 5 Power Mix'!CGL15)*860/10)+((('Form Sa1'!CGO835)*860)/10)+('Form Sa1'!CGO814*'Form Sa1'!CGO816/10)-'NF - 5 Power Mix'!CGL21-'NF - 5 Power Mix'!CGL22</f>
        <v>0</v>
      </c>
      <c r="CGM42" s="1046">
        <f>CGM38+((CGM40+'NF - 5 Power Mix'!CGM14+'NF - 5 Power Mix'!CGM15)*860/10)+((('Form Sa1'!CGP835)*860)/10)+('Form Sa1'!CGP814*'Form Sa1'!CGP816/10)-'NF - 5 Power Mix'!CGM21-'NF - 5 Power Mix'!CGM22</f>
        <v>0</v>
      </c>
      <c r="CGN42" s="1046">
        <f>CGN38+((CGN40+'NF - 5 Power Mix'!CGN14+'NF - 5 Power Mix'!CGN15)*860/10)+((('Form Sa1'!CGQ835)*860)/10)+('Form Sa1'!CGQ814*'Form Sa1'!CGQ816/10)-'NF - 5 Power Mix'!CGN21-'NF - 5 Power Mix'!CGN22</f>
        <v>0</v>
      </c>
      <c r="CGO42" s="1046">
        <f>CGO38+((CGO40+'NF - 5 Power Mix'!CGO14+'NF - 5 Power Mix'!CGO15)*860/10)+((('Form Sa1'!CGR835)*860)/10)+('Form Sa1'!CGR814*'Form Sa1'!CGR816/10)-'NF - 5 Power Mix'!CGO21-'NF - 5 Power Mix'!CGO22</f>
        <v>0</v>
      </c>
      <c r="CGP42" s="1046">
        <f>CGP38+((CGP40+'NF - 5 Power Mix'!CGP14+'NF - 5 Power Mix'!CGP15)*860/10)+((('Form Sa1'!CGS835)*860)/10)+('Form Sa1'!CGS814*'Form Sa1'!CGS816/10)-'NF - 5 Power Mix'!CGP21-'NF - 5 Power Mix'!CGP22</f>
        <v>0</v>
      </c>
      <c r="CGQ42" s="1046">
        <f>CGQ38+((CGQ40+'NF - 5 Power Mix'!CGQ14+'NF - 5 Power Mix'!CGQ15)*860/10)+((('Form Sa1'!CGT835)*860)/10)+('Form Sa1'!CGT814*'Form Sa1'!CGT816/10)-'NF - 5 Power Mix'!CGQ21-'NF - 5 Power Mix'!CGQ22</f>
        <v>0</v>
      </c>
      <c r="CGR42" s="1046">
        <f>CGR38+((CGR40+'NF - 5 Power Mix'!CGR14+'NF - 5 Power Mix'!CGR15)*860/10)+((('Form Sa1'!CGU835)*860)/10)+('Form Sa1'!CGU814*'Form Sa1'!CGU816/10)-'NF - 5 Power Mix'!CGR21-'NF - 5 Power Mix'!CGR22</f>
        <v>0</v>
      </c>
      <c r="CGS42" s="1046">
        <f>CGS38+((CGS40+'NF - 5 Power Mix'!CGS14+'NF - 5 Power Mix'!CGS15)*860/10)+((('Form Sa1'!CGV835)*860)/10)+('Form Sa1'!CGV814*'Form Sa1'!CGV816/10)-'NF - 5 Power Mix'!CGS21-'NF - 5 Power Mix'!CGS22</f>
        <v>0</v>
      </c>
      <c r="CGT42" s="1046">
        <f>CGT38+((CGT40+'NF - 5 Power Mix'!CGT14+'NF - 5 Power Mix'!CGT15)*860/10)+((('Form Sa1'!CGW835)*860)/10)+('Form Sa1'!CGW814*'Form Sa1'!CGW816/10)-'NF - 5 Power Mix'!CGT21-'NF - 5 Power Mix'!CGT22</f>
        <v>0</v>
      </c>
      <c r="CGU42" s="1046">
        <f>CGU38+((CGU40+'NF - 5 Power Mix'!CGU14+'NF - 5 Power Mix'!CGU15)*860/10)+((('Form Sa1'!CGX835)*860)/10)+('Form Sa1'!CGX814*'Form Sa1'!CGX816/10)-'NF - 5 Power Mix'!CGU21-'NF - 5 Power Mix'!CGU22</f>
        <v>0</v>
      </c>
      <c r="CGV42" s="1046">
        <f>CGV38+((CGV40+'NF - 5 Power Mix'!CGV14+'NF - 5 Power Mix'!CGV15)*860/10)+((('Form Sa1'!CGY835)*860)/10)+('Form Sa1'!CGY814*'Form Sa1'!CGY816/10)-'NF - 5 Power Mix'!CGV21-'NF - 5 Power Mix'!CGV22</f>
        <v>0</v>
      </c>
      <c r="CGW42" s="1046">
        <f>CGW38+((CGW40+'NF - 5 Power Mix'!CGW14+'NF - 5 Power Mix'!CGW15)*860/10)+((('Form Sa1'!CGZ835)*860)/10)+('Form Sa1'!CGZ814*'Form Sa1'!CGZ816/10)-'NF - 5 Power Mix'!CGW21-'NF - 5 Power Mix'!CGW22</f>
        <v>0</v>
      </c>
      <c r="CGX42" s="1046">
        <f>CGX38+((CGX40+'NF - 5 Power Mix'!CGX14+'NF - 5 Power Mix'!CGX15)*860/10)+((('Form Sa1'!CHA835)*860)/10)+('Form Sa1'!CHA814*'Form Sa1'!CHA816/10)-'NF - 5 Power Mix'!CGX21-'NF - 5 Power Mix'!CGX22</f>
        <v>0</v>
      </c>
      <c r="CGY42" s="1046">
        <f>CGY38+((CGY40+'NF - 5 Power Mix'!CGY14+'NF - 5 Power Mix'!CGY15)*860/10)+((('Form Sa1'!CHB835)*860)/10)+('Form Sa1'!CHB814*'Form Sa1'!CHB816/10)-'NF - 5 Power Mix'!CGY21-'NF - 5 Power Mix'!CGY22</f>
        <v>0</v>
      </c>
      <c r="CGZ42" s="1046">
        <f>CGZ38+((CGZ40+'NF - 5 Power Mix'!CGZ14+'NF - 5 Power Mix'!CGZ15)*860/10)+((('Form Sa1'!CHC835)*860)/10)+('Form Sa1'!CHC814*'Form Sa1'!CHC816/10)-'NF - 5 Power Mix'!CGZ21-'NF - 5 Power Mix'!CGZ22</f>
        <v>0</v>
      </c>
      <c r="CHA42" s="1046">
        <f>CHA38+((CHA40+'NF - 5 Power Mix'!CHA14+'NF - 5 Power Mix'!CHA15)*860/10)+((('Form Sa1'!CHD835)*860)/10)+('Form Sa1'!CHD814*'Form Sa1'!CHD816/10)-'NF - 5 Power Mix'!CHA21-'NF - 5 Power Mix'!CHA22</f>
        <v>0</v>
      </c>
      <c r="CHB42" s="1046">
        <f>CHB38+((CHB40+'NF - 5 Power Mix'!CHB14+'NF - 5 Power Mix'!CHB15)*860/10)+((('Form Sa1'!CHE835)*860)/10)+('Form Sa1'!CHE814*'Form Sa1'!CHE816/10)-'NF - 5 Power Mix'!CHB21-'NF - 5 Power Mix'!CHB22</f>
        <v>0</v>
      </c>
      <c r="CHC42" s="1046">
        <f>CHC38+((CHC40+'NF - 5 Power Mix'!CHC14+'NF - 5 Power Mix'!CHC15)*860/10)+((('Form Sa1'!CHF835)*860)/10)+('Form Sa1'!CHF814*'Form Sa1'!CHF816/10)-'NF - 5 Power Mix'!CHC21-'NF - 5 Power Mix'!CHC22</f>
        <v>0</v>
      </c>
      <c r="CHD42" s="1046">
        <f>CHD38+((CHD40+'NF - 5 Power Mix'!CHD14+'NF - 5 Power Mix'!CHD15)*860/10)+((('Form Sa1'!CHG835)*860)/10)+('Form Sa1'!CHG814*'Form Sa1'!CHG816/10)-'NF - 5 Power Mix'!CHD21-'NF - 5 Power Mix'!CHD22</f>
        <v>0</v>
      </c>
      <c r="CHE42" s="1046">
        <f>CHE38+((CHE40+'NF - 5 Power Mix'!CHE14+'NF - 5 Power Mix'!CHE15)*860/10)+((('Form Sa1'!CHH835)*860)/10)+('Form Sa1'!CHH814*'Form Sa1'!CHH816/10)-'NF - 5 Power Mix'!CHE21-'NF - 5 Power Mix'!CHE22</f>
        <v>0</v>
      </c>
      <c r="CHF42" s="1046">
        <f>CHF38+((CHF40+'NF - 5 Power Mix'!CHF14+'NF - 5 Power Mix'!CHF15)*860/10)+((('Form Sa1'!CHI835)*860)/10)+('Form Sa1'!CHI814*'Form Sa1'!CHI816/10)-'NF - 5 Power Mix'!CHF21-'NF - 5 Power Mix'!CHF22</f>
        <v>0</v>
      </c>
      <c r="CHG42" s="1046">
        <f>CHG38+((CHG40+'NF - 5 Power Mix'!CHG14+'NF - 5 Power Mix'!CHG15)*860/10)+((('Form Sa1'!CHJ835)*860)/10)+('Form Sa1'!CHJ814*'Form Sa1'!CHJ816/10)-'NF - 5 Power Mix'!CHG21-'NF - 5 Power Mix'!CHG22</f>
        <v>0</v>
      </c>
      <c r="CHH42" s="1046">
        <f>CHH38+((CHH40+'NF - 5 Power Mix'!CHH14+'NF - 5 Power Mix'!CHH15)*860/10)+((('Form Sa1'!CHK835)*860)/10)+('Form Sa1'!CHK814*'Form Sa1'!CHK816/10)-'NF - 5 Power Mix'!CHH21-'NF - 5 Power Mix'!CHH22</f>
        <v>0</v>
      </c>
      <c r="CHI42" s="1046">
        <f>CHI38+((CHI40+'NF - 5 Power Mix'!CHI14+'NF - 5 Power Mix'!CHI15)*860/10)+((('Form Sa1'!CHL835)*860)/10)+('Form Sa1'!CHL814*'Form Sa1'!CHL816/10)-'NF - 5 Power Mix'!CHI21-'NF - 5 Power Mix'!CHI22</f>
        <v>0</v>
      </c>
      <c r="CHJ42" s="1046">
        <f>CHJ38+((CHJ40+'NF - 5 Power Mix'!CHJ14+'NF - 5 Power Mix'!CHJ15)*860/10)+((('Form Sa1'!CHM835)*860)/10)+('Form Sa1'!CHM814*'Form Sa1'!CHM816/10)-'NF - 5 Power Mix'!CHJ21-'NF - 5 Power Mix'!CHJ22</f>
        <v>0</v>
      </c>
      <c r="CHK42" s="1046">
        <f>CHK38+((CHK40+'NF - 5 Power Mix'!CHK14+'NF - 5 Power Mix'!CHK15)*860/10)+((('Form Sa1'!CHN835)*860)/10)+('Form Sa1'!CHN814*'Form Sa1'!CHN816/10)-'NF - 5 Power Mix'!CHK21-'NF - 5 Power Mix'!CHK22</f>
        <v>0</v>
      </c>
      <c r="CHL42" s="1046">
        <f>CHL38+((CHL40+'NF - 5 Power Mix'!CHL14+'NF - 5 Power Mix'!CHL15)*860/10)+((('Form Sa1'!CHO835)*860)/10)+('Form Sa1'!CHO814*'Form Sa1'!CHO816/10)-'NF - 5 Power Mix'!CHL21-'NF - 5 Power Mix'!CHL22</f>
        <v>0</v>
      </c>
      <c r="CHM42" s="1046">
        <f>CHM38+((CHM40+'NF - 5 Power Mix'!CHM14+'NF - 5 Power Mix'!CHM15)*860/10)+((('Form Sa1'!CHP835)*860)/10)+('Form Sa1'!CHP814*'Form Sa1'!CHP816/10)-'NF - 5 Power Mix'!CHM21-'NF - 5 Power Mix'!CHM22</f>
        <v>0</v>
      </c>
      <c r="CHN42" s="1046">
        <f>CHN38+((CHN40+'NF - 5 Power Mix'!CHN14+'NF - 5 Power Mix'!CHN15)*860/10)+((('Form Sa1'!CHQ835)*860)/10)+('Form Sa1'!CHQ814*'Form Sa1'!CHQ816/10)-'NF - 5 Power Mix'!CHN21-'NF - 5 Power Mix'!CHN22</f>
        <v>0</v>
      </c>
      <c r="CHO42" s="1046">
        <f>CHO38+((CHO40+'NF - 5 Power Mix'!CHO14+'NF - 5 Power Mix'!CHO15)*860/10)+((('Form Sa1'!CHR835)*860)/10)+('Form Sa1'!CHR814*'Form Sa1'!CHR816/10)-'NF - 5 Power Mix'!CHO21-'NF - 5 Power Mix'!CHO22</f>
        <v>0</v>
      </c>
      <c r="CHP42" s="1046">
        <f>CHP38+((CHP40+'NF - 5 Power Mix'!CHP14+'NF - 5 Power Mix'!CHP15)*860/10)+((('Form Sa1'!CHS835)*860)/10)+('Form Sa1'!CHS814*'Form Sa1'!CHS816/10)-'NF - 5 Power Mix'!CHP21-'NF - 5 Power Mix'!CHP22</f>
        <v>0</v>
      </c>
      <c r="CHQ42" s="1046">
        <f>CHQ38+((CHQ40+'NF - 5 Power Mix'!CHQ14+'NF - 5 Power Mix'!CHQ15)*860/10)+((('Form Sa1'!CHT835)*860)/10)+('Form Sa1'!CHT814*'Form Sa1'!CHT816/10)-'NF - 5 Power Mix'!CHQ21-'NF - 5 Power Mix'!CHQ22</f>
        <v>0</v>
      </c>
      <c r="CHR42" s="1046">
        <f>CHR38+((CHR40+'NF - 5 Power Mix'!CHR14+'NF - 5 Power Mix'!CHR15)*860/10)+((('Form Sa1'!CHU835)*860)/10)+('Form Sa1'!CHU814*'Form Sa1'!CHU816/10)-'NF - 5 Power Mix'!CHR21-'NF - 5 Power Mix'!CHR22</f>
        <v>0</v>
      </c>
      <c r="CHS42" s="1046">
        <f>CHS38+((CHS40+'NF - 5 Power Mix'!CHS14+'NF - 5 Power Mix'!CHS15)*860/10)+((('Form Sa1'!CHV835)*860)/10)+('Form Sa1'!CHV814*'Form Sa1'!CHV816/10)-'NF - 5 Power Mix'!CHS21-'NF - 5 Power Mix'!CHS22</f>
        <v>0</v>
      </c>
      <c r="CHT42" s="1046">
        <f>CHT38+((CHT40+'NF - 5 Power Mix'!CHT14+'NF - 5 Power Mix'!CHT15)*860/10)+((('Form Sa1'!CHW835)*860)/10)+('Form Sa1'!CHW814*'Form Sa1'!CHW816/10)-'NF - 5 Power Mix'!CHT21-'NF - 5 Power Mix'!CHT22</f>
        <v>0</v>
      </c>
      <c r="CHU42" s="1046">
        <f>CHU38+((CHU40+'NF - 5 Power Mix'!CHU14+'NF - 5 Power Mix'!CHU15)*860/10)+((('Form Sa1'!CHX835)*860)/10)+('Form Sa1'!CHX814*'Form Sa1'!CHX816/10)-'NF - 5 Power Mix'!CHU21-'NF - 5 Power Mix'!CHU22</f>
        <v>0</v>
      </c>
      <c r="CHV42" s="1046">
        <f>CHV38+((CHV40+'NF - 5 Power Mix'!CHV14+'NF - 5 Power Mix'!CHV15)*860/10)+((('Form Sa1'!CHY835)*860)/10)+('Form Sa1'!CHY814*'Form Sa1'!CHY816/10)-'NF - 5 Power Mix'!CHV21-'NF - 5 Power Mix'!CHV22</f>
        <v>0</v>
      </c>
      <c r="CHW42" s="1046">
        <f>CHW38+((CHW40+'NF - 5 Power Mix'!CHW14+'NF - 5 Power Mix'!CHW15)*860/10)+((('Form Sa1'!CHZ835)*860)/10)+('Form Sa1'!CHZ814*'Form Sa1'!CHZ816/10)-'NF - 5 Power Mix'!CHW21-'NF - 5 Power Mix'!CHW22</f>
        <v>0</v>
      </c>
      <c r="CHX42" s="1046">
        <f>CHX38+((CHX40+'NF - 5 Power Mix'!CHX14+'NF - 5 Power Mix'!CHX15)*860/10)+((('Form Sa1'!CIA835)*860)/10)+('Form Sa1'!CIA814*'Form Sa1'!CIA816/10)-'NF - 5 Power Mix'!CHX21-'NF - 5 Power Mix'!CHX22</f>
        <v>0</v>
      </c>
      <c r="CHY42" s="1046">
        <f>CHY38+((CHY40+'NF - 5 Power Mix'!CHY14+'NF - 5 Power Mix'!CHY15)*860/10)+((('Form Sa1'!CIB835)*860)/10)+('Form Sa1'!CIB814*'Form Sa1'!CIB816/10)-'NF - 5 Power Mix'!CHY21-'NF - 5 Power Mix'!CHY22</f>
        <v>0</v>
      </c>
      <c r="CHZ42" s="1046">
        <f>CHZ38+((CHZ40+'NF - 5 Power Mix'!CHZ14+'NF - 5 Power Mix'!CHZ15)*860/10)+((('Form Sa1'!CIC835)*860)/10)+('Form Sa1'!CIC814*'Form Sa1'!CIC816/10)-'NF - 5 Power Mix'!CHZ21-'NF - 5 Power Mix'!CHZ22</f>
        <v>0</v>
      </c>
      <c r="CIA42" s="1046">
        <f>CIA38+((CIA40+'NF - 5 Power Mix'!CIA14+'NF - 5 Power Mix'!CIA15)*860/10)+((('Form Sa1'!CID835)*860)/10)+('Form Sa1'!CID814*'Form Sa1'!CID816/10)-'NF - 5 Power Mix'!CIA21-'NF - 5 Power Mix'!CIA22</f>
        <v>0</v>
      </c>
      <c r="CIB42" s="1046">
        <f>CIB38+((CIB40+'NF - 5 Power Mix'!CIB14+'NF - 5 Power Mix'!CIB15)*860/10)+((('Form Sa1'!CIE835)*860)/10)+('Form Sa1'!CIE814*'Form Sa1'!CIE816/10)-'NF - 5 Power Mix'!CIB21-'NF - 5 Power Mix'!CIB22</f>
        <v>0</v>
      </c>
      <c r="CIC42" s="1046">
        <f>CIC38+((CIC40+'NF - 5 Power Mix'!CIC14+'NF - 5 Power Mix'!CIC15)*860/10)+((('Form Sa1'!CIF835)*860)/10)+('Form Sa1'!CIF814*'Form Sa1'!CIF816/10)-'NF - 5 Power Mix'!CIC21-'NF - 5 Power Mix'!CIC22</f>
        <v>0</v>
      </c>
      <c r="CID42" s="1046">
        <f>CID38+((CID40+'NF - 5 Power Mix'!CID14+'NF - 5 Power Mix'!CID15)*860/10)+((('Form Sa1'!CIG835)*860)/10)+('Form Sa1'!CIG814*'Form Sa1'!CIG816/10)-'NF - 5 Power Mix'!CID21-'NF - 5 Power Mix'!CID22</f>
        <v>0</v>
      </c>
      <c r="CIE42" s="1046">
        <f>CIE38+((CIE40+'NF - 5 Power Mix'!CIE14+'NF - 5 Power Mix'!CIE15)*860/10)+((('Form Sa1'!CIH835)*860)/10)+('Form Sa1'!CIH814*'Form Sa1'!CIH816/10)-'NF - 5 Power Mix'!CIE21-'NF - 5 Power Mix'!CIE22</f>
        <v>0</v>
      </c>
      <c r="CIF42" s="1046">
        <f>CIF38+((CIF40+'NF - 5 Power Mix'!CIF14+'NF - 5 Power Mix'!CIF15)*860/10)+((('Form Sa1'!CII835)*860)/10)+('Form Sa1'!CII814*'Form Sa1'!CII816/10)-'NF - 5 Power Mix'!CIF21-'NF - 5 Power Mix'!CIF22</f>
        <v>0</v>
      </c>
      <c r="CIG42" s="1046">
        <f>CIG38+((CIG40+'NF - 5 Power Mix'!CIG14+'NF - 5 Power Mix'!CIG15)*860/10)+((('Form Sa1'!CIJ835)*860)/10)+('Form Sa1'!CIJ814*'Form Sa1'!CIJ816/10)-'NF - 5 Power Mix'!CIG21-'NF - 5 Power Mix'!CIG22</f>
        <v>0</v>
      </c>
      <c r="CIH42" s="1046">
        <f>CIH38+((CIH40+'NF - 5 Power Mix'!CIH14+'NF - 5 Power Mix'!CIH15)*860/10)+((('Form Sa1'!CIK835)*860)/10)+('Form Sa1'!CIK814*'Form Sa1'!CIK816/10)-'NF - 5 Power Mix'!CIH21-'NF - 5 Power Mix'!CIH22</f>
        <v>0</v>
      </c>
      <c r="CII42" s="1046">
        <f>CII38+((CII40+'NF - 5 Power Mix'!CII14+'NF - 5 Power Mix'!CII15)*860/10)+((('Form Sa1'!CIL835)*860)/10)+('Form Sa1'!CIL814*'Form Sa1'!CIL816/10)-'NF - 5 Power Mix'!CII21-'NF - 5 Power Mix'!CII22</f>
        <v>0</v>
      </c>
      <c r="CIJ42" s="1046">
        <f>CIJ38+((CIJ40+'NF - 5 Power Mix'!CIJ14+'NF - 5 Power Mix'!CIJ15)*860/10)+((('Form Sa1'!CIM835)*860)/10)+('Form Sa1'!CIM814*'Form Sa1'!CIM816/10)-'NF - 5 Power Mix'!CIJ21-'NF - 5 Power Mix'!CIJ22</f>
        <v>0</v>
      </c>
      <c r="CIK42" s="1046">
        <f>CIK38+((CIK40+'NF - 5 Power Mix'!CIK14+'NF - 5 Power Mix'!CIK15)*860/10)+((('Form Sa1'!CIN835)*860)/10)+('Form Sa1'!CIN814*'Form Sa1'!CIN816/10)-'NF - 5 Power Mix'!CIK21-'NF - 5 Power Mix'!CIK22</f>
        <v>0</v>
      </c>
      <c r="CIL42" s="1046">
        <f>CIL38+((CIL40+'NF - 5 Power Mix'!CIL14+'NF - 5 Power Mix'!CIL15)*860/10)+((('Form Sa1'!CIO835)*860)/10)+('Form Sa1'!CIO814*'Form Sa1'!CIO816/10)-'NF - 5 Power Mix'!CIL21-'NF - 5 Power Mix'!CIL22</f>
        <v>0</v>
      </c>
      <c r="CIM42" s="1046">
        <f>CIM38+((CIM40+'NF - 5 Power Mix'!CIM14+'NF - 5 Power Mix'!CIM15)*860/10)+((('Form Sa1'!CIP835)*860)/10)+('Form Sa1'!CIP814*'Form Sa1'!CIP816/10)-'NF - 5 Power Mix'!CIM21-'NF - 5 Power Mix'!CIM22</f>
        <v>0</v>
      </c>
      <c r="CIN42" s="1046">
        <f>CIN38+((CIN40+'NF - 5 Power Mix'!CIN14+'NF - 5 Power Mix'!CIN15)*860/10)+((('Form Sa1'!CIQ835)*860)/10)+('Form Sa1'!CIQ814*'Form Sa1'!CIQ816/10)-'NF - 5 Power Mix'!CIN21-'NF - 5 Power Mix'!CIN22</f>
        <v>0</v>
      </c>
      <c r="CIO42" s="1046">
        <f>CIO38+((CIO40+'NF - 5 Power Mix'!CIO14+'NF - 5 Power Mix'!CIO15)*860/10)+((('Form Sa1'!CIR835)*860)/10)+('Form Sa1'!CIR814*'Form Sa1'!CIR816/10)-'NF - 5 Power Mix'!CIO21-'NF - 5 Power Mix'!CIO22</f>
        <v>0</v>
      </c>
      <c r="CIP42" s="1046">
        <f>CIP38+((CIP40+'NF - 5 Power Mix'!CIP14+'NF - 5 Power Mix'!CIP15)*860/10)+((('Form Sa1'!CIS835)*860)/10)+('Form Sa1'!CIS814*'Form Sa1'!CIS816/10)-'NF - 5 Power Mix'!CIP21-'NF - 5 Power Mix'!CIP22</f>
        <v>0</v>
      </c>
      <c r="CIQ42" s="1046">
        <f>CIQ38+((CIQ40+'NF - 5 Power Mix'!CIQ14+'NF - 5 Power Mix'!CIQ15)*860/10)+((('Form Sa1'!CIT835)*860)/10)+('Form Sa1'!CIT814*'Form Sa1'!CIT816/10)-'NF - 5 Power Mix'!CIQ21-'NF - 5 Power Mix'!CIQ22</f>
        <v>0</v>
      </c>
      <c r="CIR42" s="1046">
        <f>CIR38+((CIR40+'NF - 5 Power Mix'!CIR14+'NF - 5 Power Mix'!CIR15)*860/10)+((('Form Sa1'!CIU835)*860)/10)+('Form Sa1'!CIU814*'Form Sa1'!CIU816/10)-'NF - 5 Power Mix'!CIR21-'NF - 5 Power Mix'!CIR22</f>
        <v>0</v>
      </c>
      <c r="CIS42" s="1046">
        <f>CIS38+((CIS40+'NF - 5 Power Mix'!CIS14+'NF - 5 Power Mix'!CIS15)*860/10)+((('Form Sa1'!CIV835)*860)/10)+('Form Sa1'!CIV814*'Form Sa1'!CIV816/10)-'NF - 5 Power Mix'!CIS21-'NF - 5 Power Mix'!CIS22</f>
        <v>0</v>
      </c>
      <c r="CIT42" s="1046">
        <f>CIT38+((CIT40+'NF - 5 Power Mix'!CIT14+'NF - 5 Power Mix'!CIT15)*860/10)+((('Form Sa1'!CIW835)*860)/10)+('Form Sa1'!CIW814*'Form Sa1'!CIW816/10)-'NF - 5 Power Mix'!CIT21-'NF - 5 Power Mix'!CIT22</f>
        <v>0</v>
      </c>
      <c r="CIU42" s="1046">
        <f>CIU38+((CIU40+'NF - 5 Power Mix'!CIU14+'NF - 5 Power Mix'!CIU15)*860/10)+((('Form Sa1'!CIX835)*860)/10)+('Form Sa1'!CIX814*'Form Sa1'!CIX816/10)-'NF - 5 Power Mix'!CIU21-'NF - 5 Power Mix'!CIU22</f>
        <v>0</v>
      </c>
      <c r="CIV42" s="1046">
        <f>CIV38+((CIV40+'NF - 5 Power Mix'!CIV14+'NF - 5 Power Mix'!CIV15)*860/10)+((('Form Sa1'!CIY835)*860)/10)+('Form Sa1'!CIY814*'Form Sa1'!CIY816/10)-'NF - 5 Power Mix'!CIV21-'NF - 5 Power Mix'!CIV22</f>
        <v>0</v>
      </c>
      <c r="CIW42" s="1046">
        <f>CIW38+((CIW40+'NF - 5 Power Mix'!CIW14+'NF - 5 Power Mix'!CIW15)*860/10)+((('Form Sa1'!CIZ835)*860)/10)+('Form Sa1'!CIZ814*'Form Sa1'!CIZ816/10)-'NF - 5 Power Mix'!CIW21-'NF - 5 Power Mix'!CIW22</f>
        <v>0</v>
      </c>
      <c r="CIX42" s="1046">
        <f>CIX38+((CIX40+'NF - 5 Power Mix'!CIX14+'NF - 5 Power Mix'!CIX15)*860/10)+((('Form Sa1'!CJA835)*860)/10)+('Form Sa1'!CJA814*'Form Sa1'!CJA816/10)-'NF - 5 Power Mix'!CIX21-'NF - 5 Power Mix'!CIX22</f>
        <v>0</v>
      </c>
      <c r="CIY42" s="1046">
        <f>CIY38+((CIY40+'NF - 5 Power Mix'!CIY14+'NF - 5 Power Mix'!CIY15)*860/10)+((('Form Sa1'!CJB835)*860)/10)+('Form Sa1'!CJB814*'Form Sa1'!CJB816/10)-'NF - 5 Power Mix'!CIY21-'NF - 5 Power Mix'!CIY22</f>
        <v>0</v>
      </c>
      <c r="CIZ42" s="1046">
        <f>CIZ38+((CIZ40+'NF - 5 Power Mix'!CIZ14+'NF - 5 Power Mix'!CIZ15)*860/10)+((('Form Sa1'!CJC835)*860)/10)+('Form Sa1'!CJC814*'Form Sa1'!CJC816/10)-'NF - 5 Power Mix'!CIZ21-'NF - 5 Power Mix'!CIZ22</f>
        <v>0</v>
      </c>
      <c r="CJA42" s="1046">
        <f>CJA38+((CJA40+'NF - 5 Power Mix'!CJA14+'NF - 5 Power Mix'!CJA15)*860/10)+((('Form Sa1'!CJD835)*860)/10)+('Form Sa1'!CJD814*'Form Sa1'!CJD816/10)-'NF - 5 Power Mix'!CJA21-'NF - 5 Power Mix'!CJA22</f>
        <v>0</v>
      </c>
      <c r="CJB42" s="1046">
        <f>CJB38+((CJB40+'NF - 5 Power Mix'!CJB14+'NF - 5 Power Mix'!CJB15)*860/10)+((('Form Sa1'!CJE835)*860)/10)+('Form Sa1'!CJE814*'Form Sa1'!CJE816/10)-'NF - 5 Power Mix'!CJB21-'NF - 5 Power Mix'!CJB22</f>
        <v>0</v>
      </c>
      <c r="CJC42" s="1046">
        <f>CJC38+((CJC40+'NF - 5 Power Mix'!CJC14+'NF - 5 Power Mix'!CJC15)*860/10)+((('Form Sa1'!CJF835)*860)/10)+('Form Sa1'!CJF814*'Form Sa1'!CJF816/10)-'NF - 5 Power Mix'!CJC21-'NF - 5 Power Mix'!CJC22</f>
        <v>0</v>
      </c>
      <c r="CJD42" s="1046">
        <f>CJD38+((CJD40+'NF - 5 Power Mix'!CJD14+'NF - 5 Power Mix'!CJD15)*860/10)+((('Form Sa1'!CJG835)*860)/10)+('Form Sa1'!CJG814*'Form Sa1'!CJG816/10)-'NF - 5 Power Mix'!CJD21-'NF - 5 Power Mix'!CJD22</f>
        <v>0</v>
      </c>
      <c r="CJE42" s="1046">
        <f>CJE38+((CJE40+'NF - 5 Power Mix'!CJE14+'NF - 5 Power Mix'!CJE15)*860/10)+((('Form Sa1'!CJH835)*860)/10)+('Form Sa1'!CJH814*'Form Sa1'!CJH816/10)-'NF - 5 Power Mix'!CJE21-'NF - 5 Power Mix'!CJE22</f>
        <v>0</v>
      </c>
      <c r="CJF42" s="1046">
        <f>CJF38+((CJF40+'NF - 5 Power Mix'!CJF14+'NF - 5 Power Mix'!CJF15)*860/10)+((('Form Sa1'!CJI835)*860)/10)+('Form Sa1'!CJI814*'Form Sa1'!CJI816/10)-'NF - 5 Power Mix'!CJF21-'NF - 5 Power Mix'!CJF22</f>
        <v>0</v>
      </c>
      <c r="CJG42" s="1046">
        <f>CJG38+((CJG40+'NF - 5 Power Mix'!CJG14+'NF - 5 Power Mix'!CJG15)*860/10)+((('Form Sa1'!CJJ835)*860)/10)+('Form Sa1'!CJJ814*'Form Sa1'!CJJ816/10)-'NF - 5 Power Mix'!CJG21-'NF - 5 Power Mix'!CJG22</f>
        <v>0</v>
      </c>
      <c r="CJH42" s="1046">
        <f>CJH38+((CJH40+'NF - 5 Power Mix'!CJH14+'NF - 5 Power Mix'!CJH15)*860/10)+((('Form Sa1'!CJK835)*860)/10)+('Form Sa1'!CJK814*'Form Sa1'!CJK816/10)-'NF - 5 Power Mix'!CJH21-'NF - 5 Power Mix'!CJH22</f>
        <v>0</v>
      </c>
      <c r="CJI42" s="1046">
        <f>CJI38+((CJI40+'NF - 5 Power Mix'!CJI14+'NF - 5 Power Mix'!CJI15)*860/10)+((('Form Sa1'!CJL835)*860)/10)+('Form Sa1'!CJL814*'Form Sa1'!CJL816/10)-'NF - 5 Power Mix'!CJI21-'NF - 5 Power Mix'!CJI22</f>
        <v>0</v>
      </c>
      <c r="CJJ42" s="1046">
        <f>CJJ38+((CJJ40+'NF - 5 Power Mix'!CJJ14+'NF - 5 Power Mix'!CJJ15)*860/10)+((('Form Sa1'!CJM835)*860)/10)+('Form Sa1'!CJM814*'Form Sa1'!CJM816/10)-'NF - 5 Power Mix'!CJJ21-'NF - 5 Power Mix'!CJJ22</f>
        <v>0</v>
      </c>
      <c r="CJK42" s="1046">
        <f>CJK38+((CJK40+'NF - 5 Power Mix'!CJK14+'NF - 5 Power Mix'!CJK15)*860/10)+((('Form Sa1'!CJN835)*860)/10)+('Form Sa1'!CJN814*'Form Sa1'!CJN816/10)-'NF - 5 Power Mix'!CJK21-'NF - 5 Power Mix'!CJK22</f>
        <v>0</v>
      </c>
      <c r="CJL42" s="1046">
        <f>CJL38+((CJL40+'NF - 5 Power Mix'!CJL14+'NF - 5 Power Mix'!CJL15)*860/10)+((('Form Sa1'!CJO835)*860)/10)+('Form Sa1'!CJO814*'Form Sa1'!CJO816/10)-'NF - 5 Power Mix'!CJL21-'NF - 5 Power Mix'!CJL22</f>
        <v>0</v>
      </c>
      <c r="CJM42" s="1046">
        <f>CJM38+((CJM40+'NF - 5 Power Mix'!CJM14+'NF - 5 Power Mix'!CJM15)*860/10)+((('Form Sa1'!CJP835)*860)/10)+('Form Sa1'!CJP814*'Form Sa1'!CJP816/10)-'NF - 5 Power Mix'!CJM21-'NF - 5 Power Mix'!CJM22</f>
        <v>0</v>
      </c>
      <c r="CJN42" s="1046">
        <f>CJN38+((CJN40+'NF - 5 Power Mix'!CJN14+'NF - 5 Power Mix'!CJN15)*860/10)+((('Form Sa1'!CJQ835)*860)/10)+('Form Sa1'!CJQ814*'Form Sa1'!CJQ816/10)-'NF - 5 Power Mix'!CJN21-'NF - 5 Power Mix'!CJN22</f>
        <v>0</v>
      </c>
      <c r="CJO42" s="1046">
        <f>CJO38+((CJO40+'NF - 5 Power Mix'!CJO14+'NF - 5 Power Mix'!CJO15)*860/10)+((('Form Sa1'!CJR835)*860)/10)+('Form Sa1'!CJR814*'Form Sa1'!CJR816/10)-'NF - 5 Power Mix'!CJO21-'NF - 5 Power Mix'!CJO22</f>
        <v>0</v>
      </c>
      <c r="CJP42" s="1046">
        <f>CJP38+((CJP40+'NF - 5 Power Mix'!CJP14+'NF - 5 Power Mix'!CJP15)*860/10)+((('Form Sa1'!CJS835)*860)/10)+('Form Sa1'!CJS814*'Form Sa1'!CJS816/10)-'NF - 5 Power Mix'!CJP21-'NF - 5 Power Mix'!CJP22</f>
        <v>0</v>
      </c>
      <c r="CJQ42" s="1046">
        <f>CJQ38+((CJQ40+'NF - 5 Power Mix'!CJQ14+'NF - 5 Power Mix'!CJQ15)*860/10)+((('Form Sa1'!CJT835)*860)/10)+('Form Sa1'!CJT814*'Form Sa1'!CJT816/10)-'NF - 5 Power Mix'!CJQ21-'NF - 5 Power Mix'!CJQ22</f>
        <v>0</v>
      </c>
      <c r="CJR42" s="1046">
        <f>CJR38+((CJR40+'NF - 5 Power Mix'!CJR14+'NF - 5 Power Mix'!CJR15)*860/10)+((('Form Sa1'!CJU835)*860)/10)+('Form Sa1'!CJU814*'Form Sa1'!CJU816/10)-'NF - 5 Power Mix'!CJR21-'NF - 5 Power Mix'!CJR22</f>
        <v>0</v>
      </c>
      <c r="CJS42" s="1046">
        <f>CJS38+((CJS40+'NF - 5 Power Mix'!CJS14+'NF - 5 Power Mix'!CJS15)*860/10)+((('Form Sa1'!CJV835)*860)/10)+('Form Sa1'!CJV814*'Form Sa1'!CJV816/10)-'NF - 5 Power Mix'!CJS21-'NF - 5 Power Mix'!CJS22</f>
        <v>0</v>
      </c>
      <c r="CJT42" s="1046">
        <f>CJT38+((CJT40+'NF - 5 Power Mix'!CJT14+'NF - 5 Power Mix'!CJT15)*860/10)+((('Form Sa1'!CJW835)*860)/10)+('Form Sa1'!CJW814*'Form Sa1'!CJW816/10)-'NF - 5 Power Mix'!CJT21-'NF - 5 Power Mix'!CJT22</f>
        <v>0</v>
      </c>
      <c r="CJU42" s="1046">
        <f>CJU38+((CJU40+'NF - 5 Power Mix'!CJU14+'NF - 5 Power Mix'!CJU15)*860/10)+((('Form Sa1'!CJX835)*860)/10)+('Form Sa1'!CJX814*'Form Sa1'!CJX816/10)-'NF - 5 Power Mix'!CJU21-'NF - 5 Power Mix'!CJU22</f>
        <v>0</v>
      </c>
      <c r="CJV42" s="1046">
        <f>CJV38+((CJV40+'NF - 5 Power Mix'!CJV14+'NF - 5 Power Mix'!CJV15)*860/10)+((('Form Sa1'!CJY835)*860)/10)+('Form Sa1'!CJY814*'Form Sa1'!CJY816/10)-'NF - 5 Power Mix'!CJV21-'NF - 5 Power Mix'!CJV22</f>
        <v>0</v>
      </c>
      <c r="CJW42" s="1046">
        <f>CJW38+((CJW40+'NF - 5 Power Mix'!CJW14+'NF - 5 Power Mix'!CJW15)*860/10)+((('Form Sa1'!CJZ835)*860)/10)+('Form Sa1'!CJZ814*'Form Sa1'!CJZ816/10)-'NF - 5 Power Mix'!CJW21-'NF - 5 Power Mix'!CJW22</f>
        <v>0</v>
      </c>
      <c r="CJX42" s="1046">
        <f>CJX38+((CJX40+'NF - 5 Power Mix'!CJX14+'NF - 5 Power Mix'!CJX15)*860/10)+((('Form Sa1'!CKA835)*860)/10)+('Form Sa1'!CKA814*'Form Sa1'!CKA816/10)-'NF - 5 Power Mix'!CJX21-'NF - 5 Power Mix'!CJX22</f>
        <v>0</v>
      </c>
      <c r="CJY42" s="1046">
        <f>CJY38+((CJY40+'NF - 5 Power Mix'!CJY14+'NF - 5 Power Mix'!CJY15)*860/10)+((('Form Sa1'!CKB835)*860)/10)+('Form Sa1'!CKB814*'Form Sa1'!CKB816/10)-'NF - 5 Power Mix'!CJY21-'NF - 5 Power Mix'!CJY22</f>
        <v>0</v>
      </c>
      <c r="CJZ42" s="1046">
        <f>CJZ38+((CJZ40+'NF - 5 Power Mix'!CJZ14+'NF - 5 Power Mix'!CJZ15)*860/10)+((('Form Sa1'!CKC835)*860)/10)+('Form Sa1'!CKC814*'Form Sa1'!CKC816/10)-'NF - 5 Power Mix'!CJZ21-'NF - 5 Power Mix'!CJZ22</f>
        <v>0</v>
      </c>
      <c r="CKA42" s="1046">
        <f>CKA38+((CKA40+'NF - 5 Power Mix'!CKA14+'NF - 5 Power Mix'!CKA15)*860/10)+((('Form Sa1'!CKD835)*860)/10)+('Form Sa1'!CKD814*'Form Sa1'!CKD816/10)-'NF - 5 Power Mix'!CKA21-'NF - 5 Power Mix'!CKA22</f>
        <v>0</v>
      </c>
      <c r="CKB42" s="1046">
        <f>CKB38+((CKB40+'NF - 5 Power Mix'!CKB14+'NF - 5 Power Mix'!CKB15)*860/10)+((('Form Sa1'!CKE835)*860)/10)+('Form Sa1'!CKE814*'Form Sa1'!CKE816/10)-'NF - 5 Power Mix'!CKB21-'NF - 5 Power Mix'!CKB22</f>
        <v>0</v>
      </c>
      <c r="CKC42" s="1046">
        <f>CKC38+((CKC40+'NF - 5 Power Mix'!CKC14+'NF - 5 Power Mix'!CKC15)*860/10)+((('Form Sa1'!CKF835)*860)/10)+('Form Sa1'!CKF814*'Form Sa1'!CKF816/10)-'NF - 5 Power Mix'!CKC21-'NF - 5 Power Mix'!CKC22</f>
        <v>0</v>
      </c>
      <c r="CKD42" s="1046">
        <f>CKD38+((CKD40+'NF - 5 Power Mix'!CKD14+'NF - 5 Power Mix'!CKD15)*860/10)+((('Form Sa1'!CKG835)*860)/10)+('Form Sa1'!CKG814*'Form Sa1'!CKG816/10)-'NF - 5 Power Mix'!CKD21-'NF - 5 Power Mix'!CKD22</f>
        <v>0</v>
      </c>
      <c r="CKE42" s="1046">
        <f>CKE38+((CKE40+'NF - 5 Power Mix'!CKE14+'NF - 5 Power Mix'!CKE15)*860/10)+((('Form Sa1'!CKH835)*860)/10)+('Form Sa1'!CKH814*'Form Sa1'!CKH816/10)-'NF - 5 Power Mix'!CKE21-'NF - 5 Power Mix'!CKE22</f>
        <v>0</v>
      </c>
      <c r="CKF42" s="1046">
        <f>CKF38+((CKF40+'NF - 5 Power Mix'!CKF14+'NF - 5 Power Mix'!CKF15)*860/10)+((('Form Sa1'!CKI835)*860)/10)+('Form Sa1'!CKI814*'Form Sa1'!CKI816/10)-'NF - 5 Power Mix'!CKF21-'NF - 5 Power Mix'!CKF22</f>
        <v>0</v>
      </c>
      <c r="CKG42" s="1046">
        <f>CKG38+((CKG40+'NF - 5 Power Mix'!CKG14+'NF - 5 Power Mix'!CKG15)*860/10)+((('Form Sa1'!CKJ835)*860)/10)+('Form Sa1'!CKJ814*'Form Sa1'!CKJ816/10)-'NF - 5 Power Mix'!CKG21-'NF - 5 Power Mix'!CKG22</f>
        <v>0</v>
      </c>
      <c r="CKH42" s="1046">
        <f>CKH38+((CKH40+'NF - 5 Power Mix'!CKH14+'NF - 5 Power Mix'!CKH15)*860/10)+((('Form Sa1'!CKK835)*860)/10)+('Form Sa1'!CKK814*'Form Sa1'!CKK816/10)-'NF - 5 Power Mix'!CKH21-'NF - 5 Power Mix'!CKH22</f>
        <v>0</v>
      </c>
      <c r="CKI42" s="1046">
        <f>CKI38+((CKI40+'NF - 5 Power Mix'!CKI14+'NF - 5 Power Mix'!CKI15)*860/10)+((('Form Sa1'!CKL835)*860)/10)+('Form Sa1'!CKL814*'Form Sa1'!CKL816/10)-'NF - 5 Power Mix'!CKI21-'NF - 5 Power Mix'!CKI22</f>
        <v>0</v>
      </c>
      <c r="CKJ42" s="1046">
        <f>CKJ38+((CKJ40+'NF - 5 Power Mix'!CKJ14+'NF - 5 Power Mix'!CKJ15)*860/10)+((('Form Sa1'!CKM835)*860)/10)+('Form Sa1'!CKM814*'Form Sa1'!CKM816/10)-'NF - 5 Power Mix'!CKJ21-'NF - 5 Power Mix'!CKJ22</f>
        <v>0</v>
      </c>
      <c r="CKK42" s="1046">
        <f>CKK38+((CKK40+'NF - 5 Power Mix'!CKK14+'NF - 5 Power Mix'!CKK15)*860/10)+((('Form Sa1'!CKN835)*860)/10)+('Form Sa1'!CKN814*'Form Sa1'!CKN816/10)-'NF - 5 Power Mix'!CKK21-'NF - 5 Power Mix'!CKK22</f>
        <v>0</v>
      </c>
      <c r="CKL42" s="1046">
        <f>CKL38+((CKL40+'NF - 5 Power Mix'!CKL14+'NF - 5 Power Mix'!CKL15)*860/10)+((('Form Sa1'!CKO835)*860)/10)+('Form Sa1'!CKO814*'Form Sa1'!CKO816/10)-'NF - 5 Power Mix'!CKL21-'NF - 5 Power Mix'!CKL22</f>
        <v>0</v>
      </c>
      <c r="CKM42" s="1046">
        <f>CKM38+((CKM40+'NF - 5 Power Mix'!CKM14+'NF - 5 Power Mix'!CKM15)*860/10)+((('Form Sa1'!CKP835)*860)/10)+('Form Sa1'!CKP814*'Form Sa1'!CKP816/10)-'NF - 5 Power Mix'!CKM21-'NF - 5 Power Mix'!CKM22</f>
        <v>0</v>
      </c>
      <c r="CKN42" s="1046">
        <f>CKN38+((CKN40+'NF - 5 Power Mix'!CKN14+'NF - 5 Power Mix'!CKN15)*860/10)+((('Form Sa1'!CKQ835)*860)/10)+('Form Sa1'!CKQ814*'Form Sa1'!CKQ816/10)-'NF - 5 Power Mix'!CKN21-'NF - 5 Power Mix'!CKN22</f>
        <v>0</v>
      </c>
      <c r="CKO42" s="1046">
        <f>CKO38+((CKO40+'NF - 5 Power Mix'!CKO14+'NF - 5 Power Mix'!CKO15)*860/10)+((('Form Sa1'!CKR835)*860)/10)+('Form Sa1'!CKR814*'Form Sa1'!CKR816/10)-'NF - 5 Power Mix'!CKO21-'NF - 5 Power Mix'!CKO22</f>
        <v>0</v>
      </c>
      <c r="CKP42" s="1046">
        <f>CKP38+((CKP40+'NF - 5 Power Mix'!CKP14+'NF - 5 Power Mix'!CKP15)*860/10)+((('Form Sa1'!CKS835)*860)/10)+('Form Sa1'!CKS814*'Form Sa1'!CKS816/10)-'NF - 5 Power Mix'!CKP21-'NF - 5 Power Mix'!CKP22</f>
        <v>0</v>
      </c>
      <c r="CKQ42" s="1046">
        <f>CKQ38+((CKQ40+'NF - 5 Power Mix'!CKQ14+'NF - 5 Power Mix'!CKQ15)*860/10)+((('Form Sa1'!CKT835)*860)/10)+('Form Sa1'!CKT814*'Form Sa1'!CKT816/10)-'NF - 5 Power Mix'!CKQ21-'NF - 5 Power Mix'!CKQ22</f>
        <v>0</v>
      </c>
      <c r="CKR42" s="1046">
        <f>CKR38+((CKR40+'NF - 5 Power Mix'!CKR14+'NF - 5 Power Mix'!CKR15)*860/10)+((('Form Sa1'!CKU835)*860)/10)+('Form Sa1'!CKU814*'Form Sa1'!CKU816/10)-'NF - 5 Power Mix'!CKR21-'NF - 5 Power Mix'!CKR22</f>
        <v>0</v>
      </c>
      <c r="CKS42" s="1046">
        <f>CKS38+((CKS40+'NF - 5 Power Mix'!CKS14+'NF - 5 Power Mix'!CKS15)*860/10)+((('Form Sa1'!CKV835)*860)/10)+('Form Sa1'!CKV814*'Form Sa1'!CKV816/10)-'NF - 5 Power Mix'!CKS21-'NF - 5 Power Mix'!CKS22</f>
        <v>0</v>
      </c>
      <c r="CKT42" s="1046">
        <f>CKT38+((CKT40+'NF - 5 Power Mix'!CKT14+'NF - 5 Power Mix'!CKT15)*860/10)+((('Form Sa1'!CKW835)*860)/10)+('Form Sa1'!CKW814*'Form Sa1'!CKW816/10)-'NF - 5 Power Mix'!CKT21-'NF - 5 Power Mix'!CKT22</f>
        <v>0</v>
      </c>
      <c r="CKU42" s="1046">
        <f>CKU38+((CKU40+'NF - 5 Power Mix'!CKU14+'NF - 5 Power Mix'!CKU15)*860/10)+((('Form Sa1'!CKX835)*860)/10)+('Form Sa1'!CKX814*'Form Sa1'!CKX816/10)-'NF - 5 Power Mix'!CKU21-'NF - 5 Power Mix'!CKU22</f>
        <v>0</v>
      </c>
      <c r="CKV42" s="1046">
        <f>CKV38+((CKV40+'NF - 5 Power Mix'!CKV14+'NF - 5 Power Mix'!CKV15)*860/10)+((('Form Sa1'!CKY835)*860)/10)+('Form Sa1'!CKY814*'Form Sa1'!CKY816/10)-'NF - 5 Power Mix'!CKV21-'NF - 5 Power Mix'!CKV22</f>
        <v>0</v>
      </c>
      <c r="CKW42" s="1046">
        <f>CKW38+((CKW40+'NF - 5 Power Mix'!CKW14+'NF - 5 Power Mix'!CKW15)*860/10)+((('Form Sa1'!CKZ835)*860)/10)+('Form Sa1'!CKZ814*'Form Sa1'!CKZ816/10)-'NF - 5 Power Mix'!CKW21-'NF - 5 Power Mix'!CKW22</f>
        <v>0</v>
      </c>
      <c r="CKX42" s="1046">
        <f>CKX38+((CKX40+'NF - 5 Power Mix'!CKX14+'NF - 5 Power Mix'!CKX15)*860/10)+((('Form Sa1'!CLA835)*860)/10)+('Form Sa1'!CLA814*'Form Sa1'!CLA816/10)-'NF - 5 Power Mix'!CKX21-'NF - 5 Power Mix'!CKX22</f>
        <v>0</v>
      </c>
      <c r="CKY42" s="1046">
        <f>CKY38+((CKY40+'NF - 5 Power Mix'!CKY14+'NF - 5 Power Mix'!CKY15)*860/10)+((('Form Sa1'!CLB835)*860)/10)+('Form Sa1'!CLB814*'Form Sa1'!CLB816/10)-'NF - 5 Power Mix'!CKY21-'NF - 5 Power Mix'!CKY22</f>
        <v>0</v>
      </c>
      <c r="CKZ42" s="1046">
        <f>CKZ38+((CKZ40+'NF - 5 Power Mix'!CKZ14+'NF - 5 Power Mix'!CKZ15)*860/10)+((('Form Sa1'!CLC835)*860)/10)+('Form Sa1'!CLC814*'Form Sa1'!CLC816/10)-'NF - 5 Power Mix'!CKZ21-'NF - 5 Power Mix'!CKZ22</f>
        <v>0</v>
      </c>
      <c r="CLA42" s="1046">
        <f>CLA38+((CLA40+'NF - 5 Power Mix'!CLA14+'NF - 5 Power Mix'!CLA15)*860/10)+((('Form Sa1'!CLD835)*860)/10)+('Form Sa1'!CLD814*'Form Sa1'!CLD816/10)-'NF - 5 Power Mix'!CLA21-'NF - 5 Power Mix'!CLA22</f>
        <v>0</v>
      </c>
      <c r="CLB42" s="1046">
        <f>CLB38+((CLB40+'NF - 5 Power Mix'!CLB14+'NF - 5 Power Mix'!CLB15)*860/10)+((('Form Sa1'!CLE835)*860)/10)+('Form Sa1'!CLE814*'Form Sa1'!CLE816/10)-'NF - 5 Power Mix'!CLB21-'NF - 5 Power Mix'!CLB22</f>
        <v>0</v>
      </c>
      <c r="CLC42" s="1046">
        <f>CLC38+((CLC40+'NF - 5 Power Mix'!CLC14+'NF - 5 Power Mix'!CLC15)*860/10)+((('Form Sa1'!CLF835)*860)/10)+('Form Sa1'!CLF814*'Form Sa1'!CLF816/10)-'NF - 5 Power Mix'!CLC21-'NF - 5 Power Mix'!CLC22</f>
        <v>0</v>
      </c>
      <c r="CLD42" s="1046">
        <f>CLD38+((CLD40+'NF - 5 Power Mix'!CLD14+'NF - 5 Power Mix'!CLD15)*860/10)+((('Form Sa1'!CLG835)*860)/10)+('Form Sa1'!CLG814*'Form Sa1'!CLG816/10)-'NF - 5 Power Mix'!CLD21-'NF - 5 Power Mix'!CLD22</f>
        <v>0</v>
      </c>
      <c r="CLE42" s="1046">
        <f>CLE38+((CLE40+'NF - 5 Power Mix'!CLE14+'NF - 5 Power Mix'!CLE15)*860/10)+((('Form Sa1'!CLH835)*860)/10)+('Form Sa1'!CLH814*'Form Sa1'!CLH816/10)-'NF - 5 Power Mix'!CLE21-'NF - 5 Power Mix'!CLE22</f>
        <v>0</v>
      </c>
      <c r="CLF42" s="1046">
        <f>CLF38+((CLF40+'NF - 5 Power Mix'!CLF14+'NF - 5 Power Mix'!CLF15)*860/10)+((('Form Sa1'!CLI835)*860)/10)+('Form Sa1'!CLI814*'Form Sa1'!CLI816/10)-'NF - 5 Power Mix'!CLF21-'NF - 5 Power Mix'!CLF22</f>
        <v>0</v>
      </c>
      <c r="CLG42" s="1046">
        <f>CLG38+((CLG40+'NF - 5 Power Mix'!CLG14+'NF - 5 Power Mix'!CLG15)*860/10)+((('Form Sa1'!CLJ835)*860)/10)+('Form Sa1'!CLJ814*'Form Sa1'!CLJ816/10)-'NF - 5 Power Mix'!CLG21-'NF - 5 Power Mix'!CLG22</f>
        <v>0</v>
      </c>
      <c r="CLH42" s="1046">
        <f>CLH38+((CLH40+'NF - 5 Power Mix'!CLH14+'NF - 5 Power Mix'!CLH15)*860/10)+((('Form Sa1'!CLK835)*860)/10)+('Form Sa1'!CLK814*'Form Sa1'!CLK816/10)-'NF - 5 Power Mix'!CLH21-'NF - 5 Power Mix'!CLH22</f>
        <v>0</v>
      </c>
      <c r="CLI42" s="1046">
        <f>CLI38+((CLI40+'NF - 5 Power Mix'!CLI14+'NF - 5 Power Mix'!CLI15)*860/10)+((('Form Sa1'!CLL835)*860)/10)+('Form Sa1'!CLL814*'Form Sa1'!CLL816/10)-'NF - 5 Power Mix'!CLI21-'NF - 5 Power Mix'!CLI22</f>
        <v>0</v>
      </c>
      <c r="CLJ42" s="1046">
        <f>CLJ38+((CLJ40+'NF - 5 Power Mix'!CLJ14+'NF - 5 Power Mix'!CLJ15)*860/10)+((('Form Sa1'!CLM835)*860)/10)+('Form Sa1'!CLM814*'Form Sa1'!CLM816/10)-'NF - 5 Power Mix'!CLJ21-'NF - 5 Power Mix'!CLJ22</f>
        <v>0</v>
      </c>
      <c r="CLK42" s="1046">
        <f>CLK38+((CLK40+'NF - 5 Power Mix'!CLK14+'NF - 5 Power Mix'!CLK15)*860/10)+((('Form Sa1'!CLN835)*860)/10)+('Form Sa1'!CLN814*'Form Sa1'!CLN816/10)-'NF - 5 Power Mix'!CLK21-'NF - 5 Power Mix'!CLK22</f>
        <v>0</v>
      </c>
      <c r="CLL42" s="1046">
        <f>CLL38+((CLL40+'NF - 5 Power Mix'!CLL14+'NF - 5 Power Mix'!CLL15)*860/10)+((('Form Sa1'!CLO835)*860)/10)+('Form Sa1'!CLO814*'Form Sa1'!CLO816/10)-'NF - 5 Power Mix'!CLL21-'NF - 5 Power Mix'!CLL22</f>
        <v>0</v>
      </c>
      <c r="CLM42" s="1046">
        <f>CLM38+((CLM40+'NF - 5 Power Mix'!CLM14+'NF - 5 Power Mix'!CLM15)*860/10)+((('Form Sa1'!CLP835)*860)/10)+('Form Sa1'!CLP814*'Form Sa1'!CLP816/10)-'NF - 5 Power Mix'!CLM21-'NF - 5 Power Mix'!CLM22</f>
        <v>0</v>
      </c>
      <c r="CLN42" s="1046">
        <f>CLN38+((CLN40+'NF - 5 Power Mix'!CLN14+'NF - 5 Power Mix'!CLN15)*860/10)+((('Form Sa1'!CLQ835)*860)/10)+('Form Sa1'!CLQ814*'Form Sa1'!CLQ816/10)-'NF - 5 Power Mix'!CLN21-'NF - 5 Power Mix'!CLN22</f>
        <v>0</v>
      </c>
      <c r="CLO42" s="1046">
        <f>CLO38+((CLO40+'NF - 5 Power Mix'!CLO14+'NF - 5 Power Mix'!CLO15)*860/10)+((('Form Sa1'!CLR835)*860)/10)+('Form Sa1'!CLR814*'Form Sa1'!CLR816/10)-'NF - 5 Power Mix'!CLO21-'NF - 5 Power Mix'!CLO22</f>
        <v>0</v>
      </c>
      <c r="CLP42" s="1046">
        <f>CLP38+((CLP40+'NF - 5 Power Mix'!CLP14+'NF - 5 Power Mix'!CLP15)*860/10)+((('Form Sa1'!CLS835)*860)/10)+('Form Sa1'!CLS814*'Form Sa1'!CLS816/10)-'NF - 5 Power Mix'!CLP21-'NF - 5 Power Mix'!CLP22</f>
        <v>0</v>
      </c>
      <c r="CLQ42" s="1046">
        <f>CLQ38+((CLQ40+'NF - 5 Power Mix'!CLQ14+'NF - 5 Power Mix'!CLQ15)*860/10)+((('Form Sa1'!CLT835)*860)/10)+('Form Sa1'!CLT814*'Form Sa1'!CLT816/10)-'NF - 5 Power Mix'!CLQ21-'NF - 5 Power Mix'!CLQ22</f>
        <v>0</v>
      </c>
      <c r="CLR42" s="1046">
        <f>CLR38+((CLR40+'NF - 5 Power Mix'!CLR14+'NF - 5 Power Mix'!CLR15)*860/10)+((('Form Sa1'!CLU835)*860)/10)+('Form Sa1'!CLU814*'Form Sa1'!CLU816/10)-'NF - 5 Power Mix'!CLR21-'NF - 5 Power Mix'!CLR22</f>
        <v>0</v>
      </c>
      <c r="CLS42" s="1046">
        <f>CLS38+((CLS40+'NF - 5 Power Mix'!CLS14+'NF - 5 Power Mix'!CLS15)*860/10)+((('Form Sa1'!CLV835)*860)/10)+('Form Sa1'!CLV814*'Form Sa1'!CLV816/10)-'NF - 5 Power Mix'!CLS21-'NF - 5 Power Mix'!CLS22</f>
        <v>0</v>
      </c>
      <c r="CLT42" s="1046">
        <f>CLT38+((CLT40+'NF - 5 Power Mix'!CLT14+'NF - 5 Power Mix'!CLT15)*860/10)+((('Form Sa1'!CLW835)*860)/10)+('Form Sa1'!CLW814*'Form Sa1'!CLW816/10)-'NF - 5 Power Mix'!CLT21-'NF - 5 Power Mix'!CLT22</f>
        <v>0</v>
      </c>
      <c r="CLU42" s="1046">
        <f>CLU38+((CLU40+'NF - 5 Power Mix'!CLU14+'NF - 5 Power Mix'!CLU15)*860/10)+((('Form Sa1'!CLX835)*860)/10)+('Form Sa1'!CLX814*'Form Sa1'!CLX816/10)-'NF - 5 Power Mix'!CLU21-'NF - 5 Power Mix'!CLU22</f>
        <v>0</v>
      </c>
      <c r="CLV42" s="1046">
        <f>CLV38+((CLV40+'NF - 5 Power Mix'!CLV14+'NF - 5 Power Mix'!CLV15)*860/10)+((('Form Sa1'!CLY835)*860)/10)+('Form Sa1'!CLY814*'Form Sa1'!CLY816/10)-'NF - 5 Power Mix'!CLV21-'NF - 5 Power Mix'!CLV22</f>
        <v>0</v>
      </c>
      <c r="CLW42" s="1046">
        <f>CLW38+((CLW40+'NF - 5 Power Mix'!CLW14+'NF - 5 Power Mix'!CLW15)*860/10)+((('Form Sa1'!CLZ835)*860)/10)+('Form Sa1'!CLZ814*'Form Sa1'!CLZ816/10)-'NF - 5 Power Mix'!CLW21-'NF - 5 Power Mix'!CLW22</f>
        <v>0</v>
      </c>
      <c r="CLX42" s="1046">
        <f>CLX38+((CLX40+'NF - 5 Power Mix'!CLX14+'NF - 5 Power Mix'!CLX15)*860/10)+((('Form Sa1'!CMA835)*860)/10)+('Form Sa1'!CMA814*'Form Sa1'!CMA816/10)-'NF - 5 Power Mix'!CLX21-'NF - 5 Power Mix'!CLX22</f>
        <v>0</v>
      </c>
      <c r="CLY42" s="1046">
        <f>CLY38+((CLY40+'NF - 5 Power Mix'!CLY14+'NF - 5 Power Mix'!CLY15)*860/10)+((('Form Sa1'!CMB835)*860)/10)+('Form Sa1'!CMB814*'Form Sa1'!CMB816/10)-'NF - 5 Power Mix'!CLY21-'NF - 5 Power Mix'!CLY22</f>
        <v>0</v>
      </c>
      <c r="CLZ42" s="1046">
        <f>CLZ38+((CLZ40+'NF - 5 Power Mix'!CLZ14+'NF - 5 Power Mix'!CLZ15)*860/10)+((('Form Sa1'!CMC835)*860)/10)+('Form Sa1'!CMC814*'Form Sa1'!CMC816/10)-'NF - 5 Power Mix'!CLZ21-'NF - 5 Power Mix'!CLZ22</f>
        <v>0</v>
      </c>
      <c r="CMA42" s="1046">
        <f>CMA38+((CMA40+'NF - 5 Power Mix'!CMA14+'NF - 5 Power Mix'!CMA15)*860/10)+((('Form Sa1'!CMD835)*860)/10)+('Form Sa1'!CMD814*'Form Sa1'!CMD816/10)-'NF - 5 Power Mix'!CMA21-'NF - 5 Power Mix'!CMA22</f>
        <v>0</v>
      </c>
      <c r="CMB42" s="1046">
        <f>CMB38+((CMB40+'NF - 5 Power Mix'!CMB14+'NF - 5 Power Mix'!CMB15)*860/10)+((('Form Sa1'!CME835)*860)/10)+('Form Sa1'!CME814*'Form Sa1'!CME816/10)-'NF - 5 Power Mix'!CMB21-'NF - 5 Power Mix'!CMB22</f>
        <v>0</v>
      </c>
      <c r="CMC42" s="1046">
        <f>CMC38+((CMC40+'NF - 5 Power Mix'!CMC14+'NF - 5 Power Mix'!CMC15)*860/10)+((('Form Sa1'!CMF835)*860)/10)+('Form Sa1'!CMF814*'Form Sa1'!CMF816/10)-'NF - 5 Power Mix'!CMC21-'NF - 5 Power Mix'!CMC22</f>
        <v>0</v>
      </c>
      <c r="CMD42" s="1046">
        <f>CMD38+((CMD40+'NF - 5 Power Mix'!CMD14+'NF - 5 Power Mix'!CMD15)*860/10)+((('Form Sa1'!CMG835)*860)/10)+('Form Sa1'!CMG814*'Form Sa1'!CMG816/10)-'NF - 5 Power Mix'!CMD21-'NF - 5 Power Mix'!CMD22</f>
        <v>0</v>
      </c>
      <c r="CME42" s="1046">
        <f>CME38+((CME40+'NF - 5 Power Mix'!CME14+'NF - 5 Power Mix'!CME15)*860/10)+((('Form Sa1'!CMH835)*860)/10)+('Form Sa1'!CMH814*'Form Sa1'!CMH816/10)-'NF - 5 Power Mix'!CME21-'NF - 5 Power Mix'!CME22</f>
        <v>0</v>
      </c>
      <c r="CMF42" s="1046">
        <f>CMF38+((CMF40+'NF - 5 Power Mix'!CMF14+'NF - 5 Power Mix'!CMF15)*860/10)+((('Form Sa1'!CMI835)*860)/10)+('Form Sa1'!CMI814*'Form Sa1'!CMI816/10)-'NF - 5 Power Mix'!CMF21-'NF - 5 Power Mix'!CMF22</f>
        <v>0</v>
      </c>
      <c r="CMG42" s="1046">
        <f>CMG38+((CMG40+'NF - 5 Power Mix'!CMG14+'NF - 5 Power Mix'!CMG15)*860/10)+((('Form Sa1'!CMJ835)*860)/10)+('Form Sa1'!CMJ814*'Form Sa1'!CMJ816/10)-'NF - 5 Power Mix'!CMG21-'NF - 5 Power Mix'!CMG22</f>
        <v>0</v>
      </c>
      <c r="CMH42" s="1046">
        <f>CMH38+((CMH40+'NF - 5 Power Mix'!CMH14+'NF - 5 Power Mix'!CMH15)*860/10)+((('Form Sa1'!CMK835)*860)/10)+('Form Sa1'!CMK814*'Form Sa1'!CMK816/10)-'NF - 5 Power Mix'!CMH21-'NF - 5 Power Mix'!CMH22</f>
        <v>0</v>
      </c>
      <c r="CMI42" s="1046">
        <f>CMI38+((CMI40+'NF - 5 Power Mix'!CMI14+'NF - 5 Power Mix'!CMI15)*860/10)+((('Form Sa1'!CML835)*860)/10)+('Form Sa1'!CML814*'Form Sa1'!CML816/10)-'NF - 5 Power Mix'!CMI21-'NF - 5 Power Mix'!CMI22</f>
        <v>0</v>
      </c>
      <c r="CMJ42" s="1046">
        <f>CMJ38+((CMJ40+'NF - 5 Power Mix'!CMJ14+'NF - 5 Power Mix'!CMJ15)*860/10)+((('Form Sa1'!CMM835)*860)/10)+('Form Sa1'!CMM814*'Form Sa1'!CMM816/10)-'NF - 5 Power Mix'!CMJ21-'NF - 5 Power Mix'!CMJ22</f>
        <v>0</v>
      </c>
      <c r="CMK42" s="1046">
        <f>CMK38+((CMK40+'NF - 5 Power Mix'!CMK14+'NF - 5 Power Mix'!CMK15)*860/10)+((('Form Sa1'!CMN835)*860)/10)+('Form Sa1'!CMN814*'Form Sa1'!CMN816/10)-'NF - 5 Power Mix'!CMK21-'NF - 5 Power Mix'!CMK22</f>
        <v>0</v>
      </c>
      <c r="CML42" s="1046">
        <f>CML38+((CML40+'NF - 5 Power Mix'!CML14+'NF - 5 Power Mix'!CML15)*860/10)+((('Form Sa1'!CMO835)*860)/10)+('Form Sa1'!CMO814*'Form Sa1'!CMO816/10)-'NF - 5 Power Mix'!CML21-'NF - 5 Power Mix'!CML22</f>
        <v>0</v>
      </c>
      <c r="CMM42" s="1046">
        <f>CMM38+((CMM40+'NF - 5 Power Mix'!CMM14+'NF - 5 Power Mix'!CMM15)*860/10)+((('Form Sa1'!CMP835)*860)/10)+('Form Sa1'!CMP814*'Form Sa1'!CMP816/10)-'NF - 5 Power Mix'!CMM21-'NF - 5 Power Mix'!CMM22</f>
        <v>0</v>
      </c>
      <c r="CMN42" s="1046">
        <f>CMN38+((CMN40+'NF - 5 Power Mix'!CMN14+'NF - 5 Power Mix'!CMN15)*860/10)+((('Form Sa1'!CMQ835)*860)/10)+('Form Sa1'!CMQ814*'Form Sa1'!CMQ816/10)-'NF - 5 Power Mix'!CMN21-'NF - 5 Power Mix'!CMN22</f>
        <v>0</v>
      </c>
      <c r="CMO42" s="1046">
        <f>CMO38+((CMO40+'NF - 5 Power Mix'!CMO14+'NF - 5 Power Mix'!CMO15)*860/10)+((('Form Sa1'!CMR835)*860)/10)+('Form Sa1'!CMR814*'Form Sa1'!CMR816/10)-'NF - 5 Power Mix'!CMO21-'NF - 5 Power Mix'!CMO22</f>
        <v>0</v>
      </c>
      <c r="CMP42" s="1046">
        <f>CMP38+((CMP40+'NF - 5 Power Mix'!CMP14+'NF - 5 Power Mix'!CMP15)*860/10)+((('Form Sa1'!CMS835)*860)/10)+('Form Sa1'!CMS814*'Form Sa1'!CMS816/10)-'NF - 5 Power Mix'!CMP21-'NF - 5 Power Mix'!CMP22</f>
        <v>0</v>
      </c>
      <c r="CMQ42" s="1046">
        <f>CMQ38+((CMQ40+'NF - 5 Power Mix'!CMQ14+'NF - 5 Power Mix'!CMQ15)*860/10)+((('Form Sa1'!CMT835)*860)/10)+('Form Sa1'!CMT814*'Form Sa1'!CMT816/10)-'NF - 5 Power Mix'!CMQ21-'NF - 5 Power Mix'!CMQ22</f>
        <v>0</v>
      </c>
      <c r="CMR42" s="1046">
        <f>CMR38+((CMR40+'NF - 5 Power Mix'!CMR14+'NF - 5 Power Mix'!CMR15)*860/10)+((('Form Sa1'!CMU835)*860)/10)+('Form Sa1'!CMU814*'Form Sa1'!CMU816/10)-'NF - 5 Power Mix'!CMR21-'NF - 5 Power Mix'!CMR22</f>
        <v>0</v>
      </c>
      <c r="CMS42" s="1046">
        <f>CMS38+((CMS40+'NF - 5 Power Mix'!CMS14+'NF - 5 Power Mix'!CMS15)*860/10)+((('Form Sa1'!CMV835)*860)/10)+('Form Sa1'!CMV814*'Form Sa1'!CMV816/10)-'NF - 5 Power Mix'!CMS21-'NF - 5 Power Mix'!CMS22</f>
        <v>0</v>
      </c>
      <c r="CMT42" s="1046">
        <f>CMT38+((CMT40+'NF - 5 Power Mix'!CMT14+'NF - 5 Power Mix'!CMT15)*860/10)+((('Form Sa1'!CMW835)*860)/10)+('Form Sa1'!CMW814*'Form Sa1'!CMW816/10)-'NF - 5 Power Mix'!CMT21-'NF - 5 Power Mix'!CMT22</f>
        <v>0</v>
      </c>
      <c r="CMU42" s="1046">
        <f>CMU38+((CMU40+'NF - 5 Power Mix'!CMU14+'NF - 5 Power Mix'!CMU15)*860/10)+((('Form Sa1'!CMX835)*860)/10)+('Form Sa1'!CMX814*'Form Sa1'!CMX816/10)-'NF - 5 Power Mix'!CMU21-'NF - 5 Power Mix'!CMU22</f>
        <v>0</v>
      </c>
      <c r="CMV42" s="1046">
        <f>CMV38+((CMV40+'NF - 5 Power Mix'!CMV14+'NF - 5 Power Mix'!CMV15)*860/10)+((('Form Sa1'!CMY835)*860)/10)+('Form Sa1'!CMY814*'Form Sa1'!CMY816/10)-'NF - 5 Power Mix'!CMV21-'NF - 5 Power Mix'!CMV22</f>
        <v>0</v>
      </c>
      <c r="CMW42" s="1046">
        <f>CMW38+((CMW40+'NF - 5 Power Mix'!CMW14+'NF - 5 Power Mix'!CMW15)*860/10)+((('Form Sa1'!CMZ835)*860)/10)+('Form Sa1'!CMZ814*'Form Sa1'!CMZ816/10)-'NF - 5 Power Mix'!CMW21-'NF - 5 Power Mix'!CMW22</f>
        <v>0</v>
      </c>
      <c r="CMX42" s="1046">
        <f>CMX38+((CMX40+'NF - 5 Power Mix'!CMX14+'NF - 5 Power Mix'!CMX15)*860/10)+((('Form Sa1'!CNA835)*860)/10)+('Form Sa1'!CNA814*'Form Sa1'!CNA816/10)-'NF - 5 Power Mix'!CMX21-'NF - 5 Power Mix'!CMX22</f>
        <v>0</v>
      </c>
      <c r="CMY42" s="1046">
        <f>CMY38+((CMY40+'NF - 5 Power Mix'!CMY14+'NF - 5 Power Mix'!CMY15)*860/10)+((('Form Sa1'!CNB835)*860)/10)+('Form Sa1'!CNB814*'Form Sa1'!CNB816/10)-'NF - 5 Power Mix'!CMY21-'NF - 5 Power Mix'!CMY22</f>
        <v>0</v>
      </c>
      <c r="CMZ42" s="1046">
        <f>CMZ38+((CMZ40+'NF - 5 Power Mix'!CMZ14+'NF - 5 Power Mix'!CMZ15)*860/10)+((('Form Sa1'!CNC835)*860)/10)+('Form Sa1'!CNC814*'Form Sa1'!CNC816/10)-'NF - 5 Power Mix'!CMZ21-'NF - 5 Power Mix'!CMZ22</f>
        <v>0</v>
      </c>
      <c r="CNA42" s="1046">
        <f>CNA38+((CNA40+'NF - 5 Power Mix'!CNA14+'NF - 5 Power Mix'!CNA15)*860/10)+((('Form Sa1'!CND835)*860)/10)+('Form Sa1'!CND814*'Form Sa1'!CND816/10)-'NF - 5 Power Mix'!CNA21-'NF - 5 Power Mix'!CNA22</f>
        <v>0</v>
      </c>
      <c r="CNB42" s="1046">
        <f>CNB38+((CNB40+'NF - 5 Power Mix'!CNB14+'NF - 5 Power Mix'!CNB15)*860/10)+((('Form Sa1'!CNE835)*860)/10)+('Form Sa1'!CNE814*'Form Sa1'!CNE816/10)-'NF - 5 Power Mix'!CNB21-'NF - 5 Power Mix'!CNB22</f>
        <v>0</v>
      </c>
      <c r="CNC42" s="1046">
        <f>CNC38+((CNC40+'NF - 5 Power Mix'!CNC14+'NF - 5 Power Mix'!CNC15)*860/10)+((('Form Sa1'!CNF835)*860)/10)+('Form Sa1'!CNF814*'Form Sa1'!CNF816/10)-'NF - 5 Power Mix'!CNC21-'NF - 5 Power Mix'!CNC22</f>
        <v>0</v>
      </c>
      <c r="CND42" s="1046">
        <f>CND38+((CND40+'NF - 5 Power Mix'!CND14+'NF - 5 Power Mix'!CND15)*860/10)+((('Form Sa1'!CNG835)*860)/10)+('Form Sa1'!CNG814*'Form Sa1'!CNG816/10)-'NF - 5 Power Mix'!CND21-'NF - 5 Power Mix'!CND22</f>
        <v>0</v>
      </c>
      <c r="CNE42" s="1046">
        <f>CNE38+((CNE40+'NF - 5 Power Mix'!CNE14+'NF - 5 Power Mix'!CNE15)*860/10)+((('Form Sa1'!CNH835)*860)/10)+('Form Sa1'!CNH814*'Form Sa1'!CNH816/10)-'NF - 5 Power Mix'!CNE21-'NF - 5 Power Mix'!CNE22</f>
        <v>0</v>
      </c>
      <c r="CNF42" s="1046">
        <f>CNF38+((CNF40+'NF - 5 Power Mix'!CNF14+'NF - 5 Power Mix'!CNF15)*860/10)+((('Form Sa1'!CNI835)*860)/10)+('Form Sa1'!CNI814*'Form Sa1'!CNI816/10)-'NF - 5 Power Mix'!CNF21-'NF - 5 Power Mix'!CNF22</f>
        <v>0</v>
      </c>
      <c r="CNG42" s="1046">
        <f>CNG38+((CNG40+'NF - 5 Power Mix'!CNG14+'NF - 5 Power Mix'!CNG15)*860/10)+((('Form Sa1'!CNJ835)*860)/10)+('Form Sa1'!CNJ814*'Form Sa1'!CNJ816/10)-'NF - 5 Power Mix'!CNG21-'NF - 5 Power Mix'!CNG22</f>
        <v>0</v>
      </c>
      <c r="CNH42" s="1046">
        <f>CNH38+((CNH40+'NF - 5 Power Mix'!CNH14+'NF - 5 Power Mix'!CNH15)*860/10)+((('Form Sa1'!CNK835)*860)/10)+('Form Sa1'!CNK814*'Form Sa1'!CNK816/10)-'NF - 5 Power Mix'!CNH21-'NF - 5 Power Mix'!CNH22</f>
        <v>0</v>
      </c>
      <c r="CNI42" s="1046">
        <f>CNI38+((CNI40+'NF - 5 Power Mix'!CNI14+'NF - 5 Power Mix'!CNI15)*860/10)+((('Form Sa1'!CNL835)*860)/10)+('Form Sa1'!CNL814*'Form Sa1'!CNL816/10)-'NF - 5 Power Mix'!CNI21-'NF - 5 Power Mix'!CNI22</f>
        <v>0</v>
      </c>
      <c r="CNJ42" s="1046">
        <f>CNJ38+((CNJ40+'NF - 5 Power Mix'!CNJ14+'NF - 5 Power Mix'!CNJ15)*860/10)+((('Form Sa1'!CNM835)*860)/10)+('Form Sa1'!CNM814*'Form Sa1'!CNM816/10)-'NF - 5 Power Mix'!CNJ21-'NF - 5 Power Mix'!CNJ22</f>
        <v>0</v>
      </c>
      <c r="CNK42" s="1046">
        <f>CNK38+((CNK40+'NF - 5 Power Mix'!CNK14+'NF - 5 Power Mix'!CNK15)*860/10)+((('Form Sa1'!CNN835)*860)/10)+('Form Sa1'!CNN814*'Form Sa1'!CNN816/10)-'NF - 5 Power Mix'!CNK21-'NF - 5 Power Mix'!CNK22</f>
        <v>0</v>
      </c>
      <c r="CNL42" s="1046">
        <f>CNL38+((CNL40+'NF - 5 Power Mix'!CNL14+'NF - 5 Power Mix'!CNL15)*860/10)+((('Form Sa1'!CNO835)*860)/10)+('Form Sa1'!CNO814*'Form Sa1'!CNO816/10)-'NF - 5 Power Mix'!CNL21-'NF - 5 Power Mix'!CNL22</f>
        <v>0</v>
      </c>
      <c r="CNM42" s="1046">
        <f>CNM38+((CNM40+'NF - 5 Power Mix'!CNM14+'NF - 5 Power Mix'!CNM15)*860/10)+((('Form Sa1'!CNP835)*860)/10)+('Form Sa1'!CNP814*'Form Sa1'!CNP816/10)-'NF - 5 Power Mix'!CNM21-'NF - 5 Power Mix'!CNM22</f>
        <v>0</v>
      </c>
      <c r="CNN42" s="1046">
        <f>CNN38+((CNN40+'NF - 5 Power Mix'!CNN14+'NF - 5 Power Mix'!CNN15)*860/10)+((('Form Sa1'!CNQ835)*860)/10)+('Form Sa1'!CNQ814*'Form Sa1'!CNQ816/10)-'NF - 5 Power Mix'!CNN21-'NF - 5 Power Mix'!CNN22</f>
        <v>0</v>
      </c>
      <c r="CNO42" s="1046">
        <f>CNO38+((CNO40+'NF - 5 Power Mix'!CNO14+'NF - 5 Power Mix'!CNO15)*860/10)+((('Form Sa1'!CNR835)*860)/10)+('Form Sa1'!CNR814*'Form Sa1'!CNR816/10)-'NF - 5 Power Mix'!CNO21-'NF - 5 Power Mix'!CNO22</f>
        <v>0</v>
      </c>
      <c r="CNP42" s="1046">
        <f>CNP38+((CNP40+'NF - 5 Power Mix'!CNP14+'NF - 5 Power Mix'!CNP15)*860/10)+((('Form Sa1'!CNS835)*860)/10)+('Form Sa1'!CNS814*'Form Sa1'!CNS816/10)-'NF - 5 Power Mix'!CNP21-'NF - 5 Power Mix'!CNP22</f>
        <v>0</v>
      </c>
      <c r="CNQ42" s="1046">
        <f>CNQ38+((CNQ40+'NF - 5 Power Mix'!CNQ14+'NF - 5 Power Mix'!CNQ15)*860/10)+((('Form Sa1'!CNT835)*860)/10)+('Form Sa1'!CNT814*'Form Sa1'!CNT816/10)-'NF - 5 Power Mix'!CNQ21-'NF - 5 Power Mix'!CNQ22</f>
        <v>0</v>
      </c>
      <c r="CNR42" s="1046">
        <f>CNR38+((CNR40+'NF - 5 Power Mix'!CNR14+'NF - 5 Power Mix'!CNR15)*860/10)+((('Form Sa1'!CNU835)*860)/10)+('Form Sa1'!CNU814*'Form Sa1'!CNU816/10)-'NF - 5 Power Mix'!CNR21-'NF - 5 Power Mix'!CNR22</f>
        <v>0</v>
      </c>
      <c r="CNS42" s="1046">
        <f>CNS38+((CNS40+'NF - 5 Power Mix'!CNS14+'NF - 5 Power Mix'!CNS15)*860/10)+((('Form Sa1'!CNV835)*860)/10)+('Form Sa1'!CNV814*'Form Sa1'!CNV816/10)-'NF - 5 Power Mix'!CNS21-'NF - 5 Power Mix'!CNS22</f>
        <v>0</v>
      </c>
      <c r="CNT42" s="1046">
        <f>CNT38+((CNT40+'NF - 5 Power Mix'!CNT14+'NF - 5 Power Mix'!CNT15)*860/10)+((('Form Sa1'!CNW835)*860)/10)+('Form Sa1'!CNW814*'Form Sa1'!CNW816/10)-'NF - 5 Power Mix'!CNT21-'NF - 5 Power Mix'!CNT22</f>
        <v>0</v>
      </c>
      <c r="CNU42" s="1046">
        <f>CNU38+((CNU40+'NF - 5 Power Mix'!CNU14+'NF - 5 Power Mix'!CNU15)*860/10)+((('Form Sa1'!CNX835)*860)/10)+('Form Sa1'!CNX814*'Form Sa1'!CNX816/10)-'NF - 5 Power Mix'!CNU21-'NF - 5 Power Mix'!CNU22</f>
        <v>0</v>
      </c>
      <c r="CNV42" s="1046">
        <f>CNV38+((CNV40+'NF - 5 Power Mix'!CNV14+'NF - 5 Power Mix'!CNV15)*860/10)+((('Form Sa1'!CNY835)*860)/10)+('Form Sa1'!CNY814*'Form Sa1'!CNY816/10)-'NF - 5 Power Mix'!CNV21-'NF - 5 Power Mix'!CNV22</f>
        <v>0</v>
      </c>
      <c r="CNW42" s="1046">
        <f>CNW38+((CNW40+'NF - 5 Power Mix'!CNW14+'NF - 5 Power Mix'!CNW15)*860/10)+((('Form Sa1'!CNZ835)*860)/10)+('Form Sa1'!CNZ814*'Form Sa1'!CNZ816/10)-'NF - 5 Power Mix'!CNW21-'NF - 5 Power Mix'!CNW22</f>
        <v>0</v>
      </c>
      <c r="CNX42" s="1046">
        <f>CNX38+((CNX40+'NF - 5 Power Mix'!CNX14+'NF - 5 Power Mix'!CNX15)*860/10)+((('Form Sa1'!COA835)*860)/10)+('Form Sa1'!COA814*'Form Sa1'!COA816/10)-'NF - 5 Power Mix'!CNX21-'NF - 5 Power Mix'!CNX22</f>
        <v>0</v>
      </c>
      <c r="CNY42" s="1046">
        <f>CNY38+((CNY40+'NF - 5 Power Mix'!CNY14+'NF - 5 Power Mix'!CNY15)*860/10)+((('Form Sa1'!COB835)*860)/10)+('Form Sa1'!COB814*'Form Sa1'!COB816/10)-'NF - 5 Power Mix'!CNY21-'NF - 5 Power Mix'!CNY22</f>
        <v>0</v>
      </c>
      <c r="CNZ42" s="1046">
        <f>CNZ38+((CNZ40+'NF - 5 Power Mix'!CNZ14+'NF - 5 Power Mix'!CNZ15)*860/10)+((('Form Sa1'!COC835)*860)/10)+('Form Sa1'!COC814*'Form Sa1'!COC816/10)-'NF - 5 Power Mix'!CNZ21-'NF - 5 Power Mix'!CNZ22</f>
        <v>0</v>
      </c>
      <c r="COA42" s="1046">
        <f>COA38+((COA40+'NF - 5 Power Mix'!COA14+'NF - 5 Power Mix'!COA15)*860/10)+((('Form Sa1'!COD835)*860)/10)+('Form Sa1'!COD814*'Form Sa1'!COD816/10)-'NF - 5 Power Mix'!COA21-'NF - 5 Power Mix'!COA22</f>
        <v>0</v>
      </c>
      <c r="COB42" s="1046">
        <f>COB38+((COB40+'NF - 5 Power Mix'!COB14+'NF - 5 Power Mix'!COB15)*860/10)+((('Form Sa1'!COE835)*860)/10)+('Form Sa1'!COE814*'Form Sa1'!COE816/10)-'NF - 5 Power Mix'!COB21-'NF - 5 Power Mix'!COB22</f>
        <v>0</v>
      </c>
      <c r="COC42" s="1046">
        <f>COC38+((COC40+'NF - 5 Power Mix'!COC14+'NF - 5 Power Mix'!COC15)*860/10)+((('Form Sa1'!COF835)*860)/10)+('Form Sa1'!COF814*'Form Sa1'!COF816/10)-'NF - 5 Power Mix'!COC21-'NF - 5 Power Mix'!COC22</f>
        <v>0</v>
      </c>
      <c r="COD42" s="1046">
        <f>COD38+((COD40+'NF - 5 Power Mix'!COD14+'NF - 5 Power Mix'!COD15)*860/10)+((('Form Sa1'!COG835)*860)/10)+('Form Sa1'!COG814*'Form Sa1'!COG816/10)-'NF - 5 Power Mix'!COD21-'NF - 5 Power Mix'!COD22</f>
        <v>0</v>
      </c>
      <c r="COE42" s="1046">
        <f>COE38+((COE40+'NF - 5 Power Mix'!COE14+'NF - 5 Power Mix'!COE15)*860/10)+((('Form Sa1'!COH835)*860)/10)+('Form Sa1'!COH814*'Form Sa1'!COH816/10)-'NF - 5 Power Mix'!COE21-'NF - 5 Power Mix'!COE22</f>
        <v>0</v>
      </c>
      <c r="COF42" s="1046">
        <f>COF38+((COF40+'NF - 5 Power Mix'!COF14+'NF - 5 Power Mix'!COF15)*860/10)+((('Form Sa1'!COI835)*860)/10)+('Form Sa1'!COI814*'Form Sa1'!COI816/10)-'NF - 5 Power Mix'!COF21-'NF - 5 Power Mix'!COF22</f>
        <v>0</v>
      </c>
      <c r="COG42" s="1046">
        <f>COG38+((COG40+'NF - 5 Power Mix'!COG14+'NF - 5 Power Mix'!COG15)*860/10)+((('Form Sa1'!COJ835)*860)/10)+('Form Sa1'!COJ814*'Form Sa1'!COJ816/10)-'NF - 5 Power Mix'!COG21-'NF - 5 Power Mix'!COG22</f>
        <v>0</v>
      </c>
      <c r="COH42" s="1046">
        <f>COH38+((COH40+'NF - 5 Power Mix'!COH14+'NF - 5 Power Mix'!COH15)*860/10)+((('Form Sa1'!COK835)*860)/10)+('Form Sa1'!COK814*'Form Sa1'!COK816/10)-'NF - 5 Power Mix'!COH21-'NF - 5 Power Mix'!COH22</f>
        <v>0</v>
      </c>
      <c r="COI42" s="1046">
        <f>COI38+((COI40+'NF - 5 Power Mix'!COI14+'NF - 5 Power Mix'!COI15)*860/10)+((('Form Sa1'!COL835)*860)/10)+('Form Sa1'!COL814*'Form Sa1'!COL816/10)-'NF - 5 Power Mix'!COI21-'NF - 5 Power Mix'!COI22</f>
        <v>0</v>
      </c>
      <c r="COJ42" s="1046">
        <f>COJ38+((COJ40+'NF - 5 Power Mix'!COJ14+'NF - 5 Power Mix'!COJ15)*860/10)+((('Form Sa1'!COM835)*860)/10)+('Form Sa1'!COM814*'Form Sa1'!COM816/10)-'NF - 5 Power Mix'!COJ21-'NF - 5 Power Mix'!COJ22</f>
        <v>0</v>
      </c>
      <c r="COK42" s="1046">
        <f>COK38+((COK40+'NF - 5 Power Mix'!COK14+'NF - 5 Power Mix'!COK15)*860/10)+((('Form Sa1'!CON835)*860)/10)+('Form Sa1'!CON814*'Form Sa1'!CON816/10)-'NF - 5 Power Mix'!COK21-'NF - 5 Power Mix'!COK22</f>
        <v>0</v>
      </c>
      <c r="COL42" s="1046">
        <f>COL38+((COL40+'NF - 5 Power Mix'!COL14+'NF - 5 Power Mix'!COL15)*860/10)+((('Form Sa1'!COO835)*860)/10)+('Form Sa1'!COO814*'Form Sa1'!COO816/10)-'NF - 5 Power Mix'!COL21-'NF - 5 Power Mix'!COL22</f>
        <v>0</v>
      </c>
      <c r="COM42" s="1046">
        <f>COM38+((COM40+'NF - 5 Power Mix'!COM14+'NF - 5 Power Mix'!COM15)*860/10)+((('Form Sa1'!COP835)*860)/10)+('Form Sa1'!COP814*'Form Sa1'!COP816/10)-'NF - 5 Power Mix'!COM21-'NF - 5 Power Mix'!COM22</f>
        <v>0</v>
      </c>
      <c r="CON42" s="1046">
        <f>CON38+((CON40+'NF - 5 Power Mix'!CON14+'NF - 5 Power Mix'!CON15)*860/10)+((('Form Sa1'!COQ835)*860)/10)+('Form Sa1'!COQ814*'Form Sa1'!COQ816/10)-'NF - 5 Power Mix'!CON21-'NF - 5 Power Mix'!CON22</f>
        <v>0</v>
      </c>
      <c r="COO42" s="1046">
        <f>COO38+((COO40+'NF - 5 Power Mix'!COO14+'NF - 5 Power Mix'!COO15)*860/10)+((('Form Sa1'!COR835)*860)/10)+('Form Sa1'!COR814*'Form Sa1'!COR816/10)-'NF - 5 Power Mix'!COO21-'NF - 5 Power Mix'!COO22</f>
        <v>0</v>
      </c>
      <c r="COP42" s="1046">
        <f>COP38+((COP40+'NF - 5 Power Mix'!COP14+'NF - 5 Power Mix'!COP15)*860/10)+((('Form Sa1'!COS835)*860)/10)+('Form Sa1'!COS814*'Form Sa1'!COS816/10)-'NF - 5 Power Mix'!COP21-'NF - 5 Power Mix'!COP22</f>
        <v>0</v>
      </c>
      <c r="COQ42" s="1046">
        <f>COQ38+((COQ40+'NF - 5 Power Mix'!COQ14+'NF - 5 Power Mix'!COQ15)*860/10)+((('Form Sa1'!COT835)*860)/10)+('Form Sa1'!COT814*'Form Sa1'!COT816/10)-'NF - 5 Power Mix'!COQ21-'NF - 5 Power Mix'!COQ22</f>
        <v>0</v>
      </c>
      <c r="COR42" s="1046">
        <f>COR38+((COR40+'NF - 5 Power Mix'!COR14+'NF - 5 Power Mix'!COR15)*860/10)+((('Form Sa1'!COU835)*860)/10)+('Form Sa1'!COU814*'Form Sa1'!COU816/10)-'NF - 5 Power Mix'!COR21-'NF - 5 Power Mix'!COR22</f>
        <v>0</v>
      </c>
      <c r="COS42" s="1046">
        <f>COS38+((COS40+'NF - 5 Power Mix'!COS14+'NF - 5 Power Mix'!COS15)*860/10)+((('Form Sa1'!COV835)*860)/10)+('Form Sa1'!COV814*'Form Sa1'!COV816/10)-'NF - 5 Power Mix'!COS21-'NF - 5 Power Mix'!COS22</f>
        <v>0</v>
      </c>
      <c r="COT42" s="1046">
        <f>COT38+((COT40+'NF - 5 Power Mix'!COT14+'NF - 5 Power Mix'!COT15)*860/10)+((('Form Sa1'!COW835)*860)/10)+('Form Sa1'!COW814*'Form Sa1'!COW816/10)-'NF - 5 Power Mix'!COT21-'NF - 5 Power Mix'!COT22</f>
        <v>0</v>
      </c>
      <c r="COU42" s="1046">
        <f>COU38+((COU40+'NF - 5 Power Mix'!COU14+'NF - 5 Power Mix'!COU15)*860/10)+((('Form Sa1'!COX835)*860)/10)+('Form Sa1'!COX814*'Form Sa1'!COX816/10)-'NF - 5 Power Mix'!COU21-'NF - 5 Power Mix'!COU22</f>
        <v>0</v>
      </c>
      <c r="COV42" s="1046">
        <f>COV38+((COV40+'NF - 5 Power Mix'!COV14+'NF - 5 Power Mix'!COV15)*860/10)+((('Form Sa1'!COY835)*860)/10)+('Form Sa1'!COY814*'Form Sa1'!COY816/10)-'NF - 5 Power Mix'!COV21-'NF - 5 Power Mix'!COV22</f>
        <v>0</v>
      </c>
      <c r="COW42" s="1046">
        <f>COW38+((COW40+'NF - 5 Power Mix'!COW14+'NF - 5 Power Mix'!COW15)*860/10)+((('Form Sa1'!COZ835)*860)/10)+('Form Sa1'!COZ814*'Form Sa1'!COZ816/10)-'NF - 5 Power Mix'!COW21-'NF - 5 Power Mix'!COW22</f>
        <v>0</v>
      </c>
      <c r="COX42" s="1046">
        <f>COX38+((COX40+'NF - 5 Power Mix'!COX14+'NF - 5 Power Mix'!COX15)*860/10)+((('Form Sa1'!CPA835)*860)/10)+('Form Sa1'!CPA814*'Form Sa1'!CPA816/10)-'NF - 5 Power Mix'!COX21-'NF - 5 Power Mix'!COX22</f>
        <v>0</v>
      </c>
      <c r="COY42" s="1046">
        <f>COY38+((COY40+'NF - 5 Power Mix'!COY14+'NF - 5 Power Mix'!COY15)*860/10)+((('Form Sa1'!CPB835)*860)/10)+('Form Sa1'!CPB814*'Form Sa1'!CPB816/10)-'NF - 5 Power Mix'!COY21-'NF - 5 Power Mix'!COY22</f>
        <v>0</v>
      </c>
      <c r="COZ42" s="1046">
        <f>COZ38+((COZ40+'NF - 5 Power Mix'!COZ14+'NF - 5 Power Mix'!COZ15)*860/10)+((('Form Sa1'!CPC835)*860)/10)+('Form Sa1'!CPC814*'Form Sa1'!CPC816/10)-'NF - 5 Power Mix'!COZ21-'NF - 5 Power Mix'!COZ22</f>
        <v>0</v>
      </c>
      <c r="CPA42" s="1046">
        <f>CPA38+((CPA40+'NF - 5 Power Mix'!CPA14+'NF - 5 Power Mix'!CPA15)*860/10)+((('Form Sa1'!CPD835)*860)/10)+('Form Sa1'!CPD814*'Form Sa1'!CPD816/10)-'NF - 5 Power Mix'!CPA21-'NF - 5 Power Mix'!CPA22</f>
        <v>0</v>
      </c>
      <c r="CPB42" s="1046">
        <f>CPB38+((CPB40+'NF - 5 Power Mix'!CPB14+'NF - 5 Power Mix'!CPB15)*860/10)+((('Form Sa1'!CPE835)*860)/10)+('Form Sa1'!CPE814*'Form Sa1'!CPE816/10)-'NF - 5 Power Mix'!CPB21-'NF - 5 Power Mix'!CPB22</f>
        <v>0</v>
      </c>
      <c r="CPC42" s="1046">
        <f>CPC38+((CPC40+'NF - 5 Power Mix'!CPC14+'NF - 5 Power Mix'!CPC15)*860/10)+((('Form Sa1'!CPF835)*860)/10)+('Form Sa1'!CPF814*'Form Sa1'!CPF816/10)-'NF - 5 Power Mix'!CPC21-'NF - 5 Power Mix'!CPC22</f>
        <v>0</v>
      </c>
      <c r="CPD42" s="1046">
        <f>CPD38+((CPD40+'NF - 5 Power Mix'!CPD14+'NF - 5 Power Mix'!CPD15)*860/10)+((('Form Sa1'!CPG835)*860)/10)+('Form Sa1'!CPG814*'Form Sa1'!CPG816/10)-'NF - 5 Power Mix'!CPD21-'NF - 5 Power Mix'!CPD22</f>
        <v>0</v>
      </c>
      <c r="CPE42" s="1046">
        <f>CPE38+((CPE40+'NF - 5 Power Mix'!CPE14+'NF - 5 Power Mix'!CPE15)*860/10)+((('Form Sa1'!CPH835)*860)/10)+('Form Sa1'!CPH814*'Form Sa1'!CPH816/10)-'NF - 5 Power Mix'!CPE21-'NF - 5 Power Mix'!CPE22</f>
        <v>0</v>
      </c>
      <c r="CPF42" s="1046">
        <f>CPF38+((CPF40+'NF - 5 Power Mix'!CPF14+'NF - 5 Power Mix'!CPF15)*860/10)+((('Form Sa1'!CPI835)*860)/10)+('Form Sa1'!CPI814*'Form Sa1'!CPI816/10)-'NF - 5 Power Mix'!CPF21-'NF - 5 Power Mix'!CPF22</f>
        <v>0</v>
      </c>
      <c r="CPG42" s="1046">
        <f>CPG38+((CPG40+'NF - 5 Power Mix'!CPG14+'NF - 5 Power Mix'!CPG15)*860/10)+((('Form Sa1'!CPJ835)*860)/10)+('Form Sa1'!CPJ814*'Form Sa1'!CPJ816/10)-'NF - 5 Power Mix'!CPG21-'NF - 5 Power Mix'!CPG22</f>
        <v>0</v>
      </c>
      <c r="CPH42" s="1046">
        <f>CPH38+((CPH40+'NF - 5 Power Mix'!CPH14+'NF - 5 Power Mix'!CPH15)*860/10)+((('Form Sa1'!CPK835)*860)/10)+('Form Sa1'!CPK814*'Form Sa1'!CPK816/10)-'NF - 5 Power Mix'!CPH21-'NF - 5 Power Mix'!CPH22</f>
        <v>0</v>
      </c>
      <c r="CPI42" s="1046">
        <f>CPI38+((CPI40+'NF - 5 Power Mix'!CPI14+'NF - 5 Power Mix'!CPI15)*860/10)+((('Form Sa1'!CPL835)*860)/10)+('Form Sa1'!CPL814*'Form Sa1'!CPL816/10)-'NF - 5 Power Mix'!CPI21-'NF - 5 Power Mix'!CPI22</f>
        <v>0</v>
      </c>
      <c r="CPJ42" s="1046">
        <f>CPJ38+((CPJ40+'NF - 5 Power Mix'!CPJ14+'NF - 5 Power Mix'!CPJ15)*860/10)+((('Form Sa1'!CPM835)*860)/10)+('Form Sa1'!CPM814*'Form Sa1'!CPM816/10)-'NF - 5 Power Mix'!CPJ21-'NF - 5 Power Mix'!CPJ22</f>
        <v>0</v>
      </c>
      <c r="CPK42" s="1046">
        <f>CPK38+((CPK40+'NF - 5 Power Mix'!CPK14+'NF - 5 Power Mix'!CPK15)*860/10)+((('Form Sa1'!CPN835)*860)/10)+('Form Sa1'!CPN814*'Form Sa1'!CPN816/10)-'NF - 5 Power Mix'!CPK21-'NF - 5 Power Mix'!CPK22</f>
        <v>0</v>
      </c>
      <c r="CPL42" s="1046">
        <f>CPL38+((CPL40+'NF - 5 Power Mix'!CPL14+'NF - 5 Power Mix'!CPL15)*860/10)+((('Form Sa1'!CPO835)*860)/10)+('Form Sa1'!CPO814*'Form Sa1'!CPO816/10)-'NF - 5 Power Mix'!CPL21-'NF - 5 Power Mix'!CPL22</f>
        <v>0</v>
      </c>
      <c r="CPM42" s="1046">
        <f>CPM38+((CPM40+'NF - 5 Power Mix'!CPM14+'NF - 5 Power Mix'!CPM15)*860/10)+((('Form Sa1'!CPP835)*860)/10)+('Form Sa1'!CPP814*'Form Sa1'!CPP816/10)-'NF - 5 Power Mix'!CPM21-'NF - 5 Power Mix'!CPM22</f>
        <v>0</v>
      </c>
      <c r="CPN42" s="1046">
        <f>CPN38+((CPN40+'NF - 5 Power Mix'!CPN14+'NF - 5 Power Mix'!CPN15)*860/10)+((('Form Sa1'!CPQ835)*860)/10)+('Form Sa1'!CPQ814*'Form Sa1'!CPQ816/10)-'NF - 5 Power Mix'!CPN21-'NF - 5 Power Mix'!CPN22</f>
        <v>0</v>
      </c>
      <c r="CPO42" s="1046">
        <f>CPO38+((CPO40+'NF - 5 Power Mix'!CPO14+'NF - 5 Power Mix'!CPO15)*860/10)+((('Form Sa1'!CPR835)*860)/10)+('Form Sa1'!CPR814*'Form Sa1'!CPR816/10)-'NF - 5 Power Mix'!CPO21-'NF - 5 Power Mix'!CPO22</f>
        <v>0</v>
      </c>
      <c r="CPP42" s="1046">
        <f>CPP38+((CPP40+'NF - 5 Power Mix'!CPP14+'NF - 5 Power Mix'!CPP15)*860/10)+((('Form Sa1'!CPS835)*860)/10)+('Form Sa1'!CPS814*'Form Sa1'!CPS816/10)-'NF - 5 Power Mix'!CPP21-'NF - 5 Power Mix'!CPP22</f>
        <v>0</v>
      </c>
      <c r="CPQ42" s="1046">
        <f>CPQ38+((CPQ40+'NF - 5 Power Mix'!CPQ14+'NF - 5 Power Mix'!CPQ15)*860/10)+((('Form Sa1'!CPT835)*860)/10)+('Form Sa1'!CPT814*'Form Sa1'!CPT816/10)-'NF - 5 Power Mix'!CPQ21-'NF - 5 Power Mix'!CPQ22</f>
        <v>0</v>
      </c>
      <c r="CPR42" s="1046">
        <f>CPR38+((CPR40+'NF - 5 Power Mix'!CPR14+'NF - 5 Power Mix'!CPR15)*860/10)+((('Form Sa1'!CPU835)*860)/10)+('Form Sa1'!CPU814*'Form Sa1'!CPU816/10)-'NF - 5 Power Mix'!CPR21-'NF - 5 Power Mix'!CPR22</f>
        <v>0</v>
      </c>
      <c r="CPS42" s="1046">
        <f>CPS38+((CPS40+'NF - 5 Power Mix'!CPS14+'NF - 5 Power Mix'!CPS15)*860/10)+((('Form Sa1'!CPV835)*860)/10)+('Form Sa1'!CPV814*'Form Sa1'!CPV816/10)-'NF - 5 Power Mix'!CPS21-'NF - 5 Power Mix'!CPS22</f>
        <v>0</v>
      </c>
      <c r="CPT42" s="1046">
        <f>CPT38+((CPT40+'NF - 5 Power Mix'!CPT14+'NF - 5 Power Mix'!CPT15)*860/10)+((('Form Sa1'!CPW835)*860)/10)+('Form Sa1'!CPW814*'Form Sa1'!CPW816/10)-'NF - 5 Power Mix'!CPT21-'NF - 5 Power Mix'!CPT22</f>
        <v>0</v>
      </c>
      <c r="CPU42" s="1046">
        <f>CPU38+((CPU40+'NF - 5 Power Mix'!CPU14+'NF - 5 Power Mix'!CPU15)*860/10)+((('Form Sa1'!CPX835)*860)/10)+('Form Sa1'!CPX814*'Form Sa1'!CPX816/10)-'NF - 5 Power Mix'!CPU21-'NF - 5 Power Mix'!CPU22</f>
        <v>0</v>
      </c>
      <c r="CPV42" s="1046">
        <f>CPV38+((CPV40+'NF - 5 Power Mix'!CPV14+'NF - 5 Power Mix'!CPV15)*860/10)+((('Form Sa1'!CPY835)*860)/10)+('Form Sa1'!CPY814*'Form Sa1'!CPY816/10)-'NF - 5 Power Mix'!CPV21-'NF - 5 Power Mix'!CPV22</f>
        <v>0</v>
      </c>
      <c r="CPW42" s="1046">
        <f>CPW38+((CPW40+'NF - 5 Power Mix'!CPW14+'NF - 5 Power Mix'!CPW15)*860/10)+((('Form Sa1'!CPZ835)*860)/10)+('Form Sa1'!CPZ814*'Form Sa1'!CPZ816/10)-'NF - 5 Power Mix'!CPW21-'NF - 5 Power Mix'!CPW22</f>
        <v>0</v>
      </c>
      <c r="CPX42" s="1046">
        <f>CPX38+((CPX40+'NF - 5 Power Mix'!CPX14+'NF - 5 Power Mix'!CPX15)*860/10)+((('Form Sa1'!CQA835)*860)/10)+('Form Sa1'!CQA814*'Form Sa1'!CQA816/10)-'NF - 5 Power Mix'!CPX21-'NF - 5 Power Mix'!CPX22</f>
        <v>0</v>
      </c>
      <c r="CPY42" s="1046">
        <f>CPY38+((CPY40+'NF - 5 Power Mix'!CPY14+'NF - 5 Power Mix'!CPY15)*860/10)+((('Form Sa1'!CQB835)*860)/10)+('Form Sa1'!CQB814*'Form Sa1'!CQB816/10)-'NF - 5 Power Mix'!CPY21-'NF - 5 Power Mix'!CPY22</f>
        <v>0</v>
      </c>
      <c r="CPZ42" s="1046">
        <f>CPZ38+((CPZ40+'NF - 5 Power Mix'!CPZ14+'NF - 5 Power Mix'!CPZ15)*860/10)+((('Form Sa1'!CQC835)*860)/10)+('Form Sa1'!CQC814*'Form Sa1'!CQC816/10)-'NF - 5 Power Mix'!CPZ21-'NF - 5 Power Mix'!CPZ22</f>
        <v>0</v>
      </c>
      <c r="CQA42" s="1046">
        <f>CQA38+((CQA40+'NF - 5 Power Mix'!CQA14+'NF - 5 Power Mix'!CQA15)*860/10)+((('Form Sa1'!CQD835)*860)/10)+('Form Sa1'!CQD814*'Form Sa1'!CQD816/10)-'NF - 5 Power Mix'!CQA21-'NF - 5 Power Mix'!CQA22</f>
        <v>0</v>
      </c>
      <c r="CQB42" s="1046">
        <f>CQB38+((CQB40+'NF - 5 Power Mix'!CQB14+'NF - 5 Power Mix'!CQB15)*860/10)+((('Form Sa1'!CQE835)*860)/10)+('Form Sa1'!CQE814*'Form Sa1'!CQE816/10)-'NF - 5 Power Mix'!CQB21-'NF - 5 Power Mix'!CQB22</f>
        <v>0</v>
      </c>
      <c r="CQC42" s="1046">
        <f>CQC38+((CQC40+'NF - 5 Power Mix'!CQC14+'NF - 5 Power Mix'!CQC15)*860/10)+((('Form Sa1'!CQF835)*860)/10)+('Form Sa1'!CQF814*'Form Sa1'!CQF816/10)-'NF - 5 Power Mix'!CQC21-'NF - 5 Power Mix'!CQC22</f>
        <v>0</v>
      </c>
      <c r="CQD42" s="1046">
        <f>CQD38+((CQD40+'NF - 5 Power Mix'!CQD14+'NF - 5 Power Mix'!CQD15)*860/10)+((('Form Sa1'!CQG835)*860)/10)+('Form Sa1'!CQG814*'Form Sa1'!CQG816/10)-'NF - 5 Power Mix'!CQD21-'NF - 5 Power Mix'!CQD22</f>
        <v>0</v>
      </c>
      <c r="CQE42" s="1046">
        <f>CQE38+((CQE40+'NF - 5 Power Mix'!CQE14+'NF - 5 Power Mix'!CQE15)*860/10)+((('Form Sa1'!CQH835)*860)/10)+('Form Sa1'!CQH814*'Form Sa1'!CQH816/10)-'NF - 5 Power Mix'!CQE21-'NF - 5 Power Mix'!CQE22</f>
        <v>0</v>
      </c>
      <c r="CQF42" s="1046">
        <f>CQF38+((CQF40+'NF - 5 Power Mix'!CQF14+'NF - 5 Power Mix'!CQF15)*860/10)+((('Form Sa1'!CQI835)*860)/10)+('Form Sa1'!CQI814*'Form Sa1'!CQI816/10)-'NF - 5 Power Mix'!CQF21-'NF - 5 Power Mix'!CQF22</f>
        <v>0</v>
      </c>
      <c r="CQG42" s="1046">
        <f>CQG38+((CQG40+'NF - 5 Power Mix'!CQG14+'NF - 5 Power Mix'!CQG15)*860/10)+((('Form Sa1'!CQJ835)*860)/10)+('Form Sa1'!CQJ814*'Form Sa1'!CQJ816/10)-'NF - 5 Power Mix'!CQG21-'NF - 5 Power Mix'!CQG22</f>
        <v>0</v>
      </c>
      <c r="CQH42" s="1046">
        <f>CQH38+((CQH40+'NF - 5 Power Mix'!CQH14+'NF - 5 Power Mix'!CQH15)*860/10)+((('Form Sa1'!CQK835)*860)/10)+('Form Sa1'!CQK814*'Form Sa1'!CQK816/10)-'NF - 5 Power Mix'!CQH21-'NF - 5 Power Mix'!CQH22</f>
        <v>0</v>
      </c>
      <c r="CQI42" s="1046">
        <f>CQI38+((CQI40+'NF - 5 Power Mix'!CQI14+'NF - 5 Power Mix'!CQI15)*860/10)+((('Form Sa1'!CQL835)*860)/10)+('Form Sa1'!CQL814*'Form Sa1'!CQL816/10)-'NF - 5 Power Mix'!CQI21-'NF - 5 Power Mix'!CQI22</f>
        <v>0</v>
      </c>
      <c r="CQJ42" s="1046">
        <f>CQJ38+((CQJ40+'NF - 5 Power Mix'!CQJ14+'NF - 5 Power Mix'!CQJ15)*860/10)+((('Form Sa1'!CQM835)*860)/10)+('Form Sa1'!CQM814*'Form Sa1'!CQM816/10)-'NF - 5 Power Mix'!CQJ21-'NF - 5 Power Mix'!CQJ22</f>
        <v>0</v>
      </c>
      <c r="CQK42" s="1046">
        <f>CQK38+((CQK40+'NF - 5 Power Mix'!CQK14+'NF - 5 Power Mix'!CQK15)*860/10)+((('Form Sa1'!CQN835)*860)/10)+('Form Sa1'!CQN814*'Form Sa1'!CQN816/10)-'NF - 5 Power Mix'!CQK21-'NF - 5 Power Mix'!CQK22</f>
        <v>0</v>
      </c>
      <c r="CQL42" s="1046">
        <f>CQL38+((CQL40+'NF - 5 Power Mix'!CQL14+'NF - 5 Power Mix'!CQL15)*860/10)+((('Form Sa1'!CQO835)*860)/10)+('Form Sa1'!CQO814*'Form Sa1'!CQO816/10)-'NF - 5 Power Mix'!CQL21-'NF - 5 Power Mix'!CQL22</f>
        <v>0</v>
      </c>
      <c r="CQM42" s="1046">
        <f>CQM38+((CQM40+'NF - 5 Power Mix'!CQM14+'NF - 5 Power Mix'!CQM15)*860/10)+((('Form Sa1'!CQP835)*860)/10)+('Form Sa1'!CQP814*'Form Sa1'!CQP816/10)-'NF - 5 Power Mix'!CQM21-'NF - 5 Power Mix'!CQM22</f>
        <v>0</v>
      </c>
      <c r="CQN42" s="1046">
        <f>CQN38+((CQN40+'NF - 5 Power Mix'!CQN14+'NF - 5 Power Mix'!CQN15)*860/10)+((('Form Sa1'!CQQ835)*860)/10)+('Form Sa1'!CQQ814*'Form Sa1'!CQQ816/10)-'NF - 5 Power Mix'!CQN21-'NF - 5 Power Mix'!CQN22</f>
        <v>0</v>
      </c>
      <c r="CQO42" s="1046">
        <f>CQO38+((CQO40+'NF - 5 Power Mix'!CQO14+'NF - 5 Power Mix'!CQO15)*860/10)+((('Form Sa1'!CQR835)*860)/10)+('Form Sa1'!CQR814*'Form Sa1'!CQR816/10)-'NF - 5 Power Mix'!CQO21-'NF - 5 Power Mix'!CQO22</f>
        <v>0</v>
      </c>
      <c r="CQP42" s="1046">
        <f>CQP38+((CQP40+'NF - 5 Power Mix'!CQP14+'NF - 5 Power Mix'!CQP15)*860/10)+((('Form Sa1'!CQS835)*860)/10)+('Form Sa1'!CQS814*'Form Sa1'!CQS816/10)-'NF - 5 Power Mix'!CQP21-'NF - 5 Power Mix'!CQP22</f>
        <v>0</v>
      </c>
      <c r="CQQ42" s="1046">
        <f>CQQ38+((CQQ40+'NF - 5 Power Mix'!CQQ14+'NF - 5 Power Mix'!CQQ15)*860/10)+((('Form Sa1'!CQT835)*860)/10)+('Form Sa1'!CQT814*'Form Sa1'!CQT816/10)-'NF - 5 Power Mix'!CQQ21-'NF - 5 Power Mix'!CQQ22</f>
        <v>0</v>
      </c>
      <c r="CQR42" s="1046">
        <f>CQR38+((CQR40+'NF - 5 Power Mix'!CQR14+'NF - 5 Power Mix'!CQR15)*860/10)+((('Form Sa1'!CQU835)*860)/10)+('Form Sa1'!CQU814*'Form Sa1'!CQU816/10)-'NF - 5 Power Mix'!CQR21-'NF - 5 Power Mix'!CQR22</f>
        <v>0</v>
      </c>
      <c r="CQS42" s="1046">
        <f>CQS38+((CQS40+'NF - 5 Power Mix'!CQS14+'NF - 5 Power Mix'!CQS15)*860/10)+((('Form Sa1'!CQV835)*860)/10)+('Form Sa1'!CQV814*'Form Sa1'!CQV816/10)-'NF - 5 Power Mix'!CQS21-'NF - 5 Power Mix'!CQS22</f>
        <v>0</v>
      </c>
      <c r="CQT42" s="1046">
        <f>CQT38+((CQT40+'NF - 5 Power Mix'!CQT14+'NF - 5 Power Mix'!CQT15)*860/10)+((('Form Sa1'!CQW835)*860)/10)+('Form Sa1'!CQW814*'Form Sa1'!CQW816/10)-'NF - 5 Power Mix'!CQT21-'NF - 5 Power Mix'!CQT22</f>
        <v>0</v>
      </c>
      <c r="CQU42" s="1046">
        <f>CQU38+((CQU40+'NF - 5 Power Mix'!CQU14+'NF - 5 Power Mix'!CQU15)*860/10)+((('Form Sa1'!CQX835)*860)/10)+('Form Sa1'!CQX814*'Form Sa1'!CQX816/10)-'NF - 5 Power Mix'!CQU21-'NF - 5 Power Mix'!CQU22</f>
        <v>0</v>
      </c>
      <c r="CQV42" s="1046">
        <f>CQV38+((CQV40+'NF - 5 Power Mix'!CQV14+'NF - 5 Power Mix'!CQV15)*860/10)+((('Form Sa1'!CQY835)*860)/10)+('Form Sa1'!CQY814*'Form Sa1'!CQY816/10)-'NF - 5 Power Mix'!CQV21-'NF - 5 Power Mix'!CQV22</f>
        <v>0</v>
      </c>
      <c r="CQW42" s="1046">
        <f>CQW38+((CQW40+'NF - 5 Power Mix'!CQW14+'NF - 5 Power Mix'!CQW15)*860/10)+((('Form Sa1'!CQZ835)*860)/10)+('Form Sa1'!CQZ814*'Form Sa1'!CQZ816/10)-'NF - 5 Power Mix'!CQW21-'NF - 5 Power Mix'!CQW22</f>
        <v>0</v>
      </c>
      <c r="CQX42" s="1046">
        <f>CQX38+((CQX40+'NF - 5 Power Mix'!CQX14+'NF - 5 Power Mix'!CQX15)*860/10)+((('Form Sa1'!CRA835)*860)/10)+('Form Sa1'!CRA814*'Form Sa1'!CRA816/10)-'NF - 5 Power Mix'!CQX21-'NF - 5 Power Mix'!CQX22</f>
        <v>0</v>
      </c>
      <c r="CQY42" s="1046">
        <f>CQY38+((CQY40+'NF - 5 Power Mix'!CQY14+'NF - 5 Power Mix'!CQY15)*860/10)+((('Form Sa1'!CRB835)*860)/10)+('Form Sa1'!CRB814*'Form Sa1'!CRB816/10)-'NF - 5 Power Mix'!CQY21-'NF - 5 Power Mix'!CQY22</f>
        <v>0</v>
      </c>
      <c r="CQZ42" s="1046">
        <f>CQZ38+((CQZ40+'NF - 5 Power Mix'!CQZ14+'NF - 5 Power Mix'!CQZ15)*860/10)+((('Form Sa1'!CRC835)*860)/10)+('Form Sa1'!CRC814*'Form Sa1'!CRC816/10)-'NF - 5 Power Mix'!CQZ21-'NF - 5 Power Mix'!CQZ22</f>
        <v>0</v>
      </c>
      <c r="CRA42" s="1046">
        <f>CRA38+((CRA40+'NF - 5 Power Mix'!CRA14+'NF - 5 Power Mix'!CRA15)*860/10)+((('Form Sa1'!CRD835)*860)/10)+('Form Sa1'!CRD814*'Form Sa1'!CRD816/10)-'NF - 5 Power Mix'!CRA21-'NF - 5 Power Mix'!CRA22</f>
        <v>0</v>
      </c>
      <c r="CRB42" s="1046">
        <f>CRB38+((CRB40+'NF - 5 Power Mix'!CRB14+'NF - 5 Power Mix'!CRB15)*860/10)+((('Form Sa1'!CRE835)*860)/10)+('Form Sa1'!CRE814*'Form Sa1'!CRE816/10)-'NF - 5 Power Mix'!CRB21-'NF - 5 Power Mix'!CRB22</f>
        <v>0</v>
      </c>
      <c r="CRC42" s="1046">
        <f>CRC38+((CRC40+'NF - 5 Power Mix'!CRC14+'NF - 5 Power Mix'!CRC15)*860/10)+((('Form Sa1'!CRF835)*860)/10)+('Form Sa1'!CRF814*'Form Sa1'!CRF816/10)-'NF - 5 Power Mix'!CRC21-'NF - 5 Power Mix'!CRC22</f>
        <v>0</v>
      </c>
      <c r="CRD42" s="1046">
        <f>CRD38+((CRD40+'NF - 5 Power Mix'!CRD14+'NF - 5 Power Mix'!CRD15)*860/10)+((('Form Sa1'!CRG835)*860)/10)+('Form Sa1'!CRG814*'Form Sa1'!CRG816/10)-'NF - 5 Power Mix'!CRD21-'NF - 5 Power Mix'!CRD22</f>
        <v>0</v>
      </c>
      <c r="CRE42" s="1046">
        <f>CRE38+((CRE40+'NF - 5 Power Mix'!CRE14+'NF - 5 Power Mix'!CRE15)*860/10)+((('Form Sa1'!CRH835)*860)/10)+('Form Sa1'!CRH814*'Form Sa1'!CRH816/10)-'NF - 5 Power Mix'!CRE21-'NF - 5 Power Mix'!CRE22</f>
        <v>0</v>
      </c>
      <c r="CRF42" s="1046">
        <f>CRF38+((CRF40+'NF - 5 Power Mix'!CRF14+'NF - 5 Power Mix'!CRF15)*860/10)+((('Form Sa1'!CRI835)*860)/10)+('Form Sa1'!CRI814*'Form Sa1'!CRI816/10)-'NF - 5 Power Mix'!CRF21-'NF - 5 Power Mix'!CRF22</f>
        <v>0</v>
      </c>
      <c r="CRG42" s="1046">
        <f>CRG38+((CRG40+'NF - 5 Power Mix'!CRG14+'NF - 5 Power Mix'!CRG15)*860/10)+((('Form Sa1'!CRJ835)*860)/10)+('Form Sa1'!CRJ814*'Form Sa1'!CRJ816/10)-'NF - 5 Power Mix'!CRG21-'NF - 5 Power Mix'!CRG22</f>
        <v>0</v>
      </c>
      <c r="CRH42" s="1046">
        <f>CRH38+((CRH40+'NF - 5 Power Mix'!CRH14+'NF - 5 Power Mix'!CRH15)*860/10)+((('Form Sa1'!CRK835)*860)/10)+('Form Sa1'!CRK814*'Form Sa1'!CRK816/10)-'NF - 5 Power Mix'!CRH21-'NF - 5 Power Mix'!CRH22</f>
        <v>0</v>
      </c>
      <c r="CRI42" s="1046">
        <f>CRI38+((CRI40+'NF - 5 Power Mix'!CRI14+'NF - 5 Power Mix'!CRI15)*860/10)+((('Form Sa1'!CRL835)*860)/10)+('Form Sa1'!CRL814*'Form Sa1'!CRL816/10)-'NF - 5 Power Mix'!CRI21-'NF - 5 Power Mix'!CRI22</f>
        <v>0</v>
      </c>
      <c r="CRJ42" s="1046">
        <f>CRJ38+((CRJ40+'NF - 5 Power Mix'!CRJ14+'NF - 5 Power Mix'!CRJ15)*860/10)+((('Form Sa1'!CRM835)*860)/10)+('Form Sa1'!CRM814*'Form Sa1'!CRM816/10)-'NF - 5 Power Mix'!CRJ21-'NF - 5 Power Mix'!CRJ22</f>
        <v>0</v>
      </c>
      <c r="CRK42" s="1046">
        <f>CRK38+((CRK40+'NF - 5 Power Mix'!CRK14+'NF - 5 Power Mix'!CRK15)*860/10)+((('Form Sa1'!CRN835)*860)/10)+('Form Sa1'!CRN814*'Form Sa1'!CRN816/10)-'NF - 5 Power Mix'!CRK21-'NF - 5 Power Mix'!CRK22</f>
        <v>0</v>
      </c>
      <c r="CRL42" s="1046">
        <f>CRL38+((CRL40+'NF - 5 Power Mix'!CRL14+'NF - 5 Power Mix'!CRL15)*860/10)+((('Form Sa1'!CRO835)*860)/10)+('Form Sa1'!CRO814*'Form Sa1'!CRO816/10)-'NF - 5 Power Mix'!CRL21-'NF - 5 Power Mix'!CRL22</f>
        <v>0</v>
      </c>
      <c r="CRM42" s="1046">
        <f>CRM38+((CRM40+'NF - 5 Power Mix'!CRM14+'NF - 5 Power Mix'!CRM15)*860/10)+((('Form Sa1'!CRP835)*860)/10)+('Form Sa1'!CRP814*'Form Sa1'!CRP816/10)-'NF - 5 Power Mix'!CRM21-'NF - 5 Power Mix'!CRM22</f>
        <v>0</v>
      </c>
      <c r="CRN42" s="1046">
        <f>CRN38+((CRN40+'NF - 5 Power Mix'!CRN14+'NF - 5 Power Mix'!CRN15)*860/10)+((('Form Sa1'!CRQ835)*860)/10)+('Form Sa1'!CRQ814*'Form Sa1'!CRQ816/10)-'NF - 5 Power Mix'!CRN21-'NF - 5 Power Mix'!CRN22</f>
        <v>0</v>
      </c>
      <c r="CRO42" s="1046">
        <f>CRO38+((CRO40+'NF - 5 Power Mix'!CRO14+'NF - 5 Power Mix'!CRO15)*860/10)+((('Form Sa1'!CRR835)*860)/10)+('Form Sa1'!CRR814*'Form Sa1'!CRR816/10)-'NF - 5 Power Mix'!CRO21-'NF - 5 Power Mix'!CRO22</f>
        <v>0</v>
      </c>
      <c r="CRP42" s="1046">
        <f>CRP38+((CRP40+'NF - 5 Power Mix'!CRP14+'NF - 5 Power Mix'!CRP15)*860/10)+((('Form Sa1'!CRS835)*860)/10)+('Form Sa1'!CRS814*'Form Sa1'!CRS816/10)-'NF - 5 Power Mix'!CRP21-'NF - 5 Power Mix'!CRP22</f>
        <v>0</v>
      </c>
      <c r="CRQ42" s="1046">
        <f>CRQ38+((CRQ40+'NF - 5 Power Mix'!CRQ14+'NF - 5 Power Mix'!CRQ15)*860/10)+((('Form Sa1'!CRT835)*860)/10)+('Form Sa1'!CRT814*'Form Sa1'!CRT816/10)-'NF - 5 Power Mix'!CRQ21-'NF - 5 Power Mix'!CRQ22</f>
        <v>0</v>
      </c>
      <c r="CRR42" s="1046">
        <f>CRR38+((CRR40+'NF - 5 Power Mix'!CRR14+'NF - 5 Power Mix'!CRR15)*860/10)+((('Form Sa1'!CRU835)*860)/10)+('Form Sa1'!CRU814*'Form Sa1'!CRU816/10)-'NF - 5 Power Mix'!CRR21-'NF - 5 Power Mix'!CRR22</f>
        <v>0</v>
      </c>
      <c r="CRS42" s="1046">
        <f>CRS38+((CRS40+'NF - 5 Power Mix'!CRS14+'NF - 5 Power Mix'!CRS15)*860/10)+((('Form Sa1'!CRV835)*860)/10)+('Form Sa1'!CRV814*'Form Sa1'!CRV816/10)-'NF - 5 Power Mix'!CRS21-'NF - 5 Power Mix'!CRS22</f>
        <v>0</v>
      </c>
      <c r="CRT42" s="1046">
        <f>CRT38+((CRT40+'NF - 5 Power Mix'!CRT14+'NF - 5 Power Mix'!CRT15)*860/10)+((('Form Sa1'!CRW835)*860)/10)+('Form Sa1'!CRW814*'Form Sa1'!CRW816/10)-'NF - 5 Power Mix'!CRT21-'NF - 5 Power Mix'!CRT22</f>
        <v>0</v>
      </c>
      <c r="CRU42" s="1046">
        <f>CRU38+((CRU40+'NF - 5 Power Mix'!CRU14+'NF - 5 Power Mix'!CRU15)*860/10)+((('Form Sa1'!CRX835)*860)/10)+('Form Sa1'!CRX814*'Form Sa1'!CRX816/10)-'NF - 5 Power Mix'!CRU21-'NF - 5 Power Mix'!CRU22</f>
        <v>0</v>
      </c>
      <c r="CRV42" s="1046">
        <f>CRV38+((CRV40+'NF - 5 Power Mix'!CRV14+'NF - 5 Power Mix'!CRV15)*860/10)+((('Form Sa1'!CRY835)*860)/10)+('Form Sa1'!CRY814*'Form Sa1'!CRY816/10)-'NF - 5 Power Mix'!CRV21-'NF - 5 Power Mix'!CRV22</f>
        <v>0</v>
      </c>
      <c r="CRW42" s="1046">
        <f>CRW38+((CRW40+'NF - 5 Power Mix'!CRW14+'NF - 5 Power Mix'!CRW15)*860/10)+((('Form Sa1'!CRZ835)*860)/10)+('Form Sa1'!CRZ814*'Form Sa1'!CRZ816/10)-'NF - 5 Power Mix'!CRW21-'NF - 5 Power Mix'!CRW22</f>
        <v>0</v>
      </c>
      <c r="CRX42" s="1046">
        <f>CRX38+((CRX40+'NF - 5 Power Mix'!CRX14+'NF - 5 Power Mix'!CRX15)*860/10)+((('Form Sa1'!CSA835)*860)/10)+('Form Sa1'!CSA814*'Form Sa1'!CSA816/10)-'NF - 5 Power Mix'!CRX21-'NF - 5 Power Mix'!CRX22</f>
        <v>0</v>
      </c>
      <c r="CRY42" s="1046">
        <f>CRY38+((CRY40+'NF - 5 Power Mix'!CRY14+'NF - 5 Power Mix'!CRY15)*860/10)+((('Form Sa1'!CSB835)*860)/10)+('Form Sa1'!CSB814*'Form Sa1'!CSB816/10)-'NF - 5 Power Mix'!CRY21-'NF - 5 Power Mix'!CRY22</f>
        <v>0</v>
      </c>
      <c r="CRZ42" s="1046">
        <f>CRZ38+((CRZ40+'NF - 5 Power Mix'!CRZ14+'NF - 5 Power Mix'!CRZ15)*860/10)+((('Form Sa1'!CSC835)*860)/10)+('Form Sa1'!CSC814*'Form Sa1'!CSC816/10)-'NF - 5 Power Mix'!CRZ21-'NF - 5 Power Mix'!CRZ22</f>
        <v>0</v>
      </c>
      <c r="CSA42" s="1046">
        <f>CSA38+((CSA40+'NF - 5 Power Mix'!CSA14+'NF - 5 Power Mix'!CSA15)*860/10)+((('Form Sa1'!CSD835)*860)/10)+('Form Sa1'!CSD814*'Form Sa1'!CSD816/10)-'NF - 5 Power Mix'!CSA21-'NF - 5 Power Mix'!CSA22</f>
        <v>0</v>
      </c>
      <c r="CSB42" s="1046">
        <f>CSB38+((CSB40+'NF - 5 Power Mix'!CSB14+'NF - 5 Power Mix'!CSB15)*860/10)+((('Form Sa1'!CSE835)*860)/10)+('Form Sa1'!CSE814*'Form Sa1'!CSE816/10)-'NF - 5 Power Mix'!CSB21-'NF - 5 Power Mix'!CSB22</f>
        <v>0</v>
      </c>
      <c r="CSC42" s="1046">
        <f>CSC38+((CSC40+'NF - 5 Power Mix'!CSC14+'NF - 5 Power Mix'!CSC15)*860/10)+((('Form Sa1'!CSF835)*860)/10)+('Form Sa1'!CSF814*'Form Sa1'!CSF816/10)-'NF - 5 Power Mix'!CSC21-'NF - 5 Power Mix'!CSC22</f>
        <v>0</v>
      </c>
      <c r="CSD42" s="1046">
        <f>CSD38+((CSD40+'NF - 5 Power Mix'!CSD14+'NF - 5 Power Mix'!CSD15)*860/10)+((('Form Sa1'!CSG835)*860)/10)+('Form Sa1'!CSG814*'Form Sa1'!CSG816/10)-'NF - 5 Power Mix'!CSD21-'NF - 5 Power Mix'!CSD22</f>
        <v>0</v>
      </c>
      <c r="CSE42" s="1046">
        <f>CSE38+((CSE40+'NF - 5 Power Mix'!CSE14+'NF - 5 Power Mix'!CSE15)*860/10)+((('Form Sa1'!CSH835)*860)/10)+('Form Sa1'!CSH814*'Form Sa1'!CSH816/10)-'NF - 5 Power Mix'!CSE21-'NF - 5 Power Mix'!CSE22</f>
        <v>0</v>
      </c>
      <c r="CSF42" s="1046">
        <f>CSF38+((CSF40+'NF - 5 Power Mix'!CSF14+'NF - 5 Power Mix'!CSF15)*860/10)+((('Form Sa1'!CSI835)*860)/10)+('Form Sa1'!CSI814*'Form Sa1'!CSI816/10)-'NF - 5 Power Mix'!CSF21-'NF - 5 Power Mix'!CSF22</f>
        <v>0</v>
      </c>
      <c r="CSG42" s="1046">
        <f>CSG38+((CSG40+'NF - 5 Power Mix'!CSG14+'NF - 5 Power Mix'!CSG15)*860/10)+((('Form Sa1'!CSJ835)*860)/10)+('Form Sa1'!CSJ814*'Form Sa1'!CSJ816/10)-'NF - 5 Power Mix'!CSG21-'NF - 5 Power Mix'!CSG22</f>
        <v>0</v>
      </c>
      <c r="CSH42" s="1046">
        <f>CSH38+((CSH40+'NF - 5 Power Mix'!CSH14+'NF - 5 Power Mix'!CSH15)*860/10)+((('Form Sa1'!CSK835)*860)/10)+('Form Sa1'!CSK814*'Form Sa1'!CSK816/10)-'NF - 5 Power Mix'!CSH21-'NF - 5 Power Mix'!CSH22</f>
        <v>0</v>
      </c>
      <c r="CSI42" s="1046">
        <f>CSI38+((CSI40+'NF - 5 Power Mix'!CSI14+'NF - 5 Power Mix'!CSI15)*860/10)+((('Form Sa1'!CSL835)*860)/10)+('Form Sa1'!CSL814*'Form Sa1'!CSL816/10)-'NF - 5 Power Mix'!CSI21-'NF - 5 Power Mix'!CSI22</f>
        <v>0</v>
      </c>
      <c r="CSJ42" s="1046">
        <f>CSJ38+((CSJ40+'NF - 5 Power Mix'!CSJ14+'NF - 5 Power Mix'!CSJ15)*860/10)+((('Form Sa1'!CSM835)*860)/10)+('Form Sa1'!CSM814*'Form Sa1'!CSM816/10)-'NF - 5 Power Mix'!CSJ21-'NF - 5 Power Mix'!CSJ22</f>
        <v>0</v>
      </c>
      <c r="CSK42" s="1046">
        <f>CSK38+((CSK40+'NF - 5 Power Mix'!CSK14+'NF - 5 Power Mix'!CSK15)*860/10)+((('Form Sa1'!CSN835)*860)/10)+('Form Sa1'!CSN814*'Form Sa1'!CSN816/10)-'NF - 5 Power Mix'!CSK21-'NF - 5 Power Mix'!CSK22</f>
        <v>0</v>
      </c>
      <c r="CSL42" s="1046">
        <f>CSL38+((CSL40+'NF - 5 Power Mix'!CSL14+'NF - 5 Power Mix'!CSL15)*860/10)+((('Form Sa1'!CSO835)*860)/10)+('Form Sa1'!CSO814*'Form Sa1'!CSO816/10)-'NF - 5 Power Mix'!CSL21-'NF - 5 Power Mix'!CSL22</f>
        <v>0</v>
      </c>
      <c r="CSM42" s="1046">
        <f>CSM38+((CSM40+'NF - 5 Power Mix'!CSM14+'NF - 5 Power Mix'!CSM15)*860/10)+((('Form Sa1'!CSP835)*860)/10)+('Form Sa1'!CSP814*'Form Sa1'!CSP816/10)-'NF - 5 Power Mix'!CSM21-'NF - 5 Power Mix'!CSM22</f>
        <v>0</v>
      </c>
      <c r="CSN42" s="1046">
        <f>CSN38+((CSN40+'NF - 5 Power Mix'!CSN14+'NF - 5 Power Mix'!CSN15)*860/10)+((('Form Sa1'!CSQ835)*860)/10)+('Form Sa1'!CSQ814*'Form Sa1'!CSQ816/10)-'NF - 5 Power Mix'!CSN21-'NF - 5 Power Mix'!CSN22</f>
        <v>0</v>
      </c>
      <c r="CSO42" s="1046">
        <f>CSO38+((CSO40+'NF - 5 Power Mix'!CSO14+'NF - 5 Power Mix'!CSO15)*860/10)+((('Form Sa1'!CSR835)*860)/10)+('Form Sa1'!CSR814*'Form Sa1'!CSR816/10)-'NF - 5 Power Mix'!CSO21-'NF - 5 Power Mix'!CSO22</f>
        <v>0</v>
      </c>
      <c r="CSP42" s="1046">
        <f>CSP38+((CSP40+'NF - 5 Power Mix'!CSP14+'NF - 5 Power Mix'!CSP15)*860/10)+((('Form Sa1'!CSS835)*860)/10)+('Form Sa1'!CSS814*'Form Sa1'!CSS816/10)-'NF - 5 Power Mix'!CSP21-'NF - 5 Power Mix'!CSP22</f>
        <v>0</v>
      </c>
      <c r="CSQ42" s="1046">
        <f>CSQ38+((CSQ40+'NF - 5 Power Mix'!CSQ14+'NF - 5 Power Mix'!CSQ15)*860/10)+((('Form Sa1'!CST835)*860)/10)+('Form Sa1'!CST814*'Form Sa1'!CST816/10)-'NF - 5 Power Mix'!CSQ21-'NF - 5 Power Mix'!CSQ22</f>
        <v>0</v>
      </c>
      <c r="CSR42" s="1046">
        <f>CSR38+((CSR40+'NF - 5 Power Mix'!CSR14+'NF - 5 Power Mix'!CSR15)*860/10)+((('Form Sa1'!CSU835)*860)/10)+('Form Sa1'!CSU814*'Form Sa1'!CSU816/10)-'NF - 5 Power Mix'!CSR21-'NF - 5 Power Mix'!CSR22</f>
        <v>0</v>
      </c>
      <c r="CSS42" s="1046">
        <f>CSS38+((CSS40+'NF - 5 Power Mix'!CSS14+'NF - 5 Power Mix'!CSS15)*860/10)+((('Form Sa1'!CSV835)*860)/10)+('Form Sa1'!CSV814*'Form Sa1'!CSV816/10)-'NF - 5 Power Mix'!CSS21-'NF - 5 Power Mix'!CSS22</f>
        <v>0</v>
      </c>
      <c r="CST42" s="1046">
        <f>CST38+((CST40+'NF - 5 Power Mix'!CST14+'NF - 5 Power Mix'!CST15)*860/10)+((('Form Sa1'!CSW835)*860)/10)+('Form Sa1'!CSW814*'Form Sa1'!CSW816/10)-'NF - 5 Power Mix'!CST21-'NF - 5 Power Mix'!CST22</f>
        <v>0</v>
      </c>
      <c r="CSU42" s="1046">
        <f>CSU38+((CSU40+'NF - 5 Power Mix'!CSU14+'NF - 5 Power Mix'!CSU15)*860/10)+((('Form Sa1'!CSX835)*860)/10)+('Form Sa1'!CSX814*'Form Sa1'!CSX816/10)-'NF - 5 Power Mix'!CSU21-'NF - 5 Power Mix'!CSU22</f>
        <v>0</v>
      </c>
      <c r="CSV42" s="1046">
        <f>CSV38+((CSV40+'NF - 5 Power Mix'!CSV14+'NF - 5 Power Mix'!CSV15)*860/10)+((('Form Sa1'!CSY835)*860)/10)+('Form Sa1'!CSY814*'Form Sa1'!CSY816/10)-'NF - 5 Power Mix'!CSV21-'NF - 5 Power Mix'!CSV22</f>
        <v>0</v>
      </c>
      <c r="CSW42" s="1046">
        <f>CSW38+((CSW40+'NF - 5 Power Mix'!CSW14+'NF - 5 Power Mix'!CSW15)*860/10)+((('Form Sa1'!CSZ835)*860)/10)+('Form Sa1'!CSZ814*'Form Sa1'!CSZ816/10)-'NF - 5 Power Mix'!CSW21-'NF - 5 Power Mix'!CSW22</f>
        <v>0</v>
      </c>
      <c r="CSX42" s="1046">
        <f>CSX38+((CSX40+'NF - 5 Power Mix'!CSX14+'NF - 5 Power Mix'!CSX15)*860/10)+((('Form Sa1'!CTA835)*860)/10)+('Form Sa1'!CTA814*'Form Sa1'!CTA816/10)-'NF - 5 Power Mix'!CSX21-'NF - 5 Power Mix'!CSX22</f>
        <v>0</v>
      </c>
      <c r="CSY42" s="1046">
        <f>CSY38+((CSY40+'NF - 5 Power Mix'!CSY14+'NF - 5 Power Mix'!CSY15)*860/10)+((('Form Sa1'!CTB835)*860)/10)+('Form Sa1'!CTB814*'Form Sa1'!CTB816/10)-'NF - 5 Power Mix'!CSY21-'NF - 5 Power Mix'!CSY22</f>
        <v>0</v>
      </c>
      <c r="CSZ42" s="1046">
        <f>CSZ38+((CSZ40+'NF - 5 Power Mix'!CSZ14+'NF - 5 Power Mix'!CSZ15)*860/10)+((('Form Sa1'!CTC835)*860)/10)+('Form Sa1'!CTC814*'Form Sa1'!CTC816/10)-'NF - 5 Power Mix'!CSZ21-'NF - 5 Power Mix'!CSZ22</f>
        <v>0</v>
      </c>
      <c r="CTA42" s="1046">
        <f>CTA38+((CTA40+'NF - 5 Power Mix'!CTA14+'NF - 5 Power Mix'!CTA15)*860/10)+((('Form Sa1'!CTD835)*860)/10)+('Form Sa1'!CTD814*'Form Sa1'!CTD816/10)-'NF - 5 Power Mix'!CTA21-'NF - 5 Power Mix'!CTA22</f>
        <v>0</v>
      </c>
      <c r="CTB42" s="1046">
        <f>CTB38+((CTB40+'NF - 5 Power Mix'!CTB14+'NF - 5 Power Mix'!CTB15)*860/10)+((('Form Sa1'!CTE835)*860)/10)+('Form Sa1'!CTE814*'Form Sa1'!CTE816/10)-'NF - 5 Power Mix'!CTB21-'NF - 5 Power Mix'!CTB22</f>
        <v>0</v>
      </c>
      <c r="CTC42" s="1046">
        <f>CTC38+((CTC40+'NF - 5 Power Mix'!CTC14+'NF - 5 Power Mix'!CTC15)*860/10)+((('Form Sa1'!CTF835)*860)/10)+('Form Sa1'!CTF814*'Form Sa1'!CTF816/10)-'NF - 5 Power Mix'!CTC21-'NF - 5 Power Mix'!CTC22</f>
        <v>0</v>
      </c>
      <c r="CTD42" s="1046">
        <f>CTD38+((CTD40+'NF - 5 Power Mix'!CTD14+'NF - 5 Power Mix'!CTD15)*860/10)+((('Form Sa1'!CTG835)*860)/10)+('Form Sa1'!CTG814*'Form Sa1'!CTG816/10)-'NF - 5 Power Mix'!CTD21-'NF - 5 Power Mix'!CTD22</f>
        <v>0</v>
      </c>
      <c r="CTE42" s="1046">
        <f>CTE38+((CTE40+'NF - 5 Power Mix'!CTE14+'NF - 5 Power Mix'!CTE15)*860/10)+((('Form Sa1'!CTH835)*860)/10)+('Form Sa1'!CTH814*'Form Sa1'!CTH816/10)-'NF - 5 Power Mix'!CTE21-'NF - 5 Power Mix'!CTE22</f>
        <v>0</v>
      </c>
      <c r="CTF42" s="1046">
        <f>CTF38+((CTF40+'NF - 5 Power Mix'!CTF14+'NF - 5 Power Mix'!CTF15)*860/10)+((('Form Sa1'!CTI835)*860)/10)+('Form Sa1'!CTI814*'Form Sa1'!CTI816/10)-'NF - 5 Power Mix'!CTF21-'NF - 5 Power Mix'!CTF22</f>
        <v>0</v>
      </c>
      <c r="CTG42" s="1046">
        <f>CTG38+((CTG40+'NF - 5 Power Mix'!CTG14+'NF - 5 Power Mix'!CTG15)*860/10)+((('Form Sa1'!CTJ835)*860)/10)+('Form Sa1'!CTJ814*'Form Sa1'!CTJ816/10)-'NF - 5 Power Mix'!CTG21-'NF - 5 Power Mix'!CTG22</f>
        <v>0</v>
      </c>
      <c r="CTH42" s="1046">
        <f>CTH38+((CTH40+'NF - 5 Power Mix'!CTH14+'NF - 5 Power Mix'!CTH15)*860/10)+((('Form Sa1'!CTK835)*860)/10)+('Form Sa1'!CTK814*'Form Sa1'!CTK816/10)-'NF - 5 Power Mix'!CTH21-'NF - 5 Power Mix'!CTH22</f>
        <v>0</v>
      </c>
      <c r="CTI42" s="1046">
        <f>CTI38+((CTI40+'NF - 5 Power Mix'!CTI14+'NF - 5 Power Mix'!CTI15)*860/10)+((('Form Sa1'!CTL835)*860)/10)+('Form Sa1'!CTL814*'Form Sa1'!CTL816/10)-'NF - 5 Power Mix'!CTI21-'NF - 5 Power Mix'!CTI22</f>
        <v>0</v>
      </c>
      <c r="CTJ42" s="1046">
        <f>CTJ38+((CTJ40+'NF - 5 Power Mix'!CTJ14+'NF - 5 Power Mix'!CTJ15)*860/10)+((('Form Sa1'!CTM835)*860)/10)+('Form Sa1'!CTM814*'Form Sa1'!CTM816/10)-'NF - 5 Power Mix'!CTJ21-'NF - 5 Power Mix'!CTJ22</f>
        <v>0</v>
      </c>
      <c r="CTK42" s="1046">
        <f>CTK38+((CTK40+'NF - 5 Power Mix'!CTK14+'NF - 5 Power Mix'!CTK15)*860/10)+((('Form Sa1'!CTN835)*860)/10)+('Form Sa1'!CTN814*'Form Sa1'!CTN816/10)-'NF - 5 Power Mix'!CTK21-'NF - 5 Power Mix'!CTK22</f>
        <v>0</v>
      </c>
      <c r="CTL42" s="1046">
        <f>CTL38+((CTL40+'NF - 5 Power Mix'!CTL14+'NF - 5 Power Mix'!CTL15)*860/10)+((('Form Sa1'!CTO835)*860)/10)+('Form Sa1'!CTO814*'Form Sa1'!CTO816/10)-'NF - 5 Power Mix'!CTL21-'NF - 5 Power Mix'!CTL22</f>
        <v>0</v>
      </c>
      <c r="CTM42" s="1046">
        <f>CTM38+((CTM40+'NF - 5 Power Mix'!CTM14+'NF - 5 Power Mix'!CTM15)*860/10)+((('Form Sa1'!CTP835)*860)/10)+('Form Sa1'!CTP814*'Form Sa1'!CTP816/10)-'NF - 5 Power Mix'!CTM21-'NF - 5 Power Mix'!CTM22</f>
        <v>0</v>
      </c>
      <c r="CTN42" s="1046">
        <f>CTN38+((CTN40+'NF - 5 Power Mix'!CTN14+'NF - 5 Power Mix'!CTN15)*860/10)+((('Form Sa1'!CTQ835)*860)/10)+('Form Sa1'!CTQ814*'Form Sa1'!CTQ816/10)-'NF - 5 Power Mix'!CTN21-'NF - 5 Power Mix'!CTN22</f>
        <v>0</v>
      </c>
      <c r="CTO42" s="1046">
        <f>CTO38+((CTO40+'NF - 5 Power Mix'!CTO14+'NF - 5 Power Mix'!CTO15)*860/10)+((('Form Sa1'!CTR835)*860)/10)+('Form Sa1'!CTR814*'Form Sa1'!CTR816/10)-'NF - 5 Power Mix'!CTO21-'NF - 5 Power Mix'!CTO22</f>
        <v>0</v>
      </c>
      <c r="CTP42" s="1046">
        <f>CTP38+((CTP40+'NF - 5 Power Mix'!CTP14+'NF - 5 Power Mix'!CTP15)*860/10)+((('Form Sa1'!CTS835)*860)/10)+('Form Sa1'!CTS814*'Form Sa1'!CTS816/10)-'NF - 5 Power Mix'!CTP21-'NF - 5 Power Mix'!CTP22</f>
        <v>0</v>
      </c>
      <c r="CTQ42" s="1046">
        <f>CTQ38+((CTQ40+'NF - 5 Power Mix'!CTQ14+'NF - 5 Power Mix'!CTQ15)*860/10)+((('Form Sa1'!CTT835)*860)/10)+('Form Sa1'!CTT814*'Form Sa1'!CTT816/10)-'NF - 5 Power Mix'!CTQ21-'NF - 5 Power Mix'!CTQ22</f>
        <v>0</v>
      </c>
      <c r="CTR42" s="1046">
        <f>CTR38+((CTR40+'NF - 5 Power Mix'!CTR14+'NF - 5 Power Mix'!CTR15)*860/10)+((('Form Sa1'!CTU835)*860)/10)+('Form Sa1'!CTU814*'Form Sa1'!CTU816/10)-'NF - 5 Power Mix'!CTR21-'NF - 5 Power Mix'!CTR22</f>
        <v>0</v>
      </c>
      <c r="CTS42" s="1046">
        <f>CTS38+((CTS40+'NF - 5 Power Mix'!CTS14+'NF - 5 Power Mix'!CTS15)*860/10)+((('Form Sa1'!CTV835)*860)/10)+('Form Sa1'!CTV814*'Form Sa1'!CTV816/10)-'NF - 5 Power Mix'!CTS21-'NF - 5 Power Mix'!CTS22</f>
        <v>0</v>
      </c>
      <c r="CTT42" s="1046">
        <f>CTT38+((CTT40+'NF - 5 Power Mix'!CTT14+'NF - 5 Power Mix'!CTT15)*860/10)+((('Form Sa1'!CTW835)*860)/10)+('Form Sa1'!CTW814*'Form Sa1'!CTW816/10)-'NF - 5 Power Mix'!CTT21-'NF - 5 Power Mix'!CTT22</f>
        <v>0</v>
      </c>
      <c r="CTU42" s="1046">
        <f>CTU38+((CTU40+'NF - 5 Power Mix'!CTU14+'NF - 5 Power Mix'!CTU15)*860/10)+((('Form Sa1'!CTX835)*860)/10)+('Form Sa1'!CTX814*'Form Sa1'!CTX816/10)-'NF - 5 Power Mix'!CTU21-'NF - 5 Power Mix'!CTU22</f>
        <v>0</v>
      </c>
      <c r="CTV42" s="1046">
        <f>CTV38+((CTV40+'NF - 5 Power Mix'!CTV14+'NF - 5 Power Mix'!CTV15)*860/10)+((('Form Sa1'!CTY835)*860)/10)+('Form Sa1'!CTY814*'Form Sa1'!CTY816/10)-'NF - 5 Power Mix'!CTV21-'NF - 5 Power Mix'!CTV22</f>
        <v>0</v>
      </c>
      <c r="CTW42" s="1046">
        <f>CTW38+((CTW40+'NF - 5 Power Mix'!CTW14+'NF - 5 Power Mix'!CTW15)*860/10)+((('Form Sa1'!CTZ835)*860)/10)+('Form Sa1'!CTZ814*'Form Sa1'!CTZ816/10)-'NF - 5 Power Mix'!CTW21-'NF - 5 Power Mix'!CTW22</f>
        <v>0</v>
      </c>
      <c r="CTX42" s="1046">
        <f>CTX38+((CTX40+'NF - 5 Power Mix'!CTX14+'NF - 5 Power Mix'!CTX15)*860/10)+((('Form Sa1'!CUA835)*860)/10)+('Form Sa1'!CUA814*'Form Sa1'!CUA816/10)-'NF - 5 Power Mix'!CTX21-'NF - 5 Power Mix'!CTX22</f>
        <v>0</v>
      </c>
      <c r="CTY42" s="1046">
        <f>CTY38+((CTY40+'NF - 5 Power Mix'!CTY14+'NF - 5 Power Mix'!CTY15)*860/10)+((('Form Sa1'!CUB835)*860)/10)+('Form Sa1'!CUB814*'Form Sa1'!CUB816/10)-'NF - 5 Power Mix'!CTY21-'NF - 5 Power Mix'!CTY22</f>
        <v>0</v>
      </c>
      <c r="CTZ42" s="1046">
        <f>CTZ38+((CTZ40+'NF - 5 Power Mix'!CTZ14+'NF - 5 Power Mix'!CTZ15)*860/10)+((('Form Sa1'!CUC835)*860)/10)+('Form Sa1'!CUC814*'Form Sa1'!CUC816/10)-'NF - 5 Power Mix'!CTZ21-'NF - 5 Power Mix'!CTZ22</f>
        <v>0</v>
      </c>
      <c r="CUA42" s="1046">
        <f>CUA38+((CUA40+'NF - 5 Power Mix'!CUA14+'NF - 5 Power Mix'!CUA15)*860/10)+((('Form Sa1'!CUD835)*860)/10)+('Form Sa1'!CUD814*'Form Sa1'!CUD816/10)-'NF - 5 Power Mix'!CUA21-'NF - 5 Power Mix'!CUA22</f>
        <v>0</v>
      </c>
      <c r="CUB42" s="1046">
        <f>CUB38+((CUB40+'NF - 5 Power Mix'!CUB14+'NF - 5 Power Mix'!CUB15)*860/10)+((('Form Sa1'!CUE835)*860)/10)+('Form Sa1'!CUE814*'Form Sa1'!CUE816/10)-'NF - 5 Power Mix'!CUB21-'NF - 5 Power Mix'!CUB22</f>
        <v>0</v>
      </c>
      <c r="CUC42" s="1046">
        <f>CUC38+((CUC40+'NF - 5 Power Mix'!CUC14+'NF - 5 Power Mix'!CUC15)*860/10)+((('Form Sa1'!CUF835)*860)/10)+('Form Sa1'!CUF814*'Form Sa1'!CUF816/10)-'NF - 5 Power Mix'!CUC21-'NF - 5 Power Mix'!CUC22</f>
        <v>0</v>
      </c>
      <c r="CUD42" s="1046">
        <f>CUD38+((CUD40+'NF - 5 Power Mix'!CUD14+'NF - 5 Power Mix'!CUD15)*860/10)+((('Form Sa1'!CUG835)*860)/10)+('Form Sa1'!CUG814*'Form Sa1'!CUG816/10)-'NF - 5 Power Mix'!CUD21-'NF - 5 Power Mix'!CUD22</f>
        <v>0</v>
      </c>
      <c r="CUE42" s="1046">
        <f>CUE38+((CUE40+'NF - 5 Power Mix'!CUE14+'NF - 5 Power Mix'!CUE15)*860/10)+((('Form Sa1'!CUH835)*860)/10)+('Form Sa1'!CUH814*'Form Sa1'!CUH816/10)-'NF - 5 Power Mix'!CUE21-'NF - 5 Power Mix'!CUE22</f>
        <v>0</v>
      </c>
      <c r="CUF42" s="1046">
        <f>CUF38+((CUF40+'NF - 5 Power Mix'!CUF14+'NF - 5 Power Mix'!CUF15)*860/10)+((('Form Sa1'!CUI835)*860)/10)+('Form Sa1'!CUI814*'Form Sa1'!CUI816/10)-'NF - 5 Power Mix'!CUF21-'NF - 5 Power Mix'!CUF22</f>
        <v>0</v>
      </c>
      <c r="CUG42" s="1046">
        <f>CUG38+((CUG40+'NF - 5 Power Mix'!CUG14+'NF - 5 Power Mix'!CUG15)*860/10)+((('Form Sa1'!CUJ835)*860)/10)+('Form Sa1'!CUJ814*'Form Sa1'!CUJ816/10)-'NF - 5 Power Mix'!CUG21-'NF - 5 Power Mix'!CUG22</f>
        <v>0</v>
      </c>
      <c r="CUH42" s="1046">
        <f>CUH38+((CUH40+'NF - 5 Power Mix'!CUH14+'NF - 5 Power Mix'!CUH15)*860/10)+((('Form Sa1'!CUK835)*860)/10)+('Form Sa1'!CUK814*'Form Sa1'!CUK816/10)-'NF - 5 Power Mix'!CUH21-'NF - 5 Power Mix'!CUH22</f>
        <v>0</v>
      </c>
      <c r="CUI42" s="1046">
        <f>CUI38+((CUI40+'NF - 5 Power Mix'!CUI14+'NF - 5 Power Mix'!CUI15)*860/10)+((('Form Sa1'!CUL835)*860)/10)+('Form Sa1'!CUL814*'Form Sa1'!CUL816/10)-'NF - 5 Power Mix'!CUI21-'NF - 5 Power Mix'!CUI22</f>
        <v>0</v>
      </c>
      <c r="CUJ42" s="1046">
        <f>CUJ38+((CUJ40+'NF - 5 Power Mix'!CUJ14+'NF - 5 Power Mix'!CUJ15)*860/10)+((('Form Sa1'!CUM835)*860)/10)+('Form Sa1'!CUM814*'Form Sa1'!CUM816/10)-'NF - 5 Power Mix'!CUJ21-'NF - 5 Power Mix'!CUJ22</f>
        <v>0</v>
      </c>
      <c r="CUK42" s="1046">
        <f>CUK38+((CUK40+'NF - 5 Power Mix'!CUK14+'NF - 5 Power Mix'!CUK15)*860/10)+((('Form Sa1'!CUN835)*860)/10)+('Form Sa1'!CUN814*'Form Sa1'!CUN816/10)-'NF - 5 Power Mix'!CUK21-'NF - 5 Power Mix'!CUK22</f>
        <v>0</v>
      </c>
      <c r="CUL42" s="1046">
        <f>CUL38+((CUL40+'NF - 5 Power Mix'!CUL14+'NF - 5 Power Mix'!CUL15)*860/10)+((('Form Sa1'!CUO835)*860)/10)+('Form Sa1'!CUO814*'Form Sa1'!CUO816/10)-'NF - 5 Power Mix'!CUL21-'NF - 5 Power Mix'!CUL22</f>
        <v>0</v>
      </c>
      <c r="CUM42" s="1046">
        <f>CUM38+((CUM40+'NF - 5 Power Mix'!CUM14+'NF - 5 Power Mix'!CUM15)*860/10)+((('Form Sa1'!CUP835)*860)/10)+('Form Sa1'!CUP814*'Form Sa1'!CUP816/10)-'NF - 5 Power Mix'!CUM21-'NF - 5 Power Mix'!CUM22</f>
        <v>0</v>
      </c>
      <c r="CUN42" s="1046">
        <f>CUN38+((CUN40+'NF - 5 Power Mix'!CUN14+'NF - 5 Power Mix'!CUN15)*860/10)+((('Form Sa1'!CUQ835)*860)/10)+('Form Sa1'!CUQ814*'Form Sa1'!CUQ816/10)-'NF - 5 Power Mix'!CUN21-'NF - 5 Power Mix'!CUN22</f>
        <v>0</v>
      </c>
      <c r="CUO42" s="1046">
        <f>CUO38+((CUO40+'NF - 5 Power Mix'!CUO14+'NF - 5 Power Mix'!CUO15)*860/10)+((('Form Sa1'!CUR835)*860)/10)+('Form Sa1'!CUR814*'Form Sa1'!CUR816/10)-'NF - 5 Power Mix'!CUO21-'NF - 5 Power Mix'!CUO22</f>
        <v>0</v>
      </c>
      <c r="CUP42" s="1046">
        <f>CUP38+((CUP40+'NF - 5 Power Mix'!CUP14+'NF - 5 Power Mix'!CUP15)*860/10)+((('Form Sa1'!CUS835)*860)/10)+('Form Sa1'!CUS814*'Form Sa1'!CUS816/10)-'NF - 5 Power Mix'!CUP21-'NF - 5 Power Mix'!CUP22</f>
        <v>0</v>
      </c>
      <c r="CUQ42" s="1046">
        <f>CUQ38+((CUQ40+'NF - 5 Power Mix'!CUQ14+'NF - 5 Power Mix'!CUQ15)*860/10)+((('Form Sa1'!CUT835)*860)/10)+('Form Sa1'!CUT814*'Form Sa1'!CUT816/10)-'NF - 5 Power Mix'!CUQ21-'NF - 5 Power Mix'!CUQ22</f>
        <v>0</v>
      </c>
      <c r="CUR42" s="1046">
        <f>CUR38+((CUR40+'NF - 5 Power Mix'!CUR14+'NF - 5 Power Mix'!CUR15)*860/10)+((('Form Sa1'!CUU835)*860)/10)+('Form Sa1'!CUU814*'Form Sa1'!CUU816/10)-'NF - 5 Power Mix'!CUR21-'NF - 5 Power Mix'!CUR22</f>
        <v>0</v>
      </c>
      <c r="CUS42" s="1046">
        <f>CUS38+((CUS40+'NF - 5 Power Mix'!CUS14+'NF - 5 Power Mix'!CUS15)*860/10)+((('Form Sa1'!CUV835)*860)/10)+('Form Sa1'!CUV814*'Form Sa1'!CUV816/10)-'NF - 5 Power Mix'!CUS21-'NF - 5 Power Mix'!CUS22</f>
        <v>0</v>
      </c>
      <c r="CUT42" s="1046">
        <f>CUT38+((CUT40+'NF - 5 Power Mix'!CUT14+'NF - 5 Power Mix'!CUT15)*860/10)+((('Form Sa1'!CUW835)*860)/10)+('Form Sa1'!CUW814*'Form Sa1'!CUW816/10)-'NF - 5 Power Mix'!CUT21-'NF - 5 Power Mix'!CUT22</f>
        <v>0</v>
      </c>
      <c r="CUU42" s="1046">
        <f>CUU38+((CUU40+'NF - 5 Power Mix'!CUU14+'NF - 5 Power Mix'!CUU15)*860/10)+((('Form Sa1'!CUX835)*860)/10)+('Form Sa1'!CUX814*'Form Sa1'!CUX816/10)-'NF - 5 Power Mix'!CUU21-'NF - 5 Power Mix'!CUU22</f>
        <v>0</v>
      </c>
      <c r="CUV42" s="1046">
        <f>CUV38+((CUV40+'NF - 5 Power Mix'!CUV14+'NF - 5 Power Mix'!CUV15)*860/10)+((('Form Sa1'!CUY835)*860)/10)+('Form Sa1'!CUY814*'Form Sa1'!CUY816/10)-'NF - 5 Power Mix'!CUV21-'NF - 5 Power Mix'!CUV22</f>
        <v>0</v>
      </c>
      <c r="CUW42" s="1046">
        <f>CUW38+((CUW40+'NF - 5 Power Mix'!CUW14+'NF - 5 Power Mix'!CUW15)*860/10)+((('Form Sa1'!CUZ835)*860)/10)+('Form Sa1'!CUZ814*'Form Sa1'!CUZ816/10)-'NF - 5 Power Mix'!CUW21-'NF - 5 Power Mix'!CUW22</f>
        <v>0</v>
      </c>
      <c r="CUX42" s="1046">
        <f>CUX38+((CUX40+'NF - 5 Power Mix'!CUX14+'NF - 5 Power Mix'!CUX15)*860/10)+((('Form Sa1'!CVA835)*860)/10)+('Form Sa1'!CVA814*'Form Sa1'!CVA816/10)-'NF - 5 Power Mix'!CUX21-'NF - 5 Power Mix'!CUX22</f>
        <v>0</v>
      </c>
      <c r="CUY42" s="1046">
        <f>CUY38+((CUY40+'NF - 5 Power Mix'!CUY14+'NF - 5 Power Mix'!CUY15)*860/10)+((('Form Sa1'!CVB835)*860)/10)+('Form Sa1'!CVB814*'Form Sa1'!CVB816/10)-'NF - 5 Power Mix'!CUY21-'NF - 5 Power Mix'!CUY22</f>
        <v>0</v>
      </c>
      <c r="CUZ42" s="1046">
        <f>CUZ38+((CUZ40+'NF - 5 Power Mix'!CUZ14+'NF - 5 Power Mix'!CUZ15)*860/10)+((('Form Sa1'!CVC835)*860)/10)+('Form Sa1'!CVC814*'Form Sa1'!CVC816/10)-'NF - 5 Power Mix'!CUZ21-'NF - 5 Power Mix'!CUZ22</f>
        <v>0</v>
      </c>
      <c r="CVA42" s="1046">
        <f>CVA38+((CVA40+'NF - 5 Power Mix'!CVA14+'NF - 5 Power Mix'!CVA15)*860/10)+((('Form Sa1'!CVD835)*860)/10)+('Form Sa1'!CVD814*'Form Sa1'!CVD816/10)-'NF - 5 Power Mix'!CVA21-'NF - 5 Power Mix'!CVA22</f>
        <v>0</v>
      </c>
      <c r="CVB42" s="1046">
        <f>CVB38+((CVB40+'NF - 5 Power Mix'!CVB14+'NF - 5 Power Mix'!CVB15)*860/10)+((('Form Sa1'!CVE835)*860)/10)+('Form Sa1'!CVE814*'Form Sa1'!CVE816/10)-'NF - 5 Power Mix'!CVB21-'NF - 5 Power Mix'!CVB22</f>
        <v>0</v>
      </c>
      <c r="CVC42" s="1046">
        <f>CVC38+((CVC40+'NF - 5 Power Mix'!CVC14+'NF - 5 Power Mix'!CVC15)*860/10)+((('Form Sa1'!CVF835)*860)/10)+('Form Sa1'!CVF814*'Form Sa1'!CVF816/10)-'NF - 5 Power Mix'!CVC21-'NF - 5 Power Mix'!CVC22</f>
        <v>0</v>
      </c>
      <c r="CVD42" s="1046">
        <f>CVD38+((CVD40+'NF - 5 Power Mix'!CVD14+'NF - 5 Power Mix'!CVD15)*860/10)+((('Form Sa1'!CVG835)*860)/10)+('Form Sa1'!CVG814*'Form Sa1'!CVG816/10)-'NF - 5 Power Mix'!CVD21-'NF - 5 Power Mix'!CVD22</f>
        <v>0</v>
      </c>
      <c r="CVE42" s="1046">
        <f>CVE38+((CVE40+'NF - 5 Power Mix'!CVE14+'NF - 5 Power Mix'!CVE15)*860/10)+((('Form Sa1'!CVH835)*860)/10)+('Form Sa1'!CVH814*'Form Sa1'!CVH816/10)-'NF - 5 Power Mix'!CVE21-'NF - 5 Power Mix'!CVE22</f>
        <v>0</v>
      </c>
      <c r="CVF42" s="1046">
        <f>CVF38+((CVF40+'NF - 5 Power Mix'!CVF14+'NF - 5 Power Mix'!CVF15)*860/10)+((('Form Sa1'!CVI835)*860)/10)+('Form Sa1'!CVI814*'Form Sa1'!CVI816/10)-'NF - 5 Power Mix'!CVF21-'NF - 5 Power Mix'!CVF22</f>
        <v>0</v>
      </c>
      <c r="CVG42" s="1046">
        <f>CVG38+((CVG40+'NF - 5 Power Mix'!CVG14+'NF - 5 Power Mix'!CVG15)*860/10)+((('Form Sa1'!CVJ835)*860)/10)+('Form Sa1'!CVJ814*'Form Sa1'!CVJ816/10)-'NF - 5 Power Mix'!CVG21-'NF - 5 Power Mix'!CVG22</f>
        <v>0</v>
      </c>
      <c r="CVH42" s="1046">
        <f>CVH38+((CVH40+'NF - 5 Power Mix'!CVH14+'NF - 5 Power Mix'!CVH15)*860/10)+((('Form Sa1'!CVK835)*860)/10)+('Form Sa1'!CVK814*'Form Sa1'!CVK816/10)-'NF - 5 Power Mix'!CVH21-'NF - 5 Power Mix'!CVH22</f>
        <v>0</v>
      </c>
      <c r="CVI42" s="1046">
        <f>CVI38+((CVI40+'NF - 5 Power Mix'!CVI14+'NF - 5 Power Mix'!CVI15)*860/10)+((('Form Sa1'!CVL835)*860)/10)+('Form Sa1'!CVL814*'Form Sa1'!CVL816/10)-'NF - 5 Power Mix'!CVI21-'NF - 5 Power Mix'!CVI22</f>
        <v>0</v>
      </c>
      <c r="CVJ42" s="1046">
        <f>CVJ38+((CVJ40+'NF - 5 Power Mix'!CVJ14+'NF - 5 Power Mix'!CVJ15)*860/10)+((('Form Sa1'!CVM835)*860)/10)+('Form Sa1'!CVM814*'Form Sa1'!CVM816/10)-'NF - 5 Power Mix'!CVJ21-'NF - 5 Power Mix'!CVJ22</f>
        <v>0</v>
      </c>
      <c r="CVK42" s="1046">
        <f>CVK38+((CVK40+'NF - 5 Power Mix'!CVK14+'NF - 5 Power Mix'!CVK15)*860/10)+((('Form Sa1'!CVN835)*860)/10)+('Form Sa1'!CVN814*'Form Sa1'!CVN816/10)-'NF - 5 Power Mix'!CVK21-'NF - 5 Power Mix'!CVK22</f>
        <v>0</v>
      </c>
      <c r="CVL42" s="1046">
        <f>CVL38+((CVL40+'NF - 5 Power Mix'!CVL14+'NF - 5 Power Mix'!CVL15)*860/10)+((('Form Sa1'!CVO835)*860)/10)+('Form Sa1'!CVO814*'Form Sa1'!CVO816/10)-'NF - 5 Power Mix'!CVL21-'NF - 5 Power Mix'!CVL22</f>
        <v>0</v>
      </c>
      <c r="CVM42" s="1046">
        <f>CVM38+((CVM40+'NF - 5 Power Mix'!CVM14+'NF - 5 Power Mix'!CVM15)*860/10)+((('Form Sa1'!CVP835)*860)/10)+('Form Sa1'!CVP814*'Form Sa1'!CVP816/10)-'NF - 5 Power Mix'!CVM21-'NF - 5 Power Mix'!CVM22</f>
        <v>0</v>
      </c>
      <c r="CVN42" s="1046">
        <f>CVN38+((CVN40+'NF - 5 Power Mix'!CVN14+'NF - 5 Power Mix'!CVN15)*860/10)+((('Form Sa1'!CVQ835)*860)/10)+('Form Sa1'!CVQ814*'Form Sa1'!CVQ816/10)-'NF - 5 Power Mix'!CVN21-'NF - 5 Power Mix'!CVN22</f>
        <v>0</v>
      </c>
      <c r="CVO42" s="1046">
        <f>CVO38+((CVO40+'NF - 5 Power Mix'!CVO14+'NF - 5 Power Mix'!CVO15)*860/10)+((('Form Sa1'!CVR835)*860)/10)+('Form Sa1'!CVR814*'Form Sa1'!CVR816/10)-'NF - 5 Power Mix'!CVO21-'NF - 5 Power Mix'!CVO22</f>
        <v>0</v>
      </c>
      <c r="CVP42" s="1046">
        <f>CVP38+((CVP40+'NF - 5 Power Mix'!CVP14+'NF - 5 Power Mix'!CVP15)*860/10)+((('Form Sa1'!CVS835)*860)/10)+('Form Sa1'!CVS814*'Form Sa1'!CVS816/10)-'NF - 5 Power Mix'!CVP21-'NF - 5 Power Mix'!CVP22</f>
        <v>0</v>
      </c>
      <c r="CVQ42" s="1046">
        <f>CVQ38+((CVQ40+'NF - 5 Power Mix'!CVQ14+'NF - 5 Power Mix'!CVQ15)*860/10)+((('Form Sa1'!CVT835)*860)/10)+('Form Sa1'!CVT814*'Form Sa1'!CVT816/10)-'NF - 5 Power Mix'!CVQ21-'NF - 5 Power Mix'!CVQ22</f>
        <v>0</v>
      </c>
      <c r="CVR42" s="1046">
        <f>CVR38+((CVR40+'NF - 5 Power Mix'!CVR14+'NF - 5 Power Mix'!CVR15)*860/10)+((('Form Sa1'!CVU835)*860)/10)+('Form Sa1'!CVU814*'Form Sa1'!CVU816/10)-'NF - 5 Power Mix'!CVR21-'NF - 5 Power Mix'!CVR22</f>
        <v>0</v>
      </c>
      <c r="CVS42" s="1046">
        <f>CVS38+((CVS40+'NF - 5 Power Mix'!CVS14+'NF - 5 Power Mix'!CVS15)*860/10)+((('Form Sa1'!CVV835)*860)/10)+('Form Sa1'!CVV814*'Form Sa1'!CVV816/10)-'NF - 5 Power Mix'!CVS21-'NF - 5 Power Mix'!CVS22</f>
        <v>0</v>
      </c>
      <c r="CVT42" s="1046">
        <f>CVT38+((CVT40+'NF - 5 Power Mix'!CVT14+'NF - 5 Power Mix'!CVT15)*860/10)+((('Form Sa1'!CVW835)*860)/10)+('Form Sa1'!CVW814*'Form Sa1'!CVW816/10)-'NF - 5 Power Mix'!CVT21-'NF - 5 Power Mix'!CVT22</f>
        <v>0</v>
      </c>
      <c r="CVU42" s="1046">
        <f>CVU38+((CVU40+'NF - 5 Power Mix'!CVU14+'NF - 5 Power Mix'!CVU15)*860/10)+((('Form Sa1'!CVX835)*860)/10)+('Form Sa1'!CVX814*'Form Sa1'!CVX816/10)-'NF - 5 Power Mix'!CVU21-'NF - 5 Power Mix'!CVU22</f>
        <v>0</v>
      </c>
      <c r="CVV42" s="1046">
        <f>CVV38+((CVV40+'NF - 5 Power Mix'!CVV14+'NF - 5 Power Mix'!CVV15)*860/10)+((('Form Sa1'!CVY835)*860)/10)+('Form Sa1'!CVY814*'Form Sa1'!CVY816/10)-'NF - 5 Power Mix'!CVV21-'NF - 5 Power Mix'!CVV22</f>
        <v>0</v>
      </c>
      <c r="CVW42" s="1046">
        <f>CVW38+((CVW40+'NF - 5 Power Mix'!CVW14+'NF - 5 Power Mix'!CVW15)*860/10)+((('Form Sa1'!CVZ835)*860)/10)+('Form Sa1'!CVZ814*'Form Sa1'!CVZ816/10)-'NF - 5 Power Mix'!CVW21-'NF - 5 Power Mix'!CVW22</f>
        <v>0</v>
      </c>
      <c r="CVX42" s="1046">
        <f>CVX38+((CVX40+'NF - 5 Power Mix'!CVX14+'NF - 5 Power Mix'!CVX15)*860/10)+((('Form Sa1'!CWA835)*860)/10)+('Form Sa1'!CWA814*'Form Sa1'!CWA816/10)-'NF - 5 Power Mix'!CVX21-'NF - 5 Power Mix'!CVX22</f>
        <v>0</v>
      </c>
      <c r="CVY42" s="1046">
        <f>CVY38+((CVY40+'NF - 5 Power Mix'!CVY14+'NF - 5 Power Mix'!CVY15)*860/10)+((('Form Sa1'!CWB835)*860)/10)+('Form Sa1'!CWB814*'Form Sa1'!CWB816/10)-'NF - 5 Power Mix'!CVY21-'NF - 5 Power Mix'!CVY22</f>
        <v>0</v>
      </c>
      <c r="CVZ42" s="1046">
        <f>CVZ38+((CVZ40+'NF - 5 Power Mix'!CVZ14+'NF - 5 Power Mix'!CVZ15)*860/10)+((('Form Sa1'!CWC835)*860)/10)+('Form Sa1'!CWC814*'Form Sa1'!CWC816/10)-'NF - 5 Power Mix'!CVZ21-'NF - 5 Power Mix'!CVZ22</f>
        <v>0</v>
      </c>
      <c r="CWA42" s="1046">
        <f>CWA38+((CWA40+'NF - 5 Power Mix'!CWA14+'NF - 5 Power Mix'!CWA15)*860/10)+((('Form Sa1'!CWD835)*860)/10)+('Form Sa1'!CWD814*'Form Sa1'!CWD816/10)-'NF - 5 Power Mix'!CWA21-'NF - 5 Power Mix'!CWA22</f>
        <v>0</v>
      </c>
      <c r="CWB42" s="1046">
        <f>CWB38+((CWB40+'NF - 5 Power Mix'!CWB14+'NF - 5 Power Mix'!CWB15)*860/10)+((('Form Sa1'!CWE835)*860)/10)+('Form Sa1'!CWE814*'Form Sa1'!CWE816/10)-'NF - 5 Power Mix'!CWB21-'NF - 5 Power Mix'!CWB22</f>
        <v>0</v>
      </c>
      <c r="CWC42" s="1046">
        <f>CWC38+((CWC40+'NF - 5 Power Mix'!CWC14+'NF - 5 Power Mix'!CWC15)*860/10)+((('Form Sa1'!CWF835)*860)/10)+('Form Sa1'!CWF814*'Form Sa1'!CWF816/10)-'NF - 5 Power Mix'!CWC21-'NF - 5 Power Mix'!CWC22</f>
        <v>0</v>
      </c>
      <c r="CWD42" s="1046">
        <f>CWD38+((CWD40+'NF - 5 Power Mix'!CWD14+'NF - 5 Power Mix'!CWD15)*860/10)+((('Form Sa1'!CWG835)*860)/10)+('Form Sa1'!CWG814*'Form Sa1'!CWG816/10)-'NF - 5 Power Mix'!CWD21-'NF - 5 Power Mix'!CWD22</f>
        <v>0</v>
      </c>
      <c r="CWE42" s="1046">
        <f>CWE38+((CWE40+'NF - 5 Power Mix'!CWE14+'NF - 5 Power Mix'!CWE15)*860/10)+((('Form Sa1'!CWH835)*860)/10)+('Form Sa1'!CWH814*'Form Sa1'!CWH816/10)-'NF - 5 Power Mix'!CWE21-'NF - 5 Power Mix'!CWE22</f>
        <v>0</v>
      </c>
      <c r="CWF42" s="1046">
        <f>CWF38+((CWF40+'NF - 5 Power Mix'!CWF14+'NF - 5 Power Mix'!CWF15)*860/10)+((('Form Sa1'!CWI835)*860)/10)+('Form Sa1'!CWI814*'Form Sa1'!CWI816/10)-'NF - 5 Power Mix'!CWF21-'NF - 5 Power Mix'!CWF22</f>
        <v>0</v>
      </c>
      <c r="CWG42" s="1046">
        <f>CWG38+((CWG40+'NF - 5 Power Mix'!CWG14+'NF - 5 Power Mix'!CWG15)*860/10)+((('Form Sa1'!CWJ835)*860)/10)+('Form Sa1'!CWJ814*'Form Sa1'!CWJ816/10)-'NF - 5 Power Mix'!CWG21-'NF - 5 Power Mix'!CWG22</f>
        <v>0</v>
      </c>
      <c r="CWH42" s="1046">
        <f>CWH38+((CWH40+'NF - 5 Power Mix'!CWH14+'NF - 5 Power Mix'!CWH15)*860/10)+((('Form Sa1'!CWK835)*860)/10)+('Form Sa1'!CWK814*'Form Sa1'!CWK816/10)-'NF - 5 Power Mix'!CWH21-'NF - 5 Power Mix'!CWH22</f>
        <v>0</v>
      </c>
      <c r="CWI42" s="1046">
        <f>CWI38+((CWI40+'NF - 5 Power Mix'!CWI14+'NF - 5 Power Mix'!CWI15)*860/10)+((('Form Sa1'!CWL835)*860)/10)+('Form Sa1'!CWL814*'Form Sa1'!CWL816/10)-'NF - 5 Power Mix'!CWI21-'NF - 5 Power Mix'!CWI22</f>
        <v>0</v>
      </c>
      <c r="CWJ42" s="1046">
        <f>CWJ38+((CWJ40+'NF - 5 Power Mix'!CWJ14+'NF - 5 Power Mix'!CWJ15)*860/10)+((('Form Sa1'!CWM835)*860)/10)+('Form Sa1'!CWM814*'Form Sa1'!CWM816/10)-'NF - 5 Power Mix'!CWJ21-'NF - 5 Power Mix'!CWJ22</f>
        <v>0</v>
      </c>
      <c r="CWK42" s="1046">
        <f>CWK38+((CWK40+'NF - 5 Power Mix'!CWK14+'NF - 5 Power Mix'!CWK15)*860/10)+((('Form Sa1'!CWN835)*860)/10)+('Form Sa1'!CWN814*'Form Sa1'!CWN816/10)-'NF - 5 Power Mix'!CWK21-'NF - 5 Power Mix'!CWK22</f>
        <v>0</v>
      </c>
      <c r="CWL42" s="1046">
        <f>CWL38+((CWL40+'NF - 5 Power Mix'!CWL14+'NF - 5 Power Mix'!CWL15)*860/10)+((('Form Sa1'!CWO835)*860)/10)+('Form Sa1'!CWO814*'Form Sa1'!CWO816/10)-'NF - 5 Power Mix'!CWL21-'NF - 5 Power Mix'!CWL22</f>
        <v>0</v>
      </c>
      <c r="CWM42" s="1046">
        <f>CWM38+((CWM40+'NF - 5 Power Mix'!CWM14+'NF - 5 Power Mix'!CWM15)*860/10)+((('Form Sa1'!CWP835)*860)/10)+('Form Sa1'!CWP814*'Form Sa1'!CWP816/10)-'NF - 5 Power Mix'!CWM21-'NF - 5 Power Mix'!CWM22</f>
        <v>0</v>
      </c>
      <c r="CWN42" s="1046">
        <f>CWN38+((CWN40+'NF - 5 Power Mix'!CWN14+'NF - 5 Power Mix'!CWN15)*860/10)+((('Form Sa1'!CWQ835)*860)/10)+('Form Sa1'!CWQ814*'Form Sa1'!CWQ816/10)-'NF - 5 Power Mix'!CWN21-'NF - 5 Power Mix'!CWN22</f>
        <v>0</v>
      </c>
      <c r="CWO42" s="1046">
        <f>CWO38+((CWO40+'NF - 5 Power Mix'!CWO14+'NF - 5 Power Mix'!CWO15)*860/10)+((('Form Sa1'!CWR835)*860)/10)+('Form Sa1'!CWR814*'Form Sa1'!CWR816/10)-'NF - 5 Power Mix'!CWO21-'NF - 5 Power Mix'!CWO22</f>
        <v>0</v>
      </c>
      <c r="CWP42" s="1046">
        <f>CWP38+((CWP40+'NF - 5 Power Mix'!CWP14+'NF - 5 Power Mix'!CWP15)*860/10)+((('Form Sa1'!CWS835)*860)/10)+('Form Sa1'!CWS814*'Form Sa1'!CWS816/10)-'NF - 5 Power Mix'!CWP21-'NF - 5 Power Mix'!CWP22</f>
        <v>0</v>
      </c>
      <c r="CWQ42" s="1046">
        <f>CWQ38+((CWQ40+'NF - 5 Power Mix'!CWQ14+'NF - 5 Power Mix'!CWQ15)*860/10)+((('Form Sa1'!CWT835)*860)/10)+('Form Sa1'!CWT814*'Form Sa1'!CWT816/10)-'NF - 5 Power Mix'!CWQ21-'NF - 5 Power Mix'!CWQ22</f>
        <v>0</v>
      </c>
      <c r="CWR42" s="1046">
        <f>CWR38+((CWR40+'NF - 5 Power Mix'!CWR14+'NF - 5 Power Mix'!CWR15)*860/10)+((('Form Sa1'!CWU835)*860)/10)+('Form Sa1'!CWU814*'Form Sa1'!CWU816/10)-'NF - 5 Power Mix'!CWR21-'NF - 5 Power Mix'!CWR22</f>
        <v>0</v>
      </c>
      <c r="CWS42" s="1046">
        <f>CWS38+((CWS40+'NF - 5 Power Mix'!CWS14+'NF - 5 Power Mix'!CWS15)*860/10)+((('Form Sa1'!CWV835)*860)/10)+('Form Sa1'!CWV814*'Form Sa1'!CWV816/10)-'NF - 5 Power Mix'!CWS21-'NF - 5 Power Mix'!CWS22</f>
        <v>0</v>
      </c>
      <c r="CWT42" s="1046">
        <f>CWT38+((CWT40+'NF - 5 Power Mix'!CWT14+'NF - 5 Power Mix'!CWT15)*860/10)+((('Form Sa1'!CWW835)*860)/10)+('Form Sa1'!CWW814*'Form Sa1'!CWW816/10)-'NF - 5 Power Mix'!CWT21-'NF - 5 Power Mix'!CWT22</f>
        <v>0</v>
      </c>
      <c r="CWU42" s="1046">
        <f>CWU38+((CWU40+'NF - 5 Power Mix'!CWU14+'NF - 5 Power Mix'!CWU15)*860/10)+((('Form Sa1'!CWX835)*860)/10)+('Form Sa1'!CWX814*'Form Sa1'!CWX816/10)-'NF - 5 Power Mix'!CWU21-'NF - 5 Power Mix'!CWU22</f>
        <v>0</v>
      </c>
      <c r="CWV42" s="1046">
        <f>CWV38+((CWV40+'NF - 5 Power Mix'!CWV14+'NF - 5 Power Mix'!CWV15)*860/10)+((('Form Sa1'!CWY835)*860)/10)+('Form Sa1'!CWY814*'Form Sa1'!CWY816/10)-'NF - 5 Power Mix'!CWV21-'NF - 5 Power Mix'!CWV22</f>
        <v>0</v>
      </c>
      <c r="CWW42" s="1046">
        <f>CWW38+((CWW40+'NF - 5 Power Mix'!CWW14+'NF - 5 Power Mix'!CWW15)*860/10)+((('Form Sa1'!CWZ835)*860)/10)+('Form Sa1'!CWZ814*'Form Sa1'!CWZ816/10)-'NF - 5 Power Mix'!CWW21-'NF - 5 Power Mix'!CWW22</f>
        <v>0</v>
      </c>
      <c r="CWX42" s="1046">
        <f>CWX38+((CWX40+'NF - 5 Power Mix'!CWX14+'NF - 5 Power Mix'!CWX15)*860/10)+((('Form Sa1'!CXA835)*860)/10)+('Form Sa1'!CXA814*'Form Sa1'!CXA816/10)-'NF - 5 Power Mix'!CWX21-'NF - 5 Power Mix'!CWX22</f>
        <v>0</v>
      </c>
      <c r="CWY42" s="1046">
        <f>CWY38+((CWY40+'NF - 5 Power Mix'!CWY14+'NF - 5 Power Mix'!CWY15)*860/10)+((('Form Sa1'!CXB835)*860)/10)+('Form Sa1'!CXB814*'Form Sa1'!CXB816/10)-'NF - 5 Power Mix'!CWY21-'NF - 5 Power Mix'!CWY22</f>
        <v>0</v>
      </c>
      <c r="CWZ42" s="1046">
        <f>CWZ38+((CWZ40+'NF - 5 Power Mix'!CWZ14+'NF - 5 Power Mix'!CWZ15)*860/10)+((('Form Sa1'!CXC835)*860)/10)+('Form Sa1'!CXC814*'Form Sa1'!CXC816/10)-'NF - 5 Power Mix'!CWZ21-'NF - 5 Power Mix'!CWZ22</f>
        <v>0</v>
      </c>
      <c r="CXA42" s="1046">
        <f>CXA38+((CXA40+'NF - 5 Power Mix'!CXA14+'NF - 5 Power Mix'!CXA15)*860/10)+((('Form Sa1'!CXD835)*860)/10)+('Form Sa1'!CXD814*'Form Sa1'!CXD816/10)-'NF - 5 Power Mix'!CXA21-'NF - 5 Power Mix'!CXA22</f>
        <v>0</v>
      </c>
      <c r="CXB42" s="1046">
        <f>CXB38+((CXB40+'NF - 5 Power Mix'!CXB14+'NF - 5 Power Mix'!CXB15)*860/10)+((('Form Sa1'!CXE835)*860)/10)+('Form Sa1'!CXE814*'Form Sa1'!CXE816/10)-'NF - 5 Power Mix'!CXB21-'NF - 5 Power Mix'!CXB22</f>
        <v>0</v>
      </c>
      <c r="CXC42" s="1046">
        <f>CXC38+((CXC40+'NF - 5 Power Mix'!CXC14+'NF - 5 Power Mix'!CXC15)*860/10)+((('Form Sa1'!CXF835)*860)/10)+('Form Sa1'!CXF814*'Form Sa1'!CXF816/10)-'NF - 5 Power Mix'!CXC21-'NF - 5 Power Mix'!CXC22</f>
        <v>0</v>
      </c>
      <c r="CXD42" s="1046">
        <f>CXD38+((CXD40+'NF - 5 Power Mix'!CXD14+'NF - 5 Power Mix'!CXD15)*860/10)+((('Form Sa1'!CXG835)*860)/10)+('Form Sa1'!CXG814*'Form Sa1'!CXG816/10)-'NF - 5 Power Mix'!CXD21-'NF - 5 Power Mix'!CXD22</f>
        <v>0</v>
      </c>
      <c r="CXE42" s="1046">
        <f>CXE38+((CXE40+'NF - 5 Power Mix'!CXE14+'NF - 5 Power Mix'!CXE15)*860/10)+((('Form Sa1'!CXH835)*860)/10)+('Form Sa1'!CXH814*'Form Sa1'!CXH816/10)-'NF - 5 Power Mix'!CXE21-'NF - 5 Power Mix'!CXE22</f>
        <v>0</v>
      </c>
      <c r="CXF42" s="1046">
        <f>CXF38+((CXF40+'NF - 5 Power Mix'!CXF14+'NF - 5 Power Mix'!CXF15)*860/10)+((('Form Sa1'!CXI835)*860)/10)+('Form Sa1'!CXI814*'Form Sa1'!CXI816/10)-'NF - 5 Power Mix'!CXF21-'NF - 5 Power Mix'!CXF22</f>
        <v>0</v>
      </c>
      <c r="CXG42" s="1046">
        <f>CXG38+((CXG40+'NF - 5 Power Mix'!CXG14+'NF - 5 Power Mix'!CXG15)*860/10)+((('Form Sa1'!CXJ835)*860)/10)+('Form Sa1'!CXJ814*'Form Sa1'!CXJ816/10)-'NF - 5 Power Mix'!CXG21-'NF - 5 Power Mix'!CXG22</f>
        <v>0</v>
      </c>
      <c r="CXH42" s="1046">
        <f>CXH38+((CXH40+'NF - 5 Power Mix'!CXH14+'NF - 5 Power Mix'!CXH15)*860/10)+((('Form Sa1'!CXK835)*860)/10)+('Form Sa1'!CXK814*'Form Sa1'!CXK816/10)-'NF - 5 Power Mix'!CXH21-'NF - 5 Power Mix'!CXH22</f>
        <v>0</v>
      </c>
      <c r="CXI42" s="1046">
        <f>CXI38+((CXI40+'NF - 5 Power Mix'!CXI14+'NF - 5 Power Mix'!CXI15)*860/10)+((('Form Sa1'!CXL835)*860)/10)+('Form Sa1'!CXL814*'Form Sa1'!CXL816/10)-'NF - 5 Power Mix'!CXI21-'NF - 5 Power Mix'!CXI22</f>
        <v>0</v>
      </c>
      <c r="CXJ42" s="1046">
        <f>CXJ38+((CXJ40+'NF - 5 Power Mix'!CXJ14+'NF - 5 Power Mix'!CXJ15)*860/10)+((('Form Sa1'!CXM835)*860)/10)+('Form Sa1'!CXM814*'Form Sa1'!CXM816/10)-'NF - 5 Power Mix'!CXJ21-'NF - 5 Power Mix'!CXJ22</f>
        <v>0</v>
      </c>
      <c r="CXK42" s="1046">
        <f>CXK38+((CXK40+'NF - 5 Power Mix'!CXK14+'NF - 5 Power Mix'!CXK15)*860/10)+((('Form Sa1'!CXN835)*860)/10)+('Form Sa1'!CXN814*'Form Sa1'!CXN816/10)-'NF - 5 Power Mix'!CXK21-'NF - 5 Power Mix'!CXK22</f>
        <v>0</v>
      </c>
      <c r="CXL42" s="1046">
        <f>CXL38+((CXL40+'NF - 5 Power Mix'!CXL14+'NF - 5 Power Mix'!CXL15)*860/10)+((('Form Sa1'!CXO835)*860)/10)+('Form Sa1'!CXO814*'Form Sa1'!CXO816/10)-'NF - 5 Power Mix'!CXL21-'NF - 5 Power Mix'!CXL22</f>
        <v>0</v>
      </c>
      <c r="CXM42" s="1046">
        <f>CXM38+((CXM40+'NF - 5 Power Mix'!CXM14+'NF - 5 Power Mix'!CXM15)*860/10)+((('Form Sa1'!CXP835)*860)/10)+('Form Sa1'!CXP814*'Form Sa1'!CXP816/10)-'NF - 5 Power Mix'!CXM21-'NF - 5 Power Mix'!CXM22</f>
        <v>0</v>
      </c>
      <c r="CXN42" s="1046">
        <f>CXN38+((CXN40+'NF - 5 Power Mix'!CXN14+'NF - 5 Power Mix'!CXN15)*860/10)+((('Form Sa1'!CXQ835)*860)/10)+('Form Sa1'!CXQ814*'Form Sa1'!CXQ816/10)-'NF - 5 Power Mix'!CXN21-'NF - 5 Power Mix'!CXN22</f>
        <v>0</v>
      </c>
      <c r="CXO42" s="1046">
        <f>CXO38+((CXO40+'NF - 5 Power Mix'!CXO14+'NF - 5 Power Mix'!CXO15)*860/10)+((('Form Sa1'!CXR835)*860)/10)+('Form Sa1'!CXR814*'Form Sa1'!CXR816/10)-'NF - 5 Power Mix'!CXO21-'NF - 5 Power Mix'!CXO22</f>
        <v>0</v>
      </c>
      <c r="CXP42" s="1046">
        <f>CXP38+((CXP40+'NF - 5 Power Mix'!CXP14+'NF - 5 Power Mix'!CXP15)*860/10)+((('Form Sa1'!CXS835)*860)/10)+('Form Sa1'!CXS814*'Form Sa1'!CXS816/10)-'NF - 5 Power Mix'!CXP21-'NF - 5 Power Mix'!CXP22</f>
        <v>0</v>
      </c>
      <c r="CXQ42" s="1046">
        <f>CXQ38+((CXQ40+'NF - 5 Power Mix'!CXQ14+'NF - 5 Power Mix'!CXQ15)*860/10)+((('Form Sa1'!CXT835)*860)/10)+('Form Sa1'!CXT814*'Form Sa1'!CXT816/10)-'NF - 5 Power Mix'!CXQ21-'NF - 5 Power Mix'!CXQ22</f>
        <v>0</v>
      </c>
      <c r="CXR42" s="1046">
        <f>CXR38+((CXR40+'NF - 5 Power Mix'!CXR14+'NF - 5 Power Mix'!CXR15)*860/10)+((('Form Sa1'!CXU835)*860)/10)+('Form Sa1'!CXU814*'Form Sa1'!CXU816/10)-'NF - 5 Power Mix'!CXR21-'NF - 5 Power Mix'!CXR22</f>
        <v>0</v>
      </c>
      <c r="CXS42" s="1046">
        <f>CXS38+((CXS40+'NF - 5 Power Mix'!CXS14+'NF - 5 Power Mix'!CXS15)*860/10)+((('Form Sa1'!CXV835)*860)/10)+('Form Sa1'!CXV814*'Form Sa1'!CXV816/10)-'NF - 5 Power Mix'!CXS21-'NF - 5 Power Mix'!CXS22</f>
        <v>0</v>
      </c>
      <c r="CXT42" s="1046">
        <f>CXT38+((CXT40+'NF - 5 Power Mix'!CXT14+'NF - 5 Power Mix'!CXT15)*860/10)+((('Form Sa1'!CXW835)*860)/10)+('Form Sa1'!CXW814*'Form Sa1'!CXW816/10)-'NF - 5 Power Mix'!CXT21-'NF - 5 Power Mix'!CXT22</f>
        <v>0</v>
      </c>
      <c r="CXU42" s="1046">
        <f>CXU38+((CXU40+'NF - 5 Power Mix'!CXU14+'NF - 5 Power Mix'!CXU15)*860/10)+((('Form Sa1'!CXX835)*860)/10)+('Form Sa1'!CXX814*'Form Sa1'!CXX816/10)-'NF - 5 Power Mix'!CXU21-'NF - 5 Power Mix'!CXU22</f>
        <v>0</v>
      </c>
      <c r="CXV42" s="1046">
        <f>CXV38+((CXV40+'NF - 5 Power Mix'!CXV14+'NF - 5 Power Mix'!CXV15)*860/10)+((('Form Sa1'!CXY835)*860)/10)+('Form Sa1'!CXY814*'Form Sa1'!CXY816/10)-'NF - 5 Power Mix'!CXV21-'NF - 5 Power Mix'!CXV22</f>
        <v>0</v>
      </c>
      <c r="CXW42" s="1046">
        <f>CXW38+((CXW40+'NF - 5 Power Mix'!CXW14+'NF - 5 Power Mix'!CXW15)*860/10)+((('Form Sa1'!CXZ835)*860)/10)+('Form Sa1'!CXZ814*'Form Sa1'!CXZ816/10)-'NF - 5 Power Mix'!CXW21-'NF - 5 Power Mix'!CXW22</f>
        <v>0</v>
      </c>
      <c r="CXX42" s="1046">
        <f>CXX38+((CXX40+'NF - 5 Power Mix'!CXX14+'NF - 5 Power Mix'!CXX15)*860/10)+((('Form Sa1'!CYA835)*860)/10)+('Form Sa1'!CYA814*'Form Sa1'!CYA816/10)-'NF - 5 Power Mix'!CXX21-'NF - 5 Power Mix'!CXX22</f>
        <v>0</v>
      </c>
      <c r="CXY42" s="1046">
        <f>CXY38+((CXY40+'NF - 5 Power Mix'!CXY14+'NF - 5 Power Mix'!CXY15)*860/10)+((('Form Sa1'!CYB835)*860)/10)+('Form Sa1'!CYB814*'Form Sa1'!CYB816/10)-'NF - 5 Power Mix'!CXY21-'NF - 5 Power Mix'!CXY22</f>
        <v>0</v>
      </c>
      <c r="CXZ42" s="1046">
        <f>CXZ38+((CXZ40+'NF - 5 Power Mix'!CXZ14+'NF - 5 Power Mix'!CXZ15)*860/10)+((('Form Sa1'!CYC835)*860)/10)+('Form Sa1'!CYC814*'Form Sa1'!CYC816/10)-'NF - 5 Power Mix'!CXZ21-'NF - 5 Power Mix'!CXZ22</f>
        <v>0</v>
      </c>
      <c r="CYA42" s="1046">
        <f>CYA38+((CYA40+'NF - 5 Power Mix'!CYA14+'NF - 5 Power Mix'!CYA15)*860/10)+((('Form Sa1'!CYD835)*860)/10)+('Form Sa1'!CYD814*'Form Sa1'!CYD816/10)-'NF - 5 Power Mix'!CYA21-'NF - 5 Power Mix'!CYA22</f>
        <v>0</v>
      </c>
      <c r="CYB42" s="1046">
        <f>CYB38+((CYB40+'NF - 5 Power Mix'!CYB14+'NF - 5 Power Mix'!CYB15)*860/10)+((('Form Sa1'!CYE835)*860)/10)+('Form Sa1'!CYE814*'Form Sa1'!CYE816/10)-'NF - 5 Power Mix'!CYB21-'NF - 5 Power Mix'!CYB22</f>
        <v>0</v>
      </c>
      <c r="CYC42" s="1046">
        <f>CYC38+((CYC40+'NF - 5 Power Mix'!CYC14+'NF - 5 Power Mix'!CYC15)*860/10)+((('Form Sa1'!CYF835)*860)/10)+('Form Sa1'!CYF814*'Form Sa1'!CYF816/10)-'NF - 5 Power Mix'!CYC21-'NF - 5 Power Mix'!CYC22</f>
        <v>0</v>
      </c>
      <c r="CYD42" s="1046">
        <f>CYD38+((CYD40+'NF - 5 Power Mix'!CYD14+'NF - 5 Power Mix'!CYD15)*860/10)+((('Form Sa1'!CYG835)*860)/10)+('Form Sa1'!CYG814*'Form Sa1'!CYG816/10)-'NF - 5 Power Mix'!CYD21-'NF - 5 Power Mix'!CYD22</f>
        <v>0</v>
      </c>
      <c r="CYE42" s="1046">
        <f>CYE38+((CYE40+'NF - 5 Power Mix'!CYE14+'NF - 5 Power Mix'!CYE15)*860/10)+((('Form Sa1'!CYH835)*860)/10)+('Form Sa1'!CYH814*'Form Sa1'!CYH816/10)-'NF - 5 Power Mix'!CYE21-'NF - 5 Power Mix'!CYE22</f>
        <v>0</v>
      </c>
      <c r="CYF42" s="1046">
        <f>CYF38+((CYF40+'NF - 5 Power Mix'!CYF14+'NF - 5 Power Mix'!CYF15)*860/10)+((('Form Sa1'!CYI835)*860)/10)+('Form Sa1'!CYI814*'Form Sa1'!CYI816/10)-'NF - 5 Power Mix'!CYF21-'NF - 5 Power Mix'!CYF22</f>
        <v>0</v>
      </c>
      <c r="CYG42" s="1046">
        <f>CYG38+((CYG40+'NF - 5 Power Mix'!CYG14+'NF - 5 Power Mix'!CYG15)*860/10)+((('Form Sa1'!CYJ835)*860)/10)+('Form Sa1'!CYJ814*'Form Sa1'!CYJ816/10)-'NF - 5 Power Mix'!CYG21-'NF - 5 Power Mix'!CYG22</f>
        <v>0</v>
      </c>
      <c r="CYH42" s="1046">
        <f>CYH38+((CYH40+'NF - 5 Power Mix'!CYH14+'NF - 5 Power Mix'!CYH15)*860/10)+((('Form Sa1'!CYK835)*860)/10)+('Form Sa1'!CYK814*'Form Sa1'!CYK816/10)-'NF - 5 Power Mix'!CYH21-'NF - 5 Power Mix'!CYH22</f>
        <v>0</v>
      </c>
      <c r="CYI42" s="1046">
        <f>CYI38+((CYI40+'NF - 5 Power Mix'!CYI14+'NF - 5 Power Mix'!CYI15)*860/10)+((('Form Sa1'!CYL835)*860)/10)+('Form Sa1'!CYL814*'Form Sa1'!CYL816/10)-'NF - 5 Power Mix'!CYI21-'NF - 5 Power Mix'!CYI22</f>
        <v>0</v>
      </c>
      <c r="CYJ42" s="1046">
        <f>CYJ38+((CYJ40+'NF - 5 Power Mix'!CYJ14+'NF - 5 Power Mix'!CYJ15)*860/10)+((('Form Sa1'!CYM835)*860)/10)+('Form Sa1'!CYM814*'Form Sa1'!CYM816/10)-'NF - 5 Power Mix'!CYJ21-'NF - 5 Power Mix'!CYJ22</f>
        <v>0</v>
      </c>
      <c r="CYK42" s="1046">
        <f>CYK38+((CYK40+'NF - 5 Power Mix'!CYK14+'NF - 5 Power Mix'!CYK15)*860/10)+((('Form Sa1'!CYN835)*860)/10)+('Form Sa1'!CYN814*'Form Sa1'!CYN816/10)-'NF - 5 Power Mix'!CYK21-'NF - 5 Power Mix'!CYK22</f>
        <v>0</v>
      </c>
      <c r="CYL42" s="1046">
        <f>CYL38+((CYL40+'NF - 5 Power Mix'!CYL14+'NF - 5 Power Mix'!CYL15)*860/10)+((('Form Sa1'!CYO835)*860)/10)+('Form Sa1'!CYO814*'Form Sa1'!CYO816/10)-'NF - 5 Power Mix'!CYL21-'NF - 5 Power Mix'!CYL22</f>
        <v>0</v>
      </c>
      <c r="CYM42" s="1046">
        <f>CYM38+((CYM40+'NF - 5 Power Mix'!CYM14+'NF - 5 Power Mix'!CYM15)*860/10)+((('Form Sa1'!CYP835)*860)/10)+('Form Sa1'!CYP814*'Form Sa1'!CYP816/10)-'NF - 5 Power Mix'!CYM21-'NF - 5 Power Mix'!CYM22</f>
        <v>0</v>
      </c>
      <c r="CYN42" s="1046">
        <f>CYN38+((CYN40+'NF - 5 Power Mix'!CYN14+'NF - 5 Power Mix'!CYN15)*860/10)+((('Form Sa1'!CYQ835)*860)/10)+('Form Sa1'!CYQ814*'Form Sa1'!CYQ816/10)-'NF - 5 Power Mix'!CYN21-'NF - 5 Power Mix'!CYN22</f>
        <v>0</v>
      </c>
      <c r="CYO42" s="1046">
        <f>CYO38+((CYO40+'NF - 5 Power Mix'!CYO14+'NF - 5 Power Mix'!CYO15)*860/10)+((('Form Sa1'!CYR835)*860)/10)+('Form Sa1'!CYR814*'Form Sa1'!CYR816/10)-'NF - 5 Power Mix'!CYO21-'NF - 5 Power Mix'!CYO22</f>
        <v>0</v>
      </c>
      <c r="CYP42" s="1046">
        <f>CYP38+((CYP40+'NF - 5 Power Mix'!CYP14+'NF - 5 Power Mix'!CYP15)*860/10)+((('Form Sa1'!CYS835)*860)/10)+('Form Sa1'!CYS814*'Form Sa1'!CYS816/10)-'NF - 5 Power Mix'!CYP21-'NF - 5 Power Mix'!CYP22</f>
        <v>0</v>
      </c>
      <c r="CYQ42" s="1046">
        <f>CYQ38+((CYQ40+'NF - 5 Power Mix'!CYQ14+'NF - 5 Power Mix'!CYQ15)*860/10)+((('Form Sa1'!CYT835)*860)/10)+('Form Sa1'!CYT814*'Form Sa1'!CYT816/10)-'NF - 5 Power Mix'!CYQ21-'NF - 5 Power Mix'!CYQ22</f>
        <v>0</v>
      </c>
      <c r="CYR42" s="1046">
        <f>CYR38+((CYR40+'NF - 5 Power Mix'!CYR14+'NF - 5 Power Mix'!CYR15)*860/10)+((('Form Sa1'!CYU835)*860)/10)+('Form Sa1'!CYU814*'Form Sa1'!CYU816/10)-'NF - 5 Power Mix'!CYR21-'NF - 5 Power Mix'!CYR22</f>
        <v>0</v>
      </c>
      <c r="CYS42" s="1046">
        <f>CYS38+((CYS40+'NF - 5 Power Mix'!CYS14+'NF - 5 Power Mix'!CYS15)*860/10)+((('Form Sa1'!CYV835)*860)/10)+('Form Sa1'!CYV814*'Form Sa1'!CYV816/10)-'NF - 5 Power Mix'!CYS21-'NF - 5 Power Mix'!CYS22</f>
        <v>0</v>
      </c>
      <c r="CYT42" s="1046">
        <f>CYT38+((CYT40+'NF - 5 Power Mix'!CYT14+'NF - 5 Power Mix'!CYT15)*860/10)+((('Form Sa1'!CYW835)*860)/10)+('Form Sa1'!CYW814*'Form Sa1'!CYW816/10)-'NF - 5 Power Mix'!CYT21-'NF - 5 Power Mix'!CYT22</f>
        <v>0</v>
      </c>
      <c r="CYU42" s="1046">
        <f>CYU38+((CYU40+'NF - 5 Power Mix'!CYU14+'NF - 5 Power Mix'!CYU15)*860/10)+((('Form Sa1'!CYX835)*860)/10)+('Form Sa1'!CYX814*'Form Sa1'!CYX816/10)-'NF - 5 Power Mix'!CYU21-'NF - 5 Power Mix'!CYU22</f>
        <v>0</v>
      </c>
      <c r="CYV42" s="1046">
        <f>CYV38+((CYV40+'NF - 5 Power Mix'!CYV14+'NF - 5 Power Mix'!CYV15)*860/10)+((('Form Sa1'!CYY835)*860)/10)+('Form Sa1'!CYY814*'Form Sa1'!CYY816/10)-'NF - 5 Power Mix'!CYV21-'NF - 5 Power Mix'!CYV22</f>
        <v>0</v>
      </c>
      <c r="CYW42" s="1046">
        <f>CYW38+((CYW40+'NF - 5 Power Mix'!CYW14+'NF - 5 Power Mix'!CYW15)*860/10)+((('Form Sa1'!CYZ835)*860)/10)+('Form Sa1'!CYZ814*'Form Sa1'!CYZ816/10)-'NF - 5 Power Mix'!CYW21-'NF - 5 Power Mix'!CYW22</f>
        <v>0</v>
      </c>
      <c r="CYX42" s="1046">
        <f>CYX38+((CYX40+'NF - 5 Power Mix'!CYX14+'NF - 5 Power Mix'!CYX15)*860/10)+((('Form Sa1'!CZA835)*860)/10)+('Form Sa1'!CZA814*'Form Sa1'!CZA816/10)-'NF - 5 Power Mix'!CYX21-'NF - 5 Power Mix'!CYX22</f>
        <v>0</v>
      </c>
      <c r="CYY42" s="1046">
        <f>CYY38+((CYY40+'NF - 5 Power Mix'!CYY14+'NF - 5 Power Mix'!CYY15)*860/10)+((('Form Sa1'!CZB835)*860)/10)+('Form Sa1'!CZB814*'Form Sa1'!CZB816/10)-'NF - 5 Power Mix'!CYY21-'NF - 5 Power Mix'!CYY22</f>
        <v>0</v>
      </c>
      <c r="CYZ42" s="1046">
        <f>CYZ38+((CYZ40+'NF - 5 Power Mix'!CYZ14+'NF - 5 Power Mix'!CYZ15)*860/10)+((('Form Sa1'!CZC835)*860)/10)+('Form Sa1'!CZC814*'Form Sa1'!CZC816/10)-'NF - 5 Power Mix'!CYZ21-'NF - 5 Power Mix'!CYZ22</f>
        <v>0</v>
      </c>
      <c r="CZA42" s="1046">
        <f>CZA38+((CZA40+'NF - 5 Power Mix'!CZA14+'NF - 5 Power Mix'!CZA15)*860/10)+((('Form Sa1'!CZD835)*860)/10)+('Form Sa1'!CZD814*'Form Sa1'!CZD816/10)-'NF - 5 Power Mix'!CZA21-'NF - 5 Power Mix'!CZA22</f>
        <v>0</v>
      </c>
      <c r="CZB42" s="1046">
        <f>CZB38+((CZB40+'NF - 5 Power Mix'!CZB14+'NF - 5 Power Mix'!CZB15)*860/10)+((('Form Sa1'!CZE835)*860)/10)+('Form Sa1'!CZE814*'Form Sa1'!CZE816/10)-'NF - 5 Power Mix'!CZB21-'NF - 5 Power Mix'!CZB22</f>
        <v>0</v>
      </c>
      <c r="CZC42" s="1046">
        <f>CZC38+((CZC40+'NF - 5 Power Mix'!CZC14+'NF - 5 Power Mix'!CZC15)*860/10)+((('Form Sa1'!CZF835)*860)/10)+('Form Sa1'!CZF814*'Form Sa1'!CZF816/10)-'NF - 5 Power Mix'!CZC21-'NF - 5 Power Mix'!CZC22</f>
        <v>0</v>
      </c>
      <c r="CZD42" s="1046">
        <f>CZD38+((CZD40+'NF - 5 Power Mix'!CZD14+'NF - 5 Power Mix'!CZD15)*860/10)+((('Form Sa1'!CZG835)*860)/10)+('Form Sa1'!CZG814*'Form Sa1'!CZG816/10)-'NF - 5 Power Mix'!CZD21-'NF - 5 Power Mix'!CZD22</f>
        <v>0</v>
      </c>
      <c r="CZE42" s="1046">
        <f>CZE38+((CZE40+'NF - 5 Power Mix'!CZE14+'NF - 5 Power Mix'!CZE15)*860/10)+((('Form Sa1'!CZH835)*860)/10)+('Form Sa1'!CZH814*'Form Sa1'!CZH816/10)-'NF - 5 Power Mix'!CZE21-'NF - 5 Power Mix'!CZE22</f>
        <v>0</v>
      </c>
      <c r="CZF42" s="1046">
        <f>CZF38+((CZF40+'NF - 5 Power Mix'!CZF14+'NF - 5 Power Mix'!CZF15)*860/10)+((('Form Sa1'!CZI835)*860)/10)+('Form Sa1'!CZI814*'Form Sa1'!CZI816/10)-'NF - 5 Power Mix'!CZF21-'NF - 5 Power Mix'!CZF22</f>
        <v>0</v>
      </c>
      <c r="CZG42" s="1046">
        <f>CZG38+((CZG40+'NF - 5 Power Mix'!CZG14+'NF - 5 Power Mix'!CZG15)*860/10)+((('Form Sa1'!CZJ835)*860)/10)+('Form Sa1'!CZJ814*'Form Sa1'!CZJ816/10)-'NF - 5 Power Mix'!CZG21-'NF - 5 Power Mix'!CZG22</f>
        <v>0</v>
      </c>
      <c r="CZH42" s="1046">
        <f>CZH38+((CZH40+'NF - 5 Power Mix'!CZH14+'NF - 5 Power Mix'!CZH15)*860/10)+((('Form Sa1'!CZK835)*860)/10)+('Form Sa1'!CZK814*'Form Sa1'!CZK816/10)-'NF - 5 Power Mix'!CZH21-'NF - 5 Power Mix'!CZH22</f>
        <v>0</v>
      </c>
      <c r="CZI42" s="1046">
        <f>CZI38+((CZI40+'NF - 5 Power Mix'!CZI14+'NF - 5 Power Mix'!CZI15)*860/10)+((('Form Sa1'!CZL835)*860)/10)+('Form Sa1'!CZL814*'Form Sa1'!CZL816/10)-'NF - 5 Power Mix'!CZI21-'NF - 5 Power Mix'!CZI22</f>
        <v>0</v>
      </c>
      <c r="CZJ42" s="1046">
        <f>CZJ38+((CZJ40+'NF - 5 Power Mix'!CZJ14+'NF - 5 Power Mix'!CZJ15)*860/10)+((('Form Sa1'!CZM835)*860)/10)+('Form Sa1'!CZM814*'Form Sa1'!CZM816/10)-'NF - 5 Power Mix'!CZJ21-'NF - 5 Power Mix'!CZJ22</f>
        <v>0</v>
      </c>
      <c r="CZK42" s="1046">
        <f>CZK38+((CZK40+'NF - 5 Power Mix'!CZK14+'NF - 5 Power Mix'!CZK15)*860/10)+((('Form Sa1'!CZN835)*860)/10)+('Form Sa1'!CZN814*'Form Sa1'!CZN816/10)-'NF - 5 Power Mix'!CZK21-'NF - 5 Power Mix'!CZK22</f>
        <v>0</v>
      </c>
      <c r="CZL42" s="1046">
        <f>CZL38+((CZL40+'NF - 5 Power Mix'!CZL14+'NF - 5 Power Mix'!CZL15)*860/10)+((('Form Sa1'!CZO835)*860)/10)+('Form Sa1'!CZO814*'Form Sa1'!CZO816/10)-'NF - 5 Power Mix'!CZL21-'NF - 5 Power Mix'!CZL22</f>
        <v>0</v>
      </c>
      <c r="CZM42" s="1046">
        <f>CZM38+((CZM40+'NF - 5 Power Mix'!CZM14+'NF - 5 Power Mix'!CZM15)*860/10)+((('Form Sa1'!CZP835)*860)/10)+('Form Sa1'!CZP814*'Form Sa1'!CZP816/10)-'NF - 5 Power Mix'!CZM21-'NF - 5 Power Mix'!CZM22</f>
        <v>0</v>
      </c>
      <c r="CZN42" s="1046">
        <f>CZN38+((CZN40+'NF - 5 Power Mix'!CZN14+'NF - 5 Power Mix'!CZN15)*860/10)+((('Form Sa1'!CZQ835)*860)/10)+('Form Sa1'!CZQ814*'Form Sa1'!CZQ816/10)-'NF - 5 Power Mix'!CZN21-'NF - 5 Power Mix'!CZN22</f>
        <v>0</v>
      </c>
      <c r="CZO42" s="1046">
        <f>CZO38+((CZO40+'NF - 5 Power Mix'!CZO14+'NF - 5 Power Mix'!CZO15)*860/10)+((('Form Sa1'!CZR835)*860)/10)+('Form Sa1'!CZR814*'Form Sa1'!CZR816/10)-'NF - 5 Power Mix'!CZO21-'NF - 5 Power Mix'!CZO22</f>
        <v>0</v>
      </c>
      <c r="CZP42" s="1046">
        <f>CZP38+((CZP40+'NF - 5 Power Mix'!CZP14+'NF - 5 Power Mix'!CZP15)*860/10)+((('Form Sa1'!CZS835)*860)/10)+('Form Sa1'!CZS814*'Form Sa1'!CZS816/10)-'NF - 5 Power Mix'!CZP21-'NF - 5 Power Mix'!CZP22</f>
        <v>0</v>
      </c>
      <c r="CZQ42" s="1046">
        <f>CZQ38+((CZQ40+'NF - 5 Power Mix'!CZQ14+'NF - 5 Power Mix'!CZQ15)*860/10)+((('Form Sa1'!CZT835)*860)/10)+('Form Sa1'!CZT814*'Form Sa1'!CZT816/10)-'NF - 5 Power Mix'!CZQ21-'NF - 5 Power Mix'!CZQ22</f>
        <v>0</v>
      </c>
      <c r="CZR42" s="1046">
        <f>CZR38+((CZR40+'NF - 5 Power Mix'!CZR14+'NF - 5 Power Mix'!CZR15)*860/10)+((('Form Sa1'!CZU835)*860)/10)+('Form Sa1'!CZU814*'Form Sa1'!CZU816/10)-'NF - 5 Power Mix'!CZR21-'NF - 5 Power Mix'!CZR22</f>
        <v>0</v>
      </c>
      <c r="CZS42" s="1046">
        <f>CZS38+((CZS40+'NF - 5 Power Mix'!CZS14+'NF - 5 Power Mix'!CZS15)*860/10)+((('Form Sa1'!CZV835)*860)/10)+('Form Sa1'!CZV814*'Form Sa1'!CZV816/10)-'NF - 5 Power Mix'!CZS21-'NF - 5 Power Mix'!CZS22</f>
        <v>0</v>
      </c>
      <c r="CZT42" s="1046">
        <f>CZT38+((CZT40+'NF - 5 Power Mix'!CZT14+'NF - 5 Power Mix'!CZT15)*860/10)+((('Form Sa1'!CZW835)*860)/10)+('Form Sa1'!CZW814*'Form Sa1'!CZW816/10)-'NF - 5 Power Mix'!CZT21-'NF - 5 Power Mix'!CZT22</f>
        <v>0</v>
      </c>
      <c r="CZU42" s="1046">
        <f>CZU38+((CZU40+'NF - 5 Power Mix'!CZU14+'NF - 5 Power Mix'!CZU15)*860/10)+((('Form Sa1'!CZX835)*860)/10)+('Form Sa1'!CZX814*'Form Sa1'!CZX816/10)-'NF - 5 Power Mix'!CZU21-'NF - 5 Power Mix'!CZU22</f>
        <v>0</v>
      </c>
      <c r="CZV42" s="1046">
        <f>CZV38+((CZV40+'NF - 5 Power Mix'!CZV14+'NF - 5 Power Mix'!CZV15)*860/10)+((('Form Sa1'!CZY835)*860)/10)+('Form Sa1'!CZY814*'Form Sa1'!CZY816/10)-'NF - 5 Power Mix'!CZV21-'NF - 5 Power Mix'!CZV22</f>
        <v>0</v>
      </c>
      <c r="CZW42" s="1046">
        <f>CZW38+((CZW40+'NF - 5 Power Mix'!CZW14+'NF - 5 Power Mix'!CZW15)*860/10)+((('Form Sa1'!CZZ835)*860)/10)+('Form Sa1'!CZZ814*'Form Sa1'!CZZ816/10)-'NF - 5 Power Mix'!CZW21-'NF - 5 Power Mix'!CZW22</f>
        <v>0</v>
      </c>
      <c r="CZX42" s="1046">
        <f>CZX38+((CZX40+'NF - 5 Power Mix'!CZX14+'NF - 5 Power Mix'!CZX15)*860/10)+((('Form Sa1'!DAA835)*860)/10)+('Form Sa1'!DAA814*'Form Sa1'!DAA816/10)-'NF - 5 Power Mix'!CZX21-'NF - 5 Power Mix'!CZX22</f>
        <v>0</v>
      </c>
      <c r="CZY42" s="1046">
        <f>CZY38+((CZY40+'NF - 5 Power Mix'!CZY14+'NF - 5 Power Mix'!CZY15)*860/10)+((('Form Sa1'!DAB835)*860)/10)+('Form Sa1'!DAB814*'Form Sa1'!DAB816/10)-'NF - 5 Power Mix'!CZY21-'NF - 5 Power Mix'!CZY22</f>
        <v>0</v>
      </c>
      <c r="CZZ42" s="1046">
        <f>CZZ38+((CZZ40+'NF - 5 Power Mix'!CZZ14+'NF - 5 Power Mix'!CZZ15)*860/10)+((('Form Sa1'!DAC835)*860)/10)+('Form Sa1'!DAC814*'Form Sa1'!DAC816/10)-'NF - 5 Power Mix'!CZZ21-'NF - 5 Power Mix'!CZZ22</f>
        <v>0</v>
      </c>
      <c r="DAA42" s="1046">
        <f>DAA38+((DAA40+'NF - 5 Power Mix'!DAA14+'NF - 5 Power Mix'!DAA15)*860/10)+((('Form Sa1'!DAD835)*860)/10)+('Form Sa1'!DAD814*'Form Sa1'!DAD816/10)-'NF - 5 Power Mix'!DAA21-'NF - 5 Power Mix'!DAA22</f>
        <v>0</v>
      </c>
      <c r="DAB42" s="1046">
        <f>DAB38+((DAB40+'NF - 5 Power Mix'!DAB14+'NF - 5 Power Mix'!DAB15)*860/10)+((('Form Sa1'!DAE835)*860)/10)+('Form Sa1'!DAE814*'Form Sa1'!DAE816/10)-'NF - 5 Power Mix'!DAB21-'NF - 5 Power Mix'!DAB22</f>
        <v>0</v>
      </c>
      <c r="DAC42" s="1046">
        <f>DAC38+((DAC40+'NF - 5 Power Mix'!DAC14+'NF - 5 Power Mix'!DAC15)*860/10)+((('Form Sa1'!DAF835)*860)/10)+('Form Sa1'!DAF814*'Form Sa1'!DAF816/10)-'NF - 5 Power Mix'!DAC21-'NF - 5 Power Mix'!DAC22</f>
        <v>0</v>
      </c>
      <c r="DAD42" s="1046">
        <f>DAD38+((DAD40+'NF - 5 Power Mix'!DAD14+'NF - 5 Power Mix'!DAD15)*860/10)+((('Form Sa1'!DAG835)*860)/10)+('Form Sa1'!DAG814*'Form Sa1'!DAG816/10)-'NF - 5 Power Mix'!DAD21-'NF - 5 Power Mix'!DAD22</f>
        <v>0</v>
      </c>
      <c r="DAE42" s="1046">
        <f>DAE38+((DAE40+'NF - 5 Power Mix'!DAE14+'NF - 5 Power Mix'!DAE15)*860/10)+((('Form Sa1'!DAH835)*860)/10)+('Form Sa1'!DAH814*'Form Sa1'!DAH816/10)-'NF - 5 Power Mix'!DAE21-'NF - 5 Power Mix'!DAE22</f>
        <v>0</v>
      </c>
      <c r="DAF42" s="1046">
        <f>DAF38+((DAF40+'NF - 5 Power Mix'!DAF14+'NF - 5 Power Mix'!DAF15)*860/10)+((('Form Sa1'!DAI835)*860)/10)+('Form Sa1'!DAI814*'Form Sa1'!DAI816/10)-'NF - 5 Power Mix'!DAF21-'NF - 5 Power Mix'!DAF22</f>
        <v>0</v>
      </c>
      <c r="DAG42" s="1046">
        <f>DAG38+((DAG40+'NF - 5 Power Mix'!DAG14+'NF - 5 Power Mix'!DAG15)*860/10)+((('Form Sa1'!DAJ835)*860)/10)+('Form Sa1'!DAJ814*'Form Sa1'!DAJ816/10)-'NF - 5 Power Mix'!DAG21-'NF - 5 Power Mix'!DAG22</f>
        <v>0</v>
      </c>
      <c r="DAH42" s="1046">
        <f>DAH38+((DAH40+'NF - 5 Power Mix'!DAH14+'NF - 5 Power Mix'!DAH15)*860/10)+((('Form Sa1'!DAK835)*860)/10)+('Form Sa1'!DAK814*'Form Sa1'!DAK816/10)-'NF - 5 Power Mix'!DAH21-'NF - 5 Power Mix'!DAH22</f>
        <v>0</v>
      </c>
      <c r="DAI42" s="1046">
        <f>DAI38+((DAI40+'NF - 5 Power Mix'!DAI14+'NF - 5 Power Mix'!DAI15)*860/10)+((('Form Sa1'!DAL835)*860)/10)+('Form Sa1'!DAL814*'Form Sa1'!DAL816/10)-'NF - 5 Power Mix'!DAI21-'NF - 5 Power Mix'!DAI22</f>
        <v>0</v>
      </c>
      <c r="DAJ42" s="1046">
        <f>DAJ38+((DAJ40+'NF - 5 Power Mix'!DAJ14+'NF - 5 Power Mix'!DAJ15)*860/10)+((('Form Sa1'!DAM835)*860)/10)+('Form Sa1'!DAM814*'Form Sa1'!DAM816/10)-'NF - 5 Power Mix'!DAJ21-'NF - 5 Power Mix'!DAJ22</f>
        <v>0</v>
      </c>
      <c r="DAK42" s="1046">
        <f>DAK38+((DAK40+'NF - 5 Power Mix'!DAK14+'NF - 5 Power Mix'!DAK15)*860/10)+((('Form Sa1'!DAN835)*860)/10)+('Form Sa1'!DAN814*'Form Sa1'!DAN816/10)-'NF - 5 Power Mix'!DAK21-'NF - 5 Power Mix'!DAK22</f>
        <v>0</v>
      </c>
      <c r="DAL42" s="1046">
        <f>DAL38+((DAL40+'NF - 5 Power Mix'!DAL14+'NF - 5 Power Mix'!DAL15)*860/10)+((('Form Sa1'!DAO835)*860)/10)+('Form Sa1'!DAO814*'Form Sa1'!DAO816/10)-'NF - 5 Power Mix'!DAL21-'NF - 5 Power Mix'!DAL22</f>
        <v>0</v>
      </c>
      <c r="DAM42" s="1046">
        <f>DAM38+((DAM40+'NF - 5 Power Mix'!DAM14+'NF - 5 Power Mix'!DAM15)*860/10)+((('Form Sa1'!DAP835)*860)/10)+('Form Sa1'!DAP814*'Form Sa1'!DAP816/10)-'NF - 5 Power Mix'!DAM21-'NF - 5 Power Mix'!DAM22</f>
        <v>0</v>
      </c>
      <c r="DAN42" s="1046">
        <f>DAN38+((DAN40+'NF - 5 Power Mix'!DAN14+'NF - 5 Power Mix'!DAN15)*860/10)+((('Form Sa1'!DAQ835)*860)/10)+('Form Sa1'!DAQ814*'Form Sa1'!DAQ816/10)-'NF - 5 Power Mix'!DAN21-'NF - 5 Power Mix'!DAN22</f>
        <v>0</v>
      </c>
      <c r="DAO42" s="1046">
        <f>DAO38+((DAO40+'NF - 5 Power Mix'!DAO14+'NF - 5 Power Mix'!DAO15)*860/10)+((('Form Sa1'!DAR835)*860)/10)+('Form Sa1'!DAR814*'Form Sa1'!DAR816/10)-'NF - 5 Power Mix'!DAO21-'NF - 5 Power Mix'!DAO22</f>
        <v>0</v>
      </c>
      <c r="DAP42" s="1046">
        <f>DAP38+((DAP40+'NF - 5 Power Mix'!DAP14+'NF - 5 Power Mix'!DAP15)*860/10)+((('Form Sa1'!DAS835)*860)/10)+('Form Sa1'!DAS814*'Form Sa1'!DAS816/10)-'NF - 5 Power Mix'!DAP21-'NF - 5 Power Mix'!DAP22</f>
        <v>0</v>
      </c>
      <c r="DAQ42" s="1046">
        <f>DAQ38+((DAQ40+'NF - 5 Power Mix'!DAQ14+'NF - 5 Power Mix'!DAQ15)*860/10)+((('Form Sa1'!DAT835)*860)/10)+('Form Sa1'!DAT814*'Form Sa1'!DAT816/10)-'NF - 5 Power Mix'!DAQ21-'NF - 5 Power Mix'!DAQ22</f>
        <v>0</v>
      </c>
      <c r="DAR42" s="1046">
        <f>DAR38+((DAR40+'NF - 5 Power Mix'!DAR14+'NF - 5 Power Mix'!DAR15)*860/10)+((('Form Sa1'!DAU835)*860)/10)+('Form Sa1'!DAU814*'Form Sa1'!DAU816/10)-'NF - 5 Power Mix'!DAR21-'NF - 5 Power Mix'!DAR22</f>
        <v>0</v>
      </c>
      <c r="DAS42" s="1046">
        <f>DAS38+((DAS40+'NF - 5 Power Mix'!DAS14+'NF - 5 Power Mix'!DAS15)*860/10)+((('Form Sa1'!DAV835)*860)/10)+('Form Sa1'!DAV814*'Form Sa1'!DAV816/10)-'NF - 5 Power Mix'!DAS21-'NF - 5 Power Mix'!DAS22</f>
        <v>0</v>
      </c>
      <c r="DAT42" s="1046">
        <f>DAT38+((DAT40+'NF - 5 Power Mix'!DAT14+'NF - 5 Power Mix'!DAT15)*860/10)+((('Form Sa1'!DAW835)*860)/10)+('Form Sa1'!DAW814*'Form Sa1'!DAW816/10)-'NF - 5 Power Mix'!DAT21-'NF - 5 Power Mix'!DAT22</f>
        <v>0</v>
      </c>
      <c r="DAU42" s="1046">
        <f>DAU38+((DAU40+'NF - 5 Power Mix'!DAU14+'NF - 5 Power Mix'!DAU15)*860/10)+((('Form Sa1'!DAX835)*860)/10)+('Form Sa1'!DAX814*'Form Sa1'!DAX816/10)-'NF - 5 Power Mix'!DAU21-'NF - 5 Power Mix'!DAU22</f>
        <v>0</v>
      </c>
      <c r="DAV42" s="1046">
        <f>DAV38+((DAV40+'NF - 5 Power Mix'!DAV14+'NF - 5 Power Mix'!DAV15)*860/10)+((('Form Sa1'!DAY835)*860)/10)+('Form Sa1'!DAY814*'Form Sa1'!DAY816/10)-'NF - 5 Power Mix'!DAV21-'NF - 5 Power Mix'!DAV22</f>
        <v>0</v>
      </c>
      <c r="DAW42" s="1046">
        <f>DAW38+((DAW40+'NF - 5 Power Mix'!DAW14+'NF - 5 Power Mix'!DAW15)*860/10)+((('Form Sa1'!DAZ835)*860)/10)+('Form Sa1'!DAZ814*'Form Sa1'!DAZ816/10)-'NF - 5 Power Mix'!DAW21-'NF - 5 Power Mix'!DAW22</f>
        <v>0</v>
      </c>
      <c r="DAX42" s="1046">
        <f>DAX38+((DAX40+'NF - 5 Power Mix'!DAX14+'NF - 5 Power Mix'!DAX15)*860/10)+((('Form Sa1'!DBA835)*860)/10)+('Form Sa1'!DBA814*'Form Sa1'!DBA816/10)-'NF - 5 Power Mix'!DAX21-'NF - 5 Power Mix'!DAX22</f>
        <v>0</v>
      </c>
      <c r="DAY42" s="1046">
        <f>DAY38+((DAY40+'NF - 5 Power Mix'!DAY14+'NF - 5 Power Mix'!DAY15)*860/10)+((('Form Sa1'!DBB835)*860)/10)+('Form Sa1'!DBB814*'Form Sa1'!DBB816/10)-'NF - 5 Power Mix'!DAY21-'NF - 5 Power Mix'!DAY22</f>
        <v>0</v>
      </c>
      <c r="DAZ42" s="1046">
        <f>DAZ38+((DAZ40+'NF - 5 Power Mix'!DAZ14+'NF - 5 Power Mix'!DAZ15)*860/10)+((('Form Sa1'!DBC835)*860)/10)+('Form Sa1'!DBC814*'Form Sa1'!DBC816/10)-'NF - 5 Power Mix'!DAZ21-'NF - 5 Power Mix'!DAZ22</f>
        <v>0</v>
      </c>
      <c r="DBA42" s="1046">
        <f>DBA38+((DBA40+'NF - 5 Power Mix'!DBA14+'NF - 5 Power Mix'!DBA15)*860/10)+((('Form Sa1'!DBD835)*860)/10)+('Form Sa1'!DBD814*'Form Sa1'!DBD816/10)-'NF - 5 Power Mix'!DBA21-'NF - 5 Power Mix'!DBA22</f>
        <v>0</v>
      </c>
      <c r="DBB42" s="1046">
        <f>DBB38+((DBB40+'NF - 5 Power Mix'!DBB14+'NF - 5 Power Mix'!DBB15)*860/10)+((('Form Sa1'!DBE835)*860)/10)+('Form Sa1'!DBE814*'Form Sa1'!DBE816/10)-'NF - 5 Power Mix'!DBB21-'NF - 5 Power Mix'!DBB22</f>
        <v>0</v>
      </c>
      <c r="DBC42" s="1046">
        <f>DBC38+((DBC40+'NF - 5 Power Mix'!DBC14+'NF - 5 Power Mix'!DBC15)*860/10)+((('Form Sa1'!DBF835)*860)/10)+('Form Sa1'!DBF814*'Form Sa1'!DBF816/10)-'NF - 5 Power Mix'!DBC21-'NF - 5 Power Mix'!DBC22</f>
        <v>0</v>
      </c>
      <c r="DBD42" s="1046">
        <f>DBD38+((DBD40+'NF - 5 Power Mix'!DBD14+'NF - 5 Power Mix'!DBD15)*860/10)+((('Form Sa1'!DBG835)*860)/10)+('Form Sa1'!DBG814*'Form Sa1'!DBG816/10)-'NF - 5 Power Mix'!DBD21-'NF - 5 Power Mix'!DBD22</f>
        <v>0</v>
      </c>
      <c r="DBE42" s="1046">
        <f>DBE38+((DBE40+'NF - 5 Power Mix'!DBE14+'NF - 5 Power Mix'!DBE15)*860/10)+((('Form Sa1'!DBH835)*860)/10)+('Form Sa1'!DBH814*'Form Sa1'!DBH816/10)-'NF - 5 Power Mix'!DBE21-'NF - 5 Power Mix'!DBE22</f>
        <v>0</v>
      </c>
      <c r="DBF42" s="1046">
        <f>DBF38+((DBF40+'NF - 5 Power Mix'!DBF14+'NF - 5 Power Mix'!DBF15)*860/10)+((('Form Sa1'!DBI835)*860)/10)+('Form Sa1'!DBI814*'Form Sa1'!DBI816/10)-'NF - 5 Power Mix'!DBF21-'NF - 5 Power Mix'!DBF22</f>
        <v>0</v>
      </c>
      <c r="DBG42" s="1046">
        <f>DBG38+((DBG40+'NF - 5 Power Mix'!DBG14+'NF - 5 Power Mix'!DBG15)*860/10)+((('Form Sa1'!DBJ835)*860)/10)+('Form Sa1'!DBJ814*'Form Sa1'!DBJ816/10)-'NF - 5 Power Mix'!DBG21-'NF - 5 Power Mix'!DBG22</f>
        <v>0</v>
      </c>
      <c r="DBH42" s="1046">
        <f>DBH38+((DBH40+'NF - 5 Power Mix'!DBH14+'NF - 5 Power Mix'!DBH15)*860/10)+((('Form Sa1'!DBK835)*860)/10)+('Form Sa1'!DBK814*'Form Sa1'!DBK816/10)-'NF - 5 Power Mix'!DBH21-'NF - 5 Power Mix'!DBH22</f>
        <v>0</v>
      </c>
      <c r="DBI42" s="1046">
        <f>DBI38+((DBI40+'NF - 5 Power Mix'!DBI14+'NF - 5 Power Mix'!DBI15)*860/10)+((('Form Sa1'!DBL835)*860)/10)+('Form Sa1'!DBL814*'Form Sa1'!DBL816/10)-'NF - 5 Power Mix'!DBI21-'NF - 5 Power Mix'!DBI22</f>
        <v>0</v>
      </c>
      <c r="DBJ42" s="1046">
        <f>DBJ38+((DBJ40+'NF - 5 Power Mix'!DBJ14+'NF - 5 Power Mix'!DBJ15)*860/10)+((('Form Sa1'!DBM835)*860)/10)+('Form Sa1'!DBM814*'Form Sa1'!DBM816/10)-'NF - 5 Power Mix'!DBJ21-'NF - 5 Power Mix'!DBJ22</f>
        <v>0</v>
      </c>
      <c r="DBK42" s="1046">
        <f>DBK38+((DBK40+'NF - 5 Power Mix'!DBK14+'NF - 5 Power Mix'!DBK15)*860/10)+((('Form Sa1'!DBN835)*860)/10)+('Form Sa1'!DBN814*'Form Sa1'!DBN816/10)-'NF - 5 Power Mix'!DBK21-'NF - 5 Power Mix'!DBK22</f>
        <v>0</v>
      </c>
      <c r="DBL42" s="1046">
        <f>DBL38+((DBL40+'NF - 5 Power Mix'!DBL14+'NF - 5 Power Mix'!DBL15)*860/10)+((('Form Sa1'!DBO835)*860)/10)+('Form Sa1'!DBO814*'Form Sa1'!DBO816/10)-'NF - 5 Power Mix'!DBL21-'NF - 5 Power Mix'!DBL22</f>
        <v>0</v>
      </c>
      <c r="DBM42" s="1046">
        <f>DBM38+((DBM40+'NF - 5 Power Mix'!DBM14+'NF - 5 Power Mix'!DBM15)*860/10)+((('Form Sa1'!DBP835)*860)/10)+('Form Sa1'!DBP814*'Form Sa1'!DBP816/10)-'NF - 5 Power Mix'!DBM21-'NF - 5 Power Mix'!DBM22</f>
        <v>0</v>
      </c>
      <c r="DBN42" s="1046">
        <f>DBN38+((DBN40+'NF - 5 Power Mix'!DBN14+'NF - 5 Power Mix'!DBN15)*860/10)+((('Form Sa1'!DBQ835)*860)/10)+('Form Sa1'!DBQ814*'Form Sa1'!DBQ816/10)-'NF - 5 Power Mix'!DBN21-'NF - 5 Power Mix'!DBN22</f>
        <v>0</v>
      </c>
      <c r="DBO42" s="1046">
        <f>DBO38+((DBO40+'NF - 5 Power Mix'!DBO14+'NF - 5 Power Mix'!DBO15)*860/10)+((('Form Sa1'!DBR835)*860)/10)+('Form Sa1'!DBR814*'Form Sa1'!DBR816/10)-'NF - 5 Power Mix'!DBO21-'NF - 5 Power Mix'!DBO22</f>
        <v>0</v>
      </c>
      <c r="DBP42" s="1046">
        <f>DBP38+((DBP40+'NF - 5 Power Mix'!DBP14+'NF - 5 Power Mix'!DBP15)*860/10)+((('Form Sa1'!DBS835)*860)/10)+('Form Sa1'!DBS814*'Form Sa1'!DBS816/10)-'NF - 5 Power Mix'!DBP21-'NF - 5 Power Mix'!DBP22</f>
        <v>0</v>
      </c>
      <c r="DBQ42" s="1046">
        <f>DBQ38+((DBQ40+'NF - 5 Power Mix'!DBQ14+'NF - 5 Power Mix'!DBQ15)*860/10)+((('Form Sa1'!DBT835)*860)/10)+('Form Sa1'!DBT814*'Form Sa1'!DBT816/10)-'NF - 5 Power Mix'!DBQ21-'NF - 5 Power Mix'!DBQ22</f>
        <v>0</v>
      </c>
      <c r="DBR42" s="1046">
        <f>DBR38+((DBR40+'NF - 5 Power Mix'!DBR14+'NF - 5 Power Mix'!DBR15)*860/10)+((('Form Sa1'!DBU835)*860)/10)+('Form Sa1'!DBU814*'Form Sa1'!DBU816/10)-'NF - 5 Power Mix'!DBR21-'NF - 5 Power Mix'!DBR22</f>
        <v>0</v>
      </c>
      <c r="DBS42" s="1046">
        <f>DBS38+((DBS40+'NF - 5 Power Mix'!DBS14+'NF - 5 Power Mix'!DBS15)*860/10)+((('Form Sa1'!DBV835)*860)/10)+('Form Sa1'!DBV814*'Form Sa1'!DBV816/10)-'NF - 5 Power Mix'!DBS21-'NF - 5 Power Mix'!DBS22</f>
        <v>0</v>
      </c>
      <c r="DBT42" s="1046">
        <f>DBT38+((DBT40+'NF - 5 Power Mix'!DBT14+'NF - 5 Power Mix'!DBT15)*860/10)+((('Form Sa1'!DBW835)*860)/10)+('Form Sa1'!DBW814*'Form Sa1'!DBW816/10)-'NF - 5 Power Mix'!DBT21-'NF - 5 Power Mix'!DBT22</f>
        <v>0</v>
      </c>
      <c r="DBU42" s="1046">
        <f>DBU38+((DBU40+'NF - 5 Power Mix'!DBU14+'NF - 5 Power Mix'!DBU15)*860/10)+((('Form Sa1'!DBX835)*860)/10)+('Form Sa1'!DBX814*'Form Sa1'!DBX816/10)-'NF - 5 Power Mix'!DBU21-'NF - 5 Power Mix'!DBU22</f>
        <v>0</v>
      </c>
      <c r="DBV42" s="1046">
        <f>DBV38+((DBV40+'NF - 5 Power Mix'!DBV14+'NF - 5 Power Mix'!DBV15)*860/10)+((('Form Sa1'!DBY835)*860)/10)+('Form Sa1'!DBY814*'Form Sa1'!DBY816/10)-'NF - 5 Power Mix'!DBV21-'NF - 5 Power Mix'!DBV22</f>
        <v>0</v>
      </c>
      <c r="DBW42" s="1046">
        <f>DBW38+((DBW40+'NF - 5 Power Mix'!DBW14+'NF - 5 Power Mix'!DBW15)*860/10)+((('Form Sa1'!DBZ835)*860)/10)+('Form Sa1'!DBZ814*'Form Sa1'!DBZ816/10)-'NF - 5 Power Mix'!DBW21-'NF - 5 Power Mix'!DBW22</f>
        <v>0</v>
      </c>
      <c r="DBX42" s="1046">
        <f>DBX38+((DBX40+'NF - 5 Power Mix'!DBX14+'NF - 5 Power Mix'!DBX15)*860/10)+((('Form Sa1'!DCA835)*860)/10)+('Form Sa1'!DCA814*'Form Sa1'!DCA816/10)-'NF - 5 Power Mix'!DBX21-'NF - 5 Power Mix'!DBX22</f>
        <v>0</v>
      </c>
      <c r="DBY42" s="1046">
        <f>DBY38+((DBY40+'NF - 5 Power Mix'!DBY14+'NF - 5 Power Mix'!DBY15)*860/10)+((('Form Sa1'!DCB835)*860)/10)+('Form Sa1'!DCB814*'Form Sa1'!DCB816/10)-'NF - 5 Power Mix'!DBY21-'NF - 5 Power Mix'!DBY22</f>
        <v>0</v>
      </c>
      <c r="DBZ42" s="1046">
        <f>DBZ38+((DBZ40+'NF - 5 Power Mix'!DBZ14+'NF - 5 Power Mix'!DBZ15)*860/10)+((('Form Sa1'!DCC835)*860)/10)+('Form Sa1'!DCC814*'Form Sa1'!DCC816/10)-'NF - 5 Power Mix'!DBZ21-'NF - 5 Power Mix'!DBZ22</f>
        <v>0</v>
      </c>
      <c r="DCA42" s="1046">
        <f>DCA38+((DCA40+'NF - 5 Power Mix'!DCA14+'NF - 5 Power Mix'!DCA15)*860/10)+((('Form Sa1'!DCD835)*860)/10)+('Form Sa1'!DCD814*'Form Sa1'!DCD816/10)-'NF - 5 Power Mix'!DCA21-'NF - 5 Power Mix'!DCA22</f>
        <v>0</v>
      </c>
      <c r="DCB42" s="1046">
        <f>DCB38+((DCB40+'NF - 5 Power Mix'!DCB14+'NF - 5 Power Mix'!DCB15)*860/10)+((('Form Sa1'!DCE835)*860)/10)+('Form Sa1'!DCE814*'Form Sa1'!DCE816/10)-'NF - 5 Power Mix'!DCB21-'NF - 5 Power Mix'!DCB22</f>
        <v>0</v>
      </c>
      <c r="DCC42" s="1046">
        <f>DCC38+((DCC40+'NF - 5 Power Mix'!DCC14+'NF - 5 Power Mix'!DCC15)*860/10)+((('Form Sa1'!DCF835)*860)/10)+('Form Sa1'!DCF814*'Form Sa1'!DCF816/10)-'NF - 5 Power Mix'!DCC21-'NF - 5 Power Mix'!DCC22</f>
        <v>0</v>
      </c>
      <c r="DCD42" s="1046">
        <f>DCD38+((DCD40+'NF - 5 Power Mix'!DCD14+'NF - 5 Power Mix'!DCD15)*860/10)+((('Form Sa1'!DCG835)*860)/10)+('Form Sa1'!DCG814*'Form Sa1'!DCG816/10)-'NF - 5 Power Mix'!DCD21-'NF - 5 Power Mix'!DCD22</f>
        <v>0</v>
      </c>
      <c r="DCE42" s="1046">
        <f>DCE38+((DCE40+'NF - 5 Power Mix'!DCE14+'NF - 5 Power Mix'!DCE15)*860/10)+((('Form Sa1'!DCH835)*860)/10)+('Form Sa1'!DCH814*'Form Sa1'!DCH816/10)-'NF - 5 Power Mix'!DCE21-'NF - 5 Power Mix'!DCE22</f>
        <v>0</v>
      </c>
      <c r="DCF42" s="1046">
        <f>DCF38+((DCF40+'NF - 5 Power Mix'!DCF14+'NF - 5 Power Mix'!DCF15)*860/10)+((('Form Sa1'!DCI835)*860)/10)+('Form Sa1'!DCI814*'Form Sa1'!DCI816/10)-'NF - 5 Power Mix'!DCF21-'NF - 5 Power Mix'!DCF22</f>
        <v>0</v>
      </c>
      <c r="DCG42" s="1046">
        <f>DCG38+((DCG40+'NF - 5 Power Mix'!DCG14+'NF - 5 Power Mix'!DCG15)*860/10)+((('Form Sa1'!DCJ835)*860)/10)+('Form Sa1'!DCJ814*'Form Sa1'!DCJ816/10)-'NF - 5 Power Mix'!DCG21-'NF - 5 Power Mix'!DCG22</f>
        <v>0</v>
      </c>
      <c r="DCH42" s="1046">
        <f>DCH38+((DCH40+'NF - 5 Power Mix'!DCH14+'NF - 5 Power Mix'!DCH15)*860/10)+((('Form Sa1'!DCK835)*860)/10)+('Form Sa1'!DCK814*'Form Sa1'!DCK816/10)-'NF - 5 Power Mix'!DCH21-'NF - 5 Power Mix'!DCH22</f>
        <v>0</v>
      </c>
      <c r="DCI42" s="1046">
        <f>DCI38+((DCI40+'NF - 5 Power Mix'!DCI14+'NF - 5 Power Mix'!DCI15)*860/10)+((('Form Sa1'!DCL835)*860)/10)+('Form Sa1'!DCL814*'Form Sa1'!DCL816/10)-'NF - 5 Power Mix'!DCI21-'NF - 5 Power Mix'!DCI22</f>
        <v>0</v>
      </c>
      <c r="DCJ42" s="1046">
        <f>DCJ38+((DCJ40+'NF - 5 Power Mix'!DCJ14+'NF - 5 Power Mix'!DCJ15)*860/10)+((('Form Sa1'!DCM835)*860)/10)+('Form Sa1'!DCM814*'Form Sa1'!DCM816/10)-'NF - 5 Power Mix'!DCJ21-'NF - 5 Power Mix'!DCJ22</f>
        <v>0</v>
      </c>
      <c r="DCK42" s="1046">
        <f>DCK38+((DCK40+'NF - 5 Power Mix'!DCK14+'NF - 5 Power Mix'!DCK15)*860/10)+((('Form Sa1'!DCN835)*860)/10)+('Form Sa1'!DCN814*'Form Sa1'!DCN816/10)-'NF - 5 Power Mix'!DCK21-'NF - 5 Power Mix'!DCK22</f>
        <v>0</v>
      </c>
      <c r="DCL42" s="1046">
        <f>DCL38+((DCL40+'NF - 5 Power Mix'!DCL14+'NF - 5 Power Mix'!DCL15)*860/10)+((('Form Sa1'!DCO835)*860)/10)+('Form Sa1'!DCO814*'Form Sa1'!DCO816/10)-'NF - 5 Power Mix'!DCL21-'NF - 5 Power Mix'!DCL22</f>
        <v>0</v>
      </c>
      <c r="DCM42" s="1046">
        <f>DCM38+((DCM40+'NF - 5 Power Mix'!DCM14+'NF - 5 Power Mix'!DCM15)*860/10)+((('Form Sa1'!DCP835)*860)/10)+('Form Sa1'!DCP814*'Form Sa1'!DCP816/10)-'NF - 5 Power Mix'!DCM21-'NF - 5 Power Mix'!DCM22</f>
        <v>0</v>
      </c>
      <c r="DCN42" s="1046">
        <f>DCN38+((DCN40+'NF - 5 Power Mix'!DCN14+'NF - 5 Power Mix'!DCN15)*860/10)+((('Form Sa1'!DCQ835)*860)/10)+('Form Sa1'!DCQ814*'Form Sa1'!DCQ816/10)-'NF - 5 Power Mix'!DCN21-'NF - 5 Power Mix'!DCN22</f>
        <v>0</v>
      </c>
      <c r="DCO42" s="1046">
        <f>DCO38+((DCO40+'NF - 5 Power Mix'!DCO14+'NF - 5 Power Mix'!DCO15)*860/10)+((('Form Sa1'!DCR835)*860)/10)+('Form Sa1'!DCR814*'Form Sa1'!DCR816/10)-'NF - 5 Power Mix'!DCO21-'NF - 5 Power Mix'!DCO22</f>
        <v>0</v>
      </c>
      <c r="DCP42" s="1046">
        <f>DCP38+((DCP40+'NF - 5 Power Mix'!DCP14+'NF - 5 Power Mix'!DCP15)*860/10)+((('Form Sa1'!DCS835)*860)/10)+('Form Sa1'!DCS814*'Form Sa1'!DCS816/10)-'NF - 5 Power Mix'!DCP21-'NF - 5 Power Mix'!DCP22</f>
        <v>0</v>
      </c>
      <c r="DCQ42" s="1046">
        <f>DCQ38+((DCQ40+'NF - 5 Power Mix'!DCQ14+'NF - 5 Power Mix'!DCQ15)*860/10)+((('Form Sa1'!DCT835)*860)/10)+('Form Sa1'!DCT814*'Form Sa1'!DCT816/10)-'NF - 5 Power Mix'!DCQ21-'NF - 5 Power Mix'!DCQ22</f>
        <v>0</v>
      </c>
      <c r="DCR42" s="1046">
        <f>DCR38+((DCR40+'NF - 5 Power Mix'!DCR14+'NF - 5 Power Mix'!DCR15)*860/10)+((('Form Sa1'!DCU835)*860)/10)+('Form Sa1'!DCU814*'Form Sa1'!DCU816/10)-'NF - 5 Power Mix'!DCR21-'NF - 5 Power Mix'!DCR22</f>
        <v>0</v>
      </c>
      <c r="DCS42" s="1046">
        <f>DCS38+((DCS40+'NF - 5 Power Mix'!DCS14+'NF - 5 Power Mix'!DCS15)*860/10)+((('Form Sa1'!DCV835)*860)/10)+('Form Sa1'!DCV814*'Form Sa1'!DCV816/10)-'NF - 5 Power Mix'!DCS21-'NF - 5 Power Mix'!DCS22</f>
        <v>0</v>
      </c>
      <c r="DCT42" s="1046">
        <f>DCT38+((DCT40+'NF - 5 Power Mix'!DCT14+'NF - 5 Power Mix'!DCT15)*860/10)+((('Form Sa1'!DCW835)*860)/10)+('Form Sa1'!DCW814*'Form Sa1'!DCW816/10)-'NF - 5 Power Mix'!DCT21-'NF - 5 Power Mix'!DCT22</f>
        <v>0</v>
      </c>
      <c r="DCU42" s="1046">
        <f>DCU38+((DCU40+'NF - 5 Power Mix'!DCU14+'NF - 5 Power Mix'!DCU15)*860/10)+((('Form Sa1'!DCX835)*860)/10)+('Form Sa1'!DCX814*'Form Sa1'!DCX816/10)-'NF - 5 Power Mix'!DCU21-'NF - 5 Power Mix'!DCU22</f>
        <v>0</v>
      </c>
      <c r="DCV42" s="1046">
        <f>DCV38+((DCV40+'NF - 5 Power Mix'!DCV14+'NF - 5 Power Mix'!DCV15)*860/10)+((('Form Sa1'!DCY835)*860)/10)+('Form Sa1'!DCY814*'Form Sa1'!DCY816/10)-'NF - 5 Power Mix'!DCV21-'NF - 5 Power Mix'!DCV22</f>
        <v>0</v>
      </c>
      <c r="DCW42" s="1046">
        <f>DCW38+((DCW40+'NF - 5 Power Mix'!DCW14+'NF - 5 Power Mix'!DCW15)*860/10)+((('Form Sa1'!DCZ835)*860)/10)+('Form Sa1'!DCZ814*'Form Sa1'!DCZ816/10)-'NF - 5 Power Mix'!DCW21-'NF - 5 Power Mix'!DCW22</f>
        <v>0</v>
      </c>
      <c r="DCX42" s="1046">
        <f>DCX38+((DCX40+'NF - 5 Power Mix'!DCX14+'NF - 5 Power Mix'!DCX15)*860/10)+((('Form Sa1'!DDA835)*860)/10)+('Form Sa1'!DDA814*'Form Sa1'!DDA816/10)-'NF - 5 Power Mix'!DCX21-'NF - 5 Power Mix'!DCX22</f>
        <v>0</v>
      </c>
      <c r="DCY42" s="1046">
        <f>DCY38+((DCY40+'NF - 5 Power Mix'!DCY14+'NF - 5 Power Mix'!DCY15)*860/10)+((('Form Sa1'!DDB835)*860)/10)+('Form Sa1'!DDB814*'Form Sa1'!DDB816/10)-'NF - 5 Power Mix'!DCY21-'NF - 5 Power Mix'!DCY22</f>
        <v>0</v>
      </c>
      <c r="DCZ42" s="1046">
        <f>DCZ38+((DCZ40+'NF - 5 Power Mix'!DCZ14+'NF - 5 Power Mix'!DCZ15)*860/10)+((('Form Sa1'!DDC835)*860)/10)+('Form Sa1'!DDC814*'Form Sa1'!DDC816/10)-'NF - 5 Power Mix'!DCZ21-'NF - 5 Power Mix'!DCZ22</f>
        <v>0</v>
      </c>
      <c r="DDA42" s="1046">
        <f>DDA38+((DDA40+'NF - 5 Power Mix'!DDA14+'NF - 5 Power Mix'!DDA15)*860/10)+((('Form Sa1'!DDD835)*860)/10)+('Form Sa1'!DDD814*'Form Sa1'!DDD816/10)-'NF - 5 Power Mix'!DDA21-'NF - 5 Power Mix'!DDA22</f>
        <v>0</v>
      </c>
      <c r="DDB42" s="1046">
        <f>DDB38+((DDB40+'NF - 5 Power Mix'!DDB14+'NF - 5 Power Mix'!DDB15)*860/10)+((('Form Sa1'!DDE835)*860)/10)+('Form Sa1'!DDE814*'Form Sa1'!DDE816/10)-'NF - 5 Power Mix'!DDB21-'NF - 5 Power Mix'!DDB22</f>
        <v>0</v>
      </c>
      <c r="DDC42" s="1046">
        <f>DDC38+((DDC40+'NF - 5 Power Mix'!DDC14+'NF - 5 Power Mix'!DDC15)*860/10)+((('Form Sa1'!DDF835)*860)/10)+('Form Sa1'!DDF814*'Form Sa1'!DDF816/10)-'NF - 5 Power Mix'!DDC21-'NF - 5 Power Mix'!DDC22</f>
        <v>0</v>
      </c>
      <c r="DDD42" s="1046">
        <f>DDD38+((DDD40+'NF - 5 Power Mix'!DDD14+'NF - 5 Power Mix'!DDD15)*860/10)+((('Form Sa1'!DDG835)*860)/10)+('Form Sa1'!DDG814*'Form Sa1'!DDG816/10)-'NF - 5 Power Mix'!DDD21-'NF - 5 Power Mix'!DDD22</f>
        <v>0</v>
      </c>
      <c r="DDE42" s="1046">
        <f>DDE38+((DDE40+'NF - 5 Power Mix'!DDE14+'NF - 5 Power Mix'!DDE15)*860/10)+((('Form Sa1'!DDH835)*860)/10)+('Form Sa1'!DDH814*'Form Sa1'!DDH816/10)-'NF - 5 Power Mix'!DDE21-'NF - 5 Power Mix'!DDE22</f>
        <v>0</v>
      </c>
      <c r="DDF42" s="1046">
        <f>DDF38+((DDF40+'NF - 5 Power Mix'!DDF14+'NF - 5 Power Mix'!DDF15)*860/10)+((('Form Sa1'!DDI835)*860)/10)+('Form Sa1'!DDI814*'Form Sa1'!DDI816/10)-'NF - 5 Power Mix'!DDF21-'NF - 5 Power Mix'!DDF22</f>
        <v>0</v>
      </c>
      <c r="DDG42" s="1046">
        <f>DDG38+((DDG40+'NF - 5 Power Mix'!DDG14+'NF - 5 Power Mix'!DDG15)*860/10)+((('Form Sa1'!DDJ835)*860)/10)+('Form Sa1'!DDJ814*'Form Sa1'!DDJ816/10)-'NF - 5 Power Mix'!DDG21-'NF - 5 Power Mix'!DDG22</f>
        <v>0</v>
      </c>
      <c r="DDH42" s="1046">
        <f>DDH38+((DDH40+'NF - 5 Power Mix'!DDH14+'NF - 5 Power Mix'!DDH15)*860/10)+((('Form Sa1'!DDK835)*860)/10)+('Form Sa1'!DDK814*'Form Sa1'!DDK816/10)-'NF - 5 Power Mix'!DDH21-'NF - 5 Power Mix'!DDH22</f>
        <v>0</v>
      </c>
      <c r="DDI42" s="1046">
        <f>DDI38+((DDI40+'NF - 5 Power Mix'!DDI14+'NF - 5 Power Mix'!DDI15)*860/10)+((('Form Sa1'!DDL835)*860)/10)+('Form Sa1'!DDL814*'Form Sa1'!DDL816/10)-'NF - 5 Power Mix'!DDI21-'NF - 5 Power Mix'!DDI22</f>
        <v>0</v>
      </c>
      <c r="DDJ42" s="1046">
        <f>DDJ38+((DDJ40+'NF - 5 Power Mix'!DDJ14+'NF - 5 Power Mix'!DDJ15)*860/10)+((('Form Sa1'!DDM835)*860)/10)+('Form Sa1'!DDM814*'Form Sa1'!DDM816/10)-'NF - 5 Power Mix'!DDJ21-'NF - 5 Power Mix'!DDJ22</f>
        <v>0</v>
      </c>
      <c r="DDK42" s="1046">
        <f>DDK38+((DDK40+'NF - 5 Power Mix'!DDK14+'NF - 5 Power Mix'!DDK15)*860/10)+((('Form Sa1'!DDN835)*860)/10)+('Form Sa1'!DDN814*'Form Sa1'!DDN816/10)-'NF - 5 Power Mix'!DDK21-'NF - 5 Power Mix'!DDK22</f>
        <v>0</v>
      </c>
      <c r="DDL42" s="1046">
        <f>DDL38+((DDL40+'NF - 5 Power Mix'!DDL14+'NF - 5 Power Mix'!DDL15)*860/10)+((('Form Sa1'!DDO835)*860)/10)+('Form Sa1'!DDO814*'Form Sa1'!DDO816/10)-'NF - 5 Power Mix'!DDL21-'NF - 5 Power Mix'!DDL22</f>
        <v>0</v>
      </c>
      <c r="DDM42" s="1046">
        <f>DDM38+((DDM40+'NF - 5 Power Mix'!DDM14+'NF - 5 Power Mix'!DDM15)*860/10)+((('Form Sa1'!DDP835)*860)/10)+('Form Sa1'!DDP814*'Form Sa1'!DDP816/10)-'NF - 5 Power Mix'!DDM21-'NF - 5 Power Mix'!DDM22</f>
        <v>0</v>
      </c>
      <c r="DDN42" s="1046">
        <f>DDN38+((DDN40+'NF - 5 Power Mix'!DDN14+'NF - 5 Power Mix'!DDN15)*860/10)+((('Form Sa1'!DDQ835)*860)/10)+('Form Sa1'!DDQ814*'Form Sa1'!DDQ816/10)-'NF - 5 Power Mix'!DDN21-'NF - 5 Power Mix'!DDN22</f>
        <v>0</v>
      </c>
      <c r="DDO42" s="1046">
        <f>DDO38+((DDO40+'NF - 5 Power Mix'!DDO14+'NF - 5 Power Mix'!DDO15)*860/10)+((('Form Sa1'!DDR835)*860)/10)+('Form Sa1'!DDR814*'Form Sa1'!DDR816/10)-'NF - 5 Power Mix'!DDO21-'NF - 5 Power Mix'!DDO22</f>
        <v>0</v>
      </c>
      <c r="DDP42" s="1046">
        <f>DDP38+((DDP40+'NF - 5 Power Mix'!DDP14+'NF - 5 Power Mix'!DDP15)*860/10)+((('Form Sa1'!DDS835)*860)/10)+('Form Sa1'!DDS814*'Form Sa1'!DDS816/10)-'NF - 5 Power Mix'!DDP21-'NF - 5 Power Mix'!DDP22</f>
        <v>0</v>
      </c>
      <c r="DDQ42" s="1046">
        <f>DDQ38+((DDQ40+'NF - 5 Power Mix'!DDQ14+'NF - 5 Power Mix'!DDQ15)*860/10)+((('Form Sa1'!DDT835)*860)/10)+('Form Sa1'!DDT814*'Form Sa1'!DDT816/10)-'NF - 5 Power Mix'!DDQ21-'NF - 5 Power Mix'!DDQ22</f>
        <v>0</v>
      </c>
      <c r="DDR42" s="1046">
        <f>DDR38+((DDR40+'NF - 5 Power Mix'!DDR14+'NF - 5 Power Mix'!DDR15)*860/10)+((('Form Sa1'!DDU835)*860)/10)+('Form Sa1'!DDU814*'Form Sa1'!DDU816/10)-'NF - 5 Power Mix'!DDR21-'NF - 5 Power Mix'!DDR22</f>
        <v>0</v>
      </c>
      <c r="DDS42" s="1046">
        <f>DDS38+((DDS40+'NF - 5 Power Mix'!DDS14+'NF - 5 Power Mix'!DDS15)*860/10)+((('Form Sa1'!DDV835)*860)/10)+('Form Sa1'!DDV814*'Form Sa1'!DDV816/10)-'NF - 5 Power Mix'!DDS21-'NF - 5 Power Mix'!DDS22</f>
        <v>0</v>
      </c>
      <c r="DDT42" s="1046">
        <f>DDT38+((DDT40+'NF - 5 Power Mix'!DDT14+'NF - 5 Power Mix'!DDT15)*860/10)+((('Form Sa1'!DDW835)*860)/10)+('Form Sa1'!DDW814*'Form Sa1'!DDW816/10)-'NF - 5 Power Mix'!DDT21-'NF - 5 Power Mix'!DDT22</f>
        <v>0</v>
      </c>
      <c r="DDU42" s="1046">
        <f>DDU38+((DDU40+'NF - 5 Power Mix'!DDU14+'NF - 5 Power Mix'!DDU15)*860/10)+((('Form Sa1'!DDX835)*860)/10)+('Form Sa1'!DDX814*'Form Sa1'!DDX816/10)-'NF - 5 Power Mix'!DDU21-'NF - 5 Power Mix'!DDU22</f>
        <v>0</v>
      </c>
      <c r="DDV42" s="1046">
        <f>DDV38+((DDV40+'NF - 5 Power Mix'!DDV14+'NF - 5 Power Mix'!DDV15)*860/10)+((('Form Sa1'!DDY835)*860)/10)+('Form Sa1'!DDY814*'Form Sa1'!DDY816/10)-'NF - 5 Power Mix'!DDV21-'NF - 5 Power Mix'!DDV22</f>
        <v>0</v>
      </c>
      <c r="DDW42" s="1046">
        <f>DDW38+((DDW40+'NF - 5 Power Mix'!DDW14+'NF - 5 Power Mix'!DDW15)*860/10)+((('Form Sa1'!DDZ835)*860)/10)+('Form Sa1'!DDZ814*'Form Sa1'!DDZ816/10)-'NF - 5 Power Mix'!DDW21-'NF - 5 Power Mix'!DDW22</f>
        <v>0</v>
      </c>
      <c r="DDX42" s="1046">
        <f>DDX38+((DDX40+'NF - 5 Power Mix'!DDX14+'NF - 5 Power Mix'!DDX15)*860/10)+((('Form Sa1'!DEA835)*860)/10)+('Form Sa1'!DEA814*'Form Sa1'!DEA816/10)-'NF - 5 Power Mix'!DDX21-'NF - 5 Power Mix'!DDX22</f>
        <v>0</v>
      </c>
      <c r="DDY42" s="1046">
        <f>DDY38+((DDY40+'NF - 5 Power Mix'!DDY14+'NF - 5 Power Mix'!DDY15)*860/10)+((('Form Sa1'!DEB835)*860)/10)+('Form Sa1'!DEB814*'Form Sa1'!DEB816/10)-'NF - 5 Power Mix'!DDY21-'NF - 5 Power Mix'!DDY22</f>
        <v>0</v>
      </c>
      <c r="DDZ42" s="1046">
        <f>DDZ38+((DDZ40+'NF - 5 Power Mix'!DDZ14+'NF - 5 Power Mix'!DDZ15)*860/10)+((('Form Sa1'!DEC835)*860)/10)+('Form Sa1'!DEC814*'Form Sa1'!DEC816/10)-'NF - 5 Power Mix'!DDZ21-'NF - 5 Power Mix'!DDZ22</f>
        <v>0</v>
      </c>
      <c r="DEA42" s="1046">
        <f>DEA38+((DEA40+'NF - 5 Power Mix'!DEA14+'NF - 5 Power Mix'!DEA15)*860/10)+((('Form Sa1'!DED835)*860)/10)+('Form Sa1'!DED814*'Form Sa1'!DED816/10)-'NF - 5 Power Mix'!DEA21-'NF - 5 Power Mix'!DEA22</f>
        <v>0</v>
      </c>
      <c r="DEB42" s="1046">
        <f>DEB38+((DEB40+'NF - 5 Power Mix'!DEB14+'NF - 5 Power Mix'!DEB15)*860/10)+((('Form Sa1'!DEE835)*860)/10)+('Form Sa1'!DEE814*'Form Sa1'!DEE816/10)-'NF - 5 Power Mix'!DEB21-'NF - 5 Power Mix'!DEB22</f>
        <v>0</v>
      </c>
      <c r="DEC42" s="1046">
        <f>DEC38+((DEC40+'NF - 5 Power Mix'!DEC14+'NF - 5 Power Mix'!DEC15)*860/10)+((('Form Sa1'!DEF835)*860)/10)+('Form Sa1'!DEF814*'Form Sa1'!DEF816/10)-'NF - 5 Power Mix'!DEC21-'NF - 5 Power Mix'!DEC22</f>
        <v>0</v>
      </c>
      <c r="DED42" s="1046">
        <f>DED38+((DED40+'NF - 5 Power Mix'!DED14+'NF - 5 Power Mix'!DED15)*860/10)+((('Form Sa1'!DEG835)*860)/10)+('Form Sa1'!DEG814*'Form Sa1'!DEG816/10)-'NF - 5 Power Mix'!DED21-'NF - 5 Power Mix'!DED22</f>
        <v>0</v>
      </c>
      <c r="DEE42" s="1046">
        <f>DEE38+((DEE40+'NF - 5 Power Mix'!DEE14+'NF - 5 Power Mix'!DEE15)*860/10)+((('Form Sa1'!DEH835)*860)/10)+('Form Sa1'!DEH814*'Form Sa1'!DEH816/10)-'NF - 5 Power Mix'!DEE21-'NF - 5 Power Mix'!DEE22</f>
        <v>0</v>
      </c>
      <c r="DEF42" s="1046">
        <f>DEF38+((DEF40+'NF - 5 Power Mix'!DEF14+'NF - 5 Power Mix'!DEF15)*860/10)+((('Form Sa1'!DEI835)*860)/10)+('Form Sa1'!DEI814*'Form Sa1'!DEI816/10)-'NF - 5 Power Mix'!DEF21-'NF - 5 Power Mix'!DEF22</f>
        <v>0</v>
      </c>
      <c r="DEG42" s="1046">
        <f>DEG38+((DEG40+'NF - 5 Power Mix'!DEG14+'NF - 5 Power Mix'!DEG15)*860/10)+((('Form Sa1'!DEJ835)*860)/10)+('Form Sa1'!DEJ814*'Form Sa1'!DEJ816/10)-'NF - 5 Power Mix'!DEG21-'NF - 5 Power Mix'!DEG22</f>
        <v>0</v>
      </c>
      <c r="DEH42" s="1046">
        <f>DEH38+((DEH40+'NF - 5 Power Mix'!DEH14+'NF - 5 Power Mix'!DEH15)*860/10)+((('Form Sa1'!DEK835)*860)/10)+('Form Sa1'!DEK814*'Form Sa1'!DEK816/10)-'NF - 5 Power Mix'!DEH21-'NF - 5 Power Mix'!DEH22</f>
        <v>0</v>
      </c>
      <c r="DEI42" s="1046">
        <f>DEI38+((DEI40+'NF - 5 Power Mix'!DEI14+'NF - 5 Power Mix'!DEI15)*860/10)+((('Form Sa1'!DEL835)*860)/10)+('Form Sa1'!DEL814*'Form Sa1'!DEL816/10)-'NF - 5 Power Mix'!DEI21-'NF - 5 Power Mix'!DEI22</f>
        <v>0</v>
      </c>
      <c r="DEJ42" s="1046">
        <f>DEJ38+((DEJ40+'NF - 5 Power Mix'!DEJ14+'NF - 5 Power Mix'!DEJ15)*860/10)+((('Form Sa1'!DEM835)*860)/10)+('Form Sa1'!DEM814*'Form Sa1'!DEM816/10)-'NF - 5 Power Mix'!DEJ21-'NF - 5 Power Mix'!DEJ22</f>
        <v>0</v>
      </c>
      <c r="DEK42" s="1046">
        <f>DEK38+((DEK40+'NF - 5 Power Mix'!DEK14+'NF - 5 Power Mix'!DEK15)*860/10)+((('Form Sa1'!DEN835)*860)/10)+('Form Sa1'!DEN814*'Form Sa1'!DEN816/10)-'NF - 5 Power Mix'!DEK21-'NF - 5 Power Mix'!DEK22</f>
        <v>0</v>
      </c>
      <c r="DEL42" s="1046">
        <f>DEL38+((DEL40+'NF - 5 Power Mix'!DEL14+'NF - 5 Power Mix'!DEL15)*860/10)+((('Form Sa1'!DEO835)*860)/10)+('Form Sa1'!DEO814*'Form Sa1'!DEO816/10)-'NF - 5 Power Mix'!DEL21-'NF - 5 Power Mix'!DEL22</f>
        <v>0</v>
      </c>
      <c r="DEM42" s="1046">
        <f>DEM38+((DEM40+'NF - 5 Power Mix'!DEM14+'NF - 5 Power Mix'!DEM15)*860/10)+((('Form Sa1'!DEP835)*860)/10)+('Form Sa1'!DEP814*'Form Sa1'!DEP816/10)-'NF - 5 Power Mix'!DEM21-'NF - 5 Power Mix'!DEM22</f>
        <v>0</v>
      </c>
      <c r="DEN42" s="1046">
        <f>DEN38+((DEN40+'NF - 5 Power Mix'!DEN14+'NF - 5 Power Mix'!DEN15)*860/10)+((('Form Sa1'!DEQ835)*860)/10)+('Form Sa1'!DEQ814*'Form Sa1'!DEQ816/10)-'NF - 5 Power Mix'!DEN21-'NF - 5 Power Mix'!DEN22</f>
        <v>0</v>
      </c>
      <c r="DEO42" s="1046">
        <f>DEO38+((DEO40+'NF - 5 Power Mix'!DEO14+'NF - 5 Power Mix'!DEO15)*860/10)+((('Form Sa1'!DER835)*860)/10)+('Form Sa1'!DER814*'Form Sa1'!DER816/10)-'NF - 5 Power Mix'!DEO21-'NF - 5 Power Mix'!DEO22</f>
        <v>0</v>
      </c>
      <c r="DEP42" s="1046">
        <f>DEP38+((DEP40+'NF - 5 Power Mix'!DEP14+'NF - 5 Power Mix'!DEP15)*860/10)+((('Form Sa1'!DES835)*860)/10)+('Form Sa1'!DES814*'Form Sa1'!DES816/10)-'NF - 5 Power Mix'!DEP21-'NF - 5 Power Mix'!DEP22</f>
        <v>0</v>
      </c>
      <c r="DEQ42" s="1046">
        <f>DEQ38+((DEQ40+'NF - 5 Power Mix'!DEQ14+'NF - 5 Power Mix'!DEQ15)*860/10)+((('Form Sa1'!DET835)*860)/10)+('Form Sa1'!DET814*'Form Sa1'!DET816/10)-'NF - 5 Power Mix'!DEQ21-'NF - 5 Power Mix'!DEQ22</f>
        <v>0</v>
      </c>
      <c r="DER42" s="1046">
        <f>DER38+((DER40+'NF - 5 Power Mix'!DER14+'NF - 5 Power Mix'!DER15)*860/10)+((('Form Sa1'!DEU835)*860)/10)+('Form Sa1'!DEU814*'Form Sa1'!DEU816/10)-'NF - 5 Power Mix'!DER21-'NF - 5 Power Mix'!DER22</f>
        <v>0</v>
      </c>
      <c r="DES42" s="1046">
        <f>DES38+((DES40+'NF - 5 Power Mix'!DES14+'NF - 5 Power Mix'!DES15)*860/10)+((('Form Sa1'!DEV835)*860)/10)+('Form Sa1'!DEV814*'Form Sa1'!DEV816/10)-'NF - 5 Power Mix'!DES21-'NF - 5 Power Mix'!DES22</f>
        <v>0</v>
      </c>
      <c r="DET42" s="1046">
        <f>DET38+((DET40+'NF - 5 Power Mix'!DET14+'NF - 5 Power Mix'!DET15)*860/10)+((('Form Sa1'!DEW835)*860)/10)+('Form Sa1'!DEW814*'Form Sa1'!DEW816/10)-'NF - 5 Power Mix'!DET21-'NF - 5 Power Mix'!DET22</f>
        <v>0</v>
      </c>
      <c r="DEU42" s="1046">
        <f>DEU38+((DEU40+'NF - 5 Power Mix'!DEU14+'NF - 5 Power Mix'!DEU15)*860/10)+((('Form Sa1'!DEX835)*860)/10)+('Form Sa1'!DEX814*'Form Sa1'!DEX816/10)-'NF - 5 Power Mix'!DEU21-'NF - 5 Power Mix'!DEU22</f>
        <v>0</v>
      </c>
      <c r="DEV42" s="1046">
        <f>DEV38+((DEV40+'NF - 5 Power Mix'!DEV14+'NF - 5 Power Mix'!DEV15)*860/10)+((('Form Sa1'!DEY835)*860)/10)+('Form Sa1'!DEY814*'Form Sa1'!DEY816/10)-'NF - 5 Power Mix'!DEV21-'NF - 5 Power Mix'!DEV22</f>
        <v>0</v>
      </c>
      <c r="DEW42" s="1046">
        <f>DEW38+((DEW40+'NF - 5 Power Mix'!DEW14+'NF - 5 Power Mix'!DEW15)*860/10)+((('Form Sa1'!DEZ835)*860)/10)+('Form Sa1'!DEZ814*'Form Sa1'!DEZ816/10)-'NF - 5 Power Mix'!DEW21-'NF - 5 Power Mix'!DEW22</f>
        <v>0</v>
      </c>
      <c r="DEX42" s="1046">
        <f>DEX38+((DEX40+'NF - 5 Power Mix'!DEX14+'NF - 5 Power Mix'!DEX15)*860/10)+((('Form Sa1'!DFA835)*860)/10)+('Form Sa1'!DFA814*'Form Sa1'!DFA816/10)-'NF - 5 Power Mix'!DEX21-'NF - 5 Power Mix'!DEX22</f>
        <v>0</v>
      </c>
      <c r="DEY42" s="1046">
        <f>DEY38+((DEY40+'NF - 5 Power Mix'!DEY14+'NF - 5 Power Mix'!DEY15)*860/10)+((('Form Sa1'!DFB835)*860)/10)+('Form Sa1'!DFB814*'Form Sa1'!DFB816/10)-'NF - 5 Power Mix'!DEY21-'NF - 5 Power Mix'!DEY22</f>
        <v>0</v>
      </c>
      <c r="DEZ42" s="1046">
        <f>DEZ38+((DEZ40+'NF - 5 Power Mix'!DEZ14+'NF - 5 Power Mix'!DEZ15)*860/10)+((('Form Sa1'!DFC835)*860)/10)+('Form Sa1'!DFC814*'Form Sa1'!DFC816/10)-'NF - 5 Power Mix'!DEZ21-'NF - 5 Power Mix'!DEZ22</f>
        <v>0</v>
      </c>
      <c r="DFA42" s="1046">
        <f>DFA38+((DFA40+'NF - 5 Power Mix'!DFA14+'NF - 5 Power Mix'!DFA15)*860/10)+((('Form Sa1'!DFD835)*860)/10)+('Form Sa1'!DFD814*'Form Sa1'!DFD816/10)-'NF - 5 Power Mix'!DFA21-'NF - 5 Power Mix'!DFA22</f>
        <v>0</v>
      </c>
      <c r="DFB42" s="1046">
        <f>DFB38+((DFB40+'NF - 5 Power Mix'!DFB14+'NF - 5 Power Mix'!DFB15)*860/10)+((('Form Sa1'!DFE835)*860)/10)+('Form Sa1'!DFE814*'Form Sa1'!DFE816/10)-'NF - 5 Power Mix'!DFB21-'NF - 5 Power Mix'!DFB22</f>
        <v>0</v>
      </c>
      <c r="DFC42" s="1046">
        <f>DFC38+((DFC40+'NF - 5 Power Mix'!DFC14+'NF - 5 Power Mix'!DFC15)*860/10)+((('Form Sa1'!DFF835)*860)/10)+('Form Sa1'!DFF814*'Form Sa1'!DFF816/10)-'NF - 5 Power Mix'!DFC21-'NF - 5 Power Mix'!DFC22</f>
        <v>0</v>
      </c>
      <c r="DFD42" s="1046">
        <f>DFD38+((DFD40+'NF - 5 Power Mix'!DFD14+'NF - 5 Power Mix'!DFD15)*860/10)+((('Form Sa1'!DFG835)*860)/10)+('Form Sa1'!DFG814*'Form Sa1'!DFG816/10)-'NF - 5 Power Mix'!DFD21-'NF - 5 Power Mix'!DFD22</f>
        <v>0</v>
      </c>
      <c r="DFE42" s="1046">
        <f>DFE38+((DFE40+'NF - 5 Power Mix'!DFE14+'NF - 5 Power Mix'!DFE15)*860/10)+((('Form Sa1'!DFH835)*860)/10)+('Form Sa1'!DFH814*'Form Sa1'!DFH816/10)-'NF - 5 Power Mix'!DFE21-'NF - 5 Power Mix'!DFE22</f>
        <v>0</v>
      </c>
      <c r="DFF42" s="1046">
        <f>DFF38+((DFF40+'NF - 5 Power Mix'!DFF14+'NF - 5 Power Mix'!DFF15)*860/10)+((('Form Sa1'!DFI835)*860)/10)+('Form Sa1'!DFI814*'Form Sa1'!DFI816/10)-'NF - 5 Power Mix'!DFF21-'NF - 5 Power Mix'!DFF22</f>
        <v>0</v>
      </c>
      <c r="DFG42" s="1046">
        <f>DFG38+((DFG40+'NF - 5 Power Mix'!DFG14+'NF - 5 Power Mix'!DFG15)*860/10)+((('Form Sa1'!DFJ835)*860)/10)+('Form Sa1'!DFJ814*'Form Sa1'!DFJ816/10)-'NF - 5 Power Mix'!DFG21-'NF - 5 Power Mix'!DFG22</f>
        <v>0</v>
      </c>
      <c r="DFH42" s="1046">
        <f>DFH38+((DFH40+'NF - 5 Power Mix'!DFH14+'NF - 5 Power Mix'!DFH15)*860/10)+((('Form Sa1'!DFK835)*860)/10)+('Form Sa1'!DFK814*'Form Sa1'!DFK816/10)-'NF - 5 Power Mix'!DFH21-'NF - 5 Power Mix'!DFH22</f>
        <v>0</v>
      </c>
      <c r="DFI42" s="1046">
        <f>DFI38+((DFI40+'NF - 5 Power Mix'!DFI14+'NF - 5 Power Mix'!DFI15)*860/10)+((('Form Sa1'!DFL835)*860)/10)+('Form Sa1'!DFL814*'Form Sa1'!DFL816/10)-'NF - 5 Power Mix'!DFI21-'NF - 5 Power Mix'!DFI22</f>
        <v>0</v>
      </c>
      <c r="DFJ42" s="1046">
        <f>DFJ38+((DFJ40+'NF - 5 Power Mix'!DFJ14+'NF - 5 Power Mix'!DFJ15)*860/10)+((('Form Sa1'!DFM835)*860)/10)+('Form Sa1'!DFM814*'Form Sa1'!DFM816/10)-'NF - 5 Power Mix'!DFJ21-'NF - 5 Power Mix'!DFJ22</f>
        <v>0</v>
      </c>
      <c r="DFK42" s="1046">
        <f>DFK38+((DFK40+'NF - 5 Power Mix'!DFK14+'NF - 5 Power Mix'!DFK15)*860/10)+((('Form Sa1'!DFN835)*860)/10)+('Form Sa1'!DFN814*'Form Sa1'!DFN816/10)-'NF - 5 Power Mix'!DFK21-'NF - 5 Power Mix'!DFK22</f>
        <v>0</v>
      </c>
      <c r="DFL42" s="1046">
        <f>DFL38+((DFL40+'NF - 5 Power Mix'!DFL14+'NF - 5 Power Mix'!DFL15)*860/10)+((('Form Sa1'!DFO835)*860)/10)+('Form Sa1'!DFO814*'Form Sa1'!DFO816/10)-'NF - 5 Power Mix'!DFL21-'NF - 5 Power Mix'!DFL22</f>
        <v>0</v>
      </c>
      <c r="DFM42" s="1046">
        <f>DFM38+((DFM40+'NF - 5 Power Mix'!DFM14+'NF - 5 Power Mix'!DFM15)*860/10)+((('Form Sa1'!DFP835)*860)/10)+('Form Sa1'!DFP814*'Form Sa1'!DFP816/10)-'NF - 5 Power Mix'!DFM21-'NF - 5 Power Mix'!DFM22</f>
        <v>0</v>
      </c>
      <c r="DFN42" s="1046">
        <f>DFN38+((DFN40+'NF - 5 Power Mix'!DFN14+'NF - 5 Power Mix'!DFN15)*860/10)+((('Form Sa1'!DFQ835)*860)/10)+('Form Sa1'!DFQ814*'Form Sa1'!DFQ816/10)-'NF - 5 Power Mix'!DFN21-'NF - 5 Power Mix'!DFN22</f>
        <v>0</v>
      </c>
      <c r="DFO42" s="1046">
        <f>DFO38+((DFO40+'NF - 5 Power Mix'!DFO14+'NF - 5 Power Mix'!DFO15)*860/10)+((('Form Sa1'!DFR835)*860)/10)+('Form Sa1'!DFR814*'Form Sa1'!DFR816/10)-'NF - 5 Power Mix'!DFO21-'NF - 5 Power Mix'!DFO22</f>
        <v>0</v>
      </c>
      <c r="DFP42" s="1046">
        <f>DFP38+((DFP40+'NF - 5 Power Mix'!DFP14+'NF - 5 Power Mix'!DFP15)*860/10)+((('Form Sa1'!DFS835)*860)/10)+('Form Sa1'!DFS814*'Form Sa1'!DFS816/10)-'NF - 5 Power Mix'!DFP21-'NF - 5 Power Mix'!DFP22</f>
        <v>0</v>
      </c>
      <c r="DFQ42" s="1046">
        <f>DFQ38+((DFQ40+'NF - 5 Power Mix'!DFQ14+'NF - 5 Power Mix'!DFQ15)*860/10)+((('Form Sa1'!DFT835)*860)/10)+('Form Sa1'!DFT814*'Form Sa1'!DFT816/10)-'NF - 5 Power Mix'!DFQ21-'NF - 5 Power Mix'!DFQ22</f>
        <v>0</v>
      </c>
      <c r="DFR42" s="1046">
        <f>DFR38+((DFR40+'NF - 5 Power Mix'!DFR14+'NF - 5 Power Mix'!DFR15)*860/10)+((('Form Sa1'!DFU835)*860)/10)+('Form Sa1'!DFU814*'Form Sa1'!DFU816/10)-'NF - 5 Power Mix'!DFR21-'NF - 5 Power Mix'!DFR22</f>
        <v>0</v>
      </c>
      <c r="DFS42" s="1046">
        <f>DFS38+((DFS40+'NF - 5 Power Mix'!DFS14+'NF - 5 Power Mix'!DFS15)*860/10)+((('Form Sa1'!DFV835)*860)/10)+('Form Sa1'!DFV814*'Form Sa1'!DFV816/10)-'NF - 5 Power Mix'!DFS21-'NF - 5 Power Mix'!DFS22</f>
        <v>0</v>
      </c>
      <c r="DFT42" s="1046">
        <f>DFT38+((DFT40+'NF - 5 Power Mix'!DFT14+'NF - 5 Power Mix'!DFT15)*860/10)+((('Form Sa1'!DFW835)*860)/10)+('Form Sa1'!DFW814*'Form Sa1'!DFW816/10)-'NF - 5 Power Mix'!DFT21-'NF - 5 Power Mix'!DFT22</f>
        <v>0</v>
      </c>
      <c r="DFU42" s="1046">
        <f>DFU38+((DFU40+'NF - 5 Power Mix'!DFU14+'NF - 5 Power Mix'!DFU15)*860/10)+((('Form Sa1'!DFX835)*860)/10)+('Form Sa1'!DFX814*'Form Sa1'!DFX816/10)-'NF - 5 Power Mix'!DFU21-'NF - 5 Power Mix'!DFU22</f>
        <v>0</v>
      </c>
      <c r="DFV42" s="1046">
        <f>DFV38+((DFV40+'NF - 5 Power Mix'!DFV14+'NF - 5 Power Mix'!DFV15)*860/10)+((('Form Sa1'!DFY835)*860)/10)+('Form Sa1'!DFY814*'Form Sa1'!DFY816/10)-'NF - 5 Power Mix'!DFV21-'NF - 5 Power Mix'!DFV22</f>
        <v>0</v>
      </c>
      <c r="DFW42" s="1046">
        <f>DFW38+((DFW40+'NF - 5 Power Mix'!DFW14+'NF - 5 Power Mix'!DFW15)*860/10)+((('Form Sa1'!DFZ835)*860)/10)+('Form Sa1'!DFZ814*'Form Sa1'!DFZ816/10)-'NF - 5 Power Mix'!DFW21-'NF - 5 Power Mix'!DFW22</f>
        <v>0</v>
      </c>
      <c r="DFX42" s="1046">
        <f>DFX38+((DFX40+'NF - 5 Power Mix'!DFX14+'NF - 5 Power Mix'!DFX15)*860/10)+((('Form Sa1'!DGA835)*860)/10)+('Form Sa1'!DGA814*'Form Sa1'!DGA816/10)-'NF - 5 Power Mix'!DFX21-'NF - 5 Power Mix'!DFX22</f>
        <v>0</v>
      </c>
      <c r="DFY42" s="1046">
        <f>DFY38+((DFY40+'NF - 5 Power Mix'!DFY14+'NF - 5 Power Mix'!DFY15)*860/10)+((('Form Sa1'!DGB835)*860)/10)+('Form Sa1'!DGB814*'Form Sa1'!DGB816/10)-'NF - 5 Power Mix'!DFY21-'NF - 5 Power Mix'!DFY22</f>
        <v>0</v>
      </c>
      <c r="DFZ42" s="1046">
        <f>DFZ38+((DFZ40+'NF - 5 Power Mix'!DFZ14+'NF - 5 Power Mix'!DFZ15)*860/10)+((('Form Sa1'!DGC835)*860)/10)+('Form Sa1'!DGC814*'Form Sa1'!DGC816/10)-'NF - 5 Power Mix'!DFZ21-'NF - 5 Power Mix'!DFZ22</f>
        <v>0</v>
      </c>
      <c r="DGA42" s="1046">
        <f>DGA38+((DGA40+'NF - 5 Power Mix'!DGA14+'NF - 5 Power Mix'!DGA15)*860/10)+((('Form Sa1'!DGD835)*860)/10)+('Form Sa1'!DGD814*'Form Sa1'!DGD816/10)-'NF - 5 Power Mix'!DGA21-'NF - 5 Power Mix'!DGA22</f>
        <v>0</v>
      </c>
      <c r="DGB42" s="1046">
        <f>DGB38+((DGB40+'NF - 5 Power Mix'!DGB14+'NF - 5 Power Mix'!DGB15)*860/10)+((('Form Sa1'!DGE835)*860)/10)+('Form Sa1'!DGE814*'Form Sa1'!DGE816/10)-'NF - 5 Power Mix'!DGB21-'NF - 5 Power Mix'!DGB22</f>
        <v>0</v>
      </c>
      <c r="DGC42" s="1046">
        <f>DGC38+((DGC40+'NF - 5 Power Mix'!DGC14+'NF - 5 Power Mix'!DGC15)*860/10)+((('Form Sa1'!DGF835)*860)/10)+('Form Sa1'!DGF814*'Form Sa1'!DGF816/10)-'NF - 5 Power Mix'!DGC21-'NF - 5 Power Mix'!DGC22</f>
        <v>0</v>
      </c>
      <c r="DGD42" s="1046">
        <f>DGD38+((DGD40+'NF - 5 Power Mix'!DGD14+'NF - 5 Power Mix'!DGD15)*860/10)+((('Form Sa1'!DGG835)*860)/10)+('Form Sa1'!DGG814*'Form Sa1'!DGG816/10)-'NF - 5 Power Mix'!DGD21-'NF - 5 Power Mix'!DGD22</f>
        <v>0</v>
      </c>
      <c r="DGE42" s="1046">
        <f>DGE38+((DGE40+'NF - 5 Power Mix'!DGE14+'NF - 5 Power Mix'!DGE15)*860/10)+((('Form Sa1'!DGH835)*860)/10)+('Form Sa1'!DGH814*'Form Sa1'!DGH816/10)-'NF - 5 Power Mix'!DGE21-'NF - 5 Power Mix'!DGE22</f>
        <v>0</v>
      </c>
      <c r="DGF42" s="1046">
        <f>DGF38+((DGF40+'NF - 5 Power Mix'!DGF14+'NF - 5 Power Mix'!DGF15)*860/10)+((('Form Sa1'!DGI835)*860)/10)+('Form Sa1'!DGI814*'Form Sa1'!DGI816/10)-'NF - 5 Power Mix'!DGF21-'NF - 5 Power Mix'!DGF22</f>
        <v>0</v>
      </c>
      <c r="DGG42" s="1046">
        <f>DGG38+((DGG40+'NF - 5 Power Mix'!DGG14+'NF - 5 Power Mix'!DGG15)*860/10)+((('Form Sa1'!DGJ835)*860)/10)+('Form Sa1'!DGJ814*'Form Sa1'!DGJ816/10)-'NF - 5 Power Mix'!DGG21-'NF - 5 Power Mix'!DGG22</f>
        <v>0</v>
      </c>
      <c r="DGH42" s="1046">
        <f>DGH38+((DGH40+'NF - 5 Power Mix'!DGH14+'NF - 5 Power Mix'!DGH15)*860/10)+((('Form Sa1'!DGK835)*860)/10)+('Form Sa1'!DGK814*'Form Sa1'!DGK816/10)-'NF - 5 Power Mix'!DGH21-'NF - 5 Power Mix'!DGH22</f>
        <v>0</v>
      </c>
      <c r="DGI42" s="1046">
        <f>DGI38+((DGI40+'NF - 5 Power Mix'!DGI14+'NF - 5 Power Mix'!DGI15)*860/10)+((('Form Sa1'!DGL835)*860)/10)+('Form Sa1'!DGL814*'Form Sa1'!DGL816/10)-'NF - 5 Power Mix'!DGI21-'NF - 5 Power Mix'!DGI22</f>
        <v>0</v>
      </c>
      <c r="DGJ42" s="1046">
        <f>DGJ38+((DGJ40+'NF - 5 Power Mix'!DGJ14+'NF - 5 Power Mix'!DGJ15)*860/10)+((('Form Sa1'!DGM835)*860)/10)+('Form Sa1'!DGM814*'Form Sa1'!DGM816/10)-'NF - 5 Power Mix'!DGJ21-'NF - 5 Power Mix'!DGJ22</f>
        <v>0</v>
      </c>
      <c r="DGK42" s="1046">
        <f>DGK38+((DGK40+'NF - 5 Power Mix'!DGK14+'NF - 5 Power Mix'!DGK15)*860/10)+((('Form Sa1'!DGN835)*860)/10)+('Form Sa1'!DGN814*'Form Sa1'!DGN816/10)-'NF - 5 Power Mix'!DGK21-'NF - 5 Power Mix'!DGK22</f>
        <v>0</v>
      </c>
      <c r="DGL42" s="1046">
        <f>DGL38+((DGL40+'NF - 5 Power Mix'!DGL14+'NF - 5 Power Mix'!DGL15)*860/10)+((('Form Sa1'!DGO835)*860)/10)+('Form Sa1'!DGO814*'Form Sa1'!DGO816/10)-'NF - 5 Power Mix'!DGL21-'NF - 5 Power Mix'!DGL22</f>
        <v>0</v>
      </c>
      <c r="DGM42" s="1046">
        <f>DGM38+((DGM40+'NF - 5 Power Mix'!DGM14+'NF - 5 Power Mix'!DGM15)*860/10)+((('Form Sa1'!DGP835)*860)/10)+('Form Sa1'!DGP814*'Form Sa1'!DGP816/10)-'NF - 5 Power Mix'!DGM21-'NF - 5 Power Mix'!DGM22</f>
        <v>0</v>
      </c>
      <c r="DGN42" s="1046">
        <f>DGN38+((DGN40+'NF - 5 Power Mix'!DGN14+'NF - 5 Power Mix'!DGN15)*860/10)+((('Form Sa1'!DGQ835)*860)/10)+('Form Sa1'!DGQ814*'Form Sa1'!DGQ816/10)-'NF - 5 Power Mix'!DGN21-'NF - 5 Power Mix'!DGN22</f>
        <v>0</v>
      </c>
      <c r="DGO42" s="1046">
        <f>DGO38+((DGO40+'NF - 5 Power Mix'!DGO14+'NF - 5 Power Mix'!DGO15)*860/10)+((('Form Sa1'!DGR835)*860)/10)+('Form Sa1'!DGR814*'Form Sa1'!DGR816/10)-'NF - 5 Power Mix'!DGO21-'NF - 5 Power Mix'!DGO22</f>
        <v>0</v>
      </c>
      <c r="DGP42" s="1046">
        <f>DGP38+((DGP40+'NF - 5 Power Mix'!DGP14+'NF - 5 Power Mix'!DGP15)*860/10)+((('Form Sa1'!DGS835)*860)/10)+('Form Sa1'!DGS814*'Form Sa1'!DGS816/10)-'NF - 5 Power Mix'!DGP21-'NF - 5 Power Mix'!DGP22</f>
        <v>0</v>
      </c>
      <c r="DGQ42" s="1046">
        <f>DGQ38+((DGQ40+'NF - 5 Power Mix'!DGQ14+'NF - 5 Power Mix'!DGQ15)*860/10)+((('Form Sa1'!DGT835)*860)/10)+('Form Sa1'!DGT814*'Form Sa1'!DGT816/10)-'NF - 5 Power Mix'!DGQ21-'NF - 5 Power Mix'!DGQ22</f>
        <v>0</v>
      </c>
      <c r="DGR42" s="1046">
        <f>DGR38+((DGR40+'NF - 5 Power Mix'!DGR14+'NF - 5 Power Mix'!DGR15)*860/10)+((('Form Sa1'!DGU835)*860)/10)+('Form Sa1'!DGU814*'Form Sa1'!DGU816/10)-'NF - 5 Power Mix'!DGR21-'NF - 5 Power Mix'!DGR22</f>
        <v>0</v>
      </c>
      <c r="DGS42" s="1046">
        <f>DGS38+((DGS40+'NF - 5 Power Mix'!DGS14+'NF - 5 Power Mix'!DGS15)*860/10)+((('Form Sa1'!DGV835)*860)/10)+('Form Sa1'!DGV814*'Form Sa1'!DGV816/10)-'NF - 5 Power Mix'!DGS21-'NF - 5 Power Mix'!DGS22</f>
        <v>0</v>
      </c>
      <c r="DGT42" s="1046">
        <f>DGT38+((DGT40+'NF - 5 Power Mix'!DGT14+'NF - 5 Power Mix'!DGT15)*860/10)+((('Form Sa1'!DGW835)*860)/10)+('Form Sa1'!DGW814*'Form Sa1'!DGW816/10)-'NF - 5 Power Mix'!DGT21-'NF - 5 Power Mix'!DGT22</f>
        <v>0</v>
      </c>
      <c r="DGU42" s="1046">
        <f>DGU38+((DGU40+'NF - 5 Power Mix'!DGU14+'NF - 5 Power Mix'!DGU15)*860/10)+((('Form Sa1'!DGX835)*860)/10)+('Form Sa1'!DGX814*'Form Sa1'!DGX816/10)-'NF - 5 Power Mix'!DGU21-'NF - 5 Power Mix'!DGU22</f>
        <v>0</v>
      </c>
      <c r="DGV42" s="1046">
        <f>DGV38+((DGV40+'NF - 5 Power Mix'!DGV14+'NF - 5 Power Mix'!DGV15)*860/10)+((('Form Sa1'!DGY835)*860)/10)+('Form Sa1'!DGY814*'Form Sa1'!DGY816/10)-'NF - 5 Power Mix'!DGV21-'NF - 5 Power Mix'!DGV22</f>
        <v>0</v>
      </c>
      <c r="DGW42" s="1046">
        <f>DGW38+((DGW40+'NF - 5 Power Mix'!DGW14+'NF - 5 Power Mix'!DGW15)*860/10)+((('Form Sa1'!DGZ835)*860)/10)+('Form Sa1'!DGZ814*'Form Sa1'!DGZ816/10)-'NF - 5 Power Mix'!DGW21-'NF - 5 Power Mix'!DGW22</f>
        <v>0</v>
      </c>
      <c r="DGX42" s="1046">
        <f>DGX38+((DGX40+'NF - 5 Power Mix'!DGX14+'NF - 5 Power Mix'!DGX15)*860/10)+((('Form Sa1'!DHA835)*860)/10)+('Form Sa1'!DHA814*'Form Sa1'!DHA816/10)-'NF - 5 Power Mix'!DGX21-'NF - 5 Power Mix'!DGX22</f>
        <v>0</v>
      </c>
      <c r="DGY42" s="1046">
        <f>DGY38+((DGY40+'NF - 5 Power Mix'!DGY14+'NF - 5 Power Mix'!DGY15)*860/10)+((('Form Sa1'!DHB835)*860)/10)+('Form Sa1'!DHB814*'Form Sa1'!DHB816/10)-'NF - 5 Power Mix'!DGY21-'NF - 5 Power Mix'!DGY22</f>
        <v>0</v>
      </c>
      <c r="DGZ42" s="1046">
        <f>DGZ38+((DGZ40+'NF - 5 Power Mix'!DGZ14+'NF - 5 Power Mix'!DGZ15)*860/10)+((('Form Sa1'!DHC835)*860)/10)+('Form Sa1'!DHC814*'Form Sa1'!DHC816/10)-'NF - 5 Power Mix'!DGZ21-'NF - 5 Power Mix'!DGZ22</f>
        <v>0</v>
      </c>
      <c r="DHA42" s="1046">
        <f>DHA38+((DHA40+'NF - 5 Power Mix'!DHA14+'NF - 5 Power Mix'!DHA15)*860/10)+((('Form Sa1'!DHD835)*860)/10)+('Form Sa1'!DHD814*'Form Sa1'!DHD816/10)-'NF - 5 Power Mix'!DHA21-'NF - 5 Power Mix'!DHA22</f>
        <v>0</v>
      </c>
      <c r="DHB42" s="1046">
        <f>DHB38+((DHB40+'NF - 5 Power Mix'!DHB14+'NF - 5 Power Mix'!DHB15)*860/10)+((('Form Sa1'!DHE835)*860)/10)+('Form Sa1'!DHE814*'Form Sa1'!DHE816/10)-'NF - 5 Power Mix'!DHB21-'NF - 5 Power Mix'!DHB22</f>
        <v>0</v>
      </c>
      <c r="DHC42" s="1046">
        <f>DHC38+((DHC40+'NF - 5 Power Mix'!DHC14+'NF - 5 Power Mix'!DHC15)*860/10)+((('Form Sa1'!DHF835)*860)/10)+('Form Sa1'!DHF814*'Form Sa1'!DHF816/10)-'NF - 5 Power Mix'!DHC21-'NF - 5 Power Mix'!DHC22</f>
        <v>0</v>
      </c>
      <c r="DHD42" s="1046">
        <f>DHD38+((DHD40+'NF - 5 Power Mix'!DHD14+'NF - 5 Power Mix'!DHD15)*860/10)+((('Form Sa1'!DHG835)*860)/10)+('Form Sa1'!DHG814*'Form Sa1'!DHG816/10)-'NF - 5 Power Mix'!DHD21-'NF - 5 Power Mix'!DHD22</f>
        <v>0</v>
      </c>
      <c r="DHE42" s="1046">
        <f>DHE38+((DHE40+'NF - 5 Power Mix'!DHE14+'NF - 5 Power Mix'!DHE15)*860/10)+((('Form Sa1'!DHH835)*860)/10)+('Form Sa1'!DHH814*'Form Sa1'!DHH816/10)-'NF - 5 Power Mix'!DHE21-'NF - 5 Power Mix'!DHE22</f>
        <v>0</v>
      </c>
      <c r="DHF42" s="1046">
        <f>DHF38+((DHF40+'NF - 5 Power Mix'!DHF14+'NF - 5 Power Mix'!DHF15)*860/10)+((('Form Sa1'!DHI835)*860)/10)+('Form Sa1'!DHI814*'Form Sa1'!DHI816/10)-'NF - 5 Power Mix'!DHF21-'NF - 5 Power Mix'!DHF22</f>
        <v>0</v>
      </c>
      <c r="DHG42" s="1046">
        <f>DHG38+((DHG40+'NF - 5 Power Mix'!DHG14+'NF - 5 Power Mix'!DHG15)*860/10)+((('Form Sa1'!DHJ835)*860)/10)+('Form Sa1'!DHJ814*'Form Sa1'!DHJ816/10)-'NF - 5 Power Mix'!DHG21-'NF - 5 Power Mix'!DHG22</f>
        <v>0</v>
      </c>
      <c r="DHH42" s="1046">
        <f>DHH38+((DHH40+'NF - 5 Power Mix'!DHH14+'NF - 5 Power Mix'!DHH15)*860/10)+((('Form Sa1'!DHK835)*860)/10)+('Form Sa1'!DHK814*'Form Sa1'!DHK816/10)-'NF - 5 Power Mix'!DHH21-'NF - 5 Power Mix'!DHH22</f>
        <v>0</v>
      </c>
      <c r="DHI42" s="1046">
        <f>DHI38+((DHI40+'NF - 5 Power Mix'!DHI14+'NF - 5 Power Mix'!DHI15)*860/10)+((('Form Sa1'!DHL835)*860)/10)+('Form Sa1'!DHL814*'Form Sa1'!DHL816/10)-'NF - 5 Power Mix'!DHI21-'NF - 5 Power Mix'!DHI22</f>
        <v>0</v>
      </c>
      <c r="DHJ42" s="1046">
        <f>DHJ38+((DHJ40+'NF - 5 Power Mix'!DHJ14+'NF - 5 Power Mix'!DHJ15)*860/10)+((('Form Sa1'!DHM835)*860)/10)+('Form Sa1'!DHM814*'Form Sa1'!DHM816/10)-'NF - 5 Power Mix'!DHJ21-'NF - 5 Power Mix'!DHJ22</f>
        <v>0</v>
      </c>
      <c r="DHK42" s="1046">
        <f>DHK38+((DHK40+'NF - 5 Power Mix'!DHK14+'NF - 5 Power Mix'!DHK15)*860/10)+((('Form Sa1'!DHN835)*860)/10)+('Form Sa1'!DHN814*'Form Sa1'!DHN816/10)-'NF - 5 Power Mix'!DHK21-'NF - 5 Power Mix'!DHK22</f>
        <v>0</v>
      </c>
      <c r="DHL42" s="1046">
        <f>DHL38+((DHL40+'NF - 5 Power Mix'!DHL14+'NF - 5 Power Mix'!DHL15)*860/10)+((('Form Sa1'!DHO835)*860)/10)+('Form Sa1'!DHO814*'Form Sa1'!DHO816/10)-'NF - 5 Power Mix'!DHL21-'NF - 5 Power Mix'!DHL22</f>
        <v>0</v>
      </c>
      <c r="DHM42" s="1046">
        <f>DHM38+((DHM40+'NF - 5 Power Mix'!DHM14+'NF - 5 Power Mix'!DHM15)*860/10)+((('Form Sa1'!DHP835)*860)/10)+('Form Sa1'!DHP814*'Form Sa1'!DHP816/10)-'NF - 5 Power Mix'!DHM21-'NF - 5 Power Mix'!DHM22</f>
        <v>0</v>
      </c>
      <c r="DHN42" s="1046">
        <f>DHN38+((DHN40+'NF - 5 Power Mix'!DHN14+'NF - 5 Power Mix'!DHN15)*860/10)+((('Form Sa1'!DHQ835)*860)/10)+('Form Sa1'!DHQ814*'Form Sa1'!DHQ816/10)-'NF - 5 Power Mix'!DHN21-'NF - 5 Power Mix'!DHN22</f>
        <v>0</v>
      </c>
      <c r="DHO42" s="1046">
        <f>DHO38+((DHO40+'NF - 5 Power Mix'!DHO14+'NF - 5 Power Mix'!DHO15)*860/10)+((('Form Sa1'!DHR835)*860)/10)+('Form Sa1'!DHR814*'Form Sa1'!DHR816/10)-'NF - 5 Power Mix'!DHO21-'NF - 5 Power Mix'!DHO22</f>
        <v>0</v>
      </c>
      <c r="DHP42" s="1046">
        <f>DHP38+((DHP40+'NF - 5 Power Mix'!DHP14+'NF - 5 Power Mix'!DHP15)*860/10)+((('Form Sa1'!DHS835)*860)/10)+('Form Sa1'!DHS814*'Form Sa1'!DHS816/10)-'NF - 5 Power Mix'!DHP21-'NF - 5 Power Mix'!DHP22</f>
        <v>0</v>
      </c>
      <c r="DHQ42" s="1046">
        <f>DHQ38+((DHQ40+'NF - 5 Power Mix'!DHQ14+'NF - 5 Power Mix'!DHQ15)*860/10)+((('Form Sa1'!DHT835)*860)/10)+('Form Sa1'!DHT814*'Form Sa1'!DHT816/10)-'NF - 5 Power Mix'!DHQ21-'NF - 5 Power Mix'!DHQ22</f>
        <v>0</v>
      </c>
      <c r="DHR42" s="1046">
        <f>DHR38+((DHR40+'NF - 5 Power Mix'!DHR14+'NF - 5 Power Mix'!DHR15)*860/10)+((('Form Sa1'!DHU835)*860)/10)+('Form Sa1'!DHU814*'Form Sa1'!DHU816/10)-'NF - 5 Power Mix'!DHR21-'NF - 5 Power Mix'!DHR22</f>
        <v>0</v>
      </c>
      <c r="DHS42" s="1046">
        <f>DHS38+((DHS40+'NF - 5 Power Mix'!DHS14+'NF - 5 Power Mix'!DHS15)*860/10)+((('Form Sa1'!DHV835)*860)/10)+('Form Sa1'!DHV814*'Form Sa1'!DHV816/10)-'NF - 5 Power Mix'!DHS21-'NF - 5 Power Mix'!DHS22</f>
        <v>0</v>
      </c>
      <c r="DHT42" s="1046">
        <f>DHT38+((DHT40+'NF - 5 Power Mix'!DHT14+'NF - 5 Power Mix'!DHT15)*860/10)+((('Form Sa1'!DHW835)*860)/10)+('Form Sa1'!DHW814*'Form Sa1'!DHW816/10)-'NF - 5 Power Mix'!DHT21-'NF - 5 Power Mix'!DHT22</f>
        <v>0</v>
      </c>
      <c r="DHU42" s="1046">
        <f>DHU38+((DHU40+'NF - 5 Power Mix'!DHU14+'NF - 5 Power Mix'!DHU15)*860/10)+((('Form Sa1'!DHX835)*860)/10)+('Form Sa1'!DHX814*'Form Sa1'!DHX816/10)-'NF - 5 Power Mix'!DHU21-'NF - 5 Power Mix'!DHU22</f>
        <v>0</v>
      </c>
      <c r="DHV42" s="1046">
        <f>DHV38+((DHV40+'NF - 5 Power Mix'!DHV14+'NF - 5 Power Mix'!DHV15)*860/10)+((('Form Sa1'!DHY835)*860)/10)+('Form Sa1'!DHY814*'Form Sa1'!DHY816/10)-'NF - 5 Power Mix'!DHV21-'NF - 5 Power Mix'!DHV22</f>
        <v>0</v>
      </c>
      <c r="DHW42" s="1046">
        <f>DHW38+((DHW40+'NF - 5 Power Mix'!DHW14+'NF - 5 Power Mix'!DHW15)*860/10)+((('Form Sa1'!DHZ835)*860)/10)+('Form Sa1'!DHZ814*'Form Sa1'!DHZ816/10)-'NF - 5 Power Mix'!DHW21-'NF - 5 Power Mix'!DHW22</f>
        <v>0</v>
      </c>
      <c r="DHX42" s="1046">
        <f>DHX38+((DHX40+'NF - 5 Power Mix'!DHX14+'NF - 5 Power Mix'!DHX15)*860/10)+((('Form Sa1'!DIA835)*860)/10)+('Form Sa1'!DIA814*'Form Sa1'!DIA816/10)-'NF - 5 Power Mix'!DHX21-'NF - 5 Power Mix'!DHX22</f>
        <v>0</v>
      </c>
      <c r="DHY42" s="1046">
        <f>DHY38+((DHY40+'NF - 5 Power Mix'!DHY14+'NF - 5 Power Mix'!DHY15)*860/10)+((('Form Sa1'!DIB835)*860)/10)+('Form Sa1'!DIB814*'Form Sa1'!DIB816/10)-'NF - 5 Power Mix'!DHY21-'NF - 5 Power Mix'!DHY22</f>
        <v>0</v>
      </c>
      <c r="DHZ42" s="1046">
        <f>DHZ38+((DHZ40+'NF - 5 Power Mix'!DHZ14+'NF - 5 Power Mix'!DHZ15)*860/10)+((('Form Sa1'!DIC835)*860)/10)+('Form Sa1'!DIC814*'Form Sa1'!DIC816/10)-'NF - 5 Power Mix'!DHZ21-'NF - 5 Power Mix'!DHZ22</f>
        <v>0</v>
      </c>
      <c r="DIA42" s="1046">
        <f>DIA38+((DIA40+'NF - 5 Power Mix'!DIA14+'NF - 5 Power Mix'!DIA15)*860/10)+((('Form Sa1'!DID835)*860)/10)+('Form Sa1'!DID814*'Form Sa1'!DID816/10)-'NF - 5 Power Mix'!DIA21-'NF - 5 Power Mix'!DIA22</f>
        <v>0</v>
      </c>
      <c r="DIB42" s="1046">
        <f>DIB38+((DIB40+'NF - 5 Power Mix'!DIB14+'NF - 5 Power Mix'!DIB15)*860/10)+((('Form Sa1'!DIE835)*860)/10)+('Form Sa1'!DIE814*'Form Sa1'!DIE816/10)-'NF - 5 Power Mix'!DIB21-'NF - 5 Power Mix'!DIB22</f>
        <v>0</v>
      </c>
      <c r="DIC42" s="1046">
        <f>DIC38+((DIC40+'NF - 5 Power Mix'!DIC14+'NF - 5 Power Mix'!DIC15)*860/10)+((('Form Sa1'!DIF835)*860)/10)+('Form Sa1'!DIF814*'Form Sa1'!DIF816/10)-'NF - 5 Power Mix'!DIC21-'NF - 5 Power Mix'!DIC22</f>
        <v>0</v>
      </c>
      <c r="DID42" s="1046">
        <f>DID38+((DID40+'NF - 5 Power Mix'!DID14+'NF - 5 Power Mix'!DID15)*860/10)+((('Form Sa1'!DIG835)*860)/10)+('Form Sa1'!DIG814*'Form Sa1'!DIG816/10)-'NF - 5 Power Mix'!DID21-'NF - 5 Power Mix'!DID22</f>
        <v>0</v>
      </c>
      <c r="DIE42" s="1046">
        <f>DIE38+((DIE40+'NF - 5 Power Mix'!DIE14+'NF - 5 Power Mix'!DIE15)*860/10)+((('Form Sa1'!DIH835)*860)/10)+('Form Sa1'!DIH814*'Form Sa1'!DIH816/10)-'NF - 5 Power Mix'!DIE21-'NF - 5 Power Mix'!DIE22</f>
        <v>0</v>
      </c>
      <c r="DIF42" s="1046">
        <f>DIF38+((DIF40+'NF - 5 Power Mix'!DIF14+'NF - 5 Power Mix'!DIF15)*860/10)+((('Form Sa1'!DII835)*860)/10)+('Form Sa1'!DII814*'Form Sa1'!DII816/10)-'NF - 5 Power Mix'!DIF21-'NF - 5 Power Mix'!DIF22</f>
        <v>0</v>
      </c>
      <c r="DIG42" s="1046">
        <f>DIG38+((DIG40+'NF - 5 Power Mix'!DIG14+'NF - 5 Power Mix'!DIG15)*860/10)+((('Form Sa1'!DIJ835)*860)/10)+('Form Sa1'!DIJ814*'Form Sa1'!DIJ816/10)-'NF - 5 Power Mix'!DIG21-'NF - 5 Power Mix'!DIG22</f>
        <v>0</v>
      </c>
      <c r="DIH42" s="1046">
        <f>DIH38+((DIH40+'NF - 5 Power Mix'!DIH14+'NF - 5 Power Mix'!DIH15)*860/10)+((('Form Sa1'!DIK835)*860)/10)+('Form Sa1'!DIK814*'Form Sa1'!DIK816/10)-'NF - 5 Power Mix'!DIH21-'NF - 5 Power Mix'!DIH22</f>
        <v>0</v>
      </c>
      <c r="DII42" s="1046">
        <f>DII38+((DII40+'NF - 5 Power Mix'!DII14+'NF - 5 Power Mix'!DII15)*860/10)+((('Form Sa1'!DIL835)*860)/10)+('Form Sa1'!DIL814*'Form Sa1'!DIL816/10)-'NF - 5 Power Mix'!DII21-'NF - 5 Power Mix'!DII22</f>
        <v>0</v>
      </c>
      <c r="DIJ42" s="1046">
        <f>DIJ38+((DIJ40+'NF - 5 Power Mix'!DIJ14+'NF - 5 Power Mix'!DIJ15)*860/10)+((('Form Sa1'!DIM835)*860)/10)+('Form Sa1'!DIM814*'Form Sa1'!DIM816/10)-'NF - 5 Power Mix'!DIJ21-'NF - 5 Power Mix'!DIJ22</f>
        <v>0</v>
      </c>
      <c r="DIK42" s="1046">
        <f>DIK38+((DIK40+'NF - 5 Power Mix'!DIK14+'NF - 5 Power Mix'!DIK15)*860/10)+((('Form Sa1'!DIN835)*860)/10)+('Form Sa1'!DIN814*'Form Sa1'!DIN816/10)-'NF - 5 Power Mix'!DIK21-'NF - 5 Power Mix'!DIK22</f>
        <v>0</v>
      </c>
      <c r="DIL42" s="1046">
        <f>DIL38+((DIL40+'NF - 5 Power Mix'!DIL14+'NF - 5 Power Mix'!DIL15)*860/10)+((('Form Sa1'!DIO835)*860)/10)+('Form Sa1'!DIO814*'Form Sa1'!DIO816/10)-'NF - 5 Power Mix'!DIL21-'NF - 5 Power Mix'!DIL22</f>
        <v>0</v>
      </c>
      <c r="DIM42" s="1046">
        <f>DIM38+((DIM40+'NF - 5 Power Mix'!DIM14+'NF - 5 Power Mix'!DIM15)*860/10)+((('Form Sa1'!DIP835)*860)/10)+('Form Sa1'!DIP814*'Form Sa1'!DIP816/10)-'NF - 5 Power Mix'!DIM21-'NF - 5 Power Mix'!DIM22</f>
        <v>0</v>
      </c>
      <c r="DIN42" s="1046">
        <f>DIN38+((DIN40+'NF - 5 Power Mix'!DIN14+'NF - 5 Power Mix'!DIN15)*860/10)+((('Form Sa1'!DIQ835)*860)/10)+('Form Sa1'!DIQ814*'Form Sa1'!DIQ816/10)-'NF - 5 Power Mix'!DIN21-'NF - 5 Power Mix'!DIN22</f>
        <v>0</v>
      </c>
      <c r="DIO42" s="1046">
        <f>DIO38+((DIO40+'NF - 5 Power Mix'!DIO14+'NF - 5 Power Mix'!DIO15)*860/10)+((('Form Sa1'!DIR835)*860)/10)+('Form Sa1'!DIR814*'Form Sa1'!DIR816/10)-'NF - 5 Power Mix'!DIO21-'NF - 5 Power Mix'!DIO22</f>
        <v>0</v>
      </c>
      <c r="DIP42" s="1046">
        <f>DIP38+((DIP40+'NF - 5 Power Mix'!DIP14+'NF - 5 Power Mix'!DIP15)*860/10)+((('Form Sa1'!DIS835)*860)/10)+('Form Sa1'!DIS814*'Form Sa1'!DIS816/10)-'NF - 5 Power Mix'!DIP21-'NF - 5 Power Mix'!DIP22</f>
        <v>0</v>
      </c>
      <c r="DIQ42" s="1046">
        <f>DIQ38+((DIQ40+'NF - 5 Power Mix'!DIQ14+'NF - 5 Power Mix'!DIQ15)*860/10)+((('Form Sa1'!DIT835)*860)/10)+('Form Sa1'!DIT814*'Form Sa1'!DIT816/10)-'NF - 5 Power Mix'!DIQ21-'NF - 5 Power Mix'!DIQ22</f>
        <v>0</v>
      </c>
      <c r="DIR42" s="1046">
        <f>DIR38+((DIR40+'NF - 5 Power Mix'!DIR14+'NF - 5 Power Mix'!DIR15)*860/10)+((('Form Sa1'!DIU835)*860)/10)+('Form Sa1'!DIU814*'Form Sa1'!DIU816/10)-'NF - 5 Power Mix'!DIR21-'NF - 5 Power Mix'!DIR22</f>
        <v>0</v>
      </c>
      <c r="DIS42" s="1046">
        <f>DIS38+((DIS40+'NF - 5 Power Mix'!DIS14+'NF - 5 Power Mix'!DIS15)*860/10)+((('Form Sa1'!DIV835)*860)/10)+('Form Sa1'!DIV814*'Form Sa1'!DIV816/10)-'NF - 5 Power Mix'!DIS21-'NF - 5 Power Mix'!DIS22</f>
        <v>0</v>
      </c>
      <c r="DIT42" s="1046">
        <f>DIT38+((DIT40+'NF - 5 Power Mix'!DIT14+'NF - 5 Power Mix'!DIT15)*860/10)+((('Form Sa1'!DIW835)*860)/10)+('Form Sa1'!DIW814*'Form Sa1'!DIW816/10)-'NF - 5 Power Mix'!DIT21-'NF - 5 Power Mix'!DIT22</f>
        <v>0</v>
      </c>
      <c r="DIU42" s="1046">
        <f>DIU38+((DIU40+'NF - 5 Power Mix'!DIU14+'NF - 5 Power Mix'!DIU15)*860/10)+((('Form Sa1'!DIX835)*860)/10)+('Form Sa1'!DIX814*'Form Sa1'!DIX816/10)-'NF - 5 Power Mix'!DIU21-'NF - 5 Power Mix'!DIU22</f>
        <v>0</v>
      </c>
      <c r="DIV42" s="1046">
        <f>DIV38+((DIV40+'NF - 5 Power Mix'!DIV14+'NF - 5 Power Mix'!DIV15)*860/10)+((('Form Sa1'!DIY835)*860)/10)+('Form Sa1'!DIY814*'Form Sa1'!DIY816/10)-'NF - 5 Power Mix'!DIV21-'NF - 5 Power Mix'!DIV22</f>
        <v>0</v>
      </c>
      <c r="DIW42" s="1046">
        <f>DIW38+((DIW40+'NF - 5 Power Mix'!DIW14+'NF - 5 Power Mix'!DIW15)*860/10)+((('Form Sa1'!DIZ835)*860)/10)+('Form Sa1'!DIZ814*'Form Sa1'!DIZ816/10)-'NF - 5 Power Mix'!DIW21-'NF - 5 Power Mix'!DIW22</f>
        <v>0</v>
      </c>
      <c r="DIX42" s="1046">
        <f>DIX38+((DIX40+'NF - 5 Power Mix'!DIX14+'NF - 5 Power Mix'!DIX15)*860/10)+((('Form Sa1'!DJA835)*860)/10)+('Form Sa1'!DJA814*'Form Sa1'!DJA816/10)-'NF - 5 Power Mix'!DIX21-'NF - 5 Power Mix'!DIX22</f>
        <v>0</v>
      </c>
      <c r="DIY42" s="1046">
        <f>DIY38+((DIY40+'NF - 5 Power Mix'!DIY14+'NF - 5 Power Mix'!DIY15)*860/10)+((('Form Sa1'!DJB835)*860)/10)+('Form Sa1'!DJB814*'Form Sa1'!DJB816/10)-'NF - 5 Power Mix'!DIY21-'NF - 5 Power Mix'!DIY22</f>
        <v>0</v>
      </c>
      <c r="DIZ42" s="1046">
        <f>DIZ38+((DIZ40+'NF - 5 Power Mix'!DIZ14+'NF - 5 Power Mix'!DIZ15)*860/10)+((('Form Sa1'!DJC835)*860)/10)+('Form Sa1'!DJC814*'Form Sa1'!DJC816/10)-'NF - 5 Power Mix'!DIZ21-'NF - 5 Power Mix'!DIZ22</f>
        <v>0</v>
      </c>
      <c r="DJA42" s="1046">
        <f>DJA38+((DJA40+'NF - 5 Power Mix'!DJA14+'NF - 5 Power Mix'!DJA15)*860/10)+((('Form Sa1'!DJD835)*860)/10)+('Form Sa1'!DJD814*'Form Sa1'!DJD816/10)-'NF - 5 Power Mix'!DJA21-'NF - 5 Power Mix'!DJA22</f>
        <v>0</v>
      </c>
      <c r="DJB42" s="1046">
        <f>DJB38+((DJB40+'NF - 5 Power Mix'!DJB14+'NF - 5 Power Mix'!DJB15)*860/10)+((('Form Sa1'!DJE835)*860)/10)+('Form Sa1'!DJE814*'Form Sa1'!DJE816/10)-'NF - 5 Power Mix'!DJB21-'NF - 5 Power Mix'!DJB22</f>
        <v>0</v>
      </c>
      <c r="DJC42" s="1046">
        <f>DJC38+((DJC40+'NF - 5 Power Mix'!DJC14+'NF - 5 Power Mix'!DJC15)*860/10)+((('Form Sa1'!DJF835)*860)/10)+('Form Sa1'!DJF814*'Form Sa1'!DJF816/10)-'NF - 5 Power Mix'!DJC21-'NF - 5 Power Mix'!DJC22</f>
        <v>0</v>
      </c>
      <c r="DJD42" s="1046">
        <f>DJD38+((DJD40+'NF - 5 Power Mix'!DJD14+'NF - 5 Power Mix'!DJD15)*860/10)+((('Form Sa1'!DJG835)*860)/10)+('Form Sa1'!DJG814*'Form Sa1'!DJG816/10)-'NF - 5 Power Mix'!DJD21-'NF - 5 Power Mix'!DJD22</f>
        <v>0</v>
      </c>
      <c r="DJE42" s="1046">
        <f>DJE38+((DJE40+'NF - 5 Power Mix'!DJE14+'NF - 5 Power Mix'!DJE15)*860/10)+((('Form Sa1'!DJH835)*860)/10)+('Form Sa1'!DJH814*'Form Sa1'!DJH816/10)-'NF - 5 Power Mix'!DJE21-'NF - 5 Power Mix'!DJE22</f>
        <v>0</v>
      </c>
      <c r="DJF42" s="1046">
        <f>DJF38+((DJF40+'NF - 5 Power Mix'!DJF14+'NF - 5 Power Mix'!DJF15)*860/10)+((('Form Sa1'!DJI835)*860)/10)+('Form Sa1'!DJI814*'Form Sa1'!DJI816/10)-'NF - 5 Power Mix'!DJF21-'NF - 5 Power Mix'!DJF22</f>
        <v>0</v>
      </c>
      <c r="DJG42" s="1046">
        <f>DJG38+((DJG40+'NF - 5 Power Mix'!DJG14+'NF - 5 Power Mix'!DJG15)*860/10)+((('Form Sa1'!DJJ835)*860)/10)+('Form Sa1'!DJJ814*'Form Sa1'!DJJ816/10)-'NF - 5 Power Mix'!DJG21-'NF - 5 Power Mix'!DJG22</f>
        <v>0</v>
      </c>
      <c r="DJH42" s="1046">
        <f>DJH38+((DJH40+'NF - 5 Power Mix'!DJH14+'NF - 5 Power Mix'!DJH15)*860/10)+((('Form Sa1'!DJK835)*860)/10)+('Form Sa1'!DJK814*'Form Sa1'!DJK816/10)-'NF - 5 Power Mix'!DJH21-'NF - 5 Power Mix'!DJH22</f>
        <v>0</v>
      </c>
      <c r="DJI42" s="1046">
        <f>DJI38+((DJI40+'NF - 5 Power Mix'!DJI14+'NF - 5 Power Mix'!DJI15)*860/10)+((('Form Sa1'!DJL835)*860)/10)+('Form Sa1'!DJL814*'Form Sa1'!DJL816/10)-'NF - 5 Power Mix'!DJI21-'NF - 5 Power Mix'!DJI22</f>
        <v>0</v>
      </c>
      <c r="DJJ42" s="1046">
        <f>DJJ38+((DJJ40+'NF - 5 Power Mix'!DJJ14+'NF - 5 Power Mix'!DJJ15)*860/10)+((('Form Sa1'!DJM835)*860)/10)+('Form Sa1'!DJM814*'Form Sa1'!DJM816/10)-'NF - 5 Power Mix'!DJJ21-'NF - 5 Power Mix'!DJJ22</f>
        <v>0</v>
      </c>
      <c r="DJK42" s="1046">
        <f>DJK38+((DJK40+'NF - 5 Power Mix'!DJK14+'NF - 5 Power Mix'!DJK15)*860/10)+((('Form Sa1'!DJN835)*860)/10)+('Form Sa1'!DJN814*'Form Sa1'!DJN816/10)-'NF - 5 Power Mix'!DJK21-'NF - 5 Power Mix'!DJK22</f>
        <v>0</v>
      </c>
      <c r="DJL42" s="1046">
        <f>DJL38+((DJL40+'NF - 5 Power Mix'!DJL14+'NF - 5 Power Mix'!DJL15)*860/10)+((('Form Sa1'!DJO835)*860)/10)+('Form Sa1'!DJO814*'Form Sa1'!DJO816/10)-'NF - 5 Power Mix'!DJL21-'NF - 5 Power Mix'!DJL22</f>
        <v>0</v>
      </c>
      <c r="DJM42" s="1046">
        <f>DJM38+((DJM40+'NF - 5 Power Mix'!DJM14+'NF - 5 Power Mix'!DJM15)*860/10)+((('Form Sa1'!DJP835)*860)/10)+('Form Sa1'!DJP814*'Form Sa1'!DJP816/10)-'NF - 5 Power Mix'!DJM21-'NF - 5 Power Mix'!DJM22</f>
        <v>0</v>
      </c>
      <c r="DJN42" s="1046">
        <f>DJN38+((DJN40+'NF - 5 Power Mix'!DJN14+'NF - 5 Power Mix'!DJN15)*860/10)+((('Form Sa1'!DJQ835)*860)/10)+('Form Sa1'!DJQ814*'Form Sa1'!DJQ816/10)-'NF - 5 Power Mix'!DJN21-'NF - 5 Power Mix'!DJN22</f>
        <v>0</v>
      </c>
      <c r="DJO42" s="1046">
        <f>DJO38+((DJO40+'NF - 5 Power Mix'!DJO14+'NF - 5 Power Mix'!DJO15)*860/10)+((('Form Sa1'!DJR835)*860)/10)+('Form Sa1'!DJR814*'Form Sa1'!DJR816/10)-'NF - 5 Power Mix'!DJO21-'NF - 5 Power Mix'!DJO22</f>
        <v>0</v>
      </c>
      <c r="DJP42" s="1046">
        <f>DJP38+((DJP40+'NF - 5 Power Mix'!DJP14+'NF - 5 Power Mix'!DJP15)*860/10)+((('Form Sa1'!DJS835)*860)/10)+('Form Sa1'!DJS814*'Form Sa1'!DJS816/10)-'NF - 5 Power Mix'!DJP21-'NF - 5 Power Mix'!DJP22</f>
        <v>0</v>
      </c>
      <c r="DJQ42" s="1046">
        <f>DJQ38+((DJQ40+'NF - 5 Power Mix'!DJQ14+'NF - 5 Power Mix'!DJQ15)*860/10)+((('Form Sa1'!DJT835)*860)/10)+('Form Sa1'!DJT814*'Form Sa1'!DJT816/10)-'NF - 5 Power Mix'!DJQ21-'NF - 5 Power Mix'!DJQ22</f>
        <v>0</v>
      </c>
      <c r="DJR42" s="1046">
        <f>DJR38+((DJR40+'NF - 5 Power Mix'!DJR14+'NF - 5 Power Mix'!DJR15)*860/10)+((('Form Sa1'!DJU835)*860)/10)+('Form Sa1'!DJU814*'Form Sa1'!DJU816/10)-'NF - 5 Power Mix'!DJR21-'NF - 5 Power Mix'!DJR22</f>
        <v>0</v>
      </c>
      <c r="DJS42" s="1046">
        <f>DJS38+((DJS40+'NF - 5 Power Mix'!DJS14+'NF - 5 Power Mix'!DJS15)*860/10)+((('Form Sa1'!DJV835)*860)/10)+('Form Sa1'!DJV814*'Form Sa1'!DJV816/10)-'NF - 5 Power Mix'!DJS21-'NF - 5 Power Mix'!DJS22</f>
        <v>0</v>
      </c>
      <c r="DJT42" s="1046">
        <f>DJT38+((DJT40+'NF - 5 Power Mix'!DJT14+'NF - 5 Power Mix'!DJT15)*860/10)+((('Form Sa1'!DJW835)*860)/10)+('Form Sa1'!DJW814*'Form Sa1'!DJW816/10)-'NF - 5 Power Mix'!DJT21-'NF - 5 Power Mix'!DJT22</f>
        <v>0</v>
      </c>
      <c r="DJU42" s="1046">
        <f>DJU38+((DJU40+'NF - 5 Power Mix'!DJU14+'NF - 5 Power Mix'!DJU15)*860/10)+((('Form Sa1'!DJX835)*860)/10)+('Form Sa1'!DJX814*'Form Sa1'!DJX816/10)-'NF - 5 Power Mix'!DJU21-'NF - 5 Power Mix'!DJU22</f>
        <v>0</v>
      </c>
      <c r="DJV42" s="1046">
        <f>DJV38+((DJV40+'NF - 5 Power Mix'!DJV14+'NF - 5 Power Mix'!DJV15)*860/10)+((('Form Sa1'!DJY835)*860)/10)+('Form Sa1'!DJY814*'Form Sa1'!DJY816/10)-'NF - 5 Power Mix'!DJV21-'NF - 5 Power Mix'!DJV22</f>
        <v>0</v>
      </c>
      <c r="DJW42" s="1046">
        <f>DJW38+((DJW40+'NF - 5 Power Mix'!DJW14+'NF - 5 Power Mix'!DJW15)*860/10)+((('Form Sa1'!DJZ835)*860)/10)+('Form Sa1'!DJZ814*'Form Sa1'!DJZ816/10)-'NF - 5 Power Mix'!DJW21-'NF - 5 Power Mix'!DJW22</f>
        <v>0</v>
      </c>
      <c r="DJX42" s="1046">
        <f>DJX38+((DJX40+'NF - 5 Power Mix'!DJX14+'NF - 5 Power Mix'!DJX15)*860/10)+((('Form Sa1'!DKA835)*860)/10)+('Form Sa1'!DKA814*'Form Sa1'!DKA816/10)-'NF - 5 Power Mix'!DJX21-'NF - 5 Power Mix'!DJX22</f>
        <v>0</v>
      </c>
      <c r="DJY42" s="1046">
        <f>DJY38+((DJY40+'NF - 5 Power Mix'!DJY14+'NF - 5 Power Mix'!DJY15)*860/10)+((('Form Sa1'!DKB835)*860)/10)+('Form Sa1'!DKB814*'Form Sa1'!DKB816/10)-'NF - 5 Power Mix'!DJY21-'NF - 5 Power Mix'!DJY22</f>
        <v>0</v>
      </c>
      <c r="DJZ42" s="1046">
        <f>DJZ38+((DJZ40+'NF - 5 Power Mix'!DJZ14+'NF - 5 Power Mix'!DJZ15)*860/10)+((('Form Sa1'!DKC835)*860)/10)+('Form Sa1'!DKC814*'Form Sa1'!DKC816/10)-'NF - 5 Power Mix'!DJZ21-'NF - 5 Power Mix'!DJZ22</f>
        <v>0</v>
      </c>
      <c r="DKA42" s="1046">
        <f>DKA38+((DKA40+'NF - 5 Power Mix'!DKA14+'NF - 5 Power Mix'!DKA15)*860/10)+((('Form Sa1'!DKD835)*860)/10)+('Form Sa1'!DKD814*'Form Sa1'!DKD816/10)-'NF - 5 Power Mix'!DKA21-'NF - 5 Power Mix'!DKA22</f>
        <v>0</v>
      </c>
      <c r="DKB42" s="1046">
        <f>DKB38+((DKB40+'NF - 5 Power Mix'!DKB14+'NF - 5 Power Mix'!DKB15)*860/10)+((('Form Sa1'!DKE835)*860)/10)+('Form Sa1'!DKE814*'Form Sa1'!DKE816/10)-'NF - 5 Power Mix'!DKB21-'NF - 5 Power Mix'!DKB22</f>
        <v>0</v>
      </c>
      <c r="DKC42" s="1046">
        <f>DKC38+((DKC40+'NF - 5 Power Mix'!DKC14+'NF - 5 Power Mix'!DKC15)*860/10)+((('Form Sa1'!DKF835)*860)/10)+('Form Sa1'!DKF814*'Form Sa1'!DKF816/10)-'NF - 5 Power Mix'!DKC21-'NF - 5 Power Mix'!DKC22</f>
        <v>0</v>
      </c>
      <c r="DKD42" s="1046">
        <f>DKD38+((DKD40+'NF - 5 Power Mix'!DKD14+'NF - 5 Power Mix'!DKD15)*860/10)+((('Form Sa1'!DKG835)*860)/10)+('Form Sa1'!DKG814*'Form Sa1'!DKG816/10)-'NF - 5 Power Mix'!DKD21-'NF - 5 Power Mix'!DKD22</f>
        <v>0</v>
      </c>
      <c r="DKE42" s="1046">
        <f>DKE38+((DKE40+'NF - 5 Power Mix'!DKE14+'NF - 5 Power Mix'!DKE15)*860/10)+((('Form Sa1'!DKH835)*860)/10)+('Form Sa1'!DKH814*'Form Sa1'!DKH816/10)-'NF - 5 Power Mix'!DKE21-'NF - 5 Power Mix'!DKE22</f>
        <v>0</v>
      </c>
      <c r="DKF42" s="1046">
        <f>DKF38+((DKF40+'NF - 5 Power Mix'!DKF14+'NF - 5 Power Mix'!DKF15)*860/10)+((('Form Sa1'!DKI835)*860)/10)+('Form Sa1'!DKI814*'Form Sa1'!DKI816/10)-'NF - 5 Power Mix'!DKF21-'NF - 5 Power Mix'!DKF22</f>
        <v>0</v>
      </c>
      <c r="DKG42" s="1046">
        <f>DKG38+((DKG40+'NF - 5 Power Mix'!DKG14+'NF - 5 Power Mix'!DKG15)*860/10)+((('Form Sa1'!DKJ835)*860)/10)+('Form Sa1'!DKJ814*'Form Sa1'!DKJ816/10)-'NF - 5 Power Mix'!DKG21-'NF - 5 Power Mix'!DKG22</f>
        <v>0</v>
      </c>
      <c r="DKH42" s="1046">
        <f>DKH38+((DKH40+'NF - 5 Power Mix'!DKH14+'NF - 5 Power Mix'!DKH15)*860/10)+((('Form Sa1'!DKK835)*860)/10)+('Form Sa1'!DKK814*'Form Sa1'!DKK816/10)-'NF - 5 Power Mix'!DKH21-'NF - 5 Power Mix'!DKH22</f>
        <v>0</v>
      </c>
      <c r="DKI42" s="1046">
        <f>DKI38+((DKI40+'NF - 5 Power Mix'!DKI14+'NF - 5 Power Mix'!DKI15)*860/10)+((('Form Sa1'!DKL835)*860)/10)+('Form Sa1'!DKL814*'Form Sa1'!DKL816/10)-'NF - 5 Power Mix'!DKI21-'NF - 5 Power Mix'!DKI22</f>
        <v>0</v>
      </c>
      <c r="DKJ42" s="1046">
        <f>DKJ38+((DKJ40+'NF - 5 Power Mix'!DKJ14+'NF - 5 Power Mix'!DKJ15)*860/10)+((('Form Sa1'!DKM835)*860)/10)+('Form Sa1'!DKM814*'Form Sa1'!DKM816/10)-'NF - 5 Power Mix'!DKJ21-'NF - 5 Power Mix'!DKJ22</f>
        <v>0</v>
      </c>
      <c r="DKK42" s="1046">
        <f>DKK38+((DKK40+'NF - 5 Power Mix'!DKK14+'NF - 5 Power Mix'!DKK15)*860/10)+((('Form Sa1'!DKN835)*860)/10)+('Form Sa1'!DKN814*'Form Sa1'!DKN816/10)-'NF - 5 Power Mix'!DKK21-'NF - 5 Power Mix'!DKK22</f>
        <v>0</v>
      </c>
      <c r="DKL42" s="1046">
        <f>DKL38+((DKL40+'NF - 5 Power Mix'!DKL14+'NF - 5 Power Mix'!DKL15)*860/10)+((('Form Sa1'!DKO835)*860)/10)+('Form Sa1'!DKO814*'Form Sa1'!DKO816/10)-'NF - 5 Power Mix'!DKL21-'NF - 5 Power Mix'!DKL22</f>
        <v>0</v>
      </c>
      <c r="DKM42" s="1046">
        <f>DKM38+((DKM40+'NF - 5 Power Mix'!DKM14+'NF - 5 Power Mix'!DKM15)*860/10)+((('Form Sa1'!DKP835)*860)/10)+('Form Sa1'!DKP814*'Form Sa1'!DKP816/10)-'NF - 5 Power Mix'!DKM21-'NF - 5 Power Mix'!DKM22</f>
        <v>0</v>
      </c>
      <c r="DKN42" s="1046">
        <f>DKN38+((DKN40+'NF - 5 Power Mix'!DKN14+'NF - 5 Power Mix'!DKN15)*860/10)+((('Form Sa1'!DKQ835)*860)/10)+('Form Sa1'!DKQ814*'Form Sa1'!DKQ816/10)-'NF - 5 Power Mix'!DKN21-'NF - 5 Power Mix'!DKN22</f>
        <v>0</v>
      </c>
      <c r="DKO42" s="1046">
        <f>DKO38+((DKO40+'NF - 5 Power Mix'!DKO14+'NF - 5 Power Mix'!DKO15)*860/10)+((('Form Sa1'!DKR835)*860)/10)+('Form Sa1'!DKR814*'Form Sa1'!DKR816/10)-'NF - 5 Power Mix'!DKO21-'NF - 5 Power Mix'!DKO22</f>
        <v>0</v>
      </c>
      <c r="DKP42" s="1046">
        <f>DKP38+((DKP40+'NF - 5 Power Mix'!DKP14+'NF - 5 Power Mix'!DKP15)*860/10)+((('Form Sa1'!DKS835)*860)/10)+('Form Sa1'!DKS814*'Form Sa1'!DKS816/10)-'NF - 5 Power Mix'!DKP21-'NF - 5 Power Mix'!DKP22</f>
        <v>0</v>
      </c>
      <c r="DKQ42" s="1046">
        <f>DKQ38+((DKQ40+'NF - 5 Power Mix'!DKQ14+'NF - 5 Power Mix'!DKQ15)*860/10)+((('Form Sa1'!DKT835)*860)/10)+('Form Sa1'!DKT814*'Form Sa1'!DKT816/10)-'NF - 5 Power Mix'!DKQ21-'NF - 5 Power Mix'!DKQ22</f>
        <v>0</v>
      </c>
      <c r="DKR42" s="1046">
        <f>DKR38+((DKR40+'NF - 5 Power Mix'!DKR14+'NF - 5 Power Mix'!DKR15)*860/10)+((('Form Sa1'!DKU835)*860)/10)+('Form Sa1'!DKU814*'Form Sa1'!DKU816/10)-'NF - 5 Power Mix'!DKR21-'NF - 5 Power Mix'!DKR22</f>
        <v>0</v>
      </c>
      <c r="DKS42" s="1046">
        <f>DKS38+((DKS40+'NF - 5 Power Mix'!DKS14+'NF - 5 Power Mix'!DKS15)*860/10)+((('Form Sa1'!DKV835)*860)/10)+('Form Sa1'!DKV814*'Form Sa1'!DKV816/10)-'NF - 5 Power Mix'!DKS21-'NF - 5 Power Mix'!DKS22</f>
        <v>0</v>
      </c>
      <c r="DKT42" s="1046">
        <f>DKT38+((DKT40+'NF - 5 Power Mix'!DKT14+'NF - 5 Power Mix'!DKT15)*860/10)+((('Form Sa1'!DKW835)*860)/10)+('Form Sa1'!DKW814*'Form Sa1'!DKW816/10)-'NF - 5 Power Mix'!DKT21-'NF - 5 Power Mix'!DKT22</f>
        <v>0</v>
      </c>
      <c r="DKU42" s="1046">
        <f>DKU38+((DKU40+'NF - 5 Power Mix'!DKU14+'NF - 5 Power Mix'!DKU15)*860/10)+((('Form Sa1'!DKX835)*860)/10)+('Form Sa1'!DKX814*'Form Sa1'!DKX816/10)-'NF - 5 Power Mix'!DKU21-'NF - 5 Power Mix'!DKU22</f>
        <v>0</v>
      </c>
      <c r="DKV42" s="1046">
        <f>DKV38+((DKV40+'NF - 5 Power Mix'!DKV14+'NF - 5 Power Mix'!DKV15)*860/10)+((('Form Sa1'!DKY835)*860)/10)+('Form Sa1'!DKY814*'Form Sa1'!DKY816/10)-'NF - 5 Power Mix'!DKV21-'NF - 5 Power Mix'!DKV22</f>
        <v>0</v>
      </c>
      <c r="DKW42" s="1046">
        <f>DKW38+((DKW40+'NF - 5 Power Mix'!DKW14+'NF - 5 Power Mix'!DKW15)*860/10)+((('Form Sa1'!DKZ835)*860)/10)+('Form Sa1'!DKZ814*'Form Sa1'!DKZ816/10)-'NF - 5 Power Mix'!DKW21-'NF - 5 Power Mix'!DKW22</f>
        <v>0</v>
      </c>
      <c r="DKX42" s="1046">
        <f>DKX38+((DKX40+'NF - 5 Power Mix'!DKX14+'NF - 5 Power Mix'!DKX15)*860/10)+((('Form Sa1'!DLA835)*860)/10)+('Form Sa1'!DLA814*'Form Sa1'!DLA816/10)-'NF - 5 Power Mix'!DKX21-'NF - 5 Power Mix'!DKX22</f>
        <v>0</v>
      </c>
      <c r="DKY42" s="1046">
        <f>DKY38+((DKY40+'NF - 5 Power Mix'!DKY14+'NF - 5 Power Mix'!DKY15)*860/10)+((('Form Sa1'!DLB835)*860)/10)+('Form Sa1'!DLB814*'Form Sa1'!DLB816/10)-'NF - 5 Power Mix'!DKY21-'NF - 5 Power Mix'!DKY22</f>
        <v>0</v>
      </c>
      <c r="DKZ42" s="1046">
        <f>DKZ38+((DKZ40+'NF - 5 Power Mix'!DKZ14+'NF - 5 Power Mix'!DKZ15)*860/10)+((('Form Sa1'!DLC835)*860)/10)+('Form Sa1'!DLC814*'Form Sa1'!DLC816/10)-'NF - 5 Power Mix'!DKZ21-'NF - 5 Power Mix'!DKZ22</f>
        <v>0</v>
      </c>
      <c r="DLA42" s="1046">
        <f>DLA38+((DLA40+'NF - 5 Power Mix'!DLA14+'NF - 5 Power Mix'!DLA15)*860/10)+((('Form Sa1'!DLD835)*860)/10)+('Form Sa1'!DLD814*'Form Sa1'!DLD816/10)-'NF - 5 Power Mix'!DLA21-'NF - 5 Power Mix'!DLA22</f>
        <v>0</v>
      </c>
      <c r="DLB42" s="1046">
        <f>DLB38+((DLB40+'NF - 5 Power Mix'!DLB14+'NF - 5 Power Mix'!DLB15)*860/10)+((('Form Sa1'!DLE835)*860)/10)+('Form Sa1'!DLE814*'Form Sa1'!DLE816/10)-'NF - 5 Power Mix'!DLB21-'NF - 5 Power Mix'!DLB22</f>
        <v>0</v>
      </c>
      <c r="DLC42" s="1046">
        <f>DLC38+((DLC40+'NF - 5 Power Mix'!DLC14+'NF - 5 Power Mix'!DLC15)*860/10)+((('Form Sa1'!DLF835)*860)/10)+('Form Sa1'!DLF814*'Form Sa1'!DLF816/10)-'NF - 5 Power Mix'!DLC21-'NF - 5 Power Mix'!DLC22</f>
        <v>0</v>
      </c>
      <c r="DLD42" s="1046">
        <f>DLD38+((DLD40+'NF - 5 Power Mix'!DLD14+'NF - 5 Power Mix'!DLD15)*860/10)+((('Form Sa1'!DLG835)*860)/10)+('Form Sa1'!DLG814*'Form Sa1'!DLG816/10)-'NF - 5 Power Mix'!DLD21-'NF - 5 Power Mix'!DLD22</f>
        <v>0</v>
      </c>
      <c r="DLE42" s="1046">
        <f>DLE38+((DLE40+'NF - 5 Power Mix'!DLE14+'NF - 5 Power Mix'!DLE15)*860/10)+((('Form Sa1'!DLH835)*860)/10)+('Form Sa1'!DLH814*'Form Sa1'!DLH816/10)-'NF - 5 Power Mix'!DLE21-'NF - 5 Power Mix'!DLE22</f>
        <v>0</v>
      </c>
      <c r="DLF42" s="1046">
        <f>DLF38+((DLF40+'NF - 5 Power Mix'!DLF14+'NF - 5 Power Mix'!DLF15)*860/10)+((('Form Sa1'!DLI835)*860)/10)+('Form Sa1'!DLI814*'Form Sa1'!DLI816/10)-'NF - 5 Power Mix'!DLF21-'NF - 5 Power Mix'!DLF22</f>
        <v>0</v>
      </c>
      <c r="DLG42" s="1046">
        <f>DLG38+((DLG40+'NF - 5 Power Mix'!DLG14+'NF - 5 Power Mix'!DLG15)*860/10)+((('Form Sa1'!DLJ835)*860)/10)+('Form Sa1'!DLJ814*'Form Sa1'!DLJ816/10)-'NF - 5 Power Mix'!DLG21-'NF - 5 Power Mix'!DLG22</f>
        <v>0</v>
      </c>
      <c r="DLH42" s="1046">
        <f>DLH38+((DLH40+'NF - 5 Power Mix'!DLH14+'NF - 5 Power Mix'!DLH15)*860/10)+((('Form Sa1'!DLK835)*860)/10)+('Form Sa1'!DLK814*'Form Sa1'!DLK816/10)-'NF - 5 Power Mix'!DLH21-'NF - 5 Power Mix'!DLH22</f>
        <v>0</v>
      </c>
      <c r="DLI42" s="1046">
        <f>DLI38+((DLI40+'NF - 5 Power Mix'!DLI14+'NF - 5 Power Mix'!DLI15)*860/10)+((('Form Sa1'!DLL835)*860)/10)+('Form Sa1'!DLL814*'Form Sa1'!DLL816/10)-'NF - 5 Power Mix'!DLI21-'NF - 5 Power Mix'!DLI22</f>
        <v>0</v>
      </c>
      <c r="DLJ42" s="1046">
        <f>DLJ38+((DLJ40+'NF - 5 Power Mix'!DLJ14+'NF - 5 Power Mix'!DLJ15)*860/10)+((('Form Sa1'!DLM835)*860)/10)+('Form Sa1'!DLM814*'Form Sa1'!DLM816/10)-'NF - 5 Power Mix'!DLJ21-'NF - 5 Power Mix'!DLJ22</f>
        <v>0</v>
      </c>
      <c r="DLK42" s="1046">
        <f>DLK38+((DLK40+'NF - 5 Power Mix'!DLK14+'NF - 5 Power Mix'!DLK15)*860/10)+((('Form Sa1'!DLN835)*860)/10)+('Form Sa1'!DLN814*'Form Sa1'!DLN816/10)-'NF - 5 Power Mix'!DLK21-'NF - 5 Power Mix'!DLK22</f>
        <v>0</v>
      </c>
      <c r="DLL42" s="1046">
        <f>DLL38+((DLL40+'NF - 5 Power Mix'!DLL14+'NF - 5 Power Mix'!DLL15)*860/10)+((('Form Sa1'!DLO835)*860)/10)+('Form Sa1'!DLO814*'Form Sa1'!DLO816/10)-'NF - 5 Power Mix'!DLL21-'NF - 5 Power Mix'!DLL22</f>
        <v>0</v>
      </c>
      <c r="DLM42" s="1046">
        <f>DLM38+((DLM40+'NF - 5 Power Mix'!DLM14+'NF - 5 Power Mix'!DLM15)*860/10)+((('Form Sa1'!DLP835)*860)/10)+('Form Sa1'!DLP814*'Form Sa1'!DLP816/10)-'NF - 5 Power Mix'!DLM21-'NF - 5 Power Mix'!DLM22</f>
        <v>0</v>
      </c>
      <c r="DLN42" s="1046">
        <f>DLN38+((DLN40+'NF - 5 Power Mix'!DLN14+'NF - 5 Power Mix'!DLN15)*860/10)+((('Form Sa1'!DLQ835)*860)/10)+('Form Sa1'!DLQ814*'Form Sa1'!DLQ816/10)-'NF - 5 Power Mix'!DLN21-'NF - 5 Power Mix'!DLN22</f>
        <v>0</v>
      </c>
      <c r="DLO42" s="1046">
        <f>DLO38+((DLO40+'NF - 5 Power Mix'!DLO14+'NF - 5 Power Mix'!DLO15)*860/10)+((('Form Sa1'!DLR835)*860)/10)+('Form Sa1'!DLR814*'Form Sa1'!DLR816/10)-'NF - 5 Power Mix'!DLO21-'NF - 5 Power Mix'!DLO22</f>
        <v>0</v>
      </c>
      <c r="DLP42" s="1046">
        <f>DLP38+((DLP40+'NF - 5 Power Mix'!DLP14+'NF - 5 Power Mix'!DLP15)*860/10)+((('Form Sa1'!DLS835)*860)/10)+('Form Sa1'!DLS814*'Form Sa1'!DLS816/10)-'NF - 5 Power Mix'!DLP21-'NF - 5 Power Mix'!DLP22</f>
        <v>0</v>
      </c>
      <c r="DLQ42" s="1046">
        <f>DLQ38+((DLQ40+'NF - 5 Power Mix'!DLQ14+'NF - 5 Power Mix'!DLQ15)*860/10)+((('Form Sa1'!DLT835)*860)/10)+('Form Sa1'!DLT814*'Form Sa1'!DLT816/10)-'NF - 5 Power Mix'!DLQ21-'NF - 5 Power Mix'!DLQ22</f>
        <v>0</v>
      </c>
      <c r="DLR42" s="1046">
        <f>DLR38+((DLR40+'NF - 5 Power Mix'!DLR14+'NF - 5 Power Mix'!DLR15)*860/10)+((('Form Sa1'!DLU835)*860)/10)+('Form Sa1'!DLU814*'Form Sa1'!DLU816/10)-'NF - 5 Power Mix'!DLR21-'NF - 5 Power Mix'!DLR22</f>
        <v>0</v>
      </c>
      <c r="DLS42" s="1046">
        <f>DLS38+((DLS40+'NF - 5 Power Mix'!DLS14+'NF - 5 Power Mix'!DLS15)*860/10)+((('Form Sa1'!DLV835)*860)/10)+('Form Sa1'!DLV814*'Form Sa1'!DLV816/10)-'NF - 5 Power Mix'!DLS21-'NF - 5 Power Mix'!DLS22</f>
        <v>0</v>
      </c>
      <c r="DLT42" s="1046">
        <f>DLT38+((DLT40+'NF - 5 Power Mix'!DLT14+'NF - 5 Power Mix'!DLT15)*860/10)+((('Form Sa1'!DLW835)*860)/10)+('Form Sa1'!DLW814*'Form Sa1'!DLW816/10)-'NF - 5 Power Mix'!DLT21-'NF - 5 Power Mix'!DLT22</f>
        <v>0</v>
      </c>
      <c r="DLU42" s="1046">
        <f>DLU38+((DLU40+'NF - 5 Power Mix'!DLU14+'NF - 5 Power Mix'!DLU15)*860/10)+((('Form Sa1'!DLX835)*860)/10)+('Form Sa1'!DLX814*'Form Sa1'!DLX816/10)-'NF - 5 Power Mix'!DLU21-'NF - 5 Power Mix'!DLU22</f>
        <v>0</v>
      </c>
      <c r="DLV42" s="1046">
        <f>DLV38+((DLV40+'NF - 5 Power Mix'!DLV14+'NF - 5 Power Mix'!DLV15)*860/10)+((('Form Sa1'!DLY835)*860)/10)+('Form Sa1'!DLY814*'Form Sa1'!DLY816/10)-'NF - 5 Power Mix'!DLV21-'NF - 5 Power Mix'!DLV22</f>
        <v>0</v>
      </c>
      <c r="DLW42" s="1046">
        <f>DLW38+((DLW40+'NF - 5 Power Mix'!DLW14+'NF - 5 Power Mix'!DLW15)*860/10)+((('Form Sa1'!DLZ835)*860)/10)+('Form Sa1'!DLZ814*'Form Sa1'!DLZ816/10)-'NF - 5 Power Mix'!DLW21-'NF - 5 Power Mix'!DLW22</f>
        <v>0</v>
      </c>
      <c r="DLX42" s="1046">
        <f>DLX38+((DLX40+'NF - 5 Power Mix'!DLX14+'NF - 5 Power Mix'!DLX15)*860/10)+((('Form Sa1'!DMA835)*860)/10)+('Form Sa1'!DMA814*'Form Sa1'!DMA816/10)-'NF - 5 Power Mix'!DLX21-'NF - 5 Power Mix'!DLX22</f>
        <v>0</v>
      </c>
      <c r="DLY42" s="1046">
        <f>DLY38+((DLY40+'NF - 5 Power Mix'!DLY14+'NF - 5 Power Mix'!DLY15)*860/10)+((('Form Sa1'!DMB835)*860)/10)+('Form Sa1'!DMB814*'Form Sa1'!DMB816/10)-'NF - 5 Power Mix'!DLY21-'NF - 5 Power Mix'!DLY22</f>
        <v>0</v>
      </c>
      <c r="DLZ42" s="1046">
        <f>DLZ38+((DLZ40+'NF - 5 Power Mix'!DLZ14+'NF - 5 Power Mix'!DLZ15)*860/10)+((('Form Sa1'!DMC835)*860)/10)+('Form Sa1'!DMC814*'Form Sa1'!DMC816/10)-'NF - 5 Power Mix'!DLZ21-'NF - 5 Power Mix'!DLZ22</f>
        <v>0</v>
      </c>
      <c r="DMA42" s="1046">
        <f>DMA38+((DMA40+'NF - 5 Power Mix'!DMA14+'NF - 5 Power Mix'!DMA15)*860/10)+((('Form Sa1'!DMD835)*860)/10)+('Form Sa1'!DMD814*'Form Sa1'!DMD816/10)-'NF - 5 Power Mix'!DMA21-'NF - 5 Power Mix'!DMA22</f>
        <v>0</v>
      </c>
      <c r="DMB42" s="1046">
        <f>DMB38+((DMB40+'NF - 5 Power Mix'!DMB14+'NF - 5 Power Mix'!DMB15)*860/10)+((('Form Sa1'!DME835)*860)/10)+('Form Sa1'!DME814*'Form Sa1'!DME816/10)-'NF - 5 Power Mix'!DMB21-'NF - 5 Power Mix'!DMB22</f>
        <v>0</v>
      </c>
      <c r="DMC42" s="1046">
        <f>DMC38+((DMC40+'NF - 5 Power Mix'!DMC14+'NF - 5 Power Mix'!DMC15)*860/10)+((('Form Sa1'!DMF835)*860)/10)+('Form Sa1'!DMF814*'Form Sa1'!DMF816/10)-'NF - 5 Power Mix'!DMC21-'NF - 5 Power Mix'!DMC22</f>
        <v>0</v>
      </c>
      <c r="DMD42" s="1046">
        <f>DMD38+((DMD40+'NF - 5 Power Mix'!DMD14+'NF - 5 Power Mix'!DMD15)*860/10)+((('Form Sa1'!DMG835)*860)/10)+('Form Sa1'!DMG814*'Form Sa1'!DMG816/10)-'NF - 5 Power Mix'!DMD21-'NF - 5 Power Mix'!DMD22</f>
        <v>0</v>
      </c>
      <c r="DME42" s="1046">
        <f>DME38+((DME40+'NF - 5 Power Mix'!DME14+'NF - 5 Power Mix'!DME15)*860/10)+((('Form Sa1'!DMH835)*860)/10)+('Form Sa1'!DMH814*'Form Sa1'!DMH816/10)-'NF - 5 Power Mix'!DME21-'NF - 5 Power Mix'!DME22</f>
        <v>0</v>
      </c>
      <c r="DMF42" s="1046">
        <f>DMF38+((DMF40+'NF - 5 Power Mix'!DMF14+'NF - 5 Power Mix'!DMF15)*860/10)+((('Form Sa1'!DMI835)*860)/10)+('Form Sa1'!DMI814*'Form Sa1'!DMI816/10)-'NF - 5 Power Mix'!DMF21-'NF - 5 Power Mix'!DMF22</f>
        <v>0</v>
      </c>
      <c r="DMG42" s="1046">
        <f>DMG38+((DMG40+'NF - 5 Power Mix'!DMG14+'NF - 5 Power Mix'!DMG15)*860/10)+((('Form Sa1'!DMJ835)*860)/10)+('Form Sa1'!DMJ814*'Form Sa1'!DMJ816/10)-'NF - 5 Power Mix'!DMG21-'NF - 5 Power Mix'!DMG22</f>
        <v>0</v>
      </c>
      <c r="DMH42" s="1046">
        <f>DMH38+((DMH40+'NF - 5 Power Mix'!DMH14+'NF - 5 Power Mix'!DMH15)*860/10)+((('Form Sa1'!DMK835)*860)/10)+('Form Sa1'!DMK814*'Form Sa1'!DMK816/10)-'NF - 5 Power Mix'!DMH21-'NF - 5 Power Mix'!DMH22</f>
        <v>0</v>
      </c>
      <c r="DMI42" s="1046">
        <f>DMI38+((DMI40+'NF - 5 Power Mix'!DMI14+'NF - 5 Power Mix'!DMI15)*860/10)+((('Form Sa1'!DML835)*860)/10)+('Form Sa1'!DML814*'Form Sa1'!DML816/10)-'NF - 5 Power Mix'!DMI21-'NF - 5 Power Mix'!DMI22</f>
        <v>0</v>
      </c>
      <c r="DMJ42" s="1046">
        <f>DMJ38+((DMJ40+'NF - 5 Power Mix'!DMJ14+'NF - 5 Power Mix'!DMJ15)*860/10)+((('Form Sa1'!DMM835)*860)/10)+('Form Sa1'!DMM814*'Form Sa1'!DMM816/10)-'NF - 5 Power Mix'!DMJ21-'NF - 5 Power Mix'!DMJ22</f>
        <v>0</v>
      </c>
      <c r="DMK42" s="1046">
        <f>DMK38+((DMK40+'NF - 5 Power Mix'!DMK14+'NF - 5 Power Mix'!DMK15)*860/10)+((('Form Sa1'!DMN835)*860)/10)+('Form Sa1'!DMN814*'Form Sa1'!DMN816/10)-'NF - 5 Power Mix'!DMK21-'NF - 5 Power Mix'!DMK22</f>
        <v>0</v>
      </c>
      <c r="DML42" s="1046">
        <f>DML38+((DML40+'NF - 5 Power Mix'!DML14+'NF - 5 Power Mix'!DML15)*860/10)+((('Form Sa1'!DMO835)*860)/10)+('Form Sa1'!DMO814*'Form Sa1'!DMO816/10)-'NF - 5 Power Mix'!DML21-'NF - 5 Power Mix'!DML22</f>
        <v>0</v>
      </c>
      <c r="DMM42" s="1046">
        <f>DMM38+((DMM40+'NF - 5 Power Mix'!DMM14+'NF - 5 Power Mix'!DMM15)*860/10)+((('Form Sa1'!DMP835)*860)/10)+('Form Sa1'!DMP814*'Form Sa1'!DMP816/10)-'NF - 5 Power Mix'!DMM21-'NF - 5 Power Mix'!DMM22</f>
        <v>0</v>
      </c>
      <c r="DMN42" s="1046">
        <f>DMN38+((DMN40+'NF - 5 Power Mix'!DMN14+'NF - 5 Power Mix'!DMN15)*860/10)+((('Form Sa1'!DMQ835)*860)/10)+('Form Sa1'!DMQ814*'Form Sa1'!DMQ816/10)-'NF - 5 Power Mix'!DMN21-'NF - 5 Power Mix'!DMN22</f>
        <v>0</v>
      </c>
      <c r="DMO42" s="1046">
        <f>DMO38+((DMO40+'NF - 5 Power Mix'!DMO14+'NF - 5 Power Mix'!DMO15)*860/10)+((('Form Sa1'!DMR835)*860)/10)+('Form Sa1'!DMR814*'Form Sa1'!DMR816/10)-'NF - 5 Power Mix'!DMO21-'NF - 5 Power Mix'!DMO22</f>
        <v>0</v>
      </c>
      <c r="DMP42" s="1046">
        <f>DMP38+((DMP40+'NF - 5 Power Mix'!DMP14+'NF - 5 Power Mix'!DMP15)*860/10)+((('Form Sa1'!DMS835)*860)/10)+('Form Sa1'!DMS814*'Form Sa1'!DMS816/10)-'NF - 5 Power Mix'!DMP21-'NF - 5 Power Mix'!DMP22</f>
        <v>0</v>
      </c>
      <c r="DMQ42" s="1046">
        <f>DMQ38+((DMQ40+'NF - 5 Power Mix'!DMQ14+'NF - 5 Power Mix'!DMQ15)*860/10)+((('Form Sa1'!DMT835)*860)/10)+('Form Sa1'!DMT814*'Form Sa1'!DMT816/10)-'NF - 5 Power Mix'!DMQ21-'NF - 5 Power Mix'!DMQ22</f>
        <v>0</v>
      </c>
      <c r="DMR42" s="1046">
        <f>DMR38+((DMR40+'NF - 5 Power Mix'!DMR14+'NF - 5 Power Mix'!DMR15)*860/10)+((('Form Sa1'!DMU835)*860)/10)+('Form Sa1'!DMU814*'Form Sa1'!DMU816/10)-'NF - 5 Power Mix'!DMR21-'NF - 5 Power Mix'!DMR22</f>
        <v>0</v>
      </c>
      <c r="DMS42" s="1046">
        <f>DMS38+((DMS40+'NF - 5 Power Mix'!DMS14+'NF - 5 Power Mix'!DMS15)*860/10)+((('Form Sa1'!DMV835)*860)/10)+('Form Sa1'!DMV814*'Form Sa1'!DMV816/10)-'NF - 5 Power Mix'!DMS21-'NF - 5 Power Mix'!DMS22</f>
        <v>0</v>
      </c>
      <c r="DMT42" s="1046">
        <f>DMT38+((DMT40+'NF - 5 Power Mix'!DMT14+'NF - 5 Power Mix'!DMT15)*860/10)+((('Form Sa1'!DMW835)*860)/10)+('Form Sa1'!DMW814*'Form Sa1'!DMW816/10)-'NF - 5 Power Mix'!DMT21-'NF - 5 Power Mix'!DMT22</f>
        <v>0</v>
      </c>
      <c r="DMU42" s="1046">
        <f>DMU38+((DMU40+'NF - 5 Power Mix'!DMU14+'NF - 5 Power Mix'!DMU15)*860/10)+((('Form Sa1'!DMX835)*860)/10)+('Form Sa1'!DMX814*'Form Sa1'!DMX816/10)-'NF - 5 Power Mix'!DMU21-'NF - 5 Power Mix'!DMU22</f>
        <v>0</v>
      </c>
      <c r="DMV42" s="1046">
        <f>DMV38+((DMV40+'NF - 5 Power Mix'!DMV14+'NF - 5 Power Mix'!DMV15)*860/10)+((('Form Sa1'!DMY835)*860)/10)+('Form Sa1'!DMY814*'Form Sa1'!DMY816/10)-'NF - 5 Power Mix'!DMV21-'NF - 5 Power Mix'!DMV22</f>
        <v>0</v>
      </c>
      <c r="DMW42" s="1046">
        <f>DMW38+((DMW40+'NF - 5 Power Mix'!DMW14+'NF - 5 Power Mix'!DMW15)*860/10)+((('Form Sa1'!DMZ835)*860)/10)+('Form Sa1'!DMZ814*'Form Sa1'!DMZ816/10)-'NF - 5 Power Mix'!DMW21-'NF - 5 Power Mix'!DMW22</f>
        <v>0</v>
      </c>
      <c r="DMX42" s="1046">
        <f>DMX38+((DMX40+'NF - 5 Power Mix'!DMX14+'NF - 5 Power Mix'!DMX15)*860/10)+((('Form Sa1'!DNA835)*860)/10)+('Form Sa1'!DNA814*'Form Sa1'!DNA816/10)-'NF - 5 Power Mix'!DMX21-'NF - 5 Power Mix'!DMX22</f>
        <v>0</v>
      </c>
      <c r="DMY42" s="1046">
        <f>DMY38+((DMY40+'NF - 5 Power Mix'!DMY14+'NF - 5 Power Mix'!DMY15)*860/10)+((('Form Sa1'!DNB835)*860)/10)+('Form Sa1'!DNB814*'Form Sa1'!DNB816/10)-'NF - 5 Power Mix'!DMY21-'NF - 5 Power Mix'!DMY22</f>
        <v>0</v>
      </c>
      <c r="DMZ42" s="1046">
        <f>DMZ38+((DMZ40+'NF - 5 Power Mix'!DMZ14+'NF - 5 Power Mix'!DMZ15)*860/10)+((('Form Sa1'!DNC835)*860)/10)+('Form Sa1'!DNC814*'Form Sa1'!DNC816/10)-'NF - 5 Power Mix'!DMZ21-'NF - 5 Power Mix'!DMZ22</f>
        <v>0</v>
      </c>
      <c r="DNA42" s="1046">
        <f>DNA38+((DNA40+'NF - 5 Power Mix'!DNA14+'NF - 5 Power Mix'!DNA15)*860/10)+((('Form Sa1'!DND835)*860)/10)+('Form Sa1'!DND814*'Form Sa1'!DND816/10)-'NF - 5 Power Mix'!DNA21-'NF - 5 Power Mix'!DNA22</f>
        <v>0</v>
      </c>
      <c r="DNB42" s="1046">
        <f>DNB38+((DNB40+'NF - 5 Power Mix'!DNB14+'NF - 5 Power Mix'!DNB15)*860/10)+((('Form Sa1'!DNE835)*860)/10)+('Form Sa1'!DNE814*'Form Sa1'!DNE816/10)-'NF - 5 Power Mix'!DNB21-'NF - 5 Power Mix'!DNB22</f>
        <v>0</v>
      </c>
      <c r="DNC42" s="1046">
        <f>DNC38+((DNC40+'NF - 5 Power Mix'!DNC14+'NF - 5 Power Mix'!DNC15)*860/10)+((('Form Sa1'!DNF835)*860)/10)+('Form Sa1'!DNF814*'Form Sa1'!DNF816/10)-'NF - 5 Power Mix'!DNC21-'NF - 5 Power Mix'!DNC22</f>
        <v>0</v>
      </c>
      <c r="DND42" s="1046">
        <f>DND38+((DND40+'NF - 5 Power Mix'!DND14+'NF - 5 Power Mix'!DND15)*860/10)+((('Form Sa1'!DNG835)*860)/10)+('Form Sa1'!DNG814*'Form Sa1'!DNG816/10)-'NF - 5 Power Mix'!DND21-'NF - 5 Power Mix'!DND22</f>
        <v>0</v>
      </c>
      <c r="DNE42" s="1046">
        <f>DNE38+((DNE40+'NF - 5 Power Mix'!DNE14+'NF - 5 Power Mix'!DNE15)*860/10)+((('Form Sa1'!DNH835)*860)/10)+('Form Sa1'!DNH814*'Form Sa1'!DNH816/10)-'NF - 5 Power Mix'!DNE21-'NF - 5 Power Mix'!DNE22</f>
        <v>0</v>
      </c>
      <c r="DNF42" s="1046">
        <f>DNF38+((DNF40+'NF - 5 Power Mix'!DNF14+'NF - 5 Power Mix'!DNF15)*860/10)+((('Form Sa1'!DNI835)*860)/10)+('Form Sa1'!DNI814*'Form Sa1'!DNI816/10)-'NF - 5 Power Mix'!DNF21-'NF - 5 Power Mix'!DNF22</f>
        <v>0</v>
      </c>
      <c r="DNG42" s="1046">
        <f>DNG38+((DNG40+'NF - 5 Power Mix'!DNG14+'NF - 5 Power Mix'!DNG15)*860/10)+((('Form Sa1'!DNJ835)*860)/10)+('Form Sa1'!DNJ814*'Form Sa1'!DNJ816/10)-'NF - 5 Power Mix'!DNG21-'NF - 5 Power Mix'!DNG22</f>
        <v>0</v>
      </c>
      <c r="DNH42" s="1046">
        <f>DNH38+((DNH40+'NF - 5 Power Mix'!DNH14+'NF - 5 Power Mix'!DNH15)*860/10)+((('Form Sa1'!DNK835)*860)/10)+('Form Sa1'!DNK814*'Form Sa1'!DNK816/10)-'NF - 5 Power Mix'!DNH21-'NF - 5 Power Mix'!DNH22</f>
        <v>0</v>
      </c>
      <c r="DNI42" s="1046">
        <f>DNI38+((DNI40+'NF - 5 Power Mix'!DNI14+'NF - 5 Power Mix'!DNI15)*860/10)+((('Form Sa1'!DNL835)*860)/10)+('Form Sa1'!DNL814*'Form Sa1'!DNL816/10)-'NF - 5 Power Mix'!DNI21-'NF - 5 Power Mix'!DNI22</f>
        <v>0</v>
      </c>
      <c r="DNJ42" s="1046">
        <f>DNJ38+((DNJ40+'NF - 5 Power Mix'!DNJ14+'NF - 5 Power Mix'!DNJ15)*860/10)+((('Form Sa1'!DNM835)*860)/10)+('Form Sa1'!DNM814*'Form Sa1'!DNM816/10)-'NF - 5 Power Mix'!DNJ21-'NF - 5 Power Mix'!DNJ22</f>
        <v>0</v>
      </c>
      <c r="DNK42" s="1046">
        <f>DNK38+((DNK40+'NF - 5 Power Mix'!DNK14+'NF - 5 Power Mix'!DNK15)*860/10)+((('Form Sa1'!DNN835)*860)/10)+('Form Sa1'!DNN814*'Form Sa1'!DNN816/10)-'NF - 5 Power Mix'!DNK21-'NF - 5 Power Mix'!DNK22</f>
        <v>0</v>
      </c>
      <c r="DNL42" s="1046">
        <f>DNL38+((DNL40+'NF - 5 Power Mix'!DNL14+'NF - 5 Power Mix'!DNL15)*860/10)+((('Form Sa1'!DNO835)*860)/10)+('Form Sa1'!DNO814*'Form Sa1'!DNO816/10)-'NF - 5 Power Mix'!DNL21-'NF - 5 Power Mix'!DNL22</f>
        <v>0</v>
      </c>
      <c r="DNM42" s="1046">
        <f>DNM38+((DNM40+'NF - 5 Power Mix'!DNM14+'NF - 5 Power Mix'!DNM15)*860/10)+((('Form Sa1'!DNP835)*860)/10)+('Form Sa1'!DNP814*'Form Sa1'!DNP816/10)-'NF - 5 Power Mix'!DNM21-'NF - 5 Power Mix'!DNM22</f>
        <v>0</v>
      </c>
      <c r="DNN42" s="1046">
        <f>DNN38+((DNN40+'NF - 5 Power Mix'!DNN14+'NF - 5 Power Mix'!DNN15)*860/10)+((('Form Sa1'!DNQ835)*860)/10)+('Form Sa1'!DNQ814*'Form Sa1'!DNQ816/10)-'NF - 5 Power Mix'!DNN21-'NF - 5 Power Mix'!DNN22</f>
        <v>0</v>
      </c>
      <c r="DNO42" s="1046">
        <f>DNO38+((DNO40+'NF - 5 Power Mix'!DNO14+'NF - 5 Power Mix'!DNO15)*860/10)+((('Form Sa1'!DNR835)*860)/10)+('Form Sa1'!DNR814*'Form Sa1'!DNR816/10)-'NF - 5 Power Mix'!DNO21-'NF - 5 Power Mix'!DNO22</f>
        <v>0</v>
      </c>
      <c r="DNP42" s="1046">
        <f>DNP38+((DNP40+'NF - 5 Power Mix'!DNP14+'NF - 5 Power Mix'!DNP15)*860/10)+((('Form Sa1'!DNS835)*860)/10)+('Form Sa1'!DNS814*'Form Sa1'!DNS816/10)-'NF - 5 Power Mix'!DNP21-'NF - 5 Power Mix'!DNP22</f>
        <v>0</v>
      </c>
      <c r="DNQ42" s="1046">
        <f>DNQ38+((DNQ40+'NF - 5 Power Mix'!DNQ14+'NF - 5 Power Mix'!DNQ15)*860/10)+((('Form Sa1'!DNT835)*860)/10)+('Form Sa1'!DNT814*'Form Sa1'!DNT816/10)-'NF - 5 Power Mix'!DNQ21-'NF - 5 Power Mix'!DNQ22</f>
        <v>0</v>
      </c>
      <c r="DNR42" s="1046">
        <f>DNR38+((DNR40+'NF - 5 Power Mix'!DNR14+'NF - 5 Power Mix'!DNR15)*860/10)+((('Form Sa1'!DNU835)*860)/10)+('Form Sa1'!DNU814*'Form Sa1'!DNU816/10)-'NF - 5 Power Mix'!DNR21-'NF - 5 Power Mix'!DNR22</f>
        <v>0</v>
      </c>
      <c r="DNS42" s="1046">
        <f>DNS38+((DNS40+'NF - 5 Power Mix'!DNS14+'NF - 5 Power Mix'!DNS15)*860/10)+((('Form Sa1'!DNV835)*860)/10)+('Form Sa1'!DNV814*'Form Sa1'!DNV816/10)-'NF - 5 Power Mix'!DNS21-'NF - 5 Power Mix'!DNS22</f>
        <v>0</v>
      </c>
      <c r="DNT42" s="1046">
        <f>DNT38+((DNT40+'NF - 5 Power Mix'!DNT14+'NF - 5 Power Mix'!DNT15)*860/10)+((('Form Sa1'!DNW835)*860)/10)+('Form Sa1'!DNW814*'Form Sa1'!DNW816/10)-'NF - 5 Power Mix'!DNT21-'NF - 5 Power Mix'!DNT22</f>
        <v>0</v>
      </c>
      <c r="DNU42" s="1046">
        <f>DNU38+((DNU40+'NF - 5 Power Mix'!DNU14+'NF - 5 Power Mix'!DNU15)*860/10)+((('Form Sa1'!DNX835)*860)/10)+('Form Sa1'!DNX814*'Form Sa1'!DNX816/10)-'NF - 5 Power Mix'!DNU21-'NF - 5 Power Mix'!DNU22</f>
        <v>0</v>
      </c>
      <c r="DNV42" s="1046">
        <f>DNV38+((DNV40+'NF - 5 Power Mix'!DNV14+'NF - 5 Power Mix'!DNV15)*860/10)+((('Form Sa1'!DNY835)*860)/10)+('Form Sa1'!DNY814*'Form Sa1'!DNY816/10)-'NF - 5 Power Mix'!DNV21-'NF - 5 Power Mix'!DNV22</f>
        <v>0</v>
      </c>
      <c r="DNW42" s="1046">
        <f>DNW38+((DNW40+'NF - 5 Power Mix'!DNW14+'NF - 5 Power Mix'!DNW15)*860/10)+((('Form Sa1'!DNZ835)*860)/10)+('Form Sa1'!DNZ814*'Form Sa1'!DNZ816/10)-'NF - 5 Power Mix'!DNW21-'NF - 5 Power Mix'!DNW22</f>
        <v>0</v>
      </c>
      <c r="DNX42" s="1046">
        <f>DNX38+((DNX40+'NF - 5 Power Mix'!DNX14+'NF - 5 Power Mix'!DNX15)*860/10)+((('Form Sa1'!DOA835)*860)/10)+('Form Sa1'!DOA814*'Form Sa1'!DOA816/10)-'NF - 5 Power Mix'!DNX21-'NF - 5 Power Mix'!DNX22</f>
        <v>0</v>
      </c>
      <c r="DNY42" s="1046">
        <f>DNY38+((DNY40+'NF - 5 Power Mix'!DNY14+'NF - 5 Power Mix'!DNY15)*860/10)+((('Form Sa1'!DOB835)*860)/10)+('Form Sa1'!DOB814*'Form Sa1'!DOB816/10)-'NF - 5 Power Mix'!DNY21-'NF - 5 Power Mix'!DNY22</f>
        <v>0</v>
      </c>
      <c r="DNZ42" s="1046">
        <f>DNZ38+((DNZ40+'NF - 5 Power Mix'!DNZ14+'NF - 5 Power Mix'!DNZ15)*860/10)+((('Form Sa1'!DOC835)*860)/10)+('Form Sa1'!DOC814*'Form Sa1'!DOC816/10)-'NF - 5 Power Mix'!DNZ21-'NF - 5 Power Mix'!DNZ22</f>
        <v>0</v>
      </c>
      <c r="DOA42" s="1046">
        <f>DOA38+((DOA40+'NF - 5 Power Mix'!DOA14+'NF - 5 Power Mix'!DOA15)*860/10)+((('Form Sa1'!DOD835)*860)/10)+('Form Sa1'!DOD814*'Form Sa1'!DOD816/10)-'NF - 5 Power Mix'!DOA21-'NF - 5 Power Mix'!DOA22</f>
        <v>0</v>
      </c>
      <c r="DOB42" s="1046">
        <f>DOB38+((DOB40+'NF - 5 Power Mix'!DOB14+'NF - 5 Power Mix'!DOB15)*860/10)+((('Form Sa1'!DOE835)*860)/10)+('Form Sa1'!DOE814*'Form Sa1'!DOE816/10)-'NF - 5 Power Mix'!DOB21-'NF - 5 Power Mix'!DOB22</f>
        <v>0</v>
      </c>
      <c r="DOC42" s="1046">
        <f>DOC38+((DOC40+'NF - 5 Power Mix'!DOC14+'NF - 5 Power Mix'!DOC15)*860/10)+((('Form Sa1'!DOF835)*860)/10)+('Form Sa1'!DOF814*'Form Sa1'!DOF816/10)-'NF - 5 Power Mix'!DOC21-'NF - 5 Power Mix'!DOC22</f>
        <v>0</v>
      </c>
      <c r="DOD42" s="1046">
        <f>DOD38+((DOD40+'NF - 5 Power Mix'!DOD14+'NF - 5 Power Mix'!DOD15)*860/10)+((('Form Sa1'!DOG835)*860)/10)+('Form Sa1'!DOG814*'Form Sa1'!DOG816/10)-'NF - 5 Power Mix'!DOD21-'NF - 5 Power Mix'!DOD22</f>
        <v>0</v>
      </c>
      <c r="DOE42" s="1046">
        <f>DOE38+((DOE40+'NF - 5 Power Mix'!DOE14+'NF - 5 Power Mix'!DOE15)*860/10)+((('Form Sa1'!DOH835)*860)/10)+('Form Sa1'!DOH814*'Form Sa1'!DOH816/10)-'NF - 5 Power Mix'!DOE21-'NF - 5 Power Mix'!DOE22</f>
        <v>0</v>
      </c>
      <c r="DOF42" s="1046">
        <f>DOF38+((DOF40+'NF - 5 Power Mix'!DOF14+'NF - 5 Power Mix'!DOF15)*860/10)+((('Form Sa1'!DOI835)*860)/10)+('Form Sa1'!DOI814*'Form Sa1'!DOI816/10)-'NF - 5 Power Mix'!DOF21-'NF - 5 Power Mix'!DOF22</f>
        <v>0</v>
      </c>
      <c r="DOG42" s="1046">
        <f>DOG38+((DOG40+'NF - 5 Power Mix'!DOG14+'NF - 5 Power Mix'!DOG15)*860/10)+((('Form Sa1'!DOJ835)*860)/10)+('Form Sa1'!DOJ814*'Form Sa1'!DOJ816/10)-'NF - 5 Power Mix'!DOG21-'NF - 5 Power Mix'!DOG22</f>
        <v>0</v>
      </c>
      <c r="DOH42" s="1046">
        <f>DOH38+((DOH40+'NF - 5 Power Mix'!DOH14+'NF - 5 Power Mix'!DOH15)*860/10)+((('Form Sa1'!DOK835)*860)/10)+('Form Sa1'!DOK814*'Form Sa1'!DOK816/10)-'NF - 5 Power Mix'!DOH21-'NF - 5 Power Mix'!DOH22</f>
        <v>0</v>
      </c>
      <c r="DOI42" s="1046">
        <f>DOI38+((DOI40+'NF - 5 Power Mix'!DOI14+'NF - 5 Power Mix'!DOI15)*860/10)+((('Form Sa1'!DOL835)*860)/10)+('Form Sa1'!DOL814*'Form Sa1'!DOL816/10)-'NF - 5 Power Mix'!DOI21-'NF - 5 Power Mix'!DOI22</f>
        <v>0</v>
      </c>
      <c r="DOJ42" s="1046">
        <f>DOJ38+((DOJ40+'NF - 5 Power Mix'!DOJ14+'NF - 5 Power Mix'!DOJ15)*860/10)+((('Form Sa1'!DOM835)*860)/10)+('Form Sa1'!DOM814*'Form Sa1'!DOM816/10)-'NF - 5 Power Mix'!DOJ21-'NF - 5 Power Mix'!DOJ22</f>
        <v>0</v>
      </c>
      <c r="DOK42" s="1046">
        <f>DOK38+((DOK40+'NF - 5 Power Mix'!DOK14+'NF - 5 Power Mix'!DOK15)*860/10)+((('Form Sa1'!DON835)*860)/10)+('Form Sa1'!DON814*'Form Sa1'!DON816/10)-'NF - 5 Power Mix'!DOK21-'NF - 5 Power Mix'!DOK22</f>
        <v>0</v>
      </c>
      <c r="DOL42" s="1046">
        <f>DOL38+((DOL40+'NF - 5 Power Mix'!DOL14+'NF - 5 Power Mix'!DOL15)*860/10)+((('Form Sa1'!DOO835)*860)/10)+('Form Sa1'!DOO814*'Form Sa1'!DOO816/10)-'NF - 5 Power Mix'!DOL21-'NF - 5 Power Mix'!DOL22</f>
        <v>0</v>
      </c>
      <c r="DOM42" s="1046">
        <f>DOM38+((DOM40+'NF - 5 Power Mix'!DOM14+'NF - 5 Power Mix'!DOM15)*860/10)+((('Form Sa1'!DOP835)*860)/10)+('Form Sa1'!DOP814*'Form Sa1'!DOP816/10)-'NF - 5 Power Mix'!DOM21-'NF - 5 Power Mix'!DOM22</f>
        <v>0</v>
      </c>
      <c r="DON42" s="1046">
        <f>DON38+((DON40+'NF - 5 Power Mix'!DON14+'NF - 5 Power Mix'!DON15)*860/10)+((('Form Sa1'!DOQ835)*860)/10)+('Form Sa1'!DOQ814*'Form Sa1'!DOQ816/10)-'NF - 5 Power Mix'!DON21-'NF - 5 Power Mix'!DON22</f>
        <v>0</v>
      </c>
      <c r="DOO42" s="1046">
        <f>DOO38+((DOO40+'NF - 5 Power Mix'!DOO14+'NF - 5 Power Mix'!DOO15)*860/10)+((('Form Sa1'!DOR835)*860)/10)+('Form Sa1'!DOR814*'Form Sa1'!DOR816/10)-'NF - 5 Power Mix'!DOO21-'NF - 5 Power Mix'!DOO22</f>
        <v>0</v>
      </c>
      <c r="DOP42" s="1046">
        <f>DOP38+((DOP40+'NF - 5 Power Mix'!DOP14+'NF - 5 Power Mix'!DOP15)*860/10)+((('Form Sa1'!DOS835)*860)/10)+('Form Sa1'!DOS814*'Form Sa1'!DOS816/10)-'NF - 5 Power Mix'!DOP21-'NF - 5 Power Mix'!DOP22</f>
        <v>0</v>
      </c>
      <c r="DOQ42" s="1046">
        <f>DOQ38+((DOQ40+'NF - 5 Power Mix'!DOQ14+'NF - 5 Power Mix'!DOQ15)*860/10)+((('Form Sa1'!DOT835)*860)/10)+('Form Sa1'!DOT814*'Form Sa1'!DOT816/10)-'NF - 5 Power Mix'!DOQ21-'NF - 5 Power Mix'!DOQ22</f>
        <v>0</v>
      </c>
      <c r="DOR42" s="1046">
        <f>DOR38+((DOR40+'NF - 5 Power Mix'!DOR14+'NF - 5 Power Mix'!DOR15)*860/10)+((('Form Sa1'!DOU835)*860)/10)+('Form Sa1'!DOU814*'Form Sa1'!DOU816/10)-'NF - 5 Power Mix'!DOR21-'NF - 5 Power Mix'!DOR22</f>
        <v>0</v>
      </c>
      <c r="DOS42" s="1046">
        <f>DOS38+((DOS40+'NF - 5 Power Mix'!DOS14+'NF - 5 Power Mix'!DOS15)*860/10)+((('Form Sa1'!DOV835)*860)/10)+('Form Sa1'!DOV814*'Form Sa1'!DOV816/10)-'NF - 5 Power Mix'!DOS21-'NF - 5 Power Mix'!DOS22</f>
        <v>0</v>
      </c>
      <c r="DOT42" s="1046">
        <f>DOT38+((DOT40+'NF - 5 Power Mix'!DOT14+'NF - 5 Power Mix'!DOT15)*860/10)+((('Form Sa1'!DOW835)*860)/10)+('Form Sa1'!DOW814*'Form Sa1'!DOW816/10)-'NF - 5 Power Mix'!DOT21-'NF - 5 Power Mix'!DOT22</f>
        <v>0</v>
      </c>
      <c r="DOU42" s="1046">
        <f>DOU38+((DOU40+'NF - 5 Power Mix'!DOU14+'NF - 5 Power Mix'!DOU15)*860/10)+((('Form Sa1'!DOX835)*860)/10)+('Form Sa1'!DOX814*'Form Sa1'!DOX816/10)-'NF - 5 Power Mix'!DOU21-'NF - 5 Power Mix'!DOU22</f>
        <v>0</v>
      </c>
      <c r="DOV42" s="1046">
        <f>DOV38+((DOV40+'NF - 5 Power Mix'!DOV14+'NF - 5 Power Mix'!DOV15)*860/10)+((('Form Sa1'!DOY835)*860)/10)+('Form Sa1'!DOY814*'Form Sa1'!DOY816/10)-'NF - 5 Power Mix'!DOV21-'NF - 5 Power Mix'!DOV22</f>
        <v>0</v>
      </c>
      <c r="DOW42" s="1046">
        <f>DOW38+((DOW40+'NF - 5 Power Mix'!DOW14+'NF - 5 Power Mix'!DOW15)*860/10)+((('Form Sa1'!DOZ835)*860)/10)+('Form Sa1'!DOZ814*'Form Sa1'!DOZ816/10)-'NF - 5 Power Mix'!DOW21-'NF - 5 Power Mix'!DOW22</f>
        <v>0</v>
      </c>
      <c r="DOX42" s="1046">
        <f>DOX38+((DOX40+'NF - 5 Power Mix'!DOX14+'NF - 5 Power Mix'!DOX15)*860/10)+((('Form Sa1'!DPA835)*860)/10)+('Form Sa1'!DPA814*'Form Sa1'!DPA816/10)-'NF - 5 Power Mix'!DOX21-'NF - 5 Power Mix'!DOX22</f>
        <v>0</v>
      </c>
      <c r="DOY42" s="1046">
        <f>DOY38+((DOY40+'NF - 5 Power Mix'!DOY14+'NF - 5 Power Mix'!DOY15)*860/10)+((('Form Sa1'!DPB835)*860)/10)+('Form Sa1'!DPB814*'Form Sa1'!DPB816/10)-'NF - 5 Power Mix'!DOY21-'NF - 5 Power Mix'!DOY22</f>
        <v>0</v>
      </c>
      <c r="DOZ42" s="1046">
        <f>DOZ38+((DOZ40+'NF - 5 Power Mix'!DOZ14+'NF - 5 Power Mix'!DOZ15)*860/10)+((('Form Sa1'!DPC835)*860)/10)+('Form Sa1'!DPC814*'Form Sa1'!DPC816/10)-'NF - 5 Power Mix'!DOZ21-'NF - 5 Power Mix'!DOZ22</f>
        <v>0</v>
      </c>
      <c r="DPA42" s="1046">
        <f>DPA38+((DPA40+'NF - 5 Power Mix'!DPA14+'NF - 5 Power Mix'!DPA15)*860/10)+((('Form Sa1'!DPD835)*860)/10)+('Form Sa1'!DPD814*'Form Sa1'!DPD816/10)-'NF - 5 Power Mix'!DPA21-'NF - 5 Power Mix'!DPA22</f>
        <v>0</v>
      </c>
      <c r="DPB42" s="1046">
        <f>DPB38+((DPB40+'NF - 5 Power Mix'!DPB14+'NF - 5 Power Mix'!DPB15)*860/10)+((('Form Sa1'!DPE835)*860)/10)+('Form Sa1'!DPE814*'Form Sa1'!DPE816/10)-'NF - 5 Power Mix'!DPB21-'NF - 5 Power Mix'!DPB22</f>
        <v>0</v>
      </c>
      <c r="DPC42" s="1046">
        <f>DPC38+((DPC40+'NF - 5 Power Mix'!DPC14+'NF - 5 Power Mix'!DPC15)*860/10)+((('Form Sa1'!DPF835)*860)/10)+('Form Sa1'!DPF814*'Form Sa1'!DPF816/10)-'NF - 5 Power Mix'!DPC21-'NF - 5 Power Mix'!DPC22</f>
        <v>0</v>
      </c>
      <c r="DPD42" s="1046">
        <f>DPD38+((DPD40+'NF - 5 Power Mix'!DPD14+'NF - 5 Power Mix'!DPD15)*860/10)+((('Form Sa1'!DPG835)*860)/10)+('Form Sa1'!DPG814*'Form Sa1'!DPG816/10)-'NF - 5 Power Mix'!DPD21-'NF - 5 Power Mix'!DPD22</f>
        <v>0</v>
      </c>
      <c r="DPE42" s="1046">
        <f>DPE38+((DPE40+'NF - 5 Power Mix'!DPE14+'NF - 5 Power Mix'!DPE15)*860/10)+((('Form Sa1'!DPH835)*860)/10)+('Form Sa1'!DPH814*'Form Sa1'!DPH816/10)-'NF - 5 Power Mix'!DPE21-'NF - 5 Power Mix'!DPE22</f>
        <v>0</v>
      </c>
      <c r="DPF42" s="1046">
        <f>DPF38+((DPF40+'NF - 5 Power Mix'!DPF14+'NF - 5 Power Mix'!DPF15)*860/10)+((('Form Sa1'!DPI835)*860)/10)+('Form Sa1'!DPI814*'Form Sa1'!DPI816/10)-'NF - 5 Power Mix'!DPF21-'NF - 5 Power Mix'!DPF22</f>
        <v>0</v>
      </c>
      <c r="DPG42" s="1046">
        <f>DPG38+((DPG40+'NF - 5 Power Mix'!DPG14+'NF - 5 Power Mix'!DPG15)*860/10)+((('Form Sa1'!DPJ835)*860)/10)+('Form Sa1'!DPJ814*'Form Sa1'!DPJ816/10)-'NF - 5 Power Mix'!DPG21-'NF - 5 Power Mix'!DPG22</f>
        <v>0</v>
      </c>
      <c r="DPH42" s="1046">
        <f>DPH38+((DPH40+'NF - 5 Power Mix'!DPH14+'NF - 5 Power Mix'!DPH15)*860/10)+((('Form Sa1'!DPK835)*860)/10)+('Form Sa1'!DPK814*'Form Sa1'!DPK816/10)-'NF - 5 Power Mix'!DPH21-'NF - 5 Power Mix'!DPH22</f>
        <v>0</v>
      </c>
      <c r="DPI42" s="1046">
        <f>DPI38+((DPI40+'NF - 5 Power Mix'!DPI14+'NF - 5 Power Mix'!DPI15)*860/10)+((('Form Sa1'!DPL835)*860)/10)+('Form Sa1'!DPL814*'Form Sa1'!DPL816/10)-'NF - 5 Power Mix'!DPI21-'NF - 5 Power Mix'!DPI22</f>
        <v>0</v>
      </c>
      <c r="DPJ42" s="1046">
        <f>DPJ38+((DPJ40+'NF - 5 Power Mix'!DPJ14+'NF - 5 Power Mix'!DPJ15)*860/10)+((('Form Sa1'!DPM835)*860)/10)+('Form Sa1'!DPM814*'Form Sa1'!DPM816/10)-'NF - 5 Power Mix'!DPJ21-'NF - 5 Power Mix'!DPJ22</f>
        <v>0</v>
      </c>
      <c r="DPK42" s="1046">
        <f>DPK38+((DPK40+'NF - 5 Power Mix'!DPK14+'NF - 5 Power Mix'!DPK15)*860/10)+((('Form Sa1'!DPN835)*860)/10)+('Form Sa1'!DPN814*'Form Sa1'!DPN816/10)-'NF - 5 Power Mix'!DPK21-'NF - 5 Power Mix'!DPK22</f>
        <v>0</v>
      </c>
      <c r="DPL42" s="1046">
        <f>DPL38+((DPL40+'NF - 5 Power Mix'!DPL14+'NF - 5 Power Mix'!DPL15)*860/10)+((('Form Sa1'!DPO835)*860)/10)+('Form Sa1'!DPO814*'Form Sa1'!DPO816/10)-'NF - 5 Power Mix'!DPL21-'NF - 5 Power Mix'!DPL22</f>
        <v>0</v>
      </c>
      <c r="DPM42" s="1046">
        <f>DPM38+((DPM40+'NF - 5 Power Mix'!DPM14+'NF - 5 Power Mix'!DPM15)*860/10)+((('Form Sa1'!DPP835)*860)/10)+('Form Sa1'!DPP814*'Form Sa1'!DPP816/10)-'NF - 5 Power Mix'!DPM21-'NF - 5 Power Mix'!DPM22</f>
        <v>0</v>
      </c>
      <c r="DPN42" s="1046">
        <f>DPN38+((DPN40+'NF - 5 Power Mix'!DPN14+'NF - 5 Power Mix'!DPN15)*860/10)+((('Form Sa1'!DPQ835)*860)/10)+('Form Sa1'!DPQ814*'Form Sa1'!DPQ816/10)-'NF - 5 Power Mix'!DPN21-'NF - 5 Power Mix'!DPN22</f>
        <v>0</v>
      </c>
      <c r="DPO42" s="1046">
        <f>DPO38+((DPO40+'NF - 5 Power Mix'!DPO14+'NF - 5 Power Mix'!DPO15)*860/10)+((('Form Sa1'!DPR835)*860)/10)+('Form Sa1'!DPR814*'Form Sa1'!DPR816/10)-'NF - 5 Power Mix'!DPO21-'NF - 5 Power Mix'!DPO22</f>
        <v>0</v>
      </c>
      <c r="DPP42" s="1046">
        <f>DPP38+((DPP40+'NF - 5 Power Mix'!DPP14+'NF - 5 Power Mix'!DPP15)*860/10)+((('Form Sa1'!DPS835)*860)/10)+('Form Sa1'!DPS814*'Form Sa1'!DPS816/10)-'NF - 5 Power Mix'!DPP21-'NF - 5 Power Mix'!DPP22</f>
        <v>0</v>
      </c>
      <c r="DPQ42" s="1046">
        <f>DPQ38+((DPQ40+'NF - 5 Power Mix'!DPQ14+'NF - 5 Power Mix'!DPQ15)*860/10)+((('Form Sa1'!DPT835)*860)/10)+('Form Sa1'!DPT814*'Form Sa1'!DPT816/10)-'NF - 5 Power Mix'!DPQ21-'NF - 5 Power Mix'!DPQ22</f>
        <v>0</v>
      </c>
      <c r="DPR42" s="1046">
        <f>DPR38+((DPR40+'NF - 5 Power Mix'!DPR14+'NF - 5 Power Mix'!DPR15)*860/10)+((('Form Sa1'!DPU835)*860)/10)+('Form Sa1'!DPU814*'Form Sa1'!DPU816/10)-'NF - 5 Power Mix'!DPR21-'NF - 5 Power Mix'!DPR22</f>
        <v>0</v>
      </c>
      <c r="DPS42" s="1046">
        <f>DPS38+((DPS40+'NF - 5 Power Mix'!DPS14+'NF - 5 Power Mix'!DPS15)*860/10)+((('Form Sa1'!DPV835)*860)/10)+('Form Sa1'!DPV814*'Form Sa1'!DPV816/10)-'NF - 5 Power Mix'!DPS21-'NF - 5 Power Mix'!DPS22</f>
        <v>0</v>
      </c>
      <c r="DPT42" s="1046">
        <f>DPT38+((DPT40+'NF - 5 Power Mix'!DPT14+'NF - 5 Power Mix'!DPT15)*860/10)+((('Form Sa1'!DPW835)*860)/10)+('Form Sa1'!DPW814*'Form Sa1'!DPW816/10)-'NF - 5 Power Mix'!DPT21-'NF - 5 Power Mix'!DPT22</f>
        <v>0</v>
      </c>
      <c r="DPU42" s="1046">
        <f>DPU38+((DPU40+'NF - 5 Power Mix'!DPU14+'NF - 5 Power Mix'!DPU15)*860/10)+((('Form Sa1'!DPX835)*860)/10)+('Form Sa1'!DPX814*'Form Sa1'!DPX816/10)-'NF - 5 Power Mix'!DPU21-'NF - 5 Power Mix'!DPU22</f>
        <v>0</v>
      </c>
      <c r="DPV42" s="1046">
        <f>DPV38+((DPV40+'NF - 5 Power Mix'!DPV14+'NF - 5 Power Mix'!DPV15)*860/10)+((('Form Sa1'!DPY835)*860)/10)+('Form Sa1'!DPY814*'Form Sa1'!DPY816/10)-'NF - 5 Power Mix'!DPV21-'NF - 5 Power Mix'!DPV22</f>
        <v>0</v>
      </c>
      <c r="DPW42" s="1046">
        <f>DPW38+((DPW40+'NF - 5 Power Mix'!DPW14+'NF - 5 Power Mix'!DPW15)*860/10)+((('Form Sa1'!DPZ835)*860)/10)+('Form Sa1'!DPZ814*'Form Sa1'!DPZ816/10)-'NF - 5 Power Mix'!DPW21-'NF - 5 Power Mix'!DPW22</f>
        <v>0</v>
      </c>
      <c r="DPX42" s="1046">
        <f>DPX38+((DPX40+'NF - 5 Power Mix'!DPX14+'NF - 5 Power Mix'!DPX15)*860/10)+((('Form Sa1'!DQA835)*860)/10)+('Form Sa1'!DQA814*'Form Sa1'!DQA816/10)-'NF - 5 Power Mix'!DPX21-'NF - 5 Power Mix'!DPX22</f>
        <v>0</v>
      </c>
      <c r="DPY42" s="1046">
        <f>DPY38+((DPY40+'NF - 5 Power Mix'!DPY14+'NF - 5 Power Mix'!DPY15)*860/10)+((('Form Sa1'!DQB835)*860)/10)+('Form Sa1'!DQB814*'Form Sa1'!DQB816/10)-'NF - 5 Power Mix'!DPY21-'NF - 5 Power Mix'!DPY22</f>
        <v>0</v>
      </c>
      <c r="DPZ42" s="1046">
        <f>DPZ38+((DPZ40+'NF - 5 Power Mix'!DPZ14+'NF - 5 Power Mix'!DPZ15)*860/10)+((('Form Sa1'!DQC835)*860)/10)+('Form Sa1'!DQC814*'Form Sa1'!DQC816/10)-'NF - 5 Power Mix'!DPZ21-'NF - 5 Power Mix'!DPZ22</f>
        <v>0</v>
      </c>
      <c r="DQA42" s="1046">
        <f>DQA38+((DQA40+'NF - 5 Power Mix'!DQA14+'NF - 5 Power Mix'!DQA15)*860/10)+((('Form Sa1'!DQD835)*860)/10)+('Form Sa1'!DQD814*'Form Sa1'!DQD816/10)-'NF - 5 Power Mix'!DQA21-'NF - 5 Power Mix'!DQA22</f>
        <v>0</v>
      </c>
      <c r="DQB42" s="1046">
        <f>DQB38+((DQB40+'NF - 5 Power Mix'!DQB14+'NF - 5 Power Mix'!DQB15)*860/10)+((('Form Sa1'!DQE835)*860)/10)+('Form Sa1'!DQE814*'Form Sa1'!DQE816/10)-'NF - 5 Power Mix'!DQB21-'NF - 5 Power Mix'!DQB22</f>
        <v>0</v>
      </c>
      <c r="DQC42" s="1046">
        <f>DQC38+((DQC40+'NF - 5 Power Mix'!DQC14+'NF - 5 Power Mix'!DQC15)*860/10)+((('Form Sa1'!DQF835)*860)/10)+('Form Sa1'!DQF814*'Form Sa1'!DQF816/10)-'NF - 5 Power Mix'!DQC21-'NF - 5 Power Mix'!DQC22</f>
        <v>0</v>
      </c>
      <c r="DQD42" s="1046">
        <f>DQD38+((DQD40+'NF - 5 Power Mix'!DQD14+'NF - 5 Power Mix'!DQD15)*860/10)+((('Form Sa1'!DQG835)*860)/10)+('Form Sa1'!DQG814*'Form Sa1'!DQG816/10)-'NF - 5 Power Mix'!DQD21-'NF - 5 Power Mix'!DQD22</f>
        <v>0</v>
      </c>
      <c r="DQE42" s="1046">
        <f>DQE38+((DQE40+'NF - 5 Power Mix'!DQE14+'NF - 5 Power Mix'!DQE15)*860/10)+((('Form Sa1'!DQH835)*860)/10)+('Form Sa1'!DQH814*'Form Sa1'!DQH816/10)-'NF - 5 Power Mix'!DQE21-'NF - 5 Power Mix'!DQE22</f>
        <v>0</v>
      </c>
      <c r="DQF42" s="1046">
        <f>DQF38+((DQF40+'NF - 5 Power Mix'!DQF14+'NF - 5 Power Mix'!DQF15)*860/10)+((('Form Sa1'!DQI835)*860)/10)+('Form Sa1'!DQI814*'Form Sa1'!DQI816/10)-'NF - 5 Power Mix'!DQF21-'NF - 5 Power Mix'!DQF22</f>
        <v>0</v>
      </c>
      <c r="DQG42" s="1046">
        <f>DQG38+((DQG40+'NF - 5 Power Mix'!DQG14+'NF - 5 Power Mix'!DQG15)*860/10)+((('Form Sa1'!DQJ835)*860)/10)+('Form Sa1'!DQJ814*'Form Sa1'!DQJ816/10)-'NF - 5 Power Mix'!DQG21-'NF - 5 Power Mix'!DQG22</f>
        <v>0</v>
      </c>
      <c r="DQH42" s="1046">
        <f>DQH38+((DQH40+'NF - 5 Power Mix'!DQH14+'NF - 5 Power Mix'!DQH15)*860/10)+((('Form Sa1'!DQK835)*860)/10)+('Form Sa1'!DQK814*'Form Sa1'!DQK816/10)-'NF - 5 Power Mix'!DQH21-'NF - 5 Power Mix'!DQH22</f>
        <v>0</v>
      </c>
      <c r="DQI42" s="1046">
        <f>DQI38+((DQI40+'NF - 5 Power Mix'!DQI14+'NF - 5 Power Mix'!DQI15)*860/10)+((('Form Sa1'!DQL835)*860)/10)+('Form Sa1'!DQL814*'Form Sa1'!DQL816/10)-'NF - 5 Power Mix'!DQI21-'NF - 5 Power Mix'!DQI22</f>
        <v>0</v>
      </c>
      <c r="DQJ42" s="1046">
        <f>DQJ38+((DQJ40+'NF - 5 Power Mix'!DQJ14+'NF - 5 Power Mix'!DQJ15)*860/10)+((('Form Sa1'!DQM835)*860)/10)+('Form Sa1'!DQM814*'Form Sa1'!DQM816/10)-'NF - 5 Power Mix'!DQJ21-'NF - 5 Power Mix'!DQJ22</f>
        <v>0</v>
      </c>
      <c r="DQK42" s="1046">
        <f>DQK38+((DQK40+'NF - 5 Power Mix'!DQK14+'NF - 5 Power Mix'!DQK15)*860/10)+((('Form Sa1'!DQN835)*860)/10)+('Form Sa1'!DQN814*'Form Sa1'!DQN816/10)-'NF - 5 Power Mix'!DQK21-'NF - 5 Power Mix'!DQK22</f>
        <v>0</v>
      </c>
      <c r="DQL42" s="1046">
        <f>DQL38+((DQL40+'NF - 5 Power Mix'!DQL14+'NF - 5 Power Mix'!DQL15)*860/10)+((('Form Sa1'!DQO835)*860)/10)+('Form Sa1'!DQO814*'Form Sa1'!DQO816/10)-'NF - 5 Power Mix'!DQL21-'NF - 5 Power Mix'!DQL22</f>
        <v>0</v>
      </c>
      <c r="DQM42" s="1046">
        <f>DQM38+((DQM40+'NF - 5 Power Mix'!DQM14+'NF - 5 Power Mix'!DQM15)*860/10)+((('Form Sa1'!DQP835)*860)/10)+('Form Sa1'!DQP814*'Form Sa1'!DQP816/10)-'NF - 5 Power Mix'!DQM21-'NF - 5 Power Mix'!DQM22</f>
        <v>0</v>
      </c>
      <c r="DQN42" s="1046">
        <f>DQN38+((DQN40+'NF - 5 Power Mix'!DQN14+'NF - 5 Power Mix'!DQN15)*860/10)+((('Form Sa1'!DQQ835)*860)/10)+('Form Sa1'!DQQ814*'Form Sa1'!DQQ816/10)-'NF - 5 Power Mix'!DQN21-'NF - 5 Power Mix'!DQN22</f>
        <v>0</v>
      </c>
      <c r="DQO42" s="1046">
        <f>DQO38+((DQO40+'NF - 5 Power Mix'!DQO14+'NF - 5 Power Mix'!DQO15)*860/10)+((('Form Sa1'!DQR835)*860)/10)+('Form Sa1'!DQR814*'Form Sa1'!DQR816/10)-'NF - 5 Power Mix'!DQO21-'NF - 5 Power Mix'!DQO22</f>
        <v>0</v>
      </c>
      <c r="DQP42" s="1046">
        <f>DQP38+((DQP40+'NF - 5 Power Mix'!DQP14+'NF - 5 Power Mix'!DQP15)*860/10)+((('Form Sa1'!DQS835)*860)/10)+('Form Sa1'!DQS814*'Form Sa1'!DQS816/10)-'NF - 5 Power Mix'!DQP21-'NF - 5 Power Mix'!DQP22</f>
        <v>0</v>
      </c>
      <c r="DQQ42" s="1046">
        <f>DQQ38+((DQQ40+'NF - 5 Power Mix'!DQQ14+'NF - 5 Power Mix'!DQQ15)*860/10)+((('Form Sa1'!DQT835)*860)/10)+('Form Sa1'!DQT814*'Form Sa1'!DQT816/10)-'NF - 5 Power Mix'!DQQ21-'NF - 5 Power Mix'!DQQ22</f>
        <v>0</v>
      </c>
      <c r="DQR42" s="1046">
        <f>DQR38+((DQR40+'NF - 5 Power Mix'!DQR14+'NF - 5 Power Mix'!DQR15)*860/10)+((('Form Sa1'!DQU835)*860)/10)+('Form Sa1'!DQU814*'Form Sa1'!DQU816/10)-'NF - 5 Power Mix'!DQR21-'NF - 5 Power Mix'!DQR22</f>
        <v>0</v>
      </c>
      <c r="DQS42" s="1046">
        <f>DQS38+((DQS40+'NF - 5 Power Mix'!DQS14+'NF - 5 Power Mix'!DQS15)*860/10)+((('Form Sa1'!DQV835)*860)/10)+('Form Sa1'!DQV814*'Form Sa1'!DQV816/10)-'NF - 5 Power Mix'!DQS21-'NF - 5 Power Mix'!DQS22</f>
        <v>0</v>
      </c>
      <c r="DQT42" s="1046">
        <f>DQT38+((DQT40+'NF - 5 Power Mix'!DQT14+'NF - 5 Power Mix'!DQT15)*860/10)+((('Form Sa1'!DQW835)*860)/10)+('Form Sa1'!DQW814*'Form Sa1'!DQW816/10)-'NF - 5 Power Mix'!DQT21-'NF - 5 Power Mix'!DQT22</f>
        <v>0</v>
      </c>
      <c r="DQU42" s="1046">
        <f>DQU38+((DQU40+'NF - 5 Power Mix'!DQU14+'NF - 5 Power Mix'!DQU15)*860/10)+((('Form Sa1'!DQX835)*860)/10)+('Form Sa1'!DQX814*'Form Sa1'!DQX816/10)-'NF - 5 Power Mix'!DQU21-'NF - 5 Power Mix'!DQU22</f>
        <v>0</v>
      </c>
      <c r="DQV42" s="1046">
        <f>DQV38+((DQV40+'NF - 5 Power Mix'!DQV14+'NF - 5 Power Mix'!DQV15)*860/10)+((('Form Sa1'!DQY835)*860)/10)+('Form Sa1'!DQY814*'Form Sa1'!DQY816/10)-'NF - 5 Power Mix'!DQV21-'NF - 5 Power Mix'!DQV22</f>
        <v>0</v>
      </c>
      <c r="DQW42" s="1046">
        <f>DQW38+((DQW40+'NF - 5 Power Mix'!DQW14+'NF - 5 Power Mix'!DQW15)*860/10)+((('Form Sa1'!DQZ835)*860)/10)+('Form Sa1'!DQZ814*'Form Sa1'!DQZ816/10)-'NF - 5 Power Mix'!DQW21-'NF - 5 Power Mix'!DQW22</f>
        <v>0</v>
      </c>
      <c r="DQX42" s="1046">
        <f>DQX38+((DQX40+'NF - 5 Power Mix'!DQX14+'NF - 5 Power Mix'!DQX15)*860/10)+((('Form Sa1'!DRA835)*860)/10)+('Form Sa1'!DRA814*'Form Sa1'!DRA816/10)-'NF - 5 Power Mix'!DQX21-'NF - 5 Power Mix'!DQX22</f>
        <v>0</v>
      </c>
      <c r="DQY42" s="1046">
        <f>DQY38+((DQY40+'NF - 5 Power Mix'!DQY14+'NF - 5 Power Mix'!DQY15)*860/10)+((('Form Sa1'!DRB835)*860)/10)+('Form Sa1'!DRB814*'Form Sa1'!DRB816/10)-'NF - 5 Power Mix'!DQY21-'NF - 5 Power Mix'!DQY22</f>
        <v>0</v>
      </c>
      <c r="DQZ42" s="1046">
        <f>DQZ38+((DQZ40+'NF - 5 Power Mix'!DQZ14+'NF - 5 Power Mix'!DQZ15)*860/10)+((('Form Sa1'!DRC835)*860)/10)+('Form Sa1'!DRC814*'Form Sa1'!DRC816/10)-'NF - 5 Power Mix'!DQZ21-'NF - 5 Power Mix'!DQZ22</f>
        <v>0</v>
      </c>
      <c r="DRA42" s="1046">
        <f>DRA38+((DRA40+'NF - 5 Power Mix'!DRA14+'NF - 5 Power Mix'!DRA15)*860/10)+((('Form Sa1'!DRD835)*860)/10)+('Form Sa1'!DRD814*'Form Sa1'!DRD816/10)-'NF - 5 Power Mix'!DRA21-'NF - 5 Power Mix'!DRA22</f>
        <v>0</v>
      </c>
      <c r="DRB42" s="1046">
        <f>DRB38+((DRB40+'NF - 5 Power Mix'!DRB14+'NF - 5 Power Mix'!DRB15)*860/10)+((('Form Sa1'!DRE835)*860)/10)+('Form Sa1'!DRE814*'Form Sa1'!DRE816/10)-'NF - 5 Power Mix'!DRB21-'NF - 5 Power Mix'!DRB22</f>
        <v>0</v>
      </c>
      <c r="DRC42" s="1046">
        <f>DRC38+((DRC40+'NF - 5 Power Mix'!DRC14+'NF - 5 Power Mix'!DRC15)*860/10)+((('Form Sa1'!DRF835)*860)/10)+('Form Sa1'!DRF814*'Form Sa1'!DRF816/10)-'NF - 5 Power Mix'!DRC21-'NF - 5 Power Mix'!DRC22</f>
        <v>0</v>
      </c>
      <c r="DRD42" s="1046">
        <f>DRD38+((DRD40+'NF - 5 Power Mix'!DRD14+'NF - 5 Power Mix'!DRD15)*860/10)+((('Form Sa1'!DRG835)*860)/10)+('Form Sa1'!DRG814*'Form Sa1'!DRG816/10)-'NF - 5 Power Mix'!DRD21-'NF - 5 Power Mix'!DRD22</f>
        <v>0</v>
      </c>
      <c r="DRE42" s="1046">
        <f>DRE38+((DRE40+'NF - 5 Power Mix'!DRE14+'NF - 5 Power Mix'!DRE15)*860/10)+((('Form Sa1'!DRH835)*860)/10)+('Form Sa1'!DRH814*'Form Sa1'!DRH816/10)-'NF - 5 Power Mix'!DRE21-'NF - 5 Power Mix'!DRE22</f>
        <v>0</v>
      </c>
      <c r="DRF42" s="1046">
        <f>DRF38+((DRF40+'NF - 5 Power Mix'!DRF14+'NF - 5 Power Mix'!DRF15)*860/10)+((('Form Sa1'!DRI835)*860)/10)+('Form Sa1'!DRI814*'Form Sa1'!DRI816/10)-'NF - 5 Power Mix'!DRF21-'NF - 5 Power Mix'!DRF22</f>
        <v>0</v>
      </c>
      <c r="DRG42" s="1046">
        <f>DRG38+((DRG40+'NF - 5 Power Mix'!DRG14+'NF - 5 Power Mix'!DRG15)*860/10)+((('Form Sa1'!DRJ835)*860)/10)+('Form Sa1'!DRJ814*'Form Sa1'!DRJ816/10)-'NF - 5 Power Mix'!DRG21-'NF - 5 Power Mix'!DRG22</f>
        <v>0</v>
      </c>
      <c r="DRH42" s="1046">
        <f>DRH38+((DRH40+'NF - 5 Power Mix'!DRH14+'NF - 5 Power Mix'!DRH15)*860/10)+((('Form Sa1'!DRK835)*860)/10)+('Form Sa1'!DRK814*'Form Sa1'!DRK816/10)-'NF - 5 Power Mix'!DRH21-'NF - 5 Power Mix'!DRH22</f>
        <v>0</v>
      </c>
      <c r="DRI42" s="1046">
        <f>DRI38+((DRI40+'NF - 5 Power Mix'!DRI14+'NF - 5 Power Mix'!DRI15)*860/10)+((('Form Sa1'!DRL835)*860)/10)+('Form Sa1'!DRL814*'Form Sa1'!DRL816/10)-'NF - 5 Power Mix'!DRI21-'NF - 5 Power Mix'!DRI22</f>
        <v>0</v>
      </c>
      <c r="DRJ42" s="1046">
        <f>DRJ38+((DRJ40+'NF - 5 Power Mix'!DRJ14+'NF - 5 Power Mix'!DRJ15)*860/10)+((('Form Sa1'!DRM835)*860)/10)+('Form Sa1'!DRM814*'Form Sa1'!DRM816/10)-'NF - 5 Power Mix'!DRJ21-'NF - 5 Power Mix'!DRJ22</f>
        <v>0</v>
      </c>
      <c r="DRK42" s="1046">
        <f>DRK38+((DRK40+'NF - 5 Power Mix'!DRK14+'NF - 5 Power Mix'!DRK15)*860/10)+((('Form Sa1'!DRN835)*860)/10)+('Form Sa1'!DRN814*'Form Sa1'!DRN816/10)-'NF - 5 Power Mix'!DRK21-'NF - 5 Power Mix'!DRK22</f>
        <v>0</v>
      </c>
      <c r="DRL42" s="1046">
        <f>DRL38+((DRL40+'NF - 5 Power Mix'!DRL14+'NF - 5 Power Mix'!DRL15)*860/10)+((('Form Sa1'!DRO835)*860)/10)+('Form Sa1'!DRO814*'Form Sa1'!DRO816/10)-'NF - 5 Power Mix'!DRL21-'NF - 5 Power Mix'!DRL22</f>
        <v>0</v>
      </c>
      <c r="DRM42" s="1046">
        <f>DRM38+((DRM40+'NF - 5 Power Mix'!DRM14+'NF - 5 Power Mix'!DRM15)*860/10)+((('Form Sa1'!DRP835)*860)/10)+('Form Sa1'!DRP814*'Form Sa1'!DRP816/10)-'NF - 5 Power Mix'!DRM21-'NF - 5 Power Mix'!DRM22</f>
        <v>0</v>
      </c>
      <c r="DRN42" s="1046">
        <f>DRN38+((DRN40+'NF - 5 Power Mix'!DRN14+'NF - 5 Power Mix'!DRN15)*860/10)+((('Form Sa1'!DRQ835)*860)/10)+('Form Sa1'!DRQ814*'Form Sa1'!DRQ816/10)-'NF - 5 Power Mix'!DRN21-'NF - 5 Power Mix'!DRN22</f>
        <v>0</v>
      </c>
      <c r="DRO42" s="1046">
        <f>DRO38+((DRO40+'NF - 5 Power Mix'!DRO14+'NF - 5 Power Mix'!DRO15)*860/10)+((('Form Sa1'!DRR835)*860)/10)+('Form Sa1'!DRR814*'Form Sa1'!DRR816/10)-'NF - 5 Power Mix'!DRO21-'NF - 5 Power Mix'!DRO22</f>
        <v>0</v>
      </c>
      <c r="DRP42" s="1046">
        <f>DRP38+((DRP40+'NF - 5 Power Mix'!DRP14+'NF - 5 Power Mix'!DRP15)*860/10)+((('Form Sa1'!DRS835)*860)/10)+('Form Sa1'!DRS814*'Form Sa1'!DRS816/10)-'NF - 5 Power Mix'!DRP21-'NF - 5 Power Mix'!DRP22</f>
        <v>0</v>
      </c>
      <c r="DRQ42" s="1046">
        <f>DRQ38+((DRQ40+'NF - 5 Power Mix'!DRQ14+'NF - 5 Power Mix'!DRQ15)*860/10)+((('Form Sa1'!DRT835)*860)/10)+('Form Sa1'!DRT814*'Form Sa1'!DRT816/10)-'NF - 5 Power Mix'!DRQ21-'NF - 5 Power Mix'!DRQ22</f>
        <v>0</v>
      </c>
      <c r="DRR42" s="1046">
        <f>DRR38+((DRR40+'NF - 5 Power Mix'!DRR14+'NF - 5 Power Mix'!DRR15)*860/10)+((('Form Sa1'!DRU835)*860)/10)+('Form Sa1'!DRU814*'Form Sa1'!DRU816/10)-'NF - 5 Power Mix'!DRR21-'NF - 5 Power Mix'!DRR22</f>
        <v>0</v>
      </c>
      <c r="DRS42" s="1046">
        <f>DRS38+((DRS40+'NF - 5 Power Mix'!DRS14+'NF - 5 Power Mix'!DRS15)*860/10)+((('Form Sa1'!DRV835)*860)/10)+('Form Sa1'!DRV814*'Form Sa1'!DRV816/10)-'NF - 5 Power Mix'!DRS21-'NF - 5 Power Mix'!DRS22</f>
        <v>0</v>
      </c>
      <c r="DRT42" s="1046">
        <f>DRT38+((DRT40+'NF - 5 Power Mix'!DRT14+'NF - 5 Power Mix'!DRT15)*860/10)+((('Form Sa1'!DRW835)*860)/10)+('Form Sa1'!DRW814*'Form Sa1'!DRW816/10)-'NF - 5 Power Mix'!DRT21-'NF - 5 Power Mix'!DRT22</f>
        <v>0</v>
      </c>
      <c r="DRU42" s="1046">
        <f>DRU38+((DRU40+'NF - 5 Power Mix'!DRU14+'NF - 5 Power Mix'!DRU15)*860/10)+((('Form Sa1'!DRX835)*860)/10)+('Form Sa1'!DRX814*'Form Sa1'!DRX816/10)-'NF - 5 Power Mix'!DRU21-'NF - 5 Power Mix'!DRU22</f>
        <v>0</v>
      </c>
      <c r="DRV42" s="1046">
        <f>DRV38+((DRV40+'NF - 5 Power Mix'!DRV14+'NF - 5 Power Mix'!DRV15)*860/10)+((('Form Sa1'!DRY835)*860)/10)+('Form Sa1'!DRY814*'Form Sa1'!DRY816/10)-'NF - 5 Power Mix'!DRV21-'NF - 5 Power Mix'!DRV22</f>
        <v>0</v>
      </c>
      <c r="DRW42" s="1046">
        <f>DRW38+((DRW40+'NF - 5 Power Mix'!DRW14+'NF - 5 Power Mix'!DRW15)*860/10)+((('Form Sa1'!DRZ835)*860)/10)+('Form Sa1'!DRZ814*'Form Sa1'!DRZ816/10)-'NF - 5 Power Mix'!DRW21-'NF - 5 Power Mix'!DRW22</f>
        <v>0</v>
      </c>
      <c r="DRX42" s="1046">
        <f>DRX38+((DRX40+'NF - 5 Power Mix'!DRX14+'NF - 5 Power Mix'!DRX15)*860/10)+((('Form Sa1'!DSA835)*860)/10)+('Form Sa1'!DSA814*'Form Sa1'!DSA816/10)-'NF - 5 Power Mix'!DRX21-'NF - 5 Power Mix'!DRX22</f>
        <v>0</v>
      </c>
      <c r="DRY42" s="1046">
        <f>DRY38+((DRY40+'NF - 5 Power Mix'!DRY14+'NF - 5 Power Mix'!DRY15)*860/10)+((('Form Sa1'!DSB835)*860)/10)+('Form Sa1'!DSB814*'Form Sa1'!DSB816/10)-'NF - 5 Power Mix'!DRY21-'NF - 5 Power Mix'!DRY22</f>
        <v>0</v>
      </c>
      <c r="DRZ42" s="1046">
        <f>DRZ38+((DRZ40+'NF - 5 Power Mix'!DRZ14+'NF - 5 Power Mix'!DRZ15)*860/10)+((('Form Sa1'!DSC835)*860)/10)+('Form Sa1'!DSC814*'Form Sa1'!DSC816/10)-'NF - 5 Power Mix'!DRZ21-'NF - 5 Power Mix'!DRZ22</f>
        <v>0</v>
      </c>
      <c r="DSA42" s="1046">
        <f>DSA38+((DSA40+'NF - 5 Power Mix'!DSA14+'NF - 5 Power Mix'!DSA15)*860/10)+((('Form Sa1'!DSD835)*860)/10)+('Form Sa1'!DSD814*'Form Sa1'!DSD816/10)-'NF - 5 Power Mix'!DSA21-'NF - 5 Power Mix'!DSA22</f>
        <v>0</v>
      </c>
      <c r="DSB42" s="1046">
        <f>DSB38+((DSB40+'NF - 5 Power Mix'!DSB14+'NF - 5 Power Mix'!DSB15)*860/10)+((('Form Sa1'!DSE835)*860)/10)+('Form Sa1'!DSE814*'Form Sa1'!DSE816/10)-'NF - 5 Power Mix'!DSB21-'NF - 5 Power Mix'!DSB22</f>
        <v>0</v>
      </c>
      <c r="DSC42" s="1046">
        <f>DSC38+((DSC40+'NF - 5 Power Mix'!DSC14+'NF - 5 Power Mix'!DSC15)*860/10)+((('Form Sa1'!DSF835)*860)/10)+('Form Sa1'!DSF814*'Form Sa1'!DSF816/10)-'NF - 5 Power Mix'!DSC21-'NF - 5 Power Mix'!DSC22</f>
        <v>0</v>
      </c>
      <c r="DSD42" s="1046">
        <f>DSD38+((DSD40+'NF - 5 Power Mix'!DSD14+'NF - 5 Power Mix'!DSD15)*860/10)+((('Form Sa1'!DSG835)*860)/10)+('Form Sa1'!DSG814*'Form Sa1'!DSG816/10)-'NF - 5 Power Mix'!DSD21-'NF - 5 Power Mix'!DSD22</f>
        <v>0</v>
      </c>
      <c r="DSE42" s="1046">
        <f>DSE38+((DSE40+'NF - 5 Power Mix'!DSE14+'NF - 5 Power Mix'!DSE15)*860/10)+((('Form Sa1'!DSH835)*860)/10)+('Form Sa1'!DSH814*'Form Sa1'!DSH816/10)-'NF - 5 Power Mix'!DSE21-'NF - 5 Power Mix'!DSE22</f>
        <v>0</v>
      </c>
      <c r="DSF42" s="1046">
        <f>DSF38+((DSF40+'NF - 5 Power Mix'!DSF14+'NF - 5 Power Mix'!DSF15)*860/10)+((('Form Sa1'!DSI835)*860)/10)+('Form Sa1'!DSI814*'Form Sa1'!DSI816/10)-'NF - 5 Power Mix'!DSF21-'NF - 5 Power Mix'!DSF22</f>
        <v>0</v>
      </c>
      <c r="DSG42" s="1046">
        <f>DSG38+((DSG40+'NF - 5 Power Mix'!DSG14+'NF - 5 Power Mix'!DSG15)*860/10)+((('Form Sa1'!DSJ835)*860)/10)+('Form Sa1'!DSJ814*'Form Sa1'!DSJ816/10)-'NF - 5 Power Mix'!DSG21-'NF - 5 Power Mix'!DSG22</f>
        <v>0</v>
      </c>
      <c r="DSH42" s="1046">
        <f>DSH38+((DSH40+'NF - 5 Power Mix'!DSH14+'NF - 5 Power Mix'!DSH15)*860/10)+((('Form Sa1'!DSK835)*860)/10)+('Form Sa1'!DSK814*'Form Sa1'!DSK816/10)-'NF - 5 Power Mix'!DSH21-'NF - 5 Power Mix'!DSH22</f>
        <v>0</v>
      </c>
      <c r="DSI42" s="1046">
        <f>DSI38+((DSI40+'NF - 5 Power Mix'!DSI14+'NF - 5 Power Mix'!DSI15)*860/10)+((('Form Sa1'!DSL835)*860)/10)+('Form Sa1'!DSL814*'Form Sa1'!DSL816/10)-'NF - 5 Power Mix'!DSI21-'NF - 5 Power Mix'!DSI22</f>
        <v>0</v>
      </c>
      <c r="DSJ42" s="1046">
        <f>DSJ38+((DSJ40+'NF - 5 Power Mix'!DSJ14+'NF - 5 Power Mix'!DSJ15)*860/10)+((('Form Sa1'!DSM835)*860)/10)+('Form Sa1'!DSM814*'Form Sa1'!DSM816/10)-'NF - 5 Power Mix'!DSJ21-'NF - 5 Power Mix'!DSJ22</f>
        <v>0</v>
      </c>
      <c r="DSK42" s="1046">
        <f>DSK38+((DSK40+'NF - 5 Power Mix'!DSK14+'NF - 5 Power Mix'!DSK15)*860/10)+((('Form Sa1'!DSN835)*860)/10)+('Form Sa1'!DSN814*'Form Sa1'!DSN816/10)-'NF - 5 Power Mix'!DSK21-'NF - 5 Power Mix'!DSK22</f>
        <v>0</v>
      </c>
      <c r="DSL42" s="1046">
        <f>DSL38+((DSL40+'NF - 5 Power Mix'!DSL14+'NF - 5 Power Mix'!DSL15)*860/10)+((('Form Sa1'!DSO835)*860)/10)+('Form Sa1'!DSO814*'Form Sa1'!DSO816/10)-'NF - 5 Power Mix'!DSL21-'NF - 5 Power Mix'!DSL22</f>
        <v>0</v>
      </c>
      <c r="DSM42" s="1046">
        <f>DSM38+((DSM40+'NF - 5 Power Mix'!DSM14+'NF - 5 Power Mix'!DSM15)*860/10)+((('Form Sa1'!DSP835)*860)/10)+('Form Sa1'!DSP814*'Form Sa1'!DSP816/10)-'NF - 5 Power Mix'!DSM21-'NF - 5 Power Mix'!DSM22</f>
        <v>0</v>
      </c>
      <c r="DSN42" s="1046">
        <f>DSN38+((DSN40+'NF - 5 Power Mix'!DSN14+'NF - 5 Power Mix'!DSN15)*860/10)+((('Form Sa1'!DSQ835)*860)/10)+('Form Sa1'!DSQ814*'Form Sa1'!DSQ816/10)-'NF - 5 Power Mix'!DSN21-'NF - 5 Power Mix'!DSN22</f>
        <v>0</v>
      </c>
      <c r="DSO42" s="1046">
        <f>DSO38+((DSO40+'NF - 5 Power Mix'!DSO14+'NF - 5 Power Mix'!DSO15)*860/10)+((('Form Sa1'!DSR835)*860)/10)+('Form Sa1'!DSR814*'Form Sa1'!DSR816/10)-'NF - 5 Power Mix'!DSO21-'NF - 5 Power Mix'!DSO22</f>
        <v>0</v>
      </c>
      <c r="DSP42" s="1046">
        <f>DSP38+((DSP40+'NF - 5 Power Mix'!DSP14+'NF - 5 Power Mix'!DSP15)*860/10)+((('Form Sa1'!DSS835)*860)/10)+('Form Sa1'!DSS814*'Form Sa1'!DSS816/10)-'NF - 5 Power Mix'!DSP21-'NF - 5 Power Mix'!DSP22</f>
        <v>0</v>
      </c>
      <c r="DSQ42" s="1046">
        <f>DSQ38+((DSQ40+'NF - 5 Power Mix'!DSQ14+'NF - 5 Power Mix'!DSQ15)*860/10)+((('Form Sa1'!DST835)*860)/10)+('Form Sa1'!DST814*'Form Sa1'!DST816/10)-'NF - 5 Power Mix'!DSQ21-'NF - 5 Power Mix'!DSQ22</f>
        <v>0</v>
      </c>
      <c r="DSR42" s="1046">
        <f>DSR38+((DSR40+'NF - 5 Power Mix'!DSR14+'NF - 5 Power Mix'!DSR15)*860/10)+((('Form Sa1'!DSU835)*860)/10)+('Form Sa1'!DSU814*'Form Sa1'!DSU816/10)-'NF - 5 Power Mix'!DSR21-'NF - 5 Power Mix'!DSR22</f>
        <v>0</v>
      </c>
      <c r="DSS42" s="1046">
        <f>DSS38+((DSS40+'NF - 5 Power Mix'!DSS14+'NF - 5 Power Mix'!DSS15)*860/10)+((('Form Sa1'!DSV835)*860)/10)+('Form Sa1'!DSV814*'Form Sa1'!DSV816/10)-'NF - 5 Power Mix'!DSS21-'NF - 5 Power Mix'!DSS22</f>
        <v>0</v>
      </c>
      <c r="DST42" s="1046">
        <f>DST38+((DST40+'NF - 5 Power Mix'!DST14+'NF - 5 Power Mix'!DST15)*860/10)+((('Form Sa1'!DSW835)*860)/10)+('Form Sa1'!DSW814*'Form Sa1'!DSW816/10)-'NF - 5 Power Mix'!DST21-'NF - 5 Power Mix'!DST22</f>
        <v>0</v>
      </c>
      <c r="DSU42" s="1046">
        <f>DSU38+((DSU40+'NF - 5 Power Mix'!DSU14+'NF - 5 Power Mix'!DSU15)*860/10)+((('Form Sa1'!DSX835)*860)/10)+('Form Sa1'!DSX814*'Form Sa1'!DSX816/10)-'NF - 5 Power Mix'!DSU21-'NF - 5 Power Mix'!DSU22</f>
        <v>0</v>
      </c>
      <c r="DSV42" s="1046">
        <f>DSV38+((DSV40+'NF - 5 Power Mix'!DSV14+'NF - 5 Power Mix'!DSV15)*860/10)+((('Form Sa1'!DSY835)*860)/10)+('Form Sa1'!DSY814*'Form Sa1'!DSY816/10)-'NF - 5 Power Mix'!DSV21-'NF - 5 Power Mix'!DSV22</f>
        <v>0</v>
      </c>
      <c r="DSW42" s="1046">
        <f>DSW38+((DSW40+'NF - 5 Power Mix'!DSW14+'NF - 5 Power Mix'!DSW15)*860/10)+((('Form Sa1'!DSZ835)*860)/10)+('Form Sa1'!DSZ814*'Form Sa1'!DSZ816/10)-'NF - 5 Power Mix'!DSW21-'NF - 5 Power Mix'!DSW22</f>
        <v>0</v>
      </c>
      <c r="DSX42" s="1046">
        <f>DSX38+((DSX40+'NF - 5 Power Mix'!DSX14+'NF - 5 Power Mix'!DSX15)*860/10)+((('Form Sa1'!DTA835)*860)/10)+('Form Sa1'!DTA814*'Form Sa1'!DTA816/10)-'NF - 5 Power Mix'!DSX21-'NF - 5 Power Mix'!DSX22</f>
        <v>0</v>
      </c>
      <c r="DSY42" s="1046">
        <f>DSY38+((DSY40+'NF - 5 Power Mix'!DSY14+'NF - 5 Power Mix'!DSY15)*860/10)+((('Form Sa1'!DTB835)*860)/10)+('Form Sa1'!DTB814*'Form Sa1'!DTB816/10)-'NF - 5 Power Mix'!DSY21-'NF - 5 Power Mix'!DSY22</f>
        <v>0</v>
      </c>
      <c r="DSZ42" s="1046">
        <f>DSZ38+((DSZ40+'NF - 5 Power Mix'!DSZ14+'NF - 5 Power Mix'!DSZ15)*860/10)+((('Form Sa1'!DTC835)*860)/10)+('Form Sa1'!DTC814*'Form Sa1'!DTC816/10)-'NF - 5 Power Mix'!DSZ21-'NF - 5 Power Mix'!DSZ22</f>
        <v>0</v>
      </c>
      <c r="DTA42" s="1046">
        <f>DTA38+((DTA40+'NF - 5 Power Mix'!DTA14+'NF - 5 Power Mix'!DTA15)*860/10)+((('Form Sa1'!DTD835)*860)/10)+('Form Sa1'!DTD814*'Form Sa1'!DTD816/10)-'NF - 5 Power Mix'!DTA21-'NF - 5 Power Mix'!DTA22</f>
        <v>0</v>
      </c>
      <c r="DTB42" s="1046">
        <f>DTB38+((DTB40+'NF - 5 Power Mix'!DTB14+'NF - 5 Power Mix'!DTB15)*860/10)+((('Form Sa1'!DTE835)*860)/10)+('Form Sa1'!DTE814*'Form Sa1'!DTE816/10)-'NF - 5 Power Mix'!DTB21-'NF - 5 Power Mix'!DTB22</f>
        <v>0</v>
      </c>
      <c r="DTC42" s="1046">
        <f>DTC38+((DTC40+'NF - 5 Power Mix'!DTC14+'NF - 5 Power Mix'!DTC15)*860/10)+((('Form Sa1'!DTF835)*860)/10)+('Form Sa1'!DTF814*'Form Sa1'!DTF816/10)-'NF - 5 Power Mix'!DTC21-'NF - 5 Power Mix'!DTC22</f>
        <v>0</v>
      </c>
      <c r="DTD42" s="1046">
        <f>DTD38+((DTD40+'NF - 5 Power Mix'!DTD14+'NF - 5 Power Mix'!DTD15)*860/10)+((('Form Sa1'!DTG835)*860)/10)+('Form Sa1'!DTG814*'Form Sa1'!DTG816/10)-'NF - 5 Power Mix'!DTD21-'NF - 5 Power Mix'!DTD22</f>
        <v>0</v>
      </c>
      <c r="DTE42" s="1046">
        <f>DTE38+((DTE40+'NF - 5 Power Mix'!DTE14+'NF - 5 Power Mix'!DTE15)*860/10)+((('Form Sa1'!DTH835)*860)/10)+('Form Sa1'!DTH814*'Form Sa1'!DTH816/10)-'NF - 5 Power Mix'!DTE21-'NF - 5 Power Mix'!DTE22</f>
        <v>0</v>
      </c>
      <c r="DTF42" s="1046">
        <f>DTF38+((DTF40+'NF - 5 Power Mix'!DTF14+'NF - 5 Power Mix'!DTF15)*860/10)+((('Form Sa1'!DTI835)*860)/10)+('Form Sa1'!DTI814*'Form Sa1'!DTI816/10)-'NF - 5 Power Mix'!DTF21-'NF - 5 Power Mix'!DTF22</f>
        <v>0</v>
      </c>
      <c r="DTG42" s="1046">
        <f>DTG38+((DTG40+'NF - 5 Power Mix'!DTG14+'NF - 5 Power Mix'!DTG15)*860/10)+((('Form Sa1'!DTJ835)*860)/10)+('Form Sa1'!DTJ814*'Form Sa1'!DTJ816/10)-'NF - 5 Power Mix'!DTG21-'NF - 5 Power Mix'!DTG22</f>
        <v>0</v>
      </c>
      <c r="DTH42" s="1046">
        <f>DTH38+((DTH40+'NF - 5 Power Mix'!DTH14+'NF - 5 Power Mix'!DTH15)*860/10)+((('Form Sa1'!DTK835)*860)/10)+('Form Sa1'!DTK814*'Form Sa1'!DTK816/10)-'NF - 5 Power Mix'!DTH21-'NF - 5 Power Mix'!DTH22</f>
        <v>0</v>
      </c>
      <c r="DTI42" s="1046">
        <f>DTI38+((DTI40+'NF - 5 Power Mix'!DTI14+'NF - 5 Power Mix'!DTI15)*860/10)+((('Form Sa1'!DTL835)*860)/10)+('Form Sa1'!DTL814*'Form Sa1'!DTL816/10)-'NF - 5 Power Mix'!DTI21-'NF - 5 Power Mix'!DTI22</f>
        <v>0</v>
      </c>
      <c r="DTJ42" s="1046">
        <f>DTJ38+((DTJ40+'NF - 5 Power Mix'!DTJ14+'NF - 5 Power Mix'!DTJ15)*860/10)+((('Form Sa1'!DTM835)*860)/10)+('Form Sa1'!DTM814*'Form Sa1'!DTM816/10)-'NF - 5 Power Mix'!DTJ21-'NF - 5 Power Mix'!DTJ22</f>
        <v>0</v>
      </c>
      <c r="DTK42" s="1046">
        <f>DTK38+((DTK40+'NF - 5 Power Mix'!DTK14+'NF - 5 Power Mix'!DTK15)*860/10)+((('Form Sa1'!DTN835)*860)/10)+('Form Sa1'!DTN814*'Form Sa1'!DTN816/10)-'NF - 5 Power Mix'!DTK21-'NF - 5 Power Mix'!DTK22</f>
        <v>0</v>
      </c>
      <c r="DTL42" s="1046">
        <f>DTL38+((DTL40+'NF - 5 Power Mix'!DTL14+'NF - 5 Power Mix'!DTL15)*860/10)+((('Form Sa1'!DTO835)*860)/10)+('Form Sa1'!DTO814*'Form Sa1'!DTO816/10)-'NF - 5 Power Mix'!DTL21-'NF - 5 Power Mix'!DTL22</f>
        <v>0</v>
      </c>
      <c r="DTM42" s="1046">
        <f>DTM38+((DTM40+'NF - 5 Power Mix'!DTM14+'NF - 5 Power Mix'!DTM15)*860/10)+((('Form Sa1'!DTP835)*860)/10)+('Form Sa1'!DTP814*'Form Sa1'!DTP816/10)-'NF - 5 Power Mix'!DTM21-'NF - 5 Power Mix'!DTM22</f>
        <v>0</v>
      </c>
      <c r="DTN42" s="1046">
        <f>DTN38+((DTN40+'NF - 5 Power Mix'!DTN14+'NF - 5 Power Mix'!DTN15)*860/10)+((('Form Sa1'!DTQ835)*860)/10)+('Form Sa1'!DTQ814*'Form Sa1'!DTQ816/10)-'NF - 5 Power Mix'!DTN21-'NF - 5 Power Mix'!DTN22</f>
        <v>0</v>
      </c>
      <c r="DTO42" s="1046">
        <f>DTO38+((DTO40+'NF - 5 Power Mix'!DTO14+'NF - 5 Power Mix'!DTO15)*860/10)+((('Form Sa1'!DTR835)*860)/10)+('Form Sa1'!DTR814*'Form Sa1'!DTR816/10)-'NF - 5 Power Mix'!DTO21-'NF - 5 Power Mix'!DTO22</f>
        <v>0</v>
      </c>
      <c r="DTP42" s="1046">
        <f>DTP38+((DTP40+'NF - 5 Power Mix'!DTP14+'NF - 5 Power Mix'!DTP15)*860/10)+((('Form Sa1'!DTS835)*860)/10)+('Form Sa1'!DTS814*'Form Sa1'!DTS816/10)-'NF - 5 Power Mix'!DTP21-'NF - 5 Power Mix'!DTP22</f>
        <v>0</v>
      </c>
      <c r="DTQ42" s="1046">
        <f>DTQ38+((DTQ40+'NF - 5 Power Mix'!DTQ14+'NF - 5 Power Mix'!DTQ15)*860/10)+((('Form Sa1'!DTT835)*860)/10)+('Form Sa1'!DTT814*'Form Sa1'!DTT816/10)-'NF - 5 Power Mix'!DTQ21-'NF - 5 Power Mix'!DTQ22</f>
        <v>0</v>
      </c>
      <c r="DTR42" s="1046">
        <f>DTR38+((DTR40+'NF - 5 Power Mix'!DTR14+'NF - 5 Power Mix'!DTR15)*860/10)+((('Form Sa1'!DTU835)*860)/10)+('Form Sa1'!DTU814*'Form Sa1'!DTU816/10)-'NF - 5 Power Mix'!DTR21-'NF - 5 Power Mix'!DTR22</f>
        <v>0</v>
      </c>
      <c r="DTS42" s="1046">
        <f>DTS38+((DTS40+'NF - 5 Power Mix'!DTS14+'NF - 5 Power Mix'!DTS15)*860/10)+((('Form Sa1'!DTV835)*860)/10)+('Form Sa1'!DTV814*'Form Sa1'!DTV816/10)-'NF - 5 Power Mix'!DTS21-'NF - 5 Power Mix'!DTS22</f>
        <v>0</v>
      </c>
      <c r="DTT42" s="1046">
        <f>DTT38+((DTT40+'NF - 5 Power Mix'!DTT14+'NF - 5 Power Mix'!DTT15)*860/10)+((('Form Sa1'!DTW835)*860)/10)+('Form Sa1'!DTW814*'Form Sa1'!DTW816/10)-'NF - 5 Power Mix'!DTT21-'NF - 5 Power Mix'!DTT22</f>
        <v>0</v>
      </c>
      <c r="DTU42" s="1046">
        <f>DTU38+((DTU40+'NF - 5 Power Mix'!DTU14+'NF - 5 Power Mix'!DTU15)*860/10)+((('Form Sa1'!DTX835)*860)/10)+('Form Sa1'!DTX814*'Form Sa1'!DTX816/10)-'NF - 5 Power Mix'!DTU21-'NF - 5 Power Mix'!DTU22</f>
        <v>0</v>
      </c>
      <c r="DTV42" s="1046">
        <f>DTV38+((DTV40+'NF - 5 Power Mix'!DTV14+'NF - 5 Power Mix'!DTV15)*860/10)+((('Form Sa1'!DTY835)*860)/10)+('Form Sa1'!DTY814*'Form Sa1'!DTY816/10)-'NF - 5 Power Mix'!DTV21-'NF - 5 Power Mix'!DTV22</f>
        <v>0</v>
      </c>
      <c r="DTW42" s="1046">
        <f>DTW38+((DTW40+'NF - 5 Power Mix'!DTW14+'NF - 5 Power Mix'!DTW15)*860/10)+((('Form Sa1'!DTZ835)*860)/10)+('Form Sa1'!DTZ814*'Form Sa1'!DTZ816/10)-'NF - 5 Power Mix'!DTW21-'NF - 5 Power Mix'!DTW22</f>
        <v>0</v>
      </c>
      <c r="DTX42" s="1046">
        <f>DTX38+((DTX40+'NF - 5 Power Mix'!DTX14+'NF - 5 Power Mix'!DTX15)*860/10)+((('Form Sa1'!DUA835)*860)/10)+('Form Sa1'!DUA814*'Form Sa1'!DUA816/10)-'NF - 5 Power Mix'!DTX21-'NF - 5 Power Mix'!DTX22</f>
        <v>0</v>
      </c>
      <c r="DTY42" s="1046">
        <f>DTY38+((DTY40+'NF - 5 Power Mix'!DTY14+'NF - 5 Power Mix'!DTY15)*860/10)+((('Form Sa1'!DUB835)*860)/10)+('Form Sa1'!DUB814*'Form Sa1'!DUB816/10)-'NF - 5 Power Mix'!DTY21-'NF - 5 Power Mix'!DTY22</f>
        <v>0</v>
      </c>
      <c r="DTZ42" s="1046">
        <f>DTZ38+((DTZ40+'NF - 5 Power Mix'!DTZ14+'NF - 5 Power Mix'!DTZ15)*860/10)+((('Form Sa1'!DUC835)*860)/10)+('Form Sa1'!DUC814*'Form Sa1'!DUC816/10)-'NF - 5 Power Mix'!DTZ21-'NF - 5 Power Mix'!DTZ22</f>
        <v>0</v>
      </c>
      <c r="DUA42" s="1046">
        <f>DUA38+((DUA40+'NF - 5 Power Mix'!DUA14+'NF - 5 Power Mix'!DUA15)*860/10)+((('Form Sa1'!DUD835)*860)/10)+('Form Sa1'!DUD814*'Form Sa1'!DUD816/10)-'NF - 5 Power Mix'!DUA21-'NF - 5 Power Mix'!DUA22</f>
        <v>0</v>
      </c>
      <c r="DUB42" s="1046">
        <f>DUB38+((DUB40+'NF - 5 Power Mix'!DUB14+'NF - 5 Power Mix'!DUB15)*860/10)+((('Form Sa1'!DUE835)*860)/10)+('Form Sa1'!DUE814*'Form Sa1'!DUE816/10)-'NF - 5 Power Mix'!DUB21-'NF - 5 Power Mix'!DUB22</f>
        <v>0</v>
      </c>
      <c r="DUC42" s="1046">
        <f>DUC38+((DUC40+'NF - 5 Power Mix'!DUC14+'NF - 5 Power Mix'!DUC15)*860/10)+((('Form Sa1'!DUF835)*860)/10)+('Form Sa1'!DUF814*'Form Sa1'!DUF816/10)-'NF - 5 Power Mix'!DUC21-'NF - 5 Power Mix'!DUC22</f>
        <v>0</v>
      </c>
      <c r="DUD42" s="1046">
        <f>DUD38+((DUD40+'NF - 5 Power Mix'!DUD14+'NF - 5 Power Mix'!DUD15)*860/10)+((('Form Sa1'!DUG835)*860)/10)+('Form Sa1'!DUG814*'Form Sa1'!DUG816/10)-'NF - 5 Power Mix'!DUD21-'NF - 5 Power Mix'!DUD22</f>
        <v>0</v>
      </c>
      <c r="DUE42" s="1046">
        <f>DUE38+((DUE40+'NF - 5 Power Mix'!DUE14+'NF - 5 Power Mix'!DUE15)*860/10)+((('Form Sa1'!DUH835)*860)/10)+('Form Sa1'!DUH814*'Form Sa1'!DUH816/10)-'NF - 5 Power Mix'!DUE21-'NF - 5 Power Mix'!DUE22</f>
        <v>0</v>
      </c>
      <c r="DUF42" s="1046">
        <f>DUF38+((DUF40+'NF - 5 Power Mix'!DUF14+'NF - 5 Power Mix'!DUF15)*860/10)+((('Form Sa1'!DUI835)*860)/10)+('Form Sa1'!DUI814*'Form Sa1'!DUI816/10)-'NF - 5 Power Mix'!DUF21-'NF - 5 Power Mix'!DUF22</f>
        <v>0</v>
      </c>
      <c r="DUG42" s="1046">
        <f>DUG38+((DUG40+'NF - 5 Power Mix'!DUG14+'NF - 5 Power Mix'!DUG15)*860/10)+((('Form Sa1'!DUJ835)*860)/10)+('Form Sa1'!DUJ814*'Form Sa1'!DUJ816/10)-'NF - 5 Power Mix'!DUG21-'NF - 5 Power Mix'!DUG22</f>
        <v>0</v>
      </c>
      <c r="DUH42" s="1046">
        <f>DUH38+((DUH40+'NF - 5 Power Mix'!DUH14+'NF - 5 Power Mix'!DUH15)*860/10)+((('Form Sa1'!DUK835)*860)/10)+('Form Sa1'!DUK814*'Form Sa1'!DUK816/10)-'NF - 5 Power Mix'!DUH21-'NF - 5 Power Mix'!DUH22</f>
        <v>0</v>
      </c>
      <c r="DUI42" s="1046">
        <f>DUI38+((DUI40+'NF - 5 Power Mix'!DUI14+'NF - 5 Power Mix'!DUI15)*860/10)+((('Form Sa1'!DUL835)*860)/10)+('Form Sa1'!DUL814*'Form Sa1'!DUL816/10)-'NF - 5 Power Mix'!DUI21-'NF - 5 Power Mix'!DUI22</f>
        <v>0</v>
      </c>
      <c r="DUJ42" s="1046">
        <f>DUJ38+((DUJ40+'NF - 5 Power Mix'!DUJ14+'NF - 5 Power Mix'!DUJ15)*860/10)+((('Form Sa1'!DUM835)*860)/10)+('Form Sa1'!DUM814*'Form Sa1'!DUM816/10)-'NF - 5 Power Mix'!DUJ21-'NF - 5 Power Mix'!DUJ22</f>
        <v>0</v>
      </c>
      <c r="DUK42" s="1046">
        <f>DUK38+((DUK40+'NF - 5 Power Mix'!DUK14+'NF - 5 Power Mix'!DUK15)*860/10)+((('Form Sa1'!DUN835)*860)/10)+('Form Sa1'!DUN814*'Form Sa1'!DUN816/10)-'NF - 5 Power Mix'!DUK21-'NF - 5 Power Mix'!DUK22</f>
        <v>0</v>
      </c>
      <c r="DUL42" s="1046">
        <f>DUL38+((DUL40+'NF - 5 Power Mix'!DUL14+'NF - 5 Power Mix'!DUL15)*860/10)+((('Form Sa1'!DUO835)*860)/10)+('Form Sa1'!DUO814*'Form Sa1'!DUO816/10)-'NF - 5 Power Mix'!DUL21-'NF - 5 Power Mix'!DUL22</f>
        <v>0</v>
      </c>
      <c r="DUM42" s="1046">
        <f>DUM38+((DUM40+'NF - 5 Power Mix'!DUM14+'NF - 5 Power Mix'!DUM15)*860/10)+((('Form Sa1'!DUP835)*860)/10)+('Form Sa1'!DUP814*'Form Sa1'!DUP816/10)-'NF - 5 Power Mix'!DUM21-'NF - 5 Power Mix'!DUM22</f>
        <v>0</v>
      </c>
      <c r="DUN42" s="1046">
        <f>DUN38+((DUN40+'NF - 5 Power Mix'!DUN14+'NF - 5 Power Mix'!DUN15)*860/10)+((('Form Sa1'!DUQ835)*860)/10)+('Form Sa1'!DUQ814*'Form Sa1'!DUQ816/10)-'NF - 5 Power Mix'!DUN21-'NF - 5 Power Mix'!DUN22</f>
        <v>0</v>
      </c>
      <c r="DUO42" s="1046">
        <f>DUO38+((DUO40+'NF - 5 Power Mix'!DUO14+'NF - 5 Power Mix'!DUO15)*860/10)+((('Form Sa1'!DUR835)*860)/10)+('Form Sa1'!DUR814*'Form Sa1'!DUR816/10)-'NF - 5 Power Mix'!DUO21-'NF - 5 Power Mix'!DUO22</f>
        <v>0</v>
      </c>
      <c r="DUP42" s="1046">
        <f>DUP38+((DUP40+'NF - 5 Power Mix'!DUP14+'NF - 5 Power Mix'!DUP15)*860/10)+((('Form Sa1'!DUS835)*860)/10)+('Form Sa1'!DUS814*'Form Sa1'!DUS816/10)-'NF - 5 Power Mix'!DUP21-'NF - 5 Power Mix'!DUP22</f>
        <v>0</v>
      </c>
      <c r="DUQ42" s="1046">
        <f>DUQ38+((DUQ40+'NF - 5 Power Mix'!DUQ14+'NF - 5 Power Mix'!DUQ15)*860/10)+((('Form Sa1'!DUT835)*860)/10)+('Form Sa1'!DUT814*'Form Sa1'!DUT816/10)-'NF - 5 Power Mix'!DUQ21-'NF - 5 Power Mix'!DUQ22</f>
        <v>0</v>
      </c>
      <c r="DUR42" s="1046">
        <f>DUR38+((DUR40+'NF - 5 Power Mix'!DUR14+'NF - 5 Power Mix'!DUR15)*860/10)+((('Form Sa1'!DUU835)*860)/10)+('Form Sa1'!DUU814*'Form Sa1'!DUU816/10)-'NF - 5 Power Mix'!DUR21-'NF - 5 Power Mix'!DUR22</f>
        <v>0</v>
      </c>
      <c r="DUS42" s="1046">
        <f>DUS38+((DUS40+'NF - 5 Power Mix'!DUS14+'NF - 5 Power Mix'!DUS15)*860/10)+((('Form Sa1'!DUV835)*860)/10)+('Form Sa1'!DUV814*'Form Sa1'!DUV816/10)-'NF - 5 Power Mix'!DUS21-'NF - 5 Power Mix'!DUS22</f>
        <v>0</v>
      </c>
      <c r="DUT42" s="1046">
        <f>DUT38+((DUT40+'NF - 5 Power Mix'!DUT14+'NF - 5 Power Mix'!DUT15)*860/10)+((('Form Sa1'!DUW835)*860)/10)+('Form Sa1'!DUW814*'Form Sa1'!DUW816/10)-'NF - 5 Power Mix'!DUT21-'NF - 5 Power Mix'!DUT22</f>
        <v>0</v>
      </c>
      <c r="DUU42" s="1046">
        <f>DUU38+((DUU40+'NF - 5 Power Mix'!DUU14+'NF - 5 Power Mix'!DUU15)*860/10)+((('Form Sa1'!DUX835)*860)/10)+('Form Sa1'!DUX814*'Form Sa1'!DUX816/10)-'NF - 5 Power Mix'!DUU21-'NF - 5 Power Mix'!DUU22</f>
        <v>0</v>
      </c>
      <c r="DUV42" s="1046">
        <f>DUV38+((DUV40+'NF - 5 Power Mix'!DUV14+'NF - 5 Power Mix'!DUV15)*860/10)+((('Form Sa1'!DUY835)*860)/10)+('Form Sa1'!DUY814*'Form Sa1'!DUY816/10)-'NF - 5 Power Mix'!DUV21-'NF - 5 Power Mix'!DUV22</f>
        <v>0</v>
      </c>
      <c r="DUW42" s="1046">
        <f>DUW38+((DUW40+'NF - 5 Power Mix'!DUW14+'NF - 5 Power Mix'!DUW15)*860/10)+((('Form Sa1'!DUZ835)*860)/10)+('Form Sa1'!DUZ814*'Form Sa1'!DUZ816/10)-'NF - 5 Power Mix'!DUW21-'NF - 5 Power Mix'!DUW22</f>
        <v>0</v>
      </c>
      <c r="DUX42" s="1046">
        <f>DUX38+((DUX40+'NF - 5 Power Mix'!DUX14+'NF - 5 Power Mix'!DUX15)*860/10)+((('Form Sa1'!DVA835)*860)/10)+('Form Sa1'!DVA814*'Form Sa1'!DVA816/10)-'NF - 5 Power Mix'!DUX21-'NF - 5 Power Mix'!DUX22</f>
        <v>0</v>
      </c>
      <c r="DUY42" s="1046">
        <f>DUY38+((DUY40+'NF - 5 Power Mix'!DUY14+'NF - 5 Power Mix'!DUY15)*860/10)+((('Form Sa1'!DVB835)*860)/10)+('Form Sa1'!DVB814*'Form Sa1'!DVB816/10)-'NF - 5 Power Mix'!DUY21-'NF - 5 Power Mix'!DUY22</f>
        <v>0</v>
      </c>
      <c r="DUZ42" s="1046">
        <f>DUZ38+((DUZ40+'NF - 5 Power Mix'!DUZ14+'NF - 5 Power Mix'!DUZ15)*860/10)+((('Form Sa1'!DVC835)*860)/10)+('Form Sa1'!DVC814*'Form Sa1'!DVC816/10)-'NF - 5 Power Mix'!DUZ21-'NF - 5 Power Mix'!DUZ22</f>
        <v>0</v>
      </c>
      <c r="DVA42" s="1046">
        <f>DVA38+((DVA40+'NF - 5 Power Mix'!DVA14+'NF - 5 Power Mix'!DVA15)*860/10)+((('Form Sa1'!DVD835)*860)/10)+('Form Sa1'!DVD814*'Form Sa1'!DVD816/10)-'NF - 5 Power Mix'!DVA21-'NF - 5 Power Mix'!DVA22</f>
        <v>0</v>
      </c>
      <c r="DVB42" s="1046">
        <f>DVB38+((DVB40+'NF - 5 Power Mix'!DVB14+'NF - 5 Power Mix'!DVB15)*860/10)+((('Form Sa1'!DVE835)*860)/10)+('Form Sa1'!DVE814*'Form Sa1'!DVE816/10)-'NF - 5 Power Mix'!DVB21-'NF - 5 Power Mix'!DVB22</f>
        <v>0</v>
      </c>
      <c r="DVC42" s="1046">
        <f>DVC38+((DVC40+'NF - 5 Power Mix'!DVC14+'NF - 5 Power Mix'!DVC15)*860/10)+((('Form Sa1'!DVF835)*860)/10)+('Form Sa1'!DVF814*'Form Sa1'!DVF816/10)-'NF - 5 Power Mix'!DVC21-'NF - 5 Power Mix'!DVC22</f>
        <v>0</v>
      </c>
      <c r="DVD42" s="1046">
        <f>DVD38+((DVD40+'NF - 5 Power Mix'!DVD14+'NF - 5 Power Mix'!DVD15)*860/10)+((('Form Sa1'!DVG835)*860)/10)+('Form Sa1'!DVG814*'Form Sa1'!DVG816/10)-'NF - 5 Power Mix'!DVD21-'NF - 5 Power Mix'!DVD22</f>
        <v>0</v>
      </c>
      <c r="DVE42" s="1046">
        <f>DVE38+((DVE40+'NF - 5 Power Mix'!DVE14+'NF - 5 Power Mix'!DVE15)*860/10)+((('Form Sa1'!DVH835)*860)/10)+('Form Sa1'!DVH814*'Form Sa1'!DVH816/10)-'NF - 5 Power Mix'!DVE21-'NF - 5 Power Mix'!DVE22</f>
        <v>0</v>
      </c>
      <c r="DVF42" s="1046">
        <f>DVF38+((DVF40+'NF - 5 Power Mix'!DVF14+'NF - 5 Power Mix'!DVF15)*860/10)+((('Form Sa1'!DVI835)*860)/10)+('Form Sa1'!DVI814*'Form Sa1'!DVI816/10)-'NF - 5 Power Mix'!DVF21-'NF - 5 Power Mix'!DVF22</f>
        <v>0</v>
      </c>
      <c r="DVG42" s="1046">
        <f>DVG38+((DVG40+'NF - 5 Power Mix'!DVG14+'NF - 5 Power Mix'!DVG15)*860/10)+((('Form Sa1'!DVJ835)*860)/10)+('Form Sa1'!DVJ814*'Form Sa1'!DVJ816/10)-'NF - 5 Power Mix'!DVG21-'NF - 5 Power Mix'!DVG22</f>
        <v>0</v>
      </c>
      <c r="DVH42" s="1046">
        <f>DVH38+((DVH40+'NF - 5 Power Mix'!DVH14+'NF - 5 Power Mix'!DVH15)*860/10)+((('Form Sa1'!DVK835)*860)/10)+('Form Sa1'!DVK814*'Form Sa1'!DVK816/10)-'NF - 5 Power Mix'!DVH21-'NF - 5 Power Mix'!DVH22</f>
        <v>0</v>
      </c>
      <c r="DVI42" s="1046">
        <f>DVI38+((DVI40+'NF - 5 Power Mix'!DVI14+'NF - 5 Power Mix'!DVI15)*860/10)+((('Form Sa1'!DVL835)*860)/10)+('Form Sa1'!DVL814*'Form Sa1'!DVL816/10)-'NF - 5 Power Mix'!DVI21-'NF - 5 Power Mix'!DVI22</f>
        <v>0</v>
      </c>
      <c r="DVJ42" s="1046">
        <f>DVJ38+((DVJ40+'NF - 5 Power Mix'!DVJ14+'NF - 5 Power Mix'!DVJ15)*860/10)+((('Form Sa1'!DVM835)*860)/10)+('Form Sa1'!DVM814*'Form Sa1'!DVM816/10)-'NF - 5 Power Mix'!DVJ21-'NF - 5 Power Mix'!DVJ22</f>
        <v>0</v>
      </c>
      <c r="DVK42" s="1046">
        <f>DVK38+((DVK40+'NF - 5 Power Mix'!DVK14+'NF - 5 Power Mix'!DVK15)*860/10)+((('Form Sa1'!DVN835)*860)/10)+('Form Sa1'!DVN814*'Form Sa1'!DVN816/10)-'NF - 5 Power Mix'!DVK21-'NF - 5 Power Mix'!DVK22</f>
        <v>0</v>
      </c>
      <c r="DVL42" s="1046">
        <f>DVL38+((DVL40+'NF - 5 Power Mix'!DVL14+'NF - 5 Power Mix'!DVL15)*860/10)+((('Form Sa1'!DVO835)*860)/10)+('Form Sa1'!DVO814*'Form Sa1'!DVO816/10)-'NF - 5 Power Mix'!DVL21-'NF - 5 Power Mix'!DVL22</f>
        <v>0</v>
      </c>
      <c r="DVM42" s="1046">
        <f>DVM38+((DVM40+'NF - 5 Power Mix'!DVM14+'NF - 5 Power Mix'!DVM15)*860/10)+((('Form Sa1'!DVP835)*860)/10)+('Form Sa1'!DVP814*'Form Sa1'!DVP816/10)-'NF - 5 Power Mix'!DVM21-'NF - 5 Power Mix'!DVM22</f>
        <v>0</v>
      </c>
      <c r="DVN42" s="1046">
        <f>DVN38+((DVN40+'NF - 5 Power Mix'!DVN14+'NF - 5 Power Mix'!DVN15)*860/10)+((('Form Sa1'!DVQ835)*860)/10)+('Form Sa1'!DVQ814*'Form Sa1'!DVQ816/10)-'NF - 5 Power Mix'!DVN21-'NF - 5 Power Mix'!DVN22</f>
        <v>0</v>
      </c>
      <c r="DVO42" s="1046">
        <f>DVO38+((DVO40+'NF - 5 Power Mix'!DVO14+'NF - 5 Power Mix'!DVO15)*860/10)+((('Form Sa1'!DVR835)*860)/10)+('Form Sa1'!DVR814*'Form Sa1'!DVR816/10)-'NF - 5 Power Mix'!DVO21-'NF - 5 Power Mix'!DVO22</f>
        <v>0</v>
      </c>
      <c r="DVP42" s="1046">
        <f>DVP38+((DVP40+'NF - 5 Power Mix'!DVP14+'NF - 5 Power Mix'!DVP15)*860/10)+((('Form Sa1'!DVS835)*860)/10)+('Form Sa1'!DVS814*'Form Sa1'!DVS816/10)-'NF - 5 Power Mix'!DVP21-'NF - 5 Power Mix'!DVP22</f>
        <v>0</v>
      </c>
      <c r="DVQ42" s="1046">
        <f>DVQ38+((DVQ40+'NF - 5 Power Mix'!DVQ14+'NF - 5 Power Mix'!DVQ15)*860/10)+((('Form Sa1'!DVT835)*860)/10)+('Form Sa1'!DVT814*'Form Sa1'!DVT816/10)-'NF - 5 Power Mix'!DVQ21-'NF - 5 Power Mix'!DVQ22</f>
        <v>0</v>
      </c>
      <c r="DVR42" s="1046">
        <f>DVR38+((DVR40+'NF - 5 Power Mix'!DVR14+'NF - 5 Power Mix'!DVR15)*860/10)+((('Form Sa1'!DVU835)*860)/10)+('Form Sa1'!DVU814*'Form Sa1'!DVU816/10)-'NF - 5 Power Mix'!DVR21-'NF - 5 Power Mix'!DVR22</f>
        <v>0</v>
      </c>
      <c r="DVS42" s="1046">
        <f>DVS38+((DVS40+'NF - 5 Power Mix'!DVS14+'NF - 5 Power Mix'!DVS15)*860/10)+((('Form Sa1'!DVV835)*860)/10)+('Form Sa1'!DVV814*'Form Sa1'!DVV816/10)-'NF - 5 Power Mix'!DVS21-'NF - 5 Power Mix'!DVS22</f>
        <v>0</v>
      </c>
      <c r="DVT42" s="1046">
        <f>DVT38+((DVT40+'NF - 5 Power Mix'!DVT14+'NF - 5 Power Mix'!DVT15)*860/10)+((('Form Sa1'!DVW835)*860)/10)+('Form Sa1'!DVW814*'Form Sa1'!DVW816/10)-'NF - 5 Power Mix'!DVT21-'NF - 5 Power Mix'!DVT22</f>
        <v>0</v>
      </c>
      <c r="DVU42" s="1046">
        <f>DVU38+((DVU40+'NF - 5 Power Mix'!DVU14+'NF - 5 Power Mix'!DVU15)*860/10)+((('Form Sa1'!DVX835)*860)/10)+('Form Sa1'!DVX814*'Form Sa1'!DVX816/10)-'NF - 5 Power Mix'!DVU21-'NF - 5 Power Mix'!DVU22</f>
        <v>0</v>
      </c>
      <c r="DVV42" s="1046">
        <f>DVV38+((DVV40+'NF - 5 Power Mix'!DVV14+'NF - 5 Power Mix'!DVV15)*860/10)+((('Form Sa1'!DVY835)*860)/10)+('Form Sa1'!DVY814*'Form Sa1'!DVY816/10)-'NF - 5 Power Mix'!DVV21-'NF - 5 Power Mix'!DVV22</f>
        <v>0</v>
      </c>
      <c r="DVW42" s="1046">
        <f>DVW38+((DVW40+'NF - 5 Power Mix'!DVW14+'NF - 5 Power Mix'!DVW15)*860/10)+((('Form Sa1'!DVZ835)*860)/10)+('Form Sa1'!DVZ814*'Form Sa1'!DVZ816/10)-'NF - 5 Power Mix'!DVW21-'NF - 5 Power Mix'!DVW22</f>
        <v>0</v>
      </c>
      <c r="DVX42" s="1046">
        <f>DVX38+((DVX40+'NF - 5 Power Mix'!DVX14+'NF - 5 Power Mix'!DVX15)*860/10)+((('Form Sa1'!DWA835)*860)/10)+('Form Sa1'!DWA814*'Form Sa1'!DWA816/10)-'NF - 5 Power Mix'!DVX21-'NF - 5 Power Mix'!DVX22</f>
        <v>0</v>
      </c>
      <c r="DVY42" s="1046">
        <f>DVY38+((DVY40+'NF - 5 Power Mix'!DVY14+'NF - 5 Power Mix'!DVY15)*860/10)+((('Form Sa1'!DWB835)*860)/10)+('Form Sa1'!DWB814*'Form Sa1'!DWB816/10)-'NF - 5 Power Mix'!DVY21-'NF - 5 Power Mix'!DVY22</f>
        <v>0</v>
      </c>
      <c r="DVZ42" s="1046">
        <f>DVZ38+((DVZ40+'NF - 5 Power Mix'!DVZ14+'NF - 5 Power Mix'!DVZ15)*860/10)+((('Form Sa1'!DWC835)*860)/10)+('Form Sa1'!DWC814*'Form Sa1'!DWC816/10)-'NF - 5 Power Mix'!DVZ21-'NF - 5 Power Mix'!DVZ22</f>
        <v>0</v>
      </c>
      <c r="DWA42" s="1046">
        <f>DWA38+((DWA40+'NF - 5 Power Mix'!DWA14+'NF - 5 Power Mix'!DWA15)*860/10)+((('Form Sa1'!DWD835)*860)/10)+('Form Sa1'!DWD814*'Form Sa1'!DWD816/10)-'NF - 5 Power Mix'!DWA21-'NF - 5 Power Mix'!DWA22</f>
        <v>0</v>
      </c>
      <c r="DWB42" s="1046">
        <f>DWB38+((DWB40+'NF - 5 Power Mix'!DWB14+'NF - 5 Power Mix'!DWB15)*860/10)+((('Form Sa1'!DWE835)*860)/10)+('Form Sa1'!DWE814*'Form Sa1'!DWE816/10)-'NF - 5 Power Mix'!DWB21-'NF - 5 Power Mix'!DWB22</f>
        <v>0</v>
      </c>
      <c r="DWC42" s="1046">
        <f>DWC38+((DWC40+'NF - 5 Power Mix'!DWC14+'NF - 5 Power Mix'!DWC15)*860/10)+((('Form Sa1'!DWF835)*860)/10)+('Form Sa1'!DWF814*'Form Sa1'!DWF816/10)-'NF - 5 Power Mix'!DWC21-'NF - 5 Power Mix'!DWC22</f>
        <v>0</v>
      </c>
      <c r="DWD42" s="1046">
        <f>DWD38+((DWD40+'NF - 5 Power Mix'!DWD14+'NF - 5 Power Mix'!DWD15)*860/10)+((('Form Sa1'!DWG835)*860)/10)+('Form Sa1'!DWG814*'Form Sa1'!DWG816/10)-'NF - 5 Power Mix'!DWD21-'NF - 5 Power Mix'!DWD22</f>
        <v>0</v>
      </c>
      <c r="DWE42" s="1046">
        <f>DWE38+((DWE40+'NF - 5 Power Mix'!DWE14+'NF - 5 Power Mix'!DWE15)*860/10)+((('Form Sa1'!DWH835)*860)/10)+('Form Sa1'!DWH814*'Form Sa1'!DWH816/10)-'NF - 5 Power Mix'!DWE21-'NF - 5 Power Mix'!DWE22</f>
        <v>0</v>
      </c>
      <c r="DWF42" s="1046">
        <f>DWF38+((DWF40+'NF - 5 Power Mix'!DWF14+'NF - 5 Power Mix'!DWF15)*860/10)+((('Form Sa1'!DWI835)*860)/10)+('Form Sa1'!DWI814*'Form Sa1'!DWI816/10)-'NF - 5 Power Mix'!DWF21-'NF - 5 Power Mix'!DWF22</f>
        <v>0</v>
      </c>
      <c r="DWG42" s="1046">
        <f>DWG38+((DWG40+'NF - 5 Power Mix'!DWG14+'NF - 5 Power Mix'!DWG15)*860/10)+((('Form Sa1'!DWJ835)*860)/10)+('Form Sa1'!DWJ814*'Form Sa1'!DWJ816/10)-'NF - 5 Power Mix'!DWG21-'NF - 5 Power Mix'!DWG22</f>
        <v>0</v>
      </c>
      <c r="DWH42" s="1046">
        <f>DWH38+((DWH40+'NF - 5 Power Mix'!DWH14+'NF - 5 Power Mix'!DWH15)*860/10)+((('Form Sa1'!DWK835)*860)/10)+('Form Sa1'!DWK814*'Form Sa1'!DWK816/10)-'NF - 5 Power Mix'!DWH21-'NF - 5 Power Mix'!DWH22</f>
        <v>0</v>
      </c>
      <c r="DWI42" s="1046">
        <f>DWI38+((DWI40+'NF - 5 Power Mix'!DWI14+'NF - 5 Power Mix'!DWI15)*860/10)+((('Form Sa1'!DWL835)*860)/10)+('Form Sa1'!DWL814*'Form Sa1'!DWL816/10)-'NF - 5 Power Mix'!DWI21-'NF - 5 Power Mix'!DWI22</f>
        <v>0</v>
      </c>
      <c r="DWJ42" s="1046">
        <f>DWJ38+((DWJ40+'NF - 5 Power Mix'!DWJ14+'NF - 5 Power Mix'!DWJ15)*860/10)+((('Form Sa1'!DWM835)*860)/10)+('Form Sa1'!DWM814*'Form Sa1'!DWM816/10)-'NF - 5 Power Mix'!DWJ21-'NF - 5 Power Mix'!DWJ22</f>
        <v>0</v>
      </c>
      <c r="DWK42" s="1046">
        <f>DWK38+((DWK40+'NF - 5 Power Mix'!DWK14+'NF - 5 Power Mix'!DWK15)*860/10)+((('Form Sa1'!DWN835)*860)/10)+('Form Sa1'!DWN814*'Form Sa1'!DWN816/10)-'NF - 5 Power Mix'!DWK21-'NF - 5 Power Mix'!DWK22</f>
        <v>0</v>
      </c>
      <c r="DWL42" s="1046">
        <f>DWL38+((DWL40+'NF - 5 Power Mix'!DWL14+'NF - 5 Power Mix'!DWL15)*860/10)+((('Form Sa1'!DWO835)*860)/10)+('Form Sa1'!DWO814*'Form Sa1'!DWO816/10)-'NF - 5 Power Mix'!DWL21-'NF - 5 Power Mix'!DWL22</f>
        <v>0</v>
      </c>
      <c r="DWM42" s="1046">
        <f>DWM38+((DWM40+'NF - 5 Power Mix'!DWM14+'NF - 5 Power Mix'!DWM15)*860/10)+((('Form Sa1'!DWP835)*860)/10)+('Form Sa1'!DWP814*'Form Sa1'!DWP816/10)-'NF - 5 Power Mix'!DWM21-'NF - 5 Power Mix'!DWM22</f>
        <v>0</v>
      </c>
      <c r="DWN42" s="1046">
        <f>DWN38+((DWN40+'NF - 5 Power Mix'!DWN14+'NF - 5 Power Mix'!DWN15)*860/10)+((('Form Sa1'!DWQ835)*860)/10)+('Form Sa1'!DWQ814*'Form Sa1'!DWQ816/10)-'NF - 5 Power Mix'!DWN21-'NF - 5 Power Mix'!DWN22</f>
        <v>0</v>
      </c>
      <c r="DWO42" s="1046">
        <f>DWO38+((DWO40+'NF - 5 Power Mix'!DWO14+'NF - 5 Power Mix'!DWO15)*860/10)+((('Form Sa1'!DWR835)*860)/10)+('Form Sa1'!DWR814*'Form Sa1'!DWR816/10)-'NF - 5 Power Mix'!DWO21-'NF - 5 Power Mix'!DWO22</f>
        <v>0</v>
      </c>
      <c r="DWP42" s="1046">
        <f>DWP38+((DWP40+'NF - 5 Power Mix'!DWP14+'NF - 5 Power Mix'!DWP15)*860/10)+((('Form Sa1'!DWS835)*860)/10)+('Form Sa1'!DWS814*'Form Sa1'!DWS816/10)-'NF - 5 Power Mix'!DWP21-'NF - 5 Power Mix'!DWP22</f>
        <v>0</v>
      </c>
      <c r="DWQ42" s="1046">
        <f>DWQ38+((DWQ40+'NF - 5 Power Mix'!DWQ14+'NF - 5 Power Mix'!DWQ15)*860/10)+((('Form Sa1'!DWT835)*860)/10)+('Form Sa1'!DWT814*'Form Sa1'!DWT816/10)-'NF - 5 Power Mix'!DWQ21-'NF - 5 Power Mix'!DWQ22</f>
        <v>0</v>
      </c>
      <c r="DWR42" s="1046">
        <f>DWR38+((DWR40+'NF - 5 Power Mix'!DWR14+'NF - 5 Power Mix'!DWR15)*860/10)+((('Form Sa1'!DWU835)*860)/10)+('Form Sa1'!DWU814*'Form Sa1'!DWU816/10)-'NF - 5 Power Mix'!DWR21-'NF - 5 Power Mix'!DWR22</f>
        <v>0</v>
      </c>
      <c r="DWS42" s="1046">
        <f>DWS38+((DWS40+'NF - 5 Power Mix'!DWS14+'NF - 5 Power Mix'!DWS15)*860/10)+((('Form Sa1'!DWV835)*860)/10)+('Form Sa1'!DWV814*'Form Sa1'!DWV816/10)-'NF - 5 Power Mix'!DWS21-'NF - 5 Power Mix'!DWS22</f>
        <v>0</v>
      </c>
      <c r="DWT42" s="1046">
        <f>DWT38+((DWT40+'NF - 5 Power Mix'!DWT14+'NF - 5 Power Mix'!DWT15)*860/10)+((('Form Sa1'!DWW835)*860)/10)+('Form Sa1'!DWW814*'Form Sa1'!DWW816/10)-'NF - 5 Power Mix'!DWT21-'NF - 5 Power Mix'!DWT22</f>
        <v>0</v>
      </c>
      <c r="DWU42" s="1046">
        <f>DWU38+((DWU40+'NF - 5 Power Mix'!DWU14+'NF - 5 Power Mix'!DWU15)*860/10)+((('Form Sa1'!DWX835)*860)/10)+('Form Sa1'!DWX814*'Form Sa1'!DWX816/10)-'NF - 5 Power Mix'!DWU21-'NF - 5 Power Mix'!DWU22</f>
        <v>0</v>
      </c>
      <c r="DWV42" s="1046">
        <f>DWV38+((DWV40+'NF - 5 Power Mix'!DWV14+'NF - 5 Power Mix'!DWV15)*860/10)+((('Form Sa1'!DWY835)*860)/10)+('Form Sa1'!DWY814*'Form Sa1'!DWY816/10)-'NF - 5 Power Mix'!DWV21-'NF - 5 Power Mix'!DWV22</f>
        <v>0</v>
      </c>
      <c r="DWW42" s="1046">
        <f>DWW38+((DWW40+'NF - 5 Power Mix'!DWW14+'NF - 5 Power Mix'!DWW15)*860/10)+((('Form Sa1'!DWZ835)*860)/10)+('Form Sa1'!DWZ814*'Form Sa1'!DWZ816/10)-'NF - 5 Power Mix'!DWW21-'NF - 5 Power Mix'!DWW22</f>
        <v>0</v>
      </c>
      <c r="DWX42" s="1046">
        <f>DWX38+((DWX40+'NF - 5 Power Mix'!DWX14+'NF - 5 Power Mix'!DWX15)*860/10)+((('Form Sa1'!DXA835)*860)/10)+('Form Sa1'!DXA814*'Form Sa1'!DXA816/10)-'NF - 5 Power Mix'!DWX21-'NF - 5 Power Mix'!DWX22</f>
        <v>0</v>
      </c>
      <c r="DWY42" s="1046">
        <f>DWY38+((DWY40+'NF - 5 Power Mix'!DWY14+'NF - 5 Power Mix'!DWY15)*860/10)+((('Form Sa1'!DXB835)*860)/10)+('Form Sa1'!DXB814*'Form Sa1'!DXB816/10)-'NF - 5 Power Mix'!DWY21-'NF - 5 Power Mix'!DWY22</f>
        <v>0</v>
      </c>
      <c r="DWZ42" s="1046">
        <f>DWZ38+((DWZ40+'NF - 5 Power Mix'!DWZ14+'NF - 5 Power Mix'!DWZ15)*860/10)+((('Form Sa1'!DXC835)*860)/10)+('Form Sa1'!DXC814*'Form Sa1'!DXC816/10)-'NF - 5 Power Mix'!DWZ21-'NF - 5 Power Mix'!DWZ22</f>
        <v>0</v>
      </c>
      <c r="DXA42" s="1046">
        <f>DXA38+((DXA40+'NF - 5 Power Mix'!DXA14+'NF - 5 Power Mix'!DXA15)*860/10)+((('Form Sa1'!DXD835)*860)/10)+('Form Sa1'!DXD814*'Form Sa1'!DXD816/10)-'NF - 5 Power Mix'!DXA21-'NF - 5 Power Mix'!DXA22</f>
        <v>0</v>
      </c>
      <c r="DXB42" s="1046">
        <f>DXB38+((DXB40+'NF - 5 Power Mix'!DXB14+'NF - 5 Power Mix'!DXB15)*860/10)+((('Form Sa1'!DXE835)*860)/10)+('Form Sa1'!DXE814*'Form Sa1'!DXE816/10)-'NF - 5 Power Mix'!DXB21-'NF - 5 Power Mix'!DXB22</f>
        <v>0</v>
      </c>
      <c r="DXC42" s="1046">
        <f>DXC38+((DXC40+'NF - 5 Power Mix'!DXC14+'NF - 5 Power Mix'!DXC15)*860/10)+((('Form Sa1'!DXF835)*860)/10)+('Form Sa1'!DXF814*'Form Sa1'!DXF816/10)-'NF - 5 Power Mix'!DXC21-'NF - 5 Power Mix'!DXC22</f>
        <v>0</v>
      </c>
      <c r="DXD42" s="1046">
        <f>DXD38+((DXD40+'NF - 5 Power Mix'!DXD14+'NF - 5 Power Mix'!DXD15)*860/10)+((('Form Sa1'!DXG835)*860)/10)+('Form Sa1'!DXG814*'Form Sa1'!DXG816/10)-'NF - 5 Power Mix'!DXD21-'NF - 5 Power Mix'!DXD22</f>
        <v>0</v>
      </c>
      <c r="DXE42" s="1046">
        <f>DXE38+((DXE40+'NF - 5 Power Mix'!DXE14+'NF - 5 Power Mix'!DXE15)*860/10)+((('Form Sa1'!DXH835)*860)/10)+('Form Sa1'!DXH814*'Form Sa1'!DXH816/10)-'NF - 5 Power Mix'!DXE21-'NF - 5 Power Mix'!DXE22</f>
        <v>0</v>
      </c>
      <c r="DXF42" s="1046">
        <f>DXF38+((DXF40+'NF - 5 Power Mix'!DXF14+'NF - 5 Power Mix'!DXF15)*860/10)+((('Form Sa1'!DXI835)*860)/10)+('Form Sa1'!DXI814*'Form Sa1'!DXI816/10)-'NF - 5 Power Mix'!DXF21-'NF - 5 Power Mix'!DXF22</f>
        <v>0</v>
      </c>
      <c r="DXG42" s="1046">
        <f>DXG38+((DXG40+'NF - 5 Power Mix'!DXG14+'NF - 5 Power Mix'!DXG15)*860/10)+((('Form Sa1'!DXJ835)*860)/10)+('Form Sa1'!DXJ814*'Form Sa1'!DXJ816/10)-'NF - 5 Power Mix'!DXG21-'NF - 5 Power Mix'!DXG22</f>
        <v>0</v>
      </c>
      <c r="DXH42" s="1046">
        <f>DXH38+((DXH40+'NF - 5 Power Mix'!DXH14+'NF - 5 Power Mix'!DXH15)*860/10)+((('Form Sa1'!DXK835)*860)/10)+('Form Sa1'!DXK814*'Form Sa1'!DXK816/10)-'NF - 5 Power Mix'!DXH21-'NF - 5 Power Mix'!DXH22</f>
        <v>0</v>
      </c>
      <c r="DXI42" s="1046">
        <f>DXI38+((DXI40+'NF - 5 Power Mix'!DXI14+'NF - 5 Power Mix'!DXI15)*860/10)+((('Form Sa1'!DXL835)*860)/10)+('Form Sa1'!DXL814*'Form Sa1'!DXL816/10)-'NF - 5 Power Mix'!DXI21-'NF - 5 Power Mix'!DXI22</f>
        <v>0</v>
      </c>
      <c r="DXJ42" s="1046">
        <f>DXJ38+((DXJ40+'NF - 5 Power Mix'!DXJ14+'NF - 5 Power Mix'!DXJ15)*860/10)+((('Form Sa1'!DXM835)*860)/10)+('Form Sa1'!DXM814*'Form Sa1'!DXM816/10)-'NF - 5 Power Mix'!DXJ21-'NF - 5 Power Mix'!DXJ22</f>
        <v>0</v>
      </c>
      <c r="DXK42" s="1046">
        <f>DXK38+((DXK40+'NF - 5 Power Mix'!DXK14+'NF - 5 Power Mix'!DXK15)*860/10)+((('Form Sa1'!DXN835)*860)/10)+('Form Sa1'!DXN814*'Form Sa1'!DXN816/10)-'NF - 5 Power Mix'!DXK21-'NF - 5 Power Mix'!DXK22</f>
        <v>0</v>
      </c>
      <c r="DXL42" s="1046">
        <f>DXL38+((DXL40+'NF - 5 Power Mix'!DXL14+'NF - 5 Power Mix'!DXL15)*860/10)+((('Form Sa1'!DXO835)*860)/10)+('Form Sa1'!DXO814*'Form Sa1'!DXO816/10)-'NF - 5 Power Mix'!DXL21-'NF - 5 Power Mix'!DXL22</f>
        <v>0</v>
      </c>
      <c r="DXM42" s="1046">
        <f>DXM38+((DXM40+'NF - 5 Power Mix'!DXM14+'NF - 5 Power Mix'!DXM15)*860/10)+((('Form Sa1'!DXP835)*860)/10)+('Form Sa1'!DXP814*'Form Sa1'!DXP816/10)-'NF - 5 Power Mix'!DXM21-'NF - 5 Power Mix'!DXM22</f>
        <v>0</v>
      </c>
      <c r="DXN42" s="1046">
        <f>DXN38+((DXN40+'NF - 5 Power Mix'!DXN14+'NF - 5 Power Mix'!DXN15)*860/10)+((('Form Sa1'!DXQ835)*860)/10)+('Form Sa1'!DXQ814*'Form Sa1'!DXQ816/10)-'NF - 5 Power Mix'!DXN21-'NF - 5 Power Mix'!DXN22</f>
        <v>0</v>
      </c>
      <c r="DXO42" s="1046">
        <f>DXO38+((DXO40+'NF - 5 Power Mix'!DXO14+'NF - 5 Power Mix'!DXO15)*860/10)+((('Form Sa1'!DXR835)*860)/10)+('Form Sa1'!DXR814*'Form Sa1'!DXR816/10)-'NF - 5 Power Mix'!DXO21-'NF - 5 Power Mix'!DXO22</f>
        <v>0</v>
      </c>
      <c r="DXP42" s="1046">
        <f>DXP38+((DXP40+'NF - 5 Power Mix'!DXP14+'NF - 5 Power Mix'!DXP15)*860/10)+((('Form Sa1'!DXS835)*860)/10)+('Form Sa1'!DXS814*'Form Sa1'!DXS816/10)-'NF - 5 Power Mix'!DXP21-'NF - 5 Power Mix'!DXP22</f>
        <v>0</v>
      </c>
      <c r="DXQ42" s="1046">
        <f>DXQ38+((DXQ40+'NF - 5 Power Mix'!DXQ14+'NF - 5 Power Mix'!DXQ15)*860/10)+((('Form Sa1'!DXT835)*860)/10)+('Form Sa1'!DXT814*'Form Sa1'!DXT816/10)-'NF - 5 Power Mix'!DXQ21-'NF - 5 Power Mix'!DXQ22</f>
        <v>0</v>
      </c>
      <c r="DXR42" s="1046">
        <f>DXR38+((DXR40+'NF - 5 Power Mix'!DXR14+'NF - 5 Power Mix'!DXR15)*860/10)+((('Form Sa1'!DXU835)*860)/10)+('Form Sa1'!DXU814*'Form Sa1'!DXU816/10)-'NF - 5 Power Mix'!DXR21-'NF - 5 Power Mix'!DXR22</f>
        <v>0</v>
      </c>
      <c r="DXS42" s="1046">
        <f>DXS38+((DXS40+'NF - 5 Power Mix'!DXS14+'NF - 5 Power Mix'!DXS15)*860/10)+((('Form Sa1'!DXV835)*860)/10)+('Form Sa1'!DXV814*'Form Sa1'!DXV816/10)-'NF - 5 Power Mix'!DXS21-'NF - 5 Power Mix'!DXS22</f>
        <v>0</v>
      </c>
      <c r="DXT42" s="1046">
        <f>DXT38+((DXT40+'NF - 5 Power Mix'!DXT14+'NF - 5 Power Mix'!DXT15)*860/10)+((('Form Sa1'!DXW835)*860)/10)+('Form Sa1'!DXW814*'Form Sa1'!DXW816/10)-'NF - 5 Power Mix'!DXT21-'NF - 5 Power Mix'!DXT22</f>
        <v>0</v>
      </c>
      <c r="DXU42" s="1046">
        <f>DXU38+((DXU40+'NF - 5 Power Mix'!DXU14+'NF - 5 Power Mix'!DXU15)*860/10)+((('Form Sa1'!DXX835)*860)/10)+('Form Sa1'!DXX814*'Form Sa1'!DXX816/10)-'NF - 5 Power Mix'!DXU21-'NF - 5 Power Mix'!DXU22</f>
        <v>0</v>
      </c>
      <c r="DXV42" s="1046">
        <f>DXV38+((DXV40+'NF - 5 Power Mix'!DXV14+'NF - 5 Power Mix'!DXV15)*860/10)+((('Form Sa1'!DXY835)*860)/10)+('Form Sa1'!DXY814*'Form Sa1'!DXY816/10)-'NF - 5 Power Mix'!DXV21-'NF - 5 Power Mix'!DXV22</f>
        <v>0</v>
      </c>
      <c r="DXW42" s="1046">
        <f>DXW38+((DXW40+'NF - 5 Power Mix'!DXW14+'NF - 5 Power Mix'!DXW15)*860/10)+((('Form Sa1'!DXZ835)*860)/10)+('Form Sa1'!DXZ814*'Form Sa1'!DXZ816/10)-'NF - 5 Power Mix'!DXW21-'NF - 5 Power Mix'!DXW22</f>
        <v>0</v>
      </c>
      <c r="DXX42" s="1046">
        <f>DXX38+((DXX40+'NF - 5 Power Mix'!DXX14+'NF - 5 Power Mix'!DXX15)*860/10)+((('Form Sa1'!DYA835)*860)/10)+('Form Sa1'!DYA814*'Form Sa1'!DYA816/10)-'NF - 5 Power Mix'!DXX21-'NF - 5 Power Mix'!DXX22</f>
        <v>0</v>
      </c>
      <c r="DXY42" s="1046">
        <f>DXY38+((DXY40+'NF - 5 Power Mix'!DXY14+'NF - 5 Power Mix'!DXY15)*860/10)+((('Form Sa1'!DYB835)*860)/10)+('Form Sa1'!DYB814*'Form Sa1'!DYB816/10)-'NF - 5 Power Mix'!DXY21-'NF - 5 Power Mix'!DXY22</f>
        <v>0</v>
      </c>
      <c r="DXZ42" s="1046">
        <f>DXZ38+((DXZ40+'NF - 5 Power Mix'!DXZ14+'NF - 5 Power Mix'!DXZ15)*860/10)+((('Form Sa1'!DYC835)*860)/10)+('Form Sa1'!DYC814*'Form Sa1'!DYC816/10)-'NF - 5 Power Mix'!DXZ21-'NF - 5 Power Mix'!DXZ22</f>
        <v>0</v>
      </c>
      <c r="DYA42" s="1046">
        <f>DYA38+((DYA40+'NF - 5 Power Mix'!DYA14+'NF - 5 Power Mix'!DYA15)*860/10)+((('Form Sa1'!DYD835)*860)/10)+('Form Sa1'!DYD814*'Form Sa1'!DYD816/10)-'NF - 5 Power Mix'!DYA21-'NF - 5 Power Mix'!DYA22</f>
        <v>0</v>
      </c>
      <c r="DYB42" s="1046">
        <f>DYB38+((DYB40+'NF - 5 Power Mix'!DYB14+'NF - 5 Power Mix'!DYB15)*860/10)+((('Form Sa1'!DYE835)*860)/10)+('Form Sa1'!DYE814*'Form Sa1'!DYE816/10)-'NF - 5 Power Mix'!DYB21-'NF - 5 Power Mix'!DYB22</f>
        <v>0</v>
      </c>
      <c r="DYC42" s="1046">
        <f>DYC38+((DYC40+'NF - 5 Power Mix'!DYC14+'NF - 5 Power Mix'!DYC15)*860/10)+((('Form Sa1'!DYF835)*860)/10)+('Form Sa1'!DYF814*'Form Sa1'!DYF816/10)-'NF - 5 Power Mix'!DYC21-'NF - 5 Power Mix'!DYC22</f>
        <v>0</v>
      </c>
      <c r="DYD42" s="1046">
        <f>DYD38+((DYD40+'NF - 5 Power Mix'!DYD14+'NF - 5 Power Mix'!DYD15)*860/10)+((('Form Sa1'!DYG835)*860)/10)+('Form Sa1'!DYG814*'Form Sa1'!DYG816/10)-'NF - 5 Power Mix'!DYD21-'NF - 5 Power Mix'!DYD22</f>
        <v>0</v>
      </c>
      <c r="DYE42" s="1046">
        <f>DYE38+((DYE40+'NF - 5 Power Mix'!DYE14+'NF - 5 Power Mix'!DYE15)*860/10)+((('Form Sa1'!DYH835)*860)/10)+('Form Sa1'!DYH814*'Form Sa1'!DYH816/10)-'NF - 5 Power Mix'!DYE21-'NF - 5 Power Mix'!DYE22</f>
        <v>0</v>
      </c>
      <c r="DYF42" s="1046">
        <f>DYF38+((DYF40+'NF - 5 Power Mix'!DYF14+'NF - 5 Power Mix'!DYF15)*860/10)+((('Form Sa1'!DYI835)*860)/10)+('Form Sa1'!DYI814*'Form Sa1'!DYI816/10)-'NF - 5 Power Mix'!DYF21-'NF - 5 Power Mix'!DYF22</f>
        <v>0</v>
      </c>
      <c r="DYG42" s="1046">
        <f>DYG38+((DYG40+'NF - 5 Power Mix'!DYG14+'NF - 5 Power Mix'!DYG15)*860/10)+((('Form Sa1'!DYJ835)*860)/10)+('Form Sa1'!DYJ814*'Form Sa1'!DYJ816/10)-'NF - 5 Power Mix'!DYG21-'NF - 5 Power Mix'!DYG22</f>
        <v>0</v>
      </c>
      <c r="DYH42" s="1046">
        <f>DYH38+((DYH40+'NF - 5 Power Mix'!DYH14+'NF - 5 Power Mix'!DYH15)*860/10)+((('Form Sa1'!DYK835)*860)/10)+('Form Sa1'!DYK814*'Form Sa1'!DYK816/10)-'NF - 5 Power Mix'!DYH21-'NF - 5 Power Mix'!DYH22</f>
        <v>0</v>
      </c>
      <c r="DYI42" s="1046">
        <f>DYI38+((DYI40+'NF - 5 Power Mix'!DYI14+'NF - 5 Power Mix'!DYI15)*860/10)+((('Form Sa1'!DYL835)*860)/10)+('Form Sa1'!DYL814*'Form Sa1'!DYL816/10)-'NF - 5 Power Mix'!DYI21-'NF - 5 Power Mix'!DYI22</f>
        <v>0</v>
      </c>
      <c r="DYJ42" s="1046">
        <f>DYJ38+((DYJ40+'NF - 5 Power Mix'!DYJ14+'NF - 5 Power Mix'!DYJ15)*860/10)+((('Form Sa1'!DYM835)*860)/10)+('Form Sa1'!DYM814*'Form Sa1'!DYM816/10)-'NF - 5 Power Mix'!DYJ21-'NF - 5 Power Mix'!DYJ22</f>
        <v>0</v>
      </c>
      <c r="DYK42" s="1046">
        <f>DYK38+((DYK40+'NF - 5 Power Mix'!DYK14+'NF - 5 Power Mix'!DYK15)*860/10)+((('Form Sa1'!DYN835)*860)/10)+('Form Sa1'!DYN814*'Form Sa1'!DYN816/10)-'NF - 5 Power Mix'!DYK21-'NF - 5 Power Mix'!DYK22</f>
        <v>0</v>
      </c>
      <c r="DYL42" s="1046">
        <f>DYL38+((DYL40+'NF - 5 Power Mix'!DYL14+'NF - 5 Power Mix'!DYL15)*860/10)+((('Form Sa1'!DYO835)*860)/10)+('Form Sa1'!DYO814*'Form Sa1'!DYO816/10)-'NF - 5 Power Mix'!DYL21-'NF - 5 Power Mix'!DYL22</f>
        <v>0</v>
      </c>
      <c r="DYM42" s="1046">
        <f>DYM38+((DYM40+'NF - 5 Power Mix'!DYM14+'NF - 5 Power Mix'!DYM15)*860/10)+((('Form Sa1'!DYP835)*860)/10)+('Form Sa1'!DYP814*'Form Sa1'!DYP816/10)-'NF - 5 Power Mix'!DYM21-'NF - 5 Power Mix'!DYM22</f>
        <v>0</v>
      </c>
      <c r="DYN42" s="1046">
        <f>DYN38+((DYN40+'NF - 5 Power Mix'!DYN14+'NF - 5 Power Mix'!DYN15)*860/10)+((('Form Sa1'!DYQ835)*860)/10)+('Form Sa1'!DYQ814*'Form Sa1'!DYQ816/10)-'NF - 5 Power Mix'!DYN21-'NF - 5 Power Mix'!DYN22</f>
        <v>0</v>
      </c>
      <c r="DYO42" s="1046">
        <f>DYO38+((DYO40+'NF - 5 Power Mix'!DYO14+'NF - 5 Power Mix'!DYO15)*860/10)+((('Form Sa1'!DYR835)*860)/10)+('Form Sa1'!DYR814*'Form Sa1'!DYR816/10)-'NF - 5 Power Mix'!DYO21-'NF - 5 Power Mix'!DYO22</f>
        <v>0</v>
      </c>
      <c r="DYP42" s="1046">
        <f>DYP38+((DYP40+'NF - 5 Power Mix'!DYP14+'NF - 5 Power Mix'!DYP15)*860/10)+((('Form Sa1'!DYS835)*860)/10)+('Form Sa1'!DYS814*'Form Sa1'!DYS816/10)-'NF - 5 Power Mix'!DYP21-'NF - 5 Power Mix'!DYP22</f>
        <v>0</v>
      </c>
      <c r="DYQ42" s="1046">
        <f>DYQ38+((DYQ40+'NF - 5 Power Mix'!DYQ14+'NF - 5 Power Mix'!DYQ15)*860/10)+((('Form Sa1'!DYT835)*860)/10)+('Form Sa1'!DYT814*'Form Sa1'!DYT816/10)-'NF - 5 Power Mix'!DYQ21-'NF - 5 Power Mix'!DYQ22</f>
        <v>0</v>
      </c>
      <c r="DYR42" s="1046">
        <f>DYR38+((DYR40+'NF - 5 Power Mix'!DYR14+'NF - 5 Power Mix'!DYR15)*860/10)+((('Form Sa1'!DYU835)*860)/10)+('Form Sa1'!DYU814*'Form Sa1'!DYU816/10)-'NF - 5 Power Mix'!DYR21-'NF - 5 Power Mix'!DYR22</f>
        <v>0</v>
      </c>
      <c r="DYS42" s="1046">
        <f>DYS38+((DYS40+'NF - 5 Power Mix'!DYS14+'NF - 5 Power Mix'!DYS15)*860/10)+((('Form Sa1'!DYV835)*860)/10)+('Form Sa1'!DYV814*'Form Sa1'!DYV816/10)-'NF - 5 Power Mix'!DYS21-'NF - 5 Power Mix'!DYS22</f>
        <v>0</v>
      </c>
      <c r="DYT42" s="1046">
        <f>DYT38+((DYT40+'NF - 5 Power Mix'!DYT14+'NF - 5 Power Mix'!DYT15)*860/10)+((('Form Sa1'!DYW835)*860)/10)+('Form Sa1'!DYW814*'Form Sa1'!DYW816/10)-'NF - 5 Power Mix'!DYT21-'NF - 5 Power Mix'!DYT22</f>
        <v>0</v>
      </c>
      <c r="DYU42" s="1046">
        <f>DYU38+((DYU40+'NF - 5 Power Mix'!DYU14+'NF - 5 Power Mix'!DYU15)*860/10)+((('Form Sa1'!DYX835)*860)/10)+('Form Sa1'!DYX814*'Form Sa1'!DYX816/10)-'NF - 5 Power Mix'!DYU21-'NF - 5 Power Mix'!DYU22</f>
        <v>0</v>
      </c>
      <c r="DYV42" s="1046">
        <f>DYV38+((DYV40+'NF - 5 Power Mix'!DYV14+'NF - 5 Power Mix'!DYV15)*860/10)+((('Form Sa1'!DYY835)*860)/10)+('Form Sa1'!DYY814*'Form Sa1'!DYY816/10)-'NF - 5 Power Mix'!DYV21-'NF - 5 Power Mix'!DYV22</f>
        <v>0</v>
      </c>
      <c r="DYW42" s="1046">
        <f>DYW38+((DYW40+'NF - 5 Power Mix'!DYW14+'NF - 5 Power Mix'!DYW15)*860/10)+((('Form Sa1'!DYZ835)*860)/10)+('Form Sa1'!DYZ814*'Form Sa1'!DYZ816/10)-'NF - 5 Power Mix'!DYW21-'NF - 5 Power Mix'!DYW22</f>
        <v>0</v>
      </c>
      <c r="DYX42" s="1046">
        <f>DYX38+((DYX40+'NF - 5 Power Mix'!DYX14+'NF - 5 Power Mix'!DYX15)*860/10)+((('Form Sa1'!DZA835)*860)/10)+('Form Sa1'!DZA814*'Form Sa1'!DZA816/10)-'NF - 5 Power Mix'!DYX21-'NF - 5 Power Mix'!DYX22</f>
        <v>0</v>
      </c>
      <c r="DYY42" s="1046">
        <f>DYY38+((DYY40+'NF - 5 Power Mix'!DYY14+'NF - 5 Power Mix'!DYY15)*860/10)+((('Form Sa1'!DZB835)*860)/10)+('Form Sa1'!DZB814*'Form Sa1'!DZB816/10)-'NF - 5 Power Mix'!DYY21-'NF - 5 Power Mix'!DYY22</f>
        <v>0</v>
      </c>
      <c r="DYZ42" s="1046">
        <f>DYZ38+((DYZ40+'NF - 5 Power Mix'!DYZ14+'NF - 5 Power Mix'!DYZ15)*860/10)+((('Form Sa1'!DZC835)*860)/10)+('Form Sa1'!DZC814*'Form Sa1'!DZC816/10)-'NF - 5 Power Mix'!DYZ21-'NF - 5 Power Mix'!DYZ22</f>
        <v>0</v>
      </c>
      <c r="DZA42" s="1046">
        <f>DZA38+((DZA40+'NF - 5 Power Mix'!DZA14+'NF - 5 Power Mix'!DZA15)*860/10)+((('Form Sa1'!DZD835)*860)/10)+('Form Sa1'!DZD814*'Form Sa1'!DZD816/10)-'NF - 5 Power Mix'!DZA21-'NF - 5 Power Mix'!DZA22</f>
        <v>0</v>
      </c>
      <c r="DZB42" s="1046">
        <f>DZB38+((DZB40+'NF - 5 Power Mix'!DZB14+'NF - 5 Power Mix'!DZB15)*860/10)+((('Form Sa1'!DZE835)*860)/10)+('Form Sa1'!DZE814*'Form Sa1'!DZE816/10)-'NF - 5 Power Mix'!DZB21-'NF - 5 Power Mix'!DZB22</f>
        <v>0</v>
      </c>
      <c r="DZC42" s="1046">
        <f>DZC38+((DZC40+'NF - 5 Power Mix'!DZC14+'NF - 5 Power Mix'!DZC15)*860/10)+((('Form Sa1'!DZF835)*860)/10)+('Form Sa1'!DZF814*'Form Sa1'!DZF816/10)-'NF - 5 Power Mix'!DZC21-'NF - 5 Power Mix'!DZC22</f>
        <v>0</v>
      </c>
      <c r="DZD42" s="1046">
        <f>DZD38+((DZD40+'NF - 5 Power Mix'!DZD14+'NF - 5 Power Mix'!DZD15)*860/10)+((('Form Sa1'!DZG835)*860)/10)+('Form Sa1'!DZG814*'Form Sa1'!DZG816/10)-'NF - 5 Power Mix'!DZD21-'NF - 5 Power Mix'!DZD22</f>
        <v>0</v>
      </c>
      <c r="DZE42" s="1046">
        <f>DZE38+((DZE40+'NF - 5 Power Mix'!DZE14+'NF - 5 Power Mix'!DZE15)*860/10)+((('Form Sa1'!DZH835)*860)/10)+('Form Sa1'!DZH814*'Form Sa1'!DZH816/10)-'NF - 5 Power Mix'!DZE21-'NF - 5 Power Mix'!DZE22</f>
        <v>0</v>
      </c>
      <c r="DZF42" s="1046">
        <f>DZF38+((DZF40+'NF - 5 Power Mix'!DZF14+'NF - 5 Power Mix'!DZF15)*860/10)+((('Form Sa1'!DZI835)*860)/10)+('Form Sa1'!DZI814*'Form Sa1'!DZI816/10)-'NF - 5 Power Mix'!DZF21-'NF - 5 Power Mix'!DZF22</f>
        <v>0</v>
      </c>
      <c r="DZG42" s="1046">
        <f>DZG38+((DZG40+'NF - 5 Power Mix'!DZG14+'NF - 5 Power Mix'!DZG15)*860/10)+((('Form Sa1'!DZJ835)*860)/10)+('Form Sa1'!DZJ814*'Form Sa1'!DZJ816/10)-'NF - 5 Power Mix'!DZG21-'NF - 5 Power Mix'!DZG22</f>
        <v>0</v>
      </c>
      <c r="DZH42" s="1046">
        <f>DZH38+((DZH40+'NF - 5 Power Mix'!DZH14+'NF - 5 Power Mix'!DZH15)*860/10)+((('Form Sa1'!DZK835)*860)/10)+('Form Sa1'!DZK814*'Form Sa1'!DZK816/10)-'NF - 5 Power Mix'!DZH21-'NF - 5 Power Mix'!DZH22</f>
        <v>0</v>
      </c>
      <c r="DZI42" s="1046">
        <f>DZI38+((DZI40+'NF - 5 Power Mix'!DZI14+'NF - 5 Power Mix'!DZI15)*860/10)+((('Form Sa1'!DZL835)*860)/10)+('Form Sa1'!DZL814*'Form Sa1'!DZL816/10)-'NF - 5 Power Mix'!DZI21-'NF - 5 Power Mix'!DZI22</f>
        <v>0</v>
      </c>
      <c r="DZJ42" s="1046">
        <f>DZJ38+((DZJ40+'NF - 5 Power Mix'!DZJ14+'NF - 5 Power Mix'!DZJ15)*860/10)+((('Form Sa1'!DZM835)*860)/10)+('Form Sa1'!DZM814*'Form Sa1'!DZM816/10)-'NF - 5 Power Mix'!DZJ21-'NF - 5 Power Mix'!DZJ22</f>
        <v>0</v>
      </c>
      <c r="DZK42" s="1046">
        <f>DZK38+((DZK40+'NF - 5 Power Mix'!DZK14+'NF - 5 Power Mix'!DZK15)*860/10)+((('Form Sa1'!DZN835)*860)/10)+('Form Sa1'!DZN814*'Form Sa1'!DZN816/10)-'NF - 5 Power Mix'!DZK21-'NF - 5 Power Mix'!DZK22</f>
        <v>0</v>
      </c>
      <c r="DZL42" s="1046">
        <f>DZL38+((DZL40+'NF - 5 Power Mix'!DZL14+'NF - 5 Power Mix'!DZL15)*860/10)+((('Form Sa1'!DZO835)*860)/10)+('Form Sa1'!DZO814*'Form Sa1'!DZO816/10)-'NF - 5 Power Mix'!DZL21-'NF - 5 Power Mix'!DZL22</f>
        <v>0</v>
      </c>
      <c r="DZM42" s="1046">
        <f>DZM38+((DZM40+'NF - 5 Power Mix'!DZM14+'NF - 5 Power Mix'!DZM15)*860/10)+((('Form Sa1'!DZP835)*860)/10)+('Form Sa1'!DZP814*'Form Sa1'!DZP816/10)-'NF - 5 Power Mix'!DZM21-'NF - 5 Power Mix'!DZM22</f>
        <v>0</v>
      </c>
      <c r="DZN42" s="1046">
        <f>DZN38+((DZN40+'NF - 5 Power Mix'!DZN14+'NF - 5 Power Mix'!DZN15)*860/10)+((('Form Sa1'!DZQ835)*860)/10)+('Form Sa1'!DZQ814*'Form Sa1'!DZQ816/10)-'NF - 5 Power Mix'!DZN21-'NF - 5 Power Mix'!DZN22</f>
        <v>0</v>
      </c>
      <c r="DZO42" s="1046">
        <f>DZO38+((DZO40+'NF - 5 Power Mix'!DZO14+'NF - 5 Power Mix'!DZO15)*860/10)+((('Form Sa1'!DZR835)*860)/10)+('Form Sa1'!DZR814*'Form Sa1'!DZR816/10)-'NF - 5 Power Mix'!DZO21-'NF - 5 Power Mix'!DZO22</f>
        <v>0</v>
      </c>
      <c r="DZP42" s="1046">
        <f>DZP38+((DZP40+'NF - 5 Power Mix'!DZP14+'NF - 5 Power Mix'!DZP15)*860/10)+((('Form Sa1'!DZS835)*860)/10)+('Form Sa1'!DZS814*'Form Sa1'!DZS816/10)-'NF - 5 Power Mix'!DZP21-'NF - 5 Power Mix'!DZP22</f>
        <v>0</v>
      </c>
      <c r="DZQ42" s="1046">
        <f>DZQ38+((DZQ40+'NF - 5 Power Mix'!DZQ14+'NF - 5 Power Mix'!DZQ15)*860/10)+((('Form Sa1'!DZT835)*860)/10)+('Form Sa1'!DZT814*'Form Sa1'!DZT816/10)-'NF - 5 Power Mix'!DZQ21-'NF - 5 Power Mix'!DZQ22</f>
        <v>0</v>
      </c>
      <c r="DZR42" s="1046">
        <f>DZR38+((DZR40+'NF - 5 Power Mix'!DZR14+'NF - 5 Power Mix'!DZR15)*860/10)+((('Form Sa1'!DZU835)*860)/10)+('Form Sa1'!DZU814*'Form Sa1'!DZU816/10)-'NF - 5 Power Mix'!DZR21-'NF - 5 Power Mix'!DZR22</f>
        <v>0</v>
      </c>
      <c r="DZS42" s="1046">
        <f>DZS38+((DZS40+'NF - 5 Power Mix'!DZS14+'NF - 5 Power Mix'!DZS15)*860/10)+((('Form Sa1'!DZV835)*860)/10)+('Form Sa1'!DZV814*'Form Sa1'!DZV816/10)-'NF - 5 Power Mix'!DZS21-'NF - 5 Power Mix'!DZS22</f>
        <v>0</v>
      </c>
      <c r="DZT42" s="1046">
        <f>DZT38+((DZT40+'NF - 5 Power Mix'!DZT14+'NF - 5 Power Mix'!DZT15)*860/10)+((('Form Sa1'!DZW835)*860)/10)+('Form Sa1'!DZW814*'Form Sa1'!DZW816/10)-'NF - 5 Power Mix'!DZT21-'NF - 5 Power Mix'!DZT22</f>
        <v>0</v>
      </c>
      <c r="DZU42" s="1046">
        <f>DZU38+((DZU40+'NF - 5 Power Mix'!DZU14+'NF - 5 Power Mix'!DZU15)*860/10)+((('Form Sa1'!DZX835)*860)/10)+('Form Sa1'!DZX814*'Form Sa1'!DZX816/10)-'NF - 5 Power Mix'!DZU21-'NF - 5 Power Mix'!DZU22</f>
        <v>0</v>
      </c>
      <c r="DZV42" s="1046">
        <f>DZV38+((DZV40+'NF - 5 Power Mix'!DZV14+'NF - 5 Power Mix'!DZV15)*860/10)+((('Form Sa1'!DZY835)*860)/10)+('Form Sa1'!DZY814*'Form Sa1'!DZY816/10)-'NF - 5 Power Mix'!DZV21-'NF - 5 Power Mix'!DZV22</f>
        <v>0</v>
      </c>
      <c r="DZW42" s="1046">
        <f>DZW38+((DZW40+'NF - 5 Power Mix'!DZW14+'NF - 5 Power Mix'!DZW15)*860/10)+((('Form Sa1'!DZZ835)*860)/10)+('Form Sa1'!DZZ814*'Form Sa1'!DZZ816/10)-'NF - 5 Power Mix'!DZW21-'NF - 5 Power Mix'!DZW22</f>
        <v>0</v>
      </c>
      <c r="DZX42" s="1046">
        <f>DZX38+((DZX40+'NF - 5 Power Mix'!DZX14+'NF - 5 Power Mix'!DZX15)*860/10)+((('Form Sa1'!EAA835)*860)/10)+('Form Sa1'!EAA814*'Form Sa1'!EAA816/10)-'NF - 5 Power Mix'!DZX21-'NF - 5 Power Mix'!DZX22</f>
        <v>0</v>
      </c>
      <c r="DZY42" s="1046">
        <f>DZY38+((DZY40+'NF - 5 Power Mix'!DZY14+'NF - 5 Power Mix'!DZY15)*860/10)+((('Form Sa1'!EAB835)*860)/10)+('Form Sa1'!EAB814*'Form Sa1'!EAB816/10)-'NF - 5 Power Mix'!DZY21-'NF - 5 Power Mix'!DZY22</f>
        <v>0</v>
      </c>
      <c r="DZZ42" s="1046">
        <f>DZZ38+((DZZ40+'NF - 5 Power Mix'!DZZ14+'NF - 5 Power Mix'!DZZ15)*860/10)+((('Form Sa1'!EAC835)*860)/10)+('Form Sa1'!EAC814*'Form Sa1'!EAC816/10)-'NF - 5 Power Mix'!DZZ21-'NF - 5 Power Mix'!DZZ22</f>
        <v>0</v>
      </c>
      <c r="EAA42" s="1046">
        <f>EAA38+((EAA40+'NF - 5 Power Mix'!EAA14+'NF - 5 Power Mix'!EAA15)*860/10)+((('Form Sa1'!EAD835)*860)/10)+('Form Sa1'!EAD814*'Form Sa1'!EAD816/10)-'NF - 5 Power Mix'!EAA21-'NF - 5 Power Mix'!EAA22</f>
        <v>0</v>
      </c>
      <c r="EAB42" s="1046">
        <f>EAB38+((EAB40+'NF - 5 Power Mix'!EAB14+'NF - 5 Power Mix'!EAB15)*860/10)+((('Form Sa1'!EAE835)*860)/10)+('Form Sa1'!EAE814*'Form Sa1'!EAE816/10)-'NF - 5 Power Mix'!EAB21-'NF - 5 Power Mix'!EAB22</f>
        <v>0</v>
      </c>
      <c r="EAC42" s="1046">
        <f>EAC38+((EAC40+'NF - 5 Power Mix'!EAC14+'NF - 5 Power Mix'!EAC15)*860/10)+((('Form Sa1'!EAF835)*860)/10)+('Form Sa1'!EAF814*'Form Sa1'!EAF816/10)-'NF - 5 Power Mix'!EAC21-'NF - 5 Power Mix'!EAC22</f>
        <v>0</v>
      </c>
      <c r="EAD42" s="1046">
        <f>EAD38+((EAD40+'NF - 5 Power Mix'!EAD14+'NF - 5 Power Mix'!EAD15)*860/10)+((('Form Sa1'!EAG835)*860)/10)+('Form Sa1'!EAG814*'Form Sa1'!EAG816/10)-'NF - 5 Power Mix'!EAD21-'NF - 5 Power Mix'!EAD22</f>
        <v>0</v>
      </c>
      <c r="EAE42" s="1046">
        <f>EAE38+((EAE40+'NF - 5 Power Mix'!EAE14+'NF - 5 Power Mix'!EAE15)*860/10)+((('Form Sa1'!EAH835)*860)/10)+('Form Sa1'!EAH814*'Form Sa1'!EAH816/10)-'NF - 5 Power Mix'!EAE21-'NF - 5 Power Mix'!EAE22</f>
        <v>0</v>
      </c>
      <c r="EAF42" s="1046">
        <f>EAF38+((EAF40+'NF - 5 Power Mix'!EAF14+'NF - 5 Power Mix'!EAF15)*860/10)+((('Form Sa1'!EAI835)*860)/10)+('Form Sa1'!EAI814*'Form Sa1'!EAI816/10)-'NF - 5 Power Mix'!EAF21-'NF - 5 Power Mix'!EAF22</f>
        <v>0</v>
      </c>
      <c r="EAG42" s="1046">
        <f>EAG38+((EAG40+'NF - 5 Power Mix'!EAG14+'NF - 5 Power Mix'!EAG15)*860/10)+((('Form Sa1'!EAJ835)*860)/10)+('Form Sa1'!EAJ814*'Form Sa1'!EAJ816/10)-'NF - 5 Power Mix'!EAG21-'NF - 5 Power Mix'!EAG22</f>
        <v>0</v>
      </c>
      <c r="EAH42" s="1046">
        <f>EAH38+((EAH40+'NF - 5 Power Mix'!EAH14+'NF - 5 Power Mix'!EAH15)*860/10)+((('Form Sa1'!EAK835)*860)/10)+('Form Sa1'!EAK814*'Form Sa1'!EAK816/10)-'NF - 5 Power Mix'!EAH21-'NF - 5 Power Mix'!EAH22</f>
        <v>0</v>
      </c>
      <c r="EAI42" s="1046">
        <f>EAI38+((EAI40+'NF - 5 Power Mix'!EAI14+'NF - 5 Power Mix'!EAI15)*860/10)+((('Form Sa1'!EAL835)*860)/10)+('Form Sa1'!EAL814*'Form Sa1'!EAL816/10)-'NF - 5 Power Mix'!EAI21-'NF - 5 Power Mix'!EAI22</f>
        <v>0</v>
      </c>
      <c r="EAJ42" s="1046">
        <f>EAJ38+((EAJ40+'NF - 5 Power Mix'!EAJ14+'NF - 5 Power Mix'!EAJ15)*860/10)+((('Form Sa1'!EAM835)*860)/10)+('Form Sa1'!EAM814*'Form Sa1'!EAM816/10)-'NF - 5 Power Mix'!EAJ21-'NF - 5 Power Mix'!EAJ22</f>
        <v>0</v>
      </c>
      <c r="EAK42" s="1046">
        <f>EAK38+((EAK40+'NF - 5 Power Mix'!EAK14+'NF - 5 Power Mix'!EAK15)*860/10)+((('Form Sa1'!EAN835)*860)/10)+('Form Sa1'!EAN814*'Form Sa1'!EAN816/10)-'NF - 5 Power Mix'!EAK21-'NF - 5 Power Mix'!EAK22</f>
        <v>0</v>
      </c>
      <c r="EAL42" s="1046">
        <f>EAL38+((EAL40+'NF - 5 Power Mix'!EAL14+'NF - 5 Power Mix'!EAL15)*860/10)+((('Form Sa1'!EAO835)*860)/10)+('Form Sa1'!EAO814*'Form Sa1'!EAO816/10)-'NF - 5 Power Mix'!EAL21-'NF - 5 Power Mix'!EAL22</f>
        <v>0</v>
      </c>
      <c r="EAM42" s="1046">
        <f>EAM38+((EAM40+'NF - 5 Power Mix'!EAM14+'NF - 5 Power Mix'!EAM15)*860/10)+((('Form Sa1'!EAP835)*860)/10)+('Form Sa1'!EAP814*'Form Sa1'!EAP816/10)-'NF - 5 Power Mix'!EAM21-'NF - 5 Power Mix'!EAM22</f>
        <v>0</v>
      </c>
      <c r="EAN42" s="1046">
        <f>EAN38+((EAN40+'NF - 5 Power Mix'!EAN14+'NF - 5 Power Mix'!EAN15)*860/10)+((('Form Sa1'!EAQ835)*860)/10)+('Form Sa1'!EAQ814*'Form Sa1'!EAQ816/10)-'NF - 5 Power Mix'!EAN21-'NF - 5 Power Mix'!EAN22</f>
        <v>0</v>
      </c>
      <c r="EAO42" s="1046">
        <f>EAO38+((EAO40+'NF - 5 Power Mix'!EAO14+'NF - 5 Power Mix'!EAO15)*860/10)+((('Form Sa1'!EAR835)*860)/10)+('Form Sa1'!EAR814*'Form Sa1'!EAR816/10)-'NF - 5 Power Mix'!EAO21-'NF - 5 Power Mix'!EAO22</f>
        <v>0</v>
      </c>
      <c r="EAP42" s="1046">
        <f>EAP38+((EAP40+'NF - 5 Power Mix'!EAP14+'NF - 5 Power Mix'!EAP15)*860/10)+((('Form Sa1'!EAS835)*860)/10)+('Form Sa1'!EAS814*'Form Sa1'!EAS816/10)-'NF - 5 Power Mix'!EAP21-'NF - 5 Power Mix'!EAP22</f>
        <v>0</v>
      </c>
      <c r="EAQ42" s="1046">
        <f>EAQ38+((EAQ40+'NF - 5 Power Mix'!EAQ14+'NF - 5 Power Mix'!EAQ15)*860/10)+((('Form Sa1'!EAT835)*860)/10)+('Form Sa1'!EAT814*'Form Sa1'!EAT816/10)-'NF - 5 Power Mix'!EAQ21-'NF - 5 Power Mix'!EAQ22</f>
        <v>0</v>
      </c>
      <c r="EAR42" s="1046">
        <f>EAR38+((EAR40+'NF - 5 Power Mix'!EAR14+'NF - 5 Power Mix'!EAR15)*860/10)+((('Form Sa1'!EAU835)*860)/10)+('Form Sa1'!EAU814*'Form Sa1'!EAU816/10)-'NF - 5 Power Mix'!EAR21-'NF - 5 Power Mix'!EAR22</f>
        <v>0</v>
      </c>
      <c r="EAS42" s="1046">
        <f>EAS38+((EAS40+'NF - 5 Power Mix'!EAS14+'NF - 5 Power Mix'!EAS15)*860/10)+((('Form Sa1'!EAV835)*860)/10)+('Form Sa1'!EAV814*'Form Sa1'!EAV816/10)-'NF - 5 Power Mix'!EAS21-'NF - 5 Power Mix'!EAS22</f>
        <v>0</v>
      </c>
      <c r="EAT42" s="1046">
        <f>EAT38+((EAT40+'NF - 5 Power Mix'!EAT14+'NF - 5 Power Mix'!EAT15)*860/10)+((('Form Sa1'!EAW835)*860)/10)+('Form Sa1'!EAW814*'Form Sa1'!EAW816/10)-'NF - 5 Power Mix'!EAT21-'NF - 5 Power Mix'!EAT22</f>
        <v>0</v>
      </c>
      <c r="EAU42" s="1046">
        <f>EAU38+((EAU40+'NF - 5 Power Mix'!EAU14+'NF - 5 Power Mix'!EAU15)*860/10)+((('Form Sa1'!EAX835)*860)/10)+('Form Sa1'!EAX814*'Form Sa1'!EAX816/10)-'NF - 5 Power Mix'!EAU21-'NF - 5 Power Mix'!EAU22</f>
        <v>0</v>
      </c>
      <c r="EAV42" s="1046">
        <f>EAV38+((EAV40+'NF - 5 Power Mix'!EAV14+'NF - 5 Power Mix'!EAV15)*860/10)+((('Form Sa1'!EAY835)*860)/10)+('Form Sa1'!EAY814*'Form Sa1'!EAY816/10)-'NF - 5 Power Mix'!EAV21-'NF - 5 Power Mix'!EAV22</f>
        <v>0</v>
      </c>
      <c r="EAW42" s="1046">
        <f>EAW38+((EAW40+'NF - 5 Power Mix'!EAW14+'NF - 5 Power Mix'!EAW15)*860/10)+((('Form Sa1'!EAZ835)*860)/10)+('Form Sa1'!EAZ814*'Form Sa1'!EAZ816/10)-'NF - 5 Power Mix'!EAW21-'NF - 5 Power Mix'!EAW22</f>
        <v>0</v>
      </c>
      <c r="EAX42" s="1046">
        <f>EAX38+((EAX40+'NF - 5 Power Mix'!EAX14+'NF - 5 Power Mix'!EAX15)*860/10)+((('Form Sa1'!EBA835)*860)/10)+('Form Sa1'!EBA814*'Form Sa1'!EBA816/10)-'NF - 5 Power Mix'!EAX21-'NF - 5 Power Mix'!EAX22</f>
        <v>0</v>
      </c>
      <c r="EAY42" s="1046">
        <f>EAY38+((EAY40+'NF - 5 Power Mix'!EAY14+'NF - 5 Power Mix'!EAY15)*860/10)+((('Form Sa1'!EBB835)*860)/10)+('Form Sa1'!EBB814*'Form Sa1'!EBB816/10)-'NF - 5 Power Mix'!EAY21-'NF - 5 Power Mix'!EAY22</f>
        <v>0</v>
      </c>
      <c r="EAZ42" s="1046">
        <f>EAZ38+((EAZ40+'NF - 5 Power Mix'!EAZ14+'NF - 5 Power Mix'!EAZ15)*860/10)+((('Form Sa1'!EBC835)*860)/10)+('Form Sa1'!EBC814*'Form Sa1'!EBC816/10)-'NF - 5 Power Mix'!EAZ21-'NF - 5 Power Mix'!EAZ22</f>
        <v>0</v>
      </c>
      <c r="EBA42" s="1046">
        <f>EBA38+((EBA40+'NF - 5 Power Mix'!EBA14+'NF - 5 Power Mix'!EBA15)*860/10)+((('Form Sa1'!EBD835)*860)/10)+('Form Sa1'!EBD814*'Form Sa1'!EBD816/10)-'NF - 5 Power Mix'!EBA21-'NF - 5 Power Mix'!EBA22</f>
        <v>0</v>
      </c>
      <c r="EBB42" s="1046">
        <f>EBB38+((EBB40+'NF - 5 Power Mix'!EBB14+'NF - 5 Power Mix'!EBB15)*860/10)+((('Form Sa1'!EBE835)*860)/10)+('Form Sa1'!EBE814*'Form Sa1'!EBE816/10)-'NF - 5 Power Mix'!EBB21-'NF - 5 Power Mix'!EBB22</f>
        <v>0</v>
      </c>
      <c r="EBC42" s="1046">
        <f>EBC38+((EBC40+'NF - 5 Power Mix'!EBC14+'NF - 5 Power Mix'!EBC15)*860/10)+((('Form Sa1'!EBF835)*860)/10)+('Form Sa1'!EBF814*'Form Sa1'!EBF816/10)-'NF - 5 Power Mix'!EBC21-'NF - 5 Power Mix'!EBC22</f>
        <v>0</v>
      </c>
      <c r="EBD42" s="1046">
        <f>EBD38+((EBD40+'NF - 5 Power Mix'!EBD14+'NF - 5 Power Mix'!EBD15)*860/10)+((('Form Sa1'!EBG835)*860)/10)+('Form Sa1'!EBG814*'Form Sa1'!EBG816/10)-'NF - 5 Power Mix'!EBD21-'NF - 5 Power Mix'!EBD22</f>
        <v>0</v>
      </c>
      <c r="EBE42" s="1046">
        <f>EBE38+((EBE40+'NF - 5 Power Mix'!EBE14+'NF - 5 Power Mix'!EBE15)*860/10)+((('Form Sa1'!EBH835)*860)/10)+('Form Sa1'!EBH814*'Form Sa1'!EBH816/10)-'NF - 5 Power Mix'!EBE21-'NF - 5 Power Mix'!EBE22</f>
        <v>0</v>
      </c>
      <c r="EBF42" s="1046">
        <f>EBF38+((EBF40+'NF - 5 Power Mix'!EBF14+'NF - 5 Power Mix'!EBF15)*860/10)+((('Form Sa1'!EBI835)*860)/10)+('Form Sa1'!EBI814*'Form Sa1'!EBI816/10)-'NF - 5 Power Mix'!EBF21-'NF - 5 Power Mix'!EBF22</f>
        <v>0</v>
      </c>
      <c r="EBG42" s="1046">
        <f>EBG38+((EBG40+'NF - 5 Power Mix'!EBG14+'NF - 5 Power Mix'!EBG15)*860/10)+((('Form Sa1'!EBJ835)*860)/10)+('Form Sa1'!EBJ814*'Form Sa1'!EBJ816/10)-'NF - 5 Power Mix'!EBG21-'NF - 5 Power Mix'!EBG22</f>
        <v>0</v>
      </c>
      <c r="EBH42" s="1046">
        <f>EBH38+((EBH40+'NF - 5 Power Mix'!EBH14+'NF - 5 Power Mix'!EBH15)*860/10)+((('Form Sa1'!EBK835)*860)/10)+('Form Sa1'!EBK814*'Form Sa1'!EBK816/10)-'NF - 5 Power Mix'!EBH21-'NF - 5 Power Mix'!EBH22</f>
        <v>0</v>
      </c>
      <c r="EBI42" s="1046">
        <f>EBI38+((EBI40+'NF - 5 Power Mix'!EBI14+'NF - 5 Power Mix'!EBI15)*860/10)+((('Form Sa1'!EBL835)*860)/10)+('Form Sa1'!EBL814*'Form Sa1'!EBL816/10)-'NF - 5 Power Mix'!EBI21-'NF - 5 Power Mix'!EBI22</f>
        <v>0</v>
      </c>
      <c r="EBJ42" s="1046">
        <f>EBJ38+((EBJ40+'NF - 5 Power Mix'!EBJ14+'NF - 5 Power Mix'!EBJ15)*860/10)+((('Form Sa1'!EBM835)*860)/10)+('Form Sa1'!EBM814*'Form Sa1'!EBM816/10)-'NF - 5 Power Mix'!EBJ21-'NF - 5 Power Mix'!EBJ22</f>
        <v>0</v>
      </c>
      <c r="EBK42" s="1046">
        <f>EBK38+((EBK40+'NF - 5 Power Mix'!EBK14+'NF - 5 Power Mix'!EBK15)*860/10)+((('Form Sa1'!EBN835)*860)/10)+('Form Sa1'!EBN814*'Form Sa1'!EBN816/10)-'NF - 5 Power Mix'!EBK21-'NF - 5 Power Mix'!EBK22</f>
        <v>0</v>
      </c>
      <c r="EBL42" s="1046">
        <f>EBL38+((EBL40+'NF - 5 Power Mix'!EBL14+'NF - 5 Power Mix'!EBL15)*860/10)+((('Form Sa1'!EBO835)*860)/10)+('Form Sa1'!EBO814*'Form Sa1'!EBO816/10)-'NF - 5 Power Mix'!EBL21-'NF - 5 Power Mix'!EBL22</f>
        <v>0</v>
      </c>
      <c r="EBM42" s="1046">
        <f>EBM38+((EBM40+'NF - 5 Power Mix'!EBM14+'NF - 5 Power Mix'!EBM15)*860/10)+((('Form Sa1'!EBP835)*860)/10)+('Form Sa1'!EBP814*'Form Sa1'!EBP816/10)-'NF - 5 Power Mix'!EBM21-'NF - 5 Power Mix'!EBM22</f>
        <v>0</v>
      </c>
      <c r="EBN42" s="1046">
        <f>EBN38+((EBN40+'NF - 5 Power Mix'!EBN14+'NF - 5 Power Mix'!EBN15)*860/10)+((('Form Sa1'!EBQ835)*860)/10)+('Form Sa1'!EBQ814*'Form Sa1'!EBQ816/10)-'NF - 5 Power Mix'!EBN21-'NF - 5 Power Mix'!EBN22</f>
        <v>0</v>
      </c>
      <c r="EBO42" s="1046">
        <f>EBO38+((EBO40+'NF - 5 Power Mix'!EBO14+'NF - 5 Power Mix'!EBO15)*860/10)+((('Form Sa1'!EBR835)*860)/10)+('Form Sa1'!EBR814*'Form Sa1'!EBR816/10)-'NF - 5 Power Mix'!EBO21-'NF - 5 Power Mix'!EBO22</f>
        <v>0</v>
      </c>
      <c r="EBP42" s="1046">
        <f>EBP38+((EBP40+'NF - 5 Power Mix'!EBP14+'NF - 5 Power Mix'!EBP15)*860/10)+((('Form Sa1'!EBS835)*860)/10)+('Form Sa1'!EBS814*'Form Sa1'!EBS816/10)-'NF - 5 Power Mix'!EBP21-'NF - 5 Power Mix'!EBP22</f>
        <v>0</v>
      </c>
      <c r="EBQ42" s="1046">
        <f>EBQ38+((EBQ40+'NF - 5 Power Mix'!EBQ14+'NF - 5 Power Mix'!EBQ15)*860/10)+((('Form Sa1'!EBT835)*860)/10)+('Form Sa1'!EBT814*'Form Sa1'!EBT816/10)-'NF - 5 Power Mix'!EBQ21-'NF - 5 Power Mix'!EBQ22</f>
        <v>0</v>
      </c>
      <c r="EBR42" s="1046">
        <f>EBR38+((EBR40+'NF - 5 Power Mix'!EBR14+'NF - 5 Power Mix'!EBR15)*860/10)+((('Form Sa1'!EBU835)*860)/10)+('Form Sa1'!EBU814*'Form Sa1'!EBU816/10)-'NF - 5 Power Mix'!EBR21-'NF - 5 Power Mix'!EBR22</f>
        <v>0</v>
      </c>
      <c r="EBS42" s="1046">
        <f>EBS38+((EBS40+'NF - 5 Power Mix'!EBS14+'NF - 5 Power Mix'!EBS15)*860/10)+((('Form Sa1'!EBV835)*860)/10)+('Form Sa1'!EBV814*'Form Sa1'!EBV816/10)-'NF - 5 Power Mix'!EBS21-'NF - 5 Power Mix'!EBS22</f>
        <v>0</v>
      </c>
      <c r="EBT42" s="1046">
        <f>EBT38+((EBT40+'NF - 5 Power Mix'!EBT14+'NF - 5 Power Mix'!EBT15)*860/10)+((('Form Sa1'!EBW835)*860)/10)+('Form Sa1'!EBW814*'Form Sa1'!EBW816/10)-'NF - 5 Power Mix'!EBT21-'NF - 5 Power Mix'!EBT22</f>
        <v>0</v>
      </c>
      <c r="EBU42" s="1046">
        <f>EBU38+((EBU40+'NF - 5 Power Mix'!EBU14+'NF - 5 Power Mix'!EBU15)*860/10)+((('Form Sa1'!EBX835)*860)/10)+('Form Sa1'!EBX814*'Form Sa1'!EBX816/10)-'NF - 5 Power Mix'!EBU21-'NF - 5 Power Mix'!EBU22</f>
        <v>0</v>
      </c>
      <c r="EBV42" s="1046">
        <f>EBV38+((EBV40+'NF - 5 Power Mix'!EBV14+'NF - 5 Power Mix'!EBV15)*860/10)+((('Form Sa1'!EBY835)*860)/10)+('Form Sa1'!EBY814*'Form Sa1'!EBY816/10)-'NF - 5 Power Mix'!EBV21-'NF - 5 Power Mix'!EBV22</f>
        <v>0</v>
      </c>
      <c r="EBW42" s="1046">
        <f>EBW38+((EBW40+'NF - 5 Power Mix'!EBW14+'NF - 5 Power Mix'!EBW15)*860/10)+((('Form Sa1'!EBZ835)*860)/10)+('Form Sa1'!EBZ814*'Form Sa1'!EBZ816/10)-'NF - 5 Power Mix'!EBW21-'NF - 5 Power Mix'!EBW22</f>
        <v>0</v>
      </c>
      <c r="EBX42" s="1046">
        <f>EBX38+((EBX40+'NF - 5 Power Mix'!EBX14+'NF - 5 Power Mix'!EBX15)*860/10)+((('Form Sa1'!ECA835)*860)/10)+('Form Sa1'!ECA814*'Form Sa1'!ECA816/10)-'NF - 5 Power Mix'!EBX21-'NF - 5 Power Mix'!EBX22</f>
        <v>0</v>
      </c>
      <c r="EBY42" s="1046">
        <f>EBY38+((EBY40+'NF - 5 Power Mix'!EBY14+'NF - 5 Power Mix'!EBY15)*860/10)+((('Form Sa1'!ECB835)*860)/10)+('Form Sa1'!ECB814*'Form Sa1'!ECB816/10)-'NF - 5 Power Mix'!EBY21-'NF - 5 Power Mix'!EBY22</f>
        <v>0</v>
      </c>
      <c r="EBZ42" s="1046">
        <f>EBZ38+((EBZ40+'NF - 5 Power Mix'!EBZ14+'NF - 5 Power Mix'!EBZ15)*860/10)+((('Form Sa1'!ECC835)*860)/10)+('Form Sa1'!ECC814*'Form Sa1'!ECC816/10)-'NF - 5 Power Mix'!EBZ21-'NF - 5 Power Mix'!EBZ22</f>
        <v>0</v>
      </c>
      <c r="ECA42" s="1046">
        <f>ECA38+((ECA40+'NF - 5 Power Mix'!ECA14+'NF - 5 Power Mix'!ECA15)*860/10)+((('Form Sa1'!ECD835)*860)/10)+('Form Sa1'!ECD814*'Form Sa1'!ECD816/10)-'NF - 5 Power Mix'!ECA21-'NF - 5 Power Mix'!ECA22</f>
        <v>0</v>
      </c>
      <c r="ECB42" s="1046">
        <f>ECB38+((ECB40+'NF - 5 Power Mix'!ECB14+'NF - 5 Power Mix'!ECB15)*860/10)+((('Form Sa1'!ECE835)*860)/10)+('Form Sa1'!ECE814*'Form Sa1'!ECE816/10)-'NF - 5 Power Mix'!ECB21-'NF - 5 Power Mix'!ECB22</f>
        <v>0</v>
      </c>
      <c r="ECC42" s="1046">
        <f>ECC38+((ECC40+'NF - 5 Power Mix'!ECC14+'NF - 5 Power Mix'!ECC15)*860/10)+((('Form Sa1'!ECF835)*860)/10)+('Form Sa1'!ECF814*'Form Sa1'!ECF816/10)-'NF - 5 Power Mix'!ECC21-'NF - 5 Power Mix'!ECC22</f>
        <v>0</v>
      </c>
      <c r="ECD42" s="1046">
        <f>ECD38+((ECD40+'NF - 5 Power Mix'!ECD14+'NF - 5 Power Mix'!ECD15)*860/10)+((('Form Sa1'!ECG835)*860)/10)+('Form Sa1'!ECG814*'Form Sa1'!ECG816/10)-'NF - 5 Power Mix'!ECD21-'NF - 5 Power Mix'!ECD22</f>
        <v>0</v>
      </c>
      <c r="ECE42" s="1046">
        <f>ECE38+((ECE40+'NF - 5 Power Mix'!ECE14+'NF - 5 Power Mix'!ECE15)*860/10)+((('Form Sa1'!ECH835)*860)/10)+('Form Sa1'!ECH814*'Form Sa1'!ECH816/10)-'NF - 5 Power Mix'!ECE21-'NF - 5 Power Mix'!ECE22</f>
        <v>0</v>
      </c>
      <c r="ECF42" s="1046">
        <f>ECF38+((ECF40+'NF - 5 Power Mix'!ECF14+'NF - 5 Power Mix'!ECF15)*860/10)+((('Form Sa1'!ECI835)*860)/10)+('Form Sa1'!ECI814*'Form Sa1'!ECI816/10)-'NF - 5 Power Mix'!ECF21-'NF - 5 Power Mix'!ECF22</f>
        <v>0</v>
      </c>
      <c r="ECG42" s="1046">
        <f>ECG38+((ECG40+'NF - 5 Power Mix'!ECG14+'NF - 5 Power Mix'!ECG15)*860/10)+((('Form Sa1'!ECJ835)*860)/10)+('Form Sa1'!ECJ814*'Form Sa1'!ECJ816/10)-'NF - 5 Power Mix'!ECG21-'NF - 5 Power Mix'!ECG22</f>
        <v>0</v>
      </c>
      <c r="ECH42" s="1046">
        <f>ECH38+((ECH40+'NF - 5 Power Mix'!ECH14+'NF - 5 Power Mix'!ECH15)*860/10)+((('Form Sa1'!ECK835)*860)/10)+('Form Sa1'!ECK814*'Form Sa1'!ECK816/10)-'NF - 5 Power Mix'!ECH21-'NF - 5 Power Mix'!ECH22</f>
        <v>0</v>
      </c>
      <c r="ECI42" s="1046">
        <f>ECI38+((ECI40+'NF - 5 Power Mix'!ECI14+'NF - 5 Power Mix'!ECI15)*860/10)+((('Form Sa1'!ECL835)*860)/10)+('Form Sa1'!ECL814*'Form Sa1'!ECL816/10)-'NF - 5 Power Mix'!ECI21-'NF - 5 Power Mix'!ECI22</f>
        <v>0</v>
      </c>
      <c r="ECJ42" s="1046">
        <f>ECJ38+((ECJ40+'NF - 5 Power Mix'!ECJ14+'NF - 5 Power Mix'!ECJ15)*860/10)+((('Form Sa1'!ECM835)*860)/10)+('Form Sa1'!ECM814*'Form Sa1'!ECM816/10)-'NF - 5 Power Mix'!ECJ21-'NF - 5 Power Mix'!ECJ22</f>
        <v>0</v>
      </c>
      <c r="ECK42" s="1046">
        <f>ECK38+((ECK40+'NF - 5 Power Mix'!ECK14+'NF - 5 Power Mix'!ECK15)*860/10)+((('Form Sa1'!ECN835)*860)/10)+('Form Sa1'!ECN814*'Form Sa1'!ECN816/10)-'NF - 5 Power Mix'!ECK21-'NF - 5 Power Mix'!ECK22</f>
        <v>0</v>
      </c>
      <c r="ECL42" s="1046">
        <f>ECL38+((ECL40+'NF - 5 Power Mix'!ECL14+'NF - 5 Power Mix'!ECL15)*860/10)+((('Form Sa1'!ECO835)*860)/10)+('Form Sa1'!ECO814*'Form Sa1'!ECO816/10)-'NF - 5 Power Mix'!ECL21-'NF - 5 Power Mix'!ECL22</f>
        <v>0</v>
      </c>
      <c r="ECM42" s="1046">
        <f>ECM38+((ECM40+'NF - 5 Power Mix'!ECM14+'NF - 5 Power Mix'!ECM15)*860/10)+((('Form Sa1'!ECP835)*860)/10)+('Form Sa1'!ECP814*'Form Sa1'!ECP816/10)-'NF - 5 Power Mix'!ECM21-'NF - 5 Power Mix'!ECM22</f>
        <v>0</v>
      </c>
      <c r="ECN42" s="1046">
        <f>ECN38+((ECN40+'NF - 5 Power Mix'!ECN14+'NF - 5 Power Mix'!ECN15)*860/10)+((('Form Sa1'!ECQ835)*860)/10)+('Form Sa1'!ECQ814*'Form Sa1'!ECQ816/10)-'NF - 5 Power Mix'!ECN21-'NF - 5 Power Mix'!ECN22</f>
        <v>0</v>
      </c>
      <c r="ECO42" s="1046">
        <f>ECO38+((ECO40+'NF - 5 Power Mix'!ECO14+'NF - 5 Power Mix'!ECO15)*860/10)+((('Form Sa1'!ECR835)*860)/10)+('Form Sa1'!ECR814*'Form Sa1'!ECR816/10)-'NF - 5 Power Mix'!ECO21-'NF - 5 Power Mix'!ECO22</f>
        <v>0</v>
      </c>
      <c r="ECP42" s="1046">
        <f>ECP38+((ECP40+'NF - 5 Power Mix'!ECP14+'NF - 5 Power Mix'!ECP15)*860/10)+((('Form Sa1'!ECS835)*860)/10)+('Form Sa1'!ECS814*'Form Sa1'!ECS816/10)-'NF - 5 Power Mix'!ECP21-'NF - 5 Power Mix'!ECP22</f>
        <v>0</v>
      </c>
      <c r="ECQ42" s="1046">
        <f>ECQ38+((ECQ40+'NF - 5 Power Mix'!ECQ14+'NF - 5 Power Mix'!ECQ15)*860/10)+((('Form Sa1'!ECT835)*860)/10)+('Form Sa1'!ECT814*'Form Sa1'!ECT816/10)-'NF - 5 Power Mix'!ECQ21-'NF - 5 Power Mix'!ECQ22</f>
        <v>0</v>
      </c>
      <c r="ECR42" s="1046">
        <f>ECR38+((ECR40+'NF - 5 Power Mix'!ECR14+'NF - 5 Power Mix'!ECR15)*860/10)+((('Form Sa1'!ECU835)*860)/10)+('Form Sa1'!ECU814*'Form Sa1'!ECU816/10)-'NF - 5 Power Mix'!ECR21-'NF - 5 Power Mix'!ECR22</f>
        <v>0</v>
      </c>
      <c r="ECS42" s="1046">
        <f>ECS38+((ECS40+'NF - 5 Power Mix'!ECS14+'NF - 5 Power Mix'!ECS15)*860/10)+((('Form Sa1'!ECV835)*860)/10)+('Form Sa1'!ECV814*'Form Sa1'!ECV816/10)-'NF - 5 Power Mix'!ECS21-'NF - 5 Power Mix'!ECS22</f>
        <v>0</v>
      </c>
      <c r="ECT42" s="1046">
        <f>ECT38+((ECT40+'NF - 5 Power Mix'!ECT14+'NF - 5 Power Mix'!ECT15)*860/10)+((('Form Sa1'!ECW835)*860)/10)+('Form Sa1'!ECW814*'Form Sa1'!ECW816/10)-'NF - 5 Power Mix'!ECT21-'NF - 5 Power Mix'!ECT22</f>
        <v>0</v>
      </c>
      <c r="ECU42" s="1046">
        <f>ECU38+((ECU40+'NF - 5 Power Mix'!ECU14+'NF - 5 Power Mix'!ECU15)*860/10)+((('Form Sa1'!ECX835)*860)/10)+('Form Sa1'!ECX814*'Form Sa1'!ECX816/10)-'NF - 5 Power Mix'!ECU21-'NF - 5 Power Mix'!ECU22</f>
        <v>0</v>
      </c>
      <c r="ECV42" s="1046">
        <f>ECV38+((ECV40+'NF - 5 Power Mix'!ECV14+'NF - 5 Power Mix'!ECV15)*860/10)+((('Form Sa1'!ECY835)*860)/10)+('Form Sa1'!ECY814*'Form Sa1'!ECY816/10)-'NF - 5 Power Mix'!ECV21-'NF - 5 Power Mix'!ECV22</f>
        <v>0</v>
      </c>
      <c r="ECW42" s="1046">
        <f>ECW38+((ECW40+'NF - 5 Power Mix'!ECW14+'NF - 5 Power Mix'!ECW15)*860/10)+((('Form Sa1'!ECZ835)*860)/10)+('Form Sa1'!ECZ814*'Form Sa1'!ECZ816/10)-'NF - 5 Power Mix'!ECW21-'NF - 5 Power Mix'!ECW22</f>
        <v>0</v>
      </c>
      <c r="ECX42" s="1046">
        <f>ECX38+((ECX40+'NF - 5 Power Mix'!ECX14+'NF - 5 Power Mix'!ECX15)*860/10)+((('Form Sa1'!EDA835)*860)/10)+('Form Sa1'!EDA814*'Form Sa1'!EDA816/10)-'NF - 5 Power Mix'!ECX21-'NF - 5 Power Mix'!ECX22</f>
        <v>0</v>
      </c>
      <c r="ECY42" s="1046">
        <f>ECY38+((ECY40+'NF - 5 Power Mix'!ECY14+'NF - 5 Power Mix'!ECY15)*860/10)+((('Form Sa1'!EDB835)*860)/10)+('Form Sa1'!EDB814*'Form Sa1'!EDB816/10)-'NF - 5 Power Mix'!ECY21-'NF - 5 Power Mix'!ECY22</f>
        <v>0</v>
      </c>
      <c r="ECZ42" s="1046">
        <f>ECZ38+((ECZ40+'NF - 5 Power Mix'!ECZ14+'NF - 5 Power Mix'!ECZ15)*860/10)+((('Form Sa1'!EDC835)*860)/10)+('Form Sa1'!EDC814*'Form Sa1'!EDC816/10)-'NF - 5 Power Mix'!ECZ21-'NF - 5 Power Mix'!ECZ22</f>
        <v>0</v>
      </c>
      <c r="EDA42" s="1046">
        <f>EDA38+((EDA40+'NF - 5 Power Mix'!EDA14+'NF - 5 Power Mix'!EDA15)*860/10)+((('Form Sa1'!EDD835)*860)/10)+('Form Sa1'!EDD814*'Form Sa1'!EDD816/10)-'NF - 5 Power Mix'!EDA21-'NF - 5 Power Mix'!EDA22</f>
        <v>0</v>
      </c>
      <c r="EDB42" s="1046">
        <f>EDB38+((EDB40+'NF - 5 Power Mix'!EDB14+'NF - 5 Power Mix'!EDB15)*860/10)+((('Form Sa1'!EDE835)*860)/10)+('Form Sa1'!EDE814*'Form Sa1'!EDE816/10)-'NF - 5 Power Mix'!EDB21-'NF - 5 Power Mix'!EDB22</f>
        <v>0</v>
      </c>
      <c r="EDC42" s="1046">
        <f>EDC38+((EDC40+'NF - 5 Power Mix'!EDC14+'NF - 5 Power Mix'!EDC15)*860/10)+((('Form Sa1'!EDF835)*860)/10)+('Form Sa1'!EDF814*'Form Sa1'!EDF816/10)-'NF - 5 Power Mix'!EDC21-'NF - 5 Power Mix'!EDC22</f>
        <v>0</v>
      </c>
      <c r="EDD42" s="1046">
        <f>EDD38+((EDD40+'NF - 5 Power Mix'!EDD14+'NF - 5 Power Mix'!EDD15)*860/10)+((('Form Sa1'!EDG835)*860)/10)+('Form Sa1'!EDG814*'Form Sa1'!EDG816/10)-'NF - 5 Power Mix'!EDD21-'NF - 5 Power Mix'!EDD22</f>
        <v>0</v>
      </c>
      <c r="EDE42" s="1046">
        <f>EDE38+((EDE40+'NF - 5 Power Mix'!EDE14+'NF - 5 Power Mix'!EDE15)*860/10)+((('Form Sa1'!EDH835)*860)/10)+('Form Sa1'!EDH814*'Form Sa1'!EDH816/10)-'NF - 5 Power Mix'!EDE21-'NF - 5 Power Mix'!EDE22</f>
        <v>0</v>
      </c>
      <c r="EDF42" s="1046">
        <f>EDF38+((EDF40+'NF - 5 Power Mix'!EDF14+'NF - 5 Power Mix'!EDF15)*860/10)+((('Form Sa1'!EDI835)*860)/10)+('Form Sa1'!EDI814*'Form Sa1'!EDI816/10)-'NF - 5 Power Mix'!EDF21-'NF - 5 Power Mix'!EDF22</f>
        <v>0</v>
      </c>
      <c r="EDG42" s="1046">
        <f>EDG38+((EDG40+'NF - 5 Power Mix'!EDG14+'NF - 5 Power Mix'!EDG15)*860/10)+((('Form Sa1'!EDJ835)*860)/10)+('Form Sa1'!EDJ814*'Form Sa1'!EDJ816/10)-'NF - 5 Power Mix'!EDG21-'NF - 5 Power Mix'!EDG22</f>
        <v>0</v>
      </c>
      <c r="EDH42" s="1046">
        <f>EDH38+((EDH40+'NF - 5 Power Mix'!EDH14+'NF - 5 Power Mix'!EDH15)*860/10)+((('Form Sa1'!EDK835)*860)/10)+('Form Sa1'!EDK814*'Form Sa1'!EDK816/10)-'NF - 5 Power Mix'!EDH21-'NF - 5 Power Mix'!EDH22</f>
        <v>0</v>
      </c>
      <c r="EDI42" s="1046">
        <f>EDI38+((EDI40+'NF - 5 Power Mix'!EDI14+'NF - 5 Power Mix'!EDI15)*860/10)+((('Form Sa1'!EDL835)*860)/10)+('Form Sa1'!EDL814*'Form Sa1'!EDL816/10)-'NF - 5 Power Mix'!EDI21-'NF - 5 Power Mix'!EDI22</f>
        <v>0</v>
      </c>
      <c r="EDJ42" s="1046">
        <f>EDJ38+((EDJ40+'NF - 5 Power Mix'!EDJ14+'NF - 5 Power Mix'!EDJ15)*860/10)+((('Form Sa1'!EDM835)*860)/10)+('Form Sa1'!EDM814*'Form Sa1'!EDM816/10)-'NF - 5 Power Mix'!EDJ21-'NF - 5 Power Mix'!EDJ22</f>
        <v>0</v>
      </c>
      <c r="EDK42" s="1046">
        <f>EDK38+((EDK40+'NF - 5 Power Mix'!EDK14+'NF - 5 Power Mix'!EDK15)*860/10)+((('Form Sa1'!EDN835)*860)/10)+('Form Sa1'!EDN814*'Form Sa1'!EDN816/10)-'NF - 5 Power Mix'!EDK21-'NF - 5 Power Mix'!EDK22</f>
        <v>0</v>
      </c>
      <c r="EDL42" s="1046">
        <f>EDL38+((EDL40+'NF - 5 Power Mix'!EDL14+'NF - 5 Power Mix'!EDL15)*860/10)+((('Form Sa1'!EDO835)*860)/10)+('Form Sa1'!EDO814*'Form Sa1'!EDO816/10)-'NF - 5 Power Mix'!EDL21-'NF - 5 Power Mix'!EDL22</f>
        <v>0</v>
      </c>
      <c r="EDM42" s="1046">
        <f>EDM38+((EDM40+'NF - 5 Power Mix'!EDM14+'NF - 5 Power Mix'!EDM15)*860/10)+((('Form Sa1'!EDP835)*860)/10)+('Form Sa1'!EDP814*'Form Sa1'!EDP816/10)-'NF - 5 Power Mix'!EDM21-'NF - 5 Power Mix'!EDM22</f>
        <v>0</v>
      </c>
      <c r="EDN42" s="1046">
        <f>EDN38+((EDN40+'NF - 5 Power Mix'!EDN14+'NF - 5 Power Mix'!EDN15)*860/10)+((('Form Sa1'!EDQ835)*860)/10)+('Form Sa1'!EDQ814*'Form Sa1'!EDQ816/10)-'NF - 5 Power Mix'!EDN21-'NF - 5 Power Mix'!EDN22</f>
        <v>0</v>
      </c>
      <c r="EDO42" s="1046">
        <f>EDO38+((EDO40+'NF - 5 Power Mix'!EDO14+'NF - 5 Power Mix'!EDO15)*860/10)+((('Form Sa1'!EDR835)*860)/10)+('Form Sa1'!EDR814*'Form Sa1'!EDR816/10)-'NF - 5 Power Mix'!EDO21-'NF - 5 Power Mix'!EDO22</f>
        <v>0</v>
      </c>
      <c r="EDP42" s="1046">
        <f>EDP38+((EDP40+'NF - 5 Power Mix'!EDP14+'NF - 5 Power Mix'!EDP15)*860/10)+((('Form Sa1'!EDS835)*860)/10)+('Form Sa1'!EDS814*'Form Sa1'!EDS816/10)-'NF - 5 Power Mix'!EDP21-'NF - 5 Power Mix'!EDP22</f>
        <v>0</v>
      </c>
      <c r="EDQ42" s="1046">
        <f>EDQ38+((EDQ40+'NF - 5 Power Mix'!EDQ14+'NF - 5 Power Mix'!EDQ15)*860/10)+((('Form Sa1'!EDT835)*860)/10)+('Form Sa1'!EDT814*'Form Sa1'!EDT816/10)-'NF - 5 Power Mix'!EDQ21-'NF - 5 Power Mix'!EDQ22</f>
        <v>0</v>
      </c>
      <c r="EDR42" s="1046">
        <f>EDR38+((EDR40+'NF - 5 Power Mix'!EDR14+'NF - 5 Power Mix'!EDR15)*860/10)+((('Form Sa1'!EDU835)*860)/10)+('Form Sa1'!EDU814*'Form Sa1'!EDU816/10)-'NF - 5 Power Mix'!EDR21-'NF - 5 Power Mix'!EDR22</f>
        <v>0</v>
      </c>
      <c r="EDS42" s="1046">
        <f>EDS38+((EDS40+'NF - 5 Power Mix'!EDS14+'NF - 5 Power Mix'!EDS15)*860/10)+((('Form Sa1'!EDV835)*860)/10)+('Form Sa1'!EDV814*'Form Sa1'!EDV816/10)-'NF - 5 Power Mix'!EDS21-'NF - 5 Power Mix'!EDS22</f>
        <v>0</v>
      </c>
      <c r="EDT42" s="1046">
        <f>EDT38+((EDT40+'NF - 5 Power Mix'!EDT14+'NF - 5 Power Mix'!EDT15)*860/10)+((('Form Sa1'!EDW835)*860)/10)+('Form Sa1'!EDW814*'Form Sa1'!EDW816/10)-'NF - 5 Power Mix'!EDT21-'NF - 5 Power Mix'!EDT22</f>
        <v>0</v>
      </c>
      <c r="EDU42" s="1046">
        <f>EDU38+((EDU40+'NF - 5 Power Mix'!EDU14+'NF - 5 Power Mix'!EDU15)*860/10)+((('Form Sa1'!EDX835)*860)/10)+('Form Sa1'!EDX814*'Form Sa1'!EDX816/10)-'NF - 5 Power Mix'!EDU21-'NF - 5 Power Mix'!EDU22</f>
        <v>0</v>
      </c>
      <c r="EDV42" s="1046">
        <f>EDV38+((EDV40+'NF - 5 Power Mix'!EDV14+'NF - 5 Power Mix'!EDV15)*860/10)+((('Form Sa1'!EDY835)*860)/10)+('Form Sa1'!EDY814*'Form Sa1'!EDY816/10)-'NF - 5 Power Mix'!EDV21-'NF - 5 Power Mix'!EDV22</f>
        <v>0</v>
      </c>
      <c r="EDW42" s="1046">
        <f>EDW38+((EDW40+'NF - 5 Power Mix'!EDW14+'NF - 5 Power Mix'!EDW15)*860/10)+((('Form Sa1'!EDZ835)*860)/10)+('Form Sa1'!EDZ814*'Form Sa1'!EDZ816/10)-'NF - 5 Power Mix'!EDW21-'NF - 5 Power Mix'!EDW22</f>
        <v>0</v>
      </c>
      <c r="EDX42" s="1046">
        <f>EDX38+((EDX40+'NF - 5 Power Mix'!EDX14+'NF - 5 Power Mix'!EDX15)*860/10)+((('Form Sa1'!EEA835)*860)/10)+('Form Sa1'!EEA814*'Form Sa1'!EEA816/10)-'NF - 5 Power Mix'!EDX21-'NF - 5 Power Mix'!EDX22</f>
        <v>0</v>
      </c>
      <c r="EDY42" s="1046">
        <f>EDY38+((EDY40+'NF - 5 Power Mix'!EDY14+'NF - 5 Power Mix'!EDY15)*860/10)+((('Form Sa1'!EEB835)*860)/10)+('Form Sa1'!EEB814*'Form Sa1'!EEB816/10)-'NF - 5 Power Mix'!EDY21-'NF - 5 Power Mix'!EDY22</f>
        <v>0</v>
      </c>
      <c r="EDZ42" s="1046">
        <f>EDZ38+((EDZ40+'NF - 5 Power Mix'!EDZ14+'NF - 5 Power Mix'!EDZ15)*860/10)+((('Form Sa1'!EEC835)*860)/10)+('Form Sa1'!EEC814*'Form Sa1'!EEC816/10)-'NF - 5 Power Mix'!EDZ21-'NF - 5 Power Mix'!EDZ22</f>
        <v>0</v>
      </c>
      <c r="EEA42" s="1046">
        <f>EEA38+((EEA40+'NF - 5 Power Mix'!EEA14+'NF - 5 Power Mix'!EEA15)*860/10)+((('Form Sa1'!EED835)*860)/10)+('Form Sa1'!EED814*'Form Sa1'!EED816/10)-'NF - 5 Power Mix'!EEA21-'NF - 5 Power Mix'!EEA22</f>
        <v>0</v>
      </c>
      <c r="EEB42" s="1046">
        <f>EEB38+((EEB40+'NF - 5 Power Mix'!EEB14+'NF - 5 Power Mix'!EEB15)*860/10)+((('Form Sa1'!EEE835)*860)/10)+('Form Sa1'!EEE814*'Form Sa1'!EEE816/10)-'NF - 5 Power Mix'!EEB21-'NF - 5 Power Mix'!EEB22</f>
        <v>0</v>
      </c>
      <c r="EEC42" s="1046">
        <f>EEC38+((EEC40+'NF - 5 Power Mix'!EEC14+'NF - 5 Power Mix'!EEC15)*860/10)+((('Form Sa1'!EEF835)*860)/10)+('Form Sa1'!EEF814*'Form Sa1'!EEF816/10)-'NF - 5 Power Mix'!EEC21-'NF - 5 Power Mix'!EEC22</f>
        <v>0</v>
      </c>
      <c r="EED42" s="1046">
        <f>EED38+((EED40+'NF - 5 Power Mix'!EED14+'NF - 5 Power Mix'!EED15)*860/10)+((('Form Sa1'!EEG835)*860)/10)+('Form Sa1'!EEG814*'Form Sa1'!EEG816/10)-'NF - 5 Power Mix'!EED21-'NF - 5 Power Mix'!EED22</f>
        <v>0</v>
      </c>
      <c r="EEE42" s="1046">
        <f>EEE38+((EEE40+'NF - 5 Power Mix'!EEE14+'NF - 5 Power Mix'!EEE15)*860/10)+((('Form Sa1'!EEH835)*860)/10)+('Form Sa1'!EEH814*'Form Sa1'!EEH816/10)-'NF - 5 Power Mix'!EEE21-'NF - 5 Power Mix'!EEE22</f>
        <v>0</v>
      </c>
      <c r="EEF42" s="1046">
        <f>EEF38+((EEF40+'NF - 5 Power Mix'!EEF14+'NF - 5 Power Mix'!EEF15)*860/10)+((('Form Sa1'!EEI835)*860)/10)+('Form Sa1'!EEI814*'Form Sa1'!EEI816/10)-'NF - 5 Power Mix'!EEF21-'NF - 5 Power Mix'!EEF22</f>
        <v>0</v>
      </c>
      <c r="EEG42" s="1046">
        <f>EEG38+((EEG40+'NF - 5 Power Mix'!EEG14+'NF - 5 Power Mix'!EEG15)*860/10)+((('Form Sa1'!EEJ835)*860)/10)+('Form Sa1'!EEJ814*'Form Sa1'!EEJ816/10)-'NF - 5 Power Mix'!EEG21-'NF - 5 Power Mix'!EEG22</f>
        <v>0</v>
      </c>
      <c r="EEH42" s="1046">
        <f>EEH38+((EEH40+'NF - 5 Power Mix'!EEH14+'NF - 5 Power Mix'!EEH15)*860/10)+((('Form Sa1'!EEK835)*860)/10)+('Form Sa1'!EEK814*'Form Sa1'!EEK816/10)-'NF - 5 Power Mix'!EEH21-'NF - 5 Power Mix'!EEH22</f>
        <v>0</v>
      </c>
      <c r="EEI42" s="1046">
        <f>EEI38+((EEI40+'NF - 5 Power Mix'!EEI14+'NF - 5 Power Mix'!EEI15)*860/10)+((('Form Sa1'!EEL835)*860)/10)+('Form Sa1'!EEL814*'Form Sa1'!EEL816/10)-'NF - 5 Power Mix'!EEI21-'NF - 5 Power Mix'!EEI22</f>
        <v>0</v>
      </c>
      <c r="EEJ42" s="1046">
        <f>EEJ38+((EEJ40+'NF - 5 Power Mix'!EEJ14+'NF - 5 Power Mix'!EEJ15)*860/10)+((('Form Sa1'!EEM835)*860)/10)+('Form Sa1'!EEM814*'Form Sa1'!EEM816/10)-'NF - 5 Power Mix'!EEJ21-'NF - 5 Power Mix'!EEJ22</f>
        <v>0</v>
      </c>
      <c r="EEK42" s="1046">
        <f>EEK38+((EEK40+'NF - 5 Power Mix'!EEK14+'NF - 5 Power Mix'!EEK15)*860/10)+((('Form Sa1'!EEN835)*860)/10)+('Form Sa1'!EEN814*'Form Sa1'!EEN816/10)-'NF - 5 Power Mix'!EEK21-'NF - 5 Power Mix'!EEK22</f>
        <v>0</v>
      </c>
      <c r="EEL42" s="1046">
        <f>EEL38+((EEL40+'NF - 5 Power Mix'!EEL14+'NF - 5 Power Mix'!EEL15)*860/10)+((('Form Sa1'!EEO835)*860)/10)+('Form Sa1'!EEO814*'Form Sa1'!EEO816/10)-'NF - 5 Power Mix'!EEL21-'NF - 5 Power Mix'!EEL22</f>
        <v>0</v>
      </c>
      <c r="EEM42" s="1046">
        <f>EEM38+((EEM40+'NF - 5 Power Mix'!EEM14+'NF - 5 Power Mix'!EEM15)*860/10)+((('Form Sa1'!EEP835)*860)/10)+('Form Sa1'!EEP814*'Form Sa1'!EEP816/10)-'NF - 5 Power Mix'!EEM21-'NF - 5 Power Mix'!EEM22</f>
        <v>0</v>
      </c>
      <c r="EEN42" s="1046">
        <f>EEN38+((EEN40+'NF - 5 Power Mix'!EEN14+'NF - 5 Power Mix'!EEN15)*860/10)+((('Form Sa1'!EEQ835)*860)/10)+('Form Sa1'!EEQ814*'Form Sa1'!EEQ816/10)-'NF - 5 Power Mix'!EEN21-'NF - 5 Power Mix'!EEN22</f>
        <v>0</v>
      </c>
      <c r="EEO42" s="1046">
        <f>EEO38+((EEO40+'NF - 5 Power Mix'!EEO14+'NF - 5 Power Mix'!EEO15)*860/10)+((('Form Sa1'!EER835)*860)/10)+('Form Sa1'!EER814*'Form Sa1'!EER816/10)-'NF - 5 Power Mix'!EEO21-'NF - 5 Power Mix'!EEO22</f>
        <v>0</v>
      </c>
      <c r="EEP42" s="1046">
        <f>EEP38+((EEP40+'NF - 5 Power Mix'!EEP14+'NF - 5 Power Mix'!EEP15)*860/10)+((('Form Sa1'!EES835)*860)/10)+('Form Sa1'!EES814*'Form Sa1'!EES816/10)-'NF - 5 Power Mix'!EEP21-'NF - 5 Power Mix'!EEP22</f>
        <v>0</v>
      </c>
      <c r="EEQ42" s="1046">
        <f>EEQ38+((EEQ40+'NF - 5 Power Mix'!EEQ14+'NF - 5 Power Mix'!EEQ15)*860/10)+((('Form Sa1'!EET835)*860)/10)+('Form Sa1'!EET814*'Form Sa1'!EET816/10)-'NF - 5 Power Mix'!EEQ21-'NF - 5 Power Mix'!EEQ22</f>
        <v>0</v>
      </c>
      <c r="EER42" s="1046">
        <f>EER38+((EER40+'NF - 5 Power Mix'!EER14+'NF - 5 Power Mix'!EER15)*860/10)+((('Form Sa1'!EEU835)*860)/10)+('Form Sa1'!EEU814*'Form Sa1'!EEU816/10)-'NF - 5 Power Mix'!EER21-'NF - 5 Power Mix'!EER22</f>
        <v>0</v>
      </c>
      <c r="EES42" s="1046">
        <f>EES38+((EES40+'NF - 5 Power Mix'!EES14+'NF - 5 Power Mix'!EES15)*860/10)+((('Form Sa1'!EEV835)*860)/10)+('Form Sa1'!EEV814*'Form Sa1'!EEV816/10)-'NF - 5 Power Mix'!EES21-'NF - 5 Power Mix'!EES22</f>
        <v>0</v>
      </c>
      <c r="EET42" s="1046">
        <f>EET38+((EET40+'NF - 5 Power Mix'!EET14+'NF - 5 Power Mix'!EET15)*860/10)+((('Form Sa1'!EEW835)*860)/10)+('Form Sa1'!EEW814*'Form Sa1'!EEW816/10)-'NF - 5 Power Mix'!EET21-'NF - 5 Power Mix'!EET22</f>
        <v>0</v>
      </c>
      <c r="EEU42" s="1046">
        <f>EEU38+((EEU40+'NF - 5 Power Mix'!EEU14+'NF - 5 Power Mix'!EEU15)*860/10)+((('Form Sa1'!EEX835)*860)/10)+('Form Sa1'!EEX814*'Form Sa1'!EEX816/10)-'NF - 5 Power Mix'!EEU21-'NF - 5 Power Mix'!EEU22</f>
        <v>0</v>
      </c>
      <c r="EEV42" s="1046">
        <f>EEV38+((EEV40+'NF - 5 Power Mix'!EEV14+'NF - 5 Power Mix'!EEV15)*860/10)+((('Form Sa1'!EEY835)*860)/10)+('Form Sa1'!EEY814*'Form Sa1'!EEY816/10)-'NF - 5 Power Mix'!EEV21-'NF - 5 Power Mix'!EEV22</f>
        <v>0</v>
      </c>
      <c r="EEW42" s="1046">
        <f>EEW38+((EEW40+'NF - 5 Power Mix'!EEW14+'NF - 5 Power Mix'!EEW15)*860/10)+((('Form Sa1'!EEZ835)*860)/10)+('Form Sa1'!EEZ814*'Form Sa1'!EEZ816/10)-'NF - 5 Power Mix'!EEW21-'NF - 5 Power Mix'!EEW22</f>
        <v>0</v>
      </c>
      <c r="EEX42" s="1046">
        <f>EEX38+((EEX40+'NF - 5 Power Mix'!EEX14+'NF - 5 Power Mix'!EEX15)*860/10)+((('Form Sa1'!EFA835)*860)/10)+('Form Sa1'!EFA814*'Form Sa1'!EFA816/10)-'NF - 5 Power Mix'!EEX21-'NF - 5 Power Mix'!EEX22</f>
        <v>0</v>
      </c>
      <c r="EEY42" s="1046">
        <f>EEY38+((EEY40+'NF - 5 Power Mix'!EEY14+'NF - 5 Power Mix'!EEY15)*860/10)+((('Form Sa1'!EFB835)*860)/10)+('Form Sa1'!EFB814*'Form Sa1'!EFB816/10)-'NF - 5 Power Mix'!EEY21-'NF - 5 Power Mix'!EEY22</f>
        <v>0</v>
      </c>
      <c r="EEZ42" s="1046">
        <f>EEZ38+((EEZ40+'NF - 5 Power Mix'!EEZ14+'NF - 5 Power Mix'!EEZ15)*860/10)+((('Form Sa1'!EFC835)*860)/10)+('Form Sa1'!EFC814*'Form Sa1'!EFC816/10)-'NF - 5 Power Mix'!EEZ21-'NF - 5 Power Mix'!EEZ22</f>
        <v>0</v>
      </c>
      <c r="EFA42" s="1046">
        <f>EFA38+((EFA40+'NF - 5 Power Mix'!EFA14+'NF - 5 Power Mix'!EFA15)*860/10)+((('Form Sa1'!EFD835)*860)/10)+('Form Sa1'!EFD814*'Form Sa1'!EFD816/10)-'NF - 5 Power Mix'!EFA21-'NF - 5 Power Mix'!EFA22</f>
        <v>0</v>
      </c>
      <c r="EFB42" s="1046">
        <f>EFB38+((EFB40+'NF - 5 Power Mix'!EFB14+'NF - 5 Power Mix'!EFB15)*860/10)+((('Form Sa1'!EFE835)*860)/10)+('Form Sa1'!EFE814*'Form Sa1'!EFE816/10)-'NF - 5 Power Mix'!EFB21-'NF - 5 Power Mix'!EFB22</f>
        <v>0</v>
      </c>
      <c r="EFC42" s="1046">
        <f>EFC38+((EFC40+'NF - 5 Power Mix'!EFC14+'NF - 5 Power Mix'!EFC15)*860/10)+((('Form Sa1'!EFF835)*860)/10)+('Form Sa1'!EFF814*'Form Sa1'!EFF816/10)-'NF - 5 Power Mix'!EFC21-'NF - 5 Power Mix'!EFC22</f>
        <v>0</v>
      </c>
      <c r="EFD42" s="1046">
        <f>EFD38+((EFD40+'NF - 5 Power Mix'!EFD14+'NF - 5 Power Mix'!EFD15)*860/10)+((('Form Sa1'!EFG835)*860)/10)+('Form Sa1'!EFG814*'Form Sa1'!EFG816/10)-'NF - 5 Power Mix'!EFD21-'NF - 5 Power Mix'!EFD22</f>
        <v>0</v>
      </c>
      <c r="EFE42" s="1046">
        <f>EFE38+((EFE40+'NF - 5 Power Mix'!EFE14+'NF - 5 Power Mix'!EFE15)*860/10)+((('Form Sa1'!EFH835)*860)/10)+('Form Sa1'!EFH814*'Form Sa1'!EFH816/10)-'NF - 5 Power Mix'!EFE21-'NF - 5 Power Mix'!EFE22</f>
        <v>0</v>
      </c>
      <c r="EFF42" s="1046">
        <f>EFF38+((EFF40+'NF - 5 Power Mix'!EFF14+'NF - 5 Power Mix'!EFF15)*860/10)+((('Form Sa1'!EFI835)*860)/10)+('Form Sa1'!EFI814*'Form Sa1'!EFI816/10)-'NF - 5 Power Mix'!EFF21-'NF - 5 Power Mix'!EFF22</f>
        <v>0</v>
      </c>
      <c r="EFG42" s="1046">
        <f>EFG38+((EFG40+'NF - 5 Power Mix'!EFG14+'NF - 5 Power Mix'!EFG15)*860/10)+((('Form Sa1'!EFJ835)*860)/10)+('Form Sa1'!EFJ814*'Form Sa1'!EFJ816/10)-'NF - 5 Power Mix'!EFG21-'NF - 5 Power Mix'!EFG22</f>
        <v>0</v>
      </c>
      <c r="EFH42" s="1046">
        <f>EFH38+((EFH40+'NF - 5 Power Mix'!EFH14+'NF - 5 Power Mix'!EFH15)*860/10)+((('Form Sa1'!EFK835)*860)/10)+('Form Sa1'!EFK814*'Form Sa1'!EFK816/10)-'NF - 5 Power Mix'!EFH21-'NF - 5 Power Mix'!EFH22</f>
        <v>0</v>
      </c>
      <c r="EFI42" s="1046">
        <f>EFI38+((EFI40+'NF - 5 Power Mix'!EFI14+'NF - 5 Power Mix'!EFI15)*860/10)+((('Form Sa1'!EFL835)*860)/10)+('Form Sa1'!EFL814*'Form Sa1'!EFL816/10)-'NF - 5 Power Mix'!EFI21-'NF - 5 Power Mix'!EFI22</f>
        <v>0</v>
      </c>
      <c r="EFJ42" s="1046">
        <f>EFJ38+((EFJ40+'NF - 5 Power Mix'!EFJ14+'NF - 5 Power Mix'!EFJ15)*860/10)+((('Form Sa1'!EFM835)*860)/10)+('Form Sa1'!EFM814*'Form Sa1'!EFM816/10)-'NF - 5 Power Mix'!EFJ21-'NF - 5 Power Mix'!EFJ22</f>
        <v>0</v>
      </c>
      <c r="EFK42" s="1046">
        <f>EFK38+((EFK40+'NF - 5 Power Mix'!EFK14+'NF - 5 Power Mix'!EFK15)*860/10)+((('Form Sa1'!EFN835)*860)/10)+('Form Sa1'!EFN814*'Form Sa1'!EFN816/10)-'NF - 5 Power Mix'!EFK21-'NF - 5 Power Mix'!EFK22</f>
        <v>0</v>
      </c>
      <c r="EFL42" s="1046">
        <f>EFL38+((EFL40+'NF - 5 Power Mix'!EFL14+'NF - 5 Power Mix'!EFL15)*860/10)+((('Form Sa1'!EFO835)*860)/10)+('Form Sa1'!EFO814*'Form Sa1'!EFO816/10)-'NF - 5 Power Mix'!EFL21-'NF - 5 Power Mix'!EFL22</f>
        <v>0</v>
      </c>
      <c r="EFM42" s="1046">
        <f>EFM38+((EFM40+'NF - 5 Power Mix'!EFM14+'NF - 5 Power Mix'!EFM15)*860/10)+((('Form Sa1'!EFP835)*860)/10)+('Form Sa1'!EFP814*'Form Sa1'!EFP816/10)-'NF - 5 Power Mix'!EFM21-'NF - 5 Power Mix'!EFM22</f>
        <v>0</v>
      </c>
      <c r="EFN42" s="1046">
        <f>EFN38+((EFN40+'NF - 5 Power Mix'!EFN14+'NF - 5 Power Mix'!EFN15)*860/10)+((('Form Sa1'!EFQ835)*860)/10)+('Form Sa1'!EFQ814*'Form Sa1'!EFQ816/10)-'NF - 5 Power Mix'!EFN21-'NF - 5 Power Mix'!EFN22</f>
        <v>0</v>
      </c>
      <c r="EFO42" s="1046">
        <f>EFO38+((EFO40+'NF - 5 Power Mix'!EFO14+'NF - 5 Power Mix'!EFO15)*860/10)+((('Form Sa1'!EFR835)*860)/10)+('Form Sa1'!EFR814*'Form Sa1'!EFR816/10)-'NF - 5 Power Mix'!EFO21-'NF - 5 Power Mix'!EFO22</f>
        <v>0</v>
      </c>
      <c r="EFP42" s="1046">
        <f>EFP38+((EFP40+'NF - 5 Power Mix'!EFP14+'NF - 5 Power Mix'!EFP15)*860/10)+((('Form Sa1'!EFS835)*860)/10)+('Form Sa1'!EFS814*'Form Sa1'!EFS816/10)-'NF - 5 Power Mix'!EFP21-'NF - 5 Power Mix'!EFP22</f>
        <v>0</v>
      </c>
      <c r="EFQ42" s="1046">
        <f>EFQ38+((EFQ40+'NF - 5 Power Mix'!EFQ14+'NF - 5 Power Mix'!EFQ15)*860/10)+((('Form Sa1'!EFT835)*860)/10)+('Form Sa1'!EFT814*'Form Sa1'!EFT816/10)-'NF - 5 Power Mix'!EFQ21-'NF - 5 Power Mix'!EFQ22</f>
        <v>0</v>
      </c>
      <c r="EFR42" s="1046">
        <f>EFR38+((EFR40+'NF - 5 Power Mix'!EFR14+'NF - 5 Power Mix'!EFR15)*860/10)+((('Form Sa1'!EFU835)*860)/10)+('Form Sa1'!EFU814*'Form Sa1'!EFU816/10)-'NF - 5 Power Mix'!EFR21-'NF - 5 Power Mix'!EFR22</f>
        <v>0</v>
      </c>
      <c r="EFS42" s="1046">
        <f>EFS38+((EFS40+'NF - 5 Power Mix'!EFS14+'NF - 5 Power Mix'!EFS15)*860/10)+((('Form Sa1'!EFV835)*860)/10)+('Form Sa1'!EFV814*'Form Sa1'!EFV816/10)-'NF - 5 Power Mix'!EFS21-'NF - 5 Power Mix'!EFS22</f>
        <v>0</v>
      </c>
      <c r="EFT42" s="1046">
        <f>EFT38+((EFT40+'NF - 5 Power Mix'!EFT14+'NF - 5 Power Mix'!EFT15)*860/10)+((('Form Sa1'!EFW835)*860)/10)+('Form Sa1'!EFW814*'Form Sa1'!EFW816/10)-'NF - 5 Power Mix'!EFT21-'NF - 5 Power Mix'!EFT22</f>
        <v>0</v>
      </c>
      <c r="EFU42" s="1046">
        <f>EFU38+((EFU40+'NF - 5 Power Mix'!EFU14+'NF - 5 Power Mix'!EFU15)*860/10)+((('Form Sa1'!EFX835)*860)/10)+('Form Sa1'!EFX814*'Form Sa1'!EFX816/10)-'NF - 5 Power Mix'!EFU21-'NF - 5 Power Mix'!EFU22</f>
        <v>0</v>
      </c>
      <c r="EFV42" s="1046">
        <f>EFV38+((EFV40+'NF - 5 Power Mix'!EFV14+'NF - 5 Power Mix'!EFV15)*860/10)+((('Form Sa1'!EFY835)*860)/10)+('Form Sa1'!EFY814*'Form Sa1'!EFY816/10)-'NF - 5 Power Mix'!EFV21-'NF - 5 Power Mix'!EFV22</f>
        <v>0</v>
      </c>
      <c r="EFW42" s="1046">
        <f>EFW38+((EFW40+'NF - 5 Power Mix'!EFW14+'NF - 5 Power Mix'!EFW15)*860/10)+((('Form Sa1'!EFZ835)*860)/10)+('Form Sa1'!EFZ814*'Form Sa1'!EFZ816/10)-'NF - 5 Power Mix'!EFW21-'NF - 5 Power Mix'!EFW22</f>
        <v>0</v>
      </c>
      <c r="EFX42" s="1046">
        <f>EFX38+((EFX40+'NF - 5 Power Mix'!EFX14+'NF - 5 Power Mix'!EFX15)*860/10)+((('Form Sa1'!EGA835)*860)/10)+('Form Sa1'!EGA814*'Form Sa1'!EGA816/10)-'NF - 5 Power Mix'!EFX21-'NF - 5 Power Mix'!EFX22</f>
        <v>0</v>
      </c>
      <c r="EFY42" s="1046">
        <f>EFY38+((EFY40+'NF - 5 Power Mix'!EFY14+'NF - 5 Power Mix'!EFY15)*860/10)+((('Form Sa1'!EGB835)*860)/10)+('Form Sa1'!EGB814*'Form Sa1'!EGB816/10)-'NF - 5 Power Mix'!EFY21-'NF - 5 Power Mix'!EFY22</f>
        <v>0</v>
      </c>
      <c r="EFZ42" s="1046">
        <f>EFZ38+((EFZ40+'NF - 5 Power Mix'!EFZ14+'NF - 5 Power Mix'!EFZ15)*860/10)+((('Form Sa1'!EGC835)*860)/10)+('Form Sa1'!EGC814*'Form Sa1'!EGC816/10)-'NF - 5 Power Mix'!EFZ21-'NF - 5 Power Mix'!EFZ22</f>
        <v>0</v>
      </c>
      <c r="EGA42" s="1046">
        <f>EGA38+((EGA40+'NF - 5 Power Mix'!EGA14+'NF - 5 Power Mix'!EGA15)*860/10)+((('Form Sa1'!EGD835)*860)/10)+('Form Sa1'!EGD814*'Form Sa1'!EGD816/10)-'NF - 5 Power Mix'!EGA21-'NF - 5 Power Mix'!EGA22</f>
        <v>0</v>
      </c>
      <c r="EGB42" s="1046">
        <f>EGB38+((EGB40+'NF - 5 Power Mix'!EGB14+'NF - 5 Power Mix'!EGB15)*860/10)+((('Form Sa1'!EGE835)*860)/10)+('Form Sa1'!EGE814*'Form Sa1'!EGE816/10)-'NF - 5 Power Mix'!EGB21-'NF - 5 Power Mix'!EGB22</f>
        <v>0</v>
      </c>
      <c r="EGC42" s="1046">
        <f>EGC38+((EGC40+'NF - 5 Power Mix'!EGC14+'NF - 5 Power Mix'!EGC15)*860/10)+((('Form Sa1'!EGF835)*860)/10)+('Form Sa1'!EGF814*'Form Sa1'!EGF816/10)-'NF - 5 Power Mix'!EGC21-'NF - 5 Power Mix'!EGC22</f>
        <v>0</v>
      </c>
      <c r="EGD42" s="1046">
        <f>EGD38+((EGD40+'NF - 5 Power Mix'!EGD14+'NF - 5 Power Mix'!EGD15)*860/10)+((('Form Sa1'!EGG835)*860)/10)+('Form Sa1'!EGG814*'Form Sa1'!EGG816/10)-'NF - 5 Power Mix'!EGD21-'NF - 5 Power Mix'!EGD22</f>
        <v>0</v>
      </c>
      <c r="EGE42" s="1046">
        <f>EGE38+((EGE40+'NF - 5 Power Mix'!EGE14+'NF - 5 Power Mix'!EGE15)*860/10)+((('Form Sa1'!EGH835)*860)/10)+('Form Sa1'!EGH814*'Form Sa1'!EGH816/10)-'NF - 5 Power Mix'!EGE21-'NF - 5 Power Mix'!EGE22</f>
        <v>0</v>
      </c>
      <c r="EGF42" s="1046">
        <f>EGF38+((EGF40+'NF - 5 Power Mix'!EGF14+'NF - 5 Power Mix'!EGF15)*860/10)+((('Form Sa1'!EGI835)*860)/10)+('Form Sa1'!EGI814*'Form Sa1'!EGI816/10)-'NF - 5 Power Mix'!EGF21-'NF - 5 Power Mix'!EGF22</f>
        <v>0</v>
      </c>
      <c r="EGG42" s="1046">
        <f>EGG38+((EGG40+'NF - 5 Power Mix'!EGG14+'NF - 5 Power Mix'!EGG15)*860/10)+((('Form Sa1'!EGJ835)*860)/10)+('Form Sa1'!EGJ814*'Form Sa1'!EGJ816/10)-'NF - 5 Power Mix'!EGG21-'NF - 5 Power Mix'!EGG22</f>
        <v>0</v>
      </c>
      <c r="EGH42" s="1046">
        <f>EGH38+((EGH40+'NF - 5 Power Mix'!EGH14+'NF - 5 Power Mix'!EGH15)*860/10)+((('Form Sa1'!EGK835)*860)/10)+('Form Sa1'!EGK814*'Form Sa1'!EGK816/10)-'NF - 5 Power Mix'!EGH21-'NF - 5 Power Mix'!EGH22</f>
        <v>0</v>
      </c>
      <c r="EGI42" s="1046">
        <f>EGI38+((EGI40+'NF - 5 Power Mix'!EGI14+'NF - 5 Power Mix'!EGI15)*860/10)+((('Form Sa1'!EGL835)*860)/10)+('Form Sa1'!EGL814*'Form Sa1'!EGL816/10)-'NF - 5 Power Mix'!EGI21-'NF - 5 Power Mix'!EGI22</f>
        <v>0</v>
      </c>
      <c r="EGJ42" s="1046">
        <f>EGJ38+((EGJ40+'NF - 5 Power Mix'!EGJ14+'NF - 5 Power Mix'!EGJ15)*860/10)+((('Form Sa1'!EGM835)*860)/10)+('Form Sa1'!EGM814*'Form Sa1'!EGM816/10)-'NF - 5 Power Mix'!EGJ21-'NF - 5 Power Mix'!EGJ22</f>
        <v>0</v>
      </c>
      <c r="EGK42" s="1046">
        <f>EGK38+((EGK40+'NF - 5 Power Mix'!EGK14+'NF - 5 Power Mix'!EGK15)*860/10)+((('Form Sa1'!EGN835)*860)/10)+('Form Sa1'!EGN814*'Form Sa1'!EGN816/10)-'NF - 5 Power Mix'!EGK21-'NF - 5 Power Mix'!EGK22</f>
        <v>0</v>
      </c>
      <c r="EGL42" s="1046">
        <f>EGL38+((EGL40+'NF - 5 Power Mix'!EGL14+'NF - 5 Power Mix'!EGL15)*860/10)+((('Form Sa1'!EGO835)*860)/10)+('Form Sa1'!EGO814*'Form Sa1'!EGO816/10)-'NF - 5 Power Mix'!EGL21-'NF - 5 Power Mix'!EGL22</f>
        <v>0</v>
      </c>
      <c r="EGM42" s="1046">
        <f>EGM38+((EGM40+'NF - 5 Power Mix'!EGM14+'NF - 5 Power Mix'!EGM15)*860/10)+((('Form Sa1'!EGP835)*860)/10)+('Form Sa1'!EGP814*'Form Sa1'!EGP816/10)-'NF - 5 Power Mix'!EGM21-'NF - 5 Power Mix'!EGM22</f>
        <v>0</v>
      </c>
      <c r="EGN42" s="1046">
        <f>EGN38+((EGN40+'NF - 5 Power Mix'!EGN14+'NF - 5 Power Mix'!EGN15)*860/10)+((('Form Sa1'!EGQ835)*860)/10)+('Form Sa1'!EGQ814*'Form Sa1'!EGQ816/10)-'NF - 5 Power Mix'!EGN21-'NF - 5 Power Mix'!EGN22</f>
        <v>0</v>
      </c>
      <c r="EGO42" s="1046">
        <f>EGO38+((EGO40+'NF - 5 Power Mix'!EGO14+'NF - 5 Power Mix'!EGO15)*860/10)+((('Form Sa1'!EGR835)*860)/10)+('Form Sa1'!EGR814*'Form Sa1'!EGR816/10)-'NF - 5 Power Mix'!EGO21-'NF - 5 Power Mix'!EGO22</f>
        <v>0</v>
      </c>
      <c r="EGP42" s="1046">
        <f>EGP38+((EGP40+'NF - 5 Power Mix'!EGP14+'NF - 5 Power Mix'!EGP15)*860/10)+((('Form Sa1'!EGS835)*860)/10)+('Form Sa1'!EGS814*'Form Sa1'!EGS816/10)-'NF - 5 Power Mix'!EGP21-'NF - 5 Power Mix'!EGP22</f>
        <v>0</v>
      </c>
      <c r="EGQ42" s="1046">
        <f>EGQ38+((EGQ40+'NF - 5 Power Mix'!EGQ14+'NF - 5 Power Mix'!EGQ15)*860/10)+((('Form Sa1'!EGT835)*860)/10)+('Form Sa1'!EGT814*'Form Sa1'!EGT816/10)-'NF - 5 Power Mix'!EGQ21-'NF - 5 Power Mix'!EGQ22</f>
        <v>0</v>
      </c>
      <c r="EGR42" s="1046">
        <f>EGR38+((EGR40+'NF - 5 Power Mix'!EGR14+'NF - 5 Power Mix'!EGR15)*860/10)+((('Form Sa1'!EGU835)*860)/10)+('Form Sa1'!EGU814*'Form Sa1'!EGU816/10)-'NF - 5 Power Mix'!EGR21-'NF - 5 Power Mix'!EGR22</f>
        <v>0</v>
      </c>
      <c r="EGS42" s="1046">
        <f>EGS38+((EGS40+'NF - 5 Power Mix'!EGS14+'NF - 5 Power Mix'!EGS15)*860/10)+((('Form Sa1'!EGV835)*860)/10)+('Form Sa1'!EGV814*'Form Sa1'!EGV816/10)-'NF - 5 Power Mix'!EGS21-'NF - 5 Power Mix'!EGS22</f>
        <v>0</v>
      </c>
      <c r="EGT42" s="1046">
        <f>EGT38+((EGT40+'NF - 5 Power Mix'!EGT14+'NF - 5 Power Mix'!EGT15)*860/10)+((('Form Sa1'!EGW835)*860)/10)+('Form Sa1'!EGW814*'Form Sa1'!EGW816/10)-'NF - 5 Power Mix'!EGT21-'NF - 5 Power Mix'!EGT22</f>
        <v>0</v>
      </c>
      <c r="EGU42" s="1046">
        <f>EGU38+((EGU40+'NF - 5 Power Mix'!EGU14+'NF - 5 Power Mix'!EGU15)*860/10)+((('Form Sa1'!EGX835)*860)/10)+('Form Sa1'!EGX814*'Form Sa1'!EGX816/10)-'NF - 5 Power Mix'!EGU21-'NF - 5 Power Mix'!EGU22</f>
        <v>0</v>
      </c>
      <c r="EGV42" s="1046">
        <f>EGV38+((EGV40+'NF - 5 Power Mix'!EGV14+'NF - 5 Power Mix'!EGV15)*860/10)+((('Form Sa1'!EGY835)*860)/10)+('Form Sa1'!EGY814*'Form Sa1'!EGY816/10)-'NF - 5 Power Mix'!EGV21-'NF - 5 Power Mix'!EGV22</f>
        <v>0</v>
      </c>
      <c r="EGW42" s="1046">
        <f>EGW38+((EGW40+'NF - 5 Power Mix'!EGW14+'NF - 5 Power Mix'!EGW15)*860/10)+((('Form Sa1'!EGZ835)*860)/10)+('Form Sa1'!EGZ814*'Form Sa1'!EGZ816/10)-'NF - 5 Power Mix'!EGW21-'NF - 5 Power Mix'!EGW22</f>
        <v>0</v>
      </c>
      <c r="EGX42" s="1046">
        <f>EGX38+((EGX40+'NF - 5 Power Mix'!EGX14+'NF - 5 Power Mix'!EGX15)*860/10)+((('Form Sa1'!EHA835)*860)/10)+('Form Sa1'!EHA814*'Form Sa1'!EHA816/10)-'NF - 5 Power Mix'!EGX21-'NF - 5 Power Mix'!EGX22</f>
        <v>0</v>
      </c>
      <c r="EGY42" s="1046">
        <f>EGY38+((EGY40+'NF - 5 Power Mix'!EGY14+'NF - 5 Power Mix'!EGY15)*860/10)+((('Form Sa1'!EHB835)*860)/10)+('Form Sa1'!EHB814*'Form Sa1'!EHB816/10)-'NF - 5 Power Mix'!EGY21-'NF - 5 Power Mix'!EGY22</f>
        <v>0</v>
      </c>
      <c r="EGZ42" s="1046">
        <f>EGZ38+((EGZ40+'NF - 5 Power Mix'!EGZ14+'NF - 5 Power Mix'!EGZ15)*860/10)+((('Form Sa1'!EHC835)*860)/10)+('Form Sa1'!EHC814*'Form Sa1'!EHC816/10)-'NF - 5 Power Mix'!EGZ21-'NF - 5 Power Mix'!EGZ22</f>
        <v>0</v>
      </c>
      <c r="EHA42" s="1046">
        <f>EHA38+((EHA40+'NF - 5 Power Mix'!EHA14+'NF - 5 Power Mix'!EHA15)*860/10)+((('Form Sa1'!EHD835)*860)/10)+('Form Sa1'!EHD814*'Form Sa1'!EHD816/10)-'NF - 5 Power Mix'!EHA21-'NF - 5 Power Mix'!EHA22</f>
        <v>0</v>
      </c>
      <c r="EHB42" s="1046">
        <f>EHB38+((EHB40+'NF - 5 Power Mix'!EHB14+'NF - 5 Power Mix'!EHB15)*860/10)+((('Form Sa1'!EHE835)*860)/10)+('Form Sa1'!EHE814*'Form Sa1'!EHE816/10)-'NF - 5 Power Mix'!EHB21-'NF - 5 Power Mix'!EHB22</f>
        <v>0</v>
      </c>
      <c r="EHC42" s="1046">
        <f>EHC38+((EHC40+'NF - 5 Power Mix'!EHC14+'NF - 5 Power Mix'!EHC15)*860/10)+((('Form Sa1'!EHF835)*860)/10)+('Form Sa1'!EHF814*'Form Sa1'!EHF816/10)-'NF - 5 Power Mix'!EHC21-'NF - 5 Power Mix'!EHC22</f>
        <v>0</v>
      </c>
      <c r="EHD42" s="1046">
        <f>EHD38+((EHD40+'NF - 5 Power Mix'!EHD14+'NF - 5 Power Mix'!EHD15)*860/10)+((('Form Sa1'!EHG835)*860)/10)+('Form Sa1'!EHG814*'Form Sa1'!EHG816/10)-'NF - 5 Power Mix'!EHD21-'NF - 5 Power Mix'!EHD22</f>
        <v>0</v>
      </c>
      <c r="EHE42" s="1046">
        <f>EHE38+((EHE40+'NF - 5 Power Mix'!EHE14+'NF - 5 Power Mix'!EHE15)*860/10)+((('Form Sa1'!EHH835)*860)/10)+('Form Sa1'!EHH814*'Form Sa1'!EHH816/10)-'NF - 5 Power Mix'!EHE21-'NF - 5 Power Mix'!EHE22</f>
        <v>0</v>
      </c>
      <c r="EHF42" s="1046">
        <f>EHF38+((EHF40+'NF - 5 Power Mix'!EHF14+'NF - 5 Power Mix'!EHF15)*860/10)+((('Form Sa1'!EHI835)*860)/10)+('Form Sa1'!EHI814*'Form Sa1'!EHI816/10)-'NF - 5 Power Mix'!EHF21-'NF - 5 Power Mix'!EHF22</f>
        <v>0</v>
      </c>
      <c r="EHG42" s="1046">
        <f>EHG38+((EHG40+'NF - 5 Power Mix'!EHG14+'NF - 5 Power Mix'!EHG15)*860/10)+((('Form Sa1'!EHJ835)*860)/10)+('Form Sa1'!EHJ814*'Form Sa1'!EHJ816/10)-'NF - 5 Power Mix'!EHG21-'NF - 5 Power Mix'!EHG22</f>
        <v>0</v>
      </c>
      <c r="EHH42" s="1046">
        <f>EHH38+((EHH40+'NF - 5 Power Mix'!EHH14+'NF - 5 Power Mix'!EHH15)*860/10)+((('Form Sa1'!EHK835)*860)/10)+('Form Sa1'!EHK814*'Form Sa1'!EHK816/10)-'NF - 5 Power Mix'!EHH21-'NF - 5 Power Mix'!EHH22</f>
        <v>0</v>
      </c>
      <c r="EHI42" s="1046">
        <f>EHI38+((EHI40+'NF - 5 Power Mix'!EHI14+'NF - 5 Power Mix'!EHI15)*860/10)+((('Form Sa1'!EHL835)*860)/10)+('Form Sa1'!EHL814*'Form Sa1'!EHL816/10)-'NF - 5 Power Mix'!EHI21-'NF - 5 Power Mix'!EHI22</f>
        <v>0</v>
      </c>
      <c r="EHJ42" s="1046">
        <f>EHJ38+((EHJ40+'NF - 5 Power Mix'!EHJ14+'NF - 5 Power Mix'!EHJ15)*860/10)+((('Form Sa1'!EHM835)*860)/10)+('Form Sa1'!EHM814*'Form Sa1'!EHM816/10)-'NF - 5 Power Mix'!EHJ21-'NF - 5 Power Mix'!EHJ22</f>
        <v>0</v>
      </c>
      <c r="EHK42" s="1046">
        <f>EHK38+((EHK40+'NF - 5 Power Mix'!EHK14+'NF - 5 Power Mix'!EHK15)*860/10)+((('Form Sa1'!EHN835)*860)/10)+('Form Sa1'!EHN814*'Form Sa1'!EHN816/10)-'NF - 5 Power Mix'!EHK21-'NF - 5 Power Mix'!EHK22</f>
        <v>0</v>
      </c>
      <c r="EHL42" s="1046">
        <f>EHL38+((EHL40+'NF - 5 Power Mix'!EHL14+'NF - 5 Power Mix'!EHL15)*860/10)+((('Form Sa1'!EHO835)*860)/10)+('Form Sa1'!EHO814*'Form Sa1'!EHO816/10)-'NF - 5 Power Mix'!EHL21-'NF - 5 Power Mix'!EHL22</f>
        <v>0</v>
      </c>
      <c r="EHM42" s="1046">
        <f>EHM38+((EHM40+'NF - 5 Power Mix'!EHM14+'NF - 5 Power Mix'!EHM15)*860/10)+((('Form Sa1'!EHP835)*860)/10)+('Form Sa1'!EHP814*'Form Sa1'!EHP816/10)-'NF - 5 Power Mix'!EHM21-'NF - 5 Power Mix'!EHM22</f>
        <v>0</v>
      </c>
      <c r="EHN42" s="1046">
        <f>EHN38+((EHN40+'NF - 5 Power Mix'!EHN14+'NF - 5 Power Mix'!EHN15)*860/10)+((('Form Sa1'!EHQ835)*860)/10)+('Form Sa1'!EHQ814*'Form Sa1'!EHQ816/10)-'NF - 5 Power Mix'!EHN21-'NF - 5 Power Mix'!EHN22</f>
        <v>0</v>
      </c>
      <c r="EHO42" s="1046">
        <f>EHO38+((EHO40+'NF - 5 Power Mix'!EHO14+'NF - 5 Power Mix'!EHO15)*860/10)+((('Form Sa1'!EHR835)*860)/10)+('Form Sa1'!EHR814*'Form Sa1'!EHR816/10)-'NF - 5 Power Mix'!EHO21-'NF - 5 Power Mix'!EHO22</f>
        <v>0</v>
      </c>
      <c r="EHP42" s="1046">
        <f>EHP38+((EHP40+'NF - 5 Power Mix'!EHP14+'NF - 5 Power Mix'!EHP15)*860/10)+((('Form Sa1'!EHS835)*860)/10)+('Form Sa1'!EHS814*'Form Sa1'!EHS816/10)-'NF - 5 Power Mix'!EHP21-'NF - 5 Power Mix'!EHP22</f>
        <v>0</v>
      </c>
      <c r="EHQ42" s="1046">
        <f>EHQ38+((EHQ40+'NF - 5 Power Mix'!EHQ14+'NF - 5 Power Mix'!EHQ15)*860/10)+((('Form Sa1'!EHT835)*860)/10)+('Form Sa1'!EHT814*'Form Sa1'!EHT816/10)-'NF - 5 Power Mix'!EHQ21-'NF - 5 Power Mix'!EHQ22</f>
        <v>0</v>
      </c>
      <c r="EHR42" s="1046">
        <f>EHR38+((EHR40+'NF - 5 Power Mix'!EHR14+'NF - 5 Power Mix'!EHR15)*860/10)+((('Form Sa1'!EHU835)*860)/10)+('Form Sa1'!EHU814*'Form Sa1'!EHU816/10)-'NF - 5 Power Mix'!EHR21-'NF - 5 Power Mix'!EHR22</f>
        <v>0</v>
      </c>
      <c r="EHS42" s="1046">
        <f>EHS38+((EHS40+'NF - 5 Power Mix'!EHS14+'NF - 5 Power Mix'!EHS15)*860/10)+((('Form Sa1'!EHV835)*860)/10)+('Form Sa1'!EHV814*'Form Sa1'!EHV816/10)-'NF - 5 Power Mix'!EHS21-'NF - 5 Power Mix'!EHS22</f>
        <v>0</v>
      </c>
      <c r="EHT42" s="1046">
        <f>EHT38+((EHT40+'NF - 5 Power Mix'!EHT14+'NF - 5 Power Mix'!EHT15)*860/10)+((('Form Sa1'!EHW835)*860)/10)+('Form Sa1'!EHW814*'Form Sa1'!EHW816/10)-'NF - 5 Power Mix'!EHT21-'NF - 5 Power Mix'!EHT22</f>
        <v>0</v>
      </c>
      <c r="EHU42" s="1046">
        <f>EHU38+((EHU40+'NF - 5 Power Mix'!EHU14+'NF - 5 Power Mix'!EHU15)*860/10)+((('Form Sa1'!EHX835)*860)/10)+('Form Sa1'!EHX814*'Form Sa1'!EHX816/10)-'NF - 5 Power Mix'!EHU21-'NF - 5 Power Mix'!EHU22</f>
        <v>0</v>
      </c>
      <c r="EHV42" s="1046">
        <f>EHV38+((EHV40+'NF - 5 Power Mix'!EHV14+'NF - 5 Power Mix'!EHV15)*860/10)+((('Form Sa1'!EHY835)*860)/10)+('Form Sa1'!EHY814*'Form Sa1'!EHY816/10)-'NF - 5 Power Mix'!EHV21-'NF - 5 Power Mix'!EHV22</f>
        <v>0</v>
      </c>
      <c r="EHW42" s="1046">
        <f>EHW38+((EHW40+'NF - 5 Power Mix'!EHW14+'NF - 5 Power Mix'!EHW15)*860/10)+((('Form Sa1'!EHZ835)*860)/10)+('Form Sa1'!EHZ814*'Form Sa1'!EHZ816/10)-'NF - 5 Power Mix'!EHW21-'NF - 5 Power Mix'!EHW22</f>
        <v>0</v>
      </c>
      <c r="EHX42" s="1046">
        <f>EHX38+((EHX40+'NF - 5 Power Mix'!EHX14+'NF - 5 Power Mix'!EHX15)*860/10)+((('Form Sa1'!EIA835)*860)/10)+('Form Sa1'!EIA814*'Form Sa1'!EIA816/10)-'NF - 5 Power Mix'!EHX21-'NF - 5 Power Mix'!EHX22</f>
        <v>0</v>
      </c>
      <c r="EHY42" s="1046">
        <f>EHY38+((EHY40+'NF - 5 Power Mix'!EHY14+'NF - 5 Power Mix'!EHY15)*860/10)+((('Form Sa1'!EIB835)*860)/10)+('Form Sa1'!EIB814*'Form Sa1'!EIB816/10)-'NF - 5 Power Mix'!EHY21-'NF - 5 Power Mix'!EHY22</f>
        <v>0</v>
      </c>
      <c r="EHZ42" s="1046">
        <f>EHZ38+((EHZ40+'NF - 5 Power Mix'!EHZ14+'NF - 5 Power Mix'!EHZ15)*860/10)+((('Form Sa1'!EIC835)*860)/10)+('Form Sa1'!EIC814*'Form Sa1'!EIC816/10)-'NF - 5 Power Mix'!EHZ21-'NF - 5 Power Mix'!EHZ22</f>
        <v>0</v>
      </c>
      <c r="EIA42" s="1046">
        <f>EIA38+((EIA40+'NF - 5 Power Mix'!EIA14+'NF - 5 Power Mix'!EIA15)*860/10)+((('Form Sa1'!EID835)*860)/10)+('Form Sa1'!EID814*'Form Sa1'!EID816/10)-'NF - 5 Power Mix'!EIA21-'NF - 5 Power Mix'!EIA22</f>
        <v>0</v>
      </c>
      <c r="EIB42" s="1046">
        <f>EIB38+((EIB40+'NF - 5 Power Mix'!EIB14+'NF - 5 Power Mix'!EIB15)*860/10)+((('Form Sa1'!EIE835)*860)/10)+('Form Sa1'!EIE814*'Form Sa1'!EIE816/10)-'NF - 5 Power Mix'!EIB21-'NF - 5 Power Mix'!EIB22</f>
        <v>0</v>
      </c>
      <c r="EIC42" s="1046">
        <f>EIC38+((EIC40+'NF - 5 Power Mix'!EIC14+'NF - 5 Power Mix'!EIC15)*860/10)+((('Form Sa1'!EIF835)*860)/10)+('Form Sa1'!EIF814*'Form Sa1'!EIF816/10)-'NF - 5 Power Mix'!EIC21-'NF - 5 Power Mix'!EIC22</f>
        <v>0</v>
      </c>
      <c r="EID42" s="1046">
        <f>EID38+((EID40+'NF - 5 Power Mix'!EID14+'NF - 5 Power Mix'!EID15)*860/10)+((('Form Sa1'!EIG835)*860)/10)+('Form Sa1'!EIG814*'Form Sa1'!EIG816/10)-'NF - 5 Power Mix'!EID21-'NF - 5 Power Mix'!EID22</f>
        <v>0</v>
      </c>
      <c r="EIE42" s="1046">
        <f>EIE38+((EIE40+'NF - 5 Power Mix'!EIE14+'NF - 5 Power Mix'!EIE15)*860/10)+((('Form Sa1'!EIH835)*860)/10)+('Form Sa1'!EIH814*'Form Sa1'!EIH816/10)-'NF - 5 Power Mix'!EIE21-'NF - 5 Power Mix'!EIE22</f>
        <v>0</v>
      </c>
      <c r="EIF42" s="1046">
        <f>EIF38+((EIF40+'NF - 5 Power Mix'!EIF14+'NF - 5 Power Mix'!EIF15)*860/10)+((('Form Sa1'!EII835)*860)/10)+('Form Sa1'!EII814*'Form Sa1'!EII816/10)-'NF - 5 Power Mix'!EIF21-'NF - 5 Power Mix'!EIF22</f>
        <v>0</v>
      </c>
      <c r="EIG42" s="1046">
        <f>EIG38+((EIG40+'NF - 5 Power Mix'!EIG14+'NF - 5 Power Mix'!EIG15)*860/10)+((('Form Sa1'!EIJ835)*860)/10)+('Form Sa1'!EIJ814*'Form Sa1'!EIJ816/10)-'NF - 5 Power Mix'!EIG21-'NF - 5 Power Mix'!EIG22</f>
        <v>0</v>
      </c>
      <c r="EIH42" s="1046">
        <f>EIH38+((EIH40+'NF - 5 Power Mix'!EIH14+'NF - 5 Power Mix'!EIH15)*860/10)+((('Form Sa1'!EIK835)*860)/10)+('Form Sa1'!EIK814*'Form Sa1'!EIK816/10)-'NF - 5 Power Mix'!EIH21-'NF - 5 Power Mix'!EIH22</f>
        <v>0</v>
      </c>
      <c r="EII42" s="1046">
        <f>EII38+((EII40+'NF - 5 Power Mix'!EII14+'NF - 5 Power Mix'!EII15)*860/10)+((('Form Sa1'!EIL835)*860)/10)+('Form Sa1'!EIL814*'Form Sa1'!EIL816/10)-'NF - 5 Power Mix'!EII21-'NF - 5 Power Mix'!EII22</f>
        <v>0</v>
      </c>
      <c r="EIJ42" s="1046">
        <f>EIJ38+((EIJ40+'NF - 5 Power Mix'!EIJ14+'NF - 5 Power Mix'!EIJ15)*860/10)+((('Form Sa1'!EIM835)*860)/10)+('Form Sa1'!EIM814*'Form Sa1'!EIM816/10)-'NF - 5 Power Mix'!EIJ21-'NF - 5 Power Mix'!EIJ22</f>
        <v>0</v>
      </c>
      <c r="EIK42" s="1046">
        <f>EIK38+((EIK40+'NF - 5 Power Mix'!EIK14+'NF - 5 Power Mix'!EIK15)*860/10)+((('Form Sa1'!EIN835)*860)/10)+('Form Sa1'!EIN814*'Form Sa1'!EIN816/10)-'NF - 5 Power Mix'!EIK21-'NF - 5 Power Mix'!EIK22</f>
        <v>0</v>
      </c>
      <c r="EIL42" s="1046">
        <f>EIL38+((EIL40+'NF - 5 Power Mix'!EIL14+'NF - 5 Power Mix'!EIL15)*860/10)+((('Form Sa1'!EIO835)*860)/10)+('Form Sa1'!EIO814*'Form Sa1'!EIO816/10)-'NF - 5 Power Mix'!EIL21-'NF - 5 Power Mix'!EIL22</f>
        <v>0</v>
      </c>
      <c r="EIM42" s="1046">
        <f>EIM38+((EIM40+'NF - 5 Power Mix'!EIM14+'NF - 5 Power Mix'!EIM15)*860/10)+((('Form Sa1'!EIP835)*860)/10)+('Form Sa1'!EIP814*'Form Sa1'!EIP816/10)-'NF - 5 Power Mix'!EIM21-'NF - 5 Power Mix'!EIM22</f>
        <v>0</v>
      </c>
      <c r="EIN42" s="1046">
        <f>EIN38+((EIN40+'NF - 5 Power Mix'!EIN14+'NF - 5 Power Mix'!EIN15)*860/10)+((('Form Sa1'!EIQ835)*860)/10)+('Form Sa1'!EIQ814*'Form Sa1'!EIQ816/10)-'NF - 5 Power Mix'!EIN21-'NF - 5 Power Mix'!EIN22</f>
        <v>0</v>
      </c>
      <c r="EIO42" s="1046">
        <f>EIO38+((EIO40+'NF - 5 Power Mix'!EIO14+'NF - 5 Power Mix'!EIO15)*860/10)+((('Form Sa1'!EIR835)*860)/10)+('Form Sa1'!EIR814*'Form Sa1'!EIR816/10)-'NF - 5 Power Mix'!EIO21-'NF - 5 Power Mix'!EIO22</f>
        <v>0</v>
      </c>
      <c r="EIP42" s="1046">
        <f>EIP38+((EIP40+'NF - 5 Power Mix'!EIP14+'NF - 5 Power Mix'!EIP15)*860/10)+((('Form Sa1'!EIS835)*860)/10)+('Form Sa1'!EIS814*'Form Sa1'!EIS816/10)-'NF - 5 Power Mix'!EIP21-'NF - 5 Power Mix'!EIP22</f>
        <v>0</v>
      </c>
      <c r="EIQ42" s="1046">
        <f>EIQ38+((EIQ40+'NF - 5 Power Mix'!EIQ14+'NF - 5 Power Mix'!EIQ15)*860/10)+((('Form Sa1'!EIT835)*860)/10)+('Form Sa1'!EIT814*'Form Sa1'!EIT816/10)-'NF - 5 Power Mix'!EIQ21-'NF - 5 Power Mix'!EIQ22</f>
        <v>0</v>
      </c>
      <c r="EIR42" s="1046">
        <f>EIR38+((EIR40+'NF - 5 Power Mix'!EIR14+'NF - 5 Power Mix'!EIR15)*860/10)+((('Form Sa1'!EIU835)*860)/10)+('Form Sa1'!EIU814*'Form Sa1'!EIU816/10)-'NF - 5 Power Mix'!EIR21-'NF - 5 Power Mix'!EIR22</f>
        <v>0</v>
      </c>
      <c r="EIS42" s="1046">
        <f>EIS38+((EIS40+'NF - 5 Power Mix'!EIS14+'NF - 5 Power Mix'!EIS15)*860/10)+((('Form Sa1'!EIV835)*860)/10)+('Form Sa1'!EIV814*'Form Sa1'!EIV816/10)-'NF - 5 Power Mix'!EIS21-'NF - 5 Power Mix'!EIS22</f>
        <v>0</v>
      </c>
      <c r="EIT42" s="1046">
        <f>EIT38+((EIT40+'NF - 5 Power Mix'!EIT14+'NF - 5 Power Mix'!EIT15)*860/10)+((('Form Sa1'!EIW835)*860)/10)+('Form Sa1'!EIW814*'Form Sa1'!EIW816/10)-'NF - 5 Power Mix'!EIT21-'NF - 5 Power Mix'!EIT22</f>
        <v>0</v>
      </c>
      <c r="EIU42" s="1046">
        <f>EIU38+((EIU40+'NF - 5 Power Mix'!EIU14+'NF - 5 Power Mix'!EIU15)*860/10)+((('Form Sa1'!EIX835)*860)/10)+('Form Sa1'!EIX814*'Form Sa1'!EIX816/10)-'NF - 5 Power Mix'!EIU21-'NF - 5 Power Mix'!EIU22</f>
        <v>0</v>
      </c>
      <c r="EIV42" s="1046">
        <f>EIV38+((EIV40+'NF - 5 Power Mix'!EIV14+'NF - 5 Power Mix'!EIV15)*860/10)+((('Form Sa1'!EIY835)*860)/10)+('Form Sa1'!EIY814*'Form Sa1'!EIY816/10)-'NF - 5 Power Mix'!EIV21-'NF - 5 Power Mix'!EIV22</f>
        <v>0</v>
      </c>
      <c r="EIW42" s="1046">
        <f>EIW38+((EIW40+'NF - 5 Power Mix'!EIW14+'NF - 5 Power Mix'!EIW15)*860/10)+((('Form Sa1'!EIZ835)*860)/10)+('Form Sa1'!EIZ814*'Form Sa1'!EIZ816/10)-'NF - 5 Power Mix'!EIW21-'NF - 5 Power Mix'!EIW22</f>
        <v>0</v>
      </c>
      <c r="EIX42" s="1046">
        <f>EIX38+((EIX40+'NF - 5 Power Mix'!EIX14+'NF - 5 Power Mix'!EIX15)*860/10)+((('Form Sa1'!EJA835)*860)/10)+('Form Sa1'!EJA814*'Form Sa1'!EJA816/10)-'NF - 5 Power Mix'!EIX21-'NF - 5 Power Mix'!EIX22</f>
        <v>0</v>
      </c>
      <c r="EIY42" s="1046">
        <f>EIY38+((EIY40+'NF - 5 Power Mix'!EIY14+'NF - 5 Power Mix'!EIY15)*860/10)+((('Form Sa1'!EJB835)*860)/10)+('Form Sa1'!EJB814*'Form Sa1'!EJB816/10)-'NF - 5 Power Mix'!EIY21-'NF - 5 Power Mix'!EIY22</f>
        <v>0</v>
      </c>
      <c r="EIZ42" s="1046">
        <f>EIZ38+((EIZ40+'NF - 5 Power Mix'!EIZ14+'NF - 5 Power Mix'!EIZ15)*860/10)+((('Form Sa1'!EJC835)*860)/10)+('Form Sa1'!EJC814*'Form Sa1'!EJC816/10)-'NF - 5 Power Mix'!EIZ21-'NF - 5 Power Mix'!EIZ22</f>
        <v>0</v>
      </c>
      <c r="EJA42" s="1046">
        <f>EJA38+((EJA40+'NF - 5 Power Mix'!EJA14+'NF - 5 Power Mix'!EJA15)*860/10)+((('Form Sa1'!EJD835)*860)/10)+('Form Sa1'!EJD814*'Form Sa1'!EJD816/10)-'NF - 5 Power Mix'!EJA21-'NF - 5 Power Mix'!EJA22</f>
        <v>0</v>
      </c>
      <c r="EJB42" s="1046">
        <f>EJB38+((EJB40+'NF - 5 Power Mix'!EJB14+'NF - 5 Power Mix'!EJB15)*860/10)+((('Form Sa1'!EJE835)*860)/10)+('Form Sa1'!EJE814*'Form Sa1'!EJE816/10)-'NF - 5 Power Mix'!EJB21-'NF - 5 Power Mix'!EJB22</f>
        <v>0</v>
      </c>
      <c r="EJC42" s="1046">
        <f>EJC38+((EJC40+'NF - 5 Power Mix'!EJC14+'NF - 5 Power Mix'!EJC15)*860/10)+((('Form Sa1'!EJF835)*860)/10)+('Form Sa1'!EJF814*'Form Sa1'!EJF816/10)-'NF - 5 Power Mix'!EJC21-'NF - 5 Power Mix'!EJC22</f>
        <v>0</v>
      </c>
      <c r="EJD42" s="1046">
        <f>EJD38+((EJD40+'NF - 5 Power Mix'!EJD14+'NF - 5 Power Mix'!EJD15)*860/10)+((('Form Sa1'!EJG835)*860)/10)+('Form Sa1'!EJG814*'Form Sa1'!EJG816/10)-'NF - 5 Power Mix'!EJD21-'NF - 5 Power Mix'!EJD22</f>
        <v>0</v>
      </c>
      <c r="EJE42" s="1046">
        <f>EJE38+((EJE40+'NF - 5 Power Mix'!EJE14+'NF - 5 Power Mix'!EJE15)*860/10)+((('Form Sa1'!EJH835)*860)/10)+('Form Sa1'!EJH814*'Form Sa1'!EJH816/10)-'NF - 5 Power Mix'!EJE21-'NF - 5 Power Mix'!EJE22</f>
        <v>0</v>
      </c>
      <c r="EJF42" s="1046">
        <f>EJF38+((EJF40+'NF - 5 Power Mix'!EJF14+'NF - 5 Power Mix'!EJF15)*860/10)+((('Form Sa1'!EJI835)*860)/10)+('Form Sa1'!EJI814*'Form Sa1'!EJI816/10)-'NF - 5 Power Mix'!EJF21-'NF - 5 Power Mix'!EJF22</f>
        <v>0</v>
      </c>
      <c r="EJG42" s="1046">
        <f>EJG38+((EJG40+'NF - 5 Power Mix'!EJG14+'NF - 5 Power Mix'!EJG15)*860/10)+((('Form Sa1'!EJJ835)*860)/10)+('Form Sa1'!EJJ814*'Form Sa1'!EJJ816/10)-'NF - 5 Power Mix'!EJG21-'NF - 5 Power Mix'!EJG22</f>
        <v>0</v>
      </c>
      <c r="EJH42" s="1046">
        <f>EJH38+((EJH40+'NF - 5 Power Mix'!EJH14+'NF - 5 Power Mix'!EJH15)*860/10)+((('Form Sa1'!EJK835)*860)/10)+('Form Sa1'!EJK814*'Form Sa1'!EJK816/10)-'NF - 5 Power Mix'!EJH21-'NF - 5 Power Mix'!EJH22</f>
        <v>0</v>
      </c>
      <c r="EJI42" s="1046">
        <f>EJI38+((EJI40+'NF - 5 Power Mix'!EJI14+'NF - 5 Power Mix'!EJI15)*860/10)+((('Form Sa1'!EJL835)*860)/10)+('Form Sa1'!EJL814*'Form Sa1'!EJL816/10)-'NF - 5 Power Mix'!EJI21-'NF - 5 Power Mix'!EJI22</f>
        <v>0</v>
      </c>
      <c r="EJJ42" s="1046">
        <f>EJJ38+((EJJ40+'NF - 5 Power Mix'!EJJ14+'NF - 5 Power Mix'!EJJ15)*860/10)+((('Form Sa1'!EJM835)*860)/10)+('Form Sa1'!EJM814*'Form Sa1'!EJM816/10)-'NF - 5 Power Mix'!EJJ21-'NF - 5 Power Mix'!EJJ22</f>
        <v>0</v>
      </c>
      <c r="EJK42" s="1046">
        <f>EJK38+((EJK40+'NF - 5 Power Mix'!EJK14+'NF - 5 Power Mix'!EJK15)*860/10)+((('Form Sa1'!EJN835)*860)/10)+('Form Sa1'!EJN814*'Form Sa1'!EJN816/10)-'NF - 5 Power Mix'!EJK21-'NF - 5 Power Mix'!EJK22</f>
        <v>0</v>
      </c>
      <c r="EJL42" s="1046">
        <f>EJL38+((EJL40+'NF - 5 Power Mix'!EJL14+'NF - 5 Power Mix'!EJL15)*860/10)+((('Form Sa1'!EJO835)*860)/10)+('Form Sa1'!EJO814*'Form Sa1'!EJO816/10)-'NF - 5 Power Mix'!EJL21-'NF - 5 Power Mix'!EJL22</f>
        <v>0</v>
      </c>
      <c r="EJM42" s="1046">
        <f>EJM38+((EJM40+'NF - 5 Power Mix'!EJM14+'NF - 5 Power Mix'!EJM15)*860/10)+((('Form Sa1'!EJP835)*860)/10)+('Form Sa1'!EJP814*'Form Sa1'!EJP816/10)-'NF - 5 Power Mix'!EJM21-'NF - 5 Power Mix'!EJM22</f>
        <v>0</v>
      </c>
      <c r="EJN42" s="1046">
        <f>EJN38+((EJN40+'NF - 5 Power Mix'!EJN14+'NF - 5 Power Mix'!EJN15)*860/10)+((('Form Sa1'!EJQ835)*860)/10)+('Form Sa1'!EJQ814*'Form Sa1'!EJQ816/10)-'NF - 5 Power Mix'!EJN21-'NF - 5 Power Mix'!EJN22</f>
        <v>0</v>
      </c>
      <c r="EJO42" s="1046">
        <f>EJO38+((EJO40+'NF - 5 Power Mix'!EJO14+'NF - 5 Power Mix'!EJO15)*860/10)+((('Form Sa1'!EJR835)*860)/10)+('Form Sa1'!EJR814*'Form Sa1'!EJR816/10)-'NF - 5 Power Mix'!EJO21-'NF - 5 Power Mix'!EJO22</f>
        <v>0</v>
      </c>
      <c r="EJP42" s="1046">
        <f>EJP38+((EJP40+'NF - 5 Power Mix'!EJP14+'NF - 5 Power Mix'!EJP15)*860/10)+((('Form Sa1'!EJS835)*860)/10)+('Form Sa1'!EJS814*'Form Sa1'!EJS816/10)-'NF - 5 Power Mix'!EJP21-'NF - 5 Power Mix'!EJP22</f>
        <v>0</v>
      </c>
      <c r="EJQ42" s="1046">
        <f>EJQ38+((EJQ40+'NF - 5 Power Mix'!EJQ14+'NF - 5 Power Mix'!EJQ15)*860/10)+((('Form Sa1'!EJT835)*860)/10)+('Form Sa1'!EJT814*'Form Sa1'!EJT816/10)-'NF - 5 Power Mix'!EJQ21-'NF - 5 Power Mix'!EJQ22</f>
        <v>0</v>
      </c>
      <c r="EJR42" s="1046">
        <f>EJR38+((EJR40+'NF - 5 Power Mix'!EJR14+'NF - 5 Power Mix'!EJR15)*860/10)+((('Form Sa1'!EJU835)*860)/10)+('Form Sa1'!EJU814*'Form Sa1'!EJU816/10)-'NF - 5 Power Mix'!EJR21-'NF - 5 Power Mix'!EJR22</f>
        <v>0</v>
      </c>
      <c r="EJS42" s="1046">
        <f>EJS38+((EJS40+'NF - 5 Power Mix'!EJS14+'NF - 5 Power Mix'!EJS15)*860/10)+((('Form Sa1'!EJV835)*860)/10)+('Form Sa1'!EJV814*'Form Sa1'!EJV816/10)-'NF - 5 Power Mix'!EJS21-'NF - 5 Power Mix'!EJS22</f>
        <v>0</v>
      </c>
      <c r="EJT42" s="1046">
        <f>EJT38+((EJT40+'NF - 5 Power Mix'!EJT14+'NF - 5 Power Mix'!EJT15)*860/10)+((('Form Sa1'!EJW835)*860)/10)+('Form Sa1'!EJW814*'Form Sa1'!EJW816/10)-'NF - 5 Power Mix'!EJT21-'NF - 5 Power Mix'!EJT22</f>
        <v>0</v>
      </c>
      <c r="EJU42" s="1046">
        <f>EJU38+((EJU40+'NF - 5 Power Mix'!EJU14+'NF - 5 Power Mix'!EJU15)*860/10)+((('Form Sa1'!EJX835)*860)/10)+('Form Sa1'!EJX814*'Form Sa1'!EJX816/10)-'NF - 5 Power Mix'!EJU21-'NF - 5 Power Mix'!EJU22</f>
        <v>0</v>
      </c>
      <c r="EJV42" s="1046">
        <f>EJV38+((EJV40+'NF - 5 Power Mix'!EJV14+'NF - 5 Power Mix'!EJV15)*860/10)+((('Form Sa1'!EJY835)*860)/10)+('Form Sa1'!EJY814*'Form Sa1'!EJY816/10)-'NF - 5 Power Mix'!EJV21-'NF - 5 Power Mix'!EJV22</f>
        <v>0</v>
      </c>
      <c r="EJW42" s="1046">
        <f>EJW38+((EJW40+'NF - 5 Power Mix'!EJW14+'NF - 5 Power Mix'!EJW15)*860/10)+((('Form Sa1'!EJZ835)*860)/10)+('Form Sa1'!EJZ814*'Form Sa1'!EJZ816/10)-'NF - 5 Power Mix'!EJW21-'NF - 5 Power Mix'!EJW22</f>
        <v>0</v>
      </c>
      <c r="EJX42" s="1046">
        <f>EJX38+((EJX40+'NF - 5 Power Mix'!EJX14+'NF - 5 Power Mix'!EJX15)*860/10)+((('Form Sa1'!EKA835)*860)/10)+('Form Sa1'!EKA814*'Form Sa1'!EKA816/10)-'NF - 5 Power Mix'!EJX21-'NF - 5 Power Mix'!EJX22</f>
        <v>0</v>
      </c>
      <c r="EJY42" s="1046">
        <f>EJY38+((EJY40+'NF - 5 Power Mix'!EJY14+'NF - 5 Power Mix'!EJY15)*860/10)+((('Form Sa1'!EKB835)*860)/10)+('Form Sa1'!EKB814*'Form Sa1'!EKB816/10)-'NF - 5 Power Mix'!EJY21-'NF - 5 Power Mix'!EJY22</f>
        <v>0</v>
      </c>
      <c r="EJZ42" s="1046">
        <f>EJZ38+((EJZ40+'NF - 5 Power Mix'!EJZ14+'NF - 5 Power Mix'!EJZ15)*860/10)+((('Form Sa1'!EKC835)*860)/10)+('Form Sa1'!EKC814*'Form Sa1'!EKC816/10)-'NF - 5 Power Mix'!EJZ21-'NF - 5 Power Mix'!EJZ22</f>
        <v>0</v>
      </c>
      <c r="EKA42" s="1046">
        <f>EKA38+((EKA40+'NF - 5 Power Mix'!EKA14+'NF - 5 Power Mix'!EKA15)*860/10)+((('Form Sa1'!EKD835)*860)/10)+('Form Sa1'!EKD814*'Form Sa1'!EKD816/10)-'NF - 5 Power Mix'!EKA21-'NF - 5 Power Mix'!EKA22</f>
        <v>0</v>
      </c>
      <c r="EKB42" s="1046">
        <f>EKB38+((EKB40+'NF - 5 Power Mix'!EKB14+'NF - 5 Power Mix'!EKB15)*860/10)+((('Form Sa1'!EKE835)*860)/10)+('Form Sa1'!EKE814*'Form Sa1'!EKE816/10)-'NF - 5 Power Mix'!EKB21-'NF - 5 Power Mix'!EKB22</f>
        <v>0</v>
      </c>
      <c r="EKC42" s="1046">
        <f>EKC38+((EKC40+'NF - 5 Power Mix'!EKC14+'NF - 5 Power Mix'!EKC15)*860/10)+((('Form Sa1'!EKF835)*860)/10)+('Form Sa1'!EKF814*'Form Sa1'!EKF816/10)-'NF - 5 Power Mix'!EKC21-'NF - 5 Power Mix'!EKC22</f>
        <v>0</v>
      </c>
      <c r="EKD42" s="1046">
        <f>EKD38+((EKD40+'NF - 5 Power Mix'!EKD14+'NF - 5 Power Mix'!EKD15)*860/10)+((('Form Sa1'!EKG835)*860)/10)+('Form Sa1'!EKG814*'Form Sa1'!EKG816/10)-'NF - 5 Power Mix'!EKD21-'NF - 5 Power Mix'!EKD22</f>
        <v>0</v>
      </c>
      <c r="EKE42" s="1046">
        <f>EKE38+((EKE40+'NF - 5 Power Mix'!EKE14+'NF - 5 Power Mix'!EKE15)*860/10)+((('Form Sa1'!EKH835)*860)/10)+('Form Sa1'!EKH814*'Form Sa1'!EKH816/10)-'NF - 5 Power Mix'!EKE21-'NF - 5 Power Mix'!EKE22</f>
        <v>0</v>
      </c>
      <c r="EKF42" s="1046">
        <f>EKF38+((EKF40+'NF - 5 Power Mix'!EKF14+'NF - 5 Power Mix'!EKF15)*860/10)+((('Form Sa1'!EKI835)*860)/10)+('Form Sa1'!EKI814*'Form Sa1'!EKI816/10)-'NF - 5 Power Mix'!EKF21-'NF - 5 Power Mix'!EKF22</f>
        <v>0</v>
      </c>
      <c r="EKG42" s="1046">
        <f>EKG38+((EKG40+'NF - 5 Power Mix'!EKG14+'NF - 5 Power Mix'!EKG15)*860/10)+((('Form Sa1'!EKJ835)*860)/10)+('Form Sa1'!EKJ814*'Form Sa1'!EKJ816/10)-'NF - 5 Power Mix'!EKG21-'NF - 5 Power Mix'!EKG22</f>
        <v>0</v>
      </c>
      <c r="EKH42" s="1046">
        <f>EKH38+((EKH40+'NF - 5 Power Mix'!EKH14+'NF - 5 Power Mix'!EKH15)*860/10)+((('Form Sa1'!EKK835)*860)/10)+('Form Sa1'!EKK814*'Form Sa1'!EKK816/10)-'NF - 5 Power Mix'!EKH21-'NF - 5 Power Mix'!EKH22</f>
        <v>0</v>
      </c>
      <c r="EKI42" s="1046">
        <f>EKI38+((EKI40+'NF - 5 Power Mix'!EKI14+'NF - 5 Power Mix'!EKI15)*860/10)+((('Form Sa1'!EKL835)*860)/10)+('Form Sa1'!EKL814*'Form Sa1'!EKL816/10)-'NF - 5 Power Mix'!EKI21-'NF - 5 Power Mix'!EKI22</f>
        <v>0</v>
      </c>
      <c r="EKJ42" s="1046">
        <f>EKJ38+((EKJ40+'NF - 5 Power Mix'!EKJ14+'NF - 5 Power Mix'!EKJ15)*860/10)+((('Form Sa1'!EKM835)*860)/10)+('Form Sa1'!EKM814*'Form Sa1'!EKM816/10)-'NF - 5 Power Mix'!EKJ21-'NF - 5 Power Mix'!EKJ22</f>
        <v>0</v>
      </c>
      <c r="EKK42" s="1046">
        <f>EKK38+((EKK40+'NF - 5 Power Mix'!EKK14+'NF - 5 Power Mix'!EKK15)*860/10)+((('Form Sa1'!EKN835)*860)/10)+('Form Sa1'!EKN814*'Form Sa1'!EKN816/10)-'NF - 5 Power Mix'!EKK21-'NF - 5 Power Mix'!EKK22</f>
        <v>0</v>
      </c>
      <c r="EKL42" s="1046">
        <f>EKL38+((EKL40+'NF - 5 Power Mix'!EKL14+'NF - 5 Power Mix'!EKL15)*860/10)+((('Form Sa1'!EKO835)*860)/10)+('Form Sa1'!EKO814*'Form Sa1'!EKO816/10)-'NF - 5 Power Mix'!EKL21-'NF - 5 Power Mix'!EKL22</f>
        <v>0</v>
      </c>
      <c r="EKM42" s="1046">
        <f>EKM38+((EKM40+'NF - 5 Power Mix'!EKM14+'NF - 5 Power Mix'!EKM15)*860/10)+((('Form Sa1'!EKP835)*860)/10)+('Form Sa1'!EKP814*'Form Sa1'!EKP816/10)-'NF - 5 Power Mix'!EKM21-'NF - 5 Power Mix'!EKM22</f>
        <v>0</v>
      </c>
      <c r="EKN42" s="1046">
        <f>EKN38+((EKN40+'NF - 5 Power Mix'!EKN14+'NF - 5 Power Mix'!EKN15)*860/10)+((('Form Sa1'!EKQ835)*860)/10)+('Form Sa1'!EKQ814*'Form Sa1'!EKQ816/10)-'NF - 5 Power Mix'!EKN21-'NF - 5 Power Mix'!EKN22</f>
        <v>0</v>
      </c>
      <c r="EKO42" s="1046">
        <f>EKO38+((EKO40+'NF - 5 Power Mix'!EKO14+'NF - 5 Power Mix'!EKO15)*860/10)+((('Form Sa1'!EKR835)*860)/10)+('Form Sa1'!EKR814*'Form Sa1'!EKR816/10)-'NF - 5 Power Mix'!EKO21-'NF - 5 Power Mix'!EKO22</f>
        <v>0</v>
      </c>
      <c r="EKP42" s="1046">
        <f>EKP38+((EKP40+'NF - 5 Power Mix'!EKP14+'NF - 5 Power Mix'!EKP15)*860/10)+((('Form Sa1'!EKS835)*860)/10)+('Form Sa1'!EKS814*'Form Sa1'!EKS816/10)-'NF - 5 Power Mix'!EKP21-'NF - 5 Power Mix'!EKP22</f>
        <v>0</v>
      </c>
      <c r="EKQ42" s="1046">
        <f>EKQ38+((EKQ40+'NF - 5 Power Mix'!EKQ14+'NF - 5 Power Mix'!EKQ15)*860/10)+((('Form Sa1'!EKT835)*860)/10)+('Form Sa1'!EKT814*'Form Sa1'!EKT816/10)-'NF - 5 Power Mix'!EKQ21-'NF - 5 Power Mix'!EKQ22</f>
        <v>0</v>
      </c>
      <c r="EKR42" s="1046">
        <f>EKR38+((EKR40+'NF - 5 Power Mix'!EKR14+'NF - 5 Power Mix'!EKR15)*860/10)+((('Form Sa1'!EKU835)*860)/10)+('Form Sa1'!EKU814*'Form Sa1'!EKU816/10)-'NF - 5 Power Mix'!EKR21-'NF - 5 Power Mix'!EKR22</f>
        <v>0</v>
      </c>
      <c r="EKS42" s="1046">
        <f>EKS38+((EKS40+'NF - 5 Power Mix'!EKS14+'NF - 5 Power Mix'!EKS15)*860/10)+((('Form Sa1'!EKV835)*860)/10)+('Form Sa1'!EKV814*'Form Sa1'!EKV816/10)-'NF - 5 Power Mix'!EKS21-'NF - 5 Power Mix'!EKS22</f>
        <v>0</v>
      </c>
      <c r="EKT42" s="1046">
        <f>EKT38+((EKT40+'NF - 5 Power Mix'!EKT14+'NF - 5 Power Mix'!EKT15)*860/10)+((('Form Sa1'!EKW835)*860)/10)+('Form Sa1'!EKW814*'Form Sa1'!EKW816/10)-'NF - 5 Power Mix'!EKT21-'NF - 5 Power Mix'!EKT22</f>
        <v>0</v>
      </c>
      <c r="EKU42" s="1046">
        <f>EKU38+((EKU40+'NF - 5 Power Mix'!EKU14+'NF - 5 Power Mix'!EKU15)*860/10)+((('Form Sa1'!EKX835)*860)/10)+('Form Sa1'!EKX814*'Form Sa1'!EKX816/10)-'NF - 5 Power Mix'!EKU21-'NF - 5 Power Mix'!EKU22</f>
        <v>0</v>
      </c>
      <c r="EKV42" s="1046">
        <f>EKV38+((EKV40+'NF - 5 Power Mix'!EKV14+'NF - 5 Power Mix'!EKV15)*860/10)+((('Form Sa1'!EKY835)*860)/10)+('Form Sa1'!EKY814*'Form Sa1'!EKY816/10)-'NF - 5 Power Mix'!EKV21-'NF - 5 Power Mix'!EKV22</f>
        <v>0</v>
      </c>
      <c r="EKW42" s="1046">
        <f>EKW38+((EKW40+'NF - 5 Power Mix'!EKW14+'NF - 5 Power Mix'!EKW15)*860/10)+((('Form Sa1'!EKZ835)*860)/10)+('Form Sa1'!EKZ814*'Form Sa1'!EKZ816/10)-'NF - 5 Power Mix'!EKW21-'NF - 5 Power Mix'!EKW22</f>
        <v>0</v>
      </c>
      <c r="EKX42" s="1046">
        <f>EKX38+((EKX40+'NF - 5 Power Mix'!EKX14+'NF - 5 Power Mix'!EKX15)*860/10)+((('Form Sa1'!ELA835)*860)/10)+('Form Sa1'!ELA814*'Form Sa1'!ELA816/10)-'NF - 5 Power Mix'!EKX21-'NF - 5 Power Mix'!EKX22</f>
        <v>0</v>
      </c>
      <c r="EKY42" s="1046">
        <f>EKY38+((EKY40+'NF - 5 Power Mix'!EKY14+'NF - 5 Power Mix'!EKY15)*860/10)+((('Form Sa1'!ELB835)*860)/10)+('Form Sa1'!ELB814*'Form Sa1'!ELB816/10)-'NF - 5 Power Mix'!EKY21-'NF - 5 Power Mix'!EKY22</f>
        <v>0</v>
      </c>
      <c r="EKZ42" s="1046">
        <f>EKZ38+((EKZ40+'NF - 5 Power Mix'!EKZ14+'NF - 5 Power Mix'!EKZ15)*860/10)+((('Form Sa1'!ELC835)*860)/10)+('Form Sa1'!ELC814*'Form Sa1'!ELC816/10)-'NF - 5 Power Mix'!EKZ21-'NF - 5 Power Mix'!EKZ22</f>
        <v>0</v>
      </c>
      <c r="ELA42" s="1046">
        <f>ELA38+((ELA40+'NF - 5 Power Mix'!ELA14+'NF - 5 Power Mix'!ELA15)*860/10)+((('Form Sa1'!ELD835)*860)/10)+('Form Sa1'!ELD814*'Form Sa1'!ELD816/10)-'NF - 5 Power Mix'!ELA21-'NF - 5 Power Mix'!ELA22</f>
        <v>0</v>
      </c>
      <c r="ELB42" s="1046">
        <f>ELB38+((ELB40+'NF - 5 Power Mix'!ELB14+'NF - 5 Power Mix'!ELB15)*860/10)+((('Form Sa1'!ELE835)*860)/10)+('Form Sa1'!ELE814*'Form Sa1'!ELE816/10)-'NF - 5 Power Mix'!ELB21-'NF - 5 Power Mix'!ELB22</f>
        <v>0</v>
      </c>
      <c r="ELC42" s="1046">
        <f>ELC38+((ELC40+'NF - 5 Power Mix'!ELC14+'NF - 5 Power Mix'!ELC15)*860/10)+((('Form Sa1'!ELF835)*860)/10)+('Form Sa1'!ELF814*'Form Sa1'!ELF816/10)-'NF - 5 Power Mix'!ELC21-'NF - 5 Power Mix'!ELC22</f>
        <v>0</v>
      </c>
      <c r="ELD42" s="1046">
        <f>ELD38+((ELD40+'NF - 5 Power Mix'!ELD14+'NF - 5 Power Mix'!ELD15)*860/10)+((('Form Sa1'!ELG835)*860)/10)+('Form Sa1'!ELG814*'Form Sa1'!ELG816/10)-'NF - 5 Power Mix'!ELD21-'NF - 5 Power Mix'!ELD22</f>
        <v>0</v>
      </c>
      <c r="ELE42" s="1046">
        <f>ELE38+((ELE40+'NF - 5 Power Mix'!ELE14+'NF - 5 Power Mix'!ELE15)*860/10)+((('Form Sa1'!ELH835)*860)/10)+('Form Sa1'!ELH814*'Form Sa1'!ELH816/10)-'NF - 5 Power Mix'!ELE21-'NF - 5 Power Mix'!ELE22</f>
        <v>0</v>
      </c>
      <c r="ELF42" s="1046">
        <f>ELF38+((ELF40+'NF - 5 Power Mix'!ELF14+'NF - 5 Power Mix'!ELF15)*860/10)+((('Form Sa1'!ELI835)*860)/10)+('Form Sa1'!ELI814*'Form Sa1'!ELI816/10)-'NF - 5 Power Mix'!ELF21-'NF - 5 Power Mix'!ELF22</f>
        <v>0</v>
      </c>
      <c r="ELG42" s="1046">
        <f>ELG38+((ELG40+'NF - 5 Power Mix'!ELG14+'NF - 5 Power Mix'!ELG15)*860/10)+((('Form Sa1'!ELJ835)*860)/10)+('Form Sa1'!ELJ814*'Form Sa1'!ELJ816/10)-'NF - 5 Power Mix'!ELG21-'NF - 5 Power Mix'!ELG22</f>
        <v>0</v>
      </c>
      <c r="ELH42" s="1046">
        <f>ELH38+((ELH40+'NF - 5 Power Mix'!ELH14+'NF - 5 Power Mix'!ELH15)*860/10)+((('Form Sa1'!ELK835)*860)/10)+('Form Sa1'!ELK814*'Form Sa1'!ELK816/10)-'NF - 5 Power Mix'!ELH21-'NF - 5 Power Mix'!ELH22</f>
        <v>0</v>
      </c>
      <c r="ELI42" s="1046">
        <f>ELI38+((ELI40+'NF - 5 Power Mix'!ELI14+'NF - 5 Power Mix'!ELI15)*860/10)+((('Form Sa1'!ELL835)*860)/10)+('Form Sa1'!ELL814*'Form Sa1'!ELL816/10)-'NF - 5 Power Mix'!ELI21-'NF - 5 Power Mix'!ELI22</f>
        <v>0</v>
      </c>
      <c r="ELJ42" s="1046">
        <f>ELJ38+((ELJ40+'NF - 5 Power Mix'!ELJ14+'NF - 5 Power Mix'!ELJ15)*860/10)+((('Form Sa1'!ELM835)*860)/10)+('Form Sa1'!ELM814*'Form Sa1'!ELM816/10)-'NF - 5 Power Mix'!ELJ21-'NF - 5 Power Mix'!ELJ22</f>
        <v>0</v>
      </c>
      <c r="ELK42" s="1046">
        <f>ELK38+((ELK40+'NF - 5 Power Mix'!ELK14+'NF - 5 Power Mix'!ELK15)*860/10)+((('Form Sa1'!ELN835)*860)/10)+('Form Sa1'!ELN814*'Form Sa1'!ELN816/10)-'NF - 5 Power Mix'!ELK21-'NF - 5 Power Mix'!ELK22</f>
        <v>0</v>
      </c>
      <c r="ELL42" s="1046">
        <f>ELL38+((ELL40+'NF - 5 Power Mix'!ELL14+'NF - 5 Power Mix'!ELL15)*860/10)+((('Form Sa1'!ELO835)*860)/10)+('Form Sa1'!ELO814*'Form Sa1'!ELO816/10)-'NF - 5 Power Mix'!ELL21-'NF - 5 Power Mix'!ELL22</f>
        <v>0</v>
      </c>
      <c r="ELM42" s="1046">
        <f>ELM38+((ELM40+'NF - 5 Power Mix'!ELM14+'NF - 5 Power Mix'!ELM15)*860/10)+((('Form Sa1'!ELP835)*860)/10)+('Form Sa1'!ELP814*'Form Sa1'!ELP816/10)-'NF - 5 Power Mix'!ELM21-'NF - 5 Power Mix'!ELM22</f>
        <v>0</v>
      </c>
      <c r="ELN42" s="1046">
        <f>ELN38+((ELN40+'NF - 5 Power Mix'!ELN14+'NF - 5 Power Mix'!ELN15)*860/10)+((('Form Sa1'!ELQ835)*860)/10)+('Form Sa1'!ELQ814*'Form Sa1'!ELQ816/10)-'NF - 5 Power Mix'!ELN21-'NF - 5 Power Mix'!ELN22</f>
        <v>0</v>
      </c>
      <c r="ELO42" s="1046">
        <f>ELO38+((ELO40+'NF - 5 Power Mix'!ELO14+'NF - 5 Power Mix'!ELO15)*860/10)+((('Form Sa1'!ELR835)*860)/10)+('Form Sa1'!ELR814*'Form Sa1'!ELR816/10)-'NF - 5 Power Mix'!ELO21-'NF - 5 Power Mix'!ELO22</f>
        <v>0</v>
      </c>
      <c r="ELP42" s="1046">
        <f>ELP38+((ELP40+'NF - 5 Power Mix'!ELP14+'NF - 5 Power Mix'!ELP15)*860/10)+((('Form Sa1'!ELS835)*860)/10)+('Form Sa1'!ELS814*'Form Sa1'!ELS816/10)-'NF - 5 Power Mix'!ELP21-'NF - 5 Power Mix'!ELP22</f>
        <v>0</v>
      </c>
      <c r="ELQ42" s="1046">
        <f>ELQ38+((ELQ40+'NF - 5 Power Mix'!ELQ14+'NF - 5 Power Mix'!ELQ15)*860/10)+((('Form Sa1'!ELT835)*860)/10)+('Form Sa1'!ELT814*'Form Sa1'!ELT816/10)-'NF - 5 Power Mix'!ELQ21-'NF - 5 Power Mix'!ELQ22</f>
        <v>0</v>
      </c>
      <c r="ELR42" s="1046">
        <f>ELR38+((ELR40+'NF - 5 Power Mix'!ELR14+'NF - 5 Power Mix'!ELR15)*860/10)+((('Form Sa1'!ELU835)*860)/10)+('Form Sa1'!ELU814*'Form Sa1'!ELU816/10)-'NF - 5 Power Mix'!ELR21-'NF - 5 Power Mix'!ELR22</f>
        <v>0</v>
      </c>
      <c r="ELS42" s="1046">
        <f>ELS38+((ELS40+'NF - 5 Power Mix'!ELS14+'NF - 5 Power Mix'!ELS15)*860/10)+((('Form Sa1'!ELV835)*860)/10)+('Form Sa1'!ELV814*'Form Sa1'!ELV816/10)-'NF - 5 Power Mix'!ELS21-'NF - 5 Power Mix'!ELS22</f>
        <v>0</v>
      </c>
      <c r="ELT42" s="1046">
        <f>ELT38+((ELT40+'NF - 5 Power Mix'!ELT14+'NF - 5 Power Mix'!ELT15)*860/10)+((('Form Sa1'!ELW835)*860)/10)+('Form Sa1'!ELW814*'Form Sa1'!ELW816/10)-'NF - 5 Power Mix'!ELT21-'NF - 5 Power Mix'!ELT22</f>
        <v>0</v>
      </c>
      <c r="ELU42" s="1046">
        <f>ELU38+((ELU40+'NF - 5 Power Mix'!ELU14+'NF - 5 Power Mix'!ELU15)*860/10)+((('Form Sa1'!ELX835)*860)/10)+('Form Sa1'!ELX814*'Form Sa1'!ELX816/10)-'NF - 5 Power Mix'!ELU21-'NF - 5 Power Mix'!ELU22</f>
        <v>0</v>
      </c>
      <c r="ELV42" s="1046">
        <f>ELV38+((ELV40+'NF - 5 Power Mix'!ELV14+'NF - 5 Power Mix'!ELV15)*860/10)+((('Form Sa1'!ELY835)*860)/10)+('Form Sa1'!ELY814*'Form Sa1'!ELY816/10)-'NF - 5 Power Mix'!ELV21-'NF - 5 Power Mix'!ELV22</f>
        <v>0</v>
      </c>
      <c r="ELW42" s="1046">
        <f>ELW38+((ELW40+'NF - 5 Power Mix'!ELW14+'NF - 5 Power Mix'!ELW15)*860/10)+((('Form Sa1'!ELZ835)*860)/10)+('Form Sa1'!ELZ814*'Form Sa1'!ELZ816/10)-'NF - 5 Power Mix'!ELW21-'NF - 5 Power Mix'!ELW22</f>
        <v>0</v>
      </c>
      <c r="ELX42" s="1046">
        <f>ELX38+((ELX40+'NF - 5 Power Mix'!ELX14+'NF - 5 Power Mix'!ELX15)*860/10)+((('Form Sa1'!EMA835)*860)/10)+('Form Sa1'!EMA814*'Form Sa1'!EMA816/10)-'NF - 5 Power Mix'!ELX21-'NF - 5 Power Mix'!ELX22</f>
        <v>0</v>
      </c>
      <c r="ELY42" s="1046">
        <f>ELY38+((ELY40+'NF - 5 Power Mix'!ELY14+'NF - 5 Power Mix'!ELY15)*860/10)+((('Form Sa1'!EMB835)*860)/10)+('Form Sa1'!EMB814*'Form Sa1'!EMB816/10)-'NF - 5 Power Mix'!ELY21-'NF - 5 Power Mix'!ELY22</f>
        <v>0</v>
      </c>
      <c r="ELZ42" s="1046">
        <f>ELZ38+((ELZ40+'NF - 5 Power Mix'!ELZ14+'NF - 5 Power Mix'!ELZ15)*860/10)+((('Form Sa1'!EMC835)*860)/10)+('Form Sa1'!EMC814*'Form Sa1'!EMC816/10)-'NF - 5 Power Mix'!ELZ21-'NF - 5 Power Mix'!ELZ22</f>
        <v>0</v>
      </c>
      <c r="EMA42" s="1046">
        <f>EMA38+((EMA40+'NF - 5 Power Mix'!EMA14+'NF - 5 Power Mix'!EMA15)*860/10)+((('Form Sa1'!EMD835)*860)/10)+('Form Sa1'!EMD814*'Form Sa1'!EMD816/10)-'NF - 5 Power Mix'!EMA21-'NF - 5 Power Mix'!EMA22</f>
        <v>0</v>
      </c>
      <c r="EMB42" s="1046">
        <f>EMB38+((EMB40+'NF - 5 Power Mix'!EMB14+'NF - 5 Power Mix'!EMB15)*860/10)+((('Form Sa1'!EME835)*860)/10)+('Form Sa1'!EME814*'Form Sa1'!EME816/10)-'NF - 5 Power Mix'!EMB21-'NF - 5 Power Mix'!EMB22</f>
        <v>0</v>
      </c>
      <c r="EMC42" s="1046">
        <f>EMC38+((EMC40+'NF - 5 Power Mix'!EMC14+'NF - 5 Power Mix'!EMC15)*860/10)+((('Form Sa1'!EMF835)*860)/10)+('Form Sa1'!EMF814*'Form Sa1'!EMF816/10)-'NF - 5 Power Mix'!EMC21-'NF - 5 Power Mix'!EMC22</f>
        <v>0</v>
      </c>
      <c r="EMD42" s="1046">
        <f>EMD38+((EMD40+'NF - 5 Power Mix'!EMD14+'NF - 5 Power Mix'!EMD15)*860/10)+((('Form Sa1'!EMG835)*860)/10)+('Form Sa1'!EMG814*'Form Sa1'!EMG816/10)-'NF - 5 Power Mix'!EMD21-'NF - 5 Power Mix'!EMD22</f>
        <v>0</v>
      </c>
      <c r="EME42" s="1046">
        <f>EME38+((EME40+'NF - 5 Power Mix'!EME14+'NF - 5 Power Mix'!EME15)*860/10)+((('Form Sa1'!EMH835)*860)/10)+('Form Sa1'!EMH814*'Form Sa1'!EMH816/10)-'NF - 5 Power Mix'!EME21-'NF - 5 Power Mix'!EME22</f>
        <v>0</v>
      </c>
      <c r="EMF42" s="1046">
        <f>EMF38+((EMF40+'NF - 5 Power Mix'!EMF14+'NF - 5 Power Mix'!EMF15)*860/10)+((('Form Sa1'!EMI835)*860)/10)+('Form Sa1'!EMI814*'Form Sa1'!EMI816/10)-'NF - 5 Power Mix'!EMF21-'NF - 5 Power Mix'!EMF22</f>
        <v>0</v>
      </c>
      <c r="EMG42" s="1046">
        <f>EMG38+((EMG40+'NF - 5 Power Mix'!EMG14+'NF - 5 Power Mix'!EMG15)*860/10)+((('Form Sa1'!EMJ835)*860)/10)+('Form Sa1'!EMJ814*'Form Sa1'!EMJ816/10)-'NF - 5 Power Mix'!EMG21-'NF - 5 Power Mix'!EMG22</f>
        <v>0</v>
      </c>
      <c r="EMH42" s="1046">
        <f>EMH38+((EMH40+'NF - 5 Power Mix'!EMH14+'NF - 5 Power Mix'!EMH15)*860/10)+((('Form Sa1'!EMK835)*860)/10)+('Form Sa1'!EMK814*'Form Sa1'!EMK816/10)-'NF - 5 Power Mix'!EMH21-'NF - 5 Power Mix'!EMH22</f>
        <v>0</v>
      </c>
      <c r="EMI42" s="1046">
        <f>EMI38+((EMI40+'NF - 5 Power Mix'!EMI14+'NF - 5 Power Mix'!EMI15)*860/10)+((('Form Sa1'!EML835)*860)/10)+('Form Sa1'!EML814*'Form Sa1'!EML816/10)-'NF - 5 Power Mix'!EMI21-'NF - 5 Power Mix'!EMI22</f>
        <v>0</v>
      </c>
      <c r="EMJ42" s="1046">
        <f>EMJ38+((EMJ40+'NF - 5 Power Mix'!EMJ14+'NF - 5 Power Mix'!EMJ15)*860/10)+((('Form Sa1'!EMM835)*860)/10)+('Form Sa1'!EMM814*'Form Sa1'!EMM816/10)-'NF - 5 Power Mix'!EMJ21-'NF - 5 Power Mix'!EMJ22</f>
        <v>0</v>
      </c>
      <c r="EMK42" s="1046">
        <f>EMK38+((EMK40+'NF - 5 Power Mix'!EMK14+'NF - 5 Power Mix'!EMK15)*860/10)+((('Form Sa1'!EMN835)*860)/10)+('Form Sa1'!EMN814*'Form Sa1'!EMN816/10)-'NF - 5 Power Mix'!EMK21-'NF - 5 Power Mix'!EMK22</f>
        <v>0</v>
      </c>
      <c r="EML42" s="1046">
        <f>EML38+((EML40+'NF - 5 Power Mix'!EML14+'NF - 5 Power Mix'!EML15)*860/10)+((('Form Sa1'!EMO835)*860)/10)+('Form Sa1'!EMO814*'Form Sa1'!EMO816/10)-'NF - 5 Power Mix'!EML21-'NF - 5 Power Mix'!EML22</f>
        <v>0</v>
      </c>
      <c r="EMM42" s="1046">
        <f>EMM38+((EMM40+'NF - 5 Power Mix'!EMM14+'NF - 5 Power Mix'!EMM15)*860/10)+((('Form Sa1'!EMP835)*860)/10)+('Form Sa1'!EMP814*'Form Sa1'!EMP816/10)-'NF - 5 Power Mix'!EMM21-'NF - 5 Power Mix'!EMM22</f>
        <v>0</v>
      </c>
      <c r="EMN42" s="1046">
        <f>EMN38+((EMN40+'NF - 5 Power Mix'!EMN14+'NF - 5 Power Mix'!EMN15)*860/10)+((('Form Sa1'!EMQ835)*860)/10)+('Form Sa1'!EMQ814*'Form Sa1'!EMQ816/10)-'NF - 5 Power Mix'!EMN21-'NF - 5 Power Mix'!EMN22</f>
        <v>0</v>
      </c>
      <c r="EMO42" s="1046">
        <f>EMO38+((EMO40+'NF - 5 Power Mix'!EMO14+'NF - 5 Power Mix'!EMO15)*860/10)+((('Form Sa1'!EMR835)*860)/10)+('Form Sa1'!EMR814*'Form Sa1'!EMR816/10)-'NF - 5 Power Mix'!EMO21-'NF - 5 Power Mix'!EMO22</f>
        <v>0</v>
      </c>
      <c r="EMP42" s="1046">
        <f>EMP38+((EMP40+'NF - 5 Power Mix'!EMP14+'NF - 5 Power Mix'!EMP15)*860/10)+((('Form Sa1'!EMS835)*860)/10)+('Form Sa1'!EMS814*'Form Sa1'!EMS816/10)-'NF - 5 Power Mix'!EMP21-'NF - 5 Power Mix'!EMP22</f>
        <v>0</v>
      </c>
      <c r="EMQ42" s="1046">
        <f>EMQ38+((EMQ40+'NF - 5 Power Mix'!EMQ14+'NF - 5 Power Mix'!EMQ15)*860/10)+((('Form Sa1'!EMT835)*860)/10)+('Form Sa1'!EMT814*'Form Sa1'!EMT816/10)-'NF - 5 Power Mix'!EMQ21-'NF - 5 Power Mix'!EMQ22</f>
        <v>0</v>
      </c>
      <c r="EMR42" s="1046">
        <f>EMR38+((EMR40+'NF - 5 Power Mix'!EMR14+'NF - 5 Power Mix'!EMR15)*860/10)+((('Form Sa1'!EMU835)*860)/10)+('Form Sa1'!EMU814*'Form Sa1'!EMU816/10)-'NF - 5 Power Mix'!EMR21-'NF - 5 Power Mix'!EMR22</f>
        <v>0</v>
      </c>
      <c r="EMS42" s="1046">
        <f>EMS38+((EMS40+'NF - 5 Power Mix'!EMS14+'NF - 5 Power Mix'!EMS15)*860/10)+((('Form Sa1'!EMV835)*860)/10)+('Form Sa1'!EMV814*'Form Sa1'!EMV816/10)-'NF - 5 Power Mix'!EMS21-'NF - 5 Power Mix'!EMS22</f>
        <v>0</v>
      </c>
      <c r="EMT42" s="1046">
        <f>EMT38+((EMT40+'NF - 5 Power Mix'!EMT14+'NF - 5 Power Mix'!EMT15)*860/10)+((('Form Sa1'!EMW835)*860)/10)+('Form Sa1'!EMW814*'Form Sa1'!EMW816/10)-'NF - 5 Power Mix'!EMT21-'NF - 5 Power Mix'!EMT22</f>
        <v>0</v>
      </c>
      <c r="EMU42" s="1046">
        <f>EMU38+((EMU40+'NF - 5 Power Mix'!EMU14+'NF - 5 Power Mix'!EMU15)*860/10)+((('Form Sa1'!EMX835)*860)/10)+('Form Sa1'!EMX814*'Form Sa1'!EMX816/10)-'NF - 5 Power Mix'!EMU21-'NF - 5 Power Mix'!EMU22</f>
        <v>0</v>
      </c>
      <c r="EMV42" s="1046">
        <f>EMV38+((EMV40+'NF - 5 Power Mix'!EMV14+'NF - 5 Power Mix'!EMV15)*860/10)+((('Form Sa1'!EMY835)*860)/10)+('Form Sa1'!EMY814*'Form Sa1'!EMY816/10)-'NF - 5 Power Mix'!EMV21-'NF - 5 Power Mix'!EMV22</f>
        <v>0</v>
      </c>
      <c r="EMW42" s="1046">
        <f>EMW38+((EMW40+'NF - 5 Power Mix'!EMW14+'NF - 5 Power Mix'!EMW15)*860/10)+((('Form Sa1'!EMZ835)*860)/10)+('Form Sa1'!EMZ814*'Form Sa1'!EMZ816/10)-'NF - 5 Power Mix'!EMW21-'NF - 5 Power Mix'!EMW22</f>
        <v>0</v>
      </c>
      <c r="EMX42" s="1046">
        <f>EMX38+((EMX40+'NF - 5 Power Mix'!EMX14+'NF - 5 Power Mix'!EMX15)*860/10)+((('Form Sa1'!ENA835)*860)/10)+('Form Sa1'!ENA814*'Form Sa1'!ENA816/10)-'NF - 5 Power Mix'!EMX21-'NF - 5 Power Mix'!EMX22</f>
        <v>0</v>
      </c>
      <c r="EMY42" s="1046">
        <f>EMY38+((EMY40+'NF - 5 Power Mix'!EMY14+'NF - 5 Power Mix'!EMY15)*860/10)+((('Form Sa1'!ENB835)*860)/10)+('Form Sa1'!ENB814*'Form Sa1'!ENB816/10)-'NF - 5 Power Mix'!EMY21-'NF - 5 Power Mix'!EMY22</f>
        <v>0</v>
      </c>
      <c r="EMZ42" s="1046">
        <f>EMZ38+((EMZ40+'NF - 5 Power Mix'!EMZ14+'NF - 5 Power Mix'!EMZ15)*860/10)+((('Form Sa1'!ENC835)*860)/10)+('Form Sa1'!ENC814*'Form Sa1'!ENC816/10)-'NF - 5 Power Mix'!EMZ21-'NF - 5 Power Mix'!EMZ22</f>
        <v>0</v>
      </c>
      <c r="ENA42" s="1046">
        <f>ENA38+((ENA40+'NF - 5 Power Mix'!ENA14+'NF - 5 Power Mix'!ENA15)*860/10)+((('Form Sa1'!END835)*860)/10)+('Form Sa1'!END814*'Form Sa1'!END816/10)-'NF - 5 Power Mix'!ENA21-'NF - 5 Power Mix'!ENA22</f>
        <v>0</v>
      </c>
      <c r="ENB42" s="1046">
        <f>ENB38+((ENB40+'NF - 5 Power Mix'!ENB14+'NF - 5 Power Mix'!ENB15)*860/10)+((('Form Sa1'!ENE835)*860)/10)+('Form Sa1'!ENE814*'Form Sa1'!ENE816/10)-'NF - 5 Power Mix'!ENB21-'NF - 5 Power Mix'!ENB22</f>
        <v>0</v>
      </c>
      <c r="ENC42" s="1046">
        <f>ENC38+((ENC40+'NF - 5 Power Mix'!ENC14+'NF - 5 Power Mix'!ENC15)*860/10)+((('Form Sa1'!ENF835)*860)/10)+('Form Sa1'!ENF814*'Form Sa1'!ENF816/10)-'NF - 5 Power Mix'!ENC21-'NF - 5 Power Mix'!ENC22</f>
        <v>0</v>
      </c>
      <c r="END42" s="1046">
        <f>END38+((END40+'NF - 5 Power Mix'!END14+'NF - 5 Power Mix'!END15)*860/10)+((('Form Sa1'!ENG835)*860)/10)+('Form Sa1'!ENG814*'Form Sa1'!ENG816/10)-'NF - 5 Power Mix'!END21-'NF - 5 Power Mix'!END22</f>
        <v>0</v>
      </c>
      <c r="ENE42" s="1046">
        <f>ENE38+((ENE40+'NF - 5 Power Mix'!ENE14+'NF - 5 Power Mix'!ENE15)*860/10)+((('Form Sa1'!ENH835)*860)/10)+('Form Sa1'!ENH814*'Form Sa1'!ENH816/10)-'NF - 5 Power Mix'!ENE21-'NF - 5 Power Mix'!ENE22</f>
        <v>0</v>
      </c>
      <c r="ENF42" s="1046">
        <f>ENF38+((ENF40+'NF - 5 Power Mix'!ENF14+'NF - 5 Power Mix'!ENF15)*860/10)+((('Form Sa1'!ENI835)*860)/10)+('Form Sa1'!ENI814*'Form Sa1'!ENI816/10)-'NF - 5 Power Mix'!ENF21-'NF - 5 Power Mix'!ENF22</f>
        <v>0</v>
      </c>
      <c r="ENG42" s="1046">
        <f>ENG38+((ENG40+'NF - 5 Power Mix'!ENG14+'NF - 5 Power Mix'!ENG15)*860/10)+((('Form Sa1'!ENJ835)*860)/10)+('Form Sa1'!ENJ814*'Form Sa1'!ENJ816/10)-'NF - 5 Power Mix'!ENG21-'NF - 5 Power Mix'!ENG22</f>
        <v>0</v>
      </c>
      <c r="ENH42" s="1046">
        <f>ENH38+((ENH40+'NF - 5 Power Mix'!ENH14+'NF - 5 Power Mix'!ENH15)*860/10)+((('Form Sa1'!ENK835)*860)/10)+('Form Sa1'!ENK814*'Form Sa1'!ENK816/10)-'NF - 5 Power Mix'!ENH21-'NF - 5 Power Mix'!ENH22</f>
        <v>0</v>
      </c>
      <c r="ENI42" s="1046">
        <f>ENI38+((ENI40+'NF - 5 Power Mix'!ENI14+'NF - 5 Power Mix'!ENI15)*860/10)+((('Form Sa1'!ENL835)*860)/10)+('Form Sa1'!ENL814*'Form Sa1'!ENL816/10)-'NF - 5 Power Mix'!ENI21-'NF - 5 Power Mix'!ENI22</f>
        <v>0</v>
      </c>
      <c r="ENJ42" s="1046">
        <f>ENJ38+((ENJ40+'NF - 5 Power Mix'!ENJ14+'NF - 5 Power Mix'!ENJ15)*860/10)+((('Form Sa1'!ENM835)*860)/10)+('Form Sa1'!ENM814*'Form Sa1'!ENM816/10)-'NF - 5 Power Mix'!ENJ21-'NF - 5 Power Mix'!ENJ22</f>
        <v>0</v>
      </c>
      <c r="ENK42" s="1046">
        <f>ENK38+((ENK40+'NF - 5 Power Mix'!ENK14+'NF - 5 Power Mix'!ENK15)*860/10)+((('Form Sa1'!ENN835)*860)/10)+('Form Sa1'!ENN814*'Form Sa1'!ENN816/10)-'NF - 5 Power Mix'!ENK21-'NF - 5 Power Mix'!ENK22</f>
        <v>0</v>
      </c>
      <c r="ENL42" s="1046">
        <f>ENL38+((ENL40+'NF - 5 Power Mix'!ENL14+'NF - 5 Power Mix'!ENL15)*860/10)+((('Form Sa1'!ENO835)*860)/10)+('Form Sa1'!ENO814*'Form Sa1'!ENO816/10)-'NF - 5 Power Mix'!ENL21-'NF - 5 Power Mix'!ENL22</f>
        <v>0</v>
      </c>
      <c r="ENM42" s="1046">
        <f>ENM38+((ENM40+'NF - 5 Power Mix'!ENM14+'NF - 5 Power Mix'!ENM15)*860/10)+((('Form Sa1'!ENP835)*860)/10)+('Form Sa1'!ENP814*'Form Sa1'!ENP816/10)-'NF - 5 Power Mix'!ENM21-'NF - 5 Power Mix'!ENM22</f>
        <v>0</v>
      </c>
      <c r="ENN42" s="1046">
        <f>ENN38+((ENN40+'NF - 5 Power Mix'!ENN14+'NF - 5 Power Mix'!ENN15)*860/10)+((('Form Sa1'!ENQ835)*860)/10)+('Form Sa1'!ENQ814*'Form Sa1'!ENQ816/10)-'NF - 5 Power Mix'!ENN21-'NF - 5 Power Mix'!ENN22</f>
        <v>0</v>
      </c>
      <c r="ENO42" s="1046">
        <f>ENO38+((ENO40+'NF - 5 Power Mix'!ENO14+'NF - 5 Power Mix'!ENO15)*860/10)+((('Form Sa1'!ENR835)*860)/10)+('Form Sa1'!ENR814*'Form Sa1'!ENR816/10)-'NF - 5 Power Mix'!ENO21-'NF - 5 Power Mix'!ENO22</f>
        <v>0</v>
      </c>
      <c r="ENP42" s="1046">
        <f>ENP38+((ENP40+'NF - 5 Power Mix'!ENP14+'NF - 5 Power Mix'!ENP15)*860/10)+((('Form Sa1'!ENS835)*860)/10)+('Form Sa1'!ENS814*'Form Sa1'!ENS816/10)-'NF - 5 Power Mix'!ENP21-'NF - 5 Power Mix'!ENP22</f>
        <v>0</v>
      </c>
      <c r="ENQ42" s="1046">
        <f>ENQ38+((ENQ40+'NF - 5 Power Mix'!ENQ14+'NF - 5 Power Mix'!ENQ15)*860/10)+((('Form Sa1'!ENT835)*860)/10)+('Form Sa1'!ENT814*'Form Sa1'!ENT816/10)-'NF - 5 Power Mix'!ENQ21-'NF - 5 Power Mix'!ENQ22</f>
        <v>0</v>
      </c>
      <c r="ENR42" s="1046">
        <f>ENR38+((ENR40+'NF - 5 Power Mix'!ENR14+'NF - 5 Power Mix'!ENR15)*860/10)+((('Form Sa1'!ENU835)*860)/10)+('Form Sa1'!ENU814*'Form Sa1'!ENU816/10)-'NF - 5 Power Mix'!ENR21-'NF - 5 Power Mix'!ENR22</f>
        <v>0</v>
      </c>
      <c r="ENS42" s="1046">
        <f>ENS38+((ENS40+'NF - 5 Power Mix'!ENS14+'NF - 5 Power Mix'!ENS15)*860/10)+((('Form Sa1'!ENV835)*860)/10)+('Form Sa1'!ENV814*'Form Sa1'!ENV816/10)-'NF - 5 Power Mix'!ENS21-'NF - 5 Power Mix'!ENS22</f>
        <v>0</v>
      </c>
      <c r="ENT42" s="1046">
        <f>ENT38+((ENT40+'NF - 5 Power Mix'!ENT14+'NF - 5 Power Mix'!ENT15)*860/10)+((('Form Sa1'!ENW835)*860)/10)+('Form Sa1'!ENW814*'Form Sa1'!ENW816/10)-'NF - 5 Power Mix'!ENT21-'NF - 5 Power Mix'!ENT22</f>
        <v>0</v>
      </c>
      <c r="ENU42" s="1046">
        <f>ENU38+((ENU40+'NF - 5 Power Mix'!ENU14+'NF - 5 Power Mix'!ENU15)*860/10)+((('Form Sa1'!ENX835)*860)/10)+('Form Sa1'!ENX814*'Form Sa1'!ENX816/10)-'NF - 5 Power Mix'!ENU21-'NF - 5 Power Mix'!ENU22</f>
        <v>0</v>
      </c>
      <c r="ENV42" s="1046">
        <f>ENV38+((ENV40+'NF - 5 Power Mix'!ENV14+'NF - 5 Power Mix'!ENV15)*860/10)+((('Form Sa1'!ENY835)*860)/10)+('Form Sa1'!ENY814*'Form Sa1'!ENY816/10)-'NF - 5 Power Mix'!ENV21-'NF - 5 Power Mix'!ENV22</f>
        <v>0</v>
      </c>
      <c r="ENW42" s="1046">
        <f>ENW38+((ENW40+'NF - 5 Power Mix'!ENW14+'NF - 5 Power Mix'!ENW15)*860/10)+((('Form Sa1'!ENZ835)*860)/10)+('Form Sa1'!ENZ814*'Form Sa1'!ENZ816/10)-'NF - 5 Power Mix'!ENW21-'NF - 5 Power Mix'!ENW22</f>
        <v>0</v>
      </c>
      <c r="ENX42" s="1046">
        <f>ENX38+((ENX40+'NF - 5 Power Mix'!ENX14+'NF - 5 Power Mix'!ENX15)*860/10)+((('Form Sa1'!EOA835)*860)/10)+('Form Sa1'!EOA814*'Form Sa1'!EOA816/10)-'NF - 5 Power Mix'!ENX21-'NF - 5 Power Mix'!ENX22</f>
        <v>0</v>
      </c>
      <c r="ENY42" s="1046">
        <f>ENY38+((ENY40+'NF - 5 Power Mix'!ENY14+'NF - 5 Power Mix'!ENY15)*860/10)+((('Form Sa1'!EOB835)*860)/10)+('Form Sa1'!EOB814*'Form Sa1'!EOB816/10)-'NF - 5 Power Mix'!ENY21-'NF - 5 Power Mix'!ENY22</f>
        <v>0</v>
      </c>
      <c r="ENZ42" s="1046">
        <f>ENZ38+((ENZ40+'NF - 5 Power Mix'!ENZ14+'NF - 5 Power Mix'!ENZ15)*860/10)+((('Form Sa1'!EOC835)*860)/10)+('Form Sa1'!EOC814*'Form Sa1'!EOC816/10)-'NF - 5 Power Mix'!ENZ21-'NF - 5 Power Mix'!ENZ22</f>
        <v>0</v>
      </c>
      <c r="EOA42" s="1046">
        <f>EOA38+((EOA40+'NF - 5 Power Mix'!EOA14+'NF - 5 Power Mix'!EOA15)*860/10)+((('Form Sa1'!EOD835)*860)/10)+('Form Sa1'!EOD814*'Form Sa1'!EOD816/10)-'NF - 5 Power Mix'!EOA21-'NF - 5 Power Mix'!EOA22</f>
        <v>0</v>
      </c>
      <c r="EOB42" s="1046">
        <f>EOB38+((EOB40+'NF - 5 Power Mix'!EOB14+'NF - 5 Power Mix'!EOB15)*860/10)+((('Form Sa1'!EOE835)*860)/10)+('Form Sa1'!EOE814*'Form Sa1'!EOE816/10)-'NF - 5 Power Mix'!EOB21-'NF - 5 Power Mix'!EOB22</f>
        <v>0</v>
      </c>
      <c r="EOC42" s="1046">
        <f>EOC38+((EOC40+'NF - 5 Power Mix'!EOC14+'NF - 5 Power Mix'!EOC15)*860/10)+((('Form Sa1'!EOF835)*860)/10)+('Form Sa1'!EOF814*'Form Sa1'!EOF816/10)-'NF - 5 Power Mix'!EOC21-'NF - 5 Power Mix'!EOC22</f>
        <v>0</v>
      </c>
      <c r="EOD42" s="1046">
        <f>EOD38+((EOD40+'NF - 5 Power Mix'!EOD14+'NF - 5 Power Mix'!EOD15)*860/10)+((('Form Sa1'!EOG835)*860)/10)+('Form Sa1'!EOG814*'Form Sa1'!EOG816/10)-'NF - 5 Power Mix'!EOD21-'NF - 5 Power Mix'!EOD22</f>
        <v>0</v>
      </c>
      <c r="EOE42" s="1046">
        <f>EOE38+((EOE40+'NF - 5 Power Mix'!EOE14+'NF - 5 Power Mix'!EOE15)*860/10)+((('Form Sa1'!EOH835)*860)/10)+('Form Sa1'!EOH814*'Form Sa1'!EOH816/10)-'NF - 5 Power Mix'!EOE21-'NF - 5 Power Mix'!EOE22</f>
        <v>0</v>
      </c>
      <c r="EOF42" s="1046">
        <f>EOF38+((EOF40+'NF - 5 Power Mix'!EOF14+'NF - 5 Power Mix'!EOF15)*860/10)+((('Form Sa1'!EOI835)*860)/10)+('Form Sa1'!EOI814*'Form Sa1'!EOI816/10)-'NF - 5 Power Mix'!EOF21-'NF - 5 Power Mix'!EOF22</f>
        <v>0</v>
      </c>
      <c r="EOG42" s="1046">
        <f>EOG38+((EOG40+'NF - 5 Power Mix'!EOG14+'NF - 5 Power Mix'!EOG15)*860/10)+((('Form Sa1'!EOJ835)*860)/10)+('Form Sa1'!EOJ814*'Form Sa1'!EOJ816/10)-'NF - 5 Power Mix'!EOG21-'NF - 5 Power Mix'!EOG22</f>
        <v>0</v>
      </c>
      <c r="EOH42" s="1046">
        <f>EOH38+((EOH40+'NF - 5 Power Mix'!EOH14+'NF - 5 Power Mix'!EOH15)*860/10)+((('Form Sa1'!EOK835)*860)/10)+('Form Sa1'!EOK814*'Form Sa1'!EOK816/10)-'NF - 5 Power Mix'!EOH21-'NF - 5 Power Mix'!EOH22</f>
        <v>0</v>
      </c>
      <c r="EOI42" s="1046">
        <f>EOI38+((EOI40+'NF - 5 Power Mix'!EOI14+'NF - 5 Power Mix'!EOI15)*860/10)+((('Form Sa1'!EOL835)*860)/10)+('Form Sa1'!EOL814*'Form Sa1'!EOL816/10)-'NF - 5 Power Mix'!EOI21-'NF - 5 Power Mix'!EOI22</f>
        <v>0</v>
      </c>
      <c r="EOJ42" s="1046">
        <f>EOJ38+((EOJ40+'NF - 5 Power Mix'!EOJ14+'NF - 5 Power Mix'!EOJ15)*860/10)+((('Form Sa1'!EOM835)*860)/10)+('Form Sa1'!EOM814*'Form Sa1'!EOM816/10)-'NF - 5 Power Mix'!EOJ21-'NF - 5 Power Mix'!EOJ22</f>
        <v>0</v>
      </c>
      <c r="EOK42" s="1046">
        <f>EOK38+((EOK40+'NF - 5 Power Mix'!EOK14+'NF - 5 Power Mix'!EOK15)*860/10)+((('Form Sa1'!EON835)*860)/10)+('Form Sa1'!EON814*'Form Sa1'!EON816/10)-'NF - 5 Power Mix'!EOK21-'NF - 5 Power Mix'!EOK22</f>
        <v>0</v>
      </c>
      <c r="EOL42" s="1046">
        <f>EOL38+((EOL40+'NF - 5 Power Mix'!EOL14+'NF - 5 Power Mix'!EOL15)*860/10)+((('Form Sa1'!EOO835)*860)/10)+('Form Sa1'!EOO814*'Form Sa1'!EOO816/10)-'NF - 5 Power Mix'!EOL21-'NF - 5 Power Mix'!EOL22</f>
        <v>0</v>
      </c>
      <c r="EOM42" s="1046">
        <f>EOM38+((EOM40+'NF - 5 Power Mix'!EOM14+'NF - 5 Power Mix'!EOM15)*860/10)+((('Form Sa1'!EOP835)*860)/10)+('Form Sa1'!EOP814*'Form Sa1'!EOP816/10)-'NF - 5 Power Mix'!EOM21-'NF - 5 Power Mix'!EOM22</f>
        <v>0</v>
      </c>
      <c r="EON42" s="1046">
        <f>EON38+((EON40+'NF - 5 Power Mix'!EON14+'NF - 5 Power Mix'!EON15)*860/10)+((('Form Sa1'!EOQ835)*860)/10)+('Form Sa1'!EOQ814*'Form Sa1'!EOQ816/10)-'NF - 5 Power Mix'!EON21-'NF - 5 Power Mix'!EON22</f>
        <v>0</v>
      </c>
      <c r="EOO42" s="1046">
        <f>EOO38+((EOO40+'NF - 5 Power Mix'!EOO14+'NF - 5 Power Mix'!EOO15)*860/10)+((('Form Sa1'!EOR835)*860)/10)+('Form Sa1'!EOR814*'Form Sa1'!EOR816/10)-'NF - 5 Power Mix'!EOO21-'NF - 5 Power Mix'!EOO22</f>
        <v>0</v>
      </c>
      <c r="EOP42" s="1046">
        <f>EOP38+((EOP40+'NF - 5 Power Mix'!EOP14+'NF - 5 Power Mix'!EOP15)*860/10)+((('Form Sa1'!EOS835)*860)/10)+('Form Sa1'!EOS814*'Form Sa1'!EOS816/10)-'NF - 5 Power Mix'!EOP21-'NF - 5 Power Mix'!EOP22</f>
        <v>0</v>
      </c>
      <c r="EOQ42" s="1046">
        <f>EOQ38+((EOQ40+'NF - 5 Power Mix'!EOQ14+'NF - 5 Power Mix'!EOQ15)*860/10)+((('Form Sa1'!EOT835)*860)/10)+('Form Sa1'!EOT814*'Form Sa1'!EOT816/10)-'NF - 5 Power Mix'!EOQ21-'NF - 5 Power Mix'!EOQ22</f>
        <v>0</v>
      </c>
      <c r="EOR42" s="1046">
        <f>EOR38+((EOR40+'NF - 5 Power Mix'!EOR14+'NF - 5 Power Mix'!EOR15)*860/10)+((('Form Sa1'!EOU835)*860)/10)+('Form Sa1'!EOU814*'Form Sa1'!EOU816/10)-'NF - 5 Power Mix'!EOR21-'NF - 5 Power Mix'!EOR22</f>
        <v>0</v>
      </c>
      <c r="EOS42" s="1046">
        <f>EOS38+((EOS40+'NF - 5 Power Mix'!EOS14+'NF - 5 Power Mix'!EOS15)*860/10)+((('Form Sa1'!EOV835)*860)/10)+('Form Sa1'!EOV814*'Form Sa1'!EOV816/10)-'NF - 5 Power Mix'!EOS21-'NF - 5 Power Mix'!EOS22</f>
        <v>0</v>
      </c>
      <c r="EOT42" s="1046">
        <f>EOT38+((EOT40+'NF - 5 Power Mix'!EOT14+'NF - 5 Power Mix'!EOT15)*860/10)+((('Form Sa1'!EOW835)*860)/10)+('Form Sa1'!EOW814*'Form Sa1'!EOW816/10)-'NF - 5 Power Mix'!EOT21-'NF - 5 Power Mix'!EOT22</f>
        <v>0</v>
      </c>
      <c r="EOU42" s="1046">
        <f>EOU38+((EOU40+'NF - 5 Power Mix'!EOU14+'NF - 5 Power Mix'!EOU15)*860/10)+((('Form Sa1'!EOX835)*860)/10)+('Form Sa1'!EOX814*'Form Sa1'!EOX816/10)-'NF - 5 Power Mix'!EOU21-'NF - 5 Power Mix'!EOU22</f>
        <v>0</v>
      </c>
      <c r="EOV42" s="1046">
        <f>EOV38+((EOV40+'NF - 5 Power Mix'!EOV14+'NF - 5 Power Mix'!EOV15)*860/10)+((('Form Sa1'!EOY835)*860)/10)+('Form Sa1'!EOY814*'Form Sa1'!EOY816/10)-'NF - 5 Power Mix'!EOV21-'NF - 5 Power Mix'!EOV22</f>
        <v>0</v>
      </c>
      <c r="EOW42" s="1046">
        <f>EOW38+((EOW40+'NF - 5 Power Mix'!EOW14+'NF - 5 Power Mix'!EOW15)*860/10)+((('Form Sa1'!EOZ835)*860)/10)+('Form Sa1'!EOZ814*'Form Sa1'!EOZ816/10)-'NF - 5 Power Mix'!EOW21-'NF - 5 Power Mix'!EOW22</f>
        <v>0</v>
      </c>
      <c r="EOX42" s="1046">
        <f>EOX38+((EOX40+'NF - 5 Power Mix'!EOX14+'NF - 5 Power Mix'!EOX15)*860/10)+((('Form Sa1'!EPA835)*860)/10)+('Form Sa1'!EPA814*'Form Sa1'!EPA816/10)-'NF - 5 Power Mix'!EOX21-'NF - 5 Power Mix'!EOX22</f>
        <v>0</v>
      </c>
      <c r="EOY42" s="1046">
        <f>EOY38+((EOY40+'NF - 5 Power Mix'!EOY14+'NF - 5 Power Mix'!EOY15)*860/10)+((('Form Sa1'!EPB835)*860)/10)+('Form Sa1'!EPB814*'Form Sa1'!EPB816/10)-'NF - 5 Power Mix'!EOY21-'NF - 5 Power Mix'!EOY22</f>
        <v>0</v>
      </c>
      <c r="EOZ42" s="1046">
        <f>EOZ38+((EOZ40+'NF - 5 Power Mix'!EOZ14+'NF - 5 Power Mix'!EOZ15)*860/10)+((('Form Sa1'!EPC835)*860)/10)+('Form Sa1'!EPC814*'Form Sa1'!EPC816/10)-'NF - 5 Power Mix'!EOZ21-'NF - 5 Power Mix'!EOZ22</f>
        <v>0</v>
      </c>
      <c r="EPA42" s="1046">
        <f>EPA38+((EPA40+'NF - 5 Power Mix'!EPA14+'NF - 5 Power Mix'!EPA15)*860/10)+((('Form Sa1'!EPD835)*860)/10)+('Form Sa1'!EPD814*'Form Sa1'!EPD816/10)-'NF - 5 Power Mix'!EPA21-'NF - 5 Power Mix'!EPA22</f>
        <v>0</v>
      </c>
      <c r="EPB42" s="1046">
        <f>EPB38+((EPB40+'NF - 5 Power Mix'!EPB14+'NF - 5 Power Mix'!EPB15)*860/10)+((('Form Sa1'!EPE835)*860)/10)+('Form Sa1'!EPE814*'Form Sa1'!EPE816/10)-'NF - 5 Power Mix'!EPB21-'NF - 5 Power Mix'!EPB22</f>
        <v>0</v>
      </c>
      <c r="EPC42" s="1046">
        <f>EPC38+((EPC40+'NF - 5 Power Mix'!EPC14+'NF - 5 Power Mix'!EPC15)*860/10)+((('Form Sa1'!EPF835)*860)/10)+('Form Sa1'!EPF814*'Form Sa1'!EPF816/10)-'NF - 5 Power Mix'!EPC21-'NF - 5 Power Mix'!EPC22</f>
        <v>0</v>
      </c>
      <c r="EPD42" s="1046">
        <f>EPD38+((EPD40+'NF - 5 Power Mix'!EPD14+'NF - 5 Power Mix'!EPD15)*860/10)+((('Form Sa1'!EPG835)*860)/10)+('Form Sa1'!EPG814*'Form Sa1'!EPG816/10)-'NF - 5 Power Mix'!EPD21-'NF - 5 Power Mix'!EPD22</f>
        <v>0</v>
      </c>
      <c r="EPE42" s="1046">
        <f>EPE38+((EPE40+'NF - 5 Power Mix'!EPE14+'NF - 5 Power Mix'!EPE15)*860/10)+((('Form Sa1'!EPH835)*860)/10)+('Form Sa1'!EPH814*'Form Sa1'!EPH816/10)-'NF - 5 Power Mix'!EPE21-'NF - 5 Power Mix'!EPE22</f>
        <v>0</v>
      </c>
      <c r="EPF42" s="1046">
        <f>EPF38+((EPF40+'NF - 5 Power Mix'!EPF14+'NF - 5 Power Mix'!EPF15)*860/10)+((('Form Sa1'!EPI835)*860)/10)+('Form Sa1'!EPI814*'Form Sa1'!EPI816/10)-'NF - 5 Power Mix'!EPF21-'NF - 5 Power Mix'!EPF22</f>
        <v>0</v>
      </c>
      <c r="EPG42" s="1046">
        <f>EPG38+((EPG40+'NF - 5 Power Mix'!EPG14+'NF - 5 Power Mix'!EPG15)*860/10)+((('Form Sa1'!EPJ835)*860)/10)+('Form Sa1'!EPJ814*'Form Sa1'!EPJ816/10)-'NF - 5 Power Mix'!EPG21-'NF - 5 Power Mix'!EPG22</f>
        <v>0</v>
      </c>
      <c r="EPH42" s="1046">
        <f>EPH38+((EPH40+'NF - 5 Power Mix'!EPH14+'NF - 5 Power Mix'!EPH15)*860/10)+((('Form Sa1'!EPK835)*860)/10)+('Form Sa1'!EPK814*'Form Sa1'!EPK816/10)-'NF - 5 Power Mix'!EPH21-'NF - 5 Power Mix'!EPH22</f>
        <v>0</v>
      </c>
      <c r="EPI42" s="1046">
        <f>EPI38+((EPI40+'NF - 5 Power Mix'!EPI14+'NF - 5 Power Mix'!EPI15)*860/10)+((('Form Sa1'!EPL835)*860)/10)+('Form Sa1'!EPL814*'Form Sa1'!EPL816/10)-'NF - 5 Power Mix'!EPI21-'NF - 5 Power Mix'!EPI22</f>
        <v>0</v>
      </c>
      <c r="EPJ42" s="1046">
        <f>EPJ38+((EPJ40+'NF - 5 Power Mix'!EPJ14+'NF - 5 Power Mix'!EPJ15)*860/10)+((('Form Sa1'!EPM835)*860)/10)+('Form Sa1'!EPM814*'Form Sa1'!EPM816/10)-'NF - 5 Power Mix'!EPJ21-'NF - 5 Power Mix'!EPJ22</f>
        <v>0</v>
      </c>
      <c r="EPK42" s="1046">
        <f>EPK38+((EPK40+'NF - 5 Power Mix'!EPK14+'NF - 5 Power Mix'!EPK15)*860/10)+((('Form Sa1'!EPN835)*860)/10)+('Form Sa1'!EPN814*'Form Sa1'!EPN816/10)-'NF - 5 Power Mix'!EPK21-'NF - 5 Power Mix'!EPK22</f>
        <v>0</v>
      </c>
      <c r="EPL42" s="1046">
        <f>EPL38+((EPL40+'NF - 5 Power Mix'!EPL14+'NF - 5 Power Mix'!EPL15)*860/10)+((('Form Sa1'!EPO835)*860)/10)+('Form Sa1'!EPO814*'Form Sa1'!EPO816/10)-'NF - 5 Power Mix'!EPL21-'NF - 5 Power Mix'!EPL22</f>
        <v>0</v>
      </c>
      <c r="EPM42" s="1046">
        <f>EPM38+((EPM40+'NF - 5 Power Mix'!EPM14+'NF - 5 Power Mix'!EPM15)*860/10)+((('Form Sa1'!EPP835)*860)/10)+('Form Sa1'!EPP814*'Form Sa1'!EPP816/10)-'NF - 5 Power Mix'!EPM21-'NF - 5 Power Mix'!EPM22</f>
        <v>0</v>
      </c>
      <c r="EPN42" s="1046">
        <f>EPN38+((EPN40+'NF - 5 Power Mix'!EPN14+'NF - 5 Power Mix'!EPN15)*860/10)+((('Form Sa1'!EPQ835)*860)/10)+('Form Sa1'!EPQ814*'Form Sa1'!EPQ816/10)-'NF - 5 Power Mix'!EPN21-'NF - 5 Power Mix'!EPN22</f>
        <v>0</v>
      </c>
      <c r="EPO42" s="1046">
        <f>EPO38+((EPO40+'NF - 5 Power Mix'!EPO14+'NF - 5 Power Mix'!EPO15)*860/10)+((('Form Sa1'!EPR835)*860)/10)+('Form Sa1'!EPR814*'Form Sa1'!EPR816/10)-'NF - 5 Power Mix'!EPO21-'NF - 5 Power Mix'!EPO22</f>
        <v>0</v>
      </c>
      <c r="EPP42" s="1046">
        <f>EPP38+((EPP40+'NF - 5 Power Mix'!EPP14+'NF - 5 Power Mix'!EPP15)*860/10)+((('Form Sa1'!EPS835)*860)/10)+('Form Sa1'!EPS814*'Form Sa1'!EPS816/10)-'NF - 5 Power Mix'!EPP21-'NF - 5 Power Mix'!EPP22</f>
        <v>0</v>
      </c>
      <c r="EPQ42" s="1046">
        <f>EPQ38+((EPQ40+'NF - 5 Power Mix'!EPQ14+'NF - 5 Power Mix'!EPQ15)*860/10)+((('Form Sa1'!EPT835)*860)/10)+('Form Sa1'!EPT814*'Form Sa1'!EPT816/10)-'NF - 5 Power Mix'!EPQ21-'NF - 5 Power Mix'!EPQ22</f>
        <v>0</v>
      </c>
      <c r="EPR42" s="1046">
        <f>EPR38+((EPR40+'NF - 5 Power Mix'!EPR14+'NF - 5 Power Mix'!EPR15)*860/10)+((('Form Sa1'!EPU835)*860)/10)+('Form Sa1'!EPU814*'Form Sa1'!EPU816/10)-'NF - 5 Power Mix'!EPR21-'NF - 5 Power Mix'!EPR22</f>
        <v>0</v>
      </c>
      <c r="EPS42" s="1046">
        <f>EPS38+((EPS40+'NF - 5 Power Mix'!EPS14+'NF - 5 Power Mix'!EPS15)*860/10)+((('Form Sa1'!EPV835)*860)/10)+('Form Sa1'!EPV814*'Form Sa1'!EPV816/10)-'NF - 5 Power Mix'!EPS21-'NF - 5 Power Mix'!EPS22</f>
        <v>0</v>
      </c>
      <c r="EPT42" s="1046">
        <f>EPT38+((EPT40+'NF - 5 Power Mix'!EPT14+'NF - 5 Power Mix'!EPT15)*860/10)+((('Form Sa1'!EPW835)*860)/10)+('Form Sa1'!EPW814*'Form Sa1'!EPW816/10)-'NF - 5 Power Mix'!EPT21-'NF - 5 Power Mix'!EPT22</f>
        <v>0</v>
      </c>
      <c r="EPU42" s="1046">
        <f>EPU38+((EPU40+'NF - 5 Power Mix'!EPU14+'NF - 5 Power Mix'!EPU15)*860/10)+((('Form Sa1'!EPX835)*860)/10)+('Form Sa1'!EPX814*'Form Sa1'!EPX816/10)-'NF - 5 Power Mix'!EPU21-'NF - 5 Power Mix'!EPU22</f>
        <v>0</v>
      </c>
      <c r="EPV42" s="1046">
        <f>EPV38+((EPV40+'NF - 5 Power Mix'!EPV14+'NF - 5 Power Mix'!EPV15)*860/10)+((('Form Sa1'!EPY835)*860)/10)+('Form Sa1'!EPY814*'Form Sa1'!EPY816/10)-'NF - 5 Power Mix'!EPV21-'NF - 5 Power Mix'!EPV22</f>
        <v>0</v>
      </c>
      <c r="EPW42" s="1046">
        <f>EPW38+((EPW40+'NF - 5 Power Mix'!EPW14+'NF - 5 Power Mix'!EPW15)*860/10)+((('Form Sa1'!EPZ835)*860)/10)+('Form Sa1'!EPZ814*'Form Sa1'!EPZ816/10)-'NF - 5 Power Mix'!EPW21-'NF - 5 Power Mix'!EPW22</f>
        <v>0</v>
      </c>
      <c r="EPX42" s="1046">
        <f>EPX38+((EPX40+'NF - 5 Power Mix'!EPX14+'NF - 5 Power Mix'!EPX15)*860/10)+((('Form Sa1'!EQA835)*860)/10)+('Form Sa1'!EQA814*'Form Sa1'!EQA816/10)-'NF - 5 Power Mix'!EPX21-'NF - 5 Power Mix'!EPX22</f>
        <v>0</v>
      </c>
      <c r="EPY42" s="1046">
        <f>EPY38+((EPY40+'NF - 5 Power Mix'!EPY14+'NF - 5 Power Mix'!EPY15)*860/10)+((('Form Sa1'!EQB835)*860)/10)+('Form Sa1'!EQB814*'Form Sa1'!EQB816/10)-'NF - 5 Power Mix'!EPY21-'NF - 5 Power Mix'!EPY22</f>
        <v>0</v>
      </c>
      <c r="EPZ42" s="1046">
        <f>EPZ38+((EPZ40+'NF - 5 Power Mix'!EPZ14+'NF - 5 Power Mix'!EPZ15)*860/10)+((('Form Sa1'!EQC835)*860)/10)+('Form Sa1'!EQC814*'Form Sa1'!EQC816/10)-'NF - 5 Power Mix'!EPZ21-'NF - 5 Power Mix'!EPZ22</f>
        <v>0</v>
      </c>
      <c r="EQA42" s="1046">
        <f>EQA38+((EQA40+'NF - 5 Power Mix'!EQA14+'NF - 5 Power Mix'!EQA15)*860/10)+((('Form Sa1'!EQD835)*860)/10)+('Form Sa1'!EQD814*'Form Sa1'!EQD816/10)-'NF - 5 Power Mix'!EQA21-'NF - 5 Power Mix'!EQA22</f>
        <v>0</v>
      </c>
      <c r="EQB42" s="1046">
        <f>EQB38+((EQB40+'NF - 5 Power Mix'!EQB14+'NF - 5 Power Mix'!EQB15)*860/10)+((('Form Sa1'!EQE835)*860)/10)+('Form Sa1'!EQE814*'Form Sa1'!EQE816/10)-'NF - 5 Power Mix'!EQB21-'NF - 5 Power Mix'!EQB22</f>
        <v>0</v>
      </c>
      <c r="EQC42" s="1046">
        <f>EQC38+((EQC40+'NF - 5 Power Mix'!EQC14+'NF - 5 Power Mix'!EQC15)*860/10)+((('Form Sa1'!EQF835)*860)/10)+('Form Sa1'!EQF814*'Form Sa1'!EQF816/10)-'NF - 5 Power Mix'!EQC21-'NF - 5 Power Mix'!EQC22</f>
        <v>0</v>
      </c>
      <c r="EQD42" s="1046">
        <f>EQD38+((EQD40+'NF - 5 Power Mix'!EQD14+'NF - 5 Power Mix'!EQD15)*860/10)+((('Form Sa1'!EQG835)*860)/10)+('Form Sa1'!EQG814*'Form Sa1'!EQG816/10)-'NF - 5 Power Mix'!EQD21-'NF - 5 Power Mix'!EQD22</f>
        <v>0</v>
      </c>
      <c r="EQE42" s="1046">
        <f>EQE38+((EQE40+'NF - 5 Power Mix'!EQE14+'NF - 5 Power Mix'!EQE15)*860/10)+((('Form Sa1'!EQH835)*860)/10)+('Form Sa1'!EQH814*'Form Sa1'!EQH816/10)-'NF - 5 Power Mix'!EQE21-'NF - 5 Power Mix'!EQE22</f>
        <v>0</v>
      </c>
      <c r="EQF42" s="1046">
        <f>EQF38+((EQF40+'NF - 5 Power Mix'!EQF14+'NF - 5 Power Mix'!EQF15)*860/10)+((('Form Sa1'!EQI835)*860)/10)+('Form Sa1'!EQI814*'Form Sa1'!EQI816/10)-'NF - 5 Power Mix'!EQF21-'NF - 5 Power Mix'!EQF22</f>
        <v>0</v>
      </c>
      <c r="EQG42" s="1046">
        <f>EQG38+((EQG40+'NF - 5 Power Mix'!EQG14+'NF - 5 Power Mix'!EQG15)*860/10)+((('Form Sa1'!EQJ835)*860)/10)+('Form Sa1'!EQJ814*'Form Sa1'!EQJ816/10)-'NF - 5 Power Mix'!EQG21-'NF - 5 Power Mix'!EQG22</f>
        <v>0</v>
      </c>
      <c r="EQH42" s="1046">
        <f>EQH38+((EQH40+'NF - 5 Power Mix'!EQH14+'NF - 5 Power Mix'!EQH15)*860/10)+((('Form Sa1'!EQK835)*860)/10)+('Form Sa1'!EQK814*'Form Sa1'!EQK816/10)-'NF - 5 Power Mix'!EQH21-'NF - 5 Power Mix'!EQH22</f>
        <v>0</v>
      </c>
      <c r="EQI42" s="1046">
        <f>EQI38+((EQI40+'NF - 5 Power Mix'!EQI14+'NF - 5 Power Mix'!EQI15)*860/10)+((('Form Sa1'!EQL835)*860)/10)+('Form Sa1'!EQL814*'Form Sa1'!EQL816/10)-'NF - 5 Power Mix'!EQI21-'NF - 5 Power Mix'!EQI22</f>
        <v>0</v>
      </c>
      <c r="EQJ42" s="1046">
        <f>EQJ38+((EQJ40+'NF - 5 Power Mix'!EQJ14+'NF - 5 Power Mix'!EQJ15)*860/10)+((('Form Sa1'!EQM835)*860)/10)+('Form Sa1'!EQM814*'Form Sa1'!EQM816/10)-'NF - 5 Power Mix'!EQJ21-'NF - 5 Power Mix'!EQJ22</f>
        <v>0</v>
      </c>
      <c r="EQK42" s="1046">
        <f>EQK38+((EQK40+'NF - 5 Power Mix'!EQK14+'NF - 5 Power Mix'!EQK15)*860/10)+((('Form Sa1'!EQN835)*860)/10)+('Form Sa1'!EQN814*'Form Sa1'!EQN816/10)-'NF - 5 Power Mix'!EQK21-'NF - 5 Power Mix'!EQK22</f>
        <v>0</v>
      </c>
      <c r="EQL42" s="1046">
        <f>EQL38+((EQL40+'NF - 5 Power Mix'!EQL14+'NF - 5 Power Mix'!EQL15)*860/10)+((('Form Sa1'!EQO835)*860)/10)+('Form Sa1'!EQO814*'Form Sa1'!EQO816/10)-'NF - 5 Power Mix'!EQL21-'NF - 5 Power Mix'!EQL22</f>
        <v>0</v>
      </c>
      <c r="EQM42" s="1046">
        <f>EQM38+((EQM40+'NF - 5 Power Mix'!EQM14+'NF - 5 Power Mix'!EQM15)*860/10)+((('Form Sa1'!EQP835)*860)/10)+('Form Sa1'!EQP814*'Form Sa1'!EQP816/10)-'NF - 5 Power Mix'!EQM21-'NF - 5 Power Mix'!EQM22</f>
        <v>0</v>
      </c>
      <c r="EQN42" s="1046">
        <f>EQN38+((EQN40+'NF - 5 Power Mix'!EQN14+'NF - 5 Power Mix'!EQN15)*860/10)+((('Form Sa1'!EQQ835)*860)/10)+('Form Sa1'!EQQ814*'Form Sa1'!EQQ816/10)-'NF - 5 Power Mix'!EQN21-'NF - 5 Power Mix'!EQN22</f>
        <v>0</v>
      </c>
      <c r="EQO42" s="1046">
        <f>EQO38+((EQO40+'NF - 5 Power Mix'!EQO14+'NF - 5 Power Mix'!EQO15)*860/10)+((('Form Sa1'!EQR835)*860)/10)+('Form Sa1'!EQR814*'Form Sa1'!EQR816/10)-'NF - 5 Power Mix'!EQO21-'NF - 5 Power Mix'!EQO22</f>
        <v>0</v>
      </c>
      <c r="EQP42" s="1046">
        <f>EQP38+((EQP40+'NF - 5 Power Mix'!EQP14+'NF - 5 Power Mix'!EQP15)*860/10)+((('Form Sa1'!EQS835)*860)/10)+('Form Sa1'!EQS814*'Form Sa1'!EQS816/10)-'NF - 5 Power Mix'!EQP21-'NF - 5 Power Mix'!EQP22</f>
        <v>0</v>
      </c>
      <c r="EQQ42" s="1046">
        <f>EQQ38+((EQQ40+'NF - 5 Power Mix'!EQQ14+'NF - 5 Power Mix'!EQQ15)*860/10)+((('Form Sa1'!EQT835)*860)/10)+('Form Sa1'!EQT814*'Form Sa1'!EQT816/10)-'NF - 5 Power Mix'!EQQ21-'NF - 5 Power Mix'!EQQ22</f>
        <v>0</v>
      </c>
      <c r="EQR42" s="1046">
        <f>EQR38+((EQR40+'NF - 5 Power Mix'!EQR14+'NF - 5 Power Mix'!EQR15)*860/10)+((('Form Sa1'!EQU835)*860)/10)+('Form Sa1'!EQU814*'Form Sa1'!EQU816/10)-'NF - 5 Power Mix'!EQR21-'NF - 5 Power Mix'!EQR22</f>
        <v>0</v>
      </c>
      <c r="EQS42" s="1046">
        <f>EQS38+((EQS40+'NF - 5 Power Mix'!EQS14+'NF - 5 Power Mix'!EQS15)*860/10)+((('Form Sa1'!EQV835)*860)/10)+('Form Sa1'!EQV814*'Form Sa1'!EQV816/10)-'NF - 5 Power Mix'!EQS21-'NF - 5 Power Mix'!EQS22</f>
        <v>0</v>
      </c>
      <c r="EQT42" s="1046">
        <f>EQT38+((EQT40+'NF - 5 Power Mix'!EQT14+'NF - 5 Power Mix'!EQT15)*860/10)+((('Form Sa1'!EQW835)*860)/10)+('Form Sa1'!EQW814*'Form Sa1'!EQW816/10)-'NF - 5 Power Mix'!EQT21-'NF - 5 Power Mix'!EQT22</f>
        <v>0</v>
      </c>
      <c r="EQU42" s="1046">
        <f>EQU38+((EQU40+'NF - 5 Power Mix'!EQU14+'NF - 5 Power Mix'!EQU15)*860/10)+((('Form Sa1'!EQX835)*860)/10)+('Form Sa1'!EQX814*'Form Sa1'!EQX816/10)-'NF - 5 Power Mix'!EQU21-'NF - 5 Power Mix'!EQU22</f>
        <v>0</v>
      </c>
      <c r="EQV42" s="1046">
        <f>EQV38+((EQV40+'NF - 5 Power Mix'!EQV14+'NF - 5 Power Mix'!EQV15)*860/10)+((('Form Sa1'!EQY835)*860)/10)+('Form Sa1'!EQY814*'Form Sa1'!EQY816/10)-'NF - 5 Power Mix'!EQV21-'NF - 5 Power Mix'!EQV22</f>
        <v>0</v>
      </c>
      <c r="EQW42" s="1046">
        <f>EQW38+((EQW40+'NF - 5 Power Mix'!EQW14+'NF - 5 Power Mix'!EQW15)*860/10)+((('Form Sa1'!EQZ835)*860)/10)+('Form Sa1'!EQZ814*'Form Sa1'!EQZ816/10)-'NF - 5 Power Mix'!EQW21-'NF - 5 Power Mix'!EQW22</f>
        <v>0</v>
      </c>
      <c r="EQX42" s="1046">
        <f>EQX38+((EQX40+'NF - 5 Power Mix'!EQX14+'NF - 5 Power Mix'!EQX15)*860/10)+((('Form Sa1'!ERA835)*860)/10)+('Form Sa1'!ERA814*'Form Sa1'!ERA816/10)-'NF - 5 Power Mix'!EQX21-'NF - 5 Power Mix'!EQX22</f>
        <v>0</v>
      </c>
      <c r="EQY42" s="1046">
        <f>EQY38+((EQY40+'NF - 5 Power Mix'!EQY14+'NF - 5 Power Mix'!EQY15)*860/10)+((('Form Sa1'!ERB835)*860)/10)+('Form Sa1'!ERB814*'Form Sa1'!ERB816/10)-'NF - 5 Power Mix'!EQY21-'NF - 5 Power Mix'!EQY22</f>
        <v>0</v>
      </c>
      <c r="EQZ42" s="1046">
        <f>EQZ38+((EQZ40+'NF - 5 Power Mix'!EQZ14+'NF - 5 Power Mix'!EQZ15)*860/10)+((('Form Sa1'!ERC835)*860)/10)+('Form Sa1'!ERC814*'Form Sa1'!ERC816/10)-'NF - 5 Power Mix'!EQZ21-'NF - 5 Power Mix'!EQZ22</f>
        <v>0</v>
      </c>
      <c r="ERA42" s="1046">
        <f>ERA38+((ERA40+'NF - 5 Power Mix'!ERA14+'NF - 5 Power Mix'!ERA15)*860/10)+((('Form Sa1'!ERD835)*860)/10)+('Form Sa1'!ERD814*'Form Sa1'!ERD816/10)-'NF - 5 Power Mix'!ERA21-'NF - 5 Power Mix'!ERA22</f>
        <v>0</v>
      </c>
      <c r="ERB42" s="1046">
        <f>ERB38+((ERB40+'NF - 5 Power Mix'!ERB14+'NF - 5 Power Mix'!ERB15)*860/10)+((('Form Sa1'!ERE835)*860)/10)+('Form Sa1'!ERE814*'Form Sa1'!ERE816/10)-'NF - 5 Power Mix'!ERB21-'NF - 5 Power Mix'!ERB22</f>
        <v>0</v>
      </c>
      <c r="ERC42" s="1046">
        <f>ERC38+((ERC40+'NF - 5 Power Mix'!ERC14+'NF - 5 Power Mix'!ERC15)*860/10)+((('Form Sa1'!ERF835)*860)/10)+('Form Sa1'!ERF814*'Form Sa1'!ERF816/10)-'NF - 5 Power Mix'!ERC21-'NF - 5 Power Mix'!ERC22</f>
        <v>0</v>
      </c>
      <c r="ERD42" s="1046">
        <f>ERD38+((ERD40+'NF - 5 Power Mix'!ERD14+'NF - 5 Power Mix'!ERD15)*860/10)+((('Form Sa1'!ERG835)*860)/10)+('Form Sa1'!ERG814*'Form Sa1'!ERG816/10)-'NF - 5 Power Mix'!ERD21-'NF - 5 Power Mix'!ERD22</f>
        <v>0</v>
      </c>
      <c r="ERE42" s="1046">
        <f>ERE38+((ERE40+'NF - 5 Power Mix'!ERE14+'NF - 5 Power Mix'!ERE15)*860/10)+((('Form Sa1'!ERH835)*860)/10)+('Form Sa1'!ERH814*'Form Sa1'!ERH816/10)-'NF - 5 Power Mix'!ERE21-'NF - 5 Power Mix'!ERE22</f>
        <v>0</v>
      </c>
      <c r="ERF42" s="1046">
        <f>ERF38+((ERF40+'NF - 5 Power Mix'!ERF14+'NF - 5 Power Mix'!ERF15)*860/10)+((('Form Sa1'!ERI835)*860)/10)+('Form Sa1'!ERI814*'Form Sa1'!ERI816/10)-'NF - 5 Power Mix'!ERF21-'NF - 5 Power Mix'!ERF22</f>
        <v>0</v>
      </c>
      <c r="ERG42" s="1046">
        <f>ERG38+((ERG40+'NF - 5 Power Mix'!ERG14+'NF - 5 Power Mix'!ERG15)*860/10)+((('Form Sa1'!ERJ835)*860)/10)+('Form Sa1'!ERJ814*'Form Sa1'!ERJ816/10)-'NF - 5 Power Mix'!ERG21-'NF - 5 Power Mix'!ERG22</f>
        <v>0</v>
      </c>
      <c r="ERH42" s="1046">
        <f>ERH38+((ERH40+'NF - 5 Power Mix'!ERH14+'NF - 5 Power Mix'!ERH15)*860/10)+((('Form Sa1'!ERK835)*860)/10)+('Form Sa1'!ERK814*'Form Sa1'!ERK816/10)-'NF - 5 Power Mix'!ERH21-'NF - 5 Power Mix'!ERH22</f>
        <v>0</v>
      </c>
      <c r="ERI42" s="1046">
        <f>ERI38+((ERI40+'NF - 5 Power Mix'!ERI14+'NF - 5 Power Mix'!ERI15)*860/10)+((('Form Sa1'!ERL835)*860)/10)+('Form Sa1'!ERL814*'Form Sa1'!ERL816/10)-'NF - 5 Power Mix'!ERI21-'NF - 5 Power Mix'!ERI22</f>
        <v>0</v>
      </c>
      <c r="ERJ42" s="1046">
        <f>ERJ38+((ERJ40+'NF - 5 Power Mix'!ERJ14+'NF - 5 Power Mix'!ERJ15)*860/10)+((('Form Sa1'!ERM835)*860)/10)+('Form Sa1'!ERM814*'Form Sa1'!ERM816/10)-'NF - 5 Power Mix'!ERJ21-'NF - 5 Power Mix'!ERJ22</f>
        <v>0</v>
      </c>
      <c r="ERK42" s="1046">
        <f>ERK38+((ERK40+'NF - 5 Power Mix'!ERK14+'NF - 5 Power Mix'!ERK15)*860/10)+((('Form Sa1'!ERN835)*860)/10)+('Form Sa1'!ERN814*'Form Sa1'!ERN816/10)-'NF - 5 Power Mix'!ERK21-'NF - 5 Power Mix'!ERK22</f>
        <v>0</v>
      </c>
      <c r="ERL42" s="1046">
        <f>ERL38+((ERL40+'NF - 5 Power Mix'!ERL14+'NF - 5 Power Mix'!ERL15)*860/10)+((('Form Sa1'!ERO835)*860)/10)+('Form Sa1'!ERO814*'Form Sa1'!ERO816/10)-'NF - 5 Power Mix'!ERL21-'NF - 5 Power Mix'!ERL22</f>
        <v>0</v>
      </c>
      <c r="ERM42" s="1046">
        <f>ERM38+((ERM40+'NF - 5 Power Mix'!ERM14+'NF - 5 Power Mix'!ERM15)*860/10)+((('Form Sa1'!ERP835)*860)/10)+('Form Sa1'!ERP814*'Form Sa1'!ERP816/10)-'NF - 5 Power Mix'!ERM21-'NF - 5 Power Mix'!ERM22</f>
        <v>0</v>
      </c>
      <c r="ERN42" s="1046">
        <f>ERN38+((ERN40+'NF - 5 Power Mix'!ERN14+'NF - 5 Power Mix'!ERN15)*860/10)+((('Form Sa1'!ERQ835)*860)/10)+('Form Sa1'!ERQ814*'Form Sa1'!ERQ816/10)-'NF - 5 Power Mix'!ERN21-'NF - 5 Power Mix'!ERN22</f>
        <v>0</v>
      </c>
      <c r="ERO42" s="1046">
        <f>ERO38+((ERO40+'NF - 5 Power Mix'!ERO14+'NF - 5 Power Mix'!ERO15)*860/10)+((('Form Sa1'!ERR835)*860)/10)+('Form Sa1'!ERR814*'Form Sa1'!ERR816/10)-'NF - 5 Power Mix'!ERO21-'NF - 5 Power Mix'!ERO22</f>
        <v>0</v>
      </c>
      <c r="ERP42" s="1046">
        <f>ERP38+((ERP40+'NF - 5 Power Mix'!ERP14+'NF - 5 Power Mix'!ERP15)*860/10)+((('Form Sa1'!ERS835)*860)/10)+('Form Sa1'!ERS814*'Form Sa1'!ERS816/10)-'NF - 5 Power Mix'!ERP21-'NF - 5 Power Mix'!ERP22</f>
        <v>0</v>
      </c>
      <c r="ERQ42" s="1046">
        <f>ERQ38+((ERQ40+'NF - 5 Power Mix'!ERQ14+'NF - 5 Power Mix'!ERQ15)*860/10)+((('Form Sa1'!ERT835)*860)/10)+('Form Sa1'!ERT814*'Form Sa1'!ERT816/10)-'NF - 5 Power Mix'!ERQ21-'NF - 5 Power Mix'!ERQ22</f>
        <v>0</v>
      </c>
      <c r="ERR42" s="1046">
        <f>ERR38+((ERR40+'NF - 5 Power Mix'!ERR14+'NF - 5 Power Mix'!ERR15)*860/10)+((('Form Sa1'!ERU835)*860)/10)+('Form Sa1'!ERU814*'Form Sa1'!ERU816/10)-'NF - 5 Power Mix'!ERR21-'NF - 5 Power Mix'!ERR22</f>
        <v>0</v>
      </c>
      <c r="ERS42" s="1046">
        <f>ERS38+((ERS40+'NF - 5 Power Mix'!ERS14+'NF - 5 Power Mix'!ERS15)*860/10)+((('Form Sa1'!ERV835)*860)/10)+('Form Sa1'!ERV814*'Form Sa1'!ERV816/10)-'NF - 5 Power Mix'!ERS21-'NF - 5 Power Mix'!ERS22</f>
        <v>0</v>
      </c>
      <c r="ERT42" s="1046">
        <f>ERT38+((ERT40+'NF - 5 Power Mix'!ERT14+'NF - 5 Power Mix'!ERT15)*860/10)+((('Form Sa1'!ERW835)*860)/10)+('Form Sa1'!ERW814*'Form Sa1'!ERW816/10)-'NF - 5 Power Mix'!ERT21-'NF - 5 Power Mix'!ERT22</f>
        <v>0</v>
      </c>
      <c r="ERU42" s="1046">
        <f>ERU38+((ERU40+'NF - 5 Power Mix'!ERU14+'NF - 5 Power Mix'!ERU15)*860/10)+((('Form Sa1'!ERX835)*860)/10)+('Form Sa1'!ERX814*'Form Sa1'!ERX816/10)-'NF - 5 Power Mix'!ERU21-'NF - 5 Power Mix'!ERU22</f>
        <v>0</v>
      </c>
      <c r="ERV42" s="1046">
        <f>ERV38+((ERV40+'NF - 5 Power Mix'!ERV14+'NF - 5 Power Mix'!ERV15)*860/10)+((('Form Sa1'!ERY835)*860)/10)+('Form Sa1'!ERY814*'Form Sa1'!ERY816/10)-'NF - 5 Power Mix'!ERV21-'NF - 5 Power Mix'!ERV22</f>
        <v>0</v>
      </c>
      <c r="ERW42" s="1046">
        <f>ERW38+((ERW40+'NF - 5 Power Mix'!ERW14+'NF - 5 Power Mix'!ERW15)*860/10)+((('Form Sa1'!ERZ835)*860)/10)+('Form Sa1'!ERZ814*'Form Sa1'!ERZ816/10)-'NF - 5 Power Mix'!ERW21-'NF - 5 Power Mix'!ERW22</f>
        <v>0</v>
      </c>
      <c r="ERX42" s="1046">
        <f>ERX38+((ERX40+'NF - 5 Power Mix'!ERX14+'NF - 5 Power Mix'!ERX15)*860/10)+((('Form Sa1'!ESA835)*860)/10)+('Form Sa1'!ESA814*'Form Sa1'!ESA816/10)-'NF - 5 Power Mix'!ERX21-'NF - 5 Power Mix'!ERX22</f>
        <v>0</v>
      </c>
      <c r="ERY42" s="1046">
        <f>ERY38+((ERY40+'NF - 5 Power Mix'!ERY14+'NF - 5 Power Mix'!ERY15)*860/10)+((('Form Sa1'!ESB835)*860)/10)+('Form Sa1'!ESB814*'Form Sa1'!ESB816/10)-'NF - 5 Power Mix'!ERY21-'NF - 5 Power Mix'!ERY22</f>
        <v>0</v>
      </c>
      <c r="ERZ42" s="1046">
        <f>ERZ38+((ERZ40+'NF - 5 Power Mix'!ERZ14+'NF - 5 Power Mix'!ERZ15)*860/10)+((('Form Sa1'!ESC835)*860)/10)+('Form Sa1'!ESC814*'Form Sa1'!ESC816/10)-'NF - 5 Power Mix'!ERZ21-'NF - 5 Power Mix'!ERZ22</f>
        <v>0</v>
      </c>
      <c r="ESA42" s="1046">
        <f>ESA38+((ESA40+'NF - 5 Power Mix'!ESA14+'NF - 5 Power Mix'!ESA15)*860/10)+((('Form Sa1'!ESD835)*860)/10)+('Form Sa1'!ESD814*'Form Sa1'!ESD816/10)-'NF - 5 Power Mix'!ESA21-'NF - 5 Power Mix'!ESA22</f>
        <v>0</v>
      </c>
      <c r="ESB42" s="1046">
        <f>ESB38+((ESB40+'NF - 5 Power Mix'!ESB14+'NF - 5 Power Mix'!ESB15)*860/10)+((('Form Sa1'!ESE835)*860)/10)+('Form Sa1'!ESE814*'Form Sa1'!ESE816/10)-'NF - 5 Power Mix'!ESB21-'NF - 5 Power Mix'!ESB22</f>
        <v>0</v>
      </c>
      <c r="ESC42" s="1046">
        <f>ESC38+((ESC40+'NF - 5 Power Mix'!ESC14+'NF - 5 Power Mix'!ESC15)*860/10)+((('Form Sa1'!ESF835)*860)/10)+('Form Sa1'!ESF814*'Form Sa1'!ESF816/10)-'NF - 5 Power Mix'!ESC21-'NF - 5 Power Mix'!ESC22</f>
        <v>0</v>
      </c>
      <c r="ESD42" s="1046">
        <f>ESD38+((ESD40+'NF - 5 Power Mix'!ESD14+'NF - 5 Power Mix'!ESD15)*860/10)+((('Form Sa1'!ESG835)*860)/10)+('Form Sa1'!ESG814*'Form Sa1'!ESG816/10)-'NF - 5 Power Mix'!ESD21-'NF - 5 Power Mix'!ESD22</f>
        <v>0</v>
      </c>
      <c r="ESE42" s="1046">
        <f>ESE38+((ESE40+'NF - 5 Power Mix'!ESE14+'NF - 5 Power Mix'!ESE15)*860/10)+((('Form Sa1'!ESH835)*860)/10)+('Form Sa1'!ESH814*'Form Sa1'!ESH816/10)-'NF - 5 Power Mix'!ESE21-'NF - 5 Power Mix'!ESE22</f>
        <v>0</v>
      </c>
      <c r="ESF42" s="1046">
        <f>ESF38+((ESF40+'NF - 5 Power Mix'!ESF14+'NF - 5 Power Mix'!ESF15)*860/10)+((('Form Sa1'!ESI835)*860)/10)+('Form Sa1'!ESI814*'Form Sa1'!ESI816/10)-'NF - 5 Power Mix'!ESF21-'NF - 5 Power Mix'!ESF22</f>
        <v>0</v>
      </c>
      <c r="ESG42" s="1046">
        <f>ESG38+((ESG40+'NF - 5 Power Mix'!ESG14+'NF - 5 Power Mix'!ESG15)*860/10)+((('Form Sa1'!ESJ835)*860)/10)+('Form Sa1'!ESJ814*'Form Sa1'!ESJ816/10)-'NF - 5 Power Mix'!ESG21-'NF - 5 Power Mix'!ESG22</f>
        <v>0</v>
      </c>
      <c r="ESH42" s="1046">
        <f>ESH38+((ESH40+'NF - 5 Power Mix'!ESH14+'NF - 5 Power Mix'!ESH15)*860/10)+((('Form Sa1'!ESK835)*860)/10)+('Form Sa1'!ESK814*'Form Sa1'!ESK816/10)-'NF - 5 Power Mix'!ESH21-'NF - 5 Power Mix'!ESH22</f>
        <v>0</v>
      </c>
      <c r="ESI42" s="1046">
        <f>ESI38+((ESI40+'NF - 5 Power Mix'!ESI14+'NF - 5 Power Mix'!ESI15)*860/10)+((('Form Sa1'!ESL835)*860)/10)+('Form Sa1'!ESL814*'Form Sa1'!ESL816/10)-'NF - 5 Power Mix'!ESI21-'NF - 5 Power Mix'!ESI22</f>
        <v>0</v>
      </c>
      <c r="ESJ42" s="1046">
        <f>ESJ38+((ESJ40+'NF - 5 Power Mix'!ESJ14+'NF - 5 Power Mix'!ESJ15)*860/10)+((('Form Sa1'!ESM835)*860)/10)+('Form Sa1'!ESM814*'Form Sa1'!ESM816/10)-'NF - 5 Power Mix'!ESJ21-'NF - 5 Power Mix'!ESJ22</f>
        <v>0</v>
      </c>
      <c r="ESK42" s="1046">
        <f>ESK38+((ESK40+'NF - 5 Power Mix'!ESK14+'NF - 5 Power Mix'!ESK15)*860/10)+((('Form Sa1'!ESN835)*860)/10)+('Form Sa1'!ESN814*'Form Sa1'!ESN816/10)-'NF - 5 Power Mix'!ESK21-'NF - 5 Power Mix'!ESK22</f>
        <v>0</v>
      </c>
      <c r="ESL42" s="1046">
        <f>ESL38+((ESL40+'NF - 5 Power Mix'!ESL14+'NF - 5 Power Mix'!ESL15)*860/10)+((('Form Sa1'!ESO835)*860)/10)+('Form Sa1'!ESO814*'Form Sa1'!ESO816/10)-'NF - 5 Power Mix'!ESL21-'NF - 5 Power Mix'!ESL22</f>
        <v>0</v>
      </c>
      <c r="ESM42" s="1046">
        <f>ESM38+((ESM40+'NF - 5 Power Mix'!ESM14+'NF - 5 Power Mix'!ESM15)*860/10)+((('Form Sa1'!ESP835)*860)/10)+('Form Sa1'!ESP814*'Form Sa1'!ESP816/10)-'NF - 5 Power Mix'!ESM21-'NF - 5 Power Mix'!ESM22</f>
        <v>0</v>
      </c>
      <c r="ESN42" s="1046">
        <f>ESN38+((ESN40+'NF - 5 Power Mix'!ESN14+'NF - 5 Power Mix'!ESN15)*860/10)+((('Form Sa1'!ESQ835)*860)/10)+('Form Sa1'!ESQ814*'Form Sa1'!ESQ816/10)-'NF - 5 Power Mix'!ESN21-'NF - 5 Power Mix'!ESN22</f>
        <v>0</v>
      </c>
      <c r="ESO42" s="1046">
        <f>ESO38+((ESO40+'NF - 5 Power Mix'!ESO14+'NF - 5 Power Mix'!ESO15)*860/10)+((('Form Sa1'!ESR835)*860)/10)+('Form Sa1'!ESR814*'Form Sa1'!ESR816/10)-'NF - 5 Power Mix'!ESO21-'NF - 5 Power Mix'!ESO22</f>
        <v>0</v>
      </c>
      <c r="ESP42" s="1046">
        <f>ESP38+((ESP40+'NF - 5 Power Mix'!ESP14+'NF - 5 Power Mix'!ESP15)*860/10)+((('Form Sa1'!ESS835)*860)/10)+('Form Sa1'!ESS814*'Form Sa1'!ESS816/10)-'NF - 5 Power Mix'!ESP21-'NF - 5 Power Mix'!ESP22</f>
        <v>0</v>
      </c>
      <c r="ESQ42" s="1046">
        <f>ESQ38+((ESQ40+'NF - 5 Power Mix'!ESQ14+'NF - 5 Power Mix'!ESQ15)*860/10)+((('Form Sa1'!EST835)*860)/10)+('Form Sa1'!EST814*'Form Sa1'!EST816/10)-'NF - 5 Power Mix'!ESQ21-'NF - 5 Power Mix'!ESQ22</f>
        <v>0</v>
      </c>
      <c r="ESR42" s="1046">
        <f>ESR38+((ESR40+'NF - 5 Power Mix'!ESR14+'NF - 5 Power Mix'!ESR15)*860/10)+((('Form Sa1'!ESU835)*860)/10)+('Form Sa1'!ESU814*'Form Sa1'!ESU816/10)-'NF - 5 Power Mix'!ESR21-'NF - 5 Power Mix'!ESR22</f>
        <v>0</v>
      </c>
      <c r="ESS42" s="1046">
        <f>ESS38+((ESS40+'NF - 5 Power Mix'!ESS14+'NF - 5 Power Mix'!ESS15)*860/10)+((('Form Sa1'!ESV835)*860)/10)+('Form Sa1'!ESV814*'Form Sa1'!ESV816/10)-'NF - 5 Power Mix'!ESS21-'NF - 5 Power Mix'!ESS22</f>
        <v>0</v>
      </c>
      <c r="EST42" s="1046">
        <f>EST38+((EST40+'NF - 5 Power Mix'!EST14+'NF - 5 Power Mix'!EST15)*860/10)+((('Form Sa1'!ESW835)*860)/10)+('Form Sa1'!ESW814*'Form Sa1'!ESW816/10)-'NF - 5 Power Mix'!EST21-'NF - 5 Power Mix'!EST22</f>
        <v>0</v>
      </c>
      <c r="ESU42" s="1046">
        <f>ESU38+((ESU40+'NF - 5 Power Mix'!ESU14+'NF - 5 Power Mix'!ESU15)*860/10)+((('Form Sa1'!ESX835)*860)/10)+('Form Sa1'!ESX814*'Form Sa1'!ESX816/10)-'NF - 5 Power Mix'!ESU21-'NF - 5 Power Mix'!ESU22</f>
        <v>0</v>
      </c>
      <c r="ESV42" s="1046">
        <f>ESV38+((ESV40+'NF - 5 Power Mix'!ESV14+'NF - 5 Power Mix'!ESV15)*860/10)+((('Form Sa1'!ESY835)*860)/10)+('Form Sa1'!ESY814*'Form Sa1'!ESY816/10)-'NF - 5 Power Mix'!ESV21-'NF - 5 Power Mix'!ESV22</f>
        <v>0</v>
      </c>
      <c r="ESW42" s="1046">
        <f>ESW38+((ESW40+'NF - 5 Power Mix'!ESW14+'NF - 5 Power Mix'!ESW15)*860/10)+((('Form Sa1'!ESZ835)*860)/10)+('Form Sa1'!ESZ814*'Form Sa1'!ESZ816/10)-'NF - 5 Power Mix'!ESW21-'NF - 5 Power Mix'!ESW22</f>
        <v>0</v>
      </c>
      <c r="ESX42" s="1046">
        <f>ESX38+((ESX40+'NF - 5 Power Mix'!ESX14+'NF - 5 Power Mix'!ESX15)*860/10)+((('Form Sa1'!ETA835)*860)/10)+('Form Sa1'!ETA814*'Form Sa1'!ETA816/10)-'NF - 5 Power Mix'!ESX21-'NF - 5 Power Mix'!ESX22</f>
        <v>0</v>
      </c>
      <c r="ESY42" s="1046">
        <f>ESY38+((ESY40+'NF - 5 Power Mix'!ESY14+'NF - 5 Power Mix'!ESY15)*860/10)+((('Form Sa1'!ETB835)*860)/10)+('Form Sa1'!ETB814*'Form Sa1'!ETB816/10)-'NF - 5 Power Mix'!ESY21-'NF - 5 Power Mix'!ESY22</f>
        <v>0</v>
      </c>
      <c r="ESZ42" s="1046">
        <f>ESZ38+((ESZ40+'NF - 5 Power Mix'!ESZ14+'NF - 5 Power Mix'!ESZ15)*860/10)+((('Form Sa1'!ETC835)*860)/10)+('Form Sa1'!ETC814*'Form Sa1'!ETC816/10)-'NF - 5 Power Mix'!ESZ21-'NF - 5 Power Mix'!ESZ22</f>
        <v>0</v>
      </c>
      <c r="ETA42" s="1046">
        <f>ETA38+((ETA40+'NF - 5 Power Mix'!ETA14+'NF - 5 Power Mix'!ETA15)*860/10)+((('Form Sa1'!ETD835)*860)/10)+('Form Sa1'!ETD814*'Form Sa1'!ETD816/10)-'NF - 5 Power Mix'!ETA21-'NF - 5 Power Mix'!ETA22</f>
        <v>0</v>
      </c>
      <c r="ETB42" s="1046">
        <f>ETB38+((ETB40+'NF - 5 Power Mix'!ETB14+'NF - 5 Power Mix'!ETB15)*860/10)+((('Form Sa1'!ETE835)*860)/10)+('Form Sa1'!ETE814*'Form Sa1'!ETE816/10)-'NF - 5 Power Mix'!ETB21-'NF - 5 Power Mix'!ETB22</f>
        <v>0</v>
      </c>
      <c r="ETC42" s="1046">
        <f>ETC38+((ETC40+'NF - 5 Power Mix'!ETC14+'NF - 5 Power Mix'!ETC15)*860/10)+((('Form Sa1'!ETF835)*860)/10)+('Form Sa1'!ETF814*'Form Sa1'!ETF816/10)-'NF - 5 Power Mix'!ETC21-'NF - 5 Power Mix'!ETC22</f>
        <v>0</v>
      </c>
      <c r="ETD42" s="1046">
        <f>ETD38+((ETD40+'NF - 5 Power Mix'!ETD14+'NF - 5 Power Mix'!ETD15)*860/10)+((('Form Sa1'!ETG835)*860)/10)+('Form Sa1'!ETG814*'Form Sa1'!ETG816/10)-'NF - 5 Power Mix'!ETD21-'NF - 5 Power Mix'!ETD22</f>
        <v>0</v>
      </c>
      <c r="ETE42" s="1046">
        <f>ETE38+((ETE40+'NF - 5 Power Mix'!ETE14+'NF - 5 Power Mix'!ETE15)*860/10)+((('Form Sa1'!ETH835)*860)/10)+('Form Sa1'!ETH814*'Form Sa1'!ETH816/10)-'NF - 5 Power Mix'!ETE21-'NF - 5 Power Mix'!ETE22</f>
        <v>0</v>
      </c>
      <c r="ETF42" s="1046">
        <f>ETF38+((ETF40+'NF - 5 Power Mix'!ETF14+'NF - 5 Power Mix'!ETF15)*860/10)+((('Form Sa1'!ETI835)*860)/10)+('Form Sa1'!ETI814*'Form Sa1'!ETI816/10)-'NF - 5 Power Mix'!ETF21-'NF - 5 Power Mix'!ETF22</f>
        <v>0</v>
      </c>
      <c r="ETG42" s="1046">
        <f>ETG38+((ETG40+'NF - 5 Power Mix'!ETG14+'NF - 5 Power Mix'!ETG15)*860/10)+((('Form Sa1'!ETJ835)*860)/10)+('Form Sa1'!ETJ814*'Form Sa1'!ETJ816/10)-'NF - 5 Power Mix'!ETG21-'NF - 5 Power Mix'!ETG22</f>
        <v>0</v>
      </c>
      <c r="ETH42" s="1046">
        <f>ETH38+((ETH40+'NF - 5 Power Mix'!ETH14+'NF - 5 Power Mix'!ETH15)*860/10)+((('Form Sa1'!ETK835)*860)/10)+('Form Sa1'!ETK814*'Form Sa1'!ETK816/10)-'NF - 5 Power Mix'!ETH21-'NF - 5 Power Mix'!ETH22</f>
        <v>0</v>
      </c>
      <c r="ETI42" s="1046">
        <f>ETI38+((ETI40+'NF - 5 Power Mix'!ETI14+'NF - 5 Power Mix'!ETI15)*860/10)+((('Form Sa1'!ETL835)*860)/10)+('Form Sa1'!ETL814*'Form Sa1'!ETL816/10)-'NF - 5 Power Mix'!ETI21-'NF - 5 Power Mix'!ETI22</f>
        <v>0</v>
      </c>
      <c r="ETJ42" s="1046">
        <f>ETJ38+((ETJ40+'NF - 5 Power Mix'!ETJ14+'NF - 5 Power Mix'!ETJ15)*860/10)+((('Form Sa1'!ETM835)*860)/10)+('Form Sa1'!ETM814*'Form Sa1'!ETM816/10)-'NF - 5 Power Mix'!ETJ21-'NF - 5 Power Mix'!ETJ22</f>
        <v>0</v>
      </c>
      <c r="ETK42" s="1046">
        <f>ETK38+((ETK40+'NF - 5 Power Mix'!ETK14+'NF - 5 Power Mix'!ETK15)*860/10)+((('Form Sa1'!ETN835)*860)/10)+('Form Sa1'!ETN814*'Form Sa1'!ETN816/10)-'NF - 5 Power Mix'!ETK21-'NF - 5 Power Mix'!ETK22</f>
        <v>0</v>
      </c>
      <c r="ETL42" s="1046">
        <f>ETL38+((ETL40+'NF - 5 Power Mix'!ETL14+'NF - 5 Power Mix'!ETL15)*860/10)+((('Form Sa1'!ETO835)*860)/10)+('Form Sa1'!ETO814*'Form Sa1'!ETO816/10)-'NF - 5 Power Mix'!ETL21-'NF - 5 Power Mix'!ETL22</f>
        <v>0</v>
      </c>
      <c r="ETM42" s="1046">
        <f>ETM38+((ETM40+'NF - 5 Power Mix'!ETM14+'NF - 5 Power Mix'!ETM15)*860/10)+((('Form Sa1'!ETP835)*860)/10)+('Form Sa1'!ETP814*'Form Sa1'!ETP816/10)-'NF - 5 Power Mix'!ETM21-'NF - 5 Power Mix'!ETM22</f>
        <v>0</v>
      </c>
      <c r="ETN42" s="1046">
        <f>ETN38+((ETN40+'NF - 5 Power Mix'!ETN14+'NF - 5 Power Mix'!ETN15)*860/10)+((('Form Sa1'!ETQ835)*860)/10)+('Form Sa1'!ETQ814*'Form Sa1'!ETQ816/10)-'NF - 5 Power Mix'!ETN21-'NF - 5 Power Mix'!ETN22</f>
        <v>0</v>
      </c>
      <c r="ETO42" s="1046">
        <f>ETO38+((ETO40+'NF - 5 Power Mix'!ETO14+'NF - 5 Power Mix'!ETO15)*860/10)+((('Form Sa1'!ETR835)*860)/10)+('Form Sa1'!ETR814*'Form Sa1'!ETR816/10)-'NF - 5 Power Mix'!ETO21-'NF - 5 Power Mix'!ETO22</f>
        <v>0</v>
      </c>
      <c r="ETP42" s="1046">
        <f>ETP38+((ETP40+'NF - 5 Power Mix'!ETP14+'NF - 5 Power Mix'!ETP15)*860/10)+((('Form Sa1'!ETS835)*860)/10)+('Form Sa1'!ETS814*'Form Sa1'!ETS816/10)-'NF - 5 Power Mix'!ETP21-'NF - 5 Power Mix'!ETP22</f>
        <v>0</v>
      </c>
      <c r="ETQ42" s="1046">
        <f>ETQ38+((ETQ40+'NF - 5 Power Mix'!ETQ14+'NF - 5 Power Mix'!ETQ15)*860/10)+((('Form Sa1'!ETT835)*860)/10)+('Form Sa1'!ETT814*'Form Sa1'!ETT816/10)-'NF - 5 Power Mix'!ETQ21-'NF - 5 Power Mix'!ETQ22</f>
        <v>0</v>
      </c>
      <c r="ETR42" s="1046">
        <f>ETR38+((ETR40+'NF - 5 Power Mix'!ETR14+'NF - 5 Power Mix'!ETR15)*860/10)+((('Form Sa1'!ETU835)*860)/10)+('Form Sa1'!ETU814*'Form Sa1'!ETU816/10)-'NF - 5 Power Mix'!ETR21-'NF - 5 Power Mix'!ETR22</f>
        <v>0</v>
      </c>
      <c r="ETS42" s="1046">
        <f>ETS38+((ETS40+'NF - 5 Power Mix'!ETS14+'NF - 5 Power Mix'!ETS15)*860/10)+((('Form Sa1'!ETV835)*860)/10)+('Form Sa1'!ETV814*'Form Sa1'!ETV816/10)-'NF - 5 Power Mix'!ETS21-'NF - 5 Power Mix'!ETS22</f>
        <v>0</v>
      </c>
      <c r="ETT42" s="1046">
        <f>ETT38+((ETT40+'NF - 5 Power Mix'!ETT14+'NF - 5 Power Mix'!ETT15)*860/10)+((('Form Sa1'!ETW835)*860)/10)+('Form Sa1'!ETW814*'Form Sa1'!ETW816/10)-'NF - 5 Power Mix'!ETT21-'NF - 5 Power Mix'!ETT22</f>
        <v>0</v>
      </c>
      <c r="ETU42" s="1046">
        <f>ETU38+((ETU40+'NF - 5 Power Mix'!ETU14+'NF - 5 Power Mix'!ETU15)*860/10)+((('Form Sa1'!ETX835)*860)/10)+('Form Sa1'!ETX814*'Form Sa1'!ETX816/10)-'NF - 5 Power Mix'!ETU21-'NF - 5 Power Mix'!ETU22</f>
        <v>0</v>
      </c>
      <c r="ETV42" s="1046">
        <f>ETV38+((ETV40+'NF - 5 Power Mix'!ETV14+'NF - 5 Power Mix'!ETV15)*860/10)+((('Form Sa1'!ETY835)*860)/10)+('Form Sa1'!ETY814*'Form Sa1'!ETY816/10)-'NF - 5 Power Mix'!ETV21-'NF - 5 Power Mix'!ETV22</f>
        <v>0</v>
      </c>
      <c r="ETW42" s="1046">
        <f>ETW38+((ETW40+'NF - 5 Power Mix'!ETW14+'NF - 5 Power Mix'!ETW15)*860/10)+((('Form Sa1'!ETZ835)*860)/10)+('Form Sa1'!ETZ814*'Form Sa1'!ETZ816/10)-'NF - 5 Power Mix'!ETW21-'NF - 5 Power Mix'!ETW22</f>
        <v>0</v>
      </c>
      <c r="ETX42" s="1046">
        <f>ETX38+((ETX40+'NF - 5 Power Mix'!ETX14+'NF - 5 Power Mix'!ETX15)*860/10)+((('Form Sa1'!EUA835)*860)/10)+('Form Sa1'!EUA814*'Form Sa1'!EUA816/10)-'NF - 5 Power Mix'!ETX21-'NF - 5 Power Mix'!ETX22</f>
        <v>0</v>
      </c>
      <c r="ETY42" s="1046">
        <f>ETY38+((ETY40+'NF - 5 Power Mix'!ETY14+'NF - 5 Power Mix'!ETY15)*860/10)+((('Form Sa1'!EUB835)*860)/10)+('Form Sa1'!EUB814*'Form Sa1'!EUB816/10)-'NF - 5 Power Mix'!ETY21-'NF - 5 Power Mix'!ETY22</f>
        <v>0</v>
      </c>
      <c r="ETZ42" s="1046">
        <f>ETZ38+((ETZ40+'NF - 5 Power Mix'!ETZ14+'NF - 5 Power Mix'!ETZ15)*860/10)+((('Form Sa1'!EUC835)*860)/10)+('Form Sa1'!EUC814*'Form Sa1'!EUC816/10)-'NF - 5 Power Mix'!ETZ21-'NF - 5 Power Mix'!ETZ22</f>
        <v>0</v>
      </c>
      <c r="EUA42" s="1046">
        <f>EUA38+((EUA40+'NF - 5 Power Mix'!EUA14+'NF - 5 Power Mix'!EUA15)*860/10)+((('Form Sa1'!EUD835)*860)/10)+('Form Sa1'!EUD814*'Form Sa1'!EUD816/10)-'NF - 5 Power Mix'!EUA21-'NF - 5 Power Mix'!EUA22</f>
        <v>0</v>
      </c>
      <c r="EUB42" s="1046">
        <f>EUB38+((EUB40+'NF - 5 Power Mix'!EUB14+'NF - 5 Power Mix'!EUB15)*860/10)+((('Form Sa1'!EUE835)*860)/10)+('Form Sa1'!EUE814*'Form Sa1'!EUE816/10)-'NF - 5 Power Mix'!EUB21-'NF - 5 Power Mix'!EUB22</f>
        <v>0</v>
      </c>
      <c r="EUC42" s="1046">
        <f>EUC38+((EUC40+'NF - 5 Power Mix'!EUC14+'NF - 5 Power Mix'!EUC15)*860/10)+((('Form Sa1'!EUF835)*860)/10)+('Form Sa1'!EUF814*'Form Sa1'!EUF816/10)-'NF - 5 Power Mix'!EUC21-'NF - 5 Power Mix'!EUC22</f>
        <v>0</v>
      </c>
      <c r="EUD42" s="1046">
        <f>EUD38+((EUD40+'NF - 5 Power Mix'!EUD14+'NF - 5 Power Mix'!EUD15)*860/10)+((('Form Sa1'!EUG835)*860)/10)+('Form Sa1'!EUG814*'Form Sa1'!EUG816/10)-'NF - 5 Power Mix'!EUD21-'NF - 5 Power Mix'!EUD22</f>
        <v>0</v>
      </c>
      <c r="EUE42" s="1046">
        <f>EUE38+((EUE40+'NF - 5 Power Mix'!EUE14+'NF - 5 Power Mix'!EUE15)*860/10)+((('Form Sa1'!EUH835)*860)/10)+('Form Sa1'!EUH814*'Form Sa1'!EUH816/10)-'NF - 5 Power Mix'!EUE21-'NF - 5 Power Mix'!EUE22</f>
        <v>0</v>
      </c>
      <c r="EUF42" s="1046">
        <f>EUF38+((EUF40+'NF - 5 Power Mix'!EUF14+'NF - 5 Power Mix'!EUF15)*860/10)+((('Form Sa1'!EUI835)*860)/10)+('Form Sa1'!EUI814*'Form Sa1'!EUI816/10)-'NF - 5 Power Mix'!EUF21-'NF - 5 Power Mix'!EUF22</f>
        <v>0</v>
      </c>
      <c r="EUG42" s="1046">
        <f>EUG38+((EUG40+'NF - 5 Power Mix'!EUG14+'NF - 5 Power Mix'!EUG15)*860/10)+((('Form Sa1'!EUJ835)*860)/10)+('Form Sa1'!EUJ814*'Form Sa1'!EUJ816/10)-'NF - 5 Power Mix'!EUG21-'NF - 5 Power Mix'!EUG22</f>
        <v>0</v>
      </c>
      <c r="EUH42" s="1046">
        <f>EUH38+((EUH40+'NF - 5 Power Mix'!EUH14+'NF - 5 Power Mix'!EUH15)*860/10)+((('Form Sa1'!EUK835)*860)/10)+('Form Sa1'!EUK814*'Form Sa1'!EUK816/10)-'NF - 5 Power Mix'!EUH21-'NF - 5 Power Mix'!EUH22</f>
        <v>0</v>
      </c>
      <c r="EUI42" s="1046">
        <f>EUI38+((EUI40+'NF - 5 Power Mix'!EUI14+'NF - 5 Power Mix'!EUI15)*860/10)+((('Form Sa1'!EUL835)*860)/10)+('Form Sa1'!EUL814*'Form Sa1'!EUL816/10)-'NF - 5 Power Mix'!EUI21-'NF - 5 Power Mix'!EUI22</f>
        <v>0</v>
      </c>
      <c r="EUJ42" s="1046">
        <f>EUJ38+((EUJ40+'NF - 5 Power Mix'!EUJ14+'NF - 5 Power Mix'!EUJ15)*860/10)+((('Form Sa1'!EUM835)*860)/10)+('Form Sa1'!EUM814*'Form Sa1'!EUM816/10)-'NF - 5 Power Mix'!EUJ21-'NF - 5 Power Mix'!EUJ22</f>
        <v>0</v>
      </c>
      <c r="EUK42" s="1046">
        <f>EUK38+((EUK40+'NF - 5 Power Mix'!EUK14+'NF - 5 Power Mix'!EUK15)*860/10)+((('Form Sa1'!EUN835)*860)/10)+('Form Sa1'!EUN814*'Form Sa1'!EUN816/10)-'NF - 5 Power Mix'!EUK21-'NF - 5 Power Mix'!EUK22</f>
        <v>0</v>
      </c>
      <c r="EUL42" s="1046">
        <f>EUL38+((EUL40+'NF - 5 Power Mix'!EUL14+'NF - 5 Power Mix'!EUL15)*860/10)+((('Form Sa1'!EUO835)*860)/10)+('Form Sa1'!EUO814*'Form Sa1'!EUO816/10)-'NF - 5 Power Mix'!EUL21-'NF - 5 Power Mix'!EUL22</f>
        <v>0</v>
      </c>
      <c r="EUM42" s="1046">
        <f>EUM38+((EUM40+'NF - 5 Power Mix'!EUM14+'NF - 5 Power Mix'!EUM15)*860/10)+((('Form Sa1'!EUP835)*860)/10)+('Form Sa1'!EUP814*'Form Sa1'!EUP816/10)-'NF - 5 Power Mix'!EUM21-'NF - 5 Power Mix'!EUM22</f>
        <v>0</v>
      </c>
      <c r="EUN42" s="1046">
        <f>EUN38+((EUN40+'NF - 5 Power Mix'!EUN14+'NF - 5 Power Mix'!EUN15)*860/10)+((('Form Sa1'!EUQ835)*860)/10)+('Form Sa1'!EUQ814*'Form Sa1'!EUQ816/10)-'NF - 5 Power Mix'!EUN21-'NF - 5 Power Mix'!EUN22</f>
        <v>0</v>
      </c>
      <c r="EUO42" s="1046">
        <f>EUO38+((EUO40+'NF - 5 Power Mix'!EUO14+'NF - 5 Power Mix'!EUO15)*860/10)+((('Form Sa1'!EUR835)*860)/10)+('Form Sa1'!EUR814*'Form Sa1'!EUR816/10)-'NF - 5 Power Mix'!EUO21-'NF - 5 Power Mix'!EUO22</f>
        <v>0</v>
      </c>
      <c r="EUP42" s="1046">
        <f>EUP38+((EUP40+'NF - 5 Power Mix'!EUP14+'NF - 5 Power Mix'!EUP15)*860/10)+((('Form Sa1'!EUS835)*860)/10)+('Form Sa1'!EUS814*'Form Sa1'!EUS816/10)-'NF - 5 Power Mix'!EUP21-'NF - 5 Power Mix'!EUP22</f>
        <v>0</v>
      </c>
      <c r="EUQ42" s="1046">
        <f>EUQ38+((EUQ40+'NF - 5 Power Mix'!EUQ14+'NF - 5 Power Mix'!EUQ15)*860/10)+((('Form Sa1'!EUT835)*860)/10)+('Form Sa1'!EUT814*'Form Sa1'!EUT816/10)-'NF - 5 Power Mix'!EUQ21-'NF - 5 Power Mix'!EUQ22</f>
        <v>0</v>
      </c>
      <c r="EUR42" s="1046">
        <f>EUR38+((EUR40+'NF - 5 Power Mix'!EUR14+'NF - 5 Power Mix'!EUR15)*860/10)+((('Form Sa1'!EUU835)*860)/10)+('Form Sa1'!EUU814*'Form Sa1'!EUU816/10)-'NF - 5 Power Mix'!EUR21-'NF - 5 Power Mix'!EUR22</f>
        <v>0</v>
      </c>
      <c r="EUS42" s="1046">
        <f>EUS38+((EUS40+'NF - 5 Power Mix'!EUS14+'NF - 5 Power Mix'!EUS15)*860/10)+((('Form Sa1'!EUV835)*860)/10)+('Form Sa1'!EUV814*'Form Sa1'!EUV816/10)-'NF - 5 Power Mix'!EUS21-'NF - 5 Power Mix'!EUS22</f>
        <v>0</v>
      </c>
      <c r="EUT42" s="1046">
        <f>EUT38+((EUT40+'NF - 5 Power Mix'!EUT14+'NF - 5 Power Mix'!EUT15)*860/10)+((('Form Sa1'!EUW835)*860)/10)+('Form Sa1'!EUW814*'Form Sa1'!EUW816/10)-'NF - 5 Power Mix'!EUT21-'NF - 5 Power Mix'!EUT22</f>
        <v>0</v>
      </c>
      <c r="EUU42" s="1046">
        <f>EUU38+((EUU40+'NF - 5 Power Mix'!EUU14+'NF - 5 Power Mix'!EUU15)*860/10)+((('Form Sa1'!EUX835)*860)/10)+('Form Sa1'!EUX814*'Form Sa1'!EUX816/10)-'NF - 5 Power Mix'!EUU21-'NF - 5 Power Mix'!EUU22</f>
        <v>0</v>
      </c>
      <c r="EUV42" s="1046">
        <f>EUV38+((EUV40+'NF - 5 Power Mix'!EUV14+'NF - 5 Power Mix'!EUV15)*860/10)+((('Form Sa1'!EUY835)*860)/10)+('Form Sa1'!EUY814*'Form Sa1'!EUY816/10)-'NF - 5 Power Mix'!EUV21-'NF - 5 Power Mix'!EUV22</f>
        <v>0</v>
      </c>
      <c r="EUW42" s="1046">
        <f>EUW38+((EUW40+'NF - 5 Power Mix'!EUW14+'NF - 5 Power Mix'!EUW15)*860/10)+((('Form Sa1'!EUZ835)*860)/10)+('Form Sa1'!EUZ814*'Form Sa1'!EUZ816/10)-'NF - 5 Power Mix'!EUW21-'NF - 5 Power Mix'!EUW22</f>
        <v>0</v>
      </c>
      <c r="EUX42" s="1046">
        <f>EUX38+((EUX40+'NF - 5 Power Mix'!EUX14+'NF - 5 Power Mix'!EUX15)*860/10)+((('Form Sa1'!EVA835)*860)/10)+('Form Sa1'!EVA814*'Form Sa1'!EVA816/10)-'NF - 5 Power Mix'!EUX21-'NF - 5 Power Mix'!EUX22</f>
        <v>0</v>
      </c>
      <c r="EUY42" s="1046">
        <f>EUY38+((EUY40+'NF - 5 Power Mix'!EUY14+'NF - 5 Power Mix'!EUY15)*860/10)+((('Form Sa1'!EVB835)*860)/10)+('Form Sa1'!EVB814*'Form Sa1'!EVB816/10)-'NF - 5 Power Mix'!EUY21-'NF - 5 Power Mix'!EUY22</f>
        <v>0</v>
      </c>
      <c r="EUZ42" s="1046">
        <f>EUZ38+((EUZ40+'NF - 5 Power Mix'!EUZ14+'NF - 5 Power Mix'!EUZ15)*860/10)+((('Form Sa1'!EVC835)*860)/10)+('Form Sa1'!EVC814*'Form Sa1'!EVC816/10)-'NF - 5 Power Mix'!EUZ21-'NF - 5 Power Mix'!EUZ22</f>
        <v>0</v>
      </c>
      <c r="EVA42" s="1046">
        <f>EVA38+((EVA40+'NF - 5 Power Mix'!EVA14+'NF - 5 Power Mix'!EVA15)*860/10)+((('Form Sa1'!EVD835)*860)/10)+('Form Sa1'!EVD814*'Form Sa1'!EVD816/10)-'NF - 5 Power Mix'!EVA21-'NF - 5 Power Mix'!EVA22</f>
        <v>0</v>
      </c>
      <c r="EVB42" s="1046">
        <f>EVB38+((EVB40+'NF - 5 Power Mix'!EVB14+'NF - 5 Power Mix'!EVB15)*860/10)+((('Form Sa1'!EVE835)*860)/10)+('Form Sa1'!EVE814*'Form Sa1'!EVE816/10)-'NF - 5 Power Mix'!EVB21-'NF - 5 Power Mix'!EVB22</f>
        <v>0</v>
      </c>
      <c r="EVC42" s="1046">
        <f>EVC38+((EVC40+'NF - 5 Power Mix'!EVC14+'NF - 5 Power Mix'!EVC15)*860/10)+((('Form Sa1'!EVF835)*860)/10)+('Form Sa1'!EVF814*'Form Sa1'!EVF816/10)-'NF - 5 Power Mix'!EVC21-'NF - 5 Power Mix'!EVC22</f>
        <v>0</v>
      </c>
      <c r="EVD42" s="1046">
        <f>EVD38+((EVD40+'NF - 5 Power Mix'!EVD14+'NF - 5 Power Mix'!EVD15)*860/10)+((('Form Sa1'!EVG835)*860)/10)+('Form Sa1'!EVG814*'Form Sa1'!EVG816/10)-'NF - 5 Power Mix'!EVD21-'NF - 5 Power Mix'!EVD22</f>
        <v>0</v>
      </c>
      <c r="EVE42" s="1046">
        <f>EVE38+((EVE40+'NF - 5 Power Mix'!EVE14+'NF - 5 Power Mix'!EVE15)*860/10)+((('Form Sa1'!EVH835)*860)/10)+('Form Sa1'!EVH814*'Form Sa1'!EVH816/10)-'NF - 5 Power Mix'!EVE21-'NF - 5 Power Mix'!EVE22</f>
        <v>0</v>
      </c>
      <c r="EVF42" s="1046">
        <f>EVF38+((EVF40+'NF - 5 Power Mix'!EVF14+'NF - 5 Power Mix'!EVF15)*860/10)+((('Form Sa1'!EVI835)*860)/10)+('Form Sa1'!EVI814*'Form Sa1'!EVI816/10)-'NF - 5 Power Mix'!EVF21-'NF - 5 Power Mix'!EVF22</f>
        <v>0</v>
      </c>
      <c r="EVG42" s="1046">
        <f>EVG38+((EVG40+'NF - 5 Power Mix'!EVG14+'NF - 5 Power Mix'!EVG15)*860/10)+((('Form Sa1'!EVJ835)*860)/10)+('Form Sa1'!EVJ814*'Form Sa1'!EVJ816/10)-'NF - 5 Power Mix'!EVG21-'NF - 5 Power Mix'!EVG22</f>
        <v>0</v>
      </c>
      <c r="EVH42" s="1046">
        <f>EVH38+((EVH40+'NF - 5 Power Mix'!EVH14+'NF - 5 Power Mix'!EVH15)*860/10)+((('Form Sa1'!EVK835)*860)/10)+('Form Sa1'!EVK814*'Form Sa1'!EVK816/10)-'NF - 5 Power Mix'!EVH21-'NF - 5 Power Mix'!EVH22</f>
        <v>0</v>
      </c>
      <c r="EVI42" s="1046">
        <f>EVI38+((EVI40+'NF - 5 Power Mix'!EVI14+'NF - 5 Power Mix'!EVI15)*860/10)+((('Form Sa1'!EVL835)*860)/10)+('Form Sa1'!EVL814*'Form Sa1'!EVL816/10)-'NF - 5 Power Mix'!EVI21-'NF - 5 Power Mix'!EVI22</f>
        <v>0</v>
      </c>
      <c r="EVJ42" s="1046">
        <f>EVJ38+((EVJ40+'NF - 5 Power Mix'!EVJ14+'NF - 5 Power Mix'!EVJ15)*860/10)+((('Form Sa1'!EVM835)*860)/10)+('Form Sa1'!EVM814*'Form Sa1'!EVM816/10)-'NF - 5 Power Mix'!EVJ21-'NF - 5 Power Mix'!EVJ22</f>
        <v>0</v>
      </c>
      <c r="EVK42" s="1046">
        <f>EVK38+((EVK40+'NF - 5 Power Mix'!EVK14+'NF - 5 Power Mix'!EVK15)*860/10)+((('Form Sa1'!EVN835)*860)/10)+('Form Sa1'!EVN814*'Form Sa1'!EVN816/10)-'NF - 5 Power Mix'!EVK21-'NF - 5 Power Mix'!EVK22</f>
        <v>0</v>
      </c>
      <c r="EVL42" s="1046">
        <f>EVL38+((EVL40+'NF - 5 Power Mix'!EVL14+'NF - 5 Power Mix'!EVL15)*860/10)+((('Form Sa1'!EVO835)*860)/10)+('Form Sa1'!EVO814*'Form Sa1'!EVO816/10)-'NF - 5 Power Mix'!EVL21-'NF - 5 Power Mix'!EVL22</f>
        <v>0</v>
      </c>
      <c r="EVM42" s="1046">
        <f>EVM38+((EVM40+'NF - 5 Power Mix'!EVM14+'NF - 5 Power Mix'!EVM15)*860/10)+((('Form Sa1'!EVP835)*860)/10)+('Form Sa1'!EVP814*'Form Sa1'!EVP816/10)-'NF - 5 Power Mix'!EVM21-'NF - 5 Power Mix'!EVM22</f>
        <v>0</v>
      </c>
      <c r="EVN42" s="1046">
        <f>EVN38+((EVN40+'NF - 5 Power Mix'!EVN14+'NF - 5 Power Mix'!EVN15)*860/10)+((('Form Sa1'!EVQ835)*860)/10)+('Form Sa1'!EVQ814*'Form Sa1'!EVQ816/10)-'NF - 5 Power Mix'!EVN21-'NF - 5 Power Mix'!EVN22</f>
        <v>0</v>
      </c>
      <c r="EVO42" s="1046">
        <f>EVO38+((EVO40+'NF - 5 Power Mix'!EVO14+'NF - 5 Power Mix'!EVO15)*860/10)+((('Form Sa1'!EVR835)*860)/10)+('Form Sa1'!EVR814*'Form Sa1'!EVR816/10)-'NF - 5 Power Mix'!EVO21-'NF - 5 Power Mix'!EVO22</f>
        <v>0</v>
      </c>
      <c r="EVP42" s="1046">
        <f>EVP38+((EVP40+'NF - 5 Power Mix'!EVP14+'NF - 5 Power Mix'!EVP15)*860/10)+((('Form Sa1'!EVS835)*860)/10)+('Form Sa1'!EVS814*'Form Sa1'!EVS816/10)-'NF - 5 Power Mix'!EVP21-'NF - 5 Power Mix'!EVP22</f>
        <v>0</v>
      </c>
      <c r="EVQ42" s="1046">
        <f>EVQ38+((EVQ40+'NF - 5 Power Mix'!EVQ14+'NF - 5 Power Mix'!EVQ15)*860/10)+((('Form Sa1'!EVT835)*860)/10)+('Form Sa1'!EVT814*'Form Sa1'!EVT816/10)-'NF - 5 Power Mix'!EVQ21-'NF - 5 Power Mix'!EVQ22</f>
        <v>0</v>
      </c>
      <c r="EVR42" s="1046">
        <f>EVR38+((EVR40+'NF - 5 Power Mix'!EVR14+'NF - 5 Power Mix'!EVR15)*860/10)+((('Form Sa1'!EVU835)*860)/10)+('Form Sa1'!EVU814*'Form Sa1'!EVU816/10)-'NF - 5 Power Mix'!EVR21-'NF - 5 Power Mix'!EVR22</f>
        <v>0</v>
      </c>
      <c r="EVS42" s="1046">
        <f>EVS38+((EVS40+'NF - 5 Power Mix'!EVS14+'NF - 5 Power Mix'!EVS15)*860/10)+((('Form Sa1'!EVV835)*860)/10)+('Form Sa1'!EVV814*'Form Sa1'!EVV816/10)-'NF - 5 Power Mix'!EVS21-'NF - 5 Power Mix'!EVS22</f>
        <v>0</v>
      </c>
      <c r="EVT42" s="1046">
        <f>EVT38+((EVT40+'NF - 5 Power Mix'!EVT14+'NF - 5 Power Mix'!EVT15)*860/10)+((('Form Sa1'!EVW835)*860)/10)+('Form Sa1'!EVW814*'Form Sa1'!EVW816/10)-'NF - 5 Power Mix'!EVT21-'NF - 5 Power Mix'!EVT22</f>
        <v>0</v>
      </c>
      <c r="EVU42" s="1046">
        <f>EVU38+((EVU40+'NF - 5 Power Mix'!EVU14+'NF - 5 Power Mix'!EVU15)*860/10)+((('Form Sa1'!EVX835)*860)/10)+('Form Sa1'!EVX814*'Form Sa1'!EVX816/10)-'NF - 5 Power Mix'!EVU21-'NF - 5 Power Mix'!EVU22</f>
        <v>0</v>
      </c>
      <c r="EVV42" s="1046">
        <f>EVV38+((EVV40+'NF - 5 Power Mix'!EVV14+'NF - 5 Power Mix'!EVV15)*860/10)+((('Form Sa1'!EVY835)*860)/10)+('Form Sa1'!EVY814*'Form Sa1'!EVY816/10)-'NF - 5 Power Mix'!EVV21-'NF - 5 Power Mix'!EVV22</f>
        <v>0</v>
      </c>
      <c r="EVW42" s="1046">
        <f>EVW38+((EVW40+'NF - 5 Power Mix'!EVW14+'NF - 5 Power Mix'!EVW15)*860/10)+((('Form Sa1'!EVZ835)*860)/10)+('Form Sa1'!EVZ814*'Form Sa1'!EVZ816/10)-'NF - 5 Power Mix'!EVW21-'NF - 5 Power Mix'!EVW22</f>
        <v>0</v>
      </c>
      <c r="EVX42" s="1046">
        <f>EVX38+((EVX40+'NF - 5 Power Mix'!EVX14+'NF - 5 Power Mix'!EVX15)*860/10)+((('Form Sa1'!EWA835)*860)/10)+('Form Sa1'!EWA814*'Form Sa1'!EWA816/10)-'NF - 5 Power Mix'!EVX21-'NF - 5 Power Mix'!EVX22</f>
        <v>0</v>
      </c>
      <c r="EVY42" s="1046">
        <f>EVY38+((EVY40+'NF - 5 Power Mix'!EVY14+'NF - 5 Power Mix'!EVY15)*860/10)+((('Form Sa1'!EWB835)*860)/10)+('Form Sa1'!EWB814*'Form Sa1'!EWB816/10)-'NF - 5 Power Mix'!EVY21-'NF - 5 Power Mix'!EVY22</f>
        <v>0</v>
      </c>
      <c r="EVZ42" s="1046">
        <f>EVZ38+((EVZ40+'NF - 5 Power Mix'!EVZ14+'NF - 5 Power Mix'!EVZ15)*860/10)+((('Form Sa1'!EWC835)*860)/10)+('Form Sa1'!EWC814*'Form Sa1'!EWC816/10)-'NF - 5 Power Mix'!EVZ21-'NF - 5 Power Mix'!EVZ22</f>
        <v>0</v>
      </c>
      <c r="EWA42" s="1046">
        <f>EWA38+((EWA40+'NF - 5 Power Mix'!EWA14+'NF - 5 Power Mix'!EWA15)*860/10)+((('Form Sa1'!EWD835)*860)/10)+('Form Sa1'!EWD814*'Form Sa1'!EWD816/10)-'NF - 5 Power Mix'!EWA21-'NF - 5 Power Mix'!EWA22</f>
        <v>0</v>
      </c>
      <c r="EWB42" s="1046">
        <f>EWB38+((EWB40+'NF - 5 Power Mix'!EWB14+'NF - 5 Power Mix'!EWB15)*860/10)+((('Form Sa1'!EWE835)*860)/10)+('Form Sa1'!EWE814*'Form Sa1'!EWE816/10)-'NF - 5 Power Mix'!EWB21-'NF - 5 Power Mix'!EWB22</f>
        <v>0</v>
      </c>
      <c r="EWC42" s="1046">
        <f>EWC38+((EWC40+'NF - 5 Power Mix'!EWC14+'NF - 5 Power Mix'!EWC15)*860/10)+((('Form Sa1'!EWF835)*860)/10)+('Form Sa1'!EWF814*'Form Sa1'!EWF816/10)-'NF - 5 Power Mix'!EWC21-'NF - 5 Power Mix'!EWC22</f>
        <v>0</v>
      </c>
      <c r="EWD42" s="1046">
        <f>EWD38+((EWD40+'NF - 5 Power Mix'!EWD14+'NF - 5 Power Mix'!EWD15)*860/10)+((('Form Sa1'!EWG835)*860)/10)+('Form Sa1'!EWG814*'Form Sa1'!EWG816/10)-'NF - 5 Power Mix'!EWD21-'NF - 5 Power Mix'!EWD22</f>
        <v>0</v>
      </c>
      <c r="EWE42" s="1046">
        <f>EWE38+((EWE40+'NF - 5 Power Mix'!EWE14+'NF - 5 Power Mix'!EWE15)*860/10)+((('Form Sa1'!EWH835)*860)/10)+('Form Sa1'!EWH814*'Form Sa1'!EWH816/10)-'NF - 5 Power Mix'!EWE21-'NF - 5 Power Mix'!EWE22</f>
        <v>0</v>
      </c>
      <c r="EWF42" s="1046">
        <f>EWF38+((EWF40+'NF - 5 Power Mix'!EWF14+'NF - 5 Power Mix'!EWF15)*860/10)+((('Form Sa1'!EWI835)*860)/10)+('Form Sa1'!EWI814*'Form Sa1'!EWI816/10)-'NF - 5 Power Mix'!EWF21-'NF - 5 Power Mix'!EWF22</f>
        <v>0</v>
      </c>
      <c r="EWG42" s="1046">
        <f>EWG38+((EWG40+'NF - 5 Power Mix'!EWG14+'NF - 5 Power Mix'!EWG15)*860/10)+((('Form Sa1'!EWJ835)*860)/10)+('Form Sa1'!EWJ814*'Form Sa1'!EWJ816/10)-'NF - 5 Power Mix'!EWG21-'NF - 5 Power Mix'!EWG22</f>
        <v>0</v>
      </c>
      <c r="EWH42" s="1046">
        <f>EWH38+((EWH40+'NF - 5 Power Mix'!EWH14+'NF - 5 Power Mix'!EWH15)*860/10)+((('Form Sa1'!EWK835)*860)/10)+('Form Sa1'!EWK814*'Form Sa1'!EWK816/10)-'NF - 5 Power Mix'!EWH21-'NF - 5 Power Mix'!EWH22</f>
        <v>0</v>
      </c>
      <c r="EWI42" s="1046">
        <f>EWI38+((EWI40+'NF - 5 Power Mix'!EWI14+'NF - 5 Power Mix'!EWI15)*860/10)+((('Form Sa1'!EWL835)*860)/10)+('Form Sa1'!EWL814*'Form Sa1'!EWL816/10)-'NF - 5 Power Mix'!EWI21-'NF - 5 Power Mix'!EWI22</f>
        <v>0</v>
      </c>
      <c r="EWJ42" s="1046">
        <f>EWJ38+((EWJ40+'NF - 5 Power Mix'!EWJ14+'NF - 5 Power Mix'!EWJ15)*860/10)+((('Form Sa1'!EWM835)*860)/10)+('Form Sa1'!EWM814*'Form Sa1'!EWM816/10)-'NF - 5 Power Mix'!EWJ21-'NF - 5 Power Mix'!EWJ22</f>
        <v>0</v>
      </c>
      <c r="EWK42" s="1046">
        <f>EWK38+((EWK40+'NF - 5 Power Mix'!EWK14+'NF - 5 Power Mix'!EWK15)*860/10)+((('Form Sa1'!EWN835)*860)/10)+('Form Sa1'!EWN814*'Form Sa1'!EWN816/10)-'NF - 5 Power Mix'!EWK21-'NF - 5 Power Mix'!EWK22</f>
        <v>0</v>
      </c>
      <c r="EWL42" s="1046">
        <f>EWL38+((EWL40+'NF - 5 Power Mix'!EWL14+'NF - 5 Power Mix'!EWL15)*860/10)+((('Form Sa1'!EWO835)*860)/10)+('Form Sa1'!EWO814*'Form Sa1'!EWO816/10)-'NF - 5 Power Mix'!EWL21-'NF - 5 Power Mix'!EWL22</f>
        <v>0</v>
      </c>
      <c r="EWM42" s="1046">
        <f>EWM38+((EWM40+'NF - 5 Power Mix'!EWM14+'NF - 5 Power Mix'!EWM15)*860/10)+((('Form Sa1'!EWP835)*860)/10)+('Form Sa1'!EWP814*'Form Sa1'!EWP816/10)-'NF - 5 Power Mix'!EWM21-'NF - 5 Power Mix'!EWM22</f>
        <v>0</v>
      </c>
      <c r="EWN42" s="1046">
        <f>EWN38+((EWN40+'NF - 5 Power Mix'!EWN14+'NF - 5 Power Mix'!EWN15)*860/10)+((('Form Sa1'!EWQ835)*860)/10)+('Form Sa1'!EWQ814*'Form Sa1'!EWQ816/10)-'NF - 5 Power Mix'!EWN21-'NF - 5 Power Mix'!EWN22</f>
        <v>0</v>
      </c>
      <c r="EWO42" s="1046">
        <f>EWO38+((EWO40+'NF - 5 Power Mix'!EWO14+'NF - 5 Power Mix'!EWO15)*860/10)+((('Form Sa1'!EWR835)*860)/10)+('Form Sa1'!EWR814*'Form Sa1'!EWR816/10)-'NF - 5 Power Mix'!EWO21-'NF - 5 Power Mix'!EWO22</f>
        <v>0</v>
      </c>
      <c r="EWP42" s="1046">
        <f>EWP38+((EWP40+'NF - 5 Power Mix'!EWP14+'NF - 5 Power Mix'!EWP15)*860/10)+((('Form Sa1'!EWS835)*860)/10)+('Form Sa1'!EWS814*'Form Sa1'!EWS816/10)-'NF - 5 Power Mix'!EWP21-'NF - 5 Power Mix'!EWP22</f>
        <v>0</v>
      </c>
      <c r="EWQ42" s="1046">
        <f>EWQ38+((EWQ40+'NF - 5 Power Mix'!EWQ14+'NF - 5 Power Mix'!EWQ15)*860/10)+((('Form Sa1'!EWT835)*860)/10)+('Form Sa1'!EWT814*'Form Sa1'!EWT816/10)-'NF - 5 Power Mix'!EWQ21-'NF - 5 Power Mix'!EWQ22</f>
        <v>0</v>
      </c>
      <c r="EWR42" s="1046">
        <f>EWR38+((EWR40+'NF - 5 Power Mix'!EWR14+'NF - 5 Power Mix'!EWR15)*860/10)+((('Form Sa1'!EWU835)*860)/10)+('Form Sa1'!EWU814*'Form Sa1'!EWU816/10)-'NF - 5 Power Mix'!EWR21-'NF - 5 Power Mix'!EWR22</f>
        <v>0</v>
      </c>
      <c r="EWS42" s="1046">
        <f>EWS38+((EWS40+'NF - 5 Power Mix'!EWS14+'NF - 5 Power Mix'!EWS15)*860/10)+((('Form Sa1'!EWV835)*860)/10)+('Form Sa1'!EWV814*'Form Sa1'!EWV816/10)-'NF - 5 Power Mix'!EWS21-'NF - 5 Power Mix'!EWS22</f>
        <v>0</v>
      </c>
      <c r="EWT42" s="1046">
        <f>EWT38+((EWT40+'NF - 5 Power Mix'!EWT14+'NF - 5 Power Mix'!EWT15)*860/10)+((('Form Sa1'!EWW835)*860)/10)+('Form Sa1'!EWW814*'Form Sa1'!EWW816/10)-'NF - 5 Power Mix'!EWT21-'NF - 5 Power Mix'!EWT22</f>
        <v>0</v>
      </c>
      <c r="EWU42" s="1046">
        <f>EWU38+((EWU40+'NF - 5 Power Mix'!EWU14+'NF - 5 Power Mix'!EWU15)*860/10)+((('Form Sa1'!EWX835)*860)/10)+('Form Sa1'!EWX814*'Form Sa1'!EWX816/10)-'NF - 5 Power Mix'!EWU21-'NF - 5 Power Mix'!EWU22</f>
        <v>0</v>
      </c>
      <c r="EWV42" s="1046">
        <f>EWV38+((EWV40+'NF - 5 Power Mix'!EWV14+'NF - 5 Power Mix'!EWV15)*860/10)+((('Form Sa1'!EWY835)*860)/10)+('Form Sa1'!EWY814*'Form Sa1'!EWY816/10)-'NF - 5 Power Mix'!EWV21-'NF - 5 Power Mix'!EWV22</f>
        <v>0</v>
      </c>
      <c r="EWW42" s="1046">
        <f>EWW38+((EWW40+'NF - 5 Power Mix'!EWW14+'NF - 5 Power Mix'!EWW15)*860/10)+((('Form Sa1'!EWZ835)*860)/10)+('Form Sa1'!EWZ814*'Form Sa1'!EWZ816/10)-'NF - 5 Power Mix'!EWW21-'NF - 5 Power Mix'!EWW22</f>
        <v>0</v>
      </c>
      <c r="EWX42" s="1046">
        <f>EWX38+((EWX40+'NF - 5 Power Mix'!EWX14+'NF - 5 Power Mix'!EWX15)*860/10)+((('Form Sa1'!EXA835)*860)/10)+('Form Sa1'!EXA814*'Form Sa1'!EXA816/10)-'NF - 5 Power Mix'!EWX21-'NF - 5 Power Mix'!EWX22</f>
        <v>0</v>
      </c>
      <c r="EWY42" s="1046">
        <f>EWY38+((EWY40+'NF - 5 Power Mix'!EWY14+'NF - 5 Power Mix'!EWY15)*860/10)+((('Form Sa1'!EXB835)*860)/10)+('Form Sa1'!EXB814*'Form Sa1'!EXB816/10)-'NF - 5 Power Mix'!EWY21-'NF - 5 Power Mix'!EWY22</f>
        <v>0</v>
      </c>
      <c r="EWZ42" s="1046">
        <f>EWZ38+((EWZ40+'NF - 5 Power Mix'!EWZ14+'NF - 5 Power Mix'!EWZ15)*860/10)+((('Form Sa1'!EXC835)*860)/10)+('Form Sa1'!EXC814*'Form Sa1'!EXC816/10)-'NF - 5 Power Mix'!EWZ21-'NF - 5 Power Mix'!EWZ22</f>
        <v>0</v>
      </c>
      <c r="EXA42" s="1046">
        <f>EXA38+((EXA40+'NF - 5 Power Mix'!EXA14+'NF - 5 Power Mix'!EXA15)*860/10)+((('Form Sa1'!EXD835)*860)/10)+('Form Sa1'!EXD814*'Form Sa1'!EXD816/10)-'NF - 5 Power Mix'!EXA21-'NF - 5 Power Mix'!EXA22</f>
        <v>0</v>
      </c>
      <c r="EXB42" s="1046">
        <f>EXB38+((EXB40+'NF - 5 Power Mix'!EXB14+'NF - 5 Power Mix'!EXB15)*860/10)+((('Form Sa1'!EXE835)*860)/10)+('Form Sa1'!EXE814*'Form Sa1'!EXE816/10)-'NF - 5 Power Mix'!EXB21-'NF - 5 Power Mix'!EXB22</f>
        <v>0</v>
      </c>
      <c r="EXC42" s="1046">
        <f>EXC38+((EXC40+'NF - 5 Power Mix'!EXC14+'NF - 5 Power Mix'!EXC15)*860/10)+((('Form Sa1'!EXF835)*860)/10)+('Form Sa1'!EXF814*'Form Sa1'!EXF816/10)-'NF - 5 Power Mix'!EXC21-'NF - 5 Power Mix'!EXC22</f>
        <v>0</v>
      </c>
      <c r="EXD42" s="1046">
        <f>EXD38+((EXD40+'NF - 5 Power Mix'!EXD14+'NF - 5 Power Mix'!EXD15)*860/10)+((('Form Sa1'!EXG835)*860)/10)+('Form Sa1'!EXG814*'Form Sa1'!EXG816/10)-'NF - 5 Power Mix'!EXD21-'NF - 5 Power Mix'!EXD22</f>
        <v>0</v>
      </c>
      <c r="EXE42" s="1046">
        <f>EXE38+((EXE40+'NF - 5 Power Mix'!EXE14+'NF - 5 Power Mix'!EXE15)*860/10)+((('Form Sa1'!EXH835)*860)/10)+('Form Sa1'!EXH814*'Form Sa1'!EXH816/10)-'NF - 5 Power Mix'!EXE21-'NF - 5 Power Mix'!EXE22</f>
        <v>0</v>
      </c>
      <c r="EXF42" s="1046">
        <f>EXF38+((EXF40+'NF - 5 Power Mix'!EXF14+'NF - 5 Power Mix'!EXF15)*860/10)+((('Form Sa1'!EXI835)*860)/10)+('Form Sa1'!EXI814*'Form Sa1'!EXI816/10)-'NF - 5 Power Mix'!EXF21-'NF - 5 Power Mix'!EXF22</f>
        <v>0</v>
      </c>
      <c r="EXG42" s="1046">
        <f>EXG38+((EXG40+'NF - 5 Power Mix'!EXG14+'NF - 5 Power Mix'!EXG15)*860/10)+((('Form Sa1'!EXJ835)*860)/10)+('Form Sa1'!EXJ814*'Form Sa1'!EXJ816/10)-'NF - 5 Power Mix'!EXG21-'NF - 5 Power Mix'!EXG22</f>
        <v>0</v>
      </c>
      <c r="EXH42" s="1046">
        <f>EXH38+((EXH40+'NF - 5 Power Mix'!EXH14+'NF - 5 Power Mix'!EXH15)*860/10)+((('Form Sa1'!EXK835)*860)/10)+('Form Sa1'!EXK814*'Form Sa1'!EXK816/10)-'NF - 5 Power Mix'!EXH21-'NF - 5 Power Mix'!EXH22</f>
        <v>0</v>
      </c>
      <c r="EXI42" s="1046">
        <f>EXI38+((EXI40+'NF - 5 Power Mix'!EXI14+'NF - 5 Power Mix'!EXI15)*860/10)+((('Form Sa1'!EXL835)*860)/10)+('Form Sa1'!EXL814*'Form Sa1'!EXL816/10)-'NF - 5 Power Mix'!EXI21-'NF - 5 Power Mix'!EXI22</f>
        <v>0</v>
      </c>
      <c r="EXJ42" s="1046">
        <f>EXJ38+((EXJ40+'NF - 5 Power Mix'!EXJ14+'NF - 5 Power Mix'!EXJ15)*860/10)+((('Form Sa1'!EXM835)*860)/10)+('Form Sa1'!EXM814*'Form Sa1'!EXM816/10)-'NF - 5 Power Mix'!EXJ21-'NF - 5 Power Mix'!EXJ22</f>
        <v>0</v>
      </c>
      <c r="EXK42" s="1046">
        <f>EXK38+((EXK40+'NF - 5 Power Mix'!EXK14+'NF - 5 Power Mix'!EXK15)*860/10)+((('Form Sa1'!EXN835)*860)/10)+('Form Sa1'!EXN814*'Form Sa1'!EXN816/10)-'NF - 5 Power Mix'!EXK21-'NF - 5 Power Mix'!EXK22</f>
        <v>0</v>
      </c>
      <c r="EXL42" s="1046">
        <f>EXL38+((EXL40+'NF - 5 Power Mix'!EXL14+'NF - 5 Power Mix'!EXL15)*860/10)+((('Form Sa1'!EXO835)*860)/10)+('Form Sa1'!EXO814*'Form Sa1'!EXO816/10)-'NF - 5 Power Mix'!EXL21-'NF - 5 Power Mix'!EXL22</f>
        <v>0</v>
      </c>
      <c r="EXM42" s="1046">
        <f>EXM38+((EXM40+'NF - 5 Power Mix'!EXM14+'NF - 5 Power Mix'!EXM15)*860/10)+((('Form Sa1'!EXP835)*860)/10)+('Form Sa1'!EXP814*'Form Sa1'!EXP816/10)-'NF - 5 Power Mix'!EXM21-'NF - 5 Power Mix'!EXM22</f>
        <v>0</v>
      </c>
      <c r="EXN42" s="1046">
        <f>EXN38+((EXN40+'NF - 5 Power Mix'!EXN14+'NF - 5 Power Mix'!EXN15)*860/10)+((('Form Sa1'!EXQ835)*860)/10)+('Form Sa1'!EXQ814*'Form Sa1'!EXQ816/10)-'NF - 5 Power Mix'!EXN21-'NF - 5 Power Mix'!EXN22</f>
        <v>0</v>
      </c>
      <c r="EXO42" s="1046">
        <f>EXO38+((EXO40+'NF - 5 Power Mix'!EXO14+'NF - 5 Power Mix'!EXO15)*860/10)+((('Form Sa1'!EXR835)*860)/10)+('Form Sa1'!EXR814*'Form Sa1'!EXR816/10)-'NF - 5 Power Mix'!EXO21-'NF - 5 Power Mix'!EXO22</f>
        <v>0</v>
      </c>
      <c r="EXP42" s="1046">
        <f>EXP38+((EXP40+'NF - 5 Power Mix'!EXP14+'NF - 5 Power Mix'!EXP15)*860/10)+((('Form Sa1'!EXS835)*860)/10)+('Form Sa1'!EXS814*'Form Sa1'!EXS816/10)-'NF - 5 Power Mix'!EXP21-'NF - 5 Power Mix'!EXP22</f>
        <v>0</v>
      </c>
      <c r="EXQ42" s="1046">
        <f>EXQ38+((EXQ40+'NF - 5 Power Mix'!EXQ14+'NF - 5 Power Mix'!EXQ15)*860/10)+((('Form Sa1'!EXT835)*860)/10)+('Form Sa1'!EXT814*'Form Sa1'!EXT816/10)-'NF - 5 Power Mix'!EXQ21-'NF - 5 Power Mix'!EXQ22</f>
        <v>0</v>
      </c>
      <c r="EXR42" s="1046">
        <f>EXR38+((EXR40+'NF - 5 Power Mix'!EXR14+'NF - 5 Power Mix'!EXR15)*860/10)+((('Form Sa1'!EXU835)*860)/10)+('Form Sa1'!EXU814*'Form Sa1'!EXU816/10)-'NF - 5 Power Mix'!EXR21-'NF - 5 Power Mix'!EXR22</f>
        <v>0</v>
      </c>
      <c r="EXS42" s="1046">
        <f>EXS38+((EXS40+'NF - 5 Power Mix'!EXS14+'NF - 5 Power Mix'!EXS15)*860/10)+((('Form Sa1'!EXV835)*860)/10)+('Form Sa1'!EXV814*'Form Sa1'!EXV816/10)-'NF - 5 Power Mix'!EXS21-'NF - 5 Power Mix'!EXS22</f>
        <v>0</v>
      </c>
      <c r="EXT42" s="1046">
        <f>EXT38+((EXT40+'NF - 5 Power Mix'!EXT14+'NF - 5 Power Mix'!EXT15)*860/10)+((('Form Sa1'!EXW835)*860)/10)+('Form Sa1'!EXW814*'Form Sa1'!EXW816/10)-'NF - 5 Power Mix'!EXT21-'NF - 5 Power Mix'!EXT22</f>
        <v>0</v>
      </c>
      <c r="EXU42" s="1046">
        <f>EXU38+((EXU40+'NF - 5 Power Mix'!EXU14+'NF - 5 Power Mix'!EXU15)*860/10)+((('Form Sa1'!EXX835)*860)/10)+('Form Sa1'!EXX814*'Form Sa1'!EXX816/10)-'NF - 5 Power Mix'!EXU21-'NF - 5 Power Mix'!EXU22</f>
        <v>0</v>
      </c>
      <c r="EXV42" s="1046">
        <f>EXV38+((EXV40+'NF - 5 Power Mix'!EXV14+'NF - 5 Power Mix'!EXV15)*860/10)+((('Form Sa1'!EXY835)*860)/10)+('Form Sa1'!EXY814*'Form Sa1'!EXY816/10)-'NF - 5 Power Mix'!EXV21-'NF - 5 Power Mix'!EXV22</f>
        <v>0</v>
      </c>
      <c r="EXW42" s="1046">
        <f>EXW38+((EXW40+'NF - 5 Power Mix'!EXW14+'NF - 5 Power Mix'!EXW15)*860/10)+((('Form Sa1'!EXZ835)*860)/10)+('Form Sa1'!EXZ814*'Form Sa1'!EXZ816/10)-'NF - 5 Power Mix'!EXW21-'NF - 5 Power Mix'!EXW22</f>
        <v>0</v>
      </c>
      <c r="EXX42" s="1046">
        <f>EXX38+((EXX40+'NF - 5 Power Mix'!EXX14+'NF - 5 Power Mix'!EXX15)*860/10)+((('Form Sa1'!EYA835)*860)/10)+('Form Sa1'!EYA814*'Form Sa1'!EYA816/10)-'NF - 5 Power Mix'!EXX21-'NF - 5 Power Mix'!EXX22</f>
        <v>0</v>
      </c>
      <c r="EXY42" s="1046">
        <f>EXY38+((EXY40+'NF - 5 Power Mix'!EXY14+'NF - 5 Power Mix'!EXY15)*860/10)+((('Form Sa1'!EYB835)*860)/10)+('Form Sa1'!EYB814*'Form Sa1'!EYB816/10)-'NF - 5 Power Mix'!EXY21-'NF - 5 Power Mix'!EXY22</f>
        <v>0</v>
      </c>
      <c r="EXZ42" s="1046">
        <f>EXZ38+((EXZ40+'NF - 5 Power Mix'!EXZ14+'NF - 5 Power Mix'!EXZ15)*860/10)+((('Form Sa1'!EYC835)*860)/10)+('Form Sa1'!EYC814*'Form Sa1'!EYC816/10)-'NF - 5 Power Mix'!EXZ21-'NF - 5 Power Mix'!EXZ22</f>
        <v>0</v>
      </c>
      <c r="EYA42" s="1046">
        <f>EYA38+((EYA40+'NF - 5 Power Mix'!EYA14+'NF - 5 Power Mix'!EYA15)*860/10)+((('Form Sa1'!EYD835)*860)/10)+('Form Sa1'!EYD814*'Form Sa1'!EYD816/10)-'NF - 5 Power Mix'!EYA21-'NF - 5 Power Mix'!EYA22</f>
        <v>0</v>
      </c>
      <c r="EYB42" s="1046">
        <f>EYB38+((EYB40+'NF - 5 Power Mix'!EYB14+'NF - 5 Power Mix'!EYB15)*860/10)+((('Form Sa1'!EYE835)*860)/10)+('Form Sa1'!EYE814*'Form Sa1'!EYE816/10)-'NF - 5 Power Mix'!EYB21-'NF - 5 Power Mix'!EYB22</f>
        <v>0</v>
      </c>
      <c r="EYC42" s="1046">
        <f>EYC38+((EYC40+'NF - 5 Power Mix'!EYC14+'NF - 5 Power Mix'!EYC15)*860/10)+((('Form Sa1'!EYF835)*860)/10)+('Form Sa1'!EYF814*'Form Sa1'!EYF816/10)-'NF - 5 Power Mix'!EYC21-'NF - 5 Power Mix'!EYC22</f>
        <v>0</v>
      </c>
      <c r="EYD42" s="1046">
        <f>EYD38+((EYD40+'NF - 5 Power Mix'!EYD14+'NF - 5 Power Mix'!EYD15)*860/10)+((('Form Sa1'!EYG835)*860)/10)+('Form Sa1'!EYG814*'Form Sa1'!EYG816/10)-'NF - 5 Power Mix'!EYD21-'NF - 5 Power Mix'!EYD22</f>
        <v>0</v>
      </c>
      <c r="EYE42" s="1046">
        <f>EYE38+((EYE40+'NF - 5 Power Mix'!EYE14+'NF - 5 Power Mix'!EYE15)*860/10)+((('Form Sa1'!EYH835)*860)/10)+('Form Sa1'!EYH814*'Form Sa1'!EYH816/10)-'NF - 5 Power Mix'!EYE21-'NF - 5 Power Mix'!EYE22</f>
        <v>0</v>
      </c>
      <c r="EYF42" s="1046">
        <f>EYF38+((EYF40+'NF - 5 Power Mix'!EYF14+'NF - 5 Power Mix'!EYF15)*860/10)+((('Form Sa1'!EYI835)*860)/10)+('Form Sa1'!EYI814*'Form Sa1'!EYI816/10)-'NF - 5 Power Mix'!EYF21-'NF - 5 Power Mix'!EYF22</f>
        <v>0</v>
      </c>
      <c r="EYG42" s="1046">
        <f>EYG38+((EYG40+'NF - 5 Power Mix'!EYG14+'NF - 5 Power Mix'!EYG15)*860/10)+((('Form Sa1'!EYJ835)*860)/10)+('Form Sa1'!EYJ814*'Form Sa1'!EYJ816/10)-'NF - 5 Power Mix'!EYG21-'NF - 5 Power Mix'!EYG22</f>
        <v>0</v>
      </c>
      <c r="EYH42" s="1046">
        <f>EYH38+((EYH40+'NF - 5 Power Mix'!EYH14+'NF - 5 Power Mix'!EYH15)*860/10)+((('Form Sa1'!EYK835)*860)/10)+('Form Sa1'!EYK814*'Form Sa1'!EYK816/10)-'NF - 5 Power Mix'!EYH21-'NF - 5 Power Mix'!EYH22</f>
        <v>0</v>
      </c>
      <c r="EYI42" s="1046">
        <f>EYI38+((EYI40+'NF - 5 Power Mix'!EYI14+'NF - 5 Power Mix'!EYI15)*860/10)+((('Form Sa1'!EYL835)*860)/10)+('Form Sa1'!EYL814*'Form Sa1'!EYL816/10)-'NF - 5 Power Mix'!EYI21-'NF - 5 Power Mix'!EYI22</f>
        <v>0</v>
      </c>
      <c r="EYJ42" s="1046">
        <f>EYJ38+((EYJ40+'NF - 5 Power Mix'!EYJ14+'NF - 5 Power Mix'!EYJ15)*860/10)+((('Form Sa1'!EYM835)*860)/10)+('Form Sa1'!EYM814*'Form Sa1'!EYM816/10)-'NF - 5 Power Mix'!EYJ21-'NF - 5 Power Mix'!EYJ22</f>
        <v>0</v>
      </c>
      <c r="EYK42" s="1046">
        <f>EYK38+((EYK40+'NF - 5 Power Mix'!EYK14+'NF - 5 Power Mix'!EYK15)*860/10)+((('Form Sa1'!EYN835)*860)/10)+('Form Sa1'!EYN814*'Form Sa1'!EYN816/10)-'NF - 5 Power Mix'!EYK21-'NF - 5 Power Mix'!EYK22</f>
        <v>0</v>
      </c>
      <c r="EYL42" s="1046">
        <f>EYL38+((EYL40+'NF - 5 Power Mix'!EYL14+'NF - 5 Power Mix'!EYL15)*860/10)+((('Form Sa1'!EYO835)*860)/10)+('Form Sa1'!EYO814*'Form Sa1'!EYO816/10)-'NF - 5 Power Mix'!EYL21-'NF - 5 Power Mix'!EYL22</f>
        <v>0</v>
      </c>
      <c r="EYM42" s="1046">
        <f>EYM38+((EYM40+'NF - 5 Power Mix'!EYM14+'NF - 5 Power Mix'!EYM15)*860/10)+((('Form Sa1'!EYP835)*860)/10)+('Form Sa1'!EYP814*'Form Sa1'!EYP816/10)-'NF - 5 Power Mix'!EYM21-'NF - 5 Power Mix'!EYM22</f>
        <v>0</v>
      </c>
      <c r="EYN42" s="1046">
        <f>EYN38+((EYN40+'NF - 5 Power Mix'!EYN14+'NF - 5 Power Mix'!EYN15)*860/10)+((('Form Sa1'!EYQ835)*860)/10)+('Form Sa1'!EYQ814*'Form Sa1'!EYQ816/10)-'NF - 5 Power Mix'!EYN21-'NF - 5 Power Mix'!EYN22</f>
        <v>0</v>
      </c>
      <c r="EYO42" s="1046">
        <f>EYO38+((EYO40+'NF - 5 Power Mix'!EYO14+'NF - 5 Power Mix'!EYO15)*860/10)+((('Form Sa1'!EYR835)*860)/10)+('Form Sa1'!EYR814*'Form Sa1'!EYR816/10)-'NF - 5 Power Mix'!EYO21-'NF - 5 Power Mix'!EYO22</f>
        <v>0</v>
      </c>
      <c r="EYP42" s="1046">
        <f>EYP38+((EYP40+'NF - 5 Power Mix'!EYP14+'NF - 5 Power Mix'!EYP15)*860/10)+((('Form Sa1'!EYS835)*860)/10)+('Form Sa1'!EYS814*'Form Sa1'!EYS816/10)-'NF - 5 Power Mix'!EYP21-'NF - 5 Power Mix'!EYP22</f>
        <v>0</v>
      </c>
      <c r="EYQ42" s="1046">
        <f>EYQ38+((EYQ40+'NF - 5 Power Mix'!EYQ14+'NF - 5 Power Mix'!EYQ15)*860/10)+((('Form Sa1'!EYT835)*860)/10)+('Form Sa1'!EYT814*'Form Sa1'!EYT816/10)-'NF - 5 Power Mix'!EYQ21-'NF - 5 Power Mix'!EYQ22</f>
        <v>0</v>
      </c>
      <c r="EYR42" s="1046">
        <f>EYR38+((EYR40+'NF - 5 Power Mix'!EYR14+'NF - 5 Power Mix'!EYR15)*860/10)+((('Form Sa1'!EYU835)*860)/10)+('Form Sa1'!EYU814*'Form Sa1'!EYU816/10)-'NF - 5 Power Mix'!EYR21-'NF - 5 Power Mix'!EYR22</f>
        <v>0</v>
      </c>
      <c r="EYS42" s="1046">
        <f>EYS38+((EYS40+'NF - 5 Power Mix'!EYS14+'NF - 5 Power Mix'!EYS15)*860/10)+((('Form Sa1'!EYV835)*860)/10)+('Form Sa1'!EYV814*'Form Sa1'!EYV816/10)-'NF - 5 Power Mix'!EYS21-'NF - 5 Power Mix'!EYS22</f>
        <v>0</v>
      </c>
      <c r="EYT42" s="1046">
        <f>EYT38+((EYT40+'NF - 5 Power Mix'!EYT14+'NF - 5 Power Mix'!EYT15)*860/10)+((('Form Sa1'!EYW835)*860)/10)+('Form Sa1'!EYW814*'Form Sa1'!EYW816/10)-'NF - 5 Power Mix'!EYT21-'NF - 5 Power Mix'!EYT22</f>
        <v>0</v>
      </c>
      <c r="EYU42" s="1046">
        <f>EYU38+((EYU40+'NF - 5 Power Mix'!EYU14+'NF - 5 Power Mix'!EYU15)*860/10)+((('Form Sa1'!EYX835)*860)/10)+('Form Sa1'!EYX814*'Form Sa1'!EYX816/10)-'NF - 5 Power Mix'!EYU21-'NF - 5 Power Mix'!EYU22</f>
        <v>0</v>
      </c>
      <c r="EYV42" s="1046">
        <f>EYV38+((EYV40+'NF - 5 Power Mix'!EYV14+'NF - 5 Power Mix'!EYV15)*860/10)+((('Form Sa1'!EYY835)*860)/10)+('Form Sa1'!EYY814*'Form Sa1'!EYY816/10)-'NF - 5 Power Mix'!EYV21-'NF - 5 Power Mix'!EYV22</f>
        <v>0</v>
      </c>
      <c r="EYW42" s="1046">
        <f>EYW38+((EYW40+'NF - 5 Power Mix'!EYW14+'NF - 5 Power Mix'!EYW15)*860/10)+((('Form Sa1'!EYZ835)*860)/10)+('Form Sa1'!EYZ814*'Form Sa1'!EYZ816/10)-'NF - 5 Power Mix'!EYW21-'NF - 5 Power Mix'!EYW22</f>
        <v>0</v>
      </c>
      <c r="EYX42" s="1046">
        <f>EYX38+((EYX40+'NF - 5 Power Mix'!EYX14+'NF - 5 Power Mix'!EYX15)*860/10)+((('Form Sa1'!EZA835)*860)/10)+('Form Sa1'!EZA814*'Form Sa1'!EZA816/10)-'NF - 5 Power Mix'!EYX21-'NF - 5 Power Mix'!EYX22</f>
        <v>0</v>
      </c>
      <c r="EYY42" s="1046">
        <f>EYY38+((EYY40+'NF - 5 Power Mix'!EYY14+'NF - 5 Power Mix'!EYY15)*860/10)+((('Form Sa1'!EZB835)*860)/10)+('Form Sa1'!EZB814*'Form Sa1'!EZB816/10)-'NF - 5 Power Mix'!EYY21-'NF - 5 Power Mix'!EYY22</f>
        <v>0</v>
      </c>
      <c r="EYZ42" s="1046">
        <f>EYZ38+((EYZ40+'NF - 5 Power Mix'!EYZ14+'NF - 5 Power Mix'!EYZ15)*860/10)+((('Form Sa1'!EZC835)*860)/10)+('Form Sa1'!EZC814*'Form Sa1'!EZC816/10)-'NF - 5 Power Mix'!EYZ21-'NF - 5 Power Mix'!EYZ22</f>
        <v>0</v>
      </c>
      <c r="EZA42" s="1046">
        <f>EZA38+((EZA40+'NF - 5 Power Mix'!EZA14+'NF - 5 Power Mix'!EZA15)*860/10)+((('Form Sa1'!EZD835)*860)/10)+('Form Sa1'!EZD814*'Form Sa1'!EZD816/10)-'NF - 5 Power Mix'!EZA21-'NF - 5 Power Mix'!EZA22</f>
        <v>0</v>
      </c>
      <c r="EZB42" s="1046">
        <f>EZB38+((EZB40+'NF - 5 Power Mix'!EZB14+'NF - 5 Power Mix'!EZB15)*860/10)+((('Form Sa1'!EZE835)*860)/10)+('Form Sa1'!EZE814*'Form Sa1'!EZE816/10)-'NF - 5 Power Mix'!EZB21-'NF - 5 Power Mix'!EZB22</f>
        <v>0</v>
      </c>
      <c r="EZC42" s="1046">
        <f>EZC38+((EZC40+'NF - 5 Power Mix'!EZC14+'NF - 5 Power Mix'!EZC15)*860/10)+((('Form Sa1'!EZF835)*860)/10)+('Form Sa1'!EZF814*'Form Sa1'!EZF816/10)-'NF - 5 Power Mix'!EZC21-'NF - 5 Power Mix'!EZC22</f>
        <v>0</v>
      </c>
      <c r="EZD42" s="1046">
        <f>EZD38+((EZD40+'NF - 5 Power Mix'!EZD14+'NF - 5 Power Mix'!EZD15)*860/10)+((('Form Sa1'!EZG835)*860)/10)+('Form Sa1'!EZG814*'Form Sa1'!EZG816/10)-'NF - 5 Power Mix'!EZD21-'NF - 5 Power Mix'!EZD22</f>
        <v>0</v>
      </c>
      <c r="EZE42" s="1046">
        <f>EZE38+((EZE40+'NF - 5 Power Mix'!EZE14+'NF - 5 Power Mix'!EZE15)*860/10)+((('Form Sa1'!EZH835)*860)/10)+('Form Sa1'!EZH814*'Form Sa1'!EZH816/10)-'NF - 5 Power Mix'!EZE21-'NF - 5 Power Mix'!EZE22</f>
        <v>0</v>
      </c>
      <c r="EZF42" s="1046">
        <f>EZF38+((EZF40+'NF - 5 Power Mix'!EZF14+'NF - 5 Power Mix'!EZF15)*860/10)+((('Form Sa1'!EZI835)*860)/10)+('Form Sa1'!EZI814*'Form Sa1'!EZI816/10)-'NF - 5 Power Mix'!EZF21-'NF - 5 Power Mix'!EZF22</f>
        <v>0</v>
      </c>
      <c r="EZG42" s="1046">
        <f>EZG38+((EZG40+'NF - 5 Power Mix'!EZG14+'NF - 5 Power Mix'!EZG15)*860/10)+((('Form Sa1'!EZJ835)*860)/10)+('Form Sa1'!EZJ814*'Form Sa1'!EZJ816/10)-'NF - 5 Power Mix'!EZG21-'NF - 5 Power Mix'!EZG22</f>
        <v>0</v>
      </c>
      <c r="EZH42" s="1046">
        <f>EZH38+((EZH40+'NF - 5 Power Mix'!EZH14+'NF - 5 Power Mix'!EZH15)*860/10)+((('Form Sa1'!EZK835)*860)/10)+('Form Sa1'!EZK814*'Form Sa1'!EZK816/10)-'NF - 5 Power Mix'!EZH21-'NF - 5 Power Mix'!EZH22</f>
        <v>0</v>
      </c>
      <c r="EZI42" s="1046">
        <f>EZI38+((EZI40+'NF - 5 Power Mix'!EZI14+'NF - 5 Power Mix'!EZI15)*860/10)+((('Form Sa1'!EZL835)*860)/10)+('Form Sa1'!EZL814*'Form Sa1'!EZL816/10)-'NF - 5 Power Mix'!EZI21-'NF - 5 Power Mix'!EZI22</f>
        <v>0</v>
      </c>
      <c r="EZJ42" s="1046">
        <f>EZJ38+((EZJ40+'NF - 5 Power Mix'!EZJ14+'NF - 5 Power Mix'!EZJ15)*860/10)+((('Form Sa1'!EZM835)*860)/10)+('Form Sa1'!EZM814*'Form Sa1'!EZM816/10)-'NF - 5 Power Mix'!EZJ21-'NF - 5 Power Mix'!EZJ22</f>
        <v>0</v>
      </c>
      <c r="EZK42" s="1046">
        <f>EZK38+((EZK40+'NF - 5 Power Mix'!EZK14+'NF - 5 Power Mix'!EZK15)*860/10)+((('Form Sa1'!EZN835)*860)/10)+('Form Sa1'!EZN814*'Form Sa1'!EZN816/10)-'NF - 5 Power Mix'!EZK21-'NF - 5 Power Mix'!EZK22</f>
        <v>0</v>
      </c>
      <c r="EZL42" s="1046">
        <f>EZL38+((EZL40+'NF - 5 Power Mix'!EZL14+'NF - 5 Power Mix'!EZL15)*860/10)+((('Form Sa1'!EZO835)*860)/10)+('Form Sa1'!EZO814*'Form Sa1'!EZO816/10)-'NF - 5 Power Mix'!EZL21-'NF - 5 Power Mix'!EZL22</f>
        <v>0</v>
      </c>
      <c r="EZM42" s="1046">
        <f>EZM38+((EZM40+'NF - 5 Power Mix'!EZM14+'NF - 5 Power Mix'!EZM15)*860/10)+((('Form Sa1'!EZP835)*860)/10)+('Form Sa1'!EZP814*'Form Sa1'!EZP816/10)-'NF - 5 Power Mix'!EZM21-'NF - 5 Power Mix'!EZM22</f>
        <v>0</v>
      </c>
      <c r="EZN42" s="1046">
        <f>EZN38+((EZN40+'NF - 5 Power Mix'!EZN14+'NF - 5 Power Mix'!EZN15)*860/10)+((('Form Sa1'!EZQ835)*860)/10)+('Form Sa1'!EZQ814*'Form Sa1'!EZQ816/10)-'NF - 5 Power Mix'!EZN21-'NF - 5 Power Mix'!EZN22</f>
        <v>0</v>
      </c>
      <c r="EZO42" s="1046">
        <f>EZO38+((EZO40+'NF - 5 Power Mix'!EZO14+'NF - 5 Power Mix'!EZO15)*860/10)+((('Form Sa1'!EZR835)*860)/10)+('Form Sa1'!EZR814*'Form Sa1'!EZR816/10)-'NF - 5 Power Mix'!EZO21-'NF - 5 Power Mix'!EZO22</f>
        <v>0</v>
      </c>
      <c r="EZP42" s="1046">
        <f>EZP38+((EZP40+'NF - 5 Power Mix'!EZP14+'NF - 5 Power Mix'!EZP15)*860/10)+((('Form Sa1'!EZS835)*860)/10)+('Form Sa1'!EZS814*'Form Sa1'!EZS816/10)-'NF - 5 Power Mix'!EZP21-'NF - 5 Power Mix'!EZP22</f>
        <v>0</v>
      </c>
      <c r="EZQ42" s="1046">
        <f>EZQ38+((EZQ40+'NF - 5 Power Mix'!EZQ14+'NF - 5 Power Mix'!EZQ15)*860/10)+((('Form Sa1'!EZT835)*860)/10)+('Form Sa1'!EZT814*'Form Sa1'!EZT816/10)-'NF - 5 Power Mix'!EZQ21-'NF - 5 Power Mix'!EZQ22</f>
        <v>0</v>
      </c>
      <c r="EZR42" s="1046">
        <f>EZR38+((EZR40+'NF - 5 Power Mix'!EZR14+'NF - 5 Power Mix'!EZR15)*860/10)+((('Form Sa1'!EZU835)*860)/10)+('Form Sa1'!EZU814*'Form Sa1'!EZU816/10)-'NF - 5 Power Mix'!EZR21-'NF - 5 Power Mix'!EZR22</f>
        <v>0</v>
      </c>
      <c r="EZS42" s="1046">
        <f>EZS38+((EZS40+'NF - 5 Power Mix'!EZS14+'NF - 5 Power Mix'!EZS15)*860/10)+((('Form Sa1'!EZV835)*860)/10)+('Form Sa1'!EZV814*'Form Sa1'!EZV816/10)-'NF - 5 Power Mix'!EZS21-'NF - 5 Power Mix'!EZS22</f>
        <v>0</v>
      </c>
      <c r="EZT42" s="1046">
        <f>EZT38+((EZT40+'NF - 5 Power Mix'!EZT14+'NF - 5 Power Mix'!EZT15)*860/10)+((('Form Sa1'!EZW835)*860)/10)+('Form Sa1'!EZW814*'Form Sa1'!EZW816/10)-'NF - 5 Power Mix'!EZT21-'NF - 5 Power Mix'!EZT22</f>
        <v>0</v>
      </c>
      <c r="EZU42" s="1046">
        <f>EZU38+((EZU40+'NF - 5 Power Mix'!EZU14+'NF - 5 Power Mix'!EZU15)*860/10)+((('Form Sa1'!EZX835)*860)/10)+('Form Sa1'!EZX814*'Form Sa1'!EZX816/10)-'NF - 5 Power Mix'!EZU21-'NF - 5 Power Mix'!EZU22</f>
        <v>0</v>
      </c>
      <c r="EZV42" s="1046">
        <f>EZV38+((EZV40+'NF - 5 Power Mix'!EZV14+'NF - 5 Power Mix'!EZV15)*860/10)+((('Form Sa1'!EZY835)*860)/10)+('Form Sa1'!EZY814*'Form Sa1'!EZY816/10)-'NF - 5 Power Mix'!EZV21-'NF - 5 Power Mix'!EZV22</f>
        <v>0</v>
      </c>
      <c r="EZW42" s="1046">
        <f>EZW38+((EZW40+'NF - 5 Power Mix'!EZW14+'NF - 5 Power Mix'!EZW15)*860/10)+((('Form Sa1'!EZZ835)*860)/10)+('Form Sa1'!EZZ814*'Form Sa1'!EZZ816/10)-'NF - 5 Power Mix'!EZW21-'NF - 5 Power Mix'!EZW22</f>
        <v>0</v>
      </c>
      <c r="EZX42" s="1046">
        <f>EZX38+((EZX40+'NF - 5 Power Mix'!EZX14+'NF - 5 Power Mix'!EZX15)*860/10)+((('Form Sa1'!FAA835)*860)/10)+('Form Sa1'!FAA814*'Form Sa1'!FAA816/10)-'NF - 5 Power Mix'!EZX21-'NF - 5 Power Mix'!EZX22</f>
        <v>0</v>
      </c>
      <c r="EZY42" s="1046">
        <f>EZY38+((EZY40+'NF - 5 Power Mix'!EZY14+'NF - 5 Power Mix'!EZY15)*860/10)+((('Form Sa1'!FAB835)*860)/10)+('Form Sa1'!FAB814*'Form Sa1'!FAB816/10)-'NF - 5 Power Mix'!EZY21-'NF - 5 Power Mix'!EZY22</f>
        <v>0</v>
      </c>
      <c r="EZZ42" s="1046">
        <f>EZZ38+((EZZ40+'NF - 5 Power Mix'!EZZ14+'NF - 5 Power Mix'!EZZ15)*860/10)+((('Form Sa1'!FAC835)*860)/10)+('Form Sa1'!FAC814*'Form Sa1'!FAC816/10)-'NF - 5 Power Mix'!EZZ21-'NF - 5 Power Mix'!EZZ22</f>
        <v>0</v>
      </c>
      <c r="FAA42" s="1046">
        <f>FAA38+((FAA40+'NF - 5 Power Mix'!FAA14+'NF - 5 Power Mix'!FAA15)*860/10)+((('Form Sa1'!FAD835)*860)/10)+('Form Sa1'!FAD814*'Form Sa1'!FAD816/10)-'NF - 5 Power Mix'!FAA21-'NF - 5 Power Mix'!FAA22</f>
        <v>0</v>
      </c>
      <c r="FAB42" s="1046">
        <f>FAB38+((FAB40+'NF - 5 Power Mix'!FAB14+'NF - 5 Power Mix'!FAB15)*860/10)+((('Form Sa1'!FAE835)*860)/10)+('Form Sa1'!FAE814*'Form Sa1'!FAE816/10)-'NF - 5 Power Mix'!FAB21-'NF - 5 Power Mix'!FAB22</f>
        <v>0</v>
      </c>
      <c r="FAC42" s="1046">
        <f>FAC38+((FAC40+'NF - 5 Power Mix'!FAC14+'NF - 5 Power Mix'!FAC15)*860/10)+((('Form Sa1'!FAF835)*860)/10)+('Form Sa1'!FAF814*'Form Sa1'!FAF816/10)-'NF - 5 Power Mix'!FAC21-'NF - 5 Power Mix'!FAC22</f>
        <v>0</v>
      </c>
      <c r="FAD42" s="1046">
        <f>FAD38+((FAD40+'NF - 5 Power Mix'!FAD14+'NF - 5 Power Mix'!FAD15)*860/10)+((('Form Sa1'!FAG835)*860)/10)+('Form Sa1'!FAG814*'Form Sa1'!FAG816/10)-'NF - 5 Power Mix'!FAD21-'NF - 5 Power Mix'!FAD22</f>
        <v>0</v>
      </c>
      <c r="FAE42" s="1046">
        <f>FAE38+((FAE40+'NF - 5 Power Mix'!FAE14+'NF - 5 Power Mix'!FAE15)*860/10)+((('Form Sa1'!FAH835)*860)/10)+('Form Sa1'!FAH814*'Form Sa1'!FAH816/10)-'NF - 5 Power Mix'!FAE21-'NF - 5 Power Mix'!FAE22</f>
        <v>0</v>
      </c>
      <c r="FAF42" s="1046">
        <f>FAF38+((FAF40+'NF - 5 Power Mix'!FAF14+'NF - 5 Power Mix'!FAF15)*860/10)+((('Form Sa1'!FAI835)*860)/10)+('Form Sa1'!FAI814*'Form Sa1'!FAI816/10)-'NF - 5 Power Mix'!FAF21-'NF - 5 Power Mix'!FAF22</f>
        <v>0</v>
      </c>
      <c r="FAG42" s="1046">
        <f>FAG38+((FAG40+'NF - 5 Power Mix'!FAG14+'NF - 5 Power Mix'!FAG15)*860/10)+((('Form Sa1'!FAJ835)*860)/10)+('Form Sa1'!FAJ814*'Form Sa1'!FAJ816/10)-'NF - 5 Power Mix'!FAG21-'NF - 5 Power Mix'!FAG22</f>
        <v>0</v>
      </c>
      <c r="FAH42" s="1046">
        <f>FAH38+((FAH40+'NF - 5 Power Mix'!FAH14+'NF - 5 Power Mix'!FAH15)*860/10)+((('Form Sa1'!FAK835)*860)/10)+('Form Sa1'!FAK814*'Form Sa1'!FAK816/10)-'NF - 5 Power Mix'!FAH21-'NF - 5 Power Mix'!FAH22</f>
        <v>0</v>
      </c>
      <c r="FAI42" s="1046">
        <f>FAI38+((FAI40+'NF - 5 Power Mix'!FAI14+'NF - 5 Power Mix'!FAI15)*860/10)+((('Form Sa1'!FAL835)*860)/10)+('Form Sa1'!FAL814*'Form Sa1'!FAL816/10)-'NF - 5 Power Mix'!FAI21-'NF - 5 Power Mix'!FAI22</f>
        <v>0</v>
      </c>
      <c r="FAJ42" s="1046">
        <f>FAJ38+((FAJ40+'NF - 5 Power Mix'!FAJ14+'NF - 5 Power Mix'!FAJ15)*860/10)+((('Form Sa1'!FAM835)*860)/10)+('Form Sa1'!FAM814*'Form Sa1'!FAM816/10)-'NF - 5 Power Mix'!FAJ21-'NF - 5 Power Mix'!FAJ22</f>
        <v>0</v>
      </c>
      <c r="FAK42" s="1046">
        <f>FAK38+((FAK40+'NF - 5 Power Mix'!FAK14+'NF - 5 Power Mix'!FAK15)*860/10)+((('Form Sa1'!FAN835)*860)/10)+('Form Sa1'!FAN814*'Form Sa1'!FAN816/10)-'NF - 5 Power Mix'!FAK21-'NF - 5 Power Mix'!FAK22</f>
        <v>0</v>
      </c>
      <c r="FAL42" s="1046">
        <f>FAL38+((FAL40+'NF - 5 Power Mix'!FAL14+'NF - 5 Power Mix'!FAL15)*860/10)+((('Form Sa1'!FAO835)*860)/10)+('Form Sa1'!FAO814*'Form Sa1'!FAO816/10)-'NF - 5 Power Mix'!FAL21-'NF - 5 Power Mix'!FAL22</f>
        <v>0</v>
      </c>
      <c r="FAM42" s="1046">
        <f>FAM38+((FAM40+'NF - 5 Power Mix'!FAM14+'NF - 5 Power Mix'!FAM15)*860/10)+((('Form Sa1'!FAP835)*860)/10)+('Form Sa1'!FAP814*'Form Sa1'!FAP816/10)-'NF - 5 Power Mix'!FAM21-'NF - 5 Power Mix'!FAM22</f>
        <v>0</v>
      </c>
      <c r="FAN42" s="1046">
        <f>FAN38+((FAN40+'NF - 5 Power Mix'!FAN14+'NF - 5 Power Mix'!FAN15)*860/10)+((('Form Sa1'!FAQ835)*860)/10)+('Form Sa1'!FAQ814*'Form Sa1'!FAQ816/10)-'NF - 5 Power Mix'!FAN21-'NF - 5 Power Mix'!FAN22</f>
        <v>0</v>
      </c>
      <c r="FAO42" s="1046">
        <f>FAO38+((FAO40+'NF - 5 Power Mix'!FAO14+'NF - 5 Power Mix'!FAO15)*860/10)+((('Form Sa1'!FAR835)*860)/10)+('Form Sa1'!FAR814*'Form Sa1'!FAR816/10)-'NF - 5 Power Mix'!FAO21-'NF - 5 Power Mix'!FAO22</f>
        <v>0</v>
      </c>
      <c r="FAP42" s="1046">
        <f>FAP38+((FAP40+'NF - 5 Power Mix'!FAP14+'NF - 5 Power Mix'!FAP15)*860/10)+((('Form Sa1'!FAS835)*860)/10)+('Form Sa1'!FAS814*'Form Sa1'!FAS816/10)-'NF - 5 Power Mix'!FAP21-'NF - 5 Power Mix'!FAP22</f>
        <v>0</v>
      </c>
      <c r="FAQ42" s="1046">
        <f>FAQ38+((FAQ40+'NF - 5 Power Mix'!FAQ14+'NF - 5 Power Mix'!FAQ15)*860/10)+((('Form Sa1'!FAT835)*860)/10)+('Form Sa1'!FAT814*'Form Sa1'!FAT816/10)-'NF - 5 Power Mix'!FAQ21-'NF - 5 Power Mix'!FAQ22</f>
        <v>0</v>
      </c>
      <c r="FAR42" s="1046">
        <f>FAR38+((FAR40+'NF - 5 Power Mix'!FAR14+'NF - 5 Power Mix'!FAR15)*860/10)+((('Form Sa1'!FAU835)*860)/10)+('Form Sa1'!FAU814*'Form Sa1'!FAU816/10)-'NF - 5 Power Mix'!FAR21-'NF - 5 Power Mix'!FAR22</f>
        <v>0</v>
      </c>
      <c r="FAS42" s="1046">
        <f>FAS38+((FAS40+'NF - 5 Power Mix'!FAS14+'NF - 5 Power Mix'!FAS15)*860/10)+((('Form Sa1'!FAV835)*860)/10)+('Form Sa1'!FAV814*'Form Sa1'!FAV816/10)-'NF - 5 Power Mix'!FAS21-'NF - 5 Power Mix'!FAS22</f>
        <v>0</v>
      </c>
      <c r="FAT42" s="1046">
        <f>FAT38+((FAT40+'NF - 5 Power Mix'!FAT14+'NF - 5 Power Mix'!FAT15)*860/10)+((('Form Sa1'!FAW835)*860)/10)+('Form Sa1'!FAW814*'Form Sa1'!FAW816/10)-'NF - 5 Power Mix'!FAT21-'NF - 5 Power Mix'!FAT22</f>
        <v>0</v>
      </c>
      <c r="FAU42" s="1046">
        <f>FAU38+((FAU40+'NF - 5 Power Mix'!FAU14+'NF - 5 Power Mix'!FAU15)*860/10)+((('Form Sa1'!FAX835)*860)/10)+('Form Sa1'!FAX814*'Form Sa1'!FAX816/10)-'NF - 5 Power Mix'!FAU21-'NF - 5 Power Mix'!FAU22</f>
        <v>0</v>
      </c>
      <c r="FAV42" s="1046">
        <f>FAV38+((FAV40+'NF - 5 Power Mix'!FAV14+'NF - 5 Power Mix'!FAV15)*860/10)+((('Form Sa1'!FAY835)*860)/10)+('Form Sa1'!FAY814*'Form Sa1'!FAY816/10)-'NF - 5 Power Mix'!FAV21-'NF - 5 Power Mix'!FAV22</f>
        <v>0</v>
      </c>
      <c r="FAW42" s="1046">
        <f>FAW38+((FAW40+'NF - 5 Power Mix'!FAW14+'NF - 5 Power Mix'!FAW15)*860/10)+((('Form Sa1'!FAZ835)*860)/10)+('Form Sa1'!FAZ814*'Form Sa1'!FAZ816/10)-'NF - 5 Power Mix'!FAW21-'NF - 5 Power Mix'!FAW22</f>
        <v>0</v>
      </c>
      <c r="FAX42" s="1046">
        <f>FAX38+((FAX40+'NF - 5 Power Mix'!FAX14+'NF - 5 Power Mix'!FAX15)*860/10)+((('Form Sa1'!FBA835)*860)/10)+('Form Sa1'!FBA814*'Form Sa1'!FBA816/10)-'NF - 5 Power Mix'!FAX21-'NF - 5 Power Mix'!FAX22</f>
        <v>0</v>
      </c>
      <c r="FAY42" s="1046">
        <f>FAY38+((FAY40+'NF - 5 Power Mix'!FAY14+'NF - 5 Power Mix'!FAY15)*860/10)+((('Form Sa1'!FBB835)*860)/10)+('Form Sa1'!FBB814*'Form Sa1'!FBB816/10)-'NF - 5 Power Mix'!FAY21-'NF - 5 Power Mix'!FAY22</f>
        <v>0</v>
      </c>
      <c r="FAZ42" s="1046">
        <f>FAZ38+((FAZ40+'NF - 5 Power Mix'!FAZ14+'NF - 5 Power Mix'!FAZ15)*860/10)+((('Form Sa1'!FBC835)*860)/10)+('Form Sa1'!FBC814*'Form Sa1'!FBC816/10)-'NF - 5 Power Mix'!FAZ21-'NF - 5 Power Mix'!FAZ22</f>
        <v>0</v>
      </c>
      <c r="FBA42" s="1046">
        <f>FBA38+((FBA40+'NF - 5 Power Mix'!FBA14+'NF - 5 Power Mix'!FBA15)*860/10)+((('Form Sa1'!FBD835)*860)/10)+('Form Sa1'!FBD814*'Form Sa1'!FBD816/10)-'NF - 5 Power Mix'!FBA21-'NF - 5 Power Mix'!FBA22</f>
        <v>0</v>
      </c>
      <c r="FBB42" s="1046">
        <f>FBB38+((FBB40+'NF - 5 Power Mix'!FBB14+'NF - 5 Power Mix'!FBB15)*860/10)+((('Form Sa1'!FBE835)*860)/10)+('Form Sa1'!FBE814*'Form Sa1'!FBE816/10)-'NF - 5 Power Mix'!FBB21-'NF - 5 Power Mix'!FBB22</f>
        <v>0</v>
      </c>
      <c r="FBC42" s="1046">
        <f>FBC38+((FBC40+'NF - 5 Power Mix'!FBC14+'NF - 5 Power Mix'!FBC15)*860/10)+((('Form Sa1'!FBF835)*860)/10)+('Form Sa1'!FBF814*'Form Sa1'!FBF816/10)-'NF - 5 Power Mix'!FBC21-'NF - 5 Power Mix'!FBC22</f>
        <v>0</v>
      </c>
      <c r="FBD42" s="1046">
        <f>FBD38+((FBD40+'NF - 5 Power Mix'!FBD14+'NF - 5 Power Mix'!FBD15)*860/10)+((('Form Sa1'!FBG835)*860)/10)+('Form Sa1'!FBG814*'Form Sa1'!FBG816/10)-'NF - 5 Power Mix'!FBD21-'NF - 5 Power Mix'!FBD22</f>
        <v>0</v>
      </c>
      <c r="FBE42" s="1046">
        <f>FBE38+((FBE40+'NF - 5 Power Mix'!FBE14+'NF - 5 Power Mix'!FBE15)*860/10)+((('Form Sa1'!FBH835)*860)/10)+('Form Sa1'!FBH814*'Form Sa1'!FBH816/10)-'NF - 5 Power Mix'!FBE21-'NF - 5 Power Mix'!FBE22</f>
        <v>0</v>
      </c>
      <c r="FBF42" s="1046">
        <f>FBF38+((FBF40+'NF - 5 Power Mix'!FBF14+'NF - 5 Power Mix'!FBF15)*860/10)+((('Form Sa1'!FBI835)*860)/10)+('Form Sa1'!FBI814*'Form Sa1'!FBI816/10)-'NF - 5 Power Mix'!FBF21-'NF - 5 Power Mix'!FBF22</f>
        <v>0</v>
      </c>
      <c r="FBG42" s="1046">
        <f>FBG38+((FBG40+'NF - 5 Power Mix'!FBG14+'NF - 5 Power Mix'!FBG15)*860/10)+((('Form Sa1'!FBJ835)*860)/10)+('Form Sa1'!FBJ814*'Form Sa1'!FBJ816/10)-'NF - 5 Power Mix'!FBG21-'NF - 5 Power Mix'!FBG22</f>
        <v>0</v>
      </c>
      <c r="FBH42" s="1046">
        <f>FBH38+((FBH40+'NF - 5 Power Mix'!FBH14+'NF - 5 Power Mix'!FBH15)*860/10)+((('Form Sa1'!FBK835)*860)/10)+('Form Sa1'!FBK814*'Form Sa1'!FBK816/10)-'NF - 5 Power Mix'!FBH21-'NF - 5 Power Mix'!FBH22</f>
        <v>0</v>
      </c>
      <c r="FBI42" s="1046">
        <f>FBI38+((FBI40+'NF - 5 Power Mix'!FBI14+'NF - 5 Power Mix'!FBI15)*860/10)+((('Form Sa1'!FBL835)*860)/10)+('Form Sa1'!FBL814*'Form Sa1'!FBL816/10)-'NF - 5 Power Mix'!FBI21-'NF - 5 Power Mix'!FBI22</f>
        <v>0</v>
      </c>
      <c r="FBJ42" s="1046">
        <f>FBJ38+((FBJ40+'NF - 5 Power Mix'!FBJ14+'NF - 5 Power Mix'!FBJ15)*860/10)+((('Form Sa1'!FBM835)*860)/10)+('Form Sa1'!FBM814*'Form Sa1'!FBM816/10)-'NF - 5 Power Mix'!FBJ21-'NF - 5 Power Mix'!FBJ22</f>
        <v>0</v>
      </c>
      <c r="FBK42" s="1046">
        <f>FBK38+((FBK40+'NF - 5 Power Mix'!FBK14+'NF - 5 Power Mix'!FBK15)*860/10)+((('Form Sa1'!FBN835)*860)/10)+('Form Sa1'!FBN814*'Form Sa1'!FBN816/10)-'NF - 5 Power Mix'!FBK21-'NF - 5 Power Mix'!FBK22</f>
        <v>0</v>
      </c>
      <c r="FBL42" s="1046">
        <f>FBL38+((FBL40+'NF - 5 Power Mix'!FBL14+'NF - 5 Power Mix'!FBL15)*860/10)+((('Form Sa1'!FBO835)*860)/10)+('Form Sa1'!FBO814*'Form Sa1'!FBO816/10)-'NF - 5 Power Mix'!FBL21-'NF - 5 Power Mix'!FBL22</f>
        <v>0</v>
      </c>
      <c r="FBM42" s="1046">
        <f>FBM38+((FBM40+'NF - 5 Power Mix'!FBM14+'NF - 5 Power Mix'!FBM15)*860/10)+((('Form Sa1'!FBP835)*860)/10)+('Form Sa1'!FBP814*'Form Sa1'!FBP816/10)-'NF - 5 Power Mix'!FBM21-'NF - 5 Power Mix'!FBM22</f>
        <v>0</v>
      </c>
      <c r="FBN42" s="1046">
        <f>FBN38+((FBN40+'NF - 5 Power Mix'!FBN14+'NF - 5 Power Mix'!FBN15)*860/10)+((('Form Sa1'!FBQ835)*860)/10)+('Form Sa1'!FBQ814*'Form Sa1'!FBQ816/10)-'NF - 5 Power Mix'!FBN21-'NF - 5 Power Mix'!FBN22</f>
        <v>0</v>
      </c>
      <c r="FBO42" s="1046">
        <f>FBO38+((FBO40+'NF - 5 Power Mix'!FBO14+'NF - 5 Power Mix'!FBO15)*860/10)+((('Form Sa1'!FBR835)*860)/10)+('Form Sa1'!FBR814*'Form Sa1'!FBR816/10)-'NF - 5 Power Mix'!FBO21-'NF - 5 Power Mix'!FBO22</f>
        <v>0</v>
      </c>
      <c r="FBP42" s="1046">
        <f>FBP38+((FBP40+'NF - 5 Power Mix'!FBP14+'NF - 5 Power Mix'!FBP15)*860/10)+((('Form Sa1'!FBS835)*860)/10)+('Form Sa1'!FBS814*'Form Sa1'!FBS816/10)-'NF - 5 Power Mix'!FBP21-'NF - 5 Power Mix'!FBP22</f>
        <v>0</v>
      </c>
      <c r="FBQ42" s="1046">
        <f>FBQ38+((FBQ40+'NF - 5 Power Mix'!FBQ14+'NF - 5 Power Mix'!FBQ15)*860/10)+((('Form Sa1'!FBT835)*860)/10)+('Form Sa1'!FBT814*'Form Sa1'!FBT816/10)-'NF - 5 Power Mix'!FBQ21-'NF - 5 Power Mix'!FBQ22</f>
        <v>0</v>
      </c>
      <c r="FBR42" s="1046">
        <f>FBR38+((FBR40+'NF - 5 Power Mix'!FBR14+'NF - 5 Power Mix'!FBR15)*860/10)+((('Form Sa1'!FBU835)*860)/10)+('Form Sa1'!FBU814*'Form Sa1'!FBU816/10)-'NF - 5 Power Mix'!FBR21-'NF - 5 Power Mix'!FBR22</f>
        <v>0</v>
      </c>
      <c r="FBS42" s="1046">
        <f>FBS38+((FBS40+'NF - 5 Power Mix'!FBS14+'NF - 5 Power Mix'!FBS15)*860/10)+((('Form Sa1'!FBV835)*860)/10)+('Form Sa1'!FBV814*'Form Sa1'!FBV816/10)-'NF - 5 Power Mix'!FBS21-'NF - 5 Power Mix'!FBS22</f>
        <v>0</v>
      </c>
      <c r="FBT42" s="1046">
        <f>FBT38+((FBT40+'NF - 5 Power Mix'!FBT14+'NF - 5 Power Mix'!FBT15)*860/10)+((('Form Sa1'!FBW835)*860)/10)+('Form Sa1'!FBW814*'Form Sa1'!FBW816/10)-'NF - 5 Power Mix'!FBT21-'NF - 5 Power Mix'!FBT22</f>
        <v>0</v>
      </c>
      <c r="FBU42" s="1046">
        <f>FBU38+((FBU40+'NF - 5 Power Mix'!FBU14+'NF - 5 Power Mix'!FBU15)*860/10)+((('Form Sa1'!FBX835)*860)/10)+('Form Sa1'!FBX814*'Form Sa1'!FBX816/10)-'NF - 5 Power Mix'!FBU21-'NF - 5 Power Mix'!FBU22</f>
        <v>0</v>
      </c>
      <c r="FBV42" s="1046">
        <f>FBV38+((FBV40+'NF - 5 Power Mix'!FBV14+'NF - 5 Power Mix'!FBV15)*860/10)+((('Form Sa1'!FBY835)*860)/10)+('Form Sa1'!FBY814*'Form Sa1'!FBY816/10)-'NF - 5 Power Mix'!FBV21-'NF - 5 Power Mix'!FBV22</f>
        <v>0</v>
      </c>
      <c r="FBW42" s="1046">
        <f>FBW38+((FBW40+'NF - 5 Power Mix'!FBW14+'NF - 5 Power Mix'!FBW15)*860/10)+((('Form Sa1'!FBZ835)*860)/10)+('Form Sa1'!FBZ814*'Form Sa1'!FBZ816/10)-'NF - 5 Power Mix'!FBW21-'NF - 5 Power Mix'!FBW22</f>
        <v>0</v>
      </c>
      <c r="FBX42" s="1046">
        <f>FBX38+((FBX40+'NF - 5 Power Mix'!FBX14+'NF - 5 Power Mix'!FBX15)*860/10)+((('Form Sa1'!FCA835)*860)/10)+('Form Sa1'!FCA814*'Form Sa1'!FCA816/10)-'NF - 5 Power Mix'!FBX21-'NF - 5 Power Mix'!FBX22</f>
        <v>0</v>
      </c>
      <c r="FBY42" s="1046">
        <f>FBY38+((FBY40+'NF - 5 Power Mix'!FBY14+'NF - 5 Power Mix'!FBY15)*860/10)+((('Form Sa1'!FCB835)*860)/10)+('Form Sa1'!FCB814*'Form Sa1'!FCB816/10)-'NF - 5 Power Mix'!FBY21-'NF - 5 Power Mix'!FBY22</f>
        <v>0</v>
      </c>
      <c r="FBZ42" s="1046">
        <f>FBZ38+((FBZ40+'NF - 5 Power Mix'!FBZ14+'NF - 5 Power Mix'!FBZ15)*860/10)+((('Form Sa1'!FCC835)*860)/10)+('Form Sa1'!FCC814*'Form Sa1'!FCC816/10)-'NF - 5 Power Mix'!FBZ21-'NF - 5 Power Mix'!FBZ22</f>
        <v>0</v>
      </c>
      <c r="FCA42" s="1046">
        <f>FCA38+((FCA40+'NF - 5 Power Mix'!FCA14+'NF - 5 Power Mix'!FCA15)*860/10)+((('Form Sa1'!FCD835)*860)/10)+('Form Sa1'!FCD814*'Form Sa1'!FCD816/10)-'NF - 5 Power Mix'!FCA21-'NF - 5 Power Mix'!FCA22</f>
        <v>0</v>
      </c>
      <c r="FCB42" s="1046">
        <f>FCB38+((FCB40+'NF - 5 Power Mix'!FCB14+'NF - 5 Power Mix'!FCB15)*860/10)+((('Form Sa1'!FCE835)*860)/10)+('Form Sa1'!FCE814*'Form Sa1'!FCE816/10)-'NF - 5 Power Mix'!FCB21-'NF - 5 Power Mix'!FCB22</f>
        <v>0</v>
      </c>
      <c r="FCC42" s="1046">
        <f>FCC38+((FCC40+'NF - 5 Power Mix'!FCC14+'NF - 5 Power Mix'!FCC15)*860/10)+((('Form Sa1'!FCF835)*860)/10)+('Form Sa1'!FCF814*'Form Sa1'!FCF816/10)-'NF - 5 Power Mix'!FCC21-'NF - 5 Power Mix'!FCC22</f>
        <v>0</v>
      </c>
      <c r="FCD42" s="1046">
        <f>FCD38+((FCD40+'NF - 5 Power Mix'!FCD14+'NF - 5 Power Mix'!FCD15)*860/10)+((('Form Sa1'!FCG835)*860)/10)+('Form Sa1'!FCG814*'Form Sa1'!FCG816/10)-'NF - 5 Power Mix'!FCD21-'NF - 5 Power Mix'!FCD22</f>
        <v>0</v>
      </c>
      <c r="FCE42" s="1046">
        <f>FCE38+((FCE40+'NF - 5 Power Mix'!FCE14+'NF - 5 Power Mix'!FCE15)*860/10)+((('Form Sa1'!FCH835)*860)/10)+('Form Sa1'!FCH814*'Form Sa1'!FCH816/10)-'NF - 5 Power Mix'!FCE21-'NF - 5 Power Mix'!FCE22</f>
        <v>0</v>
      </c>
      <c r="FCF42" s="1046">
        <f>FCF38+((FCF40+'NF - 5 Power Mix'!FCF14+'NF - 5 Power Mix'!FCF15)*860/10)+((('Form Sa1'!FCI835)*860)/10)+('Form Sa1'!FCI814*'Form Sa1'!FCI816/10)-'NF - 5 Power Mix'!FCF21-'NF - 5 Power Mix'!FCF22</f>
        <v>0</v>
      </c>
      <c r="FCG42" s="1046">
        <f>FCG38+((FCG40+'NF - 5 Power Mix'!FCG14+'NF - 5 Power Mix'!FCG15)*860/10)+((('Form Sa1'!FCJ835)*860)/10)+('Form Sa1'!FCJ814*'Form Sa1'!FCJ816/10)-'NF - 5 Power Mix'!FCG21-'NF - 5 Power Mix'!FCG22</f>
        <v>0</v>
      </c>
      <c r="FCH42" s="1046">
        <f>FCH38+((FCH40+'NF - 5 Power Mix'!FCH14+'NF - 5 Power Mix'!FCH15)*860/10)+((('Form Sa1'!FCK835)*860)/10)+('Form Sa1'!FCK814*'Form Sa1'!FCK816/10)-'NF - 5 Power Mix'!FCH21-'NF - 5 Power Mix'!FCH22</f>
        <v>0</v>
      </c>
      <c r="FCI42" s="1046">
        <f>FCI38+((FCI40+'NF - 5 Power Mix'!FCI14+'NF - 5 Power Mix'!FCI15)*860/10)+((('Form Sa1'!FCL835)*860)/10)+('Form Sa1'!FCL814*'Form Sa1'!FCL816/10)-'NF - 5 Power Mix'!FCI21-'NF - 5 Power Mix'!FCI22</f>
        <v>0</v>
      </c>
      <c r="FCJ42" s="1046">
        <f>FCJ38+((FCJ40+'NF - 5 Power Mix'!FCJ14+'NF - 5 Power Mix'!FCJ15)*860/10)+((('Form Sa1'!FCM835)*860)/10)+('Form Sa1'!FCM814*'Form Sa1'!FCM816/10)-'NF - 5 Power Mix'!FCJ21-'NF - 5 Power Mix'!FCJ22</f>
        <v>0</v>
      </c>
      <c r="FCK42" s="1046">
        <f>FCK38+((FCK40+'NF - 5 Power Mix'!FCK14+'NF - 5 Power Mix'!FCK15)*860/10)+((('Form Sa1'!FCN835)*860)/10)+('Form Sa1'!FCN814*'Form Sa1'!FCN816/10)-'NF - 5 Power Mix'!FCK21-'NF - 5 Power Mix'!FCK22</f>
        <v>0</v>
      </c>
      <c r="FCL42" s="1046">
        <f>FCL38+((FCL40+'NF - 5 Power Mix'!FCL14+'NF - 5 Power Mix'!FCL15)*860/10)+((('Form Sa1'!FCO835)*860)/10)+('Form Sa1'!FCO814*'Form Sa1'!FCO816/10)-'NF - 5 Power Mix'!FCL21-'NF - 5 Power Mix'!FCL22</f>
        <v>0</v>
      </c>
      <c r="FCM42" s="1046">
        <f>FCM38+((FCM40+'NF - 5 Power Mix'!FCM14+'NF - 5 Power Mix'!FCM15)*860/10)+((('Form Sa1'!FCP835)*860)/10)+('Form Sa1'!FCP814*'Form Sa1'!FCP816/10)-'NF - 5 Power Mix'!FCM21-'NF - 5 Power Mix'!FCM22</f>
        <v>0</v>
      </c>
      <c r="FCN42" s="1046">
        <f>FCN38+((FCN40+'NF - 5 Power Mix'!FCN14+'NF - 5 Power Mix'!FCN15)*860/10)+((('Form Sa1'!FCQ835)*860)/10)+('Form Sa1'!FCQ814*'Form Sa1'!FCQ816/10)-'NF - 5 Power Mix'!FCN21-'NF - 5 Power Mix'!FCN22</f>
        <v>0</v>
      </c>
      <c r="FCO42" s="1046">
        <f>FCO38+((FCO40+'NF - 5 Power Mix'!FCO14+'NF - 5 Power Mix'!FCO15)*860/10)+((('Form Sa1'!FCR835)*860)/10)+('Form Sa1'!FCR814*'Form Sa1'!FCR816/10)-'NF - 5 Power Mix'!FCO21-'NF - 5 Power Mix'!FCO22</f>
        <v>0</v>
      </c>
      <c r="FCP42" s="1046">
        <f>FCP38+((FCP40+'NF - 5 Power Mix'!FCP14+'NF - 5 Power Mix'!FCP15)*860/10)+((('Form Sa1'!FCS835)*860)/10)+('Form Sa1'!FCS814*'Form Sa1'!FCS816/10)-'NF - 5 Power Mix'!FCP21-'NF - 5 Power Mix'!FCP22</f>
        <v>0</v>
      </c>
      <c r="FCQ42" s="1046">
        <f>FCQ38+((FCQ40+'NF - 5 Power Mix'!FCQ14+'NF - 5 Power Mix'!FCQ15)*860/10)+((('Form Sa1'!FCT835)*860)/10)+('Form Sa1'!FCT814*'Form Sa1'!FCT816/10)-'NF - 5 Power Mix'!FCQ21-'NF - 5 Power Mix'!FCQ22</f>
        <v>0</v>
      </c>
      <c r="FCR42" s="1046">
        <f>FCR38+((FCR40+'NF - 5 Power Mix'!FCR14+'NF - 5 Power Mix'!FCR15)*860/10)+((('Form Sa1'!FCU835)*860)/10)+('Form Sa1'!FCU814*'Form Sa1'!FCU816/10)-'NF - 5 Power Mix'!FCR21-'NF - 5 Power Mix'!FCR22</f>
        <v>0</v>
      </c>
      <c r="FCS42" s="1046">
        <f>FCS38+((FCS40+'NF - 5 Power Mix'!FCS14+'NF - 5 Power Mix'!FCS15)*860/10)+((('Form Sa1'!FCV835)*860)/10)+('Form Sa1'!FCV814*'Form Sa1'!FCV816/10)-'NF - 5 Power Mix'!FCS21-'NF - 5 Power Mix'!FCS22</f>
        <v>0</v>
      </c>
      <c r="FCT42" s="1046">
        <f>FCT38+((FCT40+'NF - 5 Power Mix'!FCT14+'NF - 5 Power Mix'!FCT15)*860/10)+((('Form Sa1'!FCW835)*860)/10)+('Form Sa1'!FCW814*'Form Sa1'!FCW816/10)-'NF - 5 Power Mix'!FCT21-'NF - 5 Power Mix'!FCT22</f>
        <v>0</v>
      </c>
      <c r="FCU42" s="1046">
        <f>FCU38+((FCU40+'NF - 5 Power Mix'!FCU14+'NF - 5 Power Mix'!FCU15)*860/10)+((('Form Sa1'!FCX835)*860)/10)+('Form Sa1'!FCX814*'Form Sa1'!FCX816/10)-'NF - 5 Power Mix'!FCU21-'NF - 5 Power Mix'!FCU22</f>
        <v>0</v>
      </c>
      <c r="FCV42" s="1046">
        <f>FCV38+((FCV40+'NF - 5 Power Mix'!FCV14+'NF - 5 Power Mix'!FCV15)*860/10)+((('Form Sa1'!FCY835)*860)/10)+('Form Sa1'!FCY814*'Form Sa1'!FCY816/10)-'NF - 5 Power Mix'!FCV21-'NF - 5 Power Mix'!FCV22</f>
        <v>0</v>
      </c>
      <c r="FCW42" s="1046">
        <f>FCW38+((FCW40+'NF - 5 Power Mix'!FCW14+'NF - 5 Power Mix'!FCW15)*860/10)+((('Form Sa1'!FCZ835)*860)/10)+('Form Sa1'!FCZ814*'Form Sa1'!FCZ816/10)-'NF - 5 Power Mix'!FCW21-'NF - 5 Power Mix'!FCW22</f>
        <v>0</v>
      </c>
      <c r="FCX42" s="1046">
        <f>FCX38+((FCX40+'NF - 5 Power Mix'!FCX14+'NF - 5 Power Mix'!FCX15)*860/10)+((('Form Sa1'!FDA835)*860)/10)+('Form Sa1'!FDA814*'Form Sa1'!FDA816/10)-'NF - 5 Power Mix'!FCX21-'NF - 5 Power Mix'!FCX22</f>
        <v>0</v>
      </c>
      <c r="FCY42" s="1046">
        <f>FCY38+((FCY40+'NF - 5 Power Mix'!FCY14+'NF - 5 Power Mix'!FCY15)*860/10)+((('Form Sa1'!FDB835)*860)/10)+('Form Sa1'!FDB814*'Form Sa1'!FDB816/10)-'NF - 5 Power Mix'!FCY21-'NF - 5 Power Mix'!FCY22</f>
        <v>0</v>
      </c>
      <c r="FCZ42" s="1046">
        <f>FCZ38+((FCZ40+'NF - 5 Power Mix'!FCZ14+'NF - 5 Power Mix'!FCZ15)*860/10)+((('Form Sa1'!FDC835)*860)/10)+('Form Sa1'!FDC814*'Form Sa1'!FDC816/10)-'NF - 5 Power Mix'!FCZ21-'NF - 5 Power Mix'!FCZ22</f>
        <v>0</v>
      </c>
      <c r="FDA42" s="1046">
        <f>FDA38+((FDA40+'NF - 5 Power Mix'!FDA14+'NF - 5 Power Mix'!FDA15)*860/10)+((('Form Sa1'!FDD835)*860)/10)+('Form Sa1'!FDD814*'Form Sa1'!FDD816/10)-'NF - 5 Power Mix'!FDA21-'NF - 5 Power Mix'!FDA22</f>
        <v>0</v>
      </c>
      <c r="FDB42" s="1046">
        <f>FDB38+((FDB40+'NF - 5 Power Mix'!FDB14+'NF - 5 Power Mix'!FDB15)*860/10)+((('Form Sa1'!FDE835)*860)/10)+('Form Sa1'!FDE814*'Form Sa1'!FDE816/10)-'NF - 5 Power Mix'!FDB21-'NF - 5 Power Mix'!FDB22</f>
        <v>0</v>
      </c>
      <c r="FDC42" s="1046">
        <f>FDC38+((FDC40+'NF - 5 Power Mix'!FDC14+'NF - 5 Power Mix'!FDC15)*860/10)+((('Form Sa1'!FDF835)*860)/10)+('Form Sa1'!FDF814*'Form Sa1'!FDF816/10)-'NF - 5 Power Mix'!FDC21-'NF - 5 Power Mix'!FDC22</f>
        <v>0</v>
      </c>
      <c r="FDD42" s="1046">
        <f>FDD38+((FDD40+'NF - 5 Power Mix'!FDD14+'NF - 5 Power Mix'!FDD15)*860/10)+((('Form Sa1'!FDG835)*860)/10)+('Form Sa1'!FDG814*'Form Sa1'!FDG816/10)-'NF - 5 Power Mix'!FDD21-'NF - 5 Power Mix'!FDD22</f>
        <v>0</v>
      </c>
      <c r="FDE42" s="1046">
        <f>FDE38+((FDE40+'NF - 5 Power Mix'!FDE14+'NF - 5 Power Mix'!FDE15)*860/10)+((('Form Sa1'!FDH835)*860)/10)+('Form Sa1'!FDH814*'Form Sa1'!FDH816/10)-'NF - 5 Power Mix'!FDE21-'NF - 5 Power Mix'!FDE22</f>
        <v>0</v>
      </c>
      <c r="FDF42" s="1046">
        <f>FDF38+((FDF40+'NF - 5 Power Mix'!FDF14+'NF - 5 Power Mix'!FDF15)*860/10)+((('Form Sa1'!FDI835)*860)/10)+('Form Sa1'!FDI814*'Form Sa1'!FDI816/10)-'NF - 5 Power Mix'!FDF21-'NF - 5 Power Mix'!FDF22</f>
        <v>0</v>
      </c>
      <c r="FDG42" s="1046">
        <f>FDG38+((FDG40+'NF - 5 Power Mix'!FDG14+'NF - 5 Power Mix'!FDG15)*860/10)+((('Form Sa1'!FDJ835)*860)/10)+('Form Sa1'!FDJ814*'Form Sa1'!FDJ816/10)-'NF - 5 Power Mix'!FDG21-'NF - 5 Power Mix'!FDG22</f>
        <v>0</v>
      </c>
      <c r="FDH42" s="1046">
        <f>FDH38+((FDH40+'NF - 5 Power Mix'!FDH14+'NF - 5 Power Mix'!FDH15)*860/10)+((('Form Sa1'!FDK835)*860)/10)+('Form Sa1'!FDK814*'Form Sa1'!FDK816/10)-'NF - 5 Power Mix'!FDH21-'NF - 5 Power Mix'!FDH22</f>
        <v>0</v>
      </c>
      <c r="FDI42" s="1046">
        <f>FDI38+((FDI40+'NF - 5 Power Mix'!FDI14+'NF - 5 Power Mix'!FDI15)*860/10)+((('Form Sa1'!FDL835)*860)/10)+('Form Sa1'!FDL814*'Form Sa1'!FDL816/10)-'NF - 5 Power Mix'!FDI21-'NF - 5 Power Mix'!FDI22</f>
        <v>0</v>
      </c>
      <c r="FDJ42" s="1046">
        <f>FDJ38+((FDJ40+'NF - 5 Power Mix'!FDJ14+'NF - 5 Power Mix'!FDJ15)*860/10)+((('Form Sa1'!FDM835)*860)/10)+('Form Sa1'!FDM814*'Form Sa1'!FDM816/10)-'NF - 5 Power Mix'!FDJ21-'NF - 5 Power Mix'!FDJ22</f>
        <v>0</v>
      </c>
      <c r="FDK42" s="1046">
        <f>FDK38+((FDK40+'NF - 5 Power Mix'!FDK14+'NF - 5 Power Mix'!FDK15)*860/10)+((('Form Sa1'!FDN835)*860)/10)+('Form Sa1'!FDN814*'Form Sa1'!FDN816/10)-'NF - 5 Power Mix'!FDK21-'NF - 5 Power Mix'!FDK22</f>
        <v>0</v>
      </c>
      <c r="FDL42" s="1046">
        <f>FDL38+((FDL40+'NF - 5 Power Mix'!FDL14+'NF - 5 Power Mix'!FDL15)*860/10)+((('Form Sa1'!FDO835)*860)/10)+('Form Sa1'!FDO814*'Form Sa1'!FDO816/10)-'NF - 5 Power Mix'!FDL21-'NF - 5 Power Mix'!FDL22</f>
        <v>0</v>
      </c>
      <c r="FDM42" s="1046">
        <f>FDM38+((FDM40+'NF - 5 Power Mix'!FDM14+'NF - 5 Power Mix'!FDM15)*860/10)+((('Form Sa1'!FDP835)*860)/10)+('Form Sa1'!FDP814*'Form Sa1'!FDP816/10)-'NF - 5 Power Mix'!FDM21-'NF - 5 Power Mix'!FDM22</f>
        <v>0</v>
      </c>
      <c r="FDN42" s="1046">
        <f>FDN38+((FDN40+'NF - 5 Power Mix'!FDN14+'NF - 5 Power Mix'!FDN15)*860/10)+((('Form Sa1'!FDQ835)*860)/10)+('Form Sa1'!FDQ814*'Form Sa1'!FDQ816/10)-'NF - 5 Power Mix'!FDN21-'NF - 5 Power Mix'!FDN22</f>
        <v>0</v>
      </c>
      <c r="FDO42" s="1046">
        <f>FDO38+((FDO40+'NF - 5 Power Mix'!FDO14+'NF - 5 Power Mix'!FDO15)*860/10)+((('Form Sa1'!FDR835)*860)/10)+('Form Sa1'!FDR814*'Form Sa1'!FDR816/10)-'NF - 5 Power Mix'!FDO21-'NF - 5 Power Mix'!FDO22</f>
        <v>0</v>
      </c>
      <c r="FDP42" s="1046">
        <f>FDP38+((FDP40+'NF - 5 Power Mix'!FDP14+'NF - 5 Power Mix'!FDP15)*860/10)+((('Form Sa1'!FDS835)*860)/10)+('Form Sa1'!FDS814*'Form Sa1'!FDS816/10)-'NF - 5 Power Mix'!FDP21-'NF - 5 Power Mix'!FDP22</f>
        <v>0</v>
      </c>
      <c r="FDQ42" s="1046">
        <f>FDQ38+((FDQ40+'NF - 5 Power Mix'!FDQ14+'NF - 5 Power Mix'!FDQ15)*860/10)+((('Form Sa1'!FDT835)*860)/10)+('Form Sa1'!FDT814*'Form Sa1'!FDT816/10)-'NF - 5 Power Mix'!FDQ21-'NF - 5 Power Mix'!FDQ22</f>
        <v>0</v>
      </c>
      <c r="FDR42" s="1046">
        <f>FDR38+((FDR40+'NF - 5 Power Mix'!FDR14+'NF - 5 Power Mix'!FDR15)*860/10)+((('Form Sa1'!FDU835)*860)/10)+('Form Sa1'!FDU814*'Form Sa1'!FDU816/10)-'NF - 5 Power Mix'!FDR21-'NF - 5 Power Mix'!FDR22</f>
        <v>0</v>
      </c>
      <c r="FDS42" s="1046">
        <f>FDS38+((FDS40+'NF - 5 Power Mix'!FDS14+'NF - 5 Power Mix'!FDS15)*860/10)+((('Form Sa1'!FDV835)*860)/10)+('Form Sa1'!FDV814*'Form Sa1'!FDV816/10)-'NF - 5 Power Mix'!FDS21-'NF - 5 Power Mix'!FDS22</f>
        <v>0</v>
      </c>
      <c r="FDT42" s="1046">
        <f>FDT38+((FDT40+'NF - 5 Power Mix'!FDT14+'NF - 5 Power Mix'!FDT15)*860/10)+((('Form Sa1'!FDW835)*860)/10)+('Form Sa1'!FDW814*'Form Sa1'!FDW816/10)-'NF - 5 Power Mix'!FDT21-'NF - 5 Power Mix'!FDT22</f>
        <v>0</v>
      </c>
      <c r="FDU42" s="1046">
        <f>FDU38+((FDU40+'NF - 5 Power Mix'!FDU14+'NF - 5 Power Mix'!FDU15)*860/10)+((('Form Sa1'!FDX835)*860)/10)+('Form Sa1'!FDX814*'Form Sa1'!FDX816/10)-'NF - 5 Power Mix'!FDU21-'NF - 5 Power Mix'!FDU22</f>
        <v>0</v>
      </c>
      <c r="FDV42" s="1046">
        <f>FDV38+((FDV40+'NF - 5 Power Mix'!FDV14+'NF - 5 Power Mix'!FDV15)*860/10)+((('Form Sa1'!FDY835)*860)/10)+('Form Sa1'!FDY814*'Form Sa1'!FDY816/10)-'NF - 5 Power Mix'!FDV21-'NF - 5 Power Mix'!FDV22</f>
        <v>0</v>
      </c>
      <c r="FDW42" s="1046">
        <f>FDW38+((FDW40+'NF - 5 Power Mix'!FDW14+'NF - 5 Power Mix'!FDW15)*860/10)+((('Form Sa1'!FDZ835)*860)/10)+('Form Sa1'!FDZ814*'Form Sa1'!FDZ816/10)-'NF - 5 Power Mix'!FDW21-'NF - 5 Power Mix'!FDW22</f>
        <v>0</v>
      </c>
      <c r="FDX42" s="1046">
        <f>FDX38+((FDX40+'NF - 5 Power Mix'!FDX14+'NF - 5 Power Mix'!FDX15)*860/10)+((('Form Sa1'!FEA835)*860)/10)+('Form Sa1'!FEA814*'Form Sa1'!FEA816/10)-'NF - 5 Power Mix'!FDX21-'NF - 5 Power Mix'!FDX22</f>
        <v>0</v>
      </c>
      <c r="FDY42" s="1046">
        <f>FDY38+((FDY40+'NF - 5 Power Mix'!FDY14+'NF - 5 Power Mix'!FDY15)*860/10)+((('Form Sa1'!FEB835)*860)/10)+('Form Sa1'!FEB814*'Form Sa1'!FEB816/10)-'NF - 5 Power Mix'!FDY21-'NF - 5 Power Mix'!FDY22</f>
        <v>0</v>
      </c>
      <c r="FDZ42" s="1046">
        <f>FDZ38+((FDZ40+'NF - 5 Power Mix'!FDZ14+'NF - 5 Power Mix'!FDZ15)*860/10)+((('Form Sa1'!FEC835)*860)/10)+('Form Sa1'!FEC814*'Form Sa1'!FEC816/10)-'NF - 5 Power Mix'!FDZ21-'NF - 5 Power Mix'!FDZ22</f>
        <v>0</v>
      </c>
      <c r="FEA42" s="1046">
        <f>FEA38+((FEA40+'NF - 5 Power Mix'!FEA14+'NF - 5 Power Mix'!FEA15)*860/10)+((('Form Sa1'!FED835)*860)/10)+('Form Sa1'!FED814*'Form Sa1'!FED816/10)-'NF - 5 Power Mix'!FEA21-'NF - 5 Power Mix'!FEA22</f>
        <v>0</v>
      </c>
      <c r="FEB42" s="1046">
        <f>FEB38+((FEB40+'NF - 5 Power Mix'!FEB14+'NF - 5 Power Mix'!FEB15)*860/10)+((('Form Sa1'!FEE835)*860)/10)+('Form Sa1'!FEE814*'Form Sa1'!FEE816/10)-'NF - 5 Power Mix'!FEB21-'NF - 5 Power Mix'!FEB22</f>
        <v>0</v>
      </c>
      <c r="FEC42" s="1046">
        <f>FEC38+((FEC40+'NF - 5 Power Mix'!FEC14+'NF - 5 Power Mix'!FEC15)*860/10)+((('Form Sa1'!FEF835)*860)/10)+('Form Sa1'!FEF814*'Form Sa1'!FEF816/10)-'NF - 5 Power Mix'!FEC21-'NF - 5 Power Mix'!FEC22</f>
        <v>0</v>
      </c>
      <c r="FED42" s="1046">
        <f>FED38+((FED40+'NF - 5 Power Mix'!FED14+'NF - 5 Power Mix'!FED15)*860/10)+((('Form Sa1'!FEG835)*860)/10)+('Form Sa1'!FEG814*'Form Sa1'!FEG816/10)-'NF - 5 Power Mix'!FED21-'NF - 5 Power Mix'!FED22</f>
        <v>0</v>
      </c>
      <c r="FEE42" s="1046">
        <f>FEE38+((FEE40+'NF - 5 Power Mix'!FEE14+'NF - 5 Power Mix'!FEE15)*860/10)+((('Form Sa1'!FEH835)*860)/10)+('Form Sa1'!FEH814*'Form Sa1'!FEH816/10)-'NF - 5 Power Mix'!FEE21-'NF - 5 Power Mix'!FEE22</f>
        <v>0</v>
      </c>
      <c r="FEF42" s="1046">
        <f>FEF38+((FEF40+'NF - 5 Power Mix'!FEF14+'NF - 5 Power Mix'!FEF15)*860/10)+((('Form Sa1'!FEI835)*860)/10)+('Form Sa1'!FEI814*'Form Sa1'!FEI816/10)-'NF - 5 Power Mix'!FEF21-'NF - 5 Power Mix'!FEF22</f>
        <v>0</v>
      </c>
      <c r="FEG42" s="1046">
        <f>FEG38+((FEG40+'NF - 5 Power Mix'!FEG14+'NF - 5 Power Mix'!FEG15)*860/10)+((('Form Sa1'!FEJ835)*860)/10)+('Form Sa1'!FEJ814*'Form Sa1'!FEJ816/10)-'NF - 5 Power Mix'!FEG21-'NF - 5 Power Mix'!FEG22</f>
        <v>0</v>
      </c>
      <c r="FEH42" s="1046">
        <f>FEH38+((FEH40+'NF - 5 Power Mix'!FEH14+'NF - 5 Power Mix'!FEH15)*860/10)+((('Form Sa1'!FEK835)*860)/10)+('Form Sa1'!FEK814*'Form Sa1'!FEK816/10)-'NF - 5 Power Mix'!FEH21-'NF - 5 Power Mix'!FEH22</f>
        <v>0</v>
      </c>
      <c r="FEI42" s="1046">
        <f>FEI38+((FEI40+'NF - 5 Power Mix'!FEI14+'NF - 5 Power Mix'!FEI15)*860/10)+((('Form Sa1'!FEL835)*860)/10)+('Form Sa1'!FEL814*'Form Sa1'!FEL816/10)-'NF - 5 Power Mix'!FEI21-'NF - 5 Power Mix'!FEI22</f>
        <v>0</v>
      </c>
      <c r="FEJ42" s="1046">
        <f>FEJ38+((FEJ40+'NF - 5 Power Mix'!FEJ14+'NF - 5 Power Mix'!FEJ15)*860/10)+((('Form Sa1'!FEM835)*860)/10)+('Form Sa1'!FEM814*'Form Sa1'!FEM816/10)-'NF - 5 Power Mix'!FEJ21-'NF - 5 Power Mix'!FEJ22</f>
        <v>0</v>
      </c>
      <c r="FEK42" s="1046">
        <f>FEK38+((FEK40+'NF - 5 Power Mix'!FEK14+'NF - 5 Power Mix'!FEK15)*860/10)+((('Form Sa1'!FEN835)*860)/10)+('Form Sa1'!FEN814*'Form Sa1'!FEN816/10)-'NF - 5 Power Mix'!FEK21-'NF - 5 Power Mix'!FEK22</f>
        <v>0</v>
      </c>
      <c r="FEL42" s="1046">
        <f>FEL38+((FEL40+'NF - 5 Power Mix'!FEL14+'NF - 5 Power Mix'!FEL15)*860/10)+((('Form Sa1'!FEO835)*860)/10)+('Form Sa1'!FEO814*'Form Sa1'!FEO816/10)-'NF - 5 Power Mix'!FEL21-'NF - 5 Power Mix'!FEL22</f>
        <v>0</v>
      </c>
      <c r="FEM42" s="1046">
        <f>FEM38+((FEM40+'NF - 5 Power Mix'!FEM14+'NF - 5 Power Mix'!FEM15)*860/10)+((('Form Sa1'!FEP835)*860)/10)+('Form Sa1'!FEP814*'Form Sa1'!FEP816/10)-'NF - 5 Power Mix'!FEM21-'NF - 5 Power Mix'!FEM22</f>
        <v>0</v>
      </c>
      <c r="FEN42" s="1046">
        <f>FEN38+((FEN40+'NF - 5 Power Mix'!FEN14+'NF - 5 Power Mix'!FEN15)*860/10)+((('Form Sa1'!FEQ835)*860)/10)+('Form Sa1'!FEQ814*'Form Sa1'!FEQ816/10)-'NF - 5 Power Mix'!FEN21-'NF - 5 Power Mix'!FEN22</f>
        <v>0</v>
      </c>
      <c r="FEO42" s="1046">
        <f>FEO38+((FEO40+'NF - 5 Power Mix'!FEO14+'NF - 5 Power Mix'!FEO15)*860/10)+((('Form Sa1'!FER835)*860)/10)+('Form Sa1'!FER814*'Form Sa1'!FER816/10)-'NF - 5 Power Mix'!FEO21-'NF - 5 Power Mix'!FEO22</f>
        <v>0</v>
      </c>
      <c r="FEP42" s="1046">
        <f>FEP38+((FEP40+'NF - 5 Power Mix'!FEP14+'NF - 5 Power Mix'!FEP15)*860/10)+((('Form Sa1'!FES835)*860)/10)+('Form Sa1'!FES814*'Form Sa1'!FES816/10)-'NF - 5 Power Mix'!FEP21-'NF - 5 Power Mix'!FEP22</f>
        <v>0</v>
      </c>
      <c r="FEQ42" s="1046">
        <f>FEQ38+((FEQ40+'NF - 5 Power Mix'!FEQ14+'NF - 5 Power Mix'!FEQ15)*860/10)+((('Form Sa1'!FET835)*860)/10)+('Form Sa1'!FET814*'Form Sa1'!FET816/10)-'NF - 5 Power Mix'!FEQ21-'NF - 5 Power Mix'!FEQ22</f>
        <v>0</v>
      </c>
      <c r="FER42" s="1046">
        <f>FER38+((FER40+'NF - 5 Power Mix'!FER14+'NF - 5 Power Mix'!FER15)*860/10)+((('Form Sa1'!FEU835)*860)/10)+('Form Sa1'!FEU814*'Form Sa1'!FEU816/10)-'NF - 5 Power Mix'!FER21-'NF - 5 Power Mix'!FER22</f>
        <v>0</v>
      </c>
      <c r="FES42" s="1046">
        <f>FES38+((FES40+'NF - 5 Power Mix'!FES14+'NF - 5 Power Mix'!FES15)*860/10)+((('Form Sa1'!FEV835)*860)/10)+('Form Sa1'!FEV814*'Form Sa1'!FEV816/10)-'NF - 5 Power Mix'!FES21-'NF - 5 Power Mix'!FES22</f>
        <v>0</v>
      </c>
      <c r="FET42" s="1046">
        <f>FET38+((FET40+'NF - 5 Power Mix'!FET14+'NF - 5 Power Mix'!FET15)*860/10)+((('Form Sa1'!FEW835)*860)/10)+('Form Sa1'!FEW814*'Form Sa1'!FEW816/10)-'NF - 5 Power Mix'!FET21-'NF - 5 Power Mix'!FET22</f>
        <v>0</v>
      </c>
      <c r="FEU42" s="1046">
        <f>FEU38+((FEU40+'NF - 5 Power Mix'!FEU14+'NF - 5 Power Mix'!FEU15)*860/10)+((('Form Sa1'!FEX835)*860)/10)+('Form Sa1'!FEX814*'Form Sa1'!FEX816/10)-'NF - 5 Power Mix'!FEU21-'NF - 5 Power Mix'!FEU22</f>
        <v>0</v>
      </c>
      <c r="FEV42" s="1046">
        <f>FEV38+((FEV40+'NF - 5 Power Mix'!FEV14+'NF - 5 Power Mix'!FEV15)*860/10)+((('Form Sa1'!FEY835)*860)/10)+('Form Sa1'!FEY814*'Form Sa1'!FEY816/10)-'NF - 5 Power Mix'!FEV21-'NF - 5 Power Mix'!FEV22</f>
        <v>0</v>
      </c>
      <c r="FEW42" s="1046">
        <f>FEW38+((FEW40+'NF - 5 Power Mix'!FEW14+'NF - 5 Power Mix'!FEW15)*860/10)+((('Form Sa1'!FEZ835)*860)/10)+('Form Sa1'!FEZ814*'Form Sa1'!FEZ816/10)-'NF - 5 Power Mix'!FEW21-'NF - 5 Power Mix'!FEW22</f>
        <v>0</v>
      </c>
      <c r="FEX42" s="1046">
        <f>FEX38+((FEX40+'NF - 5 Power Mix'!FEX14+'NF - 5 Power Mix'!FEX15)*860/10)+((('Form Sa1'!FFA835)*860)/10)+('Form Sa1'!FFA814*'Form Sa1'!FFA816/10)-'NF - 5 Power Mix'!FEX21-'NF - 5 Power Mix'!FEX22</f>
        <v>0</v>
      </c>
      <c r="FEY42" s="1046">
        <f>FEY38+((FEY40+'NF - 5 Power Mix'!FEY14+'NF - 5 Power Mix'!FEY15)*860/10)+((('Form Sa1'!FFB835)*860)/10)+('Form Sa1'!FFB814*'Form Sa1'!FFB816/10)-'NF - 5 Power Mix'!FEY21-'NF - 5 Power Mix'!FEY22</f>
        <v>0</v>
      </c>
      <c r="FEZ42" s="1046">
        <f>FEZ38+((FEZ40+'NF - 5 Power Mix'!FEZ14+'NF - 5 Power Mix'!FEZ15)*860/10)+((('Form Sa1'!FFC835)*860)/10)+('Form Sa1'!FFC814*'Form Sa1'!FFC816/10)-'NF - 5 Power Mix'!FEZ21-'NF - 5 Power Mix'!FEZ22</f>
        <v>0</v>
      </c>
      <c r="FFA42" s="1046">
        <f>FFA38+((FFA40+'NF - 5 Power Mix'!FFA14+'NF - 5 Power Mix'!FFA15)*860/10)+((('Form Sa1'!FFD835)*860)/10)+('Form Sa1'!FFD814*'Form Sa1'!FFD816/10)-'NF - 5 Power Mix'!FFA21-'NF - 5 Power Mix'!FFA22</f>
        <v>0</v>
      </c>
      <c r="FFB42" s="1046">
        <f>FFB38+((FFB40+'NF - 5 Power Mix'!FFB14+'NF - 5 Power Mix'!FFB15)*860/10)+((('Form Sa1'!FFE835)*860)/10)+('Form Sa1'!FFE814*'Form Sa1'!FFE816/10)-'NF - 5 Power Mix'!FFB21-'NF - 5 Power Mix'!FFB22</f>
        <v>0</v>
      </c>
      <c r="FFC42" s="1046">
        <f>FFC38+((FFC40+'NF - 5 Power Mix'!FFC14+'NF - 5 Power Mix'!FFC15)*860/10)+((('Form Sa1'!FFF835)*860)/10)+('Form Sa1'!FFF814*'Form Sa1'!FFF816/10)-'NF - 5 Power Mix'!FFC21-'NF - 5 Power Mix'!FFC22</f>
        <v>0</v>
      </c>
      <c r="FFD42" s="1046">
        <f>FFD38+((FFD40+'NF - 5 Power Mix'!FFD14+'NF - 5 Power Mix'!FFD15)*860/10)+((('Form Sa1'!FFG835)*860)/10)+('Form Sa1'!FFG814*'Form Sa1'!FFG816/10)-'NF - 5 Power Mix'!FFD21-'NF - 5 Power Mix'!FFD22</f>
        <v>0</v>
      </c>
      <c r="FFE42" s="1046">
        <f>FFE38+((FFE40+'NF - 5 Power Mix'!FFE14+'NF - 5 Power Mix'!FFE15)*860/10)+((('Form Sa1'!FFH835)*860)/10)+('Form Sa1'!FFH814*'Form Sa1'!FFH816/10)-'NF - 5 Power Mix'!FFE21-'NF - 5 Power Mix'!FFE22</f>
        <v>0</v>
      </c>
      <c r="FFF42" s="1046">
        <f>FFF38+((FFF40+'NF - 5 Power Mix'!FFF14+'NF - 5 Power Mix'!FFF15)*860/10)+((('Form Sa1'!FFI835)*860)/10)+('Form Sa1'!FFI814*'Form Sa1'!FFI816/10)-'NF - 5 Power Mix'!FFF21-'NF - 5 Power Mix'!FFF22</f>
        <v>0</v>
      </c>
      <c r="FFG42" s="1046">
        <f>FFG38+((FFG40+'NF - 5 Power Mix'!FFG14+'NF - 5 Power Mix'!FFG15)*860/10)+((('Form Sa1'!FFJ835)*860)/10)+('Form Sa1'!FFJ814*'Form Sa1'!FFJ816/10)-'NF - 5 Power Mix'!FFG21-'NF - 5 Power Mix'!FFG22</f>
        <v>0</v>
      </c>
      <c r="FFH42" s="1046">
        <f>FFH38+((FFH40+'NF - 5 Power Mix'!FFH14+'NF - 5 Power Mix'!FFH15)*860/10)+((('Form Sa1'!FFK835)*860)/10)+('Form Sa1'!FFK814*'Form Sa1'!FFK816/10)-'NF - 5 Power Mix'!FFH21-'NF - 5 Power Mix'!FFH22</f>
        <v>0</v>
      </c>
      <c r="FFI42" s="1046">
        <f>FFI38+((FFI40+'NF - 5 Power Mix'!FFI14+'NF - 5 Power Mix'!FFI15)*860/10)+((('Form Sa1'!FFL835)*860)/10)+('Form Sa1'!FFL814*'Form Sa1'!FFL816/10)-'NF - 5 Power Mix'!FFI21-'NF - 5 Power Mix'!FFI22</f>
        <v>0</v>
      </c>
      <c r="FFJ42" s="1046">
        <f>FFJ38+((FFJ40+'NF - 5 Power Mix'!FFJ14+'NF - 5 Power Mix'!FFJ15)*860/10)+((('Form Sa1'!FFM835)*860)/10)+('Form Sa1'!FFM814*'Form Sa1'!FFM816/10)-'NF - 5 Power Mix'!FFJ21-'NF - 5 Power Mix'!FFJ22</f>
        <v>0</v>
      </c>
      <c r="FFK42" s="1046">
        <f>FFK38+((FFK40+'NF - 5 Power Mix'!FFK14+'NF - 5 Power Mix'!FFK15)*860/10)+((('Form Sa1'!FFN835)*860)/10)+('Form Sa1'!FFN814*'Form Sa1'!FFN816/10)-'NF - 5 Power Mix'!FFK21-'NF - 5 Power Mix'!FFK22</f>
        <v>0</v>
      </c>
      <c r="FFL42" s="1046">
        <f>FFL38+((FFL40+'NF - 5 Power Mix'!FFL14+'NF - 5 Power Mix'!FFL15)*860/10)+((('Form Sa1'!FFO835)*860)/10)+('Form Sa1'!FFO814*'Form Sa1'!FFO816/10)-'NF - 5 Power Mix'!FFL21-'NF - 5 Power Mix'!FFL22</f>
        <v>0</v>
      </c>
      <c r="FFM42" s="1046">
        <f>FFM38+((FFM40+'NF - 5 Power Mix'!FFM14+'NF - 5 Power Mix'!FFM15)*860/10)+((('Form Sa1'!FFP835)*860)/10)+('Form Sa1'!FFP814*'Form Sa1'!FFP816/10)-'NF - 5 Power Mix'!FFM21-'NF - 5 Power Mix'!FFM22</f>
        <v>0</v>
      </c>
      <c r="FFN42" s="1046">
        <f>FFN38+((FFN40+'NF - 5 Power Mix'!FFN14+'NF - 5 Power Mix'!FFN15)*860/10)+((('Form Sa1'!FFQ835)*860)/10)+('Form Sa1'!FFQ814*'Form Sa1'!FFQ816/10)-'NF - 5 Power Mix'!FFN21-'NF - 5 Power Mix'!FFN22</f>
        <v>0</v>
      </c>
      <c r="FFO42" s="1046">
        <f>FFO38+((FFO40+'NF - 5 Power Mix'!FFO14+'NF - 5 Power Mix'!FFO15)*860/10)+((('Form Sa1'!FFR835)*860)/10)+('Form Sa1'!FFR814*'Form Sa1'!FFR816/10)-'NF - 5 Power Mix'!FFO21-'NF - 5 Power Mix'!FFO22</f>
        <v>0</v>
      </c>
      <c r="FFP42" s="1046">
        <f>FFP38+((FFP40+'NF - 5 Power Mix'!FFP14+'NF - 5 Power Mix'!FFP15)*860/10)+((('Form Sa1'!FFS835)*860)/10)+('Form Sa1'!FFS814*'Form Sa1'!FFS816/10)-'NF - 5 Power Mix'!FFP21-'NF - 5 Power Mix'!FFP22</f>
        <v>0</v>
      </c>
      <c r="FFQ42" s="1046">
        <f>FFQ38+((FFQ40+'NF - 5 Power Mix'!FFQ14+'NF - 5 Power Mix'!FFQ15)*860/10)+((('Form Sa1'!FFT835)*860)/10)+('Form Sa1'!FFT814*'Form Sa1'!FFT816/10)-'NF - 5 Power Mix'!FFQ21-'NF - 5 Power Mix'!FFQ22</f>
        <v>0</v>
      </c>
      <c r="FFR42" s="1046">
        <f>FFR38+((FFR40+'NF - 5 Power Mix'!FFR14+'NF - 5 Power Mix'!FFR15)*860/10)+((('Form Sa1'!FFU835)*860)/10)+('Form Sa1'!FFU814*'Form Sa1'!FFU816/10)-'NF - 5 Power Mix'!FFR21-'NF - 5 Power Mix'!FFR22</f>
        <v>0</v>
      </c>
      <c r="FFS42" s="1046">
        <f>FFS38+((FFS40+'NF - 5 Power Mix'!FFS14+'NF - 5 Power Mix'!FFS15)*860/10)+((('Form Sa1'!FFV835)*860)/10)+('Form Sa1'!FFV814*'Form Sa1'!FFV816/10)-'NF - 5 Power Mix'!FFS21-'NF - 5 Power Mix'!FFS22</f>
        <v>0</v>
      </c>
      <c r="FFT42" s="1046">
        <f>FFT38+((FFT40+'NF - 5 Power Mix'!FFT14+'NF - 5 Power Mix'!FFT15)*860/10)+((('Form Sa1'!FFW835)*860)/10)+('Form Sa1'!FFW814*'Form Sa1'!FFW816/10)-'NF - 5 Power Mix'!FFT21-'NF - 5 Power Mix'!FFT22</f>
        <v>0</v>
      </c>
      <c r="FFU42" s="1046">
        <f>FFU38+((FFU40+'NF - 5 Power Mix'!FFU14+'NF - 5 Power Mix'!FFU15)*860/10)+((('Form Sa1'!FFX835)*860)/10)+('Form Sa1'!FFX814*'Form Sa1'!FFX816/10)-'NF - 5 Power Mix'!FFU21-'NF - 5 Power Mix'!FFU22</f>
        <v>0</v>
      </c>
      <c r="FFV42" s="1046">
        <f>FFV38+((FFV40+'NF - 5 Power Mix'!FFV14+'NF - 5 Power Mix'!FFV15)*860/10)+((('Form Sa1'!FFY835)*860)/10)+('Form Sa1'!FFY814*'Form Sa1'!FFY816/10)-'NF - 5 Power Mix'!FFV21-'NF - 5 Power Mix'!FFV22</f>
        <v>0</v>
      </c>
      <c r="FFW42" s="1046">
        <f>FFW38+((FFW40+'NF - 5 Power Mix'!FFW14+'NF - 5 Power Mix'!FFW15)*860/10)+((('Form Sa1'!FFZ835)*860)/10)+('Form Sa1'!FFZ814*'Form Sa1'!FFZ816/10)-'NF - 5 Power Mix'!FFW21-'NF - 5 Power Mix'!FFW22</f>
        <v>0</v>
      </c>
      <c r="FFX42" s="1046">
        <f>FFX38+((FFX40+'NF - 5 Power Mix'!FFX14+'NF - 5 Power Mix'!FFX15)*860/10)+((('Form Sa1'!FGA835)*860)/10)+('Form Sa1'!FGA814*'Form Sa1'!FGA816/10)-'NF - 5 Power Mix'!FFX21-'NF - 5 Power Mix'!FFX22</f>
        <v>0</v>
      </c>
      <c r="FFY42" s="1046">
        <f>FFY38+((FFY40+'NF - 5 Power Mix'!FFY14+'NF - 5 Power Mix'!FFY15)*860/10)+((('Form Sa1'!FGB835)*860)/10)+('Form Sa1'!FGB814*'Form Sa1'!FGB816/10)-'NF - 5 Power Mix'!FFY21-'NF - 5 Power Mix'!FFY22</f>
        <v>0</v>
      </c>
      <c r="FFZ42" s="1046">
        <f>FFZ38+((FFZ40+'NF - 5 Power Mix'!FFZ14+'NF - 5 Power Mix'!FFZ15)*860/10)+((('Form Sa1'!FGC835)*860)/10)+('Form Sa1'!FGC814*'Form Sa1'!FGC816/10)-'NF - 5 Power Mix'!FFZ21-'NF - 5 Power Mix'!FFZ22</f>
        <v>0</v>
      </c>
      <c r="FGA42" s="1046">
        <f>FGA38+((FGA40+'NF - 5 Power Mix'!FGA14+'NF - 5 Power Mix'!FGA15)*860/10)+((('Form Sa1'!FGD835)*860)/10)+('Form Sa1'!FGD814*'Form Sa1'!FGD816/10)-'NF - 5 Power Mix'!FGA21-'NF - 5 Power Mix'!FGA22</f>
        <v>0</v>
      </c>
      <c r="FGB42" s="1046">
        <f>FGB38+((FGB40+'NF - 5 Power Mix'!FGB14+'NF - 5 Power Mix'!FGB15)*860/10)+((('Form Sa1'!FGE835)*860)/10)+('Form Sa1'!FGE814*'Form Sa1'!FGE816/10)-'NF - 5 Power Mix'!FGB21-'NF - 5 Power Mix'!FGB22</f>
        <v>0</v>
      </c>
      <c r="FGC42" s="1046">
        <f>FGC38+((FGC40+'NF - 5 Power Mix'!FGC14+'NF - 5 Power Mix'!FGC15)*860/10)+((('Form Sa1'!FGF835)*860)/10)+('Form Sa1'!FGF814*'Form Sa1'!FGF816/10)-'NF - 5 Power Mix'!FGC21-'NF - 5 Power Mix'!FGC22</f>
        <v>0</v>
      </c>
      <c r="FGD42" s="1046">
        <f>FGD38+((FGD40+'NF - 5 Power Mix'!FGD14+'NF - 5 Power Mix'!FGD15)*860/10)+((('Form Sa1'!FGG835)*860)/10)+('Form Sa1'!FGG814*'Form Sa1'!FGG816/10)-'NF - 5 Power Mix'!FGD21-'NF - 5 Power Mix'!FGD22</f>
        <v>0</v>
      </c>
      <c r="FGE42" s="1046">
        <f>FGE38+((FGE40+'NF - 5 Power Mix'!FGE14+'NF - 5 Power Mix'!FGE15)*860/10)+((('Form Sa1'!FGH835)*860)/10)+('Form Sa1'!FGH814*'Form Sa1'!FGH816/10)-'NF - 5 Power Mix'!FGE21-'NF - 5 Power Mix'!FGE22</f>
        <v>0</v>
      </c>
      <c r="FGF42" s="1046">
        <f>FGF38+((FGF40+'NF - 5 Power Mix'!FGF14+'NF - 5 Power Mix'!FGF15)*860/10)+((('Form Sa1'!FGI835)*860)/10)+('Form Sa1'!FGI814*'Form Sa1'!FGI816/10)-'NF - 5 Power Mix'!FGF21-'NF - 5 Power Mix'!FGF22</f>
        <v>0</v>
      </c>
      <c r="FGG42" s="1046">
        <f>FGG38+((FGG40+'NF - 5 Power Mix'!FGG14+'NF - 5 Power Mix'!FGG15)*860/10)+((('Form Sa1'!FGJ835)*860)/10)+('Form Sa1'!FGJ814*'Form Sa1'!FGJ816/10)-'NF - 5 Power Mix'!FGG21-'NF - 5 Power Mix'!FGG22</f>
        <v>0</v>
      </c>
      <c r="FGH42" s="1046">
        <f>FGH38+((FGH40+'NF - 5 Power Mix'!FGH14+'NF - 5 Power Mix'!FGH15)*860/10)+((('Form Sa1'!FGK835)*860)/10)+('Form Sa1'!FGK814*'Form Sa1'!FGK816/10)-'NF - 5 Power Mix'!FGH21-'NF - 5 Power Mix'!FGH22</f>
        <v>0</v>
      </c>
      <c r="FGI42" s="1046">
        <f>FGI38+((FGI40+'NF - 5 Power Mix'!FGI14+'NF - 5 Power Mix'!FGI15)*860/10)+((('Form Sa1'!FGL835)*860)/10)+('Form Sa1'!FGL814*'Form Sa1'!FGL816/10)-'NF - 5 Power Mix'!FGI21-'NF - 5 Power Mix'!FGI22</f>
        <v>0</v>
      </c>
      <c r="FGJ42" s="1046">
        <f>FGJ38+((FGJ40+'NF - 5 Power Mix'!FGJ14+'NF - 5 Power Mix'!FGJ15)*860/10)+((('Form Sa1'!FGM835)*860)/10)+('Form Sa1'!FGM814*'Form Sa1'!FGM816/10)-'NF - 5 Power Mix'!FGJ21-'NF - 5 Power Mix'!FGJ22</f>
        <v>0</v>
      </c>
      <c r="FGK42" s="1046">
        <f>FGK38+((FGK40+'NF - 5 Power Mix'!FGK14+'NF - 5 Power Mix'!FGK15)*860/10)+((('Form Sa1'!FGN835)*860)/10)+('Form Sa1'!FGN814*'Form Sa1'!FGN816/10)-'NF - 5 Power Mix'!FGK21-'NF - 5 Power Mix'!FGK22</f>
        <v>0</v>
      </c>
      <c r="FGL42" s="1046">
        <f>FGL38+((FGL40+'NF - 5 Power Mix'!FGL14+'NF - 5 Power Mix'!FGL15)*860/10)+((('Form Sa1'!FGO835)*860)/10)+('Form Sa1'!FGO814*'Form Sa1'!FGO816/10)-'NF - 5 Power Mix'!FGL21-'NF - 5 Power Mix'!FGL22</f>
        <v>0</v>
      </c>
      <c r="FGM42" s="1046">
        <f>FGM38+((FGM40+'NF - 5 Power Mix'!FGM14+'NF - 5 Power Mix'!FGM15)*860/10)+((('Form Sa1'!FGP835)*860)/10)+('Form Sa1'!FGP814*'Form Sa1'!FGP816/10)-'NF - 5 Power Mix'!FGM21-'NF - 5 Power Mix'!FGM22</f>
        <v>0</v>
      </c>
      <c r="FGN42" s="1046">
        <f>FGN38+((FGN40+'NF - 5 Power Mix'!FGN14+'NF - 5 Power Mix'!FGN15)*860/10)+((('Form Sa1'!FGQ835)*860)/10)+('Form Sa1'!FGQ814*'Form Sa1'!FGQ816/10)-'NF - 5 Power Mix'!FGN21-'NF - 5 Power Mix'!FGN22</f>
        <v>0</v>
      </c>
      <c r="FGO42" s="1046">
        <f>FGO38+((FGO40+'NF - 5 Power Mix'!FGO14+'NF - 5 Power Mix'!FGO15)*860/10)+((('Form Sa1'!FGR835)*860)/10)+('Form Sa1'!FGR814*'Form Sa1'!FGR816/10)-'NF - 5 Power Mix'!FGO21-'NF - 5 Power Mix'!FGO22</f>
        <v>0</v>
      </c>
      <c r="FGP42" s="1046">
        <f>FGP38+((FGP40+'NF - 5 Power Mix'!FGP14+'NF - 5 Power Mix'!FGP15)*860/10)+((('Form Sa1'!FGS835)*860)/10)+('Form Sa1'!FGS814*'Form Sa1'!FGS816/10)-'NF - 5 Power Mix'!FGP21-'NF - 5 Power Mix'!FGP22</f>
        <v>0</v>
      </c>
      <c r="FGQ42" s="1046">
        <f>FGQ38+((FGQ40+'NF - 5 Power Mix'!FGQ14+'NF - 5 Power Mix'!FGQ15)*860/10)+((('Form Sa1'!FGT835)*860)/10)+('Form Sa1'!FGT814*'Form Sa1'!FGT816/10)-'NF - 5 Power Mix'!FGQ21-'NF - 5 Power Mix'!FGQ22</f>
        <v>0</v>
      </c>
      <c r="FGR42" s="1046">
        <f>FGR38+((FGR40+'NF - 5 Power Mix'!FGR14+'NF - 5 Power Mix'!FGR15)*860/10)+((('Form Sa1'!FGU835)*860)/10)+('Form Sa1'!FGU814*'Form Sa1'!FGU816/10)-'NF - 5 Power Mix'!FGR21-'NF - 5 Power Mix'!FGR22</f>
        <v>0</v>
      </c>
      <c r="FGS42" s="1046">
        <f>FGS38+((FGS40+'NF - 5 Power Mix'!FGS14+'NF - 5 Power Mix'!FGS15)*860/10)+((('Form Sa1'!FGV835)*860)/10)+('Form Sa1'!FGV814*'Form Sa1'!FGV816/10)-'NF - 5 Power Mix'!FGS21-'NF - 5 Power Mix'!FGS22</f>
        <v>0</v>
      </c>
      <c r="FGT42" s="1046">
        <f>FGT38+((FGT40+'NF - 5 Power Mix'!FGT14+'NF - 5 Power Mix'!FGT15)*860/10)+((('Form Sa1'!FGW835)*860)/10)+('Form Sa1'!FGW814*'Form Sa1'!FGW816/10)-'NF - 5 Power Mix'!FGT21-'NF - 5 Power Mix'!FGT22</f>
        <v>0</v>
      </c>
      <c r="FGU42" s="1046">
        <f>FGU38+((FGU40+'NF - 5 Power Mix'!FGU14+'NF - 5 Power Mix'!FGU15)*860/10)+((('Form Sa1'!FGX835)*860)/10)+('Form Sa1'!FGX814*'Form Sa1'!FGX816/10)-'NF - 5 Power Mix'!FGU21-'NF - 5 Power Mix'!FGU22</f>
        <v>0</v>
      </c>
      <c r="FGV42" s="1046">
        <f>FGV38+((FGV40+'NF - 5 Power Mix'!FGV14+'NF - 5 Power Mix'!FGV15)*860/10)+((('Form Sa1'!FGY835)*860)/10)+('Form Sa1'!FGY814*'Form Sa1'!FGY816/10)-'NF - 5 Power Mix'!FGV21-'NF - 5 Power Mix'!FGV22</f>
        <v>0</v>
      </c>
      <c r="FGW42" s="1046">
        <f>FGW38+((FGW40+'NF - 5 Power Mix'!FGW14+'NF - 5 Power Mix'!FGW15)*860/10)+((('Form Sa1'!FGZ835)*860)/10)+('Form Sa1'!FGZ814*'Form Sa1'!FGZ816/10)-'NF - 5 Power Mix'!FGW21-'NF - 5 Power Mix'!FGW22</f>
        <v>0</v>
      </c>
      <c r="FGX42" s="1046">
        <f>FGX38+((FGX40+'NF - 5 Power Mix'!FGX14+'NF - 5 Power Mix'!FGX15)*860/10)+((('Form Sa1'!FHA835)*860)/10)+('Form Sa1'!FHA814*'Form Sa1'!FHA816/10)-'NF - 5 Power Mix'!FGX21-'NF - 5 Power Mix'!FGX22</f>
        <v>0</v>
      </c>
      <c r="FGY42" s="1046">
        <f>FGY38+((FGY40+'NF - 5 Power Mix'!FGY14+'NF - 5 Power Mix'!FGY15)*860/10)+((('Form Sa1'!FHB835)*860)/10)+('Form Sa1'!FHB814*'Form Sa1'!FHB816/10)-'NF - 5 Power Mix'!FGY21-'NF - 5 Power Mix'!FGY22</f>
        <v>0</v>
      </c>
      <c r="FGZ42" s="1046">
        <f>FGZ38+((FGZ40+'NF - 5 Power Mix'!FGZ14+'NF - 5 Power Mix'!FGZ15)*860/10)+((('Form Sa1'!FHC835)*860)/10)+('Form Sa1'!FHC814*'Form Sa1'!FHC816/10)-'NF - 5 Power Mix'!FGZ21-'NF - 5 Power Mix'!FGZ22</f>
        <v>0</v>
      </c>
      <c r="FHA42" s="1046">
        <f>FHA38+((FHA40+'NF - 5 Power Mix'!FHA14+'NF - 5 Power Mix'!FHA15)*860/10)+((('Form Sa1'!FHD835)*860)/10)+('Form Sa1'!FHD814*'Form Sa1'!FHD816/10)-'NF - 5 Power Mix'!FHA21-'NF - 5 Power Mix'!FHA22</f>
        <v>0</v>
      </c>
      <c r="FHB42" s="1046">
        <f>FHB38+((FHB40+'NF - 5 Power Mix'!FHB14+'NF - 5 Power Mix'!FHB15)*860/10)+((('Form Sa1'!FHE835)*860)/10)+('Form Sa1'!FHE814*'Form Sa1'!FHE816/10)-'NF - 5 Power Mix'!FHB21-'NF - 5 Power Mix'!FHB22</f>
        <v>0</v>
      </c>
      <c r="FHC42" s="1046">
        <f>FHC38+((FHC40+'NF - 5 Power Mix'!FHC14+'NF - 5 Power Mix'!FHC15)*860/10)+((('Form Sa1'!FHF835)*860)/10)+('Form Sa1'!FHF814*'Form Sa1'!FHF816/10)-'NF - 5 Power Mix'!FHC21-'NF - 5 Power Mix'!FHC22</f>
        <v>0</v>
      </c>
      <c r="FHD42" s="1046">
        <f>FHD38+((FHD40+'NF - 5 Power Mix'!FHD14+'NF - 5 Power Mix'!FHD15)*860/10)+((('Form Sa1'!FHG835)*860)/10)+('Form Sa1'!FHG814*'Form Sa1'!FHG816/10)-'NF - 5 Power Mix'!FHD21-'NF - 5 Power Mix'!FHD22</f>
        <v>0</v>
      </c>
      <c r="FHE42" s="1046">
        <f>FHE38+((FHE40+'NF - 5 Power Mix'!FHE14+'NF - 5 Power Mix'!FHE15)*860/10)+((('Form Sa1'!FHH835)*860)/10)+('Form Sa1'!FHH814*'Form Sa1'!FHH816/10)-'NF - 5 Power Mix'!FHE21-'NF - 5 Power Mix'!FHE22</f>
        <v>0</v>
      </c>
      <c r="FHF42" s="1046">
        <f>FHF38+((FHF40+'NF - 5 Power Mix'!FHF14+'NF - 5 Power Mix'!FHF15)*860/10)+((('Form Sa1'!FHI835)*860)/10)+('Form Sa1'!FHI814*'Form Sa1'!FHI816/10)-'NF - 5 Power Mix'!FHF21-'NF - 5 Power Mix'!FHF22</f>
        <v>0</v>
      </c>
      <c r="FHG42" s="1046">
        <f>FHG38+((FHG40+'NF - 5 Power Mix'!FHG14+'NF - 5 Power Mix'!FHG15)*860/10)+((('Form Sa1'!FHJ835)*860)/10)+('Form Sa1'!FHJ814*'Form Sa1'!FHJ816/10)-'NF - 5 Power Mix'!FHG21-'NF - 5 Power Mix'!FHG22</f>
        <v>0</v>
      </c>
      <c r="FHH42" s="1046">
        <f>FHH38+((FHH40+'NF - 5 Power Mix'!FHH14+'NF - 5 Power Mix'!FHH15)*860/10)+((('Form Sa1'!FHK835)*860)/10)+('Form Sa1'!FHK814*'Form Sa1'!FHK816/10)-'NF - 5 Power Mix'!FHH21-'NF - 5 Power Mix'!FHH22</f>
        <v>0</v>
      </c>
      <c r="FHI42" s="1046">
        <f>FHI38+((FHI40+'NF - 5 Power Mix'!FHI14+'NF - 5 Power Mix'!FHI15)*860/10)+((('Form Sa1'!FHL835)*860)/10)+('Form Sa1'!FHL814*'Form Sa1'!FHL816/10)-'NF - 5 Power Mix'!FHI21-'NF - 5 Power Mix'!FHI22</f>
        <v>0</v>
      </c>
      <c r="FHJ42" s="1046">
        <f>FHJ38+((FHJ40+'NF - 5 Power Mix'!FHJ14+'NF - 5 Power Mix'!FHJ15)*860/10)+((('Form Sa1'!FHM835)*860)/10)+('Form Sa1'!FHM814*'Form Sa1'!FHM816/10)-'NF - 5 Power Mix'!FHJ21-'NF - 5 Power Mix'!FHJ22</f>
        <v>0</v>
      </c>
      <c r="FHK42" s="1046">
        <f>FHK38+((FHK40+'NF - 5 Power Mix'!FHK14+'NF - 5 Power Mix'!FHK15)*860/10)+((('Form Sa1'!FHN835)*860)/10)+('Form Sa1'!FHN814*'Form Sa1'!FHN816/10)-'NF - 5 Power Mix'!FHK21-'NF - 5 Power Mix'!FHK22</f>
        <v>0</v>
      </c>
      <c r="FHL42" s="1046">
        <f>FHL38+((FHL40+'NF - 5 Power Mix'!FHL14+'NF - 5 Power Mix'!FHL15)*860/10)+((('Form Sa1'!FHO835)*860)/10)+('Form Sa1'!FHO814*'Form Sa1'!FHO816/10)-'NF - 5 Power Mix'!FHL21-'NF - 5 Power Mix'!FHL22</f>
        <v>0</v>
      </c>
      <c r="FHM42" s="1046">
        <f>FHM38+((FHM40+'NF - 5 Power Mix'!FHM14+'NF - 5 Power Mix'!FHM15)*860/10)+((('Form Sa1'!FHP835)*860)/10)+('Form Sa1'!FHP814*'Form Sa1'!FHP816/10)-'NF - 5 Power Mix'!FHM21-'NF - 5 Power Mix'!FHM22</f>
        <v>0</v>
      </c>
      <c r="FHN42" s="1046">
        <f>FHN38+((FHN40+'NF - 5 Power Mix'!FHN14+'NF - 5 Power Mix'!FHN15)*860/10)+((('Form Sa1'!FHQ835)*860)/10)+('Form Sa1'!FHQ814*'Form Sa1'!FHQ816/10)-'NF - 5 Power Mix'!FHN21-'NF - 5 Power Mix'!FHN22</f>
        <v>0</v>
      </c>
      <c r="FHO42" s="1046">
        <f>FHO38+((FHO40+'NF - 5 Power Mix'!FHO14+'NF - 5 Power Mix'!FHO15)*860/10)+((('Form Sa1'!FHR835)*860)/10)+('Form Sa1'!FHR814*'Form Sa1'!FHR816/10)-'NF - 5 Power Mix'!FHO21-'NF - 5 Power Mix'!FHO22</f>
        <v>0</v>
      </c>
      <c r="FHP42" s="1046">
        <f>FHP38+((FHP40+'NF - 5 Power Mix'!FHP14+'NF - 5 Power Mix'!FHP15)*860/10)+((('Form Sa1'!FHS835)*860)/10)+('Form Sa1'!FHS814*'Form Sa1'!FHS816/10)-'NF - 5 Power Mix'!FHP21-'NF - 5 Power Mix'!FHP22</f>
        <v>0</v>
      </c>
      <c r="FHQ42" s="1046">
        <f>FHQ38+((FHQ40+'NF - 5 Power Mix'!FHQ14+'NF - 5 Power Mix'!FHQ15)*860/10)+((('Form Sa1'!FHT835)*860)/10)+('Form Sa1'!FHT814*'Form Sa1'!FHT816/10)-'NF - 5 Power Mix'!FHQ21-'NF - 5 Power Mix'!FHQ22</f>
        <v>0</v>
      </c>
      <c r="FHR42" s="1046">
        <f>FHR38+((FHR40+'NF - 5 Power Mix'!FHR14+'NF - 5 Power Mix'!FHR15)*860/10)+((('Form Sa1'!FHU835)*860)/10)+('Form Sa1'!FHU814*'Form Sa1'!FHU816/10)-'NF - 5 Power Mix'!FHR21-'NF - 5 Power Mix'!FHR22</f>
        <v>0</v>
      </c>
      <c r="FHS42" s="1046">
        <f>FHS38+((FHS40+'NF - 5 Power Mix'!FHS14+'NF - 5 Power Mix'!FHS15)*860/10)+((('Form Sa1'!FHV835)*860)/10)+('Form Sa1'!FHV814*'Form Sa1'!FHV816/10)-'NF - 5 Power Mix'!FHS21-'NF - 5 Power Mix'!FHS22</f>
        <v>0</v>
      </c>
      <c r="FHT42" s="1046">
        <f>FHT38+((FHT40+'NF - 5 Power Mix'!FHT14+'NF - 5 Power Mix'!FHT15)*860/10)+((('Form Sa1'!FHW835)*860)/10)+('Form Sa1'!FHW814*'Form Sa1'!FHW816/10)-'NF - 5 Power Mix'!FHT21-'NF - 5 Power Mix'!FHT22</f>
        <v>0</v>
      </c>
      <c r="FHU42" s="1046">
        <f>FHU38+((FHU40+'NF - 5 Power Mix'!FHU14+'NF - 5 Power Mix'!FHU15)*860/10)+((('Form Sa1'!FHX835)*860)/10)+('Form Sa1'!FHX814*'Form Sa1'!FHX816/10)-'NF - 5 Power Mix'!FHU21-'NF - 5 Power Mix'!FHU22</f>
        <v>0</v>
      </c>
      <c r="FHV42" s="1046">
        <f>FHV38+((FHV40+'NF - 5 Power Mix'!FHV14+'NF - 5 Power Mix'!FHV15)*860/10)+((('Form Sa1'!FHY835)*860)/10)+('Form Sa1'!FHY814*'Form Sa1'!FHY816/10)-'NF - 5 Power Mix'!FHV21-'NF - 5 Power Mix'!FHV22</f>
        <v>0</v>
      </c>
      <c r="FHW42" s="1046">
        <f>FHW38+((FHW40+'NF - 5 Power Mix'!FHW14+'NF - 5 Power Mix'!FHW15)*860/10)+((('Form Sa1'!FHZ835)*860)/10)+('Form Sa1'!FHZ814*'Form Sa1'!FHZ816/10)-'NF - 5 Power Mix'!FHW21-'NF - 5 Power Mix'!FHW22</f>
        <v>0</v>
      </c>
      <c r="FHX42" s="1046">
        <f>FHX38+((FHX40+'NF - 5 Power Mix'!FHX14+'NF - 5 Power Mix'!FHX15)*860/10)+((('Form Sa1'!FIA835)*860)/10)+('Form Sa1'!FIA814*'Form Sa1'!FIA816/10)-'NF - 5 Power Mix'!FHX21-'NF - 5 Power Mix'!FHX22</f>
        <v>0</v>
      </c>
      <c r="FHY42" s="1046">
        <f>FHY38+((FHY40+'NF - 5 Power Mix'!FHY14+'NF - 5 Power Mix'!FHY15)*860/10)+((('Form Sa1'!FIB835)*860)/10)+('Form Sa1'!FIB814*'Form Sa1'!FIB816/10)-'NF - 5 Power Mix'!FHY21-'NF - 5 Power Mix'!FHY22</f>
        <v>0</v>
      </c>
      <c r="FHZ42" s="1046">
        <f>FHZ38+((FHZ40+'NF - 5 Power Mix'!FHZ14+'NF - 5 Power Mix'!FHZ15)*860/10)+((('Form Sa1'!FIC835)*860)/10)+('Form Sa1'!FIC814*'Form Sa1'!FIC816/10)-'NF - 5 Power Mix'!FHZ21-'NF - 5 Power Mix'!FHZ22</f>
        <v>0</v>
      </c>
      <c r="FIA42" s="1046">
        <f>FIA38+((FIA40+'NF - 5 Power Mix'!FIA14+'NF - 5 Power Mix'!FIA15)*860/10)+((('Form Sa1'!FID835)*860)/10)+('Form Sa1'!FID814*'Form Sa1'!FID816/10)-'NF - 5 Power Mix'!FIA21-'NF - 5 Power Mix'!FIA22</f>
        <v>0</v>
      </c>
      <c r="FIB42" s="1046">
        <f>FIB38+((FIB40+'NF - 5 Power Mix'!FIB14+'NF - 5 Power Mix'!FIB15)*860/10)+((('Form Sa1'!FIE835)*860)/10)+('Form Sa1'!FIE814*'Form Sa1'!FIE816/10)-'NF - 5 Power Mix'!FIB21-'NF - 5 Power Mix'!FIB22</f>
        <v>0</v>
      </c>
      <c r="FIC42" s="1046">
        <f>FIC38+((FIC40+'NF - 5 Power Mix'!FIC14+'NF - 5 Power Mix'!FIC15)*860/10)+((('Form Sa1'!FIF835)*860)/10)+('Form Sa1'!FIF814*'Form Sa1'!FIF816/10)-'NF - 5 Power Mix'!FIC21-'NF - 5 Power Mix'!FIC22</f>
        <v>0</v>
      </c>
      <c r="FID42" s="1046">
        <f>FID38+((FID40+'NF - 5 Power Mix'!FID14+'NF - 5 Power Mix'!FID15)*860/10)+((('Form Sa1'!FIG835)*860)/10)+('Form Sa1'!FIG814*'Form Sa1'!FIG816/10)-'NF - 5 Power Mix'!FID21-'NF - 5 Power Mix'!FID22</f>
        <v>0</v>
      </c>
      <c r="FIE42" s="1046">
        <f>FIE38+((FIE40+'NF - 5 Power Mix'!FIE14+'NF - 5 Power Mix'!FIE15)*860/10)+((('Form Sa1'!FIH835)*860)/10)+('Form Sa1'!FIH814*'Form Sa1'!FIH816/10)-'NF - 5 Power Mix'!FIE21-'NF - 5 Power Mix'!FIE22</f>
        <v>0</v>
      </c>
      <c r="FIF42" s="1046">
        <f>FIF38+((FIF40+'NF - 5 Power Mix'!FIF14+'NF - 5 Power Mix'!FIF15)*860/10)+((('Form Sa1'!FII835)*860)/10)+('Form Sa1'!FII814*'Form Sa1'!FII816/10)-'NF - 5 Power Mix'!FIF21-'NF - 5 Power Mix'!FIF22</f>
        <v>0</v>
      </c>
      <c r="FIG42" s="1046">
        <f>FIG38+((FIG40+'NF - 5 Power Mix'!FIG14+'NF - 5 Power Mix'!FIG15)*860/10)+((('Form Sa1'!FIJ835)*860)/10)+('Form Sa1'!FIJ814*'Form Sa1'!FIJ816/10)-'NF - 5 Power Mix'!FIG21-'NF - 5 Power Mix'!FIG22</f>
        <v>0</v>
      </c>
      <c r="FIH42" s="1046">
        <f>FIH38+((FIH40+'NF - 5 Power Mix'!FIH14+'NF - 5 Power Mix'!FIH15)*860/10)+((('Form Sa1'!FIK835)*860)/10)+('Form Sa1'!FIK814*'Form Sa1'!FIK816/10)-'NF - 5 Power Mix'!FIH21-'NF - 5 Power Mix'!FIH22</f>
        <v>0</v>
      </c>
      <c r="FII42" s="1046">
        <f>FII38+((FII40+'NF - 5 Power Mix'!FII14+'NF - 5 Power Mix'!FII15)*860/10)+((('Form Sa1'!FIL835)*860)/10)+('Form Sa1'!FIL814*'Form Sa1'!FIL816/10)-'NF - 5 Power Mix'!FII21-'NF - 5 Power Mix'!FII22</f>
        <v>0</v>
      </c>
      <c r="FIJ42" s="1046">
        <f>FIJ38+((FIJ40+'NF - 5 Power Mix'!FIJ14+'NF - 5 Power Mix'!FIJ15)*860/10)+((('Form Sa1'!FIM835)*860)/10)+('Form Sa1'!FIM814*'Form Sa1'!FIM816/10)-'NF - 5 Power Mix'!FIJ21-'NF - 5 Power Mix'!FIJ22</f>
        <v>0</v>
      </c>
      <c r="FIK42" s="1046">
        <f>FIK38+((FIK40+'NF - 5 Power Mix'!FIK14+'NF - 5 Power Mix'!FIK15)*860/10)+((('Form Sa1'!FIN835)*860)/10)+('Form Sa1'!FIN814*'Form Sa1'!FIN816/10)-'NF - 5 Power Mix'!FIK21-'NF - 5 Power Mix'!FIK22</f>
        <v>0</v>
      </c>
      <c r="FIL42" s="1046">
        <f>FIL38+((FIL40+'NF - 5 Power Mix'!FIL14+'NF - 5 Power Mix'!FIL15)*860/10)+((('Form Sa1'!FIO835)*860)/10)+('Form Sa1'!FIO814*'Form Sa1'!FIO816/10)-'NF - 5 Power Mix'!FIL21-'NF - 5 Power Mix'!FIL22</f>
        <v>0</v>
      </c>
      <c r="FIM42" s="1046">
        <f>FIM38+((FIM40+'NF - 5 Power Mix'!FIM14+'NF - 5 Power Mix'!FIM15)*860/10)+((('Form Sa1'!FIP835)*860)/10)+('Form Sa1'!FIP814*'Form Sa1'!FIP816/10)-'NF - 5 Power Mix'!FIM21-'NF - 5 Power Mix'!FIM22</f>
        <v>0</v>
      </c>
      <c r="FIN42" s="1046">
        <f>FIN38+((FIN40+'NF - 5 Power Mix'!FIN14+'NF - 5 Power Mix'!FIN15)*860/10)+((('Form Sa1'!FIQ835)*860)/10)+('Form Sa1'!FIQ814*'Form Sa1'!FIQ816/10)-'NF - 5 Power Mix'!FIN21-'NF - 5 Power Mix'!FIN22</f>
        <v>0</v>
      </c>
      <c r="FIO42" s="1046">
        <f>FIO38+((FIO40+'NF - 5 Power Mix'!FIO14+'NF - 5 Power Mix'!FIO15)*860/10)+((('Form Sa1'!FIR835)*860)/10)+('Form Sa1'!FIR814*'Form Sa1'!FIR816/10)-'NF - 5 Power Mix'!FIO21-'NF - 5 Power Mix'!FIO22</f>
        <v>0</v>
      </c>
      <c r="FIP42" s="1046">
        <f>FIP38+((FIP40+'NF - 5 Power Mix'!FIP14+'NF - 5 Power Mix'!FIP15)*860/10)+((('Form Sa1'!FIS835)*860)/10)+('Form Sa1'!FIS814*'Form Sa1'!FIS816/10)-'NF - 5 Power Mix'!FIP21-'NF - 5 Power Mix'!FIP22</f>
        <v>0</v>
      </c>
      <c r="FIQ42" s="1046">
        <f>FIQ38+((FIQ40+'NF - 5 Power Mix'!FIQ14+'NF - 5 Power Mix'!FIQ15)*860/10)+((('Form Sa1'!FIT835)*860)/10)+('Form Sa1'!FIT814*'Form Sa1'!FIT816/10)-'NF - 5 Power Mix'!FIQ21-'NF - 5 Power Mix'!FIQ22</f>
        <v>0</v>
      </c>
      <c r="FIR42" s="1046">
        <f>FIR38+((FIR40+'NF - 5 Power Mix'!FIR14+'NF - 5 Power Mix'!FIR15)*860/10)+((('Form Sa1'!FIU835)*860)/10)+('Form Sa1'!FIU814*'Form Sa1'!FIU816/10)-'NF - 5 Power Mix'!FIR21-'NF - 5 Power Mix'!FIR22</f>
        <v>0</v>
      </c>
      <c r="FIS42" s="1046">
        <f>FIS38+((FIS40+'NF - 5 Power Mix'!FIS14+'NF - 5 Power Mix'!FIS15)*860/10)+((('Form Sa1'!FIV835)*860)/10)+('Form Sa1'!FIV814*'Form Sa1'!FIV816/10)-'NF - 5 Power Mix'!FIS21-'NF - 5 Power Mix'!FIS22</f>
        <v>0</v>
      </c>
      <c r="FIT42" s="1046">
        <f>FIT38+((FIT40+'NF - 5 Power Mix'!FIT14+'NF - 5 Power Mix'!FIT15)*860/10)+((('Form Sa1'!FIW835)*860)/10)+('Form Sa1'!FIW814*'Form Sa1'!FIW816/10)-'NF - 5 Power Mix'!FIT21-'NF - 5 Power Mix'!FIT22</f>
        <v>0</v>
      </c>
      <c r="FIU42" s="1046">
        <f>FIU38+((FIU40+'NF - 5 Power Mix'!FIU14+'NF - 5 Power Mix'!FIU15)*860/10)+((('Form Sa1'!FIX835)*860)/10)+('Form Sa1'!FIX814*'Form Sa1'!FIX816/10)-'NF - 5 Power Mix'!FIU21-'NF - 5 Power Mix'!FIU22</f>
        <v>0</v>
      </c>
      <c r="FIV42" s="1046">
        <f>FIV38+((FIV40+'NF - 5 Power Mix'!FIV14+'NF - 5 Power Mix'!FIV15)*860/10)+((('Form Sa1'!FIY835)*860)/10)+('Form Sa1'!FIY814*'Form Sa1'!FIY816/10)-'NF - 5 Power Mix'!FIV21-'NF - 5 Power Mix'!FIV22</f>
        <v>0</v>
      </c>
      <c r="FIW42" s="1046">
        <f>FIW38+((FIW40+'NF - 5 Power Mix'!FIW14+'NF - 5 Power Mix'!FIW15)*860/10)+((('Form Sa1'!FIZ835)*860)/10)+('Form Sa1'!FIZ814*'Form Sa1'!FIZ816/10)-'NF - 5 Power Mix'!FIW21-'NF - 5 Power Mix'!FIW22</f>
        <v>0</v>
      </c>
      <c r="FIX42" s="1046">
        <f>FIX38+((FIX40+'NF - 5 Power Mix'!FIX14+'NF - 5 Power Mix'!FIX15)*860/10)+((('Form Sa1'!FJA835)*860)/10)+('Form Sa1'!FJA814*'Form Sa1'!FJA816/10)-'NF - 5 Power Mix'!FIX21-'NF - 5 Power Mix'!FIX22</f>
        <v>0</v>
      </c>
      <c r="FIY42" s="1046">
        <f>FIY38+((FIY40+'NF - 5 Power Mix'!FIY14+'NF - 5 Power Mix'!FIY15)*860/10)+((('Form Sa1'!FJB835)*860)/10)+('Form Sa1'!FJB814*'Form Sa1'!FJB816/10)-'NF - 5 Power Mix'!FIY21-'NF - 5 Power Mix'!FIY22</f>
        <v>0</v>
      </c>
      <c r="FIZ42" s="1046">
        <f>FIZ38+((FIZ40+'NF - 5 Power Mix'!FIZ14+'NF - 5 Power Mix'!FIZ15)*860/10)+((('Form Sa1'!FJC835)*860)/10)+('Form Sa1'!FJC814*'Form Sa1'!FJC816/10)-'NF - 5 Power Mix'!FIZ21-'NF - 5 Power Mix'!FIZ22</f>
        <v>0</v>
      </c>
      <c r="FJA42" s="1046">
        <f>FJA38+((FJA40+'NF - 5 Power Mix'!FJA14+'NF - 5 Power Mix'!FJA15)*860/10)+((('Form Sa1'!FJD835)*860)/10)+('Form Sa1'!FJD814*'Form Sa1'!FJD816/10)-'NF - 5 Power Mix'!FJA21-'NF - 5 Power Mix'!FJA22</f>
        <v>0</v>
      </c>
      <c r="FJB42" s="1046">
        <f>FJB38+((FJB40+'NF - 5 Power Mix'!FJB14+'NF - 5 Power Mix'!FJB15)*860/10)+((('Form Sa1'!FJE835)*860)/10)+('Form Sa1'!FJE814*'Form Sa1'!FJE816/10)-'NF - 5 Power Mix'!FJB21-'NF - 5 Power Mix'!FJB22</f>
        <v>0</v>
      </c>
      <c r="FJC42" s="1046">
        <f>FJC38+((FJC40+'NF - 5 Power Mix'!FJC14+'NF - 5 Power Mix'!FJC15)*860/10)+((('Form Sa1'!FJF835)*860)/10)+('Form Sa1'!FJF814*'Form Sa1'!FJF816/10)-'NF - 5 Power Mix'!FJC21-'NF - 5 Power Mix'!FJC22</f>
        <v>0</v>
      </c>
      <c r="FJD42" s="1046">
        <f>FJD38+((FJD40+'NF - 5 Power Mix'!FJD14+'NF - 5 Power Mix'!FJD15)*860/10)+((('Form Sa1'!FJG835)*860)/10)+('Form Sa1'!FJG814*'Form Sa1'!FJG816/10)-'NF - 5 Power Mix'!FJD21-'NF - 5 Power Mix'!FJD22</f>
        <v>0</v>
      </c>
      <c r="FJE42" s="1046">
        <f>FJE38+((FJE40+'NF - 5 Power Mix'!FJE14+'NF - 5 Power Mix'!FJE15)*860/10)+((('Form Sa1'!FJH835)*860)/10)+('Form Sa1'!FJH814*'Form Sa1'!FJH816/10)-'NF - 5 Power Mix'!FJE21-'NF - 5 Power Mix'!FJE22</f>
        <v>0</v>
      </c>
      <c r="FJF42" s="1046">
        <f>FJF38+((FJF40+'NF - 5 Power Mix'!FJF14+'NF - 5 Power Mix'!FJF15)*860/10)+((('Form Sa1'!FJI835)*860)/10)+('Form Sa1'!FJI814*'Form Sa1'!FJI816/10)-'NF - 5 Power Mix'!FJF21-'NF - 5 Power Mix'!FJF22</f>
        <v>0</v>
      </c>
      <c r="FJG42" s="1046">
        <f>FJG38+((FJG40+'NF - 5 Power Mix'!FJG14+'NF - 5 Power Mix'!FJG15)*860/10)+((('Form Sa1'!FJJ835)*860)/10)+('Form Sa1'!FJJ814*'Form Sa1'!FJJ816/10)-'NF - 5 Power Mix'!FJG21-'NF - 5 Power Mix'!FJG22</f>
        <v>0</v>
      </c>
      <c r="FJH42" s="1046">
        <f>FJH38+((FJH40+'NF - 5 Power Mix'!FJH14+'NF - 5 Power Mix'!FJH15)*860/10)+((('Form Sa1'!FJK835)*860)/10)+('Form Sa1'!FJK814*'Form Sa1'!FJK816/10)-'NF - 5 Power Mix'!FJH21-'NF - 5 Power Mix'!FJH22</f>
        <v>0</v>
      </c>
      <c r="FJI42" s="1046">
        <f>FJI38+((FJI40+'NF - 5 Power Mix'!FJI14+'NF - 5 Power Mix'!FJI15)*860/10)+((('Form Sa1'!FJL835)*860)/10)+('Form Sa1'!FJL814*'Form Sa1'!FJL816/10)-'NF - 5 Power Mix'!FJI21-'NF - 5 Power Mix'!FJI22</f>
        <v>0</v>
      </c>
      <c r="FJJ42" s="1046">
        <f>FJJ38+((FJJ40+'NF - 5 Power Mix'!FJJ14+'NF - 5 Power Mix'!FJJ15)*860/10)+((('Form Sa1'!FJM835)*860)/10)+('Form Sa1'!FJM814*'Form Sa1'!FJM816/10)-'NF - 5 Power Mix'!FJJ21-'NF - 5 Power Mix'!FJJ22</f>
        <v>0</v>
      </c>
      <c r="FJK42" s="1046">
        <f>FJK38+((FJK40+'NF - 5 Power Mix'!FJK14+'NF - 5 Power Mix'!FJK15)*860/10)+((('Form Sa1'!FJN835)*860)/10)+('Form Sa1'!FJN814*'Form Sa1'!FJN816/10)-'NF - 5 Power Mix'!FJK21-'NF - 5 Power Mix'!FJK22</f>
        <v>0</v>
      </c>
      <c r="FJL42" s="1046">
        <f>FJL38+((FJL40+'NF - 5 Power Mix'!FJL14+'NF - 5 Power Mix'!FJL15)*860/10)+((('Form Sa1'!FJO835)*860)/10)+('Form Sa1'!FJO814*'Form Sa1'!FJO816/10)-'NF - 5 Power Mix'!FJL21-'NF - 5 Power Mix'!FJL22</f>
        <v>0</v>
      </c>
      <c r="FJM42" s="1046">
        <f>FJM38+((FJM40+'NF - 5 Power Mix'!FJM14+'NF - 5 Power Mix'!FJM15)*860/10)+((('Form Sa1'!FJP835)*860)/10)+('Form Sa1'!FJP814*'Form Sa1'!FJP816/10)-'NF - 5 Power Mix'!FJM21-'NF - 5 Power Mix'!FJM22</f>
        <v>0</v>
      </c>
      <c r="FJN42" s="1046">
        <f>FJN38+((FJN40+'NF - 5 Power Mix'!FJN14+'NF - 5 Power Mix'!FJN15)*860/10)+((('Form Sa1'!FJQ835)*860)/10)+('Form Sa1'!FJQ814*'Form Sa1'!FJQ816/10)-'NF - 5 Power Mix'!FJN21-'NF - 5 Power Mix'!FJN22</f>
        <v>0</v>
      </c>
      <c r="FJO42" s="1046">
        <f>FJO38+((FJO40+'NF - 5 Power Mix'!FJO14+'NF - 5 Power Mix'!FJO15)*860/10)+((('Form Sa1'!FJR835)*860)/10)+('Form Sa1'!FJR814*'Form Sa1'!FJR816/10)-'NF - 5 Power Mix'!FJO21-'NF - 5 Power Mix'!FJO22</f>
        <v>0</v>
      </c>
      <c r="FJP42" s="1046">
        <f>FJP38+((FJP40+'NF - 5 Power Mix'!FJP14+'NF - 5 Power Mix'!FJP15)*860/10)+((('Form Sa1'!FJS835)*860)/10)+('Form Sa1'!FJS814*'Form Sa1'!FJS816/10)-'NF - 5 Power Mix'!FJP21-'NF - 5 Power Mix'!FJP22</f>
        <v>0</v>
      </c>
      <c r="FJQ42" s="1046">
        <f>FJQ38+((FJQ40+'NF - 5 Power Mix'!FJQ14+'NF - 5 Power Mix'!FJQ15)*860/10)+((('Form Sa1'!FJT835)*860)/10)+('Form Sa1'!FJT814*'Form Sa1'!FJT816/10)-'NF - 5 Power Mix'!FJQ21-'NF - 5 Power Mix'!FJQ22</f>
        <v>0</v>
      </c>
      <c r="FJR42" s="1046">
        <f>FJR38+((FJR40+'NF - 5 Power Mix'!FJR14+'NF - 5 Power Mix'!FJR15)*860/10)+((('Form Sa1'!FJU835)*860)/10)+('Form Sa1'!FJU814*'Form Sa1'!FJU816/10)-'NF - 5 Power Mix'!FJR21-'NF - 5 Power Mix'!FJR22</f>
        <v>0</v>
      </c>
      <c r="FJS42" s="1046">
        <f>FJS38+((FJS40+'NF - 5 Power Mix'!FJS14+'NF - 5 Power Mix'!FJS15)*860/10)+((('Form Sa1'!FJV835)*860)/10)+('Form Sa1'!FJV814*'Form Sa1'!FJV816/10)-'NF - 5 Power Mix'!FJS21-'NF - 5 Power Mix'!FJS22</f>
        <v>0</v>
      </c>
      <c r="FJT42" s="1046">
        <f>FJT38+((FJT40+'NF - 5 Power Mix'!FJT14+'NF - 5 Power Mix'!FJT15)*860/10)+((('Form Sa1'!FJW835)*860)/10)+('Form Sa1'!FJW814*'Form Sa1'!FJW816/10)-'NF - 5 Power Mix'!FJT21-'NF - 5 Power Mix'!FJT22</f>
        <v>0</v>
      </c>
      <c r="FJU42" s="1046">
        <f>FJU38+((FJU40+'NF - 5 Power Mix'!FJU14+'NF - 5 Power Mix'!FJU15)*860/10)+((('Form Sa1'!FJX835)*860)/10)+('Form Sa1'!FJX814*'Form Sa1'!FJX816/10)-'NF - 5 Power Mix'!FJU21-'NF - 5 Power Mix'!FJU22</f>
        <v>0</v>
      </c>
      <c r="FJV42" s="1046">
        <f>FJV38+((FJV40+'NF - 5 Power Mix'!FJV14+'NF - 5 Power Mix'!FJV15)*860/10)+((('Form Sa1'!FJY835)*860)/10)+('Form Sa1'!FJY814*'Form Sa1'!FJY816/10)-'NF - 5 Power Mix'!FJV21-'NF - 5 Power Mix'!FJV22</f>
        <v>0</v>
      </c>
      <c r="FJW42" s="1046">
        <f>FJW38+((FJW40+'NF - 5 Power Mix'!FJW14+'NF - 5 Power Mix'!FJW15)*860/10)+((('Form Sa1'!FJZ835)*860)/10)+('Form Sa1'!FJZ814*'Form Sa1'!FJZ816/10)-'NF - 5 Power Mix'!FJW21-'NF - 5 Power Mix'!FJW22</f>
        <v>0</v>
      </c>
      <c r="FJX42" s="1046">
        <f>FJX38+((FJX40+'NF - 5 Power Mix'!FJX14+'NF - 5 Power Mix'!FJX15)*860/10)+((('Form Sa1'!FKA835)*860)/10)+('Form Sa1'!FKA814*'Form Sa1'!FKA816/10)-'NF - 5 Power Mix'!FJX21-'NF - 5 Power Mix'!FJX22</f>
        <v>0</v>
      </c>
      <c r="FJY42" s="1046">
        <f>FJY38+((FJY40+'NF - 5 Power Mix'!FJY14+'NF - 5 Power Mix'!FJY15)*860/10)+((('Form Sa1'!FKB835)*860)/10)+('Form Sa1'!FKB814*'Form Sa1'!FKB816/10)-'NF - 5 Power Mix'!FJY21-'NF - 5 Power Mix'!FJY22</f>
        <v>0</v>
      </c>
      <c r="FJZ42" s="1046">
        <f>FJZ38+((FJZ40+'NF - 5 Power Mix'!FJZ14+'NF - 5 Power Mix'!FJZ15)*860/10)+((('Form Sa1'!FKC835)*860)/10)+('Form Sa1'!FKC814*'Form Sa1'!FKC816/10)-'NF - 5 Power Mix'!FJZ21-'NF - 5 Power Mix'!FJZ22</f>
        <v>0</v>
      </c>
      <c r="FKA42" s="1046">
        <f>FKA38+((FKA40+'NF - 5 Power Mix'!FKA14+'NF - 5 Power Mix'!FKA15)*860/10)+((('Form Sa1'!FKD835)*860)/10)+('Form Sa1'!FKD814*'Form Sa1'!FKD816/10)-'NF - 5 Power Mix'!FKA21-'NF - 5 Power Mix'!FKA22</f>
        <v>0</v>
      </c>
      <c r="FKB42" s="1046">
        <f>FKB38+((FKB40+'NF - 5 Power Mix'!FKB14+'NF - 5 Power Mix'!FKB15)*860/10)+((('Form Sa1'!FKE835)*860)/10)+('Form Sa1'!FKE814*'Form Sa1'!FKE816/10)-'NF - 5 Power Mix'!FKB21-'NF - 5 Power Mix'!FKB22</f>
        <v>0</v>
      </c>
      <c r="FKC42" s="1046">
        <f>FKC38+((FKC40+'NF - 5 Power Mix'!FKC14+'NF - 5 Power Mix'!FKC15)*860/10)+((('Form Sa1'!FKF835)*860)/10)+('Form Sa1'!FKF814*'Form Sa1'!FKF816/10)-'NF - 5 Power Mix'!FKC21-'NF - 5 Power Mix'!FKC22</f>
        <v>0</v>
      </c>
      <c r="FKD42" s="1046">
        <f>FKD38+((FKD40+'NF - 5 Power Mix'!FKD14+'NF - 5 Power Mix'!FKD15)*860/10)+((('Form Sa1'!FKG835)*860)/10)+('Form Sa1'!FKG814*'Form Sa1'!FKG816/10)-'NF - 5 Power Mix'!FKD21-'NF - 5 Power Mix'!FKD22</f>
        <v>0</v>
      </c>
      <c r="FKE42" s="1046">
        <f>FKE38+((FKE40+'NF - 5 Power Mix'!FKE14+'NF - 5 Power Mix'!FKE15)*860/10)+((('Form Sa1'!FKH835)*860)/10)+('Form Sa1'!FKH814*'Form Sa1'!FKH816/10)-'NF - 5 Power Mix'!FKE21-'NF - 5 Power Mix'!FKE22</f>
        <v>0</v>
      </c>
      <c r="FKF42" s="1046">
        <f>FKF38+((FKF40+'NF - 5 Power Mix'!FKF14+'NF - 5 Power Mix'!FKF15)*860/10)+((('Form Sa1'!FKI835)*860)/10)+('Form Sa1'!FKI814*'Form Sa1'!FKI816/10)-'NF - 5 Power Mix'!FKF21-'NF - 5 Power Mix'!FKF22</f>
        <v>0</v>
      </c>
      <c r="FKG42" s="1046">
        <f>FKG38+((FKG40+'NF - 5 Power Mix'!FKG14+'NF - 5 Power Mix'!FKG15)*860/10)+((('Form Sa1'!FKJ835)*860)/10)+('Form Sa1'!FKJ814*'Form Sa1'!FKJ816/10)-'NF - 5 Power Mix'!FKG21-'NF - 5 Power Mix'!FKG22</f>
        <v>0</v>
      </c>
      <c r="FKH42" s="1046">
        <f>FKH38+((FKH40+'NF - 5 Power Mix'!FKH14+'NF - 5 Power Mix'!FKH15)*860/10)+((('Form Sa1'!FKK835)*860)/10)+('Form Sa1'!FKK814*'Form Sa1'!FKK816/10)-'NF - 5 Power Mix'!FKH21-'NF - 5 Power Mix'!FKH22</f>
        <v>0</v>
      </c>
      <c r="FKI42" s="1046">
        <f>FKI38+((FKI40+'NF - 5 Power Mix'!FKI14+'NF - 5 Power Mix'!FKI15)*860/10)+((('Form Sa1'!FKL835)*860)/10)+('Form Sa1'!FKL814*'Form Sa1'!FKL816/10)-'NF - 5 Power Mix'!FKI21-'NF - 5 Power Mix'!FKI22</f>
        <v>0</v>
      </c>
      <c r="FKJ42" s="1046">
        <f>FKJ38+((FKJ40+'NF - 5 Power Mix'!FKJ14+'NF - 5 Power Mix'!FKJ15)*860/10)+((('Form Sa1'!FKM835)*860)/10)+('Form Sa1'!FKM814*'Form Sa1'!FKM816/10)-'NF - 5 Power Mix'!FKJ21-'NF - 5 Power Mix'!FKJ22</f>
        <v>0</v>
      </c>
      <c r="FKK42" s="1046">
        <f>FKK38+((FKK40+'NF - 5 Power Mix'!FKK14+'NF - 5 Power Mix'!FKK15)*860/10)+((('Form Sa1'!FKN835)*860)/10)+('Form Sa1'!FKN814*'Form Sa1'!FKN816/10)-'NF - 5 Power Mix'!FKK21-'NF - 5 Power Mix'!FKK22</f>
        <v>0</v>
      </c>
      <c r="FKL42" s="1046">
        <f>FKL38+((FKL40+'NF - 5 Power Mix'!FKL14+'NF - 5 Power Mix'!FKL15)*860/10)+((('Form Sa1'!FKO835)*860)/10)+('Form Sa1'!FKO814*'Form Sa1'!FKO816/10)-'NF - 5 Power Mix'!FKL21-'NF - 5 Power Mix'!FKL22</f>
        <v>0</v>
      </c>
      <c r="FKM42" s="1046">
        <f>FKM38+((FKM40+'NF - 5 Power Mix'!FKM14+'NF - 5 Power Mix'!FKM15)*860/10)+((('Form Sa1'!FKP835)*860)/10)+('Form Sa1'!FKP814*'Form Sa1'!FKP816/10)-'NF - 5 Power Mix'!FKM21-'NF - 5 Power Mix'!FKM22</f>
        <v>0</v>
      </c>
      <c r="FKN42" s="1046">
        <f>FKN38+((FKN40+'NF - 5 Power Mix'!FKN14+'NF - 5 Power Mix'!FKN15)*860/10)+((('Form Sa1'!FKQ835)*860)/10)+('Form Sa1'!FKQ814*'Form Sa1'!FKQ816/10)-'NF - 5 Power Mix'!FKN21-'NF - 5 Power Mix'!FKN22</f>
        <v>0</v>
      </c>
      <c r="FKO42" s="1046">
        <f>FKO38+((FKO40+'NF - 5 Power Mix'!FKO14+'NF - 5 Power Mix'!FKO15)*860/10)+((('Form Sa1'!FKR835)*860)/10)+('Form Sa1'!FKR814*'Form Sa1'!FKR816/10)-'NF - 5 Power Mix'!FKO21-'NF - 5 Power Mix'!FKO22</f>
        <v>0</v>
      </c>
      <c r="FKP42" s="1046">
        <f>FKP38+((FKP40+'NF - 5 Power Mix'!FKP14+'NF - 5 Power Mix'!FKP15)*860/10)+((('Form Sa1'!FKS835)*860)/10)+('Form Sa1'!FKS814*'Form Sa1'!FKS816/10)-'NF - 5 Power Mix'!FKP21-'NF - 5 Power Mix'!FKP22</f>
        <v>0</v>
      </c>
      <c r="FKQ42" s="1046">
        <f>FKQ38+((FKQ40+'NF - 5 Power Mix'!FKQ14+'NF - 5 Power Mix'!FKQ15)*860/10)+((('Form Sa1'!FKT835)*860)/10)+('Form Sa1'!FKT814*'Form Sa1'!FKT816/10)-'NF - 5 Power Mix'!FKQ21-'NF - 5 Power Mix'!FKQ22</f>
        <v>0</v>
      </c>
      <c r="FKR42" s="1046">
        <f>FKR38+((FKR40+'NF - 5 Power Mix'!FKR14+'NF - 5 Power Mix'!FKR15)*860/10)+((('Form Sa1'!FKU835)*860)/10)+('Form Sa1'!FKU814*'Form Sa1'!FKU816/10)-'NF - 5 Power Mix'!FKR21-'NF - 5 Power Mix'!FKR22</f>
        <v>0</v>
      </c>
      <c r="FKS42" s="1046">
        <f>FKS38+((FKS40+'NF - 5 Power Mix'!FKS14+'NF - 5 Power Mix'!FKS15)*860/10)+((('Form Sa1'!FKV835)*860)/10)+('Form Sa1'!FKV814*'Form Sa1'!FKV816/10)-'NF - 5 Power Mix'!FKS21-'NF - 5 Power Mix'!FKS22</f>
        <v>0</v>
      </c>
      <c r="FKT42" s="1046">
        <f>FKT38+((FKT40+'NF - 5 Power Mix'!FKT14+'NF - 5 Power Mix'!FKT15)*860/10)+((('Form Sa1'!FKW835)*860)/10)+('Form Sa1'!FKW814*'Form Sa1'!FKW816/10)-'NF - 5 Power Mix'!FKT21-'NF - 5 Power Mix'!FKT22</f>
        <v>0</v>
      </c>
      <c r="FKU42" s="1046">
        <f>FKU38+((FKU40+'NF - 5 Power Mix'!FKU14+'NF - 5 Power Mix'!FKU15)*860/10)+((('Form Sa1'!FKX835)*860)/10)+('Form Sa1'!FKX814*'Form Sa1'!FKX816/10)-'NF - 5 Power Mix'!FKU21-'NF - 5 Power Mix'!FKU22</f>
        <v>0</v>
      </c>
      <c r="FKV42" s="1046">
        <f>FKV38+((FKV40+'NF - 5 Power Mix'!FKV14+'NF - 5 Power Mix'!FKV15)*860/10)+((('Form Sa1'!FKY835)*860)/10)+('Form Sa1'!FKY814*'Form Sa1'!FKY816/10)-'NF - 5 Power Mix'!FKV21-'NF - 5 Power Mix'!FKV22</f>
        <v>0</v>
      </c>
      <c r="FKW42" s="1046">
        <f>FKW38+((FKW40+'NF - 5 Power Mix'!FKW14+'NF - 5 Power Mix'!FKW15)*860/10)+((('Form Sa1'!FKZ835)*860)/10)+('Form Sa1'!FKZ814*'Form Sa1'!FKZ816/10)-'NF - 5 Power Mix'!FKW21-'NF - 5 Power Mix'!FKW22</f>
        <v>0</v>
      </c>
      <c r="FKX42" s="1046">
        <f>FKX38+((FKX40+'NF - 5 Power Mix'!FKX14+'NF - 5 Power Mix'!FKX15)*860/10)+((('Form Sa1'!FLA835)*860)/10)+('Form Sa1'!FLA814*'Form Sa1'!FLA816/10)-'NF - 5 Power Mix'!FKX21-'NF - 5 Power Mix'!FKX22</f>
        <v>0</v>
      </c>
      <c r="FKY42" s="1046">
        <f>FKY38+((FKY40+'NF - 5 Power Mix'!FKY14+'NF - 5 Power Mix'!FKY15)*860/10)+((('Form Sa1'!FLB835)*860)/10)+('Form Sa1'!FLB814*'Form Sa1'!FLB816/10)-'NF - 5 Power Mix'!FKY21-'NF - 5 Power Mix'!FKY22</f>
        <v>0</v>
      </c>
      <c r="FKZ42" s="1046">
        <f>FKZ38+((FKZ40+'NF - 5 Power Mix'!FKZ14+'NF - 5 Power Mix'!FKZ15)*860/10)+((('Form Sa1'!FLC835)*860)/10)+('Form Sa1'!FLC814*'Form Sa1'!FLC816/10)-'NF - 5 Power Mix'!FKZ21-'NF - 5 Power Mix'!FKZ22</f>
        <v>0</v>
      </c>
      <c r="FLA42" s="1046">
        <f>FLA38+((FLA40+'NF - 5 Power Mix'!FLA14+'NF - 5 Power Mix'!FLA15)*860/10)+((('Form Sa1'!FLD835)*860)/10)+('Form Sa1'!FLD814*'Form Sa1'!FLD816/10)-'NF - 5 Power Mix'!FLA21-'NF - 5 Power Mix'!FLA22</f>
        <v>0</v>
      </c>
      <c r="FLB42" s="1046">
        <f>FLB38+((FLB40+'NF - 5 Power Mix'!FLB14+'NF - 5 Power Mix'!FLB15)*860/10)+((('Form Sa1'!FLE835)*860)/10)+('Form Sa1'!FLE814*'Form Sa1'!FLE816/10)-'NF - 5 Power Mix'!FLB21-'NF - 5 Power Mix'!FLB22</f>
        <v>0</v>
      </c>
      <c r="FLC42" s="1046">
        <f>FLC38+((FLC40+'NF - 5 Power Mix'!FLC14+'NF - 5 Power Mix'!FLC15)*860/10)+((('Form Sa1'!FLF835)*860)/10)+('Form Sa1'!FLF814*'Form Sa1'!FLF816/10)-'NF - 5 Power Mix'!FLC21-'NF - 5 Power Mix'!FLC22</f>
        <v>0</v>
      </c>
      <c r="FLD42" s="1046">
        <f>FLD38+((FLD40+'NF - 5 Power Mix'!FLD14+'NF - 5 Power Mix'!FLD15)*860/10)+((('Form Sa1'!FLG835)*860)/10)+('Form Sa1'!FLG814*'Form Sa1'!FLG816/10)-'NF - 5 Power Mix'!FLD21-'NF - 5 Power Mix'!FLD22</f>
        <v>0</v>
      </c>
      <c r="FLE42" s="1046">
        <f>FLE38+((FLE40+'NF - 5 Power Mix'!FLE14+'NF - 5 Power Mix'!FLE15)*860/10)+((('Form Sa1'!FLH835)*860)/10)+('Form Sa1'!FLH814*'Form Sa1'!FLH816/10)-'NF - 5 Power Mix'!FLE21-'NF - 5 Power Mix'!FLE22</f>
        <v>0</v>
      </c>
      <c r="FLF42" s="1046">
        <f>FLF38+((FLF40+'NF - 5 Power Mix'!FLF14+'NF - 5 Power Mix'!FLF15)*860/10)+((('Form Sa1'!FLI835)*860)/10)+('Form Sa1'!FLI814*'Form Sa1'!FLI816/10)-'NF - 5 Power Mix'!FLF21-'NF - 5 Power Mix'!FLF22</f>
        <v>0</v>
      </c>
      <c r="FLG42" s="1046">
        <f>FLG38+((FLG40+'NF - 5 Power Mix'!FLG14+'NF - 5 Power Mix'!FLG15)*860/10)+((('Form Sa1'!FLJ835)*860)/10)+('Form Sa1'!FLJ814*'Form Sa1'!FLJ816/10)-'NF - 5 Power Mix'!FLG21-'NF - 5 Power Mix'!FLG22</f>
        <v>0</v>
      </c>
      <c r="FLH42" s="1046">
        <f>FLH38+((FLH40+'NF - 5 Power Mix'!FLH14+'NF - 5 Power Mix'!FLH15)*860/10)+((('Form Sa1'!FLK835)*860)/10)+('Form Sa1'!FLK814*'Form Sa1'!FLK816/10)-'NF - 5 Power Mix'!FLH21-'NF - 5 Power Mix'!FLH22</f>
        <v>0</v>
      </c>
      <c r="FLI42" s="1046">
        <f>FLI38+((FLI40+'NF - 5 Power Mix'!FLI14+'NF - 5 Power Mix'!FLI15)*860/10)+((('Form Sa1'!FLL835)*860)/10)+('Form Sa1'!FLL814*'Form Sa1'!FLL816/10)-'NF - 5 Power Mix'!FLI21-'NF - 5 Power Mix'!FLI22</f>
        <v>0</v>
      </c>
      <c r="FLJ42" s="1046">
        <f>FLJ38+((FLJ40+'NF - 5 Power Mix'!FLJ14+'NF - 5 Power Mix'!FLJ15)*860/10)+((('Form Sa1'!FLM835)*860)/10)+('Form Sa1'!FLM814*'Form Sa1'!FLM816/10)-'NF - 5 Power Mix'!FLJ21-'NF - 5 Power Mix'!FLJ22</f>
        <v>0</v>
      </c>
      <c r="FLK42" s="1046">
        <f>FLK38+((FLK40+'NF - 5 Power Mix'!FLK14+'NF - 5 Power Mix'!FLK15)*860/10)+((('Form Sa1'!FLN835)*860)/10)+('Form Sa1'!FLN814*'Form Sa1'!FLN816/10)-'NF - 5 Power Mix'!FLK21-'NF - 5 Power Mix'!FLK22</f>
        <v>0</v>
      </c>
      <c r="FLL42" s="1046">
        <f>FLL38+((FLL40+'NF - 5 Power Mix'!FLL14+'NF - 5 Power Mix'!FLL15)*860/10)+((('Form Sa1'!FLO835)*860)/10)+('Form Sa1'!FLO814*'Form Sa1'!FLO816/10)-'NF - 5 Power Mix'!FLL21-'NF - 5 Power Mix'!FLL22</f>
        <v>0</v>
      </c>
      <c r="FLM42" s="1046">
        <f>FLM38+((FLM40+'NF - 5 Power Mix'!FLM14+'NF - 5 Power Mix'!FLM15)*860/10)+((('Form Sa1'!FLP835)*860)/10)+('Form Sa1'!FLP814*'Form Sa1'!FLP816/10)-'NF - 5 Power Mix'!FLM21-'NF - 5 Power Mix'!FLM22</f>
        <v>0</v>
      </c>
      <c r="FLN42" s="1046">
        <f>FLN38+((FLN40+'NF - 5 Power Mix'!FLN14+'NF - 5 Power Mix'!FLN15)*860/10)+((('Form Sa1'!FLQ835)*860)/10)+('Form Sa1'!FLQ814*'Form Sa1'!FLQ816/10)-'NF - 5 Power Mix'!FLN21-'NF - 5 Power Mix'!FLN22</f>
        <v>0</v>
      </c>
      <c r="FLO42" s="1046">
        <f>FLO38+((FLO40+'NF - 5 Power Mix'!FLO14+'NF - 5 Power Mix'!FLO15)*860/10)+((('Form Sa1'!FLR835)*860)/10)+('Form Sa1'!FLR814*'Form Sa1'!FLR816/10)-'NF - 5 Power Mix'!FLO21-'NF - 5 Power Mix'!FLO22</f>
        <v>0</v>
      </c>
      <c r="FLP42" s="1046">
        <f>FLP38+((FLP40+'NF - 5 Power Mix'!FLP14+'NF - 5 Power Mix'!FLP15)*860/10)+((('Form Sa1'!FLS835)*860)/10)+('Form Sa1'!FLS814*'Form Sa1'!FLS816/10)-'NF - 5 Power Mix'!FLP21-'NF - 5 Power Mix'!FLP22</f>
        <v>0</v>
      </c>
      <c r="FLQ42" s="1046">
        <f>FLQ38+((FLQ40+'NF - 5 Power Mix'!FLQ14+'NF - 5 Power Mix'!FLQ15)*860/10)+((('Form Sa1'!FLT835)*860)/10)+('Form Sa1'!FLT814*'Form Sa1'!FLT816/10)-'NF - 5 Power Mix'!FLQ21-'NF - 5 Power Mix'!FLQ22</f>
        <v>0</v>
      </c>
      <c r="FLR42" s="1046">
        <f>FLR38+((FLR40+'NF - 5 Power Mix'!FLR14+'NF - 5 Power Mix'!FLR15)*860/10)+((('Form Sa1'!FLU835)*860)/10)+('Form Sa1'!FLU814*'Form Sa1'!FLU816/10)-'NF - 5 Power Mix'!FLR21-'NF - 5 Power Mix'!FLR22</f>
        <v>0</v>
      </c>
      <c r="FLS42" s="1046">
        <f>FLS38+((FLS40+'NF - 5 Power Mix'!FLS14+'NF - 5 Power Mix'!FLS15)*860/10)+((('Form Sa1'!FLV835)*860)/10)+('Form Sa1'!FLV814*'Form Sa1'!FLV816/10)-'NF - 5 Power Mix'!FLS21-'NF - 5 Power Mix'!FLS22</f>
        <v>0</v>
      </c>
      <c r="FLT42" s="1046">
        <f>FLT38+((FLT40+'NF - 5 Power Mix'!FLT14+'NF - 5 Power Mix'!FLT15)*860/10)+((('Form Sa1'!FLW835)*860)/10)+('Form Sa1'!FLW814*'Form Sa1'!FLW816/10)-'NF - 5 Power Mix'!FLT21-'NF - 5 Power Mix'!FLT22</f>
        <v>0</v>
      </c>
      <c r="FLU42" s="1046">
        <f>FLU38+((FLU40+'NF - 5 Power Mix'!FLU14+'NF - 5 Power Mix'!FLU15)*860/10)+((('Form Sa1'!FLX835)*860)/10)+('Form Sa1'!FLX814*'Form Sa1'!FLX816/10)-'NF - 5 Power Mix'!FLU21-'NF - 5 Power Mix'!FLU22</f>
        <v>0</v>
      </c>
      <c r="FLV42" s="1046">
        <f>FLV38+((FLV40+'NF - 5 Power Mix'!FLV14+'NF - 5 Power Mix'!FLV15)*860/10)+((('Form Sa1'!FLY835)*860)/10)+('Form Sa1'!FLY814*'Form Sa1'!FLY816/10)-'NF - 5 Power Mix'!FLV21-'NF - 5 Power Mix'!FLV22</f>
        <v>0</v>
      </c>
      <c r="FLW42" s="1046">
        <f>FLW38+((FLW40+'NF - 5 Power Mix'!FLW14+'NF - 5 Power Mix'!FLW15)*860/10)+((('Form Sa1'!FLZ835)*860)/10)+('Form Sa1'!FLZ814*'Form Sa1'!FLZ816/10)-'NF - 5 Power Mix'!FLW21-'NF - 5 Power Mix'!FLW22</f>
        <v>0</v>
      </c>
      <c r="FLX42" s="1046">
        <f>FLX38+((FLX40+'NF - 5 Power Mix'!FLX14+'NF - 5 Power Mix'!FLX15)*860/10)+((('Form Sa1'!FMA835)*860)/10)+('Form Sa1'!FMA814*'Form Sa1'!FMA816/10)-'NF - 5 Power Mix'!FLX21-'NF - 5 Power Mix'!FLX22</f>
        <v>0</v>
      </c>
      <c r="FLY42" s="1046">
        <f>FLY38+((FLY40+'NF - 5 Power Mix'!FLY14+'NF - 5 Power Mix'!FLY15)*860/10)+((('Form Sa1'!FMB835)*860)/10)+('Form Sa1'!FMB814*'Form Sa1'!FMB816/10)-'NF - 5 Power Mix'!FLY21-'NF - 5 Power Mix'!FLY22</f>
        <v>0</v>
      </c>
      <c r="FLZ42" s="1046">
        <f>FLZ38+((FLZ40+'NF - 5 Power Mix'!FLZ14+'NF - 5 Power Mix'!FLZ15)*860/10)+((('Form Sa1'!FMC835)*860)/10)+('Form Sa1'!FMC814*'Form Sa1'!FMC816/10)-'NF - 5 Power Mix'!FLZ21-'NF - 5 Power Mix'!FLZ22</f>
        <v>0</v>
      </c>
      <c r="FMA42" s="1046">
        <f>FMA38+((FMA40+'NF - 5 Power Mix'!FMA14+'NF - 5 Power Mix'!FMA15)*860/10)+((('Form Sa1'!FMD835)*860)/10)+('Form Sa1'!FMD814*'Form Sa1'!FMD816/10)-'NF - 5 Power Mix'!FMA21-'NF - 5 Power Mix'!FMA22</f>
        <v>0</v>
      </c>
      <c r="FMB42" s="1046">
        <f>FMB38+((FMB40+'NF - 5 Power Mix'!FMB14+'NF - 5 Power Mix'!FMB15)*860/10)+((('Form Sa1'!FME835)*860)/10)+('Form Sa1'!FME814*'Form Sa1'!FME816/10)-'NF - 5 Power Mix'!FMB21-'NF - 5 Power Mix'!FMB22</f>
        <v>0</v>
      </c>
      <c r="FMC42" s="1046">
        <f>FMC38+((FMC40+'NF - 5 Power Mix'!FMC14+'NF - 5 Power Mix'!FMC15)*860/10)+((('Form Sa1'!FMF835)*860)/10)+('Form Sa1'!FMF814*'Form Sa1'!FMF816/10)-'NF - 5 Power Mix'!FMC21-'NF - 5 Power Mix'!FMC22</f>
        <v>0</v>
      </c>
      <c r="FMD42" s="1046">
        <f>FMD38+((FMD40+'NF - 5 Power Mix'!FMD14+'NF - 5 Power Mix'!FMD15)*860/10)+((('Form Sa1'!FMG835)*860)/10)+('Form Sa1'!FMG814*'Form Sa1'!FMG816/10)-'NF - 5 Power Mix'!FMD21-'NF - 5 Power Mix'!FMD22</f>
        <v>0</v>
      </c>
      <c r="FME42" s="1046">
        <f>FME38+((FME40+'NF - 5 Power Mix'!FME14+'NF - 5 Power Mix'!FME15)*860/10)+((('Form Sa1'!FMH835)*860)/10)+('Form Sa1'!FMH814*'Form Sa1'!FMH816/10)-'NF - 5 Power Mix'!FME21-'NF - 5 Power Mix'!FME22</f>
        <v>0</v>
      </c>
      <c r="FMF42" s="1046">
        <f>FMF38+((FMF40+'NF - 5 Power Mix'!FMF14+'NF - 5 Power Mix'!FMF15)*860/10)+((('Form Sa1'!FMI835)*860)/10)+('Form Sa1'!FMI814*'Form Sa1'!FMI816/10)-'NF - 5 Power Mix'!FMF21-'NF - 5 Power Mix'!FMF22</f>
        <v>0</v>
      </c>
      <c r="FMG42" s="1046">
        <f>FMG38+((FMG40+'NF - 5 Power Mix'!FMG14+'NF - 5 Power Mix'!FMG15)*860/10)+((('Form Sa1'!FMJ835)*860)/10)+('Form Sa1'!FMJ814*'Form Sa1'!FMJ816/10)-'NF - 5 Power Mix'!FMG21-'NF - 5 Power Mix'!FMG22</f>
        <v>0</v>
      </c>
      <c r="FMH42" s="1046">
        <f>FMH38+((FMH40+'NF - 5 Power Mix'!FMH14+'NF - 5 Power Mix'!FMH15)*860/10)+((('Form Sa1'!FMK835)*860)/10)+('Form Sa1'!FMK814*'Form Sa1'!FMK816/10)-'NF - 5 Power Mix'!FMH21-'NF - 5 Power Mix'!FMH22</f>
        <v>0</v>
      </c>
      <c r="FMI42" s="1046">
        <f>FMI38+((FMI40+'NF - 5 Power Mix'!FMI14+'NF - 5 Power Mix'!FMI15)*860/10)+((('Form Sa1'!FML835)*860)/10)+('Form Sa1'!FML814*'Form Sa1'!FML816/10)-'NF - 5 Power Mix'!FMI21-'NF - 5 Power Mix'!FMI22</f>
        <v>0</v>
      </c>
      <c r="FMJ42" s="1046">
        <f>FMJ38+((FMJ40+'NF - 5 Power Mix'!FMJ14+'NF - 5 Power Mix'!FMJ15)*860/10)+((('Form Sa1'!FMM835)*860)/10)+('Form Sa1'!FMM814*'Form Sa1'!FMM816/10)-'NF - 5 Power Mix'!FMJ21-'NF - 5 Power Mix'!FMJ22</f>
        <v>0</v>
      </c>
      <c r="FMK42" s="1046">
        <f>FMK38+((FMK40+'NF - 5 Power Mix'!FMK14+'NF - 5 Power Mix'!FMK15)*860/10)+((('Form Sa1'!FMN835)*860)/10)+('Form Sa1'!FMN814*'Form Sa1'!FMN816/10)-'NF - 5 Power Mix'!FMK21-'NF - 5 Power Mix'!FMK22</f>
        <v>0</v>
      </c>
      <c r="FML42" s="1046">
        <f>FML38+((FML40+'NF - 5 Power Mix'!FML14+'NF - 5 Power Mix'!FML15)*860/10)+((('Form Sa1'!FMO835)*860)/10)+('Form Sa1'!FMO814*'Form Sa1'!FMO816/10)-'NF - 5 Power Mix'!FML21-'NF - 5 Power Mix'!FML22</f>
        <v>0</v>
      </c>
      <c r="FMM42" s="1046">
        <f>FMM38+((FMM40+'NF - 5 Power Mix'!FMM14+'NF - 5 Power Mix'!FMM15)*860/10)+((('Form Sa1'!FMP835)*860)/10)+('Form Sa1'!FMP814*'Form Sa1'!FMP816/10)-'NF - 5 Power Mix'!FMM21-'NF - 5 Power Mix'!FMM22</f>
        <v>0</v>
      </c>
      <c r="FMN42" s="1046">
        <f>FMN38+((FMN40+'NF - 5 Power Mix'!FMN14+'NF - 5 Power Mix'!FMN15)*860/10)+((('Form Sa1'!FMQ835)*860)/10)+('Form Sa1'!FMQ814*'Form Sa1'!FMQ816/10)-'NF - 5 Power Mix'!FMN21-'NF - 5 Power Mix'!FMN22</f>
        <v>0</v>
      </c>
      <c r="FMO42" s="1046">
        <f>FMO38+((FMO40+'NF - 5 Power Mix'!FMO14+'NF - 5 Power Mix'!FMO15)*860/10)+((('Form Sa1'!FMR835)*860)/10)+('Form Sa1'!FMR814*'Form Sa1'!FMR816/10)-'NF - 5 Power Mix'!FMO21-'NF - 5 Power Mix'!FMO22</f>
        <v>0</v>
      </c>
      <c r="FMP42" s="1046">
        <f>FMP38+((FMP40+'NF - 5 Power Mix'!FMP14+'NF - 5 Power Mix'!FMP15)*860/10)+((('Form Sa1'!FMS835)*860)/10)+('Form Sa1'!FMS814*'Form Sa1'!FMS816/10)-'NF - 5 Power Mix'!FMP21-'NF - 5 Power Mix'!FMP22</f>
        <v>0</v>
      </c>
      <c r="FMQ42" s="1046">
        <f>FMQ38+((FMQ40+'NF - 5 Power Mix'!FMQ14+'NF - 5 Power Mix'!FMQ15)*860/10)+((('Form Sa1'!FMT835)*860)/10)+('Form Sa1'!FMT814*'Form Sa1'!FMT816/10)-'NF - 5 Power Mix'!FMQ21-'NF - 5 Power Mix'!FMQ22</f>
        <v>0</v>
      </c>
      <c r="FMR42" s="1046">
        <f>FMR38+((FMR40+'NF - 5 Power Mix'!FMR14+'NF - 5 Power Mix'!FMR15)*860/10)+((('Form Sa1'!FMU835)*860)/10)+('Form Sa1'!FMU814*'Form Sa1'!FMU816/10)-'NF - 5 Power Mix'!FMR21-'NF - 5 Power Mix'!FMR22</f>
        <v>0</v>
      </c>
      <c r="FMS42" s="1046">
        <f>FMS38+((FMS40+'NF - 5 Power Mix'!FMS14+'NF - 5 Power Mix'!FMS15)*860/10)+((('Form Sa1'!FMV835)*860)/10)+('Form Sa1'!FMV814*'Form Sa1'!FMV816/10)-'NF - 5 Power Mix'!FMS21-'NF - 5 Power Mix'!FMS22</f>
        <v>0</v>
      </c>
      <c r="FMT42" s="1046">
        <f>FMT38+((FMT40+'NF - 5 Power Mix'!FMT14+'NF - 5 Power Mix'!FMT15)*860/10)+((('Form Sa1'!FMW835)*860)/10)+('Form Sa1'!FMW814*'Form Sa1'!FMW816/10)-'NF - 5 Power Mix'!FMT21-'NF - 5 Power Mix'!FMT22</f>
        <v>0</v>
      </c>
      <c r="FMU42" s="1046">
        <f>FMU38+((FMU40+'NF - 5 Power Mix'!FMU14+'NF - 5 Power Mix'!FMU15)*860/10)+((('Form Sa1'!FMX835)*860)/10)+('Form Sa1'!FMX814*'Form Sa1'!FMX816/10)-'NF - 5 Power Mix'!FMU21-'NF - 5 Power Mix'!FMU22</f>
        <v>0</v>
      </c>
      <c r="FMV42" s="1046">
        <f>FMV38+((FMV40+'NF - 5 Power Mix'!FMV14+'NF - 5 Power Mix'!FMV15)*860/10)+((('Form Sa1'!FMY835)*860)/10)+('Form Sa1'!FMY814*'Form Sa1'!FMY816/10)-'NF - 5 Power Mix'!FMV21-'NF - 5 Power Mix'!FMV22</f>
        <v>0</v>
      </c>
      <c r="FMW42" s="1046">
        <f>FMW38+((FMW40+'NF - 5 Power Mix'!FMW14+'NF - 5 Power Mix'!FMW15)*860/10)+((('Form Sa1'!FMZ835)*860)/10)+('Form Sa1'!FMZ814*'Form Sa1'!FMZ816/10)-'NF - 5 Power Mix'!FMW21-'NF - 5 Power Mix'!FMW22</f>
        <v>0</v>
      </c>
      <c r="FMX42" s="1046">
        <f>FMX38+((FMX40+'NF - 5 Power Mix'!FMX14+'NF - 5 Power Mix'!FMX15)*860/10)+((('Form Sa1'!FNA835)*860)/10)+('Form Sa1'!FNA814*'Form Sa1'!FNA816/10)-'NF - 5 Power Mix'!FMX21-'NF - 5 Power Mix'!FMX22</f>
        <v>0</v>
      </c>
      <c r="FMY42" s="1046">
        <f>FMY38+((FMY40+'NF - 5 Power Mix'!FMY14+'NF - 5 Power Mix'!FMY15)*860/10)+((('Form Sa1'!FNB835)*860)/10)+('Form Sa1'!FNB814*'Form Sa1'!FNB816/10)-'NF - 5 Power Mix'!FMY21-'NF - 5 Power Mix'!FMY22</f>
        <v>0</v>
      </c>
      <c r="FMZ42" s="1046">
        <f>FMZ38+((FMZ40+'NF - 5 Power Mix'!FMZ14+'NF - 5 Power Mix'!FMZ15)*860/10)+((('Form Sa1'!FNC835)*860)/10)+('Form Sa1'!FNC814*'Form Sa1'!FNC816/10)-'NF - 5 Power Mix'!FMZ21-'NF - 5 Power Mix'!FMZ22</f>
        <v>0</v>
      </c>
      <c r="FNA42" s="1046">
        <f>FNA38+((FNA40+'NF - 5 Power Mix'!FNA14+'NF - 5 Power Mix'!FNA15)*860/10)+((('Form Sa1'!FND835)*860)/10)+('Form Sa1'!FND814*'Form Sa1'!FND816/10)-'NF - 5 Power Mix'!FNA21-'NF - 5 Power Mix'!FNA22</f>
        <v>0</v>
      </c>
      <c r="FNB42" s="1046">
        <f>FNB38+((FNB40+'NF - 5 Power Mix'!FNB14+'NF - 5 Power Mix'!FNB15)*860/10)+((('Form Sa1'!FNE835)*860)/10)+('Form Sa1'!FNE814*'Form Sa1'!FNE816/10)-'NF - 5 Power Mix'!FNB21-'NF - 5 Power Mix'!FNB22</f>
        <v>0</v>
      </c>
      <c r="FNC42" s="1046">
        <f>FNC38+((FNC40+'NF - 5 Power Mix'!FNC14+'NF - 5 Power Mix'!FNC15)*860/10)+((('Form Sa1'!FNF835)*860)/10)+('Form Sa1'!FNF814*'Form Sa1'!FNF816/10)-'NF - 5 Power Mix'!FNC21-'NF - 5 Power Mix'!FNC22</f>
        <v>0</v>
      </c>
      <c r="FND42" s="1046">
        <f>FND38+((FND40+'NF - 5 Power Mix'!FND14+'NF - 5 Power Mix'!FND15)*860/10)+((('Form Sa1'!FNG835)*860)/10)+('Form Sa1'!FNG814*'Form Sa1'!FNG816/10)-'NF - 5 Power Mix'!FND21-'NF - 5 Power Mix'!FND22</f>
        <v>0</v>
      </c>
      <c r="FNE42" s="1046">
        <f>FNE38+((FNE40+'NF - 5 Power Mix'!FNE14+'NF - 5 Power Mix'!FNE15)*860/10)+((('Form Sa1'!FNH835)*860)/10)+('Form Sa1'!FNH814*'Form Sa1'!FNH816/10)-'NF - 5 Power Mix'!FNE21-'NF - 5 Power Mix'!FNE22</f>
        <v>0</v>
      </c>
      <c r="FNF42" s="1046">
        <f>FNF38+((FNF40+'NF - 5 Power Mix'!FNF14+'NF - 5 Power Mix'!FNF15)*860/10)+((('Form Sa1'!FNI835)*860)/10)+('Form Sa1'!FNI814*'Form Sa1'!FNI816/10)-'NF - 5 Power Mix'!FNF21-'NF - 5 Power Mix'!FNF22</f>
        <v>0</v>
      </c>
      <c r="FNG42" s="1046">
        <f>FNG38+((FNG40+'NF - 5 Power Mix'!FNG14+'NF - 5 Power Mix'!FNG15)*860/10)+((('Form Sa1'!FNJ835)*860)/10)+('Form Sa1'!FNJ814*'Form Sa1'!FNJ816/10)-'NF - 5 Power Mix'!FNG21-'NF - 5 Power Mix'!FNG22</f>
        <v>0</v>
      </c>
      <c r="FNH42" s="1046">
        <f>FNH38+((FNH40+'NF - 5 Power Mix'!FNH14+'NF - 5 Power Mix'!FNH15)*860/10)+((('Form Sa1'!FNK835)*860)/10)+('Form Sa1'!FNK814*'Form Sa1'!FNK816/10)-'NF - 5 Power Mix'!FNH21-'NF - 5 Power Mix'!FNH22</f>
        <v>0</v>
      </c>
      <c r="FNI42" s="1046">
        <f>FNI38+((FNI40+'NF - 5 Power Mix'!FNI14+'NF - 5 Power Mix'!FNI15)*860/10)+((('Form Sa1'!FNL835)*860)/10)+('Form Sa1'!FNL814*'Form Sa1'!FNL816/10)-'NF - 5 Power Mix'!FNI21-'NF - 5 Power Mix'!FNI22</f>
        <v>0</v>
      </c>
      <c r="FNJ42" s="1046">
        <f>FNJ38+((FNJ40+'NF - 5 Power Mix'!FNJ14+'NF - 5 Power Mix'!FNJ15)*860/10)+((('Form Sa1'!FNM835)*860)/10)+('Form Sa1'!FNM814*'Form Sa1'!FNM816/10)-'NF - 5 Power Mix'!FNJ21-'NF - 5 Power Mix'!FNJ22</f>
        <v>0</v>
      </c>
      <c r="FNK42" s="1046">
        <f>FNK38+((FNK40+'NF - 5 Power Mix'!FNK14+'NF - 5 Power Mix'!FNK15)*860/10)+((('Form Sa1'!FNN835)*860)/10)+('Form Sa1'!FNN814*'Form Sa1'!FNN816/10)-'NF - 5 Power Mix'!FNK21-'NF - 5 Power Mix'!FNK22</f>
        <v>0</v>
      </c>
      <c r="FNL42" s="1046">
        <f>FNL38+((FNL40+'NF - 5 Power Mix'!FNL14+'NF - 5 Power Mix'!FNL15)*860/10)+((('Form Sa1'!FNO835)*860)/10)+('Form Sa1'!FNO814*'Form Sa1'!FNO816/10)-'NF - 5 Power Mix'!FNL21-'NF - 5 Power Mix'!FNL22</f>
        <v>0</v>
      </c>
      <c r="FNM42" s="1046">
        <f>FNM38+((FNM40+'NF - 5 Power Mix'!FNM14+'NF - 5 Power Mix'!FNM15)*860/10)+((('Form Sa1'!FNP835)*860)/10)+('Form Sa1'!FNP814*'Form Sa1'!FNP816/10)-'NF - 5 Power Mix'!FNM21-'NF - 5 Power Mix'!FNM22</f>
        <v>0</v>
      </c>
      <c r="FNN42" s="1046">
        <f>FNN38+((FNN40+'NF - 5 Power Mix'!FNN14+'NF - 5 Power Mix'!FNN15)*860/10)+((('Form Sa1'!FNQ835)*860)/10)+('Form Sa1'!FNQ814*'Form Sa1'!FNQ816/10)-'NF - 5 Power Mix'!FNN21-'NF - 5 Power Mix'!FNN22</f>
        <v>0</v>
      </c>
      <c r="FNO42" s="1046">
        <f>FNO38+((FNO40+'NF - 5 Power Mix'!FNO14+'NF - 5 Power Mix'!FNO15)*860/10)+((('Form Sa1'!FNR835)*860)/10)+('Form Sa1'!FNR814*'Form Sa1'!FNR816/10)-'NF - 5 Power Mix'!FNO21-'NF - 5 Power Mix'!FNO22</f>
        <v>0</v>
      </c>
      <c r="FNP42" s="1046">
        <f>FNP38+((FNP40+'NF - 5 Power Mix'!FNP14+'NF - 5 Power Mix'!FNP15)*860/10)+((('Form Sa1'!FNS835)*860)/10)+('Form Sa1'!FNS814*'Form Sa1'!FNS816/10)-'NF - 5 Power Mix'!FNP21-'NF - 5 Power Mix'!FNP22</f>
        <v>0</v>
      </c>
      <c r="FNQ42" s="1046">
        <f>FNQ38+((FNQ40+'NF - 5 Power Mix'!FNQ14+'NF - 5 Power Mix'!FNQ15)*860/10)+((('Form Sa1'!FNT835)*860)/10)+('Form Sa1'!FNT814*'Form Sa1'!FNT816/10)-'NF - 5 Power Mix'!FNQ21-'NF - 5 Power Mix'!FNQ22</f>
        <v>0</v>
      </c>
      <c r="FNR42" s="1046">
        <f>FNR38+((FNR40+'NF - 5 Power Mix'!FNR14+'NF - 5 Power Mix'!FNR15)*860/10)+((('Form Sa1'!FNU835)*860)/10)+('Form Sa1'!FNU814*'Form Sa1'!FNU816/10)-'NF - 5 Power Mix'!FNR21-'NF - 5 Power Mix'!FNR22</f>
        <v>0</v>
      </c>
      <c r="FNS42" s="1046">
        <f>FNS38+((FNS40+'NF - 5 Power Mix'!FNS14+'NF - 5 Power Mix'!FNS15)*860/10)+((('Form Sa1'!FNV835)*860)/10)+('Form Sa1'!FNV814*'Form Sa1'!FNV816/10)-'NF - 5 Power Mix'!FNS21-'NF - 5 Power Mix'!FNS22</f>
        <v>0</v>
      </c>
      <c r="FNT42" s="1046">
        <f>FNT38+((FNT40+'NF - 5 Power Mix'!FNT14+'NF - 5 Power Mix'!FNT15)*860/10)+((('Form Sa1'!FNW835)*860)/10)+('Form Sa1'!FNW814*'Form Sa1'!FNW816/10)-'NF - 5 Power Mix'!FNT21-'NF - 5 Power Mix'!FNT22</f>
        <v>0</v>
      </c>
      <c r="FNU42" s="1046">
        <f>FNU38+((FNU40+'NF - 5 Power Mix'!FNU14+'NF - 5 Power Mix'!FNU15)*860/10)+((('Form Sa1'!FNX835)*860)/10)+('Form Sa1'!FNX814*'Form Sa1'!FNX816/10)-'NF - 5 Power Mix'!FNU21-'NF - 5 Power Mix'!FNU22</f>
        <v>0</v>
      </c>
      <c r="FNV42" s="1046">
        <f>FNV38+((FNV40+'NF - 5 Power Mix'!FNV14+'NF - 5 Power Mix'!FNV15)*860/10)+((('Form Sa1'!FNY835)*860)/10)+('Form Sa1'!FNY814*'Form Sa1'!FNY816/10)-'NF - 5 Power Mix'!FNV21-'NF - 5 Power Mix'!FNV22</f>
        <v>0</v>
      </c>
      <c r="FNW42" s="1046">
        <f>FNW38+((FNW40+'NF - 5 Power Mix'!FNW14+'NF - 5 Power Mix'!FNW15)*860/10)+((('Form Sa1'!FNZ835)*860)/10)+('Form Sa1'!FNZ814*'Form Sa1'!FNZ816/10)-'NF - 5 Power Mix'!FNW21-'NF - 5 Power Mix'!FNW22</f>
        <v>0</v>
      </c>
      <c r="FNX42" s="1046">
        <f>FNX38+((FNX40+'NF - 5 Power Mix'!FNX14+'NF - 5 Power Mix'!FNX15)*860/10)+((('Form Sa1'!FOA835)*860)/10)+('Form Sa1'!FOA814*'Form Sa1'!FOA816/10)-'NF - 5 Power Mix'!FNX21-'NF - 5 Power Mix'!FNX22</f>
        <v>0</v>
      </c>
      <c r="FNY42" s="1046">
        <f>FNY38+((FNY40+'NF - 5 Power Mix'!FNY14+'NF - 5 Power Mix'!FNY15)*860/10)+((('Form Sa1'!FOB835)*860)/10)+('Form Sa1'!FOB814*'Form Sa1'!FOB816/10)-'NF - 5 Power Mix'!FNY21-'NF - 5 Power Mix'!FNY22</f>
        <v>0</v>
      </c>
      <c r="FNZ42" s="1046">
        <f>FNZ38+((FNZ40+'NF - 5 Power Mix'!FNZ14+'NF - 5 Power Mix'!FNZ15)*860/10)+((('Form Sa1'!FOC835)*860)/10)+('Form Sa1'!FOC814*'Form Sa1'!FOC816/10)-'NF - 5 Power Mix'!FNZ21-'NF - 5 Power Mix'!FNZ22</f>
        <v>0</v>
      </c>
      <c r="FOA42" s="1046">
        <f>FOA38+((FOA40+'NF - 5 Power Mix'!FOA14+'NF - 5 Power Mix'!FOA15)*860/10)+((('Form Sa1'!FOD835)*860)/10)+('Form Sa1'!FOD814*'Form Sa1'!FOD816/10)-'NF - 5 Power Mix'!FOA21-'NF - 5 Power Mix'!FOA22</f>
        <v>0</v>
      </c>
      <c r="FOB42" s="1046">
        <f>FOB38+((FOB40+'NF - 5 Power Mix'!FOB14+'NF - 5 Power Mix'!FOB15)*860/10)+((('Form Sa1'!FOE835)*860)/10)+('Form Sa1'!FOE814*'Form Sa1'!FOE816/10)-'NF - 5 Power Mix'!FOB21-'NF - 5 Power Mix'!FOB22</f>
        <v>0</v>
      </c>
      <c r="FOC42" s="1046">
        <f>FOC38+((FOC40+'NF - 5 Power Mix'!FOC14+'NF - 5 Power Mix'!FOC15)*860/10)+((('Form Sa1'!FOF835)*860)/10)+('Form Sa1'!FOF814*'Form Sa1'!FOF816/10)-'NF - 5 Power Mix'!FOC21-'NF - 5 Power Mix'!FOC22</f>
        <v>0</v>
      </c>
      <c r="FOD42" s="1046">
        <f>FOD38+((FOD40+'NF - 5 Power Mix'!FOD14+'NF - 5 Power Mix'!FOD15)*860/10)+((('Form Sa1'!FOG835)*860)/10)+('Form Sa1'!FOG814*'Form Sa1'!FOG816/10)-'NF - 5 Power Mix'!FOD21-'NF - 5 Power Mix'!FOD22</f>
        <v>0</v>
      </c>
      <c r="FOE42" s="1046">
        <f>FOE38+((FOE40+'NF - 5 Power Mix'!FOE14+'NF - 5 Power Mix'!FOE15)*860/10)+((('Form Sa1'!FOH835)*860)/10)+('Form Sa1'!FOH814*'Form Sa1'!FOH816/10)-'NF - 5 Power Mix'!FOE21-'NF - 5 Power Mix'!FOE22</f>
        <v>0</v>
      </c>
      <c r="FOF42" s="1046">
        <f>FOF38+((FOF40+'NF - 5 Power Mix'!FOF14+'NF - 5 Power Mix'!FOF15)*860/10)+((('Form Sa1'!FOI835)*860)/10)+('Form Sa1'!FOI814*'Form Sa1'!FOI816/10)-'NF - 5 Power Mix'!FOF21-'NF - 5 Power Mix'!FOF22</f>
        <v>0</v>
      </c>
      <c r="FOG42" s="1046">
        <f>FOG38+((FOG40+'NF - 5 Power Mix'!FOG14+'NF - 5 Power Mix'!FOG15)*860/10)+((('Form Sa1'!FOJ835)*860)/10)+('Form Sa1'!FOJ814*'Form Sa1'!FOJ816/10)-'NF - 5 Power Mix'!FOG21-'NF - 5 Power Mix'!FOG22</f>
        <v>0</v>
      </c>
      <c r="FOH42" s="1046">
        <f>FOH38+((FOH40+'NF - 5 Power Mix'!FOH14+'NF - 5 Power Mix'!FOH15)*860/10)+((('Form Sa1'!FOK835)*860)/10)+('Form Sa1'!FOK814*'Form Sa1'!FOK816/10)-'NF - 5 Power Mix'!FOH21-'NF - 5 Power Mix'!FOH22</f>
        <v>0</v>
      </c>
      <c r="FOI42" s="1046">
        <f>FOI38+((FOI40+'NF - 5 Power Mix'!FOI14+'NF - 5 Power Mix'!FOI15)*860/10)+((('Form Sa1'!FOL835)*860)/10)+('Form Sa1'!FOL814*'Form Sa1'!FOL816/10)-'NF - 5 Power Mix'!FOI21-'NF - 5 Power Mix'!FOI22</f>
        <v>0</v>
      </c>
      <c r="FOJ42" s="1046">
        <f>FOJ38+((FOJ40+'NF - 5 Power Mix'!FOJ14+'NF - 5 Power Mix'!FOJ15)*860/10)+((('Form Sa1'!FOM835)*860)/10)+('Form Sa1'!FOM814*'Form Sa1'!FOM816/10)-'NF - 5 Power Mix'!FOJ21-'NF - 5 Power Mix'!FOJ22</f>
        <v>0</v>
      </c>
      <c r="FOK42" s="1046">
        <f>FOK38+((FOK40+'NF - 5 Power Mix'!FOK14+'NF - 5 Power Mix'!FOK15)*860/10)+((('Form Sa1'!FON835)*860)/10)+('Form Sa1'!FON814*'Form Sa1'!FON816/10)-'NF - 5 Power Mix'!FOK21-'NF - 5 Power Mix'!FOK22</f>
        <v>0</v>
      </c>
      <c r="FOL42" s="1046">
        <f>FOL38+((FOL40+'NF - 5 Power Mix'!FOL14+'NF - 5 Power Mix'!FOL15)*860/10)+((('Form Sa1'!FOO835)*860)/10)+('Form Sa1'!FOO814*'Form Sa1'!FOO816/10)-'NF - 5 Power Mix'!FOL21-'NF - 5 Power Mix'!FOL22</f>
        <v>0</v>
      </c>
      <c r="FOM42" s="1046">
        <f>FOM38+((FOM40+'NF - 5 Power Mix'!FOM14+'NF - 5 Power Mix'!FOM15)*860/10)+((('Form Sa1'!FOP835)*860)/10)+('Form Sa1'!FOP814*'Form Sa1'!FOP816/10)-'NF - 5 Power Mix'!FOM21-'NF - 5 Power Mix'!FOM22</f>
        <v>0</v>
      </c>
      <c r="FON42" s="1046">
        <f>FON38+((FON40+'NF - 5 Power Mix'!FON14+'NF - 5 Power Mix'!FON15)*860/10)+((('Form Sa1'!FOQ835)*860)/10)+('Form Sa1'!FOQ814*'Form Sa1'!FOQ816/10)-'NF - 5 Power Mix'!FON21-'NF - 5 Power Mix'!FON22</f>
        <v>0</v>
      </c>
      <c r="FOO42" s="1046">
        <f>FOO38+((FOO40+'NF - 5 Power Mix'!FOO14+'NF - 5 Power Mix'!FOO15)*860/10)+((('Form Sa1'!FOR835)*860)/10)+('Form Sa1'!FOR814*'Form Sa1'!FOR816/10)-'NF - 5 Power Mix'!FOO21-'NF - 5 Power Mix'!FOO22</f>
        <v>0</v>
      </c>
      <c r="FOP42" s="1046">
        <f>FOP38+((FOP40+'NF - 5 Power Mix'!FOP14+'NF - 5 Power Mix'!FOP15)*860/10)+((('Form Sa1'!FOS835)*860)/10)+('Form Sa1'!FOS814*'Form Sa1'!FOS816/10)-'NF - 5 Power Mix'!FOP21-'NF - 5 Power Mix'!FOP22</f>
        <v>0</v>
      </c>
      <c r="FOQ42" s="1046">
        <f>FOQ38+((FOQ40+'NF - 5 Power Mix'!FOQ14+'NF - 5 Power Mix'!FOQ15)*860/10)+((('Form Sa1'!FOT835)*860)/10)+('Form Sa1'!FOT814*'Form Sa1'!FOT816/10)-'NF - 5 Power Mix'!FOQ21-'NF - 5 Power Mix'!FOQ22</f>
        <v>0</v>
      </c>
      <c r="FOR42" s="1046">
        <f>FOR38+((FOR40+'NF - 5 Power Mix'!FOR14+'NF - 5 Power Mix'!FOR15)*860/10)+((('Form Sa1'!FOU835)*860)/10)+('Form Sa1'!FOU814*'Form Sa1'!FOU816/10)-'NF - 5 Power Mix'!FOR21-'NF - 5 Power Mix'!FOR22</f>
        <v>0</v>
      </c>
      <c r="FOS42" s="1046">
        <f>FOS38+((FOS40+'NF - 5 Power Mix'!FOS14+'NF - 5 Power Mix'!FOS15)*860/10)+((('Form Sa1'!FOV835)*860)/10)+('Form Sa1'!FOV814*'Form Sa1'!FOV816/10)-'NF - 5 Power Mix'!FOS21-'NF - 5 Power Mix'!FOS22</f>
        <v>0</v>
      </c>
      <c r="FOT42" s="1046">
        <f>FOT38+((FOT40+'NF - 5 Power Mix'!FOT14+'NF - 5 Power Mix'!FOT15)*860/10)+((('Form Sa1'!FOW835)*860)/10)+('Form Sa1'!FOW814*'Form Sa1'!FOW816/10)-'NF - 5 Power Mix'!FOT21-'NF - 5 Power Mix'!FOT22</f>
        <v>0</v>
      </c>
      <c r="FOU42" s="1046">
        <f>FOU38+((FOU40+'NF - 5 Power Mix'!FOU14+'NF - 5 Power Mix'!FOU15)*860/10)+((('Form Sa1'!FOX835)*860)/10)+('Form Sa1'!FOX814*'Form Sa1'!FOX816/10)-'NF - 5 Power Mix'!FOU21-'NF - 5 Power Mix'!FOU22</f>
        <v>0</v>
      </c>
      <c r="FOV42" s="1046">
        <f>FOV38+((FOV40+'NF - 5 Power Mix'!FOV14+'NF - 5 Power Mix'!FOV15)*860/10)+((('Form Sa1'!FOY835)*860)/10)+('Form Sa1'!FOY814*'Form Sa1'!FOY816/10)-'NF - 5 Power Mix'!FOV21-'NF - 5 Power Mix'!FOV22</f>
        <v>0</v>
      </c>
      <c r="FOW42" s="1046">
        <f>FOW38+((FOW40+'NF - 5 Power Mix'!FOW14+'NF - 5 Power Mix'!FOW15)*860/10)+((('Form Sa1'!FOZ835)*860)/10)+('Form Sa1'!FOZ814*'Form Sa1'!FOZ816/10)-'NF - 5 Power Mix'!FOW21-'NF - 5 Power Mix'!FOW22</f>
        <v>0</v>
      </c>
      <c r="FOX42" s="1046">
        <f>FOX38+((FOX40+'NF - 5 Power Mix'!FOX14+'NF - 5 Power Mix'!FOX15)*860/10)+((('Form Sa1'!FPA835)*860)/10)+('Form Sa1'!FPA814*'Form Sa1'!FPA816/10)-'NF - 5 Power Mix'!FOX21-'NF - 5 Power Mix'!FOX22</f>
        <v>0</v>
      </c>
      <c r="FOY42" s="1046">
        <f>FOY38+((FOY40+'NF - 5 Power Mix'!FOY14+'NF - 5 Power Mix'!FOY15)*860/10)+((('Form Sa1'!FPB835)*860)/10)+('Form Sa1'!FPB814*'Form Sa1'!FPB816/10)-'NF - 5 Power Mix'!FOY21-'NF - 5 Power Mix'!FOY22</f>
        <v>0</v>
      </c>
      <c r="FOZ42" s="1046">
        <f>FOZ38+((FOZ40+'NF - 5 Power Mix'!FOZ14+'NF - 5 Power Mix'!FOZ15)*860/10)+((('Form Sa1'!FPC835)*860)/10)+('Form Sa1'!FPC814*'Form Sa1'!FPC816/10)-'NF - 5 Power Mix'!FOZ21-'NF - 5 Power Mix'!FOZ22</f>
        <v>0</v>
      </c>
      <c r="FPA42" s="1046">
        <f>FPA38+((FPA40+'NF - 5 Power Mix'!FPA14+'NF - 5 Power Mix'!FPA15)*860/10)+((('Form Sa1'!FPD835)*860)/10)+('Form Sa1'!FPD814*'Form Sa1'!FPD816/10)-'NF - 5 Power Mix'!FPA21-'NF - 5 Power Mix'!FPA22</f>
        <v>0</v>
      </c>
      <c r="FPB42" s="1046">
        <f>FPB38+((FPB40+'NF - 5 Power Mix'!FPB14+'NF - 5 Power Mix'!FPB15)*860/10)+((('Form Sa1'!FPE835)*860)/10)+('Form Sa1'!FPE814*'Form Sa1'!FPE816/10)-'NF - 5 Power Mix'!FPB21-'NF - 5 Power Mix'!FPB22</f>
        <v>0</v>
      </c>
      <c r="FPC42" s="1046">
        <f>FPC38+((FPC40+'NF - 5 Power Mix'!FPC14+'NF - 5 Power Mix'!FPC15)*860/10)+((('Form Sa1'!FPF835)*860)/10)+('Form Sa1'!FPF814*'Form Sa1'!FPF816/10)-'NF - 5 Power Mix'!FPC21-'NF - 5 Power Mix'!FPC22</f>
        <v>0</v>
      </c>
      <c r="FPD42" s="1046">
        <f>FPD38+((FPD40+'NF - 5 Power Mix'!FPD14+'NF - 5 Power Mix'!FPD15)*860/10)+((('Form Sa1'!FPG835)*860)/10)+('Form Sa1'!FPG814*'Form Sa1'!FPG816/10)-'NF - 5 Power Mix'!FPD21-'NF - 5 Power Mix'!FPD22</f>
        <v>0</v>
      </c>
      <c r="FPE42" s="1046">
        <f>FPE38+((FPE40+'NF - 5 Power Mix'!FPE14+'NF - 5 Power Mix'!FPE15)*860/10)+((('Form Sa1'!FPH835)*860)/10)+('Form Sa1'!FPH814*'Form Sa1'!FPH816/10)-'NF - 5 Power Mix'!FPE21-'NF - 5 Power Mix'!FPE22</f>
        <v>0</v>
      </c>
      <c r="FPF42" s="1046">
        <f>FPF38+((FPF40+'NF - 5 Power Mix'!FPF14+'NF - 5 Power Mix'!FPF15)*860/10)+((('Form Sa1'!FPI835)*860)/10)+('Form Sa1'!FPI814*'Form Sa1'!FPI816/10)-'NF - 5 Power Mix'!FPF21-'NF - 5 Power Mix'!FPF22</f>
        <v>0</v>
      </c>
      <c r="FPG42" s="1046">
        <f>FPG38+((FPG40+'NF - 5 Power Mix'!FPG14+'NF - 5 Power Mix'!FPG15)*860/10)+((('Form Sa1'!FPJ835)*860)/10)+('Form Sa1'!FPJ814*'Form Sa1'!FPJ816/10)-'NF - 5 Power Mix'!FPG21-'NF - 5 Power Mix'!FPG22</f>
        <v>0</v>
      </c>
      <c r="FPH42" s="1046">
        <f>FPH38+((FPH40+'NF - 5 Power Mix'!FPH14+'NF - 5 Power Mix'!FPH15)*860/10)+((('Form Sa1'!FPK835)*860)/10)+('Form Sa1'!FPK814*'Form Sa1'!FPK816/10)-'NF - 5 Power Mix'!FPH21-'NF - 5 Power Mix'!FPH22</f>
        <v>0</v>
      </c>
      <c r="FPI42" s="1046">
        <f>FPI38+((FPI40+'NF - 5 Power Mix'!FPI14+'NF - 5 Power Mix'!FPI15)*860/10)+((('Form Sa1'!FPL835)*860)/10)+('Form Sa1'!FPL814*'Form Sa1'!FPL816/10)-'NF - 5 Power Mix'!FPI21-'NF - 5 Power Mix'!FPI22</f>
        <v>0</v>
      </c>
      <c r="FPJ42" s="1046">
        <f>FPJ38+((FPJ40+'NF - 5 Power Mix'!FPJ14+'NF - 5 Power Mix'!FPJ15)*860/10)+((('Form Sa1'!FPM835)*860)/10)+('Form Sa1'!FPM814*'Form Sa1'!FPM816/10)-'NF - 5 Power Mix'!FPJ21-'NF - 5 Power Mix'!FPJ22</f>
        <v>0</v>
      </c>
      <c r="FPK42" s="1046">
        <f>FPK38+((FPK40+'NF - 5 Power Mix'!FPK14+'NF - 5 Power Mix'!FPK15)*860/10)+((('Form Sa1'!FPN835)*860)/10)+('Form Sa1'!FPN814*'Form Sa1'!FPN816/10)-'NF - 5 Power Mix'!FPK21-'NF - 5 Power Mix'!FPK22</f>
        <v>0</v>
      </c>
      <c r="FPL42" s="1046">
        <f>FPL38+((FPL40+'NF - 5 Power Mix'!FPL14+'NF - 5 Power Mix'!FPL15)*860/10)+((('Form Sa1'!FPO835)*860)/10)+('Form Sa1'!FPO814*'Form Sa1'!FPO816/10)-'NF - 5 Power Mix'!FPL21-'NF - 5 Power Mix'!FPL22</f>
        <v>0</v>
      </c>
      <c r="FPM42" s="1046">
        <f>FPM38+((FPM40+'NF - 5 Power Mix'!FPM14+'NF - 5 Power Mix'!FPM15)*860/10)+((('Form Sa1'!FPP835)*860)/10)+('Form Sa1'!FPP814*'Form Sa1'!FPP816/10)-'NF - 5 Power Mix'!FPM21-'NF - 5 Power Mix'!FPM22</f>
        <v>0</v>
      </c>
      <c r="FPN42" s="1046">
        <f>FPN38+((FPN40+'NF - 5 Power Mix'!FPN14+'NF - 5 Power Mix'!FPN15)*860/10)+((('Form Sa1'!FPQ835)*860)/10)+('Form Sa1'!FPQ814*'Form Sa1'!FPQ816/10)-'NF - 5 Power Mix'!FPN21-'NF - 5 Power Mix'!FPN22</f>
        <v>0</v>
      </c>
      <c r="FPO42" s="1046">
        <f>FPO38+((FPO40+'NF - 5 Power Mix'!FPO14+'NF - 5 Power Mix'!FPO15)*860/10)+((('Form Sa1'!FPR835)*860)/10)+('Form Sa1'!FPR814*'Form Sa1'!FPR816/10)-'NF - 5 Power Mix'!FPO21-'NF - 5 Power Mix'!FPO22</f>
        <v>0</v>
      </c>
      <c r="FPP42" s="1046">
        <f>FPP38+((FPP40+'NF - 5 Power Mix'!FPP14+'NF - 5 Power Mix'!FPP15)*860/10)+((('Form Sa1'!FPS835)*860)/10)+('Form Sa1'!FPS814*'Form Sa1'!FPS816/10)-'NF - 5 Power Mix'!FPP21-'NF - 5 Power Mix'!FPP22</f>
        <v>0</v>
      </c>
      <c r="FPQ42" s="1046">
        <f>FPQ38+((FPQ40+'NF - 5 Power Mix'!FPQ14+'NF - 5 Power Mix'!FPQ15)*860/10)+((('Form Sa1'!FPT835)*860)/10)+('Form Sa1'!FPT814*'Form Sa1'!FPT816/10)-'NF - 5 Power Mix'!FPQ21-'NF - 5 Power Mix'!FPQ22</f>
        <v>0</v>
      </c>
      <c r="FPR42" s="1046">
        <f>FPR38+((FPR40+'NF - 5 Power Mix'!FPR14+'NF - 5 Power Mix'!FPR15)*860/10)+((('Form Sa1'!FPU835)*860)/10)+('Form Sa1'!FPU814*'Form Sa1'!FPU816/10)-'NF - 5 Power Mix'!FPR21-'NF - 5 Power Mix'!FPR22</f>
        <v>0</v>
      </c>
      <c r="FPS42" s="1046">
        <f>FPS38+((FPS40+'NF - 5 Power Mix'!FPS14+'NF - 5 Power Mix'!FPS15)*860/10)+((('Form Sa1'!FPV835)*860)/10)+('Form Sa1'!FPV814*'Form Sa1'!FPV816/10)-'NF - 5 Power Mix'!FPS21-'NF - 5 Power Mix'!FPS22</f>
        <v>0</v>
      </c>
      <c r="FPT42" s="1046">
        <f>FPT38+((FPT40+'NF - 5 Power Mix'!FPT14+'NF - 5 Power Mix'!FPT15)*860/10)+((('Form Sa1'!FPW835)*860)/10)+('Form Sa1'!FPW814*'Form Sa1'!FPW816/10)-'NF - 5 Power Mix'!FPT21-'NF - 5 Power Mix'!FPT22</f>
        <v>0</v>
      </c>
      <c r="FPU42" s="1046">
        <f>FPU38+((FPU40+'NF - 5 Power Mix'!FPU14+'NF - 5 Power Mix'!FPU15)*860/10)+((('Form Sa1'!FPX835)*860)/10)+('Form Sa1'!FPX814*'Form Sa1'!FPX816/10)-'NF - 5 Power Mix'!FPU21-'NF - 5 Power Mix'!FPU22</f>
        <v>0</v>
      </c>
      <c r="FPV42" s="1046">
        <f>FPV38+((FPV40+'NF - 5 Power Mix'!FPV14+'NF - 5 Power Mix'!FPV15)*860/10)+((('Form Sa1'!FPY835)*860)/10)+('Form Sa1'!FPY814*'Form Sa1'!FPY816/10)-'NF - 5 Power Mix'!FPV21-'NF - 5 Power Mix'!FPV22</f>
        <v>0</v>
      </c>
      <c r="FPW42" s="1046">
        <f>FPW38+((FPW40+'NF - 5 Power Mix'!FPW14+'NF - 5 Power Mix'!FPW15)*860/10)+((('Form Sa1'!FPZ835)*860)/10)+('Form Sa1'!FPZ814*'Form Sa1'!FPZ816/10)-'NF - 5 Power Mix'!FPW21-'NF - 5 Power Mix'!FPW22</f>
        <v>0</v>
      </c>
      <c r="FPX42" s="1046">
        <f>FPX38+((FPX40+'NF - 5 Power Mix'!FPX14+'NF - 5 Power Mix'!FPX15)*860/10)+((('Form Sa1'!FQA835)*860)/10)+('Form Sa1'!FQA814*'Form Sa1'!FQA816/10)-'NF - 5 Power Mix'!FPX21-'NF - 5 Power Mix'!FPX22</f>
        <v>0</v>
      </c>
      <c r="FPY42" s="1046">
        <f>FPY38+((FPY40+'NF - 5 Power Mix'!FPY14+'NF - 5 Power Mix'!FPY15)*860/10)+((('Form Sa1'!FQB835)*860)/10)+('Form Sa1'!FQB814*'Form Sa1'!FQB816/10)-'NF - 5 Power Mix'!FPY21-'NF - 5 Power Mix'!FPY22</f>
        <v>0</v>
      </c>
      <c r="FPZ42" s="1046">
        <f>FPZ38+((FPZ40+'NF - 5 Power Mix'!FPZ14+'NF - 5 Power Mix'!FPZ15)*860/10)+((('Form Sa1'!FQC835)*860)/10)+('Form Sa1'!FQC814*'Form Sa1'!FQC816/10)-'NF - 5 Power Mix'!FPZ21-'NF - 5 Power Mix'!FPZ22</f>
        <v>0</v>
      </c>
      <c r="FQA42" s="1046">
        <f>FQA38+((FQA40+'NF - 5 Power Mix'!FQA14+'NF - 5 Power Mix'!FQA15)*860/10)+((('Form Sa1'!FQD835)*860)/10)+('Form Sa1'!FQD814*'Form Sa1'!FQD816/10)-'NF - 5 Power Mix'!FQA21-'NF - 5 Power Mix'!FQA22</f>
        <v>0</v>
      </c>
      <c r="FQB42" s="1046">
        <f>FQB38+((FQB40+'NF - 5 Power Mix'!FQB14+'NF - 5 Power Mix'!FQB15)*860/10)+((('Form Sa1'!FQE835)*860)/10)+('Form Sa1'!FQE814*'Form Sa1'!FQE816/10)-'NF - 5 Power Mix'!FQB21-'NF - 5 Power Mix'!FQB22</f>
        <v>0</v>
      </c>
      <c r="FQC42" s="1046">
        <f>FQC38+((FQC40+'NF - 5 Power Mix'!FQC14+'NF - 5 Power Mix'!FQC15)*860/10)+((('Form Sa1'!FQF835)*860)/10)+('Form Sa1'!FQF814*'Form Sa1'!FQF816/10)-'NF - 5 Power Mix'!FQC21-'NF - 5 Power Mix'!FQC22</f>
        <v>0</v>
      </c>
      <c r="FQD42" s="1046">
        <f>FQD38+((FQD40+'NF - 5 Power Mix'!FQD14+'NF - 5 Power Mix'!FQD15)*860/10)+((('Form Sa1'!FQG835)*860)/10)+('Form Sa1'!FQG814*'Form Sa1'!FQG816/10)-'NF - 5 Power Mix'!FQD21-'NF - 5 Power Mix'!FQD22</f>
        <v>0</v>
      </c>
      <c r="FQE42" s="1046">
        <f>FQE38+((FQE40+'NF - 5 Power Mix'!FQE14+'NF - 5 Power Mix'!FQE15)*860/10)+((('Form Sa1'!FQH835)*860)/10)+('Form Sa1'!FQH814*'Form Sa1'!FQH816/10)-'NF - 5 Power Mix'!FQE21-'NF - 5 Power Mix'!FQE22</f>
        <v>0</v>
      </c>
      <c r="FQF42" s="1046">
        <f>FQF38+((FQF40+'NF - 5 Power Mix'!FQF14+'NF - 5 Power Mix'!FQF15)*860/10)+((('Form Sa1'!FQI835)*860)/10)+('Form Sa1'!FQI814*'Form Sa1'!FQI816/10)-'NF - 5 Power Mix'!FQF21-'NF - 5 Power Mix'!FQF22</f>
        <v>0</v>
      </c>
      <c r="FQG42" s="1046">
        <f>FQG38+((FQG40+'NF - 5 Power Mix'!FQG14+'NF - 5 Power Mix'!FQG15)*860/10)+((('Form Sa1'!FQJ835)*860)/10)+('Form Sa1'!FQJ814*'Form Sa1'!FQJ816/10)-'NF - 5 Power Mix'!FQG21-'NF - 5 Power Mix'!FQG22</f>
        <v>0</v>
      </c>
      <c r="FQH42" s="1046">
        <f>FQH38+((FQH40+'NF - 5 Power Mix'!FQH14+'NF - 5 Power Mix'!FQH15)*860/10)+((('Form Sa1'!FQK835)*860)/10)+('Form Sa1'!FQK814*'Form Sa1'!FQK816/10)-'NF - 5 Power Mix'!FQH21-'NF - 5 Power Mix'!FQH22</f>
        <v>0</v>
      </c>
      <c r="FQI42" s="1046">
        <f>FQI38+((FQI40+'NF - 5 Power Mix'!FQI14+'NF - 5 Power Mix'!FQI15)*860/10)+((('Form Sa1'!FQL835)*860)/10)+('Form Sa1'!FQL814*'Form Sa1'!FQL816/10)-'NF - 5 Power Mix'!FQI21-'NF - 5 Power Mix'!FQI22</f>
        <v>0</v>
      </c>
      <c r="FQJ42" s="1046">
        <f>FQJ38+((FQJ40+'NF - 5 Power Mix'!FQJ14+'NF - 5 Power Mix'!FQJ15)*860/10)+((('Form Sa1'!FQM835)*860)/10)+('Form Sa1'!FQM814*'Form Sa1'!FQM816/10)-'NF - 5 Power Mix'!FQJ21-'NF - 5 Power Mix'!FQJ22</f>
        <v>0</v>
      </c>
      <c r="FQK42" s="1046">
        <f>FQK38+((FQK40+'NF - 5 Power Mix'!FQK14+'NF - 5 Power Mix'!FQK15)*860/10)+((('Form Sa1'!FQN835)*860)/10)+('Form Sa1'!FQN814*'Form Sa1'!FQN816/10)-'NF - 5 Power Mix'!FQK21-'NF - 5 Power Mix'!FQK22</f>
        <v>0</v>
      </c>
      <c r="FQL42" s="1046">
        <f>FQL38+((FQL40+'NF - 5 Power Mix'!FQL14+'NF - 5 Power Mix'!FQL15)*860/10)+((('Form Sa1'!FQO835)*860)/10)+('Form Sa1'!FQO814*'Form Sa1'!FQO816/10)-'NF - 5 Power Mix'!FQL21-'NF - 5 Power Mix'!FQL22</f>
        <v>0</v>
      </c>
      <c r="FQM42" s="1046">
        <f>FQM38+((FQM40+'NF - 5 Power Mix'!FQM14+'NF - 5 Power Mix'!FQM15)*860/10)+((('Form Sa1'!FQP835)*860)/10)+('Form Sa1'!FQP814*'Form Sa1'!FQP816/10)-'NF - 5 Power Mix'!FQM21-'NF - 5 Power Mix'!FQM22</f>
        <v>0</v>
      </c>
      <c r="FQN42" s="1046">
        <f>FQN38+((FQN40+'NF - 5 Power Mix'!FQN14+'NF - 5 Power Mix'!FQN15)*860/10)+((('Form Sa1'!FQQ835)*860)/10)+('Form Sa1'!FQQ814*'Form Sa1'!FQQ816/10)-'NF - 5 Power Mix'!FQN21-'NF - 5 Power Mix'!FQN22</f>
        <v>0</v>
      </c>
      <c r="FQO42" s="1046">
        <f>FQO38+((FQO40+'NF - 5 Power Mix'!FQO14+'NF - 5 Power Mix'!FQO15)*860/10)+((('Form Sa1'!FQR835)*860)/10)+('Form Sa1'!FQR814*'Form Sa1'!FQR816/10)-'NF - 5 Power Mix'!FQO21-'NF - 5 Power Mix'!FQO22</f>
        <v>0</v>
      </c>
      <c r="FQP42" s="1046">
        <f>FQP38+((FQP40+'NF - 5 Power Mix'!FQP14+'NF - 5 Power Mix'!FQP15)*860/10)+((('Form Sa1'!FQS835)*860)/10)+('Form Sa1'!FQS814*'Form Sa1'!FQS816/10)-'NF - 5 Power Mix'!FQP21-'NF - 5 Power Mix'!FQP22</f>
        <v>0</v>
      </c>
      <c r="FQQ42" s="1046">
        <f>FQQ38+((FQQ40+'NF - 5 Power Mix'!FQQ14+'NF - 5 Power Mix'!FQQ15)*860/10)+((('Form Sa1'!FQT835)*860)/10)+('Form Sa1'!FQT814*'Form Sa1'!FQT816/10)-'NF - 5 Power Mix'!FQQ21-'NF - 5 Power Mix'!FQQ22</f>
        <v>0</v>
      </c>
      <c r="FQR42" s="1046">
        <f>FQR38+((FQR40+'NF - 5 Power Mix'!FQR14+'NF - 5 Power Mix'!FQR15)*860/10)+((('Form Sa1'!FQU835)*860)/10)+('Form Sa1'!FQU814*'Form Sa1'!FQU816/10)-'NF - 5 Power Mix'!FQR21-'NF - 5 Power Mix'!FQR22</f>
        <v>0</v>
      </c>
      <c r="FQS42" s="1046">
        <f>FQS38+((FQS40+'NF - 5 Power Mix'!FQS14+'NF - 5 Power Mix'!FQS15)*860/10)+((('Form Sa1'!FQV835)*860)/10)+('Form Sa1'!FQV814*'Form Sa1'!FQV816/10)-'NF - 5 Power Mix'!FQS21-'NF - 5 Power Mix'!FQS22</f>
        <v>0</v>
      </c>
      <c r="FQT42" s="1046">
        <f>FQT38+((FQT40+'NF - 5 Power Mix'!FQT14+'NF - 5 Power Mix'!FQT15)*860/10)+((('Form Sa1'!FQW835)*860)/10)+('Form Sa1'!FQW814*'Form Sa1'!FQW816/10)-'NF - 5 Power Mix'!FQT21-'NF - 5 Power Mix'!FQT22</f>
        <v>0</v>
      </c>
      <c r="FQU42" s="1046">
        <f>FQU38+((FQU40+'NF - 5 Power Mix'!FQU14+'NF - 5 Power Mix'!FQU15)*860/10)+((('Form Sa1'!FQX835)*860)/10)+('Form Sa1'!FQX814*'Form Sa1'!FQX816/10)-'NF - 5 Power Mix'!FQU21-'NF - 5 Power Mix'!FQU22</f>
        <v>0</v>
      </c>
      <c r="FQV42" s="1046">
        <f>FQV38+((FQV40+'NF - 5 Power Mix'!FQV14+'NF - 5 Power Mix'!FQV15)*860/10)+((('Form Sa1'!FQY835)*860)/10)+('Form Sa1'!FQY814*'Form Sa1'!FQY816/10)-'NF - 5 Power Mix'!FQV21-'NF - 5 Power Mix'!FQV22</f>
        <v>0</v>
      </c>
      <c r="FQW42" s="1046">
        <f>FQW38+((FQW40+'NF - 5 Power Mix'!FQW14+'NF - 5 Power Mix'!FQW15)*860/10)+((('Form Sa1'!FQZ835)*860)/10)+('Form Sa1'!FQZ814*'Form Sa1'!FQZ816/10)-'NF - 5 Power Mix'!FQW21-'NF - 5 Power Mix'!FQW22</f>
        <v>0</v>
      </c>
      <c r="FQX42" s="1046">
        <f>FQX38+((FQX40+'NF - 5 Power Mix'!FQX14+'NF - 5 Power Mix'!FQX15)*860/10)+((('Form Sa1'!FRA835)*860)/10)+('Form Sa1'!FRA814*'Form Sa1'!FRA816/10)-'NF - 5 Power Mix'!FQX21-'NF - 5 Power Mix'!FQX22</f>
        <v>0</v>
      </c>
      <c r="FQY42" s="1046">
        <f>FQY38+((FQY40+'NF - 5 Power Mix'!FQY14+'NF - 5 Power Mix'!FQY15)*860/10)+((('Form Sa1'!FRB835)*860)/10)+('Form Sa1'!FRB814*'Form Sa1'!FRB816/10)-'NF - 5 Power Mix'!FQY21-'NF - 5 Power Mix'!FQY22</f>
        <v>0</v>
      </c>
      <c r="FQZ42" s="1046">
        <f>FQZ38+((FQZ40+'NF - 5 Power Mix'!FQZ14+'NF - 5 Power Mix'!FQZ15)*860/10)+((('Form Sa1'!FRC835)*860)/10)+('Form Sa1'!FRC814*'Form Sa1'!FRC816/10)-'NF - 5 Power Mix'!FQZ21-'NF - 5 Power Mix'!FQZ22</f>
        <v>0</v>
      </c>
      <c r="FRA42" s="1046">
        <f>FRA38+((FRA40+'NF - 5 Power Mix'!FRA14+'NF - 5 Power Mix'!FRA15)*860/10)+((('Form Sa1'!FRD835)*860)/10)+('Form Sa1'!FRD814*'Form Sa1'!FRD816/10)-'NF - 5 Power Mix'!FRA21-'NF - 5 Power Mix'!FRA22</f>
        <v>0</v>
      </c>
      <c r="FRB42" s="1046">
        <f>FRB38+((FRB40+'NF - 5 Power Mix'!FRB14+'NF - 5 Power Mix'!FRB15)*860/10)+((('Form Sa1'!FRE835)*860)/10)+('Form Sa1'!FRE814*'Form Sa1'!FRE816/10)-'NF - 5 Power Mix'!FRB21-'NF - 5 Power Mix'!FRB22</f>
        <v>0</v>
      </c>
      <c r="FRC42" s="1046">
        <f>FRC38+((FRC40+'NF - 5 Power Mix'!FRC14+'NF - 5 Power Mix'!FRC15)*860/10)+((('Form Sa1'!FRF835)*860)/10)+('Form Sa1'!FRF814*'Form Sa1'!FRF816/10)-'NF - 5 Power Mix'!FRC21-'NF - 5 Power Mix'!FRC22</f>
        <v>0</v>
      </c>
      <c r="FRD42" s="1046">
        <f>FRD38+((FRD40+'NF - 5 Power Mix'!FRD14+'NF - 5 Power Mix'!FRD15)*860/10)+((('Form Sa1'!FRG835)*860)/10)+('Form Sa1'!FRG814*'Form Sa1'!FRG816/10)-'NF - 5 Power Mix'!FRD21-'NF - 5 Power Mix'!FRD22</f>
        <v>0</v>
      </c>
      <c r="FRE42" s="1046">
        <f>FRE38+((FRE40+'NF - 5 Power Mix'!FRE14+'NF - 5 Power Mix'!FRE15)*860/10)+((('Form Sa1'!FRH835)*860)/10)+('Form Sa1'!FRH814*'Form Sa1'!FRH816/10)-'NF - 5 Power Mix'!FRE21-'NF - 5 Power Mix'!FRE22</f>
        <v>0</v>
      </c>
      <c r="FRF42" s="1046">
        <f>FRF38+((FRF40+'NF - 5 Power Mix'!FRF14+'NF - 5 Power Mix'!FRF15)*860/10)+((('Form Sa1'!FRI835)*860)/10)+('Form Sa1'!FRI814*'Form Sa1'!FRI816/10)-'NF - 5 Power Mix'!FRF21-'NF - 5 Power Mix'!FRF22</f>
        <v>0</v>
      </c>
      <c r="FRG42" s="1046">
        <f>FRG38+((FRG40+'NF - 5 Power Mix'!FRG14+'NF - 5 Power Mix'!FRG15)*860/10)+((('Form Sa1'!FRJ835)*860)/10)+('Form Sa1'!FRJ814*'Form Sa1'!FRJ816/10)-'NF - 5 Power Mix'!FRG21-'NF - 5 Power Mix'!FRG22</f>
        <v>0</v>
      </c>
      <c r="FRH42" s="1046">
        <f>FRH38+((FRH40+'NF - 5 Power Mix'!FRH14+'NF - 5 Power Mix'!FRH15)*860/10)+((('Form Sa1'!FRK835)*860)/10)+('Form Sa1'!FRK814*'Form Sa1'!FRK816/10)-'NF - 5 Power Mix'!FRH21-'NF - 5 Power Mix'!FRH22</f>
        <v>0</v>
      </c>
      <c r="FRI42" s="1046">
        <f>FRI38+((FRI40+'NF - 5 Power Mix'!FRI14+'NF - 5 Power Mix'!FRI15)*860/10)+((('Form Sa1'!FRL835)*860)/10)+('Form Sa1'!FRL814*'Form Sa1'!FRL816/10)-'NF - 5 Power Mix'!FRI21-'NF - 5 Power Mix'!FRI22</f>
        <v>0</v>
      </c>
      <c r="FRJ42" s="1046">
        <f>FRJ38+((FRJ40+'NF - 5 Power Mix'!FRJ14+'NF - 5 Power Mix'!FRJ15)*860/10)+((('Form Sa1'!FRM835)*860)/10)+('Form Sa1'!FRM814*'Form Sa1'!FRM816/10)-'NF - 5 Power Mix'!FRJ21-'NF - 5 Power Mix'!FRJ22</f>
        <v>0</v>
      </c>
      <c r="FRK42" s="1046">
        <f>FRK38+((FRK40+'NF - 5 Power Mix'!FRK14+'NF - 5 Power Mix'!FRK15)*860/10)+((('Form Sa1'!FRN835)*860)/10)+('Form Sa1'!FRN814*'Form Sa1'!FRN816/10)-'NF - 5 Power Mix'!FRK21-'NF - 5 Power Mix'!FRK22</f>
        <v>0</v>
      </c>
      <c r="FRL42" s="1046">
        <f>FRL38+((FRL40+'NF - 5 Power Mix'!FRL14+'NF - 5 Power Mix'!FRL15)*860/10)+((('Form Sa1'!FRO835)*860)/10)+('Form Sa1'!FRO814*'Form Sa1'!FRO816/10)-'NF - 5 Power Mix'!FRL21-'NF - 5 Power Mix'!FRL22</f>
        <v>0</v>
      </c>
      <c r="FRM42" s="1046">
        <f>FRM38+((FRM40+'NF - 5 Power Mix'!FRM14+'NF - 5 Power Mix'!FRM15)*860/10)+((('Form Sa1'!FRP835)*860)/10)+('Form Sa1'!FRP814*'Form Sa1'!FRP816/10)-'NF - 5 Power Mix'!FRM21-'NF - 5 Power Mix'!FRM22</f>
        <v>0</v>
      </c>
      <c r="FRN42" s="1046">
        <f>FRN38+((FRN40+'NF - 5 Power Mix'!FRN14+'NF - 5 Power Mix'!FRN15)*860/10)+((('Form Sa1'!FRQ835)*860)/10)+('Form Sa1'!FRQ814*'Form Sa1'!FRQ816/10)-'NF - 5 Power Mix'!FRN21-'NF - 5 Power Mix'!FRN22</f>
        <v>0</v>
      </c>
      <c r="FRO42" s="1046">
        <f>FRO38+((FRO40+'NF - 5 Power Mix'!FRO14+'NF - 5 Power Mix'!FRO15)*860/10)+((('Form Sa1'!FRR835)*860)/10)+('Form Sa1'!FRR814*'Form Sa1'!FRR816/10)-'NF - 5 Power Mix'!FRO21-'NF - 5 Power Mix'!FRO22</f>
        <v>0</v>
      </c>
      <c r="FRP42" s="1046">
        <f>FRP38+((FRP40+'NF - 5 Power Mix'!FRP14+'NF - 5 Power Mix'!FRP15)*860/10)+((('Form Sa1'!FRS835)*860)/10)+('Form Sa1'!FRS814*'Form Sa1'!FRS816/10)-'NF - 5 Power Mix'!FRP21-'NF - 5 Power Mix'!FRP22</f>
        <v>0</v>
      </c>
      <c r="FRQ42" s="1046">
        <f>FRQ38+((FRQ40+'NF - 5 Power Mix'!FRQ14+'NF - 5 Power Mix'!FRQ15)*860/10)+((('Form Sa1'!FRT835)*860)/10)+('Form Sa1'!FRT814*'Form Sa1'!FRT816/10)-'NF - 5 Power Mix'!FRQ21-'NF - 5 Power Mix'!FRQ22</f>
        <v>0</v>
      </c>
      <c r="FRR42" s="1046">
        <f>FRR38+((FRR40+'NF - 5 Power Mix'!FRR14+'NF - 5 Power Mix'!FRR15)*860/10)+((('Form Sa1'!FRU835)*860)/10)+('Form Sa1'!FRU814*'Form Sa1'!FRU816/10)-'NF - 5 Power Mix'!FRR21-'NF - 5 Power Mix'!FRR22</f>
        <v>0</v>
      </c>
      <c r="FRS42" s="1046">
        <f>FRS38+((FRS40+'NF - 5 Power Mix'!FRS14+'NF - 5 Power Mix'!FRS15)*860/10)+((('Form Sa1'!FRV835)*860)/10)+('Form Sa1'!FRV814*'Form Sa1'!FRV816/10)-'NF - 5 Power Mix'!FRS21-'NF - 5 Power Mix'!FRS22</f>
        <v>0</v>
      </c>
      <c r="FRT42" s="1046">
        <f>FRT38+((FRT40+'NF - 5 Power Mix'!FRT14+'NF - 5 Power Mix'!FRT15)*860/10)+((('Form Sa1'!FRW835)*860)/10)+('Form Sa1'!FRW814*'Form Sa1'!FRW816/10)-'NF - 5 Power Mix'!FRT21-'NF - 5 Power Mix'!FRT22</f>
        <v>0</v>
      </c>
      <c r="FRU42" s="1046">
        <f>FRU38+((FRU40+'NF - 5 Power Mix'!FRU14+'NF - 5 Power Mix'!FRU15)*860/10)+((('Form Sa1'!FRX835)*860)/10)+('Form Sa1'!FRX814*'Form Sa1'!FRX816/10)-'NF - 5 Power Mix'!FRU21-'NF - 5 Power Mix'!FRU22</f>
        <v>0</v>
      </c>
      <c r="FRV42" s="1046">
        <f>FRV38+((FRV40+'NF - 5 Power Mix'!FRV14+'NF - 5 Power Mix'!FRV15)*860/10)+((('Form Sa1'!FRY835)*860)/10)+('Form Sa1'!FRY814*'Form Sa1'!FRY816/10)-'NF - 5 Power Mix'!FRV21-'NF - 5 Power Mix'!FRV22</f>
        <v>0</v>
      </c>
      <c r="FRW42" s="1046">
        <f>FRW38+((FRW40+'NF - 5 Power Mix'!FRW14+'NF - 5 Power Mix'!FRW15)*860/10)+((('Form Sa1'!FRZ835)*860)/10)+('Form Sa1'!FRZ814*'Form Sa1'!FRZ816/10)-'NF - 5 Power Mix'!FRW21-'NF - 5 Power Mix'!FRW22</f>
        <v>0</v>
      </c>
      <c r="FRX42" s="1046">
        <f>FRX38+((FRX40+'NF - 5 Power Mix'!FRX14+'NF - 5 Power Mix'!FRX15)*860/10)+((('Form Sa1'!FSA835)*860)/10)+('Form Sa1'!FSA814*'Form Sa1'!FSA816/10)-'NF - 5 Power Mix'!FRX21-'NF - 5 Power Mix'!FRX22</f>
        <v>0</v>
      </c>
      <c r="FRY42" s="1046">
        <f>FRY38+((FRY40+'NF - 5 Power Mix'!FRY14+'NF - 5 Power Mix'!FRY15)*860/10)+((('Form Sa1'!FSB835)*860)/10)+('Form Sa1'!FSB814*'Form Sa1'!FSB816/10)-'NF - 5 Power Mix'!FRY21-'NF - 5 Power Mix'!FRY22</f>
        <v>0</v>
      </c>
      <c r="FRZ42" s="1046">
        <f>FRZ38+((FRZ40+'NF - 5 Power Mix'!FRZ14+'NF - 5 Power Mix'!FRZ15)*860/10)+((('Form Sa1'!FSC835)*860)/10)+('Form Sa1'!FSC814*'Form Sa1'!FSC816/10)-'NF - 5 Power Mix'!FRZ21-'NF - 5 Power Mix'!FRZ22</f>
        <v>0</v>
      </c>
      <c r="FSA42" s="1046">
        <f>FSA38+((FSA40+'NF - 5 Power Mix'!FSA14+'NF - 5 Power Mix'!FSA15)*860/10)+((('Form Sa1'!FSD835)*860)/10)+('Form Sa1'!FSD814*'Form Sa1'!FSD816/10)-'NF - 5 Power Mix'!FSA21-'NF - 5 Power Mix'!FSA22</f>
        <v>0</v>
      </c>
      <c r="FSB42" s="1046">
        <f>FSB38+((FSB40+'NF - 5 Power Mix'!FSB14+'NF - 5 Power Mix'!FSB15)*860/10)+((('Form Sa1'!FSE835)*860)/10)+('Form Sa1'!FSE814*'Form Sa1'!FSE816/10)-'NF - 5 Power Mix'!FSB21-'NF - 5 Power Mix'!FSB22</f>
        <v>0</v>
      </c>
      <c r="FSC42" s="1046">
        <f>FSC38+((FSC40+'NF - 5 Power Mix'!FSC14+'NF - 5 Power Mix'!FSC15)*860/10)+((('Form Sa1'!FSF835)*860)/10)+('Form Sa1'!FSF814*'Form Sa1'!FSF816/10)-'NF - 5 Power Mix'!FSC21-'NF - 5 Power Mix'!FSC22</f>
        <v>0</v>
      </c>
      <c r="FSD42" s="1046">
        <f>FSD38+((FSD40+'NF - 5 Power Mix'!FSD14+'NF - 5 Power Mix'!FSD15)*860/10)+((('Form Sa1'!FSG835)*860)/10)+('Form Sa1'!FSG814*'Form Sa1'!FSG816/10)-'NF - 5 Power Mix'!FSD21-'NF - 5 Power Mix'!FSD22</f>
        <v>0</v>
      </c>
      <c r="FSE42" s="1046">
        <f>FSE38+((FSE40+'NF - 5 Power Mix'!FSE14+'NF - 5 Power Mix'!FSE15)*860/10)+((('Form Sa1'!FSH835)*860)/10)+('Form Sa1'!FSH814*'Form Sa1'!FSH816/10)-'NF - 5 Power Mix'!FSE21-'NF - 5 Power Mix'!FSE22</f>
        <v>0</v>
      </c>
      <c r="FSF42" s="1046">
        <f>FSF38+((FSF40+'NF - 5 Power Mix'!FSF14+'NF - 5 Power Mix'!FSF15)*860/10)+((('Form Sa1'!FSI835)*860)/10)+('Form Sa1'!FSI814*'Form Sa1'!FSI816/10)-'NF - 5 Power Mix'!FSF21-'NF - 5 Power Mix'!FSF22</f>
        <v>0</v>
      </c>
      <c r="FSG42" s="1046">
        <f>FSG38+((FSG40+'NF - 5 Power Mix'!FSG14+'NF - 5 Power Mix'!FSG15)*860/10)+((('Form Sa1'!FSJ835)*860)/10)+('Form Sa1'!FSJ814*'Form Sa1'!FSJ816/10)-'NF - 5 Power Mix'!FSG21-'NF - 5 Power Mix'!FSG22</f>
        <v>0</v>
      </c>
      <c r="FSH42" s="1046">
        <f>FSH38+((FSH40+'NF - 5 Power Mix'!FSH14+'NF - 5 Power Mix'!FSH15)*860/10)+((('Form Sa1'!FSK835)*860)/10)+('Form Sa1'!FSK814*'Form Sa1'!FSK816/10)-'NF - 5 Power Mix'!FSH21-'NF - 5 Power Mix'!FSH22</f>
        <v>0</v>
      </c>
      <c r="FSI42" s="1046">
        <f>FSI38+((FSI40+'NF - 5 Power Mix'!FSI14+'NF - 5 Power Mix'!FSI15)*860/10)+((('Form Sa1'!FSL835)*860)/10)+('Form Sa1'!FSL814*'Form Sa1'!FSL816/10)-'NF - 5 Power Mix'!FSI21-'NF - 5 Power Mix'!FSI22</f>
        <v>0</v>
      </c>
      <c r="FSJ42" s="1046">
        <f>FSJ38+((FSJ40+'NF - 5 Power Mix'!FSJ14+'NF - 5 Power Mix'!FSJ15)*860/10)+((('Form Sa1'!FSM835)*860)/10)+('Form Sa1'!FSM814*'Form Sa1'!FSM816/10)-'NF - 5 Power Mix'!FSJ21-'NF - 5 Power Mix'!FSJ22</f>
        <v>0</v>
      </c>
      <c r="FSK42" s="1046">
        <f>FSK38+((FSK40+'NF - 5 Power Mix'!FSK14+'NF - 5 Power Mix'!FSK15)*860/10)+((('Form Sa1'!FSN835)*860)/10)+('Form Sa1'!FSN814*'Form Sa1'!FSN816/10)-'NF - 5 Power Mix'!FSK21-'NF - 5 Power Mix'!FSK22</f>
        <v>0</v>
      </c>
      <c r="FSL42" s="1046">
        <f>FSL38+((FSL40+'NF - 5 Power Mix'!FSL14+'NF - 5 Power Mix'!FSL15)*860/10)+((('Form Sa1'!FSO835)*860)/10)+('Form Sa1'!FSO814*'Form Sa1'!FSO816/10)-'NF - 5 Power Mix'!FSL21-'NF - 5 Power Mix'!FSL22</f>
        <v>0</v>
      </c>
      <c r="FSM42" s="1046">
        <f>FSM38+((FSM40+'NF - 5 Power Mix'!FSM14+'NF - 5 Power Mix'!FSM15)*860/10)+((('Form Sa1'!FSP835)*860)/10)+('Form Sa1'!FSP814*'Form Sa1'!FSP816/10)-'NF - 5 Power Mix'!FSM21-'NF - 5 Power Mix'!FSM22</f>
        <v>0</v>
      </c>
      <c r="FSN42" s="1046">
        <f>FSN38+((FSN40+'NF - 5 Power Mix'!FSN14+'NF - 5 Power Mix'!FSN15)*860/10)+((('Form Sa1'!FSQ835)*860)/10)+('Form Sa1'!FSQ814*'Form Sa1'!FSQ816/10)-'NF - 5 Power Mix'!FSN21-'NF - 5 Power Mix'!FSN22</f>
        <v>0</v>
      </c>
      <c r="FSO42" s="1046">
        <f>FSO38+((FSO40+'NF - 5 Power Mix'!FSO14+'NF - 5 Power Mix'!FSO15)*860/10)+((('Form Sa1'!FSR835)*860)/10)+('Form Sa1'!FSR814*'Form Sa1'!FSR816/10)-'NF - 5 Power Mix'!FSO21-'NF - 5 Power Mix'!FSO22</f>
        <v>0</v>
      </c>
      <c r="FSP42" s="1046">
        <f>FSP38+((FSP40+'NF - 5 Power Mix'!FSP14+'NF - 5 Power Mix'!FSP15)*860/10)+((('Form Sa1'!FSS835)*860)/10)+('Form Sa1'!FSS814*'Form Sa1'!FSS816/10)-'NF - 5 Power Mix'!FSP21-'NF - 5 Power Mix'!FSP22</f>
        <v>0</v>
      </c>
      <c r="FSQ42" s="1046">
        <f>FSQ38+((FSQ40+'NF - 5 Power Mix'!FSQ14+'NF - 5 Power Mix'!FSQ15)*860/10)+((('Form Sa1'!FST835)*860)/10)+('Form Sa1'!FST814*'Form Sa1'!FST816/10)-'NF - 5 Power Mix'!FSQ21-'NF - 5 Power Mix'!FSQ22</f>
        <v>0</v>
      </c>
      <c r="FSR42" s="1046">
        <f>FSR38+((FSR40+'NF - 5 Power Mix'!FSR14+'NF - 5 Power Mix'!FSR15)*860/10)+((('Form Sa1'!FSU835)*860)/10)+('Form Sa1'!FSU814*'Form Sa1'!FSU816/10)-'NF - 5 Power Mix'!FSR21-'NF - 5 Power Mix'!FSR22</f>
        <v>0</v>
      </c>
      <c r="FSS42" s="1046">
        <f>FSS38+((FSS40+'NF - 5 Power Mix'!FSS14+'NF - 5 Power Mix'!FSS15)*860/10)+((('Form Sa1'!FSV835)*860)/10)+('Form Sa1'!FSV814*'Form Sa1'!FSV816/10)-'NF - 5 Power Mix'!FSS21-'NF - 5 Power Mix'!FSS22</f>
        <v>0</v>
      </c>
      <c r="FST42" s="1046">
        <f>FST38+((FST40+'NF - 5 Power Mix'!FST14+'NF - 5 Power Mix'!FST15)*860/10)+((('Form Sa1'!FSW835)*860)/10)+('Form Sa1'!FSW814*'Form Sa1'!FSW816/10)-'NF - 5 Power Mix'!FST21-'NF - 5 Power Mix'!FST22</f>
        <v>0</v>
      </c>
      <c r="FSU42" s="1046">
        <f>FSU38+((FSU40+'NF - 5 Power Mix'!FSU14+'NF - 5 Power Mix'!FSU15)*860/10)+((('Form Sa1'!FSX835)*860)/10)+('Form Sa1'!FSX814*'Form Sa1'!FSX816/10)-'NF - 5 Power Mix'!FSU21-'NF - 5 Power Mix'!FSU22</f>
        <v>0</v>
      </c>
      <c r="FSV42" s="1046">
        <f>FSV38+((FSV40+'NF - 5 Power Mix'!FSV14+'NF - 5 Power Mix'!FSV15)*860/10)+((('Form Sa1'!FSY835)*860)/10)+('Form Sa1'!FSY814*'Form Sa1'!FSY816/10)-'NF - 5 Power Mix'!FSV21-'NF - 5 Power Mix'!FSV22</f>
        <v>0</v>
      </c>
      <c r="FSW42" s="1046">
        <f>FSW38+((FSW40+'NF - 5 Power Mix'!FSW14+'NF - 5 Power Mix'!FSW15)*860/10)+((('Form Sa1'!FSZ835)*860)/10)+('Form Sa1'!FSZ814*'Form Sa1'!FSZ816/10)-'NF - 5 Power Mix'!FSW21-'NF - 5 Power Mix'!FSW22</f>
        <v>0</v>
      </c>
      <c r="FSX42" s="1046">
        <f>FSX38+((FSX40+'NF - 5 Power Mix'!FSX14+'NF - 5 Power Mix'!FSX15)*860/10)+((('Form Sa1'!FTA835)*860)/10)+('Form Sa1'!FTA814*'Form Sa1'!FTA816/10)-'NF - 5 Power Mix'!FSX21-'NF - 5 Power Mix'!FSX22</f>
        <v>0</v>
      </c>
      <c r="FSY42" s="1046">
        <f>FSY38+((FSY40+'NF - 5 Power Mix'!FSY14+'NF - 5 Power Mix'!FSY15)*860/10)+((('Form Sa1'!FTB835)*860)/10)+('Form Sa1'!FTB814*'Form Sa1'!FTB816/10)-'NF - 5 Power Mix'!FSY21-'NF - 5 Power Mix'!FSY22</f>
        <v>0</v>
      </c>
      <c r="FSZ42" s="1046">
        <f>FSZ38+((FSZ40+'NF - 5 Power Mix'!FSZ14+'NF - 5 Power Mix'!FSZ15)*860/10)+((('Form Sa1'!FTC835)*860)/10)+('Form Sa1'!FTC814*'Form Sa1'!FTC816/10)-'NF - 5 Power Mix'!FSZ21-'NF - 5 Power Mix'!FSZ22</f>
        <v>0</v>
      </c>
      <c r="FTA42" s="1046">
        <f>FTA38+((FTA40+'NF - 5 Power Mix'!FTA14+'NF - 5 Power Mix'!FTA15)*860/10)+((('Form Sa1'!FTD835)*860)/10)+('Form Sa1'!FTD814*'Form Sa1'!FTD816/10)-'NF - 5 Power Mix'!FTA21-'NF - 5 Power Mix'!FTA22</f>
        <v>0</v>
      </c>
      <c r="FTB42" s="1046">
        <f>FTB38+((FTB40+'NF - 5 Power Mix'!FTB14+'NF - 5 Power Mix'!FTB15)*860/10)+((('Form Sa1'!FTE835)*860)/10)+('Form Sa1'!FTE814*'Form Sa1'!FTE816/10)-'NF - 5 Power Mix'!FTB21-'NF - 5 Power Mix'!FTB22</f>
        <v>0</v>
      </c>
      <c r="FTC42" s="1046">
        <f>FTC38+((FTC40+'NF - 5 Power Mix'!FTC14+'NF - 5 Power Mix'!FTC15)*860/10)+((('Form Sa1'!FTF835)*860)/10)+('Form Sa1'!FTF814*'Form Sa1'!FTF816/10)-'NF - 5 Power Mix'!FTC21-'NF - 5 Power Mix'!FTC22</f>
        <v>0</v>
      </c>
      <c r="FTD42" s="1046">
        <f>FTD38+((FTD40+'NF - 5 Power Mix'!FTD14+'NF - 5 Power Mix'!FTD15)*860/10)+((('Form Sa1'!FTG835)*860)/10)+('Form Sa1'!FTG814*'Form Sa1'!FTG816/10)-'NF - 5 Power Mix'!FTD21-'NF - 5 Power Mix'!FTD22</f>
        <v>0</v>
      </c>
      <c r="FTE42" s="1046">
        <f>FTE38+((FTE40+'NF - 5 Power Mix'!FTE14+'NF - 5 Power Mix'!FTE15)*860/10)+((('Form Sa1'!FTH835)*860)/10)+('Form Sa1'!FTH814*'Form Sa1'!FTH816/10)-'NF - 5 Power Mix'!FTE21-'NF - 5 Power Mix'!FTE22</f>
        <v>0</v>
      </c>
      <c r="FTF42" s="1046">
        <f>FTF38+((FTF40+'NF - 5 Power Mix'!FTF14+'NF - 5 Power Mix'!FTF15)*860/10)+((('Form Sa1'!FTI835)*860)/10)+('Form Sa1'!FTI814*'Form Sa1'!FTI816/10)-'NF - 5 Power Mix'!FTF21-'NF - 5 Power Mix'!FTF22</f>
        <v>0</v>
      </c>
      <c r="FTG42" s="1046">
        <f>FTG38+((FTG40+'NF - 5 Power Mix'!FTG14+'NF - 5 Power Mix'!FTG15)*860/10)+((('Form Sa1'!FTJ835)*860)/10)+('Form Sa1'!FTJ814*'Form Sa1'!FTJ816/10)-'NF - 5 Power Mix'!FTG21-'NF - 5 Power Mix'!FTG22</f>
        <v>0</v>
      </c>
      <c r="FTH42" s="1046">
        <f>FTH38+((FTH40+'NF - 5 Power Mix'!FTH14+'NF - 5 Power Mix'!FTH15)*860/10)+((('Form Sa1'!FTK835)*860)/10)+('Form Sa1'!FTK814*'Form Sa1'!FTK816/10)-'NF - 5 Power Mix'!FTH21-'NF - 5 Power Mix'!FTH22</f>
        <v>0</v>
      </c>
      <c r="FTI42" s="1046">
        <f>FTI38+((FTI40+'NF - 5 Power Mix'!FTI14+'NF - 5 Power Mix'!FTI15)*860/10)+((('Form Sa1'!FTL835)*860)/10)+('Form Sa1'!FTL814*'Form Sa1'!FTL816/10)-'NF - 5 Power Mix'!FTI21-'NF - 5 Power Mix'!FTI22</f>
        <v>0</v>
      </c>
      <c r="FTJ42" s="1046">
        <f>FTJ38+((FTJ40+'NF - 5 Power Mix'!FTJ14+'NF - 5 Power Mix'!FTJ15)*860/10)+((('Form Sa1'!FTM835)*860)/10)+('Form Sa1'!FTM814*'Form Sa1'!FTM816/10)-'NF - 5 Power Mix'!FTJ21-'NF - 5 Power Mix'!FTJ22</f>
        <v>0</v>
      </c>
      <c r="FTK42" s="1046">
        <f>FTK38+((FTK40+'NF - 5 Power Mix'!FTK14+'NF - 5 Power Mix'!FTK15)*860/10)+((('Form Sa1'!FTN835)*860)/10)+('Form Sa1'!FTN814*'Form Sa1'!FTN816/10)-'NF - 5 Power Mix'!FTK21-'NF - 5 Power Mix'!FTK22</f>
        <v>0</v>
      </c>
      <c r="FTL42" s="1046">
        <f>FTL38+((FTL40+'NF - 5 Power Mix'!FTL14+'NF - 5 Power Mix'!FTL15)*860/10)+((('Form Sa1'!FTO835)*860)/10)+('Form Sa1'!FTO814*'Form Sa1'!FTO816/10)-'NF - 5 Power Mix'!FTL21-'NF - 5 Power Mix'!FTL22</f>
        <v>0</v>
      </c>
      <c r="FTM42" s="1046">
        <f>FTM38+((FTM40+'NF - 5 Power Mix'!FTM14+'NF - 5 Power Mix'!FTM15)*860/10)+((('Form Sa1'!FTP835)*860)/10)+('Form Sa1'!FTP814*'Form Sa1'!FTP816/10)-'NF - 5 Power Mix'!FTM21-'NF - 5 Power Mix'!FTM22</f>
        <v>0</v>
      </c>
      <c r="FTN42" s="1046">
        <f>FTN38+((FTN40+'NF - 5 Power Mix'!FTN14+'NF - 5 Power Mix'!FTN15)*860/10)+((('Form Sa1'!FTQ835)*860)/10)+('Form Sa1'!FTQ814*'Form Sa1'!FTQ816/10)-'NF - 5 Power Mix'!FTN21-'NF - 5 Power Mix'!FTN22</f>
        <v>0</v>
      </c>
      <c r="FTO42" s="1046">
        <f>FTO38+((FTO40+'NF - 5 Power Mix'!FTO14+'NF - 5 Power Mix'!FTO15)*860/10)+((('Form Sa1'!FTR835)*860)/10)+('Form Sa1'!FTR814*'Form Sa1'!FTR816/10)-'NF - 5 Power Mix'!FTO21-'NF - 5 Power Mix'!FTO22</f>
        <v>0</v>
      </c>
      <c r="FTP42" s="1046">
        <f>FTP38+((FTP40+'NF - 5 Power Mix'!FTP14+'NF - 5 Power Mix'!FTP15)*860/10)+((('Form Sa1'!FTS835)*860)/10)+('Form Sa1'!FTS814*'Form Sa1'!FTS816/10)-'NF - 5 Power Mix'!FTP21-'NF - 5 Power Mix'!FTP22</f>
        <v>0</v>
      </c>
      <c r="FTQ42" s="1046">
        <f>FTQ38+((FTQ40+'NF - 5 Power Mix'!FTQ14+'NF - 5 Power Mix'!FTQ15)*860/10)+((('Form Sa1'!FTT835)*860)/10)+('Form Sa1'!FTT814*'Form Sa1'!FTT816/10)-'NF - 5 Power Mix'!FTQ21-'NF - 5 Power Mix'!FTQ22</f>
        <v>0</v>
      </c>
      <c r="FTR42" s="1046">
        <f>FTR38+((FTR40+'NF - 5 Power Mix'!FTR14+'NF - 5 Power Mix'!FTR15)*860/10)+((('Form Sa1'!FTU835)*860)/10)+('Form Sa1'!FTU814*'Form Sa1'!FTU816/10)-'NF - 5 Power Mix'!FTR21-'NF - 5 Power Mix'!FTR22</f>
        <v>0</v>
      </c>
      <c r="FTS42" s="1046">
        <f>FTS38+((FTS40+'NF - 5 Power Mix'!FTS14+'NF - 5 Power Mix'!FTS15)*860/10)+((('Form Sa1'!FTV835)*860)/10)+('Form Sa1'!FTV814*'Form Sa1'!FTV816/10)-'NF - 5 Power Mix'!FTS21-'NF - 5 Power Mix'!FTS22</f>
        <v>0</v>
      </c>
      <c r="FTT42" s="1046">
        <f>FTT38+((FTT40+'NF - 5 Power Mix'!FTT14+'NF - 5 Power Mix'!FTT15)*860/10)+((('Form Sa1'!FTW835)*860)/10)+('Form Sa1'!FTW814*'Form Sa1'!FTW816/10)-'NF - 5 Power Mix'!FTT21-'NF - 5 Power Mix'!FTT22</f>
        <v>0</v>
      </c>
      <c r="FTU42" s="1046">
        <f>FTU38+((FTU40+'NF - 5 Power Mix'!FTU14+'NF - 5 Power Mix'!FTU15)*860/10)+((('Form Sa1'!FTX835)*860)/10)+('Form Sa1'!FTX814*'Form Sa1'!FTX816/10)-'NF - 5 Power Mix'!FTU21-'NF - 5 Power Mix'!FTU22</f>
        <v>0</v>
      </c>
      <c r="FTV42" s="1046">
        <f>FTV38+((FTV40+'NF - 5 Power Mix'!FTV14+'NF - 5 Power Mix'!FTV15)*860/10)+((('Form Sa1'!FTY835)*860)/10)+('Form Sa1'!FTY814*'Form Sa1'!FTY816/10)-'NF - 5 Power Mix'!FTV21-'NF - 5 Power Mix'!FTV22</f>
        <v>0</v>
      </c>
      <c r="FTW42" s="1046">
        <f>FTW38+((FTW40+'NF - 5 Power Mix'!FTW14+'NF - 5 Power Mix'!FTW15)*860/10)+((('Form Sa1'!FTZ835)*860)/10)+('Form Sa1'!FTZ814*'Form Sa1'!FTZ816/10)-'NF - 5 Power Mix'!FTW21-'NF - 5 Power Mix'!FTW22</f>
        <v>0</v>
      </c>
      <c r="FTX42" s="1046">
        <f>FTX38+((FTX40+'NF - 5 Power Mix'!FTX14+'NF - 5 Power Mix'!FTX15)*860/10)+((('Form Sa1'!FUA835)*860)/10)+('Form Sa1'!FUA814*'Form Sa1'!FUA816/10)-'NF - 5 Power Mix'!FTX21-'NF - 5 Power Mix'!FTX22</f>
        <v>0</v>
      </c>
      <c r="FTY42" s="1046">
        <f>FTY38+((FTY40+'NF - 5 Power Mix'!FTY14+'NF - 5 Power Mix'!FTY15)*860/10)+((('Form Sa1'!FUB835)*860)/10)+('Form Sa1'!FUB814*'Form Sa1'!FUB816/10)-'NF - 5 Power Mix'!FTY21-'NF - 5 Power Mix'!FTY22</f>
        <v>0</v>
      </c>
      <c r="FTZ42" s="1046">
        <f>FTZ38+((FTZ40+'NF - 5 Power Mix'!FTZ14+'NF - 5 Power Mix'!FTZ15)*860/10)+((('Form Sa1'!FUC835)*860)/10)+('Form Sa1'!FUC814*'Form Sa1'!FUC816/10)-'NF - 5 Power Mix'!FTZ21-'NF - 5 Power Mix'!FTZ22</f>
        <v>0</v>
      </c>
      <c r="FUA42" s="1046">
        <f>FUA38+((FUA40+'NF - 5 Power Mix'!FUA14+'NF - 5 Power Mix'!FUA15)*860/10)+((('Form Sa1'!FUD835)*860)/10)+('Form Sa1'!FUD814*'Form Sa1'!FUD816/10)-'NF - 5 Power Mix'!FUA21-'NF - 5 Power Mix'!FUA22</f>
        <v>0</v>
      </c>
      <c r="FUB42" s="1046">
        <f>FUB38+((FUB40+'NF - 5 Power Mix'!FUB14+'NF - 5 Power Mix'!FUB15)*860/10)+((('Form Sa1'!FUE835)*860)/10)+('Form Sa1'!FUE814*'Form Sa1'!FUE816/10)-'NF - 5 Power Mix'!FUB21-'NF - 5 Power Mix'!FUB22</f>
        <v>0</v>
      </c>
      <c r="FUC42" s="1046">
        <f>FUC38+((FUC40+'NF - 5 Power Mix'!FUC14+'NF - 5 Power Mix'!FUC15)*860/10)+((('Form Sa1'!FUF835)*860)/10)+('Form Sa1'!FUF814*'Form Sa1'!FUF816/10)-'NF - 5 Power Mix'!FUC21-'NF - 5 Power Mix'!FUC22</f>
        <v>0</v>
      </c>
      <c r="FUD42" s="1046">
        <f>FUD38+((FUD40+'NF - 5 Power Mix'!FUD14+'NF - 5 Power Mix'!FUD15)*860/10)+((('Form Sa1'!FUG835)*860)/10)+('Form Sa1'!FUG814*'Form Sa1'!FUG816/10)-'NF - 5 Power Mix'!FUD21-'NF - 5 Power Mix'!FUD22</f>
        <v>0</v>
      </c>
      <c r="FUE42" s="1046">
        <f>FUE38+((FUE40+'NF - 5 Power Mix'!FUE14+'NF - 5 Power Mix'!FUE15)*860/10)+((('Form Sa1'!FUH835)*860)/10)+('Form Sa1'!FUH814*'Form Sa1'!FUH816/10)-'NF - 5 Power Mix'!FUE21-'NF - 5 Power Mix'!FUE22</f>
        <v>0</v>
      </c>
      <c r="FUF42" s="1046">
        <f>FUF38+((FUF40+'NF - 5 Power Mix'!FUF14+'NF - 5 Power Mix'!FUF15)*860/10)+((('Form Sa1'!FUI835)*860)/10)+('Form Sa1'!FUI814*'Form Sa1'!FUI816/10)-'NF - 5 Power Mix'!FUF21-'NF - 5 Power Mix'!FUF22</f>
        <v>0</v>
      </c>
      <c r="FUG42" s="1046">
        <f>FUG38+((FUG40+'NF - 5 Power Mix'!FUG14+'NF - 5 Power Mix'!FUG15)*860/10)+((('Form Sa1'!FUJ835)*860)/10)+('Form Sa1'!FUJ814*'Form Sa1'!FUJ816/10)-'NF - 5 Power Mix'!FUG21-'NF - 5 Power Mix'!FUG22</f>
        <v>0</v>
      </c>
      <c r="FUH42" s="1046">
        <f>FUH38+((FUH40+'NF - 5 Power Mix'!FUH14+'NF - 5 Power Mix'!FUH15)*860/10)+((('Form Sa1'!FUK835)*860)/10)+('Form Sa1'!FUK814*'Form Sa1'!FUK816/10)-'NF - 5 Power Mix'!FUH21-'NF - 5 Power Mix'!FUH22</f>
        <v>0</v>
      </c>
      <c r="FUI42" s="1046">
        <f>FUI38+((FUI40+'NF - 5 Power Mix'!FUI14+'NF - 5 Power Mix'!FUI15)*860/10)+((('Form Sa1'!FUL835)*860)/10)+('Form Sa1'!FUL814*'Form Sa1'!FUL816/10)-'NF - 5 Power Mix'!FUI21-'NF - 5 Power Mix'!FUI22</f>
        <v>0</v>
      </c>
      <c r="FUJ42" s="1046">
        <f>FUJ38+((FUJ40+'NF - 5 Power Mix'!FUJ14+'NF - 5 Power Mix'!FUJ15)*860/10)+((('Form Sa1'!FUM835)*860)/10)+('Form Sa1'!FUM814*'Form Sa1'!FUM816/10)-'NF - 5 Power Mix'!FUJ21-'NF - 5 Power Mix'!FUJ22</f>
        <v>0</v>
      </c>
      <c r="FUK42" s="1046">
        <f>FUK38+((FUK40+'NF - 5 Power Mix'!FUK14+'NF - 5 Power Mix'!FUK15)*860/10)+((('Form Sa1'!FUN835)*860)/10)+('Form Sa1'!FUN814*'Form Sa1'!FUN816/10)-'NF - 5 Power Mix'!FUK21-'NF - 5 Power Mix'!FUK22</f>
        <v>0</v>
      </c>
      <c r="FUL42" s="1046">
        <f>FUL38+((FUL40+'NF - 5 Power Mix'!FUL14+'NF - 5 Power Mix'!FUL15)*860/10)+((('Form Sa1'!FUO835)*860)/10)+('Form Sa1'!FUO814*'Form Sa1'!FUO816/10)-'NF - 5 Power Mix'!FUL21-'NF - 5 Power Mix'!FUL22</f>
        <v>0</v>
      </c>
      <c r="FUM42" s="1046">
        <f>FUM38+((FUM40+'NF - 5 Power Mix'!FUM14+'NF - 5 Power Mix'!FUM15)*860/10)+((('Form Sa1'!FUP835)*860)/10)+('Form Sa1'!FUP814*'Form Sa1'!FUP816/10)-'NF - 5 Power Mix'!FUM21-'NF - 5 Power Mix'!FUM22</f>
        <v>0</v>
      </c>
      <c r="FUN42" s="1046">
        <f>FUN38+((FUN40+'NF - 5 Power Mix'!FUN14+'NF - 5 Power Mix'!FUN15)*860/10)+((('Form Sa1'!FUQ835)*860)/10)+('Form Sa1'!FUQ814*'Form Sa1'!FUQ816/10)-'NF - 5 Power Mix'!FUN21-'NF - 5 Power Mix'!FUN22</f>
        <v>0</v>
      </c>
      <c r="FUO42" s="1046">
        <f>FUO38+((FUO40+'NF - 5 Power Mix'!FUO14+'NF - 5 Power Mix'!FUO15)*860/10)+((('Form Sa1'!FUR835)*860)/10)+('Form Sa1'!FUR814*'Form Sa1'!FUR816/10)-'NF - 5 Power Mix'!FUO21-'NF - 5 Power Mix'!FUO22</f>
        <v>0</v>
      </c>
      <c r="FUP42" s="1046">
        <f>FUP38+((FUP40+'NF - 5 Power Mix'!FUP14+'NF - 5 Power Mix'!FUP15)*860/10)+((('Form Sa1'!FUS835)*860)/10)+('Form Sa1'!FUS814*'Form Sa1'!FUS816/10)-'NF - 5 Power Mix'!FUP21-'NF - 5 Power Mix'!FUP22</f>
        <v>0</v>
      </c>
      <c r="FUQ42" s="1046">
        <f>FUQ38+((FUQ40+'NF - 5 Power Mix'!FUQ14+'NF - 5 Power Mix'!FUQ15)*860/10)+((('Form Sa1'!FUT835)*860)/10)+('Form Sa1'!FUT814*'Form Sa1'!FUT816/10)-'NF - 5 Power Mix'!FUQ21-'NF - 5 Power Mix'!FUQ22</f>
        <v>0</v>
      </c>
      <c r="FUR42" s="1046">
        <f>FUR38+((FUR40+'NF - 5 Power Mix'!FUR14+'NF - 5 Power Mix'!FUR15)*860/10)+((('Form Sa1'!FUU835)*860)/10)+('Form Sa1'!FUU814*'Form Sa1'!FUU816/10)-'NF - 5 Power Mix'!FUR21-'NF - 5 Power Mix'!FUR22</f>
        <v>0</v>
      </c>
      <c r="FUS42" s="1046">
        <f>FUS38+((FUS40+'NF - 5 Power Mix'!FUS14+'NF - 5 Power Mix'!FUS15)*860/10)+((('Form Sa1'!FUV835)*860)/10)+('Form Sa1'!FUV814*'Form Sa1'!FUV816/10)-'NF - 5 Power Mix'!FUS21-'NF - 5 Power Mix'!FUS22</f>
        <v>0</v>
      </c>
      <c r="FUT42" s="1046">
        <f>FUT38+((FUT40+'NF - 5 Power Mix'!FUT14+'NF - 5 Power Mix'!FUT15)*860/10)+((('Form Sa1'!FUW835)*860)/10)+('Form Sa1'!FUW814*'Form Sa1'!FUW816/10)-'NF - 5 Power Mix'!FUT21-'NF - 5 Power Mix'!FUT22</f>
        <v>0</v>
      </c>
      <c r="FUU42" s="1046">
        <f>FUU38+((FUU40+'NF - 5 Power Mix'!FUU14+'NF - 5 Power Mix'!FUU15)*860/10)+((('Form Sa1'!FUX835)*860)/10)+('Form Sa1'!FUX814*'Form Sa1'!FUX816/10)-'NF - 5 Power Mix'!FUU21-'NF - 5 Power Mix'!FUU22</f>
        <v>0</v>
      </c>
      <c r="FUV42" s="1046">
        <f>FUV38+((FUV40+'NF - 5 Power Mix'!FUV14+'NF - 5 Power Mix'!FUV15)*860/10)+((('Form Sa1'!FUY835)*860)/10)+('Form Sa1'!FUY814*'Form Sa1'!FUY816/10)-'NF - 5 Power Mix'!FUV21-'NF - 5 Power Mix'!FUV22</f>
        <v>0</v>
      </c>
      <c r="FUW42" s="1046">
        <f>FUW38+((FUW40+'NF - 5 Power Mix'!FUW14+'NF - 5 Power Mix'!FUW15)*860/10)+((('Form Sa1'!FUZ835)*860)/10)+('Form Sa1'!FUZ814*'Form Sa1'!FUZ816/10)-'NF - 5 Power Mix'!FUW21-'NF - 5 Power Mix'!FUW22</f>
        <v>0</v>
      </c>
      <c r="FUX42" s="1046">
        <f>FUX38+((FUX40+'NF - 5 Power Mix'!FUX14+'NF - 5 Power Mix'!FUX15)*860/10)+((('Form Sa1'!FVA835)*860)/10)+('Form Sa1'!FVA814*'Form Sa1'!FVA816/10)-'NF - 5 Power Mix'!FUX21-'NF - 5 Power Mix'!FUX22</f>
        <v>0</v>
      </c>
      <c r="FUY42" s="1046">
        <f>FUY38+((FUY40+'NF - 5 Power Mix'!FUY14+'NF - 5 Power Mix'!FUY15)*860/10)+((('Form Sa1'!FVB835)*860)/10)+('Form Sa1'!FVB814*'Form Sa1'!FVB816/10)-'NF - 5 Power Mix'!FUY21-'NF - 5 Power Mix'!FUY22</f>
        <v>0</v>
      </c>
      <c r="FUZ42" s="1046">
        <f>FUZ38+((FUZ40+'NF - 5 Power Mix'!FUZ14+'NF - 5 Power Mix'!FUZ15)*860/10)+((('Form Sa1'!FVC835)*860)/10)+('Form Sa1'!FVC814*'Form Sa1'!FVC816/10)-'NF - 5 Power Mix'!FUZ21-'NF - 5 Power Mix'!FUZ22</f>
        <v>0</v>
      </c>
      <c r="FVA42" s="1046">
        <f>FVA38+((FVA40+'NF - 5 Power Mix'!FVA14+'NF - 5 Power Mix'!FVA15)*860/10)+((('Form Sa1'!FVD835)*860)/10)+('Form Sa1'!FVD814*'Form Sa1'!FVD816/10)-'NF - 5 Power Mix'!FVA21-'NF - 5 Power Mix'!FVA22</f>
        <v>0</v>
      </c>
      <c r="FVB42" s="1046">
        <f>FVB38+((FVB40+'NF - 5 Power Mix'!FVB14+'NF - 5 Power Mix'!FVB15)*860/10)+((('Form Sa1'!FVE835)*860)/10)+('Form Sa1'!FVE814*'Form Sa1'!FVE816/10)-'NF - 5 Power Mix'!FVB21-'NF - 5 Power Mix'!FVB22</f>
        <v>0</v>
      </c>
      <c r="FVC42" s="1046">
        <f>FVC38+((FVC40+'NF - 5 Power Mix'!FVC14+'NF - 5 Power Mix'!FVC15)*860/10)+((('Form Sa1'!FVF835)*860)/10)+('Form Sa1'!FVF814*'Form Sa1'!FVF816/10)-'NF - 5 Power Mix'!FVC21-'NF - 5 Power Mix'!FVC22</f>
        <v>0</v>
      </c>
      <c r="FVD42" s="1046">
        <f>FVD38+((FVD40+'NF - 5 Power Mix'!FVD14+'NF - 5 Power Mix'!FVD15)*860/10)+((('Form Sa1'!FVG835)*860)/10)+('Form Sa1'!FVG814*'Form Sa1'!FVG816/10)-'NF - 5 Power Mix'!FVD21-'NF - 5 Power Mix'!FVD22</f>
        <v>0</v>
      </c>
      <c r="FVE42" s="1046">
        <f>FVE38+((FVE40+'NF - 5 Power Mix'!FVE14+'NF - 5 Power Mix'!FVE15)*860/10)+((('Form Sa1'!FVH835)*860)/10)+('Form Sa1'!FVH814*'Form Sa1'!FVH816/10)-'NF - 5 Power Mix'!FVE21-'NF - 5 Power Mix'!FVE22</f>
        <v>0</v>
      </c>
      <c r="FVF42" s="1046">
        <f>FVF38+((FVF40+'NF - 5 Power Mix'!FVF14+'NF - 5 Power Mix'!FVF15)*860/10)+((('Form Sa1'!FVI835)*860)/10)+('Form Sa1'!FVI814*'Form Sa1'!FVI816/10)-'NF - 5 Power Mix'!FVF21-'NF - 5 Power Mix'!FVF22</f>
        <v>0</v>
      </c>
      <c r="FVG42" s="1046">
        <f>FVG38+((FVG40+'NF - 5 Power Mix'!FVG14+'NF - 5 Power Mix'!FVG15)*860/10)+((('Form Sa1'!FVJ835)*860)/10)+('Form Sa1'!FVJ814*'Form Sa1'!FVJ816/10)-'NF - 5 Power Mix'!FVG21-'NF - 5 Power Mix'!FVG22</f>
        <v>0</v>
      </c>
      <c r="FVH42" s="1046">
        <f>FVH38+((FVH40+'NF - 5 Power Mix'!FVH14+'NF - 5 Power Mix'!FVH15)*860/10)+((('Form Sa1'!FVK835)*860)/10)+('Form Sa1'!FVK814*'Form Sa1'!FVK816/10)-'NF - 5 Power Mix'!FVH21-'NF - 5 Power Mix'!FVH22</f>
        <v>0</v>
      </c>
      <c r="FVI42" s="1046">
        <f>FVI38+((FVI40+'NF - 5 Power Mix'!FVI14+'NF - 5 Power Mix'!FVI15)*860/10)+((('Form Sa1'!FVL835)*860)/10)+('Form Sa1'!FVL814*'Form Sa1'!FVL816/10)-'NF - 5 Power Mix'!FVI21-'NF - 5 Power Mix'!FVI22</f>
        <v>0</v>
      </c>
      <c r="FVJ42" s="1046">
        <f>FVJ38+((FVJ40+'NF - 5 Power Mix'!FVJ14+'NF - 5 Power Mix'!FVJ15)*860/10)+((('Form Sa1'!FVM835)*860)/10)+('Form Sa1'!FVM814*'Form Sa1'!FVM816/10)-'NF - 5 Power Mix'!FVJ21-'NF - 5 Power Mix'!FVJ22</f>
        <v>0</v>
      </c>
      <c r="FVK42" s="1046">
        <f>FVK38+((FVK40+'NF - 5 Power Mix'!FVK14+'NF - 5 Power Mix'!FVK15)*860/10)+((('Form Sa1'!FVN835)*860)/10)+('Form Sa1'!FVN814*'Form Sa1'!FVN816/10)-'NF - 5 Power Mix'!FVK21-'NF - 5 Power Mix'!FVK22</f>
        <v>0</v>
      </c>
      <c r="FVL42" s="1046">
        <f>FVL38+((FVL40+'NF - 5 Power Mix'!FVL14+'NF - 5 Power Mix'!FVL15)*860/10)+((('Form Sa1'!FVO835)*860)/10)+('Form Sa1'!FVO814*'Form Sa1'!FVO816/10)-'NF - 5 Power Mix'!FVL21-'NF - 5 Power Mix'!FVL22</f>
        <v>0</v>
      </c>
      <c r="FVM42" s="1046">
        <f>FVM38+((FVM40+'NF - 5 Power Mix'!FVM14+'NF - 5 Power Mix'!FVM15)*860/10)+((('Form Sa1'!FVP835)*860)/10)+('Form Sa1'!FVP814*'Form Sa1'!FVP816/10)-'NF - 5 Power Mix'!FVM21-'NF - 5 Power Mix'!FVM22</f>
        <v>0</v>
      </c>
      <c r="FVN42" s="1046">
        <f>FVN38+((FVN40+'NF - 5 Power Mix'!FVN14+'NF - 5 Power Mix'!FVN15)*860/10)+((('Form Sa1'!FVQ835)*860)/10)+('Form Sa1'!FVQ814*'Form Sa1'!FVQ816/10)-'NF - 5 Power Mix'!FVN21-'NF - 5 Power Mix'!FVN22</f>
        <v>0</v>
      </c>
      <c r="FVO42" s="1046">
        <f>FVO38+((FVO40+'NF - 5 Power Mix'!FVO14+'NF - 5 Power Mix'!FVO15)*860/10)+((('Form Sa1'!FVR835)*860)/10)+('Form Sa1'!FVR814*'Form Sa1'!FVR816/10)-'NF - 5 Power Mix'!FVO21-'NF - 5 Power Mix'!FVO22</f>
        <v>0</v>
      </c>
      <c r="FVP42" s="1046">
        <f>FVP38+((FVP40+'NF - 5 Power Mix'!FVP14+'NF - 5 Power Mix'!FVP15)*860/10)+((('Form Sa1'!FVS835)*860)/10)+('Form Sa1'!FVS814*'Form Sa1'!FVS816/10)-'NF - 5 Power Mix'!FVP21-'NF - 5 Power Mix'!FVP22</f>
        <v>0</v>
      </c>
      <c r="FVQ42" s="1046">
        <f>FVQ38+((FVQ40+'NF - 5 Power Mix'!FVQ14+'NF - 5 Power Mix'!FVQ15)*860/10)+((('Form Sa1'!FVT835)*860)/10)+('Form Sa1'!FVT814*'Form Sa1'!FVT816/10)-'NF - 5 Power Mix'!FVQ21-'NF - 5 Power Mix'!FVQ22</f>
        <v>0</v>
      </c>
      <c r="FVR42" s="1046">
        <f>FVR38+((FVR40+'NF - 5 Power Mix'!FVR14+'NF - 5 Power Mix'!FVR15)*860/10)+((('Form Sa1'!FVU835)*860)/10)+('Form Sa1'!FVU814*'Form Sa1'!FVU816/10)-'NF - 5 Power Mix'!FVR21-'NF - 5 Power Mix'!FVR22</f>
        <v>0</v>
      </c>
      <c r="FVS42" s="1046">
        <f>FVS38+((FVS40+'NF - 5 Power Mix'!FVS14+'NF - 5 Power Mix'!FVS15)*860/10)+((('Form Sa1'!FVV835)*860)/10)+('Form Sa1'!FVV814*'Form Sa1'!FVV816/10)-'NF - 5 Power Mix'!FVS21-'NF - 5 Power Mix'!FVS22</f>
        <v>0</v>
      </c>
      <c r="FVT42" s="1046">
        <f>FVT38+((FVT40+'NF - 5 Power Mix'!FVT14+'NF - 5 Power Mix'!FVT15)*860/10)+((('Form Sa1'!FVW835)*860)/10)+('Form Sa1'!FVW814*'Form Sa1'!FVW816/10)-'NF - 5 Power Mix'!FVT21-'NF - 5 Power Mix'!FVT22</f>
        <v>0</v>
      </c>
      <c r="FVU42" s="1046">
        <f>FVU38+((FVU40+'NF - 5 Power Mix'!FVU14+'NF - 5 Power Mix'!FVU15)*860/10)+((('Form Sa1'!FVX835)*860)/10)+('Form Sa1'!FVX814*'Form Sa1'!FVX816/10)-'NF - 5 Power Mix'!FVU21-'NF - 5 Power Mix'!FVU22</f>
        <v>0</v>
      </c>
      <c r="FVV42" s="1046">
        <f>FVV38+((FVV40+'NF - 5 Power Mix'!FVV14+'NF - 5 Power Mix'!FVV15)*860/10)+((('Form Sa1'!FVY835)*860)/10)+('Form Sa1'!FVY814*'Form Sa1'!FVY816/10)-'NF - 5 Power Mix'!FVV21-'NF - 5 Power Mix'!FVV22</f>
        <v>0</v>
      </c>
      <c r="FVW42" s="1046">
        <f>FVW38+((FVW40+'NF - 5 Power Mix'!FVW14+'NF - 5 Power Mix'!FVW15)*860/10)+((('Form Sa1'!FVZ835)*860)/10)+('Form Sa1'!FVZ814*'Form Sa1'!FVZ816/10)-'NF - 5 Power Mix'!FVW21-'NF - 5 Power Mix'!FVW22</f>
        <v>0</v>
      </c>
      <c r="FVX42" s="1046">
        <f>FVX38+((FVX40+'NF - 5 Power Mix'!FVX14+'NF - 5 Power Mix'!FVX15)*860/10)+((('Form Sa1'!FWA835)*860)/10)+('Form Sa1'!FWA814*'Form Sa1'!FWA816/10)-'NF - 5 Power Mix'!FVX21-'NF - 5 Power Mix'!FVX22</f>
        <v>0</v>
      </c>
      <c r="FVY42" s="1046">
        <f>FVY38+((FVY40+'NF - 5 Power Mix'!FVY14+'NF - 5 Power Mix'!FVY15)*860/10)+((('Form Sa1'!FWB835)*860)/10)+('Form Sa1'!FWB814*'Form Sa1'!FWB816/10)-'NF - 5 Power Mix'!FVY21-'NF - 5 Power Mix'!FVY22</f>
        <v>0</v>
      </c>
      <c r="FVZ42" s="1046">
        <f>FVZ38+((FVZ40+'NF - 5 Power Mix'!FVZ14+'NF - 5 Power Mix'!FVZ15)*860/10)+((('Form Sa1'!FWC835)*860)/10)+('Form Sa1'!FWC814*'Form Sa1'!FWC816/10)-'NF - 5 Power Mix'!FVZ21-'NF - 5 Power Mix'!FVZ22</f>
        <v>0</v>
      </c>
      <c r="FWA42" s="1046">
        <f>FWA38+((FWA40+'NF - 5 Power Mix'!FWA14+'NF - 5 Power Mix'!FWA15)*860/10)+((('Form Sa1'!FWD835)*860)/10)+('Form Sa1'!FWD814*'Form Sa1'!FWD816/10)-'NF - 5 Power Mix'!FWA21-'NF - 5 Power Mix'!FWA22</f>
        <v>0</v>
      </c>
      <c r="FWB42" s="1046">
        <f>FWB38+((FWB40+'NF - 5 Power Mix'!FWB14+'NF - 5 Power Mix'!FWB15)*860/10)+((('Form Sa1'!FWE835)*860)/10)+('Form Sa1'!FWE814*'Form Sa1'!FWE816/10)-'NF - 5 Power Mix'!FWB21-'NF - 5 Power Mix'!FWB22</f>
        <v>0</v>
      </c>
      <c r="FWC42" s="1046">
        <f>FWC38+((FWC40+'NF - 5 Power Mix'!FWC14+'NF - 5 Power Mix'!FWC15)*860/10)+((('Form Sa1'!FWF835)*860)/10)+('Form Sa1'!FWF814*'Form Sa1'!FWF816/10)-'NF - 5 Power Mix'!FWC21-'NF - 5 Power Mix'!FWC22</f>
        <v>0</v>
      </c>
      <c r="FWD42" s="1046">
        <f>FWD38+((FWD40+'NF - 5 Power Mix'!FWD14+'NF - 5 Power Mix'!FWD15)*860/10)+((('Form Sa1'!FWG835)*860)/10)+('Form Sa1'!FWG814*'Form Sa1'!FWG816/10)-'NF - 5 Power Mix'!FWD21-'NF - 5 Power Mix'!FWD22</f>
        <v>0</v>
      </c>
      <c r="FWE42" s="1046">
        <f>FWE38+((FWE40+'NF - 5 Power Mix'!FWE14+'NF - 5 Power Mix'!FWE15)*860/10)+((('Form Sa1'!FWH835)*860)/10)+('Form Sa1'!FWH814*'Form Sa1'!FWH816/10)-'NF - 5 Power Mix'!FWE21-'NF - 5 Power Mix'!FWE22</f>
        <v>0</v>
      </c>
      <c r="FWF42" s="1046">
        <f>FWF38+((FWF40+'NF - 5 Power Mix'!FWF14+'NF - 5 Power Mix'!FWF15)*860/10)+((('Form Sa1'!FWI835)*860)/10)+('Form Sa1'!FWI814*'Form Sa1'!FWI816/10)-'NF - 5 Power Mix'!FWF21-'NF - 5 Power Mix'!FWF22</f>
        <v>0</v>
      </c>
      <c r="FWG42" s="1046">
        <f>FWG38+((FWG40+'NF - 5 Power Mix'!FWG14+'NF - 5 Power Mix'!FWG15)*860/10)+((('Form Sa1'!FWJ835)*860)/10)+('Form Sa1'!FWJ814*'Form Sa1'!FWJ816/10)-'NF - 5 Power Mix'!FWG21-'NF - 5 Power Mix'!FWG22</f>
        <v>0</v>
      </c>
      <c r="FWH42" s="1046">
        <f>FWH38+((FWH40+'NF - 5 Power Mix'!FWH14+'NF - 5 Power Mix'!FWH15)*860/10)+((('Form Sa1'!FWK835)*860)/10)+('Form Sa1'!FWK814*'Form Sa1'!FWK816/10)-'NF - 5 Power Mix'!FWH21-'NF - 5 Power Mix'!FWH22</f>
        <v>0</v>
      </c>
      <c r="FWI42" s="1046">
        <f>FWI38+((FWI40+'NF - 5 Power Mix'!FWI14+'NF - 5 Power Mix'!FWI15)*860/10)+((('Form Sa1'!FWL835)*860)/10)+('Form Sa1'!FWL814*'Form Sa1'!FWL816/10)-'NF - 5 Power Mix'!FWI21-'NF - 5 Power Mix'!FWI22</f>
        <v>0</v>
      </c>
      <c r="FWJ42" s="1046">
        <f>FWJ38+((FWJ40+'NF - 5 Power Mix'!FWJ14+'NF - 5 Power Mix'!FWJ15)*860/10)+((('Form Sa1'!FWM835)*860)/10)+('Form Sa1'!FWM814*'Form Sa1'!FWM816/10)-'NF - 5 Power Mix'!FWJ21-'NF - 5 Power Mix'!FWJ22</f>
        <v>0</v>
      </c>
      <c r="FWK42" s="1046">
        <f>FWK38+((FWK40+'NF - 5 Power Mix'!FWK14+'NF - 5 Power Mix'!FWK15)*860/10)+((('Form Sa1'!FWN835)*860)/10)+('Form Sa1'!FWN814*'Form Sa1'!FWN816/10)-'NF - 5 Power Mix'!FWK21-'NF - 5 Power Mix'!FWK22</f>
        <v>0</v>
      </c>
      <c r="FWL42" s="1046">
        <f>FWL38+((FWL40+'NF - 5 Power Mix'!FWL14+'NF - 5 Power Mix'!FWL15)*860/10)+((('Form Sa1'!FWO835)*860)/10)+('Form Sa1'!FWO814*'Form Sa1'!FWO816/10)-'NF - 5 Power Mix'!FWL21-'NF - 5 Power Mix'!FWL22</f>
        <v>0</v>
      </c>
      <c r="FWM42" s="1046">
        <f>FWM38+((FWM40+'NF - 5 Power Mix'!FWM14+'NF - 5 Power Mix'!FWM15)*860/10)+((('Form Sa1'!FWP835)*860)/10)+('Form Sa1'!FWP814*'Form Sa1'!FWP816/10)-'NF - 5 Power Mix'!FWM21-'NF - 5 Power Mix'!FWM22</f>
        <v>0</v>
      </c>
      <c r="FWN42" s="1046">
        <f>FWN38+((FWN40+'NF - 5 Power Mix'!FWN14+'NF - 5 Power Mix'!FWN15)*860/10)+((('Form Sa1'!FWQ835)*860)/10)+('Form Sa1'!FWQ814*'Form Sa1'!FWQ816/10)-'NF - 5 Power Mix'!FWN21-'NF - 5 Power Mix'!FWN22</f>
        <v>0</v>
      </c>
      <c r="FWO42" s="1046">
        <f>FWO38+((FWO40+'NF - 5 Power Mix'!FWO14+'NF - 5 Power Mix'!FWO15)*860/10)+((('Form Sa1'!FWR835)*860)/10)+('Form Sa1'!FWR814*'Form Sa1'!FWR816/10)-'NF - 5 Power Mix'!FWO21-'NF - 5 Power Mix'!FWO22</f>
        <v>0</v>
      </c>
      <c r="FWP42" s="1046">
        <f>FWP38+((FWP40+'NF - 5 Power Mix'!FWP14+'NF - 5 Power Mix'!FWP15)*860/10)+((('Form Sa1'!FWS835)*860)/10)+('Form Sa1'!FWS814*'Form Sa1'!FWS816/10)-'NF - 5 Power Mix'!FWP21-'NF - 5 Power Mix'!FWP22</f>
        <v>0</v>
      </c>
      <c r="FWQ42" s="1046">
        <f>FWQ38+((FWQ40+'NF - 5 Power Mix'!FWQ14+'NF - 5 Power Mix'!FWQ15)*860/10)+((('Form Sa1'!FWT835)*860)/10)+('Form Sa1'!FWT814*'Form Sa1'!FWT816/10)-'NF - 5 Power Mix'!FWQ21-'NF - 5 Power Mix'!FWQ22</f>
        <v>0</v>
      </c>
      <c r="FWR42" s="1046">
        <f>FWR38+((FWR40+'NF - 5 Power Mix'!FWR14+'NF - 5 Power Mix'!FWR15)*860/10)+((('Form Sa1'!FWU835)*860)/10)+('Form Sa1'!FWU814*'Form Sa1'!FWU816/10)-'NF - 5 Power Mix'!FWR21-'NF - 5 Power Mix'!FWR22</f>
        <v>0</v>
      </c>
      <c r="FWS42" s="1046">
        <f>FWS38+((FWS40+'NF - 5 Power Mix'!FWS14+'NF - 5 Power Mix'!FWS15)*860/10)+((('Form Sa1'!FWV835)*860)/10)+('Form Sa1'!FWV814*'Form Sa1'!FWV816/10)-'NF - 5 Power Mix'!FWS21-'NF - 5 Power Mix'!FWS22</f>
        <v>0</v>
      </c>
      <c r="FWT42" s="1046">
        <f>FWT38+((FWT40+'NF - 5 Power Mix'!FWT14+'NF - 5 Power Mix'!FWT15)*860/10)+((('Form Sa1'!FWW835)*860)/10)+('Form Sa1'!FWW814*'Form Sa1'!FWW816/10)-'NF - 5 Power Mix'!FWT21-'NF - 5 Power Mix'!FWT22</f>
        <v>0</v>
      </c>
      <c r="FWU42" s="1046">
        <f>FWU38+((FWU40+'NF - 5 Power Mix'!FWU14+'NF - 5 Power Mix'!FWU15)*860/10)+((('Form Sa1'!FWX835)*860)/10)+('Form Sa1'!FWX814*'Form Sa1'!FWX816/10)-'NF - 5 Power Mix'!FWU21-'NF - 5 Power Mix'!FWU22</f>
        <v>0</v>
      </c>
      <c r="FWV42" s="1046">
        <f>FWV38+((FWV40+'NF - 5 Power Mix'!FWV14+'NF - 5 Power Mix'!FWV15)*860/10)+((('Form Sa1'!FWY835)*860)/10)+('Form Sa1'!FWY814*'Form Sa1'!FWY816/10)-'NF - 5 Power Mix'!FWV21-'NF - 5 Power Mix'!FWV22</f>
        <v>0</v>
      </c>
      <c r="FWW42" s="1046">
        <f>FWW38+((FWW40+'NF - 5 Power Mix'!FWW14+'NF - 5 Power Mix'!FWW15)*860/10)+((('Form Sa1'!FWZ835)*860)/10)+('Form Sa1'!FWZ814*'Form Sa1'!FWZ816/10)-'NF - 5 Power Mix'!FWW21-'NF - 5 Power Mix'!FWW22</f>
        <v>0</v>
      </c>
      <c r="FWX42" s="1046">
        <f>FWX38+((FWX40+'NF - 5 Power Mix'!FWX14+'NF - 5 Power Mix'!FWX15)*860/10)+((('Form Sa1'!FXA835)*860)/10)+('Form Sa1'!FXA814*'Form Sa1'!FXA816/10)-'NF - 5 Power Mix'!FWX21-'NF - 5 Power Mix'!FWX22</f>
        <v>0</v>
      </c>
      <c r="FWY42" s="1046">
        <f>FWY38+((FWY40+'NF - 5 Power Mix'!FWY14+'NF - 5 Power Mix'!FWY15)*860/10)+((('Form Sa1'!FXB835)*860)/10)+('Form Sa1'!FXB814*'Form Sa1'!FXB816/10)-'NF - 5 Power Mix'!FWY21-'NF - 5 Power Mix'!FWY22</f>
        <v>0</v>
      </c>
      <c r="FWZ42" s="1046">
        <f>FWZ38+((FWZ40+'NF - 5 Power Mix'!FWZ14+'NF - 5 Power Mix'!FWZ15)*860/10)+((('Form Sa1'!FXC835)*860)/10)+('Form Sa1'!FXC814*'Form Sa1'!FXC816/10)-'NF - 5 Power Mix'!FWZ21-'NF - 5 Power Mix'!FWZ22</f>
        <v>0</v>
      </c>
      <c r="FXA42" s="1046">
        <f>FXA38+((FXA40+'NF - 5 Power Mix'!FXA14+'NF - 5 Power Mix'!FXA15)*860/10)+((('Form Sa1'!FXD835)*860)/10)+('Form Sa1'!FXD814*'Form Sa1'!FXD816/10)-'NF - 5 Power Mix'!FXA21-'NF - 5 Power Mix'!FXA22</f>
        <v>0</v>
      </c>
      <c r="FXB42" s="1046">
        <f>FXB38+((FXB40+'NF - 5 Power Mix'!FXB14+'NF - 5 Power Mix'!FXB15)*860/10)+((('Form Sa1'!FXE835)*860)/10)+('Form Sa1'!FXE814*'Form Sa1'!FXE816/10)-'NF - 5 Power Mix'!FXB21-'NF - 5 Power Mix'!FXB22</f>
        <v>0</v>
      </c>
      <c r="FXC42" s="1046">
        <f>FXC38+((FXC40+'NF - 5 Power Mix'!FXC14+'NF - 5 Power Mix'!FXC15)*860/10)+((('Form Sa1'!FXF835)*860)/10)+('Form Sa1'!FXF814*'Form Sa1'!FXF816/10)-'NF - 5 Power Mix'!FXC21-'NF - 5 Power Mix'!FXC22</f>
        <v>0</v>
      </c>
      <c r="FXD42" s="1046">
        <f>FXD38+((FXD40+'NF - 5 Power Mix'!FXD14+'NF - 5 Power Mix'!FXD15)*860/10)+((('Form Sa1'!FXG835)*860)/10)+('Form Sa1'!FXG814*'Form Sa1'!FXG816/10)-'NF - 5 Power Mix'!FXD21-'NF - 5 Power Mix'!FXD22</f>
        <v>0</v>
      </c>
      <c r="FXE42" s="1046">
        <f>FXE38+((FXE40+'NF - 5 Power Mix'!FXE14+'NF - 5 Power Mix'!FXE15)*860/10)+((('Form Sa1'!FXH835)*860)/10)+('Form Sa1'!FXH814*'Form Sa1'!FXH816/10)-'NF - 5 Power Mix'!FXE21-'NF - 5 Power Mix'!FXE22</f>
        <v>0</v>
      </c>
      <c r="FXF42" s="1046">
        <f>FXF38+((FXF40+'NF - 5 Power Mix'!FXF14+'NF - 5 Power Mix'!FXF15)*860/10)+((('Form Sa1'!FXI835)*860)/10)+('Form Sa1'!FXI814*'Form Sa1'!FXI816/10)-'NF - 5 Power Mix'!FXF21-'NF - 5 Power Mix'!FXF22</f>
        <v>0</v>
      </c>
      <c r="FXG42" s="1046">
        <f>FXG38+((FXG40+'NF - 5 Power Mix'!FXG14+'NF - 5 Power Mix'!FXG15)*860/10)+((('Form Sa1'!FXJ835)*860)/10)+('Form Sa1'!FXJ814*'Form Sa1'!FXJ816/10)-'NF - 5 Power Mix'!FXG21-'NF - 5 Power Mix'!FXG22</f>
        <v>0</v>
      </c>
      <c r="FXH42" s="1046">
        <f>FXH38+((FXH40+'NF - 5 Power Mix'!FXH14+'NF - 5 Power Mix'!FXH15)*860/10)+((('Form Sa1'!FXK835)*860)/10)+('Form Sa1'!FXK814*'Form Sa1'!FXK816/10)-'NF - 5 Power Mix'!FXH21-'NF - 5 Power Mix'!FXH22</f>
        <v>0</v>
      </c>
      <c r="FXI42" s="1046">
        <f>FXI38+((FXI40+'NF - 5 Power Mix'!FXI14+'NF - 5 Power Mix'!FXI15)*860/10)+((('Form Sa1'!FXL835)*860)/10)+('Form Sa1'!FXL814*'Form Sa1'!FXL816/10)-'NF - 5 Power Mix'!FXI21-'NF - 5 Power Mix'!FXI22</f>
        <v>0</v>
      </c>
      <c r="FXJ42" s="1046">
        <f>FXJ38+((FXJ40+'NF - 5 Power Mix'!FXJ14+'NF - 5 Power Mix'!FXJ15)*860/10)+((('Form Sa1'!FXM835)*860)/10)+('Form Sa1'!FXM814*'Form Sa1'!FXM816/10)-'NF - 5 Power Mix'!FXJ21-'NF - 5 Power Mix'!FXJ22</f>
        <v>0</v>
      </c>
      <c r="FXK42" s="1046">
        <f>FXK38+((FXK40+'NF - 5 Power Mix'!FXK14+'NF - 5 Power Mix'!FXK15)*860/10)+((('Form Sa1'!FXN835)*860)/10)+('Form Sa1'!FXN814*'Form Sa1'!FXN816/10)-'NF - 5 Power Mix'!FXK21-'NF - 5 Power Mix'!FXK22</f>
        <v>0</v>
      </c>
      <c r="FXL42" s="1046">
        <f>FXL38+((FXL40+'NF - 5 Power Mix'!FXL14+'NF - 5 Power Mix'!FXL15)*860/10)+((('Form Sa1'!FXO835)*860)/10)+('Form Sa1'!FXO814*'Form Sa1'!FXO816/10)-'NF - 5 Power Mix'!FXL21-'NF - 5 Power Mix'!FXL22</f>
        <v>0</v>
      </c>
      <c r="FXM42" s="1046">
        <f>FXM38+((FXM40+'NF - 5 Power Mix'!FXM14+'NF - 5 Power Mix'!FXM15)*860/10)+((('Form Sa1'!FXP835)*860)/10)+('Form Sa1'!FXP814*'Form Sa1'!FXP816/10)-'NF - 5 Power Mix'!FXM21-'NF - 5 Power Mix'!FXM22</f>
        <v>0</v>
      </c>
      <c r="FXN42" s="1046">
        <f>FXN38+((FXN40+'NF - 5 Power Mix'!FXN14+'NF - 5 Power Mix'!FXN15)*860/10)+((('Form Sa1'!FXQ835)*860)/10)+('Form Sa1'!FXQ814*'Form Sa1'!FXQ816/10)-'NF - 5 Power Mix'!FXN21-'NF - 5 Power Mix'!FXN22</f>
        <v>0</v>
      </c>
      <c r="FXO42" s="1046">
        <f>FXO38+((FXO40+'NF - 5 Power Mix'!FXO14+'NF - 5 Power Mix'!FXO15)*860/10)+((('Form Sa1'!FXR835)*860)/10)+('Form Sa1'!FXR814*'Form Sa1'!FXR816/10)-'NF - 5 Power Mix'!FXO21-'NF - 5 Power Mix'!FXO22</f>
        <v>0</v>
      </c>
      <c r="FXP42" s="1046">
        <f>FXP38+((FXP40+'NF - 5 Power Mix'!FXP14+'NF - 5 Power Mix'!FXP15)*860/10)+((('Form Sa1'!FXS835)*860)/10)+('Form Sa1'!FXS814*'Form Sa1'!FXS816/10)-'NF - 5 Power Mix'!FXP21-'NF - 5 Power Mix'!FXP22</f>
        <v>0</v>
      </c>
      <c r="FXQ42" s="1046">
        <f>FXQ38+((FXQ40+'NF - 5 Power Mix'!FXQ14+'NF - 5 Power Mix'!FXQ15)*860/10)+((('Form Sa1'!FXT835)*860)/10)+('Form Sa1'!FXT814*'Form Sa1'!FXT816/10)-'NF - 5 Power Mix'!FXQ21-'NF - 5 Power Mix'!FXQ22</f>
        <v>0</v>
      </c>
      <c r="FXR42" s="1046">
        <f>FXR38+((FXR40+'NF - 5 Power Mix'!FXR14+'NF - 5 Power Mix'!FXR15)*860/10)+((('Form Sa1'!FXU835)*860)/10)+('Form Sa1'!FXU814*'Form Sa1'!FXU816/10)-'NF - 5 Power Mix'!FXR21-'NF - 5 Power Mix'!FXR22</f>
        <v>0</v>
      </c>
      <c r="FXS42" s="1046">
        <f>FXS38+((FXS40+'NF - 5 Power Mix'!FXS14+'NF - 5 Power Mix'!FXS15)*860/10)+((('Form Sa1'!FXV835)*860)/10)+('Form Sa1'!FXV814*'Form Sa1'!FXV816/10)-'NF - 5 Power Mix'!FXS21-'NF - 5 Power Mix'!FXS22</f>
        <v>0</v>
      </c>
      <c r="FXT42" s="1046">
        <f>FXT38+((FXT40+'NF - 5 Power Mix'!FXT14+'NF - 5 Power Mix'!FXT15)*860/10)+((('Form Sa1'!FXW835)*860)/10)+('Form Sa1'!FXW814*'Form Sa1'!FXW816/10)-'NF - 5 Power Mix'!FXT21-'NF - 5 Power Mix'!FXT22</f>
        <v>0</v>
      </c>
      <c r="FXU42" s="1046">
        <f>FXU38+((FXU40+'NF - 5 Power Mix'!FXU14+'NF - 5 Power Mix'!FXU15)*860/10)+((('Form Sa1'!FXX835)*860)/10)+('Form Sa1'!FXX814*'Form Sa1'!FXX816/10)-'NF - 5 Power Mix'!FXU21-'NF - 5 Power Mix'!FXU22</f>
        <v>0</v>
      </c>
      <c r="FXV42" s="1046">
        <f>FXV38+((FXV40+'NF - 5 Power Mix'!FXV14+'NF - 5 Power Mix'!FXV15)*860/10)+((('Form Sa1'!FXY835)*860)/10)+('Form Sa1'!FXY814*'Form Sa1'!FXY816/10)-'NF - 5 Power Mix'!FXV21-'NF - 5 Power Mix'!FXV22</f>
        <v>0</v>
      </c>
      <c r="FXW42" s="1046">
        <f>FXW38+((FXW40+'NF - 5 Power Mix'!FXW14+'NF - 5 Power Mix'!FXW15)*860/10)+((('Form Sa1'!FXZ835)*860)/10)+('Form Sa1'!FXZ814*'Form Sa1'!FXZ816/10)-'NF - 5 Power Mix'!FXW21-'NF - 5 Power Mix'!FXW22</f>
        <v>0</v>
      </c>
      <c r="FXX42" s="1046">
        <f>FXX38+((FXX40+'NF - 5 Power Mix'!FXX14+'NF - 5 Power Mix'!FXX15)*860/10)+((('Form Sa1'!FYA835)*860)/10)+('Form Sa1'!FYA814*'Form Sa1'!FYA816/10)-'NF - 5 Power Mix'!FXX21-'NF - 5 Power Mix'!FXX22</f>
        <v>0</v>
      </c>
      <c r="FXY42" s="1046">
        <f>FXY38+((FXY40+'NF - 5 Power Mix'!FXY14+'NF - 5 Power Mix'!FXY15)*860/10)+((('Form Sa1'!FYB835)*860)/10)+('Form Sa1'!FYB814*'Form Sa1'!FYB816/10)-'NF - 5 Power Mix'!FXY21-'NF - 5 Power Mix'!FXY22</f>
        <v>0</v>
      </c>
      <c r="FXZ42" s="1046">
        <f>FXZ38+((FXZ40+'NF - 5 Power Mix'!FXZ14+'NF - 5 Power Mix'!FXZ15)*860/10)+((('Form Sa1'!FYC835)*860)/10)+('Form Sa1'!FYC814*'Form Sa1'!FYC816/10)-'NF - 5 Power Mix'!FXZ21-'NF - 5 Power Mix'!FXZ22</f>
        <v>0</v>
      </c>
      <c r="FYA42" s="1046">
        <f>FYA38+((FYA40+'NF - 5 Power Mix'!FYA14+'NF - 5 Power Mix'!FYA15)*860/10)+((('Form Sa1'!FYD835)*860)/10)+('Form Sa1'!FYD814*'Form Sa1'!FYD816/10)-'NF - 5 Power Mix'!FYA21-'NF - 5 Power Mix'!FYA22</f>
        <v>0</v>
      </c>
      <c r="FYB42" s="1046">
        <f>FYB38+((FYB40+'NF - 5 Power Mix'!FYB14+'NF - 5 Power Mix'!FYB15)*860/10)+((('Form Sa1'!FYE835)*860)/10)+('Form Sa1'!FYE814*'Form Sa1'!FYE816/10)-'NF - 5 Power Mix'!FYB21-'NF - 5 Power Mix'!FYB22</f>
        <v>0</v>
      </c>
      <c r="FYC42" s="1046">
        <f>FYC38+((FYC40+'NF - 5 Power Mix'!FYC14+'NF - 5 Power Mix'!FYC15)*860/10)+((('Form Sa1'!FYF835)*860)/10)+('Form Sa1'!FYF814*'Form Sa1'!FYF816/10)-'NF - 5 Power Mix'!FYC21-'NF - 5 Power Mix'!FYC22</f>
        <v>0</v>
      </c>
      <c r="FYD42" s="1046">
        <f>FYD38+((FYD40+'NF - 5 Power Mix'!FYD14+'NF - 5 Power Mix'!FYD15)*860/10)+((('Form Sa1'!FYG835)*860)/10)+('Form Sa1'!FYG814*'Form Sa1'!FYG816/10)-'NF - 5 Power Mix'!FYD21-'NF - 5 Power Mix'!FYD22</f>
        <v>0</v>
      </c>
      <c r="FYE42" s="1046">
        <f>FYE38+((FYE40+'NF - 5 Power Mix'!FYE14+'NF - 5 Power Mix'!FYE15)*860/10)+((('Form Sa1'!FYH835)*860)/10)+('Form Sa1'!FYH814*'Form Sa1'!FYH816/10)-'NF - 5 Power Mix'!FYE21-'NF - 5 Power Mix'!FYE22</f>
        <v>0</v>
      </c>
      <c r="FYF42" s="1046">
        <f>FYF38+((FYF40+'NF - 5 Power Mix'!FYF14+'NF - 5 Power Mix'!FYF15)*860/10)+((('Form Sa1'!FYI835)*860)/10)+('Form Sa1'!FYI814*'Form Sa1'!FYI816/10)-'NF - 5 Power Mix'!FYF21-'NF - 5 Power Mix'!FYF22</f>
        <v>0</v>
      </c>
      <c r="FYG42" s="1046">
        <f>FYG38+((FYG40+'NF - 5 Power Mix'!FYG14+'NF - 5 Power Mix'!FYG15)*860/10)+((('Form Sa1'!FYJ835)*860)/10)+('Form Sa1'!FYJ814*'Form Sa1'!FYJ816/10)-'NF - 5 Power Mix'!FYG21-'NF - 5 Power Mix'!FYG22</f>
        <v>0</v>
      </c>
      <c r="FYH42" s="1046">
        <f>FYH38+((FYH40+'NF - 5 Power Mix'!FYH14+'NF - 5 Power Mix'!FYH15)*860/10)+((('Form Sa1'!FYK835)*860)/10)+('Form Sa1'!FYK814*'Form Sa1'!FYK816/10)-'NF - 5 Power Mix'!FYH21-'NF - 5 Power Mix'!FYH22</f>
        <v>0</v>
      </c>
      <c r="FYI42" s="1046">
        <f>FYI38+((FYI40+'NF - 5 Power Mix'!FYI14+'NF - 5 Power Mix'!FYI15)*860/10)+((('Form Sa1'!FYL835)*860)/10)+('Form Sa1'!FYL814*'Form Sa1'!FYL816/10)-'NF - 5 Power Mix'!FYI21-'NF - 5 Power Mix'!FYI22</f>
        <v>0</v>
      </c>
      <c r="FYJ42" s="1046">
        <f>FYJ38+((FYJ40+'NF - 5 Power Mix'!FYJ14+'NF - 5 Power Mix'!FYJ15)*860/10)+((('Form Sa1'!FYM835)*860)/10)+('Form Sa1'!FYM814*'Form Sa1'!FYM816/10)-'NF - 5 Power Mix'!FYJ21-'NF - 5 Power Mix'!FYJ22</f>
        <v>0</v>
      </c>
      <c r="FYK42" s="1046">
        <f>FYK38+((FYK40+'NF - 5 Power Mix'!FYK14+'NF - 5 Power Mix'!FYK15)*860/10)+((('Form Sa1'!FYN835)*860)/10)+('Form Sa1'!FYN814*'Form Sa1'!FYN816/10)-'NF - 5 Power Mix'!FYK21-'NF - 5 Power Mix'!FYK22</f>
        <v>0</v>
      </c>
      <c r="FYL42" s="1046">
        <f>FYL38+((FYL40+'NF - 5 Power Mix'!FYL14+'NF - 5 Power Mix'!FYL15)*860/10)+((('Form Sa1'!FYO835)*860)/10)+('Form Sa1'!FYO814*'Form Sa1'!FYO816/10)-'NF - 5 Power Mix'!FYL21-'NF - 5 Power Mix'!FYL22</f>
        <v>0</v>
      </c>
      <c r="FYM42" s="1046">
        <f>FYM38+((FYM40+'NF - 5 Power Mix'!FYM14+'NF - 5 Power Mix'!FYM15)*860/10)+((('Form Sa1'!FYP835)*860)/10)+('Form Sa1'!FYP814*'Form Sa1'!FYP816/10)-'NF - 5 Power Mix'!FYM21-'NF - 5 Power Mix'!FYM22</f>
        <v>0</v>
      </c>
      <c r="FYN42" s="1046">
        <f>FYN38+((FYN40+'NF - 5 Power Mix'!FYN14+'NF - 5 Power Mix'!FYN15)*860/10)+((('Form Sa1'!FYQ835)*860)/10)+('Form Sa1'!FYQ814*'Form Sa1'!FYQ816/10)-'NF - 5 Power Mix'!FYN21-'NF - 5 Power Mix'!FYN22</f>
        <v>0</v>
      </c>
      <c r="FYO42" s="1046">
        <f>FYO38+((FYO40+'NF - 5 Power Mix'!FYO14+'NF - 5 Power Mix'!FYO15)*860/10)+((('Form Sa1'!FYR835)*860)/10)+('Form Sa1'!FYR814*'Form Sa1'!FYR816/10)-'NF - 5 Power Mix'!FYO21-'NF - 5 Power Mix'!FYO22</f>
        <v>0</v>
      </c>
      <c r="FYP42" s="1046">
        <f>FYP38+((FYP40+'NF - 5 Power Mix'!FYP14+'NF - 5 Power Mix'!FYP15)*860/10)+((('Form Sa1'!FYS835)*860)/10)+('Form Sa1'!FYS814*'Form Sa1'!FYS816/10)-'NF - 5 Power Mix'!FYP21-'NF - 5 Power Mix'!FYP22</f>
        <v>0</v>
      </c>
      <c r="FYQ42" s="1046">
        <f>FYQ38+((FYQ40+'NF - 5 Power Mix'!FYQ14+'NF - 5 Power Mix'!FYQ15)*860/10)+((('Form Sa1'!FYT835)*860)/10)+('Form Sa1'!FYT814*'Form Sa1'!FYT816/10)-'NF - 5 Power Mix'!FYQ21-'NF - 5 Power Mix'!FYQ22</f>
        <v>0</v>
      </c>
      <c r="FYR42" s="1046">
        <f>FYR38+((FYR40+'NF - 5 Power Mix'!FYR14+'NF - 5 Power Mix'!FYR15)*860/10)+((('Form Sa1'!FYU835)*860)/10)+('Form Sa1'!FYU814*'Form Sa1'!FYU816/10)-'NF - 5 Power Mix'!FYR21-'NF - 5 Power Mix'!FYR22</f>
        <v>0</v>
      </c>
      <c r="FYS42" s="1046">
        <f>FYS38+((FYS40+'NF - 5 Power Mix'!FYS14+'NF - 5 Power Mix'!FYS15)*860/10)+((('Form Sa1'!FYV835)*860)/10)+('Form Sa1'!FYV814*'Form Sa1'!FYV816/10)-'NF - 5 Power Mix'!FYS21-'NF - 5 Power Mix'!FYS22</f>
        <v>0</v>
      </c>
      <c r="FYT42" s="1046">
        <f>FYT38+((FYT40+'NF - 5 Power Mix'!FYT14+'NF - 5 Power Mix'!FYT15)*860/10)+((('Form Sa1'!FYW835)*860)/10)+('Form Sa1'!FYW814*'Form Sa1'!FYW816/10)-'NF - 5 Power Mix'!FYT21-'NF - 5 Power Mix'!FYT22</f>
        <v>0</v>
      </c>
      <c r="FYU42" s="1046">
        <f>FYU38+((FYU40+'NF - 5 Power Mix'!FYU14+'NF - 5 Power Mix'!FYU15)*860/10)+((('Form Sa1'!FYX835)*860)/10)+('Form Sa1'!FYX814*'Form Sa1'!FYX816/10)-'NF - 5 Power Mix'!FYU21-'NF - 5 Power Mix'!FYU22</f>
        <v>0</v>
      </c>
      <c r="FYV42" s="1046">
        <f>FYV38+((FYV40+'NF - 5 Power Mix'!FYV14+'NF - 5 Power Mix'!FYV15)*860/10)+((('Form Sa1'!FYY835)*860)/10)+('Form Sa1'!FYY814*'Form Sa1'!FYY816/10)-'NF - 5 Power Mix'!FYV21-'NF - 5 Power Mix'!FYV22</f>
        <v>0</v>
      </c>
      <c r="FYW42" s="1046">
        <f>FYW38+((FYW40+'NF - 5 Power Mix'!FYW14+'NF - 5 Power Mix'!FYW15)*860/10)+((('Form Sa1'!FYZ835)*860)/10)+('Form Sa1'!FYZ814*'Form Sa1'!FYZ816/10)-'NF - 5 Power Mix'!FYW21-'NF - 5 Power Mix'!FYW22</f>
        <v>0</v>
      </c>
      <c r="FYX42" s="1046">
        <f>FYX38+((FYX40+'NF - 5 Power Mix'!FYX14+'NF - 5 Power Mix'!FYX15)*860/10)+((('Form Sa1'!FZA835)*860)/10)+('Form Sa1'!FZA814*'Form Sa1'!FZA816/10)-'NF - 5 Power Mix'!FYX21-'NF - 5 Power Mix'!FYX22</f>
        <v>0</v>
      </c>
      <c r="FYY42" s="1046">
        <f>FYY38+((FYY40+'NF - 5 Power Mix'!FYY14+'NF - 5 Power Mix'!FYY15)*860/10)+((('Form Sa1'!FZB835)*860)/10)+('Form Sa1'!FZB814*'Form Sa1'!FZB816/10)-'NF - 5 Power Mix'!FYY21-'NF - 5 Power Mix'!FYY22</f>
        <v>0</v>
      </c>
      <c r="FYZ42" s="1046">
        <f>FYZ38+((FYZ40+'NF - 5 Power Mix'!FYZ14+'NF - 5 Power Mix'!FYZ15)*860/10)+((('Form Sa1'!FZC835)*860)/10)+('Form Sa1'!FZC814*'Form Sa1'!FZC816/10)-'NF - 5 Power Mix'!FYZ21-'NF - 5 Power Mix'!FYZ22</f>
        <v>0</v>
      </c>
      <c r="FZA42" s="1046">
        <f>FZA38+((FZA40+'NF - 5 Power Mix'!FZA14+'NF - 5 Power Mix'!FZA15)*860/10)+((('Form Sa1'!FZD835)*860)/10)+('Form Sa1'!FZD814*'Form Sa1'!FZD816/10)-'NF - 5 Power Mix'!FZA21-'NF - 5 Power Mix'!FZA22</f>
        <v>0</v>
      </c>
      <c r="FZB42" s="1046">
        <f>FZB38+((FZB40+'NF - 5 Power Mix'!FZB14+'NF - 5 Power Mix'!FZB15)*860/10)+((('Form Sa1'!FZE835)*860)/10)+('Form Sa1'!FZE814*'Form Sa1'!FZE816/10)-'NF - 5 Power Mix'!FZB21-'NF - 5 Power Mix'!FZB22</f>
        <v>0</v>
      </c>
      <c r="FZC42" s="1046">
        <f>FZC38+((FZC40+'NF - 5 Power Mix'!FZC14+'NF - 5 Power Mix'!FZC15)*860/10)+((('Form Sa1'!FZF835)*860)/10)+('Form Sa1'!FZF814*'Form Sa1'!FZF816/10)-'NF - 5 Power Mix'!FZC21-'NF - 5 Power Mix'!FZC22</f>
        <v>0</v>
      </c>
      <c r="FZD42" s="1046">
        <f>FZD38+((FZD40+'NF - 5 Power Mix'!FZD14+'NF - 5 Power Mix'!FZD15)*860/10)+((('Form Sa1'!FZG835)*860)/10)+('Form Sa1'!FZG814*'Form Sa1'!FZG816/10)-'NF - 5 Power Mix'!FZD21-'NF - 5 Power Mix'!FZD22</f>
        <v>0</v>
      </c>
      <c r="FZE42" s="1046">
        <f>FZE38+((FZE40+'NF - 5 Power Mix'!FZE14+'NF - 5 Power Mix'!FZE15)*860/10)+((('Form Sa1'!FZH835)*860)/10)+('Form Sa1'!FZH814*'Form Sa1'!FZH816/10)-'NF - 5 Power Mix'!FZE21-'NF - 5 Power Mix'!FZE22</f>
        <v>0</v>
      </c>
      <c r="FZF42" s="1046">
        <f>FZF38+((FZF40+'NF - 5 Power Mix'!FZF14+'NF - 5 Power Mix'!FZF15)*860/10)+((('Form Sa1'!FZI835)*860)/10)+('Form Sa1'!FZI814*'Form Sa1'!FZI816/10)-'NF - 5 Power Mix'!FZF21-'NF - 5 Power Mix'!FZF22</f>
        <v>0</v>
      </c>
      <c r="FZG42" s="1046">
        <f>FZG38+((FZG40+'NF - 5 Power Mix'!FZG14+'NF - 5 Power Mix'!FZG15)*860/10)+((('Form Sa1'!FZJ835)*860)/10)+('Form Sa1'!FZJ814*'Form Sa1'!FZJ816/10)-'NF - 5 Power Mix'!FZG21-'NF - 5 Power Mix'!FZG22</f>
        <v>0</v>
      </c>
      <c r="FZH42" s="1046">
        <f>FZH38+((FZH40+'NF - 5 Power Mix'!FZH14+'NF - 5 Power Mix'!FZH15)*860/10)+((('Form Sa1'!FZK835)*860)/10)+('Form Sa1'!FZK814*'Form Sa1'!FZK816/10)-'NF - 5 Power Mix'!FZH21-'NF - 5 Power Mix'!FZH22</f>
        <v>0</v>
      </c>
      <c r="FZI42" s="1046">
        <f>FZI38+((FZI40+'NF - 5 Power Mix'!FZI14+'NF - 5 Power Mix'!FZI15)*860/10)+((('Form Sa1'!FZL835)*860)/10)+('Form Sa1'!FZL814*'Form Sa1'!FZL816/10)-'NF - 5 Power Mix'!FZI21-'NF - 5 Power Mix'!FZI22</f>
        <v>0</v>
      </c>
      <c r="FZJ42" s="1046">
        <f>FZJ38+((FZJ40+'NF - 5 Power Mix'!FZJ14+'NF - 5 Power Mix'!FZJ15)*860/10)+((('Form Sa1'!FZM835)*860)/10)+('Form Sa1'!FZM814*'Form Sa1'!FZM816/10)-'NF - 5 Power Mix'!FZJ21-'NF - 5 Power Mix'!FZJ22</f>
        <v>0</v>
      </c>
      <c r="FZK42" s="1046">
        <f>FZK38+((FZK40+'NF - 5 Power Mix'!FZK14+'NF - 5 Power Mix'!FZK15)*860/10)+((('Form Sa1'!FZN835)*860)/10)+('Form Sa1'!FZN814*'Form Sa1'!FZN816/10)-'NF - 5 Power Mix'!FZK21-'NF - 5 Power Mix'!FZK22</f>
        <v>0</v>
      </c>
      <c r="FZL42" s="1046">
        <f>FZL38+((FZL40+'NF - 5 Power Mix'!FZL14+'NF - 5 Power Mix'!FZL15)*860/10)+((('Form Sa1'!FZO835)*860)/10)+('Form Sa1'!FZO814*'Form Sa1'!FZO816/10)-'NF - 5 Power Mix'!FZL21-'NF - 5 Power Mix'!FZL22</f>
        <v>0</v>
      </c>
      <c r="FZM42" s="1046">
        <f>FZM38+((FZM40+'NF - 5 Power Mix'!FZM14+'NF - 5 Power Mix'!FZM15)*860/10)+((('Form Sa1'!FZP835)*860)/10)+('Form Sa1'!FZP814*'Form Sa1'!FZP816/10)-'NF - 5 Power Mix'!FZM21-'NF - 5 Power Mix'!FZM22</f>
        <v>0</v>
      </c>
      <c r="FZN42" s="1046">
        <f>FZN38+((FZN40+'NF - 5 Power Mix'!FZN14+'NF - 5 Power Mix'!FZN15)*860/10)+((('Form Sa1'!FZQ835)*860)/10)+('Form Sa1'!FZQ814*'Form Sa1'!FZQ816/10)-'NF - 5 Power Mix'!FZN21-'NF - 5 Power Mix'!FZN22</f>
        <v>0</v>
      </c>
      <c r="FZO42" s="1046">
        <f>FZO38+((FZO40+'NF - 5 Power Mix'!FZO14+'NF - 5 Power Mix'!FZO15)*860/10)+((('Form Sa1'!FZR835)*860)/10)+('Form Sa1'!FZR814*'Form Sa1'!FZR816/10)-'NF - 5 Power Mix'!FZO21-'NF - 5 Power Mix'!FZO22</f>
        <v>0</v>
      </c>
      <c r="FZP42" s="1046">
        <f>FZP38+((FZP40+'NF - 5 Power Mix'!FZP14+'NF - 5 Power Mix'!FZP15)*860/10)+((('Form Sa1'!FZS835)*860)/10)+('Form Sa1'!FZS814*'Form Sa1'!FZS816/10)-'NF - 5 Power Mix'!FZP21-'NF - 5 Power Mix'!FZP22</f>
        <v>0</v>
      </c>
      <c r="FZQ42" s="1046">
        <f>FZQ38+((FZQ40+'NF - 5 Power Mix'!FZQ14+'NF - 5 Power Mix'!FZQ15)*860/10)+((('Form Sa1'!FZT835)*860)/10)+('Form Sa1'!FZT814*'Form Sa1'!FZT816/10)-'NF - 5 Power Mix'!FZQ21-'NF - 5 Power Mix'!FZQ22</f>
        <v>0</v>
      </c>
      <c r="FZR42" s="1046">
        <f>FZR38+((FZR40+'NF - 5 Power Mix'!FZR14+'NF - 5 Power Mix'!FZR15)*860/10)+((('Form Sa1'!FZU835)*860)/10)+('Form Sa1'!FZU814*'Form Sa1'!FZU816/10)-'NF - 5 Power Mix'!FZR21-'NF - 5 Power Mix'!FZR22</f>
        <v>0</v>
      </c>
      <c r="FZS42" s="1046">
        <f>FZS38+((FZS40+'NF - 5 Power Mix'!FZS14+'NF - 5 Power Mix'!FZS15)*860/10)+((('Form Sa1'!FZV835)*860)/10)+('Form Sa1'!FZV814*'Form Sa1'!FZV816/10)-'NF - 5 Power Mix'!FZS21-'NF - 5 Power Mix'!FZS22</f>
        <v>0</v>
      </c>
      <c r="FZT42" s="1046">
        <f>FZT38+((FZT40+'NF - 5 Power Mix'!FZT14+'NF - 5 Power Mix'!FZT15)*860/10)+((('Form Sa1'!FZW835)*860)/10)+('Form Sa1'!FZW814*'Form Sa1'!FZW816/10)-'NF - 5 Power Mix'!FZT21-'NF - 5 Power Mix'!FZT22</f>
        <v>0</v>
      </c>
      <c r="FZU42" s="1046">
        <f>FZU38+((FZU40+'NF - 5 Power Mix'!FZU14+'NF - 5 Power Mix'!FZU15)*860/10)+((('Form Sa1'!FZX835)*860)/10)+('Form Sa1'!FZX814*'Form Sa1'!FZX816/10)-'NF - 5 Power Mix'!FZU21-'NF - 5 Power Mix'!FZU22</f>
        <v>0</v>
      </c>
      <c r="FZV42" s="1046">
        <f>FZV38+((FZV40+'NF - 5 Power Mix'!FZV14+'NF - 5 Power Mix'!FZV15)*860/10)+((('Form Sa1'!FZY835)*860)/10)+('Form Sa1'!FZY814*'Form Sa1'!FZY816/10)-'NF - 5 Power Mix'!FZV21-'NF - 5 Power Mix'!FZV22</f>
        <v>0</v>
      </c>
      <c r="FZW42" s="1046">
        <f>FZW38+((FZW40+'NF - 5 Power Mix'!FZW14+'NF - 5 Power Mix'!FZW15)*860/10)+((('Form Sa1'!FZZ835)*860)/10)+('Form Sa1'!FZZ814*'Form Sa1'!FZZ816/10)-'NF - 5 Power Mix'!FZW21-'NF - 5 Power Mix'!FZW22</f>
        <v>0</v>
      </c>
      <c r="FZX42" s="1046">
        <f>FZX38+((FZX40+'NF - 5 Power Mix'!FZX14+'NF - 5 Power Mix'!FZX15)*860/10)+((('Form Sa1'!GAA835)*860)/10)+('Form Sa1'!GAA814*'Form Sa1'!GAA816/10)-'NF - 5 Power Mix'!FZX21-'NF - 5 Power Mix'!FZX22</f>
        <v>0</v>
      </c>
      <c r="FZY42" s="1046">
        <f>FZY38+((FZY40+'NF - 5 Power Mix'!FZY14+'NF - 5 Power Mix'!FZY15)*860/10)+((('Form Sa1'!GAB835)*860)/10)+('Form Sa1'!GAB814*'Form Sa1'!GAB816/10)-'NF - 5 Power Mix'!FZY21-'NF - 5 Power Mix'!FZY22</f>
        <v>0</v>
      </c>
      <c r="FZZ42" s="1046">
        <f>FZZ38+((FZZ40+'NF - 5 Power Mix'!FZZ14+'NF - 5 Power Mix'!FZZ15)*860/10)+((('Form Sa1'!GAC835)*860)/10)+('Form Sa1'!GAC814*'Form Sa1'!GAC816/10)-'NF - 5 Power Mix'!FZZ21-'NF - 5 Power Mix'!FZZ22</f>
        <v>0</v>
      </c>
      <c r="GAA42" s="1046">
        <f>GAA38+((GAA40+'NF - 5 Power Mix'!GAA14+'NF - 5 Power Mix'!GAA15)*860/10)+((('Form Sa1'!GAD835)*860)/10)+('Form Sa1'!GAD814*'Form Sa1'!GAD816/10)-'NF - 5 Power Mix'!GAA21-'NF - 5 Power Mix'!GAA22</f>
        <v>0</v>
      </c>
      <c r="GAB42" s="1046">
        <f>GAB38+((GAB40+'NF - 5 Power Mix'!GAB14+'NF - 5 Power Mix'!GAB15)*860/10)+((('Form Sa1'!GAE835)*860)/10)+('Form Sa1'!GAE814*'Form Sa1'!GAE816/10)-'NF - 5 Power Mix'!GAB21-'NF - 5 Power Mix'!GAB22</f>
        <v>0</v>
      </c>
      <c r="GAC42" s="1046">
        <f>GAC38+((GAC40+'NF - 5 Power Mix'!GAC14+'NF - 5 Power Mix'!GAC15)*860/10)+((('Form Sa1'!GAF835)*860)/10)+('Form Sa1'!GAF814*'Form Sa1'!GAF816/10)-'NF - 5 Power Mix'!GAC21-'NF - 5 Power Mix'!GAC22</f>
        <v>0</v>
      </c>
      <c r="GAD42" s="1046">
        <f>GAD38+((GAD40+'NF - 5 Power Mix'!GAD14+'NF - 5 Power Mix'!GAD15)*860/10)+((('Form Sa1'!GAG835)*860)/10)+('Form Sa1'!GAG814*'Form Sa1'!GAG816/10)-'NF - 5 Power Mix'!GAD21-'NF - 5 Power Mix'!GAD22</f>
        <v>0</v>
      </c>
      <c r="GAE42" s="1046">
        <f>GAE38+((GAE40+'NF - 5 Power Mix'!GAE14+'NF - 5 Power Mix'!GAE15)*860/10)+((('Form Sa1'!GAH835)*860)/10)+('Form Sa1'!GAH814*'Form Sa1'!GAH816/10)-'NF - 5 Power Mix'!GAE21-'NF - 5 Power Mix'!GAE22</f>
        <v>0</v>
      </c>
      <c r="GAF42" s="1046">
        <f>GAF38+((GAF40+'NF - 5 Power Mix'!GAF14+'NF - 5 Power Mix'!GAF15)*860/10)+((('Form Sa1'!GAI835)*860)/10)+('Form Sa1'!GAI814*'Form Sa1'!GAI816/10)-'NF - 5 Power Mix'!GAF21-'NF - 5 Power Mix'!GAF22</f>
        <v>0</v>
      </c>
      <c r="GAG42" s="1046">
        <f>GAG38+((GAG40+'NF - 5 Power Mix'!GAG14+'NF - 5 Power Mix'!GAG15)*860/10)+((('Form Sa1'!GAJ835)*860)/10)+('Form Sa1'!GAJ814*'Form Sa1'!GAJ816/10)-'NF - 5 Power Mix'!GAG21-'NF - 5 Power Mix'!GAG22</f>
        <v>0</v>
      </c>
      <c r="GAH42" s="1046">
        <f>GAH38+((GAH40+'NF - 5 Power Mix'!GAH14+'NF - 5 Power Mix'!GAH15)*860/10)+((('Form Sa1'!GAK835)*860)/10)+('Form Sa1'!GAK814*'Form Sa1'!GAK816/10)-'NF - 5 Power Mix'!GAH21-'NF - 5 Power Mix'!GAH22</f>
        <v>0</v>
      </c>
      <c r="GAI42" s="1046">
        <f>GAI38+((GAI40+'NF - 5 Power Mix'!GAI14+'NF - 5 Power Mix'!GAI15)*860/10)+((('Form Sa1'!GAL835)*860)/10)+('Form Sa1'!GAL814*'Form Sa1'!GAL816/10)-'NF - 5 Power Mix'!GAI21-'NF - 5 Power Mix'!GAI22</f>
        <v>0</v>
      </c>
      <c r="GAJ42" s="1046">
        <f>GAJ38+((GAJ40+'NF - 5 Power Mix'!GAJ14+'NF - 5 Power Mix'!GAJ15)*860/10)+((('Form Sa1'!GAM835)*860)/10)+('Form Sa1'!GAM814*'Form Sa1'!GAM816/10)-'NF - 5 Power Mix'!GAJ21-'NF - 5 Power Mix'!GAJ22</f>
        <v>0</v>
      </c>
      <c r="GAK42" s="1046">
        <f>GAK38+((GAK40+'NF - 5 Power Mix'!GAK14+'NF - 5 Power Mix'!GAK15)*860/10)+((('Form Sa1'!GAN835)*860)/10)+('Form Sa1'!GAN814*'Form Sa1'!GAN816/10)-'NF - 5 Power Mix'!GAK21-'NF - 5 Power Mix'!GAK22</f>
        <v>0</v>
      </c>
      <c r="GAL42" s="1046">
        <f>GAL38+((GAL40+'NF - 5 Power Mix'!GAL14+'NF - 5 Power Mix'!GAL15)*860/10)+((('Form Sa1'!GAO835)*860)/10)+('Form Sa1'!GAO814*'Form Sa1'!GAO816/10)-'NF - 5 Power Mix'!GAL21-'NF - 5 Power Mix'!GAL22</f>
        <v>0</v>
      </c>
      <c r="GAM42" s="1046">
        <f>GAM38+((GAM40+'NF - 5 Power Mix'!GAM14+'NF - 5 Power Mix'!GAM15)*860/10)+((('Form Sa1'!GAP835)*860)/10)+('Form Sa1'!GAP814*'Form Sa1'!GAP816/10)-'NF - 5 Power Mix'!GAM21-'NF - 5 Power Mix'!GAM22</f>
        <v>0</v>
      </c>
      <c r="GAN42" s="1046">
        <f>GAN38+((GAN40+'NF - 5 Power Mix'!GAN14+'NF - 5 Power Mix'!GAN15)*860/10)+((('Form Sa1'!GAQ835)*860)/10)+('Form Sa1'!GAQ814*'Form Sa1'!GAQ816/10)-'NF - 5 Power Mix'!GAN21-'NF - 5 Power Mix'!GAN22</f>
        <v>0</v>
      </c>
      <c r="GAO42" s="1046">
        <f>GAO38+((GAO40+'NF - 5 Power Mix'!GAO14+'NF - 5 Power Mix'!GAO15)*860/10)+((('Form Sa1'!GAR835)*860)/10)+('Form Sa1'!GAR814*'Form Sa1'!GAR816/10)-'NF - 5 Power Mix'!GAO21-'NF - 5 Power Mix'!GAO22</f>
        <v>0</v>
      </c>
      <c r="GAP42" s="1046">
        <f>GAP38+((GAP40+'NF - 5 Power Mix'!GAP14+'NF - 5 Power Mix'!GAP15)*860/10)+((('Form Sa1'!GAS835)*860)/10)+('Form Sa1'!GAS814*'Form Sa1'!GAS816/10)-'NF - 5 Power Mix'!GAP21-'NF - 5 Power Mix'!GAP22</f>
        <v>0</v>
      </c>
      <c r="GAQ42" s="1046">
        <f>GAQ38+((GAQ40+'NF - 5 Power Mix'!GAQ14+'NF - 5 Power Mix'!GAQ15)*860/10)+((('Form Sa1'!GAT835)*860)/10)+('Form Sa1'!GAT814*'Form Sa1'!GAT816/10)-'NF - 5 Power Mix'!GAQ21-'NF - 5 Power Mix'!GAQ22</f>
        <v>0</v>
      </c>
      <c r="GAR42" s="1046">
        <f>GAR38+((GAR40+'NF - 5 Power Mix'!GAR14+'NF - 5 Power Mix'!GAR15)*860/10)+((('Form Sa1'!GAU835)*860)/10)+('Form Sa1'!GAU814*'Form Sa1'!GAU816/10)-'NF - 5 Power Mix'!GAR21-'NF - 5 Power Mix'!GAR22</f>
        <v>0</v>
      </c>
      <c r="GAS42" s="1046">
        <f>GAS38+((GAS40+'NF - 5 Power Mix'!GAS14+'NF - 5 Power Mix'!GAS15)*860/10)+((('Form Sa1'!GAV835)*860)/10)+('Form Sa1'!GAV814*'Form Sa1'!GAV816/10)-'NF - 5 Power Mix'!GAS21-'NF - 5 Power Mix'!GAS22</f>
        <v>0</v>
      </c>
      <c r="GAT42" s="1046">
        <f>GAT38+((GAT40+'NF - 5 Power Mix'!GAT14+'NF - 5 Power Mix'!GAT15)*860/10)+((('Form Sa1'!GAW835)*860)/10)+('Form Sa1'!GAW814*'Form Sa1'!GAW816/10)-'NF - 5 Power Mix'!GAT21-'NF - 5 Power Mix'!GAT22</f>
        <v>0</v>
      </c>
      <c r="GAU42" s="1046">
        <f>GAU38+((GAU40+'NF - 5 Power Mix'!GAU14+'NF - 5 Power Mix'!GAU15)*860/10)+((('Form Sa1'!GAX835)*860)/10)+('Form Sa1'!GAX814*'Form Sa1'!GAX816/10)-'NF - 5 Power Mix'!GAU21-'NF - 5 Power Mix'!GAU22</f>
        <v>0</v>
      </c>
      <c r="GAV42" s="1046">
        <f>GAV38+((GAV40+'NF - 5 Power Mix'!GAV14+'NF - 5 Power Mix'!GAV15)*860/10)+((('Form Sa1'!GAY835)*860)/10)+('Form Sa1'!GAY814*'Form Sa1'!GAY816/10)-'NF - 5 Power Mix'!GAV21-'NF - 5 Power Mix'!GAV22</f>
        <v>0</v>
      </c>
      <c r="GAW42" s="1046">
        <f>GAW38+((GAW40+'NF - 5 Power Mix'!GAW14+'NF - 5 Power Mix'!GAW15)*860/10)+((('Form Sa1'!GAZ835)*860)/10)+('Form Sa1'!GAZ814*'Form Sa1'!GAZ816/10)-'NF - 5 Power Mix'!GAW21-'NF - 5 Power Mix'!GAW22</f>
        <v>0</v>
      </c>
      <c r="GAX42" s="1046">
        <f>GAX38+((GAX40+'NF - 5 Power Mix'!GAX14+'NF - 5 Power Mix'!GAX15)*860/10)+((('Form Sa1'!GBA835)*860)/10)+('Form Sa1'!GBA814*'Form Sa1'!GBA816/10)-'NF - 5 Power Mix'!GAX21-'NF - 5 Power Mix'!GAX22</f>
        <v>0</v>
      </c>
      <c r="GAY42" s="1046">
        <f>GAY38+((GAY40+'NF - 5 Power Mix'!GAY14+'NF - 5 Power Mix'!GAY15)*860/10)+((('Form Sa1'!GBB835)*860)/10)+('Form Sa1'!GBB814*'Form Sa1'!GBB816/10)-'NF - 5 Power Mix'!GAY21-'NF - 5 Power Mix'!GAY22</f>
        <v>0</v>
      </c>
      <c r="GAZ42" s="1046">
        <f>GAZ38+((GAZ40+'NF - 5 Power Mix'!GAZ14+'NF - 5 Power Mix'!GAZ15)*860/10)+((('Form Sa1'!GBC835)*860)/10)+('Form Sa1'!GBC814*'Form Sa1'!GBC816/10)-'NF - 5 Power Mix'!GAZ21-'NF - 5 Power Mix'!GAZ22</f>
        <v>0</v>
      </c>
      <c r="GBA42" s="1046">
        <f>GBA38+((GBA40+'NF - 5 Power Mix'!GBA14+'NF - 5 Power Mix'!GBA15)*860/10)+((('Form Sa1'!GBD835)*860)/10)+('Form Sa1'!GBD814*'Form Sa1'!GBD816/10)-'NF - 5 Power Mix'!GBA21-'NF - 5 Power Mix'!GBA22</f>
        <v>0</v>
      </c>
      <c r="GBB42" s="1046">
        <f>GBB38+((GBB40+'NF - 5 Power Mix'!GBB14+'NF - 5 Power Mix'!GBB15)*860/10)+((('Form Sa1'!GBE835)*860)/10)+('Form Sa1'!GBE814*'Form Sa1'!GBE816/10)-'NF - 5 Power Mix'!GBB21-'NF - 5 Power Mix'!GBB22</f>
        <v>0</v>
      </c>
      <c r="GBC42" s="1046">
        <f>GBC38+((GBC40+'NF - 5 Power Mix'!GBC14+'NF - 5 Power Mix'!GBC15)*860/10)+((('Form Sa1'!GBF835)*860)/10)+('Form Sa1'!GBF814*'Form Sa1'!GBF816/10)-'NF - 5 Power Mix'!GBC21-'NF - 5 Power Mix'!GBC22</f>
        <v>0</v>
      </c>
      <c r="GBD42" s="1046">
        <f>GBD38+((GBD40+'NF - 5 Power Mix'!GBD14+'NF - 5 Power Mix'!GBD15)*860/10)+((('Form Sa1'!GBG835)*860)/10)+('Form Sa1'!GBG814*'Form Sa1'!GBG816/10)-'NF - 5 Power Mix'!GBD21-'NF - 5 Power Mix'!GBD22</f>
        <v>0</v>
      </c>
      <c r="GBE42" s="1046">
        <f>GBE38+((GBE40+'NF - 5 Power Mix'!GBE14+'NF - 5 Power Mix'!GBE15)*860/10)+((('Form Sa1'!GBH835)*860)/10)+('Form Sa1'!GBH814*'Form Sa1'!GBH816/10)-'NF - 5 Power Mix'!GBE21-'NF - 5 Power Mix'!GBE22</f>
        <v>0</v>
      </c>
      <c r="GBF42" s="1046">
        <f>GBF38+((GBF40+'NF - 5 Power Mix'!GBF14+'NF - 5 Power Mix'!GBF15)*860/10)+((('Form Sa1'!GBI835)*860)/10)+('Form Sa1'!GBI814*'Form Sa1'!GBI816/10)-'NF - 5 Power Mix'!GBF21-'NF - 5 Power Mix'!GBF22</f>
        <v>0</v>
      </c>
      <c r="GBG42" s="1046">
        <f>GBG38+((GBG40+'NF - 5 Power Mix'!GBG14+'NF - 5 Power Mix'!GBG15)*860/10)+((('Form Sa1'!GBJ835)*860)/10)+('Form Sa1'!GBJ814*'Form Sa1'!GBJ816/10)-'NF - 5 Power Mix'!GBG21-'NF - 5 Power Mix'!GBG22</f>
        <v>0</v>
      </c>
      <c r="GBH42" s="1046">
        <f>GBH38+((GBH40+'NF - 5 Power Mix'!GBH14+'NF - 5 Power Mix'!GBH15)*860/10)+((('Form Sa1'!GBK835)*860)/10)+('Form Sa1'!GBK814*'Form Sa1'!GBK816/10)-'NF - 5 Power Mix'!GBH21-'NF - 5 Power Mix'!GBH22</f>
        <v>0</v>
      </c>
      <c r="GBI42" s="1046">
        <f>GBI38+((GBI40+'NF - 5 Power Mix'!GBI14+'NF - 5 Power Mix'!GBI15)*860/10)+((('Form Sa1'!GBL835)*860)/10)+('Form Sa1'!GBL814*'Form Sa1'!GBL816/10)-'NF - 5 Power Mix'!GBI21-'NF - 5 Power Mix'!GBI22</f>
        <v>0</v>
      </c>
      <c r="GBJ42" s="1046">
        <f>GBJ38+((GBJ40+'NF - 5 Power Mix'!GBJ14+'NF - 5 Power Mix'!GBJ15)*860/10)+((('Form Sa1'!GBM835)*860)/10)+('Form Sa1'!GBM814*'Form Sa1'!GBM816/10)-'NF - 5 Power Mix'!GBJ21-'NF - 5 Power Mix'!GBJ22</f>
        <v>0</v>
      </c>
      <c r="GBK42" s="1046">
        <f>GBK38+((GBK40+'NF - 5 Power Mix'!GBK14+'NF - 5 Power Mix'!GBK15)*860/10)+((('Form Sa1'!GBN835)*860)/10)+('Form Sa1'!GBN814*'Form Sa1'!GBN816/10)-'NF - 5 Power Mix'!GBK21-'NF - 5 Power Mix'!GBK22</f>
        <v>0</v>
      </c>
      <c r="GBL42" s="1046">
        <f>GBL38+((GBL40+'NF - 5 Power Mix'!GBL14+'NF - 5 Power Mix'!GBL15)*860/10)+((('Form Sa1'!GBO835)*860)/10)+('Form Sa1'!GBO814*'Form Sa1'!GBO816/10)-'NF - 5 Power Mix'!GBL21-'NF - 5 Power Mix'!GBL22</f>
        <v>0</v>
      </c>
      <c r="GBM42" s="1046">
        <f>GBM38+((GBM40+'NF - 5 Power Mix'!GBM14+'NF - 5 Power Mix'!GBM15)*860/10)+((('Form Sa1'!GBP835)*860)/10)+('Form Sa1'!GBP814*'Form Sa1'!GBP816/10)-'NF - 5 Power Mix'!GBM21-'NF - 5 Power Mix'!GBM22</f>
        <v>0</v>
      </c>
      <c r="GBN42" s="1046">
        <f>GBN38+((GBN40+'NF - 5 Power Mix'!GBN14+'NF - 5 Power Mix'!GBN15)*860/10)+((('Form Sa1'!GBQ835)*860)/10)+('Form Sa1'!GBQ814*'Form Sa1'!GBQ816/10)-'NF - 5 Power Mix'!GBN21-'NF - 5 Power Mix'!GBN22</f>
        <v>0</v>
      </c>
      <c r="GBO42" s="1046">
        <f>GBO38+((GBO40+'NF - 5 Power Mix'!GBO14+'NF - 5 Power Mix'!GBO15)*860/10)+((('Form Sa1'!GBR835)*860)/10)+('Form Sa1'!GBR814*'Form Sa1'!GBR816/10)-'NF - 5 Power Mix'!GBO21-'NF - 5 Power Mix'!GBO22</f>
        <v>0</v>
      </c>
      <c r="GBP42" s="1046">
        <f>GBP38+((GBP40+'NF - 5 Power Mix'!GBP14+'NF - 5 Power Mix'!GBP15)*860/10)+((('Form Sa1'!GBS835)*860)/10)+('Form Sa1'!GBS814*'Form Sa1'!GBS816/10)-'NF - 5 Power Mix'!GBP21-'NF - 5 Power Mix'!GBP22</f>
        <v>0</v>
      </c>
      <c r="GBQ42" s="1046">
        <f>GBQ38+((GBQ40+'NF - 5 Power Mix'!GBQ14+'NF - 5 Power Mix'!GBQ15)*860/10)+((('Form Sa1'!GBT835)*860)/10)+('Form Sa1'!GBT814*'Form Sa1'!GBT816/10)-'NF - 5 Power Mix'!GBQ21-'NF - 5 Power Mix'!GBQ22</f>
        <v>0</v>
      </c>
      <c r="GBR42" s="1046">
        <f>GBR38+((GBR40+'NF - 5 Power Mix'!GBR14+'NF - 5 Power Mix'!GBR15)*860/10)+((('Form Sa1'!GBU835)*860)/10)+('Form Sa1'!GBU814*'Form Sa1'!GBU816/10)-'NF - 5 Power Mix'!GBR21-'NF - 5 Power Mix'!GBR22</f>
        <v>0</v>
      </c>
      <c r="GBS42" s="1046">
        <f>GBS38+((GBS40+'NF - 5 Power Mix'!GBS14+'NF - 5 Power Mix'!GBS15)*860/10)+((('Form Sa1'!GBV835)*860)/10)+('Form Sa1'!GBV814*'Form Sa1'!GBV816/10)-'NF - 5 Power Mix'!GBS21-'NF - 5 Power Mix'!GBS22</f>
        <v>0</v>
      </c>
      <c r="GBT42" s="1046">
        <f>GBT38+((GBT40+'NF - 5 Power Mix'!GBT14+'NF - 5 Power Mix'!GBT15)*860/10)+((('Form Sa1'!GBW835)*860)/10)+('Form Sa1'!GBW814*'Form Sa1'!GBW816/10)-'NF - 5 Power Mix'!GBT21-'NF - 5 Power Mix'!GBT22</f>
        <v>0</v>
      </c>
      <c r="GBU42" s="1046">
        <f>GBU38+((GBU40+'NF - 5 Power Mix'!GBU14+'NF - 5 Power Mix'!GBU15)*860/10)+((('Form Sa1'!GBX835)*860)/10)+('Form Sa1'!GBX814*'Form Sa1'!GBX816/10)-'NF - 5 Power Mix'!GBU21-'NF - 5 Power Mix'!GBU22</f>
        <v>0</v>
      </c>
      <c r="GBV42" s="1046">
        <f>GBV38+((GBV40+'NF - 5 Power Mix'!GBV14+'NF - 5 Power Mix'!GBV15)*860/10)+((('Form Sa1'!GBY835)*860)/10)+('Form Sa1'!GBY814*'Form Sa1'!GBY816/10)-'NF - 5 Power Mix'!GBV21-'NF - 5 Power Mix'!GBV22</f>
        <v>0</v>
      </c>
      <c r="GBW42" s="1046">
        <f>GBW38+((GBW40+'NF - 5 Power Mix'!GBW14+'NF - 5 Power Mix'!GBW15)*860/10)+((('Form Sa1'!GBZ835)*860)/10)+('Form Sa1'!GBZ814*'Form Sa1'!GBZ816/10)-'NF - 5 Power Mix'!GBW21-'NF - 5 Power Mix'!GBW22</f>
        <v>0</v>
      </c>
      <c r="GBX42" s="1046">
        <f>GBX38+((GBX40+'NF - 5 Power Mix'!GBX14+'NF - 5 Power Mix'!GBX15)*860/10)+((('Form Sa1'!GCA835)*860)/10)+('Form Sa1'!GCA814*'Form Sa1'!GCA816/10)-'NF - 5 Power Mix'!GBX21-'NF - 5 Power Mix'!GBX22</f>
        <v>0</v>
      </c>
      <c r="GBY42" s="1046">
        <f>GBY38+((GBY40+'NF - 5 Power Mix'!GBY14+'NF - 5 Power Mix'!GBY15)*860/10)+((('Form Sa1'!GCB835)*860)/10)+('Form Sa1'!GCB814*'Form Sa1'!GCB816/10)-'NF - 5 Power Mix'!GBY21-'NF - 5 Power Mix'!GBY22</f>
        <v>0</v>
      </c>
      <c r="GBZ42" s="1046">
        <f>GBZ38+((GBZ40+'NF - 5 Power Mix'!GBZ14+'NF - 5 Power Mix'!GBZ15)*860/10)+((('Form Sa1'!GCC835)*860)/10)+('Form Sa1'!GCC814*'Form Sa1'!GCC816/10)-'NF - 5 Power Mix'!GBZ21-'NF - 5 Power Mix'!GBZ22</f>
        <v>0</v>
      </c>
      <c r="GCA42" s="1046">
        <f>GCA38+((GCA40+'NF - 5 Power Mix'!GCA14+'NF - 5 Power Mix'!GCA15)*860/10)+((('Form Sa1'!GCD835)*860)/10)+('Form Sa1'!GCD814*'Form Sa1'!GCD816/10)-'NF - 5 Power Mix'!GCA21-'NF - 5 Power Mix'!GCA22</f>
        <v>0</v>
      </c>
      <c r="GCB42" s="1046">
        <f>GCB38+((GCB40+'NF - 5 Power Mix'!GCB14+'NF - 5 Power Mix'!GCB15)*860/10)+((('Form Sa1'!GCE835)*860)/10)+('Form Sa1'!GCE814*'Form Sa1'!GCE816/10)-'NF - 5 Power Mix'!GCB21-'NF - 5 Power Mix'!GCB22</f>
        <v>0</v>
      </c>
      <c r="GCC42" s="1046">
        <f>GCC38+((GCC40+'NF - 5 Power Mix'!GCC14+'NF - 5 Power Mix'!GCC15)*860/10)+((('Form Sa1'!GCF835)*860)/10)+('Form Sa1'!GCF814*'Form Sa1'!GCF816/10)-'NF - 5 Power Mix'!GCC21-'NF - 5 Power Mix'!GCC22</f>
        <v>0</v>
      </c>
      <c r="GCD42" s="1046">
        <f>GCD38+((GCD40+'NF - 5 Power Mix'!GCD14+'NF - 5 Power Mix'!GCD15)*860/10)+((('Form Sa1'!GCG835)*860)/10)+('Form Sa1'!GCG814*'Form Sa1'!GCG816/10)-'NF - 5 Power Mix'!GCD21-'NF - 5 Power Mix'!GCD22</f>
        <v>0</v>
      </c>
      <c r="GCE42" s="1046">
        <f>GCE38+((GCE40+'NF - 5 Power Mix'!GCE14+'NF - 5 Power Mix'!GCE15)*860/10)+((('Form Sa1'!GCH835)*860)/10)+('Form Sa1'!GCH814*'Form Sa1'!GCH816/10)-'NF - 5 Power Mix'!GCE21-'NF - 5 Power Mix'!GCE22</f>
        <v>0</v>
      </c>
      <c r="GCF42" s="1046">
        <f>GCF38+((GCF40+'NF - 5 Power Mix'!GCF14+'NF - 5 Power Mix'!GCF15)*860/10)+((('Form Sa1'!GCI835)*860)/10)+('Form Sa1'!GCI814*'Form Sa1'!GCI816/10)-'NF - 5 Power Mix'!GCF21-'NF - 5 Power Mix'!GCF22</f>
        <v>0</v>
      </c>
      <c r="GCG42" s="1046">
        <f>GCG38+((GCG40+'NF - 5 Power Mix'!GCG14+'NF - 5 Power Mix'!GCG15)*860/10)+((('Form Sa1'!GCJ835)*860)/10)+('Form Sa1'!GCJ814*'Form Sa1'!GCJ816/10)-'NF - 5 Power Mix'!GCG21-'NF - 5 Power Mix'!GCG22</f>
        <v>0</v>
      </c>
      <c r="GCH42" s="1046">
        <f>GCH38+((GCH40+'NF - 5 Power Mix'!GCH14+'NF - 5 Power Mix'!GCH15)*860/10)+((('Form Sa1'!GCK835)*860)/10)+('Form Sa1'!GCK814*'Form Sa1'!GCK816/10)-'NF - 5 Power Mix'!GCH21-'NF - 5 Power Mix'!GCH22</f>
        <v>0</v>
      </c>
      <c r="GCI42" s="1046">
        <f>GCI38+((GCI40+'NF - 5 Power Mix'!GCI14+'NF - 5 Power Mix'!GCI15)*860/10)+((('Form Sa1'!GCL835)*860)/10)+('Form Sa1'!GCL814*'Form Sa1'!GCL816/10)-'NF - 5 Power Mix'!GCI21-'NF - 5 Power Mix'!GCI22</f>
        <v>0</v>
      </c>
      <c r="GCJ42" s="1046">
        <f>GCJ38+((GCJ40+'NF - 5 Power Mix'!GCJ14+'NF - 5 Power Mix'!GCJ15)*860/10)+((('Form Sa1'!GCM835)*860)/10)+('Form Sa1'!GCM814*'Form Sa1'!GCM816/10)-'NF - 5 Power Mix'!GCJ21-'NF - 5 Power Mix'!GCJ22</f>
        <v>0</v>
      </c>
      <c r="GCK42" s="1046">
        <f>GCK38+((GCK40+'NF - 5 Power Mix'!GCK14+'NF - 5 Power Mix'!GCK15)*860/10)+((('Form Sa1'!GCN835)*860)/10)+('Form Sa1'!GCN814*'Form Sa1'!GCN816/10)-'NF - 5 Power Mix'!GCK21-'NF - 5 Power Mix'!GCK22</f>
        <v>0</v>
      </c>
      <c r="GCL42" s="1046">
        <f>GCL38+((GCL40+'NF - 5 Power Mix'!GCL14+'NF - 5 Power Mix'!GCL15)*860/10)+((('Form Sa1'!GCO835)*860)/10)+('Form Sa1'!GCO814*'Form Sa1'!GCO816/10)-'NF - 5 Power Mix'!GCL21-'NF - 5 Power Mix'!GCL22</f>
        <v>0</v>
      </c>
      <c r="GCM42" s="1046">
        <f>GCM38+((GCM40+'NF - 5 Power Mix'!GCM14+'NF - 5 Power Mix'!GCM15)*860/10)+((('Form Sa1'!GCP835)*860)/10)+('Form Sa1'!GCP814*'Form Sa1'!GCP816/10)-'NF - 5 Power Mix'!GCM21-'NF - 5 Power Mix'!GCM22</f>
        <v>0</v>
      </c>
      <c r="GCN42" s="1046">
        <f>GCN38+((GCN40+'NF - 5 Power Mix'!GCN14+'NF - 5 Power Mix'!GCN15)*860/10)+((('Form Sa1'!GCQ835)*860)/10)+('Form Sa1'!GCQ814*'Form Sa1'!GCQ816/10)-'NF - 5 Power Mix'!GCN21-'NF - 5 Power Mix'!GCN22</f>
        <v>0</v>
      </c>
      <c r="GCO42" s="1046">
        <f>GCO38+((GCO40+'NF - 5 Power Mix'!GCO14+'NF - 5 Power Mix'!GCO15)*860/10)+((('Form Sa1'!GCR835)*860)/10)+('Form Sa1'!GCR814*'Form Sa1'!GCR816/10)-'NF - 5 Power Mix'!GCO21-'NF - 5 Power Mix'!GCO22</f>
        <v>0</v>
      </c>
      <c r="GCP42" s="1046">
        <f>GCP38+((GCP40+'NF - 5 Power Mix'!GCP14+'NF - 5 Power Mix'!GCP15)*860/10)+((('Form Sa1'!GCS835)*860)/10)+('Form Sa1'!GCS814*'Form Sa1'!GCS816/10)-'NF - 5 Power Mix'!GCP21-'NF - 5 Power Mix'!GCP22</f>
        <v>0</v>
      </c>
      <c r="GCQ42" s="1046">
        <f>GCQ38+((GCQ40+'NF - 5 Power Mix'!GCQ14+'NF - 5 Power Mix'!GCQ15)*860/10)+((('Form Sa1'!GCT835)*860)/10)+('Form Sa1'!GCT814*'Form Sa1'!GCT816/10)-'NF - 5 Power Mix'!GCQ21-'NF - 5 Power Mix'!GCQ22</f>
        <v>0</v>
      </c>
      <c r="GCR42" s="1046">
        <f>GCR38+((GCR40+'NF - 5 Power Mix'!GCR14+'NF - 5 Power Mix'!GCR15)*860/10)+((('Form Sa1'!GCU835)*860)/10)+('Form Sa1'!GCU814*'Form Sa1'!GCU816/10)-'NF - 5 Power Mix'!GCR21-'NF - 5 Power Mix'!GCR22</f>
        <v>0</v>
      </c>
      <c r="GCS42" s="1046">
        <f>GCS38+((GCS40+'NF - 5 Power Mix'!GCS14+'NF - 5 Power Mix'!GCS15)*860/10)+((('Form Sa1'!GCV835)*860)/10)+('Form Sa1'!GCV814*'Form Sa1'!GCV816/10)-'NF - 5 Power Mix'!GCS21-'NF - 5 Power Mix'!GCS22</f>
        <v>0</v>
      </c>
      <c r="GCT42" s="1046">
        <f>GCT38+((GCT40+'NF - 5 Power Mix'!GCT14+'NF - 5 Power Mix'!GCT15)*860/10)+((('Form Sa1'!GCW835)*860)/10)+('Form Sa1'!GCW814*'Form Sa1'!GCW816/10)-'NF - 5 Power Mix'!GCT21-'NF - 5 Power Mix'!GCT22</f>
        <v>0</v>
      </c>
      <c r="GCU42" s="1046">
        <f>GCU38+((GCU40+'NF - 5 Power Mix'!GCU14+'NF - 5 Power Mix'!GCU15)*860/10)+((('Form Sa1'!GCX835)*860)/10)+('Form Sa1'!GCX814*'Form Sa1'!GCX816/10)-'NF - 5 Power Mix'!GCU21-'NF - 5 Power Mix'!GCU22</f>
        <v>0</v>
      </c>
      <c r="GCV42" s="1046">
        <f>GCV38+((GCV40+'NF - 5 Power Mix'!GCV14+'NF - 5 Power Mix'!GCV15)*860/10)+((('Form Sa1'!GCY835)*860)/10)+('Form Sa1'!GCY814*'Form Sa1'!GCY816/10)-'NF - 5 Power Mix'!GCV21-'NF - 5 Power Mix'!GCV22</f>
        <v>0</v>
      </c>
      <c r="GCW42" s="1046">
        <f>GCW38+((GCW40+'NF - 5 Power Mix'!GCW14+'NF - 5 Power Mix'!GCW15)*860/10)+((('Form Sa1'!GCZ835)*860)/10)+('Form Sa1'!GCZ814*'Form Sa1'!GCZ816/10)-'NF - 5 Power Mix'!GCW21-'NF - 5 Power Mix'!GCW22</f>
        <v>0</v>
      </c>
      <c r="GCX42" s="1046">
        <f>GCX38+((GCX40+'NF - 5 Power Mix'!GCX14+'NF - 5 Power Mix'!GCX15)*860/10)+((('Form Sa1'!GDA835)*860)/10)+('Form Sa1'!GDA814*'Form Sa1'!GDA816/10)-'NF - 5 Power Mix'!GCX21-'NF - 5 Power Mix'!GCX22</f>
        <v>0</v>
      </c>
      <c r="GCY42" s="1046">
        <f>GCY38+((GCY40+'NF - 5 Power Mix'!GCY14+'NF - 5 Power Mix'!GCY15)*860/10)+((('Form Sa1'!GDB835)*860)/10)+('Form Sa1'!GDB814*'Form Sa1'!GDB816/10)-'NF - 5 Power Mix'!GCY21-'NF - 5 Power Mix'!GCY22</f>
        <v>0</v>
      </c>
      <c r="GCZ42" s="1046">
        <f>GCZ38+((GCZ40+'NF - 5 Power Mix'!GCZ14+'NF - 5 Power Mix'!GCZ15)*860/10)+((('Form Sa1'!GDC835)*860)/10)+('Form Sa1'!GDC814*'Form Sa1'!GDC816/10)-'NF - 5 Power Mix'!GCZ21-'NF - 5 Power Mix'!GCZ22</f>
        <v>0</v>
      </c>
      <c r="GDA42" s="1046">
        <f>GDA38+((GDA40+'NF - 5 Power Mix'!GDA14+'NF - 5 Power Mix'!GDA15)*860/10)+((('Form Sa1'!GDD835)*860)/10)+('Form Sa1'!GDD814*'Form Sa1'!GDD816/10)-'NF - 5 Power Mix'!GDA21-'NF - 5 Power Mix'!GDA22</f>
        <v>0</v>
      </c>
      <c r="GDB42" s="1046">
        <f>GDB38+((GDB40+'NF - 5 Power Mix'!GDB14+'NF - 5 Power Mix'!GDB15)*860/10)+((('Form Sa1'!GDE835)*860)/10)+('Form Sa1'!GDE814*'Form Sa1'!GDE816/10)-'NF - 5 Power Mix'!GDB21-'NF - 5 Power Mix'!GDB22</f>
        <v>0</v>
      </c>
      <c r="GDC42" s="1046">
        <f>GDC38+((GDC40+'NF - 5 Power Mix'!GDC14+'NF - 5 Power Mix'!GDC15)*860/10)+((('Form Sa1'!GDF835)*860)/10)+('Form Sa1'!GDF814*'Form Sa1'!GDF816/10)-'NF - 5 Power Mix'!GDC21-'NF - 5 Power Mix'!GDC22</f>
        <v>0</v>
      </c>
      <c r="GDD42" s="1046">
        <f>GDD38+((GDD40+'NF - 5 Power Mix'!GDD14+'NF - 5 Power Mix'!GDD15)*860/10)+((('Form Sa1'!GDG835)*860)/10)+('Form Sa1'!GDG814*'Form Sa1'!GDG816/10)-'NF - 5 Power Mix'!GDD21-'NF - 5 Power Mix'!GDD22</f>
        <v>0</v>
      </c>
      <c r="GDE42" s="1046">
        <f>GDE38+((GDE40+'NF - 5 Power Mix'!GDE14+'NF - 5 Power Mix'!GDE15)*860/10)+((('Form Sa1'!GDH835)*860)/10)+('Form Sa1'!GDH814*'Form Sa1'!GDH816/10)-'NF - 5 Power Mix'!GDE21-'NF - 5 Power Mix'!GDE22</f>
        <v>0</v>
      </c>
      <c r="GDF42" s="1046">
        <f>GDF38+((GDF40+'NF - 5 Power Mix'!GDF14+'NF - 5 Power Mix'!GDF15)*860/10)+((('Form Sa1'!GDI835)*860)/10)+('Form Sa1'!GDI814*'Form Sa1'!GDI816/10)-'NF - 5 Power Mix'!GDF21-'NF - 5 Power Mix'!GDF22</f>
        <v>0</v>
      </c>
      <c r="GDG42" s="1046">
        <f>GDG38+((GDG40+'NF - 5 Power Mix'!GDG14+'NF - 5 Power Mix'!GDG15)*860/10)+((('Form Sa1'!GDJ835)*860)/10)+('Form Sa1'!GDJ814*'Form Sa1'!GDJ816/10)-'NF - 5 Power Mix'!GDG21-'NF - 5 Power Mix'!GDG22</f>
        <v>0</v>
      </c>
      <c r="GDH42" s="1046">
        <f>GDH38+((GDH40+'NF - 5 Power Mix'!GDH14+'NF - 5 Power Mix'!GDH15)*860/10)+((('Form Sa1'!GDK835)*860)/10)+('Form Sa1'!GDK814*'Form Sa1'!GDK816/10)-'NF - 5 Power Mix'!GDH21-'NF - 5 Power Mix'!GDH22</f>
        <v>0</v>
      </c>
      <c r="GDI42" s="1046">
        <f>GDI38+((GDI40+'NF - 5 Power Mix'!GDI14+'NF - 5 Power Mix'!GDI15)*860/10)+((('Form Sa1'!GDL835)*860)/10)+('Form Sa1'!GDL814*'Form Sa1'!GDL816/10)-'NF - 5 Power Mix'!GDI21-'NF - 5 Power Mix'!GDI22</f>
        <v>0</v>
      </c>
      <c r="GDJ42" s="1046">
        <f>GDJ38+((GDJ40+'NF - 5 Power Mix'!GDJ14+'NF - 5 Power Mix'!GDJ15)*860/10)+((('Form Sa1'!GDM835)*860)/10)+('Form Sa1'!GDM814*'Form Sa1'!GDM816/10)-'NF - 5 Power Mix'!GDJ21-'NF - 5 Power Mix'!GDJ22</f>
        <v>0</v>
      </c>
      <c r="GDK42" s="1046">
        <f>GDK38+((GDK40+'NF - 5 Power Mix'!GDK14+'NF - 5 Power Mix'!GDK15)*860/10)+((('Form Sa1'!GDN835)*860)/10)+('Form Sa1'!GDN814*'Form Sa1'!GDN816/10)-'NF - 5 Power Mix'!GDK21-'NF - 5 Power Mix'!GDK22</f>
        <v>0</v>
      </c>
      <c r="GDL42" s="1046">
        <f>GDL38+((GDL40+'NF - 5 Power Mix'!GDL14+'NF - 5 Power Mix'!GDL15)*860/10)+((('Form Sa1'!GDO835)*860)/10)+('Form Sa1'!GDO814*'Form Sa1'!GDO816/10)-'NF - 5 Power Mix'!GDL21-'NF - 5 Power Mix'!GDL22</f>
        <v>0</v>
      </c>
      <c r="GDM42" s="1046">
        <f>GDM38+((GDM40+'NF - 5 Power Mix'!GDM14+'NF - 5 Power Mix'!GDM15)*860/10)+((('Form Sa1'!GDP835)*860)/10)+('Form Sa1'!GDP814*'Form Sa1'!GDP816/10)-'NF - 5 Power Mix'!GDM21-'NF - 5 Power Mix'!GDM22</f>
        <v>0</v>
      </c>
      <c r="GDN42" s="1046">
        <f>GDN38+((GDN40+'NF - 5 Power Mix'!GDN14+'NF - 5 Power Mix'!GDN15)*860/10)+((('Form Sa1'!GDQ835)*860)/10)+('Form Sa1'!GDQ814*'Form Sa1'!GDQ816/10)-'NF - 5 Power Mix'!GDN21-'NF - 5 Power Mix'!GDN22</f>
        <v>0</v>
      </c>
      <c r="GDO42" s="1046">
        <f>GDO38+((GDO40+'NF - 5 Power Mix'!GDO14+'NF - 5 Power Mix'!GDO15)*860/10)+((('Form Sa1'!GDR835)*860)/10)+('Form Sa1'!GDR814*'Form Sa1'!GDR816/10)-'NF - 5 Power Mix'!GDO21-'NF - 5 Power Mix'!GDO22</f>
        <v>0</v>
      </c>
      <c r="GDP42" s="1046">
        <f>GDP38+((GDP40+'NF - 5 Power Mix'!GDP14+'NF - 5 Power Mix'!GDP15)*860/10)+((('Form Sa1'!GDS835)*860)/10)+('Form Sa1'!GDS814*'Form Sa1'!GDS816/10)-'NF - 5 Power Mix'!GDP21-'NF - 5 Power Mix'!GDP22</f>
        <v>0</v>
      </c>
      <c r="GDQ42" s="1046">
        <f>GDQ38+((GDQ40+'NF - 5 Power Mix'!GDQ14+'NF - 5 Power Mix'!GDQ15)*860/10)+((('Form Sa1'!GDT835)*860)/10)+('Form Sa1'!GDT814*'Form Sa1'!GDT816/10)-'NF - 5 Power Mix'!GDQ21-'NF - 5 Power Mix'!GDQ22</f>
        <v>0</v>
      </c>
      <c r="GDR42" s="1046">
        <f>GDR38+((GDR40+'NF - 5 Power Mix'!GDR14+'NF - 5 Power Mix'!GDR15)*860/10)+((('Form Sa1'!GDU835)*860)/10)+('Form Sa1'!GDU814*'Form Sa1'!GDU816/10)-'NF - 5 Power Mix'!GDR21-'NF - 5 Power Mix'!GDR22</f>
        <v>0</v>
      </c>
      <c r="GDS42" s="1046">
        <f>GDS38+((GDS40+'NF - 5 Power Mix'!GDS14+'NF - 5 Power Mix'!GDS15)*860/10)+((('Form Sa1'!GDV835)*860)/10)+('Form Sa1'!GDV814*'Form Sa1'!GDV816/10)-'NF - 5 Power Mix'!GDS21-'NF - 5 Power Mix'!GDS22</f>
        <v>0</v>
      </c>
      <c r="GDT42" s="1046">
        <f>GDT38+((GDT40+'NF - 5 Power Mix'!GDT14+'NF - 5 Power Mix'!GDT15)*860/10)+((('Form Sa1'!GDW835)*860)/10)+('Form Sa1'!GDW814*'Form Sa1'!GDW816/10)-'NF - 5 Power Mix'!GDT21-'NF - 5 Power Mix'!GDT22</f>
        <v>0</v>
      </c>
      <c r="GDU42" s="1046">
        <f>GDU38+((GDU40+'NF - 5 Power Mix'!GDU14+'NF - 5 Power Mix'!GDU15)*860/10)+((('Form Sa1'!GDX835)*860)/10)+('Form Sa1'!GDX814*'Form Sa1'!GDX816/10)-'NF - 5 Power Mix'!GDU21-'NF - 5 Power Mix'!GDU22</f>
        <v>0</v>
      </c>
      <c r="GDV42" s="1046">
        <f>GDV38+((GDV40+'NF - 5 Power Mix'!GDV14+'NF - 5 Power Mix'!GDV15)*860/10)+((('Form Sa1'!GDY835)*860)/10)+('Form Sa1'!GDY814*'Form Sa1'!GDY816/10)-'NF - 5 Power Mix'!GDV21-'NF - 5 Power Mix'!GDV22</f>
        <v>0</v>
      </c>
      <c r="GDW42" s="1046">
        <f>GDW38+((GDW40+'NF - 5 Power Mix'!GDW14+'NF - 5 Power Mix'!GDW15)*860/10)+((('Form Sa1'!GDZ835)*860)/10)+('Form Sa1'!GDZ814*'Form Sa1'!GDZ816/10)-'NF - 5 Power Mix'!GDW21-'NF - 5 Power Mix'!GDW22</f>
        <v>0</v>
      </c>
      <c r="GDX42" s="1046">
        <f>GDX38+((GDX40+'NF - 5 Power Mix'!GDX14+'NF - 5 Power Mix'!GDX15)*860/10)+((('Form Sa1'!GEA835)*860)/10)+('Form Sa1'!GEA814*'Form Sa1'!GEA816/10)-'NF - 5 Power Mix'!GDX21-'NF - 5 Power Mix'!GDX22</f>
        <v>0</v>
      </c>
      <c r="GDY42" s="1046">
        <f>GDY38+((GDY40+'NF - 5 Power Mix'!GDY14+'NF - 5 Power Mix'!GDY15)*860/10)+((('Form Sa1'!GEB835)*860)/10)+('Form Sa1'!GEB814*'Form Sa1'!GEB816/10)-'NF - 5 Power Mix'!GDY21-'NF - 5 Power Mix'!GDY22</f>
        <v>0</v>
      </c>
      <c r="GDZ42" s="1046">
        <f>GDZ38+((GDZ40+'NF - 5 Power Mix'!GDZ14+'NF - 5 Power Mix'!GDZ15)*860/10)+((('Form Sa1'!GEC835)*860)/10)+('Form Sa1'!GEC814*'Form Sa1'!GEC816/10)-'NF - 5 Power Mix'!GDZ21-'NF - 5 Power Mix'!GDZ22</f>
        <v>0</v>
      </c>
      <c r="GEA42" s="1046">
        <f>GEA38+((GEA40+'NF - 5 Power Mix'!GEA14+'NF - 5 Power Mix'!GEA15)*860/10)+((('Form Sa1'!GED835)*860)/10)+('Form Sa1'!GED814*'Form Sa1'!GED816/10)-'NF - 5 Power Mix'!GEA21-'NF - 5 Power Mix'!GEA22</f>
        <v>0</v>
      </c>
      <c r="GEB42" s="1046">
        <f>GEB38+((GEB40+'NF - 5 Power Mix'!GEB14+'NF - 5 Power Mix'!GEB15)*860/10)+((('Form Sa1'!GEE835)*860)/10)+('Form Sa1'!GEE814*'Form Sa1'!GEE816/10)-'NF - 5 Power Mix'!GEB21-'NF - 5 Power Mix'!GEB22</f>
        <v>0</v>
      </c>
      <c r="GEC42" s="1046">
        <f>GEC38+((GEC40+'NF - 5 Power Mix'!GEC14+'NF - 5 Power Mix'!GEC15)*860/10)+((('Form Sa1'!GEF835)*860)/10)+('Form Sa1'!GEF814*'Form Sa1'!GEF816/10)-'NF - 5 Power Mix'!GEC21-'NF - 5 Power Mix'!GEC22</f>
        <v>0</v>
      </c>
      <c r="GED42" s="1046">
        <f>GED38+((GED40+'NF - 5 Power Mix'!GED14+'NF - 5 Power Mix'!GED15)*860/10)+((('Form Sa1'!GEG835)*860)/10)+('Form Sa1'!GEG814*'Form Sa1'!GEG816/10)-'NF - 5 Power Mix'!GED21-'NF - 5 Power Mix'!GED22</f>
        <v>0</v>
      </c>
      <c r="GEE42" s="1046">
        <f>GEE38+((GEE40+'NF - 5 Power Mix'!GEE14+'NF - 5 Power Mix'!GEE15)*860/10)+((('Form Sa1'!GEH835)*860)/10)+('Form Sa1'!GEH814*'Form Sa1'!GEH816/10)-'NF - 5 Power Mix'!GEE21-'NF - 5 Power Mix'!GEE22</f>
        <v>0</v>
      </c>
      <c r="GEF42" s="1046">
        <f>GEF38+((GEF40+'NF - 5 Power Mix'!GEF14+'NF - 5 Power Mix'!GEF15)*860/10)+((('Form Sa1'!GEI835)*860)/10)+('Form Sa1'!GEI814*'Form Sa1'!GEI816/10)-'NF - 5 Power Mix'!GEF21-'NF - 5 Power Mix'!GEF22</f>
        <v>0</v>
      </c>
      <c r="GEG42" s="1046">
        <f>GEG38+((GEG40+'NF - 5 Power Mix'!GEG14+'NF - 5 Power Mix'!GEG15)*860/10)+((('Form Sa1'!GEJ835)*860)/10)+('Form Sa1'!GEJ814*'Form Sa1'!GEJ816/10)-'NF - 5 Power Mix'!GEG21-'NF - 5 Power Mix'!GEG22</f>
        <v>0</v>
      </c>
      <c r="GEH42" s="1046">
        <f>GEH38+((GEH40+'NF - 5 Power Mix'!GEH14+'NF - 5 Power Mix'!GEH15)*860/10)+((('Form Sa1'!GEK835)*860)/10)+('Form Sa1'!GEK814*'Form Sa1'!GEK816/10)-'NF - 5 Power Mix'!GEH21-'NF - 5 Power Mix'!GEH22</f>
        <v>0</v>
      </c>
      <c r="GEI42" s="1046">
        <f>GEI38+((GEI40+'NF - 5 Power Mix'!GEI14+'NF - 5 Power Mix'!GEI15)*860/10)+((('Form Sa1'!GEL835)*860)/10)+('Form Sa1'!GEL814*'Form Sa1'!GEL816/10)-'NF - 5 Power Mix'!GEI21-'NF - 5 Power Mix'!GEI22</f>
        <v>0</v>
      </c>
      <c r="GEJ42" s="1046">
        <f>GEJ38+((GEJ40+'NF - 5 Power Mix'!GEJ14+'NF - 5 Power Mix'!GEJ15)*860/10)+((('Form Sa1'!GEM835)*860)/10)+('Form Sa1'!GEM814*'Form Sa1'!GEM816/10)-'NF - 5 Power Mix'!GEJ21-'NF - 5 Power Mix'!GEJ22</f>
        <v>0</v>
      </c>
      <c r="GEK42" s="1046">
        <f>GEK38+((GEK40+'NF - 5 Power Mix'!GEK14+'NF - 5 Power Mix'!GEK15)*860/10)+((('Form Sa1'!GEN835)*860)/10)+('Form Sa1'!GEN814*'Form Sa1'!GEN816/10)-'NF - 5 Power Mix'!GEK21-'NF - 5 Power Mix'!GEK22</f>
        <v>0</v>
      </c>
      <c r="GEL42" s="1046">
        <f>GEL38+((GEL40+'NF - 5 Power Mix'!GEL14+'NF - 5 Power Mix'!GEL15)*860/10)+((('Form Sa1'!GEO835)*860)/10)+('Form Sa1'!GEO814*'Form Sa1'!GEO816/10)-'NF - 5 Power Mix'!GEL21-'NF - 5 Power Mix'!GEL22</f>
        <v>0</v>
      </c>
      <c r="GEM42" s="1046">
        <f>GEM38+((GEM40+'NF - 5 Power Mix'!GEM14+'NF - 5 Power Mix'!GEM15)*860/10)+((('Form Sa1'!GEP835)*860)/10)+('Form Sa1'!GEP814*'Form Sa1'!GEP816/10)-'NF - 5 Power Mix'!GEM21-'NF - 5 Power Mix'!GEM22</f>
        <v>0</v>
      </c>
      <c r="GEN42" s="1046">
        <f>GEN38+((GEN40+'NF - 5 Power Mix'!GEN14+'NF - 5 Power Mix'!GEN15)*860/10)+((('Form Sa1'!GEQ835)*860)/10)+('Form Sa1'!GEQ814*'Form Sa1'!GEQ816/10)-'NF - 5 Power Mix'!GEN21-'NF - 5 Power Mix'!GEN22</f>
        <v>0</v>
      </c>
      <c r="GEO42" s="1046">
        <f>GEO38+((GEO40+'NF - 5 Power Mix'!GEO14+'NF - 5 Power Mix'!GEO15)*860/10)+((('Form Sa1'!GER835)*860)/10)+('Form Sa1'!GER814*'Form Sa1'!GER816/10)-'NF - 5 Power Mix'!GEO21-'NF - 5 Power Mix'!GEO22</f>
        <v>0</v>
      </c>
      <c r="GEP42" s="1046">
        <f>GEP38+((GEP40+'NF - 5 Power Mix'!GEP14+'NF - 5 Power Mix'!GEP15)*860/10)+((('Form Sa1'!GES835)*860)/10)+('Form Sa1'!GES814*'Form Sa1'!GES816/10)-'NF - 5 Power Mix'!GEP21-'NF - 5 Power Mix'!GEP22</f>
        <v>0</v>
      </c>
      <c r="GEQ42" s="1046">
        <f>GEQ38+((GEQ40+'NF - 5 Power Mix'!GEQ14+'NF - 5 Power Mix'!GEQ15)*860/10)+((('Form Sa1'!GET835)*860)/10)+('Form Sa1'!GET814*'Form Sa1'!GET816/10)-'NF - 5 Power Mix'!GEQ21-'NF - 5 Power Mix'!GEQ22</f>
        <v>0</v>
      </c>
      <c r="GER42" s="1046">
        <f>GER38+((GER40+'NF - 5 Power Mix'!GER14+'NF - 5 Power Mix'!GER15)*860/10)+((('Form Sa1'!GEU835)*860)/10)+('Form Sa1'!GEU814*'Form Sa1'!GEU816/10)-'NF - 5 Power Mix'!GER21-'NF - 5 Power Mix'!GER22</f>
        <v>0</v>
      </c>
      <c r="GES42" s="1046">
        <f>GES38+((GES40+'NF - 5 Power Mix'!GES14+'NF - 5 Power Mix'!GES15)*860/10)+((('Form Sa1'!GEV835)*860)/10)+('Form Sa1'!GEV814*'Form Sa1'!GEV816/10)-'NF - 5 Power Mix'!GES21-'NF - 5 Power Mix'!GES22</f>
        <v>0</v>
      </c>
      <c r="GET42" s="1046">
        <f>GET38+((GET40+'NF - 5 Power Mix'!GET14+'NF - 5 Power Mix'!GET15)*860/10)+((('Form Sa1'!GEW835)*860)/10)+('Form Sa1'!GEW814*'Form Sa1'!GEW816/10)-'NF - 5 Power Mix'!GET21-'NF - 5 Power Mix'!GET22</f>
        <v>0</v>
      </c>
      <c r="GEU42" s="1046">
        <f>GEU38+((GEU40+'NF - 5 Power Mix'!GEU14+'NF - 5 Power Mix'!GEU15)*860/10)+((('Form Sa1'!GEX835)*860)/10)+('Form Sa1'!GEX814*'Form Sa1'!GEX816/10)-'NF - 5 Power Mix'!GEU21-'NF - 5 Power Mix'!GEU22</f>
        <v>0</v>
      </c>
      <c r="GEV42" s="1046">
        <f>GEV38+((GEV40+'NF - 5 Power Mix'!GEV14+'NF - 5 Power Mix'!GEV15)*860/10)+((('Form Sa1'!GEY835)*860)/10)+('Form Sa1'!GEY814*'Form Sa1'!GEY816/10)-'NF - 5 Power Mix'!GEV21-'NF - 5 Power Mix'!GEV22</f>
        <v>0</v>
      </c>
      <c r="GEW42" s="1046">
        <f>GEW38+((GEW40+'NF - 5 Power Mix'!GEW14+'NF - 5 Power Mix'!GEW15)*860/10)+((('Form Sa1'!GEZ835)*860)/10)+('Form Sa1'!GEZ814*'Form Sa1'!GEZ816/10)-'NF - 5 Power Mix'!GEW21-'NF - 5 Power Mix'!GEW22</f>
        <v>0</v>
      </c>
      <c r="GEX42" s="1046">
        <f>GEX38+((GEX40+'NF - 5 Power Mix'!GEX14+'NF - 5 Power Mix'!GEX15)*860/10)+((('Form Sa1'!GFA835)*860)/10)+('Form Sa1'!GFA814*'Form Sa1'!GFA816/10)-'NF - 5 Power Mix'!GEX21-'NF - 5 Power Mix'!GEX22</f>
        <v>0</v>
      </c>
      <c r="GEY42" s="1046">
        <f>GEY38+((GEY40+'NF - 5 Power Mix'!GEY14+'NF - 5 Power Mix'!GEY15)*860/10)+((('Form Sa1'!GFB835)*860)/10)+('Form Sa1'!GFB814*'Form Sa1'!GFB816/10)-'NF - 5 Power Mix'!GEY21-'NF - 5 Power Mix'!GEY22</f>
        <v>0</v>
      </c>
      <c r="GEZ42" s="1046">
        <f>GEZ38+((GEZ40+'NF - 5 Power Mix'!GEZ14+'NF - 5 Power Mix'!GEZ15)*860/10)+((('Form Sa1'!GFC835)*860)/10)+('Form Sa1'!GFC814*'Form Sa1'!GFC816/10)-'NF - 5 Power Mix'!GEZ21-'NF - 5 Power Mix'!GEZ22</f>
        <v>0</v>
      </c>
      <c r="GFA42" s="1046">
        <f>GFA38+((GFA40+'NF - 5 Power Mix'!GFA14+'NF - 5 Power Mix'!GFA15)*860/10)+((('Form Sa1'!GFD835)*860)/10)+('Form Sa1'!GFD814*'Form Sa1'!GFD816/10)-'NF - 5 Power Mix'!GFA21-'NF - 5 Power Mix'!GFA22</f>
        <v>0</v>
      </c>
      <c r="GFB42" s="1046">
        <f>GFB38+((GFB40+'NF - 5 Power Mix'!GFB14+'NF - 5 Power Mix'!GFB15)*860/10)+((('Form Sa1'!GFE835)*860)/10)+('Form Sa1'!GFE814*'Form Sa1'!GFE816/10)-'NF - 5 Power Mix'!GFB21-'NF - 5 Power Mix'!GFB22</f>
        <v>0</v>
      </c>
      <c r="GFC42" s="1046">
        <f>GFC38+((GFC40+'NF - 5 Power Mix'!GFC14+'NF - 5 Power Mix'!GFC15)*860/10)+((('Form Sa1'!GFF835)*860)/10)+('Form Sa1'!GFF814*'Form Sa1'!GFF816/10)-'NF - 5 Power Mix'!GFC21-'NF - 5 Power Mix'!GFC22</f>
        <v>0</v>
      </c>
      <c r="GFD42" s="1046">
        <f>GFD38+((GFD40+'NF - 5 Power Mix'!GFD14+'NF - 5 Power Mix'!GFD15)*860/10)+((('Form Sa1'!GFG835)*860)/10)+('Form Sa1'!GFG814*'Form Sa1'!GFG816/10)-'NF - 5 Power Mix'!GFD21-'NF - 5 Power Mix'!GFD22</f>
        <v>0</v>
      </c>
      <c r="GFE42" s="1046">
        <f>GFE38+((GFE40+'NF - 5 Power Mix'!GFE14+'NF - 5 Power Mix'!GFE15)*860/10)+((('Form Sa1'!GFH835)*860)/10)+('Form Sa1'!GFH814*'Form Sa1'!GFH816/10)-'NF - 5 Power Mix'!GFE21-'NF - 5 Power Mix'!GFE22</f>
        <v>0</v>
      </c>
      <c r="GFF42" s="1046">
        <f>GFF38+((GFF40+'NF - 5 Power Mix'!GFF14+'NF - 5 Power Mix'!GFF15)*860/10)+((('Form Sa1'!GFI835)*860)/10)+('Form Sa1'!GFI814*'Form Sa1'!GFI816/10)-'NF - 5 Power Mix'!GFF21-'NF - 5 Power Mix'!GFF22</f>
        <v>0</v>
      </c>
      <c r="GFG42" s="1046">
        <f>GFG38+((GFG40+'NF - 5 Power Mix'!GFG14+'NF - 5 Power Mix'!GFG15)*860/10)+((('Form Sa1'!GFJ835)*860)/10)+('Form Sa1'!GFJ814*'Form Sa1'!GFJ816/10)-'NF - 5 Power Mix'!GFG21-'NF - 5 Power Mix'!GFG22</f>
        <v>0</v>
      </c>
      <c r="GFH42" s="1046">
        <f>GFH38+((GFH40+'NF - 5 Power Mix'!GFH14+'NF - 5 Power Mix'!GFH15)*860/10)+((('Form Sa1'!GFK835)*860)/10)+('Form Sa1'!GFK814*'Form Sa1'!GFK816/10)-'NF - 5 Power Mix'!GFH21-'NF - 5 Power Mix'!GFH22</f>
        <v>0</v>
      </c>
      <c r="GFI42" s="1046">
        <f>GFI38+((GFI40+'NF - 5 Power Mix'!GFI14+'NF - 5 Power Mix'!GFI15)*860/10)+((('Form Sa1'!GFL835)*860)/10)+('Form Sa1'!GFL814*'Form Sa1'!GFL816/10)-'NF - 5 Power Mix'!GFI21-'NF - 5 Power Mix'!GFI22</f>
        <v>0</v>
      </c>
      <c r="GFJ42" s="1046">
        <f>GFJ38+((GFJ40+'NF - 5 Power Mix'!GFJ14+'NF - 5 Power Mix'!GFJ15)*860/10)+((('Form Sa1'!GFM835)*860)/10)+('Form Sa1'!GFM814*'Form Sa1'!GFM816/10)-'NF - 5 Power Mix'!GFJ21-'NF - 5 Power Mix'!GFJ22</f>
        <v>0</v>
      </c>
      <c r="GFK42" s="1046">
        <f>GFK38+((GFK40+'NF - 5 Power Mix'!GFK14+'NF - 5 Power Mix'!GFK15)*860/10)+((('Form Sa1'!GFN835)*860)/10)+('Form Sa1'!GFN814*'Form Sa1'!GFN816/10)-'NF - 5 Power Mix'!GFK21-'NF - 5 Power Mix'!GFK22</f>
        <v>0</v>
      </c>
      <c r="GFL42" s="1046">
        <f>GFL38+((GFL40+'NF - 5 Power Mix'!GFL14+'NF - 5 Power Mix'!GFL15)*860/10)+((('Form Sa1'!GFO835)*860)/10)+('Form Sa1'!GFO814*'Form Sa1'!GFO816/10)-'NF - 5 Power Mix'!GFL21-'NF - 5 Power Mix'!GFL22</f>
        <v>0</v>
      </c>
      <c r="GFM42" s="1046">
        <f>GFM38+((GFM40+'NF - 5 Power Mix'!GFM14+'NF - 5 Power Mix'!GFM15)*860/10)+((('Form Sa1'!GFP835)*860)/10)+('Form Sa1'!GFP814*'Form Sa1'!GFP816/10)-'NF - 5 Power Mix'!GFM21-'NF - 5 Power Mix'!GFM22</f>
        <v>0</v>
      </c>
      <c r="GFN42" s="1046">
        <f>GFN38+((GFN40+'NF - 5 Power Mix'!GFN14+'NF - 5 Power Mix'!GFN15)*860/10)+((('Form Sa1'!GFQ835)*860)/10)+('Form Sa1'!GFQ814*'Form Sa1'!GFQ816/10)-'NF - 5 Power Mix'!GFN21-'NF - 5 Power Mix'!GFN22</f>
        <v>0</v>
      </c>
      <c r="GFO42" s="1046">
        <f>GFO38+((GFO40+'NF - 5 Power Mix'!GFO14+'NF - 5 Power Mix'!GFO15)*860/10)+((('Form Sa1'!GFR835)*860)/10)+('Form Sa1'!GFR814*'Form Sa1'!GFR816/10)-'NF - 5 Power Mix'!GFO21-'NF - 5 Power Mix'!GFO22</f>
        <v>0</v>
      </c>
      <c r="GFP42" s="1046">
        <f>GFP38+((GFP40+'NF - 5 Power Mix'!GFP14+'NF - 5 Power Mix'!GFP15)*860/10)+((('Form Sa1'!GFS835)*860)/10)+('Form Sa1'!GFS814*'Form Sa1'!GFS816/10)-'NF - 5 Power Mix'!GFP21-'NF - 5 Power Mix'!GFP22</f>
        <v>0</v>
      </c>
      <c r="GFQ42" s="1046">
        <f>GFQ38+((GFQ40+'NF - 5 Power Mix'!GFQ14+'NF - 5 Power Mix'!GFQ15)*860/10)+((('Form Sa1'!GFT835)*860)/10)+('Form Sa1'!GFT814*'Form Sa1'!GFT816/10)-'NF - 5 Power Mix'!GFQ21-'NF - 5 Power Mix'!GFQ22</f>
        <v>0</v>
      </c>
      <c r="GFR42" s="1046">
        <f>GFR38+((GFR40+'NF - 5 Power Mix'!GFR14+'NF - 5 Power Mix'!GFR15)*860/10)+((('Form Sa1'!GFU835)*860)/10)+('Form Sa1'!GFU814*'Form Sa1'!GFU816/10)-'NF - 5 Power Mix'!GFR21-'NF - 5 Power Mix'!GFR22</f>
        <v>0</v>
      </c>
      <c r="GFS42" s="1046">
        <f>GFS38+((GFS40+'NF - 5 Power Mix'!GFS14+'NF - 5 Power Mix'!GFS15)*860/10)+((('Form Sa1'!GFV835)*860)/10)+('Form Sa1'!GFV814*'Form Sa1'!GFV816/10)-'NF - 5 Power Mix'!GFS21-'NF - 5 Power Mix'!GFS22</f>
        <v>0</v>
      </c>
      <c r="GFT42" s="1046">
        <f>GFT38+((GFT40+'NF - 5 Power Mix'!GFT14+'NF - 5 Power Mix'!GFT15)*860/10)+((('Form Sa1'!GFW835)*860)/10)+('Form Sa1'!GFW814*'Form Sa1'!GFW816/10)-'NF - 5 Power Mix'!GFT21-'NF - 5 Power Mix'!GFT22</f>
        <v>0</v>
      </c>
      <c r="GFU42" s="1046">
        <f>GFU38+((GFU40+'NF - 5 Power Mix'!GFU14+'NF - 5 Power Mix'!GFU15)*860/10)+((('Form Sa1'!GFX835)*860)/10)+('Form Sa1'!GFX814*'Form Sa1'!GFX816/10)-'NF - 5 Power Mix'!GFU21-'NF - 5 Power Mix'!GFU22</f>
        <v>0</v>
      </c>
      <c r="GFV42" s="1046">
        <f>GFV38+((GFV40+'NF - 5 Power Mix'!GFV14+'NF - 5 Power Mix'!GFV15)*860/10)+((('Form Sa1'!GFY835)*860)/10)+('Form Sa1'!GFY814*'Form Sa1'!GFY816/10)-'NF - 5 Power Mix'!GFV21-'NF - 5 Power Mix'!GFV22</f>
        <v>0</v>
      </c>
      <c r="GFW42" s="1046">
        <f>GFW38+((GFW40+'NF - 5 Power Mix'!GFW14+'NF - 5 Power Mix'!GFW15)*860/10)+((('Form Sa1'!GFZ835)*860)/10)+('Form Sa1'!GFZ814*'Form Sa1'!GFZ816/10)-'NF - 5 Power Mix'!GFW21-'NF - 5 Power Mix'!GFW22</f>
        <v>0</v>
      </c>
      <c r="GFX42" s="1046">
        <f>GFX38+((GFX40+'NF - 5 Power Mix'!GFX14+'NF - 5 Power Mix'!GFX15)*860/10)+((('Form Sa1'!GGA835)*860)/10)+('Form Sa1'!GGA814*'Form Sa1'!GGA816/10)-'NF - 5 Power Mix'!GFX21-'NF - 5 Power Mix'!GFX22</f>
        <v>0</v>
      </c>
      <c r="GFY42" s="1046">
        <f>GFY38+((GFY40+'NF - 5 Power Mix'!GFY14+'NF - 5 Power Mix'!GFY15)*860/10)+((('Form Sa1'!GGB835)*860)/10)+('Form Sa1'!GGB814*'Form Sa1'!GGB816/10)-'NF - 5 Power Mix'!GFY21-'NF - 5 Power Mix'!GFY22</f>
        <v>0</v>
      </c>
      <c r="GFZ42" s="1046">
        <f>GFZ38+((GFZ40+'NF - 5 Power Mix'!GFZ14+'NF - 5 Power Mix'!GFZ15)*860/10)+((('Form Sa1'!GGC835)*860)/10)+('Form Sa1'!GGC814*'Form Sa1'!GGC816/10)-'NF - 5 Power Mix'!GFZ21-'NF - 5 Power Mix'!GFZ22</f>
        <v>0</v>
      </c>
      <c r="GGA42" s="1046">
        <f>GGA38+((GGA40+'NF - 5 Power Mix'!GGA14+'NF - 5 Power Mix'!GGA15)*860/10)+((('Form Sa1'!GGD835)*860)/10)+('Form Sa1'!GGD814*'Form Sa1'!GGD816/10)-'NF - 5 Power Mix'!GGA21-'NF - 5 Power Mix'!GGA22</f>
        <v>0</v>
      </c>
      <c r="GGB42" s="1046">
        <f>GGB38+((GGB40+'NF - 5 Power Mix'!GGB14+'NF - 5 Power Mix'!GGB15)*860/10)+((('Form Sa1'!GGE835)*860)/10)+('Form Sa1'!GGE814*'Form Sa1'!GGE816/10)-'NF - 5 Power Mix'!GGB21-'NF - 5 Power Mix'!GGB22</f>
        <v>0</v>
      </c>
      <c r="GGC42" s="1046">
        <f>GGC38+((GGC40+'NF - 5 Power Mix'!GGC14+'NF - 5 Power Mix'!GGC15)*860/10)+((('Form Sa1'!GGF835)*860)/10)+('Form Sa1'!GGF814*'Form Sa1'!GGF816/10)-'NF - 5 Power Mix'!GGC21-'NF - 5 Power Mix'!GGC22</f>
        <v>0</v>
      </c>
      <c r="GGD42" s="1046">
        <f>GGD38+((GGD40+'NF - 5 Power Mix'!GGD14+'NF - 5 Power Mix'!GGD15)*860/10)+((('Form Sa1'!GGG835)*860)/10)+('Form Sa1'!GGG814*'Form Sa1'!GGG816/10)-'NF - 5 Power Mix'!GGD21-'NF - 5 Power Mix'!GGD22</f>
        <v>0</v>
      </c>
      <c r="GGE42" s="1046">
        <f>GGE38+((GGE40+'NF - 5 Power Mix'!GGE14+'NF - 5 Power Mix'!GGE15)*860/10)+((('Form Sa1'!GGH835)*860)/10)+('Form Sa1'!GGH814*'Form Sa1'!GGH816/10)-'NF - 5 Power Mix'!GGE21-'NF - 5 Power Mix'!GGE22</f>
        <v>0</v>
      </c>
      <c r="GGF42" s="1046">
        <f>GGF38+((GGF40+'NF - 5 Power Mix'!GGF14+'NF - 5 Power Mix'!GGF15)*860/10)+((('Form Sa1'!GGI835)*860)/10)+('Form Sa1'!GGI814*'Form Sa1'!GGI816/10)-'NF - 5 Power Mix'!GGF21-'NF - 5 Power Mix'!GGF22</f>
        <v>0</v>
      </c>
      <c r="GGG42" s="1046">
        <f>GGG38+((GGG40+'NF - 5 Power Mix'!GGG14+'NF - 5 Power Mix'!GGG15)*860/10)+((('Form Sa1'!GGJ835)*860)/10)+('Form Sa1'!GGJ814*'Form Sa1'!GGJ816/10)-'NF - 5 Power Mix'!GGG21-'NF - 5 Power Mix'!GGG22</f>
        <v>0</v>
      </c>
      <c r="GGH42" s="1046">
        <f>GGH38+((GGH40+'NF - 5 Power Mix'!GGH14+'NF - 5 Power Mix'!GGH15)*860/10)+((('Form Sa1'!GGK835)*860)/10)+('Form Sa1'!GGK814*'Form Sa1'!GGK816/10)-'NF - 5 Power Mix'!GGH21-'NF - 5 Power Mix'!GGH22</f>
        <v>0</v>
      </c>
      <c r="GGI42" s="1046">
        <f>GGI38+((GGI40+'NF - 5 Power Mix'!GGI14+'NF - 5 Power Mix'!GGI15)*860/10)+((('Form Sa1'!GGL835)*860)/10)+('Form Sa1'!GGL814*'Form Sa1'!GGL816/10)-'NF - 5 Power Mix'!GGI21-'NF - 5 Power Mix'!GGI22</f>
        <v>0</v>
      </c>
      <c r="GGJ42" s="1046">
        <f>GGJ38+((GGJ40+'NF - 5 Power Mix'!GGJ14+'NF - 5 Power Mix'!GGJ15)*860/10)+((('Form Sa1'!GGM835)*860)/10)+('Form Sa1'!GGM814*'Form Sa1'!GGM816/10)-'NF - 5 Power Mix'!GGJ21-'NF - 5 Power Mix'!GGJ22</f>
        <v>0</v>
      </c>
      <c r="GGK42" s="1046">
        <f>GGK38+((GGK40+'NF - 5 Power Mix'!GGK14+'NF - 5 Power Mix'!GGK15)*860/10)+((('Form Sa1'!GGN835)*860)/10)+('Form Sa1'!GGN814*'Form Sa1'!GGN816/10)-'NF - 5 Power Mix'!GGK21-'NF - 5 Power Mix'!GGK22</f>
        <v>0</v>
      </c>
      <c r="GGL42" s="1046">
        <f>GGL38+((GGL40+'NF - 5 Power Mix'!GGL14+'NF - 5 Power Mix'!GGL15)*860/10)+((('Form Sa1'!GGO835)*860)/10)+('Form Sa1'!GGO814*'Form Sa1'!GGO816/10)-'NF - 5 Power Mix'!GGL21-'NF - 5 Power Mix'!GGL22</f>
        <v>0</v>
      </c>
      <c r="GGM42" s="1046">
        <f>GGM38+((GGM40+'NF - 5 Power Mix'!GGM14+'NF - 5 Power Mix'!GGM15)*860/10)+((('Form Sa1'!GGP835)*860)/10)+('Form Sa1'!GGP814*'Form Sa1'!GGP816/10)-'NF - 5 Power Mix'!GGM21-'NF - 5 Power Mix'!GGM22</f>
        <v>0</v>
      </c>
      <c r="GGN42" s="1046">
        <f>GGN38+((GGN40+'NF - 5 Power Mix'!GGN14+'NF - 5 Power Mix'!GGN15)*860/10)+((('Form Sa1'!GGQ835)*860)/10)+('Form Sa1'!GGQ814*'Form Sa1'!GGQ816/10)-'NF - 5 Power Mix'!GGN21-'NF - 5 Power Mix'!GGN22</f>
        <v>0</v>
      </c>
      <c r="GGO42" s="1046">
        <f>GGO38+((GGO40+'NF - 5 Power Mix'!GGO14+'NF - 5 Power Mix'!GGO15)*860/10)+((('Form Sa1'!GGR835)*860)/10)+('Form Sa1'!GGR814*'Form Sa1'!GGR816/10)-'NF - 5 Power Mix'!GGO21-'NF - 5 Power Mix'!GGO22</f>
        <v>0</v>
      </c>
      <c r="GGP42" s="1046">
        <f>GGP38+((GGP40+'NF - 5 Power Mix'!GGP14+'NF - 5 Power Mix'!GGP15)*860/10)+((('Form Sa1'!GGS835)*860)/10)+('Form Sa1'!GGS814*'Form Sa1'!GGS816/10)-'NF - 5 Power Mix'!GGP21-'NF - 5 Power Mix'!GGP22</f>
        <v>0</v>
      </c>
      <c r="GGQ42" s="1046">
        <f>GGQ38+((GGQ40+'NF - 5 Power Mix'!GGQ14+'NF - 5 Power Mix'!GGQ15)*860/10)+((('Form Sa1'!GGT835)*860)/10)+('Form Sa1'!GGT814*'Form Sa1'!GGT816/10)-'NF - 5 Power Mix'!GGQ21-'NF - 5 Power Mix'!GGQ22</f>
        <v>0</v>
      </c>
      <c r="GGR42" s="1046">
        <f>GGR38+((GGR40+'NF - 5 Power Mix'!GGR14+'NF - 5 Power Mix'!GGR15)*860/10)+((('Form Sa1'!GGU835)*860)/10)+('Form Sa1'!GGU814*'Form Sa1'!GGU816/10)-'NF - 5 Power Mix'!GGR21-'NF - 5 Power Mix'!GGR22</f>
        <v>0</v>
      </c>
      <c r="GGS42" s="1046">
        <f>GGS38+((GGS40+'NF - 5 Power Mix'!GGS14+'NF - 5 Power Mix'!GGS15)*860/10)+((('Form Sa1'!GGV835)*860)/10)+('Form Sa1'!GGV814*'Form Sa1'!GGV816/10)-'NF - 5 Power Mix'!GGS21-'NF - 5 Power Mix'!GGS22</f>
        <v>0</v>
      </c>
      <c r="GGT42" s="1046">
        <f>GGT38+((GGT40+'NF - 5 Power Mix'!GGT14+'NF - 5 Power Mix'!GGT15)*860/10)+((('Form Sa1'!GGW835)*860)/10)+('Form Sa1'!GGW814*'Form Sa1'!GGW816/10)-'NF - 5 Power Mix'!GGT21-'NF - 5 Power Mix'!GGT22</f>
        <v>0</v>
      </c>
      <c r="GGU42" s="1046">
        <f>GGU38+((GGU40+'NF - 5 Power Mix'!GGU14+'NF - 5 Power Mix'!GGU15)*860/10)+((('Form Sa1'!GGX835)*860)/10)+('Form Sa1'!GGX814*'Form Sa1'!GGX816/10)-'NF - 5 Power Mix'!GGU21-'NF - 5 Power Mix'!GGU22</f>
        <v>0</v>
      </c>
      <c r="GGV42" s="1046">
        <f>GGV38+((GGV40+'NF - 5 Power Mix'!GGV14+'NF - 5 Power Mix'!GGV15)*860/10)+((('Form Sa1'!GGY835)*860)/10)+('Form Sa1'!GGY814*'Form Sa1'!GGY816/10)-'NF - 5 Power Mix'!GGV21-'NF - 5 Power Mix'!GGV22</f>
        <v>0</v>
      </c>
      <c r="GGW42" s="1046">
        <f>GGW38+((GGW40+'NF - 5 Power Mix'!GGW14+'NF - 5 Power Mix'!GGW15)*860/10)+((('Form Sa1'!GGZ835)*860)/10)+('Form Sa1'!GGZ814*'Form Sa1'!GGZ816/10)-'NF - 5 Power Mix'!GGW21-'NF - 5 Power Mix'!GGW22</f>
        <v>0</v>
      </c>
      <c r="GGX42" s="1046">
        <f>GGX38+((GGX40+'NF - 5 Power Mix'!GGX14+'NF - 5 Power Mix'!GGX15)*860/10)+((('Form Sa1'!GHA835)*860)/10)+('Form Sa1'!GHA814*'Form Sa1'!GHA816/10)-'NF - 5 Power Mix'!GGX21-'NF - 5 Power Mix'!GGX22</f>
        <v>0</v>
      </c>
      <c r="GGY42" s="1046">
        <f>GGY38+((GGY40+'NF - 5 Power Mix'!GGY14+'NF - 5 Power Mix'!GGY15)*860/10)+((('Form Sa1'!GHB835)*860)/10)+('Form Sa1'!GHB814*'Form Sa1'!GHB816/10)-'NF - 5 Power Mix'!GGY21-'NF - 5 Power Mix'!GGY22</f>
        <v>0</v>
      </c>
      <c r="GGZ42" s="1046">
        <f>GGZ38+((GGZ40+'NF - 5 Power Mix'!GGZ14+'NF - 5 Power Mix'!GGZ15)*860/10)+((('Form Sa1'!GHC835)*860)/10)+('Form Sa1'!GHC814*'Form Sa1'!GHC816/10)-'NF - 5 Power Mix'!GGZ21-'NF - 5 Power Mix'!GGZ22</f>
        <v>0</v>
      </c>
      <c r="GHA42" s="1046">
        <f>GHA38+((GHA40+'NF - 5 Power Mix'!GHA14+'NF - 5 Power Mix'!GHA15)*860/10)+((('Form Sa1'!GHD835)*860)/10)+('Form Sa1'!GHD814*'Form Sa1'!GHD816/10)-'NF - 5 Power Mix'!GHA21-'NF - 5 Power Mix'!GHA22</f>
        <v>0</v>
      </c>
      <c r="GHB42" s="1046">
        <f>GHB38+((GHB40+'NF - 5 Power Mix'!GHB14+'NF - 5 Power Mix'!GHB15)*860/10)+((('Form Sa1'!GHE835)*860)/10)+('Form Sa1'!GHE814*'Form Sa1'!GHE816/10)-'NF - 5 Power Mix'!GHB21-'NF - 5 Power Mix'!GHB22</f>
        <v>0</v>
      </c>
      <c r="GHC42" s="1046">
        <f>GHC38+((GHC40+'NF - 5 Power Mix'!GHC14+'NF - 5 Power Mix'!GHC15)*860/10)+((('Form Sa1'!GHF835)*860)/10)+('Form Sa1'!GHF814*'Form Sa1'!GHF816/10)-'NF - 5 Power Mix'!GHC21-'NF - 5 Power Mix'!GHC22</f>
        <v>0</v>
      </c>
      <c r="GHD42" s="1046">
        <f>GHD38+((GHD40+'NF - 5 Power Mix'!GHD14+'NF - 5 Power Mix'!GHD15)*860/10)+((('Form Sa1'!GHG835)*860)/10)+('Form Sa1'!GHG814*'Form Sa1'!GHG816/10)-'NF - 5 Power Mix'!GHD21-'NF - 5 Power Mix'!GHD22</f>
        <v>0</v>
      </c>
      <c r="GHE42" s="1046">
        <f>GHE38+((GHE40+'NF - 5 Power Mix'!GHE14+'NF - 5 Power Mix'!GHE15)*860/10)+((('Form Sa1'!GHH835)*860)/10)+('Form Sa1'!GHH814*'Form Sa1'!GHH816/10)-'NF - 5 Power Mix'!GHE21-'NF - 5 Power Mix'!GHE22</f>
        <v>0</v>
      </c>
      <c r="GHF42" s="1046">
        <f>GHF38+((GHF40+'NF - 5 Power Mix'!GHF14+'NF - 5 Power Mix'!GHF15)*860/10)+((('Form Sa1'!GHI835)*860)/10)+('Form Sa1'!GHI814*'Form Sa1'!GHI816/10)-'NF - 5 Power Mix'!GHF21-'NF - 5 Power Mix'!GHF22</f>
        <v>0</v>
      </c>
      <c r="GHG42" s="1046">
        <f>GHG38+((GHG40+'NF - 5 Power Mix'!GHG14+'NF - 5 Power Mix'!GHG15)*860/10)+((('Form Sa1'!GHJ835)*860)/10)+('Form Sa1'!GHJ814*'Form Sa1'!GHJ816/10)-'NF - 5 Power Mix'!GHG21-'NF - 5 Power Mix'!GHG22</f>
        <v>0</v>
      </c>
      <c r="GHH42" s="1046">
        <f>GHH38+((GHH40+'NF - 5 Power Mix'!GHH14+'NF - 5 Power Mix'!GHH15)*860/10)+((('Form Sa1'!GHK835)*860)/10)+('Form Sa1'!GHK814*'Form Sa1'!GHK816/10)-'NF - 5 Power Mix'!GHH21-'NF - 5 Power Mix'!GHH22</f>
        <v>0</v>
      </c>
      <c r="GHI42" s="1046">
        <f>GHI38+((GHI40+'NF - 5 Power Mix'!GHI14+'NF - 5 Power Mix'!GHI15)*860/10)+((('Form Sa1'!GHL835)*860)/10)+('Form Sa1'!GHL814*'Form Sa1'!GHL816/10)-'NF - 5 Power Mix'!GHI21-'NF - 5 Power Mix'!GHI22</f>
        <v>0</v>
      </c>
      <c r="GHJ42" s="1046">
        <f>GHJ38+((GHJ40+'NF - 5 Power Mix'!GHJ14+'NF - 5 Power Mix'!GHJ15)*860/10)+((('Form Sa1'!GHM835)*860)/10)+('Form Sa1'!GHM814*'Form Sa1'!GHM816/10)-'NF - 5 Power Mix'!GHJ21-'NF - 5 Power Mix'!GHJ22</f>
        <v>0</v>
      </c>
      <c r="GHK42" s="1046">
        <f>GHK38+((GHK40+'NF - 5 Power Mix'!GHK14+'NF - 5 Power Mix'!GHK15)*860/10)+((('Form Sa1'!GHN835)*860)/10)+('Form Sa1'!GHN814*'Form Sa1'!GHN816/10)-'NF - 5 Power Mix'!GHK21-'NF - 5 Power Mix'!GHK22</f>
        <v>0</v>
      </c>
      <c r="GHL42" s="1046">
        <f>GHL38+((GHL40+'NF - 5 Power Mix'!GHL14+'NF - 5 Power Mix'!GHL15)*860/10)+((('Form Sa1'!GHO835)*860)/10)+('Form Sa1'!GHO814*'Form Sa1'!GHO816/10)-'NF - 5 Power Mix'!GHL21-'NF - 5 Power Mix'!GHL22</f>
        <v>0</v>
      </c>
      <c r="GHM42" s="1046">
        <f>GHM38+((GHM40+'NF - 5 Power Mix'!GHM14+'NF - 5 Power Mix'!GHM15)*860/10)+((('Form Sa1'!GHP835)*860)/10)+('Form Sa1'!GHP814*'Form Sa1'!GHP816/10)-'NF - 5 Power Mix'!GHM21-'NF - 5 Power Mix'!GHM22</f>
        <v>0</v>
      </c>
      <c r="GHN42" s="1046">
        <f>GHN38+((GHN40+'NF - 5 Power Mix'!GHN14+'NF - 5 Power Mix'!GHN15)*860/10)+((('Form Sa1'!GHQ835)*860)/10)+('Form Sa1'!GHQ814*'Form Sa1'!GHQ816/10)-'NF - 5 Power Mix'!GHN21-'NF - 5 Power Mix'!GHN22</f>
        <v>0</v>
      </c>
      <c r="GHO42" s="1046">
        <f>GHO38+((GHO40+'NF - 5 Power Mix'!GHO14+'NF - 5 Power Mix'!GHO15)*860/10)+((('Form Sa1'!GHR835)*860)/10)+('Form Sa1'!GHR814*'Form Sa1'!GHR816/10)-'NF - 5 Power Mix'!GHO21-'NF - 5 Power Mix'!GHO22</f>
        <v>0</v>
      </c>
      <c r="GHP42" s="1046">
        <f>GHP38+((GHP40+'NF - 5 Power Mix'!GHP14+'NF - 5 Power Mix'!GHP15)*860/10)+((('Form Sa1'!GHS835)*860)/10)+('Form Sa1'!GHS814*'Form Sa1'!GHS816/10)-'NF - 5 Power Mix'!GHP21-'NF - 5 Power Mix'!GHP22</f>
        <v>0</v>
      </c>
      <c r="GHQ42" s="1046">
        <f>GHQ38+((GHQ40+'NF - 5 Power Mix'!GHQ14+'NF - 5 Power Mix'!GHQ15)*860/10)+((('Form Sa1'!GHT835)*860)/10)+('Form Sa1'!GHT814*'Form Sa1'!GHT816/10)-'NF - 5 Power Mix'!GHQ21-'NF - 5 Power Mix'!GHQ22</f>
        <v>0</v>
      </c>
      <c r="GHR42" s="1046">
        <f>GHR38+((GHR40+'NF - 5 Power Mix'!GHR14+'NF - 5 Power Mix'!GHR15)*860/10)+((('Form Sa1'!GHU835)*860)/10)+('Form Sa1'!GHU814*'Form Sa1'!GHU816/10)-'NF - 5 Power Mix'!GHR21-'NF - 5 Power Mix'!GHR22</f>
        <v>0</v>
      </c>
      <c r="GHS42" s="1046">
        <f>GHS38+((GHS40+'NF - 5 Power Mix'!GHS14+'NF - 5 Power Mix'!GHS15)*860/10)+((('Form Sa1'!GHV835)*860)/10)+('Form Sa1'!GHV814*'Form Sa1'!GHV816/10)-'NF - 5 Power Mix'!GHS21-'NF - 5 Power Mix'!GHS22</f>
        <v>0</v>
      </c>
      <c r="GHT42" s="1046">
        <f>GHT38+((GHT40+'NF - 5 Power Mix'!GHT14+'NF - 5 Power Mix'!GHT15)*860/10)+((('Form Sa1'!GHW835)*860)/10)+('Form Sa1'!GHW814*'Form Sa1'!GHW816/10)-'NF - 5 Power Mix'!GHT21-'NF - 5 Power Mix'!GHT22</f>
        <v>0</v>
      </c>
      <c r="GHU42" s="1046">
        <f>GHU38+((GHU40+'NF - 5 Power Mix'!GHU14+'NF - 5 Power Mix'!GHU15)*860/10)+((('Form Sa1'!GHX835)*860)/10)+('Form Sa1'!GHX814*'Form Sa1'!GHX816/10)-'NF - 5 Power Mix'!GHU21-'NF - 5 Power Mix'!GHU22</f>
        <v>0</v>
      </c>
      <c r="GHV42" s="1046">
        <f>GHV38+((GHV40+'NF - 5 Power Mix'!GHV14+'NF - 5 Power Mix'!GHV15)*860/10)+((('Form Sa1'!GHY835)*860)/10)+('Form Sa1'!GHY814*'Form Sa1'!GHY816/10)-'NF - 5 Power Mix'!GHV21-'NF - 5 Power Mix'!GHV22</f>
        <v>0</v>
      </c>
      <c r="GHW42" s="1046">
        <f>GHW38+((GHW40+'NF - 5 Power Mix'!GHW14+'NF - 5 Power Mix'!GHW15)*860/10)+((('Form Sa1'!GHZ835)*860)/10)+('Form Sa1'!GHZ814*'Form Sa1'!GHZ816/10)-'NF - 5 Power Mix'!GHW21-'NF - 5 Power Mix'!GHW22</f>
        <v>0</v>
      </c>
      <c r="GHX42" s="1046">
        <f>GHX38+((GHX40+'NF - 5 Power Mix'!GHX14+'NF - 5 Power Mix'!GHX15)*860/10)+((('Form Sa1'!GIA835)*860)/10)+('Form Sa1'!GIA814*'Form Sa1'!GIA816/10)-'NF - 5 Power Mix'!GHX21-'NF - 5 Power Mix'!GHX22</f>
        <v>0</v>
      </c>
      <c r="GHY42" s="1046">
        <f>GHY38+((GHY40+'NF - 5 Power Mix'!GHY14+'NF - 5 Power Mix'!GHY15)*860/10)+((('Form Sa1'!GIB835)*860)/10)+('Form Sa1'!GIB814*'Form Sa1'!GIB816/10)-'NF - 5 Power Mix'!GHY21-'NF - 5 Power Mix'!GHY22</f>
        <v>0</v>
      </c>
      <c r="GHZ42" s="1046">
        <f>GHZ38+((GHZ40+'NF - 5 Power Mix'!GHZ14+'NF - 5 Power Mix'!GHZ15)*860/10)+((('Form Sa1'!GIC835)*860)/10)+('Form Sa1'!GIC814*'Form Sa1'!GIC816/10)-'NF - 5 Power Mix'!GHZ21-'NF - 5 Power Mix'!GHZ22</f>
        <v>0</v>
      </c>
      <c r="GIA42" s="1046">
        <f>GIA38+((GIA40+'NF - 5 Power Mix'!GIA14+'NF - 5 Power Mix'!GIA15)*860/10)+((('Form Sa1'!GID835)*860)/10)+('Form Sa1'!GID814*'Form Sa1'!GID816/10)-'NF - 5 Power Mix'!GIA21-'NF - 5 Power Mix'!GIA22</f>
        <v>0</v>
      </c>
      <c r="GIB42" s="1046">
        <f>GIB38+((GIB40+'NF - 5 Power Mix'!GIB14+'NF - 5 Power Mix'!GIB15)*860/10)+((('Form Sa1'!GIE835)*860)/10)+('Form Sa1'!GIE814*'Form Sa1'!GIE816/10)-'NF - 5 Power Mix'!GIB21-'NF - 5 Power Mix'!GIB22</f>
        <v>0</v>
      </c>
      <c r="GIC42" s="1046">
        <f>GIC38+((GIC40+'NF - 5 Power Mix'!GIC14+'NF - 5 Power Mix'!GIC15)*860/10)+((('Form Sa1'!GIF835)*860)/10)+('Form Sa1'!GIF814*'Form Sa1'!GIF816/10)-'NF - 5 Power Mix'!GIC21-'NF - 5 Power Mix'!GIC22</f>
        <v>0</v>
      </c>
      <c r="GID42" s="1046">
        <f>GID38+((GID40+'NF - 5 Power Mix'!GID14+'NF - 5 Power Mix'!GID15)*860/10)+((('Form Sa1'!GIG835)*860)/10)+('Form Sa1'!GIG814*'Form Sa1'!GIG816/10)-'NF - 5 Power Mix'!GID21-'NF - 5 Power Mix'!GID22</f>
        <v>0</v>
      </c>
      <c r="GIE42" s="1046">
        <f>GIE38+((GIE40+'NF - 5 Power Mix'!GIE14+'NF - 5 Power Mix'!GIE15)*860/10)+((('Form Sa1'!GIH835)*860)/10)+('Form Sa1'!GIH814*'Form Sa1'!GIH816/10)-'NF - 5 Power Mix'!GIE21-'NF - 5 Power Mix'!GIE22</f>
        <v>0</v>
      </c>
      <c r="GIF42" s="1046">
        <f>GIF38+((GIF40+'NF - 5 Power Mix'!GIF14+'NF - 5 Power Mix'!GIF15)*860/10)+((('Form Sa1'!GII835)*860)/10)+('Form Sa1'!GII814*'Form Sa1'!GII816/10)-'NF - 5 Power Mix'!GIF21-'NF - 5 Power Mix'!GIF22</f>
        <v>0</v>
      </c>
      <c r="GIG42" s="1046">
        <f>GIG38+((GIG40+'NF - 5 Power Mix'!GIG14+'NF - 5 Power Mix'!GIG15)*860/10)+((('Form Sa1'!GIJ835)*860)/10)+('Form Sa1'!GIJ814*'Form Sa1'!GIJ816/10)-'NF - 5 Power Mix'!GIG21-'NF - 5 Power Mix'!GIG22</f>
        <v>0</v>
      </c>
      <c r="GIH42" s="1046">
        <f>GIH38+((GIH40+'NF - 5 Power Mix'!GIH14+'NF - 5 Power Mix'!GIH15)*860/10)+((('Form Sa1'!GIK835)*860)/10)+('Form Sa1'!GIK814*'Form Sa1'!GIK816/10)-'NF - 5 Power Mix'!GIH21-'NF - 5 Power Mix'!GIH22</f>
        <v>0</v>
      </c>
      <c r="GII42" s="1046">
        <f>GII38+((GII40+'NF - 5 Power Mix'!GII14+'NF - 5 Power Mix'!GII15)*860/10)+((('Form Sa1'!GIL835)*860)/10)+('Form Sa1'!GIL814*'Form Sa1'!GIL816/10)-'NF - 5 Power Mix'!GII21-'NF - 5 Power Mix'!GII22</f>
        <v>0</v>
      </c>
      <c r="GIJ42" s="1046">
        <f>GIJ38+((GIJ40+'NF - 5 Power Mix'!GIJ14+'NF - 5 Power Mix'!GIJ15)*860/10)+((('Form Sa1'!GIM835)*860)/10)+('Form Sa1'!GIM814*'Form Sa1'!GIM816/10)-'NF - 5 Power Mix'!GIJ21-'NF - 5 Power Mix'!GIJ22</f>
        <v>0</v>
      </c>
      <c r="GIK42" s="1046">
        <f>GIK38+((GIK40+'NF - 5 Power Mix'!GIK14+'NF - 5 Power Mix'!GIK15)*860/10)+((('Form Sa1'!GIN835)*860)/10)+('Form Sa1'!GIN814*'Form Sa1'!GIN816/10)-'NF - 5 Power Mix'!GIK21-'NF - 5 Power Mix'!GIK22</f>
        <v>0</v>
      </c>
      <c r="GIL42" s="1046">
        <f>GIL38+((GIL40+'NF - 5 Power Mix'!GIL14+'NF - 5 Power Mix'!GIL15)*860/10)+((('Form Sa1'!GIO835)*860)/10)+('Form Sa1'!GIO814*'Form Sa1'!GIO816/10)-'NF - 5 Power Mix'!GIL21-'NF - 5 Power Mix'!GIL22</f>
        <v>0</v>
      </c>
      <c r="GIM42" s="1046">
        <f>GIM38+((GIM40+'NF - 5 Power Mix'!GIM14+'NF - 5 Power Mix'!GIM15)*860/10)+((('Form Sa1'!GIP835)*860)/10)+('Form Sa1'!GIP814*'Form Sa1'!GIP816/10)-'NF - 5 Power Mix'!GIM21-'NF - 5 Power Mix'!GIM22</f>
        <v>0</v>
      </c>
      <c r="GIN42" s="1046">
        <f>GIN38+((GIN40+'NF - 5 Power Mix'!GIN14+'NF - 5 Power Mix'!GIN15)*860/10)+((('Form Sa1'!GIQ835)*860)/10)+('Form Sa1'!GIQ814*'Form Sa1'!GIQ816/10)-'NF - 5 Power Mix'!GIN21-'NF - 5 Power Mix'!GIN22</f>
        <v>0</v>
      </c>
      <c r="GIO42" s="1046">
        <f>GIO38+((GIO40+'NF - 5 Power Mix'!GIO14+'NF - 5 Power Mix'!GIO15)*860/10)+((('Form Sa1'!GIR835)*860)/10)+('Form Sa1'!GIR814*'Form Sa1'!GIR816/10)-'NF - 5 Power Mix'!GIO21-'NF - 5 Power Mix'!GIO22</f>
        <v>0</v>
      </c>
      <c r="GIP42" s="1046">
        <f>GIP38+((GIP40+'NF - 5 Power Mix'!GIP14+'NF - 5 Power Mix'!GIP15)*860/10)+((('Form Sa1'!GIS835)*860)/10)+('Form Sa1'!GIS814*'Form Sa1'!GIS816/10)-'NF - 5 Power Mix'!GIP21-'NF - 5 Power Mix'!GIP22</f>
        <v>0</v>
      </c>
      <c r="GIQ42" s="1046">
        <f>GIQ38+((GIQ40+'NF - 5 Power Mix'!GIQ14+'NF - 5 Power Mix'!GIQ15)*860/10)+((('Form Sa1'!GIT835)*860)/10)+('Form Sa1'!GIT814*'Form Sa1'!GIT816/10)-'NF - 5 Power Mix'!GIQ21-'NF - 5 Power Mix'!GIQ22</f>
        <v>0</v>
      </c>
      <c r="GIR42" s="1046">
        <f>GIR38+((GIR40+'NF - 5 Power Mix'!GIR14+'NF - 5 Power Mix'!GIR15)*860/10)+((('Form Sa1'!GIU835)*860)/10)+('Form Sa1'!GIU814*'Form Sa1'!GIU816/10)-'NF - 5 Power Mix'!GIR21-'NF - 5 Power Mix'!GIR22</f>
        <v>0</v>
      </c>
      <c r="GIS42" s="1046">
        <f>GIS38+((GIS40+'NF - 5 Power Mix'!GIS14+'NF - 5 Power Mix'!GIS15)*860/10)+((('Form Sa1'!GIV835)*860)/10)+('Form Sa1'!GIV814*'Form Sa1'!GIV816/10)-'NF - 5 Power Mix'!GIS21-'NF - 5 Power Mix'!GIS22</f>
        <v>0</v>
      </c>
      <c r="GIT42" s="1046">
        <f>GIT38+((GIT40+'NF - 5 Power Mix'!GIT14+'NF - 5 Power Mix'!GIT15)*860/10)+((('Form Sa1'!GIW835)*860)/10)+('Form Sa1'!GIW814*'Form Sa1'!GIW816/10)-'NF - 5 Power Mix'!GIT21-'NF - 5 Power Mix'!GIT22</f>
        <v>0</v>
      </c>
      <c r="GIU42" s="1046">
        <f>GIU38+((GIU40+'NF - 5 Power Mix'!GIU14+'NF - 5 Power Mix'!GIU15)*860/10)+((('Form Sa1'!GIX835)*860)/10)+('Form Sa1'!GIX814*'Form Sa1'!GIX816/10)-'NF - 5 Power Mix'!GIU21-'NF - 5 Power Mix'!GIU22</f>
        <v>0</v>
      </c>
      <c r="GIV42" s="1046">
        <f>GIV38+((GIV40+'NF - 5 Power Mix'!GIV14+'NF - 5 Power Mix'!GIV15)*860/10)+((('Form Sa1'!GIY835)*860)/10)+('Form Sa1'!GIY814*'Form Sa1'!GIY816/10)-'NF - 5 Power Mix'!GIV21-'NF - 5 Power Mix'!GIV22</f>
        <v>0</v>
      </c>
      <c r="GIW42" s="1046">
        <f>GIW38+((GIW40+'NF - 5 Power Mix'!GIW14+'NF - 5 Power Mix'!GIW15)*860/10)+((('Form Sa1'!GIZ835)*860)/10)+('Form Sa1'!GIZ814*'Form Sa1'!GIZ816/10)-'NF - 5 Power Mix'!GIW21-'NF - 5 Power Mix'!GIW22</f>
        <v>0</v>
      </c>
      <c r="GIX42" s="1046">
        <f>GIX38+((GIX40+'NF - 5 Power Mix'!GIX14+'NF - 5 Power Mix'!GIX15)*860/10)+((('Form Sa1'!GJA835)*860)/10)+('Form Sa1'!GJA814*'Form Sa1'!GJA816/10)-'NF - 5 Power Mix'!GIX21-'NF - 5 Power Mix'!GIX22</f>
        <v>0</v>
      </c>
      <c r="GIY42" s="1046">
        <f>GIY38+((GIY40+'NF - 5 Power Mix'!GIY14+'NF - 5 Power Mix'!GIY15)*860/10)+((('Form Sa1'!GJB835)*860)/10)+('Form Sa1'!GJB814*'Form Sa1'!GJB816/10)-'NF - 5 Power Mix'!GIY21-'NF - 5 Power Mix'!GIY22</f>
        <v>0</v>
      </c>
      <c r="GIZ42" s="1046">
        <f>GIZ38+((GIZ40+'NF - 5 Power Mix'!GIZ14+'NF - 5 Power Mix'!GIZ15)*860/10)+((('Form Sa1'!GJC835)*860)/10)+('Form Sa1'!GJC814*'Form Sa1'!GJC816/10)-'NF - 5 Power Mix'!GIZ21-'NF - 5 Power Mix'!GIZ22</f>
        <v>0</v>
      </c>
      <c r="GJA42" s="1046">
        <f>GJA38+((GJA40+'NF - 5 Power Mix'!GJA14+'NF - 5 Power Mix'!GJA15)*860/10)+((('Form Sa1'!GJD835)*860)/10)+('Form Sa1'!GJD814*'Form Sa1'!GJD816/10)-'NF - 5 Power Mix'!GJA21-'NF - 5 Power Mix'!GJA22</f>
        <v>0</v>
      </c>
      <c r="GJB42" s="1046">
        <f>GJB38+((GJB40+'NF - 5 Power Mix'!GJB14+'NF - 5 Power Mix'!GJB15)*860/10)+((('Form Sa1'!GJE835)*860)/10)+('Form Sa1'!GJE814*'Form Sa1'!GJE816/10)-'NF - 5 Power Mix'!GJB21-'NF - 5 Power Mix'!GJB22</f>
        <v>0</v>
      </c>
      <c r="GJC42" s="1046">
        <f>GJC38+((GJC40+'NF - 5 Power Mix'!GJC14+'NF - 5 Power Mix'!GJC15)*860/10)+((('Form Sa1'!GJF835)*860)/10)+('Form Sa1'!GJF814*'Form Sa1'!GJF816/10)-'NF - 5 Power Mix'!GJC21-'NF - 5 Power Mix'!GJC22</f>
        <v>0</v>
      </c>
      <c r="GJD42" s="1046">
        <f>GJD38+((GJD40+'NF - 5 Power Mix'!GJD14+'NF - 5 Power Mix'!GJD15)*860/10)+((('Form Sa1'!GJG835)*860)/10)+('Form Sa1'!GJG814*'Form Sa1'!GJG816/10)-'NF - 5 Power Mix'!GJD21-'NF - 5 Power Mix'!GJD22</f>
        <v>0</v>
      </c>
      <c r="GJE42" s="1046">
        <f>GJE38+((GJE40+'NF - 5 Power Mix'!GJE14+'NF - 5 Power Mix'!GJE15)*860/10)+((('Form Sa1'!GJH835)*860)/10)+('Form Sa1'!GJH814*'Form Sa1'!GJH816/10)-'NF - 5 Power Mix'!GJE21-'NF - 5 Power Mix'!GJE22</f>
        <v>0</v>
      </c>
      <c r="GJF42" s="1046">
        <f>GJF38+((GJF40+'NF - 5 Power Mix'!GJF14+'NF - 5 Power Mix'!GJF15)*860/10)+((('Form Sa1'!GJI835)*860)/10)+('Form Sa1'!GJI814*'Form Sa1'!GJI816/10)-'NF - 5 Power Mix'!GJF21-'NF - 5 Power Mix'!GJF22</f>
        <v>0</v>
      </c>
      <c r="GJG42" s="1046">
        <f>GJG38+((GJG40+'NF - 5 Power Mix'!GJG14+'NF - 5 Power Mix'!GJG15)*860/10)+((('Form Sa1'!GJJ835)*860)/10)+('Form Sa1'!GJJ814*'Form Sa1'!GJJ816/10)-'NF - 5 Power Mix'!GJG21-'NF - 5 Power Mix'!GJG22</f>
        <v>0</v>
      </c>
      <c r="GJH42" s="1046">
        <f>GJH38+((GJH40+'NF - 5 Power Mix'!GJH14+'NF - 5 Power Mix'!GJH15)*860/10)+((('Form Sa1'!GJK835)*860)/10)+('Form Sa1'!GJK814*'Form Sa1'!GJK816/10)-'NF - 5 Power Mix'!GJH21-'NF - 5 Power Mix'!GJH22</f>
        <v>0</v>
      </c>
      <c r="GJI42" s="1046">
        <f>GJI38+((GJI40+'NF - 5 Power Mix'!GJI14+'NF - 5 Power Mix'!GJI15)*860/10)+((('Form Sa1'!GJL835)*860)/10)+('Form Sa1'!GJL814*'Form Sa1'!GJL816/10)-'NF - 5 Power Mix'!GJI21-'NF - 5 Power Mix'!GJI22</f>
        <v>0</v>
      </c>
      <c r="GJJ42" s="1046">
        <f>GJJ38+((GJJ40+'NF - 5 Power Mix'!GJJ14+'NF - 5 Power Mix'!GJJ15)*860/10)+((('Form Sa1'!GJM835)*860)/10)+('Form Sa1'!GJM814*'Form Sa1'!GJM816/10)-'NF - 5 Power Mix'!GJJ21-'NF - 5 Power Mix'!GJJ22</f>
        <v>0</v>
      </c>
      <c r="GJK42" s="1046">
        <f>GJK38+((GJK40+'NF - 5 Power Mix'!GJK14+'NF - 5 Power Mix'!GJK15)*860/10)+((('Form Sa1'!GJN835)*860)/10)+('Form Sa1'!GJN814*'Form Sa1'!GJN816/10)-'NF - 5 Power Mix'!GJK21-'NF - 5 Power Mix'!GJK22</f>
        <v>0</v>
      </c>
      <c r="GJL42" s="1046">
        <f>GJL38+((GJL40+'NF - 5 Power Mix'!GJL14+'NF - 5 Power Mix'!GJL15)*860/10)+((('Form Sa1'!GJO835)*860)/10)+('Form Sa1'!GJO814*'Form Sa1'!GJO816/10)-'NF - 5 Power Mix'!GJL21-'NF - 5 Power Mix'!GJL22</f>
        <v>0</v>
      </c>
      <c r="GJM42" s="1046">
        <f>GJM38+((GJM40+'NF - 5 Power Mix'!GJM14+'NF - 5 Power Mix'!GJM15)*860/10)+((('Form Sa1'!GJP835)*860)/10)+('Form Sa1'!GJP814*'Form Sa1'!GJP816/10)-'NF - 5 Power Mix'!GJM21-'NF - 5 Power Mix'!GJM22</f>
        <v>0</v>
      </c>
      <c r="GJN42" s="1046">
        <f>GJN38+((GJN40+'NF - 5 Power Mix'!GJN14+'NF - 5 Power Mix'!GJN15)*860/10)+((('Form Sa1'!GJQ835)*860)/10)+('Form Sa1'!GJQ814*'Form Sa1'!GJQ816/10)-'NF - 5 Power Mix'!GJN21-'NF - 5 Power Mix'!GJN22</f>
        <v>0</v>
      </c>
      <c r="GJO42" s="1046">
        <f>GJO38+((GJO40+'NF - 5 Power Mix'!GJO14+'NF - 5 Power Mix'!GJO15)*860/10)+((('Form Sa1'!GJR835)*860)/10)+('Form Sa1'!GJR814*'Form Sa1'!GJR816/10)-'NF - 5 Power Mix'!GJO21-'NF - 5 Power Mix'!GJO22</f>
        <v>0</v>
      </c>
      <c r="GJP42" s="1046">
        <f>GJP38+((GJP40+'NF - 5 Power Mix'!GJP14+'NF - 5 Power Mix'!GJP15)*860/10)+((('Form Sa1'!GJS835)*860)/10)+('Form Sa1'!GJS814*'Form Sa1'!GJS816/10)-'NF - 5 Power Mix'!GJP21-'NF - 5 Power Mix'!GJP22</f>
        <v>0</v>
      </c>
      <c r="GJQ42" s="1046">
        <f>GJQ38+((GJQ40+'NF - 5 Power Mix'!GJQ14+'NF - 5 Power Mix'!GJQ15)*860/10)+((('Form Sa1'!GJT835)*860)/10)+('Form Sa1'!GJT814*'Form Sa1'!GJT816/10)-'NF - 5 Power Mix'!GJQ21-'NF - 5 Power Mix'!GJQ22</f>
        <v>0</v>
      </c>
      <c r="GJR42" s="1046">
        <f>GJR38+((GJR40+'NF - 5 Power Mix'!GJR14+'NF - 5 Power Mix'!GJR15)*860/10)+((('Form Sa1'!GJU835)*860)/10)+('Form Sa1'!GJU814*'Form Sa1'!GJU816/10)-'NF - 5 Power Mix'!GJR21-'NF - 5 Power Mix'!GJR22</f>
        <v>0</v>
      </c>
      <c r="GJS42" s="1046">
        <f>GJS38+((GJS40+'NF - 5 Power Mix'!GJS14+'NF - 5 Power Mix'!GJS15)*860/10)+((('Form Sa1'!GJV835)*860)/10)+('Form Sa1'!GJV814*'Form Sa1'!GJV816/10)-'NF - 5 Power Mix'!GJS21-'NF - 5 Power Mix'!GJS22</f>
        <v>0</v>
      </c>
      <c r="GJT42" s="1046">
        <f>GJT38+((GJT40+'NF - 5 Power Mix'!GJT14+'NF - 5 Power Mix'!GJT15)*860/10)+((('Form Sa1'!GJW835)*860)/10)+('Form Sa1'!GJW814*'Form Sa1'!GJW816/10)-'NF - 5 Power Mix'!GJT21-'NF - 5 Power Mix'!GJT22</f>
        <v>0</v>
      </c>
      <c r="GJU42" s="1046">
        <f>GJU38+((GJU40+'NF - 5 Power Mix'!GJU14+'NF - 5 Power Mix'!GJU15)*860/10)+((('Form Sa1'!GJX835)*860)/10)+('Form Sa1'!GJX814*'Form Sa1'!GJX816/10)-'NF - 5 Power Mix'!GJU21-'NF - 5 Power Mix'!GJU22</f>
        <v>0</v>
      </c>
      <c r="GJV42" s="1046">
        <f>GJV38+((GJV40+'NF - 5 Power Mix'!GJV14+'NF - 5 Power Mix'!GJV15)*860/10)+((('Form Sa1'!GJY835)*860)/10)+('Form Sa1'!GJY814*'Form Sa1'!GJY816/10)-'NF - 5 Power Mix'!GJV21-'NF - 5 Power Mix'!GJV22</f>
        <v>0</v>
      </c>
      <c r="GJW42" s="1046">
        <f>GJW38+((GJW40+'NF - 5 Power Mix'!GJW14+'NF - 5 Power Mix'!GJW15)*860/10)+((('Form Sa1'!GJZ835)*860)/10)+('Form Sa1'!GJZ814*'Form Sa1'!GJZ816/10)-'NF - 5 Power Mix'!GJW21-'NF - 5 Power Mix'!GJW22</f>
        <v>0</v>
      </c>
      <c r="GJX42" s="1046">
        <f>GJX38+((GJX40+'NF - 5 Power Mix'!GJX14+'NF - 5 Power Mix'!GJX15)*860/10)+((('Form Sa1'!GKA835)*860)/10)+('Form Sa1'!GKA814*'Form Sa1'!GKA816/10)-'NF - 5 Power Mix'!GJX21-'NF - 5 Power Mix'!GJX22</f>
        <v>0</v>
      </c>
      <c r="GJY42" s="1046">
        <f>GJY38+((GJY40+'NF - 5 Power Mix'!GJY14+'NF - 5 Power Mix'!GJY15)*860/10)+((('Form Sa1'!GKB835)*860)/10)+('Form Sa1'!GKB814*'Form Sa1'!GKB816/10)-'NF - 5 Power Mix'!GJY21-'NF - 5 Power Mix'!GJY22</f>
        <v>0</v>
      </c>
      <c r="GJZ42" s="1046">
        <f>GJZ38+((GJZ40+'NF - 5 Power Mix'!GJZ14+'NF - 5 Power Mix'!GJZ15)*860/10)+((('Form Sa1'!GKC835)*860)/10)+('Form Sa1'!GKC814*'Form Sa1'!GKC816/10)-'NF - 5 Power Mix'!GJZ21-'NF - 5 Power Mix'!GJZ22</f>
        <v>0</v>
      </c>
      <c r="GKA42" s="1046">
        <f>GKA38+((GKA40+'NF - 5 Power Mix'!GKA14+'NF - 5 Power Mix'!GKA15)*860/10)+((('Form Sa1'!GKD835)*860)/10)+('Form Sa1'!GKD814*'Form Sa1'!GKD816/10)-'NF - 5 Power Mix'!GKA21-'NF - 5 Power Mix'!GKA22</f>
        <v>0</v>
      </c>
      <c r="GKB42" s="1046">
        <f>GKB38+((GKB40+'NF - 5 Power Mix'!GKB14+'NF - 5 Power Mix'!GKB15)*860/10)+((('Form Sa1'!GKE835)*860)/10)+('Form Sa1'!GKE814*'Form Sa1'!GKE816/10)-'NF - 5 Power Mix'!GKB21-'NF - 5 Power Mix'!GKB22</f>
        <v>0</v>
      </c>
      <c r="GKC42" s="1046">
        <f>GKC38+((GKC40+'NF - 5 Power Mix'!GKC14+'NF - 5 Power Mix'!GKC15)*860/10)+((('Form Sa1'!GKF835)*860)/10)+('Form Sa1'!GKF814*'Form Sa1'!GKF816/10)-'NF - 5 Power Mix'!GKC21-'NF - 5 Power Mix'!GKC22</f>
        <v>0</v>
      </c>
      <c r="GKD42" s="1046">
        <f>GKD38+((GKD40+'NF - 5 Power Mix'!GKD14+'NF - 5 Power Mix'!GKD15)*860/10)+((('Form Sa1'!GKG835)*860)/10)+('Form Sa1'!GKG814*'Form Sa1'!GKG816/10)-'NF - 5 Power Mix'!GKD21-'NF - 5 Power Mix'!GKD22</f>
        <v>0</v>
      </c>
      <c r="GKE42" s="1046">
        <f>GKE38+((GKE40+'NF - 5 Power Mix'!GKE14+'NF - 5 Power Mix'!GKE15)*860/10)+((('Form Sa1'!GKH835)*860)/10)+('Form Sa1'!GKH814*'Form Sa1'!GKH816/10)-'NF - 5 Power Mix'!GKE21-'NF - 5 Power Mix'!GKE22</f>
        <v>0</v>
      </c>
      <c r="GKF42" s="1046">
        <f>GKF38+((GKF40+'NF - 5 Power Mix'!GKF14+'NF - 5 Power Mix'!GKF15)*860/10)+((('Form Sa1'!GKI835)*860)/10)+('Form Sa1'!GKI814*'Form Sa1'!GKI816/10)-'NF - 5 Power Mix'!GKF21-'NF - 5 Power Mix'!GKF22</f>
        <v>0</v>
      </c>
      <c r="GKG42" s="1046">
        <f>GKG38+((GKG40+'NF - 5 Power Mix'!GKG14+'NF - 5 Power Mix'!GKG15)*860/10)+((('Form Sa1'!GKJ835)*860)/10)+('Form Sa1'!GKJ814*'Form Sa1'!GKJ816/10)-'NF - 5 Power Mix'!GKG21-'NF - 5 Power Mix'!GKG22</f>
        <v>0</v>
      </c>
      <c r="GKH42" s="1046">
        <f>GKH38+((GKH40+'NF - 5 Power Mix'!GKH14+'NF - 5 Power Mix'!GKH15)*860/10)+((('Form Sa1'!GKK835)*860)/10)+('Form Sa1'!GKK814*'Form Sa1'!GKK816/10)-'NF - 5 Power Mix'!GKH21-'NF - 5 Power Mix'!GKH22</f>
        <v>0</v>
      </c>
      <c r="GKI42" s="1046">
        <f>GKI38+((GKI40+'NF - 5 Power Mix'!GKI14+'NF - 5 Power Mix'!GKI15)*860/10)+((('Form Sa1'!GKL835)*860)/10)+('Form Sa1'!GKL814*'Form Sa1'!GKL816/10)-'NF - 5 Power Mix'!GKI21-'NF - 5 Power Mix'!GKI22</f>
        <v>0</v>
      </c>
      <c r="GKJ42" s="1046">
        <f>GKJ38+((GKJ40+'NF - 5 Power Mix'!GKJ14+'NF - 5 Power Mix'!GKJ15)*860/10)+((('Form Sa1'!GKM835)*860)/10)+('Form Sa1'!GKM814*'Form Sa1'!GKM816/10)-'NF - 5 Power Mix'!GKJ21-'NF - 5 Power Mix'!GKJ22</f>
        <v>0</v>
      </c>
      <c r="GKK42" s="1046">
        <f>GKK38+((GKK40+'NF - 5 Power Mix'!GKK14+'NF - 5 Power Mix'!GKK15)*860/10)+((('Form Sa1'!GKN835)*860)/10)+('Form Sa1'!GKN814*'Form Sa1'!GKN816/10)-'NF - 5 Power Mix'!GKK21-'NF - 5 Power Mix'!GKK22</f>
        <v>0</v>
      </c>
      <c r="GKL42" s="1046">
        <f>GKL38+((GKL40+'NF - 5 Power Mix'!GKL14+'NF - 5 Power Mix'!GKL15)*860/10)+((('Form Sa1'!GKO835)*860)/10)+('Form Sa1'!GKO814*'Form Sa1'!GKO816/10)-'NF - 5 Power Mix'!GKL21-'NF - 5 Power Mix'!GKL22</f>
        <v>0</v>
      </c>
      <c r="GKM42" s="1046">
        <f>GKM38+((GKM40+'NF - 5 Power Mix'!GKM14+'NF - 5 Power Mix'!GKM15)*860/10)+((('Form Sa1'!GKP835)*860)/10)+('Form Sa1'!GKP814*'Form Sa1'!GKP816/10)-'NF - 5 Power Mix'!GKM21-'NF - 5 Power Mix'!GKM22</f>
        <v>0</v>
      </c>
      <c r="GKN42" s="1046">
        <f>GKN38+((GKN40+'NF - 5 Power Mix'!GKN14+'NF - 5 Power Mix'!GKN15)*860/10)+((('Form Sa1'!GKQ835)*860)/10)+('Form Sa1'!GKQ814*'Form Sa1'!GKQ816/10)-'NF - 5 Power Mix'!GKN21-'NF - 5 Power Mix'!GKN22</f>
        <v>0</v>
      </c>
      <c r="GKO42" s="1046">
        <f>GKO38+((GKO40+'NF - 5 Power Mix'!GKO14+'NF - 5 Power Mix'!GKO15)*860/10)+((('Form Sa1'!GKR835)*860)/10)+('Form Sa1'!GKR814*'Form Sa1'!GKR816/10)-'NF - 5 Power Mix'!GKO21-'NF - 5 Power Mix'!GKO22</f>
        <v>0</v>
      </c>
      <c r="GKP42" s="1046">
        <f>GKP38+((GKP40+'NF - 5 Power Mix'!GKP14+'NF - 5 Power Mix'!GKP15)*860/10)+((('Form Sa1'!GKS835)*860)/10)+('Form Sa1'!GKS814*'Form Sa1'!GKS816/10)-'NF - 5 Power Mix'!GKP21-'NF - 5 Power Mix'!GKP22</f>
        <v>0</v>
      </c>
      <c r="GKQ42" s="1046">
        <f>GKQ38+((GKQ40+'NF - 5 Power Mix'!GKQ14+'NF - 5 Power Mix'!GKQ15)*860/10)+((('Form Sa1'!GKT835)*860)/10)+('Form Sa1'!GKT814*'Form Sa1'!GKT816/10)-'NF - 5 Power Mix'!GKQ21-'NF - 5 Power Mix'!GKQ22</f>
        <v>0</v>
      </c>
      <c r="GKR42" s="1046">
        <f>GKR38+((GKR40+'NF - 5 Power Mix'!GKR14+'NF - 5 Power Mix'!GKR15)*860/10)+((('Form Sa1'!GKU835)*860)/10)+('Form Sa1'!GKU814*'Form Sa1'!GKU816/10)-'NF - 5 Power Mix'!GKR21-'NF - 5 Power Mix'!GKR22</f>
        <v>0</v>
      </c>
      <c r="GKS42" s="1046">
        <f>GKS38+((GKS40+'NF - 5 Power Mix'!GKS14+'NF - 5 Power Mix'!GKS15)*860/10)+((('Form Sa1'!GKV835)*860)/10)+('Form Sa1'!GKV814*'Form Sa1'!GKV816/10)-'NF - 5 Power Mix'!GKS21-'NF - 5 Power Mix'!GKS22</f>
        <v>0</v>
      </c>
      <c r="GKT42" s="1046">
        <f>GKT38+((GKT40+'NF - 5 Power Mix'!GKT14+'NF - 5 Power Mix'!GKT15)*860/10)+((('Form Sa1'!GKW835)*860)/10)+('Form Sa1'!GKW814*'Form Sa1'!GKW816/10)-'NF - 5 Power Mix'!GKT21-'NF - 5 Power Mix'!GKT22</f>
        <v>0</v>
      </c>
      <c r="GKU42" s="1046">
        <f>GKU38+((GKU40+'NF - 5 Power Mix'!GKU14+'NF - 5 Power Mix'!GKU15)*860/10)+((('Form Sa1'!GKX835)*860)/10)+('Form Sa1'!GKX814*'Form Sa1'!GKX816/10)-'NF - 5 Power Mix'!GKU21-'NF - 5 Power Mix'!GKU22</f>
        <v>0</v>
      </c>
      <c r="GKV42" s="1046">
        <f>GKV38+((GKV40+'NF - 5 Power Mix'!GKV14+'NF - 5 Power Mix'!GKV15)*860/10)+((('Form Sa1'!GKY835)*860)/10)+('Form Sa1'!GKY814*'Form Sa1'!GKY816/10)-'NF - 5 Power Mix'!GKV21-'NF - 5 Power Mix'!GKV22</f>
        <v>0</v>
      </c>
      <c r="GKW42" s="1046">
        <f>GKW38+((GKW40+'NF - 5 Power Mix'!GKW14+'NF - 5 Power Mix'!GKW15)*860/10)+((('Form Sa1'!GKZ835)*860)/10)+('Form Sa1'!GKZ814*'Form Sa1'!GKZ816/10)-'NF - 5 Power Mix'!GKW21-'NF - 5 Power Mix'!GKW22</f>
        <v>0</v>
      </c>
      <c r="GKX42" s="1046">
        <f>GKX38+((GKX40+'NF - 5 Power Mix'!GKX14+'NF - 5 Power Mix'!GKX15)*860/10)+((('Form Sa1'!GLA835)*860)/10)+('Form Sa1'!GLA814*'Form Sa1'!GLA816/10)-'NF - 5 Power Mix'!GKX21-'NF - 5 Power Mix'!GKX22</f>
        <v>0</v>
      </c>
      <c r="GKY42" s="1046">
        <f>GKY38+((GKY40+'NF - 5 Power Mix'!GKY14+'NF - 5 Power Mix'!GKY15)*860/10)+((('Form Sa1'!GLB835)*860)/10)+('Form Sa1'!GLB814*'Form Sa1'!GLB816/10)-'NF - 5 Power Mix'!GKY21-'NF - 5 Power Mix'!GKY22</f>
        <v>0</v>
      </c>
      <c r="GKZ42" s="1046">
        <f>GKZ38+((GKZ40+'NF - 5 Power Mix'!GKZ14+'NF - 5 Power Mix'!GKZ15)*860/10)+((('Form Sa1'!GLC835)*860)/10)+('Form Sa1'!GLC814*'Form Sa1'!GLC816/10)-'NF - 5 Power Mix'!GKZ21-'NF - 5 Power Mix'!GKZ22</f>
        <v>0</v>
      </c>
      <c r="GLA42" s="1046">
        <f>GLA38+((GLA40+'NF - 5 Power Mix'!GLA14+'NF - 5 Power Mix'!GLA15)*860/10)+((('Form Sa1'!GLD835)*860)/10)+('Form Sa1'!GLD814*'Form Sa1'!GLD816/10)-'NF - 5 Power Mix'!GLA21-'NF - 5 Power Mix'!GLA22</f>
        <v>0</v>
      </c>
      <c r="GLB42" s="1046">
        <f>GLB38+((GLB40+'NF - 5 Power Mix'!GLB14+'NF - 5 Power Mix'!GLB15)*860/10)+((('Form Sa1'!GLE835)*860)/10)+('Form Sa1'!GLE814*'Form Sa1'!GLE816/10)-'NF - 5 Power Mix'!GLB21-'NF - 5 Power Mix'!GLB22</f>
        <v>0</v>
      </c>
      <c r="GLC42" s="1046">
        <f>GLC38+((GLC40+'NF - 5 Power Mix'!GLC14+'NF - 5 Power Mix'!GLC15)*860/10)+((('Form Sa1'!GLF835)*860)/10)+('Form Sa1'!GLF814*'Form Sa1'!GLF816/10)-'NF - 5 Power Mix'!GLC21-'NF - 5 Power Mix'!GLC22</f>
        <v>0</v>
      </c>
      <c r="GLD42" s="1046">
        <f>GLD38+((GLD40+'NF - 5 Power Mix'!GLD14+'NF - 5 Power Mix'!GLD15)*860/10)+((('Form Sa1'!GLG835)*860)/10)+('Form Sa1'!GLG814*'Form Sa1'!GLG816/10)-'NF - 5 Power Mix'!GLD21-'NF - 5 Power Mix'!GLD22</f>
        <v>0</v>
      </c>
      <c r="GLE42" s="1046">
        <f>GLE38+((GLE40+'NF - 5 Power Mix'!GLE14+'NF - 5 Power Mix'!GLE15)*860/10)+((('Form Sa1'!GLH835)*860)/10)+('Form Sa1'!GLH814*'Form Sa1'!GLH816/10)-'NF - 5 Power Mix'!GLE21-'NF - 5 Power Mix'!GLE22</f>
        <v>0</v>
      </c>
      <c r="GLF42" s="1046">
        <f>GLF38+((GLF40+'NF - 5 Power Mix'!GLF14+'NF - 5 Power Mix'!GLF15)*860/10)+((('Form Sa1'!GLI835)*860)/10)+('Form Sa1'!GLI814*'Form Sa1'!GLI816/10)-'NF - 5 Power Mix'!GLF21-'NF - 5 Power Mix'!GLF22</f>
        <v>0</v>
      </c>
      <c r="GLG42" s="1046">
        <f>GLG38+((GLG40+'NF - 5 Power Mix'!GLG14+'NF - 5 Power Mix'!GLG15)*860/10)+((('Form Sa1'!GLJ835)*860)/10)+('Form Sa1'!GLJ814*'Form Sa1'!GLJ816/10)-'NF - 5 Power Mix'!GLG21-'NF - 5 Power Mix'!GLG22</f>
        <v>0</v>
      </c>
      <c r="GLH42" s="1046">
        <f>GLH38+((GLH40+'NF - 5 Power Mix'!GLH14+'NF - 5 Power Mix'!GLH15)*860/10)+((('Form Sa1'!GLK835)*860)/10)+('Form Sa1'!GLK814*'Form Sa1'!GLK816/10)-'NF - 5 Power Mix'!GLH21-'NF - 5 Power Mix'!GLH22</f>
        <v>0</v>
      </c>
      <c r="GLI42" s="1046">
        <f>GLI38+((GLI40+'NF - 5 Power Mix'!GLI14+'NF - 5 Power Mix'!GLI15)*860/10)+((('Form Sa1'!GLL835)*860)/10)+('Form Sa1'!GLL814*'Form Sa1'!GLL816/10)-'NF - 5 Power Mix'!GLI21-'NF - 5 Power Mix'!GLI22</f>
        <v>0</v>
      </c>
      <c r="GLJ42" s="1046">
        <f>GLJ38+((GLJ40+'NF - 5 Power Mix'!GLJ14+'NF - 5 Power Mix'!GLJ15)*860/10)+((('Form Sa1'!GLM835)*860)/10)+('Form Sa1'!GLM814*'Form Sa1'!GLM816/10)-'NF - 5 Power Mix'!GLJ21-'NF - 5 Power Mix'!GLJ22</f>
        <v>0</v>
      </c>
      <c r="GLK42" s="1046">
        <f>GLK38+((GLK40+'NF - 5 Power Mix'!GLK14+'NF - 5 Power Mix'!GLK15)*860/10)+((('Form Sa1'!GLN835)*860)/10)+('Form Sa1'!GLN814*'Form Sa1'!GLN816/10)-'NF - 5 Power Mix'!GLK21-'NF - 5 Power Mix'!GLK22</f>
        <v>0</v>
      </c>
      <c r="GLL42" s="1046">
        <f>GLL38+((GLL40+'NF - 5 Power Mix'!GLL14+'NF - 5 Power Mix'!GLL15)*860/10)+((('Form Sa1'!GLO835)*860)/10)+('Form Sa1'!GLO814*'Form Sa1'!GLO816/10)-'NF - 5 Power Mix'!GLL21-'NF - 5 Power Mix'!GLL22</f>
        <v>0</v>
      </c>
      <c r="GLM42" s="1046">
        <f>GLM38+((GLM40+'NF - 5 Power Mix'!GLM14+'NF - 5 Power Mix'!GLM15)*860/10)+((('Form Sa1'!GLP835)*860)/10)+('Form Sa1'!GLP814*'Form Sa1'!GLP816/10)-'NF - 5 Power Mix'!GLM21-'NF - 5 Power Mix'!GLM22</f>
        <v>0</v>
      </c>
      <c r="GLN42" s="1046">
        <f>GLN38+((GLN40+'NF - 5 Power Mix'!GLN14+'NF - 5 Power Mix'!GLN15)*860/10)+((('Form Sa1'!GLQ835)*860)/10)+('Form Sa1'!GLQ814*'Form Sa1'!GLQ816/10)-'NF - 5 Power Mix'!GLN21-'NF - 5 Power Mix'!GLN22</f>
        <v>0</v>
      </c>
      <c r="GLO42" s="1046">
        <f>GLO38+((GLO40+'NF - 5 Power Mix'!GLO14+'NF - 5 Power Mix'!GLO15)*860/10)+((('Form Sa1'!GLR835)*860)/10)+('Form Sa1'!GLR814*'Form Sa1'!GLR816/10)-'NF - 5 Power Mix'!GLO21-'NF - 5 Power Mix'!GLO22</f>
        <v>0</v>
      </c>
      <c r="GLP42" s="1046">
        <f>GLP38+((GLP40+'NF - 5 Power Mix'!GLP14+'NF - 5 Power Mix'!GLP15)*860/10)+((('Form Sa1'!GLS835)*860)/10)+('Form Sa1'!GLS814*'Form Sa1'!GLS816/10)-'NF - 5 Power Mix'!GLP21-'NF - 5 Power Mix'!GLP22</f>
        <v>0</v>
      </c>
      <c r="GLQ42" s="1046">
        <f>GLQ38+((GLQ40+'NF - 5 Power Mix'!GLQ14+'NF - 5 Power Mix'!GLQ15)*860/10)+((('Form Sa1'!GLT835)*860)/10)+('Form Sa1'!GLT814*'Form Sa1'!GLT816/10)-'NF - 5 Power Mix'!GLQ21-'NF - 5 Power Mix'!GLQ22</f>
        <v>0</v>
      </c>
      <c r="GLR42" s="1046">
        <f>GLR38+((GLR40+'NF - 5 Power Mix'!GLR14+'NF - 5 Power Mix'!GLR15)*860/10)+((('Form Sa1'!GLU835)*860)/10)+('Form Sa1'!GLU814*'Form Sa1'!GLU816/10)-'NF - 5 Power Mix'!GLR21-'NF - 5 Power Mix'!GLR22</f>
        <v>0</v>
      </c>
      <c r="GLS42" s="1046">
        <f>GLS38+((GLS40+'NF - 5 Power Mix'!GLS14+'NF - 5 Power Mix'!GLS15)*860/10)+((('Form Sa1'!GLV835)*860)/10)+('Form Sa1'!GLV814*'Form Sa1'!GLV816/10)-'NF - 5 Power Mix'!GLS21-'NF - 5 Power Mix'!GLS22</f>
        <v>0</v>
      </c>
      <c r="GLT42" s="1046">
        <f>GLT38+((GLT40+'NF - 5 Power Mix'!GLT14+'NF - 5 Power Mix'!GLT15)*860/10)+((('Form Sa1'!GLW835)*860)/10)+('Form Sa1'!GLW814*'Form Sa1'!GLW816/10)-'NF - 5 Power Mix'!GLT21-'NF - 5 Power Mix'!GLT22</f>
        <v>0</v>
      </c>
      <c r="GLU42" s="1046">
        <f>GLU38+((GLU40+'NF - 5 Power Mix'!GLU14+'NF - 5 Power Mix'!GLU15)*860/10)+((('Form Sa1'!GLX835)*860)/10)+('Form Sa1'!GLX814*'Form Sa1'!GLX816/10)-'NF - 5 Power Mix'!GLU21-'NF - 5 Power Mix'!GLU22</f>
        <v>0</v>
      </c>
      <c r="GLV42" s="1046">
        <f>GLV38+((GLV40+'NF - 5 Power Mix'!GLV14+'NF - 5 Power Mix'!GLV15)*860/10)+((('Form Sa1'!GLY835)*860)/10)+('Form Sa1'!GLY814*'Form Sa1'!GLY816/10)-'NF - 5 Power Mix'!GLV21-'NF - 5 Power Mix'!GLV22</f>
        <v>0</v>
      </c>
      <c r="GLW42" s="1046">
        <f>GLW38+((GLW40+'NF - 5 Power Mix'!GLW14+'NF - 5 Power Mix'!GLW15)*860/10)+((('Form Sa1'!GLZ835)*860)/10)+('Form Sa1'!GLZ814*'Form Sa1'!GLZ816/10)-'NF - 5 Power Mix'!GLW21-'NF - 5 Power Mix'!GLW22</f>
        <v>0</v>
      </c>
      <c r="GLX42" s="1046">
        <f>GLX38+((GLX40+'NF - 5 Power Mix'!GLX14+'NF - 5 Power Mix'!GLX15)*860/10)+((('Form Sa1'!GMA835)*860)/10)+('Form Sa1'!GMA814*'Form Sa1'!GMA816/10)-'NF - 5 Power Mix'!GLX21-'NF - 5 Power Mix'!GLX22</f>
        <v>0</v>
      </c>
      <c r="GLY42" s="1046">
        <f>GLY38+((GLY40+'NF - 5 Power Mix'!GLY14+'NF - 5 Power Mix'!GLY15)*860/10)+((('Form Sa1'!GMB835)*860)/10)+('Form Sa1'!GMB814*'Form Sa1'!GMB816/10)-'NF - 5 Power Mix'!GLY21-'NF - 5 Power Mix'!GLY22</f>
        <v>0</v>
      </c>
      <c r="GLZ42" s="1046">
        <f>GLZ38+((GLZ40+'NF - 5 Power Mix'!GLZ14+'NF - 5 Power Mix'!GLZ15)*860/10)+((('Form Sa1'!GMC835)*860)/10)+('Form Sa1'!GMC814*'Form Sa1'!GMC816/10)-'NF - 5 Power Mix'!GLZ21-'NF - 5 Power Mix'!GLZ22</f>
        <v>0</v>
      </c>
      <c r="GMA42" s="1046">
        <f>GMA38+((GMA40+'NF - 5 Power Mix'!GMA14+'NF - 5 Power Mix'!GMA15)*860/10)+((('Form Sa1'!GMD835)*860)/10)+('Form Sa1'!GMD814*'Form Sa1'!GMD816/10)-'NF - 5 Power Mix'!GMA21-'NF - 5 Power Mix'!GMA22</f>
        <v>0</v>
      </c>
      <c r="GMB42" s="1046">
        <f>GMB38+((GMB40+'NF - 5 Power Mix'!GMB14+'NF - 5 Power Mix'!GMB15)*860/10)+((('Form Sa1'!GME835)*860)/10)+('Form Sa1'!GME814*'Form Sa1'!GME816/10)-'NF - 5 Power Mix'!GMB21-'NF - 5 Power Mix'!GMB22</f>
        <v>0</v>
      </c>
      <c r="GMC42" s="1046">
        <f>GMC38+((GMC40+'NF - 5 Power Mix'!GMC14+'NF - 5 Power Mix'!GMC15)*860/10)+((('Form Sa1'!GMF835)*860)/10)+('Form Sa1'!GMF814*'Form Sa1'!GMF816/10)-'NF - 5 Power Mix'!GMC21-'NF - 5 Power Mix'!GMC22</f>
        <v>0</v>
      </c>
      <c r="GMD42" s="1046">
        <f>GMD38+((GMD40+'NF - 5 Power Mix'!GMD14+'NF - 5 Power Mix'!GMD15)*860/10)+((('Form Sa1'!GMG835)*860)/10)+('Form Sa1'!GMG814*'Form Sa1'!GMG816/10)-'NF - 5 Power Mix'!GMD21-'NF - 5 Power Mix'!GMD22</f>
        <v>0</v>
      </c>
      <c r="GME42" s="1046">
        <f>GME38+((GME40+'NF - 5 Power Mix'!GME14+'NF - 5 Power Mix'!GME15)*860/10)+((('Form Sa1'!GMH835)*860)/10)+('Form Sa1'!GMH814*'Form Sa1'!GMH816/10)-'NF - 5 Power Mix'!GME21-'NF - 5 Power Mix'!GME22</f>
        <v>0</v>
      </c>
      <c r="GMF42" s="1046">
        <f>GMF38+((GMF40+'NF - 5 Power Mix'!GMF14+'NF - 5 Power Mix'!GMF15)*860/10)+((('Form Sa1'!GMI835)*860)/10)+('Form Sa1'!GMI814*'Form Sa1'!GMI816/10)-'NF - 5 Power Mix'!GMF21-'NF - 5 Power Mix'!GMF22</f>
        <v>0</v>
      </c>
      <c r="GMG42" s="1046">
        <f>GMG38+((GMG40+'NF - 5 Power Mix'!GMG14+'NF - 5 Power Mix'!GMG15)*860/10)+((('Form Sa1'!GMJ835)*860)/10)+('Form Sa1'!GMJ814*'Form Sa1'!GMJ816/10)-'NF - 5 Power Mix'!GMG21-'NF - 5 Power Mix'!GMG22</f>
        <v>0</v>
      </c>
      <c r="GMH42" s="1046">
        <f>GMH38+((GMH40+'NF - 5 Power Mix'!GMH14+'NF - 5 Power Mix'!GMH15)*860/10)+((('Form Sa1'!GMK835)*860)/10)+('Form Sa1'!GMK814*'Form Sa1'!GMK816/10)-'NF - 5 Power Mix'!GMH21-'NF - 5 Power Mix'!GMH22</f>
        <v>0</v>
      </c>
      <c r="GMI42" s="1046">
        <f>GMI38+((GMI40+'NF - 5 Power Mix'!GMI14+'NF - 5 Power Mix'!GMI15)*860/10)+((('Form Sa1'!GML835)*860)/10)+('Form Sa1'!GML814*'Form Sa1'!GML816/10)-'NF - 5 Power Mix'!GMI21-'NF - 5 Power Mix'!GMI22</f>
        <v>0</v>
      </c>
      <c r="GMJ42" s="1046">
        <f>GMJ38+((GMJ40+'NF - 5 Power Mix'!GMJ14+'NF - 5 Power Mix'!GMJ15)*860/10)+((('Form Sa1'!GMM835)*860)/10)+('Form Sa1'!GMM814*'Form Sa1'!GMM816/10)-'NF - 5 Power Mix'!GMJ21-'NF - 5 Power Mix'!GMJ22</f>
        <v>0</v>
      </c>
      <c r="GMK42" s="1046">
        <f>GMK38+((GMK40+'NF - 5 Power Mix'!GMK14+'NF - 5 Power Mix'!GMK15)*860/10)+((('Form Sa1'!GMN835)*860)/10)+('Form Sa1'!GMN814*'Form Sa1'!GMN816/10)-'NF - 5 Power Mix'!GMK21-'NF - 5 Power Mix'!GMK22</f>
        <v>0</v>
      </c>
      <c r="GML42" s="1046">
        <f>GML38+((GML40+'NF - 5 Power Mix'!GML14+'NF - 5 Power Mix'!GML15)*860/10)+((('Form Sa1'!GMO835)*860)/10)+('Form Sa1'!GMO814*'Form Sa1'!GMO816/10)-'NF - 5 Power Mix'!GML21-'NF - 5 Power Mix'!GML22</f>
        <v>0</v>
      </c>
      <c r="GMM42" s="1046">
        <f>GMM38+((GMM40+'NF - 5 Power Mix'!GMM14+'NF - 5 Power Mix'!GMM15)*860/10)+((('Form Sa1'!GMP835)*860)/10)+('Form Sa1'!GMP814*'Form Sa1'!GMP816/10)-'NF - 5 Power Mix'!GMM21-'NF - 5 Power Mix'!GMM22</f>
        <v>0</v>
      </c>
      <c r="GMN42" s="1046">
        <f>GMN38+((GMN40+'NF - 5 Power Mix'!GMN14+'NF - 5 Power Mix'!GMN15)*860/10)+((('Form Sa1'!GMQ835)*860)/10)+('Form Sa1'!GMQ814*'Form Sa1'!GMQ816/10)-'NF - 5 Power Mix'!GMN21-'NF - 5 Power Mix'!GMN22</f>
        <v>0</v>
      </c>
      <c r="GMO42" s="1046">
        <f>GMO38+((GMO40+'NF - 5 Power Mix'!GMO14+'NF - 5 Power Mix'!GMO15)*860/10)+((('Form Sa1'!GMR835)*860)/10)+('Form Sa1'!GMR814*'Form Sa1'!GMR816/10)-'NF - 5 Power Mix'!GMO21-'NF - 5 Power Mix'!GMO22</f>
        <v>0</v>
      </c>
      <c r="GMP42" s="1046">
        <f>GMP38+((GMP40+'NF - 5 Power Mix'!GMP14+'NF - 5 Power Mix'!GMP15)*860/10)+((('Form Sa1'!GMS835)*860)/10)+('Form Sa1'!GMS814*'Form Sa1'!GMS816/10)-'NF - 5 Power Mix'!GMP21-'NF - 5 Power Mix'!GMP22</f>
        <v>0</v>
      </c>
      <c r="GMQ42" s="1046">
        <f>GMQ38+((GMQ40+'NF - 5 Power Mix'!GMQ14+'NF - 5 Power Mix'!GMQ15)*860/10)+((('Form Sa1'!GMT835)*860)/10)+('Form Sa1'!GMT814*'Form Sa1'!GMT816/10)-'NF - 5 Power Mix'!GMQ21-'NF - 5 Power Mix'!GMQ22</f>
        <v>0</v>
      </c>
      <c r="GMR42" s="1046">
        <f>GMR38+((GMR40+'NF - 5 Power Mix'!GMR14+'NF - 5 Power Mix'!GMR15)*860/10)+((('Form Sa1'!GMU835)*860)/10)+('Form Sa1'!GMU814*'Form Sa1'!GMU816/10)-'NF - 5 Power Mix'!GMR21-'NF - 5 Power Mix'!GMR22</f>
        <v>0</v>
      </c>
      <c r="GMS42" s="1046">
        <f>GMS38+((GMS40+'NF - 5 Power Mix'!GMS14+'NF - 5 Power Mix'!GMS15)*860/10)+((('Form Sa1'!GMV835)*860)/10)+('Form Sa1'!GMV814*'Form Sa1'!GMV816/10)-'NF - 5 Power Mix'!GMS21-'NF - 5 Power Mix'!GMS22</f>
        <v>0</v>
      </c>
      <c r="GMT42" s="1046">
        <f>GMT38+((GMT40+'NF - 5 Power Mix'!GMT14+'NF - 5 Power Mix'!GMT15)*860/10)+((('Form Sa1'!GMW835)*860)/10)+('Form Sa1'!GMW814*'Form Sa1'!GMW816/10)-'NF - 5 Power Mix'!GMT21-'NF - 5 Power Mix'!GMT22</f>
        <v>0</v>
      </c>
      <c r="GMU42" s="1046">
        <f>GMU38+((GMU40+'NF - 5 Power Mix'!GMU14+'NF - 5 Power Mix'!GMU15)*860/10)+((('Form Sa1'!GMX835)*860)/10)+('Form Sa1'!GMX814*'Form Sa1'!GMX816/10)-'NF - 5 Power Mix'!GMU21-'NF - 5 Power Mix'!GMU22</f>
        <v>0</v>
      </c>
      <c r="GMV42" s="1046">
        <f>GMV38+((GMV40+'NF - 5 Power Mix'!GMV14+'NF - 5 Power Mix'!GMV15)*860/10)+((('Form Sa1'!GMY835)*860)/10)+('Form Sa1'!GMY814*'Form Sa1'!GMY816/10)-'NF - 5 Power Mix'!GMV21-'NF - 5 Power Mix'!GMV22</f>
        <v>0</v>
      </c>
      <c r="GMW42" s="1046">
        <f>GMW38+((GMW40+'NF - 5 Power Mix'!GMW14+'NF - 5 Power Mix'!GMW15)*860/10)+((('Form Sa1'!GMZ835)*860)/10)+('Form Sa1'!GMZ814*'Form Sa1'!GMZ816/10)-'NF - 5 Power Mix'!GMW21-'NF - 5 Power Mix'!GMW22</f>
        <v>0</v>
      </c>
      <c r="GMX42" s="1046">
        <f>GMX38+((GMX40+'NF - 5 Power Mix'!GMX14+'NF - 5 Power Mix'!GMX15)*860/10)+((('Form Sa1'!GNA835)*860)/10)+('Form Sa1'!GNA814*'Form Sa1'!GNA816/10)-'NF - 5 Power Mix'!GMX21-'NF - 5 Power Mix'!GMX22</f>
        <v>0</v>
      </c>
      <c r="GMY42" s="1046">
        <f>GMY38+((GMY40+'NF - 5 Power Mix'!GMY14+'NF - 5 Power Mix'!GMY15)*860/10)+((('Form Sa1'!GNB835)*860)/10)+('Form Sa1'!GNB814*'Form Sa1'!GNB816/10)-'NF - 5 Power Mix'!GMY21-'NF - 5 Power Mix'!GMY22</f>
        <v>0</v>
      </c>
      <c r="GMZ42" s="1046">
        <f>GMZ38+((GMZ40+'NF - 5 Power Mix'!GMZ14+'NF - 5 Power Mix'!GMZ15)*860/10)+((('Form Sa1'!GNC835)*860)/10)+('Form Sa1'!GNC814*'Form Sa1'!GNC816/10)-'NF - 5 Power Mix'!GMZ21-'NF - 5 Power Mix'!GMZ22</f>
        <v>0</v>
      </c>
      <c r="GNA42" s="1046">
        <f>GNA38+((GNA40+'NF - 5 Power Mix'!GNA14+'NF - 5 Power Mix'!GNA15)*860/10)+((('Form Sa1'!GND835)*860)/10)+('Form Sa1'!GND814*'Form Sa1'!GND816/10)-'NF - 5 Power Mix'!GNA21-'NF - 5 Power Mix'!GNA22</f>
        <v>0</v>
      </c>
      <c r="GNB42" s="1046">
        <f>GNB38+((GNB40+'NF - 5 Power Mix'!GNB14+'NF - 5 Power Mix'!GNB15)*860/10)+((('Form Sa1'!GNE835)*860)/10)+('Form Sa1'!GNE814*'Form Sa1'!GNE816/10)-'NF - 5 Power Mix'!GNB21-'NF - 5 Power Mix'!GNB22</f>
        <v>0</v>
      </c>
      <c r="GNC42" s="1046">
        <f>GNC38+((GNC40+'NF - 5 Power Mix'!GNC14+'NF - 5 Power Mix'!GNC15)*860/10)+((('Form Sa1'!GNF835)*860)/10)+('Form Sa1'!GNF814*'Form Sa1'!GNF816/10)-'NF - 5 Power Mix'!GNC21-'NF - 5 Power Mix'!GNC22</f>
        <v>0</v>
      </c>
      <c r="GND42" s="1046">
        <f>GND38+((GND40+'NF - 5 Power Mix'!GND14+'NF - 5 Power Mix'!GND15)*860/10)+((('Form Sa1'!GNG835)*860)/10)+('Form Sa1'!GNG814*'Form Sa1'!GNG816/10)-'NF - 5 Power Mix'!GND21-'NF - 5 Power Mix'!GND22</f>
        <v>0</v>
      </c>
      <c r="GNE42" s="1046">
        <f>GNE38+((GNE40+'NF - 5 Power Mix'!GNE14+'NF - 5 Power Mix'!GNE15)*860/10)+((('Form Sa1'!GNH835)*860)/10)+('Form Sa1'!GNH814*'Form Sa1'!GNH816/10)-'NF - 5 Power Mix'!GNE21-'NF - 5 Power Mix'!GNE22</f>
        <v>0</v>
      </c>
      <c r="GNF42" s="1046">
        <f>GNF38+((GNF40+'NF - 5 Power Mix'!GNF14+'NF - 5 Power Mix'!GNF15)*860/10)+((('Form Sa1'!GNI835)*860)/10)+('Form Sa1'!GNI814*'Form Sa1'!GNI816/10)-'NF - 5 Power Mix'!GNF21-'NF - 5 Power Mix'!GNF22</f>
        <v>0</v>
      </c>
      <c r="GNG42" s="1046">
        <f>GNG38+((GNG40+'NF - 5 Power Mix'!GNG14+'NF - 5 Power Mix'!GNG15)*860/10)+((('Form Sa1'!GNJ835)*860)/10)+('Form Sa1'!GNJ814*'Form Sa1'!GNJ816/10)-'NF - 5 Power Mix'!GNG21-'NF - 5 Power Mix'!GNG22</f>
        <v>0</v>
      </c>
      <c r="GNH42" s="1046">
        <f>GNH38+((GNH40+'NF - 5 Power Mix'!GNH14+'NF - 5 Power Mix'!GNH15)*860/10)+((('Form Sa1'!GNK835)*860)/10)+('Form Sa1'!GNK814*'Form Sa1'!GNK816/10)-'NF - 5 Power Mix'!GNH21-'NF - 5 Power Mix'!GNH22</f>
        <v>0</v>
      </c>
      <c r="GNI42" s="1046">
        <f>GNI38+((GNI40+'NF - 5 Power Mix'!GNI14+'NF - 5 Power Mix'!GNI15)*860/10)+((('Form Sa1'!GNL835)*860)/10)+('Form Sa1'!GNL814*'Form Sa1'!GNL816/10)-'NF - 5 Power Mix'!GNI21-'NF - 5 Power Mix'!GNI22</f>
        <v>0</v>
      </c>
      <c r="GNJ42" s="1046">
        <f>GNJ38+((GNJ40+'NF - 5 Power Mix'!GNJ14+'NF - 5 Power Mix'!GNJ15)*860/10)+((('Form Sa1'!GNM835)*860)/10)+('Form Sa1'!GNM814*'Form Sa1'!GNM816/10)-'NF - 5 Power Mix'!GNJ21-'NF - 5 Power Mix'!GNJ22</f>
        <v>0</v>
      </c>
      <c r="GNK42" s="1046">
        <f>GNK38+((GNK40+'NF - 5 Power Mix'!GNK14+'NF - 5 Power Mix'!GNK15)*860/10)+((('Form Sa1'!GNN835)*860)/10)+('Form Sa1'!GNN814*'Form Sa1'!GNN816/10)-'NF - 5 Power Mix'!GNK21-'NF - 5 Power Mix'!GNK22</f>
        <v>0</v>
      </c>
      <c r="GNL42" s="1046">
        <f>GNL38+((GNL40+'NF - 5 Power Mix'!GNL14+'NF - 5 Power Mix'!GNL15)*860/10)+((('Form Sa1'!GNO835)*860)/10)+('Form Sa1'!GNO814*'Form Sa1'!GNO816/10)-'NF - 5 Power Mix'!GNL21-'NF - 5 Power Mix'!GNL22</f>
        <v>0</v>
      </c>
      <c r="GNM42" s="1046">
        <f>GNM38+((GNM40+'NF - 5 Power Mix'!GNM14+'NF - 5 Power Mix'!GNM15)*860/10)+((('Form Sa1'!GNP835)*860)/10)+('Form Sa1'!GNP814*'Form Sa1'!GNP816/10)-'NF - 5 Power Mix'!GNM21-'NF - 5 Power Mix'!GNM22</f>
        <v>0</v>
      </c>
      <c r="GNN42" s="1046">
        <f>GNN38+((GNN40+'NF - 5 Power Mix'!GNN14+'NF - 5 Power Mix'!GNN15)*860/10)+((('Form Sa1'!GNQ835)*860)/10)+('Form Sa1'!GNQ814*'Form Sa1'!GNQ816/10)-'NF - 5 Power Mix'!GNN21-'NF - 5 Power Mix'!GNN22</f>
        <v>0</v>
      </c>
      <c r="GNO42" s="1046">
        <f>GNO38+((GNO40+'NF - 5 Power Mix'!GNO14+'NF - 5 Power Mix'!GNO15)*860/10)+((('Form Sa1'!GNR835)*860)/10)+('Form Sa1'!GNR814*'Form Sa1'!GNR816/10)-'NF - 5 Power Mix'!GNO21-'NF - 5 Power Mix'!GNO22</f>
        <v>0</v>
      </c>
      <c r="GNP42" s="1046">
        <f>GNP38+((GNP40+'NF - 5 Power Mix'!GNP14+'NF - 5 Power Mix'!GNP15)*860/10)+((('Form Sa1'!GNS835)*860)/10)+('Form Sa1'!GNS814*'Form Sa1'!GNS816/10)-'NF - 5 Power Mix'!GNP21-'NF - 5 Power Mix'!GNP22</f>
        <v>0</v>
      </c>
      <c r="GNQ42" s="1046">
        <f>GNQ38+((GNQ40+'NF - 5 Power Mix'!GNQ14+'NF - 5 Power Mix'!GNQ15)*860/10)+((('Form Sa1'!GNT835)*860)/10)+('Form Sa1'!GNT814*'Form Sa1'!GNT816/10)-'NF - 5 Power Mix'!GNQ21-'NF - 5 Power Mix'!GNQ22</f>
        <v>0</v>
      </c>
      <c r="GNR42" s="1046">
        <f>GNR38+((GNR40+'NF - 5 Power Mix'!GNR14+'NF - 5 Power Mix'!GNR15)*860/10)+((('Form Sa1'!GNU835)*860)/10)+('Form Sa1'!GNU814*'Form Sa1'!GNU816/10)-'NF - 5 Power Mix'!GNR21-'NF - 5 Power Mix'!GNR22</f>
        <v>0</v>
      </c>
      <c r="GNS42" s="1046">
        <f>GNS38+((GNS40+'NF - 5 Power Mix'!GNS14+'NF - 5 Power Mix'!GNS15)*860/10)+((('Form Sa1'!GNV835)*860)/10)+('Form Sa1'!GNV814*'Form Sa1'!GNV816/10)-'NF - 5 Power Mix'!GNS21-'NF - 5 Power Mix'!GNS22</f>
        <v>0</v>
      </c>
      <c r="GNT42" s="1046">
        <f>GNT38+((GNT40+'NF - 5 Power Mix'!GNT14+'NF - 5 Power Mix'!GNT15)*860/10)+((('Form Sa1'!GNW835)*860)/10)+('Form Sa1'!GNW814*'Form Sa1'!GNW816/10)-'NF - 5 Power Mix'!GNT21-'NF - 5 Power Mix'!GNT22</f>
        <v>0</v>
      </c>
      <c r="GNU42" s="1046">
        <f>GNU38+((GNU40+'NF - 5 Power Mix'!GNU14+'NF - 5 Power Mix'!GNU15)*860/10)+((('Form Sa1'!GNX835)*860)/10)+('Form Sa1'!GNX814*'Form Sa1'!GNX816/10)-'NF - 5 Power Mix'!GNU21-'NF - 5 Power Mix'!GNU22</f>
        <v>0</v>
      </c>
      <c r="GNV42" s="1046">
        <f>GNV38+((GNV40+'NF - 5 Power Mix'!GNV14+'NF - 5 Power Mix'!GNV15)*860/10)+((('Form Sa1'!GNY835)*860)/10)+('Form Sa1'!GNY814*'Form Sa1'!GNY816/10)-'NF - 5 Power Mix'!GNV21-'NF - 5 Power Mix'!GNV22</f>
        <v>0</v>
      </c>
      <c r="GNW42" s="1046">
        <f>GNW38+((GNW40+'NF - 5 Power Mix'!GNW14+'NF - 5 Power Mix'!GNW15)*860/10)+((('Form Sa1'!GNZ835)*860)/10)+('Form Sa1'!GNZ814*'Form Sa1'!GNZ816/10)-'NF - 5 Power Mix'!GNW21-'NF - 5 Power Mix'!GNW22</f>
        <v>0</v>
      </c>
      <c r="GNX42" s="1046">
        <f>GNX38+((GNX40+'NF - 5 Power Mix'!GNX14+'NF - 5 Power Mix'!GNX15)*860/10)+((('Form Sa1'!GOA835)*860)/10)+('Form Sa1'!GOA814*'Form Sa1'!GOA816/10)-'NF - 5 Power Mix'!GNX21-'NF - 5 Power Mix'!GNX22</f>
        <v>0</v>
      </c>
      <c r="GNY42" s="1046">
        <f>GNY38+((GNY40+'NF - 5 Power Mix'!GNY14+'NF - 5 Power Mix'!GNY15)*860/10)+((('Form Sa1'!GOB835)*860)/10)+('Form Sa1'!GOB814*'Form Sa1'!GOB816/10)-'NF - 5 Power Mix'!GNY21-'NF - 5 Power Mix'!GNY22</f>
        <v>0</v>
      </c>
      <c r="GNZ42" s="1046">
        <f>GNZ38+((GNZ40+'NF - 5 Power Mix'!GNZ14+'NF - 5 Power Mix'!GNZ15)*860/10)+((('Form Sa1'!GOC835)*860)/10)+('Form Sa1'!GOC814*'Form Sa1'!GOC816/10)-'NF - 5 Power Mix'!GNZ21-'NF - 5 Power Mix'!GNZ22</f>
        <v>0</v>
      </c>
      <c r="GOA42" s="1046">
        <f>GOA38+((GOA40+'NF - 5 Power Mix'!GOA14+'NF - 5 Power Mix'!GOA15)*860/10)+((('Form Sa1'!GOD835)*860)/10)+('Form Sa1'!GOD814*'Form Sa1'!GOD816/10)-'NF - 5 Power Mix'!GOA21-'NF - 5 Power Mix'!GOA22</f>
        <v>0</v>
      </c>
      <c r="GOB42" s="1046">
        <f>GOB38+((GOB40+'NF - 5 Power Mix'!GOB14+'NF - 5 Power Mix'!GOB15)*860/10)+((('Form Sa1'!GOE835)*860)/10)+('Form Sa1'!GOE814*'Form Sa1'!GOE816/10)-'NF - 5 Power Mix'!GOB21-'NF - 5 Power Mix'!GOB22</f>
        <v>0</v>
      </c>
      <c r="GOC42" s="1046">
        <f>GOC38+((GOC40+'NF - 5 Power Mix'!GOC14+'NF - 5 Power Mix'!GOC15)*860/10)+((('Form Sa1'!GOF835)*860)/10)+('Form Sa1'!GOF814*'Form Sa1'!GOF816/10)-'NF - 5 Power Mix'!GOC21-'NF - 5 Power Mix'!GOC22</f>
        <v>0</v>
      </c>
      <c r="GOD42" s="1046">
        <f>GOD38+((GOD40+'NF - 5 Power Mix'!GOD14+'NF - 5 Power Mix'!GOD15)*860/10)+((('Form Sa1'!GOG835)*860)/10)+('Form Sa1'!GOG814*'Form Sa1'!GOG816/10)-'NF - 5 Power Mix'!GOD21-'NF - 5 Power Mix'!GOD22</f>
        <v>0</v>
      </c>
      <c r="GOE42" s="1046">
        <f>GOE38+((GOE40+'NF - 5 Power Mix'!GOE14+'NF - 5 Power Mix'!GOE15)*860/10)+((('Form Sa1'!GOH835)*860)/10)+('Form Sa1'!GOH814*'Form Sa1'!GOH816/10)-'NF - 5 Power Mix'!GOE21-'NF - 5 Power Mix'!GOE22</f>
        <v>0</v>
      </c>
      <c r="GOF42" s="1046">
        <f>GOF38+((GOF40+'NF - 5 Power Mix'!GOF14+'NF - 5 Power Mix'!GOF15)*860/10)+((('Form Sa1'!GOI835)*860)/10)+('Form Sa1'!GOI814*'Form Sa1'!GOI816/10)-'NF - 5 Power Mix'!GOF21-'NF - 5 Power Mix'!GOF22</f>
        <v>0</v>
      </c>
      <c r="GOG42" s="1046">
        <f>GOG38+((GOG40+'NF - 5 Power Mix'!GOG14+'NF - 5 Power Mix'!GOG15)*860/10)+((('Form Sa1'!GOJ835)*860)/10)+('Form Sa1'!GOJ814*'Form Sa1'!GOJ816/10)-'NF - 5 Power Mix'!GOG21-'NF - 5 Power Mix'!GOG22</f>
        <v>0</v>
      </c>
      <c r="GOH42" s="1046">
        <f>GOH38+((GOH40+'NF - 5 Power Mix'!GOH14+'NF - 5 Power Mix'!GOH15)*860/10)+((('Form Sa1'!GOK835)*860)/10)+('Form Sa1'!GOK814*'Form Sa1'!GOK816/10)-'NF - 5 Power Mix'!GOH21-'NF - 5 Power Mix'!GOH22</f>
        <v>0</v>
      </c>
      <c r="GOI42" s="1046">
        <f>GOI38+((GOI40+'NF - 5 Power Mix'!GOI14+'NF - 5 Power Mix'!GOI15)*860/10)+((('Form Sa1'!GOL835)*860)/10)+('Form Sa1'!GOL814*'Form Sa1'!GOL816/10)-'NF - 5 Power Mix'!GOI21-'NF - 5 Power Mix'!GOI22</f>
        <v>0</v>
      </c>
      <c r="GOJ42" s="1046">
        <f>GOJ38+((GOJ40+'NF - 5 Power Mix'!GOJ14+'NF - 5 Power Mix'!GOJ15)*860/10)+((('Form Sa1'!GOM835)*860)/10)+('Form Sa1'!GOM814*'Form Sa1'!GOM816/10)-'NF - 5 Power Mix'!GOJ21-'NF - 5 Power Mix'!GOJ22</f>
        <v>0</v>
      </c>
      <c r="GOK42" s="1046">
        <f>GOK38+((GOK40+'NF - 5 Power Mix'!GOK14+'NF - 5 Power Mix'!GOK15)*860/10)+((('Form Sa1'!GON835)*860)/10)+('Form Sa1'!GON814*'Form Sa1'!GON816/10)-'NF - 5 Power Mix'!GOK21-'NF - 5 Power Mix'!GOK22</f>
        <v>0</v>
      </c>
      <c r="GOL42" s="1046">
        <f>GOL38+((GOL40+'NF - 5 Power Mix'!GOL14+'NF - 5 Power Mix'!GOL15)*860/10)+((('Form Sa1'!GOO835)*860)/10)+('Form Sa1'!GOO814*'Form Sa1'!GOO816/10)-'NF - 5 Power Mix'!GOL21-'NF - 5 Power Mix'!GOL22</f>
        <v>0</v>
      </c>
      <c r="GOM42" s="1046">
        <f>GOM38+((GOM40+'NF - 5 Power Mix'!GOM14+'NF - 5 Power Mix'!GOM15)*860/10)+((('Form Sa1'!GOP835)*860)/10)+('Form Sa1'!GOP814*'Form Sa1'!GOP816/10)-'NF - 5 Power Mix'!GOM21-'NF - 5 Power Mix'!GOM22</f>
        <v>0</v>
      </c>
      <c r="GON42" s="1046">
        <f>GON38+((GON40+'NF - 5 Power Mix'!GON14+'NF - 5 Power Mix'!GON15)*860/10)+((('Form Sa1'!GOQ835)*860)/10)+('Form Sa1'!GOQ814*'Form Sa1'!GOQ816/10)-'NF - 5 Power Mix'!GON21-'NF - 5 Power Mix'!GON22</f>
        <v>0</v>
      </c>
      <c r="GOO42" s="1046">
        <f>GOO38+((GOO40+'NF - 5 Power Mix'!GOO14+'NF - 5 Power Mix'!GOO15)*860/10)+((('Form Sa1'!GOR835)*860)/10)+('Form Sa1'!GOR814*'Form Sa1'!GOR816/10)-'NF - 5 Power Mix'!GOO21-'NF - 5 Power Mix'!GOO22</f>
        <v>0</v>
      </c>
      <c r="GOP42" s="1046">
        <f>GOP38+((GOP40+'NF - 5 Power Mix'!GOP14+'NF - 5 Power Mix'!GOP15)*860/10)+((('Form Sa1'!GOS835)*860)/10)+('Form Sa1'!GOS814*'Form Sa1'!GOS816/10)-'NF - 5 Power Mix'!GOP21-'NF - 5 Power Mix'!GOP22</f>
        <v>0</v>
      </c>
      <c r="GOQ42" s="1046">
        <f>GOQ38+((GOQ40+'NF - 5 Power Mix'!GOQ14+'NF - 5 Power Mix'!GOQ15)*860/10)+((('Form Sa1'!GOT835)*860)/10)+('Form Sa1'!GOT814*'Form Sa1'!GOT816/10)-'NF - 5 Power Mix'!GOQ21-'NF - 5 Power Mix'!GOQ22</f>
        <v>0</v>
      </c>
      <c r="GOR42" s="1046">
        <f>GOR38+((GOR40+'NF - 5 Power Mix'!GOR14+'NF - 5 Power Mix'!GOR15)*860/10)+((('Form Sa1'!GOU835)*860)/10)+('Form Sa1'!GOU814*'Form Sa1'!GOU816/10)-'NF - 5 Power Mix'!GOR21-'NF - 5 Power Mix'!GOR22</f>
        <v>0</v>
      </c>
      <c r="GOS42" s="1046">
        <f>GOS38+((GOS40+'NF - 5 Power Mix'!GOS14+'NF - 5 Power Mix'!GOS15)*860/10)+((('Form Sa1'!GOV835)*860)/10)+('Form Sa1'!GOV814*'Form Sa1'!GOV816/10)-'NF - 5 Power Mix'!GOS21-'NF - 5 Power Mix'!GOS22</f>
        <v>0</v>
      </c>
      <c r="GOT42" s="1046">
        <f>GOT38+((GOT40+'NF - 5 Power Mix'!GOT14+'NF - 5 Power Mix'!GOT15)*860/10)+((('Form Sa1'!GOW835)*860)/10)+('Form Sa1'!GOW814*'Form Sa1'!GOW816/10)-'NF - 5 Power Mix'!GOT21-'NF - 5 Power Mix'!GOT22</f>
        <v>0</v>
      </c>
      <c r="GOU42" s="1046">
        <f>GOU38+((GOU40+'NF - 5 Power Mix'!GOU14+'NF - 5 Power Mix'!GOU15)*860/10)+((('Form Sa1'!GOX835)*860)/10)+('Form Sa1'!GOX814*'Form Sa1'!GOX816/10)-'NF - 5 Power Mix'!GOU21-'NF - 5 Power Mix'!GOU22</f>
        <v>0</v>
      </c>
      <c r="GOV42" s="1046">
        <f>GOV38+((GOV40+'NF - 5 Power Mix'!GOV14+'NF - 5 Power Mix'!GOV15)*860/10)+((('Form Sa1'!GOY835)*860)/10)+('Form Sa1'!GOY814*'Form Sa1'!GOY816/10)-'NF - 5 Power Mix'!GOV21-'NF - 5 Power Mix'!GOV22</f>
        <v>0</v>
      </c>
      <c r="GOW42" s="1046">
        <f>GOW38+((GOW40+'NF - 5 Power Mix'!GOW14+'NF - 5 Power Mix'!GOW15)*860/10)+((('Form Sa1'!GOZ835)*860)/10)+('Form Sa1'!GOZ814*'Form Sa1'!GOZ816/10)-'NF - 5 Power Mix'!GOW21-'NF - 5 Power Mix'!GOW22</f>
        <v>0</v>
      </c>
      <c r="GOX42" s="1046">
        <f>GOX38+((GOX40+'NF - 5 Power Mix'!GOX14+'NF - 5 Power Mix'!GOX15)*860/10)+((('Form Sa1'!GPA835)*860)/10)+('Form Sa1'!GPA814*'Form Sa1'!GPA816/10)-'NF - 5 Power Mix'!GOX21-'NF - 5 Power Mix'!GOX22</f>
        <v>0</v>
      </c>
      <c r="GOY42" s="1046">
        <f>GOY38+((GOY40+'NF - 5 Power Mix'!GOY14+'NF - 5 Power Mix'!GOY15)*860/10)+((('Form Sa1'!GPB835)*860)/10)+('Form Sa1'!GPB814*'Form Sa1'!GPB816/10)-'NF - 5 Power Mix'!GOY21-'NF - 5 Power Mix'!GOY22</f>
        <v>0</v>
      </c>
      <c r="GOZ42" s="1046">
        <f>GOZ38+((GOZ40+'NF - 5 Power Mix'!GOZ14+'NF - 5 Power Mix'!GOZ15)*860/10)+((('Form Sa1'!GPC835)*860)/10)+('Form Sa1'!GPC814*'Form Sa1'!GPC816/10)-'NF - 5 Power Mix'!GOZ21-'NF - 5 Power Mix'!GOZ22</f>
        <v>0</v>
      </c>
      <c r="GPA42" s="1046">
        <f>GPA38+((GPA40+'NF - 5 Power Mix'!GPA14+'NF - 5 Power Mix'!GPA15)*860/10)+((('Form Sa1'!GPD835)*860)/10)+('Form Sa1'!GPD814*'Form Sa1'!GPD816/10)-'NF - 5 Power Mix'!GPA21-'NF - 5 Power Mix'!GPA22</f>
        <v>0</v>
      </c>
      <c r="GPB42" s="1046">
        <f>GPB38+((GPB40+'NF - 5 Power Mix'!GPB14+'NF - 5 Power Mix'!GPB15)*860/10)+((('Form Sa1'!GPE835)*860)/10)+('Form Sa1'!GPE814*'Form Sa1'!GPE816/10)-'NF - 5 Power Mix'!GPB21-'NF - 5 Power Mix'!GPB22</f>
        <v>0</v>
      </c>
      <c r="GPC42" s="1046">
        <f>GPC38+((GPC40+'NF - 5 Power Mix'!GPC14+'NF - 5 Power Mix'!GPC15)*860/10)+((('Form Sa1'!GPF835)*860)/10)+('Form Sa1'!GPF814*'Form Sa1'!GPF816/10)-'NF - 5 Power Mix'!GPC21-'NF - 5 Power Mix'!GPC22</f>
        <v>0</v>
      </c>
      <c r="GPD42" s="1046">
        <f>GPD38+((GPD40+'NF - 5 Power Mix'!GPD14+'NF - 5 Power Mix'!GPD15)*860/10)+((('Form Sa1'!GPG835)*860)/10)+('Form Sa1'!GPG814*'Form Sa1'!GPG816/10)-'NF - 5 Power Mix'!GPD21-'NF - 5 Power Mix'!GPD22</f>
        <v>0</v>
      </c>
      <c r="GPE42" s="1046">
        <f>GPE38+((GPE40+'NF - 5 Power Mix'!GPE14+'NF - 5 Power Mix'!GPE15)*860/10)+((('Form Sa1'!GPH835)*860)/10)+('Form Sa1'!GPH814*'Form Sa1'!GPH816/10)-'NF - 5 Power Mix'!GPE21-'NF - 5 Power Mix'!GPE22</f>
        <v>0</v>
      </c>
      <c r="GPF42" s="1046">
        <f>GPF38+((GPF40+'NF - 5 Power Mix'!GPF14+'NF - 5 Power Mix'!GPF15)*860/10)+((('Form Sa1'!GPI835)*860)/10)+('Form Sa1'!GPI814*'Form Sa1'!GPI816/10)-'NF - 5 Power Mix'!GPF21-'NF - 5 Power Mix'!GPF22</f>
        <v>0</v>
      </c>
      <c r="GPG42" s="1046">
        <f>GPG38+((GPG40+'NF - 5 Power Mix'!GPG14+'NF - 5 Power Mix'!GPG15)*860/10)+((('Form Sa1'!GPJ835)*860)/10)+('Form Sa1'!GPJ814*'Form Sa1'!GPJ816/10)-'NF - 5 Power Mix'!GPG21-'NF - 5 Power Mix'!GPG22</f>
        <v>0</v>
      </c>
      <c r="GPH42" s="1046">
        <f>GPH38+((GPH40+'NF - 5 Power Mix'!GPH14+'NF - 5 Power Mix'!GPH15)*860/10)+((('Form Sa1'!GPK835)*860)/10)+('Form Sa1'!GPK814*'Form Sa1'!GPK816/10)-'NF - 5 Power Mix'!GPH21-'NF - 5 Power Mix'!GPH22</f>
        <v>0</v>
      </c>
      <c r="GPI42" s="1046">
        <f>GPI38+((GPI40+'NF - 5 Power Mix'!GPI14+'NF - 5 Power Mix'!GPI15)*860/10)+((('Form Sa1'!GPL835)*860)/10)+('Form Sa1'!GPL814*'Form Sa1'!GPL816/10)-'NF - 5 Power Mix'!GPI21-'NF - 5 Power Mix'!GPI22</f>
        <v>0</v>
      </c>
      <c r="GPJ42" s="1046">
        <f>GPJ38+((GPJ40+'NF - 5 Power Mix'!GPJ14+'NF - 5 Power Mix'!GPJ15)*860/10)+((('Form Sa1'!GPM835)*860)/10)+('Form Sa1'!GPM814*'Form Sa1'!GPM816/10)-'NF - 5 Power Mix'!GPJ21-'NF - 5 Power Mix'!GPJ22</f>
        <v>0</v>
      </c>
      <c r="GPK42" s="1046">
        <f>GPK38+((GPK40+'NF - 5 Power Mix'!GPK14+'NF - 5 Power Mix'!GPK15)*860/10)+((('Form Sa1'!GPN835)*860)/10)+('Form Sa1'!GPN814*'Form Sa1'!GPN816/10)-'NF - 5 Power Mix'!GPK21-'NF - 5 Power Mix'!GPK22</f>
        <v>0</v>
      </c>
      <c r="GPL42" s="1046">
        <f>GPL38+((GPL40+'NF - 5 Power Mix'!GPL14+'NF - 5 Power Mix'!GPL15)*860/10)+((('Form Sa1'!GPO835)*860)/10)+('Form Sa1'!GPO814*'Form Sa1'!GPO816/10)-'NF - 5 Power Mix'!GPL21-'NF - 5 Power Mix'!GPL22</f>
        <v>0</v>
      </c>
      <c r="GPM42" s="1046">
        <f>GPM38+((GPM40+'NF - 5 Power Mix'!GPM14+'NF - 5 Power Mix'!GPM15)*860/10)+((('Form Sa1'!GPP835)*860)/10)+('Form Sa1'!GPP814*'Form Sa1'!GPP816/10)-'NF - 5 Power Mix'!GPM21-'NF - 5 Power Mix'!GPM22</f>
        <v>0</v>
      </c>
      <c r="GPN42" s="1046">
        <f>GPN38+((GPN40+'NF - 5 Power Mix'!GPN14+'NF - 5 Power Mix'!GPN15)*860/10)+((('Form Sa1'!GPQ835)*860)/10)+('Form Sa1'!GPQ814*'Form Sa1'!GPQ816/10)-'NF - 5 Power Mix'!GPN21-'NF - 5 Power Mix'!GPN22</f>
        <v>0</v>
      </c>
      <c r="GPO42" s="1046">
        <f>GPO38+((GPO40+'NF - 5 Power Mix'!GPO14+'NF - 5 Power Mix'!GPO15)*860/10)+((('Form Sa1'!GPR835)*860)/10)+('Form Sa1'!GPR814*'Form Sa1'!GPR816/10)-'NF - 5 Power Mix'!GPO21-'NF - 5 Power Mix'!GPO22</f>
        <v>0</v>
      </c>
      <c r="GPP42" s="1046">
        <f>GPP38+((GPP40+'NF - 5 Power Mix'!GPP14+'NF - 5 Power Mix'!GPP15)*860/10)+((('Form Sa1'!GPS835)*860)/10)+('Form Sa1'!GPS814*'Form Sa1'!GPS816/10)-'NF - 5 Power Mix'!GPP21-'NF - 5 Power Mix'!GPP22</f>
        <v>0</v>
      </c>
      <c r="GPQ42" s="1046">
        <f>GPQ38+((GPQ40+'NF - 5 Power Mix'!GPQ14+'NF - 5 Power Mix'!GPQ15)*860/10)+((('Form Sa1'!GPT835)*860)/10)+('Form Sa1'!GPT814*'Form Sa1'!GPT816/10)-'NF - 5 Power Mix'!GPQ21-'NF - 5 Power Mix'!GPQ22</f>
        <v>0</v>
      </c>
      <c r="GPR42" s="1046">
        <f>GPR38+((GPR40+'NF - 5 Power Mix'!GPR14+'NF - 5 Power Mix'!GPR15)*860/10)+((('Form Sa1'!GPU835)*860)/10)+('Form Sa1'!GPU814*'Form Sa1'!GPU816/10)-'NF - 5 Power Mix'!GPR21-'NF - 5 Power Mix'!GPR22</f>
        <v>0</v>
      </c>
      <c r="GPS42" s="1046">
        <f>GPS38+((GPS40+'NF - 5 Power Mix'!GPS14+'NF - 5 Power Mix'!GPS15)*860/10)+((('Form Sa1'!GPV835)*860)/10)+('Form Sa1'!GPV814*'Form Sa1'!GPV816/10)-'NF - 5 Power Mix'!GPS21-'NF - 5 Power Mix'!GPS22</f>
        <v>0</v>
      </c>
      <c r="GPT42" s="1046">
        <f>GPT38+((GPT40+'NF - 5 Power Mix'!GPT14+'NF - 5 Power Mix'!GPT15)*860/10)+((('Form Sa1'!GPW835)*860)/10)+('Form Sa1'!GPW814*'Form Sa1'!GPW816/10)-'NF - 5 Power Mix'!GPT21-'NF - 5 Power Mix'!GPT22</f>
        <v>0</v>
      </c>
      <c r="GPU42" s="1046">
        <f>GPU38+((GPU40+'NF - 5 Power Mix'!GPU14+'NF - 5 Power Mix'!GPU15)*860/10)+((('Form Sa1'!GPX835)*860)/10)+('Form Sa1'!GPX814*'Form Sa1'!GPX816/10)-'NF - 5 Power Mix'!GPU21-'NF - 5 Power Mix'!GPU22</f>
        <v>0</v>
      </c>
      <c r="GPV42" s="1046">
        <f>GPV38+((GPV40+'NF - 5 Power Mix'!GPV14+'NF - 5 Power Mix'!GPV15)*860/10)+((('Form Sa1'!GPY835)*860)/10)+('Form Sa1'!GPY814*'Form Sa1'!GPY816/10)-'NF - 5 Power Mix'!GPV21-'NF - 5 Power Mix'!GPV22</f>
        <v>0</v>
      </c>
      <c r="GPW42" s="1046">
        <f>GPW38+((GPW40+'NF - 5 Power Mix'!GPW14+'NF - 5 Power Mix'!GPW15)*860/10)+((('Form Sa1'!GPZ835)*860)/10)+('Form Sa1'!GPZ814*'Form Sa1'!GPZ816/10)-'NF - 5 Power Mix'!GPW21-'NF - 5 Power Mix'!GPW22</f>
        <v>0</v>
      </c>
      <c r="GPX42" s="1046">
        <f>GPX38+((GPX40+'NF - 5 Power Mix'!GPX14+'NF - 5 Power Mix'!GPX15)*860/10)+((('Form Sa1'!GQA835)*860)/10)+('Form Sa1'!GQA814*'Form Sa1'!GQA816/10)-'NF - 5 Power Mix'!GPX21-'NF - 5 Power Mix'!GPX22</f>
        <v>0</v>
      </c>
      <c r="GPY42" s="1046">
        <f>GPY38+((GPY40+'NF - 5 Power Mix'!GPY14+'NF - 5 Power Mix'!GPY15)*860/10)+((('Form Sa1'!GQB835)*860)/10)+('Form Sa1'!GQB814*'Form Sa1'!GQB816/10)-'NF - 5 Power Mix'!GPY21-'NF - 5 Power Mix'!GPY22</f>
        <v>0</v>
      </c>
      <c r="GPZ42" s="1046">
        <f>GPZ38+((GPZ40+'NF - 5 Power Mix'!GPZ14+'NF - 5 Power Mix'!GPZ15)*860/10)+((('Form Sa1'!GQC835)*860)/10)+('Form Sa1'!GQC814*'Form Sa1'!GQC816/10)-'NF - 5 Power Mix'!GPZ21-'NF - 5 Power Mix'!GPZ22</f>
        <v>0</v>
      </c>
      <c r="GQA42" s="1046">
        <f>GQA38+((GQA40+'NF - 5 Power Mix'!GQA14+'NF - 5 Power Mix'!GQA15)*860/10)+((('Form Sa1'!GQD835)*860)/10)+('Form Sa1'!GQD814*'Form Sa1'!GQD816/10)-'NF - 5 Power Mix'!GQA21-'NF - 5 Power Mix'!GQA22</f>
        <v>0</v>
      </c>
      <c r="GQB42" s="1046">
        <f>GQB38+((GQB40+'NF - 5 Power Mix'!GQB14+'NF - 5 Power Mix'!GQB15)*860/10)+((('Form Sa1'!GQE835)*860)/10)+('Form Sa1'!GQE814*'Form Sa1'!GQE816/10)-'NF - 5 Power Mix'!GQB21-'NF - 5 Power Mix'!GQB22</f>
        <v>0</v>
      </c>
      <c r="GQC42" s="1046">
        <f>GQC38+((GQC40+'NF - 5 Power Mix'!GQC14+'NF - 5 Power Mix'!GQC15)*860/10)+((('Form Sa1'!GQF835)*860)/10)+('Form Sa1'!GQF814*'Form Sa1'!GQF816/10)-'NF - 5 Power Mix'!GQC21-'NF - 5 Power Mix'!GQC22</f>
        <v>0</v>
      </c>
      <c r="GQD42" s="1046">
        <f>GQD38+((GQD40+'NF - 5 Power Mix'!GQD14+'NF - 5 Power Mix'!GQD15)*860/10)+((('Form Sa1'!GQG835)*860)/10)+('Form Sa1'!GQG814*'Form Sa1'!GQG816/10)-'NF - 5 Power Mix'!GQD21-'NF - 5 Power Mix'!GQD22</f>
        <v>0</v>
      </c>
      <c r="GQE42" s="1046">
        <f>GQE38+((GQE40+'NF - 5 Power Mix'!GQE14+'NF - 5 Power Mix'!GQE15)*860/10)+((('Form Sa1'!GQH835)*860)/10)+('Form Sa1'!GQH814*'Form Sa1'!GQH816/10)-'NF - 5 Power Mix'!GQE21-'NF - 5 Power Mix'!GQE22</f>
        <v>0</v>
      </c>
      <c r="GQF42" s="1046">
        <f>GQF38+((GQF40+'NF - 5 Power Mix'!GQF14+'NF - 5 Power Mix'!GQF15)*860/10)+((('Form Sa1'!GQI835)*860)/10)+('Form Sa1'!GQI814*'Form Sa1'!GQI816/10)-'NF - 5 Power Mix'!GQF21-'NF - 5 Power Mix'!GQF22</f>
        <v>0</v>
      </c>
      <c r="GQG42" s="1046">
        <f>GQG38+((GQG40+'NF - 5 Power Mix'!GQG14+'NF - 5 Power Mix'!GQG15)*860/10)+((('Form Sa1'!GQJ835)*860)/10)+('Form Sa1'!GQJ814*'Form Sa1'!GQJ816/10)-'NF - 5 Power Mix'!GQG21-'NF - 5 Power Mix'!GQG22</f>
        <v>0</v>
      </c>
      <c r="GQH42" s="1046">
        <f>GQH38+((GQH40+'NF - 5 Power Mix'!GQH14+'NF - 5 Power Mix'!GQH15)*860/10)+((('Form Sa1'!GQK835)*860)/10)+('Form Sa1'!GQK814*'Form Sa1'!GQK816/10)-'NF - 5 Power Mix'!GQH21-'NF - 5 Power Mix'!GQH22</f>
        <v>0</v>
      </c>
      <c r="GQI42" s="1046">
        <f>GQI38+((GQI40+'NF - 5 Power Mix'!GQI14+'NF - 5 Power Mix'!GQI15)*860/10)+((('Form Sa1'!GQL835)*860)/10)+('Form Sa1'!GQL814*'Form Sa1'!GQL816/10)-'NF - 5 Power Mix'!GQI21-'NF - 5 Power Mix'!GQI22</f>
        <v>0</v>
      </c>
      <c r="GQJ42" s="1046">
        <f>GQJ38+((GQJ40+'NF - 5 Power Mix'!GQJ14+'NF - 5 Power Mix'!GQJ15)*860/10)+((('Form Sa1'!GQM835)*860)/10)+('Form Sa1'!GQM814*'Form Sa1'!GQM816/10)-'NF - 5 Power Mix'!GQJ21-'NF - 5 Power Mix'!GQJ22</f>
        <v>0</v>
      </c>
      <c r="GQK42" s="1046">
        <f>GQK38+((GQK40+'NF - 5 Power Mix'!GQK14+'NF - 5 Power Mix'!GQK15)*860/10)+((('Form Sa1'!GQN835)*860)/10)+('Form Sa1'!GQN814*'Form Sa1'!GQN816/10)-'NF - 5 Power Mix'!GQK21-'NF - 5 Power Mix'!GQK22</f>
        <v>0</v>
      </c>
      <c r="GQL42" s="1046">
        <f>GQL38+((GQL40+'NF - 5 Power Mix'!GQL14+'NF - 5 Power Mix'!GQL15)*860/10)+((('Form Sa1'!GQO835)*860)/10)+('Form Sa1'!GQO814*'Form Sa1'!GQO816/10)-'NF - 5 Power Mix'!GQL21-'NF - 5 Power Mix'!GQL22</f>
        <v>0</v>
      </c>
      <c r="GQM42" s="1046">
        <f>GQM38+((GQM40+'NF - 5 Power Mix'!GQM14+'NF - 5 Power Mix'!GQM15)*860/10)+((('Form Sa1'!GQP835)*860)/10)+('Form Sa1'!GQP814*'Form Sa1'!GQP816/10)-'NF - 5 Power Mix'!GQM21-'NF - 5 Power Mix'!GQM22</f>
        <v>0</v>
      </c>
      <c r="GQN42" s="1046">
        <f>GQN38+((GQN40+'NF - 5 Power Mix'!GQN14+'NF - 5 Power Mix'!GQN15)*860/10)+((('Form Sa1'!GQQ835)*860)/10)+('Form Sa1'!GQQ814*'Form Sa1'!GQQ816/10)-'NF - 5 Power Mix'!GQN21-'NF - 5 Power Mix'!GQN22</f>
        <v>0</v>
      </c>
      <c r="GQO42" s="1046">
        <f>GQO38+((GQO40+'NF - 5 Power Mix'!GQO14+'NF - 5 Power Mix'!GQO15)*860/10)+((('Form Sa1'!GQR835)*860)/10)+('Form Sa1'!GQR814*'Form Sa1'!GQR816/10)-'NF - 5 Power Mix'!GQO21-'NF - 5 Power Mix'!GQO22</f>
        <v>0</v>
      </c>
      <c r="GQP42" s="1046">
        <f>GQP38+((GQP40+'NF - 5 Power Mix'!GQP14+'NF - 5 Power Mix'!GQP15)*860/10)+((('Form Sa1'!GQS835)*860)/10)+('Form Sa1'!GQS814*'Form Sa1'!GQS816/10)-'NF - 5 Power Mix'!GQP21-'NF - 5 Power Mix'!GQP22</f>
        <v>0</v>
      </c>
      <c r="GQQ42" s="1046">
        <f>GQQ38+((GQQ40+'NF - 5 Power Mix'!GQQ14+'NF - 5 Power Mix'!GQQ15)*860/10)+((('Form Sa1'!GQT835)*860)/10)+('Form Sa1'!GQT814*'Form Sa1'!GQT816/10)-'NF - 5 Power Mix'!GQQ21-'NF - 5 Power Mix'!GQQ22</f>
        <v>0</v>
      </c>
      <c r="GQR42" s="1046">
        <f>GQR38+((GQR40+'NF - 5 Power Mix'!GQR14+'NF - 5 Power Mix'!GQR15)*860/10)+((('Form Sa1'!GQU835)*860)/10)+('Form Sa1'!GQU814*'Form Sa1'!GQU816/10)-'NF - 5 Power Mix'!GQR21-'NF - 5 Power Mix'!GQR22</f>
        <v>0</v>
      </c>
      <c r="GQS42" s="1046">
        <f>GQS38+((GQS40+'NF - 5 Power Mix'!GQS14+'NF - 5 Power Mix'!GQS15)*860/10)+((('Form Sa1'!GQV835)*860)/10)+('Form Sa1'!GQV814*'Form Sa1'!GQV816/10)-'NF - 5 Power Mix'!GQS21-'NF - 5 Power Mix'!GQS22</f>
        <v>0</v>
      </c>
      <c r="GQT42" s="1046">
        <f>GQT38+((GQT40+'NF - 5 Power Mix'!GQT14+'NF - 5 Power Mix'!GQT15)*860/10)+((('Form Sa1'!GQW835)*860)/10)+('Form Sa1'!GQW814*'Form Sa1'!GQW816/10)-'NF - 5 Power Mix'!GQT21-'NF - 5 Power Mix'!GQT22</f>
        <v>0</v>
      </c>
      <c r="GQU42" s="1046">
        <f>GQU38+((GQU40+'NF - 5 Power Mix'!GQU14+'NF - 5 Power Mix'!GQU15)*860/10)+((('Form Sa1'!GQX835)*860)/10)+('Form Sa1'!GQX814*'Form Sa1'!GQX816/10)-'NF - 5 Power Mix'!GQU21-'NF - 5 Power Mix'!GQU22</f>
        <v>0</v>
      </c>
      <c r="GQV42" s="1046">
        <f>GQV38+((GQV40+'NF - 5 Power Mix'!GQV14+'NF - 5 Power Mix'!GQV15)*860/10)+((('Form Sa1'!GQY835)*860)/10)+('Form Sa1'!GQY814*'Form Sa1'!GQY816/10)-'NF - 5 Power Mix'!GQV21-'NF - 5 Power Mix'!GQV22</f>
        <v>0</v>
      </c>
      <c r="GQW42" s="1046">
        <f>GQW38+((GQW40+'NF - 5 Power Mix'!GQW14+'NF - 5 Power Mix'!GQW15)*860/10)+((('Form Sa1'!GQZ835)*860)/10)+('Form Sa1'!GQZ814*'Form Sa1'!GQZ816/10)-'NF - 5 Power Mix'!GQW21-'NF - 5 Power Mix'!GQW22</f>
        <v>0</v>
      </c>
      <c r="GQX42" s="1046">
        <f>GQX38+((GQX40+'NF - 5 Power Mix'!GQX14+'NF - 5 Power Mix'!GQX15)*860/10)+((('Form Sa1'!GRA835)*860)/10)+('Form Sa1'!GRA814*'Form Sa1'!GRA816/10)-'NF - 5 Power Mix'!GQX21-'NF - 5 Power Mix'!GQX22</f>
        <v>0</v>
      </c>
      <c r="GQY42" s="1046">
        <f>GQY38+((GQY40+'NF - 5 Power Mix'!GQY14+'NF - 5 Power Mix'!GQY15)*860/10)+((('Form Sa1'!GRB835)*860)/10)+('Form Sa1'!GRB814*'Form Sa1'!GRB816/10)-'NF - 5 Power Mix'!GQY21-'NF - 5 Power Mix'!GQY22</f>
        <v>0</v>
      </c>
      <c r="GQZ42" s="1046">
        <f>GQZ38+((GQZ40+'NF - 5 Power Mix'!GQZ14+'NF - 5 Power Mix'!GQZ15)*860/10)+((('Form Sa1'!GRC835)*860)/10)+('Form Sa1'!GRC814*'Form Sa1'!GRC816/10)-'NF - 5 Power Mix'!GQZ21-'NF - 5 Power Mix'!GQZ22</f>
        <v>0</v>
      </c>
      <c r="GRA42" s="1046">
        <f>GRA38+((GRA40+'NF - 5 Power Mix'!GRA14+'NF - 5 Power Mix'!GRA15)*860/10)+((('Form Sa1'!GRD835)*860)/10)+('Form Sa1'!GRD814*'Form Sa1'!GRD816/10)-'NF - 5 Power Mix'!GRA21-'NF - 5 Power Mix'!GRA22</f>
        <v>0</v>
      </c>
      <c r="GRB42" s="1046">
        <f>GRB38+((GRB40+'NF - 5 Power Mix'!GRB14+'NF - 5 Power Mix'!GRB15)*860/10)+((('Form Sa1'!GRE835)*860)/10)+('Form Sa1'!GRE814*'Form Sa1'!GRE816/10)-'NF - 5 Power Mix'!GRB21-'NF - 5 Power Mix'!GRB22</f>
        <v>0</v>
      </c>
      <c r="GRC42" s="1046">
        <f>GRC38+((GRC40+'NF - 5 Power Mix'!GRC14+'NF - 5 Power Mix'!GRC15)*860/10)+((('Form Sa1'!GRF835)*860)/10)+('Form Sa1'!GRF814*'Form Sa1'!GRF816/10)-'NF - 5 Power Mix'!GRC21-'NF - 5 Power Mix'!GRC22</f>
        <v>0</v>
      </c>
      <c r="GRD42" s="1046">
        <f>GRD38+((GRD40+'NF - 5 Power Mix'!GRD14+'NF - 5 Power Mix'!GRD15)*860/10)+((('Form Sa1'!GRG835)*860)/10)+('Form Sa1'!GRG814*'Form Sa1'!GRG816/10)-'NF - 5 Power Mix'!GRD21-'NF - 5 Power Mix'!GRD22</f>
        <v>0</v>
      </c>
      <c r="GRE42" s="1046">
        <f>GRE38+((GRE40+'NF - 5 Power Mix'!GRE14+'NF - 5 Power Mix'!GRE15)*860/10)+((('Form Sa1'!GRH835)*860)/10)+('Form Sa1'!GRH814*'Form Sa1'!GRH816/10)-'NF - 5 Power Mix'!GRE21-'NF - 5 Power Mix'!GRE22</f>
        <v>0</v>
      </c>
      <c r="GRF42" s="1046">
        <f>GRF38+((GRF40+'NF - 5 Power Mix'!GRF14+'NF - 5 Power Mix'!GRF15)*860/10)+((('Form Sa1'!GRI835)*860)/10)+('Form Sa1'!GRI814*'Form Sa1'!GRI816/10)-'NF - 5 Power Mix'!GRF21-'NF - 5 Power Mix'!GRF22</f>
        <v>0</v>
      </c>
      <c r="GRG42" s="1046">
        <f>GRG38+((GRG40+'NF - 5 Power Mix'!GRG14+'NF - 5 Power Mix'!GRG15)*860/10)+((('Form Sa1'!GRJ835)*860)/10)+('Form Sa1'!GRJ814*'Form Sa1'!GRJ816/10)-'NF - 5 Power Mix'!GRG21-'NF - 5 Power Mix'!GRG22</f>
        <v>0</v>
      </c>
      <c r="GRH42" s="1046">
        <f>GRH38+((GRH40+'NF - 5 Power Mix'!GRH14+'NF - 5 Power Mix'!GRH15)*860/10)+((('Form Sa1'!GRK835)*860)/10)+('Form Sa1'!GRK814*'Form Sa1'!GRK816/10)-'NF - 5 Power Mix'!GRH21-'NF - 5 Power Mix'!GRH22</f>
        <v>0</v>
      </c>
      <c r="GRI42" s="1046">
        <f>GRI38+((GRI40+'NF - 5 Power Mix'!GRI14+'NF - 5 Power Mix'!GRI15)*860/10)+((('Form Sa1'!GRL835)*860)/10)+('Form Sa1'!GRL814*'Form Sa1'!GRL816/10)-'NF - 5 Power Mix'!GRI21-'NF - 5 Power Mix'!GRI22</f>
        <v>0</v>
      </c>
      <c r="GRJ42" s="1046">
        <f>GRJ38+((GRJ40+'NF - 5 Power Mix'!GRJ14+'NF - 5 Power Mix'!GRJ15)*860/10)+((('Form Sa1'!GRM835)*860)/10)+('Form Sa1'!GRM814*'Form Sa1'!GRM816/10)-'NF - 5 Power Mix'!GRJ21-'NF - 5 Power Mix'!GRJ22</f>
        <v>0</v>
      </c>
      <c r="GRK42" s="1046">
        <f>GRK38+((GRK40+'NF - 5 Power Mix'!GRK14+'NF - 5 Power Mix'!GRK15)*860/10)+((('Form Sa1'!GRN835)*860)/10)+('Form Sa1'!GRN814*'Form Sa1'!GRN816/10)-'NF - 5 Power Mix'!GRK21-'NF - 5 Power Mix'!GRK22</f>
        <v>0</v>
      </c>
      <c r="GRL42" s="1046">
        <f>GRL38+((GRL40+'NF - 5 Power Mix'!GRL14+'NF - 5 Power Mix'!GRL15)*860/10)+((('Form Sa1'!GRO835)*860)/10)+('Form Sa1'!GRO814*'Form Sa1'!GRO816/10)-'NF - 5 Power Mix'!GRL21-'NF - 5 Power Mix'!GRL22</f>
        <v>0</v>
      </c>
      <c r="GRM42" s="1046">
        <f>GRM38+((GRM40+'NF - 5 Power Mix'!GRM14+'NF - 5 Power Mix'!GRM15)*860/10)+((('Form Sa1'!GRP835)*860)/10)+('Form Sa1'!GRP814*'Form Sa1'!GRP816/10)-'NF - 5 Power Mix'!GRM21-'NF - 5 Power Mix'!GRM22</f>
        <v>0</v>
      </c>
      <c r="GRN42" s="1046">
        <f>GRN38+((GRN40+'NF - 5 Power Mix'!GRN14+'NF - 5 Power Mix'!GRN15)*860/10)+((('Form Sa1'!GRQ835)*860)/10)+('Form Sa1'!GRQ814*'Form Sa1'!GRQ816/10)-'NF - 5 Power Mix'!GRN21-'NF - 5 Power Mix'!GRN22</f>
        <v>0</v>
      </c>
      <c r="GRO42" s="1046">
        <f>GRO38+((GRO40+'NF - 5 Power Mix'!GRO14+'NF - 5 Power Mix'!GRO15)*860/10)+((('Form Sa1'!GRR835)*860)/10)+('Form Sa1'!GRR814*'Form Sa1'!GRR816/10)-'NF - 5 Power Mix'!GRO21-'NF - 5 Power Mix'!GRO22</f>
        <v>0</v>
      </c>
      <c r="GRP42" s="1046">
        <f>GRP38+((GRP40+'NF - 5 Power Mix'!GRP14+'NF - 5 Power Mix'!GRP15)*860/10)+((('Form Sa1'!GRS835)*860)/10)+('Form Sa1'!GRS814*'Form Sa1'!GRS816/10)-'NF - 5 Power Mix'!GRP21-'NF - 5 Power Mix'!GRP22</f>
        <v>0</v>
      </c>
      <c r="GRQ42" s="1046">
        <f>GRQ38+((GRQ40+'NF - 5 Power Mix'!GRQ14+'NF - 5 Power Mix'!GRQ15)*860/10)+((('Form Sa1'!GRT835)*860)/10)+('Form Sa1'!GRT814*'Form Sa1'!GRT816/10)-'NF - 5 Power Mix'!GRQ21-'NF - 5 Power Mix'!GRQ22</f>
        <v>0</v>
      </c>
      <c r="GRR42" s="1046">
        <f>GRR38+((GRR40+'NF - 5 Power Mix'!GRR14+'NF - 5 Power Mix'!GRR15)*860/10)+((('Form Sa1'!GRU835)*860)/10)+('Form Sa1'!GRU814*'Form Sa1'!GRU816/10)-'NF - 5 Power Mix'!GRR21-'NF - 5 Power Mix'!GRR22</f>
        <v>0</v>
      </c>
      <c r="GRS42" s="1046">
        <f>GRS38+((GRS40+'NF - 5 Power Mix'!GRS14+'NF - 5 Power Mix'!GRS15)*860/10)+((('Form Sa1'!GRV835)*860)/10)+('Form Sa1'!GRV814*'Form Sa1'!GRV816/10)-'NF - 5 Power Mix'!GRS21-'NF - 5 Power Mix'!GRS22</f>
        <v>0</v>
      </c>
      <c r="GRT42" s="1046">
        <f>GRT38+((GRT40+'NF - 5 Power Mix'!GRT14+'NF - 5 Power Mix'!GRT15)*860/10)+((('Form Sa1'!GRW835)*860)/10)+('Form Sa1'!GRW814*'Form Sa1'!GRW816/10)-'NF - 5 Power Mix'!GRT21-'NF - 5 Power Mix'!GRT22</f>
        <v>0</v>
      </c>
      <c r="GRU42" s="1046">
        <f>GRU38+((GRU40+'NF - 5 Power Mix'!GRU14+'NF - 5 Power Mix'!GRU15)*860/10)+((('Form Sa1'!GRX835)*860)/10)+('Form Sa1'!GRX814*'Form Sa1'!GRX816/10)-'NF - 5 Power Mix'!GRU21-'NF - 5 Power Mix'!GRU22</f>
        <v>0</v>
      </c>
      <c r="GRV42" s="1046">
        <f>GRV38+((GRV40+'NF - 5 Power Mix'!GRV14+'NF - 5 Power Mix'!GRV15)*860/10)+((('Form Sa1'!GRY835)*860)/10)+('Form Sa1'!GRY814*'Form Sa1'!GRY816/10)-'NF - 5 Power Mix'!GRV21-'NF - 5 Power Mix'!GRV22</f>
        <v>0</v>
      </c>
      <c r="GRW42" s="1046">
        <f>GRW38+((GRW40+'NF - 5 Power Mix'!GRW14+'NF - 5 Power Mix'!GRW15)*860/10)+((('Form Sa1'!GRZ835)*860)/10)+('Form Sa1'!GRZ814*'Form Sa1'!GRZ816/10)-'NF - 5 Power Mix'!GRW21-'NF - 5 Power Mix'!GRW22</f>
        <v>0</v>
      </c>
      <c r="GRX42" s="1046">
        <f>GRX38+((GRX40+'NF - 5 Power Mix'!GRX14+'NF - 5 Power Mix'!GRX15)*860/10)+((('Form Sa1'!GSA835)*860)/10)+('Form Sa1'!GSA814*'Form Sa1'!GSA816/10)-'NF - 5 Power Mix'!GRX21-'NF - 5 Power Mix'!GRX22</f>
        <v>0</v>
      </c>
      <c r="GRY42" s="1046">
        <f>GRY38+((GRY40+'NF - 5 Power Mix'!GRY14+'NF - 5 Power Mix'!GRY15)*860/10)+((('Form Sa1'!GSB835)*860)/10)+('Form Sa1'!GSB814*'Form Sa1'!GSB816/10)-'NF - 5 Power Mix'!GRY21-'NF - 5 Power Mix'!GRY22</f>
        <v>0</v>
      </c>
      <c r="GRZ42" s="1046">
        <f>GRZ38+((GRZ40+'NF - 5 Power Mix'!GRZ14+'NF - 5 Power Mix'!GRZ15)*860/10)+((('Form Sa1'!GSC835)*860)/10)+('Form Sa1'!GSC814*'Form Sa1'!GSC816/10)-'NF - 5 Power Mix'!GRZ21-'NF - 5 Power Mix'!GRZ22</f>
        <v>0</v>
      </c>
      <c r="GSA42" s="1046">
        <f>GSA38+((GSA40+'NF - 5 Power Mix'!GSA14+'NF - 5 Power Mix'!GSA15)*860/10)+((('Form Sa1'!GSD835)*860)/10)+('Form Sa1'!GSD814*'Form Sa1'!GSD816/10)-'NF - 5 Power Mix'!GSA21-'NF - 5 Power Mix'!GSA22</f>
        <v>0</v>
      </c>
      <c r="GSB42" s="1046">
        <f>GSB38+((GSB40+'NF - 5 Power Mix'!GSB14+'NF - 5 Power Mix'!GSB15)*860/10)+((('Form Sa1'!GSE835)*860)/10)+('Form Sa1'!GSE814*'Form Sa1'!GSE816/10)-'NF - 5 Power Mix'!GSB21-'NF - 5 Power Mix'!GSB22</f>
        <v>0</v>
      </c>
      <c r="GSC42" s="1046">
        <f>GSC38+((GSC40+'NF - 5 Power Mix'!GSC14+'NF - 5 Power Mix'!GSC15)*860/10)+((('Form Sa1'!GSF835)*860)/10)+('Form Sa1'!GSF814*'Form Sa1'!GSF816/10)-'NF - 5 Power Mix'!GSC21-'NF - 5 Power Mix'!GSC22</f>
        <v>0</v>
      </c>
      <c r="GSD42" s="1046">
        <f>GSD38+((GSD40+'NF - 5 Power Mix'!GSD14+'NF - 5 Power Mix'!GSD15)*860/10)+((('Form Sa1'!GSG835)*860)/10)+('Form Sa1'!GSG814*'Form Sa1'!GSG816/10)-'NF - 5 Power Mix'!GSD21-'NF - 5 Power Mix'!GSD22</f>
        <v>0</v>
      </c>
      <c r="GSE42" s="1046">
        <f>GSE38+((GSE40+'NF - 5 Power Mix'!GSE14+'NF - 5 Power Mix'!GSE15)*860/10)+((('Form Sa1'!GSH835)*860)/10)+('Form Sa1'!GSH814*'Form Sa1'!GSH816/10)-'NF - 5 Power Mix'!GSE21-'NF - 5 Power Mix'!GSE22</f>
        <v>0</v>
      </c>
      <c r="GSF42" s="1046">
        <f>GSF38+((GSF40+'NF - 5 Power Mix'!GSF14+'NF - 5 Power Mix'!GSF15)*860/10)+((('Form Sa1'!GSI835)*860)/10)+('Form Sa1'!GSI814*'Form Sa1'!GSI816/10)-'NF - 5 Power Mix'!GSF21-'NF - 5 Power Mix'!GSF22</f>
        <v>0</v>
      </c>
      <c r="GSG42" s="1046">
        <f>GSG38+((GSG40+'NF - 5 Power Mix'!GSG14+'NF - 5 Power Mix'!GSG15)*860/10)+((('Form Sa1'!GSJ835)*860)/10)+('Form Sa1'!GSJ814*'Form Sa1'!GSJ816/10)-'NF - 5 Power Mix'!GSG21-'NF - 5 Power Mix'!GSG22</f>
        <v>0</v>
      </c>
      <c r="GSH42" s="1046">
        <f>GSH38+((GSH40+'NF - 5 Power Mix'!GSH14+'NF - 5 Power Mix'!GSH15)*860/10)+((('Form Sa1'!GSK835)*860)/10)+('Form Sa1'!GSK814*'Form Sa1'!GSK816/10)-'NF - 5 Power Mix'!GSH21-'NF - 5 Power Mix'!GSH22</f>
        <v>0</v>
      </c>
      <c r="GSI42" s="1046">
        <f>GSI38+((GSI40+'NF - 5 Power Mix'!GSI14+'NF - 5 Power Mix'!GSI15)*860/10)+((('Form Sa1'!GSL835)*860)/10)+('Form Sa1'!GSL814*'Form Sa1'!GSL816/10)-'NF - 5 Power Mix'!GSI21-'NF - 5 Power Mix'!GSI22</f>
        <v>0</v>
      </c>
      <c r="GSJ42" s="1046">
        <f>GSJ38+((GSJ40+'NF - 5 Power Mix'!GSJ14+'NF - 5 Power Mix'!GSJ15)*860/10)+((('Form Sa1'!GSM835)*860)/10)+('Form Sa1'!GSM814*'Form Sa1'!GSM816/10)-'NF - 5 Power Mix'!GSJ21-'NF - 5 Power Mix'!GSJ22</f>
        <v>0</v>
      </c>
      <c r="GSK42" s="1046">
        <f>GSK38+((GSK40+'NF - 5 Power Mix'!GSK14+'NF - 5 Power Mix'!GSK15)*860/10)+((('Form Sa1'!GSN835)*860)/10)+('Form Sa1'!GSN814*'Form Sa1'!GSN816/10)-'NF - 5 Power Mix'!GSK21-'NF - 5 Power Mix'!GSK22</f>
        <v>0</v>
      </c>
      <c r="GSL42" s="1046">
        <f>GSL38+((GSL40+'NF - 5 Power Mix'!GSL14+'NF - 5 Power Mix'!GSL15)*860/10)+((('Form Sa1'!GSO835)*860)/10)+('Form Sa1'!GSO814*'Form Sa1'!GSO816/10)-'NF - 5 Power Mix'!GSL21-'NF - 5 Power Mix'!GSL22</f>
        <v>0</v>
      </c>
      <c r="GSM42" s="1046">
        <f>GSM38+((GSM40+'NF - 5 Power Mix'!GSM14+'NF - 5 Power Mix'!GSM15)*860/10)+((('Form Sa1'!GSP835)*860)/10)+('Form Sa1'!GSP814*'Form Sa1'!GSP816/10)-'NF - 5 Power Mix'!GSM21-'NF - 5 Power Mix'!GSM22</f>
        <v>0</v>
      </c>
      <c r="GSN42" s="1046">
        <f>GSN38+((GSN40+'NF - 5 Power Mix'!GSN14+'NF - 5 Power Mix'!GSN15)*860/10)+((('Form Sa1'!GSQ835)*860)/10)+('Form Sa1'!GSQ814*'Form Sa1'!GSQ816/10)-'NF - 5 Power Mix'!GSN21-'NF - 5 Power Mix'!GSN22</f>
        <v>0</v>
      </c>
      <c r="GSO42" s="1046">
        <f>GSO38+((GSO40+'NF - 5 Power Mix'!GSO14+'NF - 5 Power Mix'!GSO15)*860/10)+((('Form Sa1'!GSR835)*860)/10)+('Form Sa1'!GSR814*'Form Sa1'!GSR816/10)-'NF - 5 Power Mix'!GSO21-'NF - 5 Power Mix'!GSO22</f>
        <v>0</v>
      </c>
      <c r="GSP42" s="1046">
        <f>GSP38+((GSP40+'NF - 5 Power Mix'!GSP14+'NF - 5 Power Mix'!GSP15)*860/10)+((('Form Sa1'!GSS835)*860)/10)+('Form Sa1'!GSS814*'Form Sa1'!GSS816/10)-'NF - 5 Power Mix'!GSP21-'NF - 5 Power Mix'!GSP22</f>
        <v>0</v>
      </c>
      <c r="GSQ42" s="1046">
        <f>GSQ38+((GSQ40+'NF - 5 Power Mix'!GSQ14+'NF - 5 Power Mix'!GSQ15)*860/10)+((('Form Sa1'!GST835)*860)/10)+('Form Sa1'!GST814*'Form Sa1'!GST816/10)-'NF - 5 Power Mix'!GSQ21-'NF - 5 Power Mix'!GSQ22</f>
        <v>0</v>
      </c>
      <c r="GSR42" s="1046">
        <f>GSR38+((GSR40+'NF - 5 Power Mix'!GSR14+'NF - 5 Power Mix'!GSR15)*860/10)+((('Form Sa1'!GSU835)*860)/10)+('Form Sa1'!GSU814*'Form Sa1'!GSU816/10)-'NF - 5 Power Mix'!GSR21-'NF - 5 Power Mix'!GSR22</f>
        <v>0</v>
      </c>
      <c r="GSS42" s="1046">
        <f>GSS38+((GSS40+'NF - 5 Power Mix'!GSS14+'NF - 5 Power Mix'!GSS15)*860/10)+((('Form Sa1'!GSV835)*860)/10)+('Form Sa1'!GSV814*'Form Sa1'!GSV816/10)-'NF - 5 Power Mix'!GSS21-'NF - 5 Power Mix'!GSS22</f>
        <v>0</v>
      </c>
      <c r="GST42" s="1046">
        <f>GST38+((GST40+'NF - 5 Power Mix'!GST14+'NF - 5 Power Mix'!GST15)*860/10)+((('Form Sa1'!GSW835)*860)/10)+('Form Sa1'!GSW814*'Form Sa1'!GSW816/10)-'NF - 5 Power Mix'!GST21-'NF - 5 Power Mix'!GST22</f>
        <v>0</v>
      </c>
      <c r="GSU42" s="1046">
        <f>GSU38+((GSU40+'NF - 5 Power Mix'!GSU14+'NF - 5 Power Mix'!GSU15)*860/10)+((('Form Sa1'!GSX835)*860)/10)+('Form Sa1'!GSX814*'Form Sa1'!GSX816/10)-'NF - 5 Power Mix'!GSU21-'NF - 5 Power Mix'!GSU22</f>
        <v>0</v>
      </c>
      <c r="GSV42" s="1046">
        <f>GSV38+((GSV40+'NF - 5 Power Mix'!GSV14+'NF - 5 Power Mix'!GSV15)*860/10)+((('Form Sa1'!GSY835)*860)/10)+('Form Sa1'!GSY814*'Form Sa1'!GSY816/10)-'NF - 5 Power Mix'!GSV21-'NF - 5 Power Mix'!GSV22</f>
        <v>0</v>
      </c>
      <c r="GSW42" s="1046">
        <f>GSW38+((GSW40+'NF - 5 Power Mix'!GSW14+'NF - 5 Power Mix'!GSW15)*860/10)+((('Form Sa1'!GSZ835)*860)/10)+('Form Sa1'!GSZ814*'Form Sa1'!GSZ816/10)-'NF - 5 Power Mix'!GSW21-'NF - 5 Power Mix'!GSW22</f>
        <v>0</v>
      </c>
      <c r="GSX42" s="1046">
        <f>GSX38+((GSX40+'NF - 5 Power Mix'!GSX14+'NF - 5 Power Mix'!GSX15)*860/10)+((('Form Sa1'!GTA835)*860)/10)+('Form Sa1'!GTA814*'Form Sa1'!GTA816/10)-'NF - 5 Power Mix'!GSX21-'NF - 5 Power Mix'!GSX22</f>
        <v>0</v>
      </c>
      <c r="GSY42" s="1046">
        <f>GSY38+((GSY40+'NF - 5 Power Mix'!GSY14+'NF - 5 Power Mix'!GSY15)*860/10)+((('Form Sa1'!GTB835)*860)/10)+('Form Sa1'!GTB814*'Form Sa1'!GTB816/10)-'NF - 5 Power Mix'!GSY21-'NF - 5 Power Mix'!GSY22</f>
        <v>0</v>
      </c>
      <c r="GSZ42" s="1046">
        <f>GSZ38+((GSZ40+'NF - 5 Power Mix'!GSZ14+'NF - 5 Power Mix'!GSZ15)*860/10)+((('Form Sa1'!GTC835)*860)/10)+('Form Sa1'!GTC814*'Form Sa1'!GTC816/10)-'NF - 5 Power Mix'!GSZ21-'NF - 5 Power Mix'!GSZ22</f>
        <v>0</v>
      </c>
      <c r="GTA42" s="1046">
        <f>GTA38+((GTA40+'NF - 5 Power Mix'!GTA14+'NF - 5 Power Mix'!GTA15)*860/10)+((('Form Sa1'!GTD835)*860)/10)+('Form Sa1'!GTD814*'Form Sa1'!GTD816/10)-'NF - 5 Power Mix'!GTA21-'NF - 5 Power Mix'!GTA22</f>
        <v>0</v>
      </c>
      <c r="GTB42" s="1046">
        <f>GTB38+((GTB40+'NF - 5 Power Mix'!GTB14+'NF - 5 Power Mix'!GTB15)*860/10)+((('Form Sa1'!GTE835)*860)/10)+('Form Sa1'!GTE814*'Form Sa1'!GTE816/10)-'NF - 5 Power Mix'!GTB21-'NF - 5 Power Mix'!GTB22</f>
        <v>0</v>
      </c>
      <c r="GTC42" s="1046">
        <f>GTC38+((GTC40+'NF - 5 Power Mix'!GTC14+'NF - 5 Power Mix'!GTC15)*860/10)+((('Form Sa1'!GTF835)*860)/10)+('Form Sa1'!GTF814*'Form Sa1'!GTF816/10)-'NF - 5 Power Mix'!GTC21-'NF - 5 Power Mix'!GTC22</f>
        <v>0</v>
      </c>
      <c r="GTD42" s="1046">
        <f>GTD38+((GTD40+'NF - 5 Power Mix'!GTD14+'NF - 5 Power Mix'!GTD15)*860/10)+((('Form Sa1'!GTG835)*860)/10)+('Form Sa1'!GTG814*'Form Sa1'!GTG816/10)-'NF - 5 Power Mix'!GTD21-'NF - 5 Power Mix'!GTD22</f>
        <v>0</v>
      </c>
      <c r="GTE42" s="1046">
        <f>GTE38+((GTE40+'NF - 5 Power Mix'!GTE14+'NF - 5 Power Mix'!GTE15)*860/10)+((('Form Sa1'!GTH835)*860)/10)+('Form Sa1'!GTH814*'Form Sa1'!GTH816/10)-'NF - 5 Power Mix'!GTE21-'NF - 5 Power Mix'!GTE22</f>
        <v>0</v>
      </c>
      <c r="GTF42" s="1046">
        <f>GTF38+((GTF40+'NF - 5 Power Mix'!GTF14+'NF - 5 Power Mix'!GTF15)*860/10)+((('Form Sa1'!GTI835)*860)/10)+('Form Sa1'!GTI814*'Form Sa1'!GTI816/10)-'NF - 5 Power Mix'!GTF21-'NF - 5 Power Mix'!GTF22</f>
        <v>0</v>
      </c>
      <c r="GTG42" s="1046">
        <f>GTG38+((GTG40+'NF - 5 Power Mix'!GTG14+'NF - 5 Power Mix'!GTG15)*860/10)+((('Form Sa1'!GTJ835)*860)/10)+('Form Sa1'!GTJ814*'Form Sa1'!GTJ816/10)-'NF - 5 Power Mix'!GTG21-'NF - 5 Power Mix'!GTG22</f>
        <v>0</v>
      </c>
      <c r="GTH42" s="1046">
        <f>GTH38+((GTH40+'NF - 5 Power Mix'!GTH14+'NF - 5 Power Mix'!GTH15)*860/10)+((('Form Sa1'!GTK835)*860)/10)+('Form Sa1'!GTK814*'Form Sa1'!GTK816/10)-'NF - 5 Power Mix'!GTH21-'NF - 5 Power Mix'!GTH22</f>
        <v>0</v>
      </c>
      <c r="GTI42" s="1046">
        <f>GTI38+((GTI40+'NF - 5 Power Mix'!GTI14+'NF - 5 Power Mix'!GTI15)*860/10)+((('Form Sa1'!GTL835)*860)/10)+('Form Sa1'!GTL814*'Form Sa1'!GTL816/10)-'NF - 5 Power Mix'!GTI21-'NF - 5 Power Mix'!GTI22</f>
        <v>0</v>
      </c>
      <c r="GTJ42" s="1046">
        <f>GTJ38+((GTJ40+'NF - 5 Power Mix'!GTJ14+'NF - 5 Power Mix'!GTJ15)*860/10)+((('Form Sa1'!GTM835)*860)/10)+('Form Sa1'!GTM814*'Form Sa1'!GTM816/10)-'NF - 5 Power Mix'!GTJ21-'NF - 5 Power Mix'!GTJ22</f>
        <v>0</v>
      </c>
      <c r="GTK42" s="1046">
        <f>GTK38+((GTK40+'NF - 5 Power Mix'!GTK14+'NF - 5 Power Mix'!GTK15)*860/10)+((('Form Sa1'!GTN835)*860)/10)+('Form Sa1'!GTN814*'Form Sa1'!GTN816/10)-'NF - 5 Power Mix'!GTK21-'NF - 5 Power Mix'!GTK22</f>
        <v>0</v>
      </c>
      <c r="GTL42" s="1046">
        <f>GTL38+((GTL40+'NF - 5 Power Mix'!GTL14+'NF - 5 Power Mix'!GTL15)*860/10)+((('Form Sa1'!GTO835)*860)/10)+('Form Sa1'!GTO814*'Form Sa1'!GTO816/10)-'NF - 5 Power Mix'!GTL21-'NF - 5 Power Mix'!GTL22</f>
        <v>0</v>
      </c>
      <c r="GTM42" s="1046">
        <f>GTM38+((GTM40+'NF - 5 Power Mix'!GTM14+'NF - 5 Power Mix'!GTM15)*860/10)+((('Form Sa1'!GTP835)*860)/10)+('Form Sa1'!GTP814*'Form Sa1'!GTP816/10)-'NF - 5 Power Mix'!GTM21-'NF - 5 Power Mix'!GTM22</f>
        <v>0</v>
      </c>
      <c r="GTN42" s="1046">
        <f>GTN38+((GTN40+'NF - 5 Power Mix'!GTN14+'NF - 5 Power Mix'!GTN15)*860/10)+((('Form Sa1'!GTQ835)*860)/10)+('Form Sa1'!GTQ814*'Form Sa1'!GTQ816/10)-'NF - 5 Power Mix'!GTN21-'NF - 5 Power Mix'!GTN22</f>
        <v>0</v>
      </c>
      <c r="GTO42" s="1046">
        <f>GTO38+((GTO40+'NF - 5 Power Mix'!GTO14+'NF - 5 Power Mix'!GTO15)*860/10)+((('Form Sa1'!GTR835)*860)/10)+('Form Sa1'!GTR814*'Form Sa1'!GTR816/10)-'NF - 5 Power Mix'!GTO21-'NF - 5 Power Mix'!GTO22</f>
        <v>0</v>
      </c>
      <c r="GTP42" s="1046">
        <f>GTP38+((GTP40+'NF - 5 Power Mix'!GTP14+'NF - 5 Power Mix'!GTP15)*860/10)+((('Form Sa1'!GTS835)*860)/10)+('Form Sa1'!GTS814*'Form Sa1'!GTS816/10)-'NF - 5 Power Mix'!GTP21-'NF - 5 Power Mix'!GTP22</f>
        <v>0</v>
      </c>
      <c r="GTQ42" s="1046">
        <f>GTQ38+((GTQ40+'NF - 5 Power Mix'!GTQ14+'NF - 5 Power Mix'!GTQ15)*860/10)+((('Form Sa1'!GTT835)*860)/10)+('Form Sa1'!GTT814*'Form Sa1'!GTT816/10)-'NF - 5 Power Mix'!GTQ21-'NF - 5 Power Mix'!GTQ22</f>
        <v>0</v>
      </c>
      <c r="GTR42" s="1046">
        <f>GTR38+((GTR40+'NF - 5 Power Mix'!GTR14+'NF - 5 Power Mix'!GTR15)*860/10)+((('Form Sa1'!GTU835)*860)/10)+('Form Sa1'!GTU814*'Form Sa1'!GTU816/10)-'NF - 5 Power Mix'!GTR21-'NF - 5 Power Mix'!GTR22</f>
        <v>0</v>
      </c>
      <c r="GTS42" s="1046">
        <f>GTS38+((GTS40+'NF - 5 Power Mix'!GTS14+'NF - 5 Power Mix'!GTS15)*860/10)+((('Form Sa1'!GTV835)*860)/10)+('Form Sa1'!GTV814*'Form Sa1'!GTV816/10)-'NF - 5 Power Mix'!GTS21-'NF - 5 Power Mix'!GTS22</f>
        <v>0</v>
      </c>
      <c r="GTT42" s="1046">
        <f>GTT38+((GTT40+'NF - 5 Power Mix'!GTT14+'NF - 5 Power Mix'!GTT15)*860/10)+((('Form Sa1'!GTW835)*860)/10)+('Form Sa1'!GTW814*'Form Sa1'!GTW816/10)-'NF - 5 Power Mix'!GTT21-'NF - 5 Power Mix'!GTT22</f>
        <v>0</v>
      </c>
      <c r="GTU42" s="1046">
        <f>GTU38+((GTU40+'NF - 5 Power Mix'!GTU14+'NF - 5 Power Mix'!GTU15)*860/10)+((('Form Sa1'!GTX835)*860)/10)+('Form Sa1'!GTX814*'Form Sa1'!GTX816/10)-'NF - 5 Power Mix'!GTU21-'NF - 5 Power Mix'!GTU22</f>
        <v>0</v>
      </c>
      <c r="GTV42" s="1046">
        <f>GTV38+((GTV40+'NF - 5 Power Mix'!GTV14+'NF - 5 Power Mix'!GTV15)*860/10)+((('Form Sa1'!GTY835)*860)/10)+('Form Sa1'!GTY814*'Form Sa1'!GTY816/10)-'NF - 5 Power Mix'!GTV21-'NF - 5 Power Mix'!GTV22</f>
        <v>0</v>
      </c>
      <c r="GTW42" s="1046">
        <f>GTW38+((GTW40+'NF - 5 Power Mix'!GTW14+'NF - 5 Power Mix'!GTW15)*860/10)+((('Form Sa1'!GTZ835)*860)/10)+('Form Sa1'!GTZ814*'Form Sa1'!GTZ816/10)-'NF - 5 Power Mix'!GTW21-'NF - 5 Power Mix'!GTW22</f>
        <v>0</v>
      </c>
      <c r="GTX42" s="1046">
        <f>GTX38+((GTX40+'NF - 5 Power Mix'!GTX14+'NF - 5 Power Mix'!GTX15)*860/10)+((('Form Sa1'!GUA835)*860)/10)+('Form Sa1'!GUA814*'Form Sa1'!GUA816/10)-'NF - 5 Power Mix'!GTX21-'NF - 5 Power Mix'!GTX22</f>
        <v>0</v>
      </c>
      <c r="GTY42" s="1046">
        <f>GTY38+((GTY40+'NF - 5 Power Mix'!GTY14+'NF - 5 Power Mix'!GTY15)*860/10)+((('Form Sa1'!GUB835)*860)/10)+('Form Sa1'!GUB814*'Form Sa1'!GUB816/10)-'NF - 5 Power Mix'!GTY21-'NF - 5 Power Mix'!GTY22</f>
        <v>0</v>
      </c>
      <c r="GTZ42" s="1046">
        <f>GTZ38+((GTZ40+'NF - 5 Power Mix'!GTZ14+'NF - 5 Power Mix'!GTZ15)*860/10)+((('Form Sa1'!GUC835)*860)/10)+('Form Sa1'!GUC814*'Form Sa1'!GUC816/10)-'NF - 5 Power Mix'!GTZ21-'NF - 5 Power Mix'!GTZ22</f>
        <v>0</v>
      </c>
      <c r="GUA42" s="1046">
        <f>GUA38+((GUA40+'NF - 5 Power Mix'!GUA14+'NF - 5 Power Mix'!GUA15)*860/10)+((('Form Sa1'!GUD835)*860)/10)+('Form Sa1'!GUD814*'Form Sa1'!GUD816/10)-'NF - 5 Power Mix'!GUA21-'NF - 5 Power Mix'!GUA22</f>
        <v>0</v>
      </c>
      <c r="GUB42" s="1046">
        <f>GUB38+((GUB40+'NF - 5 Power Mix'!GUB14+'NF - 5 Power Mix'!GUB15)*860/10)+((('Form Sa1'!GUE835)*860)/10)+('Form Sa1'!GUE814*'Form Sa1'!GUE816/10)-'NF - 5 Power Mix'!GUB21-'NF - 5 Power Mix'!GUB22</f>
        <v>0</v>
      </c>
      <c r="GUC42" s="1046">
        <f>GUC38+((GUC40+'NF - 5 Power Mix'!GUC14+'NF - 5 Power Mix'!GUC15)*860/10)+((('Form Sa1'!GUF835)*860)/10)+('Form Sa1'!GUF814*'Form Sa1'!GUF816/10)-'NF - 5 Power Mix'!GUC21-'NF - 5 Power Mix'!GUC22</f>
        <v>0</v>
      </c>
      <c r="GUD42" s="1046">
        <f>GUD38+((GUD40+'NF - 5 Power Mix'!GUD14+'NF - 5 Power Mix'!GUD15)*860/10)+((('Form Sa1'!GUG835)*860)/10)+('Form Sa1'!GUG814*'Form Sa1'!GUG816/10)-'NF - 5 Power Mix'!GUD21-'NF - 5 Power Mix'!GUD22</f>
        <v>0</v>
      </c>
      <c r="GUE42" s="1046">
        <f>GUE38+((GUE40+'NF - 5 Power Mix'!GUE14+'NF - 5 Power Mix'!GUE15)*860/10)+((('Form Sa1'!GUH835)*860)/10)+('Form Sa1'!GUH814*'Form Sa1'!GUH816/10)-'NF - 5 Power Mix'!GUE21-'NF - 5 Power Mix'!GUE22</f>
        <v>0</v>
      </c>
      <c r="GUF42" s="1046">
        <f>GUF38+((GUF40+'NF - 5 Power Mix'!GUF14+'NF - 5 Power Mix'!GUF15)*860/10)+((('Form Sa1'!GUI835)*860)/10)+('Form Sa1'!GUI814*'Form Sa1'!GUI816/10)-'NF - 5 Power Mix'!GUF21-'NF - 5 Power Mix'!GUF22</f>
        <v>0</v>
      </c>
      <c r="GUG42" s="1046">
        <f>GUG38+((GUG40+'NF - 5 Power Mix'!GUG14+'NF - 5 Power Mix'!GUG15)*860/10)+((('Form Sa1'!GUJ835)*860)/10)+('Form Sa1'!GUJ814*'Form Sa1'!GUJ816/10)-'NF - 5 Power Mix'!GUG21-'NF - 5 Power Mix'!GUG22</f>
        <v>0</v>
      </c>
      <c r="GUH42" s="1046">
        <f>GUH38+((GUH40+'NF - 5 Power Mix'!GUH14+'NF - 5 Power Mix'!GUH15)*860/10)+((('Form Sa1'!GUK835)*860)/10)+('Form Sa1'!GUK814*'Form Sa1'!GUK816/10)-'NF - 5 Power Mix'!GUH21-'NF - 5 Power Mix'!GUH22</f>
        <v>0</v>
      </c>
      <c r="GUI42" s="1046">
        <f>GUI38+((GUI40+'NF - 5 Power Mix'!GUI14+'NF - 5 Power Mix'!GUI15)*860/10)+((('Form Sa1'!GUL835)*860)/10)+('Form Sa1'!GUL814*'Form Sa1'!GUL816/10)-'NF - 5 Power Mix'!GUI21-'NF - 5 Power Mix'!GUI22</f>
        <v>0</v>
      </c>
      <c r="GUJ42" s="1046">
        <f>GUJ38+((GUJ40+'NF - 5 Power Mix'!GUJ14+'NF - 5 Power Mix'!GUJ15)*860/10)+((('Form Sa1'!GUM835)*860)/10)+('Form Sa1'!GUM814*'Form Sa1'!GUM816/10)-'NF - 5 Power Mix'!GUJ21-'NF - 5 Power Mix'!GUJ22</f>
        <v>0</v>
      </c>
      <c r="GUK42" s="1046">
        <f>GUK38+((GUK40+'NF - 5 Power Mix'!GUK14+'NF - 5 Power Mix'!GUK15)*860/10)+((('Form Sa1'!GUN835)*860)/10)+('Form Sa1'!GUN814*'Form Sa1'!GUN816/10)-'NF - 5 Power Mix'!GUK21-'NF - 5 Power Mix'!GUK22</f>
        <v>0</v>
      </c>
      <c r="GUL42" s="1046">
        <f>GUL38+((GUL40+'NF - 5 Power Mix'!GUL14+'NF - 5 Power Mix'!GUL15)*860/10)+((('Form Sa1'!GUO835)*860)/10)+('Form Sa1'!GUO814*'Form Sa1'!GUO816/10)-'NF - 5 Power Mix'!GUL21-'NF - 5 Power Mix'!GUL22</f>
        <v>0</v>
      </c>
      <c r="GUM42" s="1046">
        <f>GUM38+((GUM40+'NF - 5 Power Mix'!GUM14+'NF - 5 Power Mix'!GUM15)*860/10)+((('Form Sa1'!GUP835)*860)/10)+('Form Sa1'!GUP814*'Form Sa1'!GUP816/10)-'NF - 5 Power Mix'!GUM21-'NF - 5 Power Mix'!GUM22</f>
        <v>0</v>
      </c>
      <c r="GUN42" s="1046">
        <f>GUN38+((GUN40+'NF - 5 Power Mix'!GUN14+'NF - 5 Power Mix'!GUN15)*860/10)+((('Form Sa1'!GUQ835)*860)/10)+('Form Sa1'!GUQ814*'Form Sa1'!GUQ816/10)-'NF - 5 Power Mix'!GUN21-'NF - 5 Power Mix'!GUN22</f>
        <v>0</v>
      </c>
      <c r="GUO42" s="1046">
        <f>GUO38+((GUO40+'NF - 5 Power Mix'!GUO14+'NF - 5 Power Mix'!GUO15)*860/10)+((('Form Sa1'!GUR835)*860)/10)+('Form Sa1'!GUR814*'Form Sa1'!GUR816/10)-'NF - 5 Power Mix'!GUO21-'NF - 5 Power Mix'!GUO22</f>
        <v>0</v>
      </c>
      <c r="GUP42" s="1046">
        <f>GUP38+((GUP40+'NF - 5 Power Mix'!GUP14+'NF - 5 Power Mix'!GUP15)*860/10)+((('Form Sa1'!GUS835)*860)/10)+('Form Sa1'!GUS814*'Form Sa1'!GUS816/10)-'NF - 5 Power Mix'!GUP21-'NF - 5 Power Mix'!GUP22</f>
        <v>0</v>
      </c>
      <c r="GUQ42" s="1046">
        <f>GUQ38+((GUQ40+'NF - 5 Power Mix'!GUQ14+'NF - 5 Power Mix'!GUQ15)*860/10)+((('Form Sa1'!GUT835)*860)/10)+('Form Sa1'!GUT814*'Form Sa1'!GUT816/10)-'NF - 5 Power Mix'!GUQ21-'NF - 5 Power Mix'!GUQ22</f>
        <v>0</v>
      </c>
      <c r="GUR42" s="1046">
        <f>GUR38+((GUR40+'NF - 5 Power Mix'!GUR14+'NF - 5 Power Mix'!GUR15)*860/10)+((('Form Sa1'!GUU835)*860)/10)+('Form Sa1'!GUU814*'Form Sa1'!GUU816/10)-'NF - 5 Power Mix'!GUR21-'NF - 5 Power Mix'!GUR22</f>
        <v>0</v>
      </c>
      <c r="GUS42" s="1046">
        <f>GUS38+((GUS40+'NF - 5 Power Mix'!GUS14+'NF - 5 Power Mix'!GUS15)*860/10)+((('Form Sa1'!GUV835)*860)/10)+('Form Sa1'!GUV814*'Form Sa1'!GUV816/10)-'NF - 5 Power Mix'!GUS21-'NF - 5 Power Mix'!GUS22</f>
        <v>0</v>
      </c>
      <c r="GUT42" s="1046">
        <f>GUT38+((GUT40+'NF - 5 Power Mix'!GUT14+'NF - 5 Power Mix'!GUT15)*860/10)+((('Form Sa1'!GUW835)*860)/10)+('Form Sa1'!GUW814*'Form Sa1'!GUW816/10)-'NF - 5 Power Mix'!GUT21-'NF - 5 Power Mix'!GUT22</f>
        <v>0</v>
      </c>
      <c r="GUU42" s="1046">
        <f>GUU38+((GUU40+'NF - 5 Power Mix'!GUU14+'NF - 5 Power Mix'!GUU15)*860/10)+((('Form Sa1'!GUX835)*860)/10)+('Form Sa1'!GUX814*'Form Sa1'!GUX816/10)-'NF - 5 Power Mix'!GUU21-'NF - 5 Power Mix'!GUU22</f>
        <v>0</v>
      </c>
      <c r="GUV42" s="1046">
        <f>GUV38+((GUV40+'NF - 5 Power Mix'!GUV14+'NF - 5 Power Mix'!GUV15)*860/10)+((('Form Sa1'!GUY835)*860)/10)+('Form Sa1'!GUY814*'Form Sa1'!GUY816/10)-'NF - 5 Power Mix'!GUV21-'NF - 5 Power Mix'!GUV22</f>
        <v>0</v>
      </c>
      <c r="GUW42" s="1046">
        <f>GUW38+((GUW40+'NF - 5 Power Mix'!GUW14+'NF - 5 Power Mix'!GUW15)*860/10)+((('Form Sa1'!GUZ835)*860)/10)+('Form Sa1'!GUZ814*'Form Sa1'!GUZ816/10)-'NF - 5 Power Mix'!GUW21-'NF - 5 Power Mix'!GUW22</f>
        <v>0</v>
      </c>
      <c r="GUX42" s="1046">
        <f>GUX38+((GUX40+'NF - 5 Power Mix'!GUX14+'NF - 5 Power Mix'!GUX15)*860/10)+((('Form Sa1'!GVA835)*860)/10)+('Form Sa1'!GVA814*'Form Sa1'!GVA816/10)-'NF - 5 Power Mix'!GUX21-'NF - 5 Power Mix'!GUX22</f>
        <v>0</v>
      </c>
      <c r="GUY42" s="1046">
        <f>GUY38+((GUY40+'NF - 5 Power Mix'!GUY14+'NF - 5 Power Mix'!GUY15)*860/10)+((('Form Sa1'!GVB835)*860)/10)+('Form Sa1'!GVB814*'Form Sa1'!GVB816/10)-'NF - 5 Power Mix'!GUY21-'NF - 5 Power Mix'!GUY22</f>
        <v>0</v>
      </c>
      <c r="GUZ42" s="1046">
        <f>GUZ38+((GUZ40+'NF - 5 Power Mix'!GUZ14+'NF - 5 Power Mix'!GUZ15)*860/10)+((('Form Sa1'!GVC835)*860)/10)+('Form Sa1'!GVC814*'Form Sa1'!GVC816/10)-'NF - 5 Power Mix'!GUZ21-'NF - 5 Power Mix'!GUZ22</f>
        <v>0</v>
      </c>
      <c r="GVA42" s="1046">
        <f>GVA38+((GVA40+'NF - 5 Power Mix'!GVA14+'NF - 5 Power Mix'!GVA15)*860/10)+((('Form Sa1'!GVD835)*860)/10)+('Form Sa1'!GVD814*'Form Sa1'!GVD816/10)-'NF - 5 Power Mix'!GVA21-'NF - 5 Power Mix'!GVA22</f>
        <v>0</v>
      </c>
      <c r="GVB42" s="1046">
        <f>GVB38+((GVB40+'NF - 5 Power Mix'!GVB14+'NF - 5 Power Mix'!GVB15)*860/10)+((('Form Sa1'!GVE835)*860)/10)+('Form Sa1'!GVE814*'Form Sa1'!GVE816/10)-'NF - 5 Power Mix'!GVB21-'NF - 5 Power Mix'!GVB22</f>
        <v>0</v>
      </c>
      <c r="GVC42" s="1046">
        <f>GVC38+((GVC40+'NF - 5 Power Mix'!GVC14+'NF - 5 Power Mix'!GVC15)*860/10)+((('Form Sa1'!GVF835)*860)/10)+('Form Sa1'!GVF814*'Form Sa1'!GVF816/10)-'NF - 5 Power Mix'!GVC21-'NF - 5 Power Mix'!GVC22</f>
        <v>0</v>
      </c>
      <c r="GVD42" s="1046">
        <f>GVD38+((GVD40+'NF - 5 Power Mix'!GVD14+'NF - 5 Power Mix'!GVD15)*860/10)+((('Form Sa1'!GVG835)*860)/10)+('Form Sa1'!GVG814*'Form Sa1'!GVG816/10)-'NF - 5 Power Mix'!GVD21-'NF - 5 Power Mix'!GVD22</f>
        <v>0</v>
      </c>
      <c r="GVE42" s="1046">
        <f>GVE38+((GVE40+'NF - 5 Power Mix'!GVE14+'NF - 5 Power Mix'!GVE15)*860/10)+((('Form Sa1'!GVH835)*860)/10)+('Form Sa1'!GVH814*'Form Sa1'!GVH816/10)-'NF - 5 Power Mix'!GVE21-'NF - 5 Power Mix'!GVE22</f>
        <v>0</v>
      </c>
      <c r="GVF42" s="1046">
        <f>GVF38+((GVF40+'NF - 5 Power Mix'!GVF14+'NF - 5 Power Mix'!GVF15)*860/10)+((('Form Sa1'!GVI835)*860)/10)+('Form Sa1'!GVI814*'Form Sa1'!GVI816/10)-'NF - 5 Power Mix'!GVF21-'NF - 5 Power Mix'!GVF22</f>
        <v>0</v>
      </c>
      <c r="GVG42" s="1046">
        <f>GVG38+((GVG40+'NF - 5 Power Mix'!GVG14+'NF - 5 Power Mix'!GVG15)*860/10)+((('Form Sa1'!GVJ835)*860)/10)+('Form Sa1'!GVJ814*'Form Sa1'!GVJ816/10)-'NF - 5 Power Mix'!GVG21-'NF - 5 Power Mix'!GVG22</f>
        <v>0</v>
      </c>
      <c r="GVH42" s="1046">
        <f>GVH38+((GVH40+'NF - 5 Power Mix'!GVH14+'NF - 5 Power Mix'!GVH15)*860/10)+((('Form Sa1'!GVK835)*860)/10)+('Form Sa1'!GVK814*'Form Sa1'!GVK816/10)-'NF - 5 Power Mix'!GVH21-'NF - 5 Power Mix'!GVH22</f>
        <v>0</v>
      </c>
      <c r="GVI42" s="1046">
        <f>GVI38+((GVI40+'NF - 5 Power Mix'!GVI14+'NF - 5 Power Mix'!GVI15)*860/10)+((('Form Sa1'!GVL835)*860)/10)+('Form Sa1'!GVL814*'Form Sa1'!GVL816/10)-'NF - 5 Power Mix'!GVI21-'NF - 5 Power Mix'!GVI22</f>
        <v>0</v>
      </c>
      <c r="GVJ42" s="1046">
        <f>GVJ38+((GVJ40+'NF - 5 Power Mix'!GVJ14+'NF - 5 Power Mix'!GVJ15)*860/10)+((('Form Sa1'!GVM835)*860)/10)+('Form Sa1'!GVM814*'Form Sa1'!GVM816/10)-'NF - 5 Power Mix'!GVJ21-'NF - 5 Power Mix'!GVJ22</f>
        <v>0</v>
      </c>
      <c r="GVK42" s="1046">
        <f>GVK38+((GVK40+'NF - 5 Power Mix'!GVK14+'NF - 5 Power Mix'!GVK15)*860/10)+((('Form Sa1'!GVN835)*860)/10)+('Form Sa1'!GVN814*'Form Sa1'!GVN816/10)-'NF - 5 Power Mix'!GVK21-'NF - 5 Power Mix'!GVK22</f>
        <v>0</v>
      </c>
      <c r="GVL42" s="1046">
        <f>GVL38+((GVL40+'NF - 5 Power Mix'!GVL14+'NF - 5 Power Mix'!GVL15)*860/10)+((('Form Sa1'!GVO835)*860)/10)+('Form Sa1'!GVO814*'Form Sa1'!GVO816/10)-'NF - 5 Power Mix'!GVL21-'NF - 5 Power Mix'!GVL22</f>
        <v>0</v>
      </c>
      <c r="GVM42" s="1046">
        <f>GVM38+((GVM40+'NF - 5 Power Mix'!GVM14+'NF - 5 Power Mix'!GVM15)*860/10)+((('Form Sa1'!GVP835)*860)/10)+('Form Sa1'!GVP814*'Form Sa1'!GVP816/10)-'NF - 5 Power Mix'!GVM21-'NF - 5 Power Mix'!GVM22</f>
        <v>0</v>
      </c>
      <c r="GVN42" s="1046">
        <f>GVN38+((GVN40+'NF - 5 Power Mix'!GVN14+'NF - 5 Power Mix'!GVN15)*860/10)+((('Form Sa1'!GVQ835)*860)/10)+('Form Sa1'!GVQ814*'Form Sa1'!GVQ816/10)-'NF - 5 Power Mix'!GVN21-'NF - 5 Power Mix'!GVN22</f>
        <v>0</v>
      </c>
      <c r="GVO42" s="1046">
        <f>GVO38+((GVO40+'NF - 5 Power Mix'!GVO14+'NF - 5 Power Mix'!GVO15)*860/10)+((('Form Sa1'!GVR835)*860)/10)+('Form Sa1'!GVR814*'Form Sa1'!GVR816/10)-'NF - 5 Power Mix'!GVO21-'NF - 5 Power Mix'!GVO22</f>
        <v>0</v>
      </c>
      <c r="GVP42" s="1046">
        <f>GVP38+((GVP40+'NF - 5 Power Mix'!GVP14+'NF - 5 Power Mix'!GVP15)*860/10)+((('Form Sa1'!GVS835)*860)/10)+('Form Sa1'!GVS814*'Form Sa1'!GVS816/10)-'NF - 5 Power Mix'!GVP21-'NF - 5 Power Mix'!GVP22</f>
        <v>0</v>
      </c>
      <c r="GVQ42" s="1046">
        <f>GVQ38+((GVQ40+'NF - 5 Power Mix'!GVQ14+'NF - 5 Power Mix'!GVQ15)*860/10)+((('Form Sa1'!GVT835)*860)/10)+('Form Sa1'!GVT814*'Form Sa1'!GVT816/10)-'NF - 5 Power Mix'!GVQ21-'NF - 5 Power Mix'!GVQ22</f>
        <v>0</v>
      </c>
      <c r="GVR42" s="1046">
        <f>GVR38+((GVR40+'NF - 5 Power Mix'!GVR14+'NF - 5 Power Mix'!GVR15)*860/10)+((('Form Sa1'!GVU835)*860)/10)+('Form Sa1'!GVU814*'Form Sa1'!GVU816/10)-'NF - 5 Power Mix'!GVR21-'NF - 5 Power Mix'!GVR22</f>
        <v>0</v>
      </c>
      <c r="GVS42" s="1046">
        <f>GVS38+((GVS40+'NF - 5 Power Mix'!GVS14+'NF - 5 Power Mix'!GVS15)*860/10)+((('Form Sa1'!GVV835)*860)/10)+('Form Sa1'!GVV814*'Form Sa1'!GVV816/10)-'NF - 5 Power Mix'!GVS21-'NF - 5 Power Mix'!GVS22</f>
        <v>0</v>
      </c>
      <c r="GVT42" s="1046">
        <f>GVT38+((GVT40+'NF - 5 Power Mix'!GVT14+'NF - 5 Power Mix'!GVT15)*860/10)+((('Form Sa1'!GVW835)*860)/10)+('Form Sa1'!GVW814*'Form Sa1'!GVW816/10)-'NF - 5 Power Mix'!GVT21-'NF - 5 Power Mix'!GVT22</f>
        <v>0</v>
      </c>
      <c r="GVU42" s="1046">
        <f>GVU38+((GVU40+'NF - 5 Power Mix'!GVU14+'NF - 5 Power Mix'!GVU15)*860/10)+((('Form Sa1'!GVX835)*860)/10)+('Form Sa1'!GVX814*'Form Sa1'!GVX816/10)-'NF - 5 Power Mix'!GVU21-'NF - 5 Power Mix'!GVU22</f>
        <v>0</v>
      </c>
      <c r="GVV42" s="1046">
        <f>GVV38+((GVV40+'NF - 5 Power Mix'!GVV14+'NF - 5 Power Mix'!GVV15)*860/10)+((('Form Sa1'!GVY835)*860)/10)+('Form Sa1'!GVY814*'Form Sa1'!GVY816/10)-'NF - 5 Power Mix'!GVV21-'NF - 5 Power Mix'!GVV22</f>
        <v>0</v>
      </c>
      <c r="GVW42" s="1046">
        <f>GVW38+((GVW40+'NF - 5 Power Mix'!GVW14+'NF - 5 Power Mix'!GVW15)*860/10)+((('Form Sa1'!GVZ835)*860)/10)+('Form Sa1'!GVZ814*'Form Sa1'!GVZ816/10)-'NF - 5 Power Mix'!GVW21-'NF - 5 Power Mix'!GVW22</f>
        <v>0</v>
      </c>
      <c r="GVX42" s="1046">
        <f>GVX38+((GVX40+'NF - 5 Power Mix'!GVX14+'NF - 5 Power Mix'!GVX15)*860/10)+((('Form Sa1'!GWA835)*860)/10)+('Form Sa1'!GWA814*'Form Sa1'!GWA816/10)-'NF - 5 Power Mix'!GVX21-'NF - 5 Power Mix'!GVX22</f>
        <v>0</v>
      </c>
      <c r="GVY42" s="1046">
        <f>GVY38+((GVY40+'NF - 5 Power Mix'!GVY14+'NF - 5 Power Mix'!GVY15)*860/10)+((('Form Sa1'!GWB835)*860)/10)+('Form Sa1'!GWB814*'Form Sa1'!GWB816/10)-'NF - 5 Power Mix'!GVY21-'NF - 5 Power Mix'!GVY22</f>
        <v>0</v>
      </c>
      <c r="GVZ42" s="1046">
        <f>GVZ38+((GVZ40+'NF - 5 Power Mix'!GVZ14+'NF - 5 Power Mix'!GVZ15)*860/10)+((('Form Sa1'!GWC835)*860)/10)+('Form Sa1'!GWC814*'Form Sa1'!GWC816/10)-'NF - 5 Power Mix'!GVZ21-'NF - 5 Power Mix'!GVZ22</f>
        <v>0</v>
      </c>
      <c r="GWA42" s="1046">
        <f>GWA38+((GWA40+'NF - 5 Power Mix'!GWA14+'NF - 5 Power Mix'!GWA15)*860/10)+((('Form Sa1'!GWD835)*860)/10)+('Form Sa1'!GWD814*'Form Sa1'!GWD816/10)-'NF - 5 Power Mix'!GWA21-'NF - 5 Power Mix'!GWA22</f>
        <v>0</v>
      </c>
      <c r="GWB42" s="1046">
        <f>GWB38+((GWB40+'NF - 5 Power Mix'!GWB14+'NF - 5 Power Mix'!GWB15)*860/10)+((('Form Sa1'!GWE835)*860)/10)+('Form Sa1'!GWE814*'Form Sa1'!GWE816/10)-'NF - 5 Power Mix'!GWB21-'NF - 5 Power Mix'!GWB22</f>
        <v>0</v>
      </c>
      <c r="GWC42" s="1046">
        <f>GWC38+((GWC40+'NF - 5 Power Mix'!GWC14+'NF - 5 Power Mix'!GWC15)*860/10)+((('Form Sa1'!GWF835)*860)/10)+('Form Sa1'!GWF814*'Form Sa1'!GWF816/10)-'NF - 5 Power Mix'!GWC21-'NF - 5 Power Mix'!GWC22</f>
        <v>0</v>
      </c>
      <c r="GWD42" s="1046">
        <f>GWD38+((GWD40+'NF - 5 Power Mix'!GWD14+'NF - 5 Power Mix'!GWD15)*860/10)+((('Form Sa1'!GWG835)*860)/10)+('Form Sa1'!GWG814*'Form Sa1'!GWG816/10)-'NF - 5 Power Mix'!GWD21-'NF - 5 Power Mix'!GWD22</f>
        <v>0</v>
      </c>
      <c r="GWE42" s="1046">
        <f>GWE38+((GWE40+'NF - 5 Power Mix'!GWE14+'NF - 5 Power Mix'!GWE15)*860/10)+((('Form Sa1'!GWH835)*860)/10)+('Form Sa1'!GWH814*'Form Sa1'!GWH816/10)-'NF - 5 Power Mix'!GWE21-'NF - 5 Power Mix'!GWE22</f>
        <v>0</v>
      </c>
      <c r="GWF42" s="1046">
        <f>GWF38+((GWF40+'NF - 5 Power Mix'!GWF14+'NF - 5 Power Mix'!GWF15)*860/10)+((('Form Sa1'!GWI835)*860)/10)+('Form Sa1'!GWI814*'Form Sa1'!GWI816/10)-'NF - 5 Power Mix'!GWF21-'NF - 5 Power Mix'!GWF22</f>
        <v>0</v>
      </c>
      <c r="GWG42" s="1046">
        <f>GWG38+((GWG40+'NF - 5 Power Mix'!GWG14+'NF - 5 Power Mix'!GWG15)*860/10)+((('Form Sa1'!GWJ835)*860)/10)+('Form Sa1'!GWJ814*'Form Sa1'!GWJ816/10)-'NF - 5 Power Mix'!GWG21-'NF - 5 Power Mix'!GWG22</f>
        <v>0</v>
      </c>
      <c r="GWH42" s="1046">
        <f>GWH38+((GWH40+'NF - 5 Power Mix'!GWH14+'NF - 5 Power Mix'!GWH15)*860/10)+((('Form Sa1'!GWK835)*860)/10)+('Form Sa1'!GWK814*'Form Sa1'!GWK816/10)-'NF - 5 Power Mix'!GWH21-'NF - 5 Power Mix'!GWH22</f>
        <v>0</v>
      </c>
      <c r="GWI42" s="1046">
        <f>GWI38+((GWI40+'NF - 5 Power Mix'!GWI14+'NF - 5 Power Mix'!GWI15)*860/10)+((('Form Sa1'!GWL835)*860)/10)+('Form Sa1'!GWL814*'Form Sa1'!GWL816/10)-'NF - 5 Power Mix'!GWI21-'NF - 5 Power Mix'!GWI22</f>
        <v>0</v>
      </c>
      <c r="GWJ42" s="1046">
        <f>GWJ38+((GWJ40+'NF - 5 Power Mix'!GWJ14+'NF - 5 Power Mix'!GWJ15)*860/10)+((('Form Sa1'!GWM835)*860)/10)+('Form Sa1'!GWM814*'Form Sa1'!GWM816/10)-'NF - 5 Power Mix'!GWJ21-'NF - 5 Power Mix'!GWJ22</f>
        <v>0</v>
      </c>
      <c r="GWK42" s="1046">
        <f>GWK38+((GWK40+'NF - 5 Power Mix'!GWK14+'NF - 5 Power Mix'!GWK15)*860/10)+((('Form Sa1'!GWN835)*860)/10)+('Form Sa1'!GWN814*'Form Sa1'!GWN816/10)-'NF - 5 Power Mix'!GWK21-'NF - 5 Power Mix'!GWK22</f>
        <v>0</v>
      </c>
      <c r="GWL42" s="1046">
        <f>GWL38+((GWL40+'NF - 5 Power Mix'!GWL14+'NF - 5 Power Mix'!GWL15)*860/10)+((('Form Sa1'!GWO835)*860)/10)+('Form Sa1'!GWO814*'Form Sa1'!GWO816/10)-'NF - 5 Power Mix'!GWL21-'NF - 5 Power Mix'!GWL22</f>
        <v>0</v>
      </c>
      <c r="GWM42" s="1046">
        <f>GWM38+((GWM40+'NF - 5 Power Mix'!GWM14+'NF - 5 Power Mix'!GWM15)*860/10)+((('Form Sa1'!GWP835)*860)/10)+('Form Sa1'!GWP814*'Form Sa1'!GWP816/10)-'NF - 5 Power Mix'!GWM21-'NF - 5 Power Mix'!GWM22</f>
        <v>0</v>
      </c>
      <c r="GWN42" s="1046">
        <f>GWN38+((GWN40+'NF - 5 Power Mix'!GWN14+'NF - 5 Power Mix'!GWN15)*860/10)+((('Form Sa1'!GWQ835)*860)/10)+('Form Sa1'!GWQ814*'Form Sa1'!GWQ816/10)-'NF - 5 Power Mix'!GWN21-'NF - 5 Power Mix'!GWN22</f>
        <v>0</v>
      </c>
      <c r="GWO42" s="1046">
        <f>GWO38+((GWO40+'NF - 5 Power Mix'!GWO14+'NF - 5 Power Mix'!GWO15)*860/10)+((('Form Sa1'!GWR835)*860)/10)+('Form Sa1'!GWR814*'Form Sa1'!GWR816/10)-'NF - 5 Power Mix'!GWO21-'NF - 5 Power Mix'!GWO22</f>
        <v>0</v>
      </c>
      <c r="GWP42" s="1046">
        <f>GWP38+((GWP40+'NF - 5 Power Mix'!GWP14+'NF - 5 Power Mix'!GWP15)*860/10)+((('Form Sa1'!GWS835)*860)/10)+('Form Sa1'!GWS814*'Form Sa1'!GWS816/10)-'NF - 5 Power Mix'!GWP21-'NF - 5 Power Mix'!GWP22</f>
        <v>0</v>
      </c>
      <c r="GWQ42" s="1046">
        <f>GWQ38+((GWQ40+'NF - 5 Power Mix'!GWQ14+'NF - 5 Power Mix'!GWQ15)*860/10)+((('Form Sa1'!GWT835)*860)/10)+('Form Sa1'!GWT814*'Form Sa1'!GWT816/10)-'NF - 5 Power Mix'!GWQ21-'NF - 5 Power Mix'!GWQ22</f>
        <v>0</v>
      </c>
      <c r="GWR42" s="1046">
        <f>GWR38+((GWR40+'NF - 5 Power Mix'!GWR14+'NF - 5 Power Mix'!GWR15)*860/10)+((('Form Sa1'!GWU835)*860)/10)+('Form Sa1'!GWU814*'Form Sa1'!GWU816/10)-'NF - 5 Power Mix'!GWR21-'NF - 5 Power Mix'!GWR22</f>
        <v>0</v>
      </c>
      <c r="GWS42" s="1046">
        <f>GWS38+((GWS40+'NF - 5 Power Mix'!GWS14+'NF - 5 Power Mix'!GWS15)*860/10)+((('Form Sa1'!GWV835)*860)/10)+('Form Sa1'!GWV814*'Form Sa1'!GWV816/10)-'NF - 5 Power Mix'!GWS21-'NF - 5 Power Mix'!GWS22</f>
        <v>0</v>
      </c>
      <c r="GWT42" s="1046">
        <f>GWT38+((GWT40+'NF - 5 Power Mix'!GWT14+'NF - 5 Power Mix'!GWT15)*860/10)+((('Form Sa1'!GWW835)*860)/10)+('Form Sa1'!GWW814*'Form Sa1'!GWW816/10)-'NF - 5 Power Mix'!GWT21-'NF - 5 Power Mix'!GWT22</f>
        <v>0</v>
      </c>
      <c r="GWU42" s="1046">
        <f>GWU38+((GWU40+'NF - 5 Power Mix'!GWU14+'NF - 5 Power Mix'!GWU15)*860/10)+((('Form Sa1'!GWX835)*860)/10)+('Form Sa1'!GWX814*'Form Sa1'!GWX816/10)-'NF - 5 Power Mix'!GWU21-'NF - 5 Power Mix'!GWU22</f>
        <v>0</v>
      </c>
      <c r="GWV42" s="1046">
        <f>GWV38+((GWV40+'NF - 5 Power Mix'!GWV14+'NF - 5 Power Mix'!GWV15)*860/10)+((('Form Sa1'!GWY835)*860)/10)+('Form Sa1'!GWY814*'Form Sa1'!GWY816/10)-'NF - 5 Power Mix'!GWV21-'NF - 5 Power Mix'!GWV22</f>
        <v>0</v>
      </c>
      <c r="GWW42" s="1046">
        <f>GWW38+((GWW40+'NF - 5 Power Mix'!GWW14+'NF - 5 Power Mix'!GWW15)*860/10)+((('Form Sa1'!GWZ835)*860)/10)+('Form Sa1'!GWZ814*'Form Sa1'!GWZ816/10)-'NF - 5 Power Mix'!GWW21-'NF - 5 Power Mix'!GWW22</f>
        <v>0</v>
      </c>
      <c r="GWX42" s="1046">
        <f>GWX38+((GWX40+'NF - 5 Power Mix'!GWX14+'NF - 5 Power Mix'!GWX15)*860/10)+((('Form Sa1'!GXA835)*860)/10)+('Form Sa1'!GXA814*'Form Sa1'!GXA816/10)-'NF - 5 Power Mix'!GWX21-'NF - 5 Power Mix'!GWX22</f>
        <v>0</v>
      </c>
      <c r="GWY42" s="1046">
        <f>GWY38+((GWY40+'NF - 5 Power Mix'!GWY14+'NF - 5 Power Mix'!GWY15)*860/10)+((('Form Sa1'!GXB835)*860)/10)+('Form Sa1'!GXB814*'Form Sa1'!GXB816/10)-'NF - 5 Power Mix'!GWY21-'NF - 5 Power Mix'!GWY22</f>
        <v>0</v>
      </c>
      <c r="GWZ42" s="1046">
        <f>GWZ38+((GWZ40+'NF - 5 Power Mix'!GWZ14+'NF - 5 Power Mix'!GWZ15)*860/10)+((('Form Sa1'!GXC835)*860)/10)+('Form Sa1'!GXC814*'Form Sa1'!GXC816/10)-'NF - 5 Power Mix'!GWZ21-'NF - 5 Power Mix'!GWZ22</f>
        <v>0</v>
      </c>
      <c r="GXA42" s="1046">
        <f>GXA38+((GXA40+'NF - 5 Power Mix'!GXA14+'NF - 5 Power Mix'!GXA15)*860/10)+((('Form Sa1'!GXD835)*860)/10)+('Form Sa1'!GXD814*'Form Sa1'!GXD816/10)-'NF - 5 Power Mix'!GXA21-'NF - 5 Power Mix'!GXA22</f>
        <v>0</v>
      </c>
      <c r="GXB42" s="1046">
        <f>GXB38+((GXB40+'NF - 5 Power Mix'!GXB14+'NF - 5 Power Mix'!GXB15)*860/10)+((('Form Sa1'!GXE835)*860)/10)+('Form Sa1'!GXE814*'Form Sa1'!GXE816/10)-'NF - 5 Power Mix'!GXB21-'NF - 5 Power Mix'!GXB22</f>
        <v>0</v>
      </c>
      <c r="GXC42" s="1046">
        <f>GXC38+((GXC40+'NF - 5 Power Mix'!GXC14+'NF - 5 Power Mix'!GXC15)*860/10)+((('Form Sa1'!GXF835)*860)/10)+('Form Sa1'!GXF814*'Form Sa1'!GXF816/10)-'NF - 5 Power Mix'!GXC21-'NF - 5 Power Mix'!GXC22</f>
        <v>0</v>
      </c>
      <c r="GXD42" s="1046">
        <f>GXD38+((GXD40+'NF - 5 Power Mix'!GXD14+'NF - 5 Power Mix'!GXD15)*860/10)+((('Form Sa1'!GXG835)*860)/10)+('Form Sa1'!GXG814*'Form Sa1'!GXG816/10)-'NF - 5 Power Mix'!GXD21-'NF - 5 Power Mix'!GXD22</f>
        <v>0</v>
      </c>
      <c r="GXE42" s="1046">
        <f>GXE38+((GXE40+'NF - 5 Power Mix'!GXE14+'NF - 5 Power Mix'!GXE15)*860/10)+((('Form Sa1'!GXH835)*860)/10)+('Form Sa1'!GXH814*'Form Sa1'!GXH816/10)-'NF - 5 Power Mix'!GXE21-'NF - 5 Power Mix'!GXE22</f>
        <v>0</v>
      </c>
      <c r="GXF42" s="1046">
        <f>GXF38+((GXF40+'NF - 5 Power Mix'!GXF14+'NF - 5 Power Mix'!GXF15)*860/10)+((('Form Sa1'!GXI835)*860)/10)+('Form Sa1'!GXI814*'Form Sa1'!GXI816/10)-'NF - 5 Power Mix'!GXF21-'NF - 5 Power Mix'!GXF22</f>
        <v>0</v>
      </c>
      <c r="GXG42" s="1046">
        <f>GXG38+((GXG40+'NF - 5 Power Mix'!GXG14+'NF - 5 Power Mix'!GXG15)*860/10)+((('Form Sa1'!GXJ835)*860)/10)+('Form Sa1'!GXJ814*'Form Sa1'!GXJ816/10)-'NF - 5 Power Mix'!GXG21-'NF - 5 Power Mix'!GXG22</f>
        <v>0</v>
      </c>
      <c r="GXH42" s="1046">
        <f>GXH38+((GXH40+'NF - 5 Power Mix'!GXH14+'NF - 5 Power Mix'!GXH15)*860/10)+((('Form Sa1'!GXK835)*860)/10)+('Form Sa1'!GXK814*'Form Sa1'!GXK816/10)-'NF - 5 Power Mix'!GXH21-'NF - 5 Power Mix'!GXH22</f>
        <v>0</v>
      </c>
      <c r="GXI42" s="1046">
        <f>GXI38+((GXI40+'NF - 5 Power Mix'!GXI14+'NF - 5 Power Mix'!GXI15)*860/10)+((('Form Sa1'!GXL835)*860)/10)+('Form Sa1'!GXL814*'Form Sa1'!GXL816/10)-'NF - 5 Power Mix'!GXI21-'NF - 5 Power Mix'!GXI22</f>
        <v>0</v>
      </c>
      <c r="GXJ42" s="1046">
        <f>GXJ38+((GXJ40+'NF - 5 Power Mix'!GXJ14+'NF - 5 Power Mix'!GXJ15)*860/10)+((('Form Sa1'!GXM835)*860)/10)+('Form Sa1'!GXM814*'Form Sa1'!GXM816/10)-'NF - 5 Power Mix'!GXJ21-'NF - 5 Power Mix'!GXJ22</f>
        <v>0</v>
      </c>
      <c r="GXK42" s="1046">
        <f>GXK38+((GXK40+'NF - 5 Power Mix'!GXK14+'NF - 5 Power Mix'!GXK15)*860/10)+((('Form Sa1'!GXN835)*860)/10)+('Form Sa1'!GXN814*'Form Sa1'!GXN816/10)-'NF - 5 Power Mix'!GXK21-'NF - 5 Power Mix'!GXK22</f>
        <v>0</v>
      </c>
      <c r="GXL42" s="1046">
        <f>GXL38+((GXL40+'NF - 5 Power Mix'!GXL14+'NF - 5 Power Mix'!GXL15)*860/10)+((('Form Sa1'!GXO835)*860)/10)+('Form Sa1'!GXO814*'Form Sa1'!GXO816/10)-'NF - 5 Power Mix'!GXL21-'NF - 5 Power Mix'!GXL22</f>
        <v>0</v>
      </c>
      <c r="GXM42" s="1046">
        <f>GXM38+((GXM40+'NF - 5 Power Mix'!GXM14+'NF - 5 Power Mix'!GXM15)*860/10)+((('Form Sa1'!GXP835)*860)/10)+('Form Sa1'!GXP814*'Form Sa1'!GXP816/10)-'NF - 5 Power Mix'!GXM21-'NF - 5 Power Mix'!GXM22</f>
        <v>0</v>
      </c>
      <c r="GXN42" s="1046">
        <f>GXN38+((GXN40+'NF - 5 Power Mix'!GXN14+'NF - 5 Power Mix'!GXN15)*860/10)+((('Form Sa1'!GXQ835)*860)/10)+('Form Sa1'!GXQ814*'Form Sa1'!GXQ816/10)-'NF - 5 Power Mix'!GXN21-'NF - 5 Power Mix'!GXN22</f>
        <v>0</v>
      </c>
      <c r="GXO42" s="1046">
        <f>GXO38+((GXO40+'NF - 5 Power Mix'!GXO14+'NF - 5 Power Mix'!GXO15)*860/10)+((('Form Sa1'!GXR835)*860)/10)+('Form Sa1'!GXR814*'Form Sa1'!GXR816/10)-'NF - 5 Power Mix'!GXO21-'NF - 5 Power Mix'!GXO22</f>
        <v>0</v>
      </c>
      <c r="GXP42" s="1046">
        <f>GXP38+((GXP40+'NF - 5 Power Mix'!GXP14+'NF - 5 Power Mix'!GXP15)*860/10)+((('Form Sa1'!GXS835)*860)/10)+('Form Sa1'!GXS814*'Form Sa1'!GXS816/10)-'NF - 5 Power Mix'!GXP21-'NF - 5 Power Mix'!GXP22</f>
        <v>0</v>
      </c>
      <c r="GXQ42" s="1046">
        <f>GXQ38+((GXQ40+'NF - 5 Power Mix'!GXQ14+'NF - 5 Power Mix'!GXQ15)*860/10)+((('Form Sa1'!GXT835)*860)/10)+('Form Sa1'!GXT814*'Form Sa1'!GXT816/10)-'NF - 5 Power Mix'!GXQ21-'NF - 5 Power Mix'!GXQ22</f>
        <v>0</v>
      </c>
      <c r="GXR42" s="1046">
        <f>GXR38+((GXR40+'NF - 5 Power Mix'!GXR14+'NF - 5 Power Mix'!GXR15)*860/10)+((('Form Sa1'!GXU835)*860)/10)+('Form Sa1'!GXU814*'Form Sa1'!GXU816/10)-'NF - 5 Power Mix'!GXR21-'NF - 5 Power Mix'!GXR22</f>
        <v>0</v>
      </c>
      <c r="GXS42" s="1046">
        <f>GXS38+((GXS40+'NF - 5 Power Mix'!GXS14+'NF - 5 Power Mix'!GXS15)*860/10)+((('Form Sa1'!GXV835)*860)/10)+('Form Sa1'!GXV814*'Form Sa1'!GXV816/10)-'NF - 5 Power Mix'!GXS21-'NF - 5 Power Mix'!GXS22</f>
        <v>0</v>
      </c>
      <c r="GXT42" s="1046">
        <f>GXT38+((GXT40+'NF - 5 Power Mix'!GXT14+'NF - 5 Power Mix'!GXT15)*860/10)+((('Form Sa1'!GXW835)*860)/10)+('Form Sa1'!GXW814*'Form Sa1'!GXW816/10)-'NF - 5 Power Mix'!GXT21-'NF - 5 Power Mix'!GXT22</f>
        <v>0</v>
      </c>
      <c r="GXU42" s="1046">
        <f>GXU38+((GXU40+'NF - 5 Power Mix'!GXU14+'NF - 5 Power Mix'!GXU15)*860/10)+((('Form Sa1'!GXX835)*860)/10)+('Form Sa1'!GXX814*'Form Sa1'!GXX816/10)-'NF - 5 Power Mix'!GXU21-'NF - 5 Power Mix'!GXU22</f>
        <v>0</v>
      </c>
      <c r="GXV42" s="1046">
        <f>GXV38+((GXV40+'NF - 5 Power Mix'!GXV14+'NF - 5 Power Mix'!GXV15)*860/10)+((('Form Sa1'!GXY835)*860)/10)+('Form Sa1'!GXY814*'Form Sa1'!GXY816/10)-'NF - 5 Power Mix'!GXV21-'NF - 5 Power Mix'!GXV22</f>
        <v>0</v>
      </c>
      <c r="GXW42" s="1046">
        <f>GXW38+((GXW40+'NF - 5 Power Mix'!GXW14+'NF - 5 Power Mix'!GXW15)*860/10)+((('Form Sa1'!GXZ835)*860)/10)+('Form Sa1'!GXZ814*'Form Sa1'!GXZ816/10)-'NF - 5 Power Mix'!GXW21-'NF - 5 Power Mix'!GXW22</f>
        <v>0</v>
      </c>
      <c r="GXX42" s="1046">
        <f>GXX38+((GXX40+'NF - 5 Power Mix'!GXX14+'NF - 5 Power Mix'!GXX15)*860/10)+((('Form Sa1'!GYA835)*860)/10)+('Form Sa1'!GYA814*'Form Sa1'!GYA816/10)-'NF - 5 Power Mix'!GXX21-'NF - 5 Power Mix'!GXX22</f>
        <v>0</v>
      </c>
      <c r="GXY42" s="1046">
        <f>GXY38+((GXY40+'NF - 5 Power Mix'!GXY14+'NF - 5 Power Mix'!GXY15)*860/10)+((('Form Sa1'!GYB835)*860)/10)+('Form Sa1'!GYB814*'Form Sa1'!GYB816/10)-'NF - 5 Power Mix'!GXY21-'NF - 5 Power Mix'!GXY22</f>
        <v>0</v>
      </c>
      <c r="GXZ42" s="1046">
        <f>GXZ38+((GXZ40+'NF - 5 Power Mix'!GXZ14+'NF - 5 Power Mix'!GXZ15)*860/10)+((('Form Sa1'!GYC835)*860)/10)+('Form Sa1'!GYC814*'Form Sa1'!GYC816/10)-'NF - 5 Power Mix'!GXZ21-'NF - 5 Power Mix'!GXZ22</f>
        <v>0</v>
      </c>
      <c r="GYA42" s="1046">
        <f>GYA38+((GYA40+'NF - 5 Power Mix'!GYA14+'NF - 5 Power Mix'!GYA15)*860/10)+((('Form Sa1'!GYD835)*860)/10)+('Form Sa1'!GYD814*'Form Sa1'!GYD816/10)-'NF - 5 Power Mix'!GYA21-'NF - 5 Power Mix'!GYA22</f>
        <v>0</v>
      </c>
      <c r="GYB42" s="1046">
        <f>GYB38+((GYB40+'NF - 5 Power Mix'!GYB14+'NF - 5 Power Mix'!GYB15)*860/10)+((('Form Sa1'!GYE835)*860)/10)+('Form Sa1'!GYE814*'Form Sa1'!GYE816/10)-'NF - 5 Power Mix'!GYB21-'NF - 5 Power Mix'!GYB22</f>
        <v>0</v>
      </c>
      <c r="GYC42" s="1046">
        <f>GYC38+((GYC40+'NF - 5 Power Mix'!GYC14+'NF - 5 Power Mix'!GYC15)*860/10)+((('Form Sa1'!GYF835)*860)/10)+('Form Sa1'!GYF814*'Form Sa1'!GYF816/10)-'NF - 5 Power Mix'!GYC21-'NF - 5 Power Mix'!GYC22</f>
        <v>0</v>
      </c>
      <c r="GYD42" s="1046">
        <f>GYD38+((GYD40+'NF - 5 Power Mix'!GYD14+'NF - 5 Power Mix'!GYD15)*860/10)+((('Form Sa1'!GYG835)*860)/10)+('Form Sa1'!GYG814*'Form Sa1'!GYG816/10)-'NF - 5 Power Mix'!GYD21-'NF - 5 Power Mix'!GYD22</f>
        <v>0</v>
      </c>
      <c r="GYE42" s="1046">
        <f>GYE38+((GYE40+'NF - 5 Power Mix'!GYE14+'NF - 5 Power Mix'!GYE15)*860/10)+((('Form Sa1'!GYH835)*860)/10)+('Form Sa1'!GYH814*'Form Sa1'!GYH816/10)-'NF - 5 Power Mix'!GYE21-'NF - 5 Power Mix'!GYE22</f>
        <v>0</v>
      </c>
      <c r="GYF42" s="1046">
        <f>GYF38+((GYF40+'NF - 5 Power Mix'!GYF14+'NF - 5 Power Mix'!GYF15)*860/10)+((('Form Sa1'!GYI835)*860)/10)+('Form Sa1'!GYI814*'Form Sa1'!GYI816/10)-'NF - 5 Power Mix'!GYF21-'NF - 5 Power Mix'!GYF22</f>
        <v>0</v>
      </c>
      <c r="GYG42" s="1046">
        <f>GYG38+((GYG40+'NF - 5 Power Mix'!GYG14+'NF - 5 Power Mix'!GYG15)*860/10)+((('Form Sa1'!GYJ835)*860)/10)+('Form Sa1'!GYJ814*'Form Sa1'!GYJ816/10)-'NF - 5 Power Mix'!GYG21-'NF - 5 Power Mix'!GYG22</f>
        <v>0</v>
      </c>
      <c r="GYH42" s="1046">
        <f>GYH38+((GYH40+'NF - 5 Power Mix'!GYH14+'NF - 5 Power Mix'!GYH15)*860/10)+((('Form Sa1'!GYK835)*860)/10)+('Form Sa1'!GYK814*'Form Sa1'!GYK816/10)-'NF - 5 Power Mix'!GYH21-'NF - 5 Power Mix'!GYH22</f>
        <v>0</v>
      </c>
      <c r="GYI42" s="1046">
        <f>GYI38+((GYI40+'NF - 5 Power Mix'!GYI14+'NF - 5 Power Mix'!GYI15)*860/10)+((('Form Sa1'!GYL835)*860)/10)+('Form Sa1'!GYL814*'Form Sa1'!GYL816/10)-'NF - 5 Power Mix'!GYI21-'NF - 5 Power Mix'!GYI22</f>
        <v>0</v>
      </c>
      <c r="GYJ42" s="1046">
        <f>GYJ38+((GYJ40+'NF - 5 Power Mix'!GYJ14+'NF - 5 Power Mix'!GYJ15)*860/10)+((('Form Sa1'!GYM835)*860)/10)+('Form Sa1'!GYM814*'Form Sa1'!GYM816/10)-'NF - 5 Power Mix'!GYJ21-'NF - 5 Power Mix'!GYJ22</f>
        <v>0</v>
      </c>
      <c r="GYK42" s="1046">
        <f>GYK38+((GYK40+'NF - 5 Power Mix'!GYK14+'NF - 5 Power Mix'!GYK15)*860/10)+((('Form Sa1'!GYN835)*860)/10)+('Form Sa1'!GYN814*'Form Sa1'!GYN816/10)-'NF - 5 Power Mix'!GYK21-'NF - 5 Power Mix'!GYK22</f>
        <v>0</v>
      </c>
      <c r="GYL42" s="1046">
        <f>GYL38+((GYL40+'NF - 5 Power Mix'!GYL14+'NF - 5 Power Mix'!GYL15)*860/10)+((('Form Sa1'!GYO835)*860)/10)+('Form Sa1'!GYO814*'Form Sa1'!GYO816/10)-'NF - 5 Power Mix'!GYL21-'NF - 5 Power Mix'!GYL22</f>
        <v>0</v>
      </c>
      <c r="GYM42" s="1046">
        <f>GYM38+((GYM40+'NF - 5 Power Mix'!GYM14+'NF - 5 Power Mix'!GYM15)*860/10)+((('Form Sa1'!GYP835)*860)/10)+('Form Sa1'!GYP814*'Form Sa1'!GYP816/10)-'NF - 5 Power Mix'!GYM21-'NF - 5 Power Mix'!GYM22</f>
        <v>0</v>
      </c>
      <c r="GYN42" s="1046">
        <f>GYN38+((GYN40+'NF - 5 Power Mix'!GYN14+'NF - 5 Power Mix'!GYN15)*860/10)+((('Form Sa1'!GYQ835)*860)/10)+('Form Sa1'!GYQ814*'Form Sa1'!GYQ816/10)-'NF - 5 Power Mix'!GYN21-'NF - 5 Power Mix'!GYN22</f>
        <v>0</v>
      </c>
      <c r="GYO42" s="1046">
        <f>GYO38+((GYO40+'NF - 5 Power Mix'!GYO14+'NF - 5 Power Mix'!GYO15)*860/10)+((('Form Sa1'!GYR835)*860)/10)+('Form Sa1'!GYR814*'Form Sa1'!GYR816/10)-'NF - 5 Power Mix'!GYO21-'NF - 5 Power Mix'!GYO22</f>
        <v>0</v>
      </c>
      <c r="GYP42" s="1046">
        <f>GYP38+((GYP40+'NF - 5 Power Mix'!GYP14+'NF - 5 Power Mix'!GYP15)*860/10)+((('Form Sa1'!GYS835)*860)/10)+('Form Sa1'!GYS814*'Form Sa1'!GYS816/10)-'NF - 5 Power Mix'!GYP21-'NF - 5 Power Mix'!GYP22</f>
        <v>0</v>
      </c>
      <c r="GYQ42" s="1046">
        <f>GYQ38+((GYQ40+'NF - 5 Power Mix'!GYQ14+'NF - 5 Power Mix'!GYQ15)*860/10)+((('Form Sa1'!GYT835)*860)/10)+('Form Sa1'!GYT814*'Form Sa1'!GYT816/10)-'NF - 5 Power Mix'!GYQ21-'NF - 5 Power Mix'!GYQ22</f>
        <v>0</v>
      </c>
      <c r="GYR42" s="1046">
        <f>GYR38+((GYR40+'NF - 5 Power Mix'!GYR14+'NF - 5 Power Mix'!GYR15)*860/10)+((('Form Sa1'!GYU835)*860)/10)+('Form Sa1'!GYU814*'Form Sa1'!GYU816/10)-'NF - 5 Power Mix'!GYR21-'NF - 5 Power Mix'!GYR22</f>
        <v>0</v>
      </c>
      <c r="GYS42" s="1046">
        <f>GYS38+((GYS40+'NF - 5 Power Mix'!GYS14+'NF - 5 Power Mix'!GYS15)*860/10)+((('Form Sa1'!GYV835)*860)/10)+('Form Sa1'!GYV814*'Form Sa1'!GYV816/10)-'NF - 5 Power Mix'!GYS21-'NF - 5 Power Mix'!GYS22</f>
        <v>0</v>
      </c>
      <c r="GYT42" s="1046">
        <f>GYT38+((GYT40+'NF - 5 Power Mix'!GYT14+'NF - 5 Power Mix'!GYT15)*860/10)+((('Form Sa1'!GYW835)*860)/10)+('Form Sa1'!GYW814*'Form Sa1'!GYW816/10)-'NF - 5 Power Mix'!GYT21-'NF - 5 Power Mix'!GYT22</f>
        <v>0</v>
      </c>
      <c r="GYU42" s="1046">
        <f>GYU38+((GYU40+'NF - 5 Power Mix'!GYU14+'NF - 5 Power Mix'!GYU15)*860/10)+((('Form Sa1'!GYX835)*860)/10)+('Form Sa1'!GYX814*'Form Sa1'!GYX816/10)-'NF - 5 Power Mix'!GYU21-'NF - 5 Power Mix'!GYU22</f>
        <v>0</v>
      </c>
      <c r="GYV42" s="1046">
        <f>GYV38+((GYV40+'NF - 5 Power Mix'!GYV14+'NF - 5 Power Mix'!GYV15)*860/10)+((('Form Sa1'!GYY835)*860)/10)+('Form Sa1'!GYY814*'Form Sa1'!GYY816/10)-'NF - 5 Power Mix'!GYV21-'NF - 5 Power Mix'!GYV22</f>
        <v>0</v>
      </c>
      <c r="GYW42" s="1046">
        <f>GYW38+((GYW40+'NF - 5 Power Mix'!GYW14+'NF - 5 Power Mix'!GYW15)*860/10)+((('Form Sa1'!GYZ835)*860)/10)+('Form Sa1'!GYZ814*'Form Sa1'!GYZ816/10)-'NF - 5 Power Mix'!GYW21-'NF - 5 Power Mix'!GYW22</f>
        <v>0</v>
      </c>
      <c r="GYX42" s="1046">
        <f>GYX38+((GYX40+'NF - 5 Power Mix'!GYX14+'NF - 5 Power Mix'!GYX15)*860/10)+((('Form Sa1'!GZA835)*860)/10)+('Form Sa1'!GZA814*'Form Sa1'!GZA816/10)-'NF - 5 Power Mix'!GYX21-'NF - 5 Power Mix'!GYX22</f>
        <v>0</v>
      </c>
      <c r="GYY42" s="1046">
        <f>GYY38+((GYY40+'NF - 5 Power Mix'!GYY14+'NF - 5 Power Mix'!GYY15)*860/10)+((('Form Sa1'!GZB835)*860)/10)+('Form Sa1'!GZB814*'Form Sa1'!GZB816/10)-'NF - 5 Power Mix'!GYY21-'NF - 5 Power Mix'!GYY22</f>
        <v>0</v>
      </c>
      <c r="GYZ42" s="1046">
        <f>GYZ38+((GYZ40+'NF - 5 Power Mix'!GYZ14+'NF - 5 Power Mix'!GYZ15)*860/10)+((('Form Sa1'!GZC835)*860)/10)+('Form Sa1'!GZC814*'Form Sa1'!GZC816/10)-'NF - 5 Power Mix'!GYZ21-'NF - 5 Power Mix'!GYZ22</f>
        <v>0</v>
      </c>
      <c r="GZA42" s="1046">
        <f>GZA38+((GZA40+'NF - 5 Power Mix'!GZA14+'NF - 5 Power Mix'!GZA15)*860/10)+((('Form Sa1'!GZD835)*860)/10)+('Form Sa1'!GZD814*'Form Sa1'!GZD816/10)-'NF - 5 Power Mix'!GZA21-'NF - 5 Power Mix'!GZA22</f>
        <v>0</v>
      </c>
      <c r="GZB42" s="1046">
        <f>GZB38+((GZB40+'NF - 5 Power Mix'!GZB14+'NF - 5 Power Mix'!GZB15)*860/10)+((('Form Sa1'!GZE835)*860)/10)+('Form Sa1'!GZE814*'Form Sa1'!GZE816/10)-'NF - 5 Power Mix'!GZB21-'NF - 5 Power Mix'!GZB22</f>
        <v>0</v>
      </c>
      <c r="GZC42" s="1046">
        <f>GZC38+((GZC40+'NF - 5 Power Mix'!GZC14+'NF - 5 Power Mix'!GZC15)*860/10)+((('Form Sa1'!GZF835)*860)/10)+('Form Sa1'!GZF814*'Form Sa1'!GZF816/10)-'NF - 5 Power Mix'!GZC21-'NF - 5 Power Mix'!GZC22</f>
        <v>0</v>
      </c>
      <c r="GZD42" s="1046">
        <f>GZD38+((GZD40+'NF - 5 Power Mix'!GZD14+'NF - 5 Power Mix'!GZD15)*860/10)+((('Form Sa1'!GZG835)*860)/10)+('Form Sa1'!GZG814*'Form Sa1'!GZG816/10)-'NF - 5 Power Mix'!GZD21-'NF - 5 Power Mix'!GZD22</f>
        <v>0</v>
      </c>
      <c r="GZE42" s="1046">
        <f>GZE38+((GZE40+'NF - 5 Power Mix'!GZE14+'NF - 5 Power Mix'!GZE15)*860/10)+((('Form Sa1'!GZH835)*860)/10)+('Form Sa1'!GZH814*'Form Sa1'!GZH816/10)-'NF - 5 Power Mix'!GZE21-'NF - 5 Power Mix'!GZE22</f>
        <v>0</v>
      </c>
      <c r="GZF42" s="1046">
        <f>GZF38+((GZF40+'NF - 5 Power Mix'!GZF14+'NF - 5 Power Mix'!GZF15)*860/10)+((('Form Sa1'!GZI835)*860)/10)+('Form Sa1'!GZI814*'Form Sa1'!GZI816/10)-'NF - 5 Power Mix'!GZF21-'NF - 5 Power Mix'!GZF22</f>
        <v>0</v>
      </c>
      <c r="GZG42" s="1046">
        <f>GZG38+((GZG40+'NF - 5 Power Mix'!GZG14+'NF - 5 Power Mix'!GZG15)*860/10)+((('Form Sa1'!GZJ835)*860)/10)+('Form Sa1'!GZJ814*'Form Sa1'!GZJ816/10)-'NF - 5 Power Mix'!GZG21-'NF - 5 Power Mix'!GZG22</f>
        <v>0</v>
      </c>
      <c r="GZH42" s="1046">
        <f>GZH38+((GZH40+'NF - 5 Power Mix'!GZH14+'NF - 5 Power Mix'!GZH15)*860/10)+((('Form Sa1'!GZK835)*860)/10)+('Form Sa1'!GZK814*'Form Sa1'!GZK816/10)-'NF - 5 Power Mix'!GZH21-'NF - 5 Power Mix'!GZH22</f>
        <v>0</v>
      </c>
      <c r="GZI42" s="1046">
        <f>GZI38+((GZI40+'NF - 5 Power Mix'!GZI14+'NF - 5 Power Mix'!GZI15)*860/10)+((('Form Sa1'!GZL835)*860)/10)+('Form Sa1'!GZL814*'Form Sa1'!GZL816/10)-'NF - 5 Power Mix'!GZI21-'NF - 5 Power Mix'!GZI22</f>
        <v>0</v>
      </c>
      <c r="GZJ42" s="1046">
        <f>GZJ38+((GZJ40+'NF - 5 Power Mix'!GZJ14+'NF - 5 Power Mix'!GZJ15)*860/10)+((('Form Sa1'!GZM835)*860)/10)+('Form Sa1'!GZM814*'Form Sa1'!GZM816/10)-'NF - 5 Power Mix'!GZJ21-'NF - 5 Power Mix'!GZJ22</f>
        <v>0</v>
      </c>
      <c r="GZK42" s="1046">
        <f>GZK38+((GZK40+'NF - 5 Power Mix'!GZK14+'NF - 5 Power Mix'!GZK15)*860/10)+((('Form Sa1'!GZN835)*860)/10)+('Form Sa1'!GZN814*'Form Sa1'!GZN816/10)-'NF - 5 Power Mix'!GZK21-'NF - 5 Power Mix'!GZK22</f>
        <v>0</v>
      </c>
      <c r="GZL42" s="1046">
        <f>GZL38+((GZL40+'NF - 5 Power Mix'!GZL14+'NF - 5 Power Mix'!GZL15)*860/10)+((('Form Sa1'!GZO835)*860)/10)+('Form Sa1'!GZO814*'Form Sa1'!GZO816/10)-'NF - 5 Power Mix'!GZL21-'NF - 5 Power Mix'!GZL22</f>
        <v>0</v>
      </c>
      <c r="GZM42" s="1046">
        <f>GZM38+((GZM40+'NF - 5 Power Mix'!GZM14+'NF - 5 Power Mix'!GZM15)*860/10)+((('Form Sa1'!GZP835)*860)/10)+('Form Sa1'!GZP814*'Form Sa1'!GZP816/10)-'NF - 5 Power Mix'!GZM21-'NF - 5 Power Mix'!GZM22</f>
        <v>0</v>
      </c>
      <c r="GZN42" s="1046">
        <f>GZN38+((GZN40+'NF - 5 Power Mix'!GZN14+'NF - 5 Power Mix'!GZN15)*860/10)+((('Form Sa1'!GZQ835)*860)/10)+('Form Sa1'!GZQ814*'Form Sa1'!GZQ816/10)-'NF - 5 Power Mix'!GZN21-'NF - 5 Power Mix'!GZN22</f>
        <v>0</v>
      </c>
      <c r="GZO42" s="1046">
        <f>GZO38+((GZO40+'NF - 5 Power Mix'!GZO14+'NF - 5 Power Mix'!GZO15)*860/10)+((('Form Sa1'!GZR835)*860)/10)+('Form Sa1'!GZR814*'Form Sa1'!GZR816/10)-'NF - 5 Power Mix'!GZO21-'NF - 5 Power Mix'!GZO22</f>
        <v>0</v>
      </c>
      <c r="GZP42" s="1046">
        <f>GZP38+((GZP40+'NF - 5 Power Mix'!GZP14+'NF - 5 Power Mix'!GZP15)*860/10)+((('Form Sa1'!GZS835)*860)/10)+('Form Sa1'!GZS814*'Form Sa1'!GZS816/10)-'NF - 5 Power Mix'!GZP21-'NF - 5 Power Mix'!GZP22</f>
        <v>0</v>
      </c>
      <c r="GZQ42" s="1046">
        <f>GZQ38+((GZQ40+'NF - 5 Power Mix'!GZQ14+'NF - 5 Power Mix'!GZQ15)*860/10)+((('Form Sa1'!GZT835)*860)/10)+('Form Sa1'!GZT814*'Form Sa1'!GZT816/10)-'NF - 5 Power Mix'!GZQ21-'NF - 5 Power Mix'!GZQ22</f>
        <v>0</v>
      </c>
      <c r="GZR42" s="1046">
        <f>GZR38+((GZR40+'NF - 5 Power Mix'!GZR14+'NF - 5 Power Mix'!GZR15)*860/10)+((('Form Sa1'!GZU835)*860)/10)+('Form Sa1'!GZU814*'Form Sa1'!GZU816/10)-'NF - 5 Power Mix'!GZR21-'NF - 5 Power Mix'!GZR22</f>
        <v>0</v>
      </c>
      <c r="GZS42" s="1046">
        <f>GZS38+((GZS40+'NF - 5 Power Mix'!GZS14+'NF - 5 Power Mix'!GZS15)*860/10)+((('Form Sa1'!GZV835)*860)/10)+('Form Sa1'!GZV814*'Form Sa1'!GZV816/10)-'NF - 5 Power Mix'!GZS21-'NF - 5 Power Mix'!GZS22</f>
        <v>0</v>
      </c>
      <c r="GZT42" s="1046">
        <f>GZT38+((GZT40+'NF - 5 Power Mix'!GZT14+'NF - 5 Power Mix'!GZT15)*860/10)+((('Form Sa1'!GZW835)*860)/10)+('Form Sa1'!GZW814*'Form Sa1'!GZW816/10)-'NF - 5 Power Mix'!GZT21-'NF - 5 Power Mix'!GZT22</f>
        <v>0</v>
      </c>
      <c r="GZU42" s="1046">
        <f>GZU38+((GZU40+'NF - 5 Power Mix'!GZU14+'NF - 5 Power Mix'!GZU15)*860/10)+((('Form Sa1'!GZX835)*860)/10)+('Form Sa1'!GZX814*'Form Sa1'!GZX816/10)-'NF - 5 Power Mix'!GZU21-'NF - 5 Power Mix'!GZU22</f>
        <v>0</v>
      </c>
      <c r="GZV42" s="1046">
        <f>GZV38+((GZV40+'NF - 5 Power Mix'!GZV14+'NF - 5 Power Mix'!GZV15)*860/10)+((('Form Sa1'!GZY835)*860)/10)+('Form Sa1'!GZY814*'Form Sa1'!GZY816/10)-'NF - 5 Power Mix'!GZV21-'NF - 5 Power Mix'!GZV22</f>
        <v>0</v>
      </c>
      <c r="GZW42" s="1046">
        <f>GZW38+((GZW40+'NF - 5 Power Mix'!GZW14+'NF - 5 Power Mix'!GZW15)*860/10)+((('Form Sa1'!GZZ835)*860)/10)+('Form Sa1'!GZZ814*'Form Sa1'!GZZ816/10)-'NF - 5 Power Mix'!GZW21-'NF - 5 Power Mix'!GZW22</f>
        <v>0</v>
      </c>
      <c r="GZX42" s="1046">
        <f>GZX38+((GZX40+'NF - 5 Power Mix'!GZX14+'NF - 5 Power Mix'!GZX15)*860/10)+((('Form Sa1'!HAA835)*860)/10)+('Form Sa1'!HAA814*'Form Sa1'!HAA816/10)-'NF - 5 Power Mix'!GZX21-'NF - 5 Power Mix'!GZX22</f>
        <v>0</v>
      </c>
      <c r="GZY42" s="1046">
        <f>GZY38+((GZY40+'NF - 5 Power Mix'!GZY14+'NF - 5 Power Mix'!GZY15)*860/10)+((('Form Sa1'!HAB835)*860)/10)+('Form Sa1'!HAB814*'Form Sa1'!HAB816/10)-'NF - 5 Power Mix'!GZY21-'NF - 5 Power Mix'!GZY22</f>
        <v>0</v>
      </c>
      <c r="GZZ42" s="1046">
        <f>GZZ38+((GZZ40+'NF - 5 Power Mix'!GZZ14+'NF - 5 Power Mix'!GZZ15)*860/10)+((('Form Sa1'!HAC835)*860)/10)+('Form Sa1'!HAC814*'Form Sa1'!HAC816/10)-'NF - 5 Power Mix'!GZZ21-'NF - 5 Power Mix'!GZZ22</f>
        <v>0</v>
      </c>
      <c r="HAA42" s="1046">
        <f>HAA38+((HAA40+'NF - 5 Power Mix'!HAA14+'NF - 5 Power Mix'!HAA15)*860/10)+((('Form Sa1'!HAD835)*860)/10)+('Form Sa1'!HAD814*'Form Sa1'!HAD816/10)-'NF - 5 Power Mix'!HAA21-'NF - 5 Power Mix'!HAA22</f>
        <v>0</v>
      </c>
      <c r="HAB42" s="1046">
        <f>HAB38+((HAB40+'NF - 5 Power Mix'!HAB14+'NF - 5 Power Mix'!HAB15)*860/10)+((('Form Sa1'!HAE835)*860)/10)+('Form Sa1'!HAE814*'Form Sa1'!HAE816/10)-'NF - 5 Power Mix'!HAB21-'NF - 5 Power Mix'!HAB22</f>
        <v>0</v>
      </c>
      <c r="HAC42" s="1046">
        <f>HAC38+((HAC40+'NF - 5 Power Mix'!HAC14+'NF - 5 Power Mix'!HAC15)*860/10)+((('Form Sa1'!HAF835)*860)/10)+('Form Sa1'!HAF814*'Form Sa1'!HAF816/10)-'NF - 5 Power Mix'!HAC21-'NF - 5 Power Mix'!HAC22</f>
        <v>0</v>
      </c>
      <c r="HAD42" s="1046">
        <f>HAD38+((HAD40+'NF - 5 Power Mix'!HAD14+'NF - 5 Power Mix'!HAD15)*860/10)+((('Form Sa1'!HAG835)*860)/10)+('Form Sa1'!HAG814*'Form Sa1'!HAG816/10)-'NF - 5 Power Mix'!HAD21-'NF - 5 Power Mix'!HAD22</f>
        <v>0</v>
      </c>
      <c r="HAE42" s="1046">
        <f>HAE38+((HAE40+'NF - 5 Power Mix'!HAE14+'NF - 5 Power Mix'!HAE15)*860/10)+((('Form Sa1'!HAH835)*860)/10)+('Form Sa1'!HAH814*'Form Sa1'!HAH816/10)-'NF - 5 Power Mix'!HAE21-'NF - 5 Power Mix'!HAE22</f>
        <v>0</v>
      </c>
      <c r="HAF42" s="1046">
        <f>HAF38+((HAF40+'NF - 5 Power Mix'!HAF14+'NF - 5 Power Mix'!HAF15)*860/10)+((('Form Sa1'!HAI835)*860)/10)+('Form Sa1'!HAI814*'Form Sa1'!HAI816/10)-'NF - 5 Power Mix'!HAF21-'NF - 5 Power Mix'!HAF22</f>
        <v>0</v>
      </c>
      <c r="HAG42" s="1046">
        <f>HAG38+((HAG40+'NF - 5 Power Mix'!HAG14+'NF - 5 Power Mix'!HAG15)*860/10)+((('Form Sa1'!HAJ835)*860)/10)+('Form Sa1'!HAJ814*'Form Sa1'!HAJ816/10)-'NF - 5 Power Mix'!HAG21-'NF - 5 Power Mix'!HAG22</f>
        <v>0</v>
      </c>
      <c r="HAH42" s="1046">
        <f>HAH38+((HAH40+'NF - 5 Power Mix'!HAH14+'NF - 5 Power Mix'!HAH15)*860/10)+((('Form Sa1'!HAK835)*860)/10)+('Form Sa1'!HAK814*'Form Sa1'!HAK816/10)-'NF - 5 Power Mix'!HAH21-'NF - 5 Power Mix'!HAH22</f>
        <v>0</v>
      </c>
      <c r="HAI42" s="1046">
        <f>HAI38+((HAI40+'NF - 5 Power Mix'!HAI14+'NF - 5 Power Mix'!HAI15)*860/10)+((('Form Sa1'!HAL835)*860)/10)+('Form Sa1'!HAL814*'Form Sa1'!HAL816/10)-'NF - 5 Power Mix'!HAI21-'NF - 5 Power Mix'!HAI22</f>
        <v>0</v>
      </c>
      <c r="HAJ42" s="1046">
        <f>HAJ38+((HAJ40+'NF - 5 Power Mix'!HAJ14+'NF - 5 Power Mix'!HAJ15)*860/10)+((('Form Sa1'!HAM835)*860)/10)+('Form Sa1'!HAM814*'Form Sa1'!HAM816/10)-'NF - 5 Power Mix'!HAJ21-'NF - 5 Power Mix'!HAJ22</f>
        <v>0</v>
      </c>
      <c r="HAK42" s="1046">
        <f>HAK38+((HAK40+'NF - 5 Power Mix'!HAK14+'NF - 5 Power Mix'!HAK15)*860/10)+((('Form Sa1'!HAN835)*860)/10)+('Form Sa1'!HAN814*'Form Sa1'!HAN816/10)-'NF - 5 Power Mix'!HAK21-'NF - 5 Power Mix'!HAK22</f>
        <v>0</v>
      </c>
      <c r="HAL42" s="1046">
        <f>HAL38+((HAL40+'NF - 5 Power Mix'!HAL14+'NF - 5 Power Mix'!HAL15)*860/10)+((('Form Sa1'!HAO835)*860)/10)+('Form Sa1'!HAO814*'Form Sa1'!HAO816/10)-'NF - 5 Power Mix'!HAL21-'NF - 5 Power Mix'!HAL22</f>
        <v>0</v>
      </c>
      <c r="HAM42" s="1046">
        <f>HAM38+((HAM40+'NF - 5 Power Mix'!HAM14+'NF - 5 Power Mix'!HAM15)*860/10)+((('Form Sa1'!HAP835)*860)/10)+('Form Sa1'!HAP814*'Form Sa1'!HAP816/10)-'NF - 5 Power Mix'!HAM21-'NF - 5 Power Mix'!HAM22</f>
        <v>0</v>
      </c>
      <c r="HAN42" s="1046">
        <f>HAN38+((HAN40+'NF - 5 Power Mix'!HAN14+'NF - 5 Power Mix'!HAN15)*860/10)+((('Form Sa1'!HAQ835)*860)/10)+('Form Sa1'!HAQ814*'Form Sa1'!HAQ816/10)-'NF - 5 Power Mix'!HAN21-'NF - 5 Power Mix'!HAN22</f>
        <v>0</v>
      </c>
      <c r="HAO42" s="1046">
        <f>HAO38+((HAO40+'NF - 5 Power Mix'!HAO14+'NF - 5 Power Mix'!HAO15)*860/10)+((('Form Sa1'!HAR835)*860)/10)+('Form Sa1'!HAR814*'Form Sa1'!HAR816/10)-'NF - 5 Power Mix'!HAO21-'NF - 5 Power Mix'!HAO22</f>
        <v>0</v>
      </c>
      <c r="HAP42" s="1046">
        <f>HAP38+((HAP40+'NF - 5 Power Mix'!HAP14+'NF - 5 Power Mix'!HAP15)*860/10)+((('Form Sa1'!HAS835)*860)/10)+('Form Sa1'!HAS814*'Form Sa1'!HAS816/10)-'NF - 5 Power Mix'!HAP21-'NF - 5 Power Mix'!HAP22</f>
        <v>0</v>
      </c>
      <c r="HAQ42" s="1046">
        <f>HAQ38+((HAQ40+'NF - 5 Power Mix'!HAQ14+'NF - 5 Power Mix'!HAQ15)*860/10)+((('Form Sa1'!HAT835)*860)/10)+('Form Sa1'!HAT814*'Form Sa1'!HAT816/10)-'NF - 5 Power Mix'!HAQ21-'NF - 5 Power Mix'!HAQ22</f>
        <v>0</v>
      </c>
      <c r="HAR42" s="1046">
        <f>HAR38+((HAR40+'NF - 5 Power Mix'!HAR14+'NF - 5 Power Mix'!HAR15)*860/10)+((('Form Sa1'!HAU835)*860)/10)+('Form Sa1'!HAU814*'Form Sa1'!HAU816/10)-'NF - 5 Power Mix'!HAR21-'NF - 5 Power Mix'!HAR22</f>
        <v>0</v>
      </c>
      <c r="HAS42" s="1046">
        <f>HAS38+((HAS40+'NF - 5 Power Mix'!HAS14+'NF - 5 Power Mix'!HAS15)*860/10)+((('Form Sa1'!HAV835)*860)/10)+('Form Sa1'!HAV814*'Form Sa1'!HAV816/10)-'NF - 5 Power Mix'!HAS21-'NF - 5 Power Mix'!HAS22</f>
        <v>0</v>
      </c>
      <c r="HAT42" s="1046">
        <f>HAT38+((HAT40+'NF - 5 Power Mix'!HAT14+'NF - 5 Power Mix'!HAT15)*860/10)+((('Form Sa1'!HAW835)*860)/10)+('Form Sa1'!HAW814*'Form Sa1'!HAW816/10)-'NF - 5 Power Mix'!HAT21-'NF - 5 Power Mix'!HAT22</f>
        <v>0</v>
      </c>
      <c r="HAU42" s="1046">
        <f>HAU38+((HAU40+'NF - 5 Power Mix'!HAU14+'NF - 5 Power Mix'!HAU15)*860/10)+((('Form Sa1'!HAX835)*860)/10)+('Form Sa1'!HAX814*'Form Sa1'!HAX816/10)-'NF - 5 Power Mix'!HAU21-'NF - 5 Power Mix'!HAU22</f>
        <v>0</v>
      </c>
      <c r="HAV42" s="1046">
        <f>HAV38+((HAV40+'NF - 5 Power Mix'!HAV14+'NF - 5 Power Mix'!HAV15)*860/10)+((('Form Sa1'!HAY835)*860)/10)+('Form Sa1'!HAY814*'Form Sa1'!HAY816/10)-'NF - 5 Power Mix'!HAV21-'NF - 5 Power Mix'!HAV22</f>
        <v>0</v>
      </c>
      <c r="HAW42" s="1046">
        <f>HAW38+((HAW40+'NF - 5 Power Mix'!HAW14+'NF - 5 Power Mix'!HAW15)*860/10)+((('Form Sa1'!HAZ835)*860)/10)+('Form Sa1'!HAZ814*'Form Sa1'!HAZ816/10)-'NF - 5 Power Mix'!HAW21-'NF - 5 Power Mix'!HAW22</f>
        <v>0</v>
      </c>
      <c r="HAX42" s="1046">
        <f>HAX38+((HAX40+'NF - 5 Power Mix'!HAX14+'NF - 5 Power Mix'!HAX15)*860/10)+((('Form Sa1'!HBA835)*860)/10)+('Form Sa1'!HBA814*'Form Sa1'!HBA816/10)-'NF - 5 Power Mix'!HAX21-'NF - 5 Power Mix'!HAX22</f>
        <v>0</v>
      </c>
      <c r="HAY42" s="1046">
        <f>HAY38+((HAY40+'NF - 5 Power Mix'!HAY14+'NF - 5 Power Mix'!HAY15)*860/10)+((('Form Sa1'!HBB835)*860)/10)+('Form Sa1'!HBB814*'Form Sa1'!HBB816/10)-'NF - 5 Power Mix'!HAY21-'NF - 5 Power Mix'!HAY22</f>
        <v>0</v>
      </c>
      <c r="HAZ42" s="1046">
        <f>HAZ38+((HAZ40+'NF - 5 Power Mix'!HAZ14+'NF - 5 Power Mix'!HAZ15)*860/10)+((('Form Sa1'!HBC835)*860)/10)+('Form Sa1'!HBC814*'Form Sa1'!HBC816/10)-'NF - 5 Power Mix'!HAZ21-'NF - 5 Power Mix'!HAZ22</f>
        <v>0</v>
      </c>
      <c r="HBA42" s="1046">
        <f>HBA38+((HBA40+'NF - 5 Power Mix'!HBA14+'NF - 5 Power Mix'!HBA15)*860/10)+((('Form Sa1'!HBD835)*860)/10)+('Form Sa1'!HBD814*'Form Sa1'!HBD816/10)-'NF - 5 Power Mix'!HBA21-'NF - 5 Power Mix'!HBA22</f>
        <v>0</v>
      </c>
      <c r="HBB42" s="1046">
        <f>HBB38+((HBB40+'NF - 5 Power Mix'!HBB14+'NF - 5 Power Mix'!HBB15)*860/10)+((('Form Sa1'!HBE835)*860)/10)+('Form Sa1'!HBE814*'Form Sa1'!HBE816/10)-'NF - 5 Power Mix'!HBB21-'NF - 5 Power Mix'!HBB22</f>
        <v>0</v>
      </c>
      <c r="HBC42" s="1046">
        <f>HBC38+((HBC40+'NF - 5 Power Mix'!HBC14+'NF - 5 Power Mix'!HBC15)*860/10)+((('Form Sa1'!HBF835)*860)/10)+('Form Sa1'!HBF814*'Form Sa1'!HBF816/10)-'NF - 5 Power Mix'!HBC21-'NF - 5 Power Mix'!HBC22</f>
        <v>0</v>
      </c>
      <c r="HBD42" s="1046">
        <f>HBD38+((HBD40+'NF - 5 Power Mix'!HBD14+'NF - 5 Power Mix'!HBD15)*860/10)+((('Form Sa1'!HBG835)*860)/10)+('Form Sa1'!HBG814*'Form Sa1'!HBG816/10)-'NF - 5 Power Mix'!HBD21-'NF - 5 Power Mix'!HBD22</f>
        <v>0</v>
      </c>
      <c r="HBE42" s="1046">
        <f>HBE38+((HBE40+'NF - 5 Power Mix'!HBE14+'NF - 5 Power Mix'!HBE15)*860/10)+((('Form Sa1'!HBH835)*860)/10)+('Form Sa1'!HBH814*'Form Sa1'!HBH816/10)-'NF - 5 Power Mix'!HBE21-'NF - 5 Power Mix'!HBE22</f>
        <v>0</v>
      </c>
      <c r="HBF42" s="1046">
        <f>HBF38+((HBF40+'NF - 5 Power Mix'!HBF14+'NF - 5 Power Mix'!HBF15)*860/10)+((('Form Sa1'!HBI835)*860)/10)+('Form Sa1'!HBI814*'Form Sa1'!HBI816/10)-'NF - 5 Power Mix'!HBF21-'NF - 5 Power Mix'!HBF22</f>
        <v>0</v>
      </c>
      <c r="HBG42" s="1046">
        <f>HBG38+((HBG40+'NF - 5 Power Mix'!HBG14+'NF - 5 Power Mix'!HBG15)*860/10)+((('Form Sa1'!HBJ835)*860)/10)+('Form Sa1'!HBJ814*'Form Sa1'!HBJ816/10)-'NF - 5 Power Mix'!HBG21-'NF - 5 Power Mix'!HBG22</f>
        <v>0</v>
      </c>
      <c r="HBH42" s="1046">
        <f>HBH38+((HBH40+'NF - 5 Power Mix'!HBH14+'NF - 5 Power Mix'!HBH15)*860/10)+((('Form Sa1'!HBK835)*860)/10)+('Form Sa1'!HBK814*'Form Sa1'!HBK816/10)-'NF - 5 Power Mix'!HBH21-'NF - 5 Power Mix'!HBH22</f>
        <v>0</v>
      </c>
      <c r="HBI42" s="1046">
        <f>HBI38+((HBI40+'NF - 5 Power Mix'!HBI14+'NF - 5 Power Mix'!HBI15)*860/10)+((('Form Sa1'!HBL835)*860)/10)+('Form Sa1'!HBL814*'Form Sa1'!HBL816/10)-'NF - 5 Power Mix'!HBI21-'NF - 5 Power Mix'!HBI22</f>
        <v>0</v>
      </c>
      <c r="HBJ42" s="1046">
        <f>HBJ38+((HBJ40+'NF - 5 Power Mix'!HBJ14+'NF - 5 Power Mix'!HBJ15)*860/10)+((('Form Sa1'!HBM835)*860)/10)+('Form Sa1'!HBM814*'Form Sa1'!HBM816/10)-'NF - 5 Power Mix'!HBJ21-'NF - 5 Power Mix'!HBJ22</f>
        <v>0</v>
      </c>
      <c r="HBK42" s="1046">
        <f>HBK38+((HBK40+'NF - 5 Power Mix'!HBK14+'NF - 5 Power Mix'!HBK15)*860/10)+((('Form Sa1'!HBN835)*860)/10)+('Form Sa1'!HBN814*'Form Sa1'!HBN816/10)-'NF - 5 Power Mix'!HBK21-'NF - 5 Power Mix'!HBK22</f>
        <v>0</v>
      </c>
      <c r="HBL42" s="1046">
        <f>HBL38+((HBL40+'NF - 5 Power Mix'!HBL14+'NF - 5 Power Mix'!HBL15)*860/10)+((('Form Sa1'!HBO835)*860)/10)+('Form Sa1'!HBO814*'Form Sa1'!HBO816/10)-'NF - 5 Power Mix'!HBL21-'NF - 5 Power Mix'!HBL22</f>
        <v>0</v>
      </c>
      <c r="HBM42" s="1046">
        <f>HBM38+((HBM40+'NF - 5 Power Mix'!HBM14+'NF - 5 Power Mix'!HBM15)*860/10)+((('Form Sa1'!HBP835)*860)/10)+('Form Sa1'!HBP814*'Form Sa1'!HBP816/10)-'NF - 5 Power Mix'!HBM21-'NF - 5 Power Mix'!HBM22</f>
        <v>0</v>
      </c>
      <c r="HBN42" s="1046">
        <f>HBN38+((HBN40+'NF - 5 Power Mix'!HBN14+'NF - 5 Power Mix'!HBN15)*860/10)+((('Form Sa1'!HBQ835)*860)/10)+('Form Sa1'!HBQ814*'Form Sa1'!HBQ816/10)-'NF - 5 Power Mix'!HBN21-'NF - 5 Power Mix'!HBN22</f>
        <v>0</v>
      </c>
      <c r="HBO42" s="1046">
        <f>HBO38+((HBO40+'NF - 5 Power Mix'!HBO14+'NF - 5 Power Mix'!HBO15)*860/10)+((('Form Sa1'!HBR835)*860)/10)+('Form Sa1'!HBR814*'Form Sa1'!HBR816/10)-'NF - 5 Power Mix'!HBO21-'NF - 5 Power Mix'!HBO22</f>
        <v>0</v>
      </c>
      <c r="HBP42" s="1046">
        <f>HBP38+((HBP40+'NF - 5 Power Mix'!HBP14+'NF - 5 Power Mix'!HBP15)*860/10)+((('Form Sa1'!HBS835)*860)/10)+('Form Sa1'!HBS814*'Form Sa1'!HBS816/10)-'NF - 5 Power Mix'!HBP21-'NF - 5 Power Mix'!HBP22</f>
        <v>0</v>
      </c>
      <c r="HBQ42" s="1046">
        <f>HBQ38+((HBQ40+'NF - 5 Power Mix'!HBQ14+'NF - 5 Power Mix'!HBQ15)*860/10)+((('Form Sa1'!HBT835)*860)/10)+('Form Sa1'!HBT814*'Form Sa1'!HBT816/10)-'NF - 5 Power Mix'!HBQ21-'NF - 5 Power Mix'!HBQ22</f>
        <v>0</v>
      </c>
      <c r="HBR42" s="1046">
        <f>HBR38+((HBR40+'NF - 5 Power Mix'!HBR14+'NF - 5 Power Mix'!HBR15)*860/10)+((('Form Sa1'!HBU835)*860)/10)+('Form Sa1'!HBU814*'Form Sa1'!HBU816/10)-'NF - 5 Power Mix'!HBR21-'NF - 5 Power Mix'!HBR22</f>
        <v>0</v>
      </c>
      <c r="HBS42" s="1046">
        <f>HBS38+((HBS40+'NF - 5 Power Mix'!HBS14+'NF - 5 Power Mix'!HBS15)*860/10)+((('Form Sa1'!HBV835)*860)/10)+('Form Sa1'!HBV814*'Form Sa1'!HBV816/10)-'NF - 5 Power Mix'!HBS21-'NF - 5 Power Mix'!HBS22</f>
        <v>0</v>
      </c>
      <c r="HBT42" s="1046">
        <f>HBT38+((HBT40+'NF - 5 Power Mix'!HBT14+'NF - 5 Power Mix'!HBT15)*860/10)+((('Form Sa1'!HBW835)*860)/10)+('Form Sa1'!HBW814*'Form Sa1'!HBW816/10)-'NF - 5 Power Mix'!HBT21-'NF - 5 Power Mix'!HBT22</f>
        <v>0</v>
      </c>
      <c r="HBU42" s="1046">
        <f>HBU38+((HBU40+'NF - 5 Power Mix'!HBU14+'NF - 5 Power Mix'!HBU15)*860/10)+((('Form Sa1'!HBX835)*860)/10)+('Form Sa1'!HBX814*'Form Sa1'!HBX816/10)-'NF - 5 Power Mix'!HBU21-'NF - 5 Power Mix'!HBU22</f>
        <v>0</v>
      </c>
      <c r="HBV42" s="1046">
        <f>HBV38+((HBV40+'NF - 5 Power Mix'!HBV14+'NF - 5 Power Mix'!HBV15)*860/10)+((('Form Sa1'!HBY835)*860)/10)+('Form Sa1'!HBY814*'Form Sa1'!HBY816/10)-'NF - 5 Power Mix'!HBV21-'NF - 5 Power Mix'!HBV22</f>
        <v>0</v>
      </c>
      <c r="HBW42" s="1046">
        <f>HBW38+((HBW40+'NF - 5 Power Mix'!HBW14+'NF - 5 Power Mix'!HBW15)*860/10)+((('Form Sa1'!HBZ835)*860)/10)+('Form Sa1'!HBZ814*'Form Sa1'!HBZ816/10)-'NF - 5 Power Mix'!HBW21-'NF - 5 Power Mix'!HBW22</f>
        <v>0</v>
      </c>
      <c r="HBX42" s="1046">
        <f>HBX38+((HBX40+'NF - 5 Power Mix'!HBX14+'NF - 5 Power Mix'!HBX15)*860/10)+((('Form Sa1'!HCA835)*860)/10)+('Form Sa1'!HCA814*'Form Sa1'!HCA816/10)-'NF - 5 Power Mix'!HBX21-'NF - 5 Power Mix'!HBX22</f>
        <v>0</v>
      </c>
      <c r="HBY42" s="1046">
        <f>HBY38+((HBY40+'NF - 5 Power Mix'!HBY14+'NF - 5 Power Mix'!HBY15)*860/10)+((('Form Sa1'!HCB835)*860)/10)+('Form Sa1'!HCB814*'Form Sa1'!HCB816/10)-'NF - 5 Power Mix'!HBY21-'NF - 5 Power Mix'!HBY22</f>
        <v>0</v>
      </c>
      <c r="HBZ42" s="1046">
        <f>HBZ38+((HBZ40+'NF - 5 Power Mix'!HBZ14+'NF - 5 Power Mix'!HBZ15)*860/10)+((('Form Sa1'!HCC835)*860)/10)+('Form Sa1'!HCC814*'Form Sa1'!HCC816/10)-'NF - 5 Power Mix'!HBZ21-'NF - 5 Power Mix'!HBZ22</f>
        <v>0</v>
      </c>
      <c r="HCA42" s="1046">
        <f>HCA38+((HCA40+'NF - 5 Power Mix'!HCA14+'NF - 5 Power Mix'!HCA15)*860/10)+((('Form Sa1'!HCD835)*860)/10)+('Form Sa1'!HCD814*'Form Sa1'!HCD816/10)-'NF - 5 Power Mix'!HCA21-'NF - 5 Power Mix'!HCA22</f>
        <v>0</v>
      </c>
      <c r="HCB42" s="1046">
        <f>HCB38+((HCB40+'NF - 5 Power Mix'!HCB14+'NF - 5 Power Mix'!HCB15)*860/10)+((('Form Sa1'!HCE835)*860)/10)+('Form Sa1'!HCE814*'Form Sa1'!HCE816/10)-'NF - 5 Power Mix'!HCB21-'NF - 5 Power Mix'!HCB22</f>
        <v>0</v>
      </c>
      <c r="HCC42" s="1046">
        <f>HCC38+((HCC40+'NF - 5 Power Mix'!HCC14+'NF - 5 Power Mix'!HCC15)*860/10)+((('Form Sa1'!HCF835)*860)/10)+('Form Sa1'!HCF814*'Form Sa1'!HCF816/10)-'NF - 5 Power Mix'!HCC21-'NF - 5 Power Mix'!HCC22</f>
        <v>0</v>
      </c>
      <c r="HCD42" s="1046">
        <f>HCD38+((HCD40+'NF - 5 Power Mix'!HCD14+'NF - 5 Power Mix'!HCD15)*860/10)+((('Form Sa1'!HCG835)*860)/10)+('Form Sa1'!HCG814*'Form Sa1'!HCG816/10)-'NF - 5 Power Mix'!HCD21-'NF - 5 Power Mix'!HCD22</f>
        <v>0</v>
      </c>
      <c r="HCE42" s="1046">
        <f>HCE38+((HCE40+'NF - 5 Power Mix'!HCE14+'NF - 5 Power Mix'!HCE15)*860/10)+((('Form Sa1'!HCH835)*860)/10)+('Form Sa1'!HCH814*'Form Sa1'!HCH816/10)-'NF - 5 Power Mix'!HCE21-'NF - 5 Power Mix'!HCE22</f>
        <v>0</v>
      </c>
      <c r="HCF42" s="1046">
        <f>HCF38+((HCF40+'NF - 5 Power Mix'!HCF14+'NF - 5 Power Mix'!HCF15)*860/10)+((('Form Sa1'!HCI835)*860)/10)+('Form Sa1'!HCI814*'Form Sa1'!HCI816/10)-'NF - 5 Power Mix'!HCF21-'NF - 5 Power Mix'!HCF22</f>
        <v>0</v>
      </c>
      <c r="HCG42" s="1046">
        <f>HCG38+((HCG40+'NF - 5 Power Mix'!HCG14+'NF - 5 Power Mix'!HCG15)*860/10)+((('Form Sa1'!HCJ835)*860)/10)+('Form Sa1'!HCJ814*'Form Sa1'!HCJ816/10)-'NF - 5 Power Mix'!HCG21-'NF - 5 Power Mix'!HCG22</f>
        <v>0</v>
      </c>
      <c r="HCH42" s="1046">
        <f>HCH38+((HCH40+'NF - 5 Power Mix'!HCH14+'NF - 5 Power Mix'!HCH15)*860/10)+((('Form Sa1'!HCK835)*860)/10)+('Form Sa1'!HCK814*'Form Sa1'!HCK816/10)-'NF - 5 Power Mix'!HCH21-'NF - 5 Power Mix'!HCH22</f>
        <v>0</v>
      </c>
      <c r="HCI42" s="1046">
        <f>HCI38+((HCI40+'NF - 5 Power Mix'!HCI14+'NF - 5 Power Mix'!HCI15)*860/10)+((('Form Sa1'!HCL835)*860)/10)+('Form Sa1'!HCL814*'Form Sa1'!HCL816/10)-'NF - 5 Power Mix'!HCI21-'NF - 5 Power Mix'!HCI22</f>
        <v>0</v>
      </c>
      <c r="HCJ42" s="1046">
        <f>HCJ38+((HCJ40+'NF - 5 Power Mix'!HCJ14+'NF - 5 Power Mix'!HCJ15)*860/10)+((('Form Sa1'!HCM835)*860)/10)+('Form Sa1'!HCM814*'Form Sa1'!HCM816/10)-'NF - 5 Power Mix'!HCJ21-'NF - 5 Power Mix'!HCJ22</f>
        <v>0</v>
      </c>
      <c r="HCK42" s="1046">
        <f>HCK38+((HCK40+'NF - 5 Power Mix'!HCK14+'NF - 5 Power Mix'!HCK15)*860/10)+((('Form Sa1'!HCN835)*860)/10)+('Form Sa1'!HCN814*'Form Sa1'!HCN816/10)-'NF - 5 Power Mix'!HCK21-'NF - 5 Power Mix'!HCK22</f>
        <v>0</v>
      </c>
      <c r="HCL42" s="1046">
        <f>HCL38+((HCL40+'NF - 5 Power Mix'!HCL14+'NF - 5 Power Mix'!HCL15)*860/10)+((('Form Sa1'!HCO835)*860)/10)+('Form Sa1'!HCO814*'Form Sa1'!HCO816/10)-'NF - 5 Power Mix'!HCL21-'NF - 5 Power Mix'!HCL22</f>
        <v>0</v>
      </c>
      <c r="HCM42" s="1046">
        <f>HCM38+((HCM40+'NF - 5 Power Mix'!HCM14+'NF - 5 Power Mix'!HCM15)*860/10)+((('Form Sa1'!HCP835)*860)/10)+('Form Sa1'!HCP814*'Form Sa1'!HCP816/10)-'NF - 5 Power Mix'!HCM21-'NF - 5 Power Mix'!HCM22</f>
        <v>0</v>
      </c>
      <c r="HCN42" s="1046">
        <f>HCN38+((HCN40+'NF - 5 Power Mix'!HCN14+'NF - 5 Power Mix'!HCN15)*860/10)+((('Form Sa1'!HCQ835)*860)/10)+('Form Sa1'!HCQ814*'Form Sa1'!HCQ816/10)-'NF - 5 Power Mix'!HCN21-'NF - 5 Power Mix'!HCN22</f>
        <v>0</v>
      </c>
      <c r="HCO42" s="1046">
        <f>HCO38+((HCO40+'NF - 5 Power Mix'!HCO14+'NF - 5 Power Mix'!HCO15)*860/10)+((('Form Sa1'!HCR835)*860)/10)+('Form Sa1'!HCR814*'Form Sa1'!HCR816/10)-'NF - 5 Power Mix'!HCO21-'NF - 5 Power Mix'!HCO22</f>
        <v>0</v>
      </c>
      <c r="HCP42" s="1046">
        <f>HCP38+((HCP40+'NF - 5 Power Mix'!HCP14+'NF - 5 Power Mix'!HCP15)*860/10)+((('Form Sa1'!HCS835)*860)/10)+('Form Sa1'!HCS814*'Form Sa1'!HCS816/10)-'NF - 5 Power Mix'!HCP21-'NF - 5 Power Mix'!HCP22</f>
        <v>0</v>
      </c>
      <c r="HCQ42" s="1046">
        <f>HCQ38+((HCQ40+'NF - 5 Power Mix'!HCQ14+'NF - 5 Power Mix'!HCQ15)*860/10)+((('Form Sa1'!HCT835)*860)/10)+('Form Sa1'!HCT814*'Form Sa1'!HCT816/10)-'NF - 5 Power Mix'!HCQ21-'NF - 5 Power Mix'!HCQ22</f>
        <v>0</v>
      </c>
      <c r="HCR42" s="1046">
        <f>HCR38+((HCR40+'NF - 5 Power Mix'!HCR14+'NF - 5 Power Mix'!HCR15)*860/10)+((('Form Sa1'!HCU835)*860)/10)+('Form Sa1'!HCU814*'Form Sa1'!HCU816/10)-'NF - 5 Power Mix'!HCR21-'NF - 5 Power Mix'!HCR22</f>
        <v>0</v>
      </c>
      <c r="HCS42" s="1046">
        <f>HCS38+((HCS40+'NF - 5 Power Mix'!HCS14+'NF - 5 Power Mix'!HCS15)*860/10)+((('Form Sa1'!HCV835)*860)/10)+('Form Sa1'!HCV814*'Form Sa1'!HCV816/10)-'NF - 5 Power Mix'!HCS21-'NF - 5 Power Mix'!HCS22</f>
        <v>0</v>
      </c>
      <c r="HCT42" s="1046">
        <f>HCT38+((HCT40+'NF - 5 Power Mix'!HCT14+'NF - 5 Power Mix'!HCT15)*860/10)+((('Form Sa1'!HCW835)*860)/10)+('Form Sa1'!HCW814*'Form Sa1'!HCW816/10)-'NF - 5 Power Mix'!HCT21-'NF - 5 Power Mix'!HCT22</f>
        <v>0</v>
      </c>
      <c r="HCU42" s="1046">
        <f>HCU38+((HCU40+'NF - 5 Power Mix'!HCU14+'NF - 5 Power Mix'!HCU15)*860/10)+((('Form Sa1'!HCX835)*860)/10)+('Form Sa1'!HCX814*'Form Sa1'!HCX816/10)-'NF - 5 Power Mix'!HCU21-'NF - 5 Power Mix'!HCU22</f>
        <v>0</v>
      </c>
      <c r="HCV42" s="1046">
        <f>HCV38+((HCV40+'NF - 5 Power Mix'!HCV14+'NF - 5 Power Mix'!HCV15)*860/10)+((('Form Sa1'!HCY835)*860)/10)+('Form Sa1'!HCY814*'Form Sa1'!HCY816/10)-'NF - 5 Power Mix'!HCV21-'NF - 5 Power Mix'!HCV22</f>
        <v>0</v>
      </c>
      <c r="HCW42" s="1046">
        <f>HCW38+((HCW40+'NF - 5 Power Mix'!HCW14+'NF - 5 Power Mix'!HCW15)*860/10)+((('Form Sa1'!HCZ835)*860)/10)+('Form Sa1'!HCZ814*'Form Sa1'!HCZ816/10)-'NF - 5 Power Mix'!HCW21-'NF - 5 Power Mix'!HCW22</f>
        <v>0</v>
      </c>
      <c r="HCX42" s="1046">
        <f>HCX38+((HCX40+'NF - 5 Power Mix'!HCX14+'NF - 5 Power Mix'!HCX15)*860/10)+((('Form Sa1'!HDA835)*860)/10)+('Form Sa1'!HDA814*'Form Sa1'!HDA816/10)-'NF - 5 Power Mix'!HCX21-'NF - 5 Power Mix'!HCX22</f>
        <v>0</v>
      </c>
      <c r="HCY42" s="1046">
        <f>HCY38+((HCY40+'NF - 5 Power Mix'!HCY14+'NF - 5 Power Mix'!HCY15)*860/10)+((('Form Sa1'!HDB835)*860)/10)+('Form Sa1'!HDB814*'Form Sa1'!HDB816/10)-'NF - 5 Power Mix'!HCY21-'NF - 5 Power Mix'!HCY22</f>
        <v>0</v>
      </c>
      <c r="HCZ42" s="1046">
        <f>HCZ38+((HCZ40+'NF - 5 Power Mix'!HCZ14+'NF - 5 Power Mix'!HCZ15)*860/10)+((('Form Sa1'!HDC835)*860)/10)+('Form Sa1'!HDC814*'Form Sa1'!HDC816/10)-'NF - 5 Power Mix'!HCZ21-'NF - 5 Power Mix'!HCZ22</f>
        <v>0</v>
      </c>
      <c r="HDA42" s="1046">
        <f>HDA38+((HDA40+'NF - 5 Power Mix'!HDA14+'NF - 5 Power Mix'!HDA15)*860/10)+((('Form Sa1'!HDD835)*860)/10)+('Form Sa1'!HDD814*'Form Sa1'!HDD816/10)-'NF - 5 Power Mix'!HDA21-'NF - 5 Power Mix'!HDA22</f>
        <v>0</v>
      </c>
      <c r="HDB42" s="1046">
        <f>HDB38+((HDB40+'NF - 5 Power Mix'!HDB14+'NF - 5 Power Mix'!HDB15)*860/10)+((('Form Sa1'!HDE835)*860)/10)+('Form Sa1'!HDE814*'Form Sa1'!HDE816/10)-'NF - 5 Power Mix'!HDB21-'NF - 5 Power Mix'!HDB22</f>
        <v>0</v>
      </c>
      <c r="HDC42" s="1046">
        <f>HDC38+((HDC40+'NF - 5 Power Mix'!HDC14+'NF - 5 Power Mix'!HDC15)*860/10)+((('Form Sa1'!HDF835)*860)/10)+('Form Sa1'!HDF814*'Form Sa1'!HDF816/10)-'NF - 5 Power Mix'!HDC21-'NF - 5 Power Mix'!HDC22</f>
        <v>0</v>
      </c>
      <c r="HDD42" s="1046">
        <f>HDD38+((HDD40+'NF - 5 Power Mix'!HDD14+'NF - 5 Power Mix'!HDD15)*860/10)+((('Form Sa1'!HDG835)*860)/10)+('Form Sa1'!HDG814*'Form Sa1'!HDG816/10)-'NF - 5 Power Mix'!HDD21-'NF - 5 Power Mix'!HDD22</f>
        <v>0</v>
      </c>
      <c r="HDE42" s="1046">
        <f>HDE38+((HDE40+'NF - 5 Power Mix'!HDE14+'NF - 5 Power Mix'!HDE15)*860/10)+((('Form Sa1'!HDH835)*860)/10)+('Form Sa1'!HDH814*'Form Sa1'!HDH816/10)-'NF - 5 Power Mix'!HDE21-'NF - 5 Power Mix'!HDE22</f>
        <v>0</v>
      </c>
      <c r="HDF42" s="1046">
        <f>HDF38+((HDF40+'NF - 5 Power Mix'!HDF14+'NF - 5 Power Mix'!HDF15)*860/10)+((('Form Sa1'!HDI835)*860)/10)+('Form Sa1'!HDI814*'Form Sa1'!HDI816/10)-'NF - 5 Power Mix'!HDF21-'NF - 5 Power Mix'!HDF22</f>
        <v>0</v>
      </c>
      <c r="HDG42" s="1046">
        <f>HDG38+((HDG40+'NF - 5 Power Mix'!HDG14+'NF - 5 Power Mix'!HDG15)*860/10)+((('Form Sa1'!HDJ835)*860)/10)+('Form Sa1'!HDJ814*'Form Sa1'!HDJ816/10)-'NF - 5 Power Mix'!HDG21-'NF - 5 Power Mix'!HDG22</f>
        <v>0</v>
      </c>
      <c r="HDH42" s="1046">
        <f>HDH38+((HDH40+'NF - 5 Power Mix'!HDH14+'NF - 5 Power Mix'!HDH15)*860/10)+((('Form Sa1'!HDK835)*860)/10)+('Form Sa1'!HDK814*'Form Sa1'!HDK816/10)-'NF - 5 Power Mix'!HDH21-'NF - 5 Power Mix'!HDH22</f>
        <v>0</v>
      </c>
      <c r="HDI42" s="1046">
        <f>HDI38+((HDI40+'NF - 5 Power Mix'!HDI14+'NF - 5 Power Mix'!HDI15)*860/10)+((('Form Sa1'!HDL835)*860)/10)+('Form Sa1'!HDL814*'Form Sa1'!HDL816/10)-'NF - 5 Power Mix'!HDI21-'NF - 5 Power Mix'!HDI22</f>
        <v>0</v>
      </c>
      <c r="HDJ42" s="1046">
        <f>HDJ38+((HDJ40+'NF - 5 Power Mix'!HDJ14+'NF - 5 Power Mix'!HDJ15)*860/10)+((('Form Sa1'!HDM835)*860)/10)+('Form Sa1'!HDM814*'Form Sa1'!HDM816/10)-'NF - 5 Power Mix'!HDJ21-'NF - 5 Power Mix'!HDJ22</f>
        <v>0</v>
      </c>
      <c r="HDK42" s="1046">
        <f>HDK38+((HDK40+'NF - 5 Power Mix'!HDK14+'NF - 5 Power Mix'!HDK15)*860/10)+((('Form Sa1'!HDN835)*860)/10)+('Form Sa1'!HDN814*'Form Sa1'!HDN816/10)-'NF - 5 Power Mix'!HDK21-'NF - 5 Power Mix'!HDK22</f>
        <v>0</v>
      </c>
      <c r="HDL42" s="1046">
        <f>HDL38+((HDL40+'NF - 5 Power Mix'!HDL14+'NF - 5 Power Mix'!HDL15)*860/10)+((('Form Sa1'!HDO835)*860)/10)+('Form Sa1'!HDO814*'Form Sa1'!HDO816/10)-'NF - 5 Power Mix'!HDL21-'NF - 5 Power Mix'!HDL22</f>
        <v>0</v>
      </c>
      <c r="HDM42" s="1046">
        <f>HDM38+((HDM40+'NF - 5 Power Mix'!HDM14+'NF - 5 Power Mix'!HDM15)*860/10)+((('Form Sa1'!HDP835)*860)/10)+('Form Sa1'!HDP814*'Form Sa1'!HDP816/10)-'NF - 5 Power Mix'!HDM21-'NF - 5 Power Mix'!HDM22</f>
        <v>0</v>
      </c>
      <c r="HDN42" s="1046">
        <f>HDN38+((HDN40+'NF - 5 Power Mix'!HDN14+'NF - 5 Power Mix'!HDN15)*860/10)+((('Form Sa1'!HDQ835)*860)/10)+('Form Sa1'!HDQ814*'Form Sa1'!HDQ816/10)-'NF - 5 Power Mix'!HDN21-'NF - 5 Power Mix'!HDN22</f>
        <v>0</v>
      </c>
      <c r="HDO42" s="1046">
        <f>HDO38+((HDO40+'NF - 5 Power Mix'!HDO14+'NF - 5 Power Mix'!HDO15)*860/10)+((('Form Sa1'!HDR835)*860)/10)+('Form Sa1'!HDR814*'Form Sa1'!HDR816/10)-'NF - 5 Power Mix'!HDO21-'NF - 5 Power Mix'!HDO22</f>
        <v>0</v>
      </c>
      <c r="HDP42" s="1046">
        <f>HDP38+((HDP40+'NF - 5 Power Mix'!HDP14+'NF - 5 Power Mix'!HDP15)*860/10)+((('Form Sa1'!HDS835)*860)/10)+('Form Sa1'!HDS814*'Form Sa1'!HDS816/10)-'NF - 5 Power Mix'!HDP21-'NF - 5 Power Mix'!HDP22</f>
        <v>0</v>
      </c>
      <c r="HDQ42" s="1046">
        <f>HDQ38+((HDQ40+'NF - 5 Power Mix'!HDQ14+'NF - 5 Power Mix'!HDQ15)*860/10)+((('Form Sa1'!HDT835)*860)/10)+('Form Sa1'!HDT814*'Form Sa1'!HDT816/10)-'NF - 5 Power Mix'!HDQ21-'NF - 5 Power Mix'!HDQ22</f>
        <v>0</v>
      </c>
      <c r="HDR42" s="1046">
        <f>HDR38+((HDR40+'NF - 5 Power Mix'!HDR14+'NF - 5 Power Mix'!HDR15)*860/10)+((('Form Sa1'!HDU835)*860)/10)+('Form Sa1'!HDU814*'Form Sa1'!HDU816/10)-'NF - 5 Power Mix'!HDR21-'NF - 5 Power Mix'!HDR22</f>
        <v>0</v>
      </c>
      <c r="HDS42" s="1046">
        <f>HDS38+((HDS40+'NF - 5 Power Mix'!HDS14+'NF - 5 Power Mix'!HDS15)*860/10)+((('Form Sa1'!HDV835)*860)/10)+('Form Sa1'!HDV814*'Form Sa1'!HDV816/10)-'NF - 5 Power Mix'!HDS21-'NF - 5 Power Mix'!HDS22</f>
        <v>0</v>
      </c>
      <c r="HDT42" s="1046">
        <f>HDT38+((HDT40+'NF - 5 Power Mix'!HDT14+'NF - 5 Power Mix'!HDT15)*860/10)+((('Form Sa1'!HDW835)*860)/10)+('Form Sa1'!HDW814*'Form Sa1'!HDW816/10)-'NF - 5 Power Mix'!HDT21-'NF - 5 Power Mix'!HDT22</f>
        <v>0</v>
      </c>
      <c r="HDU42" s="1046">
        <f>HDU38+((HDU40+'NF - 5 Power Mix'!HDU14+'NF - 5 Power Mix'!HDU15)*860/10)+((('Form Sa1'!HDX835)*860)/10)+('Form Sa1'!HDX814*'Form Sa1'!HDX816/10)-'NF - 5 Power Mix'!HDU21-'NF - 5 Power Mix'!HDU22</f>
        <v>0</v>
      </c>
      <c r="HDV42" s="1046">
        <f>HDV38+((HDV40+'NF - 5 Power Mix'!HDV14+'NF - 5 Power Mix'!HDV15)*860/10)+((('Form Sa1'!HDY835)*860)/10)+('Form Sa1'!HDY814*'Form Sa1'!HDY816/10)-'NF - 5 Power Mix'!HDV21-'NF - 5 Power Mix'!HDV22</f>
        <v>0</v>
      </c>
      <c r="HDW42" s="1046">
        <f>HDW38+((HDW40+'NF - 5 Power Mix'!HDW14+'NF - 5 Power Mix'!HDW15)*860/10)+((('Form Sa1'!HDZ835)*860)/10)+('Form Sa1'!HDZ814*'Form Sa1'!HDZ816/10)-'NF - 5 Power Mix'!HDW21-'NF - 5 Power Mix'!HDW22</f>
        <v>0</v>
      </c>
      <c r="HDX42" s="1046">
        <f>HDX38+((HDX40+'NF - 5 Power Mix'!HDX14+'NF - 5 Power Mix'!HDX15)*860/10)+((('Form Sa1'!HEA835)*860)/10)+('Form Sa1'!HEA814*'Form Sa1'!HEA816/10)-'NF - 5 Power Mix'!HDX21-'NF - 5 Power Mix'!HDX22</f>
        <v>0</v>
      </c>
      <c r="HDY42" s="1046">
        <f>HDY38+((HDY40+'NF - 5 Power Mix'!HDY14+'NF - 5 Power Mix'!HDY15)*860/10)+((('Form Sa1'!HEB835)*860)/10)+('Form Sa1'!HEB814*'Form Sa1'!HEB816/10)-'NF - 5 Power Mix'!HDY21-'NF - 5 Power Mix'!HDY22</f>
        <v>0</v>
      </c>
      <c r="HDZ42" s="1046">
        <f>HDZ38+((HDZ40+'NF - 5 Power Mix'!HDZ14+'NF - 5 Power Mix'!HDZ15)*860/10)+((('Form Sa1'!HEC835)*860)/10)+('Form Sa1'!HEC814*'Form Sa1'!HEC816/10)-'NF - 5 Power Mix'!HDZ21-'NF - 5 Power Mix'!HDZ22</f>
        <v>0</v>
      </c>
      <c r="HEA42" s="1046">
        <f>HEA38+((HEA40+'NF - 5 Power Mix'!HEA14+'NF - 5 Power Mix'!HEA15)*860/10)+((('Form Sa1'!HED835)*860)/10)+('Form Sa1'!HED814*'Form Sa1'!HED816/10)-'NF - 5 Power Mix'!HEA21-'NF - 5 Power Mix'!HEA22</f>
        <v>0</v>
      </c>
      <c r="HEB42" s="1046">
        <f>HEB38+((HEB40+'NF - 5 Power Mix'!HEB14+'NF - 5 Power Mix'!HEB15)*860/10)+((('Form Sa1'!HEE835)*860)/10)+('Form Sa1'!HEE814*'Form Sa1'!HEE816/10)-'NF - 5 Power Mix'!HEB21-'NF - 5 Power Mix'!HEB22</f>
        <v>0</v>
      </c>
      <c r="HEC42" s="1046">
        <f>HEC38+((HEC40+'NF - 5 Power Mix'!HEC14+'NF - 5 Power Mix'!HEC15)*860/10)+((('Form Sa1'!HEF835)*860)/10)+('Form Sa1'!HEF814*'Form Sa1'!HEF816/10)-'NF - 5 Power Mix'!HEC21-'NF - 5 Power Mix'!HEC22</f>
        <v>0</v>
      </c>
      <c r="HED42" s="1046">
        <f>HED38+((HED40+'NF - 5 Power Mix'!HED14+'NF - 5 Power Mix'!HED15)*860/10)+((('Form Sa1'!HEG835)*860)/10)+('Form Sa1'!HEG814*'Form Sa1'!HEG816/10)-'NF - 5 Power Mix'!HED21-'NF - 5 Power Mix'!HED22</f>
        <v>0</v>
      </c>
      <c r="HEE42" s="1046">
        <f>HEE38+((HEE40+'NF - 5 Power Mix'!HEE14+'NF - 5 Power Mix'!HEE15)*860/10)+((('Form Sa1'!HEH835)*860)/10)+('Form Sa1'!HEH814*'Form Sa1'!HEH816/10)-'NF - 5 Power Mix'!HEE21-'NF - 5 Power Mix'!HEE22</f>
        <v>0</v>
      </c>
      <c r="HEF42" s="1046">
        <f>HEF38+((HEF40+'NF - 5 Power Mix'!HEF14+'NF - 5 Power Mix'!HEF15)*860/10)+((('Form Sa1'!HEI835)*860)/10)+('Form Sa1'!HEI814*'Form Sa1'!HEI816/10)-'NF - 5 Power Mix'!HEF21-'NF - 5 Power Mix'!HEF22</f>
        <v>0</v>
      </c>
      <c r="HEG42" s="1046">
        <f>HEG38+((HEG40+'NF - 5 Power Mix'!HEG14+'NF - 5 Power Mix'!HEG15)*860/10)+((('Form Sa1'!HEJ835)*860)/10)+('Form Sa1'!HEJ814*'Form Sa1'!HEJ816/10)-'NF - 5 Power Mix'!HEG21-'NF - 5 Power Mix'!HEG22</f>
        <v>0</v>
      </c>
      <c r="HEH42" s="1046">
        <f>HEH38+((HEH40+'NF - 5 Power Mix'!HEH14+'NF - 5 Power Mix'!HEH15)*860/10)+((('Form Sa1'!HEK835)*860)/10)+('Form Sa1'!HEK814*'Form Sa1'!HEK816/10)-'NF - 5 Power Mix'!HEH21-'NF - 5 Power Mix'!HEH22</f>
        <v>0</v>
      </c>
      <c r="HEI42" s="1046">
        <f>HEI38+((HEI40+'NF - 5 Power Mix'!HEI14+'NF - 5 Power Mix'!HEI15)*860/10)+((('Form Sa1'!HEL835)*860)/10)+('Form Sa1'!HEL814*'Form Sa1'!HEL816/10)-'NF - 5 Power Mix'!HEI21-'NF - 5 Power Mix'!HEI22</f>
        <v>0</v>
      </c>
      <c r="HEJ42" s="1046">
        <f>HEJ38+((HEJ40+'NF - 5 Power Mix'!HEJ14+'NF - 5 Power Mix'!HEJ15)*860/10)+((('Form Sa1'!HEM835)*860)/10)+('Form Sa1'!HEM814*'Form Sa1'!HEM816/10)-'NF - 5 Power Mix'!HEJ21-'NF - 5 Power Mix'!HEJ22</f>
        <v>0</v>
      </c>
      <c r="HEK42" s="1046">
        <f>HEK38+((HEK40+'NF - 5 Power Mix'!HEK14+'NF - 5 Power Mix'!HEK15)*860/10)+((('Form Sa1'!HEN835)*860)/10)+('Form Sa1'!HEN814*'Form Sa1'!HEN816/10)-'NF - 5 Power Mix'!HEK21-'NF - 5 Power Mix'!HEK22</f>
        <v>0</v>
      </c>
      <c r="HEL42" s="1046">
        <f>HEL38+((HEL40+'NF - 5 Power Mix'!HEL14+'NF - 5 Power Mix'!HEL15)*860/10)+((('Form Sa1'!HEO835)*860)/10)+('Form Sa1'!HEO814*'Form Sa1'!HEO816/10)-'NF - 5 Power Mix'!HEL21-'NF - 5 Power Mix'!HEL22</f>
        <v>0</v>
      </c>
      <c r="HEM42" s="1046">
        <f>HEM38+((HEM40+'NF - 5 Power Mix'!HEM14+'NF - 5 Power Mix'!HEM15)*860/10)+((('Form Sa1'!HEP835)*860)/10)+('Form Sa1'!HEP814*'Form Sa1'!HEP816/10)-'NF - 5 Power Mix'!HEM21-'NF - 5 Power Mix'!HEM22</f>
        <v>0</v>
      </c>
      <c r="HEN42" s="1046">
        <f>HEN38+((HEN40+'NF - 5 Power Mix'!HEN14+'NF - 5 Power Mix'!HEN15)*860/10)+((('Form Sa1'!HEQ835)*860)/10)+('Form Sa1'!HEQ814*'Form Sa1'!HEQ816/10)-'NF - 5 Power Mix'!HEN21-'NF - 5 Power Mix'!HEN22</f>
        <v>0</v>
      </c>
      <c r="HEO42" s="1046">
        <f>HEO38+((HEO40+'NF - 5 Power Mix'!HEO14+'NF - 5 Power Mix'!HEO15)*860/10)+((('Form Sa1'!HER835)*860)/10)+('Form Sa1'!HER814*'Form Sa1'!HER816/10)-'NF - 5 Power Mix'!HEO21-'NF - 5 Power Mix'!HEO22</f>
        <v>0</v>
      </c>
      <c r="HEP42" s="1046">
        <f>HEP38+((HEP40+'NF - 5 Power Mix'!HEP14+'NF - 5 Power Mix'!HEP15)*860/10)+((('Form Sa1'!HES835)*860)/10)+('Form Sa1'!HES814*'Form Sa1'!HES816/10)-'NF - 5 Power Mix'!HEP21-'NF - 5 Power Mix'!HEP22</f>
        <v>0</v>
      </c>
      <c r="HEQ42" s="1046">
        <f>HEQ38+((HEQ40+'NF - 5 Power Mix'!HEQ14+'NF - 5 Power Mix'!HEQ15)*860/10)+((('Form Sa1'!HET835)*860)/10)+('Form Sa1'!HET814*'Form Sa1'!HET816/10)-'NF - 5 Power Mix'!HEQ21-'NF - 5 Power Mix'!HEQ22</f>
        <v>0</v>
      </c>
      <c r="HER42" s="1046">
        <f>HER38+((HER40+'NF - 5 Power Mix'!HER14+'NF - 5 Power Mix'!HER15)*860/10)+((('Form Sa1'!HEU835)*860)/10)+('Form Sa1'!HEU814*'Form Sa1'!HEU816/10)-'NF - 5 Power Mix'!HER21-'NF - 5 Power Mix'!HER22</f>
        <v>0</v>
      </c>
      <c r="HES42" s="1046">
        <f>HES38+((HES40+'NF - 5 Power Mix'!HES14+'NF - 5 Power Mix'!HES15)*860/10)+((('Form Sa1'!HEV835)*860)/10)+('Form Sa1'!HEV814*'Form Sa1'!HEV816/10)-'NF - 5 Power Mix'!HES21-'NF - 5 Power Mix'!HES22</f>
        <v>0</v>
      </c>
      <c r="HET42" s="1046">
        <f>HET38+((HET40+'NF - 5 Power Mix'!HET14+'NF - 5 Power Mix'!HET15)*860/10)+((('Form Sa1'!HEW835)*860)/10)+('Form Sa1'!HEW814*'Form Sa1'!HEW816/10)-'NF - 5 Power Mix'!HET21-'NF - 5 Power Mix'!HET22</f>
        <v>0</v>
      </c>
      <c r="HEU42" s="1046">
        <f>HEU38+((HEU40+'NF - 5 Power Mix'!HEU14+'NF - 5 Power Mix'!HEU15)*860/10)+((('Form Sa1'!HEX835)*860)/10)+('Form Sa1'!HEX814*'Form Sa1'!HEX816/10)-'NF - 5 Power Mix'!HEU21-'NF - 5 Power Mix'!HEU22</f>
        <v>0</v>
      </c>
      <c r="HEV42" s="1046">
        <f>HEV38+((HEV40+'NF - 5 Power Mix'!HEV14+'NF - 5 Power Mix'!HEV15)*860/10)+((('Form Sa1'!HEY835)*860)/10)+('Form Sa1'!HEY814*'Form Sa1'!HEY816/10)-'NF - 5 Power Mix'!HEV21-'NF - 5 Power Mix'!HEV22</f>
        <v>0</v>
      </c>
      <c r="HEW42" s="1046">
        <f>HEW38+((HEW40+'NF - 5 Power Mix'!HEW14+'NF - 5 Power Mix'!HEW15)*860/10)+((('Form Sa1'!HEZ835)*860)/10)+('Form Sa1'!HEZ814*'Form Sa1'!HEZ816/10)-'NF - 5 Power Mix'!HEW21-'NF - 5 Power Mix'!HEW22</f>
        <v>0</v>
      </c>
      <c r="HEX42" s="1046">
        <f>HEX38+((HEX40+'NF - 5 Power Mix'!HEX14+'NF - 5 Power Mix'!HEX15)*860/10)+((('Form Sa1'!HFA835)*860)/10)+('Form Sa1'!HFA814*'Form Sa1'!HFA816/10)-'NF - 5 Power Mix'!HEX21-'NF - 5 Power Mix'!HEX22</f>
        <v>0</v>
      </c>
      <c r="HEY42" s="1046">
        <f>HEY38+((HEY40+'NF - 5 Power Mix'!HEY14+'NF - 5 Power Mix'!HEY15)*860/10)+((('Form Sa1'!HFB835)*860)/10)+('Form Sa1'!HFB814*'Form Sa1'!HFB816/10)-'NF - 5 Power Mix'!HEY21-'NF - 5 Power Mix'!HEY22</f>
        <v>0</v>
      </c>
      <c r="HEZ42" s="1046">
        <f>HEZ38+((HEZ40+'NF - 5 Power Mix'!HEZ14+'NF - 5 Power Mix'!HEZ15)*860/10)+((('Form Sa1'!HFC835)*860)/10)+('Form Sa1'!HFC814*'Form Sa1'!HFC816/10)-'NF - 5 Power Mix'!HEZ21-'NF - 5 Power Mix'!HEZ22</f>
        <v>0</v>
      </c>
      <c r="HFA42" s="1046">
        <f>HFA38+((HFA40+'NF - 5 Power Mix'!HFA14+'NF - 5 Power Mix'!HFA15)*860/10)+((('Form Sa1'!HFD835)*860)/10)+('Form Sa1'!HFD814*'Form Sa1'!HFD816/10)-'NF - 5 Power Mix'!HFA21-'NF - 5 Power Mix'!HFA22</f>
        <v>0</v>
      </c>
      <c r="HFB42" s="1046">
        <f>HFB38+((HFB40+'NF - 5 Power Mix'!HFB14+'NF - 5 Power Mix'!HFB15)*860/10)+((('Form Sa1'!HFE835)*860)/10)+('Form Sa1'!HFE814*'Form Sa1'!HFE816/10)-'NF - 5 Power Mix'!HFB21-'NF - 5 Power Mix'!HFB22</f>
        <v>0</v>
      </c>
      <c r="HFC42" s="1046">
        <f>HFC38+((HFC40+'NF - 5 Power Mix'!HFC14+'NF - 5 Power Mix'!HFC15)*860/10)+((('Form Sa1'!HFF835)*860)/10)+('Form Sa1'!HFF814*'Form Sa1'!HFF816/10)-'NF - 5 Power Mix'!HFC21-'NF - 5 Power Mix'!HFC22</f>
        <v>0</v>
      </c>
      <c r="HFD42" s="1046">
        <f>HFD38+((HFD40+'NF - 5 Power Mix'!HFD14+'NF - 5 Power Mix'!HFD15)*860/10)+((('Form Sa1'!HFG835)*860)/10)+('Form Sa1'!HFG814*'Form Sa1'!HFG816/10)-'NF - 5 Power Mix'!HFD21-'NF - 5 Power Mix'!HFD22</f>
        <v>0</v>
      </c>
      <c r="HFE42" s="1046">
        <f>HFE38+((HFE40+'NF - 5 Power Mix'!HFE14+'NF - 5 Power Mix'!HFE15)*860/10)+((('Form Sa1'!HFH835)*860)/10)+('Form Sa1'!HFH814*'Form Sa1'!HFH816/10)-'NF - 5 Power Mix'!HFE21-'NF - 5 Power Mix'!HFE22</f>
        <v>0</v>
      </c>
      <c r="HFF42" s="1046">
        <f>HFF38+((HFF40+'NF - 5 Power Mix'!HFF14+'NF - 5 Power Mix'!HFF15)*860/10)+((('Form Sa1'!HFI835)*860)/10)+('Form Sa1'!HFI814*'Form Sa1'!HFI816/10)-'NF - 5 Power Mix'!HFF21-'NF - 5 Power Mix'!HFF22</f>
        <v>0</v>
      </c>
      <c r="HFG42" s="1046">
        <f>HFG38+((HFG40+'NF - 5 Power Mix'!HFG14+'NF - 5 Power Mix'!HFG15)*860/10)+((('Form Sa1'!HFJ835)*860)/10)+('Form Sa1'!HFJ814*'Form Sa1'!HFJ816/10)-'NF - 5 Power Mix'!HFG21-'NF - 5 Power Mix'!HFG22</f>
        <v>0</v>
      </c>
      <c r="HFH42" s="1046">
        <f>HFH38+((HFH40+'NF - 5 Power Mix'!HFH14+'NF - 5 Power Mix'!HFH15)*860/10)+((('Form Sa1'!HFK835)*860)/10)+('Form Sa1'!HFK814*'Form Sa1'!HFK816/10)-'NF - 5 Power Mix'!HFH21-'NF - 5 Power Mix'!HFH22</f>
        <v>0</v>
      </c>
      <c r="HFI42" s="1046">
        <f>HFI38+((HFI40+'NF - 5 Power Mix'!HFI14+'NF - 5 Power Mix'!HFI15)*860/10)+((('Form Sa1'!HFL835)*860)/10)+('Form Sa1'!HFL814*'Form Sa1'!HFL816/10)-'NF - 5 Power Mix'!HFI21-'NF - 5 Power Mix'!HFI22</f>
        <v>0</v>
      </c>
      <c r="HFJ42" s="1046">
        <f>HFJ38+((HFJ40+'NF - 5 Power Mix'!HFJ14+'NF - 5 Power Mix'!HFJ15)*860/10)+((('Form Sa1'!HFM835)*860)/10)+('Form Sa1'!HFM814*'Form Sa1'!HFM816/10)-'NF - 5 Power Mix'!HFJ21-'NF - 5 Power Mix'!HFJ22</f>
        <v>0</v>
      </c>
      <c r="HFK42" s="1046">
        <f>HFK38+((HFK40+'NF - 5 Power Mix'!HFK14+'NF - 5 Power Mix'!HFK15)*860/10)+((('Form Sa1'!HFN835)*860)/10)+('Form Sa1'!HFN814*'Form Sa1'!HFN816/10)-'NF - 5 Power Mix'!HFK21-'NF - 5 Power Mix'!HFK22</f>
        <v>0</v>
      </c>
      <c r="HFL42" s="1046">
        <f>HFL38+((HFL40+'NF - 5 Power Mix'!HFL14+'NF - 5 Power Mix'!HFL15)*860/10)+((('Form Sa1'!HFO835)*860)/10)+('Form Sa1'!HFO814*'Form Sa1'!HFO816/10)-'NF - 5 Power Mix'!HFL21-'NF - 5 Power Mix'!HFL22</f>
        <v>0</v>
      </c>
      <c r="HFM42" s="1046">
        <f>HFM38+((HFM40+'NF - 5 Power Mix'!HFM14+'NF - 5 Power Mix'!HFM15)*860/10)+((('Form Sa1'!HFP835)*860)/10)+('Form Sa1'!HFP814*'Form Sa1'!HFP816/10)-'NF - 5 Power Mix'!HFM21-'NF - 5 Power Mix'!HFM22</f>
        <v>0</v>
      </c>
      <c r="HFN42" s="1046">
        <f>HFN38+((HFN40+'NF - 5 Power Mix'!HFN14+'NF - 5 Power Mix'!HFN15)*860/10)+((('Form Sa1'!HFQ835)*860)/10)+('Form Sa1'!HFQ814*'Form Sa1'!HFQ816/10)-'NF - 5 Power Mix'!HFN21-'NF - 5 Power Mix'!HFN22</f>
        <v>0</v>
      </c>
      <c r="HFO42" s="1046">
        <f>HFO38+((HFO40+'NF - 5 Power Mix'!HFO14+'NF - 5 Power Mix'!HFO15)*860/10)+((('Form Sa1'!HFR835)*860)/10)+('Form Sa1'!HFR814*'Form Sa1'!HFR816/10)-'NF - 5 Power Mix'!HFO21-'NF - 5 Power Mix'!HFO22</f>
        <v>0</v>
      </c>
      <c r="HFP42" s="1046">
        <f>HFP38+((HFP40+'NF - 5 Power Mix'!HFP14+'NF - 5 Power Mix'!HFP15)*860/10)+((('Form Sa1'!HFS835)*860)/10)+('Form Sa1'!HFS814*'Form Sa1'!HFS816/10)-'NF - 5 Power Mix'!HFP21-'NF - 5 Power Mix'!HFP22</f>
        <v>0</v>
      </c>
      <c r="HFQ42" s="1046">
        <f>HFQ38+((HFQ40+'NF - 5 Power Mix'!HFQ14+'NF - 5 Power Mix'!HFQ15)*860/10)+((('Form Sa1'!HFT835)*860)/10)+('Form Sa1'!HFT814*'Form Sa1'!HFT816/10)-'NF - 5 Power Mix'!HFQ21-'NF - 5 Power Mix'!HFQ22</f>
        <v>0</v>
      </c>
      <c r="HFR42" s="1046">
        <f>HFR38+((HFR40+'NF - 5 Power Mix'!HFR14+'NF - 5 Power Mix'!HFR15)*860/10)+((('Form Sa1'!HFU835)*860)/10)+('Form Sa1'!HFU814*'Form Sa1'!HFU816/10)-'NF - 5 Power Mix'!HFR21-'NF - 5 Power Mix'!HFR22</f>
        <v>0</v>
      </c>
      <c r="HFS42" s="1046">
        <f>HFS38+((HFS40+'NF - 5 Power Mix'!HFS14+'NF - 5 Power Mix'!HFS15)*860/10)+((('Form Sa1'!HFV835)*860)/10)+('Form Sa1'!HFV814*'Form Sa1'!HFV816/10)-'NF - 5 Power Mix'!HFS21-'NF - 5 Power Mix'!HFS22</f>
        <v>0</v>
      </c>
      <c r="HFT42" s="1046">
        <f>HFT38+((HFT40+'NF - 5 Power Mix'!HFT14+'NF - 5 Power Mix'!HFT15)*860/10)+((('Form Sa1'!HFW835)*860)/10)+('Form Sa1'!HFW814*'Form Sa1'!HFW816/10)-'NF - 5 Power Mix'!HFT21-'NF - 5 Power Mix'!HFT22</f>
        <v>0</v>
      </c>
      <c r="HFU42" s="1046">
        <f>HFU38+((HFU40+'NF - 5 Power Mix'!HFU14+'NF - 5 Power Mix'!HFU15)*860/10)+((('Form Sa1'!HFX835)*860)/10)+('Form Sa1'!HFX814*'Form Sa1'!HFX816/10)-'NF - 5 Power Mix'!HFU21-'NF - 5 Power Mix'!HFU22</f>
        <v>0</v>
      </c>
      <c r="HFV42" s="1046">
        <f>HFV38+((HFV40+'NF - 5 Power Mix'!HFV14+'NF - 5 Power Mix'!HFV15)*860/10)+((('Form Sa1'!HFY835)*860)/10)+('Form Sa1'!HFY814*'Form Sa1'!HFY816/10)-'NF - 5 Power Mix'!HFV21-'NF - 5 Power Mix'!HFV22</f>
        <v>0</v>
      </c>
      <c r="HFW42" s="1046">
        <f>HFW38+((HFW40+'NF - 5 Power Mix'!HFW14+'NF - 5 Power Mix'!HFW15)*860/10)+((('Form Sa1'!HFZ835)*860)/10)+('Form Sa1'!HFZ814*'Form Sa1'!HFZ816/10)-'NF - 5 Power Mix'!HFW21-'NF - 5 Power Mix'!HFW22</f>
        <v>0</v>
      </c>
      <c r="HFX42" s="1046">
        <f>HFX38+((HFX40+'NF - 5 Power Mix'!HFX14+'NF - 5 Power Mix'!HFX15)*860/10)+((('Form Sa1'!HGA835)*860)/10)+('Form Sa1'!HGA814*'Form Sa1'!HGA816/10)-'NF - 5 Power Mix'!HFX21-'NF - 5 Power Mix'!HFX22</f>
        <v>0</v>
      </c>
      <c r="HFY42" s="1046">
        <f>HFY38+((HFY40+'NF - 5 Power Mix'!HFY14+'NF - 5 Power Mix'!HFY15)*860/10)+((('Form Sa1'!HGB835)*860)/10)+('Form Sa1'!HGB814*'Form Sa1'!HGB816/10)-'NF - 5 Power Mix'!HFY21-'NF - 5 Power Mix'!HFY22</f>
        <v>0</v>
      </c>
      <c r="HFZ42" s="1046">
        <f>HFZ38+((HFZ40+'NF - 5 Power Mix'!HFZ14+'NF - 5 Power Mix'!HFZ15)*860/10)+((('Form Sa1'!HGC835)*860)/10)+('Form Sa1'!HGC814*'Form Sa1'!HGC816/10)-'NF - 5 Power Mix'!HFZ21-'NF - 5 Power Mix'!HFZ22</f>
        <v>0</v>
      </c>
      <c r="HGA42" s="1046">
        <f>HGA38+((HGA40+'NF - 5 Power Mix'!HGA14+'NF - 5 Power Mix'!HGA15)*860/10)+((('Form Sa1'!HGD835)*860)/10)+('Form Sa1'!HGD814*'Form Sa1'!HGD816/10)-'NF - 5 Power Mix'!HGA21-'NF - 5 Power Mix'!HGA22</f>
        <v>0</v>
      </c>
      <c r="HGB42" s="1046">
        <f>HGB38+((HGB40+'NF - 5 Power Mix'!HGB14+'NF - 5 Power Mix'!HGB15)*860/10)+((('Form Sa1'!HGE835)*860)/10)+('Form Sa1'!HGE814*'Form Sa1'!HGE816/10)-'NF - 5 Power Mix'!HGB21-'NF - 5 Power Mix'!HGB22</f>
        <v>0</v>
      </c>
      <c r="HGC42" s="1046">
        <f>HGC38+((HGC40+'NF - 5 Power Mix'!HGC14+'NF - 5 Power Mix'!HGC15)*860/10)+((('Form Sa1'!HGF835)*860)/10)+('Form Sa1'!HGF814*'Form Sa1'!HGF816/10)-'NF - 5 Power Mix'!HGC21-'NF - 5 Power Mix'!HGC22</f>
        <v>0</v>
      </c>
      <c r="HGD42" s="1046">
        <f>HGD38+((HGD40+'NF - 5 Power Mix'!HGD14+'NF - 5 Power Mix'!HGD15)*860/10)+((('Form Sa1'!HGG835)*860)/10)+('Form Sa1'!HGG814*'Form Sa1'!HGG816/10)-'NF - 5 Power Mix'!HGD21-'NF - 5 Power Mix'!HGD22</f>
        <v>0</v>
      </c>
      <c r="HGE42" s="1046">
        <f>HGE38+((HGE40+'NF - 5 Power Mix'!HGE14+'NF - 5 Power Mix'!HGE15)*860/10)+((('Form Sa1'!HGH835)*860)/10)+('Form Sa1'!HGH814*'Form Sa1'!HGH816/10)-'NF - 5 Power Mix'!HGE21-'NF - 5 Power Mix'!HGE22</f>
        <v>0</v>
      </c>
      <c r="HGF42" s="1046">
        <f>HGF38+((HGF40+'NF - 5 Power Mix'!HGF14+'NF - 5 Power Mix'!HGF15)*860/10)+((('Form Sa1'!HGI835)*860)/10)+('Form Sa1'!HGI814*'Form Sa1'!HGI816/10)-'NF - 5 Power Mix'!HGF21-'NF - 5 Power Mix'!HGF22</f>
        <v>0</v>
      </c>
      <c r="HGG42" s="1046">
        <f>HGG38+((HGG40+'NF - 5 Power Mix'!HGG14+'NF - 5 Power Mix'!HGG15)*860/10)+((('Form Sa1'!HGJ835)*860)/10)+('Form Sa1'!HGJ814*'Form Sa1'!HGJ816/10)-'NF - 5 Power Mix'!HGG21-'NF - 5 Power Mix'!HGG22</f>
        <v>0</v>
      </c>
      <c r="HGH42" s="1046">
        <f>HGH38+((HGH40+'NF - 5 Power Mix'!HGH14+'NF - 5 Power Mix'!HGH15)*860/10)+((('Form Sa1'!HGK835)*860)/10)+('Form Sa1'!HGK814*'Form Sa1'!HGK816/10)-'NF - 5 Power Mix'!HGH21-'NF - 5 Power Mix'!HGH22</f>
        <v>0</v>
      </c>
      <c r="HGI42" s="1046">
        <f>HGI38+((HGI40+'NF - 5 Power Mix'!HGI14+'NF - 5 Power Mix'!HGI15)*860/10)+((('Form Sa1'!HGL835)*860)/10)+('Form Sa1'!HGL814*'Form Sa1'!HGL816/10)-'NF - 5 Power Mix'!HGI21-'NF - 5 Power Mix'!HGI22</f>
        <v>0</v>
      </c>
      <c r="HGJ42" s="1046">
        <f>HGJ38+((HGJ40+'NF - 5 Power Mix'!HGJ14+'NF - 5 Power Mix'!HGJ15)*860/10)+((('Form Sa1'!HGM835)*860)/10)+('Form Sa1'!HGM814*'Form Sa1'!HGM816/10)-'NF - 5 Power Mix'!HGJ21-'NF - 5 Power Mix'!HGJ22</f>
        <v>0</v>
      </c>
      <c r="HGK42" s="1046">
        <f>HGK38+((HGK40+'NF - 5 Power Mix'!HGK14+'NF - 5 Power Mix'!HGK15)*860/10)+((('Form Sa1'!HGN835)*860)/10)+('Form Sa1'!HGN814*'Form Sa1'!HGN816/10)-'NF - 5 Power Mix'!HGK21-'NF - 5 Power Mix'!HGK22</f>
        <v>0</v>
      </c>
      <c r="HGL42" s="1046">
        <f>HGL38+((HGL40+'NF - 5 Power Mix'!HGL14+'NF - 5 Power Mix'!HGL15)*860/10)+((('Form Sa1'!HGO835)*860)/10)+('Form Sa1'!HGO814*'Form Sa1'!HGO816/10)-'NF - 5 Power Mix'!HGL21-'NF - 5 Power Mix'!HGL22</f>
        <v>0</v>
      </c>
      <c r="HGM42" s="1046">
        <f>HGM38+((HGM40+'NF - 5 Power Mix'!HGM14+'NF - 5 Power Mix'!HGM15)*860/10)+((('Form Sa1'!HGP835)*860)/10)+('Form Sa1'!HGP814*'Form Sa1'!HGP816/10)-'NF - 5 Power Mix'!HGM21-'NF - 5 Power Mix'!HGM22</f>
        <v>0</v>
      </c>
      <c r="HGN42" s="1046">
        <f>HGN38+((HGN40+'NF - 5 Power Mix'!HGN14+'NF - 5 Power Mix'!HGN15)*860/10)+((('Form Sa1'!HGQ835)*860)/10)+('Form Sa1'!HGQ814*'Form Sa1'!HGQ816/10)-'NF - 5 Power Mix'!HGN21-'NF - 5 Power Mix'!HGN22</f>
        <v>0</v>
      </c>
      <c r="HGO42" s="1046">
        <f>HGO38+((HGO40+'NF - 5 Power Mix'!HGO14+'NF - 5 Power Mix'!HGO15)*860/10)+((('Form Sa1'!HGR835)*860)/10)+('Form Sa1'!HGR814*'Form Sa1'!HGR816/10)-'NF - 5 Power Mix'!HGO21-'NF - 5 Power Mix'!HGO22</f>
        <v>0</v>
      </c>
      <c r="HGP42" s="1046">
        <f>HGP38+((HGP40+'NF - 5 Power Mix'!HGP14+'NF - 5 Power Mix'!HGP15)*860/10)+((('Form Sa1'!HGS835)*860)/10)+('Form Sa1'!HGS814*'Form Sa1'!HGS816/10)-'NF - 5 Power Mix'!HGP21-'NF - 5 Power Mix'!HGP22</f>
        <v>0</v>
      </c>
      <c r="HGQ42" s="1046">
        <f>HGQ38+((HGQ40+'NF - 5 Power Mix'!HGQ14+'NF - 5 Power Mix'!HGQ15)*860/10)+((('Form Sa1'!HGT835)*860)/10)+('Form Sa1'!HGT814*'Form Sa1'!HGT816/10)-'NF - 5 Power Mix'!HGQ21-'NF - 5 Power Mix'!HGQ22</f>
        <v>0</v>
      </c>
      <c r="HGR42" s="1046">
        <f>HGR38+((HGR40+'NF - 5 Power Mix'!HGR14+'NF - 5 Power Mix'!HGR15)*860/10)+((('Form Sa1'!HGU835)*860)/10)+('Form Sa1'!HGU814*'Form Sa1'!HGU816/10)-'NF - 5 Power Mix'!HGR21-'NF - 5 Power Mix'!HGR22</f>
        <v>0</v>
      </c>
      <c r="HGS42" s="1046">
        <f>HGS38+((HGS40+'NF - 5 Power Mix'!HGS14+'NF - 5 Power Mix'!HGS15)*860/10)+((('Form Sa1'!HGV835)*860)/10)+('Form Sa1'!HGV814*'Form Sa1'!HGV816/10)-'NF - 5 Power Mix'!HGS21-'NF - 5 Power Mix'!HGS22</f>
        <v>0</v>
      </c>
      <c r="HGT42" s="1046">
        <f>HGT38+((HGT40+'NF - 5 Power Mix'!HGT14+'NF - 5 Power Mix'!HGT15)*860/10)+((('Form Sa1'!HGW835)*860)/10)+('Form Sa1'!HGW814*'Form Sa1'!HGW816/10)-'NF - 5 Power Mix'!HGT21-'NF - 5 Power Mix'!HGT22</f>
        <v>0</v>
      </c>
      <c r="HGU42" s="1046">
        <f>HGU38+((HGU40+'NF - 5 Power Mix'!HGU14+'NF - 5 Power Mix'!HGU15)*860/10)+((('Form Sa1'!HGX835)*860)/10)+('Form Sa1'!HGX814*'Form Sa1'!HGX816/10)-'NF - 5 Power Mix'!HGU21-'NF - 5 Power Mix'!HGU22</f>
        <v>0</v>
      </c>
      <c r="HGV42" s="1046">
        <f>HGV38+((HGV40+'NF - 5 Power Mix'!HGV14+'NF - 5 Power Mix'!HGV15)*860/10)+((('Form Sa1'!HGY835)*860)/10)+('Form Sa1'!HGY814*'Form Sa1'!HGY816/10)-'NF - 5 Power Mix'!HGV21-'NF - 5 Power Mix'!HGV22</f>
        <v>0</v>
      </c>
      <c r="HGW42" s="1046">
        <f>HGW38+((HGW40+'NF - 5 Power Mix'!HGW14+'NF - 5 Power Mix'!HGW15)*860/10)+((('Form Sa1'!HGZ835)*860)/10)+('Form Sa1'!HGZ814*'Form Sa1'!HGZ816/10)-'NF - 5 Power Mix'!HGW21-'NF - 5 Power Mix'!HGW22</f>
        <v>0</v>
      </c>
      <c r="HGX42" s="1046">
        <f>HGX38+((HGX40+'NF - 5 Power Mix'!HGX14+'NF - 5 Power Mix'!HGX15)*860/10)+((('Form Sa1'!HHA835)*860)/10)+('Form Sa1'!HHA814*'Form Sa1'!HHA816/10)-'NF - 5 Power Mix'!HGX21-'NF - 5 Power Mix'!HGX22</f>
        <v>0</v>
      </c>
      <c r="HGY42" s="1046">
        <f>HGY38+((HGY40+'NF - 5 Power Mix'!HGY14+'NF - 5 Power Mix'!HGY15)*860/10)+((('Form Sa1'!HHB835)*860)/10)+('Form Sa1'!HHB814*'Form Sa1'!HHB816/10)-'NF - 5 Power Mix'!HGY21-'NF - 5 Power Mix'!HGY22</f>
        <v>0</v>
      </c>
      <c r="HGZ42" s="1046">
        <f>HGZ38+((HGZ40+'NF - 5 Power Mix'!HGZ14+'NF - 5 Power Mix'!HGZ15)*860/10)+((('Form Sa1'!HHC835)*860)/10)+('Form Sa1'!HHC814*'Form Sa1'!HHC816/10)-'NF - 5 Power Mix'!HGZ21-'NF - 5 Power Mix'!HGZ22</f>
        <v>0</v>
      </c>
      <c r="HHA42" s="1046">
        <f>HHA38+((HHA40+'NF - 5 Power Mix'!HHA14+'NF - 5 Power Mix'!HHA15)*860/10)+((('Form Sa1'!HHD835)*860)/10)+('Form Sa1'!HHD814*'Form Sa1'!HHD816/10)-'NF - 5 Power Mix'!HHA21-'NF - 5 Power Mix'!HHA22</f>
        <v>0</v>
      </c>
      <c r="HHB42" s="1046">
        <f>HHB38+((HHB40+'NF - 5 Power Mix'!HHB14+'NF - 5 Power Mix'!HHB15)*860/10)+((('Form Sa1'!HHE835)*860)/10)+('Form Sa1'!HHE814*'Form Sa1'!HHE816/10)-'NF - 5 Power Mix'!HHB21-'NF - 5 Power Mix'!HHB22</f>
        <v>0</v>
      </c>
      <c r="HHC42" s="1046">
        <f>HHC38+((HHC40+'NF - 5 Power Mix'!HHC14+'NF - 5 Power Mix'!HHC15)*860/10)+((('Form Sa1'!HHF835)*860)/10)+('Form Sa1'!HHF814*'Form Sa1'!HHF816/10)-'NF - 5 Power Mix'!HHC21-'NF - 5 Power Mix'!HHC22</f>
        <v>0</v>
      </c>
      <c r="HHD42" s="1046">
        <f>HHD38+((HHD40+'NF - 5 Power Mix'!HHD14+'NF - 5 Power Mix'!HHD15)*860/10)+((('Form Sa1'!HHG835)*860)/10)+('Form Sa1'!HHG814*'Form Sa1'!HHG816/10)-'NF - 5 Power Mix'!HHD21-'NF - 5 Power Mix'!HHD22</f>
        <v>0</v>
      </c>
      <c r="HHE42" s="1046">
        <f>HHE38+((HHE40+'NF - 5 Power Mix'!HHE14+'NF - 5 Power Mix'!HHE15)*860/10)+((('Form Sa1'!HHH835)*860)/10)+('Form Sa1'!HHH814*'Form Sa1'!HHH816/10)-'NF - 5 Power Mix'!HHE21-'NF - 5 Power Mix'!HHE22</f>
        <v>0</v>
      </c>
      <c r="HHF42" s="1046">
        <f>HHF38+((HHF40+'NF - 5 Power Mix'!HHF14+'NF - 5 Power Mix'!HHF15)*860/10)+((('Form Sa1'!HHI835)*860)/10)+('Form Sa1'!HHI814*'Form Sa1'!HHI816/10)-'NF - 5 Power Mix'!HHF21-'NF - 5 Power Mix'!HHF22</f>
        <v>0</v>
      </c>
      <c r="HHG42" s="1046">
        <f>HHG38+((HHG40+'NF - 5 Power Mix'!HHG14+'NF - 5 Power Mix'!HHG15)*860/10)+((('Form Sa1'!HHJ835)*860)/10)+('Form Sa1'!HHJ814*'Form Sa1'!HHJ816/10)-'NF - 5 Power Mix'!HHG21-'NF - 5 Power Mix'!HHG22</f>
        <v>0</v>
      </c>
      <c r="HHH42" s="1046">
        <f>HHH38+((HHH40+'NF - 5 Power Mix'!HHH14+'NF - 5 Power Mix'!HHH15)*860/10)+((('Form Sa1'!HHK835)*860)/10)+('Form Sa1'!HHK814*'Form Sa1'!HHK816/10)-'NF - 5 Power Mix'!HHH21-'NF - 5 Power Mix'!HHH22</f>
        <v>0</v>
      </c>
      <c r="HHI42" s="1046">
        <f>HHI38+((HHI40+'NF - 5 Power Mix'!HHI14+'NF - 5 Power Mix'!HHI15)*860/10)+((('Form Sa1'!HHL835)*860)/10)+('Form Sa1'!HHL814*'Form Sa1'!HHL816/10)-'NF - 5 Power Mix'!HHI21-'NF - 5 Power Mix'!HHI22</f>
        <v>0</v>
      </c>
      <c r="HHJ42" s="1046">
        <f>HHJ38+((HHJ40+'NF - 5 Power Mix'!HHJ14+'NF - 5 Power Mix'!HHJ15)*860/10)+((('Form Sa1'!HHM835)*860)/10)+('Form Sa1'!HHM814*'Form Sa1'!HHM816/10)-'NF - 5 Power Mix'!HHJ21-'NF - 5 Power Mix'!HHJ22</f>
        <v>0</v>
      </c>
      <c r="HHK42" s="1046">
        <f>HHK38+((HHK40+'NF - 5 Power Mix'!HHK14+'NF - 5 Power Mix'!HHK15)*860/10)+((('Form Sa1'!HHN835)*860)/10)+('Form Sa1'!HHN814*'Form Sa1'!HHN816/10)-'NF - 5 Power Mix'!HHK21-'NF - 5 Power Mix'!HHK22</f>
        <v>0</v>
      </c>
      <c r="HHL42" s="1046">
        <f>HHL38+((HHL40+'NF - 5 Power Mix'!HHL14+'NF - 5 Power Mix'!HHL15)*860/10)+((('Form Sa1'!HHO835)*860)/10)+('Form Sa1'!HHO814*'Form Sa1'!HHO816/10)-'NF - 5 Power Mix'!HHL21-'NF - 5 Power Mix'!HHL22</f>
        <v>0</v>
      </c>
      <c r="HHM42" s="1046">
        <f>HHM38+((HHM40+'NF - 5 Power Mix'!HHM14+'NF - 5 Power Mix'!HHM15)*860/10)+((('Form Sa1'!HHP835)*860)/10)+('Form Sa1'!HHP814*'Form Sa1'!HHP816/10)-'NF - 5 Power Mix'!HHM21-'NF - 5 Power Mix'!HHM22</f>
        <v>0</v>
      </c>
      <c r="HHN42" s="1046">
        <f>HHN38+((HHN40+'NF - 5 Power Mix'!HHN14+'NF - 5 Power Mix'!HHN15)*860/10)+((('Form Sa1'!HHQ835)*860)/10)+('Form Sa1'!HHQ814*'Form Sa1'!HHQ816/10)-'NF - 5 Power Mix'!HHN21-'NF - 5 Power Mix'!HHN22</f>
        <v>0</v>
      </c>
      <c r="HHO42" s="1046">
        <f>HHO38+((HHO40+'NF - 5 Power Mix'!HHO14+'NF - 5 Power Mix'!HHO15)*860/10)+((('Form Sa1'!HHR835)*860)/10)+('Form Sa1'!HHR814*'Form Sa1'!HHR816/10)-'NF - 5 Power Mix'!HHO21-'NF - 5 Power Mix'!HHO22</f>
        <v>0</v>
      </c>
      <c r="HHP42" s="1046">
        <f>HHP38+((HHP40+'NF - 5 Power Mix'!HHP14+'NF - 5 Power Mix'!HHP15)*860/10)+((('Form Sa1'!HHS835)*860)/10)+('Form Sa1'!HHS814*'Form Sa1'!HHS816/10)-'NF - 5 Power Mix'!HHP21-'NF - 5 Power Mix'!HHP22</f>
        <v>0</v>
      </c>
      <c r="HHQ42" s="1046">
        <f>HHQ38+((HHQ40+'NF - 5 Power Mix'!HHQ14+'NF - 5 Power Mix'!HHQ15)*860/10)+((('Form Sa1'!HHT835)*860)/10)+('Form Sa1'!HHT814*'Form Sa1'!HHT816/10)-'NF - 5 Power Mix'!HHQ21-'NF - 5 Power Mix'!HHQ22</f>
        <v>0</v>
      </c>
      <c r="HHR42" s="1046">
        <f>HHR38+((HHR40+'NF - 5 Power Mix'!HHR14+'NF - 5 Power Mix'!HHR15)*860/10)+((('Form Sa1'!HHU835)*860)/10)+('Form Sa1'!HHU814*'Form Sa1'!HHU816/10)-'NF - 5 Power Mix'!HHR21-'NF - 5 Power Mix'!HHR22</f>
        <v>0</v>
      </c>
      <c r="HHS42" s="1046">
        <f>HHS38+((HHS40+'NF - 5 Power Mix'!HHS14+'NF - 5 Power Mix'!HHS15)*860/10)+((('Form Sa1'!HHV835)*860)/10)+('Form Sa1'!HHV814*'Form Sa1'!HHV816/10)-'NF - 5 Power Mix'!HHS21-'NF - 5 Power Mix'!HHS22</f>
        <v>0</v>
      </c>
      <c r="HHT42" s="1046">
        <f>HHT38+((HHT40+'NF - 5 Power Mix'!HHT14+'NF - 5 Power Mix'!HHT15)*860/10)+((('Form Sa1'!HHW835)*860)/10)+('Form Sa1'!HHW814*'Form Sa1'!HHW816/10)-'NF - 5 Power Mix'!HHT21-'NF - 5 Power Mix'!HHT22</f>
        <v>0</v>
      </c>
      <c r="HHU42" s="1046">
        <f>HHU38+((HHU40+'NF - 5 Power Mix'!HHU14+'NF - 5 Power Mix'!HHU15)*860/10)+((('Form Sa1'!HHX835)*860)/10)+('Form Sa1'!HHX814*'Form Sa1'!HHX816/10)-'NF - 5 Power Mix'!HHU21-'NF - 5 Power Mix'!HHU22</f>
        <v>0</v>
      </c>
      <c r="HHV42" s="1046">
        <f>HHV38+((HHV40+'NF - 5 Power Mix'!HHV14+'NF - 5 Power Mix'!HHV15)*860/10)+((('Form Sa1'!HHY835)*860)/10)+('Form Sa1'!HHY814*'Form Sa1'!HHY816/10)-'NF - 5 Power Mix'!HHV21-'NF - 5 Power Mix'!HHV22</f>
        <v>0</v>
      </c>
      <c r="HHW42" s="1046">
        <f>HHW38+((HHW40+'NF - 5 Power Mix'!HHW14+'NF - 5 Power Mix'!HHW15)*860/10)+((('Form Sa1'!HHZ835)*860)/10)+('Form Sa1'!HHZ814*'Form Sa1'!HHZ816/10)-'NF - 5 Power Mix'!HHW21-'NF - 5 Power Mix'!HHW22</f>
        <v>0</v>
      </c>
      <c r="HHX42" s="1046">
        <f>HHX38+((HHX40+'NF - 5 Power Mix'!HHX14+'NF - 5 Power Mix'!HHX15)*860/10)+((('Form Sa1'!HIA835)*860)/10)+('Form Sa1'!HIA814*'Form Sa1'!HIA816/10)-'NF - 5 Power Mix'!HHX21-'NF - 5 Power Mix'!HHX22</f>
        <v>0</v>
      </c>
      <c r="HHY42" s="1046">
        <f>HHY38+((HHY40+'NF - 5 Power Mix'!HHY14+'NF - 5 Power Mix'!HHY15)*860/10)+((('Form Sa1'!HIB835)*860)/10)+('Form Sa1'!HIB814*'Form Sa1'!HIB816/10)-'NF - 5 Power Mix'!HHY21-'NF - 5 Power Mix'!HHY22</f>
        <v>0</v>
      </c>
      <c r="HHZ42" s="1046">
        <f>HHZ38+((HHZ40+'NF - 5 Power Mix'!HHZ14+'NF - 5 Power Mix'!HHZ15)*860/10)+((('Form Sa1'!HIC835)*860)/10)+('Form Sa1'!HIC814*'Form Sa1'!HIC816/10)-'NF - 5 Power Mix'!HHZ21-'NF - 5 Power Mix'!HHZ22</f>
        <v>0</v>
      </c>
      <c r="HIA42" s="1046">
        <f>HIA38+((HIA40+'NF - 5 Power Mix'!HIA14+'NF - 5 Power Mix'!HIA15)*860/10)+((('Form Sa1'!HID835)*860)/10)+('Form Sa1'!HID814*'Form Sa1'!HID816/10)-'NF - 5 Power Mix'!HIA21-'NF - 5 Power Mix'!HIA22</f>
        <v>0</v>
      </c>
      <c r="HIB42" s="1046">
        <f>HIB38+((HIB40+'NF - 5 Power Mix'!HIB14+'NF - 5 Power Mix'!HIB15)*860/10)+((('Form Sa1'!HIE835)*860)/10)+('Form Sa1'!HIE814*'Form Sa1'!HIE816/10)-'NF - 5 Power Mix'!HIB21-'NF - 5 Power Mix'!HIB22</f>
        <v>0</v>
      </c>
      <c r="HIC42" s="1046">
        <f>HIC38+((HIC40+'NF - 5 Power Mix'!HIC14+'NF - 5 Power Mix'!HIC15)*860/10)+((('Form Sa1'!HIF835)*860)/10)+('Form Sa1'!HIF814*'Form Sa1'!HIF816/10)-'NF - 5 Power Mix'!HIC21-'NF - 5 Power Mix'!HIC22</f>
        <v>0</v>
      </c>
      <c r="HID42" s="1046">
        <f>HID38+((HID40+'NF - 5 Power Mix'!HID14+'NF - 5 Power Mix'!HID15)*860/10)+((('Form Sa1'!HIG835)*860)/10)+('Form Sa1'!HIG814*'Form Sa1'!HIG816/10)-'NF - 5 Power Mix'!HID21-'NF - 5 Power Mix'!HID22</f>
        <v>0</v>
      </c>
      <c r="HIE42" s="1046">
        <f>HIE38+((HIE40+'NF - 5 Power Mix'!HIE14+'NF - 5 Power Mix'!HIE15)*860/10)+((('Form Sa1'!HIH835)*860)/10)+('Form Sa1'!HIH814*'Form Sa1'!HIH816/10)-'NF - 5 Power Mix'!HIE21-'NF - 5 Power Mix'!HIE22</f>
        <v>0</v>
      </c>
      <c r="HIF42" s="1046">
        <f>HIF38+((HIF40+'NF - 5 Power Mix'!HIF14+'NF - 5 Power Mix'!HIF15)*860/10)+((('Form Sa1'!HII835)*860)/10)+('Form Sa1'!HII814*'Form Sa1'!HII816/10)-'NF - 5 Power Mix'!HIF21-'NF - 5 Power Mix'!HIF22</f>
        <v>0</v>
      </c>
      <c r="HIG42" s="1046">
        <f>HIG38+((HIG40+'NF - 5 Power Mix'!HIG14+'NF - 5 Power Mix'!HIG15)*860/10)+((('Form Sa1'!HIJ835)*860)/10)+('Form Sa1'!HIJ814*'Form Sa1'!HIJ816/10)-'NF - 5 Power Mix'!HIG21-'NF - 5 Power Mix'!HIG22</f>
        <v>0</v>
      </c>
      <c r="HIH42" s="1046">
        <f>HIH38+((HIH40+'NF - 5 Power Mix'!HIH14+'NF - 5 Power Mix'!HIH15)*860/10)+((('Form Sa1'!HIK835)*860)/10)+('Form Sa1'!HIK814*'Form Sa1'!HIK816/10)-'NF - 5 Power Mix'!HIH21-'NF - 5 Power Mix'!HIH22</f>
        <v>0</v>
      </c>
      <c r="HII42" s="1046">
        <f>HII38+((HII40+'NF - 5 Power Mix'!HII14+'NF - 5 Power Mix'!HII15)*860/10)+((('Form Sa1'!HIL835)*860)/10)+('Form Sa1'!HIL814*'Form Sa1'!HIL816/10)-'NF - 5 Power Mix'!HII21-'NF - 5 Power Mix'!HII22</f>
        <v>0</v>
      </c>
      <c r="HIJ42" s="1046">
        <f>HIJ38+((HIJ40+'NF - 5 Power Mix'!HIJ14+'NF - 5 Power Mix'!HIJ15)*860/10)+((('Form Sa1'!HIM835)*860)/10)+('Form Sa1'!HIM814*'Form Sa1'!HIM816/10)-'NF - 5 Power Mix'!HIJ21-'NF - 5 Power Mix'!HIJ22</f>
        <v>0</v>
      </c>
      <c r="HIK42" s="1046">
        <f>HIK38+((HIK40+'NF - 5 Power Mix'!HIK14+'NF - 5 Power Mix'!HIK15)*860/10)+((('Form Sa1'!HIN835)*860)/10)+('Form Sa1'!HIN814*'Form Sa1'!HIN816/10)-'NF - 5 Power Mix'!HIK21-'NF - 5 Power Mix'!HIK22</f>
        <v>0</v>
      </c>
      <c r="HIL42" s="1046">
        <f>HIL38+((HIL40+'NF - 5 Power Mix'!HIL14+'NF - 5 Power Mix'!HIL15)*860/10)+((('Form Sa1'!HIO835)*860)/10)+('Form Sa1'!HIO814*'Form Sa1'!HIO816/10)-'NF - 5 Power Mix'!HIL21-'NF - 5 Power Mix'!HIL22</f>
        <v>0</v>
      </c>
      <c r="HIM42" s="1046">
        <f>HIM38+((HIM40+'NF - 5 Power Mix'!HIM14+'NF - 5 Power Mix'!HIM15)*860/10)+((('Form Sa1'!HIP835)*860)/10)+('Form Sa1'!HIP814*'Form Sa1'!HIP816/10)-'NF - 5 Power Mix'!HIM21-'NF - 5 Power Mix'!HIM22</f>
        <v>0</v>
      </c>
      <c r="HIN42" s="1046">
        <f>HIN38+((HIN40+'NF - 5 Power Mix'!HIN14+'NF - 5 Power Mix'!HIN15)*860/10)+((('Form Sa1'!HIQ835)*860)/10)+('Form Sa1'!HIQ814*'Form Sa1'!HIQ816/10)-'NF - 5 Power Mix'!HIN21-'NF - 5 Power Mix'!HIN22</f>
        <v>0</v>
      </c>
      <c r="HIO42" s="1046">
        <f>HIO38+((HIO40+'NF - 5 Power Mix'!HIO14+'NF - 5 Power Mix'!HIO15)*860/10)+((('Form Sa1'!HIR835)*860)/10)+('Form Sa1'!HIR814*'Form Sa1'!HIR816/10)-'NF - 5 Power Mix'!HIO21-'NF - 5 Power Mix'!HIO22</f>
        <v>0</v>
      </c>
      <c r="HIP42" s="1046">
        <f>HIP38+((HIP40+'NF - 5 Power Mix'!HIP14+'NF - 5 Power Mix'!HIP15)*860/10)+((('Form Sa1'!HIS835)*860)/10)+('Form Sa1'!HIS814*'Form Sa1'!HIS816/10)-'NF - 5 Power Mix'!HIP21-'NF - 5 Power Mix'!HIP22</f>
        <v>0</v>
      </c>
      <c r="HIQ42" s="1046">
        <f>HIQ38+((HIQ40+'NF - 5 Power Mix'!HIQ14+'NF - 5 Power Mix'!HIQ15)*860/10)+((('Form Sa1'!HIT835)*860)/10)+('Form Sa1'!HIT814*'Form Sa1'!HIT816/10)-'NF - 5 Power Mix'!HIQ21-'NF - 5 Power Mix'!HIQ22</f>
        <v>0</v>
      </c>
      <c r="HIR42" s="1046">
        <f>HIR38+((HIR40+'NF - 5 Power Mix'!HIR14+'NF - 5 Power Mix'!HIR15)*860/10)+((('Form Sa1'!HIU835)*860)/10)+('Form Sa1'!HIU814*'Form Sa1'!HIU816/10)-'NF - 5 Power Mix'!HIR21-'NF - 5 Power Mix'!HIR22</f>
        <v>0</v>
      </c>
      <c r="HIS42" s="1046">
        <f>HIS38+((HIS40+'NF - 5 Power Mix'!HIS14+'NF - 5 Power Mix'!HIS15)*860/10)+((('Form Sa1'!HIV835)*860)/10)+('Form Sa1'!HIV814*'Form Sa1'!HIV816/10)-'NF - 5 Power Mix'!HIS21-'NF - 5 Power Mix'!HIS22</f>
        <v>0</v>
      </c>
      <c r="HIT42" s="1046">
        <f>HIT38+((HIT40+'NF - 5 Power Mix'!HIT14+'NF - 5 Power Mix'!HIT15)*860/10)+((('Form Sa1'!HIW835)*860)/10)+('Form Sa1'!HIW814*'Form Sa1'!HIW816/10)-'NF - 5 Power Mix'!HIT21-'NF - 5 Power Mix'!HIT22</f>
        <v>0</v>
      </c>
      <c r="HIU42" s="1046">
        <f>HIU38+((HIU40+'NF - 5 Power Mix'!HIU14+'NF - 5 Power Mix'!HIU15)*860/10)+((('Form Sa1'!HIX835)*860)/10)+('Form Sa1'!HIX814*'Form Sa1'!HIX816/10)-'NF - 5 Power Mix'!HIU21-'NF - 5 Power Mix'!HIU22</f>
        <v>0</v>
      </c>
      <c r="HIV42" s="1046">
        <f>HIV38+((HIV40+'NF - 5 Power Mix'!HIV14+'NF - 5 Power Mix'!HIV15)*860/10)+((('Form Sa1'!HIY835)*860)/10)+('Form Sa1'!HIY814*'Form Sa1'!HIY816/10)-'NF - 5 Power Mix'!HIV21-'NF - 5 Power Mix'!HIV22</f>
        <v>0</v>
      </c>
      <c r="HIW42" s="1046">
        <f>HIW38+((HIW40+'NF - 5 Power Mix'!HIW14+'NF - 5 Power Mix'!HIW15)*860/10)+((('Form Sa1'!HIZ835)*860)/10)+('Form Sa1'!HIZ814*'Form Sa1'!HIZ816/10)-'NF - 5 Power Mix'!HIW21-'NF - 5 Power Mix'!HIW22</f>
        <v>0</v>
      </c>
      <c r="HIX42" s="1046">
        <f>HIX38+((HIX40+'NF - 5 Power Mix'!HIX14+'NF - 5 Power Mix'!HIX15)*860/10)+((('Form Sa1'!HJA835)*860)/10)+('Form Sa1'!HJA814*'Form Sa1'!HJA816/10)-'NF - 5 Power Mix'!HIX21-'NF - 5 Power Mix'!HIX22</f>
        <v>0</v>
      </c>
      <c r="HIY42" s="1046">
        <f>HIY38+((HIY40+'NF - 5 Power Mix'!HIY14+'NF - 5 Power Mix'!HIY15)*860/10)+((('Form Sa1'!HJB835)*860)/10)+('Form Sa1'!HJB814*'Form Sa1'!HJB816/10)-'NF - 5 Power Mix'!HIY21-'NF - 5 Power Mix'!HIY22</f>
        <v>0</v>
      </c>
      <c r="HIZ42" s="1046">
        <f>HIZ38+((HIZ40+'NF - 5 Power Mix'!HIZ14+'NF - 5 Power Mix'!HIZ15)*860/10)+((('Form Sa1'!HJC835)*860)/10)+('Form Sa1'!HJC814*'Form Sa1'!HJC816/10)-'NF - 5 Power Mix'!HIZ21-'NF - 5 Power Mix'!HIZ22</f>
        <v>0</v>
      </c>
      <c r="HJA42" s="1046">
        <f>HJA38+((HJA40+'NF - 5 Power Mix'!HJA14+'NF - 5 Power Mix'!HJA15)*860/10)+((('Form Sa1'!HJD835)*860)/10)+('Form Sa1'!HJD814*'Form Sa1'!HJD816/10)-'NF - 5 Power Mix'!HJA21-'NF - 5 Power Mix'!HJA22</f>
        <v>0</v>
      </c>
      <c r="HJB42" s="1046">
        <f>HJB38+((HJB40+'NF - 5 Power Mix'!HJB14+'NF - 5 Power Mix'!HJB15)*860/10)+((('Form Sa1'!HJE835)*860)/10)+('Form Sa1'!HJE814*'Form Sa1'!HJE816/10)-'NF - 5 Power Mix'!HJB21-'NF - 5 Power Mix'!HJB22</f>
        <v>0</v>
      </c>
      <c r="HJC42" s="1046">
        <f>HJC38+((HJC40+'NF - 5 Power Mix'!HJC14+'NF - 5 Power Mix'!HJC15)*860/10)+((('Form Sa1'!HJF835)*860)/10)+('Form Sa1'!HJF814*'Form Sa1'!HJF816/10)-'NF - 5 Power Mix'!HJC21-'NF - 5 Power Mix'!HJC22</f>
        <v>0</v>
      </c>
      <c r="HJD42" s="1046">
        <f>HJD38+((HJD40+'NF - 5 Power Mix'!HJD14+'NF - 5 Power Mix'!HJD15)*860/10)+((('Form Sa1'!HJG835)*860)/10)+('Form Sa1'!HJG814*'Form Sa1'!HJG816/10)-'NF - 5 Power Mix'!HJD21-'NF - 5 Power Mix'!HJD22</f>
        <v>0</v>
      </c>
      <c r="HJE42" s="1046">
        <f>HJE38+((HJE40+'NF - 5 Power Mix'!HJE14+'NF - 5 Power Mix'!HJE15)*860/10)+((('Form Sa1'!HJH835)*860)/10)+('Form Sa1'!HJH814*'Form Sa1'!HJH816/10)-'NF - 5 Power Mix'!HJE21-'NF - 5 Power Mix'!HJE22</f>
        <v>0</v>
      </c>
      <c r="HJF42" s="1046">
        <f>HJF38+((HJF40+'NF - 5 Power Mix'!HJF14+'NF - 5 Power Mix'!HJF15)*860/10)+((('Form Sa1'!HJI835)*860)/10)+('Form Sa1'!HJI814*'Form Sa1'!HJI816/10)-'NF - 5 Power Mix'!HJF21-'NF - 5 Power Mix'!HJF22</f>
        <v>0</v>
      </c>
      <c r="HJG42" s="1046">
        <f>HJG38+((HJG40+'NF - 5 Power Mix'!HJG14+'NF - 5 Power Mix'!HJG15)*860/10)+((('Form Sa1'!HJJ835)*860)/10)+('Form Sa1'!HJJ814*'Form Sa1'!HJJ816/10)-'NF - 5 Power Mix'!HJG21-'NF - 5 Power Mix'!HJG22</f>
        <v>0</v>
      </c>
      <c r="HJH42" s="1046">
        <f>HJH38+((HJH40+'NF - 5 Power Mix'!HJH14+'NF - 5 Power Mix'!HJH15)*860/10)+((('Form Sa1'!HJK835)*860)/10)+('Form Sa1'!HJK814*'Form Sa1'!HJK816/10)-'NF - 5 Power Mix'!HJH21-'NF - 5 Power Mix'!HJH22</f>
        <v>0</v>
      </c>
      <c r="HJI42" s="1046">
        <f>HJI38+((HJI40+'NF - 5 Power Mix'!HJI14+'NF - 5 Power Mix'!HJI15)*860/10)+((('Form Sa1'!HJL835)*860)/10)+('Form Sa1'!HJL814*'Form Sa1'!HJL816/10)-'NF - 5 Power Mix'!HJI21-'NF - 5 Power Mix'!HJI22</f>
        <v>0</v>
      </c>
      <c r="HJJ42" s="1046">
        <f>HJJ38+((HJJ40+'NF - 5 Power Mix'!HJJ14+'NF - 5 Power Mix'!HJJ15)*860/10)+((('Form Sa1'!HJM835)*860)/10)+('Form Sa1'!HJM814*'Form Sa1'!HJM816/10)-'NF - 5 Power Mix'!HJJ21-'NF - 5 Power Mix'!HJJ22</f>
        <v>0</v>
      </c>
      <c r="HJK42" s="1046">
        <f>HJK38+((HJK40+'NF - 5 Power Mix'!HJK14+'NF - 5 Power Mix'!HJK15)*860/10)+((('Form Sa1'!HJN835)*860)/10)+('Form Sa1'!HJN814*'Form Sa1'!HJN816/10)-'NF - 5 Power Mix'!HJK21-'NF - 5 Power Mix'!HJK22</f>
        <v>0</v>
      </c>
      <c r="HJL42" s="1046">
        <f>HJL38+((HJL40+'NF - 5 Power Mix'!HJL14+'NF - 5 Power Mix'!HJL15)*860/10)+((('Form Sa1'!HJO835)*860)/10)+('Form Sa1'!HJO814*'Form Sa1'!HJO816/10)-'NF - 5 Power Mix'!HJL21-'NF - 5 Power Mix'!HJL22</f>
        <v>0</v>
      </c>
      <c r="HJM42" s="1046">
        <f>HJM38+((HJM40+'NF - 5 Power Mix'!HJM14+'NF - 5 Power Mix'!HJM15)*860/10)+((('Form Sa1'!HJP835)*860)/10)+('Form Sa1'!HJP814*'Form Sa1'!HJP816/10)-'NF - 5 Power Mix'!HJM21-'NF - 5 Power Mix'!HJM22</f>
        <v>0</v>
      </c>
      <c r="HJN42" s="1046">
        <f>HJN38+((HJN40+'NF - 5 Power Mix'!HJN14+'NF - 5 Power Mix'!HJN15)*860/10)+((('Form Sa1'!HJQ835)*860)/10)+('Form Sa1'!HJQ814*'Form Sa1'!HJQ816/10)-'NF - 5 Power Mix'!HJN21-'NF - 5 Power Mix'!HJN22</f>
        <v>0</v>
      </c>
      <c r="HJO42" s="1046">
        <f>HJO38+((HJO40+'NF - 5 Power Mix'!HJO14+'NF - 5 Power Mix'!HJO15)*860/10)+((('Form Sa1'!HJR835)*860)/10)+('Form Sa1'!HJR814*'Form Sa1'!HJR816/10)-'NF - 5 Power Mix'!HJO21-'NF - 5 Power Mix'!HJO22</f>
        <v>0</v>
      </c>
      <c r="HJP42" s="1046">
        <f>HJP38+((HJP40+'NF - 5 Power Mix'!HJP14+'NF - 5 Power Mix'!HJP15)*860/10)+((('Form Sa1'!HJS835)*860)/10)+('Form Sa1'!HJS814*'Form Sa1'!HJS816/10)-'NF - 5 Power Mix'!HJP21-'NF - 5 Power Mix'!HJP22</f>
        <v>0</v>
      </c>
      <c r="HJQ42" s="1046">
        <f>HJQ38+((HJQ40+'NF - 5 Power Mix'!HJQ14+'NF - 5 Power Mix'!HJQ15)*860/10)+((('Form Sa1'!HJT835)*860)/10)+('Form Sa1'!HJT814*'Form Sa1'!HJT816/10)-'NF - 5 Power Mix'!HJQ21-'NF - 5 Power Mix'!HJQ22</f>
        <v>0</v>
      </c>
      <c r="HJR42" s="1046">
        <f>HJR38+((HJR40+'NF - 5 Power Mix'!HJR14+'NF - 5 Power Mix'!HJR15)*860/10)+((('Form Sa1'!HJU835)*860)/10)+('Form Sa1'!HJU814*'Form Sa1'!HJU816/10)-'NF - 5 Power Mix'!HJR21-'NF - 5 Power Mix'!HJR22</f>
        <v>0</v>
      </c>
      <c r="HJS42" s="1046">
        <f>HJS38+((HJS40+'NF - 5 Power Mix'!HJS14+'NF - 5 Power Mix'!HJS15)*860/10)+((('Form Sa1'!HJV835)*860)/10)+('Form Sa1'!HJV814*'Form Sa1'!HJV816/10)-'NF - 5 Power Mix'!HJS21-'NF - 5 Power Mix'!HJS22</f>
        <v>0</v>
      </c>
      <c r="HJT42" s="1046">
        <f>HJT38+((HJT40+'NF - 5 Power Mix'!HJT14+'NF - 5 Power Mix'!HJT15)*860/10)+((('Form Sa1'!HJW835)*860)/10)+('Form Sa1'!HJW814*'Form Sa1'!HJW816/10)-'NF - 5 Power Mix'!HJT21-'NF - 5 Power Mix'!HJT22</f>
        <v>0</v>
      </c>
      <c r="HJU42" s="1046">
        <f>HJU38+((HJU40+'NF - 5 Power Mix'!HJU14+'NF - 5 Power Mix'!HJU15)*860/10)+((('Form Sa1'!HJX835)*860)/10)+('Form Sa1'!HJX814*'Form Sa1'!HJX816/10)-'NF - 5 Power Mix'!HJU21-'NF - 5 Power Mix'!HJU22</f>
        <v>0</v>
      </c>
      <c r="HJV42" s="1046">
        <f>HJV38+((HJV40+'NF - 5 Power Mix'!HJV14+'NF - 5 Power Mix'!HJV15)*860/10)+((('Form Sa1'!HJY835)*860)/10)+('Form Sa1'!HJY814*'Form Sa1'!HJY816/10)-'NF - 5 Power Mix'!HJV21-'NF - 5 Power Mix'!HJV22</f>
        <v>0</v>
      </c>
      <c r="HJW42" s="1046">
        <f>HJW38+((HJW40+'NF - 5 Power Mix'!HJW14+'NF - 5 Power Mix'!HJW15)*860/10)+((('Form Sa1'!HJZ835)*860)/10)+('Form Sa1'!HJZ814*'Form Sa1'!HJZ816/10)-'NF - 5 Power Mix'!HJW21-'NF - 5 Power Mix'!HJW22</f>
        <v>0</v>
      </c>
      <c r="HJX42" s="1046">
        <f>HJX38+((HJX40+'NF - 5 Power Mix'!HJX14+'NF - 5 Power Mix'!HJX15)*860/10)+((('Form Sa1'!HKA835)*860)/10)+('Form Sa1'!HKA814*'Form Sa1'!HKA816/10)-'NF - 5 Power Mix'!HJX21-'NF - 5 Power Mix'!HJX22</f>
        <v>0</v>
      </c>
      <c r="HJY42" s="1046">
        <f>HJY38+((HJY40+'NF - 5 Power Mix'!HJY14+'NF - 5 Power Mix'!HJY15)*860/10)+((('Form Sa1'!HKB835)*860)/10)+('Form Sa1'!HKB814*'Form Sa1'!HKB816/10)-'NF - 5 Power Mix'!HJY21-'NF - 5 Power Mix'!HJY22</f>
        <v>0</v>
      </c>
      <c r="HJZ42" s="1046">
        <f>HJZ38+((HJZ40+'NF - 5 Power Mix'!HJZ14+'NF - 5 Power Mix'!HJZ15)*860/10)+((('Form Sa1'!HKC835)*860)/10)+('Form Sa1'!HKC814*'Form Sa1'!HKC816/10)-'NF - 5 Power Mix'!HJZ21-'NF - 5 Power Mix'!HJZ22</f>
        <v>0</v>
      </c>
      <c r="HKA42" s="1046">
        <f>HKA38+((HKA40+'NF - 5 Power Mix'!HKA14+'NF - 5 Power Mix'!HKA15)*860/10)+((('Form Sa1'!HKD835)*860)/10)+('Form Sa1'!HKD814*'Form Sa1'!HKD816/10)-'NF - 5 Power Mix'!HKA21-'NF - 5 Power Mix'!HKA22</f>
        <v>0</v>
      </c>
      <c r="HKB42" s="1046">
        <f>HKB38+((HKB40+'NF - 5 Power Mix'!HKB14+'NF - 5 Power Mix'!HKB15)*860/10)+((('Form Sa1'!HKE835)*860)/10)+('Form Sa1'!HKE814*'Form Sa1'!HKE816/10)-'NF - 5 Power Mix'!HKB21-'NF - 5 Power Mix'!HKB22</f>
        <v>0</v>
      </c>
      <c r="HKC42" s="1046">
        <f>HKC38+((HKC40+'NF - 5 Power Mix'!HKC14+'NF - 5 Power Mix'!HKC15)*860/10)+((('Form Sa1'!HKF835)*860)/10)+('Form Sa1'!HKF814*'Form Sa1'!HKF816/10)-'NF - 5 Power Mix'!HKC21-'NF - 5 Power Mix'!HKC22</f>
        <v>0</v>
      </c>
      <c r="HKD42" s="1046">
        <f>HKD38+((HKD40+'NF - 5 Power Mix'!HKD14+'NF - 5 Power Mix'!HKD15)*860/10)+((('Form Sa1'!HKG835)*860)/10)+('Form Sa1'!HKG814*'Form Sa1'!HKG816/10)-'NF - 5 Power Mix'!HKD21-'NF - 5 Power Mix'!HKD22</f>
        <v>0</v>
      </c>
      <c r="HKE42" s="1046">
        <f>HKE38+((HKE40+'NF - 5 Power Mix'!HKE14+'NF - 5 Power Mix'!HKE15)*860/10)+((('Form Sa1'!HKH835)*860)/10)+('Form Sa1'!HKH814*'Form Sa1'!HKH816/10)-'NF - 5 Power Mix'!HKE21-'NF - 5 Power Mix'!HKE22</f>
        <v>0</v>
      </c>
      <c r="HKF42" s="1046">
        <f>HKF38+((HKF40+'NF - 5 Power Mix'!HKF14+'NF - 5 Power Mix'!HKF15)*860/10)+((('Form Sa1'!HKI835)*860)/10)+('Form Sa1'!HKI814*'Form Sa1'!HKI816/10)-'NF - 5 Power Mix'!HKF21-'NF - 5 Power Mix'!HKF22</f>
        <v>0</v>
      </c>
      <c r="HKG42" s="1046">
        <f>HKG38+((HKG40+'NF - 5 Power Mix'!HKG14+'NF - 5 Power Mix'!HKG15)*860/10)+((('Form Sa1'!HKJ835)*860)/10)+('Form Sa1'!HKJ814*'Form Sa1'!HKJ816/10)-'NF - 5 Power Mix'!HKG21-'NF - 5 Power Mix'!HKG22</f>
        <v>0</v>
      </c>
      <c r="HKH42" s="1046">
        <f>HKH38+((HKH40+'NF - 5 Power Mix'!HKH14+'NF - 5 Power Mix'!HKH15)*860/10)+((('Form Sa1'!HKK835)*860)/10)+('Form Sa1'!HKK814*'Form Sa1'!HKK816/10)-'NF - 5 Power Mix'!HKH21-'NF - 5 Power Mix'!HKH22</f>
        <v>0</v>
      </c>
      <c r="HKI42" s="1046">
        <f>HKI38+((HKI40+'NF - 5 Power Mix'!HKI14+'NF - 5 Power Mix'!HKI15)*860/10)+((('Form Sa1'!HKL835)*860)/10)+('Form Sa1'!HKL814*'Form Sa1'!HKL816/10)-'NF - 5 Power Mix'!HKI21-'NF - 5 Power Mix'!HKI22</f>
        <v>0</v>
      </c>
      <c r="HKJ42" s="1046">
        <f>HKJ38+((HKJ40+'NF - 5 Power Mix'!HKJ14+'NF - 5 Power Mix'!HKJ15)*860/10)+((('Form Sa1'!HKM835)*860)/10)+('Form Sa1'!HKM814*'Form Sa1'!HKM816/10)-'NF - 5 Power Mix'!HKJ21-'NF - 5 Power Mix'!HKJ22</f>
        <v>0</v>
      </c>
      <c r="HKK42" s="1046">
        <f>HKK38+((HKK40+'NF - 5 Power Mix'!HKK14+'NF - 5 Power Mix'!HKK15)*860/10)+((('Form Sa1'!HKN835)*860)/10)+('Form Sa1'!HKN814*'Form Sa1'!HKN816/10)-'NF - 5 Power Mix'!HKK21-'NF - 5 Power Mix'!HKK22</f>
        <v>0</v>
      </c>
      <c r="HKL42" s="1046">
        <f>HKL38+((HKL40+'NF - 5 Power Mix'!HKL14+'NF - 5 Power Mix'!HKL15)*860/10)+((('Form Sa1'!HKO835)*860)/10)+('Form Sa1'!HKO814*'Form Sa1'!HKO816/10)-'NF - 5 Power Mix'!HKL21-'NF - 5 Power Mix'!HKL22</f>
        <v>0</v>
      </c>
      <c r="HKM42" s="1046">
        <f>HKM38+((HKM40+'NF - 5 Power Mix'!HKM14+'NF - 5 Power Mix'!HKM15)*860/10)+((('Form Sa1'!HKP835)*860)/10)+('Form Sa1'!HKP814*'Form Sa1'!HKP816/10)-'NF - 5 Power Mix'!HKM21-'NF - 5 Power Mix'!HKM22</f>
        <v>0</v>
      </c>
      <c r="HKN42" s="1046">
        <f>HKN38+((HKN40+'NF - 5 Power Mix'!HKN14+'NF - 5 Power Mix'!HKN15)*860/10)+((('Form Sa1'!HKQ835)*860)/10)+('Form Sa1'!HKQ814*'Form Sa1'!HKQ816/10)-'NF - 5 Power Mix'!HKN21-'NF - 5 Power Mix'!HKN22</f>
        <v>0</v>
      </c>
      <c r="HKO42" s="1046">
        <f>HKO38+((HKO40+'NF - 5 Power Mix'!HKO14+'NF - 5 Power Mix'!HKO15)*860/10)+((('Form Sa1'!HKR835)*860)/10)+('Form Sa1'!HKR814*'Form Sa1'!HKR816/10)-'NF - 5 Power Mix'!HKO21-'NF - 5 Power Mix'!HKO22</f>
        <v>0</v>
      </c>
      <c r="HKP42" s="1046">
        <f>HKP38+((HKP40+'NF - 5 Power Mix'!HKP14+'NF - 5 Power Mix'!HKP15)*860/10)+((('Form Sa1'!HKS835)*860)/10)+('Form Sa1'!HKS814*'Form Sa1'!HKS816/10)-'NF - 5 Power Mix'!HKP21-'NF - 5 Power Mix'!HKP22</f>
        <v>0</v>
      </c>
      <c r="HKQ42" s="1046">
        <f>HKQ38+((HKQ40+'NF - 5 Power Mix'!HKQ14+'NF - 5 Power Mix'!HKQ15)*860/10)+((('Form Sa1'!HKT835)*860)/10)+('Form Sa1'!HKT814*'Form Sa1'!HKT816/10)-'NF - 5 Power Mix'!HKQ21-'NF - 5 Power Mix'!HKQ22</f>
        <v>0</v>
      </c>
      <c r="HKR42" s="1046">
        <f>HKR38+((HKR40+'NF - 5 Power Mix'!HKR14+'NF - 5 Power Mix'!HKR15)*860/10)+((('Form Sa1'!HKU835)*860)/10)+('Form Sa1'!HKU814*'Form Sa1'!HKU816/10)-'NF - 5 Power Mix'!HKR21-'NF - 5 Power Mix'!HKR22</f>
        <v>0</v>
      </c>
      <c r="HKS42" s="1046">
        <f>HKS38+((HKS40+'NF - 5 Power Mix'!HKS14+'NF - 5 Power Mix'!HKS15)*860/10)+((('Form Sa1'!HKV835)*860)/10)+('Form Sa1'!HKV814*'Form Sa1'!HKV816/10)-'NF - 5 Power Mix'!HKS21-'NF - 5 Power Mix'!HKS22</f>
        <v>0</v>
      </c>
      <c r="HKT42" s="1046">
        <f>HKT38+((HKT40+'NF - 5 Power Mix'!HKT14+'NF - 5 Power Mix'!HKT15)*860/10)+((('Form Sa1'!HKW835)*860)/10)+('Form Sa1'!HKW814*'Form Sa1'!HKW816/10)-'NF - 5 Power Mix'!HKT21-'NF - 5 Power Mix'!HKT22</f>
        <v>0</v>
      </c>
      <c r="HKU42" s="1046">
        <f>HKU38+((HKU40+'NF - 5 Power Mix'!HKU14+'NF - 5 Power Mix'!HKU15)*860/10)+((('Form Sa1'!HKX835)*860)/10)+('Form Sa1'!HKX814*'Form Sa1'!HKX816/10)-'NF - 5 Power Mix'!HKU21-'NF - 5 Power Mix'!HKU22</f>
        <v>0</v>
      </c>
      <c r="HKV42" s="1046">
        <f>HKV38+((HKV40+'NF - 5 Power Mix'!HKV14+'NF - 5 Power Mix'!HKV15)*860/10)+((('Form Sa1'!HKY835)*860)/10)+('Form Sa1'!HKY814*'Form Sa1'!HKY816/10)-'NF - 5 Power Mix'!HKV21-'NF - 5 Power Mix'!HKV22</f>
        <v>0</v>
      </c>
      <c r="HKW42" s="1046">
        <f>HKW38+((HKW40+'NF - 5 Power Mix'!HKW14+'NF - 5 Power Mix'!HKW15)*860/10)+((('Form Sa1'!HKZ835)*860)/10)+('Form Sa1'!HKZ814*'Form Sa1'!HKZ816/10)-'NF - 5 Power Mix'!HKW21-'NF - 5 Power Mix'!HKW22</f>
        <v>0</v>
      </c>
      <c r="HKX42" s="1046">
        <f>HKX38+((HKX40+'NF - 5 Power Mix'!HKX14+'NF - 5 Power Mix'!HKX15)*860/10)+((('Form Sa1'!HLA835)*860)/10)+('Form Sa1'!HLA814*'Form Sa1'!HLA816/10)-'NF - 5 Power Mix'!HKX21-'NF - 5 Power Mix'!HKX22</f>
        <v>0</v>
      </c>
      <c r="HKY42" s="1046">
        <f>HKY38+((HKY40+'NF - 5 Power Mix'!HKY14+'NF - 5 Power Mix'!HKY15)*860/10)+((('Form Sa1'!HLB835)*860)/10)+('Form Sa1'!HLB814*'Form Sa1'!HLB816/10)-'NF - 5 Power Mix'!HKY21-'NF - 5 Power Mix'!HKY22</f>
        <v>0</v>
      </c>
      <c r="HKZ42" s="1046">
        <f>HKZ38+((HKZ40+'NF - 5 Power Mix'!HKZ14+'NF - 5 Power Mix'!HKZ15)*860/10)+((('Form Sa1'!HLC835)*860)/10)+('Form Sa1'!HLC814*'Form Sa1'!HLC816/10)-'NF - 5 Power Mix'!HKZ21-'NF - 5 Power Mix'!HKZ22</f>
        <v>0</v>
      </c>
      <c r="HLA42" s="1046">
        <f>HLA38+((HLA40+'NF - 5 Power Mix'!HLA14+'NF - 5 Power Mix'!HLA15)*860/10)+((('Form Sa1'!HLD835)*860)/10)+('Form Sa1'!HLD814*'Form Sa1'!HLD816/10)-'NF - 5 Power Mix'!HLA21-'NF - 5 Power Mix'!HLA22</f>
        <v>0</v>
      </c>
      <c r="HLB42" s="1046">
        <f>HLB38+((HLB40+'NF - 5 Power Mix'!HLB14+'NF - 5 Power Mix'!HLB15)*860/10)+((('Form Sa1'!HLE835)*860)/10)+('Form Sa1'!HLE814*'Form Sa1'!HLE816/10)-'NF - 5 Power Mix'!HLB21-'NF - 5 Power Mix'!HLB22</f>
        <v>0</v>
      </c>
      <c r="HLC42" s="1046">
        <f>HLC38+((HLC40+'NF - 5 Power Mix'!HLC14+'NF - 5 Power Mix'!HLC15)*860/10)+((('Form Sa1'!HLF835)*860)/10)+('Form Sa1'!HLF814*'Form Sa1'!HLF816/10)-'NF - 5 Power Mix'!HLC21-'NF - 5 Power Mix'!HLC22</f>
        <v>0</v>
      </c>
      <c r="HLD42" s="1046">
        <f>HLD38+((HLD40+'NF - 5 Power Mix'!HLD14+'NF - 5 Power Mix'!HLD15)*860/10)+((('Form Sa1'!HLG835)*860)/10)+('Form Sa1'!HLG814*'Form Sa1'!HLG816/10)-'NF - 5 Power Mix'!HLD21-'NF - 5 Power Mix'!HLD22</f>
        <v>0</v>
      </c>
      <c r="HLE42" s="1046">
        <f>HLE38+((HLE40+'NF - 5 Power Mix'!HLE14+'NF - 5 Power Mix'!HLE15)*860/10)+((('Form Sa1'!HLH835)*860)/10)+('Form Sa1'!HLH814*'Form Sa1'!HLH816/10)-'NF - 5 Power Mix'!HLE21-'NF - 5 Power Mix'!HLE22</f>
        <v>0</v>
      </c>
      <c r="HLF42" s="1046">
        <f>HLF38+((HLF40+'NF - 5 Power Mix'!HLF14+'NF - 5 Power Mix'!HLF15)*860/10)+((('Form Sa1'!HLI835)*860)/10)+('Form Sa1'!HLI814*'Form Sa1'!HLI816/10)-'NF - 5 Power Mix'!HLF21-'NF - 5 Power Mix'!HLF22</f>
        <v>0</v>
      </c>
      <c r="HLG42" s="1046">
        <f>HLG38+((HLG40+'NF - 5 Power Mix'!HLG14+'NF - 5 Power Mix'!HLG15)*860/10)+((('Form Sa1'!HLJ835)*860)/10)+('Form Sa1'!HLJ814*'Form Sa1'!HLJ816/10)-'NF - 5 Power Mix'!HLG21-'NF - 5 Power Mix'!HLG22</f>
        <v>0</v>
      </c>
      <c r="HLH42" s="1046">
        <f>HLH38+((HLH40+'NF - 5 Power Mix'!HLH14+'NF - 5 Power Mix'!HLH15)*860/10)+((('Form Sa1'!HLK835)*860)/10)+('Form Sa1'!HLK814*'Form Sa1'!HLK816/10)-'NF - 5 Power Mix'!HLH21-'NF - 5 Power Mix'!HLH22</f>
        <v>0</v>
      </c>
      <c r="HLI42" s="1046">
        <f>HLI38+((HLI40+'NF - 5 Power Mix'!HLI14+'NF - 5 Power Mix'!HLI15)*860/10)+((('Form Sa1'!HLL835)*860)/10)+('Form Sa1'!HLL814*'Form Sa1'!HLL816/10)-'NF - 5 Power Mix'!HLI21-'NF - 5 Power Mix'!HLI22</f>
        <v>0</v>
      </c>
      <c r="HLJ42" s="1046">
        <f>HLJ38+((HLJ40+'NF - 5 Power Mix'!HLJ14+'NF - 5 Power Mix'!HLJ15)*860/10)+((('Form Sa1'!HLM835)*860)/10)+('Form Sa1'!HLM814*'Form Sa1'!HLM816/10)-'NF - 5 Power Mix'!HLJ21-'NF - 5 Power Mix'!HLJ22</f>
        <v>0</v>
      </c>
      <c r="HLK42" s="1046">
        <f>HLK38+((HLK40+'NF - 5 Power Mix'!HLK14+'NF - 5 Power Mix'!HLK15)*860/10)+((('Form Sa1'!HLN835)*860)/10)+('Form Sa1'!HLN814*'Form Sa1'!HLN816/10)-'NF - 5 Power Mix'!HLK21-'NF - 5 Power Mix'!HLK22</f>
        <v>0</v>
      </c>
      <c r="HLL42" s="1046">
        <f>HLL38+((HLL40+'NF - 5 Power Mix'!HLL14+'NF - 5 Power Mix'!HLL15)*860/10)+((('Form Sa1'!HLO835)*860)/10)+('Form Sa1'!HLO814*'Form Sa1'!HLO816/10)-'NF - 5 Power Mix'!HLL21-'NF - 5 Power Mix'!HLL22</f>
        <v>0</v>
      </c>
      <c r="HLM42" s="1046">
        <f>HLM38+((HLM40+'NF - 5 Power Mix'!HLM14+'NF - 5 Power Mix'!HLM15)*860/10)+((('Form Sa1'!HLP835)*860)/10)+('Form Sa1'!HLP814*'Form Sa1'!HLP816/10)-'NF - 5 Power Mix'!HLM21-'NF - 5 Power Mix'!HLM22</f>
        <v>0</v>
      </c>
      <c r="HLN42" s="1046">
        <f>HLN38+((HLN40+'NF - 5 Power Mix'!HLN14+'NF - 5 Power Mix'!HLN15)*860/10)+((('Form Sa1'!HLQ835)*860)/10)+('Form Sa1'!HLQ814*'Form Sa1'!HLQ816/10)-'NF - 5 Power Mix'!HLN21-'NF - 5 Power Mix'!HLN22</f>
        <v>0</v>
      </c>
      <c r="HLO42" s="1046">
        <f>HLO38+((HLO40+'NF - 5 Power Mix'!HLO14+'NF - 5 Power Mix'!HLO15)*860/10)+((('Form Sa1'!HLR835)*860)/10)+('Form Sa1'!HLR814*'Form Sa1'!HLR816/10)-'NF - 5 Power Mix'!HLO21-'NF - 5 Power Mix'!HLO22</f>
        <v>0</v>
      </c>
      <c r="HLP42" s="1046">
        <f>HLP38+((HLP40+'NF - 5 Power Mix'!HLP14+'NF - 5 Power Mix'!HLP15)*860/10)+((('Form Sa1'!HLS835)*860)/10)+('Form Sa1'!HLS814*'Form Sa1'!HLS816/10)-'NF - 5 Power Mix'!HLP21-'NF - 5 Power Mix'!HLP22</f>
        <v>0</v>
      </c>
      <c r="HLQ42" s="1046">
        <f>HLQ38+((HLQ40+'NF - 5 Power Mix'!HLQ14+'NF - 5 Power Mix'!HLQ15)*860/10)+((('Form Sa1'!HLT835)*860)/10)+('Form Sa1'!HLT814*'Form Sa1'!HLT816/10)-'NF - 5 Power Mix'!HLQ21-'NF - 5 Power Mix'!HLQ22</f>
        <v>0</v>
      </c>
      <c r="HLR42" s="1046">
        <f>HLR38+((HLR40+'NF - 5 Power Mix'!HLR14+'NF - 5 Power Mix'!HLR15)*860/10)+((('Form Sa1'!HLU835)*860)/10)+('Form Sa1'!HLU814*'Form Sa1'!HLU816/10)-'NF - 5 Power Mix'!HLR21-'NF - 5 Power Mix'!HLR22</f>
        <v>0</v>
      </c>
      <c r="HLS42" s="1046">
        <f>HLS38+((HLS40+'NF - 5 Power Mix'!HLS14+'NF - 5 Power Mix'!HLS15)*860/10)+((('Form Sa1'!HLV835)*860)/10)+('Form Sa1'!HLV814*'Form Sa1'!HLV816/10)-'NF - 5 Power Mix'!HLS21-'NF - 5 Power Mix'!HLS22</f>
        <v>0</v>
      </c>
      <c r="HLT42" s="1046">
        <f>HLT38+((HLT40+'NF - 5 Power Mix'!HLT14+'NF - 5 Power Mix'!HLT15)*860/10)+((('Form Sa1'!HLW835)*860)/10)+('Form Sa1'!HLW814*'Form Sa1'!HLW816/10)-'NF - 5 Power Mix'!HLT21-'NF - 5 Power Mix'!HLT22</f>
        <v>0</v>
      </c>
      <c r="HLU42" s="1046">
        <f>HLU38+((HLU40+'NF - 5 Power Mix'!HLU14+'NF - 5 Power Mix'!HLU15)*860/10)+((('Form Sa1'!HLX835)*860)/10)+('Form Sa1'!HLX814*'Form Sa1'!HLX816/10)-'NF - 5 Power Mix'!HLU21-'NF - 5 Power Mix'!HLU22</f>
        <v>0</v>
      </c>
      <c r="HLV42" s="1046">
        <f>HLV38+((HLV40+'NF - 5 Power Mix'!HLV14+'NF - 5 Power Mix'!HLV15)*860/10)+((('Form Sa1'!HLY835)*860)/10)+('Form Sa1'!HLY814*'Form Sa1'!HLY816/10)-'NF - 5 Power Mix'!HLV21-'NF - 5 Power Mix'!HLV22</f>
        <v>0</v>
      </c>
      <c r="HLW42" s="1046">
        <f>HLW38+((HLW40+'NF - 5 Power Mix'!HLW14+'NF - 5 Power Mix'!HLW15)*860/10)+((('Form Sa1'!HLZ835)*860)/10)+('Form Sa1'!HLZ814*'Form Sa1'!HLZ816/10)-'NF - 5 Power Mix'!HLW21-'NF - 5 Power Mix'!HLW22</f>
        <v>0</v>
      </c>
      <c r="HLX42" s="1046">
        <f>HLX38+((HLX40+'NF - 5 Power Mix'!HLX14+'NF - 5 Power Mix'!HLX15)*860/10)+((('Form Sa1'!HMA835)*860)/10)+('Form Sa1'!HMA814*'Form Sa1'!HMA816/10)-'NF - 5 Power Mix'!HLX21-'NF - 5 Power Mix'!HLX22</f>
        <v>0</v>
      </c>
      <c r="HLY42" s="1046">
        <f>HLY38+((HLY40+'NF - 5 Power Mix'!HLY14+'NF - 5 Power Mix'!HLY15)*860/10)+((('Form Sa1'!HMB835)*860)/10)+('Form Sa1'!HMB814*'Form Sa1'!HMB816/10)-'NF - 5 Power Mix'!HLY21-'NF - 5 Power Mix'!HLY22</f>
        <v>0</v>
      </c>
      <c r="HLZ42" s="1046">
        <f>HLZ38+((HLZ40+'NF - 5 Power Mix'!HLZ14+'NF - 5 Power Mix'!HLZ15)*860/10)+((('Form Sa1'!HMC835)*860)/10)+('Form Sa1'!HMC814*'Form Sa1'!HMC816/10)-'NF - 5 Power Mix'!HLZ21-'NF - 5 Power Mix'!HLZ22</f>
        <v>0</v>
      </c>
      <c r="HMA42" s="1046">
        <f>HMA38+((HMA40+'NF - 5 Power Mix'!HMA14+'NF - 5 Power Mix'!HMA15)*860/10)+((('Form Sa1'!HMD835)*860)/10)+('Form Sa1'!HMD814*'Form Sa1'!HMD816/10)-'NF - 5 Power Mix'!HMA21-'NF - 5 Power Mix'!HMA22</f>
        <v>0</v>
      </c>
      <c r="HMB42" s="1046">
        <f>HMB38+((HMB40+'NF - 5 Power Mix'!HMB14+'NF - 5 Power Mix'!HMB15)*860/10)+((('Form Sa1'!HME835)*860)/10)+('Form Sa1'!HME814*'Form Sa1'!HME816/10)-'NF - 5 Power Mix'!HMB21-'NF - 5 Power Mix'!HMB22</f>
        <v>0</v>
      </c>
      <c r="HMC42" s="1046">
        <f>HMC38+((HMC40+'NF - 5 Power Mix'!HMC14+'NF - 5 Power Mix'!HMC15)*860/10)+((('Form Sa1'!HMF835)*860)/10)+('Form Sa1'!HMF814*'Form Sa1'!HMF816/10)-'NF - 5 Power Mix'!HMC21-'NF - 5 Power Mix'!HMC22</f>
        <v>0</v>
      </c>
      <c r="HMD42" s="1046">
        <f>HMD38+((HMD40+'NF - 5 Power Mix'!HMD14+'NF - 5 Power Mix'!HMD15)*860/10)+((('Form Sa1'!HMG835)*860)/10)+('Form Sa1'!HMG814*'Form Sa1'!HMG816/10)-'NF - 5 Power Mix'!HMD21-'NF - 5 Power Mix'!HMD22</f>
        <v>0</v>
      </c>
      <c r="HME42" s="1046">
        <f>HME38+((HME40+'NF - 5 Power Mix'!HME14+'NF - 5 Power Mix'!HME15)*860/10)+((('Form Sa1'!HMH835)*860)/10)+('Form Sa1'!HMH814*'Form Sa1'!HMH816/10)-'NF - 5 Power Mix'!HME21-'NF - 5 Power Mix'!HME22</f>
        <v>0</v>
      </c>
      <c r="HMF42" s="1046">
        <f>HMF38+((HMF40+'NF - 5 Power Mix'!HMF14+'NF - 5 Power Mix'!HMF15)*860/10)+((('Form Sa1'!HMI835)*860)/10)+('Form Sa1'!HMI814*'Form Sa1'!HMI816/10)-'NF - 5 Power Mix'!HMF21-'NF - 5 Power Mix'!HMF22</f>
        <v>0</v>
      </c>
      <c r="HMG42" s="1046">
        <f>HMG38+((HMG40+'NF - 5 Power Mix'!HMG14+'NF - 5 Power Mix'!HMG15)*860/10)+((('Form Sa1'!HMJ835)*860)/10)+('Form Sa1'!HMJ814*'Form Sa1'!HMJ816/10)-'NF - 5 Power Mix'!HMG21-'NF - 5 Power Mix'!HMG22</f>
        <v>0</v>
      </c>
      <c r="HMH42" s="1046">
        <f>HMH38+((HMH40+'NF - 5 Power Mix'!HMH14+'NF - 5 Power Mix'!HMH15)*860/10)+((('Form Sa1'!HMK835)*860)/10)+('Form Sa1'!HMK814*'Form Sa1'!HMK816/10)-'NF - 5 Power Mix'!HMH21-'NF - 5 Power Mix'!HMH22</f>
        <v>0</v>
      </c>
      <c r="HMI42" s="1046">
        <f>HMI38+((HMI40+'NF - 5 Power Mix'!HMI14+'NF - 5 Power Mix'!HMI15)*860/10)+((('Form Sa1'!HML835)*860)/10)+('Form Sa1'!HML814*'Form Sa1'!HML816/10)-'NF - 5 Power Mix'!HMI21-'NF - 5 Power Mix'!HMI22</f>
        <v>0</v>
      </c>
      <c r="HMJ42" s="1046">
        <f>HMJ38+((HMJ40+'NF - 5 Power Mix'!HMJ14+'NF - 5 Power Mix'!HMJ15)*860/10)+((('Form Sa1'!HMM835)*860)/10)+('Form Sa1'!HMM814*'Form Sa1'!HMM816/10)-'NF - 5 Power Mix'!HMJ21-'NF - 5 Power Mix'!HMJ22</f>
        <v>0</v>
      </c>
      <c r="HMK42" s="1046">
        <f>HMK38+((HMK40+'NF - 5 Power Mix'!HMK14+'NF - 5 Power Mix'!HMK15)*860/10)+((('Form Sa1'!HMN835)*860)/10)+('Form Sa1'!HMN814*'Form Sa1'!HMN816/10)-'NF - 5 Power Mix'!HMK21-'NF - 5 Power Mix'!HMK22</f>
        <v>0</v>
      </c>
      <c r="HML42" s="1046">
        <f>HML38+((HML40+'NF - 5 Power Mix'!HML14+'NF - 5 Power Mix'!HML15)*860/10)+((('Form Sa1'!HMO835)*860)/10)+('Form Sa1'!HMO814*'Form Sa1'!HMO816/10)-'NF - 5 Power Mix'!HML21-'NF - 5 Power Mix'!HML22</f>
        <v>0</v>
      </c>
      <c r="HMM42" s="1046">
        <f>HMM38+((HMM40+'NF - 5 Power Mix'!HMM14+'NF - 5 Power Mix'!HMM15)*860/10)+((('Form Sa1'!HMP835)*860)/10)+('Form Sa1'!HMP814*'Form Sa1'!HMP816/10)-'NF - 5 Power Mix'!HMM21-'NF - 5 Power Mix'!HMM22</f>
        <v>0</v>
      </c>
      <c r="HMN42" s="1046">
        <f>HMN38+((HMN40+'NF - 5 Power Mix'!HMN14+'NF - 5 Power Mix'!HMN15)*860/10)+((('Form Sa1'!HMQ835)*860)/10)+('Form Sa1'!HMQ814*'Form Sa1'!HMQ816/10)-'NF - 5 Power Mix'!HMN21-'NF - 5 Power Mix'!HMN22</f>
        <v>0</v>
      </c>
      <c r="HMO42" s="1046">
        <f>HMO38+((HMO40+'NF - 5 Power Mix'!HMO14+'NF - 5 Power Mix'!HMO15)*860/10)+((('Form Sa1'!HMR835)*860)/10)+('Form Sa1'!HMR814*'Form Sa1'!HMR816/10)-'NF - 5 Power Mix'!HMO21-'NF - 5 Power Mix'!HMO22</f>
        <v>0</v>
      </c>
      <c r="HMP42" s="1046">
        <f>HMP38+((HMP40+'NF - 5 Power Mix'!HMP14+'NF - 5 Power Mix'!HMP15)*860/10)+((('Form Sa1'!HMS835)*860)/10)+('Form Sa1'!HMS814*'Form Sa1'!HMS816/10)-'NF - 5 Power Mix'!HMP21-'NF - 5 Power Mix'!HMP22</f>
        <v>0</v>
      </c>
      <c r="HMQ42" s="1046">
        <f>HMQ38+((HMQ40+'NF - 5 Power Mix'!HMQ14+'NF - 5 Power Mix'!HMQ15)*860/10)+((('Form Sa1'!HMT835)*860)/10)+('Form Sa1'!HMT814*'Form Sa1'!HMT816/10)-'NF - 5 Power Mix'!HMQ21-'NF - 5 Power Mix'!HMQ22</f>
        <v>0</v>
      </c>
      <c r="HMR42" s="1046">
        <f>HMR38+((HMR40+'NF - 5 Power Mix'!HMR14+'NF - 5 Power Mix'!HMR15)*860/10)+((('Form Sa1'!HMU835)*860)/10)+('Form Sa1'!HMU814*'Form Sa1'!HMU816/10)-'NF - 5 Power Mix'!HMR21-'NF - 5 Power Mix'!HMR22</f>
        <v>0</v>
      </c>
      <c r="HMS42" s="1046">
        <f>HMS38+((HMS40+'NF - 5 Power Mix'!HMS14+'NF - 5 Power Mix'!HMS15)*860/10)+((('Form Sa1'!HMV835)*860)/10)+('Form Sa1'!HMV814*'Form Sa1'!HMV816/10)-'NF - 5 Power Mix'!HMS21-'NF - 5 Power Mix'!HMS22</f>
        <v>0</v>
      </c>
      <c r="HMT42" s="1046">
        <f>HMT38+((HMT40+'NF - 5 Power Mix'!HMT14+'NF - 5 Power Mix'!HMT15)*860/10)+((('Form Sa1'!HMW835)*860)/10)+('Form Sa1'!HMW814*'Form Sa1'!HMW816/10)-'NF - 5 Power Mix'!HMT21-'NF - 5 Power Mix'!HMT22</f>
        <v>0</v>
      </c>
      <c r="HMU42" s="1046">
        <f>HMU38+((HMU40+'NF - 5 Power Mix'!HMU14+'NF - 5 Power Mix'!HMU15)*860/10)+((('Form Sa1'!HMX835)*860)/10)+('Form Sa1'!HMX814*'Form Sa1'!HMX816/10)-'NF - 5 Power Mix'!HMU21-'NF - 5 Power Mix'!HMU22</f>
        <v>0</v>
      </c>
      <c r="HMV42" s="1046">
        <f>HMV38+((HMV40+'NF - 5 Power Mix'!HMV14+'NF - 5 Power Mix'!HMV15)*860/10)+((('Form Sa1'!HMY835)*860)/10)+('Form Sa1'!HMY814*'Form Sa1'!HMY816/10)-'NF - 5 Power Mix'!HMV21-'NF - 5 Power Mix'!HMV22</f>
        <v>0</v>
      </c>
      <c r="HMW42" s="1046">
        <f>HMW38+((HMW40+'NF - 5 Power Mix'!HMW14+'NF - 5 Power Mix'!HMW15)*860/10)+((('Form Sa1'!HMZ835)*860)/10)+('Form Sa1'!HMZ814*'Form Sa1'!HMZ816/10)-'NF - 5 Power Mix'!HMW21-'NF - 5 Power Mix'!HMW22</f>
        <v>0</v>
      </c>
      <c r="HMX42" s="1046">
        <f>HMX38+((HMX40+'NF - 5 Power Mix'!HMX14+'NF - 5 Power Mix'!HMX15)*860/10)+((('Form Sa1'!HNA835)*860)/10)+('Form Sa1'!HNA814*'Form Sa1'!HNA816/10)-'NF - 5 Power Mix'!HMX21-'NF - 5 Power Mix'!HMX22</f>
        <v>0</v>
      </c>
      <c r="HMY42" s="1046">
        <f>HMY38+((HMY40+'NF - 5 Power Mix'!HMY14+'NF - 5 Power Mix'!HMY15)*860/10)+((('Form Sa1'!HNB835)*860)/10)+('Form Sa1'!HNB814*'Form Sa1'!HNB816/10)-'NF - 5 Power Mix'!HMY21-'NF - 5 Power Mix'!HMY22</f>
        <v>0</v>
      </c>
      <c r="HMZ42" s="1046">
        <f>HMZ38+((HMZ40+'NF - 5 Power Mix'!HMZ14+'NF - 5 Power Mix'!HMZ15)*860/10)+((('Form Sa1'!HNC835)*860)/10)+('Form Sa1'!HNC814*'Form Sa1'!HNC816/10)-'NF - 5 Power Mix'!HMZ21-'NF - 5 Power Mix'!HMZ22</f>
        <v>0</v>
      </c>
      <c r="HNA42" s="1046">
        <f>HNA38+((HNA40+'NF - 5 Power Mix'!HNA14+'NF - 5 Power Mix'!HNA15)*860/10)+((('Form Sa1'!HND835)*860)/10)+('Form Sa1'!HND814*'Form Sa1'!HND816/10)-'NF - 5 Power Mix'!HNA21-'NF - 5 Power Mix'!HNA22</f>
        <v>0</v>
      </c>
      <c r="HNB42" s="1046">
        <f>HNB38+((HNB40+'NF - 5 Power Mix'!HNB14+'NF - 5 Power Mix'!HNB15)*860/10)+((('Form Sa1'!HNE835)*860)/10)+('Form Sa1'!HNE814*'Form Sa1'!HNE816/10)-'NF - 5 Power Mix'!HNB21-'NF - 5 Power Mix'!HNB22</f>
        <v>0</v>
      </c>
      <c r="HNC42" s="1046">
        <f>HNC38+((HNC40+'NF - 5 Power Mix'!HNC14+'NF - 5 Power Mix'!HNC15)*860/10)+((('Form Sa1'!HNF835)*860)/10)+('Form Sa1'!HNF814*'Form Sa1'!HNF816/10)-'NF - 5 Power Mix'!HNC21-'NF - 5 Power Mix'!HNC22</f>
        <v>0</v>
      </c>
      <c r="HND42" s="1046">
        <f>HND38+((HND40+'NF - 5 Power Mix'!HND14+'NF - 5 Power Mix'!HND15)*860/10)+((('Form Sa1'!HNG835)*860)/10)+('Form Sa1'!HNG814*'Form Sa1'!HNG816/10)-'NF - 5 Power Mix'!HND21-'NF - 5 Power Mix'!HND22</f>
        <v>0</v>
      </c>
      <c r="HNE42" s="1046">
        <f>HNE38+((HNE40+'NF - 5 Power Mix'!HNE14+'NF - 5 Power Mix'!HNE15)*860/10)+((('Form Sa1'!HNH835)*860)/10)+('Form Sa1'!HNH814*'Form Sa1'!HNH816/10)-'NF - 5 Power Mix'!HNE21-'NF - 5 Power Mix'!HNE22</f>
        <v>0</v>
      </c>
      <c r="HNF42" s="1046">
        <f>HNF38+((HNF40+'NF - 5 Power Mix'!HNF14+'NF - 5 Power Mix'!HNF15)*860/10)+((('Form Sa1'!HNI835)*860)/10)+('Form Sa1'!HNI814*'Form Sa1'!HNI816/10)-'NF - 5 Power Mix'!HNF21-'NF - 5 Power Mix'!HNF22</f>
        <v>0</v>
      </c>
      <c r="HNG42" s="1046">
        <f>HNG38+((HNG40+'NF - 5 Power Mix'!HNG14+'NF - 5 Power Mix'!HNG15)*860/10)+((('Form Sa1'!HNJ835)*860)/10)+('Form Sa1'!HNJ814*'Form Sa1'!HNJ816/10)-'NF - 5 Power Mix'!HNG21-'NF - 5 Power Mix'!HNG22</f>
        <v>0</v>
      </c>
      <c r="HNH42" s="1046">
        <f>HNH38+((HNH40+'NF - 5 Power Mix'!HNH14+'NF - 5 Power Mix'!HNH15)*860/10)+((('Form Sa1'!HNK835)*860)/10)+('Form Sa1'!HNK814*'Form Sa1'!HNK816/10)-'NF - 5 Power Mix'!HNH21-'NF - 5 Power Mix'!HNH22</f>
        <v>0</v>
      </c>
      <c r="HNI42" s="1046">
        <f>HNI38+((HNI40+'NF - 5 Power Mix'!HNI14+'NF - 5 Power Mix'!HNI15)*860/10)+((('Form Sa1'!HNL835)*860)/10)+('Form Sa1'!HNL814*'Form Sa1'!HNL816/10)-'NF - 5 Power Mix'!HNI21-'NF - 5 Power Mix'!HNI22</f>
        <v>0</v>
      </c>
      <c r="HNJ42" s="1046">
        <f>HNJ38+((HNJ40+'NF - 5 Power Mix'!HNJ14+'NF - 5 Power Mix'!HNJ15)*860/10)+((('Form Sa1'!HNM835)*860)/10)+('Form Sa1'!HNM814*'Form Sa1'!HNM816/10)-'NF - 5 Power Mix'!HNJ21-'NF - 5 Power Mix'!HNJ22</f>
        <v>0</v>
      </c>
      <c r="HNK42" s="1046">
        <f>HNK38+((HNK40+'NF - 5 Power Mix'!HNK14+'NF - 5 Power Mix'!HNK15)*860/10)+((('Form Sa1'!HNN835)*860)/10)+('Form Sa1'!HNN814*'Form Sa1'!HNN816/10)-'NF - 5 Power Mix'!HNK21-'NF - 5 Power Mix'!HNK22</f>
        <v>0</v>
      </c>
      <c r="HNL42" s="1046">
        <f>HNL38+((HNL40+'NF - 5 Power Mix'!HNL14+'NF - 5 Power Mix'!HNL15)*860/10)+((('Form Sa1'!HNO835)*860)/10)+('Form Sa1'!HNO814*'Form Sa1'!HNO816/10)-'NF - 5 Power Mix'!HNL21-'NF - 5 Power Mix'!HNL22</f>
        <v>0</v>
      </c>
      <c r="HNM42" s="1046">
        <f>HNM38+((HNM40+'NF - 5 Power Mix'!HNM14+'NF - 5 Power Mix'!HNM15)*860/10)+((('Form Sa1'!HNP835)*860)/10)+('Form Sa1'!HNP814*'Form Sa1'!HNP816/10)-'NF - 5 Power Mix'!HNM21-'NF - 5 Power Mix'!HNM22</f>
        <v>0</v>
      </c>
      <c r="HNN42" s="1046">
        <f>HNN38+((HNN40+'NF - 5 Power Mix'!HNN14+'NF - 5 Power Mix'!HNN15)*860/10)+((('Form Sa1'!HNQ835)*860)/10)+('Form Sa1'!HNQ814*'Form Sa1'!HNQ816/10)-'NF - 5 Power Mix'!HNN21-'NF - 5 Power Mix'!HNN22</f>
        <v>0</v>
      </c>
      <c r="HNO42" s="1046">
        <f>HNO38+((HNO40+'NF - 5 Power Mix'!HNO14+'NF - 5 Power Mix'!HNO15)*860/10)+((('Form Sa1'!HNR835)*860)/10)+('Form Sa1'!HNR814*'Form Sa1'!HNR816/10)-'NF - 5 Power Mix'!HNO21-'NF - 5 Power Mix'!HNO22</f>
        <v>0</v>
      </c>
      <c r="HNP42" s="1046">
        <f>HNP38+((HNP40+'NF - 5 Power Mix'!HNP14+'NF - 5 Power Mix'!HNP15)*860/10)+((('Form Sa1'!HNS835)*860)/10)+('Form Sa1'!HNS814*'Form Sa1'!HNS816/10)-'NF - 5 Power Mix'!HNP21-'NF - 5 Power Mix'!HNP22</f>
        <v>0</v>
      </c>
      <c r="HNQ42" s="1046">
        <f>HNQ38+((HNQ40+'NF - 5 Power Mix'!HNQ14+'NF - 5 Power Mix'!HNQ15)*860/10)+((('Form Sa1'!HNT835)*860)/10)+('Form Sa1'!HNT814*'Form Sa1'!HNT816/10)-'NF - 5 Power Mix'!HNQ21-'NF - 5 Power Mix'!HNQ22</f>
        <v>0</v>
      </c>
      <c r="HNR42" s="1046">
        <f>HNR38+((HNR40+'NF - 5 Power Mix'!HNR14+'NF - 5 Power Mix'!HNR15)*860/10)+((('Form Sa1'!HNU835)*860)/10)+('Form Sa1'!HNU814*'Form Sa1'!HNU816/10)-'NF - 5 Power Mix'!HNR21-'NF - 5 Power Mix'!HNR22</f>
        <v>0</v>
      </c>
      <c r="HNS42" s="1046">
        <f>HNS38+((HNS40+'NF - 5 Power Mix'!HNS14+'NF - 5 Power Mix'!HNS15)*860/10)+((('Form Sa1'!HNV835)*860)/10)+('Form Sa1'!HNV814*'Form Sa1'!HNV816/10)-'NF - 5 Power Mix'!HNS21-'NF - 5 Power Mix'!HNS22</f>
        <v>0</v>
      </c>
      <c r="HNT42" s="1046">
        <f>HNT38+((HNT40+'NF - 5 Power Mix'!HNT14+'NF - 5 Power Mix'!HNT15)*860/10)+((('Form Sa1'!HNW835)*860)/10)+('Form Sa1'!HNW814*'Form Sa1'!HNW816/10)-'NF - 5 Power Mix'!HNT21-'NF - 5 Power Mix'!HNT22</f>
        <v>0</v>
      </c>
      <c r="HNU42" s="1046">
        <f>HNU38+((HNU40+'NF - 5 Power Mix'!HNU14+'NF - 5 Power Mix'!HNU15)*860/10)+((('Form Sa1'!HNX835)*860)/10)+('Form Sa1'!HNX814*'Form Sa1'!HNX816/10)-'NF - 5 Power Mix'!HNU21-'NF - 5 Power Mix'!HNU22</f>
        <v>0</v>
      </c>
      <c r="HNV42" s="1046">
        <f>HNV38+((HNV40+'NF - 5 Power Mix'!HNV14+'NF - 5 Power Mix'!HNV15)*860/10)+((('Form Sa1'!HNY835)*860)/10)+('Form Sa1'!HNY814*'Form Sa1'!HNY816/10)-'NF - 5 Power Mix'!HNV21-'NF - 5 Power Mix'!HNV22</f>
        <v>0</v>
      </c>
      <c r="HNW42" s="1046">
        <f>HNW38+((HNW40+'NF - 5 Power Mix'!HNW14+'NF - 5 Power Mix'!HNW15)*860/10)+((('Form Sa1'!HNZ835)*860)/10)+('Form Sa1'!HNZ814*'Form Sa1'!HNZ816/10)-'NF - 5 Power Mix'!HNW21-'NF - 5 Power Mix'!HNW22</f>
        <v>0</v>
      </c>
      <c r="HNX42" s="1046">
        <f>HNX38+((HNX40+'NF - 5 Power Mix'!HNX14+'NF - 5 Power Mix'!HNX15)*860/10)+((('Form Sa1'!HOA835)*860)/10)+('Form Sa1'!HOA814*'Form Sa1'!HOA816/10)-'NF - 5 Power Mix'!HNX21-'NF - 5 Power Mix'!HNX22</f>
        <v>0</v>
      </c>
      <c r="HNY42" s="1046">
        <f>HNY38+((HNY40+'NF - 5 Power Mix'!HNY14+'NF - 5 Power Mix'!HNY15)*860/10)+((('Form Sa1'!HOB835)*860)/10)+('Form Sa1'!HOB814*'Form Sa1'!HOB816/10)-'NF - 5 Power Mix'!HNY21-'NF - 5 Power Mix'!HNY22</f>
        <v>0</v>
      </c>
      <c r="HNZ42" s="1046">
        <f>HNZ38+((HNZ40+'NF - 5 Power Mix'!HNZ14+'NF - 5 Power Mix'!HNZ15)*860/10)+((('Form Sa1'!HOC835)*860)/10)+('Form Sa1'!HOC814*'Form Sa1'!HOC816/10)-'NF - 5 Power Mix'!HNZ21-'NF - 5 Power Mix'!HNZ22</f>
        <v>0</v>
      </c>
      <c r="HOA42" s="1046">
        <f>HOA38+((HOA40+'NF - 5 Power Mix'!HOA14+'NF - 5 Power Mix'!HOA15)*860/10)+((('Form Sa1'!HOD835)*860)/10)+('Form Sa1'!HOD814*'Form Sa1'!HOD816/10)-'NF - 5 Power Mix'!HOA21-'NF - 5 Power Mix'!HOA22</f>
        <v>0</v>
      </c>
      <c r="HOB42" s="1046">
        <f>HOB38+((HOB40+'NF - 5 Power Mix'!HOB14+'NF - 5 Power Mix'!HOB15)*860/10)+((('Form Sa1'!HOE835)*860)/10)+('Form Sa1'!HOE814*'Form Sa1'!HOE816/10)-'NF - 5 Power Mix'!HOB21-'NF - 5 Power Mix'!HOB22</f>
        <v>0</v>
      </c>
      <c r="HOC42" s="1046">
        <f>HOC38+((HOC40+'NF - 5 Power Mix'!HOC14+'NF - 5 Power Mix'!HOC15)*860/10)+((('Form Sa1'!HOF835)*860)/10)+('Form Sa1'!HOF814*'Form Sa1'!HOF816/10)-'NF - 5 Power Mix'!HOC21-'NF - 5 Power Mix'!HOC22</f>
        <v>0</v>
      </c>
      <c r="HOD42" s="1046">
        <f>HOD38+((HOD40+'NF - 5 Power Mix'!HOD14+'NF - 5 Power Mix'!HOD15)*860/10)+((('Form Sa1'!HOG835)*860)/10)+('Form Sa1'!HOG814*'Form Sa1'!HOG816/10)-'NF - 5 Power Mix'!HOD21-'NF - 5 Power Mix'!HOD22</f>
        <v>0</v>
      </c>
      <c r="HOE42" s="1046">
        <f>HOE38+((HOE40+'NF - 5 Power Mix'!HOE14+'NF - 5 Power Mix'!HOE15)*860/10)+((('Form Sa1'!HOH835)*860)/10)+('Form Sa1'!HOH814*'Form Sa1'!HOH816/10)-'NF - 5 Power Mix'!HOE21-'NF - 5 Power Mix'!HOE22</f>
        <v>0</v>
      </c>
      <c r="HOF42" s="1046">
        <f>HOF38+((HOF40+'NF - 5 Power Mix'!HOF14+'NF - 5 Power Mix'!HOF15)*860/10)+((('Form Sa1'!HOI835)*860)/10)+('Form Sa1'!HOI814*'Form Sa1'!HOI816/10)-'NF - 5 Power Mix'!HOF21-'NF - 5 Power Mix'!HOF22</f>
        <v>0</v>
      </c>
      <c r="HOG42" s="1046">
        <f>HOG38+((HOG40+'NF - 5 Power Mix'!HOG14+'NF - 5 Power Mix'!HOG15)*860/10)+((('Form Sa1'!HOJ835)*860)/10)+('Form Sa1'!HOJ814*'Form Sa1'!HOJ816/10)-'NF - 5 Power Mix'!HOG21-'NF - 5 Power Mix'!HOG22</f>
        <v>0</v>
      </c>
      <c r="HOH42" s="1046">
        <f>HOH38+((HOH40+'NF - 5 Power Mix'!HOH14+'NF - 5 Power Mix'!HOH15)*860/10)+((('Form Sa1'!HOK835)*860)/10)+('Form Sa1'!HOK814*'Form Sa1'!HOK816/10)-'NF - 5 Power Mix'!HOH21-'NF - 5 Power Mix'!HOH22</f>
        <v>0</v>
      </c>
      <c r="HOI42" s="1046">
        <f>HOI38+((HOI40+'NF - 5 Power Mix'!HOI14+'NF - 5 Power Mix'!HOI15)*860/10)+((('Form Sa1'!HOL835)*860)/10)+('Form Sa1'!HOL814*'Form Sa1'!HOL816/10)-'NF - 5 Power Mix'!HOI21-'NF - 5 Power Mix'!HOI22</f>
        <v>0</v>
      </c>
      <c r="HOJ42" s="1046">
        <f>HOJ38+((HOJ40+'NF - 5 Power Mix'!HOJ14+'NF - 5 Power Mix'!HOJ15)*860/10)+((('Form Sa1'!HOM835)*860)/10)+('Form Sa1'!HOM814*'Form Sa1'!HOM816/10)-'NF - 5 Power Mix'!HOJ21-'NF - 5 Power Mix'!HOJ22</f>
        <v>0</v>
      </c>
      <c r="HOK42" s="1046">
        <f>HOK38+((HOK40+'NF - 5 Power Mix'!HOK14+'NF - 5 Power Mix'!HOK15)*860/10)+((('Form Sa1'!HON835)*860)/10)+('Form Sa1'!HON814*'Form Sa1'!HON816/10)-'NF - 5 Power Mix'!HOK21-'NF - 5 Power Mix'!HOK22</f>
        <v>0</v>
      </c>
      <c r="HOL42" s="1046">
        <f>HOL38+((HOL40+'NF - 5 Power Mix'!HOL14+'NF - 5 Power Mix'!HOL15)*860/10)+((('Form Sa1'!HOO835)*860)/10)+('Form Sa1'!HOO814*'Form Sa1'!HOO816/10)-'NF - 5 Power Mix'!HOL21-'NF - 5 Power Mix'!HOL22</f>
        <v>0</v>
      </c>
      <c r="HOM42" s="1046">
        <f>HOM38+((HOM40+'NF - 5 Power Mix'!HOM14+'NF - 5 Power Mix'!HOM15)*860/10)+((('Form Sa1'!HOP835)*860)/10)+('Form Sa1'!HOP814*'Form Sa1'!HOP816/10)-'NF - 5 Power Mix'!HOM21-'NF - 5 Power Mix'!HOM22</f>
        <v>0</v>
      </c>
      <c r="HON42" s="1046">
        <f>HON38+((HON40+'NF - 5 Power Mix'!HON14+'NF - 5 Power Mix'!HON15)*860/10)+((('Form Sa1'!HOQ835)*860)/10)+('Form Sa1'!HOQ814*'Form Sa1'!HOQ816/10)-'NF - 5 Power Mix'!HON21-'NF - 5 Power Mix'!HON22</f>
        <v>0</v>
      </c>
      <c r="HOO42" s="1046">
        <f>HOO38+((HOO40+'NF - 5 Power Mix'!HOO14+'NF - 5 Power Mix'!HOO15)*860/10)+((('Form Sa1'!HOR835)*860)/10)+('Form Sa1'!HOR814*'Form Sa1'!HOR816/10)-'NF - 5 Power Mix'!HOO21-'NF - 5 Power Mix'!HOO22</f>
        <v>0</v>
      </c>
      <c r="HOP42" s="1046">
        <f>HOP38+((HOP40+'NF - 5 Power Mix'!HOP14+'NF - 5 Power Mix'!HOP15)*860/10)+((('Form Sa1'!HOS835)*860)/10)+('Form Sa1'!HOS814*'Form Sa1'!HOS816/10)-'NF - 5 Power Mix'!HOP21-'NF - 5 Power Mix'!HOP22</f>
        <v>0</v>
      </c>
      <c r="HOQ42" s="1046">
        <f>HOQ38+((HOQ40+'NF - 5 Power Mix'!HOQ14+'NF - 5 Power Mix'!HOQ15)*860/10)+((('Form Sa1'!HOT835)*860)/10)+('Form Sa1'!HOT814*'Form Sa1'!HOT816/10)-'NF - 5 Power Mix'!HOQ21-'NF - 5 Power Mix'!HOQ22</f>
        <v>0</v>
      </c>
      <c r="HOR42" s="1046">
        <f>HOR38+((HOR40+'NF - 5 Power Mix'!HOR14+'NF - 5 Power Mix'!HOR15)*860/10)+((('Form Sa1'!HOU835)*860)/10)+('Form Sa1'!HOU814*'Form Sa1'!HOU816/10)-'NF - 5 Power Mix'!HOR21-'NF - 5 Power Mix'!HOR22</f>
        <v>0</v>
      </c>
      <c r="HOS42" s="1046">
        <f>HOS38+((HOS40+'NF - 5 Power Mix'!HOS14+'NF - 5 Power Mix'!HOS15)*860/10)+((('Form Sa1'!HOV835)*860)/10)+('Form Sa1'!HOV814*'Form Sa1'!HOV816/10)-'NF - 5 Power Mix'!HOS21-'NF - 5 Power Mix'!HOS22</f>
        <v>0</v>
      </c>
      <c r="HOT42" s="1046">
        <f>HOT38+((HOT40+'NF - 5 Power Mix'!HOT14+'NF - 5 Power Mix'!HOT15)*860/10)+((('Form Sa1'!HOW835)*860)/10)+('Form Sa1'!HOW814*'Form Sa1'!HOW816/10)-'NF - 5 Power Mix'!HOT21-'NF - 5 Power Mix'!HOT22</f>
        <v>0</v>
      </c>
      <c r="HOU42" s="1046">
        <f>HOU38+((HOU40+'NF - 5 Power Mix'!HOU14+'NF - 5 Power Mix'!HOU15)*860/10)+((('Form Sa1'!HOX835)*860)/10)+('Form Sa1'!HOX814*'Form Sa1'!HOX816/10)-'NF - 5 Power Mix'!HOU21-'NF - 5 Power Mix'!HOU22</f>
        <v>0</v>
      </c>
      <c r="HOV42" s="1046">
        <f>HOV38+((HOV40+'NF - 5 Power Mix'!HOV14+'NF - 5 Power Mix'!HOV15)*860/10)+((('Form Sa1'!HOY835)*860)/10)+('Form Sa1'!HOY814*'Form Sa1'!HOY816/10)-'NF - 5 Power Mix'!HOV21-'NF - 5 Power Mix'!HOV22</f>
        <v>0</v>
      </c>
      <c r="HOW42" s="1046">
        <f>HOW38+((HOW40+'NF - 5 Power Mix'!HOW14+'NF - 5 Power Mix'!HOW15)*860/10)+((('Form Sa1'!HOZ835)*860)/10)+('Form Sa1'!HOZ814*'Form Sa1'!HOZ816/10)-'NF - 5 Power Mix'!HOW21-'NF - 5 Power Mix'!HOW22</f>
        <v>0</v>
      </c>
      <c r="HOX42" s="1046">
        <f>HOX38+((HOX40+'NF - 5 Power Mix'!HOX14+'NF - 5 Power Mix'!HOX15)*860/10)+((('Form Sa1'!HPA835)*860)/10)+('Form Sa1'!HPA814*'Form Sa1'!HPA816/10)-'NF - 5 Power Mix'!HOX21-'NF - 5 Power Mix'!HOX22</f>
        <v>0</v>
      </c>
      <c r="HOY42" s="1046">
        <f>HOY38+((HOY40+'NF - 5 Power Mix'!HOY14+'NF - 5 Power Mix'!HOY15)*860/10)+((('Form Sa1'!HPB835)*860)/10)+('Form Sa1'!HPB814*'Form Sa1'!HPB816/10)-'NF - 5 Power Mix'!HOY21-'NF - 5 Power Mix'!HOY22</f>
        <v>0</v>
      </c>
      <c r="HOZ42" s="1046">
        <f>HOZ38+((HOZ40+'NF - 5 Power Mix'!HOZ14+'NF - 5 Power Mix'!HOZ15)*860/10)+((('Form Sa1'!HPC835)*860)/10)+('Form Sa1'!HPC814*'Form Sa1'!HPC816/10)-'NF - 5 Power Mix'!HOZ21-'NF - 5 Power Mix'!HOZ22</f>
        <v>0</v>
      </c>
      <c r="HPA42" s="1046">
        <f>HPA38+((HPA40+'NF - 5 Power Mix'!HPA14+'NF - 5 Power Mix'!HPA15)*860/10)+((('Form Sa1'!HPD835)*860)/10)+('Form Sa1'!HPD814*'Form Sa1'!HPD816/10)-'NF - 5 Power Mix'!HPA21-'NF - 5 Power Mix'!HPA22</f>
        <v>0</v>
      </c>
      <c r="HPB42" s="1046">
        <f>HPB38+((HPB40+'NF - 5 Power Mix'!HPB14+'NF - 5 Power Mix'!HPB15)*860/10)+((('Form Sa1'!HPE835)*860)/10)+('Form Sa1'!HPE814*'Form Sa1'!HPE816/10)-'NF - 5 Power Mix'!HPB21-'NF - 5 Power Mix'!HPB22</f>
        <v>0</v>
      </c>
      <c r="HPC42" s="1046">
        <f>HPC38+((HPC40+'NF - 5 Power Mix'!HPC14+'NF - 5 Power Mix'!HPC15)*860/10)+((('Form Sa1'!HPF835)*860)/10)+('Form Sa1'!HPF814*'Form Sa1'!HPF816/10)-'NF - 5 Power Mix'!HPC21-'NF - 5 Power Mix'!HPC22</f>
        <v>0</v>
      </c>
      <c r="HPD42" s="1046">
        <f>HPD38+((HPD40+'NF - 5 Power Mix'!HPD14+'NF - 5 Power Mix'!HPD15)*860/10)+((('Form Sa1'!HPG835)*860)/10)+('Form Sa1'!HPG814*'Form Sa1'!HPG816/10)-'NF - 5 Power Mix'!HPD21-'NF - 5 Power Mix'!HPD22</f>
        <v>0</v>
      </c>
      <c r="HPE42" s="1046">
        <f>HPE38+((HPE40+'NF - 5 Power Mix'!HPE14+'NF - 5 Power Mix'!HPE15)*860/10)+((('Form Sa1'!HPH835)*860)/10)+('Form Sa1'!HPH814*'Form Sa1'!HPH816/10)-'NF - 5 Power Mix'!HPE21-'NF - 5 Power Mix'!HPE22</f>
        <v>0</v>
      </c>
      <c r="HPF42" s="1046">
        <f>HPF38+((HPF40+'NF - 5 Power Mix'!HPF14+'NF - 5 Power Mix'!HPF15)*860/10)+((('Form Sa1'!HPI835)*860)/10)+('Form Sa1'!HPI814*'Form Sa1'!HPI816/10)-'NF - 5 Power Mix'!HPF21-'NF - 5 Power Mix'!HPF22</f>
        <v>0</v>
      </c>
      <c r="HPG42" s="1046">
        <f>HPG38+((HPG40+'NF - 5 Power Mix'!HPG14+'NF - 5 Power Mix'!HPG15)*860/10)+((('Form Sa1'!HPJ835)*860)/10)+('Form Sa1'!HPJ814*'Form Sa1'!HPJ816/10)-'NF - 5 Power Mix'!HPG21-'NF - 5 Power Mix'!HPG22</f>
        <v>0</v>
      </c>
      <c r="HPH42" s="1046">
        <f>HPH38+((HPH40+'NF - 5 Power Mix'!HPH14+'NF - 5 Power Mix'!HPH15)*860/10)+((('Form Sa1'!HPK835)*860)/10)+('Form Sa1'!HPK814*'Form Sa1'!HPK816/10)-'NF - 5 Power Mix'!HPH21-'NF - 5 Power Mix'!HPH22</f>
        <v>0</v>
      </c>
      <c r="HPI42" s="1046">
        <f>HPI38+((HPI40+'NF - 5 Power Mix'!HPI14+'NF - 5 Power Mix'!HPI15)*860/10)+((('Form Sa1'!HPL835)*860)/10)+('Form Sa1'!HPL814*'Form Sa1'!HPL816/10)-'NF - 5 Power Mix'!HPI21-'NF - 5 Power Mix'!HPI22</f>
        <v>0</v>
      </c>
      <c r="HPJ42" s="1046">
        <f>HPJ38+((HPJ40+'NF - 5 Power Mix'!HPJ14+'NF - 5 Power Mix'!HPJ15)*860/10)+((('Form Sa1'!HPM835)*860)/10)+('Form Sa1'!HPM814*'Form Sa1'!HPM816/10)-'NF - 5 Power Mix'!HPJ21-'NF - 5 Power Mix'!HPJ22</f>
        <v>0</v>
      </c>
      <c r="HPK42" s="1046">
        <f>HPK38+((HPK40+'NF - 5 Power Mix'!HPK14+'NF - 5 Power Mix'!HPK15)*860/10)+((('Form Sa1'!HPN835)*860)/10)+('Form Sa1'!HPN814*'Form Sa1'!HPN816/10)-'NF - 5 Power Mix'!HPK21-'NF - 5 Power Mix'!HPK22</f>
        <v>0</v>
      </c>
      <c r="HPL42" s="1046">
        <f>HPL38+((HPL40+'NF - 5 Power Mix'!HPL14+'NF - 5 Power Mix'!HPL15)*860/10)+((('Form Sa1'!HPO835)*860)/10)+('Form Sa1'!HPO814*'Form Sa1'!HPO816/10)-'NF - 5 Power Mix'!HPL21-'NF - 5 Power Mix'!HPL22</f>
        <v>0</v>
      </c>
      <c r="HPM42" s="1046">
        <f>HPM38+((HPM40+'NF - 5 Power Mix'!HPM14+'NF - 5 Power Mix'!HPM15)*860/10)+((('Form Sa1'!HPP835)*860)/10)+('Form Sa1'!HPP814*'Form Sa1'!HPP816/10)-'NF - 5 Power Mix'!HPM21-'NF - 5 Power Mix'!HPM22</f>
        <v>0</v>
      </c>
      <c r="HPN42" s="1046">
        <f>HPN38+((HPN40+'NF - 5 Power Mix'!HPN14+'NF - 5 Power Mix'!HPN15)*860/10)+((('Form Sa1'!HPQ835)*860)/10)+('Form Sa1'!HPQ814*'Form Sa1'!HPQ816/10)-'NF - 5 Power Mix'!HPN21-'NF - 5 Power Mix'!HPN22</f>
        <v>0</v>
      </c>
      <c r="HPO42" s="1046">
        <f>HPO38+((HPO40+'NF - 5 Power Mix'!HPO14+'NF - 5 Power Mix'!HPO15)*860/10)+((('Form Sa1'!HPR835)*860)/10)+('Form Sa1'!HPR814*'Form Sa1'!HPR816/10)-'NF - 5 Power Mix'!HPO21-'NF - 5 Power Mix'!HPO22</f>
        <v>0</v>
      </c>
      <c r="HPP42" s="1046">
        <f>HPP38+((HPP40+'NF - 5 Power Mix'!HPP14+'NF - 5 Power Mix'!HPP15)*860/10)+((('Form Sa1'!HPS835)*860)/10)+('Form Sa1'!HPS814*'Form Sa1'!HPS816/10)-'NF - 5 Power Mix'!HPP21-'NF - 5 Power Mix'!HPP22</f>
        <v>0</v>
      </c>
      <c r="HPQ42" s="1046">
        <f>HPQ38+((HPQ40+'NF - 5 Power Mix'!HPQ14+'NF - 5 Power Mix'!HPQ15)*860/10)+((('Form Sa1'!HPT835)*860)/10)+('Form Sa1'!HPT814*'Form Sa1'!HPT816/10)-'NF - 5 Power Mix'!HPQ21-'NF - 5 Power Mix'!HPQ22</f>
        <v>0</v>
      </c>
      <c r="HPR42" s="1046">
        <f>HPR38+((HPR40+'NF - 5 Power Mix'!HPR14+'NF - 5 Power Mix'!HPR15)*860/10)+((('Form Sa1'!HPU835)*860)/10)+('Form Sa1'!HPU814*'Form Sa1'!HPU816/10)-'NF - 5 Power Mix'!HPR21-'NF - 5 Power Mix'!HPR22</f>
        <v>0</v>
      </c>
      <c r="HPS42" s="1046">
        <f>HPS38+((HPS40+'NF - 5 Power Mix'!HPS14+'NF - 5 Power Mix'!HPS15)*860/10)+((('Form Sa1'!HPV835)*860)/10)+('Form Sa1'!HPV814*'Form Sa1'!HPV816/10)-'NF - 5 Power Mix'!HPS21-'NF - 5 Power Mix'!HPS22</f>
        <v>0</v>
      </c>
      <c r="HPT42" s="1046">
        <f>HPT38+((HPT40+'NF - 5 Power Mix'!HPT14+'NF - 5 Power Mix'!HPT15)*860/10)+((('Form Sa1'!HPW835)*860)/10)+('Form Sa1'!HPW814*'Form Sa1'!HPW816/10)-'NF - 5 Power Mix'!HPT21-'NF - 5 Power Mix'!HPT22</f>
        <v>0</v>
      </c>
      <c r="HPU42" s="1046">
        <f>HPU38+((HPU40+'NF - 5 Power Mix'!HPU14+'NF - 5 Power Mix'!HPU15)*860/10)+((('Form Sa1'!HPX835)*860)/10)+('Form Sa1'!HPX814*'Form Sa1'!HPX816/10)-'NF - 5 Power Mix'!HPU21-'NF - 5 Power Mix'!HPU22</f>
        <v>0</v>
      </c>
      <c r="HPV42" s="1046">
        <f>HPV38+((HPV40+'NF - 5 Power Mix'!HPV14+'NF - 5 Power Mix'!HPV15)*860/10)+((('Form Sa1'!HPY835)*860)/10)+('Form Sa1'!HPY814*'Form Sa1'!HPY816/10)-'NF - 5 Power Mix'!HPV21-'NF - 5 Power Mix'!HPV22</f>
        <v>0</v>
      </c>
      <c r="HPW42" s="1046">
        <f>HPW38+((HPW40+'NF - 5 Power Mix'!HPW14+'NF - 5 Power Mix'!HPW15)*860/10)+((('Form Sa1'!HPZ835)*860)/10)+('Form Sa1'!HPZ814*'Form Sa1'!HPZ816/10)-'NF - 5 Power Mix'!HPW21-'NF - 5 Power Mix'!HPW22</f>
        <v>0</v>
      </c>
      <c r="HPX42" s="1046">
        <f>HPX38+((HPX40+'NF - 5 Power Mix'!HPX14+'NF - 5 Power Mix'!HPX15)*860/10)+((('Form Sa1'!HQA835)*860)/10)+('Form Sa1'!HQA814*'Form Sa1'!HQA816/10)-'NF - 5 Power Mix'!HPX21-'NF - 5 Power Mix'!HPX22</f>
        <v>0</v>
      </c>
      <c r="HPY42" s="1046">
        <f>HPY38+((HPY40+'NF - 5 Power Mix'!HPY14+'NF - 5 Power Mix'!HPY15)*860/10)+((('Form Sa1'!HQB835)*860)/10)+('Form Sa1'!HQB814*'Form Sa1'!HQB816/10)-'NF - 5 Power Mix'!HPY21-'NF - 5 Power Mix'!HPY22</f>
        <v>0</v>
      </c>
      <c r="HPZ42" s="1046">
        <f>HPZ38+((HPZ40+'NF - 5 Power Mix'!HPZ14+'NF - 5 Power Mix'!HPZ15)*860/10)+((('Form Sa1'!HQC835)*860)/10)+('Form Sa1'!HQC814*'Form Sa1'!HQC816/10)-'NF - 5 Power Mix'!HPZ21-'NF - 5 Power Mix'!HPZ22</f>
        <v>0</v>
      </c>
      <c r="HQA42" s="1046">
        <f>HQA38+((HQA40+'NF - 5 Power Mix'!HQA14+'NF - 5 Power Mix'!HQA15)*860/10)+((('Form Sa1'!HQD835)*860)/10)+('Form Sa1'!HQD814*'Form Sa1'!HQD816/10)-'NF - 5 Power Mix'!HQA21-'NF - 5 Power Mix'!HQA22</f>
        <v>0</v>
      </c>
      <c r="HQB42" s="1046">
        <f>HQB38+((HQB40+'NF - 5 Power Mix'!HQB14+'NF - 5 Power Mix'!HQB15)*860/10)+((('Form Sa1'!HQE835)*860)/10)+('Form Sa1'!HQE814*'Form Sa1'!HQE816/10)-'NF - 5 Power Mix'!HQB21-'NF - 5 Power Mix'!HQB22</f>
        <v>0</v>
      </c>
      <c r="HQC42" s="1046">
        <f>HQC38+((HQC40+'NF - 5 Power Mix'!HQC14+'NF - 5 Power Mix'!HQC15)*860/10)+((('Form Sa1'!HQF835)*860)/10)+('Form Sa1'!HQF814*'Form Sa1'!HQF816/10)-'NF - 5 Power Mix'!HQC21-'NF - 5 Power Mix'!HQC22</f>
        <v>0</v>
      </c>
      <c r="HQD42" s="1046">
        <f>HQD38+((HQD40+'NF - 5 Power Mix'!HQD14+'NF - 5 Power Mix'!HQD15)*860/10)+((('Form Sa1'!HQG835)*860)/10)+('Form Sa1'!HQG814*'Form Sa1'!HQG816/10)-'NF - 5 Power Mix'!HQD21-'NF - 5 Power Mix'!HQD22</f>
        <v>0</v>
      </c>
      <c r="HQE42" s="1046">
        <f>HQE38+((HQE40+'NF - 5 Power Mix'!HQE14+'NF - 5 Power Mix'!HQE15)*860/10)+((('Form Sa1'!HQH835)*860)/10)+('Form Sa1'!HQH814*'Form Sa1'!HQH816/10)-'NF - 5 Power Mix'!HQE21-'NF - 5 Power Mix'!HQE22</f>
        <v>0</v>
      </c>
      <c r="HQF42" s="1046">
        <f>HQF38+((HQF40+'NF - 5 Power Mix'!HQF14+'NF - 5 Power Mix'!HQF15)*860/10)+((('Form Sa1'!HQI835)*860)/10)+('Form Sa1'!HQI814*'Form Sa1'!HQI816/10)-'NF - 5 Power Mix'!HQF21-'NF - 5 Power Mix'!HQF22</f>
        <v>0</v>
      </c>
      <c r="HQG42" s="1046">
        <f>HQG38+((HQG40+'NF - 5 Power Mix'!HQG14+'NF - 5 Power Mix'!HQG15)*860/10)+((('Form Sa1'!HQJ835)*860)/10)+('Form Sa1'!HQJ814*'Form Sa1'!HQJ816/10)-'NF - 5 Power Mix'!HQG21-'NF - 5 Power Mix'!HQG22</f>
        <v>0</v>
      </c>
      <c r="HQH42" s="1046">
        <f>HQH38+((HQH40+'NF - 5 Power Mix'!HQH14+'NF - 5 Power Mix'!HQH15)*860/10)+((('Form Sa1'!HQK835)*860)/10)+('Form Sa1'!HQK814*'Form Sa1'!HQK816/10)-'NF - 5 Power Mix'!HQH21-'NF - 5 Power Mix'!HQH22</f>
        <v>0</v>
      </c>
      <c r="HQI42" s="1046">
        <f>HQI38+((HQI40+'NF - 5 Power Mix'!HQI14+'NF - 5 Power Mix'!HQI15)*860/10)+((('Form Sa1'!HQL835)*860)/10)+('Form Sa1'!HQL814*'Form Sa1'!HQL816/10)-'NF - 5 Power Mix'!HQI21-'NF - 5 Power Mix'!HQI22</f>
        <v>0</v>
      </c>
      <c r="HQJ42" s="1046">
        <f>HQJ38+((HQJ40+'NF - 5 Power Mix'!HQJ14+'NF - 5 Power Mix'!HQJ15)*860/10)+((('Form Sa1'!HQM835)*860)/10)+('Form Sa1'!HQM814*'Form Sa1'!HQM816/10)-'NF - 5 Power Mix'!HQJ21-'NF - 5 Power Mix'!HQJ22</f>
        <v>0</v>
      </c>
      <c r="HQK42" s="1046">
        <f>HQK38+((HQK40+'NF - 5 Power Mix'!HQK14+'NF - 5 Power Mix'!HQK15)*860/10)+((('Form Sa1'!HQN835)*860)/10)+('Form Sa1'!HQN814*'Form Sa1'!HQN816/10)-'NF - 5 Power Mix'!HQK21-'NF - 5 Power Mix'!HQK22</f>
        <v>0</v>
      </c>
      <c r="HQL42" s="1046">
        <f>HQL38+((HQL40+'NF - 5 Power Mix'!HQL14+'NF - 5 Power Mix'!HQL15)*860/10)+((('Form Sa1'!HQO835)*860)/10)+('Form Sa1'!HQO814*'Form Sa1'!HQO816/10)-'NF - 5 Power Mix'!HQL21-'NF - 5 Power Mix'!HQL22</f>
        <v>0</v>
      </c>
      <c r="HQM42" s="1046">
        <f>HQM38+((HQM40+'NF - 5 Power Mix'!HQM14+'NF - 5 Power Mix'!HQM15)*860/10)+((('Form Sa1'!HQP835)*860)/10)+('Form Sa1'!HQP814*'Form Sa1'!HQP816/10)-'NF - 5 Power Mix'!HQM21-'NF - 5 Power Mix'!HQM22</f>
        <v>0</v>
      </c>
      <c r="HQN42" s="1046">
        <f>HQN38+((HQN40+'NF - 5 Power Mix'!HQN14+'NF - 5 Power Mix'!HQN15)*860/10)+((('Form Sa1'!HQQ835)*860)/10)+('Form Sa1'!HQQ814*'Form Sa1'!HQQ816/10)-'NF - 5 Power Mix'!HQN21-'NF - 5 Power Mix'!HQN22</f>
        <v>0</v>
      </c>
      <c r="HQO42" s="1046">
        <f>HQO38+((HQO40+'NF - 5 Power Mix'!HQO14+'NF - 5 Power Mix'!HQO15)*860/10)+((('Form Sa1'!HQR835)*860)/10)+('Form Sa1'!HQR814*'Form Sa1'!HQR816/10)-'NF - 5 Power Mix'!HQO21-'NF - 5 Power Mix'!HQO22</f>
        <v>0</v>
      </c>
      <c r="HQP42" s="1046">
        <f>HQP38+((HQP40+'NF - 5 Power Mix'!HQP14+'NF - 5 Power Mix'!HQP15)*860/10)+((('Form Sa1'!HQS835)*860)/10)+('Form Sa1'!HQS814*'Form Sa1'!HQS816/10)-'NF - 5 Power Mix'!HQP21-'NF - 5 Power Mix'!HQP22</f>
        <v>0</v>
      </c>
      <c r="HQQ42" s="1046">
        <f>HQQ38+((HQQ40+'NF - 5 Power Mix'!HQQ14+'NF - 5 Power Mix'!HQQ15)*860/10)+((('Form Sa1'!HQT835)*860)/10)+('Form Sa1'!HQT814*'Form Sa1'!HQT816/10)-'NF - 5 Power Mix'!HQQ21-'NF - 5 Power Mix'!HQQ22</f>
        <v>0</v>
      </c>
      <c r="HQR42" s="1046">
        <f>HQR38+((HQR40+'NF - 5 Power Mix'!HQR14+'NF - 5 Power Mix'!HQR15)*860/10)+((('Form Sa1'!HQU835)*860)/10)+('Form Sa1'!HQU814*'Form Sa1'!HQU816/10)-'NF - 5 Power Mix'!HQR21-'NF - 5 Power Mix'!HQR22</f>
        <v>0</v>
      </c>
      <c r="HQS42" s="1046">
        <f>HQS38+((HQS40+'NF - 5 Power Mix'!HQS14+'NF - 5 Power Mix'!HQS15)*860/10)+((('Form Sa1'!HQV835)*860)/10)+('Form Sa1'!HQV814*'Form Sa1'!HQV816/10)-'NF - 5 Power Mix'!HQS21-'NF - 5 Power Mix'!HQS22</f>
        <v>0</v>
      </c>
      <c r="HQT42" s="1046">
        <f>HQT38+((HQT40+'NF - 5 Power Mix'!HQT14+'NF - 5 Power Mix'!HQT15)*860/10)+((('Form Sa1'!HQW835)*860)/10)+('Form Sa1'!HQW814*'Form Sa1'!HQW816/10)-'NF - 5 Power Mix'!HQT21-'NF - 5 Power Mix'!HQT22</f>
        <v>0</v>
      </c>
      <c r="HQU42" s="1046">
        <f>HQU38+((HQU40+'NF - 5 Power Mix'!HQU14+'NF - 5 Power Mix'!HQU15)*860/10)+((('Form Sa1'!HQX835)*860)/10)+('Form Sa1'!HQX814*'Form Sa1'!HQX816/10)-'NF - 5 Power Mix'!HQU21-'NF - 5 Power Mix'!HQU22</f>
        <v>0</v>
      </c>
      <c r="HQV42" s="1046">
        <f>HQV38+((HQV40+'NF - 5 Power Mix'!HQV14+'NF - 5 Power Mix'!HQV15)*860/10)+((('Form Sa1'!HQY835)*860)/10)+('Form Sa1'!HQY814*'Form Sa1'!HQY816/10)-'NF - 5 Power Mix'!HQV21-'NF - 5 Power Mix'!HQV22</f>
        <v>0</v>
      </c>
      <c r="HQW42" s="1046">
        <f>HQW38+((HQW40+'NF - 5 Power Mix'!HQW14+'NF - 5 Power Mix'!HQW15)*860/10)+((('Form Sa1'!HQZ835)*860)/10)+('Form Sa1'!HQZ814*'Form Sa1'!HQZ816/10)-'NF - 5 Power Mix'!HQW21-'NF - 5 Power Mix'!HQW22</f>
        <v>0</v>
      </c>
      <c r="HQX42" s="1046">
        <f>HQX38+((HQX40+'NF - 5 Power Mix'!HQX14+'NF - 5 Power Mix'!HQX15)*860/10)+((('Form Sa1'!HRA835)*860)/10)+('Form Sa1'!HRA814*'Form Sa1'!HRA816/10)-'NF - 5 Power Mix'!HQX21-'NF - 5 Power Mix'!HQX22</f>
        <v>0</v>
      </c>
      <c r="HQY42" s="1046">
        <f>HQY38+((HQY40+'NF - 5 Power Mix'!HQY14+'NF - 5 Power Mix'!HQY15)*860/10)+((('Form Sa1'!HRB835)*860)/10)+('Form Sa1'!HRB814*'Form Sa1'!HRB816/10)-'NF - 5 Power Mix'!HQY21-'NF - 5 Power Mix'!HQY22</f>
        <v>0</v>
      </c>
      <c r="HQZ42" s="1046">
        <f>HQZ38+((HQZ40+'NF - 5 Power Mix'!HQZ14+'NF - 5 Power Mix'!HQZ15)*860/10)+((('Form Sa1'!HRC835)*860)/10)+('Form Sa1'!HRC814*'Form Sa1'!HRC816/10)-'NF - 5 Power Mix'!HQZ21-'NF - 5 Power Mix'!HQZ22</f>
        <v>0</v>
      </c>
      <c r="HRA42" s="1046">
        <f>HRA38+((HRA40+'NF - 5 Power Mix'!HRA14+'NF - 5 Power Mix'!HRA15)*860/10)+((('Form Sa1'!HRD835)*860)/10)+('Form Sa1'!HRD814*'Form Sa1'!HRD816/10)-'NF - 5 Power Mix'!HRA21-'NF - 5 Power Mix'!HRA22</f>
        <v>0</v>
      </c>
      <c r="HRB42" s="1046">
        <f>HRB38+((HRB40+'NF - 5 Power Mix'!HRB14+'NF - 5 Power Mix'!HRB15)*860/10)+((('Form Sa1'!HRE835)*860)/10)+('Form Sa1'!HRE814*'Form Sa1'!HRE816/10)-'NF - 5 Power Mix'!HRB21-'NF - 5 Power Mix'!HRB22</f>
        <v>0</v>
      </c>
      <c r="HRC42" s="1046">
        <f>HRC38+((HRC40+'NF - 5 Power Mix'!HRC14+'NF - 5 Power Mix'!HRC15)*860/10)+((('Form Sa1'!HRF835)*860)/10)+('Form Sa1'!HRF814*'Form Sa1'!HRF816/10)-'NF - 5 Power Mix'!HRC21-'NF - 5 Power Mix'!HRC22</f>
        <v>0</v>
      </c>
      <c r="HRD42" s="1046">
        <f>HRD38+((HRD40+'NF - 5 Power Mix'!HRD14+'NF - 5 Power Mix'!HRD15)*860/10)+((('Form Sa1'!HRG835)*860)/10)+('Form Sa1'!HRG814*'Form Sa1'!HRG816/10)-'NF - 5 Power Mix'!HRD21-'NF - 5 Power Mix'!HRD22</f>
        <v>0</v>
      </c>
      <c r="HRE42" s="1046">
        <f>HRE38+((HRE40+'NF - 5 Power Mix'!HRE14+'NF - 5 Power Mix'!HRE15)*860/10)+((('Form Sa1'!HRH835)*860)/10)+('Form Sa1'!HRH814*'Form Sa1'!HRH816/10)-'NF - 5 Power Mix'!HRE21-'NF - 5 Power Mix'!HRE22</f>
        <v>0</v>
      </c>
      <c r="HRF42" s="1046">
        <f>HRF38+((HRF40+'NF - 5 Power Mix'!HRF14+'NF - 5 Power Mix'!HRF15)*860/10)+((('Form Sa1'!HRI835)*860)/10)+('Form Sa1'!HRI814*'Form Sa1'!HRI816/10)-'NF - 5 Power Mix'!HRF21-'NF - 5 Power Mix'!HRF22</f>
        <v>0</v>
      </c>
      <c r="HRG42" s="1046">
        <f>HRG38+((HRG40+'NF - 5 Power Mix'!HRG14+'NF - 5 Power Mix'!HRG15)*860/10)+((('Form Sa1'!HRJ835)*860)/10)+('Form Sa1'!HRJ814*'Form Sa1'!HRJ816/10)-'NF - 5 Power Mix'!HRG21-'NF - 5 Power Mix'!HRG22</f>
        <v>0</v>
      </c>
      <c r="HRH42" s="1046">
        <f>HRH38+((HRH40+'NF - 5 Power Mix'!HRH14+'NF - 5 Power Mix'!HRH15)*860/10)+((('Form Sa1'!HRK835)*860)/10)+('Form Sa1'!HRK814*'Form Sa1'!HRK816/10)-'NF - 5 Power Mix'!HRH21-'NF - 5 Power Mix'!HRH22</f>
        <v>0</v>
      </c>
      <c r="HRI42" s="1046">
        <f>HRI38+((HRI40+'NF - 5 Power Mix'!HRI14+'NF - 5 Power Mix'!HRI15)*860/10)+((('Form Sa1'!HRL835)*860)/10)+('Form Sa1'!HRL814*'Form Sa1'!HRL816/10)-'NF - 5 Power Mix'!HRI21-'NF - 5 Power Mix'!HRI22</f>
        <v>0</v>
      </c>
      <c r="HRJ42" s="1046">
        <f>HRJ38+((HRJ40+'NF - 5 Power Mix'!HRJ14+'NF - 5 Power Mix'!HRJ15)*860/10)+((('Form Sa1'!HRM835)*860)/10)+('Form Sa1'!HRM814*'Form Sa1'!HRM816/10)-'NF - 5 Power Mix'!HRJ21-'NF - 5 Power Mix'!HRJ22</f>
        <v>0</v>
      </c>
      <c r="HRK42" s="1046">
        <f>HRK38+((HRK40+'NF - 5 Power Mix'!HRK14+'NF - 5 Power Mix'!HRK15)*860/10)+((('Form Sa1'!HRN835)*860)/10)+('Form Sa1'!HRN814*'Form Sa1'!HRN816/10)-'NF - 5 Power Mix'!HRK21-'NF - 5 Power Mix'!HRK22</f>
        <v>0</v>
      </c>
      <c r="HRL42" s="1046">
        <f>HRL38+((HRL40+'NF - 5 Power Mix'!HRL14+'NF - 5 Power Mix'!HRL15)*860/10)+((('Form Sa1'!HRO835)*860)/10)+('Form Sa1'!HRO814*'Form Sa1'!HRO816/10)-'NF - 5 Power Mix'!HRL21-'NF - 5 Power Mix'!HRL22</f>
        <v>0</v>
      </c>
      <c r="HRM42" s="1046">
        <f>HRM38+((HRM40+'NF - 5 Power Mix'!HRM14+'NF - 5 Power Mix'!HRM15)*860/10)+((('Form Sa1'!HRP835)*860)/10)+('Form Sa1'!HRP814*'Form Sa1'!HRP816/10)-'NF - 5 Power Mix'!HRM21-'NF - 5 Power Mix'!HRM22</f>
        <v>0</v>
      </c>
      <c r="HRN42" s="1046">
        <f>HRN38+((HRN40+'NF - 5 Power Mix'!HRN14+'NF - 5 Power Mix'!HRN15)*860/10)+((('Form Sa1'!HRQ835)*860)/10)+('Form Sa1'!HRQ814*'Form Sa1'!HRQ816/10)-'NF - 5 Power Mix'!HRN21-'NF - 5 Power Mix'!HRN22</f>
        <v>0</v>
      </c>
      <c r="HRO42" s="1046">
        <f>HRO38+((HRO40+'NF - 5 Power Mix'!HRO14+'NF - 5 Power Mix'!HRO15)*860/10)+((('Form Sa1'!HRR835)*860)/10)+('Form Sa1'!HRR814*'Form Sa1'!HRR816/10)-'NF - 5 Power Mix'!HRO21-'NF - 5 Power Mix'!HRO22</f>
        <v>0</v>
      </c>
      <c r="HRP42" s="1046">
        <f>HRP38+((HRP40+'NF - 5 Power Mix'!HRP14+'NF - 5 Power Mix'!HRP15)*860/10)+((('Form Sa1'!HRS835)*860)/10)+('Form Sa1'!HRS814*'Form Sa1'!HRS816/10)-'NF - 5 Power Mix'!HRP21-'NF - 5 Power Mix'!HRP22</f>
        <v>0</v>
      </c>
      <c r="HRQ42" s="1046">
        <f>HRQ38+((HRQ40+'NF - 5 Power Mix'!HRQ14+'NF - 5 Power Mix'!HRQ15)*860/10)+((('Form Sa1'!HRT835)*860)/10)+('Form Sa1'!HRT814*'Form Sa1'!HRT816/10)-'NF - 5 Power Mix'!HRQ21-'NF - 5 Power Mix'!HRQ22</f>
        <v>0</v>
      </c>
      <c r="HRR42" s="1046">
        <f>HRR38+((HRR40+'NF - 5 Power Mix'!HRR14+'NF - 5 Power Mix'!HRR15)*860/10)+((('Form Sa1'!HRU835)*860)/10)+('Form Sa1'!HRU814*'Form Sa1'!HRU816/10)-'NF - 5 Power Mix'!HRR21-'NF - 5 Power Mix'!HRR22</f>
        <v>0</v>
      </c>
      <c r="HRS42" s="1046">
        <f>HRS38+((HRS40+'NF - 5 Power Mix'!HRS14+'NF - 5 Power Mix'!HRS15)*860/10)+((('Form Sa1'!HRV835)*860)/10)+('Form Sa1'!HRV814*'Form Sa1'!HRV816/10)-'NF - 5 Power Mix'!HRS21-'NF - 5 Power Mix'!HRS22</f>
        <v>0</v>
      </c>
      <c r="HRT42" s="1046">
        <f>HRT38+((HRT40+'NF - 5 Power Mix'!HRT14+'NF - 5 Power Mix'!HRT15)*860/10)+((('Form Sa1'!HRW835)*860)/10)+('Form Sa1'!HRW814*'Form Sa1'!HRW816/10)-'NF - 5 Power Mix'!HRT21-'NF - 5 Power Mix'!HRT22</f>
        <v>0</v>
      </c>
      <c r="HRU42" s="1046">
        <f>HRU38+((HRU40+'NF - 5 Power Mix'!HRU14+'NF - 5 Power Mix'!HRU15)*860/10)+((('Form Sa1'!HRX835)*860)/10)+('Form Sa1'!HRX814*'Form Sa1'!HRX816/10)-'NF - 5 Power Mix'!HRU21-'NF - 5 Power Mix'!HRU22</f>
        <v>0</v>
      </c>
      <c r="HRV42" s="1046">
        <f>HRV38+((HRV40+'NF - 5 Power Mix'!HRV14+'NF - 5 Power Mix'!HRV15)*860/10)+((('Form Sa1'!HRY835)*860)/10)+('Form Sa1'!HRY814*'Form Sa1'!HRY816/10)-'NF - 5 Power Mix'!HRV21-'NF - 5 Power Mix'!HRV22</f>
        <v>0</v>
      </c>
      <c r="HRW42" s="1046">
        <f>HRW38+((HRW40+'NF - 5 Power Mix'!HRW14+'NF - 5 Power Mix'!HRW15)*860/10)+((('Form Sa1'!HRZ835)*860)/10)+('Form Sa1'!HRZ814*'Form Sa1'!HRZ816/10)-'NF - 5 Power Mix'!HRW21-'NF - 5 Power Mix'!HRW22</f>
        <v>0</v>
      </c>
      <c r="HRX42" s="1046">
        <f>HRX38+((HRX40+'NF - 5 Power Mix'!HRX14+'NF - 5 Power Mix'!HRX15)*860/10)+((('Form Sa1'!HSA835)*860)/10)+('Form Sa1'!HSA814*'Form Sa1'!HSA816/10)-'NF - 5 Power Mix'!HRX21-'NF - 5 Power Mix'!HRX22</f>
        <v>0</v>
      </c>
      <c r="HRY42" s="1046">
        <f>HRY38+((HRY40+'NF - 5 Power Mix'!HRY14+'NF - 5 Power Mix'!HRY15)*860/10)+((('Form Sa1'!HSB835)*860)/10)+('Form Sa1'!HSB814*'Form Sa1'!HSB816/10)-'NF - 5 Power Mix'!HRY21-'NF - 5 Power Mix'!HRY22</f>
        <v>0</v>
      </c>
      <c r="HRZ42" s="1046">
        <f>HRZ38+((HRZ40+'NF - 5 Power Mix'!HRZ14+'NF - 5 Power Mix'!HRZ15)*860/10)+((('Form Sa1'!HSC835)*860)/10)+('Form Sa1'!HSC814*'Form Sa1'!HSC816/10)-'NF - 5 Power Mix'!HRZ21-'NF - 5 Power Mix'!HRZ22</f>
        <v>0</v>
      </c>
      <c r="HSA42" s="1046">
        <f>HSA38+((HSA40+'NF - 5 Power Mix'!HSA14+'NF - 5 Power Mix'!HSA15)*860/10)+((('Form Sa1'!HSD835)*860)/10)+('Form Sa1'!HSD814*'Form Sa1'!HSD816/10)-'NF - 5 Power Mix'!HSA21-'NF - 5 Power Mix'!HSA22</f>
        <v>0</v>
      </c>
      <c r="HSB42" s="1046">
        <f>HSB38+((HSB40+'NF - 5 Power Mix'!HSB14+'NF - 5 Power Mix'!HSB15)*860/10)+((('Form Sa1'!HSE835)*860)/10)+('Form Sa1'!HSE814*'Form Sa1'!HSE816/10)-'NF - 5 Power Mix'!HSB21-'NF - 5 Power Mix'!HSB22</f>
        <v>0</v>
      </c>
      <c r="HSC42" s="1046">
        <f>HSC38+((HSC40+'NF - 5 Power Mix'!HSC14+'NF - 5 Power Mix'!HSC15)*860/10)+((('Form Sa1'!HSF835)*860)/10)+('Form Sa1'!HSF814*'Form Sa1'!HSF816/10)-'NF - 5 Power Mix'!HSC21-'NF - 5 Power Mix'!HSC22</f>
        <v>0</v>
      </c>
      <c r="HSD42" s="1046">
        <f>HSD38+((HSD40+'NF - 5 Power Mix'!HSD14+'NF - 5 Power Mix'!HSD15)*860/10)+((('Form Sa1'!HSG835)*860)/10)+('Form Sa1'!HSG814*'Form Sa1'!HSG816/10)-'NF - 5 Power Mix'!HSD21-'NF - 5 Power Mix'!HSD22</f>
        <v>0</v>
      </c>
      <c r="HSE42" s="1046">
        <f>HSE38+((HSE40+'NF - 5 Power Mix'!HSE14+'NF - 5 Power Mix'!HSE15)*860/10)+((('Form Sa1'!HSH835)*860)/10)+('Form Sa1'!HSH814*'Form Sa1'!HSH816/10)-'NF - 5 Power Mix'!HSE21-'NF - 5 Power Mix'!HSE22</f>
        <v>0</v>
      </c>
      <c r="HSF42" s="1046">
        <f>HSF38+((HSF40+'NF - 5 Power Mix'!HSF14+'NF - 5 Power Mix'!HSF15)*860/10)+((('Form Sa1'!HSI835)*860)/10)+('Form Sa1'!HSI814*'Form Sa1'!HSI816/10)-'NF - 5 Power Mix'!HSF21-'NF - 5 Power Mix'!HSF22</f>
        <v>0</v>
      </c>
      <c r="HSG42" s="1046">
        <f>HSG38+((HSG40+'NF - 5 Power Mix'!HSG14+'NF - 5 Power Mix'!HSG15)*860/10)+((('Form Sa1'!HSJ835)*860)/10)+('Form Sa1'!HSJ814*'Form Sa1'!HSJ816/10)-'NF - 5 Power Mix'!HSG21-'NF - 5 Power Mix'!HSG22</f>
        <v>0</v>
      </c>
      <c r="HSH42" s="1046">
        <f>HSH38+((HSH40+'NF - 5 Power Mix'!HSH14+'NF - 5 Power Mix'!HSH15)*860/10)+((('Form Sa1'!HSK835)*860)/10)+('Form Sa1'!HSK814*'Form Sa1'!HSK816/10)-'NF - 5 Power Mix'!HSH21-'NF - 5 Power Mix'!HSH22</f>
        <v>0</v>
      </c>
      <c r="HSI42" s="1046">
        <f>HSI38+((HSI40+'NF - 5 Power Mix'!HSI14+'NF - 5 Power Mix'!HSI15)*860/10)+((('Form Sa1'!HSL835)*860)/10)+('Form Sa1'!HSL814*'Form Sa1'!HSL816/10)-'NF - 5 Power Mix'!HSI21-'NF - 5 Power Mix'!HSI22</f>
        <v>0</v>
      </c>
      <c r="HSJ42" s="1046">
        <f>HSJ38+((HSJ40+'NF - 5 Power Mix'!HSJ14+'NF - 5 Power Mix'!HSJ15)*860/10)+((('Form Sa1'!HSM835)*860)/10)+('Form Sa1'!HSM814*'Form Sa1'!HSM816/10)-'NF - 5 Power Mix'!HSJ21-'NF - 5 Power Mix'!HSJ22</f>
        <v>0</v>
      </c>
      <c r="HSK42" s="1046">
        <f>HSK38+((HSK40+'NF - 5 Power Mix'!HSK14+'NF - 5 Power Mix'!HSK15)*860/10)+((('Form Sa1'!HSN835)*860)/10)+('Form Sa1'!HSN814*'Form Sa1'!HSN816/10)-'NF - 5 Power Mix'!HSK21-'NF - 5 Power Mix'!HSK22</f>
        <v>0</v>
      </c>
      <c r="HSL42" s="1046">
        <f>HSL38+((HSL40+'NF - 5 Power Mix'!HSL14+'NF - 5 Power Mix'!HSL15)*860/10)+((('Form Sa1'!HSO835)*860)/10)+('Form Sa1'!HSO814*'Form Sa1'!HSO816/10)-'NF - 5 Power Mix'!HSL21-'NF - 5 Power Mix'!HSL22</f>
        <v>0</v>
      </c>
      <c r="HSM42" s="1046">
        <f>HSM38+((HSM40+'NF - 5 Power Mix'!HSM14+'NF - 5 Power Mix'!HSM15)*860/10)+((('Form Sa1'!HSP835)*860)/10)+('Form Sa1'!HSP814*'Form Sa1'!HSP816/10)-'NF - 5 Power Mix'!HSM21-'NF - 5 Power Mix'!HSM22</f>
        <v>0</v>
      </c>
      <c r="HSN42" s="1046">
        <f>HSN38+((HSN40+'NF - 5 Power Mix'!HSN14+'NF - 5 Power Mix'!HSN15)*860/10)+((('Form Sa1'!HSQ835)*860)/10)+('Form Sa1'!HSQ814*'Form Sa1'!HSQ816/10)-'NF - 5 Power Mix'!HSN21-'NF - 5 Power Mix'!HSN22</f>
        <v>0</v>
      </c>
      <c r="HSO42" s="1046">
        <f>HSO38+((HSO40+'NF - 5 Power Mix'!HSO14+'NF - 5 Power Mix'!HSO15)*860/10)+((('Form Sa1'!HSR835)*860)/10)+('Form Sa1'!HSR814*'Form Sa1'!HSR816/10)-'NF - 5 Power Mix'!HSO21-'NF - 5 Power Mix'!HSO22</f>
        <v>0</v>
      </c>
      <c r="HSP42" s="1046">
        <f>HSP38+((HSP40+'NF - 5 Power Mix'!HSP14+'NF - 5 Power Mix'!HSP15)*860/10)+((('Form Sa1'!HSS835)*860)/10)+('Form Sa1'!HSS814*'Form Sa1'!HSS816/10)-'NF - 5 Power Mix'!HSP21-'NF - 5 Power Mix'!HSP22</f>
        <v>0</v>
      </c>
      <c r="HSQ42" s="1046">
        <f>HSQ38+((HSQ40+'NF - 5 Power Mix'!HSQ14+'NF - 5 Power Mix'!HSQ15)*860/10)+((('Form Sa1'!HST835)*860)/10)+('Form Sa1'!HST814*'Form Sa1'!HST816/10)-'NF - 5 Power Mix'!HSQ21-'NF - 5 Power Mix'!HSQ22</f>
        <v>0</v>
      </c>
      <c r="HSR42" s="1046">
        <f>HSR38+((HSR40+'NF - 5 Power Mix'!HSR14+'NF - 5 Power Mix'!HSR15)*860/10)+((('Form Sa1'!HSU835)*860)/10)+('Form Sa1'!HSU814*'Form Sa1'!HSU816/10)-'NF - 5 Power Mix'!HSR21-'NF - 5 Power Mix'!HSR22</f>
        <v>0</v>
      </c>
      <c r="HSS42" s="1046">
        <f>HSS38+((HSS40+'NF - 5 Power Mix'!HSS14+'NF - 5 Power Mix'!HSS15)*860/10)+((('Form Sa1'!HSV835)*860)/10)+('Form Sa1'!HSV814*'Form Sa1'!HSV816/10)-'NF - 5 Power Mix'!HSS21-'NF - 5 Power Mix'!HSS22</f>
        <v>0</v>
      </c>
      <c r="HST42" s="1046">
        <f>HST38+((HST40+'NF - 5 Power Mix'!HST14+'NF - 5 Power Mix'!HST15)*860/10)+((('Form Sa1'!HSW835)*860)/10)+('Form Sa1'!HSW814*'Form Sa1'!HSW816/10)-'NF - 5 Power Mix'!HST21-'NF - 5 Power Mix'!HST22</f>
        <v>0</v>
      </c>
      <c r="HSU42" s="1046">
        <f>HSU38+((HSU40+'NF - 5 Power Mix'!HSU14+'NF - 5 Power Mix'!HSU15)*860/10)+((('Form Sa1'!HSX835)*860)/10)+('Form Sa1'!HSX814*'Form Sa1'!HSX816/10)-'NF - 5 Power Mix'!HSU21-'NF - 5 Power Mix'!HSU22</f>
        <v>0</v>
      </c>
      <c r="HSV42" s="1046">
        <f>HSV38+((HSV40+'NF - 5 Power Mix'!HSV14+'NF - 5 Power Mix'!HSV15)*860/10)+((('Form Sa1'!HSY835)*860)/10)+('Form Sa1'!HSY814*'Form Sa1'!HSY816/10)-'NF - 5 Power Mix'!HSV21-'NF - 5 Power Mix'!HSV22</f>
        <v>0</v>
      </c>
      <c r="HSW42" s="1046">
        <f>HSW38+((HSW40+'NF - 5 Power Mix'!HSW14+'NF - 5 Power Mix'!HSW15)*860/10)+((('Form Sa1'!HSZ835)*860)/10)+('Form Sa1'!HSZ814*'Form Sa1'!HSZ816/10)-'NF - 5 Power Mix'!HSW21-'NF - 5 Power Mix'!HSW22</f>
        <v>0</v>
      </c>
      <c r="HSX42" s="1046">
        <f>HSX38+((HSX40+'NF - 5 Power Mix'!HSX14+'NF - 5 Power Mix'!HSX15)*860/10)+((('Form Sa1'!HTA835)*860)/10)+('Form Sa1'!HTA814*'Form Sa1'!HTA816/10)-'NF - 5 Power Mix'!HSX21-'NF - 5 Power Mix'!HSX22</f>
        <v>0</v>
      </c>
      <c r="HSY42" s="1046">
        <f>HSY38+((HSY40+'NF - 5 Power Mix'!HSY14+'NF - 5 Power Mix'!HSY15)*860/10)+((('Form Sa1'!HTB835)*860)/10)+('Form Sa1'!HTB814*'Form Sa1'!HTB816/10)-'NF - 5 Power Mix'!HSY21-'NF - 5 Power Mix'!HSY22</f>
        <v>0</v>
      </c>
      <c r="HSZ42" s="1046">
        <f>HSZ38+((HSZ40+'NF - 5 Power Mix'!HSZ14+'NF - 5 Power Mix'!HSZ15)*860/10)+((('Form Sa1'!HTC835)*860)/10)+('Form Sa1'!HTC814*'Form Sa1'!HTC816/10)-'NF - 5 Power Mix'!HSZ21-'NF - 5 Power Mix'!HSZ22</f>
        <v>0</v>
      </c>
      <c r="HTA42" s="1046">
        <f>HTA38+((HTA40+'NF - 5 Power Mix'!HTA14+'NF - 5 Power Mix'!HTA15)*860/10)+((('Form Sa1'!HTD835)*860)/10)+('Form Sa1'!HTD814*'Form Sa1'!HTD816/10)-'NF - 5 Power Mix'!HTA21-'NF - 5 Power Mix'!HTA22</f>
        <v>0</v>
      </c>
      <c r="HTB42" s="1046">
        <f>HTB38+((HTB40+'NF - 5 Power Mix'!HTB14+'NF - 5 Power Mix'!HTB15)*860/10)+((('Form Sa1'!HTE835)*860)/10)+('Form Sa1'!HTE814*'Form Sa1'!HTE816/10)-'NF - 5 Power Mix'!HTB21-'NF - 5 Power Mix'!HTB22</f>
        <v>0</v>
      </c>
      <c r="HTC42" s="1046">
        <f>HTC38+((HTC40+'NF - 5 Power Mix'!HTC14+'NF - 5 Power Mix'!HTC15)*860/10)+((('Form Sa1'!HTF835)*860)/10)+('Form Sa1'!HTF814*'Form Sa1'!HTF816/10)-'NF - 5 Power Mix'!HTC21-'NF - 5 Power Mix'!HTC22</f>
        <v>0</v>
      </c>
      <c r="HTD42" s="1046">
        <f>HTD38+((HTD40+'NF - 5 Power Mix'!HTD14+'NF - 5 Power Mix'!HTD15)*860/10)+((('Form Sa1'!HTG835)*860)/10)+('Form Sa1'!HTG814*'Form Sa1'!HTG816/10)-'NF - 5 Power Mix'!HTD21-'NF - 5 Power Mix'!HTD22</f>
        <v>0</v>
      </c>
      <c r="HTE42" s="1046">
        <f>HTE38+((HTE40+'NF - 5 Power Mix'!HTE14+'NF - 5 Power Mix'!HTE15)*860/10)+((('Form Sa1'!HTH835)*860)/10)+('Form Sa1'!HTH814*'Form Sa1'!HTH816/10)-'NF - 5 Power Mix'!HTE21-'NF - 5 Power Mix'!HTE22</f>
        <v>0</v>
      </c>
      <c r="HTF42" s="1046">
        <f>HTF38+((HTF40+'NF - 5 Power Mix'!HTF14+'NF - 5 Power Mix'!HTF15)*860/10)+((('Form Sa1'!HTI835)*860)/10)+('Form Sa1'!HTI814*'Form Sa1'!HTI816/10)-'NF - 5 Power Mix'!HTF21-'NF - 5 Power Mix'!HTF22</f>
        <v>0</v>
      </c>
      <c r="HTG42" s="1046">
        <f>HTG38+((HTG40+'NF - 5 Power Mix'!HTG14+'NF - 5 Power Mix'!HTG15)*860/10)+((('Form Sa1'!HTJ835)*860)/10)+('Form Sa1'!HTJ814*'Form Sa1'!HTJ816/10)-'NF - 5 Power Mix'!HTG21-'NF - 5 Power Mix'!HTG22</f>
        <v>0</v>
      </c>
      <c r="HTH42" s="1046">
        <f>HTH38+((HTH40+'NF - 5 Power Mix'!HTH14+'NF - 5 Power Mix'!HTH15)*860/10)+((('Form Sa1'!HTK835)*860)/10)+('Form Sa1'!HTK814*'Form Sa1'!HTK816/10)-'NF - 5 Power Mix'!HTH21-'NF - 5 Power Mix'!HTH22</f>
        <v>0</v>
      </c>
      <c r="HTI42" s="1046">
        <f>HTI38+((HTI40+'NF - 5 Power Mix'!HTI14+'NF - 5 Power Mix'!HTI15)*860/10)+((('Form Sa1'!HTL835)*860)/10)+('Form Sa1'!HTL814*'Form Sa1'!HTL816/10)-'NF - 5 Power Mix'!HTI21-'NF - 5 Power Mix'!HTI22</f>
        <v>0</v>
      </c>
      <c r="HTJ42" s="1046">
        <f>HTJ38+((HTJ40+'NF - 5 Power Mix'!HTJ14+'NF - 5 Power Mix'!HTJ15)*860/10)+((('Form Sa1'!HTM835)*860)/10)+('Form Sa1'!HTM814*'Form Sa1'!HTM816/10)-'NF - 5 Power Mix'!HTJ21-'NF - 5 Power Mix'!HTJ22</f>
        <v>0</v>
      </c>
      <c r="HTK42" s="1046">
        <f>HTK38+((HTK40+'NF - 5 Power Mix'!HTK14+'NF - 5 Power Mix'!HTK15)*860/10)+((('Form Sa1'!HTN835)*860)/10)+('Form Sa1'!HTN814*'Form Sa1'!HTN816/10)-'NF - 5 Power Mix'!HTK21-'NF - 5 Power Mix'!HTK22</f>
        <v>0</v>
      </c>
      <c r="HTL42" s="1046">
        <f>HTL38+((HTL40+'NF - 5 Power Mix'!HTL14+'NF - 5 Power Mix'!HTL15)*860/10)+((('Form Sa1'!HTO835)*860)/10)+('Form Sa1'!HTO814*'Form Sa1'!HTO816/10)-'NF - 5 Power Mix'!HTL21-'NF - 5 Power Mix'!HTL22</f>
        <v>0</v>
      </c>
      <c r="HTM42" s="1046">
        <f>HTM38+((HTM40+'NF - 5 Power Mix'!HTM14+'NF - 5 Power Mix'!HTM15)*860/10)+((('Form Sa1'!HTP835)*860)/10)+('Form Sa1'!HTP814*'Form Sa1'!HTP816/10)-'NF - 5 Power Mix'!HTM21-'NF - 5 Power Mix'!HTM22</f>
        <v>0</v>
      </c>
      <c r="HTN42" s="1046">
        <f>HTN38+((HTN40+'NF - 5 Power Mix'!HTN14+'NF - 5 Power Mix'!HTN15)*860/10)+((('Form Sa1'!HTQ835)*860)/10)+('Form Sa1'!HTQ814*'Form Sa1'!HTQ816/10)-'NF - 5 Power Mix'!HTN21-'NF - 5 Power Mix'!HTN22</f>
        <v>0</v>
      </c>
      <c r="HTO42" s="1046">
        <f>HTO38+((HTO40+'NF - 5 Power Mix'!HTO14+'NF - 5 Power Mix'!HTO15)*860/10)+((('Form Sa1'!HTR835)*860)/10)+('Form Sa1'!HTR814*'Form Sa1'!HTR816/10)-'NF - 5 Power Mix'!HTO21-'NF - 5 Power Mix'!HTO22</f>
        <v>0</v>
      </c>
      <c r="HTP42" s="1046">
        <f>HTP38+((HTP40+'NF - 5 Power Mix'!HTP14+'NF - 5 Power Mix'!HTP15)*860/10)+((('Form Sa1'!HTS835)*860)/10)+('Form Sa1'!HTS814*'Form Sa1'!HTS816/10)-'NF - 5 Power Mix'!HTP21-'NF - 5 Power Mix'!HTP22</f>
        <v>0</v>
      </c>
      <c r="HTQ42" s="1046">
        <f>HTQ38+((HTQ40+'NF - 5 Power Mix'!HTQ14+'NF - 5 Power Mix'!HTQ15)*860/10)+((('Form Sa1'!HTT835)*860)/10)+('Form Sa1'!HTT814*'Form Sa1'!HTT816/10)-'NF - 5 Power Mix'!HTQ21-'NF - 5 Power Mix'!HTQ22</f>
        <v>0</v>
      </c>
      <c r="HTR42" s="1046">
        <f>HTR38+((HTR40+'NF - 5 Power Mix'!HTR14+'NF - 5 Power Mix'!HTR15)*860/10)+((('Form Sa1'!HTU835)*860)/10)+('Form Sa1'!HTU814*'Form Sa1'!HTU816/10)-'NF - 5 Power Mix'!HTR21-'NF - 5 Power Mix'!HTR22</f>
        <v>0</v>
      </c>
      <c r="HTS42" s="1046">
        <f>HTS38+((HTS40+'NF - 5 Power Mix'!HTS14+'NF - 5 Power Mix'!HTS15)*860/10)+((('Form Sa1'!HTV835)*860)/10)+('Form Sa1'!HTV814*'Form Sa1'!HTV816/10)-'NF - 5 Power Mix'!HTS21-'NF - 5 Power Mix'!HTS22</f>
        <v>0</v>
      </c>
      <c r="HTT42" s="1046">
        <f>HTT38+((HTT40+'NF - 5 Power Mix'!HTT14+'NF - 5 Power Mix'!HTT15)*860/10)+((('Form Sa1'!HTW835)*860)/10)+('Form Sa1'!HTW814*'Form Sa1'!HTW816/10)-'NF - 5 Power Mix'!HTT21-'NF - 5 Power Mix'!HTT22</f>
        <v>0</v>
      </c>
      <c r="HTU42" s="1046">
        <f>HTU38+((HTU40+'NF - 5 Power Mix'!HTU14+'NF - 5 Power Mix'!HTU15)*860/10)+((('Form Sa1'!HTX835)*860)/10)+('Form Sa1'!HTX814*'Form Sa1'!HTX816/10)-'NF - 5 Power Mix'!HTU21-'NF - 5 Power Mix'!HTU22</f>
        <v>0</v>
      </c>
      <c r="HTV42" s="1046">
        <f>HTV38+((HTV40+'NF - 5 Power Mix'!HTV14+'NF - 5 Power Mix'!HTV15)*860/10)+((('Form Sa1'!HTY835)*860)/10)+('Form Sa1'!HTY814*'Form Sa1'!HTY816/10)-'NF - 5 Power Mix'!HTV21-'NF - 5 Power Mix'!HTV22</f>
        <v>0</v>
      </c>
      <c r="HTW42" s="1046">
        <f>HTW38+((HTW40+'NF - 5 Power Mix'!HTW14+'NF - 5 Power Mix'!HTW15)*860/10)+((('Form Sa1'!HTZ835)*860)/10)+('Form Sa1'!HTZ814*'Form Sa1'!HTZ816/10)-'NF - 5 Power Mix'!HTW21-'NF - 5 Power Mix'!HTW22</f>
        <v>0</v>
      </c>
      <c r="HTX42" s="1046">
        <f>HTX38+((HTX40+'NF - 5 Power Mix'!HTX14+'NF - 5 Power Mix'!HTX15)*860/10)+((('Form Sa1'!HUA835)*860)/10)+('Form Sa1'!HUA814*'Form Sa1'!HUA816/10)-'NF - 5 Power Mix'!HTX21-'NF - 5 Power Mix'!HTX22</f>
        <v>0</v>
      </c>
      <c r="HTY42" s="1046">
        <f>HTY38+((HTY40+'NF - 5 Power Mix'!HTY14+'NF - 5 Power Mix'!HTY15)*860/10)+((('Form Sa1'!HUB835)*860)/10)+('Form Sa1'!HUB814*'Form Sa1'!HUB816/10)-'NF - 5 Power Mix'!HTY21-'NF - 5 Power Mix'!HTY22</f>
        <v>0</v>
      </c>
      <c r="HTZ42" s="1046">
        <f>HTZ38+((HTZ40+'NF - 5 Power Mix'!HTZ14+'NF - 5 Power Mix'!HTZ15)*860/10)+((('Form Sa1'!HUC835)*860)/10)+('Form Sa1'!HUC814*'Form Sa1'!HUC816/10)-'NF - 5 Power Mix'!HTZ21-'NF - 5 Power Mix'!HTZ22</f>
        <v>0</v>
      </c>
      <c r="HUA42" s="1046">
        <f>HUA38+((HUA40+'NF - 5 Power Mix'!HUA14+'NF - 5 Power Mix'!HUA15)*860/10)+((('Form Sa1'!HUD835)*860)/10)+('Form Sa1'!HUD814*'Form Sa1'!HUD816/10)-'NF - 5 Power Mix'!HUA21-'NF - 5 Power Mix'!HUA22</f>
        <v>0</v>
      </c>
      <c r="HUB42" s="1046">
        <f>HUB38+((HUB40+'NF - 5 Power Mix'!HUB14+'NF - 5 Power Mix'!HUB15)*860/10)+((('Form Sa1'!HUE835)*860)/10)+('Form Sa1'!HUE814*'Form Sa1'!HUE816/10)-'NF - 5 Power Mix'!HUB21-'NF - 5 Power Mix'!HUB22</f>
        <v>0</v>
      </c>
      <c r="HUC42" s="1046">
        <f>HUC38+((HUC40+'NF - 5 Power Mix'!HUC14+'NF - 5 Power Mix'!HUC15)*860/10)+((('Form Sa1'!HUF835)*860)/10)+('Form Sa1'!HUF814*'Form Sa1'!HUF816/10)-'NF - 5 Power Mix'!HUC21-'NF - 5 Power Mix'!HUC22</f>
        <v>0</v>
      </c>
      <c r="HUD42" s="1046">
        <f>HUD38+((HUD40+'NF - 5 Power Mix'!HUD14+'NF - 5 Power Mix'!HUD15)*860/10)+((('Form Sa1'!HUG835)*860)/10)+('Form Sa1'!HUG814*'Form Sa1'!HUG816/10)-'NF - 5 Power Mix'!HUD21-'NF - 5 Power Mix'!HUD22</f>
        <v>0</v>
      </c>
      <c r="HUE42" s="1046">
        <f>HUE38+((HUE40+'NF - 5 Power Mix'!HUE14+'NF - 5 Power Mix'!HUE15)*860/10)+((('Form Sa1'!HUH835)*860)/10)+('Form Sa1'!HUH814*'Form Sa1'!HUH816/10)-'NF - 5 Power Mix'!HUE21-'NF - 5 Power Mix'!HUE22</f>
        <v>0</v>
      </c>
      <c r="HUF42" s="1046">
        <f>HUF38+((HUF40+'NF - 5 Power Mix'!HUF14+'NF - 5 Power Mix'!HUF15)*860/10)+((('Form Sa1'!HUI835)*860)/10)+('Form Sa1'!HUI814*'Form Sa1'!HUI816/10)-'NF - 5 Power Mix'!HUF21-'NF - 5 Power Mix'!HUF22</f>
        <v>0</v>
      </c>
      <c r="HUG42" s="1046">
        <f>HUG38+((HUG40+'NF - 5 Power Mix'!HUG14+'NF - 5 Power Mix'!HUG15)*860/10)+((('Form Sa1'!HUJ835)*860)/10)+('Form Sa1'!HUJ814*'Form Sa1'!HUJ816/10)-'NF - 5 Power Mix'!HUG21-'NF - 5 Power Mix'!HUG22</f>
        <v>0</v>
      </c>
      <c r="HUH42" s="1046">
        <f>HUH38+((HUH40+'NF - 5 Power Mix'!HUH14+'NF - 5 Power Mix'!HUH15)*860/10)+((('Form Sa1'!HUK835)*860)/10)+('Form Sa1'!HUK814*'Form Sa1'!HUK816/10)-'NF - 5 Power Mix'!HUH21-'NF - 5 Power Mix'!HUH22</f>
        <v>0</v>
      </c>
      <c r="HUI42" s="1046">
        <f>HUI38+((HUI40+'NF - 5 Power Mix'!HUI14+'NF - 5 Power Mix'!HUI15)*860/10)+((('Form Sa1'!HUL835)*860)/10)+('Form Sa1'!HUL814*'Form Sa1'!HUL816/10)-'NF - 5 Power Mix'!HUI21-'NF - 5 Power Mix'!HUI22</f>
        <v>0</v>
      </c>
      <c r="HUJ42" s="1046">
        <f>HUJ38+((HUJ40+'NF - 5 Power Mix'!HUJ14+'NF - 5 Power Mix'!HUJ15)*860/10)+((('Form Sa1'!HUM835)*860)/10)+('Form Sa1'!HUM814*'Form Sa1'!HUM816/10)-'NF - 5 Power Mix'!HUJ21-'NF - 5 Power Mix'!HUJ22</f>
        <v>0</v>
      </c>
      <c r="HUK42" s="1046">
        <f>HUK38+((HUK40+'NF - 5 Power Mix'!HUK14+'NF - 5 Power Mix'!HUK15)*860/10)+((('Form Sa1'!HUN835)*860)/10)+('Form Sa1'!HUN814*'Form Sa1'!HUN816/10)-'NF - 5 Power Mix'!HUK21-'NF - 5 Power Mix'!HUK22</f>
        <v>0</v>
      </c>
      <c r="HUL42" s="1046">
        <f>HUL38+((HUL40+'NF - 5 Power Mix'!HUL14+'NF - 5 Power Mix'!HUL15)*860/10)+((('Form Sa1'!HUO835)*860)/10)+('Form Sa1'!HUO814*'Form Sa1'!HUO816/10)-'NF - 5 Power Mix'!HUL21-'NF - 5 Power Mix'!HUL22</f>
        <v>0</v>
      </c>
      <c r="HUM42" s="1046">
        <f>HUM38+((HUM40+'NF - 5 Power Mix'!HUM14+'NF - 5 Power Mix'!HUM15)*860/10)+((('Form Sa1'!HUP835)*860)/10)+('Form Sa1'!HUP814*'Form Sa1'!HUP816/10)-'NF - 5 Power Mix'!HUM21-'NF - 5 Power Mix'!HUM22</f>
        <v>0</v>
      </c>
      <c r="HUN42" s="1046">
        <f>HUN38+((HUN40+'NF - 5 Power Mix'!HUN14+'NF - 5 Power Mix'!HUN15)*860/10)+((('Form Sa1'!HUQ835)*860)/10)+('Form Sa1'!HUQ814*'Form Sa1'!HUQ816/10)-'NF - 5 Power Mix'!HUN21-'NF - 5 Power Mix'!HUN22</f>
        <v>0</v>
      </c>
      <c r="HUO42" s="1046">
        <f>HUO38+((HUO40+'NF - 5 Power Mix'!HUO14+'NF - 5 Power Mix'!HUO15)*860/10)+((('Form Sa1'!HUR835)*860)/10)+('Form Sa1'!HUR814*'Form Sa1'!HUR816/10)-'NF - 5 Power Mix'!HUO21-'NF - 5 Power Mix'!HUO22</f>
        <v>0</v>
      </c>
      <c r="HUP42" s="1046">
        <f>HUP38+((HUP40+'NF - 5 Power Mix'!HUP14+'NF - 5 Power Mix'!HUP15)*860/10)+((('Form Sa1'!HUS835)*860)/10)+('Form Sa1'!HUS814*'Form Sa1'!HUS816/10)-'NF - 5 Power Mix'!HUP21-'NF - 5 Power Mix'!HUP22</f>
        <v>0</v>
      </c>
      <c r="HUQ42" s="1046">
        <f>HUQ38+((HUQ40+'NF - 5 Power Mix'!HUQ14+'NF - 5 Power Mix'!HUQ15)*860/10)+((('Form Sa1'!HUT835)*860)/10)+('Form Sa1'!HUT814*'Form Sa1'!HUT816/10)-'NF - 5 Power Mix'!HUQ21-'NF - 5 Power Mix'!HUQ22</f>
        <v>0</v>
      </c>
      <c r="HUR42" s="1046">
        <f>HUR38+((HUR40+'NF - 5 Power Mix'!HUR14+'NF - 5 Power Mix'!HUR15)*860/10)+((('Form Sa1'!HUU835)*860)/10)+('Form Sa1'!HUU814*'Form Sa1'!HUU816/10)-'NF - 5 Power Mix'!HUR21-'NF - 5 Power Mix'!HUR22</f>
        <v>0</v>
      </c>
      <c r="HUS42" s="1046">
        <f>HUS38+((HUS40+'NF - 5 Power Mix'!HUS14+'NF - 5 Power Mix'!HUS15)*860/10)+((('Form Sa1'!HUV835)*860)/10)+('Form Sa1'!HUV814*'Form Sa1'!HUV816/10)-'NF - 5 Power Mix'!HUS21-'NF - 5 Power Mix'!HUS22</f>
        <v>0</v>
      </c>
      <c r="HUT42" s="1046">
        <f>HUT38+((HUT40+'NF - 5 Power Mix'!HUT14+'NF - 5 Power Mix'!HUT15)*860/10)+((('Form Sa1'!HUW835)*860)/10)+('Form Sa1'!HUW814*'Form Sa1'!HUW816/10)-'NF - 5 Power Mix'!HUT21-'NF - 5 Power Mix'!HUT22</f>
        <v>0</v>
      </c>
      <c r="HUU42" s="1046">
        <f>HUU38+((HUU40+'NF - 5 Power Mix'!HUU14+'NF - 5 Power Mix'!HUU15)*860/10)+((('Form Sa1'!HUX835)*860)/10)+('Form Sa1'!HUX814*'Form Sa1'!HUX816/10)-'NF - 5 Power Mix'!HUU21-'NF - 5 Power Mix'!HUU22</f>
        <v>0</v>
      </c>
      <c r="HUV42" s="1046">
        <f>HUV38+((HUV40+'NF - 5 Power Mix'!HUV14+'NF - 5 Power Mix'!HUV15)*860/10)+((('Form Sa1'!HUY835)*860)/10)+('Form Sa1'!HUY814*'Form Sa1'!HUY816/10)-'NF - 5 Power Mix'!HUV21-'NF - 5 Power Mix'!HUV22</f>
        <v>0</v>
      </c>
      <c r="HUW42" s="1046">
        <f>HUW38+((HUW40+'NF - 5 Power Mix'!HUW14+'NF - 5 Power Mix'!HUW15)*860/10)+((('Form Sa1'!HUZ835)*860)/10)+('Form Sa1'!HUZ814*'Form Sa1'!HUZ816/10)-'NF - 5 Power Mix'!HUW21-'NF - 5 Power Mix'!HUW22</f>
        <v>0</v>
      </c>
      <c r="HUX42" s="1046">
        <f>HUX38+((HUX40+'NF - 5 Power Mix'!HUX14+'NF - 5 Power Mix'!HUX15)*860/10)+((('Form Sa1'!HVA835)*860)/10)+('Form Sa1'!HVA814*'Form Sa1'!HVA816/10)-'NF - 5 Power Mix'!HUX21-'NF - 5 Power Mix'!HUX22</f>
        <v>0</v>
      </c>
      <c r="HUY42" s="1046">
        <f>HUY38+((HUY40+'NF - 5 Power Mix'!HUY14+'NF - 5 Power Mix'!HUY15)*860/10)+((('Form Sa1'!HVB835)*860)/10)+('Form Sa1'!HVB814*'Form Sa1'!HVB816/10)-'NF - 5 Power Mix'!HUY21-'NF - 5 Power Mix'!HUY22</f>
        <v>0</v>
      </c>
      <c r="HUZ42" s="1046">
        <f>HUZ38+((HUZ40+'NF - 5 Power Mix'!HUZ14+'NF - 5 Power Mix'!HUZ15)*860/10)+((('Form Sa1'!HVC835)*860)/10)+('Form Sa1'!HVC814*'Form Sa1'!HVC816/10)-'NF - 5 Power Mix'!HUZ21-'NF - 5 Power Mix'!HUZ22</f>
        <v>0</v>
      </c>
      <c r="HVA42" s="1046">
        <f>HVA38+((HVA40+'NF - 5 Power Mix'!HVA14+'NF - 5 Power Mix'!HVA15)*860/10)+((('Form Sa1'!HVD835)*860)/10)+('Form Sa1'!HVD814*'Form Sa1'!HVD816/10)-'NF - 5 Power Mix'!HVA21-'NF - 5 Power Mix'!HVA22</f>
        <v>0</v>
      </c>
      <c r="HVB42" s="1046">
        <f>HVB38+((HVB40+'NF - 5 Power Mix'!HVB14+'NF - 5 Power Mix'!HVB15)*860/10)+((('Form Sa1'!HVE835)*860)/10)+('Form Sa1'!HVE814*'Form Sa1'!HVE816/10)-'NF - 5 Power Mix'!HVB21-'NF - 5 Power Mix'!HVB22</f>
        <v>0</v>
      </c>
      <c r="HVC42" s="1046">
        <f>HVC38+((HVC40+'NF - 5 Power Mix'!HVC14+'NF - 5 Power Mix'!HVC15)*860/10)+((('Form Sa1'!HVF835)*860)/10)+('Form Sa1'!HVF814*'Form Sa1'!HVF816/10)-'NF - 5 Power Mix'!HVC21-'NF - 5 Power Mix'!HVC22</f>
        <v>0</v>
      </c>
      <c r="HVD42" s="1046">
        <f>HVD38+((HVD40+'NF - 5 Power Mix'!HVD14+'NF - 5 Power Mix'!HVD15)*860/10)+((('Form Sa1'!HVG835)*860)/10)+('Form Sa1'!HVG814*'Form Sa1'!HVG816/10)-'NF - 5 Power Mix'!HVD21-'NF - 5 Power Mix'!HVD22</f>
        <v>0</v>
      </c>
      <c r="HVE42" s="1046">
        <f>HVE38+((HVE40+'NF - 5 Power Mix'!HVE14+'NF - 5 Power Mix'!HVE15)*860/10)+((('Form Sa1'!HVH835)*860)/10)+('Form Sa1'!HVH814*'Form Sa1'!HVH816/10)-'NF - 5 Power Mix'!HVE21-'NF - 5 Power Mix'!HVE22</f>
        <v>0</v>
      </c>
      <c r="HVF42" s="1046">
        <f>HVF38+((HVF40+'NF - 5 Power Mix'!HVF14+'NF - 5 Power Mix'!HVF15)*860/10)+((('Form Sa1'!HVI835)*860)/10)+('Form Sa1'!HVI814*'Form Sa1'!HVI816/10)-'NF - 5 Power Mix'!HVF21-'NF - 5 Power Mix'!HVF22</f>
        <v>0</v>
      </c>
      <c r="HVG42" s="1046">
        <f>HVG38+((HVG40+'NF - 5 Power Mix'!HVG14+'NF - 5 Power Mix'!HVG15)*860/10)+((('Form Sa1'!HVJ835)*860)/10)+('Form Sa1'!HVJ814*'Form Sa1'!HVJ816/10)-'NF - 5 Power Mix'!HVG21-'NF - 5 Power Mix'!HVG22</f>
        <v>0</v>
      </c>
      <c r="HVH42" s="1046">
        <f>HVH38+((HVH40+'NF - 5 Power Mix'!HVH14+'NF - 5 Power Mix'!HVH15)*860/10)+((('Form Sa1'!HVK835)*860)/10)+('Form Sa1'!HVK814*'Form Sa1'!HVK816/10)-'NF - 5 Power Mix'!HVH21-'NF - 5 Power Mix'!HVH22</f>
        <v>0</v>
      </c>
      <c r="HVI42" s="1046">
        <f>HVI38+((HVI40+'NF - 5 Power Mix'!HVI14+'NF - 5 Power Mix'!HVI15)*860/10)+((('Form Sa1'!HVL835)*860)/10)+('Form Sa1'!HVL814*'Form Sa1'!HVL816/10)-'NF - 5 Power Mix'!HVI21-'NF - 5 Power Mix'!HVI22</f>
        <v>0</v>
      </c>
      <c r="HVJ42" s="1046">
        <f>HVJ38+((HVJ40+'NF - 5 Power Mix'!HVJ14+'NF - 5 Power Mix'!HVJ15)*860/10)+((('Form Sa1'!HVM835)*860)/10)+('Form Sa1'!HVM814*'Form Sa1'!HVM816/10)-'NF - 5 Power Mix'!HVJ21-'NF - 5 Power Mix'!HVJ22</f>
        <v>0</v>
      </c>
      <c r="HVK42" s="1046">
        <f>HVK38+((HVK40+'NF - 5 Power Mix'!HVK14+'NF - 5 Power Mix'!HVK15)*860/10)+((('Form Sa1'!HVN835)*860)/10)+('Form Sa1'!HVN814*'Form Sa1'!HVN816/10)-'NF - 5 Power Mix'!HVK21-'NF - 5 Power Mix'!HVK22</f>
        <v>0</v>
      </c>
      <c r="HVL42" s="1046">
        <f>HVL38+((HVL40+'NF - 5 Power Mix'!HVL14+'NF - 5 Power Mix'!HVL15)*860/10)+((('Form Sa1'!HVO835)*860)/10)+('Form Sa1'!HVO814*'Form Sa1'!HVO816/10)-'NF - 5 Power Mix'!HVL21-'NF - 5 Power Mix'!HVL22</f>
        <v>0</v>
      </c>
      <c r="HVM42" s="1046">
        <f>HVM38+((HVM40+'NF - 5 Power Mix'!HVM14+'NF - 5 Power Mix'!HVM15)*860/10)+((('Form Sa1'!HVP835)*860)/10)+('Form Sa1'!HVP814*'Form Sa1'!HVP816/10)-'NF - 5 Power Mix'!HVM21-'NF - 5 Power Mix'!HVM22</f>
        <v>0</v>
      </c>
      <c r="HVN42" s="1046">
        <f>HVN38+((HVN40+'NF - 5 Power Mix'!HVN14+'NF - 5 Power Mix'!HVN15)*860/10)+((('Form Sa1'!HVQ835)*860)/10)+('Form Sa1'!HVQ814*'Form Sa1'!HVQ816/10)-'NF - 5 Power Mix'!HVN21-'NF - 5 Power Mix'!HVN22</f>
        <v>0</v>
      </c>
      <c r="HVO42" s="1046">
        <f>HVO38+((HVO40+'NF - 5 Power Mix'!HVO14+'NF - 5 Power Mix'!HVO15)*860/10)+((('Form Sa1'!HVR835)*860)/10)+('Form Sa1'!HVR814*'Form Sa1'!HVR816/10)-'NF - 5 Power Mix'!HVO21-'NF - 5 Power Mix'!HVO22</f>
        <v>0</v>
      </c>
      <c r="HVP42" s="1046">
        <f>HVP38+((HVP40+'NF - 5 Power Mix'!HVP14+'NF - 5 Power Mix'!HVP15)*860/10)+((('Form Sa1'!HVS835)*860)/10)+('Form Sa1'!HVS814*'Form Sa1'!HVS816/10)-'NF - 5 Power Mix'!HVP21-'NF - 5 Power Mix'!HVP22</f>
        <v>0</v>
      </c>
      <c r="HVQ42" s="1046">
        <f>HVQ38+((HVQ40+'NF - 5 Power Mix'!HVQ14+'NF - 5 Power Mix'!HVQ15)*860/10)+((('Form Sa1'!HVT835)*860)/10)+('Form Sa1'!HVT814*'Form Sa1'!HVT816/10)-'NF - 5 Power Mix'!HVQ21-'NF - 5 Power Mix'!HVQ22</f>
        <v>0</v>
      </c>
      <c r="HVR42" s="1046">
        <f>HVR38+((HVR40+'NF - 5 Power Mix'!HVR14+'NF - 5 Power Mix'!HVR15)*860/10)+((('Form Sa1'!HVU835)*860)/10)+('Form Sa1'!HVU814*'Form Sa1'!HVU816/10)-'NF - 5 Power Mix'!HVR21-'NF - 5 Power Mix'!HVR22</f>
        <v>0</v>
      </c>
      <c r="HVS42" s="1046">
        <f>HVS38+((HVS40+'NF - 5 Power Mix'!HVS14+'NF - 5 Power Mix'!HVS15)*860/10)+((('Form Sa1'!HVV835)*860)/10)+('Form Sa1'!HVV814*'Form Sa1'!HVV816/10)-'NF - 5 Power Mix'!HVS21-'NF - 5 Power Mix'!HVS22</f>
        <v>0</v>
      </c>
      <c r="HVT42" s="1046">
        <f>HVT38+((HVT40+'NF - 5 Power Mix'!HVT14+'NF - 5 Power Mix'!HVT15)*860/10)+((('Form Sa1'!HVW835)*860)/10)+('Form Sa1'!HVW814*'Form Sa1'!HVW816/10)-'NF - 5 Power Mix'!HVT21-'NF - 5 Power Mix'!HVT22</f>
        <v>0</v>
      </c>
      <c r="HVU42" s="1046">
        <f>HVU38+((HVU40+'NF - 5 Power Mix'!HVU14+'NF - 5 Power Mix'!HVU15)*860/10)+((('Form Sa1'!HVX835)*860)/10)+('Form Sa1'!HVX814*'Form Sa1'!HVX816/10)-'NF - 5 Power Mix'!HVU21-'NF - 5 Power Mix'!HVU22</f>
        <v>0</v>
      </c>
      <c r="HVV42" s="1046">
        <f>HVV38+((HVV40+'NF - 5 Power Mix'!HVV14+'NF - 5 Power Mix'!HVV15)*860/10)+((('Form Sa1'!HVY835)*860)/10)+('Form Sa1'!HVY814*'Form Sa1'!HVY816/10)-'NF - 5 Power Mix'!HVV21-'NF - 5 Power Mix'!HVV22</f>
        <v>0</v>
      </c>
      <c r="HVW42" s="1046">
        <f>HVW38+((HVW40+'NF - 5 Power Mix'!HVW14+'NF - 5 Power Mix'!HVW15)*860/10)+((('Form Sa1'!HVZ835)*860)/10)+('Form Sa1'!HVZ814*'Form Sa1'!HVZ816/10)-'NF - 5 Power Mix'!HVW21-'NF - 5 Power Mix'!HVW22</f>
        <v>0</v>
      </c>
      <c r="HVX42" s="1046">
        <f>HVX38+((HVX40+'NF - 5 Power Mix'!HVX14+'NF - 5 Power Mix'!HVX15)*860/10)+((('Form Sa1'!HWA835)*860)/10)+('Form Sa1'!HWA814*'Form Sa1'!HWA816/10)-'NF - 5 Power Mix'!HVX21-'NF - 5 Power Mix'!HVX22</f>
        <v>0</v>
      </c>
      <c r="HVY42" s="1046">
        <f>HVY38+((HVY40+'NF - 5 Power Mix'!HVY14+'NF - 5 Power Mix'!HVY15)*860/10)+((('Form Sa1'!HWB835)*860)/10)+('Form Sa1'!HWB814*'Form Sa1'!HWB816/10)-'NF - 5 Power Mix'!HVY21-'NF - 5 Power Mix'!HVY22</f>
        <v>0</v>
      </c>
      <c r="HVZ42" s="1046">
        <f>HVZ38+((HVZ40+'NF - 5 Power Mix'!HVZ14+'NF - 5 Power Mix'!HVZ15)*860/10)+((('Form Sa1'!HWC835)*860)/10)+('Form Sa1'!HWC814*'Form Sa1'!HWC816/10)-'NF - 5 Power Mix'!HVZ21-'NF - 5 Power Mix'!HVZ22</f>
        <v>0</v>
      </c>
      <c r="HWA42" s="1046">
        <f>HWA38+((HWA40+'NF - 5 Power Mix'!HWA14+'NF - 5 Power Mix'!HWA15)*860/10)+((('Form Sa1'!HWD835)*860)/10)+('Form Sa1'!HWD814*'Form Sa1'!HWD816/10)-'NF - 5 Power Mix'!HWA21-'NF - 5 Power Mix'!HWA22</f>
        <v>0</v>
      </c>
      <c r="HWB42" s="1046">
        <f>HWB38+((HWB40+'NF - 5 Power Mix'!HWB14+'NF - 5 Power Mix'!HWB15)*860/10)+((('Form Sa1'!HWE835)*860)/10)+('Form Sa1'!HWE814*'Form Sa1'!HWE816/10)-'NF - 5 Power Mix'!HWB21-'NF - 5 Power Mix'!HWB22</f>
        <v>0</v>
      </c>
      <c r="HWC42" s="1046">
        <f>HWC38+((HWC40+'NF - 5 Power Mix'!HWC14+'NF - 5 Power Mix'!HWC15)*860/10)+((('Form Sa1'!HWF835)*860)/10)+('Form Sa1'!HWF814*'Form Sa1'!HWF816/10)-'NF - 5 Power Mix'!HWC21-'NF - 5 Power Mix'!HWC22</f>
        <v>0</v>
      </c>
      <c r="HWD42" s="1046">
        <f>HWD38+((HWD40+'NF - 5 Power Mix'!HWD14+'NF - 5 Power Mix'!HWD15)*860/10)+((('Form Sa1'!HWG835)*860)/10)+('Form Sa1'!HWG814*'Form Sa1'!HWG816/10)-'NF - 5 Power Mix'!HWD21-'NF - 5 Power Mix'!HWD22</f>
        <v>0</v>
      </c>
      <c r="HWE42" s="1046">
        <f>HWE38+((HWE40+'NF - 5 Power Mix'!HWE14+'NF - 5 Power Mix'!HWE15)*860/10)+((('Form Sa1'!HWH835)*860)/10)+('Form Sa1'!HWH814*'Form Sa1'!HWH816/10)-'NF - 5 Power Mix'!HWE21-'NF - 5 Power Mix'!HWE22</f>
        <v>0</v>
      </c>
      <c r="HWF42" s="1046">
        <f>HWF38+((HWF40+'NF - 5 Power Mix'!HWF14+'NF - 5 Power Mix'!HWF15)*860/10)+((('Form Sa1'!HWI835)*860)/10)+('Form Sa1'!HWI814*'Form Sa1'!HWI816/10)-'NF - 5 Power Mix'!HWF21-'NF - 5 Power Mix'!HWF22</f>
        <v>0</v>
      </c>
      <c r="HWG42" s="1046">
        <f>HWG38+((HWG40+'NF - 5 Power Mix'!HWG14+'NF - 5 Power Mix'!HWG15)*860/10)+((('Form Sa1'!HWJ835)*860)/10)+('Form Sa1'!HWJ814*'Form Sa1'!HWJ816/10)-'NF - 5 Power Mix'!HWG21-'NF - 5 Power Mix'!HWG22</f>
        <v>0</v>
      </c>
      <c r="HWH42" s="1046">
        <f>HWH38+((HWH40+'NF - 5 Power Mix'!HWH14+'NF - 5 Power Mix'!HWH15)*860/10)+((('Form Sa1'!HWK835)*860)/10)+('Form Sa1'!HWK814*'Form Sa1'!HWK816/10)-'NF - 5 Power Mix'!HWH21-'NF - 5 Power Mix'!HWH22</f>
        <v>0</v>
      </c>
      <c r="HWI42" s="1046">
        <f>HWI38+((HWI40+'NF - 5 Power Mix'!HWI14+'NF - 5 Power Mix'!HWI15)*860/10)+((('Form Sa1'!HWL835)*860)/10)+('Form Sa1'!HWL814*'Form Sa1'!HWL816/10)-'NF - 5 Power Mix'!HWI21-'NF - 5 Power Mix'!HWI22</f>
        <v>0</v>
      </c>
      <c r="HWJ42" s="1046">
        <f>HWJ38+((HWJ40+'NF - 5 Power Mix'!HWJ14+'NF - 5 Power Mix'!HWJ15)*860/10)+((('Form Sa1'!HWM835)*860)/10)+('Form Sa1'!HWM814*'Form Sa1'!HWM816/10)-'NF - 5 Power Mix'!HWJ21-'NF - 5 Power Mix'!HWJ22</f>
        <v>0</v>
      </c>
      <c r="HWK42" s="1046">
        <f>HWK38+((HWK40+'NF - 5 Power Mix'!HWK14+'NF - 5 Power Mix'!HWK15)*860/10)+((('Form Sa1'!HWN835)*860)/10)+('Form Sa1'!HWN814*'Form Sa1'!HWN816/10)-'NF - 5 Power Mix'!HWK21-'NF - 5 Power Mix'!HWK22</f>
        <v>0</v>
      </c>
      <c r="HWL42" s="1046">
        <f>HWL38+((HWL40+'NF - 5 Power Mix'!HWL14+'NF - 5 Power Mix'!HWL15)*860/10)+((('Form Sa1'!HWO835)*860)/10)+('Form Sa1'!HWO814*'Form Sa1'!HWO816/10)-'NF - 5 Power Mix'!HWL21-'NF - 5 Power Mix'!HWL22</f>
        <v>0</v>
      </c>
      <c r="HWM42" s="1046">
        <f>HWM38+((HWM40+'NF - 5 Power Mix'!HWM14+'NF - 5 Power Mix'!HWM15)*860/10)+((('Form Sa1'!HWP835)*860)/10)+('Form Sa1'!HWP814*'Form Sa1'!HWP816/10)-'NF - 5 Power Mix'!HWM21-'NF - 5 Power Mix'!HWM22</f>
        <v>0</v>
      </c>
      <c r="HWN42" s="1046">
        <f>HWN38+((HWN40+'NF - 5 Power Mix'!HWN14+'NF - 5 Power Mix'!HWN15)*860/10)+((('Form Sa1'!HWQ835)*860)/10)+('Form Sa1'!HWQ814*'Form Sa1'!HWQ816/10)-'NF - 5 Power Mix'!HWN21-'NF - 5 Power Mix'!HWN22</f>
        <v>0</v>
      </c>
      <c r="HWO42" s="1046">
        <f>HWO38+((HWO40+'NF - 5 Power Mix'!HWO14+'NF - 5 Power Mix'!HWO15)*860/10)+((('Form Sa1'!HWR835)*860)/10)+('Form Sa1'!HWR814*'Form Sa1'!HWR816/10)-'NF - 5 Power Mix'!HWO21-'NF - 5 Power Mix'!HWO22</f>
        <v>0</v>
      </c>
      <c r="HWP42" s="1046">
        <f>HWP38+((HWP40+'NF - 5 Power Mix'!HWP14+'NF - 5 Power Mix'!HWP15)*860/10)+((('Form Sa1'!HWS835)*860)/10)+('Form Sa1'!HWS814*'Form Sa1'!HWS816/10)-'NF - 5 Power Mix'!HWP21-'NF - 5 Power Mix'!HWP22</f>
        <v>0</v>
      </c>
      <c r="HWQ42" s="1046">
        <f>HWQ38+((HWQ40+'NF - 5 Power Mix'!HWQ14+'NF - 5 Power Mix'!HWQ15)*860/10)+((('Form Sa1'!HWT835)*860)/10)+('Form Sa1'!HWT814*'Form Sa1'!HWT816/10)-'NF - 5 Power Mix'!HWQ21-'NF - 5 Power Mix'!HWQ22</f>
        <v>0</v>
      </c>
      <c r="HWR42" s="1046">
        <f>HWR38+((HWR40+'NF - 5 Power Mix'!HWR14+'NF - 5 Power Mix'!HWR15)*860/10)+((('Form Sa1'!HWU835)*860)/10)+('Form Sa1'!HWU814*'Form Sa1'!HWU816/10)-'NF - 5 Power Mix'!HWR21-'NF - 5 Power Mix'!HWR22</f>
        <v>0</v>
      </c>
      <c r="HWS42" s="1046">
        <f>HWS38+((HWS40+'NF - 5 Power Mix'!HWS14+'NF - 5 Power Mix'!HWS15)*860/10)+((('Form Sa1'!HWV835)*860)/10)+('Form Sa1'!HWV814*'Form Sa1'!HWV816/10)-'NF - 5 Power Mix'!HWS21-'NF - 5 Power Mix'!HWS22</f>
        <v>0</v>
      </c>
      <c r="HWT42" s="1046">
        <f>HWT38+((HWT40+'NF - 5 Power Mix'!HWT14+'NF - 5 Power Mix'!HWT15)*860/10)+((('Form Sa1'!HWW835)*860)/10)+('Form Sa1'!HWW814*'Form Sa1'!HWW816/10)-'NF - 5 Power Mix'!HWT21-'NF - 5 Power Mix'!HWT22</f>
        <v>0</v>
      </c>
      <c r="HWU42" s="1046">
        <f>HWU38+((HWU40+'NF - 5 Power Mix'!HWU14+'NF - 5 Power Mix'!HWU15)*860/10)+((('Form Sa1'!HWX835)*860)/10)+('Form Sa1'!HWX814*'Form Sa1'!HWX816/10)-'NF - 5 Power Mix'!HWU21-'NF - 5 Power Mix'!HWU22</f>
        <v>0</v>
      </c>
      <c r="HWV42" s="1046">
        <f>HWV38+((HWV40+'NF - 5 Power Mix'!HWV14+'NF - 5 Power Mix'!HWV15)*860/10)+((('Form Sa1'!HWY835)*860)/10)+('Form Sa1'!HWY814*'Form Sa1'!HWY816/10)-'NF - 5 Power Mix'!HWV21-'NF - 5 Power Mix'!HWV22</f>
        <v>0</v>
      </c>
      <c r="HWW42" s="1046">
        <f>HWW38+((HWW40+'NF - 5 Power Mix'!HWW14+'NF - 5 Power Mix'!HWW15)*860/10)+((('Form Sa1'!HWZ835)*860)/10)+('Form Sa1'!HWZ814*'Form Sa1'!HWZ816/10)-'NF - 5 Power Mix'!HWW21-'NF - 5 Power Mix'!HWW22</f>
        <v>0</v>
      </c>
      <c r="HWX42" s="1046">
        <f>HWX38+((HWX40+'NF - 5 Power Mix'!HWX14+'NF - 5 Power Mix'!HWX15)*860/10)+((('Form Sa1'!HXA835)*860)/10)+('Form Sa1'!HXA814*'Form Sa1'!HXA816/10)-'NF - 5 Power Mix'!HWX21-'NF - 5 Power Mix'!HWX22</f>
        <v>0</v>
      </c>
      <c r="HWY42" s="1046">
        <f>HWY38+((HWY40+'NF - 5 Power Mix'!HWY14+'NF - 5 Power Mix'!HWY15)*860/10)+((('Form Sa1'!HXB835)*860)/10)+('Form Sa1'!HXB814*'Form Sa1'!HXB816/10)-'NF - 5 Power Mix'!HWY21-'NF - 5 Power Mix'!HWY22</f>
        <v>0</v>
      </c>
      <c r="HWZ42" s="1046">
        <f>HWZ38+((HWZ40+'NF - 5 Power Mix'!HWZ14+'NF - 5 Power Mix'!HWZ15)*860/10)+((('Form Sa1'!HXC835)*860)/10)+('Form Sa1'!HXC814*'Form Sa1'!HXC816/10)-'NF - 5 Power Mix'!HWZ21-'NF - 5 Power Mix'!HWZ22</f>
        <v>0</v>
      </c>
      <c r="HXA42" s="1046">
        <f>HXA38+((HXA40+'NF - 5 Power Mix'!HXA14+'NF - 5 Power Mix'!HXA15)*860/10)+((('Form Sa1'!HXD835)*860)/10)+('Form Sa1'!HXD814*'Form Sa1'!HXD816/10)-'NF - 5 Power Mix'!HXA21-'NF - 5 Power Mix'!HXA22</f>
        <v>0</v>
      </c>
      <c r="HXB42" s="1046">
        <f>HXB38+((HXB40+'NF - 5 Power Mix'!HXB14+'NF - 5 Power Mix'!HXB15)*860/10)+((('Form Sa1'!HXE835)*860)/10)+('Form Sa1'!HXE814*'Form Sa1'!HXE816/10)-'NF - 5 Power Mix'!HXB21-'NF - 5 Power Mix'!HXB22</f>
        <v>0</v>
      </c>
      <c r="HXC42" s="1046">
        <f>HXC38+((HXC40+'NF - 5 Power Mix'!HXC14+'NF - 5 Power Mix'!HXC15)*860/10)+((('Form Sa1'!HXF835)*860)/10)+('Form Sa1'!HXF814*'Form Sa1'!HXF816/10)-'NF - 5 Power Mix'!HXC21-'NF - 5 Power Mix'!HXC22</f>
        <v>0</v>
      </c>
      <c r="HXD42" s="1046">
        <f>HXD38+((HXD40+'NF - 5 Power Mix'!HXD14+'NF - 5 Power Mix'!HXD15)*860/10)+((('Form Sa1'!HXG835)*860)/10)+('Form Sa1'!HXG814*'Form Sa1'!HXG816/10)-'NF - 5 Power Mix'!HXD21-'NF - 5 Power Mix'!HXD22</f>
        <v>0</v>
      </c>
      <c r="HXE42" s="1046">
        <f>HXE38+((HXE40+'NF - 5 Power Mix'!HXE14+'NF - 5 Power Mix'!HXE15)*860/10)+((('Form Sa1'!HXH835)*860)/10)+('Form Sa1'!HXH814*'Form Sa1'!HXH816/10)-'NF - 5 Power Mix'!HXE21-'NF - 5 Power Mix'!HXE22</f>
        <v>0</v>
      </c>
      <c r="HXF42" s="1046">
        <f>HXF38+((HXF40+'NF - 5 Power Mix'!HXF14+'NF - 5 Power Mix'!HXF15)*860/10)+((('Form Sa1'!HXI835)*860)/10)+('Form Sa1'!HXI814*'Form Sa1'!HXI816/10)-'NF - 5 Power Mix'!HXF21-'NF - 5 Power Mix'!HXF22</f>
        <v>0</v>
      </c>
      <c r="HXG42" s="1046">
        <f>HXG38+((HXG40+'NF - 5 Power Mix'!HXG14+'NF - 5 Power Mix'!HXG15)*860/10)+((('Form Sa1'!HXJ835)*860)/10)+('Form Sa1'!HXJ814*'Form Sa1'!HXJ816/10)-'NF - 5 Power Mix'!HXG21-'NF - 5 Power Mix'!HXG22</f>
        <v>0</v>
      </c>
      <c r="HXH42" s="1046">
        <f>HXH38+((HXH40+'NF - 5 Power Mix'!HXH14+'NF - 5 Power Mix'!HXH15)*860/10)+((('Form Sa1'!HXK835)*860)/10)+('Form Sa1'!HXK814*'Form Sa1'!HXK816/10)-'NF - 5 Power Mix'!HXH21-'NF - 5 Power Mix'!HXH22</f>
        <v>0</v>
      </c>
      <c r="HXI42" s="1046">
        <f>HXI38+((HXI40+'NF - 5 Power Mix'!HXI14+'NF - 5 Power Mix'!HXI15)*860/10)+((('Form Sa1'!HXL835)*860)/10)+('Form Sa1'!HXL814*'Form Sa1'!HXL816/10)-'NF - 5 Power Mix'!HXI21-'NF - 5 Power Mix'!HXI22</f>
        <v>0</v>
      </c>
      <c r="HXJ42" s="1046">
        <f>HXJ38+((HXJ40+'NF - 5 Power Mix'!HXJ14+'NF - 5 Power Mix'!HXJ15)*860/10)+((('Form Sa1'!HXM835)*860)/10)+('Form Sa1'!HXM814*'Form Sa1'!HXM816/10)-'NF - 5 Power Mix'!HXJ21-'NF - 5 Power Mix'!HXJ22</f>
        <v>0</v>
      </c>
      <c r="HXK42" s="1046">
        <f>HXK38+((HXK40+'NF - 5 Power Mix'!HXK14+'NF - 5 Power Mix'!HXK15)*860/10)+((('Form Sa1'!HXN835)*860)/10)+('Form Sa1'!HXN814*'Form Sa1'!HXN816/10)-'NF - 5 Power Mix'!HXK21-'NF - 5 Power Mix'!HXK22</f>
        <v>0</v>
      </c>
      <c r="HXL42" s="1046">
        <f>HXL38+((HXL40+'NF - 5 Power Mix'!HXL14+'NF - 5 Power Mix'!HXL15)*860/10)+((('Form Sa1'!HXO835)*860)/10)+('Form Sa1'!HXO814*'Form Sa1'!HXO816/10)-'NF - 5 Power Mix'!HXL21-'NF - 5 Power Mix'!HXL22</f>
        <v>0</v>
      </c>
      <c r="HXM42" s="1046">
        <f>HXM38+((HXM40+'NF - 5 Power Mix'!HXM14+'NF - 5 Power Mix'!HXM15)*860/10)+((('Form Sa1'!HXP835)*860)/10)+('Form Sa1'!HXP814*'Form Sa1'!HXP816/10)-'NF - 5 Power Mix'!HXM21-'NF - 5 Power Mix'!HXM22</f>
        <v>0</v>
      </c>
      <c r="HXN42" s="1046">
        <f>HXN38+((HXN40+'NF - 5 Power Mix'!HXN14+'NF - 5 Power Mix'!HXN15)*860/10)+((('Form Sa1'!HXQ835)*860)/10)+('Form Sa1'!HXQ814*'Form Sa1'!HXQ816/10)-'NF - 5 Power Mix'!HXN21-'NF - 5 Power Mix'!HXN22</f>
        <v>0</v>
      </c>
      <c r="HXO42" s="1046">
        <f>HXO38+((HXO40+'NF - 5 Power Mix'!HXO14+'NF - 5 Power Mix'!HXO15)*860/10)+((('Form Sa1'!HXR835)*860)/10)+('Form Sa1'!HXR814*'Form Sa1'!HXR816/10)-'NF - 5 Power Mix'!HXO21-'NF - 5 Power Mix'!HXO22</f>
        <v>0</v>
      </c>
      <c r="HXP42" s="1046">
        <f>HXP38+((HXP40+'NF - 5 Power Mix'!HXP14+'NF - 5 Power Mix'!HXP15)*860/10)+((('Form Sa1'!HXS835)*860)/10)+('Form Sa1'!HXS814*'Form Sa1'!HXS816/10)-'NF - 5 Power Mix'!HXP21-'NF - 5 Power Mix'!HXP22</f>
        <v>0</v>
      </c>
      <c r="HXQ42" s="1046">
        <f>HXQ38+((HXQ40+'NF - 5 Power Mix'!HXQ14+'NF - 5 Power Mix'!HXQ15)*860/10)+((('Form Sa1'!HXT835)*860)/10)+('Form Sa1'!HXT814*'Form Sa1'!HXT816/10)-'NF - 5 Power Mix'!HXQ21-'NF - 5 Power Mix'!HXQ22</f>
        <v>0</v>
      </c>
      <c r="HXR42" s="1046">
        <f>HXR38+((HXR40+'NF - 5 Power Mix'!HXR14+'NF - 5 Power Mix'!HXR15)*860/10)+((('Form Sa1'!HXU835)*860)/10)+('Form Sa1'!HXU814*'Form Sa1'!HXU816/10)-'NF - 5 Power Mix'!HXR21-'NF - 5 Power Mix'!HXR22</f>
        <v>0</v>
      </c>
      <c r="HXS42" s="1046">
        <f>HXS38+((HXS40+'NF - 5 Power Mix'!HXS14+'NF - 5 Power Mix'!HXS15)*860/10)+((('Form Sa1'!HXV835)*860)/10)+('Form Sa1'!HXV814*'Form Sa1'!HXV816/10)-'NF - 5 Power Mix'!HXS21-'NF - 5 Power Mix'!HXS22</f>
        <v>0</v>
      </c>
      <c r="HXT42" s="1046">
        <f>HXT38+((HXT40+'NF - 5 Power Mix'!HXT14+'NF - 5 Power Mix'!HXT15)*860/10)+((('Form Sa1'!HXW835)*860)/10)+('Form Sa1'!HXW814*'Form Sa1'!HXW816/10)-'NF - 5 Power Mix'!HXT21-'NF - 5 Power Mix'!HXT22</f>
        <v>0</v>
      </c>
      <c r="HXU42" s="1046">
        <f>HXU38+((HXU40+'NF - 5 Power Mix'!HXU14+'NF - 5 Power Mix'!HXU15)*860/10)+((('Form Sa1'!HXX835)*860)/10)+('Form Sa1'!HXX814*'Form Sa1'!HXX816/10)-'NF - 5 Power Mix'!HXU21-'NF - 5 Power Mix'!HXU22</f>
        <v>0</v>
      </c>
      <c r="HXV42" s="1046">
        <f>HXV38+((HXV40+'NF - 5 Power Mix'!HXV14+'NF - 5 Power Mix'!HXV15)*860/10)+((('Form Sa1'!HXY835)*860)/10)+('Form Sa1'!HXY814*'Form Sa1'!HXY816/10)-'NF - 5 Power Mix'!HXV21-'NF - 5 Power Mix'!HXV22</f>
        <v>0</v>
      </c>
      <c r="HXW42" s="1046">
        <f>HXW38+((HXW40+'NF - 5 Power Mix'!HXW14+'NF - 5 Power Mix'!HXW15)*860/10)+((('Form Sa1'!HXZ835)*860)/10)+('Form Sa1'!HXZ814*'Form Sa1'!HXZ816/10)-'NF - 5 Power Mix'!HXW21-'NF - 5 Power Mix'!HXW22</f>
        <v>0</v>
      </c>
      <c r="HXX42" s="1046">
        <f>HXX38+((HXX40+'NF - 5 Power Mix'!HXX14+'NF - 5 Power Mix'!HXX15)*860/10)+((('Form Sa1'!HYA835)*860)/10)+('Form Sa1'!HYA814*'Form Sa1'!HYA816/10)-'NF - 5 Power Mix'!HXX21-'NF - 5 Power Mix'!HXX22</f>
        <v>0</v>
      </c>
      <c r="HXY42" s="1046">
        <f>HXY38+((HXY40+'NF - 5 Power Mix'!HXY14+'NF - 5 Power Mix'!HXY15)*860/10)+((('Form Sa1'!HYB835)*860)/10)+('Form Sa1'!HYB814*'Form Sa1'!HYB816/10)-'NF - 5 Power Mix'!HXY21-'NF - 5 Power Mix'!HXY22</f>
        <v>0</v>
      </c>
      <c r="HXZ42" s="1046">
        <f>HXZ38+((HXZ40+'NF - 5 Power Mix'!HXZ14+'NF - 5 Power Mix'!HXZ15)*860/10)+((('Form Sa1'!HYC835)*860)/10)+('Form Sa1'!HYC814*'Form Sa1'!HYC816/10)-'NF - 5 Power Mix'!HXZ21-'NF - 5 Power Mix'!HXZ22</f>
        <v>0</v>
      </c>
      <c r="HYA42" s="1046">
        <f>HYA38+((HYA40+'NF - 5 Power Mix'!HYA14+'NF - 5 Power Mix'!HYA15)*860/10)+((('Form Sa1'!HYD835)*860)/10)+('Form Sa1'!HYD814*'Form Sa1'!HYD816/10)-'NF - 5 Power Mix'!HYA21-'NF - 5 Power Mix'!HYA22</f>
        <v>0</v>
      </c>
      <c r="HYB42" s="1046">
        <f>HYB38+((HYB40+'NF - 5 Power Mix'!HYB14+'NF - 5 Power Mix'!HYB15)*860/10)+((('Form Sa1'!HYE835)*860)/10)+('Form Sa1'!HYE814*'Form Sa1'!HYE816/10)-'NF - 5 Power Mix'!HYB21-'NF - 5 Power Mix'!HYB22</f>
        <v>0</v>
      </c>
      <c r="HYC42" s="1046">
        <f>HYC38+((HYC40+'NF - 5 Power Mix'!HYC14+'NF - 5 Power Mix'!HYC15)*860/10)+((('Form Sa1'!HYF835)*860)/10)+('Form Sa1'!HYF814*'Form Sa1'!HYF816/10)-'NF - 5 Power Mix'!HYC21-'NF - 5 Power Mix'!HYC22</f>
        <v>0</v>
      </c>
      <c r="HYD42" s="1046">
        <f>HYD38+((HYD40+'NF - 5 Power Mix'!HYD14+'NF - 5 Power Mix'!HYD15)*860/10)+((('Form Sa1'!HYG835)*860)/10)+('Form Sa1'!HYG814*'Form Sa1'!HYG816/10)-'NF - 5 Power Mix'!HYD21-'NF - 5 Power Mix'!HYD22</f>
        <v>0</v>
      </c>
      <c r="HYE42" s="1046">
        <f>HYE38+((HYE40+'NF - 5 Power Mix'!HYE14+'NF - 5 Power Mix'!HYE15)*860/10)+((('Form Sa1'!HYH835)*860)/10)+('Form Sa1'!HYH814*'Form Sa1'!HYH816/10)-'NF - 5 Power Mix'!HYE21-'NF - 5 Power Mix'!HYE22</f>
        <v>0</v>
      </c>
      <c r="HYF42" s="1046">
        <f>HYF38+((HYF40+'NF - 5 Power Mix'!HYF14+'NF - 5 Power Mix'!HYF15)*860/10)+((('Form Sa1'!HYI835)*860)/10)+('Form Sa1'!HYI814*'Form Sa1'!HYI816/10)-'NF - 5 Power Mix'!HYF21-'NF - 5 Power Mix'!HYF22</f>
        <v>0</v>
      </c>
      <c r="HYG42" s="1046">
        <f>HYG38+((HYG40+'NF - 5 Power Mix'!HYG14+'NF - 5 Power Mix'!HYG15)*860/10)+((('Form Sa1'!HYJ835)*860)/10)+('Form Sa1'!HYJ814*'Form Sa1'!HYJ816/10)-'NF - 5 Power Mix'!HYG21-'NF - 5 Power Mix'!HYG22</f>
        <v>0</v>
      </c>
      <c r="HYH42" s="1046">
        <f>HYH38+((HYH40+'NF - 5 Power Mix'!HYH14+'NF - 5 Power Mix'!HYH15)*860/10)+((('Form Sa1'!HYK835)*860)/10)+('Form Sa1'!HYK814*'Form Sa1'!HYK816/10)-'NF - 5 Power Mix'!HYH21-'NF - 5 Power Mix'!HYH22</f>
        <v>0</v>
      </c>
      <c r="HYI42" s="1046">
        <f>HYI38+((HYI40+'NF - 5 Power Mix'!HYI14+'NF - 5 Power Mix'!HYI15)*860/10)+((('Form Sa1'!HYL835)*860)/10)+('Form Sa1'!HYL814*'Form Sa1'!HYL816/10)-'NF - 5 Power Mix'!HYI21-'NF - 5 Power Mix'!HYI22</f>
        <v>0</v>
      </c>
      <c r="HYJ42" s="1046">
        <f>HYJ38+((HYJ40+'NF - 5 Power Mix'!HYJ14+'NF - 5 Power Mix'!HYJ15)*860/10)+((('Form Sa1'!HYM835)*860)/10)+('Form Sa1'!HYM814*'Form Sa1'!HYM816/10)-'NF - 5 Power Mix'!HYJ21-'NF - 5 Power Mix'!HYJ22</f>
        <v>0</v>
      </c>
      <c r="HYK42" s="1046">
        <f>HYK38+((HYK40+'NF - 5 Power Mix'!HYK14+'NF - 5 Power Mix'!HYK15)*860/10)+((('Form Sa1'!HYN835)*860)/10)+('Form Sa1'!HYN814*'Form Sa1'!HYN816/10)-'NF - 5 Power Mix'!HYK21-'NF - 5 Power Mix'!HYK22</f>
        <v>0</v>
      </c>
      <c r="HYL42" s="1046">
        <f>HYL38+((HYL40+'NF - 5 Power Mix'!HYL14+'NF - 5 Power Mix'!HYL15)*860/10)+((('Form Sa1'!HYO835)*860)/10)+('Form Sa1'!HYO814*'Form Sa1'!HYO816/10)-'NF - 5 Power Mix'!HYL21-'NF - 5 Power Mix'!HYL22</f>
        <v>0</v>
      </c>
      <c r="HYM42" s="1046">
        <f>HYM38+((HYM40+'NF - 5 Power Mix'!HYM14+'NF - 5 Power Mix'!HYM15)*860/10)+((('Form Sa1'!HYP835)*860)/10)+('Form Sa1'!HYP814*'Form Sa1'!HYP816/10)-'NF - 5 Power Mix'!HYM21-'NF - 5 Power Mix'!HYM22</f>
        <v>0</v>
      </c>
      <c r="HYN42" s="1046">
        <f>HYN38+((HYN40+'NF - 5 Power Mix'!HYN14+'NF - 5 Power Mix'!HYN15)*860/10)+((('Form Sa1'!HYQ835)*860)/10)+('Form Sa1'!HYQ814*'Form Sa1'!HYQ816/10)-'NF - 5 Power Mix'!HYN21-'NF - 5 Power Mix'!HYN22</f>
        <v>0</v>
      </c>
      <c r="HYO42" s="1046">
        <f>HYO38+((HYO40+'NF - 5 Power Mix'!HYO14+'NF - 5 Power Mix'!HYO15)*860/10)+((('Form Sa1'!HYR835)*860)/10)+('Form Sa1'!HYR814*'Form Sa1'!HYR816/10)-'NF - 5 Power Mix'!HYO21-'NF - 5 Power Mix'!HYO22</f>
        <v>0</v>
      </c>
      <c r="HYP42" s="1046">
        <f>HYP38+((HYP40+'NF - 5 Power Mix'!HYP14+'NF - 5 Power Mix'!HYP15)*860/10)+((('Form Sa1'!HYS835)*860)/10)+('Form Sa1'!HYS814*'Form Sa1'!HYS816/10)-'NF - 5 Power Mix'!HYP21-'NF - 5 Power Mix'!HYP22</f>
        <v>0</v>
      </c>
      <c r="HYQ42" s="1046">
        <f>HYQ38+((HYQ40+'NF - 5 Power Mix'!HYQ14+'NF - 5 Power Mix'!HYQ15)*860/10)+((('Form Sa1'!HYT835)*860)/10)+('Form Sa1'!HYT814*'Form Sa1'!HYT816/10)-'NF - 5 Power Mix'!HYQ21-'NF - 5 Power Mix'!HYQ22</f>
        <v>0</v>
      </c>
      <c r="HYR42" s="1046">
        <f>HYR38+((HYR40+'NF - 5 Power Mix'!HYR14+'NF - 5 Power Mix'!HYR15)*860/10)+((('Form Sa1'!HYU835)*860)/10)+('Form Sa1'!HYU814*'Form Sa1'!HYU816/10)-'NF - 5 Power Mix'!HYR21-'NF - 5 Power Mix'!HYR22</f>
        <v>0</v>
      </c>
      <c r="HYS42" s="1046">
        <f>HYS38+((HYS40+'NF - 5 Power Mix'!HYS14+'NF - 5 Power Mix'!HYS15)*860/10)+((('Form Sa1'!HYV835)*860)/10)+('Form Sa1'!HYV814*'Form Sa1'!HYV816/10)-'NF - 5 Power Mix'!HYS21-'NF - 5 Power Mix'!HYS22</f>
        <v>0</v>
      </c>
      <c r="HYT42" s="1046">
        <f>HYT38+((HYT40+'NF - 5 Power Mix'!HYT14+'NF - 5 Power Mix'!HYT15)*860/10)+((('Form Sa1'!HYW835)*860)/10)+('Form Sa1'!HYW814*'Form Sa1'!HYW816/10)-'NF - 5 Power Mix'!HYT21-'NF - 5 Power Mix'!HYT22</f>
        <v>0</v>
      </c>
      <c r="HYU42" s="1046">
        <f>HYU38+((HYU40+'NF - 5 Power Mix'!HYU14+'NF - 5 Power Mix'!HYU15)*860/10)+((('Form Sa1'!HYX835)*860)/10)+('Form Sa1'!HYX814*'Form Sa1'!HYX816/10)-'NF - 5 Power Mix'!HYU21-'NF - 5 Power Mix'!HYU22</f>
        <v>0</v>
      </c>
      <c r="HYV42" s="1046">
        <f>HYV38+((HYV40+'NF - 5 Power Mix'!HYV14+'NF - 5 Power Mix'!HYV15)*860/10)+((('Form Sa1'!HYY835)*860)/10)+('Form Sa1'!HYY814*'Form Sa1'!HYY816/10)-'NF - 5 Power Mix'!HYV21-'NF - 5 Power Mix'!HYV22</f>
        <v>0</v>
      </c>
      <c r="HYW42" s="1046">
        <f>HYW38+((HYW40+'NF - 5 Power Mix'!HYW14+'NF - 5 Power Mix'!HYW15)*860/10)+((('Form Sa1'!HYZ835)*860)/10)+('Form Sa1'!HYZ814*'Form Sa1'!HYZ816/10)-'NF - 5 Power Mix'!HYW21-'NF - 5 Power Mix'!HYW22</f>
        <v>0</v>
      </c>
      <c r="HYX42" s="1046">
        <f>HYX38+((HYX40+'NF - 5 Power Mix'!HYX14+'NF - 5 Power Mix'!HYX15)*860/10)+((('Form Sa1'!HZA835)*860)/10)+('Form Sa1'!HZA814*'Form Sa1'!HZA816/10)-'NF - 5 Power Mix'!HYX21-'NF - 5 Power Mix'!HYX22</f>
        <v>0</v>
      </c>
      <c r="HYY42" s="1046">
        <f>HYY38+((HYY40+'NF - 5 Power Mix'!HYY14+'NF - 5 Power Mix'!HYY15)*860/10)+((('Form Sa1'!HZB835)*860)/10)+('Form Sa1'!HZB814*'Form Sa1'!HZB816/10)-'NF - 5 Power Mix'!HYY21-'NF - 5 Power Mix'!HYY22</f>
        <v>0</v>
      </c>
      <c r="HYZ42" s="1046">
        <f>HYZ38+((HYZ40+'NF - 5 Power Mix'!HYZ14+'NF - 5 Power Mix'!HYZ15)*860/10)+((('Form Sa1'!HZC835)*860)/10)+('Form Sa1'!HZC814*'Form Sa1'!HZC816/10)-'NF - 5 Power Mix'!HYZ21-'NF - 5 Power Mix'!HYZ22</f>
        <v>0</v>
      </c>
      <c r="HZA42" s="1046">
        <f>HZA38+((HZA40+'NF - 5 Power Mix'!HZA14+'NF - 5 Power Mix'!HZA15)*860/10)+((('Form Sa1'!HZD835)*860)/10)+('Form Sa1'!HZD814*'Form Sa1'!HZD816/10)-'NF - 5 Power Mix'!HZA21-'NF - 5 Power Mix'!HZA22</f>
        <v>0</v>
      </c>
      <c r="HZB42" s="1046">
        <f>HZB38+((HZB40+'NF - 5 Power Mix'!HZB14+'NF - 5 Power Mix'!HZB15)*860/10)+((('Form Sa1'!HZE835)*860)/10)+('Form Sa1'!HZE814*'Form Sa1'!HZE816/10)-'NF - 5 Power Mix'!HZB21-'NF - 5 Power Mix'!HZB22</f>
        <v>0</v>
      </c>
      <c r="HZC42" s="1046">
        <f>HZC38+((HZC40+'NF - 5 Power Mix'!HZC14+'NF - 5 Power Mix'!HZC15)*860/10)+((('Form Sa1'!HZF835)*860)/10)+('Form Sa1'!HZF814*'Form Sa1'!HZF816/10)-'NF - 5 Power Mix'!HZC21-'NF - 5 Power Mix'!HZC22</f>
        <v>0</v>
      </c>
      <c r="HZD42" s="1046">
        <f>HZD38+((HZD40+'NF - 5 Power Mix'!HZD14+'NF - 5 Power Mix'!HZD15)*860/10)+((('Form Sa1'!HZG835)*860)/10)+('Form Sa1'!HZG814*'Form Sa1'!HZG816/10)-'NF - 5 Power Mix'!HZD21-'NF - 5 Power Mix'!HZD22</f>
        <v>0</v>
      </c>
      <c r="HZE42" s="1046">
        <f>HZE38+((HZE40+'NF - 5 Power Mix'!HZE14+'NF - 5 Power Mix'!HZE15)*860/10)+((('Form Sa1'!HZH835)*860)/10)+('Form Sa1'!HZH814*'Form Sa1'!HZH816/10)-'NF - 5 Power Mix'!HZE21-'NF - 5 Power Mix'!HZE22</f>
        <v>0</v>
      </c>
      <c r="HZF42" s="1046">
        <f>HZF38+((HZF40+'NF - 5 Power Mix'!HZF14+'NF - 5 Power Mix'!HZF15)*860/10)+((('Form Sa1'!HZI835)*860)/10)+('Form Sa1'!HZI814*'Form Sa1'!HZI816/10)-'NF - 5 Power Mix'!HZF21-'NF - 5 Power Mix'!HZF22</f>
        <v>0</v>
      </c>
      <c r="HZG42" s="1046">
        <f>HZG38+((HZG40+'NF - 5 Power Mix'!HZG14+'NF - 5 Power Mix'!HZG15)*860/10)+((('Form Sa1'!HZJ835)*860)/10)+('Form Sa1'!HZJ814*'Form Sa1'!HZJ816/10)-'NF - 5 Power Mix'!HZG21-'NF - 5 Power Mix'!HZG22</f>
        <v>0</v>
      </c>
      <c r="HZH42" s="1046">
        <f>HZH38+((HZH40+'NF - 5 Power Mix'!HZH14+'NF - 5 Power Mix'!HZH15)*860/10)+((('Form Sa1'!HZK835)*860)/10)+('Form Sa1'!HZK814*'Form Sa1'!HZK816/10)-'NF - 5 Power Mix'!HZH21-'NF - 5 Power Mix'!HZH22</f>
        <v>0</v>
      </c>
      <c r="HZI42" s="1046">
        <f>HZI38+((HZI40+'NF - 5 Power Mix'!HZI14+'NF - 5 Power Mix'!HZI15)*860/10)+((('Form Sa1'!HZL835)*860)/10)+('Form Sa1'!HZL814*'Form Sa1'!HZL816/10)-'NF - 5 Power Mix'!HZI21-'NF - 5 Power Mix'!HZI22</f>
        <v>0</v>
      </c>
      <c r="HZJ42" s="1046">
        <f>HZJ38+((HZJ40+'NF - 5 Power Mix'!HZJ14+'NF - 5 Power Mix'!HZJ15)*860/10)+((('Form Sa1'!HZM835)*860)/10)+('Form Sa1'!HZM814*'Form Sa1'!HZM816/10)-'NF - 5 Power Mix'!HZJ21-'NF - 5 Power Mix'!HZJ22</f>
        <v>0</v>
      </c>
      <c r="HZK42" s="1046">
        <f>HZK38+((HZK40+'NF - 5 Power Mix'!HZK14+'NF - 5 Power Mix'!HZK15)*860/10)+((('Form Sa1'!HZN835)*860)/10)+('Form Sa1'!HZN814*'Form Sa1'!HZN816/10)-'NF - 5 Power Mix'!HZK21-'NF - 5 Power Mix'!HZK22</f>
        <v>0</v>
      </c>
      <c r="HZL42" s="1046">
        <f>HZL38+((HZL40+'NF - 5 Power Mix'!HZL14+'NF - 5 Power Mix'!HZL15)*860/10)+((('Form Sa1'!HZO835)*860)/10)+('Form Sa1'!HZO814*'Form Sa1'!HZO816/10)-'NF - 5 Power Mix'!HZL21-'NF - 5 Power Mix'!HZL22</f>
        <v>0</v>
      </c>
      <c r="HZM42" s="1046">
        <f>HZM38+((HZM40+'NF - 5 Power Mix'!HZM14+'NF - 5 Power Mix'!HZM15)*860/10)+((('Form Sa1'!HZP835)*860)/10)+('Form Sa1'!HZP814*'Form Sa1'!HZP816/10)-'NF - 5 Power Mix'!HZM21-'NF - 5 Power Mix'!HZM22</f>
        <v>0</v>
      </c>
      <c r="HZN42" s="1046">
        <f>HZN38+((HZN40+'NF - 5 Power Mix'!HZN14+'NF - 5 Power Mix'!HZN15)*860/10)+((('Form Sa1'!HZQ835)*860)/10)+('Form Sa1'!HZQ814*'Form Sa1'!HZQ816/10)-'NF - 5 Power Mix'!HZN21-'NF - 5 Power Mix'!HZN22</f>
        <v>0</v>
      </c>
      <c r="HZO42" s="1046">
        <f>HZO38+((HZO40+'NF - 5 Power Mix'!HZO14+'NF - 5 Power Mix'!HZO15)*860/10)+((('Form Sa1'!HZR835)*860)/10)+('Form Sa1'!HZR814*'Form Sa1'!HZR816/10)-'NF - 5 Power Mix'!HZO21-'NF - 5 Power Mix'!HZO22</f>
        <v>0</v>
      </c>
      <c r="HZP42" s="1046">
        <f>HZP38+((HZP40+'NF - 5 Power Mix'!HZP14+'NF - 5 Power Mix'!HZP15)*860/10)+((('Form Sa1'!HZS835)*860)/10)+('Form Sa1'!HZS814*'Form Sa1'!HZS816/10)-'NF - 5 Power Mix'!HZP21-'NF - 5 Power Mix'!HZP22</f>
        <v>0</v>
      </c>
      <c r="HZQ42" s="1046">
        <f>HZQ38+((HZQ40+'NF - 5 Power Mix'!HZQ14+'NF - 5 Power Mix'!HZQ15)*860/10)+((('Form Sa1'!HZT835)*860)/10)+('Form Sa1'!HZT814*'Form Sa1'!HZT816/10)-'NF - 5 Power Mix'!HZQ21-'NF - 5 Power Mix'!HZQ22</f>
        <v>0</v>
      </c>
      <c r="HZR42" s="1046">
        <f>HZR38+((HZR40+'NF - 5 Power Mix'!HZR14+'NF - 5 Power Mix'!HZR15)*860/10)+((('Form Sa1'!HZU835)*860)/10)+('Form Sa1'!HZU814*'Form Sa1'!HZU816/10)-'NF - 5 Power Mix'!HZR21-'NF - 5 Power Mix'!HZR22</f>
        <v>0</v>
      </c>
      <c r="HZS42" s="1046">
        <f>HZS38+((HZS40+'NF - 5 Power Mix'!HZS14+'NF - 5 Power Mix'!HZS15)*860/10)+((('Form Sa1'!HZV835)*860)/10)+('Form Sa1'!HZV814*'Form Sa1'!HZV816/10)-'NF - 5 Power Mix'!HZS21-'NF - 5 Power Mix'!HZS22</f>
        <v>0</v>
      </c>
      <c r="HZT42" s="1046">
        <f>HZT38+((HZT40+'NF - 5 Power Mix'!HZT14+'NF - 5 Power Mix'!HZT15)*860/10)+((('Form Sa1'!HZW835)*860)/10)+('Form Sa1'!HZW814*'Form Sa1'!HZW816/10)-'NF - 5 Power Mix'!HZT21-'NF - 5 Power Mix'!HZT22</f>
        <v>0</v>
      </c>
      <c r="HZU42" s="1046">
        <f>HZU38+((HZU40+'NF - 5 Power Mix'!HZU14+'NF - 5 Power Mix'!HZU15)*860/10)+((('Form Sa1'!HZX835)*860)/10)+('Form Sa1'!HZX814*'Form Sa1'!HZX816/10)-'NF - 5 Power Mix'!HZU21-'NF - 5 Power Mix'!HZU22</f>
        <v>0</v>
      </c>
      <c r="HZV42" s="1046">
        <f>HZV38+((HZV40+'NF - 5 Power Mix'!HZV14+'NF - 5 Power Mix'!HZV15)*860/10)+((('Form Sa1'!HZY835)*860)/10)+('Form Sa1'!HZY814*'Form Sa1'!HZY816/10)-'NF - 5 Power Mix'!HZV21-'NF - 5 Power Mix'!HZV22</f>
        <v>0</v>
      </c>
      <c r="HZW42" s="1046">
        <f>HZW38+((HZW40+'NF - 5 Power Mix'!HZW14+'NF - 5 Power Mix'!HZW15)*860/10)+((('Form Sa1'!HZZ835)*860)/10)+('Form Sa1'!HZZ814*'Form Sa1'!HZZ816/10)-'NF - 5 Power Mix'!HZW21-'NF - 5 Power Mix'!HZW22</f>
        <v>0</v>
      </c>
      <c r="HZX42" s="1046">
        <f>HZX38+((HZX40+'NF - 5 Power Mix'!HZX14+'NF - 5 Power Mix'!HZX15)*860/10)+((('Form Sa1'!IAA835)*860)/10)+('Form Sa1'!IAA814*'Form Sa1'!IAA816/10)-'NF - 5 Power Mix'!HZX21-'NF - 5 Power Mix'!HZX22</f>
        <v>0</v>
      </c>
      <c r="HZY42" s="1046">
        <f>HZY38+((HZY40+'NF - 5 Power Mix'!HZY14+'NF - 5 Power Mix'!HZY15)*860/10)+((('Form Sa1'!IAB835)*860)/10)+('Form Sa1'!IAB814*'Form Sa1'!IAB816/10)-'NF - 5 Power Mix'!HZY21-'NF - 5 Power Mix'!HZY22</f>
        <v>0</v>
      </c>
      <c r="HZZ42" s="1046">
        <f>HZZ38+((HZZ40+'NF - 5 Power Mix'!HZZ14+'NF - 5 Power Mix'!HZZ15)*860/10)+((('Form Sa1'!IAC835)*860)/10)+('Form Sa1'!IAC814*'Form Sa1'!IAC816/10)-'NF - 5 Power Mix'!HZZ21-'NF - 5 Power Mix'!HZZ22</f>
        <v>0</v>
      </c>
      <c r="IAA42" s="1046">
        <f>IAA38+((IAA40+'NF - 5 Power Mix'!IAA14+'NF - 5 Power Mix'!IAA15)*860/10)+((('Form Sa1'!IAD835)*860)/10)+('Form Sa1'!IAD814*'Form Sa1'!IAD816/10)-'NF - 5 Power Mix'!IAA21-'NF - 5 Power Mix'!IAA22</f>
        <v>0</v>
      </c>
      <c r="IAB42" s="1046">
        <f>IAB38+((IAB40+'NF - 5 Power Mix'!IAB14+'NF - 5 Power Mix'!IAB15)*860/10)+((('Form Sa1'!IAE835)*860)/10)+('Form Sa1'!IAE814*'Form Sa1'!IAE816/10)-'NF - 5 Power Mix'!IAB21-'NF - 5 Power Mix'!IAB22</f>
        <v>0</v>
      </c>
      <c r="IAC42" s="1046">
        <f>IAC38+((IAC40+'NF - 5 Power Mix'!IAC14+'NF - 5 Power Mix'!IAC15)*860/10)+((('Form Sa1'!IAF835)*860)/10)+('Form Sa1'!IAF814*'Form Sa1'!IAF816/10)-'NF - 5 Power Mix'!IAC21-'NF - 5 Power Mix'!IAC22</f>
        <v>0</v>
      </c>
      <c r="IAD42" s="1046">
        <f>IAD38+((IAD40+'NF - 5 Power Mix'!IAD14+'NF - 5 Power Mix'!IAD15)*860/10)+((('Form Sa1'!IAG835)*860)/10)+('Form Sa1'!IAG814*'Form Sa1'!IAG816/10)-'NF - 5 Power Mix'!IAD21-'NF - 5 Power Mix'!IAD22</f>
        <v>0</v>
      </c>
      <c r="IAE42" s="1046">
        <f>IAE38+((IAE40+'NF - 5 Power Mix'!IAE14+'NF - 5 Power Mix'!IAE15)*860/10)+((('Form Sa1'!IAH835)*860)/10)+('Form Sa1'!IAH814*'Form Sa1'!IAH816/10)-'NF - 5 Power Mix'!IAE21-'NF - 5 Power Mix'!IAE22</f>
        <v>0</v>
      </c>
      <c r="IAF42" s="1046">
        <f>IAF38+((IAF40+'NF - 5 Power Mix'!IAF14+'NF - 5 Power Mix'!IAF15)*860/10)+((('Form Sa1'!IAI835)*860)/10)+('Form Sa1'!IAI814*'Form Sa1'!IAI816/10)-'NF - 5 Power Mix'!IAF21-'NF - 5 Power Mix'!IAF22</f>
        <v>0</v>
      </c>
      <c r="IAG42" s="1046">
        <f>IAG38+((IAG40+'NF - 5 Power Mix'!IAG14+'NF - 5 Power Mix'!IAG15)*860/10)+((('Form Sa1'!IAJ835)*860)/10)+('Form Sa1'!IAJ814*'Form Sa1'!IAJ816/10)-'NF - 5 Power Mix'!IAG21-'NF - 5 Power Mix'!IAG22</f>
        <v>0</v>
      </c>
      <c r="IAH42" s="1046">
        <f>IAH38+((IAH40+'NF - 5 Power Mix'!IAH14+'NF - 5 Power Mix'!IAH15)*860/10)+((('Form Sa1'!IAK835)*860)/10)+('Form Sa1'!IAK814*'Form Sa1'!IAK816/10)-'NF - 5 Power Mix'!IAH21-'NF - 5 Power Mix'!IAH22</f>
        <v>0</v>
      </c>
      <c r="IAI42" s="1046">
        <f>IAI38+((IAI40+'NF - 5 Power Mix'!IAI14+'NF - 5 Power Mix'!IAI15)*860/10)+((('Form Sa1'!IAL835)*860)/10)+('Form Sa1'!IAL814*'Form Sa1'!IAL816/10)-'NF - 5 Power Mix'!IAI21-'NF - 5 Power Mix'!IAI22</f>
        <v>0</v>
      </c>
      <c r="IAJ42" s="1046">
        <f>IAJ38+((IAJ40+'NF - 5 Power Mix'!IAJ14+'NF - 5 Power Mix'!IAJ15)*860/10)+((('Form Sa1'!IAM835)*860)/10)+('Form Sa1'!IAM814*'Form Sa1'!IAM816/10)-'NF - 5 Power Mix'!IAJ21-'NF - 5 Power Mix'!IAJ22</f>
        <v>0</v>
      </c>
      <c r="IAK42" s="1046">
        <f>IAK38+((IAK40+'NF - 5 Power Mix'!IAK14+'NF - 5 Power Mix'!IAK15)*860/10)+((('Form Sa1'!IAN835)*860)/10)+('Form Sa1'!IAN814*'Form Sa1'!IAN816/10)-'NF - 5 Power Mix'!IAK21-'NF - 5 Power Mix'!IAK22</f>
        <v>0</v>
      </c>
      <c r="IAL42" s="1046">
        <f>IAL38+((IAL40+'NF - 5 Power Mix'!IAL14+'NF - 5 Power Mix'!IAL15)*860/10)+((('Form Sa1'!IAO835)*860)/10)+('Form Sa1'!IAO814*'Form Sa1'!IAO816/10)-'NF - 5 Power Mix'!IAL21-'NF - 5 Power Mix'!IAL22</f>
        <v>0</v>
      </c>
      <c r="IAM42" s="1046">
        <f>IAM38+((IAM40+'NF - 5 Power Mix'!IAM14+'NF - 5 Power Mix'!IAM15)*860/10)+((('Form Sa1'!IAP835)*860)/10)+('Form Sa1'!IAP814*'Form Sa1'!IAP816/10)-'NF - 5 Power Mix'!IAM21-'NF - 5 Power Mix'!IAM22</f>
        <v>0</v>
      </c>
      <c r="IAN42" s="1046">
        <f>IAN38+((IAN40+'NF - 5 Power Mix'!IAN14+'NF - 5 Power Mix'!IAN15)*860/10)+((('Form Sa1'!IAQ835)*860)/10)+('Form Sa1'!IAQ814*'Form Sa1'!IAQ816/10)-'NF - 5 Power Mix'!IAN21-'NF - 5 Power Mix'!IAN22</f>
        <v>0</v>
      </c>
      <c r="IAO42" s="1046">
        <f>IAO38+((IAO40+'NF - 5 Power Mix'!IAO14+'NF - 5 Power Mix'!IAO15)*860/10)+((('Form Sa1'!IAR835)*860)/10)+('Form Sa1'!IAR814*'Form Sa1'!IAR816/10)-'NF - 5 Power Mix'!IAO21-'NF - 5 Power Mix'!IAO22</f>
        <v>0</v>
      </c>
      <c r="IAP42" s="1046">
        <f>IAP38+((IAP40+'NF - 5 Power Mix'!IAP14+'NF - 5 Power Mix'!IAP15)*860/10)+((('Form Sa1'!IAS835)*860)/10)+('Form Sa1'!IAS814*'Form Sa1'!IAS816/10)-'NF - 5 Power Mix'!IAP21-'NF - 5 Power Mix'!IAP22</f>
        <v>0</v>
      </c>
      <c r="IAQ42" s="1046">
        <f>IAQ38+((IAQ40+'NF - 5 Power Mix'!IAQ14+'NF - 5 Power Mix'!IAQ15)*860/10)+((('Form Sa1'!IAT835)*860)/10)+('Form Sa1'!IAT814*'Form Sa1'!IAT816/10)-'NF - 5 Power Mix'!IAQ21-'NF - 5 Power Mix'!IAQ22</f>
        <v>0</v>
      </c>
      <c r="IAR42" s="1046">
        <f>IAR38+((IAR40+'NF - 5 Power Mix'!IAR14+'NF - 5 Power Mix'!IAR15)*860/10)+((('Form Sa1'!IAU835)*860)/10)+('Form Sa1'!IAU814*'Form Sa1'!IAU816/10)-'NF - 5 Power Mix'!IAR21-'NF - 5 Power Mix'!IAR22</f>
        <v>0</v>
      </c>
      <c r="IAS42" s="1046">
        <f>IAS38+((IAS40+'NF - 5 Power Mix'!IAS14+'NF - 5 Power Mix'!IAS15)*860/10)+((('Form Sa1'!IAV835)*860)/10)+('Form Sa1'!IAV814*'Form Sa1'!IAV816/10)-'NF - 5 Power Mix'!IAS21-'NF - 5 Power Mix'!IAS22</f>
        <v>0</v>
      </c>
      <c r="IAT42" s="1046">
        <f>IAT38+((IAT40+'NF - 5 Power Mix'!IAT14+'NF - 5 Power Mix'!IAT15)*860/10)+((('Form Sa1'!IAW835)*860)/10)+('Form Sa1'!IAW814*'Form Sa1'!IAW816/10)-'NF - 5 Power Mix'!IAT21-'NF - 5 Power Mix'!IAT22</f>
        <v>0</v>
      </c>
      <c r="IAU42" s="1046">
        <f>IAU38+((IAU40+'NF - 5 Power Mix'!IAU14+'NF - 5 Power Mix'!IAU15)*860/10)+((('Form Sa1'!IAX835)*860)/10)+('Form Sa1'!IAX814*'Form Sa1'!IAX816/10)-'NF - 5 Power Mix'!IAU21-'NF - 5 Power Mix'!IAU22</f>
        <v>0</v>
      </c>
      <c r="IAV42" s="1046">
        <f>IAV38+((IAV40+'NF - 5 Power Mix'!IAV14+'NF - 5 Power Mix'!IAV15)*860/10)+((('Form Sa1'!IAY835)*860)/10)+('Form Sa1'!IAY814*'Form Sa1'!IAY816/10)-'NF - 5 Power Mix'!IAV21-'NF - 5 Power Mix'!IAV22</f>
        <v>0</v>
      </c>
      <c r="IAW42" s="1046">
        <f>IAW38+((IAW40+'NF - 5 Power Mix'!IAW14+'NF - 5 Power Mix'!IAW15)*860/10)+((('Form Sa1'!IAZ835)*860)/10)+('Form Sa1'!IAZ814*'Form Sa1'!IAZ816/10)-'NF - 5 Power Mix'!IAW21-'NF - 5 Power Mix'!IAW22</f>
        <v>0</v>
      </c>
      <c r="IAX42" s="1046">
        <f>IAX38+((IAX40+'NF - 5 Power Mix'!IAX14+'NF - 5 Power Mix'!IAX15)*860/10)+((('Form Sa1'!IBA835)*860)/10)+('Form Sa1'!IBA814*'Form Sa1'!IBA816/10)-'NF - 5 Power Mix'!IAX21-'NF - 5 Power Mix'!IAX22</f>
        <v>0</v>
      </c>
      <c r="IAY42" s="1046">
        <f>IAY38+((IAY40+'NF - 5 Power Mix'!IAY14+'NF - 5 Power Mix'!IAY15)*860/10)+((('Form Sa1'!IBB835)*860)/10)+('Form Sa1'!IBB814*'Form Sa1'!IBB816/10)-'NF - 5 Power Mix'!IAY21-'NF - 5 Power Mix'!IAY22</f>
        <v>0</v>
      </c>
      <c r="IAZ42" s="1046">
        <f>IAZ38+((IAZ40+'NF - 5 Power Mix'!IAZ14+'NF - 5 Power Mix'!IAZ15)*860/10)+((('Form Sa1'!IBC835)*860)/10)+('Form Sa1'!IBC814*'Form Sa1'!IBC816/10)-'NF - 5 Power Mix'!IAZ21-'NF - 5 Power Mix'!IAZ22</f>
        <v>0</v>
      </c>
      <c r="IBA42" s="1046">
        <f>IBA38+((IBA40+'NF - 5 Power Mix'!IBA14+'NF - 5 Power Mix'!IBA15)*860/10)+((('Form Sa1'!IBD835)*860)/10)+('Form Sa1'!IBD814*'Form Sa1'!IBD816/10)-'NF - 5 Power Mix'!IBA21-'NF - 5 Power Mix'!IBA22</f>
        <v>0</v>
      </c>
      <c r="IBB42" s="1046">
        <f>IBB38+((IBB40+'NF - 5 Power Mix'!IBB14+'NF - 5 Power Mix'!IBB15)*860/10)+((('Form Sa1'!IBE835)*860)/10)+('Form Sa1'!IBE814*'Form Sa1'!IBE816/10)-'NF - 5 Power Mix'!IBB21-'NF - 5 Power Mix'!IBB22</f>
        <v>0</v>
      </c>
      <c r="IBC42" s="1046">
        <f>IBC38+((IBC40+'NF - 5 Power Mix'!IBC14+'NF - 5 Power Mix'!IBC15)*860/10)+((('Form Sa1'!IBF835)*860)/10)+('Form Sa1'!IBF814*'Form Sa1'!IBF816/10)-'NF - 5 Power Mix'!IBC21-'NF - 5 Power Mix'!IBC22</f>
        <v>0</v>
      </c>
      <c r="IBD42" s="1046">
        <f>IBD38+((IBD40+'NF - 5 Power Mix'!IBD14+'NF - 5 Power Mix'!IBD15)*860/10)+((('Form Sa1'!IBG835)*860)/10)+('Form Sa1'!IBG814*'Form Sa1'!IBG816/10)-'NF - 5 Power Mix'!IBD21-'NF - 5 Power Mix'!IBD22</f>
        <v>0</v>
      </c>
      <c r="IBE42" s="1046">
        <f>IBE38+((IBE40+'NF - 5 Power Mix'!IBE14+'NF - 5 Power Mix'!IBE15)*860/10)+((('Form Sa1'!IBH835)*860)/10)+('Form Sa1'!IBH814*'Form Sa1'!IBH816/10)-'NF - 5 Power Mix'!IBE21-'NF - 5 Power Mix'!IBE22</f>
        <v>0</v>
      </c>
      <c r="IBF42" s="1046">
        <f>IBF38+((IBF40+'NF - 5 Power Mix'!IBF14+'NF - 5 Power Mix'!IBF15)*860/10)+((('Form Sa1'!IBI835)*860)/10)+('Form Sa1'!IBI814*'Form Sa1'!IBI816/10)-'NF - 5 Power Mix'!IBF21-'NF - 5 Power Mix'!IBF22</f>
        <v>0</v>
      </c>
      <c r="IBG42" s="1046">
        <f>IBG38+((IBG40+'NF - 5 Power Mix'!IBG14+'NF - 5 Power Mix'!IBG15)*860/10)+((('Form Sa1'!IBJ835)*860)/10)+('Form Sa1'!IBJ814*'Form Sa1'!IBJ816/10)-'NF - 5 Power Mix'!IBG21-'NF - 5 Power Mix'!IBG22</f>
        <v>0</v>
      </c>
      <c r="IBH42" s="1046">
        <f>IBH38+((IBH40+'NF - 5 Power Mix'!IBH14+'NF - 5 Power Mix'!IBH15)*860/10)+((('Form Sa1'!IBK835)*860)/10)+('Form Sa1'!IBK814*'Form Sa1'!IBK816/10)-'NF - 5 Power Mix'!IBH21-'NF - 5 Power Mix'!IBH22</f>
        <v>0</v>
      </c>
      <c r="IBI42" s="1046">
        <f>IBI38+((IBI40+'NF - 5 Power Mix'!IBI14+'NF - 5 Power Mix'!IBI15)*860/10)+((('Form Sa1'!IBL835)*860)/10)+('Form Sa1'!IBL814*'Form Sa1'!IBL816/10)-'NF - 5 Power Mix'!IBI21-'NF - 5 Power Mix'!IBI22</f>
        <v>0</v>
      </c>
      <c r="IBJ42" s="1046">
        <f>IBJ38+((IBJ40+'NF - 5 Power Mix'!IBJ14+'NF - 5 Power Mix'!IBJ15)*860/10)+((('Form Sa1'!IBM835)*860)/10)+('Form Sa1'!IBM814*'Form Sa1'!IBM816/10)-'NF - 5 Power Mix'!IBJ21-'NF - 5 Power Mix'!IBJ22</f>
        <v>0</v>
      </c>
      <c r="IBK42" s="1046">
        <f>IBK38+((IBK40+'NF - 5 Power Mix'!IBK14+'NF - 5 Power Mix'!IBK15)*860/10)+((('Form Sa1'!IBN835)*860)/10)+('Form Sa1'!IBN814*'Form Sa1'!IBN816/10)-'NF - 5 Power Mix'!IBK21-'NF - 5 Power Mix'!IBK22</f>
        <v>0</v>
      </c>
      <c r="IBL42" s="1046">
        <f>IBL38+((IBL40+'NF - 5 Power Mix'!IBL14+'NF - 5 Power Mix'!IBL15)*860/10)+((('Form Sa1'!IBO835)*860)/10)+('Form Sa1'!IBO814*'Form Sa1'!IBO816/10)-'NF - 5 Power Mix'!IBL21-'NF - 5 Power Mix'!IBL22</f>
        <v>0</v>
      </c>
      <c r="IBM42" s="1046">
        <f>IBM38+((IBM40+'NF - 5 Power Mix'!IBM14+'NF - 5 Power Mix'!IBM15)*860/10)+((('Form Sa1'!IBP835)*860)/10)+('Form Sa1'!IBP814*'Form Sa1'!IBP816/10)-'NF - 5 Power Mix'!IBM21-'NF - 5 Power Mix'!IBM22</f>
        <v>0</v>
      </c>
      <c r="IBN42" s="1046">
        <f>IBN38+((IBN40+'NF - 5 Power Mix'!IBN14+'NF - 5 Power Mix'!IBN15)*860/10)+((('Form Sa1'!IBQ835)*860)/10)+('Form Sa1'!IBQ814*'Form Sa1'!IBQ816/10)-'NF - 5 Power Mix'!IBN21-'NF - 5 Power Mix'!IBN22</f>
        <v>0</v>
      </c>
      <c r="IBO42" s="1046">
        <f>IBO38+((IBO40+'NF - 5 Power Mix'!IBO14+'NF - 5 Power Mix'!IBO15)*860/10)+((('Form Sa1'!IBR835)*860)/10)+('Form Sa1'!IBR814*'Form Sa1'!IBR816/10)-'NF - 5 Power Mix'!IBO21-'NF - 5 Power Mix'!IBO22</f>
        <v>0</v>
      </c>
      <c r="IBP42" s="1046">
        <f>IBP38+((IBP40+'NF - 5 Power Mix'!IBP14+'NF - 5 Power Mix'!IBP15)*860/10)+((('Form Sa1'!IBS835)*860)/10)+('Form Sa1'!IBS814*'Form Sa1'!IBS816/10)-'NF - 5 Power Mix'!IBP21-'NF - 5 Power Mix'!IBP22</f>
        <v>0</v>
      </c>
      <c r="IBQ42" s="1046">
        <f>IBQ38+((IBQ40+'NF - 5 Power Mix'!IBQ14+'NF - 5 Power Mix'!IBQ15)*860/10)+((('Form Sa1'!IBT835)*860)/10)+('Form Sa1'!IBT814*'Form Sa1'!IBT816/10)-'NF - 5 Power Mix'!IBQ21-'NF - 5 Power Mix'!IBQ22</f>
        <v>0</v>
      </c>
      <c r="IBR42" s="1046">
        <f>IBR38+((IBR40+'NF - 5 Power Mix'!IBR14+'NF - 5 Power Mix'!IBR15)*860/10)+((('Form Sa1'!IBU835)*860)/10)+('Form Sa1'!IBU814*'Form Sa1'!IBU816/10)-'NF - 5 Power Mix'!IBR21-'NF - 5 Power Mix'!IBR22</f>
        <v>0</v>
      </c>
      <c r="IBS42" s="1046">
        <f>IBS38+((IBS40+'NF - 5 Power Mix'!IBS14+'NF - 5 Power Mix'!IBS15)*860/10)+((('Form Sa1'!IBV835)*860)/10)+('Form Sa1'!IBV814*'Form Sa1'!IBV816/10)-'NF - 5 Power Mix'!IBS21-'NF - 5 Power Mix'!IBS22</f>
        <v>0</v>
      </c>
      <c r="IBT42" s="1046">
        <f>IBT38+((IBT40+'NF - 5 Power Mix'!IBT14+'NF - 5 Power Mix'!IBT15)*860/10)+((('Form Sa1'!IBW835)*860)/10)+('Form Sa1'!IBW814*'Form Sa1'!IBW816/10)-'NF - 5 Power Mix'!IBT21-'NF - 5 Power Mix'!IBT22</f>
        <v>0</v>
      </c>
      <c r="IBU42" s="1046">
        <f>IBU38+((IBU40+'NF - 5 Power Mix'!IBU14+'NF - 5 Power Mix'!IBU15)*860/10)+((('Form Sa1'!IBX835)*860)/10)+('Form Sa1'!IBX814*'Form Sa1'!IBX816/10)-'NF - 5 Power Mix'!IBU21-'NF - 5 Power Mix'!IBU22</f>
        <v>0</v>
      </c>
      <c r="IBV42" s="1046">
        <f>IBV38+((IBV40+'NF - 5 Power Mix'!IBV14+'NF - 5 Power Mix'!IBV15)*860/10)+((('Form Sa1'!IBY835)*860)/10)+('Form Sa1'!IBY814*'Form Sa1'!IBY816/10)-'NF - 5 Power Mix'!IBV21-'NF - 5 Power Mix'!IBV22</f>
        <v>0</v>
      </c>
      <c r="IBW42" s="1046">
        <f>IBW38+((IBW40+'NF - 5 Power Mix'!IBW14+'NF - 5 Power Mix'!IBW15)*860/10)+((('Form Sa1'!IBZ835)*860)/10)+('Form Sa1'!IBZ814*'Form Sa1'!IBZ816/10)-'NF - 5 Power Mix'!IBW21-'NF - 5 Power Mix'!IBW22</f>
        <v>0</v>
      </c>
      <c r="IBX42" s="1046">
        <f>IBX38+((IBX40+'NF - 5 Power Mix'!IBX14+'NF - 5 Power Mix'!IBX15)*860/10)+((('Form Sa1'!ICA835)*860)/10)+('Form Sa1'!ICA814*'Form Sa1'!ICA816/10)-'NF - 5 Power Mix'!IBX21-'NF - 5 Power Mix'!IBX22</f>
        <v>0</v>
      </c>
      <c r="IBY42" s="1046">
        <f>IBY38+((IBY40+'NF - 5 Power Mix'!IBY14+'NF - 5 Power Mix'!IBY15)*860/10)+((('Form Sa1'!ICB835)*860)/10)+('Form Sa1'!ICB814*'Form Sa1'!ICB816/10)-'NF - 5 Power Mix'!IBY21-'NF - 5 Power Mix'!IBY22</f>
        <v>0</v>
      </c>
      <c r="IBZ42" s="1046">
        <f>IBZ38+((IBZ40+'NF - 5 Power Mix'!IBZ14+'NF - 5 Power Mix'!IBZ15)*860/10)+((('Form Sa1'!ICC835)*860)/10)+('Form Sa1'!ICC814*'Form Sa1'!ICC816/10)-'NF - 5 Power Mix'!IBZ21-'NF - 5 Power Mix'!IBZ22</f>
        <v>0</v>
      </c>
      <c r="ICA42" s="1046">
        <f>ICA38+((ICA40+'NF - 5 Power Mix'!ICA14+'NF - 5 Power Mix'!ICA15)*860/10)+((('Form Sa1'!ICD835)*860)/10)+('Form Sa1'!ICD814*'Form Sa1'!ICD816/10)-'NF - 5 Power Mix'!ICA21-'NF - 5 Power Mix'!ICA22</f>
        <v>0</v>
      </c>
      <c r="ICB42" s="1046">
        <f>ICB38+((ICB40+'NF - 5 Power Mix'!ICB14+'NF - 5 Power Mix'!ICB15)*860/10)+((('Form Sa1'!ICE835)*860)/10)+('Form Sa1'!ICE814*'Form Sa1'!ICE816/10)-'NF - 5 Power Mix'!ICB21-'NF - 5 Power Mix'!ICB22</f>
        <v>0</v>
      </c>
      <c r="ICC42" s="1046">
        <f>ICC38+((ICC40+'NF - 5 Power Mix'!ICC14+'NF - 5 Power Mix'!ICC15)*860/10)+((('Form Sa1'!ICF835)*860)/10)+('Form Sa1'!ICF814*'Form Sa1'!ICF816/10)-'NF - 5 Power Mix'!ICC21-'NF - 5 Power Mix'!ICC22</f>
        <v>0</v>
      </c>
      <c r="ICD42" s="1046">
        <f>ICD38+((ICD40+'NF - 5 Power Mix'!ICD14+'NF - 5 Power Mix'!ICD15)*860/10)+((('Form Sa1'!ICG835)*860)/10)+('Form Sa1'!ICG814*'Form Sa1'!ICG816/10)-'NF - 5 Power Mix'!ICD21-'NF - 5 Power Mix'!ICD22</f>
        <v>0</v>
      </c>
      <c r="ICE42" s="1046">
        <f>ICE38+((ICE40+'NF - 5 Power Mix'!ICE14+'NF - 5 Power Mix'!ICE15)*860/10)+((('Form Sa1'!ICH835)*860)/10)+('Form Sa1'!ICH814*'Form Sa1'!ICH816/10)-'NF - 5 Power Mix'!ICE21-'NF - 5 Power Mix'!ICE22</f>
        <v>0</v>
      </c>
      <c r="ICF42" s="1046">
        <f>ICF38+((ICF40+'NF - 5 Power Mix'!ICF14+'NF - 5 Power Mix'!ICF15)*860/10)+((('Form Sa1'!ICI835)*860)/10)+('Form Sa1'!ICI814*'Form Sa1'!ICI816/10)-'NF - 5 Power Mix'!ICF21-'NF - 5 Power Mix'!ICF22</f>
        <v>0</v>
      </c>
      <c r="ICG42" s="1046">
        <f>ICG38+((ICG40+'NF - 5 Power Mix'!ICG14+'NF - 5 Power Mix'!ICG15)*860/10)+((('Form Sa1'!ICJ835)*860)/10)+('Form Sa1'!ICJ814*'Form Sa1'!ICJ816/10)-'NF - 5 Power Mix'!ICG21-'NF - 5 Power Mix'!ICG22</f>
        <v>0</v>
      </c>
      <c r="ICH42" s="1046">
        <f>ICH38+((ICH40+'NF - 5 Power Mix'!ICH14+'NF - 5 Power Mix'!ICH15)*860/10)+((('Form Sa1'!ICK835)*860)/10)+('Form Sa1'!ICK814*'Form Sa1'!ICK816/10)-'NF - 5 Power Mix'!ICH21-'NF - 5 Power Mix'!ICH22</f>
        <v>0</v>
      </c>
      <c r="ICI42" s="1046">
        <f>ICI38+((ICI40+'NF - 5 Power Mix'!ICI14+'NF - 5 Power Mix'!ICI15)*860/10)+((('Form Sa1'!ICL835)*860)/10)+('Form Sa1'!ICL814*'Form Sa1'!ICL816/10)-'NF - 5 Power Mix'!ICI21-'NF - 5 Power Mix'!ICI22</f>
        <v>0</v>
      </c>
      <c r="ICJ42" s="1046">
        <f>ICJ38+((ICJ40+'NF - 5 Power Mix'!ICJ14+'NF - 5 Power Mix'!ICJ15)*860/10)+((('Form Sa1'!ICM835)*860)/10)+('Form Sa1'!ICM814*'Form Sa1'!ICM816/10)-'NF - 5 Power Mix'!ICJ21-'NF - 5 Power Mix'!ICJ22</f>
        <v>0</v>
      </c>
      <c r="ICK42" s="1046">
        <f>ICK38+((ICK40+'NF - 5 Power Mix'!ICK14+'NF - 5 Power Mix'!ICK15)*860/10)+((('Form Sa1'!ICN835)*860)/10)+('Form Sa1'!ICN814*'Form Sa1'!ICN816/10)-'NF - 5 Power Mix'!ICK21-'NF - 5 Power Mix'!ICK22</f>
        <v>0</v>
      </c>
      <c r="ICL42" s="1046">
        <f>ICL38+((ICL40+'NF - 5 Power Mix'!ICL14+'NF - 5 Power Mix'!ICL15)*860/10)+((('Form Sa1'!ICO835)*860)/10)+('Form Sa1'!ICO814*'Form Sa1'!ICO816/10)-'NF - 5 Power Mix'!ICL21-'NF - 5 Power Mix'!ICL22</f>
        <v>0</v>
      </c>
      <c r="ICM42" s="1046">
        <f>ICM38+((ICM40+'NF - 5 Power Mix'!ICM14+'NF - 5 Power Mix'!ICM15)*860/10)+((('Form Sa1'!ICP835)*860)/10)+('Form Sa1'!ICP814*'Form Sa1'!ICP816/10)-'NF - 5 Power Mix'!ICM21-'NF - 5 Power Mix'!ICM22</f>
        <v>0</v>
      </c>
      <c r="ICN42" s="1046">
        <f>ICN38+((ICN40+'NF - 5 Power Mix'!ICN14+'NF - 5 Power Mix'!ICN15)*860/10)+((('Form Sa1'!ICQ835)*860)/10)+('Form Sa1'!ICQ814*'Form Sa1'!ICQ816/10)-'NF - 5 Power Mix'!ICN21-'NF - 5 Power Mix'!ICN22</f>
        <v>0</v>
      </c>
      <c r="ICO42" s="1046">
        <f>ICO38+((ICO40+'NF - 5 Power Mix'!ICO14+'NF - 5 Power Mix'!ICO15)*860/10)+((('Form Sa1'!ICR835)*860)/10)+('Form Sa1'!ICR814*'Form Sa1'!ICR816/10)-'NF - 5 Power Mix'!ICO21-'NF - 5 Power Mix'!ICO22</f>
        <v>0</v>
      </c>
      <c r="ICP42" s="1046">
        <f>ICP38+((ICP40+'NF - 5 Power Mix'!ICP14+'NF - 5 Power Mix'!ICP15)*860/10)+((('Form Sa1'!ICS835)*860)/10)+('Form Sa1'!ICS814*'Form Sa1'!ICS816/10)-'NF - 5 Power Mix'!ICP21-'NF - 5 Power Mix'!ICP22</f>
        <v>0</v>
      </c>
      <c r="ICQ42" s="1046">
        <f>ICQ38+((ICQ40+'NF - 5 Power Mix'!ICQ14+'NF - 5 Power Mix'!ICQ15)*860/10)+((('Form Sa1'!ICT835)*860)/10)+('Form Sa1'!ICT814*'Form Sa1'!ICT816/10)-'NF - 5 Power Mix'!ICQ21-'NF - 5 Power Mix'!ICQ22</f>
        <v>0</v>
      </c>
      <c r="ICR42" s="1046">
        <f>ICR38+((ICR40+'NF - 5 Power Mix'!ICR14+'NF - 5 Power Mix'!ICR15)*860/10)+((('Form Sa1'!ICU835)*860)/10)+('Form Sa1'!ICU814*'Form Sa1'!ICU816/10)-'NF - 5 Power Mix'!ICR21-'NF - 5 Power Mix'!ICR22</f>
        <v>0</v>
      </c>
      <c r="ICS42" s="1046">
        <f>ICS38+((ICS40+'NF - 5 Power Mix'!ICS14+'NF - 5 Power Mix'!ICS15)*860/10)+((('Form Sa1'!ICV835)*860)/10)+('Form Sa1'!ICV814*'Form Sa1'!ICV816/10)-'NF - 5 Power Mix'!ICS21-'NF - 5 Power Mix'!ICS22</f>
        <v>0</v>
      </c>
      <c r="ICT42" s="1046">
        <f>ICT38+((ICT40+'NF - 5 Power Mix'!ICT14+'NF - 5 Power Mix'!ICT15)*860/10)+((('Form Sa1'!ICW835)*860)/10)+('Form Sa1'!ICW814*'Form Sa1'!ICW816/10)-'NF - 5 Power Mix'!ICT21-'NF - 5 Power Mix'!ICT22</f>
        <v>0</v>
      </c>
      <c r="ICU42" s="1046">
        <f>ICU38+((ICU40+'NF - 5 Power Mix'!ICU14+'NF - 5 Power Mix'!ICU15)*860/10)+((('Form Sa1'!ICX835)*860)/10)+('Form Sa1'!ICX814*'Form Sa1'!ICX816/10)-'NF - 5 Power Mix'!ICU21-'NF - 5 Power Mix'!ICU22</f>
        <v>0</v>
      </c>
      <c r="ICV42" s="1046">
        <f>ICV38+((ICV40+'NF - 5 Power Mix'!ICV14+'NF - 5 Power Mix'!ICV15)*860/10)+((('Form Sa1'!ICY835)*860)/10)+('Form Sa1'!ICY814*'Form Sa1'!ICY816/10)-'NF - 5 Power Mix'!ICV21-'NF - 5 Power Mix'!ICV22</f>
        <v>0</v>
      </c>
      <c r="ICW42" s="1046">
        <f>ICW38+((ICW40+'NF - 5 Power Mix'!ICW14+'NF - 5 Power Mix'!ICW15)*860/10)+((('Form Sa1'!ICZ835)*860)/10)+('Form Sa1'!ICZ814*'Form Sa1'!ICZ816/10)-'NF - 5 Power Mix'!ICW21-'NF - 5 Power Mix'!ICW22</f>
        <v>0</v>
      </c>
      <c r="ICX42" s="1046">
        <f>ICX38+((ICX40+'NF - 5 Power Mix'!ICX14+'NF - 5 Power Mix'!ICX15)*860/10)+((('Form Sa1'!IDA835)*860)/10)+('Form Sa1'!IDA814*'Form Sa1'!IDA816/10)-'NF - 5 Power Mix'!ICX21-'NF - 5 Power Mix'!ICX22</f>
        <v>0</v>
      </c>
      <c r="ICY42" s="1046">
        <f>ICY38+((ICY40+'NF - 5 Power Mix'!ICY14+'NF - 5 Power Mix'!ICY15)*860/10)+((('Form Sa1'!IDB835)*860)/10)+('Form Sa1'!IDB814*'Form Sa1'!IDB816/10)-'NF - 5 Power Mix'!ICY21-'NF - 5 Power Mix'!ICY22</f>
        <v>0</v>
      </c>
      <c r="ICZ42" s="1046">
        <f>ICZ38+((ICZ40+'NF - 5 Power Mix'!ICZ14+'NF - 5 Power Mix'!ICZ15)*860/10)+((('Form Sa1'!IDC835)*860)/10)+('Form Sa1'!IDC814*'Form Sa1'!IDC816/10)-'NF - 5 Power Mix'!ICZ21-'NF - 5 Power Mix'!ICZ22</f>
        <v>0</v>
      </c>
      <c r="IDA42" s="1046">
        <f>IDA38+((IDA40+'NF - 5 Power Mix'!IDA14+'NF - 5 Power Mix'!IDA15)*860/10)+((('Form Sa1'!IDD835)*860)/10)+('Form Sa1'!IDD814*'Form Sa1'!IDD816/10)-'NF - 5 Power Mix'!IDA21-'NF - 5 Power Mix'!IDA22</f>
        <v>0</v>
      </c>
      <c r="IDB42" s="1046">
        <f>IDB38+((IDB40+'NF - 5 Power Mix'!IDB14+'NF - 5 Power Mix'!IDB15)*860/10)+((('Form Sa1'!IDE835)*860)/10)+('Form Sa1'!IDE814*'Form Sa1'!IDE816/10)-'NF - 5 Power Mix'!IDB21-'NF - 5 Power Mix'!IDB22</f>
        <v>0</v>
      </c>
      <c r="IDC42" s="1046">
        <f>IDC38+((IDC40+'NF - 5 Power Mix'!IDC14+'NF - 5 Power Mix'!IDC15)*860/10)+((('Form Sa1'!IDF835)*860)/10)+('Form Sa1'!IDF814*'Form Sa1'!IDF816/10)-'NF - 5 Power Mix'!IDC21-'NF - 5 Power Mix'!IDC22</f>
        <v>0</v>
      </c>
      <c r="IDD42" s="1046">
        <f>IDD38+((IDD40+'NF - 5 Power Mix'!IDD14+'NF - 5 Power Mix'!IDD15)*860/10)+((('Form Sa1'!IDG835)*860)/10)+('Form Sa1'!IDG814*'Form Sa1'!IDG816/10)-'NF - 5 Power Mix'!IDD21-'NF - 5 Power Mix'!IDD22</f>
        <v>0</v>
      </c>
      <c r="IDE42" s="1046">
        <f>IDE38+((IDE40+'NF - 5 Power Mix'!IDE14+'NF - 5 Power Mix'!IDE15)*860/10)+((('Form Sa1'!IDH835)*860)/10)+('Form Sa1'!IDH814*'Form Sa1'!IDH816/10)-'NF - 5 Power Mix'!IDE21-'NF - 5 Power Mix'!IDE22</f>
        <v>0</v>
      </c>
      <c r="IDF42" s="1046">
        <f>IDF38+((IDF40+'NF - 5 Power Mix'!IDF14+'NF - 5 Power Mix'!IDF15)*860/10)+((('Form Sa1'!IDI835)*860)/10)+('Form Sa1'!IDI814*'Form Sa1'!IDI816/10)-'NF - 5 Power Mix'!IDF21-'NF - 5 Power Mix'!IDF22</f>
        <v>0</v>
      </c>
      <c r="IDG42" s="1046">
        <f>IDG38+((IDG40+'NF - 5 Power Mix'!IDG14+'NF - 5 Power Mix'!IDG15)*860/10)+((('Form Sa1'!IDJ835)*860)/10)+('Form Sa1'!IDJ814*'Form Sa1'!IDJ816/10)-'NF - 5 Power Mix'!IDG21-'NF - 5 Power Mix'!IDG22</f>
        <v>0</v>
      </c>
      <c r="IDH42" s="1046">
        <f>IDH38+((IDH40+'NF - 5 Power Mix'!IDH14+'NF - 5 Power Mix'!IDH15)*860/10)+((('Form Sa1'!IDK835)*860)/10)+('Form Sa1'!IDK814*'Form Sa1'!IDK816/10)-'NF - 5 Power Mix'!IDH21-'NF - 5 Power Mix'!IDH22</f>
        <v>0</v>
      </c>
      <c r="IDI42" s="1046">
        <f>IDI38+((IDI40+'NF - 5 Power Mix'!IDI14+'NF - 5 Power Mix'!IDI15)*860/10)+((('Form Sa1'!IDL835)*860)/10)+('Form Sa1'!IDL814*'Form Sa1'!IDL816/10)-'NF - 5 Power Mix'!IDI21-'NF - 5 Power Mix'!IDI22</f>
        <v>0</v>
      </c>
      <c r="IDJ42" s="1046">
        <f>IDJ38+((IDJ40+'NF - 5 Power Mix'!IDJ14+'NF - 5 Power Mix'!IDJ15)*860/10)+((('Form Sa1'!IDM835)*860)/10)+('Form Sa1'!IDM814*'Form Sa1'!IDM816/10)-'NF - 5 Power Mix'!IDJ21-'NF - 5 Power Mix'!IDJ22</f>
        <v>0</v>
      </c>
      <c r="IDK42" s="1046">
        <f>IDK38+((IDK40+'NF - 5 Power Mix'!IDK14+'NF - 5 Power Mix'!IDK15)*860/10)+((('Form Sa1'!IDN835)*860)/10)+('Form Sa1'!IDN814*'Form Sa1'!IDN816/10)-'NF - 5 Power Mix'!IDK21-'NF - 5 Power Mix'!IDK22</f>
        <v>0</v>
      </c>
      <c r="IDL42" s="1046">
        <f>IDL38+((IDL40+'NF - 5 Power Mix'!IDL14+'NF - 5 Power Mix'!IDL15)*860/10)+((('Form Sa1'!IDO835)*860)/10)+('Form Sa1'!IDO814*'Form Sa1'!IDO816/10)-'NF - 5 Power Mix'!IDL21-'NF - 5 Power Mix'!IDL22</f>
        <v>0</v>
      </c>
      <c r="IDM42" s="1046">
        <f>IDM38+((IDM40+'NF - 5 Power Mix'!IDM14+'NF - 5 Power Mix'!IDM15)*860/10)+((('Form Sa1'!IDP835)*860)/10)+('Form Sa1'!IDP814*'Form Sa1'!IDP816/10)-'NF - 5 Power Mix'!IDM21-'NF - 5 Power Mix'!IDM22</f>
        <v>0</v>
      </c>
      <c r="IDN42" s="1046">
        <f>IDN38+((IDN40+'NF - 5 Power Mix'!IDN14+'NF - 5 Power Mix'!IDN15)*860/10)+((('Form Sa1'!IDQ835)*860)/10)+('Form Sa1'!IDQ814*'Form Sa1'!IDQ816/10)-'NF - 5 Power Mix'!IDN21-'NF - 5 Power Mix'!IDN22</f>
        <v>0</v>
      </c>
      <c r="IDO42" s="1046">
        <f>IDO38+((IDO40+'NF - 5 Power Mix'!IDO14+'NF - 5 Power Mix'!IDO15)*860/10)+((('Form Sa1'!IDR835)*860)/10)+('Form Sa1'!IDR814*'Form Sa1'!IDR816/10)-'NF - 5 Power Mix'!IDO21-'NF - 5 Power Mix'!IDO22</f>
        <v>0</v>
      </c>
      <c r="IDP42" s="1046">
        <f>IDP38+((IDP40+'NF - 5 Power Mix'!IDP14+'NF - 5 Power Mix'!IDP15)*860/10)+((('Form Sa1'!IDS835)*860)/10)+('Form Sa1'!IDS814*'Form Sa1'!IDS816/10)-'NF - 5 Power Mix'!IDP21-'NF - 5 Power Mix'!IDP22</f>
        <v>0</v>
      </c>
      <c r="IDQ42" s="1046">
        <f>IDQ38+((IDQ40+'NF - 5 Power Mix'!IDQ14+'NF - 5 Power Mix'!IDQ15)*860/10)+((('Form Sa1'!IDT835)*860)/10)+('Form Sa1'!IDT814*'Form Sa1'!IDT816/10)-'NF - 5 Power Mix'!IDQ21-'NF - 5 Power Mix'!IDQ22</f>
        <v>0</v>
      </c>
      <c r="IDR42" s="1046">
        <f>IDR38+((IDR40+'NF - 5 Power Mix'!IDR14+'NF - 5 Power Mix'!IDR15)*860/10)+((('Form Sa1'!IDU835)*860)/10)+('Form Sa1'!IDU814*'Form Sa1'!IDU816/10)-'NF - 5 Power Mix'!IDR21-'NF - 5 Power Mix'!IDR22</f>
        <v>0</v>
      </c>
      <c r="IDS42" s="1046">
        <f>IDS38+((IDS40+'NF - 5 Power Mix'!IDS14+'NF - 5 Power Mix'!IDS15)*860/10)+((('Form Sa1'!IDV835)*860)/10)+('Form Sa1'!IDV814*'Form Sa1'!IDV816/10)-'NF - 5 Power Mix'!IDS21-'NF - 5 Power Mix'!IDS22</f>
        <v>0</v>
      </c>
      <c r="IDT42" s="1046">
        <f>IDT38+((IDT40+'NF - 5 Power Mix'!IDT14+'NF - 5 Power Mix'!IDT15)*860/10)+((('Form Sa1'!IDW835)*860)/10)+('Form Sa1'!IDW814*'Form Sa1'!IDW816/10)-'NF - 5 Power Mix'!IDT21-'NF - 5 Power Mix'!IDT22</f>
        <v>0</v>
      </c>
      <c r="IDU42" s="1046">
        <f>IDU38+((IDU40+'NF - 5 Power Mix'!IDU14+'NF - 5 Power Mix'!IDU15)*860/10)+((('Form Sa1'!IDX835)*860)/10)+('Form Sa1'!IDX814*'Form Sa1'!IDX816/10)-'NF - 5 Power Mix'!IDU21-'NF - 5 Power Mix'!IDU22</f>
        <v>0</v>
      </c>
      <c r="IDV42" s="1046">
        <f>IDV38+((IDV40+'NF - 5 Power Mix'!IDV14+'NF - 5 Power Mix'!IDV15)*860/10)+((('Form Sa1'!IDY835)*860)/10)+('Form Sa1'!IDY814*'Form Sa1'!IDY816/10)-'NF - 5 Power Mix'!IDV21-'NF - 5 Power Mix'!IDV22</f>
        <v>0</v>
      </c>
      <c r="IDW42" s="1046">
        <f>IDW38+((IDW40+'NF - 5 Power Mix'!IDW14+'NF - 5 Power Mix'!IDW15)*860/10)+((('Form Sa1'!IDZ835)*860)/10)+('Form Sa1'!IDZ814*'Form Sa1'!IDZ816/10)-'NF - 5 Power Mix'!IDW21-'NF - 5 Power Mix'!IDW22</f>
        <v>0</v>
      </c>
      <c r="IDX42" s="1046">
        <f>IDX38+((IDX40+'NF - 5 Power Mix'!IDX14+'NF - 5 Power Mix'!IDX15)*860/10)+((('Form Sa1'!IEA835)*860)/10)+('Form Sa1'!IEA814*'Form Sa1'!IEA816/10)-'NF - 5 Power Mix'!IDX21-'NF - 5 Power Mix'!IDX22</f>
        <v>0</v>
      </c>
      <c r="IDY42" s="1046">
        <f>IDY38+((IDY40+'NF - 5 Power Mix'!IDY14+'NF - 5 Power Mix'!IDY15)*860/10)+((('Form Sa1'!IEB835)*860)/10)+('Form Sa1'!IEB814*'Form Sa1'!IEB816/10)-'NF - 5 Power Mix'!IDY21-'NF - 5 Power Mix'!IDY22</f>
        <v>0</v>
      </c>
      <c r="IDZ42" s="1046">
        <f>IDZ38+((IDZ40+'NF - 5 Power Mix'!IDZ14+'NF - 5 Power Mix'!IDZ15)*860/10)+((('Form Sa1'!IEC835)*860)/10)+('Form Sa1'!IEC814*'Form Sa1'!IEC816/10)-'NF - 5 Power Mix'!IDZ21-'NF - 5 Power Mix'!IDZ22</f>
        <v>0</v>
      </c>
      <c r="IEA42" s="1046">
        <f>IEA38+((IEA40+'NF - 5 Power Mix'!IEA14+'NF - 5 Power Mix'!IEA15)*860/10)+((('Form Sa1'!IED835)*860)/10)+('Form Sa1'!IED814*'Form Sa1'!IED816/10)-'NF - 5 Power Mix'!IEA21-'NF - 5 Power Mix'!IEA22</f>
        <v>0</v>
      </c>
      <c r="IEB42" s="1046">
        <f>IEB38+((IEB40+'NF - 5 Power Mix'!IEB14+'NF - 5 Power Mix'!IEB15)*860/10)+((('Form Sa1'!IEE835)*860)/10)+('Form Sa1'!IEE814*'Form Sa1'!IEE816/10)-'NF - 5 Power Mix'!IEB21-'NF - 5 Power Mix'!IEB22</f>
        <v>0</v>
      </c>
      <c r="IEC42" s="1046">
        <f>IEC38+((IEC40+'NF - 5 Power Mix'!IEC14+'NF - 5 Power Mix'!IEC15)*860/10)+((('Form Sa1'!IEF835)*860)/10)+('Form Sa1'!IEF814*'Form Sa1'!IEF816/10)-'NF - 5 Power Mix'!IEC21-'NF - 5 Power Mix'!IEC22</f>
        <v>0</v>
      </c>
      <c r="IED42" s="1046">
        <f>IED38+((IED40+'NF - 5 Power Mix'!IED14+'NF - 5 Power Mix'!IED15)*860/10)+((('Form Sa1'!IEG835)*860)/10)+('Form Sa1'!IEG814*'Form Sa1'!IEG816/10)-'NF - 5 Power Mix'!IED21-'NF - 5 Power Mix'!IED22</f>
        <v>0</v>
      </c>
      <c r="IEE42" s="1046">
        <f>IEE38+((IEE40+'NF - 5 Power Mix'!IEE14+'NF - 5 Power Mix'!IEE15)*860/10)+((('Form Sa1'!IEH835)*860)/10)+('Form Sa1'!IEH814*'Form Sa1'!IEH816/10)-'NF - 5 Power Mix'!IEE21-'NF - 5 Power Mix'!IEE22</f>
        <v>0</v>
      </c>
      <c r="IEF42" s="1046">
        <f>IEF38+((IEF40+'NF - 5 Power Mix'!IEF14+'NF - 5 Power Mix'!IEF15)*860/10)+((('Form Sa1'!IEI835)*860)/10)+('Form Sa1'!IEI814*'Form Sa1'!IEI816/10)-'NF - 5 Power Mix'!IEF21-'NF - 5 Power Mix'!IEF22</f>
        <v>0</v>
      </c>
      <c r="IEG42" s="1046">
        <f>IEG38+((IEG40+'NF - 5 Power Mix'!IEG14+'NF - 5 Power Mix'!IEG15)*860/10)+((('Form Sa1'!IEJ835)*860)/10)+('Form Sa1'!IEJ814*'Form Sa1'!IEJ816/10)-'NF - 5 Power Mix'!IEG21-'NF - 5 Power Mix'!IEG22</f>
        <v>0</v>
      </c>
      <c r="IEH42" s="1046">
        <f>IEH38+((IEH40+'NF - 5 Power Mix'!IEH14+'NF - 5 Power Mix'!IEH15)*860/10)+((('Form Sa1'!IEK835)*860)/10)+('Form Sa1'!IEK814*'Form Sa1'!IEK816/10)-'NF - 5 Power Mix'!IEH21-'NF - 5 Power Mix'!IEH22</f>
        <v>0</v>
      </c>
      <c r="IEI42" s="1046">
        <f>IEI38+((IEI40+'NF - 5 Power Mix'!IEI14+'NF - 5 Power Mix'!IEI15)*860/10)+((('Form Sa1'!IEL835)*860)/10)+('Form Sa1'!IEL814*'Form Sa1'!IEL816/10)-'NF - 5 Power Mix'!IEI21-'NF - 5 Power Mix'!IEI22</f>
        <v>0</v>
      </c>
      <c r="IEJ42" s="1046">
        <f>IEJ38+((IEJ40+'NF - 5 Power Mix'!IEJ14+'NF - 5 Power Mix'!IEJ15)*860/10)+((('Form Sa1'!IEM835)*860)/10)+('Form Sa1'!IEM814*'Form Sa1'!IEM816/10)-'NF - 5 Power Mix'!IEJ21-'NF - 5 Power Mix'!IEJ22</f>
        <v>0</v>
      </c>
      <c r="IEK42" s="1046">
        <f>IEK38+((IEK40+'NF - 5 Power Mix'!IEK14+'NF - 5 Power Mix'!IEK15)*860/10)+((('Form Sa1'!IEN835)*860)/10)+('Form Sa1'!IEN814*'Form Sa1'!IEN816/10)-'NF - 5 Power Mix'!IEK21-'NF - 5 Power Mix'!IEK22</f>
        <v>0</v>
      </c>
      <c r="IEL42" s="1046">
        <f>IEL38+((IEL40+'NF - 5 Power Mix'!IEL14+'NF - 5 Power Mix'!IEL15)*860/10)+((('Form Sa1'!IEO835)*860)/10)+('Form Sa1'!IEO814*'Form Sa1'!IEO816/10)-'NF - 5 Power Mix'!IEL21-'NF - 5 Power Mix'!IEL22</f>
        <v>0</v>
      </c>
      <c r="IEM42" s="1046">
        <f>IEM38+((IEM40+'NF - 5 Power Mix'!IEM14+'NF - 5 Power Mix'!IEM15)*860/10)+((('Form Sa1'!IEP835)*860)/10)+('Form Sa1'!IEP814*'Form Sa1'!IEP816/10)-'NF - 5 Power Mix'!IEM21-'NF - 5 Power Mix'!IEM22</f>
        <v>0</v>
      </c>
      <c r="IEN42" s="1046">
        <f>IEN38+((IEN40+'NF - 5 Power Mix'!IEN14+'NF - 5 Power Mix'!IEN15)*860/10)+((('Form Sa1'!IEQ835)*860)/10)+('Form Sa1'!IEQ814*'Form Sa1'!IEQ816/10)-'NF - 5 Power Mix'!IEN21-'NF - 5 Power Mix'!IEN22</f>
        <v>0</v>
      </c>
      <c r="IEO42" s="1046">
        <f>IEO38+((IEO40+'NF - 5 Power Mix'!IEO14+'NF - 5 Power Mix'!IEO15)*860/10)+((('Form Sa1'!IER835)*860)/10)+('Form Sa1'!IER814*'Form Sa1'!IER816/10)-'NF - 5 Power Mix'!IEO21-'NF - 5 Power Mix'!IEO22</f>
        <v>0</v>
      </c>
      <c r="IEP42" s="1046">
        <f>IEP38+((IEP40+'NF - 5 Power Mix'!IEP14+'NF - 5 Power Mix'!IEP15)*860/10)+((('Form Sa1'!IES835)*860)/10)+('Form Sa1'!IES814*'Form Sa1'!IES816/10)-'NF - 5 Power Mix'!IEP21-'NF - 5 Power Mix'!IEP22</f>
        <v>0</v>
      </c>
      <c r="IEQ42" s="1046">
        <f>IEQ38+((IEQ40+'NF - 5 Power Mix'!IEQ14+'NF - 5 Power Mix'!IEQ15)*860/10)+((('Form Sa1'!IET835)*860)/10)+('Form Sa1'!IET814*'Form Sa1'!IET816/10)-'NF - 5 Power Mix'!IEQ21-'NF - 5 Power Mix'!IEQ22</f>
        <v>0</v>
      </c>
      <c r="IER42" s="1046">
        <f>IER38+((IER40+'NF - 5 Power Mix'!IER14+'NF - 5 Power Mix'!IER15)*860/10)+((('Form Sa1'!IEU835)*860)/10)+('Form Sa1'!IEU814*'Form Sa1'!IEU816/10)-'NF - 5 Power Mix'!IER21-'NF - 5 Power Mix'!IER22</f>
        <v>0</v>
      </c>
      <c r="IES42" s="1046">
        <f>IES38+((IES40+'NF - 5 Power Mix'!IES14+'NF - 5 Power Mix'!IES15)*860/10)+((('Form Sa1'!IEV835)*860)/10)+('Form Sa1'!IEV814*'Form Sa1'!IEV816/10)-'NF - 5 Power Mix'!IES21-'NF - 5 Power Mix'!IES22</f>
        <v>0</v>
      </c>
      <c r="IET42" s="1046">
        <f>IET38+((IET40+'NF - 5 Power Mix'!IET14+'NF - 5 Power Mix'!IET15)*860/10)+((('Form Sa1'!IEW835)*860)/10)+('Form Sa1'!IEW814*'Form Sa1'!IEW816/10)-'NF - 5 Power Mix'!IET21-'NF - 5 Power Mix'!IET22</f>
        <v>0</v>
      </c>
      <c r="IEU42" s="1046">
        <f>IEU38+((IEU40+'NF - 5 Power Mix'!IEU14+'NF - 5 Power Mix'!IEU15)*860/10)+((('Form Sa1'!IEX835)*860)/10)+('Form Sa1'!IEX814*'Form Sa1'!IEX816/10)-'NF - 5 Power Mix'!IEU21-'NF - 5 Power Mix'!IEU22</f>
        <v>0</v>
      </c>
      <c r="IEV42" s="1046">
        <f>IEV38+((IEV40+'NF - 5 Power Mix'!IEV14+'NF - 5 Power Mix'!IEV15)*860/10)+((('Form Sa1'!IEY835)*860)/10)+('Form Sa1'!IEY814*'Form Sa1'!IEY816/10)-'NF - 5 Power Mix'!IEV21-'NF - 5 Power Mix'!IEV22</f>
        <v>0</v>
      </c>
      <c r="IEW42" s="1046">
        <f>IEW38+((IEW40+'NF - 5 Power Mix'!IEW14+'NF - 5 Power Mix'!IEW15)*860/10)+((('Form Sa1'!IEZ835)*860)/10)+('Form Sa1'!IEZ814*'Form Sa1'!IEZ816/10)-'NF - 5 Power Mix'!IEW21-'NF - 5 Power Mix'!IEW22</f>
        <v>0</v>
      </c>
      <c r="IEX42" s="1046">
        <f>IEX38+((IEX40+'NF - 5 Power Mix'!IEX14+'NF - 5 Power Mix'!IEX15)*860/10)+((('Form Sa1'!IFA835)*860)/10)+('Form Sa1'!IFA814*'Form Sa1'!IFA816/10)-'NF - 5 Power Mix'!IEX21-'NF - 5 Power Mix'!IEX22</f>
        <v>0</v>
      </c>
      <c r="IEY42" s="1046">
        <f>IEY38+((IEY40+'NF - 5 Power Mix'!IEY14+'NF - 5 Power Mix'!IEY15)*860/10)+((('Form Sa1'!IFB835)*860)/10)+('Form Sa1'!IFB814*'Form Sa1'!IFB816/10)-'NF - 5 Power Mix'!IEY21-'NF - 5 Power Mix'!IEY22</f>
        <v>0</v>
      </c>
      <c r="IEZ42" s="1046">
        <f>IEZ38+((IEZ40+'NF - 5 Power Mix'!IEZ14+'NF - 5 Power Mix'!IEZ15)*860/10)+((('Form Sa1'!IFC835)*860)/10)+('Form Sa1'!IFC814*'Form Sa1'!IFC816/10)-'NF - 5 Power Mix'!IEZ21-'NF - 5 Power Mix'!IEZ22</f>
        <v>0</v>
      </c>
      <c r="IFA42" s="1046">
        <f>IFA38+((IFA40+'NF - 5 Power Mix'!IFA14+'NF - 5 Power Mix'!IFA15)*860/10)+((('Form Sa1'!IFD835)*860)/10)+('Form Sa1'!IFD814*'Form Sa1'!IFD816/10)-'NF - 5 Power Mix'!IFA21-'NF - 5 Power Mix'!IFA22</f>
        <v>0</v>
      </c>
      <c r="IFB42" s="1046">
        <f>IFB38+((IFB40+'NF - 5 Power Mix'!IFB14+'NF - 5 Power Mix'!IFB15)*860/10)+((('Form Sa1'!IFE835)*860)/10)+('Form Sa1'!IFE814*'Form Sa1'!IFE816/10)-'NF - 5 Power Mix'!IFB21-'NF - 5 Power Mix'!IFB22</f>
        <v>0</v>
      </c>
      <c r="IFC42" s="1046">
        <f>IFC38+((IFC40+'NF - 5 Power Mix'!IFC14+'NF - 5 Power Mix'!IFC15)*860/10)+((('Form Sa1'!IFF835)*860)/10)+('Form Sa1'!IFF814*'Form Sa1'!IFF816/10)-'NF - 5 Power Mix'!IFC21-'NF - 5 Power Mix'!IFC22</f>
        <v>0</v>
      </c>
      <c r="IFD42" s="1046">
        <f>IFD38+((IFD40+'NF - 5 Power Mix'!IFD14+'NF - 5 Power Mix'!IFD15)*860/10)+((('Form Sa1'!IFG835)*860)/10)+('Form Sa1'!IFG814*'Form Sa1'!IFG816/10)-'NF - 5 Power Mix'!IFD21-'NF - 5 Power Mix'!IFD22</f>
        <v>0</v>
      </c>
      <c r="IFE42" s="1046">
        <f>IFE38+((IFE40+'NF - 5 Power Mix'!IFE14+'NF - 5 Power Mix'!IFE15)*860/10)+((('Form Sa1'!IFH835)*860)/10)+('Form Sa1'!IFH814*'Form Sa1'!IFH816/10)-'NF - 5 Power Mix'!IFE21-'NF - 5 Power Mix'!IFE22</f>
        <v>0</v>
      </c>
      <c r="IFF42" s="1046">
        <f>IFF38+((IFF40+'NF - 5 Power Mix'!IFF14+'NF - 5 Power Mix'!IFF15)*860/10)+((('Form Sa1'!IFI835)*860)/10)+('Form Sa1'!IFI814*'Form Sa1'!IFI816/10)-'NF - 5 Power Mix'!IFF21-'NF - 5 Power Mix'!IFF22</f>
        <v>0</v>
      </c>
      <c r="IFG42" s="1046">
        <f>IFG38+((IFG40+'NF - 5 Power Mix'!IFG14+'NF - 5 Power Mix'!IFG15)*860/10)+((('Form Sa1'!IFJ835)*860)/10)+('Form Sa1'!IFJ814*'Form Sa1'!IFJ816/10)-'NF - 5 Power Mix'!IFG21-'NF - 5 Power Mix'!IFG22</f>
        <v>0</v>
      </c>
      <c r="IFH42" s="1046">
        <f>IFH38+((IFH40+'NF - 5 Power Mix'!IFH14+'NF - 5 Power Mix'!IFH15)*860/10)+((('Form Sa1'!IFK835)*860)/10)+('Form Sa1'!IFK814*'Form Sa1'!IFK816/10)-'NF - 5 Power Mix'!IFH21-'NF - 5 Power Mix'!IFH22</f>
        <v>0</v>
      </c>
      <c r="IFI42" s="1046">
        <f>IFI38+((IFI40+'NF - 5 Power Mix'!IFI14+'NF - 5 Power Mix'!IFI15)*860/10)+((('Form Sa1'!IFL835)*860)/10)+('Form Sa1'!IFL814*'Form Sa1'!IFL816/10)-'NF - 5 Power Mix'!IFI21-'NF - 5 Power Mix'!IFI22</f>
        <v>0</v>
      </c>
      <c r="IFJ42" s="1046">
        <f>IFJ38+((IFJ40+'NF - 5 Power Mix'!IFJ14+'NF - 5 Power Mix'!IFJ15)*860/10)+((('Form Sa1'!IFM835)*860)/10)+('Form Sa1'!IFM814*'Form Sa1'!IFM816/10)-'NF - 5 Power Mix'!IFJ21-'NF - 5 Power Mix'!IFJ22</f>
        <v>0</v>
      </c>
      <c r="IFK42" s="1046">
        <f>IFK38+((IFK40+'NF - 5 Power Mix'!IFK14+'NF - 5 Power Mix'!IFK15)*860/10)+((('Form Sa1'!IFN835)*860)/10)+('Form Sa1'!IFN814*'Form Sa1'!IFN816/10)-'NF - 5 Power Mix'!IFK21-'NF - 5 Power Mix'!IFK22</f>
        <v>0</v>
      </c>
      <c r="IFL42" s="1046">
        <f>IFL38+((IFL40+'NF - 5 Power Mix'!IFL14+'NF - 5 Power Mix'!IFL15)*860/10)+((('Form Sa1'!IFO835)*860)/10)+('Form Sa1'!IFO814*'Form Sa1'!IFO816/10)-'NF - 5 Power Mix'!IFL21-'NF - 5 Power Mix'!IFL22</f>
        <v>0</v>
      </c>
      <c r="IFM42" s="1046">
        <f>IFM38+((IFM40+'NF - 5 Power Mix'!IFM14+'NF - 5 Power Mix'!IFM15)*860/10)+((('Form Sa1'!IFP835)*860)/10)+('Form Sa1'!IFP814*'Form Sa1'!IFP816/10)-'NF - 5 Power Mix'!IFM21-'NF - 5 Power Mix'!IFM22</f>
        <v>0</v>
      </c>
      <c r="IFN42" s="1046">
        <f>IFN38+((IFN40+'NF - 5 Power Mix'!IFN14+'NF - 5 Power Mix'!IFN15)*860/10)+((('Form Sa1'!IFQ835)*860)/10)+('Form Sa1'!IFQ814*'Form Sa1'!IFQ816/10)-'NF - 5 Power Mix'!IFN21-'NF - 5 Power Mix'!IFN22</f>
        <v>0</v>
      </c>
      <c r="IFO42" s="1046">
        <f>IFO38+((IFO40+'NF - 5 Power Mix'!IFO14+'NF - 5 Power Mix'!IFO15)*860/10)+((('Form Sa1'!IFR835)*860)/10)+('Form Sa1'!IFR814*'Form Sa1'!IFR816/10)-'NF - 5 Power Mix'!IFO21-'NF - 5 Power Mix'!IFO22</f>
        <v>0</v>
      </c>
      <c r="IFP42" s="1046">
        <f>IFP38+((IFP40+'NF - 5 Power Mix'!IFP14+'NF - 5 Power Mix'!IFP15)*860/10)+((('Form Sa1'!IFS835)*860)/10)+('Form Sa1'!IFS814*'Form Sa1'!IFS816/10)-'NF - 5 Power Mix'!IFP21-'NF - 5 Power Mix'!IFP22</f>
        <v>0</v>
      </c>
      <c r="IFQ42" s="1046">
        <f>IFQ38+((IFQ40+'NF - 5 Power Mix'!IFQ14+'NF - 5 Power Mix'!IFQ15)*860/10)+((('Form Sa1'!IFT835)*860)/10)+('Form Sa1'!IFT814*'Form Sa1'!IFT816/10)-'NF - 5 Power Mix'!IFQ21-'NF - 5 Power Mix'!IFQ22</f>
        <v>0</v>
      </c>
      <c r="IFR42" s="1046">
        <f>IFR38+((IFR40+'NF - 5 Power Mix'!IFR14+'NF - 5 Power Mix'!IFR15)*860/10)+((('Form Sa1'!IFU835)*860)/10)+('Form Sa1'!IFU814*'Form Sa1'!IFU816/10)-'NF - 5 Power Mix'!IFR21-'NF - 5 Power Mix'!IFR22</f>
        <v>0</v>
      </c>
      <c r="IFS42" s="1046">
        <f>IFS38+((IFS40+'NF - 5 Power Mix'!IFS14+'NF - 5 Power Mix'!IFS15)*860/10)+((('Form Sa1'!IFV835)*860)/10)+('Form Sa1'!IFV814*'Form Sa1'!IFV816/10)-'NF - 5 Power Mix'!IFS21-'NF - 5 Power Mix'!IFS22</f>
        <v>0</v>
      </c>
      <c r="IFT42" s="1046">
        <f>IFT38+((IFT40+'NF - 5 Power Mix'!IFT14+'NF - 5 Power Mix'!IFT15)*860/10)+((('Form Sa1'!IFW835)*860)/10)+('Form Sa1'!IFW814*'Form Sa1'!IFW816/10)-'NF - 5 Power Mix'!IFT21-'NF - 5 Power Mix'!IFT22</f>
        <v>0</v>
      </c>
      <c r="IFU42" s="1046">
        <f>IFU38+((IFU40+'NF - 5 Power Mix'!IFU14+'NF - 5 Power Mix'!IFU15)*860/10)+((('Form Sa1'!IFX835)*860)/10)+('Form Sa1'!IFX814*'Form Sa1'!IFX816/10)-'NF - 5 Power Mix'!IFU21-'NF - 5 Power Mix'!IFU22</f>
        <v>0</v>
      </c>
      <c r="IFV42" s="1046">
        <f>IFV38+((IFV40+'NF - 5 Power Mix'!IFV14+'NF - 5 Power Mix'!IFV15)*860/10)+((('Form Sa1'!IFY835)*860)/10)+('Form Sa1'!IFY814*'Form Sa1'!IFY816/10)-'NF - 5 Power Mix'!IFV21-'NF - 5 Power Mix'!IFV22</f>
        <v>0</v>
      </c>
      <c r="IFW42" s="1046">
        <f>IFW38+((IFW40+'NF - 5 Power Mix'!IFW14+'NF - 5 Power Mix'!IFW15)*860/10)+((('Form Sa1'!IFZ835)*860)/10)+('Form Sa1'!IFZ814*'Form Sa1'!IFZ816/10)-'NF - 5 Power Mix'!IFW21-'NF - 5 Power Mix'!IFW22</f>
        <v>0</v>
      </c>
      <c r="IFX42" s="1046">
        <f>IFX38+((IFX40+'NF - 5 Power Mix'!IFX14+'NF - 5 Power Mix'!IFX15)*860/10)+((('Form Sa1'!IGA835)*860)/10)+('Form Sa1'!IGA814*'Form Sa1'!IGA816/10)-'NF - 5 Power Mix'!IFX21-'NF - 5 Power Mix'!IFX22</f>
        <v>0</v>
      </c>
      <c r="IFY42" s="1046">
        <f>IFY38+((IFY40+'NF - 5 Power Mix'!IFY14+'NF - 5 Power Mix'!IFY15)*860/10)+((('Form Sa1'!IGB835)*860)/10)+('Form Sa1'!IGB814*'Form Sa1'!IGB816/10)-'NF - 5 Power Mix'!IFY21-'NF - 5 Power Mix'!IFY22</f>
        <v>0</v>
      </c>
      <c r="IFZ42" s="1046">
        <f>IFZ38+((IFZ40+'NF - 5 Power Mix'!IFZ14+'NF - 5 Power Mix'!IFZ15)*860/10)+((('Form Sa1'!IGC835)*860)/10)+('Form Sa1'!IGC814*'Form Sa1'!IGC816/10)-'NF - 5 Power Mix'!IFZ21-'NF - 5 Power Mix'!IFZ22</f>
        <v>0</v>
      </c>
      <c r="IGA42" s="1046">
        <f>IGA38+((IGA40+'NF - 5 Power Mix'!IGA14+'NF - 5 Power Mix'!IGA15)*860/10)+((('Form Sa1'!IGD835)*860)/10)+('Form Sa1'!IGD814*'Form Sa1'!IGD816/10)-'NF - 5 Power Mix'!IGA21-'NF - 5 Power Mix'!IGA22</f>
        <v>0</v>
      </c>
      <c r="IGB42" s="1046">
        <f>IGB38+((IGB40+'NF - 5 Power Mix'!IGB14+'NF - 5 Power Mix'!IGB15)*860/10)+((('Form Sa1'!IGE835)*860)/10)+('Form Sa1'!IGE814*'Form Sa1'!IGE816/10)-'NF - 5 Power Mix'!IGB21-'NF - 5 Power Mix'!IGB22</f>
        <v>0</v>
      </c>
      <c r="IGC42" s="1046">
        <f>IGC38+((IGC40+'NF - 5 Power Mix'!IGC14+'NF - 5 Power Mix'!IGC15)*860/10)+((('Form Sa1'!IGF835)*860)/10)+('Form Sa1'!IGF814*'Form Sa1'!IGF816/10)-'NF - 5 Power Mix'!IGC21-'NF - 5 Power Mix'!IGC22</f>
        <v>0</v>
      </c>
      <c r="IGD42" s="1046">
        <f>IGD38+((IGD40+'NF - 5 Power Mix'!IGD14+'NF - 5 Power Mix'!IGD15)*860/10)+((('Form Sa1'!IGG835)*860)/10)+('Form Sa1'!IGG814*'Form Sa1'!IGG816/10)-'NF - 5 Power Mix'!IGD21-'NF - 5 Power Mix'!IGD22</f>
        <v>0</v>
      </c>
      <c r="IGE42" s="1046">
        <f>IGE38+((IGE40+'NF - 5 Power Mix'!IGE14+'NF - 5 Power Mix'!IGE15)*860/10)+((('Form Sa1'!IGH835)*860)/10)+('Form Sa1'!IGH814*'Form Sa1'!IGH816/10)-'NF - 5 Power Mix'!IGE21-'NF - 5 Power Mix'!IGE22</f>
        <v>0</v>
      </c>
      <c r="IGF42" s="1046">
        <f>IGF38+((IGF40+'NF - 5 Power Mix'!IGF14+'NF - 5 Power Mix'!IGF15)*860/10)+((('Form Sa1'!IGI835)*860)/10)+('Form Sa1'!IGI814*'Form Sa1'!IGI816/10)-'NF - 5 Power Mix'!IGF21-'NF - 5 Power Mix'!IGF22</f>
        <v>0</v>
      </c>
      <c r="IGG42" s="1046">
        <f>IGG38+((IGG40+'NF - 5 Power Mix'!IGG14+'NF - 5 Power Mix'!IGG15)*860/10)+((('Form Sa1'!IGJ835)*860)/10)+('Form Sa1'!IGJ814*'Form Sa1'!IGJ816/10)-'NF - 5 Power Mix'!IGG21-'NF - 5 Power Mix'!IGG22</f>
        <v>0</v>
      </c>
      <c r="IGH42" s="1046">
        <f>IGH38+((IGH40+'NF - 5 Power Mix'!IGH14+'NF - 5 Power Mix'!IGH15)*860/10)+((('Form Sa1'!IGK835)*860)/10)+('Form Sa1'!IGK814*'Form Sa1'!IGK816/10)-'NF - 5 Power Mix'!IGH21-'NF - 5 Power Mix'!IGH22</f>
        <v>0</v>
      </c>
      <c r="IGI42" s="1046">
        <f>IGI38+((IGI40+'NF - 5 Power Mix'!IGI14+'NF - 5 Power Mix'!IGI15)*860/10)+((('Form Sa1'!IGL835)*860)/10)+('Form Sa1'!IGL814*'Form Sa1'!IGL816/10)-'NF - 5 Power Mix'!IGI21-'NF - 5 Power Mix'!IGI22</f>
        <v>0</v>
      </c>
      <c r="IGJ42" s="1046">
        <f>IGJ38+((IGJ40+'NF - 5 Power Mix'!IGJ14+'NF - 5 Power Mix'!IGJ15)*860/10)+((('Form Sa1'!IGM835)*860)/10)+('Form Sa1'!IGM814*'Form Sa1'!IGM816/10)-'NF - 5 Power Mix'!IGJ21-'NF - 5 Power Mix'!IGJ22</f>
        <v>0</v>
      </c>
      <c r="IGK42" s="1046">
        <f>IGK38+((IGK40+'NF - 5 Power Mix'!IGK14+'NF - 5 Power Mix'!IGK15)*860/10)+((('Form Sa1'!IGN835)*860)/10)+('Form Sa1'!IGN814*'Form Sa1'!IGN816/10)-'NF - 5 Power Mix'!IGK21-'NF - 5 Power Mix'!IGK22</f>
        <v>0</v>
      </c>
      <c r="IGL42" s="1046">
        <f>IGL38+((IGL40+'NF - 5 Power Mix'!IGL14+'NF - 5 Power Mix'!IGL15)*860/10)+((('Form Sa1'!IGO835)*860)/10)+('Form Sa1'!IGO814*'Form Sa1'!IGO816/10)-'NF - 5 Power Mix'!IGL21-'NF - 5 Power Mix'!IGL22</f>
        <v>0</v>
      </c>
      <c r="IGM42" s="1046">
        <f>IGM38+((IGM40+'NF - 5 Power Mix'!IGM14+'NF - 5 Power Mix'!IGM15)*860/10)+((('Form Sa1'!IGP835)*860)/10)+('Form Sa1'!IGP814*'Form Sa1'!IGP816/10)-'NF - 5 Power Mix'!IGM21-'NF - 5 Power Mix'!IGM22</f>
        <v>0</v>
      </c>
      <c r="IGN42" s="1046">
        <f>IGN38+((IGN40+'NF - 5 Power Mix'!IGN14+'NF - 5 Power Mix'!IGN15)*860/10)+((('Form Sa1'!IGQ835)*860)/10)+('Form Sa1'!IGQ814*'Form Sa1'!IGQ816/10)-'NF - 5 Power Mix'!IGN21-'NF - 5 Power Mix'!IGN22</f>
        <v>0</v>
      </c>
      <c r="IGO42" s="1046">
        <f>IGO38+((IGO40+'NF - 5 Power Mix'!IGO14+'NF - 5 Power Mix'!IGO15)*860/10)+((('Form Sa1'!IGR835)*860)/10)+('Form Sa1'!IGR814*'Form Sa1'!IGR816/10)-'NF - 5 Power Mix'!IGO21-'NF - 5 Power Mix'!IGO22</f>
        <v>0</v>
      </c>
      <c r="IGP42" s="1046">
        <f>IGP38+((IGP40+'NF - 5 Power Mix'!IGP14+'NF - 5 Power Mix'!IGP15)*860/10)+((('Form Sa1'!IGS835)*860)/10)+('Form Sa1'!IGS814*'Form Sa1'!IGS816/10)-'NF - 5 Power Mix'!IGP21-'NF - 5 Power Mix'!IGP22</f>
        <v>0</v>
      </c>
      <c r="IGQ42" s="1046">
        <f>IGQ38+((IGQ40+'NF - 5 Power Mix'!IGQ14+'NF - 5 Power Mix'!IGQ15)*860/10)+((('Form Sa1'!IGT835)*860)/10)+('Form Sa1'!IGT814*'Form Sa1'!IGT816/10)-'NF - 5 Power Mix'!IGQ21-'NF - 5 Power Mix'!IGQ22</f>
        <v>0</v>
      </c>
      <c r="IGR42" s="1046">
        <f>IGR38+((IGR40+'NF - 5 Power Mix'!IGR14+'NF - 5 Power Mix'!IGR15)*860/10)+((('Form Sa1'!IGU835)*860)/10)+('Form Sa1'!IGU814*'Form Sa1'!IGU816/10)-'NF - 5 Power Mix'!IGR21-'NF - 5 Power Mix'!IGR22</f>
        <v>0</v>
      </c>
      <c r="IGS42" s="1046">
        <f>IGS38+((IGS40+'NF - 5 Power Mix'!IGS14+'NF - 5 Power Mix'!IGS15)*860/10)+((('Form Sa1'!IGV835)*860)/10)+('Form Sa1'!IGV814*'Form Sa1'!IGV816/10)-'NF - 5 Power Mix'!IGS21-'NF - 5 Power Mix'!IGS22</f>
        <v>0</v>
      </c>
      <c r="IGT42" s="1046">
        <f>IGT38+((IGT40+'NF - 5 Power Mix'!IGT14+'NF - 5 Power Mix'!IGT15)*860/10)+((('Form Sa1'!IGW835)*860)/10)+('Form Sa1'!IGW814*'Form Sa1'!IGW816/10)-'NF - 5 Power Mix'!IGT21-'NF - 5 Power Mix'!IGT22</f>
        <v>0</v>
      </c>
      <c r="IGU42" s="1046">
        <f>IGU38+((IGU40+'NF - 5 Power Mix'!IGU14+'NF - 5 Power Mix'!IGU15)*860/10)+((('Form Sa1'!IGX835)*860)/10)+('Form Sa1'!IGX814*'Form Sa1'!IGX816/10)-'NF - 5 Power Mix'!IGU21-'NF - 5 Power Mix'!IGU22</f>
        <v>0</v>
      </c>
      <c r="IGV42" s="1046">
        <f>IGV38+((IGV40+'NF - 5 Power Mix'!IGV14+'NF - 5 Power Mix'!IGV15)*860/10)+((('Form Sa1'!IGY835)*860)/10)+('Form Sa1'!IGY814*'Form Sa1'!IGY816/10)-'NF - 5 Power Mix'!IGV21-'NF - 5 Power Mix'!IGV22</f>
        <v>0</v>
      </c>
      <c r="IGW42" s="1046">
        <f>IGW38+((IGW40+'NF - 5 Power Mix'!IGW14+'NF - 5 Power Mix'!IGW15)*860/10)+((('Form Sa1'!IGZ835)*860)/10)+('Form Sa1'!IGZ814*'Form Sa1'!IGZ816/10)-'NF - 5 Power Mix'!IGW21-'NF - 5 Power Mix'!IGW22</f>
        <v>0</v>
      </c>
      <c r="IGX42" s="1046">
        <f>IGX38+((IGX40+'NF - 5 Power Mix'!IGX14+'NF - 5 Power Mix'!IGX15)*860/10)+((('Form Sa1'!IHA835)*860)/10)+('Form Sa1'!IHA814*'Form Sa1'!IHA816/10)-'NF - 5 Power Mix'!IGX21-'NF - 5 Power Mix'!IGX22</f>
        <v>0</v>
      </c>
      <c r="IGY42" s="1046">
        <f>IGY38+((IGY40+'NF - 5 Power Mix'!IGY14+'NF - 5 Power Mix'!IGY15)*860/10)+((('Form Sa1'!IHB835)*860)/10)+('Form Sa1'!IHB814*'Form Sa1'!IHB816/10)-'NF - 5 Power Mix'!IGY21-'NF - 5 Power Mix'!IGY22</f>
        <v>0</v>
      </c>
      <c r="IGZ42" s="1046">
        <f>IGZ38+((IGZ40+'NF - 5 Power Mix'!IGZ14+'NF - 5 Power Mix'!IGZ15)*860/10)+((('Form Sa1'!IHC835)*860)/10)+('Form Sa1'!IHC814*'Form Sa1'!IHC816/10)-'NF - 5 Power Mix'!IGZ21-'NF - 5 Power Mix'!IGZ22</f>
        <v>0</v>
      </c>
      <c r="IHA42" s="1046">
        <f>IHA38+((IHA40+'NF - 5 Power Mix'!IHA14+'NF - 5 Power Mix'!IHA15)*860/10)+((('Form Sa1'!IHD835)*860)/10)+('Form Sa1'!IHD814*'Form Sa1'!IHD816/10)-'NF - 5 Power Mix'!IHA21-'NF - 5 Power Mix'!IHA22</f>
        <v>0</v>
      </c>
      <c r="IHB42" s="1046">
        <f>IHB38+((IHB40+'NF - 5 Power Mix'!IHB14+'NF - 5 Power Mix'!IHB15)*860/10)+((('Form Sa1'!IHE835)*860)/10)+('Form Sa1'!IHE814*'Form Sa1'!IHE816/10)-'NF - 5 Power Mix'!IHB21-'NF - 5 Power Mix'!IHB22</f>
        <v>0</v>
      </c>
      <c r="IHC42" s="1046">
        <f>IHC38+((IHC40+'NF - 5 Power Mix'!IHC14+'NF - 5 Power Mix'!IHC15)*860/10)+((('Form Sa1'!IHF835)*860)/10)+('Form Sa1'!IHF814*'Form Sa1'!IHF816/10)-'NF - 5 Power Mix'!IHC21-'NF - 5 Power Mix'!IHC22</f>
        <v>0</v>
      </c>
      <c r="IHD42" s="1046">
        <f>IHD38+((IHD40+'NF - 5 Power Mix'!IHD14+'NF - 5 Power Mix'!IHD15)*860/10)+((('Form Sa1'!IHG835)*860)/10)+('Form Sa1'!IHG814*'Form Sa1'!IHG816/10)-'NF - 5 Power Mix'!IHD21-'NF - 5 Power Mix'!IHD22</f>
        <v>0</v>
      </c>
      <c r="IHE42" s="1046">
        <f>IHE38+((IHE40+'NF - 5 Power Mix'!IHE14+'NF - 5 Power Mix'!IHE15)*860/10)+((('Form Sa1'!IHH835)*860)/10)+('Form Sa1'!IHH814*'Form Sa1'!IHH816/10)-'NF - 5 Power Mix'!IHE21-'NF - 5 Power Mix'!IHE22</f>
        <v>0</v>
      </c>
      <c r="IHF42" s="1046">
        <f>IHF38+((IHF40+'NF - 5 Power Mix'!IHF14+'NF - 5 Power Mix'!IHF15)*860/10)+((('Form Sa1'!IHI835)*860)/10)+('Form Sa1'!IHI814*'Form Sa1'!IHI816/10)-'NF - 5 Power Mix'!IHF21-'NF - 5 Power Mix'!IHF22</f>
        <v>0</v>
      </c>
      <c r="IHG42" s="1046">
        <f>IHG38+((IHG40+'NF - 5 Power Mix'!IHG14+'NF - 5 Power Mix'!IHG15)*860/10)+((('Form Sa1'!IHJ835)*860)/10)+('Form Sa1'!IHJ814*'Form Sa1'!IHJ816/10)-'NF - 5 Power Mix'!IHG21-'NF - 5 Power Mix'!IHG22</f>
        <v>0</v>
      </c>
      <c r="IHH42" s="1046">
        <f>IHH38+((IHH40+'NF - 5 Power Mix'!IHH14+'NF - 5 Power Mix'!IHH15)*860/10)+((('Form Sa1'!IHK835)*860)/10)+('Form Sa1'!IHK814*'Form Sa1'!IHK816/10)-'NF - 5 Power Mix'!IHH21-'NF - 5 Power Mix'!IHH22</f>
        <v>0</v>
      </c>
      <c r="IHI42" s="1046">
        <f>IHI38+((IHI40+'NF - 5 Power Mix'!IHI14+'NF - 5 Power Mix'!IHI15)*860/10)+((('Form Sa1'!IHL835)*860)/10)+('Form Sa1'!IHL814*'Form Sa1'!IHL816/10)-'NF - 5 Power Mix'!IHI21-'NF - 5 Power Mix'!IHI22</f>
        <v>0</v>
      </c>
      <c r="IHJ42" s="1046">
        <f>IHJ38+((IHJ40+'NF - 5 Power Mix'!IHJ14+'NF - 5 Power Mix'!IHJ15)*860/10)+((('Form Sa1'!IHM835)*860)/10)+('Form Sa1'!IHM814*'Form Sa1'!IHM816/10)-'NF - 5 Power Mix'!IHJ21-'NF - 5 Power Mix'!IHJ22</f>
        <v>0</v>
      </c>
      <c r="IHK42" s="1046">
        <f>IHK38+((IHK40+'NF - 5 Power Mix'!IHK14+'NF - 5 Power Mix'!IHK15)*860/10)+((('Form Sa1'!IHN835)*860)/10)+('Form Sa1'!IHN814*'Form Sa1'!IHN816/10)-'NF - 5 Power Mix'!IHK21-'NF - 5 Power Mix'!IHK22</f>
        <v>0</v>
      </c>
      <c r="IHL42" s="1046">
        <f>IHL38+((IHL40+'NF - 5 Power Mix'!IHL14+'NF - 5 Power Mix'!IHL15)*860/10)+((('Form Sa1'!IHO835)*860)/10)+('Form Sa1'!IHO814*'Form Sa1'!IHO816/10)-'NF - 5 Power Mix'!IHL21-'NF - 5 Power Mix'!IHL22</f>
        <v>0</v>
      </c>
      <c r="IHM42" s="1046">
        <f>IHM38+((IHM40+'NF - 5 Power Mix'!IHM14+'NF - 5 Power Mix'!IHM15)*860/10)+((('Form Sa1'!IHP835)*860)/10)+('Form Sa1'!IHP814*'Form Sa1'!IHP816/10)-'NF - 5 Power Mix'!IHM21-'NF - 5 Power Mix'!IHM22</f>
        <v>0</v>
      </c>
      <c r="IHN42" s="1046">
        <f>IHN38+((IHN40+'NF - 5 Power Mix'!IHN14+'NF - 5 Power Mix'!IHN15)*860/10)+((('Form Sa1'!IHQ835)*860)/10)+('Form Sa1'!IHQ814*'Form Sa1'!IHQ816/10)-'NF - 5 Power Mix'!IHN21-'NF - 5 Power Mix'!IHN22</f>
        <v>0</v>
      </c>
      <c r="IHO42" s="1046">
        <f>IHO38+((IHO40+'NF - 5 Power Mix'!IHO14+'NF - 5 Power Mix'!IHO15)*860/10)+((('Form Sa1'!IHR835)*860)/10)+('Form Sa1'!IHR814*'Form Sa1'!IHR816/10)-'NF - 5 Power Mix'!IHO21-'NF - 5 Power Mix'!IHO22</f>
        <v>0</v>
      </c>
      <c r="IHP42" s="1046">
        <f>IHP38+((IHP40+'NF - 5 Power Mix'!IHP14+'NF - 5 Power Mix'!IHP15)*860/10)+((('Form Sa1'!IHS835)*860)/10)+('Form Sa1'!IHS814*'Form Sa1'!IHS816/10)-'NF - 5 Power Mix'!IHP21-'NF - 5 Power Mix'!IHP22</f>
        <v>0</v>
      </c>
      <c r="IHQ42" s="1046">
        <f>IHQ38+((IHQ40+'NF - 5 Power Mix'!IHQ14+'NF - 5 Power Mix'!IHQ15)*860/10)+((('Form Sa1'!IHT835)*860)/10)+('Form Sa1'!IHT814*'Form Sa1'!IHT816/10)-'NF - 5 Power Mix'!IHQ21-'NF - 5 Power Mix'!IHQ22</f>
        <v>0</v>
      </c>
      <c r="IHR42" s="1046">
        <f>IHR38+((IHR40+'NF - 5 Power Mix'!IHR14+'NF - 5 Power Mix'!IHR15)*860/10)+((('Form Sa1'!IHU835)*860)/10)+('Form Sa1'!IHU814*'Form Sa1'!IHU816/10)-'NF - 5 Power Mix'!IHR21-'NF - 5 Power Mix'!IHR22</f>
        <v>0</v>
      </c>
      <c r="IHS42" s="1046">
        <f>IHS38+((IHS40+'NF - 5 Power Mix'!IHS14+'NF - 5 Power Mix'!IHS15)*860/10)+((('Form Sa1'!IHV835)*860)/10)+('Form Sa1'!IHV814*'Form Sa1'!IHV816/10)-'NF - 5 Power Mix'!IHS21-'NF - 5 Power Mix'!IHS22</f>
        <v>0</v>
      </c>
      <c r="IHT42" s="1046">
        <f>IHT38+((IHT40+'NF - 5 Power Mix'!IHT14+'NF - 5 Power Mix'!IHT15)*860/10)+((('Form Sa1'!IHW835)*860)/10)+('Form Sa1'!IHW814*'Form Sa1'!IHW816/10)-'NF - 5 Power Mix'!IHT21-'NF - 5 Power Mix'!IHT22</f>
        <v>0</v>
      </c>
      <c r="IHU42" s="1046">
        <f>IHU38+((IHU40+'NF - 5 Power Mix'!IHU14+'NF - 5 Power Mix'!IHU15)*860/10)+((('Form Sa1'!IHX835)*860)/10)+('Form Sa1'!IHX814*'Form Sa1'!IHX816/10)-'NF - 5 Power Mix'!IHU21-'NF - 5 Power Mix'!IHU22</f>
        <v>0</v>
      </c>
      <c r="IHV42" s="1046">
        <f>IHV38+((IHV40+'NF - 5 Power Mix'!IHV14+'NF - 5 Power Mix'!IHV15)*860/10)+((('Form Sa1'!IHY835)*860)/10)+('Form Sa1'!IHY814*'Form Sa1'!IHY816/10)-'NF - 5 Power Mix'!IHV21-'NF - 5 Power Mix'!IHV22</f>
        <v>0</v>
      </c>
      <c r="IHW42" s="1046">
        <f>IHW38+((IHW40+'NF - 5 Power Mix'!IHW14+'NF - 5 Power Mix'!IHW15)*860/10)+((('Form Sa1'!IHZ835)*860)/10)+('Form Sa1'!IHZ814*'Form Sa1'!IHZ816/10)-'NF - 5 Power Mix'!IHW21-'NF - 5 Power Mix'!IHW22</f>
        <v>0</v>
      </c>
      <c r="IHX42" s="1046">
        <f>IHX38+((IHX40+'NF - 5 Power Mix'!IHX14+'NF - 5 Power Mix'!IHX15)*860/10)+((('Form Sa1'!IIA835)*860)/10)+('Form Sa1'!IIA814*'Form Sa1'!IIA816/10)-'NF - 5 Power Mix'!IHX21-'NF - 5 Power Mix'!IHX22</f>
        <v>0</v>
      </c>
      <c r="IHY42" s="1046">
        <f>IHY38+((IHY40+'NF - 5 Power Mix'!IHY14+'NF - 5 Power Mix'!IHY15)*860/10)+((('Form Sa1'!IIB835)*860)/10)+('Form Sa1'!IIB814*'Form Sa1'!IIB816/10)-'NF - 5 Power Mix'!IHY21-'NF - 5 Power Mix'!IHY22</f>
        <v>0</v>
      </c>
      <c r="IHZ42" s="1046">
        <f>IHZ38+((IHZ40+'NF - 5 Power Mix'!IHZ14+'NF - 5 Power Mix'!IHZ15)*860/10)+((('Form Sa1'!IIC835)*860)/10)+('Form Sa1'!IIC814*'Form Sa1'!IIC816/10)-'NF - 5 Power Mix'!IHZ21-'NF - 5 Power Mix'!IHZ22</f>
        <v>0</v>
      </c>
      <c r="IIA42" s="1046">
        <f>IIA38+((IIA40+'NF - 5 Power Mix'!IIA14+'NF - 5 Power Mix'!IIA15)*860/10)+((('Form Sa1'!IID835)*860)/10)+('Form Sa1'!IID814*'Form Sa1'!IID816/10)-'NF - 5 Power Mix'!IIA21-'NF - 5 Power Mix'!IIA22</f>
        <v>0</v>
      </c>
      <c r="IIB42" s="1046">
        <f>IIB38+((IIB40+'NF - 5 Power Mix'!IIB14+'NF - 5 Power Mix'!IIB15)*860/10)+((('Form Sa1'!IIE835)*860)/10)+('Form Sa1'!IIE814*'Form Sa1'!IIE816/10)-'NF - 5 Power Mix'!IIB21-'NF - 5 Power Mix'!IIB22</f>
        <v>0</v>
      </c>
      <c r="IIC42" s="1046">
        <f>IIC38+((IIC40+'NF - 5 Power Mix'!IIC14+'NF - 5 Power Mix'!IIC15)*860/10)+((('Form Sa1'!IIF835)*860)/10)+('Form Sa1'!IIF814*'Form Sa1'!IIF816/10)-'NF - 5 Power Mix'!IIC21-'NF - 5 Power Mix'!IIC22</f>
        <v>0</v>
      </c>
      <c r="IID42" s="1046">
        <f>IID38+((IID40+'NF - 5 Power Mix'!IID14+'NF - 5 Power Mix'!IID15)*860/10)+((('Form Sa1'!IIG835)*860)/10)+('Form Sa1'!IIG814*'Form Sa1'!IIG816/10)-'NF - 5 Power Mix'!IID21-'NF - 5 Power Mix'!IID22</f>
        <v>0</v>
      </c>
      <c r="IIE42" s="1046">
        <f>IIE38+((IIE40+'NF - 5 Power Mix'!IIE14+'NF - 5 Power Mix'!IIE15)*860/10)+((('Form Sa1'!IIH835)*860)/10)+('Form Sa1'!IIH814*'Form Sa1'!IIH816/10)-'NF - 5 Power Mix'!IIE21-'NF - 5 Power Mix'!IIE22</f>
        <v>0</v>
      </c>
      <c r="IIF42" s="1046">
        <f>IIF38+((IIF40+'NF - 5 Power Mix'!IIF14+'NF - 5 Power Mix'!IIF15)*860/10)+((('Form Sa1'!III835)*860)/10)+('Form Sa1'!III814*'Form Sa1'!III816/10)-'NF - 5 Power Mix'!IIF21-'NF - 5 Power Mix'!IIF22</f>
        <v>0</v>
      </c>
      <c r="IIG42" s="1046">
        <f>IIG38+((IIG40+'NF - 5 Power Mix'!IIG14+'NF - 5 Power Mix'!IIG15)*860/10)+((('Form Sa1'!IIJ835)*860)/10)+('Form Sa1'!IIJ814*'Form Sa1'!IIJ816/10)-'NF - 5 Power Mix'!IIG21-'NF - 5 Power Mix'!IIG22</f>
        <v>0</v>
      </c>
      <c r="IIH42" s="1046">
        <f>IIH38+((IIH40+'NF - 5 Power Mix'!IIH14+'NF - 5 Power Mix'!IIH15)*860/10)+((('Form Sa1'!IIK835)*860)/10)+('Form Sa1'!IIK814*'Form Sa1'!IIK816/10)-'NF - 5 Power Mix'!IIH21-'NF - 5 Power Mix'!IIH22</f>
        <v>0</v>
      </c>
      <c r="III42" s="1046">
        <f>III38+((III40+'NF - 5 Power Mix'!III14+'NF - 5 Power Mix'!III15)*860/10)+((('Form Sa1'!IIL835)*860)/10)+('Form Sa1'!IIL814*'Form Sa1'!IIL816/10)-'NF - 5 Power Mix'!III21-'NF - 5 Power Mix'!III22</f>
        <v>0</v>
      </c>
      <c r="IIJ42" s="1046">
        <f>IIJ38+((IIJ40+'NF - 5 Power Mix'!IIJ14+'NF - 5 Power Mix'!IIJ15)*860/10)+((('Form Sa1'!IIM835)*860)/10)+('Form Sa1'!IIM814*'Form Sa1'!IIM816/10)-'NF - 5 Power Mix'!IIJ21-'NF - 5 Power Mix'!IIJ22</f>
        <v>0</v>
      </c>
      <c r="IIK42" s="1046">
        <f>IIK38+((IIK40+'NF - 5 Power Mix'!IIK14+'NF - 5 Power Mix'!IIK15)*860/10)+((('Form Sa1'!IIN835)*860)/10)+('Form Sa1'!IIN814*'Form Sa1'!IIN816/10)-'NF - 5 Power Mix'!IIK21-'NF - 5 Power Mix'!IIK22</f>
        <v>0</v>
      </c>
      <c r="IIL42" s="1046">
        <f>IIL38+((IIL40+'NF - 5 Power Mix'!IIL14+'NF - 5 Power Mix'!IIL15)*860/10)+((('Form Sa1'!IIO835)*860)/10)+('Form Sa1'!IIO814*'Form Sa1'!IIO816/10)-'NF - 5 Power Mix'!IIL21-'NF - 5 Power Mix'!IIL22</f>
        <v>0</v>
      </c>
      <c r="IIM42" s="1046">
        <f>IIM38+((IIM40+'NF - 5 Power Mix'!IIM14+'NF - 5 Power Mix'!IIM15)*860/10)+((('Form Sa1'!IIP835)*860)/10)+('Form Sa1'!IIP814*'Form Sa1'!IIP816/10)-'NF - 5 Power Mix'!IIM21-'NF - 5 Power Mix'!IIM22</f>
        <v>0</v>
      </c>
      <c r="IIN42" s="1046">
        <f>IIN38+((IIN40+'NF - 5 Power Mix'!IIN14+'NF - 5 Power Mix'!IIN15)*860/10)+((('Form Sa1'!IIQ835)*860)/10)+('Form Sa1'!IIQ814*'Form Sa1'!IIQ816/10)-'NF - 5 Power Mix'!IIN21-'NF - 5 Power Mix'!IIN22</f>
        <v>0</v>
      </c>
      <c r="IIO42" s="1046">
        <f>IIO38+((IIO40+'NF - 5 Power Mix'!IIO14+'NF - 5 Power Mix'!IIO15)*860/10)+((('Form Sa1'!IIR835)*860)/10)+('Form Sa1'!IIR814*'Form Sa1'!IIR816/10)-'NF - 5 Power Mix'!IIO21-'NF - 5 Power Mix'!IIO22</f>
        <v>0</v>
      </c>
      <c r="IIP42" s="1046">
        <f>IIP38+((IIP40+'NF - 5 Power Mix'!IIP14+'NF - 5 Power Mix'!IIP15)*860/10)+((('Form Sa1'!IIS835)*860)/10)+('Form Sa1'!IIS814*'Form Sa1'!IIS816/10)-'NF - 5 Power Mix'!IIP21-'NF - 5 Power Mix'!IIP22</f>
        <v>0</v>
      </c>
      <c r="IIQ42" s="1046">
        <f>IIQ38+((IIQ40+'NF - 5 Power Mix'!IIQ14+'NF - 5 Power Mix'!IIQ15)*860/10)+((('Form Sa1'!IIT835)*860)/10)+('Form Sa1'!IIT814*'Form Sa1'!IIT816/10)-'NF - 5 Power Mix'!IIQ21-'NF - 5 Power Mix'!IIQ22</f>
        <v>0</v>
      </c>
      <c r="IIR42" s="1046">
        <f>IIR38+((IIR40+'NF - 5 Power Mix'!IIR14+'NF - 5 Power Mix'!IIR15)*860/10)+((('Form Sa1'!IIU835)*860)/10)+('Form Sa1'!IIU814*'Form Sa1'!IIU816/10)-'NF - 5 Power Mix'!IIR21-'NF - 5 Power Mix'!IIR22</f>
        <v>0</v>
      </c>
      <c r="IIS42" s="1046">
        <f>IIS38+((IIS40+'NF - 5 Power Mix'!IIS14+'NF - 5 Power Mix'!IIS15)*860/10)+((('Form Sa1'!IIV835)*860)/10)+('Form Sa1'!IIV814*'Form Sa1'!IIV816/10)-'NF - 5 Power Mix'!IIS21-'NF - 5 Power Mix'!IIS22</f>
        <v>0</v>
      </c>
      <c r="IIT42" s="1046">
        <f>IIT38+((IIT40+'NF - 5 Power Mix'!IIT14+'NF - 5 Power Mix'!IIT15)*860/10)+((('Form Sa1'!IIW835)*860)/10)+('Form Sa1'!IIW814*'Form Sa1'!IIW816/10)-'NF - 5 Power Mix'!IIT21-'NF - 5 Power Mix'!IIT22</f>
        <v>0</v>
      </c>
      <c r="IIU42" s="1046">
        <f>IIU38+((IIU40+'NF - 5 Power Mix'!IIU14+'NF - 5 Power Mix'!IIU15)*860/10)+((('Form Sa1'!IIX835)*860)/10)+('Form Sa1'!IIX814*'Form Sa1'!IIX816/10)-'NF - 5 Power Mix'!IIU21-'NF - 5 Power Mix'!IIU22</f>
        <v>0</v>
      </c>
      <c r="IIV42" s="1046">
        <f>IIV38+((IIV40+'NF - 5 Power Mix'!IIV14+'NF - 5 Power Mix'!IIV15)*860/10)+((('Form Sa1'!IIY835)*860)/10)+('Form Sa1'!IIY814*'Form Sa1'!IIY816/10)-'NF - 5 Power Mix'!IIV21-'NF - 5 Power Mix'!IIV22</f>
        <v>0</v>
      </c>
      <c r="IIW42" s="1046">
        <f>IIW38+((IIW40+'NF - 5 Power Mix'!IIW14+'NF - 5 Power Mix'!IIW15)*860/10)+((('Form Sa1'!IIZ835)*860)/10)+('Form Sa1'!IIZ814*'Form Sa1'!IIZ816/10)-'NF - 5 Power Mix'!IIW21-'NF - 5 Power Mix'!IIW22</f>
        <v>0</v>
      </c>
      <c r="IIX42" s="1046">
        <f>IIX38+((IIX40+'NF - 5 Power Mix'!IIX14+'NF - 5 Power Mix'!IIX15)*860/10)+((('Form Sa1'!IJA835)*860)/10)+('Form Sa1'!IJA814*'Form Sa1'!IJA816/10)-'NF - 5 Power Mix'!IIX21-'NF - 5 Power Mix'!IIX22</f>
        <v>0</v>
      </c>
      <c r="IIY42" s="1046">
        <f>IIY38+((IIY40+'NF - 5 Power Mix'!IIY14+'NF - 5 Power Mix'!IIY15)*860/10)+((('Form Sa1'!IJB835)*860)/10)+('Form Sa1'!IJB814*'Form Sa1'!IJB816/10)-'NF - 5 Power Mix'!IIY21-'NF - 5 Power Mix'!IIY22</f>
        <v>0</v>
      </c>
      <c r="IIZ42" s="1046">
        <f>IIZ38+((IIZ40+'NF - 5 Power Mix'!IIZ14+'NF - 5 Power Mix'!IIZ15)*860/10)+((('Form Sa1'!IJC835)*860)/10)+('Form Sa1'!IJC814*'Form Sa1'!IJC816/10)-'NF - 5 Power Mix'!IIZ21-'NF - 5 Power Mix'!IIZ22</f>
        <v>0</v>
      </c>
      <c r="IJA42" s="1046">
        <f>IJA38+((IJA40+'NF - 5 Power Mix'!IJA14+'NF - 5 Power Mix'!IJA15)*860/10)+((('Form Sa1'!IJD835)*860)/10)+('Form Sa1'!IJD814*'Form Sa1'!IJD816/10)-'NF - 5 Power Mix'!IJA21-'NF - 5 Power Mix'!IJA22</f>
        <v>0</v>
      </c>
      <c r="IJB42" s="1046">
        <f>IJB38+((IJB40+'NF - 5 Power Mix'!IJB14+'NF - 5 Power Mix'!IJB15)*860/10)+((('Form Sa1'!IJE835)*860)/10)+('Form Sa1'!IJE814*'Form Sa1'!IJE816/10)-'NF - 5 Power Mix'!IJB21-'NF - 5 Power Mix'!IJB22</f>
        <v>0</v>
      </c>
      <c r="IJC42" s="1046">
        <f>IJC38+((IJC40+'NF - 5 Power Mix'!IJC14+'NF - 5 Power Mix'!IJC15)*860/10)+((('Form Sa1'!IJF835)*860)/10)+('Form Sa1'!IJF814*'Form Sa1'!IJF816/10)-'NF - 5 Power Mix'!IJC21-'NF - 5 Power Mix'!IJC22</f>
        <v>0</v>
      </c>
      <c r="IJD42" s="1046">
        <f>IJD38+((IJD40+'NF - 5 Power Mix'!IJD14+'NF - 5 Power Mix'!IJD15)*860/10)+((('Form Sa1'!IJG835)*860)/10)+('Form Sa1'!IJG814*'Form Sa1'!IJG816/10)-'NF - 5 Power Mix'!IJD21-'NF - 5 Power Mix'!IJD22</f>
        <v>0</v>
      </c>
      <c r="IJE42" s="1046">
        <f>IJE38+((IJE40+'NF - 5 Power Mix'!IJE14+'NF - 5 Power Mix'!IJE15)*860/10)+((('Form Sa1'!IJH835)*860)/10)+('Form Sa1'!IJH814*'Form Sa1'!IJH816/10)-'NF - 5 Power Mix'!IJE21-'NF - 5 Power Mix'!IJE22</f>
        <v>0</v>
      </c>
      <c r="IJF42" s="1046">
        <f>IJF38+((IJF40+'NF - 5 Power Mix'!IJF14+'NF - 5 Power Mix'!IJF15)*860/10)+((('Form Sa1'!IJI835)*860)/10)+('Form Sa1'!IJI814*'Form Sa1'!IJI816/10)-'NF - 5 Power Mix'!IJF21-'NF - 5 Power Mix'!IJF22</f>
        <v>0</v>
      </c>
      <c r="IJG42" s="1046">
        <f>IJG38+((IJG40+'NF - 5 Power Mix'!IJG14+'NF - 5 Power Mix'!IJG15)*860/10)+((('Form Sa1'!IJJ835)*860)/10)+('Form Sa1'!IJJ814*'Form Sa1'!IJJ816/10)-'NF - 5 Power Mix'!IJG21-'NF - 5 Power Mix'!IJG22</f>
        <v>0</v>
      </c>
      <c r="IJH42" s="1046">
        <f>IJH38+((IJH40+'NF - 5 Power Mix'!IJH14+'NF - 5 Power Mix'!IJH15)*860/10)+((('Form Sa1'!IJK835)*860)/10)+('Form Sa1'!IJK814*'Form Sa1'!IJK816/10)-'NF - 5 Power Mix'!IJH21-'NF - 5 Power Mix'!IJH22</f>
        <v>0</v>
      </c>
      <c r="IJI42" s="1046">
        <f>IJI38+((IJI40+'NF - 5 Power Mix'!IJI14+'NF - 5 Power Mix'!IJI15)*860/10)+((('Form Sa1'!IJL835)*860)/10)+('Form Sa1'!IJL814*'Form Sa1'!IJL816/10)-'NF - 5 Power Mix'!IJI21-'NF - 5 Power Mix'!IJI22</f>
        <v>0</v>
      </c>
      <c r="IJJ42" s="1046">
        <f>IJJ38+((IJJ40+'NF - 5 Power Mix'!IJJ14+'NF - 5 Power Mix'!IJJ15)*860/10)+((('Form Sa1'!IJM835)*860)/10)+('Form Sa1'!IJM814*'Form Sa1'!IJM816/10)-'NF - 5 Power Mix'!IJJ21-'NF - 5 Power Mix'!IJJ22</f>
        <v>0</v>
      </c>
      <c r="IJK42" s="1046">
        <f>IJK38+((IJK40+'NF - 5 Power Mix'!IJK14+'NF - 5 Power Mix'!IJK15)*860/10)+((('Form Sa1'!IJN835)*860)/10)+('Form Sa1'!IJN814*'Form Sa1'!IJN816/10)-'NF - 5 Power Mix'!IJK21-'NF - 5 Power Mix'!IJK22</f>
        <v>0</v>
      </c>
      <c r="IJL42" s="1046">
        <f>IJL38+((IJL40+'NF - 5 Power Mix'!IJL14+'NF - 5 Power Mix'!IJL15)*860/10)+((('Form Sa1'!IJO835)*860)/10)+('Form Sa1'!IJO814*'Form Sa1'!IJO816/10)-'NF - 5 Power Mix'!IJL21-'NF - 5 Power Mix'!IJL22</f>
        <v>0</v>
      </c>
      <c r="IJM42" s="1046">
        <f>IJM38+((IJM40+'NF - 5 Power Mix'!IJM14+'NF - 5 Power Mix'!IJM15)*860/10)+((('Form Sa1'!IJP835)*860)/10)+('Form Sa1'!IJP814*'Form Sa1'!IJP816/10)-'NF - 5 Power Mix'!IJM21-'NF - 5 Power Mix'!IJM22</f>
        <v>0</v>
      </c>
      <c r="IJN42" s="1046">
        <f>IJN38+((IJN40+'NF - 5 Power Mix'!IJN14+'NF - 5 Power Mix'!IJN15)*860/10)+((('Form Sa1'!IJQ835)*860)/10)+('Form Sa1'!IJQ814*'Form Sa1'!IJQ816/10)-'NF - 5 Power Mix'!IJN21-'NF - 5 Power Mix'!IJN22</f>
        <v>0</v>
      </c>
      <c r="IJO42" s="1046">
        <f>IJO38+((IJO40+'NF - 5 Power Mix'!IJO14+'NF - 5 Power Mix'!IJO15)*860/10)+((('Form Sa1'!IJR835)*860)/10)+('Form Sa1'!IJR814*'Form Sa1'!IJR816/10)-'NF - 5 Power Mix'!IJO21-'NF - 5 Power Mix'!IJO22</f>
        <v>0</v>
      </c>
      <c r="IJP42" s="1046">
        <f>IJP38+((IJP40+'NF - 5 Power Mix'!IJP14+'NF - 5 Power Mix'!IJP15)*860/10)+((('Form Sa1'!IJS835)*860)/10)+('Form Sa1'!IJS814*'Form Sa1'!IJS816/10)-'NF - 5 Power Mix'!IJP21-'NF - 5 Power Mix'!IJP22</f>
        <v>0</v>
      </c>
      <c r="IJQ42" s="1046">
        <f>IJQ38+((IJQ40+'NF - 5 Power Mix'!IJQ14+'NF - 5 Power Mix'!IJQ15)*860/10)+((('Form Sa1'!IJT835)*860)/10)+('Form Sa1'!IJT814*'Form Sa1'!IJT816/10)-'NF - 5 Power Mix'!IJQ21-'NF - 5 Power Mix'!IJQ22</f>
        <v>0</v>
      </c>
      <c r="IJR42" s="1046">
        <f>IJR38+((IJR40+'NF - 5 Power Mix'!IJR14+'NF - 5 Power Mix'!IJR15)*860/10)+((('Form Sa1'!IJU835)*860)/10)+('Form Sa1'!IJU814*'Form Sa1'!IJU816/10)-'NF - 5 Power Mix'!IJR21-'NF - 5 Power Mix'!IJR22</f>
        <v>0</v>
      </c>
      <c r="IJS42" s="1046">
        <f>IJS38+((IJS40+'NF - 5 Power Mix'!IJS14+'NF - 5 Power Mix'!IJS15)*860/10)+((('Form Sa1'!IJV835)*860)/10)+('Form Sa1'!IJV814*'Form Sa1'!IJV816/10)-'NF - 5 Power Mix'!IJS21-'NF - 5 Power Mix'!IJS22</f>
        <v>0</v>
      </c>
      <c r="IJT42" s="1046">
        <f>IJT38+((IJT40+'NF - 5 Power Mix'!IJT14+'NF - 5 Power Mix'!IJT15)*860/10)+((('Form Sa1'!IJW835)*860)/10)+('Form Sa1'!IJW814*'Form Sa1'!IJW816/10)-'NF - 5 Power Mix'!IJT21-'NF - 5 Power Mix'!IJT22</f>
        <v>0</v>
      </c>
      <c r="IJU42" s="1046">
        <f>IJU38+((IJU40+'NF - 5 Power Mix'!IJU14+'NF - 5 Power Mix'!IJU15)*860/10)+((('Form Sa1'!IJX835)*860)/10)+('Form Sa1'!IJX814*'Form Sa1'!IJX816/10)-'NF - 5 Power Mix'!IJU21-'NF - 5 Power Mix'!IJU22</f>
        <v>0</v>
      </c>
      <c r="IJV42" s="1046">
        <f>IJV38+((IJV40+'NF - 5 Power Mix'!IJV14+'NF - 5 Power Mix'!IJV15)*860/10)+((('Form Sa1'!IJY835)*860)/10)+('Form Sa1'!IJY814*'Form Sa1'!IJY816/10)-'NF - 5 Power Mix'!IJV21-'NF - 5 Power Mix'!IJV22</f>
        <v>0</v>
      </c>
      <c r="IJW42" s="1046">
        <f>IJW38+((IJW40+'NF - 5 Power Mix'!IJW14+'NF - 5 Power Mix'!IJW15)*860/10)+((('Form Sa1'!IJZ835)*860)/10)+('Form Sa1'!IJZ814*'Form Sa1'!IJZ816/10)-'NF - 5 Power Mix'!IJW21-'NF - 5 Power Mix'!IJW22</f>
        <v>0</v>
      </c>
      <c r="IJX42" s="1046">
        <f>IJX38+((IJX40+'NF - 5 Power Mix'!IJX14+'NF - 5 Power Mix'!IJX15)*860/10)+((('Form Sa1'!IKA835)*860)/10)+('Form Sa1'!IKA814*'Form Sa1'!IKA816/10)-'NF - 5 Power Mix'!IJX21-'NF - 5 Power Mix'!IJX22</f>
        <v>0</v>
      </c>
      <c r="IJY42" s="1046">
        <f>IJY38+((IJY40+'NF - 5 Power Mix'!IJY14+'NF - 5 Power Mix'!IJY15)*860/10)+((('Form Sa1'!IKB835)*860)/10)+('Form Sa1'!IKB814*'Form Sa1'!IKB816/10)-'NF - 5 Power Mix'!IJY21-'NF - 5 Power Mix'!IJY22</f>
        <v>0</v>
      </c>
      <c r="IJZ42" s="1046">
        <f>IJZ38+((IJZ40+'NF - 5 Power Mix'!IJZ14+'NF - 5 Power Mix'!IJZ15)*860/10)+((('Form Sa1'!IKC835)*860)/10)+('Form Sa1'!IKC814*'Form Sa1'!IKC816/10)-'NF - 5 Power Mix'!IJZ21-'NF - 5 Power Mix'!IJZ22</f>
        <v>0</v>
      </c>
      <c r="IKA42" s="1046">
        <f>IKA38+((IKA40+'NF - 5 Power Mix'!IKA14+'NF - 5 Power Mix'!IKA15)*860/10)+((('Form Sa1'!IKD835)*860)/10)+('Form Sa1'!IKD814*'Form Sa1'!IKD816/10)-'NF - 5 Power Mix'!IKA21-'NF - 5 Power Mix'!IKA22</f>
        <v>0</v>
      </c>
      <c r="IKB42" s="1046">
        <f>IKB38+((IKB40+'NF - 5 Power Mix'!IKB14+'NF - 5 Power Mix'!IKB15)*860/10)+((('Form Sa1'!IKE835)*860)/10)+('Form Sa1'!IKE814*'Form Sa1'!IKE816/10)-'NF - 5 Power Mix'!IKB21-'NF - 5 Power Mix'!IKB22</f>
        <v>0</v>
      </c>
      <c r="IKC42" s="1046">
        <f>IKC38+((IKC40+'NF - 5 Power Mix'!IKC14+'NF - 5 Power Mix'!IKC15)*860/10)+((('Form Sa1'!IKF835)*860)/10)+('Form Sa1'!IKF814*'Form Sa1'!IKF816/10)-'NF - 5 Power Mix'!IKC21-'NF - 5 Power Mix'!IKC22</f>
        <v>0</v>
      </c>
      <c r="IKD42" s="1046">
        <f>IKD38+((IKD40+'NF - 5 Power Mix'!IKD14+'NF - 5 Power Mix'!IKD15)*860/10)+((('Form Sa1'!IKG835)*860)/10)+('Form Sa1'!IKG814*'Form Sa1'!IKG816/10)-'NF - 5 Power Mix'!IKD21-'NF - 5 Power Mix'!IKD22</f>
        <v>0</v>
      </c>
      <c r="IKE42" s="1046">
        <f>IKE38+((IKE40+'NF - 5 Power Mix'!IKE14+'NF - 5 Power Mix'!IKE15)*860/10)+((('Form Sa1'!IKH835)*860)/10)+('Form Sa1'!IKH814*'Form Sa1'!IKH816/10)-'NF - 5 Power Mix'!IKE21-'NF - 5 Power Mix'!IKE22</f>
        <v>0</v>
      </c>
      <c r="IKF42" s="1046">
        <f>IKF38+((IKF40+'NF - 5 Power Mix'!IKF14+'NF - 5 Power Mix'!IKF15)*860/10)+((('Form Sa1'!IKI835)*860)/10)+('Form Sa1'!IKI814*'Form Sa1'!IKI816/10)-'NF - 5 Power Mix'!IKF21-'NF - 5 Power Mix'!IKF22</f>
        <v>0</v>
      </c>
      <c r="IKG42" s="1046">
        <f>IKG38+((IKG40+'NF - 5 Power Mix'!IKG14+'NF - 5 Power Mix'!IKG15)*860/10)+((('Form Sa1'!IKJ835)*860)/10)+('Form Sa1'!IKJ814*'Form Sa1'!IKJ816/10)-'NF - 5 Power Mix'!IKG21-'NF - 5 Power Mix'!IKG22</f>
        <v>0</v>
      </c>
      <c r="IKH42" s="1046">
        <f>IKH38+((IKH40+'NF - 5 Power Mix'!IKH14+'NF - 5 Power Mix'!IKH15)*860/10)+((('Form Sa1'!IKK835)*860)/10)+('Form Sa1'!IKK814*'Form Sa1'!IKK816/10)-'NF - 5 Power Mix'!IKH21-'NF - 5 Power Mix'!IKH22</f>
        <v>0</v>
      </c>
      <c r="IKI42" s="1046">
        <f>IKI38+((IKI40+'NF - 5 Power Mix'!IKI14+'NF - 5 Power Mix'!IKI15)*860/10)+((('Form Sa1'!IKL835)*860)/10)+('Form Sa1'!IKL814*'Form Sa1'!IKL816/10)-'NF - 5 Power Mix'!IKI21-'NF - 5 Power Mix'!IKI22</f>
        <v>0</v>
      </c>
      <c r="IKJ42" s="1046">
        <f>IKJ38+((IKJ40+'NF - 5 Power Mix'!IKJ14+'NF - 5 Power Mix'!IKJ15)*860/10)+((('Form Sa1'!IKM835)*860)/10)+('Form Sa1'!IKM814*'Form Sa1'!IKM816/10)-'NF - 5 Power Mix'!IKJ21-'NF - 5 Power Mix'!IKJ22</f>
        <v>0</v>
      </c>
      <c r="IKK42" s="1046">
        <f>IKK38+((IKK40+'NF - 5 Power Mix'!IKK14+'NF - 5 Power Mix'!IKK15)*860/10)+((('Form Sa1'!IKN835)*860)/10)+('Form Sa1'!IKN814*'Form Sa1'!IKN816/10)-'NF - 5 Power Mix'!IKK21-'NF - 5 Power Mix'!IKK22</f>
        <v>0</v>
      </c>
      <c r="IKL42" s="1046">
        <f>IKL38+((IKL40+'NF - 5 Power Mix'!IKL14+'NF - 5 Power Mix'!IKL15)*860/10)+((('Form Sa1'!IKO835)*860)/10)+('Form Sa1'!IKO814*'Form Sa1'!IKO816/10)-'NF - 5 Power Mix'!IKL21-'NF - 5 Power Mix'!IKL22</f>
        <v>0</v>
      </c>
      <c r="IKM42" s="1046">
        <f>IKM38+((IKM40+'NF - 5 Power Mix'!IKM14+'NF - 5 Power Mix'!IKM15)*860/10)+((('Form Sa1'!IKP835)*860)/10)+('Form Sa1'!IKP814*'Form Sa1'!IKP816/10)-'NF - 5 Power Mix'!IKM21-'NF - 5 Power Mix'!IKM22</f>
        <v>0</v>
      </c>
      <c r="IKN42" s="1046">
        <f>IKN38+((IKN40+'NF - 5 Power Mix'!IKN14+'NF - 5 Power Mix'!IKN15)*860/10)+((('Form Sa1'!IKQ835)*860)/10)+('Form Sa1'!IKQ814*'Form Sa1'!IKQ816/10)-'NF - 5 Power Mix'!IKN21-'NF - 5 Power Mix'!IKN22</f>
        <v>0</v>
      </c>
      <c r="IKO42" s="1046">
        <f>IKO38+((IKO40+'NF - 5 Power Mix'!IKO14+'NF - 5 Power Mix'!IKO15)*860/10)+((('Form Sa1'!IKR835)*860)/10)+('Form Sa1'!IKR814*'Form Sa1'!IKR816/10)-'NF - 5 Power Mix'!IKO21-'NF - 5 Power Mix'!IKO22</f>
        <v>0</v>
      </c>
      <c r="IKP42" s="1046">
        <f>IKP38+((IKP40+'NF - 5 Power Mix'!IKP14+'NF - 5 Power Mix'!IKP15)*860/10)+((('Form Sa1'!IKS835)*860)/10)+('Form Sa1'!IKS814*'Form Sa1'!IKS816/10)-'NF - 5 Power Mix'!IKP21-'NF - 5 Power Mix'!IKP22</f>
        <v>0</v>
      </c>
      <c r="IKQ42" s="1046">
        <f>IKQ38+((IKQ40+'NF - 5 Power Mix'!IKQ14+'NF - 5 Power Mix'!IKQ15)*860/10)+((('Form Sa1'!IKT835)*860)/10)+('Form Sa1'!IKT814*'Form Sa1'!IKT816/10)-'NF - 5 Power Mix'!IKQ21-'NF - 5 Power Mix'!IKQ22</f>
        <v>0</v>
      </c>
      <c r="IKR42" s="1046">
        <f>IKR38+((IKR40+'NF - 5 Power Mix'!IKR14+'NF - 5 Power Mix'!IKR15)*860/10)+((('Form Sa1'!IKU835)*860)/10)+('Form Sa1'!IKU814*'Form Sa1'!IKU816/10)-'NF - 5 Power Mix'!IKR21-'NF - 5 Power Mix'!IKR22</f>
        <v>0</v>
      </c>
      <c r="IKS42" s="1046">
        <f>IKS38+((IKS40+'NF - 5 Power Mix'!IKS14+'NF - 5 Power Mix'!IKS15)*860/10)+((('Form Sa1'!IKV835)*860)/10)+('Form Sa1'!IKV814*'Form Sa1'!IKV816/10)-'NF - 5 Power Mix'!IKS21-'NF - 5 Power Mix'!IKS22</f>
        <v>0</v>
      </c>
      <c r="IKT42" s="1046">
        <f>IKT38+((IKT40+'NF - 5 Power Mix'!IKT14+'NF - 5 Power Mix'!IKT15)*860/10)+((('Form Sa1'!IKW835)*860)/10)+('Form Sa1'!IKW814*'Form Sa1'!IKW816/10)-'NF - 5 Power Mix'!IKT21-'NF - 5 Power Mix'!IKT22</f>
        <v>0</v>
      </c>
      <c r="IKU42" s="1046">
        <f>IKU38+((IKU40+'NF - 5 Power Mix'!IKU14+'NF - 5 Power Mix'!IKU15)*860/10)+((('Form Sa1'!IKX835)*860)/10)+('Form Sa1'!IKX814*'Form Sa1'!IKX816/10)-'NF - 5 Power Mix'!IKU21-'NF - 5 Power Mix'!IKU22</f>
        <v>0</v>
      </c>
      <c r="IKV42" s="1046">
        <f>IKV38+((IKV40+'NF - 5 Power Mix'!IKV14+'NF - 5 Power Mix'!IKV15)*860/10)+((('Form Sa1'!IKY835)*860)/10)+('Form Sa1'!IKY814*'Form Sa1'!IKY816/10)-'NF - 5 Power Mix'!IKV21-'NF - 5 Power Mix'!IKV22</f>
        <v>0</v>
      </c>
      <c r="IKW42" s="1046">
        <f>IKW38+((IKW40+'NF - 5 Power Mix'!IKW14+'NF - 5 Power Mix'!IKW15)*860/10)+((('Form Sa1'!IKZ835)*860)/10)+('Form Sa1'!IKZ814*'Form Sa1'!IKZ816/10)-'NF - 5 Power Mix'!IKW21-'NF - 5 Power Mix'!IKW22</f>
        <v>0</v>
      </c>
      <c r="IKX42" s="1046">
        <f>IKX38+((IKX40+'NF - 5 Power Mix'!IKX14+'NF - 5 Power Mix'!IKX15)*860/10)+((('Form Sa1'!ILA835)*860)/10)+('Form Sa1'!ILA814*'Form Sa1'!ILA816/10)-'NF - 5 Power Mix'!IKX21-'NF - 5 Power Mix'!IKX22</f>
        <v>0</v>
      </c>
      <c r="IKY42" s="1046">
        <f>IKY38+((IKY40+'NF - 5 Power Mix'!IKY14+'NF - 5 Power Mix'!IKY15)*860/10)+((('Form Sa1'!ILB835)*860)/10)+('Form Sa1'!ILB814*'Form Sa1'!ILB816/10)-'NF - 5 Power Mix'!IKY21-'NF - 5 Power Mix'!IKY22</f>
        <v>0</v>
      </c>
      <c r="IKZ42" s="1046">
        <f>IKZ38+((IKZ40+'NF - 5 Power Mix'!IKZ14+'NF - 5 Power Mix'!IKZ15)*860/10)+((('Form Sa1'!ILC835)*860)/10)+('Form Sa1'!ILC814*'Form Sa1'!ILC816/10)-'NF - 5 Power Mix'!IKZ21-'NF - 5 Power Mix'!IKZ22</f>
        <v>0</v>
      </c>
      <c r="ILA42" s="1046">
        <f>ILA38+((ILA40+'NF - 5 Power Mix'!ILA14+'NF - 5 Power Mix'!ILA15)*860/10)+((('Form Sa1'!ILD835)*860)/10)+('Form Sa1'!ILD814*'Form Sa1'!ILD816/10)-'NF - 5 Power Mix'!ILA21-'NF - 5 Power Mix'!ILA22</f>
        <v>0</v>
      </c>
      <c r="ILB42" s="1046">
        <f>ILB38+((ILB40+'NF - 5 Power Mix'!ILB14+'NF - 5 Power Mix'!ILB15)*860/10)+((('Form Sa1'!ILE835)*860)/10)+('Form Sa1'!ILE814*'Form Sa1'!ILE816/10)-'NF - 5 Power Mix'!ILB21-'NF - 5 Power Mix'!ILB22</f>
        <v>0</v>
      </c>
      <c r="ILC42" s="1046">
        <f>ILC38+((ILC40+'NF - 5 Power Mix'!ILC14+'NF - 5 Power Mix'!ILC15)*860/10)+((('Form Sa1'!ILF835)*860)/10)+('Form Sa1'!ILF814*'Form Sa1'!ILF816/10)-'NF - 5 Power Mix'!ILC21-'NF - 5 Power Mix'!ILC22</f>
        <v>0</v>
      </c>
      <c r="ILD42" s="1046">
        <f>ILD38+((ILD40+'NF - 5 Power Mix'!ILD14+'NF - 5 Power Mix'!ILD15)*860/10)+((('Form Sa1'!ILG835)*860)/10)+('Form Sa1'!ILG814*'Form Sa1'!ILG816/10)-'NF - 5 Power Mix'!ILD21-'NF - 5 Power Mix'!ILD22</f>
        <v>0</v>
      </c>
      <c r="ILE42" s="1046">
        <f>ILE38+((ILE40+'NF - 5 Power Mix'!ILE14+'NF - 5 Power Mix'!ILE15)*860/10)+((('Form Sa1'!ILH835)*860)/10)+('Form Sa1'!ILH814*'Form Sa1'!ILH816/10)-'NF - 5 Power Mix'!ILE21-'NF - 5 Power Mix'!ILE22</f>
        <v>0</v>
      </c>
      <c r="ILF42" s="1046">
        <f>ILF38+((ILF40+'NF - 5 Power Mix'!ILF14+'NF - 5 Power Mix'!ILF15)*860/10)+((('Form Sa1'!ILI835)*860)/10)+('Form Sa1'!ILI814*'Form Sa1'!ILI816/10)-'NF - 5 Power Mix'!ILF21-'NF - 5 Power Mix'!ILF22</f>
        <v>0</v>
      </c>
      <c r="ILG42" s="1046">
        <f>ILG38+((ILG40+'NF - 5 Power Mix'!ILG14+'NF - 5 Power Mix'!ILG15)*860/10)+((('Form Sa1'!ILJ835)*860)/10)+('Form Sa1'!ILJ814*'Form Sa1'!ILJ816/10)-'NF - 5 Power Mix'!ILG21-'NF - 5 Power Mix'!ILG22</f>
        <v>0</v>
      </c>
      <c r="ILH42" s="1046">
        <f>ILH38+((ILH40+'NF - 5 Power Mix'!ILH14+'NF - 5 Power Mix'!ILH15)*860/10)+((('Form Sa1'!ILK835)*860)/10)+('Form Sa1'!ILK814*'Form Sa1'!ILK816/10)-'NF - 5 Power Mix'!ILH21-'NF - 5 Power Mix'!ILH22</f>
        <v>0</v>
      </c>
      <c r="ILI42" s="1046">
        <f>ILI38+((ILI40+'NF - 5 Power Mix'!ILI14+'NF - 5 Power Mix'!ILI15)*860/10)+((('Form Sa1'!ILL835)*860)/10)+('Form Sa1'!ILL814*'Form Sa1'!ILL816/10)-'NF - 5 Power Mix'!ILI21-'NF - 5 Power Mix'!ILI22</f>
        <v>0</v>
      </c>
      <c r="ILJ42" s="1046">
        <f>ILJ38+((ILJ40+'NF - 5 Power Mix'!ILJ14+'NF - 5 Power Mix'!ILJ15)*860/10)+((('Form Sa1'!ILM835)*860)/10)+('Form Sa1'!ILM814*'Form Sa1'!ILM816/10)-'NF - 5 Power Mix'!ILJ21-'NF - 5 Power Mix'!ILJ22</f>
        <v>0</v>
      </c>
      <c r="ILK42" s="1046">
        <f>ILK38+((ILK40+'NF - 5 Power Mix'!ILK14+'NF - 5 Power Mix'!ILK15)*860/10)+((('Form Sa1'!ILN835)*860)/10)+('Form Sa1'!ILN814*'Form Sa1'!ILN816/10)-'NF - 5 Power Mix'!ILK21-'NF - 5 Power Mix'!ILK22</f>
        <v>0</v>
      </c>
      <c r="ILL42" s="1046">
        <f>ILL38+((ILL40+'NF - 5 Power Mix'!ILL14+'NF - 5 Power Mix'!ILL15)*860/10)+((('Form Sa1'!ILO835)*860)/10)+('Form Sa1'!ILO814*'Form Sa1'!ILO816/10)-'NF - 5 Power Mix'!ILL21-'NF - 5 Power Mix'!ILL22</f>
        <v>0</v>
      </c>
      <c r="ILM42" s="1046">
        <f>ILM38+((ILM40+'NF - 5 Power Mix'!ILM14+'NF - 5 Power Mix'!ILM15)*860/10)+((('Form Sa1'!ILP835)*860)/10)+('Form Sa1'!ILP814*'Form Sa1'!ILP816/10)-'NF - 5 Power Mix'!ILM21-'NF - 5 Power Mix'!ILM22</f>
        <v>0</v>
      </c>
      <c r="ILN42" s="1046">
        <f>ILN38+((ILN40+'NF - 5 Power Mix'!ILN14+'NF - 5 Power Mix'!ILN15)*860/10)+((('Form Sa1'!ILQ835)*860)/10)+('Form Sa1'!ILQ814*'Form Sa1'!ILQ816/10)-'NF - 5 Power Mix'!ILN21-'NF - 5 Power Mix'!ILN22</f>
        <v>0</v>
      </c>
      <c r="ILO42" s="1046">
        <f>ILO38+((ILO40+'NF - 5 Power Mix'!ILO14+'NF - 5 Power Mix'!ILO15)*860/10)+((('Form Sa1'!ILR835)*860)/10)+('Form Sa1'!ILR814*'Form Sa1'!ILR816/10)-'NF - 5 Power Mix'!ILO21-'NF - 5 Power Mix'!ILO22</f>
        <v>0</v>
      </c>
      <c r="ILP42" s="1046">
        <f>ILP38+((ILP40+'NF - 5 Power Mix'!ILP14+'NF - 5 Power Mix'!ILP15)*860/10)+((('Form Sa1'!ILS835)*860)/10)+('Form Sa1'!ILS814*'Form Sa1'!ILS816/10)-'NF - 5 Power Mix'!ILP21-'NF - 5 Power Mix'!ILP22</f>
        <v>0</v>
      </c>
      <c r="ILQ42" s="1046">
        <f>ILQ38+((ILQ40+'NF - 5 Power Mix'!ILQ14+'NF - 5 Power Mix'!ILQ15)*860/10)+((('Form Sa1'!ILT835)*860)/10)+('Form Sa1'!ILT814*'Form Sa1'!ILT816/10)-'NF - 5 Power Mix'!ILQ21-'NF - 5 Power Mix'!ILQ22</f>
        <v>0</v>
      </c>
      <c r="ILR42" s="1046">
        <f>ILR38+((ILR40+'NF - 5 Power Mix'!ILR14+'NF - 5 Power Mix'!ILR15)*860/10)+((('Form Sa1'!ILU835)*860)/10)+('Form Sa1'!ILU814*'Form Sa1'!ILU816/10)-'NF - 5 Power Mix'!ILR21-'NF - 5 Power Mix'!ILR22</f>
        <v>0</v>
      </c>
      <c r="ILS42" s="1046">
        <f>ILS38+((ILS40+'NF - 5 Power Mix'!ILS14+'NF - 5 Power Mix'!ILS15)*860/10)+((('Form Sa1'!ILV835)*860)/10)+('Form Sa1'!ILV814*'Form Sa1'!ILV816/10)-'NF - 5 Power Mix'!ILS21-'NF - 5 Power Mix'!ILS22</f>
        <v>0</v>
      </c>
      <c r="ILT42" s="1046">
        <f>ILT38+((ILT40+'NF - 5 Power Mix'!ILT14+'NF - 5 Power Mix'!ILT15)*860/10)+((('Form Sa1'!ILW835)*860)/10)+('Form Sa1'!ILW814*'Form Sa1'!ILW816/10)-'NF - 5 Power Mix'!ILT21-'NF - 5 Power Mix'!ILT22</f>
        <v>0</v>
      </c>
      <c r="ILU42" s="1046">
        <f>ILU38+((ILU40+'NF - 5 Power Mix'!ILU14+'NF - 5 Power Mix'!ILU15)*860/10)+((('Form Sa1'!ILX835)*860)/10)+('Form Sa1'!ILX814*'Form Sa1'!ILX816/10)-'NF - 5 Power Mix'!ILU21-'NF - 5 Power Mix'!ILU22</f>
        <v>0</v>
      </c>
      <c r="ILV42" s="1046">
        <f>ILV38+((ILV40+'NF - 5 Power Mix'!ILV14+'NF - 5 Power Mix'!ILV15)*860/10)+((('Form Sa1'!ILY835)*860)/10)+('Form Sa1'!ILY814*'Form Sa1'!ILY816/10)-'NF - 5 Power Mix'!ILV21-'NF - 5 Power Mix'!ILV22</f>
        <v>0</v>
      </c>
      <c r="ILW42" s="1046">
        <f>ILW38+((ILW40+'NF - 5 Power Mix'!ILW14+'NF - 5 Power Mix'!ILW15)*860/10)+((('Form Sa1'!ILZ835)*860)/10)+('Form Sa1'!ILZ814*'Form Sa1'!ILZ816/10)-'NF - 5 Power Mix'!ILW21-'NF - 5 Power Mix'!ILW22</f>
        <v>0</v>
      </c>
      <c r="ILX42" s="1046">
        <f>ILX38+((ILX40+'NF - 5 Power Mix'!ILX14+'NF - 5 Power Mix'!ILX15)*860/10)+((('Form Sa1'!IMA835)*860)/10)+('Form Sa1'!IMA814*'Form Sa1'!IMA816/10)-'NF - 5 Power Mix'!ILX21-'NF - 5 Power Mix'!ILX22</f>
        <v>0</v>
      </c>
      <c r="ILY42" s="1046">
        <f>ILY38+((ILY40+'NF - 5 Power Mix'!ILY14+'NF - 5 Power Mix'!ILY15)*860/10)+((('Form Sa1'!IMB835)*860)/10)+('Form Sa1'!IMB814*'Form Sa1'!IMB816/10)-'NF - 5 Power Mix'!ILY21-'NF - 5 Power Mix'!ILY22</f>
        <v>0</v>
      </c>
      <c r="ILZ42" s="1046">
        <f>ILZ38+((ILZ40+'NF - 5 Power Mix'!ILZ14+'NF - 5 Power Mix'!ILZ15)*860/10)+((('Form Sa1'!IMC835)*860)/10)+('Form Sa1'!IMC814*'Form Sa1'!IMC816/10)-'NF - 5 Power Mix'!ILZ21-'NF - 5 Power Mix'!ILZ22</f>
        <v>0</v>
      </c>
      <c r="IMA42" s="1046">
        <f>IMA38+((IMA40+'NF - 5 Power Mix'!IMA14+'NF - 5 Power Mix'!IMA15)*860/10)+((('Form Sa1'!IMD835)*860)/10)+('Form Sa1'!IMD814*'Form Sa1'!IMD816/10)-'NF - 5 Power Mix'!IMA21-'NF - 5 Power Mix'!IMA22</f>
        <v>0</v>
      </c>
      <c r="IMB42" s="1046">
        <f>IMB38+((IMB40+'NF - 5 Power Mix'!IMB14+'NF - 5 Power Mix'!IMB15)*860/10)+((('Form Sa1'!IME835)*860)/10)+('Form Sa1'!IME814*'Form Sa1'!IME816/10)-'NF - 5 Power Mix'!IMB21-'NF - 5 Power Mix'!IMB22</f>
        <v>0</v>
      </c>
      <c r="IMC42" s="1046">
        <f>IMC38+((IMC40+'NF - 5 Power Mix'!IMC14+'NF - 5 Power Mix'!IMC15)*860/10)+((('Form Sa1'!IMF835)*860)/10)+('Form Sa1'!IMF814*'Form Sa1'!IMF816/10)-'NF - 5 Power Mix'!IMC21-'NF - 5 Power Mix'!IMC22</f>
        <v>0</v>
      </c>
      <c r="IMD42" s="1046">
        <f>IMD38+((IMD40+'NF - 5 Power Mix'!IMD14+'NF - 5 Power Mix'!IMD15)*860/10)+((('Form Sa1'!IMG835)*860)/10)+('Form Sa1'!IMG814*'Form Sa1'!IMG816/10)-'NF - 5 Power Mix'!IMD21-'NF - 5 Power Mix'!IMD22</f>
        <v>0</v>
      </c>
      <c r="IME42" s="1046">
        <f>IME38+((IME40+'NF - 5 Power Mix'!IME14+'NF - 5 Power Mix'!IME15)*860/10)+((('Form Sa1'!IMH835)*860)/10)+('Form Sa1'!IMH814*'Form Sa1'!IMH816/10)-'NF - 5 Power Mix'!IME21-'NF - 5 Power Mix'!IME22</f>
        <v>0</v>
      </c>
      <c r="IMF42" s="1046">
        <f>IMF38+((IMF40+'NF - 5 Power Mix'!IMF14+'NF - 5 Power Mix'!IMF15)*860/10)+((('Form Sa1'!IMI835)*860)/10)+('Form Sa1'!IMI814*'Form Sa1'!IMI816/10)-'NF - 5 Power Mix'!IMF21-'NF - 5 Power Mix'!IMF22</f>
        <v>0</v>
      </c>
      <c r="IMG42" s="1046">
        <f>IMG38+((IMG40+'NF - 5 Power Mix'!IMG14+'NF - 5 Power Mix'!IMG15)*860/10)+((('Form Sa1'!IMJ835)*860)/10)+('Form Sa1'!IMJ814*'Form Sa1'!IMJ816/10)-'NF - 5 Power Mix'!IMG21-'NF - 5 Power Mix'!IMG22</f>
        <v>0</v>
      </c>
      <c r="IMH42" s="1046">
        <f>IMH38+((IMH40+'NF - 5 Power Mix'!IMH14+'NF - 5 Power Mix'!IMH15)*860/10)+((('Form Sa1'!IMK835)*860)/10)+('Form Sa1'!IMK814*'Form Sa1'!IMK816/10)-'NF - 5 Power Mix'!IMH21-'NF - 5 Power Mix'!IMH22</f>
        <v>0</v>
      </c>
      <c r="IMI42" s="1046">
        <f>IMI38+((IMI40+'NF - 5 Power Mix'!IMI14+'NF - 5 Power Mix'!IMI15)*860/10)+((('Form Sa1'!IML835)*860)/10)+('Form Sa1'!IML814*'Form Sa1'!IML816/10)-'NF - 5 Power Mix'!IMI21-'NF - 5 Power Mix'!IMI22</f>
        <v>0</v>
      </c>
      <c r="IMJ42" s="1046">
        <f>IMJ38+((IMJ40+'NF - 5 Power Mix'!IMJ14+'NF - 5 Power Mix'!IMJ15)*860/10)+((('Form Sa1'!IMM835)*860)/10)+('Form Sa1'!IMM814*'Form Sa1'!IMM816/10)-'NF - 5 Power Mix'!IMJ21-'NF - 5 Power Mix'!IMJ22</f>
        <v>0</v>
      </c>
      <c r="IMK42" s="1046">
        <f>IMK38+((IMK40+'NF - 5 Power Mix'!IMK14+'NF - 5 Power Mix'!IMK15)*860/10)+((('Form Sa1'!IMN835)*860)/10)+('Form Sa1'!IMN814*'Form Sa1'!IMN816/10)-'NF - 5 Power Mix'!IMK21-'NF - 5 Power Mix'!IMK22</f>
        <v>0</v>
      </c>
      <c r="IML42" s="1046">
        <f>IML38+((IML40+'NF - 5 Power Mix'!IML14+'NF - 5 Power Mix'!IML15)*860/10)+((('Form Sa1'!IMO835)*860)/10)+('Form Sa1'!IMO814*'Form Sa1'!IMO816/10)-'NF - 5 Power Mix'!IML21-'NF - 5 Power Mix'!IML22</f>
        <v>0</v>
      </c>
      <c r="IMM42" s="1046">
        <f>IMM38+((IMM40+'NF - 5 Power Mix'!IMM14+'NF - 5 Power Mix'!IMM15)*860/10)+((('Form Sa1'!IMP835)*860)/10)+('Form Sa1'!IMP814*'Form Sa1'!IMP816/10)-'NF - 5 Power Mix'!IMM21-'NF - 5 Power Mix'!IMM22</f>
        <v>0</v>
      </c>
      <c r="IMN42" s="1046">
        <f>IMN38+((IMN40+'NF - 5 Power Mix'!IMN14+'NF - 5 Power Mix'!IMN15)*860/10)+((('Form Sa1'!IMQ835)*860)/10)+('Form Sa1'!IMQ814*'Form Sa1'!IMQ816/10)-'NF - 5 Power Mix'!IMN21-'NF - 5 Power Mix'!IMN22</f>
        <v>0</v>
      </c>
      <c r="IMO42" s="1046">
        <f>IMO38+((IMO40+'NF - 5 Power Mix'!IMO14+'NF - 5 Power Mix'!IMO15)*860/10)+((('Form Sa1'!IMR835)*860)/10)+('Form Sa1'!IMR814*'Form Sa1'!IMR816/10)-'NF - 5 Power Mix'!IMO21-'NF - 5 Power Mix'!IMO22</f>
        <v>0</v>
      </c>
      <c r="IMP42" s="1046">
        <f>IMP38+((IMP40+'NF - 5 Power Mix'!IMP14+'NF - 5 Power Mix'!IMP15)*860/10)+((('Form Sa1'!IMS835)*860)/10)+('Form Sa1'!IMS814*'Form Sa1'!IMS816/10)-'NF - 5 Power Mix'!IMP21-'NF - 5 Power Mix'!IMP22</f>
        <v>0</v>
      </c>
      <c r="IMQ42" s="1046">
        <f>IMQ38+((IMQ40+'NF - 5 Power Mix'!IMQ14+'NF - 5 Power Mix'!IMQ15)*860/10)+((('Form Sa1'!IMT835)*860)/10)+('Form Sa1'!IMT814*'Form Sa1'!IMT816/10)-'NF - 5 Power Mix'!IMQ21-'NF - 5 Power Mix'!IMQ22</f>
        <v>0</v>
      </c>
      <c r="IMR42" s="1046">
        <f>IMR38+((IMR40+'NF - 5 Power Mix'!IMR14+'NF - 5 Power Mix'!IMR15)*860/10)+((('Form Sa1'!IMU835)*860)/10)+('Form Sa1'!IMU814*'Form Sa1'!IMU816/10)-'NF - 5 Power Mix'!IMR21-'NF - 5 Power Mix'!IMR22</f>
        <v>0</v>
      </c>
      <c r="IMS42" s="1046">
        <f>IMS38+((IMS40+'NF - 5 Power Mix'!IMS14+'NF - 5 Power Mix'!IMS15)*860/10)+((('Form Sa1'!IMV835)*860)/10)+('Form Sa1'!IMV814*'Form Sa1'!IMV816/10)-'NF - 5 Power Mix'!IMS21-'NF - 5 Power Mix'!IMS22</f>
        <v>0</v>
      </c>
      <c r="IMT42" s="1046">
        <f>IMT38+((IMT40+'NF - 5 Power Mix'!IMT14+'NF - 5 Power Mix'!IMT15)*860/10)+((('Form Sa1'!IMW835)*860)/10)+('Form Sa1'!IMW814*'Form Sa1'!IMW816/10)-'NF - 5 Power Mix'!IMT21-'NF - 5 Power Mix'!IMT22</f>
        <v>0</v>
      </c>
      <c r="IMU42" s="1046">
        <f>IMU38+((IMU40+'NF - 5 Power Mix'!IMU14+'NF - 5 Power Mix'!IMU15)*860/10)+((('Form Sa1'!IMX835)*860)/10)+('Form Sa1'!IMX814*'Form Sa1'!IMX816/10)-'NF - 5 Power Mix'!IMU21-'NF - 5 Power Mix'!IMU22</f>
        <v>0</v>
      </c>
      <c r="IMV42" s="1046">
        <f>IMV38+((IMV40+'NF - 5 Power Mix'!IMV14+'NF - 5 Power Mix'!IMV15)*860/10)+((('Form Sa1'!IMY835)*860)/10)+('Form Sa1'!IMY814*'Form Sa1'!IMY816/10)-'NF - 5 Power Mix'!IMV21-'NF - 5 Power Mix'!IMV22</f>
        <v>0</v>
      </c>
      <c r="IMW42" s="1046">
        <f>IMW38+((IMW40+'NF - 5 Power Mix'!IMW14+'NF - 5 Power Mix'!IMW15)*860/10)+((('Form Sa1'!IMZ835)*860)/10)+('Form Sa1'!IMZ814*'Form Sa1'!IMZ816/10)-'NF - 5 Power Mix'!IMW21-'NF - 5 Power Mix'!IMW22</f>
        <v>0</v>
      </c>
      <c r="IMX42" s="1046">
        <f>IMX38+((IMX40+'NF - 5 Power Mix'!IMX14+'NF - 5 Power Mix'!IMX15)*860/10)+((('Form Sa1'!INA835)*860)/10)+('Form Sa1'!INA814*'Form Sa1'!INA816/10)-'NF - 5 Power Mix'!IMX21-'NF - 5 Power Mix'!IMX22</f>
        <v>0</v>
      </c>
      <c r="IMY42" s="1046">
        <f>IMY38+((IMY40+'NF - 5 Power Mix'!IMY14+'NF - 5 Power Mix'!IMY15)*860/10)+((('Form Sa1'!INB835)*860)/10)+('Form Sa1'!INB814*'Form Sa1'!INB816/10)-'NF - 5 Power Mix'!IMY21-'NF - 5 Power Mix'!IMY22</f>
        <v>0</v>
      </c>
      <c r="IMZ42" s="1046">
        <f>IMZ38+((IMZ40+'NF - 5 Power Mix'!IMZ14+'NF - 5 Power Mix'!IMZ15)*860/10)+((('Form Sa1'!INC835)*860)/10)+('Form Sa1'!INC814*'Form Sa1'!INC816/10)-'NF - 5 Power Mix'!IMZ21-'NF - 5 Power Mix'!IMZ22</f>
        <v>0</v>
      </c>
      <c r="INA42" s="1046">
        <f>INA38+((INA40+'NF - 5 Power Mix'!INA14+'NF - 5 Power Mix'!INA15)*860/10)+((('Form Sa1'!IND835)*860)/10)+('Form Sa1'!IND814*'Form Sa1'!IND816/10)-'NF - 5 Power Mix'!INA21-'NF - 5 Power Mix'!INA22</f>
        <v>0</v>
      </c>
      <c r="INB42" s="1046">
        <f>INB38+((INB40+'NF - 5 Power Mix'!INB14+'NF - 5 Power Mix'!INB15)*860/10)+((('Form Sa1'!INE835)*860)/10)+('Form Sa1'!INE814*'Form Sa1'!INE816/10)-'NF - 5 Power Mix'!INB21-'NF - 5 Power Mix'!INB22</f>
        <v>0</v>
      </c>
      <c r="INC42" s="1046">
        <f>INC38+((INC40+'NF - 5 Power Mix'!INC14+'NF - 5 Power Mix'!INC15)*860/10)+((('Form Sa1'!INF835)*860)/10)+('Form Sa1'!INF814*'Form Sa1'!INF816/10)-'NF - 5 Power Mix'!INC21-'NF - 5 Power Mix'!INC22</f>
        <v>0</v>
      </c>
      <c r="IND42" s="1046">
        <f>IND38+((IND40+'NF - 5 Power Mix'!IND14+'NF - 5 Power Mix'!IND15)*860/10)+((('Form Sa1'!ING835)*860)/10)+('Form Sa1'!ING814*'Form Sa1'!ING816/10)-'NF - 5 Power Mix'!IND21-'NF - 5 Power Mix'!IND22</f>
        <v>0</v>
      </c>
      <c r="INE42" s="1046">
        <f>INE38+((INE40+'NF - 5 Power Mix'!INE14+'NF - 5 Power Mix'!INE15)*860/10)+((('Form Sa1'!INH835)*860)/10)+('Form Sa1'!INH814*'Form Sa1'!INH816/10)-'NF - 5 Power Mix'!INE21-'NF - 5 Power Mix'!INE22</f>
        <v>0</v>
      </c>
      <c r="INF42" s="1046">
        <f>INF38+((INF40+'NF - 5 Power Mix'!INF14+'NF - 5 Power Mix'!INF15)*860/10)+((('Form Sa1'!INI835)*860)/10)+('Form Sa1'!INI814*'Form Sa1'!INI816/10)-'NF - 5 Power Mix'!INF21-'NF - 5 Power Mix'!INF22</f>
        <v>0</v>
      </c>
      <c r="ING42" s="1046">
        <f>ING38+((ING40+'NF - 5 Power Mix'!ING14+'NF - 5 Power Mix'!ING15)*860/10)+((('Form Sa1'!INJ835)*860)/10)+('Form Sa1'!INJ814*'Form Sa1'!INJ816/10)-'NF - 5 Power Mix'!ING21-'NF - 5 Power Mix'!ING22</f>
        <v>0</v>
      </c>
      <c r="INH42" s="1046">
        <f>INH38+((INH40+'NF - 5 Power Mix'!INH14+'NF - 5 Power Mix'!INH15)*860/10)+((('Form Sa1'!INK835)*860)/10)+('Form Sa1'!INK814*'Form Sa1'!INK816/10)-'NF - 5 Power Mix'!INH21-'NF - 5 Power Mix'!INH22</f>
        <v>0</v>
      </c>
      <c r="INI42" s="1046">
        <f>INI38+((INI40+'NF - 5 Power Mix'!INI14+'NF - 5 Power Mix'!INI15)*860/10)+((('Form Sa1'!INL835)*860)/10)+('Form Sa1'!INL814*'Form Sa1'!INL816/10)-'NF - 5 Power Mix'!INI21-'NF - 5 Power Mix'!INI22</f>
        <v>0</v>
      </c>
      <c r="INJ42" s="1046">
        <f>INJ38+((INJ40+'NF - 5 Power Mix'!INJ14+'NF - 5 Power Mix'!INJ15)*860/10)+((('Form Sa1'!INM835)*860)/10)+('Form Sa1'!INM814*'Form Sa1'!INM816/10)-'NF - 5 Power Mix'!INJ21-'NF - 5 Power Mix'!INJ22</f>
        <v>0</v>
      </c>
      <c r="INK42" s="1046">
        <f>INK38+((INK40+'NF - 5 Power Mix'!INK14+'NF - 5 Power Mix'!INK15)*860/10)+((('Form Sa1'!INN835)*860)/10)+('Form Sa1'!INN814*'Form Sa1'!INN816/10)-'NF - 5 Power Mix'!INK21-'NF - 5 Power Mix'!INK22</f>
        <v>0</v>
      </c>
      <c r="INL42" s="1046">
        <f>INL38+((INL40+'NF - 5 Power Mix'!INL14+'NF - 5 Power Mix'!INL15)*860/10)+((('Form Sa1'!INO835)*860)/10)+('Form Sa1'!INO814*'Form Sa1'!INO816/10)-'NF - 5 Power Mix'!INL21-'NF - 5 Power Mix'!INL22</f>
        <v>0</v>
      </c>
      <c r="INM42" s="1046">
        <f>INM38+((INM40+'NF - 5 Power Mix'!INM14+'NF - 5 Power Mix'!INM15)*860/10)+((('Form Sa1'!INP835)*860)/10)+('Form Sa1'!INP814*'Form Sa1'!INP816/10)-'NF - 5 Power Mix'!INM21-'NF - 5 Power Mix'!INM22</f>
        <v>0</v>
      </c>
      <c r="INN42" s="1046">
        <f>INN38+((INN40+'NF - 5 Power Mix'!INN14+'NF - 5 Power Mix'!INN15)*860/10)+((('Form Sa1'!INQ835)*860)/10)+('Form Sa1'!INQ814*'Form Sa1'!INQ816/10)-'NF - 5 Power Mix'!INN21-'NF - 5 Power Mix'!INN22</f>
        <v>0</v>
      </c>
      <c r="INO42" s="1046">
        <f>INO38+((INO40+'NF - 5 Power Mix'!INO14+'NF - 5 Power Mix'!INO15)*860/10)+((('Form Sa1'!INR835)*860)/10)+('Form Sa1'!INR814*'Form Sa1'!INR816/10)-'NF - 5 Power Mix'!INO21-'NF - 5 Power Mix'!INO22</f>
        <v>0</v>
      </c>
      <c r="INP42" s="1046">
        <f>INP38+((INP40+'NF - 5 Power Mix'!INP14+'NF - 5 Power Mix'!INP15)*860/10)+((('Form Sa1'!INS835)*860)/10)+('Form Sa1'!INS814*'Form Sa1'!INS816/10)-'NF - 5 Power Mix'!INP21-'NF - 5 Power Mix'!INP22</f>
        <v>0</v>
      </c>
      <c r="INQ42" s="1046">
        <f>INQ38+((INQ40+'NF - 5 Power Mix'!INQ14+'NF - 5 Power Mix'!INQ15)*860/10)+((('Form Sa1'!INT835)*860)/10)+('Form Sa1'!INT814*'Form Sa1'!INT816/10)-'NF - 5 Power Mix'!INQ21-'NF - 5 Power Mix'!INQ22</f>
        <v>0</v>
      </c>
      <c r="INR42" s="1046">
        <f>INR38+((INR40+'NF - 5 Power Mix'!INR14+'NF - 5 Power Mix'!INR15)*860/10)+((('Form Sa1'!INU835)*860)/10)+('Form Sa1'!INU814*'Form Sa1'!INU816/10)-'NF - 5 Power Mix'!INR21-'NF - 5 Power Mix'!INR22</f>
        <v>0</v>
      </c>
      <c r="INS42" s="1046">
        <f>INS38+((INS40+'NF - 5 Power Mix'!INS14+'NF - 5 Power Mix'!INS15)*860/10)+((('Form Sa1'!INV835)*860)/10)+('Form Sa1'!INV814*'Form Sa1'!INV816/10)-'NF - 5 Power Mix'!INS21-'NF - 5 Power Mix'!INS22</f>
        <v>0</v>
      </c>
      <c r="INT42" s="1046">
        <f>INT38+((INT40+'NF - 5 Power Mix'!INT14+'NF - 5 Power Mix'!INT15)*860/10)+((('Form Sa1'!INW835)*860)/10)+('Form Sa1'!INW814*'Form Sa1'!INW816/10)-'NF - 5 Power Mix'!INT21-'NF - 5 Power Mix'!INT22</f>
        <v>0</v>
      </c>
      <c r="INU42" s="1046">
        <f>INU38+((INU40+'NF - 5 Power Mix'!INU14+'NF - 5 Power Mix'!INU15)*860/10)+((('Form Sa1'!INX835)*860)/10)+('Form Sa1'!INX814*'Form Sa1'!INX816/10)-'NF - 5 Power Mix'!INU21-'NF - 5 Power Mix'!INU22</f>
        <v>0</v>
      </c>
      <c r="INV42" s="1046">
        <f>INV38+((INV40+'NF - 5 Power Mix'!INV14+'NF - 5 Power Mix'!INV15)*860/10)+((('Form Sa1'!INY835)*860)/10)+('Form Sa1'!INY814*'Form Sa1'!INY816/10)-'NF - 5 Power Mix'!INV21-'NF - 5 Power Mix'!INV22</f>
        <v>0</v>
      </c>
      <c r="INW42" s="1046">
        <f>INW38+((INW40+'NF - 5 Power Mix'!INW14+'NF - 5 Power Mix'!INW15)*860/10)+((('Form Sa1'!INZ835)*860)/10)+('Form Sa1'!INZ814*'Form Sa1'!INZ816/10)-'NF - 5 Power Mix'!INW21-'NF - 5 Power Mix'!INW22</f>
        <v>0</v>
      </c>
      <c r="INX42" s="1046">
        <f>INX38+((INX40+'NF - 5 Power Mix'!INX14+'NF - 5 Power Mix'!INX15)*860/10)+((('Form Sa1'!IOA835)*860)/10)+('Form Sa1'!IOA814*'Form Sa1'!IOA816/10)-'NF - 5 Power Mix'!INX21-'NF - 5 Power Mix'!INX22</f>
        <v>0</v>
      </c>
      <c r="INY42" s="1046">
        <f>INY38+((INY40+'NF - 5 Power Mix'!INY14+'NF - 5 Power Mix'!INY15)*860/10)+((('Form Sa1'!IOB835)*860)/10)+('Form Sa1'!IOB814*'Form Sa1'!IOB816/10)-'NF - 5 Power Mix'!INY21-'NF - 5 Power Mix'!INY22</f>
        <v>0</v>
      </c>
      <c r="INZ42" s="1046">
        <f>INZ38+((INZ40+'NF - 5 Power Mix'!INZ14+'NF - 5 Power Mix'!INZ15)*860/10)+((('Form Sa1'!IOC835)*860)/10)+('Form Sa1'!IOC814*'Form Sa1'!IOC816/10)-'NF - 5 Power Mix'!INZ21-'NF - 5 Power Mix'!INZ22</f>
        <v>0</v>
      </c>
      <c r="IOA42" s="1046">
        <f>IOA38+((IOA40+'NF - 5 Power Mix'!IOA14+'NF - 5 Power Mix'!IOA15)*860/10)+((('Form Sa1'!IOD835)*860)/10)+('Form Sa1'!IOD814*'Form Sa1'!IOD816/10)-'NF - 5 Power Mix'!IOA21-'NF - 5 Power Mix'!IOA22</f>
        <v>0</v>
      </c>
      <c r="IOB42" s="1046">
        <f>IOB38+((IOB40+'NF - 5 Power Mix'!IOB14+'NF - 5 Power Mix'!IOB15)*860/10)+((('Form Sa1'!IOE835)*860)/10)+('Form Sa1'!IOE814*'Form Sa1'!IOE816/10)-'NF - 5 Power Mix'!IOB21-'NF - 5 Power Mix'!IOB22</f>
        <v>0</v>
      </c>
      <c r="IOC42" s="1046">
        <f>IOC38+((IOC40+'NF - 5 Power Mix'!IOC14+'NF - 5 Power Mix'!IOC15)*860/10)+((('Form Sa1'!IOF835)*860)/10)+('Form Sa1'!IOF814*'Form Sa1'!IOF816/10)-'NF - 5 Power Mix'!IOC21-'NF - 5 Power Mix'!IOC22</f>
        <v>0</v>
      </c>
      <c r="IOD42" s="1046">
        <f>IOD38+((IOD40+'NF - 5 Power Mix'!IOD14+'NF - 5 Power Mix'!IOD15)*860/10)+((('Form Sa1'!IOG835)*860)/10)+('Form Sa1'!IOG814*'Form Sa1'!IOG816/10)-'NF - 5 Power Mix'!IOD21-'NF - 5 Power Mix'!IOD22</f>
        <v>0</v>
      </c>
      <c r="IOE42" s="1046">
        <f>IOE38+((IOE40+'NF - 5 Power Mix'!IOE14+'NF - 5 Power Mix'!IOE15)*860/10)+((('Form Sa1'!IOH835)*860)/10)+('Form Sa1'!IOH814*'Form Sa1'!IOH816/10)-'NF - 5 Power Mix'!IOE21-'NF - 5 Power Mix'!IOE22</f>
        <v>0</v>
      </c>
      <c r="IOF42" s="1046">
        <f>IOF38+((IOF40+'NF - 5 Power Mix'!IOF14+'NF - 5 Power Mix'!IOF15)*860/10)+((('Form Sa1'!IOI835)*860)/10)+('Form Sa1'!IOI814*'Form Sa1'!IOI816/10)-'NF - 5 Power Mix'!IOF21-'NF - 5 Power Mix'!IOF22</f>
        <v>0</v>
      </c>
      <c r="IOG42" s="1046">
        <f>IOG38+((IOG40+'NF - 5 Power Mix'!IOG14+'NF - 5 Power Mix'!IOG15)*860/10)+((('Form Sa1'!IOJ835)*860)/10)+('Form Sa1'!IOJ814*'Form Sa1'!IOJ816/10)-'NF - 5 Power Mix'!IOG21-'NF - 5 Power Mix'!IOG22</f>
        <v>0</v>
      </c>
      <c r="IOH42" s="1046">
        <f>IOH38+((IOH40+'NF - 5 Power Mix'!IOH14+'NF - 5 Power Mix'!IOH15)*860/10)+((('Form Sa1'!IOK835)*860)/10)+('Form Sa1'!IOK814*'Form Sa1'!IOK816/10)-'NF - 5 Power Mix'!IOH21-'NF - 5 Power Mix'!IOH22</f>
        <v>0</v>
      </c>
      <c r="IOI42" s="1046">
        <f>IOI38+((IOI40+'NF - 5 Power Mix'!IOI14+'NF - 5 Power Mix'!IOI15)*860/10)+((('Form Sa1'!IOL835)*860)/10)+('Form Sa1'!IOL814*'Form Sa1'!IOL816/10)-'NF - 5 Power Mix'!IOI21-'NF - 5 Power Mix'!IOI22</f>
        <v>0</v>
      </c>
      <c r="IOJ42" s="1046">
        <f>IOJ38+((IOJ40+'NF - 5 Power Mix'!IOJ14+'NF - 5 Power Mix'!IOJ15)*860/10)+((('Form Sa1'!IOM835)*860)/10)+('Form Sa1'!IOM814*'Form Sa1'!IOM816/10)-'NF - 5 Power Mix'!IOJ21-'NF - 5 Power Mix'!IOJ22</f>
        <v>0</v>
      </c>
      <c r="IOK42" s="1046">
        <f>IOK38+((IOK40+'NF - 5 Power Mix'!IOK14+'NF - 5 Power Mix'!IOK15)*860/10)+((('Form Sa1'!ION835)*860)/10)+('Form Sa1'!ION814*'Form Sa1'!ION816/10)-'NF - 5 Power Mix'!IOK21-'NF - 5 Power Mix'!IOK22</f>
        <v>0</v>
      </c>
      <c r="IOL42" s="1046">
        <f>IOL38+((IOL40+'NF - 5 Power Mix'!IOL14+'NF - 5 Power Mix'!IOL15)*860/10)+((('Form Sa1'!IOO835)*860)/10)+('Form Sa1'!IOO814*'Form Sa1'!IOO816/10)-'NF - 5 Power Mix'!IOL21-'NF - 5 Power Mix'!IOL22</f>
        <v>0</v>
      </c>
      <c r="IOM42" s="1046">
        <f>IOM38+((IOM40+'NF - 5 Power Mix'!IOM14+'NF - 5 Power Mix'!IOM15)*860/10)+((('Form Sa1'!IOP835)*860)/10)+('Form Sa1'!IOP814*'Form Sa1'!IOP816/10)-'NF - 5 Power Mix'!IOM21-'NF - 5 Power Mix'!IOM22</f>
        <v>0</v>
      </c>
      <c r="ION42" s="1046">
        <f>ION38+((ION40+'NF - 5 Power Mix'!ION14+'NF - 5 Power Mix'!ION15)*860/10)+((('Form Sa1'!IOQ835)*860)/10)+('Form Sa1'!IOQ814*'Form Sa1'!IOQ816/10)-'NF - 5 Power Mix'!ION21-'NF - 5 Power Mix'!ION22</f>
        <v>0</v>
      </c>
      <c r="IOO42" s="1046">
        <f>IOO38+((IOO40+'NF - 5 Power Mix'!IOO14+'NF - 5 Power Mix'!IOO15)*860/10)+((('Form Sa1'!IOR835)*860)/10)+('Form Sa1'!IOR814*'Form Sa1'!IOR816/10)-'NF - 5 Power Mix'!IOO21-'NF - 5 Power Mix'!IOO22</f>
        <v>0</v>
      </c>
      <c r="IOP42" s="1046">
        <f>IOP38+((IOP40+'NF - 5 Power Mix'!IOP14+'NF - 5 Power Mix'!IOP15)*860/10)+((('Form Sa1'!IOS835)*860)/10)+('Form Sa1'!IOS814*'Form Sa1'!IOS816/10)-'NF - 5 Power Mix'!IOP21-'NF - 5 Power Mix'!IOP22</f>
        <v>0</v>
      </c>
      <c r="IOQ42" s="1046">
        <f>IOQ38+((IOQ40+'NF - 5 Power Mix'!IOQ14+'NF - 5 Power Mix'!IOQ15)*860/10)+((('Form Sa1'!IOT835)*860)/10)+('Form Sa1'!IOT814*'Form Sa1'!IOT816/10)-'NF - 5 Power Mix'!IOQ21-'NF - 5 Power Mix'!IOQ22</f>
        <v>0</v>
      </c>
      <c r="IOR42" s="1046">
        <f>IOR38+((IOR40+'NF - 5 Power Mix'!IOR14+'NF - 5 Power Mix'!IOR15)*860/10)+((('Form Sa1'!IOU835)*860)/10)+('Form Sa1'!IOU814*'Form Sa1'!IOU816/10)-'NF - 5 Power Mix'!IOR21-'NF - 5 Power Mix'!IOR22</f>
        <v>0</v>
      </c>
      <c r="IOS42" s="1046">
        <f>IOS38+((IOS40+'NF - 5 Power Mix'!IOS14+'NF - 5 Power Mix'!IOS15)*860/10)+((('Form Sa1'!IOV835)*860)/10)+('Form Sa1'!IOV814*'Form Sa1'!IOV816/10)-'NF - 5 Power Mix'!IOS21-'NF - 5 Power Mix'!IOS22</f>
        <v>0</v>
      </c>
      <c r="IOT42" s="1046">
        <f>IOT38+((IOT40+'NF - 5 Power Mix'!IOT14+'NF - 5 Power Mix'!IOT15)*860/10)+((('Form Sa1'!IOW835)*860)/10)+('Form Sa1'!IOW814*'Form Sa1'!IOW816/10)-'NF - 5 Power Mix'!IOT21-'NF - 5 Power Mix'!IOT22</f>
        <v>0</v>
      </c>
      <c r="IOU42" s="1046">
        <f>IOU38+((IOU40+'NF - 5 Power Mix'!IOU14+'NF - 5 Power Mix'!IOU15)*860/10)+((('Form Sa1'!IOX835)*860)/10)+('Form Sa1'!IOX814*'Form Sa1'!IOX816/10)-'NF - 5 Power Mix'!IOU21-'NF - 5 Power Mix'!IOU22</f>
        <v>0</v>
      </c>
      <c r="IOV42" s="1046">
        <f>IOV38+((IOV40+'NF - 5 Power Mix'!IOV14+'NF - 5 Power Mix'!IOV15)*860/10)+((('Form Sa1'!IOY835)*860)/10)+('Form Sa1'!IOY814*'Form Sa1'!IOY816/10)-'NF - 5 Power Mix'!IOV21-'NF - 5 Power Mix'!IOV22</f>
        <v>0</v>
      </c>
      <c r="IOW42" s="1046">
        <f>IOW38+((IOW40+'NF - 5 Power Mix'!IOW14+'NF - 5 Power Mix'!IOW15)*860/10)+((('Form Sa1'!IOZ835)*860)/10)+('Form Sa1'!IOZ814*'Form Sa1'!IOZ816/10)-'NF - 5 Power Mix'!IOW21-'NF - 5 Power Mix'!IOW22</f>
        <v>0</v>
      </c>
      <c r="IOX42" s="1046">
        <f>IOX38+((IOX40+'NF - 5 Power Mix'!IOX14+'NF - 5 Power Mix'!IOX15)*860/10)+((('Form Sa1'!IPA835)*860)/10)+('Form Sa1'!IPA814*'Form Sa1'!IPA816/10)-'NF - 5 Power Mix'!IOX21-'NF - 5 Power Mix'!IOX22</f>
        <v>0</v>
      </c>
      <c r="IOY42" s="1046">
        <f>IOY38+((IOY40+'NF - 5 Power Mix'!IOY14+'NF - 5 Power Mix'!IOY15)*860/10)+((('Form Sa1'!IPB835)*860)/10)+('Form Sa1'!IPB814*'Form Sa1'!IPB816/10)-'NF - 5 Power Mix'!IOY21-'NF - 5 Power Mix'!IOY22</f>
        <v>0</v>
      </c>
      <c r="IOZ42" s="1046">
        <f>IOZ38+((IOZ40+'NF - 5 Power Mix'!IOZ14+'NF - 5 Power Mix'!IOZ15)*860/10)+((('Form Sa1'!IPC835)*860)/10)+('Form Sa1'!IPC814*'Form Sa1'!IPC816/10)-'NF - 5 Power Mix'!IOZ21-'NF - 5 Power Mix'!IOZ22</f>
        <v>0</v>
      </c>
      <c r="IPA42" s="1046">
        <f>IPA38+((IPA40+'NF - 5 Power Mix'!IPA14+'NF - 5 Power Mix'!IPA15)*860/10)+((('Form Sa1'!IPD835)*860)/10)+('Form Sa1'!IPD814*'Form Sa1'!IPD816/10)-'NF - 5 Power Mix'!IPA21-'NF - 5 Power Mix'!IPA22</f>
        <v>0</v>
      </c>
      <c r="IPB42" s="1046">
        <f>IPB38+((IPB40+'NF - 5 Power Mix'!IPB14+'NF - 5 Power Mix'!IPB15)*860/10)+((('Form Sa1'!IPE835)*860)/10)+('Form Sa1'!IPE814*'Form Sa1'!IPE816/10)-'NF - 5 Power Mix'!IPB21-'NF - 5 Power Mix'!IPB22</f>
        <v>0</v>
      </c>
      <c r="IPC42" s="1046">
        <f>IPC38+((IPC40+'NF - 5 Power Mix'!IPC14+'NF - 5 Power Mix'!IPC15)*860/10)+((('Form Sa1'!IPF835)*860)/10)+('Form Sa1'!IPF814*'Form Sa1'!IPF816/10)-'NF - 5 Power Mix'!IPC21-'NF - 5 Power Mix'!IPC22</f>
        <v>0</v>
      </c>
      <c r="IPD42" s="1046">
        <f>IPD38+((IPD40+'NF - 5 Power Mix'!IPD14+'NF - 5 Power Mix'!IPD15)*860/10)+((('Form Sa1'!IPG835)*860)/10)+('Form Sa1'!IPG814*'Form Sa1'!IPG816/10)-'NF - 5 Power Mix'!IPD21-'NF - 5 Power Mix'!IPD22</f>
        <v>0</v>
      </c>
      <c r="IPE42" s="1046">
        <f>IPE38+((IPE40+'NF - 5 Power Mix'!IPE14+'NF - 5 Power Mix'!IPE15)*860/10)+((('Form Sa1'!IPH835)*860)/10)+('Form Sa1'!IPH814*'Form Sa1'!IPH816/10)-'NF - 5 Power Mix'!IPE21-'NF - 5 Power Mix'!IPE22</f>
        <v>0</v>
      </c>
      <c r="IPF42" s="1046">
        <f>IPF38+((IPF40+'NF - 5 Power Mix'!IPF14+'NF - 5 Power Mix'!IPF15)*860/10)+((('Form Sa1'!IPI835)*860)/10)+('Form Sa1'!IPI814*'Form Sa1'!IPI816/10)-'NF - 5 Power Mix'!IPF21-'NF - 5 Power Mix'!IPF22</f>
        <v>0</v>
      </c>
      <c r="IPG42" s="1046">
        <f>IPG38+((IPG40+'NF - 5 Power Mix'!IPG14+'NF - 5 Power Mix'!IPG15)*860/10)+((('Form Sa1'!IPJ835)*860)/10)+('Form Sa1'!IPJ814*'Form Sa1'!IPJ816/10)-'NF - 5 Power Mix'!IPG21-'NF - 5 Power Mix'!IPG22</f>
        <v>0</v>
      </c>
      <c r="IPH42" s="1046">
        <f>IPH38+((IPH40+'NF - 5 Power Mix'!IPH14+'NF - 5 Power Mix'!IPH15)*860/10)+((('Form Sa1'!IPK835)*860)/10)+('Form Sa1'!IPK814*'Form Sa1'!IPK816/10)-'NF - 5 Power Mix'!IPH21-'NF - 5 Power Mix'!IPH22</f>
        <v>0</v>
      </c>
      <c r="IPI42" s="1046">
        <f>IPI38+((IPI40+'NF - 5 Power Mix'!IPI14+'NF - 5 Power Mix'!IPI15)*860/10)+((('Form Sa1'!IPL835)*860)/10)+('Form Sa1'!IPL814*'Form Sa1'!IPL816/10)-'NF - 5 Power Mix'!IPI21-'NF - 5 Power Mix'!IPI22</f>
        <v>0</v>
      </c>
      <c r="IPJ42" s="1046">
        <f>IPJ38+((IPJ40+'NF - 5 Power Mix'!IPJ14+'NF - 5 Power Mix'!IPJ15)*860/10)+((('Form Sa1'!IPM835)*860)/10)+('Form Sa1'!IPM814*'Form Sa1'!IPM816/10)-'NF - 5 Power Mix'!IPJ21-'NF - 5 Power Mix'!IPJ22</f>
        <v>0</v>
      </c>
      <c r="IPK42" s="1046">
        <f>IPK38+((IPK40+'NF - 5 Power Mix'!IPK14+'NF - 5 Power Mix'!IPK15)*860/10)+((('Form Sa1'!IPN835)*860)/10)+('Form Sa1'!IPN814*'Form Sa1'!IPN816/10)-'NF - 5 Power Mix'!IPK21-'NF - 5 Power Mix'!IPK22</f>
        <v>0</v>
      </c>
      <c r="IPL42" s="1046">
        <f>IPL38+((IPL40+'NF - 5 Power Mix'!IPL14+'NF - 5 Power Mix'!IPL15)*860/10)+((('Form Sa1'!IPO835)*860)/10)+('Form Sa1'!IPO814*'Form Sa1'!IPO816/10)-'NF - 5 Power Mix'!IPL21-'NF - 5 Power Mix'!IPL22</f>
        <v>0</v>
      </c>
      <c r="IPM42" s="1046">
        <f>IPM38+((IPM40+'NF - 5 Power Mix'!IPM14+'NF - 5 Power Mix'!IPM15)*860/10)+((('Form Sa1'!IPP835)*860)/10)+('Form Sa1'!IPP814*'Form Sa1'!IPP816/10)-'NF - 5 Power Mix'!IPM21-'NF - 5 Power Mix'!IPM22</f>
        <v>0</v>
      </c>
      <c r="IPN42" s="1046">
        <f>IPN38+((IPN40+'NF - 5 Power Mix'!IPN14+'NF - 5 Power Mix'!IPN15)*860/10)+((('Form Sa1'!IPQ835)*860)/10)+('Form Sa1'!IPQ814*'Form Sa1'!IPQ816/10)-'NF - 5 Power Mix'!IPN21-'NF - 5 Power Mix'!IPN22</f>
        <v>0</v>
      </c>
      <c r="IPO42" s="1046">
        <f>IPO38+((IPO40+'NF - 5 Power Mix'!IPO14+'NF - 5 Power Mix'!IPO15)*860/10)+((('Form Sa1'!IPR835)*860)/10)+('Form Sa1'!IPR814*'Form Sa1'!IPR816/10)-'NF - 5 Power Mix'!IPO21-'NF - 5 Power Mix'!IPO22</f>
        <v>0</v>
      </c>
      <c r="IPP42" s="1046">
        <f>IPP38+((IPP40+'NF - 5 Power Mix'!IPP14+'NF - 5 Power Mix'!IPP15)*860/10)+((('Form Sa1'!IPS835)*860)/10)+('Form Sa1'!IPS814*'Form Sa1'!IPS816/10)-'NF - 5 Power Mix'!IPP21-'NF - 5 Power Mix'!IPP22</f>
        <v>0</v>
      </c>
      <c r="IPQ42" s="1046">
        <f>IPQ38+((IPQ40+'NF - 5 Power Mix'!IPQ14+'NF - 5 Power Mix'!IPQ15)*860/10)+((('Form Sa1'!IPT835)*860)/10)+('Form Sa1'!IPT814*'Form Sa1'!IPT816/10)-'NF - 5 Power Mix'!IPQ21-'NF - 5 Power Mix'!IPQ22</f>
        <v>0</v>
      </c>
      <c r="IPR42" s="1046">
        <f>IPR38+((IPR40+'NF - 5 Power Mix'!IPR14+'NF - 5 Power Mix'!IPR15)*860/10)+((('Form Sa1'!IPU835)*860)/10)+('Form Sa1'!IPU814*'Form Sa1'!IPU816/10)-'NF - 5 Power Mix'!IPR21-'NF - 5 Power Mix'!IPR22</f>
        <v>0</v>
      </c>
      <c r="IPS42" s="1046">
        <f>IPS38+((IPS40+'NF - 5 Power Mix'!IPS14+'NF - 5 Power Mix'!IPS15)*860/10)+((('Form Sa1'!IPV835)*860)/10)+('Form Sa1'!IPV814*'Form Sa1'!IPV816/10)-'NF - 5 Power Mix'!IPS21-'NF - 5 Power Mix'!IPS22</f>
        <v>0</v>
      </c>
      <c r="IPT42" s="1046">
        <f>IPT38+((IPT40+'NF - 5 Power Mix'!IPT14+'NF - 5 Power Mix'!IPT15)*860/10)+((('Form Sa1'!IPW835)*860)/10)+('Form Sa1'!IPW814*'Form Sa1'!IPW816/10)-'NF - 5 Power Mix'!IPT21-'NF - 5 Power Mix'!IPT22</f>
        <v>0</v>
      </c>
      <c r="IPU42" s="1046">
        <f>IPU38+((IPU40+'NF - 5 Power Mix'!IPU14+'NF - 5 Power Mix'!IPU15)*860/10)+((('Form Sa1'!IPX835)*860)/10)+('Form Sa1'!IPX814*'Form Sa1'!IPX816/10)-'NF - 5 Power Mix'!IPU21-'NF - 5 Power Mix'!IPU22</f>
        <v>0</v>
      </c>
      <c r="IPV42" s="1046">
        <f>IPV38+((IPV40+'NF - 5 Power Mix'!IPV14+'NF - 5 Power Mix'!IPV15)*860/10)+((('Form Sa1'!IPY835)*860)/10)+('Form Sa1'!IPY814*'Form Sa1'!IPY816/10)-'NF - 5 Power Mix'!IPV21-'NF - 5 Power Mix'!IPV22</f>
        <v>0</v>
      </c>
      <c r="IPW42" s="1046">
        <f>IPW38+((IPW40+'NF - 5 Power Mix'!IPW14+'NF - 5 Power Mix'!IPW15)*860/10)+((('Form Sa1'!IPZ835)*860)/10)+('Form Sa1'!IPZ814*'Form Sa1'!IPZ816/10)-'NF - 5 Power Mix'!IPW21-'NF - 5 Power Mix'!IPW22</f>
        <v>0</v>
      </c>
      <c r="IPX42" s="1046">
        <f>IPX38+((IPX40+'NF - 5 Power Mix'!IPX14+'NF - 5 Power Mix'!IPX15)*860/10)+((('Form Sa1'!IQA835)*860)/10)+('Form Sa1'!IQA814*'Form Sa1'!IQA816/10)-'NF - 5 Power Mix'!IPX21-'NF - 5 Power Mix'!IPX22</f>
        <v>0</v>
      </c>
      <c r="IPY42" s="1046">
        <f>IPY38+((IPY40+'NF - 5 Power Mix'!IPY14+'NF - 5 Power Mix'!IPY15)*860/10)+((('Form Sa1'!IQB835)*860)/10)+('Form Sa1'!IQB814*'Form Sa1'!IQB816/10)-'NF - 5 Power Mix'!IPY21-'NF - 5 Power Mix'!IPY22</f>
        <v>0</v>
      </c>
      <c r="IPZ42" s="1046">
        <f>IPZ38+((IPZ40+'NF - 5 Power Mix'!IPZ14+'NF - 5 Power Mix'!IPZ15)*860/10)+((('Form Sa1'!IQC835)*860)/10)+('Form Sa1'!IQC814*'Form Sa1'!IQC816/10)-'NF - 5 Power Mix'!IPZ21-'NF - 5 Power Mix'!IPZ22</f>
        <v>0</v>
      </c>
      <c r="IQA42" s="1046">
        <f>IQA38+((IQA40+'NF - 5 Power Mix'!IQA14+'NF - 5 Power Mix'!IQA15)*860/10)+((('Form Sa1'!IQD835)*860)/10)+('Form Sa1'!IQD814*'Form Sa1'!IQD816/10)-'NF - 5 Power Mix'!IQA21-'NF - 5 Power Mix'!IQA22</f>
        <v>0</v>
      </c>
      <c r="IQB42" s="1046">
        <f>IQB38+((IQB40+'NF - 5 Power Mix'!IQB14+'NF - 5 Power Mix'!IQB15)*860/10)+((('Form Sa1'!IQE835)*860)/10)+('Form Sa1'!IQE814*'Form Sa1'!IQE816/10)-'NF - 5 Power Mix'!IQB21-'NF - 5 Power Mix'!IQB22</f>
        <v>0</v>
      </c>
      <c r="IQC42" s="1046">
        <f>IQC38+((IQC40+'NF - 5 Power Mix'!IQC14+'NF - 5 Power Mix'!IQC15)*860/10)+((('Form Sa1'!IQF835)*860)/10)+('Form Sa1'!IQF814*'Form Sa1'!IQF816/10)-'NF - 5 Power Mix'!IQC21-'NF - 5 Power Mix'!IQC22</f>
        <v>0</v>
      </c>
      <c r="IQD42" s="1046">
        <f>IQD38+((IQD40+'NF - 5 Power Mix'!IQD14+'NF - 5 Power Mix'!IQD15)*860/10)+((('Form Sa1'!IQG835)*860)/10)+('Form Sa1'!IQG814*'Form Sa1'!IQG816/10)-'NF - 5 Power Mix'!IQD21-'NF - 5 Power Mix'!IQD22</f>
        <v>0</v>
      </c>
      <c r="IQE42" s="1046">
        <f>IQE38+((IQE40+'NF - 5 Power Mix'!IQE14+'NF - 5 Power Mix'!IQE15)*860/10)+((('Form Sa1'!IQH835)*860)/10)+('Form Sa1'!IQH814*'Form Sa1'!IQH816/10)-'NF - 5 Power Mix'!IQE21-'NF - 5 Power Mix'!IQE22</f>
        <v>0</v>
      </c>
      <c r="IQF42" s="1046">
        <f>IQF38+((IQF40+'NF - 5 Power Mix'!IQF14+'NF - 5 Power Mix'!IQF15)*860/10)+((('Form Sa1'!IQI835)*860)/10)+('Form Sa1'!IQI814*'Form Sa1'!IQI816/10)-'NF - 5 Power Mix'!IQF21-'NF - 5 Power Mix'!IQF22</f>
        <v>0</v>
      </c>
      <c r="IQG42" s="1046">
        <f>IQG38+((IQG40+'NF - 5 Power Mix'!IQG14+'NF - 5 Power Mix'!IQG15)*860/10)+((('Form Sa1'!IQJ835)*860)/10)+('Form Sa1'!IQJ814*'Form Sa1'!IQJ816/10)-'NF - 5 Power Mix'!IQG21-'NF - 5 Power Mix'!IQG22</f>
        <v>0</v>
      </c>
      <c r="IQH42" s="1046">
        <f>IQH38+((IQH40+'NF - 5 Power Mix'!IQH14+'NF - 5 Power Mix'!IQH15)*860/10)+((('Form Sa1'!IQK835)*860)/10)+('Form Sa1'!IQK814*'Form Sa1'!IQK816/10)-'NF - 5 Power Mix'!IQH21-'NF - 5 Power Mix'!IQH22</f>
        <v>0</v>
      </c>
      <c r="IQI42" s="1046">
        <f>IQI38+((IQI40+'NF - 5 Power Mix'!IQI14+'NF - 5 Power Mix'!IQI15)*860/10)+((('Form Sa1'!IQL835)*860)/10)+('Form Sa1'!IQL814*'Form Sa1'!IQL816/10)-'NF - 5 Power Mix'!IQI21-'NF - 5 Power Mix'!IQI22</f>
        <v>0</v>
      </c>
      <c r="IQJ42" s="1046">
        <f>IQJ38+((IQJ40+'NF - 5 Power Mix'!IQJ14+'NF - 5 Power Mix'!IQJ15)*860/10)+((('Form Sa1'!IQM835)*860)/10)+('Form Sa1'!IQM814*'Form Sa1'!IQM816/10)-'NF - 5 Power Mix'!IQJ21-'NF - 5 Power Mix'!IQJ22</f>
        <v>0</v>
      </c>
      <c r="IQK42" s="1046">
        <f>IQK38+((IQK40+'NF - 5 Power Mix'!IQK14+'NF - 5 Power Mix'!IQK15)*860/10)+((('Form Sa1'!IQN835)*860)/10)+('Form Sa1'!IQN814*'Form Sa1'!IQN816/10)-'NF - 5 Power Mix'!IQK21-'NF - 5 Power Mix'!IQK22</f>
        <v>0</v>
      </c>
      <c r="IQL42" s="1046">
        <f>IQL38+((IQL40+'NF - 5 Power Mix'!IQL14+'NF - 5 Power Mix'!IQL15)*860/10)+((('Form Sa1'!IQO835)*860)/10)+('Form Sa1'!IQO814*'Form Sa1'!IQO816/10)-'NF - 5 Power Mix'!IQL21-'NF - 5 Power Mix'!IQL22</f>
        <v>0</v>
      </c>
      <c r="IQM42" s="1046">
        <f>IQM38+((IQM40+'NF - 5 Power Mix'!IQM14+'NF - 5 Power Mix'!IQM15)*860/10)+((('Form Sa1'!IQP835)*860)/10)+('Form Sa1'!IQP814*'Form Sa1'!IQP816/10)-'NF - 5 Power Mix'!IQM21-'NF - 5 Power Mix'!IQM22</f>
        <v>0</v>
      </c>
      <c r="IQN42" s="1046">
        <f>IQN38+((IQN40+'NF - 5 Power Mix'!IQN14+'NF - 5 Power Mix'!IQN15)*860/10)+((('Form Sa1'!IQQ835)*860)/10)+('Form Sa1'!IQQ814*'Form Sa1'!IQQ816/10)-'NF - 5 Power Mix'!IQN21-'NF - 5 Power Mix'!IQN22</f>
        <v>0</v>
      </c>
      <c r="IQO42" s="1046">
        <f>IQO38+((IQO40+'NF - 5 Power Mix'!IQO14+'NF - 5 Power Mix'!IQO15)*860/10)+((('Form Sa1'!IQR835)*860)/10)+('Form Sa1'!IQR814*'Form Sa1'!IQR816/10)-'NF - 5 Power Mix'!IQO21-'NF - 5 Power Mix'!IQO22</f>
        <v>0</v>
      </c>
      <c r="IQP42" s="1046">
        <f>IQP38+((IQP40+'NF - 5 Power Mix'!IQP14+'NF - 5 Power Mix'!IQP15)*860/10)+((('Form Sa1'!IQS835)*860)/10)+('Form Sa1'!IQS814*'Form Sa1'!IQS816/10)-'NF - 5 Power Mix'!IQP21-'NF - 5 Power Mix'!IQP22</f>
        <v>0</v>
      </c>
      <c r="IQQ42" s="1046">
        <f>IQQ38+((IQQ40+'NF - 5 Power Mix'!IQQ14+'NF - 5 Power Mix'!IQQ15)*860/10)+((('Form Sa1'!IQT835)*860)/10)+('Form Sa1'!IQT814*'Form Sa1'!IQT816/10)-'NF - 5 Power Mix'!IQQ21-'NF - 5 Power Mix'!IQQ22</f>
        <v>0</v>
      </c>
      <c r="IQR42" s="1046">
        <f>IQR38+((IQR40+'NF - 5 Power Mix'!IQR14+'NF - 5 Power Mix'!IQR15)*860/10)+((('Form Sa1'!IQU835)*860)/10)+('Form Sa1'!IQU814*'Form Sa1'!IQU816/10)-'NF - 5 Power Mix'!IQR21-'NF - 5 Power Mix'!IQR22</f>
        <v>0</v>
      </c>
      <c r="IQS42" s="1046">
        <f>IQS38+((IQS40+'NF - 5 Power Mix'!IQS14+'NF - 5 Power Mix'!IQS15)*860/10)+((('Form Sa1'!IQV835)*860)/10)+('Form Sa1'!IQV814*'Form Sa1'!IQV816/10)-'NF - 5 Power Mix'!IQS21-'NF - 5 Power Mix'!IQS22</f>
        <v>0</v>
      </c>
      <c r="IQT42" s="1046">
        <f>IQT38+((IQT40+'NF - 5 Power Mix'!IQT14+'NF - 5 Power Mix'!IQT15)*860/10)+((('Form Sa1'!IQW835)*860)/10)+('Form Sa1'!IQW814*'Form Sa1'!IQW816/10)-'NF - 5 Power Mix'!IQT21-'NF - 5 Power Mix'!IQT22</f>
        <v>0</v>
      </c>
      <c r="IQU42" s="1046">
        <f>IQU38+((IQU40+'NF - 5 Power Mix'!IQU14+'NF - 5 Power Mix'!IQU15)*860/10)+((('Form Sa1'!IQX835)*860)/10)+('Form Sa1'!IQX814*'Form Sa1'!IQX816/10)-'NF - 5 Power Mix'!IQU21-'NF - 5 Power Mix'!IQU22</f>
        <v>0</v>
      </c>
      <c r="IQV42" s="1046">
        <f>IQV38+((IQV40+'NF - 5 Power Mix'!IQV14+'NF - 5 Power Mix'!IQV15)*860/10)+((('Form Sa1'!IQY835)*860)/10)+('Form Sa1'!IQY814*'Form Sa1'!IQY816/10)-'NF - 5 Power Mix'!IQV21-'NF - 5 Power Mix'!IQV22</f>
        <v>0</v>
      </c>
      <c r="IQW42" s="1046">
        <f>IQW38+((IQW40+'NF - 5 Power Mix'!IQW14+'NF - 5 Power Mix'!IQW15)*860/10)+((('Form Sa1'!IQZ835)*860)/10)+('Form Sa1'!IQZ814*'Form Sa1'!IQZ816/10)-'NF - 5 Power Mix'!IQW21-'NF - 5 Power Mix'!IQW22</f>
        <v>0</v>
      </c>
      <c r="IQX42" s="1046">
        <f>IQX38+((IQX40+'NF - 5 Power Mix'!IQX14+'NF - 5 Power Mix'!IQX15)*860/10)+((('Form Sa1'!IRA835)*860)/10)+('Form Sa1'!IRA814*'Form Sa1'!IRA816/10)-'NF - 5 Power Mix'!IQX21-'NF - 5 Power Mix'!IQX22</f>
        <v>0</v>
      </c>
      <c r="IQY42" s="1046">
        <f>IQY38+((IQY40+'NF - 5 Power Mix'!IQY14+'NF - 5 Power Mix'!IQY15)*860/10)+((('Form Sa1'!IRB835)*860)/10)+('Form Sa1'!IRB814*'Form Sa1'!IRB816/10)-'NF - 5 Power Mix'!IQY21-'NF - 5 Power Mix'!IQY22</f>
        <v>0</v>
      </c>
      <c r="IQZ42" s="1046">
        <f>IQZ38+((IQZ40+'NF - 5 Power Mix'!IQZ14+'NF - 5 Power Mix'!IQZ15)*860/10)+((('Form Sa1'!IRC835)*860)/10)+('Form Sa1'!IRC814*'Form Sa1'!IRC816/10)-'NF - 5 Power Mix'!IQZ21-'NF - 5 Power Mix'!IQZ22</f>
        <v>0</v>
      </c>
      <c r="IRA42" s="1046">
        <f>IRA38+((IRA40+'NF - 5 Power Mix'!IRA14+'NF - 5 Power Mix'!IRA15)*860/10)+((('Form Sa1'!IRD835)*860)/10)+('Form Sa1'!IRD814*'Form Sa1'!IRD816/10)-'NF - 5 Power Mix'!IRA21-'NF - 5 Power Mix'!IRA22</f>
        <v>0</v>
      </c>
      <c r="IRB42" s="1046">
        <f>IRB38+((IRB40+'NF - 5 Power Mix'!IRB14+'NF - 5 Power Mix'!IRB15)*860/10)+((('Form Sa1'!IRE835)*860)/10)+('Form Sa1'!IRE814*'Form Sa1'!IRE816/10)-'NF - 5 Power Mix'!IRB21-'NF - 5 Power Mix'!IRB22</f>
        <v>0</v>
      </c>
      <c r="IRC42" s="1046">
        <f>IRC38+((IRC40+'NF - 5 Power Mix'!IRC14+'NF - 5 Power Mix'!IRC15)*860/10)+((('Form Sa1'!IRF835)*860)/10)+('Form Sa1'!IRF814*'Form Sa1'!IRF816/10)-'NF - 5 Power Mix'!IRC21-'NF - 5 Power Mix'!IRC22</f>
        <v>0</v>
      </c>
      <c r="IRD42" s="1046">
        <f>IRD38+((IRD40+'NF - 5 Power Mix'!IRD14+'NF - 5 Power Mix'!IRD15)*860/10)+((('Form Sa1'!IRG835)*860)/10)+('Form Sa1'!IRG814*'Form Sa1'!IRG816/10)-'NF - 5 Power Mix'!IRD21-'NF - 5 Power Mix'!IRD22</f>
        <v>0</v>
      </c>
      <c r="IRE42" s="1046">
        <f>IRE38+((IRE40+'NF - 5 Power Mix'!IRE14+'NF - 5 Power Mix'!IRE15)*860/10)+((('Form Sa1'!IRH835)*860)/10)+('Form Sa1'!IRH814*'Form Sa1'!IRH816/10)-'NF - 5 Power Mix'!IRE21-'NF - 5 Power Mix'!IRE22</f>
        <v>0</v>
      </c>
      <c r="IRF42" s="1046">
        <f>IRF38+((IRF40+'NF - 5 Power Mix'!IRF14+'NF - 5 Power Mix'!IRF15)*860/10)+((('Form Sa1'!IRI835)*860)/10)+('Form Sa1'!IRI814*'Form Sa1'!IRI816/10)-'NF - 5 Power Mix'!IRF21-'NF - 5 Power Mix'!IRF22</f>
        <v>0</v>
      </c>
      <c r="IRG42" s="1046">
        <f>IRG38+((IRG40+'NF - 5 Power Mix'!IRG14+'NF - 5 Power Mix'!IRG15)*860/10)+((('Form Sa1'!IRJ835)*860)/10)+('Form Sa1'!IRJ814*'Form Sa1'!IRJ816/10)-'NF - 5 Power Mix'!IRG21-'NF - 5 Power Mix'!IRG22</f>
        <v>0</v>
      </c>
      <c r="IRH42" s="1046">
        <f>IRH38+((IRH40+'NF - 5 Power Mix'!IRH14+'NF - 5 Power Mix'!IRH15)*860/10)+((('Form Sa1'!IRK835)*860)/10)+('Form Sa1'!IRK814*'Form Sa1'!IRK816/10)-'NF - 5 Power Mix'!IRH21-'NF - 5 Power Mix'!IRH22</f>
        <v>0</v>
      </c>
      <c r="IRI42" s="1046">
        <f>IRI38+((IRI40+'NF - 5 Power Mix'!IRI14+'NF - 5 Power Mix'!IRI15)*860/10)+((('Form Sa1'!IRL835)*860)/10)+('Form Sa1'!IRL814*'Form Sa1'!IRL816/10)-'NF - 5 Power Mix'!IRI21-'NF - 5 Power Mix'!IRI22</f>
        <v>0</v>
      </c>
      <c r="IRJ42" s="1046">
        <f>IRJ38+((IRJ40+'NF - 5 Power Mix'!IRJ14+'NF - 5 Power Mix'!IRJ15)*860/10)+((('Form Sa1'!IRM835)*860)/10)+('Form Sa1'!IRM814*'Form Sa1'!IRM816/10)-'NF - 5 Power Mix'!IRJ21-'NF - 5 Power Mix'!IRJ22</f>
        <v>0</v>
      </c>
      <c r="IRK42" s="1046">
        <f>IRK38+((IRK40+'NF - 5 Power Mix'!IRK14+'NF - 5 Power Mix'!IRK15)*860/10)+((('Form Sa1'!IRN835)*860)/10)+('Form Sa1'!IRN814*'Form Sa1'!IRN816/10)-'NF - 5 Power Mix'!IRK21-'NF - 5 Power Mix'!IRK22</f>
        <v>0</v>
      </c>
      <c r="IRL42" s="1046">
        <f>IRL38+((IRL40+'NF - 5 Power Mix'!IRL14+'NF - 5 Power Mix'!IRL15)*860/10)+((('Form Sa1'!IRO835)*860)/10)+('Form Sa1'!IRO814*'Form Sa1'!IRO816/10)-'NF - 5 Power Mix'!IRL21-'NF - 5 Power Mix'!IRL22</f>
        <v>0</v>
      </c>
      <c r="IRM42" s="1046">
        <f>IRM38+((IRM40+'NF - 5 Power Mix'!IRM14+'NF - 5 Power Mix'!IRM15)*860/10)+((('Form Sa1'!IRP835)*860)/10)+('Form Sa1'!IRP814*'Form Sa1'!IRP816/10)-'NF - 5 Power Mix'!IRM21-'NF - 5 Power Mix'!IRM22</f>
        <v>0</v>
      </c>
      <c r="IRN42" s="1046">
        <f>IRN38+((IRN40+'NF - 5 Power Mix'!IRN14+'NF - 5 Power Mix'!IRN15)*860/10)+((('Form Sa1'!IRQ835)*860)/10)+('Form Sa1'!IRQ814*'Form Sa1'!IRQ816/10)-'NF - 5 Power Mix'!IRN21-'NF - 5 Power Mix'!IRN22</f>
        <v>0</v>
      </c>
      <c r="IRO42" s="1046">
        <f>IRO38+((IRO40+'NF - 5 Power Mix'!IRO14+'NF - 5 Power Mix'!IRO15)*860/10)+((('Form Sa1'!IRR835)*860)/10)+('Form Sa1'!IRR814*'Form Sa1'!IRR816/10)-'NF - 5 Power Mix'!IRO21-'NF - 5 Power Mix'!IRO22</f>
        <v>0</v>
      </c>
      <c r="IRP42" s="1046">
        <f>IRP38+((IRP40+'NF - 5 Power Mix'!IRP14+'NF - 5 Power Mix'!IRP15)*860/10)+((('Form Sa1'!IRS835)*860)/10)+('Form Sa1'!IRS814*'Form Sa1'!IRS816/10)-'NF - 5 Power Mix'!IRP21-'NF - 5 Power Mix'!IRP22</f>
        <v>0</v>
      </c>
      <c r="IRQ42" s="1046">
        <f>IRQ38+((IRQ40+'NF - 5 Power Mix'!IRQ14+'NF - 5 Power Mix'!IRQ15)*860/10)+((('Form Sa1'!IRT835)*860)/10)+('Form Sa1'!IRT814*'Form Sa1'!IRT816/10)-'NF - 5 Power Mix'!IRQ21-'NF - 5 Power Mix'!IRQ22</f>
        <v>0</v>
      </c>
      <c r="IRR42" s="1046">
        <f>IRR38+((IRR40+'NF - 5 Power Mix'!IRR14+'NF - 5 Power Mix'!IRR15)*860/10)+((('Form Sa1'!IRU835)*860)/10)+('Form Sa1'!IRU814*'Form Sa1'!IRU816/10)-'NF - 5 Power Mix'!IRR21-'NF - 5 Power Mix'!IRR22</f>
        <v>0</v>
      </c>
      <c r="IRS42" s="1046">
        <f>IRS38+((IRS40+'NF - 5 Power Mix'!IRS14+'NF - 5 Power Mix'!IRS15)*860/10)+((('Form Sa1'!IRV835)*860)/10)+('Form Sa1'!IRV814*'Form Sa1'!IRV816/10)-'NF - 5 Power Mix'!IRS21-'NF - 5 Power Mix'!IRS22</f>
        <v>0</v>
      </c>
      <c r="IRT42" s="1046">
        <f>IRT38+((IRT40+'NF - 5 Power Mix'!IRT14+'NF - 5 Power Mix'!IRT15)*860/10)+((('Form Sa1'!IRW835)*860)/10)+('Form Sa1'!IRW814*'Form Sa1'!IRW816/10)-'NF - 5 Power Mix'!IRT21-'NF - 5 Power Mix'!IRT22</f>
        <v>0</v>
      </c>
      <c r="IRU42" s="1046">
        <f>IRU38+((IRU40+'NF - 5 Power Mix'!IRU14+'NF - 5 Power Mix'!IRU15)*860/10)+((('Form Sa1'!IRX835)*860)/10)+('Form Sa1'!IRX814*'Form Sa1'!IRX816/10)-'NF - 5 Power Mix'!IRU21-'NF - 5 Power Mix'!IRU22</f>
        <v>0</v>
      </c>
      <c r="IRV42" s="1046">
        <f>IRV38+((IRV40+'NF - 5 Power Mix'!IRV14+'NF - 5 Power Mix'!IRV15)*860/10)+((('Form Sa1'!IRY835)*860)/10)+('Form Sa1'!IRY814*'Form Sa1'!IRY816/10)-'NF - 5 Power Mix'!IRV21-'NF - 5 Power Mix'!IRV22</f>
        <v>0</v>
      </c>
      <c r="IRW42" s="1046">
        <f>IRW38+((IRW40+'NF - 5 Power Mix'!IRW14+'NF - 5 Power Mix'!IRW15)*860/10)+((('Form Sa1'!IRZ835)*860)/10)+('Form Sa1'!IRZ814*'Form Sa1'!IRZ816/10)-'NF - 5 Power Mix'!IRW21-'NF - 5 Power Mix'!IRW22</f>
        <v>0</v>
      </c>
      <c r="IRX42" s="1046">
        <f>IRX38+((IRX40+'NF - 5 Power Mix'!IRX14+'NF - 5 Power Mix'!IRX15)*860/10)+((('Form Sa1'!ISA835)*860)/10)+('Form Sa1'!ISA814*'Form Sa1'!ISA816/10)-'NF - 5 Power Mix'!IRX21-'NF - 5 Power Mix'!IRX22</f>
        <v>0</v>
      </c>
      <c r="IRY42" s="1046">
        <f>IRY38+((IRY40+'NF - 5 Power Mix'!IRY14+'NF - 5 Power Mix'!IRY15)*860/10)+((('Form Sa1'!ISB835)*860)/10)+('Form Sa1'!ISB814*'Form Sa1'!ISB816/10)-'NF - 5 Power Mix'!IRY21-'NF - 5 Power Mix'!IRY22</f>
        <v>0</v>
      </c>
      <c r="IRZ42" s="1046">
        <f>IRZ38+((IRZ40+'NF - 5 Power Mix'!IRZ14+'NF - 5 Power Mix'!IRZ15)*860/10)+((('Form Sa1'!ISC835)*860)/10)+('Form Sa1'!ISC814*'Form Sa1'!ISC816/10)-'NF - 5 Power Mix'!IRZ21-'NF - 5 Power Mix'!IRZ22</f>
        <v>0</v>
      </c>
      <c r="ISA42" s="1046">
        <f>ISA38+((ISA40+'NF - 5 Power Mix'!ISA14+'NF - 5 Power Mix'!ISA15)*860/10)+((('Form Sa1'!ISD835)*860)/10)+('Form Sa1'!ISD814*'Form Sa1'!ISD816/10)-'NF - 5 Power Mix'!ISA21-'NF - 5 Power Mix'!ISA22</f>
        <v>0</v>
      </c>
      <c r="ISB42" s="1046">
        <f>ISB38+((ISB40+'NF - 5 Power Mix'!ISB14+'NF - 5 Power Mix'!ISB15)*860/10)+((('Form Sa1'!ISE835)*860)/10)+('Form Sa1'!ISE814*'Form Sa1'!ISE816/10)-'NF - 5 Power Mix'!ISB21-'NF - 5 Power Mix'!ISB22</f>
        <v>0</v>
      </c>
      <c r="ISC42" s="1046">
        <f>ISC38+((ISC40+'NF - 5 Power Mix'!ISC14+'NF - 5 Power Mix'!ISC15)*860/10)+((('Form Sa1'!ISF835)*860)/10)+('Form Sa1'!ISF814*'Form Sa1'!ISF816/10)-'NF - 5 Power Mix'!ISC21-'NF - 5 Power Mix'!ISC22</f>
        <v>0</v>
      </c>
      <c r="ISD42" s="1046">
        <f>ISD38+((ISD40+'NF - 5 Power Mix'!ISD14+'NF - 5 Power Mix'!ISD15)*860/10)+((('Form Sa1'!ISG835)*860)/10)+('Form Sa1'!ISG814*'Form Sa1'!ISG816/10)-'NF - 5 Power Mix'!ISD21-'NF - 5 Power Mix'!ISD22</f>
        <v>0</v>
      </c>
      <c r="ISE42" s="1046">
        <f>ISE38+((ISE40+'NF - 5 Power Mix'!ISE14+'NF - 5 Power Mix'!ISE15)*860/10)+((('Form Sa1'!ISH835)*860)/10)+('Form Sa1'!ISH814*'Form Sa1'!ISH816/10)-'NF - 5 Power Mix'!ISE21-'NF - 5 Power Mix'!ISE22</f>
        <v>0</v>
      </c>
      <c r="ISF42" s="1046">
        <f>ISF38+((ISF40+'NF - 5 Power Mix'!ISF14+'NF - 5 Power Mix'!ISF15)*860/10)+((('Form Sa1'!ISI835)*860)/10)+('Form Sa1'!ISI814*'Form Sa1'!ISI816/10)-'NF - 5 Power Mix'!ISF21-'NF - 5 Power Mix'!ISF22</f>
        <v>0</v>
      </c>
      <c r="ISG42" s="1046">
        <f>ISG38+((ISG40+'NF - 5 Power Mix'!ISG14+'NF - 5 Power Mix'!ISG15)*860/10)+((('Form Sa1'!ISJ835)*860)/10)+('Form Sa1'!ISJ814*'Form Sa1'!ISJ816/10)-'NF - 5 Power Mix'!ISG21-'NF - 5 Power Mix'!ISG22</f>
        <v>0</v>
      </c>
      <c r="ISH42" s="1046">
        <f>ISH38+((ISH40+'NF - 5 Power Mix'!ISH14+'NF - 5 Power Mix'!ISH15)*860/10)+((('Form Sa1'!ISK835)*860)/10)+('Form Sa1'!ISK814*'Form Sa1'!ISK816/10)-'NF - 5 Power Mix'!ISH21-'NF - 5 Power Mix'!ISH22</f>
        <v>0</v>
      </c>
      <c r="ISI42" s="1046">
        <f>ISI38+((ISI40+'NF - 5 Power Mix'!ISI14+'NF - 5 Power Mix'!ISI15)*860/10)+((('Form Sa1'!ISL835)*860)/10)+('Form Sa1'!ISL814*'Form Sa1'!ISL816/10)-'NF - 5 Power Mix'!ISI21-'NF - 5 Power Mix'!ISI22</f>
        <v>0</v>
      </c>
      <c r="ISJ42" s="1046">
        <f>ISJ38+((ISJ40+'NF - 5 Power Mix'!ISJ14+'NF - 5 Power Mix'!ISJ15)*860/10)+((('Form Sa1'!ISM835)*860)/10)+('Form Sa1'!ISM814*'Form Sa1'!ISM816/10)-'NF - 5 Power Mix'!ISJ21-'NF - 5 Power Mix'!ISJ22</f>
        <v>0</v>
      </c>
      <c r="ISK42" s="1046">
        <f>ISK38+((ISK40+'NF - 5 Power Mix'!ISK14+'NF - 5 Power Mix'!ISK15)*860/10)+((('Form Sa1'!ISN835)*860)/10)+('Form Sa1'!ISN814*'Form Sa1'!ISN816/10)-'NF - 5 Power Mix'!ISK21-'NF - 5 Power Mix'!ISK22</f>
        <v>0</v>
      </c>
      <c r="ISL42" s="1046">
        <f>ISL38+((ISL40+'NF - 5 Power Mix'!ISL14+'NF - 5 Power Mix'!ISL15)*860/10)+((('Form Sa1'!ISO835)*860)/10)+('Form Sa1'!ISO814*'Form Sa1'!ISO816/10)-'NF - 5 Power Mix'!ISL21-'NF - 5 Power Mix'!ISL22</f>
        <v>0</v>
      </c>
      <c r="ISM42" s="1046">
        <f>ISM38+((ISM40+'NF - 5 Power Mix'!ISM14+'NF - 5 Power Mix'!ISM15)*860/10)+((('Form Sa1'!ISP835)*860)/10)+('Form Sa1'!ISP814*'Form Sa1'!ISP816/10)-'NF - 5 Power Mix'!ISM21-'NF - 5 Power Mix'!ISM22</f>
        <v>0</v>
      </c>
      <c r="ISN42" s="1046">
        <f>ISN38+((ISN40+'NF - 5 Power Mix'!ISN14+'NF - 5 Power Mix'!ISN15)*860/10)+((('Form Sa1'!ISQ835)*860)/10)+('Form Sa1'!ISQ814*'Form Sa1'!ISQ816/10)-'NF - 5 Power Mix'!ISN21-'NF - 5 Power Mix'!ISN22</f>
        <v>0</v>
      </c>
      <c r="ISO42" s="1046">
        <f>ISO38+((ISO40+'NF - 5 Power Mix'!ISO14+'NF - 5 Power Mix'!ISO15)*860/10)+((('Form Sa1'!ISR835)*860)/10)+('Form Sa1'!ISR814*'Form Sa1'!ISR816/10)-'NF - 5 Power Mix'!ISO21-'NF - 5 Power Mix'!ISO22</f>
        <v>0</v>
      </c>
      <c r="ISP42" s="1046">
        <f>ISP38+((ISP40+'NF - 5 Power Mix'!ISP14+'NF - 5 Power Mix'!ISP15)*860/10)+((('Form Sa1'!ISS835)*860)/10)+('Form Sa1'!ISS814*'Form Sa1'!ISS816/10)-'NF - 5 Power Mix'!ISP21-'NF - 5 Power Mix'!ISP22</f>
        <v>0</v>
      </c>
      <c r="ISQ42" s="1046">
        <f>ISQ38+((ISQ40+'NF - 5 Power Mix'!ISQ14+'NF - 5 Power Mix'!ISQ15)*860/10)+((('Form Sa1'!IST835)*860)/10)+('Form Sa1'!IST814*'Form Sa1'!IST816/10)-'NF - 5 Power Mix'!ISQ21-'NF - 5 Power Mix'!ISQ22</f>
        <v>0</v>
      </c>
      <c r="ISR42" s="1046">
        <f>ISR38+((ISR40+'NF - 5 Power Mix'!ISR14+'NF - 5 Power Mix'!ISR15)*860/10)+((('Form Sa1'!ISU835)*860)/10)+('Form Sa1'!ISU814*'Form Sa1'!ISU816/10)-'NF - 5 Power Mix'!ISR21-'NF - 5 Power Mix'!ISR22</f>
        <v>0</v>
      </c>
      <c r="ISS42" s="1046">
        <f>ISS38+((ISS40+'NF - 5 Power Mix'!ISS14+'NF - 5 Power Mix'!ISS15)*860/10)+((('Form Sa1'!ISV835)*860)/10)+('Form Sa1'!ISV814*'Form Sa1'!ISV816/10)-'NF - 5 Power Mix'!ISS21-'NF - 5 Power Mix'!ISS22</f>
        <v>0</v>
      </c>
      <c r="IST42" s="1046">
        <f>IST38+((IST40+'NF - 5 Power Mix'!IST14+'NF - 5 Power Mix'!IST15)*860/10)+((('Form Sa1'!ISW835)*860)/10)+('Form Sa1'!ISW814*'Form Sa1'!ISW816/10)-'NF - 5 Power Mix'!IST21-'NF - 5 Power Mix'!IST22</f>
        <v>0</v>
      </c>
      <c r="ISU42" s="1046">
        <f>ISU38+((ISU40+'NF - 5 Power Mix'!ISU14+'NF - 5 Power Mix'!ISU15)*860/10)+((('Form Sa1'!ISX835)*860)/10)+('Form Sa1'!ISX814*'Form Sa1'!ISX816/10)-'NF - 5 Power Mix'!ISU21-'NF - 5 Power Mix'!ISU22</f>
        <v>0</v>
      </c>
      <c r="ISV42" s="1046">
        <f>ISV38+((ISV40+'NF - 5 Power Mix'!ISV14+'NF - 5 Power Mix'!ISV15)*860/10)+((('Form Sa1'!ISY835)*860)/10)+('Form Sa1'!ISY814*'Form Sa1'!ISY816/10)-'NF - 5 Power Mix'!ISV21-'NF - 5 Power Mix'!ISV22</f>
        <v>0</v>
      </c>
      <c r="ISW42" s="1046">
        <f>ISW38+((ISW40+'NF - 5 Power Mix'!ISW14+'NF - 5 Power Mix'!ISW15)*860/10)+((('Form Sa1'!ISZ835)*860)/10)+('Form Sa1'!ISZ814*'Form Sa1'!ISZ816/10)-'NF - 5 Power Mix'!ISW21-'NF - 5 Power Mix'!ISW22</f>
        <v>0</v>
      </c>
      <c r="ISX42" s="1046">
        <f>ISX38+((ISX40+'NF - 5 Power Mix'!ISX14+'NF - 5 Power Mix'!ISX15)*860/10)+((('Form Sa1'!ITA835)*860)/10)+('Form Sa1'!ITA814*'Form Sa1'!ITA816/10)-'NF - 5 Power Mix'!ISX21-'NF - 5 Power Mix'!ISX22</f>
        <v>0</v>
      </c>
      <c r="ISY42" s="1046">
        <f>ISY38+((ISY40+'NF - 5 Power Mix'!ISY14+'NF - 5 Power Mix'!ISY15)*860/10)+((('Form Sa1'!ITB835)*860)/10)+('Form Sa1'!ITB814*'Form Sa1'!ITB816/10)-'NF - 5 Power Mix'!ISY21-'NF - 5 Power Mix'!ISY22</f>
        <v>0</v>
      </c>
      <c r="ISZ42" s="1046">
        <f>ISZ38+((ISZ40+'NF - 5 Power Mix'!ISZ14+'NF - 5 Power Mix'!ISZ15)*860/10)+((('Form Sa1'!ITC835)*860)/10)+('Form Sa1'!ITC814*'Form Sa1'!ITC816/10)-'NF - 5 Power Mix'!ISZ21-'NF - 5 Power Mix'!ISZ22</f>
        <v>0</v>
      </c>
      <c r="ITA42" s="1046">
        <f>ITA38+((ITA40+'NF - 5 Power Mix'!ITA14+'NF - 5 Power Mix'!ITA15)*860/10)+((('Form Sa1'!ITD835)*860)/10)+('Form Sa1'!ITD814*'Form Sa1'!ITD816/10)-'NF - 5 Power Mix'!ITA21-'NF - 5 Power Mix'!ITA22</f>
        <v>0</v>
      </c>
      <c r="ITB42" s="1046">
        <f>ITB38+((ITB40+'NF - 5 Power Mix'!ITB14+'NF - 5 Power Mix'!ITB15)*860/10)+((('Form Sa1'!ITE835)*860)/10)+('Form Sa1'!ITE814*'Form Sa1'!ITE816/10)-'NF - 5 Power Mix'!ITB21-'NF - 5 Power Mix'!ITB22</f>
        <v>0</v>
      </c>
      <c r="ITC42" s="1046">
        <f>ITC38+((ITC40+'NF - 5 Power Mix'!ITC14+'NF - 5 Power Mix'!ITC15)*860/10)+((('Form Sa1'!ITF835)*860)/10)+('Form Sa1'!ITF814*'Form Sa1'!ITF816/10)-'NF - 5 Power Mix'!ITC21-'NF - 5 Power Mix'!ITC22</f>
        <v>0</v>
      </c>
      <c r="ITD42" s="1046">
        <f>ITD38+((ITD40+'NF - 5 Power Mix'!ITD14+'NF - 5 Power Mix'!ITD15)*860/10)+((('Form Sa1'!ITG835)*860)/10)+('Form Sa1'!ITG814*'Form Sa1'!ITG816/10)-'NF - 5 Power Mix'!ITD21-'NF - 5 Power Mix'!ITD22</f>
        <v>0</v>
      </c>
      <c r="ITE42" s="1046">
        <f>ITE38+((ITE40+'NF - 5 Power Mix'!ITE14+'NF - 5 Power Mix'!ITE15)*860/10)+((('Form Sa1'!ITH835)*860)/10)+('Form Sa1'!ITH814*'Form Sa1'!ITH816/10)-'NF - 5 Power Mix'!ITE21-'NF - 5 Power Mix'!ITE22</f>
        <v>0</v>
      </c>
      <c r="ITF42" s="1046">
        <f>ITF38+((ITF40+'NF - 5 Power Mix'!ITF14+'NF - 5 Power Mix'!ITF15)*860/10)+((('Form Sa1'!ITI835)*860)/10)+('Form Sa1'!ITI814*'Form Sa1'!ITI816/10)-'NF - 5 Power Mix'!ITF21-'NF - 5 Power Mix'!ITF22</f>
        <v>0</v>
      </c>
      <c r="ITG42" s="1046">
        <f>ITG38+((ITG40+'NF - 5 Power Mix'!ITG14+'NF - 5 Power Mix'!ITG15)*860/10)+((('Form Sa1'!ITJ835)*860)/10)+('Form Sa1'!ITJ814*'Form Sa1'!ITJ816/10)-'NF - 5 Power Mix'!ITG21-'NF - 5 Power Mix'!ITG22</f>
        <v>0</v>
      </c>
      <c r="ITH42" s="1046">
        <f>ITH38+((ITH40+'NF - 5 Power Mix'!ITH14+'NF - 5 Power Mix'!ITH15)*860/10)+((('Form Sa1'!ITK835)*860)/10)+('Form Sa1'!ITK814*'Form Sa1'!ITK816/10)-'NF - 5 Power Mix'!ITH21-'NF - 5 Power Mix'!ITH22</f>
        <v>0</v>
      </c>
      <c r="ITI42" s="1046">
        <f>ITI38+((ITI40+'NF - 5 Power Mix'!ITI14+'NF - 5 Power Mix'!ITI15)*860/10)+((('Form Sa1'!ITL835)*860)/10)+('Form Sa1'!ITL814*'Form Sa1'!ITL816/10)-'NF - 5 Power Mix'!ITI21-'NF - 5 Power Mix'!ITI22</f>
        <v>0</v>
      </c>
      <c r="ITJ42" s="1046">
        <f>ITJ38+((ITJ40+'NF - 5 Power Mix'!ITJ14+'NF - 5 Power Mix'!ITJ15)*860/10)+((('Form Sa1'!ITM835)*860)/10)+('Form Sa1'!ITM814*'Form Sa1'!ITM816/10)-'NF - 5 Power Mix'!ITJ21-'NF - 5 Power Mix'!ITJ22</f>
        <v>0</v>
      </c>
      <c r="ITK42" s="1046">
        <f>ITK38+((ITK40+'NF - 5 Power Mix'!ITK14+'NF - 5 Power Mix'!ITK15)*860/10)+((('Form Sa1'!ITN835)*860)/10)+('Form Sa1'!ITN814*'Form Sa1'!ITN816/10)-'NF - 5 Power Mix'!ITK21-'NF - 5 Power Mix'!ITK22</f>
        <v>0</v>
      </c>
      <c r="ITL42" s="1046">
        <f>ITL38+((ITL40+'NF - 5 Power Mix'!ITL14+'NF - 5 Power Mix'!ITL15)*860/10)+((('Form Sa1'!ITO835)*860)/10)+('Form Sa1'!ITO814*'Form Sa1'!ITO816/10)-'NF - 5 Power Mix'!ITL21-'NF - 5 Power Mix'!ITL22</f>
        <v>0</v>
      </c>
      <c r="ITM42" s="1046">
        <f>ITM38+((ITM40+'NF - 5 Power Mix'!ITM14+'NF - 5 Power Mix'!ITM15)*860/10)+((('Form Sa1'!ITP835)*860)/10)+('Form Sa1'!ITP814*'Form Sa1'!ITP816/10)-'NF - 5 Power Mix'!ITM21-'NF - 5 Power Mix'!ITM22</f>
        <v>0</v>
      </c>
      <c r="ITN42" s="1046">
        <f>ITN38+((ITN40+'NF - 5 Power Mix'!ITN14+'NF - 5 Power Mix'!ITN15)*860/10)+((('Form Sa1'!ITQ835)*860)/10)+('Form Sa1'!ITQ814*'Form Sa1'!ITQ816/10)-'NF - 5 Power Mix'!ITN21-'NF - 5 Power Mix'!ITN22</f>
        <v>0</v>
      </c>
      <c r="ITO42" s="1046">
        <f>ITO38+((ITO40+'NF - 5 Power Mix'!ITO14+'NF - 5 Power Mix'!ITO15)*860/10)+((('Form Sa1'!ITR835)*860)/10)+('Form Sa1'!ITR814*'Form Sa1'!ITR816/10)-'NF - 5 Power Mix'!ITO21-'NF - 5 Power Mix'!ITO22</f>
        <v>0</v>
      </c>
      <c r="ITP42" s="1046">
        <f>ITP38+((ITP40+'NF - 5 Power Mix'!ITP14+'NF - 5 Power Mix'!ITP15)*860/10)+((('Form Sa1'!ITS835)*860)/10)+('Form Sa1'!ITS814*'Form Sa1'!ITS816/10)-'NF - 5 Power Mix'!ITP21-'NF - 5 Power Mix'!ITP22</f>
        <v>0</v>
      </c>
      <c r="ITQ42" s="1046">
        <f>ITQ38+((ITQ40+'NF - 5 Power Mix'!ITQ14+'NF - 5 Power Mix'!ITQ15)*860/10)+((('Form Sa1'!ITT835)*860)/10)+('Form Sa1'!ITT814*'Form Sa1'!ITT816/10)-'NF - 5 Power Mix'!ITQ21-'NF - 5 Power Mix'!ITQ22</f>
        <v>0</v>
      </c>
      <c r="ITR42" s="1046">
        <f>ITR38+((ITR40+'NF - 5 Power Mix'!ITR14+'NF - 5 Power Mix'!ITR15)*860/10)+((('Form Sa1'!ITU835)*860)/10)+('Form Sa1'!ITU814*'Form Sa1'!ITU816/10)-'NF - 5 Power Mix'!ITR21-'NF - 5 Power Mix'!ITR22</f>
        <v>0</v>
      </c>
      <c r="ITS42" s="1046">
        <f>ITS38+((ITS40+'NF - 5 Power Mix'!ITS14+'NF - 5 Power Mix'!ITS15)*860/10)+((('Form Sa1'!ITV835)*860)/10)+('Form Sa1'!ITV814*'Form Sa1'!ITV816/10)-'NF - 5 Power Mix'!ITS21-'NF - 5 Power Mix'!ITS22</f>
        <v>0</v>
      </c>
      <c r="ITT42" s="1046">
        <f>ITT38+((ITT40+'NF - 5 Power Mix'!ITT14+'NF - 5 Power Mix'!ITT15)*860/10)+((('Form Sa1'!ITW835)*860)/10)+('Form Sa1'!ITW814*'Form Sa1'!ITW816/10)-'NF - 5 Power Mix'!ITT21-'NF - 5 Power Mix'!ITT22</f>
        <v>0</v>
      </c>
      <c r="ITU42" s="1046">
        <f>ITU38+((ITU40+'NF - 5 Power Mix'!ITU14+'NF - 5 Power Mix'!ITU15)*860/10)+((('Form Sa1'!ITX835)*860)/10)+('Form Sa1'!ITX814*'Form Sa1'!ITX816/10)-'NF - 5 Power Mix'!ITU21-'NF - 5 Power Mix'!ITU22</f>
        <v>0</v>
      </c>
      <c r="ITV42" s="1046">
        <f>ITV38+((ITV40+'NF - 5 Power Mix'!ITV14+'NF - 5 Power Mix'!ITV15)*860/10)+((('Form Sa1'!ITY835)*860)/10)+('Form Sa1'!ITY814*'Form Sa1'!ITY816/10)-'NF - 5 Power Mix'!ITV21-'NF - 5 Power Mix'!ITV22</f>
        <v>0</v>
      </c>
      <c r="ITW42" s="1046">
        <f>ITW38+((ITW40+'NF - 5 Power Mix'!ITW14+'NF - 5 Power Mix'!ITW15)*860/10)+((('Form Sa1'!ITZ835)*860)/10)+('Form Sa1'!ITZ814*'Form Sa1'!ITZ816/10)-'NF - 5 Power Mix'!ITW21-'NF - 5 Power Mix'!ITW22</f>
        <v>0</v>
      </c>
      <c r="ITX42" s="1046">
        <f>ITX38+((ITX40+'NF - 5 Power Mix'!ITX14+'NF - 5 Power Mix'!ITX15)*860/10)+((('Form Sa1'!IUA835)*860)/10)+('Form Sa1'!IUA814*'Form Sa1'!IUA816/10)-'NF - 5 Power Mix'!ITX21-'NF - 5 Power Mix'!ITX22</f>
        <v>0</v>
      </c>
      <c r="ITY42" s="1046">
        <f>ITY38+((ITY40+'NF - 5 Power Mix'!ITY14+'NF - 5 Power Mix'!ITY15)*860/10)+((('Form Sa1'!IUB835)*860)/10)+('Form Sa1'!IUB814*'Form Sa1'!IUB816/10)-'NF - 5 Power Mix'!ITY21-'NF - 5 Power Mix'!ITY22</f>
        <v>0</v>
      </c>
      <c r="ITZ42" s="1046">
        <f>ITZ38+((ITZ40+'NF - 5 Power Mix'!ITZ14+'NF - 5 Power Mix'!ITZ15)*860/10)+((('Form Sa1'!IUC835)*860)/10)+('Form Sa1'!IUC814*'Form Sa1'!IUC816/10)-'NF - 5 Power Mix'!ITZ21-'NF - 5 Power Mix'!ITZ22</f>
        <v>0</v>
      </c>
      <c r="IUA42" s="1046">
        <f>IUA38+((IUA40+'NF - 5 Power Mix'!IUA14+'NF - 5 Power Mix'!IUA15)*860/10)+((('Form Sa1'!IUD835)*860)/10)+('Form Sa1'!IUD814*'Form Sa1'!IUD816/10)-'NF - 5 Power Mix'!IUA21-'NF - 5 Power Mix'!IUA22</f>
        <v>0</v>
      </c>
      <c r="IUB42" s="1046">
        <f>IUB38+((IUB40+'NF - 5 Power Mix'!IUB14+'NF - 5 Power Mix'!IUB15)*860/10)+((('Form Sa1'!IUE835)*860)/10)+('Form Sa1'!IUE814*'Form Sa1'!IUE816/10)-'NF - 5 Power Mix'!IUB21-'NF - 5 Power Mix'!IUB22</f>
        <v>0</v>
      </c>
      <c r="IUC42" s="1046">
        <f>IUC38+((IUC40+'NF - 5 Power Mix'!IUC14+'NF - 5 Power Mix'!IUC15)*860/10)+((('Form Sa1'!IUF835)*860)/10)+('Form Sa1'!IUF814*'Form Sa1'!IUF816/10)-'NF - 5 Power Mix'!IUC21-'NF - 5 Power Mix'!IUC22</f>
        <v>0</v>
      </c>
      <c r="IUD42" s="1046">
        <f>IUD38+((IUD40+'NF - 5 Power Mix'!IUD14+'NF - 5 Power Mix'!IUD15)*860/10)+((('Form Sa1'!IUG835)*860)/10)+('Form Sa1'!IUG814*'Form Sa1'!IUG816/10)-'NF - 5 Power Mix'!IUD21-'NF - 5 Power Mix'!IUD22</f>
        <v>0</v>
      </c>
      <c r="IUE42" s="1046">
        <f>IUE38+((IUE40+'NF - 5 Power Mix'!IUE14+'NF - 5 Power Mix'!IUE15)*860/10)+((('Form Sa1'!IUH835)*860)/10)+('Form Sa1'!IUH814*'Form Sa1'!IUH816/10)-'NF - 5 Power Mix'!IUE21-'NF - 5 Power Mix'!IUE22</f>
        <v>0</v>
      </c>
      <c r="IUF42" s="1046">
        <f>IUF38+((IUF40+'NF - 5 Power Mix'!IUF14+'NF - 5 Power Mix'!IUF15)*860/10)+((('Form Sa1'!IUI835)*860)/10)+('Form Sa1'!IUI814*'Form Sa1'!IUI816/10)-'NF - 5 Power Mix'!IUF21-'NF - 5 Power Mix'!IUF22</f>
        <v>0</v>
      </c>
      <c r="IUG42" s="1046">
        <f>IUG38+((IUG40+'NF - 5 Power Mix'!IUG14+'NF - 5 Power Mix'!IUG15)*860/10)+((('Form Sa1'!IUJ835)*860)/10)+('Form Sa1'!IUJ814*'Form Sa1'!IUJ816/10)-'NF - 5 Power Mix'!IUG21-'NF - 5 Power Mix'!IUG22</f>
        <v>0</v>
      </c>
      <c r="IUH42" s="1046">
        <f>IUH38+((IUH40+'NF - 5 Power Mix'!IUH14+'NF - 5 Power Mix'!IUH15)*860/10)+((('Form Sa1'!IUK835)*860)/10)+('Form Sa1'!IUK814*'Form Sa1'!IUK816/10)-'NF - 5 Power Mix'!IUH21-'NF - 5 Power Mix'!IUH22</f>
        <v>0</v>
      </c>
      <c r="IUI42" s="1046">
        <f>IUI38+((IUI40+'NF - 5 Power Mix'!IUI14+'NF - 5 Power Mix'!IUI15)*860/10)+((('Form Sa1'!IUL835)*860)/10)+('Form Sa1'!IUL814*'Form Sa1'!IUL816/10)-'NF - 5 Power Mix'!IUI21-'NF - 5 Power Mix'!IUI22</f>
        <v>0</v>
      </c>
      <c r="IUJ42" s="1046">
        <f>IUJ38+((IUJ40+'NF - 5 Power Mix'!IUJ14+'NF - 5 Power Mix'!IUJ15)*860/10)+((('Form Sa1'!IUM835)*860)/10)+('Form Sa1'!IUM814*'Form Sa1'!IUM816/10)-'NF - 5 Power Mix'!IUJ21-'NF - 5 Power Mix'!IUJ22</f>
        <v>0</v>
      </c>
      <c r="IUK42" s="1046">
        <f>IUK38+((IUK40+'NF - 5 Power Mix'!IUK14+'NF - 5 Power Mix'!IUK15)*860/10)+((('Form Sa1'!IUN835)*860)/10)+('Form Sa1'!IUN814*'Form Sa1'!IUN816/10)-'NF - 5 Power Mix'!IUK21-'NF - 5 Power Mix'!IUK22</f>
        <v>0</v>
      </c>
      <c r="IUL42" s="1046">
        <f>IUL38+((IUL40+'NF - 5 Power Mix'!IUL14+'NF - 5 Power Mix'!IUL15)*860/10)+((('Form Sa1'!IUO835)*860)/10)+('Form Sa1'!IUO814*'Form Sa1'!IUO816/10)-'NF - 5 Power Mix'!IUL21-'NF - 5 Power Mix'!IUL22</f>
        <v>0</v>
      </c>
      <c r="IUM42" s="1046">
        <f>IUM38+((IUM40+'NF - 5 Power Mix'!IUM14+'NF - 5 Power Mix'!IUM15)*860/10)+((('Form Sa1'!IUP835)*860)/10)+('Form Sa1'!IUP814*'Form Sa1'!IUP816/10)-'NF - 5 Power Mix'!IUM21-'NF - 5 Power Mix'!IUM22</f>
        <v>0</v>
      </c>
      <c r="IUN42" s="1046">
        <f>IUN38+((IUN40+'NF - 5 Power Mix'!IUN14+'NF - 5 Power Mix'!IUN15)*860/10)+((('Form Sa1'!IUQ835)*860)/10)+('Form Sa1'!IUQ814*'Form Sa1'!IUQ816/10)-'NF - 5 Power Mix'!IUN21-'NF - 5 Power Mix'!IUN22</f>
        <v>0</v>
      </c>
      <c r="IUO42" s="1046">
        <f>IUO38+((IUO40+'NF - 5 Power Mix'!IUO14+'NF - 5 Power Mix'!IUO15)*860/10)+((('Form Sa1'!IUR835)*860)/10)+('Form Sa1'!IUR814*'Form Sa1'!IUR816/10)-'NF - 5 Power Mix'!IUO21-'NF - 5 Power Mix'!IUO22</f>
        <v>0</v>
      </c>
      <c r="IUP42" s="1046">
        <f>IUP38+((IUP40+'NF - 5 Power Mix'!IUP14+'NF - 5 Power Mix'!IUP15)*860/10)+((('Form Sa1'!IUS835)*860)/10)+('Form Sa1'!IUS814*'Form Sa1'!IUS816/10)-'NF - 5 Power Mix'!IUP21-'NF - 5 Power Mix'!IUP22</f>
        <v>0</v>
      </c>
      <c r="IUQ42" s="1046">
        <f>IUQ38+((IUQ40+'NF - 5 Power Mix'!IUQ14+'NF - 5 Power Mix'!IUQ15)*860/10)+((('Form Sa1'!IUT835)*860)/10)+('Form Sa1'!IUT814*'Form Sa1'!IUT816/10)-'NF - 5 Power Mix'!IUQ21-'NF - 5 Power Mix'!IUQ22</f>
        <v>0</v>
      </c>
      <c r="IUR42" s="1046">
        <f>IUR38+((IUR40+'NF - 5 Power Mix'!IUR14+'NF - 5 Power Mix'!IUR15)*860/10)+((('Form Sa1'!IUU835)*860)/10)+('Form Sa1'!IUU814*'Form Sa1'!IUU816/10)-'NF - 5 Power Mix'!IUR21-'NF - 5 Power Mix'!IUR22</f>
        <v>0</v>
      </c>
      <c r="IUS42" s="1046">
        <f>IUS38+((IUS40+'NF - 5 Power Mix'!IUS14+'NF - 5 Power Mix'!IUS15)*860/10)+((('Form Sa1'!IUV835)*860)/10)+('Form Sa1'!IUV814*'Form Sa1'!IUV816/10)-'NF - 5 Power Mix'!IUS21-'NF - 5 Power Mix'!IUS22</f>
        <v>0</v>
      </c>
      <c r="IUT42" s="1046">
        <f>IUT38+((IUT40+'NF - 5 Power Mix'!IUT14+'NF - 5 Power Mix'!IUT15)*860/10)+((('Form Sa1'!IUW835)*860)/10)+('Form Sa1'!IUW814*'Form Sa1'!IUW816/10)-'NF - 5 Power Mix'!IUT21-'NF - 5 Power Mix'!IUT22</f>
        <v>0</v>
      </c>
      <c r="IUU42" s="1046">
        <f>IUU38+((IUU40+'NF - 5 Power Mix'!IUU14+'NF - 5 Power Mix'!IUU15)*860/10)+((('Form Sa1'!IUX835)*860)/10)+('Form Sa1'!IUX814*'Form Sa1'!IUX816/10)-'NF - 5 Power Mix'!IUU21-'NF - 5 Power Mix'!IUU22</f>
        <v>0</v>
      </c>
      <c r="IUV42" s="1046">
        <f>IUV38+((IUV40+'NF - 5 Power Mix'!IUV14+'NF - 5 Power Mix'!IUV15)*860/10)+((('Form Sa1'!IUY835)*860)/10)+('Form Sa1'!IUY814*'Form Sa1'!IUY816/10)-'NF - 5 Power Mix'!IUV21-'NF - 5 Power Mix'!IUV22</f>
        <v>0</v>
      </c>
      <c r="IUW42" s="1046">
        <f>IUW38+((IUW40+'NF - 5 Power Mix'!IUW14+'NF - 5 Power Mix'!IUW15)*860/10)+((('Form Sa1'!IUZ835)*860)/10)+('Form Sa1'!IUZ814*'Form Sa1'!IUZ816/10)-'NF - 5 Power Mix'!IUW21-'NF - 5 Power Mix'!IUW22</f>
        <v>0</v>
      </c>
      <c r="IUX42" s="1046">
        <f>IUX38+((IUX40+'NF - 5 Power Mix'!IUX14+'NF - 5 Power Mix'!IUX15)*860/10)+((('Form Sa1'!IVA835)*860)/10)+('Form Sa1'!IVA814*'Form Sa1'!IVA816/10)-'NF - 5 Power Mix'!IUX21-'NF - 5 Power Mix'!IUX22</f>
        <v>0</v>
      </c>
      <c r="IUY42" s="1046">
        <f>IUY38+((IUY40+'NF - 5 Power Mix'!IUY14+'NF - 5 Power Mix'!IUY15)*860/10)+((('Form Sa1'!IVB835)*860)/10)+('Form Sa1'!IVB814*'Form Sa1'!IVB816/10)-'NF - 5 Power Mix'!IUY21-'NF - 5 Power Mix'!IUY22</f>
        <v>0</v>
      </c>
      <c r="IUZ42" s="1046">
        <f>IUZ38+((IUZ40+'NF - 5 Power Mix'!IUZ14+'NF - 5 Power Mix'!IUZ15)*860/10)+((('Form Sa1'!IVC835)*860)/10)+('Form Sa1'!IVC814*'Form Sa1'!IVC816/10)-'NF - 5 Power Mix'!IUZ21-'NF - 5 Power Mix'!IUZ22</f>
        <v>0</v>
      </c>
      <c r="IVA42" s="1046">
        <f>IVA38+((IVA40+'NF - 5 Power Mix'!IVA14+'NF - 5 Power Mix'!IVA15)*860/10)+((('Form Sa1'!IVD835)*860)/10)+('Form Sa1'!IVD814*'Form Sa1'!IVD816/10)-'NF - 5 Power Mix'!IVA21-'NF - 5 Power Mix'!IVA22</f>
        <v>0</v>
      </c>
      <c r="IVB42" s="1046">
        <f>IVB38+((IVB40+'NF - 5 Power Mix'!IVB14+'NF - 5 Power Mix'!IVB15)*860/10)+((('Form Sa1'!IVE835)*860)/10)+('Form Sa1'!IVE814*'Form Sa1'!IVE816/10)-'NF - 5 Power Mix'!IVB21-'NF - 5 Power Mix'!IVB22</f>
        <v>0</v>
      </c>
      <c r="IVC42" s="1046">
        <f>IVC38+((IVC40+'NF - 5 Power Mix'!IVC14+'NF - 5 Power Mix'!IVC15)*860/10)+((('Form Sa1'!IVF835)*860)/10)+('Form Sa1'!IVF814*'Form Sa1'!IVF816/10)-'NF - 5 Power Mix'!IVC21-'NF - 5 Power Mix'!IVC22</f>
        <v>0</v>
      </c>
      <c r="IVD42" s="1046">
        <f>IVD38+((IVD40+'NF - 5 Power Mix'!IVD14+'NF - 5 Power Mix'!IVD15)*860/10)+((('Form Sa1'!IVG835)*860)/10)+('Form Sa1'!IVG814*'Form Sa1'!IVG816/10)-'NF - 5 Power Mix'!IVD21-'NF - 5 Power Mix'!IVD22</f>
        <v>0</v>
      </c>
      <c r="IVE42" s="1046">
        <f>IVE38+((IVE40+'NF - 5 Power Mix'!IVE14+'NF - 5 Power Mix'!IVE15)*860/10)+((('Form Sa1'!IVH835)*860)/10)+('Form Sa1'!IVH814*'Form Sa1'!IVH816/10)-'NF - 5 Power Mix'!IVE21-'NF - 5 Power Mix'!IVE22</f>
        <v>0</v>
      </c>
      <c r="IVF42" s="1046">
        <f>IVF38+((IVF40+'NF - 5 Power Mix'!IVF14+'NF - 5 Power Mix'!IVF15)*860/10)+((('Form Sa1'!IVI835)*860)/10)+('Form Sa1'!IVI814*'Form Sa1'!IVI816/10)-'NF - 5 Power Mix'!IVF21-'NF - 5 Power Mix'!IVF22</f>
        <v>0</v>
      </c>
      <c r="IVG42" s="1046">
        <f>IVG38+((IVG40+'NF - 5 Power Mix'!IVG14+'NF - 5 Power Mix'!IVG15)*860/10)+((('Form Sa1'!IVJ835)*860)/10)+('Form Sa1'!IVJ814*'Form Sa1'!IVJ816/10)-'NF - 5 Power Mix'!IVG21-'NF - 5 Power Mix'!IVG22</f>
        <v>0</v>
      </c>
      <c r="IVH42" s="1046">
        <f>IVH38+((IVH40+'NF - 5 Power Mix'!IVH14+'NF - 5 Power Mix'!IVH15)*860/10)+((('Form Sa1'!IVK835)*860)/10)+('Form Sa1'!IVK814*'Form Sa1'!IVK816/10)-'NF - 5 Power Mix'!IVH21-'NF - 5 Power Mix'!IVH22</f>
        <v>0</v>
      </c>
      <c r="IVI42" s="1046">
        <f>IVI38+((IVI40+'NF - 5 Power Mix'!IVI14+'NF - 5 Power Mix'!IVI15)*860/10)+((('Form Sa1'!IVL835)*860)/10)+('Form Sa1'!IVL814*'Form Sa1'!IVL816/10)-'NF - 5 Power Mix'!IVI21-'NF - 5 Power Mix'!IVI22</f>
        <v>0</v>
      </c>
      <c r="IVJ42" s="1046">
        <f>IVJ38+((IVJ40+'NF - 5 Power Mix'!IVJ14+'NF - 5 Power Mix'!IVJ15)*860/10)+((('Form Sa1'!IVM835)*860)/10)+('Form Sa1'!IVM814*'Form Sa1'!IVM816/10)-'NF - 5 Power Mix'!IVJ21-'NF - 5 Power Mix'!IVJ22</f>
        <v>0</v>
      </c>
      <c r="IVK42" s="1046">
        <f>IVK38+((IVK40+'NF - 5 Power Mix'!IVK14+'NF - 5 Power Mix'!IVK15)*860/10)+((('Form Sa1'!IVN835)*860)/10)+('Form Sa1'!IVN814*'Form Sa1'!IVN816/10)-'NF - 5 Power Mix'!IVK21-'NF - 5 Power Mix'!IVK22</f>
        <v>0</v>
      </c>
      <c r="IVL42" s="1046">
        <f>IVL38+((IVL40+'NF - 5 Power Mix'!IVL14+'NF - 5 Power Mix'!IVL15)*860/10)+((('Form Sa1'!IVO835)*860)/10)+('Form Sa1'!IVO814*'Form Sa1'!IVO816/10)-'NF - 5 Power Mix'!IVL21-'NF - 5 Power Mix'!IVL22</f>
        <v>0</v>
      </c>
      <c r="IVM42" s="1046">
        <f>IVM38+((IVM40+'NF - 5 Power Mix'!IVM14+'NF - 5 Power Mix'!IVM15)*860/10)+((('Form Sa1'!IVP835)*860)/10)+('Form Sa1'!IVP814*'Form Sa1'!IVP816/10)-'NF - 5 Power Mix'!IVM21-'NF - 5 Power Mix'!IVM22</f>
        <v>0</v>
      </c>
      <c r="IVN42" s="1046">
        <f>IVN38+((IVN40+'NF - 5 Power Mix'!IVN14+'NF - 5 Power Mix'!IVN15)*860/10)+((('Form Sa1'!IVQ835)*860)/10)+('Form Sa1'!IVQ814*'Form Sa1'!IVQ816/10)-'NF - 5 Power Mix'!IVN21-'NF - 5 Power Mix'!IVN22</f>
        <v>0</v>
      </c>
      <c r="IVO42" s="1046">
        <f>IVO38+((IVO40+'NF - 5 Power Mix'!IVO14+'NF - 5 Power Mix'!IVO15)*860/10)+((('Form Sa1'!IVR835)*860)/10)+('Form Sa1'!IVR814*'Form Sa1'!IVR816/10)-'NF - 5 Power Mix'!IVO21-'NF - 5 Power Mix'!IVO22</f>
        <v>0</v>
      </c>
      <c r="IVP42" s="1046">
        <f>IVP38+((IVP40+'NF - 5 Power Mix'!IVP14+'NF - 5 Power Mix'!IVP15)*860/10)+((('Form Sa1'!IVS835)*860)/10)+('Form Sa1'!IVS814*'Form Sa1'!IVS816/10)-'NF - 5 Power Mix'!IVP21-'NF - 5 Power Mix'!IVP22</f>
        <v>0</v>
      </c>
      <c r="IVQ42" s="1046">
        <f>IVQ38+((IVQ40+'NF - 5 Power Mix'!IVQ14+'NF - 5 Power Mix'!IVQ15)*860/10)+((('Form Sa1'!IVT835)*860)/10)+('Form Sa1'!IVT814*'Form Sa1'!IVT816/10)-'NF - 5 Power Mix'!IVQ21-'NF - 5 Power Mix'!IVQ22</f>
        <v>0</v>
      </c>
      <c r="IVR42" s="1046">
        <f>IVR38+((IVR40+'NF - 5 Power Mix'!IVR14+'NF - 5 Power Mix'!IVR15)*860/10)+((('Form Sa1'!IVU835)*860)/10)+('Form Sa1'!IVU814*'Form Sa1'!IVU816/10)-'NF - 5 Power Mix'!IVR21-'NF - 5 Power Mix'!IVR22</f>
        <v>0</v>
      </c>
      <c r="IVS42" s="1046">
        <f>IVS38+((IVS40+'NF - 5 Power Mix'!IVS14+'NF - 5 Power Mix'!IVS15)*860/10)+((('Form Sa1'!IVV835)*860)/10)+('Form Sa1'!IVV814*'Form Sa1'!IVV816/10)-'NF - 5 Power Mix'!IVS21-'NF - 5 Power Mix'!IVS22</f>
        <v>0</v>
      </c>
      <c r="IVT42" s="1046">
        <f>IVT38+((IVT40+'NF - 5 Power Mix'!IVT14+'NF - 5 Power Mix'!IVT15)*860/10)+((('Form Sa1'!IVW835)*860)/10)+('Form Sa1'!IVW814*'Form Sa1'!IVW816/10)-'NF - 5 Power Mix'!IVT21-'NF - 5 Power Mix'!IVT22</f>
        <v>0</v>
      </c>
      <c r="IVU42" s="1046">
        <f>IVU38+((IVU40+'NF - 5 Power Mix'!IVU14+'NF - 5 Power Mix'!IVU15)*860/10)+((('Form Sa1'!IVX835)*860)/10)+('Form Sa1'!IVX814*'Form Sa1'!IVX816/10)-'NF - 5 Power Mix'!IVU21-'NF - 5 Power Mix'!IVU22</f>
        <v>0</v>
      </c>
      <c r="IVV42" s="1046">
        <f>IVV38+((IVV40+'NF - 5 Power Mix'!IVV14+'NF - 5 Power Mix'!IVV15)*860/10)+((('Form Sa1'!IVY835)*860)/10)+('Form Sa1'!IVY814*'Form Sa1'!IVY816/10)-'NF - 5 Power Mix'!IVV21-'NF - 5 Power Mix'!IVV22</f>
        <v>0</v>
      </c>
      <c r="IVW42" s="1046">
        <f>IVW38+((IVW40+'NF - 5 Power Mix'!IVW14+'NF - 5 Power Mix'!IVW15)*860/10)+((('Form Sa1'!IVZ835)*860)/10)+('Form Sa1'!IVZ814*'Form Sa1'!IVZ816/10)-'NF - 5 Power Mix'!IVW21-'NF - 5 Power Mix'!IVW22</f>
        <v>0</v>
      </c>
      <c r="IVX42" s="1046">
        <f>IVX38+((IVX40+'NF - 5 Power Mix'!IVX14+'NF - 5 Power Mix'!IVX15)*860/10)+((('Form Sa1'!IWA835)*860)/10)+('Form Sa1'!IWA814*'Form Sa1'!IWA816/10)-'NF - 5 Power Mix'!IVX21-'NF - 5 Power Mix'!IVX22</f>
        <v>0</v>
      </c>
      <c r="IVY42" s="1046">
        <f>IVY38+((IVY40+'NF - 5 Power Mix'!IVY14+'NF - 5 Power Mix'!IVY15)*860/10)+((('Form Sa1'!IWB835)*860)/10)+('Form Sa1'!IWB814*'Form Sa1'!IWB816/10)-'NF - 5 Power Mix'!IVY21-'NF - 5 Power Mix'!IVY22</f>
        <v>0</v>
      </c>
      <c r="IVZ42" s="1046">
        <f>IVZ38+((IVZ40+'NF - 5 Power Mix'!IVZ14+'NF - 5 Power Mix'!IVZ15)*860/10)+((('Form Sa1'!IWC835)*860)/10)+('Form Sa1'!IWC814*'Form Sa1'!IWC816/10)-'NF - 5 Power Mix'!IVZ21-'NF - 5 Power Mix'!IVZ22</f>
        <v>0</v>
      </c>
      <c r="IWA42" s="1046">
        <f>IWA38+((IWA40+'NF - 5 Power Mix'!IWA14+'NF - 5 Power Mix'!IWA15)*860/10)+((('Form Sa1'!IWD835)*860)/10)+('Form Sa1'!IWD814*'Form Sa1'!IWD816/10)-'NF - 5 Power Mix'!IWA21-'NF - 5 Power Mix'!IWA22</f>
        <v>0</v>
      </c>
      <c r="IWB42" s="1046">
        <f>IWB38+((IWB40+'NF - 5 Power Mix'!IWB14+'NF - 5 Power Mix'!IWB15)*860/10)+((('Form Sa1'!IWE835)*860)/10)+('Form Sa1'!IWE814*'Form Sa1'!IWE816/10)-'NF - 5 Power Mix'!IWB21-'NF - 5 Power Mix'!IWB22</f>
        <v>0</v>
      </c>
      <c r="IWC42" s="1046">
        <f>IWC38+((IWC40+'NF - 5 Power Mix'!IWC14+'NF - 5 Power Mix'!IWC15)*860/10)+((('Form Sa1'!IWF835)*860)/10)+('Form Sa1'!IWF814*'Form Sa1'!IWF816/10)-'NF - 5 Power Mix'!IWC21-'NF - 5 Power Mix'!IWC22</f>
        <v>0</v>
      </c>
      <c r="IWD42" s="1046">
        <f>IWD38+((IWD40+'NF - 5 Power Mix'!IWD14+'NF - 5 Power Mix'!IWD15)*860/10)+((('Form Sa1'!IWG835)*860)/10)+('Form Sa1'!IWG814*'Form Sa1'!IWG816/10)-'NF - 5 Power Mix'!IWD21-'NF - 5 Power Mix'!IWD22</f>
        <v>0</v>
      </c>
      <c r="IWE42" s="1046">
        <f>IWE38+((IWE40+'NF - 5 Power Mix'!IWE14+'NF - 5 Power Mix'!IWE15)*860/10)+((('Form Sa1'!IWH835)*860)/10)+('Form Sa1'!IWH814*'Form Sa1'!IWH816/10)-'NF - 5 Power Mix'!IWE21-'NF - 5 Power Mix'!IWE22</f>
        <v>0</v>
      </c>
      <c r="IWF42" s="1046">
        <f>IWF38+((IWF40+'NF - 5 Power Mix'!IWF14+'NF - 5 Power Mix'!IWF15)*860/10)+((('Form Sa1'!IWI835)*860)/10)+('Form Sa1'!IWI814*'Form Sa1'!IWI816/10)-'NF - 5 Power Mix'!IWF21-'NF - 5 Power Mix'!IWF22</f>
        <v>0</v>
      </c>
      <c r="IWG42" s="1046">
        <f>IWG38+((IWG40+'NF - 5 Power Mix'!IWG14+'NF - 5 Power Mix'!IWG15)*860/10)+((('Form Sa1'!IWJ835)*860)/10)+('Form Sa1'!IWJ814*'Form Sa1'!IWJ816/10)-'NF - 5 Power Mix'!IWG21-'NF - 5 Power Mix'!IWG22</f>
        <v>0</v>
      </c>
      <c r="IWH42" s="1046">
        <f>IWH38+((IWH40+'NF - 5 Power Mix'!IWH14+'NF - 5 Power Mix'!IWH15)*860/10)+((('Form Sa1'!IWK835)*860)/10)+('Form Sa1'!IWK814*'Form Sa1'!IWK816/10)-'NF - 5 Power Mix'!IWH21-'NF - 5 Power Mix'!IWH22</f>
        <v>0</v>
      </c>
      <c r="IWI42" s="1046">
        <f>IWI38+((IWI40+'NF - 5 Power Mix'!IWI14+'NF - 5 Power Mix'!IWI15)*860/10)+((('Form Sa1'!IWL835)*860)/10)+('Form Sa1'!IWL814*'Form Sa1'!IWL816/10)-'NF - 5 Power Mix'!IWI21-'NF - 5 Power Mix'!IWI22</f>
        <v>0</v>
      </c>
      <c r="IWJ42" s="1046">
        <f>IWJ38+((IWJ40+'NF - 5 Power Mix'!IWJ14+'NF - 5 Power Mix'!IWJ15)*860/10)+((('Form Sa1'!IWM835)*860)/10)+('Form Sa1'!IWM814*'Form Sa1'!IWM816/10)-'NF - 5 Power Mix'!IWJ21-'NF - 5 Power Mix'!IWJ22</f>
        <v>0</v>
      </c>
      <c r="IWK42" s="1046">
        <f>IWK38+((IWK40+'NF - 5 Power Mix'!IWK14+'NF - 5 Power Mix'!IWK15)*860/10)+((('Form Sa1'!IWN835)*860)/10)+('Form Sa1'!IWN814*'Form Sa1'!IWN816/10)-'NF - 5 Power Mix'!IWK21-'NF - 5 Power Mix'!IWK22</f>
        <v>0</v>
      </c>
      <c r="IWL42" s="1046">
        <f>IWL38+((IWL40+'NF - 5 Power Mix'!IWL14+'NF - 5 Power Mix'!IWL15)*860/10)+((('Form Sa1'!IWO835)*860)/10)+('Form Sa1'!IWO814*'Form Sa1'!IWO816/10)-'NF - 5 Power Mix'!IWL21-'NF - 5 Power Mix'!IWL22</f>
        <v>0</v>
      </c>
      <c r="IWM42" s="1046">
        <f>IWM38+((IWM40+'NF - 5 Power Mix'!IWM14+'NF - 5 Power Mix'!IWM15)*860/10)+((('Form Sa1'!IWP835)*860)/10)+('Form Sa1'!IWP814*'Form Sa1'!IWP816/10)-'NF - 5 Power Mix'!IWM21-'NF - 5 Power Mix'!IWM22</f>
        <v>0</v>
      </c>
      <c r="IWN42" s="1046">
        <f>IWN38+((IWN40+'NF - 5 Power Mix'!IWN14+'NF - 5 Power Mix'!IWN15)*860/10)+((('Form Sa1'!IWQ835)*860)/10)+('Form Sa1'!IWQ814*'Form Sa1'!IWQ816/10)-'NF - 5 Power Mix'!IWN21-'NF - 5 Power Mix'!IWN22</f>
        <v>0</v>
      </c>
      <c r="IWO42" s="1046">
        <f>IWO38+((IWO40+'NF - 5 Power Mix'!IWO14+'NF - 5 Power Mix'!IWO15)*860/10)+((('Form Sa1'!IWR835)*860)/10)+('Form Sa1'!IWR814*'Form Sa1'!IWR816/10)-'NF - 5 Power Mix'!IWO21-'NF - 5 Power Mix'!IWO22</f>
        <v>0</v>
      </c>
      <c r="IWP42" s="1046">
        <f>IWP38+((IWP40+'NF - 5 Power Mix'!IWP14+'NF - 5 Power Mix'!IWP15)*860/10)+((('Form Sa1'!IWS835)*860)/10)+('Form Sa1'!IWS814*'Form Sa1'!IWS816/10)-'NF - 5 Power Mix'!IWP21-'NF - 5 Power Mix'!IWP22</f>
        <v>0</v>
      </c>
      <c r="IWQ42" s="1046">
        <f>IWQ38+((IWQ40+'NF - 5 Power Mix'!IWQ14+'NF - 5 Power Mix'!IWQ15)*860/10)+((('Form Sa1'!IWT835)*860)/10)+('Form Sa1'!IWT814*'Form Sa1'!IWT816/10)-'NF - 5 Power Mix'!IWQ21-'NF - 5 Power Mix'!IWQ22</f>
        <v>0</v>
      </c>
      <c r="IWR42" s="1046">
        <f>IWR38+((IWR40+'NF - 5 Power Mix'!IWR14+'NF - 5 Power Mix'!IWR15)*860/10)+((('Form Sa1'!IWU835)*860)/10)+('Form Sa1'!IWU814*'Form Sa1'!IWU816/10)-'NF - 5 Power Mix'!IWR21-'NF - 5 Power Mix'!IWR22</f>
        <v>0</v>
      </c>
      <c r="IWS42" s="1046">
        <f>IWS38+((IWS40+'NF - 5 Power Mix'!IWS14+'NF - 5 Power Mix'!IWS15)*860/10)+((('Form Sa1'!IWV835)*860)/10)+('Form Sa1'!IWV814*'Form Sa1'!IWV816/10)-'NF - 5 Power Mix'!IWS21-'NF - 5 Power Mix'!IWS22</f>
        <v>0</v>
      </c>
      <c r="IWT42" s="1046">
        <f>IWT38+((IWT40+'NF - 5 Power Mix'!IWT14+'NF - 5 Power Mix'!IWT15)*860/10)+((('Form Sa1'!IWW835)*860)/10)+('Form Sa1'!IWW814*'Form Sa1'!IWW816/10)-'NF - 5 Power Mix'!IWT21-'NF - 5 Power Mix'!IWT22</f>
        <v>0</v>
      </c>
      <c r="IWU42" s="1046">
        <f>IWU38+((IWU40+'NF - 5 Power Mix'!IWU14+'NF - 5 Power Mix'!IWU15)*860/10)+((('Form Sa1'!IWX835)*860)/10)+('Form Sa1'!IWX814*'Form Sa1'!IWX816/10)-'NF - 5 Power Mix'!IWU21-'NF - 5 Power Mix'!IWU22</f>
        <v>0</v>
      </c>
      <c r="IWV42" s="1046">
        <f>IWV38+((IWV40+'NF - 5 Power Mix'!IWV14+'NF - 5 Power Mix'!IWV15)*860/10)+((('Form Sa1'!IWY835)*860)/10)+('Form Sa1'!IWY814*'Form Sa1'!IWY816/10)-'NF - 5 Power Mix'!IWV21-'NF - 5 Power Mix'!IWV22</f>
        <v>0</v>
      </c>
      <c r="IWW42" s="1046">
        <f>IWW38+((IWW40+'NF - 5 Power Mix'!IWW14+'NF - 5 Power Mix'!IWW15)*860/10)+((('Form Sa1'!IWZ835)*860)/10)+('Form Sa1'!IWZ814*'Form Sa1'!IWZ816/10)-'NF - 5 Power Mix'!IWW21-'NF - 5 Power Mix'!IWW22</f>
        <v>0</v>
      </c>
      <c r="IWX42" s="1046">
        <f>IWX38+((IWX40+'NF - 5 Power Mix'!IWX14+'NF - 5 Power Mix'!IWX15)*860/10)+((('Form Sa1'!IXA835)*860)/10)+('Form Sa1'!IXA814*'Form Sa1'!IXA816/10)-'NF - 5 Power Mix'!IWX21-'NF - 5 Power Mix'!IWX22</f>
        <v>0</v>
      </c>
      <c r="IWY42" s="1046">
        <f>IWY38+((IWY40+'NF - 5 Power Mix'!IWY14+'NF - 5 Power Mix'!IWY15)*860/10)+((('Form Sa1'!IXB835)*860)/10)+('Form Sa1'!IXB814*'Form Sa1'!IXB816/10)-'NF - 5 Power Mix'!IWY21-'NF - 5 Power Mix'!IWY22</f>
        <v>0</v>
      </c>
      <c r="IWZ42" s="1046">
        <f>IWZ38+((IWZ40+'NF - 5 Power Mix'!IWZ14+'NF - 5 Power Mix'!IWZ15)*860/10)+((('Form Sa1'!IXC835)*860)/10)+('Form Sa1'!IXC814*'Form Sa1'!IXC816/10)-'NF - 5 Power Mix'!IWZ21-'NF - 5 Power Mix'!IWZ22</f>
        <v>0</v>
      </c>
      <c r="IXA42" s="1046">
        <f>IXA38+((IXA40+'NF - 5 Power Mix'!IXA14+'NF - 5 Power Mix'!IXA15)*860/10)+((('Form Sa1'!IXD835)*860)/10)+('Form Sa1'!IXD814*'Form Sa1'!IXD816/10)-'NF - 5 Power Mix'!IXA21-'NF - 5 Power Mix'!IXA22</f>
        <v>0</v>
      </c>
      <c r="IXB42" s="1046">
        <f>IXB38+((IXB40+'NF - 5 Power Mix'!IXB14+'NF - 5 Power Mix'!IXB15)*860/10)+((('Form Sa1'!IXE835)*860)/10)+('Form Sa1'!IXE814*'Form Sa1'!IXE816/10)-'NF - 5 Power Mix'!IXB21-'NF - 5 Power Mix'!IXB22</f>
        <v>0</v>
      </c>
      <c r="IXC42" s="1046">
        <f>IXC38+((IXC40+'NF - 5 Power Mix'!IXC14+'NF - 5 Power Mix'!IXC15)*860/10)+((('Form Sa1'!IXF835)*860)/10)+('Form Sa1'!IXF814*'Form Sa1'!IXF816/10)-'NF - 5 Power Mix'!IXC21-'NF - 5 Power Mix'!IXC22</f>
        <v>0</v>
      </c>
      <c r="IXD42" s="1046">
        <f>IXD38+((IXD40+'NF - 5 Power Mix'!IXD14+'NF - 5 Power Mix'!IXD15)*860/10)+((('Form Sa1'!IXG835)*860)/10)+('Form Sa1'!IXG814*'Form Sa1'!IXG816/10)-'NF - 5 Power Mix'!IXD21-'NF - 5 Power Mix'!IXD22</f>
        <v>0</v>
      </c>
      <c r="IXE42" s="1046">
        <f>IXE38+((IXE40+'NF - 5 Power Mix'!IXE14+'NF - 5 Power Mix'!IXE15)*860/10)+((('Form Sa1'!IXH835)*860)/10)+('Form Sa1'!IXH814*'Form Sa1'!IXH816/10)-'NF - 5 Power Mix'!IXE21-'NF - 5 Power Mix'!IXE22</f>
        <v>0</v>
      </c>
      <c r="IXF42" s="1046">
        <f>IXF38+((IXF40+'NF - 5 Power Mix'!IXF14+'NF - 5 Power Mix'!IXF15)*860/10)+((('Form Sa1'!IXI835)*860)/10)+('Form Sa1'!IXI814*'Form Sa1'!IXI816/10)-'NF - 5 Power Mix'!IXF21-'NF - 5 Power Mix'!IXF22</f>
        <v>0</v>
      </c>
      <c r="IXG42" s="1046">
        <f>IXG38+((IXG40+'NF - 5 Power Mix'!IXG14+'NF - 5 Power Mix'!IXG15)*860/10)+((('Form Sa1'!IXJ835)*860)/10)+('Form Sa1'!IXJ814*'Form Sa1'!IXJ816/10)-'NF - 5 Power Mix'!IXG21-'NF - 5 Power Mix'!IXG22</f>
        <v>0</v>
      </c>
      <c r="IXH42" s="1046">
        <f>IXH38+((IXH40+'NF - 5 Power Mix'!IXH14+'NF - 5 Power Mix'!IXH15)*860/10)+((('Form Sa1'!IXK835)*860)/10)+('Form Sa1'!IXK814*'Form Sa1'!IXK816/10)-'NF - 5 Power Mix'!IXH21-'NF - 5 Power Mix'!IXH22</f>
        <v>0</v>
      </c>
      <c r="IXI42" s="1046">
        <f>IXI38+((IXI40+'NF - 5 Power Mix'!IXI14+'NF - 5 Power Mix'!IXI15)*860/10)+((('Form Sa1'!IXL835)*860)/10)+('Form Sa1'!IXL814*'Form Sa1'!IXL816/10)-'NF - 5 Power Mix'!IXI21-'NF - 5 Power Mix'!IXI22</f>
        <v>0</v>
      </c>
      <c r="IXJ42" s="1046">
        <f>IXJ38+((IXJ40+'NF - 5 Power Mix'!IXJ14+'NF - 5 Power Mix'!IXJ15)*860/10)+((('Form Sa1'!IXM835)*860)/10)+('Form Sa1'!IXM814*'Form Sa1'!IXM816/10)-'NF - 5 Power Mix'!IXJ21-'NF - 5 Power Mix'!IXJ22</f>
        <v>0</v>
      </c>
      <c r="IXK42" s="1046">
        <f>IXK38+((IXK40+'NF - 5 Power Mix'!IXK14+'NF - 5 Power Mix'!IXK15)*860/10)+((('Form Sa1'!IXN835)*860)/10)+('Form Sa1'!IXN814*'Form Sa1'!IXN816/10)-'NF - 5 Power Mix'!IXK21-'NF - 5 Power Mix'!IXK22</f>
        <v>0</v>
      </c>
      <c r="IXL42" s="1046">
        <f>IXL38+((IXL40+'NF - 5 Power Mix'!IXL14+'NF - 5 Power Mix'!IXL15)*860/10)+((('Form Sa1'!IXO835)*860)/10)+('Form Sa1'!IXO814*'Form Sa1'!IXO816/10)-'NF - 5 Power Mix'!IXL21-'NF - 5 Power Mix'!IXL22</f>
        <v>0</v>
      </c>
      <c r="IXM42" s="1046">
        <f>IXM38+((IXM40+'NF - 5 Power Mix'!IXM14+'NF - 5 Power Mix'!IXM15)*860/10)+((('Form Sa1'!IXP835)*860)/10)+('Form Sa1'!IXP814*'Form Sa1'!IXP816/10)-'NF - 5 Power Mix'!IXM21-'NF - 5 Power Mix'!IXM22</f>
        <v>0</v>
      </c>
      <c r="IXN42" s="1046">
        <f>IXN38+((IXN40+'NF - 5 Power Mix'!IXN14+'NF - 5 Power Mix'!IXN15)*860/10)+((('Form Sa1'!IXQ835)*860)/10)+('Form Sa1'!IXQ814*'Form Sa1'!IXQ816/10)-'NF - 5 Power Mix'!IXN21-'NF - 5 Power Mix'!IXN22</f>
        <v>0</v>
      </c>
      <c r="IXO42" s="1046">
        <f>IXO38+((IXO40+'NF - 5 Power Mix'!IXO14+'NF - 5 Power Mix'!IXO15)*860/10)+((('Form Sa1'!IXR835)*860)/10)+('Form Sa1'!IXR814*'Form Sa1'!IXR816/10)-'NF - 5 Power Mix'!IXO21-'NF - 5 Power Mix'!IXO22</f>
        <v>0</v>
      </c>
      <c r="IXP42" s="1046">
        <f>IXP38+((IXP40+'NF - 5 Power Mix'!IXP14+'NF - 5 Power Mix'!IXP15)*860/10)+((('Form Sa1'!IXS835)*860)/10)+('Form Sa1'!IXS814*'Form Sa1'!IXS816/10)-'NF - 5 Power Mix'!IXP21-'NF - 5 Power Mix'!IXP22</f>
        <v>0</v>
      </c>
      <c r="IXQ42" s="1046">
        <f>IXQ38+((IXQ40+'NF - 5 Power Mix'!IXQ14+'NF - 5 Power Mix'!IXQ15)*860/10)+((('Form Sa1'!IXT835)*860)/10)+('Form Sa1'!IXT814*'Form Sa1'!IXT816/10)-'NF - 5 Power Mix'!IXQ21-'NF - 5 Power Mix'!IXQ22</f>
        <v>0</v>
      </c>
      <c r="IXR42" s="1046">
        <f>IXR38+((IXR40+'NF - 5 Power Mix'!IXR14+'NF - 5 Power Mix'!IXR15)*860/10)+((('Form Sa1'!IXU835)*860)/10)+('Form Sa1'!IXU814*'Form Sa1'!IXU816/10)-'NF - 5 Power Mix'!IXR21-'NF - 5 Power Mix'!IXR22</f>
        <v>0</v>
      </c>
      <c r="IXS42" s="1046">
        <f>IXS38+((IXS40+'NF - 5 Power Mix'!IXS14+'NF - 5 Power Mix'!IXS15)*860/10)+((('Form Sa1'!IXV835)*860)/10)+('Form Sa1'!IXV814*'Form Sa1'!IXV816/10)-'NF - 5 Power Mix'!IXS21-'NF - 5 Power Mix'!IXS22</f>
        <v>0</v>
      </c>
      <c r="IXT42" s="1046">
        <f>IXT38+((IXT40+'NF - 5 Power Mix'!IXT14+'NF - 5 Power Mix'!IXT15)*860/10)+((('Form Sa1'!IXW835)*860)/10)+('Form Sa1'!IXW814*'Form Sa1'!IXW816/10)-'NF - 5 Power Mix'!IXT21-'NF - 5 Power Mix'!IXT22</f>
        <v>0</v>
      </c>
      <c r="IXU42" s="1046">
        <f>IXU38+((IXU40+'NF - 5 Power Mix'!IXU14+'NF - 5 Power Mix'!IXU15)*860/10)+((('Form Sa1'!IXX835)*860)/10)+('Form Sa1'!IXX814*'Form Sa1'!IXX816/10)-'NF - 5 Power Mix'!IXU21-'NF - 5 Power Mix'!IXU22</f>
        <v>0</v>
      </c>
      <c r="IXV42" s="1046">
        <f>IXV38+((IXV40+'NF - 5 Power Mix'!IXV14+'NF - 5 Power Mix'!IXV15)*860/10)+((('Form Sa1'!IXY835)*860)/10)+('Form Sa1'!IXY814*'Form Sa1'!IXY816/10)-'NF - 5 Power Mix'!IXV21-'NF - 5 Power Mix'!IXV22</f>
        <v>0</v>
      </c>
      <c r="IXW42" s="1046">
        <f>IXW38+((IXW40+'NF - 5 Power Mix'!IXW14+'NF - 5 Power Mix'!IXW15)*860/10)+((('Form Sa1'!IXZ835)*860)/10)+('Form Sa1'!IXZ814*'Form Sa1'!IXZ816/10)-'NF - 5 Power Mix'!IXW21-'NF - 5 Power Mix'!IXW22</f>
        <v>0</v>
      </c>
      <c r="IXX42" s="1046">
        <f>IXX38+((IXX40+'NF - 5 Power Mix'!IXX14+'NF - 5 Power Mix'!IXX15)*860/10)+((('Form Sa1'!IYA835)*860)/10)+('Form Sa1'!IYA814*'Form Sa1'!IYA816/10)-'NF - 5 Power Mix'!IXX21-'NF - 5 Power Mix'!IXX22</f>
        <v>0</v>
      </c>
      <c r="IXY42" s="1046">
        <f>IXY38+((IXY40+'NF - 5 Power Mix'!IXY14+'NF - 5 Power Mix'!IXY15)*860/10)+((('Form Sa1'!IYB835)*860)/10)+('Form Sa1'!IYB814*'Form Sa1'!IYB816/10)-'NF - 5 Power Mix'!IXY21-'NF - 5 Power Mix'!IXY22</f>
        <v>0</v>
      </c>
      <c r="IXZ42" s="1046">
        <f>IXZ38+((IXZ40+'NF - 5 Power Mix'!IXZ14+'NF - 5 Power Mix'!IXZ15)*860/10)+((('Form Sa1'!IYC835)*860)/10)+('Form Sa1'!IYC814*'Form Sa1'!IYC816/10)-'NF - 5 Power Mix'!IXZ21-'NF - 5 Power Mix'!IXZ22</f>
        <v>0</v>
      </c>
      <c r="IYA42" s="1046">
        <f>IYA38+((IYA40+'NF - 5 Power Mix'!IYA14+'NF - 5 Power Mix'!IYA15)*860/10)+((('Form Sa1'!IYD835)*860)/10)+('Form Sa1'!IYD814*'Form Sa1'!IYD816/10)-'NF - 5 Power Mix'!IYA21-'NF - 5 Power Mix'!IYA22</f>
        <v>0</v>
      </c>
      <c r="IYB42" s="1046">
        <f>IYB38+((IYB40+'NF - 5 Power Mix'!IYB14+'NF - 5 Power Mix'!IYB15)*860/10)+((('Form Sa1'!IYE835)*860)/10)+('Form Sa1'!IYE814*'Form Sa1'!IYE816/10)-'NF - 5 Power Mix'!IYB21-'NF - 5 Power Mix'!IYB22</f>
        <v>0</v>
      </c>
      <c r="IYC42" s="1046">
        <f>IYC38+((IYC40+'NF - 5 Power Mix'!IYC14+'NF - 5 Power Mix'!IYC15)*860/10)+((('Form Sa1'!IYF835)*860)/10)+('Form Sa1'!IYF814*'Form Sa1'!IYF816/10)-'NF - 5 Power Mix'!IYC21-'NF - 5 Power Mix'!IYC22</f>
        <v>0</v>
      </c>
      <c r="IYD42" s="1046">
        <f>IYD38+((IYD40+'NF - 5 Power Mix'!IYD14+'NF - 5 Power Mix'!IYD15)*860/10)+((('Form Sa1'!IYG835)*860)/10)+('Form Sa1'!IYG814*'Form Sa1'!IYG816/10)-'NF - 5 Power Mix'!IYD21-'NF - 5 Power Mix'!IYD22</f>
        <v>0</v>
      </c>
      <c r="IYE42" s="1046">
        <f>IYE38+((IYE40+'NF - 5 Power Mix'!IYE14+'NF - 5 Power Mix'!IYE15)*860/10)+((('Form Sa1'!IYH835)*860)/10)+('Form Sa1'!IYH814*'Form Sa1'!IYH816/10)-'NF - 5 Power Mix'!IYE21-'NF - 5 Power Mix'!IYE22</f>
        <v>0</v>
      </c>
      <c r="IYF42" s="1046">
        <f>IYF38+((IYF40+'NF - 5 Power Mix'!IYF14+'NF - 5 Power Mix'!IYF15)*860/10)+((('Form Sa1'!IYI835)*860)/10)+('Form Sa1'!IYI814*'Form Sa1'!IYI816/10)-'NF - 5 Power Mix'!IYF21-'NF - 5 Power Mix'!IYF22</f>
        <v>0</v>
      </c>
      <c r="IYG42" s="1046">
        <f>IYG38+((IYG40+'NF - 5 Power Mix'!IYG14+'NF - 5 Power Mix'!IYG15)*860/10)+((('Form Sa1'!IYJ835)*860)/10)+('Form Sa1'!IYJ814*'Form Sa1'!IYJ816/10)-'NF - 5 Power Mix'!IYG21-'NF - 5 Power Mix'!IYG22</f>
        <v>0</v>
      </c>
      <c r="IYH42" s="1046">
        <f>IYH38+((IYH40+'NF - 5 Power Mix'!IYH14+'NF - 5 Power Mix'!IYH15)*860/10)+((('Form Sa1'!IYK835)*860)/10)+('Form Sa1'!IYK814*'Form Sa1'!IYK816/10)-'NF - 5 Power Mix'!IYH21-'NF - 5 Power Mix'!IYH22</f>
        <v>0</v>
      </c>
      <c r="IYI42" s="1046">
        <f>IYI38+((IYI40+'NF - 5 Power Mix'!IYI14+'NF - 5 Power Mix'!IYI15)*860/10)+((('Form Sa1'!IYL835)*860)/10)+('Form Sa1'!IYL814*'Form Sa1'!IYL816/10)-'NF - 5 Power Mix'!IYI21-'NF - 5 Power Mix'!IYI22</f>
        <v>0</v>
      </c>
      <c r="IYJ42" s="1046">
        <f>IYJ38+((IYJ40+'NF - 5 Power Mix'!IYJ14+'NF - 5 Power Mix'!IYJ15)*860/10)+((('Form Sa1'!IYM835)*860)/10)+('Form Sa1'!IYM814*'Form Sa1'!IYM816/10)-'NF - 5 Power Mix'!IYJ21-'NF - 5 Power Mix'!IYJ22</f>
        <v>0</v>
      </c>
      <c r="IYK42" s="1046">
        <f>IYK38+((IYK40+'NF - 5 Power Mix'!IYK14+'NF - 5 Power Mix'!IYK15)*860/10)+((('Form Sa1'!IYN835)*860)/10)+('Form Sa1'!IYN814*'Form Sa1'!IYN816/10)-'NF - 5 Power Mix'!IYK21-'NF - 5 Power Mix'!IYK22</f>
        <v>0</v>
      </c>
      <c r="IYL42" s="1046">
        <f>IYL38+((IYL40+'NF - 5 Power Mix'!IYL14+'NF - 5 Power Mix'!IYL15)*860/10)+((('Form Sa1'!IYO835)*860)/10)+('Form Sa1'!IYO814*'Form Sa1'!IYO816/10)-'NF - 5 Power Mix'!IYL21-'NF - 5 Power Mix'!IYL22</f>
        <v>0</v>
      </c>
      <c r="IYM42" s="1046">
        <f>IYM38+((IYM40+'NF - 5 Power Mix'!IYM14+'NF - 5 Power Mix'!IYM15)*860/10)+((('Form Sa1'!IYP835)*860)/10)+('Form Sa1'!IYP814*'Form Sa1'!IYP816/10)-'NF - 5 Power Mix'!IYM21-'NF - 5 Power Mix'!IYM22</f>
        <v>0</v>
      </c>
      <c r="IYN42" s="1046">
        <f>IYN38+((IYN40+'NF - 5 Power Mix'!IYN14+'NF - 5 Power Mix'!IYN15)*860/10)+((('Form Sa1'!IYQ835)*860)/10)+('Form Sa1'!IYQ814*'Form Sa1'!IYQ816/10)-'NF - 5 Power Mix'!IYN21-'NF - 5 Power Mix'!IYN22</f>
        <v>0</v>
      </c>
      <c r="IYO42" s="1046">
        <f>IYO38+((IYO40+'NF - 5 Power Mix'!IYO14+'NF - 5 Power Mix'!IYO15)*860/10)+((('Form Sa1'!IYR835)*860)/10)+('Form Sa1'!IYR814*'Form Sa1'!IYR816/10)-'NF - 5 Power Mix'!IYO21-'NF - 5 Power Mix'!IYO22</f>
        <v>0</v>
      </c>
      <c r="IYP42" s="1046">
        <f>IYP38+((IYP40+'NF - 5 Power Mix'!IYP14+'NF - 5 Power Mix'!IYP15)*860/10)+((('Form Sa1'!IYS835)*860)/10)+('Form Sa1'!IYS814*'Form Sa1'!IYS816/10)-'NF - 5 Power Mix'!IYP21-'NF - 5 Power Mix'!IYP22</f>
        <v>0</v>
      </c>
      <c r="IYQ42" s="1046">
        <f>IYQ38+((IYQ40+'NF - 5 Power Mix'!IYQ14+'NF - 5 Power Mix'!IYQ15)*860/10)+((('Form Sa1'!IYT835)*860)/10)+('Form Sa1'!IYT814*'Form Sa1'!IYT816/10)-'NF - 5 Power Mix'!IYQ21-'NF - 5 Power Mix'!IYQ22</f>
        <v>0</v>
      </c>
      <c r="IYR42" s="1046">
        <f>IYR38+((IYR40+'NF - 5 Power Mix'!IYR14+'NF - 5 Power Mix'!IYR15)*860/10)+((('Form Sa1'!IYU835)*860)/10)+('Form Sa1'!IYU814*'Form Sa1'!IYU816/10)-'NF - 5 Power Mix'!IYR21-'NF - 5 Power Mix'!IYR22</f>
        <v>0</v>
      </c>
      <c r="IYS42" s="1046">
        <f>IYS38+((IYS40+'NF - 5 Power Mix'!IYS14+'NF - 5 Power Mix'!IYS15)*860/10)+((('Form Sa1'!IYV835)*860)/10)+('Form Sa1'!IYV814*'Form Sa1'!IYV816/10)-'NF - 5 Power Mix'!IYS21-'NF - 5 Power Mix'!IYS22</f>
        <v>0</v>
      </c>
      <c r="IYT42" s="1046">
        <f>IYT38+((IYT40+'NF - 5 Power Mix'!IYT14+'NF - 5 Power Mix'!IYT15)*860/10)+((('Form Sa1'!IYW835)*860)/10)+('Form Sa1'!IYW814*'Form Sa1'!IYW816/10)-'NF - 5 Power Mix'!IYT21-'NF - 5 Power Mix'!IYT22</f>
        <v>0</v>
      </c>
      <c r="IYU42" s="1046">
        <f>IYU38+((IYU40+'NF - 5 Power Mix'!IYU14+'NF - 5 Power Mix'!IYU15)*860/10)+((('Form Sa1'!IYX835)*860)/10)+('Form Sa1'!IYX814*'Form Sa1'!IYX816/10)-'NF - 5 Power Mix'!IYU21-'NF - 5 Power Mix'!IYU22</f>
        <v>0</v>
      </c>
      <c r="IYV42" s="1046">
        <f>IYV38+((IYV40+'NF - 5 Power Mix'!IYV14+'NF - 5 Power Mix'!IYV15)*860/10)+((('Form Sa1'!IYY835)*860)/10)+('Form Sa1'!IYY814*'Form Sa1'!IYY816/10)-'NF - 5 Power Mix'!IYV21-'NF - 5 Power Mix'!IYV22</f>
        <v>0</v>
      </c>
      <c r="IYW42" s="1046">
        <f>IYW38+((IYW40+'NF - 5 Power Mix'!IYW14+'NF - 5 Power Mix'!IYW15)*860/10)+((('Form Sa1'!IYZ835)*860)/10)+('Form Sa1'!IYZ814*'Form Sa1'!IYZ816/10)-'NF - 5 Power Mix'!IYW21-'NF - 5 Power Mix'!IYW22</f>
        <v>0</v>
      </c>
      <c r="IYX42" s="1046">
        <f>IYX38+((IYX40+'NF - 5 Power Mix'!IYX14+'NF - 5 Power Mix'!IYX15)*860/10)+((('Form Sa1'!IZA835)*860)/10)+('Form Sa1'!IZA814*'Form Sa1'!IZA816/10)-'NF - 5 Power Mix'!IYX21-'NF - 5 Power Mix'!IYX22</f>
        <v>0</v>
      </c>
      <c r="IYY42" s="1046">
        <f>IYY38+((IYY40+'NF - 5 Power Mix'!IYY14+'NF - 5 Power Mix'!IYY15)*860/10)+((('Form Sa1'!IZB835)*860)/10)+('Form Sa1'!IZB814*'Form Sa1'!IZB816/10)-'NF - 5 Power Mix'!IYY21-'NF - 5 Power Mix'!IYY22</f>
        <v>0</v>
      </c>
      <c r="IYZ42" s="1046">
        <f>IYZ38+((IYZ40+'NF - 5 Power Mix'!IYZ14+'NF - 5 Power Mix'!IYZ15)*860/10)+((('Form Sa1'!IZC835)*860)/10)+('Form Sa1'!IZC814*'Form Sa1'!IZC816/10)-'NF - 5 Power Mix'!IYZ21-'NF - 5 Power Mix'!IYZ22</f>
        <v>0</v>
      </c>
      <c r="IZA42" s="1046">
        <f>IZA38+((IZA40+'NF - 5 Power Mix'!IZA14+'NF - 5 Power Mix'!IZA15)*860/10)+((('Form Sa1'!IZD835)*860)/10)+('Form Sa1'!IZD814*'Form Sa1'!IZD816/10)-'NF - 5 Power Mix'!IZA21-'NF - 5 Power Mix'!IZA22</f>
        <v>0</v>
      </c>
      <c r="IZB42" s="1046">
        <f>IZB38+((IZB40+'NF - 5 Power Mix'!IZB14+'NF - 5 Power Mix'!IZB15)*860/10)+((('Form Sa1'!IZE835)*860)/10)+('Form Sa1'!IZE814*'Form Sa1'!IZE816/10)-'NF - 5 Power Mix'!IZB21-'NF - 5 Power Mix'!IZB22</f>
        <v>0</v>
      </c>
      <c r="IZC42" s="1046">
        <f>IZC38+((IZC40+'NF - 5 Power Mix'!IZC14+'NF - 5 Power Mix'!IZC15)*860/10)+((('Form Sa1'!IZF835)*860)/10)+('Form Sa1'!IZF814*'Form Sa1'!IZF816/10)-'NF - 5 Power Mix'!IZC21-'NF - 5 Power Mix'!IZC22</f>
        <v>0</v>
      </c>
      <c r="IZD42" s="1046">
        <f>IZD38+((IZD40+'NF - 5 Power Mix'!IZD14+'NF - 5 Power Mix'!IZD15)*860/10)+((('Form Sa1'!IZG835)*860)/10)+('Form Sa1'!IZG814*'Form Sa1'!IZG816/10)-'NF - 5 Power Mix'!IZD21-'NF - 5 Power Mix'!IZD22</f>
        <v>0</v>
      </c>
      <c r="IZE42" s="1046">
        <f>IZE38+((IZE40+'NF - 5 Power Mix'!IZE14+'NF - 5 Power Mix'!IZE15)*860/10)+((('Form Sa1'!IZH835)*860)/10)+('Form Sa1'!IZH814*'Form Sa1'!IZH816/10)-'NF - 5 Power Mix'!IZE21-'NF - 5 Power Mix'!IZE22</f>
        <v>0</v>
      </c>
      <c r="IZF42" s="1046">
        <f>IZF38+((IZF40+'NF - 5 Power Mix'!IZF14+'NF - 5 Power Mix'!IZF15)*860/10)+((('Form Sa1'!IZI835)*860)/10)+('Form Sa1'!IZI814*'Form Sa1'!IZI816/10)-'NF - 5 Power Mix'!IZF21-'NF - 5 Power Mix'!IZF22</f>
        <v>0</v>
      </c>
      <c r="IZG42" s="1046">
        <f>IZG38+((IZG40+'NF - 5 Power Mix'!IZG14+'NF - 5 Power Mix'!IZG15)*860/10)+((('Form Sa1'!IZJ835)*860)/10)+('Form Sa1'!IZJ814*'Form Sa1'!IZJ816/10)-'NF - 5 Power Mix'!IZG21-'NF - 5 Power Mix'!IZG22</f>
        <v>0</v>
      </c>
      <c r="IZH42" s="1046">
        <f>IZH38+((IZH40+'NF - 5 Power Mix'!IZH14+'NF - 5 Power Mix'!IZH15)*860/10)+((('Form Sa1'!IZK835)*860)/10)+('Form Sa1'!IZK814*'Form Sa1'!IZK816/10)-'NF - 5 Power Mix'!IZH21-'NF - 5 Power Mix'!IZH22</f>
        <v>0</v>
      </c>
      <c r="IZI42" s="1046">
        <f>IZI38+((IZI40+'NF - 5 Power Mix'!IZI14+'NF - 5 Power Mix'!IZI15)*860/10)+((('Form Sa1'!IZL835)*860)/10)+('Form Sa1'!IZL814*'Form Sa1'!IZL816/10)-'NF - 5 Power Mix'!IZI21-'NF - 5 Power Mix'!IZI22</f>
        <v>0</v>
      </c>
      <c r="IZJ42" s="1046">
        <f>IZJ38+((IZJ40+'NF - 5 Power Mix'!IZJ14+'NF - 5 Power Mix'!IZJ15)*860/10)+((('Form Sa1'!IZM835)*860)/10)+('Form Sa1'!IZM814*'Form Sa1'!IZM816/10)-'NF - 5 Power Mix'!IZJ21-'NF - 5 Power Mix'!IZJ22</f>
        <v>0</v>
      </c>
      <c r="IZK42" s="1046">
        <f>IZK38+((IZK40+'NF - 5 Power Mix'!IZK14+'NF - 5 Power Mix'!IZK15)*860/10)+((('Form Sa1'!IZN835)*860)/10)+('Form Sa1'!IZN814*'Form Sa1'!IZN816/10)-'NF - 5 Power Mix'!IZK21-'NF - 5 Power Mix'!IZK22</f>
        <v>0</v>
      </c>
      <c r="IZL42" s="1046">
        <f>IZL38+((IZL40+'NF - 5 Power Mix'!IZL14+'NF - 5 Power Mix'!IZL15)*860/10)+((('Form Sa1'!IZO835)*860)/10)+('Form Sa1'!IZO814*'Form Sa1'!IZO816/10)-'NF - 5 Power Mix'!IZL21-'NF - 5 Power Mix'!IZL22</f>
        <v>0</v>
      </c>
      <c r="IZM42" s="1046">
        <f>IZM38+((IZM40+'NF - 5 Power Mix'!IZM14+'NF - 5 Power Mix'!IZM15)*860/10)+((('Form Sa1'!IZP835)*860)/10)+('Form Sa1'!IZP814*'Form Sa1'!IZP816/10)-'NF - 5 Power Mix'!IZM21-'NF - 5 Power Mix'!IZM22</f>
        <v>0</v>
      </c>
      <c r="IZN42" s="1046">
        <f>IZN38+((IZN40+'NF - 5 Power Mix'!IZN14+'NF - 5 Power Mix'!IZN15)*860/10)+((('Form Sa1'!IZQ835)*860)/10)+('Form Sa1'!IZQ814*'Form Sa1'!IZQ816/10)-'NF - 5 Power Mix'!IZN21-'NF - 5 Power Mix'!IZN22</f>
        <v>0</v>
      </c>
      <c r="IZO42" s="1046">
        <f>IZO38+((IZO40+'NF - 5 Power Mix'!IZO14+'NF - 5 Power Mix'!IZO15)*860/10)+((('Form Sa1'!IZR835)*860)/10)+('Form Sa1'!IZR814*'Form Sa1'!IZR816/10)-'NF - 5 Power Mix'!IZO21-'NF - 5 Power Mix'!IZO22</f>
        <v>0</v>
      </c>
      <c r="IZP42" s="1046">
        <f>IZP38+((IZP40+'NF - 5 Power Mix'!IZP14+'NF - 5 Power Mix'!IZP15)*860/10)+((('Form Sa1'!IZS835)*860)/10)+('Form Sa1'!IZS814*'Form Sa1'!IZS816/10)-'NF - 5 Power Mix'!IZP21-'NF - 5 Power Mix'!IZP22</f>
        <v>0</v>
      </c>
      <c r="IZQ42" s="1046">
        <f>IZQ38+((IZQ40+'NF - 5 Power Mix'!IZQ14+'NF - 5 Power Mix'!IZQ15)*860/10)+((('Form Sa1'!IZT835)*860)/10)+('Form Sa1'!IZT814*'Form Sa1'!IZT816/10)-'NF - 5 Power Mix'!IZQ21-'NF - 5 Power Mix'!IZQ22</f>
        <v>0</v>
      </c>
      <c r="IZR42" s="1046">
        <f>IZR38+((IZR40+'NF - 5 Power Mix'!IZR14+'NF - 5 Power Mix'!IZR15)*860/10)+((('Form Sa1'!IZU835)*860)/10)+('Form Sa1'!IZU814*'Form Sa1'!IZU816/10)-'NF - 5 Power Mix'!IZR21-'NF - 5 Power Mix'!IZR22</f>
        <v>0</v>
      </c>
      <c r="IZS42" s="1046">
        <f>IZS38+((IZS40+'NF - 5 Power Mix'!IZS14+'NF - 5 Power Mix'!IZS15)*860/10)+((('Form Sa1'!IZV835)*860)/10)+('Form Sa1'!IZV814*'Form Sa1'!IZV816/10)-'NF - 5 Power Mix'!IZS21-'NF - 5 Power Mix'!IZS22</f>
        <v>0</v>
      </c>
      <c r="IZT42" s="1046">
        <f>IZT38+((IZT40+'NF - 5 Power Mix'!IZT14+'NF - 5 Power Mix'!IZT15)*860/10)+((('Form Sa1'!IZW835)*860)/10)+('Form Sa1'!IZW814*'Form Sa1'!IZW816/10)-'NF - 5 Power Mix'!IZT21-'NF - 5 Power Mix'!IZT22</f>
        <v>0</v>
      </c>
      <c r="IZU42" s="1046">
        <f>IZU38+((IZU40+'NF - 5 Power Mix'!IZU14+'NF - 5 Power Mix'!IZU15)*860/10)+((('Form Sa1'!IZX835)*860)/10)+('Form Sa1'!IZX814*'Form Sa1'!IZX816/10)-'NF - 5 Power Mix'!IZU21-'NF - 5 Power Mix'!IZU22</f>
        <v>0</v>
      </c>
      <c r="IZV42" s="1046">
        <f>IZV38+((IZV40+'NF - 5 Power Mix'!IZV14+'NF - 5 Power Mix'!IZV15)*860/10)+((('Form Sa1'!IZY835)*860)/10)+('Form Sa1'!IZY814*'Form Sa1'!IZY816/10)-'NF - 5 Power Mix'!IZV21-'NF - 5 Power Mix'!IZV22</f>
        <v>0</v>
      </c>
      <c r="IZW42" s="1046">
        <f>IZW38+((IZW40+'NF - 5 Power Mix'!IZW14+'NF - 5 Power Mix'!IZW15)*860/10)+((('Form Sa1'!IZZ835)*860)/10)+('Form Sa1'!IZZ814*'Form Sa1'!IZZ816/10)-'NF - 5 Power Mix'!IZW21-'NF - 5 Power Mix'!IZW22</f>
        <v>0</v>
      </c>
      <c r="IZX42" s="1046">
        <f>IZX38+((IZX40+'NF - 5 Power Mix'!IZX14+'NF - 5 Power Mix'!IZX15)*860/10)+((('Form Sa1'!JAA835)*860)/10)+('Form Sa1'!JAA814*'Form Sa1'!JAA816/10)-'NF - 5 Power Mix'!IZX21-'NF - 5 Power Mix'!IZX22</f>
        <v>0</v>
      </c>
      <c r="IZY42" s="1046">
        <f>IZY38+((IZY40+'NF - 5 Power Mix'!IZY14+'NF - 5 Power Mix'!IZY15)*860/10)+((('Form Sa1'!JAB835)*860)/10)+('Form Sa1'!JAB814*'Form Sa1'!JAB816/10)-'NF - 5 Power Mix'!IZY21-'NF - 5 Power Mix'!IZY22</f>
        <v>0</v>
      </c>
      <c r="IZZ42" s="1046">
        <f>IZZ38+((IZZ40+'NF - 5 Power Mix'!IZZ14+'NF - 5 Power Mix'!IZZ15)*860/10)+((('Form Sa1'!JAC835)*860)/10)+('Form Sa1'!JAC814*'Form Sa1'!JAC816/10)-'NF - 5 Power Mix'!IZZ21-'NF - 5 Power Mix'!IZZ22</f>
        <v>0</v>
      </c>
      <c r="JAA42" s="1046">
        <f>JAA38+((JAA40+'NF - 5 Power Mix'!JAA14+'NF - 5 Power Mix'!JAA15)*860/10)+((('Form Sa1'!JAD835)*860)/10)+('Form Sa1'!JAD814*'Form Sa1'!JAD816/10)-'NF - 5 Power Mix'!JAA21-'NF - 5 Power Mix'!JAA22</f>
        <v>0</v>
      </c>
      <c r="JAB42" s="1046">
        <f>JAB38+((JAB40+'NF - 5 Power Mix'!JAB14+'NF - 5 Power Mix'!JAB15)*860/10)+((('Form Sa1'!JAE835)*860)/10)+('Form Sa1'!JAE814*'Form Sa1'!JAE816/10)-'NF - 5 Power Mix'!JAB21-'NF - 5 Power Mix'!JAB22</f>
        <v>0</v>
      </c>
      <c r="JAC42" s="1046">
        <f>JAC38+((JAC40+'NF - 5 Power Mix'!JAC14+'NF - 5 Power Mix'!JAC15)*860/10)+((('Form Sa1'!JAF835)*860)/10)+('Form Sa1'!JAF814*'Form Sa1'!JAF816/10)-'NF - 5 Power Mix'!JAC21-'NF - 5 Power Mix'!JAC22</f>
        <v>0</v>
      </c>
      <c r="JAD42" s="1046">
        <f>JAD38+((JAD40+'NF - 5 Power Mix'!JAD14+'NF - 5 Power Mix'!JAD15)*860/10)+((('Form Sa1'!JAG835)*860)/10)+('Form Sa1'!JAG814*'Form Sa1'!JAG816/10)-'NF - 5 Power Mix'!JAD21-'NF - 5 Power Mix'!JAD22</f>
        <v>0</v>
      </c>
      <c r="JAE42" s="1046">
        <f>JAE38+((JAE40+'NF - 5 Power Mix'!JAE14+'NF - 5 Power Mix'!JAE15)*860/10)+((('Form Sa1'!JAH835)*860)/10)+('Form Sa1'!JAH814*'Form Sa1'!JAH816/10)-'NF - 5 Power Mix'!JAE21-'NF - 5 Power Mix'!JAE22</f>
        <v>0</v>
      </c>
      <c r="JAF42" s="1046">
        <f>JAF38+((JAF40+'NF - 5 Power Mix'!JAF14+'NF - 5 Power Mix'!JAF15)*860/10)+((('Form Sa1'!JAI835)*860)/10)+('Form Sa1'!JAI814*'Form Sa1'!JAI816/10)-'NF - 5 Power Mix'!JAF21-'NF - 5 Power Mix'!JAF22</f>
        <v>0</v>
      </c>
      <c r="JAG42" s="1046">
        <f>JAG38+((JAG40+'NF - 5 Power Mix'!JAG14+'NF - 5 Power Mix'!JAG15)*860/10)+((('Form Sa1'!JAJ835)*860)/10)+('Form Sa1'!JAJ814*'Form Sa1'!JAJ816/10)-'NF - 5 Power Mix'!JAG21-'NF - 5 Power Mix'!JAG22</f>
        <v>0</v>
      </c>
      <c r="JAH42" s="1046">
        <f>JAH38+((JAH40+'NF - 5 Power Mix'!JAH14+'NF - 5 Power Mix'!JAH15)*860/10)+((('Form Sa1'!JAK835)*860)/10)+('Form Sa1'!JAK814*'Form Sa1'!JAK816/10)-'NF - 5 Power Mix'!JAH21-'NF - 5 Power Mix'!JAH22</f>
        <v>0</v>
      </c>
      <c r="JAI42" s="1046">
        <f>JAI38+((JAI40+'NF - 5 Power Mix'!JAI14+'NF - 5 Power Mix'!JAI15)*860/10)+((('Form Sa1'!JAL835)*860)/10)+('Form Sa1'!JAL814*'Form Sa1'!JAL816/10)-'NF - 5 Power Mix'!JAI21-'NF - 5 Power Mix'!JAI22</f>
        <v>0</v>
      </c>
      <c r="JAJ42" s="1046">
        <f>JAJ38+((JAJ40+'NF - 5 Power Mix'!JAJ14+'NF - 5 Power Mix'!JAJ15)*860/10)+((('Form Sa1'!JAM835)*860)/10)+('Form Sa1'!JAM814*'Form Sa1'!JAM816/10)-'NF - 5 Power Mix'!JAJ21-'NF - 5 Power Mix'!JAJ22</f>
        <v>0</v>
      </c>
      <c r="JAK42" s="1046">
        <f>JAK38+((JAK40+'NF - 5 Power Mix'!JAK14+'NF - 5 Power Mix'!JAK15)*860/10)+((('Form Sa1'!JAN835)*860)/10)+('Form Sa1'!JAN814*'Form Sa1'!JAN816/10)-'NF - 5 Power Mix'!JAK21-'NF - 5 Power Mix'!JAK22</f>
        <v>0</v>
      </c>
      <c r="JAL42" s="1046">
        <f>JAL38+((JAL40+'NF - 5 Power Mix'!JAL14+'NF - 5 Power Mix'!JAL15)*860/10)+((('Form Sa1'!JAO835)*860)/10)+('Form Sa1'!JAO814*'Form Sa1'!JAO816/10)-'NF - 5 Power Mix'!JAL21-'NF - 5 Power Mix'!JAL22</f>
        <v>0</v>
      </c>
      <c r="JAM42" s="1046">
        <f>JAM38+((JAM40+'NF - 5 Power Mix'!JAM14+'NF - 5 Power Mix'!JAM15)*860/10)+((('Form Sa1'!JAP835)*860)/10)+('Form Sa1'!JAP814*'Form Sa1'!JAP816/10)-'NF - 5 Power Mix'!JAM21-'NF - 5 Power Mix'!JAM22</f>
        <v>0</v>
      </c>
      <c r="JAN42" s="1046">
        <f>JAN38+((JAN40+'NF - 5 Power Mix'!JAN14+'NF - 5 Power Mix'!JAN15)*860/10)+((('Form Sa1'!JAQ835)*860)/10)+('Form Sa1'!JAQ814*'Form Sa1'!JAQ816/10)-'NF - 5 Power Mix'!JAN21-'NF - 5 Power Mix'!JAN22</f>
        <v>0</v>
      </c>
      <c r="JAO42" s="1046">
        <f>JAO38+((JAO40+'NF - 5 Power Mix'!JAO14+'NF - 5 Power Mix'!JAO15)*860/10)+((('Form Sa1'!JAR835)*860)/10)+('Form Sa1'!JAR814*'Form Sa1'!JAR816/10)-'NF - 5 Power Mix'!JAO21-'NF - 5 Power Mix'!JAO22</f>
        <v>0</v>
      </c>
      <c r="JAP42" s="1046">
        <f>JAP38+((JAP40+'NF - 5 Power Mix'!JAP14+'NF - 5 Power Mix'!JAP15)*860/10)+((('Form Sa1'!JAS835)*860)/10)+('Form Sa1'!JAS814*'Form Sa1'!JAS816/10)-'NF - 5 Power Mix'!JAP21-'NF - 5 Power Mix'!JAP22</f>
        <v>0</v>
      </c>
      <c r="JAQ42" s="1046">
        <f>JAQ38+((JAQ40+'NF - 5 Power Mix'!JAQ14+'NF - 5 Power Mix'!JAQ15)*860/10)+((('Form Sa1'!JAT835)*860)/10)+('Form Sa1'!JAT814*'Form Sa1'!JAT816/10)-'NF - 5 Power Mix'!JAQ21-'NF - 5 Power Mix'!JAQ22</f>
        <v>0</v>
      </c>
      <c r="JAR42" s="1046">
        <f>JAR38+((JAR40+'NF - 5 Power Mix'!JAR14+'NF - 5 Power Mix'!JAR15)*860/10)+((('Form Sa1'!JAU835)*860)/10)+('Form Sa1'!JAU814*'Form Sa1'!JAU816/10)-'NF - 5 Power Mix'!JAR21-'NF - 5 Power Mix'!JAR22</f>
        <v>0</v>
      </c>
      <c r="JAS42" s="1046">
        <f>JAS38+((JAS40+'NF - 5 Power Mix'!JAS14+'NF - 5 Power Mix'!JAS15)*860/10)+((('Form Sa1'!JAV835)*860)/10)+('Form Sa1'!JAV814*'Form Sa1'!JAV816/10)-'NF - 5 Power Mix'!JAS21-'NF - 5 Power Mix'!JAS22</f>
        <v>0</v>
      </c>
      <c r="JAT42" s="1046">
        <f>JAT38+((JAT40+'NF - 5 Power Mix'!JAT14+'NF - 5 Power Mix'!JAT15)*860/10)+((('Form Sa1'!JAW835)*860)/10)+('Form Sa1'!JAW814*'Form Sa1'!JAW816/10)-'NF - 5 Power Mix'!JAT21-'NF - 5 Power Mix'!JAT22</f>
        <v>0</v>
      </c>
      <c r="JAU42" s="1046">
        <f>JAU38+((JAU40+'NF - 5 Power Mix'!JAU14+'NF - 5 Power Mix'!JAU15)*860/10)+((('Form Sa1'!JAX835)*860)/10)+('Form Sa1'!JAX814*'Form Sa1'!JAX816/10)-'NF - 5 Power Mix'!JAU21-'NF - 5 Power Mix'!JAU22</f>
        <v>0</v>
      </c>
      <c r="JAV42" s="1046">
        <f>JAV38+((JAV40+'NF - 5 Power Mix'!JAV14+'NF - 5 Power Mix'!JAV15)*860/10)+((('Form Sa1'!JAY835)*860)/10)+('Form Sa1'!JAY814*'Form Sa1'!JAY816/10)-'NF - 5 Power Mix'!JAV21-'NF - 5 Power Mix'!JAV22</f>
        <v>0</v>
      </c>
      <c r="JAW42" s="1046">
        <f>JAW38+((JAW40+'NF - 5 Power Mix'!JAW14+'NF - 5 Power Mix'!JAW15)*860/10)+((('Form Sa1'!JAZ835)*860)/10)+('Form Sa1'!JAZ814*'Form Sa1'!JAZ816/10)-'NF - 5 Power Mix'!JAW21-'NF - 5 Power Mix'!JAW22</f>
        <v>0</v>
      </c>
      <c r="JAX42" s="1046">
        <f>JAX38+((JAX40+'NF - 5 Power Mix'!JAX14+'NF - 5 Power Mix'!JAX15)*860/10)+((('Form Sa1'!JBA835)*860)/10)+('Form Sa1'!JBA814*'Form Sa1'!JBA816/10)-'NF - 5 Power Mix'!JAX21-'NF - 5 Power Mix'!JAX22</f>
        <v>0</v>
      </c>
      <c r="JAY42" s="1046">
        <f>JAY38+((JAY40+'NF - 5 Power Mix'!JAY14+'NF - 5 Power Mix'!JAY15)*860/10)+((('Form Sa1'!JBB835)*860)/10)+('Form Sa1'!JBB814*'Form Sa1'!JBB816/10)-'NF - 5 Power Mix'!JAY21-'NF - 5 Power Mix'!JAY22</f>
        <v>0</v>
      </c>
      <c r="JAZ42" s="1046">
        <f>JAZ38+((JAZ40+'NF - 5 Power Mix'!JAZ14+'NF - 5 Power Mix'!JAZ15)*860/10)+((('Form Sa1'!JBC835)*860)/10)+('Form Sa1'!JBC814*'Form Sa1'!JBC816/10)-'NF - 5 Power Mix'!JAZ21-'NF - 5 Power Mix'!JAZ22</f>
        <v>0</v>
      </c>
      <c r="JBA42" s="1046">
        <f>JBA38+((JBA40+'NF - 5 Power Mix'!JBA14+'NF - 5 Power Mix'!JBA15)*860/10)+((('Form Sa1'!JBD835)*860)/10)+('Form Sa1'!JBD814*'Form Sa1'!JBD816/10)-'NF - 5 Power Mix'!JBA21-'NF - 5 Power Mix'!JBA22</f>
        <v>0</v>
      </c>
      <c r="JBB42" s="1046">
        <f>JBB38+((JBB40+'NF - 5 Power Mix'!JBB14+'NF - 5 Power Mix'!JBB15)*860/10)+((('Form Sa1'!JBE835)*860)/10)+('Form Sa1'!JBE814*'Form Sa1'!JBE816/10)-'NF - 5 Power Mix'!JBB21-'NF - 5 Power Mix'!JBB22</f>
        <v>0</v>
      </c>
      <c r="JBC42" s="1046">
        <f>JBC38+((JBC40+'NF - 5 Power Mix'!JBC14+'NF - 5 Power Mix'!JBC15)*860/10)+((('Form Sa1'!JBF835)*860)/10)+('Form Sa1'!JBF814*'Form Sa1'!JBF816/10)-'NF - 5 Power Mix'!JBC21-'NF - 5 Power Mix'!JBC22</f>
        <v>0</v>
      </c>
      <c r="JBD42" s="1046">
        <f>JBD38+((JBD40+'NF - 5 Power Mix'!JBD14+'NF - 5 Power Mix'!JBD15)*860/10)+((('Form Sa1'!JBG835)*860)/10)+('Form Sa1'!JBG814*'Form Sa1'!JBG816/10)-'NF - 5 Power Mix'!JBD21-'NF - 5 Power Mix'!JBD22</f>
        <v>0</v>
      </c>
      <c r="JBE42" s="1046">
        <f>JBE38+((JBE40+'NF - 5 Power Mix'!JBE14+'NF - 5 Power Mix'!JBE15)*860/10)+((('Form Sa1'!JBH835)*860)/10)+('Form Sa1'!JBH814*'Form Sa1'!JBH816/10)-'NF - 5 Power Mix'!JBE21-'NF - 5 Power Mix'!JBE22</f>
        <v>0</v>
      </c>
      <c r="JBF42" s="1046">
        <f>JBF38+((JBF40+'NF - 5 Power Mix'!JBF14+'NF - 5 Power Mix'!JBF15)*860/10)+((('Form Sa1'!JBI835)*860)/10)+('Form Sa1'!JBI814*'Form Sa1'!JBI816/10)-'NF - 5 Power Mix'!JBF21-'NF - 5 Power Mix'!JBF22</f>
        <v>0</v>
      </c>
      <c r="JBG42" s="1046">
        <f>JBG38+((JBG40+'NF - 5 Power Mix'!JBG14+'NF - 5 Power Mix'!JBG15)*860/10)+((('Form Sa1'!JBJ835)*860)/10)+('Form Sa1'!JBJ814*'Form Sa1'!JBJ816/10)-'NF - 5 Power Mix'!JBG21-'NF - 5 Power Mix'!JBG22</f>
        <v>0</v>
      </c>
      <c r="JBH42" s="1046">
        <f>JBH38+((JBH40+'NF - 5 Power Mix'!JBH14+'NF - 5 Power Mix'!JBH15)*860/10)+((('Form Sa1'!JBK835)*860)/10)+('Form Sa1'!JBK814*'Form Sa1'!JBK816/10)-'NF - 5 Power Mix'!JBH21-'NF - 5 Power Mix'!JBH22</f>
        <v>0</v>
      </c>
      <c r="JBI42" s="1046">
        <f>JBI38+((JBI40+'NF - 5 Power Mix'!JBI14+'NF - 5 Power Mix'!JBI15)*860/10)+((('Form Sa1'!JBL835)*860)/10)+('Form Sa1'!JBL814*'Form Sa1'!JBL816/10)-'NF - 5 Power Mix'!JBI21-'NF - 5 Power Mix'!JBI22</f>
        <v>0</v>
      </c>
      <c r="JBJ42" s="1046">
        <f>JBJ38+((JBJ40+'NF - 5 Power Mix'!JBJ14+'NF - 5 Power Mix'!JBJ15)*860/10)+((('Form Sa1'!JBM835)*860)/10)+('Form Sa1'!JBM814*'Form Sa1'!JBM816/10)-'NF - 5 Power Mix'!JBJ21-'NF - 5 Power Mix'!JBJ22</f>
        <v>0</v>
      </c>
      <c r="JBK42" s="1046">
        <f>JBK38+((JBK40+'NF - 5 Power Mix'!JBK14+'NF - 5 Power Mix'!JBK15)*860/10)+((('Form Sa1'!JBN835)*860)/10)+('Form Sa1'!JBN814*'Form Sa1'!JBN816/10)-'NF - 5 Power Mix'!JBK21-'NF - 5 Power Mix'!JBK22</f>
        <v>0</v>
      </c>
      <c r="JBL42" s="1046">
        <f>JBL38+((JBL40+'NF - 5 Power Mix'!JBL14+'NF - 5 Power Mix'!JBL15)*860/10)+((('Form Sa1'!JBO835)*860)/10)+('Form Sa1'!JBO814*'Form Sa1'!JBO816/10)-'NF - 5 Power Mix'!JBL21-'NF - 5 Power Mix'!JBL22</f>
        <v>0</v>
      </c>
      <c r="JBM42" s="1046">
        <f>JBM38+((JBM40+'NF - 5 Power Mix'!JBM14+'NF - 5 Power Mix'!JBM15)*860/10)+((('Form Sa1'!JBP835)*860)/10)+('Form Sa1'!JBP814*'Form Sa1'!JBP816/10)-'NF - 5 Power Mix'!JBM21-'NF - 5 Power Mix'!JBM22</f>
        <v>0</v>
      </c>
      <c r="JBN42" s="1046">
        <f>JBN38+((JBN40+'NF - 5 Power Mix'!JBN14+'NF - 5 Power Mix'!JBN15)*860/10)+((('Form Sa1'!JBQ835)*860)/10)+('Form Sa1'!JBQ814*'Form Sa1'!JBQ816/10)-'NF - 5 Power Mix'!JBN21-'NF - 5 Power Mix'!JBN22</f>
        <v>0</v>
      </c>
      <c r="JBO42" s="1046">
        <f>JBO38+((JBO40+'NF - 5 Power Mix'!JBO14+'NF - 5 Power Mix'!JBO15)*860/10)+((('Form Sa1'!JBR835)*860)/10)+('Form Sa1'!JBR814*'Form Sa1'!JBR816/10)-'NF - 5 Power Mix'!JBO21-'NF - 5 Power Mix'!JBO22</f>
        <v>0</v>
      </c>
      <c r="JBP42" s="1046">
        <f>JBP38+((JBP40+'NF - 5 Power Mix'!JBP14+'NF - 5 Power Mix'!JBP15)*860/10)+((('Form Sa1'!JBS835)*860)/10)+('Form Sa1'!JBS814*'Form Sa1'!JBS816/10)-'NF - 5 Power Mix'!JBP21-'NF - 5 Power Mix'!JBP22</f>
        <v>0</v>
      </c>
      <c r="JBQ42" s="1046">
        <f>JBQ38+((JBQ40+'NF - 5 Power Mix'!JBQ14+'NF - 5 Power Mix'!JBQ15)*860/10)+((('Form Sa1'!JBT835)*860)/10)+('Form Sa1'!JBT814*'Form Sa1'!JBT816/10)-'NF - 5 Power Mix'!JBQ21-'NF - 5 Power Mix'!JBQ22</f>
        <v>0</v>
      </c>
      <c r="JBR42" s="1046">
        <f>JBR38+((JBR40+'NF - 5 Power Mix'!JBR14+'NF - 5 Power Mix'!JBR15)*860/10)+((('Form Sa1'!JBU835)*860)/10)+('Form Sa1'!JBU814*'Form Sa1'!JBU816/10)-'NF - 5 Power Mix'!JBR21-'NF - 5 Power Mix'!JBR22</f>
        <v>0</v>
      </c>
      <c r="JBS42" s="1046">
        <f>JBS38+((JBS40+'NF - 5 Power Mix'!JBS14+'NF - 5 Power Mix'!JBS15)*860/10)+((('Form Sa1'!JBV835)*860)/10)+('Form Sa1'!JBV814*'Form Sa1'!JBV816/10)-'NF - 5 Power Mix'!JBS21-'NF - 5 Power Mix'!JBS22</f>
        <v>0</v>
      </c>
      <c r="JBT42" s="1046">
        <f>JBT38+((JBT40+'NF - 5 Power Mix'!JBT14+'NF - 5 Power Mix'!JBT15)*860/10)+((('Form Sa1'!JBW835)*860)/10)+('Form Sa1'!JBW814*'Form Sa1'!JBW816/10)-'NF - 5 Power Mix'!JBT21-'NF - 5 Power Mix'!JBT22</f>
        <v>0</v>
      </c>
      <c r="JBU42" s="1046">
        <f>JBU38+((JBU40+'NF - 5 Power Mix'!JBU14+'NF - 5 Power Mix'!JBU15)*860/10)+((('Form Sa1'!JBX835)*860)/10)+('Form Sa1'!JBX814*'Form Sa1'!JBX816/10)-'NF - 5 Power Mix'!JBU21-'NF - 5 Power Mix'!JBU22</f>
        <v>0</v>
      </c>
      <c r="JBV42" s="1046">
        <f>JBV38+((JBV40+'NF - 5 Power Mix'!JBV14+'NF - 5 Power Mix'!JBV15)*860/10)+((('Form Sa1'!JBY835)*860)/10)+('Form Sa1'!JBY814*'Form Sa1'!JBY816/10)-'NF - 5 Power Mix'!JBV21-'NF - 5 Power Mix'!JBV22</f>
        <v>0</v>
      </c>
      <c r="JBW42" s="1046">
        <f>JBW38+((JBW40+'NF - 5 Power Mix'!JBW14+'NF - 5 Power Mix'!JBW15)*860/10)+((('Form Sa1'!JBZ835)*860)/10)+('Form Sa1'!JBZ814*'Form Sa1'!JBZ816/10)-'NF - 5 Power Mix'!JBW21-'NF - 5 Power Mix'!JBW22</f>
        <v>0</v>
      </c>
      <c r="JBX42" s="1046">
        <f>JBX38+((JBX40+'NF - 5 Power Mix'!JBX14+'NF - 5 Power Mix'!JBX15)*860/10)+((('Form Sa1'!JCA835)*860)/10)+('Form Sa1'!JCA814*'Form Sa1'!JCA816/10)-'NF - 5 Power Mix'!JBX21-'NF - 5 Power Mix'!JBX22</f>
        <v>0</v>
      </c>
      <c r="JBY42" s="1046">
        <f>JBY38+((JBY40+'NF - 5 Power Mix'!JBY14+'NF - 5 Power Mix'!JBY15)*860/10)+((('Form Sa1'!JCB835)*860)/10)+('Form Sa1'!JCB814*'Form Sa1'!JCB816/10)-'NF - 5 Power Mix'!JBY21-'NF - 5 Power Mix'!JBY22</f>
        <v>0</v>
      </c>
      <c r="JBZ42" s="1046">
        <f>JBZ38+((JBZ40+'NF - 5 Power Mix'!JBZ14+'NF - 5 Power Mix'!JBZ15)*860/10)+((('Form Sa1'!JCC835)*860)/10)+('Form Sa1'!JCC814*'Form Sa1'!JCC816/10)-'NF - 5 Power Mix'!JBZ21-'NF - 5 Power Mix'!JBZ22</f>
        <v>0</v>
      </c>
      <c r="JCA42" s="1046">
        <f>JCA38+((JCA40+'NF - 5 Power Mix'!JCA14+'NF - 5 Power Mix'!JCA15)*860/10)+((('Form Sa1'!JCD835)*860)/10)+('Form Sa1'!JCD814*'Form Sa1'!JCD816/10)-'NF - 5 Power Mix'!JCA21-'NF - 5 Power Mix'!JCA22</f>
        <v>0</v>
      </c>
      <c r="JCB42" s="1046">
        <f>JCB38+((JCB40+'NF - 5 Power Mix'!JCB14+'NF - 5 Power Mix'!JCB15)*860/10)+((('Form Sa1'!JCE835)*860)/10)+('Form Sa1'!JCE814*'Form Sa1'!JCE816/10)-'NF - 5 Power Mix'!JCB21-'NF - 5 Power Mix'!JCB22</f>
        <v>0</v>
      </c>
      <c r="JCC42" s="1046">
        <f>JCC38+((JCC40+'NF - 5 Power Mix'!JCC14+'NF - 5 Power Mix'!JCC15)*860/10)+((('Form Sa1'!JCF835)*860)/10)+('Form Sa1'!JCF814*'Form Sa1'!JCF816/10)-'NF - 5 Power Mix'!JCC21-'NF - 5 Power Mix'!JCC22</f>
        <v>0</v>
      </c>
      <c r="JCD42" s="1046">
        <f>JCD38+((JCD40+'NF - 5 Power Mix'!JCD14+'NF - 5 Power Mix'!JCD15)*860/10)+((('Form Sa1'!JCG835)*860)/10)+('Form Sa1'!JCG814*'Form Sa1'!JCG816/10)-'NF - 5 Power Mix'!JCD21-'NF - 5 Power Mix'!JCD22</f>
        <v>0</v>
      </c>
      <c r="JCE42" s="1046">
        <f>JCE38+((JCE40+'NF - 5 Power Mix'!JCE14+'NF - 5 Power Mix'!JCE15)*860/10)+((('Form Sa1'!JCH835)*860)/10)+('Form Sa1'!JCH814*'Form Sa1'!JCH816/10)-'NF - 5 Power Mix'!JCE21-'NF - 5 Power Mix'!JCE22</f>
        <v>0</v>
      </c>
      <c r="JCF42" s="1046">
        <f>JCF38+((JCF40+'NF - 5 Power Mix'!JCF14+'NF - 5 Power Mix'!JCF15)*860/10)+((('Form Sa1'!JCI835)*860)/10)+('Form Sa1'!JCI814*'Form Sa1'!JCI816/10)-'NF - 5 Power Mix'!JCF21-'NF - 5 Power Mix'!JCF22</f>
        <v>0</v>
      </c>
      <c r="JCG42" s="1046">
        <f>JCG38+((JCG40+'NF - 5 Power Mix'!JCG14+'NF - 5 Power Mix'!JCG15)*860/10)+((('Form Sa1'!JCJ835)*860)/10)+('Form Sa1'!JCJ814*'Form Sa1'!JCJ816/10)-'NF - 5 Power Mix'!JCG21-'NF - 5 Power Mix'!JCG22</f>
        <v>0</v>
      </c>
      <c r="JCH42" s="1046">
        <f>JCH38+((JCH40+'NF - 5 Power Mix'!JCH14+'NF - 5 Power Mix'!JCH15)*860/10)+((('Form Sa1'!JCK835)*860)/10)+('Form Sa1'!JCK814*'Form Sa1'!JCK816/10)-'NF - 5 Power Mix'!JCH21-'NF - 5 Power Mix'!JCH22</f>
        <v>0</v>
      </c>
      <c r="JCI42" s="1046">
        <f>JCI38+((JCI40+'NF - 5 Power Mix'!JCI14+'NF - 5 Power Mix'!JCI15)*860/10)+((('Form Sa1'!JCL835)*860)/10)+('Form Sa1'!JCL814*'Form Sa1'!JCL816/10)-'NF - 5 Power Mix'!JCI21-'NF - 5 Power Mix'!JCI22</f>
        <v>0</v>
      </c>
      <c r="JCJ42" s="1046">
        <f>JCJ38+((JCJ40+'NF - 5 Power Mix'!JCJ14+'NF - 5 Power Mix'!JCJ15)*860/10)+((('Form Sa1'!JCM835)*860)/10)+('Form Sa1'!JCM814*'Form Sa1'!JCM816/10)-'NF - 5 Power Mix'!JCJ21-'NF - 5 Power Mix'!JCJ22</f>
        <v>0</v>
      </c>
      <c r="JCK42" s="1046">
        <f>JCK38+((JCK40+'NF - 5 Power Mix'!JCK14+'NF - 5 Power Mix'!JCK15)*860/10)+((('Form Sa1'!JCN835)*860)/10)+('Form Sa1'!JCN814*'Form Sa1'!JCN816/10)-'NF - 5 Power Mix'!JCK21-'NF - 5 Power Mix'!JCK22</f>
        <v>0</v>
      </c>
      <c r="JCL42" s="1046">
        <f>JCL38+((JCL40+'NF - 5 Power Mix'!JCL14+'NF - 5 Power Mix'!JCL15)*860/10)+((('Form Sa1'!JCO835)*860)/10)+('Form Sa1'!JCO814*'Form Sa1'!JCO816/10)-'NF - 5 Power Mix'!JCL21-'NF - 5 Power Mix'!JCL22</f>
        <v>0</v>
      </c>
      <c r="JCM42" s="1046">
        <f>JCM38+((JCM40+'NF - 5 Power Mix'!JCM14+'NF - 5 Power Mix'!JCM15)*860/10)+((('Form Sa1'!JCP835)*860)/10)+('Form Sa1'!JCP814*'Form Sa1'!JCP816/10)-'NF - 5 Power Mix'!JCM21-'NF - 5 Power Mix'!JCM22</f>
        <v>0</v>
      </c>
      <c r="JCN42" s="1046">
        <f>JCN38+((JCN40+'NF - 5 Power Mix'!JCN14+'NF - 5 Power Mix'!JCN15)*860/10)+((('Form Sa1'!JCQ835)*860)/10)+('Form Sa1'!JCQ814*'Form Sa1'!JCQ816/10)-'NF - 5 Power Mix'!JCN21-'NF - 5 Power Mix'!JCN22</f>
        <v>0</v>
      </c>
      <c r="JCO42" s="1046">
        <f>JCO38+((JCO40+'NF - 5 Power Mix'!JCO14+'NF - 5 Power Mix'!JCO15)*860/10)+((('Form Sa1'!JCR835)*860)/10)+('Form Sa1'!JCR814*'Form Sa1'!JCR816/10)-'NF - 5 Power Mix'!JCO21-'NF - 5 Power Mix'!JCO22</f>
        <v>0</v>
      </c>
      <c r="JCP42" s="1046">
        <f>JCP38+((JCP40+'NF - 5 Power Mix'!JCP14+'NF - 5 Power Mix'!JCP15)*860/10)+((('Form Sa1'!JCS835)*860)/10)+('Form Sa1'!JCS814*'Form Sa1'!JCS816/10)-'NF - 5 Power Mix'!JCP21-'NF - 5 Power Mix'!JCP22</f>
        <v>0</v>
      </c>
      <c r="JCQ42" s="1046">
        <f>JCQ38+((JCQ40+'NF - 5 Power Mix'!JCQ14+'NF - 5 Power Mix'!JCQ15)*860/10)+((('Form Sa1'!JCT835)*860)/10)+('Form Sa1'!JCT814*'Form Sa1'!JCT816/10)-'NF - 5 Power Mix'!JCQ21-'NF - 5 Power Mix'!JCQ22</f>
        <v>0</v>
      </c>
      <c r="JCR42" s="1046">
        <f>JCR38+((JCR40+'NF - 5 Power Mix'!JCR14+'NF - 5 Power Mix'!JCR15)*860/10)+((('Form Sa1'!JCU835)*860)/10)+('Form Sa1'!JCU814*'Form Sa1'!JCU816/10)-'NF - 5 Power Mix'!JCR21-'NF - 5 Power Mix'!JCR22</f>
        <v>0</v>
      </c>
      <c r="JCS42" s="1046">
        <f>JCS38+((JCS40+'NF - 5 Power Mix'!JCS14+'NF - 5 Power Mix'!JCS15)*860/10)+((('Form Sa1'!JCV835)*860)/10)+('Form Sa1'!JCV814*'Form Sa1'!JCV816/10)-'NF - 5 Power Mix'!JCS21-'NF - 5 Power Mix'!JCS22</f>
        <v>0</v>
      </c>
      <c r="JCT42" s="1046">
        <f>JCT38+((JCT40+'NF - 5 Power Mix'!JCT14+'NF - 5 Power Mix'!JCT15)*860/10)+((('Form Sa1'!JCW835)*860)/10)+('Form Sa1'!JCW814*'Form Sa1'!JCW816/10)-'NF - 5 Power Mix'!JCT21-'NF - 5 Power Mix'!JCT22</f>
        <v>0</v>
      </c>
      <c r="JCU42" s="1046">
        <f>JCU38+((JCU40+'NF - 5 Power Mix'!JCU14+'NF - 5 Power Mix'!JCU15)*860/10)+((('Form Sa1'!JCX835)*860)/10)+('Form Sa1'!JCX814*'Form Sa1'!JCX816/10)-'NF - 5 Power Mix'!JCU21-'NF - 5 Power Mix'!JCU22</f>
        <v>0</v>
      </c>
      <c r="JCV42" s="1046">
        <f>JCV38+((JCV40+'NF - 5 Power Mix'!JCV14+'NF - 5 Power Mix'!JCV15)*860/10)+((('Form Sa1'!JCY835)*860)/10)+('Form Sa1'!JCY814*'Form Sa1'!JCY816/10)-'NF - 5 Power Mix'!JCV21-'NF - 5 Power Mix'!JCV22</f>
        <v>0</v>
      </c>
      <c r="JCW42" s="1046">
        <f>JCW38+((JCW40+'NF - 5 Power Mix'!JCW14+'NF - 5 Power Mix'!JCW15)*860/10)+((('Form Sa1'!JCZ835)*860)/10)+('Form Sa1'!JCZ814*'Form Sa1'!JCZ816/10)-'NF - 5 Power Mix'!JCW21-'NF - 5 Power Mix'!JCW22</f>
        <v>0</v>
      </c>
      <c r="JCX42" s="1046">
        <f>JCX38+((JCX40+'NF - 5 Power Mix'!JCX14+'NF - 5 Power Mix'!JCX15)*860/10)+((('Form Sa1'!JDA835)*860)/10)+('Form Sa1'!JDA814*'Form Sa1'!JDA816/10)-'NF - 5 Power Mix'!JCX21-'NF - 5 Power Mix'!JCX22</f>
        <v>0</v>
      </c>
      <c r="JCY42" s="1046">
        <f>JCY38+((JCY40+'NF - 5 Power Mix'!JCY14+'NF - 5 Power Mix'!JCY15)*860/10)+((('Form Sa1'!JDB835)*860)/10)+('Form Sa1'!JDB814*'Form Sa1'!JDB816/10)-'NF - 5 Power Mix'!JCY21-'NF - 5 Power Mix'!JCY22</f>
        <v>0</v>
      </c>
      <c r="JCZ42" s="1046">
        <f>JCZ38+((JCZ40+'NF - 5 Power Mix'!JCZ14+'NF - 5 Power Mix'!JCZ15)*860/10)+((('Form Sa1'!JDC835)*860)/10)+('Form Sa1'!JDC814*'Form Sa1'!JDC816/10)-'NF - 5 Power Mix'!JCZ21-'NF - 5 Power Mix'!JCZ22</f>
        <v>0</v>
      </c>
      <c r="JDA42" s="1046">
        <f>JDA38+((JDA40+'NF - 5 Power Mix'!JDA14+'NF - 5 Power Mix'!JDA15)*860/10)+((('Form Sa1'!JDD835)*860)/10)+('Form Sa1'!JDD814*'Form Sa1'!JDD816/10)-'NF - 5 Power Mix'!JDA21-'NF - 5 Power Mix'!JDA22</f>
        <v>0</v>
      </c>
      <c r="JDB42" s="1046">
        <f>JDB38+((JDB40+'NF - 5 Power Mix'!JDB14+'NF - 5 Power Mix'!JDB15)*860/10)+((('Form Sa1'!JDE835)*860)/10)+('Form Sa1'!JDE814*'Form Sa1'!JDE816/10)-'NF - 5 Power Mix'!JDB21-'NF - 5 Power Mix'!JDB22</f>
        <v>0</v>
      </c>
      <c r="JDC42" s="1046">
        <f>JDC38+((JDC40+'NF - 5 Power Mix'!JDC14+'NF - 5 Power Mix'!JDC15)*860/10)+((('Form Sa1'!JDF835)*860)/10)+('Form Sa1'!JDF814*'Form Sa1'!JDF816/10)-'NF - 5 Power Mix'!JDC21-'NF - 5 Power Mix'!JDC22</f>
        <v>0</v>
      </c>
      <c r="JDD42" s="1046">
        <f>JDD38+((JDD40+'NF - 5 Power Mix'!JDD14+'NF - 5 Power Mix'!JDD15)*860/10)+((('Form Sa1'!JDG835)*860)/10)+('Form Sa1'!JDG814*'Form Sa1'!JDG816/10)-'NF - 5 Power Mix'!JDD21-'NF - 5 Power Mix'!JDD22</f>
        <v>0</v>
      </c>
      <c r="JDE42" s="1046">
        <f>JDE38+((JDE40+'NF - 5 Power Mix'!JDE14+'NF - 5 Power Mix'!JDE15)*860/10)+((('Form Sa1'!JDH835)*860)/10)+('Form Sa1'!JDH814*'Form Sa1'!JDH816/10)-'NF - 5 Power Mix'!JDE21-'NF - 5 Power Mix'!JDE22</f>
        <v>0</v>
      </c>
      <c r="JDF42" s="1046">
        <f>JDF38+((JDF40+'NF - 5 Power Mix'!JDF14+'NF - 5 Power Mix'!JDF15)*860/10)+((('Form Sa1'!JDI835)*860)/10)+('Form Sa1'!JDI814*'Form Sa1'!JDI816/10)-'NF - 5 Power Mix'!JDF21-'NF - 5 Power Mix'!JDF22</f>
        <v>0</v>
      </c>
      <c r="JDG42" s="1046">
        <f>JDG38+((JDG40+'NF - 5 Power Mix'!JDG14+'NF - 5 Power Mix'!JDG15)*860/10)+((('Form Sa1'!JDJ835)*860)/10)+('Form Sa1'!JDJ814*'Form Sa1'!JDJ816/10)-'NF - 5 Power Mix'!JDG21-'NF - 5 Power Mix'!JDG22</f>
        <v>0</v>
      </c>
      <c r="JDH42" s="1046">
        <f>JDH38+((JDH40+'NF - 5 Power Mix'!JDH14+'NF - 5 Power Mix'!JDH15)*860/10)+((('Form Sa1'!JDK835)*860)/10)+('Form Sa1'!JDK814*'Form Sa1'!JDK816/10)-'NF - 5 Power Mix'!JDH21-'NF - 5 Power Mix'!JDH22</f>
        <v>0</v>
      </c>
      <c r="JDI42" s="1046">
        <f>JDI38+((JDI40+'NF - 5 Power Mix'!JDI14+'NF - 5 Power Mix'!JDI15)*860/10)+((('Form Sa1'!JDL835)*860)/10)+('Form Sa1'!JDL814*'Form Sa1'!JDL816/10)-'NF - 5 Power Mix'!JDI21-'NF - 5 Power Mix'!JDI22</f>
        <v>0</v>
      </c>
      <c r="JDJ42" s="1046">
        <f>JDJ38+((JDJ40+'NF - 5 Power Mix'!JDJ14+'NF - 5 Power Mix'!JDJ15)*860/10)+((('Form Sa1'!JDM835)*860)/10)+('Form Sa1'!JDM814*'Form Sa1'!JDM816/10)-'NF - 5 Power Mix'!JDJ21-'NF - 5 Power Mix'!JDJ22</f>
        <v>0</v>
      </c>
      <c r="JDK42" s="1046">
        <f>JDK38+((JDK40+'NF - 5 Power Mix'!JDK14+'NF - 5 Power Mix'!JDK15)*860/10)+((('Form Sa1'!JDN835)*860)/10)+('Form Sa1'!JDN814*'Form Sa1'!JDN816/10)-'NF - 5 Power Mix'!JDK21-'NF - 5 Power Mix'!JDK22</f>
        <v>0</v>
      </c>
      <c r="JDL42" s="1046">
        <f>JDL38+((JDL40+'NF - 5 Power Mix'!JDL14+'NF - 5 Power Mix'!JDL15)*860/10)+((('Form Sa1'!JDO835)*860)/10)+('Form Sa1'!JDO814*'Form Sa1'!JDO816/10)-'NF - 5 Power Mix'!JDL21-'NF - 5 Power Mix'!JDL22</f>
        <v>0</v>
      </c>
      <c r="JDM42" s="1046">
        <f>JDM38+((JDM40+'NF - 5 Power Mix'!JDM14+'NF - 5 Power Mix'!JDM15)*860/10)+((('Form Sa1'!JDP835)*860)/10)+('Form Sa1'!JDP814*'Form Sa1'!JDP816/10)-'NF - 5 Power Mix'!JDM21-'NF - 5 Power Mix'!JDM22</f>
        <v>0</v>
      </c>
      <c r="JDN42" s="1046">
        <f>JDN38+((JDN40+'NF - 5 Power Mix'!JDN14+'NF - 5 Power Mix'!JDN15)*860/10)+((('Form Sa1'!JDQ835)*860)/10)+('Form Sa1'!JDQ814*'Form Sa1'!JDQ816/10)-'NF - 5 Power Mix'!JDN21-'NF - 5 Power Mix'!JDN22</f>
        <v>0</v>
      </c>
      <c r="JDO42" s="1046">
        <f>JDO38+((JDO40+'NF - 5 Power Mix'!JDO14+'NF - 5 Power Mix'!JDO15)*860/10)+((('Form Sa1'!JDR835)*860)/10)+('Form Sa1'!JDR814*'Form Sa1'!JDR816/10)-'NF - 5 Power Mix'!JDO21-'NF - 5 Power Mix'!JDO22</f>
        <v>0</v>
      </c>
      <c r="JDP42" s="1046">
        <f>JDP38+((JDP40+'NF - 5 Power Mix'!JDP14+'NF - 5 Power Mix'!JDP15)*860/10)+((('Form Sa1'!JDS835)*860)/10)+('Form Sa1'!JDS814*'Form Sa1'!JDS816/10)-'NF - 5 Power Mix'!JDP21-'NF - 5 Power Mix'!JDP22</f>
        <v>0</v>
      </c>
      <c r="JDQ42" s="1046">
        <f>JDQ38+((JDQ40+'NF - 5 Power Mix'!JDQ14+'NF - 5 Power Mix'!JDQ15)*860/10)+((('Form Sa1'!JDT835)*860)/10)+('Form Sa1'!JDT814*'Form Sa1'!JDT816/10)-'NF - 5 Power Mix'!JDQ21-'NF - 5 Power Mix'!JDQ22</f>
        <v>0</v>
      </c>
      <c r="JDR42" s="1046">
        <f>JDR38+((JDR40+'NF - 5 Power Mix'!JDR14+'NF - 5 Power Mix'!JDR15)*860/10)+((('Form Sa1'!JDU835)*860)/10)+('Form Sa1'!JDU814*'Form Sa1'!JDU816/10)-'NF - 5 Power Mix'!JDR21-'NF - 5 Power Mix'!JDR22</f>
        <v>0</v>
      </c>
      <c r="JDS42" s="1046">
        <f>JDS38+((JDS40+'NF - 5 Power Mix'!JDS14+'NF - 5 Power Mix'!JDS15)*860/10)+((('Form Sa1'!JDV835)*860)/10)+('Form Sa1'!JDV814*'Form Sa1'!JDV816/10)-'NF - 5 Power Mix'!JDS21-'NF - 5 Power Mix'!JDS22</f>
        <v>0</v>
      </c>
      <c r="JDT42" s="1046">
        <f>JDT38+((JDT40+'NF - 5 Power Mix'!JDT14+'NF - 5 Power Mix'!JDT15)*860/10)+((('Form Sa1'!JDW835)*860)/10)+('Form Sa1'!JDW814*'Form Sa1'!JDW816/10)-'NF - 5 Power Mix'!JDT21-'NF - 5 Power Mix'!JDT22</f>
        <v>0</v>
      </c>
      <c r="JDU42" s="1046">
        <f>JDU38+((JDU40+'NF - 5 Power Mix'!JDU14+'NF - 5 Power Mix'!JDU15)*860/10)+((('Form Sa1'!JDX835)*860)/10)+('Form Sa1'!JDX814*'Form Sa1'!JDX816/10)-'NF - 5 Power Mix'!JDU21-'NF - 5 Power Mix'!JDU22</f>
        <v>0</v>
      </c>
      <c r="JDV42" s="1046">
        <f>JDV38+((JDV40+'NF - 5 Power Mix'!JDV14+'NF - 5 Power Mix'!JDV15)*860/10)+((('Form Sa1'!JDY835)*860)/10)+('Form Sa1'!JDY814*'Form Sa1'!JDY816/10)-'NF - 5 Power Mix'!JDV21-'NF - 5 Power Mix'!JDV22</f>
        <v>0</v>
      </c>
      <c r="JDW42" s="1046">
        <f>JDW38+((JDW40+'NF - 5 Power Mix'!JDW14+'NF - 5 Power Mix'!JDW15)*860/10)+((('Form Sa1'!JDZ835)*860)/10)+('Form Sa1'!JDZ814*'Form Sa1'!JDZ816/10)-'NF - 5 Power Mix'!JDW21-'NF - 5 Power Mix'!JDW22</f>
        <v>0</v>
      </c>
      <c r="JDX42" s="1046">
        <f>JDX38+((JDX40+'NF - 5 Power Mix'!JDX14+'NF - 5 Power Mix'!JDX15)*860/10)+((('Form Sa1'!JEA835)*860)/10)+('Form Sa1'!JEA814*'Form Sa1'!JEA816/10)-'NF - 5 Power Mix'!JDX21-'NF - 5 Power Mix'!JDX22</f>
        <v>0</v>
      </c>
      <c r="JDY42" s="1046">
        <f>JDY38+((JDY40+'NF - 5 Power Mix'!JDY14+'NF - 5 Power Mix'!JDY15)*860/10)+((('Form Sa1'!JEB835)*860)/10)+('Form Sa1'!JEB814*'Form Sa1'!JEB816/10)-'NF - 5 Power Mix'!JDY21-'NF - 5 Power Mix'!JDY22</f>
        <v>0</v>
      </c>
      <c r="JDZ42" s="1046">
        <f>JDZ38+((JDZ40+'NF - 5 Power Mix'!JDZ14+'NF - 5 Power Mix'!JDZ15)*860/10)+((('Form Sa1'!JEC835)*860)/10)+('Form Sa1'!JEC814*'Form Sa1'!JEC816/10)-'NF - 5 Power Mix'!JDZ21-'NF - 5 Power Mix'!JDZ22</f>
        <v>0</v>
      </c>
      <c r="JEA42" s="1046">
        <f>JEA38+((JEA40+'NF - 5 Power Mix'!JEA14+'NF - 5 Power Mix'!JEA15)*860/10)+((('Form Sa1'!JED835)*860)/10)+('Form Sa1'!JED814*'Form Sa1'!JED816/10)-'NF - 5 Power Mix'!JEA21-'NF - 5 Power Mix'!JEA22</f>
        <v>0</v>
      </c>
      <c r="JEB42" s="1046">
        <f>JEB38+((JEB40+'NF - 5 Power Mix'!JEB14+'NF - 5 Power Mix'!JEB15)*860/10)+((('Form Sa1'!JEE835)*860)/10)+('Form Sa1'!JEE814*'Form Sa1'!JEE816/10)-'NF - 5 Power Mix'!JEB21-'NF - 5 Power Mix'!JEB22</f>
        <v>0</v>
      </c>
      <c r="JEC42" s="1046">
        <f>JEC38+((JEC40+'NF - 5 Power Mix'!JEC14+'NF - 5 Power Mix'!JEC15)*860/10)+((('Form Sa1'!JEF835)*860)/10)+('Form Sa1'!JEF814*'Form Sa1'!JEF816/10)-'NF - 5 Power Mix'!JEC21-'NF - 5 Power Mix'!JEC22</f>
        <v>0</v>
      </c>
      <c r="JED42" s="1046">
        <f>JED38+((JED40+'NF - 5 Power Mix'!JED14+'NF - 5 Power Mix'!JED15)*860/10)+((('Form Sa1'!JEG835)*860)/10)+('Form Sa1'!JEG814*'Form Sa1'!JEG816/10)-'NF - 5 Power Mix'!JED21-'NF - 5 Power Mix'!JED22</f>
        <v>0</v>
      </c>
      <c r="JEE42" s="1046">
        <f>JEE38+((JEE40+'NF - 5 Power Mix'!JEE14+'NF - 5 Power Mix'!JEE15)*860/10)+((('Form Sa1'!JEH835)*860)/10)+('Form Sa1'!JEH814*'Form Sa1'!JEH816/10)-'NF - 5 Power Mix'!JEE21-'NF - 5 Power Mix'!JEE22</f>
        <v>0</v>
      </c>
      <c r="JEF42" s="1046">
        <f>JEF38+((JEF40+'NF - 5 Power Mix'!JEF14+'NF - 5 Power Mix'!JEF15)*860/10)+((('Form Sa1'!JEI835)*860)/10)+('Form Sa1'!JEI814*'Form Sa1'!JEI816/10)-'NF - 5 Power Mix'!JEF21-'NF - 5 Power Mix'!JEF22</f>
        <v>0</v>
      </c>
      <c r="JEG42" s="1046">
        <f>JEG38+((JEG40+'NF - 5 Power Mix'!JEG14+'NF - 5 Power Mix'!JEG15)*860/10)+((('Form Sa1'!JEJ835)*860)/10)+('Form Sa1'!JEJ814*'Form Sa1'!JEJ816/10)-'NF - 5 Power Mix'!JEG21-'NF - 5 Power Mix'!JEG22</f>
        <v>0</v>
      </c>
      <c r="JEH42" s="1046">
        <f>JEH38+((JEH40+'NF - 5 Power Mix'!JEH14+'NF - 5 Power Mix'!JEH15)*860/10)+((('Form Sa1'!JEK835)*860)/10)+('Form Sa1'!JEK814*'Form Sa1'!JEK816/10)-'NF - 5 Power Mix'!JEH21-'NF - 5 Power Mix'!JEH22</f>
        <v>0</v>
      </c>
      <c r="JEI42" s="1046">
        <f>JEI38+((JEI40+'NF - 5 Power Mix'!JEI14+'NF - 5 Power Mix'!JEI15)*860/10)+((('Form Sa1'!JEL835)*860)/10)+('Form Sa1'!JEL814*'Form Sa1'!JEL816/10)-'NF - 5 Power Mix'!JEI21-'NF - 5 Power Mix'!JEI22</f>
        <v>0</v>
      </c>
      <c r="JEJ42" s="1046">
        <f>JEJ38+((JEJ40+'NF - 5 Power Mix'!JEJ14+'NF - 5 Power Mix'!JEJ15)*860/10)+((('Form Sa1'!JEM835)*860)/10)+('Form Sa1'!JEM814*'Form Sa1'!JEM816/10)-'NF - 5 Power Mix'!JEJ21-'NF - 5 Power Mix'!JEJ22</f>
        <v>0</v>
      </c>
      <c r="JEK42" s="1046">
        <f>JEK38+((JEK40+'NF - 5 Power Mix'!JEK14+'NF - 5 Power Mix'!JEK15)*860/10)+((('Form Sa1'!JEN835)*860)/10)+('Form Sa1'!JEN814*'Form Sa1'!JEN816/10)-'NF - 5 Power Mix'!JEK21-'NF - 5 Power Mix'!JEK22</f>
        <v>0</v>
      </c>
      <c r="JEL42" s="1046">
        <f>JEL38+((JEL40+'NF - 5 Power Mix'!JEL14+'NF - 5 Power Mix'!JEL15)*860/10)+((('Form Sa1'!JEO835)*860)/10)+('Form Sa1'!JEO814*'Form Sa1'!JEO816/10)-'NF - 5 Power Mix'!JEL21-'NF - 5 Power Mix'!JEL22</f>
        <v>0</v>
      </c>
      <c r="JEM42" s="1046">
        <f>JEM38+((JEM40+'NF - 5 Power Mix'!JEM14+'NF - 5 Power Mix'!JEM15)*860/10)+((('Form Sa1'!JEP835)*860)/10)+('Form Sa1'!JEP814*'Form Sa1'!JEP816/10)-'NF - 5 Power Mix'!JEM21-'NF - 5 Power Mix'!JEM22</f>
        <v>0</v>
      </c>
      <c r="JEN42" s="1046">
        <f>JEN38+((JEN40+'NF - 5 Power Mix'!JEN14+'NF - 5 Power Mix'!JEN15)*860/10)+((('Form Sa1'!JEQ835)*860)/10)+('Form Sa1'!JEQ814*'Form Sa1'!JEQ816/10)-'NF - 5 Power Mix'!JEN21-'NF - 5 Power Mix'!JEN22</f>
        <v>0</v>
      </c>
      <c r="JEO42" s="1046">
        <f>JEO38+((JEO40+'NF - 5 Power Mix'!JEO14+'NF - 5 Power Mix'!JEO15)*860/10)+((('Form Sa1'!JER835)*860)/10)+('Form Sa1'!JER814*'Form Sa1'!JER816/10)-'NF - 5 Power Mix'!JEO21-'NF - 5 Power Mix'!JEO22</f>
        <v>0</v>
      </c>
      <c r="JEP42" s="1046">
        <f>JEP38+((JEP40+'NF - 5 Power Mix'!JEP14+'NF - 5 Power Mix'!JEP15)*860/10)+((('Form Sa1'!JES835)*860)/10)+('Form Sa1'!JES814*'Form Sa1'!JES816/10)-'NF - 5 Power Mix'!JEP21-'NF - 5 Power Mix'!JEP22</f>
        <v>0</v>
      </c>
      <c r="JEQ42" s="1046">
        <f>JEQ38+((JEQ40+'NF - 5 Power Mix'!JEQ14+'NF - 5 Power Mix'!JEQ15)*860/10)+((('Form Sa1'!JET835)*860)/10)+('Form Sa1'!JET814*'Form Sa1'!JET816/10)-'NF - 5 Power Mix'!JEQ21-'NF - 5 Power Mix'!JEQ22</f>
        <v>0</v>
      </c>
      <c r="JER42" s="1046">
        <f>JER38+((JER40+'NF - 5 Power Mix'!JER14+'NF - 5 Power Mix'!JER15)*860/10)+((('Form Sa1'!JEU835)*860)/10)+('Form Sa1'!JEU814*'Form Sa1'!JEU816/10)-'NF - 5 Power Mix'!JER21-'NF - 5 Power Mix'!JER22</f>
        <v>0</v>
      </c>
      <c r="JES42" s="1046">
        <f>JES38+((JES40+'NF - 5 Power Mix'!JES14+'NF - 5 Power Mix'!JES15)*860/10)+((('Form Sa1'!JEV835)*860)/10)+('Form Sa1'!JEV814*'Form Sa1'!JEV816/10)-'NF - 5 Power Mix'!JES21-'NF - 5 Power Mix'!JES22</f>
        <v>0</v>
      </c>
      <c r="JET42" s="1046">
        <f>JET38+((JET40+'NF - 5 Power Mix'!JET14+'NF - 5 Power Mix'!JET15)*860/10)+((('Form Sa1'!JEW835)*860)/10)+('Form Sa1'!JEW814*'Form Sa1'!JEW816/10)-'NF - 5 Power Mix'!JET21-'NF - 5 Power Mix'!JET22</f>
        <v>0</v>
      </c>
      <c r="JEU42" s="1046">
        <f>JEU38+((JEU40+'NF - 5 Power Mix'!JEU14+'NF - 5 Power Mix'!JEU15)*860/10)+((('Form Sa1'!JEX835)*860)/10)+('Form Sa1'!JEX814*'Form Sa1'!JEX816/10)-'NF - 5 Power Mix'!JEU21-'NF - 5 Power Mix'!JEU22</f>
        <v>0</v>
      </c>
      <c r="JEV42" s="1046">
        <f>JEV38+((JEV40+'NF - 5 Power Mix'!JEV14+'NF - 5 Power Mix'!JEV15)*860/10)+((('Form Sa1'!JEY835)*860)/10)+('Form Sa1'!JEY814*'Form Sa1'!JEY816/10)-'NF - 5 Power Mix'!JEV21-'NF - 5 Power Mix'!JEV22</f>
        <v>0</v>
      </c>
      <c r="JEW42" s="1046">
        <f>JEW38+((JEW40+'NF - 5 Power Mix'!JEW14+'NF - 5 Power Mix'!JEW15)*860/10)+((('Form Sa1'!JEZ835)*860)/10)+('Form Sa1'!JEZ814*'Form Sa1'!JEZ816/10)-'NF - 5 Power Mix'!JEW21-'NF - 5 Power Mix'!JEW22</f>
        <v>0</v>
      </c>
      <c r="JEX42" s="1046">
        <f>JEX38+((JEX40+'NF - 5 Power Mix'!JEX14+'NF - 5 Power Mix'!JEX15)*860/10)+((('Form Sa1'!JFA835)*860)/10)+('Form Sa1'!JFA814*'Form Sa1'!JFA816/10)-'NF - 5 Power Mix'!JEX21-'NF - 5 Power Mix'!JEX22</f>
        <v>0</v>
      </c>
      <c r="JEY42" s="1046">
        <f>JEY38+((JEY40+'NF - 5 Power Mix'!JEY14+'NF - 5 Power Mix'!JEY15)*860/10)+((('Form Sa1'!JFB835)*860)/10)+('Form Sa1'!JFB814*'Form Sa1'!JFB816/10)-'NF - 5 Power Mix'!JEY21-'NF - 5 Power Mix'!JEY22</f>
        <v>0</v>
      </c>
      <c r="JEZ42" s="1046">
        <f>JEZ38+((JEZ40+'NF - 5 Power Mix'!JEZ14+'NF - 5 Power Mix'!JEZ15)*860/10)+((('Form Sa1'!JFC835)*860)/10)+('Form Sa1'!JFC814*'Form Sa1'!JFC816/10)-'NF - 5 Power Mix'!JEZ21-'NF - 5 Power Mix'!JEZ22</f>
        <v>0</v>
      </c>
      <c r="JFA42" s="1046">
        <f>JFA38+((JFA40+'NF - 5 Power Mix'!JFA14+'NF - 5 Power Mix'!JFA15)*860/10)+((('Form Sa1'!JFD835)*860)/10)+('Form Sa1'!JFD814*'Form Sa1'!JFD816/10)-'NF - 5 Power Mix'!JFA21-'NF - 5 Power Mix'!JFA22</f>
        <v>0</v>
      </c>
      <c r="JFB42" s="1046">
        <f>JFB38+((JFB40+'NF - 5 Power Mix'!JFB14+'NF - 5 Power Mix'!JFB15)*860/10)+((('Form Sa1'!JFE835)*860)/10)+('Form Sa1'!JFE814*'Form Sa1'!JFE816/10)-'NF - 5 Power Mix'!JFB21-'NF - 5 Power Mix'!JFB22</f>
        <v>0</v>
      </c>
      <c r="JFC42" s="1046">
        <f>JFC38+((JFC40+'NF - 5 Power Mix'!JFC14+'NF - 5 Power Mix'!JFC15)*860/10)+((('Form Sa1'!JFF835)*860)/10)+('Form Sa1'!JFF814*'Form Sa1'!JFF816/10)-'NF - 5 Power Mix'!JFC21-'NF - 5 Power Mix'!JFC22</f>
        <v>0</v>
      </c>
      <c r="JFD42" s="1046">
        <f>JFD38+((JFD40+'NF - 5 Power Mix'!JFD14+'NF - 5 Power Mix'!JFD15)*860/10)+((('Form Sa1'!JFG835)*860)/10)+('Form Sa1'!JFG814*'Form Sa1'!JFG816/10)-'NF - 5 Power Mix'!JFD21-'NF - 5 Power Mix'!JFD22</f>
        <v>0</v>
      </c>
      <c r="JFE42" s="1046">
        <f>JFE38+((JFE40+'NF - 5 Power Mix'!JFE14+'NF - 5 Power Mix'!JFE15)*860/10)+((('Form Sa1'!JFH835)*860)/10)+('Form Sa1'!JFH814*'Form Sa1'!JFH816/10)-'NF - 5 Power Mix'!JFE21-'NF - 5 Power Mix'!JFE22</f>
        <v>0</v>
      </c>
      <c r="JFF42" s="1046">
        <f>JFF38+((JFF40+'NF - 5 Power Mix'!JFF14+'NF - 5 Power Mix'!JFF15)*860/10)+((('Form Sa1'!JFI835)*860)/10)+('Form Sa1'!JFI814*'Form Sa1'!JFI816/10)-'NF - 5 Power Mix'!JFF21-'NF - 5 Power Mix'!JFF22</f>
        <v>0</v>
      </c>
      <c r="JFG42" s="1046">
        <f>JFG38+((JFG40+'NF - 5 Power Mix'!JFG14+'NF - 5 Power Mix'!JFG15)*860/10)+((('Form Sa1'!JFJ835)*860)/10)+('Form Sa1'!JFJ814*'Form Sa1'!JFJ816/10)-'NF - 5 Power Mix'!JFG21-'NF - 5 Power Mix'!JFG22</f>
        <v>0</v>
      </c>
      <c r="JFH42" s="1046">
        <f>JFH38+((JFH40+'NF - 5 Power Mix'!JFH14+'NF - 5 Power Mix'!JFH15)*860/10)+((('Form Sa1'!JFK835)*860)/10)+('Form Sa1'!JFK814*'Form Sa1'!JFK816/10)-'NF - 5 Power Mix'!JFH21-'NF - 5 Power Mix'!JFH22</f>
        <v>0</v>
      </c>
      <c r="JFI42" s="1046">
        <f>JFI38+((JFI40+'NF - 5 Power Mix'!JFI14+'NF - 5 Power Mix'!JFI15)*860/10)+((('Form Sa1'!JFL835)*860)/10)+('Form Sa1'!JFL814*'Form Sa1'!JFL816/10)-'NF - 5 Power Mix'!JFI21-'NF - 5 Power Mix'!JFI22</f>
        <v>0</v>
      </c>
      <c r="JFJ42" s="1046">
        <f>JFJ38+((JFJ40+'NF - 5 Power Mix'!JFJ14+'NF - 5 Power Mix'!JFJ15)*860/10)+((('Form Sa1'!JFM835)*860)/10)+('Form Sa1'!JFM814*'Form Sa1'!JFM816/10)-'NF - 5 Power Mix'!JFJ21-'NF - 5 Power Mix'!JFJ22</f>
        <v>0</v>
      </c>
      <c r="JFK42" s="1046">
        <f>JFK38+((JFK40+'NF - 5 Power Mix'!JFK14+'NF - 5 Power Mix'!JFK15)*860/10)+((('Form Sa1'!JFN835)*860)/10)+('Form Sa1'!JFN814*'Form Sa1'!JFN816/10)-'NF - 5 Power Mix'!JFK21-'NF - 5 Power Mix'!JFK22</f>
        <v>0</v>
      </c>
      <c r="JFL42" s="1046">
        <f>JFL38+((JFL40+'NF - 5 Power Mix'!JFL14+'NF - 5 Power Mix'!JFL15)*860/10)+((('Form Sa1'!JFO835)*860)/10)+('Form Sa1'!JFO814*'Form Sa1'!JFO816/10)-'NF - 5 Power Mix'!JFL21-'NF - 5 Power Mix'!JFL22</f>
        <v>0</v>
      </c>
      <c r="JFM42" s="1046">
        <f>JFM38+((JFM40+'NF - 5 Power Mix'!JFM14+'NF - 5 Power Mix'!JFM15)*860/10)+((('Form Sa1'!JFP835)*860)/10)+('Form Sa1'!JFP814*'Form Sa1'!JFP816/10)-'NF - 5 Power Mix'!JFM21-'NF - 5 Power Mix'!JFM22</f>
        <v>0</v>
      </c>
      <c r="JFN42" s="1046">
        <f>JFN38+((JFN40+'NF - 5 Power Mix'!JFN14+'NF - 5 Power Mix'!JFN15)*860/10)+((('Form Sa1'!JFQ835)*860)/10)+('Form Sa1'!JFQ814*'Form Sa1'!JFQ816/10)-'NF - 5 Power Mix'!JFN21-'NF - 5 Power Mix'!JFN22</f>
        <v>0</v>
      </c>
      <c r="JFO42" s="1046">
        <f>JFO38+((JFO40+'NF - 5 Power Mix'!JFO14+'NF - 5 Power Mix'!JFO15)*860/10)+((('Form Sa1'!JFR835)*860)/10)+('Form Sa1'!JFR814*'Form Sa1'!JFR816/10)-'NF - 5 Power Mix'!JFO21-'NF - 5 Power Mix'!JFO22</f>
        <v>0</v>
      </c>
      <c r="JFP42" s="1046">
        <f>JFP38+((JFP40+'NF - 5 Power Mix'!JFP14+'NF - 5 Power Mix'!JFP15)*860/10)+((('Form Sa1'!JFS835)*860)/10)+('Form Sa1'!JFS814*'Form Sa1'!JFS816/10)-'NF - 5 Power Mix'!JFP21-'NF - 5 Power Mix'!JFP22</f>
        <v>0</v>
      </c>
      <c r="JFQ42" s="1046">
        <f>JFQ38+((JFQ40+'NF - 5 Power Mix'!JFQ14+'NF - 5 Power Mix'!JFQ15)*860/10)+((('Form Sa1'!JFT835)*860)/10)+('Form Sa1'!JFT814*'Form Sa1'!JFT816/10)-'NF - 5 Power Mix'!JFQ21-'NF - 5 Power Mix'!JFQ22</f>
        <v>0</v>
      </c>
      <c r="JFR42" s="1046">
        <f>JFR38+((JFR40+'NF - 5 Power Mix'!JFR14+'NF - 5 Power Mix'!JFR15)*860/10)+((('Form Sa1'!JFU835)*860)/10)+('Form Sa1'!JFU814*'Form Sa1'!JFU816/10)-'NF - 5 Power Mix'!JFR21-'NF - 5 Power Mix'!JFR22</f>
        <v>0</v>
      </c>
      <c r="JFS42" s="1046">
        <f>JFS38+((JFS40+'NF - 5 Power Mix'!JFS14+'NF - 5 Power Mix'!JFS15)*860/10)+((('Form Sa1'!JFV835)*860)/10)+('Form Sa1'!JFV814*'Form Sa1'!JFV816/10)-'NF - 5 Power Mix'!JFS21-'NF - 5 Power Mix'!JFS22</f>
        <v>0</v>
      </c>
      <c r="JFT42" s="1046">
        <f>JFT38+((JFT40+'NF - 5 Power Mix'!JFT14+'NF - 5 Power Mix'!JFT15)*860/10)+((('Form Sa1'!JFW835)*860)/10)+('Form Sa1'!JFW814*'Form Sa1'!JFW816/10)-'NF - 5 Power Mix'!JFT21-'NF - 5 Power Mix'!JFT22</f>
        <v>0</v>
      </c>
      <c r="JFU42" s="1046">
        <f>JFU38+((JFU40+'NF - 5 Power Mix'!JFU14+'NF - 5 Power Mix'!JFU15)*860/10)+((('Form Sa1'!JFX835)*860)/10)+('Form Sa1'!JFX814*'Form Sa1'!JFX816/10)-'NF - 5 Power Mix'!JFU21-'NF - 5 Power Mix'!JFU22</f>
        <v>0</v>
      </c>
      <c r="JFV42" s="1046">
        <f>JFV38+((JFV40+'NF - 5 Power Mix'!JFV14+'NF - 5 Power Mix'!JFV15)*860/10)+((('Form Sa1'!JFY835)*860)/10)+('Form Sa1'!JFY814*'Form Sa1'!JFY816/10)-'NF - 5 Power Mix'!JFV21-'NF - 5 Power Mix'!JFV22</f>
        <v>0</v>
      </c>
      <c r="JFW42" s="1046">
        <f>JFW38+((JFW40+'NF - 5 Power Mix'!JFW14+'NF - 5 Power Mix'!JFW15)*860/10)+((('Form Sa1'!JFZ835)*860)/10)+('Form Sa1'!JFZ814*'Form Sa1'!JFZ816/10)-'NF - 5 Power Mix'!JFW21-'NF - 5 Power Mix'!JFW22</f>
        <v>0</v>
      </c>
      <c r="JFX42" s="1046">
        <f>JFX38+((JFX40+'NF - 5 Power Mix'!JFX14+'NF - 5 Power Mix'!JFX15)*860/10)+((('Form Sa1'!JGA835)*860)/10)+('Form Sa1'!JGA814*'Form Sa1'!JGA816/10)-'NF - 5 Power Mix'!JFX21-'NF - 5 Power Mix'!JFX22</f>
        <v>0</v>
      </c>
      <c r="JFY42" s="1046">
        <f>JFY38+((JFY40+'NF - 5 Power Mix'!JFY14+'NF - 5 Power Mix'!JFY15)*860/10)+((('Form Sa1'!JGB835)*860)/10)+('Form Sa1'!JGB814*'Form Sa1'!JGB816/10)-'NF - 5 Power Mix'!JFY21-'NF - 5 Power Mix'!JFY22</f>
        <v>0</v>
      </c>
      <c r="JFZ42" s="1046">
        <f>JFZ38+((JFZ40+'NF - 5 Power Mix'!JFZ14+'NF - 5 Power Mix'!JFZ15)*860/10)+((('Form Sa1'!JGC835)*860)/10)+('Form Sa1'!JGC814*'Form Sa1'!JGC816/10)-'NF - 5 Power Mix'!JFZ21-'NF - 5 Power Mix'!JFZ22</f>
        <v>0</v>
      </c>
      <c r="JGA42" s="1046">
        <f>JGA38+((JGA40+'NF - 5 Power Mix'!JGA14+'NF - 5 Power Mix'!JGA15)*860/10)+((('Form Sa1'!JGD835)*860)/10)+('Form Sa1'!JGD814*'Form Sa1'!JGD816/10)-'NF - 5 Power Mix'!JGA21-'NF - 5 Power Mix'!JGA22</f>
        <v>0</v>
      </c>
      <c r="JGB42" s="1046">
        <f>JGB38+((JGB40+'NF - 5 Power Mix'!JGB14+'NF - 5 Power Mix'!JGB15)*860/10)+((('Form Sa1'!JGE835)*860)/10)+('Form Sa1'!JGE814*'Form Sa1'!JGE816/10)-'NF - 5 Power Mix'!JGB21-'NF - 5 Power Mix'!JGB22</f>
        <v>0</v>
      </c>
      <c r="JGC42" s="1046">
        <f>JGC38+((JGC40+'NF - 5 Power Mix'!JGC14+'NF - 5 Power Mix'!JGC15)*860/10)+((('Form Sa1'!JGF835)*860)/10)+('Form Sa1'!JGF814*'Form Sa1'!JGF816/10)-'NF - 5 Power Mix'!JGC21-'NF - 5 Power Mix'!JGC22</f>
        <v>0</v>
      </c>
      <c r="JGD42" s="1046">
        <f>JGD38+((JGD40+'NF - 5 Power Mix'!JGD14+'NF - 5 Power Mix'!JGD15)*860/10)+((('Form Sa1'!JGG835)*860)/10)+('Form Sa1'!JGG814*'Form Sa1'!JGG816/10)-'NF - 5 Power Mix'!JGD21-'NF - 5 Power Mix'!JGD22</f>
        <v>0</v>
      </c>
      <c r="JGE42" s="1046">
        <f>JGE38+((JGE40+'NF - 5 Power Mix'!JGE14+'NF - 5 Power Mix'!JGE15)*860/10)+((('Form Sa1'!JGH835)*860)/10)+('Form Sa1'!JGH814*'Form Sa1'!JGH816/10)-'NF - 5 Power Mix'!JGE21-'NF - 5 Power Mix'!JGE22</f>
        <v>0</v>
      </c>
      <c r="JGF42" s="1046">
        <f>JGF38+((JGF40+'NF - 5 Power Mix'!JGF14+'NF - 5 Power Mix'!JGF15)*860/10)+((('Form Sa1'!JGI835)*860)/10)+('Form Sa1'!JGI814*'Form Sa1'!JGI816/10)-'NF - 5 Power Mix'!JGF21-'NF - 5 Power Mix'!JGF22</f>
        <v>0</v>
      </c>
      <c r="JGG42" s="1046">
        <f>JGG38+((JGG40+'NF - 5 Power Mix'!JGG14+'NF - 5 Power Mix'!JGG15)*860/10)+((('Form Sa1'!JGJ835)*860)/10)+('Form Sa1'!JGJ814*'Form Sa1'!JGJ816/10)-'NF - 5 Power Mix'!JGG21-'NF - 5 Power Mix'!JGG22</f>
        <v>0</v>
      </c>
      <c r="JGH42" s="1046">
        <f>JGH38+((JGH40+'NF - 5 Power Mix'!JGH14+'NF - 5 Power Mix'!JGH15)*860/10)+((('Form Sa1'!JGK835)*860)/10)+('Form Sa1'!JGK814*'Form Sa1'!JGK816/10)-'NF - 5 Power Mix'!JGH21-'NF - 5 Power Mix'!JGH22</f>
        <v>0</v>
      </c>
      <c r="JGI42" s="1046">
        <f>JGI38+((JGI40+'NF - 5 Power Mix'!JGI14+'NF - 5 Power Mix'!JGI15)*860/10)+((('Form Sa1'!JGL835)*860)/10)+('Form Sa1'!JGL814*'Form Sa1'!JGL816/10)-'NF - 5 Power Mix'!JGI21-'NF - 5 Power Mix'!JGI22</f>
        <v>0</v>
      </c>
      <c r="JGJ42" s="1046">
        <f>JGJ38+((JGJ40+'NF - 5 Power Mix'!JGJ14+'NF - 5 Power Mix'!JGJ15)*860/10)+((('Form Sa1'!JGM835)*860)/10)+('Form Sa1'!JGM814*'Form Sa1'!JGM816/10)-'NF - 5 Power Mix'!JGJ21-'NF - 5 Power Mix'!JGJ22</f>
        <v>0</v>
      </c>
      <c r="JGK42" s="1046">
        <f>JGK38+((JGK40+'NF - 5 Power Mix'!JGK14+'NF - 5 Power Mix'!JGK15)*860/10)+((('Form Sa1'!JGN835)*860)/10)+('Form Sa1'!JGN814*'Form Sa1'!JGN816/10)-'NF - 5 Power Mix'!JGK21-'NF - 5 Power Mix'!JGK22</f>
        <v>0</v>
      </c>
      <c r="JGL42" s="1046">
        <f>JGL38+((JGL40+'NF - 5 Power Mix'!JGL14+'NF - 5 Power Mix'!JGL15)*860/10)+((('Form Sa1'!JGO835)*860)/10)+('Form Sa1'!JGO814*'Form Sa1'!JGO816/10)-'NF - 5 Power Mix'!JGL21-'NF - 5 Power Mix'!JGL22</f>
        <v>0</v>
      </c>
      <c r="JGM42" s="1046">
        <f>JGM38+((JGM40+'NF - 5 Power Mix'!JGM14+'NF - 5 Power Mix'!JGM15)*860/10)+((('Form Sa1'!JGP835)*860)/10)+('Form Sa1'!JGP814*'Form Sa1'!JGP816/10)-'NF - 5 Power Mix'!JGM21-'NF - 5 Power Mix'!JGM22</f>
        <v>0</v>
      </c>
      <c r="JGN42" s="1046">
        <f>JGN38+((JGN40+'NF - 5 Power Mix'!JGN14+'NF - 5 Power Mix'!JGN15)*860/10)+((('Form Sa1'!JGQ835)*860)/10)+('Form Sa1'!JGQ814*'Form Sa1'!JGQ816/10)-'NF - 5 Power Mix'!JGN21-'NF - 5 Power Mix'!JGN22</f>
        <v>0</v>
      </c>
      <c r="JGO42" s="1046">
        <f>JGO38+((JGO40+'NF - 5 Power Mix'!JGO14+'NF - 5 Power Mix'!JGO15)*860/10)+((('Form Sa1'!JGR835)*860)/10)+('Form Sa1'!JGR814*'Form Sa1'!JGR816/10)-'NF - 5 Power Mix'!JGO21-'NF - 5 Power Mix'!JGO22</f>
        <v>0</v>
      </c>
      <c r="JGP42" s="1046">
        <f>JGP38+((JGP40+'NF - 5 Power Mix'!JGP14+'NF - 5 Power Mix'!JGP15)*860/10)+((('Form Sa1'!JGS835)*860)/10)+('Form Sa1'!JGS814*'Form Sa1'!JGS816/10)-'NF - 5 Power Mix'!JGP21-'NF - 5 Power Mix'!JGP22</f>
        <v>0</v>
      </c>
      <c r="JGQ42" s="1046">
        <f>JGQ38+((JGQ40+'NF - 5 Power Mix'!JGQ14+'NF - 5 Power Mix'!JGQ15)*860/10)+((('Form Sa1'!JGT835)*860)/10)+('Form Sa1'!JGT814*'Form Sa1'!JGT816/10)-'NF - 5 Power Mix'!JGQ21-'NF - 5 Power Mix'!JGQ22</f>
        <v>0</v>
      </c>
      <c r="JGR42" s="1046">
        <f>JGR38+((JGR40+'NF - 5 Power Mix'!JGR14+'NF - 5 Power Mix'!JGR15)*860/10)+((('Form Sa1'!JGU835)*860)/10)+('Form Sa1'!JGU814*'Form Sa1'!JGU816/10)-'NF - 5 Power Mix'!JGR21-'NF - 5 Power Mix'!JGR22</f>
        <v>0</v>
      </c>
      <c r="JGS42" s="1046">
        <f>JGS38+((JGS40+'NF - 5 Power Mix'!JGS14+'NF - 5 Power Mix'!JGS15)*860/10)+((('Form Sa1'!JGV835)*860)/10)+('Form Sa1'!JGV814*'Form Sa1'!JGV816/10)-'NF - 5 Power Mix'!JGS21-'NF - 5 Power Mix'!JGS22</f>
        <v>0</v>
      </c>
      <c r="JGT42" s="1046">
        <f>JGT38+((JGT40+'NF - 5 Power Mix'!JGT14+'NF - 5 Power Mix'!JGT15)*860/10)+((('Form Sa1'!JGW835)*860)/10)+('Form Sa1'!JGW814*'Form Sa1'!JGW816/10)-'NF - 5 Power Mix'!JGT21-'NF - 5 Power Mix'!JGT22</f>
        <v>0</v>
      </c>
      <c r="JGU42" s="1046">
        <f>JGU38+((JGU40+'NF - 5 Power Mix'!JGU14+'NF - 5 Power Mix'!JGU15)*860/10)+((('Form Sa1'!JGX835)*860)/10)+('Form Sa1'!JGX814*'Form Sa1'!JGX816/10)-'NF - 5 Power Mix'!JGU21-'NF - 5 Power Mix'!JGU22</f>
        <v>0</v>
      </c>
      <c r="JGV42" s="1046">
        <f>JGV38+((JGV40+'NF - 5 Power Mix'!JGV14+'NF - 5 Power Mix'!JGV15)*860/10)+((('Form Sa1'!JGY835)*860)/10)+('Form Sa1'!JGY814*'Form Sa1'!JGY816/10)-'NF - 5 Power Mix'!JGV21-'NF - 5 Power Mix'!JGV22</f>
        <v>0</v>
      </c>
      <c r="JGW42" s="1046">
        <f>JGW38+((JGW40+'NF - 5 Power Mix'!JGW14+'NF - 5 Power Mix'!JGW15)*860/10)+((('Form Sa1'!JGZ835)*860)/10)+('Form Sa1'!JGZ814*'Form Sa1'!JGZ816/10)-'NF - 5 Power Mix'!JGW21-'NF - 5 Power Mix'!JGW22</f>
        <v>0</v>
      </c>
      <c r="JGX42" s="1046">
        <f>JGX38+((JGX40+'NF - 5 Power Mix'!JGX14+'NF - 5 Power Mix'!JGX15)*860/10)+((('Form Sa1'!JHA835)*860)/10)+('Form Sa1'!JHA814*'Form Sa1'!JHA816/10)-'NF - 5 Power Mix'!JGX21-'NF - 5 Power Mix'!JGX22</f>
        <v>0</v>
      </c>
      <c r="JGY42" s="1046">
        <f>JGY38+((JGY40+'NF - 5 Power Mix'!JGY14+'NF - 5 Power Mix'!JGY15)*860/10)+((('Form Sa1'!JHB835)*860)/10)+('Form Sa1'!JHB814*'Form Sa1'!JHB816/10)-'NF - 5 Power Mix'!JGY21-'NF - 5 Power Mix'!JGY22</f>
        <v>0</v>
      </c>
      <c r="JGZ42" s="1046">
        <f>JGZ38+((JGZ40+'NF - 5 Power Mix'!JGZ14+'NF - 5 Power Mix'!JGZ15)*860/10)+((('Form Sa1'!JHC835)*860)/10)+('Form Sa1'!JHC814*'Form Sa1'!JHC816/10)-'NF - 5 Power Mix'!JGZ21-'NF - 5 Power Mix'!JGZ22</f>
        <v>0</v>
      </c>
      <c r="JHA42" s="1046">
        <f>JHA38+((JHA40+'NF - 5 Power Mix'!JHA14+'NF - 5 Power Mix'!JHA15)*860/10)+((('Form Sa1'!JHD835)*860)/10)+('Form Sa1'!JHD814*'Form Sa1'!JHD816/10)-'NF - 5 Power Mix'!JHA21-'NF - 5 Power Mix'!JHA22</f>
        <v>0</v>
      </c>
      <c r="JHB42" s="1046">
        <f>JHB38+((JHB40+'NF - 5 Power Mix'!JHB14+'NF - 5 Power Mix'!JHB15)*860/10)+((('Form Sa1'!JHE835)*860)/10)+('Form Sa1'!JHE814*'Form Sa1'!JHE816/10)-'NF - 5 Power Mix'!JHB21-'NF - 5 Power Mix'!JHB22</f>
        <v>0</v>
      </c>
      <c r="JHC42" s="1046">
        <f>JHC38+((JHC40+'NF - 5 Power Mix'!JHC14+'NF - 5 Power Mix'!JHC15)*860/10)+((('Form Sa1'!JHF835)*860)/10)+('Form Sa1'!JHF814*'Form Sa1'!JHF816/10)-'NF - 5 Power Mix'!JHC21-'NF - 5 Power Mix'!JHC22</f>
        <v>0</v>
      </c>
      <c r="JHD42" s="1046">
        <f>JHD38+((JHD40+'NF - 5 Power Mix'!JHD14+'NF - 5 Power Mix'!JHD15)*860/10)+((('Form Sa1'!JHG835)*860)/10)+('Form Sa1'!JHG814*'Form Sa1'!JHG816/10)-'NF - 5 Power Mix'!JHD21-'NF - 5 Power Mix'!JHD22</f>
        <v>0</v>
      </c>
      <c r="JHE42" s="1046">
        <f>JHE38+((JHE40+'NF - 5 Power Mix'!JHE14+'NF - 5 Power Mix'!JHE15)*860/10)+((('Form Sa1'!JHH835)*860)/10)+('Form Sa1'!JHH814*'Form Sa1'!JHH816/10)-'NF - 5 Power Mix'!JHE21-'NF - 5 Power Mix'!JHE22</f>
        <v>0</v>
      </c>
      <c r="JHF42" s="1046">
        <f>JHF38+((JHF40+'NF - 5 Power Mix'!JHF14+'NF - 5 Power Mix'!JHF15)*860/10)+((('Form Sa1'!JHI835)*860)/10)+('Form Sa1'!JHI814*'Form Sa1'!JHI816/10)-'NF - 5 Power Mix'!JHF21-'NF - 5 Power Mix'!JHF22</f>
        <v>0</v>
      </c>
      <c r="JHG42" s="1046">
        <f>JHG38+((JHG40+'NF - 5 Power Mix'!JHG14+'NF - 5 Power Mix'!JHG15)*860/10)+((('Form Sa1'!JHJ835)*860)/10)+('Form Sa1'!JHJ814*'Form Sa1'!JHJ816/10)-'NF - 5 Power Mix'!JHG21-'NF - 5 Power Mix'!JHG22</f>
        <v>0</v>
      </c>
      <c r="JHH42" s="1046">
        <f>JHH38+((JHH40+'NF - 5 Power Mix'!JHH14+'NF - 5 Power Mix'!JHH15)*860/10)+((('Form Sa1'!JHK835)*860)/10)+('Form Sa1'!JHK814*'Form Sa1'!JHK816/10)-'NF - 5 Power Mix'!JHH21-'NF - 5 Power Mix'!JHH22</f>
        <v>0</v>
      </c>
      <c r="JHI42" s="1046">
        <f>JHI38+((JHI40+'NF - 5 Power Mix'!JHI14+'NF - 5 Power Mix'!JHI15)*860/10)+((('Form Sa1'!JHL835)*860)/10)+('Form Sa1'!JHL814*'Form Sa1'!JHL816/10)-'NF - 5 Power Mix'!JHI21-'NF - 5 Power Mix'!JHI22</f>
        <v>0</v>
      </c>
      <c r="JHJ42" s="1046">
        <f>JHJ38+((JHJ40+'NF - 5 Power Mix'!JHJ14+'NF - 5 Power Mix'!JHJ15)*860/10)+((('Form Sa1'!JHM835)*860)/10)+('Form Sa1'!JHM814*'Form Sa1'!JHM816/10)-'NF - 5 Power Mix'!JHJ21-'NF - 5 Power Mix'!JHJ22</f>
        <v>0</v>
      </c>
      <c r="JHK42" s="1046">
        <f>JHK38+((JHK40+'NF - 5 Power Mix'!JHK14+'NF - 5 Power Mix'!JHK15)*860/10)+((('Form Sa1'!JHN835)*860)/10)+('Form Sa1'!JHN814*'Form Sa1'!JHN816/10)-'NF - 5 Power Mix'!JHK21-'NF - 5 Power Mix'!JHK22</f>
        <v>0</v>
      </c>
      <c r="JHL42" s="1046">
        <f>JHL38+((JHL40+'NF - 5 Power Mix'!JHL14+'NF - 5 Power Mix'!JHL15)*860/10)+((('Form Sa1'!JHO835)*860)/10)+('Form Sa1'!JHO814*'Form Sa1'!JHO816/10)-'NF - 5 Power Mix'!JHL21-'NF - 5 Power Mix'!JHL22</f>
        <v>0</v>
      </c>
      <c r="JHM42" s="1046">
        <f>JHM38+((JHM40+'NF - 5 Power Mix'!JHM14+'NF - 5 Power Mix'!JHM15)*860/10)+((('Form Sa1'!JHP835)*860)/10)+('Form Sa1'!JHP814*'Form Sa1'!JHP816/10)-'NF - 5 Power Mix'!JHM21-'NF - 5 Power Mix'!JHM22</f>
        <v>0</v>
      </c>
      <c r="JHN42" s="1046">
        <f>JHN38+((JHN40+'NF - 5 Power Mix'!JHN14+'NF - 5 Power Mix'!JHN15)*860/10)+((('Form Sa1'!JHQ835)*860)/10)+('Form Sa1'!JHQ814*'Form Sa1'!JHQ816/10)-'NF - 5 Power Mix'!JHN21-'NF - 5 Power Mix'!JHN22</f>
        <v>0</v>
      </c>
      <c r="JHO42" s="1046">
        <f>JHO38+((JHO40+'NF - 5 Power Mix'!JHO14+'NF - 5 Power Mix'!JHO15)*860/10)+((('Form Sa1'!JHR835)*860)/10)+('Form Sa1'!JHR814*'Form Sa1'!JHR816/10)-'NF - 5 Power Mix'!JHO21-'NF - 5 Power Mix'!JHO22</f>
        <v>0</v>
      </c>
      <c r="JHP42" s="1046">
        <f>JHP38+((JHP40+'NF - 5 Power Mix'!JHP14+'NF - 5 Power Mix'!JHP15)*860/10)+((('Form Sa1'!JHS835)*860)/10)+('Form Sa1'!JHS814*'Form Sa1'!JHS816/10)-'NF - 5 Power Mix'!JHP21-'NF - 5 Power Mix'!JHP22</f>
        <v>0</v>
      </c>
      <c r="JHQ42" s="1046">
        <f>JHQ38+((JHQ40+'NF - 5 Power Mix'!JHQ14+'NF - 5 Power Mix'!JHQ15)*860/10)+((('Form Sa1'!JHT835)*860)/10)+('Form Sa1'!JHT814*'Form Sa1'!JHT816/10)-'NF - 5 Power Mix'!JHQ21-'NF - 5 Power Mix'!JHQ22</f>
        <v>0</v>
      </c>
      <c r="JHR42" s="1046">
        <f>JHR38+((JHR40+'NF - 5 Power Mix'!JHR14+'NF - 5 Power Mix'!JHR15)*860/10)+((('Form Sa1'!JHU835)*860)/10)+('Form Sa1'!JHU814*'Form Sa1'!JHU816/10)-'NF - 5 Power Mix'!JHR21-'NF - 5 Power Mix'!JHR22</f>
        <v>0</v>
      </c>
      <c r="JHS42" s="1046">
        <f>JHS38+((JHS40+'NF - 5 Power Mix'!JHS14+'NF - 5 Power Mix'!JHS15)*860/10)+((('Form Sa1'!JHV835)*860)/10)+('Form Sa1'!JHV814*'Form Sa1'!JHV816/10)-'NF - 5 Power Mix'!JHS21-'NF - 5 Power Mix'!JHS22</f>
        <v>0</v>
      </c>
      <c r="JHT42" s="1046">
        <f>JHT38+((JHT40+'NF - 5 Power Mix'!JHT14+'NF - 5 Power Mix'!JHT15)*860/10)+((('Form Sa1'!JHW835)*860)/10)+('Form Sa1'!JHW814*'Form Sa1'!JHW816/10)-'NF - 5 Power Mix'!JHT21-'NF - 5 Power Mix'!JHT22</f>
        <v>0</v>
      </c>
      <c r="JHU42" s="1046">
        <f>JHU38+((JHU40+'NF - 5 Power Mix'!JHU14+'NF - 5 Power Mix'!JHU15)*860/10)+((('Form Sa1'!JHX835)*860)/10)+('Form Sa1'!JHX814*'Form Sa1'!JHX816/10)-'NF - 5 Power Mix'!JHU21-'NF - 5 Power Mix'!JHU22</f>
        <v>0</v>
      </c>
      <c r="JHV42" s="1046">
        <f>JHV38+((JHV40+'NF - 5 Power Mix'!JHV14+'NF - 5 Power Mix'!JHV15)*860/10)+((('Form Sa1'!JHY835)*860)/10)+('Form Sa1'!JHY814*'Form Sa1'!JHY816/10)-'NF - 5 Power Mix'!JHV21-'NF - 5 Power Mix'!JHV22</f>
        <v>0</v>
      </c>
      <c r="JHW42" s="1046">
        <f>JHW38+((JHW40+'NF - 5 Power Mix'!JHW14+'NF - 5 Power Mix'!JHW15)*860/10)+((('Form Sa1'!JHZ835)*860)/10)+('Form Sa1'!JHZ814*'Form Sa1'!JHZ816/10)-'NF - 5 Power Mix'!JHW21-'NF - 5 Power Mix'!JHW22</f>
        <v>0</v>
      </c>
      <c r="JHX42" s="1046">
        <f>JHX38+((JHX40+'NF - 5 Power Mix'!JHX14+'NF - 5 Power Mix'!JHX15)*860/10)+((('Form Sa1'!JIA835)*860)/10)+('Form Sa1'!JIA814*'Form Sa1'!JIA816/10)-'NF - 5 Power Mix'!JHX21-'NF - 5 Power Mix'!JHX22</f>
        <v>0</v>
      </c>
      <c r="JHY42" s="1046">
        <f>JHY38+((JHY40+'NF - 5 Power Mix'!JHY14+'NF - 5 Power Mix'!JHY15)*860/10)+((('Form Sa1'!JIB835)*860)/10)+('Form Sa1'!JIB814*'Form Sa1'!JIB816/10)-'NF - 5 Power Mix'!JHY21-'NF - 5 Power Mix'!JHY22</f>
        <v>0</v>
      </c>
      <c r="JHZ42" s="1046">
        <f>JHZ38+((JHZ40+'NF - 5 Power Mix'!JHZ14+'NF - 5 Power Mix'!JHZ15)*860/10)+((('Form Sa1'!JIC835)*860)/10)+('Form Sa1'!JIC814*'Form Sa1'!JIC816/10)-'NF - 5 Power Mix'!JHZ21-'NF - 5 Power Mix'!JHZ22</f>
        <v>0</v>
      </c>
      <c r="JIA42" s="1046">
        <f>JIA38+((JIA40+'NF - 5 Power Mix'!JIA14+'NF - 5 Power Mix'!JIA15)*860/10)+((('Form Sa1'!JID835)*860)/10)+('Form Sa1'!JID814*'Form Sa1'!JID816/10)-'NF - 5 Power Mix'!JIA21-'NF - 5 Power Mix'!JIA22</f>
        <v>0</v>
      </c>
      <c r="JIB42" s="1046">
        <f>JIB38+((JIB40+'NF - 5 Power Mix'!JIB14+'NF - 5 Power Mix'!JIB15)*860/10)+((('Form Sa1'!JIE835)*860)/10)+('Form Sa1'!JIE814*'Form Sa1'!JIE816/10)-'NF - 5 Power Mix'!JIB21-'NF - 5 Power Mix'!JIB22</f>
        <v>0</v>
      </c>
      <c r="JIC42" s="1046">
        <f>JIC38+((JIC40+'NF - 5 Power Mix'!JIC14+'NF - 5 Power Mix'!JIC15)*860/10)+((('Form Sa1'!JIF835)*860)/10)+('Form Sa1'!JIF814*'Form Sa1'!JIF816/10)-'NF - 5 Power Mix'!JIC21-'NF - 5 Power Mix'!JIC22</f>
        <v>0</v>
      </c>
      <c r="JID42" s="1046">
        <f>JID38+((JID40+'NF - 5 Power Mix'!JID14+'NF - 5 Power Mix'!JID15)*860/10)+((('Form Sa1'!JIG835)*860)/10)+('Form Sa1'!JIG814*'Form Sa1'!JIG816/10)-'NF - 5 Power Mix'!JID21-'NF - 5 Power Mix'!JID22</f>
        <v>0</v>
      </c>
      <c r="JIE42" s="1046">
        <f>JIE38+((JIE40+'NF - 5 Power Mix'!JIE14+'NF - 5 Power Mix'!JIE15)*860/10)+((('Form Sa1'!JIH835)*860)/10)+('Form Sa1'!JIH814*'Form Sa1'!JIH816/10)-'NF - 5 Power Mix'!JIE21-'NF - 5 Power Mix'!JIE22</f>
        <v>0</v>
      </c>
      <c r="JIF42" s="1046">
        <f>JIF38+((JIF40+'NF - 5 Power Mix'!JIF14+'NF - 5 Power Mix'!JIF15)*860/10)+((('Form Sa1'!JII835)*860)/10)+('Form Sa1'!JII814*'Form Sa1'!JII816/10)-'NF - 5 Power Mix'!JIF21-'NF - 5 Power Mix'!JIF22</f>
        <v>0</v>
      </c>
      <c r="JIG42" s="1046">
        <f>JIG38+((JIG40+'NF - 5 Power Mix'!JIG14+'NF - 5 Power Mix'!JIG15)*860/10)+((('Form Sa1'!JIJ835)*860)/10)+('Form Sa1'!JIJ814*'Form Sa1'!JIJ816/10)-'NF - 5 Power Mix'!JIG21-'NF - 5 Power Mix'!JIG22</f>
        <v>0</v>
      </c>
      <c r="JIH42" s="1046">
        <f>JIH38+((JIH40+'NF - 5 Power Mix'!JIH14+'NF - 5 Power Mix'!JIH15)*860/10)+((('Form Sa1'!JIK835)*860)/10)+('Form Sa1'!JIK814*'Form Sa1'!JIK816/10)-'NF - 5 Power Mix'!JIH21-'NF - 5 Power Mix'!JIH22</f>
        <v>0</v>
      </c>
      <c r="JII42" s="1046">
        <f>JII38+((JII40+'NF - 5 Power Mix'!JII14+'NF - 5 Power Mix'!JII15)*860/10)+((('Form Sa1'!JIL835)*860)/10)+('Form Sa1'!JIL814*'Form Sa1'!JIL816/10)-'NF - 5 Power Mix'!JII21-'NF - 5 Power Mix'!JII22</f>
        <v>0</v>
      </c>
      <c r="JIJ42" s="1046">
        <f>JIJ38+((JIJ40+'NF - 5 Power Mix'!JIJ14+'NF - 5 Power Mix'!JIJ15)*860/10)+((('Form Sa1'!JIM835)*860)/10)+('Form Sa1'!JIM814*'Form Sa1'!JIM816/10)-'NF - 5 Power Mix'!JIJ21-'NF - 5 Power Mix'!JIJ22</f>
        <v>0</v>
      </c>
      <c r="JIK42" s="1046">
        <f>JIK38+((JIK40+'NF - 5 Power Mix'!JIK14+'NF - 5 Power Mix'!JIK15)*860/10)+((('Form Sa1'!JIN835)*860)/10)+('Form Sa1'!JIN814*'Form Sa1'!JIN816/10)-'NF - 5 Power Mix'!JIK21-'NF - 5 Power Mix'!JIK22</f>
        <v>0</v>
      </c>
      <c r="JIL42" s="1046">
        <f>JIL38+((JIL40+'NF - 5 Power Mix'!JIL14+'NF - 5 Power Mix'!JIL15)*860/10)+((('Form Sa1'!JIO835)*860)/10)+('Form Sa1'!JIO814*'Form Sa1'!JIO816/10)-'NF - 5 Power Mix'!JIL21-'NF - 5 Power Mix'!JIL22</f>
        <v>0</v>
      </c>
      <c r="JIM42" s="1046">
        <f>JIM38+((JIM40+'NF - 5 Power Mix'!JIM14+'NF - 5 Power Mix'!JIM15)*860/10)+((('Form Sa1'!JIP835)*860)/10)+('Form Sa1'!JIP814*'Form Sa1'!JIP816/10)-'NF - 5 Power Mix'!JIM21-'NF - 5 Power Mix'!JIM22</f>
        <v>0</v>
      </c>
      <c r="JIN42" s="1046">
        <f>JIN38+((JIN40+'NF - 5 Power Mix'!JIN14+'NF - 5 Power Mix'!JIN15)*860/10)+((('Form Sa1'!JIQ835)*860)/10)+('Form Sa1'!JIQ814*'Form Sa1'!JIQ816/10)-'NF - 5 Power Mix'!JIN21-'NF - 5 Power Mix'!JIN22</f>
        <v>0</v>
      </c>
      <c r="JIO42" s="1046">
        <f>JIO38+((JIO40+'NF - 5 Power Mix'!JIO14+'NF - 5 Power Mix'!JIO15)*860/10)+((('Form Sa1'!JIR835)*860)/10)+('Form Sa1'!JIR814*'Form Sa1'!JIR816/10)-'NF - 5 Power Mix'!JIO21-'NF - 5 Power Mix'!JIO22</f>
        <v>0</v>
      </c>
      <c r="JIP42" s="1046">
        <f>JIP38+((JIP40+'NF - 5 Power Mix'!JIP14+'NF - 5 Power Mix'!JIP15)*860/10)+((('Form Sa1'!JIS835)*860)/10)+('Form Sa1'!JIS814*'Form Sa1'!JIS816/10)-'NF - 5 Power Mix'!JIP21-'NF - 5 Power Mix'!JIP22</f>
        <v>0</v>
      </c>
      <c r="JIQ42" s="1046">
        <f>JIQ38+((JIQ40+'NF - 5 Power Mix'!JIQ14+'NF - 5 Power Mix'!JIQ15)*860/10)+((('Form Sa1'!JIT835)*860)/10)+('Form Sa1'!JIT814*'Form Sa1'!JIT816/10)-'NF - 5 Power Mix'!JIQ21-'NF - 5 Power Mix'!JIQ22</f>
        <v>0</v>
      </c>
      <c r="JIR42" s="1046">
        <f>JIR38+((JIR40+'NF - 5 Power Mix'!JIR14+'NF - 5 Power Mix'!JIR15)*860/10)+((('Form Sa1'!JIU835)*860)/10)+('Form Sa1'!JIU814*'Form Sa1'!JIU816/10)-'NF - 5 Power Mix'!JIR21-'NF - 5 Power Mix'!JIR22</f>
        <v>0</v>
      </c>
      <c r="JIS42" s="1046">
        <f>JIS38+((JIS40+'NF - 5 Power Mix'!JIS14+'NF - 5 Power Mix'!JIS15)*860/10)+((('Form Sa1'!JIV835)*860)/10)+('Form Sa1'!JIV814*'Form Sa1'!JIV816/10)-'NF - 5 Power Mix'!JIS21-'NF - 5 Power Mix'!JIS22</f>
        <v>0</v>
      </c>
      <c r="JIT42" s="1046">
        <f>JIT38+((JIT40+'NF - 5 Power Mix'!JIT14+'NF - 5 Power Mix'!JIT15)*860/10)+((('Form Sa1'!JIW835)*860)/10)+('Form Sa1'!JIW814*'Form Sa1'!JIW816/10)-'NF - 5 Power Mix'!JIT21-'NF - 5 Power Mix'!JIT22</f>
        <v>0</v>
      </c>
      <c r="JIU42" s="1046">
        <f>JIU38+((JIU40+'NF - 5 Power Mix'!JIU14+'NF - 5 Power Mix'!JIU15)*860/10)+((('Form Sa1'!JIX835)*860)/10)+('Form Sa1'!JIX814*'Form Sa1'!JIX816/10)-'NF - 5 Power Mix'!JIU21-'NF - 5 Power Mix'!JIU22</f>
        <v>0</v>
      </c>
      <c r="JIV42" s="1046">
        <f>JIV38+((JIV40+'NF - 5 Power Mix'!JIV14+'NF - 5 Power Mix'!JIV15)*860/10)+((('Form Sa1'!JIY835)*860)/10)+('Form Sa1'!JIY814*'Form Sa1'!JIY816/10)-'NF - 5 Power Mix'!JIV21-'NF - 5 Power Mix'!JIV22</f>
        <v>0</v>
      </c>
      <c r="JIW42" s="1046">
        <f>JIW38+((JIW40+'NF - 5 Power Mix'!JIW14+'NF - 5 Power Mix'!JIW15)*860/10)+((('Form Sa1'!JIZ835)*860)/10)+('Form Sa1'!JIZ814*'Form Sa1'!JIZ816/10)-'NF - 5 Power Mix'!JIW21-'NF - 5 Power Mix'!JIW22</f>
        <v>0</v>
      </c>
      <c r="JIX42" s="1046">
        <f>JIX38+((JIX40+'NF - 5 Power Mix'!JIX14+'NF - 5 Power Mix'!JIX15)*860/10)+((('Form Sa1'!JJA835)*860)/10)+('Form Sa1'!JJA814*'Form Sa1'!JJA816/10)-'NF - 5 Power Mix'!JIX21-'NF - 5 Power Mix'!JIX22</f>
        <v>0</v>
      </c>
      <c r="JIY42" s="1046">
        <f>JIY38+((JIY40+'NF - 5 Power Mix'!JIY14+'NF - 5 Power Mix'!JIY15)*860/10)+((('Form Sa1'!JJB835)*860)/10)+('Form Sa1'!JJB814*'Form Sa1'!JJB816/10)-'NF - 5 Power Mix'!JIY21-'NF - 5 Power Mix'!JIY22</f>
        <v>0</v>
      </c>
      <c r="JIZ42" s="1046">
        <f>JIZ38+((JIZ40+'NF - 5 Power Mix'!JIZ14+'NF - 5 Power Mix'!JIZ15)*860/10)+((('Form Sa1'!JJC835)*860)/10)+('Form Sa1'!JJC814*'Form Sa1'!JJC816/10)-'NF - 5 Power Mix'!JIZ21-'NF - 5 Power Mix'!JIZ22</f>
        <v>0</v>
      </c>
      <c r="JJA42" s="1046">
        <f>JJA38+((JJA40+'NF - 5 Power Mix'!JJA14+'NF - 5 Power Mix'!JJA15)*860/10)+((('Form Sa1'!JJD835)*860)/10)+('Form Sa1'!JJD814*'Form Sa1'!JJD816/10)-'NF - 5 Power Mix'!JJA21-'NF - 5 Power Mix'!JJA22</f>
        <v>0</v>
      </c>
      <c r="JJB42" s="1046">
        <f>JJB38+((JJB40+'NF - 5 Power Mix'!JJB14+'NF - 5 Power Mix'!JJB15)*860/10)+((('Form Sa1'!JJE835)*860)/10)+('Form Sa1'!JJE814*'Form Sa1'!JJE816/10)-'NF - 5 Power Mix'!JJB21-'NF - 5 Power Mix'!JJB22</f>
        <v>0</v>
      </c>
      <c r="JJC42" s="1046">
        <f>JJC38+((JJC40+'NF - 5 Power Mix'!JJC14+'NF - 5 Power Mix'!JJC15)*860/10)+((('Form Sa1'!JJF835)*860)/10)+('Form Sa1'!JJF814*'Form Sa1'!JJF816/10)-'NF - 5 Power Mix'!JJC21-'NF - 5 Power Mix'!JJC22</f>
        <v>0</v>
      </c>
      <c r="JJD42" s="1046">
        <f>JJD38+((JJD40+'NF - 5 Power Mix'!JJD14+'NF - 5 Power Mix'!JJD15)*860/10)+((('Form Sa1'!JJG835)*860)/10)+('Form Sa1'!JJG814*'Form Sa1'!JJG816/10)-'NF - 5 Power Mix'!JJD21-'NF - 5 Power Mix'!JJD22</f>
        <v>0</v>
      </c>
      <c r="JJE42" s="1046">
        <f>JJE38+((JJE40+'NF - 5 Power Mix'!JJE14+'NF - 5 Power Mix'!JJE15)*860/10)+((('Form Sa1'!JJH835)*860)/10)+('Form Sa1'!JJH814*'Form Sa1'!JJH816/10)-'NF - 5 Power Mix'!JJE21-'NF - 5 Power Mix'!JJE22</f>
        <v>0</v>
      </c>
      <c r="JJF42" s="1046">
        <f>JJF38+((JJF40+'NF - 5 Power Mix'!JJF14+'NF - 5 Power Mix'!JJF15)*860/10)+((('Form Sa1'!JJI835)*860)/10)+('Form Sa1'!JJI814*'Form Sa1'!JJI816/10)-'NF - 5 Power Mix'!JJF21-'NF - 5 Power Mix'!JJF22</f>
        <v>0</v>
      </c>
      <c r="JJG42" s="1046">
        <f>JJG38+((JJG40+'NF - 5 Power Mix'!JJG14+'NF - 5 Power Mix'!JJG15)*860/10)+((('Form Sa1'!JJJ835)*860)/10)+('Form Sa1'!JJJ814*'Form Sa1'!JJJ816/10)-'NF - 5 Power Mix'!JJG21-'NF - 5 Power Mix'!JJG22</f>
        <v>0</v>
      </c>
      <c r="JJH42" s="1046">
        <f>JJH38+((JJH40+'NF - 5 Power Mix'!JJH14+'NF - 5 Power Mix'!JJH15)*860/10)+((('Form Sa1'!JJK835)*860)/10)+('Form Sa1'!JJK814*'Form Sa1'!JJK816/10)-'NF - 5 Power Mix'!JJH21-'NF - 5 Power Mix'!JJH22</f>
        <v>0</v>
      </c>
      <c r="JJI42" s="1046">
        <f>JJI38+((JJI40+'NF - 5 Power Mix'!JJI14+'NF - 5 Power Mix'!JJI15)*860/10)+((('Form Sa1'!JJL835)*860)/10)+('Form Sa1'!JJL814*'Form Sa1'!JJL816/10)-'NF - 5 Power Mix'!JJI21-'NF - 5 Power Mix'!JJI22</f>
        <v>0</v>
      </c>
      <c r="JJJ42" s="1046">
        <f>JJJ38+((JJJ40+'NF - 5 Power Mix'!JJJ14+'NF - 5 Power Mix'!JJJ15)*860/10)+((('Form Sa1'!JJM835)*860)/10)+('Form Sa1'!JJM814*'Form Sa1'!JJM816/10)-'NF - 5 Power Mix'!JJJ21-'NF - 5 Power Mix'!JJJ22</f>
        <v>0</v>
      </c>
      <c r="JJK42" s="1046">
        <f>JJK38+((JJK40+'NF - 5 Power Mix'!JJK14+'NF - 5 Power Mix'!JJK15)*860/10)+((('Form Sa1'!JJN835)*860)/10)+('Form Sa1'!JJN814*'Form Sa1'!JJN816/10)-'NF - 5 Power Mix'!JJK21-'NF - 5 Power Mix'!JJK22</f>
        <v>0</v>
      </c>
      <c r="JJL42" s="1046">
        <f>JJL38+((JJL40+'NF - 5 Power Mix'!JJL14+'NF - 5 Power Mix'!JJL15)*860/10)+((('Form Sa1'!JJO835)*860)/10)+('Form Sa1'!JJO814*'Form Sa1'!JJO816/10)-'NF - 5 Power Mix'!JJL21-'NF - 5 Power Mix'!JJL22</f>
        <v>0</v>
      </c>
      <c r="JJM42" s="1046">
        <f>JJM38+((JJM40+'NF - 5 Power Mix'!JJM14+'NF - 5 Power Mix'!JJM15)*860/10)+((('Form Sa1'!JJP835)*860)/10)+('Form Sa1'!JJP814*'Form Sa1'!JJP816/10)-'NF - 5 Power Mix'!JJM21-'NF - 5 Power Mix'!JJM22</f>
        <v>0</v>
      </c>
      <c r="JJN42" s="1046">
        <f>JJN38+((JJN40+'NF - 5 Power Mix'!JJN14+'NF - 5 Power Mix'!JJN15)*860/10)+((('Form Sa1'!JJQ835)*860)/10)+('Form Sa1'!JJQ814*'Form Sa1'!JJQ816/10)-'NF - 5 Power Mix'!JJN21-'NF - 5 Power Mix'!JJN22</f>
        <v>0</v>
      </c>
      <c r="JJO42" s="1046">
        <f>JJO38+((JJO40+'NF - 5 Power Mix'!JJO14+'NF - 5 Power Mix'!JJO15)*860/10)+((('Form Sa1'!JJR835)*860)/10)+('Form Sa1'!JJR814*'Form Sa1'!JJR816/10)-'NF - 5 Power Mix'!JJO21-'NF - 5 Power Mix'!JJO22</f>
        <v>0</v>
      </c>
      <c r="JJP42" s="1046">
        <f>JJP38+((JJP40+'NF - 5 Power Mix'!JJP14+'NF - 5 Power Mix'!JJP15)*860/10)+((('Form Sa1'!JJS835)*860)/10)+('Form Sa1'!JJS814*'Form Sa1'!JJS816/10)-'NF - 5 Power Mix'!JJP21-'NF - 5 Power Mix'!JJP22</f>
        <v>0</v>
      </c>
      <c r="JJQ42" s="1046">
        <f>JJQ38+((JJQ40+'NF - 5 Power Mix'!JJQ14+'NF - 5 Power Mix'!JJQ15)*860/10)+((('Form Sa1'!JJT835)*860)/10)+('Form Sa1'!JJT814*'Form Sa1'!JJT816/10)-'NF - 5 Power Mix'!JJQ21-'NF - 5 Power Mix'!JJQ22</f>
        <v>0</v>
      </c>
      <c r="JJR42" s="1046">
        <f>JJR38+((JJR40+'NF - 5 Power Mix'!JJR14+'NF - 5 Power Mix'!JJR15)*860/10)+((('Form Sa1'!JJU835)*860)/10)+('Form Sa1'!JJU814*'Form Sa1'!JJU816/10)-'NF - 5 Power Mix'!JJR21-'NF - 5 Power Mix'!JJR22</f>
        <v>0</v>
      </c>
      <c r="JJS42" s="1046">
        <f>JJS38+((JJS40+'NF - 5 Power Mix'!JJS14+'NF - 5 Power Mix'!JJS15)*860/10)+((('Form Sa1'!JJV835)*860)/10)+('Form Sa1'!JJV814*'Form Sa1'!JJV816/10)-'NF - 5 Power Mix'!JJS21-'NF - 5 Power Mix'!JJS22</f>
        <v>0</v>
      </c>
      <c r="JJT42" s="1046">
        <f>JJT38+((JJT40+'NF - 5 Power Mix'!JJT14+'NF - 5 Power Mix'!JJT15)*860/10)+((('Form Sa1'!JJW835)*860)/10)+('Form Sa1'!JJW814*'Form Sa1'!JJW816/10)-'NF - 5 Power Mix'!JJT21-'NF - 5 Power Mix'!JJT22</f>
        <v>0</v>
      </c>
      <c r="JJU42" s="1046">
        <f>JJU38+((JJU40+'NF - 5 Power Mix'!JJU14+'NF - 5 Power Mix'!JJU15)*860/10)+((('Form Sa1'!JJX835)*860)/10)+('Form Sa1'!JJX814*'Form Sa1'!JJX816/10)-'NF - 5 Power Mix'!JJU21-'NF - 5 Power Mix'!JJU22</f>
        <v>0</v>
      </c>
      <c r="JJV42" s="1046">
        <f>JJV38+((JJV40+'NF - 5 Power Mix'!JJV14+'NF - 5 Power Mix'!JJV15)*860/10)+((('Form Sa1'!JJY835)*860)/10)+('Form Sa1'!JJY814*'Form Sa1'!JJY816/10)-'NF - 5 Power Mix'!JJV21-'NF - 5 Power Mix'!JJV22</f>
        <v>0</v>
      </c>
      <c r="JJW42" s="1046">
        <f>JJW38+((JJW40+'NF - 5 Power Mix'!JJW14+'NF - 5 Power Mix'!JJW15)*860/10)+((('Form Sa1'!JJZ835)*860)/10)+('Form Sa1'!JJZ814*'Form Sa1'!JJZ816/10)-'NF - 5 Power Mix'!JJW21-'NF - 5 Power Mix'!JJW22</f>
        <v>0</v>
      </c>
      <c r="JJX42" s="1046">
        <f>JJX38+((JJX40+'NF - 5 Power Mix'!JJX14+'NF - 5 Power Mix'!JJX15)*860/10)+((('Form Sa1'!JKA835)*860)/10)+('Form Sa1'!JKA814*'Form Sa1'!JKA816/10)-'NF - 5 Power Mix'!JJX21-'NF - 5 Power Mix'!JJX22</f>
        <v>0</v>
      </c>
      <c r="JJY42" s="1046">
        <f>JJY38+((JJY40+'NF - 5 Power Mix'!JJY14+'NF - 5 Power Mix'!JJY15)*860/10)+((('Form Sa1'!JKB835)*860)/10)+('Form Sa1'!JKB814*'Form Sa1'!JKB816/10)-'NF - 5 Power Mix'!JJY21-'NF - 5 Power Mix'!JJY22</f>
        <v>0</v>
      </c>
      <c r="JJZ42" s="1046">
        <f>JJZ38+((JJZ40+'NF - 5 Power Mix'!JJZ14+'NF - 5 Power Mix'!JJZ15)*860/10)+((('Form Sa1'!JKC835)*860)/10)+('Form Sa1'!JKC814*'Form Sa1'!JKC816/10)-'NF - 5 Power Mix'!JJZ21-'NF - 5 Power Mix'!JJZ22</f>
        <v>0</v>
      </c>
      <c r="JKA42" s="1046">
        <f>JKA38+((JKA40+'NF - 5 Power Mix'!JKA14+'NF - 5 Power Mix'!JKA15)*860/10)+((('Form Sa1'!JKD835)*860)/10)+('Form Sa1'!JKD814*'Form Sa1'!JKD816/10)-'NF - 5 Power Mix'!JKA21-'NF - 5 Power Mix'!JKA22</f>
        <v>0</v>
      </c>
      <c r="JKB42" s="1046">
        <f>JKB38+((JKB40+'NF - 5 Power Mix'!JKB14+'NF - 5 Power Mix'!JKB15)*860/10)+((('Form Sa1'!JKE835)*860)/10)+('Form Sa1'!JKE814*'Form Sa1'!JKE816/10)-'NF - 5 Power Mix'!JKB21-'NF - 5 Power Mix'!JKB22</f>
        <v>0</v>
      </c>
      <c r="JKC42" s="1046">
        <f>JKC38+((JKC40+'NF - 5 Power Mix'!JKC14+'NF - 5 Power Mix'!JKC15)*860/10)+((('Form Sa1'!JKF835)*860)/10)+('Form Sa1'!JKF814*'Form Sa1'!JKF816/10)-'NF - 5 Power Mix'!JKC21-'NF - 5 Power Mix'!JKC22</f>
        <v>0</v>
      </c>
      <c r="JKD42" s="1046">
        <f>JKD38+((JKD40+'NF - 5 Power Mix'!JKD14+'NF - 5 Power Mix'!JKD15)*860/10)+((('Form Sa1'!JKG835)*860)/10)+('Form Sa1'!JKG814*'Form Sa1'!JKG816/10)-'NF - 5 Power Mix'!JKD21-'NF - 5 Power Mix'!JKD22</f>
        <v>0</v>
      </c>
      <c r="JKE42" s="1046">
        <f>JKE38+((JKE40+'NF - 5 Power Mix'!JKE14+'NF - 5 Power Mix'!JKE15)*860/10)+((('Form Sa1'!JKH835)*860)/10)+('Form Sa1'!JKH814*'Form Sa1'!JKH816/10)-'NF - 5 Power Mix'!JKE21-'NF - 5 Power Mix'!JKE22</f>
        <v>0</v>
      </c>
      <c r="JKF42" s="1046">
        <f>JKF38+((JKF40+'NF - 5 Power Mix'!JKF14+'NF - 5 Power Mix'!JKF15)*860/10)+((('Form Sa1'!JKI835)*860)/10)+('Form Sa1'!JKI814*'Form Sa1'!JKI816/10)-'NF - 5 Power Mix'!JKF21-'NF - 5 Power Mix'!JKF22</f>
        <v>0</v>
      </c>
      <c r="JKG42" s="1046">
        <f>JKG38+((JKG40+'NF - 5 Power Mix'!JKG14+'NF - 5 Power Mix'!JKG15)*860/10)+((('Form Sa1'!JKJ835)*860)/10)+('Form Sa1'!JKJ814*'Form Sa1'!JKJ816/10)-'NF - 5 Power Mix'!JKG21-'NF - 5 Power Mix'!JKG22</f>
        <v>0</v>
      </c>
      <c r="JKH42" s="1046">
        <f>JKH38+((JKH40+'NF - 5 Power Mix'!JKH14+'NF - 5 Power Mix'!JKH15)*860/10)+((('Form Sa1'!JKK835)*860)/10)+('Form Sa1'!JKK814*'Form Sa1'!JKK816/10)-'NF - 5 Power Mix'!JKH21-'NF - 5 Power Mix'!JKH22</f>
        <v>0</v>
      </c>
      <c r="JKI42" s="1046">
        <f>JKI38+((JKI40+'NF - 5 Power Mix'!JKI14+'NF - 5 Power Mix'!JKI15)*860/10)+((('Form Sa1'!JKL835)*860)/10)+('Form Sa1'!JKL814*'Form Sa1'!JKL816/10)-'NF - 5 Power Mix'!JKI21-'NF - 5 Power Mix'!JKI22</f>
        <v>0</v>
      </c>
      <c r="JKJ42" s="1046">
        <f>JKJ38+((JKJ40+'NF - 5 Power Mix'!JKJ14+'NF - 5 Power Mix'!JKJ15)*860/10)+((('Form Sa1'!JKM835)*860)/10)+('Form Sa1'!JKM814*'Form Sa1'!JKM816/10)-'NF - 5 Power Mix'!JKJ21-'NF - 5 Power Mix'!JKJ22</f>
        <v>0</v>
      </c>
      <c r="JKK42" s="1046">
        <f>JKK38+((JKK40+'NF - 5 Power Mix'!JKK14+'NF - 5 Power Mix'!JKK15)*860/10)+((('Form Sa1'!JKN835)*860)/10)+('Form Sa1'!JKN814*'Form Sa1'!JKN816/10)-'NF - 5 Power Mix'!JKK21-'NF - 5 Power Mix'!JKK22</f>
        <v>0</v>
      </c>
      <c r="JKL42" s="1046">
        <f>JKL38+((JKL40+'NF - 5 Power Mix'!JKL14+'NF - 5 Power Mix'!JKL15)*860/10)+((('Form Sa1'!JKO835)*860)/10)+('Form Sa1'!JKO814*'Form Sa1'!JKO816/10)-'NF - 5 Power Mix'!JKL21-'NF - 5 Power Mix'!JKL22</f>
        <v>0</v>
      </c>
      <c r="JKM42" s="1046">
        <f>JKM38+((JKM40+'NF - 5 Power Mix'!JKM14+'NF - 5 Power Mix'!JKM15)*860/10)+((('Form Sa1'!JKP835)*860)/10)+('Form Sa1'!JKP814*'Form Sa1'!JKP816/10)-'NF - 5 Power Mix'!JKM21-'NF - 5 Power Mix'!JKM22</f>
        <v>0</v>
      </c>
      <c r="JKN42" s="1046">
        <f>JKN38+((JKN40+'NF - 5 Power Mix'!JKN14+'NF - 5 Power Mix'!JKN15)*860/10)+((('Form Sa1'!JKQ835)*860)/10)+('Form Sa1'!JKQ814*'Form Sa1'!JKQ816/10)-'NF - 5 Power Mix'!JKN21-'NF - 5 Power Mix'!JKN22</f>
        <v>0</v>
      </c>
      <c r="JKO42" s="1046">
        <f>JKO38+((JKO40+'NF - 5 Power Mix'!JKO14+'NF - 5 Power Mix'!JKO15)*860/10)+((('Form Sa1'!JKR835)*860)/10)+('Form Sa1'!JKR814*'Form Sa1'!JKR816/10)-'NF - 5 Power Mix'!JKO21-'NF - 5 Power Mix'!JKO22</f>
        <v>0</v>
      </c>
      <c r="JKP42" s="1046">
        <f>JKP38+((JKP40+'NF - 5 Power Mix'!JKP14+'NF - 5 Power Mix'!JKP15)*860/10)+((('Form Sa1'!JKS835)*860)/10)+('Form Sa1'!JKS814*'Form Sa1'!JKS816/10)-'NF - 5 Power Mix'!JKP21-'NF - 5 Power Mix'!JKP22</f>
        <v>0</v>
      </c>
      <c r="JKQ42" s="1046">
        <f>JKQ38+((JKQ40+'NF - 5 Power Mix'!JKQ14+'NF - 5 Power Mix'!JKQ15)*860/10)+((('Form Sa1'!JKT835)*860)/10)+('Form Sa1'!JKT814*'Form Sa1'!JKT816/10)-'NF - 5 Power Mix'!JKQ21-'NF - 5 Power Mix'!JKQ22</f>
        <v>0</v>
      </c>
      <c r="JKR42" s="1046">
        <f>JKR38+((JKR40+'NF - 5 Power Mix'!JKR14+'NF - 5 Power Mix'!JKR15)*860/10)+((('Form Sa1'!JKU835)*860)/10)+('Form Sa1'!JKU814*'Form Sa1'!JKU816/10)-'NF - 5 Power Mix'!JKR21-'NF - 5 Power Mix'!JKR22</f>
        <v>0</v>
      </c>
      <c r="JKS42" s="1046">
        <f>JKS38+((JKS40+'NF - 5 Power Mix'!JKS14+'NF - 5 Power Mix'!JKS15)*860/10)+((('Form Sa1'!JKV835)*860)/10)+('Form Sa1'!JKV814*'Form Sa1'!JKV816/10)-'NF - 5 Power Mix'!JKS21-'NF - 5 Power Mix'!JKS22</f>
        <v>0</v>
      </c>
      <c r="JKT42" s="1046">
        <f>JKT38+((JKT40+'NF - 5 Power Mix'!JKT14+'NF - 5 Power Mix'!JKT15)*860/10)+((('Form Sa1'!JKW835)*860)/10)+('Form Sa1'!JKW814*'Form Sa1'!JKW816/10)-'NF - 5 Power Mix'!JKT21-'NF - 5 Power Mix'!JKT22</f>
        <v>0</v>
      </c>
      <c r="JKU42" s="1046">
        <f>JKU38+((JKU40+'NF - 5 Power Mix'!JKU14+'NF - 5 Power Mix'!JKU15)*860/10)+((('Form Sa1'!JKX835)*860)/10)+('Form Sa1'!JKX814*'Form Sa1'!JKX816/10)-'NF - 5 Power Mix'!JKU21-'NF - 5 Power Mix'!JKU22</f>
        <v>0</v>
      </c>
      <c r="JKV42" s="1046">
        <f>JKV38+((JKV40+'NF - 5 Power Mix'!JKV14+'NF - 5 Power Mix'!JKV15)*860/10)+((('Form Sa1'!JKY835)*860)/10)+('Form Sa1'!JKY814*'Form Sa1'!JKY816/10)-'NF - 5 Power Mix'!JKV21-'NF - 5 Power Mix'!JKV22</f>
        <v>0</v>
      </c>
      <c r="JKW42" s="1046">
        <f>JKW38+((JKW40+'NF - 5 Power Mix'!JKW14+'NF - 5 Power Mix'!JKW15)*860/10)+((('Form Sa1'!JKZ835)*860)/10)+('Form Sa1'!JKZ814*'Form Sa1'!JKZ816/10)-'NF - 5 Power Mix'!JKW21-'NF - 5 Power Mix'!JKW22</f>
        <v>0</v>
      </c>
      <c r="JKX42" s="1046">
        <f>JKX38+((JKX40+'NF - 5 Power Mix'!JKX14+'NF - 5 Power Mix'!JKX15)*860/10)+((('Form Sa1'!JLA835)*860)/10)+('Form Sa1'!JLA814*'Form Sa1'!JLA816/10)-'NF - 5 Power Mix'!JKX21-'NF - 5 Power Mix'!JKX22</f>
        <v>0</v>
      </c>
      <c r="JKY42" s="1046">
        <f>JKY38+((JKY40+'NF - 5 Power Mix'!JKY14+'NF - 5 Power Mix'!JKY15)*860/10)+((('Form Sa1'!JLB835)*860)/10)+('Form Sa1'!JLB814*'Form Sa1'!JLB816/10)-'NF - 5 Power Mix'!JKY21-'NF - 5 Power Mix'!JKY22</f>
        <v>0</v>
      </c>
      <c r="JKZ42" s="1046">
        <f>JKZ38+((JKZ40+'NF - 5 Power Mix'!JKZ14+'NF - 5 Power Mix'!JKZ15)*860/10)+((('Form Sa1'!JLC835)*860)/10)+('Form Sa1'!JLC814*'Form Sa1'!JLC816/10)-'NF - 5 Power Mix'!JKZ21-'NF - 5 Power Mix'!JKZ22</f>
        <v>0</v>
      </c>
      <c r="JLA42" s="1046">
        <f>JLA38+((JLA40+'NF - 5 Power Mix'!JLA14+'NF - 5 Power Mix'!JLA15)*860/10)+((('Form Sa1'!JLD835)*860)/10)+('Form Sa1'!JLD814*'Form Sa1'!JLD816/10)-'NF - 5 Power Mix'!JLA21-'NF - 5 Power Mix'!JLA22</f>
        <v>0</v>
      </c>
      <c r="JLB42" s="1046">
        <f>JLB38+((JLB40+'NF - 5 Power Mix'!JLB14+'NF - 5 Power Mix'!JLB15)*860/10)+((('Form Sa1'!JLE835)*860)/10)+('Form Sa1'!JLE814*'Form Sa1'!JLE816/10)-'NF - 5 Power Mix'!JLB21-'NF - 5 Power Mix'!JLB22</f>
        <v>0</v>
      </c>
      <c r="JLC42" s="1046">
        <f>JLC38+((JLC40+'NF - 5 Power Mix'!JLC14+'NF - 5 Power Mix'!JLC15)*860/10)+((('Form Sa1'!JLF835)*860)/10)+('Form Sa1'!JLF814*'Form Sa1'!JLF816/10)-'NF - 5 Power Mix'!JLC21-'NF - 5 Power Mix'!JLC22</f>
        <v>0</v>
      </c>
      <c r="JLD42" s="1046">
        <f>JLD38+((JLD40+'NF - 5 Power Mix'!JLD14+'NF - 5 Power Mix'!JLD15)*860/10)+((('Form Sa1'!JLG835)*860)/10)+('Form Sa1'!JLG814*'Form Sa1'!JLG816/10)-'NF - 5 Power Mix'!JLD21-'NF - 5 Power Mix'!JLD22</f>
        <v>0</v>
      </c>
      <c r="JLE42" s="1046">
        <f>JLE38+((JLE40+'NF - 5 Power Mix'!JLE14+'NF - 5 Power Mix'!JLE15)*860/10)+((('Form Sa1'!JLH835)*860)/10)+('Form Sa1'!JLH814*'Form Sa1'!JLH816/10)-'NF - 5 Power Mix'!JLE21-'NF - 5 Power Mix'!JLE22</f>
        <v>0</v>
      </c>
      <c r="JLF42" s="1046">
        <f>JLF38+((JLF40+'NF - 5 Power Mix'!JLF14+'NF - 5 Power Mix'!JLF15)*860/10)+((('Form Sa1'!JLI835)*860)/10)+('Form Sa1'!JLI814*'Form Sa1'!JLI816/10)-'NF - 5 Power Mix'!JLF21-'NF - 5 Power Mix'!JLF22</f>
        <v>0</v>
      </c>
      <c r="JLG42" s="1046">
        <f>JLG38+((JLG40+'NF - 5 Power Mix'!JLG14+'NF - 5 Power Mix'!JLG15)*860/10)+((('Form Sa1'!JLJ835)*860)/10)+('Form Sa1'!JLJ814*'Form Sa1'!JLJ816/10)-'NF - 5 Power Mix'!JLG21-'NF - 5 Power Mix'!JLG22</f>
        <v>0</v>
      </c>
      <c r="JLH42" s="1046">
        <f>JLH38+((JLH40+'NF - 5 Power Mix'!JLH14+'NF - 5 Power Mix'!JLH15)*860/10)+((('Form Sa1'!JLK835)*860)/10)+('Form Sa1'!JLK814*'Form Sa1'!JLK816/10)-'NF - 5 Power Mix'!JLH21-'NF - 5 Power Mix'!JLH22</f>
        <v>0</v>
      </c>
      <c r="JLI42" s="1046">
        <f>JLI38+((JLI40+'NF - 5 Power Mix'!JLI14+'NF - 5 Power Mix'!JLI15)*860/10)+((('Form Sa1'!JLL835)*860)/10)+('Form Sa1'!JLL814*'Form Sa1'!JLL816/10)-'NF - 5 Power Mix'!JLI21-'NF - 5 Power Mix'!JLI22</f>
        <v>0</v>
      </c>
      <c r="JLJ42" s="1046">
        <f>JLJ38+((JLJ40+'NF - 5 Power Mix'!JLJ14+'NF - 5 Power Mix'!JLJ15)*860/10)+((('Form Sa1'!JLM835)*860)/10)+('Form Sa1'!JLM814*'Form Sa1'!JLM816/10)-'NF - 5 Power Mix'!JLJ21-'NF - 5 Power Mix'!JLJ22</f>
        <v>0</v>
      </c>
      <c r="JLK42" s="1046">
        <f>JLK38+((JLK40+'NF - 5 Power Mix'!JLK14+'NF - 5 Power Mix'!JLK15)*860/10)+((('Form Sa1'!JLN835)*860)/10)+('Form Sa1'!JLN814*'Form Sa1'!JLN816/10)-'NF - 5 Power Mix'!JLK21-'NF - 5 Power Mix'!JLK22</f>
        <v>0</v>
      </c>
      <c r="JLL42" s="1046">
        <f>JLL38+((JLL40+'NF - 5 Power Mix'!JLL14+'NF - 5 Power Mix'!JLL15)*860/10)+((('Form Sa1'!JLO835)*860)/10)+('Form Sa1'!JLO814*'Form Sa1'!JLO816/10)-'NF - 5 Power Mix'!JLL21-'NF - 5 Power Mix'!JLL22</f>
        <v>0</v>
      </c>
      <c r="JLM42" s="1046">
        <f>JLM38+((JLM40+'NF - 5 Power Mix'!JLM14+'NF - 5 Power Mix'!JLM15)*860/10)+((('Form Sa1'!JLP835)*860)/10)+('Form Sa1'!JLP814*'Form Sa1'!JLP816/10)-'NF - 5 Power Mix'!JLM21-'NF - 5 Power Mix'!JLM22</f>
        <v>0</v>
      </c>
      <c r="JLN42" s="1046">
        <f>JLN38+((JLN40+'NF - 5 Power Mix'!JLN14+'NF - 5 Power Mix'!JLN15)*860/10)+((('Form Sa1'!JLQ835)*860)/10)+('Form Sa1'!JLQ814*'Form Sa1'!JLQ816/10)-'NF - 5 Power Mix'!JLN21-'NF - 5 Power Mix'!JLN22</f>
        <v>0</v>
      </c>
      <c r="JLO42" s="1046">
        <f>JLO38+((JLO40+'NF - 5 Power Mix'!JLO14+'NF - 5 Power Mix'!JLO15)*860/10)+((('Form Sa1'!JLR835)*860)/10)+('Form Sa1'!JLR814*'Form Sa1'!JLR816/10)-'NF - 5 Power Mix'!JLO21-'NF - 5 Power Mix'!JLO22</f>
        <v>0</v>
      </c>
      <c r="JLP42" s="1046">
        <f>JLP38+((JLP40+'NF - 5 Power Mix'!JLP14+'NF - 5 Power Mix'!JLP15)*860/10)+((('Form Sa1'!JLS835)*860)/10)+('Form Sa1'!JLS814*'Form Sa1'!JLS816/10)-'NF - 5 Power Mix'!JLP21-'NF - 5 Power Mix'!JLP22</f>
        <v>0</v>
      </c>
      <c r="JLQ42" s="1046">
        <f>JLQ38+((JLQ40+'NF - 5 Power Mix'!JLQ14+'NF - 5 Power Mix'!JLQ15)*860/10)+((('Form Sa1'!JLT835)*860)/10)+('Form Sa1'!JLT814*'Form Sa1'!JLT816/10)-'NF - 5 Power Mix'!JLQ21-'NF - 5 Power Mix'!JLQ22</f>
        <v>0</v>
      </c>
      <c r="JLR42" s="1046">
        <f>JLR38+((JLR40+'NF - 5 Power Mix'!JLR14+'NF - 5 Power Mix'!JLR15)*860/10)+((('Form Sa1'!JLU835)*860)/10)+('Form Sa1'!JLU814*'Form Sa1'!JLU816/10)-'NF - 5 Power Mix'!JLR21-'NF - 5 Power Mix'!JLR22</f>
        <v>0</v>
      </c>
      <c r="JLS42" s="1046">
        <f>JLS38+((JLS40+'NF - 5 Power Mix'!JLS14+'NF - 5 Power Mix'!JLS15)*860/10)+((('Form Sa1'!JLV835)*860)/10)+('Form Sa1'!JLV814*'Form Sa1'!JLV816/10)-'NF - 5 Power Mix'!JLS21-'NF - 5 Power Mix'!JLS22</f>
        <v>0</v>
      </c>
      <c r="JLT42" s="1046">
        <f>JLT38+((JLT40+'NF - 5 Power Mix'!JLT14+'NF - 5 Power Mix'!JLT15)*860/10)+((('Form Sa1'!JLW835)*860)/10)+('Form Sa1'!JLW814*'Form Sa1'!JLW816/10)-'NF - 5 Power Mix'!JLT21-'NF - 5 Power Mix'!JLT22</f>
        <v>0</v>
      </c>
      <c r="JLU42" s="1046">
        <f>JLU38+((JLU40+'NF - 5 Power Mix'!JLU14+'NF - 5 Power Mix'!JLU15)*860/10)+((('Form Sa1'!JLX835)*860)/10)+('Form Sa1'!JLX814*'Form Sa1'!JLX816/10)-'NF - 5 Power Mix'!JLU21-'NF - 5 Power Mix'!JLU22</f>
        <v>0</v>
      </c>
      <c r="JLV42" s="1046">
        <f>JLV38+((JLV40+'NF - 5 Power Mix'!JLV14+'NF - 5 Power Mix'!JLV15)*860/10)+((('Form Sa1'!JLY835)*860)/10)+('Form Sa1'!JLY814*'Form Sa1'!JLY816/10)-'NF - 5 Power Mix'!JLV21-'NF - 5 Power Mix'!JLV22</f>
        <v>0</v>
      </c>
      <c r="JLW42" s="1046">
        <f>JLW38+((JLW40+'NF - 5 Power Mix'!JLW14+'NF - 5 Power Mix'!JLW15)*860/10)+((('Form Sa1'!JLZ835)*860)/10)+('Form Sa1'!JLZ814*'Form Sa1'!JLZ816/10)-'NF - 5 Power Mix'!JLW21-'NF - 5 Power Mix'!JLW22</f>
        <v>0</v>
      </c>
      <c r="JLX42" s="1046">
        <f>JLX38+((JLX40+'NF - 5 Power Mix'!JLX14+'NF - 5 Power Mix'!JLX15)*860/10)+((('Form Sa1'!JMA835)*860)/10)+('Form Sa1'!JMA814*'Form Sa1'!JMA816/10)-'NF - 5 Power Mix'!JLX21-'NF - 5 Power Mix'!JLX22</f>
        <v>0</v>
      </c>
      <c r="JLY42" s="1046">
        <f>JLY38+((JLY40+'NF - 5 Power Mix'!JLY14+'NF - 5 Power Mix'!JLY15)*860/10)+((('Form Sa1'!JMB835)*860)/10)+('Form Sa1'!JMB814*'Form Sa1'!JMB816/10)-'NF - 5 Power Mix'!JLY21-'NF - 5 Power Mix'!JLY22</f>
        <v>0</v>
      </c>
      <c r="JLZ42" s="1046">
        <f>JLZ38+((JLZ40+'NF - 5 Power Mix'!JLZ14+'NF - 5 Power Mix'!JLZ15)*860/10)+((('Form Sa1'!JMC835)*860)/10)+('Form Sa1'!JMC814*'Form Sa1'!JMC816/10)-'NF - 5 Power Mix'!JLZ21-'NF - 5 Power Mix'!JLZ22</f>
        <v>0</v>
      </c>
      <c r="JMA42" s="1046">
        <f>JMA38+((JMA40+'NF - 5 Power Mix'!JMA14+'NF - 5 Power Mix'!JMA15)*860/10)+((('Form Sa1'!JMD835)*860)/10)+('Form Sa1'!JMD814*'Form Sa1'!JMD816/10)-'NF - 5 Power Mix'!JMA21-'NF - 5 Power Mix'!JMA22</f>
        <v>0</v>
      </c>
      <c r="JMB42" s="1046">
        <f>JMB38+((JMB40+'NF - 5 Power Mix'!JMB14+'NF - 5 Power Mix'!JMB15)*860/10)+((('Form Sa1'!JME835)*860)/10)+('Form Sa1'!JME814*'Form Sa1'!JME816/10)-'NF - 5 Power Mix'!JMB21-'NF - 5 Power Mix'!JMB22</f>
        <v>0</v>
      </c>
      <c r="JMC42" s="1046">
        <f>JMC38+((JMC40+'NF - 5 Power Mix'!JMC14+'NF - 5 Power Mix'!JMC15)*860/10)+((('Form Sa1'!JMF835)*860)/10)+('Form Sa1'!JMF814*'Form Sa1'!JMF816/10)-'NF - 5 Power Mix'!JMC21-'NF - 5 Power Mix'!JMC22</f>
        <v>0</v>
      </c>
      <c r="JMD42" s="1046">
        <f>JMD38+((JMD40+'NF - 5 Power Mix'!JMD14+'NF - 5 Power Mix'!JMD15)*860/10)+((('Form Sa1'!JMG835)*860)/10)+('Form Sa1'!JMG814*'Form Sa1'!JMG816/10)-'NF - 5 Power Mix'!JMD21-'NF - 5 Power Mix'!JMD22</f>
        <v>0</v>
      </c>
      <c r="JME42" s="1046">
        <f>JME38+((JME40+'NF - 5 Power Mix'!JME14+'NF - 5 Power Mix'!JME15)*860/10)+((('Form Sa1'!JMH835)*860)/10)+('Form Sa1'!JMH814*'Form Sa1'!JMH816/10)-'NF - 5 Power Mix'!JME21-'NF - 5 Power Mix'!JME22</f>
        <v>0</v>
      </c>
      <c r="JMF42" s="1046">
        <f>JMF38+((JMF40+'NF - 5 Power Mix'!JMF14+'NF - 5 Power Mix'!JMF15)*860/10)+((('Form Sa1'!JMI835)*860)/10)+('Form Sa1'!JMI814*'Form Sa1'!JMI816/10)-'NF - 5 Power Mix'!JMF21-'NF - 5 Power Mix'!JMF22</f>
        <v>0</v>
      </c>
      <c r="JMG42" s="1046">
        <f>JMG38+((JMG40+'NF - 5 Power Mix'!JMG14+'NF - 5 Power Mix'!JMG15)*860/10)+((('Form Sa1'!JMJ835)*860)/10)+('Form Sa1'!JMJ814*'Form Sa1'!JMJ816/10)-'NF - 5 Power Mix'!JMG21-'NF - 5 Power Mix'!JMG22</f>
        <v>0</v>
      </c>
      <c r="JMH42" s="1046">
        <f>JMH38+((JMH40+'NF - 5 Power Mix'!JMH14+'NF - 5 Power Mix'!JMH15)*860/10)+((('Form Sa1'!JMK835)*860)/10)+('Form Sa1'!JMK814*'Form Sa1'!JMK816/10)-'NF - 5 Power Mix'!JMH21-'NF - 5 Power Mix'!JMH22</f>
        <v>0</v>
      </c>
      <c r="JMI42" s="1046">
        <f>JMI38+((JMI40+'NF - 5 Power Mix'!JMI14+'NF - 5 Power Mix'!JMI15)*860/10)+((('Form Sa1'!JML835)*860)/10)+('Form Sa1'!JML814*'Form Sa1'!JML816/10)-'NF - 5 Power Mix'!JMI21-'NF - 5 Power Mix'!JMI22</f>
        <v>0</v>
      </c>
      <c r="JMJ42" s="1046">
        <f>JMJ38+((JMJ40+'NF - 5 Power Mix'!JMJ14+'NF - 5 Power Mix'!JMJ15)*860/10)+((('Form Sa1'!JMM835)*860)/10)+('Form Sa1'!JMM814*'Form Sa1'!JMM816/10)-'NF - 5 Power Mix'!JMJ21-'NF - 5 Power Mix'!JMJ22</f>
        <v>0</v>
      </c>
      <c r="JMK42" s="1046">
        <f>JMK38+((JMK40+'NF - 5 Power Mix'!JMK14+'NF - 5 Power Mix'!JMK15)*860/10)+((('Form Sa1'!JMN835)*860)/10)+('Form Sa1'!JMN814*'Form Sa1'!JMN816/10)-'NF - 5 Power Mix'!JMK21-'NF - 5 Power Mix'!JMK22</f>
        <v>0</v>
      </c>
      <c r="JML42" s="1046">
        <f>JML38+((JML40+'NF - 5 Power Mix'!JML14+'NF - 5 Power Mix'!JML15)*860/10)+((('Form Sa1'!JMO835)*860)/10)+('Form Sa1'!JMO814*'Form Sa1'!JMO816/10)-'NF - 5 Power Mix'!JML21-'NF - 5 Power Mix'!JML22</f>
        <v>0</v>
      </c>
      <c r="JMM42" s="1046">
        <f>JMM38+((JMM40+'NF - 5 Power Mix'!JMM14+'NF - 5 Power Mix'!JMM15)*860/10)+((('Form Sa1'!JMP835)*860)/10)+('Form Sa1'!JMP814*'Form Sa1'!JMP816/10)-'NF - 5 Power Mix'!JMM21-'NF - 5 Power Mix'!JMM22</f>
        <v>0</v>
      </c>
      <c r="JMN42" s="1046">
        <f>JMN38+((JMN40+'NF - 5 Power Mix'!JMN14+'NF - 5 Power Mix'!JMN15)*860/10)+((('Form Sa1'!JMQ835)*860)/10)+('Form Sa1'!JMQ814*'Form Sa1'!JMQ816/10)-'NF - 5 Power Mix'!JMN21-'NF - 5 Power Mix'!JMN22</f>
        <v>0</v>
      </c>
      <c r="JMO42" s="1046">
        <f>JMO38+((JMO40+'NF - 5 Power Mix'!JMO14+'NF - 5 Power Mix'!JMO15)*860/10)+((('Form Sa1'!JMR835)*860)/10)+('Form Sa1'!JMR814*'Form Sa1'!JMR816/10)-'NF - 5 Power Mix'!JMO21-'NF - 5 Power Mix'!JMO22</f>
        <v>0</v>
      </c>
      <c r="JMP42" s="1046">
        <f>JMP38+((JMP40+'NF - 5 Power Mix'!JMP14+'NF - 5 Power Mix'!JMP15)*860/10)+((('Form Sa1'!JMS835)*860)/10)+('Form Sa1'!JMS814*'Form Sa1'!JMS816/10)-'NF - 5 Power Mix'!JMP21-'NF - 5 Power Mix'!JMP22</f>
        <v>0</v>
      </c>
      <c r="JMQ42" s="1046">
        <f>JMQ38+((JMQ40+'NF - 5 Power Mix'!JMQ14+'NF - 5 Power Mix'!JMQ15)*860/10)+((('Form Sa1'!JMT835)*860)/10)+('Form Sa1'!JMT814*'Form Sa1'!JMT816/10)-'NF - 5 Power Mix'!JMQ21-'NF - 5 Power Mix'!JMQ22</f>
        <v>0</v>
      </c>
      <c r="JMR42" s="1046">
        <f>JMR38+((JMR40+'NF - 5 Power Mix'!JMR14+'NF - 5 Power Mix'!JMR15)*860/10)+((('Form Sa1'!JMU835)*860)/10)+('Form Sa1'!JMU814*'Form Sa1'!JMU816/10)-'NF - 5 Power Mix'!JMR21-'NF - 5 Power Mix'!JMR22</f>
        <v>0</v>
      </c>
      <c r="JMS42" s="1046">
        <f>JMS38+((JMS40+'NF - 5 Power Mix'!JMS14+'NF - 5 Power Mix'!JMS15)*860/10)+((('Form Sa1'!JMV835)*860)/10)+('Form Sa1'!JMV814*'Form Sa1'!JMV816/10)-'NF - 5 Power Mix'!JMS21-'NF - 5 Power Mix'!JMS22</f>
        <v>0</v>
      </c>
      <c r="JMT42" s="1046">
        <f>JMT38+((JMT40+'NF - 5 Power Mix'!JMT14+'NF - 5 Power Mix'!JMT15)*860/10)+((('Form Sa1'!JMW835)*860)/10)+('Form Sa1'!JMW814*'Form Sa1'!JMW816/10)-'NF - 5 Power Mix'!JMT21-'NF - 5 Power Mix'!JMT22</f>
        <v>0</v>
      </c>
      <c r="JMU42" s="1046">
        <f>JMU38+((JMU40+'NF - 5 Power Mix'!JMU14+'NF - 5 Power Mix'!JMU15)*860/10)+((('Form Sa1'!JMX835)*860)/10)+('Form Sa1'!JMX814*'Form Sa1'!JMX816/10)-'NF - 5 Power Mix'!JMU21-'NF - 5 Power Mix'!JMU22</f>
        <v>0</v>
      </c>
      <c r="JMV42" s="1046">
        <f>JMV38+((JMV40+'NF - 5 Power Mix'!JMV14+'NF - 5 Power Mix'!JMV15)*860/10)+((('Form Sa1'!JMY835)*860)/10)+('Form Sa1'!JMY814*'Form Sa1'!JMY816/10)-'NF - 5 Power Mix'!JMV21-'NF - 5 Power Mix'!JMV22</f>
        <v>0</v>
      </c>
      <c r="JMW42" s="1046">
        <f>JMW38+((JMW40+'NF - 5 Power Mix'!JMW14+'NF - 5 Power Mix'!JMW15)*860/10)+((('Form Sa1'!JMZ835)*860)/10)+('Form Sa1'!JMZ814*'Form Sa1'!JMZ816/10)-'NF - 5 Power Mix'!JMW21-'NF - 5 Power Mix'!JMW22</f>
        <v>0</v>
      </c>
      <c r="JMX42" s="1046">
        <f>JMX38+((JMX40+'NF - 5 Power Mix'!JMX14+'NF - 5 Power Mix'!JMX15)*860/10)+((('Form Sa1'!JNA835)*860)/10)+('Form Sa1'!JNA814*'Form Sa1'!JNA816/10)-'NF - 5 Power Mix'!JMX21-'NF - 5 Power Mix'!JMX22</f>
        <v>0</v>
      </c>
      <c r="JMY42" s="1046">
        <f>JMY38+((JMY40+'NF - 5 Power Mix'!JMY14+'NF - 5 Power Mix'!JMY15)*860/10)+((('Form Sa1'!JNB835)*860)/10)+('Form Sa1'!JNB814*'Form Sa1'!JNB816/10)-'NF - 5 Power Mix'!JMY21-'NF - 5 Power Mix'!JMY22</f>
        <v>0</v>
      </c>
      <c r="JMZ42" s="1046">
        <f>JMZ38+((JMZ40+'NF - 5 Power Mix'!JMZ14+'NF - 5 Power Mix'!JMZ15)*860/10)+((('Form Sa1'!JNC835)*860)/10)+('Form Sa1'!JNC814*'Form Sa1'!JNC816/10)-'NF - 5 Power Mix'!JMZ21-'NF - 5 Power Mix'!JMZ22</f>
        <v>0</v>
      </c>
      <c r="JNA42" s="1046">
        <f>JNA38+((JNA40+'NF - 5 Power Mix'!JNA14+'NF - 5 Power Mix'!JNA15)*860/10)+((('Form Sa1'!JND835)*860)/10)+('Form Sa1'!JND814*'Form Sa1'!JND816/10)-'NF - 5 Power Mix'!JNA21-'NF - 5 Power Mix'!JNA22</f>
        <v>0</v>
      </c>
      <c r="JNB42" s="1046">
        <f>JNB38+((JNB40+'NF - 5 Power Mix'!JNB14+'NF - 5 Power Mix'!JNB15)*860/10)+((('Form Sa1'!JNE835)*860)/10)+('Form Sa1'!JNE814*'Form Sa1'!JNE816/10)-'NF - 5 Power Mix'!JNB21-'NF - 5 Power Mix'!JNB22</f>
        <v>0</v>
      </c>
      <c r="JNC42" s="1046">
        <f>JNC38+((JNC40+'NF - 5 Power Mix'!JNC14+'NF - 5 Power Mix'!JNC15)*860/10)+((('Form Sa1'!JNF835)*860)/10)+('Form Sa1'!JNF814*'Form Sa1'!JNF816/10)-'NF - 5 Power Mix'!JNC21-'NF - 5 Power Mix'!JNC22</f>
        <v>0</v>
      </c>
      <c r="JND42" s="1046">
        <f>JND38+((JND40+'NF - 5 Power Mix'!JND14+'NF - 5 Power Mix'!JND15)*860/10)+((('Form Sa1'!JNG835)*860)/10)+('Form Sa1'!JNG814*'Form Sa1'!JNG816/10)-'NF - 5 Power Mix'!JND21-'NF - 5 Power Mix'!JND22</f>
        <v>0</v>
      </c>
      <c r="JNE42" s="1046">
        <f>JNE38+((JNE40+'NF - 5 Power Mix'!JNE14+'NF - 5 Power Mix'!JNE15)*860/10)+((('Form Sa1'!JNH835)*860)/10)+('Form Sa1'!JNH814*'Form Sa1'!JNH816/10)-'NF - 5 Power Mix'!JNE21-'NF - 5 Power Mix'!JNE22</f>
        <v>0</v>
      </c>
      <c r="JNF42" s="1046">
        <f>JNF38+((JNF40+'NF - 5 Power Mix'!JNF14+'NF - 5 Power Mix'!JNF15)*860/10)+((('Form Sa1'!JNI835)*860)/10)+('Form Sa1'!JNI814*'Form Sa1'!JNI816/10)-'NF - 5 Power Mix'!JNF21-'NF - 5 Power Mix'!JNF22</f>
        <v>0</v>
      </c>
      <c r="JNG42" s="1046">
        <f>JNG38+((JNG40+'NF - 5 Power Mix'!JNG14+'NF - 5 Power Mix'!JNG15)*860/10)+((('Form Sa1'!JNJ835)*860)/10)+('Form Sa1'!JNJ814*'Form Sa1'!JNJ816/10)-'NF - 5 Power Mix'!JNG21-'NF - 5 Power Mix'!JNG22</f>
        <v>0</v>
      </c>
      <c r="JNH42" s="1046">
        <f>JNH38+((JNH40+'NF - 5 Power Mix'!JNH14+'NF - 5 Power Mix'!JNH15)*860/10)+((('Form Sa1'!JNK835)*860)/10)+('Form Sa1'!JNK814*'Form Sa1'!JNK816/10)-'NF - 5 Power Mix'!JNH21-'NF - 5 Power Mix'!JNH22</f>
        <v>0</v>
      </c>
      <c r="JNI42" s="1046">
        <f>JNI38+((JNI40+'NF - 5 Power Mix'!JNI14+'NF - 5 Power Mix'!JNI15)*860/10)+((('Form Sa1'!JNL835)*860)/10)+('Form Sa1'!JNL814*'Form Sa1'!JNL816/10)-'NF - 5 Power Mix'!JNI21-'NF - 5 Power Mix'!JNI22</f>
        <v>0</v>
      </c>
      <c r="JNJ42" s="1046">
        <f>JNJ38+((JNJ40+'NF - 5 Power Mix'!JNJ14+'NF - 5 Power Mix'!JNJ15)*860/10)+((('Form Sa1'!JNM835)*860)/10)+('Form Sa1'!JNM814*'Form Sa1'!JNM816/10)-'NF - 5 Power Mix'!JNJ21-'NF - 5 Power Mix'!JNJ22</f>
        <v>0</v>
      </c>
      <c r="JNK42" s="1046">
        <f>JNK38+((JNK40+'NF - 5 Power Mix'!JNK14+'NF - 5 Power Mix'!JNK15)*860/10)+((('Form Sa1'!JNN835)*860)/10)+('Form Sa1'!JNN814*'Form Sa1'!JNN816/10)-'NF - 5 Power Mix'!JNK21-'NF - 5 Power Mix'!JNK22</f>
        <v>0</v>
      </c>
      <c r="JNL42" s="1046">
        <f>JNL38+((JNL40+'NF - 5 Power Mix'!JNL14+'NF - 5 Power Mix'!JNL15)*860/10)+((('Form Sa1'!JNO835)*860)/10)+('Form Sa1'!JNO814*'Form Sa1'!JNO816/10)-'NF - 5 Power Mix'!JNL21-'NF - 5 Power Mix'!JNL22</f>
        <v>0</v>
      </c>
      <c r="JNM42" s="1046">
        <f>JNM38+((JNM40+'NF - 5 Power Mix'!JNM14+'NF - 5 Power Mix'!JNM15)*860/10)+((('Form Sa1'!JNP835)*860)/10)+('Form Sa1'!JNP814*'Form Sa1'!JNP816/10)-'NF - 5 Power Mix'!JNM21-'NF - 5 Power Mix'!JNM22</f>
        <v>0</v>
      </c>
      <c r="JNN42" s="1046">
        <f>JNN38+((JNN40+'NF - 5 Power Mix'!JNN14+'NF - 5 Power Mix'!JNN15)*860/10)+((('Form Sa1'!JNQ835)*860)/10)+('Form Sa1'!JNQ814*'Form Sa1'!JNQ816/10)-'NF - 5 Power Mix'!JNN21-'NF - 5 Power Mix'!JNN22</f>
        <v>0</v>
      </c>
      <c r="JNO42" s="1046">
        <f>JNO38+((JNO40+'NF - 5 Power Mix'!JNO14+'NF - 5 Power Mix'!JNO15)*860/10)+((('Form Sa1'!JNR835)*860)/10)+('Form Sa1'!JNR814*'Form Sa1'!JNR816/10)-'NF - 5 Power Mix'!JNO21-'NF - 5 Power Mix'!JNO22</f>
        <v>0</v>
      </c>
      <c r="JNP42" s="1046">
        <f>JNP38+((JNP40+'NF - 5 Power Mix'!JNP14+'NF - 5 Power Mix'!JNP15)*860/10)+((('Form Sa1'!JNS835)*860)/10)+('Form Sa1'!JNS814*'Form Sa1'!JNS816/10)-'NF - 5 Power Mix'!JNP21-'NF - 5 Power Mix'!JNP22</f>
        <v>0</v>
      </c>
      <c r="JNQ42" s="1046">
        <f>JNQ38+((JNQ40+'NF - 5 Power Mix'!JNQ14+'NF - 5 Power Mix'!JNQ15)*860/10)+((('Form Sa1'!JNT835)*860)/10)+('Form Sa1'!JNT814*'Form Sa1'!JNT816/10)-'NF - 5 Power Mix'!JNQ21-'NF - 5 Power Mix'!JNQ22</f>
        <v>0</v>
      </c>
      <c r="JNR42" s="1046">
        <f>JNR38+((JNR40+'NF - 5 Power Mix'!JNR14+'NF - 5 Power Mix'!JNR15)*860/10)+((('Form Sa1'!JNU835)*860)/10)+('Form Sa1'!JNU814*'Form Sa1'!JNU816/10)-'NF - 5 Power Mix'!JNR21-'NF - 5 Power Mix'!JNR22</f>
        <v>0</v>
      </c>
      <c r="JNS42" s="1046">
        <f>JNS38+((JNS40+'NF - 5 Power Mix'!JNS14+'NF - 5 Power Mix'!JNS15)*860/10)+((('Form Sa1'!JNV835)*860)/10)+('Form Sa1'!JNV814*'Form Sa1'!JNV816/10)-'NF - 5 Power Mix'!JNS21-'NF - 5 Power Mix'!JNS22</f>
        <v>0</v>
      </c>
      <c r="JNT42" s="1046">
        <f>JNT38+((JNT40+'NF - 5 Power Mix'!JNT14+'NF - 5 Power Mix'!JNT15)*860/10)+((('Form Sa1'!JNW835)*860)/10)+('Form Sa1'!JNW814*'Form Sa1'!JNW816/10)-'NF - 5 Power Mix'!JNT21-'NF - 5 Power Mix'!JNT22</f>
        <v>0</v>
      </c>
      <c r="JNU42" s="1046">
        <f>JNU38+((JNU40+'NF - 5 Power Mix'!JNU14+'NF - 5 Power Mix'!JNU15)*860/10)+((('Form Sa1'!JNX835)*860)/10)+('Form Sa1'!JNX814*'Form Sa1'!JNX816/10)-'NF - 5 Power Mix'!JNU21-'NF - 5 Power Mix'!JNU22</f>
        <v>0</v>
      </c>
      <c r="JNV42" s="1046">
        <f>JNV38+((JNV40+'NF - 5 Power Mix'!JNV14+'NF - 5 Power Mix'!JNV15)*860/10)+((('Form Sa1'!JNY835)*860)/10)+('Form Sa1'!JNY814*'Form Sa1'!JNY816/10)-'NF - 5 Power Mix'!JNV21-'NF - 5 Power Mix'!JNV22</f>
        <v>0</v>
      </c>
      <c r="JNW42" s="1046">
        <f>JNW38+((JNW40+'NF - 5 Power Mix'!JNW14+'NF - 5 Power Mix'!JNW15)*860/10)+((('Form Sa1'!JNZ835)*860)/10)+('Form Sa1'!JNZ814*'Form Sa1'!JNZ816/10)-'NF - 5 Power Mix'!JNW21-'NF - 5 Power Mix'!JNW22</f>
        <v>0</v>
      </c>
      <c r="JNX42" s="1046">
        <f>JNX38+((JNX40+'NF - 5 Power Mix'!JNX14+'NF - 5 Power Mix'!JNX15)*860/10)+((('Form Sa1'!JOA835)*860)/10)+('Form Sa1'!JOA814*'Form Sa1'!JOA816/10)-'NF - 5 Power Mix'!JNX21-'NF - 5 Power Mix'!JNX22</f>
        <v>0</v>
      </c>
      <c r="JNY42" s="1046">
        <f>JNY38+((JNY40+'NF - 5 Power Mix'!JNY14+'NF - 5 Power Mix'!JNY15)*860/10)+((('Form Sa1'!JOB835)*860)/10)+('Form Sa1'!JOB814*'Form Sa1'!JOB816/10)-'NF - 5 Power Mix'!JNY21-'NF - 5 Power Mix'!JNY22</f>
        <v>0</v>
      </c>
      <c r="JNZ42" s="1046">
        <f>JNZ38+((JNZ40+'NF - 5 Power Mix'!JNZ14+'NF - 5 Power Mix'!JNZ15)*860/10)+((('Form Sa1'!JOC835)*860)/10)+('Form Sa1'!JOC814*'Form Sa1'!JOC816/10)-'NF - 5 Power Mix'!JNZ21-'NF - 5 Power Mix'!JNZ22</f>
        <v>0</v>
      </c>
      <c r="JOA42" s="1046">
        <f>JOA38+((JOA40+'NF - 5 Power Mix'!JOA14+'NF - 5 Power Mix'!JOA15)*860/10)+((('Form Sa1'!JOD835)*860)/10)+('Form Sa1'!JOD814*'Form Sa1'!JOD816/10)-'NF - 5 Power Mix'!JOA21-'NF - 5 Power Mix'!JOA22</f>
        <v>0</v>
      </c>
      <c r="JOB42" s="1046">
        <f>JOB38+((JOB40+'NF - 5 Power Mix'!JOB14+'NF - 5 Power Mix'!JOB15)*860/10)+((('Form Sa1'!JOE835)*860)/10)+('Form Sa1'!JOE814*'Form Sa1'!JOE816/10)-'NF - 5 Power Mix'!JOB21-'NF - 5 Power Mix'!JOB22</f>
        <v>0</v>
      </c>
      <c r="JOC42" s="1046">
        <f>JOC38+((JOC40+'NF - 5 Power Mix'!JOC14+'NF - 5 Power Mix'!JOC15)*860/10)+((('Form Sa1'!JOF835)*860)/10)+('Form Sa1'!JOF814*'Form Sa1'!JOF816/10)-'NF - 5 Power Mix'!JOC21-'NF - 5 Power Mix'!JOC22</f>
        <v>0</v>
      </c>
      <c r="JOD42" s="1046">
        <f>JOD38+((JOD40+'NF - 5 Power Mix'!JOD14+'NF - 5 Power Mix'!JOD15)*860/10)+((('Form Sa1'!JOG835)*860)/10)+('Form Sa1'!JOG814*'Form Sa1'!JOG816/10)-'NF - 5 Power Mix'!JOD21-'NF - 5 Power Mix'!JOD22</f>
        <v>0</v>
      </c>
      <c r="JOE42" s="1046">
        <f>JOE38+((JOE40+'NF - 5 Power Mix'!JOE14+'NF - 5 Power Mix'!JOE15)*860/10)+((('Form Sa1'!JOH835)*860)/10)+('Form Sa1'!JOH814*'Form Sa1'!JOH816/10)-'NF - 5 Power Mix'!JOE21-'NF - 5 Power Mix'!JOE22</f>
        <v>0</v>
      </c>
      <c r="JOF42" s="1046">
        <f>JOF38+((JOF40+'NF - 5 Power Mix'!JOF14+'NF - 5 Power Mix'!JOF15)*860/10)+((('Form Sa1'!JOI835)*860)/10)+('Form Sa1'!JOI814*'Form Sa1'!JOI816/10)-'NF - 5 Power Mix'!JOF21-'NF - 5 Power Mix'!JOF22</f>
        <v>0</v>
      </c>
      <c r="JOG42" s="1046">
        <f>JOG38+((JOG40+'NF - 5 Power Mix'!JOG14+'NF - 5 Power Mix'!JOG15)*860/10)+((('Form Sa1'!JOJ835)*860)/10)+('Form Sa1'!JOJ814*'Form Sa1'!JOJ816/10)-'NF - 5 Power Mix'!JOG21-'NF - 5 Power Mix'!JOG22</f>
        <v>0</v>
      </c>
      <c r="JOH42" s="1046">
        <f>JOH38+((JOH40+'NF - 5 Power Mix'!JOH14+'NF - 5 Power Mix'!JOH15)*860/10)+((('Form Sa1'!JOK835)*860)/10)+('Form Sa1'!JOK814*'Form Sa1'!JOK816/10)-'NF - 5 Power Mix'!JOH21-'NF - 5 Power Mix'!JOH22</f>
        <v>0</v>
      </c>
      <c r="JOI42" s="1046">
        <f>JOI38+((JOI40+'NF - 5 Power Mix'!JOI14+'NF - 5 Power Mix'!JOI15)*860/10)+((('Form Sa1'!JOL835)*860)/10)+('Form Sa1'!JOL814*'Form Sa1'!JOL816/10)-'NF - 5 Power Mix'!JOI21-'NF - 5 Power Mix'!JOI22</f>
        <v>0</v>
      </c>
      <c r="JOJ42" s="1046">
        <f>JOJ38+((JOJ40+'NF - 5 Power Mix'!JOJ14+'NF - 5 Power Mix'!JOJ15)*860/10)+((('Form Sa1'!JOM835)*860)/10)+('Form Sa1'!JOM814*'Form Sa1'!JOM816/10)-'NF - 5 Power Mix'!JOJ21-'NF - 5 Power Mix'!JOJ22</f>
        <v>0</v>
      </c>
      <c r="JOK42" s="1046">
        <f>JOK38+((JOK40+'NF - 5 Power Mix'!JOK14+'NF - 5 Power Mix'!JOK15)*860/10)+((('Form Sa1'!JON835)*860)/10)+('Form Sa1'!JON814*'Form Sa1'!JON816/10)-'NF - 5 Power Mix'!JOK21-'NF - 5 Power Mix'!JOK22</f>
        <v>0</v>
      </c>
      <c r="JOL42" s="1046">
        <f>JOL38+((JOL40+'NF - 5 Power Mix'!JOL14+'NF - 5 Power Mix'!JOL15)*860/10)+((('Form Sa1'!JOO835)*860)/10)+('Form Sa1'!JOO814*'Form Sa1'!JOO816/10)-'NF - 5 Power Mix'!JOL21-'NF - 5 Power Mix'!JOL22</f>
        <v>0</v>
      </c>
      <c r="JOM42" s="1046">
        <f>JOM38+((JOM40+'NF - 5 Power Mix'!JOM14+'NF - 5 Power Mix'!JOM15)*860/10)+((('Form Sa1'!JOP835)*860)/10)+('Form Sa1'!JOP814*'Form Sa1'!JOP816/10)-'NF - 5 Power Mix'!JOM21-'NF - 5 Power Mix'!JOM22</f>
        <v>0</v>
      </c>
      <c r="JON42" s="1046">
        <f>JON38+((JON40+'NF - 5 Power Mix'!JON14+'NF - 5 Power Mix'!JON15)*860/10)+((('Form Sa1'!JOQ835)*860)/10)+('Form Sa1'!JOQ814*'Form Sa1'!JOQ816/10)-'NF - 5 Power Mix'!JON21-'NF - 5 Power Mix'!JON22</f>
        <v>0</v>
      </c>
      <c r="JOO42" s="1046">
        <f>JOO38+((JOO40+'NF - 5 Power Mix'!JOO14+'NF - 5 Power Mix'!JOO15)*860/10)+((('Form Sa1'!JOR835)*860)/10)+('Form Sa1'!JOR814*'Form Sa1'!JOR816/10)-'NF - 5 Power Mix'!JOO21-'NF - 5 Power Mix'!JOO22</f>
        <v>0</v>
      </c>
      <c r="JOP42" s="1046">
        <f>JOP38+((JOP40+'NF - 5 Power Mix'!JOP14+'NF - 5 Power Mix'!JOP15)*860/10)+((('Form Sa1'!JOS835)*860)/10)+('Form Sa1'!JOS814*'Form Sa1'!JOS816/10)-'NF - 5 Power Mix'!JOP21-'NF - 5 Power Mix'!JOP22</f>
        <v>0</v>
      </c>
      <c r="JOQ42" s="1046">
        <f>JOQ38+((JOQ40+'NF - 5 Power Mix'!JOQ14+'NF - 5 Power Mix'!JOQ15)*860/10)+((('Form Sa1'!JOT835)*860)/10)+('Form Sa1'!JOT814*'Form Sa1'!JOT816/10)-'NF - 5 Power Mix'!JOQ21-'NF - 5 Power Mix'!JOQ22</f>
        <v>0</v>
      </c>
      <c r="JOR42" s="1046">
        <f>JOR38+((JOR40+'NF - 5 Power Mix'!JOR14+'NF - 5 Power Mix'!JOR15)*860/10)+((('Form Sa1'!JOU835)*860)/10)+('Form Sa1'!JOU814*'Form Sa1'!JOU816/10)-'NF - 5 Power Mix'!JOR21-'NF - 5 Power Mix'!JOR22</f>
        <v>0</v>
      </c>
      <c r="JOS42" s="1046">
        <f>JOS38+((JOS40+'NF - 5 Power Mix'!JOS14+'NF - 5 Power Mix'!JOS15)*860/10)+((('Form Sa1'!JOV835)*860)/10)+('Form Sa1'!JOV814*'Form Sa1'!JOV816/10)-'NF - 5 Power Mix'!JOS21-'NF - 5 Power Mix'!JOS22</f>
        <v>0</v>
      </c>
      <c r="JOT42" s="1046">
        <f>JOT38+((JOT40+'NF - 5 Power Mix'!JOT14+'NF - 5 Power Mix'!JOT15)*860/10)+((('Form Sa1'!JOW835)*860)/10)+('Form Sa1'!JOW814*'Form Sa1'!JOW816/10)-'NF - 5 Power Mix'!JOT21-'NF - 5 Power Mix'!JOT22</f>
        <v>0</v>
      </c>
      <c r="JOU42" s="1046">
        <f>JOU38+((JOU40+'NF - 5 Power Mix'!JOU14+'NF - 5 Power Mix'!JOU15)*860/10)+((('Form Sa1'!JOX835)*860)/10)+('Form Sa1'!JOX814*'Form Sa1'!JOX816/10)-'NF - 5 Power Mix'!JOU21-'NF - 5 Power Mix'!JOU22</f>
        <v>0</v>
      </c>
      <c r="JOV42" s="1046">
        <f>JOV38+((JOV40+'NF - 5 Power Mix'!JOV14+'NF - 5 Power Mix'!JOV15)*860/10)+((('Form Sa1'!JOY835)*860)/10)+('Form Sa1'!JOY814*'Form Sa1'!JOY816/10)-'NF - 5 Power Mix'!JOV21-'NF - 5 Power Mix'!JOV22</f>
        <v>0</v>
      </c>
      <c r="JOW42" s="1046">
        <f>JOW38+((JOW40+'NF - 5 Power Mix'!JOW14+'NF - 5 Power Mix'!JOW15)*860/10)+((('Form Sa1'!JOZ835)*860)/10)+('Form Sa1'!JOZ814*'Form Sa1'!JOZ816/10)-'NF - 5 Power Mix'!JOW21-'NF - 5 Power Mix'!JOW22</f>
        <v>0</v>
      </c>
      <c r="JOX42" s="1046">
        <f>JOX38+((JOX40+'NF - 5 Power Mix'!JOX14+'NF - 5 Power Mix'!JOX15)*860/10)+((('Form Sa1'!JPA835)*860)/10)+('Form Sa1'!JPA814*'Form Sa1'!JPA816/10)-'NF - 5 Power Mix'!JOX21-'NF - 5 Power Mix'!JOX22</f>
        <v>0</v>
      </c>
      <c r="JOY42" s="1046">
        <f>JOY38+((JOY40+'NF - 5 Power Mix'!JOY14+'NF - 5 Power Mix'!JOY15)*860/10)+((('Form Sa1'!JPB835)*860)/10)+('Form Sa1'!JPB814*'Form Sa1'!JPB816/10)-'NF - 5 Power Mix'!JOY21-'NF - 5 Power Mix'!JOY22</f>
        <v>0</v>
      </c>
      <c r="JOZ42" s="1046">
        <f>JOZ38+((JOZ40+'NF - 5 Power Mix'!JOZ14+'NF - 5 Power Mix'!JOZ15)*860/10)+((('Form Sa1'!JPC835)*860)/10)+('Form Sa1'!JPC814*'Form Sa1'!JPC816/10)-'NF - 5 Power Mix'!JOZ21-'NF - 5 Power Mix'!JOZ22</f>
        <v>0</v>
      </c>
      <c r="JPA42" s="1046">
        <f>JPA38+((JPA40+'NF - 5 Power Mix'!JPA14+'NF - 5 Power Mix'!JPA15)*860/10)+((('Form Sa1'!JPD835)*860)/10)+('Form Sa1'!JPD814*'Form Sa1'!JPD816/10)-'NF - 5 Power Mix'!JPA21-'NF - 5 Power Mix'!JPA22</f>
        <v>0</v>
      </c>
      <c r="JPB42" s="1046">
        <f>JPB38+((JPB40+'NF - 5 Power Mix'!JPB14+'NF - 5 Power Mix'!JPB15)*860/10)+((('Form Sa1'!JPE835)*860)/10)+('Form Sa1'!JPE814*'Form Sa1'!JPE816/10)-'NF - 5 Power Mix'!JPB21-'NF - 5 Power Mix'!JPB22</f>
        <v>0</v>
      </c>
      <c r="JPC42" s="1046">
        <f>JPC38+((JPC40+'NF - 5 Power Mix'!JPC14+'NF - 5 Power Mix'!JPC15)*860/10)+((('Form Sa1'!JPF835)*860)/10)+('Form Sa1'!JPF814*'Form Sa1'!JPF816/10)-'NF - 5 Power Mix'!JPC21-'NF - 5 Power Mix'!JPC22</f>
        <v>0</v>
      </c>
      <c r="JPD42" s="1046">
        <f>JPD38+((JPD40+'NF - 5 Power Mix'!JPD14+'NF - 5 Power Mix'!JPD15)*860/10)+((('Form Sa1'!JPG835)*860)/10)+('Form Sa1'!JPG814*'Form Sa1'!JPG816/10)-'NF - 5 Power Mix'!JPD21-'NF - 5 Power Mix'!JPD22</f>
        <v>0</v>
      </c>
      <c r="JPE42" s="1046">
        <f>JPE38+((JPE40+'NF - 5 Power Mix'!JPE14+'NF - 5 Power Mix'!JPE15)*860/10)+((('Form Sa1'!JPH835)*860)/10)+('Form Sa1'!JPH814*'Form Sa1'!JPH816/10)-'NF - 5 Power Mix'!JPE21-'NF - 5 Power Mix'!JPE22</f>
        <v>0</v>
      </c>
      <c r="JPF42" s="1046">
        <f>JPF38+((JPF40+'NF - 5 Power Mix'!JPF14+'NF - 5 Power Mix'!JPF15)*860/10)+((('Form Sa1'!JPI835)*860)/10)+('Form Sa1'!JPI814*'Form Sa1'!JPI816/10)-'NF - 5 Power Mix'!JPF21-'NF - 5 Power Mix'!JPF22</f>
        <v>0</v>
      </c>
      <c r="JPG42" s="1046">
        <f>JPG38+((JPG40+'NF - 5 Power Mix'!JPG14+'NF - 5 Power Mix'!JPG15)*860/10)+((('Form Sa1'!JPJ835)*860)/10)+('Form Sa1'!JPJ814*'Form Sa1'!JPJ816/10)-'NF - 5 Power Mix'!JPG21-'NF - 5 Power Mix'!JPG22</f>
        <v>0</v>
      </c>
      <c r="JPH42" s="1046">
        <f>JPH38+((JPH40+'NF - 5 Power Mix'!JPH14+'NF - 5 Power Mix'!JPH15)*860/10)+((('Form Sa1'!JPK835)*860)/10)+('Form Sa1'!JPK814*'Form Sa1'!JPK816/10)-'NF - 5 Power Mix'!JPH21-'NF - 5 Power Mix'!JPH22</f>
        <v>0</v>
      </c>
      <c r="JPI42" s="1046">
        <f>JPI38+((JPI40+'NF - 5 Power Mix'!JPI14+'NF - 5 Power Mix'!JPI15)*860/10)+((('Form Sa1'!JPL835)*860)/10)+('Form Sa1'!JPL814*'Form Sa1'!JPL816/10)-'NF - 5 Power Mix'!JPI21-'NF - 5 Power Mix'!JPI22</f>
        <v>0</v>
      </c>
      <c r="JPJ42" s="1046">
        <f>JPJ38+((JPJ40+'NF - 5 Power Mix'!JPJ14+'NF - 5 Power Mix'!JPJ15)*860/10)+((('Form Sa1'!JPM835)*860)/10)+('Form Sa1'!JPM814*'Form Sa1'!JPM816/10)-'NF - 5 Power Mix'!JPJ21-'NF - 5 Power Mix'!JPJ22</f>
        <v>0</v>
      </c>
      <c r="JPK42" s="1046">
        <f>JPK38+((JPK40+'NF - 5 Power Mix'!JPK14+'NF - 5 Power Mix'!JPK15)*860/10)+((('Form Sa1'!JPN835)*860)/10)+('Form Sa1'!JPN814*'Form Sa1'!JPN816/10)-'NF - 5 Power Mix'!JPK21-'NF - 5 Power Mix'!JPK22</f>
        <v>0</v>
      </c>
      <c r="JPL42" s="1046">
        <f>JPL38+((JPL40+'NF - 5 Power Mix'!JPL14+'NF - 5 Power Mix'!JPL15)*860/10)+((('Form Sa1'!JPO835)*860)/10)+('Form Sa1'!JPO814*'Form Sa1'!JPO816/10)-'NF - 5 Power Mix'!JPL21-'NF - 5 Power Mix'!JPL22</f>
        <v>0</v>
      </c>
      <c r="JPM42" s="1046">
        <f>JPM38+((JPM40+'NF - 5 Power Mix'!JPM14+'NF - 5 Power Mix'!JPM15)*860/10)+((('Form Sa1'!JPP835)*860)/10)+('Form Sa1'!JPP814*'Form Sa1'!JPP816/10)-'NF - 5 Power Mix'!JPM21-'NF - 5 Power Mix'!JPM22</f>
        <v>0</v>
      </c>
      <c r="JPN42" s="1046">
        <f>JPN38+((JPN40+'NF - 5 Power Mix'!JPN14+'NF - 5 Power Mix'!JPN15)*860/10)+((('Form Sa1'!JPQ835)*860)/10)+('Form Sa1'!JPQ814*'Form Sa1'!JPQ816/10)-'NF - 5 Power Mix'!JPN21-'NF - 5 Power Mix'!JPN22</f>
        <v>0</v>
      </c>
      <c r="JPO42" s="1046">
        <f>JPO38+((JPO40+'NF - 5 Power Mix'!JPO14+'NF - 5 Power Mix'!JPO15)*860/10)+((('Form Sa1'!JPR835)*860)/10)+('Form Sa1'!JPR814*'Form Sa1'!JPR816/10)-'NF - 5 Power Mix'!JPO21-'NF - 5 Power Mix'!JPO22</f>
        <v>0</v>
      </c>
      <c r="JPP42" s="1046">
        <f>JPP38+((JPP40+'NF - 5 Power Mix'!JPP14+'NF - 5 Power Mix'!JPP15)*860/10)+((('Form Sa1'!JPS835)*860)/10)+('Form Sa1'!JPS814*'Form Sa1'!JPS816/10)-'NF - 5 Power Mix'!JPP21-'NF - 5 Power Mix'!JPP22</f>
        <v>0</v>
      </c>
      <c r="JPQ42" s="1046">
        <f>JPQ38+((JPQ40+'NF - 5 Power Mix'!JPQ14+'NF - 5 Power Mix'!JPQ15)*860/10)+((('Form Sa1'!JPT835)*860)/10)+('Form Sa1'!JPT814*'Form Sa1'!JPT816/10)-'NF - 5 Power Mix'!JPQ21-'NF - 5 Power Mix'!JPQ22</f>
        <v>0</v>
      </c>
      <c r="JPR42" s="1046">
        <f>JPR38+((JPR40+'NF - 5 Power Mix'!JPR14+'NF - 5 Power Mix'!JPR15)*860/10)+((('Form Sa1'!JPU835)*860)/10)+('Form Sa1'!JPU814*'Form Sa1'!JPU816/10)-'NF - 5 Power Mix'!JPR21-'NF - 5 Power Mix'!JPR22</f>
        <v>0</v>
      </c>
      <c r="JPS42" s="1046">
        <f>JPS38+((JPS40+'NF - 5 Power Mix'!JPS14+'NF - 5 Power Mix'!JPS15)*860/10)+((('Form Sa1'!JPV835)*860)/10)+('Form Sa1'!JPV814*'Form Sa1'!JPV816/10)-'NF - 5 Power Mix'!JPS21-'NF - 5 Power Mix'!JPS22</f>
        <v>0</v>
      </c>
      <c r="JPT42" s="1046">
        <f>JPT38+((JPT40+'NF - 5 Power Mix'!JPT14+'NF - 5 Power Mix'!JPT15)*860/10)+((('Form Sa1'!JPW835)*860)/10)+('Form Sa1'!JPW814*'Form Sa1'!JPW816/10)-'NF - 5 Power Mix'!JPT21-'NF - 5 Power Mix'!JPT22</f>
        <v>0</v>
      </c>
      <c r="JPU42" s="1046">
        <f>JPU38+((JPU40+'NF - 5 Power Mix'!JPU14+'NF - 5 Power Mix'!JPU15)*860/10)+((('Form Sa1'!JPX835)*860)/10)+('Form Sa1'!JPX814*'Form Sa1'!JPX816/10)-'NF - 5 Power Mix'!JPU21-'NF - 5 Power Mix'!JPU22</f>
        <v>0</v>
      </c>
      <c r="JPV42" s="1046">
        <f>JPV38+((JPV40+'NF - 5 Power Mix'!JPV14+'NF - 5 Power Mix'!JPV15)*860/10)+((('Form Sa1'!JPY835)*860)/10)+('Form Sa1'!JPY814*'Form Sa1'!JPY816/10)-'NF - 5 Power Mix'!JPV21-'NF - 5 Power Mix'!JPV22</f>
        <v>0</v>
      </c>
      <c r="JPW42" s="1046">
        <f>JPW38+((JPW40+'NF - 5 Power Mix'!JPW14+'NF - 5 Power Mix'!JPW15)*860/10)+((('Form Sa1'!JPZ835)*860)/10)+('Form Sa1'!JPZ814*'Form Sa1'!JPZ816/10)-'NF - 5 Power Mix'!JPW21-'NF - 5 Power Mix'!JPW22</f>
        <v>0</v>
      </c>
      <c r="JPX42" s="1046">
        <f>JPX38+((JPX40+'NF - 5 Power Mix'!JPX14+'NF - 5 Power Mix'!JPX15)*860/10)+((('Form Sa1'!JQA835)*860)/10)+('Form Sa1'!JQA814*'Form Sa1'!JQA816/10)-'NF - 5 Power Mix'!JPX21-'NF - 5 Power Mix'!JPX22</f>
        <v>0</v>
      </c>
      <c r="JPY42" s="1046">
        <f>JPY38+((JPY40+'NF - 5 Power Mix'!JPY14+'NF - 5 Power Mix'!JPY15)*860/10)+((('Form Sa1'!JQB835)*860)/10)+('Form Sa1'!JQB814*'Form Sa1'!JQB816/10)-'NF - 5 Power Mix'!JPY21-'NF - 5 Power Mix'!JPY22</f>
        <v>0</v>
      </c>
      <c r="JPZ42" s="1046">
        <f>JPZ38+((JPZ40+'NF - 5 Power Mix'!JPZ14+'NF - 5 Power Mix'!JPZ15)*860/10)+((('Form Sa1'!JQC835)*860)/10)+('Form Sa1'!JQC814*'Form Sa1'!JQC816/10)-'NF - 5 Power Mix'!JPZ21-'NF - 5 Power Mix'!JPZ22</f>
        <v>0</v>
      </c>
      <c r="JQA42" s="1046">
        <f>JQA38+((JQA40+'NF - 5 Power Mix'!JQA14+'NF - 5 Power Mix'!JQA15)*860/10)+((('Form Sa1'!JQD835)*860)/10)+('Form Sa1'!JQD814*'Form Sa1'!JQD816/10)-'NF - 5 Power Mix'!JQA21-'NF - 5 Power Mix'!JQA22</f>
        <v>0</v>
      </c>
      <c r="JQB42" s="1046">
        <f>JQB38+((JQB40+'NF - 5 Power Mix'!JQB14+'NF - 5 Power Mix'!JQB15)*860/10)+((('Form Sa1'!JQE835)*860)/10)+('Form Sa1'!JQE814*'Form Sa1'!JQE816/10)-'NF - 5 Power Mix'!JQB21-'NF - 5 Power Mix'!JQB22</f>
        <v>0</v>
      </c>
      <c r="JQC42" s="1046">
        <f>JQC38+((JQC40+'NF - 5 Power Mix'!JQC14+'NF - 5 Power Mix'!JQC15)*860/10)+((('Form Sa1'!JQF835)*860)/10)+('Form Sa1'!JQF814*'Form Sa1'!JQF816/10)-'NF - 5 Power Mix'!JQC21-'NF - 5 Power Mix'!JQC22</f>
        <v>0</v>
      </c>
      <c r="JQD42" s="1046">
        <f>JQD38+((JQD40+'NF - 5 Power Mix'!JQD14+'NF - 5 Power Mix'!JQD15)*860/10)+((('Form Sa1'!JQG835)*860)/10)+('Form Sa1'!JQG814*'Form Sa1'!JQG816/10)-'NF - 5 Power Mix'!JQD21-'NF - 5 Power Mix'!JQD22</f>
        <v>0</v>
      </c>
      <c r="JQE42" s="1046">
        <f>JQE38+((JQE40+'NF - 5 Power Mix'!JQE14+'NF - 5 Power Mix'!JQE15)*860/10)+((('Form Sa1'!JQH835)*860)/10)+('Form Sa1'!JQH814*'Form Sa1'!JQH816/10)-'NF - 5 Power Mix'!JQE21-'NF - 5 Power Mix'!JQE22</f>
        <v>0</v>
      </c>
      <c r="JQF42" s="1046">
        <f>JQF38+((JQF40+'NF - 5 Power Mix'!JQF14+'NF - 5 Power Mix'!JQF15)*860/10)+((('Form Sa1'!JQI835)*860)/10)+('Form Sa1'!JQI814*'Form Sa1'!JQI816/10)-'NF - 5 Power Mix'!JQF21-'NF - 5 Power Mix'!JQF22</f>
        <v>0</v>
      </c>
      <c r="JQG42" s="1046">
        <f>JQG38+((JQG40+'NF - 5 Power Mix'!JQG14+'NF - 5 Power Mix'!JQG15)*860/10)+((('Form Sa1'!JQJ835)*860)/10)+('Form Sa1'!JQJ814*'Form Sa1'!JQJ816/10)-'NF - 5 Power Mix'!JQG21-'NF - 5 Power Mix'!JQG22</f>
        <v>0</v>
      </c>
      <c r="JQH42" s="1046">
        <f>JQH38+((JQH40+'NF - 5 Power Mix'!JQH14+'NF - 5 Power Mix'!JQH15)*860/10)+((('Form Sa1'!JQK835)*860)/10)+('Form Sa1'!JQK814*'Form Sa1'!JQK816/10)-'NF - 5 Power Mix'!JQH21-'NF - 5 Power Mix'!JQH22</f>
        <v>0</v>
      </c>
      <c r="JQI42" s="1046">
        <f>JQI38+((JQI40+'NF - 5 Power Mix'!JQI14+'NF - 5 Power Mix'!JQI15)*860/10)+((('Form Sa1'!JQL835)*860)/10)+('Form Sa1'!JQL814*'Form Sa1'!JQL816/10)-'NF - 5 Power Mix'!JQI21-'NF - 5 Power Mix'!JQI22</f>
        <v>0</v>
      </c>
      <c r="JQJ42" s="1046">
        <f>JQJ38+((JQJ40+'NF - 5 Power Mix'!JQJ14+'NF - 5 Power Mix'!JQJ15)*860/10)+((('Form Sa1'!JQM835)*860)/10)+('Form Sa1'!JQM814*'Form Sa1'!JQM816/10)-'NF - 5 Power Mix'!JQJ21-'NF - 5 Power Mix'!JQJ22</f>
        <v>0</v>
      </c>
      <c r="JQK42" s="1046">
        <f>JQK38+((JQK40+'NF - 5 Power Mix'!JQK14+'NF - 5 Power Mix'!JQK15)*860/10)+((('Form Sa1'!JQN835)*860)/10)+('Form Sa1'!JQN814*'Form Sa1'!JQN816/10)-'NF - 5 Power Mix'!JQK21-'NF - 5 Power Mix'!JQK22</f>
        <v>0</v>
      </c>
      <c r="JQL42" s="1046">
        <f>JQL38+((JQL40+'NF - 5 Power Mix'!JQL14+'NF - 5 Power Mix'!JQL15)*860/10)+((('Form Sa1'!JQO835)*860)/10)+('Form Sa1'!JQO814*'Form Sa1'!JQO816/10)-'NF - 5 Power Mix'!JQL21-'NF - 5 Power Mix'!JQL22</f>
        <v>0</v>
      </c>
      <c r="JQM42" s="1046">
        <f>JQM38+((JQM40+'NF - 5 Power Mix'!JQM14+'NF - 5 Power Mix'!JQM15)*860/10)+((('Form Sa1'!JQP835)*860)/10)+('Form Sa1'!JQP814*'Form Sa1'!JQP816/10)-'NF - 5 Power Mix'!JQM21-'NF - 5 Power Mix'!JQM22</f>
        <v>0</v>
      </c>
      <c r="JQN42" s="1046">
        <f>JQN38+((JQN40+'NF - 5 Power Mix'!JQN14+'NF - 5 Power Mix'!JQN15)*860/10)+((('Form Sa1'!JQQ835)*860)/10)+('Form Sa1'!JQQ814*'Form Sa1'!JQQ816/10)-'NF - 5 Power Mix'!JQN21-'NF - 5 Power Mix'!JQN22</f>
        <v>0</v>
      </c>
      <c r="JQO42" s="1046">
        <f>JQO38+((JQO40+'NF - 5 Power Mix'!JQO14+'NF - 5 Power Mix'!JQO15)*860/10)+((('Form Sa1'!JQR835)*860)/10)+('Form Sa1'!JQR814*'Form Sa1'!JQR816/10)-'NF - 5 Power Mix'!JQO21-'NF - 5 Power Mix'!JQO22</f>
        <v>0</v>
      </c>
      <c r="JQP42" s="1046">
        <f>JQP38+((JQP40+'NF - 5 Power Mix'!JQP14+'NF - 5 Power Mix'!JQP15)*860/10)+((('Form Sa1'!JQS835)*860)/10)+('Form Sa1'!JQS814*'Form Sa1'!JQS816/10)-'NF - 5 Power Mix'!JQP21-'NF - 5 Power Mix'!JQP22</f>
        <v>0</v>
      </c>
      <c r="JQQ42" s="1046">
        <f>JQQ38+((JQQ40+'NF - 5 Power Mix'!JQQ14+'NF - 5 Power Mix'!JQQ15)*860/10)+((('Form Sa1'!JQT835)*860)/10)+('Form Sa1'!JQT814*'Form Sa1'!JQT816/10)-'NF - 5 Power Mix'!JQQ21-'NF - 5 Power Mix'!JQQ22</f>
        <v>0</v>
      </c>
      <c r="JQR42" s="1046">
        <f>JQR38+((JQR40+'NF - 5 Power Mix'!JQR14+'NF - 5 Power Mix'!JQR15)*860/10)+((('Form Sa1'!JQU835)*860)/10)+('Form Sa1'!JQU814*'Form Sa1'!JQU816/10)-'NF - 5 Power Mix'!JQR21-'NF - 5 Power Mix'!JQR22</f>
        <v>0</v>
      </c>
      <c r="JQS42" s="1046">
        <f>JQS38+((JQS40+'NF - 5 Power Mix'!JQS14+'NF - 5 Power Mix'!JQS15)*860/10)+((('Form Sa1'!JQV835)*860)/10)+('Form Sa1'!JQV814*'Form Sa1'!JQV816/10)-'NF - 5 Power Mix'!JQS21-'NF - 5 Power Mix'!JQS22</f>
        <v>0</v>
      </c>
      <c r="JQT42" s="1046">
        <f>JQT38+((JQT40+'NF - 5 Power Mix'!JQT14+'NF - 5 Power Mix'!JQT15)*860/10)+((('Form Sa1'!JQW835)*860)/10)+('Form Sa1'!JQW814*'Form Sa1'!JQW816/10)-'NF - 5 Power Mix'!JQT21-'NF - 5 Power Mix'!JQT22</f>
        <v>0</v>
      </c>
      <c r="JQU42" s="1046">
        <f>JQU38+((JQU40+'NF - 5 Power Mix'!JQU14+'NF - 5 Power Mix'!JQU15)*860/10)+((('Form Sa1'!JQX835)*860)/10)+('Form Sa1'!JQX814*'Form Sa1'!JQX816/10)-'NF - 5 Power Mix'!JQU21-'NF - 5 Power Mix'!JQU22</f>
        <v>0</v>
      </c>
      <c r="JQV42" s="1046">
        <f>JQV38+((JQV40+'NF - 5 Power Mix'!JQV14+'NF - 5 Power Mix'!JQV15)*860/10)+((('Form Sa1'!JQY835)*860)/10)+('Form Sa1'!JQY814*'Form Sa1'!JQY816/10)-'NF - 5 Power Mix'!JQV21-'NF - 5 Power Mix'!JQV22</f>
        <v>0</v>
      </c>
      <c r="JQW42" s="1046">
        <f>JQW38+((JQW40+'NF - 5 Power Mix'!JQW14+'NF - 5 Power Mix'!JQW15)*860/10)+((('Form Sa1'!JQZ835)*860)/10)+('Form Sa1'!JQZ814*'Form Sa1'!JQZ816/10)-'NF - 5 Power Mix'!JQW21-'NF - 5 Power Mix'!JQW22</f>
        <v>0</v>
      </c>
      <c r="JQX42" s="1046">
        <f>JQX38+((JQX40+'NF - 5 Power Mix'!JQX14+'NF - 5 Power Mix'!JQX15)*860/10)+((('Form Sa1'!JRA835)*860)/10)+('Form Sa1'!JRA814*'Form Sa1'!JRA816/10)-'NF - 5 Power Mix'!JQX21-'NF - 5 Power Mix'!JQX22</f>
        <v>0</v>
      </c>
      <c r="JQY42" s="1046">
        <f>JQY38+((JQY40+'NF - 5 Power Mix'!JQY14+'NF - 5 Power Mix'!JQY15)*860/10)+((('Form Sa1'!JRB835)*860)/10)+('Form Sa1'!JRB814*'Form Sa1'!JRB816/10)-'NF - 5 Power Mix'!JQY21-'NF - 5 Power Mix'!JQY22</f>
        <v>0</v>
      </c>
      <c r="JQZ42" s="1046">
        <f>JQZ38+((JQZ40+'NF - 5 Power Mix'!JQZ14+'NF - 5 Power Mix'!JQZ15)*860/10)+((('Form Sa1'!JRC835)*860)/10)+('Form Sa1'!JRC814*'Form Sa1'!JRC816/10)-'NF - 5 Power Mix'!JQZ21-'NF - 5 Power Mix'!JQZ22</f>
        <v>0</v>
      </c>
      <c r="JRA42" s="1046">
        <f>JRA38+((JRA40+'NF - 5 Power Mix'!JRA14+'NF - 5 Power Mix'!JRA15)*860/10)+((('Form Sa1'!JRD835)*860)/10)+('Form Sa1'!JRD814*'Form Sa1'!JRD816/10)-'NF - 5 Power Mix'!JRA21-'NF - 5 Power Mix'!JRA22</f>
        <v>0</v>
      </c>
      <c r="JRB42" s="1046">
        <f>JRB38+((JRB40+'NF - 5 Power Mix'!JRB14+'NF - 5 Power Mix'!JRB15)*860/10)+((('Form Sa1'!JRE835)*860)/10)+('Form Sa1'!JRE814*'Form Sa1'!JRE816/10)-'NF - 5 Power Mix'!JRB21-'NF - 5 Power Mix'!JRB22</f>
        <v>0</v>
      </c>
      <c r="JRC42" s="1046">
        <f>JRC38+((JRC40+'NF - 5 Power Mix'!JRC14+'NF - 5 Power Mix'!JRC15)*860/10)+((('Form Sa1'!JRF835)*860)/10)+('Form Sa1'!JRF814*'Form Sa1'!JRF816/10)-'NF - 5 Power Mix'!JRC21-'NF - 5 Power Mix'!JRC22</f>
        <v>0</v>
      </c>
      <c r="JRD42" s="1046">
        <f>JRD38+((JRD40+'NF - 5 Power Mix'!JRD14+'NF - 5 Power Mix'!JRD15)*860/10)+((('Form Sa1'!JRG835)*860)/10)+('Form Sa1'!JRG814*'Form Sa1'!JRG816/10)-'NF - 5 Power Mix'!JRD21-'NF - 5 Power Mix'!JRD22</f>
        <v>0</v>
      </c>
      <c r="JRE42" s="1046">
        <f>JRE38+((JRE40+'NF - 5 Power Mix'!JRE14+'NF - 5 Power Mix'!JRE15)*860/10)+((('Form Sa1'!JRH835)*860)/10)+('Form Sa1'!JRH814*'Form Sa1'!JRH816/10)-'NF - 5 Power Mix'!JRE21-'NF - 5 Power Mix'!JRE22</f>
        <v>0</v>
      </c>
      <c r="JRF42" s="1046">
        <f>JRF38+((JRF40+'NF - 5 Power Mix'!JRF14+'NF - 5 Power Mix'!JRF15)*860/10)+((('Form Sa1'!JRI835)*860)/10)+('Form Sa1'!JRI814*'Form Sa1'!JRI816/10)-'NF - 5 Power Mix'!JRF21-'NF - 5 Power Mix'!JRF22</f>
        <v>0</v>
      </c>
      <c r="JRG42" s="1046">
        <f>JRG38+((JRG40+'NF - 5 Power Mix'!JRG14+'NF - 5 Power Mix'!JRG15)*860/10)+((('Form Sa1'!JRJ835)*860)/10)+('Form Sa1'!JRJ814*'Form Sa1'!JRJ816/10)-'NF - 5 Power Mix'!JRG21-'NF - 5 Power Mix'!JRG22</f>
        <v>0</v>
      </c>
      <c r="JRH42" s="1046">
        <f>JRH38+((JRH40+'NF - 5 Power Mix'!JRH14+'NF - 5 Power Mix'!JRH15)*860/10)+((('Form Sa1'!JRK835)*860)/10)+('Form Sa1'!JRK814*'Form Sa1'!JRK816/10)-'NF - 5 Power Mix'!JRH21-'NF - 5 Power Mix'!JRH22</f>
        <v>0</v>
      </c>
      <c r="JRI42" s="1046">
        <f>JRI38+((JRI40+'NF - 5 Power Mix'!JRI14+'NF - 5 Power Mix'!JRI15)*860/10)+((('Form Sa1'!JRL835)*860)/10)+('Form Sa1'!JRL814*'Form Sa1'!JRL816/10)-'NF - 5 Power Mix'!JRI21-'NF - 5 Power Mix'!JRI22</f>
        <v>0</v>
      </c>
      <c r="JRJ42" s="1046">
        <f>JRJ38+((JRJ40+'NF - 5 Power Mix'!JRJ14+'NF - 5 Power Mix'!JRJ15)*860/10)+((('Form Sa1'!JRM835)*860)/10)+('Form Sa1'!JRM814*'Form Sa1'!JRM816/10)-'NF - 5 Power Mix'!JRJ21-'NF - 5 Power Mix'!JRJ22</f>
        <v>0</v>
      </c>
      <c r="JRK42" s="1046">
        <f>JRK38+((JRK40+'NF - 5 Power Mix'!JRK14+'NF - 5 Power Mix'!JRK15)*860/10)+((('Form Sa1'!JRN835)*860)/10)+('Form Sa1'!JRN814*'Form Sa1'!JRN816/10)-'NF - 5 Power Mix'!JRK21-'NF - 5 Power Mix'!JRK22</f>
        <v>0</v>
      </c>
      <c r="JRL42" s="1046">
        <f>JRL38+((JRL40+'NF - 5 Power Mix'!JRL14+'NF - 5 Power Mix'!JRL15)*860/10)+((('Form Sa1'!JRO835)*860)/10)+('Form Sa1'!JRO814*'Form Sa1'!JRO816/10)-'NF - 5 Power Mix'!JRL21-'NF - 5 Power Mix'!JRL22</f>
        <v>0</v>
      </c>
      <c r="JRM42" s="1046">
        <f>JRM38+((JRM40+'NF - 5 Power Mix'!JRM14+'NF - 5 Power Mix'!JRM15)*860/10)+((('Form Sa1'!JRP835)*860)/10)+('Form Sa1'!JRP814*'Form Sa1'!JRP816/10)-'NF - 5 Power Mix'!JRM21-'NF - 5 Power Mix'!JRM22</f>
        <v>0</v>
      </c>
      <c r="JRN42" s="1046">
        <f>JRN38+((JRN40+'NF - 5 Power Mix'!JRN14+'NF - 5 Power Mix'!JRN15)*860/10)+((('Form Sa1'!JRQ835)*860)/10)+('Form Sa1'!JRQ814*'Form Sa1'!JRQ816/10)-'NF - 5 Power Mix'!JRN21-'NF - 5 Power Mix'!JRN22</f>
        <v>0</v>
      </c>
      <c r="JRO42" s="1046">
        <f>JRO38+((JRO40+'NF - 5 Power Mix'!JRO14+'NF - 5 Power Mix'!JRO15)*860/10)+((('Form Sa1'!JRR835)*860)/10)+('Form Sa1'!JRR814*'Form Sa1'!JRR816/10)-'NF - 5 Power Mix'!JRO21-'NF - 5 Power Mix'!JRO22</f>
        <v>0</v>
      </c>
      <c r="JRP42" s="1046">
        <f>JRP38+((JRP40+'NF - 5 Power Mix'!JRP14+'NF - 5 Power Mix'!JRP15)*860/10)+((('Form Sa1'!JRS835)*860)/10)+('Form Sa1'!JRS814*'Form Sa1'!JRS816/10)-'NF - 5 Power Mix'!JRP21-'NF - 5 Power Mix'!JRP22</f>
        <v>0</v>
      </c>
      <c r="JRQ42" s="1046">
        <f>JRQ38+((JRQ40+'NF - 5 Power Mix'!JRQ14+'NF - 5 Power Mix'!JRQ15)*860/10)+((('Form Sa1'!JRT835)*860)/10)+('Form Sa1'!JRT814*'Form Sa1'!JRT816/10)-'NF - 5 Power Mix'!JRQ21-'NF - 5 Power Mix'!JRQ22</f>
        <v>0</v>
      </c>
      <c r="JRR42" s="1046">
        <f>JRR38+((JRR40+'NF - 5 Power Mix'!JRR14+'NF - 5 Power Mix'!JRR15)*860/10)+((('Form Sa1'!JRU835)*860)/10)+('Form Sa1'!JRU814*'Form Sa1'!JRU816/10)-'NF - 5 Power Mix'!JRR21-'NF - 5 Power Mix'!JRR22</f>
        <v>0</v>
      </c>
      <c r="JRS42" s="1046">
        <f>JRS38+((JRS40+'NF - 5 Power Mix'!JRS14+'NF - 5 Power Mix'!JRS15)*860/10)+((('Form Sa1'!JRV835)*860)/10)+('Form Sa1'!JRV814*'Form Sa1'!JRV816/10)-'NF - 5 Power Mix'!JRS21-'NF - 5 Power Mix'!JRS22</f>
        <v>0</v>
      </c>
      <c r="JRT42" s="1046">
        <f>JRT38+((JRT40+'NF - 5 Power Mix'!JRT14+'NF - 5 Power Mix'!JRT15)*860/10)+((('Form Sa1'!JRW835)*860)/10)+('Form Sa1'!JRW814*'Form Sa1'!JRW816/10)-'NF - 5 Power Mix'!JRT21-'NF - 5 Power Mix'!JRT22</f>
        <v>0</v>
      </c>
      <c r="JRU42" s="1046">
        <f>JRU38+((JRU40+'NF - 5 Power Mix'!JRU14+'NF - 5 Power Mix'!JRU15)*860/10)+((('Form Sa1'!JRX835)*860)/10)+('Form Sa1'!JRX814*'Form Sa1'!JRX816/10)-'NF - 5 Power Mix'!JRU21-'NF - 5 Power Mix'!JRU22</f>
        <v>0</v>
      </c>
      <c r="JRV42" s="1046">
        <f>JRV38+((JRV40+'NF - 5 Power Mix'!JRV14+'NF - 5 Power Mix'!JRV15)*860/10)+((('Form Sa1'!JRY835)*860)/10)+('Form Sa1'!JRY814*'Form Sa1'!JRY816/10)-'NF - 5 Power Mix'!JRV21-'NF - 5 Power Mix'!JRV22</f>
        <v>0</v>
      </c>
      <c r="JRW42" s="1046">
        <f>JRW38+((JRW40+'NF - 5 Power Mix'!JRW14+'NF - 5 Power Mix'!JRW15)*860/10)+((('Form Sa1'!JRZ835)*860)/10)+('Form Sa1'!JRZ814*'Form Sa1'!JRZ816/10)-'NF - 5 Power Mix'!JRW21-'NF - 5 Power Mix'!JRW22</f>
        <v>0</v>
      </c>
      <c r="JRX42" s="1046">
        <f>JRX38+((JRX40+'NF - 5 Power Mix'!JRX14+'NF - 5 Power Mix'!JRX15)*860/10)+((('Form Sa1'!JSA835)*860)/10)+('Form Sa1'!JSA814*'Form Sa1'!JSA816/10)-'NF - 5 Power Mix'!JRX21-'NF - 5 Power Mix'!JRX22</f>
        <v>0</v>
      </c>
      <c r="JRY42" s="1046">
        <f>JRY38+((JRY40+'NF - 5 Power Mix'!JRY14+'NF - 5 Power Mix'!JRY15)*860/10)+((('Form Sa1'!JSB835)*860)/10)+('Form Sa1'!JSB814*'Form Sa1'!JSB816/10)-'NF - 5 Power Mix'!JRY21-'NF - 5 Power Mix'!JRY22</f>
        <v>0</v>
      </c>
      <c r="JRZ42" s="1046">
        <f>JRZ38+((JRZ40+'NF - 5 Power Mix'!JRZ14+'NF - 5 Power Mix'!JRZ15)*860/10)+((('Form Sa1'!JSC835)*860)/10)+('Form Sa1'!JSC814*'Form Sa1'!JSC816/10)-'NF - 5 Power Mix'!JRZ21-'NF - 5 Power Mix'!JRZ22</f>
        <v>0</v>
      </c>
      <c r="JSA42" s="1046">
        <f>JSA38+((JSA40+'NF - 5 Power Mix'!JSA14+'NF - 5 Power Mix'!JSA15)*860/10)+((('Form Sa1'!JSD835)*860)/10)+('Form Sa1'!JSD814*'Form Sa1'!JSD816/10)-'NF - 5 Power Mix'!JSA21-'NF - 5 Power Mix'!JSA22</f>
        <v>0</v>
      </c>
      <c r="JSB42" s="1046">
        <f>JSB38+((JSB40+'NF - 5 Power Mix'!JSB14+'NF - 5 Power Mix'!JSB15)*860/10)+((('Form Sa1'!JSE835)*860)/10)+('Form Sa1'!JSE814*'Form Sa1'!JSE816/10)-'NF - 5 Power Mix'!JSB21-'NF - 5 Power Mix'!JSB22</f>
        <v>0</v>
      </c>
      <c r="JSC42" s="1046">
        <f>JSC38+((JSC40+'NF - 5 Power Mix'!JSC14+'NF - 5 Power Mix'!JSC15)*860/10)+((('Form Sa1'!JSF835)*860)/10)+('Form Sa1'!JSF814*'Form Sa1'!JSF816/10)-'NF - 5 Power Mix'!JSC21-'NF - 5 Power Mix'!JSC22</f>
        <v>0</v>
      </c>
      <c r="JSD42" s="1046">
        <f>JSD38+((JSD40+'NF - 5 Power Mix'!JSD14+'NF - 5 Power Mix'!JSD15)*860/10)+((('Form Sa1'!JSG835)*860)/10)+('Form Sa1'!JSG814*'Form Sa1'!JSG816/10)-'NF - 5 Power Mix'!JSD21-'NF - 5 Power Mix'!JSD22</f>
        <v>0</v>
      </c>
      <c r="JSE42" s="1046">
        <f>JSE38+((JSE40+'NF - 5 Power Mix'!JSE14+'NF - 5 Power Mix'!JSE15)*860/10)+((('Form Sa1'!JSH835)*860)/10)+('Form Sa1'!JSH814*'Form Sa1'!JSH816/10)-'NF - 5 Power Mix'!JSE21-'NF - 5 Power Mix'!JSE22</f>
        <v>0</v>
      </c>
      <c r="JSF42" s="1046">
        <f>JSF38+((JSF40+'NF - 5 Power Mix'!JSF14+'NF - 5 Power Mix'!JSF15)*860/10)+((('Form Sa1'!JSI835)*860)/10)+('Form Sa1'!JSI814*'Form Sa1'!JSI816/10)-'NF - 5 Power Mix'!JSF21-'NF - 5 Power Mix'!JSF22</f>
        <v>0</v>
      </c>
      <c r="JSG42" s="1046">
        <f>JSG38+((JSG40+'NF - 5 Power Mix'!JSG14+'NF - 5 Power Mix'!JSG15)*860/10)+((('Form Sa1'!JSJ835)*860)/10)+('Form Sa1'!JSJ814*'Form Sa1'!JSJ816/10)-'NF - 5 Power Mix'!JSG21-'NF - 5 Power Mix'!JSG22</f>
        <v>0</v>
      </c>
      <c r="JSH42" s="1046">
        <f>JSH38+((JSH40+'NF - 5 Power Mix'!JSH14+'NF - 5 Power Mix'!JSH15)*860/10)+((('Form Sa1'!JSK835)*860)/10)+('Form Sa1'!JSK814*'Form Sa1'!JSK816/10)-'NF - 5 Power Mix'!JSH21-'NF - 5 Power Mix'!JSH22</f>
        <v>0</v>
      </c>
      <c r="JSI42" s="1046">
        <f>JSI38+((JSI40+'NF - 5 Power Mix'!JSI14+'NF - 5 Power Mix'!JSI15)*860/10)+((('Form Sa1'!JSL835)*860)/10)+('Form Sa1'!JSL814*'Form Sa1'!JSL816/10)-'NF - 5 Power Mix'!JSI21-'NF - 5 Power Mix'!JSI22</f>
        <v>0</v>
      </c>
      <c r="JSJ42" s="1046">
        <f>JSJ38+((JSJ40+'NF - 5 Power Mix'!JSJ14+'NF - 5 Power Mix'!JSJ15)*860/10)+((('Form Sa1'!JSM835)*860)/10)+('Form Sa1'!JSM814*'Form Sa1'!JSM816/10)-'NF - 5 Power Mix'!JSJ21-'NF - 5 Power Mix'!JSJ22</f>
        <v>0</v>
      </c>
      <c r="JSK42" s="1046">
        <f>JSK38+((JSK40+'NF - 5 Power Mix'!JSK14+'NF - 5 Power Mix'!JSK15)*860/10)+((('Form Sa1'!JSN835)*860)/10)+('Form Sa1'!JSN814*'Form Sa1'!JSN816/10)-'NF - 5 Power Mix'!JSK21-'NF - 5 Power Mix'!JSK22</f>
        <v>0</v>
      </c>
      <c r="JSL42" s="1046">
        <f>JSL38+((JSL40+'NF - 5 Power Mix'!JSL14+'NF - 5 Power Mix'!JSL15)*860/10)+((('Form Sa1'!JSO835)*860)/10)+('Form Sa1'!JSO814*'Form Sa1'!JSO816/10)-'NF - 5 Power Mix'!JSL21-'NF - 5 Power Mix'!JSL22</f>
        <v>0</v>
      </c>
      <c r="JSM42" s="1046">
        <f>JSM38+((JSM40+'NF - 5 Power Mix'!JSM14+'NF - 5 Power Mix'!JSM15)*860/10)+((('Form Sa1'!JSP835)*860)/10)+('Form Sa1'!JSP814*'Form Sa1'!JSP816/10)-'NF - 5 Power Mix'!JSM21-'NF - 5 Power Mix'!JSM22</f>
        <v>0</v>
      </c>
      <c r="JSN42" s="1046">
        <f>JSN38+((JSN40+'NF - 5 Power Mix'!JSN14+'NF - 5 Power Mix'!JSN15)*860/10)+((('Form Sa1'!JSQ835)*860)/10)+('Form Sa1'!JSQ814*'Form Sa1'!JSQ816/10)-'NF - 5 Power Mix'!JSN21-'NF - 5 Power Mix'!JSN22</f>
        <v>0</v>
      </c>
      <c r="JSO42" s="1046">
        <f>JSO38+((JSO40+'NF - 5 Power Mix'!JSO14+'NF - 5 Power Mix'!JSO15)*860/10)+((('Form Sa1'!JSR835)*860)/10)+('Form Sa1'!JSR814*'Form Sa1'!JSR816/10)-'NF - 5 Power Mix'!JSO21-'NF - 5 Power Mix'!JSO22</f>
        <v>0</v>
      </c>
      <c r="JSP42" s="1046">
        <f>JSP38+((JSP40+'NF - 5 Power Mix'!JSP14+'NF - 5 Power Mix'!JSP15)*860/10)+((('Form Sa1'!JSS835)*860)/10)+('Form Sa1'!JSS814*'Form Sa1'!JSS816/10)-'NF - 5 Power Mix'!JSP21-'NF - 5 Power Mix'!JSP22</f>
        <v>0</v>
      </c>
      <c r="JSQ42" s="1046">
        <f>JSQ38+((JSQ40+'NF - 5 Power Mix'!JSQ14+'NF - 5 Power Mix'!JSQ15)*860/10)+((('Form Sa1'!JST835)*860)/10)+('Form Sa1'!JST814*'Form Sa1'!JST816/10)-'NF - 5 Power Mix'!JSQ21-'NF - 5 Power Mix'!JSQ22</f>
        <v>0</v>
      </c>
      <c r="JSR42" s="1046">
        <f>JSR38+((JSR40+'NF - 5 Power Mix'!JSR14+'NF - 5 Power Mix'!JSR15)*860/10)+((('Form Sa1'!JSU835)*860)/10)+('Form Sa1'!JSU814*'Form Sa1'!JSU816/10)-'NF - 5 Power Mix'!JSR21-'NF - 5 Power Mix'!JSR22</f>
        <v>0</v>
      </c>
      <c r="JSS42" s="1046">
        <f>JSS38+((JSS40+'NF - 5 Power Mix'!JSS14+'NF - 5 Power Mix'!JSS15)*860/10)+((('Form Sa1'!JSV835)*860)/10)+('Form Sa1'!JSV814*'Form Sa1'!JSV816/10)-'NF - 5 Power Mix'!JSS21-'NF - 5 Power Mix'!JSS22</f>
        <v>0</v>
      </c>
      <c r="JST42" s="1046">
        <f>JST38+((JST40+'NF - 5 Power Mix'!JST14+'NF - 5 Power Mix'!JST15)*860/10)+((('Form Sa1'!JSW835)*860)/10)+('Form Sa1'!JSW814*'Form Sa1'!JSW816/10)-'NF - 5 Power Mix'!JST21-'NF - 5 Power Mix'!JST22</f>
        <v>0</v>
      </c>
      <c r="JSU42" s="1046">
        <f>JSU38+((JSU40+'NF - 5 Power Mix'!JSU14+'NF - 5 Power Mix'!JSU15)*860/10)+((('Form Sa1'!JSX835)*860)/10)+('Form Sa1'!JSX814*'Form Sa1'!JSX816/10)-'NF - 5 Power Mix'!JSU21-'NF - 5 Power Mix'!JSU22</f>
        <v>0</v>
      </c>
      <c r="JSV42" s="1046">
        <f>JSV38+((JSV40+'NF - 5 Power Mix'!JSV14+'NF - 5 Power Mix'!JSV15)*860/10)+((('Form Sa1'!JSY835)*860)/10)+('Form Sa1'!JSY814*'Form Sa1'!JSY816/10)-'NF - 5 Power Mix'!JSV21-'NF - 5 Power Mix'!JSV22</f>
        <v>0</v>
      </c>
      <c r="JSW42" s="1046">
        <f>JSW38+((JSW40+'NF - 5 Power Mix'!JSW14+'NF - 5 Power Mix'!JSW15)*860/10)+((('Form Sa1'!JSZ835)*860)/10)+('Form Sa1'!JSZ814*'Form Sa1'!JSZ816/10)-'NF - 5 Power Mix'!JSW21-'NF - 5 Power Mix'!JSW22</f>
        <v>0</v>
      </c>
      <c r="JSX42" s="1046">
        <f>JSX38+((JSX40+'NF - 5 Power Mix'!JSX14+'NF - 5 Power Mix'!JSX15)*860/10)+((('Form Sa1'!JTA835)*860)/10)+('Form Sa1'!JTA814*'Form Sa1'!JTA816/10)-'NF - 5 Power Mix'!JSX21-'NF - 5 Power Mix'!JSX22</f>
        <v>0</v>
      </c>
      <c r="JSY42" s="1046">
        <f>JSY38+((JSY40+'NF - 5 Power Mix'!JSY14+'NF - 5 Power Mix'!JSY15)*860/10)+((('Form Sa1'!JTB835)*860)/10)+('Form Sa1'!JTB814*'Form Sa1'!JTB816/10)-'NF - 5 Power Mix'!JSY21-'NF - 5 Power Mix'!JSY22</f>
        <v>0</v>
      </c>
      <c r="JSZ42" s="1046">
        <f>JSZ38+((JSZ40+'NF - 5 Power Mix'!JSZ14+'NF - 5 Power Mix'!JSZ15)*860/10)+((('Form Sa1'!JTC835)*860)/10)+('Form Sa1'!JTC814*'Form Sa1'!JTC816/10)-'NF - 5 Power Mix'!JSZ21-'NF - 5 Power Mix'!JSZ22</f>
        <v>0</v>
      </c>
      <c r="JTA42" s="1046">
        <f>JTA38+((JTA40+'NF - 5 Power Mix'!JTA14+'NF - 5 Power Mix'!JTA15)*860/10)+((('Form Sa1'!JTD835)*860)/10)+('Form Sa1'!JTD814*'Form Sa1'!JTD816/10)-'NF - 5 Power Mix'!JTA21-'NF - 5 Power Mix'!JTA22</f>
        <v>0</v>
      </c>
      <c r="JTB42" s="1046">
        <f>JTB38+((JTB40+'NF - 5 Power Mix'!JTB14+'NF - 5 Power Mix'!JTB15)*860/10)+((('Form Sa1'!JTE835)*860)/10)+('Form Sa1'!JTE814*'Form Sa1'!JTE816/10)-'NF - 5 Power Mix'!JTB21-'NF - 5 Power Mix'!JTB22</f>
        <v>0</v>
      </c>
      <c r="JTC42" s="1046">
        <f>JTC38+((JTC40+'NF - 5 Power Mix'!JTC14+'NF - 5 Power Mix'!JTC15)*860/10)+((('Form Sa1'!JTF835)*860)/10)+('Form Sa1'!JTF814*'Form Sa1'!JTF816/10)-'NF - 5 Power Mix'!JTC21-'NF - 5 Power Mix'!JTC22</f>
        <v>0</v>
      </c>
      <c r="JTD42" s="1046">
        <f>JTD38+((JTD40+'NF - 5 Power Mix'!JTD14+'NF - 5 Power Mix'!JTD15)*860/10)+((('Form Sa1'!JTG835)*860)/10)+('Form Sa1'!JTG814*'Form Sa1'!JTG816/10)-'NF - 5 Power Mix'!JTD21-'NF - 5 Power Mix'!JTD22</f>
        <v>0</v>
      </c>
      <c r="JTE42" s="1046">
        <f>JTE38+((JTE40+'NF - 5 Power Mix'!JTE14+'NF - 5 Power Mix'!JTE15)*860/10)+((('Form Sa1'!JTH835)*860)/10)+('Form Sa1'!JTH814*'Form Sa1'!JTH816/10)-'NF - 5 Power Mix'!JTE21-'NF - 5 Power Mix'!JTE22</f>
        <v>0</v>
      </c>
      <c r="JTF42" s="1046">
        <f>JTF38+((JTF40+'NF - 5 Power Mix'!JTF14+'NF - 5 Power Mix'!JTF15)*860/10)+((('Form Sa1'!JTI835)*860)/10)+('Form Sa1'!JTI814*'Form Sa1'!JTI816/10)-'NF - 5 Power Mix'!JTF21-'NF - 5 Power Mix'!JTF22</f>
        <v>0</v>
      </c>
      <c r="JTG42" s="1046">
        <f>JTG38+((JTG40+'NF - 5 Power Mix'!JTG14+'NF - 5 Power Mix'!JTG15)*860/10)+((('Form Sa1'!JTJ835)*860)/10)+('Form Sa1'!JTJ814*'Form Sa1'!JTJ816/10)-'NF - 5 Power Mix'!JTG21-'NF - 5 Power Mix'!JTG22</f>
        <v>0</v>
      </c>
      <c r="JTH42" s="1046">
        <f>JTH38+((JTH40+'NF - 5 Power Mix'!JTH14+'NF - 5 Power Mix'!JTH15)*860/10)+((('Form Sa1'!JTK835)*860)/10)+('Form Sa1'!JTK814*'Form Sa1'!JTK816/10)-'NF - 5 Power Mix'!JTH21-'NF - 5 Power Mix'!JTH22</f>
        <v>0</v>
      </c>
      <c r="JTI42" s="1046">
        <f>JTI38+((JTI40+'NF - 5 Power Mix'!JTI14+'NF - 5 Power Mix'!JTI15)*860/10)+((('Form Sa1'!JTL835)*860)/10)+('Form Sa1'!JTL814*'Form Sa1'!JTL816/10)-'NF - 5 Power Mix'!JTI21-'NF - 5 Power Mix'!JTI22</f>
        <v>0</v>
      </c>
      <c r="JTJ42" s="1046">
        <f>JTJ38+((JTJ40+'NF - 5 Power Mix'!JTJ14+'NF - 5 Power Mix'!JTJ15)*860/10)+((('Form Sa1'!JTM835)*860)/10)+('Form Sa1'!JTM814*'Form Sa1'!JTM816/10)-'NF - 5 Power Mix'!JTJ21-'NF - 5 Power Mix'!JTJ22</f>
        <v>0</v>
      </c>
      <c r="JTK42" s="1046">
        <f>JTK38+((JTK40+'NF - 5 Power Mix'!JTK14+'NF - 5 Power Mix'!JTK15)*860/10)+((('Form Sa1'!JTN835)*860)/10)+('Form Sa1'!JTN814*'Form Sa1'!JTN816/10)-'NF - 5 Power Mix'!JTK21-'NF - 5 Power Mix'!JTK22</f>
        <v>0</v>
      </c>
      <c r="JTL42" s="1046">
        <f>JTL38+((JTL40+'NF - 5 Power Mix'!JTL14+'NF - 5 Power Mix'!JTL15)*860/10)+((('Form Sa1'!JTO835)*860)/10)+('Form Sa1'!JTO814*'Form Sa1'!JTO816/10)-'NF - 5 Power Mix'!JTL21-'NF - 5 Power Mix'!JTL22</f>
        <v>0</v>
      </c>
      <c r="JTM42" s="1046">
        <f>JTM38+((JTM40+'NF - 5 Power Mix'!JTM14+'NF - 5 Power Mix'!JTM15)*860/10)+((('Form Sa1'!JTP835)*860)/10)+('Form Sa1'!JTP814*'Form Sa1'!JTP816/10)-'NF - 5 Power Mix'!JTM21-'NF - 5 Power Mix'!JTM22</f>
        <v>0</v>
      </c>
      <c r="JTN42" s="1046">
        <f>JTN38+((JTN40+'NF - 5 Power Mix'!JTN14+'NF - 5 Power Mix'!JTN15)*860/10)+((('Form Sa1'!JTQ835)*860)/10)+('Form Sa1'!JTQ814*'Form Sa1'!JTQ816/10)-'NF - 5 Power Mix'!JTN21-'NF - 5 Power Mix'!JTN22</f>
        <v>0</v>
      </c>
      <c r="JTO42" s="1046">
        <f>JTO38+((JTO40+'NF - 5 Power Mix'!JTO14+'NF - 5 Power Mix'!JTO15)*860/10)+((('Form Sa1'!JTR835)*860)/10)+('Form Sa1'!JTR814*'Form Sa1'!JTR816/10)-'NF - 5 Power Mix'!JTO21-'NF - 5 Power Mix'!JTO22</f>
        <v>0</v>
      </c>
      <c r="JTP42" s="1046">
        <f>JTP38+((JTP40+'NF - 5 Power Mix'!JTP14+'NF - 5 Power Mix'!JTP15)*860/10)+((('Form Sa1'!JTS835)*860)/10)+('Form Sa1'!JTS814*'Form Sa1'!JTS816/10)-'NF - 5 Power Mix'!JTP21-'NF - 5 Power Mix'!JTP22</f>
        <v>0</v>
      </c>
      <c r="JTQ42" s="1046">
        <f>JTQ38+((JTQ40+'NF - 5 Power Mix'!JTQ14+'NF - 5 Power Mix'!JTQ15)*860/10)+((('Form Sa1'!JTT835)*860)/10)+('Form Sa1'!JTT814*'Form Sa1'!JTT816/10)-'NF - 5 Power Mix'!JTQ21-'NF - 5 Power Mix'!JTQ22</f>
        <v>0</v>
      </c>
      <c r="JTR42" s="1046">
        <f>JTR38+((JTR40+'NF - 5 Power Mix'!JTR14+'NF - 5 Power Mix'!JTR15)*860/10)+((('Form Sa1'!JTU835)*860)/10)+('Form Sa1'!JTU814*'Form Sa1'!JTU816/10)-'NF - 5 Power Mix'!JTR21-'NF - 5 Power Mix'!JTR22</f>
        <v>0</v>
      </c>
      <c r="JTS42" s="1046">
        <f>JTS38+((JTS40+'NF - 5 Power Mix'!JTS14+'NF - 5 Power Mix'!JTS15)*860/10)+((('Form Sa1'!JTV835)*860)/10)+('Form Sa1'!JTV814*'Form Sa1'!JTV816/10)-'NF - 5 Power Mix'!JTS21-'NF - 5 Power Mix'!JTS22</f>
        <v>0</v>
      </c>
      <c r="JTT42" s="1046">
        <f>JTT38+((JTT40+'NF - 5 Power Mix'!JTT14+'NF - 5 Power Mix'!JTT15)*860/10)+((('Form Sa1'!JTW835)*860)/10)+('Form Sa1'!JTW814*'Form Sa1'!JTW816/10)-'NF - 5 Power Mix'!JTT21-'NF - 5 Power Mix'!JTT22</f>
        <v>0</v>
      </c>
      <c r="JTU42" s="1046">
        <f>JTU38+((JTU40+'NF - 5 Power Mix'!JTU14+'NF - 5 Power Mix'!JTU15)*860/10)+((('Form Sa1'!JTX835)*860)/10)+('Form Sa1'!JTX814*'Form Sa1'!JTX816/10)-'NF - 5 Power Mix'!JTU21-'NF - 5 Power Mix'!JTU22</f>
        <v>0</v>
      </c>
      <c r="JTV42" s="1046">
        <f>JTV38+((JTV40+'NF - 5 Power Mix'!JTV14+'NF - 5 Power Mix'!JTV15)*860/10)+((('Form Sa1'!JTY835)*860)/10)+('Form Sa1'!JTY814*'Form Sa1'!JTY816/10)-'NF - 5 Power Mix'!JTV21-'NF - 5 Power Mix'!JTV22</f>
        <v>0</v>
      </c>
      <c r="JTW42" s="1046">
        <f>JTW38+((JTW40+'NF - 5 Power Mix'!JTW14+'NF - 5 Power Mix'!JTW15)*860/10)+((('Form Sa1'!JTZ835)*860)/10)+('Form Sa1'!JTZ814*'Form Sa1'!JTZ816/10)-'NF - 5 Power Mix'!JTW21-'NF - 5 Power Mix'!JTW22</f>
        <v>0</v>
      </c>
      <c r="JTX42" s="1046">
        <f>JTX38+((JTX40+'NF - 5 Power Mix'!JTX14+'NF - 5 Power Mix'!JTX15)*860/10)+((('Form Sa1'!JUA835)*860)/10)+('Form Sa1'!JUA814*'Form Sa1'!JUA816/10)-'NF - 5 Power Mix'!JTX21-'NF - 5 Power Mix'!JTX22</f>
        <v>0</v>
      </c>
      <c r="JTY42" s="1046">
        <f>JTY38+((JTY40+'NF - 5 Power Mix'!JTY14+'NF - 5 Power Mix'!JTY15)*860/10)+((('Form Sa1'!JUB835)*860)/10)+('Form Sa1'!JUB814*'Form Sa1'!JUB816/10)-'NF - 5 Power Mix'!JTY21-'NF - 5 Power Mix'!JTY22</f>
        <v>0</v>
      </c>
      <c r="JTZ42" s="1046">
        <f>JTZ38+((JTZ40+'NF - 5 Power Mix'!JTZ14+'NF - 5 Power Mix'!JTZ15)*860/10)+((('Form Sa1'!JUC835)*860)/10)+('Form Sa1'!JUC814*'Form Sa1'!JUC816/10)-'NF - 5 Power Mix'!JTZ21-'NF - 5 Power Mix'!JTZ22</f>
        <v>0</v>
      </c>
      <c r="JUA42" s="1046">
        <f>JUA38+((JUA40+'NF - 5 Power Mix'!JUA14+'NF - 5 Power Mix'!JUA15)*860/10)+((('Form Sa1'!JUD835)*860)/10)+('Form Sa1'!JUD814*'Form Sa1'!JUD816/10)-'NF - 5 Power Mix'!JUA21-'NF - 5 Power Mix'!JUA22</f>
        <v>0</v>
      </c>
      <c r="JUB42" s="1046">
        <f>JUB38+((JUB40+'NF - 5 Power Mix'!JUB14+'NF - 5 Power Mix'!JUB15)*860/10)+((('Form Sa1'!JUE835)*860)/10)+('Form Sa1'!JUE814*'Form Sa1'!JUE816/10)-'NF - 5 Power Mix'!JUB21-'NF - 5 Power Mix'!JUB22</f>
        <v>0</v>
      </c>
      <c r="JUC42" s="1046">
        <f>JUC38+((JUC40+'NF - 5 Power Mix'!JUC14+'NF - 5 Power Mix'!JUC15)*860/10)+((('Form Sa1'!JUF835)*860)/10)+('Form Sa1'!JUF814*'Form Sa1'!JUF816/10)-'NF - 5 Power Mix'!JUC21-'NF - 5 Power Mix'!JUC22</f>
        <v>0</v>
      </c>
      <c r="JUD42" s="1046">
        <f>JUD38+((JUD40+'NF - 5 Power Mix'!JUD14+'NF - 5 Power Mix'!JUD15)*860/10)+((('Form Sa1'!JUG835)*860)/10)+('Form Sa1'!JUG814*'Form Sa1'!JUG816/10)-'NF - 5 Power Mix'!JUD21-'NF - 5 Power Mix'!JUD22</f>
        <v>0</v>
      </c>
      <c r="JUE42" s="1046">
        <f>JUE38+((JUE40+'NF - 5 Power Mix'!JUE14+'NF - 5 Power Mix'!JUE15)*860/10)+((('Form Sa1'!JUH835)*860)/10)+('Form Sa1'!JUH814*'Form Sa1'!JUH816/10)-'NF - 5 Power Mix'!JUE21-'NF - 5 Power Mix'!JUE22</f>
        <v>0</v>
      </c>
      <c r="JUF42" s="1046">
        <f>JUF38+((JUF40+'NF - 5 Power Mix'!JUF14+'NF - 5 Power Mix'!JUF15)*860/10)+((('Form Sa1'!JUI835)*860)/10)+('Form Sa1'!JUI814*'Form Sa1'!JUI816/10)-'NF - 5 Power Mix'!JUF21-'NF - 5 Power Mix'!JUF22</f>
        <v>0</v>
      </c>
      <c r="JUG42" s="1046">
        <f>JUG38+((JUG40+'NF - 5 Power Mix'!JUG14+'NF - 5 Power Mix'!JUG15)*860/10)+((('Form Sa1'!JUJ835)*860)/10)+('Form Sa1'!JUJ814*'Form Sa1'!JUJ816/10)-'NF - 5 Power Mix'!JUG21-'NF - 5 Power Mix'!JUG22</f>
        <v>0</v>
      </c>
      <c r="JUH42" s="1046">
        <f>JUH38+((JUH40+'NF - 5 Power Mix'!JUH14+'NF - 5 Power Mix'!JUH15)*860/10)+((('Form Sa1'!JUK835)*860)/10)+('Form Sa1'!JUK814*'Form Sa1'!JUK816/10)-'NF - 5 Power Mix'!JUH21-'NF - 5 Power Mix'!JUH22</f>
        <v>0</v>
      </c>
      <c r="JUI42" s="1046">
        <f>JUI38+((JUI40+'NF - 5 Power Mix'!JUI14+'NF - 5 Power Mix'!JUI15)*860/10)+((('Form Sa1'!JUL835)*860)/10)+('Form Sa1'!JUL814*'Form Sa1'!JUL816/10)-'NF - 5 Power Mix'!JUI21-'NF - 5 Power Mix'!JUI22</f>
        <v>0</v>
      </c>
      <c r="JUJ42" s="1046">
        <f>JUJ38+((JUJ40+'NF - 5 Power Mix'!JUJ14+'NF - 5 Power Mix'!JUJ15)*860/10)+((('Form Sa1'!JUM835)*860)/10)+('Form Sa1'!JUM814*'Form Sa1'!JUM816/10)-'NF - 5 Power Mix'!JUJ21-'NF - 5 Power Mix'!JUJ22</f>
        <v>0</v>
      </c>
      <c r="JUK42" s="1046">
        <f>JUK38+((JUK40+'NF - 5 Power Mix'!JUK14+'NF - 5 Power Mix'!JUK15)*860/10)+((('Form Sa1'!JUN835)*860)/10)+('Form Sa1'!JUN814*'Form Sa1'!JUN816/10)-'NF - 5 Power Mix'!JUK21-'NF - 5 Power Mix'!JUK22</f>
        <v>0</v>
      </c>
      <c r="JUL42" s="1046">
        <f>JUL38+((JUL40+'NF - 5 Power Mix'!JUL14+'NF - 5 Power Mix'!JUL15)*860/10)+((('Form Sa1'!JUO835)*860)/10)+('Form Sa1'!JUO814*'Form Sa1'!JUO816/10)-'NF - 5 Power Mix'!JUL21-'NF - 5 Power Mix'!JUL22</f>
        <v>0</v>
      </c>
      <c r="JUM42" s="1046">
        <f>JUM38+((JUM40+'NF - 5 Power Mix'!JUM14+'NF - 5 Power Mix'!JUM15)*860/10)+((('Form Sa1'!JUP835)*860)/10)+('Form Sa1'!JUP814*'Form Sa1'!JUP816/10)-'NF - 5 Power Mix'!JUM21-'NF - 5 Power Mix'!JUM22</f>
        <v>0</v>
      </c>
      <c r="JUN42" s="1046">
        <f>JUN38+((JUN40+'NF - 5 Power Mix'!JUN14+'NF - 5 Power Mix'!JUN15)*860/10)+((('Form Sa1'!JUQ835)*860)/10)+('Form Sa1'!JUQ814*'Form Sa1'!JUQ816/10)-'NF - 5 Power Mix'!JUN21-'NF - 5 Power Mix'!JUN22</f>
        <v>0</v>
      </c>
      <c r="JUO42" s="1046">
        <f>JUO38+((JUO40+'NF - 5 Power Mix'!JUO14+'NF - 5 Power Mix'!JUO15)*860/10)+((('Form Sa1'!JUR835)*860)/10)+('Form Sa1'!JUR814*'Form Sa1'!JUR816/10)-'NF - 5 Power Mix'!JUO21-'NF - 5 Power Mix'!JUO22</f>
        <v>0</v>
      </c>
      <c r="JUP42" s="1046">
        <f>JUP38+((JUP40+'NF - 5 Power Mix'!JUP14+'NF - 5 Power Mix'!JUP15)*860/10)+((('Form Sa1'!JUS835)*860)/10)+('Form Sa1'!JUS814*'Form Sa1'!JUS816/10)-'NF - 5 Power Mix'!JUP21-'NF - 5 Power Mix'!JUP22</f>
        <v>0</v>
      </c>
      <c r="JUQ42" s="1046">
        <f>JUQ38+((JUQ40+'NF - 5 Power Mix'!JUQ14+'NF - 5 Power Mix'!JUQ15)*860/10)+((('Form Sa1'!JUT835)*860)/10)+('Form Sa1'!JUT814*'Form Sa1'!JUT816/10)-'NF - 5 Power Mix'!JUQ21-'NF - 5 Power Mix'!JUQ22</f>
        <v>0</v>
      </c>
      <c r="JUR42" s="1046">
        <f>JUR38+((JUR40+'NF - 5 Power Mix'!JUR14+'NF - 5 Power Mix'!JUR15)*860/10)+((('Form Sa1'!JUU835)*860)/10)+('Form Sa1'!JUU814*'Form Sa1'!JUU816/10)-'NF - 5 Power Mix'!JUR21-'NF - 5 Power Mix'!JUR22</f>
        <v>0</v>
      </c>
      <c r="JUS42" s="1046">
        <f>JUS38+((JUS40+'NF - 5 Power Mix'!JUS14+'NF - 5 Power Mix'!JUS15)*860/10)+((('Form Sa1'!JUV835)*860)/10)+('Form Sa1'!JUV814*'Form Sa1'!JUV816/10)-'NF - 5 Power Mix'!JUS21-'NF - 5 Power Mix'!JUS22</f>
        <v>0</v>
      </c>
      <c r="JUT42" s="1046">
        <f>JUT38+((JUT40+'NF - 5 Power Mix'!JUT14+'NF - 5 Power Mix'!JUT15)*860/10)+((('Form Sa1'!JUW835)*860)/10)+('Form Sa1'!JUW814*'Form Sa1'!JUW816/10)-'NF - 5 Power Mix'!JUT21-'NF - 5 Power Mix'!JUT22</f>
        <v>0</v>
      </c>
      <c r="JUU42" s="1046">
        <f>JUU38+((JUU40+'NF - 5 Power Mix'!JUU14+'NF - 5 Power Mix'!JUU15)*860/10)+((('Form Sa1'!JUX835)*860)/10)+('Form Sa1'!JUX814*'Form Sa1'!JUX816/10)-'NF - 5 Power Mix'!JUU21-'NF - 5 Power Mix'!JUU22</f>
        <v>0</v>
      </c>
      <c r="JUV42" s="1046">
        <f>JUV38+((JUV40+'NF - 5 Power Mix'!JUV14+'NF - 5 Power Mix'!JUV15)*860/10)+((('Form Sa1'!JUY835)*860)/10)+('Form Sa1'!JUY814*'Form Sa1'!JUY816/10)-'NF - 5 Power Mix'!JUV21-'NF - 5 Power Mix'!JUV22</f>
        <v>0</v>
      </c>
      <c r="JUW42" s="1046">
        <f>JUW38+((JUW40+'NF - 5 Power Mix'!JUW14+'NF - 5 Power Mix'!JUW15)*860/10)+((('Form Sa1'!JUZ835)*860)/10)+('Form Sa1'!JUZ814*'Form Sa1'!JUZ816/10)-'NF - 5 Power Mix'!JUW21-'NF - 5 Power Mix'!JUW22</f>
        <v>0</v>
      </c>
      <c r="JUX42" s="1046">
        <f>JUX38+((JUX40+'NF - 5 Power Mix'!JUX14+'NF - 5 Power Mix'!JUX15)*860/10)+((('Form Sa1'!JVA835)*860)/10)+('Form Sa1'!JVA814*'Form Sa1'!JVA816/10)-'NF - 5 Power Mix'!JUX21-'NF - 5 Power Mix'!JUX22</f>
        <v>0</v>
      </c>
      <c r="JUY42" s="1046">
        <f>JUY38+((JUY40+'NF - 5 Power Mix'!JUY14+'NF - 5 Power Mix'!JUY15)*860/10)+((('Form Sa1'!JVB835)*860)/10)+('Form Sa1'!JVB814*'Form Sa1'!JVB816/10)-'NF - 5 Power Mix'!JUY21-'NF - 5 Power Mix'!JUY22</f>
        <v>0</v>
      </c>
      <c r="JUZ42" s="1046">
        <f>JUZ38+((JUZ40+'NF - 5 Power Mix'!JUZ14+'NF - 5 Power Mix'!JUZ15)*860/10)+((('Form Sa1'!JVC835)*860)/10)+('Form Sa1'!JVC814*'Form Sa1'!JVC816/10)-'NF - 5 Power Mix'!JUZ21-'NF - 5 Power Mix'!JUZ22</f>
        <v>0</v>
      </c>
      <c r="JVA42" s="1046">
        <f>JVA38+((JVA40+'NF - 5 Power Mix'!JVA14+'NF - 5 Power Mix'!JVA15)*860/10)+((('Form Sa1'!JVD835)*860)/10)+('Form Sa1'!JVD814*'Form Sa1'!JVD816/10)-'NF - 5 Power Mix'!JVA21-'NF - 5 Power Mix'!JVA22</f>
        <v>0</v>
      </c>
      <c r="JVB42" s="1046">
        <f>JVB38+((JVB40+'NF - 5 Power Mix'!JVB14+'NF - 5 Power Mix'!JVB15)*860/10)+((('Form Sa1'!JVE835)*860)/10)+('Form Sa1'!JVE814*'Form Sa1'!JVE816/10)-'NF - 5 Power Mix'!JVB21-'NF - 5 Power Mix'!JVB22</f>
        <v>0</v>
      </c>
      <c r="JVC42" s="1046">
        <f>JVC38+((JVC40+'NF - 5 Power Mix'!JVC14+'NF - 5 Power Mix'!JVC15)*860/10)+((('Form Sa1'!JVF835)*860)/10)+('Form Sa1'!JVF814*'Form Sa1'!JVF816/10)-'NF - 5 Power Mix'!JVC21-'NF - 5 Power Mix'!JVC22</f>
        <v>0</v>
      </c>
      <c r="JVD42" s="1046">
        <f>JVD38+((JVD40+'NF - 5 Power Mix'!JVD14+'NF - 5 Power Mix'!JVD15)*860/10)+((('Form Sa1'!JVG835)*860)/10)+('Form Sa1'!JVG814*'Form Sa1'!JVG816/10)-'NF - 5 Power Mix'!JVD21-'NF - 5 Power Mix'!JVD22</f>
        <v>0</v>
      </c>
      <c r="JVE42" s="1046">
        <f>JVE38+((JVE40+'NF - 5 Power Mix'!JVE14+'NF - 5 Power Mix'!JVE15)*860/10)+((('Form Sa1'!JVH835)*860)/10)+('Form Sa1'!JVH814*'Form Sa1'!JVH816/10)-'NF - 5 Power Mix'!JVE21-'NF - 5 Power Mix'!JVE22</f>
        <v>0</v>
      </c>
      <c r="JVF42" s="1046">
        <f>JVF38+((JVF40+'NF - 5 Power Mix'!JVF14+'NF - 5 Power Mix'!JVF15)*860/10)+((('Form Sa1'!JVI835)*860)/10)+('Form Sa1'!JVI814*'Form Sa1'!JVI816/10)-'NF - 5 Power Mix'!JVF21-'NF - 5 Power Mix'!JVF22</f>
        <v>0</v>
      </c>
      <c r="JVG42" s="1046">
        <f>JVG38+((JVG40+'NF - 5 Power Mix'!JVG14+'NF - 5 Power Mix'!JVG15)*860/10)+((('Form Sa1'!JVJ835)*860)/10)+('Form Sa1'!JVJ814*'Form Sa1'!JVJ816/10)-'NF - 5 Power Mix'!JVG21-'NF - 5 Power Mix'!JVG22</f>
        <v>0</v>
      </c>
      <c r="JVH42" s="1046">
        <f>JVH38+((JVH40+'NF - 5 Power Mix'!JVH14+'NF - 5 Power Mix'!JVH15)*860/10)+((('Form Sa1'!JVK835)*860)/10)+('Form Sa1'!JVK814*'Form Sa1'!JVK816/10)-'NF - 5 Power Mix'!JVH21-'NF - 5 Power Mix'!JVH22</f>
        <v>0</v>
      </c>
      <c r="JVI42" s="1046">
        <f>JVI38+((JVI40+'NF - 5 Power Mix'!JVI14+'NF - 5 Power Mix'!JVI15)*860/10)+((('Form Sa1'!JVL835)*860)/10)+('Form Sa1'!JVL814*'Form Sa1'!JVL816/10)-'NF - 5 Power Mix'!JVI21-'NF - 5 Power Mix'!JVI22</f>
        <v>0</v>
      </c>
      <c r="JVJ42" s="1046">
        <f>JVJ38+((JVJ40+'NF - 5 Power Mix'!JVJ14+'NF - 5 Power Mix'!JVJ15)*860/10)+((('Form Sa1'!JVM835)*860)/10)+('Form Sa1'!JVM814*'Form Sa1'!JVM816/10)-'NF - 5 Power Mix'!JVJ21-'NF - 5 Power Mix'!JVJ22</f>
        <v>0</v>
      </c>
      <c r="JVK42" s="1046">
        <f>JVK38+((JVK40+'NF - 5 Power Mix'!JVK14+'NF - 5 Power Mix'!JVK15)*860/10)+((('Form Sa1'!JVN835)*860)/10)+('Form Sa1'!JVN814*'Form Sa1'!JVN816/10)-'NF - 5 Power Mix'!JVK21-'NF - 5 Power Mix'!JVK22</f>
        <v>0</v>
      </c>
      <c r="JVL42" s="1046">
        <f>JVL38+((JVL40+'NF - 5 Power Mix'!JVL14+'NF - 5 Power Mix'!JVL15)*860/10)+((('Form Sa1'!JVO835)*860)/10)+('Form Sa1'!JVO814*'Form Sa1'!JVO816/10)-'NF - 5 Power Mix'!JVL21-'NF - 5 Power Mix'!JVL22</f>
        <v>0</v>
      </c>
      <c r="JVM42" s="1046">
        <f>JVM38+((JVM40+'NF - 5 Power Mix'!JVM14+'NF - 5 Power Mix'!JVM15)*860/10)+((('Form Sa1'!JVP835)*860)/10)+('Form Sa1'!JVP814*'Form Sa1'!JVP816/10)-'NF - 5 Power Mix'!JVM21-'NF - 5 Power Mix'!JVM22</f>
        <v>0</v>
      </c>
      <c r="JVN42" s="1046">
        <f>JVN38+((JVN40+'NF - 5 Power Mix'!JVN14+'NF - 5 Power Mix'!JVN15)*860/10)+((('Form Sa1'!JVQ835)*860)/10)+('Form Sa1'!JVQ814*'Form Sa1'!JVQ816/10)-'NF - 5 Power Mix'!JVN21-'NF - 5 Power Mix'!JVN22</f>
        <v>0</v>
      </c>
      <c r="JVO42" s="1046">
        <f>JVO38+((JVO40+'NF - 5 Power Mix'!JVO14+'NF - 5 Power Mix'!JVO15)*860/10)+((('Form Sa1'!JVR835)*860)/10)+('Form Sa1'!JVR814*'Form Sa1'!JVR816/10)-'NF - 5 Power Mix'!JVO21-'NF - 5 Power Mix'!JVO22</f>
        <v>0</v>
      </c>
      <c r="JVP42" s="1046">
        <f>JVP38+((JVP40+'NF - 5 Power Mix'!JVP14+'NF - 5 Power Mix'!JVP15)*860/10)+((('Form Sa1'!JVS835)*860)/10)+('Form Sa1'!JVS814*'Form Sa1'!JVS816/10)-'NF - 5 Power Mix'!JVP21-'NF - 5 Power Mix'!JVP22</f>
        <v>0</v>
      </c>
      <c r="JVQ42" s="1046">
        <f>JVQ38+((JVQ40+'NF - 5 Power Mix'!JVQ14+'NF - 5 Power Mix'!JVQ15)*860/10)+((('Form Sa1'!JVT835)*860)/10)+('Form Sa1'!JVT814*'Form Sa1'!JVT816/10)-'NF - 5 Power Mix'!JVQ21-'NF - 5 Power Mix'!JVQ22</f>
        <v>0</v>
      </c>
      <c r="JVR42" s="1046">
        <f>JVR38+((JVR40+'NF - 5 Power Mix'!JVR14+'NF - 5 Power Mix'!JVR15)*860/10)+((('Form Sa1'!JVU835)*860)/10)+('Form Sa1'!JVU814*'Form Sa1'!JVU816/10)-'NF - 5 Power Mix'!JVR21-'NF - 5 Power Mix'!JVR22</f>
        <v>0</v>
      </c>
      <c r="JVS42" s="1046">
        <f>JVS38+((JVS40+'NF - 5 Power Mix'!JVS14+'NF - 5 Power Mix'!JVS15)*860/10)+((('Form Sa1'!JVV835)*860)/10)+('Form Sa1'!JVV814*'Form Sa1'!JVV816/10)-'NF - 5 Power Mix'!JVS21-'NF - 5 Power Mix'!JVS22</f>
        <v>0</v>
      </c>
      <c r="JVT42" s="1046">
        <f>JVT38+((JVT40+'NF - 5 Power Mix'!JVT14+'NF - 5 Power Mix'!JVT15)*860/10)+((('Form Sa1'!JVW835)*860)/10)+('Form Sa1'!JVW814*'Form Sa1'!JVW816/10)-'NF - 5 Power Mix'!JVT21-'NF - 5 Power Mix'!JVT22</f>
        <v>0</v>
      </c>
      <c r="JVU42" s="1046">
        <f>JVU38+((JVU40+'NF - 5 Power Mix'!JVU14+'NF - 5 Power Mix'!JVU15)*860/10)+((('Form Sa1'!JVX835)*860)/10)+('Form Sa1'!JVX814*'Form Sa1'!JVX816/10)-'NF - 5 Power Mix'!JVU21-'NF - 5 Power Mix'!JVU22</f>
        <v>0</v>
      </c>
      <c r="JVV42" s="1046">
        <f>JVV38+((JVV40+'NF - 5 Power Mix'!JVV14+'NF - 5 Power Mix'!JVV15)*860/10)+((('Form Sa1'!JVY835)*860)/10)+('Form Sa1'!JVY814*'Form Sa1'!JVY816/10)-'NF - 5 Power Mix'!JVV21-'NF - 5 Power Mix'!JVV22</f>
        <v>0</v>
      </c>
      <c r="JVW42" s="1046">
        <f>JVW38+((JVW40+'NF - 5 Power Mix'!JVW14+'NF - 5 Power Mix'!JVW15)*860/10)+((('Form Sa1'!JVZ835)*860)/10)+('Form Sa1'!JVZ814*'Form Sa1'!JVZ816/10)-'NF - 5 Power Mix'!JVW21-'NF - 5 Power Mix'!JVW22</f>
        <v>0</v>
      </c>
      <c r="JVX42" s="1046">
        <f>JVX38+((JVX40+'NF - 5 Power Mix'!JVX14+'NF - 5 Power Mix'!JVX15)*860/10)+((('Form Sa1'!JWA835)*860)/10)+('Form Sa1'!JWA814*'Form Sa1'!JWA816/10)-'NF - 5 Power Mix'!JVX21-'NF - 5 Power Mix'!JVX22</f>
        <v>0</v>
      </c>
      <c r="JVY42" s="1046">
        <f>JVY38+((JVY40+'NF - 5 Power Mix'!JVY14+'NF - 5 Power Mix'!JVY15)*860/10)+((('Form Sa1'!JWB835)*860)/10)+('Form Sa1'!JWB814*'Form Sa1'!JWB816/10)-'NF - 5 Power Mix'!JVY21-'NF - 5 Power Mix'!JVY22</f>
        <v>0</v>
      </c>
      <c r="JVZ42" s="1046">
        <f>JVZ38+((JVZ40+'NF - 5 Power Mix'!JVZ14+'NF - 5 Power Mix'!JVZ15)*860/10)+((('Form Sa1'!JWC835)*860)/10)+('Form Sa1'!JWC814*'Form Sa1'!JWC816/10)-'NF - 5 Power Mix'!JVZ21-'NF - 5 Power Mix'!JVZ22</f>
        <v>0</v>
      </c>
      <c r="JWA42" s="1046">
        <f>JWA38+((JWA40+'NF - 5 Power Mix'!JWA14+'NF - 5 Power Mix'!JWA15)*860/10)+((('Form Sa1'!JWD835)*860)/10)+('Form Sa1'!JWD814*'Form Sa1'!JWD816/10)-'NF - 5 Power Mix'!JWA21-'NF - 5 Power Mix'!JWA22</f>
        <v>0</v>
      </c>
      <c r="JWB42" s="1046">
        <f>JWB38+((JWB40+'NF - 5 Power Mix'!JWB14+'NF - 5 Power Mix'!JWB15)*860/10)+((('Form Sa1'!JWE835)*860)/10)+('Form Sa1'!JWE814*'Form Sa1'!JWE816/10)-'NF - 5 Power Mix'!JWB21-'NF - 5 Power Mix'!JWB22</f>
        <v>0</v>
      </c>
      <c r="JWC42" s="1046">
        <f>JWC38+((JWC40+'NF - 5 Power Mix'!JWC14+'NF - 5 Power Mix'!JWC15)*860/10)+((('Form Sa1'!JWF835)*860)/10)+('Form Sa1'!JWF814*'Form Sa1'!JWF816/10)-'NF - 5 Power Mix'!JWC21-'NF - 5 Power Mix'!JWC22</f>
        <v>0</v>
      </c>
      <c r="JWD42" s="1046">
        <f>JWD38+((JWD40+'NF - 5 Power Mix'!JWD14+'NF - 5 Power Mix'!JWD15)*860/10)+((('Form Sa1'!JWG835)*860)/10)+('Form Sa1'!JWG814*'Form Sa1'!JWG816/10)-'NF - 5 Power Mix'!JWD21-'NF - 5 Power Mix'!JWD22</f>
        <v>0</v>
      </c>
      <c r="JWE42" s="1046">
        <f>JWE38+((JWE40+'NF - 5 Power Mix'!JWE14+'NF - 5 Power Mix'!JWE15)*860/10)+((('Form Sa1'!JWH835)*860)/10)+('Form Sa1'!JWH814*'Form Sa1'!JWH816/10)-'NF - 5 Power Mix'!JWE21-'NF - 5 Power Mix'!JWE22</f>
        <v>0</v>
      </c>
      <c r="JWF42" s="1046">
        <f>JWF38+((JWF40+'NF - 5 Power Mix'!JWF14+'NF - 5 Power Mix'!JWF15)*860/10)+((('Form Sa1'!JWI835)*860)/10)+('Form Sa1'!JWI814*'Form Sa1'!JWI816/10)-'NF - 5 Power Mix'!JWF21-'NF - 5 Power Mix'!JWF22</f>
        <v>0</v>
      </c>
      <c r="JWG42" s="1046">
        <f>JWG38+((JWG40+'NF - 5 Power Mix'!JWG14+'NF - 5 Power Mix'!JWG15)*860/10)+((('Form Sa1'!JWJ835)*860)/10)+('Form Sa1'!JWJ814*'Form Sa1'!JWJ816/10)-'NF - 5 Power Mix'!JWG21-'NF - 5 Power Mix'!JWG22</f>
        <v>0</v>
      </c>
      <c r="JWH42" s="1046">
        <f>JWH38+((JWH40+'NF - 5 Power Mix'!JWH14+'NF - 5 Power Mix'!JWH15)*860/10)+((('Form Sa1'!JWK835)*860)/10)+('Form Sa1'!JWK814*'Form Sa1'!JWK816/10)-'NF - 5 Power Mix'!JWH21-'NF - 5 Power Mix'!JWH22</f>
        <v>0</v>
      </c>
      <c r="JWI42" s="1046">
        <f>JWI38+((JWI40+'NF - 5 Power Mix'!JWI14+'NF - 5 Power Mix'!JWI15)*860/10)+((('Form Sa1'!JWL835)*860)/10)+('Form Sa1'!JWL814*'Form Sa1'!JWL816/10)-'NF - 5 Power Mix'!JWI21-'NF - 5 Power Mix'!JWI22</f>
        <v>0</v>
      </c>
      <c r="JWJ42" s="1046">
        <f>JWJ38+((JWJ40+'NF - 5 Power Mix'!JWJ14+'NF - 5 Power Mix'!JWJ15)*860/10)+((('Form Sa1'!JWM835)*860)/10)+('Form Sa1'!JWM814*'Form Sa1'!JWM816/10)-'NF - 5 Power Mix'!JWJ21-'NF - 5 Power Mix'!JWJ22</f>
        <v>0</v>
      </c>
      <c r="JWK42" s="1046">
        <f>JWK38+((JWK40+'NF - 5 Power Mix'!JWK14+'NF - 5 Power Mix'!JWK15)*860/10)+((('Form Sa1'!JWN835)*860)/10)+('Form Sa1'!JWN814*'Form Sa1'!JWN816/10)-'NF - 5 Power Mix'!JWK21-'NF - 5 Power Mix'!JWK22</f>
        <v>0</v>
      </c>
      <c r="JWL42" s="1046">
        <f>JWL38+((JWL40+'NF - 5 Power Mix'!JWL14+'NF - 5 Power Mix'!JWL15)*860/10)+((('Form Sa1'!JWO835)*860)/10)+('Form Sa1'!JWO814*'Form Sa1'!JWO816/10)-'NF - 5 Power Mix'!JWL21-'NF - 5 Power Mix'!JWL22</f>
        <v>0</v>
      </c>
      <c r="JWM42" s="1046">
        <f>JWM38+((JWM40+'NF - 5 Power Mix'!JWM14+'NF - 5 Power Mix'!JWM15)*860/10)+((('Form Sa1'!JWP835)*860)/10)+('Form Sa1'!JWP814*'Form Sa1'!JWP816/10)-'NF - 5 Power Mix'!JWM21-'NF - 5 Power Mix'!JWM22</f>
        <v>0</v>
      </c>
      <c r="JWN42" s="1046">
        <f>JWN38+((JWN40+'NF - 5 Power Mix'!JWN14+'NF - 5 Power Mix'!JWN15)*860/10)+((('Form Sa1'!JWQ835)*860)/10)+('Form Sa1'!JWQ814*'Form Sa1'!JWQ816/10)-'NF - 5 Power Mix'!JWN21-'NF - 5 Power Mix'!JWN22</f>
        <v>0</v>
      </c>
      <c r="JWO42" s="1046">
        <f>JWO38+((JWO40+'NF - 5 Power Mix'!JWO14+'NF - 5 Power Mix'!JWO15)*860/10)+((('Form Sa1'!JWR835)*860)/10)+('Form Sa1'!JWR814*'Form Sa1'!JWR816/10)-'NF - 5 Power Mix'!JWO21-'NF - 5 Power Mix'!JWO22</f>
        <v>0</v>
      </c>
      <c r="JWP42" s="1046">
        <f>JWP38+((JWP40+'NF - 5 Power Mix'!JWP14+'NF - 5 Power Mix'!JWP15)*860/10)+((('Form Sa1'!JWS835)*860)/10)+('Form Sa1'!JWS814*'Form Sa1'!JWS816/10)-'NF - 5 Power Mix'!JWP21-'NF - 5 Power Mix'!JWP22</f>
        <v>0</v>
      </c>
      <c r="JWQ42" s="1046">
        <f>JWQ38+((JWQ40+'NF - 5 Power Mix'!JWQ14+'NF - 5 Power Mix'!JWQ15)*860/10)+((('Form Sa1'!JWT835)*860)/10)+('Form Sa1'!JWT814*'Form Sa1'!JWT816/10)-'NF - 5 Power Mix'!JWQ21-'NF - 5 Power Mix'!JWQ22</f>
        <v>0</v>
      </c>
      <c r="JWR42" s="1046">
        <f>JWR38+((JWR40+'NF - 5 Power Mix'!JWR14+'NF - 5 Power Mix'!JWR15)*860/10)+((('Form Sa1'!JWU835)*860)/10)+('Form Sa1'!JWU814*'Form Sa1'!JWU816/10)-'NF - 5 Power Mix'!JWR21-'NF - 5 Power Mix'!JWR22</f>
        <v>0</v>
      </c>
      <c r="JWS42" s="1046">
        <f>JWS38+((JWS40+'NF - 5 Power Mix'!JWS14+'NF - 5 Power Mix'!JWS15)*860/10)+((('Form Sa1'!JWV835)*860)/10)+('Form Sa1'!JWV814*'Form Sa1'!JWV816/10)-'NF - 5 Power Mix'!JWS21-'NF - 5 Power Mix'!JWS22</f>
        <v>0</v>
      </c>
      <c r="JWT42" s="1046">
        <f>JWT38+((JWT40+'NF - 5 Power Mix'!JWT14+'NF - 5 Power Mix'!JWT15)*860/10)+((('Form Sa1'!JWW835)*860)/10)+('Form Sa1'!JWW814*'Form Sa1'!JWW816/10)-'NF - 5 Power Mix'!JWT21-'NF - 5 Power Mix'!JWT22</f>
        <v>0</v>
      </c>
      <c r="JWU42" s="1046">
        <f>JWU38+((JWU40+'NF - 5 Power Mix'!JWU14+'NF - 5 Power Mix'!JWU15)*860/10)+((('Form Sa1'!JWX835)*860)/10)+('Form Sa1'!JWX814*'Form Sa1'!JWX816/10)-'NF - 5 Power Mix'!JWU21-'NF - 5 Power Mix'!JWU22</f>
        <v>0</v>
      </c>
      <c r="JWV42" s="1046">
        <f>JWV38+((JWV40+'NF - 5 Power Mix'!JWV14+'NF - 5 Power Mix'!JWV15)*860/10)+((('Form Sa1'!JWY835)*860)/10)+('Form Sa1'!JWY814*'Form Sa1'!JWY816/10)-'NF - 5 Power Mix'!JWV21-'NF - 5 Power Mix'!JWV22</f>
        <v>0</v>
      </c>
      <c r="JWW42" s="1046">
        <f>JWW38+((JWW40+'NF - 5 Power Mix'!JWW14+'NF - 5 Power Mix'!JWW15)*860/10)+((('Form Sa1'!JWZ835)*860)/10)+('Form Sa1'!JWZ814*'Form Sa1'!JWZ816/10)-'NF - 5 Power Mix'!JWW21-'NF - 5 Power Mix'!JWW22</f>
        <v>0</v>
      </c>
      <c r="JWX42" s="1046">
        <f>JWX38+((JWX40+'NF - 5 Power Mix'!JWX14+'NF - 5 Power Mix'!JWX15)*860/10)+((('Form Sa1'!JXA835)*860)/10)+('Form Sa1'!JXA814*'Form Sa1'!JXA816/10)-'NF - 5 Power Mix'!JWX21-'NF - 5 Power Mix'!JWX22</f>
        <v>0</v>
      </c>
      <c r="JWY42" s="1046">
        <f>JWY38+((JWY40+'NF - 5 Power Mix'!JWY14+'NF - 5 Power Mix'!JWY15)*860/10)+((('Form Sa1'!JXB835)*860)/10)+('Form Sa1'!JXB814*'Form Sa1'!JXB816/10)-'NF - 5 Power Mix'!JWY21-'NF - 5 Power Mix'!JWY22</f>
        <v>0</v>
      </c>
      <c r="JWZ42" s="1046">
        <f>JWZ38+((JWZ40+'NF - 5 Power Mix'!JWZ14+'NF - 5 Power Mix'!JWZ15)*860/10)+((('Form Sa1'!JXC835)*860)/10)+('Form Sa1'!JXC814*'Form Sa1'!JXC816/10)-'NF - 5 Power Mix'!JWZ21-'NF - 5 Power Mix'!JWZ22</f>
        <v>0</v>
      </c>
      <c r="JXA42" s="1046">
        <f>JXA38+((JXA40+'NF - 5 Power Mix'!JXA14+'NF - 5 Power Mix'!JXA15)*860/10)+((('Form Sa1'!JXD835)*860)/10)+('Form Sa1'!JXD814*'Form Sa1'!JXD816/10)-'NF - 5 Power Mix'!JXA21-'NF - 5 Power Mix'!JXA22</f>
        <v>0</v>
      </c>
      <c r="JXB42" s="1046">
        <f>JXB38+((JXB40+'NF - 5 Power Mix'!JXB14+'NF - 5 Power Mix'!JXB15)*860/10)+((('Form Sa1'!JXE835)*860)/10)+('Form Sa1'!JXE814*'Form Sa1'!JXE816/10)-'NF - 5 Power Mix'!JXB21-'NF - 5 Power Mix'!JXB22</f>
        <v>0</v>
      </c>
      <c r="JXC42" s="1046">
        <f>JXC38+((JXC40+'NF - 5 Power Mix'!JXC14+'NF - 5 Power Mix'!JXC15)*860/10)+((('Form Sa1'!JXF835)*860)/10)+('Form Sa1'!JXF814*'Form Sa1'!JXF816/10)-'NF - 5 Power Mix'!JXC21-'NF - 5 Power Mix'!JXC22</f>
        <v>0</v>
      </c>
      <c r="JXD42" s="1046">
        <f>JXD38+((JXD40+'NF - 5 Power Mix'!JXD14+'NF - 5 Power Mix'!JXD15)*860/10)+((('Form Sa1'!JXG835)*860)/10)+('Form Sa1'!JXG814*'Form Sa1'!JXG816/10)-'NF - 5 Power Mix'!JXD21-'NF - 5 Power Mix'!JXD22</f>
        <v>0</v>
      </c>
      <c r="JXE42" s="1046">
        <f>JXE38+((JXE40+'NF - 5 Power Mix'!JXE14+'NF - 5 Power Mix'!JXE15)*860/10)+((('Form Sa1'!JXH835)*860)/10)+('Form Sa1'!JXH814*'Form Sa1'!JXH816/10)-'NF - 5 Power Mix'!JXE21-'NF - 5 Power Mix'!JXE22</f>
        <v>0</v>
      </c>
      <c r="JXF42" s="1046">
        <f>JXF38+((JXF40+'NF - 5 Power Mix'!JXF14+'NF - 5 Power Mix'!JXF15)*860/10)+((('Form Sa1'!JXI835)*860)/10)+('Form Sa1'!JXI814*'Form Sa1'!JXI816/10)-'NF - 5 Power Mix'!JXF21-'NF - 5 Power Mix'!JXF22</f>
        <v>0</v>
      </c>
      <c r="JXG42" s="1046">
        <f>JXG38+((JXG40+'NF - 5 Power Mix'!JXG14+'NF - 5 Power Mix'!JXG15)*860/10)+((('Form Sa1'!JXJ835)*860)/10)+('Form Sa1'!JXJ814*'Form Sa1'!JXJ816/10)-'NF - 5 Power Mix'!JXG21-'NF - 5 Power Mix'!JXG22</f>
        <v>0</v>
      </c>
      <c r="JXH42" s="1046">
        <f>JXH38+((JXH40+'NF - 5 Power Mix'!JXH14+'NF - 5 Power Mix'!JXH15)*860/10)+((('Form Sa1'!JXK835)*860)/10)+('Form Sa1'!JXK814*'Form Sa1'!JXK816/10)-'NF - 5 Power Mix'!JXH21-'NF - 5 Power Mix'!JXH22</f>
        <v>0</v>
      </c>
      <c r="JXI42" s="1046">
        <f>JXI38+((JXI40+'NF - 5 Power Mix'!JXI14+'NF - 5 Power Mix'!JXI15)*860/10)+((('Form Sa1'!JXL835)*860)/10)+('Form Sa1'!JXL814*'Form Sa1'!JXL816/10)-'NF - 5 Power Mix'!JXI21-'NF - 5 Power Mix'!JXI22</f>
        <v>0</v>
      </c>
      <c r="JXJ42" s="1046">
        <f>JXJ38+((JXJ40+'NF - 5 Power Mix'!JXJ14+'NF - 5 Power Mix'!JXJ15)*860/10)+((('Form Sa1'!JXM835)*860)/10)+('Form Sa1'!JXM814*'Form Sa1'!JXM816/10)-'NF - 5 Power Mix'!JXJ21-'NF - 5 Power Mix'!JXJ22</f>
        <v>0</v>
      </c>
      <c r="JXK42" s="1046">
        <f>JXK38+((JXK40+'NF - 5 Power Mix'!JXK14+'NF - 5 Power Mix'!JXK15)*860/10)+((('Form Sa1'!JXN835)*860)/10)+('Form Sa1'!JXN814*'Form Sa1'!JXN816/10)-'NF - 5 Power Mix'!JXK21-'NF - 5 Power Mix'!JXK22</f>
        <v>0</v>
      </c>
      <c r="JXL42" s="1046">
        <f>JXL38+((JXL40+'NF - 5 Power Mix'!JXL14+'NF - 5 Power Mix'!JXL15)*860/10)+((('Form Sa1'!JXO835)*860)/10)+('Form Sa1'!JXO814*'Form Sa1'!JXO816/10)-'NF - 5 Power Mix'!JXL21-'NF - 5 Power Mix'!JXL22</f>
        <v>0</v>
      </c>
      <c r="JXM42" s="1046">
        <f>JXM38+((JXM40+'NF - 5 Power Mix'!JXM14+'NF - 5 Power Mix'!JXM15)*860/10)+((('Form Sa1'!JXP835)*860)/10)+('Form Sa1'!JXP814*'Form Sa1'!JXP816/10)-'NF - 5 Power Mix'!JXM21-'NF - 5 Power Mix'!JXM22</f>
        <v>0</v>
      </c>
      <c r="JXN42" s="1046">
        <f>JXN38+((JXN40+'NF - 5 Power Mix'!JXN14+'NF - 5 Power Mix'!JXN15)*860/10)+((('Form Sa1'!JXQ835)*860)/10)+('Form Sa1'!JXQ814*'Form Sa1'!JXQ816/10)-'NF - 5 Power Mix'!JXN21-'NF - 5 Power Mix'!JXN22</f>
        <v>0</v>
      </c>
      <c r="JXO42" s="1046">
        <f>JXO38+((JXO40+'NF - 5 Power Mix'!JXO14+'NF - 5 Power Mix'!JXO15)*860/10)+((('Form Sa1'!JXR835)*860)/10)+('Form Sa1'!JXR814*'Form Sa1'!JXR816/10)-'NF - 5 Power Mix'!JXO21-'NF - 5 Power Mix'!JXO22</f>
        <v>0</v>
      </c>
      <c r="JXP42" s="1046">
        <f>JXP38+((JXP40+'NF - 5 Power Mix'!JXP14+'NF - 5 Power Mix'!JXP15)*860/10)+((('Form Sa1'!JXS835)*860)/10)+('Form Sa1'!JXS814*'Form Sa1'!JXS816/10)-'NF - 5 Power Mix'!JXP21-'NF - 5 Power Mix'!JXP22</f>
        <v>0</v>
      </c>
      <c r="JXQ42" s="1046">
        <f>JXQ38+((JXQ40+'NF - 5 Power Mix'!JXQ14+'NF - 5 Power Mix'!JXQ15)*860/10)+((('Form Sa1'!JXT835)*860)/10)+('Form Sa1'!JXT814*'Form Sa1'!JXT816/10)-'NF - 5 Power Mix'!JXQ21-'NF - 5 Power Mix'!JXQ22</f>
        <v>0</v>
      </c>
      <c r="JXR42" s="1046">
        <f>JXR38+((JXR40+'NF - 5 Power Mix'!JXR14+'NF - 5 Power Mix'!JXR15)*860/10)+((('Form Sa1'!JXU835)*860)/10)+('Form Sa1'!JXU814*'Form Sa1'!JXU816/10)-'NF - 5 Power Mix'!JXR21-'NF - 5 Power Mix'!JXR22</f>
        <v>0</v>
      </c>
      <c r="JXS42" s="1046">
        <f>JXS38+((JXS40+'NF - 5 Power Mix'!JXS14+'NF - 5 Power Mix'!JXS15)*860/10)+((('Form Sa1'!JXV835)*860)/10)+('Form Sa1'!JXV814*'Form Sa1'!JXV816/10)-'NF - 5 Power Mix'!JXS21-'NF - 5 Power Mix'!JXS22</f>
        <v>0</v>
      </c>
      <c r="JXT42" s="1046">
        <f>JXT38+((JXT40+'NF - 5 Power Mix'!JXT14+'NF - 5 Power Mix'!JXT15)*860/10)+((('Form Sa1'!JXW835)*860)/10)+('Form Sa1'!JXW814*'Form Sa1'!JXW816/10)-'NF - 5 Power Mix'!JXT21-'NF - 5 Power Mix'!JXT22</f>
        <v>0</v>
      </c>
      <c r="JXU42" s="1046">
        <f>JXU38+((JXU40+'NF - 5 Power Mix'!JXU14+'NF - 5 Power Mix'!JXU15)*860/10)+((('Form Sa1'!JXX835)*860)/10)+('Form Sa1'!JXX814*'Form Sa1'!JXX816/10)-'NF - 5 Power Mix'!JXU21-'NF - 5 Power Mix'!JXU22</f>
        <v>0</v>
      </c>
      <c r="JXV42" s="1046">
        <f>JXV38+((JXV40+'NF - 5 Power Mix'!JXV14+'NF - 5 Power Mix'!JXV15)*860/10)+((('Form Sa1'!JXY835)*860)/10)+('Form Sa1'!JXY814*'Form Sa1'!JXY816/10)-'NF - 5 Power Mix'!JXV21-'NF - 5 Power Mix'!JXV22</f>
        <v>0</v>
      </c>
      <c r="JXW42" s="1046">
        <f>JXW38+((JXW40+'NF - 5 Power Mix'!JXW14+'NF - 5 Power Mix'!JXW15)*860/10)+((('Form Sa1'!JXZ835)*860)/10)+('Form Sa1'!JXZ814*'Form Sa1'!JXZ816/10)-'NF - 5 Power Mix'!JXW21-'NF - 5 Power Mix'!JXW22</f>
        <v>0</v>
      </c>
      <c r="JXX42" s="1046">
        <f>JXX38+((JXX40+'NF - 5 Power Mix'!JXX14+'NF - 5 Power Mix'!JXX15)*860/10)+((('Form Sa1'!JYA835)*860)/10)+('Form Sa1'!JYA814*'Form Sa1'!JYA816/10)-'NF - 5 Power Mix'!JXX21-'NF - 5 Power Mix'!JXX22</f>
        <v>0</v>
      </c>
      <c r="JXY42" s="1046">
        <f>JXY38+((JXY40+'NF - 5 Power Mix'!JXY14+'NF - 5 Power Mix'!JXY15)*860/10)+((('Form Sa1'!JYB835)*860)/10)+('Form Sa1'!JYB814*'Form Sa1'!JYB816/10)-'NF - 5 Power Mix'!JXY21-'NF - 5 Power Mix'!JXY22</f>
        <v>0</v>
      </c>
      <c r="JXZ42" s="1046">
        <f>JXZ38+((JXZ40+'NF - 5 Power Mix'!JXZ14+'NF - 5 Power Mix'!JXZ15)*860/10)+((('Form Sa1'!JYC835)*860)/10)+('Form Sa1'!JYC814*'Form Sa1'!JYC816/10)-'NF - 5 Power Mix'!JXZ21-'NF - 5 Power Mix'!JXZ22</f>
        <v>0</v>
      </c>
      <c r="JYA42" s="1046">
        <f>JYA38+((JYA40+'NF - 5 Power Mix'!JYA14+'NF - 5 Power Mix'!JYA15)*860/10)+((('Form Sa1'!JYD835)*860)/10)+('Form Sa1'!JYD814*'Form Sa1'!JYD816/10)-'NF - 5 Power Mix'!JYA21-'NF - 5 Power Mix'!JYA22</f>
        <v>0</v>
      </c>
      <c r="JYB42" s="1046">
        <f>JYB38+((JYB40+'NF - 5 Power Mix'!JYB14+'NF - 5 Power Mix'!JYB15)*860/10)+((('Form Sa1'!JYE835)*860)/10)+('Form Sa1'!JYE814*'Form Sa1'!JYE816/10)-'NF - 5 Power Mix'!JYB21-'NF - 5 Power Mix'!JYB22</f>
        <v>0</v>
      </c>
      <c r="JYC42" s="1046">
        <f>JYC38+((JYC40+'NF - 5 Power Mix'!JYC14+'NF - 5 Power Mix'!JYC15)*860/10)+((('Form Sa1'!JYF835)*860)/10)+('Form Sa1'!JYF814*'Form Sa1'!JYF816/10)-'NF - 5 Power Mix'!JYC21-'NF - 5 Power Mix'!JYC22</f>
        <v>0</v>
      </c>
      <c r="JYD42" s="1046">
        <f>JYD38+((JYD40+'NF - 5 Power Mix'!JYD14+'NF - 5 Power Mix'!JYD15)*860/10)+((('Form Sa1'!JYG835)*860)/10)+('Form Sa1'!JYG814*'Form Sa1'!JYG816/10)-'NF - 5 Power Mix'!JYD21-'NF - 5 Power Mix'!JYD22</f>
        <v>0</v>
      </c>
      <c r="JYE42" s="1046">
        <f>JYE38+((JYE40+'NF - 5 Power Mix'!JYE14+'NF - 5 Power Mix'!JYE15)*860/10)+((('Form Sa1'!JYH835)*860)/10)+('Form Sa1'!JYH814*'Form Sa1'!JYH816/10)-'NF - 5 Power Mix'!JYE21-'NF - 5 Power Mix'!JYE22</f>
        <v>0</v>
      </c>
      <c r="JYF42" s="1046">
        <f>JYF38+((JYF40+'NF - 5 Power Mix'!JYF14+'NF - 5 Power Mix'!JYF15)*860/10)+((('Form Sa1'!JYI835)*860)/10)+('Form Sa1'!JYI814*'Form Sa1'!JYI816/10)-'NF - 5 Power Mix'!JYF21-'NF - 5 Power Mix'!JYF22</f>
        <v>0</v>
      </c>
      <c r="JYG42" s="1046">
        <f>JYG38+((JYG40+'NF - 5 Power Mix'!JYG14+'NF - 5 Power Mix'!JYG15)*860/10)+((('Form Sa1'!JYJ835)*860)/10)+('Form Sa1'!JYJ814*'Form Sa1'!JYJ816/10)-'NF - 5 Power Mix'!JYG21-'NF - 5 Power Mix'!JYG22</f>
        <v>0</v>
      </c>
      <c r="JYH42" s="1046">
        <f>JYH38+((JYH40+'NF - 5 Power Mix'!JYH14+'NF - 5 Power Mix'!JYH15)*860/10)+((('Form Sa1'!JYK835)*860)/10)+('Form Sa1'!JYK814*'Form Sa1'!JYK816/10)-'NF - 5 Power Mix'!JYH21-'NF - 5 Power Mix'!JYH22</f>
        <v>0</v>
      </c>
      <c r="JYI42" s="1046">
        <f>JYI38+((JYI40+'NF - 5 Power Mix'!JYI14+'NF - 5 Power Mix'!JYI15)*860/10)+((('Form Sa1'!JYL835)*860)/10)+('Form Sa1'!JYL814*'Form Sa1'!JYL816/10)-'NF - 5 Power Mix'!JYI21-'NF - 5 Power Mix'!JYI22</f>
        <v>0</v>
      </c>
      <c r="JYJ42" s="1046">
        <f>JYJ38+((JYJ40+'NF - 5 Power Mix'!JYJ14+'NF - 5 Power Mix'!JYJ15)*860/10)+((('Form Sa1'!JYM835)*860)/10)+('Form Sa1'!JYM814*'Form Sa1'!JYM816/10)-'NF - 5 Power Mix'!JYJ21-'NF - 5 Power Mix'!JYJ22</f>
        <v>0</v>
      </c>
      <c r="JYK42" s="1046">
        <f>JYK38+((JYK40+'NF - 5 Power Mix'!JYK14+'NF - 5 Power Mix'!JYK15)*860/10)+((('Form Sa1'!JYN835)*860)/10)+('Form Sa1'!JYN814*'Form Sa1'!JYN816/10)-'NF - 5 Power Mix'!JYK21-'NF - 5 Power Mix'!JYK22</f>
        <v>0</v>
      </c>
      <c r="JYL42" s="1046">
        <f>JYL38+((JYL40+'NF - 5 Power Mix'!JYL14+'NF - 5 Power Mix'!JYL15)*860/10)+((('Form Sa1'!JYO835)*860)/10)+('Form Sa1'!JYO814*'Form Sa1'!JYO816/10)-'NF - 5 Power Mix'!JYL21-'NF - 5 Power Mix'!JYL22</f>
        <v>0</v>
      </c>
      <c r="JYM42" s="1046">
        <f>JYM38+((JYM40+'NF - 5 Power Mix'!JYM14+'NF - 5 Power Mix'!JYM15)*860/10)+((('Form Sa1'!JYP835)*860)/10)+('Form Sa1'!JYP814*'Form Sa1'!JYP816/10)-'NF - 5 Power Mix'!JYM21-'NF - 5 Power Mix'!JYM22</f>
        <v>0</v>
      </c>
      <c r="JYN42" s="1046">
        <f>JYN38+((JYN40+'NF - 5 Power Mix'!JYN14+'NF - 5 Power Mix'!JYN15)*860/10)+((('Form Sa1'!JYQ835)*860)/10)+('Form Sa1'!JYQ814*'Form Sa1'!JYQ816/10)-'NF - 5 Power Mix'!JYN21-'NF - 5 Power Mix'!JYN22</f>
        <v>0</v>
      </c>
      <c r="JYO42" s="1046">
        <f>JYO38+((JYO40+'NF - 5 Power Mix'!JYO14+'NF - 5 Power Mix'!JYO15)*860/10)+((('Form Sa1'!JYR835)*860)/10)+('Form Sa1'!JYR814*'Form Sa1'!JYR816/10)-'NF - 5 Power Mix'!JYO21-'NF - 5 Power Mix'!JYO22</f>
        <v>0</v>
      </c>
      <c r="JYP42" s="1046">
        <f>JYP38+((JYP40+'NF - 5 Power Mix'!JYP14+'NF - 5 Power Mix'!JYP15)*860/10)+((('Form Sa1'!JYS835)*860)/10)+('Form Sa1'!JYS814*'Form Sa1'!JYS816/10)-'NF - 5 Power Mix'!JYP21-'NF - 5 Power Mix'!JYP22</f>
        <v>0</v>
      </c>
      <c r="JYQ42" s="1046">
        <f>JYQ38+((JYQ40+'NF - 5 Power Mix'!JYQ14+'NF - 5 Power Mix'!JYQ15)*860/10)+((('Form Sa1'!JYT835)*860)/10)+('Form Sa1'!JYT814*'Form Sa1'!JYT816/10)-'NF - 5 Power Mix'!JYQ21-'NF - 5 Power Mix'!JYQ22</f>
        <v>0</v>
      </c>
      <c r="JYR42" s="1046">
        <f>JYR38+((JYR40+'NF - 5 Power Mix'!JYR14+'NF - 5 Power Mix'!JYR15)*860/10)+((('Form Sa1'!JYU835)*860)/10)+('Form Sa1'!JYU814*'Form Sa1'!JYU816/10)-'NF - 5 Power Mix'!JYR21-'NF - 5 Power Mix'!JYR22</f>
        <v>0</v>
      </c>
      <c r="JYS42" s="1046">
        <f>JYS38+((JYS40+'NF - 5 Power Mix'!JYS14+'NF - 5 Power Mix'!JYS15)*860/10)+((('Form Sa1'!JYV835)*860)/10)+('Form Sa1'!JYV814*'Form Sa1'!JYV816/10)-'NF - 5 Power Mix'!JYS21-'NF - 5 Power Mix'!JYS22</f>
        <v>0</v>
      </c>
      <c r="JYT42" s="1046">
        <f>JYT38+((JYT40+'NF - 5 Power Mix'!JYT14+'NF - 5 Power Mix'!JYT15)*860/10)+((('Form Sa1'!JYW835)*860)/10)+('Form Sa1'!JYW814*'Form Sa1'!JYW816/10)-'NF - 5 Power Mix'!JYT21-'NF - 5 Power Mix'!JYT22</f>
        <v>0</v>
      </c>
      <c r="JYU42" s="1046">
        <f>JYU38+((JYU40+'NF - 5 Power Mix'!JYU14+'NF - 5 Power Mix'!JYU15)*860/10)+((('Form Sa1'!JYX835)*860)/10)+('Form Sa1'!JYX814*'Form Sa1'!JYX816/10)-'NF - 5 Power Mix'!JYU21-'NF - 5 Power Mix'!JYU22</f>
        <v>0</v>
      </c>
      <c r="JYV42" s="1046">
        <f>JYV38+((JYV40+'NF - 5 Power Mix'!JYV14+'NF - 5 Power Mix'!JYV15)*860/10)+((('Form Sa1'!JYY835)*860)/10)+('Form Sa1'!JYY814*'Form Sa1'!JYY816/10)-'NF - 5 Power Mix'!JYV21-'NF - 5 Power Mix'!JYV22</f>
        <v>0</v>
      </c>
      <c r="JYW42" s="1046">
        <f>JYW38+((JYW40+'NF - 5 Power Mix'!JYW14+'NF - 5 Power Mix'!JYW15)*860/10)+((('Form Sa1'!JYZ835)*860)/10)+('Form Sa1'!JYZ814*'Form Sa1'!JYZ816/10)-'NF - 5 Power Mix'!JYW21-'NF - 5 Power Mix'!JYW22</f>
        <v>0</v>
      </c>
      <c r="JYX42" s="1046">
        <f>JYX38+((JYX40+'NF - 5 Power Mix'!JYX14+'NF - 5 Power Mix'!JYX15)*860/10)+((('Form Sa1'!JZA835)*860)/10)+('Form Sa1'!JZA814*'Form Sa1'!JZA816/10)-'NF - 5 Power Mix'!JYX21-'NF - 5 Power Mix'!JYX22</f>
        <v>0</v>
      </c>
      <c r="JYY42" s="1046">
        <f>JYY38+((JYY40+'NF - 5 Power Mix'!JYY14+'NF - 5 Power Mix'!JYY15)*860/10)+((('Form Sa1'!JZB835)*860)/10)+('Form Sa1'!JZB814*'Form Sa1'!JZB816/10)-'NF - 5 Power Mix'!JYY21-'NF - 5 Power Mix'!JYY22</f>
        <v>0</v>
      </c>
      <c r="JYZ42" s="1046">
        <f>JYZ38+((JYZ40+'NF - 5 Power Mix'!JYZ14+'NF - 5 Power Mix'!JYZ15)*860/10)+((('Form Sa1'!JZC835)*860)/10)+('Form Sa1'!JZC814*'Form Sa1'!JZC816/10)-'NF - 5 Power Mix'!JYZ21-'NF - 5 Power Mix'!JYZ22</f>
        <v>0</v>
      </c>
      <c r="JZA42" s="1046">
        <f>JZA38+((JZA40+'NF - 5 Power Mix'!JZA14+'NF - 5 Power Mix'!JZA15)*860/10)+((('Form Sa1'!JZD835)*860)/10)+('Form Sa1'!JZD814*'Form Sa1'!JZD816/10)-'NF - 5 Power Mix'!JZA21-'NF - 5 Power Mix'!JZA22</f>
        <v>0</v>
      </c>
      <c r="JZB42" s="1046">
        <f>JZB38+((JZB40+'NF - 5 Power Mix'!JZB14+'NF - 5 Power Mix'!JZB15)*860/10)+((('Form Sa1'!JZE835)*860)/10)+('Form Sa1'!JZE814*'Form Sa1'!JZE816/10)-'NF - 5 Power Mix'!JZB21-'NF - 5 Power Mix'!JZB22</f>
        <v>0</v>
      </c>
      <c r="JZC42" s="1046">
        <f>JZC38+((JZC40+'NF - 5 Power Mix'!JZC14+'NF - 5 Power Mix'!JZC15)*860/10)+((('Form Sa1'!JZF835)*860)/10)+('Form Sa1'!JZF814*'Form Sa1'!JZF816/10)-'NF - 5 Power Mix'!JZC21-'NF - 5 Power Mix'!JZC22</f>
        <v>0</v>
      </c>
      <c r="JZD42" s="1046">
        <f>JZD38+((JZD40+'NF - 5 Power Mix'!JZD14+'NF - 5 Power Mix'!JZD15)*860/10)+((('Form Sa1'!JZG835)*860)/10)+('Form Sa1'!JZG814*'Form Sa1'!JZG816/10)-'NF - 5 Power Mix'!JZD21-'NF - 5 Power Mix'!JZD22</f>
        <v>0</v>
      </c>
      <c r="JZE42" s="1046">
        <f>JZE38+((JZE40+'NF - 5 Power Mix'!JZE14+'NF - 5 Power Mix'!JZE15)*860/10)+((('Form Sa1'!JZH835)*860)/10)+('Form Sa1'!JZH814*'Form Sa1'!JZH816/10)-'NF - 5 Power Mix'!JZE21-'NF - 5 Power Mix'!JZE22</f>
        <v>0</v>
      </c>
      <c r="JZF42" s="1046">
        <f>JZF38+((JZF40+'NF - 5 Power Mix'!JZF14+'NF - 5 Power Mix'!JZF15)*860/10)+((('Form Sa1'!JZI835)*860)/10)+('Form Sa1'!JZI814*'Form Sa1'!JZI816/10)-'NF - 5 Power Mix'!JZF21-'NF - 5 Power Mix'!JZF22</f>
        <v>0</v>
      </c>
      <c r="JZG42" s="1046">
        <f>JZG38+((JZG40+'NF - 5 Power Mix'!JZG14+'NF - 5 Power Mix'!JZG15)*860/10)+((('Form Sa1'!JZJ835)*860)/10)+('Form Sa1'!JZJ814*'Form Sa1'!JZJ816/10)-'NF - 5 Power Mix'!JZG21-'NF - 5 Power Mix'!JZG22</f>
        <v>0</v>
      </c>
      <c r="JZH42" s="1046">
        <f>JZH38+((JZH40+'NF - 5 Power Mix'!JZH14+'NF - 5 Power Mix'!JZH15)*860/10)+((('Form Sa1'!JZK835)*860)/10)+('Form Sa1'!JZK814*'Form Sa1'!JZK816/10)-'NF - 5 Power Mix'!JZH21-'NF - 5 Power Mix'!JZH22</f>
        <v>0</v>
      </c>
      <c r="JZI42" s="1046">
        <f>JZI38+((JZI40+'NF - 5 Power Mix'!JZI14+'NF - 5 Power Mix'!JZI15)*860/10)+((('Form Sa1'!JZL835)*860)/10)+('Form Sa1'!JZL814*'Form Sa1'!JZL816/10)-'NF - 5 Power Mix'!JZI21-'NF - 5 Power Mix'!JZI22</f>
        <v>0</v>
      </c>
      <c r="JZJ42" s="1046">
        <f>JZJ38+((JZJ40+'NF - 5 Power Mix'!JZJ14+'NF - 5 Power Mix'!JZJ15)*860/10)+((('Form Sa1'!JZM835)*860)/10)+('Form Sa1'!JZM814*'Form Sa1'!JZM816/10)-'NF - 5 Power Mix'!JZJ21-'NF - 5 Power Mix'!JZJ22</f>
        <v>0</v>
      </c>
      <c r="JZK42" s="1046">
        <f>JZK38+((JZK40+'NF - 5 Power Mix'!JZK14+'NF - 5 Power Mix'!JZK15)*860/10)+((('Form Sa1'!JZN835)*860)/10)+('Form Sa1'!JZN814*'Form Sa1'!JZN816/10)-'NF - 5 Power Mix'!JZK21-'NF - 5 Power Mix'!JZK22</f>
        <v>0</v>
      </c>
      <c r="JZL42" s="1046">
        <f>JZL38+((JZL40+'NF - 5 Power Mix'!JZL14+'NF - 5 Power Mix'!JZL15)*860/10)+((('Form Sa1'!JZO835)*860)/10)+('Form Sa1'!JZO814*'Form Sa1'!JZO816/10)-'NF - 5 Power Mix'!JZL21-'NF - 5 Power Mix'!JZL22</f>
        <v>0</v>
      </c>
      <c r="JZM42" s="1046">
        <f>JZM38+((JZM40+'NF - 5 Power Mix'!JZM14+'NF - 5 Power Mix'!JZM15)*860/10)+((('Form Sa1'!JZP835)*860)/10)+('Form Sa1'!JZP814*'Form Sa1'!JZP816/10)-'NF - 5 Power Mix'!JZM21-'NF - 5 Power Mix'!JZM22</f>
        <v>0</v>
      </c>
      <c r="JZN42" s="1046">
        <f>JZN38+((JZN40+'NF - 5 Power Mix'!JZN14+'NF - 5 Power Mix'!JZN15)*860/10)+((('Form Sa1'!JZQ835)*860)/10)+('Form Sa1'!JZQ814*'Form Sa1'!JZQ816/10)-'NF - 5 Power Mix'!JZN21-'NF - 5 Power Mix'!JZN22</f>
        <v>0</v>
      </c>
      <c r="JZO42" s="1046">
        <f>JZO38+((JZO40+'NF - 5 Power Mix'!JZO14+'NF - 5 Power Mix'!JZO15)*860/10)+((('Form Sa1'!JZR835)*860)/10)+('Form Sa1'!JZR814*'Form Sa1'!JZR816/10)-'NF - 5 Power Mix'!JZO21-'NF - 5 Power Mix'!JZO22</f>
        <v>0</v>
      </c>
      <c r="JZP42" s="1046">
        <f>JZP38+((JZP40+'NF - 5 Power Mix'!JZP14+'NF - 5 Power Mix'!JZP15)*860/10)+((('Form Sa1'!JZS835)*860)/10)+('Form Sa1'!JZS814*'Form Sa1'!JZS816/10)-'NF - 5 Power Mix'!JZP21-'NF - 5 Power Mix'!JZP22</f>
        <v>0</v>
      </c>
      <c r="JZQ42" s="1046">
        <f>JZQ38+((JZQ40+'NF - 5 Power Mix'!JZQ14+'NF - 5 Power Mix'!JZQ15)*860/10)+((('Form Sa1'!JZT835)*860)/10)+('Form Sa1'!JZT814*'Form Sa1'!JZT816/10)-'NF - 5 Power Mix'!JZQ21-'NF - 5 Power Mix'!JZQ22</f>
        <v>0</v>
      </c>
      <c r="JZR42" s="1046">
        <f>JZR38+((JZR40+'NF - 5 Power Mix'!JZR14+'NF - 5 Power Mix'!JZR15)*860/10)+((('Form Sa1'!JZU835)*860)/10)+('Form Sa1'!JZU814*'Form Sa1'!JZU816/10)-'NF - 5 Power Mix'!JZR21-'NF - 5 Power Mix'!JZR22</f>
        <v>0</v>
      </c>
      <c r="JZS42" s="1046">
        <f>JZS38+((JZS40+'NF - 5 Power Mix'!JZS14+'NF - 5 Power Mix'!JZS15)*860/10)+((('Form Sa1'!JZV835)*860)/10)+('Form Sa1'!JZV814*'Form Sa1'!JZV816/10)-'NF - 5 Power Mix'!JZS21-'NF - 5 Power Mix'!JZS22</f>
        <v>0</v>
      </c>
      <c r="JZT42" s="1046">
        <f>JZT38+((JZT40+'NF - 5 Power Mix'!JZT14+'NF - 5 Power Mix'!JZT15)*860/10)+((('Form Sa1'!JZW835)*860)/10)+('Form Sa1'!JZW814*'Form Sa1'!JZW816/10)-'NF - 5 Power Mix'!JZT21-'NF - 5 Power Mix'!JZT22</f>
        <v>0</v>
      </c>
      <c r="JZU42" s="1046">
        <f>JZU38+((JZU40+'NF - 5 Power Mix'!JZU14+'NF - 5 Power Mix'!JZU15)*860/10)+((('Form Sa1'!JZX835)*860)/10)+('Form Sa1'!JZX814*'Form Sa1'!JZX816/10)-'NF - 5 Power Mix'!JZU21-'NF - 5 Power Mix'!JZU22</f>
        <v>0</v>
      </c>
      <c r="JZV42" s="1046">
        <f>JZV38+((JZV40+'NF - 5 Power Mix'!JZV14+'NF - 5 Power Mix'!JZV15)*860/10)+((('Form Sa1'!JZY835)*860)/10)+('Form Sa1'!JZY814*'Form Sa1'!JZY816/10)-'NF - 5 Power Mix'!JZV21-'NF - 5 Power Mix'!JZV22</f>
        <v>0</v>
      </c>
      <c r="JZW42" s="1046">
        <f>JZW38+((JZW40+'NF - 5 Power Mix'!JZW14+'NF - 5 Power Mix'!JZW15)*860/10)+((('Form Sa1'!JZZ835)*860)/10)+('Form Sa1'!JZZ814*'Form Sa1'!JZZ816/10)-'NF - 5 Power Mix'!JZW21-'NF - 5 Power Mix'!JZW22</f>
        <v>0</v>
      </c>
      <c r="JZX42" s="1046">
        <f>JZX38+((JZX40+'NF - 5 Power Mix'!JZX14+'NF - 5 Power Mix'!JZX15)*860/10)+((('Form Sa1'!KAA835)*860)/10)+('Form Sa1'!KAA814*'Form Sa1'!KAA816/10)-'NF - 5 Power Mix'!JZX21-'NF - 5 Power Mix'!JZX22</f>
        <v>0</v>
      </c>
      <c r="JZY42" s="1046">
        <f>JZY38+((JZY40+'NF - 5 Power Mix'!JZY14+'NF - 5 Power Mix'!JZY15)*860/10)+((('Form Sa1'!KAB835)*860)/10)+('Form Sa1'!KAB814*'Form Sa1'!KAB816/10)-'NF - 5 Power Mix'!JZY21-'NF - 5 Power Mix'!JZY22</f>
        <v>0</v>
      </c>
      <c r="JZZ42" s="1046">
        <f>JZZ38+((JZZ40+'NF - 5 Power Mix'!JZZ14+'NF - 5 Power Mix'!JZZ15)*860/10)+((('Form Sa1'!KAC835)*860)/10)+('Form Sa1'!KAC814*'Form Sa1'!KAC816/10)-'NF - 5 Power Mix'!JZZ21-'NF - 5 Power Mix'!JZZ22</f>
        <v>0</v>
      </c>
      <c r="KAA42" s="1046">
        <f>KAA38+((KAA40+'NF - 5 Power Mix'!KAA14+'NF - 5 Power Mix'!KAA15)*860/10)+((('Form Sa1'!KAD835)*860)/10)+('Form Sa1'!KAD814*'Form Sa1'!KAD816/10)-'NF - 5 Power Mix'!KAA21-'NF - 5 Power Mix'!KAA22</f>
        <v>0</v>
      </c>
      <c r="KAB42" s="1046">
        <f>KAB38+((KAB40+'NF - 5 Power Mix'!KAB14+'NF - 5 Power Mix'!KAB15)*860/10)+((('Form Sa1'!KAE835)*860)/10)+('Form Sa1'!KAE814*'Form Sa1'!KAE816/10)-'NF - 5 Power Mix'!KAB21-'NF - 5 Power Mix'!KAB22</f>
        <v>0</v>
      </c>
      <c r="KAC42" s="1046">
        <f>KAC38+((KAC40+'NF - 5 Power Mix'!KAC14+'NF - 5 Power Mix'!KAC15)*860/10)+((('Form Sa1'!KAF835)*860)/10)+('Form Sa1'!KAF814*'Form Sa1'!KAF816/10)-'NF - 5 Power Mix'!KAC21-'NF - 5 Power Mix'!KAC22</f>
        <v>0</v>
      </c>
      <c r="KAD42" s="1046">
        <f>KAD38+((KAD40+'NF - 5 Power Mix'!KAD14+'NF - 5 Power Mix'!KAD15)*860/10)+((('Form Sa1'!KAG835)*860)/10)+('Form Sa1'!KAG814*'Form Sa1'!KAG816/10)-'NF - 5 Power Mix'!KAD21-'NF - 5 Power Mix'!KAD22</f>
        <v>0</v>
      </c>
      <c r="KAE42" s="1046">
        <f>KAE38+((KAE40+'NF - 5 Power Mix'!KAE14+'NF - 5 Power Mix'!KAE15)*860/10)+((('Form Sa1'!KAH835)*860)/10)+('Form Sa1'!KAH814*'Form Sa1'!KAH816/10)-'NF - 5 Power Mix'!KAE21-'NF - 5 Power Mix'!KAE22</f>
        <v>0</v>
      </c>
      <c r="KAF42" s="1046">
        <f>KAF38+((KAF40+'NF - 5 Power Mix'!KAF14+'NF - 5 Power Mix'!KAF15)*860/10)+((('Form Sa1'!KAI835)*860)/10)+('Form Sa1'!KAI814*'Form Sa1'!KAI816/10)-'NF - 5 Power Mix'!KAF21-'NF - 5 Power Mix'!KAF22</f>
        <v>0</v>
      </c>
      <c r="KAG42" s="1046">
        <f>KAG38+((KAG40+'NF - 5 Power Mix'!KAG14+'NF - 5 Power Mix'!KAG15)*860/10)+((('Form Sa1'!KAJ835)*860)/10)+('Form Sa1'!KAJ814*'Form Sa1'!KAJ816/10)-'NF - 5 Power Mix'!KAG21-'NF - 5 Power Mix'!KAG22</f>
        <v>0</v>
      </c>
      <c r="KAH42" s="1046">
        <f>KAH38+((KAH40+'NF - 5 Power Mix'!KAH14+'NF - 5 Power Mix'!KAH15)*860/10)+((('Form Sa1'!KAK835)*860)/10)+('Form Sa1'!KAK814*'Form Sa1'!KAK816/10)-'NF - 5 Power Mix'!KAH21-'NF - 5 Power Mix'!KAH22</f>
        <v>0</v>
      </c>
      <c r="KAI42" s="1046">
        <f>KAI38+((KAI40+'NF - 5 Power Mix'!KAI14+'NF - 5 Power Mix'!KAI15)*860/10)+((('Form Sa1'!KAL835)*860)/10)+('Form Sa1'!KAL814*'Form Sa1'!KAL816/10)-'NF - 5 Power Mix'!KAI21-'NF - 5 Power Mix'!KAI22</f>
        <v>0</v>
      </c>
      <c r="KAJ42" s="1046">
        <f>KAJ38+((KAJ40+'NF - 5 Power Mix'!KAJ14+'NF - 5 Power Mix'!KAJ15)*860/10)+((('Form Sa1'!KAM835)*860)/10)+('Form Sa1'!KAM814*'Form Sa1'!KAM816/10)-'NF - 5 Power Mix'!KAJ21-'NF - 5 Power Mix'!KAJ22</f>
        <v>0</v>
      </c>
      <c r="KAK42" s="1046">
        <f>KAK38+((KAK40+'NF - 5 Power Mix'!KAK14+'NF - 5 Power Mix'!KAK15)*860/10)+((('Form Sa1'!KAN835)*860)/10)+('Form Sa1'!KAN814*'Form Sa1'!KAN816/10)-'NF - 5 Power Mix'!KAK21-'NF - 5 Power Mix'!KAK22</f>
        <v>0</v>
      </c>
      <c r="KAL42" s="1046">
        <f>KAL38+((KAL40+'NF - 5 Power Mix'!KAL14+'NF - 5 Power Mix'!KAL15)*860/10)+((('Form Sa1'!KAO835)*860)/10)+('Form Sa1'!KAO814*'Form Sa1'!KAO816/10)-'NF - 5 Power Mix'!KAL21-'NF - 5 Power Mix'!KAL22</f>
        <v>0</v>
      </c>
      <c r="KAM42" s="1046">
        <f>KAM38+((KAM40+'NF - 5 Power Mix'!KAM14+'NF - 5 Power Mix'!KAM15)*860/10)+((('Form Sa1'!KAP835)*860)/10)+('Form Sa1'!KAP814*'Form Sa1'!KAP816/10)-'NF - 5 Power Mix'!KAM21-'NF - 5 Power Mix'!KAM22</f>
        <v>0</v>
      </c>
      <c r="KAN42" s="1046">
        <f>KAN38+((KAN40+'NF - 5 Power Mix'!KAN14+'NF - 5 Power Mix'!KAN15)*860/10)+((('Form Sa1'!KAQ835)*860)/10)+('Form Sa1'!KAQ814*'Form Sa1'!KAQ816/10)-'NF - 5 Power Mix'!KAN21-'NF - 5 Power Mix'!KAN22</f>
        <v>0</v>
      </c>
      <c r="KAO42" s="1046">
        <f>KAO38+((KAO40+'NF - 5 Power Mix'!KAO14+'NF - 5 Power Mix'!KAO15)*860/10)+((('Form Sa1'!KAR835)*860)/10)+('Form Sa1'!KAR814*'Form Sa1'!KAR816/10)-'NF - 5 Power Mix'!KAO21-'NF - 5 Power Mix'!KAO22</f>
        <v>0</v>
      </c>
      <c r="KAP42" s="1046">
        <f>KAP38+((KAP40+'NF - 5 Power Mix'!KAP14+'NF - 5 Power Mix'!KAP15)*860/10)+((('Form Sa1'!KAS835)*860)/10)+('Form Sa1'!KAS814*'Form Sa1'!KAS816/10)-'NF - 5 Power Mix'!KAP21-'NF - 5 Power Mix'!KAP22</f>
        <v>0</v>
      </c>
      <c r="KAQ42" s="1046">
        <f>KAQ38+((KAQ40+'NF - 5 Power Mix'!KAQ14+'NF - 5 Power Mix'!KAQ15)*860/10)+((('Form Sa1'!KAT835)*860)/10)+('Form Sa1'!KAT814*'Form Sa1'!KAT816/10)-'NF - 5 Power Mix'!KAQ21-'NF - 5 Power Mix'!KAQ22</f>
        <v>0</v>
      </c>
      <c r="KAR42" s="1046">
        <f>KAR38+((KAR40+'NF - 5 Power Mix'!KAR14+'NF - 5 Power Mix'!KAR15)*860/10)+((('Form Sa1'!KAU835)*860)/10)+('Form Sa1'!KAU814*'Form Sa1'!KAU816/10)-'NF - 5 Power Mix'!KAR21-'NF - 5 Power Mix'!KAR22</f>
        <v>0</v>
      </c>
      <c r="KAS42" s="1046">
        <f>KAS38+((KAS40+'NF - 5 Power Mix'!KAS14+'NF - 5 Power Mix'!KAS15)*860/10)+((('Form Sa1'!KAV835)*860)/10)+('Form Sa1'!KAV814*'Form Sa1'!KAV816/10)-'NF - 5 Power Mix'!KAS21-'NF - 5 Power Mix'!KAS22</f>
        <v>0</v>
      </c>
      <c r="KAT42" s="1046">
        <f>KAT38+((KAT40+'NF - 5 Power Mix'!KAT14+'NF - 5 Power Mix'!KAT15)*860/10)+((('Form Sa1'!KAW835)*860)/10)+('Form Sa1'!KAW814*'Form Sa1'!KAW816/10)-'NF - 5 Power Mix'!KAT21-'NF - 5 Power Mix'!KAT22</f>
        <v>0</v>
      </c>
      <c r="KAU42" s="1046">
        <f>KAU38+((KAU40+'NF - 5 Power Mix'!KAU14+'NF - 5 Power Mix'!KAU15)*860/10)+((('Form Sa1'!KAX835)*860)/10)+('Form Sa1'!KAX814*'Form Sa1'!KAX816/10)-'NF - 5 Power Mix'!KAU21-'NF - 5 Power Mix'!KAU22</f>
        <v>0</v>
      </c>
      <c r="KAV42" s="1046">
        <f>KAV38+((KAV40+'NF - 5 Power Mix'!KAV14+'NF - 5 Power Mix'!KAV15)*860/10)+((('Form Sa1'!KAY835)*860)/10)+('Form Sa1'!KAY814*'Form Sa1'!KAY816/10)-'NF - 5 Power Mix'!KAV21-'NF - 5 Power Mix'!KAV22</f>
        <v>0</v>
      </c>
      <c r="KAW42" s="1046">
        <f>KAW38+((KAW40+'NF - 5 Power Mix'!KAW14+'NF - 5 Power Mix'!KAW15)*860/10)+((('Form Sa1'!KAZ835)*860)/10)+('Form Sa1'!KAZ814*'Form Sa1'!KAZ816/10)-'NF - 5 Power Mix'!KAW21-'NF - 5 Power Mix'!KAW22</f>
        <v>0</v>
      </c>
      <c r="KAX42" s="1046">
        <f>KAX38+((KAX40+'NF - 5 Power Mix'!KAX14+'NF - 5 Power Mix'!KAX15)*860/10)+((('Form Sa1'!KBA835)*860)/10)+('Form Sa1'!KBA814*'Form Sa1'!KBA816/10)-'NF - 5 Power Mix'!KAX21-'NF - 5 Power Mix'!KAX22</f>
        <v>0</v>
      </c>
      <c r="KAY42" s="1046">
        <f>KAY38+((KAY40+'NF - 5 Power Mix'!KAY14+'NF - 5 Power Mix'!KAY15)*860/10)+((('Form Sa1'!KBB835)*860)/10)+('Form Sa1'!KBB814*'Form Sa1'!KBB816/10)-'NF - 5 Power Mix'!KAY21-'NF - 5 Power Mix'!KAY22</f>
        <v>0</v>
      </c>
      <c r="KAZ42" s="1046">
        <f>KAZ38+((KAZ40+'NF - 5 Power Mix'!KAZ14+'NF - 5 Power Mix'!KAZ15)*860/10)+((('Form Sa1'!KBC835)*860)/10)+('Form Sa1'!KBC814*'Form Sa1'!KBC816/10)-'NF - 5 Power Mix'!KAZ21-'NF - 5 Power Mix'!KAZ22</f>
        <v>0</v>
      </c>
      <c r="KBA42" s="1046">
        <f>KBA38+((KBA40+'NF - 5 Power Mix'!KBA14+'NF - 5 Power Mix'!KBA15)*860/10)+((('Form Sa1'!KBD835)*860)/10)+('Form Sa1'!KBD814*'Form Sa1'!KBD816/10)-'NF - 5 Power Mix'!KBA21-'NF - 5 Power Mix'!KBA22</f>
        <v>0</v>
      </c>
      <c r="KBB42" s="1046">
        <f>KBB38+((KBB40+'NF - 5 Power Mix'!KBB14+'NF - 5 Power Mix'!KBB15)*860/10)+((('Form Sa1'!KBE835)*860)/10)+('Form Sa1'!KBE814*'Form Sa1'!KBE816/10)-'NF - 5 Power Mix'!KBB21-'NF - 5 Power Mix'!KBB22</f>
        <v>0</v>
      </c>
      <c r="KBC42" s="1046">
        <f>KBC38+((KBC40+'NF - 5 Power Mix'!KBC14+'NF - 5 Power Mix'!KBC15)*860/10)+((('Form Sa1'!KBF835)*860)/10)+('Form Sa1'!KBF814*'Form Sa1'!KBF816/10)-'NF - 5 Power Mix'!KBC21-'NF - 5 Power Mix'!KBC22</f>
        <v>0</v>
      </c>
      <c r="KBD42" s="1046">
        <f>KBD38+((KBD40+'NF - 5 Power Mix'!KBD14+'NF - 5 Power Mix'!KBD15)*860/10)+((('Form Sa1'!KBG835)*860)/10)+('Form Sa1'!KBG814*'Form Sa1'!KBG816/10)-'NF - 5 Power Mix'!KBD21-'NF - 5 Power Mix'!KBD22</f>
        <v>0</v>
      </c>
      <c r="KBE42" s="1046">
        <f>KBE38+((KBE40+'NF - 5 Power Mix'!KBE14+'NF - 5 Power Mix'!KBE15)*860/10)+((('Form Sa1'!KBH835)*860)/10)+('Form Sa1'!KBH814*'Form Sa1'!KBH816/10)-'NF - 5 Power Mix'!KBE21-'NF - 5 Power Mix'!KBE22</f>
        <v>0</v>
      </c>
      <c r="KBF42" s="1046">
        <f>KBF38+((KBF40+'NF - 5 Power Mix'!KBF14+'NF - 5 Power Mix'!KBF15)*860/10)+((('Form Sa1'!KBI835)*860)/10)+('Form Sa1'!KBI814*'Form Sa1'!KBI816/10)-'NF - 5 Power Mix'!KBF21-'NF - 5 Power Mix'!KBF22</f>
        <v>0</v>
      </c>
      <c r="KBG42" s="1046">
        <f>KBG38+((KBG40+'NF - 5 Power Mix'!KBG14+'NF - 5 Power Mix'!KBG15)*860/10)+((('Form Sa1'!KBJ835)*860)/10)+('Form Sa1'!KBJ814*'Form Sa1'!KBJ816/10)-'NF - 5 Power Mix'!KBG21-'NF - 5 Power Mix'!KBG22</f>
        <v>0</v>
      </c>
      <c r="KBH42" s="1046">
        <f>KBH38+((KBH40+'NF - 5 Power Mix'!KBH14+'NF - 5 Power Mix'!KBH15)*860/10)+((('Form Sa1'!KBK835)*860)/10)+('Form Sa1'!KBK814*'Form Sa1'!KBK816/10)-'NF - 5 Power Mix'!KBH21-'NF - 5 Power Mix'!KBH22</f>
        <v>0</v>
      </c>
      <c r="KBI42" s="1046">
        <f>KBI38+((KBI40+'NF - 5 Power Mix'!KBI14+'NF - 5 Power Mix'!KBI15)*860/10)+((('Form Sa1'!KBL835)*860)/10)+('Form Sa1'!KBL814*'Form Sa1'!KBL816/10)-'NF - 5 Power Mix'!KBI21-'NF - 5 Power Mix'!KBI22</f>
        <v>0</v>
      </c>
      <c r="KBJ42" s="1046">
        <f>KBJ38+((KBJ40+'NF - 5 Power Mix'!KBJ14+'NF - 5 Power Mix'!KBJ15)*860/10)+((('Form Sa1'!KBM835)*860)/10)+('Form Sa1'!KBM814*'Form Sa1'!KBM816/10)-'NF - 5 Power Mix'!KBJ21-'NF - 5 Power Mix'!KBJ22</f>
        <v>0</v>
      </c>
      <c r="KBK42" s="1046">
        <f>KBK38+((KBK40+'NF - 5 Power Mix'!KBK14+'NF - 5 Power Mix'!KBK15)*860/10)+((('Form Sa1'!KBN835)*860)/10)+('Form Sa1'!KBN814*'Form Sa1'!KBN816/10)-'NF - 5 Power Mix'!KBK21-'NF - 5 Power Mix'!KBK22</f>
        <v>0</v>
      </c>
      <c r="KBL42" s="1046">
        <f>KBL38+((KBL40+'NF - 5 Power Mix'!KBL14+'NF - 5 Power Mix'!KBL15)*860/10)+((('Form Sa1'!KBO835)*860)/10)+('Form Sa1'!KBO814*'Form Sa1'!KBO816/10)-'NF - 5 Power Mix'!KBL21-'NF - 5 Power Mix'!KBL22</f>
        <v>0</v>
      </c>
      <c r="KBM42" s="1046">
        <f>KBM38+((KBM40+'NF - 5 Power Mix'!KBM14+'NF - 5 Power Mix'!KBM15)*860/10)+((('Form Sa1'!KBP835)*860)/10)+('Form Sa1'!KBP814*'Form Sa1'!KBP816/10)-'NF - 5 Power Mix'!KBM21-'NF - 5 Power Mix'!KBM22</f>
        <v>0</v>
      </c>
      <c r="KBN42" s="1046">
        <f>KBN38+((KBN40+'NF - 5 Power Mix'!KBN14+'NF - 5 Power Mix'!KBN15)*860/10)+((('Form Sa1'!KBQ835)*860)/10)+('Form Sa1'!KBQ814*'Form Sa1'!KBQ816/10)-'NF - 5 Power Mix'!KBN21-'NF - 5 Power Mix'!KBN22</f>
        <v>0</v>
      </c>
      <c r="KBO42" s="1046">
        <f>KBO38+((KBO40+'NF - 5 Power Mix'!KBO14+'NF - 5 Power Mix'!KBO15)*860/10)+((('Form Sa1'!KBR835)*860)/10)+('Form Sa1'!KBR814*'Form Sa1'!KBR816/10)-'NF - 5 Power Mix'!KBO21-'NF - 5 Power Mix'!KBO22</f>
        <v>0</v>
      </c>
      <c r="KBP42" s="1046">
        <f>KBP38+((KBP40+'NF - 5 Power Mix'!KBP14+'NF - 5 Power Mix'!KBP15)*860/10)+((('Form Sa1'!KBS835)*860)/10)+('Form Sa1'!KBS814*'Form Sa1'!KBS816/10)-'NF - 5 Power Mix'!KBP21-'NF - 5 Power Mix'!KBP22</f>
        <v>0</v>
      </c>
      <c r="KBQ42" s="1046">
        <f>KBQ38+((KBQ40+'NF - 5 Power Mix'!KBQ14+'NF - 5 Power Mix'!KBQ15)*860/10)+((('Form Sa1'!KBT835)*860)/10)+('Form Sa1'!KBT814*'Form Sa1'!KBT816/10)-'NF - 5 Power Mix'!KBQ21-'NF - 5 Power Mix'!KBQ22</f>
        <v>0</v>
      </c>
      <c r="KBR42" s="1046">
        <f>KBR38+((KBR40+'NF - 5 Power Mix'!KBR14+'NF - 5 Power Mix'!KBR15)*860/10)+((('Form Sa1'!KBU835)*860)/10)+('Form Sa1'!KBU814*'Form Sa1'!KBU816/10)-'NF - 5 Power Mix'!KBR21-'NF - 5 Power Mix'!KBR22</f>
        <v>0</v>
      </c>
      <c r="KBS42" s="1046">
        <f>KBS38+((KBS40+'NF - 5 Power Mix'!KBS14+'NF - 5 Power Mix'!KBS15)*860/10)+((('Form Sa1'!KBV835)*860)/10)+('Form Sa1'!KBV814*'Form Sa1'!KBV816/10)-'NF - 5 Power Mix'!KBS21-'NF - 5 Power Mix'!KBS22</f>
        <v>0</v>
      </c>
      <c r="KBT42" s="1046">
        <f>KBT38+((KBT40+'NF - 5 Power Mix'!KBT14+'NF - 5 Power Mix'!KBT15)*860/10)+((('Form Sa1'!KBW835)*860)/10)+('Form Sa1'!KBW814*'Form Sa1'!KBW816/10)-'NF - 5 Power Mix'!KBT21-'NF - 5 Power Mix'!KBT22</f>
        <v>0</v>
      </c>
      <c r="KBU42" s="1046">
        <f>KBU38+((KBU40+'NF - 5 Power Mix'!KBU14+'NF - 5 Power Mix'!KBU15)*860/10)+((('Form Sa1'!KBX835)*860)/10)+('Form Sa1'!KBX814*'Form Sa1'!KBX816/10)-'NF - 5 Power Mix'!KBU21-'NF - 5 Power Mix'!KBU22</f>
        <v>0</v>
      </c>
      <c r="KBV42" s="1046">
        <f>KBV38+((KBV40+'NF - 5 Power Mix'!KBV14+'NF - 5 Power Mix'!KBV15)*860/10)+((('Form Sa1'!KBY835)*860)/10)+('Form Sa1'!KBY814*'Form Sa1'!KBY816/10)-'NF - 5 Power Mix'!KBV21-'NF - 5 Power Mix'!KBV22</f>
        <v>0</v>
      </c>
      <c r="KBW42" s="1046">
        <f>KBW38+((KBW40+'NF - 5 Power Mix'!KBW14+'NF - 5 Power Mix'!KBW15)*860/10)+((('Form Sa1'!KBZ835)*860)/10)+('Form Sa1'!KBZ814*'Form Sa1'!KBZ816/10)-'NF - 5 Power Mix'!KBW21-'NF - 5 Power Mix'!KBW22</f>
        <v>0</v>
      </c>
      <c r="KBX42" s="1046">
        <f>KBX38+((KBX40+'NF - 5 Power Mix'!KBX14+'NF - 5 Power Mix'!KBX15)*860/10)+((('Form Sa1'!KCA835)*860)/10)+('Form Sa1'!KCA814*'Form Sa1'!KCA816/10)-'NF - 5 Power Mix'!KBX21-'NF - 5 Power Mix'!KBX22</f>
        <v>0</v>
      </c>
      <c r="KBY42" s="1046">
        <f>KBY38+((KBY40+'NF - 5 Power Mix'!KBY14+'NF - 5 Power Mix'!KBY15)*860/10)+((('Form Sa1'!KCB835)*860)/10)+('Form Sa1'!KCB814*'Form Sa1'!KCB816/10)-'NF - 5 Power Mix'!KBY21-'NF - 5 Power Mix'!KBY22</f>
        <v>0</v>
      </c>
      <c r="KBZ42" s="1046">
        <f>KBZ38+((KBZ40+'NF - 5 Power Mix'!KBZ14+'NF - 5 Power Mix'!KBZ15)*860/10)+((('Form Sa1'!KCC835)*860)/10)+('Form Sa1'!KCC814*'Form Sa1'!KCC816/10)-'NF - 5 Power Mix'!KBZ21-'NF - 5 Power Mix'!KBZ22</f>
        <v>0</v>
      </c>
      <c r="KCA42" s="1046">
        <f>KCA38+((KCA40+'NF - 5 Power Mix'!KCA14+'NF - 5 Power Mix'!KCA15)*860/10)+((('Form Sa1'!KCD835)*860)/10)+('Form Sa1'!KCD814*'Form Sa1'!KCD816/10)-'NF - 5 Power Mix'!KCA21-'NF - 5 Power Mix'!KCA22</f>
        <v>0</v>
      </c>
      <c r="KCB42" s="1046">
        <f>KCB38+((KCB40+'NF - 5 Power Mix'!KCB14+'NF - 5 Power Mix'!KCB15)*860/10)+((('Form Sa1'!KCE835)*860)/10)+('Form Sa1'!KCE814*'Form Sa1'!KCE816/10)-'NF - 5 Power Mix'!KCB21-'NF - 5 Power Mix'!KCB22</f>
        <v>0</v>
      </c>
      <c r="KCC42" s="1046">
        <f>KCC38+((KCC40+'NF - 5 Power Mix'!KCC14+'NF - 5 Power Mix'!KCC15)*860/10)+((('Form Sa1'!KCF835)*860)/10)+('Form Sa1'!KCF814*'Form Sa1'!KCF816/10)-'NF - 5 Power Mix'!KCC21-'NF - 5 Power Mix'!KCC22</f>
        <v>0</v>
      </c>
      <c r="KCD42" s="1046">
        <f>KCD38+((KCD40+'NF - 5 Power Mix'!KCD14+'NF - 5 Power Mix'!KCD15)*860/10)+((('Form Sa1'!KCG835)*860)/10)+('Form Sa1'!KCG814*'Form Sa1'!KCG816/10)-'NF - 5 Power Mix'!KCD21-'NF - 5 Power Mix'!KCD22</f>
        <v>0</v>
      </c>
      <c r="KCE42" s="1046">
        <f>KCE38+((KCE40+'NF - 5 Power Mix'!KCE14+'NF - 5 Power Mix'!KCE15)*860/10)+((('Form Sa1'!KCH835)*860)/10)+('Form Sa1'!KCH814*'Form Sa1'!KCH816/10)-'NF - 5 Power Mix'!KCE21-'NF - 5 Power Mix'!KCE22</f>
        <v>0</v>
      </c>
      <c r="KCF42" s="1046">
        <f>KCF38+((KCF40+'NF - 5 Power Mix'!KCF14+'NF - 5 Power Mix'!KCF15)*860/10)+((('Form Sa1'!KCI835)*860)/10)+('Form Sa1'!KCI814*'Form Sa1'!KCI816/10)-'NF - 5 Power Mix'!KCF21-'NF - 5 Power Mix'!KCF22</f>
        <v>0</v>
      </c>
      <c r="KCG42" s="1046">
        <f>KCG38+((KCG40+'NF - 5 Power Mix'!KCG14+'NF - 5 Power Mix'!KCG15)*860/10)+((('Form Sa1'!KCJ835)*860)/10)+('Form Sa1'!KCJ814*'Form Sa1'!KCJ816/10)-'NF - 5 Power Mix'!KCG21-'NF - 5 Power Mix'!KCG22</f>
        <v>0</v>
      </c>
      <c r="KCH42" s="1046">
        <f>KCH38+((KCH40+'NF - 5 Power Mix'!KCH14+'NF - 5 Power Mix'!KCH15)*860/10)+((('Form Sa1'!KCK835)*860)/10)+('Form Sa1'!KCK814*'Form Sa1'!KCK816/10)-'NF - 5 Power Mix'!KCH21-'NF - 5 Power Mix'!KCH22</f>
        <v>0</v>
      </c>
      <c r="KCI42" s="1046">
        <f>KCI38+((KCI40+'NF - 5 Power Mix'!KCI14+'NF - 5 Power Mix'!KCI15)*860/10)+((('Form Sa1'!KCL835)*860)/10)+('Form Sa1'!KCL814*'Form Sa1'!KCL816/10)-'NF - 5 Power Mix'!KCI21-'NF - 5 Power Mix'!KCI22</f>
        <v>0</v>
      </c>
      <c r="KCJ42" s="1046">
        <f>KCJ38+((KCJ40+'NF - 5 Power Mix'!KCJ14+'NF - 5 Power Mix'!KCJ15)*860/10)+((('Form Sa1'!KCM835)*860)/10)+('Form Sa1'!KCM814*'Form Sa1'!KCM816/10)-'NF - 5 Power Mix'!KCJ21-'NF - 5 Power Mix'!KCJ22</f>
        <v>0</v>
      </c>
      <c r="KCK42" s="1046">
        <f>KCK38+((KCK40+'NF - 5 Power Mix'!KCK14+'NF - 5 Power Mix'!KCK15)*860/10)+((('Form Sa1'!KCN835)*860)/10)+('Form Sa1'!KCN814*'Form Sa1'!KCN816/10)-'NF - 5 Power Mix'!KCK21-'NF - 5 Power Mix'!KCK22</f>
        <v>0</v>
      </c>
      <c r="KCL42" s="1046">
        <f>KCL38+((KCL40+'NF - 5 Power Mix'!KCL14+'NF - 5 Power Mix'!KCL15)*860/10)+((('Form Sa1'!KCO835)*860)/10)+('Form Sa1'!KCO814*'Form Sa1'!KCO816/10)-'NF - 5 Power Mix'!KCL21-'NF - 5 Power Mix'!KCL22</f>
        <v>0</v>
      </c>
      <c r="KCM42" s="1046">
        <f>KCM38+((KCM40+'NF - 5 Power Mix'!KCM14+'NF - 5 Power Mix'!KCM15)*860/10)+((('Form Sa1'!KCP835)*860)/10)+('Form Sa1'!KCP814*'Form Sa1'!KCP816/10)-'NF - 5 Power Mix'!KCM21-'NF - 5 Power Mix'!KCM22</f>
        <v>0</v>
      </c>
      <c r="KCN42" s="1046">
        <f>KCN38+((KCN40+'NF - 5 Power Mix'!KCN14+'NF - 5 Power Mix'!KCN15)*860/10)+((('Form Sa1'!KCQ835)*860)/10)+('Form Sa1'!KCQ814*'Form Sa1'!KCQ816/10)-'NF - 5 Power Mix'!KCN21-'NF - 5 Power Mix'!KCN22</f>
        <v>0</v>
      </c>
      <c r="KCO42" s="1046">
        <f>KCO38+((KCO40+'NF - 5 Power Mix'!KCO14+'NF - 5 Power Mix'!KCO15)*860/10)+((('Form Sa1'!KCR835)*860)/10)+('Form Sa1'!KCR814*'Form Sa1'!KCR816/10)-'NF - 5 Power Mix'!KCO21-'NF - 5 Power Mix'!KCO22</f>
        <v>0</v>
      </c>
      <c r="KCP42" s="1046">
        <f>KCP38+((KCP40+'NF - 5 Power Mix'!KCP14+'NF - 5 Power Mix'!KCP15)*860/10)+((('Form Sa1'!KCS835)*860)/10)+('Form Sa1'!KCS814*'Form Sa1'!KCS816/10)-'NF - 5 Power Mix'!KCP21-'NF - 5 Power Mix'!KCP22</f>
        <v>0</v>
      </c>
      <c r="KCQ42" s="1046">
        <f>KCQ38+((KCQ40+'NF - 5 Power Mix'!KCQ14+'NF - 5 Power Mix'!KCQ15)*860/10)+((('Form Sa1'!KCT835)*860)/10)+('Form Sa1'!KCT814*'Form Sa1'!KCT816/10)-'NF - 5 Power Mix'!KCQ21-'NF - 5 Power Mix'!KCQ22</f>
        <v>0</v>
      </c>
      <c r="KCR42" s="1046">
        <f>KCR38+((KCR40+'NF - 5 Power Mix'!KCR14+'NF - 5 Power Mix'!KCR15)*860/10)+((('Form Sa1'!KCU835)*860)/10)+('Form Sa1'!KCU814*'Form Sa1'!KCU816/10)-'NF - 5 Power Mix'!KCR21-'NF - 5 Power Mix'!KCR22</f>
        <v>0</v>
      </c>
      <c r="KCS42" s="1046">
        <f>KCS38+((KCS40+'NF - 5 Power Mix'!KCS14+'NF - 5 Power Mix'!KCS15)*860/10)+((('Form Sa1'!KCV835)*860)/10)+('Form Sa1'!KCV814*'Form Sa1'!KCV816/10)-'NF - 5 Power Mix'!KCS21-'NF - 5 Power Mix'!KCS22</f>
        <v>0</v>
      </c>
      <c r="KCT42" s="1046">
        <f>KCT38+((KCT40+'NF - 5 Power Mix'!KCT14+'NF - 5 Power Mix'!KCT15)*860/10)+((('Form Sa1'!KCW835)*860)/10)+('Form Sa1'!KCW814*'Form Sa1'!KCW816/10)-'NF - 5 Power Mix'!KCT21-'NF - 5 Power Mix'!KCT22</f>
        <v>0</v>
      </c>
      <c r="KCU42" s="1046">
        <f>KCU38+((KCU40+'NF - 5 Power Mix'!KCU14+'NF - 5 Power Mix'!KCU15)*860/10)+((('Form Sa1'!KCX835)*860)/10)+('Form Sa1'!KCX814*'Form Sa1'!KCX816/10)-'NF - 5 Power Mix'!KCU21-'NF - 5 Power Mix'!KCU22</f>
        <v>0</v>
      </c>
      <c r="KCV42" s="1046">
        <f>KCV38+((KCV40+'NF - 5 Power Mix'!KCV14+'NF - 5 Power Mix'!KCV15)*860/10)+((('Form Sa1'!KCY835)*860)/10)+('Form Sa1'!KCY814*'Form Sa1'!KCY816/10)-'NF - 5 Power Mix'!KCV21-'NF - 5 Power Mix'!KCV22</f>
        <v>0</v>
      </c>
      <c r="KCW42" s="1046">
        <f>KCW38+((KCW40+'NF - 5 Power Mix'!KCW14+'NF - 5 Power Mix'!KCW15)*860/10)+((('Form Sa1'!KCZ835)*860)/10)+('Form Sa1'!KCZ814*'Form Sa1'!KCZ816/10)-'NF - 5 Power Mix'!KCW21-'NF - 5 Power Mix'!KCW22</f>
        <v>0</v>
      </c>
      <c r="KCX42" s="1046">
        <f>KCX38+((KCX40+'NF - 5 Power Mix'!KCX14+'NF - 5 Power Mix'!KCX15)*860/10)+((('Form Sa1'!KDA835)*860)/10)+('Form Sa1'!KDA814*'Form Sa1'!KDA816/10)-'NF - 5 Power Mix'!KCX21-'NF - 5 Power Mix'!KCX22</f>
        <v>0</v>
      </c>
      <c r="KCY42" s="1046">
        <f>KCY38+((KCY40+'NF - 5 Power Mix'!KCY14+'NF - 5 Power Mix'!KCY15)*860/10)+((('Form Sa1'!KDB835)*860)/10)+('Form Sa1'!KDB814*'Form Sa1'!KDB816/10)-'NF - 5 Power Mix'!KCY21-'NF - 5 Power Mix'!KCY22</f>
        <v>0</v>
      </c>
      <c r="KCZ42" s="1046">
        <f>KCZ38+((KCZ40+'NF - 5 Power Mix'!KCZ14+'NF - 5 Power Mix'!KCZ15)*860/10)+((('Form Sa1'!KDC835)*860)/10)+('Form Sa1'!KDC814*'Form Sa1'!KDC816/10)-'NF - 5 Power Mix'!KCZ21-'NF - 5 Power Mix'!KCZ22</f>
        <v>0</v>
      </c>
      <c r="KDA42" s="1046">
        <f>KDA38+((KDA40+'NF - 5 Power Mix'!KDA14+'NF - 5 Power Mix'!KDA15)*860/10)+((('Form Sa1'!KDD835)*860)/10)+('Form Sa1'!KDD814*'Form Sa1'!KDD816/10)-'NF - 5 Power Mix'!KDA21-'NF - 5 Power Mix'!KDA22</f>
        <v>0</v>
      </c>
      <c r="KDB42" s="1046">
        <f>KDB38+((KDB40+'NF - 5 Power Mix'!KDB14+'NF - 5 Power Mix'!KDB15)*860/10)+((('Form Sa1'!KDE835)*860)/10)+('Form Sa1'!KDE814*'Form Sa1'!KDE816/10)-'NF - 5 Power Mix'!KDB21-'NF - 5 Power Mix'!KDB22</f>
        <v>0</v>
      </c>
      <c r="KDC42" s="1046">
        <f>KDC38+((KDC40+'NF - 5 Power Mix'!KDC14+'NF - 5 Power Mix'!KDC15)*860/10)+((('Form Sa1'!KDF835)*860)/10)+('Form Sa1'!KDF814*'Form Sa1'!KDF816/10)-'NF - 5 Power Mix'!KDC21-'NF - 5 Power Mix'!KDC22</f>
        <v>0</v>
      </c>
      <c r="KDD42" s="1046">
        <f>KDD38+((KDD40+'NF - 5 Power Mix'!KDD14+'NF - 5 Power Mix'!KDD15)*860/10)+((('Form Sa1'!KDG835)*860)/10)+('Form Sa1'!KDG814*'Form Sa1'!KDG816/10)-'NF - 5 Power Mix'!KDD21-'NF - 5 Power Mix'!KDD22</f>
        <v>0</v>
      </c>
      <c r="KDE42" s="1046">
        <f>KDE38+((KDE40+'NF - 5 Power Mix'!KDE14+'NF - 5 Power Mix'!KDE15)*860/10)+((('Form Sa1'!KDH835)*860)/10)+('Form Sa1'!KDH814*'Form Sa1'!KDH816/10)-'NF - 5 Power Mix'!KDE21-'NF - 5 Power Mix'!KDE22</f>
        <v>0</v>
      </c>
      <c r="KDF42" s="1046">
        <f>KDF38+((KDF40+'NF - 5 Power Mix'!KDF14+'NF - 5 Power Mix'!KDF15)*860/10)+((('Form Sa1'!KDI835)*860)/10)+('Form Sa1'!KDI814*'Form Sa1'!KDI816/10)-'NF - 5 Power Mix'!KDF21-'NF - 5 Power Mix'!KDF22</f>
        <v>0</v>
      </c>
      <c r="KDG42" s="1046">
        <f>KDG38+((KDG40+'NF - 5 Power Mix'!KDG14+'NF - 5 Power Mix'!KDG15)*860/10)+((('Form Sa1'!KDJ835)*860)/10)+('Form Sa1'!KDJ814*'Form Sa1'!KDJ816/10)-'NF - 5 Power Mix'!KDG21-'NF - 5 Power Mix'!KDG22</f>
        <v>0</v>
      </c>
      <c r="KDH42" s="1046">
        <f>KDH38+((KDH40+'NF - 5 Power Mix'!KDH14+'NF - 5 Power Mix'!KDH15)*860/10)+((('Form Sa1'!KDK835)*860)/10)+('Form Sa1'!KDK814*'Form Sa1'!KDK816/10)-'NF - 5 Power Mix'!KDH21-'NF - 5 Power Mix'!KDH22</f>
        <v>0</v>
      </c>
      <c r="KDI42" s="1046">
        <f>KDI38+((KDI40+'NF - 5 Power Mix'!KDI14+'NF - 5 Power Mix'!KDI15)*860/10)+((('Form Sa1'!KDL835)*860)/10)+('Form Sa1'!KDL814*'Form Sa1'!KDL816/10)-'NF - 5 Power Mix'!KDI21-'NF - 5 Power Mix'!KDI22</f>
        <v>0</v>
      </c>
      <c r="KDJ42" s="1046">
        <f>KDJ38+((KDJ40+'NF - 5 Power Mix'!KDJ14+'NF - 5 Power Mix'!KDJ15)*860/10)+((('Form Sa1'!KDM835)*860)/10)+('Form Sa1'!KDM814*'Form Sa1'!KDM816/10)-'NF - 5 Power Mix'!KDJ21-'NF - 5 Power Mix'!KDJ22</f>
        <v>0</v>
      </c>
      <c r="KDK42" s="1046">
        <f>KDK38+((KDK40+'NF - 5 Power Mix'!KDK14+'NF - 5 Power Mix'!KDK15)*860/10)+((('Form Sa1'!KDN835)*860)/10)+('Form Sa1'!KDN814*'Form Sa1'!KDN816/10)-'NF - 5 Power Mix'!KDK21-'NF - 5 Power Mix'!KDK22</f>
        <v>0</v>
      </c>
      <c r="KDL42" s="1046">
        <f>KDL38+((KDL40+'NF - 5 Power Mix'!KDL14+'NF - 5 Power Mix'!KDL15)*860/10)+((('Form Sa1'!KDO835)*860)/10)+('Form Sa1'!KDO814*'Form Sa1'!KDO816/10)-'NF - 5 Power Mix'!KDL21-'NF - 5 Power Mix'!KDL22</f>
        <v>0</v>
      </c>
      <c r="KDM42" s="1046">
        <f>KDM38+((KDM40+'NF - 5 Power Mix'!KDM14+'NF - 5 Power Mix'!KDM15)*860/10)+((('Form Sa1'!KDP835)*860)/10)+('Form Sa1'!KDP814*'Form Sa1'!KDP816/10)-'NF - 5 Power Mix'!KDM21-'NF - 5 Power Mix'!KDM22</f>
        <v>0</v>
      </c>
      <c r="KDN42" s="1046">
        <f>KDN38+((KDN40+'NF - 5 Power Mix'!KDN14+'NF - 5 Power Mix'!KDN15)*860/10)+((('Form Sa1'!KDQ835)*860)/10)+('Form Sa1'!KDQ814*'Form Sa1'!KDQ816/10)-'NF - 5 Power Mix'!KDN21-'NF - 5 Power Mix'!KDN22</f>
        <v>0</v>
      </c>
      <c r="KDO42" s="1046">
        <f>KDO38+((KDO40+'NF - 5 Power Mix'!KDO14+'NF - 5 Power Mix'!KDO15)*860/10)+((('Form Sa1'!KDR835)*860)/10)+('Form Sa1'!KDR814*'Form Sa1'!KDR816/10)-'NF - 5 Power Mix'!KDO21-'NF - 5 Power Mix'!KDO22</f>
        <v>0</v>
      </c>
      <c r="KDP42" s="1046">
        <f>KDP38+((KDP40+'NF - 5 Power Mix'!KDP14+'NF - 5 Power Mix'!KDP15)*860/10)+((('Form Sa1'!KDS835)*860)/10)+('Form Sa1'!KDS814*'Form Sa1'!KDS816/10)-'NF - 5 Power Mix'!KDP21-'NF - 5 Power Mix'!KDP22</f>
        <v>0</v>
      </c>
      <c r="KDQ42" s="1046">
        <f>KDQ38+((KDQ40+'NF - 5 Power Mix'!KDQ14+'NF - 5 Power Mix'!KDQ15)*860/10)+((('Form Sa1'!KDT835)*860)/10)+('Form Sa1'!KDT814*'Form Sa1'!KDT816/10)-'NF - 5 Power Mix'!KDQ21-'NF - 5 Power Mix'!KDQ22</f>
        <v>0</v>
      </c>
      <c r="KDR42" s="1046">
        <f>KDR38+((KDR40+'NF - 5 Power Mix'!KDR14+'NF - 5 Power Mix'!KDR15)*860/10)+((('Form Sa1'!KDU835)*860)/10)+('Form Sa1'!KDU814*'Form Sa1'!KDU816/10)-'NF - 5 Power Mix'!KDR21-'NF - 5 Power Mix'!KDR22</f>
        <v>0</v>
      </c>
      <c r="KDS42" s="1046">
        <f>KDS38+((KDS40+'NF - 5 Power Mix'!KDS14+'NF - 5 Power Mix'!KDS15)*860/10)+((('Form Sa1'!KDV835)*860)/10)+('Form Sa1'!KDV814*'Form Sa1'!KDV816/10)-'NF - 5 Power Mix'!KDS21-'NF - 5 Power Mix'!KDS22</f>
        <v>0</v>
      </c>
      <c r="KDT42" s="1046">
        <f>KDT38+((KDT40+'NF - 5 Power Mix'!KDT14+'NF - 5 Power Mix'!KDT15)*860/10)+((('Form Sa1'!KDW835)*860)/10)+('Form Sa1'!KDW814*'Form Sa1'!KDW816/10)-'NF - 5 Power Mix'!KDT21-'NF - 5 Power Mix'!KDT22</f>
        <v>0</v>
      </c>
      <c r="KDU42" s="1046">
        <f>KDU38+((KDU40+'NF - 5 Power Mix'!KDU14+'NF - 5 Power Mix'!KDU15)*860/10)+((('Form Sa1'!KDX835)*860)/10)+('Form Sa1'!KDX814*'Form Sa1'!KDX816/10)-'NF - 5 Power Mix'!KDU21-'NF - 5 Power Mix'!KDU22</f>
        <v>0</v>
      </c>
      <c r="KDV42" s="1046">
        <f>KDV38+((KDV40+'NF - 5 Power Mix'!KDV14+'NF - 5 Power Mix'!KDV15)*860/10)+((('Form Sa1'!KDY835)*860)/10)+('Form Sa1'!KDY814*'Form Sa1'!KDY816/10)-'NF - 5 Power Mix'!KDV21-'NF - 5 Power Mix'!KDV22</f>
        <v>0</v>
      </c>
      <c r="KDW42" s="1046">
        <f>KDW38+((KDW40+'NF - 5 Power Mix'!KDW14+'NF - 5 Power Mix'!KDW15)*860/10)+((('Form Sa1'!KDZ835)*860)/10)+('Form Sa1'!KDZ814*'Form Sa1'!KDZ816/10)-'NF - 5 Power Mix'!KDW21-'NF - 5 Power Mix'!KDW22</f>
        <v>0</v>
      </c>
      <c r="KDX42" s="1046">
        <f>KDX38+((KDX40+'NF - 5 Power Mix'!KDX14+'NF - 5 Power Mix'!KDX15)*860/10)+((('Form Sa1'!KEA835)*860)/10)+('Form Sa1'!KEA814*'Form Sa1'!KEA816/10)-'NF - 5 Power Mix'!KDX21-'NF - 5 Power Mix'!KDX22</f>
        <v>0</v>
      </c>
      <c r="KDY42" s="1046">
        <f>KDY38+((KDY40+'NF - 5 Power Mix'!KDY14+'NF - 5 Power Mix'!KDY15)*860/10)+((('Form Sa1'!KEB835)*860)/10)+('Form Sa1'!KEB814*'Form Sa1'!KEB816/10)-'NF - 5 Power Mix'!KDY21-'NF - 5 Power Mix'!KDY22</f>
        <v>0</v>
      </c>
      <c r="KDZ42" s="1046">
        <f>KDZ38+((KDZ40+'NF - 5 Power Mix'!KDZ14+'NF - 5 Power Mix'!KDZ15)*860/10)+((('Form Sa1'!KEC835)*860)/10)+('Form Sa1'!KEC814*'Form Sa1'!KEC816/10)-'NF - 5 Power Mix'!KDZ21-'NF - 5 Power Mix'!KDZ22</f>
        <v>0</v>
      </c>
      <c r="KEA42" s="1046">
        <f>KEA38+((KEA40+'NF - 5 Power Mix'!KEA14+'NF - 5 Power Mix'!KEA15)*860/10)+((('Form Sa1'!KED835)*860)/10)+('Form Sa1'!KED814*'Form Sa1'!KED816/10)-'NF - 5 Power Mix'!KEA21-'NF - 5 Power Mix'!KEA22</f>
        <v>0</v>
      </c>
      <c r="KEB42" s="1046">
        <f>KEB38+((KEB40+'NF - 5 Power Mix'!KEB14+'NF - 5 Power Mix'!KEB15)*860/10)+((('Form Sa1'!KEE835)*860)/10)+('Form Sa1'!KEE814*'Form Sa1'!KEE816/10)-'NF - 5 Power Mix'!KEB21-'NF - 5 Power Mix'!KEB22</f>
        <v>0</v>
      </c>
      <c r="KEC42" s="1046">
        <f>KEC38+((KEC40+'NF - 5 Power Mix'!KEC14+'NF - 5 Power Mix'!KEC15)*860/10)+((('Form Sa1'!KEF835)*860)/10)+('Form Sa1'!KEF814*'Form Sa1'!KEF816/10)-'NF - 5 Power Mix'!KEC21-'NF - 5 Power Mix'!KEC22</f>
        <v>0</v>
      </c>
      <c r="KED42" s="1046">
        <f>KED38+((KED40+'NF - 5 Power Mix'!KED14+'NF - 5 Power Mix'!KED15)*860/10)+((('Form Sa1'!KEG835)*860)/10)+('Form Sa1'!KEG814*'Form Sa1'!KEG816/10)-'NF - 5 Power Mix'!KED21-'NF - 5 Power Mix'!KED22</f>
        <v>0</v>
      </c>
      <c r="KEE42" s="1046">
        <f>KEE38+((KEE40+'NF - 5 Power Mix'!KEE14+'NF - 5 Power Mix'!KEE15)*860/10)+((('Form Sa1'!KEH835)*860)/10)+('Form Sa1'!KEH814*'Form Sa1'!KEH816/10)-'NF - 5 Power Mix'!KEE21-'NF - 5 Power Mix'!KEE22</f>
        <v>0</v>
      </c>
      <c r="KEF42" s="1046">
        <f>KEF38+((KEF40+'NF - 5 Power Mix'!KEF14+'NF - 5 Power Mix'!KEF15)*860/10)+((('Form Sa1'!KEI835)*860)/10)+('Form Sa1'!KEI814*'Form Sa1'!KEI816/10)-'NF - 5 Power Mix'!KEF21-'NF - 5 Power Mix'!KEF22</f>
        <v>0</v>
      </c>
      <c r="KEG42" s="1046">
        <f>KEG38+((KEG40+'NF - 5 Power Mix'!KEG14+'NF - 5 Power Mix'!KEG15)*860/10)+((('Form Sa1'!KEJ835)*860)/10)+('Form Sa1'!KEJ814*'Form Sa1'!KEJ816/10)-'NF - 5 Power Mix'!KEG21-'NF - 5 Power Mix'!KEG22</f>
        <v>0</v>
      </c>
      <c r="KEH42" s="1046">
        <f>KEH38+((KEH40+'NF - 5 Power Mix'!KEH14+'NF - 5 Power Mix'!KEH15)*860/10)+((('Form Sa1'!KEK835)*860)/10)+('Form Sa1'!KEK814*'Form Sa1'!KEK816/10)-'NF - 5 Power Mix'!KEH21-'NF - 5 Power Mix'!KEH22</f>
        <v>0</v>
      </c>
      <c r="KEI42" s="1046">
        <f>KEI38+((KEI40+'NF - 5 Power Mix'!KEI14+'NF - 5 Power Mix'!KEI15)*860/10)+((('Form Sa1'!KEL835)*860)/10)+('Form Sa1'!KEL814*'Form Sa1'!KEL816/10)-'NF - 5 Power Mix'!KEI21-'NF - 5 Power Mix'!KEI22</f>
        <v>0</v>
      </c>
      <c r="KEJ42" s="1046">
        <f>KEJ38+((KEJ40+'NF - 5 Power Mix'!KEJ14+'NF - 5 Power Mix'!KEJ15)*860/10)+((('Form Sa1'!KEM835)*860)/10)+('Form Sa1'!KEM814*'Form Sa1'!KEM816/10)-'NF - 5 Power Mix'!KEJ21-'NF - 5 Power Mix'!KEJ22</f>
        <v>0</v>
      </c>
      <c r="KEK42" s="1046">
        <f>KEK38+((KEK40+'NF - 5 Power Mix'!KEK14+'NF - 5 Power Mix'!KEK15)*860/10)+((('Form Sa1'!KEN835)*860)/10)+('Form Sa1'!KEN814*'Form Sa1'!KEN816/10)-'NF - 5 Power Mix'!KEK21-'NF - 5 Power Mix'!KEK22</f>
        <v>0</v>
      </c>
      <c r="KEL42" s="1046">
        <f>KEL38+((KEL40+'NF - 5 Power Mix'!KEL14+'NF - 5 Power Mix'!KEL15)*860/10)+((('Form Sa1'!KEO835)*860)/10)+('Form Sa1'!KEO814*'Form Sa1'!KEO816/10)-'NF - 5 Power Mix'!KEL21-'NF - 5 Power Mix'!KEL22</f>
        <v>0</v>
      </c>
      <c r="KEM42" s="1046">
        <f>KEM38+((KEM40+'NF - 5 Power Mix'!KEM14+'NF - 5 Power Mix'!KEM15)*860/10)+((('Form Sa1'!KEP835)*860)/10)+('Form Sa1'!KEP814*'Form Sa1'!KEP816/10)-'NF - 5 Power Mix'!KEM21-'NF - 5 Power Mix'!KEM22</f>
        <v>0</v>
      </c>
      <c r="KEN42" s="1046">
        <f>KEN38+((KEN40+'NF - 5 Power Mix'!KEN14+'NF - 5 Power Mix'!KEN15)*860/10)+((('Form Sa1'!KEQ835)*860)/10)+('Form Sa1'!KEQ814*'Form Sa1'!KEQ816/10)-'NF - 5 Power Mix'!KEN21-'NF - 5 Power Mix'!KEN22</f>
        <v>0</v>
      </c>
      <c r="KEO42" s="1046">
        <f>KEO38+((KEO40+'NF - 5 Power Mix'!KEO14+'NF - 5 Power Mix'!KEO15)*860/10)+((('Form Sa1'!KER835)*860)/10)+('Form Sa1'!KER814*'Form Sa1'!KER816/10)-'NF - 5 Power Mix'!KEO21-'NF - 5 Power Mix'!KEO22</f>
        <v>0</v>
      </c>
      <c r="KEP42" s="1046">
        <f>KEP38+((KEP40+'NF - 5 Power Mix'!KEP14+'NF - 5 Power Mix'!KEP15)*860/10)+((('Form Sa1'!KES835)*860)/10)+('Form Sa1'!KES814*'Form Sa1'!KES816/10)-'NF - 5 Power Mix'!KEP21-'NF - 5 Power Mix'!KEP22</f>
        <v>0</v>
      </c>
      <c r="KEQ42" s="1046">
        <f>KEQ38+((KEQ40+'NF - 5 Power Mix'!KEQ14+'NF - 5 Power Mix'!KEQ15)*860/10)+((('Form Sa1'!KET835)*860)/10)+('Form Sa1'!KET814*'Form Sa1'!KET816/10)-'NF - 5 Power Mix'!KEQ21-'NF - 5 Power Mix'!KEQ22</f>
        <v>0</v>
      </c>
      <c r="KER42" s="1046">
        <f>KER38+((KER40+'NF - 5 Power Mix'!KER14+'NF - 5 Power Mix'!KER15)*860/10)+((('Form Sa1'!KEU835)*860)/10)+('Form Sa1'!KEU814*'Form Sa1'!KEU816/10)-'NF - 5 Power Mix'!KER21-'NF - 5 Power Mix'!KER22</f>
        <v>0</v>
      </c>
      <c r="KES42" s="1046">
        <f>KES38+((KES40+'NF - 5 Power Mix'!KES14+'NF - 5 Power Mix'!KES15)*860/10)+((('Form Sa1'!KEV835)*860)/10)+('Form Sa1'!KEV814*'Form Sa1'!KEV816/10)-'NF - 5 Power Mix'!KES21-'NF - 5 Power Mix'!KES22</f>
        <v>0</v>
      </c>
      <c r="KET42" s="1046">
        <f>KET38+((KET40+'NF - 5 Power Mix'!KET14+'NF - 5 Power Mix'!KET15)*860/10)+((('Form Sa1'!KEW835)*860)/10)+('Form Sa1'!KEW814*'Form Sa1'!KEW816/10)-'NF - 5 Power Mix'!KET21-'NF - 5 Power Mix'!KET22</f>
        <v>0</v>
      </c>
      <c r="KEU42" s="1046">
        <f>KEU38+((KEU40+'NF - 5 Power Mix'!KEU14+'NF - 5 Power Mix'!KEU15)*860/10)+((('Form Sa1'!KEX835)*860)/10)+('Form Sa1'!KEX814*'Form Sa1'!KEX816/10)-'NF - 5 Power Mix'!KEU21-'NF - 5 Power Mix'!KEU22</f>
        <v>0</v>
      </c>
      <c r="KEV42" s="1046">
        <f>KEV38+((KEV40+'NF - 5 Power Mix'!KEV14+'NF - 5 Power Mix'!KEV15)*860/10)+((('Form Sa1'!KEY835)*860)/10)+('Form Sa1'!KEY814*'Form Sa1'!KEY816/10)-'NF - 5 Power Mix'!KEV21-'NF - 5 Power Mix'!KEV22</f>
        <v>0</v>
      </c>
      <c r="KEW42" s="1046">
        <f>KEW38+((KEW40+'NF - 5 Power Mix'!KEW14+'NF - 5 Power Mix'!KEW15)*860/10)+((('Form Sa1'!KEZ835)*860)/10)+('Form Sa1'!KEZ814*'Form Sa1'!KEZ816/10)-'NF - 5 Power Mix'!KEW21-'NF - 5 Power Mix'!KEW22</f>
        <v>0</v>
      </c>
      <c r="KEX42" s="1046">
        <f>KEX38+((KEX40+'NF - 5 Power Mix'!KEX14+'NF - 5 Power Mix'!KEX15)*860/10)+((('Form Sa1'!KFA835)*860)/10)+('Form Sa1'!KFA814*'Form Sa1'!KFA816/10)-'NF - 5 Power Mix'!KEX21-'NF - 5 Power Mix'!KEX22</f>
        <v>0</v>
      </c>
      <c r="KEY42" s="1046">
        <f>KEY38+((KEY40+'NF - 5 Power Mix'!KEY14+'NF - 5 Power Mix'!KEY15)*860/10)+((('Form Sa1'!KFB835)*860)/10)+('Form Sa1'!KFB814*'Form Sa1'!KFB816/10)-'NF - 5 Power Mix'!KEY21-'NF - 5 Power Mix'!KEY22</f>
        <v>0</v>
      </c>
      <c r="KEZ42" s="1046">
        <f>KEZ38+((KEZ40+'NF - 5 Power Mix'!KEZ14+'NF - 5 Power Mix'!KEZ15)*860/10)+((('Form Sa1'!KFC835)*860)/10)+('Form Sa1'!KFC814*'Form Sa1'!KFC816/10)-'NF - 5 Power Mix'!KEZ21-'NF - 5 Power Mix'!KEZ22</f>
        <v>0</v>
      </c>
      <c r="KFA42" s="1046">
        <f>KFA38+((KFA40+'NF - 5 Power Mix'!KFA14+'NF - 5 Power Mix'!KFA15)*860/10)+((('Form Sa1'!KFD835)*860)/10)+('Form Sa1'!KFD814*'Form Sa1'!KFD816/10)-'NF - 5 Power Mix'!KFA21-'NF - 5 Power Mix'!KFA22</f>
        <v>0</v>
      </c>
      <c r="KFB42" s="1046">
        <f>KFB38+((KFB40+'NF - 5 Power Mix'!KFB14+'NF - 5 Power Mix'!KFB15)*860/10)+((('Form Sa1'!KFE835)*860)/10)+('Form Sa1'!KFE814*'Form Sa1'!KFE816/10)-'NF - 5 Power Mix'!KFB21-'NF - 5 Power Mix'!KFB22</f>
        <v>0</v>
      </c>
      <c r="KFC42" s="1046">
        <f>KFC38+((KFC40+'NF - 5 Power Mix'!KFC14+'NF - 5 Power Mix'!KFC15)*860/10)+((('Form Sa1'!KFF835)*860)/10)+('Form Sa1'!KFF814*'Form Sa1'!KFF816/10)-'NF - 5 Power Mix'!KFC21-'NF - 5 Power Mix'!KFC22</f>
        <v>0</v>
      </c>
      <c r="KFD42" s="1046">
        <f>KFD38+((KFD40+'NF - 5 Power Mix'!KFD14+'NF - 5 Power Mix'!KFD15)*860/10)+((('Form Sa1'!KFG835)*860)/10)+('Form Sa1'!KFG814*'Form Sa1'!KFG816/10)-'NF - 5 Power Mix'!KFD21-'NF - 5 Power Mix'!KFD22</f>
        <v>0</v>
      </c>
      <c r="KFE42" s="1046">
        <f>KFE38+((KFE40+'NF - 5 Power Mix'!KFE14+'NF - 5 Power Mix'!KFE15)*860/10)+((('Form Sa1'!KFH835)*860)/10)+('Form Sa1'!KFH814*'Form Sa1'!KFH816/10)-'NF - 5 Power Mix'!KFE21-'NF - 5 Power Mix'!KFE22</f>
        <v>0</v>
      </c>
      <c r="KFF42" s="1046">
        <f>KFF38+((KFF40+'NF - 5 Power Mix'!KFF14+'NF - 5 Power Mix'!KFF15)*860/10)+((('Form Sa1'!KFI835)*860)/10)+('Form Sa1'!KFI814*'Form Sa1'!KFI816/10)-'NF - 5 Power Mix'!KFF21-'NF - 5 Power Mix'!KFF22</f>
        <v>0</v>
      </c>
      <c r="KFG42" s="1046">
        <f>KFG38+((KFG40+'NF - 5 Power Mix'!KFG14+'NF - 5 Power Mix'!KFG15)*860/10)+((('Form Sa1'!KFJ835)*860)/10)+('Form Sa1'!KFJ814*'Form Sa1'!KFJ816/10)-'NF - 5 Power Mix'!KFG21-'NF - 5 Power Mix'!KFG22</f>
        <v>0</v>
      </c>
      <c r="KFH42" s="1046">
        <f>KFH38+((KFH40+'NF - 5 Power Mix'!KFH14+'NF - 5 Power Mix'!KFH15)*860/10)+((('Form Sa1'!KFK835)*860)/10)+('Form Sa1'!KFK814*'Form Sa1'!KFK816/10)-'NF - 5 Power Mix'!KFH21-'NF - 5 Power Mix'!KFH22</f>
        <v>0</v>
      </c>
      <c r="KFI42" s="1046">
        <f>KFI38+((KFI40+'NF - 5 Power Mix'!KFI14+'NF - 5 Power Mix'!KFI15)*860/10)+((('Form Sa1'!KFL835)*860)/10)+('Form Sa1'!KFL814*'Form Sa1'!KFL816/10)-'NF - 5 Power Mix'!KFI21-'NF - 5 Power Mix'!KFI22</f>
        <v>0</v>
      </c>
      <c r="KFJ42" s="1046">
        <f>KFJ38+((KFJ40+'NF - 5 Power Mix'!KFJ14+'NF - 5 Power Mix'!KFJ15)*860/10)+((('Form Sa1'!KFM835)*860)/10)+('Form Sa1'!KFM814*'Form Sa1'!KFM816/10)-'NF - 5 Power Mix'!KFJ21-'NF - 5 Power Mix'!KFJ22</f>
        <v>0</v>
      </c>
      <c r="KFK42" s="1046">
        <f>KFK38+((KFK40+'NF - 5 Power Mix'!KFK14+'NF - 5 Power Mix'!KFK15)*860/10)+((('Form Sa1'!KFN835)*860)/10)+('Form Sa1'!KFN814*'Form Sa1'!KFN816/10)-'NF - 5 Power Mix'!KFK21-'NF - 5 Power Mix'!KFK22</f>
        <v>0</v>
      </c>
      <c r="KFL42" s="1046">
        <f>KFL38+((KFL40+'NF - 5 Power Mix'!KFL14+'NF - 5 Power Mix'!KFL15)*860/10)+((('Form Sa1'!KFO835)*860)/10)+('Form Sa1'!KFO814*'Form Sa1'!KFO816/10)-'NF - 5 Power Mix'!KFL21-'NF - 5 Power Mix'!KFL22</f>
        <v>0</v>
      </c>
      <c r="KFM42" s="1046">
        <f>KFM38+((KFM40+'NF - 5 Power Mix'!KFM14+'NF - 5 Power Mix'!KFM15)*860/10)+((('Form Sa1'!KFP835)*860)/10)+('Form Sa1'!KFP814*'Form Sa1'!KFP816/10)-'NF - 5 Power Mix'!KFM21-'NF - 5 Power Mix'!KFM22</f>
        <v>0</v>
      </c>
      <c r="KFN42" s="1046">
        <f>KFN38+((KFN40+'NF - 5 Power Mix'!KFN14+'NF - 5 Power Mix'!KFN15)*860/10)+((('Form Sa1'!KFQ835)*860)/10)+('Form Sa1'!KFQ814*'Form Sa1'!KFQ816/10)-'NF - 5 Power Mix'!KFN21-'NF - 5 Power Mix'!KFN22</f>
        <v>0</v>
      </c>
      <c r="KFO42" s="1046">
        <f>KFO38+((KFO40+'NF - 5 Power Mix'!KFO14+'NF - 5 Power Mix'!KFO15)*860/10)+((('Form Sa1'!KFR835)*860)/10)+('Form Sa1'!KFR814*'Form Sa1'!KFR816/10)-'NF - 5 Power Mix'!KFO21-'NF - 5 Power Mix'!KFO22</f>
        <v>0</v>
      </c>
      <c r="KFP42" s="1046">
        <f>KFP38+((KFP40+'NF - 5 Power Mix'!KFP14+'NF - 5 Power Mix'!KFP15)*860/10)+((('Form Sa1'!KFS835)*860)/10)+('Form Sa1'!KFS814*'Form Sa1'!KFS816/10)-'NF - 5 Power Mix'!KFP21-'NF - 5 Power Mix'!KFP22</f>
        <v>0</v>
      </c>
      <c r="KFQ42" s="1046">
        <f>KFQ38+((KFQ40+'NF - 5 Power Mix'!KFQ14+'NF - 5 Power Mix'!KFQ15)*860/10)+((('Form Sa1'!KFT835)*860)/10)+('Form Sa1'!KFT814*'Form Sa1'!KFT816/10)-'NF - 5 Power Mix'!KFQ21-'NF - 5 Power Mix'!KFQ22</f>
        <v>0</v>
      </c>
      <c r="KFR42" s="1046">
        <f>KFR38+((KFR40+'NF - 5 Power Mix'!KFR14+'NF - 5 Power Mix'!KFR15)*860/10)+((('Form Sa1'!KFU835)*860)/10)+('Form Sa1'!KFU814*'Form Sa1'!KFU816/10)-'NF - 5 Power Mix'!KFR21-'NF - 5 Power Mix'!KFR22</f>
        <v>0</v>
      </c>
      <c r="KFS42" s="1046">
        <f>KFS38+((KFS40+'NF - 5 Power Mix'!KFS14+'NF - 5 Power Mix'!KFS15)*860/10)+((('Form Sa1'!KFV835)*860)/10)+('Form Sa1'!KFV814*'Form Sa1'!KFV816/10)-'NF - 5 Power Mix'!KFS21-'NF - 5 Power Mix'!KFS22</f>
        <v>0</v>
      </c>
      <c r="KFT42" s="1046">
        <f>KFT38+((KFT40+'NF - 5 Power Mix'!KFT14+'NF - 5 Power Mix'!KFT15)*860/10)+((('Form Sa1'!KFW835)*860)/10)+('Form Sa1'!KFW814*'Form Sa1'!KFW816/10)-'NF - 5 Power Mix'!KFT21-'NF - 5 Power Mix'!KFT22</f>
        <v>0</v>
      </c>
      <c r="KFU42" s="1046">
        <f>KFU38+((KFU40+'NF - 5 Power Mix'!KFU14+'NF - 5 Power Mix'!KFU15)*860/10)+((('Form Sa1'!KFX835)*860)/10)+('Form Sa1'!KFX814*'Form Sa1'!KFX816/10)-'NF - 5 Power Mix'!KFU21-'NF - 5 Power Mix'!KFU22</f>
        <v>0</v>
      </c>
      <c r="KFV42" s="1046">
        <f>KFV38+((KFV40+'NF - 5 Power Mix'!KFV14+'NF - 5 Power Mix'!KFV15)*860/10)+((('Form Sa1'!KFY835)*860)/10)+('Form Sa1'!KFY814*'Form Sa1'!KFY816/10)-'NF - 5 Power Mix'!KFV21-'NF - 5 Power Mix'!KFV22</f>
        <v>0</v>
      </c>
      <c r="KFW42" s="1046">
        <f>KFW38+((KFW40+'NF - 5 Power Mix'!KFW14+'NF - 5 Power Mix'!KFW15)*860/10)+((('Form Sa1'!KFZ835)*860)/10)+('Form Sa1'!KFZ814*'Form Sa1'!KFZ816/10)-'NF - 5 Power Mix'!KFW21-'NF - 5 Power Mix'!KFW22</f>
        <v>0</v>
      </c>
      <c r="KFX42" s="1046">
        <f>KFX38+((KFX40+'NF - 5 Power Mix'!KFX14+'NF - 5 Power Mix'!KFX15)*860/10)+((('Form Sa1'!KGA835)*860)/10)+('Form Sa1'!KGA814*'Form Sa1'!KGA816/10)-'NF - 5 Power Mix'!KFX21-'NF - 5 Power Mix'!KFX22</f>
        <v>0</v>
      </c>
      <c r="KFY42" s="1046">
        <f>KFY38+((KFY40+'NF - 5 Power Mix'!KFY14+'NF - 5 Power Mix'!KFY15)*860/10)+((('Form Sa1'!KGB835)*860)/10)+('Form Sa1'!KGB814*'Form Sa1'!KGB816/10)-'NF - 5 Power Mix'!KFY21-'NF - 5 Power Mix'!KFY22</f>
        <v>0</v>
      </c>
      <c r="KFZ42" s="1046">
        <f>KFZ38+((KFZ40+'NF - 5 Power Mix'!KFZ14+'NF - 5 Power Mix'!KFZ15)*860/10)+((('Form Sa1'!KGC835)*860)/10)+('Form Sa1'!KGC814*'Form Sa1'!KGC816/10)-'NF - 5 Power Mix'!KFZ21-'NF - 5 Power Mix'!KFZ22</f>
        <v>0</v>
      </c>
      <c r="KGA42" s="1046">
        <f>KGA38+((KGA40+'NF - 5 Power Mix'!KGA14+'NF - 5 Power Mix'!KGA15)*860/10)+((('Form Sa1'!KGD835)*860)/10)+('Form Sa1'!KGD814*'Form Sa1'!KGD816/10)-'NF - 5 Power Mix'!KGA21-'NF - 5 Power Mix'!KGA22</f>
        <v>0</v>
      </c>
      <c r="KGB42" s="1046">
        <f>KGB38+((KGB40+'NF - 5 Power Mix'!KGB14+'NF - 5 Power Mix'!KGB15)*860/10)+((('Form Sa1'!KGE835)*860)/10)+('Form Sa1'!KGE814*'Form Sa1'!KGE816/10)-'NF - 5 Power Mix'!KGB21-'NF - 5 Power Mix'!KGB22</f>
        <v>0</v>
      </c>
      <c r="KGC42" s="1046">
        <f>KGC38+((KGC40+'NF - 5 Power Mix'!KGC14+'NF - 5 Power Mix'!KGC15)*860/10)+((('Form Sa1'!KGF835)*860)/10)+('Form Sa1'!KGF814*'Form Sa1'!KGF816/10)-'NF - 5 Power Mix'!KGC21-'NF - 5 Power Mix'!KGC22</f>
        <v>0</v>
      </c>
      <c r="KGD42" s="1046">
        <f>KGD38+((KGD40+'NF - 5 Power Mix'!KGD14+'NF - 5 Power Mix'!KGD15)*860/10)+((('Form Sa1'!KGG835)*860)/10)+('Form Sa1'!KGG814*'Form Sa1'!KGG816/10)-'NF - 5 Power Mix'!KGD21-'NF - 5 Power Mix'!KGD22</f>
        <v>0</v>
      </c>
      <c r="KGE42" s="1046">
        <f>KGE38+((KGE40+'NF - 5 Power Mix'!KGE14+'NF - 5 Power Mix'!KGE15)*860/10)+((('Form Sa1'!KGH835)*860)/10)+('Form Sa1'!KGH814*'Form Sa1'!KGH816/10)-'NF - 5 Power Mix'!KGE21-'NF - 5 Power Mix'!KGE22</f>
        <v>0</v>
      </c>
      <c r="KGF42" s="1046">
        <f>KGF38+((KGF40+'NF - 5 Power Mix'!KGF14+'NF - 5 Power Mix'!KGF15)*860/10)+((('Form Sa1'!KGI835)*860)/10)+('Form Sa1'!KGI814*'Form Sa1'!KGI816/10)-'NF - 5 Power Mix'!KGF21-'NF - 5 Power Mix'!KGF22</f>
        <v>0</v>
      </c>
      <c r="KGG42" s="1046">
        <f>KGG38+((KGG40+'NF - 5 Power Mix'!KGG14+'NF - 5 Power Mix'!KGG15)*860/10)+((('Form Sa1'!KGJ835)*860)/10)+('Form Sa1'!KGJ814*'Form Sa1'!KGJ816/10)-'NF - 5 Power Mix'!KGG21-'NF - 5 Power Mix'!KGG22</f>
        <v>0</v>
      </c>
      <c r="KGH42" s="1046">
        <f>KGH38+((KGH40+'NF - 5 Power Mix'!KGH14+'NF - 5 Power Mix'!KGH15)*860/10)+((('Form Sa1'!KGK835)*860)/10)+('Form Sa1'!KGK814*'Form Sa1'!KGK816/10)-'NF - 5 Power Mix'!KGH21-'NF - 5 Power Mix'!KGH22</f>
        <v>0</v>
      </c>
      <c r="KGI42" s="1046">
        <f>KGI38+((KGI40+'NF - 5 Power Mix'!KGI14+'NF - 5 Power Mix'!KGI15)*860/10)+((('Form Sa1'!KGL835)*860)/10)+('Form Sa1'!KGL814*'Form Sa1'!KGL816/10)-'NF - 5 Power Mix'!KGI21-'NF - 5 Power Mix'!KGI22</f>
        <v>0</v>
      </c>
      <c r="KGJ42" s="1046">
        <f>KGJ38+((KGJ40+'NF - 5 Power Mix'!KGJ14+'NF - 5 Power Mix'!KGJ15)*860/10)+((('Form Sa1'!KGM835)*860)/10)+('Form Sa1'!KGM814*'Form Sa1'!KGM816/10)-'NF - 5 Power Mix'!KGJ21-'NF - 5 Power Mix'!KGJ22</f>
        <v>0</v>
      </c>
      <c r="KGK42" s="1046">
        <f>KGK38+((KGK40+'NF - 5 Power Mix'!KGK14+'NF - 5 Power Mix'!KGK15)*860/10)+((('Form Sa1'!KGN835)*860)/10)+('Form Sa1'!KGN814*'Form Sa1'!KGN816/10)-'NF - 5 Power Mix'!KGK21-'NF - 5 Power Mix'!KGK22</f>
        <v>0</v>
      </c>
      <c r="KGL42" s="1046">
        <f>KGL38+((KGL40+'NF - 5 Power Mix'!KGL14+'NF - 5 Power Mix'!KGL15)*860/10)+((('Form Sa1'!KGO835)*860)/10)+('Form Sa1'!KGO814*'Form Sa1'!KGO816/10)-'NF - 5 Power Mix'!KGL21-'NF - 5 Power Mix'!KGL22</f>
        <v>0</v>
      </c>
      <c r="KGM42" s="1046">
        <f>KGM38+((KGM40+'NF - 5 Power Mix'!KGM14+'NF - 5 Power Mix'!KGM15)*860/10)+((('Form Sa1'!KGP835)*860)/10)+('Form Sa1'!KGP814*'Form Sa1'!KGP816/10)-'NF - 5 Power Mix'!KGM21-'NF - 5 Power Mix'!KGM22</f>
        <v>0</v>
      </c>
      <c r="KGN42" s="1046">
        <f>KGN38+((KGN40+'NF - 5 Power Mix'!KGN14+'NF - 5 Power Mix'!KGN15)*860/10)+((('Form Sa1'!KGQ835)*860)/10)+('Form Sa1'!KGQ814*'Form Sa1'!KGQ816/10)-'NF - 5 Power Mix'!KGN21-'NF - 5 Power Mix'!KGN22</f>
        <v>0</v>
      </c>
      <c r="KGO42" s="1046">
        <f>KGO38+((KGO40+'NF - 5 Power Mix'!KGO14+'NF - 5 Power Mix'!KGO15)*860/10)+((('Form Sa1'!KGR835)*860)/10)+('Form Sa1'!KGR814*'Form Sa1'!KGR816/10)-'NF - 5 Power Mix'!KGO21-'NF - 5 Power Mix'!KGO22</f>
        <v>0</v>
      </c>
      <c r="KGP42" s="1046">
        <f>KGP38+((KGP40+'NF - 5 Power Mix'!KGP14+'NF - 5 Power Mix'!KGP15)*860/10)+((('Form Sa1'!KGS835)*860)/10)+('Form Sa1'!KGS814*'Form Sa1'!KGS816/10)-'NF - 5 Power Mix'!KGP21-'NF - 5 Power Mix'!KGP22</f>
        <v>0</v>
      </c>
      <c r="KGQ42" s="1046">
        <f>KGQ38+((KGQ40+'NF - 5 Power Mix'!KGQ14+'NF - 5 Power Mix'!KGQ15)*860/10)+((('Form Sa1'!KGT835)*860)/10)+('Form Sa1'!KGT814*'Form Sa1'!KGT816/10)-'NF - 5 Power Mix'!KGQ21-'NF - 5 Power Mix'!KGQ22</f>
        <v>0</v>
      </c>
      <c r="KGR42" s="1046">
        <f>KGR38+((KGR40+'NF - 5 Power Mix'!KGR14+'NF - 5 Power Mix'!KGR15)*860/10)+((('Form Sa1'!KGU835)*860)/10)+('Form Sa1'!KGU814*'Form Sa1'!KGU816/10)-'NF - 5 Power Mix'!KGR21-'NF - 5 Power Mix'!KGR22</f>
        <v>0</v>
      </c>
      <c r="KGS42" s="1046">
        <f>KGS38+((KGS40+'NF - 5 Power Mix'!KGS14+'NF - 5 Power Mix'!KGS15)*860/10)+((('Form Sa1'!KGV835)*860)/10)+('Form Sa1'!KGV814*'Form Sa1'!KGV816/10)-'NF - 5 Power Mix'!KGS21-'NF - 5 Power Mix'!KGS22</f>
        <v>0</v>
      </c>
      <c r="KGT42" s="1046">
        <f>KGT38+((KGT40+'NF - 5 Power Mix'!KGT14+'NF - 5 Power Mix'!KGT15)*860/10)+((('Form Sa1'!KGW835)*860)/10)+('Form Sa1'!KGW814*'Form Sa1'!KGW816/10)-'NF - 5 Power Mix'!KGT21-'NF - 5 Power Mix'!KGT22</f>
        <v>0</v>
      </c>
      <c r="KGU42" s="1046">
        <f>KGU38+((KGU40+'NF - 5 Power Mix'!KGU14+'NF - 5 Power Mix'!KGU15)*860/10)+((('Form Sa1'!KGX835)*860)/10)+('Form Sa1'!KGX814*'Form Sa1'!KGX816/10)-'NF - 5 Power Mix'!KGU21-'NF - 5 Power Mix'!KGU22</f>
        <v>0</v>
      </c>
      <c r="KGV42" s="1046">
        <f>KGV38+((KGV40+'NF - 5 Power Mix'!KGV14+'NF - 5 Power Mix'!KGV15)*860/10)+((('Form Sa1'!KGY835)*860)/10)+('Form Sa1'!KGY814*'Form Sa1'!KGY816/10)-'NF - 5 Power Mix'!KGV21-'NF - 5 Power Mix'!KGV22</f>
        <v>0</v>
      </c>
      <c r="KGW42" s="1046">
        <f>KGW38+((KGW40+'NF - 5 Power Mix'!KGW14+'NF - 5 Power Mix'!KGW15)*860/10)+((('Form Sa1'!KGZ835)*860)/10)+('Form Sa1'!KGZ814*'Form Sa1'!KGZ816/10)-'NF - 5 Power Mix'!KGW21-'NF - 5 Power Mix'!KGW22</f>
        <v>0</v>
      </c>
      <c r="KGX42" s="1046">
        <f>KGX38+((KGX40+'NF - 5 Power Mix'!KGX14+'NF - 5 Power Mix'!KGX15)*860/10)+((('Form Sa1'!KHA835)*860)/10)+('Form Sa1'!KHA814*'Form Sa1'!KHA816/10)-'NF - 5 Power Mix'!KGX21-'NF - 5 Power Mix'!KGX22</f>
        <v>0</v>
      </c>
      <c r="KGY42" s="1046">
        <f>KGY38+((KGY40+'NF - 5 Power Mix'!KGY14+'NF - 5 Power Mix'!KGY15)*860/10)+((('Form Sa1'!KHB835)*860)/10)+('Form Sa1'!KHB814*'Form Sa1'!KHB816/10)-'NF - 5 Power Mix'!KGY21-'NF - 5 Power Mix'!KGY22</f>
        <v>0</v>
      </c>
      <c r="KGZ42" s="1046">
        <f>KGZ38+((KGZ40+'NF - 5 Power Mix'!KGZ14+'NF - 5 Power Mix'!KGZ15)*860/10)+((('Form Sa1'!KHC835)*860)/10)+('Form Sa1'!KHC814*'Form Sa1'!KHC816/10)-'NF - 5 Power Mix'!KGZ21-'NF - 5 Power Mix'!KGZ22</f>
        <v>0</v>
      </c>
      <c r="KHA42" s="1046">
        <f>KHA38+((KHA40+'NF - 5 Power Mix'!KHA14+'NF - 5 Power Mix'!KHA15)*860/10)+((('Form Sa1'!KHD835)*860)/10)+('Form Sa1'!KHD814*'Form Sa1'!KHD816/10)-'NF - 5 Power Mix'!KHA21-'NF - 5 Power Mix'!KHA22</f>
        <v>0</v>
      </c>
      <c r="KHB42" s="1046">
        <f>KHB38+((KHB40+'NF - 5 Power Mix'!KHB14+'NF - 5 Power Mix'!KHB15)*860/10)+((('Form Sa1'!KHE835)*860)/10)+('Form Sa1'!KHE814*'Form Sa1'!KHE816/10)-'NF - 5 Power Mix'!KHB21-'NF - 5 Power Mix'!KHB22</f>
        <v>0</v>
      </c>
      <c r="KHC42" s="1046">
        <f>KHC38+((KHC40+'NF - 5 Power Mix'!KHC14+'NF - 5 Power Mix'!KHC15)*860/10)+((('Form Sa1'!KHF835)*860)/10)+('Form Sa1'!KHF814*'Form Sa1'!KHF816/10)-'NF - 5 Power Mix'!KHC21-'NF - 5 Power Mix'!KHC22</f>
        <v>0</v>
      </c>
      <c r="KHD42" s="1046">
        <f>KHD38+((KHD40+'NF - 5 Power Mix'!KHD14+'NF - 5 Power Mix'!KHD15)*860/10)+((('Form Sa1'!KHG835)*860)/10)+('Form Sa1'!KHG814*'Form Sa1'!KHG816/10)-'NF - 5 Power Mix'!KHD21-'NF - 5 Power Mix'!KHD22</f>
        <v>0</v>
      </c>
      <c r="KHE42" s="1046">
        <f>KHE38+((KHE40+'NF - 5 Power Mix'!KHE14+'NF - 5 Power Mix'!KHE15)*860/10)+((('Form Sa1'!KHH835)*860)/10)+('Form Sa1'!KHH814*'Form Sa1'!KHH816/10)-'NF - 5 Power Mix'!KHE21-'NF - 5 Power Mix'!KHE22</f>
        <v>0</v>
      </c>
      <c r="KHF42" s="1046">
        <f>KHF38+((KHF40+'NF - 5 Power Mix'!KHF14+'NF - 5 Power Mix'!KHF15)*860/10)+((('Form Sa1'!KHI835)*860)/10)+('Form Sa1'!KHI814*'Form Sa1'!KHI816/10)-'NF - 5 Power Mix'!KHF21-'NF - 5 Power Mix'!KHF22</f>
        <v>0</v>
      </c>
      <c r="KHG42" s="1046">
        <f>KHG38+((KHG40+'NF - 5 Power Mix'!KHG14+'NF - 5 Power Mix'!KHG15)*860/10)+((('Form Sa1'!KHJ835)*860)/10)+('Form Sa1'!KHJ814*'Form Sa1'!KHJ816/10)-'NF - 5 Power Mix'!KHG21-'NF - 5 Power Mix'!KHG22</f>
        <v>0</v>
      </c>
      <c r="KHH42" s="1046">
        <f>KHH38+((KHH40+'NF - 5 Power Mix'!KHH14+'NF - 5 Power Mix'!KHH15)*860/10)+((('Form Sa1'!KHK835)*860)/10)+('Form Sa1'!KHK814*'Form Sa1'!KHK816/10)-'NF - 5 Power Mix'!KHH21-'NF - 5 Power Mix'!KHH22</f>
        <v>0</v>
      </c>
      <c r="KHI42" s="1046">
        <f>KHI38+((KHI40+'NF - 5 Power Mix'!KHI14+'NF - 5 Power Mix'!KHI15)*860/10)+((('Form Sa1'!KHL835)*860)/10)+('Form Sa1'!KHL814*'Form Sa1'!KHL816/10)-'NF - 5 Power Mix'!KHI21-'NF - 5 Power Mix'!KHI22</f>
        <v>0</v>
      </c>
      <c r="KHJ42" s="1046">
        <f>KHJ38+((KHJ40+'NF - 5 Power Mix'!KHJ14+'NF - 5 Power Mix'!KHJ15)*860/10)+((('Form Sa1'!KHM835)*860)/10)+('Form Sa1'!KHM814*'Form Sa1'!KHM816/10)-'NF - 5 Power Mix'!KHJ21-'NF - 5 Power Mix'!KHJ22</f>
        <v>0</v>
      </c>
      <c r="KHK42" s="1046">
        <f>KHK38+((KHK40+'NF - 5 Power Mix'!KHK14+'NF - 5 Power Mix'!KHK15)*860/10)+((('Form Sa1'!KHN835)*860)/10)+('Form Sa1'!KHN814*'Form Sa1'!KHN816/10)-'NF - 5 Power Mix'!KHK21-'NF - 5 Power Mix'!KHK22</f>
        <v>0</v>
      </c>
      <c r="KHL42" s="1046">
        <f>KHL38+((KHL40+'NF - 5 Power Mix'!KHL14+'NF - 5 Power Mix'!KHL15)*860/10)+((('Form Sa1'!KHO835)*860)/10)+('Form Sa1'!KHO814*'Form Sa1'!KHO816/10)-'NF - 5 Power Mix'!KHL21-'NF - 5 Power Mix'!KHL22</f>
        <v>0</v>
      </c>
      <c r="KHM42" s="1046">
        <f>KHM38+((KHM40+'NF - 5 Power Mix'!KHM14+'NF - 5 Power Mix'!KHM15)*860/10)+((('Form Sa1'!KHP835)*860)/10)+('Form Sa1'!KHP814*'Form Sa1'!KHP816/10)-'NF - 5 Power Mix'!KHM21-'NF - 5 Power Mix'!KHM22</f>
        <v>0</v>
      </c>
      <c r="KHN42" s="1046">
        <f>KHN38+((KHN40+'NF - 5 Power Mix'!KHN14+'NF - 5 Power Mix'!KHN15)*860/10)+((('Form Sa1'!KHQ835)*860)/10)+('Form Sa1'!KHQ814*'Form Sa1'!KHQ816/10)-'NF - 5 Power Mix'!KHN21-'NF - 5 Power Mix'!KHN22</f>
        <v>0</v>
      </c>
      <c r="KHO42" s="1046">
        <f>KHO38+((KHO40+'NF - 5 Power Mix'!KHO14+'NF - 5 Power Mix'!KHO15)*860/10)+((('Form Sa1'!KHR835)*860)/10)+('Form Sa1'!KHR814*'Form Sa1'!KHR816/10)-'NF - 5 Power Mix'!KHO21-'NF - 5 Power Mix'!KHO22</f>
        <v>0</v>
      </c>
      <c r="KHP42" s="1046">
        <f>KHP38+((KHP40+'NF - 5 Power Mix'!KHP14+'NF - 5 Power Mix'!KHP15)*860/10)+((('Form Sa1'!KHS835)*860)/10)+('Form Sa1'!KHS814*'Form Sa1'!KHS816/10)-'NF - 5 Power Mix'!KHP21-'NF - 5 Power Mix'!KHP22</f>
        <v>0</v>
      </c>
      <c r="KHQ42" s="1046">
        <f>KHQ38+((KHQ40+'NF - 5 Power Mix'!KHQ14+'NF - 5 Power Mix'!KHQ15)*860/10)+((('Form Sa1'!KHT835)*860)/10)+('Form Sa1'!KHT814*'Form Sa1'!KHT816/10)-'NF - 5 Power Mix'!KHQ21-'NF - 5 Power Mix'!KHQ22</f>
        <v>0</v>
      </c>
      <c r="KHR42" s="1046">
        <f>KHR38+((KHR40+'NF - 5 Power Mix'!KHR14+'NF - 5 Power Mix'!KHR15)*860/10)+((('Form Sa1'!KHU835)*860)/10)+('Form Sa1'!KHU814*'Form Sa1'!KHU816/10)-'NF - 5 Power Mix'!KHR21-'NF - 5 Power Mix'!KHR22</f>
        <v>0</v>
      </c>
      <c r="KHS42" s="1046">
        <f>KHS38+((KHS40+'NF - 5 Power Mix'!KHS14+'NF - 5 Power Mix'!KHS15)*860/10)+((('Form Sa1'!KHV835)*860)/10)+('Form Sa1'!KHV814*'Form Sa1'!KHV816/10)-'NF - 5 Power Mix'!KHS21-'NF - 5 Power Mix'!KHS22</f>
        <v>0</v>
      </c>
      <c r="KHT42" s="1046">
        <f>KHT38+((KHT40+'NF - 5 Power Mix'!KHT14+'NF - 5 Power Mix'!KHT15)*860/10)+((('Form Sa1'!KHW835)*860)/10)+('Form Sa1'!KHW814*'Form Sa1'!KHW816/10)-'NF - 5 Power Mix'!KHT21-'NF - 5 Power Mix'!KHT22</f>
        <v>0</v>
      </c>
      <c r="KHU42" s="1046">
        <f>KHU38+((KHU40+'NF - 5 Power Mix'!KHU14+'NF - 5 Power Mix'!KHU15)*860/10)+((('Form Sa1'!KHX835)*860)/10)+('Form Sa1'!KHX814*'Form Sa1'!KHX816/10)-'NF - 5 Power Mix'!KHU21-'NF - 5 Power Mix'!KHU22</f>
        <v>0</v>
      </c>
      <c r="KHV42" s="1046">
        <f>KHV38+((KHV40+'NF - 5 Power Mix'!KHV14+'NF - 5 Power Mix'!KHV15)*860/10)+((('Form Sa1'!KHY835)*860)/10)+('Form Sa1'!KHY814*'Form Sa1'!KHY816/10)-'NF - 5 Power Mix'!KHV21-'NF - 5 Power Mix'!KHV22</f>
        <v>0</v>
      </c>
      <c r="KHW42" s="1046">
        <f>KHW38+((KHW40+'NF - 5 Power Mix'!KHW14+'NF - 5 Power Mix'!KHW15)*860/10)+((('Form Sa1'!KHZ835)*860)/10)+('Form Sa1'!KHZ814*'Form Sa1'!KHZ816/10)-'NF - 5 Power Mix'!KHW21-'NF - 5 Power Mix'!KHW22</f>
        <v>0</v>
      </c>
      <c r="KHX42" s="1046">
        <f>KHX38+((KHX40+'NF - 5 Power Mix'!KHX14+'NF - 5 Power Mix'!KHX15)*860/10)+((('Form Sa1'!KIA835)*860)/10)+('Form Sa1'!KIA814*'Form Sa1'!KIA816/10)-'NF - 5 Power Mix'!KHX21-'NF - 5 Power Mix'!KHX22</f>
        <v>0</v>
      </c>
      <c r="KHY42" s="1046">
        <f>KHY38+((KHY40+'NF - 5 Power Mix'!KHY14+'NF - 5 Power Mix'!KHY15)*860/10)+((('Form Sa1'!KIB835)*860)/10)+('Form Sa1'!KIB814*'Form Sa1'!KIB816/10)-'NF - 5 Power Mix'!KHY21-'NF - 5 Power Mix'!KHY22</f>
        <v>0</v>
      </c>
      <c r="KHZ42" s="1046">
        <f>KHZ38+((KHZ40+'NF - 5 Power Mix'!KHZ14+'NF - 5 Power Mix'!KHZ15)*860/10)+((('Form Sa1'!KIC835)*860)/10)+('Form Sa1'!KIC814*'Form Sa1'!KIC816/10)-'NF - 5 Power Mix'!KHZ21-'NF - 5 Power Mix'!KHZ22</f>
        <v>0</v>
      </c>
      <c r="KIA42" s="1046">
        <f>KIA38+((KIA40+'NF - 5 Power Mix'!KIA14+'NF - 5 Power Mix'!KIA15)*860/10)+((('Form Sa1'!KID835)*860)/10)+('Form Sa1'!KID814*'Form Sa1'!KID816/10)-'NF - 5 Power Mix'!KIA21-'NF - 5 Power Mix'!KIA22</f>
        <v>0</v>
      </c>
      <c r="KIB42" s="1046">
        <f>KIB38+((KIB40+'NF - 5 Power Mix'!KIB14+'NF - 5 Power Mix'!KIB15)*860/10)+((('Form Sa1'!KIE835)*860)/10)+('Form Sa1'!KIE814*'Form Sa1'!KIE816/10)-'NF - 5 Power Mix'!KIB21-'NF - 5 Power Mix'!KIB22</f>
        <v>0</v>
      </c>
      <c r="KIC42" s="1046">
        <f>KIC38+((KIC40+'NF - 5 Power Mix'!KIC14+'NF - 5 Power Mix'!KIC15)*860/10)+((('Form Sa1'!KIF835)*860)/10)+('Form Sa1'!KIF814*'Form Sa1'!KIF816/10)-'NF - 5 Power Mix'!KIC21-'NF - 5 Power Mix'!KIC22</f>
        <v>0</v>
      </c>
      <c r="KID42" s="1046">
        <f>KID38+((KID40+'NF - 5 Power Mix'!KID14+'NF - 5 Power Mix'!KID15)*860/10)+((('Form Sa1'!KIG835)*860)/10)+('Form Sa1'!KIG814*'Form Sa1'!KIG816/10)-'NF - 5 Power Mix'!KID21-'NF - 5 Power Mix'!KID22</f>
        <v>0</v>
      </c>
      <c r="KIE42" s="1046">
        <f>KIE38+((KIE40+'NF - 5 Power Mix'!KIE14+'NF - 5 Power Mix'!KIE15)*860/10)+((('Form Sa1'!KIH835)*860)/10)+('Form Sa1'!KIH814*'Form Sa1'!KIH816/10)-'NF - 5 Power Mix'!KIE21-'NF - 5 Power Mix'!KIE22</f>
        <v>0</v>
      </c>
      <c r="KIF42" s="1046">
        <f>KIF38+((KIF40+'NF - 5 Power Mix'!KIF14+'NF - 5 Power Mix'!KIF15)*860/10)+((('Form Sa1'!KII835)*860)/10)+('Form Sa1'!KII814*'Form Sa1'!KII816/10)-'NF - 5 Power Mix'!KIF21-'NF - 5 Power Mix'!KIF22</f>
        <v>0</v>
      </c>
      <c r="KIG42" s="1046">
        <f>KIG38+((KIG40+'NF - 5 Power Mix'!KIG14+'NF - 5 Power Mix'!KIG15)*860/10)+((('Form Sa1'!KIJ835)*860)/10)+('Form Sa1'!KIJ814*'Form Sa1'!KIJ816/10)-'NF - 5 Power Mix'!KIG21-'NF - 5 Power Mix'!KIG22</f>
        <v>0</v>
      </c>
      <c r="KIH42" s="1046">
        <f>KIH38+((KIH40+'NF - 5 Power Mix'!KIH14+'NF - 5 Power Mix'!KIH15)*860/10)+((('Form Sa1'!KIK835)*860)/10)+('Form Sa1'!KIK814*'Form Sa1'!KIK816/10)-'NF - 5 Power Mix'!KIH21-'NF - 5 Power Mix'!KIH22</f>
        <v>0</v>
      </c>
      <c r="KII42" s="1046">
        <f>KII38+((KII40+'NF - 5 Power Mix'!KII14+'NF - 5 Power Mix'!KII15)*860/10)+((('Form Sa1'!KIL835)*860)/10)+('Form Sa1'!KIL814*'Form Sa1'!KIL816/10)-'NF - 5 Power Mix'!KII21-'NF - 5 Power Mix'!KII22</f>
        <v>0</v>
      </c>
      <c r="KIJ42" s="1046">
        <f>KIJ38+((KIJ40+'NF - 5 Power Mix'!KIJ14+'NF - 5 Power Mix'!KIJ15)*860/10)+((('Form Sa1'!KIM835)*860)/10)+('Form Sa1'!KIM814*'Form Sa1'!KIM816/10)-'NF - 5 Power Mix'!KIJ21-'NF - 5 Power Mix'!KIJ22</f>
        <v>0</v>
      </c>
      <c r="KIK42" s="1046">
        <f>KIK38+((KIK40+'NF - 5 Power Mix'!KIK14+'NF - 5 Power Mix'!KIK15)*860/10)+((('Form Sa1'!KIN835)*860)/10)+('Form Sa1'!KIN814*'Form Sa1'!KIN816/10)-'NF - 5 Power Mix'!KIK21-'NF - 5 Power Mix'!KIK22</f>
        <v>0</v>
      </c>
      <c r="KIL42" s="1046">
        <f>KIL38+((KIL40+'NF - 5 Power Mix'!KIL14+'NF - 5 Power Mix'!KIL15)*860/10)+((('Form Sa1'!KIO835)*860)/10)+('Form Sa1'!KIO814*'Form Sa1'!KIO816/10)-'NF - 5 Power Mix'!KIL21-'NF - 5 Power Mix'!KIL22</f>
        <v>0</v>
      </c>
      <c r="KIM42" s="1046">
        <f>KIM38+((KIM40+'NF - 5 Power Mix'!KIM14+'NF - 5 Power Mix'!KIM15)*860/10)+((('Form Sa1'!KIP835)*860)/10)+('Form Sa1'!KIP814*'Form Sa1'!KIP816/10)-'NF - 5 Power Mix'!KIM21-'NF - 5 Power Mix'!KIM22</f>
        <v>0</v>
      </c>
      <c r="KIN42" s="1046">
        <f>KIN38+((KIN40+'NF - 5 Power Mix'!KIN14+'NF - 5 Power Mix'!KIN15)*860/10)+((('Form Sa1'!KIQ835)*860)/10)+('Form Sa1'!KIQ814*'Form Sa1'!KIQ816/10)-'NF - 5 Power Mix'!KIN21-'NF - 5 Power Mix'!KIN22</f>
        <v>0</v>
      </c>
      <c r="KIO42" s="1046">
        <f>KIO38+((KIO40+'NF - 5 Power Mix'!KIO14+'NF - 5 Power Mix'!KIO15)*860/10)+((('Form Sa1'!KIR835)*860)/10)+('Form Sa1'!KIR814*'Form Sa1'!KIR816/10)-'NF - 5 Power Mix'!KIO21-'NF - 5 Power Mix'!KIO22</f>
        <v>0</v>
      </c>
      <c r="KIP42" s="1046">
        <f>KIP38+((KIP40+'NF - 5 Power Mix'!KIP14+'NF - 5 Power Mix'!KIP15)*860/10)+((('Form Sa1'!KIS835)*860)/10)+('Form Sa1'!KIS814*'Form Sa1'!KIS816/10)-'NF - 5 Power Mix'!KIP21-'NF - 5 Power Mix'!KIP22</f>
        <v>0</v>
      </c>
      <c r="KIQ42" s="1046">
        <f>KIQ38+((KIQ40+'NF - 5 Power Mix'!KIQ14+'NF - 5 Power Mix'!KIQ15)*860/10)+((('Form Sa1'!KIT835)*860)/10)+('Form Sa1'!KIT814*'Form Sa1'!KIT816/10)-'NF - 5 Power Mix'!KIQ21-'NF - 5 Power Mix'!KIQ22</f>
        <v>0</v>
      </c>
      <c r="KIR42" s="1046">
        <f>KIR38+((KIR40+'NF - 5 Power Mix'!KIR14+'NF - 5 Power Mix'!KIR15)*860/10)+((('Form Sa1'!KIU835)*860)/10)+('Form Sa1'!KIU814*'Form Sa1'!KIU816/10)-'NF - 5 Power Mix'!KIR21-'NF - 5 Power Mix'!KIR22</f>
        <v>0</v>
      </c>
      <c r="KIS42" s="1046">
        <f>KIS38+((KIS40+'NF - 5 Power Mix'!KIS14+'NF - 5 Power Mix'!KIS15)*860/10)+((('Form Sa1'!KIV835)*860)/10)+('Form Sa1'!KIV814*'Form Sa1'!KIV816/10)-'NF - 5 Power Mix'!KIS21-'NF - 5 Power Mix'!KIS22</f>
        <v>0</v>
      </c>
      <c r="KIT42" s="1046">
        <f>KIT38+((KIT40+'NF - 5 Power Mix'!KIT14+'NF - 5 Power Mix'!KIT15)*860/10)+((('Form Sa1'!KIW835)*860)/10)+('Form Sa1'!KIW814*'Form Sa1'!KIW816/10)-'NF - 5 Power Mix'!KIT21-'NF - 5 Power Mix'!KIT22</f>
        <v>0</v>
      </c>
      <c r="KIU42" s="1046">
        <f>KIU38+((KIU40+'NF - 5 Power Mix'!KIU14+'NF - 5 Power Mix'!KIU15)*860/10)+((('Form Sa1'!KIX835)*860)/10)+('Form Sa1'!KIX814*'Form Sa1'!KIX816/10)-'NF - 5 Power Mix'!KIU21-'NF - 5 Power Mix'!KIU22</f>
        <v>0</v>
      </c>
      <c r="KIV42" s="1046">
        <f>KIV38+((KIV40+'NF - 5 Power Mix'!KIV14+'NF - 5 Power Mix'!KIV15)*860/10)+((('Form Sa1'!KIY835)*860)/10)+('Form Sa1'!KIY814*'Form Sa1'!KIY816/10)-'NF - 5 Power Mix'!KIV21-'NF - 5 Power Mix'!KIV22</f>
        <v>0</v>
      </c>
      <c r="KIW42" s="1046">
        <f>KIW38+((KIW40+'NF - 5 Power Mix'!KIW14+'NF - 5 Power Mix'!KIW15)*860/10)+((('Form Sa1'!KIZ835)*860)/10)+('Form Sa1'!KIZ814*'Form Sa1'!KIZ816/10)-'NF - 5 Power Mix'!KIW21-'NF - 5 Power Mix'!KIW22</f>
        <v>0</v>
      </c>
      <c r="KIX42" s="1046">
        <f>KIX38+((KIX40+'NF - 5 Power Mix'!KIX14+'NF - 5 Power Mix'!KIX15)*860/10)+((('Form Sa1'!KJA835)*860)/10)+('Form Sa1'!KJA814*'Form Sa1'!KJA816/10)-'NF - 5 Power Mix'!KIX21-'NF - 5 Power Mix'!KIX22</f>
        <v>0</v>
      </c>
      <c r="KIY42" s="1046">
        <f>KIY38+((KIY40+'NF - 5 Power Mix'!KIY14+'NF - 5 Power Mix'!KIY15)*860/10)+((('Form Sa1'!KJB835)*860)/10)+('Form Sa1'!KJB814*'Form Sa1'!KJB816/10)-'NF - 5 Power Mix'!KIY21-'NF - 5 Power Mix'!KIY22</f>
        <v>0</v>
      </c>
      <c r="KIZ42" s="1046">
        <f>KIZ38+((KIZ40+'NF - 5 Power Mix'!KIZ14+'NF - 5 Power Mix'!KIZ15)*860/10)+((('Form Sa1'!KJC835)*860)/10)+('Form Sa1'!KJC814*'Form Sa1'!KJC816/10)-'NF - 5 Power Mix'!KIZ21-'NF - 5 Power Mix'!KIZ22</f>
        <v>0</v>
      </c>
      <c r="KJA42" s="1046">
        <f>KJA38+((KJA40+'NF - 5 Power Mix'!KJA14+'NF - 5 Power Mix'!KJA15)*860/10)+((('Form Sa1'!KJD835)*860)/10)+('Form Sa1'!KJD814*'Form Sa1'!KJD816/10)-'NF - 5 Power Mix'!KJA21-'NF - 5 Power Mix'!KJA22</f>
        <v>0</v>
      </c>
      <c r="KJB42" s="1046">
        <f>KJB38+((KJB40+'NF - 5 Power Mix'!KJB14+'NF - 5 Power Mix'!KJB15)*860/10)+((('Form Sa1'!KJE835)*860)/10)+('Form Sa1'!KJE814*'Form Sa1'!KJE816/10)-'NF - 5 Power Mix'!KJB21-'NF - 5 Power Mix'!KJB22</f>
        <v>0</v>
      </c>
      <c r="KJC42" s="1046">
        <f>KJC38+((KJC40+'NF - 5 Power Mix'!KJC14+'NF - 5 Power Mix'!KJC15)*860/10)+((('Form Sa1'!KJF835)*860)/10)+('Form Sa1'!KJF814*'Form Sa1'!KJF816/10)-'NF - 5 Power Mix'!KJC21-'NF - 5 Power Mix'!KJC22</f>
        <v>0</v>
      </c>
      <c r="KJD42" s="1046">
        <f>KJD38+((KJD40+'NF - 5 Power Mix'!KJD14+'NF - 5 Power Mix'!KJD15)*860/10)+((('Form Sa1'!KJG835)*860)/10)+('Form Sa1'!KJG814*'Form Sa1'!KJG816/10)-'NF - 5 Power Mix'!KJD21-'NF - 5 Power Mix'!KJD22</f>
        <v>0</v>
      </c>
      <c r="KJE42" s="1046">
        <f>KJE38+((KJE40+'NF - 5 Power Mix'!KJE14+'NF - 5 Power Mix'!KJE15)*860/10)+((('Form Sa1'!KJH835)*860)/10)+('Form Sa1'!KJH814*'Form Sa1'!KJH816/10)-'NF - 5 Power Mix'!KJE21-'NF - 5 Power Mix'!KJE22</f>
        <v>0</v>
      </c>
      <c r="KJF42" s="1046">
        <f>KJF38+((KJF40+'NF - 5 Power Mix'!KJF14+'NF - 5 Power Mix'!KJF15)*860/10)+((('Form Sa1'!KJI835)*860)/10)+('Form Sa1'!KJI814*'Form Sa1'!KJI816/10)-'NF - 5 Power Mix'!KJF21-'NF - 5 Power Mix'!KJF22</f>
        <v>0</v>
      </c>
      <c r="KJG42" s="1046">
        <f>KJG38+((KJG40+'NF - 5 Power Mix'!KJG14+'NF - 5 Power Mix'!KJG15)*860/10)+((('Form Sa1'!KJJ835)*860)/10)+('Form Sa1'!KJJ814*'Form Sa1'!KJJ816/10)-'NF - 5 Power Mix'!KJG21-'NF - 5 Power Mix'!KJG22</f>
        <v>0</v>
      </c>
      <c r="KJH42" s="1046">
        <f>KJH38+((KJH40+'NF - 5 Power Mix'!KJH14+'NF - 5 Power Mix'!KJH15)*860/10)+((('Form Sa1'!KJK835)*860)/10)+('Form Sa1'!KJK814*'Form Sa1'!KJK816/10)-'NF - 5 Power Mix'!KJH21-'NF - 5 Power Mix'!KJH22</f>
        <v>0</v>
      </c>
      <c r="KJI42" s="1046">
        <f>KJI38+((KJI40+'NF - 5 Power Mix'!KJI14+'NF - 5 Power Mix'!KJI15)*860/10)+((('Form Sa1'!KJL835)*860)/10)+('Form Sa1'!KJL814*'Form Sa1'!KJL816/10)-'NF - 5 Power Mix'!KJI21-'NF - 5 Power Mix'!KJI22</f>
        <v>0</v>
      </c>
      <c r="KJJ42" s="1046">
        <f>KJJ38+((KJJ40+'NF - 5 Power Mix'!KJJ14+'NF - 5 Power Mix'!KJJ15)*860/10)+((('Form Sa1'!KJM835)*860)/10)+('Form Sa1'!KJM814*'Form Sa1'!KJM816/10)-'NF - 5 Power Mix'!KJJ21-'NF - 5 Power Mix'!KJJ22</f>
        <v>0</v>
      </c>
      <c r="KJK42" s="1046">
        <f>KJK38+((KJK40+'NF - 5 Power Mix'!KJK14+'NF - 5 Power Mix'!KJK15)*860/10)+((('Form Sa1'!KJN835)*860)/10)+('Form Sa1'!KJN814*'Form Sa1'!KJN816/10)-'NF - 5 Power Mix'!KJK21-'NF - 5 Power Mix'!KJK22</f>
        <v>0</v>
      </c>
      <c r="KJL42" s="1046">
        <f>KJL38+((KJL40+'NF - 5 Power Mix'!KJL14+'NF - 5 Power Mix'!KJL15)*860/10)+((('Form Sa1'!KJO835)*860)/10)+('Form Sa1'!KJO814*'Form Sa1'!KJO816/10)-'NF - 5 Power Mix'!KJL21-'NF - 5 Power Mix'!KJL22</f>
        <v>0</v>
      </c>
      <c r="KJM42" s="1046">
        <f>KJM38+((KJM40+'NF - 5 Power Mix'!KJM14+'NF - 5 Power Mix'!KJM15)*860/10)+((('Form Sa1'!KJP835)*860)/10)+('Form Sa1'!KJP814*'Form Sa1'!KJP816/10)-'NF - 5 Power Mix'!KJM21-'NF - 5 Power Mix'!KJM22</f>
        <v>0</v>
      </c>
      <c r="KJN42" s="1046">
        <f>KJN38+((KJN40+'NF - 5 Power Mix'!KJN14+'NF - 5 Power Mix'!KJN15)*860/10)+((('Form Sa1'!KJQ835)*860)/10)+('Form Sa1'!KJQ814*'Form Sa1'!KJQ816/10)-'NF - 5 Power Mix'!KJN21-'NF - 5 Power Mix'!KJN22</f>
        <v>0</v>
      </c>
      <c r="KJO42" s="1046">
        <f>KJO38+((KJO40+'NF - 5 Power Mix'!KJO14+'NF - 5 Power Mix'!KJO15)*860/10)+((('Form Sa1'!KJR835)*860)/10)+('Form Sa1'!KJR814*'Form Sa1'!KJR816/10)-'NF - 5 Power Mix'!KJO21-'NF - 5 Power Mix'!KJO22</f>
        <v>0</v>
      </c>
      <c r="KJP42" s="1046">
        <f>KJP38+((KJP40+'NF - 5 Power Mix'!KJP14+'NF - 5 Power Mix'!KJP15)*860/10)+((('Form Sa1'!KJS835)*860)/10)+('Form Sa1'!KJS814*'Form Sa1'!KJS816/10)-'NF - 5 Power Mix'!KJP21-'NF - 5 Power Mix'!KJP22</f>
        <v>0</v>
      </c>
      <c r="KJQ42" s="1046">
        <f>KJQ38+((KJQ40+'NF - 5 Power Mix'!KJQ14+'NF - 5 Power Mix'!KJQ15)*860/10)+((('Form Sa1'!KJT835)*860)/10)+('Form Sa1'!KJT814*'Form Sa1'!KJT816/10)-'NF - 5 Power Mix'!KJQ21-'NF - 5 Power Mix'!KJQ22</f>
        <v>0</v>
      </c>
      <c r="KJR42" s="1046">
        <f>KJR38+((KJR40+'NF - 5 Power Mix'!KJR14+'NF - 5 Power Mix'!KJR15)*860/10)+((('Form Sa1'!KJU835)*860)/10)+('Form Sa1'!KJU814*'Form Sa1'!KJU816/10)-'NF - 5 Power Mix'!KJR21-'NF - 5 Power Mix'!KJR22</f>
        <v>0</v>
      </c>
      <c r="KJS42" s="1046">
        <f>KJS38+((KJS40+'NF - 5 Power Mix'!KJS14+'NF - 5 Power Mix'!KJS15)*860/10)+((('Form Sa1'!KJV835)*860)/10)+('Form Sa1'!KJV814*'Form Sa1'!KJV816/10)-'NF - 5 Power Mix'!KJS21-'NF - 5 Power Mix'!KJS22</f>
        <v>0</v>
      </c>
      <c r="KJT42" s="1046">
        <f>KJT38+((KJT40+'NF - 5 Power Mix'!KJT14+'NF - 5 Power Mix'!KJT15)*860/10)+((('Form Sa1'!KJW835)*860)/10)+('Form Sa1'!KJW814*'Form Sa1'!KJW816/10)-'NF - 5 Power Mix'!KJT21-'NF - 5 Power Mix'!KJT22</f>
        <v>0</v>
      </c>
      <c r="KJU42" s="1046">
        <f>KJU38+((KJU40+'NF - 5 Power Mix'!KJU14+'NF - 5 Power Mix'!KJU15)*860/10)+((('Form Sa1'!KJX835)*860)/10)+('Form Sa1'!KJX814*'Form Sa1'!KJX816/10)-'NF - 5 Power Mix'!KJU21-'NF - 5 Power Mix'!KJU22</f>
        <v>0</v>
      </c>
      <c r="KJV42" s="1046">
        <f>KJV38+((KJV40+'NF - 5 Power Mix'!KJV14+'NF - 5 Power Mix'!KJV15)*860/10)+((('Form Sa1'!KJY835)*860)/10)+('Form Sa1'!KJY814*'Form Sa1'!KJY816/10)-'NF - 5 Power Mix'!KJV21-'NF - 5 Power Mix'!KJV22</f>
        <v>0</v>
      </c>
      <c r="KJW42" s="1046">
        <f>KJW38+((KJW40+'NF - 5 Power Mix'!KJW14+'NF - 5 Power Mix'!KJW15)*860/10)+((('Form Sa1'!KJZ835)*860)/10)+('Form Sa1'!KJZ814*'Form Sa1'!KJZ816/10)-'NF - 5 Power Mix'!KJW21-'NF - 5 Power Mix'!KJW22</f>
        <v>0</v>
      </c>
      <c r="KJX42" s="1046">
        <f>KJX38+((KJX40+'NF - 5 Power Mix'!KJX14+'NF - 5 Power Mix'!KJX15)*860/10)+((('Form Sa1'!KKA835)*860)/10)+('Form Sa1'!KKA814*'Form Sa1'!KKA816/10)-'NF - 5 Power Mix'!KJX21-'NF - 5 Power Mix'!KJX22</f>
        <v>0</v>
      </c>
      <c r="KJY42" s="1046">
        <f>KJY38+((KJY40+'NF - 5 Power Mix'!KJY14+'NF - 5 Power Mix'!KJY15)*860/10)+((('Form Sa1'!KKB835)*860)/10)+('Form Sa1'!KKB814*'Form Sa1'!KKB816/10)-'NF - 5 Power Mix'!KJY21-'NF - 5 Power Mix'!KJY22</f>
        <v>0</v>
      </c>
      <c r="KJZ42" s="1046">
        <f>KJZ38+((KJZ40+'NF - 5 Power Mix'!KJZ14+'NF - 5 Power Mix'!KJZ15)*860/10)+((('Form Sa1'!KKC835)*860)/10)+('Form Sa1'!KKC814*'Form Sa1'!KKC816/10)-'NF - 5 Power Mix'!KJZ21-'NF - 5 Power Mix'!KJZ22</f>
        <v>0</v>
      </c>
      <c r="KKA42" s="1046">
        <f>KKA38+((KKA40+'NF - 5 Power Mix'!KKA14+'NF - 5 Power Mix'!KKA15)*860/10)+((('Form Sa1'!KKD835)*860)/10)+('Form Sa1'!KKD814*'Form Sa1'!KKD816/10)-'NF - 5 Power Mix'!KKA21-'NF - 5 Power Mix'!KKA22</f>
        <v>0</v>
      </c>
      <c r="KKB42" s="1046">
        <f>KKB38+((KKB40+'NF - 5 Power Mix'!KKB14+'NF - 5 Power Mix'!KKB15)*860/10)+((('Form Sa1'!KKE835)*860)/10)+('Form Sa1'!KKE814*'Form Sa1'!KKE816/10)-'NF - 5 Power Mix'!KKB21-'NF - 5 Power Mix'!KKB22</f>
        <v>0</v>
      </c>
      <c r="KKC42" s="1046">
        <f>KKC38+((KKC40+'NF - 5 Power Mix'!KKC14+'NF - 5 Power Mix'!KKC15)*860/10)+((('Form Sa1'!KKF835)*860)/10)+('Form Sa1'!KKF814*'Form Sa1'!KKF816/10)-'NF - 5 Power Mix'!KKC21-'NF - 5 Power Mix'!KKC22</f>
        <v>0</v>
      </c>
      <c r="KKD42" s="1046">
        <f>KKD38+((KKD40+'NF - 5 Power Mix'!KKD14+'NF - 5 Power Mix'!KKD15)*860/10)+((('Form Sa1'!KKG835)*860)/10)+('Form Sa1'!KKG814*'Form Sa1'!KKG816/10)-'NF - 5 Power Mix'!KKD21-'NF - 5 Power Mix'!KKD22</f>
        <v>0</v>
      </c>
      <c r="KKE42" s="1046">
        <f>KKE38+((KKE40+'NF - 5 Power Mix'!KKE14+'NF - 5 Power Mix'!KKE15)*860/10)+((('Form Sa1'!KKH835)*860)/10)+('Form Sa1'!KKH814*'Form Sa1'!KKH816/10)-'NF - 5 Power Mix'!KKE21-'NF - 5 Power Mix'!KKE22</f>
        <v>0</v>
      </c>
      <c r="KKF42" s="1046">
        <f>KKF38+((KKF40+'NF - 5 Power Mix'!KKF14+'NF - 5 Power Mix'!KKF15)*860/10)+((('Form Sa1'!KKI835)*860)/10)+('Form Sa1'!KKI814*'Form Sa1'!KKI816/10)-'NF - 5 Power Mix'!KKF21-'NF - 5 Power Mix'!KKF22</f>
        <v>0</v>
      </c>
      <c r="KKG42" s="1046">
        <f>KKG38+((KKG40+'NF - 5 Power Mix'!KKG14+'NF - 5 Power Mix'!KKG15)*860/10)+((('Form Sa1'!KKJ835)*860)/10)+('Form Sa1'!KKJ814*'Form Sa1'!KKJ816/10)-'NF - 5 Power Mix'!KKG21-'NF - 5 Power Mix'!KKG22</f>
        <v>0</v>
      </c>
      <c r="KKH42" s="1046">
        <f>KKH38+((KKH40+'NF - 5 Power Mix'!KKH14+'NF - 5 Power Mix'!KKH15)*860/10)+((('Form Sa1'!KKK835)*860)/10)+('Form Sa1'!KKK814*'Form Sa1'!KKK816/10)-'NF - 5 Power Mix'!KKH21-'NF - 5 Power Mix'!KKH22</f>
        <v>0</v>
      </c>
      <c r="KKI42" s="1046">
        <f>KKI38+((KKI40+'NF - 5 Power Mix'!KKI14+'NF - 5 Power Mix'!KKI15)*860/10)+((('Form Sa1'!KKL835)*860)/10)+('Form Sa1'!KKL814*'Form Sa1'!KKL816/10)-'NF - 5 Power Mix'!KKI21-'NF - 5 Power Mix'!KKI22</f>
        <v>0</v>
      </c>
      <c r="KKJ42" s="1046">
        <f>KKJ38+((KKJ40+'NF - 5 Power Mix'!KKJ14+'NF - 5 Power Mix'!KKJ15)*860/10)+((('Form Sa1'!KKM835)*860)/10)+('Form Sa1'!KKM814*'Form Sa1'!KKM816/10)-'NF - 5 Power Mix'!KKJ21-'NF - 5 Power Mix'!KKJ22</f>
        <v>0</v>
      </c>
      <c r="KKK42" s="1046">
        <f>KKK38+((KKK40+'NF - 5 Power Mix'!KKK14+'NF - 5 Power Mix'!KKK15)*860/10)+((('Form Sa1'!KKN835)*860)/10)+('Form Sa1'!KKN814*'Form Sa1'!KKN816/10)-'NF - 5 Power Mix'!KKK21-'NF - 5 Power Mix'!KKK22</f>
        <v>0</v>
      </c>
      <c r="KKL42" s="1046">
        <f>KKL38+((KKL40+'NF - 5 Power Mix'!KKL14+'NF - 5 Power Mix'!KKL15)*860/10)+((('Form Sa1'!KKO835)*860)/10)+('Form Sa1'!KKO814*'Form Sa1'!KKO816/10)-'NF - 5 Power Mix'!KKL21-'NF - 5 Power Mix'!KKL22</f>
        <v>0</v>
      </c>
      <c r="KKM42" s="1046">
        <f>KKM38+((KKM40+'NF - 5 Power Mix'!KKM14+'NF - 5 Power Mix'!KKM15)*860/10)+((('Form Sa1'!KKP835)*860)/10)+('Form Sa1'!KKP814*'Form Sa1'!KKP816/10)-'NF - 5 Power Mix'!KKM21-'NF - 5 Power Mix'!KKM22</f>
        <v>0</v>
      </c>
      <c r="KKN42" s="1046">
        <f>KKN38+((KKN40+'NF - 5 Power Mix'!KKN14+'NF - 5 Power Mix'!KKN15)*860/10)+((('Form Sa1'!KKQ835)*860)/10)+('Form Sa1'!KKQ814*'Form Sa1'!KKQ816/10)-'NF - 5 Power Mix'!KKN21-'NF - 5 Power Mix'!KKN22</f>
        <v>0</v>
      </c>
      <c r="KKO42" s="1046">
        <f>KKO38+((KKO40+'NF - 5 Power Mix'!KKO14+'NF - 5 Power Mix'!KKO15)*860/10)+((('Form Sa1'!KKR835)*860)/10)+('Form Sa1'!KKR814*'Form Sa1'!KKR816/10)-'NF - 5 Power Mix'!KKO21-'NF - 5 Power Mix'!KKO22</f>
        <v>0</v>
      </c>
      <c r="KKP42" s="1046">
        <f>KKP38+((KKP40+'NF - 5 Power Mix'!KKP14+'NF - 5 Power Mix'!KKP15)*860/10)+((('Form Sa1'!KKS835)*860)/10)+('Form Sa1'!KKS814*'Form Sa1'!KKS816/10)-'NF - 5 Power Mix'!KKP21-'NF - 5 Power Mix'!KKP22</f>
        <v>0</v>
      </c>
      <c r="KKQ42" s="1046">
        <f>KKQ38+((KKQ40+'NF - 5 Power Mix'!KKQ14+'NF - 5 Power Mix'!KKQ15)*860/10)+((('Form Sa1'!KKT835)*860)/10)+('Form Sa1'!KKT814*'Form Sa1'!KKT816/10)-'NF - 5 Power Mix'!KKQ21-'NF - 5 Power Mix'!KKQ22</f>
        <v>0</v>
      </c>
      <c r="KKR42" s="1046">
        <f>KKR38+((KKR40+'NF - 5 Power Mix'!KKR14+'NF - 5 Power Mix'!KKR15)*860/10)+((('Form Sa1'!KKU835)*860)/10)+('Form Sa1'!KKU814*'Form Sa1'!KKU816/10)-'NF - 5 Power Mix'!KKR21-'NF - 5 Power Mix'!KKR22</f>
        <v>0</v>
      </c>
      <c r="KKS42" s="1046">
        <f>KKS38+((KKS40+'NF - 5 Power Mix'!KKS14+'NF - 5 Power Mix'!KKS15)*860/10)+((('Form Sa1'!KKV835)*860)/10)+('Form Sa1'!KKV814*'Form Sa1'!KKV816/10)-'NF - 5 Power Mix'!KKS21-'NF - 5 Power Mix'!KKS22</f>
        <v>0</v>
      </c>
      <c r="KKT42" s="1046">
        <f>KKT38+((KKT40+'NF - 5 Power Mix'!KKT14+'NF - 5 Power Mix'!KKT15)*860/10)+((('Form Sa1'!KKW835)*860)/10)+('Form Sa1'!KKW814*'Form Sa1'!KKW816/10)-'NF - 5 Power Mix'!KKT21-'NF - 5 Power Mix'!KKT22</f>
        <v>0</v>
      </c>
      <c r="KKU42" s="1046">
        <f>KKU38+((KKU40+'NF - 5 Power Mix'!KKU14+'NF - 5 Power Mix'!KKU15)*860/10)+((('Form Sa1'!KKX835)*860)/10)+('Form Sa1'!KKX814*'Form Sa1'!KKX816/10)-'NF - 5 Power Mix'!KKU21-'NF - 5 Power Mix'!KKU22</f>
        <v>0</v>
      </c>
      <c r="KKV42" s="1046">
        <f>KKV38+((KKV40+'NF - 5 Power Mix'!KKV14+'NF - 5 Power Mix'!KKV15)*860/10)+((('Form Sa1'!KKY835)*860)/10)+('Form Sa1'!KKY814*'Form Sa1'!KKY816/10)-'NF - 5 Power Mix'!KKV21-'NF - 5 Power Mix'!KKV22</f>
        <v>0</v>
      </c>
      <c r="KKW42" s="1046">
        <f>KKW38+((KKW40+'NF - 5 Power Mix'!KKW14+'NF - 5 Power Mix'!KKW15)*860/10)+((('Form Sa1'!KKZ835)*860)/10)+('Form Sa1'!KKZ814*'Form Sa1'!KKZ816/10)-'NF - 5 Power Mix'!KKW21-'NF - 5 Power Mix'!KKW22</f>
        <v>0</v>
      </c>
      <c r="KKX42" s="1046">
        <f>KKX38+((KKX40+'NF - 5 Power Mix'!KKX14+'NF - 5 Power Mix'!KKX15)*860/10)+((('Form Sa1'!KLA835)*860)/10)+('Form Sa1'!KLA814*'Form Sa1'!KLA816/10)-'NF - 5 Power Mix'!KKX21-'NF - 5 Power Mix'!KKX22</f>
        <v>0</v>
      </c>
      <c r="KKY42" s="1046">
        <f>KKY38+((KKY40+'NF - 5 Power Mix'!KKY14+'NF - 5 Power Mix'!KKY15)*860/10)+((('Form Sa1'!KLB835)*860)/10)+('Form Sa1'!KLB814*'Form Sa1'!KLB816/10)-'NF - 5 Power Mix'!KKY21-'NF - 5 Power Mix'!KKY22</f>
        <v>0</v>
      </c>
      <c r="KKZ42" s="1046">
        <f>KKZ38+((KKZ40+'NF - 5 Power Mix'!KKZ14+'NF - 5 Power Mix'!KKZ15)*860/10)+((('Form Sa1'!KLC835)*860)/10)+('Form Sa1'!KLC814*'Form Sa1'!KLC816/10)-'NF - 5 Power Mix'!KKZ21-'NF - 5 Power Mix'!KKZ22</f>
        <v>0</v>
      </c>
      <c r="KLA42" s="1046">
        <f>KLA38+((KLA40+'NF - 5 Power Mix'!KLA14+'NF - 5 Power Mix'!KLA15)*860/10)+((('Form Sa1'!KLD835)*860)/10)+('Form Sa1'!KLD814*'Form Sa1'!KLD816/10)-'NF - 5 Power Mix'!KLA21-'NF - 5 Power Mix'!KLA22</f>
        <v>0</v>
      </c>
      <c r="KLB42" s="1046">
        <f>KLB38+((KLB40+'NF - 5 Power Mix'!KLB14+'NF - 5 Power Mix'!KLB15)*860/10)+((('Form Sa1'!KLE835)*860)/10)+('Form Sa1'!KLE814*'Form Sa1'!KLE816/10)-'NF - 5 Power Mix'!KLB21-'NF - 5 Power Mix'!KLB22</f>
        <v>0</v>
      </c>
      <c r="KLC42" s="1046">
        <f>KLC38+((KLC40+'NF - 5 Power Mix'!KLC14+'NF - 5 Power Mix'!KLC15)*860/10)+((('Form Sa1'!KLF835)*860)/10)+('Form Sa1'!KLF814*'Form Sa1'!KLF816/10)-'NF - 5 Power Mix'!KLC21-'NF - 5 Power Mix'!KLC22</f>
        <v>0</v>
      </c>
      <c r="KLD42" s="1046">
        <f>KLD38+((KLD40+'NF - 5 Power Mix'!KLD14+'NF - 5 Power Mix'!KLD15)*860/10)+((('Form Sa1'!KLG835)*860)/10)+('Form Sa1'!KLG814*'Form Sa1'!KLG816/10)-'NF - 5 Power Mix'!KLD21-'NF - 5 Power Mix'!KLD22</f>
        <v>0</v>
      </c>
      <c r="KLE42" s="1046">
        <f>KLE38+((KLE40+'NF - 5 Power Mix'!KLE14+'NF - 5 Power Mix'!KLE15)*860/10)+((('Form Sa1'!KLH835)*860)/10)+('Form Sa1'!KLH814*'Form Sa1'!KLH816/10)-'NF - 5 Power Mix'!KLE21-'NF - 5 Power Mix'!KLE22</f>
        <v>0</v>
      </c>
      <c r="KLF42" s="1046">
        <f>KLF38+((KLF40+'NF - 5 Power Mix'!KLF14+'NF - 5 Power Mix'!KLF15)*860/10)+((('Form Sa1'!KLI835)*860)/10)+('Form Sa1'!KLI814*'Form Sa1'!KLI816/10)-'NF - 5 Power Mix'!KLF21-'NF - 5 Power Mix'!KLF22</f>
        <v>0</v>
      </c>
      <c r="KLG42" s="1046">
        <f>KLG38+((KLG40+'NF - 5 Power Mix'!KLG14+'NF - 5 Power Mix'!KLG15)*860/10)+((('Form Sa1'!KLJ835)*860)/10)+('Form Sa1'!KLJ814*'Form Sa1'!KLJ816/10)-'NF - 5 Power Mix'!KLG21-'NF - 5 Power Mix'!KLG22</f>
        <v>0</v>
      </c>
      <c r="KLH42" s="1046">
        <f>KLH38+((KLH40+'NF - 5 Power Mix'!KLH14+'NF - 5 Power Mix'!KLH15)*860/10)+((('Form Sa1'!KLK835)*860)/10)+('Form Sa1'!KLK814*'Form Sa1'!KLK816/10)-'NF - 5 Power Mix'!KLH21-'NF - 5 Power Mix'!KLH22</f>
        <v>0</v>
      </c>
      <c r="KLI42" s="1046">
        <f>KLI38+((KLI40+'NF - 5 Power Mix'!KLI14+'NF - 5 Power Mix'!KLI15)*860/10)+((('Form Sa1'!KLL835)*860)/10)+('Form Sa1'!KLL814*'Form Sa1'!KLL816/10)-'NF - 5 Power Mix'!KLI21-'NF - 5 Power Mix'!KLI22</f>
        <v>0</v>
      </c>
      <c r="KLJ42" s="1046">
        <f>KLJ38+((KLJ40+'NF - 5 Power Mix'!KLJ14+'NF - 5 Power Mix'!KLJ15)*860/10)+((('Form Sa1'!KLM835)*860)/10)+('Form Sa1'!KLM814*'Form Sa1'!KLM816/10)-'NF - 5 Power Mix'!KLJ21-'NF - 5 Power Mix'!KLJ22</f>
        <v>0</v>
      </c>
      <c r="KLK42" s="1046">
        <f>KLK38+((KLK40+'NF - 5 Power Mix'!KLK14+'NF - 5 Power Mix'!KLK15)*860/10)+((('Form Sa1'!KLN835)*860)/10)+('Form Sa1'!KLN814*'Form Sa1'!KLN816/10)-'NF - 5 Power Mix'!KLK21-'NF - 5 Power Mix'!KLK22</f>
        <v>0</v>
      </c>
      <c r="KLL42" s="1046">
        <f>KLL38+((KLL40+'NF - 5 Power Mix'!KLL14+'NF - 5 Power Mix'!KLL15)*860/10)+((('Form Sa1'!KLO835)*860)/10)+('Form Sa1'!KLO814*'Form Sa1'!KLO816/10)-'NF - 5 Power Mix'!KLL21-'NF - 5 Power Mix'!KLL22</f>
        <v>0</v>
      </c>
      <c r="KLM42" s="1046">
        <f>KLM38+((KLM40+'NF - 5 Power Mix'!KLM14+'NF - 5 Power Mix'!KLM15)*860/10)+((('Form Sa1'!KLP835)*860)/10)+('Form Sa1'!KLP814*'Form Sa1'!KLP816/10)-'NF - 5 Power Mix'!KLM21-'NF - 5 Power Mix'!KLM22</f>
        <v>0</v>
      </c>
      <c r="KLN42" s="1046">
        <f>KLN38+((KLN40+'NF - 5 Power Mix'!KLN14+'NF - 5 Power Mix'!KLN15)*860/10)+((('Form Sa1'!KLQ835)*860)/10)+('Form Sa1'!KLQ814*'Form Sa1'!KLQ816/10)-'NF - 5 Power Mix'!KLN21-'NF - 5 Power Mix'!KLN22</f>
        <v>0</v>
      </c>
      <c r="KLO42" s="1046">
        <f>KLO38+((KLO40+'NF - 5 Power Mix'!KLO14+'NF - 5 Power Mix'!KLO15)*860/10)+((('Form Sa1'!KLR835)*860)/10)+('Form Sa1'!KLR814*'Form Sa1'!KLR816/10)-'NF - 5 Power Mix'!KLO21-'NF - 5 Power Mix'!KLO22</f>
        <v>0</v>
      </c>
      <c r="KLP42" s="1046">
        <f>KLP38+((KLP40+'NF - 5 Power Mix'!KLP14+'NF - 5 Power Mix'!KLP15)*860/10)+((('Form Sa1'!KLS835)*860)/10)+('Form Sa1'!KLS814*'Form Sa1'!KLS816/10)-'NF - 5 Power Mix'!KLP21-'NF - 5 Power Mix'!KLP22</f>
        <v>0</v>
      </c>
      <c r="KLQ42" s="1046">
        <f>KLQ38+((KLQ40+'NF - 5 Power Mix'!KLQ14+'NF - 5 Power Mix'!KLQ15)*860/10)+((('Form Sa1'!KLT835)*860)/10)+('Form Sa1'!KLT814*'Form Sa1'!KLT816/10)-'NF - 5 Power Mix'!KLQ21-'NF - 5 Power Mix'!KLQ22</f>
        <v>0</v>
      </c>
      <c r="KLR42" s="1046">
        <f>KLR38+((KLR40+'NF - 5 Power Mix'!KLR14+'NF - 5 Power Mix'!KLR15)*860/10)+((('Form Sa1'!KLU835)*860)/10)+('Form Sa1'!KLU814*'Form Sa1'!KLU816/10)-'NF - 5 Power Mix'!KLR21-'NF - 5 Power Mix'!KLR22</f>
        <v>0</v>
      </c>
      <c r="KLS42" s="1046">
        <f>KLS38+((KLS40+'NF - 5 Power Mix'!KLS14+'NF - 5 Power Mix'!KLS15)*860/10)+((('Form Sa1'!KLV835)*860)/10)+('Form Sa1'!KLV814*'Form Sa1'!KLV816/10)-'NF - 5 Power Mix'!KLS21-'NF - 5 Power Mix'!KLS22</f>
        <v>0</v>
      </c>
      <c r="KLT42" s="1046">
        <f>KLT38+((KLT40+'NF - 5 Power Mix'!KLT14+'NF - 5 Power Mix'!KLT15)*860/10)+((('Form Sa1'!KLW835)*860)/10)+('Form Sa1'!KLW814*'Form Sa1'!KLW816/10)-'NF - 5 Power Mix'!KLT21-'NF - 5 Power Mix'!KLT22</f>
        <v>0</v>
      </c>
      <c r="KLU42" s="1046">
        <f>KLU38+((KLU40+'NF - 5 Power Mix'!KLU14+'NF - 5 Power Mix'!KLU15)*860/10)+((('Form Sa1'!KLX835)*860)/10)+('Form Sa1'!KLX814*'Form Sa1'!KLX816/10)-'NF - 5 Power Mix'!KLU21-'NF - 5 Power Mix'!KLU22</f>
        <v>0</v>
      </c>
      <c r="KLV42" s="1046">
        <f>KLV38+((KLV40+'NF - 5 Power Mix'!KLV14+'NF - 5 Power Mix'!KLV15)*860/10)+((('Form Sa1'!KLY835)*860)/10)+('Form Sa1'!KLY814*'Form Sa1'!KLY816/10)-'NF - 5 Power Mix'!KLV21-'NF - 5 Power Mix'!KLV22</f>
        <v>0</v>
      </c>
      <c r="KLW42" s="1046">
        <f>KLW38+((KLW40+'NF - 5 Power Mix'!KLW14+'NF - 5 Power Mix'!KLW15)*860/10)+((('Form Sa1'!KLZ835)*860)/10)+('Form Sa1'!KLZ814*'Form Sa1'!KLZ816/10)-'NF - 5 Power Mix'!KLW21-'NF - 5 Power Mix'!KLW22</f>
        <v>0</v>
      </c>
      <c r="KLX42" s="1046">
        <f>KLX38+((KLX40+'NF - 5 Power Mix'!KLX14+'NF - 5 Power Mix'!KLX15)*860/10)+((('Form Sa1'!KMA835)*860)/10)+('Form Sa1'!KMA814*'Form Sa1'!KMA816/10)-'NF - 5 Power Mix'!KLX21-'NF - 5 Power Mix'!KLX22</f>
        <v>0</v>
      </c>
      <c r="KLY42" s="1046">
        <f>KLY38+((KLY40+'NF - 5 Power Mix'!KLY14+'NF - 5 Power Mix'!KLY15)*860/10)+((('Form Sa1'!KMB835)*860)/10)+('Form Sa1'!KMB814*'Form Sa1'!KMB816/10)-'NF - 5 Power Mix'!KLY21-'NF - 5 Power Mix'!KLY22</f>
        <v>0</v>
      </c>
      <c r="KLZ42" s="1046">
        <f>KLZ38+((KLZ40+'NF - 5 Power Mix'!KLZ14+'NF - 5 Power Mix'!KLZ15)*860/10)+((('Form Sa1'!KMC835)*860)/10)+('Form Sa1'!KMC814*'Form Sa1'!KMC816/10)-'NF - 5 Power Mix'!KLZ21-'NF - 5 Power Mix'!KLZ22</f>
        <v>0</v>
      </c>
      <c r="KMA42" s="1046">
        <f>KMA38+((KMA40+'NF - 5 Power Mix'!KMA14+'NF - 5 Power Mix'!KMA15)*860/10)+((('Form Sa1'!KMD835)*860)/10)+('Form Sa1'!KMD814*'Form Sa1'!KMD816/10)-'NF - 5 Power Mix'!KMA21-'NF - 5 Power Mix'!KMA22</f>
        <v>0</v>
      </c>
      <c r="KMB42" s="1046">
        <f>KMB38+((KMB40+'NF - 5 Power Mix'!KMB14+'NF - 5 Power Mix'!KMB15)*860/10)+((('Form Sa1'!KME835)*860)/10)+('Form Sa1'!KME814*'Form Sa1'!KME816/10)-'NF - 5 Power Mix'!KMB21-'NF - 5 Power Mix'!KMB22</f>
        <v>0</v>
      </c>
      <c r="KMC42" s="1046">
        <f>KMC38+((KMC40+'NF - 5 Power Mix'!KMC14+'NF - 5 Power Mix'!KMC15)*860/10)+((('Form Sa1'!KMF835)*860)/10)+('Form Sa1'!KMF814*'Form Sa1'!KMF816/10)-'NF - 5 Power Mix'!KMC21-'NF - 5 Power Mix'!KMC22</f>
        <v>0</v>
      </c>
      <c r="KMD42" s="1046">
        <f>KMD38+((KMD40+'NF - 5 Power Mix'!KMD14+'NF - 5 Power Mix'!KMD15)*860/10)+((('Form Sa1'!KMG835)*860)/10)+('Form Sa1'!KMG814*'Form Sa1'!KMG816/10)-'NF - 5 Power Mix'!KMD21-'NF - 5 Power Mix'!KMD22</f>
        <v>0</v>
      </c>
      <c r="KME42" s="1046">
        <f>KME38+((KME40+'NF - 5 Power Mix'!KME14+'NF - 5 Power Mix'!KME15)*860/10)+((('Form Sa1'!KMH835)*860)/10)+('Form Sa1'!KMH814*'Form Sa1'!KMH816/10)-'NF - 5 Power Mix'!KME21-'NF - 5 Power Mix'!KME22</f>
        <v>0</v>
      </c>
      <c r="KMF42" s="1046">
        <f>KMF38+((KMF40+'NF - 5 Power Mix'!KMF14+'NF - 5 Power Mix'!KMF15)*860/10)+((('Form Sa1'!KMI835)*860)/10)+('Form Sa1'!KMI814*'Form Sa1'!KMI816/10)-'NF - 5 Power Mix'!KMF21-'NF - 5 Power Mix'!KMF22</f>
        <v>0</v>
      </c>
      <c r="KMG42" s="1046">
        <f>KMG38+((KMG40+'NF - 5 Power Mix'!KMG14+'NF - 5 Power Mix'!KMG15)*860/10)+((('Form Sa1'!KMJ835)*860)/10)+('Form Sa1'!KMJ814*'Form Sa1'!KMJ816/10)-'NF - 5 Power Mix'!KMG21-'NF - 5 Power Mix'!KMG22</f>
        <v>0</v>
      </c>
      <c r="KMH42" s="1046">
        <f>KMH38+((KMH40+'NF - 5 Power Mix'!KMH14+'NF - 5 Power Mix'!KMH15)*860/10)+((('Form Sa1'!KMK835)*860)/10)+('Form Sa1'!KMK814*'Form Sa1'!KMK816/10)-'NF - 5 Power Mix'!KMH21-'NF - 5 Power Mix'!KMH22</f>
        <v>0</v>
      </c>
      <c r="KMI42" s="1046">
        <f>KMI38+((KMI40+'NF - 5 Power Mix'!KMI14+'NF - 5 Power Mix'!KMI15)*860/10)+((('Form Sa1'!KML835)*860)/10)+('Form Sa1'!KML814*'Form Sa1'!KML816/10)-'NF - 5 Power Mix'!KMI21-'NF - 5 Power Mix'!KMI22</f>
        <v>0</v>
      </c>
      <c r="KMJ42" s="1046">
        <f>KMJ38+((KMJ40+'NF - 5 Power Mix'!KMJ14+'NF - 5 Power Mix'!KMJ15)*860/10)+((('Form Sa1'!KMM835)*860)/10)+('Form Sa1'!KMM814*'Form Sa1'!KMM816/10)-'NF - 5 Power Mix'!KMJ21-'NF - 5 Power Mix'!KMJ22</f>
        <v>0</v>
      </c>
      <c r="KMK42" s="1046">
        <f>KMK38+((KMK40+'NF - 5 Power Mix'!KMK14+'NF - 5 Power Mix'!KMK15)*860/10)+((('Form Sa1'!KMN835)*860)/10)+('Form Sa1'!KMN814*'Form Sa1'!KMN816/10)-'NF - 5 Power Mix'!KMK21-'NF - 5 Power Mix'!KMK22</f>
        <v>0</v>
      </c>
      <c r="KML42" s="1046">
        <f>KML38+((KML40+'NF - 5 Power Mix'!KML14+'NF - 5 Power Mix'!KML15)*860/10)+((('Form Sa1'!KMO835)*860)/10)+('Form Sa1'!KMO814*'Form Sa1'!KMO816/10)-'NF - 5 Power Mix'!KML21-'NF - 5 Power Mix'!KML22</f>
        <v>0</v>
      </c>
      <c r="KMM42" s="1046">
        <f>KMM38+((KMM40+'NF - 5 Power Mix'!KMM14+'NF - 5 Power Mix'!KMM15)*860/10)+((('Form Sa1'!KMP835)*860)/10)+('Form Sa1'!KMP814*'Form Sa1'!KMP816/10)-'NF - 5 Power Mix'!KMM21-'NF - 5 Power Mix'!KMM22</f>
        <v>0</v>
      </c>
      <c r="KMN42" s="1046">
        <f>KMN38+((KMN40+'NF - 5 Power Mix'!KMN14+'NF - 5 Power Mix'!KMN15)*860/10)+((('Form Sa1'!KMQ835)*860)/10)+('Form Sa1'!KMQ814*'Form Sa1'!KMQ816/10)-'NF - 5 Power Mix'!KMN21-'NF - 5 Power Mix'!KMN22</f>
        <v>0</v>
      </c>
      <c r="KMO42" s="1046">
        <f>KMO38+((KMO40+'NF - 5 Power Mix'!KMO14+'NF - 5 Power Mix'!KMO15)*860/10)+((('Form Sa1'!KMR835)*860)/10)+('Form Sa1'!KMR814*'Form Sa1'!KMR816/10)-'NF - 5 Power Mix'!KMO21-'NF - 5 Power Mix'!KMO22</f>
        <v>0</v>
      </c>
      <c r="KMP42" s="1046">
        <f>KMP38+((KMP40+'NF - 5 Power Mix'!KMP14+'NF - 5 Power Mix'!KMP15)*860/10)+((('Form Sa1'!KMS835)*860)/10)+('Form Sa1'!KMS814*'Form Sa1'!KMS816/10)-'NF - 5 Power Mix'!KMP21-'NF - 5 Power Mix'!KMP22</f>
        <v>0</v>
      </c>
      <c r="KMQ42" s="1046">
        <f>KMQ38+((KMQ40+'NF - 5 Power Mix'!KMQ14+'NF - 5 Power Mix'!KMQ15)*860/10)+((('Form Sa1'!KMT835)*860)/10)+('Form Sa1'!KMT814*'Form Sa1'!KMT816/10)-'NF - 5 Power Mix'!KMQ21-'NF - 5 Power Mix'!KMQ22</f>
        <v>0</v>
      </c>
      <c r="KMR42" s="1046">
        <f>KMR38+((KMR40+'NF - 5 Power Mix'!KMR14+'NF - 5 Power Mix'!KMR15)*860/10)+((('Form Sa1'!KMU835)*860)/10)+('Form Sa1'!KMU814*'Form Sa1'!KMU816/10)-'NF - 5 Power Mix'!KMR21-'NF - 5 Power Mix'!KMR22</f>
        <v>0</v>
      </c>
      <c r="KMS42" s="1046">
        <f>KMS38+((KMS40+'NF - 5 Power Mix'!KMS14+'NF - 5 Power Mix'!KMS15)*860/10)+((('Form Sa1'!KMV835)*860)/10)+('Form Sa1'!KMV814*'Form Sa1'!KMV816/10)-'NF - 5 Power Mix'!KMS21-'NF - 5 Power Mix'!KMS22</f>
        <v>0</v>
      </c>
      <c r="KMT42" s="1046">
        <f>KMT38+((KMT40+'NF - 5 Power Mix'!KMT14+'NF - 5 Power Mix'!KMT15)*860/10)+((('Form Sa1'!KMW835)*860)/10)+('Form Sa1'!KMW814*'Form Sa1'!KMW816/10)-'NF - 5 Power Mix'!KMT21-'NF - 5 Power Mix'!KMT22</f>
        <v>0</v>
      </c>
      <c r="KMU42" s="1046">
        <f>KMU38+((KMU40+'NF - 5 Power Mix'!KMU14+'NF - 5 Power Mix'!KMU15)*860/10)+((('Form Sa1'!KMX835)*860)/10)+('Form Sa1'!KMX814*'Form Sa1'!KMX816/10)-'NF - 5 Power Mix'!KMU21-'NF - 5 Power Mix'!KMU22</f>
        <v>0</v>
      </c>
      <c r="KMV42" s="1046">
        <f>KMV38+((KMV40+'NF - 5 Power Mix'!KMV14+'NF - 5 Power Mix'!KMV15)*860/10)+((('Form Sa1'!KMY835)*860)/10)+('Form Sa1'!KMY814*'Form Sa1'!KMY816/10)-'NF - 5 Power Mix'!KMV21-'NF - 5 Power Mix'!KMV22</f>
        <v>0</v>
      </c>
      <c r="KMW42" s="1046">
        <f>KMW38+((KMW40+'NF - 5 Power Mix'!KMW14+'NF - 5 Power Mix'!KMW15)*860/10)+((('Form Sa1'!KMZ835)*860)/10)+('Form Sa1'!KMZ814*'Form Sa1'!KMZ816/10)-'NF - 5 Power Mix'!KMW21-'NF - 5 Power Mix'!KMW22</f>
        <v>0</v>
      </c>
      <c r="KMX42" s="1046">
        <f>KMX38+((KMX40+'NF - 5 Power Mix'!KMX14+'NF - 5 Power Mix'!KMX15)*860/10)+((('Form Sa1'!KNA835)*860)/10)+('Form Sa1'!KNA814*'Form Sa1'!KNA816/10)-'NF - 5 Power Mix'!KMX21-'NF - 5 Power Mix'!KMX22</f>
        <v>0</v>
      </c>
      <c r="KMY42" s="1046">
        <f>KMY38+((KMY40+'NF - 5 Power Mix'!KMY14+'NF - 5 Power Mix'!KMY15)*860/10)+((('Form Sa1'!KNB835)*860)/10)+('Form Sa1'!KNB814*'Form Sa1'!KNB816/10)-'NF - 5 Power Mix'!KMY21-'NF - 5 Power Mix'!KMY22</f>
        <v>0</v>
      </c>
      <c r="KMZ42" s="1046">
        <f>KMZ38+((KMZ40+'NF - 5 Power Mix'!KMZ14+'NF - 5 Power Mix'!KMZ15)*860/10)+((('Form Sa1'!KNC835)*860)/10)+('Form Sa1'!KNC814*'Form Sa1'!KNC816/10)-'NF - 5 Power Mix'!KMZ21-'NF - 5 Power Mix'!KMZ22</f>
        <v>0</v>
      </c>
      <c r="KNA42" s="1046">
        <f>KNA38+((KNA40+'NF - 5 Power Mix'!KNA14+'NF - 5 Power Mix'!KNA15)*860/10)+((('Form Sa1'!KND835)*860)/10)+('Form Sa1'!KND814*'Form Sa1'!KND816/10)-'NF - 5 Power Mix'!KNA21-'NF - 5 Power Mix'!KNA22</f>
        <v>0</v>
      </c>
      <c r="KNB42" s="1046">
        <f>KNB38+((KNB40+'NF - 5 Power Mix'!KNB14+'NF - 5 Power Mix'!KNB15)*860/10)+((('Form Sa1'!KNE835)*860)/10)+('Form Sa1'!KNE814*'Form Sa1'!KNE816/10)-'NF - 5 Power Mix'!KNB21-'NF - 5 Power Mix'!KNB22</f>
        <v>0</v>
      </c>
      <c r="KNC42" s="1046">
        <f>KNC38+((KNC40+'NF - 5 Power Mix'!KNC14+'NF - 5 Power Mix'!KNC15)*860/10)+((('Form Sa1'!KNF835)*860)/10)+('Form Sa1'!KNF814*'Form Sa1'!KNF816/10)-'NF - 5 Power Mix'!KNC21-'NF - 5 Power Mix'!KNC22</f>
        <v>0</v>
      </c>
      <c r="KND42" s="1046">
        <f>KND38+((KND40+'NF - 5 Power Mix'!KND14+'NF - 5 Power Mix'!KND15)*860/10)+((('Form Sa1'!KNG835)*860)/10)+('Form Sa1'!KNG814*'Form Sa1'!KNG816/10)-'NF - 5 Power Mix'!KND21-'NF - 5 Power Mix'!KND22</f>
        <v>0</v>
      </c>
      <c r="KNE42" s="1046">
        <f>KNE38+((KNE40+'NF - 5 Power Mix'!KNE14+'NF - 5 Power Mix'!KNE15)*860/10)+((('Form Sa1'!KNH835)*860)/10)+('Form Sa1'!KNH814*'Form Sa1'!KNH816/10)-'NF - 5 Power Mix'!KNE21-'NF - 5 Power Mix'!KNE22</f>
        <v>0</v>
      </c>
      <c r="KNF42" s="1046">
        <f>KNF38+((KNF40+'NF - 5 Power Mix'!KNF14+'NF - 5 Power Mix'!KNF15)*860/10)+((('Form Sa1'!KNI835)*860)/10)+('Form Sa1'!KNI814*'Form Sa1'!KNI816/10)-'NF - 5 Power Mix'!KNF21-'NF - 5 Power Mix'!KNF22</f>
        <v>0</v>
      </c>
      <c r="KNG42" s="1046">
        <f>KNG38+((KNG40+'NF - 5 Power Mix'!KNG14+'NF - 5 Power Mix'!KNG15)*860/10)+((('Form Sa1'!KNJ835)*860)/10)+('Form Sa1'!KNJ814*'Form Sa1'!KNJ816/10)-'NF - 5 Power Mix'!KNG21-'NF - 5 Power Mix'!KNG22</f>
        <v>0</v>
      </c>
      <c r="KNH42" s="1046">
        <f>KNH38+((KNH40+'NF - 5 Power Mix'!KNH14+'NF - 5 Power Mix'!KNH15)*860/10)+((('Form Sa1'!KNK835)*860)/10)+('Form Sa1'!KNK814*'Form Sa1'!KNK816/10)-'NF - 5 Power Mix'!KNH21-'NF - 5 Power Mix'!KNH22</f>
        <v>0</v>
      </c>
      <c r="KNI42" s="1046">
        <f>KNI38+((KNI40+'NF - 5 Power Mix'!KNI14+'NF - 5 Power Mix'!KNI15)*860/10)+((('Form Sa1'!KNL835)*860)/10)+('Form Sa1'!KNL814*'Form Sa1'!KNL816/10)-'NF - 5 Power Mix'!KNI21-'NF - 5 Power Mix'!KNI22</f>
        <v>0</v>
      </c>
      <c r="KNJ42" s="1046">
        <f>KNJ38+((KNJ40+'NF - 5 Power Mix'!KNJ14+'NF - 5 Power Mix'!KNJ15)*860/10)+((('Form Sa1'!KNM835)*860)/10)+('Form Sa1'!KNM814*'Form Sa1'!KNM816/10)-'NF - 5 Power Mix'!KNJ21-'NF - 5 Power Mix'!KNJ22</f>
        <v>0</v>
      </c>
      <c r="KNK42" s="1046">
        <f>KNK38+((KNK40+'NF - 5 Power Mix'!KNK14+'NF - 5 Power Mix'!KNK15)*860/10)+((('Form Sa1'!KNN835)*860)/10)+('Form Sa1'!KNN814*'Form Sa1'!KNN816/10)-'NF - 5 Power Mix'!KNK21-'NF - 5 Power Mix'!KNK22</f>
        <v>0</v>
      </c>
      <c r="KNL42" s="1046">
        <f>KNL38+((KNL40+'NF - 5 Power Mix'!KNL14+'NF - 5 Power Mix'!KNL15)*860/10)+((('Form Sa1'!KNO835)*860)/10)+('Form Sa1'!KNO814*'Form Sa1'!KNO816/10)-'NF - 5 Power Mix'!KNL21-'NF - 5 Power Mix'!KNL22</f>
        <v>0</v>
      </c>
      <c r="KNM42" s="1046">
        <f>KNM38+((KNM40+'NF - 5 Power Mix'!KNM14+'NF - 5 Power Mix'!KNM15)*860/10)+((('Form Sa1'!KNP835)*860)/10)+('Form Sa1'!KNP814*'Form Sa1'!KNP816/10)-'NF - 5 Power Mix'!KNM21-'NF - 5 Power Mix'!KNM22</f>
        <v>0</v>
      </c>
      <c r="KNN42" s="1046">
        <f>KNN38+((KNN40+'NF - 5 Power Mix'!KNN14+'NF - 5 Power Mix'!KNN15)*860/10)+((('Form Sa1'!KNQ835)*860)/10)+('Form Sa1'!KNQ814*'Form Sa1'!KNQ816/10)-'NF - 5 Power Mix'!KNN21-'NF - 5 Power Mix'!KNN22</f>
        <v>0</v>
      </c>
      <c r="KNO42" s="1046">
        <f>KNO38+((KNO40+'NF - 5 Power Mix'!KNO14+'NF - 5 Power Mix'!KNO15)*860/10)+((('Form Sa1'!KNR835)*860)/10)+('Form Sa1'!KNR814*'Form Sa1'!KNR816/10)-'NF - 5 Power Mix'!KNO21-'NF - 5 Power Mix'!KNO22</f>
        <v>0</v>
      </c>
      <c r="KNP42" s="1046">
        <f>KNP38+((KNP40+'NF - 5 Power Mix'!KNP14+'NF - 5 Power Mix'!KNP15)*860/10)+((('Form Sa1'!KNS835)*860)/10)+('Form Sa1'!KNS814*'Form Sa1'!KNS816/10)-'NF - 5 Power Mix'!KNP21-'NF - 5 Power Mix'!KNP22</f>
        <v>0</v>
      </c>
      <c r="KNQ42" s="1046">
        <f>KNQ38+((KNQ40+'NF - 5 Power Mix'!KNQ14+'NF - 5 Power Mix'!KNQ15)*860/10)+((('Form Sa1'!KNT835)*860)/10)+('Form Sa1'!KNT814*'Form Sa1'!KNT816/10)-'NF - 5 Power Mix'!KNQ21-'NF - 5 Power Mix'!KNQ22</f>
        <v>0</v>
      </c>
      <c r="KNR42" s="1046">
        <f>KNR38+((KNR40+'NF - 5 Power Mix'!KNR14+'NF - 5 Power Mix'!KNR15)*860/10)+((('Form Sa1'!KNU835)*860)/10)+('Form Sa1'!KNU814*'Form Sa1'!KNU816/10)-'NF - 5 Power Mix'!KNR21-'NF - 5 Power Mix'!KNR22</f>
        <v>0</v>
      </c>
      <c r="KNS42" s="1046">
        <f>KNS38+((KNS40+'NF - 5 Power Mix'!KNS14+'NF - 5 Power Mix'!KNS15)*860/10)+((('Form Sa1'!KNV835)*860)/10)+('Form Sa1'!KNV814*'Form Sa1'!KNV816/10)-'NF - 5 Power Mix'!KNS21-'NF - 5 Power Mix'!KNS22</f>
        <v>0</v>
      </c>
      <c r="KNT42" s="1046">
        <f>KNT38+((KNT40+'NF - 5 Power Mix'!KNT14+'NF - 5 Power Mix'!KNT15)*860/10)+((('Form Sa1'!KNW835)*860)/10)+('Form Sa1'!KNW814*'Form Sa1'!KNW816/10)-'NF - 5 Power Mix'!KNT21-'NF - 5 Power Mix'!KNT22</f>
        <v>0</v>
      </c>
      <c r="KNU42" s="1046">
        <f>KNU38+((KNU40+'NF - 5 Power Mix'!KNU14+'NF - 5 Power Mix'!KNU15)*860/10)+((('Form Sa1'!KNX835)*860)/10)+('Form Sa1'!KNX814*'Form Sa1'!KNX816/10)-'NF - 5 Power Mix'!KNU21-'NF - 5 Power Mix'!KNU22</f>
        <v>0</v>
      </c>
      <c r="KNV42" s="1046">
        <f>KNV38+((KNV40+'NF - 5 Power Mix'!KNV14+'NF - 5 Power Mix'!KNV15)*860/10)+((('Form Sa1'!KNY835)*860)/10)+('Form Sa1'!KNY814*'Form Sa1'!KNY816/10)-'NF - 5 Power Mix'!KNV21-'NF - 5 Power Mix'!KNV22</f>
        <v>0</v>
      </c>
      <c r="KNW42" s="1046">
        <f>KNW38+((KNW40+'NF - 5 Power Mix'!KNW14+'NF - 5 Power Mix'!KNW15)*860/10)+((('Form Sa1'!KNZ835)*860)/10)+('Form Sa1'!KNZ814*'Form Sa1'!KNZ816/10)-'NF - 5 Power Mix'!KNW21-'NF - 5 Power Mix'!KNW22</f>
        <v>0</v>
      </c>
      <c r="KNX42" s="1046">
        <f>KNX38+((KNX40+'NF - 5 Power Mix'!KNX14+'NF - 5 Power Mix'!KNX15)*860/10)+((('Form Sa1'!KOA835)*860)/10)+('Form Sa1'!KOA814*'Form Sa1'!KOA816/10)-'NF - 5 Power Mix'!KNX21-'NF - 5 Power Mix'!KNX22</f>
        <v>0</v>
      </c>
      <c r="KNY42" s="1046">
        <f>KNY38+((KNY40+'NF - 5 Power Mix'!KNY14+'NF - 5 Power Mix'!KNY15)*860/10)+((('Form Sa1'!KOB835)*860)/10)+('Form Sa1'!KOB814*'Form Sa1'!KOB816/10)-'NF - 5 Power Mix'!KNY21-'NF - 5 Power Mix'!KNY22</f>
        <v>0</v>
      </c>
      <c r="KNZ42" s="1046">
        <f>KNZ38+((KNZ40+'NF - 5 Power Mix'!KNZ14+'NF - 5 Power Mix'!KNZ15)*860/10)+((('Form Sa1'!KOC835)*860)/10)+('Form Sa1'!KOC814*'Form Sa1'!KOC816/10)-'NF - 5 Power Mix'!KNZ21-'NF - 5 Power Mix'!KNZ22</f>
        <v>0</v>
      </c>
      <c r="KOA42" s="1046">
        <f>KOA38+((KOA40+'NF - 5 Power Mix'!KOA14+'NF - 5 Power Mix'!KOA15)*860/10)+((('Form Sa1'!KOD835)*860)/10)+('Form Sa1'!KOD814*'Form Sa1'!KOD816/10)-'NF - 5 Power Mix'!KOA21-'NF - 5 Power Mix'!KOA22</f>
        <v>0</v>
      </c>
      <c r="KOB42" s="1046">
        <f>KOB38+((KOB40+'NF - 5 Power Mix'!KOB14+'NF - 5 Power Mix'!KOB15)*860/10)+((('Form Sa1'!KOE835)*860)/10)+('Form Sa1'!KOE814*'Form Sa1'!KOE816/10)-'NF - 5 Power Mix'!KOB21-'NF - 5 Power Mix'!KOB22</f>
        <v>0</v>
      </c>
      <c r="KOC42" s="1046">
        <f>KOC38+((KOC40+'NF - 5 Power Mix'!KOC14+'NF - 5 Power Mix'!KOC15)*860/10)+((('Form Sa1'!KOF835)*860)/10)+('Form Sa1'!KOF814*'Form Sa1'!KOF816/10)-'NF - 5 Power Mix'!KOC21-'NF - 5 Power Mix'!KOC22</f>
        <v>0</v>
      </c>
      <c r="KOD42" s="1046">
        <f>KOD38+((KOD40+'NF - 5 Power Mix'!KOD14+'NF - 5 Power Mix'!KOD15)*860/10)+((('Form Sa1'!KOG835)*860)/10)+('Form Sa1'!KOG814*'Form Sa1'!KOG816/10)-'NF - 5 Power Mix'!KOD21-'NF - 5 Power Mix'!KOD22</f>
        <v>0</v>
      </c>
      <c r="KOE42" s="1046">
        <f>KOE38+((KOE40+'NF - 5 Power Mix'!KOE14+'NF - 5 Power Mix'!KOE15)*860/10)+((('Form Sa1'!KOH835)*860)/10)+('Form Sa1'!KOH814*'Form Sa1'!KOH816/10)-'NF - 5 Power Mix'!KOE21-'NF - 5 Power Mix'!KOE22</f>
        <v>0</v>
      </c>
      <c r="KOF42" s="1046">
        <f>KOF38+((KOF40+'NF - 5 Power Mix'!KOF14+'NF - 5 Power Mix'!KOF15)*860/10)+((('Form Sa1'!KOI835)*860)/10)+('Form Sa1'!KOI814*'Form Sa1'!KOI816/10)-'NF - 5 Power Mix'!KOF21-'NF - 5 Power Mix'!KOF22</f>
        <v>0</v>
      </c>
      <c r="KOG42" s="1046">
        <f>KOG38+((KOG40+'NF - 5 Power Mix'!KOG14+'NF - 5 Power Mix'!KOG15)*860/10)+((('Form Sa1'!KOJ835)*860)/10)+('Form Sa1'!KOJ814*'Form Sa1'!KOJ816/10)-'NF - 5 Power Mix'!KOG21-'NF - 5 Power Mix'!KOG22</f>
        <v>0</v>
      </c>
      <c r="KOH42" s="1046">
        <f>KOH38+((KOH40+'NF - 5 Power Mix'!KOH14+'NF - 5 Power Mix'!KOH15)*860/10)+((('Form Sa1'!KOK835)*860)/10)+('Form Sa1'!KOK814*'Form Sa1'!KOK816/10)-'NF - 5 Power Mix'!KOH21-'NF - 5 Power Mix'!KOH22</f>
        <v>0</v>
      </c>
      <c r="KOI42" s="1046">
        <f>KOI38+((KOI40+'NF - 5 Power Mix'!KOI14+'NF - 5 Power Mix'!KOI15)*860/10)+((('Form Sa1'!KOL835)*860)/10)+('Form Sa1'!KOL814*'Form Sa1'!KOL816/10)-'NF - 5 Power Mix'!KOI21-'NF - 5 Power Mix'!KOI22</f>
        <v>0</v>
      </c>
      <c r="KOJ42" s="1046">
        <f>KOJ38+((KOJ40+'NF - 5 Power Mix'!KOJ14+'NF - 5 Power Mix'!KOJ15)*860/10)+((('Form Sa1'!KOM835)*860)/10)+('Form Sa1'!KOM814*'Form Sa1'!KOM816/10)-'NF - 5 Power Mix'!KOJ21-'NF - 5 Power Mix'!KOJ22</f>
        <v>0</v>
      </c>
      <c r="KOK42" s="1046">
        <f>KOK38+((KOK40+'NF - 5 Power Mix'!KOK14+'NF - 5 Power Mix'!KOK15)*860/10)+((('Form Sa1'!KON835)*860)/10)+('Form Sa1'!KON814*'Form Sa1'!KON816/10)-'NF - 5 Power Mix'!KOK21-'NF - 5 Power Mix'!KOK22</f>
        <v>0</v>
      </c>
      <c r="KOL42" s="1046">
        <f>KOL38+((KOL40+'NF - 5 Power Mix'!KOL14+'NF - 5 Power Mix'!KOL15)*860/10)+((('Form Sa1'!KOO835)*860)/10)+('Form Sa1'!KOO814*'Form Sa1'!KOO816/10)-'NF - 5 Power Mix'!KOL21-'NF - 5 Power Mix'!KOL22</f>
        <v>0</v>
      </c>
      <c r="KOM42" s="1046">
        <f>KOM38+((KOM40+'NF - 5 Power Mix'!KOM14+'NF - 5 Power Mix'!KOM15)*860/10)+((('Form Sa1'!KOP835)*860)/10)+('Form Sa1'!KOP814*'Form Sa1'!KOP816/10)-'NF - 5 Power Mix'!KOM21-'NF - 5 Power Mix'!KOM22</f>
        <v>0</v>
      </c>
      <c r="KON42" s="1046">
        <f>KON38+((KON40+'NF - 5 Power Mix'!KON14+'NF - 5 Power Mix'!KON15)*860/10)+((('Form Sa1'!KOQ835)*860)/10)+('Form Sa1'!KOQ814*'Form Sa1'!KOQ816/10)-'NF - 5 Power Mix'!KON21-'NF - 5 Power Mix'!KON22</f>
        <v>0</v>
      </c>
      <c r="KOO42" s="1046">
        <f>KOO38+((KOO40+'NF - 5 Power Mix'!KOO14+'NF - 5 Power Mix'!KOO15)*860/10)+((('Form Sa1'!KOR835)*860)/10)+('Form Sa1'!KOR814*'Form Sa1'!KOR816/10)-'NF - 5 Power Mix'!KOO21-'NF - 5 Power Mix'!KOO22</f>
        <v>0</v>
      </c>
      <c r="KOP42" s="1046">
        <f>KOP38+((KOP40+'NF - 5 Power Mix'!KOP14+'NF - 5 Power Mix'!KOP15)*860/10)+((('Form Sa1'!KOS835)*860)/10)+('Form Sa1'!KOS814*'Form Sa1'!KOS816/10)-'NF - 5 Power Mix'!KOP21-'NF - 5 Power Mix'!KOP22</f>
        <v>0</v>
      </c>
      <c r="KOQ42" s="1046">
        <f>KOQ38+((KOQ40+'NF - 5 Power Mix'!KOQ14+'NF - 5 Power Mix'!KOQ15)*860/10)+((('Form Sa1'!KOT835)*860)/10)+('Form Sa1'!KOT814*'Form Sa1'!KOT816/10)-'NF - 5 Power Mix'!KOQ21-'NF - 5 Power Mix'!KOQ22</f>
        <v>0</v>
      </c>
      <c r="KOR42" s="1046">
        <f>KOR38+((KOR40+'NF - 5 Power Mix'!KOR14+'NF - 5 Power Mix'!KOR15)*860/10)+((('Form Sa1'!KOU835)*860)/10)+('Form Sa1'!KOU814*'Form Sa1'!KOU816/10)-'NF - 5 Power Mix'!KOR21-'NF - 5 Power Mix'!KOR22</f>
        <v>0</v>
      </c>
      <c r="KOS42" s="1046">
        <f>KOS38+((KOS40+'NF - 5 Power Mix'!KOS14+'NF - 5 Power Mix'!KOS15)*860/10)+((('Form Sa1'!KOV835)*860)/10)+('Form Sa1'!KOV814*'Form Sa1'!KOV816/10)-'NF - 5 Power Mix'!KOS21-'NF - 5 Power Mix'!KOS22</f>
        <v>0</v>
      </c>
      <c r="KOT42" s="1046">
        <f>KOT38+((KOT40+'NF - 5 Power Mix'!KOT14+'NF - 5 Power Mix'!KOT15)*860/10)+((('Form Sa1'!KOW835)*860)/10)+('Form Sa1'!KOW814*'Form Sa1'!KOW816/10)-'NF - 5 Power Mix'!KOT21-'NF - 5 Power Mix'!KOT22</f>
        <v>0</v>
      </c>
      <c r="KOU42" s="1046">
        <f>KOU38+((KOU40+'NF - 5 Power Mix'!KOU14+'NF - 5 Power Mix'!KOU15)*860/10)+((('Form Sa1'!KOX835)*860)/10)+('Form Sa1'!KOX814*'Form Sa1'!KOX816/10)-'NF - 5 Power Mix'!KOU21-'NF - 5 Power Mix'!KOU22</f>
        <v>0</v>
      </c>
      <c r="KOV42" s="1046">
        <f>KOV38+((KOV40+'NF - 5 Power Mix'!KOV14+'NF - 5 Power Mix'!KOV15)*860/10)+((('Form Sa1'!KOY835)*860)/10)+('Form Sa1'!KOY814*'Form Sa1'!KOY816/10)-'NF - 5 Power Mix'!KOV21-'NF - 5 Power Mix'!KOV22</f>
        <v>0</v>
      </c>
      <c r="KOW42" s="1046">
        <f>KOW38+((KOW40+'NF - 5 Power Mix'!KOW14+'NF - 5 Power Mix'!KOW15)*860/10)+((('Form Sa1'!KOZ835)*860)/10)+('Form Sa1'!KOZ814*'Form Sa1'!KOZ816/10)-'NF - 5 Power Mix'!KOW21-'NF - 5 Power Mix'!KOW22</f>
        <v>0</v>
      </c>
      <c r="KOX42" s="1046">
        <f>KOX38+((KOX40+'NF - 5 Power Mix'!KOX14+'NF - 5 Power Mix'!KOX15)*860/10)+((('Form Sa1'!KPA835)*860)/10)+('Form Sa1'!KPA814*'Form Sa1'!KPA816/10)-'NF - 5 Power Mix'!KOX21-'NF - 5 Power Mix'!KOX22</f>
        <v>0</v>
      </c>
      <c r="KOY42" s="1046">
        <f>KOY38+((KOY40+'NF - 5 Power Mix'!KOY14+'NF - 5 Power Mix'!KOY15)*860/10)+((('Form Sa1'!KPB835)*860)/10)+('Form Sa1'!KPB814*'Form Sa1'!KPB816/10)-'NF - 5 Power Mix'!KOY21-'NF - 5 Power Mix'!KOY22</f>
        <v>0</v>
      </c>
      <c r="KOZ42" s="1046">
        <f>KOZ38+((KOZ40+'NF - 5 Power Mix'!KOZ14+'NF - 5 Power Mix'!KOZ15)*860/10)+((('Form Sa1'!KPC835)*860)/10)+('Form Sa1'!KPC814*'Form Sa1'!KPC816/10)-'NF - 5 Power Mix'!KOZ21-'NF - 5 Power Mix'!KOZ22</f>
        <v>0</v>
      </c>
      <c r="KPA42" s="1046">
        <f>KPA38+((KPA40+'NF - 5 Power Mix'!KPA14+'NF - 5 Power Mix'!KPA15)*860/10)+((('Form Sa1'!KPD835)*860)/10)+('Form Sa1'!KPD814*'Form Sa1'!KPD816/10)-'NF - 5 Power Mix'!KPA21-'NF - 5 Power Mix'!KPA22</f>
        <v>0</v>
      </c>
      <c r="KPB42" s="1046">
        <f>KPB38+((KPB40+'NF - 5 Power Mix'!KPB14+'NF - 5 Power Mix'!KPB15)*860/10)+((('Form Sa1'!KPE835)*860)/10)+('Form Sa1'!KPE814*'Form Sa1'!KPE816/10)-'NF - 5 Power Mix'!KPB21-'NF - 5 Power Mix'!KPB22</f>
        <v>0</v>
      </c>
      <c r="KPC42" s="1046">
        <f>KPC38+((KPC40+'NF - 5 Power Mix'!KPC14+'NF - 5 Power Mix'!KPC15)*860/10)+((('Form Sa1'!KPF835)*860)/10)+('Form Sa1'!KPF814*'Form Sa1'!KPF816/10)-'NF - 5 Power Mix'!KPC21-'NF - 5 Power Mix'!KPC22</f>
        <v>0</v>
      </c>
      <c r="KPD42" s="1046">
        <f>KPD38+((KPD40+'NF - 5 Power Mix'!KPD14+'NF - 5 Power Mix'!KPD15)*860/10)+((('Form Sa1'!KPG835)*860)/10)+('Form Sa1'!KPG814*'Form Sa1'!KPG816/10)-'NF - 5 Power Mix'!KPD21-'NF - 5 Power Mix'!KPD22</f>
        <v>0</v>
      </c>
      <c r="KPE42" s="1046">
        <f>KPE38+((KPE40+'NF - 5 Power Mix'!KPE14+'NF - 5 Power Mix'!KPE15)*860/10)+((('Form Sa1'!KPH835)*860)/10)+('Form Sa1'!KPH814*'Form Sa1'!KPH816/10)-'NF - 5 Power Mix'!KPE21-'NF - 5 Power Mix'!KPE22</f>
        <v>0</v>
      </c>
      <c r="KPF42" s="1046">
        <f>KPF38+((KPF40+'NF - 5 Power Mix'!KPF14+'NF - 5 Power Mix'!KPF15)*860/10)+((('Form Sa1'!KPI835)*860)/10)+('Form Sa1'!KPI814*'Form Sa1'!KPI816/10)-'NF - 5 Power Mix'!KPF21-'NF - 5 Power Mix'!KPF22</f>
        <v>0</v>
      </c>
      <c r="KPG42" s="1046">
        <f>KPG38+((KPG40+'NF - 5 Power Mix'!KPG14+'NF - 5 Power Mix'!KPG15)*860/10)+((('Form Sa1'!KPJ835)*860)/10)+('Form Sa1'!KPJ814*'Form Sa1'!KPJ816/10)-'NF - 5 Power Mix'!KPG21-'NF - 5 Power Mix'!KPG22</f>
        <v>0</v>
      </c>
      <c r="KPH42" s="1046">
        <f>KPH38+((KPH40+'NF - 5 Power Mix'!KPH14+'NF - 5 Power Mix'!KPH15)*860/10)+((('Form Sa1'!KPK835)*860)/10)+('Form Sa1'!KPK814*'Form Sa1'!KPK816/10)-'NF - 5 Power Mix'!KPH21-'NF - 5 Power Mix'!KPH22</f>
        <v>0</v>
      </c>
      <c r="KPI42" s="1046">
        <f>KPI38+((KPI40+'NF - 5 Power Mix'!KPI14+'NF - 5 Power Mix'!KPI15)*860/10)+((('Form Sa1'!KPL835)*860)/10)+('Form Sa1'!KPL814*'Form Sa1'!KPL816/10)-'NF - 5 Power Mix'!KPI21-'NF - 5 Power Mix'!KPI22</f>
        <v>0</v>
      </c>
      <c r="KPJ42" s="1046">
        <f>KPJ38+((KPJ40+'NF - 5 Power Mix'!KPJ14+'NF - 5 Power Mix'!KPJ15)*860/10)+((('Form Sa1'!KPM835)*860)/10)+('Form Sa1'!KPM814*'Form Sa1'!KPM816/10)-'NF - 5 Power Mix'!KPJ21-'NF - 5 Power Mix'!KPJ22</f>
        <v>0</v>
      </c>
      <c r="KPK42" s="1046">
        <f>KPK38+((KPK40+'NF - 5 Power Mix'!KPK14+'NF - 5 Power Mix'!KPK15)*860/10)+((('Form Sa1'!KPN835)*860)/10)+('Form Sa1'!KPN814*'Form Sa1'!KPN816/10)-'NF - 5 Power Mix'!KPK21-'NF - 5 Power Mix'!KPK22</f>
        <v>0</v>
      </c>
      <c r="KPL42" s="1046">
        <f>KPL38+((KPL40+'NF - 5 Power Mix'!KPL14+'NF - 5 Power Mix'!KPL15)*860/10)+((('Form Sa1'!KPO835)*860)/10)+('Form Sa1'!KPO814*'Form Sa1'!KPO816/10)-'NF - 5 Power Mix'!KPL21-'NF - 5 Power Mix'!KPL22</f>
        <v>0</v>
      </c>
      <c r="KPM42" s="1046">
        <f>KPM38+((KPM40+'NF - 5 Power Mix'!KPM14+'NF - 5 Power Mix'!KPM15)*860/10)+((('Form Sa1'!KPP835)*860)/10)+('Form Sa1'!KPP814*'Form Sa1'!KPP816/10)-'NF - 5 Power Mix'!KPM21-'NF - 5 Power Mix'!KPM22</f>
        <v>0</v>
      </c>
      <c r="KPN42" s="1046">
        <f>KPN38+((KPN40+'NF - 5 Power Mix'!KPN14+'NF - 5 Power Mix'!KPN15)*860/10)+((('Form Sa1'!KPQ835)*860)/10)+('Form Sa1'!KPQ814*'Form Sa1'!KPQ816/10)-'NF - 5 Power Mix'!KPN21-'NF - 5 Power Mix'!KPN22</f>
        <v>0</v>
      </c>
      <c r="KPO42" s="1046">
        <f>KPO38+((KPO40+'NF - 5 Power Mix'!KPO14+'NF - 5 Power Mix'!KPO15)*860/10)+((('Form Sa1'!KPR835)*860)/10)+('Form Sa1'!KPR814*'Form Sa1'!KPR816/10)-'NF - 5 Power Mix'!KPO21-'NF - 5 Power Mix'!KPO22</f>
        <v>0</v>
      </c>
      <c r="KPP42" s="1046">
        <f>KPP38+((KPP40+'NF - 5 Power Mix'!KPP14+'NF - 5 Power Mix'!KPP15)*860/10)+((('Form Sa1'!KPS835)*860)/10)+('Form Sa1'!KPS814*'Form Sa1'!KPS816/10)-'NF - 5 Power Mix'!KPP21-'NF - 5 Power Mix'!KPP22</f>
        <v>0</v>
      </c>
      <c r="KPQ42" s="1046">
        <f>KPQ38+((KPQ40+'NF - 5 Power Mix'!KPQ14+'NF - 5 Power Mix'!KPQ15)*860/10)+((('Form Sa1'!KPT835)*860)/10)+('Form Sa1'!KPT814*'Form Sa1'!KPT816/10)-'NF - 5 Power Mix'!KPQ21-'NF - 5 Power Mix'!KPQ22</f>
        <v>0</v>
      </c>
      <c r="KPR42" s="1046">
        <f>KPR38+((KPR40+'NF - 5 Power Mix'!KPR14+'NF - 5 Power Mix'!KPR15)*860/10)+((('Form Sa1'!KPU835)*860)/10)+('Form Sa1'!KPU814*'Form Sa1'!KPU816/10)-'NF - 5 Power Mix'!KPR21-'NF - 5 Power Mix'!KPR22</f>
        <v>0</v>
      </c>
      <c r="KPS42" s="1046">
        <f>KPS38+((KPS40+'NF - 5 Power Mix'!KPS14+'NF - 5 Power Mix'!KPS15)*860/10)+((('Form Sa1'!KPV835)*860)/10)+('Form Sa1'!KPV814*'Form Sa1'!KPV816/10)-'NF - 5 Power Mix'!KPS21-'NF - 5 Power Mix'!KPS22</f>
        <v>0</v>
      </c>
      <c r="KPT42" s="1046">
        <f>KPT38+((KPT40+'NF - 5 Power Mix'!KPT14+'NF - 5 Power Mix'!KPT15)*860/10)+((('Form Sa1'!KPW835)*860)/10)+('Form Sa1'!KPW814*'Form Sa1'!KPW816/10)-'NF - 5 Power Mix'!KPT21-'NF - 5 Power Mix'!KPT22</f>
        <v>0</v>
      </c>
      <c r="KPU42" s="1046">
        <f>KPU38+((KPU40+'NF - 5 Power Mix'!KPU14+'NF - 5 Power Mix'!KPU15)*860/10)+((('Form Sa1'!KPX835)*860)/10)+('Form Sa1'!KPX814*'Form Sa1'!KPX816/10)-'NF - 5 Power Mix'!KPU21-'NF - 5 Power Mix'!KPU22</f>
        <v>0</v>
      </c>
      <c r="KPV42" s="1046">
        <f>KPV38+((KPV40+'NF - 5 Power Mix'!KPV14+'NF - 5 Power Mix'!KPV15)*860/10)+((('Form Sa1'!KPY835)*860)/10)+('Form Sa1'!KPY814*'Form Sa1'!KPY816/10)-'NF - 5 Power Mix'!KPV21-'NF - 5 Power Mix'!KPV22</f>
        <v>0</v>
      </c>
      <c r="KPW42" s="1046">
        <f>KPW38+((KPW40+'NF - 5 Power Mix'!KPW14+'NF - 5 Power Mix'!KPW15)*860/10)+((('Form Sa1'!KPZ835)*860)/10)+('Form Sa1'!KPZ814*'Form Sa1'!KPZ816/10)-'NF - 5 Power Mix'!KPW21-'NF - 5 Power Mix'!KPW22</f>
        <v>0</v>
      </c>
      <c r="KPX42" s="1046">
        <f>KPX38+((KPX40+'NF - 5 Power Mix'!KPX14+'NF - 5 Power Mix'!KPX15)*860/10)+((('Form Sa1'!KQA835)*860)/10)+('Form Sa1'!KQA814*'Form Sa1'!KQA816/10)-'NF - 5 Power Mix'!KPX21-'NF - 5 Power Mix'!KPX22</f>
        <v>0</v>
      </c>
      <c r="KPY42" s="1046">
        <f>KPY38+((KPY40+'NF - 5 Power Mix'!KPY14+'NF - 5 Power Mix'!KPY15)*860/10)+((('Form Sa1'!KQB835)*860)/10)+('Form Sa1'!KQB814*'Form Sa1'!KQB816/10)-'NF - 5 Power Mix'!KPY21-'NF - 5 Power Mix'!KPY22</f>
        <v>0</v>
      </c>
      <c r="KPZ42" s="1046">
        <f>KPZ38+((KPZ40+'NF - 5 Power Mix'!KPZ14+'NF - 5 Power Mix'!KPZ15)*860/10)+((('Form Sa1'!KQC835)*860)/10)+('Form Sa1'!KQC814*'Form Sa1'!KQC816/10)-'NF - 5 Power Mix'!KPZ21-'NF - 5 Power Mix'!KPZ22</f>
        <v>0</v>
      </c>
      <c r="KQA42" s="1046">
        <f>KQA38+((KQA40+'NF - 5 Power Mix'!KQA14+'NF - 5 Power Mix'!KQA15)*860/10)+((('Form Sa1'!KQD835)*860)/10)+('Form Sa1'!KQD814*'Form Sa1'!KQD816/10)-'NF - 5 Power Mix'!KQA21-'NF - 5 Power Mix'!KQA22</f>
        <v>0</v>
      </c>
      <c r="KQB42" s="1046">
        <f>KQB38+((KQB40+'NF - 5 Power Mix'!KQB14+'NF - 5 Power Mix'!KQB15)*860/10)+((('Form Sa1'!KQE835)*860)/10)+('Form Sa1'!KQE814*'Form Sa1'!KQE816/10)-'NF - 5 Power Mix'!KQB21-'NF - 5 Power Mix'!KQB22</f>
        <v>0</v>
      </c>
      <c r="KQC42" s="1046">
        <f>KQC38+((KQC40+'NF - 5 Power Mix'!KQC14+'NF - 5 Power Mix'!KQC15)*860/10)+((('Form Sa1'!KQF835)*860)/10)+('Form Sa1'!KQF814*'Form Sa1'!KQF816/10)-'NF - 5 Power Mix'!KQC21-'NF - 5 Power Mix'!KQC22</f>
        <v>0</v>
      </c>
      <c r="KQD42" s="1046">
        <f>KQD38+((KQD40+'NF - 5 Power Mix'!KQD14+'NF - 5 Power Mix'!KQD15)*860/10)+((('Form Sa1'!KQG835)*860)/10)+('Form Sa1'!KQG814*'Form Sa1'!KQG816/10)-'NF - 5 Power Mix'!KQD21-'NF - 5 Power Mix'!KQD22</f>
        <v>0</v>
      </c>
      <c r="KQE42" s="1046">
        <f>KQE38+((KQE40+'NF - 5 Power Mix'!KQE14+'NF - 5 Power Mix'!KQE15)*860/10)+((('Form Sa1'!KQH835)*860)/10)+('Form Sa1'!KQH814*'Form Sa1'!KQH816/10)-'NF - 5 Power Mix'!KQE21-'NF - 5 Power Mix'!KQE22</f>
        <v>0</v>
      </c>
      <c r="KQF42" s="1046">
        <f>KQF38+((KQF40+'NF - 5 Power Mix'!KQF14+'NF - 5 Power Mix'!KQF15)*860/10)+((('Form Sa1'!KQI835)*860)/10)+('Form Sa1'!KQI814*'Form Sa1'!KQI816/10)-'NF - 5 Power Mix'!KQF21-'NF - 5 Power Mix'!KQF22</f>
        <v>0</v>
      </c>
      <c r="KQG42" s="1046">
        <f>KQG38+((KQG40+'NF - 5 Power Mix'!KQG14+'NF - 5 Power Mix'!KQG15)*860/10)+((('Form Sa1'!KQJ835)*860)/10)+('Form Sa1'!KQJ814*'Form Sa1'!KQJ816/10)-'NF - 5 Power Mix'!KQG21-'NF - 5 Power Mix'!KQG22</f>
        <v>0</v>
      </c>
      <c r="KQH42" s="1046">
        <f>KQH38+((KQH40+'NF - 5 Power Mix'!KQH14+'NF - 5 Power Mix'!KQH15)*860/10)+((('Form Sa1'!KQK835)*860)/10)+('Form Sa1'!KQK814*'Form Sa1'!KQK816/10)-'NF - 5 Power Mix'!KQH21-'NF - 5 Power Mix'!KQH22</f>
        <v>0</v>
      </c>
      <c r="KQI42" s="1046">
        <f>KQI38+((KQI40+'NF - 5 Power Mix'!KQI14+'NF - 5 Power Mix'!KQI15)*860/10)+((('Form Sa1'!KQL835)*860)/10)+('Form Sa1'!KQL814*'Form Sa1'!KQL816/10)-'NF - 5 Power Mix'!KQI21-'NF - 5 Power Mix'!KQI22</f>
        <v>0</v>
      </c>
      <c r="KQJ42" s="1046">
        <f>KQJ38+((KQJ40+'NF - 5 Power Mix'!KQJ14+'NF - 5 Power Mix'!KQJ15)*860/10)+((('Form Sa1'!KQM835)*860)/10)+('Form Sa1'!KQM814*'Form Sa1'!KQM816/10)-'NF - 5 Power Mix'!KQJ21-'NF - 5 Power Mix'!KQJ22</f>
        <v>0</v>
      </c>
      <c r="KQK42" s="1046">
        <f>KQK38+((KQK40+'NF - 5 Power Mix'!KQK14+'NF - 5 Power Mix'!KQK15)*860/10)+((('Form Sa1'!KQN835)*860)/10)+('Form Sa1'!KQN814*'Form Sa1'!KQN816/10)-'NF - 5 Power Mix'!KQK21-'NF - 5 Power Mix'!KQK22</f>
        <v>0</v>
      </c>
      <c r="KQL42" s="1046">
        <f>KQL38+((KQL40+'NF - 5 Power Mix'!KQL14+'NF - 5 Power Mix'!KQL15)*860/10)+((('Form Sa1'!KQO835)*860)/10)+('Form Sa1'!KQO814*'Form Sa1'!KQO816/10)-'NF - 5 Power Mix'!KQL21-'NF - 5 Power Mix'!KQL22</f>
        <v>0</v>
      </c>
      <c r="KQM42" s="1046">
        <f>KQM38+((KQM40+'NF - 5 Power Mix'!KQM14+'NF - 5 Power Mix'!KQM15)*860/10)+((('Form Sa1'!KQP835)*860)/10)+('Form Sa1'!KQP814*'Form Sa1'!KQP816/10)-'NF - 5 Power Mix'!KQM21-'NF - 5 Power Mix'!KQM22</f>
        <v>0</v>
      </c>
      <c r="KQN42" s="1046">
        <f>KQN38+((KQN40+'NF - 5 Power Mix'!KQN14+'NF - 5 Power Mix'!KQN15)*860/10)+((('Form Sa1'!KQQ835)*860)/10)+('Form Sa1'!KQQ814*'Form Sa1'!KQQ816/10)-'NF - 5 Power Mix'!KQN21-'NF - 5 Power Mix'!KQN22</f>
        <v>0</v>
      </c>
      <c r="KQO42" s="1046">
        <f>KQO38+((KQO40+'NF - 5 Power Mix'!KQO14+'NF - 5 Power Mix'!KQO15)*860/10)+((('Form Sa1'!KQR835)*860)/10)+('Form Sa1'!KQR814*'Form Sa1'!KQR816/10)-'NF - 5 Power Mix'!KQO21-'NF - 5 Power Mix'!KQO22</f>
        <v>0</v>
      </c>
      <c r="KQP42" s="1046">
        <f>KQP38+((KQP40+'NF - 5 Power Mix'!KQP14+'NF - 5 Power Mix'!KQP15)*860/10)+((('Form Sa1'!KQS835)*860)/10)+('Form Sa1'!KQS814*'Form Sa1'!KQS816/10)-'NF - 5 Power Mix'!KQP21-'NF - 5 Power Mix'!KQP22</f>
        <v>0</v>
      </c>
      <c r="KQQ42" s="1046">
        <f>KQQ38+((KQQ40+'NF - 5 Power Mix'!KQQ14+'NF - 5 Power Mix'!KQQ15)*860/10)+((('Form Sa1'!KQT835)*860)/10)+('Form Sa1'!KQT814*'Form Sa1'!KQT816/10)-'NF - 5 Power Mix'!KQQ21-'NF - 5 Power Mix'!KQQ22</f>
        <v>0</v>
      </c>
      <c r="KQR42" s="1046">
        <f>KQR38+((KQR40+'NF - 5 Power Mix'!KQR14+'NF - 5 Power Mix'!KQR15)*860/10)+((('Form Sa1'!KQU835)*860)/10)+('Form Sa1'!KQU814*'Form Sa1'!KQU816/10)-'NF - 5 Power Mix'!KQR21-'NF - 5 Power Mix'!KQR22</f>
        <v>0</v>
      </c>
      <c r="KQS42" s="1046">
        <f>KQS38+((KQS40+'NF - 5 Power Mix'!KQS14+'NF - 5 Power Mix'!KQS15)*860/10)+((('Form Sa1'!KQV835)*860)/10)+('Form Sa1'!KQV814*'Form Sa1'!KQV816/10)-'NF - 5 Power Mix'!KQS21-'NF - 5 Power Mix'!KQS22</f>
        <v>0</v>
      </c>
      <c r="KQT42" s="1046">
        <f>KQT38+((KQT40+'NF - 5 Power Mix'!KQT14+'NF - 5 Power Mix'!KQT15)*860/10)+((('Form Sa1'!KQW835)*860)/10)+('Form Sa1'!KQW814*'Form Sa1'!KQW816/10)-'NF - 5 Power Mix'!KQT21-'NF - 5 Power Mix'!KQT22</f>
        <v>0</v>
      </c>
      <c r="KQU42" s="1046">
        <f>KQU38+((KQU40+'NF - 5 Power Mix'!KQU14+'NF - 5 Power Mix'!KQU15)*860/10)+((('Form Sa1'!KQX835)*860)/10)+('Form Sa1'!KQX814*'Form Sa1'!KQX816/10)-'NF - 5 Power Mix'!KQU21-'NF - 5 Power Mix'!KQU22</f>
        <v>0</v>
      </c>
      <c r="KQV42" s="1046">
        <f>KQV38+((KQV40+'NF - 5 Power Mix'!KQV14+'NF - 5 Power Mix'!KQV15)*860/10)+((('Form Sa1'!KQY835)*860)/10)+('Form Sa1'!KQY814*'Form Sa1'!KQY816/10)-'NF - 5 Power Mix'!KQV21-'NF - 5 Power Mix'!KQV22</f>
        <v>0</v>
      </c>
      <c r="KQW42" s="1046">
        <f>KQW38+((KQW40+'NF - 5 Power Mix'!KQW14+'NF - 5 Power Mix'!KQW15)*860/10)+((('Form Sa1'!KQZ835)*860)/10)+('Form Sa1'!KQZ814*'Form Sa1'!KQZ816/10)-'NF - 5 Power Mix'!KQW21-'NF - 5 Power Mix'!KQW22</f>
        <v>0</v>
      </c>
      <c r="KQX42" s="1046">
        <f>KQX38+((KQX40+'NF - 5 Power Mix'!KQX14+'NF - 5 Power Mix'!KQX15)*860/10)+((('Form Sa1'!KRA835)*860)/10)+('Form Sa1'!KRA814*'Form Sa1'!KRA816/10)-'NF - 5 Power Mix'!KQX21-'NF - 5 Power Mix'!KQX22</f>
        <v>0</v>
      </c>
      <c r="KQY42" s="1046">
        <f>KQY38+((KQY40+'NF - 5 Power Mix'!KQY14+'NF - 5 Power Mix'!KQY15)*860/10)+((('Form Sa1'!KRB835)*860)/10)+('Form Sa1'!KRB814*'Form Sa1'!KRB816/10)-'NF - 5 Power Mix'!KQY21-'NF - 5 Power Mix'!KQY22</f>
        <v>0</v>
      </c>
      <c r="KQZ42" s="1046">
        <f>KQZ38+((KQZ40+'NF - 5 Power Mix'!KQZ14+'NF - 5 Power Mix'!KQZ15)*860/10)+((('Form Sa1'!KRC835)*860)/10)+('Form Sa1'!KRC814*'Form Sa1'!KRC816/10)-'NF - 5 Power Mix'!KQZ21-'NF - 5 Power Mix'!KQZ22</f>
        <v>0</v>
      </c>
      <c r="KRA42" s="1046">
        <f>KRA38+((KRA40+'NF - 5 Power Mix'!KRA14+'NF - 5 Power Mix'!KRA15)*860/10)+((('Form Sa1'!KRD835)*860)/10)+('Form Sa1'!KRD814*'Form Sa1'!KRD816/10)-'NF - 5 Power Mix'!KRA21-'NF - 5 Power Mix'!KRA22</f>
        <v>0</v>
      </c>
      <c r="KRB42" s="1046">
        <f>KRB38+((KRB40+'NF - 5 Power Mix'!KRB14+'NF - 5 Power Mix'!KRB15)*860/10)+((('Form Sa1'!KRE835)*860)/10)+('Form Sa1'!KRE814*'Form Sa1'!KRE816/10)-'NF - 5 Power Mix'!KRB21-'NF - 5 Power Mix'!KRB22</f>
        <v>0</v>
      </c>
      <c r="KRC42" s="1046">
        <f>KRC38+((KRC40+'NF - 5 Power Mix'!KRC14+'NF - 5 Power Mix'!KRC15)*860/10)+((('Form Sa1'!KRF835)*860)/10)+('Form Sa1'!KRF814*'Form Sa1'!KRF816/10)-'NF - 5 Power Mix'!KRC21-'NF - 5 Power Mix'!KRC22</f>
        <v>0</v>
      </c>
      <c r="KRD42" s="1046">
        <f>KRD38+((KRD40+'NF - 5 Power Mix'!KRD14+'NF - 5 Power Mix'!KRD15)*860/10)+((('Form Sa1'!KRG835)*860)/10)+('Form Sa1'!KRG814*'Form Sa1'!KRG816/10)-'NF - 5 Power Mix'!KRD21-'NF - 5 Power Mix'!KRD22</f>
        <v>0</v>
      </c>
      <c r="KRE42" s="1046">
        <f>KRE38+((KRE40+'NF - 5 Power Mix'!KRE14+'NF - 5 Power Mix'!KRE15)*860/10)+((('Form Sa1'!KRH835)*860)/10)+('Form Sa1'!KRH814*'Form Sa1'!KRH816/10)-'NF - 5 Power Mix'!KRE21-'NF - 5 Power Mix'!KRE22</f>
        <v>0</v>
      </c>
      <c r="KRF42" s="1046">
        <f>KRF38+((KRF40+'NF - 5 Power Mix'!KRF14+'NF - 5 Power Mix'!KRF15)*860/10)+((('Form Sa1'!KRI835)*860)/10)+('Form Sa1'!KRI814*'Form Sa1'!KRI816/10)-'NF - 5 Power Mix'!KRF21-'NF - 5 Power Mix'!KRF22</f>
        <v>0</v>
      </c>
      <c r="KRG42" s="1046">
        <f>KRG38+((KRG40+'NF - 5 Power Mix'!KRG14+'NF - 5 Power Mix'!KRG15)*860/10)+((('Form Sa1'!KRJ835)*860)/10)+('Form Sa1'!KRJ814*'Form Sa1'!KRJ816/10)-'NF - 5 Power Mix'!KRG21-'NF - 5 Power Mix'!KRG22</f>
        <v>0</v>
      </c>
      <c r="KRH42" s="1046">
        <f>KRH38+((KRH40+'NF - 5 Power Mix'!KRH14+'NF - 5 Power Mix'!KRH15)*860/10)+((('Form Sa1'!KRK835)*860)/10)+('Form Sa1'!KRK814*'Form Sa1'!KRK816/10)-'NF - 5 Power Mix'!KRH21-'NF - 5 Power Mix'!KRH22</f>
        <v>0</v>
      </c>
      <c r="KRI42" s="1046">
        <f>KRI38+((KRI40+'NF - 5 Power Mix'!KRI14+'NF - 5 Power Mix'!KRI15)*860/10)+((('Form Sa1'!KRL835)*860)/10)+('Form Sa1'!KRL814*'Form Sa1'!KRL816/10)-'NF - 5 Power Mix'!KRI21-'NF - 5 Power Mix'!KRI22</f>
        <v>0</v>
      </c>
      <c r="KRJ42" s="1046">
        <f>KRJ38+((KRJ40+'NF - 5 Power Mix'!KRJ14+'NF - 5 Power Mix'!KRJ15)*860/10)+((('Form Sa1'!KRM835)*860)/10)+('Form Sa1'!KRM814*'Form Sa1'!KRM816/10)-'NF - 5 Power Mix'!KRJ21-'NF - 5 Power Mix'!KRJ22</f>
        <v>0</v>
      </c>
      <c r="KRK42" s="1046">
        <f>KRK38+((KRK40+'NF - 5 Power Mix'!KRK14+'NF - 5 Power Mix'!KRK15)*860/10)+((('Form Sa1'!KRN835)*860)/10)+('Form Sa1'!KRN814*'Form Sa1'!KRN816/10)-'NF - 5 Power Mix'!KRK21-'NF - 5 Power Mix'!KRK22</f>
        <v>0</v>
      </c>
      <c r="KRL42" s="1046">
        <f>KRL38+((KRL40+'NF - 5 Power Mix'!KRL14+'NF - 5 Power Mix'!KRL15)*860/10)+((('Form Sa1'!KRO835)*860)/10)+('Form Sa1'!KRO814*'Form Sa1'!KRO816/10)-'NF - 5 Power Mix'!KRL21-'NF - 5 Power Mix'!KRL22</f>
        <v>0</v>
      </c>
      <c r="KRM42" s="1046">
        <f>KRM38+((KRM40+'NF - 5 Power Mix'!KRM14+'NF - 5 Power Mix'!KRM15)*860/10)+((('Form Sa1'!KRP835)*860)/10)+('Form Sa1'!KRP814*'Form Sa1'!KRP816/10)-'NF - 5 Power Mix'!KRM21-'NF - 5 Power Mix'!KRM22</f>
        <v>0</v>
      </c>
      <c r="KRN42" s="1046">
        <f>KRN38+((KRN40+'NF - 5 Power Mix'!KRN14+'NF - 5 Power Mix'!KRN15)*860/10)+((('Form Sa1'!KRQ835)*860)/10)+('Form Sa1'!KRQ814*'Form Sa1'!KRQ816/10)-'NF - 5 Power Mix'!KRN21-'NF - 5 Power Mix'!KRN22</f>
        <v>0</v>
      </c>
      <c r="KRO42" s="1046">
        <f>KRO38+((KRO40+'NF - 5 Power Mix'!KRO14+'NF - 5 Power Mix'!KRO15)*860/10)+((('Form Sa1'!KRR835)*860)/10)+('Form Sa1'!KRR814*'Form Sa1'!KRR816/10)-'NF - 5 Power Mix'!KRO21-'NF - 5 Power Mix'!KRO22</f>
        <v>0</v>
      </c>
      <c r="KRP42" s="1046">
        <f>KRP38+((KRP40+'NF - 5 Power Mix'!KRP14+'NF - 5 Power Mix'!KRP15)*860/10)+((('Form Sa1'!KRS835)*860)/10)+('Form Sa1'!KRS814*'Form Sa1'!KRS816/10)-'NF - 5 Power Mix'!KRP21-'NF - 5 Power Mix'!KRP22</f>
        <v>0</v>
      </c>
      <c r="KRQ42" s="1046">
        <f>KRQ38+((KRQ40+'NF - 5 Power Mix'!KRQ14+'NF - 5 Power Mix'!KRQ15)*860/10)+((('Form Sa1'!KRT835)*860)/10)+('Form Sa1'!KRT814*'Form Sa1'!KRT816/10)-'NF - 5 Power Mix'!KRQ21-'NF - 5 Power Mix'!KRQ22</f>
        <v>0</v>
      </c>
      <c r="KRR42" s="1046">
        <f>KRR38+((KRR40+'NF - 5 Power Mix'!KRR14+'NF - 5 Power Mix'!KRR15)*860/10)+((('Form Sa1'!KRU835)*860)/10)+('Form Sa1'!KRU814*'Form Sa1'!KRU816/10)-'NF - 5 Power Mix'!KRR21-'NF - 5 Power Mix'!KRR22</f>
        <v>0</v>
      </c>
      <c r="KRS42" s="1046">
        <f>KRS38+((KRS40+'NF - 5 Power Mix'!KRS14+'NF - 5 Power Mix'!KRS15)*860/10)+((('Form Sa1'!KRV835)*860)/10)+('Form Sa1'!KRV814*'Form Sa1'!KRV816/10)-'NF - 5 Power Mix'!KRS21-'NF - 5 Power Mix'!KRS22</f>
        <v>0</v>
      </c>
      <c r="KRT42" s="1046">
        <f>KRT38+((KRT40+'NF - 5 Power Mix'!KRT14+'NF - 5 Power Mix'!KRT15)*860/10)+((('Form Sa1'!KRW835)*860)/10)+('Form Sa1'!KRW814*'Form Sa1'!KRW816/10)-'NF - 5 Power Mix'!KRT21-'NF - 5 Power Mix'!KRT22</f>
        <v>0</v>
      </c>
      <c r="KRU42" s="1046">
        <f>KRU38+((KRU40+'NF - 5 Power Mix'!KRU14+'NF - 5 Power Mix'!KRU15)*860/10)+((('Form Sa1'!KRX835)*860)/10)+('Form Sa1'!KRX814*'Form Sa1'!KRX816/10)-'NF - 5 Power Mix'!KRU21-'NF - 5 Power Mix'!KRU22</f>
        <v>0</v>
      </c>
      <c r="KRV42" s="1046">
        <f>KRV38+((KRV40+'NF - 5 Power Mix'!KRV14+'NF - 5 Power Mix'!KRV15)*860/10)+((('Form Sa1'!KRY835)*860)/10)+('Form Sa1'!KRY814*'Form Sa1'!KRY816/10)-'NF - 5 Power Mix'!KRV21-'NF - 5 Power Mix'!KRV22</f>
        <v>0</v>
      </c>
      <c r="KRW42" s="1046">
        <f>KRW38+((KRW40+'NF - 5 Power Mix'!KRW14+'NF - 5 Power Mix'!KRW15)*860/10)+((('Form Sa1'!KRZ835)*860)/10)+('Form Sa1'!KRZ814*'Form Sa1'!KRZ816/10)-'NF - 5 Power Mix'!KRW21-'NF - 5 Power Mix'!KRW22</f>
        <v>0</v>
      </c>
      <c r="KRX42" s="1046">
        <f>KRX38+((KRX40+'NF - 5 Power Mix'!KRX14+'NF - 5 Power Mix'!KRX15)*860/10)+((('Form Sa1'!KSA835)*860)/10)+('Form Sa1'!KSA814*'Form Sa1'!KSA816/10)-'NF - 5 Power Mix'!KRX21-'NF - 5 Power Mix'!KRX22</f>
        <v>0</v>
      </c>
      <c r="KRY42" s="1046">
        <f>KRY38+((KRY40+'NF - 5 Power Mix'!KRY14+'NF - 5 Power Mix'!KRY15)*860/10)+((('Form Sa1'!KSB835)*860)/10)+('Form Sa1'!KSB814*'Form Sa1'!KSB816/10)-'NF - 5 Power Mix'!KRY21-'NF - 5 Power Mix'!KRY22</f>
        <v>0</v>
      </c>
      <c r="KRZ42" s="1046">
        <f>KRZ38+((KRZ40+'NF - 5 Power Mix'!KRZ14+'NF - 5 Power Mix'!KRZ15)*860/10)+((('Form Sa1'!KSC835)*860)/10)+('Form Sa1'!KSC814*'Form Sa1'!KSC816/10)-'NF - 5 Power Mix'!KRZ21-'NF - 5 Power Mix'!KRZ22</f>
        <v>0</v>
      </c>
      <c r="KSA42" s="1046">
        <f>KSA38+((KSA40+'NF - 5 Power Mix'!KSA14+'NF - 5 Power Mix'!KSA15)*860/10)+((('Form Sa1'!KSD835)*860)/10)+('Form Sa1'!KSD814*'Form Sa1'!KSD816/10)-'NF - 5 Power Mix'!KSA21-'NF - 5 Power Mix'!KSA22</f>
        <v>0</v>
      </c>
      <c r="KSB42" s="1046">
        <f>KSB38+((KSB40+'NF - 5 Power Mix'!KSB14+'NF - 5 Power Mix'!KSB15)*860/10)+((('Form Sa1'!KSE835)*860)/10)+('Form Sa1'!KSE814*'Form Sa1'!KSE816/10)-'NF - 5 Power Mix'!KSB21-'NF - 5 Power Mix'!KSB22</f>
        <v>0</v>
      </c>
      <c r="KSC42" s="1046">
        <f>KSC38+((KSC40+'NF - 5 Power Mix'!KSC14+'NF - 5 Power Mix'!KSC15)*860/10)+((('Form Sa1'!KSF835)*860)/10)+('Form Sa1'!KSF814*'Form Sa1'!KSF816/10)-'NF - 5 Power Mix'!KSC21-'NF - 5 Power Mix'!KSC22</f>
        <v>0</v>
      </c>
      <c r="KSD42" s="1046">
        <f>KSD38+((KSD40+'NF - 5 Power Mix'!KSD14+'NF - 5 Power Mix'!KSD15)*860/10)+((('Form Sa1'!KSG835)*860)/10)+('Form Sa1'!KSG814*'Form Sa1'!KSG816/10)-'NF - 5 Power Mix'!KSD21-'NF - 5 Power Mix'!KSD22</f>
        <v>0</v>
      </c>
      <c r="KSE42" s="1046">
        <f>KSE38+((KSE40+'NF - 5 Power Mix'!KSE14+'NF - 5 Power Mix'!KSE15)*860/10)+((('Form Sa1'!KSH835)*860)/10)+('Form Sa1'!KSH814*'Form Sa1'!KSH816/10)-'NF - 5 Power Mix'!KSE21-'NF - 5 Power Mix'!KSE22</f>
        <v>0</v>
      </c>
      <c r="KSF42" s="1046">
        <f>KSF38+((KSF40+'NF - 5 Power Mix'!KSF14+'NF - 5 Power Mix'!KSF15)*860/10)+((('Form Sa1'!KSI835)*860)/10)+('Form Sa1'!KSI814*'Form Sa1'!KSI816/10)-'NF - 5 Power Mix'!KSF21-'NF - 5 Power Mix'!KSF22</f>
        <v>0</v>
      </c>
      <c r="KSG42" s="1046">
        <f>KSG38+((KSG40+'NF - 5 Power Mix'!KSG14+'NF - 5 Power Mix'!KSG15)*860/10)+((('Form Sa1'!KSJ835)*860)/10)+('Form Sa1'!KSJ814*'Form Sa1'!KSJ816/10)-'NF - 5 Power Mix'!KSG21-'NF - 5 Power Mix'!KSG22</f>
        <v>0</v>
      </c>
      <c r="KSH42" s="1046">
        <f>KSH38+((KSH40+'NF - 5 Power Mix'!KSH14+'NF - 5 Power Mix'!KSH15)*860/10)+((('Form Sa1'!KSK835)*860)/10)+('Form Sa1'!KSK814*'Form Sa1'!KSK816/10)-'NF - 5 Power Mix'!KSH21-'NF - 5 Power Mix'!KSH22</f>
        <v>0</v>
      </c>
      <c r="KSI42" s="1046">
        <f>KSI38+((KSI40+'NF - 5 Power Mix'!KSI14+'NF - 5 Power Mix'!KSI15)*860/10)+((('Form Sa1'!KSL835)*860)/10)+('Form Sa1'!KSL814*'Form Sa1'!KSL816/10)-'NF - 5 Power Mix'!KSI21-'NF - 5 Power Mix'!KSI22</f>
        <v>0</v>
      </c>
      <c r="KSJ42" s="1046">
        <f>KSJ38+((KSJ40+'NF - 5 Power Mix'!KSJ14+'NF - 5 Power Mix'!KSJ15)*860/10)+((('Form Sa1'!KSM835)*860)/10)+('Form Sa1'!KSM814*'Form Sa1'!KSM816/10)-'NF - 5 Power Mix'!KSJ21-'NF - 5 Power Mix'!KSJ22</f>
        <v>0</v>
      </c>
      <c r="KSK42" s="1046">
        <f>KSK38+((KSK40+'NF - 5 Power Mix'!KSK14+'NF - 5 Power Mix'!KSK15)*860/10)+((('Form Sa1'!KSN835)*860)/10)+('Form Sa1'!KSN814*'Form Sa1'!KSN816/10)-'NF - 5 Power Mix'!KSK21-'NF - 5 Power Mix'!KSK22</f>
        <v>0</v>
      </c>
      <c r="KSL42" s="1046">
        <f>KSL38+((KSL40+'NF - 5 Power Mix'!KSL14+'NF - 5 Power Mix'!KSL15)*860/10)+((('Form Sa1'!KSO835)*860)/10)+('Form Sa1'!KSO814*'Form Sa1'!KSO816/10)-'NF - 5 Power Mix'!KSL21-'NF - 5 Power Mix'!KSL22</f>
        <v>0</v>
      </c>
      <c r="KSM42" s="1046">
        <f>KSM38+((KSM40+'NF - 5 Power Mix'!KSM14+'NF - 5 Power Mix'!KSM15)*860/10)+((('Form Sa1'!KSP835)*860)/10)+('Form Sa1'!KSP814*'Form Sa1'!KSP816/10)-'NF - 5 Power Mix'!KSM21-'NF - 5 Power Mix'!KSM22</f>
        <v>0</v>
      </c>
      <c r="KSN42" s="1046">
        <f>KSN38+((KSN40+'NF - 5 Power Mix'!KSN14+'NF - 5 Power Mix'!KSN15)*860/10)+((('Form Sa1'!KSQ835)*860)/10)+('Form Sa1'!KSQ814*'Form Sa1'!KSQ816/10)-'NF - 5 Power Mix'!KSN21-'NF - 5 Power Mix'!KSN22</f>
        <v>0</v>
      </c>
      <c r="KSO42" s="1046">
        <f>KSO38+((KSO40+'NF - 5 Power Mix'!KSO14+'NF - 5 Power Mix'!KSO15)*860/10)+((('Form Sa1'!KSR835)*860)/10)+('Form Sa1'!KSR814*'Form Sa1'!KSR816/10)-'NF - 5 Power Mix'!KSO21-'NF - 5 Power Mix'!KSO22</f>
        <v>0</v>
      </c>
      <c r="KSP42" s="1046">
        <f>KSP38+((KSP40+'NF - 5 Power Mix'!KSP14+'NF - 5 Power Mix'!KSP15)*860/10)+((('Form Sa1'!KSS835)*860)/10)+('Form Sa1'!KSS814*'Form Sa1'!KSS816/10)-'NF - 5 Power Mix'!KSP21-'NF - 5 Power Mix'!KSP22</f>
        <v>0</v>
      </c>
      <c r="KSQ42" s="1046">
        <f>KSQ38+((KSQ40+'NF - 5 Power Mix'!KSQ14+'NF - 5 Power Mix'!KSQ15)*860/10)+((('Form Sa1'!KST835)*860)/10)+('Form Sa1'!KST814*'Form Sa1'!KST816/10)-'NF - 5 Power Mix'!KSQ21-'NF - 5 Power Mix'!KSQ22</f>
        <v>0</v>
      </c>
      <c r="KSR42" s="1046">
        <f>KSR38+((KSR40+'NF - 5 Power Mix'!KSR14+'NF - 5 Power Mix'!KSR15)*860/10)+((('Form Sa1'!KSU835)*860)/10)+('Form Sa1'!KSU814*'Form Sa1'!KSU816/10)-'NF - 5 Power Mix'!KSR21-'NF - 5 Power Mix'!KSR22</f>
        <v>0</v>
      </c>
      <c r="KSS42" s="1046">
        <f>KSS38+((KSS40+'NF - 5 Power Mix'!KSS14+'NF - 5 Power Mix'!KSS15)*860/10)+((('Form Sa1'!KSV835)*860)/10)+('Form Sa1'!KSV814*'Form Sa1'!KSV816/10)-'NF - 5 Power Mix'!KSS21-'NF - 5 Power Mix'!KSS22</f>
        <v>0</v>
      </c>
      <c r="KST42" s="1046">
        <f>KST38+((KST40+'NF - 5 Power Mix'!KST14+'NF - 5 Power Mix'!KST15)*860/10)+((('Form Sa1'!KSW835)*860)/10)+('Form Sa1'!KSW814*'Form Sa1'!KSW816/10)-'NF - 5 Power Mix'!KST21-'NF - 5 Power Mix'!KST22</f>
        <v>0</v>
      </c>
      <c r="KSU42" s="1046">
        <f>KSU38+((KSU40+'NF - 5 Power Mix'!KSU14+'NF - 5 Power Mix'!KSU15)*860/10)+((('Form Sa1'!KSX835)*860)/10)+('Form Sa1'!KSX814*'Form Sa1'!KSX816/10)-'NF - 5 Power Mix'!KSU21-'NF - 5 Power Mix'!KSU22</f>
        <v>0</v>
      </c>
      <c r="KSV42" s="1046">
        <f>KSV38+((KSV40+'NF - 5 Power Mix'!KSV14+'NF - 5 Power Mix'!KSV15)*860/10)+((('Form Sa1'!KSY835)*860)/10)+('Form Sa1'!KSY814*'Form Sa1'!KSY816/10)-'NF - 5 Power Mix'!KSV21-'NF - 5 Power Mix'!KSV22</f>
        <v>0</v>
      </c>
      <c r="KSW42" s="1046">
        <f>KSW38+((KSW40+'NF - 5 Power Mix'!KSW14+'NF - 5 Power Mix'!KSW15)*860/10)+((('Form Sa1'!KSZ835)*860)/10)+('Form Sa1'!KSZ814*'Form Sa1'!KSZ816/10)-'NF - 5 Power Mix'!KSW21-'NF - 5 Power Mix'!KSW22</f>
        <v>0</v>
      </c>
      <c r="KSX42" s="1046">
        <f>KSX38+((KSX40+'NF - 5 Power Mix'!KSX14+'NF - 5 Power Mix'!KSX15)*860/10)+((('Form Sa1'!KTA835)*860)/10)+('Form Sa1'!KTA814*'Form Sa1'!KTA816/10)-'NF - 5 Power Mix'!KSX21-'NF - 5 Power Mix'!KSX22</f>
        <v>0</v>
      </c>
      <c r="KSY42" s="1046">
        <f>KSY38+((KSY40+'NF - 5 Power Mix'!KSY14+'NF - 5 Power Mix'!KSY15)*860/10)+((('Form Sa1'!KTB835)*860)/10)+('Form Sa1'!KTB814*'Form Sa1'!KTB816/10)-'NF - 5 Power Mix'!KSY21-'NF - 5 Power Mix'!KSY22</f>
        <v>0</v>
      </c>
      <c r="KSZ42" s="1046">
        <f>KSZ38+((KSZ40+'NF - 5 Power Mix'!KSZ14+'NF - 5 Power Mix'!KSZ15)*860/10)+((('Form Sa1'!KTC835)*860)/10)+('Form Sa1'!KTC814*'Form Sa1'!KTC816/10)-'NF - 5 Power Mix'!KSZ21-'NF - 5 Power Mix'!KSZ22</f>
        <v>0</v>
      </c>
      <c r="KTA42" s="1046">
        <f>KTA38+((KTA40+'NF - 5 Power Mix'!KTA14+'NF - 5 Power Mix'!KTA15)*860/10)+((('Form Sa1'!KTD835)*860)/10)+('Form Sa1'!KTD814*'Form Sa1'!KTD816/10)-'NF - 5 Power Mix'!KTA21-'NF - 5 Power Mix'!KTA22</f>
        <v>0</v>
      </c>
      <c r="KTB42" s="1046">
        <f>KTB38+((KTB40+'NF - 5 Power Mix'!KTB14+'NF - 5 Power Mix'!KTB15)*860/10)+((('Form Sa1'!KTE835)*860)/10)+('Form Sa1'!KTE814*'Form Sa1'!KTE816/10)-'NF - 5 Power Mix'!KTB21-'NF - 5 Power Mix'!KTB22</f>
        <v>0</v>
      </c>
      <c r="KTC42" s="1046">
        <f>KTC38+((KTC40+'NF - 5 Power Mix'!KTC14+'NF - 5 Power Mix'!KTC15)*860/10)+((('Form Sa1'!KTF835)*860)/10)+('Form Sa1'!KTF814*'Form Sa1'!KTF816/10)-'NF - 5 Power Mix'!KTC21-'NF - 5 Power Mix'!KTC22</f>
        <v>0</v>
      </c>
      <c r="KTD42" s="1046">
        <f>KTD38+((KTD40+'NF - 5 Power Mix'!KTD14+'NF - 5 Power Mix'!KTD15)*860/10)+((('Form Sa1'!KTG835)*860)/10)+('Form Sa1'!KTG814*'Form Sa1'!KTG816/10)-'NF - 5 Power Mix'!KTD21-'NF - 5 Power Mix'!KTD22</f>
        <v>0</v>
      </c>
      <c r="KTE42" s="1046">
        <f>KTE38+((KTE40+'NF - 5 Power Mix'!KTE14+'NF - 5 Power Mix'!KTE15)*860/10)+((('Form Sa1'!KTH835)*860)/10)+('Form Sa1'!KTH814*'Form Sa1'!KTH816/10)-'NF - 5 Power Mix'!KTE21-'NF - 5 Power Mix'!KTE22</f>
        <v>0</v>
      </c>
      <c r="KTF42" s="1046">
        <f>KTF38+((KTF40+'NF - 5 Power Mix'!KTF14+'NF - 5 Power Mix'!KTF15)*860/10)+((('Form Sa1'!KTI835)*860)/10)+('Form Sa1'!KTI814*'Form Sa1'!KTI816/10)-'NF - 5 Power Mix'!KTF21-'NF - 5 Power Mix'!KTF22</f>
        <v>0</v>
      </c>
      <c r="KTG42" s="1046">
        <f>KTG38+((KTG40+'NF - 5 Power Mix'!KTG14+'NF - 5 Power Mix'!KTG15)*860/10)+((('Form Sa1'!KTJ835)*860)/10)+('Form Sa1'!KTJ814*'Form Sa1'!KTJ816/10)-'NF - 5 Power Mix'!KTG21-'NF - 5 Power Mix'!KTG22</f>
        <v>0</v>
      </c>
      <c r="KTH42" s="1046">
        <f>KTH38+((KTH40+'NF - 5 Power Mix'!KTH14+'NF - 5 Power Mix'!KTH15)*860/10)+((('Form Sa1'!KTK835)*860)/10)+('Form Sa1'!KTK814*'Form Sa1'!KTK816/10)-'NF - 5 Power Mix'!KTH21-'NF - 5 Power Mix'!KTH22</f>
        <v>0</v>
      </c>
      <c r="KTI42" s="1046">
        <f>KTI38+((KTI40+'NF - 5 Power Mix'!KTI14+'NF - 5 Power Mix'!KTI15)*860/10)+((('Form Sa1'!KTL835)*860)/10)+('Form Sa1'!KTL814*'Form Sa1'!KTL816/10)-'NF - 5 Power Mix'!KTI21-'NF - 5 Power Mix'!KTI22</f>
        <v>0</v>
      </c>
      <c r="KTJ42" s="1046">
        <f>KTJ38+((KTJ40+'NF - 5 Power Mix'!KTJ14+'NF - 5 Power Mix'!KTJ15)*860/10)+((('Form Sa1'!KTM835)*860)/10)+('Form Sa1'!KTM814*'Form Sa1'!KTM816/10)-'NF - 5 Power Mix'!KTJ21-'NF - 5 Power Mix'!KTJ22</f>
        <v>0</v>
      </c>
      <c r="KTK42" s="1046">
        <f>KTK38+((KTK40+'NF - 5 Power Mix'!KTK14+'NF - 5 Power Mix'!KTK15)*860/10)+((('Form Sa1'!KTN835)*860)/10)+('Form Sa1'!KTN814*'Form Sa1'!KTN816/10)-'NF - 5 Power Mix'!KTK21-'NF - 5 Power Mix'!KTK22</f>
        <v>0</v>
      </c>
      <c r="KTL42" s="1046">
        <f>KTL38+((KTL40+'NF - 5 Power Mix'!KTL14+'NF - 5 Power Mix'!KTL15)*860/10)+((('Form Sa1'!KTO835)*860)/10)+('Form Sa1'!KTO814*'Form Sa1'!KTO816/10)-'NF - 5 Power Mix'!KTL21-'NF - 5 Power Mix'!KTL22</f>
        <v>0</v>
      </c>
      <c r="KTM42" s="1046">
        <f>KTM38+((KTM40+'NF - 5 Power Mix'!KTM14+'NF - 5 Power Mix'!KTM15)*860/10)+((('Form Sa1'!KTP835)*860)/10)+('Form Sa1'!KTP814*'Form Sa1'!KTP816/10)-'NF - 5 Power Mix'!KTM21-'NF - 5 Power Mix'!KTM22</f>
        <v>0</v>
      </c>
      <c r="KTN42" s="1046">
        <f>KTN38+((KTN40+'NF - 5 Power Mix'!KTN14+'NF - 5 Power Mix'!KTN15)*860/10)+((('Form Sa1'!KTQ835)*860)/10)+('Form Sa1'!KTQ814*'Form Sa1'!KTQ816/10)-'NF - 5 Power Mix'!KTN21-'NF - 5 Power Mix'!KTN22</f>
        <v>0</v>
      </c>
      <c r="KTO42" s="1046">
        <f>KTO38+((KTO40+'NF - 5 Power Mix'!KTO14+'NF - 5 Power Mix'!KTO15)*860/10)+((('Form Sa1'!KTR835)*860)/10)+('Form Sa1'!KTR814*'Form Sa1'!KTR816/10)-'NF - 5 Power Mix'!KTO21-'NF - 5 Power Mix'!KTO22</f>
        <v>0</v>
      </c>
      <c r="KTP42" s="1046">
        <f>KTP38+((KTP40+'NF - 5 Power Mix'!KTP14+'NF - 5 Power Mix'!KTP15)*860/10)+((('Form Sa1'!KTS835)*860)/10)+('Form Sa1'!KTS814*'Form Sa1'!KTS816/10)-'NF - 5 Power Mix'!KTP21-'NF - 5 Power Mix'!KTP22</f>
        <v>0</v>
      </c>
      <c r="KTQ42" s="1046">
        <f>KTQ38+((KTQ40+'NF - 5 Power Mix'!KTQ14+'NF - 5 Power Mix'!KTQ15)*860/10)+((('Form Sa1'!KTT835)*860)/10)+('Form Sa1'!KTT814*'Form Sa1'!KTT816/10)-'NF - 5 Power Mix'!KTQ21-'NF - 5 Power Mix'!KTQ22</f>
        <v>0</v>
      </c>
      <c r="KTR42" s="1046">
        <f>KTR38+((KTR40+'NF - 5 Power Mix'!KTR14+'NF - 5 Power Mix'!KTR15)*860/10)+((('Form Sa1'!KTU835)*860)/10)+('Form Sa1'!KTU814*'Form Sa1'!KTU816/10)-'NF - 5 Power Mix'!KTR21-'NF - 5 Power Mix'!KTR22</f>
        <v>0</v>
      </c>
      <c r="KTS42" s="1046">
        <f>KTS38+((KTS40+'NF - 5 Power Mix'!KTS14+'NF - 5 Power Mix'!KTS15)*860/10)+((('Form Sa1'!KTV835)*860)/10)+('Form Sa1'!KTV814*'Form Sa1'!KTV816/10)-'NF - 5 Power Mix'!KTS21-'NF - 5 Power Mix'!KTS22</f>
        <v>0</v>
      </c>
      <c r="KTT42" s="1046">
        <f>KTT38+((KTT40+'NF - 5 Power Mix'!KTT14+'NF - 5 Power Mix'!KTT15)*860/10)+((('Form Sa1'!KTW835)*860)/10)+('Form Sa1'!KTW814*'Form Sa1'!KTW816/10)-'NF - 5 Power Mix'!KTT21-'NF - 5 Power Mix'!KTT22</f>
        <v>0</v>
      </c>
      <c r="KTU42" s="1046">
        <f>KTU38+((KTU40+'NF - 5 Power Mix'!KTU14+'NF - 5 Power Mix'!KTU15)*860/10)+((('Form Sa1'!KTX835)*860)/10)+('Form Sa1'!KTX814*'Form Sa1'!KTX816/10)-'NF - 5 Power Mix'!KTU21-'NF - 5 Power Mix'!KTU22</f>
        <v>0</v>
      </c>
      <c r="KTV42" s="1046">
        <f>KTV38+((KTV40+'NF - 5 Power Mix'!KTV14+'NF - 5 Power Mix'!KTV15)*860/10)+((('Form Sa1'!KTY835)*860)/10)+('Form Sa1'!KTY814*'Form Sa1'!KTY816/10)-'NF - 5 Power Mix'!KTV21-'NF - 5 Power Mix'!KTV22</f>
        <v>0</v>
      </c>
      <c r="KTW42" s="1046">
        <f>KTW38+((KTW40+'NF - 5 Power Mix'!KTW14+'NF - 5 Power Mix'!KTW15)*860/10)+((('Form Sa1'!KTZ835)*860)/10)+('Form Sa1'!KTZ814*'Form Sa1'!KTZ816/10)-'NF - 5 Power Mix'!KTW21-'NF - 5 Power Mix'!KTW22</f>
        <v>0</v>
      </c>
      <c r="KTX42" s="1046">
        <f>KTX38+((KTX40+'NF - 5 Power Mix'!KTX14+'NF - 5 Power Mix'!KTX15)*860/10)+((('Form Sa1'!KUA835)*860)/10)+('Form Sa1'!KUA814*'Form Sa1'!KUA816/10)-'NF - 5 Power Mix'!KTX21-'NF - 5 Power Mix'!KTX22</f>
        <v>0</v>
      </c>
      <c r="KTY42" s="1046">
        <f>KTY38+((KTY40+'NF - 5 Power Mix'!KTY14+'NF - 5 Power Mix'!KTY15)*860/10)+((('Form Sa1'!KUB835)*860)/10)+('Form Sa1'!KUB814*'Form Sa1'!KUB816/10)-'NF - 5 Power Mix'!KTY21-'NF - 5 Power Mix'!KTY22</f>
        <v>0</v>
      </c>
      <c r="KTZ42" s="1046">
        <f>KTZ38+((KTZ40+'NF - 5 Power Mix'!KTZ14+'NF - 5 Power Mix'!KTZ15)*860/10)+((('Form Sa1'!KUC835)*860)/10)+('Form Sa1'!KUC814*'Form Sa1'!KUC816/10)-'NF - 5 Power Mix'!KTZ21-'NF - 5 Power Mix'!KTZ22</f>
        <v>0</v>
      </c>
      <c r="KUA42" s="1046">
        <f>KUA38+((KUA40+'NF - 5 Power Mix'!KUA14+'NF - 5 Power Mix'!KUA15)*860/10)+((('Form Sa1'!KUD835)*860)/10)+('Form Sa1'!KUD814*'Form Sa1'!KUD816/10)-'NF - 5 Power Mix'!KUA21-'NF - 5 Power Mix'!KUA22</f>
        <v>0</v>
      </c>
      <c r="KUB42" s="1046">
        <f>KUB38+((KUB40+'NF - 5 Power Mix'!KUB14+'NF - 5 Power Mix'!KUB15)*860/10)+((('Form Sa1'!KUE835)*860)/10)+('Form Sa1'!KUE814*'Form Sa1'!KUE816/10)-'NF - 5 Power Mix'!KUB21-'NF - 5 Power Mix'!KUB22</f>
        <v>0</v>
      </c>
      <c r="KUC42" s="1046">
        <f>KUC38+((KUC40+'NF - 5 Power Mix'!KUC14+'NF - 5 Power Mix'!KUC15)*860/10)+((('Form Sa1'!KUF835)*860)/10)+('Form Sa1'!KUF814*'Form Sa1'!KUF816/10)-'NF - 5 Power Mix'!KUC21-'NF - 5 Power Mix'!KUC22</f>
        <v>0</v>
      </c>
      <c r="KUD42" s="1046">
        <f>KUD38+((KUD40+'NF - 5 Power Mix'!KUD14+'NF - 5 Power Mix'!KUD15)*860/10)+((('Form Sa1'!KUG835)*860)/10)+('Form Sa1'!KUG814*'Form Sa1'!KUG816/10)-'NF - 5 Power Mix'!KUD21-'NF - 5 Power Mix'!KUD22</f>
        <v>0</v>
      </c>
      <c r="KUE42" s="1046">
        <f>KUE38+((KUE40+'NF - 5 Power Mix'!KUE14+'NF - 5 Power Mix'!KUE15)*860/10)+((('Form Sa1'!KUH835)*860)/10)+('Form Sa1'!KUH814*'Form Sa1'!KUH816/10)-'NF - 5 Power Mix'!KUE21-'NF - 5 Power Mix'!KUE22</f>
        <v>0</v>
      </c>
      <c r="KUF42" s="1046">
        <f>KUF38+((KUF40+'NF - 5 Power Mix'!KUF14+'NF - 5 Power Mix'!KUF15)*860/10)+((('Form Sa1'!KUI835)*860)/10)+('Form Sa1'!KUI814*'Form Sa1'!KUI816/10)-'NF - 5 Power Mix'!KUF21-'NF - 5 Power Mix'!KUF22</f>
        <v>0</v>
      </c>
      <c r="KUG42" s="1046">
        <f>KUG38+((KUG40+'NF - 5 Power Mix'!KUG14+'NF - 5 Power Mix'!KUG15)*860/10)+((('Form Sa1'!KUJ835)*860)/10)+('Form Sa1'!KUJ814*'Form Sa1'!KUJ816/10)-'NF - 5 Power Mix'!KUG21-'NF - 5 Power Mix'!KUG22</f>
        <v>0</v>
      </c>
      <c r="KUH42" s="1046">
        <f>KUH38+((KUH40+'NF - 5 Power Mix'!KUH14+'NF - 5 Power Mix'!KUH15)*860/10)+((('Form Sa1'!KUK835)*860)/10)+('Form Sa1'!KUK814*'Form Sa1'!KUK816/10)-'NF - 5 Power Mix'!KUH21-'NF - 5 Power Mix'!KUH22</f>
        <v>0</v>
      </c>
      <c r="KUI42" s="1046">
        <f>KUI38+((KUI40+'NF - 5 Power Mix'!KUI14+'NF - 5 Power Mix'!KUI15)*860/10)+((('Form Sa1'!KUL835)*860)/10)+('Form Sa1'!KUL814*'Form Sa1'!KUL816/10)-'NF - 5 Power Mix'!KUI21-'NF - 5 Power Mix'!KUI22</f>
        <v>0</v>
      </c>
      <c r="KUJ42" s="1046">
        <f>KUJ38+((KUJ40+'NF - 5 Power Mix'!KUJ14+'NF - 5 Power Mix'!KUJ15)*860/10)+((('Form Sa1'!KUM835)*860)/10)+('Form Sa1'!KUM814*'Form Sa1'!KUM816/10)-'NF - 5 Power Mix'!KUJ21-'NF - 5 Power Mix'!KUJ22</f>
        <v>0</v>
      </c>
      <c r="KUK42" s="1046">
        <f>KUK38+((KUK40+'NF - 5 Power Mix'!KUK14+'NF - 5 Power Mix'!KUK15)*860/10)+((('Form Sa1'!KUN835)*860)/10)+('Form Sa1'!KUN814*'Form Sa1'!KUN816/10)-'NF - 5 Power Mix'!KUK21-'NF - 5 Power Mix'!KUK22</f>
        <v>0</v>
      </c>
      <c r="KUL42" s="1046">
        <f>KUL38+((KUL40+'NF - 5 Power Mix'!KUL14+'NF - 5 Power Mix'!KUL15)*860/10)+((('Form Sa1'!KUO835)*860)/10)+('Form Sa1'!KUO814*'Form Sa1'!KUO816/10)-'NF - 5 Power Mix'!KUL21-'NF - 5 Power Mix'!KUL22</f>
        <v>0</v>
      </c>
      <c r="KUM42" s="1046">
        <f>KUM38+((KUM40+'NF - 5 Power Mix'!KUM14+'NF - 5 Power Mix'!KUM15)*860/10)+((('Form Sa1'!KUP835)*860)/10)+('Form Sa1'!KUP814*'Form Sa1'!KUP816/10)-'NF - 5 Power Mix'!KUM21-'NF - 5 Power Mix'!KUM22</f>
        <v>0</v>
      </c>
      <c r="KUN42" s="1046">
        <f>KUN38+((KUN40+'NF - 5 Power Mix'!KUN14+'NF - 5 Power Mix'!KUN15)*860/10)+((('Form Sa1'!KUQ835)*860)/10)+('Form Sa1'!KUQ814*'Form Sa1'!KUQ816/10)-'NF - 5 Power Mix'!KUN21-'NF - 5 Power Mix'!KUN22</f>
        <v>0</v>
      </c>
      <c r="KUO42" s="1046">
        <f>KUO38+((KUO40+'NF - 5 Power Mix'!KUO14+'NF - 5 Power Mix'!KUO15)*860/10)+((('Form Sa1'!KUR835)*860)/10)+('Form Sa1'!KUR814*'Form Sa1'!KUR816/10)-'NF - 5 Power Mix'!KUO21-'NF - 5 Power Mix'!KUO22</f>
        <v>0</v>
      </c>
      <c r="KUP42" s="1046">
        <f>KUP38+((KUP40+'NF - 5 Power Mix'!KUP14+'NF - 5 Power Mix'!KUP15)*860/10)+((('Form Sa1'!KUS835)*860)/10)+('Form Sa1'!KUS814*'Form Sa1'!KUS816/10)-'NF - 5 Power Mix'!KUP21-'NF - 5 Power Mix'!KUP22</f>
        <v>0</v>
      </c>
      <c r="KUQ42" s="1046">
        <f>KUQ38+((KUQ40+'NF - 5 Power Mix'!KUQ14+'NF - 5 Power Mix'!KUQ15)*860/10)+((('Form Sa1'!KUT835)*860)/10)+('Form Sa1'!KUT814*'Form Sa1'!KUT816/10)-'NF - 5 Power Mix'!KUQ21-'NF - 5 Power Mix'!KUQ22</f>
        <v>0</v>
      </c>
      <c r="KUR42" s="1046">
        <f>KUR38+((KUR40+'NF - 5 Power Mix'!KUR14+'NF - 5 Power Mix'!KUR15)*860/10)+((('Form Sa1'!KUU835)*860)/10)+('Form Sa1'!KUU814*'Form Sa1'!KUU816/10)-'NF - 5 Power Mix'!KUR21-'NF - 5 Power Mix'!KUR22</f>
        <v>0</v>
      </c>
      <c r="KUS42" s="1046">
        <f>KUS38+((KUS40+'NF - 5 Power Mix'!KUS14+'NF - 5 Power Mix'!KUS15)*860/10)+((('Form Sa1'!KUV835)*860)/10)+('Form Sa1'!KUV814*'Form Sa1'!KUV816/10)-'NF - 5 Power Mix'!KUS21-'NF - 5 Power Mix'!KUS22</f>
        <v>0</v>
      </c>
      <c r="KUT42" s="1046">
        <f>KUT38+((KUT40+'NF - 5 Power Mix'!KUT14+'NF - 5 Power Mix'!KUT15)*860/10)+((('Form Sa1'!KUW835)*860)/10)+('Form Sa1'!KUW814*'Form Sa1'!KUW816/10)-'NF - 5 Power Mix'!KUT21-'NF - 5 Power Mix'!KUT22</f>
        <v>0</v>
      </c>
      <c r="KUU42" s="1046">
        <f>KUU38+((KUU40+'NF - 5 Power Mix'!KUU14+'NF - 5 Power Mix'!KUU15)*860/10)+((('Form Sa1'!KUX835)*860)/10)+('Form Sa1'!KUX814*'Form Sa1'!KUX816/10)-'NF - 5 Power Mix'!KUU21-'NF - 5 Power Mix'!KUU22</f>
        <v>0</v>
      </c>
      <c r="KUV42" s="1046">
        <f>KUV38+((KUV40+'NF - 5 Power Mix'!KUV14+'NF - 5 Power Mix'!KUV15)*860/10)+((('Form Sa1'!KUY835)*860)/10)+('Form Sa1'!KUY814*'Form Sa1'!KUY816/10)-'NF - 5 Power Mix'!KUV21-'NF - 5 Power Mix'!KUV22</f>
        <v>0</v>
      </c>
      <c r="KUW42" s="1046">
        <f>KUW38+((KUW40+'NF - 5 Power Mix'!KUW14+'NF - 5 Power Mix'!KUW15)*860/10)+((('Form Sa1'!KUZ835)*860)/10)+('Form Sa1'!KUZ814*'Form Sa1'!KUZ816/10)-'NF - 5 Power Mix'!KUW21-'NF - 5 Power Mix'!KUW22</f>
        <v>0</v>
      </c>
      <c r="KUX42" s="1046">
        <f>KUX38+((KUX40+'NF - 5 Power Mix'!KUX14+'NF - 5 Power Mix'!KUX15)*860/10)+((('Form Sa1'!KVA835)*860)/10)+('Form Sa1'!KVA814*'Form Sa1'!KVA816/10)-'NF - 5 Power Mix'!KUX21-'NF - 5 Power Mix'!KUX22</f>
        <v>0</v>
      </c>
      <c r="KUY42" s="1046">
        <f>KUY38+((KUY40+'NF - 5 Power Mix'!KUY14+'NF - 5 Power Mix'!KUY15)*860/10)+((('Form Sa1'!KVB835)*860)/10)+('Form Sa1'!KVB814*'Form Sa1'!KVB816/10)-'NF - 5 Power Mix'!KUY21-'NF - 5 Power Mix'!KUY22</f>
        <v>0</v>
      </c>
      <c r="KUZ42" s="1046">
        <f>KUZ38+((KUZ40+'NF - 5 Power Mix'!KUZ14+'NF - 5 Power Mix'!KUZ15)*860/10)+((('Form Sa1'!KVC835)*860)/10)+('Form Sa1'!KVC814*'Form Sa1'!KVC816/10)-'NF - 5 Power Mix'!KUZ21-'NF - 5 Power Mix'!KUZ22</f>
        <v>0</v>
      </c>
      <c r="KVA42" s="1046">
        <f>KVA38+((KVA40+'NF - 5 Power Mix'!KVA14+'NF - 5 Power Mix'!KVA15)*860/10)+((('Form Sa1'!KVD835)*860)/10)+('Form Sa1'!KVD814*'Form Sa1'!KVD816/10)-'NF - 5 Power Mix'!KVA21-'NF - 5 Power Mix'!KVA22</f>
        <v>0</v>
      </c>
      <c r="KVB42" s="1046">
        <f>KVB38+((KVB40+'NF - 5 Power Mix'!KVB14+'NF - 5 Power Mix'!KVB15)*860/10)+((('Form Sa1'!KVE835)*860)/10)+('Form Sa1'!KVE814*'Form Sa1'!KVE816/10)-'NF - 5 Power Mix'!KVB21-'NF - 5 Power Mix'!KVB22</f>
        <v>0</v>
      </c>
      <c r="KVC42" s="1046">
        <f>KVC38+((KVC40+'NF - 5 Power Mix'!KVC14+'NF - 5 Power Mix'!KVC15)*860/10)+((('Form Sa1'!KVF835)*860)/10)+('Form Sa1'!KVF814*'Form Sa1'!KVF816/10)-'NF - 5 Power Mix'!KVC21-'NF - 5 Power Mix'!KVC22</f>
        <v>0</v>
      </c>
      <c r="KVD42" s="1046">
        <f>KVD38+((KVD40+'NF - 5 Power Mix'!KVD14+'NF - 5 Power Mix'!KVD15)*860/10)+((('Form Sa1'!KVG835)*860)/10)+('Form Sa1'!KVG814*'Form Sa1'!KVG816/10)-'NF - 5 Power Mix'!KVD21-'NF - 5 Power Mix'!KVD22</f>
        <v>0</v>
      </c>
      <c r="KVE42" s="1046">
        <f>KVE38+((KVE40+'NF - 5 Power Mix'!KVE14+'NF - 5 Power Mix'!KVE15)*860/10)+((('Form Sa1'!KVH835)*860)/10)+('Form Sa1'!KVH814*'Form Sa1'!KVH816/10)-'NF - 5 Power Mix'!KVE21-'NF - 5 Power Mix'!KVE22</f>
        <v>0</v>
      </c>
      <c r="KVF42" s="1046">
        <f>KVF38+((KVF40+'NF - 5 Power Mix'!KVF14+'NF - 5 Power Mix'!KVF15)*860/10)+((('Form Sa1'!KVI835)*860)/10)+('Form Sa1'!KVI814*'Form Sa1'!KVI816/10)-'NF - 5 Power Mix'!KVF21-'NF - 5 Power Mix'!KVF22</f>
        <v>0</v>
      </c>
      <c r="KVG42" s="1046">
        <f>KVG38+((KVG40+'NF - 5 Power Mix'!KVG14+'NF - 5 Power Mix'!KVG15)*860/10)+((('Form Sa1'!KVJ835)*860)/10)+('Form Sa1'!KVJ814*'Form Sa1'!KVJ816/10)-'NF - 5 Power Mix'!KVG21-'NF - 5 Power Mix'!KVG22</f>
        <v>0</v>
      </c>
      <c r="KVH42" s="1046">
        <f>KVH38+((KVH40+'NF - 5 Power Mix'!KVH14+'NF - 5 Power Mix'!KVH15)*860/10)+((('Form Sa1'!KVK835)*860)/10)+('Form Sa1'!KVK814*'Form Sa1'!KVK816/10)-'NF - 5 Power Mix'!KVH21-'NF - 5 Power Mix'!KVH22</f>
        <v>0</v>
      </c>
      <c r="KVI42" s="1046">
        <f>KVI38+((KVI40+'NF - 5 Power Mix'!KVI14+'NF - 5 Power Mix'!KVI15)*860/10)+((('Form Sa1'!KVL835)*860)/10)+('Form Sa1'!KVL814*'Form Sa1'!KVL816/10)-'NF - 5 Power Mix'!KVI21-'NF - 5 Power Mix'!KVI22</f>
        <v>0</v>
      </c>
      <c r="KVJ42" s="1046">
        <f>KVJ38+((KVJ40+'NF - 5 Power Mix'!KVJ14+'NF - 5 Power Mix'!KVJ15)*860/10)+((('Form Sa1'!KVM835)*860)/10)+('Form Sa1'!KVM814*'Form Sa1'!KVM816/10)-'NF - 5 Power Mix'!KVJ21-'NF - 5 Power Mix'!KVJ22</f>
        <v>0</v>
      </c>
      <c r="KVK42" s="1046">
        <f>KVK38+((KVK40+'NF - 5 Power Mix'!KVK14+'NF - 5 Power Mix'!KVK15)*860/10)+((('Form Sa1'!KVN835)*860)/10)+('Form Sa1'!KVN814*'Form Sa1'!KVN816/10)-'NF - 5 Power Mix'!KVK21-'NF - 5 Power Mix'!KVK22</f>
        <v>0</v>
      </c>
      <c r="KVL42" s="1046">
        <f>KVL38+((KVL40+'NF - 5 Power Mix'!KVL14+'NF - 5 Power Mix'!KVL15)*860/10)+((('Form Sa1'!KVO835)*860)/10)+('Form Sa1'!KVO814*'Form Sa1'!KVO816/10)-'NF - 5 Power Mix'!KVL21-'NF - 5 Power Mix'!KVL22</f>
        <v>0</v>
      </c>
      <c r="KVM42" s="1046">
        <f>KVM38+((KVM40+'NF - 5 Power Mix'!KVM14+'NF - 5 Power Mix'!KVM15)*860/10)+((('Form Sa1'!KVP835)*860)/10)+('Form Sa1'!KVP814*'Form Sa1'!KVP816/10)-'NF - 5 Power Mix'!KVM21-'NF - 5 Power Mix'!KVM22</f>
        <v>0</v>
      </c>
      <c r="KVN42" s="1046">
        <f>KVN38+((KVN40+'NF - 5 Power Mix'!KVN14+'NF - 5 Power Mix'!KVN15)*860/10)+((('Form Sa1'!KVQ835)*860)/10)+('Form Sa1'!KVQ814*'Form Sa1'!KVQ816/10)-'NF - 5 Power Mix'!KVN21-'NF - 5 Power Mix'!KVN22</f>
        <v>0</v>
      </c>
      <c r="KVO42" s="1046">
        <f>KVO38+((KVO40+'NF - 5 Power Mix'!KVO14+'NF - 5 Power Mix'!KVO15)*860/10)+((('Form Sa1'!KVR835)*860)/10)+('Form Sa1'!KVR814*'Form Sa1'!KVR816/10)-'NF - 5 Power Mix'!KVO21-'NF - 5 Power Mix'!KVO22</f>
        <v>0</v>
      </c>
      <c r="KVP42" s="1046">
        <f>KVP38+((KVP40+'NF - 5 Power Mix'!KVP14+'NF - 5 Power Mix'!KVP15)*860/10)+((('Form Sa1'!KVS835)*860)/10)+('Form Sa1'!KVS814*'Form Sa1'!KVS816/10)-'NF - 5 Power Mix'!KVP21-'NF - 5 Power Mix'!KVP22</f>
        <v>0</v>
      </c>
      <c r="KVQ42" s="1046">
        <f>KVQ38+((KVQ40+'NF - 5 Power Mix'!KVQ14+'NF - 5 Power Mix'!KVQ15)*860/10)+((('Form Sa1'!KVT835)*860)/10)+('Form Sa1'!KVT814*'Form Sa1'!KVT816/10)-'NF - 5 Power Mix'!KVQ21-'NF - 5 Power Mix'!KVQ22</f>
        <v>0</v>
      </c>
      <c r="KVR42" s="1046">
        <f>KVR38+((KVR40+'NF - 5 Power Mix'!KVR14+'NF - 5 Power Mix'!KVR15)*860/10)+((('Form Sa1'!KVU835)*860)/10)+('Form Sa1'!KVU814*'Form Sa1'!KVU816/10)-'NF - 5 Power Mix'!KVR21-'NF - 5 Power Mix'!KVR22</f>
        <v>0</v>
      </c>
      <c r="KVS42" s="1046">
        <f>KVS38+((KVS40+'NF - 5 Power Mix'!KVS14+'NF - 5 Power Mix'!KVS15)*860/10)+((('Form Sa1'!KVV835)*860)/10)+('Form Sa1'!KVV814*'Form Sa1'!KVV816/10)-'NF - 5 Power Mix'!KVS21-'NF - 5 Power Mix'!KVS22</f>
        <v>0</v>
      </c>
      <c r="KVT42" s="1046">
        <f>KVT38+((KVT40+'NF - 5 Power Mix'!KVT14+'NF - 5 Power Mix'!KVT15)*860/10)+((('Form Sa1'!KVW835)*860)/10)+('Form Sa1'!KVW814*'Form Sa1'!KVW816/10)-'NF - 5 Power Mix'!KVT21-'NF - 5 Power Mix'!KVT22</f>
        <v>0</v>
      </c>
      <c r="KVU42" s="1046">
        <f>KVU38+((KVU40+'NF - 5 Power Mix'!KVU14+'NF - 5 Power Mix'!KVU15)*860/10)+((('Form Sa1'!KVX835)*860)/10)+('Form Sa1'!KVX814*'Form Sa1'!KVX816/10)-'NF - 5 Power Mix'!KVU21-'NF - 5 Power Mix'!KVU22</f>
        <v>0</v>
      </c>
      <c r="KVV42" s="1046">
        <f>KVV38+((KVV40+'NF - 5 Power Mix'!KVV14+'NF - 5 Power Mix'!KVV15)*860/10)+((('Form Sa1'!KVY835)*860)/10)+('Form Sa1'!KVY814*'Form Sa1'!KVY816/10)-'NF - 5 Power Mix'!KVV21-'NF - 5 Power Mix'!KVV22</f>
        <v>0</v>
      </c>
      <c r="KVW42" s="1046">
        <f>KVW38+((KVW40+'NF - 5 Power Mix'!KVW14+'NF - 5 Power Mix'!KVW15)*860/10)+((('Form Sa1'!KVZ835)*860)/10)+('Form Sa1'!KVZ814*'Form Sa1'!KVZ816/10)-'NF - 5 Power Mix'!KVW21-'NF - 5 Power Mix'!KVW22</f>
        <v>0</v>
      </c>
      <c r="KVX42" s="1046">
        <f>KVX38+((KVX40+'NF - 5 Power Mix'!KVX14+'NF - 5 Power Mix'!KVX15)*860/10)+((('Form Sa1'!KWA835)*860)/10)+('Form Sa1'!KWA814*'Form Sa1'!KWA816/10)-'NF - 5 Power Mix'!KVX21-'NF - 5 Power Mix'!KVX22</f>
        <v>0</v>
      </c>
      <c r="KVY42" s="1046">
        <f>KVY38+((KVY40+'NF - 5 Power Mix'!KVY14+'NF - 5 Power Mix'!KVY15)*860/10)+((('Form Sa1'!KWB835)*860)/10)+('Form Sa1'!KWB814*'Form Sa1'!KWB816/10)-'NF - 5 Power Mix'!KVY21-'NF - 5 Power Mix'!KVY22</f>
        <v>0</v>
      </c>
      <c r="KVZ42" s="1046">
        <f>KVZ38+((KVZ40+'NF - 5 Power Mix'!KVZ14+'NF - 5 Power Mix'!KVZ15)*860/10)+((('Form Sa1'!KWC835)*860)/10)+('Form Sa1'!KWC814*'Form Sa1'!KWC816/10)-'NF - 5 Power Mix'!KVZ21-'NF - 5 Power Mix'!KVZ22</f>
        <v>0</v>
      </c>
      <c r="KWA42" s="1046">
        <f>KWA38+((KWA40+'NF - 5 Power Mix'!KWA14+'NF - 5 Power Mix'!KWA15)*860/10)+((('Form Sa1'!KWD835)*860)/10)+('Form Sa1'!KWD814*'Form Sa1'!KWD816/10)-'NF - 5 Power Mix'!KWA21-'NF - 5 Power Mix'!KWA22</f>
        <v>0</v>
      </c>
      <c r="KWB42" s="1046">
        <f>KWB38+((KWB40+'NF - 5 Power Mix'!KWB14+'NF - 5 Power Mix'!KWB15)*860/10)+((('Form Sa1'!KWE835)*860)/10)+('Form Sa1'!KWE814*'Form Sa1'!KWE816/10)-'NF - 5 Power Mix'!KWB21-'NF - 5 Power Mix'!KWB22</f>
        <v>0</v>
      </c>
      <c r="KWC42" s="1046">
        <f>KWC38+((KWC40+'NF - 5 Power Mix'!KWC14+'NF - 5 Power Mix'!KWC15)*860/10)+((('Form Sa1'!KWF835)*860)/10)+('Form Sa1'!KWF814*'Form Sa1'!KWF816/10)-'NF - 5 Power Mix'!KWC21-'NF - 5 Power Mix'!KWC22</f>
        <v>0</v>
      </c>
      <c r="KWD42" s="1046">
        <f>KWD38+((KWD40+'NF - 5 Power Mix'!KWD14+'NF - 5 Power Mix'!KWD15)*860/10)+((('Form Sa1'!KWG835)*860)/10)+('Form Sa1'!KWG814*'Form Sa1'!KWG816/10)-'NF - 5 Power Mix'!KWD21-'NF - 5 Power Mix'!KWD22</f>
        <v>0</v>
      </c>
      <c r="KWE42" s="1046">
        <f>KWE38+((KWE40+'NF - 5 Power Mix'!KWE14+'NF - 5 Power Mix'!KWE15)*860/10)+((('Form Sa1'!KWH835)*860)/10)+('Form Sa1'!KWH814*'Form Sa1'!KWH816/10)-'NF - 5 Power Mix'!KWE21-'NF - 5 Power Mix'!KWE22</f>
        <v>0</v>
      </c>
      <c r="KWF42" s="1046">
        <f>KWF38+((KWF40+'NF - 5 Power Mix'!KWF14+'NF - 5 Power Mix'!KWF15)*860/10)+((('Form Sa1'!KWI835)*860)/10)+('Form Sa1'!KWI814*'Form Sa1'!KWI816/10)-'NF - 5 Power Mix'!KWF21-'NF - 5 Power Mix'!KWF22</f>
        <v>0</v>
      </c>
      <c r="KWG42" s="1046">
        <f>KWG38+((KWG40+'NF - 5 Power Mix'!KWG14+'NF - 5 Power Mix'!KWG15)*860/10)+((('Form Sa1'!KWJ835)*860)/10)+('Form Sa1'!KWJ814*'Form Sa1'!KWJ816/10)-'NF - 5 Power Mix'!KWG21-'NF - 5 Power Mix'!KWG22</f>
        <v>0</v>
      </c>
      <c r="KWH42" s="1046">
        <f>KWH38+((KWH40+'NF - 5 Power Mix'!KWH14+'NF - 5 Power Mix'!KWH15)*860/10)+((('Form Sa1'!KWK835)*860)/10)+('Form Sa1'!KWK814*'Form Sa1'!KWK816/10)-'NF - 5 Power Mix'!KWH21-'NF - 5 Power Mix'!KWH22</f>
        <v>0</v>
      </c>
      <c r="KWI42" s="1046">
        <f>KWI38+((KWI40+'NF - 5 Power Mix'!KWI14+'NF - 5 Power Mix'!KWI15)*860/10)+((('Form Sa1'!KWL835)*860)/10)+('Form Sa1'!KWL814*'Form Sa1'!KWL816/10)-'NF - 5 Power Mix'!KWI21-'NF - 5 Power Mix'!KWI22</f>
        <v>0</v>
      </c>
      <c r="KWJ42" s="1046">
        <f>KWJ38+((KWJ40+'NF - 5 Power Mix'!KWJ14+'NF - 5 Power Mix'!KWJ15)*860/10)+((('Form Sa1'!KWM835)*860)/10)+('Form Sa1'!KWM814*'Form Sa1'!KWM816/10)-'NF - 5 Power Mix'!KWJ21-'NF - 5 Power Mix'!KWJ22</f>
        <v>0</v>
      </c>
      <c r="KWK42" s="1046">
        <f>KWK38+((KWK40+'NF - 5 Power Mix'!KWK14+'NF - 5 Power Mix'!KWK15)*860/10)+((('Form Sa1'!KWN835)*860)/10)+('Form Sa1'!KWN814*'Form Sa1'!KWN816/10)-'NF - 5 Power Mix'!KWK21-'NF - 5 Power Mix'!KWK22</f>
        <v>0</v>
      </c>
      <c r="KWL42" s="1046">
        <f>KWL38+((KWL40+'NF - 5 Power Mix'!KWL14+'NF - 5 Power Mix'!KWL15)*860/10)+((('Form Sa1'!KWO835)*860)/10)+('Form Sa1'!KWO814*'Form Sa1'!KWO816/10)-'NF - 5 Power Mix'!KWL21-'NF - 5 Power Mix'!KWL22</f>
        <v>0</v>
      </c>
      <c r="KWM42" s="1046">
        <f>KWM38+((KWM40+'NF - 5 Power Mix'!KWM14+'NF - 5 Power Mix'!KWM15)*860/10)+((('Form Sa1'!KWP835)*860)/10)+('Form Sa1'!KWP814*'Form Sa1'!KWP816/10)-'NF - 5 Power Mix'!KWM21-'NF - 5 Power Mix'!KWM22</f>
        <v>0</v>
      </c>
      <c r="KWN42" s="1046">
        <f>KWN38+((KWN40+'NF - 5 Power Mix'!KWN14+'NF - 5 Power Mix'!KWN15)*860/10)+((('Form Sa1'!KWQ835)*860)/10)+('Form Sa1'!KWQ814*'Form Sa1'!KWQ816/10)-'NF - 5 Power Mix'!KWN21-'NF - 5 Power Mix'!KWN22</f>
        <v>0</v>
      </c>
      <c r="KWO42" s="1046">
        <f>KWO38+((KWO40+'NF - 5 Power Mix'!KWO14+'NF - 5 Power Mix'!KWO15)*860/10)+((('Form Sa1'!KWR835)*860)/10)+('Form Sa1'!KWR814*'Form Sa1'!KWR816/10)-'NF - 5 Power Mix'!KWO21-'NF - 5 Power Mix'!KWO22</f>
        <v>0</v>
      </c>
      <c r="KWP42" s="1046">
        <f>KWP38+((KWP40+'NF - 5 Power Mix'!KWP14+'NF - 5 Power Mix'!KWP15)*860/10)+((('Form Sa1'!KWS835)*860)/10)+('Form Sa1'!KWS814*'Form Sa1'!KWS816/10)-'NF - 5 Power Mix'!KWP21-'NF - 5 Power Mix'!KWP22</f>
        <v>0</v>
      </c>
      <c r="KWQ42" s="1046">
        <f>KWQ38+((KWQ40+'NF - 5 Power Mix'!KWQ14+'NF - 5 Power Mix'!KWQ15)*860/10)+((('Form Sa1'!KWT835)*860)/10)+('Form Sa1'!KWT814*'Form Sa1'!KWT816/10)-'NF - 5 Power Mix'!KWQ21-'NF - 5 Power Mix'!KWQ22</f>
        <v>0</v>
      </c>
      <c r="KWR42" s="1046">
        <f>KWR38+((KWR40+'NF - 5 Power Mix'!KWR14+'NF - 5 Power Mix'!KWR15)*860/10)+((('Form Sa1'!KWU835)*860)/10)+('Form Sa1'!KWU814*'Form Sa1'!KWU816/10)-'NF - 5 Power Mix'!KWR21-'NF - 5 Power Mix'!KWR22</f>
        <v>0</v>
      </c>
      <c r="KWS42" s="1046">
        <f>KWS38+((KWS40+'NF - 5 Power Mix'!KWS14+'NF - 5 Power Mix'!KWS15)*860/10)+((('Form Sa1'!KWV835)*860)/10)+('Form Sa1'!KWV814*'Form Sa1'!KWV816/10)-'NF - 5 Power Mix'!KWS21-'NF - 5 Power Mix'!KWS22</f>
        <v>0</v>
      </c>
      <c r="KWT42" s="1046">
        <f>KWT38+((KWT40+'NF - 5 Power Mix'!KWT14+'NF - 5 Power Mix'!KWT15)*860/10)+((('Form Sa1'!KWW835)*860)/10)+('Form Sa1'!KWW814*'Form Sa1'!KWW816/10)-'NF - 5 Power Mix'!KWT21-'NF - 5 Power Mix'!KWT22</f>
        <v>0</v>
      </c>
      <c r="KWU42" s="1046">
        <f>KWU38+((KWU40+'NF - 5 Power Mix'!KWU14+'NF - 5 Power Mix'!KWU15)*860/10)+((('Form Sa1'!KWX835)*860)/10)+('Form Sa1'!KWX814*'Form Sa1'!KWX816/10)-'NF - 5 Power Mix'!KWU21-'NF - 5 Power Mix'!KWU22</f>
        <v>0</v>
      </c>
      <c r="KWV42" s="1046">
        <f>KWV38+((KWV40+'NF - 5 Power Mix'!KWV14+'NF - 5 Power Mix'!KWV15)*860/10)+((('Form Sa1'!KWY835)*860)/10)+('Form Sa1'!KWY814*'Form Sa1'!KWY816/10)-'NF - 5 Power Mix'!KWV21-'NF - 5 Power Mix'!KWV22</f>
        <v>0</v>
      </c>
      <c r="KWW42" s="1046">
        <f>KWW38+((KWW40+'NF - 5 Power Mix'!KWW14+'NF - 5 Power Mix'!KWW15)*860/10)+((('Form Sa1'!KWZ835)*860)/10)+('Form Sa1'!KWZ814*'Form Sa1'!KWZ816/10)-'NF - 5 Power Mix'!KWW21-'NF - 5 Power Mix'!KWW22</f>
        <v>0</v>
      </c>
      <c r="KWX42" s="1046">
        <f>KWX38+((KWX40+'NF - 5 Power Mix'!KWX14+'NF - 5 Power Mix'!KWX15)*860/10)+((('Form Sa1'!KXA835)*860)/10)+('Form Sa1'!KXA814*'Form Sa1'!KXA816/10)-'NF - 5 Power Mix'!KWX21-'NF - 5 Power Mix'!KWX22</f>
        <v>0</v>
      </c>
      <c r="KWY42" s="1046">
        <f>KWY38+((KWY40+'NF - 5 Power Mix'!KWY14+'NF - 5 Power Mix'!KWY15)*860/10)+((('Form Sa1'!KXB835)*860)/10)+('Form Sa1'!KXB814*'Form Sa1'!KXB816/10)-'NF - 5 Power Mix'!KWY21-'NF - 5 Power Mix'!KWY22</f>
        <v>0</v>
      </c>
      <c r="KWZ42" s="1046">
        <f>KWZ38+((KWZ40+'NF - 5 Power Mix'!KWZ14+'NF - 5 Power Mix'!KWZ15)*860/10)+((('Form Sa1'!KXC835)*860)/10)+('Form Sa1'!KXC814*'Form Sa1'!KXC816/10)-'NF - 5 Power Mix'!KWZ21-'NF - 5 Power Mix'!KWZ22</f>
        <v>0</v>
      </c>
      <c r="KXA42" s="1046">
        <f>KXA38+((KXA40+'NF - 5 Power Mix'!KXA14+'NF - 5 Power Mix'!KXA15)*860/10)+((('Form Sa1'!KXD835)*860)/10)+('Form Sa1'!KXD814*'Form Sa1'!KXD816/10)-'NF - 5 Power Mix'!KXA21-'NF - 5 Power Mix'!KXA22</f>
        <v>0</v>
      </c>
      <c r="KXB42" s="1046">
        <f>KXB38+((KXB40+'NF - 5 Power Mix'!KXB14+'NF - 5 Power Mix'!KXB15)*860/10)+((('Form Sa1'!KXE835)*860)/10)+('Form Sa1'!KXE814*'Form Sa1'!KXE816/10)-'NF - 5 Power Mix'!KXB21-'NF - 5 Power Mix'!KXB22</f>
        <v>0</v>
      </c>
      <c r="KXC42" s="1046">
        <f>KXC38+((KXC40+'NF - 5 Power Mix'!KXC14+'NF - 5 Power Mix'!KXC15)*860/10)+((('Form Sa1'!KXF835)*860)/10)+('Form Sa1'!KXF814*'Form Sa1'!KXF816/10)-'NF - 5 Power Mix'!KXC21-'NF - 5 Power Mix'!KXC22</f>
        <v>0</v>
      </c>
      <c r="KXD42" s="1046">
        <f>KXD38+((KXD40+'NF - 5 Power Mix'!KXD14+'NF - 5 Power Mix'!KXD15)*860/10)+((('Form Sa1'!KXG835)*860)/10)+('Form Sa1'!KXG814*'Form Sa1'!KXG816/10)-'NF - 5 Power Mix'!KXD21-'NF - 5 Power Mix'!KXD22</f>
        <v>0</v>
      </c>
      <c r="KXE42" s="1046">
        <f>KXE38+((KXE40+'NF - 5 Power Mix'!KXE14+'NF - 5 Power Mix'!KXE15)*860/10)+((('Form Sa1'!KXH835)*860)/10)+('Form Sa1'!KXH814*'Form Sa1'!KXH816/10)-'NF - 5 Power Mix'!KXE21-'NF - 5 Power Mix'!KXE22</f>
        <v>0</v>
      </c>
      <c r="KXF42" s="1046">
        <f>KXF38+((KXF40+'NF - 5 Power Mix'!KXF14+'NF - 5 Power Mix'!KXF15)*860/10)+((('Form Sa1'!KXI835)*860)/10)+('Form Sa1'!KXI814*'Form Sa1'!KXI816/10)-'NF - 5 Power Mix'!KXF21-'NF - 5 Power Mix'!KXF22</f>
        <v>0</v>
      </c>
      <c r="KXG42" s="1046">
        <f>KXG38+((KXG40+'NF - 5 Power Mix'!KXG14+'NF - 5 Power Mix'!KXG15)*860/10)+((('Form Sa1'!KXJ835)*860)/10)+('Form Sa1'!KXJ814*'Form Sa1'!KXJ816/10)-'NF - 5 Power Mix'!KXG21-'NF - 5 Power Mix'!KXG22</f>
        <v>0</v>
      </c>
      <c r="KXH42" s="1046">
        <f>KXH38+((KXH40+'NF - 5 Power Mix'!KXH14+'NF - 5 Power Mix'!KXH15)*860/10)+((('Form Sa1'!KXK835)*860)/10)+('Form Sa1'!KXK814*'Form Sa1'!KXK816/10)-'NF - 5 Power Mix'!KXH21-'NF - 5 Power Mix'!KXH22</f>
        <v>0</v>
      </c>
      <c r="KXI42" s="1046">
        <f>KXI38+((KXI40+'NF - 5 Power Mix'!KXI14+'NF - 5 Power Mix'!KXI15)*860/10)+((('Form Sa1'!KXL835)*860)/10)+('Form Sa1'!KXL814*'Form Sa1'!KXL816/10)-'NF - 5 Power Mix'!KXI21-'NF - 5 Power Mix'!KXI22</f>
        <v>0</v>
      </c>
      <c r="KXJ42" s="1046">
        <f>KXJ38+((KXJ40+'NF - 5 Power Mix'!KXJ14+'NF - 5 Power Mix'!KXJ15)*860/10)+((('Form Sa1'!KXM835)*860)/10)+('Form Sa1'!KXM814*'Form Sa1'!KXM816/10)-'NF - 5 Power Mix'!KXJ21-'NF - 5 Power Mix'!KXJ22</f>
        <v>0</v>
      </c>
      <c r="KXK42" s="1046">
        <f>KXK38+((KXK40+'NF - 5 Power Mix'!KXK14+'NF - 5 Power Mix'!KXK15)*860/10)+((('Form Sa1'!KXN835)*860)/10)+('Form Sa1'!KXN814*'Form Sa1'!KXN816/10)-'NF - 5 Power Mix'!KXK21-'NF - 5 Power Mix'!KXK22</f>
        <v>0</v>
      </c>
      <c r="KXL42" s="1046">
        <f>KXL38+((KXL40+'NF - 5 Power Mix'!KXL14+'NF - 5 Power Mix'!KXL15)*860/10)+((('Form Sa1'!KXO835)*860)/10)+('Form Sa1'!KXO814*'Form Sa1'!KXO816/10)-'NF - 5 Power Mix'!KXL21-'NF - 5 Power Mix'!KXL22</f>
        <v>0</v>
      </c>
      <c r="KXM42" s="1046">
        <f>KXM38+((KXM40+'NF - 5 Power Mix'!KXM14+'NF - 5 Power Mix'!KXM15)*860/10)+((('Form Sa1'!KXP835)*860)/10)+('Form Sa1'!KXP814*'Form Sa1'!KXP816/10)-'NF - 5 Power Mix'!KXM21-'NF - 5 Power Mix'!KXM22</f>
        <v>0</v>
      </c>
      <c r="KXN42" s="1046">
        <f>KXN38+((KXN40+'NF - 5 Power Mix'!KXN14+'NF - 5 Power Mix'!KXN15)*860/10)+((('Form Sa1'!KXQ835)*860)/10)+('Form Sa1'!KXQ814*'Form Sa1'!KXQ816/10)-'NF - 5 Power Mix'!KXN21-'NF - 5 Power Mix'!KXN22</f>
        <v>0</v>
      </c>
      <c r="KXO42" s="1046">
        <f>KXO38+((KXO40+'NF - 5 Power Mix'!KXO14+'NF - 5 Power Mix'!KXO15)*860/10)+((('Form Sa1'!KXR835)*860)/10)+('Form Sa1'!KXR814*'Form Sa1'!KXR816/10)-'NF - 5 Power Mix'!KXO21-'NF - 5 Power Mix'!KXO22</f>
        <v>0</v>
      </c>
      <c r="KXP42" s="1046">
        <f>KXP38+((KXP40+'NF - 5 Power Mix'!KXP14+'NF - 5 Power Mix'!KXP15)*860/10)+((('Form Sa1'!KXS835)*860)/10)+('Form Sa1'!KXS814*'Form Sa1'!KXS816/10)-'NF - 5 Power Mix'!KXP21-'NF - 5 Power Mix'!KXP22</f>
        <v>0</v>
      </c>
      <c r="KXQ42" s="1046">
        <f>KXQ38+((KXQ40+'NF - 5 Power Mix'!KXQ14+'NF - 5 Power Mix'!KXQ15)*860/10)+((('Form Sa1'!KXT835)*860)/10)+('Form Sa1'!KXT814*'Form Sa1'!KXT816/10)-'NF - 5 Power Mix'!KXQ21-'NF - 5 Power Mix'!KXQ22</f>
        <v>0</v>
      </c>
      <c r="KXR42" s="1046">
        <f>KXR38+((KXR40+'NF - 5 Power Mix'!KXR14+'NF - 5 Power Mix'!KXR15)*860/10)+((('Form Sa1'!KXU835)*860)/10)+('Form Sa1'!KXU814*'Form Sa1'!KXU816/10)-'NF - 5 Power Mix'!KXR21-'NF - 5 Power Mix'!KXR22</f>
        <v>0</v>
      </c>
      <c r="KXS42" s="1046">
        <f>KXS38+((KXS40+'NF - 5 Power Mix'!KXS14+'NF - 5 Power Mix'!KXS15)*860/10)+((('Form Sa1'!KXV835)*860)/10)+('Form Sa1'!KXV814*'Form Sa1'!KXV816/10)-'NF - 5 Power Mix'!KXS21-'NF - 5 Power Mix'!KXS22</f>
        <v>0</v>
      </c>
      <c r="KXT42" s="1046">
        <f>KXT38+((KXT40+'NF - 5 Power Mix'!KXT14+'NF - 5 Power Mix'!KXT15)*860/10)+((('Form Sa1'!KXW835)*860)/10)+('Form Sa1'!KXW814*'Form Sa1'!KXW816/10)-'NF - 5 Power Mix'!KXT21-'NF - 5 Power Mix'!KXT22</f>
        <v>0</v>
      </c>
      <c r="KXU42" s="1046">
        <f>KXU38+((KXU40+'NF - 5 Power Mix'!KXU14+'NF - 5 Power Mix'!KXU15)*860/10)+((('Form Sa1'!KXX835)*860)/10)+('Form Sa1'!KXX814*'Form Sa1'!KXX816/10)-'NF - 5 Power Mix'!KXU21-'NF - 5 Power Mix'!KXU22</f>
        <v>0</v>
      </c>
      <c r="KXV42" s="1046">
        <f>KXV38+((KXV40+'NF - 5 Power Mix'!KXV14+'NF - 5 Power Mix'!KXV15)*860/10)+((('Form Sa1'!KXY835)*860)/10)+('Form Sa1'!KXY814*'Form Sa1'!KXY816/10)-'NF - 5 Power Mix'!KXV21-'NF - 5 Power Mix'!KXV22</f>
        <v>0</v>
      </c>
      <c r="KXW42" s="1046">
        <f>KXW38+((KXW40+'NF - 5 Power Mix'!KXW14+'NF - 5 Power Mix'!KXW15)*860/10)+((('Form Sa1'!KXZ835)*860)/10)+('Form Sa1'!KXZ814*'Form Sa1'!KXZ816/10)-'NF - 5 Power Mix'!KXW21-'NF - 5 Power Mix'!KXW22</f>
        <v>0</v>
      </c>
      <c r="KXX42" s="1046">
        <f>KXX38+((KXX40+'NF - 5 Power Mix'!KXX14+'NF - 5 Power Mix'!KXX15)*860/10)+((('Form Sa1'!KYA835)*860)/10)+('Form Sa1'!KYA814*'Form Sa1'!KYA816/10)-'NF - 5 Power Mix'!KXX21-'NF - 5 Power Mix'!KXX22</f>
        <v>0</v>
      </c>
      <c r="KXY42" s="1046">
        <f>KXY38+((KXY40+'NF - 5 Power Mix'!KXY14+'NF - 5 Power Mix'!KXY15)*860/10)+((('Form Sa1'!KYB835)*860)/10)+('Form Sa1'!KYB814*'Form Sa1'!KYB816/10)-'NF - 5 Power Mix'!KXY21-'NF - 5 Power Mix'!KXY22</f>
        <v>0</v>
      </c>
      <c r="KXZ42" s="1046">
        <f>KXZ38+((KXZ40+'NF - 5 Power Mix'!KXZ14+'NF - 5 Power Mix'!KXZ15)*860/10)+((('Form Sa1'!KYC835)*860)/10)+('Form Sa1'!KYC814*'Form Sa1'!KYC816/10)-'NF - 5 Power Mix'!KXZ21-'NF - 5 Power Mix'!KXZ22</f>
        <v>0</v>
      </c>
      <c r="KYA42" s="1046">
        <f>KYA38+((KYA40+'NF - 5 Power Mix'!KYA14+'NF - 5 Power Mix'!KYA15)*860/10)+((('Form Sa1'!KYD835)*860)/10)+('Form Sa1'!KYD814*'Form Sa1'!KYD816/10)-'NF - 5 Power Mix'!KYA21-'NF - 5 Power Mix'!KYA22</f>
        <v>0</v>
      </c>
      <c r="KYB42" s="1046">
        <f>KYB38+((KYB40+'NF - 5 Power Mix'!KYB14+'NF - 5 Power Mix'!KYB15)*860/10)+((('Form Sa1'!KYE835)*860)/10)+('Form Sa1'!KYE814*'Form Sa1'!KYE816/10)-'NF - 5 Power Mix'!KYB21-'NF - 5 Power Mix'!KYB22</f>
        <v>0</v>
      </c>
      <c r="KYC42" s="1046">
        <f>KYC38+((KYC40+'NF - 5 Power Mix'!KYC14+'NF - 5 Power Mix'!KYC15)*860/10)+((('Form Sa1'!KYF835)*860)/10)+('Form Sa1'!KYF814*'Form Sa1'!KYF816/10)-'NF - 5 Power Mix'!KYC21-'NF - 5 Power Mix'!KYC22</f>
        <v>0</v>
      </c>
      <c r="KYD42" s="1046">
        <f>KYD38+((KYD40+'NF - 5 Power Mix'!KYD14+'NF - 5 Power Mix'!KYD15)*860/10)+((('Form Sa1'!KYG835)*860)/10)+('Form Sa1'!KYG814*'Form Sa1'!KYG816/10)-'NF - 5 Power Mix'!KYD21-'NF - 5 Power Mix'!KYD22</f>
        <v>0</v>
      </c>
      <c r="KYE42" s="1046">
        <f>KYE38+((KYE40+'NF - 5 Power Mix'!KYE14+'NF - 5 Power Mix'!KYE15)*860/10)+((('Form Sa1'!KYH835)*860)/10)+('Form Sa1'!KYH814*'Form Sa1'!KYH816/10)-'NF - 5 Power Mix'!KYE21-'NF - 5 Power Mix'!KYE22</f>
        <v>0</v>
      </c>
      <c r="KYF42" s="1046">
        <f>KYF38+((KYF40+'NF - 5 Power Mix'!KYF14+'NF - 5 Power Mix'!KYF15)*860/10)+((('Form Sa1'!KYI835)*860)/10)+('Form Sa1'!KYI814*'Form Sa1'!KYI816/10)-'NF - 5 Power Mix'!KYF21-'NF - 5 Power Mix'!KYF22</f>
        <v>0</v>
      </c>
      <c r="KYG42" s="1046">
        <f>KYG38+((KYG40+'NF - 5 Power Mix'!KYG14+'NF - 5 Power Mix'!KYG15)*860/10)+((('Form Sa1'!KYJ835)*860)/10)+('Form Sa1'!KYJ814*'Form Sa1'!KYJ816/10)-'NF - 5 Power Mix'!KYG21-'NF - 5 Power Mix'!KYG22</f>
        <v>0</v>
      </c>
      <c r="KYH42" s="1046">
        <f>KYH38+((KYH40+'NF - 5 Power Mix'!KYH14+'NF - 5 Power Mix'!KYH15)*860/10)+((('Form Sa1'!KYK835)*860)/10)+('Form Sa1'!KYK814*'Form Sa1'!KYK816/10)-'NF - 5 Power Mix'!KYH21-'NF - 5 Power Mix'!KYH22</f>
        <v>0</v>
      </c>
      <c r="KYI42" s="1046">
        <f>KYI38+((KYI40+'NF - 5 Power Mix'!KYI14+'NF - 5 Power Mix'!KYI15)*860/10)+((('Form Sa1'!KYL835)*860)/10)+('Form Sa1'!KYL814*'Form Sa1'!KYL816/10)-'NF - 5 Power Mix'!KYI21-'NF - 5 Power Mix'!KYI22</f>
        <v>0</v>
      </c>
      <c r="KYJ42" s="1046">
        <f>KYJ38+((KYJ40+'NF - 5 Power Mix'!KYJ14+'NF - 5 Power Mix'!KYJ15)*860/10)+((('Form Sa1'!KYM835)*860)/10)+('Form Sa1'!KYM814*'Form Sa1'!KYM816/10)-'NF - 5 Power Mix'!KYJ21-'NF - 5 Power Mix'!KYJ22</f>
        <v>0</v>
      </c>
      <c r="KYK42" s="1046">
        <f>KYK38+((KYK40+'NF - 5 Power Mix'!KYK14+'NF - 5 Power Mix'!KYK15)*860/10)+((('Form Sa1'!KYN835)*860)/10)+('Form Sa1'!KYN814*'Form Sa1'!KYN816/10)-'NF - 5 Power Mix'!KYK21-'NF - 5 Power Mix'!KYK22</f>
        <v>0</v>
      </c>
      <c r="KYL42" s="1046">
        <f>KYL38+((KYL40+'NF - 5 Power Mix'!KYL14+'NF - 5 Power Mix'!KYL15)*860/10)+((('Form Sa1'!KYO835)*860)/10)+('Form Sa1'!KYO814*'Form Sa1'!KYO816/10)-'NF - 5 Power Mix'!KYL21-'NF - 5 Power Mix'!KYL22</f>
        <v>0</v>
      </c>
      <c r="KYM42" s="1046">
        <f>KYM38+((KYM40+'NF - 5 Power Mix'!KYM14+'NF - 5 Power Mix'!KYM15)*860/10)+((('Form Sa1'!KYP835)*860)/10)+('Form Sa1'!KYP814*'Form Sa1'!KYP816/10)-'NF - 5 Power Mix'!KYM21-'NF - 5 Power Mix'!KYM22</f>
        <v>0</v>
      </c>
      <c r="KYN42" s="1046">
        <f>KYN38+((KYN40+'NF - 5 Power Mix'!KYN14+'NF - 5 Power Mix'!KYN15)*860/10)+((('Form Sa1'!KYQ835)*860)/10)+('Form Sa1'!KYQ814*'Form Sa1'!KYQ816/10)-'NF - 5 Power Mix'!KYN21-'NF - 5 Power Mix'!KYN22</f>
        <v>0</v>
      </c>
      <c r="KYO42" s="1046">
        <f>KYO38+((KYO40+'NF - 5 Power Mix'!KYO14+'NF - 5 Power Mix'!KYO15)*860/10)+((('Form Sa1'!KYR835)*860)/10)+('Form Sa1'!KYR814*'Form Sa1'!KYR816/10)-'NF - 5 Power Mix'!KYO21-'NF - 5 Power Mix'!KYO22</f>
        <v>0</v>
      </c>
      <c r="KYP42" s="1046">
        <f>KYP38+((KYP40+'NF - 5 Power Mix'!KYP14+'NF - 5 Power Mix'!KYP15)*860/10)+((('Form Sa1'!KYS835)*860)/10)+('Form Sa1'!KYS814*'Form Sa1'!KYS816/10)-'NF - 5 Power Mix'!KYP21-'NF - 5 Power Mix'!KYP22</f>
        <v>0</v>
      </c>
      <c r="KYQ42" s="1046">
        <f>KYQ38+((KYQ40+'NF - 5 Power Mix'!KYQ14+'NF - 5 Power Mix'!KYQ15)*860/10)+((('Form Sa1'!KYT835)*860)/10)+('Form Sa1'!KYT814*'Form Sa1'!KYT816/10)-'NF - 5 Power Mix'!KYQ21-'NF - 5 Power Mix'!KYQ22</f>
        <v>0</v>
      </c>
      <c r="KYR42" s="1046">
        <f>KYR38+((KYR40+'NF - 5 Power Mix'!KYR14+'NF - 5 Power Mix'!KYR15)*860/10)+((('Form Sa1'!KYU835)*860)/10)+('Form Sa1'!KYU814*'Form Sa1'!KYU816/10)-'NF - 5 Power Mix'!KYR21-'NF - 5 Power Mix'!KYR22</f>
        <v>0</v>
      </c>
      <c r="KYS42" s="1046">
        <f>KYS38+((KYS40+'NF - 5 Power Mix'!KYS14+'NF - 5 Power Mix'!KYS15)*860/10)+((('Form Sa1'!KYV835)*860)/10)+('Form Sa1'!KYV814*'Form Sa1'!KYV816/10)-'NF - 5 Power Mix'!KYS21-'NF - 5 Power Mix'!KYS22</f>
        <v>0</v>
      </c>
      <c r="KYT42" s="1046">
        <f>KYT38+((KYT40+'NF - 5 Power Mix'!KYT14+'NF - 5 Power Mix'!KYT15)*860/10)+((('Form Sa1'!KYW835)*860)/10)+('Form Sa1'!KYW814*'Form Sa1'!KYW816/10)-'NF - 5 Power Mix'!KYT21-'NF - 5 Power Mix'!KYT22</f>
        <v>0</v>
      </c>
      <c r="KYU42" s="1046">
        <f>KYU38+((KYU40+'NF - 5 Power Mix'!KYU14+'NF - 5 Power Mix'!KYU15)*860/10)+((('Form Sa1'!KYX835)*860)/10)+('Form Sa1'!KYX814*'Form Sa1'!KYX816/10)-'NF - 5 Power Mix'!KYU21-'NF - 5 Power Mix'!KYU22</f>
        <v>0</v>
      </c>
      <c r="KYV42" s="1046">
        <f>KYV38+((KYV40+'NF - 5 Power Mix'!KYV14+'NF - 5 Power Mix'!KYV15)*860/10)+((('Form Sa1'!KYY835)*860)/10)+('Form Sa1'!KYY814*'Form Sa1'!KYY816/10)-'NF - 5 Power Mix'!KYV21-'NF - 5 Power Mix'!KYV22</f>
        <v>0</v>
      </c>
      <c r="KYW42" s="1046">
        <f>KYW38+((KYW40+'NF - 5 Power Mix'!KYW14+'NF - 5 Power Mix'!KYW15)*860/10)+((('Form Sa1'!KYZ835)*860)/10)+('Form Sa1'!KYZ814*'Form Sa1'!KYZ816/10)-'NF - 5 Power Mix'!KYW21-'NF - 5 Power Mix'!KYW22</f>
        <v>0</v>
      </c>
      <c r="KYX42" s="1046">
        <f>KYX38+((KYX40+'NF - 5 Power Mix'!KYX14+'NF - 5 Power Mix'!KYX15)*860/10)+((('Form Sa1'!KZA835)*860)/10)+('Form Sa1'!KZA814*'Form Sa1'!KZA816/10)-'NF - 5 Power Mix'!KYX21-'NF - 5 Power Mix'!KYX22</f>
        <v>0</v>
      </c>
      <c r="KYY42" s="1046">
        <f>KYY38+((KYY40+'NF - 5 Power Mix'!KYY14+'NF - 5 Power Mix'!KYY15)*860/10)+((('Form Sa1'!KZB835)*860)/10)+('Form Sa1'!KZB814*'Form Sa1'!KZB816/10)-'NF - 5 Power Mix'!KYY21-'NF - 5 Power Mix'!KYY22</f>
        <v>0</v>
      </c>
      <c r="KYZ42" s="1046">
        <f>KYZ38+((KYZ40+'NF - 5 Power Mix'!KYZ14+'NF - 5 Power Mix'!KYZ15)*860/10)+((('Form Sa1'!KZC835)*860)/10)+('Form Sa1'!KZC814*'Form Sa1'!KZC816/10)-'NF - 5 Power Mix'!KYZ21-'NF - 5 Power Mix'!KYZ22</f>
        <v>0</v>
      </c>
      <c r="KZA42" s="1046">
        <f>KZA38+((KZA40+'NF - 5 Power Mix'!KZA14+'NF - 5 Power Mix'!KZA15)*860/10)+((('Form Sa1'!KZD835)*860)/10)+('Form Sa1'!KZD814*'Form Sa1'!KZD816/10)-'NF - 5 Power Mix'!KZA21-'NF - 5 Power Mix'!KZA22</f>
        <v>0</v>
      </c>
      <c r="KZB42" s="1046">
        <f>KZB38+((KZB40+'NF - 5 Power Mix'!KZB14+'NF - 5 Power Mix'!KZB15)*860/10)+((('Form Sa1'!KZE835)*860)/10)+('Form Sa1'!KZE814*'Form Sa1'!KZE816/10)-'NF - 5 Power Mix'!KZB21-'NF - 5 Power Mix'!KZB22</f>
        <v>0</v>
      </c>
      <c r="KZC42" s="1046">
        <f>KZC38+((KZC40+'NF - 5 Power Mix'!KZC14+'NF - 5 Power Mix'!KZC15)*860/10)+((('Form Sa1'!KZF835)*860)/10)+('Form Sa1'!KZF814*'Form Sa1'!KZF816/10)-'NF - 5 Power Mix'!KZC21-'NF - 5 Power Mix'!KZC22</f>
        <v>0</v>
      </c>
      <c r="KZD42" s="1046">
        <f>KZD38+((KZD40+'NF - 5 Power Mix'!KZD14+'NF - 5 Power Mix'!KZD15)*860/10)+((('Form Sa1'!KZG835)*860)/10)+('Form Sa1'!KZG814*'Form Sa1'!KZG816/10)-'NF - 5 Power Mix'!KZD21-'NF - 5 Power Mix'!KZD22</f>
        <v>0</v>
      </c>
      <c r="KZE42" s="1046">
        <f>KZE38+((KZE40+'NF - 5 Power Mix'!KZE14+'NF - 5 Power Mix'!KZE15)*860/10)+((('Form Sa1'!KZH835)*860)/10)+('Form Sa1'!KZH814*'Form Sa1'!KZH816/10)-'NF - 5 Power Mix'!KZE21-'NF - 5 Power Mix'!KZE22</f>
        <v>0</v>
      </c>
      <c r="KZF42" s="1046">
        <f>KZF38+((KZF40+'NF - 5 Power Mix'!KZF14+'NF - 5 Power Mix'!KZF15)*860/10)+((('Form Sa1'!KZI835)*860)/10)+('Form Sa1'!KZI814*'Form Sa1'!KZI816/10)-'NF - 5 Power Mix'!KZF21-'NF - 5 Power Mix'!KZF22</f>
        <v>0</v>
      </c>
      <c r="KZG42" s="1046">
        <f>KZG38+((KZG40+'NF - 5 Power Mix'!KZG14+'NF - 5 Power Mix'!KZG15)*860/10)+((('Form Sa1'!KZJ835)*860)/10)+('Form Sa1'!KZJ814*'Form Sa1'!KZJ816/10)-'NF - 5 Power Mix'!KZG21-'NF - 5 Power Mix'!KZG22</f>
        <v>0</v>
      </c>
      <c r="KZH42" s="1046">
        <f>KZH38+((KZH40+'NF - 5 Power Mix'!KZH14+'NF - 5 Power Mix'!KZH15)*860/10)+((('Form Sa1'!KZK835)*860)/10)+('Form Sa1'!KZK814*'Form Sa1'!KZK816/10)-'NF - 5 Power Mix'!KZH21-'NF - 5 Power Mix'!KZH22</f>
        <v>0</v>
      </c>
      <c r="KZI42" s="1046">
        <f>KZI38+((KZI40+'NF - 5 Power Mix'!KZI14+'NF - 5 Power Mix'!KZI15)*860/10)+((('Form Sa1'!KZL835)*860)/10)+('Form Sa1'!KZL814*'Form Sa1'!KZL816/10)-'NF - 5 Power Mix'!KZI21-'NF - 5 Power Mix'!KZI22</f>
        <v>0</v>
      </c>
      <c r="KZJ42" s="1046">
        <f>KZJ38+((KZJ40+'NF - 5 Power Mix'!KZJ14+'NF - 5 Power Mix'!KZJ15)*860/10)+((('Form Sa1'!KZM835)*860)/10)+('Form Sa1'!KZM814*'Form Sa1'!KZM816/10)-'NF - 5 Power Mix'!KZJ21-'NF - 5 Power Mix'!KZJ22</f>
        <v>0</v>
      </c>
      <c r="KZK42" s="1046">
        <f>KZK38+((KZK40+'NF - 5 Power Mix'!KZK14+'NF - 5 Power Mix'!KZK15)*860/10)+((('Form Sa1'!KZN835)*860)/10)+('Form Sa1'!KZN814*'Form Sa1'!KZN816/10)-'NF - 5 Power Mix'!KZK21-'NF - 5 Power Mix'!KZK22</f>
        <v>0</v>
      </c>
      <c r="KZL42" s="1046">
        <f>KZL38+((KZL40+'NF - 5 Power Mix'!KZL14+'NF - 5 Power Mix'!KZL15)*860/10)+((('Form Sa1'!KZO835)*860)/10)+('Form Sa1'!KZO814*'Form Sa1'!KZO816/10)-'NF - 5 Power Mix'!KZL21-'NF - 5 Power Mix'!KZL22</f>
        <v>0</v>
      </c>
      <c r="KZM42" s="1046">
        <f>KZM38+((KZM40+'NF - 5 Power Mix'!KZM14+'NF - 5 Power Mix'!KZM15)*860/10)+((('Form Sa1'!KZP835)*860)/10)+('Form Sa1'!KZP814*'Form Sa1'!KZP816/10)-'NF - 5 Power Mix'!KZM21-'NF - 5 Power Mix'!KZM22</f>
        <v>0</v>
      </c>
      <c r="KZN42" s="1046">
        <f>KZN38+((KZN40+'NF - 5 Power Mix'!KZN14+'NF - 5 Power Mix'!KZN15)*860/10)+((('Form Sa1'!KZQ835)*860)/10)+('Form Sa1'!KZQ814*'Form Sa1'!KZQ816/10)-'NF - 5 Power Mix'!KZN21-'NF - 5 Power Mix'!KZN22</f>
        <v>0</v>
      </c>
      <c r="KZO42" s="1046">
        <f>KZO38+((KZO40+'NF - 5 Power Mix'!KZO14+'NF - 5 Power Mix'!KZO15)*860/10)+((('Form Sa1'!KZR835)*860)/10)+('Form Sa1'!KZR814*'Form Sa1'!KZR816/10)-'NF - 5 Power Mix'!KZO21-'NF - 5 Power Mix'!KZO22</f>
        <v>0</v>
      </c>
      <c r="KZP42" s="1046">
        <f>KZP38+((KZP40+'NF - 5 Power Mix'!KZP14+'NF - 5 Power Mix'!KZP15)*860/10)+((('Form Sa1'!KZS835)*860)/10)+('Form Sa1'!KZS814*'Form Sa1'!KZS816/10)-'NF - 5 Power Mix'!KZP21-'NF - 5 Power Mix'!KZP22</f>
        <v>0</v>
      </c>
      <c r="KZQ42" s="1046">
        <f>KZQ38+((KZQ40+'NF - 5 Power Mix'!KZQ14+'NF - 5 Power Mix'!KZQ15)*860/10)+((('Form Sa1'!KZT835)*860)/10)+('Form Sa1'!KZT814*'Form Sa1'!KZT816/10)-'NF - 5 Power Mix'!KZQ21-'NF - 5 Power Mix'!KZQ22</f>
        <v>0</v>
      </c>
      <c r="KZR42" s="1046">
        <f>KZR38+((KZR40+'NF - 5 Power Mix'!KZR14+'NF - 5 Power Mix'!KZR15)*860/10)+((('Form Sa1'!KZU835)*860)/10)+('Form Sa1'!KZU814*'Form Sa1'!KZU816/10)-'NF - 5 Power Mix'!KZR21-'NF - 5 Power Mix'!KZR22</f>
        <v>0</v>
      </c>
      <c r="KZS42" s="1046">
        <f>KZS38+((KZS40+'NF - 5 Power Mix'!KZS14+'NF - 5 Power Mix'!KZS15)*860/10)+((('Form Sa1'!KZV835)*860)/10)+('Form Sa1'!KZV814*'Form Sa1'!KZV816/10)-'NF - 5 Power Mix'!KZS21-'NF - 5 Power Mix'!KZS22</f>
        <v>0</v>
      </c>
      <c r="KZT42" s="1046">
        <f>KZT38+((KZT40+'NF - 5 Power Mix'!KZT14+'NF - 5 Power Mix'!KZT15)*860/10)+((('Form Sa1'!KZW835)*860)/10)+('Form Sa1'!KZW814*'Form Sa1'!KZW816/10)-'NF - 5 Power Mix'!KZT21-'NF - 5 Power Mix'!KZT22</f>
        <v>0</v>
      </c>
      <c r="KZU42" s="1046">
        <f>KZU38+((KZU40+'NF - 5 Power Mix'!KZU14+'NF - 5 Power Mix'!KZU15)*860/10)+((('Form Sa1'!KZX835)*860)/10)+('Form Sa1'!KZX814*'Form Sa1'!KZX816/10)-'NF - 5 Power Mix'!KZU21-'NF - 5 Power Mix'!KZU22</f>
        <v>0</v>
      </c>
      <c r="KZV42" s="1046">
        <f>KZV38+((KZV40+'NF - 5 Power Mix'!KZV14+'NF - 5 Power Mix'!KZV15)*860/10)+((('Form Sa1'!KZY835)*860)/10)+('Form Sa1'!KZY814*'Form Sa1'!KZY816/10)-'NF - 5 Power Mix'!KZV21-'NF - 5 Power Mix'!KZV22</f>
        <v>0</v>
      </c>
      <c r="KZW42" s="1046">
        <f>KZW38+((KZW40+'NF - 5 Power Mix'!KZW14+'NF - 5 Power Mix'!KZW15)*860/10)+((('Form Sa1'!KZZ835)*860)/10)+('Form Sa1'!KZZ814*'Form Sa1'!KZZ816/10)-'NF - 5 Power Mix'!KZW21-'NF - 5 Power Mix'!KZW22</f>
        <v>0</v>
      </c>
      <c r="KZX42" s="1046">
        <f>KZX38+((KZX40+'NF - 5 Power Mix'!KZX14+'NF - 5 Power Mix'!KZX15)*860/10)+((('Form Sa1'!LAA835)*860)/10)+('Form Sa1'!LAA814*'Form Sa1'!LAA816/10)-'NF - 5 Power Mix'!KZX21-'NF - 5 Power Mix'!KZX22</f>
        <v>0</v>
      </c>
      <c r="KZY42" s="1046">
        <f>KZY38+((KZY40+'NF - 5 Power Mix'!KZY14+'NF - 5 Power Mix'!KZY15)*860/10)+((('Form Sa1'!LAB835)*860)/10)+('Form Sa1'!LAB814*'Form Sa1'!LAB816/10)-'NF - 5 Power Mix'!KZY21-'NF - 5 Power Mix'!KZY22</f>
        <v>0</v>
      </c>
      <c r="KZZ42" s="1046">
        <f>KZZ38+((KZZ40+'NF - 5 Power Mix'!KZZ14+'NF - 5 Power Mix'!KZZ15)*860/10)+((('Form Sa1'!LAC835)*860)/10)+('Form Sa1'!LAC814*'Form Sa1'!LAC816/10)-'NF - 5 Power Mix'!KZZ21-'NF - 5 Power Mix'!KZZ22</f>
        <v>0</v>
      </c>
      <c r="LAA42" s="1046">
        <f>LAA38+((LAA40+'NF - 5 Power Mix'!LAA14+'NF - 5 Power Mix'!LAA15)*860/10)+((('Form Sa1'!LAD835)*860)/10)+('Form Sa1'!LAD814*'Form Sa1'!LAD816/10)-'NF - 5 Power Mix'!LAA21-'NF - 5 Power Mix'!LAA22</f>
        <v>0</v>
      </c>
      <c r="LAB42" s="1046">
        <f>LAB38+((LAB40+'NF - 5 Power Mix'!LAB14+'NF - 5 Power Mix'!LAB15)*860/10)+((('Form Sa1'!LAE835)*860)/10)+('Form Sa1'!LAE814*'Form Sa1'!LAE816/10)-'NF - 5 Power Mix'!LAB21-'NF - 5 Power Mix'!LAB22</f>
        <v>0</v>
      </c>
      <c r="LAC42" s="1046">
        <f>LAC38+((LAC40+'NF - 5 Power Mix'!LAC14+'NF - 5 Power Mix'!LAC15)*860/10)+((('Form Sa1'!LAF835)*860)/10)+('Form Sa1'!LAF814*'Form Sa1'!LAF816/10)-'NF - 5 Power Mix'!LAC21-'NF - 5 Power Mix'!LAC22</f>
        <v>0</v>
      </c>
      <c r="LAD42" s="1046">
        <f>LAD38+((LAD40+'NF - 5 Power Mix'!LAD14+'NF - 5 Power Mix'!LAD15)*860/10)+((('Form Sa1'!LAG835)*860)/10)+('Form Sa1'!LAG814*'Form Sa1'!LAG816/10)-'NF - 5 Power Mix'!LAD21-'NF - 5 Power Mix'!LAD22</f>
        <v>0</v>
      </c>
      <c r="LAE42" s="1046">
        <f>LAE38+((LAE40+'NF - 5 Power Mix'!LAE14+'NF - 5 Power Mix'!LAE15)*860/10)+((('Form Sa1'!LAH835)*860)/10)+('Form Sa1'!LAH814*'Form Sa1'!LAH816/10)-'NF - 5 Power Mix'!LAE21-'NF - 5 Power Mix'!LAE22</f>
        <v>0</v>
      </c>
      <c r="LAF42" s="1046">
        <f>LAF38+((LAF40+'NF - 5 Power Mix'!LAF14+'NF - 5 Power Mix'!LAF15)*860/10)+((('Form Sa1'!LAI835)*860)/10)+('Form Sa1'!LAI814*'Form Sa1'!LAI816/10)-'NF - 5 Power Mix'!LAF21-'NF - 5 Power Mix'!LAF22</f>
        <v>0</v>
      </c>
      <c r="LAG42" s="1046">
        <f>LAG38+((LAG40+'NF - 5 Power Mix'!LAG14+'NF - 5 Power Mix'!LAG15)*860/10)+((('Form Sa1'!LAJ835)*860)/10)+('Form Sa1'!LAJ814*'Form Sa1'!LAJ816/10)-'NF - 5 Power Mix'!LAG21-'NF - 5 Power Mix'!LAG22</f>
        <v>0</v>
      </c>
      <c r="LAH42" s="1046">
        <f>LAH38+((LAH40+'NF - 5 Power Mix'!LAH14+'NF - 5 Power Mix'!LAH15)*860/10)+((('Form Sa1'!LAK835)*860)/10)+('Form Sa1'!LAK814*'Form Sa1'!LAK816/10)-'NF - 5 Power Mix'!LAH21-'NF - 5 Power Mix'!LAH22</f>
        <v>0</v>
      </c>
      <c r="LAI42" s="1046">
        <f>LAI38+((LAI40+'NF - 5 Power Mix'!LAI14+'NF - 5 Power Mix'!LAI15)*860/10)+((('Form Sa1'!LAL835)*860)/10)+('Form Sa1'!LAL814*'Form Sa1'!LAL816/10)-'NF - 5 Power Mix'!LAI21-'NF - 5 Power Mix'!LAI22</f>
        <v>0</v>
      </c>
      <c r="LAJ42" s="1046">
        <f>LAJ38+((LAJ40+'NF - 5 Power Mix'!LAJ14+'NF - 5 Power Mix'!LAJ15)*860/10)+((('Form Sa1'!LAM835)*860)/10)+('Form Sa1'!LAM814*'Form Sa1'!LAM816/10)-'NF - 5 Power Mix'!LAJ21-'NF - 5 Power Mix'!LAJ22</f>
        <v>0</v>
      </c>
      <c r="LAK42" s="1046">
        <f>LAK38+((LAK40+'NF - 5 Power Mix'!LAK14+'NF - 5 Power Mix'!LAK15)*860/10)+((('Form Sa1'!LAN835)*860)/10)+('Form Sa1'!LAN814*'Form Sa1'!LAN816/10)-'NF - 5 Power Mix'!LAK21-'NF - 5 Power Mix'!LAK22</f>
        <v>0</v>
      </c>
      <c r="LAL42" s="1046">
        <f>LAL38+((LAL40+'NF - 5 Power Mix'!LAL14+'NF - 5 Power Mix'!LAL15)*860/10)+((('Form Sa1'!LAO835)*860)/10)+('Form Sa1'!LAO814*'Form Sa1'!LAO816/10)-'NF - 5 Power Mix'!LAL21-'NF - 5 Power Mix'!LAL22</f>
        <v>0</v>
      </c>
      <c r="LAM42" s="1046">
        <f>LAM38+((LAM40+'NF - 5 Power Mix'!LAM14+'NF - 5 Power Mix'!LAM15)*860/10)+((('Form Sa1'!LAP835)*860)/10)+('Form Sa1'!LAP814*'Form Sa1'!LAP816/10)-'NF - 5 Power Mix'!LAM21-'NF - 5 Power Mix'!LAM22</f>
        <v>0</v>
      </c>
      <c r="LAN42" s="1046">
        <f>LAN38+((LAN40+'NF - 5 Power Mix'!LAN14+'NF - 5 Power Mix'!LAN15)*860/10)+((('Form Sa1'!LAQ835)*860)/10)+('Form Sa1'!LAQ814*'Form Sa1'!LAQ816/10)-'NF - 5 Power Mix'!LAN21-'NF - 5 Power Mix'!LAN22</f>
        <v>0</v>
      </c>
      <c r="LAO42" s="1046">
        <f>LAO38+((LAO40+'NF - 5 Power Mix'!LAO14+'NF - 5 Power Mix'!LAO15)*860/10)+((('Form Sa1'!LAR835)*860)/10)+('Form Sa1'!LAR814*'Form Sa1'!LAR816/10)-'NF - 5 Power Mix'!LAO21-'NF - 5 Power Mix'!LAO22</f>
        <v>0</v>
      </c>
      <c r="LAP42" s="1046">
        <f>LAP38+((LAP40+'NF - 5 Power Mix'!LAP14+'NF - 5 Power Mix'!LAP15)*860/10)+((('Form Sa1'!LAS835)*860)/10)+('Form Sa1'!LAS814*'Form Sa1'!LAS816/10)-'NF - 5 Power Mix'!LAP21-'NF - 5 Power Mix'!LAP22</f>
        <v>0</v>
      </c>
      <c r="LAQ42" s="1046">
        <f>LAQ38+((LAQ40+'NF - 5 Power Mix'!LAQ14+'NF - 5 Power Mix'!LAQ15)*860/10)+((('Form Sa1'!LAT835)*860)/10)+('Form Sa1'!LAT814*'Form Sa1'!LAT816/10)-'NF - 5 Power Mix'!LAQ21-'NF - 5 Power Mix'!LAQ22</f>
        <v>0</v>
      </c>
      <c r="LAR42" s="1046">
        <f>LAR38+((LAR40+'NF - 5 Power Mix'!LAR14+'NF - 5 Power Mix'!LAR15)*860/10)+((('Form Sa1'!LAU835)*860)/10)+('Form Sa1'!LAU814*'Form Sa1'!LAU816/10)-'NF - 5 Power Mix'!LAR21-'NF - 5 Power Mix'!LAR22</f>
        <v>0</v>
      </c>
      <c r="LAS42" s="1046">
        <f>LAS38+((LAS40+'NF - 5 Power Mix'!LAS14+'NF - 5 Power Mix'!LAS15)*860/10)+((('Form Sa1'!LAV835)*860)/10)+('Form Sa1'!LAV814*'Form Sa1'!LAV816/10)-'NF - 5 Power Mix'!LAS21-'NF - 5 Power Mix'!LAS22</f>
        <v>0</v>
      </c>
      <c r="LAT42" s="1046">
        <f>LAT38+((LAT40+'NF - 5 Power Mix'!LAT14+'NF - 5 Power Mix'!LAT15)*860/10)+((('Form Sa1'!LAW835)*860)/10)+('Form Sa1'!LAW814*'Form Sa1'!LAW816/10)-'NF - 5 Power Mix'!LAT21-'NF - 5 Power Mix'!LAT22</f>
        <v>0</v>
      </c>
      <c r="LAU42" s="1046">
        <f>LAU38+((LAU40+'NF - 5 Power Mix'!LAU14+'NF - 5 Power Mix'!LAU15)*860/10)+((('Form Sa1'!LAX835)*860)/10)+('Form Sa1'!LAX814*'Form Sa1'!LAX816/10)-'NF - 5 Power Mix'!LAU21-'NF - 5 Power Mix'!LAU22</f>
        <v>0</v>
      </c>
      <c r="LAV42" s="1046">
        <f>LAV38+((LAV40+'NF - 5 Power Mix'!LAV14+'NF - 5 Power Mix'!LAV15)*860/10)+((('Form Sa1'!LAY835)*860)/10)+('Form Sa1'!LAY814*'Form Sa1'!LAY816/10)-'NF - 5 Power Mix'!LAV21-'NF - 5 Power Mix'!LAV22</f>
        <v>0</v>
      </c>
      <c r="LAW42" s="1046">
        <f>LAW38+((LAW40+'NF - 5 Power Mix'!LAW14+'NF - 5 Power Mix'!LAW15)*860/10)+((('Form Sa1'!LAZ835)*860)/10)+('Form Sa1'!LAZ814*'Form Sa1'!LAZ816/10)-'NF - 5 Power Mix'!LAW21-'NF - 5 Power Mix'!LAW22</f>
        <v>0</v>
      </c>
      <c r="LAX42" s="1046">
        <f>LAX38+((LAX40+'NF - 5 Power Mix'!LAX14+'NF - 5 Power Mix'!LAX15)*860/10)+((('Form Sa1'!LBA835)*860)/10)+('Form Sa1'!LBA814*'Form Sa1'!LBA816/10)-'NF - 5 Power Mix'!LAX21-'NF - 5 Power Mix'!LAX22</f>
        <v>0</v>
      </c>
      <c r="LAY42" s="1046">
        <f>LAY38+((LAY40+'NF - 5 Power Mix'!LAY14+'NF - 5 Power Mix'!LAY15)*860/10)+((('Form Sa1'!LBB835)*860)/10)+('Form Sa1'!LBB814*'Form Sa1'!LBB816/10)-'NF - 5 Power Mix'!LAY21-'NF - 5 Power Mix'!LAY22</f>
        <v>0</v>
      </c>
      <c r="LAZ42" s="1046">
        <f>LAZ38+((LAZ40+'NF - 5 Power Mix'!LAZ14+'NF - 5 Power Mix'!LAZ15)*860/10)+((('Form Sa1'!LBC835)*860)/10)+('Form Sa1'!LBC814*'Form Sa1'!LBC816/10)-'NF - 5 Power Mix'!LAZ21-'NF - 5 Power Mix'!LAZ22</f>
        <v>0</v>
      </c>
      <c r="LBA42" s="1046">
        <f>LBA38+((LBA40+'NF - 5 Power Mix'!LBA14+'NF - 5 Power Mix'!LBA15)*860/10)+((('Form Sa1'!LBD835)*860)/10)+('Form Sa1'!LBD814*'Form Sa1'!LBD816/10)-'NF - 5 Power Mix'!LBA21-'NF - 5 Power Mix'!LBA22</f>
        <v>0</v>
      </c>
      <c r="LBB42" s="1046">
        <f>LBB38+((LBB40+'NF - 5 Power Mix'!LBB14+'NF - 5 Power Mix'!LBB15)*860/10)+((('Form Sa1'!LBE835)*860)/10)+('Form Sa1'!LBE814*'Form Sa1'!LBE816/10)-'NF - 5 Power Mix'!LBB21-'NF - 5 Power Mix'!LBB22</f>
        <v>0</v>
      </c>
      <c r="LBC42" s="1046">
        <f>LBC38+((LBC40+'NF - 5 Power Mix'!LBC14+'NF - 5 Power Mix'!LBC15)*860/10)+((('Form Sa1'!LBF835)*860)/10)+('Form Sa1'!LBF814*'Form Sa1'!LBF816/10)-'NF - 5 Power Mix'!LBC21-'NF - 5 Power Mix'!LBC22</f>
        <v>0</v>
      </c>
      <c r="LBD42" s="1046">
        <f>LBD38+((LBD40+'NF - 5 Power Mix'!LBD14+'NF - 5 Power Mix'!LBD15)*860/10)+((('Form Sa1'!LBG835)*860)/10)+('Form Sa1'!LBG814*'Form Sa1'!LBG816/10)-'NF - 5 Power Mix'!LBD21-'NF - 5 Power Mix'!LBD22</f>
        <v>0</v>
      </c>
      <c r="LBE42" s="1046">
        <f>LBE38+((LBE40+'NF - 5 Power Mix'!LBE14+'NF - 5 Power Mix'!LBE15)*860/10)+((('Form Sa1'!LBH835)*860)/10)+('Form Sa1'!LBH814*'Form Sa1'!LBH816/10)-'NF - 5 Power Mix'!LBE21-'NF - 5 Power Mix'!LBE22</f>
        <v>0</v>
      </c>
      <c r="LBF42" s="1046">
        <f>LBF38+((LBF40+'NF - 5 Power Mix'!LBF14+'NF - 5 Power Mix'!LBF15)*860/10)+((('Form Sa1'!LBI835)*860)/10)+('Form Sa1'!LBI814*'Form Sa1'!LBI816/10)-'NF - 5 Power Mix'!LBF21-'NF - 5 Power Mix'!LBF22</f>
        <v>0</v>
      </c>
      <c r="LBG42" s="1046">
        <f>LBG38+((LBG40+'NF - 5 Power Mix'!LBG14+'NF - 5 Power Mix'!LBG15)*860/10)+((('Form Sa1'!LBJ835)*860)/10)+('Form Sa1'!LBJ814*'Form Sa1'!LBJ816/10)-'NF - 5 Power Mix'!LBG21-'NF - 5 Power Mix'!LBG22</f>
        <v>0</v>
      </c>
      <c r="LBH42" s="1046">
        <f>LBH38+((LBH40+'NF - 5 Power Mix'!LBH14+'NF - 5 Power Mix'!LBH15)*860/10)+((('Form Sa1'!LBK835)*860)/10)+('Form Sa1'!LBK814*'Form Sa1'!LBK816/10)-'NF - 5 Power Mix'!LBH21-'NF - 5 Power Mix'!LBH22</f>
        <v>0</v>
      </c>
      <c r="LBI42" s="1046">
        <f>LBI38+((LBI40+'NF - 5 Power Mix'!LBI14+'NF - 5 Power Mix'!LBI15)*860/10)+((('Form Sa1'!LBL835)*860)/10)+('Form Sa1'!LBL814*'Form Sa1'!LBL816/10)-'NF - 5 Power Mix'!LBI21-'NF - 5 Power Mix'!LBI22</f>
        <v>0</v>
      </c>
      <c r="LBJ42" s="1046">
        <f>LBJ38+((LBJ40+'NF - 5 Power Mix'!LBJ14+'NF - 5 Power Mix'!LBJ15)*860/10)+((('Form Sa1'!LBM835)*860)/10)+('Form Sa1'!LBM814*'Form Sa1'!LBM816/10)-'NF - 5 Power Mix'!LBJ21-'NF - 5 Power Mix'!LBJ22</f>
        <v>0</v>
      </c>
      <c r="LBK42" s="1046">
        <f>LBK38+((LBK40+'NF - 5 Power Mix'!LBK14+'NF - 5 Power Mix'!LBK15)*860/10)+((('Form Sa1'!LBN835)*860)/10)+('Form Sa1'!LBN814*'Form Sa1'!LBN816/10)-'NF - 5 Power Mix'!LBK21-'NF - 5 Power Mix'!LBK22</f>
        <v>0</v>
      </c>
      <c r="LBL42" s="1046">
        <f>LBL38+((LBL40+'NF - 5 Power Mix'!LBL14+'NF - 5 Power Mix'!LBL15)*860/10)+((('Form Sa1'!LBO835)*860)/10)+('Form Sa1'!LBO814*'Form Sa1'!LBO816/10)-'NF - 5 Power Mix'!LBL21-'NF - 5 Power Mix'!LBL22</f>
        <v>0</v>
      </c>
      <c r="LBM42" s="1046">
        <f>LBM38+((LBM40+'NF - 5 Power Mix'!LBM14+'NF - 5 Power Mix'!LBM15)*860/10)+((('Form Sa1'!LBP835)*860)/10)+('Form Sa1'!LBP814*'Form Sa1'!LBP816/10)-'NF - 5 Power Mix'!LBM21-'NF - 5 Power Mix'!LBM22</f>
        <v>0</v>
      </c>
      <c r="LBN42" s="1046">
        <f>LBN38+((LBN40+'NF - 5 Power Mix'!LBN14+'NF - 5 Power Mix'!LBN15)*860/10)+((('Form Sa1'!LBQ835)*860)/10)+('Form Sa1'!LBQ814*'Form Sa1'!LBQ816/10)-'NF - 5 Power Mix'!LBN21-'NF - 5 Power Mix'!LBN22</f>
        <v>0</v>
      </c>
      <c r="LBO42" s="1046">
        <f>LBO38+((LBO40+'NF - 5 Power Mix'!LBO14+'NF - 5 Power Mix'!LBO15)*860/10)+((('Form Sa1'!LBR835)*860)/10)+('Form Sa1'!LBR814*'Form Sa1'!LBR816/10)-'NF - 5 Power Mix'!LBO21-'NF - 5 Power Mix'!LBO22</f>
        <v>0</v>
      </c>
      <c r="LBP42" s="1046">
        <f>LBP38+((LBP40+'NF - 5 Power Mix'!LBP14+'NF - 5 Power Mix'!LBP15)*860/10)+((('Form Sa1'!LBS835)*860)/10)+('Form Sa1'!LBS814*'Form Sa1'!LBS816/10)-'NF - 5 Power Mix'!LBP21-'NF - 5 Power Mix'!LBP22</f>
        <v>0</v>
      </c>
      <c r="LBQ42" s="1046">
        <f>LBQ38+((LBQ40+'NF - 5 Power Mix'!LBQ14+'NF - 5 Power Mix'!LBQ15)*860/10)+((('Form Sa1'!LBT835)*860)/10)+('Form Sa1'!LBT814*'Form Sa1'!LBT816/10)-'NF - 5 Power Mix'!LBQ21-'NF - 5 Power Mix'!LBQ22</f>
        <v>0</v>
      </c>
      <c r="LBR42" s="1046">
        <f>LBR38+((LBR40+'NF - 5 Power Mix'!LBR14+'NF - 5 Power Mix'!LBR15)*860/10)+((('Form Sa1'!LBU835)*860)/10)+('Form Sa1'!LBU814*'Form Sa1'!LBU816/10)-'NF - 5 Power Mix'!LBR21-'NF - 5 Power Mix'!LBR22</f>
        <v>0</v>
      </c>
      <c r="LBS42" s="1046">
        <f>LBS38+((LBS40+'NF - 5 Power Mix'!LBS14+'NF - 5 Power Mix'!LBS15)*860/10)+((('Form Sa1'!LBV835)*860)/10)+('Form Sa1'!LBV814*'Form Sa1'!LBV816/10)-'NF - 5 Power Mix'!LBS21-'NF - 5 Power Mix'!LBS22</f>
        <v>0</v>
      </c>
      <c r="LBT42" s="1046">
        <f>LBT38+((LBT40+'NF - 5 Power Mix'!LBT14+'NF - 5 Power Mix'!LBT15)*860/10)+((('Form Sa1'!LBW835)*860)/10)+('Form Sa1'!LBW814*'Form Sa1'!LBW816/10)-'NF - 5 Power Mix'!LBT21-'NF - 5 Power Mix'!LBT22</f>
        <v>0</v>
      </c>
      <c r="LBU42" s="1046">
        <f>LBU38+((LBU40+'NF - 5 Power Mix'!LBU14+'NF - 5 Power Mix'!LBU15)*860/10)+((('Form Sa1'!LBX835)*860)/10)+('Form Sa1'!LBX814*'Form Sa1'!LBX816/10)-'NF - 5 Power Mix'!LBU21-'NF - 5 Power Mix'!LBU22</f>
        <v>0</v>
      </c>
      <c r="LBV42" s="1046">
        <f>LBV38+((LBV40+'NF - 5 Power Mix'!LBV14+'NF - 5 Power Mix'!LBV15)*860/10)+((('Form Sa1'!LBY835)*860)/10)+('Form Sa1'!LBY814*'Form Sa1'!LBY816/10)-'NF - 5 Power Mix'!LBV21-'NF - 5 Power Mix'!LBV22</f>
        <v>0</v>
      </c>
      <c r="LBW42" s="1046">
        <f>LBW38+((LBW40+'NF - 5 Power Mix'!LBW14+'NF - 5 Power Mix'!LBW15)*860/10)+((('Form Sa1'!LBZ835)*860)/10)+('Form Sa1'!LBZ814*'Form Sa1'!LBZ816/10)-'NF - 5 Power Mix'!LBW21-'NF - 5 Power Mix'!LBW22</f>
        <v>0</v>
      </c>
      <c r="LBX42" s="1046">
        <f>LBX38+((LBX40+'NF - 5 Power Mix'!LBX14+'NF - 5 Power Mix'!LBX15)*860/10)+((('Form Sa1'!LCA835)*860)/10)+('Form Sa1'!LCA814*'Form Sa1'!LCA816/10)-'NF - 5 Power Mix'!LBX21-'NF - 5 Power Mix'!LBX22</f>
        <v>0</v>
      </c>
      <c r="LBY42" s="1046">
        <f>LBY38+((LBY40+'NF - 5 Power Mix'!LBY14+'NF - 5 Power Mix'!LBY15)*860/10)+((('Form Sa1'!LCB835)*860)/10)+('Form Sa1'!LCB814*'Form Sa1'!LCB816/10)-'NF - 5 Power Mix'!LBY21-'NF - 5 Power Mix'!LBY22</f>
        <v>0</v>
      </c>
      <c r="LBZ42" s="1046">
        <f>LBZ38+((LBZ40+'NF - 5 Power Mix'!LBZ14+'NF - 5 Power Mix'!LBZ15)*860/10)+((('Form Sa1'!LCC835)*860)/10)+('Form Sa1'!LCC814*'Form Sa1'!LCC816/10)-'NF - 5 Power Mix'!LBZ21-'NF - 5 Power Mix'!LBZ22</f>
        <v>0</v>
      </c>
      <c r="LCA42" s="1046">
        <f>LCA38+((LCA40+'NF - 5 Power Mix'!LCA14+'NF - 5 Power Mix'!LCA15)*860/10)+((('Form Sa1'!LCD835)*860)/10)+('Form Sa1'!LCD814*'Form Sa1'!LCD816/10)-'NF - 5 Power Mix'!LCA21-'NF - 5 Power Mix'!LCA22</f>
        <v>0</v>
      </c>
      <c r="LCB42" s="1046">
        <f>LCB38+((LCB40+'NF - 5 Power Mix'!LCB14+'NF - 5 Power Mix'!LCB15)*860/10)+((('Form Sa1'!LCE835)*860)/10)+('Form Sa1'!LCE814*'Form Sa1'!LCE816/10)-'NF - 5 Power Mix'!LCB21-'NF - 5 Power Mix'!LCB22</f>
        <v>0</v>
      </c>
      <c r="LCC42" s="1046">
        <f>LCC38+((LCC40+'NF - 5 Power Mix'!LCC14+'NF - 5 Power Mix'!LCC15)*860/10)+((('Form Sa1'!LCF835)*860)/10)+('Form Sa1'!LCF814*'Form Sa1'!LCF816/10)-'NF - 5 Power Mix'!LCC21-'NF - 5 Power Mix'!LCC22</f>
        <v>0</v>
      </c>
      <c r="LCD42" s="1046">
        <f>LCD38+((LCD40+'NF - 5 Power Mix'!LCD14+'NF - 5 Power Mix'!LCD15)*860/10)+((('Form Sa1'!LCG835)*860)/10)+('Form Sa1'!LCG814*'Form Sa1'!LCG816/10)-'NF - 5 Power Mix'!LCD21-'NF - 5 Power Mix'!LCD22</f>
        <v>0</v>
      </c>
      <c r="LCE42" s="1046">
        <f>LCE38+((LCE40+'NF - 5 Power Mix'!LCE14+'NF - 5 Power Mix'!LCE15)*860/10)+((('Form Sa1'!LCH835)*860)/10)+('Form Sa1'!LCH814*'Form Sa1'!LCH816/10)-'NF - 5 Power Mix'!LCE21-'NF - 5 Power Mix'!LCE22</f>
        <v>0</v>
      </c>
      <c r="LCF42" s="1046">
        <f>LCF38+((LCF40+'NF - 5 Power Mix'!LCF14+'NF - 5 Power Mix'!LCF15)*860/10)+((('Form Sa1'!LCI835)*860)/10)+('Form Sa1'!LCI814*'Form Sa1'!LCI816/10)-'NF - 5 Power Mix'!LCF21-'NF - 5 Power Mix'!LCF22</f>
        <v>0</v>
      </c>
      <c r="LCG42" s="1046">
        <f>LCG38+((LCG40+'NF - 5 Power Mix'!LCG14+'NF - 5 Power Mix'!LCG15)*860/10)+((('Form Sa1'!LCJ835)*860)/10)+('Form Sa1'!LCJ814*'Form Sa1'!LCJ816/10)-'NF - 5 Power Mix'!LCG21-'NF - 5 Power Mix'!LCG22</f>
        <v>0</v>
      </c>
      <c r="LCH42" s="1046">
        <f>LCH38+((LCH40+'NF - 5 Power Mix'!LCH14+'NF - 5 Power Mix'!LCH15)*860/10)+((('Form Sa1'!LCK835)*860)/10)+('Form Sa1'!LCK814*'Form Sa1'!LCK816/10)-'NF - 5 Power Mix'!LCH21-'NF - 5 Power Mix'!LCH22</f>
        <v>0</v>
      </c>
      <c r="LCI42" s="1046">
        <f>LCI38+((LCI40+'NF - 5 Power Mix'!LCI14+'NF - 5 Power Mix'!LCI15)*860/10)+((('Form Sa1'!LCL835)*860)/10)+('Form Sa1'!LCL814*'Form Sa1'!LCL816/10)-'NF - 5 Power Mix'!LCI21-'NF - 5 Power Mix'!LCI22</f>
        <v>0</v>
      </c>
      <c r="LCJ42" s="1046">
        <f>LCJ38+((LCJ40+'NF - 5 Power Mix'!LCJ14+'NF - 5 Power Mix'!LCJ15)*860/10)+((('Form Sa1'!LCM835)*860)/10)+('Form Sa1'!LCM814*'Form Sa1'!LCM816/10)-'NF - 5 Power Mix'!LCJ21-'NF - 5 Power Mix'!LCJ22</f>
        <v>0</v>
      </c>
      <c r="LCK42" s="1046">
        <f>LCK38+((LCK40+'NF - 5 Power Mix'!LCK14+'NF - 5 Power Mix'!LCK15)*860/10)+((('Form Sa1'!LCN835)*860)/10)+('Form Sa1'!LCN814*'Form Sa1'!LCN816/10)-'NF - 5 Power Mix'!LCK21-'NF - 5 Power Mix'!LCK22</f>
        <v>0</v>
      </c>
      <c r="LCL42" s="1046">
        <f>LCL38+((LCL40+'NF - 5 Power Mix'!LCL14+'NF - 5 Power Mix'!LCL15)*860/10)+((('Form Sa1'!LCO835)*860)/10)+('Form Sa1'!LCO814*'Form Sa1'!LCO816/10)-'NF - 5 Power Mix'!LCL21-'NF - 5 Power Mix'!LCL22</f>
        <v>0</v>
      </c>
      <c r="LCM42" s="1046">
        <f>LCM38+((LCM40+'NF - 5 Power Mix'!LCM14+'NF - 5 Power Mix'!LCM15)*860/10)+((('Form Sa1'!LCP835)*860)/10)+('Form Sa1'!LCP814*'Form Sa1'!LCP816/10)-'NF - 5 Power Mix'!LCM21-'NF - 5 Power Mix'!LCM22</f>
        <v>0</v>
      </c>
      <c r="LCN42" s="1046">
        <f>LCN38+((LCN40+'NF - 5 Power Mix'!LCN14+'NF - 5 Power Mix'!LCN15)*860/10)+((('Form Sa1'!LCQ835)*860)/10)+('Form Sa1'!LCQ814*'Form Sa1'!LCQ816/10)-'NF - 5 Power Mix'!LCN21-'NF - 5 Power Mix'!LCN22</f>
        <v>0</v>
      </c>
      <c r="LCO42" s="1046">
        <f>LCO38+((LCO40+'NF - 5 Power Mix'!LCO14+'NF - 5 Power Mix'!LCO15)*860/10)+((('Form Sa1'!LCR835)*860)/10)+('Form Sa1'!LCR814*'Form Sa1'!LCR816/10)-'NF - 5 Power Mix'!LCO21-'NF - 5 Power Mix'!LCO22</f>
        <v>0</v>
      </c>
      <c r="LCP42" s="1046">
        <f>LCP38+((LCP40+'NF - 5 Power Mix'!LCP14+'NF - 5 Power Mix'!LCP15)*860/10)+((('Form Sa1'!LCS835)*860)/10)+('Form Sa1'!LCS814*'Form Sa1'!LCS816/10)-'NF - 5 Power Mix'!LCP21-'NF - 5 Power Mix'!LCP22</f>
        <v>0</v>
      </c>
      <c r="LCQ42" s="1046">
        <f>LCQ38+((LCQ40+'NF - 5 Power Mix'!LCQ14+'NF - 5 Power Mix'!LCQ15)*860/10)+((('Form Sa1'!LCT835)*860)/10)+('Form Sa1'!LCT814*'Form Sa1'!LCT816/10)-'NF - 5 Power Mix'!LCQ21-'NF - 5 Power Mix'!LCQ22</f>
        <v>0</v>
      </c>
      <c r="LCR42" s="1046">
        <f>LCR38+((LCR40+'NF - 5 Power Mix'!LCR14+'NF - 5 Power Mix'!LCR15)*860/10)+((('Form Sa1'!LCU835)*860)/10)+('Form Sa1'!LCU814*'Form Sa1'!LCU816/10)-'NF - 5 Power Mix'!LCR21-'NF - 5 Power Mix'!LCR22</f>
        <v>0</v>
      </c>
      <c r="LCS42" s="1046">
        <f>LCS38+((LCS40+'NF - 5 Power Mix'!LCS14+'NF - 5 Power Mix'!LCS15)*860/10)+((('Form Sa1'!LCV835)*860)/10)+('Form Sa1'!LCV814*'Form Sa1'!LCV816/10)-'NF - 5 Power Mix'!LCS21-'NF - 5 Power Mix'!LCS22</f>
        <v>0</v>
      </c>
      <c r="LCT42" s="1046">
        <f>LCT38+((LCT40+'NF - 5 Power Mix'!LCT14+'NF - 5 Power Mix'!LCT15)*860/10)+((('Form Sa1'!LCW835)*860)/10)+('Form Sa1'!LCW814*'Form Sa1'!LCW816/10)-'NF - 5 Power Mix'!LCT21-'NF - 5 Power Mix'!LCT22</f>
        <v>0</v>
      </c>
      <c r="LCU42" s="1046">
        <f>LCU38+((LCU40+'NF - 5 Power Mix'!LCU14+'NF - 5 Power Mix'!LCU15)*860/10)+((('Form Sa1'!LCX835)*860)/10)+('Form Sa1'!LCX814*'Form Sa1'!LCX816/10)-'NF - 5 Power Mix'!LCU21-'NF - 5 Power Mix'!LCU22</f>
        <v>0</v>
      </c>
      <c r="LCV42" s="1046">
        <f>LCV38+((LCV40+'NF - 5 Power Mix'!LCV14+'NF - 5 Power Mix'!LCV15)*860/10)+((('Form Sa1'!LCY835)*860)/10)+('Form Sa1'!LCY814*'Form Sa1'!LCY816/10)-'NF - 5 Power Mix'!LCV21-'NF - 5 Power Mix'!LCV22</f>
        <v>0</v>
      </c>
      <c r="LCW42" s="1046">
        <f>LCW38+((LCW40+'NF - 5 Power Mix'!LCW14+'NF - 5 Power Mix'!LCW15)*860/10)+((('Form Sa1'!LCZ835)*860)/10)+('Form Sa1'!LCZ814*'Form Sa1'!LCZ816/10)-'NF - 5 Power Mix'!LCW21-'NF - 5 Power Mix'!LCW22</f>
        <v>0</v>
      </c>
      <c r="LCX42" s="1046">
        <f>LCX38+((LCX40+'NF - 5 Power Mix'!LCX14+'NF - 5 Power Mix'!LCX15)*860/10)+((('Form Sa1'!LDA835)*860)/10)+('Form Sa1'!LDA814*'Form Sa1'!LDA816/10)-'NF - 5 Power Mix'!LCX21-'NF - 5 Power Mix'!LCX22</f>
        <v>0</v>
      </c>
      <c r="LCY42" s="1046">
        <f>LCY38+((LCY40+'NF - 5 Power Mix'!LCY14+'NF - 5 Power Mix'!LCY15)*860/10)+((('Form Sa1'!LDB835)*860)/10)+('Form Sa1'!LDB814*'Form Sa1'!LDB816/10)-'NF - 5 Power Mix'!LCY21-'NF - 5 Power Mix'!LCY22</f>
        <v>0</v>
      </c>
      <c r="LCZ42" s="1046">
        <f>LCZ38+((LCZ40+'NF - 5 Power Mix'!LCZ14+'NF - 5 Power Mix'!LCZ15)*860/10)+((('Form Sa1'!LDC835)*860)/10)+('Form Sa1'!LDC814*'Form Sa1'!LDC816/10)-'NF - 5 Power Mix'!LCZ21-'NF - 5 Power Mix'!LCZ22</f>
        <v>0</v>
      </c>
      <c r="LDA42" s="1046">
        <f>LDA38+((LDA40+'NF - 5 Power Mix'!LDA14+'NF - 5 Power Mix'!LDA15)*860/10)+((('Form Sa1'!LDD835)*860)/10)+('Form Sa1'!LDD814*'Form Sa1'!LDD816/10)-'NF - 5 Power Mix'!LDA21-'NF - 5 Power Mix'!LDA22</f>
        <v>0</v>
      </c>
      <c r="LDB42" s="1046">
        <f>LDB38+((LDB40+'NF - 5 Power Mix'!LDB14+'NF - 5 Power Mix'!LDB15)*860/10)+((('Form Sa1'!LDE835)*860)/10)+('Form Sa1'!LDE814*'Form Sa1'!LDE816/10)-'NF - 5 Power Mix'!LDB21-'NF - 5 Power Mix'!LDB22</f>
        <v>0</v>
      </c>
      <c r="LDC42" s="1046">
        <f>LDC38+((LDC40+'NF - 5 Power Mix'!LDC14+'NF - 5 Power Mix'!LDC15)*860/10)+((('Form Sa1'!LDF835)*860)/10)+('Form Sa1'!LDF814*'Form Sa1'!LDF816/10)-'NF - 5 Power Mix'!LDC21-'NF - 5 Power Mix'!LDC22</f>
        <v>0</v>
      </c>
      <c r="LDD42" s="1046">
        <f>LDD38+((LDD40+'NF - 5 Power Mix'!LDD14+'NF - 5 Power Mix'!LDD15)*860/10)+((('Form Sa1'!LDG835)*860)/10)+('Form Sa1'!LDG814*'Form Sa1'!LDG816/10)-'NF - 5 Power Mix'!LDD21-'NF - 5 Power Mix'!LDD22</f>
        <v>0</v>
      </c>
      <c r="LDE42" s="1046">
        <f>LDE38+((LDE40+'NF - 5 Power Mix'!LDE14+'NF - 5 Power Mix'!LDE15)*860/10)+((('Form Sa1'!LDH835)*860)/10)+('Form Sa1'!LDH814*'Form Sa1'!LDH816/10)-'NF - 5 Power Mix'!LDE21-'NF - 5 Power Mix'!LDE22</f>
        <v>0</v>
      </c>
      <c r="LDF42" s="1046">
        <f>LDF38+((LDF40+'NF - 5 Power Mix'!LDF14+'NF - 5 Power Mix'!LDF15)*860/10)+((('Form Sa1'!LDI835)*860)/10)+('Form Sa1'!LDI814*'Form Sa1'!LDI816/10)-'NF - 5 Power Mix'!LDF21-'NF - 5 Power Mix'!LDF22</f>
        <v>0</v>
      </c>
      <c r="LDG42" s="1046">
        <f>LDG38+((LDG40+'NF - 5 Power Mix'!LDG14+'NF - 5 Power Mix'!LDG15)*860/10)+((('Form Sa1'!LDJ835)*860)/10)+('Form Sa1'!LDJ814*'Form Sa1'!LDJ816/10)-'NF - 5 Power Mix'!LDG21-'NF - 5 Power Mix'!LDG22</f>
        <v>0</v>
      </c>
      <c r="LDH42" s="1046">
        <f>LDH38+((LDH40+'NF - 5 Power Mix'!LDH14+'NF - 5 Power Mix'!LDH15)*860/10)+((('Form Sa1'!LDK835)*860)/10)+('Form Sa1'!LDK814*'Form Sa1'!LDK816/10)-'NF - 5 Power Mix'!LDH21-'NF - 5 Power Mix'!LDH22</f>
        <v>0</v>
      </c>
      <c r="LDI42" s="1046">
        <f>LDI38+((LDI40+'NF - 5 Power Mix'!LDI14+'NF - 5 Power Mix'!LDI15)*860/10)+((('Form Sa1'!LDL835)*860)/10)+('Form Sa1'!LDL814*'Form Sa1'!LDL816/10)-'NF - 5 Power Mix'!LDI21-'NF - 5 Power Mix'!LDI22</f>
        <v>0</v>
      </c>
      <c r="LDJ42" s="1046">
        <f>LDJ38+((LDJ40+'NF - 5 Power Mix'!LDJ14+'NF - 5 Power Mix'!LDJ15)*860/10)+((('Form Sa1'!LDM835)*860)/10)+('Form Sa1'!LDM814*'Form Sa1'!LDM816/10)-'NF - 5 Power Mix'!LDJ21-'NF - 5 Power Mix'!LDJ22</f>
        <v>0</v>
      </c>
      <c r="LDK42" s="1046">
        <f>LDK38+((LDK40+'NF - 5 Power Mix'!LDK14+'NF - 5 Power Mix'!LDK15)*860/10)+((('Form Sa1'!LDN835)*860)/10)+('Form Sa1'!LDN814*'Form Sa1'!LDN816/10)-'NF - 5 Power Mix'!LDK21-'NF - 5 Power Mix'!LDK22</f>
        <v>0</v>
      </c>
      <c r="LDL42" s="1046">
        <f>LDL38+((LDL40+'NF - 5 Power Mix'!LDL14+'NF - 5 Power Mix'!LDL15)*860/10)+((('Form Sa1'!LDO835)*860)/10)+('Form Sa1'!LDO814*'Form Sa1'!LDO816/10)-'NF - 5 Power Mix'!LDL21-'NF - 5 Power Mix'!LDL22</f>
        <v>0</v>
      </c>
      <c r="LDM42" s="1046">
        <f>LDM38+((LDM40+'NF - 5 Power Mix'!LDM14+'NF - 5 Power Mix'!LDM15)*860/10)+((('Form Sa1'!LDP835)*860)/10)+('Form Sa1'!LDP814*'Form Sa1'!LDP816/10)-'NF - 5 Power Mix'!LDM21-'NF - 5 Power Mix'!LDM22</f>
        <v>0</v>
      </c>
      <c r="LDN42" s="1046">
        <f>LDN38+((LDN40+'NF - 5 Power Mix'!LDN14+'NF - 5 Power Mix'!LDN15)*860/10)+((('Form Sa1'!LDQ835)*860)/10)+('Form Sa1'!LDQ814*'Form Sa1'!LDQ816/10)-'NF - 5 Power Mix'!LDN21-'NF - 5 Power Mix'!LDN22</f>
        <v>0</v>
      </c>
      <c r="LDO42" s="1046">
        <f>LDO38+((LDO40+'NF - 5 Power Mix'!LDO14+'NF - 5 Power Mix'!LDO15)*860/10)+((('Form Sa1'!LDR835)*860)/10)+('Form Sa1'!LDR814*'Form Sa1'!LDR816/10)-'NF - 5 Power Mix'!LDO21-'NF - 5 Power Mix'!LDO22</f>
        <v>0</v>
      </c>
      <c r="LDP42" s="1046">
        <f>LDP38+((LDP40+'NF - 5 Power Mix'!LDP14+'NF - 5 Power Mix'!LDP15)*860/10)+((('Form Sa1'!LDS835)*860)/10)+('Form Sa1'!LDS814*'Form Sa1'!LDS816/10)-'NF - 5 Power Mix'!LDP21-'NF - 5 Power Mix'!LDP22</f>
        <v>0</v>
      </c>
      <c r="LDQ42" s="1046">
        <f>LDQ38+((LDQ40+'NF - 5 Power Mix'!LDQ14+'NF - 5 Power Mix'!LDQ15)*860/10)+((('Form Sa1'!LDT835)*860)/10)+('Form Sa1'!LDT814*'Form Sa1'!LDT816/10)-'NF - 5 Power Mix'!LDQ21-'NF - 5 Power Mix'!LDQ22</f>
        <v>0</v>
      </c>
      <c r="LDR42" s="1046">
        <f>LDR38+((LDR40+'NF - 5 Power Mix'!LDR14+'NF - 5 Power Mix'!LDR15)*860/10)+((('Form Sa1'!LDU835)*860)/10)+('Form Sa1'!LDU814*'Form Sa1'!LDU816/10)-'NF - 5 Power Mix'!LDR21-'NF - 5 Power Mix'!LDR22</f>
        <v>0</v>
      </c>
      <c r="LDS42" s="1046">
        <f>LDS38+((LDS40+'NF - 5 Power Mix'!LDS14+'NF - 5 Power Mix'!LDS15)*860/10)+((('Form Sa1'!LDV835)*860)/10)+('Form Sa1'!LDV814*'Form Sa1'!LDV816/10)-'NF - 5 Power Mix'!LDS21-'NF - 5 Power Mix'!LDS22</f>
        <v>0</v>
      </c>
      <c r="LDT42" s="1046">
        <f>LDT38+((LDT40+'NF - 5 Power Mix'!LDT14+'NF - 5 Power Mix'!LDT15)*860/10)+((('Form Sa1'!LDW835)*860)/10)+('Form Sa1'!LDW814*'Form Sa1'!LDW816/10)-'NF - 5 Power Mix'!LDT21-'NF - 5 Power Mix'!LDT22</f>
        <v>0</v>
      </c>
      <c r="LDU42" s="1046">
        <f>LDU38+((LDU40+'NF - 5 Power Mix'!LDU14+'NF - 5 Power Mix'!LDU15)*860/10)+((('Form Sa1'!LDX835)*860)/10)+('Form Sa1'!LDX814*'Form Sa1'!LDX816/10)-'NF - 5 Power Mix'!LDU21-'NF - 5 Power Mix'!LDU22</f>
        <v>0</v>
      </c>
      <c r="LDV42" s="1046">
        <f>LDV38+((LDV40+'NF - 5 Power Mix'!LDV14+'NF - 5 Power Mix'!LDV15)*860/10)+((('Form Sa1'!LDY835)*860)/10)+('Form Sa1'!LDY814*'Form Sa1'!LDY816/10)-'NF - 5 Power Mix'!LDV21-'NF - 5 Power Mix'!LDV22</f>
        <v>0</v>
      </c>
      <c r="LDW42" s="1046">
        <f>LDW38+((LDW40+'NF - 5 Power Mix'!LDW14+'NF - 5 Power Mix'!LDW15)*860/10)+((('Form Sa1'!LDZ835)*860)/10)+('Form Sa1'!LDZ814*'Form Sa1'!LDZ816/10)-'NF - 5 Power Mix'!LDW21-'NF - 5 Power Mix'!LDW22</f>
        <v>0</v>
      </c>
      <c r="LDX42" s="1046">
        <f>LDX38+((LDX40+'NF - 5 Power Mix'!LDX14+'NF - 5 Power Mix'!LDX15)*860/10)+((('Form Sa1'!LEA835)*860)/10)+('Form Sa1'!LEA814*'Form Sa1'!LEA816/10)-'NF - 5 Power Mix'!LDX21-'NF - 5 Power Mix'!LDX22</f>
        <v>0</v>
      </c>
      <c r="LDY42" s="1046">
        <f>LDY38+((LDY40+'NF - 5 Power Mix'!LDY14+'NF - 5 Power Mix'!LDY15)*860/10)+((('Form Sa1'!LEB835)*860)/10)+('Form Sa1'!LEB814*'Form Sa1'!LEB816/10)-'NF - 5 Power Mix'!LDY21-'NF - 5 Power Mix'!LDY22</f>
        <v>0</v>
      </c>
      <c r="LDZ42" s="1046">
        <f>LDZ38+((LDZ40+'NF - 5 Power Mix'!LDZ14+'NF - 5 Power Mix'!LDZ15)*860/10)+((('Form Sa1'!LEC835)*860)/10)+('Form Sa1'!LEC814*'Form Sa1'!LEC816/10)-'NF - 5 Power Mix'!LDZ21-'NF - 5 Power Mix'!LDZ22</f>
        <v>0</v>
      </c>
      <c r="LEA42" s="1046">
        <f>LEA38+((LEA40+'NF - 5 Power Mix'!LEA14+'NF - 5 Power Mix'!LEA15)*860/10)+((('Form Sa1'!LED835)*860)/10)+('Form Sa1'!LED814*'Form Sa1'!LED816/10)-'NF - 5 Power Mix'!LEA21-'NF - 5 Power Mix'!LEA22</f>
        <v>0</v>
      </c>
      <c r="LEB42" s="1046">
        <f>LEB38+((LEB40+'NF - 5 Power Mix'!LEB14+'NF - 5 Power Mix'!LEB15)*860/10)+((('Form Sa1'!LEE835)*860)/10)+('Form Sa1'!LEE814*'Form Sa1'!LEE816/10)-'NF - 5 Power Mix'!LEB21-'NF - 5 Power Mix'!LEB22</f>
        <v>0</v>
      </c>
      <c r="LEC42" s="1046">
        <f>LEC38+((LEC40+'NF - 5 Power Mix'!LEC14+'NF - 5 Power Mix'!LEC15)*860/10)+((('Form Sa1'!LEF835)*860)/10)+('Form Sa1'!LEF814*'Form Sa1'!LEF816/10)-'NF - 5 Power Mix'!LEC21-'NF - 5 Power Mix'!LEC22</f>
        <v>0</v>
      </c>
      <c r="LED42" s="1046">
        <f>LED38+((LED40+'NF - 5 Power Mix'!LED14+'NF - 5 Power Mix'!LED15)*860/10)+((('Form Sa1'!LEG835)*860)/10)+('Form Sa1'!LEG814*'Form Sa1'!LEG816/10)-'NF - 5 Power Mix'!LED21-'NF - 5 Power Mix'!LED22</f>
        <v>0</v>
      </c>
      <c r="LEE42" s="1046">
        <f>LEE38+((LEE40+'NF - 5 Power Mix'!LEE14+'NF - 5 Power Mix'!LEE15)*860/10)+((('Form Sa1'!LEH835)*860)/10)+('Form Sa1'!LEH814*'Form Sa1'!LEH816/10)-'NF - 5 Power Mix'!LEE21-'NF - 5 Power Mix'!LEE22</f>
        <v>0</v>
      </c>
      <c r="LEF42" s="1046">
        <f>LEF38+((LEF40+'NF - 5 Power Mix'!LEF14+'NF - 5 Power Mix'!LEF15)*860/10)+((('Form Sa1'!LEI835)*860)/10)+('Form Sa1'!LEI814*'Form Sa1'!LEI816/10)-'NF - 5 Power Mix'!LEF21-'NF - 5 Power Mix'!LEF22</f>
        <v>0</v>
      </c>
      <c r="LEG42" s="1046">
        <f>LEG38+((LEG40+'NF - 5 Power Mix'!LEG14+'NF - 5 Power Mix'!LEG15)*860/10)+((('Form Sa1'!LEJ835)*860)/10)+('Form Sa1'!LEJ814*'Form Sa1'!LEJ816/10)-'NF - 5 Power Mix'!LEG21-'NF - 5 Power Mix'!LEG22</f>
        <v>0</v>
      </c>
      <c r="LEH42" s="1046">
        <f>LEH38+((LEH40+'NF - 5 Power Mix'!LEH14+'NF - 5 Power Mix'!LEH15)*860/10)+((('Form Sa1'!LEK835)*860)/10)+('Form Sa1'!LEK814*'Form Sa1'!LEK816/10)-'NF - 5 Power Mix'!LEH21-'NF - 5 Power Mix'!LEH22</f>
        <v>0</v>
      </c>
      <c r="LEI42" s="1046">
        <f>LEI38+((LEI40+'NF - 5 Power Mix'!LEI14+'NF - 5 Power Mix'!LEI15)*860/10)+((('Form Sa1'!LEL835)*860)/10)+('Form Sa1'!LEL814*'Form Sa1'!LEL816/10)-'NF - 5 Power Mix'!LEI21-'NF - 5 Power Mix'!LEI22</f>
        <v>0</v>
      </c>
      <c r="LEJ42" s="1046">
        <f>LEJ38+((LEJ40+'NF - 5 Power Mix'!LEJ14+'NF - 5 Power Mix'!LEJ15)*860/10)+((('Form Sa1'!LEM835)*860)/10)+('Form Sa1'!LEM814*'Form Sa1'!LEM816/10)-'NF - 5 Power Mix'!LEJ21-'NF - 5 Power Mix'!LEJ22</f>
        <v>0</v>
      </c>
      <c r="LEK42" s="1046">
        <f>LEK38+((LEK40+'NF - 5 Power Mix'!LEK14+'NF - 5 Power Mix'!LEK15)*860/10)+((('Form Sa1'!LEN835)*860)/10)+('Form Sa1'!LEN814*'Form Sa1'!LEN816/10)-'NF - 5 Power Mix'!LEK21-'NF - 5 Power Mix'!LEK22</f>
        <v>0</v>
      </c>
      <c r="LEL42" s="1046">
        <f>LEL38+((LEL40+'NF - 5 Power Mix'!LEL14+'NF - 5 Power Mix'!LEL15)*860/10)+((('Form Sa1'!LEO835)*860)/10)+('Form Sa1'!LEO814*'Form Sa1'!LEO816/10)-'NF - 5 Power Mix'!LEL21-'NF - 5 Power Mix'!LEL22</f>
        <v>0</v>
      </c>
      <c r="LEM42" s="1046">
        <f>LEM38+((LEM40+'NF - 5 Power Mix'!LEM14+'NF - 5 Power Mix'!LEM15)*860/10)+((('Form Sa1'!LEP835)*860)/10)+('Form Sa1'!LEP814*'Form Sa1'!LEP816/10)-'NF - 5 Power Mix'!LEM21-'NF - 5 Power Mix'!LEM22</f>
        <v>0</v>
      </c>
      <c r="LEN42" s="1046">
        <f>LEN38+((LEN40+'NF - 5 Power Mix'!LEN14+'NF - 5 Power Mix'!LEN15)*860/10)+((('Form Sa1'!LEQ835)*860)/10)+('Form Sa1'!LEQ814*'Form Sa1'!LEQ816/10)-'NF - 5 Power Mix'!LEN21-'NF - 5 Power Mix'!LEN22</f>
        <v>0</v>
      </c>
      <c r="LEO42" s="1046">
        <f>LEO38+((LEO40+'NF - 5 Power Mix'!LEO14+'NF - 5 Power Mix'!LEO15)*860/10)+((('Form Sa1'!LER835)*860)/10)+('Form Sa1'!LER814*'Form Sa1'!LER816/10)-'NF - 5 Power Mix'!LEO21-'NF - 5 Power Mix'!LEO22</f>
        <v>0</v>
      </c>
      <c r="LEP42" s="1046">
        <f>LEP38+((LEP40+'NF - 5 Power Mix'!LEP14+'NF - 5 Power Mix'!LEP15)*860/10)+((('Form Sa1'!LES835)*860)/10)+('Form Sa1'!LES814*'Form Sa1'!LES816/10)-'NF - 5 Power Mix'!LEP21-'NF - 5 Power Mix'!LEP22</f>
        <v>0</v>
      </c>
      <c r="LEQ42" s="1046">
        <f>LEQ38+((LEQ40+'NF - 5 Power Mix'!LEQ14+'NF - 5 Power Mix'!LEQ15)*860/10)+((('Form Sa1'!LET835)*860)/10)+('Form Sa1'!LET814*'Form Sa1'!LET816/10)-'NF - 5 Power Mix'!LEQ21-'NF - 5 Power Mix'!LEQ22</f>
        <v>0</v>
      </c>
      <c r="LER42" s="1046">
        <f>LER38+((LER40+'NF - 5 Power Mix'!LER14+'NF - 5 Power Mix'!LER15)*860/10)+((('Form Sa1'!LEU835)*860)/10)+('Form Sa1'!LEU814*'Form Sa1'!LEU816/10)-'NF - 5 Power Mix'!LER21-'NF - 5 Power Mix'!LER22</f>
        <v>0</v>
      </c>
      <c r="LES42" s="1046">
        <f>LES38+((LES40+'NF - 5 Power Mix'!LES14+'NF - 5 Power Mix'!LES15)*860/10)+((('Form Sa1'!LEV835)*860)/10)+('Form Sa1'!LEV814*'Form Sa1'!LEV816/10)-'NF - 5 Power Mix'!LES21-'NF - 5 Power Mix'!LES22</f>
        <v>0</v>
      </c>
      <c r="LET42" s="1046">
        <f>LET38+((LET40+'NF - 5 Power Mix'!LET14+'NF - 5 Power Mix'!LET15)*860/10)+((('Form Sa1'!LEW835)*860)/10)+('Form Sa1'!LEW814*'Form Sa1'!LEW816/10)-'NF - 5 Power Mix'!LET21-'NF - 5 Power Mix'!LET22</f>
        <v>0</v>
      </c>
      <c r="LEU42" s="1046">
        <f>LEU38+((LEU40+'NF - 5 Power Mix'!LEU14+'NF - 5 Power Mix'!LEU15)*860/10)+((('Form Sa1'!LEX835)*860)/10)+('Form Sa1'!LEX814*'Form Sa1'!LEX816/10)-'NF - 5 Power Mix'!LEU21-'NF - 5 Power Mix'!LEU22</f>
        <v>0</v>
      </c>
      <c r="LEV42" s="1046">
        <f>LEV38+((LEV40+'NF - 5 Power Mix'!LEV14+'NF - 5 Power Mix'!LEV15)*860/10)+((('Form Sa1'!LEY835)*860)/10)+('Form Sa1'!LEY814*'Form Sa1'!LEY816/10)-'NF - 5 Power Mix'!LEV21-'NF - 5 Power Mix'!LEV22</f>
        <v>0</v>
      </c>
      <c r="LEW42" s="1046">
        <f>LEW38+((LEW40+'NF - 5 Power Mix'!LEW14+'NF - 5 Power Mix'!LEW15)*860/10)+((('Form Sa1'!LEZ835)*860)/10)+('Form Sa1'!LEZ814*'Form Sa1'!LEZ816/10)-'NF - 5 Power Mix'!LEW21-'NF - 5 Power Mix'!LEW22</f>
        <v>0</v>
      </c>
      <c r="LEX42" s="1046">
        <f>LEX38+((LEX40+'NF - 5 Power Mix'!LEX14+'NF - 5 Power Mix'!LEX15)*860/10)+((('Form Sa1'!LFA835)*860)/10)+('Form Sa1'!LFA814*'Form Sa1'!LFA816/10)-'NF - 5 Power Mix'!LEX21-'NF - 5 Power Mix'!LEX22</f>
        <v>0</v>
      </c>
      <c r="LEY42" s="1046">
        <f>LEY38+((LEY40+'NF - 5 Power Mix'!LEY14+'NF - 5 Power Mix'!LEY15)*860/10)+((('Form Sa1'!LFB835)*860)/10)+('Form Sa1'!LFB814*'Form Sa1'!LFB816/10)-'NF - 5 Power Mix'!LEY21-'NF - 5 Power Mix'!LEY22</f>
        <v>0</v>
      </c>
      <c r="LEZ42" s="1046">
        <f>LEZ38+((LEZ40+'NF - 5 Power Mix'!LEZ14+'NF - 5 Power Mix'!LEZ15)*860/10)+((('Form Sa1'!LFC835)*860)/10)+('Form Sa1'!LFC814*'Form Sa1'!LFC816/10)-'NF - 5 Power Mix'!LEZ21-'NF - 5 Power Mix'!LEZ22</f>
        <v>0</v>
      </c>
      <c r="LFA42" s="1046">
        <f>LFA38+((LFA40+'NF - 5 Power Mix'!LFA14+'NF - 5 Power Mix'!LFA15)*860/10)+((('Form Sa1'!LFD835)*860)/10)+('Form Sa1'!LFD814*'Form Sa1'!LFD816/10)-'NF - 5 Power Mix'!LFA21-'NF - 5 Power Mix'!LFA22</f>
        <v>0</v>
      </c>
      <c r="LFB42" s="1046">
        <f>LFB38+((LFB40+'NF - 5 Power Mix'!LFB14+'NF - 5 Power Mix'!LFB15)*860/10)+((('Form Sa1'!LFE835)*860)/10)+('Form Sa1'!LFE814*'Form Sa1'!LFE816/10)-'NF - 5 Power Mix'!LFB21-'NF - 5 Power Mix'!LFB22</f>
        <v>0</v>
      </c>
      <c r="LFC42" s="1046">
        <f>LFC38+((LFC40+'NF - 5 Power Mix'!LFC14+'NF - 5 Power Mix'!LFC15)*860/10)+((('Form Sa1'!LFF835)*860)/10)+('Form Sa1'!LFF814*'Form Sa1'!LFF816/10)-'NF - 5 Power Mix'!LFC21-'NF - 5 Power Mix'!LFC22</f>
        <v>0</v>
      </c>
      <c r="LFD42" s="1046">
        <f>LFD38+((LFD40+'NF - 5 Power Mix'!LFD14+'NF - 5 Power Mix'!LFD15)*860/10)+((('Form Sa1'!LFG835)*860)/10)+('Form Sa1'!LFG814*'Form Sa1'!LFG816/10)-'NF - 5 Power Mix'!LFD21-'NF - 5 Power Mix'!LFD22</f>
        <v>0</v>
      </c>
      <c r="LFE42" s="1046">
        <f>LFE38+((LFE40+'NF - 5 Power Mix'!LFE14+'NF - 5 Power Mix'!LFE15)*860/10)+((('Form Sa1'!LFH835)*860)/10)+('Form Sa1'!LFH814*'Form Sa1'!LFH816/10)-'NF - 5 Power Mix'!LFE21-'NF - 5 Power Mix'!LFE22</f>
        <v>0</v>
      </c>
      <c r="LFF42" s="1046">
        <f>LFF38+((LFF40+'NF - 5 Power Mix'!LFF14+'NF - 5 Power Mix'!LFF15)*860/10)+((('Form Sa1'!LFI835)*860)/10)+('Form Sa1'!LFI814*'Form Sa1'!LFI816/10)-'NF - 5 Power Mix'!LFF21-'NF - 5 Power Mix'!LFF22</f>
        <v>0</v>
      </c>
      <c r="LFG42" s="1046">
        <f>LFG38+((LFG40+'NF - 5 Power Mix'!LFG14+'NF - 5 Power Mix'!LFG15)*860/10)+((('Form Sa1'!LFJ835)*860)/10)+('Form Sa1'!LFJ814*'Form Sa1'!LFJ816/10)-'NF - 5 Power Mix'!LFG21-'NF - 5 Power Mix'!LFG22</f>
        <v>0</v>
      </c>
      <c r="LFH42" s="1046">
        <f>LFH38+((LFH40+'NF - 5 Power Mix'!LFH14+'NF - 5 Power Mix'!LFH15)*860/10)+((('Form Sa1'!LFK835)*860)/10)+('Form Sa1'!LFK814*'Form Sa1'!LFK816/10)-'NF - 5 Power Mix'!LFH21-'NF - 5 Power Mix'!LFH22</f>
        <v>0</v>
      </c>
      <c r="LFI42" s="1046">
        <f>LFI38+((LFI40+'NF - 5 Power Mix'!LFI14+'NF - 5 Power Mix'!LFI15)*860/10)+((('Form Sa1'!LFL835)*860)/10)+('Form Sa1'!LFL814*'Form Sa1'!LFL816/10)-'NF - 5 Power Mix'!LFI21-'NF - 5 Power Mix'!LFI22</f>
        <v>0</v>
      </c>
      <c r="LFJ42" s="1046">
        <f>LFJ38+((LFJ40+'NF - 5 Power Mix'!LFJ14+'NF - 5 Power Mix'!LFJ15)*860/10)+((('Form Sa1'!LFM835)*860)/10)+('Form Sa1'!LFM814*'Form Sa1'!LFM816/10)-'NF - 5 Power Mix'!LFJ21-'NF - 5 Power Mix'!LFJ22</f>
        <v>0</v>
      </c>
      <c r="LFK42" s="1046">
        <f>LFK38+((LFK40+'NF - 5 Power Mix'!LFK14+'NF - 5 Power Mix'!LFK15)*860/10)+((('Form Sa1'!LFN835)*860)/10)+('Form Sa1'!LFN814*'Form Sa1'!LFN816/10)-'NF - 5 Power Mix'!LFK21-'NF - 5 Power Mix'!LFK22</f>
        <v>0</v>
      </c>
      <c r="LFL42" s="1046">
        <f>LFL38+((LFL40+'NF - 5 Power Mix'!LFL14+'NF - 5 Power Mix'!LFL15)*860/10)+((('Form Sa1'!LFO835)*860)/10)+('Form Sa1'!LFO814*'Form Sa1'!LFO816/10)-'NF - 5 Power Mix'!LFL21-'NF - 5 Power Mix'!LFL22</f>
        <v>0</v>
      </c>
      <c r="LFM42" s="1046">
        <f>LFM38+((LFM40+'NF - 5 Power Mix'!LFM14+'NF - 5 Power Mix'!LFM15)*860/10)+((('Form Sa1'!LFP835)*860)/10)+('Form Sa1'!LFP814*'Form Sa1'!LFP816/10)-'NF - 5 Power Mix'!LFM21-'NF - 5 Power Mix'!LFM22</f>
        <v>0</v>
      </c>
      <c r="LFN42" s="1046">
        <f>LFN38+((LFN40+'NF - 5 Power Mix'!LFN14+'NF - 5 Power Mix'!LFN15)*860/10)+((('Form Sa1'!LFQ835)*860)/10)+('Form Sa1'!LFQ814*'Form Sa1'!LFQ816/10)-'NF - 5 Power Mix'!LFN21-'NF - 5 Power Mix'!LFN22</f>
        <v>0</v>
      </c>
      <c r="LFO42" s="1046">
        <f>LFO38+((LFO40+'NF - 5 Power Mix'!LFO14+'NF - 5 Power Mix'!LFO15)*860/10)+((('Form Sa1'!LFR835)*860)/10)+('Form Sa1'!LFR814*'Form Sa1'!LFR816/10)-'NF - 5 Power Mix'!LFO21-'NF - 5 Power Mix'!LFO22</f>
        <v>0</v>
      </c>
      <c r="LFP42" s="1046">
        <f>LFP38+((LFP40+'NF - 5 Power Mix'!LFP14+'NF - 5 Power Mix'!LFP15)*860/10)+((('Form Sa1'!LFS835)*860)/10)+('Form Sa1'!LFS814*'Form Sa1'!LFS816/10)-'NF - 5 Power Mix'!LFP21-'NF - 5 Power Mix'!LFP22</f>
        <v>0</v>
      </c>
      <c r="LFQ42" s="1046">
        <f>LFQ38+((LFQ40+'NF - 5 Power Mix'!LFQ14+'NF - 5 Power Mix'!LFQ15)*860/10)+((('Form Sa1'!LFT835)*860)/10)+('Form Sa1'!LFT814*'Form Sa1'!LFT816/10)-'NF - 5 Power Mix'!LFQ21-'NF - 5 Power Mix'!LFQ22</f>
        <v>0</v>
      </c>
      <c r="LFR42" s="1046">
        <f>LFR38+((LFR40+'NF - 5 Power Mix'!LFR14+'NF - 5 Power Mix'!LFR15)*860/10)+((('Form Sa1'!LFU835)*860)/10)+('Form Sa1'!LFU814*'Form Sa1'!LFU816/10)-'NF - 5 Power Mix'!LFR21-'NF - 5 Power Mix'!LFR22</f>
        <v>0</v>
      </c>
      <c r="LFS42" s="1046">
        <f>LFS38+((LFS40+'NF - 5 Power Mix'!LFS14+'NF - 5 Power Mix'!LFS15)*860/10)+((('Form Sa1'!LFV835)*860)/10)+('Form Sa1'!LFV814*'Form Sa1'!LFV816/10)-'NF - 5 Power Mix'!LFS21-'NF - 5 Power Mix'!LFS22</f>
        <v>0</v>
      </c>
      <c r="LFT42" s="1046">
        <f>LFT38+((LFT40+'NF - 5 Power Mix'!LFT14+'NF - 5 Power Mix'!LFT15)*860/10)+((('Form Sa1'!LFW835)*860)/10)+('Form Sa1'!LFW814*'Form Sa1'!LFW816/10)-'NF - 5 Power Mix'!LFT21-'NF - 5 Power Mix'!LFT22</f>
        <v>0</v>
      </c>
      <c r="LFU42" s="1046">
        <f>LFU38+((LFU40+'NF - 5 Power Mix'!LFU14+'NF - 5 Power Mix'!LFU15)*860/10)+((('Form Sa1'!LFX835)*860)/10)+('Form Sa1'!LFX814*'Form Sa1'!LFX816/10)-'NF - 5 Power Mix'!LFU21-'NF - 5 Power Mix'!LFU22</f>
        <v>0</v>
      </c>
      <c r="LFV42" s="1046">
        <f>LFV38+((LFV40+'NF - 5 Power Mix'!LFV14+'NF - 5 Power Mix'!LFV15)*860/10)+((('Form Sa1'!LFY835)*860)/10)+('Form Sa1'!LFY814*'Form Sa1'!LFY816/10)-'NF - 5 Power Mix'!LFV21-'NF - 5 Power Mix'!LFV22</f>
        <v>0</v>
      </c>
      <c r="LFW42" s="1046">
        <f>LFW38+((LFW40+'NF - 5 Power Mix'!LFW14+'NF - 5 Power Mix'!LFW15)*860/10)+((('Form Sa1'!LFZ835)*860)/10)+('Form Sa1'!LFZ814*'Form Sa1'!LFZ816/10)-'NF - 5 Power Mix'!LFW21-'NF - 5 Power Mix'!LFW22</f>
        <v>0</v>
      </c>
      <c r="LFX42" s="1046">
        <f>LFX38+((LFX40+'NF - 5 Power Mix'!LFX14+'NF - 5 Power Mix'!LFX15)*860/10)+((('Form Sa1'!LGA835)*860)/10)+('Form Sa1'!LGA814*'Form Sa1'!LGA816/10)-'NF - 5 Power Mix'!LFX21-'NF - 5 Power Mix'!LFX22</f>
        <v>0</v>
      </c>
      <c r="LFY42" s="1046">
        <f>LFY38+((LFY40+'NF - 5 Power Mix'!LFY14+'NF - 5 Power Mix'!LFY15)*860/10)+((('Form Sa1'!LGB835)*860)/10)+('Form Sa1'!LGB814*'Form Sa1'!LGB816/10)-'NF - 5 Power Mix'!LFY21-'NF - 5 Power Mix'!LFY22</f>
        <v>0</v>
      </c>
      <c r="LFZ42" s="1046">
        <f>LFZ38+((LFZ40+'NF - 5 Power Mix'!LFZ14+'NF - 5 Power Mix'!LFZ15)*860/10)+((('Form Sa1'!LGC835)*860)/10)+('Form Sa1'!LGC814*'Form Sa1'!LGC816/10)-'NF - 5 Power Mix'!LFZ21-'NF - 5 Power Mix'!LFZ22</f>
        <v>0</v>
      </c>
      <c r="LGA42" s="1046">
        <f>LGA38+((LGA40+'NF - 5 Power Mix'!LGA14+'NF - 5 Power Mix'!LGA15)*860/10)+((('Form Sa1'!LGD835)*860)/10)+('Form Sa1'!LGD814*'Form Sa1'!LGD816/10)-'NF - 5 Power Mix'!LGA21-'NF - 5 Power Mix'!LGA22</f>
        <v>0</v>
      </c>
      <c r="LGB42" s="1046">
        <f>LGB38+((LGB40+'NF - 5 Power Mix'!LGB14+'NF - 5 Power Mix'!LGB15)*860/10)+((('Form Sa1'!LGE835)*860)/10)+('Form Sa1'!LGE814*'Form Sa1'!LGE816/10)-'NF - 5 Power Mix'!LGB21-'NF - 5 Power Mix'!LGB22</f>
        <v>0</v>
      </c>
      <c r="LGC42" s="1046">
        <f>LGC38+((LGC40+'NF - 5 Power Mix'!LGC14+'NF - 5 Power Mix'!LGC15)*860/10)+((('Form Sa1'!LGF835)*860)/10)+('Form Sa1'!LGF814*'Form Sa1'!LGF816/10)-'NF - 5 Power Mix'!LGC21-'NF - 5 Power Mix'!LGC22</f>
        <v>0</v>
      </c>
      <c r="LGD42" s="1046">
        <f>LGD38+((LGD40+'NF - 5 Power Mix'!LGD14+'NF - 5 Power Mix'!LGD15)*860/10)+((('Form Sa1'!LGG835)*860)/10)+('Form Sa1'!LGG814*'Form Sa1'!LGG816/10)-'NF - 5 Power Mix'!LGD21-'NF - 5 Power Mix'!LGD22</f>
        <v>0</v>
      </c>
      <c r="LGE42" s="1046">
        <f>LGE38+((LGE40+'NF - 5 Power Mix'!LGE14+'NF - 5 Power Mix'!LGE15)*860/10)+((('Form Sa1'!LGH835)*860)/10)+('Form Sa1'!LGH814*'Form Sa1'!LGH816/10)-'NF - 5 Power Mix'!LGE21-'NF - 5 Power Mix'!LGE22</f>
        <v>0</v>
      </c>
      <c r="LGF42" s="1046">
        <f>LGF38+((LGF40+'NF - 5 Power Mix'!LGF14+'NF - 5 Power Mix'!LGF15)*860/10)+((('Form Sa1'!LGI835)*860)/10)+('Form Sa1'!LGI814*'Form Sa1'!LGI816/10)-'NF - 5 Power Mix'!LGF21-'NF - 5 Power Mix'!LGF22</f>
        <v>0</v>
      </c>
      <c r="LGG42" s="1046">
        <f>LGG38+((LGG40+'NF - 5 Power Mix'!LGG14+'NF - 5 Power Mix'!LGG15)*860/10)+((('Form Sa1'!LGJ835)*860)/10)+('Form Sa1'!LGJ814*'Form Sa1'!LGJ816/10)-'NF - 5 Power Mix'!LGG21-'NF - 5 Power Mix'!LGG22</f>
        <v>0</v>
      </c>
      <c r="LGH42" s="1046">
        <f>LGH38+((LGH40+'NF - 5 Power Mix'!LGH14+'NF - 5 Power Mix'!LGH15)*860/10)+((('Form Sa1'!LGK835)*860)/10)+('Form Sa1'!LGK814*'Form Sa1'!LGK816/10)-'NF - 5 Power Mix'!LGH21-'NF - 5 Power Mix'!LGH22</f>
        <v>0</v>
      </c>
      <c r="LGI42" s="1046">
        <f>LGI38+((LGI40+'NF - 5 Power Mix'!LGI14+'NF - 5 Power Mix'!LGI15)*860/10)+((('Form Sa1'!LGL835)*860)/10)+('Form Sa1'!LGL814*'Form Sa1'!LGL816/10)-'NF - 5 Power Mix'!LGI21-'NF - 5 Power Mix'!LGI22</f>
        <v>0</v>
      </c>
      <c r="LGJ42" s="1046">
        <f>LGJ38+((LGJ40+'NF - 5 Power Mix'!LGJ14+'NF - 5 Power Mix'!LGJ15)*860/10)+((('Form Sa1'!LGM835)*860)/10)+('Form Sa1'!LGM814*'Form Sa1'!LGM816/10)-'NF - 5 Power Mix'!LGJ21-'NF - 5 Power Mix'!LGJ22</f>
        <v>0</v>
      </c>
      <c r="LGK42" s="1046">
        <f>LGK38+((LGK40+'NF - 5 Power Mix'!LGK14+'NF - 5 Power Mix'!LGK15)*860/10)+((('Form Sa1'!LGN835)*860)/10)+('Form Sa1'!LGN814*'Form Sa1'!LGN816/10)-'NF - 5 Power Mix'!LGK21-'NF - 5 Power Mix'!LGK22</f>
        <v>0</v>
      </c>
      <c r="LGL42" s="1046">
        <f>LGL38+((LGL40+'NF - 5 Power Mix'!LGL14+'NF - 5 Power Mix'!LGL15)*860/10)+((('Form Sa1'!LGO835)*860)/10)+('Form Sa1'!LGO814*'Form Sa1'!LGO816/10)-'NF - 5 Power Mix'!LGL21-'NF - 5 Power Mix'!LGL22</f>
        <v>0</v>
      </c>
      <c r="LGM42" s="1046">
        <f>LGM38+((LGM40+'NF - 5 Power Mix'!LGM14+'NF - 5 Power Mix'!LGM15)*860/10)+((('Form Sa1'!LGP835)*860)/10)+('Form Sa1'!LGP814*'Form Sa1'!LGP816/10)-'NF - 5 Power Mix'!LGM21-'NF - 5 Power Mix'!LGM22</f>
        <v>0</v>
      </c>
      <c r="LGN42" s="1046">
        <f>LGN38+((LGN40+'NF - 5 Power Mix'!LGN14+'NF - 5 Power Mix'!LGN15)*860/10)+((('Form Sa1'!LGQ835)*860)/10)+('Form Sa1'!LGQ814*'Form Sa1'!LGQ816/10)-'NF - 5 Power Mix'!LGN21-'NF - 5 Power Mix'!LGN22</f>
        <v>0</v>
      </c>
      <c r="LGO42" s="1046">
        <f>LGO38+((LGO40+'NF - 5 Power Mix'!LGO14+'NF - 5 Power Mix'!LGO15)*860/10)+((('Form Sa1'!LGR835)*860)/10)+('Form Sa1'!LGR814*'Form Sa1'!LGR816/10)-'NF - 5 Power Mix'!LGO21-'NF - 5 Power Mix'!LGO22</f>
        <v>0</v>
      </c>
      <c r="LGP42" s="1046">
        <f>LGP38+((LGP40+'NF - 5 Power Mix'!LGP14+'NF - 5 Power Mix'!LGP15)*860/10)+((('Form Sa1'!LGS835)*860)/10)+('Form Sa1'!LGS814*'Form Sa1'!LGS816/10)-'NF - 5 Power Mix'!LGP21-'NF - 5 Power Mix'!LGP22</f>
        <v>0</v>
      </c>
      <c r="LGQ42" s="1046">
        <f>LGQ38+((LGQ40+'NF - 5 Power Mix'!LGQ14+'NF - 5 Power Mix'!LGQ15)*860/10)+((('Form Sa1'!LGT835)*860)/10)+('Form Sa1'!LGT814*'Form Sa1'!LGT816/10)-'NF - 5 Power Mix'!LGQ21-'NF - 5 Power Mix'!LGQ22</f>
        <v>0</v>
      </c>
      <c r="LGR42" s="1046">
        <f>LGR38+((LGR40+'NF - 5 Power Mix'!LGR14+'NF - 5 Power Mix'!LGR15)*860/10)+((('Form Sa1'!LGU835)*860)/10)+('Form Sa1'!LGU814*'Form Sa1'!LGU816/10)-'NF - 5 Power Mix'!LGR21-'NF - 5 Power Mix'!LGR22</f>
        <v>0</v>
      </c>
      <c r="LGS42" s="1046">
        <f>LGS38+((LGS40+'NF - 5 Power Mix'!LGS14+'NF - 5 Power Mix'!LGS15)*860/10)+((('Form Sa1'!LGV835)*860)/10)+('Form Sa1'!LGV814*'Form Sa1'!LGV816/10)-'NF - 5 Power Mix'!LGS21-'NF - 5 Power Mix'!LGS22</f>
        <v>0</v>
      </c>
      <c r="LGT42" s="1046">
        <f>LGT38+((LGT40+'NF - 5 Power Mix'!LGT14+'NF - 5 Power Mix'!LGT15)*860/10)+((('Form Sa1'!LGW835)*860)/10)+('Form Sa1'!LGW814*'Form Sa1'!LGW816/10)-'NF - 5 Power Mix'!LGT21-'NF - 5 Power Mix'!LGT22</f>
        <v>0</v>
      </c>
      <c r="LGU42" s="1046">
        <f>LGU38+((LGU40+'NF - 5 Power Mix'!LGU14+'NF - 5 Power Mix'!LGU15)*860/10)+((('Form Sa1'!LGX835)*860)/10)+('Form Sa1'!LGX814*'Form Sa1'!LGX816/10)-'NF - 5 Power Mix'!LGU21-'NF - 5 Power Mix'!LGU22</f>
        <v>0</v>
      </c>
      <c r="LGV42" s="1046">
        <f>LGV38+((LGV40+'NF - 5 Power Mix'!LGV14+'NF - 5 Power Mix'!LGV15)*860/10)+((('Form Sa1'!LGY835)*860)/10)+('Form Sa1'!LGY814*'Form Sa1'!LGY816/10)-'NF - 5 Power Mix'!LGV21-'NF - 5 Power Mix'!LGV22</f>
        <v>0</v>
      </c>
      <c r="LGW42" s="1046">
        <f>LGW38+((LGW40+'NF - 5 Power Mix'!LGW14+'NF - 5 Power Mix'!LGW15)*860/10)+((('Form Sa1'!LGZ835)*860)/10)+('Form Sa1'!LGZ814*'Form Sa1'!LGZ816/10)-'NF - 5 Power Mix'!LGW21-'NF - 5 Power Mix'!LGW22</f>
        <v>0</v>
      </c>
      <c r="LGX42" s="1046">
        <f>LGX38+((LGX40+'NF - 5 Power Mix'!LGX14+'NF - 5 Power Mix'!LGX15)*860/10)+((('Form Sa1'!LHA835)*860)/10)+('Form Sa1'!LHA814*'Form Sa1'!LHA816/10)-'NF - 5 Power Mix'!LGX21-'NF - 5 Power Mix'!LGX22</f>
        <v>0</v>
      </c>
      <c r="LGY42" s="1046">
        <f>LGY38+((LGY40+'NF - 5 Power Mix'!LGY14+'NF - 5 Power Mix'!LGY15)*860/10)+((('Form Sa1'!LHB835)*860)/10)+('Form Sa1'!LHB814*'Form Sa1'!LHB816/10)-'NF - 5 Power Mix'!LGY21-'NF - 5 Power Mix'!LGY22</f>
        <v>0</v>
      </c>
      <c r="LGZ42" s="1046">
        <f>LGZ38+((LGZ40+'NF - 5 Power Mix'!LGZ14+'NF - 5 Power Mix'!LGZ15)*860/10)+((('Form Sa1'!LHC835)*860)/10)+('Form Sa1'!LHC814*'Form Sa1'!LHC816/10)-'NF - 5 Power Mix'!LGZ21-'NF - 5 Power Mix'!LGZ22</f>
        <v>0</v>
      </c>
      <c r="LHA42" s="1046">
        <f>LHA38+((LHA40+'NF - 5 Power Mix'!LHA14+'NF - 5 Power Mix'!LHA15)*860/10)+((('Form Sa1'!LHD835)*860)/10)+('Form Sa1'!LHD814*'Form Sa1'!LHD816/10)-'NF - 5 Power Mix'!LHA21-'NF - 5 Power Mix'!LHA22</f>
        <v>0</v>
      </c>
      <c r="LHB42" s="1046">
        <f>LHB38+((LHB40+'NF - 5 Power Mix'!LHB14+'NF - 5 Power Mix'!LHB15)*860/10)+((('Form Sa1'!LHE835)*860)/10)+('Form Sa1'!LHE814*'Form Sa1'!LHE816/10)-'NF - 5 Power Mix'!LHB21-'NF - 5 Power Mix'!LHB22</f>
        <v>0</v>
      </c>
      <c r="LHC42" s="1046">
        <f>LHC38+((LHC40+'NF - 5 Power Mix'!LHC14+'NF - 5 Power Mix'!LHC15)*860/10)+((('Form Sa1'!LHF835)*860)/10)+('Form Sa1'!LHF814*'Form Sa1'!LHF816/10)-'NF - 5 Power Mix'!LHC21-'NF - 5 Power Mix'!LHC22</f>
        <v>0</v>
      </c>
      <c r="LHD42" s="1046">
        <f>LHD38+((LHD40+'NF - 5 Power Mix'!LHD14+'NF - 5 Power Mix'!LHD15)*860/10)+((('Form Sa1'!LHG835)*860)/10)+('Form Sa1'!LHG814*'Form Sa1'!LHG816/10)-'NF - 5 Power Mix'!LHD21-'NF - 5 Power Mix'!LHD22</f>
        <v>0</v>
      </c>
      <c r="LHE42" s="1046">
        <f>LHE38+((LHE40+'NF - 5 Power Mix'!LHE14+'NF - 5 Power Mix'!LHE15)*860/10)+((('Form Sa1'!LHH835)*860)/10)+('Form Sa1'!LHH814*'Form Sa1'!LHH816/10)-'NF - 5 Power Mix'!LHE21-'NF - 5 Power Mix'!LHE22</f>
        <v>0</v>
      </c>
      <c r="LHF42" s="1046">
        <f>LHF38+((LHF40+'NF - 5 Power Mix'!LHF14+'NF - 5 Power Mix'!LHF15)*860/10)+((('Form Sa1'!LHI835)*860)/10)+('Form Sa1'!LHI814*'Form Sa1'!LHI816/10)-'NF - 5 Power Mix'!LHF21-'NF - 5 Power Mix'!LHF22</f>
        <v>0</v>
      </c>
      <c r="LHG42" s="1046">
        <f>LHG38+((LHG40+'NF - 5 Power Mix'!LHG14+'NF - 5 Power Mix'!LHG15)*860/10)+((('Form Sa1'!LHJ835)*860)/10)+('Form Sa1'!LHJ814*'Form Sa1'!LHJ816/10)-'NF - 5 Power Mix'!LHG21-'NF - 5 Power Mix'!LHG22</f>
        <v>0</v>
      </c>
      <c r="LHH42" s="1046">
        <f>LHH38+((LHH40+'NF - 5 Power Mix'!LHH14+'NF - 5 Power Mix'!LHH15)*860/10)+((('Form Sa1'!LHK835)*860)/10)+('Form Sa1'!LHK814*'Form Sa1'!LHK816/10)-'NF - 5 Power Mix'!LHH21-'NF - 5 Power Mix'!LHH22</f>
        <v>0</v>
      </c>
      <c r="LHI42" s="1046">
        <f>LHI38+((LHI40+'NF - 5 Power Mix'!LHI14+'NF - 5 Power Mix'!LHI15)*860/10)+((('Form Sa1'!LHL835)*860)/10)+('Form Sa1'!LHL814*'Form Sa1'!LHL816/10)-'NF - 5 Power Mix'!LHI21-'NF - 5 Power Mix'!LHI22</f>
        <v>0</v>
      </c>
      <c r="LHJ42" s="1046">
        <f>LHJ38+((LHJ40+'NF - 5 Power Mix'!LHJ14+'NF - 5 Power Mix'!LHJ15)*860/10)+((('Form Sa1'!LHM835)*860)/10)+('Form Sa1'!LHM814*'Form Sa1'!LHM816/10)-'NF - 5 Power Mix'!LHJ21-'NF - 5 Power Mix'!LHJ22</f>
        <v>0</v>
      </c>
      <c r="LHK42" s="1046">
        <f>LHK38+((LHK40+'NF - 5 Power Mix'!LHK14+'NF - 5 Power Mix'!LHK15)*860/10)+((('Form Sa1'!LHN835)*860)/10)+('Form Sa1'!LHN814*'Form Sa1'!LHN816/10)-'NF - 5 Power Mix'!LHK21-'NF - 5 Power Mix'!LHK22</f>
        <v>0</v>
      </c>
      <c r="LHL42" s="1046">
        <f>LHL38+((LHL40+'NF - 5 Power Mix'!LHL14+'NF - 5 Power Mix'!LHL15)*860/10)+((('Form Sa1'!LHO835)*860)/10)+('Form Sa1'!LHO814*'Form Sa1'!LHO816/10)-'NF - 5 Power Mix'!LHL21-'NF - 5 Power Mix'!LHL22</f>
        <v>0</v>
      </c>
      <c r="LHM42" s="1046">
        <f>LHM38+((LHM40+'NF - 5 Power Mix'!LHM14+'NF - 5 Power Mix'!LHM15)*860/10)+((('Form Sa1'!LHP835)*860)/10)+('Form Sa1'!LHP814*'Form Sa1'!LHP816/10)-'NF - 5 Power Mix'!LHM21-'NF - 5 Power Mix'!LHM22</f>
        <v>0</v>
      </c>
      <c r="LHN42" s="1046">
        <f>LHN38+((LHN40+'NF - 5 Power Mix'!LHN14+'NF - 5 Power Mix'!LHN15)*860/10)+((('Form Sa1'!LHQ835)*860)/10)+('Form Sa1'!LHQ814*'Form Sa1'!LHQ816/10)-'NF - 5 Power Mix'!LHN21-'NF - 5 Power Mix'!LHN22</f>
        <v>0</v>
      </c>
      <c r="LHO42" s="1046">
        <f>LHO38+((LHO40+'NF - 5 Power Mix'!LHO14+'NF - 5 Power Mix'!LHO15)*860/10)+((('Form Sa1'!LHR835)*860)/10)+('Form Sa1'!LHR814*'Form Sa1'!LHR816/10)-'NF - 5 Power Mix'!LHO21-'NF - 5 Power Mix'!LHO22</f>
        <v>0</v>
      </c>
      <c r="LHP42" s="1046">
        <f>LHP38+((LHP40+'NF - 5 Power Mix'!LHP14+'NF - 5 Power Mix'!LHP15)*860/10)+((('Form Sa1'!LHS835)*860)/10)+('Form Sa1'!LHS814*'Form Sa1'!LHS816/10)-'NF - 5 Power Mix'!LHP21-'NF - 5 Power Mix'!LHP22</f>
        <v>0</v>
      </c>
      <c r="LHQ42" s="1046">
        <f>LHQ38+((LHQ40+'NF - 5 Power Mix'!LHQ14+'NF - 5 Power Mix'!LHQ15)*860/10)+((('Form Sa1'!LHT835)*860)/10)+('Form Sa1'!LHT814*'Form Sa1'!LHT816/10)-'NF - 5 Power Mix'!LHQ21-'NF - 5 Power Mix'!LHQ22</f>
        <v>0</v>
      </c>
      <c r="LHR42" s="1046">
        <f>LHR38+((LHR40+'NF - 5 Power Mix'!LHR14+'NF - 5 Power Mix'!LHR15)*860/10)+((('Form Sa1'!LHU835)*860)/10)+('Form Sa1'!LHU814*'Form Sa1'!LHU816/10)-'NF - 5 Power Mix'!LHR21-'NF - 5 Power Mix'!LHR22</f>
        <v>0</v>
      </c>
      <c r="LHS42" s="1046">
        <f>LHS38+((LHS40+'NF - 5 Power Mix'!LHS14+'NF - 5 Power Mix'!LHS15)*860/10)+((('Form Sa1'!LHV835)*860)/10)+('Form Sa1'!LHV814*'Form Sa1'!LHV816/10)-'NF - 5 Power Mix'!LHS21-'NF - 5 Power Mix'!LHS22</f>
        <v>0</v>
      </c>
      <c r="LHT42" s="1046">
        <f>LHT38+((LHT40+'NF - 5 Power Mix'!LHT14+'NF - 5 Power Mix'!LHT15)*860/10)+((('Form Sa1'!LHW835)*860)/10)+('Form Sa1'!LHW814*'Form Sa1'!LHW816/10)-'NF - 5 Power Mix'!LHT21-'NF - 5 Power Mix'!LHT22</f>
        <v>0</v>
      </c>
      <c r="LHU42" s="1046">
        <f>LHU38+((LHU40+'NF - 5 Power Mix'!LHU14+'NF - 5 Power Mix'!LHU15)*860/10)+((('Form Sa1'!LHX835)*860)/10)+('Form Sa1'!LHX814*'Form Sa1'!LHX816/10)-'NF - 5 Power Mix'!LHU21-'NF - 5 Power Mix'!LHU22</f>
        <v>0</v>
      </c>
      <c r="LHV42" s="1046">
        <f>LHV38+((LHV40+'NF - 5 Power Mix'!LHV14+'NF - 5 Power Mix'!LHV15)*860/10)+((('Form Sa1'!LHY835)*860)/10)+('Form Sa1'!LHY814*'Form Sa1'!LHY816/10)-'NF - 5 Power Mix'!LHV21-'NF - 5 Power Mix'!LHV22</f>
        <v>0</v>
      </c>
      <c r="LHW42" s="1046">
        <f>LHW38+((LHW40+'NF - 5 Power Mix'!LHW14+'NF - 5 Power Mix'!LHW15)*860/10)+((('Form Sa1'!LHZ835)*860)/10)+('Form Sa1'!LHZ814*'Form Sa1'!LHZ816/10)-'NF - 5 Power Mix'!LHW21-'NF - 5 Power Mix'!LHW22</f>
        <v>0</v>
      </c>
      <c r="LHX42" s="1046">
        <f>LHX38+((LHX40+'NF - 5 Power Mix'!LHX14+'NF - 5 Power Mix'!LHX15)*860/10)+((('Form Sa1'!LIA835)*860)/10)+('Form Sa1'!LIA814*'Form Sa1'!LIA816/10)-'NF - 5 Power Mix'!LHX21-'NF - 5 Power Mix'!LHX22</f>
        <v>0</v>
      </c>
      <c r="LHY42" s="1046">
        <f>LHY38+((LHY40+'NF - 5 Power Mix'!LHY14+'NF - 5 Power Mix'!LHY15)*860/10)+((('Form Sa1'!LIB835)*860)/10)+('Form Sa1'!LIB814*'Form Sa1'!LIB816/10)-'NF - 5 Power Mix'!LHY21-'NF - 5 Power Mix'!LHY22</f>
        <v>0</v>
      </c>
      <c r="LHZ42" s="1046">
        <f>LHZ38+((LHZ40+'NF - 5 Power Mix'!LHZ14+'NF - 5 Power Mix'!LHZ15)*860/10)+((('Form Sa1'!LIC835)*860)/10)+('Form Sa1'!LIC814*'Form Sa1'!LIC816/10)-'NF - 5 Power Mix'!LHZ21-'NF - 5 Power Mix'!LHZ22</f>
        <v>0</v>
      </c>
      <c r="LIA42" s="1046">
        <f>LIA38+((LIA40+'NF - 5 Power Mix'!LIA14+'NF - 5 Power Mix'!LIA15)*860/10)+((('Form Sa1'!LID835)*860)/10)+('Form Sa1'!LID814*'Form Sa1'!LID816/10)-'NF - 5 Power Mix'!LIA21-'NF - 5 Power Mix'!LIA22</f>
        <v>0</v>
      </c>
      <c r="LIB42" s="1046">
        <f>LIB38+((LIB40+'NF - 5 Power Mix'!LIB14+'NF - 5 Power Mix'!LIB15)*860/10)+((('Form Sa1'!LIE835)*860)/10)+('Form Sa1'!LIE814*'Form Sa1'!LIE816/10)-'NF - 5 Power Mix'!LIB21-'NF - 5 Power Mix'!LIB22</f>
        <v>0</v>
      </c>
      <c r="LIC42" s="1046">
        <f>LIC38+((LIC40+'NF - 5 Power Mix'!LIC14+'NF - 5 Power Mix'!LIC15)*860/10)+((('Form Sa1'!LIF835)*860)/10)+('Form Sa1'!LIF814*'Form Sa1'!LIF816/10)-'NF - 5 Power Mix'!LIC21-'NF - 5 Power Mix'!LIC22</f>
        <v>0</v>
      </c>
      <c r="LID42" s="1046">
        <f>LID38+((LID40+'NF - 5 Power Mix'!LID14+'NF - 5 Power Mix'!LID15)*860/10)+((('Form Sa1'!LIG835)*860)/10)+('Form Sa1'!LIG814*'Form Sa1'!LIG816/10)-'NF - 5 Power Mix'!LID21-'NF - 5 Power Mix'!LID22</f>
        <v>0</v>
      </c>
      <c r="LIE42" s="1046">
        <f>LIE38+((LIE40+'NF - 5 Power Mix'!LIE14+'NF - 5 Power Mix'!LIE15)*860/10)+((('Form Sa1'!LIH835)*860)/10)+('Form Sa1'!LIH814*'Form Sa1'!LIH816/10)-'NF - 5 Power Mix'!LIE21-'NF - 5 Power Mix'!LIE22</f>
        <v>0</v>
      </c>
      <c r="LIF42" s="1046">
        <f>LIF38+((LIF40+'NF - 5 Power Mix'!LIF14+'NF - 5 Power Mix'!LIF15)*860/10)+((('Form Sa1'!LII835)*860)/10)+('Form Sa1'!LII814*'Form Sa1'!LII816/10)-'NF - 5 Power Mix'!LIF21-'NF - 5 Power Mix'!LIF22</f>
        <v>0</v>
      </c>
      <c r="LIG42" s="1046">
        <f>LIG38+((LIG40+'NF - 5 Power Mix'!LIG14+'NF - 5 Power Mix'!LIG15)*860/10)+((('Form Sa1'!LIJ835)*860)/10)+('Form Sa1'!LIJ814*'Form Sa1'!LIJ816/10)-'NF - 5 Power Mix'!LIG21-'NF - 5 Power Mix'!LIG22</f>
        <v>0</v>
      </c>
      <c r="LIH42" s="1046">
        <f>LIH38+((LIH40+'NF - 5 Power Mix'!LIH14+'NF - 5 Power Mix'!LIH15)*860/10)+((('Form Sa1'!LIK835)*860)/10)+('Form Sa1'!LIK814*'Form Sa1'!LIK816/10)-'NF - 5 Power Mix'!LIH21-'NF - 5 Power Mix'!LIH22</f>
        <v>0</v>
      </c>
      <c r="LII42" s="1046">
        <f>LII38+((LII40+'NF - 5 Power Mix'!LII14+'NF - 5 Power Mix'!LII15)*860/10)+((('Form Sa1'!LIL835)*860)/10)+('Form Sa1'!LIL814*'Form Sa1'!LIL816/10)-'NF - 5 Power Mix'!LII21-'NF - 5 Power Mix'!LII22</f>
        <v>0</v>
      </c>
      <c r="LIJ42" s="1046">
        <f>LIJ38+((LIJ40+'NF - 5 Power Mix'!LIJ14+'NF - 5 Power Mix'!LIJ15)*860/10)+((('Form Sa1'!LIM835)*860)/10)+('Form Sa1'!LIM814*'Form Sa1'!LIM816/10)-'NF - 5 Power Mix'!LIJ21-'NF - 5 Power Mix'!LIJ22</f>
        <v>0</v>
      </c>
      <c r="LIK42" s="1046">
        <f>LIK38+((LIK40+'NF - 5 Power Mix'!LIK14+'NF - 5 Power Mix'!LIK15)*860/10)+((('Form Sa1'!LIN835)*860)/10)+('Form Sa1'!LIN814*'Form Sa1'!LIN816/10)-'NF - 5 Power Mix'!LIK21-'NF - 5 Power Mix'!LIK22</f>
        <v>0</v>
      </c>
      <c r="LIL42" s="1046">
        <f>LIL38+((LIL40+'NF - 5 Power Mix'!LIL14+'NF - 5 Power Mix'!LIL15)*860/10)+((('Form Sa1'!LIO835)*860)/10)+('Form Sa1'!LIO814*'Form Sa1'!LIO816/10)-'NF - 5 Power Mix'!LIL21-'NF - 5 Power Mix'!LIL22</f>
        <v>0</v>
      </c>
      <c r="LIM42" s="1046">
        <f>LIM38+((LIM40+'NF - 5 Power Mix'!LIM14+'NF - 5 Power Mix'!LIM15)*860/10)+((('Form Sa1'!LIP835)*860)/10)+('Form Sa1'!LIP814*'Form Sa1'!LIP816/10)-'NF - 5 Power Mix'!LIM21-'NF - 5 Power Mix'!LIM22</f>
        <v>0</v>
      </c>
      <c r="LIN42" s="1046">
        <f>LIN38+((LIN40+'NF - 5 Power Mix'!LIN14+'NF - 5 Power Mix'!LIN15)*860/10)+((('Form Sa1'!LIQ835)*860)/10)+('Form Sa1'!LIQ814*'Form Sa1'!LIQ816/10)-'NF - 5 Power Mix'!LIN21-'NF - 5 Power Mix'!LIN22</f>
        <v>0</v>
      </c>
      <c r="LIO42" s="1046">
        <f>LIO38+((LIO40+'NF - 5 Power Mix'!LIO14+'NF - 5 Power Mix'!LIO15)*860/10)+((('Form Sa1'!LIR835)*860)/10)+('Form Sa1'!LIR814*'Form Sa1'!LIR816/10)-'NF - 5 Power Mix'!LIO21-'NF - 5 Power Mix'!LIO22</f>
        <v>0</v>
      </c>
      <c r="LIP42" s="1046">
        <f>LIP38+((LIP40+'NF - 5 Power Mix'!LIP14+'NF - 5 Power Mix'!LIP15)*860/10)+((('Form Sa1'!LIS835)*860)/10)+('Form Sa1'!LIS814*'Form Sa1'!LIS816/10)-'NF - 5 Power Mix'!LIP21-'NF - 5 Power Mix'!LIP22</f>
        <v>0</v>
      </c>
      <c r="LIQ42" s="1046">
        <f>LIQ38+((LIQ40+'NF - 5 Power Mix'!LIQ14+'NF - 5 Power Mix'!LIQ15)*860/10)+((('Form Sa1'!LIT835)*860)/10)+('Form Sa1'!LIT814*'Form Sa1'!LIT816/10)-'NF - 5 Power Mix'!LIQ21-'NF - 5 Power Mix'!LIQ22</f>
        <v>0</v>
      </c>
      <c r="LIR42" s="1046">
        <f>LIR38+((LIR40+'NF - 5 Power Mix'!LIR14+'NF - 5 Power Mix'!LIR15)*860/10)+((('Form Sa1'!LIU835)*860)/10)+('Form Sa1'!LIU814*'Form Sa1'!LIU816/10)-'NF - 5 Power Mix'!LIR21-'NF - 5 Power Mix'!LIR22</f>
        <v>0</v>
      </c>
      <c r="LIS42" s="1046">
        <f>LIS38+((LIS40+'NF - 5 Power Mix'!LIS14+'NF - 5 Power Mix'!LIS15)*860/10)+((('Form Sa1'!LIV835)*860)/10)+('Form Sa1'!LIV814*'Form Sa1'!LIV816/10)-'NF - 5 Power Mix'!LIS21-'NF - 5 Power Mix'!LIS22</f>
        <v>0</v>
      </c>
      <c r="LIT42" s="1046">
        <f>LIT38+((LIT40+'NF - 5 Power Mix'!LIT14+'NF - 5 Power Mix'!LIT15)*860/10)+((('Form Sa1'!LIW835)*860)/10)+('Form Sa1'!LIW814*'Form Sa1'!LIW816/10)-'NF - 5 Power Mix'!LIT21-'NF - 5 Power Mix'!LIT22</f>
        <v>0</v>
      </c>
      <c r="LIU42" s="1046">
        <f>LIU38+((LIU40+'NF - 5 Power Mix'!LIU14+'NF - 5 Power Mix'!LIU15)*860/10)+((('Form Sa1'!LIX835)*860)/10)+('Form Sa1'!LIX814*'Form Sa1'!LIX816/10)-'NF - 5 Power Mix'!LIU21-'NF - 5 Power Mix'!LIU22</f>
        <v>0</v>
      </c>
      <c r="LIV42" s="1046">
        <f>LIV38+((LIV40+'NF - 5 Power Mix'!LIV14+'NF - 5 Power Mix'!LIV15)*860/10)+((('Form Sa1'!LIY835)*860)/10)+('Form Sa1'!LIY814*'Form Sa1'!LIY816/10)-'NF - 5 Power Mix'!LIV21-'NF - 5 Power Mix'!LIV22</f>
        <v>0</v>
      </c>
      <c r="LIW42" s="1046">
        <f>LIW38+((LIW40+'NF - 5 Power Mix'!LIW14+'NF - 5 Power Mix'!LIW15)*860/10)+((('Form Sa1'!LIZ835)*860)/10)+('Form Sa1'!LIZ814*'Form Sa1'!LIZ816/10)-'NF - 5 Power Mix'!LIW21-'NF - 5 Power Mix'!LIW22</f>
        <v>0</v>
      </c>
      <c r="LIX42" s="1046">
        <f>LIX38+((LIX40+'NF - 5 Power Mix'!LIX14+'NF - 5 Power Mix'!LIX15)*860/10)+((('Form Sa1'!LJA835)*860)/10)+('Form Sa1'!LJA814*'Form Sa1'!LJA816/10)-'NF - 5 Power Mix'!LIX21-'NF - 5 Power Mix'!LIX22</f>
        <v>0</v>
      </c>
      <c r="LIY42" s="1046">
        <f>LIY38+((LIY40+'NF - 5 Power Mix'!LIY14+'NF - 5 Power Mix'!LIY15)*860/10)+((('Form Sa1'!LJB835)*860)/10)+('Form Sa1'!LJB814*'Form Sa1'!LJB816/10)-'NF - 5 Power Mix'!LIY21-'NF - 5 Power Mix'!LIY22</f>
        <v>0</v>
      </c>
      <c r="LIZ42" s="1046">
        <f>LIZ38+((LIZ40+'NF - 5 Power Mix'!LIZ14+'NF - 5 Power Mix'!LIZ15)*860/10)+((('Form Sa1'!LJC835)*860)/10)+('Form Sa1'!LJC814*'Form Sa1'!LJC816/10)-'NF - 5 Power Mix'!LIZ21-'NF - 5 Power Mix'!LIZ22</f>
        <v>0</v>
      </c>
      <c r="LJA42" s="1046">
        <f>LJA38+((LJA40+'NF - 5 Power Mix'!LJA14+'NF - 5 Power Mix'!LJA15)*860/10)+((('Form Sa1'!LJD835)*860)/10)+('Form Sa1'!LJD814*'Form Sa1'!LJD816/10)-'NF - 5 Power Mix'!LJA21-'NF - 5 Power Mix'!LJA22</f>
        <v>0</v>
      </c>
      <c r="LJB42" s="1046">
        <f>LJB38+((LJB40+'NF - 5 Power Mix'!LJB14+'NF - 5 Power Mix'!LJB15)*860/10)+((('Form Sa1'!LJE835)*860)/10)+('Form Sa1'!LJE814*'Form Sa1'!LJE816/10)-'NF - 5 Power Mix'!LJB21-'NF - 5 Power Mix'!LJB22</f>
        <v>0</v>
      </c>
      <c r="LJC42" s="1046">
        <f>LJC38+((LJC40+'NF - 5 Power Mix'!LJC14+'NF - 5 Power Mix'!LJC15)*860/10)+((('Form Sa1'!LJF835)*860)/10)+('Form Sa1'!LJF814*'Form Sa1'!LJF816/10)-'NF - 5 Power Mix'!LJC21-'NF - 5 Power Mix'!LJC22</f>
        <v>0</v>
      </c>
      <c r="LJD42" s="1046">
        <f>LJD38+((LJD40+'NF - 5 Power Mix'!LJD14+'NF - 5 Power Mix'!LJD15)*860/10)+((('Form Sa1'!LJG835)*860)/10)+('Form Sa1'!LJG814*'Form Sa1'!LJG816/10)-'NF - 5 Power Mix'!LJD21-'NF - 5 Power Mix'!LJD22</f>
        <v>0</v>
      </c>
      <c r="LJE42" s="1046">
        <f>LJE38+((LJE40+'NF - 5 Power Mix'!LJE14+'NF - 5 Power Mix'!LJE15)*860/10)+((('Form Sa1'!LJH835)*860)/10)+('Form Sa1'!LJH814*'Form Sa1'!LJH816/10)-'NF - 5 Power Mix'!LJE21-'NF - 5 Power Mix'!LJE22</f>
        <v>0</v>
      </c>
      <c r="LJF42" s="1046">
        <f>LJF38+((LJF40+'NF - 5 Power Mix'!LJF14+'NF - 5 Power Mix'!LJF15)*860/10)+((('Form Sa1'!LJI835)*860)/10)+('Form Sa1'!LJI814*'Form Sa1'!LJI816/10)-'NF - 5 Power Mix'!LJF21-'NF - 5 Power Mix'!LJF22</f>
        <v>0</v>
      </c>
      <c r="LJG42" s="1046">
        <f>LJG38+((LJG40+'NF - 5 Power Mix'!LJG14+'NF - 5 Power Mix'!LJG15)*860/10)+((('Form Sa1'!LJJ835)*860)/10)+('Form Sa1'!LJJ814*'Form Sa1'!LJJ816/10)-'NF - 5 Power Mix'!LJG21-'NF - 5 Power Mix'!LJG22</f>
        <v>0</v>
      </c>
      <c r="LJH42" s="1046">
        <f>LJH38+((LJH40+'NF - 5 Power Mix'!LJH14+'NF - 5 Power Mix'!LJH15)*860/10)+((('Form Sa1'!LJK835)*860)/10)+('Form Sa1'!LJK814*'Form Sa1'!LJK816/10)-'NF - 5 Power Mix'!LJH21-'NF - 5 Power Mix'!LJH22</f>
        <v>0</v>
      </c>
      <c r="LJI42" s="1046">
        <f>LJI38+((LJI40+'NF - 5 Power Mix'!LJI14+'NF - 5 Power Mix'!LJI15)*860/10)+((('Form Sa1'!LJL835)*860)/10)+('Form Sa1'!LJL814*'Form Sa1'!LJL816/10)-'NF - 5 Power Mix'!LJI21-'NF - 5 Power Mix'!LJI22</f>
        <v>0</v>
      </c>
      <c r="LJJ42" s="1046">
        <f>LJJ38+((LJJ40+'NF - 5 Power Mix'!LJJ14+'NF - 5 Power Mix'!LJJ15)*860/10)+((('Form Sa1'!LJM835)*860)/10)+('Form Sa1'!LJM814*'Form Sa1'!LJM816/10)-'NF - 5 Power Mix'!LJJ21-'NF - 5 Power Mix'!LJJ22</f>
        <v>0</v>
      </c>
      <c r="LJK42" s="1046">
        <f>LJK38+((LJK40+'NF - 5 Power Mix'!LJK14+'NF - 5 Power Mix'!LJK15)*860/10)+((('Form Sa1'!LJN835)*860)/10)+('Form Sa1'!LJN814*'Form Sa1'!LJN816/10)-'NF - 5 Power Mix'!LJK21-'NF - 5 Power Mix'!LJK22</f>
        <v>0</v>
      </c>
      <c r="LJL42" s="1046">
        <f>LJL38+((LJL40+'NF - 5 Power Mix'!LJL14+'NF - 5 Power Mix'!LJL15)*860/10)+((('Form Sa1'!LJO835)*860)/10)+('Form Sa1'!LJO814*'Form Sa1'!LJO816/10)-'NF - 5 Power Mix'!LJL21-'NF - 5 Power Mix'!LJL22</f>
        <v>0</v>
      </c>
      <c r="LJM42" s="1046">
        <f>LJM38+((LJM40+'NF - 5 Power Mix'!LJM14+'NF - 5 Power Mix'!LJM15)*860/10)+((('Form Sa1'!LJP835)*860)/10)+('Form Sa1'!LJP814*'Form Sa1'!LJP816/10)-'NF - 5 Power Mix'!LJM21-'NF - 5 Power Mix'!LJM22</f>
        <v>0</v>
      </c>
      <c r="LJN42" s="1046">
        <f>LJN38+((LJN40+'NF - 5 Power Mix'!LJN14+'NF - 5 Power Mix'!LJN15)*860/10)+((('Form Sa1'!LJQ835)*860)/10)+('Form Sa1'!LJQ814*'Form Sa1'!LJQ816/10)-'NF - 5 Power Mix'!LJN21-'NF - 5 Power Mix'!LJN22</f>
        <v>0</v>
      </c>
      <c r="LJO42" s="1046">
        <f>LJO38+((LJO40+'NF - 5 Power Mix'!LJO14+'NF - 5 Power Mix'!LJO15)*860/10)+((('Form Sa1'!LJR835)*860)/10)+('Form Sa1'!LJR814*'Form Sa1'!LJR816/10)-'NF - 5 Power Mix'!LJO21-'NF - 5 Power Mix'!LJO22</f>
        <v>0</v>
      </c>
      <c r="LJP42" s="1046">
        <f>LJP38+((LJP40+'NF - 5 Power Mix'!LJP14+'NF - 5 Power Mix'!LJP15)*860/10)+((('Form Sa1'!LJS835)*860)/10)+('Form Sa1'!LJS814*'Form Sa1'!LJS816/10)-'NF - 5 Power Mix'!LJP21-'NF - 5 Power Mix'!LJP22</f>
        <v>0</v>
      </c>
      <c r="LJQ42" s="1046">
        <f>LJQ38+((LJQ40+'NF - 5 Power Mix'!LJQ14+'NF - 5 Power Mix'!LJQ15)*860/10)+((('Form Sa1'!LJT835)*860)/10)+('Form Sa1'!LJT814*'Form Sa1'!LJT816/10)-'NF - 5 Power Mix'!LJQ21-'NF - 5 Power Mix'!LJQ22</f>
        <v>0</v>
      </c>
      <c r="LJR42" s="1046">
        <f>LJR38+((LJR40+'NF - 5 Power Mix'!LJR14+'NF - 5 Power Mix'!LJR15)*860/10)+((('Form Sa1'!LJU835)*860)/10)+('Form Sa1'!LJU814*'Form Sa1'!LJU816/10)-'NF - 5 Power Mix'!LJR21-'NF - 5 Power Mix'!LJR22</f>
        <v>0</v>
      </c>
      <c r="LJS42" s="1046">
        <f>LJS38+((LJS40+'NF - 5 Power Mix'!LJS14+'NF - 5 Power Mix'!LJS15)*860/10)+((('Form Sa1'!LJV835)*860)/10)+('Form Sa1'!LJV814*'Form Sa1'!LJV816/10)-'NF - 5 Power Mix'!LJS21-'NF - 5 Power Mix'!LJS22</f>
        <v>0</v>
      </c>
      <c r="LJT42" s="1046">
        <f>LJT38+((LJT40+'NF - 5 Power Mix'!LJT14+'NF - 5 Power Mix'!LJT15)*860/10)+((('Form Sa1'!LJW835)*860)/10)+('Form Sa1'!LJW814*'Form Sa1'!LJW816/10)-'NF - 5 Power Mix'!LJT21-'NF - 5 Power Mix'!LJT22</f>
        <v>0</v>
      </c>
      <c r="LJU42" s="1046">
        <f>LJU38+((LJU40+'NF - 5 Power Mix'!LJU14+'NF - 5 Power Mix'!LJU15)*860/10)+((('Form Sa1'!LJX835)*860)/10)+('Form Sa1'!LJX814*'Form Sa1'!LJX816/10)-'NF - 5 Power Mix'!LJU21-'NF - 5 Power Mix'!LJU22</f>
        <v>0</v>
      </c>
      <c r="LJV42" s="1046">
        <f>LJV38+((LJV40+'NF - 5 Power Mix'!LJV14+'NF - 5 Power Mix'!LJV15)*860/10)+((('Form Sa1'!LJY835)*860)/10)+('Form Sa1'!LJY814*'Form Sa1'!LJY816/10)-'NF - 5 Power Mix'!LJV21-'NF - 5 Power Mix'!LJV22</f>
        <v>0</v>
      </c>
      <c r="LJW42" s="1046">
        <f>LJW38+((LJW40+'NF - 5 Power Mix'!LJW14+'NF - 5 Power Mix'!LJW15)*860/10)+((('Form Sa1'!LJZ835)*860)/10)+('Form Sa1'!LJZ814*'Form Sa1'!LJZ816/10)-'NF - 5 Power Mix'!LJW21-'NF - 5 Power Mix'!LJW22</f>
        <v>0</v>
      </c>
      <c r="LJX42" s="1046">
        <f>LJX38+((LJX40+'NF - 5 Power Mix'!LJX14+'NF - 5 Power Mix'!LJX15)*860/10)+((('Form Sa1'!LKA835)*860)/10)+('Form Sa1'!LKA814*'Form Sa1'!LKA816/10)-'NF - 5 Power Mix'!LJX21-'NF - 5 Power Mix'!LJX22</f>
        <v>0</v>
      </c>
      <c r="LJY42" s="1046">
        <f>LJY38+((LJY40+'NF - 5 Power Mix'!LJY14+'NF - 5 Power Mix'!LJY15)*860/10)+((('Form Sa1'!LKB835)*860)/10)+('Form Sa1'!LKB814*'Form Sa1'!LKB816/10)-'NF - 5 Power Mix'!LJY21-'NF - 5 Power Mix'!LJY22</f>
        <v>0</v>
      </c>
      <c r="LJZ42" s="1046">
        <f>LJZ38+((LJZ40+'NF - 5 Power Mix'!LJZ14+'NF - 5 Power Mix'!LJZ15)*860/10)+((('Form Sa1'!LKC835)*860)/10)+('Form Sa1'!LKC814*'Form Sa1'!LKC816/10)-'NF - 5 Power Mix'!LJZ21-'NF - 5 Power Mix'!LJZ22</f>
        <v>0</v>
      </c>
      <c r="LKA42" s="1046">
        <f>LKA38+((LKA40+'NF - 5 Power Mix'!LKA14+'NF - 5 Power Mix'!LKA15)*860/10)+((('Form Sa1'!LKD835)*860)/10)+('Form Sa1'!LKD814*'Form Sa1'!LKD816/10)-'NF - 5 Power Mix'!LKA21-'NF - 5 Power Mix'!LKA22</f>
        <v>0</v>
      </c>
      <c r="LKB42" s="1046">
        <f>LKB38+((LKB40+'NF - 5 Power Mix'!LKB14+'NF - 5 Power Mix'!LKB15)*860/10)+((('Form Sa1'!LKE835)*860)/10)+('Form Sa1'!LKE814*'Form Sa1'!LKE816/10)-'NF - 5 Power Mix'!LKB21-'NF - 5 Power Mix'!LKB22</f>
        <v>0</v>
      </c>
      <c r="LKC42" s="1046">
        <f>LKC38+((LKC40+'NF - 5 Power Mix'!LKC14+'NF - 5 Power Mix'!LKC15)*860/10)+((('Form Sa1'!LKF835)*860)/10)+('Form Sa1'!LKF814*'Form Sa1'!LKF816/10)-'NF - 5 Power Mix'!LKC21-'NF - 5 Power Mix'!LKC22</f>
        <v>0</v>
      </c>
      <c r="LKD42" s="1046">
        <f>LKD38+((LKD40+'NF - 5 Power Mix'!LKD14+'NF - 5 Power Mix'!LKD15)*860/10)+((('Form Sa1'!LKG835)*860)/10)+('Form Sa1'!LKG814*'Form Sa1'!LKG816/10)-'NF - 5 Power Mix'!LKD21-'NF - 5 Power Mix'!LKD22</f>
        <v>0</v>
      </c>
      <c r="LKE42" s="1046">
        <f>LKE38+((LKE40+'NF - 5 Power Mix'!LKE14+'NF - 5 Power Mix'!LKE15)*860/10)+((('Form Sa1'!LKH835)*860)/10)+('Form Sa1'!LKH814*'Form Sa1'!LKH816/10)-'NF - 5 Power Mix'!LKE21-'NF - 5 Power Mix'!LKE22</f>
        <v>0</v>
      </c>
      <c r="LKF42" s="1046">
        <f>LKF38+((LKF40+'NF - 5 Power Mix'!LKF14+'NF - 5 Power Mix'!LKF15)*860/10)+((('Form Sa1'!LKI835)*860)/10)+('Form Sa1'!LKI814*'Form Sa1'!LKI816/10)-'NF - 5 Power Mix'!LKF21-'NF - 5 Power Mix'!LKF22</f>
        <v>0</v>
      </c>
      <c r="LKG42" s="1046">
        <f>LKG38+((LKG40+'NF - 5 Power Mix'!LKG14+'NF - 5 Power Mix'!LKG15)*860/10)+((('Form Sa1'!LKJ835)*860)/10)+('Form Sa1'!LKJ814*'Form Sa1'!LKJ816/10)-'NF - 5 Power Mix'!LKG21-'NF - 5 Power Mix'!LKG22</f>
        <v>0</v>
      </c>
      <c r="LKH42" s="1046">
        <f>LKH38+((LKH40+'NF - 5 Power Mix'!LKH14+'NF - 5 Power Mix'!LKH15)*860/10)+((('Form Sa1'!LKK835)*860)/10)+('Form Sa1'!LKK814*'Form Sa1'!LKK816/10)-'NF - 5 Power Mix'!LKH21-'NF - 5 Power Mix'!LKH22</f>
        <v>0</v>
      </c>
      <c r="LKI42" s="1046">
        <f>LKI38+((LKI40+'NF - 5 Power Mix'!LKI14+'NF - 5 Power Mix'!LKI15)*860/10)+((('Form Sa1'!LKL835)*860)/10)+('Form Sa1'!LKL814*'Form Sa1'!LKL816/10)-'NF - 5 Power Mix'!LKI21-'NF - 5 Power Mix'!LKI22</f>
        <v>0</v>
      </c>
      <c r="LKJ42" s="1046">
        <f>LKJ38+((LKJ40+'NF - 5 Power Mix'!LKJ14+'NF - 5 Power Mix'!LKJ15)*860/10)+((('Form Sa1'!LKM835)*860)/10)+('Form Sa1'!LKM814*'Form Sa1'!LKM816/10)-'NF - 5 Power Mix'!LKJ21-'NF - 5 Power Mix'!LKJ22</f>
        <v>0</v>
      </c>
      <c r="LKK42" s="1046">
        <f>LKK38+((LKK40+'NF - 5 Power Mix'!LKK14+'NF - 5 Power Mix'!LKK15)*860/10)+((('Form Sa1'!LKN835)*860)/10)+('Form Sa1'!LKN814*'Form Sa1'!LKN816/10)-'NF - 5 Power Mix'!LKK21-'NF - 5 Power Mix'!LKK22</f>
        <v>0</v>
      </c>
      <c r="LKL42" s="1046">
        <f>LKL38+((LKL40+'NF - 5 Power Mix'!LKL14+'NF - 5 Power Mix'!LKL15)*860/10)+((('Form Sa1'!LKO835)*860)/10)+('Form Sa1'!LKO814*'Form Sa1'!LKO816/10)-'NF - 5 Power Mix'!LKL21-'NF - 5 Power Mix'!LKL22</f>
        <v>0</v>
      </c>
      <c r="LKM42" s="1046">
        <f>LKM38+((LKM40+'NF - 5 Power Mix'!LKM14+'NF - 5 Power Mix'!LKM15)*860/10)+((('Form Sa1'!LKP835)*860)/10)+('Form Sa1'!LKP814*'Form Sa1'!LKP816/10)-'NF - 5 Power Mix'!LKM21-'NF - 5 Power Mix'!LKM22</f>
        <v>0</v>
      </c>
      <c r="LKN42" s="1046">
        <f>LKN38+((LKN40+'NF - 5 Power Mix'!LKN14+'NF - 5 Power Mix'!LKN15)*860/10)+((('Form Sa1'!LKQ835)*860)/10)+('Form Sa1'!LKQ814*'Form Sa1'!LKQ816/10)-'NF - 5 Power Mix'!LKN21-'NF - 5 Power Mix'!LKN22</f>
        <v>0</v>
      </c>
      <c r="LKO42" s="1046">
        <f>LKO38+((LKO40+'NF - 5 Power Mix'!LKO14+'NF - 5 Power Mix'!LKO15)*860/10)+((('Form Sa1'!LKR835)*860)/10)+('Form Sa1'!LKR814*'Form Sa1'!LKR816/10)-'NF - 5 Power Mix'!LKO21-'NF - 5 Power Mix'!LKO22</f>
        <v>0</v>
      </c>
      <c r="LKP42" s="1046">
        <f>LKP38+((LKP40+'NF - 5 Power Mix'!LKP14+'NF - 5 Power Mix'!LKP15)*860/10)+((('Form Sa1'!LKS835)*860)/10)+('Form Sa1'!LKS814*'Form Sa1'!LKS816/10)-'NF - 5 Power Mix'!LKP21-'NF - 5 Power Mix'!LKP22</f>
        <v>0</v>
      </c>
      <c r="LKQ42" s="1046">
        <f>LKQ38+((LKQ40+'NF - 5 Power Mix'!LKQ14+'NF - 5 Power Mix'!LKQ15)*860/10)+((('Form Sa1'!LKT835)*860)/10)+('Form Sa1'!LKT814*'Form Sa1'!LKT816/10)-'NF - 5 Power Mix'!LKQ21-'NF - 5 Power Mix'!LKQ22</f>
        <v>0</v>
      </c>
      <c r="LKR42" s="1046">
        <f>LKR38+((LKR40+'NF - 5 Power Mix'!LKR14+'NF - 5 Power Mix'!LKR15)*860/10)+((('Form Sa1'!LKU835)*860)/10)+('Form Sa1'!LKU814*'Form Sa1'!LKU816/10)-'NF - 5 Power Mix'!LKR21-'NF - 5 Power Mix'!LKR22</f>
        <v>0</v>
      </c>
      <c r="LKS42" s="1046">
        <f>LKS38+((LKS40+'NF - 5 Power Mix'!LKS14+'NF - 5 Power Mix'!LKS15)*860/10)+((('Form Sa1'!LKV835)*860)/10)+('Form Sa1'!LKV814*'Form Sa1'!LKV816/10)-'NF - 5 Power Mix'!LKS21-'NF - 5 Power Mix'!LKS22</f>
        <v>0</v>
      </c>
      <c r="LKT42" s="1046">
        <f>LKT38+((LKT40+'NF - 5 Power Mix'!LKT14+'NF - 5 Power Mix'!LKT15)*860/10)+((('Form Sa1'!LKW835)*860)/10)+('Form Sa1'!LKW814*'Form Sa1'!LKW816/10)-'NF - 5 Power Mix'!LKT21-'NF - 5 Power Mix'!LKT22</f>
        <v>0</v>
      </c>
      <c r="LKU42" s="1046">
        <f>LKU38+((LKU40+'NF - 5 Power Mix'!LKU14+'NF - 5 Power Mix'!LKU15)*860/10)+((('Form Sa1'!LKX835)*860)/10)+('Form Sa1'!LKX814*'Form Sa1'!LKX816/10)-'NF - 5 Power Mix'!LKU21-'NF - 5 Power Mix'!LKU22</f>
        <v>0</v>
      </c>
      <c r="LKV42" s="1046">
        <f>LKV38+((LKV40+'NF - 5 Power Mix'!LKV14+'NF - 5 Power Mix'!LKV15)*860/10)+((('Form Sa1'!LKY835)*860)/10)+('Form Sa1'!LKY814*'Form Sa1'!LKY816/10)-'NF - 5 Power Mix'!LKV21-'NF - 5 Power Mix'!LKV22</f>
        <v>0</v>
      </c>
      <c r="LKW42" s="1046">
        <f>LKW38+((LKW40+'NF - 5 Power Mix'!LKW14+'NF - 5 Power Mix'!LKW15)*860/10)+((('Form Sa1'!LKZ835)*860)/10)+('Form Sa1'!LKZ814*'Form Sa1'!LKZ816/10)-'NF - 5 Power Mix'!LKW21-'NF - 5 Power Mix'!LKW22</f>
        <v>0</v>
      </c>
      <c r="LKX42" s="1046">
        <f>LKX38+((LKX40+'NF - 5 Power Mix'!LKX14+'NF - 5 Power Mix'!LKX15)*860/10)+((('Form Sa1'!LLA835)*860)/10)+('Form Sa1'!LLA814*'Form Sa1'!LLA816/10)-'NF - 5 Power Mix'!LKX21-'NF - 5 Power Mix'!LKX22</f>
        <v>0</v>
      </c>
      <c r="LKY42" s="1046">
        <f>LKY38+((LKY40+'NF - 5 Power Mix'!LKY14+'NF - 5 Power Mix'!LKY15)*860/10)+((('Form Sa1'!LLB835)*860)/10)+('Form Sa1'!LLB814*'Form Sa1'!LLB816/10)-'NF - 5 Power Mix'!LKY21-'NF - 5 Power Mix'!LKY22</f>
        <v>0</v>
      </c>
      <c r="LKZ42" s="1046">
        <f>LKZ38+((LKZ40+'NF - 5 Power Mix'!LKZ14+'NF - 5 Power Mix'!LKZ15)*860/10)+((('Form Sa1'!LLC835)*860)/10)+('Form Sa1'!LLC814*'Form Sa1'!LLC816/10)-'NF - 5 Power Mix'!LKZ21-'NF - 5 Power Mix'!LKZ22</f>
        <v>0</v>
      </c>
      <c r="LLA42" s="1046">
        <f>LLA38+((LLA40+'NF - 5 Power Mix'!LLA14+'NF - 5 Power Mix'!LLA15)*860/10)+((('Form Sa1'!LLD835)*860)/10)+('Form Sa1'!LLD814*'Form Sa1'!LLD816/10)-'NF - 5 Power Mix'!LLA21-'NF - 5 Power Mix'!LLA22</f>
        <v>0</v>
      </c>
      <c r="LLB42" s="1046">
        <f>LLB38+((LLB40+'NF - 5 Power Mix'!LLB14+'NF - 5 Power Mix'!LLB15)*860/10)+((('Form Sa1'!LLE835)*860)/10)+('Form Sa1'!LLE814*'Form Sa1'!LLE816/10)-'NF - 5 Power Mix'!LLB21-'NF - 5 Power Mix'!LLB22</f>
        <v>0</v>
      </c>
      <c r="LLC42" s="1046">
        <f>LLC38+((LLC40+'NF - 5 Power Mix'!LLC14+'NF - 5 Power Mix'!LLC15)*860/10)+((('Form Sa1'!LLF835)*860)/10)+('Form Sa1'!LLF814*'Form Sa1'!LLF816/10)-'NF - 5 Power Mix'!LLC21-'NF - 5 Power Mix'!LLC22</f>
        <v>0</v>
      </c>
      <c r="LLD42" s="1046">
        <f>LLD38+((LLD40+'NF - 5 Power Mix'!LLD14+'NF - 5 Power Mix'!LLD15)*860/10)+((('Form Sa1'!LLG835)*860)/10)+('Form Sa1'!LLG814*'Form Sa1'!LLG816/10)-'NF - 5 Power Mix'!LLD21-'NF - 5 Power Mix'!LLD22</f>
        <v>0</v>
      </c>
      <c r="LLE42" s="1046">
        <f>LLE38+((LLE40+'NF - 5 Power Mix'!LLE14+'NF - 5 Power Mix'!LLE15)*860/10)+((('Form Sa1'!LLH835)*860)/10)+('Form Sa1'!LLH814*'Form Sa1'!LLH816/10)-'NF - 5 Power Mix'!LLE21-'NF - 5 Power Mix'!LLE22</f>
        <v>0</v>
      </c>
      <c r="LLF42" s="1046">
        <f>LLF38+((LLF40+'NF - 5 Power Mix'!LLF14+'NF - 5 Power Mix'!LLF15)*860/10)+((('Form Sa1'!LLI835)*860)/10)+('Form Sa1'!LLI814*'Form Sa1'!LLI816/10)-'NF - 5 Power Mix'!LLF21-'NF - 5 Power Mix'!LLF22</f>
        <v>0</v>
      </c>
      <c r="LLG42" s="1046">
        <f>LLG38+((LLG40+'NF - 5 Power Mix'!LLG14+'NF - 5 Power Mix'!LLG15)*860/10)+((('Form Sa1'!LLJ835)*860)/10)+('Form Sa1'!LLJ814*'Form Sa1'!LLJ816/10)-'NF - 5 Power Mix'!LLG21-'NF - 5 Power Mix'!LLG22</f>
        <v>0</v>
      </c>
      <c r="LLH42" s="1046">
        <f>LLH38+((LLH40+'NF - 5 Power Mix'!LLH14+'NF - 5 Power Mix'!LLH15)*860/10)+((('Form Sa1'!LLK835)*860)/10)+('Form Sa1'!LLK814*'Form Sa1'!LLK816/10)-'NF - 5 Power Mix'!LLH21-'NF - 5 Power Mix'!LLH22</f>
        <v>0</v>
      </c>
      <c r="LLI42" s="1046">
        <f>LLI38+((LLI40+'NF - 5 Power Mix'!LLI14+'NF - 5 Power Mix'!LLI15)*860/10)+((('Form Sa1'!LLL835)*860)/10)+('Form Sa1'!LLL814*'Form Sa1'!LLL816/10)-'NF - 5 Power Mix'!LLI21-'NF - 5 Power Mix'!LLI22</f>
        <v>0</v>
      </c>
      <c r="LLJ42" s="1046">
        <f>LLJ38+((LLJ40+'NF - 5 Power Mix'!LLJ14+'NF - 5 Power Mix'!LLJ15)*860/10)+((('Form Sa1'!LLM835)*860)/10)+('Form Sa1'!LLM814*'Form Sa1'!LLM816/10)-'NF - 5 Power Mix'!LLJ21-'NF - 5 Power Mix'!LLJ22</f>
        <v>0</v>
      </c>
      <c r="LLK42" s="1046">
        <f>LLK38+((LLK40+'NF - 5 Power Mix'!LLK14+'NF - 5 Power Mix'!LLK15)*860/10)+((('Form Sa1'!LLN835)*860)/10)+('Form Sa1'!LLN814*'Form Sa1'!LLN816/10)-'NF - 5 Power Mix'!LLK21-'NF - 5 Power Mix'!LLK22</f>
        <v>0</v>
      </c>
      <c r="LLL42" s="1046">
        <f>LLL38+((LLL40+'NF - 5 Power Mix'!LLL14+'NF - 5 Power Mix'!LLL15)*860/10)+((('Form Sa1'!LLO835)*860)/10)+('Form Sa1'!LLO814*'Form Sa1'!LLO816/10)-'NF - 5 Power Mix'!LLL21-'NF - 5 Power Mix'!LLL22</f>
        <v>0</v>
      </c>
      <c r="LLM42" s="1046">
        <f>LLM38+((LLM40+'NF - 5 Power Mix'!LLM14+'NF - 5 Power Mix'!LLM15)*860/10)+((('Form Sa1'!LLP835)*860)/10)+('Form Sa1'!LLP814*'Form Sa1'!LLP816/10)-'NF - 5 Power Mix'!LLM21-'NF - 5 Power Mix'!LLM22</f>
        <v>0</v>
      </c>
      <c r="LLN42" s="1046">
        <f>LLN38+((LLN40+'NF - 5 Power Mix'!LLN14+'NF - 5 Power Mix'!LLN15)*860/10)+((('Form Sa1'!LLQ835)*860)/10)+('Form Sa1'!LLQ814*'Form Sa1'!LLQ816/10)-'NF - 5 Power Mix'!LLN21-'NF - 5 Power Mix'!LLN22</f>
        <v>0</v>
      </c>
      <c r="LLO42" s="1046">
        <f>LLO38+((LLO40+'NF - 5 Power Mix'!LLO14+'NF - 5 Power Mix'!LLO15)*860/10)+((('Form Sa1'!LLR835)*860)/10)+('Form Sa1'!LLR814*'Form Sa1'!LLR816/10)-'NF - 5 Power Mix'!LLO21-'NF - 5 Power Mix'!LLO22</f>
        <v>0</v>
      </c>
      <c r="LLP42" s="1046">
        <f>LLP38+((LLP40+'NF - 5 Power Mix'!LLP14+'NF - 5 Power Mix'!LLP15)*860/10)+((('Form Sa1'!LLS835)*860)/10)+('Form Sa1'!LLS814*'Form Sa1'!LLS816/10)-'NF - 5 Power Mix'!LLP21-'NF - 5 Power Mix'!LLP22</f>
        <v>0</v>
      </c>
      <c r="LLQ42" s="1046">
        <f>LLQ38+((LLQ40+'NF - 5 Power Mix'!LLQ14+'NF - 5 Power Mix'!LLQ15)*860/10)+((('Form Sa1'!LLT835)*860)/10)+('Form Sa1'!LLT814*'Form Sa1'!LLT816/10)-'NF - 5 Power Mix'!LLQ21-'NF - 5 Power Mix'!LLQ22</f>
        <v>0</v>
      </c>
      <c r="LLR42" s="1046">
        <f>LLR38+((LLR40+'NF - 5 Power Mix'!LLR14+'NF - 5 Power Mix'!LLR15)*860/10)+((('Form Sa1'!LLU835)*860)/10)+('Form Sa1'!LLU814*'Form Sa1'!LLU816/10)-'NF - 5 Power Mix'!LLR21-'NF - 5 Power Mix'!LLR22</f>
        <v>0</v>
      </c>
      <c r="LLS42" s="1046">
        <f>LLS38+((LLS40+'NF - 5 Power Mix'!LLS14+'NF - 5 Power Mix'!LLS15)*860/10)+((('Form Sa1'!LLV835)*860)/10)+('Form Sa1'!LLV814*'Form Sa1'!LLV816/10)-'NF - 5 Power Mix'!LLS21-'NF - 5 Power Mix'!LLS22</f>
        <v>0</v>
      </c>
      <c r="LLT42" s="1046">
        <f>LLT38+((LLT40+'NF - 5 Power Mix'!LLT14+'NF - 5 Power Mix'!LLT15)*860/10)+((('Form Sa1'!LLW835)*860)/10)+('Form Sa1'!LLW814*'Form Sa1'!LLW816/10)-'NF - 5 Power Mix'!LLT21-'NF - 5 Power Mix'!LLT22</f>
        <v>0</v>
      </c>
      <c r="LLU42" s="1046">
        <f>LLU38+((LLU40+'NF - 5 Power Mix'!LLU14+'NF - 5 Power Mix'!LLU15)*860/10)+((('Form Sa1'!LLX835)*860)/10)+('Form Sa1'!LLX814*'Form Sa1'!LLX816/10)-'NF - 5 Power Mix'!LLU21-'NF - 5 Power Mix'!LLU22</f>
        <v>0</v>
      </c>
      <c r="LLV42" s="1046">
        <f>LLV38+((LLV40+'NF - 5 Power Mix'!LLV14+'NF - 5 Power Mix'!LLV15)*860/10)+((('Form Sa1'!LLY835)*860)/10)+('Form Sa1'!LLY814*'Form Sa1'!LLY816/10)-'NF - 5 Power Mix'!LLV21-'NF - 5 Power Mix'!LLV22</f>
        <v>0</v>
      </c>
      <c r="LLW42" s="1046">
        <f>LLW38+((LLW40+'NF - 5 Power Mix'!LLW14+'NF - 5 Power Mix'!LLW15)*860/10)+((('Form Sa1'!LLZ835)*860)/10)+('Form Sa1'!LLZ814*'Form Sa1'!LLZ816/10)-'NF - 5 Power Mix'!LLW21-'NF - 5 Power Mix'!LLW22</f>
        <v>0</v>
      </c>
      <c r="LLX42" s="1046">
        <f>LLX38+((LLX40+'NF - 5 Power Mix'!LLX14+'NF - 5 Power Mix'!LLX15)*860/10)+((('Form Sa1'!LMA835)*860)/10)+('Form Sa1'!LMA814*'Form Sa1'!LMA816/10)-'NF - 5 Power Mix'!LLX21-'NF - 5 Power Mix'!LLX22</f>
        <v>0</v>
      </c>
      <c r="LLY42" s="1046">
        <f>LLY38+((LLY40+'NF - 5 Power Mix'!LLY14+'NF - 5 Power Mix'!LLY15)*860/10)+((('Form Sa1'!LMB835)*860)/10)+('Form Sa1'!LMB814*'Form Sa1'!LMB816/10)-'NF - 5 Power Mix'!LLY21-'NF - 5 Power Mix'!LLY22</f>
        <v>0</v>
      </c>
      <c r="LLZ42" s="1046">
        <f>LLZ38+((LLZ40+'NF - 5 Power Mix'!LLZ14+'NF - 5 Power Mix'!LLZ15)*860/10)+((('Form Sa1'!LMC835)*860)/10)+('Form Sa1'!LMC814*'Form Sa1'!LMC816/10)-'NF - 5 Power Mix'!LLZ21-'NF - 5 Power Mix'!LLZ22</f>
        <v>0</v>
      </c>
      <c r="LMA42" s="1046">
        <f>LMA38+((LMA40+'NF - 5 Power Mix'!LMA14+'NF - 5 Power Mix'!LMA15)*860/10)+((('Form Sa1'!LMD835)*860)/10)+('Form Sa1'!LMD814*'Form Sa1'!LMD816/10)-'NF - 5 Power Mix'!LMA21-'NF - 5 Power Mix'!LMA22</f>
        <v>0</v>
      </c>
      <c r="LMB42" s="1046">
        <f>LMB38+((LMB40+'NF - 5 Power Mix'!LMB14+'NF - 5 Power Mix'!LMB15)*860/10)+((('Form Sa1'!LME835)*860)/10)+('Form Sa1'!LME814*'Form Sa1'!LME816/10)-'NF - 5 Power Mix'!LMB21-'NF - 5 Power Mix'!LMB22</f>
        <v>0</v>
      </c>
      <c r="LMC42" s="1046">
        <f>LMC38+((LMC40+'NF - 5 Power Mix'!LMC14+'NF - 5 Power Mix'!LMC15)*860/10)+((('Form Sa1'!LMF835)*860)/10)+('Form Sa1'!LMF814*'Form Sa1'!LMF816/10)-'NF - 5 Power Mix'!LMC21-'NF - 5 Power Mix'!LMC22</f>
        <v>0</v>
      </c>
      <c r="LMD42" s="1046">
        <f>LMD38+((LMD40+'NF - 5 Power Mix'!LMD14+'NF - 5 Power Mix'!LMD15)*860/10)+((('Form Sa1'!LMG835)*860)/10)+('Form Sa1'!LMG814*'Form Sa1'!LMG816/10)-'NF - 5 Power Mix'!LMD21-'NF - 5 Power Mix'!LMD22</f>
        <v>0</v>
      </c>
      <c r="LME42" s="1046">
        <f>LME38+((LME40+'NF - 5 Power Mix'!LME14+'NF - 5 Power Mix'!LME15)*860/10)+((('Form Sa1'!LMH835)*860)/10)+('Form Sa1'!LMH814*'Form Sa1'!LMH816/10)-'NF - 5 Power Mix'!LME21-'NF - 5 Power Mix'!LME22</f>
        <v>0</v>
      </c>
      <c r="LMF42" s="1046">
        <f>LMF38+((LMF40+'NF - 5 Power Mix'!LMF14+'NF - 5 Power Mix'!LMF15)*860/10)+((('Form Sa1'!LMI835)*860)/10)+('Form Sa1'!LMI814*'Form Sa1'!LMI816/10)-'NF - 5 Power Mix'!LMF21-'NF - 5 Power Mix'!LMF22</f>
        <v>0</v>
      </c>
      <c r="LMG42" s="1046">
        <f>LMG38+((LMG40+'NF - 5 Power Mix'!LMG14+'NF - 5 Power Mix'!LMG15)*860/10)+((('Form Sa1'!LMJ835)*860)/10)+('Form Sa1'!LMJ814*'Form Sa1'!LMJ816/10)-'NF - 5 Power Mix'!LMG21-'NF - 5 Power Mix'!LMG22</f>
        <v>0</v>
      </c>
      <c r="LMH42" s="1046">
        <f>LMH38+((LMH40+'NF - 5 Power Mix'!LMH14+'NF - 5 Power Mix'!LMH15)*860/10)+((('Form Sa1'!LMK835)*860)/10)+('Form Sa1'!LMK814*'Form Sa1'!LMK816/10)-'NF - 5 Power Mix'!LMH21-'NF - 5 Power Mix'!LMH22</f>
        <v>0</v>
      </c>
      <c r="LMI42" s="1046">
        <f>LMI38+((LMI40+'NF - 5 Power Mix'!LMI14+'NF - 5 Power Mix'!LMI15)*860/10)+((('Form Sa1'!LML835)*860)/10)+('Form Sa1'!LML814*'Form Sa1'!LML816/10)-'NF - 5 Power Mix'!LMI21-'NF - 5 Power Mix'!LMI22</f>
        <v>0</v>
      </c>
      <c r="LMJ42" s="1046">
        <f>LMJ38+((LMJ40+'NF - 5 Power Mix'!LMJ14+'NF - 5 Power Mix'!LMJ15)*860/10)+((('Form Sa1'!LMM835)*860)/10)+('Form Sa1'!LMM814*'Form Sa1'!LMM816/10)-'NF - 5 Power Mix'!LMJ21-'NF - 5 Power Mix'!LMJ22</f>
        <v>0</v>
      </c>
      <c r="LMK42" s="1046">
        <f>LMK38+((LMK40+'NF - 5 Power Mix'!LMK14+'NF - 5 Power Mix'!LMK15)*860/10)+((('Form Sa1'!LMN835)*860)/10)+('Form Sa1'!LMN814*'Form Sa1'!LMN816/10)-'NF - 5 Power Mix'!LMK21-'NF - 5 Power Mix'!LMK22</f>
        <v>0</v>
      </c>
      <c r="LML42" s="1046">
        <f>LML38+((LML40+'NF - 5 Power Mix'!LML14+'NF - 5 Power Mix'!LML15)*860/10)+((('Form Sa1'!LMO835)*860)/10)+('Form Sa1'!LMO814*'Form Sa1'!LMO816/10)-'NF - 5 Power Mix'!LML21-'NF - 5 Power Mix'!LML22</f>
        <v>0</v>
      </c>
      <c r="LMM42" s="1046">
        <f>LMM38+((LMM40+'NF - 5 Power Mix'!LMM14+'NF - 5 Power Mix'!LMM15)*860/10)+((('Form Sa1'!LMP835)*860)/10)+('Form Sa1'!LMP814*'Form Sa1'!LMP816/10)-'NF - 5 Power Mix'!LMM21-'NF - 5 Power Mix'!LMM22</f>
        <v>0</v>
      </c>
      <c r="LMN42" s="1046">
        <f>LMN38+((LMN40+'NF - 5 Power Mix'!LMN14+'NF - 5 Power Mix'!LMN15)*860/10)+((('Form Sa1'!LMQ835)*860)/10)+('Form Sa1'!LMQ814*'Form Sa1'!LMQ816/10)-'NF - 5 Power Mix'!LMN21-'NF - 5 Power Mix'!LMN22</f>
        <v>0</v>
      </c>
      <c r="LMO42" s="1046">
        <f>LMO38+((LMO40+'NF - 5 Power Mix'!LMO14+'NF - 5 Power Mix'!LMO15)*860/10)+((('Form Sa1'!LMR835)*860)/10)+('Form Sa1'!LMR814*'Form Sa1'!LMR816/10)-'NF - 5 Power Mix'!LMO21-'NF - 5 Power Mix'!LMO22</f>
        <v>0</v>
      </c>
      <c r="LMP42" s="1046">
        <f>LMP38+((LMP40+'NF - 5 Power Mix'!LMP14+'NF - 5 Power Mix'!LMP15)*860/10)+((('Form Sa1'!LMS835)*860)/10)+('Form Sa1'!LMS814*'Form Sa1'!LMS816/10)-'NF - 5 Power Mix'!LMP21-'NF - 5 Power Mix'!LMP22</f>
        <v>0</v>
      </c>
      <c r="LMQ42" s="1046">
        <f>LMQ38+((LMQ40+'NF - 5 Power Mix'!LMQ14+'NF - 5 Power Mix'!LMQ15)*860/10)+((('Form Sa1'!LMT835)*860)/10)+('Form Sa1'!LMT814*'Form Sa1'!LMT816/10)-'NF - 5 Power Mix'!LMQ21-'NF - 5 Power Mix'!LMQ22</f>
        <v>0</v>
      </c>
      <c r="LMR42" s="1046">
        <f>LMR38+((LMR40+'NF - 5 Power Mix'!LMR14+'NF - 5 Power Mix'!LMR15)*860/10)+((('Form Sa1'!LMU835)*860)/10)+('Form Sa1'!LMU814*'Form Sa1'!LMU816/10)-'NF - 5 Power Mix'!LMR21-'NF - 5 Power Mix'!LMR22</f>
        <v>0</v>
      </c>
      <c r="LMS42" s="1046">
        <f>LMS38+((LMS40+'NF - 5 Power Mix'!LMS14+'NF - 5 Power Mix'!LMS15)*860/10)+((('Form Sa1'!LMV835)*860)/10)+('Form Sa1'!LMV814*'Form Sa1'!LMV816/10)-'NF - 5 Power Mix'!LMS21-'NF - 5 Power Mix'!LMS22</f>
        <v>0</v>
      </c>
      <c r="LMT42" s="1046">
        <f>LMT38+((LMT40+'NF - 5 Power Mix'!LMT14+'NF - 5 Power Mix'!LMT15)*860/10)+((('Form Sa1'!LMW835)*860)/10)+('Form Sa1'!LMW814*'Form Sa1'!LMW816/10)-'NF - 5 Power Mix'!LMT21-'NF - 5 Power Mix'!LMT22</f>
        <v>0</v>
      </c>
      <c r="LMU42" s="1046">
        <f>LMU38+((LMU40+'NF - 5 Power Mix'!LMU14+'NF - 5 Power Mix'!LMU15)*860/10)+((('Form Sa1'!LMX835)*860)/10)+('Form Sa1'!LMX814*'Form Sa1'!LMX816/10)-'NF - 5 Power Mix'!LMU21-'NF - 5 Power Mix'!LMU22</f>
        <v>0</v>
      </c>
      <c r="LMV42" s="1046">
        <f>LMV38+((LMV40+'NF - 5 Power Mix'!LMV14+'NF - 5 Power Mix'!LMV15)*860/10)+((('Form Sa1'!LMY835)*860)/10)+('Form Sa1'!LMY814*'Form Sa1'!LMY816/10)-'NF - 5 Power Mix'!LMV21-'NF - 5 Power Mix'!LMV22</f>
        <v>0</v>
      </c>
      <c r="LMW42" s="1046">
        <f>LMW38+((LMW40+'NF - 5 Power Mix'!LMW14+'NF - 5 Power Mix'!LMW15)*860/10)+((('Form Sa1'!LMZ835)*860)/10)+('Form Sa1'!LMZ814*'Form Sa1'!LMZ816/10)-'NF - 5 Power Mix'!LMW21-'NF - 5 Power Mix'!LMW22</f>
        <v>0</v>
      </c>
      <c r="LMX42" s="1046">
        <f>LMX38+((LMX40+'NF - 5 Power Mix'!LMX14+'NF - 5 Power Mix'!LMX15)*860/10)+((('Form Sa1'!LNA835)*860)/10)+('Form Sa1'!LNA814*'Form Sa1'!LNA816/10)-'NF - 5 Power Mix'!LMX21-'NF - 5 Power Mix'!LMX22</f>
        <v>0</v>
      </c>
      <c r="LMY42" s="1046">
        <f>LMY38+((LMY40+'NF - 5 Power Mix'!LMY14+'NF - 5 Power Mix'!LMY15)*860/10)+((('Form Sa1'!LNB835)*860)/10)+('Form Sa1'!LNB814*'Form Sa1'!LNB816/10)-'NF - 5 Power Mix'!LMY21-'NF - 5 Power Mix'!LMY22</f>
        <v>0</v>
      </c>
      <c r="LMZ42" s="1046">
        <f>LMZ38+((LMZ40+'NF - 5 Power Mix'!LMZ14+'NF - 5 Power Mix'!LMZ15)*860/10)+((('Form Sa1'!LNC835)*860)/10)+('Form Sa1'!LNC814*'Form Sa1'!LNC816/10)-'NF - 5 Power Mix'!LMZ21-'NF - 5 Power Mix'!LMZ22</f>
        <v>0</v>
      </c>
      <c r="LNA42" s="1046">
        <f>LNA38+((LNA40+'NF - 5 Power Mix'!LNA14+'NF - 5 Power Mix'!LNA15)*860/10)+((('Form Sa1'!LND835)*860)/10)+('Form Sa1'!LND814*'Form Sa1'!LND816/10)-'NF - 5 Power Mix'!LNA21-'NF - 5 Power Mix'!LNA22</f>
        <v>0</v>
      </c>
      <c r="LNB42" s="1046">
        <f>LNB38+((LNB40+'NF - 5 Power Mix'!LNB14+'NF - 5 Power Mix'!LNB15)*860/10)+((('Form Sa1'!LNE835)*860)/10)+('Form Sa1'!LNE814*'Form Sa1'!LNE816/10)-'NF - 5 Power Mix'!LNB21-'NF - 5 Power Mix'!LNB22</f>
        <v>0</v>
      </c>
      <c r="LNC42" s="1046">
        <f>LNC38+((LNC40+'NF - 5 Power Mix'!LNC14+'NF - 5 Power Mix'!LNC15)*860/10)+((('Form Sa1'!LNF835)*860)/10)+('Form Sa1'!LNF814*'Form Sa1'!LNF816/10)-'NF - 5 Power Mix'!LNC21-'NF - 5 Power Mix'!LNC22</f>
        <v>0</v>
      </c>
      <c r="LND42" s="1046">
        <f>LND38+((LND40+'NF - 5 Power Mix'!LND14+'NF - 5 Power Mix'!LND15)*860/10)+((('Form Sa1'!LNG835)*860)/10)+('Form Sa1'!LNG814*'Form Sa1'!LNG816/10)-'NF - 5 Power Mix'!LND21-'NF - 5 Power Mix'!LND22</f>
        <v>0</v>
      </c>
      <c r="LNE42" s="1046">
        <f>LNE38+((LNE40+'NF - 5 Power Mix'!LNE14+'NF - 5 Power Mix'!LNE15)*860/10)+((('Form Sa1'!LNH835)*860)/10)+('Form Sa1'!LNH814*'Form Sa1'!LNH816/10)-'NF - 5 Power Mix'!LNE21-'NF - 5 Power Mix'!LNE22</f>
        <v>0</v>
      </c>
      <c r="LNF42" s="1046">
        <f>LNF38+((LNF40+'NF - 5 Power Mix'!LNF14+'NF - 5 Power Mix'!LNF15)*860/10)+((('Form Sa1'!LNI835)*860)/10)+('Form Sa1'!LNI814*'Form Sa1'!LNI816/10)-'NF - 5 Power Mix'!LNF21-'NF - 5 Power Mix'!LNF22</f>
        <v>0</v>
      </c>
      <c r="LNG42" s="1046">
        <f>LNG38+((LNG40+'NF - 5 Power Mix'!LNG14+'NF - 5 Power Mix'!LNG15)*860/10)+((('Form Sa1'!LNJ835)*860)/10)+('Form Sa1'!LNJ814*'Form Sa1'!LNJ816/10)-'NF - 5 Power Mix'!LNG21-'NF - 5 Power Mix'!LNG22</f>
        <v>0</v>
      </c>
      <c r="LNH42" s="1046">
        <f>LNH38+((LNH40+'NF - 5 Power Mix'!LNH14+'NF - 5 Power Mix'!LNH15)*860/10)+((('Form Sa1'!LNK835)*860)/10)+('Form Sa1'!LNK814*'Form Sa1'!LNK816/10)-'NF - 5 Power Mix'!LNH21-'NF - 5 Power Mix'!LNH22</f>
        <v>0</v>
      </c>
      <c r="LNI42" s="1046">
        <f>LNI38+((LNI40+'NF - 5 Power Mix'!LNI14+'NF - 5 Power Mix'!LNI15)*860/10)+((('Form Sa1'!LNL835)*860)/10)+('Form Sa1'!LNL814*'Form Sa1'!LNL816/10)-'NF - 5 Power Mix'!LNI21-'NF - 5 Power Mix'!LNI22</f>
        <v>0</v>
      </c>
      <c r="LNJ42" s="1046">
        <f>LNJ38+((LNJ40+'NF - 5 Power Mix'!LNJ14+'NF - 5 Power Mix'!LNJ15)*860/10)+((('Form Sa1'!LNM835)*860)/10)+('Form Sa1'!LNM814*'Form Sa1'!LNM816/10)-'NF - 5 Power Mix'!LNJ21-'NF - 5 Power Mix'!LNJ22</f>
        <v>0</v>
      </c>
      <c r="LNK42" s="1046">
        <f>LNK38+((LNK40+'NF - 5 Power Mix'!LNK14+'NF - 5 Power Mix'!LNK15)*860/10)+((('Form Sa1'!LNN835)*860)/10)+('Form Sa1'!LNN814*'Form Sa1'!LNN816/10)-'NF - 5 Power Mix'!LNK21-'NF - 5 Power Mix'!LNK22</f>
        <v>0</v>
      </c>
      <c r="LNL42" s="1046">
        <f>LNL38+((LNL40+'NF - 5 Power Mix'!LNL14+'NF - 5 Power Mix'!LNL15)*860/10)+((('Form Sa1'!LNO835)*860)/10)+('Form Sa1'!LNO814*'Form Sa1'!LNO816/10)-'NF - 5 Power Mix'!LNL21-'NF - 5 Power Mix'!LNL22</f>
        <v>0</v>
      </c>
      <c r="LNM42" s="1046">
        <f>LNM38+((LNM40+'NF - 5 Power Mix'!LNM14+'NF - 5 Power Mix'!LNM15)*860/10)+((('Form Sa1'!LNP835)*860)/10)+('Form Sa1'!LNP814*'Form Sa1'!LNP816/10)-'NF - 5 Power Mix'!LNM21-'NF - 5 Power Mix'!LNM22</f>
        <v>0</v>
      </c>
      <c r="LNN42" s="1046">
        <f>LNN38+((LNN40+'NF - 5 Power Mix'!LNN14+'NF - 5 Power Mix'!LNN15)*860/10)+((('Form Sa1'!LNQ835)*860)/10)+('Form Sa1'!LNQ814*'Form Sa1'!LNQ816/10)-'NF - 5 Power Mix'!LNN21-'NF - 5 Power Mix'!LNN22</f>
        <v>0</v>
      </c>
      <c r="LNO42" s="1046">
        <f>LNO38+((LNO40+'NF - 5 Power Mix'!LNO14+'NF - 5 Power Mix'!LNO15)*860/10)+((('Form Sa1'!LNR835)*860)/10)+('Form Sa1'!LNR814*'Form Sa1'!LNR816/10)-'NF - 5 Power Mix'!LNO21-'NF - 5 Power Mix'!LNO22</f>
        <v>0</v>
      </c>
      <c r="LNP42" s="1046">
        <f>LNP38+((LNP40+'NF - 5 Power Mix'!LNP14+'NF - 5 Power Mix'!LNP15)*860/10)+((('Form Sa1'!LNS835)*860)/10)+('Form Sa1'!LNS814*'Form Sa1'!LNS816/10)-'NF - 5 Power Mix'!LNP21-'NF - 5 Power Mix'!LNP22</f>
        <v>0</v>
      </c>
      <c r="LNQ42" s="1046">
        <f>LNQ38+((LNQ40+'NF - 5 Power Mix'!LNQ14+'NF - 5 Power Mix'!LNQ15)*860/10)+((('Form Sa1'!LNT835)*860)/10)+('Form Sa1'!LNT814*'Form Sa1'!LNT816/10)-'NF - 5 Power Mix'!LNQ21-'NF - 5 Power Mix'!LNQ22</f>
        <v>0</v>
      </c>
      <c r="LNR42" s="1046">
        <f>LNR38+((LNR40+'NF - 5 Power Mix'!LNR14+'NF - 5 Power Mix'!LNR15)*860/10)+((('Form Sa1'!LNU835)*860)/10)+('Form Sa1'!LNU814*'Form Sa1'!LNU816/10)-'NF - 5 Power Mix'!LNR21-'NF - 5 Power Mix'!LNR22</f>
        <v>0</v>
      </c>
      <c r="LNS42" s="1046">
        <f>LNS38+((LNS40+'NF - 5 Power Mix'!LNS14+'NF - 5 Power Mix'!LNS15)*860/10)+((('Form Sa1'!LNV835)*860)/10)+('Form Sa1'!LNV814*'Form Sa1'!LNV816/10)-'NF - 5 Power Mix'!LNS21-'NF - 5 Power Mix'!LNS22</f>
        <v>0</v>
      </c>
      <c r="LNT42" s="1046">
        <f>LNT38+((LNT40+'NF - 5 Power Mix'!LNT14+'NF - 5 Power Mix'!LNT15)*860/10)+((('Form Sa1'!LNW835)*860)/10)+('Form Sa1'!LNW814*'Form Sa1'!LNW816/10)-'NF - 5 Power Mix'!LNT21-'NF - 5 Power Mix'!LNT22</f>
        <v>0</v>
      </c>
      <c r="LNU42" s="1046">
        <f>LNU38+((LNU40+'NF - 5 Power Mix'!LNU14+'NF - 5 Power Mix'!LNU15)*860/10)+((('Form Sa1'!LNX835)*860)/10)+('Form Sa1'!LNX814*'Form Sa1'!LNX816/10)-'NF - 5 Power Mix'!LNU21-'NF - 5 Power Mix'!LNU22</f>
        <v>0</v>
      </c>
      <c r="LNV42" s="1046">
        <f>LNV38+((LNV40+'NF - 5 Power Mix'!LNV14+'NF - 5 Power Mix'!LNV15)*860/10)+((('Form Sa1'!LNY835)*860)/10)+('Form Sa1'!LNY814*'Form Sa1'!LNY816/10)-'NF - 5 Power Mix'!LNV21-'NF - 5 Power Mix'!LNV22</f>
        <v>0</v>
      </c>
      <c r="LNW42" s="1046">
        <f>LNW38+((LNW40+'NF - 5 Power Mix'!LNW14+'NF - 5 Power Mix'!LNW15)*860/10)+((('Form Sa1'!LNZ835)*860)/10)+('Form Sa1'!LNZ814*'Form Sa1'!LNZ816/10)-'NF - 5 Power Mix'!LNW21-'NF - 5 Power Mix'!LNW22</f>
        <v>0</v>
      </c>
      <c r="LNX42" s="1046">
        <f>LNX38+((LNX40+'NF - 5 Power Mix'!LNX14+'NF - 5 Power Mix'!LNX15)*860/10)+((('Form Sa1'!LOA835)*860)/10)+('Form Sa1'!LOA814*'Form Sa1'!LOA816/10)-'NF - 5 Power Mix'!LNX21-'NF - 5 Power Mix'!LNX22</f>
        <v>0</v>
      </c>
      <c r="LNY42" s="1046">
        <f>LNY38+((LNY40+'NF - 5 Power Mix'!LNY14+'NF - 5 Power Mix'!LNY15)*860/10)+((('Form Sa1'!LOB835)*860)/10)+('Form Sa1'!LOB814*'Form Sa1'!LOB816/10)-'NF - 5 Power Mix'!LNY21-'NF - 5 Power Mix'!LNY22</f>
        <v>0</v>
      </c>
      <c r="LNZ42" s="1046">
        <f>LNZ38+((LNZ40+'NF - 5 Power Mix'!LNZ14+'NF - 5 Power Mix'!LNZ15)*860/10)+((('Form Sa1'!LOC835)*860)/10)+('Form Sa1'!LOC814*'Form Sa1'!LOC816/10)-'NF - 5 Power Mix'!LNZ21-'NF - 5 Power Mix'!LNZ22</f>
        <v>0</v>
      </c>
      <c r="LOA42" s="1046">
        <f>LOA38+((LOA40+'NF - 5 Power Mix'!LOA14+'NF - 5 Power Mix'!LOA15)*860/10)+((('Form Sa1'!LOD835)*860)/10)+('Form Sa1'!LOD814*'Form Sa1'!LOD816/10)-'NF - 5 Power Mix'!LOA21-'NF - 5 Power Mix'!LOA22</f>
        <v>0</v>
      </c>
      <c r="LOB42" s="1046">
        <f>LOB38+((LOB40+'NF - 5 Power Mix'!LOB14+'NF - 5 Power Mix'!LOB15)*860/10)+((('Form Sa1'!LOE835)*860)/10)+('Form Sa1'!LOE814*'Form Sa1'!LOE816/10)-'NF - 5 Power Mix'!LOB21-'NF - 5 Power Mix'!LOB22</f>
        <v>0</v>
      </c>
      <c r="LOC42" s="1046">
        <f>LOC38+((LOC40+'NF - 5 Power Mix'!LOC14+'NF - 5 Power Mix'!LOC15)*860/10)+((('Form Sa1'!LOF835)*860)/10)+('Form Sa1'!LOF814*'Form Sa1'!LOF816/10)-'NF - 5 Power Mix'!LOC21-'NF - 5 Power Mix'!LOC22</f>
        <v>0</v>
      </c>
      <c r="LOD42" s="1046">
        <f>LOD38+((LOD40+'NF - 5 Power Mix'!LOD14+'NF - 5 Power Mix'!LOD15)*860/10)+((('Form Sa1'!LOG835)*860)/10)+('Form Sa1'!LOG814*'Form Sa1'!LOG816/10)-'NF - 5 Power Mix'!LOD21-'NF - 5 Power Mix'!LOD22</f>
        <v>0</v>
      </c>
      <c r="LOE42" s="1046">
        <f>LOE38+((LOE40+'NF - 5 Power Mix'!LOE14+'NF - 5 Power Mix'!LOE15)*860/10)+((('Form Sa1'!LOH835)*860)/10)+('Form Sa1'!LOH814*'Form Sa1'!LOH816/10)-'NF - 5 Power Mix'!LOE21-'NF - 5 Power Mix'!LOE22</f>
        <v>0</v>
      </c>
      <c r="LOF42" s="1046">
        <f>LOF38+((LOF40+'NF - 5 Power Mix'!LOF14+'NF - 5 Power Mix'!LOF15)*860/10)+((('Form Sa1'!LOI835)*860)/10)+('Form Sa1'!LOI814*'Form Sa1'!LOI816/10)-'NF - 5 Power Mix'!LOF21-'NF - 5 Power Mix'!LOF22</f>
        <v>0</v>
      </c>
      <c r="LOG42" s="1046">
        <f>LOG38+((LOG40+'NF - 5 Power Mix'!LOG14+'NF - 5 Power Mix'!LOG15)*860/10)+((('Form Sa1'!LOJ835)*860)/10)+('Form Sa1'!LOJ814*'Form Sa1'!LOJ816/10)-'NF - 5 Power Mix'!LOG21-'NF - 5 Power Mix'!LOG22</f>
        <v>0</v>
      </c>
      <c r="LOH42" s="1046">
        <f>LOH38+((LOH40+'NF - 5 Power Mix'!LOH14+'NF - 5 Power Mix'!LOH15)*860/10)+((('Form Sa1'!LOK835)*860)/10)+('Form Sa1'!LOK814*'Form Sa1'!LOK816/10)-'NF - 5 Power Mix'!LOH21-'NF - 5 Power Mix'!LOH22</f>
        <v>0</v>
      </c>
      <c r="LOI42" s="1046">
        <f>LOI38+((LOI40+'NF - 5 Power Mix'!LOI14+'NF - 5 Power Mix'!LOI15)*860/10)+((('Form Sa1'!LOL835)*860)/10)+('Form Sa1'!LOL814*'Form Sa1'!LOL816/10)-'NF - 5 Power Mix'!LOI21-'NF - 5 Power Mix'!LOI22</f>
        <v>0</v>
      </c>
      <c r="LOJ42" s="1046">
        <f>LOJ38+((LOJ40+'NF - 5 Power Mix'!LOJ14+'NF - 5 Power Mix'!LOJ15)*860/10)+((('Form Sa1'!LOM835)*860)/10)+('Form Sa1'!LOM814*'Form Sa1'!LOM816/10)-'NF - 5 Power Mix'!LOJ21-'NF - 5 Power Mix'!LOJ22</f>
        <v>0</v>
      </c>
      <c r="LOK42" s="1046">
        <f>LOK38+((LOK40+'NF - 5 Power Mix'!LOK14+'NF - 5 Power Mix'!LOK15)*860/10)+((('Form Sa1'!LON835)*860)/10)+('Form Sa1'!LON814*'Form Sa1'!LON816/10)-'NF - 5 Power Mix'!LOK21-'NF - 5 Power Mix'!LOK22</f>
        <v>0</v>
      </c>
      <c r="LOL42" s="1046">
        <f>LOL38+((LOL40+'NF - 5 Power Mix'!LOL14+'NF - 5 Power Mix'!LOL15)*860/10)+((('Form Sa1'!LOO835)*860)/10)+('Form Sa1'!LOO814*'Form Sa1'!LOO816/10)-'NF - 5 Power Mix'!LOL21-'NF - 5 Power Mix'!LOL22</f>
        <v>0</v>
      </c>
      <c r="LOM42" s="1046">
        <f>LOM38+((LOM40+'NF - 5 Power Mix'!LOM14+'NF - 5 Power Mix'!LOM15)*860/10)+((('Form Sa1'!LOP835)*860)/10)+('Form Sa1'!LOP814*'Form Sa1'!LOP816/10)-'NF - 5 Power Mix'!LOM21-'NF - 5 Power Mix'!LOM22</f>
        <v>0</v>
      </c>
      <c r="LON42" s="1046">
        <f>LON38+((LON40+'NF - 5 Power Mix'!LON14+'NF - 5 Power Mix'!LON15)*860/10)+((('Form Sa1'!LOQ835)*860)/10)+('Form Sa1'!LOQ814*'Form Sa1'!LOQ816/10)-'NF - 5 Power Mix'!LON21-'NF - 5 Power Mix'!LON22</f>
        <v>0</v>
      </c>
      <c r="LOO42" s="1046">
        <f>LOO38+((LOO40+'NF - 5 Power Mix'!LOO14+'NF - 5 Power Mix'!LOO15)*860/10)+((('Form Sa1'!LOR835)*860)/10)+('Form Sa1'!LOR814*'Form Sa1'!LOR816/10)-'NF - 5 Power Mix'!LOO21-'NF - 5 Power Mix'!LOO22</f>
        <v>0</v>
      </c>
      <c r="LOP42" s="1046">
        <f>LOP38+((LOP40+'NF - 5 Power Mix'!LOP14+'NF - 5 Power Mix'!LOP15)*860/10)+((('Form Sa1'!LOS835)*860)/10)+('Form Sa1'!LOS814*'Form Sa1'!LOS816/10)-'NF - 5 Power Mix'!LOP21-'NF - 5 Power Mix'!LOP22</f>
        <v>0</v>
      </c>
      <c r="LOQ42" s="1046">
        <f>LOQ38+((LOQ40+'NF - 5 Power Mix'!LOQ14+'NF - 5 Power Mix'!LOQ15)*860/10)+((('Form Sa1'!LOT835)*860)/10)+('Form Sa1'!LOT814*'Form Sa1'!LOT816/10)-'NF - 5 Power Mix'!LOQ21-'NF - 5 Power Mix'!LOQ22</f>
        <v>0</v>
      </c>
      <c r="LOR42" s="1046">
        <f>LOR38+((LOR40+'NF - 5 Power Mix'!LOR14+'NF - 5 Power Mix'!LOR15)*860/10)+((('Form Sa1'!LOU835)*860)/10)+('Form Sa1'!LOU814*'Form Sa1'!LOU816/10)-'NF - 5 Power Mix'!LOR21-'NF - 5 Power Mix'!LOR22</f>
        <v>0</v>
      </c>
      <c r="LOS42" s="1046">
        <f>LOS38+((LOS40+'NF - 5 Power Mix'!LOS14+'NF - 5 Power Mix'!LOS15)*860/10)+((('Form Sa1'!LOV835)*860)/10)+('Form Sa1'!LOV814*'Form Sa1'!LOV816/10)-'NF - 5 Power Mix'!LOS21-'NF - 5 Power Mix'!LOS22</f>
        <v>0</v>
      </c>
      <c r="LOT42" s="1046">
        <f>LOT38+((LOT40+'NF - 5 Power Mix'!LOT14+'NF - 5 Power Mix'!LOT15)*860/10)+((('Form Sa1'!LOW835)*860)/10)+('Form Sa1'!LOW814*'Form Sa1'!LOW816/10)-'NF - 5 Power Mix'!LOT21-'NF - 5 Power Mix'!LOT22</f>
        <v>0</v>
      </c>
      <c r="LOU42" s="1046">
        <f>LOU38+((LOU40+'NF - 5 Power Mix'!LOU14+'NF - 5 Power Mix'!LOU15)*860/10)+((('Form Sa1'!LOX835)*860)/10)+('Form Sa1'!LOX814*'Form Sa1'!LOX816/10)-'NF - 5 Power Mix'!LOU21-'NF - 5 Power Mix'!LOU22</f>
        <v>0</v>
      </c>
      <c r="LOV42" s="1046">
        <f>LOV38+((LOV40+'NF - 5 Power Mix'!LOV14+'NF - 5 Power Mix'!LOV15)*860/10)+((('Form Sa1'!LOY835)*860)/10)+('Form Sa1'!LOY814*'Form Sa1'!LOY816/10)-'NF - 5 Power Mix'!LOV21-'NF - 5 Power Mix'!LOV22</f>
        <v>0</v>
      </c>
      <c r="LOW42" s="1046">
        <f>LOW38+((LOW40+'NF - 5 Power Mix'!LOW14+'NF - 5 Power Mix'!LOW15)*860/10)+((('Form Sa1'!LOZ835)*860)/10)+('Form Sa1'!LOZ814*'Form Sa1'!LOZ816/10)-'NF - 5 Power Mix'!LOW21-'NF - 5 Power Mix'!LOW22</f>
        <v>0</v>
      </c>
      <c r="LOX42" s="1046">
        <f>LOX38+((LOX40+'NF - 5 Power Mix'!LOX14+'NF - 5 Power Mix'!LOX15)*860/10)+((('Form Sa1'!LPA835)*860)/10)+('Form Sa1'!LPA814*'Form Sa1'!LPA816/10)-'NF - 5 Power Mix'!LOX21-'NF - 5 Power Mix'!LOX22</f>
        <v>0</v>
      </c>
      <c r="LOY42" s="1046">
        <f>LOY38+((LOY40+'NF - 5 Power Mix'!LOY14+'NF - 5 Power Mix'!LOY15)*860/10)+((('Form Sa1'!LPB835)*860)/10)+('Form Sa1'!LPB814*'Form Sa1'!LPB816/10)-'NF - 5 Power Mix'!LOY21-'NF - 5 Power Mix'!LOY22</f>
        <v>0</v>
      </c>
      <c r="LOZ42" s="1046">
        <f>LOZ38+((LOZ40+'NF - 5 Power Mix'!LOZ14+'NF - 5 Power Mix'!LOZ15)*860/10)+((('Form Sa1'!LPC835)*860)/10)+('Form Sa1'!LPC814*'Form Sa1'!LPC816/10)-'NF - 5 Power Mix'!LOZ21-'NF - 5 Power Mix'!LOZ22</f>
        <v>0</v>
      </c>
      <c r="LPA42" s="1046">
        <f>LPA38+((LPA40+'NF - 5 Power Mix'!LPA14+'NF - 5 Power Mix'!LPA15)*860/10)+((('Form Sa1'!LPD835)*860)/10)+('Form Sa1'!LPD814*'Form Sa1'!LPD816/10)-'NF - 5 Power Mix'!LPA21-'NF - 5 Power Mix'!LPA22</f>
        <v>0</v>
      </c>
      <c r="LPB42" s="1046">
        <f>LPB38+((LPB40+'NF - 5 Power Mix'!LPB14+'NF - 5 Power Mix'!LPB15)*860/10)+((('Form Sa1'!LPE835)*860)/10)+('Form Sa1'!LPE814*'Form Sa1'!LPE816/10)-'NF - 5 Power Mix'!LPB21-'NF - 5 Power Mix'!LPB22</f>
        <v>0</v>
      </c>
      <c r="LPC42" s="1046">
        <f>LPC38+((LPC40+'NF - 5 Power Mix'!LPC14+'NF - 5 Power Mix'!LPC15)*860/10)+((('Form Sa1'!LPF835)*860)/10)+('Form Sa1'!LPF814*'Form Sa1'!LPF816/10)-'NF - 5 Power Mix'!LPC21-'NF - 5 Power Mix'!LPC22</f>
        <v>0</v>
      </c>
      <c r="LPD42" s="1046">
        <f>LPD38+((LPD40+'NF - 5 Power Mix'!LPD14+'NF - 5 Power Mix'!LPD15)*860/10)+((('Form Sa1'!LPG835)*860)/10)+('Form Sa1'!LPG814*'Form Sa1'!LPG816/10)-'NF - 5 Power Mix'!LPD21-'NF - 5 Power Mix'!LPD22</f>
        <v>0</v>
      </c>
      <c r="LPE42" s="1046">
        <f>LPE38+((LPE40+'NF - 5 Power Mix'!LPE14+'NF - 5 Power Mix'!LPE15)*860/10)+((('Form Sa1'!LPH835)*860)/10)+('Form Sa1'!LPH814*'Form Sa1'!LPH816/10)-'NF - 5 Power Mix'!LPE21-'NF - 5 Power Mix'!LPE22</f>
        <v>0</v>
      </c>
      <c r="LPF42" s="1046">
        <f>LPF38+((LPF40+'NF - 5 Power Mix'!LPF14+'NF - 5 Power Mix'!LPF15)*860/10)+((('Form Sa1'!LPI835)*860)/10)+('Form Sa1'!LPI814*'Form Sa1'!LPI816/10)-'NF - 5 Power Mix'!LPF21-'NF - 5 Power Mix'!LPF22</f>
        <v>0</v>
      </c>
      <c r="LPG42" s="1046">
        <f>LPG38+((LPG40+'NF - 5 Power Mix'!LPG14+'NF - 5 Power Mix'!LPG15)*860/10)+((('Form Sa1'!LPJ835)*860)/10)+('Form Sa1'!LPJ814*'Form Sa1'!LPJ816/10)-'NF - 5 Power Mix'!LPG21-'NF - 5 Power Mix'!LPG22</f>
        <v>0</v>
      </c>
      <c r="LPH42" s="1046">
        <f>LPH38+((LPH40+'NF - 5 Power Mix'!LPH14+'NF - 5 Power Mix'!LPH15)*860/10)+((('Form Sa1'!LPK835)*860)/10)+('Form Sa1'!LPK814*'Form Sa1'!LPK816/10)-'NF - 5 Power Mix'!LPH21-'NF - 5 Power Mix'!LPH22</f>
        <v>0</v>
      </c>
      <c r="LPI42" s="1046">
        <f>LPI38+((LPI40+'NF - 5 Power Mix'!LPI14+'NF - 5 Power Mix'!LPI15)*860/10)+((('Form Sa1'!LPL835)*860)/10)+('Form Sa1'!LPL814*'Form Sa1'!LPL816/10)-'NF - 5 Power Mix'!LPI21-'NF - 5 Power Mix'!LPI22</f>
        <v>0</v>
      </c>
      <c r="LPJ42" s="1046">
        <f>LPJ38+((LPJ40+'NF - 5 Power Mix'!LPJ14+'NF - 5 Power Mix'!LPJ15)*860/10)+((('Form Sa1'!LPM835)*860)/10)+('Form Sa1'!LPM814*'Form Sa1'!LPM816/10)-'NF - 5 Power Mix'!LPJ21-'NF - 5 Power Mix'!LPJ22</f>
        <v>0</v>
      </c>
      <c r="LPK42" s="1046">
        <f>LPK38+((LPK40+'NF - 5 Power Mix'!LPK14+'NF - 5 Power Mix'!LPK15)*860/10)+((('Form Sa1'!LPN835)*860)/10)+('Form Sa1'!LPN814*'Form Sa1'!LPN816/10)-'NF - 5 Power Mix'!LPK21-'NF - 5 Power Mix'!LPK22</f>
        <v>0</v>
      </c>
      <c r="LPL42" s="1046">
        <f>LPL38+((LPL40+'NF - 5 Power Mix'!LPL14+'NF - 5 Power Mix'!LPL15)*860/10)+((('Form Sa1'!LPO835)*860)/10)+('Form Sa1'!LPO814*'Form Sa1'!LPO816/10)-'NF - 5 Power Mix'!LPL21-'NF - 5 Power Mix'!LPL22</f>
        <v>0</v>
      </c>
      <c r="LPM42" s="1046">
        <f>LPM38+((LPM40+'NF - 5 Power Mix'!LPM14+'NF - 5 Power Mix'!LPM15)*860/10)+((('Form Sa1'!LPP835)*860)/10)+('Form Sa1'!LPP814*'Form Sa1'!LPP816/10)-'NF - 5 Power Mix'!LPM21-'NF - 5 Power Mix'!LPM22</f>
        <v>0</v>
      </c>
      <c r="LPN42" s="1046">
        <f>LPN38+((LPN40+'NF - 5 Power Mix'!LPN14+'NF - 5 Power Mix'!LPN15)*860/10)+((('Form Sa1'!LPQ835)*860)/10)+('Form Sa1'!LPQ814*'Form Sa1'!LPQ816/10)-'NF - 5 Power Mix'!LPN21-'NF - 5 Power Mix'!LPN22</f>
        <v>0</v>
      </c>
      <c r="LPO42" s="1046">
        <f>LPO38+((LPO40+'NF - 5 Power Mix'!LPO14+'NF - 5 Power Mix'!LPO15)*860/10)+((('Form Sa1'!LPR835)*860)/10)+('Form Sa1'!LPR814*'Form Sa1'!LPR816/10)-'NF - 5 Power Mix'!LPO21-'NF - 5 Power Mix'!LPO22</f>
        <v>0</v>
      </c>
      <c r="LPP42" s="1046">
        <f>LPP38+((LPP40+'NF - 5 Power Mix'!LPP14+'NF - 5 Power Mix'!LPP15)*860/10)+((('Form Sa1'!LPS835)*860)/10)+('Form Sa1'!LPS814*'Form Sa1'!LPS816/10)-'NF - 5 Power Mix'!LPP21-'NF - 5 Power Mix'!LPP22</f>
        <v>0</v>
      </c>
      <c r="LPQ42" s="1046">
        <f>LPQ38+((LPQ40+'NF - 5 Power Mix'!LPQ14+'NF - 5 Power Mix'!LPQ15)*860/10)+((('Form Sa1'!LPT835)*860)/10)+('Form Sa1'!LPT814*'Form Sa1'!LPT816/10)-'NF - 5 Power Mix'!LPQ21-'NF - 5 Power Mix'!LPQ22</f>
        <v>0</v>
      </c>
      <c r="LPR42" s="1046">
        <f>LPR38+((LPR40+'NF - 5 Power Mix'!LPR14+'NF - 5 Power Mix'!LPR15)*860/10)+((('Form Sa1'!LPU835)*860)/10)+('Form Sa1'!LPU814*'Form Sa1'!LPU816/10)-'NF - 5 Power Mix'!LPR21-'NF - 5 Power Mix'!LPR22</f>
        <v>0</v>
      </c>
      <c r="LPS42" s="1046">
        <f>LPS38+((LPS40+'NF - 5 Power Mix'!LPS14+'NF - 5 Power Mix'!LPS15)*860/10)+((('Form Sa1'!LPV835)*860)/10)+('Form Sa1'!LPV814*'Form Sa1'!LPV816/10)-'NF - 5 Power Mix'!LPS21-'NF - 5 Power Mix'!LPS22</f>
        <v>0</v>
      </c>
      <c r="LPT42" s="1046">
        <f>LPT38+((LPT40+'NF - 5 Power Mix'!LPT14+'NF - 5 Power Mix'!LPT15)*860/10)+((('Form Sa1'!LPW835)*860)/10)+('Form Sa1'!LPW814*'Form Sa1'!LPW816/10)-'NF - 5 Power Mix'!LPT21-'NF - 5 Power Mix'!LPT22</f>
        <v>0</v>
      </c>
      <c r="LPU42" s="1046">
        <f>LPU38+((LPU40+'NF - 5 Power Mix'!LPU14+'NF - 5 Power Mix'!LPU15)*860/10)+((('Form Sa1'!LPX835)*860)/10)+('Form Sa1'!LPX814*'Form Sa1'!LPX816/10)-'NF - 5 Power Mix'!LPU21-'NF - 5 Power Mix'!LPU22</f>
        <v>0</v>
      </c>
      <c r="LPV42" s="1046">
        <f>LPV38+((LPV40+'NF - 5 Power Mix'!LPV14+'NF - 5 Power Mix'!LPV15)*860/10)+((('Form Sa1'!LPY835)*860)/10)+('Form Sa1'!LPY814*'Form Sa1'!LPY816/10)-'NF - 5 Power Mix'!LPV21-'NF - 5 Power Mix'!LPV22</f>
        <v>0</v>
      </c>
      <c r="LPW42" s="1046">
        <f>LPW38+((LPW40+'NF - 5 Power Mix'!LPW14+'NF - 5 Power Mix'!LPW15)*860/10)+((('Form Sa1'!LPZ835)*860)/10)+('Form Sa1'!LPZ814*'Form Sa1'!LPZ816/10)-'NF - 5 Power Mix'!LPW21-'NF - 5 Power Mix'!LPW22</f>
        <v>0</v>
      </c>
      <c r="LPX42" s="1046">
        <f>LPX38+((LPX40+'NF - 5 Power Mix'!LPX14+'NF - 5 Power Mix'!LPX15)*860/10)+((('Form Sa1'!LQA835)*860)/10)+('Form Sa1'!LQA814*'Form Sa1'!LQA816/10)-'NF - 5 Power Mix'!LPX21-'NF - 5 Power Mix'!LPX22</f>
        <v>0</v>
      </c>
      <c r="LPY42" s="1046">
        <f>LPY38+((LPY40+'NF - 5 Power Mix'!LPY14+'NF - 5 Power Mix'!LPY15)*860/10)+((('Form Sa1'!LQB835)*860)/10)+('Form Sa1'!LQB814*'Form Sa1'!LQB816/10)-'NF - 5 Power Mix'!LPY21-'NF - 5 Power Mix'!LPY22</f>
        <v>0</v>
      </c>
      <c r="LPZ42" s="1046">
        <f>LPZ38+((LPZ40+'NF - 5 Power Mix'!LPZ14+'NF - 5 Power Mix'!LPZ15)*860/10)+((('Form Sa1'!LQC835)*860)/10)+('Form Sa1'!LQC814*'Form Sa1'!LQC816/10)-'NF - 5 Power Mix'!LPZ21-'NF - 5 Power Mix'!LPZ22</f>
        <v>0</v>
      </c>
      <c r="LQA42" s="1046">
        <f>LQA38+((LQA40+'NF - 5 Power Mix'!LQA14+'NF - 5 Power Mix'!LQA15)*860/10)+((('Form Sa1'!LQD835)*860)/10)+('Form Sa1'!LQD814*'Form Sa1'!LQD816/10)-'NF - 5 Power Mix'!LQA21-'NF - 5 Power Mix'!LQA22</f>
        <v>0</v>
      </c>
      <c r="LQB42" s="1046">
        <f>LQB38+((LQB40+'NF - 5 Power Mix'!LQB14+'NF - 5 Power Mix'!LQB15)*860/10)+((('Form Sa1'!LQE835)*860)/10)+('Form Sa1'!LQE814*'Form Sa1'!LQE816/10)-'NF - 5 Power Mix'!LQB21-'NF - 5 Power Mix'!LQB22</f>
        <v>0</v>
      </c>
      <c r="LQC42" s="1046">
        <f>LQC38+((LQC40+'NF - 5 Power Mix'!LQC14+'NF - 5 Power Mix'!LQC15)*860/10)+((('Form Sa1'!LQF835)*860)/10)+('Form Sa1'!LQF814*'Form Sa1'!LQF816/10)-'NF - 5 Power Mix'!LQC21-'NF - 5 Power Mix'!LQC22</f>
        <v>0</v>
      </c>
      <c r="LQD42" s="1046">
        <f>LQD38+((LQD40+'NF - 5 Power Mix'!LQD14+'NF - 5 Power Mix'!LQD15)*860/10)+((('Form Sa1'!LQG835)*860)/10)+('Form Sa1'!LQG814*'Form Sa1'!LQG816/10)-'NF - 5 Power Mix'!LQD21-'NF - 5 Power Mix'!LQD22</f>
        <v>0</v>
      </c>
      <c r="LQE42" s="1046">
        <f>LQE38+((LQE40+'NF - 5 Power Mix'!LQE14+'NF - 5 Power Mix'!LQE15)*860/10)+((('Form Sa1'!LQH835)*860)/10)+('Form Sa1'!LQH814*'Form Sa1'!LQH816/10)-'NF - 5 Power Mix'!LQE21-'NF - 5 Power Mix'!LQE22</f>
        <v>0</v>
      </c>
      <c r="LQF42" s="1046">
        <f>LQF38+((LQF40+'NF - 5 Power Mix'!LQF14+'NF - 5 Power Mix'!LQF15)*860/10)+((('Form Sa1'!LQI835)*860)/10)+('Form Sa1'!LQI814*'Form Sa1'!LQI816/10)-'NF - 5 Power Mix'!LQF21-'NF - 5 Power Mix'!LQF22</f>
        <v>0</v>
      </c>
      <c r="LQG42" s="1046">
        <f>LQG38+((LQG40+'NF - 5 Power Mix'!LQG14+'NF - 5 Power Mix'!LQG15)*860/10)+((('Form Sa1'!LQJ835)*860)/10)+('Form Sa1'!LQJ814*'Form Sa1'!LQJ816/10)-'NF - 5 Power Mix'!LQG21-'NF - 5 Power Mix'!LQG22</f>
        <v>0</v>
      </c>
      <c r="LQH42" s="1046">
        <f>LQH38+((LQH40+'NF - 5 Power Mix'!LQH14+'NF - 5 Power Mix'!LQH15)*860/10)+((('Form Sa1'!LQK835)*860)/10)+('Form Sa1'!LQK814*'Form Sa1'!LQK816/10)-'NF - 5 Power Mix'!LQH21-'NF - 5 Power Mix'!LQH22</f>
        <v>0</v>
      </c>
      <c r="LQI42" s="1046">
        <f>LQI38+((LQI40+'NF - 5 Power Mix'!LQI14+'NF - 5 Power Mix'!LQI15)*860/10)+((('Form Sa1'!LQL835)*860)/10)+('Form Sa1'!LQL814*'Form Sa1'!LQL816/10)-'NF - 5 Power Mix'!LQI21-'NF - 5 Power Mix'!LQI22</f>
        <v>0</v>
      </c>
      <c r="LQJ42" s="1046">
        <f>LQJ38+((LQJ40+'NF - 5 Power Mix'!LQJ14+'NF - 5 Power Mix'!LQJ15)*860/10)+((('Form Sa1'!LQM835)*860)/10)+('Form Sa1'!LQM814*'Form Sa1'!LQM816/10)-'NF - 5 Power Mix'!LQJ21-'NF - 5 Power Mix'!LQJ22</f>
        <v>0</v>
      </c>
      <c r="LQK42" s="1046">
        <f>LQK38+((LQK40+'NF - 5 Power Mix'!LQK14+'NF - 5 Power Mix'!LQK15)*860/10)+((('Form Sa1'!LQN835)*860)/10)+('Form Sa1'!LQN814*'Form Sa1'!LQN816/10)-'NF - 5 Power Mix'!LQK21-'NF - 5 Power Mix'!LQK22</f>
        <v>0</v>
      </c>
      <c r="LQL42" s="1046">
        <f>LQL38+((LQL40+'NF - 5 Power Mix'!LQL14+'NF - 5 Power Mix'!LQL15)*860/10)+((('Form Sa1'!LQO835)*860)/10)+('Form Sa1'!LQO814*'Form Sa1'!LQO816/10)-'NF - 5 Power Mix'!LQL21-'NF - 5 Power Mix'!LQL22</f>
        <v>0</v>
      </c>
      <c r="LQM42" s="1046">
        <f>LQM38+((LQM40+'NF - 5 Power Mix'!LQM14+'NF - 5 Power Mix'!LQM15)*860/10)+((('Form Sa1'!LQP835)*860)/10)+('Form Sa1'!LQP814*'Form Sa1'!LQP816/10)-'NF - 5 Power Mix'!LQM21-'NF - 5 Power Mix'!LQM22</f>
        <v>0</v>
      </c>
      <c r="LQN42" s="1046">
        <f>LQN38+((LQN40+'NF - 5 Power Mix'!LQN14+'NF - 5 Power Mix'!LQN15)*860/10)+((('Form Sa1'!LQQ835)*860)/10)+('Form Sa1'!LQQ814*'Form Sa1'!LQQ816/10)-'NF - 5 Power Mix'!LQN21-'NF - 5 Power Mix'!LQN22</f>
        <v>0</v>
      </c>
      <c r="LQO42" s="1046">
        <f>LQO38+((LQO40+'NF - 5 Power Mix'!LQO14+'NF - 5 Power Mix'!LQO15)*860/10)+((('Form Sa1'!LQR835)*860)/10)+('Form Sa1'!LQR814*'Form Sa1'!LQR816/10)-'NF - 5 Power Mix'!LQO21-'NF - 5 Power Mix'!LQO22</f>
        <v>0</v>
      </c>
      <c r="LQP42" s="1046">
        <f>LQP38+((LQP40+'NF - 5 Power Mix'!LQP14+'NF - 5 Power Mix'!LQP15)*860/10)+((('Form Sa1'!LQS835)*860)/10)+('Form Sa1'!LQS814*'Form Sa1'!LQS816/10)-'NF - 5 Power Mix'!LQP21-'NF - 5 Power Mix'!LQP22</f>
        <v>0</v>
      </c>
      <c r="LQQ42" s="1046">
        <f>LQQ38+((LQQ40+'NF - 5 Power Mix'!LQQ14+'NF - 5 Power Mix'!LQQ15)*860/10)+((('Form Sa1'!LQT835)*860)/10)+('Form Sa1'!LQT814*'Form Sa1'!LQT816/10)-'NF - 5 Power Mix'!LQQ21-'NF - 5 Power Mix'!LQQ22</f>
        <v>0</v>
      </c>
      <c r="LQR42" s="1046">
        <f>LQR38+((LQR40+'NF - 5 Power Mix'!LQR14+'NF - 5 Power Mix'!LQR15)*860/10)+((('Form Sa1'!LQU835)*860)/10)+('Form Sa1'!LQU814*'Form Sa1'!LQU816/10)-'NF - 5 Power Mix'!LQR21-'NF - 5 Power Mix'!LQR22</f>
        <v>0</v>
      </c>
      <c r="LQS42" s="1046">
        <f>LQS38+((LQS40+'NF - 5 Power Mix'!LQS14+'NF - 5 Power Mix'!LQS15)*860/10)+((('Form Sa1'!LQV835)*860)/10)+('Form Sa1'!LQV814*'Form Sa1'!LQV816/10)-'NF - 5 Power Mix'!LQS21-'NF - 5 Power Mix'!LQS22</f>
        <v>0</v>
      </c>
      <c r="LQT42" s="1046">
        <f>LQT38+((LQT40+'NF - 5 Power Mix'!LQT14+'NF - 5 Power Mix'!LQT15)*860/10)+((('Form Sa1'!LQW835)*860)/10)+('Form Sa1'!LQW814*'Form Sa1'!LQW816/10)-'NF - 5 Power Mix'!LQT21-'NF - 5 Power Mix'!LQT22</f>
        <v>0</v>
      </c>
      <c r="LQU42" s="1046">
        <f>LQU38+((LQU40+'NF - 5 Power Mix'!LQU14+'NF - 5 Power Mix'!LQU15)*860/10)+((('Form Sa1'!LQX835)*860)/10)+('Form Sa1'!LQX814*'Form Sa1'!LQX816/10)-'NF - 5 Power Mix'!LQU21-'NF - 5 Power Mix'!LQU22</f>
        <v>0</v>
      </c>
      <c r="LQV42" s="1046">
        <f>LQV38+((LQV40+'NF - 5 Power Mix'!LQV14+'NF - 5 Power Mix'!LQV15)*860/10)+((('Form Sa1'!LQY835)*860)/10)+('Form Sa1'!LQY814*'Form Sa1'!LQY816/10)-'NF - 5 Power Mix'!LQV21-'NF - 5 Power Mix'!LQV22</f>
        <v>0</v>
      </c>
      <c r="LQW42" s="1046">
        <f>LQW38+((LQW40+'NF - 5 Power Mix'!LQW14+'NF - 5 Power Mix'!LQW15)*860/10)+((('Form Sa1'!LQZ835)*860)/10)+('Form Sa1'!LQZ814*'Form Sa1'!LQZ816/10)-'NF - 5 Power Mix'!LQW21-'NF - 5 Power Mix'!LQW22</f>
        <v>0</v>
      </c>
      <c r="LQX42" s="1046">
        <f>LQX38+((LQX40+'NF - 5 Power Mix'!LQX14+'NF - 5 Power Mix'!LQX15)*860/10)+((('Form Sa1'!LRA835)*860)/10)+('Form Sa1'!LRA814*'Form Sa1'!LRA816/10)-'NF - 5 Power Mix'!LQX21-'NF - 5 Power Mix'!LQX22</f>
        <v>0</v>
      </c>
      <c r="LQY42" s="1046">
        <f>LQY38+((LQY40+'NF - 5 Power Mix'!LQY14+'NF - 5 Power Mix'!LQY15)*860/10)+((('Form Sa1'!LRB835)*860)/10)+('Form Sa1'!LRB814*'Form Sa1'!LRB816/10)-'NF - 5 Power Mix'!LQY21-'NF - 5 Power Mix'!LQY22</f>
        <v>0</v>
      </c>
      <c r="LQZ42" s="1046">
        <f>LQZ38+((LQZ40+'NF - 5 Power Mix'!LQZ14+'NF - 5 Power Mix'!LQZ15)*860/10)+((('Form Sa1'!LRC835)*860)/10)+('Form Sa1'!LRC814*'Form Sa1'!LRC816/10)-'NF - 5 Power Mix'!LQZ21-'NF - 5 Power Mix'!LQZ22</f>
        <v>0</v>
      </c>
      <c r="LRA42" s="1046">
        <f>LRA38+((LRA40+'NF - 5 Power Mix'!LRA14+'NF - 5 Power Mix'!LRA15)*860/10)+((('Form Sa1'!LRD835)*860)/10)+('Form Sa1'!LRD814*'Form Sa1'!LRD816/10)-'NF - 5 Power Mix'!LRA21-'NF - 5 Power Mix'!LRA22</f>
        <v>0</v>
      </c>
      <c r="LRB42" s="1046">
        <f>LRB38+((LRB40+'NF - 5 Power Mix'!LRB14+'NF - 5 Power Mix'!LRB15)*860/10)+((('Form Sa1'!LRE835)*860)/10)+('Form Sa1'!LRE814*'Form Sa1'!LRE816/10)-'NF - 5 Power Mix'!LRB21-'NF - 5 Power Mix'!LRB22</f>
        <v>0</v>
      </c>
      <c r="LRC42" s="1046">
        <f>LRC38+((LRC40+'NF - 5 Power Mix'!LRC14+'NF - 5 Power Mix'!LRC15)*860/10)+((('Form Sa1'!LRF835)*860)/10)+('Form Sa1'!LRF814*'Form Sa1'!LRF816/10)-'NF - 5 Power Mix'!LRC21-'NF - 5 Power Mix'!LRC22</f>
        <v>0</v>
      </c>
      <c r="LRD42" s="1046">
        <f>LRD38+((LRD40+'NF - 5 Power Mix'!LRD14+'NF - 5 Power Mix'!LRD15)*860/10)+((('Form Sa1'!LRG835)*860)/10)+('Form Sa1'!LRG814*'Form Sa1'!LRG816/10)-'NF - 5 Power Mix'!LRD21-'NF - 5 Power Mix'!LRD22</f>
        <v>0</v>
      </c>
      <c r="LRE42" s="1046">
        <f>LRE38+((LRE40+'NF - 5 Power Mix'!LRE14+'NF - 5 Power Mix'!LRE15)*860/10)+((('Form Sa1'!LRH835)*860)/10)+('Form Sa1'!LRH814*'Form Sa1'!LRH816/10)-'NF - 5 Power Mix'!LRE21-'NF - 5 Power Mix'!LRE22</f>
        <v>0</v>
      </c>
      <c r="LRF42" s="1046">
        <f>LRF38+((LRF40+'NF - 5 Power Mix'!LRF14+'NF - 5 Power Mix'!LRF15)*860/10)+((('Form Sa1'!LRI835)*860)/10)+('Form Sa1'!LRI814*'Form Sa1'!LRI816/10)-'NF - 5 Power Mix'!LRF21-'NF - 5 Power Mix'!LRF22</f>
        <v>0</v>
      </c>
      <c r="LRG42" s="1046">
        <f>LRG38+((LRG40+'NF - 5 Power Mix'!LRG14+'NF - 5 Power Mix'!LRG15)*860/10)+((('Form Sa1'!LRJ835)*860)/10)+('Form Sa1'!LRJ814*'Form Sa1'!LRJ816/10)-'NF - 5 Power Mix'!LRG21-'NF - 5 Power Mix'!LRG22</f>
        <v>0</v>
      </c>
      <c r="LRH42" s="1046">
        <f>LRH38+((LRH40+'NF - 5 Power Mix'!LRH14+'NF - 5 Power Mix'!LRH15)*860/10)+((('Form Sa1'!LRK835)*860)/10)+('Form Sa1'!LRK814*'Form Sa1'!LRK816/10)-'NF - 5 Power Mix'!LRH21-'NF - 5 Power Mix'!LRH22</f>
        <v>0</v>
      </c>
      <c r="LRI42" s="1046">
        <f>LRI38+((LRI40+'NF - 5 Power Mix'!LRI14+'NF - 5 Power Mix'!LRI15)*860/10)+((('Form Sa1'!LRL835)*860)/10)+('Form Sa1'!LRL814*'Form Sa1'!LRL816/10)-'NF - 5 Power Mix'!LRI21-'NF - 5 Power Mix'!LRI22</f>
        <v>0</v>
      </c>
      <c r="LRJ42" s="1046">
        <f>LRJ38+((LRJ40+'NF - 5 Power Mix'!LRJ14+'NF - 5 Power Mix'!LRJ15)*860/10)+((('Form Sa1'!LRM835)*860)/10)+('Form Sa1'!LRM814*'Form Sa1'!LRM816/10)-'NF - 5 Power Mix'!LRJ21-'NF - 5 Power Mix'!LRJ22</f>
        <v>0</v>
      </c>
      <c r="LRK42" s="1046">
        <f>LRK38+((LRK40+'NF - 5 Power Mix'!LRK14+'NF - 5 Power Mix'!LRK15)*860/10)+((('Form Sa1'!LRN835)*860)/10)+('Form Sa1'!LRN814*'Form Sa1'!LRN816/10)-'NF - 5 Power Mix'!LRK21-'NF - 5 Power Mix'!LRK22</f>
        <v>0</v>
      </c>
      <c r="LRL42" s="1046">
        <f>LRL38+((LRL40+'NF - 5 Power Mix'!LRL14+'NF - 5 Power Mix'!LRL15)*860/10)+((('Form Sa1'!LRO835)*860)/10)+('Form Sa1'!LRO814*'Form Sa1'!LRO816/10)-'NF - 5 Power Mix'!LRL21-'NF - 5 Power Mix'!LRL22</f>
        <v>0</v>
      </c>
      <c r="LRM42" s="1046">
        <f>LRM38+((LRM40+'NF - 5 Power Mix'!LRM14+'NF - 5 Power Mix'!LRM15)*860/10)+((('Form Sa1'!LRP835)*860)/10)+('Form Sa1'!LRP814*'Form Sa1'!LRP816/10)-'NF - 5 Power Mix'!LRM21-'NF - 5 Power Mix'!LRM22</f>
        <v>0</v>
      </c>
      <c r="LRN42" s="1046">
        <f>LRN38+((LRN40+'NF - 5 Power Mix'!LRN14+'NF - 5 Power Mix'!LRN15)*860/10)+((('Form Sa1'!LRQ835)*860)/10)+('Form Sa1'!LRQ814*'Form Sa1'!LRQ816/10)-'NF - 5 Power Mix'!LRN21-'NF - 5 Power Mix'!LRN22</f>
        <v>0</v>
      </c>
      <c r="LRO42" s="1046">
        <f>LRO38+((LRO40+'NF - 5 Power Mix'!LRO14+'NF - 5 Power Mix'!LRO15)*860/10)+((('Form Sa1'!LRR835)*860)/10)+('Form Sa1'!LRR814*'Form Sa1'!LRR816/10)-'NF - 5 Power Mix'!LRO21-'NF - 5 Power Mix'!LRO22</f>
        <v>0</v>
      </c>
      <c r="LRP42" s="1046">
        <f>LRP38+((LRP40+'NF - 5 Power Mix'!LRP14+'NF - 5 Power Mix'!LRP15)*860/10)+((('Form Sa1'!LRS835)*860)/10)+('Form Sa1'!LRS814*'Form Sa1'!LRS816/10)-'NF - 5 Power Mix'!LRP21-'NF - 5 Power Mix'!LRP22</f>
        <v>0</v>
      </c>
      <c r="LRQ42" s="1046">
        <f>LRQ38+((LRQ40+'NF - 5 Power Mix'!LRQ14+'NF - 5 Power Mix'!LRQ15)*860/10)+((('Form Sa1'!LRT835)*860)/10)+('Form Sa1'!LRT814*'Form Sa1'!LRT816/10)-'NF - 5 Power Mix'!LRQ21-'NF - 5 Power Mix'!LRQ22</f>
        <v>0</v>
      </c>
      <c r="LRR42" s="1046">
        <f>LRR38+((LRR40+'NF - 5 Power Mix'!LRR14+'NF - 5 Power Mix'!LRR15)*860/10)+((('Form Sa1'!LRU835)*860)/10)+('Form Sa1'!LRU814*'Form Sa1'!LRU816/10)-'NF - 5 Power Mix'!LRR21-'NF - 5 Power Mix'!LRR22</f>
        <v>0</v>
      </c>
      <c r="LRS42" s="1046">
        <f>LRS38+((LRS40+'NF - 5 Power Mix'!LRS14+'NF - 5 Power Mix'!LRS15)*860/10)+((('Form Sa1'!LRV835)*860)/10)+('Form Sa1'!LRV814*'Form Sa1'!LRV816/10)-'NF - 5 Power Mix'!LRS21-'NF - 5 Power Mix'!LRS22</f>
        <v>0</v>
      </c>
      <c r="LRT42" s="1046">
        <f>LRT38+((LRT40+'NF - 5 Power Mix'!LRT14+'NF - 5 Power Mix'!LRT15)*860/10)+((('Form Sa1'!LRW835)*860)/10)+('Form Sa1'!LRW814*'Form Sa1'!LRW816/10)-'NF - 5 Power Mix'!LRT21-'NF - 5 Power Mix'!LRT22</f>
        <v>0</v>
      </c>
      <c r="LRU42" s="1046">
        <f>LRU38+((LRU40+'NF - 5 Power Mix'!LRU14+'NF - 5 Power Mix'!LRU15)*860/10)+((('Form Sa1'!LRX835)*860)/10)+('Form Sa1'!LRX814*'Form Sa1'!LRX816/10)-'NF - 5 Power Mix'!LRU21-'NF - 5 Power Mix'!LRU22</f>
        <v>0</v>
      </c>
      <c r="LRV42" s="1046">
        <f>LRV38+((LRV40+'NF - 5 Power Mix'!LRV14+'NF - 5 Power Mix'!LRV15)*860/10)+((('Form Sa1'!LRY835)*860)/10)+('Form Sa1'!LRY814*'Form Sa1'!LRY816/10)-'NF - 5 Power Mix'!LRV21-'NF - 5 Power Mix'!LRV22</f>
        <v>0</v>
      </c>
      <c r="LRW42" s="1046">
        <f>LRW38+((LRW40+'NF - 5 Power Mix'!LRW14+'NF - 5 Power Mix'!LRW15)*860/10)+((('Form Sa1'!LRZ835)*860)/10)+('Form Sa1'!LRZ814*'Form Sa1'!LRZ816/10)-'NF - 5 Power Mix'!LRW21-'NF - 5 Power Mix'!LRW22</f>
        <v>0</v>
      </c>
      <c r="LRX42" s="1046">
        <f>LRX38+((LRX40+'NF - 5 Power Mix'!LRX14+'NF - 5 Power Mix'!LRX15)*860/10)+((('Form Sa1'!LSA835)*860)/10)+('Form Sa1'!LSA814*'Form Sa1'!LSA816/10)-'NF - 5 Power Mix'!LRX21-'NF - 5 Power Mix'!LRX22</f>
        <v>0</v>
      </c>
      <c r="LRY42" s="1046">
        <f>LRY38+((LRY40+'NF - 5 Power Mix'!LRY14+'NF - 5 Power Mix'!LRY15)*860/10)+((('Form Sa1'!LSB835)*860)/10)+('Form Sa1'!LSB814*'Form Sa1'!LSB816/10)-'NF - 5 Power Mix'!LRY21-'NF - 5 Power Mix'!LRY22</f>
        <v>0</v>
      </c>
      <c r="LRZ42" s="1046">
        <f>LRZ38+((LRZ40+'NF - 5 Power Mix'!LRZ14+'NF - 5 Power Mix'!LRZ15)*860/10)+((('Form Sa1'!LSC835)*860)/10)+('Form Sa1'!LSC814*'Form Sa1'!LSC816/10)-'NF - 5 Power Mix'!LRZ21-'NF - 5 Power Mix'!LRZ22</f>
        <v>0</v>
      </c>
      <c r="LSA42" s="1046">
        <f>LSA38+((LSA40+'NF - 5 Power Mix'!LSA14+'NF - 5 Power Mix'!LSA15)*860/10)+((('Form Sa1'!LSD835)*860)/10)+('Form Sa1'!LSD814*'Form Sa1'!LSD816/10)-'NF - 5 Power Mix'!LSA21-'NF - 5 Power Mix'!LSA22</f>
        <v>0</v>
      </c>
      <c r="LSB42" s="1046">
        <f>LSB38+((LSB40+'NF - 5 Power Mix'!LSB14+'NF - 5 Power Mix'!LSB15)*860/10)+((('Form Sa1'!LSE835)*860)/10)+('Form Sa1'!LSE814*'Form Sa1'!LSE816/10)-'NF - 5 Power Mix'!LSB21-'NF - 5 Power Mix'!LSB22</f>
        <v>0</v>
      </c>
      <c r="LSC42" s="1046">
        <f>LSC38+((LSC40+'NF - 5 Power Mix'!LSC14+'NF - 5 Power Mix'!LSC15)*860/10)+((('Form Sa1'!LSF835)*860)/10)+('Form Sa1'!LSF814*'Form Sa1'!LSF816/10)-'NF - 5 Power Mix'!LSC21-'NF - 5 Power Mix'!LSC22</f>
        <v>0</v>
      </c>
      <c r="LSD42" s="1046">
        <f>LSD38+((LSD40+'NF - 5 Power Mix'!LSD14+'NF - 5 Power Mix'!LSD15)*860/10)+((('Form Sa1'!LSG835)*860)/10)+('Form Sa1'!LSG814*'Form Sa1'!LSG816/10)-'NF - 5 Power Mix'!LSD21-'NF - 5 Power Mix'!LSD22</f>
        <v>0</v>
      </c>
      <c r="LSE42" s="1046">
        <f>LSE38+((LSE40+'NF - 5 Power Mix'!LSE14+'NF - 5 Power Mix'!LSE15)*860/10)+((('Form Sa1'!LSH835)*860)/10)+('Form Sa1'!LSH814*'Form Sa1'!LSH816/10)-'NF - 5 Power Mix'!LSE21-'NF - 5 Power Mix'!LSE22</f>
        <v>0</v>
      </c>
      <c r="LSF42" s="1046">
        <f>LSF38+((LSF40+'NF - 5 Power Mix'!LSF14+'NF - 5 Power Mix'!LSF15)*860/10)+((('Form Sa1'!LSI835)*860)/10)+('Form Sa1'!LSI814*'Form Sa1'!LSI816/10)-'NF - 5 Power Mix'!LSF21-'NF - 5 Power Mix'!LSF22</f>
        <v>0</v>
      </c>
      <c r="LSG42" s="1046">
        <f>LSG38+((LSG40+'NF - 5 Power Mix'!LSG14+'NF - 5 Power Mix'!LSG15)*860/10)+((('Form Sa1'!LSJ835)*860)/10)+('Form Sa1'!LSJ814*'Form Sa1'!LSJ816/10)-'NF - 5 Power Mix'!LSG21-'NF - 5 Power Mix'!LSG22</f>
        <v>0</v>
      </c>
      <c r="LSH42" s="1046">
        <f>LSH38+((LSH40+'NF - 5 Power Mix'!LSH14+'NF - 5 Power Mix'!LSH15)*860/10)+((('Form Sa1'!LSK835)*860)/10)+('Form Sa1'!LSK814*'Form Sa1'!LSK816/10)-'NF - 5 Power Mix'!LSH21-'NF - 5 Power Mix'!LSH22</f>
        <v>0</v>
      </c>
      <c r="LSI42" s="1046">
        <f>LSI38+((LSI40+'NF - 5 Power Mix'!LSI14+'NF - 5 Power Mix'!LSI15)*860/10)+((('Form Sa1'!LSL835)*860)/10)+('Form Sa1'!LSL814*'Form Sa1'!LSL816/10)-'NF - 5 Power Mix'!LSI21-'NF - 5 Power Mix'!LSI22</f>
        <v>0</v>
      </c>
      <c r="LSJ42" s="1046">
        <f>LSJ38+((LSJ40+'NF - 5 Power Mix'!LSJ14+'NF - 5 Power Mix'!LSJ15)*860/10)+((('Form Sa1'!LSM835)*860)/10)+('Form Sa1'!LSM814*'Form Sa1'!LSM816/10)-'NF - 5 Power Mix'!LSJ21-'NF - 5 Power Mix'!LSJ22</f>
        <v>0</v>
      </c>
      <c r="LSK42" s="1046">
        <f>LSK38+((LSK40+'NF - 5 Power Mix'!LSK14+'NF - 5 Power Mix'!LSK15)*860/10)+((('Form Sa1'!LSN835)*860)/10)+('Form Sa1'!LSN814*'Form Sa1'!LSN816/10)-'NF - 5 Power Mix'!LSK21-'NF - 5 Power Mix'!LSK22</f>
        <v>0</v>
      </c>
      <c r="LSL42" s="1046">
        <f>LSL38+((LSL40+'NF - 5 Power Mix'!LSL14+'NF - 5 Power Mix'!LSL15)*860/10)+((('Form Sa1'!LSO835)*860)/10)+('Form Sa1'!LSO814*'Form Sa1'!LSO816/10)-'NF - 5 Power Mix'!LSL21-'NF - 5 Power Mix'!LSL22</f>
        <v>0</v>
      </c>
      <c r="LSM42" s="1046">
        <f>LSM38+((LSM40+'NF - 5 Power Mix'!LSM14+'NF - 5 Power Mix'!LSM15)*860/10)+((('Form Sa1'!LSP835)*860)/10)+('Form Sa1'!LSP814*'Form Sa1'!LSP816/10)-'NF - 5 Power Mix'!LSM21-'NF - 5 Power Mix'!LSM22</f>
        <v>0</v>
      </c>
      <c r="LSN42" s="1046">
        <f>LSN38+((LSN40+'NF - 5 Power Mix'!LSN14+'NF - 5 Power Mix'!LSN15)*860/10)+((('Form Sa1'!LSQ835)*860)/10)+('Form Sa1'!LSQ814*'Form Sa1'!LSQ816/10)-'NF - 5 Power Mix'!LSN21-'NF - 5 Power Mix'!LSN22</f>
        <v>0</v>
      </c>
      <c r="LSO42" s="1046">
        <f>LSO38+((LSO40+'NF - 5 Power Mix'!LSO14+'NF - 5 Power Mix'!LSO15)*860/10)+((('Form Sa1'!LSR835)*860)/10)+('Form Sa1'!LSR814*'Form Sa1'!LSR816/10)-'NF - 5 Power Mix'!LSO21-'NF - 5 Power Mix'!LSO22</f>
        <v>0</v>
      </c>
      <c r="LSP42" s="1046">
        <f>LSP38+((LSP40+'NF - 5 Power Mix'!LSP14+'NF - 5 Power Mix'!LSP15)*860/10)+((('Form Sa1'!LSS835)*860)/10)+('Form Sa1'!LSS814*'Form Sa1'!LSS816/10)-'NF - 5 Power Mix'!LSP21-'NF - 5 Power Mix'!LSP22</f>
        <v>0</v>
      </c>
      <c r="LSQ42" s="1046">
        <f>LSQ38+((LSQ40+'NF - 5 Power Mix'!LSQ14+'NF - 5 Power Mix'!LSQ15)*860/10)+((('Form Sa1'!LST835)*860)/10)+('Form Sa1'!LST814*'Form Sa1'!LST816/10)-'NF - 5 Power Mix'!LSQ21-'NF - 5 Power Mix'!LSQ22</f>
        <v>0</v>
      </c>
      <c r="LSR42" s="1046">
        <f>LSR38+((LSR40+'NF - 5 Power Mix'!LSR14+'NF - 5 Power Mix'!LSR15)*860/10)+((('Form Sa1'!LSU835)*860)/10)+('Form Sa1'!LSU814*'Form Sa1'!LSU816/10)-'NF - 5 Power Mix'!LSR21-'NF - 5 Power Mix'!LSR22</f>
        <v>0</v>
      </c>
      <c r="LSS42" s="1046">
        <f>LSS38+((LSS40+'NF - 5 Power Mix'!LSS14+'NF - 5 Power Mix'!LSS15)*860/10)+((('Form Sa1'!LSV835)*860)/10)+('Form Sa1'!LSV814*'Form Sa1'!LSV816/10)-'NF - 5 Power Mix'!LSS21-'NF - 5 Power Mix'!LSS22</f>
        <v>0</v>
      </c>
      <c r="LST42" s="1046">
        <f>LST38+((LST40+'NF - 5 Power Mix'!LST14+'NF - 5 Power Mix'!LST15)*860/10)+((('Form Sa1'!LSW835)*860)/10)+('Form Sa1'!LSW814*'Form Sa1'!LSW816/10)-'NF - 5 Power Mix'!LST21-'NF - 5 Power Mix'!LST22</f>
        <v>0</v>
      </c>
      <c r="LSU42" s="1046">
        <f>LSU38+((LSU40+'NF - 5 Power Mix'!LSU14+'NF - 5 Power Mix'!LSU15)*860/10)+((('Form Sa1'!LSX835)*860)/10)+('Form Sa1'!LSX814*'Form Sa1'!LSX816/10)-'NF - 5 Power Mix'!LSU21-'NF - 5 Power Mix'!LSU22</f>
        <v>0</v>
      </c>
      <c r="LSV42" s="1046">
        <f>LSV38+((LSV40+'NF - 5 Power Mix'!LSV14+'NF - 5 Power Mix'!LSV15)*860/10)+((('Form Sa1'!LSY835)*860)/10)+('Form Sa1'!LSY814*'Form Sa1'!LSY816/10)-'NF - 5 Power Mix'!LSV21-'NF - 5 Power Mix'!LSV22</f>
        <v>0</v>
      </c>
      <c r="LSW42" s="1046">
        <f>LSW38+((LSW40+'NF - 5 Power Mix'!LSW14+'NF - 5 Power Mix'!LSW15)*860/10)+((('Form Sa1'!LSZ835)*860)/10)+('Form Sa1'!LSZ814*'Form Sa1'!LSZ816/10)-'NF - 5 Power Mix'!LSW21-'NF - 5 Power Mix'!LSW22</f>
        <v>0</v>
      </c>
      <c r="LSX42" s="1046">
        <f>LSX38+((LSX40+'NF - 5 Power Mix'!LSX14+'NF - 5 Power Mix'!LSX15)*860/10)+((('Form Sa1'!LTA835)*860)/10)+('Form Sa1'!LTA814*'Form Sa1'!LTA816/10)-'NF - 5 Power Mix'!LSX21-'NF - 5 Power Mix'!LSX22</f>
        <v>0</v>
      </c>
      <c r="LSY42" s="1046">
        <f>LSY38+((LSY40+'NF - 5 Power Mix'!LSY14+'NF - 5 Power Mix'!LSY15)*860/10)+((('Form Sa1'!LTB835)*860)/10)+('Form Sa1'!LTB814*'Form Sa1'!LTB816/10)-'NF - 5 Power Mix'!LSY21-'NF - 5 Power Mix'!LSY22</f>
        <v>0</v>
      </c>
      <c r="LSZ42" s="1046">
        <f>LSZ38+((LSZ40+'NF - 5 Power Mix'!LSZ14+'NF - 5 Power Mix'!LSZ15)*860/10)+((('Form Sa1'!LTC835)*860)/10)+('Form Sa1'!LTC814*'Form Sa1'!LTC816/10)-'NF - 5 Power Mix'!LSZ21-'NF - 5 Power Mix'!LSZ22</f>
        <v>0</v>
      </c>
      <c r="LTA42" s="1046">
        <f>LTA38+((LTA40+'NF - 5 Power Mix'!LTA14+'NF - 5 Power Mix'!LTA15)*860/10)+((('Form Sa1'!LTD835)*860)/10)+('Form Sa1'!LTD814*'Form Sa1'!LTD816/10)-'NF - 5 Power Mix'!LTA21-'NF - 5 Power Mix'!LTA22</f>
        <v>0</v>
      </c>
      <c r="LTB42" s="1046">
        <f>LTB38+((LTB40+'NF - 5 Power Mix'!LTB14+'NF - 5 Power Mix'!LTB15)*860/10)+((('Form Sa1'!LTE835)*860)/10)+('Form Sa1'!LTE814*'Form Sa1'!LTE816/10)-'NF - 5 Power Mix'!LTB21-'NF - 5 Power Mix'!LTB22</f>
        <v>0</v>
      </c>
      <c r="LTC42" s="1046">
        <f>LTC38+((LTC40+'NF - 5 Power Mix'!LTC14+'NF - 5 Power Mix'!LTC15)*860/10)+((('Form Sa1'!LTF835)*860)/10)+('Form Sa1'!LTF814*'Form Sa1'!LTF816/10)-'NF - 5 Power Mix'!LTC21-'NF - 5 Power Mix'!LTC22</f>
        <v>0</v>
      </c>
      <c r="LTD42" s="1046">
        <f>LTD38+((LTD40+'NF - 5 Power Mix'!LTD14+'NF - 5 Power Mix'!LTD15)*860/10)+((('Form Sa1'!LTG835)*860)/10)+('Form Sa1'!LTG814*'Form Sa1'!LTG816/10)-'NF - 5 Power Mix'!LTD21-'NF - 5 Power Mix'!LTD22</f>
        <v>0</v>
      </c>
      <c r="LTE42" s="1046">
        <f>LTE38+((LTE40+'NF - 5 Power Mix'!LTE14+'NF - 5 Power Mix'!LTE15)*860/10)+((('Form Sa1'!LTH835)*860)/10)+('Form Sa1'!LTH814*'Form Sa1'!LTH816/10)-'NF - 5 Power Mix'!LTE21-'NF - 5 Power Mix'!LTE22</f>
        <v>0</v>
      </c>
      <c r="LTF42" s="1046">
        <f>LTF38+((LTF40+'NF - 5 Power Mix'!LTF14+'NF - 5 Power Mix'!LTF15)*860/10)+((('Form Sa1'!LTI835)*860)/10)+('Form Sa1'!LTI814*'Form Sa1'!LTI816/10)-'NF - 5 Power Mix'!LTF21-'NF - 5 Power Mix'!LTF22</f>
        <v>0</v>
      </c>
      <c r="LTG42" s="1046">
        <f>LTG38+((LTG40+'NF - 5 Power Mix'!LTG14+'NF - 5 Power Mix'!LTG15)*860/10)+((('Form Sa1'!LTJ835)*860)/10)+('Form Sa1'!LTJ814*'Form Sa1'!LTJ816/10)-'NF - 5 Power Mix'!LTG21-'NF - 5 Power Mix'!LTG22</f>
        <v>0</v>
      </c>
      <c r="LTH42" s="1046">
        <f>LTH38+((LTH40+'NF - 5 Power Mix'!LTH14+'NF - 5 Power Mix'!LTH15)*860/10)+((('Form Sa1'!LTK835)*860)/10)+('Form Sa1'!LTK814*'Form Sa1'!LTK816/10)-'NF - 5 Power Mix'!LTH21-'NF - 5 Power Mix'!LTH22</f>
        <v>0</v>
      </c>
      <c r="LTI42" s="1046">
        <f>LTI38+((LTI40+'NF - 5 Power Mix'!LTI14+'NF - 5 Power Mix'!LTI15)*860/10)+((('Form Sa1'!LTL835)*860)/10)+('Form Sa1'!LTL814*'Form Sa1'!LTL816/10)-'NF - 5 Power Mix'!LTI21-'NF - 5 Power Mix'!LTI22</f>
        <v>0</v>
      </c>
      <c r="LTJ42" s="1046">
        <f>LTJ38+((LTJ40+'NF - 5 Power Mix'!LTJ14+'NF - 5 Power Mix'!LTJ15)*860/10)+((('Form Sa1'!LTM835)*860)/10)+('Form Sa1'!LTM814*'Form Sa1'!LTM816/10)-'NF - 5 Power Mix'!LTJ21-'NF - 5 Power Mix'!LTJ22</f>
        <v>0</v>
      </c>
      <c r="LTK42" s="1046">
        <f>LTK38+((LTK40+'NF - 5 Power Mix'!LTK14+'NF - 5 Power Mix'!LTK15)*860/10)+((('Form Sa1'!LTN835)*860)/10)+('Form Sa1'!LTN814*'Form Sa1'!LTN816/10)-'NF - 5 Power Mix'!LTK21-'NF - 5 Power Mix'!LTK22</f>
        <v>0</v>
      </c>
      <c r="LTL42" s="1046">
        <f>LTL38+((LTL40+'NF - 5 Power Mix'!LTL14+'NF - 5 Power Mix'!LTL15)*860/10)+((('Form Sa1'!LTO835)*860)/10)+('Form Sa1'!LTO814*'Form Sa1'!LTO816/10)-'NF - 5 Power Mix'!LTL21-'NF - 5 Power Mix'!LTL22</f>
        <v>0</v>
      </c>
      <c r="LTM42" s="1046">
        <f>LTM38+((LTM40+'NF - 5 Power Mix'!LTM14+'NF - 5 Power Mix'!LTM15)*860/10)+((('Form Sa1'!LTP835)*860)/10)+('Form Sa1'!LTP814*'Form Sa1'!LTP816/10)-'NF - 5 Power Mix'!LTM21-'NF - 5 Power Mix'!LTM22</f>
        <v>0</v>
      </c>
      <c r="LTN42" s="1046">
        <f>LTN38+((LTN40+'NF - 5 Power Mix'!LTN14+'NF - 5 Power Mix'!LTN15)*860/10)+((('Form Sa1'!LTQ835)*860)/10)+('Form Sa1'!LTQ814*'Form Sa1'!LTQ816/10)-'NF - 5 Power Mix'!LTN21-'NF - 5 Power Mix'!LTN22</f>
        <v>0</v>
      </c>
      <c r="LTO42" s="1046">
        <f>LTO38+((LTO40+'NF - 5 Power Mix'!LTO14+'NF - 5 Power Mix'!LTO15)*860/10)+((('Form Sa1'!LTR835)*860)/10)+('Form Sa1'!LTR814*'Form Sa1'!LTR816/10)-'NF - 5 Power Mix'!LTO21-'NF - 5 Power Mix'!LTO22</f>
        <v>0</v>
      </c>
      <c r="LTP42" s="1046">
        <f>LTP38+((LTP40+'NF - 5 Power Mix'!LTP14+'NF - 5 Power Mix'!LTP15)*860/10)+((('Form Sa1'!LTS835)*860)/10)+('Form Sa1'!LTS814*'Form Sa1'!LTS816/10)-'NF - 5 Power Mix'!LTP21-'NF - 5 Power Mix'!LTP22</f>
        <v>0</v>
      </c>
      <c r="LTQ42" s="1046">
        <f>LTQ38+((LTQ40+'NF - 5 Power Mix'!LTQ14+'NF - 5 Power Mix'!LTQ15)*860/10)+((('Form Sa1'!LTT835)*860)/10)+('Form Sa1'!LTT814*'Form Sa1'!LTT816/10)-'NF - 5 Power Mix'!LTQ21-'NF - 5 Power Mix'!LTQ22</f>
        <v>0</v>
      </c>
      <c r="LTR42" s="1046">
        <f>LTR38+((LTR40+'NF - 5 Power Mix'!LTR14+'NF - 5 Power Mix'!LTR15)*860/10)+((('Form Sa1'!LTU835)*860)/10)+('Form Sa1'!LTU814*'Form Sa1'!LTU816/10)-'NF - 5 Power Mix'!LTR21-'NF - 5 Power Mix'!LTR22</f>
        <v>0</v>
      </c>
      <c r="LTS42" s="1046">
        <f>LTS38+((LTS40+'NF - 5 Power Mix'!LTS14+'NF - 5 Power Mix'!LTS15)*860/10)+((('Form Sa1'!LTV835)*860)/10)+('Form Sa1'!LTV814*'Form Sa1'!LTV816/10)-'NF - 5 Power Mix'!LTS21-'NF - 5 Power Mix'!LTS22</f>
        <v>0</v>
      </c>
      <c r="LTT42" s="1046">
        <f>LTT38+((LTT40+'NF - 5 Power Mix'!LTT14+'NF - 5 Power Mix'!LTT15)*860/10)+((('Form Sa1'!LTW835)*860)/10)+('Form Sa1'!LTW814*'Form Sa1'!LTW816/10)-'NF - 5 Power Mix'!LTT21-'NF - 5 Power Mix'!LTT22</f>
        <v>0</v>
      </c>
      <c r="LTU42" s="1046">
        <f>LTU38+((LTU40+'NF - 5 Power Mix'!LTU14+'NF - 5 Power Mix'!LTU15)*860/10)+((('Form Sa1'!LTX835)*860)/10)+('Form Sa1'!LTX814*'Form Sa1'!LTX816/10)-'NF - 5 Power Mix'!LTU21-'NF - 5 Power Mix'!LTU22</f>
        <v>0</v>
      </c>
      <c r="LTV42" s="1046">
        <f>LTV38+((LTV40+'NF - 5 Power Mix'!LTV14+'NF - 5 Power Mix'!LTV15)*860/10)+((('Form Sa1'!LTY835)*860)/10)+('Form Sa1'!LTY814*'Form Sa1'!LTY816/10)-'NF - 5 Power Mix'!LTV21-'NF - 5 Power Mix'!LTV22</f>
        <v>0</v>
      </c>
      <c r="LTW42" s="1046">
        <f>LTW38+((LTW40+'NF - 5 Power Mix'!LTW14+'NF - 5 Power Mix'!LTW15)*860/10)+((('Form Sa1'!LTZ835)*860)/10)+('Form Sa1'!LTZ814*'Form Sa1'!LTZ816/10)-'NF - 5 Power Mix'!LTW21-'NF - 5 Power Mix'!LTW22</f>
        <v>0</v>
      </c>
      <c r="LTX42" s="1046">
        <f>LTX38+((LTX40+'NF - 5 Power Mix'!LTX14+'NF - 5 Power Mix'!LTX15)*860/10)+((('Form Sa1'!LUA835)*860)/10)+('Form Sa1'!LUA814*'Form Sa1'!LUA816/10)-'NF - 5 Power Mix'!LTX21-'NF - 5 Power Mix'!LTX22</f>
        <v>0</v>
      </c>
      <c r="LTY42" s="1046">
        <f>LTY38+((LTY40+'NF - 5 Power Mix'!LTY14+'NF - 5 Power Mix'!LTY15)*860/10)+((('Form Sa1'!LUB835)*860)/10)+('Form Sa1'!LUB814*'Form Sa1'!LUB816/10)-'NF - 5 Power Mix'!LTY21-'NF - 5 Power Mix'!LTY22</f>
        <v>0</v>
      </c>
      <c r="LTZ42" s="1046">
        <f>LTZ38+((LTZ40+'NF - 5 Power Mix'!LTZ14+'NF - 5 Power Mix'!LTZ15)*860/10)+((('Form Sa1'!LUC835)*860)/10)+('Form Sa1'!LUC814*'Form Sa1'!LUC816/10)-'NF - 5 Power Mix'!LTZ21-'NF - 5 Power Mix'!LTZ22</f>
        <v>0</v>
      </c>
      <c r="LUA42" s="1046">
        <f>LUA38+((LUA40+'NF - 5 Power Mix'!LUA14+'NF - 5 Power Mix'!LUA15)*860/10)+((('Form Sa1'!LUD835)*860)/10)+('Form Sa1'!LUD814*'Form Sa1'!LUD816/10)-'NF - 5 Power Mix'!LUA21-'NF - 5 Power Mix'!LUA22</f>
        <v>0</v>
      </c>
      <c r="LUB42" s="1046">
        <f>LUB38+((LUB40+'NF - 5 Power Mix'!LUB14+'NF - 5 Power Mix'!LUB15)*860/10)+((('Form Sa1'!LUE835)*860)/10)+('Form Sa1'!LUE814*'Form Sa1'!LUE816/10)-'NF - 5 Power Mix'!LUB21-'NF - 5 Power Mix'!LUB22</f>
        <v>0</v>
      </c>
      <c r="LUC42" s="1046">
        <f>LUC38+((LUC40+'NF - 5 Power Mix'!LUC14+'NF - 5 Power Mix'!LUC15)*860/10)+((('Form Sa1'!LUF835)*860)/10)+('Form Sa1'!LUF814*'Form Sa1'!LUF816/10)-'NF - 5 Power Mix'!LUC21-'NF - 5 Power Mix'!LUC22</f>
        <v>0</v>
      </c>
      <c r="LUD42" s="1046">
        <f>LUD38+((LUD40+'NF - 5 Power Mix'!LUD14+'NF - 5 Power Mix'!LUD15)*860/10)+((('Form Sa1'!LUG835)*860)/10)+('Form Sa1'!LUG814*'Form Sa1'!LUG816/10)-'NF - 5 Power Mix'!LUD21-'NF - 5 Power Mix'!LUD22</f>
        <v>0</v>
      </c>
      <c r="LUE42" s="1046">
        <f>LUE38+((LUE40+'NF - 5 Power Mix'!LUE14+'NF - 5 Power Mix'!LUE15)*860/10)+((('Form Sa1'!LUH835)*860)/10)+('Form Sa1'!LUH814*'Form Sa1'!LUH816/10)-'NF - 5 Power Mix'!LUE21-'NF - 5 Power Mix'!LUE22</f>
        <v>0</v>
      </c>
      <c r="LUF42" s="1046">
        <f>LUF38+((LUF40+'NF - 5 Power Mix'!LUF14+'NF - 5 Power Mix'!LUF15)*860/10)+((('Form Sa1'!LUI835)*860)/10)+('Form Sa1'!LUI814*'Form Sa1'!LUI816/10)-'NF - 5 Power Mix'!LUF21-'NF - 5 Power Mix'!LUF22</f>
        <v>0</v>
      </c>
      <c r="LUG42" s="1046">
        <f>LUG38+((LUG40+'NF - 5 Power Mix'!LUG14+'NF - 5 Power Mix'!LUG15)*860/10)+((('Form Sa1'!LUJ835)*860)/10)+('Form Sa1'!LUJ814*'Form Sa1'!LUJ816/10)-'NF - 5 Power Mix'!LUG21-'NF - 5 Power Mix'!LUG22</f>
        <v>0</v>
      </c>
      <c r="LUH42" s="1046">
        <f>LUH38+((LUH40+'NF - 5 Power Mix'!LUH14+'NF - 5 Power Mix'!LUH15)*860/10)+((('Form Sa1'!LUK835)*860)/10)+('Form Sa1'!LUK814*'Form Sa1'!LUK816/10)-'NF - 5 Power Mix'!LUH21-'NF - 5 Power Mix'!LUH22</f>
        <v>0</v>
      </c>
      <c r="LUI42" s="1046">
        <f>LUI38+((LUI40+'NF - 5 Power Mix'!LUI14+'NF - 5 Power Mix'!LUI15)*860/10)+((('Form Sa1'!LUL835)*860)/10)+('Form Sa1'!LUL814*'Form Sa1'!LUL816/10)-'NF - 5 Power Mix'!LUI21-'NF - 5 Power Mix'!LUI22</f>
        <v>0</v>
      </c>
      <c r="LUJ42" s="1046">
        <f>LUJ38+((LUJ40+'NF - 5 Power Mix'!LUJ14+'NF - 5 Power Mix'!LUJ15)*860/10)+((('Form Sa1'!LUM835)*860)/10)+('Form Sa1'!LUM814*'Form Sa1'!LUM816/10)-'NF - 5 Power Mix'!LUJ21-'NF - 5 Power Mix'!LUJ22</f>
        <v>0</v>
      </c>
      <c r="LUK42" s="1046">
        <f>LUK38+((LUK40+'NF - 5 Power Mix'!LUK14+'NF - 5 Power Mix'!LUK15)*860/10)+((('Form Sa1'!LUN835)*860)/10)+('Form Sa1'!LUN814*'Form Sa1'!LUN816/10)-'NF - 5 Power Mix'!LUK21-'NF - 5 Power Mix'!LUK22</f>
        <v>0</v>
      </c>
      <c r="LUL42" s="1046">
        <f>LUL38+((LUL40+'NF - 5 Power Mix'!LUL14+'NF - 5 Power Mix'!LUL15)*860/10)+((('Form Sa1'!LUO835)*860)/10)+('Form Sa1'!LUO814*'Form Sa1'!LUO816/10)-'NF - 5 Power Mix'!LUL21-'NF - 5 Power Mix'!LUL22</f>
        <v>0</v>
      </c>
      <c r="LUM42" s="1046">
        <f>LUM38+((LUM40+'NF - 5 Power Mix'!LUM14+'NF - 5 Power Mix'!LUM15)*860/10)+((('Form Sa1'!LUP835)*860)/10)+('Form Sa1'!LUP814*'Form Sa1'!LUP816/10)-'NF - 5 Power Mix'!LUM21-'NF - 5 Power Mix'!LUM22</f>
        <v>0</v>
      </c>
      <c r="LUN42" s="1046">
        <f>LUN38+((LUN40+'NF - 5 Power Mix'!LUN14+'NF - 5 Power Mix'!LUN15)*860/10)+((('Form Sa1'!LUQ835)*860)/10)+('Form Sa1'!LUQ814*'Form Sa1'!LUQ816/10)-'NF - 5 Power Mix'!LUN21-'NF - 5 Power Mix'!LUN22</f>
        <v>0</v>
      </c>
      <c r="LUO42" s="1046">
        <f>LUO38+((LUO40+'NF - 5 Power Mix'!LUO14+'NF - 5 Power Mix'!LUO15)*860/10)+((('Form Sa1'!LUR835)*860)/10)+('Form Sa1'!LUR814*'Form Sa1'!LUR816/10)-'NF - 5 Power Mix'!LUO21-'NF - 5 Power Mix'!LUO22</f>
        <v>0</v>
      </c>
      <c r="LUP42" s="1046">
        <f>LUP38+((LUP40+'NF - 5 Power Mix'!LUP14+'NF - 5 Power Mix'!LUP15)*860/10)+((('Form Sa1'!LUS835)*860)/10)+('Form Sa1'!LUS814*'Form Sa1'!LUS816/10)-'NF - 5 Power Mix'!LUP21-'NF - 5 Power Mix'!LUP22</f>
        <v>0</v>
      </c>
      <c r="LUQ42" s="1046">
        <f>LUQ38+((LUQ40+'NF - 5 Power Mix'!LUQ14+'NF - 5 Power Mix'!LUQ15)*860/10)+((('Form Sa1'!LUT835)*860)/10)+('Form Sa1'!LUT814*'Form Sa1'!LUT816/10)-'NF - 5 Power Mix'!LUQ21-'NF - 5 Power Mix'!LUQ22</f>
        <v>0</v>
      </c>
      <c r="LUR42" s="1046">
        <f>LUR38+((LUR40+'NF - 5 Power Mix'!LUR14+'NF - 5 Power Mix'!LUR15)*860/10)+((('Form Sa1'!LUU835)*860)/10)+('Form Sa1'!LUU814*'Form Sa1'!LUU816/10)-'NF - 5 Power Mix'!LUR21-'NF - 5 Power Mix'!LUR22</f>
        <v>0</v>
      </c>
      <c r="LUS42" s="1046">
        <f>LUS38+((LUS40+'NF - 5 Power Mix'!LUS14+'NF - 5 Power Mix'!LUS15)*860/10)+((('Form Sa1'!LUV835)*860)/10)+('Form Sa1'!LUV814*'Form Sa1'!LUV816/10)-'NF - 5 Power Mix'!LUS21-'NF - 5 Power Mix'!LUS22</f>
        <v>0</v>
      </c>
      <c r="LUT42" s="1046">
        <f>LUT38+((LUT40+'NF - 5 Power Mix'!LUT14+'NF - 5 Power Mix'!LUT15)*860/10)+((('Form Sa1'!LUW835)*860)/10)+('Form Sa1'!LUW814*'Form Sa1'!LUW816/10)-'NF - 5 Power Mix'!LUT21-'NF - 5 Power Mix'!LUT22</f>
        <v>0</v>
      </c>
      <c r="LUU42" s="1046">
        <f>LUU38+((LUU40+'NF - 5 Power Mix'!LUU14+'NF - 5 Power Mix'!LUU15)*860/10)+((('Form Sa1'!LUX835)*860)/10)+('Form Sa1'!LUX814*'Form Sa1'!LUX816/10)-'NF - 5 Power Mix'!LUU21-'NF - 5 Power Mix'!LUU22</f>
        <v>0</v>
      </c>
      <c r="LUV42" s="1046">
        <f>LUV38+((LUV40+'NF - 5 Power Mix'!LUV14+'NF - 5 Power Mix'!LUV15)*860/10)+((('Form Sa1'!LUY835)*860)/10)+('Form Sa1'!LUY814*'Form Sa1'!LUY816/10)-'NF - 5 Power Mix'!LUV21-'NF - 5 Power Mix'!LUV22</f>
        <v>0</v>
      </c>
      <c r="LUW42" s="1046">
        <f>LUW38+((LUW40+'NF - 5 Power Mix'!LUW14+'NF - 5 Power Mix'!LUW15)*860/10)+((('Form Sa1'!LUZ835)*860)/10)+('Form Sa1'!LUZ814*'Form Sa1'!LUZ816/10)-'NF - 5 Power Mix'!LUW21-'NF - 5 Power Mix'!LUW22</f>
        <v>0</v>
      </c>
      <c r="LUX42" s="1046">
        <f>LUX38+((LUX40+'NF - 5 Power Mix'!LUX14+'NF - 5 Power Mix'!LUX15)*860/10)+((('Form Sa1'!LVA835)*860)/10)+('Form Sa1'!LVA814*'Form Sa1'!LVA816/10)-'NF - 5 Power Mix'!LUX21-'NF - 5 Power Mix'!LUX22</f>
        <v>0</v>
      </c>
      <c r="LUY42" s="1046">
        <f>LUY38+((LUY40+'NF - 5 Power Mix'!LUY14+'NF - 5 Power Mix'!LUY15)*860/10)+((('Form Sa1'!LVB835)*860)/10)+('Form Sa1'!LVB814*'Form Sa1'!LVB816/10)-'NF - 5 Power Mix'!LUY21-'NF - 5 Power Mix'!LUY22</f>
        <v>0</v>
      </c>
      <c r="LUZ42" s="1046">
        <f>LUZ38+((LUZ40+'NF - 5 Power Mix'!LUZ14+'NF - 5 Power Mix'!LUZ15)*860/10)+((('Form Sa1'!LVC835)*860)/10)+('Form Sa1'!LVC814*'Form Sa1'!LVC816/10)-'NF - 5 Power Mix'!LUZ21-'NF - 5 Power Mix'!LUZ22</f>
        <v>0</v>
      </c>
      <c r="LVA42" s="1046">
        <f>LVA38+((LVA40+'NF - 5 Power Mix'!LVA14+'NF - 5 Power Mix'!LVA15)*860/10)+((('Form Sa1'!LVD835)*860)/10)+('Form Sa1'!LVD814*'Form Sa1'!LVD816/10)-'NF - 5 Power Mix'!LVA21-'NF - 5 Power Mix'!LVA22</f>
        <v>0</v>
      </c>
      <c r="LVB42" s="1046">
        <f>LVB38+((LVB40+'NF - 5 Power Mix'!LVB14+'NF - 5 Power Mix'!LVB15)*860/10)+((('Form Sa1'!LVE835)*860)/10)+('Form Sa1'!LVE814*'Form Sa1'!LVE816/10)-'NF - 5 Power Mix'!LVB21-'NF - 5 Power Mix'!LVB22</f>
        <v>0</v>
      </c>
      <c r="LVC42" s="1046">
        <f>LVC38+((LVC40+'NF - 5 Power Mix'!LVC14+'NF - 5 Power Mix'!LVC15)*860/10)+((('Form Sa1'!LVF835)*860)/10)+('Form Sa1'!LVF814*'Form Sa1'!LVF816/10)-'NF - 5 Power Mix'!LVC21-'NF - 5 Power Mix'!LVC22</f>
        <v>0</v>
      </c>
      <c r="LVD42" s="1046">
        <f>LVD38+((LVD40+'NF - 5 Power Mix'!LVD14+'NF - 5 Power Mix'!LVD15)*860/10)+((('Form Sa1'!LVG835)*860)/10)+('Form Sa1'!LVG814*'Form Sa1'!LVG816/10)-'NF - 5 Power Mix'!LVD21-'NF - 5 Power Mix'!LVD22</f>
        <v>0</v>
      </c>
      <c r="LVE42" s="1046">
        <f>LVE38+((LVE40+'NF - 5 Power Mix'!LVE14+'NF - 5 Power Mix'!LVE15)*860/10)+((('Form Sa1'!LVH835)*860)/10)+('Form Sa1'!LVH814*'Form Sa1'!LVH816/10)-'NF - 5 Power Mix'!LVE21-'NF - 5 Power Mix'!LVE22</f>
        <v>0</v>
      </c>
      <c r="LVF42" s="1046">
        <f>LVF38+((LVF40+'NF - 5 Power Mix'!LVF14+'NF - 5 Power Mix'!LVF15)*860/10)+((('Form Sa1'!LVI835)*860)/10)+('Form Sa1'!LVI814*'Form Sa1'!LVI816/10)-'NF - 5 Power Mix'!LVF21-'NF - 5 Power Mix'!LVF22</f>
        <v>0</v>
      </c>
      <c r="LVG42" s="1046">
        <f>LVG38+((LVG40+'NF - 5 Power Mix'!LVG14+'NF - 5 Power Mix'!LVG15)*860/10)+((('Form Sa1'!LVJ835)*860)/10)+('Form Sa1'!LVJ814*'Form Sa1'!LVJ816/10)-'NF - 5 Power Mix'!LVG21-'NF - 5 Power Mix'!LVG22</f>
        <v>0</v>
      </c>
      <c r="LVH42" s="1046">
        <f>LVH38+((LVH40+'NF - 5 Power Mix'!LVH14+'NF - 5 Power Mix'!LVH15)*860/10)+((('Form Sa1'!LVK835)*860)/10)+('Form Sa1'!LVK814*'Form Sa1'!LVK816/10)-'NF - 5 Power Mix'!LVH21-'NF - 5 Power Mix'!LVH22</f>
        <v>0</v>
      </c>
      <c r="LVI42" s="1046">
        <f>LVI38+((LVI40+'NF - 5 Power Mix'!LVI14+'NF - 5 Power Mix'!LVI15)*860/10)+((('Form Sa1'!LVL835)*860)/10)+('Form Sa1'!LVL814*'Form Sa1'!LVL816/10)-'NF - 5 Power Mix'!LVI21-'NF - 5 Power Mix'!LVI22</f>
        <v>0</v>
      </c>
      <c r="LVJ42" s="1046">
        <f>LVJ38+((LVJ40+'NF - 5 Power Mix'!LVJ14+'NF - 5 Power Mix'!LVJ15)*860/10)+((('Form Sa1'!LVM835)*860)/10)+('Form Sa1'!LVM814*'Form Sa1'!LVM816/10)-'NF - 5 Power Mix'!LVJ21-'NF - 5 Power Mix'!LVJ22</f>
        <v>0</v>
      </c>
      <c r="LVK42" s="1046">
        <f>LVK38+((LVK40+'NF - 5 Power Mix'!LVK14+'NF - 5 Power Mix'!LVK15)*860/10)+((('Form Sa1'!LVN835)*860)/10)+('Form Sa1'!LVN814*'Form Sa1'!LVN816/10)-'NF - 5 Power Mix'!LVK21-'NF - 5 Power Mix'!LVK22</f>
        <v>0</v>
      </c>
      <c r="LVL42" s="1046">
        <f>LVL38+((LVL40+'NF - 5 Power Mix'!LVL14+'NF - 5 Power Mix'!LVL15)*860/10)+((('Form Sa1'!LVO835)*860)/10)+('Form Sa1'!LVO814*'Form Sa1'!LVO816/10)-'NF - 5 Power Mix'!LVL21-'NF - 5 Power Mix'!LVL22</f>
        <v>0</v>
      </c>
      <c r="LVM42" s="1046">
        <f>LVM38+((LVM40+'NF - 5 Power Mix'!LVM14+'NF - 5 Power Mix'!LVM15)*860/10)+((('Form Sa1'!LVP835)*860)/10)+('Form Sa1'!LVP814*'Form Sa1'!LVP816/10)-'NF - 5 Power Mix'!LVM21-'NF - 5 Power Mix'!LVM22</f>
        <v>0</v>
      </c>
      <c r="LVN42" s="1046">
        <f>LVN38+((LVN40+'NF - 5 Power Mix'!LVN14+'NF - 5 Power Mix'!LVN15)*860/10)+((('Form Sa1'!LVQ835)*860)/10)+('Form Sa1'!LVQ814*'Form Sa1'!LVQ816/10)-'NF - 5 Power Mix'!LVN21-'NF - 5 Power Mix'!LVN22</f>
        <v>0</v>
      </c>
      <c r="LVO42" s="1046">
        <f>LVO38+((LVO40+'NF - 5 Power Mix'!LVO14+'NF - 5 Power Mix'!LVO15)*860/10)+((('Form Sa1'!LVR835)*860)/10)+('Form Sa1'!LVR814*'Form Sa1'!LVR816/10)-'NF - 5 Power Mix'!LVO21-'NF - 5 Power Mix'!LVO22</f>
        <v>0</v>
      </c>
      <c r="LVP42" s="1046">
        <f>LVP38+((LVP40+'NF - 5 Power Mix'!LVP14+'NF - 5 Power Mix'!LVP15)*860/10)+((('Form Sa1'!LVS835)*860)/10)+('Form Sa1'!LVS814*'Form Sa1'!LVS816/10)-'NF - 5 Power Mix'!LVP21-'NF - 5 Power Mix'!LVP22</f>
        <v>0</v>
      </c>
      <c r="LVQ42" s="1046">
        <f>LVQ38+((LVQ40+'NF - 5 Power Mix'!LVQ14+'NF - 5 Power Mix'!LVQ15)*860/10)+((('Form Sa1'!LVT835)*860)/10)+('Form Sa1'!LVT814*'Form Sa1'!LVT816/10)-'NF - 5 Power Mix'!LVQ21-'NF - 5 Power Mix'!LVQ22</f>
        <v>0</v>
      </c>
      <c r="LVR42" s="1046">
        <f>LVR38+((LVR40+'NF - 5 Power Mix'!LVR14+'NF - 5 Power Mix'!LVR15)*860/10)+((('Form Sa1'!LVU835)*860)/10)+('Form Sa1'!LVU814*'Form Sa1'!LVU816/10)-'NF - 5 Power Mix'!LVR21-'NF - 5 Power Mix'!LVR22</f>
        <v>0</v>
      </c>
      <c r="LVS42" s="1046">
        <f>LVS38+((LVS40+'NF - 5 Power Mix'!LVS14+'NF - 5 Power Mix'!LVS15)*860/10)+((('Form Sa1'!LVV835)*860)/10)+('Form Sa1'!LVV814*'Form Sa1'!LVV816/10)-'NF - 5 Power Mix'!LVS21-'NF - 5 Power Mix'!LVS22</f>
        <v>0</v>
      </c>
      <c r="LVT42" s="1046">
        <f>LVT38+((LVT40+'NF - 5 Power Mix'!LVT14+'NF - 5 Power Mix'!LVT15)*860/10)+((('Form Sa1'!LVW835)*860)/10)+('Form Sa1'!LVW814*'Form Sa1'!LVW816/10)-'NF - 5 Power Mix'!LVT21-'NF - 5 Power Mix'!LVT22</f>
        <v>0</v>
      </c>
      <c r="LVU42" s="1046">
        <f>LVU38+((LVU40+'NF - 5 Power Mix'!LVU14+'NF - 5 Power Mix'!LVU15)*860/10)+((('Form Sa1'!LVX835)*860)/10)+('Form Sa1'!LVX814*'Form Sa1'!LVX816/10)-'NF - 5 Power Mix'!LVU21-'NF - 5 Power Mix'!LVU22</f>
        <v>0</v>
      </c>
      <c r="LVV42" s="1046">
        <f>LVV38+((LVV40+'NF - 5 Power Mix'!LVV14+'NF - 5 Power Mix'!LVV15)*860/10)+((('Form Sa1'!LVY835)*860)/10)+('Form Sa1'!LVY814*'Form Sa1'!LVY816/10)-'NF - 5 Power Mix'!LVV21-'NF - 5 Power Mix'!LVV22</f>
        <v>0</v>
      </c>
      <c r="LVW42" s="1046">
        <f>LVW38+((LVW40+'NF - 5 Power Mix'!LVW14+'NF - 5 Power Mix'!LVW15)*860/10)+((('Form Sa1'!LVZ835)*860)/10)+('Form Sa1'!LVZ814*'Form Sa1'!LVZ816/10)-'NF - 5 Power Mix'!LVW21-'NF - 5 Power Mix'!LVW22</f>
        <v>0</v>
      </c>
      <c r="LVX42" s="1046">
        <f>LVX38+((LVX40+'NF - 5 Power Mix'!LVX14+'NF - 5 Power Mix'!LVX15)*860/10)+((('Form Sa1'!LWA835)*860)/10)+('Form Sa1'!LWA814*'Form Sa1'!LWA816/10)-'NF - 5 Power Mix'!LVX21-'NF - 5 Power Mix'!LVX22</f>
        <v>0</v>
      </c>
      <c r="LVY42" s="1046">
        <f>LVY38+((LVY40+'NF - 5 Power Mix'!LVY14+'NF - 5 Power Mix'!LVY15)*860/10)+((('Form Sa1'!LWB835)*860)/10)+('Form Sa1'!LWB814*'Form Sa1'!LWB816/10)-'NF - 5 Power Mix'!LVY21-'NF - 5 Power Mix'!LVY22</f>
        <v>0</v>
      </c>
      <c r="LVZ42" s="1046">
        <f>LVZ38+((LVZ40+'NF - 5 Power Mix'!LVZ14+'NF - 5 Power Mix'!LVZ15)*860/10)+((('Form Sa1'!LWC835)*860)/10)+('Form Sa1'!LWC814*'Form Sa1'!LWC816/10)-'NF - 5 Power Mix'!LVZ21-'NF - 5 Power Mix'!LVZ22</f>
        <v>0</v>
      </c>
      <c r="LWA42" s="1046">
        <f>LWA38+((LWA40+'NF - 5 Power Mix'!LWA14+'NF - 5 Power Mix'!LWA15)*860/10)+((('Form Sa1'!LWD835)*860)/10)+('Form Sa1'!LWD814*'Form Sa1'!LWD816/10)-'NF - 5 Power Mix'!LWA21-'NF - 5 Power Mix'!LWA22</f>
        <v>0</v>
      </c>
      <c r="LWB42" s="1046">
        <f>LWB38+((LWB40+'NF - 5 Power Mix'!LWB14+'NF - 5 Power Mix'!LWB15)*860/10)+((('Form Sa1'!LWE835)*860)/10)+('Form Sa1'!LWE814*'Form Sa1'!LWE816/10)-'NF - 5 Power Mix'!LWB21-'NF - 5 Power Mix'!LWB22</f>
        <v>0</v>
      </c>
      <c r="LWC42" s="1046">
        <f>LWC38+((LWC40+'NF - 5 Power Mix'!LWC14+'NF - 5 Power Mix'!LWC15)*860/10)+((('Form Sa1'!LWF835)*860)/10)+('Form Sa1'!LWF814*'Form Sa1'!LWF816/10)-'NF - 5 Power Mix'!LWC21-'NF - 5 Power Mix'!LWC22</f>
        <v>0</v>
      </c>
      <c r="LWD42" s="1046">
        <f>LWD38+((LWD40+'NF - 5 Power Mix'!LWD14+'NF - 5 Power Mix'!LWD15)*860/10)+((('Form Sa1'!LWG835)*860)/10)+('Form Sa1'!LWG814*'Form Sa1'!LWG816/10)-'NF - 5 Power Mix'!LWD21-'NF - 5 Power Mix'!LWD22</f>
        <v>0</v>
      </c>
      <c r="LWE42" s="1046">
        <f>LWE38+((LWE40+'NF - 5 Power Mix'!LWE14+'NF - 5 Power Mix'!LWE15)*860/10)+((('Form Sa1'!LWH835)*860)/10)+('Form Sa1'!LWH814*'Form Sa1'!LWH816/10)-'NF - 5 Power Mix'!LWE21-'NF - 5 Power Mix'!LWE22</f>
        <v>0</v>
      </c>
      <c r="LWF42" s="1046">
        <f>LWF38+((LWF40+'NF - 5 Power Mix'!LWF14+'NF - 5 Power Mix'!LWF15)*860/10)+((('Form Sa1'!LWI835)*860)/10)+('Form Sa1'!LWI814*'Form Sa1'!LWI816/10)-'NF - 5 Power Mix'!LWF21-'NF - 5 Power Mix'!LWF22</f>
        <v>0</v>
      </c>
      <c r="LWG42" s="1046">
        <f>LWG38+((LWG40+'NF - 5 Power Mix'!LWG14+'NF - 5 Power Mix'!LWG15)*860/10)+((('Form Sa1'!LWJ835)*860)/10)+('Form Sa1'!LWJ814*'Form Sa1'!LWJ816/10)-'NF - 5 Power Mix'!LWG21-'NF - 5 Power Mix'!LWG22</f>
        <v>0</v>
      </c>
      <c r="LWH42" s="1046">
        <f>LWH38+((LWH40+'NF - 5 Power Mix'!LWH14+'NF - 5 Power Mix'!LWH15)*860/10)+((('Form Sa1'!LWK835)*860)/10)+('Form Sa1'!LWK814*'Form Sa1'!LWK816/10)-'NF - 5 Power Mix'!LWH21-'NF - 5 Power Mix'!LWH22</f>
        <v>0</v>
      </c>
      <c r="LWI42" s="1046">
        <f>LWI38+((LWI40+'NF - 5 Power Mix'!LWI14+'NF - 5 Power Mix'!LWI15)*860/10)+((('Form Sa1'!LWL835)*860)/10)+('Form Sa1'!LWL814*'Form Sa1'!LWL816/10)-'NF - 5 Power Mix'!LWI21-'NF - 5 Power Mix'!LWI22</f>
        <v>0</v>
      </c>
      <c r="LWJ42" s="1046">
        <f>LWJ38+((LWJ40+'NF - 5 Power Mix'!LWJ14+'NF - 5 Power Mix'!LWJ15)*860/10)+((('Form Sa1'!LWM835)*860)/10)+('Form Sa1'!LWM814*'Form Sa1'!LWM816/10)-'NF - 5 Power Mix'!LWJ21-'NF - 5 Power Mix'!LWJ22</f>
        <v>0</v>
      </c>
      <c r="LWK42" s="1046">
        <f>LWK38+((LWK40+'NF - 5 Power Mix'!LWK14+'NF - 5 Power Mix'!LWK15)*860/10)+((('Form Sa1'!LWN835)*860)/10)+('Form Sa1'!LWN814*'Form Sa1'!LWN816/10)-'NF - 5 Power Mix'!LWK21-'NF - 5 Power Mix'!LWK22</f>
        <v>0</v>
      </c>
      <c r="LWL42" s="1046">
        <f>LWL38+((LWL40+'NF - 5 Power Mix'!LWL14+'NF - 5 Power Mix'!LWL15)*860/10)+((('Form Sa1'!LWO835)*860)/10)+('Form Sa1'!LWO814*'Form Sa1'!LWO816/10)-'NF - 5 Power Mix'!LWL21-'NF - 5 Power Mix'!LWL22</f>
        <v>0</v>
      </c>
      <c r="LWM42" s="1046">
        <f>LWM38+((LWM40+'NF - 5 Power Mix'!LWM14+'NF - 5 Power Mix'!LWM15)*860/10)+((('Form Sa1'!LWP835)*860)/10)+('Form Sa1'!LWP814*'Form Sa1'!LWP816/10)-'NF - 5 Power Mix'!LWM21-'NF - 5 Power Mix'!LWM22</f>
        <v>0</v>
      </c>
      <c r="LWN42" s="1046">
        <f>LWN38+((LWN40+'NF - 5 Power Mix'!LWN14+'NF - 5 Power Mix'!LWN15)*860/10)+((('Form Sa1'!LWQ835)*860)/10)+('Form Sa1'!LWQ814*'Form Sa1'!LWQ816/10)-'NF - 5 Power Mix'!LWN21-'NF - 5 Power Mix'!LWN22</f>
        <v>0</v>
      </c>
      <c r="LWO42" s="1046">
        <f>LWO38+((LWO40+'NF - 5 Power Mix'!LWO14+'NF - 5 Power Mix'!LWO15)*860/10)+((('Form Sa1'!LWR835)*860)/10)+('Form Sa1'!LWR814*'Form Sa1'!LWR816/10)-'NF - 5 Power Mix'!LWO21-'NF - 5 Power Mix'!LWO22</f>
        <v>0</v>
      </c>
      <c r="LWP42" s="1046">
        <f>LWP38+((LWP40+'NF - 5 Power Mix'!LWP14+'NF - 5 Power Mix'!LWP15)*860/10)+((('Form Sa1'!LWS835)*860)/10)+('Form Sa1'!LWS814*'Form Sa1'!LWS816/10)-'NF - 5 Power Mix'!LWP21-'NF - 5 Power Mix'!LWP22</f>
        <v>0</v>
      </c>
      <c r="LWQ42" s="1046">
        <f>LWQ38+((LWQ40+'NF - 5 Power Mix'!LWQ14+'NF - 5 Power Mix'!LWQ15)*860/10)+((('Form Sa1'!LWT835)*860)/10)+('Form Sa1'!LWT814*'Form Sa1'!LWT816/10)-'NF - 5 Power Mix'!LWQ21-'NF - 5 Power Mix'!LWQ22</f>
        <v>0</v>
      </c>
      <c r="LWR42" s="1046">
        <f>LWR38+((LWR40+'NF - 5 Power Mix'!LWR14+'NF - 5 Power Mix'!LWR15)*860/10)+((('Form Sa1'!LWU835)*860)/10)+('Form Sa1'!LWU814*'Form Sa1'!LWU816/10)-'NF - 5 Power Mix'!LWR21-'NF - 5 Power Mix'!LWR22</f>
        <v>0</v>
      </c>
      <c r="LWS42" s="1046">
        <f>LWS38+((LWS40+'NF - 5 Power Mix'!LWS14+'NF - 5 Power Mix'!LWS15)*860/10)+((('Form Sa1'!LWV835)*860)/10)+('Form Sa1'!LWV814*'Form Sa1'!LWV816/10)-'NF - 5 Power Mix'!LWS21-'NF - 5 Power Mix'!LWS22</f>
        <v>0</v>
      </c>
      <c r="LWT42" s="1046">
        <f>LWT38+((LWT40+'NF - 5 Power Mix'!LWT14+'NF - 5 Power Mix'!LWT15)*860/10)+((('Form Sa1'!LWW835)*860)/10)+('Form Sa1'!LWW814*'Form Sa1'!LWW816/10)-'NF - 5 Power Mix'!LWT21-'NF - 5 Power Mix'!LWT22</f>
        <v>0</v>
      </c>
      <c r="LWU42" s="1046">
        <f>LWU38+((LWU40+'NF - 5 Power Mix'!LWU14+'NF - 5 Power Mix'!LWU15)*860/10)+((('Form Sa1'!LWX835)*860)/10)+('Form Sa1'!LWX814*'Form Sa1'!LWX816/10)-'NF - 5 Power Mix'!LWU21-'NF - 5 Power Mix'!LWU22</f>
        <v>0</v>
      </c>
      <c r="LWV42" s="1046">
        <f>LWV38+((LWV40+'NF - 5 Power Mix'!LWV14+'NF - 5 Power Mix'!LWV15)*860/10)+((('Form Sa1'!LWY835)*860)/10)+('Form Sa1'!LWY814*'Form Sa1'!LWY816/10)-'NF - 5 Power Mix'!LWV21-'NF - 5 Power Mix'!LWV22</f>
        <v>0</v>
      </c>
      <c r="LWW42" s="1046">
        <f>LWW38+((LWW40+'NF - 5 Power Mix'!LWW14+'NF - 5 Power Mix'!LWW15)*860/10)+((('Form Sa1'!LWZ835)*860)/10)+('Form Sa1'!LWZ814*'Form Sa1'!LWZ816/10)-'NF - 5 Power Mix'!LWW21-'NF - 5 Power Mix'!LWW22</f>
        <v>0</v>
      </c>
      <c r="LWX42" s="1046">
        <f>LWX38+((LWX40+'NF - 5 Power Mix'!LWX14+'NF - 5 Power Mix'!LWX15)*860/10)+((('Form Sa1'!LXA835)*860)/10)+('Form Sa1'!LXA814*'Form Sa1'!LXA816/10)-'NF - 5 Power Mix'!LWX21-'NF - 5 Power Mix'!LWX22</f>
        <v>0</v>
      </c>
      <c r="LWY42" s="1046">
        <f>LWY38+((LWY40+'NF - 5 Power Mix'!LWY14+'NF - 5 Power Mix'!LWY15)*860/10)+((('Form Sa1'!LXB835)*860)/10)+('Form Sa1'!LXB814*'Form Sa1'!LXB816/10)-'NF - 5 Power Mix'!LWY21-'NF - 5 Power Mix'!LWY22</f>
        <v>0</v>
      </c>
      <c r="LWZ42" s="1046">
        <f>LWZ38+((LWZ40+'NF - 5 Power Mix'!LWZ14+'NF - 5 Power Mix'!LWZ15)*860/10)+((('Form Sa1'!LXC835)*860)/10)+('Form Sa1'!LXC814*'Form Sa1'!LXC816/10)-'NF - 5 Power Mix'!LWZ21-'NF - 5 Power Mix'!LWZ22</f>
        <v>0</v>
      </c>
      <c r="LXA42" s="1046">
        <f>LXA38+((LXA40+'NF - 5 Power Mix'!LXA14+'NF - 5 Power Mix'!LXA15)*860/10)+((('Form Sa1'!LXD835)*860)/10)+('Form Sa1'!LXD814*'Form Sa1'!LXD816/10)-'NF - 5 Power Mix'!LXA21-'NF - 5 Power Mix'!LXA22</f>
        <v>0</v>
      </c>
      <c r="LXB42" s="1046">
        <f>LXB38+((LXB40+'NF - 5 Power Mix'!LXB14+'NF - 5 Power Mix'!LXB15)*860/10)+((('Form Sa1'!LXE835)*860)/10)+('Form Sa1'!LXE814*'Form Sa1'!LXE816/10)-'NF - 5 Power Mix'!LXB21-'NF - 5 Power Mix'!LXB22</f>
        <v>0</v>
      </c>
      <c r="LXC42" s="1046">
        <f>LXC38+((LXC40+'NF - 5 Power Mix'!LXC14+'NF - 5 Power Mix'!LXC15)*860/10)+((('Form Sa1'!LXF835)*860)/10)+('Form Sa1'!LXF814*'Form Sa1'!LXF816/10)-'NF - 5 Power Mix'!LXC21-'NF - 5 Power Mix'!LXC22</f>
        <v>0</v>
      </c>
      <c r="LXD42" s="1046">
        <f>LXD38+((LXD40+'NF - 5 Power Mix'!LXD14+'NF - 5 Power Mix'!LXD15)*860/10)+((('Form Sa1'!LXG835)*860)/10)+('Form Sa1'!LXG814*'Form Sa1'!LXG816/10)-'NF - 5 Power Mix'!LXD21-'NF - 5 Power Mix'!LXD22</f>
        <v>0</v>
      </c>
      <c r="LXE42" s="1046">
        <f>LXE38+((LXE40+'NF - 5 Power Mix'!LXE14+'NF - 5 Power Mix'!LXE15)*860/10)+((('Form Sa1'!LXH835)*860)/10)+('Form Sa1'!LXH814*'Form Sa1'!LXH816/10)-'NF - 5 Power Mix'!LXE21-'NF - 5 Power Mix'!LXE22</f>
        <v>0</v>
      </c>
      <c r="LXF42" s="1046">
        <f>LXF38+((LXF40+'NF - 5 Power Mix'!LXF14+'NF - 5 Power Mix'!LXF15)*860/10)+((('Form Sa1'!LXI835)*860)/10)+('Form Sa1'!LXI814*'Form Sa1'!LXI816/10)-'NF - 5 Power Mix'!LXF21-'NF - 5 Power Mix'!LXF22</f>
        <v>0</v>
      </c>
      <c r="LXG42" s="1046">
        <f>LXG38+((LXG40+'NF - 5 Power Mix'!LXG14+'NF - 5 Power Mix'!LXG15)*860/10)+((('Form Sa1'!LXJ835)*860)/10)+('Form Sa1'!LXJ814*'Form Sa1'!LXJ816/10)-'NF - 5 Power Mix'!LXG21-'NF - 5 Power Mix'!LXG22</f>
        <v>0</v>
      </c>
      <c r="LXH42" s="1046">
        <f>LXH38+((LXH40+'NF - 5 Power Mix'!LXH14+'NF - 5 Power Mix'!LXH15)*860/10)+((('Form Sa1'!LXK835)*860)/10)+('Form Sa1'!LXK814*'Form Sa1'!LXK816/10)-'NF - 5 Power Mix'!LXH21-'NF - 5 Power Mix'!LXH22</f>
        <v>0</v>
      </c>
      <c r="LXI42" s="1046">
        <f>LXI38+((LXI40+'NF - 5 Power Mix'!LXI14+'NF - 5 Power Mix'!LXI15)*860/10)+((('Form Sa1'!LXL835)*860)/10)+('Form Sa1'!LXL814*'Form Sa1'!LXL816/10)-'NF - 5 Power Mix'!LXI21-'NF - 5 Power Mix'!LXI22</f>
        <v>0</v>
      </c>
      <c r="LXJ42" s="1046">
        <f>LXJ38+((LXJ40+'NF - 5 Power Mix'!LXJ14+'NF - 5 Power Mix'!LXJ15)*860/10)+((('Form Sa1'!LXM835)*860)/10)+('Form Sa1'!LXM814*'Form Sa1'!LXM816/10)-'NF - 5 Power Mix'!LXJ21-'NF - 5 Power Mix'!LXJ22</f>
        <v>0</v>
      </c>
      <c r="LXK42" s="1046">
        <f>LXK38+((LXK40+'NF - 5 Power Mix'!LXK14+'NF - 5 Power Mix'!LXK15)*860/10)+((('Form Sa1'!LXN835)*860)/10)+('Form Sa1'!LXN814*'Form Sa1'!LXN816/10)-'NF - 5 Power Mix'!LXK21-'NF - 5 Power Mix'!LXK22</f>
        <v>0</v>
      </c>
      <c r="LXL42" s="1046">
        <f>LXL38+((LXL40+'NF - 5 Power Mix'!LXL14+'NF - 5 Power Mix'!LXL15)*860/10)+((('Form Sa1'!LXO835)*860)/10)+('Form Sa1'!LXO814*'Form Sa1'!LXO816/10)-'NF - 5 Power Mix'!LXL21-'NF - 5 Power Mix'!LXL22</f>
        <v>0</v>
      </c>
      <c r="LXM42" s="1046">
        <f>LXM38+((LXM40+'NF - 5 Power Mix'!LXM14+'NF - 5 Power Mix'!LXM15)*860/10)+((('Form Sa1'!LXP835)*860)/10)+('Form Sa1'!LXP814*'Form Sa1'!LXP816/10)-'NF - 5 Power Mix'!LXM21-'NF - 5 Power Mix'!LXM22</f>
        <v>0</v>
      </c>
      <c r="LXN42" s="1046">
        <f>LXN38+((LXN40+'NF - 5 Power Mix'!LXN14+'NF - 5 Power Mix'!LXN15)*860/10)+((('Form Sa1'!LXQ835)*860)/10)+('Form Sa1'!LXQ814*'Form Sa1'!LXQ816/10)-'NF - 5 Power Mix'!LXN21-'NF - 5 Power Mix'!LXN22</f>
        <v>0</v>
      </c>
      <c r="LXO42" s="1046">
        <f>LXO38+((LXO40+'NF - 5 Power Mix'!LXO14+'NF - 5 Power Mix'!LXO15)*860/10)+((('Form Sa1'!LXR835)*860)/10)+('Form Sa1'!LXR814*'Form Sa1'!LXR816/10)-'NF - 5 Power Mix'!LXO21-'NF - 5 Power Mix'!LXO22</f>
        <v>0</v>
      </c>
      <c r="LXP42" s="1046">
        <f>LXP38+((LXP40+'NF - 5 Power Mix'!LXP14+'NF - 5 Power Mix'!LXP15)*860/10)+((('Form Sa1'!LXS835)*860)/10)+('Form Sa1'!LXS814*'Form Sa1'!LXS816/10)-'NF - 5 Power Mix'!LXP21-'NF - 5 Power Mix'!LXP22</f>
        <v>0</v>
      </c>
      <c r="LXQ42" s="1046">
        <f>LXQ38+((LXQ40+'NF - 5 Power Mix'!LXQ14+'NF - 5 Power Mix'!LXQ15)*860/10)+((('Form Sa1'!LXT835)*860)/10)+('Form Sa1'!LXT814*'Form Sa1'!LXT816/10)-'NF - 5 Power Mix'!LXQ21-'NF - 5 Power Mix'!LXQ22</f>
        <v>0</v>
      </c>
      <c r="LXR42" s="1046">
        <f>LXR38+((LXR40+'NF - 5 Power Mix'!LXR14+'NF - 5 Power Mix'!LXR15)*860/10)+((('Form Sa1'!LXU835)*860)/10)+('Form Sa1'!LXU814*'Form Sa1'!LXU816/10)-'NF - 5 Power Mix'!LXR21-'NF - 5 Power Mix'!LXR22</f>
        <v>0</v>
      </c>
      <c r="LXS42" s="1046">
        <f>LXS38+((LXS40+'NF - 5 Power Mix'!LXS14+'NF - 5 Power Mix'!LXS15)*860/10)+((('Form Sa1'!LXV835)*860)/10)+('Form Sa1'!LXV814*'Form Sa1'!LXV816/10)-'NF - 5 Power Mix'!LXS21-'NF - 5 Power Mix'!LXS22</f>
        <v>0</v>
      </c>
      <c r="LXT42" s="1046">
        <f>LXT38+((LXT40+'NF - 5 Power Mix'!LXT14+'NF - 5 Power Mix'!LXT15)*860/10)+((('Form Sa1'!LXW835)*860)/10)+('Form Sa1'!LXW814*'Form Sa1'!LXW816/10)-'NF - 5 Power Mix'!LXT21-'NF - 5 Power Mix'!LXT22</f>
        <v>0</v>
      </c>
      <c r="LXU42" s="1046">
        <f>LXU38+((LXU40+'NF - 5 Power Mix'!LXU14+'NF - 5 Power Mix'!LXU15)*860/10)+((('Form Sa1'!LXX835)*860)/10)+('Form Sa1'!LXX814*'Form Sa1'!LXX816/10)-'NF - 5 Power Mix'!LXU21-'NF - 5 Power Mix'!LXU22</f>
        <v>0</v>
      </c>
      <c r="LXV42" s="1046">
        <f>LXV38+((LXV40+'NF - 5 Power Mix'!LXV14+'NF - 5 Power Mix'!LXV15)*860/10)+((('Form Sa1'!LXY835)*860)/10)+('Form Sa1'!LXY814*'Form Sa1'!LXY816/10)-'NF - 5 Power Mix'!LXV21-'NF - 5 Power Mix'!LXV22</f>
        <v>0</v>
      </c>
      <c r="LXW42" s="1046">
        <f>LXW38+((LXW40+'NF - 5 Power Mix'!LXW14+'NF - 5 Power Mix'!LXW15)*860/10)+((('Form Sa1'!LXZ835)*860)/10)+('Form Sa1'!LXZ814*'Form Sa1'!LXZ816/10)-'NF - 5 Power Mix'!LXW21-'NF - 5 Power Mix'!LXW22</f>
        <v>0</v>
      </c>
      <c r="LXX42" s="1046">
        <f>LXX38+((LXX40+'NF - 5 Power Mix'!LXX14+'NF - 5 Power Mix'!LXX15)*860/10)+((('Form Sa1'!LYA835)*860)/10)+('Form Sa1'!LYA814*'Form Sa1'!LYA816/10)-'NF - 5 Power Mix'!LXX21-'NF - 5 Power Mix'!LXX22</f>
        <v>0</v>
      </c>
      <c r="LXY42" s="1046">
        <f>LXY38+((LXY40+'NF - 5 Power Mix'!LXY14+'NF - 5 Power Mix'!LXY15)*860/10)+((('Form Sa1'!LYB835)*860)/10)+('Form Sa1'!LYB814*'Form Sa1'!LYB816/10)-'NF - 5 Power Mix'!LXY21-'NF - 5 Power Mix'!LXY22</f>
        <v>0</v>
      </c>
      <c r="LXZ42" s="1046">
        <f>LXZ38+((LXZ40+'NF - 5 Power Mix'!LXZ14+'NF - 5 Power Mix'!LXZ15)*860/10)+((('Form Sa1'!LYC835)*860)/10)+('Form Sa1'!LYC814*'Form Sa1'!LYC816/10)-'NF - 5 Power Mix'!LXZ21-'NF - 5 Power Mix'!LXZ22</f>
        <v>0</v>
      </c>
      <c r="LYA42" s="1046">
        <f>LYA38+((LYA40+'NF - 5 Power Mix'!LYA14+'NF - 5 Power Mix'!LYA15)*860/10)+((('Form Sa1'!LYD835)*860)/10)+('Form Sa1'!LYD814*'Form Sa1'!LYD816/10)-'NF - 5 Power Mix'!LYA21-'NF - 5 Power Mix'!LYA22</f>
        <v>0</v>
      </c>
      <c r="LYB42" s="1046">
        <f>LYB38+((LYB40+'NF - 5 Power Mix'!LYB14+'NF - 5 Power Mix'!LYB15)*860/10)+((('Form Sa1'!LYE835)*860)/10)+('Form Sa1'!LYE814*'Form Sa1'!LYE816/10)-'NF - 5 Power Mix'!LYB21-'NF - 5 Power Mix'!LYB22</f>
        <v>0</v>
      </c>
      <c r="LYC42" s="1046">
        <f>LYC38+((LYC40+'NF - 5 Power Mix'!LYC14+'NF - 5 Power Mix'!LYC15)*860/10)+((('Form Sa1'!LYF835)*860)/10)+('Form Sa1'!LYF814*'Form Sa1'!LYF816/10)-'NF - 5 Power Mix'!LYC21-'NF - 5 Power Mix'!LYC22</f>
        <v>0</v>
      </c>
      <c r="LYD42" s="1046">
        <f>LYD38+((LYD40+'NF - 5 Power Mix'!LYD14+'NF - 5 Power Mix'!LYD15)*860/10)+((('Form Sa1'!LYG835)*860)/10)+('Form Sa1'!LYG814*'Form Sa1'!LYG816/10)-'NF - 5 Power Mix'!LYD21-'NF - 5 Power Mix'!LYD22</f>
        <v>0</v>
      </c>
      <c r="LYE42" s="1046">
        <f>LYE38+((LYE40+'NF - 5 Power Mix'!LYE14+'NF - 5 Power Mix'!LYE15)*860/10)+((('Form Sa1'!LYH835)*860)/10)+('Form Sa1'!LYH814*'Form Sa1'!LYH816/10)-'NF - 5 Power Mix'!LYE21-'NF - 5 Power Mix'!LYE22</f>
        <v>0</v>
      </c>
      <c r="LYF42" s="1046">
        <f>LYF38+((LYF40+'NF - 5 Power Mix'!LYF14+'NF - 5 Power Mix'!LYF15)*860/10)+((('Form Sa1'!LYI835)*860)/10)+('Form Sa1'!LYI814*'Form Sa1'!LYI816/10)-'NF - 5 Power Mix'!LYF21-'NF - 5 Power Mix'!LYF22</f>
        <v>0</v>
      </c>
      <c r="LYG42" s="1046">
        <f>LYG38+((LYG40+'NF - 5 Power Mix'!LYG14+'NF - 5 Power Mix'!LYG15)*860/10)+((('Form Sa1'!LYJ835)*860)/10)+('Form Sa1'!LYJ814*'Form Sa1'!LYJ816/10)-'NF - 5 Power Mix'!LYG21-'NF - 5 Power Mix'!LYG22</f>
        <v>0</v>
      </c>
      <c r="LYH42" s="1046">
        <f>LYH38+((LYH40+'NF - 5 Power Mix'!LYH14+'NF - 5 Power Mix'!LYH15)*860/10)+((('Form Sa1'!LYK835)*860)/10)+('Form Sa1'!LYK814*'Form Sa1'!LYK816/10)-'NF - 5 Power Mix'!LYH21-'NF - 5 Power Mix'!LYH22</f>
        <v>0</v>
      </c>
      <c r="LYI42" s="1046">
        <f>LYI38+((LYI40+'NF - 5 Power Mix'!LYI14+'NF - 5 Power Mix'!LYI15)*860/10)+((('Form Sa1'!LYL835)*860)/10)+('Form Sa1'!LYL814*'Form Sa1'!LYL816/10)-'NF - 5 Power Mix'!LYI21-'NF - 5 Power Mix'!LYI22</f>
        <v>0</v>
      </c>
      <c r="LYJ42" s="1046">
        <f>LYJ38+((LYJ40+'NF - 5 Power Mix'!LYJ14+'NF - 5 Power Mix'!LYJ15)*860/10)+((('Form Sa1'!LYM835)*860)/10)+('Form Sa1'!LYM814*'Form Sa1'!LYM816/10)-'NF - 5 Power Mix'!LYJ21-'NF - 5 Power Mix'!LYJ22</f>
        <v>0</v>
      </c>
      <c r="LYK42" s="1046">
        <f>LYK38+((LYK40+'NF - 5 Power Mix'!LYK14+'NF - 5 Power Mix'!LYK15)*860/10)+((('Form Sa1'!LYN835)*860)/10)+('Form Sa1'!LYN814*'Form Sa1'!LYN816/10)-'NF - 5 Power Mix'!LYK21-'NF - 5 Power Mix'!LYK22</f>
        <v>0</v>
      </c>
      <c r="LYL42" s="1046">
        <f>LYL38+((LYL40+'NF - 5 Power Mix'!LYL14+'NF - 5 Power Mix'!LYL15)*860/10)+((('Form Sa1'!LYO835)*860)/10)+('Form Sa1'!LYO814*'Form Sa1'!LYO816/10)-'NF - 5 Power Mix'!LYL21-'NF - 5 Power Mix'!LYL22</f>
        <v>0</v>
      </c>
      <c r="LYM42" s="1046">
        <f>LYM38+((LYM40+'NF - 5 Power Mix'!LYM14+'NF - 5 Power Mix'!LYM15)*860/10)+((('Form Sa1'!LYP835)*860)/10)+('Form Sa1'!LYP814*'Form Sa1'!LYP816/10)-'NF - 5 Power Mix'!LYM21-'NF - 5 Power Mix'!LYM22</f>
        <v>0</v>
      </c>
      <c r="LYN42" s="1046">
        <f>LYN38+((LYN40+'NF - 5 Power Mix'!LYN14+'NF - 5 Power Mix'!LYN15)*860/10)+((('Form Sa1'!LYQ835)*860)/10)+('Form Sa1'!LYQ814*'Form Sa1'!LYQ816/10)-'NF - 5 Power Mix'!LYN21-'NF - 5 Power Mix'!LYN22</f>
        <v>0</v>
      </c>
      <c r="LYO42" s="1046">
        <f>LYO38+((LYO40+'NF - 5 Power Mix'!LYO14+'NF - 5 Power Mix'!LYO15)*860/10)+((('Form Sa1'!LYR835)*860)/10)+('Form Sa1'!LYR814*'Form Sa1'!LYR816/10)-'NF - 5 Power Mix'!LYO21-'NF - 5 Power Mix'!LYO22</f>
        <v>0</v>
      </c>
      <c r="LYP42" s="1046">
        <f>LYP38+((LYP40+'NF - 5 Power Mix'!LYP14+'NF - 5 Power Mix'!LYP15)*860/10)+((('Form Sa1'!LYS835)*860)/10)+('Form Sa1'!LYS814*'Form Sa1'!LYS816/10)-'NF - 5 Power Mix'!LYP21-'NF - 5 Power Mix'!LYP22</f>
        <v>0</v>
      </c>
      <c r="LYQ42" s="1046">
        <f>LYQ38+((LYQ40+'NF - 5 Power Mix'!LYQ14+'NF - 5 Power Mix'!LYQ15)*860/10)+((('Form Sa1'!LYT835)*860)/10)+('Form Sa1'!LYT814*'Form Sa1'!LYT816/10)-'NF - 5 Power Mix'!LYQ21-'NF - 5 Power Mix'!LYQ22</f>
        <v>0</v>
      </c>
      <c r="LYR42" s="1046">
        <f>LYR38+((LYR40+'NF - 5 Power Mix'!LYR14+'NF - 5 Power Mix'!LYR15)*860/10)+((('Form Sa1'!LYU835)*860)/10)+('Form Sa1'!LYU814*'Form Sa1'!LYU816/10)-'NF - 5 Power Mix'!LYR21-'NF - 5 Power Mix'!LYR22</f>
        <v>0</v>
      </c>
      <c r="LYS42" s="1046">
        <f>LYS38+((LYS40+'NF - 5 Power Mix'!LYS14+'NF - 5 Power Mix'!LYS15)*860/10)+((('Form Sa1'!LYV835)*860)/10)+('Form Sa1'!LYV814*'Form Sa1'!LYV816/10)-'NF - 5 Power Mix'!LYS21-'NF - 5 Power Mix'!LYS22</f>
        <v>0</v>
      </c>
      <c r="LYT42" s="1046">
        <f>LYT38+((LYT40+'NF - 5 Power Mix'!LYT14+'NF - 5 Power Mix'!LYT15)*860/10)+((('Form Sa1'!LYW835)*860)/10)+('Form Sa1'!LYW814*'Form Sa1'!LYW816/10)-'NF - 5 Power Mix'!LYT21-'NF - 5 Power Mix'!LYT22</f>
        <v>0</v>
      </c>
      <c r="LYU42" s="1046">
        <f>LYU38+((LYU40+'NF - 5 Power Mix'!LYU14+'NF - 5 Power Mix'!LYU15)*860/10)+((('Form Sa1'!LYX835)*860)/10)+('Form Sa1'!LYX814*'Form Sa1'!LYX816/10)-'NF - 5 Power Mix'!LYU21-'NF - 5 Power Mix'!LYU22</f>
        <v>0</v>
      </c>
      <c r="LYV42" s="1046">
        <f>LYV38+((LYV40+'NF - 5 Power Mix'!LYV14+'NF - 5 Power Mix'!LYV15)*860/10)+((('Form Sa1'!LYY835)*860)/10)+('Form Sa1'!LYY814*'Form Sa1'!LYY816/10)-'NF - 5 Power Mix'!LYV21-'NF - 5 Power Mix'!LYV22</f>
        <v>0</v>
      </c>
      <c r="LYW42" s="1046">
        <f>LYW38+((LYW40+'NF - 5 Power Mix'!LYW14+'NF - 5 Power Mix'!LYW15)*860/10)+((('Form Sa1'!LYZ835)*860)/10)+('Form Sa1'!LYZ814*'Form Sa1'!LYZ816/10)-'NF - 5 Power Mix'!LYW21-'NF - 5 Power Mix'!LYW22</f>
        <v>0</v>
      </c>
      <c r="LYX42" s="1046">
        <f>LYX38+((LYX40+'NF - 5 Power Mix'!LYX14+'NF - 5 Power Mix'!LYX15)*860/10)+((('Form Sa1'!LZA835)*860)/10)+('Form Sa1'!LZA814*'Form Sa1'!LZA816/10)-'NF - 5 Power Mix'!LYX21-'NF - 5 Power Mix'!LYX22</f>
        <v>0</v>
      </c>
      <c r="LYY42" s="1046">
        <f>LYY38+((LYY40+'NF - 5 Power Mix'!LYY14+'NF - 5 Power Mix'!LYY15)*860/10)+((('Form Sa1'!LZB835)*860)/10)+('Form Sa1'!LZB814*'Form Sa1'!LZB816/10)-'NF - 5 Power Mix'!LYY21-'NF - 5 Power Mix'!LYY22</f>
        <v>0</v>
      </c>
      <c r="LYZ42" s="1046">
        <f>LYZ38+((LYZ40+'NF - 5 Power Mix'!LYZ14+'NF - 5 Power Mix'!LYZ15)*860/10)+((('Form Sa1'!LZC835)*860)/10)+('Form Sa1'!LZC814*'Form Sa1'!LZC816/10)-'NF - 5 Power Mix'!LYZ21-'NF - 5 Power Mix'!LYZ22</f>
        <v>0</v>
      </c>
      <c r="LZA42" s="1046">
        <f>LZA38+((LZA40+'NF - 5 Power Mix'!LZA14+'NF - 5 Power Mix'!LZA15)*860/10)+((('Form Sa1'!LZD835)*860)/10)+('Form Sa1'!LZD814*'Form Sa1'!LZD816/10)-'NF - 5 Power Mix'!LZA21-'NF - 5 Power Mix'!LZA22</f>
        <v>0</v>
      </c>
      <c r="LZB42" s="1046">
        <f>LZB38+((LZB40+'NF - 5 Power Mix'!LZB14+'NF - 5 Power Mix'!LZB15)*860/10)+((('Form Sa1'!LZE835)*860)/10)+('Form Sa1'!LZE814*'Form Sa1'!LZE816/10)-'NF - 5 Power Mix'!LZB21-'NF - 5 Power Mix'!LZB22</f>
        <v>0</v>
      </c>
      <c r="LZC42" s="1046">
        <f>LZC38+((LZC40+'NF - 5 Power Mix'!LZC14+'NF - 5 Power Mix'!LZC15)*860/10)+((('Form Sa1'!LZF835)*860)/10)+('Form Sa1'!LZF814*'Form Sa1'!LZF816/10)-'NF - 5 Power Mix'!LZC21-'NF - 5 Power Mix'!LZC22</f>
        <v>0</v>
      </c>
      <c r="LZD42" s="1046">
        <f>LZD38+((LZD40+'NF - 5 Power Mix'!LZD14+'NF - 5 Power Mix'!LZD15)*860/10)+((('Form Sa1'!LZG835)*860)/10)+('Form Sa1'!LZG814*'Form Sa1'!LZG816/10)-'NF - 5 Power Mix'!LZD21-'NF - 5 Power Mix'!LZD22</f>
        <v>0</v>
      </c>
      <c r="LZE42" s="1046">
        <f>LZE38+((LZE40+'NF - 5 Power Mix'!LZE14+'NF - 5 Power Mix'!LZE15)*860/10)+((('Form Sa1'!LZH835)*860)/10)+('Form Sa1'!LZH814*'Form Sa1'!LZH816/10)-'NF - 5 Power Mix'!LZE21-'NF - 5 Power Mix'!LZE22</f>
        <v>0</v>
      </c>
      <c r="LZF42" s="1046">
        <f>LZF38+((LZF40+'NF - 5 Power Mix'!LZF14+'NF - 5 Power Mix'!LZF15)*860/10)+((('Form Sa1'!LZI835)*860)/10)+('Form Sa1'!LZI814*'Form Sa1'!LZI816/10)-'NF - 5 Power Mix'!LZF21-'NF - 5 Power Mix'!LZF22</f>
        <v>0</v>
      </c>
      <c r="LZG42" s="1046">
        <f>LZG38+((LZG40+'NF - 5 Power Mix'!LZG14+'NF - 5 Power Mix'!LZG15)*860/10)+((('Form Sa1'!LZJ835)*860)/10)+('Form Sa1'!LZJ814*'Form Sa1'!LZJ816/10)-'NF - 5 Power Mix'!LZG21-'NF - 5 Power Mix'!LZG22</f>
        <v>0</v>
      </c>
      <c r="LZH42" s="1046">
        <f>LZH38+((LZH40+'NF - 5 Power Mix'!LZH14+'NF - 5 Power Mix'!LZH15)*860/10)+((('Form Sa1'!LZK835)*860)/10)+('Form Sa1'!LZK814*'Form Sa1'!LZK816/10)-'NF - 5 Power Mix'!LZH21-'NF - 5 Power Mix'!LZH22</f>
        <v>0</v>
      </c>
      <c r="LZI42" s="1046">
        <f>LZI38+((LZI40+'NF - 5 Power Mix'!LZI14+'NF - 5 Power Mix'!LZI15)*860/10)+((('Form Sa1'!LZL835)*860)/10)+('Form Sa1'!LZL814*'Form Sa1'!LZL816/10)-'NF - 5 Power Mix'!LZI21-'NF - 5 Power Mix'!LZI22</f>
        <v>0</v>
      </c>
      <c r="LZJ42" s="1046">
        <f>LZJ38+((LZJ40+'NF - 5 Power Mix'!LZJ14+'NF - 5 Power Mix'!LZJ15)*860/10)+((('Form Sa1'!LZM835)*860)/10)+('Form Sa1'!LZM814*'Form Sa1'!LZM816/10)-'NF - 5 Power Mix'!LZJ21-'NF - 5 Power Mix'!LZJ22</f>
        <v>0</v>
      </c>
      <c r="LZK42" s="1046">
        <f>LZK38+((LZK40+'NF - 5 Power Mix'!LZK14+'NF - 5 Power Mix'!LZK15)*860/10)+((('Form Sa1'!LZN835)*860)/10)+('Form Sa1'!LZN814*'Form Sa1'!LZN816/10)-'NF - 5 Power Mix'!LZK21-'NF - 5 Power Mix'!LZK22</f>
        <v>0</v>
      </c>
      <c r="LZL42" s="1046">
        <f>LZL38+((LZL40+'NF - 5 Power Mix'!LZL14+'NF - 5 Power Mix'!LZL15)*860/10)+((('Form Sa1'!LZO835)*860)/10)+('Form Sa1'!LZO814*'Form Sa1'!LZO816/10)-'NF - 5 Power Mix'!LZL21-'NF - 5 Power Mix'!LZL22</f>
        <v>0</v>
      </c>
      <c r="LZM42" s="1046">
        <f>LZM38+((LZM40+'NF - 5 Power Mix'!LZM14+'NF - 5 Power Mix'!LZM15)*860/10)+((('Form Sa1'!LZP835)*860)/10)+('Form Sa1'!LZP814*'Form Sa1'!LZP816/10)-'NF - 5 Power Mix'!LZM21-'NF - 5 Power Mix'!LZM22</f>
        <v>0</v>
      </c>
      <c r="LZN42" s="1046">
        <f>LZN38+((LZN40+'NF - 5 Power Mix'!LZN14+'NF - 5 Power Mix'!LZN15)*860/10)+((('Form Sa1'!LZQ835)*860)/10)+('Form Sa1'!LZQ814*'Form Sa1'!LZQ816/10)-'NF - 5 Power Mix'!LZN21-'NF - 5 Power Mix'!LZN22</f>
        <v>0</v>
      </c>
      <c r="LZO42" s="1046">
        <f>LZO38+((LZO40+'NF - 5 Power Mix'!LZO14+'NF - 5 Power Mix'!LZO15)*860/10)+((('Form Sa1'!LZR835)*860)/10)+('Form Sa1'!LZR814*'Form Sa1'!LZR816/10)-'NF - 5 Power Mix'!LZO21-'NF - 5 Power Mix'!LZO22</f>
        <v>0</v>
      </c>
      <c r="LZP42" s="1046">
        <f>LZP38+((LZP40+'NF - 5 Power Mix'!LZP14+'NF - 5 Power Mix'!LZP15)*860/10)+((('Form Sa1'!LZS835)*860)/10)+('Form Sa1'!LZS814*'Form Sa1'!LZS816/10)-'NF - 5 Power Mix'!LZP21-'NF - 5 Power Mix'!LZP22</f>
        <v>0</v>
      </c>
      <c r="LZQ42" s="1046">
        <f>LZQ38+((LZQ40+'NF - 5 Power Mix'!LZQ14+'NF - 5 Power Mix'!LZQ15)*860/10)+((('Form Sa1'!LZT835)*860)/10)+('Form Sa1'!LZT814*'Form Sa1'!LZT816/10)-'NF - 5 Power Mix'!LZQ21-'NF - 5 Power Mix'!LZQ22</f>
        <v>0</v>
      </c>
      <c r="LZR42" s="1046">
        <f>LZR38+((LZR40+'NF - 5 Power Mix'!LZR14+'NF - 5 Power Mix'!LZR15)*860/10)+((('Form Sa1'!LZU835)*860)/10)+('Form Sa1'!LZU814*'Form Sa1'!LZU816/10)-'NF - 5 Power Mix'!LZR21-'NF - 5 Power Mix'!LZR22</f>
        <v>0</v>
      </c>
      <c r="LZS42" s="1046">
        <f>LZS38+((LZS40+'NF - 5 Power Mix'!LZS14+'NF - 5 Power Mix'!LZS15)*860/10)+((('Form Sa1'!LZV835)*860)/10)+('Form Sa1'!LZV814*'Form Sa1'!LZV816/10)-'NF - 5 Power Mix'!LZS21-'NF - 5 Power Mix'!LZS22</f>
        <v>0</v>
      </c>
      <c r="LZT42" s="1046">
        <f>LZT38+((LZT40+'NF - 5 Power Mix'!LZT14+'NF - 5 Power Mix'!LZT15)*860/10)+((('Form Sa1'!LZW835)*860)/10)+('Form Sa1'!LZW814*'Form Sa1'!LZW816/10)-'NF - 5 Power Mix'!LZT21-'NF - 5 Power Mix'!LZT22</f>
        <v>0</v>
      </c>
      <c r="LZU42" s="1046">
        <f>LZU38+((LZU40+'NF - 5 Power Mix'!LZU14+'NF - 5 Power Mix'!LZU15)*860/10)+((('Form Sa1'!LZX835)*860)/10)+('Form Sa1'!LZX814*'Form Sa1'!LZX816/10)-'NF - 5 Power Mix'!LZU21-'NF - 5 Power Mix'!LZU22</f>
        <v>0</v>
      </c>
      <c r="LZV42" s="1046">
        <f>LZV38+((LZV40+'NF - 5 Power Mix'!LZV14+'NF - 5 Power Mix'!LZV15)*860/10)+((('Form Sa1'!LZY835)*860)/10)+('Form Sa1'!LZY814*'Form Sa1'!LZY816/10)-'NF - 5 Power Mix'!LZV21-'NF - 5 Power Mix'!LZV22</f>
        <v>0</v>
      </c>
      <c r="LZW42" s="1046">
        <f>LZW38+((LZW40+'NF - 5 Power Mix'!LZW14+'NF - 5 Power Mix'!LZW15)*860/10)+((('Form Sa1'!LZZ835)*860)/10)+('Form Sa1'!LZZ814*'Form Sa1'!LZZ816/10)-'NF - 5 Power Mix'!LZW21-'NF - 5 Power Mix'!LZW22</f>
        <v>0</v>
      </c>
      <c r="LZX42" s="1046">
        <f>LZX38+((LZX40+'NF - 5 Power Mix'!LZX14+'NF - 5 Power Mix'!LZX15)*860/10)+((('Form Sa1'!MAA835)*860)/10)+('Form Sa1'!MAA814*'Form Sa1'!MAA816/10)-'NF - 5 Power Mix'!LZX21-'NF - 5 Power Mix'!LZX22</f>
        <v>0</v>
      </c>
      <c r="LZY42" s="1046">
        <f>LZY38+((LZY40+'NF - 5 Power Mix'!LZY14+'NF - 5 Power Mix'!LZY15)*860/10)+((('Form Sa1'!MAB835)*860)/10)+('Form Sa1'!MAB814*'Form Sa1'!MAB816/10)-'NF - 5 Power Mix'!LZY21-'NF - 5 Power Mix'!LZY22</f>
        <v>0</v>
      </c>
      <c r="LZZ42" s="1046">
        <f>LZZ38+((LZZ40+'NF - 5 Power Mix'!LZZ14+'NF - 5 Power Mix'!LZZ15)*860/10)+((('Form Sa1'!MAC835)*860)/10)+('Form Sa1'!MAC814*'Form Sa1'!MAC816/10)-'NF - 5 Power Mix'!LZZ21-'NF - 5 Power Mix'!LZZ22</f>
        <v>0</v>
      </c>
      <c r="MAA42" s="1046">
        <f>MAA38+((MAA40+'NF - 5 Power Mix'!MAA14+'NF - 5 Power Mix'!MAA15)*860/10)+((('Form Sa1'!MAD835)*860)/10)+('Form Sa1'!MAD814*'Form Sa1'!MAD816/10)-'NF - 5 Power Mix'!MAA21-'NF - 5 Power Mix'!MAA22</f>
        <v>0</v>
      </c>
      <c r="MAB42" s="1046">
        <f>MAB38+((MAB40+'NF - 5 Power Mix'!MAB14+'NF - 5 Power Mix'!MAB15)*860/10)+((('Form Sa1'!MAE835)*860)/10)+('Form Sa1'!MAE814*'Form Sa1'!MAE816/10)-'NF - 5 Power Mix'!MAB21-'NF - 5 Power Mix'!MAB22</f>
        <v>0</v>
      </c>
      <c r="MAC42" s="1046">
        <f>MAC38+((MAC40+'NF - 5 Power Mix'!MAC14+'NF - 5 Power Mix'!MAC15)*860/10)+((('Form Sa1'!MAF835)*860)/10)+('Form Sa1'!MAF814*'Form Sa1'!MAF816/10)-'NF - 5 Power Mix'!MAC21-'NF - 5 Power Mix'!MAC22</f>
        <v>0</v>
      </c>
      <c r="MAD42" s="1046">
        <f>MAD38+((MAD40+'NF - 5 Power Mix'!MAD14+'NF - 5 Power Mix'!MAD15)*860/10)+((('Form Sa1'!MAG835)*860)/10)+('Form Sa1'!MAG814*'Form Sa1'!MAG816/10)-'NF - 5 Power Mix'!MAD21-'NF - 5 Power Mix'!MAD22</f>
        <v>0</v>
      </c>
      <c r="MAE42" s="1046">
        <f>MAE38+((MAE40+'NF - 5 Power Mix'!MAE14+'NF - 5 Power Mix'!MAE15)*860/10)+((('Form Sa1'!MAH835)*860)/10)+('Form Sa1'!MAH814*'Form Sa1'!MAH816/10)-'NF - 5 Power Mix'!MAE21-'NF - 5 Power Mix'!MAE22</f>
        <v>0</v>
      </c>
      <c r="MAF42" s="1046">
        <f>MAF38+((MAF40+'NF - 5 Power Mix'!MAF14+'NF - 5 Power Mix'!MAF15)*860/10)+((('Form Sa1'!MAI835)*860)/10)+('Form Sa1'!MAI814*'Form Sa1'!MAI816/10)-'NF - 5 Power Mix'!MAF21-'NF - 5 Power Mix'!MAF22</f>
        <v>0</v>
      </c>
      <c r="MAG42" s="1046">
        <f>MAG38+((MAG40+'NF - 5 Power Mix'!MAG14+'NF - 5 Power Mix'!MAG15)*860/10)+((('Form Sa1'!MAJ835)*860)/10)+('Form Sa1'!MAJ814*'Form Sa1'!MAJ816/10)-'NF - 5 Power Mix'!MAG21-'NF - 5 Power Mix'!MAG22</f>
        <v>0</v>
      </c>
      <c r="MAH42" s="1046">
        <f>MAH38+((MAH40+'NF - 5 Power Mix'!MAH14+'NF - 5 Power Mix'!MAH15)*860/10)+((('Form Sa1'!MAK835)*860)/10)+('Form Sa1'!MAK814*'Form Sa1'!MAK816/10)-'NF - 5 Power Mix'!MAH21-'NF - 5 Power Mix'!MAH22</f>
        <v>0</v>
      </c>
      <c r="MAI42" s="1046">
        <f>MAI38+((MAI40+'NF - 5 Power Mix'!MAI14+'NF - 5 Power Mix'!MAI15)*860/10)+((('Form Sa1'!MAL835)*860)/10)+('Form Sa1'!MAL814*'Form Sa1'!MAL816/10)-'NF - 5 Power Mix'!MAI21-'NF - 5 Power Mix'!MAI22</f>
        <v>0</v>
      </c>
      <c r="MAJ42" s="1046">
        <f>MAJ38+((MAJ40+'NF - 5 Power Mix'!MAJ14+'NF - 5 Power Mix'!MAJ15)*860/10)+((('Form Sa1'!MAM835)*860)/10)+('Form Sa1'!MAM814*'Form Sa1'!MAM816/10)-'NF - 5 Power Mix'!MAJ21-'NF - 5 Power Mix'!MAJ22</f>
        <v>0</v>
      </c>
      <c r="MAK42" s="1046">
        <f>MAK38+((MAK40+'NF - 5 Power Mix'!MAK14+'NF - 5 Power Mix'!MAK15)*860/10)+((('Form Sa1'!MAN835)*860)/10)+('Form Sa1'!MAN814*'Form Sa1'!MAN816/10)-'NF - 5 Power Mix'!MAK21-'NF - 5 Power Mix'!MAK22</f>
        <v>0</v>
      </c>
      <c r="MAL42" s="1046">
        <f>MAL38+((MAL40+'NF - 5 Power Mix'!MAL14+'NF - 5 Power Mix'!MAL15)*860/10)+((('Form Sa1'!MAO835)*860)/10)+('Form Sa1'!MAO814*'Form Sa1'!MAO816/10)-'NF - 5 Power Mix'!MAL21-'NF - 5 Power Mix'!MAL22</f>
        <v>0</v>
      </c>
      <c r="MAM42" s="1046">
        <f>MAM38+((MAM40+'NF - 5 Power Mix'!MAM14+'NF - 5 Power Mix'!MAM15)*860/10)+((('Form Sa1'!MAP835)*860)/10)+('Form Sa1'!MAP814*'Form Sa1'!MAP816/10)-'NF - 5 Power Mix'!MAM21-'NF - 5 Power Mix'!MAM22</f>
        <v>0</v>
      </c>
      <c r="MAN42" s="1046">
        <f>MAN38+((MAN40+'NF - 5 Power Mix'!MAN14+'NF - 5 Power Mix'!MAN15)*860/10)+((('Form Sa1'!MAQ835)*860)/10)+('Form Sa1'!MAQ814*'Form Sa1'!MAQ816/10)-'NF - 5 Power Mix'!MAN21-'NF - 5 Power Mix'!MAN22</f>
        <v>0</v>
      </c>
      <c r="MAO42" s="1046">
        <f>MAO38+((MAO40+'NF - 5 Power Mix'!MAO14+'NF - 5 Power Mix'!MAO15)*860/10)+((('Form Sa1'!MAR835)*860)/10)+('Form Sa1'!MAR814*'Form Sa1'!MAR816/10)-'NF - 5 Power Mix'!MAO21-'NF - 5 Power Mix'!MAO22</f>
        <v>0</v>
      </c>
      <c r="MAP42" s="1046">
        <f>MAP38+((MAP40+'NF - 5 Power Mix'!MAP14+'NF - 5 Power Mix'!MAP15)*860/10)+((('Form Sa1'!MAS835)*860)/10)+('Form Sa1'!MAS814*'Form Sa1'!MAS816/10)-'NF - 5 Power Mix'!MAP21-'NF - 5 Power Mix'!MAP22</f>
        <v>0</v>
      </c>
      <c r="MAQ42" s="1046">
        <f>MAQ38+((MAQ40+'NF - 5 Power Mix'!MAQ14+'NF - 5 Power Mix'!MAQ15)*860/10)+((('Form Sa1'!MAT835)*860)/10)+('Form Sa1'!MAT814*'Form Sa1'!MAT816/10)-'NF - 5 Power Mix'!MAQ21-'NF - 5 Power Mix'!MAQ22</f>
        <v>0</v>
      </c>
      <c r="MAR42" s="1046">
        <f>MAR38+((MAR40+'NF - 5 Power Mix'!MAR14+'NF - 5 Power Mix'!MAR15)*860/10)+((('Form Sa1'!MAU835)*860)/10)+('Form Sa1'!MAU814*'Form Sa1'!MAU816/10)-'NF - 5 Power Mix'!MAR21-'NF - 5 Power Mix'!MAR22</f>
        <v>0</v>
      </c>
      <c r="MAS42" s="1046">
        <f>MAS38+((MAS40+'NF - 5 Power Mix'!MAS14+'NF - 5 Power Mix'!MAS15)*860/10)+((('Form Sa1'!MAV835)*860)/10)+('Form Sa1'!MAV814*'Form Sa1'!MAV816/10)-'NF - 5 Power Mix'!MAS21-'NF - 5 Power Mix'!MAS22</f>
        <v>0</v>
      </c>
      <c r="MAT42" s="1046">
        <f>MAT38+((MAT40+'NF - 5 Power Mix'!MAT14+'NF - 5 Power Mix'!MAT15)*860/10)+((('Form Sa1'!MAW835)*860)/10)+('Form Sa1'!MAW814*'Form Sa1'!MAW816/10)-'NF - 5 Power Mix'!MAT21-'NF - 5 Power Mix'!MAT22</f>
        <v>0</v>
      </c>
      <c r="MAU42" s="1046">
        <f>MAU38+((MAU40+'NF - 5 Power Mix'!MAU14+'NF - 5 Power Mix'!MAU15)*860/10)+((('Form Sa1'!MAX835)*860)/10)+('Form Sa1'!MAX814*'Form Sa1'!MAX816/10)-'NF - 5 Power Mix'!MAU21-'NF - 5 Power Mix'!MAU22</f>
        <v>0</v>
      </c>
      <c r="MAV42" s="1046">
        <f>MAV38+((MAV40+'NF - 5 Power Mix'!MAV14+'NF - 5 Power Mix'!MAV15)*860/10)+((('Form Sa1'!MAY835)*860)/10)+('Form Sa1'!MAY814*'Form Sa1'!MAY816/10)-'NF - 5 Power Mix'!MAV21-'NF - 5 Power Mix'!MAV22</f>
        <v>0</v>
      </c>
      <c r="MAW42" s="1046">
        <f>MAW38+((MAW40+'NF - 5 Power Mix'!MAW14+'NF - 5 Power Mix'!MAW15)*860/10)+((('Form Sa1'!MAZ835)*860)/10)+('Form Sa1'!MAZ814*'Form Sa1'!MAZ816/10)-'NF - 5 Power Mix'!MAW21-'NF - 5 Power Mix'!MAW22</f>
        <v>0</v>
      </c>
      <c r="MAX42" s="1046">
        <f>MAX38+((MAX40+'NF - 5 Power Mix'!MAX14+'NF - 5 Power Mix'!MAX15)*860/10)+((('Form Sa1'!MBA835)*860)/10)+('Form Sa1'!MBA814*'Form Sa1'!MBA816/10)-'NF - 5 Power Mix'!MAX21-'NF - 5 Power Mix'!MAX22</f>
        <v>0</v>
      </c>
      <c r="MAY42" s="1046">
        <f>MAY38+((MAY40+'NF - 5 Power Mix'!MAY14+'NF - 5 Power Mix'!MAY15)*860/10)+((('Form Sa1'!MBB835)*860)/10)+('Form Sa1'!MBB814*'Form Sa1'!MBB816/10)-'NF - 5 Power Mix'!MAY21-'NF - 5 Power Mix'!MAY22</f>
        <v>0</v>
      </c>
      <c r="MAZ42" s="1046">
        <f>MAZ38+((MAZ40+'NF - 5 Power Mix'!MAZ14+'NF - 5 Power Mix'!MAZ15)*860/10)+((('Form Sa1'!MBC835)*860)/10)+('Form Sa1'!MBC814*'Form Sa1'!MBC816/10)-'NF - 5 Power Mix'!MAZ21-'NF - 5 Power Mix'!MAZ22</f>
        <v>0</v>
      </c>
      <c r="MBA42" s="1046">
        <f>MBA38+((MBA40+'NF - 5 Power Mix'!MBA14+'NF - 5 Power Mix'!MBA15)*860/10)+((('Form Sa1'!MBD835)*860)/10)+('Form Sa1'!MBD814*'Form Sa1'!MBD816/10)-'NF - 5 Power Mix'!MBA21-'NF - 5 Power Mix'!MBA22</f>
        <v>0</v>
      </c>
      <c r="MBB42" s="1046">
        <f>MBB38+((MBB40+'NF - 5 Power Mix'!MBB14+'NF - 5 Power Mix'!MBB15)*860/10)+((('Form Sa1'!MBE835)*860)/10)+('Form Sa1'!MBE814*'Form Sa1'!MBE816/10)-'NF - 5 Power Mix'!MBB21-'NF - 5 Power Mix'!MBB22</f>
        <v>0</v>
      </c>
      <c r="MBC42" s="1046">
        <f>MBC38+((MBC40+'NF - 5 Power Mix'!MBC14+'NF - 5 Power Mix'!MBC15)*860/10)+((('Form Sa1'!MBF835)*860)/10)+('Form Sa1'!MBF814*'Form Sa1'!MBF816/10)-'NF - 5 Power Mix'!MBC21-'NF - 5 Power Mix'!MBC22</f>
        <v>0</v>
      </c>
      <c r="MBD42" s="1046">
        <f>MBD38+((MBD40+'NF - 5 Power Mix'!MBD14+'NF - 5 Power Mix'!MBD15)*860/10)+((('Form Sa1'!MBG835)*860)/10)+('Form Sa1'!MBG814*'Form Sa1'!MBG816/10)-'NF - 5 Power Mix'!MBD21-'NF - 5 Power Mix'!MBD22</f>
        <v>0</v>
      </c>
      <c r="MBE42" s="1046">
        <f>MBE38+((MBE40+'NF - 5 Power Mix'!MBE14+'NF - 5 Power Mix'!MBE15)*860/10)+((('Form Sa1'!MBH835)*860)/10)+('Form Sa1'!MBH814*'Form Sa1'!MBH816/10)-'NF - 5 Power Mix'!MBE21-'NF - 5 Power Mix'!MBE22</f>
        <v>0</v>
      </c>
      <c r="MBF42" s="1046">
        <f>MBF38+((MBF40+'NF - 5 Power Mix'!MBF14+'NF - 5 Power Mix'!MBF15)*860/10)+((('Form Sa1'!MBI835)*860)/10)+('Form Sa1'!MBI814*'Form Sa1'!MBI816/10)-'NF - 5 Power Mix'!MBF21-'NF - 5 Power Mix'!MBF22</f>
        <v>0</v>
      </c>
      <c r="MBG42" s="1046">
        <f>MBG38+((MBG40+'NF - 5 Power Mix'!MBG14+'NF - 5 Power Mix'!MBG15)*860/10)+((('Form Sa1'!MBJ835)*860)/10)+('Form Sa1'!MBJ814*'Form Sa1'!MBJ816/10)-'NF - 5 Power Mix'!MBG21-'NF - 5 Power Mix'!MBG22</f>
        <v>0</v>
      </c>
      <c r="MBH42" s="1046">
        <f>MBH38+((MBH40+'NF - 5 Power Mix'!MBH14+'NF - 5 Power Mix'!MBH15)*860/10)+((('Form Sa1'!MBK835)*860)/10)+('Form Sa1'!MBK814*'Form Sa1'!MBK816/10)-'NF - 5 Power Mix'!MBH21-'NF - 5 Power Mix'!MBH22</f>
        <v>0</v>
      </c>
      <c r="MBI42" s="1046">
        <f>MBI38+((MBI40+'NF - 5 Power Mix'!MBI14+'NF - 5 Power Mix'!MBI15)*860/10)+((('Form Sa1'!MBL835)*860)/10)+('Form Sa1'!MBL814*'Form Sa1'!MBL816/10)-'NF - 5 Power Mix'!MBI21-'NF - 5 Power Mix'!MBI22</f>
        <v>0</v>
      </c>
      <c r="MBJ42" s="1046">
        <f>MBJ38+((MBJ40+'NF - 5 Power Mix'!MBJ14+'NF - 5 Power Mix'!MBJ15)*860/10)+((('Form Sa1'!MBM835)*860)/10)+('Form Sa1'!MBM814*'Form Sa1'!MBM816/10)-'NF - 5 Power Mix'!MBJ21-'NF - 5 Power Mix'!MBJ22</f>
        <v>0</v>
      </c>
      <c r="MBK42" s="1046">
        <f>MBK38+((MBK40+'NF - 5 Power Mix'!MBK14+'NF - 5 Power Mix'!MBK15)*860/10)+((('Form Sa1'!MBN835)*860)/10)+('Form Sa1'!MBN814*'Form Sa1'!MBN816/10)-'NF - 5 Power Mix'!MBK21-'NF - 5 Power Mix'!MBK22</f>
        <v>0</v>
      </c>
      <c r="MBL42" s="1046">
        <f>MBL38+((MBL40+'NF - 5 Power Mix'!MBL14+'NF - 5 Power Mix'!MBL15)*860/10)+((('Form Sa1'!MBO835)*860)/10)+('Form Sa1'!MBO814*'Form Sa1'!MBO816/10)-'NF - 5 Power Mix'!MBL21-'NF - 5 Power Mix'!MBL22</f>
        <v>0</v>
      </c>
      <c r="MBM42" s="1046">
        <f>MBM38+((MBM40+'NF - 5 Power Mix'!MBM14+'NF - 5 Power Mix'!MBM15)*860/10)+((('Form Sa1'!MBP835)*860)/10)+('Form Sa1'!MBP814*'Form Sa1'!MBP816/10)-'NF - 5 Power Mix'!MBM21-'NF - 5 Power Mix'!MBM22</f>
        <v>0</v>
      </c>
      <c r="MBN42" s="1046">
        <f>MBN38+((MBN40+'NF - 5 Power Mix'!MBN14+'NF - 5 Power Mix'!MBN15)*860/10)+((('Form Sa1'!MBQ835)*860)/10)+('Form Sa1'!MBQ814*'Form Sa1'!MBQ816/10)-'NF - 5 Power Mix'!MBN21-'NF - 5 Power Mix'!MBN22</f>
        <v>0</v>
      </c>
      <c r="MBO42" s="1046">
        <f>MBO38+((MBO40+'NF - 5 Power Mix'!MBO14+'NF - 5 Power Mix'!MBO15)*860/10)+((('Form Sa1'!MBR835)*860)/10)+('Form Sa1'!MBR814*'Form Sa1'!MBR816/10)-'NF - 5 Power Mix'!MBO21-'NF - 5 Power Mix'!MBO22</f>
        <v>0</v>
      </c>
      <c r="MBP42" s="1046">
        <f>MBP38+((MBP40+'NF - 5 Power Mix'!MBP14+'NF - 5 Power Mix'!MBP15)*860/10)+((('Form Sa1'!MBS835)*860)/10)+('Form Sa1'!MBS814*'Form Sa1'!MBS816/10)-'NF - 5 Power Mix'!MBP21-'NF - 5 Power Mix'!MBP22</f>
        <v>0</v>
      </c>
      <c r="MBQ42" s="1046">
        <f>MBQ38+((MBQ40+'NF - 5 Power Mix'!MBQ14+'NF - 5 Power Mix'!MBQ15)*860/10)+((('Form Sa1'!MBT835)*860)/10)+('Form Sa1'!MBT814*'Form Sa1'!MBT816/10)-'NF - 5 Power Mix'!MBQ21-'NF - 5 Power Mix'!MBQ22</f>
        <v>0</v>
      </c>
      <c r="MBR42" s="1046">
        <f>MBR38+((MBR40+'NF - 5 Power Mix'!MBR14+'NF - 5 Power Mix'!MBR15)*860/10)+((('Form Sa1'!MBU835)*860)/10)+('Form Sa1'!MBU814*'Form Sa1'!MBU816/10)-'NF - 5 Power Mix'!MBR21-'NF - 5 Power Mix'!MBR22</f>
        <v>0</v>
      </c>
      <c r="MBS42" s="1046">
        <f>MBS38+((MBS40+'NF - 5 Power Mix'!MBS14+'NF - 5 Power Mix'!MBS15)*860/10)+((('Form Sa1'!MBV835)*860)/10)+('Form Sa1'!MBV814*'Form Sa1'!MBV816/10)-'NF - 5 Power Mix'!MBS21-'NF - 5 Power Mix'!MBS22</f>
        <v>0</v>
      </c>
      <c r="MBT42" s="1046">
        <f>MBT38+((MBT40+'NF - 5 Power Mix'!MBT14+'NF - 5 Power Mix'!MBT15)*860/10)+((('Form Sa1'!MBW835)*860)/10)+('Form Sa1'!MBW814*'Form Sa1'!MBW816/10)-'NF - 5 Power Mix'!MBT21-'NF - 5 Power Mix'!MBT22</f>
        <v>0</v>
      </c>
      <c r="MBU42" s="1046">
        <f>MBU38+((MBU40+'NF - 5 Power Mix'!MBU14+'NF - 5 Power Mix'!MBU15)*860/10)+((('Form Sa1'!MBX835)*860)/10)+('Form Sa1'!MBX814*'Form Sa1'!MBX816/10)-'NF - 5 Power Mix'!MBU21-'NF - 5 Power Mix'!MBU22</f>
        <v>0</v>
      </c>
      <c r="MBV42" s="1046">
        <f>MBV38+((MBV40+'NF - 5 Power Mix'!MBV14+'NF - 5 Power Mix'!MBV15)*860/10)+((('Form Sa1'!MBY835)*860)/10)+('Form Sa1'!MBY814*'Form Sa1'!MBY816/10)-'NF - 5 Power Mix'!MBV21-'NF - 5 Power Mix'!MBV22</f>
        <v>0</v>
      </c>
      <c r="MBW42" s="1046">
        <f>MBW38+((MBW40+'NF - 5 Power Mix'!MBW14+'NF - 5 Power Mix'!MBW15)*860/10)+((('Form Sa1'!MBZ835)*860)/10)+('Form Sa1'!MBZ814*'Form Sa1'!MBZ816/10)-'NF - 5 Power Mix'!MBW21-'NF - 5 Power Mix'!MBW22</f>
        <v>0</v>
      </c>
      <c r="MBX42" s="1046">
        <f>MBX38+((MBX40+'NF - 5 Power Mix'!MBX14+'NF - 5 Power Mix'!MBX15)*860/10)+((('Form Sa1'!MCA835)*860)/10)+('Form Sa1'!MCA814*'Form Sa1'!MCA816/10)-'NF - 5 Power Mix'!MBX21-'NF - 5 Power Mix'!MBX22</f>
        <v>0</v>
      </c>
      <c r="MBY42" s="1046">
        <f>MBY38+((MBY40+'NF - 5 Power Mix'!MBY14+'NF - 5 Power Mix'!MBY15)*860/10)+((('Form Sa1'!MCB835)*860)/10)+('Form Sa1'!MCB814*'Form Sa1'!MCB816/10)-'NF - 5 Power Mix'!MBY21-'NF - 5 Power Mix'!MBY22</f>
        <v>0</v>
      </c>
      <c r="MBZ42" s="1046">
        <f>MBZ38+((MBZ40+'NF - 5 Power Mix'!MBZ14+'NF - 5 Power Mix'!MBZ15)*860/10)+((('Form Sa1'!MCC835)*860)/10)+('Form Sa1'!MCC814*'Form Sa1'!MCC816/10)-'NF - 5 Power Mix'!MBZ21-'NF - 5 Power Mix'!MBZ22</f>
        <v>0</v>
      </c>
      <c r="MCA42" s="1046">
        <f>MCA38+((MCA40+'NF - 5 Power Mix'!MCA14+'NF - 5 Power Mix'!MCA15)*860/10)+((('Form Sa1'!MCD835)*860)/10)+('Form Sa1'!MCD814*'Form Sa1'!MCD816/10)-'NF - 5 Power Mix'!MCA21-'NF - 5 Power Mix'!MCA22</f>
        <v>0</v>
      </c>
      <c r="MCB42" s="1046">
        <f>MCB38+((MCB40+'NF - 5 Power Mix'!MCB14+'NF - 5 Power Mix'!MCB15)*860/10)+((('Form Sa1'!MCE835)*860)/10)+('Form Sa1'!MCE814*'Form Sa1'!MCE816/10)-'NF - 5 Power Mix'!MCB21-'NF - 5 Power Mix'!MCB22</f>
        <v>0</v>
      </c>
      <c r="MCC42" s="1046">
        <f>MCC38+((MCC40+'NF - 5 Power Mix'!MCC14+'NF - 5 Power Mix'!MCC15)*860/10)+((('Form Sa1'!MCF835)*860)/10)+('Form Sa1'!MCF814*'Form Sa1'!MCF816/10)-'NF - 5 Power Mix'!MCC21-'NF - 5 Power Mix'!MCC22</f>
        <v>0</v>
      </c>
      <c r="MCD42" s="1046">
        <f>MCD38+((MCD40+'NF - 5 Power Mix'!MCD14+'NF - 5 Power Mix'!MCD15)*860/10)+((('Form Sa1'!MCG835)*860)/10)+('Form Sa1'!MCG814*'Form Sa1'!MCG816/10)-'NF - 5 Power Mix'!MCD21-'NF - 5 Power Mix'!MCD22</f>
        <v>0</v>
      </c>
      <c r="MCE42" s="1046">
        <f>MCE38+((MCE40+'NF - 5 Power Mix'!MCE14+'NF - 5 Power Mix'!MCE15)*860/10)+((('Form Sa1'!MCH835)*860)/10)+('Form Sa1'!MCH814*'Form Sa1'!MCH816/10)-'NF - 5 Power Mix'!MCE21-'NF - 5 Power Mix'!MCE22</f>
        <v>0</v>
      </c>
      <c r="MCF42" s="1046">
        <f>MCF38+((MCF40+'NF - 5 Power Mix'!MCF14+'NF - 5 Power Mix'!MCF15)*860/10)+((('Form Sa1'!MCI835)*860)/10)+('Form Sa1'!MCI814*'Form Sa1'!MCI816/10)-'NF - 5 Power Mix'!MCF21-'NF - 5 Power Mix'!MCF22</f>
        <v>0</v>
      </c>
      <c r="MCG42" s="1046">
        <f>MCG38+((MCG40+'NF - 5 Power Mix'!MCG14+'NF - 5 Power Mix'!MCG15)*860/10)+((('Form Sa1'!MCJ835)*860)/10)+('Form Sa1'!MCJ814*'Form Sa1'!MCJ816/10)-'NF - 5 Power Mix'!MCG21-'NF - 5 Power Mix'!MCG22</f>
        <v>0</v>
      </c>
      <c r="MCH42" s="1046">
        <f>MCH38+((MCH40+'NF - 5 Power Mix'!MCH14+'NF - 5 Power Mix'!MCH15)*860/10)+((('Form Sa1'!MCK835)*860)/10)+('Form Sa1'!MCK814*'Form Sa1'!MCK816/10)-'NF - 5 Power Mix'!MCH21-'NF - 5 Power Mix'!MCH22</f>
        <v>0</v>
      </c>
      <c r="MCI42" s="1046">
        <f>MCI38+((MCI40+'NF - 5 Power Mix'!MCI14+'NF - 5 Power Mix'!MCI15)*860/10)+((('Form Sa1'!MCL835)*860)/10)+('Form Sa1'!MCL814*'Form Sa1'!MCL816/10)-'NF - 5 Power Mix'!MCI21-'NF - 5 Power Mix'!MCI22</f>
        <v>0</v>
      </c>
      <c r="MCJ42" s="1046">
        <f>MCJ38+((MCJ40+'NF - 5 Power Mix'!MCJ14+'NF - 5 Power Mix'!MCJ15)*860/10)+((('Form Sa1'!MCM835)*860)/10)+('Form Sa1'!MCM814*'Form Sa1'!MCM816/10)-'NF - 5 Power Mix'!MCJ21-'NF - 5 Power Mix'!MCJ22</f>
        <v>0</v>
      </c>
      <c r="MCK42" s="1046">
        <f>MCK38+((MCK40+'NF - 5 Power Mix'!MCK14+'NF - 5 Power Mix'!MCK15)*860/10)+((('Form Sa1'!MCN835)*860)/10)+('Form Sa1'!MCN814*'Form Sa1'!MCN816/10)-'NF - 5 Power Mix'!MCK21-'NF - 5 Power Mix'!MCK22</f>
        <v>0</v>
      </c>
      <c r="MCL42" s="1046">
        <f>MCL38+((MCL40+'NF - 5 Power Mix'!MCL14+'NF - 5 Power Mix'!MCL15)*860/10)+((('Form Sa1'!MCO835)*860)/10)+('Form Sa1'!MCO814*'Form Sa1'!MCO816/10)-'NF - 5 Power Mix'!MCL21-'NF - 5 Power Mix'!MCL22</f>
        <v>0</v>
      </c>
      <c r="MCM42" s="1046">
        <f>MCM38+((MCM40+'NF - 5 Power Mix'!MCM14+'NF - 5 Power Mix'!MCM15)*860/10)+((('Form Sa1'!MCP835)*860)/10)+('Form Sa1'!MCP814*'Form Sa1'!MCP816/10)-'NF - 5 Power Mix'!MCM21-'NF - 5 Power Mix'!MCM22</f>
        <v>0</v>
      </c>
      <c r="MCN42" s="1046">
        <f>MCN38+((MCN40+'NF - 5 Power Mix'!MCN14+'NF - 5 Power Mix'!MCN15)*860/10)+((('Form Sa1'!MCQ835)*860)/10)+('Form Sa1'!MCQ814*'Form Sa1'!MCQ816/10)-'NF - 5 Power Mix'!MCN21-'NF - 5 Power Mix'!MCN22</f>
        <v>0</v>
      </c>
      <c r="MCO42" s="1046">
        <f>MCO38+((MCO40+'NF - 5 Power Mix'!MCO14+'NF - 5 Power Mix'!MCO15)*860/10)+((('Form Sa1'!MCR835)*860)/10)+('Form Sa1'!MCR814*'Form Sa1'!MCR816/10)-'NF - 5 Power Mix'!MCO21-'NF - 5 Power Mix'!MCO22</f>
        <v>0</v>
      </c>
      <c r="MCP42" s="1046">
        <f>MCP38+((MCP40+'NF - 5 Power Mix'!MCP14+'NF - 5 Power Mix'!MCP15)*860/10)+((('Form Sa1'!MCS835)*860)/10)+('Form Sa1'!MCS814*'Form Sa1'!MCS816/10)-'NF - 5 Power Mix'!MCP21-'NF - 5 Power Mix'!MCP22</f>
        <v>0</v>
      </c>
      <c r="MCQ42" s="1046">
        <f>MCQ38+((MCQ40+'NF - 5 Power Mix'!MCQ14+'NF - 5 Power Mix'!MCQ15)*860/10)+((('Form Sa1'!MCT835)*860)/10)+('Form Sa1'!MCT814*'Form Sa1'!MCT816/10)-'NF - 5 Power Mix'!MCQ21-'NF - 5 Power Mix'!MCQ22</f>
        <v>0</v>
      </c>
      <c r="MCR42" s="1046">
        <f>MCR38+((MCR40+'NF - 5 Power Mix'!MCR14+'NF - 5 Power Mix'!MCR15)*860/10)+((('Form Sa1'!MCU835)*860)/10)+('Form Sa1'!MCU814*'Form Sa1'!MCU816/10)-'NF - 5 Power Mix'!MCR21-'NF - 5 Power Mix'!MCR22</f>
        <v>0</v>
      </c>
      <c r="MCS42" s="1046">
        <f>MCS38+((MCS40+'NF - 5 Power Mix'!MCS14+'NF - 5 Power Mix'!MCS15)*860/10)+((('Form Sa1'!MCV835)*860)/10)+('Form Sa1'!MCV814*'Form Sa1'!MCV816/10)-'NF - 5 Power Mix'!MCS21-'NF - 5 Power Mix'!MCS22</f>
        <v>0</v>
      </c>
      <c r="MCT42" s="1046">
        <f>MCT38+((MCT40+'NF - 5 Power Mix'!MCT14+'NF - 5 Power Mix'!MCT15)*860/10)+((('Form Sa1'!MCW835)*860)/10)+('Form Sa1'!MCW814*'Form Sa1'!MCW816/10)-'NF - 5 Power Mix'!MCT21-'NF - 5 Power Mix'!MCT22</f>
        <v>0</v>
      </c>
      <c r="MCU42" s="1046">
        <f>MCU38+((MCU40+'NF - 5 Power Mix'!MCU14+'NF - 5 Power Mix'!MCU15)*860/10)+((('Form Sa1'!MCX835)*860)/10)+('Form Sa1'!MCX814*'Form Sa1'!MCX816/10)-'NF - 5 Power Mix'!MCU21-'NF - 5 Power Mix'!MCU22</f>
        <v>0</v>
      </c>
      <c r="MCV42" s="1046">
        <f>MCV38+((MCV40+'NF - 5 Power Mix'!MCV14+'NF - 5 Power Mix'!MCV15)*860/10)+((('Form Sa1'!MCY835)*860)/10)+('Form Sa1'!MCY814*'Form Sa1'!MCY816/10)-'NF - 5 Power Mix'!MCV21-'NF - 5 Power Mix'!MCV22</f>
        <v>0</v>
      </c>
      <c r="MCW42" s="1046">
        <f>MCW38+((MCW40+'NF - 5 Power Mix'!MCW14+'NF - 5 Power Mix'!MCW15)*860/10)+((('Form Sa1'!MCZ835)*860)/10)+('Form Sa1'!MCZ814*'Form Sa1'!MCZ816/10)-'NF - 5 Power Mix'!MCW21-'NF - 5 Power Mix'!MCW22</f>
        <v>0</v>
      </c>
      <c r="MCX42" s="1046">
        <f>MCX38+((MCX40+'NF - 5 Power Mix'!MCX14+'NF - 5 Power Mix'!MCX15)*860/10)+((('Form Sa1'!MDA835)*860)/10)+('Form Sa1'!MDA814*'Form Sa1'!MDA816/10)-'NF - 5 Power Mix'!MCX21-'NF - 5 Power Mix'!MCX22</f>
        <v>0</v>
      </c>
      <c r="MCY42" s="1046">
        <f>MCY38+((MCY40+'NF - 5 Power Mix'!MCY14+'NF - 5 Power Mix'!MCY15)*860/10)+((('Form Sa1'!MDB835)*860)/10)+('Form Sa1'!MDB814*'Form Sa1'!MDB816/10)-'NF - 5 Power Mix'!MCY21-'NF - 5 Power Mix'!MCY22</f>
        <v>0</v>
      </c>
      <c r="MCZ42" s="1046">
        <f>MCZ38+((MCZ40+'NF - 5 Power Mix'!MCZ14+'NF - 5 Power Mix'!MCZ15)*860/10)+((('Form Sa1'!MDC835)*860)/10)+('Form Sa1'!MDC814*'Form Sa1'!MDC816/10)-'NF - 5 Power Mix'!MCZ21-'NF - 5 Power Mix'!MCZ22</f>
        <v>0</v>
      </c>
      <c r="MDA42" s="1046">
        <f>MDA38+((MDA40+'NF - 5 Power Mix'!MDA14+'NF - 5 Power Mix'!MDA15)*860/10)+((('Form Sa1'!MDD835)*860)/10)+('Form Sa1'!MDD814*'Form Sa1'!MDD816/10)-'NF - 5 Power Mix'!MDA21-'NF - 5 Power Mix'!MDA22</f>
        <v>0</v>
      </c>
      <c r="MDB42" s="1046">
        <f>MDB38+((MDB40+'NF - 5 Power Mix'!MDB14+'NF - 5 Power Mix'!MDB15)*860/10)+((('Form Sa1'!MDE835)*860)/10)+('Form Sa1'!MDE814*'Form Sa1'!MDE816/10)-'NF - 5 Power Mix'!MDB21-'NF - 5 Power Mix'!MDB22</f>
        <v>0</v>
      </c>
      <c r="MDC42" s="1046">
        <f>MDC38+((MDC40+'NF - 5 Power Mix'!MDC14+'NF - 5 Power Mix'!MDC15)*860/10)+((('Form Sa1'!MDF835)*860)/10)+('Form Sa1'!MDF814*'Form Sa1'!MDF816/10)-'NF - 5 Power Mix'!MDC21-'NF - 5 Power Mix'!MDC22</f>
        <v>0</v>
      </c>
      <c r="MDD42" s="1046">
        <f>MDD38+((MDD40+'NF - 5 Power Mix'!MDD14+'NF - 5 Power Mix'!MDD15)*860/10)+((('Form Sa1'!MDG835)*860)/10)+('Form Sa1'!MDG814*'Form Sa1'!MDG816/10)-'NF - 5 Power Mix'!MDD21-'NF - 5 Power Mix'!MDD22</f>
        <v>0</v>
      </c>
      <c r="MDE42" s="1046">
        <f>MDE38+((MDE40+'NF - 5 Power Mix'!MDE14+'NF - 5 Power Mix'!MDE15)*860/10)+((('Form Sa1'!MDH835)*860)/10)+('Form Sa1'!MDH814*'Form Sa1'!MDH816/10)-'NF - 5 Power Mix'!MDE21-'NF - 5 Power Mix'!MDE22</f>
        <v>0</v>
      </c>
      <c r="MDF42" s="1046">
        <f>MDF38+((MDF40+'NF - 5 Power Mix'!MDF14+'NF - 5 Power Mix'!MDF15)*860/10)+((('Form Sa1'!MDI835)*860)/10)+('Form Sa1'!MDI814*'Form Sa1'!MDI816/10)-'NF - 5 Power Mix'!MDF21-'NF - 5 Power Mix'!MDF22</f>
        <v>0</v>
      </c>
      <c r="MDG42" s="1046">
        <f>MDG38+((MDG40+'NF - 5 Power Mix'!MDG14+'NF - 5 Power Mix'!MDG15)*860/10)+((('Form Sa1'!MDJ835)*860)/10)+('Form Sa1'!MDJ814*'Form Sa1'!MDJ816/10)-'NF - 5 Power Mix'!MDG21-'NF - 5 Power Mix'!MDG22</f>
        <v>0</v>
      </c>
      <c r="MDH42" s="1046">
        <f>MDH38+((MDH40+'NF - 5 Power Mix'!MDH14+'NF - 5 Power Mix'!MDH15)*860/10)+((('Form Sa1'!MDK835)*860)/10)+('Form Sa1'!MDK814*'Form Sa1'!MDK816/10)-'NF - 5 Power Mix'!MDH21-'NF - 5 Power Mix'!MDH22</f>
        <v>0</v>
      </c>
      <c r="MDI42" s="1046">
        <f>MDI38+((MDI40+'NF - 5 Power Mix'!MDI14+'NF - 5 Power Mix'!MDI15)*860/10)+((('Form Sa1'!MDL835)*860)/10)+('Form Sa1'!MDL814*'Form Sa1'!MDL816/10)-'NF - 5 Power Mix'!MDI21-'NF - 5 Power Mix'!MDI22</f>
        <v>0</v>
      </c>
      <c r="MDJ42" s="1046">
        <f>MDJ38+((MDJ40+'NF - 5 Power Mix'!MDJ14+'NF - 5 Power Mix'!MDJ15)*860/10)+((('Form Sa1'!MDM835)*860)/10)+('Form Sa1'!MDM814*'Form Sa1'!MDM816/10)-'NF - 5 Power Mix'!MDJ21-'NF - 5 Power Mix'!MDJ22</f>
        <v>0</v>
      </c>
      <c r="MDK42" s="1046">
        <f>MDK38+((MDK40+'NF - 5 Power Mix'!MDK14+'NF - 5 Power Mix'!MDK15)*860/10)+((('Form Sa1'!MDN835)*860)/10)+('Form Sa1'!MDN814*'Form Sa1'!MDN816/10)-'NF - 5 Power Mix'!MDK21-'NF - 5 Power Mix'!MDK22</f>
        <v>0</v>
      </c>
      <c r="MDL42" s="1046">
        <f>MDL38+((MDL40+'NF - 5 Power Mix'!MDL14+'NF - 5 Power Mix'!MDL15)*860/10)+((('Form Sa1'!MDO835)*860)/10)+('Form Sa1'!MDO814*'Form Sa1'!MDO816/10)-'NF - 5 Power Mix'!MDL21-'NF - 5 Power Mix'!MDL22</f>
        <v>0</v>
      </c>
      <c r="MDM42" s="1046">
        <f>MDM38+((MDM40+'NF - 5 Power Mix'!MDM14+'NF - 5 Power Mix'!MDM15)*860/10)+((('Form Sa1'!MDP835)*860)/10)+('Form Sa1'!MDP814*'Form Sa1'!MDP816/10)-'NF - 5 Power Mix'!MDM21-'NF - 5 Power Mix'!MDM22</f>
        <v>0</v>
      </c>
      <c r="MDN42" s="1046">
        <f>MDN38+((MDN40+'NF - 5 Power Mix'!MDN14+'NF - 5 Power Mix'!MDN15)*860/10)+((('Form Sa1'!MDQ835)*860)/10)+('Form Sa1'!MDQ814*'Form Sa1'!MDQ816/10)-'NF - 5 Power Mix'!MDN21-'NF - 5 Power Mix'!MDN22</f>
        <v>0</v>
      </c>
      <c r="MDO42" s="1046">
        <f>MDO38+((MDO40+'NF - 5 Power Mix'!MDO14+'NF - 5 Power Mix'!MDO15)*860/10)+((('Form Sa1'!MDR835)*860)/10)+('Form Sa1'!MDR814*'Form Sa1'!MDR816/10)-'NF - 5 Power Mix'!MDO21-'NF - 5 Power Mix'!MDO22</f>
        <v>0</v>
      </c>
      <c r="MDP42" s="1046">
        <f>MDP38+((MDP40+'NF - 5 Power Mix'!MDP14+'NF - 5 Power Mix'!MDP15)*860/10)+((('Form Sa1'!MDS835)*860)/10)+('Form Sa1'!MDS814*'Form Sa1'!MDS816/10)-'NF - 5 Power Mix'!MDP21-'NF - 5 Power Mix'!MDP22</f>
        <v>0</v>
      </c>
      <c r="MDQ42" s="1046">
        <f>MDQ38+((MDQ40+'NF - 5 Power Mix'!MDQ14+'NF - 5 Power Mix'!MDQ15)*860/10)+((('Form Sa1'!MDT835)*860)/10)+('Form Sa1'!MDT814*'Form Sa1'!MDT816/10)-'NF - 5 Power Mix'!MDQ21-'NF - 5 Power Mix'!MDQ22</f>
        <v>0</v>
      </c>
      <c r="MDR42" s="1046">
        <f>MDR38+((MDR40+'NF - 5 Power Mix'!MDR14+'NF - 5 Power Mix'!MDR15)*860/10)+((('Form Sa1'!MDU835)*860)/10)+('Form Sa1'!MDU814*'Form Sa1'!MDU816/10)-'NF - 5 Power Mix'!MDR21-'NF - 5 Power Mix'!MDR22</f>
        <v>0</v>
      </c>
      <c r="MDS42" s="1046">
        <f>MDS38+((MDS40+'NF - 5 Power Mix'!MDS14+'NF - 5 Power Mix'!MDS15)*860/10)+((('Form Sa1'!MDV835)*860)/10)+('Form Sa1'!MDV814*'Form Sa1'!MDV816/10)-'NF - 5 Power Mix'!MDS21-'NF - 5 Power Mix'!MDS22</f>
        <v>0</v>
      </c>
      <c r="MDT42" s="1046">
        <f>MDT38+((MDT40+'NF - 5 Power Mix'!MDT14+'NF - 5 Power Mix'!MDT15)*860/10)+((('Form Sa1'!MDW835)*860)/10)+('Form Sa1'!MDW814*'Form Sa1'!MDW816/10)-'NF - 5 Power Mix'!MDT21-'NF - 5 Power Mix'!MDT22</f>
        <v>0</v>
      </c>
      <c r="MDU42" s="1046">
        <f>MDU38+((MDU40+'NF - 5 Power Mix'!MDU14+'NF - 5 Power Mix'!MDU15)*860/10)+((('Form Sa1'!MDX835)*860)/10)+('Form Sa1'!MDX814*'Form Sa1'!MDX816/10)-'NF - 5 Power Mix'!MDU21-'NF - 5 Power Mix'!MDU22</f>
        <v>0</v>
      </c>
      <c r="MDV42" s="1046">
        <f>MDV38+((MDV40+'NF - 5 Power Mix'!MDV14+'NF - 5 Power Mix'!MDV15)*860/10)+((('Form Sa1'!MDY835)*860)/10)+('Form Sa1'!MDY814*'Form Sa1'!MDY816/10)-'NF - 5 Power Mix'!MDV21-'NF - 5 Power Mix'!MDV22</f>
        <v>0</v>
      </c>
      <c r="MDW42" s="1046">
        <f>MDW38+((MDW40+'NF - 5 Power Mix'!MDW14+'NF - 5 Power Mix'!MDW15)*860/10)+((('Form Sa1'!MDZ835)*860)/10)+('Form Sa1'!MDZ814*'Form Sa1'!MDZ816/10)-'NF - 5 Power Mix'!MDW21-'NF - 5 Power Mix'!MDW22</f>
        <v>0</v>
      </c>
      <c r="MDX42" s="1046">
        <f>MDX38+((MDX40+'NF - 5 Power Mix'!MDX14+'NF - 5 Power Mix'!MDX15)*860/10)+((('Form Sa1'!MEA835)*860)/10)+('Form Sa1'!MEA814*'Form Sa1'!MEA816/10)-'NF - 5 Power Mix'!MDX21-'NF - 5 Power Mix'!MDX22</f>
        <v>0</v>
      </c>
      <c r="MDY42" s="1046">
        <f>MDY38+((MDY40+'NF - 5 Power Mix'!MDY14+'NF - 5 Power Mix'!MDY15)*860/10)+((('Form Sa1'!MEB835)*860)/10)+('Form Sa1'!MEB814*'Form Sa1'!MEB816/10)-'NF - 5 Power Mix'!MDY21-'NF - 5 Power Mix'!MDY22</f>
        <v>0</v>
      </c>
      <c r="MDZ42" s="1046">
        <f>MDZ38+((MDZ40+'NF - 5 Power Mix'!MDZ14+'NF - 5 Power Mix'!MDZ15)*860/10)+((('Form Sa1'!MEC835)*860)/10)+('Form Sa1'!MEC814*'Form Sa1'!MEC816/10)-'NF - 5 Power Mix'!MDZ21-'NF - 5 Power Mix'!MDZ22</f>
        <v>0</v>
      </c>
      <c r="MEA42" s="1046">
        <f>MEA38+((MEA40+'NF - 5 Power Mix'!MEA14+'NF - 5 Power Mix'!MEA15)*860/10)+((('Form Sa1'!MED835)*860)/10)+('Form Sa1'!MED814*'Form Sa1'!MED816/10)-'NF - 5 Power Mix'!MEA21-'NF - 5 Power Mix'!MEA22</f>
        <v>0</v>
      </c>
      <c r="MEB42" s="1046">
        <f>MEB38+((MEB40+'NF - 5 Power Mix'!MEB14+'NF - 5 Power Mix'!MEB15)*860/10)+((('Form Sa1'!MEE835)*860)/10)+('Form Sa1'!MEE814*'Form Sa1'!MEE816/10)-'NF - 5 Power Mix'!MEB21-'NF - 5 Power Mix'!MEB22</f>
        <v>0</v>
      </c>
      <c r="MEC42" s="1046">
        <f>MEC38+((MEC40+'NF - 5 Power Mix'!MEC14+'NF - 5 Power Mix'!MEC15)*860/10)+((('Form Sa1'!MEF835)*860)/10)+('Form Sa1'!MEF814*'Form Sa1'!MEF816/10)-'NF - 5 Power Mix'!MEC21-'NF - 5 Power Mix'!MEC22</f>
        <v>0</v>
      </c>
      <c r="MED42" s="1046">
        <f>MED38+((MED40+'NF - 5 Power Mix'!MED14+'NF - 5 Power Mix'!MED15)*860/10)+((('Form Sa1'!MEG835)*860)/10)+('Form Sa1'!MEG814*'Form Sa1'!MEG816/10)-'NF - 5 Power Mix'!MED21-'NF - 5 Power Mix'!MED22</f>
        <v>0</v>
      </c>
      <c r="MEE42" s="1046">
        <f>MEE38+((MEE40+'NF - 5 Power Mix'!MEE14+'NF - 5 Power Mix'!MEE15)*860/10)+((('Form Sa1'!MEH835)*860)/10)+('Form Sa1'!MEH814*'Form Sa1'!MEH816/10)-'NF - 5 Power Mix'!MEE21-'NF - 5 Power Mix'!MEE22</f>
        <v>0</v>
      </c>
      <c r="MEF42" s="1046">
        <f>MEF38+((MEF40+'NF - 5 Power Mix'!MEF14+'NF - 5 Power Mix'!MEF15)*860/10)+((('Form Sa1'!MEI835)*860)/10)+('Form Sa1'!MEI814*'Form Sa1'!MEI816/10)-'NF - 5 Power Mix'!MEF21-'NF - 5 Power Mix'!MEF22</f>
        <v>0</v>
      </c>
      <c r="MEG42" s="1046">
        <f>MEG38+((MEG40+'NF - 5 Power Mix'!MEG14+'NF - 5 Power Mix'!MEG15)*860/10)+((('Form Sa1'!MEJ835)*860)/10)+('Form Sa1'!MEJ814*'Form Sa1'!MEJ816/10)-'NF - 5 Power Mix'!MEG21-'NF - 5 Power Mix'!MEG22</f>
        <v>0</v>
      </c>
      <c r="MEH42" s="1046">
        <f>MEH38+((MEH40+'NF - 5 Power Mix'!MEH14+'NF - 5 Power Mix'!MEH15)*860/10)+((('Form Sa1'!MEK835)*860)/10)+('Form Sa1'!MEK814*'Form Sa1'!MEK816/10)-'NF - 5 Power Mix'!MEH21-'NF - 5 Power Mix'!MEH22</f>
        <v>0</v>
      </c>
      <c r="MEI42" s="1046">
        <f>MEI38+((MEI40+'NF - 5 Power Mix'!MEI14+'NF - 5 Power Mix'!MEI15)*860/10)+((('Form Sa1'!MEL835)*860)/10)+('Form Sa1'!MEL814*'Form Sa1'!MEL816/10)-'NF - 5 Power Mix'!MEI21-'NF - 5 Power Mix'!MEI22</f>
        <v>0</v>
      </c>
      <c r="MEJ42" s="1046">
        <f>MEJ38+((MEJ40+'NF - 5 Power Mix'!MEJ14+'NF - 5 Power Mix'!MEJ15)*860/10)+((('Form Sa1'!MEM835)*860)/10)+('Form Sa1'!MEM814*'Form Sa1'!MEM816/10)-'NF - 5 Power Mix'!MEJ21-'NF - 5 Power Mix'!MEJ22</f>
        <v>0</v>
      </c>
      <c r="MEK42" s="1046">
        <f>MEK38+((MEK40+'NF - 5 Power Mix'!MEK14+'NF - 5 Power Mix'!MEK15)*860/10)+((('Form Sa1'!MEN835)*860)/10)+('Form Sa1'!MEN814*'Form Sa1'!MEN816/10)-'NF - 5 Power Mix'!MEK21-'NF - 5 Power Mix'!MEK22</f>
        <v>0</v>
      </c>
      <c r="MEL42" s="1046">
        <f>MEL38+((MEL40+'NF - 5 Power Mix'!MEL14+'NF - 5 Power Mix'!MEL15)*860/10)+((('Form Sa1'!MEO835)*860)/10)+('Form Sa1'!MEO814*'Form Sa1'!MEO816/10)-'NF - 5 Power Mix'!MEL21-'NF - 5 Power Mix'!MEL22</f>
        <v>0</v>
      </c>
      <c r="MEM42" s="1046">
        <f>MEM38+((MEM40+'NF - 5 Power Mix'!MEM14+'NF - 5 Power Mix'!MEM15)*860/10)+((('Form Sa1'!MEP835)*860)/10)+('Form Sa1'!MEP814*'Form Sa1'!MEP816/10)-'NF - 5 Power Mix'!MEM21-'NF - 5 Power Mix'!MEM22</f>
        <v>0</v>
      </c>
      <c r="MEN42" s="1046">
        <f>MEN38+((MEN40+'NF - 5 Power Mix'!MEN14+'NF - 5 Power Mix'!MEN15)*860/10)+((('Form Sa1'!MEQ835)*860)/10)+('Form Sa1'!MEQ814*'Form Sa1'!MEQ816/10)-'NF - 5 Power Mix'!MEN21-'NF - 5 Power Mix'!MEN22</f>
        <v>0</v>
      </c>
      <c r="MEO42" s="1046">
        <f>MEO38+((MEO40+'NF - 5 Power Mix'!MEO14+'NF - 5 Power Mix'!MEO15)*860/10)+((('Form Sa1'!MER835)*860)/10)+('Form Sa1'!MER814*'Form Sa1'!MER816/10)-'NF - 5 Power Mix'!MEO21-'NF - 5 Power Mix'!MEO22</f>
        <v>0</v>
      </c>
      <c r="MEP42" s="1046">
        <f>MEP38+((MEP40+'NF - 5 Power Mix'!MEP14+'NF - 5 Power Mix'!MEP15)*860/10)+((('Form Sa1'!MES835)*860)/10)+('Form Sa1'!MES814*'Form Sa1'!MES816/10)-'NF - 5 Power Mix'!MEP21-'NF - 5 Power Mix'!MEP22</f>
        <v>0</v>
      </c>
      <c r="MEQ42" s="1046">
        <f>MEQ38+((MEQ40+'NF - 5 Power Mix'!MEQ14+'NF - 5 Power Mix'!MEQ15)*860/10)+((('Form Sa1'!MET835)*860)/10)+('Form Sa1'!MET814*'Form Sa1'!MET816/10)-'NF - 5 Power Mix'!MEQ21-'NF - 5 Power Mix'!MEQ22</f>
        <v>0</v>
      </c>
      <c r="MER42" s="1046">
        <f>MER38+((MER40+'NF - 5 Power Mix'!MER14+'NF - 5 Power Mix'!MER15)*860/10)+((('Form Sa1'!MEU835)*860)/10)+('Form Sa1'!MEU814*'Form Sa1'!MEU816/10)-'NF - 5 Power Mix'!MER21-'NF - 5 Power Mix'!MER22</f>
        <v>0</v>
      </c>
      <c r="MES42" s="1046">
        <f>MES38+((MES40+'NF - 5 Power Mix'!MES14+'NF - 5 Power Mix'!MES15)*860/10)+((('Form Sa1'!MEV835)*860)/10)+('Form Sa1'!MEV814*'Form Sa1'!MEV816/10)-'NF - 5 Power Mix'!MES21-'NF - 5 Power Mix'!MES22</f>
        <v>0</v>
      </c>
      <c r="MET42" s="1046">
        <f>MET38+((MET40+'NF - 5 Power Mix'!MET14+'NF - 5 Power Mix'!MET15)*860/10)+((('Form Sa1'!MEW835)*860)/10)+('Form Sa1'!MEW814*'Form Sa1'!MEW816/10)-'NF - 5 Power Mix'!MET21-'NF - 5 Power Mix'!MET22</f>
        <v>0</v>
      </c>
      <c r="MEU42" s="1046">
        <f>MEU38+((MEU40+'NF - 5 Power Mix'!MEU14+'NF - 5 Power Mix'!MEU15)*860/10)+((('Form Sa1'!MEX835)*860)/10)+('Form Sa1'!MEX814*'Form Sa1'!MEX816/10)-'NF - 5 Power Mix'!MEU21-'NF - 5 Power Mix'!MEU22</f>
        <v>0</v>
      </c>
      <c r="MEV42" s="1046">
        <f>MEV38+((MEV40+'NF - 5 Power Mix'!MEV14+'NF - 5 Power Mix'!MEV15)*860/10)+((('Form Sa1'!MEY835)*860)/10)+('Form Sa1'!MEY814*'Form Sa1'!MEY816/10)-'NF - 5 Power Mix'!MEV21-'NF - 5 Power Mix'!MEV22</f>
        <v>0</v>
      </c>
      <c r="MEW42" s="1046">
        <f>MEW38+((MEW40+'NF - 5 Power Mix'!MEW14+'NF - 5 Power Mix'!MEW15)*860/10)+((('Form Sa1'!MEZ835)*860)/10)+('Form Sa1'!MEZ814*'Form Sa1'!MEZ816/10)-'NF - 5 Power Mix'!MEW21-'NF - 5 Power Mix'!MEW22</f>
        <v>0</v>
      </c>
      <c r="MEX42" s="1046">
        <f>MEX38+((MEX40+'NF - 5 Power Mix'!MEX14+'NF - 5 Power Mix'!MEX15)*860/10)+((('Form Sa1'!MFA835)*860)/10)+('Form Sa1'!MFA814*'Form Sa1'!MFA816/10)-'NF - 5 Power Mix'!MEX21-'NF - 5 Power Mix'!MEX22</f>
        <v>0</v>
      </c>
      <c r="MEY42" s="1046">
        <f>MEY38+((MEY40+'NF - 5 Power Mix'!MEY14+'NF - 5 Power Mix'!MEY15)*860/10)+((('Form Sa1'!MFB835)*860)/10)+('Form Sa1'!MFB814*'Form Sa1'!MFB816/10)-'NF - 5 Power Mix'!MEY21-'NF - 5 Power Mix'!MEY22</f>
        <v>0</v>
      </c>
      <c r="MEZ42" s="1046">
        <f>MEZ38+((MEZ40+'NF - 5 Power Mix'!MEZ14+'NF - 5 Power Mix'!MEZ15)*860/10)+((('Form Sa1'!MFC835)*860)/10)+('Form Sa1'!MFC814*'Form Sa1'!MFC816/10)-'NF - 5 Power Mix'!MEZ21-'NF - 5 Power Mix'!MEZ22</f>
        <v>0</v>
      </c>
      <c r="MFA42" s="1046">
        <f>MFA38+((MFA40+'NF - 5 Power Mix'!MFA14+'NF - 5 Power Mix'!MFA15)*860/10)+((('Form Sa1'!MFD835)*860)/10)+('Form Sa1'!MFD814*'Form Sa1'!MFD816/10)-'NF - 5 Power Mix'!MFA21-'NF - 5 Power Mix'!MFA22</f>
        <v>0</v>
      </c>
      <c r="MFB42" s="1046">
        <f>MFB38+((MFB40+'NF - 5 Power Mix'!MFB14+'NF - 5 Power Mix'!MFB15)*860/10)+((('Form Sa1'!MFE835)*860)/10)+('Form Sa1'!MFE814*'Form Sa1'!MFE816/10)-'NF - 5 Power Mix'!MFB21-'NF - 5 Power Mix'!MFB22</f>
        <v>0</v>
      </c>
      <c r="MFC42" s="1046">
        <f>MFC38+((MFC40+'NF - 5 Power Mix'!MFC14+'NF - 5 Power Mix'!MFC15)*860/10)+((('Form Sa1'!MFF835)*860)/10)+('Form Sa1'!MFF814*'Form Sa1'!MFF816/10)-'NF - 5 Power Mix'!MFC21-'NF - 5 Power Mix'!MFC22</f>
        <v>0</v>
      </c>
      <c r="MFD42" s="1046">
        <f>MFD38+((MFD40+'NF - 5 Power Mix'!MFD14+'NF - 5 Power Mix'!MFD15)*860/10)+((('Form Sa1'!MFG835)*860)/10)+('Form Sa1'!MFG814*'Form Sa1'!MFG816/10)-'NF - 5 Power Mix'!MFD21-'NF - 5 Power Mix'!MFD22</f>
        <v>0</v>
      </c>
      <c r="MFE42" s="1046">
        <f>MFE38+((MFE40+'NF - 5 Power Mix'!MFE14+'NF - 5 Power Mix'!MFE15)*860/10)+((('Form Sa1'!MFH835)*860)/10)+('Form Sa1'!MFH814*'Form Sa1'!MFH816/10)-'NF - 5 Power Mix'!MFE21-'NF - 5 Power Mix'!MFE22</f>
        <v>0</v>
      </c>
      <c r="MFF42" s="1046">
        <f>MFF38+((MFF40+'NF - 5 Power Mix'!MFF14+'NF - 5 Power Mix'!MFF15)*860/10)+((('Form Sa1'!MFI835)*860)/10)+('Form Sa1'!MFI814*'Form Sa1'!MFI816/10)-'NF - 5 Power Mix'!MFF21-'NF - 5 Power Mix'!MFF22</f>
        <v>0</v>
      </c>
      <c r="MFG42" s="1046">
        <f>MFG38+((MFG40+'NF - 5 Power Mix'!MFG14+'NF - 5 Power Mix'!MFG15)*860/10)+((('Form Sa1'!MFJ835)*860)/10)+('Form Sa1'!MFJ814*'Form Sa1'!MFJ816/10)-'NF - 5 Power Mix'!MFG21-'NF - 5 Power Mix'!MFG22</f>
        <v>0</v>
      </c>
      <c r="MFH42" s="1046">
        <f>MFH38+((MFH40+'NF - 5 Power Mix'!MFH14+'NF - 5 Power Mix'!MFH15)*860/10)+((('Form Sa1'!MFK835)*860)/10)+('Form Sa1'!MFK814*'Form Sa1'!MFK816/10)-'NF - 5 Power Mix'!MFH21-'NF - 5 Power Mix'!MFH22</f>
        <v>0</v>
      </c>
      <c r="MFI42" s="1046">
        <f>MFI38+((MFI40+'NF - 5 Power Mix'!MFI14+'NF - 5 Power Mix'!MFI15)*860/10)+((('Form Sa1'!MFL835)*860)/10)+('Form Sa1'!MFL814*'Form Sa1'!MFL816/10)-'NF - 5 Power Mix'!MFI21-'NF - 5 Power Mix'!MFI22</f>
        <v>0</v>
      </c>
      <c r="MFJ42" s="1046">
        <f>MFJ38+((MFJ40+'NF - 5 Power Mix'!MFJ14+'NF - 5 Power Mix'!MFJ15)*860/10)+((('Form Sa1'!MFM835)*860)/10)+('Form Sa1'!MFM814*'Form Sa1'!MFM816/10)-'NF - 5 Power Mix'!MFJ21-'NF - 5 Power Mix'!MFJ22</f>
        <v>0</v>
      </c>
      <c r="MFK42" s="1046">
        <f>MFK38+((MFK40+'NF - 5 Power Mix'!MFK14+'NF - 5 Power Mix'!MFK15)*860/10)+((('Form Sa1'!MFN835)*860)/10)+('Form Sa1'!MFN814*'Form Sa1'!MFN816/10)-'NF - 5 Power Mix'!MFK21-'NF - 5 Power Mix'!MFK22</f>
        <v>0</v>
      </c>
      <c r="MFL42" s="1046">
        <f>MFL38+((MFL40+'NF - 5 Power Mix'!MFL14+'NF - 5 Power Mix'!MFL15)*860/10)+((('Form Sa1'!MFO835)*860)/10)+('Form Sa1'!MFO814*'Form Sa1'!MFO816/10)-'NF - 5 Power Mix'!MFL21-'NF - 5 Power Mix'!MFL22</f>
        <v>0</v>
      </c>
      <c r="MFM42" s="1046">
        <f>MFM38+((MFM40+'NF - 5 Power Mix'!MFM14+'NF - 5 Power Mix'!MFM15)*860/10)+((('Form Sa1'!MFP835)*860)/10)+('Form Sa1'!MFP814*'Form Sa1'!MFP816/10)-'NF - 5 Power Mix'!MFM21-'NF - 5 Power Mix'!MFM22</f>
        <v>0</v>
      </c>
      <c r="MFN42" s="1046">
        <f>MFN38+((MFN40+'NF - 5 Power Mix'!MFN14+'NF - 5 Power Mix'!MFN15)*860/10)+((('Form Sa1'!MFQ835)*860)/10)+('Form Sa1'!MFQ814*'Form Sa1'!MFQ816/10)-'NF - 5 Power Mix'!MFN21-'NF - 5 Power Mix'!MFN22</f>
        <v>0</v>
      </c>
      <c r="MFO42" s="1046">
        <f>MFO38+((MFO40+'NF - 5 Power Mix'!MFO14+'NF - 5 Power Mix'!MFO15)*860/10)+((('Form Sa1'!MFR835)*860)/10)+('Form Sa1'!MFR814*'Form Sa1'!MFR816/10)-'NF - 5 Power Mix'!MFO21-'NF - 5 Power Mix'!MFO22</f>
        <v>0</v>
      </c>
      <c r="MFP42" s="1046">
        <f>MFP38+((MFP40+'NF - 5 Power Mix'!MFP14+'NF - 5 Power Mix'!MFP15)*860/10)+((('Form Sa1'!MFS835)*860)/10)+('Form Sa1'!MFS814*'Form Sa1'!MFS816/10)-'NF - 5 Power Mix'!MFP21-'NF - 5 Power Mix'!MFP22</f>
        <v>0</v>
      </c>
      <c r="MFQ42" s="1046">
        <f>MFQ38+((MFQ40+'NF - 5 Power Mix'!MFQ14+'NF - 5 Power Mix'!MFQ15)*860/10)+((('Form Sa1'!MFT835)*860)/10)+('Form Sa1'!MFT814*'Form Sa1'!MFT816/10)-'NF - 5 Power Mix'!MFQ21-'NF - 5 Power Mix'!MFQ22</f>
        <v>0</v>
      </c>
      <c r="MFR42" s="1046">
        <f>MFR38+((MFR40+'NF - 5 Power Mix'!MFR14+'NF - 5 Power Mix'!MFR15)*860/10)+((('Form Sa1'!MFU835)*860)/10)+('Form Sa1'!MFU814*'Form Sa1'!MFU816/10)-'NF - 5 Power Mix'!MFR21-'NF - 5 Power Mix'!MFR22</f>
        <v>0</v>
      </c>
      <c r="MFS42" s="1046">
        <f>MFS38+((MFS40+'NF - 5 Power Mix'!MFS14+'NF - 5 Power Mix'!MFS15)*860/10)+((('Form Sa1'!MFV835)*860)/10)+('Form Sa1'!MFV814*'Form Sa1'!MFV816/10)-'NF - 5 Power Mix'!MFS21-'NF - 5 Power Mix'!MFS22</f>
        <v>0</v>
      </c>
      <c r="MFT42" s="1046">
        <f>MFT38+((MFT40+'NF - 5 Power Mix'!MFT14+'NF - 5 Power Mix'!MFT15)*860/10)+((('Form Sa1'!MFW835)*860)/10)+('Form Sa1'!MFW814*'Form Sa1'!MFW816/10)-'NF - 5 Power Mix'!MFT21-'NF - 5 Power Mix'!MFT22</f>
        <v>0</v>
      </c>
      <c r="MFU42" s="1046">
        <f>MFU38+((MFU40+'NF - 5 Power Mix'!MFU14+'NF - 5 Power Mix'!MFU15)*860/10)+((('Form Sa1'!MFX835)*860)/10)+('Form Sa1'!MFX814*'Form Sa1'!MFX816/10)-'NF - 5 Power Mix'!MFU21-'NF - 5 Power Mix'!MFU22</f>
        <v>0</v>
      </c>
      <c r="MFV42" s="1046">
        <f>MFV38+((MFV40+'NF - 5 Power Mix'!MFV14+'NF - 5 Power Mix'!MFV15)*860/10)+((('Form Sa1'!MFY835)*860)/10)+('Form Sa1'!MFY814*'Form Sa1'!MFY816/10)-'NF - 5 Power Mix'!MFV21-'NF - 5 Power Mix'!MFV22</f>
        <v>0</v>
      </c>
      <c r="MFW42" s="1046">
        <f>MFW38+((MFW40+'NF - 5 Power Mix'!MFW14+'NF - 5 Power Mix'!MFW15)*860/10)+((('Form Sa1'!MFZ835)*860)/10)+('Form Sa1'!MFZ814*'Form Sa1'!MFZ816/10)-'NF - 5 Power Mix'!MFW21-'NF - 5 Power Mix'!MFW22</f>
        <v>0</v>
      </c>
      <c r="MFX42" s="1046">
        <f>MFX38+((MFX40+'NF - 5 Power Mix'!MFX14+'NF - 5 Power Mix'!MFX15)*860/10)+((('Form Sa1'!MGA835)*860)/10)+('Form Sa1'!MGA814*'Form Sa1'!MGA816/10)-'NF - 5 Power Mix'!MFX21-'NF - 5 Power Mix'!MFX22</f>
        <v>0</v>
      </c>
      <c r="MFY42" s="1046">
        <f>MFY38+((MFY40+'NF - 5 Power Mix'!MFY14+'NF - 5 Power Mix'!MFY15)*860/10)+((('Form Sa1'!MGB835)*860)/10)+('Form Sa1'!MGB814*'Form Sa1'!MGB816/10)-'NF - 5 Power Mix'!MFY21-'NF - 5 Power Mix'!MFY22</f>
        <v>0</v>
      </c>
      <c r="MFZ42" s="1046">
        <f>MFZ38+((MFZ40+'NF - 5 Power Mix'!MFZ14+'NF - 5 Power Mix'!MFZ15)*860/10)+((('Form Sa1'!MGC835)*860)/10)+('Form Sa1'!MGC814*'Form Sa1'!MGC816/10)-'NF - 5 Power Mix'!MFZ21-'NF - 5 Power Mix'!MFZ22</f>
        <v>0</v>
      </c>
      <c r="MGA42" s="1046">
        <f>MGA38+((MGA40+'NF - 5 Power Mix'!MGA14+'NF - 5 Power Mix'!MGA15)*860/10)+((('Form Sa1'!MGD835)*860)/10)+('Form Sa1'!MGD814*'Form Sa1'!MGD816/10)-'NF - 5 Power Mix'!MGA21-'NF - 5 Power Mix'!MGA22</f>
        <v>0</v>
      </c>
      <c r="MGB42" s="1046">
        <f>MGB38+((MGB40+'NF - 5 Power Mix'!MGB14+'NF - 5 Power Mix'!MGB15)*860/10)+((('Form Sa1'!MGE835)*860)/10)+('Form Sa1'!MGE814*'Form Sa1'!MGE816/10)-'NF - 5 Power Mix'!MGB21-'NF - 5 Power Mix'!MGB22</f>
        <v>0</v>
      </c>
      <c r="MGC42" s="1046">
        <f>MGC38+((MGC40+'NF - 5 Power Mix'!MGC14+'NF - 5 Power Mix'!MGC15)*860/10)+((('Form Sa1'!MGF835)*860)/10)+('Form Sa1'!MGF814*'Form Sa1'!MGF816/10)-'NF - 5 Power Mix'!MGC21-'NF - 5 Power Mix'!MGC22</f>
        <v>0</v>
      </c>
      <c r="MGD42" s="1046">
        <f>MGD38+((MGD40+'NF - 5 Power Mix'!MGD14+'NF - 5 Power Mix'!MGD15)*860/10)+((('Form Sa1'!MGG835)*860)/10)+('Form Sa1'!MGG814*'Form Sa1'!MGG816/10)-'NF - 5 Power Mix'!MGD21-'NF - 5 Power Mix'!MGD22</f>
        <v>0</v>
      </c>
      <c r="MGE42" s="1046">
        <f>MGE38+((MGE40+'NF - 5 Power Mix'!MGE14+'NF - 5 Power Mix'!MGE15)*860/10)+((('Form Sa1'!MGH835)*860)/10)+('Form Sa1'!MGH814*'Form Sa1'!MGH816/10)-'NF - 5 Power Mix'!MGE21-'NF - 5 Power Mix'!MGE22</f>
        <v>0</v>
      </c>
      <c r="MGF42" s="1046">
        <f>MGF38+((MGF40+'NF - 5 Power Mix'!MGF14+'NF - 5 Power Mix'!MGF15)*860/10)+((('Form Sa1'!MGI835)*860)/10)+('Form Sa1'!MGI814*'Form Sa1'!MGI816/10)-'NF - 5 Power Mix'!MGF21-'NF - 5 Power Mix'!MGF22</f>
        <v>0</v>
      </c>
      <c r="MGG42" s="1046">
        <f>MGG38+((MGG40+'NF - 5 Power Mix'!MGG14+'NF - 5 Power Mix'!MGG15)*860/10)+((('Form Sa1'!MGJ835)*860)/10)+('Form Sa1'!MGJ814*'Form Sa1'!MGJ816/10)-'NF - 5 Power Mix'!MGG21-'NF - 5 Power Mix'!MGG22</f>
        <v>0</v>
      </c>
      <c r="MGH42" s="1046">
        <f>MGH38+((MGH40+'NF - 5 Power Mix'!MGH14+'NF - 5 Power Mix'!MGH15)*860/10)+((('Form Sa1'!MGK835)*860)/10)+('Form Sa1'!MGK814*'Form Sa1'!MGK816/10)-'NF - 5 Power Mix'!MGH21-'NF - 5 Power Mix'!MGH22</f>
        <v>0</v>
      </c>
      <c r="MGI42" s="1046">
        <f>MGI38+((MGI40+'NF - 5 Power Mix'!MGI14+'NF - 5 Power Mix'!MGI15)*860/10)+((('Form Sa1'!MGL835)*860)/10)+('Form Sa1'!MGL814*'Form Sa1'!MGL816/10)-'NF - 5 Power Mix'!MGI21-'NF - 5 Power Mix'!MGI22</f>
        <v>0</v>
      </c>
      <c r="MGJ42" s="1046">
        <f>MGJ38+((MGJ40+'NF - 5 Power Mix'!MGJ14+'NF - 5 Power Mix'!MGJ15)*860/10)+((('Form Sa1'!MGM835)*860)/10)+('Form Sa1'!MGM814*'Form Sa1'!MGM816/10)-'NF - 5 Power Mix'!MGJ21-'NF - 5 Power Mix'!MGJ22</f>
        <v>0</v>
      </c>
      <c r="MGK42" s="1046">
        <f>MGK38+((MGK40+'NF - 5 Power Mix'!MGK14+'NF - 5 Power Mix'!MGK15)*860/10)+((('Form Sa1'!MGN835)*860)/10)+('Form Sa1'!MGN814*'Form Sa1'!MGN816/10)-'NF - 5 Power Mix'!MGK21-'NF - 5 Power Mix'!MGK22</f>
        <v>0</v>
      </c>
      <c r="MGL42" s="1046">
        <f>MGL38+((MGL40+'NF - 5 Power Mix'!MGL14+'NF - 5 Power Mix'!MGL15)*860/10)+((('Form Sa1'!MGO835)*860)/10)+('Form Sa1'!MGO814*'Form Sa1'!MGO816/10)-'NF - 5 Power Mix'!MGL21-'NF - 5 Power Mix'!MGL22</f>
        <v>0</v>
      </c>
      <c r="MGM42" s="1046">
        <f>MGM38+((MGM40+'NF - 5 Power Mix'!MGM14+'NF - 5 Power Mix'!MGM15)*860/10)+((('Form Sa1'!MGP835)*860)/10)+('Form Sa1'!MGP814*'Form Sa1'!MGP816/10)-'NF - 5 Power Mix'!MGM21-'NF - 5 Power Mix'!MGM22</f>
        <v>0</v>
      </c>
      <c r="MGN42" s="1046">
        <f>MGN38+((MGN40+'NF - 5 Power Mix'!MGN14+'NF - 5 Power Mix'!MGN15)*860/10)+((('Form Sa1'!MGQ835)*860)/10)+('Form Sa1'!MGQ814*'Form Sa1'!MGQ816/10)-'NF - 5 Power Mix'!MGN21-'NF - 5 Power Mix'!MGN22</f>
        <v>0</v>
      </c>
      <c r="MGO42" s="1046">
        <f>MGO38+((MGO40+'NF - 5 Power Mix'!MGO14+'NF - 5 Power Mix'!MGO15)*860/10)+((('Form Sa1'!MGR835)*860)/10)+('Form Sa1'!MGR814*'Form Sa1'!MGR816/10)-'NF - 5 Power Mix'!MGO21-'NF - 5 Power Mix'!MGO22</f>
        <v>0</v>
      </c>
      <c r="MGP42" s="1046">
        <f>MGP38+((MGP40+'NF - 5 Power Mix'!MGP14+'NF - 5 Power Mix'!MGP15)*860/10)+((('Form Sa1'!MGS835)*860)/10)+('Form Sa1'!MGS814*'Form Sa1'!MGS816/10)-'NF - 5 Power Mix'!MGP21-'NF - 5 Power Mix'!MGP22</f>
        <v>0</v>
      </c>
      <c r="MGQ42" s="1046">
        <f>MGQ38+((MGQ40+'NF - 5 Power Mix'!MGQ14+'NF - 5 Power Mix'!MGQ15)*860/10)+((('Form Sa1'!MGT835)*860)/10)+('Form Sa1'!MGT814*'Form Sa1'!MGT816/10)-'NF - 5 Power Mix'!MGQ21-'NF - 5 Power Mix'!MGQ22</f>
        <v>0</v>
      </c>
      <c r="MGR42" s="1046">
        <f>MGR38+((MGR40+'NF - 5 Power Mix'!MGR14+'NF - 5 Power Mix'!MGR15)*860/10)+((('Form Sa1'!MGU835)*860)/10)+('Form Sa1'!MGU814*'Form Sa1'!MGU816/10)-'NF - 5 Power Mix'!MGR21-'NF - 5 Power Mix'!MGR22</f>
        <v>0</v>
      </c>
      <c r="MGS42" s="1046">
        <f>MGS38+((MGS40+'NF - 5 Power Mix'!MGS14+'NF - 5 Power Mix'!MGS15)*860/10)+((('Form Sa1'!MGV835)*860)/10)+('Form Sa1'!MGV814*'Form Sa1'!MGV816/10)-'NF - 5 Power Mix'!MGS21-'NF - 5 Power Mix'!MGS22</f>
        <v>0</v>
      </c>
      <c r="MGT42" s="1046">
        <f>MGT38+((MGT40+'NF - 5 Power Mix'!MGT14+'NF - 5 Power Mix'!MGT15)*860/10)+((('Form Sa1'!MGW835)*860)/10)+('Form Sa1'!MGW814*'Form Sa1'!MGW816/10)-'NF - 5 Power Mix'!MGT21-'NF - 5 Power Mix'!MGT22</f>
        <v>0</v>
      </c>
      <c r="MGU42" s="1046">
        <f>MGU38+((MGU40+'NF - 5 Power Mix'!MGU14+'NF - 5 Power Mix'!MGU15)*860/10)+((('Form Sa1'!MGX835)*860)/10)+('Form Sa1'!MGX814*'Form Sa1'!MGX816/10)-'NF - 5 Power Mix'!MGU21-'NF - 5 Power Mix'!MGU22</f>
        <v>0</v>
      </c>
      <c r="MGV42" s="1046">
        <f>MGV38+((MGV40+'NF - 5 Power Mix'!MGV14+'NF - 5 Power Mix'!MGV15)*860/10)+((('Form Sa1'!MGY835)*860)/10)+('Form Sa1'!MGY814*'Form Sa1'!MGY816/10)-'NF - 5 Power Mix'!MGV21-'NF - 5 Power Mix'!MGV22</f>
        <v>0</v>
      </c>
      <c r="MGW42" s="1046">
        <f>MGW38+((MGW40+'NF - 5 Power Mix'!MGW14+'NF - 5 Power Mix'!MGW15)*860/10)+((('Form Sa1'!MGZ835)*860)/10)+('Form Sa1'!MGZ814*'Form Sa1'!MGZ816/10)-'NF - 5 Power Mix'!MGW21-'NF - 5 Power Mix'!MGW22</f>
        <v>0</v>
      </c>
      <c r="MGX42" s="1046">
        <f>MGX38+((MGX40+'NF - 5 Power Mix'!MGX14+'NF - 5 Power Mix'!MGX15)*860/10)+((('Form Sa1'!MHA835)*860)/10)+('Form Sa1'!MHA814*'Form Sa1'!MHA816/10)-'NF - 5 Power Mix'!MGX21-'NF - 5 Power Mix'!MGX22</f>
        <v>0</v>
      </c>
      <c r="MGY42" s="1046">
        <f>MGY38+((MGY40+'NF - 5 Power Mix'!MGY14+'NF - 5 Power Mix'!MGY15)*860/10)+((('Form Sa1'!MHB835)*860)/10)+('Form Sa1'!MHB814*'Form Sa1'!MHB816/10)-'NF - 5 Power Mix'!MGY21-'NF - 5 Power Mix'!MGY22</f>
        <v>0</v>
      </c>
      <c r="MGZ42" s="1046">
        <f>MGZ38+((MGZ40+'NF - 5 Power Mix'!MGZ14+'NF - 5 Power Mix'!MGZ15)*860/10)+((('Form Sa1'!MHC835)*860)/10)+('Form Sa1'!MHC814*'Form Sa1'!MHC816/10)-'NF - 5 Power Mix'!MGZ21-'NF - 5 Power Mix'!MGZ22</f>
        <v>0</v>
      </c>
      <c r="MHA42" s="1046">
        <f>MHA38+((MHA40+'NF - 5 Power Mix'!MHA14+'NF - 5 Power Mix'!MHA15)*860/10)+((('Form Sa1'!MHD835)*860)/10)+('Form Sa1'!MHD814*'Form Sa1'!MHD816/10)-'NF - 5 Power Mix'!MHA21-'NF - 5 Power Mix'!MHA22</f>
        <v>0</v>
      </c>
      <c r="MHB42" s="1046">
        <f>MHB38+((MHB40+'NF - 5 Power Mix'!MHB14+'NF - 5 Power Mix'!MHB15)*860/10)+((('Form Sa1'!MHE835)*860)/10)+('Form Sa1'!MHE814*'Form Sa1'!MHE816/10)-'NF - 5 Power Mix'!MHB21-'NF - 5 Power Mix'!MHB22</f>
        <v>0</v>
      </c>
      <c r="MHC42" s="1046">
        <f>MHC38+((MHC40+'NF - 5 Power Mix'!MHC14+'NF - 5 Power Mix'!MHC15)*860/10)+((('Form Sa1'!MHF835)*860)/10)+('Form Sa1'!MHF814*'Form Sa1'!MHF816/10)-'NF - 5 Power Mix'!MHC21-'NF - 5 Power Mix'!MHC22</f>
        <v>0</v>
      </c>
      <c r="MHD42" s="1046">
        <f>MHD38+((MHD40+'NF - 5 Power Mix'!MHD14+'NF - 5 Power Mix'!MHD15)*860/10)+((('Form Sa1'!MHG835)*860)/10)+('Form Sa1'!MHG814*'Form Sa1'!MHG816/10)-'NF - 5 Power Mix'!MHD21-'NF - 5 Power Mix'!MHD22</f>
        <v>0</v>
      </c>
      <c r="MHE42" s="1046">
        <f>MHE38+((MHE40+'NF - 5 Power Mix'!MHE14+'NF - 5 Power Mix'!MHE15)*860/10)+((('Form Sa1'!MHH835)*860)/10)+('Form Sa1'!MHH814*'Form Sa1'!MHH816/10)-'NF - 5 Power Mix'!MHE21-'NF - 5 Power Mix'!MHE22</f>
        <v>0</v>
      </c>
      <c r="MHF42" s="1046">
        <f>MHF38+((MHF40+'NF - 5 Power Mix'!MHF14+'NF - 5 Power Mix'!MHF15)*860/10)+((('Form Sa1'!MHI835)*860)/10)+('Form Sa1'!MHI814*'Form Sa1'!MHI816/10)-'NF - 5 Power Mix'!MHF21-'NF - 5 Power Mix'!MHF22</f>
        <v>0</v>
      </c>
      <c r="MHG42" s="1046">
        <f>MHG38+((MHG40+'NF - 5 Power Mix'!MHG14+'NF - 5 Power Mix'!MHG15)*860/10)+((('Form Sa1'!MHJ835)*860)/10)+('Form Sa1'!MHJ814*'Form Sa1'!MHJ816/10)-'NF - 5 Power Mix'!MHG21-'NF - 5 Power Mix'!MHG22</f>
        <v>0</v>
      </c>
      <c r="MHH42" s="1046">
        <f>MHH38+((MHH40+'NF - 5 Power Mix'!MHH14+'NF - 5 Power Mix'!MHH15)*860/10)+((('Form Sa1'!MHK835)*860)/10)+('Form Sa1'!MHK814*'Form Sa1'!MHK816/10)-'NF - 5 Power Mix'!MHH21-'NF - 5 Power Mix'!MHH22</f>
        <v>0</v>
      </c>
      <c r="MHI42" s="1046">
        <f>MHI38+((MHI40+'NF - 5 Power Mix'!MHI14+'NF - 5 Power Mix'!MHI15)*860/10)+((('Form Sa1'!MHL835)*860)/10)+('Form Sa1'!MHL814*'Form Sa1'!MHL816/10)-'NF - 5 Power Mix'!MHI21-'NF - 5 Power Mix'!MHI22</f>
        <v>0</v>
      </c>
      <c r="MHJ42" s="1046">
        <f>MHJ38+((MHJ40+'NF - 5 Power Mix'!MHJ14+'NF - 5 Power Mix'!MHJ15)*860/10)+((('Form Sa1'!MHM835)*860)/10)+('Form Sa1'!MHM814*'Form Sa1'!MHM816/10)-'NF - 5 Power Mix'!MHJ21-'NF - 5 Power Mix'!MHJ22</f>
        <v>0</v>
      </c>
      <c r="MHK42" s="1046">
        <f>MHK38+((MHK40+'NF - 5 Power Mix'!MHK14+'NF - 5 Power Mix'!MHK15)*860/10)+((('Form Sa1'!MHN835)*860)/10)+('Form Sa1'!MHN814*'Form Sa1'!MHN816/10)-'NF - 5 Power Mix'!MHK21-'NF - 5 Power Mix'!MHK22</f>
        <v>0</v>
      </c>
      <c r="MHL42" s="1046">
        <f>MHL38+((MHL40+'NF - 5 Power Mix'!MHL14+'NF - 5 Power Mix'!MHL15)*860/10)+((('Form Sa1'!MHO835)*860)/10)+('Form Sa1'!MHO814*'Form Sa1'!MHO816/10)-'NF - 5 Power Mix'!MHL21-'NF - 5 Power Mix'!MHL22</f>
        <v>0</v>
      </c>
      <c r="MHM42" s="1046">
        <f>MHM38+((MHM40+'NF - 5 Power Mix'!MHM14+'NF - 5 Power Mix'!MHM15)*860/10)+((('Form Sa1'!MHP835)*860)/10)+('Form Sa1'!MHP814*'Form Sa1'!MHP816/10)-'NF - 5 Power Mix'!MHM21-'NF - 5 Power Mix'!MHM22</f>
        <v>0</v>
      </c>
      <c r="MHN42" s="1046">
        <f>MHN38+((MHN40+'NF - 5 Power Mix'!MHN14+'NF - 5 Power Mix'!MHN15)*860/10)+((('Form Sa1'!MHQ835)*860)/10)+('Form Sa1'!MHQ814*'Form Sa1'!MHQ816/10)-'NF - 5 Power Mix'!MHN21-'NF - 5 Power Mix'!MHN22</f>
        <v>0</v>
      </c>
      <c r="MHO42" s="1046">
        <f>MHO38+((MHO40+'NF - 5 Power Mix'!MHO14+'NF - 5 Power Mix'!MHO15)*860/10)+((('Form Sa1'!MHR835)*860)/10)+('Form Sa1'!MHR814*'Form Sa1'!MHR816/10)-'NF - 5 Power Mix'!MHO21-'NF - 5 Power Mix'!MHO22</f>
        <v>0</v>
      </c>
      <c r="MHP42" s="1046">
        <f>MHP38+((MHP40+'NF - 5 Power Mix'!MHP14+'NF - 5 Power Mix'!MHP15)*860/10)+((('Form Sa1'!MHS835)*860)/10)+('Form Sa1'!MHS814*'Form Sa1'!MHS816/10)-'NF - 5 Power Mix'!MHP21-'NF - 5 Power Mix'!MHP22</f>
        <v>0</v>
      </c>
      <c r="MHQ42" s="1046">
        <f>MHQ38+((MHQ40+'NF - 5 Power Mix'!MHQ14+'NF - 5 Power Mix'!MHQ15)*860/10)+((('Form Sa1'!MHT835)*860)/10)+('Form Sa1'!MHT814*'Form Sa1'!MHT816/10)-'NF - 5 Power Mix'!MHQ21-'NF - 5 Power Mix'!MHQ22</f>
        <v>0</v>
      </c>
      <c r="MHR42" s="1046">
        <f>MHR38+((MHR40+'NF - 5 Power Mix'!MHR14+'NF - 5 Power Mix'!MHR15)*860/10)+((('Form Sa1'!MHU835)*860)/10)+('Form Sa1'!MHU814*'Form Sa1'!MHU816/10)-'NF - 5 Power Mix'!MHR21-'NF - 5 Power Mix'!MHR22</f>
        <v>0</v>
      </c>
      <c r="MHS42" s="1046">
        <f>MHS38+((MHS40+'NF - 5 Power Mix'!MHS14+'NF - 5 Power Mix'!MHS15)*860/10)+((('Form Sa1'!MHV835)*860)/10)+('Form Sa1'!MHV814*'Form Sa1'!MHV816/10)-'NF - 5 Power Mix'!MHS21-'NF - 5 Power Mix'!MHS22</f>
        <v>0</v>
      </c>
      <c r="MHT42" s="1046">
        <f>MHT38+((MHT40+'NF - 5 Power Mix'!MHT14+'NF - 5 Power Mix'!MHT15)*860/10)+((('Form Sa1'!MHW835)*860)/10)+('Form Sa1'!MHW814*'Form Sa1'!MHW816/10)-'NF - 5 Power Mix'!MHT21-'NF - 5 Power Mix'!MHT22</f>
        <v>0</v>
      </c>
      <c r="MHU42" s="1046">
        <f>MHU38+((MHU40+'NF - 5 Power Mix'!MHU14+'NF - 5 Power Mix'!MHU15)*860/10)+((('Form Sa1'!MHX835)*860)/10)+('Form Sa1'!MHX814*'Form Sa1'!MHX816/10)-'NF - 5 Power Mix'!MHU21-'NF - 5 Power Mix'!MHU22</f>
        <v>0</v>
      </c>
      <c r="MHV42" s="1046">
        <f>MHV38+((MHV40+'NF - 5 Power Mix'!MHV14+'NF - 5 Power Mix'!MHV15)*860/10)+((('Form Sa1'!MHY835)*860)/10)+('Form Sa1'!MHY814*'Form Sa1'!MHY816/10)-'NF - 5 Power Mix'!MHV21-'NF - 5 Power Mix'!MHV22</f>
        <v>0</v>
      </c>
      <c r="MHW42" s="1046">
        <f>MHW38+((MHW40+'NF - 5 Power Mix'!MHW14+'NF - 5 Power Mix'!MHW15)*860/10)+((('Form Sa1'!MHZ835)*860)/10)+('Form Sa1'!MHZ814*'Form Sa1'!MHZ816/10)-'NF - 5 Power Mix'!MHW21-'NF - 5 Power Mix'!MHW22</f>
        <v>0</v>
      </c>
      <c r="MHX42" s="1046">
        <f>MHX38+((MHX40+'NF - 5 Power Mix'!MHX14+'NF - 5 Power Mix'!MHX15)*860/10)+((('Form Sa1'!MIA835)*860)/10)+('Form Sa1'!MIA814*'Form Sa1'!MIA816/10)-'NF - 5 Power Mix'!MHX21-'NF - 5 Power Mix'!MHX22</f>
        <v>0</v>
      </c>
      <c r="MHY42" s="1046">
        <f>MHY38+((MHY40+'NF - 5 Power Mix'!MHY14+'NF - 5 Power Mix'!MHY15)*860/10)+((('Form Sa1'!MIB835)*860)/10)+('Form Sa1'!MIB814*'Form Sa1'!MIB816/10)-'NF - 5 Power Mix'!MHY21-'NF - 5 Power Mix'!MHY22</f>
        <v>0</v>
      </c>
      <c r="MHZ42" s="1046">
        <f>MHZ38+((MHZ40+'NF - 5 Power Mix'!MHZ14+'NF - 5 Power Mix'!MHZ15)*860/10)+((('Form Sa1'!MIC835)*860)/10)+('Form Sa1'!MIC814*'Form Sa1'!MIC816/10)-'NF - 5 Power Mix'!MHZ21-'NF - 5 Power Mix'!MHZ22</f>
        <v>0</v>
      </c>
      <c r="MIA42" s="1046">
        <f>MIA38+((MIA40+'NF - 5 Power Mix'!MIA14+'NF - 5 Power Mix'!MIA15)*860/10)+((('Form Sa1'!MID835)*860)/10)+('Form Sa1'!MID814*'Form Sa1'!MID816/10)-'NF - 5 Power Mix'!MIA21-'NF - 5 Power Mix'!MIA22</f>
        <v>0</v>
      </c>
      <c r="MIB42" s="1046">
        <f>MIB38+((MIB40+'NF - 5 Power Mix'!MIB14+'NF - 5 Power Mix'!MIB15)*860/10)+((('Form Sa1'!MIE835)*860)/10)+('Form Sa1'!MIE814*'Form Sa1'!MIE816/10)-'NF - 5 Power Mix'!MIB21-'NF - 5 Power Mix'!MIB22</f>
        <v>0</v>
      </c>
      <c r="MIC42" s="1046">
        <f>MIC38+((MIC40+'NF - 5 Power Mix'!MIC14+'NF - 5 Power Mix'!MIC15)*860/10)+((('Form Sa1'!MIF835)*860)/10)+('Form Sa1'!MIF814*'Form Sa1'!MIF816/10)-'NF - 5 Power Mix'!MIC21-'NF - 5 Power Mix'!MIC22</f>
        <v>0</v>
      </c>
      <c r="MID42" s="1046">
        <f>MID38+((MID40+'NF - 5 Power Mix'!MID14+'NF - 5 Power Mix'!MID15)*860/10)+((('Form Sa1'!MIG835)*860)/10)+('Form Sa1'!MIG814*'Form Sa1'!MIG816/10)-'NF - 5 Power Mix'!MID21-'NF - 5 Power Mix'!MID22</f>
        <v>0</v>
      </c>
      <c r="MIE42" s="1046">
        <f>MIE38+((MIE40+'NF - 5 Power Mix'!MIE14+'NF - 5 Power Mix'!MIE15)*860/10)+((('Form Sa1'!MIH835)*860)/10)+('Form Sa1'!MIH814*'Form Sa1'!MIH816/10)-'NF - 5 Power Mix'!MIE21-'NF - 5 Power Mix'!MIE22</f>
        <v>0</v>
      </c>
      <c r="MIF42" s="1046">
        <f>MIF38+((MIF40+'NF - 5 Power Mix'!MIF14+'NF - 5 Power Mix'!MIF15)*860/10)+((('Form Sa1'!MII835)*860)/10)+('Form Sa1'!MII814*'Form Sa1'!MII816/10)-'NF - 5 Power Mix'!MIF21-'NF - 5 Power Mix'!MIF22</f>
        <v>0</v>
      </c>
      <c r="MIG42" s="1046">
        <f>MIG38+((MIG40+'NF - 5 Power Mix'!MIG14+'NF - 5 Power Mix'!MIG15)*860/10)+((('Form Sa1'!MIJ835)*860)/10)+('Form Sa1'!MIJ814*'Form Sa1'!MIJ816/10)-'NF - 5 Power Mix'!MIG21-'NF - 5 Power Mix'!MIG22</f>
        <v>0</v>
      </c>
      <c r="MIH42" s="1046">
        <f>MIH38+((MIH40+'NF - 5 Power Mix'!MIH14+'NF - 5 Power Mix'!MIH15)*860/10)+((('Form Sa1'!MIK835)*860)/10)+('Form Sa1'!MIK814*'Form Sa1'!MIK816/10)-'NF - 5 Power Mix'!MIH21-'NF - 5 Power Mix'!MIH22</f>
        <v>0</v>
      </c>
      <c r="MII42" s="1046">
        <f>MII38+((MII40+'NF - 5 Power Mix'!MII14+'NF - 5 Power Mix'!MII15)*860/10)+((('Form Sa1'!MIL835)*860)/10)+('Form Sa1'!MIL814*'Form Sa1'!MIL816/10)-'NF - 5 Power Mix'!MII21-'NF - 5 Power Mix'!MII22</f>
        <v>0</v>
      </c>
      <c r="MIJ42" s="1046">
        <f>MIJ38+((MIJ40+'NF - 5 Power Mix'!MIJ14+'NF - 5 Power Mix'!MIJ15)*860/10)+((('Form Sa1'!MIM835)*860)/10)+('Form Sa1'!MIM814*'Form Sa1'!MIM816/10)-'NF - 5 Power Mix'!MIJ21-'NF - 5 Power Mix'!MIJ22</f>
        <v>0</v>
      </c>
      <c r="MIK42" s="1046">
        <f>MIK38+((MIK40+'NF - 5 Power Mix'!MIK14+'NF - 5 Power Mix'!MIK15)*860/10)+((('Form Sa1'!MIN835)*860)/10)+('Form Sa1'!MIN814*'Form Sa1'!MIN816/10)-'NF - 5 Power Mix'!MIK21-'NF - 5 Power Mix'!MIK22</f>
        <v>0</v>
      </c>
      <c r="MIL42" s="1046">
        <f>MIL38+((MIL40+'NF - 5 Power Mix'!MIL14+'NF - 5 Power Mix'!MIL15)*860/10)+((('Form Sa1'!MIO835)*860)/10)+('Form Sa1'!MIO814*'Form Sa1'!MIO816/10)-'NF - 5 Power Mix'!MIL21-'NF - 5 Power Mix'!MIL22</f>
        <v>0</v>
      </c>
      <c r="MIM42" s="1046">
        <f>MIM38+((MIM40+'NF - 5 Power Mix'!MIM14+'NF - 5 Power Mix'!MIM15)*860/10)+((('Form Sa1'!MIP835)*860)/10)+('Form Sa1'!MIP814*'Form Sa1'!MIP816/10)-'NF - 5 Power Mix'!MIM21-'NF - 5 Power Mix'!MIM22</f>
        <v>0</v>
      </c>
      <c r="MIN42" s="1046">
        <f>MIN38+((MIN40+'NF - 5 Power Mix'!MIN14+'NF - 5 Power Mix'!MIN15)*860/10)+((('Form Sa1'!MIQ835)*860)/10)+('Form Sa1'!MIQ814*'Form Sa1'!MIQ816/10)-'NF - 5 Power Mix'!MIN21-'NF - 5 Power Mix'!MIN22</f>
        <v>0</v>
      </c>
      <c r="MIO42" s="1046">
        <f>MIO38+((MIO40+'NF - 5 Power Mix'!MIO14+'NF - 5 Power Mix'!MIO15)*860/10)+((('Form Sa1'!MIR835)*860)/10)+('Form Sa1'!MIR814*'Form Sa1'!MIR816/10)-'NF - 5 Power Mix'!MIO21-'NF - 5 Power Mix'!MIO22</f>
        <v>0</v>
      </c>
      <c r="MIP42" s="1046">
        <f>MIP38+((MIP40+'NF - 5 Power Mix'!MIP14+'NF - 5 Power Mix'!MIP15)*860/10)+((('Form Sa1'!MIS835)*860)/10)+('Form Sa1'!MIS814*'Form Sa1'!MIS816/10)-'NF - 5 Power Mix'!MIP21-'NF - 5 Power Mix'!MIP22</f>
        <v>0</v>
      </c>
      <c r="MIQ42" s="1046">
        <f>MIQ38+((MIQ40+'NF - 5 Power Mix'!MIQ14+'NF - 5 Power Mix'!MIQ15)*860/10)+((('Form Sa1'!MIT835)*860)/10)+('Form Sa1'!MIT814*'Form Sa1'!MIT816/10)-'NF - 5 Power Mix'!MIQ21-'NF - 5 Power Mix'!MIQ22</f>
        <v>0</v>
      </c>
      <c r="MIR42" s="1046">
        <f>MIR38+((MIR40+'NF - 5 Power Mix'!MIR14+'NF - 5 Power Mix'!MIR15)*860/10)+((('Form Sa1'!MIU835)*860)/10)+('Form Sa1'!MIU814*'Form Sa1'!MIU816/10)-'NF - 5 Power Mix'!MIR21-'NF - 5 Power Mix'!MIR22</f>
        <v>0</v>
      </c>
      <c r="MIS42" s="1046">
        <f>MIS38+((MIS40+'NF - 5 Power Mix'!MIS14+'NF - 5 Power Mix'!MIS15)*860/10)+((('Form Sa1'!MIV835)*860)/10)+('Form Sa1'!MIV814*'Form Sa1'!MIV816/10)-'NF - 5 Power Mix'!MIS21-'NF - 5 Power Mix'!MIS22</f>
        <v>0</v>
      </c>
      <c r="MIT42" s="1046">
        <f>MIT38+((MIT40+'NF - 5 Power Mix'!MIT14+'NF - 5 Power Mix'!MIT15)*860/10)+((('Form Sa1'!MIW835)*860)/10)+('Form Sa1'!MIW814*'Form Sa1'!MIW816/10)-'NF - 5 Power Mix'!MIT21-'NF - 5 Power Mix'!MIT22</f>
        <v>0</v>
      </c>
      <c r="MIU42" s="1046">
        <f>MIU38+((MIU40+'NF - 5 Power Mix'!MIU14+'NF - 5 Power Mix'!MIU15)*860/10)+((('Form Sa1'!MIX835)*860)/10)+('Form Sa1'!MIX814*'Form Sa1'!MIX816/10)-'NF - 5 Power Mix'!MIU21-'NF - 5 Power Mix'!MIU22</f>
        <v>0</v>
      </c>
      <c r="MIV42" s="1046">
        <f>MIV38+((MIV40+'NF - 5 Power Mix'!MIV14+'NF - 5 Power Mix'!MIV15)*860/10)+((('Form Sa1'!MIY835)*860)/10)+('Form Sa1'!MIY814*'Form Sa1'!MIY816/10)-'NF - 5 Power Mix'!MIV21-'NF - 5 Power Mix'!MIV22</f>
        <v>0</v>
      </c>
      <c r="MIW42" s="1046">
        <f>MIW38+((MIW40+'NF - 5 Power Mix'!MIW14+'NF - 5 Power Mix'!MIW15)*860/10)+((('Form Sa1'!MIZ835)*860)/10)+('Form Sa1'!MIZ814*'Form Sa1'!MIZ816/10)-'NF - 5 Power Mix'!MIW21-'NF - 5 Power Mix'!MIW22</f>
        <v>0</v>
      </c>
      <c r="MIX42" s="1046">
        <f>MIX38+((MIX40+'NF - 5 Power Mix'!MIX14+'NF - 5 Power Mix'!MIX15)*860/10)+((('Form Sa1'!MJA835)*860)/10)+('Form Sa1'!MJA814*'Form Sa1'!MJA816/10)-'NF - 5 Power Mix'!MIX21-'NF - 5 Power Mix'!MIX22</f>
        <v>0</v>
      </c>
      <c r="MIY42" s="1046">
        <f>MIY38+((MIY40+'NF - 5 Power Mix'!MIY14+'NF - 5 Power Mix'!MIY15)*860/10)+((('Form Sa1'!MJB835)*860)/10)+('Form Sa1'!MJB814*'Form Sa1'!MJB816/10)-'NF - 5 Power Mix'!MIY21-'NF - 5 Power Mix'!MIY22</f>
        <v>0</v>
      </c>
      <c r="MIZ42" s="1046">
        <f>MIZ38+((MIZ40+'NF - 5 Power Mix'!MIZ14+'NF - 5 Power Mix'!MIZ15)*860/10)+((('Form Sa1'!MJC835)*860)/10)+('Form Sa1'!MJC814*'Form Sa1'!MJC816/10)-'NF - 5 Power Mix'!MIZ21-'NF - 5 Power Mix'!MIZ22</f>
        <v>0</v>
      </c>
      <c r="MJA42" s="1046">
        <f>MJA38+((MJA40+'NF - 5 Power Mix'!MJA14+'NF - 5 Power Mix'!MJA15)*860/10)+((('Form Sa1'!MJD835)*860)/10)+('Form Sa1'!MJD814*'Form Sa1'!MJD816/10)-'NF - 5 Power Mix'!MJA21-'NF - 5 Power Mix'!MJA22</f>
        <v>0</v>
      </c>
      <c r="MJB42" s="1046">
        <f>MJB38+((MJB40+'NF - 5 Power Mix'!MJB14+'NF - 5 Power Mix'!MJB15)*860/10)+((('Form Sa1'!MJE835)*860)/10)+('Form Sa1'!MJE814*'Form Sa1'!MJE816/10)-'NF - 5 Power Mix'!MJB21-'NF - 5 Power Mix'!MJB22</f>
        <v>0</v>
      </c>
      <c r="MJC42" s="1046">
        <f>MJC38+((MJC40+'NF - 5 Power Mix'!MJC14+'NF - 5 Power Mix'!MJC15)*860/10)+((('Form Sa1'!MJF835)*860)/10)+('Form Sa1'!MJF814*'Form Sa1'!MJF816/10)-'NF - 5 Power Mix'!MJC21-'NF - 5 Power Mix'!MJC22</f>
        <v>0</v>
      </c>
      <c r="MJD42" s="1046">
        <f>MJD38+((MJD40+'NF - 5 Power Mix'!MJD14+'NF - 5 Power Mix'!MJD15)*860/10)+((('Form Sa1'!MJG835)*860)/10)+('Form Sa1'!MJG814*'Form Sa1'!MJG816/10)-'NF - 5 Power Mix'!MJD21-'NF - 5 Power Mix'!MJD22</f>
        <v>0</v>
      </c>
      <c r="MJE42" s="1046">
        <f>MJE38+((MJE40+'NF - 5 Power Mix'!MJE14+'NF - 5 Power Mix'!MJE15)*860/10)+((('Form Sa1'!MJH835)*860)/10)+('Form Sa1'!MJH814*'Form Sa1'!MJH816/10)-'NF - 5 Power Mix'!MJE21-'NF - 5 Power Mix'!MJE22</f>
        <v>0</v>
      </c>
      <c r="MJF42" s="1046">
        <f>MJF38+((MJF40+'NF - 5 Power Mix'!MJF14+'NF - 5 Power Mix'!MJF15)*860/10)+((('Form Sa1'!MJI835)*860)/10)+('Form Sa1'!MJI814*'Form Sa1'!MJI816/10)-'NF - 5 Power Mix'!MJF21-'NF - 5 Power Mix'!MJF22</f>
        <v>0</v>
      </c>
      <c r="MJG42" s="1046">
        <f>MJG38+((MJG40+'NF - 5 Power Mix'!MJG14+'NF - 5 Power Mix'!MJG15)*860/10)+((('Form Sa1'!MJJ835)*860)/10)+('Form Sa1'!MJJ814*'Form Sa1'!MJJ816/10)-'NF - 5 Power Mix'!MJG21-'NF - 5 Power Mix'!MJG22</f>
        <v>0</v>
      </c>
      <c r="MJH42" s="1046">
        <f>MJH38+((MJH40+'NF - 5 Power Mix'!MJH14+'NF - 5 Power Mix'!MJH15)*860/10)+((('Form Sa1'!MJK835)*860)/10)+('Form Sa1'!MJK814*'Form Sa1'!MJK816/10)-'NF - 5 Power Mix'!MJH21-'NF - 5 Power Mix'!MJH22</f>
        <v>0</v>
      </c>
      <c r="MJI42" s="1046">
        <f>MJI38+((MJI40+'NF - 5 Power Mix'!MJI14+'NF - 5 Power Mix'!MJI15)*860/10)+((('Form Sa1'!MJL835)*860)/10)+('Form Sa1'!MJL814*'Form Sa1'!MJL816/10)-'NF - 5 Power Mix'!MJI21-'NF - 5 Power Mix'!MJI22</f>
        <v>0</v>
      </c>
      <c r="MJJ42" s="1046">
        <f>MJJ38+((MJJ40+'NF - 5 Power Mix'!MJJ14+'NF - 5 Power Mix'!MJJ15)*860/10)+((('Form Sa1'!MJM835)*860)/10)+('Form Sa1'!MJM814*'Form Sa1'!MJM816/10)-'NF - 5 Power Mix'!MJJ21-'NF - 5 Power Mix'!MJJ22</f>
        <v>0</v>
      </c>
      <c r="MJK42" s="1046">
        <f>MJK38+((MJK40+'NF - 5 Power Mix'!MJK14+'NF - 5 Power Mix'!MJK15)*860/10)+((('Form Sa1'!MJN835)*860)/10)+('Form Sa1'!MJN814*'Form Sa1'!MJN816/10)-'NF - 5 Power Mix'!MJK21-'NF - 5 Power Mix'!MJK22</f>
        <v>0</v>
      </c>
      <c r="MJL42" s="1046">
        <f>MJL38+((MJL40+'NF - 5 Power Mix'!MJL14+'NF - 5 Power Mix'!MJL15)*860/10)+((('Form Sa1'!MJO835)*860)/10)+('Form Sa1'!MJO814*'Form Sa1'!MJO816/10)-'NF - 5 Power Mix'!MJL21-'NF - 5 Power Mix'!MJL22</f>
        <v>0</v>
      </c>
      <c r="MJM42" s="1046">
        <f>MJM38+((MJM40+'NF - 5 Power Mix'!MJM14+'NF - 5 Power Mix'!MJM15)*860/10)+((('Form Sa1'!MJP835)*860)/10)+('Form Sa1'!MJP814*'Form Sa1'!MJP816/10)-'NF - 5 Power Mix'!MJM21-'NF - 5 Power Mix'!MJM22</f>
        <v>0</v>
      </c>
      <c r="MJN42" s="1046">
        <f>MJN38+((MJN40+'NF - 5 Power Mix'!MJN14+'NF - 5 Power Mix'!MJN15)*860/10)+((('Form Sa1'!MJQ835)*860)/10)+('Form Sa1'!MJQ814*'Form Sa1'!MJQ816/10)-'NF - 5 Power Mix'!MJN21-'NF - 5 Power Mix'!MJN22</f>
        <v>0</v>
      </c>
      <c r="MJO42" s="1046">
        <f>MJO38+((MJO40+'NF - 5 Power Mix'!MJO14+'NF - 5 Power Mix'!MJO15)*860/10)+((('Form Sa1'!MJR835)*860)/10)+('Form Sa1'!MJR814*'Form Sa1'!MJR816/10)-'NF - 5 Power Mix'!MJO21-'NF - 5 Power Mix'!MJO22</f>
        <v>0</v>
      </c>
      <c r="MJP42" s="1046">
        <f>MJP38+((MJP40+'NF - 5 Power Mix'!MJP14+'NF - 5 Power Mix'!MJP15)*860/10)+((('Form Sa1'!MJS835)*860)/10)+('Form Sa1'!MJS814*'Form Sa1'!MJS816/10)-'NF - 5 Power Mix'!MJP21-'NF - 5 Power Mix'!MJP22</f>
        <v>0</v>
      </c>
      <c r="MJQ42" s="1046">
        <f>MJQ38+((MJQ40+'NF - 5 Power Mix'!MJQ14+'NF - 5 Power Mix'!MJQ15)*860/10)+((('Form Sa1'!MJT835)*860)/10)+('Form Sa1'!MJT814*'Form Sa1'!MJT816/10)-'NF - 5 Power Mix'!MJQ21-'NF - 5 Power Mix'!MJQ22</f>
        <v>0</v>
      </c>
      <c r="MJR42" s="1046">
        <f>MJR38+((MJR40+'NF - 5 Power Mix'!MJR14+'NF - 5 Power Mix'!MJR15)*860/10)+((('Form Sa1'!MJU835)*860)/10)+('Form Sa1'!MJU814*'Form Sa1'!MJU816/10)-'NF - 5 Power Mix'!MJR21-'NF - 5 Power Mix'!MJR22</f>
        <v>0</v>
      </c>
      <c r="MJS42" s="1046">
        <f>MJS38+((MJS40+'NF - 5 Power Mix'!MJS14+'NF - 5 Power Mix'!MJS15)*860/10)+((('Form Sa1'!MJV835)*860)/10)+('Form Sa1'!MJV814*'Form Sa1'!MJV816/10)-'NF - 5 Power Mix'!MJS21-'NF - 5 Power Mix'!MJS22</f>
        <v>0</v>
      </c>
      <c r="MJT42" s="1046">
        <f>MJT38+((MJT40+'NF - 5 Power Mix'!MJT14+'NF - 5 Power Mix'!MJT15)*860/10)+((('Form Sa1'!MJW835)*860)/10)+('Form Sa1'!MJW814*'Form Sa1'!MJW816/10)-'NF - 5 Power Mix'!MJT21-'NF - 5 Power Mix'!MJT22</f>
        <v>0</v>
      </c>
      <c r="MJU42" s="1046">
        <f>MJU38+((MJU40+'NF - 5 Power Mix'!MJU14+'NF - 5 Power Mix'!MJU15)*860/10)+((('Form Sa1'!MJX835)*860)/10)+('Form Sa1'!MJX814*'Form Sa1'!MJX816/10)-'NF - 5 Power Mix'!MJU21-'NF - 5 Power Mix'!MJU22</f>
        <v>0</v>
      </c>
      <c r="MJV42" s="1046">
        <f>MJV38+((MJV40+'NF - 5 Power Mix'!MJV14+'NF - 5 Power Mix'!MJV15)*860/10)+((('Form Sa1'!MJY835)*860)/10)+('Form Sa1'!MJY814*'Form Sa1'!MJY816/10)-'NF - 5 Power Mix'!MJV21-'NF - 5 Power Mix'!MJV22</f>
        <v>0</v>
      </c>
      <c r="MJW42" s="1046">
        <f>MJW38+((MJW40+'NF - 5 Power Mix'!MJW14+'NF - 5 Power Mix'!MJW15)*860/10)+((('Form Sa1'!MJZ835)*860)/10)+('Form Sa1'!MJZ814*'Form Sa1'!MJZ816/10)-'NF - 5 Power Mix'!MJW21-'NF - 5 Power Mix'!MJW22</f>
        <v>0</v>
      </c>
      <c r="MJX42" s="1046">
        <f>MJX38+((MJX40+'NF - 5 Power Mix'!MJX14+'NF - 5 Power Mix'!MJX15)*860/10)+((('Form Sa1'!MKA835)*860)/10)+('Form Sa1'!MKA814*'Form Sa1'!MKA816/10)-'NF - 5 Power Mix'!MJX21-'NF - 5 Power Mix'!MJX22</f>
        <v>0</v>
      </c>
      <c r="MJY42" s="1046">
        <f>MJY38+((MJY40+'NF - 5 Power Mix'!MJY14+'NF - 5 Power Mix'!MJY15)*860/10)+((('Form Sa1'!MKB835)*860)/10)+('Form Sa1'!MKB814*'Form Sa1'!MKB816/10)-'NF - 5 Power Mix'!MJY21-'NF - 5 Power Mix'!MJY22</f>
        <v>0</v>
      </c>
      <c r="MJZ42" s="1046">
        <f>MJZ38+((MJZ40+'NF - 5 Power Mix'!MJZ14+'NF - 5 Power Mix'!MJZ15)*860/10)+((('Form Sa1'!MKC835)*860)/10)+('Form Sa1'!MKC814*'Form Sa1'!MKC816/10)-'NF - 5 Power Mix'!MJZ21-'NF - 5 Power Mix'!MJZ22</f>
        <v>0</v>
      </c>
      <c r="MKA42" s="1046">
        <f>MKA38+((MKA40+'NF - 5 Power Mix'!MKA14+'NF - 5 Power Mix'!MKA15)*860/10)+((('Form Sa1'!MKD835)*860)/10)+('Form Sa1'!MKD814*'Form Sa1'!MKD816/10)-'NF - 5 Power Mix'!MKA21-'NF - 5 Power Mix'!MKA22</f>
        <v>0</v>
      </c>
      <c r="MKB42" s="1046">
        <f>MKB38+((MKB40+'NF - 5 Power Mix'!MKB14+'NF - 5 Power Mix'!MKB15)*860/10)+((('Form Sa1'!MKE835)*860)/10)+('Form Sa1'!MKE814*'Form Sa1'!MKE816/10)-'NF - 5 Power Mix'!MKB21-'NF - 5 Power Mix'!MKB22</f>
        <v>0</v>
      </c>
      <c r="MKC42" s="1046">
        <f>MKC38+((MKC40+'NF - 5 Power Mix'!MKC14+'NF - 5 Power Mix'!MKC15)*860/10)+((('Form Sa1'!MKF835)*860)/10)+('Form Sa1'!MKF814*'Form Sa1'!MKF816/10)-'NF - 5 Power Mix'!MKC21-'NF - 5 Power Mix'!MKC22</f>
        <v>0</v>
      </c>
      <c r="MKD42" s="1046">
        <f>MKD38+((MKD40+'NF - 5 Power Mix'!MKD14+'NF - 5 Power Mix'!MKD15)*860/10)+((('Form Sa1'!MKG835)*860)/10)+('Form Sa1'!MKG814*'Form Sa1'!MKG816/10)-'NF - 5 Power Mix'!MKD21-'NF - 5 Power Mix'!MKD22</f>
        <v>0</v>
      </c>
      <c r="MKE42" s="1046">
        <f>MKE38+((MKE40+'NF - 5 Power Mix'!MKE14+'NF - 5 Power Mix'!MKE15)*860/10)+((('Form Sa1'!MKH835)*860)/10)+('Form Sa1'!MKH814*'Form Sa1'!MKH816/10)-'NF - 5 Power Mix'!MKE21-'NF - 5 Power Mix'!MKE22</f>
        <v>0</v>
      </c>
      <c r="MKF42" s="1046">
        <f>MKF38+((MKF40+'NF - 5 Power Mix'!MKF14+'NF - 5 Power Mix'!MKF15)*860/10)+((('Form Sa1'!MKI835)*860)/10)+('Form Sa1'!MKI814*'Form Sa1'!MKI816/10)-'NF - 5 Power Mix'!MKF21-'NF - 5 Power Mix'!MKF22</f>
        <v>0</v>
      </c>
      <c r="MKG42" s="1046">
        <f>MKG38+((MKG40+'NF - 5 Power Mix'!MKG14+'NF - 5 Power Mix'!MKG15)*860/10)+((('Form Sa1'!MKJ835)*860)/10)+('Form Sa1'!MKJ814*'Form Sa1'!MKJ816/10)-'NF - 5 Power Mix'!MKG21-'NF - 5 Power Mix'!MKG22</f>
        <v>0</v>
      </c>
      <c r="MKH42" s="1046">
        <f>MKH38+((MKH40+'NF - 5 Power Mix'!MKH14+'NF - 5 Power Mix'!MKH15)*860/10)+((('Form Sa1'!MKK835)*860)/10)+('Form Sa1'!MKK814*'Form Sa1'!MKK816/10)-'NF - 5 Power Mix'!MKH21-'NF - 5 Power Mix'!MKH22</f>
        <v>0</v>
      </c>
      <c r="MKI42" s="1046">
        <f>MKI38+((MKI40+'NF - 5 Power Mix'!MKI14+'NF - 5 Power Mix'!MKI15)*860/10)+((('Form Sa1'!MKL835)*860)/10)+('Form Sa1'!MKL814*'Form Sa1'!MKL816/10)-'NF - 5 Power Mix'!MKI21-'NF - 5 Power Mix'!MKI22</f>
        <v>0</v>
      </c>
      <c r="MKJ42" s="1046">
        <f>MKJ38+((MKJ40+'NF - 5 Power Mix'!MKJ14+'NF - 5 Power Mix'!MKJ15)*860/10)+((('Form Sa1'!MKM835)*860)/10)+('Form Sa1'!MKM814*'Form Sa1'!MKM816/10)-'NF - 5 Power Mix'!MKJ21-'NF - 5 Power Mix'!MKJ22</f>
        <v>0</v>
      </c>
      <c r="MKK42" s="1046">
        <f>MKK38+((MKK40+'NF - 5 Power Mix'!MKK14+'NF - 5 Power Mix'!MKK15)*860/10)+((('Form Sa1'!MKN835)*860)/10)+('Form Sa1'!MKN814*'Form Sa1'!MKN816/10)-'NF - 5 Power Mix'!MKK21-'NF - 5 Power Mix'!MKK22</f>
        <v>0</v>
      </c>
      <c r="MKL42" s="1046">
        <f>MKL38+((MKL40+'NF - 5 Power Mix'!MKL14+'NF - 5 Power Mix'!MKL15)*860/10)+((('Form Sa1'!MKO835)*860)/10)+('Form Sa1'!MKO814*'Form Sa1'!MKO816/10)-'NF - 5 Power Mix'!MKL21-'NF - 5 Power Mix'!MKL22</f>
        <v>0</v>
      </c>
      <c r="MKM42" s="1046">
        <f>MKM38+((MKM40+'NF - 5 Power Mix'!MKM14+'NF - 5 Power Mix'!MKM15)*860/10)+((('Form Sa1'!MKP835)*860)/10)+('Form Sa1'!MKP814*'Form Sa1'!MKP816/10)-'NF - 5 Power Mix'!MKM21-'NF - 5 Power Mix'!MKM22</f>
        <v>0</v>
      </c>
      <c r="MKN42" s="1046">
        <f>MKN38+((MKN40+'NF - 5 Power Mix'!MKN14+'NF - 5 Power Mix'!MKN15)*860/10)+((('Form Sa1'!MKQ835)*860)/10)+('Form Sa1'!MKQ814*'Form Sa1'!MKQ816/10)-'NF - 5 Power Mix'!MKN21-'NF - 5 Power Mix'!MKN22</f>
        <v>0</v>
      </c>
      <c r="MKO42" s="1046">
        <f>MKO38+((MKO40+'NF - 5 Power Mix'!MKO14+'NF - 5 Power Mix'!MKO15)*860/10)+((('Form Sa1'!MKR835)*860)/10)+('Form Sa1'!MKR814*'Form Sa1'!MKR816/10)-'NF - 5 Power Mix'!MKO21-'NF - 5 Power Mix'!MKO22</f>
        <v>0</v>
      </c>
      <c r="MKP42" s="1046">
        <f>MKP38+((MKP40+'NF - 5 Power Mix'!MKP14+'NF - 5 Power Mix'!MKP15)*860/10)+((('Form Sa1'!MKS835)*860)/10)+('Form Sa1'!MKS814*'Form Sa1'!MKS816/10)-'NF - 5 Power Mix'!MKP21-'NF - 5 Power Mix'!MKP22</f>
        <v>0</v>
      </c>
      <c r="MKQ42" s="1046">
        <f>MKQ38+((MKQ40+'NF - 5 Power Mix'!MKQ14+'NF - 5 Power Mix'!MKQ15)*860/10)+((('Form Sa1'!MKT835)*860)/10)+('Form Sa1'!MKT814*'Form Sa1'!MKT816/10)-'NF - 5 Power Mix'!MKQ21-'NF - 5 Power Mix'!MKQ22</f>
        <v>0</v>
      </c>
      <c r="MKR42" s="1046">
        <f>MKR38+((MKR40+'NF - 5 Power Mix'!MKR14+'NF - 5 Power Mix'!MKR15)*860/10)+((('Form Sa1'!MKU835)*860)/10)+('Form Sa1'!MKU814*'Form Sa1'!MKU816/10)-'NF - 5 Power Mix'!MKR21-'NF - 5 Power Mix'!MKR22</f>
        <v>0</v>
      </c>
      <c r="MKS42" s="1046">
        <f>MKS38+((MKS40+'NF - 5 Power Mix'!MKS14+'NF - 5 Power Mix'!MKS15)*860/10)+((('Form Sa1'!MKV835)*860)/10)+('Form Sa1'!MKV814*'Form Sa1'!MKV816/10)-'NF - 5 Power Mix'!MKS21-'NF - 5 Power Mix'!MKS22</f>
        <v>0</v>
      </c>
      <c r="MKT42" s="1046">
        <f>MKT38+((MKT40+'NF - 5 Power Mix'!MKT14+'NF - 5 Power Mix'!MKT15)*860/10)+((('Form Sa1'!MKW835)*860)/10)+('Form Sa1'!MKW814*'Form Sa1'!MKW816/10)-'NF - 5 Power Mix'!MKT21-'NF - 5 Power Mix'!MKT22</f>
        <v>0</v>
      </c>
      <c r="MKU42" s="1046">
        <f>MKU38+((MKU40+'NF - 5 Power Mix'!MKU14+'NF - 5 Power Mix'!MKU15)*860/10)+((('Form Sa1'!MKX835)*860)/10)+('Form Sa1'!MKX814*'Form Sa1'!MKX816/10)-'NF - 5 Power Mix'!MKU21-'NF - 5 Power Mix'!MKU22</f>
        <v>0</v>
      </c>
      <c r="MKV42" s="1046">
        <f>MKV38+((MKV40+'NF - 5 Power Mix'!MKV14+'NF - 5 Power Mix'!MKV15)*860/10)+((('Form Sa1'!MKY835)*860)/10)+('Form Sa1'!MKY814*'Form Sa1'!MKY816/10)-'NF - 5 Power Mix'!MKV21-'NF - 5 Power Mix'!MKV22</f>
        <v>0</v>
      </c>
      <c r="MKW42" s="1046">
        <f>MKW38+((MKW40+'NF - 5 Power Mix'!MKW14+'NF - 5 Power Mix'!MKW15)*860/10)+((('Form Sa1'!MKZ835)*860)/10)+('Form Sa1'!MKZ814*'Form Sa1'!MKZ816/10)-'NF - 5 Power Mix'!MKW21-'NF - 5 Power Mix'!MKW22</f>
        <v>0</v>
      </c>
      <c r="MKX42" s="1046">
        <f>MKX38+((MKX40+'NF - 5 Power Mix'!MKX14+'NF - 5 Power Mix'!MKX15)*860/10)+((('Form Sa1'!MLA835)*860)/10)+('Form Sa1'!MLA814*'Form Sa1'!MLA816/10)-'NF - 5 Power Mix'!MKX21-'NF - 5 Power Mix'!MKX22</f>
        <v>0</v>
      </c>
      <c r="MKY42" s="1046">
        <f>MKY38+((MKY40+'NF - 5 Power Mix'!MKY14+'NF - 5 Power Mix'!MKY15)*860/10)+((('Form Sa1'!MLB835)*860)/10)+('Form Sa1'!MLB814*'Form Sa1'!MLB816/10)-'NF - 5 Power Mix'!MKY21-'NF - 5 Power Mix'!MKY22</f>
        <v>0</v>
      </c>
      <c r="MKZ42" s="1046">
        <f>MKZ38+((MKZ40+'NF - 5 Power Mix'!MKZ14+'NF - 5 Power Mix'!MKZ15)*860/10)+((('Form Sa1'!MLC835)*860)/10)+('Form Sa1'!MLC814*'Form Sa1'!MLC816/10)-'NF - 5 Power Mix'!MKZ21-'NF - 5 Power Mix'!MKZ22</f>
        <v>0</v>
      </c>
      <c r="MLA42" s="1046">
        <f>MLA38+((MLA40+'NF - 5 Power Mix'!MLA14+'NF - 5 Power Mix'!MLA15)*860/10)+((('Form Sa1'!MLD835)*860)/10)+('Form Sa1'!MLD814*'Form Sa1'!MLD816/10)-'NF - 5 Power Mix'!MLA21-'NF - 5 Power Mix'!MLA22</f>
        <v>0</v>
      </c>
      <c r="MLB42" s="1046">
        <f>MLB38+((MLB40+'NF - 5 Power Mix'!MLB14+'NF - 5 Power Mix'!MLB15)*860/10)+((('Form Sa1'!MLE835)*860)/10)+('Form Sa1'!MLE814*'Form Sa1'!MLE816/10)-'NF - 5 Power Mix'!MLB21-'NF - 5 Power Mix'!MLB22</f>
        <v>0</v>
      </c>
      <c r="MLC42" s="1046">
        <f>MLC38+((MLC40+'NF - 5 Power Mix'!MLC14+'NF - 5 Power Mix'!MLC15)*860/10)+((('Form Sa1'!MLF835)*860)/10)+('Form Sa1'!MLF814*'Form Sa1'!MLF816/10)-'NF - 5 Power Mix'!MLC21-'NF - 5 Power Mix'!MLC22</f>
        <v>0</v>
      </c>
      <c r="MLD42" s="1046">
        <f>MLD38+((MLD40+'NF - 5 Power Mix'!MLD14+'NF - 5 Power Mix'!MLD15)*860/10)+((('Form Sa1'!MLG835)*860)/10)+('Form Sa1'!MLG814*'Form Sa1'!MLG816/10)-'NF - 5 Power Mix'!MLD21-'NF - 5 Power Mix'!MLD22</f>
        <v>0</v>
      </c>
      <c r="MLE42" s="1046">
        <f>MLE38+((MLE40+'NF - 5 Power Mix'!MLE14+'NF - 5 Power Mix'!MLE15)*860/10)+((('Form Sa1'!MLH835)*860)/10)+('Form Sa1'!MLH814*'Form Sa1'!MLH816/10)-'NF - 5 Power Mix'!MLE21-'NF - 5 Power Mix'!MLE22</f>
        <v>0</v>
      </c>
      <c r="MLF42" s="1046">
        <f>MLF38+((MLF40+'NF - 5 Power Mix'!MLF14+'NF - 5 Power Mix'!MLF15)*860/10)+((('Form Sa1'!MLI835)*860)/10)+('Form Sa1'!MLI814*'Form Sa1'!MLI816/10)-'NF - 5 Power Mix'!MLF21-'NF - 5 Power Mix'!MLF22</f>
        <v>0</v>
      </c>
      <c r="MLG42" s="1046">
        <f>MLG38+((MLG40+'NF - 5 Power Mix'!MLG14+'NF - 5 Power Mix'!MLG15)*860/10)+((('Form Sa1'!MLJ835)*860)/10)+('Form Sa1'!MLJ814*'Form Sa1'!MLJ816/10)-'NF - 5 Power Mix'!MLG21-'NF - 5 Power Mix'!MLG22</f>
        <v>0</v>
      </c>
      <c r="MLH42" s="1046">
        <f>MLH38+((MLH40+'NF - 5 Power Mix'!MLH14+'NF - 5 Power Mix'!MLH15)*860/10)+((('Form Sa1'!MLK835)*860)/10)+('Form Sa1'!MLK814*'Form Sa1'!MLK816/10)-'NF - 5 Power Mix'!MLH21-'NF - 5 Power Mix'!MLH22</f>
        <v>0</v>
      </c>
      <c r="MLI42" s="1046">
        <f>MLI38+((MLI40+'NF - 5 Power Mix'!MLI14+'NF - 5 Power Mix'!MLI15)*860/10)+((('Form Sa1'!MLL835)*860)/10)+('Form Sa1'!MLL814*'Form Sa1'!MLL816/10)-'NF - 5 Power Mix'!MLI21-'NF - 5 Power Mix'!MLI22</f>
        <v>0</v>
      </c>
      <c r="MLJ42" s="1046">
        <f>MLJ38+((MLJ40+'NF - 5 Power Mix'!MLJ14+'NF - 5 Power Mix'!MLJ15)*860/10)+((('Form Sa1'!MLM835)*860)/10)+('Form Sa1'!MLM814*'Form Sa1'!MLM816/10)-'NF - 5 Power Mix'!MLJ21-'NF - 5 Power Mix'!MLJ22</f>
        <v>0</v>
      </c>
      <c r="MLK42" s="1046">
        <f>MLK38+((MLK40+'NF - 5 Power Mix'!MLK14+'NF - 5 Power Mix'!MLK15)*860/10)+((('Form Sa1'!MLN835)*860)/10)+('Form Sa1'!MLN814*'Form Sa1'!MLN816/10)-'NF - 5 Power Mix'!MLK21-'NF - 5 Power Mix'!MLK22</f>
        <v>0</v>
      </c>
      <c r="MLL42" s="1046">
        <f>MLL38+((MLL40+'NF - 5 Power Mix'!MLL14+'NF - 5 Power Mix'!MLL15)*860/10)+((('Form Sa1'!MLO835)*860)/10)+('Form Sa1'!MLO814*'Form Sa1'!MLO816/10)-'NF - 5 Power Mix'!MLL21-'NF - 5 Power Mix'!MLL22</f>
        <v>0</v>
      </c>
      <c r="MLM42" s="1046">
        <f>MLM38+((MLM40+'NF - 5 Power Mix'!MLM14+'NF - 5 Power Mix'!MLM15)*860/10)+((('Form Sa1'!MLP835)*860)/10)+('Form Sa1'!MLP814*'Form Sa1'!MLP816/10)-'NF - 5 Power Mix'!MLM21-'NF - 5 Power Mix'!MLM22</f>
        <v>0</v>
      </c>
      <c r="MLN42" s="1046">
        <f>MLN38+((MLN40+'NF - 5 Power Mix'!MLN14+'NF - 5 Power Mix'!MLN15)*860/10)+((('Form Sa1'!MLQ835)*860)/10)+('Form Sa1'!MLQ814*'Form Sa1'!MLQ816/10)-'NF - 5 Power Mix'!MLN21-'NF - 5 Power Mix'!MLN22</f>
        <v>0</v>
      </c>
      <c r="MLO42" s="1046">
        <f>MLO38+((MLO40+'NF - 5 Power Mix'!MLO14+'NF - 5 Power Mix'!MLO15)*860/10)+((('Form Sa1'!MLR835)*860)/10)+('Form Sa1'!MLR814*'Form Sa1'!MLR816/10)-'NF - 5 Power Mix'!MLO21-'NF - 5 Power Mix'!MLO22</f>
        <v>0</v>
      </c>
      <c r="MLP42" s="1046">
        <f>MLP38+((MLP40+'NF - 5 Power Mix'!MLP14+'NF - 5 Power Mix'!MLP15)*860/10)+((('Form Sa1'!MLS835)*860)/10)+('Form Sa1'!MLS814*'Form Sa1'!MLS816/10)-'NF - 5 Power Mix'!MLP21-'NF - 5 Power Mix'!MLP22</f>
        <v>0</v>
      </c>
      <c r="MLQ42" s="1046">
        <f>MLQ38+((MLQ40+'NF - 5 Power Mix'!MLQ14+'NF - 5 Power Mix'!MLQ15)*860/10)+((('Form Sa1'!MLT835)*860)/10)+('Form Sa1'!MLT814*'Form Sa1'!MLT816/10)-'NF - 5 Power Mix'!MLQ21-'NF - 5 Power Mix'!MLQ22</f>
        <v>0</v>
      </c>
      <c r="MLR42" s="1046">
        <f>MLR38+((MLR40+'NF - 5 Power Mix'!MLR14+'NF - 5 Power Mix'!MLR15)*860/10)+((('Form Sa1'!MLU835)*860)/10)+('Form Sa1'!MLU814*'Form Sa1'!MLU816/10)-'NF - 5 Power Mix'!MLR21-'NF - 5 Power Mix'!MLR22</f>
        <v>0</v>
      </c>
      <c r="MLS42" s="1046">
        <f>MLS38+((MLS40+'NF - 5 Power Mix'!MLS14+'NF - 5 Power Mix'!MLS15)*860/10)+((('Form Sa1'!MLV835)*860)/10)+('Form Sa1'!MLV814*'Form Sa1'!MLV816/10)-'NF - 5 Power Mix'!MLS21-'NF - 5 Power Mix'!MLS22</f>
        <v>0</v>
      </c>
      <c r="MLT42" s="1046">
        <f>MLT38+((MLT40+'NF - 5 Power Mix'!MLT14+'NF - 5 Power Mix'!MLT15)*860/10)+((('Form Sa1'!MLW835)*860)/10)+('Form Sa1'!MLW814*'Form Sa1'!MLW816/10)-'NF - 5 Power Mix'!MLT21-'NF - 5 Power Mix'!MLT22</f>
        <v>0</v>
      </c>
      <c r="MLU42" s="1046">
        <f>MLU38+((MLU40+'NF - 5 Power Mix'!MLU14+'NF - 5 Power Mix'!MLU15)*860/10)+((('Form Sa1'!MLX835)*860)/10)+('Form Sa1'!MLX814*'Form Sa1'!MLX816/10)-'NF - 5 Power Mix'!MLU21-'NF - 5 Power Mix'!MLU22</f>
        <v>0</v>
      </c>
      <c r="MLV42" s="1046">
        <f>MLV38+((MLV40+'NF - 5 Power Mix'!MLV14+'NF - 5 Power Mix'!MLV15)*860/10)+((('Form Sa1'!MLY835)*860)/10)+('Form Sa1'!MLY814*'Form Sa1'!MLY816/10)-'NF - 5 Power Mix'!MLV21-'NF - 5 Power Mix'!MLV22</f>
        <v>0</v>
      </c>
      <c r="MLW42" s="1046">
        <f>MLW38+((MLW40+'NF - 5 Power Mix'!MLW14+'NF - 5 Power Mix'!MLW15)*860/10)+((('Form Sa1'!MLZ835)*860)/10)+('Form Sa1'!MLZ814*'Form Sa1'!MLZ816/10)-'NF - 5 Power Mix'!MLW21-'NF - 5 Power Mix'!MLW22</f>
        <v>0</v>
      </c>
      <c r="MLX42" s="1046">
        <f>MLX38+((MLX40+'NF - 5 Power Mix'!MLX14+'NF - 5 Power Mix'!MLX15)*860/10)+((('Form Sa1'!MMA835)*860)/10)+('Form Sa1'!MMA814*'Form Sa1'!MMA816/10)-'NF - 5 Power Mix'!MLX21-'NF - 5 Power Mix'!MLX22</f>
        <v>0</v>
      </c>
      <c r="MLY42" s="1046">
        <f>MLY38+((MLY40+'NF - 5 Power Mix'!MLY14+'NF - 5 Power Mix'!MLY15)*860/10)+((('Form Sa1'!MMB835)*860)/10)+('Form Sa1'!MMB814*'Form Sa1'!MMB816/10)-'NF - 5 Power Mix'!MLY21-'NF - 5 Power Mix'!MLY22</f>
        <v>0</v>
      </c>
      <c r="MLZ42" s="1046">
        <f>MLZ38+((MLZ40+'NF - 5 Power Mix'!MLZ14+'NF - 5 Power Mix'!MLZ15)*860/10)+((('Form Sa1'!MMC835)*860)/10)+('Form Sa1'!MMC814*'Form Sa1'!MMC816/10)-'NF - 5 Power Mix'!MLZ21-'NF - 5 Power Mix'!MLZ22</f>
        <v>0</v>
      </c>
      <c r="MMA42" s="1046">
        <f>MMA38+((MMA40+'NF - 5 Power Mix'!MMA14+'NF - 5 Power Mix'!MMA15)*860/10)+((('Form Sa1'!MMD835)*860)/10)+('Form Sa1'!MMD814*'Form Sa1'!MMD816/10)-'NF - 5 Power Mix'!MMA21-'NF - 5 Power Mix'!MMA22</f>
        <v>0</v>
      </c>
      <c r="MMB42" s="1046">
        <f>MMB38+((MMB40+'NF - 5 Power Mix'!MMB14+'NF - 5 Power Mix'!MMB15)*860/10)+((('Form Sa1'!MME835)*860)/10)+('Form Sa1'!MME814*'Form Sa1'!MME816/10)-'NF - 5 Power Mix'!MMB21-'NF - 5 Power Mix'!MMB22</f>
        <v>0</v>
      </c>
      <c r="MMC42" s="1046">
        <f>MMC38+((MMC40+'NF - 5 Power Mix'!MMC14+'NF - 5 Power Mix'!MMC15)*860/10)+((('Form Sa1'!MMF835)*860)/10)+('Form Sa1'!MMF814*'Form Sa1'!MMF816/10)-'NF - 5 Power Mix'!MMC21-'NF - 5 Power Mix'!MMC22</f>
        <v>0</v>
      </c>
      <c r="MMD42" s="1046">
        <f>MMD38+((MMD40+'NF - 5 Power Mix'!MMD14+'NF - 5 Power Mix'!MMD15)*860/10)+((('Form Sa1'!MMG835)*860)/10)+('Form Sa1'!MMG814*'Form Sa1'!MMG816/10)-'NF - 5 Power Mix'!MMD21-'NF - 5 Power Mix'!MMD22</f>
        <v>0</v>
      </c>
      <c r="MME42" s="1046">
        <f>MME38+((MME40+'NF - 5 Power Mix'!MME14+'NF - 5 Power Mix'!MME15)*860/10)+((('Form Sa1'!MMH835)*860)/10)+('Form Sa1'!MMH814*'Form Sa1'!MMH816/10)-'NF - 5 Power Mix'!MME21-'NF - 5 Power Mix'!MME22</f>
        <v>0</v>
      </c>
      <c r="MMF42" s="1046">
        <f>MMF38+((MMF40+'NF - 5 Power Mix'!MMF14+'NF - 5 Power Mix'!MMF15)*860/10)+((('Form Sa1'!MMI835)*860)/10)+('Form Sa1'!MMI814*'Form Sa1'!MMI816/10)-'NF - 5 Power Mix'!MMF21-'NF - 5 Power Mix'!MMF22</f>
        <v>0</v>
      </c>
      <c r="MMG42" s="1046">
        <f>MMG38+((MMG40+'NF - 5 Power Mix'!MMG14+'NF - 5 Power Mix'!MMG15)*860/10)+((('Form Sa1'!MMJ835)*860)/10)+('Form Sa1'!MMJ814*'Form Sa1'!MMJ816/10)-'NF - 5 Power Mix'!MMG21-'NF - 5 Power Mix'!MMG22</f>
        <v>0</v>
      </c>
      <c r="MMH42" s="1046">
        <f>MMH38+((MMH40+'NF - 5 Power Mix'!MMH14+'NF - 5 Power Mix'!MMH15)*860/10)+((('Form Sa1'!MMK835)*860)/10)+('Form Sa1'!MMK814*'Form Sa1'!MMK816/10)-'NF - 5 Power Mix'!MMH21-'NF - 5 Power Mix'!MMH22</f>
        <v>0</v>
      </c>
      <c r="MMI42" s="1046">
        <f>MMI38+((MMI40+'NF - 5 Power Mix'!MMI14+'NF - 5 Power Mix'!MMI15)*860/10)+((('Form Sa1'!MML835)*860)/10)+('Form Sa1'!MML814*'Form Sa1'!MML816/10)-'NF - 5 Power Mix'!MMI21-'NF - 5 Power Mix'!MMI22</f>
        <v>0</v>
      </c>
      <c r="MMJ42" s="1046">
        <f>MMJ38+((MMJ40+'NF - 5 Power Mix'!MMJ14+'NF - 5 Power Mix'!MMJ15)*860/10)+((('Form Sa1'!MMM835)*860)/10)+('Form Sa1'!MMM814*'Form Sa1'!MMM816/10)-'NF - 5 Power Mix'!MMJ21-'NF - 5 Power Mix'!MMJ22</f>
        <v>0</v>
      </c>
      <c r="MMK42" s="1046">
        <f>MMK38+((MMK40+'NF - 5 Power Mix'!MMK14+'NF - 5 Power Mix'!MMK15)*860/10)+((('Form Sa1'!MMN835)*860)/10)+('Form Sa1'!MMN814*'Form Sa1'!MMN816/10)-'NF - 5 Power Mix'!MMK21-'NF - 5 Power Mix'!MMK22</f>
        <v>0</v>
      </c>
      <c r="MML42" s="1046">
        <f>MML38+((MML40+'NF - 5 Power Mix'!MML14+'NF - 5 Power Mix'!MML15)*860/10)+((('Form Sa1'!MMO835)*860)/10)+('Form Sa1'!MMO814*'Form Sa1'!MMO816/10)-'NF - 5 Power Mix'!MML21-'NF - 5 Power Mix'!MML22</f>
        <v>0</v>
      </c>
      <c r="MMM42" s="1046">
        <f>MMM38+((MMM40+'NF - 5 Power Mix'!MMM14+'NF - 5 Power Mix'!MMM15)*860/10)+((('Form Sa1'!MMP835)*860)/10)+('Form Sa1'!MMP814*'Form Sa1'!MMP816/10)-'NF - 5 Power Mix'!MMM21-'NF - 5 Power Mix'!MMM22</f>
        <v>0</v>
      </c>
      <c r="MMN42" s="1046">
        <f>MMN38+((MMN40+'NF - 5 Power Mix'!MMN14+'NF - 5 Power Mix'!MMN15)*860/10)+((('Form Sa1'!MMQ835)*860)/10)+('Form Sa1'!MMQ814*'Form Sa1'!MMQ816/10)-'NF - 5 Power Mix'!MMN21-'NF - 5 Power Mix'!MMN22</f>
        <v>0</v>
      </c>
      <c r="MMO42" s="1046">
        <f>MMO38+((MMO40+'NF - 5 Power Mix'!MMO14+'NF - 5 Power Mix'!MMO15)*860/10)+((('Form Sa1'!MMR835)*860)/10)+('Form Sa1'!MMR814*'Form Sa1'!MMR816/10)-'NF - 5 Power Mix'!MMO21-'NF - 5 Power Mix'!MMO22</f>
        <v>0</v>
      </c>
      <c r="MMP42" s="1046">
        <f>MMP38+((MMP40+'NF - 5 Power Mix'!MMP14+'NF - 5 Power Mix'!MMP15)*860/10)+((('Form Sa1'!MMS835)*860)/10)+('Form Sa1'!MMS814*'Form Sa1'!MMS816/10)-'NF - 5 Power Mix'!MMP21-'NF - 5 Power Mix'!MMP22</f>
        <v>0</v>
      </c>
      <c r="MMQ42" s="1046">
        <f>MMQ38+((MMQ40+'NF - 5 Power Mix'!MMQ14+'NF - 5 Power Mix'!MMQ15)*860/10)+((('Form Sa1'!MMT835)*860)/10)+('Form Sa1'!MMT814*'Form Sa1'!MMT816/10)-'NF - 5 Power Mix'!MMQ21-'NF - 5 Power Mix'!MMQ22</f>
        <v>0</v>
      </c>
      <c r="MMR42" s="1046">
        <f>MMR38+((MMR40+'NF - 5 Power Mix'!MMR14+'NF - 5 Power Mix'!MMR15)*860/10)+((('Form Sa1'!MMU835)*860)/10)+('Form Sa1'!MMU814*'Form Sa1'!MMU816/10)-'NF - 5 Power Mix'!MMR21-'NF - 5 Power Mix'!MMR22</f>
        <v>0</v>
      </c>
      <c r="MMS42" s="1046">
        <f>MMS38+((MMS40+'NF - 5 Power Mix'!MMS14+'NF - 5 Power Mix'!MMS15)*860/10)+((('Form Sa1'!MMV835)*860)/10)+('Form Sa1'!MMV814*'Form Sa1'!MMV816/10)-'NF - 5 Power Mix'!MMS21-'NF - 5 Power Mix'!MMS22</f>
        <v>0</v>
      </c>
      <c r="MMT42" s="1046">
        <f>MMT38+((MMT40+'NF - 5 Power Mix'!MMT14+'NF - 5 Power Mix'!MMT15)*860/10)+((('Form Sa1'!MMW835)*860)/10)+('Form Sa1'!MMW814*'Form Sa1'!MMW816/10)-'NF - 5 Power Mix'!MMT21-'NF - 5 Power Mix'!MMT22</f>
        <v>0</v>
      </c>
      <c r="MMU42" s="1046">
        <f>MMU38+((MMU40+'NF - 5 Power Mix'!MMU14+'NF - 5 Power Mix'!MMU15)*860/10)+((('Form Sa1'!MMX835)*860)/10)+('Form Sa1'!MMX814*'Form Sa1'!MMX816/10)-'NF - 5 Power Mix'!MMU21-'NF - 5 Power Mix'!MMU22</f>
        <v>0</v>
      </c>
      <c r="MMV42" s="1046">
        <f>MMV38+((MMV40+'NF - 5 Power Mix'!MMV14+'NF - 5 Power Mix'!MMV15)*860/10)+((('Form Sa1'!MMY835)*860)/10)+('Form Sa1'!MMY814*'Form Sa1'!MMY816/10)-'NF - 5 Power Mix'!MMV21-'NF - 5 Power Mix'!MMV22</f>
        <v>0</v>
      </c>
      <c r="MMW42" s="1046">
        <f>MMW38+((MMW40+'NF - 5 Power Mix'!MMW14+'NF - 5 Power Mix'!MMW15)*860/10)+((('Form Sa1'!MMZ835)*860)/10)+('Form Sa1'!MMZ814*'Form Sa1'!MMZ816/10)-'NF - 5 Power Mix'!MMW21-'NF - 5 Power Mix'!MMW22</f>
        <v>0</v>
      </c>
      <c r="MMX42" s="1046">
        <f>MMX38+((MMX40+'NF - 5 Power Mix'!MMX14+'NF - 5 Power Mix'!MMX15)*860/10)+((('Form Sa1'!MNA835)*860)/10)+('Form Sa1'!MNA814*'Form Sa1'!MNA816/10)-'NF - 5 Power Mix'!MMX21-'NF - 5 Power Mix'!MMX22</f>
        <v>0</v>
      </c>
      <c r="MMY42" s="1046">
        <f>MMY38+((MMY40+'NF - 5 Power Mix'!MMY14+'NF - 5 Power Mix'!MMY15)*860/10)+((('Form Sa1'!MNB835)*860)/10)+('Form Sa1'!MNB814*'Form Sa1'!MNB816/10)-'NF - 5 Power Mix'!MMY21-'NF - 5 Power Mix'!MMY22</f>
        <v>0</v>
      </c>
      <c r="MMZ42" s="1046">
        <f>MMZ38+((MMZ40+'NF - 5 Power Mix'!MMZ14+'NF - 5 Power Mix'!MMZ15)*860/10)+((('Form Sa1'!MNC835)*860)/10)+('Form Sa1'!MNC814*'Form Sa1'!MNC816/10)-'NF - 5 Power Mix'!MMZ21-'NF - 5 Power Mix'!MMZ22</f>
        <v>0</v>
      </c>
      <c r="MNA42" s="1046">
        <f>MNA38+((MNA40+'NF - 5 Power Mix'!MNA14+'NF - 5 Power Mix'!MNA15)*860/10)+((('Form Sa1'!MND835)*860)/10)+('Form Sa1'!MND814*'Form Sa1'!MND816/10)-'NF - 5 Power Mix'!MNA21-'NF - 5 Power Mix'!MNA22</f>
        <v>0</v>
      </c>
      <c r="MNB42" s="1046">
        <f>MNB38+((MNB40+'NF - 5 Power Mix'!MNB14+'NF - 5 Power Mix'!MNB15)*860/10)+((('Form Sa1'!MNE835)*860)/10)+('Form Sa1'!MNE814*'Form Sa1'!MNE816/10)-'NF - 5 Power Mix'!MNB21-'NF - 5 Power Mix'!MNB22</f>
        <v>0</v>
      </c>
      <c r="MNC42" s="1046">
        <f>MNC38+((MNC40+'NF - 5 Power Mix'!MNC14+'NF - 5 Power Mix'!MNC15)*860/10)+((('Form Sa1'!MNF835)*860)/10)+('Form Sa1'!MNF814*'Form Sa1'!MNF816/10)-'NF - 5 Power Mix'!MNC21-'NF - 5 Power Mix'!MNC22</f>
        <v>0</v>
      </c>
      <c r="MND42" s="1046">
        <f>MND38+((MND40+'NF - 5 Power Mix'!MND14+'NF - 5 Power Mix'!MND15)*860/10)+((('Form Sa1'!MNG835)*860)/10)+('Form Sa1'!MNG814*'Form Sa1'!MNG816/10)-'NF - 5 Power Mix'!MND21-'NF - 5 Power Mix'!MND22</f>
        <v>0</v>
      </c>
      <c r="MNE42" s="1046">
        <f>MNE38+((MNE40+'NF - 5 Power Mix'!MNE14+'NF - 5 Power Mix'!MNE15)*860/10)+((('Form Sa1'!MNH835)*860)/10)+('Form Sa1'!MNH814*'Form Sa1'!MNH816/10)-'NF - 5 Power Mix'!MNE21-'NF - 5 Power Mix'!MNE22</f>
        <v>0</v>
      </c>
      <c r="MNF42" s="1046">
        <f>MNF38+((MNF40+'NF - 5 Power Mix'!MNF14+'NF - 5 Power Mix'!MNF15)*860/10)+((('Form Sa1'!MNI835)*860)/10)+('Form Sa1'!MNI814*'Form Sa1'!MNI816/10)-'NF - 5 Power Mix'!MNF21-'NF - 5 Power Mix'!MNF22</f>
        <v>0</v>
      </c>
      <c r="MNG42" s="1046">
        <f>MNG38+((MNG40+'NF - 5 Power Mix'!MNG14+'NF - 5 Power Mix'!MNG15)*860/10)+((('Form Sa1'!MNJ835)*860)/10)+('Form Sa1'!MNJ814*'Form Sa1'!MNJ816/10)-'NF - 5 Power Mix'!MNG21-'NF - 5 Power Mix'!MNG22</f>
        <v>0</v>
      </c>
      <c r="MNH42" s="1046">
        <f>MNH38+((MNH40+'NF - 5 Power Mix'!MNH14+'NF - 5 Power Mix'!MNH15)*860/10)+((('Form Sa1'!MNK835)*860)/10)+('Form Sa1'!MNK814*'Form Sa1'!MNK816/10)-'NF - 5 Power Mix'!MNH21-'NF - 5 Power Mix'!MNH22</f>
        <v>0</v>
      </c>
      <c r="MNI42" s="1046">
        <f>MNI38+((MNI40+'NF - 5 Power Mix'!MNI14+'NF - 5 Power Mix'!MNI15)*860/10)+((('Form Sa1'!MNL835)*860)/10)+('Form Sa1'!MNL814*'Form Sa1'!MNL816/10)-'NF - 5 Power Mix'!MNI21-'NF - 5 Power Mix'!MNI22</f>
        <v>0</v>
      </c>
      <c r="MNJ42" s="1046">
        <f>MNJ38+((MNJ40+'NF - 5 Power Mix'!MNJ14+'NF - 5 Power Mix'!MNJ15)*860/10)+((('Form Sa1'!MNM835)*860)/10)+('Form Sa1'!MNM814*'Form Sa1'!MNM816/10)-'NF - 5 Power Mix'!MNJ21-'NF - 5 Power Mix'!MNJ22</f>
        <v>0</v>
      </c>
      <c r="MNK42" s="1046">
        <f>MNK38+((MNK40+'NF - 5 Power Mix'!MNK14+'NF - 5 Power Mix'!MNK15)*860/10)+((('Form Sa1'!MNN835)*860)/10)+('Form Sa1'!MNN814*'Form Sa1'!MNN816/10)-'NF - 5 Power Mix'!MNK21-'NF - 5 Power Mix'!MNK22</f>
        <v>0</v>
      </c>
      <c r="MNL42" s="1046">
        <f>MNL38+((MNL40+'NF - 5 Power Mix'!MNL14+'NF - 5 Power Mix'!MNL15)*860/10)+((('Form Sa1'!MNO835)*860)/10)+('Form Sa1'!MNO814*'Form Sa1'!MNO816/10)-'NF - 5 Power Mix'!MNL21-'NF - 5 Power Mix'!MNL22</f>
        <v>0</v>
      </c>
      <c r="MNM42" s="1046">
        <f>MNM38+((MNM40+'NF - 5 Power Mix'!MNM14+'NF - 5 Power Mix'!MNM15)*860/10)+((('Form Sa1'!MNP835)*860)/10)+('Form Sa1'!MNP814*'Form Sa1'!MNP816/10)-'NF - 5 Power Mix'!MNM21-'NF - 5 Power Mix'!MNM22</f>
        <v>0</v>
      </c>
      <c r="MNN42" s="1046">
        <f>MNN38+((MNN40+'NF - 5 Power Mix'!MNN14+'NF - 5 Power Mix'!MNN15)*860/10)+((('Form Sa1'!MNQ835)*860)/10)+('Form Sa1'!MNQ814*'Form Sa1'!MNQ816/10)-'NF - 5 Power Mix'!MNN21-'NF - 5 Power Mix'!MNN22</f>
        <v>0</v>
      </c>
      <c r="MNO42" s="1046">
        <f>MNO38+((MNO40+'NF - 5 Power Mix'!MNO14+'NF - 5 Power Mix'!MNO15)*860/10)+((('Form Sa1'!MNR835)*860)/10)+('Form Sa1'!MNR814*'Form Sa1'!MNR816/10)-'NF - 5 Power Mix'!MNO21-'NF - 5 Power Mix'!MNO22</f>
        <v>0</v>
      </c>
      <c r="MNP42" s="1046">
        <f>MNP38+((MNP40+'NF - 5 Power Mix'!MNP14+'NF - 5 Power Mix'!MNP15)*860/10)+((('Form Sa1'!MNS835)*860)/10)+('Form Sa1'!MNS814*'Form Sa1'!MNS816/10)-'NF - 5 Power Mix'!MNP21-'NF - 5 Power Mix'!MNP22</f>
        <v>0</v>
      </c>
      <c r="MNQ42" s="1046">
        <f>MNQ38+((MNQ40+'NF - 5 Power Mix'!MNQ14+'NF - 5 Power Mix'!MNQ15)*860/10)+((('Form Sa1'!MNT835)*860)/10)+('Form Sa1'!MNT814*'Form Sa1'!MNT816/10)-'NF - 5 Power Mix'!MNQ21-'NF - 5 Power Mix'!MNQ22</f>
        <v>0</v>
      </c>
      <c r="MNR42" s="1046">
        <f>MNR38+((MNR40+'NF - 5 Power Mix'!MNR14+'NF - 5 Power Mix'!MNR15)*860/10)+((('Form Sa1'!MNU835)*860)/10)+('Form Sa1'!MNU814*'Form Sa1'!MNU816/10)-'NF - 5 Power Mix'!MNR21-'NF - 5 Power Mix'!MNR22</f>
        <v>0</v>
      </c>
      <c r="MNS42" s="1046">
        <f>MNS38+((MNS40+'NF - 5 Power Mix'!MNS14+'NF - 5 Power Mix'!MNS15)*860/10)+((('Form Sa1'!MNV835)*860)/10)+('Form Sa1'!MNV814*'Form Sa1'!MNV816/10)-'NF - 5 Power Mix'!MNS21-'NF - 5 Power Mix'!MNS22</f>
        <v>0</v>
      </c>
      <c r="MNT42" s="1046">
        <f>MNT38+((MNT40+'NF - 5 Power Mix'!MNT14+'NF - 5 Power Mix'!MNT15)*860/10)+((('Form Sa1'!MNW835)*860)/10)+('Form Sa1'!MNW814*'Form Sa1'!MNW816/10)-'NF - 5 Power Mix'!MNT21-'NF - 5 Power Mix'!MNT22</f>
        <v>0</v>
      </c>
      <c r="MNU42" s="1046">
        <f>MNU38+((MNU40+'NF - 5 Power Mix'!MNU14+'NF - 5 Power Mix'!MNU15)*860/10)+((('Form Sa1'!MNX835)*860)/10)+('Form Sa1'!MNX814*'Form Sa1'!MNX816/10)-'NF - 5 Power Mix'!MNU21-'NF - 5 Power Mix'!MNU22</f>
        <v>0</v>
      </c>
      <c r="MNV42" s="1046">
        <f>MNV38+((MNV40+'NF - 5 Power Mix'!MNV14+'NF - 5 Power Mix'!MNV15)*860/10)+((('Form Sa1'!MNY835)*860)/10)+('Form Sa1'!MNY814*'Form Sa1'!MNY816/10)-'NF - 5 Power Mix'!MNV21-'NF - 5 Power Mix'!MNV22</f>
        <v>0</v>
      </c>
      <c r="MNW42" s="1046">
        <f>MNW38+((MNW40+'NF - 5 Power Mix'!MNW14+'NF - 5 Power Mix'!MNW15)*860/10)+((('Form Sa1'!MNZ835)*860)/10)+('Form Sa1'!MNZ814*'Form Sa1'!MNZ816/10)-'NF - 5 Power Mix'!MNW21-'NF - 5 Power Mix'!MNW22</f>
        <v>0</v>
      </c>
      <c r="MNX42" s="1046">
        <f>MNX38+((MNX40+'NF - 5 Power Mix'!MNX14+'NF - 5 Power Mix'!MNX15)*860/10)+((('Form Sa1'!MOA835)*860)/10)+('Form Sa1'!MOA814*'Form Sa1'!MOA816/10)-'NF - 5 Power Mix'!MNX21-'NF - 5 Power Mix'!MNX22</f>
        <v>0</v>
      </c>
      <c r="MNY42" s="1046">
        <f>MNY38+((MNY40+'NF - 5 Power Mix'!MNY14+'NF - 5 Power Mix'!MNY15)*860/10)+((('Form Sa1'!MOB835)*860)/10)+('Form Sa1'!MOB814*'Form Sa1'!MOB816/10)-'NF - 5 Power Mix'!MNY21-'NF - 5 Power Mix'!MNY22</f>
        <v>0</v>
      </c>
      <c r="MNZ42" s="1046">
        <f>MNZ38+((MNZ40+'NF - 5 Power Mix'!MNZ14+'NF - 5 Power Mix'!MNZ15)*860/10)+((('Form Sa1'!MOC835)*860)/10)+('Form Sa1'!MOC814*'Form Sa1'!MOC816/10)-'NF - 5 Power Mix'!MNZ21-'NF - 5 Power Mix'!MNZ22</f>
        <v>0</v>
      </c>
      <c r="MOA42" s="1046">
        <f>MOA38+((MOA40+'NF - 5 Power Mix'!MOA14+'NF - 5 Power Mix'!MOA15)*860/10)+((('Form Sa1'!MOD835)*860)/10)+('Form Sa1'!MOD814*'Form Sa1'!MOD816/10)-'NF - 5 Power Mix'!MOA21-'NF - 5 Power Mix'!MOA22</f>
        <v>0</v>
      </c>
      <c r="MOB42" s="1046">
        <f>MOB38+((MOB40+'NF - 5 Power Mix'!MOB14+'NF - 5 Power Mix'!MOB15)*860/10)+((('Form Sa1'!MOE835)*860)/10)+('Form Sa1'!MOE814*'Form Sa1'!MOE816/10)-'NF - 5 Power Mix'!MOB21-'NF - 5 Power Mix'!MOB22</f>
        <v>0</v>
      </c>
      <c r="MOC42" s="1046">
        <f>MOC38+((MOC40+'NF - 5 Power Mix'!MOC14+'NF - 5 Power Mix'!MOC15)*860/10)+((('Form Sa1'!MOF835)*860)/10)+('Form Sa1'!MOF814*'Form Sa1'!MOF816/10)-'NF - 5 Power Mix'!MOC21-'NF - 5 Power Mix'!MOC22</f>
        <v>0</v>
      </c>
      <c r="MOD42" s="1046">
        <f>MOD38+((MOD40+'NF - 5 Power Mix'!MOD14+'NF - 5 Power Mix'!MOD15)*860/10)+((('Form Sa1'!MOG835)*860)/10)+('Form Sa1'!MOG814*'Form Sa1'!MOG816/10)-'NF - 5 Power Mix'!MOD21-'NF - 5 Power Mix'!MOD22</f>
        <v>0</v>
      </c>
      <c r="MOE42" s="1046">
        <f>MOE38+((MOE40+'NF - 5 Power Mix'!MOE14+'NF - 5 Power Mix'!MOE15)*860/10)+((('Form Sa1'!MOH835)*860)/10)+('Form Sa1'!MOH814*'Form Sa1'!MOH816/10)-'NF - 5 Power Mix'!MOE21-'NF - 5 Power Mix'!MOE22</f>
        <v>0</v>
      </c>
      <c r="MOF42" s="1046">
        <f>MOF38+((MOF40+'NF - 5 Power Mix'!MOF14+'NF - 5 Power Mix'!MOF15)*860/10)+((('Form Sa1'!MOI835)*860)/10)+('Form Sa1'!MOI814*'Form Sa1'!MOI816/10)-'NF - 5 Power Mix'!MOF21-'NF - 5 Power Mix'!MOF22</f>
        <v>0</v>
      </c>
      <c r="MOG42" s="1046">
        <f>MOG38+((MOG40+'NF - 5 Power Mix'!MOG14+'NF - 5 Power Mix'!MOG15)*860/10)+((('Form Sa1'!MOJ835)*860)/10)+('Form Sa1'!MOJ814*'Form Sa1'!MOJ816/10)-'NF - 5 Power Mix'!MOG21-'NF - 5 Power Mix'!MOG22</f>
        <v>0</v>
      </c>
      <c r="MOH42" s="1046">
        <f>MOH38+((MOH40+'NF - 5 Power Mix'!MOH14+'NF - 5 Power Mix'!MOH15)*860/10)+((('Form Sa1'!MOK835)*860)/10)+('Form Sa1'!MOK814*'Form Sa1'!MOK816/10)-'NF - 5 Power Mix'!MOH21-'NF - 5 Power Mix'!MOH22</f>
        <v>0</v>
      </c>
      <c r="MOI42" s="1046">
        <f>MOI38+((MOI40+'NF - 5 Power Mix'!MOI14+'NF - 5 Power Mix'!MOI15)*860/10)+((('Form Sa1'!MOL835)*860)/10)+('Form Sa1'!MOL814*'Form Sa1'!MOL816/10)-'NF - 5 Power Mix'!MOI21-'NF - 5 Power Mix'!MOI22</f>
        <v>0</v>
      </c>
      <c r="MOJ42" s="1046">
        <f>MOJ38+((MOJ40+'NF - 5 Power Mix'!MOJ14+'NF - 5 Power Mix'!MOJ15)*860/10)+((('Form Sa1'!MOM835)*860)/10)+('Form Sa1'!MOM814*'Form Sa1'!MOM816/10)-'NF - 5 Power Mix'!MOJ21-'NF - 5 Power Mix'!MOJ22</f>
        <v>0</v>
      </c>
      <c r="MOK42" s="1046">
        <f>MOK38+((MOK40+'NF - 5 Power Mix'!MOK14+'NF - 5 Power Mix'!MOK15)*860/10)+((('Form Sa1'!MON835)*860)/10)+('Form Sa1'!MON814*'Form Sa1'!MON816/10)-'NF - 5 Power Mix'!MOK21-'NF - 5 Power Mix'!MOK22</f>
        <v>0</v>
      </c>
      <c r="MOL42" s="1046">
        <f>MOL38+((MOL40+'NF - 5 Power Mix'!MOL14+'NF - 5 Power Mix'!MOL15)*860/10)+((('Form Sa1'!MOO835)*860)/10)+('Form Sa1'!MOO814*'Form Sa1'!MOO816/10)-'NF - 5 Power Mix'!MOL21-'NF - 5 Power Mix'!MOL22</f>
        <v>0</v>
      </c>
      <c r="MOM42" s="1046">
        <f>MOM38+((MOM40+'NF - 5 Power Mix'!MOM14+'NF - 5 Power Mix'!MOM15)*860/10)+((('Form Sa1'!MOP835)*860)/10)+('Form Sa1'!MOP814*'Form Sa1'!MOP816/10)-'NF - 5 Power Mix'!MOM21-'NF - 5 Power Mix'!MOM22</f>
        <v>0</v>
      </c>
      <c r="MON42" s="1046">
        <f>MON38+((MON40+'NF - 5 Power Mix'!MON14+'NF - 5 Power Mix'!MON15)*860/10)+((('Form Sa1'!MOQ835)*860)/10)+('Form Sa1'!MOQ814*'Form Sa1'!MOQ816/10)-'NF - 5 Power Mix'!MON21-'NF - 5 Power Mix'!MON22</f>
        <v>0</v>
      </c>
      <c r="MOO42" s="1046">
        <f>MOO38+((MOO40+'NF - 5 Power Mix'!MOO14+'NF - 5 Power Mix'!MOO15)*860/10)+((('Form Sa1'!MOR835)*860)/10)+('Form Sa1'!MOR814*'Form Sa1'!MOR816/10)-'NF - 5 Power Mix'!MOO21-'NF - 5 Power Mix'!MOO22</f>
        <v>0</v>
      </c>
      <c r="MOP42" s="1046">
        <f>MOP38+((MOP40+'NF - 5 Power Mix'!MOP14+'NF - 5 Power Mix'!MOP15)*860/10)+((('Form Sa1'!MOS835)*860)/10)+('Form Sa1'!MOS814*'Form Sa1'!MOS816/10)-'NF - 5 Power Mix'!MOP21-'NF - 5 Power Mix'!MOP22</f>
        <v>0</v>
      </c>
      <c r="MOQ42" s="1046">
        <f>MOQ38+((MOQ40+'NF - 5 Power Mix'!MOQ14+'NF - 5 Power Mix'!MOQ15)*860/10)+((('Form Sa1'!MOT835)*860)/10)+('Form Sa1'!MOT814*'Form Sa1'!MOT816/10)-'NF - 5 Power Mix'!MOQ21-'NF - 5 Power Mix'!MOQ22</f>
        <v>0</v>
      </c>
      <c r="MOR42" s="1046">
        <f>MOR38+((MOR40+'NF - 5 Power Mix'!MOR14+'NF - 5 Power Mix'!MOR15)*860/10)+((('Form Sa1'!MOU835)*860)/10)+('Form Sa1'!MOU814*'Form Sa1'!MOU816/10)-'NF - 5 Power Mix'!MOR21-'NF - 5 Power Mix'!MOR22</f>
        <v>0</v>
      </c>
      <c r="MOS42" s="1046">
        <f>MOS38+((MOS40+'NF - 5 Power Mix'!MOS14+'NF - 5 Power Mix'!MOS15)*860/10)+((('Form Sa1'!MOV835)*860)/10)+('Form Sa1'!MOV814*'Form Sa1'!MOV816/10)-'NF - 5 Power Mix'!MOS21-'NF - 5 Power Mix'!MOS22</f>
        <v>0</v>
      </c>
      <c r="MOT42" s="1046">
        <f>MOT38+((MOT40+'NF - 5 Power Mix'!MOT14+'NF - 5 Power Mix'!MOT15)*860/10)+((('Form Sa1'!MOW835)*860)/10)+('Form Sa1'!MOW814*'Form Sa1'!MOW816/10)-'NF - 5 Power Mix'!MOT21-'NF - 5 Power Mix'!MOT22</f>
        <v>0</v>
      </c>
      <c r="MOU42" s="1046">
        <f>MOU38+((MOU40+'NF - 5 Power Mix'!MOU14+'NF - 5 Power Mix'!MOU15)*860/10)+((('Form Sa1'!MOX835)*860)/10)+('Form Sa1'!MOX814*'Form Sa1'!MOX816/10)-'NF - 5 Power Mix'!MOU21-'NF - 5 Power Mix'!MOU22</f>
        <v>0</v>
      </c>
      <c r="MOV42" s="1046">
        <f>MOV38+((MOV40+'NF - 5 Power Mix'!MOV14+'NF - 5 Power Mix'!MOV15)*860/10)+((('Form Sa1'!MOY835)*860)/10)+('Form Sa1'!MOY814*'Form Sa1'!MOY816/10)-'NF - 5 Power Mix'!MOV21-'NF - 5 Power Mix'!MOV22</f>
        <v>0</v>
      </c>
      <c r="MOW42" s="1046">
        <f>MOW38+((MOW40+'NF - 5 Power Mix'!MOW14+'NF - 5 Power Mix'!MOW15)*860/10)+((('Form Sa1'!MOZ835)*860)/10)+('Form Sa1'!MOZ814*'Form Sa1'!MOZ816/10)-'NF - 5 Power Mix'!MOW21-'NF - 5 Power Mix'!MOW22</f>
        <v>0</v>
      </c>
      <c r="MOX42" s="1046">
        <f>MOX38+((MOX40+'NF - 5 Power Mix'!MOX14+'NF - 5 Power Mix'!MOX15)*860/10)+((('Form Sa1'!MPA835)*860)/10)+('Form Sa1'!MPA814*'Form Sa1'!MPA816/10)-'NF - 5 Power Mix'!MOX21-'NF - 5 Power Mix'!MOX22</f>
        <v>0</v>
      </c>
      <c r="MOY42" s="1046">
        <f>MOY38+((MOY40+'NF - 5 Power Mix'!MOY14+'NF - 5 Power Mix'!MOY15)*860/10)+((('Form Sa1'!MPB835)*860)/10)+('Form Sa1'!MPB814*'Form Sa1'!MPB816/10)-'NF - 5 Power Mix'!MOY21-'NF - 5 Power Mix'!MOY22</f>
        <v>0</v>
      </c>
      <c r="MOZ42" s="1046">
        <f>MOZ38+((MOZ40+'NF - 5 Power Mix'!MOZ14+'NF - 5 Power Mix'!MOZ15)*860/10)+((('Form Sa1'!MPC835)*860)/10)+('Form Sa1'!MPC814*'Form Sa1'!MPC816/10)-'NF - 5 Power Mix'!MOZ21-'NF - 5 Power Mix'!MOZ22</f>
        <v>0</v>
      </c>
      <c r="MPA42" s="1046">
        <f>MPA38+((MPA40+'NF - 5 Power Mix'!MPA14+'NF - 5 Power Mix'!MPA15)*860/10)+((('Form Sa1'!MPD835)*860)/10)+('Form Sa1'!MPD814*'Form Sa1'!MPD816/10)-'NF - 5 Power Mix'!MPA21-'NF - 5 Power Mix'!MPA22</f>
        <v>0</v>
      </c>
      <c r="MPB42" s="1046">
        <f>MPB38+((MPB40+'NF - 5 Power Mix'!MPB14+'NF - 5 Power Mix'!MPB15)*860/10)+((('Form Sa1'!MPE835)*860)/10)+('Form Sa1'!MPE814*'Form Sa1'!MPE816/10)-'NF - 5 Power Mix'!MPB21-'NF - 5 Power Mix'!MPB22</f>
        <v>0</v>
      </c>
      <c r="MPC42" s="1046">
        <f>MPC38+((MPC40+'NF - 5 Power Mix'!MPC14+'NF - 5 Power Mix'!MPC15)*860/10)+((('Form Sa1'!MPF835)*860)/10)+('Form Sa1'!MPF814*'Form Sa1'!MPF816/10)-'NF - 5 Power Mix'!MPC21-'NF - 5 Power Mix'!MPC22</f>
        <v>0</v>
      </c>
      <c r="MPD42" s="1046">
        <f>MPD38+((MPD40+'NF - 5 Power Mix'!MPD14+'NF - 5 Power Mix'!MPD15)*860/10)+((('Form Sa1'!MPG835)*860)/10)+('Form Sa1'!MPG814*'Form Sa1'!MPG816/10)-'NF - 5 Power Mix'!MPD21-'NF - 5 Power Mix'!MPD22</f>
        <v>0</v>
      </c>
      <c r="MPE42" s="1046">
        <f>MPE38+((MPE40+'NF - 5 Power Mix'!MPE14+'NF - 5 Power Mix'!MPE15)*860/10)+((('Form Sa1'!MPH835)*860)/10)+('Form Sa1'!MPH814*'Form Sa1'!MPH816/10)-'NF - 5 Power Mix'!MPE21-'NF - 5 Power Mix'!MPE22</f>
        <v>0</v>
      </c>
      <c r="MPF42" s="1046">
        <f>MPF38+((MPF40+'NF - 5 Power Mix'!MPF14+'NF - 5 Power Mix'!MPF15)*860/10)+((('Form Sa1'!MPI835)*860)/10)+('Form Sa1'!MPI814*'Form Sa1'!MPI816/10)-'NF - 5 Power Mix'!MPF21-'NF - 5 Power Mix'!MPF22</f>
        <v>0</v>
      </c>
      <c r="MPG42" s="1046">
        <f>MPG38+((MPG40+'NF - 5 Power Mix'!MPG14+'NF - 5 Power Mix'!MPG15)*860/10)+((('Form Sa1'!MPJ835)*860)/10)+('Form Sa1'!MPJ814*'Form Sa1'!MPJ816/10)-'NF - 5 Power Mix'!MPG21-'NF - 5 Power Mix'!MPG22</f>
        <v>0</v>
      </c>
      <c r="MPH42" s="1046">
        <f>MPH38+((MPH40+'NF - 5 Power Mix'!MPH14+'NF - 5 Power Mix'!MPH15)*860/10)+((('Form Sa1'!MPK835)*860)/10)+('Form Sa1'!MPK814*'Form Sa1'!MPK816/10)-'NF - 5 Power Mix'!MPH21-'NF - 5 Power Mix'!MPH22</f>
        <v>0</v>
      </c>
      <c r="MPI42" s="1046">
        <f>MPI38+((MPI40+'NF - 5 Power Mix'!MPI14+'NF - 5 Power Mix'!MPI15)*860/10)+((('Form Sa1'!MPL835)*860)/10)+('Form Sa1'!MPL814*'Form Sa1'!MPL816/10)-'NF - 5 Power Mix'!MPI21-'NF - 5 Power Mix'!MPI22</f>
        <v>0</v>
      </c>
      <c r="MPJ42" s="1046">
        <f>MPJ38+((MPJ40+'NF - 5 Power Mix'!MPJ14+'NF - 5 Power Mix'!MPJ15)*860/10)+((('Form Sa1'!MPM835)*860)/10)+('Form Sa1'!MPM814*'Form Sa1'!MPM816/10)-'NF - 5 Power Mix'!MPJ21-'NF - 5 Power Mix'!MPJ22</f>
        <v>0</v>
      </c>
      <c r="MPK42" s="1046">
        <f>MPK38+((MPK40+'NF - 5 Power Mix'!MPK14+'NF - 5 Power Mix'!MPK15)*860/10)+((('Form Sa1'!MPN835)*860)/10)+('Form Sa1'!MPN814*'Form Sa1'!MPN816/10)-'NF - 5 Power Mix'!MPK21-'NF - 5 Power Mix'!MPK22</f>
        <v>0</v>
      </c>
      <c r="MPL42" s="1046">
        <f>MPL38+((MPL40+'NF - 5 Power Mix'!MPL14+'NF - 5 Power Mix'!MPL15)*860/10)+((('Form Sa1'!MPO835)*860)/10)+('Form Sa1'!MPO814*'Form Sa1'!MPO816/10)-'NF - 5 Power Mix'!MPL21-'NF - 5 Power Mix'!MPL22</f>
        <v>0</v>
      </c>
      <c r="MPM42" s="1046">
        <f>MPM38+((MPM40+'NF - 5 Power Mix'!MPM14+'NF - 5 Power Mix'!MPM15)*860/10)+((('Form Sa1'!MPP835)*860)/10)+('Form Sa1'!MPP814*'Form Sa1'!MPP816/10)-'NF - 5 Power Mix'!MPM21-'NF - 5 Power Mix'!MPM22</f>
        <v>0</v>
      </c>
      <c r="MPN42" s="1046">
        <f>MPN38+((MPN40+'NF - 5 Power Mix'!MPN14+'NF - 5 Power Mix'!MPN15)*860/10)+((('Form Sa1'!MPQ835)*860)/10)+('Form Sa1'!MPQ814*'Form Sa1'!MPQ816/10)-'NF - 5 Power Mix'!MPN21-'NF - 5 Power Mix'!MPN22</f>
        <v>0</v>
      </c>
      <c r="MPO42" s="1046">
        <f>MPO38+((MPO40+'NF - 5 Power Mix'!MPO14+'NF - 5 Power Mix'!MPO15)*860/10)+((('Form Sa1'!MPR835)*860)/10)+('Form Sa1'!MPR814*'Form Sa1'!MPR816/10)-'NF - 5 Power Mix'!MPO21-'NF - 5 Power Mix'!MPO22</f>
        <v>0</v>
      </c>
      <c r="MPP42" s="1046">
        <f>MPP38+((MPP40+'NF - 5 Power Mix'!MPP14+'NF - 5 Power Mix'!MPP15)*860/10)+((('Form Sa1'!MPS835)*860)/10)+('Form Sa1'!MPS814*'Form Sa1'!MPS816/10)-'NF - 5 Power Mix'!MPP21-'NF - 5 Power Mix'!MPP22</f>
        <v>0</v>
      </c>
      <c r="MPQ42" s="1046">
        <f>MPQ38+((MPQ40+'NF - 5 Power Mix'!MPQ14+'NF - 5 Power Mix'!MPQ15)*860/10)+((('Form Sa1'!MPT835)*860)/10)+('Form Sa1'!MPT814*'Form Sa1'!MPT816/10)-'NF - 5 Power Mix'!MPQ21-'NF - 5 Power Mix'!MPQ22</f>
        <v>0</v>
      </c>
      <c r="MPR42" s="1046">
        <f>MPR38+((MPR40+'NF - 5 Power Mix'!MPR14+'NF - 5 Power Mix'!MPR15)*860/10)+((('Form Sa1'!MPU835)*860)/10)+('Form Sa1'!MPU814*'Form Sa1'!MPU816/10)-'NF - 5 Power Mix'!MPR21-'NF - 5 Power Mix'!MPR22</f>
        <v>0</v>
      </c>
      <c r="MPS42" s="1046">
        <f>MPS38+((MPS40+'NF - 5 Power Mix'!MPS14+'NF - 5 Power Mix'!MPS15)*860/10)+((('Form Sa1'!MPV835)*860)/10)+('Form Sa1'!MPV814*'Form Sa1'!MPV816/10)-'NF - 5 Power Mix'!MPS21-'NF - 5 Power Mix'!MPS22</f>
        <v>0</v>
      </c>
      <c r="MPT42" s="1046">
        <f>MPT38+((MPT40+'NF - 5 Power Mix'!MPT14+'NF - 5 Power Mix'!MPT15)*860/10)+((('Form Sa1'!MPW835)*860)/10)+('Form Sa1'!MPW814*'Form Sa1'!MPW816/10)-'NF - 5 Power Mix'!MPT21-'NF - 5 Power Mix'!MPT22</f>
        <v>0</v>
      </c>
      <c r="MPU42" s="1046">
        <f>MPU38+((MPU40+'NF - 5 Power Mix'!MPU14+'NF - 5 Power Mix'!MPU15)*860/10)+((('Form Sa1'!MPX835)*860)/10)+('Form Sa1'!MPX814*'Form Sa1'!MPX816/10)-'NF - 5 Power Mix'!MPU21-'NF - 5 Power Mix'!MPU22</f>
        <v>0</v>
      </c>
      <c r="MPV42" s="1046">
        <f>MPV38+((MPV40+'NF - 5 Power Mix'!MPV14+'NF - 5 Power Mix'!MPV15)*860/10)+((('Form Sa1'!MPY835)*860)/10)+('Form Sa1'!MPY814*'Form Sa1'!MPY816/10)-'NF - 5 Power Mix'!MPV21-'NF - 5 Power Mix'!MPV22</f>
        <v>0</v>
      </c>
      <c r="MPW42" s="1046">
        <f>MPW38+((MPW40+'NF - 5 Power Mix'!MPW14+'NF - 5 Power Mix'!MPW15)*860/10)+((('Form Sa1'!MPZ835)*860)/10)+('Form Sa1'!MPZ814*'Form Sa1'!MPZ816/10)-'NF - 5 Power Mix'!MPW21-'NF - 5 Power Mix'!MPW22</f>
        <v>0</v>
      </c>
      <c r="MPX42" s="1046">
        <f>MPX38+((MPX40+'NF - 5 Power Mix'!MPX14+'NF - 5 Power Mix'!MPX15)*860/10)+((('Form Sa1'!MQA835)*860)/10)+('Form Sa1'!MQA814*'Form Sa1'!MQA816/10)-'NF - 5 Power Mix'!MPX21-'NF - 5 Power Mix'!MPX22</f>
        <v>0</v>
      </c>
      <c r="MPY42" s="1046">
        <f>MPY38+((MPY40+'NF - 5 Power Mix'!MPY14+'NF - 5 Power Mix'!MPY15)*860/10)+((('Form Sa1'!MQB835)*860)/10)+('Form Sa1'!MQB814*'Form Sa1'!MQB816/10)-'NF - 5 Power Mix'!MPY21-'NF - 5 Power Mix'!MPY22</f>
        <v>0</v>
      </c>
      <c r="MPZ42" s="1046">
        <f>MPZ38+((MPZ40+'NF - 5 Power Mix'!MPZ14+'NF - 5 Power Mix'!MPZ15)*860/10)+((('Form Sa1'!MQC835)*860)/10)+('Form Sa1'!MQC814*'Form Sa1'!MQC816/10)-'NF - 5 Power Mix'!MPZ21-'NF - 5 Power Mix'!MPZ22</f>
        <v>0</v>
      </c>
      <c r="MQA42" s="1046">
        <f>MQA38+((MQA40+'NF - 5 Power Mix'!MQA14+'NF - 5 Power Mix'!MQA15)*860/10)+((('Form Sa1'!MQD835)*860)/10)+('Form Sa1'!MQD814*'Form Sa1'!MQD816/10)-'NF - 5 Power Mix'!MQA21-'NF - 5 Power Mix'!MQA22</f>
        <v>0</v>
      </c>
      <c r="MQB42" s="1046">
        <f>MQB38+((MQB40+'NF - 5 Power Mix'!MQB14+'NF - 5 Power Mix'!MQB15)*860/10)+((('Form Sa1'!MQE835)*860)/10)+('Form Sa1'!MQE814*'Form Sa1'!MQE816/10)-'NF - 5 Power Mix'!MQB21-'NF - 5 Power Mix'!MQB22</f>
        <v>0</v>
      </c>
      <c r="MQC42" s="1046">
        <f>MQC38+((MQC40+'NF - 5 Power Mix'!MQC14+'NF - 5 Power Mix'!MQC15)*860/10)+((('Form Sa1'!MQF835)*860)/10)+('Form Sa1'!MQF814*'Form Sa1'!MQF816/10)-'NF - 5 Power Mix'!MQC21-'NF - 5 Power Mix'!MQC22</f>
        <v>0</v>
      </c>
      <c r="MQD42" s="1046">
        <f>MQD38+((MQD40+'NF - 5 Power Mix'!MQD14+'NF - 5 Power Mix'!MQD15)*860/10)+((('Form Sa1'!MQG835)*860)/10)+('Form Sa1'!MQG814*'Form Sa1'!MQG816/10)-'NF - 5 Power Mix'!MQD21-'NF - 5 Power Mix'!MQD22</f>
        <v>0</v>
      </c>
      <c r="MQE42" s="1046">
        <f>MQE38+((MQE40+'NF - 5 Power Mix'!MQE14+'NF - 5 Power Mix'!MQE15)*860/10)+((('Form Sa1'!MQH835)*860)/10)+('Form Sa1'!MQH814*'Form Sa1'!MQH816/10)-'NF - 5 Power Mix'!MQE21-'NF - 5 Power Mix'!MQE22</f>
        <v>0</v>
      </c>
      <c r="MQF42" s="1046">
        <f>MQF38+((MQF40+'NF - 5 Power Mix'!MQF14+'NF - 5 Power Mix'!MQF15)*860/10)+((('Form Sa1'!MQI835)*860)/10)+('Form Sa1'!MQI814*'Form Sa1'!MQI816/10)-'NF - 5 Power Mix'!MQF21-'NF - 5 Power Mix'!MQF22</f>
        <v>0</v>
      </c>
      <c r="MQG42" s="1046">
        <f>MQG38+((MQG40+'NF - 5 Power Mix'!MQG14+'NF - 5 Power Mix'!MQG15)*860/10)+((('Form Sa1'!MQJ835)*860)/10)+('Form Sa1'!MQJ814*'Form Sa1'!MQJ816/10)-'NF - 5 Power Mix'!MQG21-'NF - 5 Power Mix'!MQG22</f>
        <v>0</v>
      </c>
      <c r="MQH42" s="1046">
        <f>MQH38+((MQH40+'NF - 5 Power Mix'!MQH14+'NF - 5 Power Mix'!MQH15)*860/10)+((('Form Sa1'!MQK835)*860)/10)+('Form Sa1'!MQK814*'Form Sa1'!MQK816/10)-'NF - 5 Power Mix'!MQH21-'NF - 5 Power Mix'!MQH22</f>
        <v>0</v>
      </c>
      <c r="MQI42" s="1046">
        <f>MQI38+((MQI40+'NF - 5 Power Mix'!MQI14+'NF - 5 Power Mix'!MQI15)*860/10)+((('Form Sa1'!MQL835)*860)/10)+('Form Sa1'!MQL814*'Form Sa1'!MQL816/10)-'NF - 5 Power Mix'!MQI21-'NF - 5 Power Mix'!MQI22</f>
        <v>0</v>
      </c>
      <c r="MQJ42" s="1046">
        <f>MQJ38+((MQJ40+'NF - 5 Power Mix'!MQJ14+'NF - 5 Power Mix'!MQJ15)*860/10)+((('Form Sa1'!MQM835)*860)/10)+('Form Sa1'!MQM814*'Form Sa1'!MQM816/10)-'NF - 5 Power Mix'!MQJ21-'NF - 5 Power Mix'!MQJ22</f>
        <v>0</v>
      </c>
      <c r="MQK42" s="1046">
        <f>MQK38+((MQK40+'NF - 5 Power Mix'!MQK14+'NF - 5 Power Mix'!MQK15)*860/10)+((('Form Sa1'!MQN835)*860)/10)+('Form Sa1'!MQN814*'Form Sa1'!MQN816/10)-'NF - 5 Power Mix'!MQK21-'NF - 5 Power Mix'!MQK22</f>
        <v>0</v>
      </c>
      <c r="MQL42" s="1046">
        <f>MQL38+((MQL40+'NF - 5 Power Mix'!MQL14+'NF - 5 Power Mix'!MQL15)*860/10)+((('Form Sa1'!MQO835)*860)/10)+('Form Sa1'!MQO814*'Form Sa1'!MQO816/10)-'NF - 5 Power Mix'!MQL21-'NF - 5 Power Mix'!MQL22</f>
        <v>0</v>
      </c>
      <c r="MQM42" s="1046">
        <f>MQM38+((MQM40+'NF - 5 Power Mix'!MQM14+'NF - 5 Power Mix'!MQM15)*860/10)+((('Form Sa1'!MQP835)*860)/10)+('Form Sa1'!MQP814*'Form Sa1'!MQP816/10)-'NF - 5 Power Mix'!MQM21-'NF - 5 Power Mix'!MQM22</f>
        <v>0</v>
      </c>
      <c r="MQN42" s="1046">
        <f>MQN38+((MQN40+'NF - 5 Power Mix'!MQN14+'NF - 5 Power Mix'!MQN15)*860/10)+((('Form Sa1'!MQQ835)*860)/10)+('Form Sa1'!MQQ814*'Form Sa1'!MQQ816/10)-'NF - 5 Power Mix'!MQN21-'NF - 5 Power Mix'!MQN22</f>
        <v>0</v>
      </c>
      <c r="MQO42" s="1046">
        <f>MQO38+((MQO40+'NF - 5 Power Mix'!MQO14+'NF - 5 Power Mix'!MQO15)*860/10)+((('Form Sa1'!MQR835)*860)/10)+('Form Sa1'!MQR814*'Form Sa1'!MQR816/10)-'NF - 5 Power Mix'!MQO21-'NF - 5 Power Mix'!MQO22</f>
        <v>0</v>
      </c>
      <c r="MQP42" s="1046">
        <f>MQP38+((MQP40+'NF - 5 Power Mix'!MQP14+'NF - 5 Power Mix'!MQP15)*860/10)+((('Form Sa1'!MQS835)*860)/10)+('Form Sa1'!MQS814*'Form Sa1'!MQS816/10)-'NF - 5 Power Mix'!MQP21-'NF - 5 Power Mix'!MQP22</f>
        <v>0</v>
      </c>
      <c r="MQQ42" s="1046">
        <f>MQQ38+((MQQ40+'NF - 5 Power Mix'!MQQ14+'NF - 5 Power Mix'!MQQ15)*860/10)+((('Form Sa1'!MQT835)*860)/10)+('Form Sa1'!MQT814*'Form Sa1'!MQT816/10)-'NF - 5 Power Mix'!MQQ21-'NF - 5 Power Mix'!MQQ22</f>
        <v>0</v>
      </c>
      <c r="MQR42" s="1046">
        <f>MQR38+((MQR40+'NF - 5 Power Mix'!MQR14+'NF - 5 Power Mix'!MQR15)*860/10)+((('Form Sa1'!MQU835)*860)/10)+('Form Sa1'!MQU814*'Form Sa1'!MQU816/10)-'NF - 5 Power Mix'!MQR21-'NF - 5 Power Mix'!MQR22</f>
        <v>0</v>
      </c>
      <c r="MQS42" s="1046">
        <f>MQS38+((MQS40+'NF - 5 Power Mix'!MQS14+'NF - 5 Power Mix'!MQS15)*860/10)+((('Form Sa1'!MQV835)*860)/10)+('Form Sa1'!MQV814*'Form Sa1'!MQV816/10)-'NF - 5 Power Mix'!MQS21-'NF - 5 Power Mix'!MQS22</f>
        <v>0</v>
      </c>
      <c r="MQT42" s="1046">
        <f>MQT38+((MQT40+'NF - 5 Power Mix'!MQT14+'NF - 5 Power Mix'!MQT15)*860/10)+((('Form Sa1'!MQW835)*860)/10)+('Form Sa1'!MQW814*'Form Sa1'!MQW816/10)-'NF - 5 Power Mix'!MQT21-'NF - 5 Power Mix'!MQT22</f>
        <v>0</v>
      </c>
      <c r="MQU42" s="1046">
        <f>MQU38+((MQU40+'NF - 5 Power Mix'!MQU14+'NF - 5 Power Mix'!MQU15)*860/10)+((('Form Sa1'!MQX835)*860)/10)+('Form Sa1'!MQX814*'Form Sa1'!MQX816/10)-'NF - 5 Power Mix'!MQU21-'NF - 5 Power Mix'!MQU22</f>
        <v>0</v>
      </c>
      <c r="MQV42" s="1046">
        <f>MQV38+((MQV40+'NF - 5 Power Mix'!MQV14+'NF - 5 Power Mix'!MQV15)*860/10)+((('Form Sa1'!MQY835)*860)/10)+('Form Sa1'!MQY814*'Form Sa1'!MQY816/10)-'NF - 5 Power Mix'!MQV21-'NF - 5 Power Mix'!MQV22</f>
        <v>0</v>
      </c>
      <c r="MQW42" s="1046">
        <f>MQW38+((MQW40+'NF - 5 Power Mix'!MQW14+'NF - 5 Power Mix'!MQW15)*860/10)+((('Form Sa1'!MQZ835)*860)/10)+('Form Sa1'!MQZ814*'Form Sa1'!MQZ816/10)-'NF - 5 Power Mix'!MQW21-'NF - 5 Power Mix'!MQW22</f>
        <v>0</v>
      </c>
      <c r="MQX42" s="1046">
        <f>MQX38+((MQX40+'NF - 5 Power Mix'!MQX14+'NF - 5 Power Mix'!MQX15)*860/10)+((('Form Sa1'!MRA835)*860)/10)+('Form Sa1'!MRA814*'Form Sa1'!MRA816/10)-'NF - 5 Power Mix'!MQX21-'NF - 5 Power Mix'!MQX22</f>
        <v>0</v>
      </c>
      <c r="MQY42" s="1046">
        <f>MQY38+((MQY40+'NF - 5 Power Mix'!MQY14+'NF - 5 Power Mix'!MQY15)*860/10)+((('Form Sa1'!MRB835)*860)/10)+('Form Sa1'!MRB814*'Form Sa1'!MRB816/10)-'NF - 5 Power Mix'!MQY21-'NF - 5 Power Mix'!MQY22</f>
        <v>0</v>
      </c>
      <c r="MQZ42" s="1046">
        <f>MQZ38+((MQZ40+'NF - 5 Power Mix'!MQZ14+'NF - 5 Power Mix'!MQZ15)*860/10)+((('Form Sa1'!MRC835)*860)/10)+('Form Sa1'!MRC814*'Form Sa1'!MRC816/10)-'NF - 5 Power Mix'!MQZ21-'NF - 5 Power Mix'!MQZ22</f>
        <v>0</v>
      </c>
      <c r="MRA42" s="1046">
        <f>MRA38+((MRA40+'NF - 5 Power Mix'!MRA14+'NF - 5 Power Mix'!MRA15)*860/10)+((('Form Sa1'!MRD835)*860)/10)+('Form Sa1'!MRD814*'Form Sa1'!MRD816/10)-'NF - 5 Power Mix'!MRA21-'NF - 5 Power Mix'!MRA22</f>
        <v>0</v>
      </c>
      <c r="MRB42" s="1046">
        <f>MRB38+((MRB40+'NF - 5 Power Mix'!MRB14+'NF - 5 Power Mix'!MRB15)*860/10)+((('Form Sa1'!MRE835)*860)/10)+('Form Sa1'!MRE814*'Form Sa1'!MRE816/10)-'NF - 5 Power Mix'!MRB21-'NF - 5 Power Mix'!MRB22</f>
        <v>0</v>
      </c>
      <c r="MRC42" s="1046">
        <f>MRC38+((MRC40+'NF - 5 Power Mix'!MRC14+'NF - 5 Power Mix'!MRC15)*860/10)+((('Form Sa1'!MRF835)*860)/10)+('Form Sa1'!MRF814*'Form Sa1'!MRF816/10)-'NF - 5 Power Mix'!MRC21-'NF - 5 Power Mix'!MRC22</f>
        <v>0</v>
      </c>
      <c r="MRD42" s="1046">
        <f>MRD38+((MRD40+'NF - 5 Power Mix'!MRD14+'NF - 5 Power Mix'!MRD15)*860/10)+((('Form Sa1'!MRG835)*860)/10)+('Form Sa1'!MRG814*'Form Sa1'!MRG816/10)-'NF - 5 Power Mix'!MRD21-'NF - 5 Power Mix'!MRD22</f>
        <v>0</v>
      </c>
      <c r="MRE42" s="1046">
        <f>MRE38+((MRE40+'NF - 5 Power Mix'!MRE14+'NF - 5 Power Mix'!MRE15)*860/10)+((('Form Sa1'!MRH835)*860)/10)+('Form Sa1'!MRH814*'Form Sa1'!MRH816/10)-'NF - 5 Power Mix'!MRE21-'NF - 5 Power Mix'!MRE22</f>
        <v>0</v>
      </c>
      <c r="MRF42" s="1046">
        <f>MRF38+((MRF40+'NF - 5 Power Mix'!MRF14+'NF - 5 Power Mix'!MRF15)*860/10)+((('Form Sa1'!MRI835)*860)/10)+('Form Sa1'!MRI814*'Form Sa1'!MRI816/10)-'NF - 5 Power Mix'!MRF21-'NF - 5 Power Mix'!MRF22</f>
        <v>0</v>
      </c>
      <c r="MRG42" s="1046">
        <f>MRG38+((MRG40+'NF - 5 Power Mix'!MRG14+'NF - 5 Power Mix'!MRG15)*860/10)+((('Form Sa1'!MRJ835)*860)/10)+('Form Sa1'!MRJ814*'Form Sa1'!MRJ816/10)-'NF - 5 Power Mix'!MRG21-'NF - 5 Power Mix'!MRG22</f>
        <v>0</v>
      </c>
      <c r="MRH42" s="1046">
        <f>MRH38+((MRH40+'NF - 5 Power Mix'!MRH14+'NF - 5 Power Mix'!MRH15)*860/10)+((('Form Sa1'!MRK835)*860)/10)+('Form Sa1'!MRK814*'Form Sa1'!MRK816/10)-'NF - 5 Power Mix'!MRH21-'NF - 5 Power Mix'!MRH22</f>
        <v>0</v>
      </c>
      <c r="MRI42" s="1046">
        <f>MRI38+((MRI40+'NF - 5 Power Mix'!MRI14+'NF - 5 Power Mix'!MRI15)*860/10)+((('Form Sa1'!MRL835)*860)/10)+('Form Sa1'!MRL814*'Form Sa1'!MRL816/10)-'NF - 5 Power Mix'!MRI21-'NF - 5 Power Mix'!MRI22</f>
        <v>0</v>
      </c>
      <c r="MRJ42" s="1046">
        <f>MRJ38+((MRJ40+'NF - 5 Power Mix'!MRJ14+'NF - 5 Power Mix'!MRJ15)*860/10)+((('Form Sa1'!MRM835)*860)/10)+('Form Sa1'!MRM814*'Form Sa1'!MRM816/10)-'NF - 5 Power Mix'!MRJ21-'NF - 5 Power Mix'!MRJ22</f>
        <v>0</v>
      </c>
      <c r="MRK42" s="1046">
        <f>MRK38+((MRK40+'NF - 5 Power Mix'!MRK14+'NF - 5 Power Mix'!MRK15)*860/10)+((('Form Sa1'!MRN835)*860)/10)+('Form Sa1'!MRN814*'Form Sa1'!MRN816/10)-'NF - 5 Power Mix'!MRK21-'NF - 5 Power Mix'!MRK22</f>
        <v>0</v>
      </c>
      <c r="MRL42" s="1046">
        <f>MRL38+((MRL40+'NF - 5 Power Mix'!MRL14+'NF - 5 Power Mix'!MRL15)*860/10)+((('Form Sa1'!MRO835)*860)/10)+('Form Sa1'!MRO814*'Form Sa1'!MRO816/10)-'NF - 5 Power Mix'!MRL21-'NF - 5 Power Mix'!MRL22</f>
        <v>0</v>
      </c>
      <c r="MRM42" s="1046">
        <f>MRM38+((MRM40+'NF - 5 Power Mix'!MRM14+'NF - 5 Power Mix'!MRM15)*860/10)+((('Form Sa1'!MRP835)*860)/10)+('Form Sa1'!MRP814*'Form Sa1'!MRP816/10)-'NF - 5 Power Mix'!MRM21-'NF - 5 Power Mix'!MRM22</f>
        <v>0</v>
      </c>
      <c r="MRN42" s="1046">
        <f>MRN38+((MRN40+'NF - 5 Power Mix'!MRN14+'NF - 5 Power Mix'!MRN15)*860/10)+((('Form Sa1'!MRQ835)*860)/10)+('Form Sa1'!MRQ814*'Form Sa1'!MRQ816/10)-'NF - 5 Power Mix'!MRN21-'NF - 5 Power Mix'!MRN22</f>
        <v>0</v>
      </c>
      <c r="MRO42" s="1046">
        <f>MRO38+((MRO40+'NF - 5 Power Mix'!MRO14+'NF - 5 Power Mix'!MRO15)*860/10)+((('Form Sa1'!MRR835)*860)/10)+('Form Sa1'!MRR814*'Form Sa1'!MRR816/10)-'NF - 5 Power Mix'!MRO21-'NF - 5 Power Mix'!MRO22</f>
        <v>0</v>
      </c>
      <c r="MRP42" s="1046">
        <f>MRP38+((MRP40+'NF - 5 Power Mix'!MRP14+'NF - 5 Power Mix'!MRP15)*860/10)+((('Form Sa1'!MRS835)*860)/10)+('Form Sa1'!MRS814*'Form Sa1'!MRS816/10)-'NF - 5 Power Mix'!MRP21-'NF - 5 Power Mix'!MRP22</f>
        <v>0</v>
      </c>
      <c r="MRQ42" s="1046">
        <f>MRQ38+((MRQ40+'NF - 5 Power Mix'!MRQ14+'NF - 5 Power Mix'!MRQ15)*860/10)+((('Form Sa1'!MRT835)*860)/10)+('Form Sa1'!MRT814*'Form Sa1'!MRT816/10)-'NF - 5 Power Mix'!MRQ21-'NF - 5 Power Mix'!MRQ22</f>
        <v>0</v>
      </c>
      <c r="MRR42" s="1046">
        <f>MRR38+((MRR40+'NF - 5 Power Mix'!MRR14+'NF - 5 Power Mix'!MRR15)*860/10)+((('Form Sa1'!MRU835)*860)/10)+('Form Sa1'!MRU814*'Form Sa1'!MRU816/10)-'NF - 5 Power Mix'!MRR21-'NF - 5 Power Mix'!MRR22</f>
        <v>0</v>
      </c>
      <c r="MRS42" s="1046">
        <f>MRS38+((MRS40+'NF - 5 Power Mix'!MRS14+'NF - 5 Power Mix'!MRS15)*860/10)+((('Form Sa1'!MRV835)*860)/10)+('Form Sa1'!MRV814*'Form Sa1'!MRV816/10)-'NF - 5 Power Mix'!MRS21-'NF - 5 Power Mix'!MRS22</f>
        <v>0</v>
      </c>
      <c r="MRT42" s="1046">
        <f>MRT38+((MRT40+'NF - 5 Power Mix'!MRT14+'NF - 5 Power Mix'!MRT15)*860/10)+((('Form Sa1'!MRW835)*860)/10)+('Form Sa1'!MRW814*'Form Sa1'!MRW816/10)-'NF - 5 Power Mix'!MRT21-'NF - 5 Power Mix'!MRT22</f>
        <v>0</v>
      </c>
      <c r="MRU42" s="1046">
        <f>MRU38+((MRU40+'NF - 5 Power Mix'!MRU14+'NF - 5 Power Mix'!MRU15)*860/10)+((('Form Sa1'!MRX835)*860)/10)+('Form Sa1'!MRX814*'Form Sa1'!MRX816/10)-'NF - 5 Power Mix'!MRU21-'NF - 5 Power Mix'!MRU22</f>
        <v>0</v>
      </c>
      <c r="MRV42" s="1046">
        <f>MRV38+((MRV40+'NF - 5 Power Mix'!MRV14+'NF - 5 Power Mix'!MRV15)*860/10)+((('Form Sa1'!MRY835)*860)/10)+('Form Sa1'!MRY814*'Form Sa1'!MRY816/10)-'NF - 5 Power Mix'!MRV21-'NF - 5 Power Mix'!MRV22</f>
        <v>0</v>
      </c>
      <c r="MRW42" s="1046">
        <f>MRW38+((MRW40+'NF - 5 Power Mix'!MRW14+'NF - 5 Power Mix'!MRW15)*860/10)+((('Form Sa1'!MRZ835)*860)/10)+('Form Sa1'!MRZ814*'Form Sa1'!MRZ816/10)-'NF - 5 Power Mix'!MRW21-'NF - 5 Power Mix'!MRW22</f>
        <v>0</v>
      </c>
      <c r="MRX42" s="1046">
        <f>MRX38+((MRX40+'NF - 5 Power Mix'!MRX14+'NF - 5 Power Mix'!MRX15)*860/10)+((('Form Sa1'!MSA835)*860)/10)+('Form Sa1'!MSA814*'Form Sa1'!MSA816/10)-'NF - 5 Power Mix'!MRX21-'NF - 5 Power Mix'!MRX22</f>
        <v>0</v>
      </c>
      <c r="MRY42" s="1046">
        <f>MRY38+((MRY40+'NF - 5 Power Mix'!MRY14+'NF - 5 Power Mix'!MRY15)*860/10)+((('Form Sa1'!MSB835)*860)/10)+('Form Sa1'!MSB814*'Form Sa1'!MSB816/10)-'NF - 5 Power Mix'!MRY21-'NF - 5 Power Mix'!MRY22</f>
        <v>0</v>
      </c>
      <c r="MRZ42" s="1046">
        <f>MRZ38+((MRZ40+'NF - 5 Power Mix'!MRZ14+'NF - 5 Power Mix'!MRZ15)*860/10)+((('Form Sa1'!MSC835)*860)/10)+('Form Sa1'!MSC814*'Form Sa1'!MSC816/10)-'NF - 5 Power Mix'!MRZ21-'NF - 5 Power Mix'!MRZ22</f>
        <v>0</v>
      </c>
      <c r="MSA42" s="1046">
        <f>MSA38+((MSA40+'NF - 5 Power Mix'!MSA14+'NF - 5 Power Mix'!MSA15)*860/10)+((('Form Sa1'!MSD835)*860)/10)+('Form Sa1'!MSD814*'Form Sa1'!MSD816/10)-'NF - 5 Power Mix'!MSA21-'NF - 5 Power Mix'!MSA22</f>
        <v>0</v>
      </c>
      <c r="MSB42" s="1046">
        <f>MSB38+((MSB40+'NF - 5 Power Mix'!MSB14+'NF - 5 Power Mix'!MSB15)*860/10)+((('Form Sa1'!MSE835)*860)/10)+('Form Sa1'!MSE814*'Form Sa1'!MSE816/10)-'NF - 5 Power Mix'!MSB21-'NF - 5 Power Mix'!MSB22</f>
        <v>0</v>
      </c>
      <c r="MSC42" s="1046">
        <f>MSC38+((MSC40+'NF - 5 Power Mix'!MSC14+'NF - 5 Power Mix'!MSC15)*860/10)+((('Form Sa1'!MSF835)*860)/10)+('Form Sa1'!MSF814*'Form Sa1'!MSF816/10)-'NF - 5 Power Mix'!MSC21-'NF - 5 Power Mix'!MSC22</f>
        <v>0</v>
      </c>
      <c r="MSD42" s="1046">
        <f>MSD38+((MSD40+'NF - 5 Power Mix'!MSD14+'NF - 5 Power Mix'!MSD15)*860/10)+((('Form Sa1'!MSG835)*860)/10)+('Form Sa1'!MSG814*'Form Sa1'!MSG816/10)-'NF - 5 Power Mix'!MSD21-'NF - 5 Power Mix'!MSD22</f>
        <v>0</v>
      </c>
      <c r="MSE42" s="1046">
        <f>MSE38+((MSE40+'NF - 5 Power Mix'!MSE14+'NF - 5 Power Mix'!MSE15)*860/10)+((('Form Sa1'!MSH835)*860)/10)+('Form Sa1'!MSH814*'Form Sa1'!MSH816/10)-'NF - 5 Power Mix'!MSE21-'NF - 5 Power Mix'!MSE22</f>
        <v>0</v>
      </c>
      <c r="MSF42" s="1046">
        <f>MSF38+((MSF40+'NF - 5 Power Mix'!MSF14+'NF - 5 Power Mix'!MSF15)*860/10)+((('Form Sa1'!MSI835)*860)/10)+('Form Sa1'!MSI814*'Form Sa1'!MSI816/10)-'NF - 5 Power Mix'!MSF21-'NF - 5 Power Mix'!MSF22</f>
        <v>0</v>
      </c>
      <c r="MSG42" s="1046">
        <f>MSG38+((MSG40+'NF - 5 Power Mix'!MSG14+'NF - 5 Power Mix'!MSG15)*860/10)+((('Form Sa1'!MSJ835)*860)/10)+('Form Sa1'!MSJ814*'Form Sa1'!MSJ816/10)-'NF - 5 Power Mix'!MSG21-'NF - 5 Power Mix'!MSG22</f>
        <v>0</v>
      </c>
      <c r="MSH42" s="1046">
        <f>MSH38+((MSH40+'NF - 5 Power Mix'!MSH14+'NF - 5 Power Mix'!MSH15)*860/10)+((('Form Sa1'!MSK835)*860)/10)+('Form Sa1'!MSK814*'Form Sa1'!MSK816/10)-'NF - 5 Power Mix'!MSH21-'NF - 5 Power Mix'!MSH22</f>
        <v>0</v>
      </c>
      <c r="MSI42" s="1046">
        <f>MSI38+((MSI40+'NF - 5 Power Mix'!MSI14+'NF - 5 Power Mix'!MSI15)*860/10)+((('Form Sa1'!MSL835)*860)/10)+('Form Sa1'!MSL814*'Form Sa1'!MSL816/10)-'NF - 5 Power Mix'!MSI21-'NF - 5 Power Mix'!MSI22</f>
        <v>0</v>
      </c>
      <c r="MSJ42" s="1046">
        <f>MSJ38+((MSJ40+'NF - 5 Power Mix'!MSJ14+'NF - 5 Power Mix'!MSJ15)*860/10)+((('Form Sa1'!MSM835)*860)/10)+('Form Sa1'!MSM814*'Form Sa1'!MSM816/10)-'NF - 5 Power Mix'!MSJ21-'NF - 5 Power Mix'!MSJ22</f>
        <v>0</v>
      </c>
      <c r="MSK42" s="1046">
        <f>MSK38+((MSK40+'NF - 5 Power Mix'!MSK14+'NF - 5 Power Mix'!MSK15)*860/10)+((('Form Sa1'!MSN835)*860)/10)+('Form Sa1'!MSN814*'Form Sa1'!MSN816/10)-'NF - 5 Power Mix'!MSK21-'NF - 5 Power Mix'!MSK22</f>
        <v>0</v>
      </c>
      <c r="MSL42" s="1046">
        <f>MSL38+((MSL40+'NF - 5 Power Mix'!MSL14+'NF - 5 Power Mix'!MSL15)*860/10)+((('Form Sa1'!MSO835)*860)/10)+('Form Sa1'!MSO814*'Form Sa1'!MSO816/10)-'NF - 5 Power Mix'!MSL21-'NF - 5 Power Mix'!MSL22</f>
        <v>0</v>
      </c>
      <c r="MSM42" s="1046">
        <f>MSM38+((MSM40+'NF - 5 Power Mix'!MSM14+'NF - 5 Power Mix'!MSM15)*860/10)+((('Form Sa1'!MSP835)*860)/10)+('Form Sa1'!MSP814*'Form Sa1'!MSP816/10)-'NF - 5 Power Mix'!MSM21-'NF - 5 Power Mix'!MSM22</f>
        <v>0</v>
      </c>
      <c r="MSN42" s="1046">
        <f>MSN38+((MSN40+'NF - 5 Power Mix'!MSN14+'NF - 5 Power Mix'!MSN15)*860/10)+((('Form Sa1'!MSQ835)*860)/10)+('Form Sa1'!MSQ814*'Form Sa1'!MSQ816/10)-'NF - 5 Power Mix'!MSN21-'NF - 5 Power Mix'!MSN22</f>
        <v>0</v>
      </c>
      <c r="MSO42" s="1046">
        <f>MSO38+((MSO40+'NF - 5 Power Mix'!MSO14+'NF - 5 Power Mix'!MSO15)*860/10)+((('Form Sa1'!MSR835)*860)/10)+('Form Sa1'!MSR814*'Form Sa1'!MSR816/10)-'NF - 5 Power Mix'!MSO21-'NF - 5 Power Mix'!MSO22</f>
        <v>0</v>
      </c>
      <c r="MSP42" s="1046">
        <f>MSP38+((MSP40+'NF - 5 Power Mix'!MSP14+'NF - 5 Power Mix'!MSP15)*860/10)+((('Form Sa1'!MSS835)*860)/10)+('Form Sa1'!MSS814*'Form Sa1'!MSS816/10)-'NF - 5 Power Mix'!MSP21-'NF - 5 Power Mix'!MSP22</f>
        <v>0</v>
      </c>
      <c r="MSQ42" s="1046">
        <f>MSQ38+((MSQ40+'NF - 5 Power Mix'!MSQ14+'NF - 5 Power Mix'!MSQ15)*860/10)+((('Form Sa1'!MST835)*860)/10)+('Form Sa1'!MST814*'Form Sa1'!MST816/10)-'NF - 5 Power Mix'!MSQ21-'NF - 5 Power Mix'!MSQ22</f>
        <v>0</v>
      </c>
      <c r="MSR42" s="1046">
        <f>MSR38+((MSR40+'NF - 5 Power Mix'!MSR14+'NF - 5 Power Mix'!MSR15)*860/10)+((('Form Sa1'!MSU835)*860)/10)+('Form Sa1'!MSU814*'Form Sa1'!MSU816/10)-'NF - 5 Power Mix'!MSR21-'NF - 5 Power Mix'!MSR22</f>
        <v>0</v>
      </c>
      <c r="MSS42" s="1046">
        <f>MSS38+((MSS40+'NF - 5 Power Mix'!MSS14+'NF - 5 Power Mix'!MSS15)*860/10)+((('Form Sa1'!MSV835)*860)/10)+('Form Sa1'!MSV814*'Form Sa1'!MSV816/10)-'NF - 5 Power Mix'!MSS21-'NF - 5 Power Mix'!MSS22</f>
        <v>0</v>
      </c>
      <c r="MST42" s="1046">
        <f>MST38+((MST40+'NF - 5 Power Mix'!MST14+'NF - 5 Power Mix'!MST15)*860/10)+((('Form Sa1'!MSW835)*860)/10)+('Form Sa1'!MSW814*'Form Sa1'!MSW816/10)-'NF - 5 Power Mix'!MST21-'NF - 5 Power Mix'!MST22</f>
        <v>0</v>
      </c>
      <c r="MSU42" s="1046">
        <f>MSU38+((MSU40+'NF - 5 Power Mix'!MSU14+'NF - 5 Power Mix'!MSU15)*860/10)+((('Form Sa1'!MSX835)*860)/10)+('Form Sa1'!MSX814*'Form Sa1'!MSX816/10)-'NF - 5 Power Mix'!MSU21-'NF - 5 Power Mix'!MSU22</f>
        <v>0</v>
      </c>
      <c r="MSV42" s="1046">
        <f>MSV38+((MSV40+'NF - 5 Power Mix'!MSV14+'NF - 5 Power Mix'!MSV15)*860/10)+((('Form Sa1'!MSY835)*860)/10)+('Form Sa1'!MSY814*'Form Sa1'!MSY816/10)-'NF - 5 Power Mix'!MSV21-'NF - 5 Power Mix'!MSV22</f>
        <v>0</v>
      </c>
      <c r="MSW42" s="1046">
        <f>MSW38+((MSW40+'NF - 5 Power Mix'!MSW14+'NF - 5 Power Mix'!MSW15)*860/10)+((('Form Sa1'!MSZ835)*860)/10)+('Form Sa1'!MSZ814*'Form Sa1'!MSZ816/10)-'NF - 5 Power Mix'!MSW21-'NF - 5 Power Mix'!MSW22</f>
        <v>0</v>
      </c>
      <c r="MSX42" s="1046">
        <f>MSX38+((MSX40+'NF - 5 Power Mix'!MSX14+'NF - 5 Power Mix'!MSX15)*860/10)+((('Form Sa1'!MTA835)*860)/10)+('Form Sa1'!MTA814*'Form Sa1'!MTA816/10)-'NF - 5 Power Mix'!MSX21-'NF - 5 Power Mix'!MSX22</f>
        <v>0</v>
      </c>
      <c r="MSY42" s="1046">
        <f>MSY38+((MSY40+'NF - 5 Power Mix'!MSY14+'NF - 5 Power Mix'!MSY15)*860/10)+((('Form Sa1'!MTB835)*860)/10)+('Form Sa1'!MTB814*'Form Sa1'!MTB816/10)-'NF - 5 Power Mix'!MSY21-'NF - 5 Power Mix'!MSY22</f>
        <v>0</v>
      </c>
      <c r="MSZ42" s="1046">
        <f>MSZ38+((MSZ40+'NF - 5 Power Mix'!MSZ14+'NF - 5 Power Mix'!MSZ15)*860/10)+((('Form Sa1'!MTC835)*860)/10)+('Form Sa1'!MTC814*'Form Sa1'!MTC816/10)-'NF - 5 Power Mix'!MSZ21-'NF - 5 Power Mix'!MSZ22</f>
        <v>0</v>
      </c>
      <c r="MTA42" s="1046">
        <f>MTA38+((MTA40+'NF - 5 Power Mix'!MTA14+'NF - 5 Power Mix'!MTA15)*860/10)+((('Form Sa1'!MTD835)*860)/10)+('Form Sa1'!MTD814*'Form Sa1'!MTD816/10)-'NF - 5 Power Mix'!MTA21-'NF - 5 Power Mix'!MTA22</f>
        <v>0</v>
      </c>
      <c r="MTB42" s="1046">
        <f>MTB38+((MTB40+'NF - 5 Power Mix'!MTB14+'NF - 5 Power Mix'!MTB15)*860/10)+((('Form Sa1'!MTE835)*860)/10)+('Form Sa1'!MTE814*'Form Sa1'!MTE816/10)-'NF - 5 Power Mix'!MTB21-'NF - 5 Power Mix'!MTB22</f>
        <v>0</v>
      </c>
      <c r="MTC42" s="1046">
        <f>MTC38+((MTC40+'NF - 5 Power Mix'!MTC14+'NF - 5 Power Mix'!MTC15)*860/10)+((('Form Sa1'!MTF835)*860)/10)+('Form Sa1'!MTF814*'Form Sa1'!MTF816/10)-'NF - 5 Power Mix'!MTC21-'NF - 5 Power Mix'!MTC22</f>
        <v>0</v>
      </c>
      <c r="MTD42" s="1046">
        <f>MTD38+((MTD40+'NF - 5 Power Mix'!MTD14+'NF - 5 Power Mix'!MTD15)*860/10)+((('Form Sa1'!MTG835)*860)/10)+('Form Sa1'!MTG814*'Form Sa1'!MTG816/10)-'NF - 5 Power Mix'!MTD21-'NF - 5 Power Mix'!MTD22</f>
        <v>0</v>
      </c>
      <c r="MTE42" s="1046">
        <f>MTE38+((MTE40+'NF - 5 Power Mix'!MTE14+'NF - 5 Power Mix'!MTE15)*860/10)+((('Form Sa1'!MTH835)*860)/10)+('Form Sa1'!MTH814*'Form Sa1'!MTH816/10)-'NF - 5 Power Mix'!MTE21-'NF - 5 Power Mix'!MTE22</f>
        <v>0</v>
      </c>
      <c r="MTF42" s="1046">
        <f>MTF38+((MTF40+'NF - 5 Power Mix'!MTF14+'NF - 5 Power Mix'!MTF15)*860/10)+((('Form Sa1'!MTI835)*860)/10)+('Form Sa1'!MTI814*'Form Sa1'!MTI816/10)-'NF - 5 Power Mix'!MTF21-'NF - 5 Power Mix'!MTF22</f>
        <v>0</v>
      </c>
      <c r="MTG42" s="1046">
        <f>MTG38+((MTG40+'NF - 5 Power Mix'!MTG14+'NF - 5 Power Mix'!MTG15)*860/10)+((('Form Sa1'!MTJ835)*860)/10)+('Form Sa1'!MTJ814*'Form Sa1'!MTJ816/10)-'NF - 5 Power Mix'!MTG21-'NF - 5 Power Mix'!MTG22</f>
        <v>0</v>
      </c>
      <c r="MTH42" s="1046">
        <f>MTH38+((MTH40+'NF - 5 Power Mix'!MTH14+'NF - 5 Power Mix'!MTH15)*860/10)+((('Form Sa1'!MTK835)*860)/10)+('Form Sa1'!MTK814*'Form Sa1'!MTK816/10)-'NF - 5 Power Mix'!MTH21-'NF - 5 Power Mix'!MTH22</f>
        <v>0</v>
      </c>
      <c r="MTI42" s="1046">
        <f>MTI38+((MTI40+'NF - 5 Power Mix'!MTI14+'NF - 5 Power Mix'!MTI15)*860/10)+((('Form Sa1'!MTL835)*860)/10)+('Form Sa1'!MTL814*'Form Sa1'!MTL816/10)-'NF - 5 Power Mix'!MTI21-'NF - 5 Power Mix'!MTI22</f>
        <v>0</v>
      </c>
      <c r="MTJ42" s="1046">
        <f>MTJ38+((MTJ40+'NF - 5 Power Mix'!MTJ14+'NF - 5 Power Mix'!MTJ15)*860/10)+((('Form Sa1'!MTM835)*860)/10)+('Form Sa1'!MTM814*'Form Sa1'!MTM816/10)-'NF - 5 Power Mix'!MTJ21-'NF - 5 Power Mix'!MTJ22</f>
        <v>0</v>
      </c>
      <c r="MTK42" s="1046">
        <f>MTK38+((MTK40+'NF - 5 Power Mix'!MTK14+'NF - 5 Power Mix'!MTK15)*860/10)+((('Form Sa1'!MTN835)*860)/10)+('Form Sa1'!MTN814*'Form Sa1'!MTN816/10)-'NF - 5 Power Mix'!MTK21-'NF - 5 Power Mix'!MTK22</f>
        <v>0</v>
      </c>
      <c r="MTL42" s="1046">
        <f>MTL38+((MTL40+'NF - 5 Power Mix'!MTL14+'NF - 5 Power Mix'!MTL15)*860/10)+((('Form Sa1'!MTO835)*860)/10)+('Form Sa1'!MTO814*'Form Sa1'!MTO816/10)-'NF - 5 Power Mix'!MTL21-'NF - 5 Power Mix'!MTL22</f>
        <v>0</v>
      </c>
      <c r="MTM42" s="1046">
        <f>MTM38+((MTM40+'NF - 5 Power Mix'!MTM14+'NF - 5 Power Mix'!MTM15)*860/10)+((('Form Sa1'!MTP835)*860)/10)+('Form Sa1'!MTP814*'Form Sa1'!MTP816/10)-'NF - 5 Power Mix'!MTM21-'NF - 5 Power Mix'!MTM22</f>
        <v>0</v>
      </c>
      <c r="MTN42" s="1046">
        <f>MTN38+((MTN40+'NF - 5 Power Mix'!MTN14+'NF - 5 Power Mix'!MTN15)*860/10)+((('Form Sa1'!MTQ835)*860)/10)+('Form Sa1'!MTQ814*'Form Sa1'!MTQ816/10)-'NF - 5 Power Mix'!MTN21-'NF - 5 Power Mix'!MTN22</f>
        <v>0</v>
      </c>
      <c r="MTO42" s="1046">
        <f>MTO38+((MTO40+'NF - 5 Power Mix'!MTO14+'NF - 5 Power Mix'!MTO15)*860/10)+((('Form Sa1'!MTR835)*860)/10)+('Form Sa1'!MTR814*'Form Sa1'!MTR816/10)-'NF - 5 Power Mix'!MTO21-'NF - 5 Power Mix'!MTO22</f>
        <v>0</v>
      </c>
      <c r="MTP42" s="1046">
        <f>MTP38+((MTP40+'NF - 5 Power Mix'!MTP14+'NF - 5 Power Mix'!MTP15)*860/10)+((('Form Sa1'!MTS835)*860)/10)+('Form Sa1'!MTS814*'Form Sa1'!MTS816/10)-'NF - 5 Power Mix'!MTP21-'NF - 5 Power Mix'!MTP22</f>
        <v>0</v>
      </c>
      <c r="MTQ42" s="1046">
        <f>MTQ38+((MTQ40+'NF - 5 Power Mix'!MTQ14+'NF - 5 Power Mix'!MTQ15)*860/10)+((('Form Sa1'!MTT835)*860)/10)+('Form Sa1'!MTT814*'Form Sa1'!MTT816/10)-'NF - 5 Power Mix'!MTQ21-'NF - 5 Power Mix'!MTQ22</f>
        <v>0</v>
      </c>
      <c r="MTR42" s="1046">
        <f>MTR38+((MTR40+'NF - 5 Power Mix'!MTR14+'NF - 5 Power Mix'!MTR15)*860/10)+((('Form Sa1'!MTU835)*860)/10)+('Form Sa1'!MTU814*'Form Sa1'!MTU816/10)-'NF - 5 Power Mix'!MTR21-'NF - 5 Power Mix'!MTR22</f>
        <v>0</v>
      </c>
      <c r="MTS42" s="1046">
        <f>MTS38+((MTS40+'NF - 5 Power Mix'!MTS14+'NF - 5 Power Mix'!MTS15)*860/10)+((('Form Sa1'!MTV835)*860)/10)+('Form Sa1'!MTV814*'Form Sa1'!MTV816/10)-'NF - 5 Power Mix'!MTS21-'NF - 5 Power Mix'!MTS22</f>
        <v>0</v>
      </c>
      <c r="MTT42" s="1046">
        <f>MTT38+((MTT40+'NF - 5 Power Mix'!MTT14+'NF - 5 Power Mix'!MTT15)*860/10)+((('Form Sa1'!MTW835)*860)/10)+('Form Sa1'!MTW814*'Form Sa1'!MTW816/10)-'NF - 5 Power Mix'!MTT21-'NF - 5 Power Mix'!MTT22</f>
        <v>0</v>
      </c>
      <c r="MTU42" s="1046">
        <f>MTU38+((MTU40+'NF - 5 Power Mix'!MTU14+'NF - 5 Power Mix'!MTU15)*860/10)+((('Form Sa1'!MTX835)*860)/10)+('Form Sa1'!MTX814*'Form Sa1'!MTX816/10)-'NF - 5 Power Mix'!MTU21-'NF - 5 Power Mix'!MTU22</f>
        <v>0</v>
      </c>
      <c r="MTV42" s="1046">
        <f>MTV38+((MTV40+'NF - 5 Power Mix'!MTV14+'NF - 5 Power Mix'!MTV15)*860/10)+((('Form Sa1'!MTY835)*860)/10)+('Form Sa1'!MTY814*'Form Sa1'!MTY816/10)-'NF - 5 Power Mix'!MTV21-'NF - 5 Power Mix'!MTV22</f>
        <v>0</v>
      </c>
      <c r="MTW42" s="1046">
        <f>MTW38+((MTW40+'NF - 5 Power Mix'!MTW14+'NF - 5 Power Mix'!MTW15)*860/10)+((('Form Sa1'!MTZ835)*860)/10)+('Form Sa1'!MTZ814*'Form Sa1'!MTZ816/10)-'NF - 5 Power Mix'!MTW21-'NF - 5 Power Mix'!MTW22</f>
        <v>0</v>
      </c>
      <c r="MTX42" s="1046">
        <f>MTX38+((MTX40+'NF - 5 Power Mix'!MTX14+'NF - 5 Power Mix'!MTX15)*860/10)+((('Form Sa1'!MUA835)*860)/10)+('Form Sa1'!MUA814*'Form Sa1'!MUA816/10)-'NF - 5 Power Mix'!MTX21-'NF - 5 Power Mix'!MTX22</f>
        <v>0</v>
      </c>
      <c r="MTY42" s="1046">
        <f>MTY38+((MTY40+'NF - 5 Power Mix'!MTY14+'NF - 5 Power Mix'!MTY15)*860/10)+((('Form Sa1'!MUB835)*860)/10)+('Form Sa1'!MUB814*'Form Sa1'!MUB816/10)-'NF - 5 Power Mix'!MTY21-'NF - 5 Power Mix'!MTY22</f>
        <v>0</v>
      </c>
      <c r="MTZ42" s="1046">
        <f>MTZ38+((MTZ40+'NF - 5 Power Mix'!MTZ14+'NF - 5 Power Mix'!MTZ15)*860/10)+((('Form Sa1'!MUC835)*860)/10)+('Form Sa1'!MUC814*'Form Sa1'!MUC816/10)-'NF - 5 Power Mix'!MTZ21-'NF - 5 Power Mix'!MTZ22</f>
        <v>0</v>
      </c>
      <c r="MUA42" s="1046">
        <f>MUA38+((MUA40+'NF - 5 Power Mix'!MUA14+'NF - 5 Power Mix'!MUA15)*860/10)+((('Form Sa1'!MUD835)*860)/10)+('Form Sa1'!MUD814*'Form Sa1'!MUD816/10)-'NF - 5 Power Mix'!MUA21-'NF - 5 Power Mix'!MUA22</f>
        <v>0</v>
      </c>
      <c r="MUB42" s="1046">
        <f>MUB38+((MUB40+'NF - 5 Power Mix'!MUB14+'NF - 5 Power Mix'!MUB15)*860/10)+((('Form Sa1'!MUE835)*860)/10)+('Form Sa1'!MUE814*'Form Sa1'!MUE816/10)-'NF - 5 Power Mix'!MUB21-'NF - 5 Power Mix'!MUB22</f>
        <v>0</v>
      </c>
      <c r="MUC42" s="1046">
        <f>MUC38+((MUC40+'NF - 5 Power Mix'!MUC14+'NF - 5 Power Mix'!MUC15)*860/10)+((('Form Sa1'!MUF835)*860)/10)+('Form Sa1'!MUF814*'Form Sa1'!MUF816/10)-'NF - 5 Power Mix'!MUC21-'NF - 5 Power Mix'!MUC22</f>
        <v>0</v>
      </c>
      <c r="MUD42" s="1046">
        <f>MUD38+((MUD40+'NF - 5 Power Mix'!MUD14+'NF - 5 Power Mix'!MUD15)*860/10)+((('Form Sa1'!MUG835)*860)/10)+('Form Sa1'!MUG814*'Form Sa1'!MUG816/10)-'NF - 5 Power Mix'!MUD21-'NF - 5 Power Mix'!MUD22</f>
        <v>0</v>
      </c>
      <c r="MUE42" s="1046">
        <f>MUE38+((MUE40+'NF - 5 Power Mix'!MUE14+'NF - 5 Power Mix'!MUE15)*860/10)+((('Form Sa1'!MUH835)*860)/10)+('Form Sa1'!MUH814*'Form Sa1'!MUH816/10)-'NF - 5 Power Mix'!MUE21-'NF - 5 Power Mix'!MUE22</f>
        <v>0</v>
      </c>
      <c r="MUF42" s="1046">
        <f>MUF38+((MUF40+'NF - 5 Power Mix'!MUF14+'NF - 5 Power Mix'!MUF15)*860/10)+((('Form Sa1'!MUI835)*860)/10)+('Form Sa1'!MUI814*'Form Sa1'!MUI816/10)-'NF - 5 Power Mix'!MUF21-'NF - 5 Power Mix'!MUF22</f>
        <v>0</v>
      </c>
      <c r="MUG42" s="1046">
        <f>MUG38+((MUG40+'NF - 5 Power Mix'!MUG14+'NF - 5 Power Mix'!MUG15)*860/10)+((('Form Sa1'!MUJ835)*860)/10)+('Form Sa1'!MUJ814*'Form Sa1'!MUJ816/10)-'NF - 5 Power Mix'!MUG21-'NF - 5 Power Mix'!MUG22</f>
        <v>0</v>
      </c>
      <c r="MUH42" s="1046">
        <f>MUH38+((MUH40+'NF - 5 Power Mix'!MUH14+'NF - 5 Power Mix'!MUH15)*860/10)+((('Form Sa1'!MUK835)*860)/10)+('Form Sa1'!MUK814*'Form Sa1'!MUK816/10)-'NF - 5 Power Mix'!MUH21-'NF - 5 Power Mix'!MUH22</f>
        <v>0</v>
      </c>
      <c r="MUI42" s="1046">
        <f>MUI38+((MUI40+'NF - 5 Power Mix'!MUI14+'NF - 5 Power Mix'!MUI15)*860/10)+((('Form Sa1'!MUL835)*860)/10)+('Form Sa1'!MUL814*'Form Sa1'!MUL816/10)-'NF - 5 Power Mix'!MUI21-'NF - 5 Power Mix'!MUI22</f>
        <v>0</v>
      </c>
      <c r="MUJ42" s="1046">
        <f>MUJ38+((MUJ40+'NF - 5 Power Mix'!MUJ14+'NF - 5 Power Mix'!MUJ15)*860/10)+((('Form Sa1'!MUM835)*860)/10)+('Form Sa1'!MUM814*'Form Sa1'!MUM816/10)-'NF - 5 Power Mix'!MUJ21-'NF - 5 Power Mix'!MUJ22</f>
        <v>0</v>
      </c>
      <c r="MUK42" s="1046">
        <f>MUK38+((MUK40+'NF - 5 Power Mix'!MUK14+'NF - 5 Power Mix'!MUK15)*860/10)+((('Form Sa1'!MUN835)*860)/10)+('Form Sa1'!MUN814*'Form Sa1'!MUN816/10)-'NF - 5 Power Mix'!MUK21-'NF - 5 Power Mix'!MUK22</f>
        <v>0</v>
      </c>
      <c r="MUL42" s="1046">
        <f>MUL38+((MUL40+'NF - 5 Power Mix'!MUL14+'NF - 5 Power Mix'!MUL15)*860/10)+((('Form Sa1'!MUO835)*860)/10)+('Form Sa1'!MUO814*'Form Sa1'!MUO816/10)-'NF - 5 Power Mix'!MUL21-'NF - 5 Power Mix'!MUL22</f>
        <v>0</v>
      </c>
      <c r="MUM42" s="1046">
        <f>MUM38+((MUM40+'NF - 5 Power Mix'!MUM14+'NF - 5 Power Mix'!MUM15)*860/10)+((('Form Sa1'!MUP835)*860)/10)+('Form Sa1'!MUP814*'Form Sa1'!MUP816/10)-'NF - 5 Power Mix'!MUM21-'NF - 5 Power Mix'!MUM22</f>
        <v>0</v>
      </c>
      <c r="MUN42" s="1046">
        <f>MUN38+((MUN40+'NF - 5 Power Mix'!MUN14+'NF - 5 Power Mix'!MUN15)*860/10)+((('Form Sa1'!MUQ835)*860)/10)+('Form Sa1'!MUQ814*'Form Sa1'!MUQ816/10)-'NF - 5 Power Mix'!MUN21-'NF - 5 Power Mix'!MUN22</f>
        <v>0</v>
      </c>
      <c r="MUO42" s="1046">
        <f>MUO38+((MUO40+'NF - 5 Power Mix'!MUO14+'NF - 5 Power Mix'!MUO15)*860/10)+((('Form Sa1'!MUR835)*860)/10)+('Form Sa1'!MUR814*'Form Sa1'!MUR816/10)-'NF - 5 Power Mix'!MUO21-'NF - 5 Power Mix'!MUO22</f>
        <v>0</v>
      </c>
      <c r="MUP42" s="1046">
        <f>MUP38+((MUP40+'NF - 5 Power Mix'!MUP14+'NF - 5 Power Mix'!MUP15)*860/10)+((('Form Sa1'!MUS835)*860)/10)+('Form Sa1'!MUS814*'Form Sa1'!MUS816/10)-'NF - 5 Power Mix'!MUP21-'NF - 5 Power Mix'!MUP22</f>
        <v>0</v>
      </c>
      <c r="MUQ42" s="1046">
        <f>MUQ38+((MUQ40+'NF - 5 Power Mix'!MUQ14+'NF - 5 Power Mix'!MUQ15)*860/10)+((('Form Sa1'!MUT835)*860)/10)+('Form Sa1'!MUT814*'Form Sa1'!MUT816/10)-'NF - 5 Power Mix'!MUQ21-'NF - 5 Power Mix'!MUQ22</f>
        <v>0</v>
      </c>
      <c r="MUR42" s="1046">
        <f>MUR38+((MUR40+'NF - 5 Power Mix'!MUR14+'NF - 5 Power Mix'!MUR15)*860/10)+((('Form Sa1'!MUU835)*860)/10)+('Form Sa1'!MUU814*'Form Sa1'!MUU816/10)-'NF - 5 Power Mix'!MUR21-'NF - 5 Power Mix'!MUR22</f>
        <v>0</v>
      </c>
      <c r="MUS42" s="1046">
        <f>MUS38+((MUS40+'NF - 5 Power Mix'!MUS14+'NF - 5 Power Mix'!MUS15)*860/10)+((('Form Sa1'!MUV835)*860)/10)+('Form Sa1'!MUV814*'Form Sa1'!MUV816/10)-'NF - 5 Power Mix'!MUS21-'NF - 5 Power Mix'!MUS22</f>
        <v>0</v>
      </c>
      <c r="MUT42" s="1046">
        <f>MUT38+((MUT40+'NF - 5 Power Mix'!MUT14+'NF - 5 Power Mix'!MUT15)*860/10)+((('Form Sa1'!MUW835)*860)/10)+('Form Sa1'!MUW814*'Form Sa1'!MUW816/10)-'NF - 5 Power Mix'!MUT21-'NF - 5 Power Mix'!MUT22</f>
        <v>0</v>
      </c>
      <c r="MUU42" s="1046">
        <f>MUU38+((MUU40+'NF - 5 Power Mix'!MUU14+'NF - 5 Power Mix'!MUU15)*860/10)+((('Form Sa1'!MUX835)*860)/10)+('Form Sa1'!MUX814*'Form Sa1'!MUX816/10)-'NF - 5 Power Mix'!MUU21-'NF - 5 Power Mix'!MUU22</f>
        <v>0</v>
      </c>
      <c r="MUV42" s="1046">
        <f>MUV38+((MUV40+'NF - 5 Power Mix'!MUV14+'NF - 5 Power Mix'!MUV15)*860/10)+((('Form Sa1'!MUY835)*860)/10)+('Form Sa1'!MUY814*'Form Sa1'!MUY816/10)-'NF - 5 Power Mix'!MUV21-'NF - 5 Power Mix'!MUV22</f>
        <v>0</v>
      </c>
      <c r="MUW42" s="1046">
        <f>MUW38+((MUW40+'NF - 5 Power Mix'!MUW14+'NF - 5 Power Mix'!MUW15)*860/10)+((('Form Sa1'!MUZ835)*860)/10)+('Form Sa1'!MUZ814*'Form Sa1'!MUZ816/10)-'NF - 5 Power Mix'!MUW21-'NF - 5 Power Mix'!MUW22</f>
        <v>0</v>
      </c>
      <c r="MUX42" s="1046">
        <f>MUX38+((MUX40+'NF - 5 Power Mix'!MUX14+'NF - 5 Power Mix'!MUX15)*860/10)+((('Form Sa1'!MVA835)*860)/10)+('Form Sa1'!MVA814*'Form Sa1'!MVA816/10)-'NF - 5 Power Mix'!MUX21-'NF - 5 Power Mix'!MUX22</f>
        <v>0</v>
      </c>
      <c r="MUY42" s="1046">
        <f>MUY38+((MUY40+'NF - 5 Power Mix'!MUY14+'NF - 5 Power Mix'!MUY15)*860/10)+((('Form Sa1'!MVB835)*860)/10)+('Form Sa1'!MVB814*'Form Sa1'!MVB816/10)-'NF - 5 Power Mix'!MUY21-'NF - 5 Power Mix'!MUY22</f>
        <v>0</v>
      </c>
      <c r="MUZ42" s="1046">
        <f>MUZ38+((MUZ40+'NF - 5 Power Mix'!MUZ14+'NF - 5 Power Mix'!MUZ15)*860/10)+((('Form Sa1'!MVC835)*860)/10)+('Form Sa1'!MVC814*'Form Sa1'!MVC816/10)-'NF - 5 Power Mix'!MUZ21-'NF - 5 Power Mix'!MUZ22</f>
        <v>0</v>
      </c>
      <c r="MVA42" s="1046">
        <f>MVA38+((MVA40+'NF - 5 Power Mix'!MVA14+'NF - 5 Power Mix'!MVA15)*860/10)+((('Form Sa1'!MVD835)*860)/10)+('Form Sa1'!MVD814*'Form Sa1'!MVD816/10)-'NF - 5 Power Mix'!MVA21-'NF - 5 Power Mix'!MVA22</f>
        <v>0</v>
      </c>
      <c r="MVB42" s="1046">
        <f>MVB38+((MVB40+'NF - 5 Power Mix'!MVB14+'NF - 5 Power Mix'!MVB15)*860/10)+((('Form Sa1'!MVE835)*860)/10)+('Form Sa1'!MVE814*'Form Sa1'!MVE816/10)-'NF - 5 Power Mix'!MVB21-'NF - 5 Power Mix'!MVB22</f>
        <v>0</v>
      </c>
      <c r="MVC42" s="1046">
        <f>MVC38+((MVC40+'NF - 5 Power Mix'!MVC14+'NF - 5 Power Mix'!MVC15)*860/10)+((('Form Sa1'!MVF835)*860)/10)+('Form Sa1'!MVF814*'Form Sa1'!MVF816/10)-'NF - 5 Power Mix'!MVC21-'NF - 5 Power Mix'!MVC22</f>
        <v>0</v>
      </c>
      <c r="MVD42" s="1046">
        <f>MVD38+((MVD40+'NF - 5 Power Mix'!MVD14+'NF - 5 Power Mix'!MVD15)*860/10)+((('Form Sa1'!MVG835)*860)/10)+('Form Sa1'!MVG814*'Form Sa1'!MVG816/10)-'NF - 5 Power Mix'!MVD21-'NF - 5 Power Mix'!MVD22</f>
        <v>0</v>
      </c>
      <c r="MVE42" s="1046">
        <f>MVE38+((MVE40+'NF - 5 Power Mix'!MVE14+'NF - 5 Power Mix'!MVE15)*860/10)+((('Form Sa1'!MVH835)*860)/10)+('Form Sa1'!MVH814*'Form Sa1'!MVH816/10)-'NF - 5 Power Mix'!MVE21-'NF - 5 Power Mix'!MVE22</f>
        <v>0</v>
      </c>
      <c r="MVF42" s="1046">
        <f>MVF38+((MVF40+'NF - 5 Power Mix'!MVF14+'NF - 5 Power Mix'!MVF15)*860/10)+((('Form Sa1'!MVI835)*860)/10)+('Form Sa1'!MVI814*'Form Sa1'!MVI816/10)-'NF - 5 Power Mix'!MVF21-'NF - 5 Power Mix'!MVF22</f>
        <v>0</v>
      </c>
      <c r="MVG42" s="1046">
        <f>MVG38+((MVG40+'NF - 5 Power Mix'!MVG14+'NF - 5 Power Mix'!MVG15)*860/10)+((('Form Sa1'!MVJ835)*860)/10)+('Form Sa1'!MVJ814*'Form Sa1'!MVJ816/10)-'NF - 5 Power Mix'!MVG21-'NF - 5 Power Mix'!MVG22</f>
        <v>0</v>
      </c>
      <c r="MVH42" s="1046">
        <f>MVH38+((MVH40+'NF - 5 Power Mix'!MVH14+'NF - 5 Power Mix'!MVH15)*860/10)+((('Form Sa1'!MVK835)*860)/10)+('Form Sa1'!MVK814*'Form Sa1'!MVK816/10)-'NF - 5 Power Mix'!MVH21-'NF - 5 Power Mix'!MVH22</f>
        <v>0</v>
      </c>
      <c r="MVI42" s="1046">
        <f>MVI38+((MVI40+'NF - 5 Power Mix'!MVI14+'NF - 5 Power Mix'!MVI15)*860/10)+((('Form Sa1'!MVL835)*860)/10)+('Form Sa1'!MVL814*'Form Sa1'!MVL816/10)-'NF - 5 Power Mix'!MVI21-'NF - 5 Power Mix'!MVI22</f>
        <v>0</v>
      </c>
      <c r="MVJ42" s="1046">
        <f>MVJ38+((MVJ40+'NF - 5 Power Mix'!MVJ14+'NF - 5 Power Mix'!MVJ15)*860/10)+((('Form Sa1'!MVM835)*860)/10)+('Form Sa1'!MVM814*'Form Sa1'!MVM816/10)-'NF - 5 Power Mix'!MVJ21-'NF - 5 Power Mix'!MVJ22</f>
        <v>0</v>
      </c>
      <c r="MVK42" s="1046">
        <f>MVK38+((MVK40+'NF - 5 Power Mix'!MVK14+'NF - 5 Power Mix'!MVK15)*860/10)+((('Form Sa1'!MVN835)*860)/10)+('Form Sa1'!MVN814*'Form Sa1'!MVN816/10)-'NF - 5 Power Mix'!MVK21-'NF - 5 Power Mix'!MVK22</f>
        <v>0</v>
      </c>
      <c r="MVL42" s="1046">
        <f>MVL38+((MVL40+'NF - 5 Power Mix'!MVL14+'NF - 5 Power Mix'!MVL15)*860/10)+((('Form Sa1'!MVO835)*860)/10)+('Form Sa1'!MVO814*'Form Sa1'!MVO816/10)-'NF - 5 Power Mix'!MVL21-'NF - 5 Power Mix'!MVL22</f>
        <v>0</v>
      </c>
      <c r="MVM42" s="1046">
        <f>MVM38+((MVM40+'NF - 5 Power Mix'!MVM14+'NF - 5 Power Mix'!MVM15)*860/10)+((('Form Sa1'!MVP835)*860)/10)+('Form Sa1'!MVP814*'Form Sa1'!MVP816/10)-'NF - 5 Power Mix'!MVM21-'NF - 5 Power Mix'!MVM22</f>
        <v>0</v>
      </c>
      <c r="MVN42" s="1046">
        <f>MVN38+((MVN40+'NF - 5 Power Mix'!MVN14+'NF - 5 Power Mix'!MVN15)*860/10)+((('Form Sa1'!MVQ835)*860)/10)+('Form Sa1'!MVQ814*'Form Sa1'!MVQ816/10)-'NF - 5 Power Mix'!MVN21-'NF - 5 Power Mix'!MVN22</f>
        <v>0</v>
      </c>
      <c r="MVO42" s="1046">
        <f>MVO38+((MVO40+'NF - 5 Power Mix'!MVO14+'NF - 5 Power Mix'!MVO15)*860/10)+((('Form Sa1'!MVR835)*860)/10)+('Form Sa1'!MVR814*'Form Sa1'!MVR816/10)-'NF - 5 Power Mix'!MVO21-'NF - 5 Power Mix'!MVO22</f>
        <v>0</v>
      </c>
      <c r="MVP42" s="1046">
        <f>MVP38+((MVP40+'NF - 5 Power Mix'!MVP14+'NF - 5 Power Mix'!MVP15)*860/10)+((('Form Sa1'!MVS835)*860)/10)+('Form Sa1'!MVS814*'Form Sa1'!MVS816/10)-'NF - 5 Power Mix'!MVP21-'NF - 5 Power Mix'!MVP22</f>
        <v>0</v>
      </c>
      <c r="MVQ42" s="1046">
        <f>MVQ38+((MVQ40+'NF - 5 Power Mix'!MVQ14+'NF - 5 Power Mix'!MVQ15)*860/10)+((('Form Sa1'!MVT835)*860)/10)+('Form Sa1'!MVT814*'Form Sa1'!MVT816/10)-'NF - 5 Power Mix'!MVQ21-'NF - 5 Power Mix'!MVQ22</f>
        <v>0</v>
      </c>
      <c r="MVR42" s="1046">
        <f>MVR38+((MVR40+'NF - 5 Power Mix'!MVR14+'NF - 5 Power Mix'!MVR15)*860/10)+((('Form Sa1'!MVU835)*860)/10)+('Form Sa1'!MVU814*'Form Sa1'!MVU816/10)-'NF - 5 Power Mix'!MVR21-'NF - 5 Power Mix'!MVR22</f>
        <v>0</v>
      </c>
      <c r="MVS42" s="1046">
        <f>MVS38+((MVS40+'NF - 5 Power Mix'!MVS14+'NF - 5 Power Mix'!MVS15)*860/10)+((('Form Sa1'!MVV835)*860)/10)+('Form Sa1'!MVV814*'Form Sa1'!MVV816/10)-'NF - 5 Power Mix'!MVS21-'NF - 5 Power Mix'!MVS22</f>
        <v>0</v>
      </c>
      <c r="MVT42" s="1046">
        <f>MVT38+((MVT40+'NF - 5 Power Mix'!MVT14+'NF - 5 Power Mix'!MVT15)*860/10)+((('Form Sa1'!MVW835)*860)/10)+('Form Sa1'!MVW814*'Form Sa1'!MVW816/10)-'NF - 5 Power Mix'!MVT21-'NF - 5 Power Mix'!MVT22</f>
        <v>0</v>
      </c>
      <c r="MVU42" s="1046">
        <f>MVU38+((MVU40+'NF - 5 Power Mix'!MVU14+'NF - 5 Power Mix'!MVU15)*860/10)+((('Form Sa1'!MVX835)*860)/10)+('Form Sa1'!MVX814*'Form Sa1'!MVX816/10)-'NF - 5 Power Mix'!MVU21-'NF - 5 Power Mix'!MVU22</f>
        <v>0</v>
      </c>
      <c r="MVV42" s="1046">
        <f>MVV38+((MVV40+'NF - 5 Power Mix'!MVV14+'NF - 5 Power Mix'!MVV15)*860/10)+((('Form Sa1'!MVY835)*860)/10)+('Form Sa1'!MVY814*'Form Sa1'!MVY816/10)-'NF - 5 Power Mix'!MVV21-'NF - 5 Power Mix'!MVV22</f>
        <v>0</v>
      </c>
      <c r="MVW42" s="1046">
        <f>MVW38+((MVW40+'NF - 5 Power Mix'!MVW14+'NF - 5 Power Mix'!MVW15)*860/10)+((('Form Sa1'!MVZ835)*860)/10)+('Form Sa1'!MVZ814*'Form Sa1'!MVZ816/10)-'NF - 5 Power Mix'!MVW21-'NF - 5 Power Mix'!MVW22</f>
        <v>0</v>
      </c>
      <c r="MVX42" s="1046">
        <f>MVX38+((MVX40+'NF - 5 Power Mix'!MVX14+'NF - 5 Power Mix'!MVX15)*860/10)+((('Form Sa1'!MWA835)*860)/10)+('Form Sa1'!MWA814*'Form Sa1'!MWA816/10)-'NF - 5 Power Mix'!MVX21-'NF - 5 Power Mix'!MVX22</f>
        <v>0</v>
      </c>
      <c r="MVY42" s="1046">
        <f>MVY38+((MVY40+'NF - 5 Power Mix'!MVY14+'NF - 5 Power Mix'!MVY15)*860/10)+((('Form Sa1'!MWB835)*860)/10)+('Form Sa1'!MWB814*'Form Sa1'!MWB816/10)-'NF - 5 Power Mix'!MVY21-'NF - 5 Power Mix'!MVY22</f>
        <v>0</v>
      </c>
      <c r="MVZ42" s="1046">
        <f>MVZ38+((MVZ40+'NF - 5 Power Mix'!MVZ14+'NF - 5 Power Mix'!MVZ15)*860/10)+((('Form Sa1'!MWC835)*860)/10)+('Form Sa1'!MWC814*'Form Sa1'!MWC816/10)-'NF - 5 Power Mix'!MVZ21-'NF - 5 Power Mix'!MVZ22</f>
        <v>0</v>
      </c>
      <c r="MWA42" s="1046">
        <f>MWA38+((MWA40+'NF - 5 Power Mix'!MWA14+'NF - 5 Power Mix'!MWA15)*860/10)+((('Form Sa1'!MWD835)*860)/10)+('Form Sa1'!MWD814*'Form Sa1'!MWD816/10)-'NF - 5 Power Mix'!MWA21-'NF - 5 Power Mix'!MWA22</f>
        <v>0</v>
      </c>
      <c r="MWB42" s="1046">
        <f>MWB38+((MWB40+'NF - 5 Power Mix'!MWB14+'NF - 5 Power Mix'!MWB15)*860/10)+((('Form Sa1'!MWE835)*860)/10)+('Form Sa1'!MWE814*'Form Sa1'!MWE816/10)-'NF - 5 Power Mix'!MWB21-'NF - 5 Power Mix'!MWB22</f>
        <v>0</v>
      </c>
      <c r="MWC42" s="1046">
        <f>MWC38+((MWC40+'NF - 5 Power Mix'!MWC14+'NF - 5 Power Mix'!MWC15)*860/10)+((('Form Sa1'!MWF835)*860)/10)+('Form Sa1'!MWF814*'Form Sa1'!MWF816/10)-'NF - 5 Power Mix'!MWC21-'NF - 5 Power Mix'!MWC22</f>
        <v>0</v>
      </c>
      <c r="MWD42" s="1046">
        <f>MWD38+((MWD40+'NF - 5 Power Mix'!MWD14+'NF - 5 Power Mix'!MWD15)*860/10)+((('Form Sa1'!MWG835)*860)/10)+('Form Sa1'!MWG814*'Form Sa1'!MWG816/10)-'NF - 5 Power Mix'!MWD21-'NF - 5 Power Mix'!MWD22</f>
        <v>0</v>
      </c>
      <c r="MWE42" s="1046">
        <f>MWE38+((MWE40+'NF - 5 Power Mix'!MWE14+'NF - 5 Power Mix'!MWE15)*860/10)+((('Form Sa1'!MWH835)*860)/10)+('Form Sa1'!MWH814*'Form Sa1'!MWH816/10)-'NF - 5 Power Mix'!MWE21-'NF - 5 Power Mix'!MWE22</f>
        <v>0</v>
      </c>
      <c r="MWF42" s="1046">
        <f>MWF38+((MWF40+'NF - 5 Power Mix'!MWF14+'NF - 5 Power Mix'!MWF15)*860/10)+((('Form Sa1'!MWI835)*860)/10)+('Form Sa1'!MWI814*'Form Sa1'!MWI816/10)-'NF - 5 Power Mix'!MWF21-'NF - 5 Power Mix'!MWF22</f>
        <v>0</v>
      </c>
      <c r="MWG42" s="1046">
        <f>MWG38+((MWG40+'NF - 5 Power Mix'!MWG14+'NF - 5 Power Mix'!MWG15)*860/10)+((('Form Sa1'!MWJ835)*860)/10)+('Form Sa1'!MWJ814*'Form Sa1'!MWJ816/10)-'NF - 5 Power Mix'!MWG21-'NF - 5 Power Mix'!MWG22</f>
        <v>0</v>
      </c>
      <c r="MWH42" s="1046">
        <f>MWH38+((MWH40+'NF - 5 Power Mix'!MWH14+'NF - 5 Power Mix'!MWH15)*860/10)+((('Form Sa1'!MWK835)*860)/10)+('Form Sa1'!MWK814*'Form Sa1'!MWK816/10)-'NF - 5 Power Mix'!MWH21-'NF - 5 Power Mix'!MWH22</f>
        <v>0</v>
      </c>
      <c r="MWI42" s="1046">
        <f>MWI38+((MWI40+'NF - 5 Power Mix'!MWI14+'NF - 5 Power Mix'!MWI15)*860/10)+((('Form Sa1'!MWL835)*860)/10)+('Form Sa1'!MWL814*'Form Sa1'!MWL816/10)-'NF - 5 Power Mix'!MWI21-'NF - 5 Power Mix'!MWI22</f>
        <v>0</v>
      </c>
      <c r="MWJ42" s="1046">
        <f>MWJ38+((MWJ40+'NF - 5 Power Mix'!MWJ14+'NF - 5 Power Mix'!MWJ15)*860/10)+((('Form Sa1'!MWM835)*860)/10)+('Form Sa1'!MWM814*'Form Sa1'!MWM816/10)-'NF - 5 Power Mix'!MWJ21-'NF - 5 Power Mix'!MWJ22</f>
        <v>0</v>
      </c>
      <c r="MWK42" s="1046">
        <f>MWK38+((MWK40+'NF - 5 Power Mix'!MWK14+'NF - 5 Power Mix'!MWK15)*860/10)+((('Form Sa1'!MWN835)*860)/10)+('Form Sa1'!MWN814*'Form Sa1'!MWN816/10)-'NF - 5 Power Mix'!MWK21-'NF - 5 Power Mix'!MWK22</f>
        <v>0</v>
      </c>
      <c r="MWL42" s="1046">
        <f>MWL38+((MWL40+'NF - 5 Power Mix'!MWL14+'NF - 5 Power Mix'!MWL15)*860/10)+((('Form Sa1'!MWO835)*860)/10)+('Form Sa1'!MWO814*'Form Sa1'!MWO816/10)-'NF - 5 Power Mix'!MWL21-'NF - 5 Power Mix'!MWL22</f>
        <v>0</v>
      </c>
      <c r="MWM42" s="1046">
        <f>MWM38+((MWM40+'NF - 5 Power Mix'!MWM14+'NF - 5 Power Mix'!MWM15)*860/10)+((('Form Sa1'!MWP835)*860)/10)+('Form Sa1'!MWP814*'Form Sa1'!MWP816/10)-'NF - 5 Power Mix'!MWM21-'NF - 5 Power Mix'!MWM22</f>
        <v>0</v>
      </c>
      <c r="MWN42" s="1046">
        <f>MWN38+((MWN40+'NF - 5 Power Mix'!MWN14+'NF - 5 Power Mix'!MWN15)*860/10)+((('Form Sa1'!MWQ835)*860)/10)+('Form Sa1'!MWQ814*'Form Sa1'!MWQ816/10)-'NF - 5 Power Mix'!MWN21-'NF - 5 Power Mix'!MWN22</f>
        <v>0</v>
      </c>
      <c r="MWO42" s="1046">
        <f>MWO38+((MWO40+'NF - 5 Power Mix'!MWO14+'NF - 5 Power Mix'!MWO15)*860/10)+((('Form Sa1'!MWR835)*860)/10)+('Form Sa1'!MWR814*'Form Sa1'!MWR816/10)-'NF - 5 Power Mix'!MWO21-'NF - 5 Power Mix'!MWO22</f>
        <v>0</v>
      </c>
      <c r="MWP42" s="1046">
        <f>MWP38+((MWP40+'NF - 5 Power Mix'!MWP14+'NF - 5 Power Mix'!MWP15)*860/10)+((('Form Sa1'!MWS835)*860)/10)+('Form Sa1'!MWS814*'Form Sa1'!MWS816/10)-'NF - 5 Power Mix'!MWP21-'NF - 5 Power Mix'!MWP22</f>
        <v>0</v>
      </c>
      <c r="MWQ42" s="1046">
        <f>MWQ38+((MWQ40+'NF - 5 Power Mix'!MWQ14+'NF - 5 Power Mix'!MWQ15)*860/10)+((('Form Sa1'!MWT835)*860)/10)+('Form Sa1'!MWT814*'Form Sa1'!MWT816/10)-'NF - 5 Power Mix'!MWQ21-'NF - 5 Power Mix'!MWQ22</f>
        <v>0</v>
      </c>
      <c r="MWR42" s="1046">
        <f>MWR38+((MWR40+'NF - 5 Power Mix'!MWR14+'NF - 5 Power Mix'!MWR15)*860/10)+((('Form Sa1'!MWU835)*860)/10)+('Form Sa1'!MWU814*'Form Sa1'!MWU816/10)-'NF - 5 Power Mix'!MWR21-'NF - 5 Power Mix'!MWR22</f>
        <v>0</v>
      </c>
      <c r="MWS42" s="1046">
        <f>MWS38+((MWS40+'NF - 5 Power Mix'!MWS14+'NF - 5 Power Mix'!MWS15)*860/10)+((('Form Sa1'!MWV835)*860)/10)+('Form Sa1'!MWV814*'Form Sa1'!MWV816/10)-'NF - 5 Power Mix'!MWS21-'NF - 5 Power Mix'!MWS22</f>
        <v>0</v>
      </c>
      <c r="MWT42" s="1046">
        <f>MWT38+((MWT40+'NF - 5 Power Mix'!MWT14+'NF - 5 Power Mix'!MWT15)*860/10)+((('Form Sa1'!MWW835)*860)/10)+('Form Sa1'!MWW814*'Form Sa1'!MWW816/10)-'NF - 5 Power Mix'!MWT21-'NF - 5 Power Mix'!MWT22</f>
        <v>0</v>
      </c>
      <c r="MWU42" s="1046">
        <f>MWU38+((MWU40+'NF - 5 Power Mix'!MWU14+'NF - 5 Power Mix'!MWU15)*860/10)+((('Form Sa1'!MWX835)*860)/10)+('Form Sa1'!MWX814*'Form Sa1'!MWX816/10)-'NF - 5 Power Mix'!MWU21-'NF - 5 Power Mix'!MWU22</f>
        <v>0</v>
      </c>
      <c r="MWV42" s="1046">
        <f>MWV38+((MWV40+'NF - 5 Power Mix'!MWV14+'NF - 5 Power Mix'!MWV15)*860/10)+((('Form Sa1'!MWY835)*860)/10)+('Form Sa1'!MWY814*'Form Sa1'!MWY816/10)-'NF - 5 Power Mix'!MWV21-'NF - 5 Power Mix'!MWV22</f>
        <v>0</v>
      </c>
      <c r="MWW42" s="1046">
        <f>MWW38+((MWW40+'NF - 5 Power Mix'!MWW14+'NF - 5 Power Mix'!MWW15)*860/10)+((('Form Sa1'!MWZ835)*860)/10)+('Form Sa1'!MWZ814*'Form Sa1'!MWZ816/10)-'NF - 5 Power Mix'!MWW21-'NF - 5 Power Mix'!MWW22</f>
        <v>0</v>
      </c>
      <c r="MWX42" s="1046">
        <f>MWX38+((MWX40+'NF - 5 Power Mix'!MWX14+'NF - 5 Power Mix'!MWX15)*860/10)+((('Form Sa1'!MXA835)*860)/10)+('Form Sa1'!MXA814*'Form Sa1'!MXA816/10)-'NF - 5 Power Mix'!MWX21-'NF - 5 Power Mix'!MWX22</f>
        <v>0</v>
      </c>
      <c r="MWY42" s="1046">
        <f>MWY38+((MWY40+'NF - 5 Power Mix'!MWY14+'NF - 5 Power Mix'!MWY15)*860/10)+((('Form Sa1'!MXB835)*860)/10)+('Form Sa1'!MXB814*'Form Sa1'!MXB816/10)-'NF - 5 Power Mix'!MWY21-'NF - 5 Power Mix'!MWY22</f>
        <v>0</v>
      </c>
      <c r="MWZ42" s="1046">
        <f>MWZ38+((MWZ40+'NF - 5 Power Mix'!MWZ14+'NF - 5 Power Mix'!MWZ15)*860/10)+((('Form Sa1'!MXC835)*860)/10)+('Form Sa1'!MXC814*'Form Sa1'!MXC816/10)-'NF - 5 Power Mix'!MWZ21-'NF - 5 Power Mix'!MWZ22</f>
        <v>0</v>
      </c>
      <c r="MXA42" s="1046">
        <f>MXA38+((MXA40+'NF - 5 Power Mix'!MXA14+'NF - 5 Power Mix'!MXA15)*860/10)+((('Form Sa1'!MXD835)*860)/10)+('Form Sa1'!MXD814*'Form Sa1'!MXD816/10)-'NF - 5 Power Mix'!MXA21-'NF - 5 Power Mix'!MXA22</f>
        <v>0</v>
      </c>
      <c r="MXB42" s="1046">
        <f>MXB38+((MXB40+'NF - 5 Power Mix'!MXB14+'NF - 5 Power Mix'!MXB15)*860/10)+((('Form Sa1'!MXE835)*860)/10)+('Form Sa1'!MXE814*'Form Sa1'!MXE816/10)-'NF - 5 Power Mix'!MXB21-'NF - 5 Power Mix'!MXB22</f>
        <v>0</v>
      </c>
      <c r="MXC42" s="1046">
        <f>MXC38+((MXC40+'NF - 5 Power Mix'!MXC14+'NF - 5 Power Mix'!MXC15)*860/10)+((('Form Sa1'!MXF835)*860)/10)+('Form Sa1'!MXF814*'Form Sa1'!MXF816/10)-'NF - 5 Power Mix'!MXC21-'NF - 5 Power Mix'!MXC22</f>
        <v>0</v>
      </c>
      <c r="MXD42" s="1046">
        <f>MXD38+((MXD40+'NF - 5 Power Mix'!MXD14+'NF - 5 Power Mix'!MXD15)*860/10)+((('Form Sa1'!MXG835)*860)/10)+('Form Sa1'!MXG814*'Form Sa1'!MXG816/10)-'NF - 5 Power Mix'!MXD21-'NF - 5 Power Mix'!MXD22</f>
        <v>0</v>
      </c>
      <c r="MXE42" s="1046">
        <f>MXE38+((MXE40+'NF - 5 Power Mix'!MXE14+'NF - 5 Power Mix'!MXE15)*860/10)+((('Form Sa1'!MXH835)*860)/10)+('Form Sa1'!MXH814*'Form Sa1'!MXH816/10)-'NF - 5 Power Mix'!MXE21-'NF - 5 Power Mix'!MXE22</f>
        <v>0</v>
      </c>
      <c r="MXF42" s="1046">
        <f>MXF38+((MXF40+'NF - 5 Power Mix'!MXF14+'NF - 5 Power Mix'!MXF15)*860/10)+((('Form Sa1'!MXI835)*860)/10)+('Form Sa1'!MXI814*'Form Sa1'!MXI816/10)-'NF - 5 Power Mix'!MXF21-'NF - 5 Power Mix'!MXF22</f>
        <v>0</v>
      </c>
      <c r="MXG42" s="1046">
        <f>MXG38+((MXG40+'NF - 5 Power Mix'!MXG14+'NF - 5 Power Mix'!MXG15)*860/10)+((('Form Sa1'!MXJ835)*860)/10)+('Form Sa1'!MXJ814*'Form Sa1'!MXJ816/10)-'NF - 5 Power Mix'!MXG21-'NF - 5 Power Mix'!MXG22</f>
        <v>0</v>
      </c>
      <c r="MXH42" s="1046">
        <f>MXH38+((MXH40+'NF - 5 Power Mix'!MXH14+'NF - 5 Power Mix'!MXH15)*860/10)+((('Form Sa1'!MXK835)*860)/10)+('Form Sa1'!MXK814*'Form Sa1'!MXK816/10)-'NF - 5 Power Mix'!MXH21-'NF - 5 Power Mix'!MXH22</f>
        <v>0</v>
      </c>
      <c r="MXI42" s="1046">
        <f>MXI38+((MXI40+'NF - 5 Power Mix'!MXI14+'NF - 5 Power Mix'!MXI15)*860/10)+((('Form Sa1'!MXL835)*860)/10)+('Form Sa1'!MXL814*'Form Sa1'!MXL816/10)-'NF - 5 Power Mix'!MXI21-'NF - 5 Power Mix'!MXI22</f>
        <v>0</v>
      </c>
      <c r="MXJ42" s="1046">
        <f>MXJ38+((MXJ40+'NF - 5 Power Mix'!MXJ14+'NF - 5 Power Mix'!MXJ15)*860/10)+((('Form Sa1'!MXM835)*860)/10)+('Form Sa1'!MXM814*'Form Sa1'!MXM816/10)-'NF - 5 Power Mix'!MXJ21-'NF - 5 Power Mix'!MXJ22</f>
        <v>0</v>
      </c>
      <c r="MXK42" s="1046">
        <f>MXK38+((MXK40+'NF - 5 Power Mix'!MXK14+'NF - 5 Power Mix'!MXK15)*860/10)+((('Form Sa1'!MXN835)*860)/10)+('Form Sa1'!MXN814*'Form Sa1'!MXN816/10)-'NF - 5 Power Mix'!MXK21-'NF - 5 Power Mix'!MXK22</f>
        <v>0</v>
      </c>
      <c r="MXL42" s="1046">
        <f>MXL38+((MXL40+'NF - 5 Power Mix'!MXL14+'NF - 5 Power Mix'!MXL15)*860/10)+((('Form Sa1'!MXO835)*860)/10)+('Form Sa1'!MXO814*'Form Sa1'!MXO816/10)-'NF - 5 Power Mix'!MXL21-'NF - 5 Power Mix'!MXL22</f>
        <v>0</v>
      </c>
      <c r="MXM42" s="1046">
        <f>MXM38+((MXM40+'NF - 5 Power Mix'!MXM14+'NF - 5 Power Mix'!MXM15)*860/10)+((('Form Sa1'!MXP835)*860)/10)+('Form Sa1'!MXP814*'Form Sa1'!MXP816/10)-'NF - 5 Power Mix'!MXM21-'NF - 5 Power Mix'!MXM22</f>
        <v>0</v>
      </c>
      <c r="MXN42" s="1046">
        <f>MXN38+((MXN40+'NF - 5 Power Mix'!MXN14+'NF - 5 Power Mix'!MXN15)*860/10)+((('Form Sa1'!MXQ835)*860)/10)+('Form Sa1'!MXQ814*'Form Sa1'!MXQ816/10)-'NF - 5 Power Mix'!MXN21-'NF - 5 Power Mix'!MXN22</f>
        <v>0</v>
      </c>
      <c r="MXO42" s="1046">
        <f>MXO38+((MXO40+'NF - 5 Power Mix'!MXO14+'NF - 5 Power Mix'!MXO15)*860/10)+((('Form Sa1'!MXR835)*860)/10)+('Form Sa1'!MXR814*'Form Sa1'!MXR816/10)-'NF - 5 Power Mix'!MXO21-'NF - 5 Power Mix'!MXO22</f>
        <v>0</v>
      </c>
      <c r="MXP42" s="1046">
        <f>MXP38+((MXP40+'NF - 5 Power Mix'!MXP14+'NF - 5 Power Mix'!MXP15)*860/10)+((('Form Sa1'!MXS835)*860)/10)+('Form Sa1'!MXS814*'Form Sa1'!MXS816/10)-'NF - 5 Power Mix'!MXP21-'NF - 5 Power Mix'!MXP22</f>
        <v>0</v>
      </c>
      <c r="MXQ42" s="1046">
        <f>MXQ38+((MXQ40+'NF - 5 Power Mix'!MXQ14+'NF - 5 Power Mix'!MXQ15)*860/10)+((('Form Sa1'!MXT835)*860)/10)+('Form Sa1'!MXT814*'Form Sa1'!MXT816/10)-'NF - 5 Power Mix'!MXQ21-'NF - 5 Power Mix'!MXQ22</f>
        <v>0</v>
      </c>
      <c r="MXR42" s="1046">
        <f>MXR38+((MXR40+'NF - 5 Power Mix'!MXR14+'NF - 5 Power Mix'!MXR15)*860/10)+((('Form Sa1'!MXU835)*860)/10)+('Form Sa1'!MXU814*'Form Sa1'!MXU816/10)-'NF - 5 Power Mix'!MXR21-'NF - 5 Power Mix'!MXR22</f>
        <v>0</v>
      </c>
      <c r="MXS42" s="1046">
        <f>MXS38+((MXS40+'NF - 5 Power Mix'!MXS14+'NF - 5 Power Mix'!MXS15)*860/10)+((('Form Sa1'!MXV835)*860)/10)+('Form Sa1'!MXV814*'Form Sa1'!MXV816/10)-'NF - 5 Power Mix'!MXS21-'NF - 5 Power Mix'!MXS22</f>
        <v>0</v>
      </c>
      <c r="MXT42" s="1046">
        <f>MXT38+((MXT40+'NF - 5 Power Mix'!MXT14+'NF - 5 Power Mix'!MXT15)*860/10)+((('Form Sa1'!MXW835)*860)/10)+('Form Sa1'!MXW814*'Form Sa1'!MXW816/10)-'NF - 5 Power Mix'!MXT21-'NF - 5 Power Mix'!MXT22</f>
        <v>0</v>
      </c>
      <c r="MXU42" s="1046">
        <f>MXU38+((MXU40+'NF - 5 Power Mix'!MXU14+'NF - 5 Power Mix'!MXU15)*860/10)+((('Form Sa1'!MXX835)*860)/10)+('Form Sa1'!MXX814*'Form Sa1'!MXX816/10)-'NF - 5 Power Mix'!MXU21-'NF - 5 Power Mix'!MXU22</f>
        <v>0</v>
      </c>
      <c r="MXV42" s="1046">
        <f>MXV38+((MXV40+'NF - 5 Power Mix'!MXV14+'NF - 5 Power Mix'!MXV15)*860/10)+((('Form Sa1'!MXY835)*860)/10)+('Form Sa1'!MXY814*'Form Sa1'!MXY816/10)-'NF - 5 Power Mix'!MXV21-'NF - 5 Power Mix'!MXV22</f>
        <v>0</v>
      </c>
      <c r="MXW42" s="1046">
        <f>MXW38+((MXW40+'NF - 5 Power Mix'!MXW14+'NF - 5 Power Mix'!MXW15)*860/10)+((('Form Sa1'!MXZ835)*860)/10)+('Form Sa1'!MXZ814*'Form Sa1'!MXZ816/10)-'NF - 5 Power Mix'!MXW21-'NF - 5 Power Mix'!MXW22</f>
        <v>0</v>
      </c>
      <c r="MXX42" s="1046">
        <f>MXX38+((MXX40+'NF - 5 Power Mix'!MXX14+'NF - 5 Power Mix'!MXX15)*860/10)+((('Form Sa1'!MYA835)*860)/10)+('Form Sa1'!MYA814*'Form Sa1'!MYA816/10)-'NF - 5 Power Mix'!MXX21-'NF - 5 Power Mix'!MXX22</f>
        <v>0</v>
      </c>
      <c r="MXY42" s="1046">
        <f>MXY38+((MXY40+'NF - 5 Power Mix'!MXY14+'NF - 5 Power Mix'!MXY15)*860/10)+((('Form Sa1'!MYB835)*860)/10)+('Form Sa1'!MYB814*'Form Sa1'!MYB816/10)-'NF - 5 Power Mix'!MXY21-'NF - 5 Power Mix'!MXY22</f>
        <v>0</v>
      </c>
      <c r="MXZ42" s="1046">
        <f>MXZ38+((MXZ40+'NF - 5 Power Mix'!MXZ14+'NF - 5 Power Mix'!MXZ15)*860/10)+((('Form Sa1'!MYC835)*860)/10)+('Form Sa1'!MYC814*'Form Sa1'!MYC816/10)-'NF - 5 Power Mix'!MXZ21-'NF - 5 Power Mix'!MXZ22</f>
        <v>0</v>
      </c>
      <c r="MYA42" s="1046">
        <f>MYA38+((MYA40+'NF - 5 Power Mix'!MYA14+'NF - 5 Power Mix'!MYA15)*860/10)+((('Form Sa1'!MYD835)*860)/10)+('Form Sa1'!MYD814*'Form Sa1'!MYD816/10)-'NF - 5 Power Mix'!MYA21-'NF - 5 Power Mix'!MYA22</f>
        <v>0</v>
      </c>
      <c r="MYB42" s="1046">
        <f>MYB38+((MYB40+'NF - 5 Power Mix'!MYB14+'NF - 5 Power Mix'!MYB15)*860/10)+((('Form Sa1'!MYE835)*860)/10)+('Form Sa1'!MYE814*'Form Sa1'!MYE816/10)-'NF - 5 Power Mix'!MYB21-'NF - 5 Power Mix'!MYB22</f>
        <v>0</v>
      </c>
      <c r="MYC42" s="1046">
        <f>MYC38+((MYC40+'NF - 5 Power Mix'!MYC14+'NF - 5 Power Mix'!MYC15)*860/10)+((('Form Sa1'!MYF835)*860)/10)+('Form Sa1'!MYF814*'Form Sa1'!MYF816/10)-'NF - 5 Power Mix'!MYC21-'NF - 5 Power Mix'!MYC22</f>
        <v>0</v>
      </c>
      <c r="MYD42" s="1046">
        <f>MYD38+((MYD40+'NF - 5 Power Mix'!MYD14+'NF - 5 Power Mix'!MYD15)*860/10)+((('Form Sa1'!MYG835)*860)/10)+('Form Sa1'!MYG814*'Form Sa1'!MYG816/10)-'NF - 5 Power Mix'!MYD21-'NF - 5 Power Mix'!MYD22</f>
        <v>0</v>
      </c>
      <c r="MYE42" s="1046">
        <f>MYE38+((MYE40+'NF - 5 Power Mix'!MYE14+'NF - 5 Power Mix'!MYE15)*860/10)+((('Form Sa1'!MYH835)*860)/10)+('Form Sa1'!MYH814*'Form Sa1'!MYH816/10)-'NF - 5 Power Mix'!MYE21-'NF - 5 Power Mix'!MYE22</f>
        <v>0</v>
      </c>
      <c r="MYF42" s="1046">
        <f>MYF38+((MYF40+'NF - 5 Power Mix'!MYF14+'NF - 5 Power Mix'!MYF15)*860/10)+((('Form Sa1'!MYI835)*860)/10)+('Form Sa1'!MYI814*'Form Sa1'!MYI816/10)-'NF - 5 Power Mix'!MYF21-'NF - 5 Power Mix'!MYF22</f>
        <v>0</v>
      </c>
      <c r="MYG42" s="1046">
        <f>MYG38+((MYG40+'NF - 5 Power Mix'!MYG14+'NF - 5 Power Mix'!MYG15)*860/10)+((('Form Sa1'!MYJ835)*860)/10)+('Form Sa1'!MYJ814*'Form Sa1'!MYJ816/10)-'NF - 5 Power Mix'!MYG21-'NF - 5 Power Mix'!MYG22</f>
        <v>0</v>
      </c>
      <c r="MYH42" s="1046">
        <f>MYH38+((MYH40+'NF - 5 Power Mix'!MYH14+'NF - 5 Power Mix'!MYH15)*860/10)+((('Form Sa1'!MYK835)*860)/10)+('Form Sa1'!MYK814*'Form Sa1'!MYK816/10)-'NF - 5 Power Mix'!MYH21-'NF - 5 Power Mix'!MYH22</f>
        <v>0</v>
      </c>
      <c r="MYI42" s="1046">
        <f>MYI38+((MYI40+'NF - 5 Power Mix'!MYI14+'NF - 5 Power Mix'!MYI15)*860/10)+((('Form Sa1'!MYL835)*860)/10)+('Form Sa1'!MYL814*'Form Sa1'!MYL816/10)-'NF - 5 Power Mix'!MYI21-'NF - 5 Power Mix'!MYI22</f>
        <v>0</v>
      </c>
      <c r="MYJ42" s="1046">
        <f>MYJ38+((MYJ40+'NF - 5 Power Mix'!MYJ14+'NF - 5 Power Mix'!MYJ15)*860/10)+((('Form Sa1'!MYM835)*860)/10)+('Form Sa1'!MYM814*'Form Sa1'!MYM816/10)-'NF - 5 Power Mix'!MYJ21-'NF - 5 Power Mix'!MYJ22</f>
        <v>0</v>
      </c>
      <c r="MYK42" s="1046">
        <f>MYK38+((MYK40+'NF - 5 Power Mix'!MYK14+'NF - 5 Power Mix'!MYK15)*860/10)+((('Form Sa1'!MYN835)*860)/10)+('Form Sa1'!MYN814*'Form Sa1'!MYN816/10)-'NF - 5 Power Mix'!MYK21-'NF - 5 Power Mix'!MYK22</f>
        <v>0</v>
      </c>
      <c r="MYL42" s="1046">
        <f>MYL38+((MYL40+'NF - 5 Power Mix'!MYL14+'NF - 5 Power Mix'!MYL15)*860/10)+((('Form Sa1'!MYO835)*860)/10)+('Form Sa1'!MYO814*'Form Sa1'!MYO816/10)-'NF - 5 Power Mix'!MYL21-'NF - 5 Power Mix'!MYL22</f>
        <v>0</v>
      </c>
      <c r="MYM42" s="1046">
        <f>MYM38+((MYM40+'NF - 5 Power Mix'!MYM14+'NF - 5 Power Mix'!MYM15)*860/10)+((('Form Sa1'!MYP835)*860)/10)+('Form Sa1'!MYP814*'Form Sa1'!MYP816/10)-'NF - 5 Power Mix'!MYM21-'NF - 5 Power Mix'!MYM22</f>
        <v>0</v>
      </c>
      <c r="MYN42" s="1046">
        <f>MYN38+((MYN40+'NF - 5 Power Mix'!MYN14+'NF - 5 Power Mix'!MYN15)*860/10)+((('Form Sa1'!MYQ835)*860)/10)+('Form Sa1'!MYQ814*'Form Sa1'!MYQ816/10)-'NF - 5 Power Mix'!MYN21-'NF - 5 Power Mix'!MYN22</f>
        <v>0</v>
      </c>
      <c r="MYO42" s="1046">
        <f>MYO38+((MYO40+'NF - 5 Power Mix'!MYO14+'NF - 5 Power Mix'!MYO15)*860/10)+((('Form Sa1'!MYR835)*860)/10)+('Form Sa1'!MYR814*'Form Sa1'!MYR816/10)-'NF - 5 Power Mix'!MYO21-'NF - 5 Power Mix'!MYO22</f>
        <v>0</v>
      </c>
      <c r="MYP42" s="1046">
        <f>MYP38+((MYP40+'NF - 5 Power Mix'!MYP14+'NF - 5 Power Mix'!MYP15)*860/10)+((('Form Sa1'!MYS835)*860)/10)+('Form Sa1'!MYS814*'Form Sa1'!MYS816/10)-'NF - 5 Power Mix'!MYP21-'NF - 5 Power Mix'!MYP22</f>
        <v>0</v>
      </c>
      <c r="MYQ42" s="1046">
        <f>MYQ38+((MYQ40+'NF - 5 Power Mix'!MYQ14+'NF - 5 Power Mix'!MYQ15)*860/10)+((('Form Sa1'!MYT835)*860)/10)+('Form Sa1'!MYT814*'Form Sa1'!MYT816/10)-'NF - 5 Power Mix'!MYQ21-'NF - 5 Power Mix'!MYQ22</f>
        <v>0</v>
      </c>
      <c r="MYR42" s="1046">
        <f>MYR38+((MYR40+'NF - 5 Power Mix'!MYR14+'NF - 5 Power Mix'!MYR15)*860/10)+((('Form Sa1'!MYU835)*860)/10)+('Form Sa1'!MYU814*'Form Sa1'!MYU816/10)-'NF - 5 Power Mix'!MYR21-'NF - 5 Power Mix'!MYR22</f>
        <v>0</v>
      </c>
      <c r="MYS42" s="1046">
        <f>MYS38+((MYS40+'NF - 5 Power Mix'!MYS14+'NF - 5 Power Mix'!MYS15)*860/10)+((('Form Sa1'!MYV835)*860)/10)+('Form Sa1'!MYV814*'Form Sa1'!MYV816/10)-'NF - 5 Power Mix'!MYS21-'NF - 5 Power Mix'!MYS22</f>
        <v>0</v>
      </c>
      <c r="MYT42" s="1046">
        <f>MYT38+((MYT40+'NF - 5 Power Mix'!MYT14+'NF - 5 Power Mix'!MYT15)*860/10)+((('Form Sa1'!MYW835)*860)/10)+('Form Sa1'!MYW814*'Form Sa1'!MYW816/10)-'NF - 5 Power Mix'!MYT21-'NF - 5 Power Mix'!MYT22</f>
        <v>0</v>
      </c>
      <c r="MYU42" s="1046">
        <f>MYU38+((MYU40+'NF - 5 Power Mix'!MYU14+'NF - 5 Power Mix'!MYU15)*860/10)+((('Form Sa1'!MYX835)*860)/10)+('Form Sa1'!MYX814*'Form Sa1'!MYX816/10)-'NF - 5 Power Mix'!MYU21-'NF - 5 Power Mix'!MYU22</f>
        <v>0</v>
      </c>
      <c r="MYV42" s="1046">
        <f>MYV38+((MYV40+'NF - 5 Power Mix'!MYV14+'NF - 5 Power Mix'!MYV15)*860/10)+((('Form Sa1'!MYY835)*860)/10)+('Form Sa1'!MYY814*'Form Sa1'!MYY816/10)-'NF - 5 Power Mix'!MYV21-'NF - 5 Power Mix'!MYV22</f>
        <v>0</v>
      </c>
      <c r="MYW42" s="1046">
        <f>MYW38+((MYW40+'NF - 5 Power Mix'!MYW14+'NF - 5 Power Mix'!MYW15)*860/10)+((('Form Sa1'!MYZ835)*860)/10)+('Form Sa1'!MYZ814*'Form Sa1'!MYZ816/10)-'NF - 5 Power Mix'!MYW21-'NF - 5 Power Mix'!MYW22</f>
        <v>0</v>
      </c>
      <c r="MYX42" s="1046">
        <f>MYX38+((MYX40+'NF - 5 Power Mix'!MYX14+'NF - 5 Power Mix'!MYX15)*860/10)+((('Form Sa1'!MZA835)*860)/10)+('Form Sa1'!MZA814*'Form Sa1'!MZA816/10)-'NF - 5 Power Mix'!MYX21-'NF - 5 Power Mix'!MYX22</f>
        <v>0</v>
      </c>
      <c r="MYY42" s="1046">
        <f>MYY38+((MYY40+'NF - 5 Power Mix'!MYY14+'NF - 5 Power Mix'!MYY15)*860/10)+((('Form Sa1'!MZB835)*860)/10)+('Form Sa1'!MZB814*'Form Sa1'!MZB816/10)-'NF - 5 Power Mix'!MYY21-'NF - 5 Power Mix'!MYY22</f>
        <v>0</v>
      </c>
      <c r="MYZ42" s="1046">
        <f>MYZ38+((MYZ40+'NF - 5 Power Mix'!MYZ14+'NF - 5 Power Mix'!MYZ15)*860/10)+((('Form Sa1'!MZC835)*860)/10)+('Form Sa1'!MZC814*'Form Sa1'!MZC816/10)-'NF - 5 Power Mix'!MYZ21-'NF - 5 Power Mix'!MYZ22</f>
        <v>0</v>
      </c>
      <c r="MZA42" s="1046">
        <f>MZA38+((MZA40+'NF - 5 Power Mix'!MZA14+'NF - 5 Power Mix'!MZA15)*860/10)+((('Form Sa1'!MZD835)*860)/10)+('Form Sa1'!MZD814*'Form Sa1'!MZD816/10)-'NF - 5 Power Mix'!MZA21-'NF - 5 Power Mix'!MZA22</f>
        <v>0</v>
      </c>
      <c r="MZB42" s="1046">
        <f>MZB38+((MZB40+'NF - 5 Power Mix'!MZB14+'NF - 5 Power Mix'!MZB15)*860/10)+((('Form Sa1'!MZE835)*860)/10)+('Form Sa1'!MZE814*'Form Sa1'!MZE816/10)-'NF - 5 Power Mix'!MZB21-'NF - 5 Power Mix'!MZB22</f>
        <v>0</v>
      </c>
      <c r="MZC42" s="1046">
        <f>MZC38+((MZC40+'NF - 5 Power Mix'!MZC14+'NF - 5 Power Mix'!MZC15)*860/10)+((('Form Sa1'!MZF835)*860)/10)+('Form Sa1'!MZF814*'Form Sa1'!MZF816/10)-'NF - 5 Power Mix'!MZC21-'NF - 5 Power Mix'!MZC22</f>
        <v>0</v>
      </c>
      <c r="MZD42" s="1046">
        <f>MZD38+((MZD40+'NF - 5 Power Mix'!MZD14+'NF - 5 Power Mix'!MZD15)*860/10)+((('Form Sa1'!MZG835)*860)/10)+('Form Sa1'!MZG814*'Form Sa1'!MZG816/10)-'NF - 5 Power Mix'!MZD21-'NF - 5 Power Mix'!MZD22</f>
        <v>0</v>
      </c>
      <c r="MZE42" s="1046">
        <f>MZE38+((MZE40+'NF - 5 Power Mix'!MZE14+'NF - 5 Power Mix'!MZE15)*860/10)+((('Form Sa1'!MZH835)*860)/10)+('Form Sa1'!MZH814*'Form Sa1'!MZH816/10)-'NF - 5 Power Mix'!MZE21-'NF - 5 Power Mix'!MZE22</f>
        <v>0</v>
      </c>
      <c r="MZF42" s="1046">
        <f>MZF38+((MZF40+'NF - 5 Power Mix'!MZF14+'NF - 5 Power Mix'!MZF15)*860/10)+((('Form Sa1'!MZI835)*860)/10)+('Form Sa1'!MZI814*'Form Sa1'!MZI816/10)-'NF - 5 Power Mix'!MZF21-'NF - 5 Power Mix'!MZF22</f>
        <v>0</v>
      </c>
      <c r="MZG42" s="1046">
        <f>MZG38+((MZG40+'NF - 5 Power Mix'!MZG14+'NF - 5 Power Mix'!MZG15)*860/10)+((('Form Sa1'!MZJ835)*860)/10)+('Form Sa1'!MZJ814*'Form Sa1'!MZJ816/10)-'NF - 5 Power Mix'!MZG21-'NF - 5 Power Mix'!MZG22</f>
        <v>0</v>
      </c>
      <c r="MZH42" s="1046">
        <f>MZH38+((MZH40+'NF - 5 Power Mix'!MZH14+'NF - 5 Power Mix'!MZH15)*860/10)+((('Form Sa1'!MZK835)*860)/10)+('Form Sa1'!MZK814*'Form Sa1'!MZK816/10)-'NF - 5 Power Mix'!MZH21-'NF - 5 Power Mix'!MZH22</f>
        <v>0</v>
      </c>
      <c r="MZI42" s="1046">
        <f>MZI38+((MZI40+'NF - 5 Power Mix'!MZI14+'NF - 5 Power Mix'!MZI15)*860/10)+((('Form Sa1'!MZL835)*860)/10)+('Form Sa1'!MZL814*'Form Sa1'!MZL816/10)-'NF - 5 Power Mix'!MZI21-'NF - 5 Power Mix'!MZI22</f>
        <v>0</v>
      </c>
      <c r="MZJ42" s="1046">
        <f>MZJ38+((MZJ40+'NF - 5 Power Mix'!MZJ14+'NF - 5 Power Mix'!MZJ15)*860/10)+((('Form Sa1'!MZM835)*860)/10)+('Form Sa1'!MZM814*'Form Sa1'!MZM816/10)-'NF - 5 Power Mix'!MZJ21-'NF - 5 Power Mix'!MZJ22</f>
        <v>0</v>
      </c>
      <c r="MZK42" s="1046">
        <f>MZK38+((MZK40+'NF - 5 Power Mix'!MZK14+'NF - 5 Power Mix'!MZK15)*860/10)+((('Form Sa1'!MZN835)*860)/10)+('Form Sa1'!MZN814*'Form Sa1'!MZN816/10)-'NF - 5 Power Mix'!MZK21-'NF - 5 Power Mix'!MZK22</f>
        <v>0</v>
      </c>
      <c r="MZL42" s="1046">
        <f>MZL38+((MZL40+'NF - 5 Power Mix'!MZL14+'NF - 5 Power Mix'!MZL15)*860/10)+((('Form Sa1'!MZO835)*860)/10)+('Form Sa1'!MZO814*'Form Sa1'!MZO816/10)-'NF - 5 Power Mix'!MZL21-'NF - 5 Power Mix'!MZL22</f>
        <v>0</v>
      </c>
      <c r="MZM42" s="1046">
        <f>MZM38+((MZM40+'NF - 5 Power Mix'!MZM14+'NF - 5 Power Mix'!MZM15)*860/10)+((('Form Sa1'!MZP835)*860)/10)+('Form Sa1'!MZP814*'Form Sa1'!MZP816/10)-'NF - 5 Power Mix'!MZM21-'NF - 5 Power Mix'!MZM22</f>
        <v>0</v>
      </c>
      <c r="MZN42" s="1046">
        <f>MZN38+((MZN40+'NF - 5 Power Mix'!MZN14+'NF - 5 Power Mix'!MZN15)*860/10)+((('Form Sa1'!MZQ835)*860)/10)+('Form Sa1'!MZQ814*'Form Sa1'!MZQ816/10)-'NF - 5 Power Mix'!MZN21-'NF - 5 Power Mix'!MZN22</f>
        <v>0</v>
      </c>
      <c r="MZO42" s="1046">
        <f>MZO38+((MZO40+'NF - 5 Power Mix'!MZO14+'NF - 5 Power Mix'!MZO15)*860/10)+((('Form Sa1'!MZR835)*860)/10)+('Form Sa1'!MZR814*'Form Sa1'!MZR816/10)-'NF - 5 Power Mix'!MZO21-'NF - 5 Power Mix'!MZO22</f>
        <v>0</v>
      </c>
      <c r="MZP42" s="1046">
        <f>MZP38+((MZP40+'NF - 5 Power Mix'!MZP14+'NF - 5 Power Mix'!MZP15)*860/10)+((('Form Sa1'!MZS835)*860)/10)+('Form Sa1'!MZS814*'Form Sa1'!MZS816/10)-'NF - 5 Power Mix'!MZP21-'NF - 5 Power Mix'!MZP22</f>
        <v>0</v>
      </c>
      <c r="MZQ42" s="1046">
        <f>MZQ38+((MZQ40+'NF - 5 Power Mix'!MZQ14+'NF - 5 Power Mix'!MZQ15)*860/10)+((('Form Sa1'!MZT835)*860)/10)+('Form Sa1'!MZT814*'Form Sa1'!MZT816/10)-'NF - 5 Power Mix'!MZQ21-'NF - 5 Power Mix'!MZQ22</f>
        <v>0</v>
      </c>
      <c r="MZR42" s="1046">
        <f>MZR38+((MZR40+'NF - 5 Power Mix'!MZR14+'NF - 5 Power Mix'!MZR15)*860/10)+((('Form Sa1'!MZU835)*860)/10)+('Form Sa1'!MZU814*'Form Sa1'!MZU816/10)-'NF - 5 Power Mix'!MZR21-'NF - 5 Power Mix'!MZR22</f>
        <v>0</v>
      </c>
      <c r="MZS42" s="1046">
        <f>MZS38+((MZS40+'NF - 5 Power Mix'!MZS14+'NF - 5 Power Mix'!MZS15)*860/10)+((('Form Sa1'!MZV835)*860)/10)+('Form Sa1'!MZV814*'Form Sa1'!MZV816/10)-'NF - 5 Power Mix'!MZS21-'NF - 5 Power Mix'!MZS22</f>
        <v>0</v>
      </c>
      <c r="MZT42" s="1046">
        <f>MZT38+((MZT40+'NF - 5 Power Mix'!MZT14+'NF - 5 Power Mix'!MZT15)*860/10)+((('Form Sa1'!MZW835)*860)/10)+('Form Sa1'!MZW814*'Form Sa1'!MZW816/10)-'NF - 5 Power Mix'!MZT21-'NF - 5 Power Mix'!MZT22</f>
        <v>0</v>
      </c>
      <c r="MZU42" s="1046">
        <f>MZU38+((MZU40+'NF - 5 Power Mix'!MZU14+'NF - 5 Power Mix'!MZU15)*860/10)+((('Form Sa1'!MZX835)*860)/10)+('Form Sa1'!MZX814*'Form Sa1'!MZX816/10)-'NF - 5 Power Mix'!MZU21-'NF - 5 Power Mix'!MZU22</f>
        <v>0</v>
      </c>
      <c r="MZV42" s="1046">
        <f>MZV38+((MZV40+'NF - 5 Power Mix'!MZV14+'NF - 5 Power Mix'!MZV15)*860/10)+((('Form Sa1'!MZY835)*860)/10)+('Form Sa1'!MZY814*'Form Sa1'!MZY816/10)-'NF - 5 Power Mix'!MZV21-'NF - 5 Power Mix'!MZV22</f>
        <v>0</v>
      </c>
      <c r="MZW42" s="1046">
        <f>MZW38+((MZW40+'NF - 5 Power Mix'!MZW14+'NF - 5 Power Mix'!MZW15)*860/10)+((('Form Sa1'!MZZ835)*860)/10)+('Form Sa1'!MZZ814*'Form Sa1'!MZZ816/10)-'NF - 5 Power Mix'!MZW21-'NF - 5 Power Mix'!MZW22</f>
        <v>0</v>
      </c>
      <c r="MZX42" s="1046">
        <f>MZX38+((MZX40+'NF - 5 Power Mix'!MZX14+'NF - 5 Power Mix'!MZX15)*860/10)+((('Form Sa1'!NAA835)*860)/10)+('Form Sa1'!NAA814*'Form Sa1'!NAA816/10)-'NF - 5 Power Mix'!MZX21-'NF - 5 Power Mix'!MZX22</f>
        <v>0</v>
      </c>
      <c r="MZY42" s="1046">
        <f>MZY38+((MZY40+'NF - 5 Power Mix'!MZY14+'NF - 5 Power Mix'!MZY15)*860/10)+((('Form Sa1'!NAB835)*860)/10)+('Form Sa1'!NAB814*'Form Sa1'!NAB816/10)-'NF - 5 Power Mix'!MZY21-'NF - 5 Power Mix'!MZY22</f>
        <v>0</v>
      </c>
      <c r="MZZ42" s="1046">
        <f>MZZ38+((MZZ40+'NF - 5 Power Mix'!MZZ14+'NF - 5 Power Mix'!MZZ15)*860/10)+((('Form Sa1'!NAC835)*860)/10)+('Form Sa1'!NAC814*'Form Sa1'!NAC816/10)-'NF - 5 Power Mix'!MZZ21-'NF - 5 Power Mix'!MZZ22</f>
        <v>0</v>
      </c>
      <c r="NAA42" s="1046">
        <f>NAA38+((NAA40+'NF - 5 Power Mix'!NAA14+'NF - 5 Power Mix'!NAA15)*860/10)+((('Form Sa1'!NAD835)*860)/10)+('Form Sa1'!NAD814*'Form Sa1'!NAD816/10)-'NF - 5 Power Mix'!NAA21-'NF - 5 Power Mix'!NAA22</f>
        <v>0</v>
      </c>
      <c r="NAB42" s="1046">
        <f>NAB38+((NAB40+'NF - 5 Power Mix'!NAB14+'NF - 5 Power Mix'!NAB15)*860/10)+((('Form Sa1'!NAE835)*860)/10)+('Form Sa1'!NAE814*'Form Sa1'!NAE816/10)-'NF - 5 Power Mix'!NAB21-'NF - 5 Power Mix'!NAB22</f>
        <v>0</v>
      </c>
      <c r="NAC42" s="1046">
        <f>NAC38+((NAC40+'NF - 5 Power Mix'!NAC14+'NF - 5 Power Mix'!NAC15)*860/10)+((('Form Sa1'!NAF835)*860)/10)+('Form Sa1'!NAF814*'Form Sa1'!NAF816/10)-'NF - 5 Power Mix'!NAC21-'NF - 5 Power Mix'!NAC22</f>
        <v>0</v>
      </c>
      <c r="NAD42" s="1046">
        <f>NAD38+((NAD40+'NF - 5 Power Mix'!NAD14+'NF - 5 Power Mix'!NAD15)*860/10)+((('Form Sa1'!NAG835)*860)/10)+('Form Sa1'!NAG814*'Form Sa1'!NAG816/10)-'NF - 5 Power Mix'!NAD21-'NF - 5 Power Mix'!NAD22</f>
        <v>0</v>
      </c>
      <c r="NAE42" s="1046">
        <f>NAE38+((NAE40+'NF - 5 Power Mix'!NAE14+'NF - 5 Power Mix'!NAE15)*860/10)+((('Form Sa1'!NAH835)*860)/10)+('Form Sa1'!NAH814*'Form Sa1'!NAH816/10)-'NF - 5 Power Mix'!NAE21-'NF - 5 Power Mix'!NAE22</f>
        <v>0</v>
      </c>
      <c r="NAF42" s="1046">
        <f>NAF38+((NAF40+'NF - 5 Power Mix'!NAF14+'NF - 5 Power Mix'!NAF15)*860/10)+((('Form Sa1'!NAI835)*860)/10)+('Form Sa1'!NAI814*'Form Sa1'!NAI816/10)-'NF - 5 Power Mix'!NAF21-'NF - 5 Power Mix'!NAF22</f>
        <v>0</v>
      </c>
      <c r="NAG42" s="1046">
        <f>NAG38+((NAG40+'NF - 5 Power Mix'!NAG14+'NF - 5 Power Mix'!NAG15)*860/10)+((('Form Sa1'!NAJ835)*860)/10)+('Form Sa1'!NAJ814*'Form Sa1'!NAJ816/10)-'NF - 5 Power Mix'!NAG21-'NF - 5 Power Mix'!NAG22</f>
        <v>0</v>
      </c>
      <c r="NAH42" s="1046">
        <f>NAH38+((NAH40+'NF - 5 Power Mix'!NAH14+'NF - 5 Power Mix'!NAH15)*860/10)+((('Form Sa1'!NAK835)*860)/10)+('Form Sa1'!NAK814*'Form Sa1'!NAK816/10)-'NF - 5 Power Mix'!NAH21-'NF - 5 Power Mix'!NAH22</f>
        <v>0</v>
      </c>
      <c r="NAI42" s="1046">
        <f>NAI38+((NAI40+'NF - 5 Power Mix'!NAI14+'NF - 5 Power Mix'!NAI15)*860/10)+((('Form Sa1'!NAL835)*860)/10)+('Form Sa1'!NAL814*'Form Sa1'!NAL816/10)-'NF - 5 Power Mix'!NAI21-'NF - 5 Power Mix'!NAI22</f>
        <v>0</v>
      </c>
      <c r="NAJ42" s="1046">
        <f>NAJ38+((NAJ40+'NF - 5 Power Mix'!NAJ14+'NF - 5 Power Mix'!NAJ15)*860/10)+((('Form Sa1'!NAM835)*860)/10)+('Form Sa1'!NAM814*'Form Sa1'!NAM816/10)-'NF - 5 Power Mix'!NAJ21-'NF - 5 Power Mix'!NAJ22</f>
        <v>0</v>
      </c>
      <c r="NAK42" s="1046">
        <f>NAK38+((NAK40+'NF - 5 Power Mix'!NAK14+'NF - 5 Power Mix'!NAK15)*860/10)+((('Form Sa1'!NAN835)*860)/10)+('Form Sa1'!NAN814*'Form Sa1'!NAN816/10)-'NF - 5 Power Mix'!NAK21-'NF - 5 Power Mix'!NAK22</f>
        <v>0</v>
      </c>
      <c r="NAL42" s="1046">
        <f>NAL38+((NAL40+'NF - 5 Power Mix'!NAL14+'NF - 5 Power Mix'!NAL15)*860/10)+((('Form Sa1'!NAO835)*860)/10)+('Form Sa1'!NAO814*'Form Sa1'!NAO816/10)-'NF - 5 Power Mix'!NAL21-'NF - 5 Power Mix'!NAL22</f>
        <v>0</v>
      </c>
      <c r="NAM42" s="1046">
        <f>NAM38+((NAM40+'NF - 5 Power Mix'!NAM14+'NF - 5 Power Mix'!NAM15)*860/10)+((('Form Sa1'!NAP835)*860)/10)+('Form Sa1'!NAP814*'Form Sa1'!NAP816/10)-'NF - 5 Power Mix'!NAM21-'NF - 5 Power Mix'!NAM22</f>
        <v>0</v>
      </c>
      <c r="NAN42" s="1046">
        <f>NAN38+((NAN40+'NF - 5 Power Mix'!NAN14+'NF - 5 Power Mix'!NAN15)*860/10)+((('Form Sa1'!NAQ835)*860)/10)+('Form Sa1'!NAQ814*'Form Sa1'!NAQ816/10)-'NF - 5 Power Mix'!NAN21-'NF - 5 Power Mix'!NAN22</f>
        <v>0</v>
      </c>
      <c r="NAO42" s="1046">
        <f>NAO38+((NAO40+'NF - 5 Power Mix'!NAO14+'NF - 5 Power Mix'!NAO15)*860/10)+((('Form Sa1'!NAR835)*860)/10)+('Form Sa1'!NAR814*'Form Sa1'!NAR816/10)-'NF - 5 Power Mix'!NAO21-'NF - 5 Power Mix'!NAO22</f>
        <v>0</v>
      </c>
      <c r="NAP42" s="1046">
        <f>NAP38+((NAP40+'NF - 5 Power Mix'!NAP14+'NF - 5 Power Mix'!NAP15)*860/10)+((('Form Sa1'!NAS835)*860)/10)+('Form Sa1'!NAS814*'Form Sa1'!NAS816/10)-'NF - 5 Power Mix'!NAP21-'NF - 5 Power Mix'!NAP22</f>
        <v>0</v>
      </c>
      <c r="NAQ42" s="1046">
        <f>NAQ38+((NAQ40+'NF - 5 Power Mix'!NAQ14+'NF - 5 Power Mix'!NAQ15)*860/10)+((('Form Sa1'!NAT835)*860)/10)+('Form Sa1'!NAT814*'Form Sa1'!NAT816/10)-'NF - 5 Power Mix'!NAQ21-'NF - 5 Power Mix'!NAQ22</f>
        <v>0</v>
      </c>
      <c r="NAR42" s="1046">
        <f>NAR38+((NAR40+'NF - 5 Power Mix'!NAR14+'NF - 5 Power Mix'!NAR15)*860/10)+((('Form Sa1'!NAU835)*860)/10)+('Form Sa1'!NAU814*'Form Sa1'!NAU816/10)-'NF - 5 Power Mix'!NAR21-'NF - 5 Power Mix'!NAR22</f>
        <v>0</v>
      </c>
      <c r="NAS42" s="1046">
        <f>NAS38+((NAS40+'NF - 5 Power Mix'!NAS14+'NF - 5 Power Mix'!NAS15)*860/10)+((('Form Sa1'!NAV835)*860)/10)+('Form Sa1'!NAV814*'Form Sa1'!NAV816/10)-'NF - 5 Power Mix'!NAS21-'NF - 5 Power Mix'!NAS22</f>
        <v>0</v>
      </c>
      <c r="NAT42" s="1046">
        <f>NAT38+((NAT40+'NF - 5 Power Mix'!NAT14+'NF - 5 Power Mix'!NAT15)*860/10)+((('Form Sa1'!NAW835)*860)/10)+('Form Sa1'!NAW814*'Form Sa1'!NAW816/10)-'NF - 5 Power Mix'!NAT21-'NF - 5 Power Mix'!NAT22</f>
        <v>0</v>
      </c>
      <c r="NAU42" s="1046">
        <f>NAU38+((NAU40+'NF - 5 Power Mix'!NAU14+'NF - 5 Power Mix'!NAU15)*860/10)+((('Form Sa1'!NAX835)*860)/10)+('Form Sa1'!NAX814*'Form Sa1'!NAX816/10)-'NF - 5 Power Mix'!NAU21-'NF - 5 Power Mix'!NAU22</f>
        <v>0</v>
      </c>
      <c r="NAV42" s="1046">
        <f>NAV38+((NAV40+'NF - 5 Power Mix'!NAV14+'NF - 5 Power Mix'!NAV15)*860/10)+((('Form Sa1'!NAY835)*860)/10)+('Form Sa1'!NAY814*'Form Sa1'!NAY816/10)-'NF - 5 Power Mix'!NAV21-'NF - 5 Power Mix'!NAV22</f>
        <v>0</v>
      </c>
      <c r="NAW42" s="1046">
        <f>NAW38+((NAW40+'NF - 5 Power Mix'!NAW14+'NF - 5 Power Mix'!NAW15)*860/10)+((('Form Sa1'!NAZ835)*860)/10)+('Form Sa1'!NAZ814*'Form Sa1'!NAZ816/10)-'NF - 5 Power Mix'!NAW21-'NF - 5 Power Mix'!NAW22</f>
        <v>0</v>
      </c>
      <c r="NAX42" s="1046">
        <f>NAX38+((NAX40+'NF - 5 Power Mix'!NAX14+'NF - 5 Power Mix'!NAX15)*860/10)+((('Form Sa1'!NBA835)*860)/10)+('Form Sa1'!NBA814*'Form Sa1'!NBA816/10)-'NF - 5 Power Mix'!NAX21-'NF - 5 Power Mix'!NAX22</f>
        <v>0</v>
      </c>
      <c r="NAY42" s="1046">
        <f>NAY38+((NAY40+'NF - 5 Power Mix'!NAY14+'NF - 5 Power Mix'!NAY15)*860/10)+((('Form Sa1'!NBB835)*860)/10)+('Form Sa1'!NBB814*'Form Sa1'!NBB816/10)-'NF - 5 Power Mix'!NAY21-'NF - 5 Power Mix'!NAY22</f>
        <v>0</v>
      </c>
      <c r="NAZ42" s="1046">
        <f>NAZ38+((NAZ40+'NF - 5 Power Mix'!NAZ14+'NF - 5 Power Mix'!NAZ15)*860/10)+((('Form Sa1'!NBC835)*860)/10)+('Form Sa1'!NBC814*'Form Sa1'!NBC816/10)-'NF - 5 Power Mix'!NAZ21-'NF - 5 Power Mix'!NAZ22</f>
        <v>0</v>
      </c>
      <c r="NBA42" s="1046">
        <f>NBA38+((NBA40+'NF - 5 Power Mix'!NBA14+'NF - 5 Power Mix'!NBA15)*860/10)+((('Form Sa1'!NBD835)*860)/10)+('Form Sa1'!NBD814*'Form Sa1'!NBD816/10)-'NF - 5 Power Mix'!NBA21-'NF - 5 Power Mix'!NBA22</f>
        <v>0</v>
      </c>
      <c r="NBB42" s="1046">
        <f>NBB38+((NBB40+'NF - 5 Power Mix'!NBB14+'NF - 5 Power Mix'!NBB15)*860/10)+((('Form Sa1'!NBE835)*860)/10)+('Form Sa1'!NBE814*'Form Sa1'!NBE816/10)-'NF - 5 Power Mix'!NBB21-'NF - 5 Power Mix'!NBB22</f>
        <v>0</v>
      </c>
      <c r="NBC42" s="1046">
        <f>NBC38+((NBC40+'NF - 5 Power Mix'!NBC14+'NF - 5 Power Mix'!NBC15)*860/10)+((('Form Sa1'!NBF835)*860)/10)+('Form Sa1'!NBF814*'Form Sa1'!NBF816/10)-'NF - 5 Power Mix'!NBC21-'NF - 5 Power Mix'!NBC22</f>
        <v>0</v>
      </c>
      <c r="NBD42" s="1046">
        <f>NBD38+((NBD40+'NF - 5 Power Mix'!NBD14+'NF - 5 Power Mix'!NBD15)*860/10)+((('Form Sa1'!NBG835)*860)/10)+('Form Sa1'!NBG814*'Form Sa1'!NBG816/10)-'NF - 5 Power Mix'!NBD21-'NF - 5 Power Mix'!NBD22</f>
        <v>0</v>
      </c>
      <c r="NBE42" s="1046">
        <f>NBE38+((NBE40+'NF - 5 Power Mix'!NBE14+'NF - 5 Power Mix'!NBE15)*860/10)+((('Form Sa1'!NBH835)*860)/10)+('Form Sa1'!NBH814*'Form Sa1'!NBH816/10)-'NF - 5 Power Mix'!NBE21-'NF - 5 Power Mix'!NBE22</f>
        <v>0</v>
      </c>
      <c r="NBF42" s="1046">
        <f>NBF38+((NBF40+'NF - 5 Power Mix'!NBF14+'NF - 5 Power Mix'!NBF15)*860/10)+((('Form Sa1'!NBI835)*860)/10)+('Form Sa1'!NBI814*'Form Sa1'!NBI816/10)-'NF - 5 Power Mix'!NBF21-'NF - 5 Power Mix'!NBF22</f>
        <v>0</v>
      </c>
      <c r="NBG42" s="1046">
        <f>NBG38+((NBG40+'NF - 5 Power Mix'!NBG14+'NF - 5 Power Mix'!NBG15)*860/10)+((('Form Sa1'!NBJ835)*860)/10)+('Form Sa1'!NBJ814*'Form Sa1'!NBJ816/10)-'NF - 5 Power Mix'!NBG21-'NF - 5 Power Mix'!NBG22</f>
        <v>0</v>
      </c>
      <c r="NBH42" s="1046">
        <f>NBH38+((NBH40+'NF - 5 Power Mix'!NBH14+'NF - 5 Power Mix'!NBH15)*860/10)+((('Form Sa1'!NBK835)*860)/10)+('Form Sa1'!NBK814*'Form Sa1'!NBK816/10)-'NF - 5 Power Mix'!NBH21-'NF - 5 Power Mix'!NBH22</f>
        <v>0</v>
      </c>
      <c r="NBI42" s="1046">
        <f>NBI38+((NBI40+'NF - 5 Power Mix'!NBI14+'NF - 5 Power Mix'!NBI15)*860/10)+((('Form Sa1'!NBL835)*860)/10)+('Form Sa1'!NBL814*'Form Sa1'!NBL816/10)-'NF - 5 Power Mix'!NBI21-'NF - 5 Power Mix'!NBI22</f>
        <v>0</v>
      </c>
      <c r="NBJ42" s="1046">
        <f>NBJ38+((NBJ40+'NF - 5 Power Mix'!NBJ14+'NF - 5 Power Mix'!NBJ15)*860/10)+((('Form Sa1'!NBM835)*860)/10)+('Form Sa1'!NBM814*'Form Sa1'!NBM816/10)-'NF - 5 Power Mix'!NBJ21-'NF - 5 Power Mix'!NBJ22</f>
        <v>0</v>
      </c>
      <c r="NBK42" s="1046">
        <f>NBK38+((NBK40+'NF - 5 Power Mix'!NBK14+'NF - 5 Power Mix'!NBK15)*860/10)+((('Form Sa1'!NBN835)*860)/10)+('Form Sa1'!NBN814*'Form Sa1'!NBN816/10)-'NF - 5 Power Mix'!NBK21-'NF - 5 Power Mix'!NBK22</f>
        <v>0</v>
      </c>
      <c r="NBL42" s="1046">
        <f>NBL38+((NBL40+'NF - 5 Power Mix'!NBL14+'NF - 5 Power Mix'!NBL15)*860/10)+((('Form Sa1'!NBO835)*860)/10)+('Form Sa1'!NBO814*'Form Sa1'!NBO816/10)-'NF - 5 Power Mix'!NBL21-'NF - 5 Power Mix'!NBL22</f>
        <v>0</v>
      </c>
      <c r="NBM42" s="1046">
        <f>NBM38+((NBM40+'NF - 5 Power Mix'!NBM14+'NF - 5 Power Mix'!NBM15)*860/10)+((('Form Sa1'!NBP835)*860)/10)+('Form Sa1'!NBP814*'Form Sa1'!NBP816/10)-'NF - 5 Power Mix'!NBM21-'NF - 5 Power Mix'!NBM22</f>
        <v>0</v>
      </c>
      <c r="NBN42" s="1046">
        <f>NBN38+((NBN40+'NF - 5 Power Mix'!NBN14+'NF - 5 Power Mix'!NBN15)*860/10)+((('Form Sa1'!NBQ835)*860)/10)+('Form Sa1'!NBQ814*'Form Sa1'!NBQ816/10)-'NF - 5 Power Mix'!NBN21-'NF - 5 Power Mix'!NBN22</f>
        <v>0</v>
      </c>
      <c r="NBO42" s="1046">
        <f>NBO38+((NBO40+'NF - 5 Power Mix'!NBO14+'NF - 5 Power Mix'!NBO15)*860/10)+((('Form Sa1'!NBR835)*860)/10)+('Form Sa1'!NBR814*'Form Sa1'!NBR816/10)-'NF - 5 Power Mix'!NBO21-'NF - 5 Power Mix'!NBO22</f>
        <v>0</v>
      </c>
      <c r="NBP42" s="1046">
        <f>NBP38+((NBP40+'NF - 5 Power Mix'!NBP14+'NF - 5 Power Mix'!NBP15)*860/10)+((('Form Sa1'!NBS835)*860)/10)+('Form Sa1'!NBS814*'Form Sa1'!NBS816/10)-'NF - 5 Power Mix'!NBP21-'NF - 5 Power Mix'!NBP22</f>
        <v>0</v>
      </c>
      <c r="NBQ42" s="1046">
        <f>NBQ38+((NBQ40+'NF - 5 Power Mix'!NBQ14+'NF - 5 Power Mix'!NBQ15)*860/10)+((('Form Sa1'!NBT835)*860)/10)+('Form Sa1'!NBT814*'Form Sa1'!NBT816/10)-'NF - 5 Power Mix'!NBQ21-'NF - 5 Power Mix'!NBQ22</f>
        <v>0</v>
      </c>
      <c r="NBR42" s="1046">
        <f>NBR38+((NBR40+'NF - 5 Power Mix'!NBR14+'NF - 5 Power Mix'!NBR15)*860/10)+((('Form Sa1'!NBU835)*860)/10)+('Form Sa1'!NBU814*'Form Sa1'!NBU816/10)-'NF - 5 Power Mix'!NBR21-'NF - 5 Power Mix'!NBR22</f>
        <v>0</v>
      </c>
      <c r="NBS42" s="1046">
        <f>NBS38+((NBS40+'NF - 5 Power Mix'!NBS14+'NF - 5 Power Mix'!NBS15)*860/10)+((('Form Sa1'!NBV835)*860)/10)+('Form Sa1'!NBV814*'Form Sa1'!NBV816/10)-'NF - 5 Power Mix'!NBS21-'NF - 5 Power Mix'!NBS22</f>
        <v>0</v>
      </c>
      <c r="NBT42" s="1046">
        <f>NBT38+((NBT40+'NF - 5 Power Mix'!NBT14+'NF - 5 Power Mix'!NBT15)*860/10)+((('Form Sa1'!NBW835)*860)/10)+('Form Sa1'!NBW814*'Form Sa1'!NBW816/10)-'NF - 5 Power Mix'!NBT21-'NF - 5 Power Mix'!NBT22</f>
        <v>0</v>
      </c>
      <c r="NBU42" s="1046">
        <f>NBU38+((NBU40+'NF - 5 Power Mix'!NBU14+'NF - 5 Power Mix'!NBU15)*860/10)+((('Form Sa1'!NBX835)*860)/10)+('Form Sa1'!NBX814*'Form Sa1'!NBX816/10)-'NF - 5 Power Mix'!NBU21-'NF - 5 Power Mix'!NBU22</f>
        <v>0</v>
      </c>
      <c r="NBV42" s="1046">
        <f>NBV38+((NBV40+'NF - 5 Power Mix'!NBV14+'NF - 5 Power Mix'!NBV15)*860/10)+((('Form Sa1'!NBY835)*860)/10)+('Form Sa1'!NBY814*'Form Sa1'!NBY816/10)-'NF - 5 Power Mix'!NBV21-'NF - 5 Power Mix'!NBV22</f>
        <v>0</v>
      </c>
      <c r="NBW42" s="1046">
        <f>NBW38+((NBW40+'NF - 5 Power Mix'!NBW14+'NF - 5 Power Mix'!NBW15)*860/10)+((('Form Sa1'!NBZ835)*860)/10)+('Form Sa1'!NBZ814*'Form Sa1'!NBZ816/10)-'NF - 5 Power Mix'!NBW21-'NF - 5 Power Mix'!NBW22</f>
        <v>0</v>
      </c>
      <c r="NBX42" s="1046">
        <f>NBX38+((NBX40+'NF - 5 Power Mix'!NBX14+'NF - 5 Power Mix'!NBX15)*860/10)+((('Form Sa1'!NCA835)*860)/10)+('Form Sa1'!NCA814*'Form Sa1'!NCA816/10)-'NF - 5 Power Mix'!NBX21-'NF - 5 Power Mix'!NBX22</f>
        <v>0</v>
      </c>
      <c r="NBY42" s="1046">
        <f>NBY38+((NBY40+'NF - 5 Power Mix'!NBY14+'NF - 5 Power Mix'!NBY15)*860/10)+((('Form Sa1'!NCB835)*860)/10)+('Form Sa1'!NCB814*'Form Sa1'!NCB816/10)-'NF - 5 Power Mix'!NBY21-'NF - 5 Power Mix'!NBY22</f>
        <v>0</v>
      </c>
      <c r="NBZ42" s="1046">
        <f>NBZ38+((NBZ40+'NF - 5 Power Mix'!NBZ14+'NF - 5 Power Mix'!NBZ15)*860/10)+((('Form Sa1'!NCC835)*860)/10)+('Form Sa1'!NCC814*'Form Sa1'!NCC816/10)-'NF - 5 Power Mix'!NBZ21-'NF - 5 Power Mix'!NBZ22</f>
        <v>0</v>
      </c>
      <c r="NCA42" s="1046">
        <f>NCA38+((NCA40+'NF - 5 Power Mix'!NCA14+'NF - 5 Power Mix'!NCA15)*860/10)+((('Form Sa1'!NCD835)*860)/10)+('Form Sa1'!NCD814*'Form Sa1'!NCD816/10)-'NF - 5 Power Mix'!NCA21-'NF - 5 Power Mix'!NCA22</f>
        <v>0</v>
      </c>
      <c r="NCB42" s="1046">
        <f>NCB38+((NCB40+'NF - 5 Power Mix'!NCB14+'NF - 5 Power Mix'!NCB15)*860/10)+((('Form Sa1'!NCE835)*860)/10)+('Form Sa1'!NCE814*'Form Sa1'!NCE816/10)-'NF - 5 Power Mix'!NCB21-'NF - 5 Power Mix'!NCB22</f>
        <v>0</v>
      </c>
      <c r="NCC42" s="1046">
        <f>NCC38+((NCC40+'NF - 5 Power Mix'!NCC14+'NF - 5 Power Mix'!NCC15)*860/10)+((('Form Sa1'!NCF835)*860)/10)+('Form Sa1'!NCF814*'Form Sa1'!NCF816/10)-'NF - 5 Power Mix'!NCC21-'NF - 5 Power Mix'!NCC22</f>
        <v>0</v>
      </c>
      <c r="NCD42" s="1046">
        <f>NCD38+((NCD40+'NF - 5 Power Mix'!NCD14+'NF - 5 Power Mix'!NCD15)*860/10)+((('Form Sa1'!NCG835)*860)/10)+('Form Sa1'!NCG814*'Form Sa1'!NCG816/10)-'NF - 5 Power Mix'!NCD21-'NF - 5 Power Mix'!NCD22</f>
        <v>0</v>
      </c>
      <c r="NCE42" s="1046">
        <f>NCE38+((NCE40+'NF - 5 Power Mix'!NCE14+'NF - 5 Power Mix'!NCE15)*860/10)+((('Form Sa1'!NCH835)*860)/10)+('Form Sa1'!NCH814*'Form Sa1'!NCH816/10)-'NF - 5 Power Mix'!NCE21-'NF - 5 Power Mix'!NCE22</f>
        <v>0</v>
      </c>
      <c r="NCF42" s="1046">
        <f>NCF38+((NCF40+'NF - 5 Power Mix'!NCF14+'NF - 5 Power Mix'!NCF15)*860/10)+((('Form Sa1'!NCI835)*860)/10)+('Form Sa1'!NCI814*'Form Sa1'!NCI816/10)-'NF - 5 Power Mix'!NCF21-'NF - 5 Power Mix'!NCF22</f>
        <v>0</v>
      </c>
      <c r="NCG42" s="1046">
        <f>NCG38+((NCG40+'NF - 5 Power Mix'!NCG14+'NF - 5 Power Mix'!NCG15)*860/10)+((('Form Sa1'!NCJ835)*860)/10)+('Form Sa1'!NCJ814*'Form Sa1'!NCJ816/10)-'NF - 5 Power Mix'!NCG21-'NF - 5 Power Mix'!NCG22</f>
        <v>0</v>
      </c>
      <c r="NCH42" s="1046">
        <f>NCH38+((NCH40+'NF - 5 Power Mix'!NCH14+'NF - 5 Power Mix'!NCH15)*860/10)+((('Form Sa1'!NCK835)*860)/10)+('Form Sa1'!NCK814*'Form Sa1'!NCK816/10)-'NF - 5 Power Mix'!NCH21-'NF - 5 Power Mix'!NCH22</f>
        <v>0</v>
      </c>
      <c r="NCI42" s="1046">
        <f>NCI38+((NCI40+'NF - 5 Power Mix'!NCI14+'NF - 5 Power Mix'!NCI15)*860/10)+((('Form Sa1'!NCL835)*860)/10)+('Form Sa1'!NCL814*'Form Sa1'!NCL816/10)-'NF - 5 Power Mix'!NCI21-'NF - 5 Power Mix'!NCI22</f>
        <v>0</v>
      </c>
      <c r="NCJ42" s="1046">
        <f>NCJ38+((NCJ40+'NF - 5 Power Mix'!NCJ14+'NF - 5 Power Mix'!NCJ15)*860/10)+((('Form Sa1'!NCM835)*860)/10)+('Form Sa1'!NCM814*'Form Sa1'!NCM816/10)-'NF - 5 Power Mix'!NCJ21-'NF - 5 Power Mix'!NCJ22</f>
        <v>0</v>
      </c>
      <c r="NCK42" s="1046">
        <f>NCK38+((NCK40+'NF - 5 Power Mix'!NCK14+'NF - 5 Power Mix'!NCK15)*860/10)+((('Form Sa1'!NCN835)*860)/10)+('Form Sa1'!NCN814*'Form Sa1'!NCN816/10)-'NF - 5 Power Mix'!NCK21-'NF - 5 Power Mix'!NCK22</f>
        <v>0</v>
      </c>
      <c r="NCL42" s="1046">
        <f>NCL38+((NCL40+'NF - 5 Power Mix'!NCL14+'NF - 5 Power Mix'!NCL15)*860/10)+((('Form Sa1'!NCO835)*860)/10)+('Form Sa1'!NCO814*'Form Sa1'!NCO816/10)-'NF - 5 Power Mix'!NCL21-'NF - 5 Power Mix'!NCL22</f>
        <v>0</v>
      </c>
      <c r="NCM42" s="1046">
        <f>NCM38+((NCM40+'NF - 5 Power Mix'!NCM14+'NF - 5 Power Mix'!NCM15)*860/10)+((('Form Sa1'!NCP835)*860)/10)+('Form Sa1'!NCP814*'Form Sa1'!NCP816/10)-'NF - 5 Power Mix'!NCM21-'NF - 5 Power Mix'!NCM22</f>
        <v>0</v>
      </c>
      <c r="NCN42" s="1046">
        <f>NCN38+((NCN40+'NF - 5 Power Mix'!NCN14+'NF - 5 Power Mix'!NCN15)*860/10)+((('Form Sa1'!NCQ835)*860)/10)+('Form Sa1'!NCQ814*'Form Sa1'!NCQ816/10)-'NF - 5 Power Mix'!NCN21-'NF - 5 Power Mix'!NCN22</f>
        <v>0</v>
      </c>
      <c r="NCO42" s="1046">
        <f>NCO38+((NCO40+'NF - 5 Power Mix'!NCO14+'NF - 5 Power Mix'!NCO15)*860/10)+((('Form Sa1'!NCR835)*860)/10)+('Form Sa1'!NCR814*'Form Sa1'!NCR816/10)-'NF - 5 Power Mix'!NCO21-'NF - 5 Power Mix'!NCO22</f>
        <v>0</v>
      </c>
      <c r="NCP42" s="1046">
        <f>NCP38+((NCP40+'NF - 5 Power Mix'!NCP14+'NF - 5 Power Mix'!NCP15)*860/10)+((('Form Sa1'!NCS835)*860)/10)+('Form Sa1'!NCS814*'Form Sa1'!NCS816/10)-'NF - 5 Power Mix'!NCP21-'NF - 5 Power Mix'!NCP22</f>
        <v>0</v>
      </c>
      <c r="NCQ42" s="1046">
        <f>NCQ38+((NCQ40+'NF - 5 Power Mix'!NCQ14+'NF - 5 Power Mix'!NCQ15)*860/10)+((('Form Sa1'!NCT835)*860)/10)+('Form Sa1'!NCT814*'Form Sa1'!NCT816/10)-'NF - 5 Power Mix'!NCQ21-'NF - 5 Power Mix'!NCQ22</f>
        <v>0</v>
      </c>
      <c r="NCR42" s="1046">
        <f>NCR38+((NCR40+'NF - 5 Power Mix'!NCR14+'NF - 5 Power Mix'!NCR15)*860/10)+((('Form Sa1'!NCU835)*860)/10)+('Form Sa1'!NCU814*'Form Sa1'!NCU816/10)-'NF - 5 Power Mix'!NCR21-'NF - 5 Power Mix'!NCR22</f>
        <v>0</v>
      </c>
      <c r="NCS42" s="1046">
        <f>NCS38+((NCS40+'NF - 5 Power Mix'!NCS14+'NF - 5 Power Mix'!NCS15)*860/10)+((('Form Sa1'!NCV835)*860)/10)+('Form Sa1'!NCV814*'Form Sa1'!NCV816/10)-'NF - 5 Power Mix'!NCS21-'NF - 5 Power Mix'!NCS22</f>
        <v>0</v>
      </c>
      <c r="NCT42" s="1046">
        <f>NCT38+((NCT40+'NF - 5 Power Mix'!NCT14+'NF - 5 Power Mix'!NCT15)*860/10)+((('Form Sa1'!NCW835)*860)/10)+('Form Sa1'!NCW814*'Form Sa1'!NCW816/10)-'NF - 5 Power Mix'!NCT21-'NF - 5 Power Mix'!NCT22</f>
        <v>0</v>
      </c>
      <c r="NCU42" s="1046">
        <f>NCU38+((NCU40+'NF - 5 Power Mix'!NCU14+'NF - 5 Power Mix'!NCU15)*860/10)+((('Form Sa1'!NCX835)*860)/10)+('Form Sa1'!NCX814*'Form Sa1'!NCX816/10)-'NF - 5 Power Mix'!NCU21-'NF - 5 Power Mix'!NCU22</f>
        <v>0</v>
      </c>
      <c r="NCV42" s="1046">
        <f>NCV38+((NCV40+'NF - 5 Power Mix'!NCV14+'NF - 5 Power Mix'!NCV15)*860/10)+((('Form Sa1'!NCY835)*860)/10)+('Form Sa1'!NCY814*'Form Sa1'!NCY816/10)-'NF - 5 Power Mix'!NCV21-'NF - 5 Power Mix'!NCV22</f>
        <v>0</v>
      </c>
      <c r="NCW42" s="1046">
        <f>NCW38+((NCW40+'NF - 5 Power Mix'!NCW14+'NF - 5 Power Mix'!NCW15)*860/10)+((('Form Sa1'!NCZ835)*860)/10)+('Form Sa1'!NCZ814*'Form Sa1'!NCZ816/10)-'NF - 5 Power Mix'!NCW21-'NF - 5 Power Mix'!NCW22</f>
        <v>0</v>
      </c>
      <c r="NCX42" s="1046">
        <f>NCX38+((NCX40+'NF - 5 Power Mix'!NCX14+'NF - 5 Power Mix'!NCX15)*860/10)+((('Form Sa1'!NDA835)*860)/10)+('Form Sa1'!NDA814*'Form Sa1'!NDA816/10)-'NF - 5 Power Mix'!NCX21-'NF - 5 Power Mix'!NCX22</f>
        <v>0</v>
      </c>
      <c r="NCY42" s="1046">
        <f>NCY38+((NCY40+'NF - 5 Power Mix'!NCY14+'NF - 5 Power Mix'!NCY15)*860/10)+((('Form Sa1'!NDB835)*860)/10)+('Form Sa1'!NDB814*'Form Sa1'!NDB816/10)-'NF - 5 Power Mix'!NCY21-'NF - 5 Power Mix'!NCY22</f>
        <v>0</v>
      </c>
      <c r="NCZ42" s="1046">
        <f>NCZ38+((NCZ40+'NF - 5 Power Mix'!NCZ14+'NF - 5 Power Mix'!NCZ15)*860/10)+((('Form Sa1'!NDC835)*860)/10)+('Form Sa1'!NDC814*'Form Sa1'!NDC816/10)-'NF - 5 Power Mix'!NCZ21-'NF - 5 Power Mix'!NCZ22</f>
        <v>0</v>
      </c>
      <c r="NDA42" s="1046">
        <f>NDA38+((NDA40+'NF - 5 Power Mix'!NDA14+'NF - 5 Power Mix'!NDA15)*860/10)+((('Form Sa1'!NDD835)*860)/10)+('Form Sa1'!NDD814*'Form Sa1'!NDD816/10)-'NF - 5 Power Mix'!NDA21-'NF - 5 Power Mix'!NDA22</f>
        <v>0</v>
      </c>
      <c r="NDB42" s="1046">
        <f>NDB38+((NDB40+'NF - 5 Power Mix'!NDB14+'NF - 5 Power Mix'!NDB15)*860/10)+((('Form Sa1'!NDE835)*860)/10)+('Form Sa1'!NDE814*'Form Sa1'!NDE816/10)-'NF - 5 Power Mix'!NDB21-'NF - 5 Power Mix'!NDB22</f>
        <v>0</v>
      </c>
      <c r="NDC42" s="1046">
        <f>NDC38+((NDC40+'NF - 5 Power Mix'!NDC14+'NF - 5 Power Mix'!NDC15)*860/10)+((('Form Sa1'!NDF835)*860)/10)+('Form Sa1'!NDF814*'Form Sa1'!NDF816/10)-'NF - 5 Power Mix'!NDC21-'NF - 5 Power Mix'!NDC22</f>
        <v>0</v>
      </c>
      <c r="NDD42" s="1046">
        <f>NDD38+((NDD40+'NF - 5 Power Mix'!NDD14+'NF - 5 Power Mix'!NDD15)*860/10)+((('Form Sa1'!NDG835)*860)/10)+('Form Sa1'!NDG814*'Form Sa1'!NDG816/10)-'NF - 5 Power Mix'!NDD21-'NF - 5 Power Mix'!NDD22</f>
        <v>0</v>
      </c>
      <c r="NDE42" s="1046">
        <f>NDE38+((NDE40+'NF - 5 Power Mix'!NDE14+'NF - 5 Power Mix'!NDE15)*860/10)+((('Form Sa1'!NDH835)*860)/10)+('Form Sa1'!NDH814*'Form Sa1'!NDH816/10)-'NF - 5 Power Mix'!NDE21-'NF - 5 Power Mix'!NDE22</f>
        <v>0</v>
      </c>
      <c r="NDF42" s="1046">
        <f>NDF38+((NDF40+'NF - 5 Power Mix'!NDF14+'NF - 5 Power Mix'!NDF15)*860/10)+((('Form Sa1'!NDI835)*860)/10)+('Form Sa1'!NDI814*'Form Sa1'!NDI816/10)-'NF - 5 Power Mix'!NDF21-'NF - 5 Power Mix'!NDF22</f>
        <v>0</v>
      </c>
      <c r="NDG42" s="1046">
        <f>NDG38+((NDG40+'NF - 5 Power Mix'!NDG14+'NF - 5 Power Mix'!NDG15)*860/10)+((('Form Sa1'!NDJ835)*860)/10)+('Form Sa1'!NDJ814*'Form Sa1'!NDJ816/10)-'NF - 5 Power Mix'!NDG21-'NF - 5 Power Mix'!NDG22</f>
        <v>0</v>
      </c>
      <c r="NDH42" s="1046">
        <f>NDH38+((NDH40+'NF - 5 Power Mix'!NDH14+'NF - 5 Power Mix'!NDH15)*860/10)+((('Form Sa1'!NDK835)*860)/10)+('Form Sa1'!NDK814*'Form Sa1'!NDK816/10)-'NF - 5 Power Mix'!NDH21-'NF - 5 Power Mix'!NDH22</f>
        <v>0</v>
      </c>
      <c r="NDI42" s="1046">
        <f>NDI38+((NDI40+'NF - 5 Power Mix'!NDI14+'NF - 5 Power Mix'!NDI15)*860/10)+((('Form Sa1'!NDL835)*860)/10)+('Form Sa1'!NDL814*'Form Sa1'!NDL816/10)-'NF - 5 Power Mix'!NDI21-'NF - 5 Power Mix'!NDI22</f>
        <v>0</v>
      </c>
      <c r="NDJ42" s="1046">
        <f>NDJ38+((NDJ40+'NF - 5 Power Mix'!NDJ14+'NF - 5 Power Mix'!NDJ15)*860/10)+((('Form Sa1'!NDM835)*860)/10)+('Form Sa1'!NDM814*'Form Sa1'!NDM816/10)-'NF - 5 Power Mix'!NDJ21-'NF - 5 Power Mix'!NDJ22</f>
        <v>0</v>
      </c>
      <c r="NDK42" s="1046">
        <f>NDK38+((NDK40+'NF - 5 Power Mix'!NDK14+'NF - 5 Power Mix'!NDK15)*860/10)+((('Form Sa1'!NDN835)*860)/10)+('Form Sa1'!NDN814*'Form Sa1'!NDN816/10)-'NF - 5 Power Mix'!NDK21-'NF - 5 Power Mix'!NDK22</f>
        <v>0</v>
      </c>
      <c r="NDL42" s="1046">
        <f>NDL38+((NDL40+'NF - 5 Power Mix'!NDL14+'NF - 5 Power Mix'!NDL15)*860/10)+((('Form Sa1'!NDO835)*860)/10)+('Form Sa1'!NDO814*'Form Sa1'!NDO816/10)-'NF - 5 Power Mix'!NDL21-'NF - 5 Power Mix'!NDL22</f>
        <v>0</v>
      </c>
      <c r="NDM42" s="1046">
        <f>NDM38+((NDM40+'NF - 5 Power Mix'!NDM14+'NF - 5 Power Mix'!NDM15)*860/10)+((('Form Sa1'!NDP835)*860)/10)+('Form Sa1'!NDP814*'Form Sa1'!NDP816/10)-'NF - 5 Power Mix'!NDM21-'NF - 5 Power Mix'!NDM22</f>
        <v>0</v>
      </c>
      <c r="NDN42" s="1046">
        <f>NDN38+((NDN40+'NF - 5 Power Mix'!NDN14+'NF - 5 Power Mix'!NDN15)*860/10)+((('Form Sa1'!NDQ835)*860)/10)+('Form Sa1'!NDQ814*'Form Sa1'!NDQ816/10)-'NF - 5 Power Mix'!NDN21-'NF - 5 Power Mix'!NDN22</f>
        <v>0</v>
      </c>
      <c r="NDO42" s="1046">
        <f>NDO38+((NDO40+'NF - 5 Power Mix'!NDO14+'NF - 5 Power Mix'!NDO15)*860/10)+((('Form Sa1'!NDR835)*860)/10)+('Form Sa1'!NDR814*'Form Sa1'!NDR816/10)-'NF - 5 Power Mix'!NDO21-'NF - 5 Power Mix'!NDO22</f>
        <v>0</v>
      </c>
      <c r="NDP42" s="1046">
        <f>NDP38+((NDP40+'NF - 5 Power Mix'!NDP14+'NF - 5 Power Mix'!NDP15)*860/10)+((('Form Sa1'!NDS835)*860)/10)+('Form Sa1'!NDS814*'Form Sa1'!NDS816/10)-'NF - 5 Power Mix'!NDP21-'NF - 5 Power Mix'!NDP22</f>
        <v>0</v>
      </c>
      <c r="NDQ42" s="1046">
        <f>NDQ38+((NDQ40+'NF - 5 Power Mix'!NDQ14+'NF - 5 Power Mix'!NDQ15)*860/10)+((('Form Sa1'!NDT835)*860)/10)+('Form Sa1'!NDT814*'Form Sa1'!NDT816/10)-'NF - 5 Power Mix'!NDQ21-'NF - 5 Power Mix'!NDQ22</f>
        <v>0</v>
      </c>
      <c r="NDR42" s="1046">
        <f>NDR38+((NDR40+'NF - 5 Power Mix'!NDR14+'NF - 5 Power Mix'!NDR15)*860/10)+((('Form Sa1'!NDU835)*860)/10)+('Form Sa1'!NDU814*'Form Sa1'!NDU816/10)-'NF - 5 Power Mix'!NDR21-'NF - 5 Power Mix'!NDR22</f>
        <v>0</v>
      </c>
      <c r="NDS42" s="1046">
        <f>NDS38+((NDS40+'NF - 5 Power Mix'!NDS14+'NF - 5 Power Mix'!NDS15)*860/10)+((('Form Sa1'!NDV835)*860)/10)+('Form Sa1'!NDV814*'Form Sa1'!NDV816/10)-'NF - 5 Power Mix'!NDS21-'NF - 5 Power Mix'!NDS22</f>
        <v>0</v>
      </c>
      <c r="NDT42" s="1046">
        <f>NDT38+((NDT40+'NF - 5 Power Mix'!NDT14+'NF - 5 Power Mix'!NDT15)*860/10)+((('Form Sa1'!NDW835)*860)/10)+('Form Sa1'!NDW814*'Form Sa1'!NDW816/10)-'NF - 5 Power Mix'!NDT21-'NF - 5 Power Mix'!NDT22</f>
        <v>0</v>
      </c>
      <c r="NDU42" s="1046">
        <f>NDU38+((NDU40+'NF - 5 Power Mix'!NDU14+'NF - 5 Power Mix'!NDU15)*860/10)+((('Form Sa1'!NDX835)*860)/10)+('Form Sa1'!NDX814*'Form Sa1'!NDX816/10)-'NF - 5 Power Mix'!NDU21-'NF - 5 Power Mix'!NDU22</f>
        <v>0</v>
      </c>
      <c r="NDV42" s="1046">
        <f>NDV38+((NDV40+'NF - 5 Power Mix'!NDV14+'NF - 5 Power Mix'!NDV15)*860/10)+((('Form Sa1'!NDY835)*860)/10)+('Form Sa1'!NDY814*'Form Sa1'!NDY816/10)-'NF - 5 Power Mix'!NDV21-'NF - 5 Power Mix'!NDV22</f>
        <v>0</v>
      </c>
      <c r="NDW42" s="1046">
        <f>NDW38+((NDW40+'NF - 5 Power Mix'!NDW14+'NF - 5 Power Mix'!NDW15)*860/10)+((('Form Sa1'!NDZ835)*860)/10)+('Form Sa1'!NDZ814*'Form Sa1'!NDZ816/10)-'NF - 5 Power Mix'!NDW21-'NF - 5 Power Mix'!NDW22</f>
        <v>0</v>
      </c>
      <c r="NDX42" s="1046">
        <f>NDX38+((NDX40+'NF - 5 Power Mix'!NDX14+'NF - 5 Power Mix'!NDX15)*860/10)+((('Form Sa1'!NEA835)*860)/10)+('Form Sa1'!NEA814*'Form Sa1'!NEA816/10)-'NF - 5 Power Mix'!NDX21-'NF - 5 Power Mix'!NDX22</f>
        <v>0</v>
      </c>
      <c r="NDY42" s="1046">
        <f>NDY38+((NDY40+'NF - 5 Power Mix'!NDY14+'NF - 5 Power Mix'!NDY15)*860/10)+((('Form Sa1'!NEB835)*860)/10)+('Form Sa1'!NEB814*'Form Sa1'!NEB816/10)-'NF - 5 Power Mix'!NDY21-'NF - 5 Power Mix'!NDY22</f>
        <v>0</v>
      </c>
      <c r="NDZ42" s="1046">
        <f>NDZ38+((NDZ40+'NF - 5 Power Mix'!NDZ14+'NF - 5 Power Mix'!NDZ15)*860/10)+((('Form Sa1'!NEC835)*860)/10)+('Form Sa1'!NEC814*'Form Sa1'!NEC816/10)-'NF - 5 Power Mix'!NDZ21-'NF - 5 Power Mix'!NDZ22</f>
        <v>0</v>
      </c>
      <c r="NEA42" s="1046">
        <f>NEA38+((NEA40+'NF - 5 Power Mix'!NEA14+'NF - 5 Power Mix'!NEA15)*860/10)+((('Form Sa1'!NED835)*860)/10)+('Form Sa1'!NED814*'Form Sa1'!NED816/10)-'NF - 5 Power Mix'!NEA21-'NF - 5 Power Mix'!NEA22</f>
        <v>0</v>
      </c>
      <c r="NEB42" s="1046">
        <f>NEB38+((NEB40+'NF - 5 Power Mix'!NEB14+'NF - 5 Power Mix'!NEB15)*860/10)+((('Form Sa1'!NEE835)*860)/10)+('Form Sa1'!NEE814*'Form Sa1'!NEE816/10)-'NF - 5 Power Mix'!NEB21-'NF - 5 Power Mix'!NEB22</f>
        <v>0</v>
      </c>
      <c r="NEC42" s="1046">
        <f>NEC38+((NEC40+'NF - 5 Power Mix'!NEC14+'NF - 5 Power Mix'!NEC15)*860/10)+((('Form Sa1'!NEF835)*860)/10)+('Form Sa1'!NEF814*'Form Sa1'!NEF816/10)-'NF - 5 Power Mix'!NEC21-'NF - 5 Power Mix'!NEC22</f>
        <v>0</v>
      </c>
      <c r="NED42" s="1046">
        <f>NED38+((NED40+'NF - 5 Power Mix'!NED14+'NF - 5 Power Mix'!NED15)*860/10)+((('Form Sa1'!NEG835)*860)/10)+('Form Sa1'!NEG814*'Form Sa1'!NEG816/10)-'NF - 5 Power Mix'!NED21-'NF - 5 Power Mix'!NED22</f>
        <v>0</v>
      </c>
      <c r="NEE42" s="1046">
        <f>NEE38+((NEE40+'NF - 5 Power Mix'!NEE14+'NF - 5 Power Mix'!NEE15)*860/10)+((('Form Sa1'!NEH835)*860)/10)+('Form Sa1'!NEH814*'Form Sa1'!NEH816/10)-'NF - 5 Power Mix'!NEE21-'NF - 5 Power Mix'!NEE22</f>
        <v>0</v>
      </c>
      <c r="NEF42" s="1046">
        <f>NEF38+((NEF40+'NF - 5 Power Mix'!NEF14+'NF - 5 Power Mix'!NEF15)*860/10)+((('Form Sa1'!NEI835)*860)/10)+('Form Sa1'!NEI814*'Form Sa1'!NEI816/10)-'NF - 5 Power Mix'!NEF21-'NF - 5 Power Mix'!NEF22</f>
        <v>0</v>
      </c>
      <c r="NEG42" s="1046">
        <f>NEG38+((NEG40+'NF - 5 Power Mix'!NEG14+'NF - 5 Power Mix'!NEG15)*860/10)+((('Form Sa1'!NEJ835)*860)/10)+('Form Sa1'!NEJ814*'Form Sa1'!NEJ816/10)-'NF - 5 Power Mix'!NEG21-'NF - 5 Power Mix'!NEG22</f>
        <v>0</v>
      </c>
      <c r="NEH42" s="1046">
        <f>NEH38+((NEH40+'NF - 5 Power Mix'!NEH14+'NF - 5 Power Mix'!NEH15)*860/10)+((('Form Sa1'!NEK835)*860)/10)+('Form Sa1'!NEK814*'Form Sa1'!NEK816/10)-'NF - 5 Power Mix'!NEH21-'NF - 5 Power Mix'!NEH22</f>
        <v>0</v>
      </c>
      <c r="NEI42" s="1046">
        <f>NEI38+((NEI40+'NF - 5 Power Mix'!NEI14+'NF - 5 Power Mix'!NEI15)*860/10)+((('Form Sa1'!NEL835)*860)/10)+('Form Sa1'!NEL814*'Form Sa1'!NEL816/10)-'NF - 5 Power Mix'!NEI21-'NF - 5 Power Mix'!NEI22</f>
        <v>0</v>
      </c>
      <c r="NEJ42" s="1046">
        <f>NEJ38+((NEJ40+'NF - 5 Power Mix'!NEJ14+'NF - 5 Power Mix'!NEJ15)*860/10)+((('Form Sa1'!NEM835)*860)/10)+('Form Sa1'!NEM814*'Form Sa1'!NEM816/10)-'NF - 5 Power Mix'!NEJ21-'NF - 5 Power Mix'!NEJ22</f>
        <v>0</v>
      </c>
      <c r="NEK42" s="1046">
        <f>NEK38+((NEK40+'NF - 5 Power Mix'!NEK14+'NF - 5 Power Mix'!NEK15)*860/10)+((('Form Sa1'!NEN835)*860)/10)+('Form Sa1'!NEN814*'Form Sa1'!NEN816/10)-'NF - 5 Power Mix'!NEK21-'NF - 5 Power Mix'!NEK22</f>
        <v>0</v>
      </c>
      <c r="NEL42" s="1046">
        <f>NEL38+((NEL40+'NF - 5 Power Mix'!NEL14+'NF - 5 Power Mix'!NEL15)*860/10)+((('Form Sa1'!NEO835)*860)/10)+('Form Sa1'!NEO814*'Form Sa1'!NEO816/10)-'NF - 5 Power Mix'!NEL21-'NF - 5 Power Mix'!NEL22</f>
        <v>0</v>
      </c>
      <c r="NEM42" s="1046">
        <f>NEM38+((NEM40+'NF - 5 Power Mix'!NEM14+'NF - 5 Power Mix'!NEM15)*860/10)+((('Form Sa1'!NEP835)*860)/10)+('Form Sa1'!NEP814*'Form Sa1'!NEP816/10)-'NF - 5 Power Mix'!NEM21-'NF - 5 Power Mix'!NEM22</f>
        <v>0</v>
      </c>
      <c r="NEN42" s="1046">
        <f>NEN38+((NEN40+'NF - 5 Power Mix'!NEN14+'NF - 5 Power Mix'!NEN15)*860/10)+((('Form Sa1'!NEQ835)*860)/10)+('Form Sa1'!NEQ814*'Form Sa1'!NEQ816/10)-'NF - 5 Power Mix'!NEN21-'NF - 5 Power Mix'!NEN22</f>
        <v>0</v>
      </c>
      <c r="NEO42" s="1046">
        <f>NEO38+((NEO40+'NF - 5 Power Mix'!NEO14+'NF - 5 Power Mix'!NEO15)*860/10)+((('Form Sa1'!NER835)*860)/10)+('Form Sa1'!NER814*'Form Sa1'!NER816/10)-'NF - 5 Power Mix'!NEO21-'NF - 5 Power Mix'!NEO22</f>
        <v>0</v>
      </c>
      <c r="NEP42" s="1046">
        <f>NEP38+((NEP40+'NF - 5 Power Mix'!NEP14+'NF - 5 Power Mix'!NEP15)*860/10)+((('Form Sa1'!NES835)*860)/10)+('Form Sa1'!NES814*'Form Sa1'!NES816/10)-'NF - 5 Power Mix'!NEP21-'NF - 5 Power Mix'!NEP22</f>
        <v>0</v>
      </c>
      <c r="NEQ42" s="1046">
        <f>NEQ38+((NEQ40+'NF - 5 Power Mix'!NEQ14+'NF - 5 Power Mix'!NEQ15)*860/10)+((('Form Sa1'!NET835)*860)/10)+('Form Sa1'!NET814*'Form Sa1'!NET816/10)-'NF - 5 Power Mix'!NEQ21-'NF - 5 Power Mix'!NEQ22</f>
        <v>0</v>
      </c>
      <c r="NER42" s="1046">
        <f>NER38+((NER40+'NF - 5 Power Mix'!NER14+'NF - 5 Power Mix'!NER15)*860/10)+((('Form Sa1'!NEU835)*860)/10)+('Form Sa1'!NEU814*'Form Sa1'!NEU816/10)-'NF - 5 Power Mix'!NER21-'NF - 5 Power Mix'!NER22</f>
        <v>0</v>
      </c>
      <c r="NES42" s="1046">
        <f>NES38+((NES40+'NF - 5 Power Mix'!NES14+'NF - 5 Power Mix'!NES15)*860/10)+((('Form Sa1'!NEV835)*860)/10)+('Form Sa1'!NEV814*'Form Sa1'!NEV816/10)-'NF - 5 Power Mix'!NES21-'NF - 5 Power Mix'!NES22</f>
        <v>0</v>
      </c>
      <c r="NET42" s="1046">
        <f>NET38+((NET40+'NF - 5 Power Mix'!NET14+'NF - 5 Power Mix'!NET15)*860/10)+((('Form Sa1'!NEW835)*860)/10)+('Form Sa1'!NEW814*'Form Sa1'!NEW816/10)-'NF - 5 Power Mix'!NET21-'NF - 5 Power Mix'!NET22</f>
        <v>0</v>
      </c>
      <c r="NEU42" s="1046">
        <f>NEU38+((NEU40+'NF - 5 Power Mix'!NEU14+'NF - 5 Power Mix'!NEU15)*860/10)+((('Form Sa1'!NEX835)*860)/10)+('Form Sa1'!NEX814*'Form Sa1'!NEX816/10)-'NF - 5 Power Mix'!NEU21-'NF - 5 Power Mix'!NEU22</f>
        <v>0</v>
      </c>
      <c r="NEV42" s="1046">
        <f>NEV38+((NEV40+'NF - 5 Power Mix'!NEV14+'NF - 5 Power Mix'!NEV15)*860/10)+((('Form Sa1'!NEY835)*860)/10)+('Form Sa1'!NEY814*'Form Sa1'!NEY816/10)-'NF - 5 Power Mix'!NEV21-'NF - 5 Power Mix'!NEV22</f>
        <v>0</v>
      </c>
      <c r="NEW42" s="1046">
        <f>NEW38+((NEW40+'NF - 5 Power Mix'!NEW14+'NF - 5 Power Mix'!NEW15)*860/10)+((('Form Sa1'!NEZ835)*860)/10)+('Form Sa1'!NEZ814*'Form Sa1'!NEZ816/10)-'NF - 5 Power Mix'!NEW21-'NF - 5 Power Mix'!NEW22</f>
        <v>0</v>
      </c>
      <c r="NEX42" s="1046">
        <f>NEX38+((NEX40+'NF - 5 Power Mix'!NEX14+'NF - 5 Power Mix'!NEX15)*860/10)+((('Form Sa1'!NFA835)*860)/10)+('Form Sa1'!NFA814*'Form Sa1'!NFA816/10)-'NF - 5 Power Mix'!NEX21-'NF - 5 Power Mix'!NEX22</f>
        <v>0</v>
      </c>
      <c r="NEY42" s="1046">
        <f>NEY38+((NEY40+'NF - 5 Power Mix'!NEY14+'NF - 5 Power Mix'!NEY15)*860/10)+((('Form Sa1'!NFB835)*860)/10)+('Form Sa1'!NFB814*'Form Sa1'!NFB816/10)-'NF - 5 Power Mix'!NEY21-'NF - 5 Power Mix'!NEY22</f>
        <v>0</v>
      </c>
      <c r="NEZ42" s="1046">
        <f>NEZ38+((NEZ40+'NF - 5 Power Mix'!NEZ14+'NF - 5 Power Mix'!NEZ15)*860/10)+((('Form Sa1'!NFC835)*860)/10)+('Form Sa1'!NFC814*'Form Sa1'!NFC816/10)-'NF - 5 Power Mix'!NEZ21-'NF - 5 Power Mix'!NEZ22</f>
        <v>0</v>
      </c>
      <c r="NFA42" s="1046">
        <f>NFA38+((NFA40+'NF - 5 Power Mix'!NFA14+'NF - 5 Power Mix'!NFA15)*860/10)+((('Form Sa1'!NFD835)*860)/10)+('Form Sa1'!NFD814*'Form Sa1'!NFD816/10)-'NF - 5 Power Mix'!NFA21-'NF - 5 Power Mix'!NFA22</f>
        <v>0</v>
      </c>
      <c r="NFB42" s="1046">
        <f>NFB38+((NFB40+'NF - 5 Power Mix'!NFB14+'NF - 5 Power Mix'!NFB15)*860/10)+((('Form Sa1'!NFE835)*860)/10)+('Form Sa1'!NFE814*'Form Sa1'!NFE816/10)-'NF - 5 Power Mix'!NFB21-'NF - 5 Power Mix'!NFB22</f>
        <v>0</v>
      </c>
      <c r="NFC42" s="1046">
        <f>NFC38+((NFC40+'NF - 5 Power Mix'!NFC14+'NF - 5 Power Mix'!NFC15)*860/10)+((('Form Sa1'!NFF835)*860)/10)+('Form Sa1'!NFF814*'Form Sa1'!NFF816/10)-'NF - 5 Power Mix'!NFC21-'NF - 5 Power Mix'!NFC22</f>
        <v>0</v>
      </c>
      <c r="NFD42" s="1046">
        <f>NFD38+((NFD40+'NF - 5 Power Mix'!NFD14+'NF - 5 Power Mix'!NFD15)*860/10)+((('Form Sa1'!NFG835)*860)/10)+('Form Sa1'!NFG814*'Form Sa1'!NFG816/10)-'NF - 5 Power Mix'!NFD21-'NF - 5 Power Mix'!NFD22</f>
        <v>0</v>
      </c>
      <c r="NFE42" s="1046">
        <f>NFE38+((NFE40+'NF - 5 Power Mix'!NFE14+'NF - 5 Power Mix'!NFE15)*860/10)+((('Form Sa1'!NFH835)*860)/10)+('Form Sa1'!NFH814*'Form Sa1'!NFH816/10)-'NF - 5 Power Mix'!NFE21-'NF - 5 Power Mix'!NFE22</f>
        <v>0</v>
      </c>
      <c r="NFF42" s="1046">
        <f>NFF38+((NFF40+'NF - 5 Power Mix'!NFF14+'NF - 5 Power Mix'!NFF15)*860/10)+((('Form Sa1'!NFI835)*860)/10)+('Form Sa1'!NFI814*'Form Sa1'!NFI816/10)-'NF - 5 Power Mix'!NFF21-'NF - 5 Power Mix'!NFF22</f>
        <v>0</v>
      </c>
      <c r="NFG42" s="1046">
        <f>NFG38+((NFG40+'NF - 5 Power Mix'!NFG14+'NF - 5 Power Mix'!NFG15)*860/10)+((('Form Sa1'!NFJ835)*860)/10)+('Form Sa1'!NFJ814*'Form Sa1'!NFJ816/10)-'NF - 5 Power Mix'!NFG21-'NF - 5 Power Mix'!NFG22</f>
        <v>0</v>
      </c>
      <c r="NFH42" s="1046">
        <f>NFH38+((NFH40+'NF - 5 Power Mix'!NFH14+'NF - 5 Power Mix'!NFH15)*860/10)+((('Form Sa1'!NFK835)*860)/10)+('Form Sa1'!NFK814*'Form Sa1'!NFK816/10)-'NF - 5 Power Mix'!NFH21-'NF - 5 Power Mix'!NFH22</f>
        <v>0</v>
      </c>
      <c r="NFI42" s="1046">
        <f>NFI38+((NFI40+'NF - 5 Power Mix'!NFI14+'NF - 5 Power Mix'!NFI15)*860/10)+((('Form Sa1'!NFL835)*860)/10)+('Form Sa1'!NFL814*'Form Sa1'!NFL816/10)-'NF - 5 Power Mix'!NFI21-'NF - 5 Power Mix'!NFI22</f>
        <v>0</v>
      </c>
      <c r="NFJ42" s="1046">
        <f>NFJ38+((NFJ40+'NF - 5 Power Mix'!NFJ14+'NF - 5 Power Mix'!NFJ15)*860/10)+((('Form Sa1'!NFM835)*860)/10)+('Form Sa1'!NFM814*'Form Sa1'!NFM816/10)-'NF - 5 Power Mix'!NFJ21-'NF - 5 Power Mix'!NFJ22</f>
        <v>0</v>
      </c>
      <c r="NFK42" s="1046">
        <f>NFK38+((NFK40+'NF - 5 Power Mix'!NFK14+'NF - 5 Power Mix'!NFK15)*860/10)+((('Form Sa1'!NFN835)*860)/10)+('Form Sa1'!NFN814*'Form Sa1'!NFN816/10)-'NF - 5 Power Mix'!NFK21-'NF - 5 Power Mix'!NFK22</f>
        <v>0</v>
      </c>
      <c r="NFL42" s="1046">
        <f>NFL38+((NFL40+'NF - 5 Power Mix'!NFL14+'NF - 5 Power Mix'!NFL15)*860/10)+((('Form Sa1'!NFO835)*860)/10)+('Form Sa1'!NFO814*'Form Sa1'!NFO816/10)-'NF - 5 Power Mix'!NFL21-'NF - 5 Power Mix'!NFL22</f>
        <v>0</v>
      </c>
      <c r="NFM42" s="1046">
        <f>NFM38+((NFM40+'NF - 5 Power Mix'!NFM14+'NF - 5 Power Mix'!NFM15)*860/10)+((('Form Sa1'!NFP835)*860)/10)+('Form Sa1'!NFP814*'Form Sa1'!NFP816/10)-'NF - 5 Power Mix'!NFM21-'NF - 5 Power Mix'!NFM22</f>
        <v>0</v>
      </c>
      <c r="NFN42" s="1046">
        <f>NFN38+((NFN40+'NF - 5 Power Mix'!NFN14+'NF - 5 Power Mix'!NFN15)*860/10)+((('Form Sa1'!NFQ835)*860)/10)+('Form Sa1'!NFQ814*'Form Sa1'!NFQ816/10)-'NF - 5 Power Mix'!NFN21-'NF - 5 Power Mix'!NFN22</f>
        <v>0</v>
      </c>
      <c r="NFO42" s="1046">
        <f>NFO38+((NFO40+'NF - 5 Power Mix'!NFO14+'NF - 5 Power Mix'!NFO15)*860/10)+((('Form Sa1'!NFR835)*860)/10)+('Form Sa1'!NFR814*'Form Sa1'!NFR816/10)-'NF - 5 Power Mix'!NFO21-'NF - 5 Power Mix'!NFO22</f>
        <v>0</v>
      </c>
      <c r="NFP42" s="1046">
        <f>NFP38+((NFP40+'NF - 5 Power Mix'!NFP14+'NF - 5 Power Mix'!NFP15)*860/10)+((('Form Sa1'!NFS835)*860)/10)+('Form Sa1'!NFS814*'Form Sa1'!NFS816/10)-'NF - 5 Power Mix'!NFP21-'NF - 5 Power Mix'!NFP22</f>
        <v>0</v>
      </c>
      <c r="NFQ42" s="1046">
        <f>NFQ38+((NFQ40+'NF - 5 Power Mix'!NFQ14+'NF - 5 Power Mix'!NFQ15)*860/10)+((('Form Sa1'!NFT835)*860)/10)+('Form Sa1'!NFT814*'Form Sa1'!NFT816/10)-'NF - 5 Power Mix'!NFQ21-'NF - 5 Power Mix'!NFQ22</f>
        <v>0</v>
      </c>
      <c r="NFR42" s="1046">
        <f>NFR38+((NFR40+'NF - 5 Power Mix'!NFR14+'NF - 5 Power Mix'!NFR15)*860/10)+((('Form Sa1'!NFU835)*860)/10)+('Form Sa1'!NFU814*'Form Sa1'!NFU816/10)-'NF - 5 Power Mix'!NFR21-'NF - 5 Power Mix'!NFR22</f>
        <v>0</v>
      </c>
      <c r="NFS42" s="1046">
        <f>NFS38+((NFS40+'NF - 5 Power Mix'!NFS14+'NF - 5 Power Mix'!NFS15)*860/10)+((('Form Sa1'!NFV835)*860)/10)+('Form Sa1'!NFV814*'Form Sa1'!NFV816/10)-'NF - 5 Power Mix'!NFS21-'NF - 5 Power Mix'!NFS22</f>
        <v>0</v>
      </c>
      <c r="NFT42" s="1046">
        <f>NFT38+((NFT40+'NF - 5 Power Mix'!NFT14+'NF - 5 Power Mix'!NFT15)*860/10)+((('Form Sa1'!NFW835)*860)/10)+('Form Sa1'!NFW814*'Form Sa1'!NFW816/10)-'NF - 5 Power Mix'!NFT21-'NF - 5 Power Mix'!NFT22</f>
        <v>0</v>
      </c>
      <c r="NFU42" s="1046">
        <f>NFU38+((NFU40+'NF - 5 Power Mix'!NFU14+'NF - 5 Power Mix'!NFU15)*860/10)+((('Form Sa1'!NFX835)*860)/10)+('Form Sa1'!NFX814*'Form Sa1'!NFX816/10)-'NF - 5 Power Mix'!NFU21-'NF - 5 Power Mix'!NFU22</f>
        <v>0</v>
      </c>
      <c r="NFV42" s="1046">
        <f>NFV38+((NFV40+'NF - 5 Power Mix'!NFV14+'NF - 5 Power Mix'!NFV15)*860/10)+((('Form Sa1'!NFY835)*860)/10)+('Form Sa1'!NFY814*'Form Sa1'!NFY816/10)-'NF - 5 Power Mix'!NFV21-'NF - 5 Power Mix'!NFV22</f>
        <v>0</v>
      </c>
      <c r="NFW42" s="1046">
        <f>NFW38+((NFW40+'NF - 5 Power Mix'!NFW14+'NF - 5 Power Mix'!NFW15)*860/10)+((('Form Sa1'!NFZ835)*860)/10)+('Form Sa1'!NFZ814*'Form Sa1'!NFZ816/10)-'NF - 5 Power Mix'!NFW21-'NF - 5 Power Mix'!NFW22</f>
        <v>0</v>
      </c>
      <c r="NFX42" s="1046">
        <f>NFX38+((NFX40+'NF - 5 Power Mix'!NFX14+'NF - 5 Power Mix'!NFX15)*860/10)+((('Form Sa1'!NGA835)*860)/10)+('Form Sa1'!NGA814*'Form Sa1'!NGA816/10)-'NF - 5 Power Mix'!NFX21-'NF - 5 Power Mix'!NFX22</f>
        <v>0</v>
      </c>
      <c r="NFY42" s="1046">
        <f>NFY38+((NFY40+'NF - 5 Power Mix'!NFY14+'NF - 5 Power Mix'!NFY15)*860/10)+((('Form Sa1'!NGB835)*860)/10)+('Form Sa1'!NGB814*'Form Sa1'!NGB816/10)-'NF - 5 Power Mix'!NFY21-'NF - 5 Power Mix'!NFY22</f>
        <v>0</v>
      </c>
      <c r="NFZ42" s="1046">
        <f>NFZ38+((NFZ40+'NF - 5 Power Mix'!NFZ14+'NF - 5 Power Mix'!NFZ15)*860/10)+((('Form Sa1'!NGC835)*860)/10)+('Form Sa1'!NGC814*'Form Sa1'!NGC816/10)-'NF - 5 Power Mix'!NFZ21-'NF - 5 Power Mix'!NFZ22</f>
        <v>0</v>
      </c>
      <c r="NGA42" s="1046">
        <f>NGA38+((NGA40+'NF - 5 Power Mix'!NGA14+'NF - 5 Power Mix'!NGA15)*860/10)+((('Form Sa1'!NGD835)*860)/10)+('Form Sa1'!NGD814*'Form Sa1'!NGD816/10)-'NF - 5 Power Mix'!NGA21-'NF - 5 Power Mix'!NGA22</f>
        <v>0</v>
      </c>
      <c r="NGB42" s="1046">
        <f>NGB38+((NGB40+'NF - 5 Power Mix'!NGB14+'NF - 5 Power Mix'!NGB15)*860/10)+((('Form Sa1'!NGE835)*860)/10)+('Form Sa1'!NGE814*'Form Sa1'!NGE816/10)-'NF - 5 Power Mix'!NGB21-'NF - 5 Power Mix'!NGB22</f>
        <v>0</v>
      </c>
      <c r="NGC42" s="1046">
        <f>NGC38+((NGC40+'NF - 5 Power Mix'!NGC14+'NF - 5 Power Mix'!NGC15)*860/10)+((('Form Sa1'!NGF835)*860)/10)+('Form Sa1'!NGF814*'Form Sa1'!NGF816/10)-'NF - 5 Power Mix'!NGC21-'NF - 5 Power Mix'!NGC22</f>
        <v>0</v>
      </c>
      <c r="NGD42" s="1046">
        <f>NGD38+((NGD40+'NF - 5 Power Mix'!NGD14+'NF - 5 Power Mix'!NGD15)*860/10)+((('Form Sa1'!NGG835)*860)/10)+('Form Sa1'!NGG814*'Form Sa1'!NGG816/10)-'NF - 5 Power Mix'!NGD21-'NF - 5 Power Mix'!NGD22</f>
        <v>0</v>
      </c>
      <c r="NGE42" s="1046">
        <f>NGE38+((NGE40+'NF - 5 Power Mix'!NGE14+'NF - 5 Power Mix'!NGE15)*860/10)+((('Form Sa1'!NGH835)*860)/10)+('Form Sa1'!NGH814*'Form Sa1'!NGH816/10)-'NF - 5 Power Mix'!NGE21-'NF - 5 Power Mix'!NGE22</f>
        <v>0</v>
      </c>
      <c r="NGF42" s="1046">
        <f>NGF38+((NGF40+'NF - 5 Power Mix'!NGF14+'NF - 5 Power Mix'!NGF15)*860/10)+((('Form Sa1'!NGI835)*860)/10)+('Form Sa1'!NGI814*'Form Sa1'!NGI816/10)-'NF - 5 Power Mix'!NGF21-'NF - 5 Power Mix'!NGF22</f>
        <v>0</v>
      </c>
      <c r="NGG42" s="1046">
        <f>NGG38+((NGG40+'NF - 5 Power Mix'!NGG14+'NF - 5 Power Mix'!NGG15)*860/10)+((('Form Sa1'!NGJ835)*860)/10)+('Form Sa1'!NGJ814*'Form Sa1'!NGJ816/10)-'NF - 5 Power Mix'!NGG21-'NF - 5 Power Mix'!NGG22</f>
        <v>0</v>
      </c>
      <c r="NGH42" s="1046">
        <f>NGH38+((NGH40+'NF - 5 Power Mix'!NGH14+'NF - 5 Power Mix'!NGH15)*860/10)+((('Form Sa1'!NGK835)*860)/10)+('Form Sa1'!NGK814*'Form Sa1'!NGK816/10)-'NF - 5 Power Mix'!NGH21-'NF - 5 Power Mix'!NGH22</f>
        <v>0</v>
      </c>
      <c r="NGI42" s="1046">
        <f>NGI38+((NGI40+'NF - 5 Power Mix'!NGI14+'NF - 5 Power Mix'!NGI15)*860/10)+((('Form Sa1'!NGL835)*860)/10)+('Form Sa1'!NGL814*'Form Sa1'!NGL816/10)-'NF - 5 Power Mix'!NGI21-'NF - 5 Power Mix'!NGI22</f>
        <v>0</v>
      </c>
      <c r="NGJ42" s="1046">
        <f>NGJ38+((NGJ40+'NF - 5 Power Mix'!NGJ14+'NF - 5 Power Mix'!NGJ15)*860/10)+((('Form Sa1'!NGM835)*860)/10)+('Form Sa1'!NGM814*'Form Sa1'!NGM816/10)-'NF - 5 Power Mix'!NGJ21-'NF - 5 Power Mix'!NGJ22</f>
        <v>0</v>
      </c>
      <c r="NGK42" s="1046">
        <f>NGK38+((NGK40+'NF - 5 Power Mix'!NGK14+'NF - 5 Power Mix'!NGK15)*860/10)+((('Form Sa1'!NGN835)*860)/10)+('Form Sa1'!NGN814*'Form Sa1'!NGN816/10)-'NF - 5 Power Mix'!NGK21-'NF - 5 Power Mix'!NGK22</f>
        <v>0</v>
      </c>
      <c r="NGL42" s="1046">
        <f>NGL38+((NGL40+'NF - 5 Power Mix'!NGL14+'NF - 5 Power Mix'!NGL15)*860/10)+((('Form Sa1'!NGO835)*860)/10)+('Form Sa1'!NGO814*'Form Sa1'!NGO816/10)-'NF - 5 Power Mix'!NGL21-'NF - 5 Power Mix'!NGL22</f>
        <v>0</v>
      </c>
      <c r="NGM42" s="1046">
        <f>NGM38+((NGM40+'NF - 5 Power Mix'!NGM14+'NF - 5 Power Mix'!NGM15)*860/10)+((('Form Sa1'!NGP835)*860)/10)+('Form Sa1'!NGP814*'Form Sa1'!NGP816/10)-'NF - 5 Power Mix'!NGM21-'NF - 5 Power Mix'!NGM22</f>
        <v>0</v>
      </c>
      <c r="NGN42" s="1046">
        <f>NGN38+((NGN40+'NF - 5 Power Mix'!NGN14+'NF - 5 Power Mix'!NGN15)*860/10)+((('Form Sa1'!NGQ835)*860)/10)+('Form Sa1'!NGQ814*'Form Sa1'!NGQ816/10)-'NF - 5 Power Mix'!NGN21-'NF - 5 Power Mix'!NGN22</f>
        <v>0</v>
      </c>
      <c r="NGO42" s="1046">
        <f>NGO38+((NGO40+'NF - 5 Power Mix'!NGO14+'NF - 5 Power Mix'!NGO15)*860/10)+((('Form Sa1'!NGR835)*860)/10)+('Form Sa1'!NGR814*'Form Sa1'!NGR816/10)-'NF - 5 Power Mix'!NGO21-'NF - 5 Power Mix'!NGO22</f>
        <v>0</v>
      </c>
      <c r="NGP42" s="1046">
        <f>NGP38+((NGP40+'NF - 5 Power Mix'!NGP14+'NF - 5 Power Mix'!NGP15)*860/10)+((('Form Sa1'!NGS835)*860)/10)+('Form Sa1'!NGS814*'Form Sa1'!NGS816/10)-'NF - 5 Power Mix'!NGP21-'NF - 5 Power Mix'!NGP22</f>
        <v>0</v>
      </c>
      <c r="NGQ42" s="1046">
        <f>NGQ38+((NGQ40+'NF - 5 Power Mix'!NGQ14+'NF - 5 Power Mix'!NGQ15)*860/10)+((('Form Sa1'!NGT835)*860)/10)+('Form Sa1'!NGT814*'Form Sa1'!NGT816/10)-'NF - 5 Power Mix'!NGQ21-'NF - 5 Power Mix'!NGQ22</f>
        <v>0</v>
      </c>
      <c r="NGR42" s="1046">
        <f>NGR38+((NGR40+'NF - 5 Power Mix'!NGR14+'NF - 5 Power Mix'!NGR15)*860/10)+((('Form Sa1'!NGU835)*860)/10)+('Form Sa1'!NGU814*'Form Sa1'!NGU816/10)-'NF - 5 Power Mix'!NGR21-'NF - 5 Power Mix'!NGR22</f>
        <v>0</v>
      </c>
      <c r="NGS42" s="1046">
        <f>NGS38+((NGS40+'NF - 5 Power Mix'!NGS14+'NF - 5 Power Mix'!NGS15)*860/10)+((('Form Sa1'!NGV835)*860)/10)+('Form Sa1'!NGV814*'Form Sa1'!NGV816/10)-'NF - 5 Power Mix'!NGS21-'NF - 5 Power Mix'!NGS22</f>
        <v>0</v>
      </c>
      <c r="NGT42" s="1046">
        <f>NGT38+((NGT40+'NF - 5 Power Mix'!NGT14+'NF - 5 Power Mix'!NGT15)*860/10)+((('Form Sa1'!NGW835)*860)/10)+('Form Sa1'!NGW814*'Form Sa1'!NGW816/10)-'NF - 5 Power Mix'!NGT21-'NF - 5 Power Mix'!NGT22</f>
        <v>0</v>
      </c>
      <c r="NGU42" s="1046">
        <f>NGU38+((NGU40+'NF - 5 Power Mix'!NGU14+'NF - 5 Power Mix'!NGU15)*860/10)+((('Form Sa1'!NGX835)*860)/10)+('Form Sa1'!NGX814*'Form Sa1'!NGX816/10)-'NF - 5 Power Mix'!NGU21-'NF - 5 Power Mix'!NGU22</f>
        <v>0</v>
      </c>
      <c r="NGV42" s="1046">
        <f>NGV38+((NGV40+'NF - 5 Power Mix'!NGV14+'NF - 5 Power Mix'!NGV15)*860/10)+((('Form Sa1'!NGY835)*860)/10)+('Form Sa1'!NGY814*'Form Sa1'!NGY816/10)-'NF - 5 Power Mix'!NGV21-'NF - 5 Power Mix'!NGV22</f>
        <v>0</v>
      </c>
      <c r="NGW42" s="1046">
        <f>NGW38+((NGW40+'NF - 5 Power Mix'!NGW14+'NF - 5 Power Mix'!NGW15)*860/10)+((('Form Sa1'!NGZ835)*860)/10)+('Form Sa1'!NGZ814*'Form Sa1'!NGZ816/10)-'NF - 5 Power Mix'!NGW21-'NF - 5 Power Mix'!NGW22</f>
        <v>0</v>
      </c>
      <c r="NGX42" s="1046">
        <f>NGX38+((NGX40+'NF - 5 Power Mix'!NGX14+'NF - 5 Power Mix'!NGX15)*860/10)+((('Form Sa1'!NHA835)*860)/10)+('Form Sa1'!NHA814*'Form Sa1'!NHA816/10)-'NF - 5 Power Mix'!NGX21-'NF - 5 Power Mix'!NGX22</f>
        <v>0</v>
      </c>
      <c r="NGY42" s="1046">
        <f>NGY38+((NGY40+'NF - 5 Power Mix'!NGY14+'NF - 5 Power Mix'!NGY15)*860/10)+((('Form Sa1'!NHB835)*860)/10)+('Form Sa1'!NHB814*'Form Sa1'!NHB816/10)-'NF - 5 Power Mix'!NGY21-'NF - 5 Power Mix'!NGY22</f>
        <v>0</v>
      </c>
      <c r="NGZ42" s="1046">
        <f>NGZ38+((NGZ40+'NF - 5 Power Mix'!NGZ14+'NF - 5 Power Mix'!NGZ15)*860/10)+((('Form Sa1'!NHC835)*860)/10)+('Form Sa1'!NHC814*'Form Sa1'!NHC816/10)-'NF - 5 Power Mix'!NGZ21-'NF - 5 Power Mix'!NGZ22</f>
        <v>0</v>
      </c>
      <c r="NHA42" s="1046">
        <f>NHA38+((NHA40+'NF - 5 Power Mix'!NHA14+'NF - 5 Power Mix'!NHA15)*860/10)+((('Form Sa1'!NHD835)*860)/10)+('Form Sa1'!NHD814*'Form Sa1'!NHD816/10)-'NF - 5 Power Mix'!NHA21-'NF - 5 Power Mix'!NHA22</f>
        <v>0</v>
      </c>
      <c r="NHB42" s="1046">
        <f>NHB38+((NHB40+'NF - 5 Power Mix'!NHB14+'NF - 5 Power Mix'!NHB15)*860/10)+((('Form Sa1'!NHE835)*860)/10)+('Form Sa1'!NHE814*'Form Sa1'!NHE816/10)-'NF - 5 Power Mix'!NHB21-'NF - 5 Power Mix'!NHB22</f>
        <v>0</v>
      </c>
      <c r="NHC42" s="1046">
        <f>NHC38+((NHC40+'NF - 5 Power Mix'!NHC14+'NF - 5 Power Mix'!NHC15)*860/10)+((('Form Sa1'!NHF835)*860)/10)+('Form Sa1'!NHF814*'Form Sa1'!NHF816/10)-'NF - 5 Power Mix'!NHC21-'NF - 5 Power Mix'!NHC22</f>
        <v>0</v>
      </c>
      <c r="NHD42" s="1046">
        <f>NHD38+((NHD40+'NF - 5 Power Mix'!NHD14+'NF - 5 Power Mix'!NHD15)*860/10)+((('Form Sa1'!NHG835)*860)/10)+('Form Sa1'!NHG814*'Form Sa1'!NHG816/10)-'NF - 5 Power Mix'!NHD21-'NF - 5 Power Mix'!NHD22</f>
        <v>0</v>
      </c>
      <c r="NHE42" s="1046">
        <f>NHE38+((NHE40+'NF - 5 Power Mix'!NHE14+'NF - 5 Power Mix'!NHE15)*860/10)+((('Form Sa1'!NHH835)*860)/10)+('Form Sa1'!NHH814*'Form Sa1'!NHH816/10)-'NF - 5 Power Mix'!NHE21-'NF - 5 Power Mix'!NHE22</f>
        <v>0</v>
      </c>
      <c r="NHF42" s="1046">
        <f>NHF38+((NHF40+'NF - 5 Power Mix'!NHF14+'NF - 5 Power Mix'!NHF15)*860/10)+((('Form Sa1'!NHI835)*860)/10)+('Form Sa1'!NHI814*'Form Sa1'!NHI816/10)-'NF - 5 Power Mix'!NHF21-'NF - 5 Power Mix'!NHF22</f>
        <v>0</v>
      </c>
      <c r="NHG42" s="1046">
        <f>NHG38+((NHG40+'NF - 5 Power Mix'!NHG14+'NF - 5 Power Mix'!NHG15)*860/10)+((('Form Sa1'!NHJ835)*860)/10)+('Form Sa1'!NHJ814*'Form Sa1'!NHJ816/10)-'NF - 5 Power Mix'!NHG21-'NF - 5 Power Mix'!NHG22</f>
        <v>0</v>
      </c>
      <c r="NHH42" s="1046">
        <f>NHH38+((NHH40+'NF - 5 Power Mix'!NHH14+'NF - 5 Power Mix'!NHH15)*860/10)+((('Form Sa1'!NHK835)*860)/10)+('Form Sa1'!NHK814*'Form Sa1'!NHK816/10)-'NF - 5 Power Mix'!NHH21-'NF - 5 Power Mix'!NHH22</f>
        <v>0</v>
      </c>
      <c r="NHI42" s="1046">
        <f>NHI38+((NHI40+'NF - 5 Power Mix'!NHI14+'NF - 5 Power Mix'!NHI15)*860/10)+((('Form Sa1'!NHL835)*860)/10)+('Form Sa1'!NHL814*'Form Sa1'!NHL816/10)-'NF - 5 Power Mix'!NHI21-'NF - 5 Power Mix'!NHI22</f>
        <v>0</v>
      </c>
      <c r="NHJ42" s="1046">
        <f>NHJ38+((NHJ40+'NF - 5 Power Mix'!NHJ14+'NF - 5 Power Mix'!NHJ15)*860/10)+((('Form Sa1'!NHM835)*860)/10)+('Form Sa1'!NHM814*'Form Sa1'!NHM816/10)-'NF - 5 Power Mix'!NHJ21-'NF - 5 Power Mix'!NHJ22</f>
        <v>0</v>
      </c>
      <c r="NHK42" s="1046">
        <f>NHK38+((NHK40+'NF - 5 Power Mix'!NHK14+'NF - 5 Power Mix'!NHK15)*860/10)+((('Form Sa1'!NHN835)*860)/10)+('Form Sa1'!NHN814*'Form Sa1'!NHN816/10)-'NF - 5 Power Mix'!NHK21-'NF - 5 Power Mix'!NHK22</f>
        <v>0</v>
      </c>
      <c r="NHL42" s="1046">
        <f>NHL38+((NHL40+'NF - 5 Power Mix'!NHL14+'NF - 5 Power Mix'!NHL15)*860/10)+((('Form Sa1'!NHO835)*860)/10)+('Form Sa1'!NHO814*'Form Sa1'!NHO816/10)-'NF - 5 Power Mix'!NHL21-'NF - 5 Power Mix'!NHL22</f>
        <v>0</v>
      </c>
      <c r="NHM42" s="1046">
        <f>NHM38+((NHM40+'NF - 5 Power Mix'!NHM14+'NF - 5 Power Mix'!NHM15)*860/10)+((('Form Sa1'!NHP835)*860)/10)+('Form Sa1'!NHP814*'Form Sa1'!NHP816/10)-'NF - 5 Power Mix'!NHM21-'NF - 5 Power Mix'!NHM22</f>
        <v>0</v>
      </c>
      <c r="NHN42" s="1046">
        <f>NHN38+((NHN40+'NF - 5 Power Mix'!NHN14+'NF - 5 Power Mix'!NHN15)*860/10)+((('Form Sa1'!NHQ835)*860)/10)+('Form Sa1'!NHQ814*'Form Sa1'!NHQ816/10)-'NF - 5 Power Mix'!NHN21-'NF - 5 Power Mix'!NHN22</f>
        <v>0</v>
      </c>
      <c r="NHO42" s="1046">
        <f>NHO38+((NHO40+'NF - 5 Power Mix'!NHO14+'NF - 5 Power Mix'!NHO15)*860/10)+((('Form Sa1'!NHR835)*860)/10)+('Form Sa1'!NHR814*'Form Sa1'!NHR816/10)-'NF - 5 Power Mix'!NHO21-'NF - 5 Power Mix'!NHO22</f>
        <v>0</v>
      </c>
      <c r="NHP42" s="1046">
        <f>NHP38+((NHP40+'NF - 5 Power Mix'!NHP14+'NF - 5 Power Mix'!NHP15)*860/10)+((('Form Sa1'!NHS835)*860)/10)+('Form Sa1'!NHS814*'Form Sa1'!NHS816/10)-'NF - 5 Power Mix'!NHP21-'NF - 5 Power Mix'!NHP22</f>
        <v>0</v>
      </c>
      <c r="NHQ42" s="1046">
        <f>NHQ38+((NHQ40+'NF - 5 Power Mix'!NHQ14+'NF - 5 Power Mix'!NHQ15)*860/10)+((('Form Sa1'!NHT835)*860)/10)+('Form Sa1'!NHT814*'Form Sa1'!NHT816/10)-'NF - 5 Power Mix'!NHQ21-'NF - 5 Power Mix'!NHQ22</f>
        <v>0</v>
      </c>
      <c r="NHR42" s="1046">
        <f>NHR38+((NHR40+'NF - 5 Power Mix'!NHR14+'NF - 5 Power Mix'!NHR15)*860/10)+((('Form Sa1'!NHU835)*860)/10)+('Form Sa1'!NHU814*'Form Sa1'!NHU816/10)-'NF - 5 Power Mix'!NHR21-'NF - 5 Power Mix'!NHR22</f>
        <v>0</v>
      </c>
      <c r="NHS42" s="1046">
        <f>NHS38+((NHS40+'NF - 5 Power Mix'!NHS14+'NF - 5 Power Mix'!NHS15)*860/10)+((('Form Sa1'!NHV835)*860)/10)+('Form Sa1'!NHV814*'Form Sa1'!NHV816/10)-'NF - 5 Power Mix'!NHS21-'NF - 5 Power Mix'!NHS22</f>
        <v>0</v>
      </c>
      <c r="NHT42" s="1046">
        <f>NHT38+((NHT40+'NF - 5 Power Mix'!NHT14+'NF - 5 Power Mix'!NHT15)*860/10)+((('Form Sa1'!NHW835)*860)/10)+('Form Sa1'!NHW814*'Form Sa1'!NHW816/10)-'NF - 5 Power Mix'!NHT21-'NF - 5 Power Mix'!NHT22</f>
        <v>0</v>
      </c>
      <c r="NHU42" s="1046">
        <f>NHU38+((NHU40+'NF - 5 Power Mix'!NHU14+'NF - 5 Power Mix'!NHU15)*860/10)+((('Form Sa1'!NHX835)*860)/10)+('Form Sa1'!NHX814*'Form Sa1'!NHX816/10)-'NF - 5 Power Mix'!NHU21-'NF - 5 Power Mix'!NHU22</f>
        <v>0</v>
      </c>
      <c r="NHV42" s="1046">
        <f>NHV38+((NHV40+'NF - 5 Power Mix'!NHV14+'NF - 5 Power Mix'!NHV15)*860/10)+((('Form Sa1'!NHY835)*860)/10)+('Form Sa1'!NHY814*'Form Sa1'!NHY816/10)-'NF - 5 Power Mix'!NHV21-'NF - 5 Power Mix'!NHV22</f>
        <v>0</v>
      </c>
      <c r="NHW42" s="1046">
        <f>NHW38+((NHW40+'NF - 5 Power Mix'!NHW14+'NF - 5 Power Mix'!NHW15)*860/10)+((('Form Sa1'!NHZ835)*860)/10)+('Form Sa1'!NHZ814*'Form Sa1'!NHZ816/10)-'NF - 5 Power Mix'!NHW21-'NF - 5 Power Mix'!NHW22</f>
        <v>0</v>
      </c>
      <c r="NHX42" s="1046">
        <f>NHX38+((NHX40+'NF - 5 Power Mix'!NHX14+'NF - 5 Power Mix'!NHX15)*860/10)+((('Form Sa1'!NIA835)*860)/10)+('Form Sa1'!NIA814*'Form Sa1'!NIA816/10)-'NF - 5 Power Mix'!NHX21-'NF - 5 Power Mix'!NHX22</f>
        <v>0</v>
      </c>
      <c r="NHY42" s="1046">
        <f>NHY38+((NHY40+'NF - 5 Power Mix'!NHY14+'NF - 5 Power Mix'!NHY15)*860/10)+((('Form Sa1'!NIB835)*860)/10)+('Form Sa1'!NIB814*'Form Sa1'!NIB816/10)-'NF - 5 Power Mix'!NHY21-'NF - 5 Power Mix'!NHY22</f>
        <v>0</v>
      </c>
      <c r="NHZ42" s="1046">
        <f>NHZ38+((NHZ40+'NF - 5 Power Mix'!NHZ14+'NF - 5 Power Mix'!NHZ15)*860/10)+((('Form Sa1'!NIC835)*860)/10)+('Form Sa1'!NIC814*'Form Sa1'!NIC816/10)-'NF - 5 Power Mix'!NHZ21-'NF - 5 Power Mix'!NHZ22</f>
        <v>0</v>
      </c>
      <c r="NIA42" s="1046">
        <f>NIA38+((NIA40+'NF - 5 Power Mix'!NIA14+'NF - 5 Power Mix'!NIA15)*860/10)+((('Form Sa1'!NID835)*860)/10)+('Form Sa1'!NID814*'Form Sa1'!NID816/10)-'NF - 5 Power Mix'!NIA21-'NF - 5 Power Mix'!NIA22</f>
        <v>0</v>
      </c>
      <c r="NIB42" s="1046">
        <f>NIB38+((NIB40+'NF - 5 Power Mix'!NIB14+'NF - 5 Power Mix'!NIB15)*860/10)+((('Form Sa1'!NIE835)*860)/10)+('Form Sa1'!NIE814*'Form Sa1'!NIE816/10)-'NF - 5 Power Mix'!NIB21-'NF - 5 Power Mix'!NIB22</f>
        <v>0</v>
      </c>
      <c r="NIC42" s="1046">
        <f>NIC38+((NIC40+'NF - 5 Power Mix'!NIC14+'NF - 5 Power Mix'!NIC15)*860/10)+((('Form Sa1'!NIF835)*860)/10)+('Form Sa1'!NIF814*'Form Sa1'!NIF816/10)-'NF - 5 Power Mix'!NIC21-'NF - 5 Power Mix'!NIC22</f>
        <v>0</v>
      </c>
      <c r="NID42" s="1046">
        <f>NID38+((NID40+'NF - 5 Power Mix'!NID14+'NF - 5 Power Mix'!NID15)*860/10)+((('Form Sa1'!NIG835)*860)/10)+('Form Sa1'!NIG814*'Form Sa1'!NIG816/10)-'NF - 5 Power Mix'!NID21-'NF - 5 Power Mix'!NID22</f>
        <v>0</v>
      </c>
      <c r="NIE42" s="1046">
        <f>NIE38+((NIE40+'NF - 5 Power Mix'!NIE14+'NF - 5 Power Mix'!NIE15)*860/10)+((('Form Sa1'!NIH835)*860)/10)+('Form Sa1'!NIH814*'Form Sa1'!NIH816/10)-'NF - 5 Power Mix'!NIE21-'NF - 5 Power Mix'!NIE22</f>
        <v>0</v>
      </c>
      <c r="NIF42" s="1046">
        <f>NIF38+((NIF40+'NF - 5 Power Mix'!NIF14+'NF - 5 Power Mix'!NIF15)*860/10)+((('Form Sa1'!NII835)*860)/10)+('Form Sa1'!NII814*'Form Sa1'!NII816/10)-'NF - 5 Power Mix'!NIF21-'NF - 5 Power Mix'!NIF22</f>
        <v>0</v>
      </c>
      <c r="NIG42" s="1046">
        <f>NIG38+((NIG40+'NF - 5 Power Mix'!NIG14+'NF - 5 Power Mix'!NIG15)*860/10)+((('Form Sa1'!NIJ835)*860)/10)+('Form Sa1'!NIJ814*'Form Sa1'!NIJ816/10)-'NF - 5 Power Mix'!NIG21-'NF - 5 Power Mix'!NIG22</f>
        <v>0</v>
      </c>
      <c r="NIH42" s="1046">
        <f>NIH38+((NIH40+'NF - 5 Power Mix'!NIH14+'NF - 5 Power Mix'!NIH15)*860/10)+((('Form Sa1'!NIK835)*860)/10)+('Form Sa1'!NIK814*'Form Sa1'!NIK816/10)-'NF - 5 Power Mix'!NIH21-'NF - 5 Power Mix'!NIH22</f>
        <v>0</v>
      </c>
      <c r="NII42" s="1046">
        <f>NII38+((NII40+'NF - 5 Power Mix'!NII14+'NF - 5 Power Mix'!NII15)*860/10)+((('Form Sa1'!NIL835)*860)/10)+('Form Sa1'!NIL814*'Form Sa1'!NIL816/10)-'NF - 5 Power Mix'!NII21-'NF - 5 Power Mix'!NII22</f>
        <v>0</v>
      </c>
      <c r="NIJ42" s="1046">
        <f>NIJ38+((NIJ40+'NF - 5 Power Mix'!NIJ14+'NF - 5 Power Mix'!NIJ15)*860/10)+((('Form Sa1'!NIM835)*860)/10)+('Form Sa1'!NIM814*'Form Sa1'!NIM816/10)-'NF - 5 Power Mix'!NIJ21-'NF - 5 Power Mix'!NIJ22</f>
        <v>0</v>
      </c>
      <c r="NIK42" s="1046">
        <f>NIK38+((NIK40+'NF - 5 Power Mix'!NIK14+'NF - 5 Power Mix'!NIK15)*860/10)+((('Form Sa1'!NIN835)*860)/10)+('Form Sa1'!NIN814*'Form Sa1'!NIN816/10)-'NF - 5 Power Mix'!NIK21-'NF - 5 Power Mix'!NIK22</f>
        <v>0</v>
      </c>
      <c r="NIL42" s="1046">
        <f>NIL38+((NIL40+'NF - 5 Power Mix'!NIL14+'NF - 5 Power Mix'!NIL15)*860/10)+((('Form Sa1'!NIO835)*860)/10)+('Form Sa1'!NIO814*'Form Sa1'!NIO816/10)-'NF - 5 Power Mix'!NIL21-'NF - 5 Power Mix'!NIL22</f>
        <v>0</v>
      </c>
      <c r="NIM42" s="1046">
        <f>NIM38+((NIM40+'NF - 5 Power Mix'!NIM14+'NF - 5 Power Mix'!NIM15)*860/10)+((('Form Sa1'!NIP835)*860)/10)+('Form Sa1'!NIP814*'Form Sa1'!NIP816/10)-'NF - 5 Power Mix'!NIM21-'NF - 5 Power Mix'!NIM22</f>
        <v>0</v>
      </c>
      <c r="NIN42" s="1046">
        <f>NIN38+((NIN40+'NF - 5 Power Mix'!NIN14+'NF - 5 Power Mix'!NIN15)*860/10)+((('Form Sa1'!NIQ835)*860)/10)+('Form Sa1'!NIQ814*'Form Sa1'!NIQ816/10)-'NF - 5 Power Mix'!NIN21-'NF - 5 Power Mix'!NIN22</f>
        <v>0</v>
      </c>
      <c r="NIO42" s="1046">
        <f>NIO38+((NIO40+'NF - 5 Power Mix'!NIO14+'NF - 5 Power Mix'!NIO15)*860/10)+((('Form Sa1'!NIR835)*860)/10)+('Form Sa1'!NIR814*'Form Sa1'!NIR816/10)-'NF - 5 Power Mix'!NIO21-'NF - 5 Power Mix'!NIO22</f>
        <v>0</v>
      </c>
      <c r="NIP42" s="1046">
        <f>NIP38+((NIP40+'NF - 5 Power Mix'!NIP14+'NF - 5 Power Mix'!NIP15)*860/10)+((('Form Sa1'!NIS835)*860)/10)+('Form Sa1'!NIS814*'Form Sa1'!NIS816/10)-'NF - 5 Power Mix'!NIP21-'NF - 5 Power Mix'!NIP22</f>
        <v>0</v>
      </c>
      <c r="NIQ42" s="1046">
        <f>NIQ38+((NIQ40+'NF - 5 Power Mix'!NIQ14+'NF - 5 Power Mix'!NIQ15)*860/10)+((('Form Sa1'!NIT835)*860)/10)+('Form Sa1'!NIT814*'Form Sa1'!NIT816/10)-'NF - 5 Power Mix'!NIQ21-'NF - 5 Power Mix'!NIQ22</f>
        <v>0</v>
      </c>
      <c r="NIR42" s="1046">
        <f>NIR38+((NIR40+'NF - 5 Power Mix'!NIR14+'NF - 5 Power Mix'!NIR15)*860/10)+((('Form Sa1'!NIU835)*860)/10)+('Form Sa1'!NIU814*'Form Sa1'!NIU816/10)-'NF - 5 Power Mix'!NIR21-'NF - 5 Power Mix'!NIR22</f>
        <v>0</v>
      </c>
      <c r="NIS42" s="1046">
        <f>NIS38+((NIS40+'NF - 5 Power Mix'!NIS14+'NF - 5 Power Mix'!NIS15)*860/10)+((('Form Sa1'!NIV835)*860)/10)+('Form Sa1'!NIV814*'Form Sa1'!NIV816/10)-'NF - 5 Power Mix'!NIS21-'NF - 5 Power Mix'!NIS22</f>
        <v>0</v>
      </c>
      <c r="NIT42" s="1046">
        <f>NIT38+((NIT40+'NF - 5 Power Mix'!NIT14+'NF - 5 Power Mix'!NIT15)*860/10)+((('Form Sa1'!NIW835)*860)/10)+('Form Sa1'!NIW814*'Form Sa1'!NIW816/10)-'NF - 5 Power Mix'!NIT21-'NF - 5 Power Mix'!NIT22</f>
        <v>0</v>
      </c>
      <c r="NIU42" s="1046">
        <f>NIU38+((NIU40+'NF - 5 Power Mix'!NIU14+'NF - 5 Power Mix'!NIU15)*860/10)+((('Form Sa1'!NIX835)*860)/10)+('Form Sa1'!NIX814*'Form Sa1'!NIX816/10)-'NF - 5 Power Mix'!NIU21-'NF - 5 Power Mix'!NIU22</f>
        <v>0</v>
      </c>
      <c r="NIV42" s="1046">
        <f>NIV38+((NIV40+'NF - 5 Power Mix'!NIV14+'NF - 5 Power Mix'!NIV15)*860/10)+((('Form Sa1'!NIY835)*860)/10)+('Form Sa1'!NIY814*'Form Sa1'!NIY816/10)-'NF - 5 Power Mix'!NIV21-'NF - 5 Power Mix'!NIV22</f>
        <v>0</v>
      </c>
      <c r="NIW42" s="1046">
        <f>NIW38+((NIW40+'NF - 5 Power Mix'!NIW14+'NF - 5 Power Mix'!NIW15)*860/10)+((('Form Sa1'!NIZ835)*860)/10)+('Form Sa1'!NIZ814*'Form Sa1'!NIZ816/10)-'NF - 5 Power Mix'!NIW21-'NF - 5 Power Mix'!NIW22</f>
        <v>0</v>
      </c>
      <c r="NIX42" s="1046">
        <f>NIX38+((NIX40+'NF - 5 Power Mix'!NIX14+'NF - 5 Power Mix'!NIX15)*860/10)+((('Form Sa1'!NJA835)*860)/10)+('Form Sa1'!NJA814*'Form Sa1'!NJA816/10)-'NF - 5 Power Mix'!NIX21-'NF - 5 Power Mix'!NIX22</f>
        <v>0</v>
      </c>
      <c r="NIY42" s="1046">
        <f>NIY38+((NIY40+'NF - 5 Power Mix'!NIY14+'NF - 5 Power Mix'!NIY15)*860/10)+((('Form Sa1'!NJB835)*860)/10)+('Form Sa1'!NJB814*'Form Sa1'!NJB816/10)-'NF - 5 Power Mix'!NIY21-'NF - 5 Power Mix'!NIY22</f>
        <v>0</v>
      </c>
      <c r="NIZ42" s="1046">
        <f>NIZ38+((NIZ40+'NF - 5 Power Mix'!NIZ14+'NF - 5 Power Mix'!NIZ15)*860/10)+((('Form Sa1'!NJC835)*860)/10)+('Form Sa1'!NJC814*'Form Sa1'!NJC816/10)-'NF - 5 Power Mix'!NIZ21-'NF - 5 Power Mix'!NIZ22</f>
        <v>0</v>
      </c>
      <c r="NJA42" s="1046">
        <f>NJA38+((NJA40+'NF - 5 Power Mix'!NJA14+'NF - 5 Power Mix'!NJA15)*860/10)+((('Form Sa1'!NJD835)*860)/10)+('Form Sa1'!NJD814*'Form Sa1'!NJD816/10)-'NF - 5 Power Mix'!NJA21-'NF - 5 Power Mix'!NJA22</f>
        <v>0</v>
      </c>
      <c r="NJB42" s="1046">
        <f>NJB38+((NJB40+'NF - 5 Power Mix'!NJB14+'NF - 5 Power Mix'!NJB15)*860/10)+((('Form Sa1'!NJE835)*860)/10)+('Form Sa1'!NJE814*'Form Sa1'!NJE816/10)-'NF - 5 Power Mix'!NJB21-'NF - 5 Power Mix'!NJB22</f>
        <v>0</v>
      </c>
      <c r="NJC42" s="1046">
        <f>NJC38+((NJC40+'NF - 5 Power Mix'!NJC14+'NF - 5 Power Mix'!NJC15)*860/10)+((('Form Sa1'!NJF835)*860)/10)+('Form Sa1'!NJF814*'Form Sa1'!NJF816/10)-'NF - 5 Power Mix'!NJC21-'NF - 5 Power Mix'!NJC22</f>
        <v>0</v>
      </c>
      <c r="NJD42" s="1046">
        <f>NJD38+((NJD40+'NF - 5 Power Mix'!NJD14+'NF - 5 Power Mix'!NJD15)*860/10)+((('Form Sa1'!NJG835)*860)/10)+('Form Sa1'!NJG814*'Form Sa1'!NJG816/10)-'NF - 5 Power Mix'!NJD21-'NF - 5 Power Mix'!NJD22</f>
        <v>0</v>
      </c>
      <c r="NJE42" s="1046">
        <f>NJE38+((NJE40+'NF - 5 Power Mix'!NJE14+'NF - 5 Power Mix'!NJE15)*860/10)+((('Form Sa1'!NJH835)*860)/10)+('Form Sa1'!NJH814*'Form Sa1'!NJH816/10)-'NF - 5 Power Mix'!NJE21-'NF - 5 Power Mix'!NJE22</f>
        <v>0</v>
      </c>
      <c r="NJF42" s="1046">
        <f>NJF38+((NJF40+'NF - 5 Power Mix'!NJF14+'NF - 5 Power Mix'!NJF15)*860/10)+((('Form Sa1'!NJI835)*860)/10)+('Form Sa1'!NJI814*'Form Sa1'!NJI816/10)-'NF - 5 Power Mix'!NJF21-'NF - 5 Power Mix'!NJF22</f>
        <v>0</v>
      </c>
      <c r="NJG42" s="1046">
        <f>NJG38+((NJG40+'NF - 5 Power Mix'!NJG14+'NF - 5 Power Mix'!NJG15)*860/10)+((('Form Sa1'!NJJ835)*860)/10)+('Form Sa1'!NJJ814*'Form Sa1'!NJJ816/10)-'NF - 5 Power Mix'!NJG21-'NF - 5 Power Mix'!NJG22</f>
        <v>0</v>
      </c>
      <c r="NJH42" s="1046">
        <f>NJH38+((NJH40+'NF - 5 Power Mix'!NJH14+'NF - 5 Power Mix'!NJH15)*860/10)+((('Form Sa1'!NJK835)*860)/10)+('Form Sa1'!NJK814*'Form Sa1'!NJK816/10)-'NF - 5 Power Mix'!NJH21-'NF - 5 Power Mix'!NJH22</f>
        <v>0</v>
      </c>
      <c r="NJI42" s="1046">
        <f>NJI38+((NJI40+'NF - 5 Power Mix'!NJI14+'NF - 5 Power Mix'!NJI15)*860/10)+((('Form Sa1'!NJL835)*860)/10)+('Form Sa1'!NJL814*'Form Sa1'!NJL816/10)-'NF - 5 Power Mix'!NJI21-'NF - 5 Power Mix'!NJI22</f>
        <v>0</v>
      </c>
      <c r="NJJ42" s="1046">
        <f>NJJ38+((NJJ40+'NF - 5 Power Mix'!NJJ14+'NF - 5 Power Mix'!NJJ15)*860/10)+((('Form Sa1'!NJM835)*860)/10)+('Form Sa1'!NJM814*'Form Sa1'!NJM816/10)-'NF - 5 Power Mix'!NJJ21-'NF - 5 Power Mix'!NJJ22</f>
        <v>0</v>
      </c>
      <c r="NJK42" s="1046">
        <f>NJK38+((NJK40+'NF - 5 Power Mix'!NJK14+'NF - 5 Power Mix'!NJK15)*860/10)+((('Form Sa1'!NJN835)*860)/10)+('Form Sa1'!NJN814*'Form Sa1'!NJN816/10)-'NF - 5 Power Mix'!NJK21-'NF - 5 Power Mix'!NJK22</f>
        <v>0</v>
      </c>
      <c r="NJL42" s="1046">
        <f>NJL38+((NJL40+'NF - 5 Power Mix'!NJL14+'NF - 5 Power Mix'!NJL15)*860/10)+((('Form Sa1'!NJO835)*860)/10)+('Form Sa1'!NJO814*'Form Sa1'!NJO816/10)-'NF - 5 Power Mix'!NJL21-'NF - 5 Power Mix'!NJL22</f>
        <v>0</v>
      </c>
      <c r="NJM42" s="1046">
        <f>NJM38+((NJM40+'NF - 5 Power Mix'!NJM14+'NF - 5 Power Mix'!NJM15)*860/10)+((('Form Sa1'!NJP835)*860)/10)+('Form Sa1'!NJP814*'Form Sa1'!NJP816/10)-'NF - 5 Power Mix'!NJM21-'NF - 5 Power Mix'!NJM22</f>
        <v>0</v>
      </c>
      <c r="NJN42" s="1046">
        <f>NJN38+((NJN40+'NF - 5 Power Mix'!NJN14+'NF - 5 Power Mix'!NJN15)*860/10)+((('Form Sa1'!NJQ835)*860)/10)+('Form Sa1'!NJQ814*'Form Sa1'!NJQ816/10)-'NF - 5 Power Mix'!NJN21-'NF - 5 Power Mix'!NJN22</f>
        <v>0</v>
      </c>
      <c r="NJO42" s="1046">
        <f>NJO38+((NJO40+'NF - 5 Power Mix'!NJO14+'NF - 5 Power Mix'!NJO15)*860/10)+((('Form Sa1'!NJR835)*860)/10)+('Form Sa1'!NJR814*'Form Sa1'!NJR816/10)-'NF - 5 Power Mix'!NJO21-'NF - 5 Power Mix'!NJO22</f>
        <v>0</v>
      </c>
      <c r="NJP42" s="1046">
        <f>NJP38+((NJP40+'NF - 5 Power Mix'!NJP14+'NF - 5 Power Mix'!NJP15)*860/10)+((('Form Sa1'!NJS835)*860)/10)+('Form Sa1'!NJS814*'Form Sa1'!NJS816/10)-'NF - 5 Power Mix'!NJP21-'NF - 5 Power Mix'!NJP22</f>
        <v>0</v>
      </c>
      <c r="NJQ42" s="1046">
        <f>NJQ38+((NJQ40+'NF - 5 Power Mix'!NJQ14+'NF - 5 Power Mix'!NJQ15)*860/10)+((('Form Sa1'!NJT835)*860)/10)+('Form Sa1'!NJT814*'Form Sa1'!NJT816/10)-'NF - 5 Power Mix'!NJQ21-'NF - 5 Power Mix'!NJQ22</f>
        <v>0</v>
      </c>
      <c r="NJR42" s="1046">
        <f>NJR38+((NJR40+'NF - 5 Power Mix'!NJR14+'NF - 5 Power Mix'!NJR15)*860/10)+((('Form Sa1'!NJU835)*860)/10)+('Form Sa1'!NJU814*'Form Sa1'!NJU816/10)-'NF - 5 Power Mix'!NJR21-'NF - 5 Power Mix'!NJR22</f>
        <v>0</v>
      </c>
      <c r="NJS42" s="1046">
        <f>NJS38+((NJS40+'NF - 5 Power Mix'!NJS14+'NF - 5 Power Mix'!NJS15)*860/10)+((('Form Sa1'!NJV835)*860)/10)+('Form Sa1'!NJV814*'Form Sa1'!NJV816/10)-'NF - 5 Power Mix'!NJS21-'NF - 5 Power Mix'!NJS22</f>
        <v>0</v>
      </c>
      <c r="NJT42" s="1046">
        <f>NJT38+((NJT40+'NF - 5 Power Mix'!NJT14+'NF - 5 Power Mix'!NJT15)*860/10)+((('Form Sa1'!NJW835)*860)/10)+('Form Sa1'!NJW814*'Form Sa1'!NJW816/10)-'NF - 5 Power Mix'!NJT21-'NF - 5 Power Mix'!NJT22</f>
        <v>0</v>
      </c>
      <c r="NJU42" s="1046">
        <f>NJU38+((NJU40+'NF - 5 Power Mix'!NJU14+'NF - 5 Power Mix'!NJU15)*860/10)+((('Form Sa1'!NJX835)*860)/10)+('Form Sa1'!NJX814*'Form Sa1'!NJX816/10)-'NF - 5 Power Mix'!NJU21-'NF - 5 Power Mix'!NJU22</f>
        <v>0</v>
      </c>
      <c r="NJV42" s="1046">
        <f>NJV38+((NJV40+'NF - 5 Power Mix'!NJV14+'NF - 5 Power Mix'!NJV15)*860/10)+((('Form Sa1'!NJY835)*860)/10)+('Form Sa1'!NJY814*'Form Sa1'!NJY816/10)-'NF - 5 Power Mix'!NJV21-'NF - 5 Power Mix'!NJV22</f>
        <v>0</v>
      </c>
      <c r="NJW42" s="1046">
        <f>NJW38+((NJW40+'NF - 5 Power Mix'!NJW14+'NF - 5 Power Mix'!NJW15)*860/10)+((('Form Sa1'!NJZ835)*860)/10)+('Form Sa1'!NJZ814*'Form Sa1'!NJZ816/10)-'NF - 5 Power Mix'!NJW21-'NF - 5 Power Mix'!NJW22</f>
        <v>0</v>
      </c>
      <c r="NJX42" s="1046">
        <f>NJX38+((NJX40+'NF - 5 Power Mix'!NJX14+'NF - 5 Power Mix'!NJX15)*860/10)+((('Form Sa1'!NKA835)*860)/10)+('Form Sa1'!NKA814*'Form Sa1'!NKA816/10)-'NF - 5 Power Mix'!NJX21-'NF - 5 Power Mix'!NJX22</f>
        <v>0</v>
      </c>
      <c r="NJY42" s="1046">
        <f>NJY38+((NJY40+'NF - 5 Power Mix'!NJY14+'NF - 5 Power Mix'!NJY15)*860/10)+((('Form Sa1'!NKB835)*860)/10)+('Form Sa1'!NKB814*'Form Sa1'!NKB816/10)-'NF - 5 Power Mix'!NJY21-'NF - 5 Power Mix'!NJY22</f>
        <v>0</v>
      </c>
      <c r="NJZ42" s="1046">
        <f>NJZ38+((NJZ40+'NF - 5 Power Mix'!NJZ14+'NF - 5 Power Mix'!NJZ15)*860/10)+((('Form Sa1'!NKC835)*860)/10)+('Form Sa1'!NKC814*'Form Sa1'!NKC816/10)-'NF - 5 Power Mix'!NJZ21-'NF - 5 Power Mix'!NJZ22</f>
        <v>0</v>
      </c>
      <c r="NKA42" s="1046">
        <f>NKA38+((NKA40+'NF - 5 Power Mix'!NKA14+'NF - 5 Power Mix'!NKA15)*860/10)+((('Form Sa1'!NKD835)*860)/10)+('Form Sa1'!NKD814*'Form Sa1'!NKD816/10)-'NF - 5 Power Mix'!NKA21-'NF - 5 Power Mix'!NKA22</f>
        <v>0</v>
      </c>
      <c r="NKB42" s="1046">
        <f>NKB38+((NKB40+'NF - 5 Power Mix'!NKB14+'NF - 5 Power Mix'!NKB15)*860/10)+((('Form Sa1'!NKE835)*860)/10)+('Form Sa1'!NKE814*'Form Sa1'!NKE816/10)-'NF - 5 Power Mix'!NKB21-'NF - 5 Power Mix'!NKB22</f>
        <v>0</v>
      </c>
      <c r="NKC42" s="1046">
        <f>NKC38+((NKC40+'NF - 5 Power Mix'!NKC14+'NF - 5 Power Mix'!NKC15)*860/10)+((('Form Sa1'!NKF835)*860)/10)+('Form Sa1'!NKF814*'Form Sa1'!NKF816/10)-'NF - 5 Power Mix'!NKC21-'NF - 5 Power Mix'!NKC22</f>
        <v>0</v>
      </c>
      <c r="NKD42" s="1046">
        <f>NKD38+((NKD40+'NF - 5 Power Mix'!NKD14+'NF - 5 Power Mix'!NKD15)*860/10)+((('Form Sa1'!NKG835)*860)/10)+('Form Sa1'!NKG814*'Form Sa1'!NKG816/10)-'NF - 5 Power Mix'!NKD21-'NF - 5 Power Mix'!NKD22</f>
        <v>0</v>
      </c>
      <c r="NKE42" s="1046">
        <f>NKE38+((NKE40+'NF - 5 Power Mix'!NKE14+'NF - 5 Power Mix'!NKE15)*860/10)+((('Form Sa1'!NKH835)*860)/10)+('Form Sa1'!NKH814*'Form Sa1'!NKH816/10)-'NF - 5 Power Mix'!NKE21-'NF - 5 Power Mix'!NKE22</f>
        <v>0</v>
      </c>
      <c r="NKF42" s="1046">
        <f>NKF38+((NKF40+'NF - 5 Power Mix'!NKF14+'NF - 5 Power Mix'!NKF15)*860/10)+((('Form Sa1'!NKI835)*860)/10)+('Form Sa1'!NKI814*'Form Sa1'!NKI816/10)-'NF - 5 Power Mix'!NKF21-'NF - 5 Power Mix'!NKF22</f>
        <v>0</v>
      </c>
      <c r="NKG42" s="1046">
        <f>NKG38+((NKG40+'NF - 5 Power Mix'!NKG14+'NF - 5 Power Mix'!NKG15)*860/10)+((('Form Sa1'!NKJ835)*860)/10)+('Form Sa1'!NKJ814*'Form Sa1'!NKJ816/10)-'NF - 5 Power Mix'!NKG21-'NF - 5 Power Mix'!NKG22</f>
        <v>0</v>
      </c>
      <c r="NKH42" s="1046">
        <f>NKH38+((NKH40+'NF - 5 Power Mix'!NKH14+'NF - 5 Power Mix'!NKH15)*860/10)+((('Form Sa1'!NKK835)*860)/10)+('Form Sa1'!NKK814*'Form Sa1'!NKK816/10)-'NF - 5 Power Mix'!NKH21-'NF - 5 Power Mix'!NKH22</f>
        <v>0</v>
      </c>
      <c r="NKI42" s="1046">
        <f>NKI38+((NKI40+'NF - 5 Power Mix'!NKI14+'NF - 5 Power Mix'!NKI15)*860/10)+((('Form Sa1'!NKL835)*860)/10)+('Form Sa1'!NKL814*'Form Sa1'!NKL816/10)-'NF - 5 Power Mix'!NKI21-'NF - 5 Power Mix'!NKI22</f>
        <v>0</v>
      </c>
      <c r="NKJ42" s="1046">
        <f>NKJ38+((NKJ40+'NF - 5 Power Mix'!NKJ14+'NF - 5 Power Mix'!NKJ15)*860/10)+((('Form Sa1'!NKM835)*860)/10)+('Form Sa1'!NKM814*'Form Sa1'!NKM816/10)-'NF - 5 Power Mix'!NKJ21-'NF - 5 Power Mix'!NKJ22</f>
        <v>0</v>
      </c>
      <c r="NKK42" s="1046">
        <f>NKK38+((NKK40+'NF - 5 Power Mix'!NKK14+'NF - 5 Power Mix'!NKK15)*860/10)+((('Form Sa1'!NKN835)*860)/10)+('Form Sa1'!NKN814*'Form Sa1'!NKN816/10)-'NF - 5 Power Mix'!NKK21-'NF - 5 Power Mix'!NKK22</f>
        <v>0</v>
      </c>
      <c r="NKL42" s="1046">
        <f>NKL38+((NKL40+'NF - 5 Power Mix'!NKL14+'NF - 5 Power Mix'!NKL15)*860/10)+((('Form Sa1'!NKO835)*860)/10)+('Form Sa1'!NKO814*'Form Sa1'!NKO816/10)-'NF - 5 Power Mix'!NKL21-'NF - 5 Power Mix'!NKL22</f>
        <v>0</v>
      </c>
      <c r="NKM42" s="1046">
        <f>NKM38+((NKM40+'NF - 5 Power Mix'!NKM14+'NF - 5 Power Mix'!NKM15)*860/10)+((('Form Sa1'!NKP835)*860)/10)+('Form Sa1'!NKP814*'Form Sa1'!NKP816/10)-'NF - 5 Power Mix'!NKM21-'NF - 5 Power Mix'!NKM22</f>
        <v>0</v>
      </c>
      <c r="NKN42" s="1046">
        <f>NKN38+((NKN40+'NF - 5 Power Mix'!NKN14+'NF - 5 Power Mix'!NKN15)*860/10)+((('Form Sa1'!NKQ835)*860)/10)+('Form Sa1'!NKQ814*'Form Sa1'!NKQ816/10)-'NF - 5 Power Mix'!NKN21-'NF - 5 Power Mix'!NKN22</f>
        <v>0</v>
      </c>
      <c r="NKO42" s="1046">
        <f>NKO38+((NKO40+'NF - 5 Power Mix'!NKO14+'NF - 5 Power Mix'!NKO15)*860/10)+((('Form Sa1'!NKR835)*860)/10)+('Form Sa1'!NKR814*'Form Sa1'!NKR816/10)-'NF - 5 Power Mix'!NKO21-'NF - 5 Power Mix'!NKO22</f>
        <v>0</v>
      </c>
      <c r="NKP42" s="1046">
        <f>NKP38+((NKP40+'NF - 5 Power Mix'!NKP14+'NF - 5 Power Mix'!NKP15)*860/10)+((('Form Sa1'!NKS835)*860)/10)+('Form Sa1'!NKS814*'Form Sa1'!NKS816/10)-'NF - 5 Power Mix'!NKP21-'NF - 5 Power Mix'!NKP22</f>
        <v>0</v>
      </c>
      <c r="NKQ42" s="1046">
        <f>NKQ38+((NKQ40+'NF - 5 Power Mix'!NKQ14+'NF - 5 Power Mix'!NKQ15)*860/10)+((('Form Sa1'!NKT835)*860)/10)+('Form Sa1'!NKT814*'Form Sa1'!NKT816/10)-'NF - 5 Power Mix'!NKQ21-'NF - 5 Power Mix'!NKQ22</f>
        <v>0</v>
      </c>
      <c r="NKR42" s="1046">
        <f>NKR38+((NKR40+'NF - 5 Power Mix'!NKR14+'NF - 5 Power Mix'!NKR15)*860/10)+((('Form Sa1'!NKU835)*860)/10)+('Form Sa1'!NKU814*'Form Sa1'!NKU816/10)-'NF - 5 Power Mix'!NKR21-'NF - 5 Power Mix'!NKR22</f>
        <v>0</v>
      </c>
      <c r="NKS42" s="1046">
        <f>NKS38+((NKS40+'NF - 5 Power Mix'!NKS14+'NF - 5 Power Mix'!NKS15)*860/10)+((('Form Sa1'!NKV835)*860)/10)+('Form Sa1'!NKV814*'Form Sa1'!NKV816/10)-'NF - 5 Power Mix'!NKS21-'NF - 5 Power Mix'!NKS22</f>
        <v>0</v>
      </c>
      <c r="NKT42" s="1046">
        <f>NKT38+((NKT40+'NF - 5 Power Mix'!NKT14+'NF - 5 Power Mix'!NKT15)*860/10)+((('Form Sa1'!NKW835)*860)/10)+('Form Sa1'!NKW814*'Form Sa1'!NKW816/10)-'NF - 5 Power Mix'!NKT21-'NF - 5 Power Mix'!NKT22</f>
        <v>0</v>
      </c>
      <c r="NKU42" s="1046">
        <f>NKU38+((NKU40+'NF - 5 Power Mix'!NKU14+'NF - 5 Power Mix'!NKU15)*860/10)+((('Form Sa1'!NKX835)*860)/10)+('Form Sa1'!NKX814*'Form Sa1'!NKX816/10)-'NF - 5 Power Mix'!NKU21-'NF - 5 Power Mix'!NKU22</f>
        <v>0</v>
      </c>
      <c r="NKV42" s="1046">
        <f>NKV38+((NKV40+'NF - 5 Power Mix'!NKV14+'NF - 5 Power Mix'!NKV15)*860/10)+((('Form Sa1'!NKY835)*860)/10)+('Form Sa1'!NKY814*'Form Sa1'!NKY816/10)-'NF - 5 Power Mix'!NKV21-'NF - 5 Power Mix'!NKV22</f>
        <v>0</v>
      </c>
      <c r="NKW42" s="1046">
        <f>NKW38+((NKW40+'NF - 5 Power Mix'!NKW14+'NF - 5 Power Mix'!NKW15)*860/10)+((('Form Sa1'!NKZ835)*860)/10)+('Form Sa1'!NKZ814*'Form Sa1'!NKZ816/10)-'NF - 5 Power Mix'!NKW21-'NF - 5 Power Mix'!NKW22</f>
        <v>0</v>
      </c>
      <c r="NKX42" s="1046">
        <f>NKX38+((NKX40+'NF - 5 Power Mix'!NKX14+'NF - 5 Power Mix'!NKX15)*860/10)+((('Form Sa1'!NLA835)*860)/10)+('Form Sa1'!NLA814*'Form Sa1'!NLA816/10)-'NF - 5 Power Mix'!NKX21-'NF - 5 Power Mix'!NKX22</f>
        <v>0</v>
      </c>
      <c r="NKY42" s="1046">
        <f>NKY38+((NKY40+'NF - 5 Power Mix'!NKY14+'NF - 5 Power Mix'!NKY15)*860/10)+((('Form Sa1'!NLB835)*860)/10)+('Form Sa1'!NLB814*'Form Sa1'!NLB816/10)-'NF - 5 Power Mix'!NKY21-'NF - 5 Power Mix'!NKY22</f>
        <v>0</v>
      </c>
      <c r="NKZ42" s="1046">
        <f>NKZ38+((NKZ40+'NF - 5 Power Mix'!NKZ14+'NF - 5 Power Mix'!NKZ15)*860/10)+((('Form Sa1'!NLC835)*860)/10)+('Form Sa1'!NLC814*'Form Sa1'!NLC816/10)-'NF - 5 Power Mix'!NKZ21-'NF - 5 Power Mix'!NKZ22</f>
        <v>0</v>
      </c>
      <c r="NLA42" s="1046">
        <f>NLA38+((NLA40+'NF - 5 Power Mix'!NLA14+'NF - 5 Power Mix'!NLA15)*860/10)+((('Form Sa1'!NLD835)*860)/10)+('Form Sa1'!NLD814*'Form Sa1'!NLD816/10)-'NF - 5 Power Mix'!NLA21-'NF - 5 Power Mix'!NLA22</f>
        <v>0</v>
      </c>
      <c r="NLB42" s="1046">
        <f>NLB38+((NLB40+'NF - 5 Power Mix'!NLB14+'NF - 5 Power Mix'!NLB15)*860/10)+((('Form Sa1'!NLE835)*860)/10)+('Form Sa1'!NLE814*'Form Sa1'!NLE816/10)-'NF - 5 Power Mix'!NLB21-'NF - 5 Power Mix'!NLB22</f>
        <v>0</v>
      </c>
      <c r="NLC42" s="1046">
        <f>NLC38+((NLC40+'NF - 5 Power Mix'!NLC14+'NF - 5 Power Mix'!NLC15)*860/10)+((('Form Sa1'!NLF835)*860)/10)+('Form Sa1'!NLF814*'Form Sa1'!NLF816/10)-'NF - 5 Power Mix'!NLC21-'NF - 5 Power Mix'!NLC22</f>
        <v>0</v>
      </c>
      <c r="NLD42" s="1046">
        <f>NLD38+((NLD40+'NF - 5 Power Mix'!NLD14+'NF - 5 Power Mix'!NLD15)*860/10)+((('Form Sa1'!NLG835)*860)/10)+('Form Sa1'!NLG814*'Form Sa1'!NLG816/10)-'NF - 5 Power Mix'!NLD21-'NF - 5 Power Mix'!NLD22</f>
        <v>0</v>
      </c>
      <c r="NLE42" s="1046">
        <f>NLE38+((NLE40+'NF - 5 Power Mix'!NLE14+'NF - 5 Power Mix'!NLE15)*860/10)+((('Form Sa1'!NLH835)*860)/10)+('Form Sa1'!NLH814*'Form Sa1'!NLH816/10)-'NF - 5 Power Mix'!NLE21-'NF - 5 Power Mix'!NLE22</f>
        <v>0</v>
      </c>
      <c r="NLF42" s="1046">
        <f>NLF38+((NLF40+'NF - 5 Power Mix'!NLF14+'NF - 5 Power Mix'!NLF15)*860/10)+((('Form Sa1'!NLI835)*860)/10)+('Form Sa1'!NLI814*'Form Sa1'!NLI816/10)-'NF - 5 Power Mix'!NLF21-'NF - 5 Power Mix'!NLF22</f>
        <v>0</v>
      </c>
      <c r="NLG42" s="1046">
        <f>NLG38+((NLG40+'NF - 5 Power Mix'!NLG14+'NF - 5 Power Mix'!NLG15)*860/10)+((('Form Sa1'!NLJ835)*860)/10)+('Form Sa1'!NLJ814*'Form Sa1'!NLJ816/10)-'NF - 5 Power Mix'!NLG21-'NF - 5 Power Mix'!NLG22</f>
        <v>0</v>
      </c>
      <c r="NLH42" s="1046">
        <f>NLH38+((NLH40+'NF - 5 Power Mix'!NLH14+'NF - 5 Power Mix'!NLH15)*860/10)+((('Form Sa1'!NLK835)*860)/10)+('Form Sa1'!NLK814*'Form Sa1'!NLK816/10)-'NF - 5 Power Mix'!NLH21-'NF - 5 Power Mix'!NLH22</f>
        <v>0</v>
      </c>
      <c r="NLI42" s="1046">
        <f>NLI38+((NLI40+'NF - 5 Power Mix'!NLI14+'NF - 5 Power Mix'!NLI15)*860/10)+((('Form Sa1'!NLL835)*860)/10)+('Form Sa1'!NLL814*'Form Sa1'!NLL816/10)-'NF - 5 Power Mix'!NLI21-'NF - 5 Power Mix'!NLI22</f>
        <v>0</v>
      </c>
      <c r="NLJ42" s="1046">
        <f>NLJ38+((NLJ40+'NF - 5 Power Mix'!NLJ14+'NF - 5 Power Mix'!NLJ15)*860/10)+((('Form Sa1'!NLM835)*860)/10)+('Form Sa1'!NLM814*'Form Sa1'!NLM816/10)-'NF - 5 Power Mix'!NLJ21-'NF - 5 Power Mix'!NLJ22</f>
        <v>0</v>
      </c>
      <c r="NLK42" s="1046">
        <f>NLK38+((NLK40+'NF - 5 Power Mix'!NLK14+'NF - 5 Power Mix'!NLK15)*860/10)+((('Form Sa1'!NLN835)*860)/10)+('Form Sa1'!NLN814*'Form Sa1'!NLN816/10)-'NF - 5 Power Mix'!NLK21-'NF - 5 Power Mix'!NLK22</f>
        <v>0</v>
      </c>
      <c r="NLL42" s="1046">
        <f>NLL38+((NLL40+'NF - 5 Power Mix'!NLL14+'NF - 5 Power Mix'!NLL15)*860/10)+((('Form Sa1'!NLO835)*860)/10)+('Form Sa1'!NLO814*'Form Sa1'!NLO816/10)-'NF - 5 Power Mix'!NLL21-'NF - 5 Power Mix'!NLL22</f>
        <v>0</v>
      </c>
      <c r="NLM42" s="1046">
        <f>NLM38+((NLM40+'NF - 5 Power Mix'!NLM14+'NF - 5 Power Mix'!NLM15)*860/10)+((('Form Sa1'!NLP835)*860)/10)+('Form Sa1'!NLP814*'Form Sa1'!NLP816/10)-'NF - 5 Power Mix'!NLM21-'NF - 5 Power Mix'!NLM22</f>
        <v>0</v>
      </c>
      <c r="NLN42" s="1046">
        <f>NLN38+((NLN40+'NF - 5 Power Mix'!NLN14+'NF - 5 Power Mix'!NLN15)*860/10)+((('Form Sa1'!NLQ835)*860)/10)+('Form Sa1'!NLQ814*'Form Sa1'!NLQ816/10)-'NF - 5 Power Mix'!NLN21-'NF - 5 Power Mix'!NLN22</f>
        <v>0</v>
      </c>
      <c r="NLO42" s="1046">
        <f>NLO38+((NLO40+'NF - 5 Power Mix'!NLO14+'NF - 5 Power Mix'!NLO15)*860/10)+((('Form Sa1'!NLR835)*860)/10)+('Form Sa1'!NLR814*'Form Sa1'!NLR816/10)-'NF - 5 Power Mix'!NLO21-'NF - 5 Power Mix'!NLO22</f>
        <v>0</v>
      </c>
      <c r="NLP42" s="1046">
        <f>NLP38+((NLP40+'NF - 5 Power Mix'!NLP14+'NF - 5 Power Mix'!NLP15)*860/10)+((('Form Sa1'!NLS835)*860)/10)+('Form Sa1'!NLS814*'Form Sa1'!NLS816/10)-'NF - 5 Power Mix'!NLP21-'NF - 5 Power Mix'!NLP22</f>
        <v>0</v>
      </c>
      <c r="NLQ42" s="1046">
        <f>NLQ38+((NLQ40+'NF - 5 Power Mix'!NLQ14+'NF - 5 Power Mix'!NLQ15)*860/10)+((('Form Sa1'!NLT835)*860)/10)+('Form Sa1'!NLT814*'Form Sa1'!NLT816/10)-'NF - 5 Power Mix'!NLQ21-'NF - 5 Power Mix'!NLQ22</f>
        <v>0</v>
      </c>
      <c r="NLR42" s="1046">
        <f>NLR38+((NLR40+'NF - 5 Power Mix'!NLR14+'NF - 5 Power Mix'!NLR15)*860/10)+((('Form Sa1'!NLU835)*860)/10)+('Form Sa1'!NLU814*'Form Sa1'!NLU816/10)-'NF - 5 Power Mix'!NLR21-'NF - 5 Power Mix'!NLR22</f>
        <v>0</v>
      </c>
      <c r="NLS42" s="1046">
        <f>NLS38+((NLS40+'NF - 5 Power Mix'!NLS14+'NF - 5 Power Mix'!NLS15)*860/10)+((('Form Sa1'!NLV835)*860)/10)+('Form Sa1'!NLV814*'Form Sa1'!NLV816/10)-'NF - 5 Power Mix'!NLS21-'NF - 5 Power Mix'!NLS22</f>
        <v>0</v>
      </c>
      <c r="NLT42" s="1046">
        <f>NLT38+((NLT40+'NF - 5 Power Mix'!NLT14+'NF - 5 Power Mix'!NLT15)*860/10)+((('Form Sa1'!NLW835)*860)/10)+('Form Sa1'!NLW814*'Form Sa1'!NLW816/10)-'NF - 5 Power Mix'!NLT21-'NF - 5 Power Mix'!NLT22</f>
        <v>0</v>
      </c>
      <c r="NLU42" s="1046">
        <f>NLU38+((NLU40+'NF - 5 Power Mix'!NLU14+'NF - 5 Power Mix'!NLU15)*860/10)+((('Form Sa1'!NLX835)*860)/10)+('Form Sa1'!NLX814*'Form Sa1'!NLX816/10)-'NF - 5 Power Mix'!NLU21-'NF - 5 Power Mix'!NLU22</f>
        <v>0</v>
      </c>
      <c r="NLV42" s="1046">
        <f>NLV38+((NLV40+'NF - 5 Power Mix'!NLV14+'NF - 5 Power Mix'!NLV15)*860/10)+((('Form Sa1'!NLY835)*860)/10)+('Form Sa1'!NLY814*'Form Sa1'!NLY816/10)-'NF - 5 Power Mix'!NLV21-'NF - 5 Power Mix'!NLV22</f>
        <v>0</v>
      </c>
      <c r="NLW42" s="1046">
        <f>NLW38+((NLW40+'NF - 5 Power Mix'!NLW14+'NF - 5 Power Mix'!NLW15)*860/10)+((('Form Sa1'!NLZ835)*860)/10)+('Form Sa1'!NLZ814*'Form Sa1'!NLZ816/10)-'NF - 5 Power Mix'!NLW21-'NF - 5 Power Mix'!NLW22</f>
        <v>0</v>
      </c>
      <c r="NLX42" s="1046">
        <f>NLX38+((NLX40+'NF - 5 Power Mix'!NLX14+'NF - 5 Power Mix'!NLX15)*860/10)+((('Form Sa1'!NMA835)*860)/10)+('Form Sa1'!NMA814*'Form Sa1'!NMA816/10)-'NF - 5 Power Mix'!NLX21-'NF - 5 Power Mix'!NLX22</f>
        <v>0</v>
      </c>
      <c r="NLY42" s="1046">
        <f>NLY38+((NLY40+'NF - 5 Power Mix'!NLY14+'NF - 5 Power Mix'!NLY15)*860/10)+((('Form Sa1'!NMB835)*860)/10)+('Form Sa1'!NMB814*'Form Sa1'!NMB816/10)-'NF - 5 Power Mix'!NLY21-'NF - 5 Power Mix'!NLY22</f>
        <v>0</v>
      </c>
      <c r="NLZ42" s="1046">
        <f>NLZ38+((NLZ40+'NF - 5 Power Mix'!NLZ14+'NF - 5 Power Mix'!NLZ15)*860/10)+((('Form Sa1'!NMC835)*860)/10)+('Form Sa1'!NMC814*'Form Sa1'!NMC816/10)-'NF - 5 Power Mix'!NLZ21-'NF - 5 Power Mix'!NLZ22</f>
        <v>0</v>
      </c>
      <c r="NMA42" s="1046">
        <f>NMA38+((NMA40+'NF - 5 Power Mix'!NMA14+'NF - 5 Power Mix'!NMA15)*860/10)+((('Form Sa1'!NMD835)*860)/10)+('Form Sa1'!NMD814*'Form Sa1'!NMD816/10)-'NF - 5 Power Mix'!NMA21-'NF - 5 Power Mix'!NMA22</f>
        <v>0</v>
      </c>
      <c r="NMB42" s="1046">
        <f>NMB38+((NMB40+'NF - 5 Power Mix'!NMB14+'NF - 5 Power Mix'!NMB15)*860/10)+((('Form Sa1'!NME835)*860)/10)+('Form Sa1'!NME814*'Form Sa1'!NME816/10)-'NF - 5 Power Mix'!NMB21-'NF - 5 Power Mix'!NMB22</f>
        <v>0</v>
      </c>
      <c r="NMC42" s="1046">
        <f>NMC38+((NMC40+'NF - 5 Power Mix'!NMC14+'NF - 5 Power Mix'!NMC15)*860/10)+((('Form Sa1'!NMF835)*860)/10)+('Form Sa1'!NMF814*'Form Sa1'!NMF816/10)-'NF - 5 Power Mix'!NMC21-'NF - 5 Power Mix'!NMC22</f>
        <v>0</v>
      </c>
      <c r="NMD42" s="1046">
        <f>NMD38+((NMD40+'NF - 5 Power Mix'!NMD14+'NF - 5 Power Mix'!NMD15)*860/10)+((('Form Sa1'!NMG835)*860)/10)+('Form Sa1'!NMG814*'Form Sa1'!NMG816/10)-'NF - 5 Power Mix'!NMD21-'NF - 5 Power Mix'!NMD22</f>
        <v>0</v>
      </c>
      <c r="NME42" s="1046">
        <f>NME38+((NME40+'NF - 5 Power Mix'!NME14+'NF - 5 Power Mix'!NME15)*860/10)+((('Form Sa1'!NMH835)*860)/10)+('Form Sa1'!NMH814*'Form Sa1'!NMH816/10)-'NF - 5 Power Mix'!NME21-'NF - 5 Power Mix'!NME22</f>
        <v>0</v>
      </c>
      <c r="NMF42" s="1046">
        <f>NMF38+((NMF40+'NF - 5 Power Mix'!NMF14+'NF - 5 Power Mix'!NMF15)*860/10)+((('Form Sa1'!NMI835)*860)/10)+('Form Sa1'!NMI814*'Form Sa1'!NMI816/10)-'NF - 5 Power Mix'!NMF21-'NF - 5 Power Mix'!NMF22</f>
        <v>0</v>
      </c>
      <c r="NMG42" s="1046">
        <f>NMG38+((NMG40+'NF - 5 Power Mix'!NMG14+'NF - 5 Power Mix'!NMG15)*860/10)+((('Form Sa1'!NMJ835)*860)/10)+('Form Sa1'!NMJ814*'Form Sa1'!NMJ816/10)-'NF - 5 Power Mix'!NMG21-'NF - 5 Power Mix'!NMG22</f>
        <v>0</v>
      </c>
      <c r="NMH42" s="1046">
        <f>NMH38+((NMH40+'NF - 5 Power Mix'!NMH14+'NF - 5 Power Mix'!NMH15)*860/10)+((('Form Sa1'!NMK835)*860)/10)+('Form Sa1'!NMK814*'Form Sa1'!NMK816/10)-'NF - 5 Power Mix'!NMH21-'NF - 5 Power Mix'!NMH22</f>
        <v>0</v>
      </c>
      <c r="NMI42" s="1046">
        <f>NMI38+((NMI40+'NF - 5 Power Mix'!NMI14+'NF - 5 Power Mix'!NMI15)*860/10)+((('Form Sa1'!NML835)*860)/10)+('Form Sa1'!NML814*'Form Sa1'!NML816/10)-'NF - 5 Power Mix'!NMI21-'NF - 5 Power Mix'!NMI22</f>
        <v>0</v>
      </c>
      <c r="NMJ42" s="1046">
        <f>NMJ38+((NMJ40+'NF - 5 Power Mix'!NMJ14+'NF - 5 Power Mix'!NMJ15)*860/10)+((('Form Sa1'!NMM835)*860)/10)+('Form Sa1'!NMM814*'Form Sa1'!NMM816/10)-'NF - 5 Power Mix'!NMJ21-'NF - 5 Power Mix'!NMJ22</f>
        <v>0</v>
      </c>
      <c r="NMK42" s="1046">
        <f>NMK38+((NMK40+'NF - 5 Power Mix'!NMK14+'NF - 5 Power Mix'!NMK15)*860/10)+((('Form Sa1'!NMN835)*860)/10)+('Form Sa1'!NMN814*'Form Sa1'!NMN816/10)-'NF - 5 Power Mix'!NMK21-'NF - 5 Power Mix'!NMK22</f>
        <v>0</v>
      </c>
      <c r="NML42" s="1046">
        <f>NML38+((NML40+'NF - 5 Power Mix'!NML14+'NF - 5 Power Mix'!NML15)*860/10)+((('Form Sa1'!NMO835)*860)/10)+('Form Sa1'!NMO814*'Form Sa1'!NMO816/10)-'NF - 5 Power Mix'!NML21-'NF - 5 Power Mix'!NML22</f>
        <v>0</v>
      </c>
      <c r="NMM42" s="1046">
        <f>NMM38+((NMM40+'NF - 5 Power Mix'!NMM14+'NF - 5 Power Mix'!NMM15)*860/10)+((('Form Sa1'!NMP835)*860)/10)+('Form Sa1'!NMP814*'Form Sa1'!NMP816/10)-'NF - 5 Power Mix'!NMM21-'NF - 5 Power Mix'!NMM22</f>
        <v>0</v>
      </c>
      <c r="NMN42" s="1046">
        <f>NMN38+((NMN40+'NF - 5 Power Mix'!NMN14+'NF - 5 Power Mix'!NMN15)*860/10)+((('Form Sa1'!NMQ835)*860)/10)+('Form Sa1'!NMQ814*'Form Sa1'!NMQ816/10)-'NF - 5 Power Mix'!NMN21-'NF - 5 Power Mix'!NMN22</f>
        <v>0</v>
      </c>
      <c r="NMO42" s="1046">
        <f>NMO38+((NMO40+'NF - 5 Power Mix'!NMO14+'NF - 5 Power Mix'!NMO15)*860/10)+((('Form Sa1'!NMR835)*860)/10)+('Form Sa1'!NMR814*'Form Sa1'!NMR816/10)-'NF - 5 Power Mix'!NMO21-'NF - 5 Power Mix'!NMO22</f>
        <v>0</v>
      </c>
      <c r="NMP42" s="1046">
        <f>NMP38+((NMP40+'NF - 5 Power Mix'!NMP14+'NF - 5 Power Mix'!NMP15)*860/10)+((('Form Sa1'!NMS835)*860)/10)+('Form Sa1'!NMS814*'Form Sa1'!NMS816/10)-'NF - 5 Power Mix'!NMP21-'NF - 5 Power Mix'!NMP22</f>
        <v>0</v>
      </c>
      <c r="NMQ42" s="1046">
        <f>NMQ38+((NMQ40+'NF - 5 Power Mix'!NMQ14+'NF - 5 Power Mix'!NMQ15)*860/10)+((('Form Sa1'!NMT835)*860)/10)+('Form Sa1'!NMT814*'Form Sa1'!NMT816/10)-'NF - 5 Power Mix'!NMQ21-'NF - 5 Power Mix'!NMQ22</f>
        <v>0</v>
      </c>
      <c r="NMR42" s="1046">
        <f>NMR38+((NMR40+'NF - 5 Power Mix'!NMR14+'NF - 5 Power Mix'!NMR15)*860/10)+((('Form Sa1'!NMU835)*860)/10)+('Form Sa1'!NMU814*'Form Sa1'!NMU816/10)-'NF - 5 Power Mix'!NMR21-'NF - 5 Power Mix'!NMR22</f>
        <v>0</v>
      </c>
      <c r="NMS42" s="1046">
        <f>NMS38+((NMS40+'NF - 5 Power Mix'!NMS14+'NF - 5 Power Mix'!NMS15)*860/10)+((('Form Sa1'!NMV835)*860)/10)+('Form Sa1'!NMV814*'Form Sa1'!NMV816/10)-'NF - 5 Power Mix'!NMS21-'NF - 5 Power Mix'!NMS22</f>
        <v>0</v>
      </c>
      <c r="NMT42" s="1046">
        <f>NMT38+((NMT40+'NF - 5 Power Mix'!NMT14+'NF - 5 Power Mix'!NMT15)*860/10)+((('Form Sa1'!NMW835)*860)/10)+('Form Sa1'!NMW814*'Form Sa1'!NMW816/10)-'NF - 5 Power Mix'!NMT21-'NF - 5 Power Mix'!NMT22</f>
        <v>0</v>
      </c>
      <c r="NMU42" s="1046">
        <f>NMU38+((NMU40+'NF - 5 Power Mix'!NMU14+'NF - 5 Power Mix'!NMU15)*860/10)+((('Form Sa1'!NMX835)*860)/10)+('Form Sa1'!NMX814*'Form Sa1'!NMX816/10)-'NF - 5 Power Mix'!NMU21-'NF - 5 Power Mix'!NMU22</f>
        <v>0</v>
      </c>
      <c r="NMV42" s="1046">
        <f>NMV38+((NMV40+'NF - 5 Power Mix'!NMV14+'NF - 5 Power Mix'!NMV15)*860/10)+((('Form Sa1'!NMY835)*860)/10)+('Form Sa1'!NMY814*'Form Sa1'!NMY816/10)-'NF - 5 Power Mix'!NMV21-'NF - 5 Power Mix'!NMV22</f>
        <v>0</v>
      </c>
      <c r="NMW42" s="1046">
        <f>NMW38+((NMW40+'NF - 5 Power Mix'!NMW14+'NF - 5 Power Mix'!NMW15)*860/10)+((('Form Sa1'!NMZ835)*860)/10)+('Form Sa1'!NMZ814*'Form Sa1'!NMZ816/10)-'NF - 5 Power Mix'!NMW21-'NF - 5 Power Mix'!NMW22</f>
        <v>0</v>
      </c>
      <c r="NMX42" s="1046">
        <f>NMX38+((NMX40+'NF - 5 Power Mix'!NMX14+'NF - 5 Power Mix'!NMX15)*860/10)+((('Form Sa1'!NNA835)*860)/10)+('Form Sa1'!NNA814*'Form Sa1'!NNA816/10)-'NF - 5 Power Mix'!NMX21-'NF - 5 Power Mix'!NMX22</f>
        <v>0</v>
      </c>
      <c r="NMY42" s="1046">
        <f>NMY38+((NMY40+'NF - 5 Power Mix'!NMY14+'NF - 5 Power Mix'!NMY15)*860/10)+((('Form Sa1'!NNB835)*860)/10)+('Form Sa1'!NNB814*'Form Sa1'!NNB816/10)-'NF - 5 Power Mix'!NMY21-'NF - 5 Power Mix'!NMY22</f>
        <v>0</v>
      </c>
      <c r="NMZ42" s="1046">
        <f>NMZ38+((NMZ40+'NF - 5 Power Mix'!NMZ14+'NF - 5 Power Mix'!NMZ15)*860/10)+((('Form Sa1'!NNC835)*860)/10)+('Form Sa1'!NNC814*'Form Sa1'!NNC816/10)-'NF - 5 Power Mix'!NMZ21-'NF - 5 Power Mix'!NMZ22</f>
        <v>0</v>
      </c>
      <c r="NNA42" s="1046">
        <f>NNA38+((NNA40+'NF - 5 Power Mix'!NNA14+'NF - 5 Power Mix'!NNA15)*860/10)+((('Form Sa1'!NND835)*860)/10)+('Form Sa1'!NND814*'Form Sa1'!NND816/10)-'NF - 5 Power Mix'!NNA21-'NF - 5 Power Mix'!NNA22</f>
        <v>0</v>
      </c>
      <c r="NNB42" s="1046">
        <f>NNB38+((NNB40+'NF - 5 Power Mix'!NNB14+'NF - 5 Power Mix'!NNB15)*860/10)+((('Form Sa1'!NNE835)*860)/10)+('Form Sa1'!NNE814*'Form Sa1'!NNE816/10)-'NF - 5 Power Mix'!NNB21-'NF - 5 Power Mix'!NNB22</f>
        <v>0</v>
      </c>
      <c r="NNC42" s="1046">
        <f>NNC38+((NNC40+'NF - 5 Power Mix'!NNC14+'NF - 5 Power Mix'!NNC15)*860/10)+((('Form Sa1'!NNF835)*860)/10)+('Form Sa1'!NNF814*'Form Sa1'!NNF816/10)-'NF - 5 Power Mix'!NNC21-'NF - 5 Power Mix'!NNC22</f>
        <v>0</v>
      </c>
      <c r="NND42" s="1046">
        <f>NND38+((NND40+'NF - 5 Power Mix'!NND14+'NF - 5 Power Mix'!NND15)*860/10)+((('Form Sa1'!NNG835)*860)/10)+('Form Sa1'!NNG814*'Form Sa1'!NNG816/10)-'NF - 5 Power Mix'!NND21-'NF - 5 Power Mix'!NND22</f>
        <v>0</v>
      </c>
      <c r="NNE42" s="1046">
        <f>NNE38+((NNE40+'NF - 5 Power Mix'!NNE14+'NF - 5 Power Mix'!NNE15)*860/10)+((('Form Sa1'!NNH835)*860)/10)+('Form Sa1'!NNH814*'Form Sa1'!NNH816/10)-'NF - 5 Power Mix'!NNE21-'NF - 5 Power Mix'!NNE22</f>
        <v>0</v>
      </c>
      <c r="NNF42" s="1046">
        <f>NNF38+((NNF40+'NF - 5 Power Mix'!NNF14+'NF - 5 Power Mix'!NNF15)*860/10)+((('Form Sa1'!NNI835)*860)/10)+('Form Sa1'!NNI814*'Form Sa1'!NNI816/10)-'NF - 5 Power Mix'!NNF21-'NF - 5 Power Mix'!NNF22</f>
        <v>0</v>
      </c>
      <c r="NNG42" s="1046">
        <f>NNG38+((NNG40+'NF - 5 Power Mix'!NNG14+'NF - 5 Power Mix'!NNG15)*860/10)+((('Form Sa1'!NNJ835)*860)/10)+('Form Sa1'!NNJ814*'Form Sa1'!NNJ816/10)-'NF - 5 Power Mix'!NNG21-'NF - 5 Power Mix'!NNG22</f>
        <v>0</v>
      </c>
      <c r="NNH42" s="1046">
        <f>NNH38+((NNH40+'NF - 5 Power Mix'!NNH14+'NF - 5 Power Mix'!NNH15)*860/10)+((('Form Sa1'!NNK835)*860)/10)+('Form Sa1'!NNK814*'Form Sa1'!NNK816/10)-'NF - 5 Power Mix'!NNH21-'NF - 5 Power Mix'!NNH22</f>
        <v>0</v>
      </c>
      <c r="NNI42" s="1046">
        <f>NNI38+((NNI40+'NF - 5 Power Mix'!NNI14+'NF - 5 Power Mix'!NNI15)*860/10)+((('Form Sa1'!NNL835)*860)/10)+('Form Sa1'!NNL814*'Form Sa1'!NNL816/10)-'NF - 5 Power Mix'!NNI21-'NF - 5 Power Mix'!NNI22</f>
        <v>0</v>
      </c>
      <c r="NNJ42" s="1046">
        <f>NNJ38+((NNJ40+'NF - 5 Power Mix'!NNJ14+'NF - 5 Power Mix'!NNJ15)*860/10)+((('Form Sa1'!NNM835)*860)/10)+('Form Sa1'!NNM814*'Form Sa1'!NNM816/10)-'NF - 5 Power Mix'!NNJ21-'NF - 5 Power Mix'!NNJ22</f>
        <v>0</v>
      </c>
      <c r="NNK42" s="1046">
        <f>NNK38+((NNK40+'NF - 5 Power Mix'!NNK14+'NF - 5 Power Mix'!NNK15)*860/10)+((('Form Sa1'!NNN835)*860)/10)+('Form Sa1'!NNN814*'Form Sa1'!NNN816/10)-'NF - 5 Power Mix'!NNK21-'NF - 5 Power Mix'!NNK22</f>
        <v>0</v>
      </c>
      <c r="NNL42" s="1046">
        <f>NNL38+((NNL40+'NF - 5 Power Mix'!NNL14+'NF - 5 Power Mix'!NNL15)*860/10)+((('Form Sa1'!NNO835)*860)/10)+('Form Sa1'!NNO814*'Form Sa1'!NNO816/10)-'NF - 5 Power Mix'!NNL21-'NF - 5 Power Mix'!NNL22</f>
        <v>0</v>
      </c>
      <c r="NNM42" s="1046">
        <f>NNM38+((NNM40+'NF - 5 Power Mix'!NNM14+'NF - 5 Power Mix'!NNM15)*860/10)+((('Form Sa1'!NNP835)*860)/10)+('Form Sa1'!NNP814*'Form Sa1'!NNP816/10)-'NF - 5 Power Mix'!NNM21-'NF - 5 Power Mix'!NNM22</f>
        <v>0</v>
      </c>
      <c r="NNN42" s="1046">
        <f>NNN38+((NNN40+'NF - 5 Power Mix'!NNN14+'NF - 5 Power Mix'!NNN15)*860/10)+((('Form Sa1'!NNQ835)*860)/10)+('Form Sa1'!NNQ814*'Form Sa1'!NNQ816/10)-'NF - 5 Power Mix'!NNN21-'NF - 5 Power Mix'!NNN22</f>
        <v>0</v>
      </c>
      <c r="NNO42" s="1046">
        <f>NNO38+((NNO40+'NF - 5 Power Mix'!NNO14+'NF - 5 Power Mix'!NNO15)*860/10)+((('Form Sa1'!NNR835)*860)/10)+('Form Sa1'!NNR814*'Form Sa1'!NNR816/10)-'NF - 5 Power Mix'!NNO21-'NF - 5 Power Mix'!NNO22</f>
        <v>0</v>
      </c>
      <c r="NNP42" s="1046">
        <f>NNP38+((NNP40+'NF - 5 Power Mix'!NNP14+'NF - 5 Power Mix'!NNP15)*860/10)+((('Form Sa1'!NNS835)*860)/10)+('Form Sa1'!NNS814*'Form Sa1'!NNS816/10)-'NF - 5 Power Mix'!NNP21-'NF - 5 Power Mix'!NNP22</f>
        <v>0</v>
      </c>
      <c r="NNQ42" s="1046">
        <f>NNQ38+((NNQ40+'NF - 5 Power Mix'!NNQ14+'NF - 5 Power Mix'!NNQ15)*860/10)+((('Form Sa1'!NNT835)*860)/10)+('Form Sa1'!NNT814*'Form Sa1'!NNT816/10)-'NF - 5 Power Mix'!NNQ21-'NF - 5 Power Mix'!NNQ22</f>
        <v>0</v>
      </c>
      <c r="NNR42" s="1046">
        <f>NNR38+((NNR40+'NF - 5 Power Mix'!NNR14+'NF - 5 Power Mix'!NNR15)*860/10)+((('Form Sa1'!NNU835)*860)/10)+('Form Sa1'!NNU814*'Form Sa1'!NNU816/10)-'NF - 5 Power Mix'!NNR21-'NF - 5 Power Mix'!NNR22</f>
        <v>0</v>
      </c>
      <c r="NNS42" s="1046">
        <f>NNS38+((NNS40+'NF - 5 Power Mix'!NNS14+'NF - 5 Power Mix'!NNS15)*860/10)+((('Form Sa1'!NNV835)*860)/10)+('Form Sa1'!NNV814*'Form Sa1'!NNV816/10)-'NF - 5 Power Mix'!NNS21-'NF - 5 Power Mix'!NNS22</f>
        <v>0</v>
      </c>
      <c r="NNT42" s="1046">
        <f>NNT38+((NNT40+'NF - 5 Power Mix'!NNT14+'NF - 5 Power Mix'!NNT15)*860/10)+((('Form Sa1'!NNW835)*860)/10)+('Form Sa1'!NNW814*'Form Sa1'!NNW816/10)-'NF - 5 Power Mix'!NNT21-'NF - 5 Power Mix'!NNT22</f>
        <v>0</v>
      </c>
      <c r="NNU42" s="1046">
        <f>NNU38+((NNU40+'NF - 5 Power Mix'!NNU14+'NF - 5 Power Mix'!NNU15)*860/10)+((('Form Sa1'!NNX835)*860)/10)+('Form Sa1'!NNX814*'Form Sa1'!NNX816/10)-'NF - 5 Power Mix'!NNU21-'NF - 5 Power Mix'!NNU22</f>
        <v>0</v>
      </c>
      <c r="NNV42" s="1046">
        <f>NNV38+((NNV40+'NF - 5 Power Mix'!NNV14+'NF - 5 Power Mix'!NNV15)*860/10)+((('Form Sa1'!NNY835)*860)/10)+('Form Sa1'!NNY814*'Form Sa1'!NNY816/10)-'NF - 5 Power Mix'!NNV21-'NF - 5 Power Mix'!NNV22</f>
        <v>0</v>
      </c>
      <c r="NNW42" s="1046">
        <f>NNW38+((NNW40+'NF - 5 Power Mix'!NNW14+'NF - 5 Power Mix'!NNW15)*860/10)+((('Form Sa1'!NNZ835)*860)/10)+('Form Sa1'!NNZ814*'Form Sa1'!NNZ816/10)-'NF - 5 Power Mix'!NNW21-'NF - 5 Power Mix'!NNW22</f>
        <v>0</v>
      </c>
      <c r="NNX42" s="1046">
        <f>NNX38+((NNX40+'NF - 5 Power Mix'!NNX14+'NF - 5 Power Mix'!NNX15)*860/10)+((('Form Sa1'!NOA835)*860)/10)+('Form Sa1'!NOA814*'Form Sa1'!NOA816/10)-'NF - 5 Power Mix'!NNX21-'NF - 5 Power Mix'!NNX22</f>
        <v>0</v>
      </c>
      <c r="NNY42" s="1046">
        <f>NNY38+((NNY40+'NF - 5 Power Mix'!NNY14+'NF - 5 Power Mix'!NNY15)*860/10)+((('Form Sa1'!NOB835)*860)/10)+('Form Sa1'!NOB814*'Form Sa1'!NOB816/10)-'NF - 5 Power Mix'!NNY21-'NF - 5 Power Mix'!NNY22</f>
        <v>0</v>
      </c>
      <c r="NNZ42" s="1046">
        <f>NNZ38+((NNZ40+'NF - 5 Power Mix'!NNZ14+'NF - 5 Power Mix'!NNZ15)*860/10)+((('Form Sa1'!NOC835)*860)/10)+('Form Sa1'!NOC814*'Form Sa1'!NOC816/10)-'NF - 5 Power Mix'!NNZ21-'NF - 5 Power Mix'!NNZ22</f>
        <v>0</v>
      </c>
      <c r="NOA42" s="1046">
        <f>NOA38+((NOA40+'NF - 5 Power Mix'!NOA14+'NF - 5 Power Mix'!NOA15)*860/10)+((('Form Sa1'!NOD835)*860)/10)+('Form Sa1'!NOD814*'Form Sa1'!NOD816/10)-'NF - 5 Power Mix'!NOA21-'NF - 5 Power Mix'!NOA22</f>
        <v>0</v>
      </c>
      <c r="NOB42" s="1046">
        <f>NOB38+((NOB40+'NF - 5 Power Mix'!NOB14+'NF - 5 Power Mix'!NOB15)*860/10)+((('Form Sa1'!NOE835)*860)/10)+('Form Sa1'!NOE814*'Form Sa1'!NOE816/10)-'NF - 5 Power Mix'!NOB21-'NF - 5 Power Mix'!NOB22</f>
        <v>0</v>
      </c>
      <c r="NOC42" s="1046">
        <f>NOC38+((NOC40+'NF - 5 Power Mix'!NOC14+'NF - 5 Power Mix'!NOC15)*860/10)+((('Form Sa1'!NOF835)*860)/10)+('Form Sa1'!NOF814*'Form Sa1'!NOF816/10)-'NF - 5 Power Mix'!NOC21-'NF - 5 Power Mix'!NOC22</f>
        <v>0</v>
      </c>
      <c r="NOD42" s="1046">
        <f>NOD38+((NOD40+'NF - 5 Power Mix'!NOD14+'NF - 5 Power Mix'!NOD15)*860/10)+((('Form Sa1'!NOG835)*860)/10)+('Form Sa1'!NOG814*'Form Sa1'!NOG816/10)-'NF - 5 Power Mix'!NOD21-'NF - 5 Power Mix'!NOD22</f>
        <v>0</v>
      </c>
      <c r="NOE42" s="1046">
        <f>NOE38+((NOE40+'NF - 5 Power Mix'!NOE14+'NF - 5 Power Mix'!NOE15)*860/10)+((('Form Sa1'!NOH835)*860)/10)+('Form Sa1'!NOH814*'Form Sa1'!NOH816/10)-'NF - 5 Power Mix'!NOE21-'NF - 5 Power Mix'!NOE22</f>
        <v>0</v>
      </c>
      <c r="NOF42" s="1046">
        <f>NOF38+((NOF40+'NF - 5 Power Mix'!NOF14+'NF - 5 Power Mix'!NOF15)*860/10)+((('Form Sa1'!NOI835)*860)/10)+('Form Sa1'!NOI814*'Form Sa1'!NOI816/10)-'NF - 5 Power Mix'!NOF21-'NF - 5 Power Mix'!NOF22</f>
        <v>0</v>
      </c>
      <c r="NOG42" s="1046">
        <f>NOG38+((NOG40+'NF - 5 Power Mix'!NOG14+'NF - 5 Power Mix'!NOG15)*860/10)+((('Form Sa1'!NOJ835)*860)/10)+('Form Sa1'!NOJ814*'Form Sa1'!NOJ816/10)-'NF - 5 Power Mix'!NOG21-'NF - 5 Power Mix'!NOG22</f>
        <v>0</v>
      </c>
      <c r="NOH42" s="1046">
        <f>NOH38+((NOH40+'NF - 5 Power Mix'!NOH14+'NF - 5 Power Mix'!NOH15)*860/10)+((('Form Sa1'!NOK835)*860)/10)+('Form Sa1'!NOK814*'Form Sa1'!NOK816/10)-'NF - 5 Power Mix'!NOH21-'NF - 5 Power Mix'!NOH22</f>
        <v>0</v>
      </c>
      <c r="NOI42" s="1046">
        <f>NOI38+((NOI40+'NF - 5 Power Mix'!NOI14+'NF - 5 Power Mix'!NOI15)*860/10)+((('Form Sa1'!NOL835)*860)/10)+('Form Sa1'!NOL814*'Form Sa1'!NOL816/10)-'NF - 5 Power Mix'!NOI21-'NF - 5 Power Mix'!NOI22</f>
        <v>0</v>
      </c>
      <c r="NOJ42" s="1046">
        <f>NOJ38+((NOJ40+'NF - 5 Power Mix'!NOJ14+'NF - 5 Power Mix'!NOJ15)*860/10)+((('Form Sa1'!NOM835)*860)/10)+('Form Sa1'!NOM814*'Form Sa1'!NOM816/10)-'NF - 5 Power Mix'!NOJ21-'NF - 5 Power Mix'!NOJ22</f>
        <v>0</v>
      </c>
      <c r="NOK42" s="1046">
        <f>NOK38+((NOK40+'NF - 5 Power Mix'!NOK14+'NF - 5 Power Mix'!NOK15)*860/10)+((('Form Sa1'!NON835)*860)/10)+('Form Sa1'!NON814*'Form Sa1'!NON816/10)-'NF - 5 Power Mix'!NOK21-'NF - 5 Power Mix'!NOK22</f>
        <v>0</v>
      </c>
      <c r="NOL42" s="1046">
        <f>NOL38+((NOL40+'NF - 5 Power Mix'!NOL14+'NF - 5 Power Mix'!NOL15)*860/10)+((('Form Sa1'!NOO835)*860)/10)+('Form Sa1'!NOO814*'Form Sa1'!NOO816/10)-'NF - 5 Power Mix'!NOL21-'NF - 5 Power Mix'!NOL22</f>
        <v>0</v>
      </c>
      <c r="NOM42" s="1046">
        <f>NOM38+((NOM40+'NF - 5 Power Mix'!NOM14+'NF - 5 Power Mix'!NOM15)*860/10)+((('Form Sa1'!NOP835)*860)/10)+('Form Sa1'!NOP814*'Form Sa1'!NOP816/10)-'NF - 5 Power Mix'!NOM21-'NF - 5 Power Mix'!NOM22</f>
        <v>0</v>
      </c>
      <c r="NON42" s="1046">
        <f>NON38+((NON40+'NF - 5 Power Mix'!NON14+'NF - 5 Power Mix'!NON15)*860/10)+((('Form Sa1'!NOQ835)*860)/10)+('Form Sa1'!NOQ814*'Form Sa1'!NOQ816/10)-'NF - 5 Power Mix'!NON21-'NF - 5 Power Mix'!NON22</f>
        <v>0</v>
      </c>
      <c r="NOO42" s="1046">
        <f>NOO38+((NOO40+'NF - 5 Power Mix'!NOO14+'NF - 5 Power Mix'!NOO15)*860/10)+((('Form Sa1'!NOR835)*860)/10)+('Form Sa1'!NOR814*'Form Sa1'!NOR816/10)-'NF - 5 Power Mix'!NOO21-'NF - 5 Power Mix'!NOO22</f>
        <v>0</v>
      </c>
      <c r="NOP42" s="1046">
        <f>NOP38+((NOP40+'NF - 5 Power Mix'!NOP14+'NF - 5 Power Mix'!NOP15)*860/10)+((('Form Sa1'!NOS835)*860)/10)+('Form Sa1'!NOS814*'Form Sa1'!NOS816/10)-'NF - 5 Power Mix'!NOP21-'NF - 5 Power Mix'!NOP22</f>
        <v>0</v>
      </c>
      <c r="NOQ42" s="1046">
        <f>NOQ38+((NOQ40+'NF - 5 Power Mix'!NOQ14+'NF - 5 Power Mix'!NOQ15)*860/10)+((('Form Sa1'!NOT835)*860)/10)+('Form Sa1'!NOT814*'Form Sa1'!NOT816/10)-'NF - 5 Power Mix'!NOQ21-'NF - 5 Power Mix'!NOQ22</f>
        <v>0</v>
      </c>
      <c r="NOR42" s="1046">
        <f>NOR38+((NOR40+'NF - 5 Power Mix'!NOR14+'NF - 5 Power Mix'!NOR15)*860/10)+((('Form Sa1'!NOU835)*860)/10)+('Form Sa1'!NOU814*'Form Sa1'!NOU816/10)-'NF - 5 Power Mix'!NOR21-'NF - 5 Power Mix'!NOR22</f>
        <v>0</v>
      </c>
      <c r="NOS42" s="1046">
        <f>NOS38+((NOS40+'NF - 5 Power Mix'!NOS14+'NF - 5 Power Mix'!NOS15)*860/10)+((('Form Sa1'!NOV835)*860)/10)+('Form Sa1'!NOV814*'Form Sa1'!NOV816/10)-'NF - 5 Power Mix'!NOS21-'NF - 5 Power Mix'!NOS22</f>
        <v>0</v>
      </c>
      <c r="NOT42" s="1046">
        <f>NOT38+((NOT40+'NF - 5 Power Mix'!NOT14+'NF - 5 Power Mix'!NOT15)*860/10)+((('Form Sa1'!NOW835)*860)/10)+('Form Sa1'!NOW814*'Form Sa1'!NOW816/10)-'NF - 5 Power Mix'!NOT21-'NF - 5 Power Mix'!NOT22</f>
        <v>0</v>
      </c>
      <c r="NOU42" s="1046">
        <f>NOU38+((NOU40+'NF - 5 Power Mix'!NOU14+'NF - 5 Power Mix'!NOU15)*860/10)+((('Form Sa1'!NOX835)*860)/10)+('Form Sa1'!NOX814*'Form Sa1'!NOX816/10)-'NF - 5 Power Mix'!NOU21-'NF - 5 Power Mix'!NOU22</f>
        <v>0</v>
      </c>
      <c r="NOV42" s="1046">
        <f>NOV38+((NOV40+'NF - 5 Power Mix'!NOV14+'NF - 5 Power Mix'!NOV15)*860/10)+((('Form Sa1'!NOY835)*860)/10)+('Form Sa1'!NOY814*'Form Sa1'!NOY816/10)-'NF - 5 Power Mix'!NOV21-'NF - 5 Power Mix'!NOV22</f>
        <v>0</v>
      </c>
      <c r="NOW42" s="1046">
        <f>NOW38+((NOW40+'NF - 5 Power Mix'!NOW14+'NF - 5 Power Mix'!NOW15)*860/10)+((('Form Sa1'!NOZ835)*860)/10)+('Form Sa1'!NOZ814*'Form Sa1'!NOZ816/10)-'NF - 5 Power Mix'!NOW21-'NF - 5 Power Mix'!NOW22</f>
        <v>0</v>
      </c>
      <c r="NOX42" s="1046">
        <f>NOX38+((NOX40+'NF - 5 Power Mix'!NOX14+'NF - 5 Power Mix'!NOX15)*860/10)+((('Form Sa1'!NPA835)*860)/10)+('Form Sa1'!NPA814*'Form Sa1'!NPA816/10)-'NF - 5 Power Mix'!NOX21-'NF - 5 Power Mix'!NOX22</f>
        <v>0</v>
      </c>
      <c r="NOY42" s="1046">
        <f>NOY38+((NOY40+'NF - 5 Power Mix'!NOY14+'NF - 5 Power Mix'!NOY15)*860/10)+((('Form Sa1'!NPB835)*860)/10)+('Form Sa1'!NPB814*'Form Sa1'!NPB816/10)-'NF - 5 Power Mix'!NOY21-'NF - 5 Power Mix'!NOY22</f>
        <v>0</v>
      </c>
      <c r="NOZ42" s="1046">
        <f>NOZ38+((NOZ40+'NF - 5 Power Mix'!NOZ14+'NF - 5 Power Mix'!NOZ15)*860/10)+((('Form Sa1'!NPC835)*860)/10)+('Form Sa1'!NPC814*'Form Sa1'!NPC816/10)-'NF - 5 Power Mix'!NOZ21-'NF - 5 Power Mix'!NOZ22</f>
        <v>0</v>
      </c>
      <c r="NPA42" s="1046">
        <f>NPA38+((NPA40+'NF - 5 Power Mix'!NPA14+'NF - 5 Power Mix'!NPA15)*860/10)+((('Form Sa1'!NPD835)*860)/10)+('Form Sa1'!NPD814*'Form Sa1'!NPD816/10)-'NF - 5 Power Mix'!NPA21-'NF - 5 Power Mix'!NPA22</f>
        <v>0</v>
      </c>
      <c r="NPB42" s="1046">
        <f>NPB38+((NPB40+'NF - 5 Power Mix'!NPB14+'NF - 5 Power Mix'!NPB15)*860/10)+((('Form Sa1'!NPE835)*860)/10)+('Form Sa1'!NPE814*'Form Sa1'!NPE816/10)-'NF - 5 Power Mix'!NPB21-'NF - 5 Power Mix'!NPB22</f>
        <v>0</v>
      </c>
      <c r="NPC42" s="1046">
        <f>NPC38+((NPC40+'NF - 5 Power Mix'!NPC14+'NF - 5 Power Mix'!NPC15)*860/10)+((('Form Sa1'!NPF835)*860)/10)+('Form Sa1'!NPF814*'Form Sa1'!NPF816/10)-'NF - 5 Power Mix'!NPC21-'NF - 5 Power Mix'!NPC22</f>
        <v>0</v>
      </c>
      <c r="NPD42" s="1046">
        <f>NPD38+((NPD40+'NF - 5 Power Mix'!NPD14+'NF - 5 Power Mix'!NPD15)*860/10)+((('Form Sa1'!NPG835)*860)/10)+('Form Sa1'!NPG814*'Form Sa1'!NPG816/10)-'NF - 5 Power Mix'!NPD21-'NF - 5 Power Mix'!NPD22</f>
        <v>0</v>
      </c>
      <c r="NPE42" s="1046">
        <f>NPE38+((NPE40+'NF - 5 Power Mix'!NPE14+'NF - 5 Power Mix'!NPE15)*860/10)+((('Form Sa1'!NPH835)*860)/10)+('Form Sa1'!NPH814*'Form Sa1'!NPH816/10)-'NF - 5 Power Mix'!NPE21-'NF - 5 Power Mix'!NPE22</f>
        <v>0</v>
      </c>
      <c r="NPF42" s="1046">
        <f>NPF38+((NPF40+'NF - 5 Power Mix'!NPF14+'NF - 5 Power Mix'!NPF15)*860/10)+((('Form Sa1'!NPI835)*860)/10)+('Form Sa1'!NPI814*'Form Sa1'!NPI816/10)-'NF - 5 Power Mix'!NPF21-'NF - 5 Power Mix'!NPF22</f>
        <v>0</v>
      </c>
      <c r="NPG42" s="1046">
        <f>NPG38+((NPG40+'NF - 5 Power Mix'!NPG14+'NF - 5 Power Mix'!NPG15)*860/10)+((('Form Sa1'!NPJ835)*860)/10)+('Form Sa1'!NPJ814*'Form Sa1'!NPJ816/10)-'NF - 5 Power Mix'!NPG21-'NF - 5 Power Mix'!NPG22</f>
        <v>0</v>
      </c>
      <c r="NPH42" s="1046">
        <f>NPH38+((NPH40+'NF - 5 Power Mix'!NPH14+'NF - 5 Power Mix'!NPH15)*860/10)+((('Form Sa1'!NPK835)*860)/10)+('Form Sa1'!NPK814*'Form Sa1'!NPK816/10)-'NF - 5 Power Mix'!NPH21-'NF - 5 Power Mix'!NPH22</f>
        <v>0</v>
      </c>
      <c r="NPI42" s="1046">
        <f>NPI38+((NPI40+'NF - 5 Power Mix'!NPI14+'NF - 5 Power Mix'!NPI15)*860/10)+((('Form Sa1'!NPL835)*860)/10)+('Form Sa1'!NPL814*'Form Sa1'!NPL816/10)-'NF - 5 Power Mix'!NPI21-'NF - 5 Power Mix'!NPI22</f>
        <v>0</v>
      </c>
      <c r="NPJ42" s="1046">
        <f>NPJ38+((NPJ40+'NF - 5 Power Mix'!NPJ14+'NF - 5 Power Mix'!NPJ15)*860/10)+((('Form Sa1'!NPM835)*860)/10)+('Form Sa1'!NPM814*'Form Sa1'!NPM816/10)-'NF - 5 Power Mix'!NPJ21-'NF - 5 Power Mix'!NPJ22</f>
        <v>0</v>
      </c>
      <c r="NPK42" s="1046">
        <f>NPK38+((NPK40+'NF - 5 Power Mix'!NPK14+'NF - 5 Power Mix'!NPK15)*860/10)+((('Form Sa1'!NPN835)*860)/10)+('Form Sa1'!NPN814*'Form Sa1'!NPN816/10)-'NF - 5 Power Mix'!NPK21-'NF - 5 Power Mix'!NPK22</f>
        <v>0</v>
      </c>
      <c r="NPL42" s="1046">
        <f>NPL38+((NPL40+'NF - 5 Power Mix'!NPL14+'NF - 5 Power Mix'!NPL15)*860/10)+((('Form Sa1'!NPO835)*860)/10)+('Form Sa1'!NPO814*'Form Sa1'!NPO816/10)-'NF - 5 Power Mix'!NPL21-'NF - 5 Power Mix'!NPL22</f>
        <v>0</v>
      </c>
      <c r="NPM42" s="1046">
        <f>NPM38+((NPM40+'NF - 5 Power Mix'!NPM14+'NF - 5 Power Mix'!NPM15)*860/10)+((('Form Sa1'!NPP835)*860)/10)+('Form Sa1'!NPP814*'Form Sa1'!NPP816/10)-'NF - 5 Power Mix'!NPM21-'NF - 5 Power Mix'!NPM22</f>
        <v>0</v>
      </c>
      <c r="NPN42" s="1046">
        <f>NPN38+((NPN40+'NF - 5 Power Mix'!NPN14+'NF - 5 Power Mix'!NPN15)*860/10)+((('Form Sa1'!NPQ835)*860)/10)+('Form Sa1'!NPQ814*'Form Sa1'!NPQ816/10)-'NF - 5 Power Mix'!NPN21-'NF - 5 Power Mix'!NPN22</f>
        <v>0</v>
      </c>
      <c r="NPO42" s="1046">
        <f>NPO38+((NPO40+'NF - 5 Power Mix'!NPO14+'NF - 5 Power Mix'!NPO15)*860/10)+((('Form Sa1'!NPR835)*860)/10)+('Form Sa1'!NPR814*'Form Sa1'!NPR816/10)-'NF - 5 Power Mix'!NPO21-'NF - 5 Power Mix'!NPO22</f>
        <v>0</v>
      </c>
      <c r="NPP42" s="1046">
        <f>NPP38+((NPP40+'NF - 5 Power Mix'!NPP14+'NF - 5 Power Mix'!NPP15)*860/10)+((('Form Sa1'!NPS835)*860)/10)+('Form Sa1'!NPS814*'Form Sa1'!NPS816/10)-'NF - 5 Power Mix'!NPP21-'NF - 5 Power Mix'!NPP22</f>
        <v>0</v>
      </c>
      <c r="NPQ42" s="1046">
        <f>NPQ38+((NPQ40+'NF - 5 Power Mix'!NPQ14+'NF - 5 Power Mix'!NPQ15)*860/10)+((('Form Sa1'!NPT835)*860)/10)+('Form Sa1'!NPT814*'Form Sa1'!NPT816/10)-'NF - 5 Power Mix'!NPQ21-'NF - 5 Power Mix'!NPQ22</f>
        <v>0</v>
      </c>
      <c r="NPR42" s="1046">
        <f>NPR38+((NPR40+'NF - 5 Power Mix'!NPR14+'NF - 5 Power Mix'!NPR15)*860/10)+((('Form Sa1'!NPU835)*860)/10)+('Form Sa1'!NPU814*'Form Sa1'!NPU816/10)-'NF - 5 Power Mix'!NPR21-'NF - 5 Power Mix'!NPR22</f>
        <v>0</v>
      </c>
      <c r="NPS42" s="1046">
        <f>NPS38+((NPS40+'NF - 5 Power Mix'!NPS14+'NF - 5 Power Mix'!NPS15)*860/10)+((('Form Sa1'!NPV835)*860)/10)+('Form Sa1'!NPV814*'Form Sa1'!NPV816/10)-'NF - 5 Power Mix'!NPS21-'NF - 5 Power Mix'!NPS22</f>
        <v>0</v>
      </c>
      <c r="NPT42" s="1046">
        <f>NPT38+((NPT40+'NF - 5 Power Mix'!NPT14+'NF - 5 Power Mix'!NPT15)*860/10)+((('Form Sa1'!NPW835)*860)/10)+('Form Sa1'!NPW814*'Form Sa1'!NPW816/10)-'NF - 5 Power Mix'!NPT21-'NF - 5 Power Mix'!NPT22</f>
        <v>0</v>
      </c>
      <c r="NPU42" s="1046">
        <f>NPU38+((NPU40+'NF - 5 Power Mix'!NPU14+'NF - 5 Power Mix'!NPU15)*860/10)+((('Form Sa1'!NPX835)*860)/10)+('Form Sa1'!NPX814*'Form Sa1'!NPX816/10)-'NF - 5 Power Mix'!NPU21-'NF - 5 Power Mix'!NPU22</f>
        <v>0</v>
      </c>
      <c r="NPV42" s="1046">
        <f>NPV38+((NPV40+'NF - 5 Power Mix'!NPV14+'NF - 5 Power Mix'!NPV15)*860/10)+((('Form Sa1'!NPY835)*860)/10)+('Form Sa1'!NPY814*'Form Sa1'!NPY816/10)-'NF - 5 Power Mix'!NPV21-'NF - 5 Power Mix'!NPV22</f>
        <v>0</v>
      </c>
      <c r="NPW42" s="1046">
        <f>NPW38+((NPW40+'NF - 5 Power Mix'!NPW14+'NF - 5 Power Mix'!NPW15)*860/10)+((('Form Sa1'!NPZ835)*860)/10)+('Form Sa1'!NPZ814*'Form Sa1'!NPZ816/10)-'NF - 5 Power Mix'!NPW21-'NF - 5 Power Mix'!NPW22</f>
        <v>0</v>
      </c>
      <c r="NPX42" s="1046">
        <f>NPX38+((NPX40+'NF - 5 Power Mix'!NPX14+'NF - 5 Power Mix'!NPX15)*860/10)+((('Form Sa1'!NQA835)*860)/10)+('Form Sa1'!NQA814*'Form Sa1'!NQA816/10)-'NF - 5 Power Mix'!NPX21-'NF - 5 Power Mix'!NPX22</f>
        <v>0</v>
      </c>
      <c r="NPY42" s="1046">
        <f>NPY38+((NPY40+'NF - 5 Power Mix'!NPY14+'NF - 5 Power Mix'!NPY15)*860/10)+((('Form Sa1'!NQB835)*860)/10)+('Form Sa1'!NQB814*'Form Sa1'!NQB816/10)-'NF - 5 Power Mix'!NPY21-'NF - 5 Power Mix'!NPY22</f>
        <v>0</v>
      </c>
      <c r="NPZ42" s="1046">
        <f>NPZ38+((NPZ40+'NF - 5 Power Mix'!NPZ14+'NF - 5 Power Mix'!NPZ15)*860/10)+((('Form Sa1'!NQC835)*860)/10)+('Form Sa1'!NQC814*'Form Sa1'!NQC816/10)-'NF - 5 Power Mix'!NPZ21-'NF - 5 Power Mix'!NPZ22</f>
        <v>0</v>
      </c>
      <c r="NQA42" s="1046">
        <f>NQA38+((NQA40+'NF - 5 Power Mix'!NQA14+'NF - 5 Power Mix'!NQA15)*860/10)+((('Form Sa1'!NQD835)*860)/10)+('Form Sa1'!NQD814*'Form Sa1'!NQD816/10)-'NF - 5 Power Mix'!NQA21-'NF - 5 Power Mix'!NQA22</f>
        <v>0</v>
      </c>
      <c r="NQB42" s="1046">
        <f>NQB38+((NQB40+'NF - 5 Power Mix'!NQB14+'NF - 5 Power Mix'!NQB15)*860/10)+((('Form Sa1'!NQE835)*860)/10)+('Form Sa1'!NQE814*'Form Sa1'!NQE816/10)-'NF - 5 Power Mix'!NQB21-'NF - 5 Power Mix'!NQB22</f>
        <v>0</v>
      </c>
      <c r="NQC42" s="1046">
        <f>NQC38+((NQC40+'NF - 5 Power Mix'!NQC14+'NF - 5 Power Mix'!NQC15)*860/10)+((('Form Sa1'!NQF835)*860)/10)+('Form Sa1'!NQF814*'Form Sa1'!NQF816/10)-'NF - 5 Power Mix'!NQC21-'NF - 5 Power Mix'!NQC22</f>
        <v>0</v>
      </c>
      <c r="NQD42" s="1046">
        <f>NQD38+((NQD40+'NF - 5 Power Mix'!NQD14+'NF - 5 Power Mix'!NQD15)*860/10)+((('Form Sa1'!NQG835)*860)/10)+('Form Sa1'!NQG814*'Form Sa1'!NQG816/10)-'NF - 5 Power Mix'!NQD21-'NF - 5 Power Mix'!NQD22</f>
        <v>0</v>
      </c>
      <c r="NQE42" s="1046">
        <f>NQE38+((NQE40+'NF - 5 Power Mix'!NQE14+'NF - 5 Power Mix'!NQE15)*860/10)+((('Form Sa1'!NQH835)*860)/10)+('Form Sa1'!NQH814*'Form Sa1'!NQH816/10)-'NF - 5 Power Mix'!NQE21-'NF - 5 Power Mix'!NQE22</f>
        <v>0</v>
      </c>
      <c r="NQF42" s="1046">
        <f>NQF38+((NQF40+'NF - 5 Power Mix'!NQF14+'NF - 5 Power Mix'!NQF15)*860/10)+((('Form Sa1'!NQI835)*860)/10)+('Form Sa1'!NQI814*'Form Sa1'!NQI816/10)-'NF - 5 Power Mix'!NQF21-'NF - 5 Power Mix'!NQF22</f>
        <v>0</v>
      </c>
      <c r="NQG42" s="1046">
        <f>NQG38+((NQG40+'NF - 5 Power Mix'!NQG14+'NF - 5 Power Mix'!NQG15)*860/10)+((('Form Sa1'!NQJ835)*860)/10)+('Form Sa1'!NQJ814*'Form Sa1'!NQJ816/10)-'NF - 5 Power Mix'!NQG21-'NF - 5 Power Mix'!NQG22</f>
        <v>0</v>
      </c>
      <c r="NQH42" s="1046">
        <f>NQH38+((NQH40+'NF - 5 Power Mix'!NQH14+'NF - 5 Power Mix'!NQH15)*860/10)+((('Form Sa1'!NQK835)*860)/10)+('Form Sa1'!NQK814*'Form Sa1'!NQK816/10)-'NF - 5 Power Mix'!NQH21-'NF - 5 Power Mix'!NQH22</f>
        <v>0</v>
      </c>
      <c r="NQI42" s="1046">
        <f>NQI38+((NQI40+'NF - 5 Power Mix'!NQI14+'NF - 5 Power Mix'!NQI15)*860/10)+((('Form Sa1'!NQL835)*860)/10)+('Form Sa1'!NQL814*'Form Sa1'!NQL816/10)-'NF - 5 Power Mix'!NQI21-'NF - 5 Power Mix'!NQI22</f>
        <v>0</v>
      </c>
      <c r="NQJ42" s="1046">
        <f>NQJ38+((NQJ40+'NF - 5 Power Mix'!NQJ14+'NF - 5 Power Mix'!NQJ15)*860/10)+((('Form Sa1'!NQM835)*860)/10)+('Form Sa1'!NQM814*'Form Sa1'!NQM816/10)-'NF - 5 Power Mix'!NQJ21-'NF - 5 Power Mix'!NQJ22</f>
        <v>0</v>
      </c>
      <c r="NQK42" s="1046">
        <f>NQK38+((NQK40+'NF - 5 Power Mix'!NQK14+'NF - 5 Power Mix'!NQK15)*860/10)+((('Form Sa1'!NQN835)*860)/10)+('Form Sa1'!NQN814*'Form Sa1'!NQN816/10)-'NF - 5 Power Mix'!NQK21-'NF - 5 Power Mix'!NQK22</f>
        <v>0</v>
      </c>
      <c r="NQL42" s="1046">
        <f>NQL38+((NQL40+'NF - 5 Power Mix'!NQL14+'NF - 5 Power Mix'!NQL15)*860/10)+((('Form Sa1'!NQO835)*860)/10)+('Form Sa1'!NQO814*'Form Sa1'!NQO816/10)-'NF - 5 Power Mix'!NQL21-'NF - 5 Power Mix'!NQL22</f>
        <v>0</v>
      </c>
      <c r="NQM42" s="1046">
        <f>NQM38+((NQM40+'NF - 5 Power Mix'!NQM14+'NF - 5 Power Mix'!NQM15)*860/10)+((('Form Sa1'!NQP835)*860)/10)+('Form Sa1'!NQP814*'Form Sa1'!NQP816/10)-'NF - 5 Power Mix'!NQM21-'NF - 5 Power Mix'!NQM22</f>
        <v>0</v>
      </c>
      <c r="NQN42" s="1046">
        <f>NQN38+((NQN40+'NF - 5 Power Mix'!NQN14+'NF - 5 Power Mix'!NQN15)*860/10)+((('Form Sa1'!NQQ835)*860)/10)+('Form Sa1'!NQQ814*'Form Sa1'!NQQ816/10)-'NF - 5 Power Mix'!NQN21-'NF - 5 Power Mix'!NQN22</f>
        <v>0</v>
      </c>
      <c r="NQO42" s="1046">
        <f>NQO38+((NQO40+'NF - 5 Power Mix'!NQO14+'NF - 5 Power Mix'!NQO15)*860/10)+((('Form Sa1'!NQR835)*860)/10)+('Form Sa1'!NQR814*'Form Sa1'!NQR816/10)-'NF - 5 Power Mix'!NQO21-'NF - 5 Power Mix'!NQO22</f>
        <v>0</v>
      </c>
      <c r="NQP42" s="1046">
        <f>NQP38+((NQP40+'NF - 5 Power Mix'!NQP14+'NF - 5 Power Mix'!NQP15)*860/10)+((('Form Sa1'!NQS835)*860)/10)+('Form Sa1'!NQS814*'Form Sa1'!NQS816/10)-'NF - 5 Power Mix'!NQP21-'NF - 5 Power Mix'!NQP22</f>
        <v>0</v>
      </c>
      <c r="NQQ42" s="1046">
        <f>NQQ38+((NQQ40+'NF - 5 Power Mix'!NQQ14+'NF - 5 Power Mix'!NQQ15)*860/10)+((('Form Sa1'!NQT835)*860)/10)+('Form Sa1'!NQT814*'Form Sa1'!NQT816/10)-'NF - 5 Power Mix'!NQQ21-'NF - 5 Power Mix'!NQQ22</f>
        <v>0</v>
      </c>
      <c r="NQR42" s="1046">
        <f>NQR38+((NQR40+'NF - 5 Power Mix'!NQR14+'NF - 5 Power Mix'!NQR15)*860/10)+((('Form Sa1'!NQU835)*860)/10)+('Form Sa1'!NQU814*'Form Sa1'!NQU816/10)-'NF - 5 Power Mix'!NQR21-'NF - 5 Power Mix'!NQR22</f>
        <v>0</v>
      </c>
      <c r="NQS42" s="1046">
        <f>NQS38+((NQS40+'NF - 5 Power Mix'!NQS14+'NF - 5 Power Mix'!NQS15)*860/10)+((('Form Sa1'!NQV835)*860)/10)+('Form Sa1'!NQV814*'Form Sa1'!NQV816/10)-'NF - 5 Power Mix'!NQS21-'NF - 5 Power Mix'!NQS22</f>
        <v>0</v>
      </c>
      <c r="NQT42" s="1046">
        <f>NQT38+((NQT40+'NF - 5 Power Mix'!NQT14+'NF - 5 Power Mix'!NQT15)*860/10)+((('Form Sa1'!NQW835)*860)/10)+('Form Sa1'!NQW814*'Form Sa1'!NQW816/10)-'NF - 5 Power Mix'!NQT21-'NF - 5 Power Mix'!NQT22</f>
        <v>0</v>
      </c>
      <c r="NQU42" s="1046">
        <f>NQU38+((NQU40+'NF - 5 Power Mix'!NQU14+'NF - 5 Power Mix'!NQU15)*860/10)+((('Form Sa1'!NQX835)*860)/10)+('Form Sa1'!NQX814*'Form Sa1'!NQX816/10)-'NF - 5 Power Mix'!NQU21-'NF - 5 Power Mix'!NQU22</f>
        <v>0</v>
      </c>
      <c r="NQV42" s="1046">
        <f>NQV38+((NQV40+'NF - 5 Power Mix'!NQV14+'NF - 5 Power Mix'!NQV15)*860/10)+((('Form Sa1'!NQY835)*860)/10)+('Form Sa1'!NQY814*'Form Sa1'!NQY816/10)-'NF - 5 Power Mix'!NQV21-'NF - 5 Power Mix'!NQV22</f>
        <v>0</v>
      </c>
      <c r="NQW42" s="1046">
        <f>NQW38+((NQW40+'NF - 5 Power Mix'!NQW14+'NF - 5 Power Mix'!NQW15)*860/10)+((('Form Sa1'!NQZ835)*860)/10)+('Form Sa1'!NQZ814*'Form Sa1'!NQZ816/10)-'NF - 5 Power Mix'!NQW21-'NF - 5 Power Mix'!NQW22</f>
        <v>0</v>
      </c>
      <c r="NQX42" s="1046">
        <f>NQX38+((NQX40+'NF - 5 Power Mix'!NQX14+'NF - 5 Power Mix'!NQX15)*860/10)+((('Form Sa1'!NRA835)*860)/10)+('Form Sa1'!NRA814*'Form Sa1'!NRA816/10)-'NF - 5 Power Mix'!NQX21-'NF - 5 Power Mix'!NQX22</f>
        <v>0</v>
      </c>
      <c r="NQY42" s="1046">
        <f>NQY38+((NQY40+'NF - 5 Power Mix'!NQY14+'NF - 5 Power Mix'!NQY15)*860/10)+((('Form Sa1'!NRB835)*860)/10)+('Form Sa1'!NRB814*'Form Sa1'!NRB816/10)-'NF - 5 Power Mix'!NQY21-'NF - 5 Power Mix'!NQY22</f>
        <v>0</v>
      </c>
      <c r="NQZ42" s="1046">
        <f>NQZ38+((NQZ40+'NF - 5 Power Mix'!NQZ14+'NF - 5 Power Mix'!NQZ15)*860/10)+((('Form Sa1'!NRC835)*860)/10)+('Form Sa1'!NRC814*'Form Sa1'!NRC816/10)-'NF - 5 Power Mix'!NQZ21-'NF - 5 Power Mix'!NQZ22</f>
        <v>0</v>
      </c>
      <c r="NRA42" s="1046">
        <f>NRA38+((NRA40+'NF - 5 Power Mix'!NRA14+'NF - 5 Power Mix'!NRA15)*860/10)+((('Form Sa1'!NRD835)*860)/10)+('Form Sa1'!NRD814*'Form Sa1'!NRD816/10)-'NF - 5 Power Mix'!NRA21-'NF - 5 Power Mix'!NRA22</f>
        <v>0</v>
      </c>
      <c r="NRB42" s="1046">
        <f>NRB38+((NRB40+'NF - 5 Power Mix'!NRB14+'NF - 5 Power Mix'!NRB15)*860/10)+((('Form Sa1'!NRE835)*860)/10)+('Form Sa1'!NRE814*'Form Sa1'!NRE816/10)-'NF - 5 Power Mix'!NRB21-'NF - 5 Power Mix'!NRB22</f>
        <v>0</v>
      </c>
      <c r="NRC42" s="1046">
        <f>NRC38+((NRC40+'NF - 5 Power Mix'!NRC14+'NF - 5 Power Mix'!NRC15)*860/10)+((('Form Sa1'!NRF835)*860)/10)+('Form Sa1'!NRF814*'Form Sa1'!NRF816/10)-'NF - 5 Power Mix'!NRC21-'NF - 5 Power Mix'!NRC22</f>
        <v>0</v>
      </c>
      <c r="NRD42" s="1046">
        <f>NRD38+((NRD40+'NF - 5 Power Mix'!NRD14+'NF - 5 Power Mix'!NRD15)*860/10)+((('Form Sa1'!NRG835)*860)/10)+('Form Sa1'!NRG814*'Form Sa1'!NRG816/10)-'NF - 5 Power Mix'!NRD21-'NF - 5 Power Mix'!NRD22</f>
        <v>0</v>
      </c>
      <c r="NRE42" s="1046">
        <f>NRE38+((NRE40+'NF - 5 Power Mix'!NRE14+'NF - 5 Power Mix'!NRE15)*860/10)+((('Form Sa1'!NRH835)*860)/10)+('Form Sa1'!NRH814*'Form Sa1'!NRH816/10)-'NF - 5 Power Mix'!NRE21-'NF - 5 Power Mix'!NRE22</f>
        <v>0</v>
      </c>
      <c r="NRF42" s="1046">
        <f>NRF38+((NRF40+'NF - 5 Power Mix'!NRF14+'NF - 5 Power Mix'!NRF15)*860/10)+((('Form Sa1'!NRI835)*860)/10)+('Form Sa1'!NRI814*'Form Sa1'!NRI816/10)-'NF - 5 Power Mix'!NRF21-'NF - 5 Power Mix'!NRF22</f>
        <v>0</v>
      </c>
      <c r="NRG42" s="1046">
        <f>NRG38+((NRG40+'NF - 5 Power Mix'!NRG14+'NF - 5 Power Mix'!NRG15)*860/10)+((('Form Sa1'!NRJ835)*860)/10)+('Form Sa1'!NRJ814*'Form Sa1'!NRJ816/10)-'NF - 5 Power Mix'!NRG21-'NF - 5 Power Mix'!NRG22</f>
        <v>0</v>
      </c>
      <c r="NRH42" s="1046">
        <f>NRH38+((NRH40+'NF - 5 Power Mix'!NRH14+'NF - 5 Power Mix'!NRH15)*860/10)+((('Form Sa1'!NRK835)*860)/10)+('Form Sa1'!NRK814*'Form Sa1'!NRK816/10)-'NF - 5 Power Mix'!NRH21-'NF - 5 Power Mix'!NRH22</f>
        <v>0</v>
      </c>
      <c r="NRI42" s="1046">
        <f>NRI38+((NRI40+'NF - 5 Power Mix'!NRI14+'NF - 5 Power Mix'!NRI15)*860/10)+((('Form Sa1'!NRL835)*860)/10)+('Form Sa1'!NRL814*'Form Sa1'!NRL816/10)-'NF - 5 Power Mix'!NRI21-'NF - 5 Power Mix'!NRI22</f>
        <v>0</v>
      </c>
      <c r="NRJ42" s="1046">
        <f>NRJ38+((NRJ40+'NF - 5 Power Mix'!NRJ14+'NF - 5 Power Mix'!NRJ15)*860/10)+((('Form Sa1'!NRM835)*860)/10)+('Form Sa1'!NRM814*'Form Sa1'!NRM816/10)-'NF - 5 Power Mix'!NRJ21-'NF - 5 Power Mix'!NRJ22</f>
        <v>0</v>
      </c>
      <c r="NRK42" s="1046">
        <f>NRK38+((NRK40+'NF - 5 Power Mix'!NRK14+'NF - 5 Power Mix'!NRK15)*860/10)+((('Form Sa1'!NRN835)*860)/10)+('Form Sa1'!NRN814*'Form Sa1'!NRN816/10)-'NF - 5 Power Mix'!NRK21-'NF - 5 Power Mix'!NRK22</f>
        <v>0</v>
      </c>
      <c r="NRL42" s="1046">
        <f>NRL38+((NRL40+'NF - 5 Power Mix'!NRL14+'NF - 5 Power Mix'!NRL15)*860/10)+((('Form Sa1'!NRO835)*860)/10)+('Form Sa1'!NRO814*'Form Sa1'!NRO816/10)-'NF - 5 Power Mix'!NRL21-'NF - 5 Power Mix'!NRL22</f>
        <v>0</v>
      </c>
      <c r="NRM42" s="1046">
        <f>NRM38+((NRM40+'NF - 5 Power Mix'!NRM14+'NF - 5 Power Mix'!NRM15)*860/10)+((('Form Sa1'!NRP835)*860)/10)+('Form Sa1'!NRP814*'Form Sa1'!NRP816/10)-'NF - 5 Power Mix'!NRM21-'NF - 5 Power Mix'!NRM22</f>
        <v>0</v>
      </c>
      <c r="NRN42" s="1046">
        <f>NRN38+((NRN40+'NF - 5 Power Mix'!NRN14+'NF - 5 Power Mix'!NRN15)*860/10)+((('Form Sa1'!NRQ835)*860)/10)+('Form Sa1'!NRQ814*'Form Sa1'!NRQ816/10)-'NF - 5 Power Mix'!NRN21-'NF - 5 Power Mix'!NRN22</f>
        <v>0</v>
      </c>
      <c r="NRO42" s="1046">
        <f>NRO38+((NRO40+'NF - 5 Power Mix'!NRO14+'NF - 5 Power Mix'!NRO15)*860/10)+((('Form Sa1'!NRR835)*860)/10)+('Form Sa1'!NRR814*'Form Sa1'!NRR816/10)-'NF - 5 Power Mix'!NRO21-'NF - 5 Power Mix'!NRO22</f>
        <v>0</v>
      </c>
      <c r="NRP42" s="1046">
        <f>NRP38+((NRP40+'NF - 5 Power Mix'!NRP14+'NF - 5 Power Mix'!NRP15)*860/10)+((('Form Sa1'!NRS835)*860)/10)+('Form Sa1'!NRS814*'Form Sa1'!NRS816/10)-'NF - 5 Power Mix'!NRP21-'NF - 5 Power Mix'!NRP22</f>
        <v>0</v>
      </c>
      <c r="NRQ42" s="1046">
        <f>NRQ38+((NRQ40+'NF - 5 Power Mix'!NRQ14+'NF - 5 Power Mix'!NRQ15)*860/10)+((('Form Sa1'!NRT835)*860)/10)+('Form Sa1'!NRT814*'Form Sa1'!NRT816/10)-'NF - 5 Power Mix'!NRQ21-'NF - 5 Power Mix'!NRQ22</f>
        <v>0</v>
      </c>
      <c r="NRR42" s="1046">
        <f>NRR38+((NRR40+'NF - 5 Power Mix'!NRR14+'NF - 5 Power Mix'!NRR15)*860/10)+((('Form Sa1'!NRU835)*860)/10)+('Form Sa1'!NRU814*'Form Sa1'!NRU816/10)-'NF - 5 Power Mix'!NRR21-'NF - 5 Power Mix'!NRR22</f>
        <v>0</v>
      </c>
      <c r="NRS42" s="1046">
        <f>NRS38+((NRS40+'NF - 5 Power Mix'!NRS14+'NF - 5 Power Mix'!NRS15)*860/10)+((('Form Sa1'!NRV835)*860)/10)+('Form Sa1'!NRV814*'Form Sa1'!NRV816/10)-'NF - 5 Power Mix'!NRS21-'NF - 5 Power Mix'!NRS22</f>
        <v>0</v>
      </c>
      <c r="NRT42" s="1046">
        <f>NRT38+((NRT40+'NF - 5 Power Mix'!NRT14+'NF - 5 Power Mix'!NRT15)*860/10)+((('Form Sa1'!NRW835)*860)/10)+('Form Sa1'!NRW814*'Form Sa1'!NRW816/10)-'NF - 5 Power Mix'!NRT21-'NF - 5 Power Mix'!NRT22</f>
        <v>0</v>
      </c>
      <c r="NRU42" s="1046">
        <f>NRU38+((NRU40+'NF - 5 Power Mix'!NRU14+'NF - 5 Power Mix'!NRU15)*860/10)+((('Form Sa1'!NRX835)*860)/10)+('Form Sa1'!NRX814*'Form Sa1'!NRX816/10)-'NF - 5 Power Mix'!NRU21-'NF - 5 Power Mix'!NRU22</f>
        <v>0</v>
      </c>
      <c r="NRV42" s="1046">
        <f>NRV38+((NRV40+'NF - 5 Power Mix'!NRV14+'NF - 5 Power Mix'!NRV15)*860/10)+((('Form Sa1'!NRY835)*860)/10)+('Form Sa1'!NRY814*'Form Sa1'!NRY816/10)-'NF - 5 Power Mix'!NRV21-'NF - 5 Power Mix'!NRV22</f>
        <v>0</v>
      </c>
      <c r="NRW42" s="1046">
        <f>NRW38+((NRW40+'NF - 5 Power Mix'!NRW14+'NF - 5 Power Mix'!NRW15)*860/10)+((('Form Sa1'!NRZ835)*860)/10)+('Form Sa1'!NRZ814*'Form Sa1'!NRZ816/10)-'NF - 5 Power Mix'!NRW21-'NF - 5 Power Mix'!NRW22</f>
        <v>0</v>
      </c>
      <c r="NRX42" s="1046">
        <f>NRX38+((NRX40+'NF - 5 Power Mix'!NRX14+'NF - 5 Power Mix'!NRX15)*860/10)+((('Form Sa1'!NSA835)*860)/10)+('Form Sa1'!NSA814*'Form Sa1'!NSA816/10)-'NF - 5 Power Mix'!NRX21-'NF - 5 Power Mix'!NRX22</f>
        <v>0</v>
      </c>
      <c r="NRY42" s="1046">
        <f>NRY38+((NRY40+'NF - 5 Power Mix'!NRY14+'NF - 5 Power Mix'!NRY15)*860/10)+((('Form Sa1'!NSB835)*860)/10)+('Form Sa1'!NSB814*'Form Sa1'!NSB816/10)-'NF - 5 Power Mix'!NRY21-'NF - 5 Power Mix'!NRY22</f>
        <v>0</v>
      </c>
      <c r="NRZ42" s="1046">
        <f>NRZ38+((NRZ40+'NF - 5 Power Mix'!NRZ14+'NF - 5 Power Mix'!NRZ15)*860/10)+((('Form Sa1'!NSC835)*860)/10)+('Form Sa1'!NSC814*'Form Sa1'!NSC816/10)-'NF - 5 Power Mix'!NRZ21-'NF - 5 Power Mix'!NRZ22</f>
        <v>0</v>
      </c>
      <c r="NSA42" s="1046">
        <f>NSA38+((NSA40+'NF - 5 Power Mix'!NSA14+'NF - 5 Power Mix'!NSA15)*860/10)+((('Form Sa1'!NSD835)*860)/10)+('Form Sa1'!NSD814*'Form Sa1'!NSD816/10)-'NF - 5 Power Mix'!NSA21-'NF - 5 Power Mix'!NSA22</f>
        <v>0</v>
      </c>
      <c r="NSB42" s="1046">
        <f>NSB38+((NSB40+'NF - 5 Power Mix'!NSB14+'NF - 5 Power Mix'!NSB15)*860/10)+((('Form Sa1'!NSE835)*860)/10)+('Form Sa1'!NSE814*'Form Sa1'!NSE816/10)-'NF - 5 Power Mix'!NSB21-'NF - 5 Power Mix'!NSB22</f>
        <v>0</v>
      </c>
      <c r="NSC42" s="1046">
        <f>NSC38+((NSC40+'NF - 5 Power Mix'!NSC14+'NF - 5 Power Mix'!NSC15)*860/10)+((('Form Sa1'!NSF835)*860)/10)+('Form Sa1'!NSF814*'Form Sa1'!NSF816/10)-'NF - 5 Power Mix'!NSC21-'NF - 5 Power Mix'!NSC22</f>
        <v>0</v>
      </c>
      <c r="NSD42" s="1046">
        <f>NSD38+((NSD40+'NF - 5 Power Mix'!NSD14+'NF - 5 Power Mix'!NSD15)*860/10)+((('Form Sa1'!NSG835)*860)/10)+('Form Sa1'!NSG814*'Form Sa1'!NSG816/10)-'NF - 5 Power Mix'!NSD21-'NF - 5 Power Mix'!NSD22</f>
        <v>0</v>
      </c>
      <c r="NSE42" s="1046">
        <f>NSE38+((NSE40+'NF - 5 Power Mix'!NSE14+'NF - 5 Power Mix'!NSE15)*860/10)+((('Form Sa1'!NSH835)*860)/10)+('Form Sa1'!NSH814*'Form Sa1'!NSH816/10)-'NF - 5 Power Mix'!NSE21-'NF - 5 Power Mix'!NSE22</f>
        <v>0</v>
      </c>
      <c r="NSF42" s="1046">
        <f>NSF38+((NSF40+'NF - 5 Power Mix'!NSF14+'NF - 5 Power Mix'!NSF15)*860/10)+((('Form Sa1'!NSI835)*860)/10)+('Form Sa1'!NSI814*'Form Sa1'!NSI816/10)-'NF - 5 Power Mix'!NSF21-'NF - 5 Power Mix'!NSF22</f>
        <v>0</v>
      </c>
      <c r="NSG42" s="1046">
        <f>NSG38+((NSG40+'NF - 5 Power Mix'!NSG14+'NF - 5 Power Mix'!NSG15)*860/10)+((('Form Sa1'!NSJ835)*860)/10)+('Form Sa1'!NSJ814*'Form Sa1'!NSJ816/10)-'NF - 5 Power Mix'!NSG21-'NF - 5 Power Mix'!NSG22</f>
        <v>0</v>
      </c>
      <c r="NSH42" s="1046">
        <f>NSH38+((NSH40+'NF - 5 Power Mix'!NSH14+'NF - 5 Power Mix'!NSH15)*860/10)+((('Form Sa1'!NSK835)*860)/10)+('Form Sa1'!NSK814*'Form Sa1'!NSK816/10)-'NF - 5 Power Mix'!NSH21-'NF - 5 Power Mix'!NSH22</f>
        <v>0</v>
      </c>
      <c r="NSI42" s="1046">
        <f>NSI38+((NSI40+'NF - 5 Power Mix'!NSI14+'NF - 5 Power Mix'!NSI15)*860/10)+((('Form Sa1'!NSL835)*860)/10)+('Form Sa1'!NSL814*'Form Sa1'!NSL816/10)-'NF - 5 Power Mix'!NSI21-'NF - 5 Power Mix'!NSI22</f>
        <v>0</v>
      </c>
      <c r="NSJ42" s="1046">
        <f>NSJ38+((NSJ40+'NF - 5 Power Mix'!NSJ14+'NF - 5 Power Mix'!NSJ15)*860/10)+((('Form Sa1'!NSM835)*860)/10)+('Form Sa1'!NSM814*'Form Sa1'!NSM816/10)-'NF - 5 Power Mix'!NSJ21-'NF - 5 Power Mix'!NSJ22</f>
        <v>0</v>
      </c>
      <c r="NSK42" s="1046">
        <f>NSK38+((NSK40+'NF - 5 Power Mix'!NSK14+'NF - 5 Power Mix'!NSK15)*860/10)+((('Form Sa1'!NSN835)*860)/10)+('Form Sa1'!NSN814*'Form Sa1'!NSN816/10)-'NF - 5 Power Mix'!NSK21-'NF - 5 Power Mix'!NSK22</f>
        <v>0</v>
      </c>
      <c r="NSL42" s="1046">
        <f>NSL38+((NSL40+'NF - 5 Power Mix'!NSL14+'NF - 5 Power Mix'!NSL15)*860/10)+((('Form Sa1'!NSO835)*860)/10)+('Form Sa1'!NSO814*'Form Sa1'!NSO816/10)-'NF - 5 Power Mix'!NSL21-'NF - 5 Power Mix'!NSL22</f>
        <v>0</v>
      </c>
      <c r="NSM42" s="1046">
        <f>NSM38+((NSM40+'NF - 5 Power Mix'!NSM14+'NF - 5 Power Mix'!NSM15)*860/10)+((('Form Sa1'!NSP835)*860)/10)+('Form Sa1'!NSP814*'Form Sa1'!NSP816/10)-'NF - 5 Power Mix'!NSM21-'NF - 5 Power Mix'!NSM22</f>
        <v>0</v>
      </c>
      <c r="NSN42" s="1046">
        <f>NSN38+((NSN40+'NF - 5 Power Mix'!NSN14+'NF - 5 Power Mix'!NSN15)*860/10)+((('Form Sa1'!NSQ835)*860)/10)+('Form Sa1'!NSQ814*'Form Sa1'!NSQ816/10)-'NF - 5 Power Mix'!NSN21-'NF - 5 Power Mix'!NSN22</f>
        <v>0</v>
      </c>
      <c r="NSO42" s="1046">
        <f>NSO38+((NSO40+'NF - 5 Power Mix'!NSO14+'NF - 5 Power Mix'!NSO15)*860/10)+((('Form Sa1'!NSR835)*860)/10)+('Form Sa1'!NSR814*'Form Sa1'!NSR816/10)-'NF - 5 Power Mix'!NSO21-'NF - 5 Power Mix'!NSO22</f>
        <v>0</v>
      </c>
      <c r="NSP42" s="1046">
        <f>NSP38+((NSP40+'NF - 5 Power Mix'!NSP14+'NF - 5 Power Mix'!NSP15)*860/10)+((('Form Sa1'!NSS835)*860)/10)+('Form Sa1'!NSS814*'Form Sa1'!NSS816/10)-'NF - 5 Power Mix'!NSP21-'NF - 5 Power Mix'!NSP22</f>
        <v>0</v>
      </c>
      <c r="NSQ42" s="1046">
        <f>NSQ38+((NSQ40+'NF - 5 Power Mix'!NSQ14+'NF - 5 Power Mix'!NSQ15)*860/10)+((('Form Sa1'!NST835)*860)/10)+('Form Sa1'!NST814*'Form Sa1'!NST816/10)-'NF - 5 Power Mix'!NSQ21-'NF - 5 Power Mix'!NSQ22</f>
        <v>0</v>
      </c>
      <c r="NSR42" s="1046">
        <f>NSR38+((NSR40+'NF - 5 Power Mix'!NSR14+'NF - 5 Power Mix'!NSR15)*860/10)+((('Form Sa1'!NSU835)*860)/10)+('Form Sa1'!NSU814*'Form Sa1'!NSU816/10)-'NF - 5 Power Mix'!NSR21-'NF - 5 Power Mix'!NSR22</f>
        <v>0</v>
      </c>
      <c r="NSS42" s="1046">
        <f>NSS38+((NSS40+'NF - 5 Power Mix'!NSS14+'NF - 5 Power Mix'!NSS15)*860/10)+((('Form Sa1'!NSV835)*860)/10)+('Form Sa1'!NSV814*'Form Sa1'!NSV816/10)-'NF - 5 Power Mix'!NSS21-'NF - 5 Power Mix'!NSS22</f>
        <v>0</v>
      </c>
      <c r="NST42" s="1046">
        <f>NST38+((NST40+'NF - 5 Power Mix'!NST14+'NF - 5 Power Mix'!NST15)*860/10)+((('Form Sa1'!NSW835)*860)/10)+('Form Sa1'!NSW814*'Form Sa1'!NSW816/10)-'NF - 5 Power Mix'!NST21-'NF - 5 Power Mix'!NST22</f>
        <v>0</v>
      </c>
      <c r="NSU42" s="1046">
        <f>NSU38+((NSU40+'NF - 5 Power Mix'!NSU14+'NF - 5 Power Mix'!NSU15)*860/10)+((('Form Sa1'!NSX835)*860)/10)+('Form Sa1'!NSX814*'Form Sa1'!NSX816/10)-'NF - 5 Power Mix'!NSU21-'NF - 5 Power Mix'!NSU22</f>
        <v>0</v>
      </c>
      <c r="NSV42" s="1046">
        <f>NSV38+((NSV40+'NF - 5 Power Mix'!NSV14+'NF - 5 Power Mix'!NSV15)*860/10)+((('Form Sa1'!NSY835)*860)/10)+('Form Sa1'!NSY814*'Form Sa1'!NSY816/10)-'NF - 5 Power Mix'!NSV21-'NF - 5 Power Mix'!NSV22</f>
        <v>0</v>
      </c>
      <c r="NSW42" s="1046">
        <f>NSW38+((NSW40+'NF - 5 Power Mix'!NSW14+'NF - 5 Power Mix'!NSW15)*860/10)+((('Form Sa1'!NSZ835)*860)/10)+('Form Sa1'!NSZ814*'Form Sa1'!NSZ816/10)-'NF - 5 Power Mix'!NSW21-'NF - 5 Power Mix'!NSW22</f>
        <v>0</v>
      </c>
      <c r="NSX42" s="1046">
        <f>NSX38+((NSX40+'NF - 5 Power Mix'!NSX14+'NF - 5 Power Mix'!NSX15)*860/10)+((('Form Sa1'!NTA835)*860)/10)+('Form Sa1'!NTA814*'Form Sa1'!NTA816/10)-'NF - 5 Power Mix'!NSX21-'NF - 5 Power Mix'!NSX22</f>
        <v>0</v>
      </c>
      <c r="NSY42" s="1046">
        <f>NSY38+((NSY40+'NF - 5 Power Mix'!NSY14+'NF - 5 Power Mix'!NSY15)*860/10)+((('Form Sa1'!NTB835)*860)/10)+('Form Sa1'!NTB814*'Form Sa1'!NTB816/10)-'NF - 5 Power Mix'!NSY21-'NF - 5 Power Mix'!NSY22</f>
        <v>0</v>
      </c>
      <c r="NSZ42" s="1046">
        <f>NSZ38+((NSZ40+'NF - 5 Power Mix'!NSZ14+'NF - 5 Power Mix'!NSZ15)*860/10)+((('Form Sa1'!NTC835)*860)/10)+('Form Sa1'!NTC814*'Form Sa1'!NTC816/10)-'NF - 5 Power Mix'!NSZ21-'NF - 5 Power Mix'!NSZ22</f>
        <v>0</v>
      </c>
      <c r="NTA42" s="1046">
        <f>NTA38+((NTA40+'NF - 5 Power Mix'!NTA14+'NF - 5 Power Mix'!NTA15)*860/10)+((('Form Sa1'!NTD835)*860)/10)+('Form Sa1'!NTD814*'Form Sa1'!NTD816/10)-'NF - 5 Power Mix'!NTA21-'NF - 5 Power Mix'!NTA22</f>
        <v>0</v>
      </c>
      <c r="NTB42" s="1046">
        <f>NTB38+((NTB40+'NF - 5 Power Mix'!NTB14+'NF - 5 Power Mix'!NTB15)*860/10)+((('Form Sa1'!NTE835)*860)/10)+('Form Sa1'!NTE814*'Form Sa1'!NTE816/10)-'NF - 5 Power Mix'!NTB21-'NF - 5 Power Mix'!NTB22</f>
        <v>0</v>
      </c>
      <c r="NTC42" s="1046">
        <f>NTC38+((NTC40+'NF - 5 Power Mix'!NTC14+'NF - 5 Power Mix'!NTC15)*860/10)+((('Form Sa1'!NTF835)*860)/10)+('Form Sa1'!NTF814*'Form Sa1'!NTF816/10)-'NF - 5 Power Mix'!NTC21-'NF - 5 Power Mix'!NTC22</f>
        <v>0</v>
      </c>
      <c r="NTD42" s="1046">
        <f>NTD38+((NTD40+'NF - 5 Power Mix'!NTD14+'NF - 5 Power Mix'!NTD15)*860/10)+((('Form Sa1'!NTG835)*860)/10)+('Form Sa1'!NTG814*'Form Sa1'!NTG816/10)-'NF - 5 Power Mix'!NTD21-'NF - 5 Power Mix'!NTD22</f>
        <v>0</v>
      </c>
      <c r="NTE42" s="1046">
        <f>NTE38+((NTE40+'NF - 5 Power Mix'!NTE14+'NF - 5 Power Mix'!NTE15)*860/10)+((('Form Sa1'!NTH835)*860)/10)+('Form Sa1'!NTH814*'Form Sa1'!NTH816/10)-'NF - 5 Power Mix'!NTE21-'NF - 5 Power Mix'!NTE22</f>
        <v>0</v>
      </c>
      <c r="NTF42" s="1046">
        <f>NTF38+((NTF40+'NF - 5 Power Mix'!NTF14+'NF - 5 Power Mix'!NTF15)*860/10)+((('Form Sa1'!NTI835)*860)/10)+('Form Sa1'!NTI814*'Form Sa1'!NTI816/10)-'NF - 5 Power Mix'!NTF21-'NF - 5 Power Mix'!NTF22</f>
        <v>0</v>
      </c>
      <c r="NTG42" s="1046">
        <f>NTG38+((NTG40+'NF - 5 Power Mix'!NTG14+'NF - 5 Power Mix'!NTG15)*860/10)+((('Form Sa1'!NTJ835)*860)/10)+('Form Sa1'!NTJ814*'Form Sa1'!NTJ816/10)-'NF - 5 Power Mix'!NTG21-'NF - 5 Power Mix'!NTG22</f>
        <v>0</v>
      </c>
      <c r="NTH42" s="1046">
        <f>NTH38+((NTH40+'NF - 5 Power Mix'!NTH14+'NF - 5 Power Mix'!NTH15)*860/10)+((('Form Sa1'!NTK835)*860)/10)+('Form Sa1'!NTK814*'Form Sa1'!NTK816/10)-'NF - 5 Power Mix'!NTH21-'NF - 5 Power Mix'!NTH22</f>
        <v>0</v>
      </c>
      <c r="NTI42" s="1046">
        <f>NTI38+((NTI40+'NF - 5 Power Mix'!NTI14+'NF - 5 Power Mix'!NTI15)*860/10)+((('Form Sa1'!NTL835)*860)/10)+('Form Sa1'!NTL814*'Form Sa1'!NTL816/10)-'NF - 5 Power Mix'!NTI21-'NF - 5 Power Mix'!NTI22</f>
        <v>0</v>
      </c>
      <c r="NTJ42" s="1046">
        <f>NTJ38+((NTJ40+'NF - 5 Power Mix'!NTJ14+'NF - 5 Power Mix'!NTJ15)*860/10)+((('Form Sa1'!NTM835)*860)/10)+('Form Sa1'!NTM814*'Form Sa1'!NTM816/10)-'NF - 5 Power Mix'!NTJ21-'NF - 5 Power Mix'!NTJ22</f>
        <v>0</v>
      </c>
      <c r="NTK42" s="1046">
        <f>NTK38+((NTK40+'NF - 5 Power Mix'!NTK14+'NF - 5 Power Mix'!NTK15)*860/10)+((('Form Sa1'!NTN835)*860)/10)+('Form Sa1'!NTN814*'Form Sa1'!NTN816/10)-'NF - 5 Power Mix'!NTK21-'NF - 5 Power Mix'!NTK22</f>
        <v>0</v>
      </c>
      <c r="NTL42" s="1046">
        <f>NTL38+((NTL40+'NF - 5 Power Mix'!NTL14+'NF - 5 Power Mix'!NTL15)*860/10)+((('Form Sa1'!NTO835)*860)/10)+('Form Sa1'!NTO814*'Form Sa1'!NTO816/10)-'NF - 5 Power Mix'!NTL21-'NF - 5 Power Mix'!NTL22</f>
        <v>0</v>
      </c>
      <c r="NTM42" s="1046">
        <f>NTM38+((NTM40+'NF - 5 Power Mix'!NTM14+'NF - 5 Power Mix'!NTM15)*860/10)+((('Form Sa1'!NTP835)*860)/10)+('Form Sa1'!NTP814*'Form Sa1'!NTP816/10)-'NF - 5 Power Mix'!NTM21-'NF - 5 Power Mix'!NTM22</f>
        <v>0</v>
      </c>
      <c r="NTN42" s="1046">
        <f>NTN38+((NTN40+'NF - 5 Power Mix'!NTN14+'NF - 5 Power Mix'!NTN15)*860/10)+((('Form Sa1'!NTQ835)*860)/10)+('Form Sa1'!NTQ814*'Form Sa1'!NTQ816/10)-'NF - 5 Power Mix'!NTN21-'NF - 5 Power Mix'!NTN22</f>
        <v>0</v>
      </c>
      <c r="NTO42" s="1046">
        <f>NTO38+((NTO40+'NF - 5 Power Mix'!NTO14+'NF - 5 Power Mix'!NTO15)*860/10)+((('Form Sa1'!NTR835)*860)/10)+('Form Sa1'!NTR814*'Form Sa1'!NTR816/10)-'NF - 5 Power Mix'!NTO21-'NF - 5 Power Mix'!NTO22</f>
        <v>0</v>
      </c>
      <c r="NTP42" s="1046">
        <f>NTP38+((NTP40+'NF - 5 Power Mix'!NTP14+'NF - 5 Power Mix'!NTP15)*860/10)+((('Form Sa1'!NTS835)*860)/10)+('Form Sa1'!NTS814*'Form Sa1'!NTS816/10)-'NF - 5 Power Mix'!NTP21-'NF - 5 Power Mix'!NTP22</f>
        <v>0</v>
      </c>
      <c r="NTQ42" s="1046">
        <f>NTQ38+((NTQ40+'NF - 5 Power Mix'!NTQ14+'NF - 5 Power Mix'!NTQ15)*860/10)+((('Form Sa1'!NTT835)*860)/10)+('Form Sa1'!NTT814*'Form Sa1'!NTT816/10)-'NF - 5 Power Mix'!NTQ21-'NF - 5 Power Mix'!NTQ22</f>
        <v>0</v>
      </c>
      <c r="NTR42" s="1046">
        <f>NTR38+((NTR40+'NF - 5 Power Mix'!NTR14+'NF - 5 Power Mix'!NTR15)*860/10)+((('Form Sa1'!NTU835)*860)/10)+('Form Sa1'!NTU814*'Form Sa1'!NTU816/10)-'NF - 5 Power Mix'!NTR21-'NF - 5 Power Mix'!NTR22</f>
        <v>0</v>
      </c>
      <c r="NTS42" s="1046">
        <f>NTS38+((NTS40+'NF - 5 Power Mix'!NTS14+'NF - 5 Power Mix'!NTS15)*860/10)+((('Form Sa1'!NTV835)*860)/10)+('Form Sa1'!NTV814*'Form Sa1'!NTV816/10)-'NF - 5 Power Mix'!NTS21-'NF - 5 Power Mix'!NTS22</f>
        <v>0</v>
      </c>
      <c r="NTT42" s="1046">
        <f>NTT38+((NTT40+'NF - 5 Power Mix'!NTT14+'NF - 5 Power Mix'!NTT15)*860/10)+((('Form Sa1'!NTW835)*860)/10)+('Form Sa1'!NTW814*'Form Sa1'!NTW816/10)-'NF - 5 Power Mix'!NTT21-'NF - 5 Power Mix'!NTT22</f>
        <v>0</v>
      </c>
      <c r="NTU42" s="1046">
        <f>NTU38+((NTU40+'NF - 5 Power Mix'!NTU14+'NF - 5 Power Mix'!NTU15)*860/10)+((('Form Sa1'!NTX835)*860)/10)+('Form Sa1'!NTX814*'Form Sa1'!NTX816/10)-'NF - 5 Power Mix'!NTU21-'NF - 5 Power Mix'!NTU22</f>
        <v>0</v>
      </c>
      <c r="NTV42" s="1046">
        <f>NTV38+((NTV40+'NF - 5 Power Mix'!NTV14+'NF - 5 Power Mix'!NTV15)*860/10)+((('Form Sa1'!NTY835)*860)/10)+('Form Sa1'!NTY814*'Form Sa1'!NTY816/10)-'NF - 5 Power Mix'!NTV21-'NF - 5 Power Mix'!NTV22</f>
        <v>0</v>
      </c>
      <c r="NTW42" s="1046">
        <f>NTW38+((NTW40+'NF - 5 Power Mix'!NTW14+'NF - 5 Power Mix'!NTW15)*860/10)+((('Form Sa1'!NTZ835)*860)/10)+('Form Sa1'!NTZ814*'Form Sa1'!NTZ816/10)-'NF - 5 Power Mix'!NTW21-'NF - 5 Power Mix'!NTW22</f>
        <v>0</v>
      </c>
      <c r="NTX42" s="1046">
        <f>NTX38+((NTX40+'NF - 5 Power Mix'!NTX14+'NF - 5 Power Mix'!NTX15)*860/10)+((('Form Sa1'!NUA835)*860)/10)+('Form Sa1'!NUA814*'Form Sa1'!NUA816/10)-'NF - 5 Power Mix'!NTX21-'NF - 5 Power Mix'!NTX22</f>
        <v>0</v>
      </c>
      <c r="NTY42" s="1046">
        <f>NTY38+((NTY40+'NF - 5 Power Mix'!NTY14+'NF - 5 Power Mix'!NTY15)*860/10)+((('Form Sa1'!NUB835)*860)/10)+('Form Sa1'!NUB814*'Form Sa1'!NUB816/10)-'NF - 5 Power Mix'!NTY21-'NF - 5 Power Mix'!NTY22</f>
        <v>0</v>
      </c>
      <c r="NTZ42" s="1046">
        <f>NTZ38+((NTZ40+'NF - 5 Power Mix'!NTZ14+'NF - 5 Power Mix'!NTZ15)*860/10)+((('Form Sa1'!NUC835)*860)/10)+('Form Sa1'!NUC814*'Form Sa1'!NUC816/10)-'NF - 5 Power Mix'!NTZ21-'NF - 5 Power Mix'!NTZ22</f>
        <v>0</v>
      </c>
      <c r="NUA42" s="1046">
        <f>NUA38+((NUA40+'NF - 5 Power Mix'!NUA14+'NF - 5 Power Mix'!NUA15)*860/10)+((('Form Sa1'!NUD835)*860)/10)+('Form Sa1'!NUD814*'Form Sa1'!NUD816/10)-'NF - 5 Power Mix'!NUA21-'NF - 5 Power Mix'!NUA22</f>
        <v>0</v>
      </c>
      <c r="NUB42" s="1046">
        <f>NUB38+((NUB40+'NF - 5 Power Mix'!NUB14+'NF - 5 Power Mix'!NUB15)*860/10)+((('Form Sa1'!NUE835)*860)/10)+('Form Sa1'!NUE814*'Form Sa1'!NUE816/10)-'NF - 5 Power Mix'!NUB21-'NF - 5 Power Mix'!NUB22</f>
        <v>0</v>
      </c>
      <c r="NUC42" s="1046">
        <f>NUC38+((NUC40+'NF - 5 Power Mix'!NUC14+'NF - 5 Power Mix'!NUC15)*860/10)+((('Form Sa1'!NUF835)*860)/10)+('Form Sa1'!NUF814*'Form Sa1'!NUF816/10)-'NF - 5 Power Mix'!NUC21-'NF - 5 Power Mix'!NUC22</f>
        <v>0</v>
      </c>
      <c r="NUD42" s="1046">
        <f>NUD38+((NUD40+'NF - 5 Power Mix'!NUD14+'NF - 5 Power Mix'!NUD15)*860/10)+((('Form Sa1'!NUG835)*860)/10)+('Form Sa1'!NUG814*'Form Sa1'!NUG816/10)-'NF - 5 Power Mix'!NUD21-'NF - 5 Power Mix'!NUD22</f>
        <v>0</v>
      </c>
      <c r="NUE42" s="1046">
        <f>NUE38+((NUE40+'NF - 5 Power Mix'!NUE14+'NF - 5 Power Mix'!NUE15)*860/10)+((('Form Sa1'!NUH835)*860)/10)+('Form Sa1'!NUH814*'Form Sa1'!NUH816/10)-'NF - 5 Power Mix'!NUE21-'NF - 5 Power Mix'!NUE22</f>
        <v>0</v>
      </c>
      <c r="NUF42" s="1046">
        <f>NUF38+((NUF40+'NF - 5 Power Mix'!NUF14+'NF - 5 Power Mix'!NUF15)*860/10)+((('Form Sa1'!NUI835)*860)/10)+('Form Sa1'!NUI814*'Form Sa1'!NUI816/10)-'NF - 5 Power Mix'!NUF21-'NF - 5 Power Mix'!NUF22</f>
        <v>0</v>
      </c>
      <c r="NUG42" s="1046">
        <f>NUG38+((NUG40+'NF - 5 Power Mix'!NUG14+'NF - 5 Power Mix'!NUG15)*860/10)+((('Form Sa1'!NUJ835)*860)/10)+('Form Sa1'!NUJ814*'Form Sa1'!NUJ816/10)-'NF - 5 Power Mix'!NUG21-'NF - 5 Power Mix'!NUG22</f>
        <v>0</v>
      </c>
      <c r="NUH42" s="1046">
        <f>NUH38+((NUH40+'NF - 5 Power Mix'!NUH14+'NF - 5 Power Mix'!NUH15)*860/10)+((('Form Sa1'!NUK835)*860)/10)+('Form Sa1'!NUK814*'Form Sa1'!NUK816/10)-'NF - 5 Power Mix'!NUH21-'NF - 5 Power Mix'!NUH22</f>
        <v>0</v>
      </c>
      <c r="NUI42" s="1046">
        <f>NUI38+((NUI40+'NF - 5 Power Mix'!NUI14+'NF - 5 Power Mix'!NUI15)*860/10)+((('Form Sa1'!NUL835)*860)/10)+('Form Sa1'!NUL814*'Form Sa1'!NUL816/10)-'NF - 5 Power Mix'!NUI21-'NF - 5 Power Mix'!NUI22</f>
        <v>0</v>
      </c>
      <c r="NUJ42" s="1046">
        <f>NUJ38+((NUJ40+'NF - 5 Power Mix'!NUJ14+'NF - 5 Power Mix'!NUJ15)*860/10)+((('Form Sa1'!NUM835)*860)/10)+('Form Sa1'!NUM814*'Form Sa1'!NUM816/10)-'NF - 5 Power Mix'!NUJ21-'NF - 5 Power Mix'!NUJ22</f>
        <v>0</v>
      </c>
      <c r="NUK42" s="1046">
        <f>NUK38+((NUK40+'NF - 5 Power Mix'!NUK14+'NF - 5 Power Mix'!NUK15)*860/10)+((('Form Sa1'!NUN835)*860)/10)+('Form Sa1'!NUN814*'Form Sa1'!NUN816/10)-'NF - 5 Power Mix'!NUK21-'NF - 5 Power Mix'!NUK22</f>
        <v>0</v>
      </c>
      <c r="NUL42" s="1046">
        <f>NUL38+((NUL40+'NF - 5 Power Mix'!NUL14+'NF - 5 Power Mix'!NUL15)*860/10)+((('Form Sa1'!NUO835)*860)/10)+('Form Sa1'!NUO814*'Form Sa1'!NUO816/10)-'NF - 5 Power Mix'!NUL21-'NF - 5 Power Mix'!NUL22</f>
        <v>0</v>
      </c>
      <c r="NUM42" s="1046">
        <f>NUM38+((NUM40+'NF - 5 Power Mix'!NUM14+'NF - 5 Power Mix'!NUM15)*860/10)+((('Form Sa1'!NUP835)*860)/10)+('Form Sa1'!NUP814*'Form Sa1'!NUP816/10)-'NF - 5 Power Mix'!NUM21-'NF - 5 Power Mix'!NUM22</f>
        <v>0</v>
      </c>
      <c r="NUN42" s="1046">
        <f>NUN38+((NUN40+'NF - 5 Power Mix'!NUN14+'NF - 5 Power Mix'!NUN15)*860/10)+((('Form Sa1'!NUQ835)*860)/10)+('Form Sa1'!NUQ814*'Form Sa1'!NUQ816/10)-'NF - 5 Power Mix'!NUN21-'NF - 5 Power Mix'!NUN22</f>
        <v>0</v>
      </c>
      <c r="NUO42" s="1046">
        <f>NUO38+((NUO40+'NF - 5 Power Mix'!NUO14+'NF - 5 Power Mix'!NUO15)*860/10)+((('Form Sa1'!NUR835)*860)/10)+('Form Sa1'!NUR814*'Form Sa1'!NUR816/10)-'NF - 5 Power Mix'!NUO21-'NF - 5 Power Mix'!NUO22</f>
        <v>0</v>
      </c>
      <c r="NUP42" s="1046">
        <f>NUP38+((NUP40+'NF - 5 Power Mix'!NUP14+'NF - 5 Power Mix'!NUP15)*860/10)+((('Form Sa1'!NUS835)*860)/10)+('Form Sa1'!NUS814*'Form Sa1'!NUS816/10)-'NF - 5 Power Mix'!NUP21-'NF - 5 Power Mix'!NUP22</f>
        <v>0</v>
      </c>
      <c r="NUQ42" s="1046">
        <f>NUQ38+((NUQ40+'NF - 5 Power Mix'!NUQ14+'NF - 5 Power Mix'!NUQ15)*860/10)+((('Form Sa1'!NUT835)*860)/10)+('Form Sa1'!NUT814*'Form Sa1'!NUT816/10)-'NF - 5 Power Mix'!NUQ21-'NF - 5 Power Mix'!NUQ22</f>
        <v>0</v>
      </c>
      <c r="NUR42" s="1046">
        <f>NUR38+((NUR40+'NF - 5 Power Mix'!NUR14+'NF - 5 Power Mix'!NUR15)*860/10)+((('Form Sa1'!NUU835)*860)/10)+('Form Sa1'!NUU814*'Form Sa1'!NUU816/10)-'NF - 5 Power Mix'!NUR21-'NF - 5 Power Mix'!NUR22</f>
        <v>0</v>
      </c>
      <c r="NUS42" s="1046">
        <f>NUS38+((NUS40+'NF - 5 Power Mix'!NUS14+'NF - 5 Power Mix'!NUS15)*860/10)+((('Form Sa1'!NUV835)*860)/10)+('Form Sa1'!NUV814*'Form Sa1'!NUV816/10)-'NF - 5 Power Mix'!NUS21-'NF - 5 Power Mix'!NUS22</f>
        <v>0</v>
      </c>
      <c r="NUT42" s="1046">
        <f>NUT38+((NUT40+'NF - 5 Power Mix'!NUT14+'NF - 5 Power Mix'!NUT15)*860/10)+((('Form Sa1'!NUW835)*860)/10)+('Form Sa1'!NUW814*'Form Sa1'!NUW816/10)-'NF - 5 Power Mix'!NUT21-'NF - 5 Power Mix'!NUT22</f>
        <v>0</v>
      </c>
      <c r="NUU42" s="1046">
        <f>NUU38+((NUU40+'NF - 5 Power Mix'!NUU14+'NF - 5 Power Mix'!NUU15)*860/10)+((('Form Sa1'!NUX835)*860)/10)+('Form Sa1'!NUX814*'Form Sa1'!NUX816/10)-'NF - 5 Power Mix'!NUU21-'NF - 5 Power Mix'!NUU22</f>
        <v>0</v>
      </c>
      <c r="NUV42" s="1046">
        <f>NUV38+((NUV40+'NF - 5 Power Mix'!NUV14+'NF - 5 Power Mix'!NUV15)*860/10)+((('Form Sa1'!NUY835)*860)/10)+('Form Sa1'!NUY814*'Form Sa1'!NUY816/10)-'NF - 5 Power Mix'!NUV21-'NF - 5 Power Mix'!NUV22</f>
        <v>0</v>
      </c>
      <c r="NUW42" s="1046">
        <f>NUW38+((NUW40+'NF - 5 Power Mix'!NUW14+'NF - 5 Power Mix'!NUW15)*860/10)+((('Form Sa1'!NUZ835)*860)/10)+('Form Sa1'!NUZ814*'Form Sa1'!NUZ816/10)-'NF - 5 Power Mix'!NUW21-'NF - 5 Power Mix'!NUW22</f>
        <v>0</v>
      </c>
      <c r="NUX42" s="1046">
        <f>NUX38+((NUX40+'NF - 5 Power Mix'!NUX14+'NF - 5 Power Mix'!NUX15)*860/10)+((('Form Sa1'!NVA835)*860)/10)+('Form Sa1'!NVA814*'Form Sa1'!NVA816/10)-'NF - 5 Power Mix'!NUX21-'NF - 5 Power Mix'!NUX22</f>
        <v>0</v>
      </c>
      <c r="NUY42" s="1046">
        <f>NUY38+((NUY40+'NF - 5 Power Mix'!NUY14+'NF - 5 Power Mix'!NUY15)*860/10)+((('Form Sa1'!NVB835)*860)/10)+('Form Sa1'!NVB814*'Form Sa1'!NVB816/10)-'NF - 5 Power Mix'!NUY21-'NF - 5 Power Mix'!NUY22</f>
        <v>0</v>
      </c>
      <c r="NUZ42" s="1046">
        <f>NUZ38+((NUZ40+'NF - 5 Power Mix'!NUZ14+'NF - 5 Power Mix'!NUZ15)*860/10)+((('Form Sa1'!NVC835)*860)/10)+('Form Sa1'!NVC814*'Form Sa1'!NVC816/10)-'NF - 5 Power Mix'!NUZ21-'NF - 5 Power Mix'!NUZ22</f>
        <v>0</v>
      </c>
      <c r="NVA42" s="1046">
        <f>NVA38+((NVA40+'NF - 5 Power Mix'!NVA14+'NF - 5 Power Mix'!NVA15)*860/10)+((('Form Sa1'!NVD835)*860)/10)+('Form Sa1'!NVD814*'Form Sa1'!NVD816/10)-'NF - 5 Power Mix'!NVA21-'NF - 5 Power Mix'!NVA22</f>
        <v>0</v>
      </c>
      <c r="NVB42" s="1046">
        <f>NVB38+((NVB40+'NF - 5 Power Mix'!NVB14+'NF - 5 Power Mix'!NVB15)*860/10)+((('Form Sa1'!NVE835)*860)/10)+('Form Sa1'!NVE814*'Form Sa1'!NVE816/10)-'NF - 5 Power Mix'!NVB21-'NF - 5 Power Mix'!NVB22</f>
        <v>0</v>
      </c>
      <c r="NVC42" s="1046">
        <f>NVC38+((NVC40+'NF - 5 Power Mix'!NVC14+'NF - 5 Power Mix'!NVC15)*860/10)+((('Form Sa1'!NVF835)*860)/10)+('Form Sa1'!NVF814*'Form Sa1'!NVF816/10)-'NF - 5 Power Mix'!NVC21-'NF - 5 Power Mix'!NVC22</f>
        <v>0</v>
      </c>
      <c r="NVD42" s="1046">
        <f>NVD38+((NVD40+'NF - 5 Power Mix'!NVD14+'NF - 5 Power Mix'!NVD15)*860/10)+((('Form Sa1'!NVG835)*860)/10)+('Form Sa1'!NVG814*'Form Sa1'!NVG816/10)-'NF - 5 Power Mix'!NVD21-'NF - 5 Power Mix'!NVD22</f>
        <v>0</v>
      </c>
      <c r="NVE42" s="1046">
        <f>NVE38+((NVE40+'NF - 5 Power Mix'!NVE14+'NF - 5 Power Mix'!NVE15)*860/10)+((('Form Sa1'!NVH835)*860)/10)+('Form Sa1'!NVH814*'Form Sa1'!NVH816/10)-'NF - 5 Power Mix'!NVE21-'NF - 5 Power Mix'!NVE22</f>
        <v>0</v>
      </c>
      <c r="NVF42" s="1046">
        <f>NVF38+((NVF40+'NF - 5 Power Mix'!NVF14+'NF - 5 Power Mix'!NVF15)*860/10)+((('Form Sa1'!NVI835)*860)/10)+('Form Sa1'!NVI814*'Form Sa1'!NVI816/10)-'NF - 5 Power Mix'!NVF21-'NF - 5 Power Mix'!NVF22</f>
        <v>0</v>
      </c>
      <c r="NVG42" s="1046">
        <f>NVG38+((NVG40+'NF - 5 Power Mix'!NVG14+'NF - 5 Power Mix'!NVG15)*860/10)+((('Form Sa1'!NVJ835)*860)/10)+('Form Sa1'!NVJ814*'Form Sa1'!NVJ816/10)-'NF - 5 Power Mix'!NVG21-'NF - 5 Power Mix'!NVG22</f>
        <v>0</v>
      </c>
      <c r="NVH42" s="1046">
        <f>NVH38+((NVH40+'NF - 5 Power Mix'!NVH14+'NF - 5 Power Mix'!NVH15)*860/10)+((('Form Sa1'!NVK835)*860)/10)+('Form Sa1'!NVK814*'Form Sa1'!NVK816/10)-'NF - 5 Power Mix'!NVH21-'NF - 5 Power Mix'!NVH22</f>
        <v>0</v>
      </c>
      <c r="NVI42" s="1046">
        <f>NVI38+((NVI40+'NF - 5 Power Mix'!NVI14+'NF - 5 Power Mix'!NVI15)*860/10)+((('Form Sa1'!NVL835)*860)/10)+('Form Sa1'!NVL814*'Form Sa1'!NVL816/10)-'NF - 5 Power Mix'!NVI21-'NF - 5 Power Mix'!NVI22</f>
        <v>0</v>
      </c>
      <c r="NVJ42" s="1046">
        <f>NVJ38+((NVJ40+'NF - 5 Power Mix'!NVJ14+'NF - 5 Power Mix'!NVJ15)*860/10)+((('Form Sa1'!NVM835)*860)/10)+('Form Sa1'!NVM814*'Form Sa1'!NVM816/10)-'NF - 5 Power Mix'!NVJ21-'NF - 5 Power Mix'!NVJ22</f>
        <v>0</v>
      </c>
      <c r="NVK42" s="1046">
        <f>NVK38+((NVK40+'NF - 5 Power Mix'!NVK14+'NF - 5 Power Mix'!NVK15)*860/10)+((('Form Sa1'!NVN835)*860)/10)+('Form Sa1'!NVN814*'Form Sa1'!NVN816/10)-'NF - 5 Power Mix'!NVK21-'NF - 5 Power Mix'!NVK22</f>
        <v>0</v>
      </c>
      <c r="NVL42" s="1046">
        <f>NVL38+((NVL40+'NF - 5 Power Mix'!NVL14+'NF - 5 Power Mix'!NVL15)*860/10)+((('Form Sa1'!NVO835)*860)/10)+('Form Sa1'!NVO814*'Form Sa1'!NVO816/10)-'NF - 5 Power Mix'!NVL21-'NF - 5 Power Mix'!NVL22</f>
        <v>0</v>
      </c>
      <c r="NVM42" s="1046">
        <f>NVM38+((NVM40+'NF - 5 Power Mix'!NVM14+'NF - 5 Power Mix'!NVM15)*860/10)+((('Form Sa1'!NVP835)*860)/10)+('Form Sa1'!NVP814*'Form Sa1'!NVP816/10)-'NF - 5 Power Mix'!NVM21-'NF - 5 Power Mix'!NVM22</f>
        <v>0</v>
      </c>
      <c r="NVN42" s="1046">
        <f>NVN38+((NVN40+'NF - 5 Power Mix'!NVN14+'NF - 5 Power Mix'!NVN15)*860/10)+((('Form Sa1'!NVQ835)*860)/10)+('Form Sa1'!NVQ814*'Form Sa1'!NVQ816/10)-'NF - 5 Power Mix'!NVN21-'NF - 5 Power Mix'!NVN22</f>
        <v>0</v>
      </c>
      <c r="NVO42" s="1046">
        <f>NVO38+((NVO40+'NF - 5 Power Mix'!NVO14+'NF - 5 Power Mix'!NVO15)*860/10)+((('Form Sa1'!NVR835)*860)/10)+('Form Sa1'!NVR814*'Form Sa1'!NVR816/10)-'NF - 5 Power Mix'!NVO21-'NF - 5 Power Mix'!NVO22</f>
        <v>0</v>
      </c>
      <c r="NVP42" s="1046">
        <f>NVP38+((NVP40+'NF - 5 Power Mix'!NVP14+'NF - 5 Power Mix'!NVP15)*860/10)+((('Form Sa1'!NVS835)*860)/10)+('Form Sa1'!NVS814*'Form Sa1'!NVS816/10)-'NF - 5 Power Mix'!NVP21-'NF - 5 Power Mix'!NVP22</f>
        <v>0</v>
      </c>
      <c r="NVQ42" s="1046">
        <f>NVQ38+((NVQ40+'NF - 5 Power Mix'!NVQ14+'NF - 5 Power Mix'!NVQ15)*860/10)+((('Form Sa1'!NVT835)*860)/10)+('Form Sa1'!NVT814*'Form Sa1'!NVT816/10)-'NF - 5 Power Mix'!NVQ21-'NF - 5 Power Mix'!NVQ22</f>
        <v>0</v>
      </c>
      <c r="NVR42" s="1046">
        <f>NVR38+((NVR40+'NF - 5 Power Mix'!NVR14+'NF - 5 Power Mix'!NVR15)*860/10)+((('Form Sa1'!NVU835)*860)/10)+('Form Sa1'!NVU814*'Form Sa1'!NVU816/10)-'NF - 5 Power Mix'!NVR21-'NF - 5 Power Mix'!NVR22</f>
        <v>0</v>
      </c>
      <c r="NVS42" s="1046">
        <f>NVS38+((NVS40+'NF - 5 Power Mix'!NVS14+'NF - 5 Power Mix'!NVS15)*860/10)+((('Form Sa1'!NVV835)*860)/10)+('Form Sa1'!NVV814*'Form Sa1'!NVV816/10)-'NF - 5 Power Mix'!NVS21-'NF - 5 Power Mix'!NVS22</f>
        <v>0</v>
      </c>
      <c r="NVT42" s="1046">
        <f>NVT38+((NVT40+'NF - 5 Power Mix'!NVT14+'NF - 5 Power Mix'!NVT15)*860/10)+((('Form Sa1'!NVW835)*860)/10)+('Form Sa1'!NVW814*'Form Sa1'!NVW816/10)-'NF - 5 Power Mix'!NVT21-'NF - 5 Power Mix'!NVT22</f>
        <v>0</v>
      </c>
      <c r="NVU42" s="1046">
        <f>NVU38+((NVU40+'NF - 5 Power Mix'!NVU14+'NF - 5 Power Mix'!NVU15)*860/10)+((('Form Sa1'!NVX835)*860)/10)+('Form Sa1'!NVX814*'Form Sa1'!NVX816/10)-'NF - 5 Power Mix'!NVU21-'NF - 5 Power Mix'!NVU22</f>
        <v>0</v>
      </c>
      <c r="NVV42" s="1046">
        <f>NVV38+((NVV40+'NF - 5 Power Mix'!NVV14+'NF - 5 Power Mix'!NVV15)*860/10)+((('Form Sa1'!NVY835)*860)/10)+('Form Sa1'!NVY814*'Form Sa1'!NVY816/10)-'NF - 5 Power Mix'!NVV21-'NF - 5 Power Mix'!NVV22</f>
        <v>0</v>
      </c>
      <c r="NVW42" s="1046">
        <f>NVW38+((NVW40+'NF - 5 Power Mix'!NVW14+'NF - 5 Power Mix'!NVW15)*860/10)+((('Form Sa1'!NVZ835)*860)/10)+('Form Sa1'!NVZ814*'Form Sa1'!NVZ816/10)-'NF - 5 Power Mix'!NVW21-'NF - 5 Power Mix'!NVW22</f>
        <v>0</v>
      </c>
      <c r="NVX42" s="1046">
        <f>NVX38+((NVX40+'NF - 5 Power Mix'!NVX14+'NF - 5 Power Mix'!NVX15)*860/10)+((('Form Sa1'!NWA835)*860)/10)+('Form Sa1'!NWA814*'Form Sa1'!NWA816/10)-'NF - 5 Power Mix'!NVX21-'NF - 5 Power Mix'!NVX22</f>
        <v>0</v>
      </c>
      <c r="NVY42" s="1046">
        <f>NVY38+((NVY40+'NF - 5 Power Mix'!NVY14+'NF - 5 Power Mix'!NVY15)*860/10)+((('Form Sa1'!NWB835)*860)/10)+('Form Sa1'!NWB814*'Form Sa1'!NWB816/10)-'NF - 5 Power Mix'!NVY21-'NF - 5 Power Mix'!NVY22</f>
        <v>0</v>
      </c>
      <c r="NVZ42" s="1046">
        <f>NVZ38+((NVZ40+'NF - 5 Power Mix'!NVZ14+'NF - 5 Power Mix'!NVZ15)*860/10)+((('Form Sa1'!NWC835)*860)/10)+('Form Sa1'!NWC814*'Form Sa1'!NWC816/10)-'NF - 5 Power Mix'!NVZ21-'NF - 5 Power Mix'!NVZ22</f>
        <v>0</v>
      </c>
      <c r="NWA42" s="1046">
        <f>NWA38+((NWA40+'NF - 5 Power Mix'!NWA14+'NF - 5 Power Mix'!NWA15)*860/10)+((('Form Sa1'!NWD835)*860)/10)+('Form Sa1'!NWD814*'Form Sa1'!NWD816/10)-'NF - 5 Power Mix'!NWA21-'NF - 5 Power Mix'!NWA22</f>
        <v>0</v>
      </c>
      <c r="NWB42" s="1046">
        <f>NWB38+((NWB40+'NF - 5 Power Mix'!NWB14+'NF - 5 Power Mix'!NWB15)*860/10)+((('Form Sa1'!NWE835)*860)/10)+('Form Sa1'!NWE814*'Form Sa1'!NWE816/10)-'NF - 5 Power Mix'!NWB21-'NF - 5 Power Mix'!NWB22</f>
        <v>0</v>
      </c>
      <c r="NWC42" s="1046">
        <f>NWC38+((NWC40+'NF - 5 Power Mix'!NWC14+'NF - 5 Power Mix'!NWC15)*860/10)+((('Form Sa1'!NWF835)*860)/10)+('Form Sa1'!NWF814*'Form Sa1'!NWF816/10)-'NF - 5 Power Mix'!NWC21-'NF - 5 Power Mix'!NWC22</f>
        <v>0</v>
      </c>
      <c r="NWD42" s="1046">
        <f>NWD38+((NWD40+'NF - 5 Power Mix'!NWD14+'NF - 5 Power Mix'!NWD15)*860/10)+((('Form Sa1'!NWG835)*860)/10)+('Form Sa1'!NWG814*'Form Sa1'!NWG816/10)-'NF - 5 Power Mix'!NWD21-'NF - 5 Power Mix'!NWD22</f>
        <v>0</v>
      </c>
      <c r="NWE42" s="1046">
        <f>NWE38+((NWE40+'NF - 5 Power Mix'!NWE14+'NF - 5 Power Mix'!NWE15)*860/10)+((('Form Sa1'!NWH835)*860)/10)+('Form Sa1'!NWH814*'Form Sa1'!NWH816/10)-'NF - 5 Power Mix'!NWE21-'NF - 5 Power Mix'!NWE22</f>
        <v>0</v>
      </c>
      <c r="NWF42" s="1046">
        <f>NWF38+((NWF40+'NF - 5 Power Mix'!NWF14+'NF - 5 Power Mix'!NWF15)*860/10)+((('Form Sa1'!NWI835)*860)/10)+('Form Sa1'!NWI814*'Form Sa1'!NWI816/10)-'NF - 5 Power Mix'!NWF21-'NF - 5 Power Mix'!NWF22</f>
        <v>0</v>
      </c>
      <c r="NWG42" s="1046">
        <f>NWG38+((NWG40+'NF - 5 Power Mix'!NWG14+'NF - 5 Power Mix'!NWG15)*860/10)+((('Form Sa1'!NWJ835)*860)/10)+('Form Sa1'!NWJ814*'Form Sa1'!NWJ816/10)-'NF - 5 Power Mix'!NWG21-'NF - 5 Power Mix'!NWG22</f>
        <v>0</v>
      </c>
      <c r="NWH42" s="1046">
        <f>NWH38+((NWH40+'NF - 5 Power Mix'!NWH14+'NF - 5 Power Mix'!NWH15)*860/10)+((('Form Sa1'!NWK835)*860)/10)+('Form Sa1'!NWK814*'Form Sa1'!NWK816/10)-'NF - 5 Power Mix'!NWH21-'NF - 5 Power Mix'!NWH22</f>
        <v>0</v>
      </c>
      <c r="NWI42" s="1046">
        <f>NWI38+((NWI40+'NF - 5 Power Mix'!NWI14+'NF - 5 Power Mix'!NWI15)*860/10)+((('Form Sa1'!NWL835)*860)/10)+('Form Sa1'!NWL814*'Form Sa1'!NWL816/10)-'NF - 5 Power Mix'!NWI21-'NF - 5 Power Mix'!NWI22</f>
        <v>0</v>
      </c>
      <c r="NWJ42" s="1046">
        <f>NWJ38+((NWJ40+'NF - 5 Power Mix'!NWJ14+'NF - 5 Power Mix'!NWJ15)*860/10)+((('Form Sa1'!NWM835)*860)/10)+('Form Sa1'!NWM814*'Form Sa1'!NWM816/10)-'NF - 5 Power Mix'!NWJ21-'NF - 5 Power Mix'!NWJ22</f>
        <v>0</v>
      </c>
      <c r="NWK42" s="1046">
        <f>NWK38+((NWK40+'NF - 5 Power Mix'!NWK14+'NF - 5 Power Mix'!NWK15)*860/10)+((('Form Sa1'!NWN835)*860)/10)+('Form Sa1'!NWN814*'Form Sa1'!NWN816/10)-'NF - 5 Power Mix'!NWK21-'NF - 5 Power Mix'!NWK22</f>
        <v>0</v>
      </c>
      <c r="NWL42" s="1046">
        <f>NWL38+((NWL40+'NF - 5 Power Mix'!NWL14+'NF - 5 Power Mix'!NWL15)*860/10)+((('Form Sa1'!NWO835)*860)/10)+('Form Sa1'!NWO814*'Form Sa1'!NWO816/10)-'NF - 5 Power Mix'!NWL21-'NF - 5 Power Mix'!NWL22</f>
        <v>0</v>
      </c>
      <c r="NWM42" s="1046">
        <f>NWM38+((NWM40+'NF - 5 Power Mix'!NWM14+'NF - 5 Power Mix'!NWM15)*860/10)+((('Form Sa1'!NWP835)*860)/10)+('Form Sa1'!NWP814*'Form Sa1'!NWP816/10)-'NF - 5 Power Mix'!NWM21-'NF - 5 Power Mix'!NWM22</f>
        <v>0</v>
      </c>
      <c r="NWN42" s="1046">
        <f>NWN38+((NWN40+'NF - 5 Power Mix'!NWN14+'NF - 5 Power Mix'!NWN15)*860/10)+((('Form Sa1'!NWQ835)*860)/10)+('Form Sa1'!NWQ814*'Form Sa1'!NWQ816/10)-'NF - 5 Power Mix'!NWN21-'NF - 5 Power Mix'!NWN22</f>
        <v>0</v>
      </c>
      <c r="NWO42" s="1046">
        <f>NWO38+((NWO40+'NF - 5 Power Mix'!NWO14+'NF - 5 Power Mix'!NWO15)*860/10)+((('Form Sa1'!NWR835)*860)/10)+('Form Sa1'!NWR814*'Form Sa1'!NWR816/10)-'NF - 5 Power Mix'!NWO21-'NF - 5 Power Mix'!NWO22</f>
        <v>0</v>
      </c>
      <c r="NWP42" s="1046">
        <f>NWP38+((NWP40+'NF - 5 Power Mix'!NWP14+'NF - 5 Power Mix'!NWP15)*860/10)+((('Form Sa1'!NWS835)*860)/10)+('Form Sa1'!NWS814*'Form Sa1'!NWS816/10)-'NF - 5 Power Mix'!NWP21-'NF - 5 Power Mix'!NWP22</f>
        <v>0</v>
      </c>
      <c r="NWQ42" s="1046">
        <f>NWQ38+((NWQ40+'NF - 5 Power Mix'!NWQ14+'NF - 5 Power Mix'!NWQ15)*860/10)+((('Form Sa1'!NWT835)*860)/10)+('Form Sa1'!NWT814*'Form Sa1'!NWT816/10)-'NF - 5 Power Mix'!NWQ21-'NF - 5 Power Mix'!NWQ22</f>
        <v>0</v>
      </c>
      <c r="NWR42" s="1046">
        <f>NWR38+((NWR40+'NF - 5 Power Mix'!NWR14+'NF - 5 Power Mix'!NWR15)*860/10)+((('Form Sa1'!NWU835)*860)/10)+('Form Sa1'!NWU814*'Form Sa1'!NWU816/10)-'NF - 5 Power Mix'!NWR21-'NF - 5 Power Mix'!NWR22</f>
        <v>0</v>
      </c>
      <c r="NWS42" s="1046">
        <f>NWS38+((NWS40+'NF - 5 Power Mix'!NWS14+'NF - 5 Power Mix'!NWS15)*860/10)+((('Form Sa1'!NWV835)*860)/10)+('Form Sa1'!NWV814*'Form Sa1'!NWV816/10)-'NF - 5 Power Mix'!NWS21-'NF - 5 Power Mix'!NWS22</f>
        <v>0</v>
      </c>
      <c r="NWT42" s="1046">
        <f>NWT38+((NWT40+'NF - 5 Power Mix'!NWT14+'NF - 5 Power Mix'!NWT15)*860/10)+((('Form Sa1'!NWW835)*860)/10)+('Form Sa1'!NWW814*'Form Sa1'!NWW816/10)-'NF - 5 Power Mix'!NWT21-'NF - 5 Power Mix'!NWT22</f>
        <v>0</v>
      </c>
      <c r="NWU42" s="1046">
        <f>NWU38+((NWU40+'NF - 5 Power Mix'!NWU14+'NF - 5 Power Mix'!NWU15)*860/10)+((('Form Sa1'!NWX835)*860)/10)+('Form Sa1'!NWX814*'Form Sa1'!NWX816/10)-'NF - 5 Power Mix'!NWU21-'NF - 5 Power Mix'!NWU22</f>
        <v>0</v>
      </c>
      <c r="NWV42" s="1046">
        <f>NWV38+((NWV40+'NF - 5 Power Mix'!NWV14+'NF - 5 Power Mix'!NWV15)*860/10)+((('Form Sa1'!NWY835)*860)/10)+('Form Sa1'!NWY814*'Form Sa1'!NWY816/10)-'NF - 5 Power Mix'!NWV21-'NF - 5 Power Mix'!NWV22</f>
        <v>0</v>
      </c>
      <c r="NWW42" s="1046">
        <f>NWW38+((NWW40+'NF - 5 Power Mix'!NWW14+'NF - 5 Power Mix'!NWW15)*860/10)+((('Form Sa1'!NWZ835)*860)/10)+('Form Sa1'!NWZ814*'Form Sa1'!NWZ816/10)-'NF - 5 Power Mix'!NWW21-'NF - 5 Power Mix'!NWW22</f>
        <v>0</v>
      </c>
      <c r="NWX42" s="1046">
        <f>NWX38+((NWX40+'NF - 5 Power Mix'!NWX14+'NF - 5 Power Mix'!NWX15)*860/10)+((('Form Sa1'!NXA835)*860)/10)+('Form Sa1'!NXA814*'Form Sa1'!NXA816/10)-'NF - 5 Power Mix'!NWX21-'NF - 5 Power Mix'!NWX22</f>
        <v>0</v>
      </c>
      <c r="NWY42" s="1046">
        <f>NWY38+((NWY40+'NF - 5 Power Mix'!NWY14+'NF - 5 Power Mix'!NWY15)*860/10)+((('Form Sa1'!NXB835)*860)/10)+('Form Sa1'!NXB814*'Form Sa1'!NXB816/10)-'NF - 5 Power Mix'!NWY21-'NF - 5 Power Mix'!NWY22</f>
        <v>0</v>
      </c>
      <c r="NWZ42" s="1046">
        <f>NWZ38+((NWZ40+'NF - 5 Power Mix'!NWZ14+'NF - 5 Power Mix'!NWZ15)*860/10)+((('Form Sa1'!NXC835)*860)/10)+('Form Sa1'!NXC814*'Form Sa1'!NXC816/10)-'NF - 5 Power Mix'!NWZ21-'NF - 5 Power Mix'!NWZ22</f>
        <v>0</v>
      </c>
      <c r="NXA42" s="1046">
        <f>NXA38+((NXA40+'NF - 5 Power Mix'!NXA14+'NF - 5 Power Mix'!NXA15)*860/10)+((('Form Sa1'!NXD835)*860)/10)+('Form Sa1'!NXD814*'Form Sa1'!NXD816/10)-'NF - 5 Power Mix'!NXA21-'NF - 5 Power Mix'!NXA22</f>
        <v>0</v>
      </c>
      <c r="NXB42" s="1046">
        <f>NXB38+((NXB40+'NF - 5 Power Mix'!NXB14+'NF - 5 Power Mix'!NXB15)*860/10)+((('Form Sa1'!NXE835)*860)/10)+('Form Sa1'!NXE814*'Form Sa1'!NXE816/10)-'NF - 5 Power Mix'!NXB21-'NF - 5 Power Mix'!NXB22</f>
        <v>0</v>
      </c>
      <c r="NXC42" s="1046">
        <f>NXC38+((NXC40+'NF - 5 Power Mix'!NXC14+'NF - 5 Power Mix'!NXC15)*860/10)+((('Form Sa1'!NXF835)*860)/10)+('Form Sa1'!NXF814*'Form Sa1'!NXF816/10)-'NF - 5 Power Mix'!NXC21-'NF - 5 Power Mix'!NXC22</f>
        <v>0</v>
      </c>
      <c r="NXD42" s="1046">
        <f>NXD38+((NXD40+'NF - 5 Power Mix'!NXD14+'NF - 5 Power Mix'!NXD15)*860/10)+((('Form Sa1'!NXG835)*860)/10)+('Form Sa1'!NXG814*'Form Sa1'!NXG816/10)-'NF - 5 Power Mix'!NXD21-'NF - 5 Power Mix'!NXD22</f>
        <v>0</v>
      </c>
      <c r="NXE42" s="1046">
        <f>NXE38+((NXE40+'NF - 5 Power Mix'!NXE14+'NF - 5 Power Mix'!NXE15)*860/10)+((('Form Sa1'!NXH835)*860)/10)+('Form Sa1'!NXH814*'Form Sa1'!NXH816/10)-'NF - 5 Power Mix'!NXE21-'NF - 5 Power Mix'!NXE22</f>
        <v>0</v>
      </c>
      <c r="NXF42" s="1046">
        <f>NXF38+((NXF40+'NF - 5 Power Mix'!NXF14+'NF - 5 Power Mix'!NXF15)*860/10)+((('Form Sa1'!NXI835)*860)/10)+('Form Sa1'!NXI814*'Form Sa1'!NXI816/10)-'NF - 5 Power Mix'!NXF21-'NF - 5 Power Mix'!NXF22</f>
        <v>0</v>
      </c>
      <c r="NXG42" s="1046">
        <f>NXG38+((NXG40+'NF - 5 Power Mix'!NXG14+'NF - 5 Power Mix'!NXG15)*860/10)+((('Form Sa1'!NXJ835)*860)/10)+('Form Sa1'!NXJ814*'Form Sa1'!NXJ816/10)-'NF - 5 Power Mix'!NXG21-'NF - 5 Power Mix'!NXG22</f>
        <v>0</v>
      </c>
      <c r="NXH42" s="1046">
        <f>NXH38+((NXH40+'NF - 5 Power Mix'!NXH14+'NF - 5 Power Mix'!NXH15)*860/10)+((('Form Sa1'!NXK835)*860)/10)+('Form Sa1'!NXK814*'Form Sa1'!NXK816/10)-'NF - 5 Power Mix'!NXH21-'NF - 5 Power Mix'!NXH22</f>
        <v>0</v>
      </c>
      <c r="NXI42" s="1046">
        <f>NXI38+((NXI40+'NF - 5 Power Mix'!NXI14+'NF - 5 Power Mix'!NXI15)*860/10)+((('Form Sa1'!NXL835)*860)/10)+('Form Sa1'!NXL814*'Form Sa1'!NXL816/10)-'NF - 5 Power Mix'!NXI21-'NF - 5 Power Mix'!NXI22</f>
        <v>0</v>
      </c>
      <c r="NXJ42" s="1046">
        <f>NXJ38+((NXJ40+'NF - 5 Power Mix'!NXJ14+'NF - 5 Power Mix'!NXJ15)*860/10)+((('Form Sa1'!NXM835)*860)/10)+('Form Sa1'!NXM814*'Form Sa1'!NXM816/10)-'NF - 5 Power Mix'!NXJ21-'NF - 5 Power Mix'!NXJ22</f>
        <v>0</v>
      </c>
      <c r="NXK42" s="1046">
        <f>NXK38+((NXK40+'NF - 5 Power Mix'!NXK14+'NF - 5 Power Mix'!NXK15)*860/10)+((('Form Sa1'!NXN835)*860)/10)+('Form Sa1'!NXN814*'Form Sa1'!NXN816/10)-'NF - 5 Power Mix'!NXK21-'NF - 5 Power Mix'!NXK22</f>
        <v>0</v>
      </c>
      <c r="NXL42" s="1046">
        <f>NXL38+((NXL40+'NF - 5 Power Mix'!NXL14+'NF - 5 Power Mix'!NXL15)*860/10)+((('Form Sa1'!NXO835)*860)/10)+('Form Sa1'!NXO814*'Form Sa1'!NXO816/10)-'NF - 5 Power Mix'!NXL21-'NF - 5 Power Mix'!NXL22</f>
        <v>0</v>
      </c>
      <c r="NXM42" s="1046">
        <f>NXM38+((NXM40+'NF - 5 Power Mix'!NXM14+'NF - 5 Power Mix'!NXM15)*860/10)+((('Form Sa1'!NXP835)*860)/10)+('Form Sa1'!NXP814*'Form Sa1'!NXP816/10)-'NF - 5 Power Mix'!NXM21-'NF - 5 Power Mix'!NXM22</f>
        <v>0</v>
      </c>
      <c r="NXN42" s="1046">
        <f>NXN38+((NXN40+'NF - 5 Power Mix'!NXN14+'NF - 5 Power Mix'!NXN15)*860/10)+((('Form Sa1'!NXQ835)*860)/10)+('Form Sa1'!NXQ814*'Form Sa1'!NXQ816/10)-'NF - 5 Power Mix'!NXN21-'NF - 5 Power Mix'!NXN22</f>
        <v>0</v>
      </c>
      <c r="NXO42" s="1046">
        <f>NXO38+((NXO40+'NF - 5 Power Mix'!NXO14+'NF - 5 Power Mix'!NXO15)*860/10)+((('Form Sa1'!NXR835)*860)/10)+('Form Sa1'!NXR814*'Form Sa1'!NXR816/10)-'NF - 5 Power Mix'!NXO21-'NF - 5 Power Mix'!NXO22</f>
        <v>0</v>
      </c>
      <c r="NXP42" s="1046">
        <f>NXP38+((NXP40+'NF - 5 Power Mix'!NXP14+'NF - 5 Power Mix'!NXP15)*860/10)+((('Form Sa1'!NXS835)*860)/10)+('Form Sa1'!NXS814*'Form Sa1'!NXS816/10)-'NF - 5 Power Mix'!NXP21-'NF - 5 Power Mix'!NXP22</f>
        <v>0</v>
      </c>
      <c r="NXQ42" s="1046">
        <f>NXQ38+((NXQ40+'NF - 5 Power Mix'!NXQ14+'NF - 5 Power Mix'!NXQ15)*860/10)+((('Form Sa1'!NXT835)*860)/10)+('Form Sa1'!NXT814*'Form Sa1'!NXT816/10)-'NF - 5 Power Mix'!NXQ21-'NF - 5 Power Mix'!NXQ22</f>
        <v>0</v>
      </c>
      <c r="NXR42" s="1046">
        <f>NXR38+((NXR40+'NF - 5 Power Mix'!NXR14+'NF - 5 Power Mix'!NXR15)*860/10)+((('Form Sa1'!NXU835)*860)/10)+('Form Sa1'!NXU814*'Form Sa1'!NXU816/10)-'NF - 5 Power Mix'!NXR21-'NF - 5 Power Mix'!NXR22</f>
        <v>0</v>
      </c>
      <c r="NXS42" s="1046">
        <f>NXS38+((NXS40+'NF - 5 Power Mix'!NXS14+'NF - 5 Power Mix'!NXS15)*860/10)+((('Form Sa1'!NXV835)*860)/10)+('Form Sa1'!NXV814*'Form Sa1'!NXV816/10)-'NF - 5 Power Mix'!NXS21-'NF - 5 Power Mix'!NXS22</f>
        <v>0</v>
      </c>
      <c r="NXT42" s="1046">
        <f>NXT38+((NXT40+'NF - 5 Power Mix'!NXT14+'NF - 5 Power Mix'!NXT15)*860/10)+((('Form Sa1'!NXW835)*860)/10)+('Form Sa1'!NXW814*'Form Sa1'!NXW816/10)-'NF - 5 Power Mix'!NXT21-'NF - 5 Power Mix'!NXT22</f>
        <v>0</v>
      </c>
      <c r="NXU42" s="1046">
        <f>NXU38+((NXU40+'NF - 5 Power Mix'!NXU14+'NF - 5 Power Mix'!NXU15)*860/10)+((('Form Sa1'!NXX835)*860)/10)+('Form Sa1'!NXX814*'Form Sa1'!NXX816/10)-'NF - 5 Power Mix'!NXU21-'NF - 5 Power Mix'!NXU22</f>
        <v>0</v>
      </c>
      <c r="NXV42" s="1046">
        <f>NXV38+((NXV40+'NF - 5 Power Mix'!NXV14+'NF - 5 Power Mix'!NXV15)*860/10)+((('Form Sa1'!NXY835)*860)/10)+('Form Sa1'!NXY814*'Form Sa1'!NXY816/10)-'NF - 5 Power Mix'!NXV21-'NF - 5 Power Mix'!NXV22</f>
        <v>0</v>
      </c>
      <c r="NXW42" s="1046">
        <f>NXW38+((NXW40+'NF - 5 Power Mix'!NXW14+'NF - 5 Power Mix'!NXW15)*860/10)+((('Form Sa1'!NXZ835)*860)/10)+('Form Sa1'!NXZ814*'Form Sa1'!NXZ816/10)-'NF - 5 Power Mix'!NXW21-'NF - 5 Power Mix'!NXW22</f>
        <v>0</v>
      </c>
      <c r="NXX42" s="1046">
        <f>NXX38+((NXX40+'NF - 5 Power Mix'!NXX14+'NF - 5 Power Mix'!NXX15)*860/10)+((('Form Sa1'!NYA835)*860)/10)+('Form Sa1'!NYA814*'Form Sa1'!NYA816/10)-'NF - 5 Power Mix'!NXX21-'NF - 5 Power Mix'!NXX22</f>
        <v>0</v>
      </c>
      <c r="NXY42" s="1046">
        <f>NXY38+((NXY40+'NF - 5 Power Mix'!NXY14+'NF - 5 Power Mix'!NXY15)*860/10)+((('Form Sa1'!NYB835)*860)/10)+('Form Sa1'!NYB814*'Form Sa1'!NYB816/10)-'NF - 5 Power Mix'!NXY21-'NF - 5 Power Mix'!NXY22</f>
        <v>0</v>
      </c>
      <c r="NXZ42" s="1046">
        <f>NXZ38+((NXZ40+'NF - 5 Power Mix'!NXZ14+'NF - 5 Power Mix'!NXZ15)*860/10)+((('Form Sa1'!NYC835)*860)/10)+('Form Sa1'!NYC814*'Form Sa1'!NYC816/10)-'NF - 5 Power Mix'!NXZ21-'NF - 5 Power Mix'!NXZ22</f>
        <v>0</v>
      </c>
      <c r="NYA42" s="1046">
        <f>NYA38+((NYA40+'NF - 5 Power Mix'!NYA14+'NF - 5 Power Mix'!NYA15)*860/10)+((('Form Sa1'!NYD835)*860)/10)+('Form Sa1'!NYD814*'Form Sa1'!NYD816/10)-'NF - 5 Power Mix'!NYA21-'NF - 5 Power Mix'!NYA22</f>
        <v>0</v>
      </c>
      <c r="NYB42" s="1046">
        <f>NYB38+((NYB40+'NF - 5 Power Mix'!NYB14+'NF - 5 Power Mix'!NYB15)*860/10)+((('Form Sa1'!NYE835)*860)/10)+('Form Sa1'!NYE814*'Form Sa1'!NYE816/10)-'NF - 5 Power Mix'!NYB21-'NF - 5 Power Mix'!NYB22</f>
        <v>0</v>
      </c>
      <c r="NYC42" s="1046">
        <f>NYC38+((NYC40+'NF - 5 Power Mix'!NYC14+'NF - 5 Power Mix'!NYC15)*860/10)+((('Form Sa1'!NYF835)*860)/10)+('Form Sa1'!NYF814*'Form Sa1'!NYF816/10)-'NF - 5 Power Mix'!NYC21-'NF - 5 Power Mix'!NYC22</f>
        <v>0</v>
      </c>
      <c r="NYD42" s="1046">
        <f>NYD38+((NYD40+'NF - 5 Power Mix'!NYD14+'NF - 5 Power Mix'!NYD15)*860/10)+((('Form Sa1'!NYG835)*860)/10)+('Form Sa1'!NYG814*'Form Sa1'!NYG816/10)-'NF - 5 Power Mix'!NYD21-'NF - 5 Power Mix'!NYD22</f>
        <v>0</v>
      </c>
      <c r="NYE42" s="1046">
        <f>NYE38+((NYE40+'NF - 5 Power Mix'!NYE14+'NF - 5 Power Mix'!NYE15)*860/10)+((('Form Sa1'!NYH835)*860)/10)+('Form Sa1'!NYH814*'Form Sa1'!NYH816/10)-'NF - 5 Power Mix'!NYE21-'NF - 5 Power Mix'!NYE22</f>
        <v>0</v>
      </c>
      <c r="NYF42" s="1046">
        <f>NYF38+((NYF40+'NF - 5 Power Mix'!NYF14+'NF - 5 Power Mix'!NYF15)*860/10)+((('Form Sa1'!NYI835)*860)/10)+('Form Sa1'!NYI814*'Form Sa1'!NYI816/10)-'NF - 5 Power Mix'!NYF21-'NF - 5 Power Mix'!NYF22</f>
        <v>0</v>
      </c>
      <c r="NYG42" s="1046">
        <f>NYG38+((NYG40+'NF - 5 Power Mix'!NYG14+'NF - 5 Power Mix'!NYG15)*860/10)+((('Form Sa1'!NYJ835)*860)/10)+('Form Sa1'!NYJ814*'Form Sa1'!NYJ816/10)-'NF - 5 Power Mix'!NYG21-'NF - 5 Power Mix'!NYG22</f>
        <v>0</v>
      </c>
      <c r="NYH42" s="1046">
        <f>NYH38+((NYH40+'NF - 5 Power Mix'!NYH14+'NF - 5 Power Mix'!NYH15)*860/10)+((('Form Sa1'!NYK835)*860)/10)+('Form Sa1'!NYK814*'Form Sa1'!NYK816/10)-'NF - 5 Power Mix'!NYH21-'NF - 5 Power Mix'!NYH22</f>
        <v>0</v>
      </c>
      <c r="NYI42" s="1046">
        <f>NYI38+((NYI40+'NF - 5 Power Mix'!NYI14+'NF - 5 Power Mix'!NYI15)*860/10)+((('Form Sa1'!NYL835)*860)/10)+('Form Sa1'!NYL814*'Form Sa1'!NYL816/10)-'NF - 5 Power Mix'!NYI21-'NF - 5 Power Mix'!NYI22</f>
        <v>0</v>
      </c>
      <c r="NYJ42" s="1046">
        <f>NYJ38+((NYJ40+'NF - 5 Power Mix'!NYJ14+'NF - 5 Power Mix'!NYJ15)*860/10)+((('Form Sa1'!NYM835)*860)/10)+('Form Sa1'!NYM814*'Form Sa1'!NYM816/10)-'NF - 5 Power Mix'!NYJ21-'NF - 5 Power Mix'!NYJ22</f>
        <v>0</v>
      </c>
      <c r="NYK42" s="1046">
        <f>NYK38+((NYK40+'NF - 5 Power Mix'!NYK14+'NF - 5 Power Mix'!NYK15)*860/10)+((('Form Sa1'!NYN835)*860)/10)+('Form Sa1'!NYN814*'Form Sa1'!NYN816/10)-'NF - 5 Power Mix'!NYK21-'NF - 5 Power Mix'!NYK22</f>
        <v>0</v>
      </c>
      <c r="NYL42" s="1046">
        <f>NYL38+((NYL40+'NF - 5 Power Mix'!NYL14+'NF - 5 Power Mix'!NYL15)*860/10)+((('Form Sa1'!NYO835)*860)/10)+('Form Sa1'!NYO814*'Form Sa1'!NYO816/10)-'NF - 5 Power Mix'!NYL21-'NF - 5 Power Mix'!NYL22</f>
        <v>0</v>
      </c>
      <c r="NYM42" s="1046">
        <f>NYM38+((NYM40+'NF - 5 Power Mix'!NYM14+'NF - 5 Power Mix'!NYM15)*860/10)+((('Form Sa1'!NYP835)*860)/10)+('Form Sa1'!NYP814*'Form Sa1'!NYP816/10)-'NF - 5 Power Mix'!NYM21-'NF - 5 Power Mix'!NYM22</f>
        <v>0</v>
      </c>
      <c r="NYN42" s="1046">
        <f>NYN38+((NYN40+'NF - 5 Power Mix'!NYN14+'NF - 5 Power Mix'!NYN15)*860/10)+((('Form Sa1'!NYQ835)*860)/10)+('Form Sa1'!NYQ814*'Form Sa1'!NYQ816/10)-'NF - 5 Power Mix'!NYN21-'NF - 5 Power Mix'!NYN22</f>
        <v>0</v>
      </c>
      <c r="NYO42" s="1046">
        <f>NYO38+((NYO40+'NF - 5 Power Mix'!NYO14+'NF - 5 Power Mix'!NYO15)*860/10)+((('Form Sa1'!NYR835)*860)/10)+('Form Sa1'!NYR814*'Form Sa1'!NYR816/10)-'NF - 5 Power Mix'!NYO21-'NF - 5 Power Mix'!NYO22</f>
        <v>0</v>
      </c>
      <c r="NYP42" s="1046">
        <f>NYP38+((NYP40+'NF - 5 Power Mix'!NYP14+'NF - 5 Power Mix'!NYP15)*860/10)+((('Form Sa1'!NYS835)*860)/10)+('Form Sa1'!NYS814*'Form Sa1'!NYS816/10)-'NF - 5 Power Mix'!NYP21-'NF - 5 Power Mix'!NYP22</f>
        <v>0</v>
      </c>
      <c r="NYQ42" s="1046">
        <f>NYQ38+((NYQ40+'NF - 5 Power Mix'!NYQ14+'NF - 5 Power Mix'!NYQ15)*860/10)+((('Form Sa1'!NYT835)*860)/10)+('Form Sa1'!NYT814*'Form Sa1'!NYT816/10)-'NF - 5 Power Mix'!NYQ21-'NF - 5 Power Mix'!NYQ22</f>
        <v>0</v>
      </c>
      <c r="NYR42" s="1046">
        <f>NYR38+((NYR40+'NF - 5 Power Mix'!NYR14+'NF - 5 Power Mix'!NYR15)*860/10)+((('Form Sa1'!NYU835)*860)/10)+('Form Sa1'!NYU814*'Form Sa1'!NYU816/10)-'NF - 5 Power Mix'!NYR21-'NF - 5 Power Mix'!NYR22</f>
        <v>0</v>
      </c>
      <c r="NYS42" s="1046">
        <f>NYS38+((NYS40+'NF - 5 Power Mix'!NYS14+'NF - 5 Power Mix'!NYS15)*860/10)+((('Form Sa1'!NYV835)*860)/10)+('Form Sa1'!NYV814*'Form Sa1'!NYV816/10)-'NF - 5 Power Mix'!NYS21-'NF - 5 Power Mix'!NYS22</f>
        <v>0</v>
      </c>
      <c r="NYT42" s="1046">
        <f>NYT38+((NYT40+'NF - 5 Power Mix'!NYT14+'NF - 5 Power Mix'!NYT15)*860/10)+((('Form Sa1'!NYW835)*860)/10)+('Form Sa1'!NYW814*'Form Sa1'!NYW816/10)-'NF - 5 Power Mix'!NYT21-'NF - 5 Power Mix'!NYT22</f>
        <v>0</v>
      </c>
      <c r="NYU42" s="1046">
        <f>NYU38+((NYU40+'NF - 5 Power Mix'!NYU14+'NF - 5 Power Mix'!NYU15)*860/10)+((('Form Sa1'!NYX835)*860)/10)+('Form Sa1'!NYX814*'Form Sa1'!NYX816/10)-'NF - 5 Power Mix'!NYU21-'NF - 5 Power Mix'!NYU22</f>
        <v>0</v>
      </c>
      <c r="NYV42" s="1046">
        <f>NYV38+((NYV40+'NF - 5 Power Mix'!NYV14+'NF - 5 Power Mix'!NYV15)*860/10)+((('Form Sa1'!NYY835)*860)/10)+('Form Sa1'!NYY814*'Form Sa1'!NYY816/10)-'NF - 5 Power Mix'!NYV21-'NF - 5 Power Mix'!NYV22</f>
        <v>0</v>
      </c>
      <c r="NYW42" s="1046">
        <f>NYW38+((NYW40+'NF - 5 Power Mix'!NYW14+'NF - 5 Power Mix'!NYW15)*860/10)+((('Form Sa1'!NYZ835)*860)/10)+('Form Sa1'!NYZ814*'Form Sa1'!NYZ816/10)-'NF - 5 Power Mix'!NYW21-'NF - 5 Power Mix'!NYW22</f>
        <v>0</v>
      </c>
      <c r="NYX42" s="1046">
        <f>NYX38+((NYX40+'NF - 5 Power Mix'!NYX14+'NF - 5 Power Mix'!NYX15)*860/10)+((('Form Sa1'!NZA835)*860)/10)+('Form Sa1'!NZA814*'Form Sa1'!NZA816/10)-'NF - 5 Power Mix'!NYX21-'NF - 5 Power Mix'!NYX22</f>
        <v>0</v>
      </c>
      <c r="NYY42" s="1046">
        <f>NYY38+((NYY40+'NF - 5 Power Mix'!NYY14+'NF - 5 Power Mix'!NYY15)*860/10)+((('Form Sa1'!NZB835)*860)/10)+('Form Sa1'!NZB814*'Form Sa1'!NZB816/10)-'NF - 5 Power Mix'!NYY21-'NF - 5 Power Mix'!NYY22</f>
        <v>0</v>
      </c>
      <c r="NYZ42" s="1046">
        <f>NYZ38+((NYZ40+'NF - 5 Power Mix'!NYZ14+'NF - 5 Power Mix'!NYZ15)*860/10)+((('Form Sa1'!NZC835)*860)/10)+('Form Sa1'!NZC814*'Form Sa1'!NZC816/10)-'NF - 5 Power Mix'!NYZ21-'NF - 5 Power Mix'!NYZ22</f>
        <v>0</v>
      </c>
      <c r="NZA42" s="1046">
        <f>NZA38+((NZA40+'NF - 5 Power Mix'!NZA14+'NF - 5 Power Mix'!NZA15)*860/10)+((('Form Sa1'!NZD835)*860)/10)+('Form Sa1'!NZD814*'Form Sa1'!NZD816/10)-'NF - 5 Power Mix'!NZA21-'NF - 5 Power Mix'!NZA22</f>
        <v>0</v>
      </c>
      <c r="NZB42" s="1046">
        <f>NZB38+((NZB40+'NF - 5 Power Mix'!NZB14+'NF - 5 Power Mix'!NZB15)*860/10)+((('Form Sa1'!NZE835)*860)/10)+('Form Sa1'!NZE814*'Form Sa1'!NZE816/10)-'NF - 5 Power Mix'!NZB21-'NF - 5 Power Mix'!NZB22</f>
        <v>0</v>
      </c>
      <c r="NZC42" s="1046">
        <f>NZC38+((NZC40+'NF - 5 Power Mix'!NZC14+'NF - 5 Power Mix'!NZC15)*860/10)+((('Form Sa1'!NZF835)*860)/10)+('Form Sa1'!NZF814*'Form Sa1'!NZF816/10)-'NF - 5 Power Mix'!NZC21-'NF - 5 Power Mix'!NZC22</f>
        <v>0</v>
      </c>
      <c r="NZD42" s="1046">
        <f>NZD38+((NZD40+'NF - 5 Power Mix'!NZD14+'NF - 5 Power Mix'!NZD15)*860/10)+((('Form Sa1'!NZG835)*860)/10)+('Form Sa1'!NZG814*'Form Sa1'!NZG816/10)-'NF - 5 Power Mix'!NZD21-'NF - 5 Power Mix'!NZD22</f>
        <v>0</v>
      </c>
      <c r="NZE42" s="1046">
        <f>NZE38+((NZE40+'NF - 5 Power Mix'!NZE14+'NF - 5 Power Mix'!NZE15)*860/10)+((('Form Sa1'!NZH835)*860)/10)+('Form Sa1'!NZH814*'Form Sa1'!NZH816/10)-'NF - 5 Power Mix'!NZE21-'NF - 5 Power Mix'!NZE22</f>
        <v>0</v>
      </c>
      <c r="NZF42" s="1046">
        <f>NZF38+((NZF40+'NF - 5 Power Mix'!NZF14+'NF - 5 Power Mix'!NZF15)*860/10)+((('Form Sa1'!NZI835)*860)/10)+('Form Sa1'!NZI814*'Form Sa1'!NZI816/10)-'NF - 5 Power Mix'!NZF21-'NF - 5 Power Mix'!NZF22</f>
        <v>0</v>
      </c>
      <c r="NZG42" s="1046">
        <f>NZG38+((NZG40+'NF - 5 Power Mix'!NZG14+'NF - 5 Power Mix'!NZG15)*860/10)+((('Form Sa1'!NZJ835)*860)/10)+('Form Sa1'!NZJ814*'Form Sa1'!NZJ816/10)-'NF - 5 Power Mix'!NZG21-'NF - 5 Power Mix'!NZG22</f>
        <v>0</v>
      </c>
      <c r="NZH42" s="1046">
        <f>NZH38+((NZH40+'NF - 5 Power Mix'!NZH14+'NF - 5 Power Mix'!NZH15)*860/10)+((('Form Sa1'!NZK835)*860)/10)+('Form Sa1'!NZK814*'Form Sa1'!NZK816/10)-'NF - 5 Power Mix'!NZH21-'NF - 5 Power Mix'!NZH22</f>
        <v>0</v>
      </c>
      <c r="NZI42" s="1046">
        <f>NZI38+((NZI40+'NF - 5 Power Mix'!NZI14+'NF - 5 Power Mix'!NZI15)*860/10)+((('Form Sa1'!NZL835)*860)/10)+('Form Sa1'!NZL814*'Form Sa1'!NZL816/10)-'NF - 5 Power Mix'!NZI21-'NF - 5 Power Mix'!NZI22</f>
        <v>0</v>
      </c>
      <c r="NZJ42" s="1046">
        <f>NZJ38+((NZJ40+'NF - 5 Power Mix'!NZJ14+'NF - 5 Power Mix'!NZJ15)*860/10)+((('Form Sa1'!NZM835)*860)/10)+('Form Sa1'!NZM814*'Form Sa1'!NZM816/10)-'NF - 5 Power Mix'!NZJ21-'NF - 5 Power Mix'!NZJ22</f>
        <v>0</v>
      </c>
      <c r="NZK42" s="1046">
        <f>NZK38+((NZK40+'NF - 5 Power Mix'!NZK14+'NF - 5 Power Mix'!NZK15)*860/10)+((('Form Sa1'!NZN835)*860)/10)+('Form Sa1'!NZN814*'Form Sa1'!NZN816/10)-'NF - 5 Power Mix'!NZK21-'NF - 5 Power Mix'!NZK22</f>
        <v>0</v>
      </c>
      <c r="NZL42" s="1046">
        <f>NZL38+((NZL40+'NF - 5 Power Mix'!NZL14+'NF - 5 Power Mix'!NZL15)*860/10)+((('Form Sa1'!NZO835)*860)/10)+('Form Sa1'!NZO814*'Form Sa1'!NZO816/10)-'NF - 5 Power Mix'!NZL21-'NF - 5 Power Mix'!NZL22</f>
        <v>0</v>
      </c>
      <c r="NZM42" s="1046">
        <f>NZM38+((NZM40+'NF - 5 Power Mix'!NZM14+'NF - 5 Power Mix'!NZM15)*860/10)+((('Form Sa1'!NZP835)*860)/10)+('Form Sa1'!NZP814*'Form Sa1'!NZP816/10)-'NF - 5 Power Mix'!NZM21-'NF - 5 Power Mix'!NZM22</f>
        <v>0</v>
      </c>
      <c r="NZN42" s="1046">
        <f>NZN38+((NZN40+'NF - 5 Power Mix'!NZN14+'NF - 5 Power Mix'!NZN15)*860/10)+((('Form Sa1'!NZQ835)*860)/10)+('Form Sa1'!NZQ814*'Form Sa1'!NZQ816/10)-'NF - 5 Power Mix'!NZN21-'NF - 5 Power Mix'!NZN22</f>
        <v>0</v>
      </c>
      <c r="NZO42" s="1046">
        <f>NZO38+((NZO40+'NF - 5 Power Mix'!NZO14+'NF - 5 Power Mix'!NZO15)*860/10)+((('Form Sa1'!NZR835)*860)/10)+('Form Sa1'!NZR814*'Form Sa1'!NZR816/10)-'NF - 5 Power Mix'!NZO21-'NF - 5 Power Mix'!NZO22</f>
        <v>0</v>
      </c>
      <c r="NZP42" s="1046">
        <f>NZP38+((NZP40+'NF - 5 Power Mix'!NZP14+'NF - 5 Power Mix'!NZP15)*860/10)+((('Form Sa1'!NZS835)*860)/10)+('Form Sa1'!NZS814*'Form Sa1'!NZS816/10)-'NF - 5 Power Mix'!NZP21-'NF - 5 Power Mix'!NZP22</f>
        <v>0</v>
      </c>
      <c r="NZQ42" s="1046">
        <f>NZQ38+((NZQ40+'NF - 5 Power Mix'!NZQ14+'NF - 5 Power Mix'!NZQ15)*860/10)+((('Form Sa1'!NZT835)*860)/10)+('Form Sa1'!NZT814*'Form Sa1'!NZT816/10)-'NF - 5 Power Mix'!NZQ21-'NF - 5 Power Mix'!NZQ22</f>
        <v>0</v>
      </c>
      <c r="NZR42" s="1046">
        <f>NZR38+((NZR40+'NF - 5 Power Mix'!NZR14+'NF - 5 Power Mix'!NZR15)*860/10)+((('Form Sa1'!NZU835)*860)/10)+('Form Sa1'!NZU814*'Form Sa1'!NZU816/10)-'NF - 5 Power Mix'!NZR21-'NF - 5 Power Mix'!NZR22</f>
        <v>0</v>
      </c>
      <c r="NZS42" s="1046">
        <f>NZS38+((NZS40+'NF - 5 Power Mix'!NZS14+'NF - 5 Power Mix'!NZS15)*860/10)+((('Form Sa1'!NZV835)*860)/10)+('Form Sa1'!NZV814*'Form Sa1'!NZV816/10)-'NF - 5 Power Mix'!NZS21-'NF - 5 Power Mix'!NZS22</f>
        <v>0</v>
      </c>
      <c r="NZT42" s="1046">
        <f>NZT38+((NZT40+'NF - 5 Power Mix'!NZT14+'NF - 5 Power Mix'!NZT15)*860/10)+((('Form Sa1'!NZW835)*860)/10)+('Form Sa1'!NZW814*'Form Sa1'!NZW816/10)-'NF - 5 Power Mix'!NZT21-'NF - 5 Power Mix'!NZT22</f>
        <v>0</v>
      </c>
      <c r="NZU42" s="1046">
        <f>NZU38+((NZU40+'NF - 5 Power Mix'!NZU14+'NF - 5 Power Mix'!NZU15)*860/10)+((('Form Sa1'!NZX835)*860)/10)+('Form Sa1'!NZX814*'Form Sa1'!NZX816/10)-'NF - 5 Power Mix'!NZU21-'NF - 5 Power Mix'!NZU22</f>
        <v>0</v>
      </c>
      <c r="NZV42" s="1046">
        <f>NZV38+((NZV40+'NF - 5 Power Mix'!NZV14+'NF - 5 Power Mix'!NZV15)*860/10)+((('Form Sa1'!NZY835)*860)/10)+('Form Sa1'!NZY814*'Form Sa1'!NZY816/10)-'NF - 5 Power Mix'!NZV21-'NF - 5 Power Mix'!NZV22</f>
        <v>0</v>
      </c>
      <c r="NZW42" s="1046">
        <f>NZW38+((NZW40+'NF - 5 Power Mix'!NZW14+'NF - 5 Power Mix'!NZW15)*860/10)+((('Form Sa1'!NZZ835)*860)/10)+('Form Sa1'!NZZ814*'Form Sa1'!NZZ816/10)-'NF - 5 Power Mix'!NZW21-'NF - 5 Power Mix'!NZW22</f>
        <v>0</v>
      </c>
      <c r="NZX42" s="1046">
        <f>NZX38+((NZX40+'NF - 5 Power Mix'!NZX14+'NF - 5 Power Mix'!NZX15)*860/10)+((('Form Sa1'!OAA835)*860)/10)+('Form Sa1'!OAA814*'Form Sa1'!OAA816/10)-'NF - 5 Power Mix'!NZX21-'NF - 5 Power Mix'!NZX22</f>
        <v>0</v>
      </c>
      <c r="NZY42" s="1046">
        <f>NZY38+((NZY40+'NF - 5 Power Mix'!NZY14+'NF - 5 Power Mix'!NZY15)*860/10)+((('Form Sa1'!OAB835)*860)/10)+('Form Sa1'!OAB814*'Form Sa1'!OAB816/10)-'NF - 5 Power Mix'!NZY21-'NF - 5 Power Mix'!NZY22</f>
        <v>0</v>
      </c>
      <c r="NZZ42" s="1046">
        <f>NZZ38+((NZZ40+'NF - 5 Power Mix'!NZZ14+'NF - 5 Power Mix'!NZZ15)*860/10)+((('Form Sa1'!OAC835)*860)/10)+('Form Sa1'!OAC814*'Form Sa1'!OAC816/10)-'NF - 5 Power Mix'!NZZ21-'NF - 5 Power Mix'!NZZ22</f>
        <v>0</v>
      </c>
      <c r="OAA42" s="1046">
        <f>OAA38+((OAA40+'NF - 5 Power Mix'!OAA14+'NF - 5 Power Mix'!OAA15)*860/10)+((('Form Sa1'!OAD835)*860)/10)+('Form Sa1'!OAD814*'Form Sa1'!OAD816/10)-'NF - 5 Power Mix'!OAA21-'NF - 5 Power Mix'!OAA22</f>
        <v>0</v>
      </c>
      <c r="OAB42" s="1046">
        <f>OAB38+((OAB40+'NF - 5 Power Mix'!OAB14+'NF - 5 Power Mix'!OAB15)*860/10)+((('Form Sa1'!OAE835)*860)/10)+('Form Sa1'!OAE814*'Form Sa1'!OAE816/10)-'NF - 5 Power Mix'!OAB21-'NF - 5 Power Mix'!OAB22</f>
        <v>0</v>
      </c>
      <c r="OAC42" s="1046">
        <f>OAC38+((OAC40+'NF - 5 Power Mix'!OAC14+'NF - 5 Power Mix'!OAC15)*860/10)+((('Form Sa1'!OAF835)*860)/10)+('Form Sa1'!OAF814*'Form Sa1'!OAF816/10)-'NF - 5 Power Mix'!OAC21-'NF - 5 Power Mix'!OAC22</f>
        <v>0</v>
      </c>
      <c r="OAD42" s="1046">
        <f>OAD38+((OAD40+'NF - 5 Power Mix'!OAD14+'NF - 5 Power Mix'!OAD15)*860/10)+((('Form Sa1'!OAG835)*860)/10)+('Form Sa1'!OAG814*'Form Sa1'!OAG816/10)-'NF - 5 Power Mix'!OAD21-'NF - 5 Power Mix'!OAD22</f>
        <v>0</v>
      </c>
      <c r="OAE42" s="1046">
        <f>OAE38+((OAE40+'NF - 5 Power Mix'!OAE14+'NF - 5 Power Mix'!OAE15)*860/10)+((('Form Sa1'!OAH835)*860)/10)+('Form Sa1'!OAH814*'Form Sa1'!OAH816/10)-'NF - 5 Power Mix'!OAE21-'NF - 5 Power Mix'!OAE22</f>
        <v>0</v>
      </c>
      <c r="OAF42" s="1046">
        <f>OAF38+((OAF40+'NF - 5 Power Mix'!OAF14+'NF - 5 Power Mix'!OAF15)*860/10)+((('Form Sa1'!OAI835)*860)/10)+('Form Sa1'!OAI814*'Form Sa1'!OAI816/10)-'NF - 5 Power Mix'!OAF21-'NF - 5 Power Mix'!OAF22</f>
        <v>0</v>
      </c>
      <c r="OAG42" s="1046">
        <f>OAG38+((OAG40+'NF - 5 Power Mix'!OAG14+'NF - 5 Power Mix'!OAG15)*860/10)+((('Form Sa1'!OAJ835)*860)/10)+('Form Sa1'!OAJ814*'Form Sa1'!OAJ816/10)-'NF - 5 Power Mix'!OAG21-'NF - 5 Power Mix'!OAG22</f>
        <v>0</v>
      </c>
      <c r="OAH42" s="1046">
        <f>OAH38+((OAH40+'NF - 5 Power Mix'!OAH14+'NF - 5 Power Mix'!OAH15)*860/10)+((('Form Sa1'!OAK835)*860)/10)+('Form Sa1'!OAK814*'Form Sa1'!OAK816/10)-'NF - 5 Power Mix'!OAH21-'NF - 5 Power Mix'!OAH22</f>
        <v>0</v>
      </c>
      <c r="OAI42" s="1046">
        <f>OAI38+((OAI40+'NF - 5 Power Mix'!OAI14+'NF - 5 Power Mix'!OAI15)*860/10)+((('Form Sa1'!OAL835)*860)/10)+('Form Sa1'!OAL814*'Form Sa1'!OAL816/10)-'NF - 5 Power Mix'!OAI21-'NF - 5 Power Mix'!OAI22</f>
        <v>0</v>
      </c>
      <c r="OAJ42" s="1046">
        <f>OAJ38+((OAJ40+'NF - 5 Power Mix'!OAJ14+'NF - 5 Power Mix'!OAJ15)*860/10)+((('Form Sa1'!OAM835)*860)/10)+('Form Sa1'!OAM814*'Form Sa1'!OAM816/10)-'NF - 5 Power Mix'!OAJ21-'NF - 5 Power Mix'!OAJ22</f>
        <v>0</v>
      </c>
      <c r="OAK42" s="1046">
        <f>OAK38+((OAK40+'NF - 5 Power Mix'!OAK14+'NF - 5 Power Mix'!OAK15)*860/10)+((('Form Sa1'!OAN835)*860)/10)+('Form Sa1'!OAN814*'Form Sa1'!OAN816/10)-'NF - 5 Power Mix'!OAK21-'NF - 5 Power Mix'!OAK22</f>
        <v>0</v>
      </c>
      <c r="OAL42" s="1046">
        <f>OAL38+((OAL40+'NF - 5 Power Mix'!OAL14+'NF - 5 Power Mix'!OAL15)*860/10)+((('Form Sa1'!OAO835)*860)/10)+('Form Sa1'!OAO814*'Form Sa1'!OAO816/10)-'NF - 5 Power Mix'!OAL21-'NF - 5 Power Mix'!OAL22</f>
        <v>0</v>
      </c>
      <c r="OAM42" s="1046">
        <f>OAM38+((OAM40+'NF - 5 Power Mix'!OAM14+'NF - 5 Power Mix'!OAM15)*860/10)+((('Form Sa1'!OAP835)*860)/10)+('Form Sa1'!OAP814*'Form Sa1'!OAP816/10)-'NF - 5 Power Mix'!OAM21-'NF - 5 Power Mix'!OAM22</f>
        <v>0</v>
      </c>
      <c r="OAN42" s="1046">
        <f>OAN38+((OAN40+'NF - 5 Power Mix'!OAN14+'NF - 5 Power Mix'!OAN15)*860/10)+((('Form Sa1'!OAQ835)*860)/10)+('Form Sa1'!OAQ814*'Form Sa1'!OAQ816/10)-'NF - 5 Power Mix'!OAN21-'NF - 5 Power Mix'!OAN22</f>
        <v>0</v>
      </c>
      <c r="OAO42" s="1046">
        <f>OAO38+((OAO40+'NF - 5 Power Mix'!OAO14+'NF - 5 Power Mix'!OAO15)*860/10)+((('Form Sa1'!OAR835)*860)/10)+('Form Sa1'!OAR814*'Form Sa1'!OAR816/10)-'NF - 5 Power Mix'!OAO21-'NF - 5 Power Mix'!OAO22</f>
        <v>0</v>
      </c>
      <c r="OAP42" s="1046">
        <f>OAP38+((OAP40+'NF - 5 Power Mix'!OAP14+'NF - 5 Power Mix'!OAP15)*860/10)+((('Form Sa1'!OAS835)*860)/10)+('Form Sa1'!OAS814*'Form Sa1'!OAS816/10)-'NF - 5 Power Mix'!OAP21-'NF - 5 Power Mix'!OAP22</f>
        <v>0</v>
      </c>
      <c r="OAQ42" s="1046">
        <f>OAQ38+((OAQ40+'NF - 5 Power Mix'!OAQ14+'NF - 5 Power Mix'!OAQ15)*860/10)+((('Form Sa1'!OAT835)*860)/10)+('Form Sa1'!OAT814*'Form Sa1'!OAT816/10)-'NF - 5 Power Mix'!OAQ21-'NF - 5 Power Mix'!OAQ22</f>
        <v>0</v>
      </c>
      <c r="OAR42" s="1046">
        <f>OAR38+((OAR40+'NF - 5 Power Mix'!OAR14+'NF - 5 Power Mix'!OAR15)*860/10)+((('Form Sa1'!OAU835)*860)/10)+('Form Sa1'!OAU814*'Form Sa1'!OAU816/10)-'NF - 5 Power Mix'!OAR21-'NF - 5 Power Mix'!OAR22</f>
        <v>0</v>
      </c>
      <c r="OAS42" s="1046">
        <f>OAS38+((OAS40+'NF - 5 Power Mix'!OAS14+'NF - 5 Power Mix'!OAS15)*860/10)+((('Form Sa1'!OAV835)*860)/10)+('Form Sa1'!OAV814*'Form Sa1'!OAV816/10)-'NF - 5 Power Mix'!OAS21-'NF - 5 Power Mix'!OAS22</f>
        <v>0</v>
      </c>
      <c r="OAT42" s="1046">
        <f>OAT38+((OAT40+'NF - 5 Power Mix'!OAT14+'NF - 5 Power Mix'!OAT15)*860/10)+((('Form Sa1'!OAW835)*860)/10)+('Form Sa1'!OAW814*'Form Sa1'!OAW816/10)-'NF - 5 Power Mix'!OAT21-'NF - 5 Power Mix'!OAT22</f>
        <v>0</v>
      </c>
      <c r="OAU42" s="1046">
        <f>OAU38+((OAU40+'NF - 5 Power Mix'!OAU14+'NF - 5 Power Mix'!OAU15)*860/10)+((('Form Sa1'!OAX835)*860)/10)+('Form Sa1'!OAX814*'Form Sa1'!OAX816/10)-'NF - 5 Power Mix'!OAU21-'NF - 5 Power Mix'!OAU22</f>
        <v>0</v>
      </c>
      <c r="OAV42" s="1046">
        <f>OAV38+((OAV40+'NF - 5 Power Mix'!OAV14+'NF - 5 Power Mix'!OAV15)*860/10)+((('Form Sa1'!OAY835)*860)/10)+('Form Sa1'!OAY814*'Form Sa1'!OAY816/10)-'NF - 5 Power Mix'!OAV21-'NF - 5 Power Mix'!OAV22</f>
        <v>0</v>
      </c>
      <c r="OAW42" s="1046">
        <f>OAW38+((OAW40+'NF - 5 Power Mix'!OAW14+'NF - 5 Power Mix'!OAW15)*860/10)+((('Form Sa1'!OAZ835)*860)/10)+('Form Sa1'!OAZ814*'Form Sa1'!OAZ816/10)-'NF - 5 Power Mix'!OAW21-'NF - 5 Power Mix'!OAW22</f>
        <v>0</v>
      </c>
      <c r="OAX42" s="1046">
        <f>OAX38+((OAX40+'NF - 5 Power Mix'!OAX14+'NF - 5 Power Mix'!OAX15)*860/10)+((('Form Sa1'!OBA835)*860)/10)+('Form Sa1'!OBA814*'Form Sa1'!OBA816/10)-'NF - 5 Power Mix'!OAX21-'NF - 5 Power Mix'!OAX22</f>
        <v>0</v>
      </c>
      <c r="OAY42" s="1046">
        <f>OAY38+((OAY40+'NF - 5 Power Mix'!OAY14+'NF - 5 Power Mix'!OAY15)*860/10)+((('Form Sa1'!OBB835)*860)/10)+('Form Sa1'!OBB814*'Form Sa1'!OBB816/10)-'NF - 5 Power Mix'!OAY21-'NF - 5 Power Mix'!OAY22</f>
        <v>0</v>
      </c>
      <c r="OAZ42" s="1046">
        <f>OAZ38+((OAZ40+'NF - 5 Power Mix'!OAZ14+'NF - 5 Power Mix'!OAZ15)*860/10)+((('Form Sa1'!OBC835)*860)/10)+('Form Sa1'!OBC814*'Form Sa1'!OBC816/10)-'NF - 5 Power Mix'!OAZ21-'NF - 5 Power Mix'!OAZ22</f>
        <v>0</v>
      </c>
      <c r="OBA42" s="1046">
        <f>OBA38+((OBA40+'NF - 5 Power Mix'!OBA14+'NF - 5 Power Mix'!OBA15)*860/10)+((('Form Sa1'!OBD835)*860)/10)+('Form Sa1'!OBD814*'Form Sa1'!OBD816/10)-'NF - 5 Power Mix'!OBA21-'NF - 5 Power Mix'!OBA22</f>
        <v>0</v>
      </c>
      <c r="OBB42" s="1046">
        <f>OBB38+((OBB40+'NF - 5 Power Mix'!OBB14+'NF - 5 Power Mix'!OBB15)*860/10)+((('Form Sa1'!OBE835)*860)/10)+('Form Sa1'!OBE814*'Form Sa1'!OBE816/10)-'NF - 5 Power Mix'!OBB21-'NF - 5 Power Mix'!OBB22</f>
        <v>0</v>
      </c>
      <c r="OBC42" s="1046">
        <f>OBC38+((OBC40+'NF - 5 Power Mix'!OBC14+'NF - 5 Power Mix'!OBC15)*860/10)+((('Form Sa1'!OBF835)*860)/10)+('Form Sa1'!OBF814*'Form Sa1'!OBF816/10)-'NF - 5 Power Mix'!OBC21-'NF - 5 Power Mix'!OBC22</f>
        <v>0</v>
      </c>
      <c r="OBD42" s="1046">
        <f>OBD38+((OBD40+'NF - 5 Power Mix'!OBD14+'NF - 5 Power Mix'!OBD15)*860/10)+((('Form Sa1'!OBG835)*860)/10)+('Form Sa1'!OBG814*'Form Sa1'!OBG816/10)-'NF - 5 Power Mix'!OBD21-'NF - 5 Power Mix'!OBD22</f>
        <v>0</v>
      </c>
      <c r="OBE42" s="1046">
        <f>OBE38+((OBE40+'NF - 5 Power Mix'!OBE14+'NF - 5 Power Mix'!OBE15)*860/10)+((('Form Sa1'!OBH835)*860)/10)+('Form Sa1'!OBH814*'Form Sa1'!OBH816/10)-'NF - 5 Power Mix'!OBE21-'NF - 5 Power Mix'!OBE22</f>
        <v>0</v>
      </c>
      <c r="OBF42" s="1046">
        <f>OBF38+((OBF40+'NF - 5 Power Mix'!OBF14+'NF - 5 Power Mix'!OBF15)*860/10)+((('Form Sa1'!OBI835)*860)/10)+('Form Sa1'!OBI814*'Form Sa1'!OBI816/10)-'NF - 5 Power Mix'!OBF21-'NF - 5 Power Mix'!OBF22</f>
        <v>0</v>
      </c>
      <c r="OBG42" s="1046">
        <f>OBG38+((OBG40+'NF - 5 Power Mix'!OBG14+'NF - 5 Power Mix'!OBG15)*860/10)+((('Form Sa1'!OBJ835)*860)/10)+('Form Sa1'!OBJ814*'Form Sa1'!OBJ816/10)-'NF - 5 Power Mix'!OBG21-'NF - 5 Power Mix'!OBG22</f>
        <v>0</v>
      </c>
      <c r="OBH42" s="1046">
        <f>OBH38+((OBH40+'NF - 5 Power Mix'!OBH14+'NF - 5 Power Mix'!OBH15)*860/10)+((('Form Sa1'!OBK835)*860)/10)+('Form Sa1'!OBK814*'Form Sa1'!OBK816/10)-'NF - 5 Power Mix'!OBH21-'NF - 5 Power Mix'!OBH22</f>
        <v>0</v>
      </c>
      <c r="OBI42" s="1046">
        <f>OBI38+((OBI40+'NF - 5 Power Mix'!OBI14+'NF - 5 Power Mix'!OBI15)*860/10)+((('Form Sa1'!OBL835)*860)/10)+('Form Sa1'!OBL814*'Form Sa1'!OBL816/10)-'NF - 5 Power Mix'!OBI21-'NF - 5 Power Mix'!OBI22</f>
        <v>0</v>
      </c>
      <c r="OBJ42" s="1046">
        <f>OBJ38+((OBJ40+'NF - 5 Power Mix'!OBJ14+'NF - 5 Power Mix'!OBJ15)*860/10)+((('Form Sa1'!OBM835)*860)/10)+('Form Sa1'!OBM814*'Form Sa1'!OBM816/10)-'NF - 5 Power Mix'!OBJ21-'NF - 5 Power Mix'!OBJ22</f>
        <v>0</v>
      </c>
      <c r="OBK42" s="1046">
        <f>OBK38+((OBK40+'NF - 5 Power Mix'!OBK14+'NF - 5 Power Mix'!OBK15)*860/10)+((('Form Sa1'!OBN835)*860)/10)+('Form Sa1'!OBN814*'Form Sa1'!OBN816/10)-'NF - 5 Power Mix'!OBK21-'NF - 5 Power Mix'!OBK22</f>
        <v>0</v>
      </c>
      <c r="OBL42" s="1046">
        <f>OBL38+((OBL40+'NF - 5 Power Mix'!OBL14+'NF - 5 Power Mix'!OBL15)*860/10)+((('Form Sa1'!OBO835)*860)/10)+('Form Sa1'!OBO814*'Form Sa1'!OBO816/10)-'NF - 5 Power Mix'!OBL21-'NF - 5 Power Mix'!OBL22</f>
        <v>0</v>
      </c>
      <c r="OBM42" s="1046">
        <f>OBM38+((OBM40+'NF - 5 Power Mix'!OBM14+'NF - 5 Power Mix'!OBM15)*860/10)+((('Form Sa1'!OBP835)*860)/10)+('Form Sa1'!OBP814*'Form Sa1'!OBP816/10)-'NF - 5 Power Mix'!OBM21-'NF - 5 Power Mix'!OBM22</f>
        <v>0</v>
      </c>
      <c r="OBN42" s="1046">
        <f>OBN38+((OBN40+'NF - 5 Power Mix'!OBN14+'NF - 5 Power Mix'!OBN15)*860/10)+((('Form Sa1'!OBQ835)*860)/10)+('Form Sa1'!OBQ814*'Form Sa1'!OBQ816/10)-'NF - 5 Power Mix'!OBN21-'NF - 5 Power Mix'!OBN22</f>
        <v>0</v>
      </c>
      <c r="OBO42" s="1046">
        <f>OBO38+((OBO40+'NF - 5 Power Mix'!OBO14+'NF - 5 Power Mix'!OBO15)*860/10)+((('Form Sa1'!OBR835)*860)/10)+('Form Sa1'!OBR814*'Form Sa1'!OBR816/10)-'NF - 5 Power Mix'!OBO21-'NF - 5 Power Mix'!OBO22</f>
        <v>0</v>
      </c>
      <c r="OBP42" s="1046">
        <f>OBP38+((OBP40+'NF - 5 Power Mix'!OBP14+'NF - 5 Power Mix'!OBP15)*860/10)+((('Form Sa1'!OBS835)*860)/10)+('Form Sa1'!OBS814*'Form Sa1'!OBS816/10)-'NF - 5 Power Mix'!OBP21-'NF - 5 Power Mix'!OBP22</f>
        <v>0</v>
      </c>
      <c r="OBQ42" s="1046">
        <f>OBQ38+((OBQ40+'NF - 5 Power Mix'!OBQ14+'NF - 5 Power Mix'!OBQ15)*860/10)+((('Form Sa1'!OBT835)*860)/10)+('Form Sa1'!OBT814*'Form Sa1'!OBT816/10)-'NF - 5 Power Mix'!OBQ21-'NF - 5 Power Mix'!OBQ22</f>
        <v>0</v>
      </c>
      <c r="OBR42" s="1046">
        <f>OBR38+((OBR40+'NF - 5 Power Mix'!OBR14+'NF - 5 Power Mix'!OBR15)*860/10)+((('Form Sa1'!OBU835)*860)/10)+('Form Sa1'!OBU814*'Form Sa1'!OBU816/10)-'NF - 5 Power Mix'!OBR21-'NF - 5 Power Mix'!OBR22</f>
        <v>0</v>
      </c>
      <c r="OBS42" s="1046">
        <f>OBS38+((OBS40+'NF - 5 Power Mix'!OBS14+'NF - 5 Power Mix'!OBS15)*860/10)+((('Form Sa1'!OBV835)*860)/10)+('Form Sa1'!OBV814*'Form Sa1'!OBV816/10)-'NF - 5 Power Mix'!OBS21-'NF - 5 Power Mix'!OBS22</f>
        <v>0</v>
      </c>
      <c r="OBT42" s="1046">
        <f>OBT38+((OBT40+'NF - 5 Power Mix'!OBT14+'NF - 5 Power Mix'!OBT15)*860/10)+((('Form Sa1'!OBW835)*860)/10)+('Form Sa1'!OBW814*'Form Sa1'!OBW816/10)-'NF - 5 Power Mix'!OBT21-'NF - 5 Power Mix'!OBT22</f>
        <v>0</v>
      </c>
      <c r="OBU42" s="1046">
        <f>OBU38+((OBU40+'NF - 5 Power Mix'!OBU14+'NF - 5 Power Mix'!OBU15)*860/10)+((('Form Sa1'!OBX835)*860)/10)+('Form Sa1'!OBX814*'Form Sa1'!OBX816/10)-'NF - 5 Power Mix'!OBU21-'NF - 5 Power Mix'!OBU22</f>
        <v>0</v>
      </c>
      <c r="OBV42" s="1046">
        <f>OBV38+((OBV40+'NF - 5 Power Mix'!OBV14+'NF - 5 Power Mix'!OBV15)*860/10)+((('Form Sa1'!OBY835)*860)/10)+('Form Sa1'!OBY814*'Form Sa1'!OBY816/10)-'NF - 5 Power Mix'!OBV21-'NF - 5 Power Mix'!OBV22</f>
        <v>0</v>
      </c>
      <c r="OBW42" s="1046">
        <f>OBW38+((OBW40+'NF - 5 Power Mix'!OBW14+'NF - 5 Power Mix'!OBW15)*860/10)+((('Form Sa1'!OBZ835)*860)/10)+('Form Sa1'!OBZ814*'Form Sa1'!OBZ816/10)-'NF - 5 Power Mix'!OBW21-'NF - 5 Power Mix'!OBW22</f>
        <v>0</v>
      </c>
      <c r="OBX42" s="1046">
        <f>OBX38+((OBX40+'NF - 5 Power Mix'!OBX14+'NF - 5 Power Mix'!OBX15)*860/10)+((('Form Sa1'!OCA835)*860)/10)+('Form Sa1'!OCA814*'Form Sa1'!OCA816/10)-'NF - 5 Power Mix'!OBX21-'NF - 5 Power Mix'!OBX22</f>
        <v>0</v>
      </c>
      <c r="OBY42" s="1046">
        <f>OBY38+((OBY40+'NF - 5 Power Mix'!OBY14+'NF - 5 Power Mix'!OBY15)*860/10)+((('Form Sa1'!OCB835)*860)/10)+('Form Sa1'!OCB814*'Form Sa1'!OCB816/10)-'NF - 5 Power Mix'!OBY21-'NF - 5 Power Mix'!OBY22</f>
        <v>0</v>
      </c>
      <c r="OBZ42" s="1046">
        <f>OBZ38+((OBZ40+'NF - 5 Power Mix'!OBZ14+'NF - 5 Power Mix'!OBZ15)*860/10)+((('Form Sa1'!OCC835)*860)/10)+('Form Sa1'!OCC814*'Form Sa1'!OCC816/10)-'NF - 5 Power Mix'!OBZ21-'NF - 5 Power Mix'!OBZ22</f>
        <v>0</v>
      </c>
      <c r="OCA42" s="1046">
        <f>OCA38+((OCA40+'NF - 5 Power Mix'!OCA14+'NF - 5 Power Mix'!OCA15)*860/10)+((('Form Sa1'!OCD835)*860)/10)+('Form Sa1'!OCD814*'Form Sa1'!OCD816/10)-'NF - 5 Power Mix'!OCA21-'NF - 5 Power Mix'!OCA22</f>
        <v>0</v>
      </c>
      <c r="OCB42" s="1046">
        <f>OCB38+((OCB40+'NF - 5 Power Mix'!OCB14+'NF - 5 Power Mix'!OCB15)*860/10)+((('Form Sa1'!OCE835)*860)/10)+('Form Sa1'!OCE814*'Form Sa1'!OCE816/10)-'NF - 5 Power Mix'!OCB21-'NF - 5 Power Mix'!OCB22</f>
        <v>0</v>
      </c>
      <c r="OCC42" s="1046">
        <f>OCC38+((OCC40+'NF - 5 Power Mix'!OCC14+'NF - 5 Power Mix'!OCC15)*860/10)+((('Form Sa1'!OCF835)*860)/10)+('Form Sa1'!OCF814*'Form Sa1'!OCF816/10)-'NF - 5 Power Mix'!OCC21-'NF - 5 Power Mix'!OCC22</f>
        <v>0</v>
      </c>
      <c r="OCD42" s="1046">
        <f>OCD38+((OCD40+'NF - 5 Power Mix'!OCD14+'NF - 5 Power Mix'!OCD15)*860/10)+((('Form Sa1'!OCG835)*860)/10)+('Form Sa1'!OCG814*'Form Sa1'!OCG816/10)-'NF - 5 Power Mix'!OCD21-'NF - 5 Power Mix'!OCD22</f>
        <v>0</v>
      </c>
      <c r="OCE42" s="1046">
        <f>OCE38+((OCE40+'NF - 5 Power Mix'!OCE14+'NF - 5 Power Mix'!OCE15)*860/10)+((('Form Sa1'!OCH835)*860)/10)+('Form Sa1'!OCH814*'Form Sa1'!OCH816/10)-'NF - 5 Power Mix'!OCE21-'NF - 5 Power Mix'!OCE22</f>
        <v>0</v>
      </c>
      <c r="OCF42" s="1046">
        <f>OCF38+((OCF40+'NF - 5 Power Mix'!OCF14+'NF - 5 Power Mix'!OCF15)*860/10)+((('Form Sa1'!OCI835)*860)/10)+('Form Sa1'!OCI814*'Form Sa1'!OCI816/10)-'NF - 5 Power Mix'!OCF21-'NF - 5 Power Mix'!OCF22</f>
        <v>0</v>
      </c>
      <c r="OCG42" s="1046">
        <f>OCG38+((OCG40+'NF - 5 Power Mix'!OCG14+'NF - 5 Power Mix'!OCG15)*860/10)+((('Form Sa1'!OCJ835)*860)/10)+('Form Sa1'!OCJ814*'Form Sa1'!OCJ816/10)-'NF - 5 Power Mix'!OCG21-'NF - 5 Power Mix'!OCG22</f>
        <v>0</v>
      </c>
      <c r="OCH42" s="1046">
        <f>OCH38+((OCH40+'NF - 5 Power Mix'!OCH14+'NF - 5 Power Mix'!OCH15)*860/10)+((('Form Sa1'!OCK835)*860)/10)+('Form Sa1'!OCK814*'Form Sa1'!OCK816/10)-'NF - 5 Power Mix'!OCH21-'NF - 5 Power Mix'!OCH22</f>
        <v>0</v>
      </c>
      <c r="OCI42" s="1046">
        <f>OCI38+((OCI40+'NF - 5 Power Mix'!OCI14+'NF - 5 Power Mix'!OCI15)*860/10)+((('Form Sa1'!OCL835)*860)/10)+('Form Sa1'!OCL814*'Form Sa1'!OCL816/10)-'NF - 5 Power Mix'!OCI21-'NF - 5 Power Mix'!OCI22</f>
        <v>0</v>
      </c>
      <c r="OCJ42" s="1046">
        <f>OCJ38+((OCJ40+'NF - 5 Power Mix'!OCJ14+'NF - 5 Power Mix'!OCJ15)*860/10)+((('Form Sa1'!OCM835)*860)/10)+('Form Sa1'!OCM814*'Form Sa1'!OCM816/10)-'NF - 5 Power Mix'!OCJ21-'NF - 5 Power Mix'!OCJ22</f>
        <v>0</v>
      </c>
      <c r="OCK42" s="1046">
        <f>OCK38+((OCK40+'NF - 5 Power Mix'!OCK14+'NF - 5 Power Mix'!OCK15)*860/10)+((('Form Sa1'!OCN835)*860)/10)+('Form Sa1'!OCN814*'Form Sa1'!OCN816/10)-'NF - 5 Power Mix'!OCK21-'NF - 5 Power Mix'!OCK22</f>
        <v>0</v>
      </c>
      <c r="OCL42" s="1046">
        <f>OCL38+((OCL40+'NF - 5 Power Mix'!OCL14+'NF - 5 Power Mix'!OCL15)*860/10)+((('Form Sa1'!OCO835)*860)/10)+('Form Sa1'!OCO814*'Form Sa1'!OCO816/10)-'NF - 5 Power Mix'!OCL21-'NF - 5 Power Mix'!OCL22</f>
        <v>0</v>
      </c>
      <c r="OCM42" s="1046">
        <f>OCM38+((OCM40+'NF - 5 Power Mix'!OCM14+'NF - 5 Power Mix'!OCM15)*860/10)+((('Form Sa1'!OCP835)*860)/10)+('Form Sa1'!OCP814*'Form Sa1'!OCP816/10)-'NF - 5 Power Mix'!OCM21-'NF - 5 Power Mix'!OCM22</f>
        <v>0</v>
      </c>
      <c r="OCN42" s="1046">
        <f>OCN38+((OCN40+'NF - 5 Power Mix'!OCN14+'NF - 5 Power Mix'!OCN15)*860/10)+((('Form Sa1'!OCQ835)*860)/10)+('Form Sa1'!OCQ814*'Form Sa1'!OCQ816/10)-'NF - 5 Power Mix'!OCN21-'NF - 5 Power Mix'!OCN22</f>
        <v>0</v>
      </c>
      <c r="OCO42" s="1046">
        <f>OCO38+((OCO40+'NF - 5 Power Mix'!OCO14+'NF - 5 Power Mix'!OCO15)*860/10)+((('Form Sa1'!OCR835)*860)/10)+('Form Sa1'!OCR814*'Form Sa1'!OCR816/10)-'NF - 5 Power Mix'!OCO21-'NF - 5 Power Mix'!OCO22</f>
        <v>0</v>
      </c>
      <c r="OCP42" s="1046">
        <f>OCP38+((OCP40+'NF - 5 Power Mix'!OCP14+'NF - 5 Power Mix'!OCP15)*860/10)+((('Form Sa1'!OCS835)*860)/10)+('Form Sa1'!OCS814*'Form Sa1'!OCS816/10)-'NF - 5 Power Mix'!OCP21-'NF - 5 Power Mix'!OCP22</f>
        <v>0</v>
      </c>
      <c r="OCQ42" s="1046">
        <f>OCQ38+((OCQ40+'NF - 5 Power Mix'!OCQ14+'NF - 5 Power Mix'!OCQ15)*860/10)+((('Form Sa1'!OCT835)*860)/10)+('Form Sa1'!OCT814*'Form Sa1'!OCT816/10)-'NF - 5 Power Mix'!OCQ21-'NF - 5 Power Mix'!OCQ22</f>
        <v>0</v>
      </c>
      <c r="OCR42" s="1046">
        <f>OCR38+((OCR40+'NF - 5 Power Mix'!OCR14+'NF - 5 Power Mix'!OCR15)*860/10)+((('Form Sa1'!OCU835)*860)/10)+('Form Sa1'!OCU814*'Form Sa1'!OCU816/10)-'NF - 5 Power Mix'!OCR21-'NF - 5 Power Mix'!OCR22</f>
        <v>0</v>
      </c>
      <c r="OCS42" s="1046">
        <f>OCS38+((OCS40+'NF - 5 Power Mix'!OCS14+'NF - 5 Power Mix'!OCS15)*860/10)+((('Form Sa1'!OCV835)*860)/10)+('Form Sa1'!OCV814*'Form Sa1'!OCV816/10)-'NF - 5 Power Mix'!OCS21-'NF - 5 Power Mix'!OCS22</f>
        <v>0</v>
      </c>
      <c r="OCT42" s="1046">
        <f>OCT38+((OCT40+'NF - 5 Power Mix'!OCT14+'NF - 5 Power Mix'!OCT15)*860/10)+((('Form Sa1'!OCW835)*860)/10)+('Form Sa1'!OCW814*'Form Sa1'!OCW816/10)-'NF - 5 Power Mix'!OCT21-'NF - 5 Power Mix'!OCT22</f>
        <v>0</v>
      </c>
      <c r="OCU42" s="1046">
        <f>OCU38+((OCU40+'NF - 5 Power Mix'!OCU14+'NF - 5 Power Mix'!OCU15)*860/10)+((('Form Sa1'!OCX835)*860)/10)+('Form Sa1'!OCX814*'Form Sa1'!OCX816/10)-'NF - 5 Power Mix'!OCU21-'NF - 5 Power Mix'!OCU22</f>
        <v>0</v>
      </c>
      <c r="OCV42" s="1046">
        <f>OCV38+((OCV40+'NF - 5 Power Mix'!OCV14+'NF - 5 Power Mix'!OCV15)*860/10)+((('Form Sa1'!OCY835)*860)/10)+('Form Sa1'!OCY814*'Form Sa1'!OCY816/10)-'NF - 5 Power Mix'!OCV21-'NF - 5 Power Mix'!OCV22</f>
        <v>0</v>
      </c>
      <c r="OCW42" s="1046">
        <f>OCW38+((OCW40+'NF - 5 Power Mix'!OCW14+'NF - 5 Power Mix'!OCW15)*860/10)+((('Form Sa1'!OCZ835)*860)/10)+('Form Sa1'!OCZ814*'Form Sa1'!OCZ816/10)-'NF - 5 Power Mix'!OCW21-'NF - 5 Power Mix'!OCW22</f>
        <v>0</v>
      </c>
      <c r="OCX42" s="1046">
        <f>OCX38+((OCX40+'NF - 5 Power Mix'!OCX14+'NF - 5 Power Mix'!OCX15)*860/10)+((('Form Sa1'!ODA835)*860)/10)+('Form Sa1'!ODA814*'Form Sa1'!ODA816/10)-'NF - 5 Power Mix'!OCX21-'NF - 5 Power Mix'!OCX22</f>
        <v>0</v>
      </c>
      <c r="OCY42" s="1046">
        <f>OCY38+((OCY40+'NF - 5 Power Mix'!OCY14+'NF - 5 Power Mix'!OCY15)*860/10)+((('Form Sa1'!ODB835)*860)/10)+('Form Sa1'!ODB814*'Form Sa1'!ODB816/10)-'NF - 5 Power Mix'!OCY21-'NF - 5 Power Mix'!OCY22</f>
        <v>0</v>
      </c>
      <c r="OCZ42" s="1046">
        <f>OCZ38+((OCZ40+'NF - 5 Power Mix'!OCZ14+'NF - 5 Power Mix'!OCZ15)*860/10)+((('Form Sa1'!ODC835)*860)/10)+('Form Sa1'!ODC814*'Form Sa1'!ODC816/10)-'NF - 5 Power Mix'!OCZ21-'NF - 5 Power Mix'!OCZ22</f>
        <v>0</v>
      </c>
      <c r="ODA42" s="1046">
        <f>ODA38+((ODA40+'NF - 5 Power Mix'!ODA14+'NF - 5 Power Mix'!ODA15)*860/10)+((('Form Sa1'!ODD835)*860)/10)+('Form Sa1'!ODD814*'Form Sa1'!ODD816/10)-'NF - 5 Power Mix'!ODA21-'NF - 5 Power Mix'!ODA22</f>
        <v>0</v>
      </c>
      <c r="ODB42" s="1046">
        <f>ODB38+((ODB40+'NF - 5 Power Mix'!ODB14+'NF - 5 Power Mix'!ODB15)*860/10)+((('Form Sa1'!ODE835)*860)/10)+('Form Sa1'!ODE814*'Form Sa1'!ODE816/10)-'NF - 5 Power Mix'!ODB21-'NF - 5 Power Mix'!ODB22</f>
        <v>0</v>
      </c>
      <c r="ODC42" s="1046">
        <f>ODC38+((ODC40+'NF - 5 Power Mix'!ODC14+'NF - 5 Power Mix'!ODC15)*860/10)+((('Form Sa1'!ODF835)*860)/10)+('Form Sa1'!ODF814*'Form Sa1'!ODF816/10)-'NF - 5 Power Mix'!ODC21-'NF - 5 Power Mix'!ODC22</f>
        <v>0</v>
      </c>
      <c r="ODD42" s="1046">
        <f>ODD38+((ODD40+'NF - 5 Power Mix'!ODD14+'NF - 5 Power Mix'!ODD15)*860/10)+((('Form Sa1'!ODG835)*860)/10)+('Form Sa1'!ODG814*'Form Sa1'!ODG816/10)-'NF - 5 Power Mix'!ODD21-'NF - 5 Power Mix'!ODD22</f>
        <v>0</v>
      </c>
      <c r="ODE42" s="1046">
        <f>ODE38+((ODE40+'NF - 5 Power Mix'!ODE14+'NF - 5 Power Mix'!ODE15)*860/10)+((('Form Sa1'!ODH835)*860)/10)+('Form Sa1'!ODH814*'Form Sa1'!ODH816/10)-'NF - 5 Power Mix'!ODE21-'NF - 5 Power Mix'!ODE22</f>
        <v>0</v>
      </c>
      <c r="ODF42" s="1046">
        <f>ODF38+((ODF40+'NF - 5 Power Mix'!ODF14+'NF - 5 Power Mix'!ODF15)*860/10)+((('Form Sa1'!ODI835)*860)/10)+('Form Sa1'!ODI814*'Form Sa1'!ODI816/10)-'NF - 5 Power Mix'!ODF21-'NF - 5 Power Mix'!ODF22</f>
        <v>0</v>
      </c>
      <c r="ODG42" s="1046">
        <f>ODG38+((ODG40+'NF - 5 Power Mix'!ODG14+'NF - 5 Power Mix'!ODG15)*860/10)+((('Form Sa1'!ODJ835)*860)/10)+('Form Sa1'!ODJ814*'Form Sa1'!ODJ816/10)-'NF - 5 Power Mix'!ODG21-'NF - 5 Power Mix'!ODG22</f>
        <v>0</v>
      </c>
      <c r="ODH42" s="1046">
        <f>ODH38+((ODH40+'NF - 5 Power Mix'!ODH14+'NF - 5 Power Mix'!ODH15)*860/10)+((('Form Sa1'!ODK835)*860)/10)+('Form Sa1'!ODK814*'Form Sa1'!ODK816/10)-'NF - 5 Power Mix'!ODH21-'NF - 5 Power Mix'!ODH22</f>
        <v>0</v>
      </c>
      <c r="ODI42" s="1046">
        <f>ODI38+((ODI40+'NF - 5 Power Mix'!ODI14+'NF - 5 Power Mix'!ODI15)*860/10)+((('Form Sa1'!ODL835)*860)/10)+('Form Sa1'!ODL814*'Form Sa1'!ODL816/10)-'NF - 5 Power Mix'!ODI21-'NF - 5 Power Mix'!ODI22</f>
        <v>0</v>
      </c>
      <c r="ODJ42" s="1046">
        <f>ODJ38+((ODJ40+'NF - 5 Power Mix'!ODJ14+'NF - 5 Power Mix'!ODJ15)*860/10)+((('Form Sa1'!ODM835)*860)/10)+('Form Sa1'!ODM814*'Form Sa1'!ODM816/10)-'NF - 5 Power Mix'!ODJ21-'NF - 5 Power Mix'!ODJ22</f>
        <v>0</v>
      </c>
      <c r="ODK42" s="1046">
        <f>ODK38+((ODK40+'NF - 5 Power Mix'!ODK14+'NF - 5 Power Mix'!ODK15)*860/10)+((('Form Sa1'!ODN835)*860)/10)+('Form Sa1'!ODN814*'Form Sa1'!ODN816/10)-'NF - 5 Power Mix'!ODK21-'NF - 5 Power Mix'!ODK22</f>
        <v>0</v>
      </c>
      <c r="ODL42" s="1046">
        <f>ODL38+((ODL40+'NF - 5 Power Mix'!ODL14+'NF - 5 Power Mix'!ODL15)*860/10)+((('Form Sa1'!ODO835)*860)/10)+('Form Sa1'!ODO814*'Form Sa1'!ODO816/10)-'NF - 5 Power Mix'!ODL21-'NF - 5 Power Mix'!ODL22</f>
        <v>0</v>
      </c>
      <c r="ODM42" s="1046">
        <f>ODM38+((ODM40+'NF - 5 Power Mix'!ODM14+'NF - 5 Power Mix'!ODM15)*860/10)+((('Form Sa1'!ODP835)*860)/10)+('Form Sa1'!ODP814*'Form Sa1'!ODP816/10)-'NF - 5 Power Mix'!ODM21-'NF - 5 Power Mix'!ODM22</f>
        <v>0</v>
      </c>
      <c r="ODN42" s="1046">
        <f>ODN38+((ODN40+'NF - 5 Power Mix'!ODN14+'NF - 5 Power Mix'!ODN15)*860/10)+((('Form Sa1'!ODQ835)*860)/10)+('Form Sa1'!ODQ814*'Form Sa1'!ODQ816/10)-'NF - 5 Power Mix'!ODN21-'NF - 5 Power Mix'!ODN22</f>
        <v>0</v>
      </c>
      <c r="ODO42" s="1046">
        <f>ODO38+((ODO40+'NF - 5 Power Mix'!ODO14+'NF - 5 Power Mix'!ODO15)*860/10)+((('Form Sa1'!ODR835)*860)/10)+('Form Sa1'!ODR814*'Form Sa1'!ODR816/10)-'NF - 5 Power Mix'!ODO21-'NF - 5 Power Mix'!ODO22</f>
        <v>0</v>
      </c>
      <c r="ODP42" s="1046">
        <f>ODP38+((ODP40+'NF - 5 Power Mix'!ODP14+'NF - 5 Power Mix'!ODP15)*860/10)+((('Form Sa1'!ODS835)*860)/10)+('Form Sa1'!ODS814*'Form Sa1'!ODS816/10)-'NF - 5 Power Mix'!ODP21-'NF - 5 Power Mix'!ODP22</f>
        <v>0</v>
      </c>
      <c r="ODQ42" s="1046">
        <f>ODQ38+((ODQ40+'NF - 5 Power Mix'!ODQ14+'NF - 5 Power Mix'!ODQ15)*860/10)+((('Form Sa1'!ODT835)*860)/10)+('Form Sa1'!ODT814*'Form Sa1'!ODT816/10)-'NF - 5 Power Mix'!ODQ21-'NF - 5 Power Mix'!ODQ22</f>
        <v>0</v>
      </c>
      <c r="ODR42" s="1046">
        <f>ODR38+((ODR40+'NF - 5 Power Mix'!ODR14+'NF - 5 Power Mix'!ODR15)*860/10)+((('Form Sa1'!ODU835)*860)/10)+('Form Sa1'!ODU814*'Form Sa1'!ODU816/10)-'NF - 5 Power Mix'!ODR21-'NF - 5 Power Mix'!ODR22</f>
        <v>0</v>
      </c>
      <c r="ODS42" s="1046">
        <f>ODS38+((ODS40+'NF - 5 Power Mix'!ODS14+'NF - 5 Power Mix'!ODS15)*860/10)+((('Form Sa1'!ODV835)*860)/10)+('Form Sa1'!ODV814*'Form Sa1'!ODV816/10)-'NF - 5 Power Mix'!ODS21-'NF - 5 Power Mix'!ODS22</f>
        <v>0</v>
      </c>
      <c r="ODT42" s="1046">
        <f>ODT38+((ODT40+'NF - 5 Power Mix'!ODT14+'NF - 5 Power Mix'!ODT15)*860/10)+((('Form Sa1'!ODW835)*860)/10)+('Form Sa1'!ODW814*'Form Sa1'!ODW816/10)-'NF - 5 Power Mix'!ODT21-'NF - 5 Power Mix'!ODT22</f>
        <v>0</v>
      </c>
      <c r="ODU42" s="1046">
        <f>ODU38+((ODU40+'NF - 5 Power Mix'!ODU14+'NF - 5 Power Mix'!ODU15)*860/10)+((('Form Sa1'!ODX835)*860)/10)+('Form Sa1'!ODX814*'Form Sa1'!ODX816/10)-'NF - 5 Power Mix'!ODU21-'NF - 5 Power Mix'!ODU22</f>
        <v>0</v>
      </c>
      <c r="ODV42" s="1046">
        <f>ODV38+((ODV40+'NF - 5 Power Mix'!ODV14+'NF - 5 Power Mix'!ODV15)*860/10)+((('Form Sa1'!ODY835)*860)/10)+('Form Sa1'!ODY814*'Form Sa1'!ODY816/10)-'NF - 5 Power Mix'!ODV21-'NF - 5 Power Mix'!ODV22</f>
        <v>0</v>
      </c>
      <c r="ODW42" s="1046">
        <f>ODW38+((ODW40+'NF - 5 Power Mix'!ODW14+'NF - 5 Power Mix'!ODW15)*860/10)+((('Form Sa1'!ODZ835)*860)/10)+('Form Sa1'!ODZ814*'Form Sa1'!ODZ816/10)-'NF - 5 Power Mix'!ODW21-'NF - 5 Power Mix'!ODW22</f>
        <v>0</v>
      </c>
      <c r="ODX42" s="1046">
        <f>ODX38+((ODX40+'NF - 5 Power Mix'!ODX14+'NF - 5 Power Mix'!ODX15)*860/10)+((('Form Sa1'!OEA835)*860)/10)+('Form Sa1'!OEA814*'Form Sa1'!OEA816/10)-'NF - 5 Power Mix'!ODX21-'NF - 5 Power Mix'!ODX22</f>
        <v>0</v>
      </c>
      <c r="ODY42" s="1046">
        <f>ODY38+((ODY40+'NF - 5 Power Mix'!ODY14+'NF - 5 Power Mix'!ODY15)*860/10)+((('Form Sa1'!OEB835)*860)/10)+('Form Sa1'!OEB814*'Form Sa1'!OEB816/10)-'NF - 5 Power Mix'!ODY21-'NF - 5 Power Mix'!ODY22</f>
        <v>0</v>
      </c>
      <c r="ODZ42" s="1046">
        <f>ODZ38+((ODZ40+'NF - 5 Power Mix'!ODZ14+'NF - 5 Power Mix'!ODZ15)*860/10)+((('Form Sa1'!OEC835)*860)/10)+('Form Sa1'!OEC814*'Form Sa1'!OEC816/10)-'NF - 5 Power Mix'!ODZ21-'NF - 5 Power Mix'!ODZ22</f>
        <v>0</v>
      </c>
      <c r="OEA42" s="1046">
        <f>OEA38+((OEA40+'NF - 5 Power Mix'!OEA14+'NF - 5 Power Mix'!OEA15)*860/10)+((('Form Sa1'!OED835)*860)/10)+('Form Sa1'!OED814*'Form Sa1'!OED816/10)-'NF - 5 Power Mix'!OEA21-'NF - 5 Power Mix'!OEA22</f>
        <v>0</v>
      </c>
      <c r="OEB42" s="1046">
        <f>OEB38+((OEB40+'NF - 5 Power Mix'!OEB14+'NF - 5 Power Mix'!OEB15)*860/10)+((('Form Sa1'!OEE835)*860)/10)+('Form Sa1'!OEE814*'Form Sa1'!OEE816/10)-'NF - 5 Power Mix'!OEB21-'NF - 5 Power Mix'!OEB22</f>
        <v>0</v>
      </c>
      <c r="OEC42" s="1046">
        <f>OEC38+((OEC40+'NF - 5 Power Mix'!OEC14+'NF - 5 Power Mix'!OEC15)*860/10)+((('Form Sa1'!OEF835)*860)/10)+('Form Sa1'!OEF814*'Form Sa1'!OEF816/10)-'NF - 5 Power Mix'!OEC21-'NF - 5 Power Mix'!OEC22</f>
        <v>0</v>
      </c>
      <c r="OED42" s="1046">
        <f>OED38+((OED40+'NF - 5 Power Mix'!OED14+'NF - 5 Power Mix'!OED15)*860/10)+((('Form Sa1'!OEG835)*860)/10)+('Form Sa1'!OEG814*'Form Sa1'!OEG816/10)-'NF - 5 Power Mix'!OED21-'NF - 5 Power Mix'!OED22</f>
        <v>0</v>
      </c>
      <c r="OEE42" s="1046">
        <f>OEE38+((OEE40+'NF - 5 Power Mix'!OEE14+'NF - 5 Power Mix'!OEE15)*860/10)+((('Form Sa1'!OEH835)*860)/10)+('Form Sa1'!OEH814*'Form Sa1'!OEH816/10)-'NF - 5 Power Mix'!OEE21-'NF - 5 Power Mix'!OEE22</f>
        <v>0</v>
      </c>
      <c r="OEF42" s="1046">
        <f>OEF38+((OEF40+'NF - 5 Power Mix'!OEF14+'NF - 5 Power Mix'!OEF15)*860/10)+((('Form Sa1'!OEI835)*860)/10)+('Form Sa1'!OEI814*'Form Sa1'!OEI816/10)-'NF - 5 Power Mix'!OEF21-'NF - 5 Power Mix'!OEF22</f>
        <v>0</v>
      </c>
      <c r="OEG42" s="1046">
        <f>OEG38+((OEG40+'NF - 5 Power Mix'!OEG14+'NF - 5 Power Mix'!OEG15)*860/10)+((('Form Sa1'!OEJ835)*860)/10)+('Form Sa1'!OEJ814*'Form Sa1'!OEJ816/10)-'NF - 5 Power Mix'!OEG21-'NF - 5 Power Mix'!OEG22</f>
        <v>0</v>
      </c>
      <c r="OEH42" s="1046">
        <f>OEH38+((OEH40+'NF - 5 Power Mix'!OEH14+'NF - 5 Power Mix'!OEH15)*860/10)+((('Form Sa1'!OEK835)*860)/10)+('Form Sa1'!OEK814*'Form Sa1'!OEK816/10)-'NF - 5 Power Mix'!OEH21-'NF - 5 Power Mix'!OEH22</f>
        <v>0</v>
      </c>
      <c r="OEI42" s="1046">
        <f>OEI38+((OEI40+'NF - 5 Power Mix'!OEI14+'NF - 5 Power Mix'!OEI15)*860/10)+((('Form Sa1'!OEL835)*860)/10)+('Form Sa1'!OEL814*'Form Sa1'!OEL816/10)-'NF - 5 Power Mix'!OEI21-'NF - 5 Power Mix'!OEI22</f>
        <v>0</v>
      </c>
      <c r="OEJ42" s="1046">
        <f>OEJ38+((OEJ40+'NF - 5 Power Mix'!OEJ14+'NF - 5 Power Mix'!OEJ15)*860/10)+((('Form Sa1'!OEM835)*860)/10)+('Form Sa1'!OEM814*'Form Sa1'!OEM816/10)-'NF - 5 Power Mix'!OEJ21-'NF - 5 Power Mix'!OEJ22</f>
        <v>0</v>
      </c>
      <c r="OEK42" s="1046">
        <f>OEK38+((OEK40+'NF - 5 Power Mix'!OEK14+'NF - 5 Power Mix'!OEK15)*860/10)+((('Form Sa1'!OEN835)*860)/10)+('Form Sa1'!OEN814*'Form Sa1'!OEN816/10)-'NF - 5 Power Mix'!OEK21-'NF - 5 Power Mix'!OEK22</f>
        <v>0</v>
      </c>
      <c r="OEL42" s="1046">
        <f>OEL38+((OEL40+'NF - 5 Power Mix'!OEL14+'NF - 5 Power Mix'!OEL15)*860/10)+((('Form Sa1'!OEO835)*860)/10)+('Form Sa1'!OEO814*'Form Sa1'!OEO816/10)-'NF - 5 Power Mix'!OEL21-'NF - 5 Power Mix'!OEL22</f>
        <v>0</v>
      </c>
      <c r="OEM42" s="1046">
        <f>OEM38+((OEM40+'NF - 5 Power Mix'!OEM14+'NF - 5 Power Mix'!OEM15)*860/10)+((('Form Sa1'!OEP835)*860)/10)+('Form Sa1'!OEP814*'Form Sa1'!OEP816/10)-'NF - 5 Power Mix'!OEM21-'NF - 5 Power Mix'!OEM22</f>
        <v>0</v>
      </c>
      <c r="OEN42" s="1046">
        <f>OEN38+((OEN40+'NF - 5 Power Mix'!OEN14+'NF - 5 Power Mix'!OEN15)*860/10)+((('Form Sa1'!OEQ835)*860)/10)+('Form Sa1'!OEQ814*'Form Sa1'!OEQ816/10)-'NF - 5 Power Mix'!OEN21-'NF - 5 Power Mix'!OEN22</f>
        <v>0</v>
      </c>
      <c r="OEO42" s="1046">
        <f>OEO38+((OEO40+'NF - 5 Power Mix'!OEO14+'NF - 5 Power Mix'!OEO15)*860/10)+((('Form Sa1'!OER835)*860)/10)+('Form Sa1'!OER814*'Form Sa1'!OER816/10)-'NF - 5 Power Mix'!OEO21-'NF - 5 Power Mix'!OEO22</f>
        <v>0</v>
      </c>
      <c r="OEP42" s="1046">
        <f>OEP38+((OEP40+'NF - 5 Power Mix'!OEP14+'NF - 5 Power Mix'!OEP15)*860/10)+((('Form Sa1'!OES835)*860)/10)+('Form Sa1'!OES814*'Form Sa1'!OES816/10)-'NF - 5 Power Mix'!OEP21-'NF - 5 Power Mix'!OEP22</f>
        <v>0</v>
      </c>
      <c r="OEQ42" s="1046">
        <f>OEQ38+((OEQ40+'NF - 5 Power Mix'!OEQ14+'NF - 5 Power Mix'!OEQ15)*860/10)+((('Form Sa1'!OET835)*860)/10)+('Form Sa1'!OET814*'Form Sa1'!OET816/10)-'NF - 5 Power Mix'!OEQ21-'NF - 5 Power Mix'!OEQ22</f>
        <v>0</v>
      </c>
      <c r="OER42" s="1046">
        <f>OER38+((OER40+'NF - 5 Power Mix'!OER14+'NF - 5 Power Mix'!OER15)*860/10)+((('Form Sa1'!OEU835)*860)/10)+('Form Sa1'!OEU814*'Form Sa1'!OEU816/10)-'NF - 5 Power Mix'!OER21-'NF - 5 Power Mix'!OER22</f>
        <v>0</v>
      </c>
      <c r="OES42" s="1046">
        <f>OES38+((OES40+'NF - 5 Power Mix'!OES14+'NF - 5 Power Mix'!OES15)*860/10)+((('Form Sa1'!OEV835)*860)/10)+('Form Sa1'!OEV814*'Form Sa1'!OEV816/10)-'NF - 5 Power Mix'!OES21-'NF - 5 Power Mix'!OES22</f>
        <v>0</v>
      </c>
      <c r="OET42" s="1046">
        <f>OET38+((OET40+'NF - 5 Power Mix'!OET14+'NF - 5 Power Mix'!OET15)*860/10)+((('Form Sa1'!OEW835)*860)/10)+('Form Sa1'!OEW814*'Form Sa1'!OEW816/10)-'NF - 5 Power Mix'!OET21-'NF - 5 Power Mix'!OET22</f>
        <v>0</v>
      </c>
      <c r="OEU42" s="1046">
        <f>OEU38+((OEU40+'NF - 5 Power Mix'!OEU14+'NF - 5 Power Mix'!OEU15)*860/10)+((('Form Sa1'!OEX835)*860)/10)+('Form Sa1'!OEX814*'Form Sa1'!OEX816/10)-'NF - 5 Power Mix'!OEU21-'NF - 5 Power Mix'!OEU22</f>
        <v>0</v>
      </c>
      <c r="OEV42" s="1046">
        <f>OEV38+((OEV40+'NF - 5 Power Mix'!OEV14+'NF - 5 Power Mix'!OEV15)*860/10)+((('Form Sa1'!OEY835)*860)/10)+('Form Sa1'!OEY814*'Form Sa1'!OEY816/10)-'NF - 5 Power Mix'!OEV21-'NF - 5 Power Mix'!OEV22</f>
        <v>0</v>
      </c>
      <c r="OEW42" s="1046">
        <f>OEW38+((OEW40+'NF - 5 Power Mix'!OEW14+'NF - 5 Power Mix'!OEW15)*860/10)+((('Form Sa1'!OEZ835)*860)/10)+('Form Sa1'!OEZ814*'Form Sa1'!OEZ816/10)-'NF - 5 Power Mix'!OEW21-'NF - 5 Power Mix'!OEW22</f>
        <v>0</v>
      </c>
      <c r="OEX42" s="1046">
        <f>OEX38+((OEX40+'NF - 5 Power Mix'!OEX14+'NF - 5 Power Mix'!OEX15)*860/10)+((('Form Sa1'!OFA835)*860)/10)+('Form Sa1'!OFA814*'Form Sa1'!OFA816/10)-'NF - 5 Power Mix'!OEX21-'NF - 5 Power Mix'!OEX22</f>
        <v>0</v>
      </c>
      <c r="OEY42" s="1046">
        <f>OEY38+((OEY40+'NF - 5 Power Mix'!OEY14+'NF - 5 Power Mix'!OEY15)*860/10)+((('Form Sa1'!OFB835)*860)/10)+('Form Sa1'!OFB814*'Form Sa1'!OFB816/10)-'NF - 5 Power Mix'!OEY21-'NF - 5 Power Mix'!OEY22</f>
        <v>0</v>
      </c>
      <c r="OEZ42" s="1046">
        <f>OEZ38+((OEZ40+'NF - 5 Power Mix'!OEZ14+'NF - 5 Power Mix'!OEZ15)*860/10)+((('Form Sa1'!OFC835)*860)/10)+('Form Sa1'!OFC814*'Form Sa1'!OFC816/10)-'NF - 5 Power Mix'!OEZ21-'NF - 5 Power Mix'!OEZ22</f>
        <v>0</v>
      </c>
      <c r="OFA42" s="1046">
        <f>OFA38+((OFA40+'NF - 5 Power Mix'!OFA14+'NF - 5 Power Mix'!OFA15)*860/10)+((('Form Sa1'!OFD835)*860)/10)+('Form Sa1'!OFD814*'Form Sa1'!OFD816/10)-'NF - 5 Power Mix'!OFA21-'NF - 5 Power Mix'!OFA22</f>
        <v>0</v>
      </c>
      <c r="OFB42" s="1046">
        <f>OFB38+((OFB40+'NF - 5 Power Mix'!OFB14+'NF - 5 Power Mix'!OFB15)*860/10)+((('Form Sa1'!OFE835)*860)/10)+('Form Sa1'!OFE814*'Form Sa1'!OFE816/10)-'NF - 5 Power Mix'!OFB21-'NF - 5 Power Mix'!OFB22</f>
        <v>0</v>
      </c>
      <c r="OFC42" s="1046">
        <f>OFC38+((OFC40+'NF - 5 Power Mix'!OFC14+'NF - 5 Power Mix'!OFC15)*860/10)+((('Form Sa1'!OFF835)*860)/10)+('Form Sa1'!OFF814*'Form Sa1'!OFF816/10)-'NF - 5 Power Mix'!OFC21-'NF - 5 Power Mix'!OFC22</f>
        <v>0</v>
      </c>
      <c r="OFD42" s="1046">
        <f>OFD38+((OFD40+'NF - 5 Power Mix'!OFD14+'NF - 5 Power Mix'!OFD15)*860/10)+((('Form Sa1'!OFG835)*860)/10)+('Form Sa1'!OFG814*'Form Sa1'!OFG816/10)-'NF - 5 Power Mix'!OFD21-'NF - 5 Power Mix'!OFD22</f>
        <v>0</v>
      </c>
      <c r="OFE42" s="1046">
        <f>OFE38+((OFE40+'NF - 5 Power Mix'!OFE14+'NF - 5 Power Mix'!OFE15)*860/10)+((('Form Sa1'!OFH835)*860)/10)+('Form Sa1'!OFH814*'Form Sa1'!OFH816/10)-'NF - 5 Power Mix'!OFE21-'NF - 5 Power Mix'!OFE22</f>
        <v>0</v>
      </c>
      <c r="OFF42" s="1046">
        <f>OFF38+((OFF40+'NF - 5 Power Mix'!OFF14+'NF - 5 Power Mix'!OFF15)*860/10)+((('Form Sa1'!OFI835)*860)/10)+('Form Sa1'!OFI814*'Form Sa1'!OFI816/10)-'NF - 5 Power Mix'!OFF21-'NF - 5 Power Mix'!OFF22</f>
        <v>0</v>
      </c>
      <c r="OFG42" s="1046">
        <f>OFG38+((OFG40+'NF - 5 Power Mix'!OFG14+'NF - 5 Power Mix'!OFG15)*860/10)+((('Form Sa1'!OFJ835)*860)/10)+('Form Sa1'!OFJ814*'Form Sa1'!OFJ816/10)-'NF - 5 Power Mix'!OFG21-'NF - 5 Power Mix'!OFG22</f>
        <v>0</v>
      </c>
      <c r="OFH42" s="1046">
        <f>OFH38+((OFH40+'NF - 5 Power Mix'!OFH14+'NF - 5 Power Mix'!OFH15)*860/10)+((('Form Sa1'!OFK835)*860)/10)+('Form Sa1'!OFK814*'Form Sa1'!OFK816/10)-'NF - 5 Power Mix'!OFH21-'NF - 5 Power Mix'!OFH22</f>
        <v>0</v>
      </c>
      <c r="OFI42" s="1046">
        <f>OFI38+((OFI40+'NF - 5 Power Mix'!OFI14+'NF - 5 Power Mix'!OFI15)*860/10)+((('Form Sa1'!OFL835)*860)/10)+('Form Sa1'!OFL814*'Form Sa1'!OFL816/10)-'NF - 5 Power Mix'!OFI21-'NF - 5 Power Mix'!OFI22</f>
        <v>0</v>
      </c>
      <c r="OFJ42" s="1046">
        <f>OFJ38+((OFJ40+'NF - 5 Power Mix'!OFJ14+'NF - 5 Power Mix'!OFJ15)*860/10)+((('Form Sa1'!OFM835)*860)/10)+('Form Sa1'!OFM814*'Form Sa1'!OFM816/10)-'NF - 5 Power Mix'!OFJ21-'NF - 5 Power Mix'!OFJ22</f>
        <v>0</v>
      </c>
      <c r="OFK42" s="1046">
        <f>OFK38+((OFK40+'NF - 5 Power Mix'!OFK14+'NF - 5 Power Mix'!OFK15)*860/10)+((('Form Sa1'!OFN835)*860)/10)+('Form Sa1'!OFN814*'Form Sa1'!OFN816/10)-'NF - 5 Power Mix'!OFK21-'NF - 5 Power Mix'!OFK22</f>
        <v>0</v>
      </c>
      <c r="OFL42" s="1046">
        <f>OFL38+((OFL40+'NF - 5 Power Mix'!OFL14+'NF - 5 Power Mix'!OFL15)*860/10)+((('Form Sa1'!OFO835)*860)/10)+('Form Sa1'!OFO814*'Form Sa1'!OFO816/10)-'NF - 5 Power Mix'!OFL21-'NF - 5 Power Mix'!OFL22</f>
        <v>0</v>
      </c>
      <c r="OFM42" s="1046">
        <f>OFM38+((OFM40+'NF - 5 Power Mix'!OFM14+'NF - 5 Power Mix'!OFM15)*860/10)+((('Form Sa1'!OFP835)*860)/10)+('Form Sa1'!OFP814*'Form Sa1'!OFP816/10)-'NF - 5 Power Mix'!OFM21-'NF - 5 Power Mix'!OFM22</f>
        <v>0</v>
      </c>
      <c r="OFN42" s="1046">
        <f>OFN38+((OFN40+'NF - 5 Power Mix'!OFN14+'NF - 5 Power Mix'!OFN15)*860/10)+((('Form Sa1'!OFQ835)*860)/10)+('Form Sa1'!OFQ814*'Form Sa1'!OFQ816/10)-'NF - 5 Power Mix'!OFN21-'NF - 5 Power Mix'!OFN22</f>
        <v>0</v>
      </c>
      <c r="OFO42" s="1046">
        <f>OFO38+((OFO40+'NF - 5 Power Mix'!OFO14+'NF - 5 Power Mix'!OFO15)*860/10)+((('Form Sa1'!OFR835)*860)/10)+('Form Sa1'!OFR814*'Form Sa1'!OFR816/10)-'NF - 5 Power Mix'!OFO21-'NF - 5 Power Mix'!OFO22</f>
        <v>0</v>
      </c>
      <c r="OFP42" s="1046">
        <f>OFP38+((OFP40+'NF - 5 Power Mix'!OFP14+'NF - 5 Power Mix'!OFP15)*860/10)+((('Form Sa1'!OFS835)*860)/10)+('Form Sa1'!OFS814*'Form Sa1'!OFS816/10)-'NF - 5 Power Mix'!OFP21-'NF - 5 Power Mix'!OFP22</f>
        <v>0</v>
      </c>
      <c r="OFQ42" s="1046">
        <f>OFQ38+((OFQ40+'NF - 5 Power Mix'!OFQ14+'NF - 5 Power Mix'!OFQ15)*860/10)+((('Form Sa1'!OFT835)*860)/10)+('Form Sa1'!OFT814*'Form Sa1'!OFT816/10)-'NF - 5 Power Mix'!OFQ21-'NF - 5 Power Mix'!OFQ22</f>
        <v>0</v>
      </c>
      <c r="OFR42" s="1046">
        <f>OFR38+((OFR40+'NF - 5 Power Mix'!OFR14+'NF - 5 Power Mix'!OFR15)*860/10)+((('Form Sa1'!OFU835)*860)/10)+('Form Sa1'!OFU814*'Form Sa1'!OFU816/10)-'NF - 5 Power Mix'!OFR21-'NF - 5 Power Mix'!OFR22</f>
        <v>0</v>
      </c>
      <c r="OFS42" s="1046">
        <f>OFS38+((OFS40+'NF - 5 Power Mix'!OFS14+'NF - 5 Power Mix'!OFS15)*860/10)+((('Form Sa1'!OFV835)*860)/10)+('Form Sa1'!OFV814*'Form Sa1'!OFV816/10)-'NF - 5 Power Mix'!OFS21-'NF - 5 Power Mix'!OFS22</f>
        <v>0</v>
      </c>
      <c r="OFT42" s="1046">
        <f>OFT38+((OFT40+'NF - 5 Power Mix'!OFT14+'NF - 5 Power Mix'!OFT15)*860/10)+((('Form Sa1'!OFW835)*860)/10)+('Form Sa1'!OFW814*'Form Sa1'!OFW816/10)-'NF - 5 Power Mix'!OFT21-'NF - 5 Power Mix'!OFT22</f>
        <v>0</v>
      </c>
      <c r="OFU42" s="1046">
        <f>OFU38+((OFU40+'NF - 5 Power Mix'!OFU14+'NF - 5 Power Mix'!OFU15)*860/10)+((('Form Sa1'!OFX835)*860)/10)+('Form Sa1'!OFX814*'Form Sa1'!OFX816/10)-'NF - 5 Power Mix'!OFU21-'NF - 5 Power Mix'!OFU22</f>
        <v>0</v>
      </c>
      <c r="OFV42" s="1046">
        <f>OFV38+((OFV40+'NF - 5 Power Mix'!OFV14+'NF - 5 Power Mix'!OFV15)*860/10)+((('Form Sa1'!OFY835)*860)/10)+('Form Sa1'!OFY814*'Form Sa1'!OFY816/10)-'NF - 5 Power Mix'!OFV21-'NF - 5 Power Mix'!OFV22</f>
        <v>0</v>
      </c>
      <c r="OFW42" s="1046">
        <f>OFW38+((OFW40+'NF - 5 Power Mix'!OFW14+'NF - 5 Power Mix'!OFW15)*860/10)+((('Form Sa1'!OFZ835)*860)/10)+('Form Sa1'!OFZ814*'Form Sa1'!OFZ816/10)-'NF - 5 Power Mix'!OFW21-'NF - 5 Power Mix'!OFW22</f>
        <v>0</v>
      </c>
      <c r="OFX42" s="1046">
        <f>OFX38+((OFX40+'NF - 5 Power Mix'!OFX14+'NF - 5 Power Mix'!OFX15)*860/10)+((('Form Sa1'!OGA835)*860)/10)+('Form Sa1'!OGA814*'Form Sa1'!OGA816/10)-'NF - 5 Power Mix'!OFX21-'NF - 5 Power Mix'!OFX22</f>
        <v>0</v>
      </c>
      <c r="OFY42" s="1046">
        <f>OFY38+((OFY40+'NF - 5 Power Mix'!OFY14+'NF - 5 Power Mix'!OFY15)*860/10)+((('Form Sa1'!OGB835)*860)/10)+('Form Sa1'!OGB814*'Form Sa1'!OGB816/10)-'NF - 5 Power Mix'!OFY21-'NF - 5 Power Mix'!OFY22</f>
        <v>0</v>
      </c>
      <c r="OFZ42" s="1046">
        <f>OFZ38+((OFZ40+'NF - 5 Power Mix'!OFZ14+'NF - 5 Power Mix'!OFZ15)*860/10)+((('Form Sa1'!OGC835)*860)/10)+('Form Sa1'!OGC814*'Form Sa1'!OGC816/10)-'NF - 5 Power Mix'!OFZ21-'NF - 5 Power Mix'!OFZ22</f>
        <v>0</v>
      </c>
      <c r="OGA42" s="1046">
        <f>OGA38+((OGA40+'NF - 5 Power Mix'!OGA14+'NF - 5 Power Mix'!OGA15)*860/10)+((('Form Sa1'!OGD835)*860)/10)+('Form Sa1'!OGD814*'Form Sa1'!OGD816/10)-'NF - 5 Power Mix'!OGA21-'NF - 5 Power Mix'!OGA22</f>
        <v>0</v>
      </c>
      <c r="OGB42" s="1046">
        <f>OGB38+((OGB40+'NF - 5 Power Mix'!OGB14+'NF - 5 Power Mix'!OGB15)*860/10)+((('Form Sa1'!OGE835)*860)/10)+('Form Sa1'!OGE814*'Form Sa1'!OGE816/10)-'NF - 5 Power Mix'!OGB21-'NF - 5 Power Mix'!OGB22</f>
        <v>0</v>
      </c>
      <c r="OGC42" s="1046">
        <f>OGC38+((OGC40+'NF - 5 Power Mix'!OGC14+'NF - 5 Power Mix'!OGC15)*860/10)+((('Form Sa1'!OGF835)*860)/10)+('Form Sa1'!OGF814*'Form Sa1'!OGF816/10)-'NF - 5 Power Mix'!OGC21-'NF - 5 Power Mix'!OGC22</f>
        <v>0</v>
      </c>
      <c r="OGD42" s="1046">
        <f>OGD38+((OGD40+'NF - 5 Power Mix'!OGD14+'NF - 5 Power Mix'!OGD15)*860/10)+((('Form Sa1'!OGG835)*860)/10)+('Form Sa1'!OGG814*'Form Sa1'!OGG816/10)-'NF - 5 Power Mix'!OGD21-'NF - 5 Power Mix'!OGD22</f>
        <v>0</v>
      </c>
      <c r="OGE42" s="1046">
        <f>OGE38+((OGE40+'NF - 5 Power Mix'!OGE14+'NF - 5 Power Mix'!OGE15)*860/10)+((('Form Sa1'!OGH835)*860)/10)+('Form Sa1'!OGH814*'Form Sa1'!OGH816/10)-'NF - 5 Power Mix'!OGE21-'NF - 5 Power Mix'!OGE22</f>
        <v>0</v>
      </c>
      <c r="OGF42" s="1046">
        <f>OGF38+((OGF40+'NF - 5 Power Mix'!OGF14+'NF - 5 Power Mix'!OGF15)*860/10)+((('Form Sa1'!OGI835)*860)/10)+('Form Sa1'!OGI814*'Form Sa1'!OGI816/10)-'NF - 5 Power Mix'!OGF21-'NF - 5 Power Mix'!OGF22</f>
        <v>0</v>
      </c>
      <c r="OGG42" s="1046">
        <f>OGG38+((OGG40+'NF - 5 Power Mix'!OGG14+'NF - 5 Power Mix'!OGG15)*860/10)+((('Form Sa1'!OGJ835)*860)/10)+('Form Sa1'!OGJ814*'Form Sa1'!OGJ816/10)-'NF - 5 Power Mix'!OGG21-'NF - 5 Power Mix'!OGG22</f>
        <v>0</v>
      </c>
      <c r="OGH42" s="1046">
        <f>OGH38+((OGH40+'NF - 5 Power Mix'!OGH14+'NF - 5 Power Mix'!OGH15)*860/10)+((('Form Sa1'!OGK835)*860)/10)+('Form Sa1'!OGK814*'Form Sa1'!OGK816/10)-'NF - 5 Power Mix'!OGH21-'NF - 5 Power Mix'!OGH22</f>
        <v>0</v>
      </c>
      <c r="OGI42" s="1046">
        <f>OGI38+((OGI40+'NF - 5 Power Mix'!OGI14+'NF - 5 Power Mix'!OGI15)*860/10)+((('Form Sa1'!OGL835)*860)/10)+('Form Sa1'!OGL814*'Form Sa1'!OGL816/10)-'NF - 5 Power Mix'!OGI21-'NF - 5 Power Mix'!OGI22</f>
        <v>0</v>
      </c>
      <c r="OGJ42" s="1046">
        <f>OGJ38+((OGJ40+'NF - 5 Power Mix'!OGJ14+'NF - 5 Power Mix'!OGJ15)*860/10)+((('Form Sa1'!OGM835)*860)/10)+('Form Sa1'!OGM814*'Form Sa1'!OGM816/10)-'NF - 5 Power Mix'!OGJ21-'NF - 5 Power Mix'!OGJ22</f>
        <v>0</v>
      </c>
      <c r="OGK42" s="1046">
        <f>OGK38+((OGK40+'NF - 5 Power Mix'!OGK14+'NF - 5 Power Mix'!OGK15)*860/10)+((('Form Sa1'!OGN835)*860)/10)+('Form Sa1'!OGN814*'Form Sa1'!OGN816/10)-'NF - 5 Power Mix'!OGK21-'NF - 5 Power Mix'!OGK22</f>
        <v>0</v>
      </c>
      <c r="OGL42" s="1046">
        <f>OGL38+((OGL40+'NF - 5 Power Mix'!OGL14+'NF - 5 Power Mix'!OGL15)*860/10)+((('Form Sa1'!OGO835)*860)/10)+('Form Sa1'!OGO814*'Form Sa1'!OGO816/10)-'NF - 5 Power Mix'!OGL21-'NF - 5 Power Mix'!OGL22</f>
        <v>0</v>
      </c>
      <c r="OGM42" s="1046">
        <f>OGM38+((OGM40+'NF - 5 Power Mix'!OGM14+'NF - 5 Power Mix'!OGM15)*860/10)+((('Form Sa1'!OGP835)*860)/10)+('Form Sa1'!OGP814*'Form Sa1'!OGP816/10)-'NF - 5 Power Mix'!OGM21-'NF - 5 Power Mix'!OGM22</f>
        <v>0</v>
      </c>
      <c r="OGN42" s="1046">
        <f>OGN38+((OGN40+'NF - 5 Power Mix'!OGN14+'NF - 5 Power Mix'!OGN15)*860/10)+((('Form Sa1'!OGQ835)*860)/10)+('Form Sa1'!OGQ814*'Form Sa1'!OGQ816/10)-'NF - 5 Power Mix'!OGN21-'NF - 5 Power Mix'!OGN22</f>
        <v>0</v>
      </c>
      <c r="OGO42" s="1046">
        <f>OGO38+((OGO40+'NF - 5 Power Mix'!OGO14+'NF - 5 Power Mix'!OGO15)*860/10)+((('Form Sa1'!OGR835)*860)/10)+('Form Sa1'!OGR814*'Form Sa1'!OGR816/10)-'NF - 5 Power Mix'!OGO21-'NF - 5 Power Mix'!OGO22</f>
        <v>0</v>
      </c>
      <c r="OGP42" s="1046">
        <f>OGP38+((OGP40+'NF - 5 Power Mix'!OGP14+'NF - 5 Power Mix'!OGP15)*860/10)+((('Form Sa1'!OGS835)*860)/10)+('Form Sa1'!OGS814*'Form Sa1'!OGS816/10)-'NF - 5 Power Mix'!OGP21-'NF - 5 Power Mix'!OGP22</f>
        <v>0</v>
      </c>
      <c r="OGQ42" s="1046">
        <f>OGQ38+((OGQ40+'NF - 5 Power Mix'!OGQ14+'NF - 5 Power Mix'!OGQ15)*860/10)+((('Form Sa1'!OGT835)*860)/10)+('Form Sa1'!OGT814*'Form Sa1'!OGT816/10)-'NF - 5 Power Mix'!OGQ21-'NF - 5 Power Mix'!OGQ22</f>
        <v>0</v>
      </c>
      <c r="OGR42" s="1046">
        <f>OGR38+((OGR40+'NF - 5 Power Mix'!OGR14+'NF - 5 Power Mix'!OGR15)*860/10)+((('Form Sa1'!OGU835)*860)/10)+('Form Sa1'!OGU814*'Form Sa1'!OGU816/10)-'NF - 5 Power Mix'!OGR21-'NF - 5 Power Mix'!OGR22</f>
        <v>0</v>
      </c>
      <c r="OGS42" s="1046">
        <f>OGS38+((OGS40+'NF - 5 Power Mix'!OGS14+'NF - 5 Power Mix'!OGS15)*860/10)+((('Form Sa1'!OGV835)*860)/10)+('Form Sa1'!OGV814*'Form Sa1'!OGV816/10)-'NF - 5 Power Mix'!OGS21-'NF - 5 Power Mix'!OGS22</f>
        <v>0</v>
      </c>
      <c r="OGT42" s="1046">
        <f>OGT38+((OGT40+'NF - 5 Power Mix'!OGT14+'NF - 5 Power Mix'!OGT15)*860/10)+((('Form Sa1'!OGW835)*860)/10)+('Form Sa1'!OGW814*'Form Sa1'!OGW816/10)-'NF - 5 Power Mix'!OGT21-'NF - 5 Power Mix'!OGT22</f>
        <v>0</v>
      </c>
      <c r="OGU42" s="1046">
        <f>OGU38+((OGU40+'NF - 5 Power Mix'!OGU14+'NF - 5 Power Mix'!OGU15)*860/10)+((('Form Sa1'!OGX835)*860)/10)+('Form Sa1'!OGX814*'Form Sa1'!OGX816/10)-'NF - 5 Power Mix'!OGU21-'NF - 5 Power Mix'!OGU22</f>
        <v>0</v>
      </c>
      <c r="OGV42" s="1046">
        <f>OGV38+((OGV40+'NF - 5 Power Mix'!OGV14+'NF - 5 Power Mix'!OGV15)*860/10)+((('Form Sa1'!OGY835)*860)/10)+('Form Sa1'!OGY814*'Form Sa1'!OGY816/10)-'NF - 5 Power Mix'!OGV21-'NF - 5 Power Mix'!OGV22</f>
        <v>0</v>
      </c>
      <c r="OGW42" s="1046">
        <f>OGW38+((OGW40+'NF - 5 Power Mix'!OGW14+'NF - 5 Power Mix'!OGW15)*860/10)+((('Form Sa1'!OGZ835)*860)/10)+('Form Sa1'!OGZ814*'Form Sa1'!OGZ816/10)-'NF - 5 Power Mix'!OGW21-'NF - 5 Power Mix'!OGW22</f>
        <v>0</v>
      </c>
      <c r="OGX42" s="1046">
        <f>OGX38+((OGX40+'NF - 5 Power Mix'!OGX14+'NF - 5 Power Mix'!OGX15)*860/10)+((('Form Sa1'!OHA835)*860)/10)+('Form Sa1'!OHA814*'Form Sa1'!OHA816/10)-'NF - 5 Power Mix'!OGX21-'NF - 5 Power Mix'!OGX22</f>
        <v>0</v>
      </c>
      <c r="OGY42" s="1046">
        <f>OGY38+((OGY40+'NF - 5 Power Mix'!OGY14+'NF - 5 Power Mix'!OGY15)*860/10)+((('Form Sa1'!OHB835)*860)/10)+('Form Sa1'!OHB814*'Form Sa1'!OHB816/10)-'NF - 5 Power Mix'!OGY21-'NF - 5 Power Mix'!OGY22</f>
        <v>0</v>
      </c>
      <c r="OGZ42" s="1046">
        <f>OGZ38+((OGZ40+'NF - 5 Power Mix'!OGZ14+'NF - 5 Power Mix'!OGZ15)*860/10)+((('Form Sa1'!OHC835)*860)/10)+('Form Sa1'!OHC814*'Form Sa1'!OHC816/10)-'NF - 5 Power Mix'!OGZ21-'NF - 5 Power Mix'!OGZ22</f>
        <v>0</v>
      </c>
      <c r="OHA42" s="1046">
        <f>OHA38+((OHA40+'NF - 5 Power Mix'!OHA14+'NF - 5 Power Mix'!OHA15)*860/10)+((('Form Sa1'!OHD835)*860)/10)+('Form Sa1'!OHD814*'Form Sa1'!OHD816/10)-'NF - 5 Power Mix'!OHA21-'NF - 5 Power Mix'!OHA22</f>
        <v>0</v>
      </c>
      <c r="OHB42" s="1046">
        <f>OHB38+((OHB40+'NF - 5 Power Mix'!OHB14+'NF - 5 Power Mix'!OHB15)*860/10)+((('Form Sa1'!OHE835)*860)/10)+('Form Sa1'!OHE814*'Form Sa1'!OHE816/10)-'NF - 5 Power Mix'!OHB21-'NF - 5 Power Mix'!OHB22</f>
        <v>0</v>
      </c>
      <c r="OHC42" s="1046">
        <f>OHC38+((OHC40+'NF - 5 Power Mix'!OHC14+'NF - 5 Power Mix'!OHC15)*860/10)+((('Form Sa1'!OHF835)*860)/10)+('Form Sa1'!OHF814*'Form Sa1'!OHF816/10)-'NF - 5 Power Mix'!OHC21-'NF - 5 Power Mix'!OHC22</f>
        <v>0</v>
      </c>
      <c r="OHD42" s="1046">
        <f>OHD38+((OHD40+'NF - 5 Power Mix'!OHD14+'NF - 5 Power Mix'!OHD15)*860/10)+((('Form Sa1'!OHG835)*860)/10)+('Form Sa1'!OHG814*'Form Sa1'!OHG816/10)-'NF - 5 Power Mix'!OHD21-'NF - 5 Power Mix'!OHD22</f>
        <v>0</v>
      </c>
      <c r="OHE42" s="1046">
        <f>OHE38+((OHE40+'NF - 5 Power Mix'!OHE14+'NF - 5 Power Mix'!OHE15)*860/10)+((('Form Sa1'!OHH835)*860)/10)+('Form Sa1'!OHH814*'Form Sa1'!OHH816/10)-'NF - 5 Power Mix'!OHE21-'NF - 5 Power Mix'!OHE22</f>
        <v>0</v>
      </c>
      <c r="OHF42" s="1046">
        <f>OHF38+((OHF40+'NF - 5 Power Mix'!OHF14+'NF - 5 Power Mix'!OHF15)*860/10)+((('Form Sa1'!OHI835)*860)/10)+('Form Sa1'!OHI814*'Form Sa1'!OHI816/10)-'NF - 5 Power Mix'!OHF21-'NF - 5 Power Mix'!OHF22</f>
        <v>0</v>
      </c>
      <c r="OHG42" s="1046">
        <f>OHG38+((OHG40+'NF - 5 Power Mix'!OHG14+'NF - 5 Power Mix'!OHG15)*860/10)+((('Form Sa1'!OHJ835)*860)/10)+('Form Sa1'!OHJ814*'Form Sa1'!OHJ816/10)-'NF - 5 Power Mix'!OHG21-'NF - 5 Power Mix'!OHG22</f>
        <v>0</v>
      </c>
      <c r="OHH42" s="1046">
        <f>OHH38+((OHH40+'NF - 5 Power Mix'!OHH14+'NF - 5 Power Mix'!OHH15)*860/10)+((('Form Sa1'!OHK835)*860)/10)+('Form Sa1'!OHK814*'Form Sa1'!OHK816/10)-'NF - 5 Power Mix'!OHH21-'NF - 5 Power Mix'!OHH22</f>
        <v>0</v>
      </c>
      <c r="OHI42" s="1046">
        <f>OHI38+((OHI40+'NF - 5 Power Mix'!OHI14+'NF - 5 Power Mix'!OHI15)*860/10)+((('Form Sa1'!OHL835)*860)/10)+('Form Sa1'!OHL814*'Form Sa1'!OHL816/10)-'NF - 5 Power Mix'!OHI21-'NF - 5 Power Mix'!OHI22</f>
        <v>0</v>
      </c>
      <c r="OHJ42" s="1046">
        <f>OHJ38+((OHJ40+'NF - 5 Power Mix'!OHJ14+'NF - 5 Power Mix'!OHJ15)*860/10)+((('Form Sa1'!OHM835)*860)/10)+('Form Sa1'!OHM814*'Form Sa1'!OHM816/10)-'NF - 5 Power Mix'!OHJ21-'NF - 5 Power Mix'!OHJ22</f>
        <v>0</v>
      </c>
      <c r="OHK42" s="1046">
        <f>OHK38+((OHK40+'NF - 5 Power Mix'!OHK14+'NF - 5 Power Mix'!OHK15)*860/10)+((('Form Sa1'!OHN835)*860)/10)+('Form Sa1'!OHN814*'Form Sa1'!OHN816/10)-'NF - 5 Power Mix'!OHK21-'NF - 5 Power Mix'!OHK22</f>
        <v>0</v>
      </c>
      <c r="OHL42" s="1046">
        <f>OHL38+((OHL40+'NF - 5 Power Mix'!OHL14+'NF - 5 Power Mix'!OHL15)*860/10)+((('Form Sa1'!OHO835)*860)/10)+('Form Sa1'!OHO814*'Form Sa1'!OHO816/10)-'NF - 5 Power Mix'!OHL21-'NF - 5 Power Mix'!OHL22</f>
        <v>0</v>
      </c>
      <c r="OHM42" s="1046">
        <f>OHM38+((OHM40+'NF - 5 Power Mix'!OHM14+'NF - 5 Power Mix'!OHM15)*860/10)+((('Form Sa1'!OHP835)*860)/10)+('Form Sa1'!OHP814*'Form Sa1'!OHP816/10)-'NF - 5 Power Mix'!OHM21-'NF - 5 Power Mix'!OHM22</f>
        <v>0</v>
      </c>
      <c r="OHN42" s="1046">
        <f>OHN38+((OHN40+'NF - 5 Power Mix'!OHN14+'NF - 5 Power Mix'!OHN15)*860/10)+((('Form Sa1'!OHQ835)*860)/10)+('Form Sa1'!OHQ814*'Form Sa1'!OHQ816/10)-'NF - 5 Power Mix'!OHN21-'NF - 5 Power Mix'!OHN22</f>
        <v>0</v>
      </c>
      <c r="OHO42" s="1046">
        <f>OHO38+((OHO40+'NF - 5 Power Mix'!OHO14+'NF - 5 Power Mix'!OHO15)*860/10)+((('Form Sa1'!OHR835)*860)/10)+('Form Sa1'!OHR814*'Form Sa1'!OHR816/10)-'NF - 5 Power Mix'!OHO21-'NF - 5 Power Mix'!OHO22</f>
        <v>0</v>
      </c>
      <c r="OHP42" s="1046">
        <f>OHP38+((OHP40+'NF - 5 Power Mix'!OHP14+'NF - 5 Power Mix'!OHP15)*860/10)+((('Form Sa1'!OHS835)*860)/10)+('Form Sa1'!OHS814*'Form Sa1'!OHS816/10)-'NF - 5 Power Mix'!OHP21-'NF - 5 Power Mix'!OHP22</f>
        <v>0</v>
      </c>
      <c r="OHQ42" s="1046">
        <f>OHQ38+((OHQ40+'NF - 5 Power Mix'!OHQ14+'NF - 5 Power Mix'!OHQ15)*860/10)+((('Form Sa1'!OHT835)*860)/10)+('Form Sa1'!OHT814*'Form Sa1'!OHT816/10)-'NF - 5 Power Mix'!OHQ21-'NF - 5 Power Mix'!OHQ22</f>
        <v>0</v>
      </c>
      <c r="OHR42" s="1046">
        <f>OHR38+((OHR40+'NF - 5 Power Mix'!OHR14+'NF - 5 Power Mix'!OHR15)*860/10)+((('Form Sa1'!OHU835)*860)/10)+('Form Sa1'!OHU814*'Form Sa1'!OHU816/10)-'NF - 5 Power Mix'!OHR21-'NF - 5 Power Mix'!OHR22</f>
        <v>0</v>
      </c>
      <c r="OHS42" s="1046">
        <f>OHS38+((OHS40+'NF - 5 Power Mix'!OHS14+'NF - 5 Power Mix'!OHS15)*860/10)+((('Form Sa1'!OHV835)*860)/10)+('Form Sa1'!OHV814*'Form Sa1'!OHV816/10)-'NF - 5 Power Mix'!OHS21-'NF - 5 Power Mix'!OHS22</f>
        <v>0</v>
      </c>
      <c r="OHT42" s="1046">
        <f>OHT38+((OHT40+'NF - 5 Power Mix'!OHT14+'NF - 5 Power Mix'!OHT15)*860/10)+((('Form Sa1'!OHW835)*860)/10)+('Form Sa1'!OHW814*'Form Sa1'!OHW816/10)-'NF - 5 Power Mix'!OHT21-'NF - 5 Power Mix'!OHT22</f>
        <v>0</v>
      </c>
      <c r="OHU42" s="1046">
        <f>OHU38+((OHU40+'NF - 5 Power Mix'!OHU14+'NF - 5 Power Mix'!OHU15)*860/10)+((('Form Sa1'!OHX835)*860)/10)+('Form Sa1'!OHX814*'Form Sa1'!OHX816/10)-'NF - 5 Power Mix'!OHU21-'NF - 5 Power Mix'!OHU22</f>
        <v>0</v>
      </c>
      <c r="OHV42" s="1046">
        <f>OHV38+((OHV40+'NF - 5 Power Mix'!OHV14+'NF - 5 Power Mix'!OHV15)*860/10)+((('Form Sa1'!OHY835)*860)/10)+('Form Sa1'!OHY814*'Form Sa1'!OHY816/10)-'NF - 5 Power Mix'!OHV21-'NF - 5 Power Mix'!OHV22</f>
        <v>0</v>
      </c>
      <c r="OHW42" s="1046">
        <f>OHW38+((OHW40+'NF - 5 Power Mix'!OHW14+'NF - 5 Power Mix'!OHW15)*860/10)+((('Form Sa1'!OHZ835)*860)/10)+('Form Sa1'!OHZ814*'Form Sa1'!OHZ816/10)-'NF - 5 Power Mix'!OHW21-'NF - 5 Power Mix'!OHW22</f>
        <v>0</v>
      </c>
      <c r="OHX42" s="1046">
        <f>OHX38+((OHX40+'NF - 5 Power Mix'!OHX14+'NF - 5 Power Mix'!OHX15)*860/10)+((('Form Sa1'!OIA835)*860)/10)+('Form Sa1'!OIA814*'Form Sa1'!OIA816/10)-'NF - 5 Power Mix'!OHX21-'NF - 5 Power Mix'!OHX22</f>
        <v>0</v>
      </c>
      <c r="OHY42" s="1046">
        <f>OHY38+((OHY40+'NF - 5 Power Mix'!OHY14+'NF - 5 Power Mix'!OHY15)*860/10)+((('Form Sa1'!OIB835)*860)/10)+('Form Sa1'!OIB814*'Form Sa1'!OIB816/10)-'NF - 5 Power Mix'!OHY21-'NF - 5 Power Mix'!OHY22</f>
        <v>0</v>
      </c>
      <c r="OHZ42" s="1046">
        <f>OHZ38+((OHZ40+'NF - 5 Power Mix'!OHZ14+'NF - 5 Power Mix'!OHZ15)*860/10)+((('Form Sa1'!OIC835)*860)/10)+('Form Sa1'!OIC814*'Form Sa1'!OIC816/10)-'NF - 5 Power Mix'!OHZ21-'NF - 5 Power Mix'!OHZ22</f>
        <v>0</v>
      </c>
      <c r="OIA42" s="1046">
        <f>OIA38+((OIA40+'NF - 5 Power Mix'!OIA14+'NF - 5 Power Mix'!OIA15)*860/10)+((('Form Sa1'!OID835)*860)/10)+('Form Sa1'!OID814*'Form Sa1'!OID816/10)-'NF - 5 Power Mix'!OIA21-'NF - 5 Power Mix'!OIA22</f>
        <v>0</v>
      </c>
      <c r="OIB42" s="1046">
        <f>OIB38+((OIB40+'NF - 5 Power Mix'!OIB14+'NF - 5 Power Mix'!OIB15)*860/10)+((('Form Sa1'!OIE835)*860)/10)+('Form Sa1'!OIE814*'Form Sa1'!OIE816/10)-'NF - 5 Power Mix'!OIB21-'NF - 5 Power Mix'!OIB22</f>
        <v>0</v>
      </c>
      <c r="OIC42" s="1046">
        <f>OIC38+((OIC40+'NF - 5 Power Mix'!OIC14+'NF - 5 Power Mix'!OIC15)*860/10)+((('Form Sa1'!OIF835)*860)/10)+('Form Sa1'!OIF814*'Form Sa1'!OIF816/10)-'NF - 5 Power Mix'!OIC21-'NF - 5 Power Mix'!OIC22</f>
        <v>0</v>
      </c>
      <c r="OID42" s="1046">
        <f>OID38+((OID40+'NF - 5 Power Mix'!OID14+'NF - 5 Power Mix'!OID15)*860/10)+((('Form Sa1'!OIG835)*860)/10)+('Form Sa1'!OIG814*'Form Sa1'!OIG816/10)-'NF - 5 Power Mix'!OID21-'NF - 5 Power Mix'!OID22</f>
        <v>0</v>
      </c>
      <c r="OIE42" s="1046">
        <f>OIE38+((OIE40+'NF - 5 Power Mix'!OIE14+'NF - 5 Power Mix'!OIE15)*860/10)+((('Form Sa1'!OIH835)*860)/10)+('Form Sa1'!OIH814*'Form Sa1'!OIH816/10)-'NF - 5 Power Mix'!OIE21-'NF - 5 Power Mix'!OIE22</f>
        <v>0</v>
      </c>
      <c r="OIF42" s="1046">
        <f>OIF38+((OIF40+'NF - 5 Power Mix'!OIF14+'NF - 5 Power Mix'!OIF15)*860/10)+((('Form Sa1'!OII835)*860)/10)+('Form Sa1'!OII814*'Form Sa1'!OII816/10)-'NF - 5 Power Mix'!OIF21-'NF - 5 Power Mix'!OIF22</f>
        <v>0</v>
      </c>
      <c r="OIG42" s="1046">
        <f>OIG38+((OIG40+'NF - 5 Power Mix'!OIG14+'NF - 5 Power Mix'!OIG15)*860/10)+((('Form Sa1'!OIJ835)*860)/10)+('Form Sa1'!OIJ814*'Form Sa1'!OIJ816/10)-'NF - 5 Power Mix'!OIG21-'NF - 5 Power Mix'!OIG22</f>
        <v>0</v>
      </c>
      <c r="OIH42" s="1046">
        <f>OIH38+((OIH40+'NF - 5 Power Mix'!OIH14+'NF - 5 Power Mix'!OIH15)*860/10)+((('Form Sa1'!OIK835)*860)/10)+('Form Sa1'!OIK814*'Form Sa1'!OIK816/10)-'NF - 5 Power Mix'!OIH21-'NF - 5 Power Mix'!OIH22</f>
        <v>0</v>
      </c>
      <c r="OII42" s="1046">
        <f>OII38+((OII40+'NF - 5 Power Mix'!OII14+'NF - 5 Power Mix'!OII15)*860/10)+((('Form Sa1'!OIL835)*860)/10)+('Form Sa1'!OIL814*'Form Sa1'!OIL816/10)-'NF - 5 Power Mix'!OII21-'NF - 5 Power Mix'!OII22</f>
        <v>0</v>
      </c>
      <c r="OIJ42" s="1046">
        <f>OIJ38+((OIJ40+'NF - 5 Power Mix'!OIJ14+'NF - 5 Power Mix'!OIJ15)*860/10)+((('Form Sa1'!OIM835)*860)/10)+('Form Sa1'!OIM814*'Form Sa1'!OIM816/10)-'NF - 5 Power Mix'!OIJ21-'NF - 5 Power Mix'!OIJ22</f>
        <v>0</v>
      </c>
      <c r="OIK42" s="1046">
        <f>OIK38+((OIK40+'NF - 5 Power Mix'!OIK14+'NF - 5 Power Mix'!OIK15)*860/10)+((('Form Sa1'!OIN835)*860)/10)+('Form Sa1'!OIN814*'Form Sa1'!OIN816/10)-'NF - 5 Power Mix'!OIK21-'NF - 5 Power Mix'!OIK22</f>
        <v>0</v>
      </c>
      <c r="OIL42" s="1046">
        <f>OIL38+((OIL40+'NF - 5 Power Mix'!OIL14+'NF - 5 Power Mix'!OIL15)*860/10)+((('Form Sa1'!OIO835)*860)/10)+('Form Sa1'!OIO814*'Form Sa1'!OIO816/10)-'NF - 5 Power Mix'!OIL21-'NF - 5 Power Mix'!OIL22</f>
        <v>0</v>
      </c>
      <c r="OIM42" s="1046">
        <f>OIM38+((OIM40+'NF - 5 Power Mix'!OIM14+'NF - 5 Power Mix'!OIM15)*860/10)+((('Form Sa1'!OIP835)*860)/10)+('Form Sa1'!OIP814*'Form Sa1'!OIP816/10)-'NF - 5 Power Mix'!OIM21-'NF - 5 Power Mix'!OIM22</f>
        <v>0</v>
      </c>
      <c r="OIN42" s="1046">
        <f>OIN38+((OIN40+'NF - 5 Power Mix'!OIN14+'NF - 5 Power Mix'!OIN15)*860/10)+((('Form Sa1'!OIQ835)*860)/10)+('Form Sa1'!OIQ814*'Form Sa1'!OIQ816/10)-'NF - 5 Power Mix'!OIN21-'NF - 5 Power Mix'!OIN22</f>
        <v>0</v>
      </c>
      <c r="OIO42" s="1046">
        <f>OIO38+((OIO40+'NF - 5 Power Mix'!OIO14+'NF - 5 Power Mix'!OIO15)*860/10)+((('Form Sa1'!OIR835)*860)/10)+('Form Sa1'!OIR814*'Form Sa1'!OIR816/10)-'NF - 5 Power Mix'!OIO21-'NF - 5 Power Mix'!OIO22</f>
        <v>0</v>
      </c>
      <c r="OIP42" s="1046">
        <f>OIP38+((OIP40+'NF - 5 Power Mix'!OIP14+'NF - 5 Power Mix'!OIP15)*860/10)+((('Form Sa1'!OIS835)*860)/10)+('Form Sa1'!OIS814*'Form Sa1'!OIS816/10)-'NF - 5 Power Mix'!OIP21-'NF - 5 Power Mix'!OIP22</f>
        <v>0</v>
      </c>
      <c r="OIQ42" s="1046">
        <f>OIQ38+((OIQ40+'NF - 5 Power Mix'!OIQ14+'NF - 5 Power Mix'!OIQ15)*860/10)+((('Form Sa1'!OIT835)*860)/10)+('Form Sa1'!OIT814*'Form Sa1'!OIT816/10)-'NF - 5 Power Mix'!OIQ21-'NF - 5 Power Mix'!OIQ22</f>
        <v>0</v>
      </c>
      <c r="OIR42" s="1046">
        <f>OIR38+((OIR40+'NF - 5 Power Mix'!OIR14+'NF - 5 Power Mix'!OIR15)*860/10)+((('Form Sa1'!OIU835)*860)/10)+('Form Sa1'!OIU814*'Form Sa1'!OIU816/10)-'NF - 5 Power Mix'!OIR21-'NF - 5 Power Mix'!OIR22</f>
        <v>0</v>
      </c>
      <c r="OIS42" s="1046">
        <f>OIS38+((OIS40+'NF - 5 Power Mix'!OIS14+'NF - 5 Power Mix'!OIS15)*860/10)+((('Form Sa1'!OIV835)*860)/10)+('Form Sa1'!OIV814*'Form Sa1'!OIV816/10)-'NF - 5 Power Mix'!OIS21-'NF - 5 Power Mix'!OIS22</f>
        <v>0</v>
      </c>
      <c r="OIT42" s="1046">
        <f>OIT38+((OIT40+'NF - 5 Power Mix'!OIT14+'NF - 5 Power Mix'!OIT15)*860/10)+((('Form Sa1'!OIW835)*860)/10)+('Form Sa1'!OIW814*'Form Sa1'!OIW816/10)-'NF - 5 Power Mix'!OIT21-'NF - 5 Power Mix'!OIT22</f>
        <v>0</v>
      </c>
      <c r="OIU42" s="1046">
        <f>OIU38+((OIU40+'NF - 5 Power Mix'!OIU14+'NF - 5 Power Mix'!OIU15)*860/10)+((('Form Sa1'!OIX835)*860)/10)+('Form Sa1'!OIX814*'Form Sa1'!OIX816/10)-'NF - 5 Power Mix'!OIU21-'NF - 5 Power Mix'!OIU22</f>
        <v>0</v>
      </c>
      <c r="OIV42" s="1046">
        <f>OIV38+((OIV40+'NF - 5 Power Mix'!OIV14+'NF - 5 Power Mix'!OIV15)*860/10)+((('Form Sa1'!OIY835)*860)/10)+('Form Sa1'!OIY814*'Form Sa1'!OIY816/10)-'NF - 5 Power Mix'!OIV21-'NF - 5 Power Mix'!OIV22</f>
        <v>0</v>
      </c>
      <c r="OIW42" s="1046">
        <f>OIW38+((OIW40+'NF - 5 Power Mix'!OIW14+'NF - 5 Power Mix'!OIW15)*860/10)+((('Form Sa1'!OIZ835)*860)/10)+('Form Sa1'!OIZ814*'Form Sa1'!OIZ816/10)-'NF - 5 Power Mix'!OIW21-'NF - 5 Power Mix'!OIW22</f>
        <v>0</v>
      </c>
      <c r="OIX42" s="1046">
        <f>OIX38+((OIX40+'NF - 5 Power Mix'!OIX14+'NF - 5 Power Mix'!OIX15)*860/10)+((('Form Sa1'!OJA835)*860)/10)+('Form Sa1'!OJA814*'Form Sa1'!OJA816/10)-'NF - 5 Power Mix'!OIX21-'NF - 5 Power Mix'!OIX22</f>
        <v>0</v>
      </c>
      <c r="OIY42" s="1046">
        <f>OIY38+((OIY40+'NF - 5 Power Mix'!OIY14+'NF - 5 Power Mix'!OIY15)*860/10)+((('Form Sa1'!OJB835)*860)/10)+('Form Sa1'!OJB814*'Form Sa1'!OJB816/10)-'NF - 5 Power Mix'!OIY21-'NF - 5 Power Mix'!OIY22</f>
        <v>0</v>
      </c>
      <c r="OIZ42" s="1046">
        <f>OIZ38+((OIZ40+'NF - 5 Power Mix'!OIZ14+'NF - 5 Power Mix'!OIZ15)*860/10)+((('Form Sa1'!OJC835)*860)/10)+('Form Sa1'!OJC814*'Form Sa1'!OJC816/10)-'NF - 5 Power Mix'!OIZ21-'NF - 5 Power Mix'!OIZ22</f>
        <v>0</v>
      </c>
      <c r="OJA42" s="1046">
        <f>OJA38+((OJA40+'NF - 5 Power Mix'!OJA14+'NF - 5 Power Mix'!OJA15)*860/10)+((('Form Sa1'!OJD835)*860)/10)+('Form Sa1'!OJD814*'Form Sa1'!OJD816/10)-'NF - 5 Power Mix'!OJA21-'NF - 5 Power Mix'!OJA22</f>
        <v>0</v>
      </c>
      <c r="OJB42" s="1046">
        <f>OJB38+((OJB40+'NF - 5 Power Mix'!OJB14+'NF - 5 Power Mix'!OJB15)*860/10)+((('Form Sa1'!OJE835)*860)/10)+('Form Sa1'!OJE814*'Form Sa1'!OJE816/10)-'NF - 5 Power Mix'!OJB21-'NF - 5 Power Mix'!OJB22</f>
        <v>0</v>
      </c>
      <c r="OJC42" s="1046">
        <f>OJC38+((OJC40+'NF - 5 Power Mix'!OJC14+'NF - 5 Power Mix'!OJC15)*860/10)+((('Form Sa1'!OJF835)*860)/10)+('Form Sa1'!OJF814*'Form Sa1'!OJF816/10)-'NF - 5 Power Mix'!OJC21-'NF - 5 Power Mix'!OJC22</f>
        <v>0</v>
      </c>
      <c r="OJD42" s="1046">
        <f>OJD38+((OJD40+'NF - 5 Power Mix'!OJD14+'NF - 5 Power Mix'!OJD15)*860/10)+((('Form Sa1'!OJG835)*860)/10)+('Form Sa1'!OJG814*'Form Sa1'!OJG816/10)-'NF - 5 Power Mix'!OJD21-'NF - 5 Power Mix'!OJD22</f>
        <v>0</v>
      </c>
      <c r="OJE42" s="1046">
        <f>OJE38+((OJE40+'NF - 5 Power Mix'!OJE14+'NF - 5 Power Mix'!OJE15)*860/10)+((('Form Sa1'!OJH835)*860)/10)+('Form Sa1'!OJH814*'Form Sa1'!OJH816/10)-'NF - 5 Power Mix'!OJE21-'NF - 5 Power Mix'!OJE22</f>
        <v>0</v>
      </c>
      <c r="OJF42" s="1046">
        <f>OJF38+((OJF40+'NF - 5 Power Mix'!OJF14+'NF - 5 Power Mix'!OJF15)*860/10)+((('Form Sa1'!OJI835)*860)/10)+('Form Sa1'!OJI814*'Form Sa1'!OJI816/10)-'NF - 5 Power Mix'!OJF21-'NF - 5 Power Mix'!OJF22</f>
        <v>0</v>
      </c>
      <c r="OJG42" s="1046">
        <f>OJG38+((OJG40+'NF - 5 Power Mix'!OJG14+'NF - 5 Power Mix'!OJG15)*860/10)+((('Form Sa1'!OJJ835)*860)/10)+('Form Sa1'!OJJ814*'Form Sa1'!OJJ816/10)-'NF - 5 Power Mix'!OJG21-'NF - 5 Power Mix'!OJG22</f>
        <v>0</v>
      </c>
      <c r="OJH42" s="1046">
        <f>OJH38+((OJH40+'NF - 5 Power Mix'!OJH14+'NF - 5 Power Mix'!OJH15)*860/10)+((('Form Sa1'!OJK835)*860)/10)+('Form Sa1'!OJK814*'Form Sa1'!OJK816/10)-'NF - 5 Power Mix'!OJH21-'NF - 5 Power Mix'!OJH22</f>
        <v>0</v>
      </c>
      <c r="OJI42" s="1046">
        <f>OJI38+((OJI40+'NF - 5 Power Mix'!OJI14+'NF - 5 Power Mix'!OJI15)*860/10)+((('Form Sa1'!OJL835)*860)/10)+('Form Sa1'!OJL814*'Form Sa1'!OJL816/10)-'NF - 5 Power Mix'!OJI21-'NF - 5 Power Mix'!OJI22</f>
        <v>0</v>
      </c>
      <c r="OJJ42" s="1046">
        <f>OJJ38+((OJJ40+'NF - 5 Power Mix'!OJJ14+'NF - 5 Power Mix'!OJJ15)*860/10)+((('Form Sa1'!OJM835)*860)/10)+('Form Sa1'!OJM814*'Form Sa1'!OJM816/10)-'NF - 5 Power Mix'!OJJ21-'NF - 5 Power Mix'!OJJ22</f>
        <v>0</v>
      </c>
      <c r="OJK42" s="1046">
        <f>OJK38+((OJK40+'NF - 5 Power Mix'!OJK14+'NF - 5 Power Mix'!OJK15)*860/10)+((('Form Sa1'!OJN835)*860)/10)+('Form Sa1'!OJN814*'Form Sa1'!OJN816/10)-'NF - 5 Power Mix'!OJK21-'NF - 5 Power Mix'!OJK22</f>
        <v>0</v>
      </c>
      <c r="OJL42" s="1046">
        <f>OJL38+((OJL40+'NF - 5 Power Mix'!OJL14+'NF - 5 Power Mix'!OJL15)*860/10)+((('Form Sa1'!OJO835)*860)/10)+('Form Sa1'!OJO814*'Form Sa1'!OJO816/10)-'NF - 5 Power Mix'!OJL21-'NF - 5 Power Mix'!OJL22</f>
        <v>0</v>
      </c>
      <c r="OJM42" s="1046">
        <f>OJM38+((OJM40+'NF - 5 Power Mix'!OJM14+'NF - 5 Power Mix'!OJM15)*860/10)+((('Form Sa1'!OJP835)*860)/10)+('Form Sa1'!OJP814*'Form Sa1'!OJP816/10)-'NF - 5 Power Mix'!OJM21-'NF - 5 Power Mix'!OJM22</f>
        <v>0</v>
      </c>
      <c r="OJN42" s="1046">
        <f>OJN38+((OJN40+'NF - 5 Power Mix'!OJN14+'NF - 5 Power Mix'!OJN15)*860/10)+((('Form Sa1'!OJQ835)*860)/10)+('Form Sa1'!OJQ814*'Form Sa1'!OJQ816/10)-'NF - 5 Power Mix'!OJN21-'NF - 5 Power Mix'!OJN22</f>
        <v>0</v>
      </c>
      <c r="OJO42" s="1046">
        <f>OJO38+((OJO40+'NF - 5 Power Mix'!OJO14+'NF - 5 Power Mix'!OJO15)*860/10)+((('Form Sa1'!OJR835)*860)/10)+('Form Sa1'!OJR814*'Form Sa1'!OJR816/10)-'NF - 5 Power Mix'!OJO21-'NF - 5 Power Mix'!OJO22</f>
        <v>0</v>
      </c>
      <c r="OJP42" s="1046">
        <f>OJP38+((OJP40+'NF - 5 Power Mix'!OJP14+'NF - 5 Power Mix'!OJP15)*860/10)+((('Form Sa1'!OJS835)*860)/10)+('Form Sa1'!OJS814*'Form Sa1'!OJS816/10)-'NF - 5 Power Mix'!OJP21-'NF - 5 Power Mix'!OJP22</f>
        <v>0</v>
      </c>
      <c r="OJQ42" s="1046">
        <f>OJQ38+((OJQ40+'NF - 5 Power Mix'!OJQ14+'NF - 5 Power Mix'!OJQ15)*860/10)+((('Form Sa1'!OJT835)*860)/10)+('Form Sa1'!OJT814*'Form Sa1'!OJT816/10)-'NF - 5 Power Mix'!OJQ21-'NF - 5 Power Mix'!OJQ22</f>
        <v>0</v>
      </c>
      <c r="OJR42" s="1046">
        <f>OJR38+((OJR40+'NF - 5 Power Mix'!OJR14+'NF - 5 Power Mix'!OJR15)*860/10)+((('Form Sa1'!OJU835)*860)/10)+('Form Sa1'!OJU814*'Form Sa1'!OJU816/10)-'NF - 5 Power Mix'!OJR21-'NF - 5 Power Mix'!OJR22</f>
        <v>0</v>
      </c>
      <c r="OJS42" s="1046">
        <f>OJS38+((OJS40+'NF - 5 Power Mix'!OJS14+'NF - 5 Power Mix'!OJS15)*860/10)+((('Form Sa1'!OJV835)*860)/10)+('Form Sa1'!OJV814*'Form Sa1'!OJV816/10)-'NF - 5 Power Mix'!OJS21-'NF - 5 Power Mix'!OJS22</f>
        <v>0</v>
      </c>
      <c r="OJT42" s="1046">
        <f>OJT38+((OJT40+'NF - 5 Power Mix'!OJT14+'NF - 5 Power Mix'!OJT15)*860/10)+((('Form Sa1'!OJW835)*860)/10)+('Form Sa1'!OJW814*'Form Sa1'!OJW816/10)-'NF - 5 Power Mix'!OJT21-'NF - 5 Power Mix'!OJT22</f>
        <v>0</v>
      </c>
      <c r="OJU42" s="1046">
        <f>OJU38+((OJU40+'NF - 5 Power Mix'!OJU14+'NF - 5 Power Mix'!OJU15)*860/10)+((('Form Sa1'!OJX835)*860)/10)+('Form Sa1'!OJX814*'Form Sa1'!OJX816/10)-'NF - 5 Power Mix'!OJU21-'NF - 5 Power Mix'!OJU22</f>
        <v>0</v>
      </c>
      <c r="OJV42" s="1046">
        <f>OJV38+((OJV40+'NF - 5 Power Mix'!OJV14+'NF - 5 Power Mix'!OJV15)*860/10)+((('Form Sa1'!OJY835)*860)/10)+('Form Sa1'!OJY814*'Form Sa1'!OJY816/10)-'NF - 5 Power Mix'!OJV21-'NF - 5 Power Mix'!OJV22</f>
        <v>0</v>
      </c>
      <c r="OJW42" s="1046">
        <f>OJW38+((OJW40+'NF - 5 Power Mix'!OJW14+'NF - 5 Power Mix'!OJW15)*860/10)+((('Form Sa1'!OJZ835)*860)/10)+('Form Sa1'!OJZ814*'Form Sa1'!OJZ816/10)-'NF - 5 Power Mix'!OJW21-'NF - 5 Power Mix'!OJW22</f>
        <v>0</v>
      </c>
      <c r="OJX42" s="1046">
        <f>OJX38+((OJX40+'NF - 5 Power Mix'!OJX14+'NF - 5 Power Mix'!OJX15)*860/10)+((('Form Sa1'!OKA835)*860)/10)+('Form Sa1'!OKA814*'Form Sa1'!OKA816/10)-'NF - 5 Power Mix'!OJX21-'NF - 5 Power Mix'!OJX22</f>
        <v>0</v>
      </c>
      <c r="OJY42" s="1046">
        <f>OJY38+((OJY40+'NF - 5 Power Mix'!OJY14+'NF - 5 Power Mix'!OJY15)*860/10)+((('Form Sa1'!OKB835)*860)/10)+('Form Sa1'!OKB814*'Form Sa1'!OKB816/10)-'NF - 5 Power Mix'!OJY21-'NF - 5 Power Mix'!OJY22</f>
        <v>0</v>
      </c>
      <c r="OJZ42" s="1046">
        <f>OJZ38+((OJZ40+'NF - 5 Power Mix'!OJZ14+'NF - 5 Power Mix'!OJZ15)*860/10)+((('Form Sa1'!OKC835)*860)/10)+('Form Sa1'!OKC814*'Form Sa1'!OKC816/10)-'NF - 5 Power Mix'!OJZ21-'NF - 5 Power Mix'!OJZ22</f>
        <v>0</v>
      </c>
      <c r="OKA42" s="1046">
        <f>OKA38+((OKA40+'NF - 5 Power Mix'!OKA14+'NF - 5 Power Mix'!OKA15)*860/10)+((('Form Sa1'!OKD835)*860)/10)+('Form Sa1'!OKD814*'Form Sa1'!OKD816/10)-'NF - 5 Power Mix'!OKA21-'NF - 5 Power Mix'!OKA22</f>
        <v>0</v>
      </c>
      <c r="OKB42" s="1046">
        <f>OKB38+((OKB40+'NF - 5 Power Mix'!OKB14+'NF - 5 Power Mix'!OKB15)*860/10)+((('Form Sa1'!OKE835)*860)/10)+('Form Sa1'!OKE814*'Form Sa1'!OKE816/10)-'NF - 5 Power Mix'!OKB21-'NF - 5 Power Mix'!OKB22</f>
        <v>0</v>
      </c>
      <c r="OKC42" s="1046">
        <f>OKC38+((OKC40+'NF - 5 Power Mix'!OKC14+'NF - 5 Power Mix'!OKC15)*860/10)+((('Form Sa1'!OKF835)*860)/10)+('Form Sa1'!OKF814*'Form Sa1'!OKF816/10)-'NF - 5 Power Mix'!OKC21-'NF - 5 Power Mix'!OKC22</f>
        <v>0</v>
      </c>
      <c r="OKD42" s="1046">
        <f>OKD38+((OKD40+'NF - 5 Power Mix'!OKD14+'NF - 5 Power Mix'!OKD15)*860/10)+((('Form Sa1'!OKG835)*860)/10)+('Form Sa1'!OKG814*'Form Sa1'!OKG816/10)-'NF - 5 Power Mix'!OKD21-'NF - 5 Power Mix'!OKD22</f>
        <v>0</v>
      </c>
      <c r="OKE42" s="1046">
        <f>OKE38+((OKE40+'NF - 5 Power Mix'!OKE14+'NF - 5 Power Mix'!OKE15)*860/10)+((('Form Sa1'!OKH835)*860)/10)+('Form Sa1'!OKH814*'Form Sa1'!OKH816/10)-'NF - 5 Power Mix'!OKE21-'NF - 5 Power Mix'!OKE22</f>
        <v>0</v>
      </c>
      <c r="OKF42" s="1046">
        <f>OKF38+((OKF40+'NF - 5 Power Mix'!OKF14+'NF - 5 Power Mix'!OKF15)*860/10)+((('Form Sa1'!OKI835)*860)/10)+('Form Sa1'!OKI814*'Form Sa1'!OKI816/10)-'NF - 5 Power Mix'!OKF21-'NF - 5 Power Mix'!OKF22</f>
        <v>0</v>
      </c>
      <c r="OKG42" s="1046">
        <f>OKG38+((OKG40+'NF - 5 Power Mix'!OKG14+'NF - 5 Power Mix'!OKG15)*860/10)+((('Form Sa1'!OKJ835)*860)/10)+('Form Sa1'!OKJ814*'Form Sa1'!OKJ816/10)-'NF - 5 Power Mix'!OKG21-'NF - 5 Power Mix'!OKG22</f>
        <v>0</v>
      </c>
      <c r="OKH42" s="1046">
        <f>OKH38+((OKH40+'NF - 5 Power Mix'!OKH14+'NF - 5 Power Mix'!OKH15)*860/10)+((('Form Sa1'!OKK835)*860)/10)+('Form Sa1'!OKK814*'Form Sa1'!OKK816/10)-'NF - 5 Power Mix'!OKH21-'NF - 5 Power Mix'!OKH22</f>
        <v>0</v>
      </c>
      <c r="OKI42" s="1046">
        <f>OKI38+((OKI40+'NF - 5 Power Mix'!OKI14+'NF - 5 Power Mix'!OKI15)*860/10)+((('Form Sa1'!OKL835)*860)/10)+('Form Sa1'!OKL814*'Form Sa1'!OKL816/10)-'NF - 5 Power Mix'!OKI21-'NF - 5 Power Mix'!OKI22</f>
        <v>0</v>
      </c>
      <c r="OKJ42" s="1046">
        <f>OKJ38+((OKJ40+'NF - 5 Power Mix'!OKJ14+'NF - 5 Power Mix'!OKJ15)*860/10)+((('Form Sa1'!OKM835)*860)/10)+('Form Sa1'!OKM814*'Form Sa1'!OKM816/10)-'NF - 5 Power Mix'!OKJ21-'NF - 5 Power Mix'!OKJ22</f>
        <v>0</v>
      </c>
      <c r="OKK42" s="1046">
        <f>OKK38+((OKK40+'NF - 5 Power Mix'!OKK14+'NF - 5 Power Mix'!OKK15)*860/10)+((('Form Sa1'!OKN835)*860)/10)+('Form Sa1'!OKN814*'Form Sa1'!OKN816/10)-'NF - 5 Power Mix'!OKK21-'NF - 5 Power Mix'!OKK22</f>
        <v>0</v>
      </c>
      <c r="OKL42" s="1046">
        <f>OKL38+((OKL40+'NF - 5 Power Mix'!OKL14+'NF - 5 Power Mix'!OKL15)*860/10)+((('Form Sa1'!OKO835)*860)/10)+('Form Sa1'!OKO814*'Form Sa1'!OKO816/10)-'NF - 5 Power Mix'!OKL21-'NF - 5 Power Mix'!OKL22</f>
        <v>0</v>
      </c>
      <c r="OKM42" s="1046">
        <f>OKM38+((OKM40+'NF - 5 Power Mix'!OKM14+'NF - 5 Power Mix'!OKM15)*860/10)+((('Form Sa1'!OKP835)*860)/10)+('Form Sa1'!OKP814*'Form Sa1'!OKP816/10)-'NF - 5 Power Mix'!OKM21-'NF - 5 Power Mix'!OKM22</f>
        <v>0</v>
      </c>
      <c r="OKN42" s="1046">
        <f>OKN38+((OKN40+'NF - 5 Power Mix'!OKN14+'NF - 5 Power Mix'!OKN15)*860/10)+((('Form Sa1'!OKQ835)*860)/10)+('Form Sa1'!OKQ814*'Form Sa1'!OKQ816/10)-'NF - 5 Power Mix'!OKN21-'NF - 5 Power Mix'!OKN22</f>
        <v>0</v>
      </c>
      <c r="OKO42" s="1046">
        <f>OKO38+((OKO40+'NF - 5 Power Mix'!OKO14+'NF - 5 Power Mix'!OKO15)*860/10)+((('Form Sa1'!OKR835)*860)/10)+('Form Sa1'!OKR814*'Form Sa1'!OKR816/10)-'NF - 5 Power Mix'!OKO21-'NF - 5 Power Mix'!OKO22</f>
        <v>0</v>
      </c>
      <c r="OKP42" s="1046">
        <f>OKP38+((OKP40+'NF - 5 Power Mix'!OKP14+'NF - 5 Power Mix'!OKP15)*860/10)+((('Form Sa1'!OKS835)*860)/10)+('Form Sa1'!OKS814*'Form Sa1'!OKS816/10)-'NF - 5 Power Mix'!OKP21-'NF - 5 Power Mix'!OKP22</f>
        <v>0</v>
      </c>
      <c r="OKQ42" s="1046">
        <f>OKQ38+((OKQ40+'NF - 5 Power Mix'!OKQ14+'NF - 5 Power Mix'!OKQ15)*860/10)+((('Form Sa1'!OKT835)*860)/10)+('Form Sa1'!OKT814*'Form Sa1'!OKT816/10)-'NF - 5 Power Mix'!OKQ21-'NF - 5 Power Mix'!OKQ22</f>
        <v>0</v>
      </c>
      <c r="OKR42" s="1046">
        <f>OKR38+((OKR40+'NF - 5 Power Mix'!OKR14+'NF - 5 Power Mix'!OKR15)*860/10)+((('Form Sa1'!OKU835)*860)/10)+('Form Sa1'!OKU814*'Form Sa1'!OKU816/10)-'NF - 5 Power Mix'!OKR21-'NF - 5 Power Mix'!OKR22</f>
        <v>0</v>
      </c>
      <c r="OKS42" s="1046">
        <f>OKS38+((OKS40+'NF - 5 Power Mix'!OKS14+'NF - 5 Power Mix'!OKS15)*860/10)+((('Form Sa1'!OKV835)*860)/10)+('Form Sa1'!OKV814*'Form Sa1'!OKV816/10)-'NF - 5 Power Mix'!OKS21-'NF - 5 Power Mix'!OKS22</f>
        <v>0</v>
      </c>
      <c r="OKT42" s="1046">
        <f>OKT38+((OKT40+'NF - 5 Power Mix'!OKT14+'NF - 5 Power Mix'!OKT15)*860/10)+((('Form Sa1'!OKW835)*860)/10)+('Form Sa1'!OKW814*'Form Sa1'!OKW816/10)-'NF - 5 Power Mix'!OKT21-'NF - 5 Power Mix'!OKT22</f>
        <v>0</v>
      </c>
      <c r="OKU42" s="1046">
        <f>OKU38+((OKU40+'NF - 5 Power Mix'!OKU14+'NF - 5 Power Mix'!OKU15)*860/10)+((('Form Sa1'!OKX835)*860)/10)+('Form Sa1'!OKX814*'Form Sa1'!OKX816/10)-'NF - 5 Power Mix'!OKU21-'NF - 5 Power Mix'!OKU22</f>
        <v>0</v>
      </c>
      <c r="OKV42" s="1046">
        <f>OKV38+((OKV40+'NF - 5 Power Mix'!OKV14+'NF - 5 Power Mix'!OKV15)*860/10)+((('Form Sa1'!OKY835)*860)/10)+('Form Sa1'!OKY814*'Form Sa1'!OKY816/10)-'NF - 5 Power Mix'!OKV21-'NF - 5 Power Mix'!OKV22</f>
        <v>0</v>
      </c>
      <c r="OKW42" s="1046">
        <f>OKW38+((OKW40+'NF - 5 Power Mix'!OKW14+'NF - 5 Power Mix'!OKW15)*860/10)+((('Form Sa1'!OKZ835)*860)/10)+('Form Sa1'!OKZ814*'Form Sa1'!OKZ816/10)-'NF - 5 Power Mix'!OKW21-'NF - 5 Power Mix'!OKW22</f>
        <v>0</v>
      </c>
      <c r="OKX42" s="1046">
        <f>OKX38+((OKX40+'NF - 5 Power Mix'!OKX14+'NF - 5 Power Mix'!OKX15)*860/10)+((('Form Sa1'!OLA835)*860)/10)+('Form Sa1'!OLA814*'Form Sa1'!OLA816/10)-'NF - 5 Power Mix'!OKX21-'NF - 5 Power Mix'!OKX22</f>
        <v>0</v>
      </c>
      <c r="OKY42" s="1046">
        <f>OKY38+((OKY40+'NF - 5 Power Mix'!OKY14+'NF - 5 Power Mix'!OKY15)*860/10)+((('Form Sa1'!OLB835)*860)/10)+('Form Sa1'!OLB814*'Form Sa1'!OLB816/10)-'NF - 5 Power Mix'!OKY21-'NF - 5 Power Mix'!OKY22</f>
        <v>0</v>
      </c>
      <c r="OKZ42" s="1046">
        <f>OKZ38+((OKZ40+'NF - 5 Power Mix'!OKZ14+'NF - 5 Power Mix'!OKZ15)*860/10)+((('Form Sa1'!OLC835)*860)/10)+('Form Sa1'!OLC814*'Form Sa1'!OLC816/10)-'NF - 5 Power Mix'!OKZ21-'NF - 5 Power Mix'!OKZ22</f>
        <v>0</v>
      </c>
      <c r="OLA42" s="1046">
        <f>OLA38+((OLA40+'NF - 5 Power Mix'!OLA14+'NF - 5 Power Mix'!OLA15)*860/10)+((('Form Sa1'!OLD835)*860)/10)+('Form Sa1'!OLD814*'Form Sa1'!OLD816/10)-'NF - 5 Power Mix'!OLA21-'NF - 5 Power Mix'!OLA22</f>
        <v>0</v>
      </c>
      <c r="OLB42" s="1046">
        <f>OLB38+((OLB40+'NF - 5 Power Mix'!OLB14+'NF - 5 Power Mix'!OLB15)*860/10)+((('Form Sa1'!OLE835)*860)/10)+('Form Sa1'!OLE814*'Form Sa1'!OLE816/10)-'NF - 5 Power Mix'!OLB21-'NF - 5 Power Mix'!OLB22</f>
        <v>0</v>
      </c>
      <c r="OLC42" s="1046">
        <f>OLC38+((OLC40+'NF - 5 Power Mix'!OLC14+'NF - 5 Power Mix'!OLC15)*860/10)+((('Form Sa1'!OLF835)*860)/10)+('Form Sa1'!OLF814*'Form Sa1'!OLF816/10)-'NF - 5 Power Mix'!OLC21-'NF - 5 Power Mix'!OLC22</f>
        <v>0</v>
      </c>
      <c r="OLD42" s="1046">
        <f>OLD38+((OLD40+'NF - 5 Power Mix'!OLD14+'NF - 5 Power Mix'!OLD15)*860/10)+((('Form Sa1'!OLG835)*860)/10)+('Form Sa1'!OLG814*'Form Sa1'!OLG816/10)-'NF - 5 Power Mix'!OLD21-'NF - 5 Power Mix'!OLD22</f>
        <v>0</v>
      </c>
      <c r="OLE42" s="1046">
        <f>OLE38+((OLE40+'NF - 5 Power Mix'!OLE14+'NF - 5 Power Mix'!OLE15)*860/10)+((('Form Sa1'!OLH835)*860)/10)+('Form Sa1'!OLH814*'Form Sa1'!OLH816/10)-'NF - 5 Power Mix'!OLE21-'NF - 5 Power Mix'!OLE22</f>
        <v>0</v>
      </c>
      <c r="OLF42" s="1046">
        <f>OLF38+((OLF40+'NF - 5 Power Mix'!OLF14+'NF - 5 Power Mix'!OLF15)*860/10)+((('Form Sa1'!OLI835)*860)/10)+('Form Sa1'!OLI814*'Form Sa1'!OLI816/10)-'NF - 5 Power Mix'!OLF21-'NF - 5 Power Mix'!OLF22</f>
        <v>0</v>
      </c>
      <c r="OLG42" s="1046">
        <f>OLG38+((OLG40+'NF - 5 Power Mix'!OLG14+'NF - 5 Power Mix'!OLG15)*860/10)+((('Form Sa1'!OLJ835)*860)/10)+('Form Sa1'!OLJ814*'Form Sa1'!OLJ816/10)-'NF - 5 Power Mix'!OLG21-'NF - 5 Power Mix'!OLG22</f>
        <v>0</v>
      </c>
      <c r="OLH42" s="1046">
        <f>OLH38+((OLH40+'NF - 5 Power Mix'!OLH14+'NF - 5 Power Mix'!OLH15)*860/10)+((('Form Sa1'!OLK835)*860)/10)+('Form Sa1'!OLK814*'Form Sa1'!OLK816/10)-'NF - 5 Power Mix'!OLH21-'NF - 5 Power Mix'!OLH22</f>
        <v>0</v>
      </c>
      <c r="OLI42" s="1046">
        <f>OLI38+((OLI40+'NF - 5 Power Mix'!OLI14+'NF - 5 Power Mix'!OLI15)*860/10)+((('Form Sa1'!OLL835)*860)/10)+('Form Sa1'!OLL814*'Form Sa1'!OLL816/10)-'NF - 5 Power Mix'!OLI21-'NF - 5 Power Mix'!OLI22</f>
        <v>0</v>
      </c>
      <c r="OLJ42" s="1046">
        <f>OLJ38+((OLJ40+'NF - 5 Power Mix'!OLJ14+'NF - 5 Power Mix'!OLJ15)*860/10)+((('Form Sa1'!OLM835)*860)/10)+('Form Sa1'!OLM814*'Form Sa1'!OLM816/10)-'NF - 5 Power Mix'!OLJ21-'NF - 5 Power Mix'!OLJ22</f>
        <v>0</v>
      </c>
      <c r="OLK42" s="1046">
        <f>OLK38+((OLK40+'NF - 5 Power Mix'!OLK14+'NF - 5 Power Mix'!OLK15)*860/10)+((('Form Sa1'!OLN835)*860)/10)+('Form Sa1'!OLN814*'Form Sa1'!OLN816/10)-'NF - 5 Power Mix'!OLK21-'NF - 5 Power Mix'!OLK22</f>
        <v>0</v>
      </c>
      <c r="OLL42" s="1046">
        <f>OLL38+((OLL40+'NF - 5 Power Mix'!OLL14+'NF - 5 Power Mix'!OLL15)*860/10)+((('Form Sa1'!OLO835)*860)/10)+('Form Sa1'!OLO814*'Form Sa1'!OLO816/10)-'NF - 5 Power Mix'!OLL21-'NF - 5 Power Mix'!OLL22</f>
        <v>0</v>
      </c>
      <c r="OLM42" s="1046">
        <f>OLM38+((OLM40+'NF - 5 Power Mix'!OLM14+'NF - 5 Power Mix'!OLM15)*860/10)+((('Form Sa1'!OLP835)*860)/10)+('Form Sa1'!OLP814*'Form Sa1'!OLP816/10)-'NF - 5 Power Mix'!OLM21-'NF - 5 Power Mix'!OLM22</f>
        <v>0</v>
      </c>
      <c r="OLN42" s="1046">
        <f>OLN38+((OLN40+'NF - 5 Power Mix'!OLN14+'NF - 5 Power Mix'!OLN15)*860/10)+((('Form Sa1'!OLQ835)*860)/10)+('Form Sa1'!OLQ814*'Form Sa1'!OLQ816/10)-'NF - 5 Power Mix'!OLN21-'NF - 5 Power Mix'!OLN22</f>
        <v>0</v>
      </c>
      <c r="OLO42" s="1046">
        <f>OLO38+((OLO40+'NF - 5 Power Mix'!OLO14+'NF - 5 Power Mix'!OLO15)*860/10)+((('Form Sa1'!OLR835)*860)/10)+('Form Sa1'!OLR814*'Form Sa1'!OLR816/10)-'NF - 5 Power Mix'!OLO21-'NF - 5 Power Mix'!OLO22</f>
        <v>0</v>
      </c>
      <c r="OLP42" s="1046">
        <f>OLP38+((OLP40+'NF - 5 Power Mix'!OLP14+'NF - 5 Power Mix'!OLP15)*860/10)+((('Form Sa1'!OLS835)*860)/10)+('Form Sa1'!OLS814*'Form Sa1'!OLS816/10)-'NF - 5 Power Mix'!OLP21-'NF - 5 Power Mix'!OLP22</f>
        <v>0</v>
      </c>
      <c r="OLQ42" s="1046">
        <f>OLQ38+((OLQ40+'NF - 5 Power Mix'!OLQ14+'NF - 5 Power Mix'!OLQ15)*860/10)+((('Form Sa1'!OLT835)*860)/10)+('Form Sa1'!OLT814*'Form Sa1'!OLT816/10)-'NF - 5 Power Mix'!OLQ21-'NF - 5 Power Mix'!OLQ22</f>
        <v>0</v>
      </c>
      <c r="OLR42" s="1046">
        <f>OLR38+((OLR40+'NF - 5 Power Mix'!OLR14+'NF - 5 Power Mix'!OLR15)*860/10)+((('Form Sa1'!OLU835)*860)/10)+('Form Sa1'!OLU814*'Form Sa1'!OLU816/10)-'NF - 5 Power Mix'!OLR21-'NF - 5 Power Mix'!OLR22</f>
        <v>0</v>
      </c>
      <c r="OLS42" s="1046">
        <f>OLS38+((OLS40+'NF - 5 Power Mix'!OLS14+'NF - 5 Power Mix'!OLS15)*860/10)+((('Form Sa1'!OLV835)*860)/10)+('Form Sa1'!OLV814*'Form Sa1'!OLV816/10)-'NF - 5 Power Mix'!OLS21-'NF - 5 Power Mix'!OLS22</f>
        <v>0</v>
      </c>
      <c r="OLT42" s="1046">
        <f>OLT38+((OLT40+'NF - 5 Power Mix'!OLT14+'NF - 5 Power Mix'!OLT15)*860/10)+((('Form Sa1'!OLW835)*860)/10)+('Form Sa1'!OLW814*'Form Sa1'!OLW816/10)-'NF - 5 Power Mix'!OLT21-'NF - 5 Power Mix'!OLT22</f>
        <v>0</v>
      </c>
      <c r="OLU42" s="1046">
        <f>OLU38+((OLU40+'NF - 5 Power Mix'!OLU14+'NF - 5 Power Mix'!OLU15)*860/10)+((('Form Sa1'!OLX835)*860)/10)+('Form Sa1'!OLX814*'Form Sa1'!OLX816/10)-'NF - 5 Power Mix'!OLU21-'NF - 5 Power Mix'!OLU22</f>
        <v>0</v>
      </c>
      <c r="OLV42" s="1046">
        <f>OLV38+((OLV40+'NF - 5 Power Mix'!OLV14+'NF - 5 Power Mix'!OLV15)*860/10)+((('Form Sa1'!OLY835)*860)/10)+('Form Sa1'!OLY814*'Form Sa1'!OLY816/10)-'NF - 5 Power Mix'!OLV21-'NF - 5 Power Mix'!OLV22</f>
        <v>0</v>
      </c>
      <c r="OLW42" s="1046">
        <f>OLW38+((OLW40+'NF - 5 Power Mix'!OLW14+'NF - 5 Power Mix'!OLW15)*860/10)+((('Form Sa1'!OLZ835)*860)/10)+('Form Sa1'!OLZ814*'Form Sa1'!OLZ816/10)-'NF - 5 Power Mix'!OLW21-'NF - 5 Power Mix'!OLW22</f>
        <v>0</v>
      </c>
      <c r="OLX42" s="1046">
        <f>OLX38+((OLX40+'NF - 5 Power Mix'!OLX14+'NF - 5 Power Mix'!OLX15)*860/10)+((('Form Sa1'!OMA835)*860)/10)+('Form Sa1'!OMA814*'Form Sa1'!OMA816/10)-'NF - 5 Power Mix'!OLX21-'NF - 5 Power Mix'!OLX22</f>
        <v>0</v>
      </c>
      <c r="OLY42" s="1046">
        <f>OLY38+((OLY40+'NF - 5 Power Mix'!OLY14+'NF - 5 Power Mix'!OLY15)*860/10)+((('Form Sa1'!OMB835)*860)/10)+('Form Sa1'!OMB814*'Form Sa1'!OMB816/10)-'NF - 5 Power Mix'!OLY21-'NF - 5 Power Mix'!OLY22</f>
        <v>0</v>
      </c>
      <c r="OLZ42" s="1046">
        <f>OLZ38+((OLZ40+'NF - 5 Power Mix'!OLZ14+'NF - 5 Power Mix'!OLZ15)*860/10)+((('Form Sa1'!OMC835)*860)/10)+('Form Sa1'!OMC814*'Form Sa1'!OMC816/10)-'NF - 5 Power Mix'!OLZ21-'NF - 5 Power Mix'!OLZ22</f>
        <v>0</v>
      </c>
      <c r="OMA42" s="1046">
        <f>OMA38+((OMA40+'NF - 5 Power Mix'!OMA14+'NF - 5 Power Mix'!OMA15)*860/10)+((('Form Sa1'!OMD835)*860)/10)+('Form Sa1'!OMD814*'Form Sa1'!OMD816/10)-'NF - 5 Power Mix'!OMA21-'NF - 5 Power Mix'!OMA22</f>
        <v>0</v>
      </c>
      <c r="OMB42" s="1046">
        <f>OMB38+((OMB40+'NF - 5 Power Mix'!OMB14+'NF - 5 Power Mix'!OMB15)*860/10)+((('Form Sa1'!OME835)*860)/10)+('Form Sa1'!OME814*'Form Sa1'!OME816/10)-'NF - 5 Power Mix'!OMB21-'NF - 5 Power Mix'!OMB22</f>
        <v>0</v>
      </c>
      <c r="OMC42" s="1046">
        <f>OMC38+((OMC40+'NF - 5 Power Mix'!OMC14+'NF - 5 Power Mix'!OMC15)*860/10)+((('Form Sa1'!OMF835)*860)/10)+('Form Sa1'!OMF814*'Form Sa1'!OMF816/10)-'NF - 5 Power Mix'!OMC21-'NF - 5 Power Mix'!OMC22</f>
        <v>0</v>
      </c>
      <c r="OMD42" s="1046">
        <f>OMD38+((OMD40+'NF - 5 Power Mix'!OMD14+'NF - 5 Power Mix'!OMD15)*860/10)+((('Form Sa1'!OMG835)*860)/10)+('Form Sa1'!OMG814*'Form Sa1'!OMG816/10)-'NF - 5 Power Mix'!OMD21-'NF - 5 Power Mix'!OMD22</f>
        <v>0</v>
      </c>
      <c r="OME42" s="1046">
        <f>OME38+((OME40+'NF - 5 Power Mix'!OME14+'NF - 5 Power Mix'!OME15)*860/10)+((('Form Sa1'!OMH835)*860)/10)+('Form Sa1'!OMH814*'Form Sa1'!OMH816/10)-'NF - 5 Power Mix'!OME21-'NF - 5 Power Mix'!OME22</f>
        <v>0</v>
      </c>
      <c r="OMF42" s="1046">
        <f>OMF38+((OMF40+'NF - 5 Power Mix'!OMF14+'NF - 5 Power Mix'!OMF15)*860/10)+((('Form Sa1'!OMI835)*860)/10)+('Form Sa1'!OMI814*'Form Sa1'!OMI816/10)-'NF - 5 Power Mix'!OMF21-'NF - 5 Power Mix'!OMF22</f>
        <v>0</v>
      </c>
      <c r="OMG42" s="1046">
        <f>OMG38+((OMG40+'NF - 5 Power Mix'!OMG14+'NF - 5 Power Mix'!OMG15)*860/10)+((('Form Sa1'!OMJ835)*860)/10)+('Form Sa1'!OMJ814*'Form Sa1'!OMJ816/10)-'NF - 5 Power Mix'!OMG21-'NF - 5 Power Mix'!OMG22</f>
        <v>0</v>
      </c>
      <c r="OMH42" s="1046">
        <f>OMH38+((OMH40+'NF - 5 Power Mix'!OMH14+'NF - 5 Power Mix'!OMH15)*860/10)+((('Form Sa1'!OMK835)*860)/10)+('Form Sa1'!OMK814*'Form Sa1'!OMK816/10)-'NF - 5 Power Mix'!OMH21-'NF - 5 Power Mix'!OMH22</f>
        <v>0</v>
      </c>
      <c r="OMI42" s="1046">
        <f>OMI38+((OMI40+'NF - 5 Power Mix'!OMI14+'NF - 5 Power Mix'!OMI15)*860/10)+((('Form Sa1'!OML835)*860)/10)+('Form Sa1'!OML814*'Form Sa1'!OML816/10)-'NF - 5 Power Mix'!OMI21-'NF - 5 Power Mix'!OMI22</f>
        <v>0</v>
      </c>
      <c r="OMJ42" s="1046">
        <f>OMJ38+((OMJ40+'NF - 5 Power Mix'!OMJ14+'NF - 5 Power Mix'!OMJ15)*860/10)+((('Form Sa1'!OMM835)*860)/10)+('Form Sa1'!OMM814*'Form Sa1'!OMM816/10)-'NF - 5 Power Mix'!OMJ21-'NF - 5 Power Mix'!OMJ22</f>
        <v>0</v>
      </c>
      <c r="OMK42" s="1046">
        <f>OMK38+((OMK40+'NF - 5 Power Mix'!OMK14+'NF - 5 Power Mix'!OMK15)*860/10)+((('Form Sa1'!OMN835)*860)/10)+('Form Sa1'!OMN814*'Form Sa1'!OMN816/10)-'NF - 5 Power Mix'!OMK21-'NF - 5 Power Mix'!OMK22</f>
        <v>0</v>
      </c>
      <c r="OML42" s="1046">
        <f>OML38+((OML40+'NF - 5 Power Mix'!OML14+'NF - 5 Power Mix'!OML15)*860/10)+((('Form Sa1'!OMO835)*860)/10)+('Form Sa1'!OMO814*'Form Sa1'!OMO816/10)-'NF - 5 Power Mix'!OML21-'NF - 5 Power Mix'!OML22</f>
        <v>0</v>
      </c>
      <c r="OMM42" s="1046">
        <f>OMM38+((OMM40+'NF - 5 Power Mix'!OMM14+'NF - 5 Power Mix'!OMM15)*860/10)+((('Form Sa1'!OMP835)*860)/10)+('Form Sa1'!OMP814*'Form Sa1'!OMP816/10)-'NF - 5 Power Mix'!OMM21-'NF - 5 Power Mix'!OMM22</f>
        <v>0</v>
      </c>
      <c r="OMN42" s="1046">
        <f>OMN38+((OMN40+'NF - 5 Power Mix'!OMN14+'NF - 5 Power Mix'!OMN15)*860/10)+((('Form Sa1'!OMQ835)*860)/10)+('Form Sa1'!OMQ814*'Form Sa1'!OMQ816/10)-'NF - 5 Power Mix'!OMN21-'NF - 5 Power Mix'!OMN22</f>
        <v>0</v>
      </c>
      <c r="OMO42" s="1046">
        <f>OMO38+((OMO40+'NF - 5 Power Mix'!OMO14+'NF - 5 Power Mix'!OMO15)*860/10)+((('Form Sa1'!OMR835)*860)/10)+('Form Sa1'!OMR814*'Form Sa1'!OMR816/10)-'NF - 5 Power Mix'!OMO21-'NF - 5 Power Mix'!OMO22</f>
        <v>0</v>
      </c>
      <c r="OMP42" s="1046">
        <f>OMP38+((OMP40+'NF - 5 Power Mix'!OMP14+'NF - 5 Power Mix'!OMP15)*860/10)+((('Form Sa1'!OMS835)*860)/10)+('Form Sa1'!OMS814*'Form Sa1'!OMS816/10)-'NF - 5 Power Mix'!OMP21-'NF - 5 Power Mix'!OMP22</f>
        <v>0</v>
      </c>
      <c r="OMQ42" s="1046">
        <f>OMQ38+((OMQ40+'NF - 5 Power Mix'!OMQ14+'NF - 5 Power Mix'!OMQ15)*860/10)+((('Form Sa1'!OMT835)*860)/10)+('Form Sa1'!OMT814*'Form Sa1'!OMT816/10)-'NF - 5 Power Mix'!OMQ21-'NF - 5 Power Mix'!OMQ22</f>
        <v>0</v>
      </c>
      <c r="OMR42" s="1046">
        <f>OMR38+((OMR40+'NF - 5 Power Mix'!OMR14+'NF - 5 Power Mix'!OMR15)*860/10)+((('Form Sa1'!OMU835)*860)/10)+('Form Sa1'!OMU814*'Form Sa1'!OMU816/10)-'NF - 5 Power Mix'!OMR21-'NF - 5 Power Mix'!OMR22</f>
        <v>0</v>
      </c>
      <c r="OMS42" s="1046">
        <f>OMS38+((OMS40+'NF - 5 Power Mix'!OMS14+'NF - 5 Power Mix'!OMS15)*860/10)+((('Form Sa1'!OMV835)*860)/10)+('Form Sa1'!OMV814*'Form Sa1'!OMV816/10)-'NF - 5 Power Mix'!OMS21-'NF - 5 Power Mix'!OMS22</f>
        <v>0</v>
      </c>
      <c r="OMT42" s="1046">
        <f>OMT38+((OMT40+'NF - 5 Power Mix'!OMT14+'NF - 5 Power Mix'!OMT15)*860/10)+((('Form Sa1'!OMW835)*860)/10)+('Form Sa1'!OMW814*'Form Sa1'!OMW816/10)-'NF - 5 Power Mix'!OMT21-'NF - 5 Power Mix'!OMT22</f>
        <v>0</v>
      </c>
      <c r="OMU42" s="1046">
        <f>OMU38+((OMU40+'NF - 5 Power Mix'!OMU14+'NF - 5 Power Mix'!OMU15)*860/10)+((('Form Sa1'!OMX835)*860)/10)+('Form Sa1'!OMX814*'Form Sa1'!OMX816/10)-'NF - 5 Power Mix'!OMU21-'NF - 5 Power Mix'!OMU22</f>
        <v>0</v>
      </c>
      <c r="OMV42" s="1046">
        <f>OMV38+((OMV40+'NF - 5 Power Mix'!OMV14+'NF - 5 Power Mix'!OMV15)*860/10)+((('Form Sa1'!OMY835)*860)/10)+('Form Sa1'!OMY814*'Form Sa1'!OMY816/10)-'NF - 5 Power Mix'!OMV21-'NF - 5 Power Mix'!OMV22</f>
        <v>0</v>
      </c>
      <c r="OMW42" s="1046">
        <f>OMW38+((OMW40+'NF - 5 Power Mix'!OMW14+'NF - 5 Power Mix'!OMW15)*860/10)+((('Form Sa1'!OMZ835)*860)/10)+('Form Sa1'!OMZ814*'Form Sa1'!OMZ816/10)-'NF - 5 Power Mix'!OMW21-'NF - 5 Power Mix'!OMW22</f>
        <v>0</v>
      </c>
      <c r="OMX42" s="1046">
        <f>OMX38+((OMX40+'NF - 5 Power Mix'!OMX14+'NF - 5 Power Mix'!OMX15)*860/10)+((('Form Sa1'!ONA835)*860)/10)+('Form Sa1'!ONA814*'Form Sa1'!ONA816/10)-'NF - 5 Power Mix'!OMX21-'NF - 5 Power Mix'!OMX22</f>
        <v>0</v>
      </c>
      <c r="OMY42" s="1046">
        <f>OMY38+((OMY40+'NF - 5 Power Mix'!OMY14+'NF - 5 Power Mix'!OMY15)*860/10)+((('Form Sa1'!ONB835)*860)/10)+('Form Sa1'!ONB814*'Form Sa1'!ONB816/10)-'NF - 5 Power Mix'!OMY21-'NF - 5 Power Mix'!OMY22</f>
        <v>0</v>
      </c>
      <c r="OMZ42" s="1046">
        <f>OMZ38+((OMZ40+'NF - 5 Power Mix'!OMZ14+'NF - 5 Power Mix'!OMZ15)*860/10)+((('Form Sa1'!ONC835)*860)/10)+('Form Sa1'!ONC814*'Form Sa1'!ONC816/10)-'NF - 5 Power Mix'!OMZ21-'NF - 5 Power Mix'!OMZ22</f>
        <v>0</v>
      </c>
      <c r="ONA42" s="1046">
        <f>ONA38+((ONA40+'NF - 5 Power Mix'!ONA14+'NF - 5 Power Mix'!ONA15)*860/10)+((('Form Sa1'!OND835)*860)/10)+('Form Sa1'!OND814*'Form Sa1'!OND816/10)-'NF - 5 Power Mix'!ONA21-'NF - 5 Power Mix'!ONA22</f>
        <v>0</v>
      </c>
      <c r="ONB42" s="1046">
        <f>ONB38+((ONB40+'NF - 5 Power Mix'!ONB14+'NF - 5 Power Mix'!ONB15)*860/10)+((('Form Sa1'!ONE835)*860)/10)+('Form Sa1'!ONE814*'Form Sa1'!ONE816/10)-'NF - 5 Power Mix'!ONB21-'NF - 5 Power Mix'!ONB22</f>
        <v>0</v>
      </c>
      <c r="ONC42" s="1046">
        <f>ONC38+((ONC40+'NF - 5 Power Mix'!ONC14+'NF - 5 Power Mix'!ONC15)*860/10)+((('Form Sa1'!ONF835)*860)/10)+('Form Sa1'!ONF814*'Form Sa1'!ONF816/10)-'NF - 5 Power Mix'!ONC21-'NF - 5 Power Mix'!ONC22</f>
        <v>0</v>
      </c>
      <c r="OND42" s="1046">
        <f>OND38+((OND40+'NF - 5 Power Mix'!OND14+'NF - 5 Power Mix'!OND15)*860/10)+((('Form Sa1'!ONG835)*860)/10)+('Form Sa1'!ONG814*'Form Sa1'!ONG816/10)-'NF - 5 Power Mix'!OND21-'NF - 5 Power Mix'!OND22</f>
        <v>0</v>
      </c>
      <c r="ONE42" s="1046">
        <f>ONE38+((ONE40+'NF - 5 Power Mix'!ONE14+'NF - 5 Power Mix'!ONE15)*860/10)+((('Form Sa1'!ONH835)*860)/10)+('Form Sa1'!ONH814*'Form Sa1'!ONH816/10)-'NF - 5 Power Mix'!ONE21-'NF - 5 Power Mix'!ONE22</f>
        <v>0</v>
      </c>
      <c r="ONF42" s="1046">
        <f>ONF38+((ONF40+'NF - 5 Power Mix'!ONF14+'NF - 5 Power Mix'!ONF15)*860/10)+((('Form Sa1'!ONI835)*860)/10)+('Form Sa1'!ONI814*'Form Sa1'!ONI816/10)-'NF - 5 Power Mix'!ONF21-'NF - 5 Power Mix'!ONF22</f>
        <v>0</v>
      </c>
      <c r="ONG42" s="1046">
        <f>ONG38+((ONG40+'NF - 5 Power Mix'!ONG14+'NF - 5 Power Mix'!ONG15)*860/10)+((('Form Sa1'!ONJ835)*860)/10)+('Form Sa1'!ONJ814*'Form Sa1'!ONJ816/10)-'NF - 5 Power Mix'!ONG21-'NF - 5 Power Mix'!ONG22</f>
        <v>0</v>
      </c>
      <c r="ONH42" s="1046">
        <f>ONH38+((ONH40+'NF - 5 Power Mix'!ONH14+'NF - 5 Power Mix'!ONH15)*860/10)+((('Form Sa1'!ONK835)*860)/10)+('Form Sa1'!ONK814*'Form Sa1'!ONK816/10)-'NF - 5 Power Mix'!ONH21-'NF - 5 Power Mix'!ONH22</f>
        <v>0</v>
      </c>
      <c r="ONI42" s="1046">
        <f>ONI38+((ONI40+'NF - 5 Power Mix'!ONI14+'NF - 5 Power Mix'!ONI15)*860/10)+((('Form Sa1'!ONL835)*860)/10)+('Form Sa1'!ONL814*'Form Sa1'!ONL816/10)-'NF - 5 Power Mix'!ONI21-'NF - 5 Power Mix'!ONI22</f>
        <v>0</v>
      </c>
      <c r="ONJ42" s="1046">
        <f>ONJ38+((ONJ40+'NF - 5 Power Mix'!ONJ14+'NF - 5 Power Mix'!ONJ15)*860/10)+((('Form Sa1'!ONM835)*860)/10)+('Form Sa1'!ONM814*'Form Sa1'!ONM816/10)-'NF - 5 Power Mix'!ONJ21-'NF - 5 Power Mix'!ONJ22</f>
        <v>0</v>
      </c>
      <c r="ONK42" s="1046">
        <f>ONK38+((ONK40+'NF - 5 Power Mix'!ONK14+'NF - 5 Power Mix'!ONK15)*860/10)+((('Form Sa1'!ONN835)*860)/10)+('Form Sa1'!ONN814*'Form Sa1'!ONN816/10)-'NF - 5 Power Mix'!ONK21-'NF - 5 Power Mix'!ONK22</f>
        <v>0</v>
      </c>
      <c r="ONL42" s="1046">
        <f>ONL38+((ONL40+'NF - 5 Power Mix'!ONL14+'NF - 5 Power Mix'!ONL15)*860/10)+((('Form Sa1'!ONO835)*860)/10)+('Form Sa1'!ONO814*'Form Sa1'!ONO816/10)-'NF - 5 Power Mix'!ONL21-'NF - 5 Power Mix'!ONL22</f>
        <v>0</v>
      </c>
      <c r="ONM42" s="1046">
        <f>ONM38+((ONM40+'NF - 5 Power Mix'!ONM14+'NF - 5 Power Mix'!ONM15)*860/10)+((('Form Sa1'!ONP835)*860)/10)+('Form Sa1'!ONP814*'Form Sa1'!ONP816/10)-'NF - 5 Power Mix'!ONM21-'NF - 5 Power Mix'!ONM22</f>
        <v>0</v>
      </c>
      <c r="ONN42" s="1046">
        <f>ONN38+((ONN40+'NF - 5 Power Mix'!ONN14+'NF - 5 Power Mix'!ONN15)*860/10)+((('Form Sa1'!ONQ835)*860)/10)+('Form Sa1'!ONQ814*'Form Sa1'!ONQ816/10)-'NF - 5 Power Mix'!ONN21-'NF - 5 Power Mix'!ONN22</f>
        <v>0</v>
      </c>
      <c r="ONO42" s="1046">
        <f>ONO38+((ONO40+'NF - 5 Power Mix'!ONO14+'NF - 5 Power Mix'!ONO15)*860/10)+((('Form Sa1'!ONR835)*860)/10)+('Form Sa1'!ONR814*'Form Sa1'!ONR816/10)-'NF - 5 Power Mix'!ONO21-'NF - 5 Power Mix'!ONO22</f>
        <v>0</v>
      </c>
      <c r="ONP42" s="1046">
        <f>ONP38+((ONP40+'NF - 5 Power Mix'!ONP14+'NF - 5 Power Mix'!ONP15)*860/10)+((('Form Sa1'!ONS835)*860)/10)+('Form Sa1'!ONS814*'Form Sa1'!ONS816/10)-'NF - 5 Power Mix'!ONP21-'NF - 5 Power Mix'!ONP22</f>
        <v>0</v>
      </c>
      <c r="ONQ42" s="1046">
        <f>ONQ38+((ONQ40+'NF - 5 Power Mix'!ONQ14+'NF - 5 Power Mix'!ONQ15)*860/10)+((('Form Sa1'!ONT835)*860)/10)+('Form Sa1'!ONT814*'Form Sa1'!ONT816/10)-'NF - 5 Power Mix'!ONQ21-'NF - 5 Power Mix'!ONQ22</f>
        <v>0</v>
      </c>
      <c r="ONR42" s="1046">
        <f>ONR38+((ONR40+'NF - 5 Power Mix'!ONR14+'NF - 5 Power Mix'!ONR15)*860/10)+((('Form Sa1'!ONU835)*860)/10)+('Form Sa1'!ONU814*'Form Sa1'!ONU816/10)-'NF - 5 Power Mix'!ONR21-'NF - 5 Power Mix'!ONR22</f>
        <v>0</v>
      </c>
      <c r="ONS42" s="1046">
        <f>ONS38+((ONS40+'NF - 5 Power Mix'!ONS14+'NF - 5 Power Mix'!ONS15)*860/10)+((('Form Sa1'!ONV835)*860)/10)+('Form Sa1'!ONV814*'Form Sa1'!ONV816/10)-'NF - 5 Power Mix'!ONS21-'NF - 5 Power Mix'!ONS22</f>
        <v>0</v>
      </c>
      <c r="ONT42" s="1046">
        <f>ONT38+((ONT40+'NF - 5 Power Mix'!ONT14+'NF - 5 Power Mix'!ONT15)*860/10)+((('Form Sa1'!ONW835)*860)/10)+('Form Sa1'!ONW814*'Form Sa1'!ONW816/10)-'NF - 5 Power Mix'!ONT21-'NF - 5 Power Mix'!ONT22</f>
        <v>0</v>
      </c>
      <c r="ONU42" s="1046">
        <f>ONU38+((ONU40+'NF - 5 Power Mix'!ONU14+'NF - 5 Power Mix'!ONU15)*860/10)+((('Form Sa1'!ONX835)*860)/10)+('Form Sa1'!ONX814*'Form Sa1'!ONX816/10)-'NF - 5 Power Mix'!ONU21-'NF - 5 Power Mix'!ONU22</f>
        <v>0</v>
      </c>
      <c r="ONV42" s="1046">
        <f>ONV38+((ONV40+'NF - 5 Power Mix'!ONV14+'NF - 5 Power Mix'!ONV15)*860/10)+((('Form Sa1'!ONY835)*860)/10)+('Form Sa1'!ONY814*'Form Sa1'!ONY816/10)-'NF - 5 Power Mix'!ONV21-'NF - 5 Power Mix'!ONV22</f>
        <v>0</v>
      </c>
      <c r="ONW42" s="1046">
        <f>ONW38+((ONW40+'NF - 5 Power Mix'!ONW14+'NF - 5 Power Mix'!ONW15)*860/10)+((('Form Sa1'!ONZ835)*860)/10)+('Form Sa1'!ONZ814*'Form Sa1'!ONZ816/10)-'NF - 5 Power Mix'!ONW21-'NF - 5 Power Mix'!ONW22</f>
        <v>0</v>
      </c>
      <c r="ONX42" s="1046">
        <f>ONX38+((ONX40+'NF - 5 Power Mix'!ONX14+'NF - 5 Power Mix'!ONX15)*860/10)+((('Form Sa1'!OOA835)*860)/10)+('Form Sa1'!OOA814*'Form Sa1'!OOA816/10)-'NF - 5 Power Mix'!ONX21-'NF - 5 Power Mix'!ONX22</f>
        <v>0</v>
      </c>
      <c r="ONY42" s="1046">
        <f>ONY38+((ONY40+'NF - 5 Power Mix'!ONY14+'NF - 5 Power Mix'!ONY15)*860/10)+((('Form Sa1'!OOB835)*860)/10)+('Form Sa1'!OOB814*'Form Sa1'!OOB816/10)-'NF - 5 Power Mix'!ONY21-'NF - 5 Power Mix'!ONY22</f>
        <v>0</v>
      </c>
      <c r="ONZ42" s="1046">
        <f>ONZ38+((ONZ40+'NF - 5 Power Mix'!ONZ14+'NF - 5 Power Mix'!ONZ15)*860/10)+((('Form Sa1'!OOC835)*860)/10)+('Form Sa1'!OOC814*'Form Sa1'!OOC816/10)-'NF - 5 Power Mix'!ONZ21-'NF - 5 Power Mix'!ONZ22</f>
        <v>0</v>
      </c>
      <c r="OOA42" s="1046">
        <f>OOA38+((OOA40+'NF - 5 Power Mix'!OOA14+'NF - 5 Power Mix'!OOA15)*860/10)+((('Form Sa1'!OOD835)*860)/10)+('Form Sa1'!OOD814*'Form Sa1'!OOD816/10)-'NF - 5 Power Mix'!OOA21-'NF - 5 Power Mix'!OOA22</f>
        <v>0</v>
      </c>
      <c r="OOB42" s="1046">
        <f>OOB38+((OOB40+'NF - 5 Power Mix'!OOB14+'NF - 5 Power Mix'!OOB15)*860/10)+((('Form Sa1'!OOE835)*860)/10)+('Form Sa1'!OOE814*'Form Sa1'!OOE816/10)-'NF - 5 Power Mix'!OOB21-'NF - 5 Power Mix'!OOB22</f>
        <v>0</v>
      </c>
      <c r="OOC42" s="1046">
        <f>OOC38+((OOC40+'NF - 5 Power Mix'!OOC14+'NF - 5 Power Mix'!OOC15)*860/10)+((('Form Sa1'!OOF835)*860)/10)+('Form Sa1'!OOF814*'Form Sa1'!OOF816/10)-'NF - 5 Power Mix'!OOC21-'NF - 5 Power Mix'!OOC22</f>
        <v>0</v>
      </c>
      <c r="OOD42" s="1046">
        <f>OOD38+((OOD40+'NF - 5 Power Mix'!OOD14+'NF - 5 Power Mix'!OOD15)*860/10)+((('Form Sa1'!OOG835)*860)/10)+('Form Sa1'!OOG814*'Form Sa1'!OOG816/10)-'NF - 5 Power Mix'!OOD21-'NF - 5 Power Mix'!OOD22</f>
        <v>0</v>
      </c>
      <c r="OOE42" s="1046">
        <f>OOE38+((OOE40+'NF - 5 Power Mix'!OOE14+'NF - 5 Power Mix'!OOE15)*860/10)+((('Form Sa1'!OOH835)*860)/10)+('Form Sa1'!OOH814*'Form Sa1'!OOH816/10)-'NF - 5 Power Mix'!OOE21-'NF - 5 Power Mix'!OOE22</f>
        <v>0</v>
      </c>
      <c r="OOF42" s="1046">
        <f>OOF38+((OOF40+'NF - 5 Power Mix'!OOF14+'NF - 5 Power Mix'!OOF15)*860/10)+((('Form Sa1'!OOI835)*860)/10)+('Form Sa1'!OOI814*'Form Sa1'!OOI816/10)-'NF - 5 Power Mix'!OOF21-'NF - 5 Power Mix'!OOF22</f>
        <v>0</v>
      </c>
      <c r="OOG42" s="1046">
        <f>OOG38+((OOG40+'NF - 5 Power Mix'!OOG14+'NF - 5 Power Mix'!OOG15)*860/10)+((('Form Sa1'!OOJ835)*860)/10)+('Form Sa1'!OOJ814*'Form Sa1'!OOJ816/10)-'NF - 5 Power Mix'!OOG21-'NF - 5 Power Mix'!OOG22</f>
        <v>0</v>
      </c>
      <c r="OOH42" s="1046">
        <f>OOH38+((OOH40+'NF - 5 Power Mix'!OOH14+'NF - 5 Power Mix'!OOH15)*860/10)+((('Form Sa1'!OOK835)*860)/10)+('Form Sa1'!OOK814*'Form Sa1'!OOK816/10)-'NF - 5 Power Mix'!OOH21-'NF - 5 Power Mix'!OOH22</f>
        <v>0</v>
      </c>
      <c r="OOI42" s="1046">
        <f>OOI38+((OOI40+'NF - 5 Power Mix'!OOI14+'NF - 5 Power Mix'!OOI15)*860/10)+((('Form Sa1'!OOL835)*860)/10)+('Form Sa1'!OOL814*'Form Sa1'!OOL816/10)-'NF - 5 Power Mix'!OOI21-'NF - 5 Power Mix'!OOI22</f>
        <v>0</v>
      </c>
      <c r="OOJ42" s="1046">
        <f>OOJ38+((OOJ40+'NF - 5 Power Mix'!OOJ14+'NF - 5 Power Mix'!OOJ15)*860/10)+((('Form Sa1'!OOM835)*860)/10)+('Form Sa1'!OOM814*'Form Sa1'!OOM816/10)-'NF - 5 Power Mix'!OOJ21-'NF - 5 Power Mix'!OOJ22</f>
        <v>0</v>
      </c>
      <c r="OOK42" s="1046">
        <f>OOK38+((OOK40+'NF - 5 Power Mix'!OOK14+'NF - 5 Power Mix'!OOK15)*860/10)+((('Form Sa1'!OON835)*860)/10)+('Form Sa1'!OON814*'Form Sa1'!OON816/10)-'NF - 5 Power Mix'!OOK21-'NF - 5 Power Mix'!OOK22</f>
        <v>0</v>
      </c>
      <c r="OOL42" s="1046">
        <f>OOL38+((OOL40+'NF - 5 Power Mix'!OOL14+'NF - 5 Power Mix'!OOL15)*860/10)+((('Form Sa1'!OOO835)*860)/10)+('Form Sa1'!OOO814*'Form Sa1'!OOO816/10)-'NF - 5 Power Mix'!OOL21-'NF - 5 Power Mix'!OOL22</f>
        <v>0</v>
      </c>
      <c r="OOM42" s="1046">
        <f>OOM38+((OOM40+'NF - 5 Power Mix'!OOM14+'NF - 5 Power Mix'!OOM15)*860/10)+((('Form Sa1'!OOP835)*860)/10)+('Form Sa1'!OOP814*'Form Sa1'!OOP816/10)-'NF - 5 Power Mix'!OOM21-'NF - 5 Power Mix'!OOM22</f>
        <v>0</v>
      </c>
      <c r="OON42" s="1046">
        <f>OON38+((OON40+'NF - 5 Power Mix'!OON14+'NF - 5 Power Mix'!OON15)*860/10)+((('Form Sa1'!OOQ835)*860)/10)+('Form Sa1'!OOQ814*'Form Sa1'!OOQ816/10)-'NF - 5 Power Mix'!OON21-'NF - 5 Power Mix'!OON22</f>
        <v>0</v>
      </c>
      <c r="OOO42" s="1046">
        <f>OOO38+((OOO40+'NF - 5 Power Mix'!OOO14+'NF - 5 Power Mix'!OOO15)*860/10)+((('Form Sa1'!OOR835)*860)/10)+('Form Sa1'!OOR814*'Form Sa1'!OOR816/10)-'NF - 5 Power Mix'!OOO21-'NF - 5 Power Mix'!OOO22</f>
        <v>0</v>
      </c>
      <c r="OOP42" s="1046">
        <f>OOP38+((OOP40+'NF - 5 Power Mix'!OOP14+'NF - 5 Power Mix'!OOP15)*860/10)+((('Form Sa1'!OOS835)*860)/10)+('Form Sa1'!OOS814*'Form Sa1'!OOS816/10)-'NF - 5 Power Mix'!OOP21-'NF - 5 Power Mix'!OOP22</f>
        <v>0</v>
      </c>
      <c r="OOQ42" s="1046">
        <f>OOQ38+((OOQ40+'NF - 5 Power Mix'!OOQ14+'NF - 5 Power Mix'!OOQ15)*860/10)+((('Form Sa1'!OOT835)*860)/10)+('Form Sa1'!OOT814*'Form Sa1'!OOT816/10)-'NF - 5 Power Mix'!OOQ21-'NF - 5 Power Mix'!OOQ22</f>
        <v>0</v>
      </c>
      <c r="OOR42" s="1046">
        <f>OOR38+((OOR40+'NF - 5 Power Mix'!OOR14+'NF - 5 Power Mix'!OOR15)*860/10)+((('Form Sa1'!OOU835)*860)/10)+('Form Sa1'!OOU814*'Form Sa1'!OOU816/10)-'NF - 5 Power Mix'!OOR21-'NF - 5 Power Mix'!OOR22</f>
        <v>0</v>
      </c>
      <c r="OOS42" s="1046">
        <f>OOS38+((OOS40+'NF - 5 Power Mix'!OOS14+'NF - 5 Power Mix'!OOS15)*860/10)+((('Form Sa1'!OOV835)*860)/10)+('Form Sa1'!OOV814*'Form Sa1'!OOV816/10)-'NF - 5 Power Mix'!OOS21-'NF - 5 Power Mix'!OOS22</f>
        <v>0</v>
      </c>
      <c r="OOT42" s="1046">
        <f>OOT38+((OOT40+'NF - 5 Power Mix'!OOT14+'NF - 5 Power Mix'!OOT15)*860/10)+((('Form Sa1'!OOW835)*860)/10)+('Form Sa1'!OOW814*'Form Sa1'!OOW816/10)-'NF - 5 Power Mix'!OOT21-'NF - 5 Power Mix'!OOT22</f>
        <v>0</v>
      </c>
      <c r="OOU42" s="1046">
        <f>OOU38+((OOU40+'NF - 5 Power Mix'!OOU14+'NF - 5 Power Mix'!OOU15)*860/10)+((('Form Sa1'!OOX835)*860)/10)+('Form Sa1'!OOX814*'Form Sa1'!OOX816/10)-'NF - 5 Power Mix'!OOU21-'NF - 5 Power Mix'!OOU22</f>
        <v>0</v>
      </c>
      <c r="OOV42" s="1046">
        <f>OOV38+((OOV40+'NF - 5 Power Mix'!OOV14+'NF - 5 Power Mix'!OOV15)*860/10)+((('Form Sa1'!OOY835)*860)/10)+('Form Sa1'!OOY814*'Form Sa1'!OOY816/10)-'NF - 5 Power Mix'!OOV21-'NF - 5 Power Mix'!OOV22</f>
        <v>0</v>
      </c>
      <c r="OOW42" s="1046">
        <f>OOW38+((OOW40+'NF - 5 Power Mix'!OOW14+'NF - 5 Power Mix'!OOW15)*860/10)+((('Form Sa1'!OOZ835)*860)/10)+('Form Sa1'!OOZ814*'Form Sa1'!OOZ816/10)-'NF - 5 Power Mix'!OOW21-'NF - 5 Power Mix'!OOW22</f>
        <v>0</v>
      </c>
      <c r="OOX42" s="1046">
        <f>OOX38+((OOX40+'NF - 5 Power Mix'!OOX14+'NF - 5 Power Mix'!OOX15)*860/10)+((('Form Sa1'!OPA835)*860)/10)+('Form Sa1'!OPA814*'Form Sa1'!OPA816/10)-'NF - 5 Power Mix'!OOX21-'NF - 5 Power Mix'!OOX22</f>
        <v>0</v>
      </c>
      <c r="OOY42" s="1046">
        <f>OOY38+((OOY40+'NF - 5 Power Mix'!OOY14+'NF - 5 Power Mix'!OOY15)*860/10)+((('Form Sa1'!OPB835)*860)/10)+('Form Sa1'!OPB814*'Form Sa1'!OPB816/10)-'NF - 5 Power Mix'!OOY21-'NF - 5 Power Mix'!OOY22</f>
        <v>0</v>
      </c>
      <c r="OOZ42" s="1046">
        <f>OOZ38+((OOZ40+'NF - 5 Power Mix'!OOZ14+'NF - 5 Power Mix'!OOZ15)*860/10)+((('Form Sa1'!OPC835)*860)/10)+('Form Sa1'!OPC814*'Form Sa1'!OPC816/10)-'NF - 5 Power Mix'!OOZ21-'NF - 5 Power Mix'!OOZ22</f>
        <v>0</v>
      </c>
      <c r="OPA42" s="1046">
        <f>OPA38+((OPA40+'NF - 5 Power Mix'!OPA14+'NF - 5 Power Mix'!OPA15)*860/10)+((('Form Sa1'!OPD835)*860)/10)+('Form Sa1'!OPD814*'Form Sa1'!OPD816/10)-'NF - 5 Power Mix'!OPA21-'NF - 5 Power Mix'!OPA22</f>
        <v>0</v>
      </c>
      <c r="OPB42" s="1046">
        <f>OPB38+((OPB40+'NF - 5 Power Mix'!OPB14+'NF - 5 Power Mix'!OPB15)*860/10)+((('Form Sa1'!OPE835)*860)/10)+('Form Sa1'!OPE814*'Form Sa1'!OPE816/10)-'NF - 5 Power Mix'!OPB21-'NF - 5 Power Mix'!OPB22</f>
        <v>0</v>
      </c>
      <c r="OPC42" s="1046">
        <f>OPC38+((OPC40+'NF - 5 Power Mix'!OPC14+'NF - 5 Power Mix'!OPC15)*860/10)+((('Form Sa1'!OPF835)*860)/10)+('Form Sa1'!OPF814*'Form Sa1'!OPF816/10)-'NF - 5 Power Mix'!OPC21-'NF - 5 Power Mix'!OPC22</f>
        <v>0</v>
      </c>
      <c r="OPD42" s="1046">
        <f>OPD38+((OPD40+'NF - 5 Power Mix'!OPD14+'NF - 5 Power Mix'!OPD15)*860/10)+((('Form Sa1'!OPG835)*860)/10)+('Form Sa1'!OPG814*'Form Sa1'!OPG816/10)-'NF - 5 Power Mix'!OPD21-'NF - 5 Power Mix'!OPD22</f>
        <v>0</v>
      </c>
      <c r="OPE42" s="1046">
        <f>OPE38+((OPE40+'NF - 5 Power Mix'!OPE14+'NF - 5 Power Mix'!OPE15)*860/10)+((('Form Sa1'!OPH835)*860)/10)+('Form Sa1'!OPH814*'Form Sa1'!OPH816/10)-'NF - 5 Power Mix'!OPE21-'NF - 5 Power Mix'!OPE22</f>
        <v>0</v>
      </c>
      <c r="OPF42" s="1046">
        <f>OPF38+((OPF40+'NF - 5 Power Mix'!OPF14+'NF - 5 Power Mix'!OPF15)*860/10)+((('Form Sa1'!OPI835)*860)/10)+('Form Sa1'!OPI814*'Form Sa1'!OPI816/10)-'NF - 5 Power Mix'!OPF21-'NF - 5 Power Mix'!OPF22</f>
        <v>0</v>
      </c>
      <c r="OPG42" s="1046">
        <f>OPG38+((OPG40+'NF - 5 Power Mix'!OPG14+'NF - 5 Power Mix'!OPG15)*860/10)+((('Form Sa1'!OPJ835)*860)/10)+('Form Sa1'!OPJ814*'Form Sa1'!OPJ816/10)-'NF - 5 Power Mix'!OPG21-'NF - 5 Power Mix'!OPG22</f>
        <v>0</v>
      </c>
      <c r="OPH42" s="1046">
        <f>OPH38+((OPH40+'NF - 5 Power Mix'!OPH14+'NF - 5 Power Mix'!OPH15)*860/10)+((('Form Sa1'!OPK835)*860)/10)+('Form Sa1'!OPK814*'Form Sa1'!OPK816/10)-'NF - 5 Power Mix'!OPH21-'NF - 5 Power Mix'!OPH22</f>
        <v>0</v>
      </c>
      <c r="OPI42" s="1046">
        <f>OPI38+((OPI40+'NF - 5 Power Mix'!OPI14+'NF - 5 Power Mix'!OPI15)*860/10)+((('Form Sa1'!OPL835)*860)/10)+('Form Sa1'!OPL814*'Form Sa1'!OPL816/10)-'NF - 5 Power Mix'!OPI21-'NF - 5 Power Mix'!OPI22</f>
        <v>0</v>
      </c>
      <c r="OPJ42" s="1046">
        <f>OPJ38+((OPJ40+'NF - 5 Power Mix'!OPJ14+'NF - 5 Power Mix'!OPJ15)*860/10)+((('Form Sa1'!OPM835)*860)/10)+('Form Sa1'!OPM814*'Form Sa1'!OPM816/10)-'NF - 5 Power Mix'!OPJ21-'NF - 5 Power Mix'!OPJ22</f>
        <v>0</v>
      </c>
      <c r="OPK42" s="1046">
        <f>OPK38+((OPK40+'NF - 5 Power Mix'!OPK14+'NF - 5 Power Mix'!OPK15)*860/10)+((('Form Sa1'!OPN835)*860)/10)+('Form Sa1'!OPN814*'Form Sa1'!OPN816/10)-'NF - 5 Power Mix'!OPK21-'NF - 5 Power Mix'!OPK22</f>
        <v>0</v>
      </c>
      <c r="OPL42" s="1046">
        <f>OPL38+((OPL40+'NF - 5 Power Mix'!OPL14+'NF - 5 Power Mix'!OPL15)*860/10)+((('Form Sa1'!OPO835)*860)/10)+('Form Sa1'!OPO814*'Form Sa1'!OPO816/10)-'NF - 5 Power Mix'!OPL21-'NF - 5 Power Mix'!OPL22</f>
        <v>0</v>
      </c>
      <c r="OPM42" s="1046">
        <f>OPM38+((OPM40+'NF - 5 Power Mix'!OPM14+'NF - 5 Power Mix'!OPM15)*860/10)+((('Form Sa1'!OPP835)*860)/10)+('Form Sa1'!OPP814*'Form Sa1'!OPP816/10)-'NF - 5 Power Mix'!OPM21-'NF - 5 Power Mix'!OPM22</f>
        <v>0</v>
      </c>
      <c r="OPN42" s="1046">
        <f>OPN38+((OPN40+'NF - 5 Power Mix'!OPN14+'NF - 5 Power Mix'!OPN15)*860/10)+((('Form Sa1'!OPQ835)*860)/10)+('Form Sa1'!OPQ814*'Form Sa1'!OPQ816/10)-'NF - 5 Power Mix'!OPN21-'NF - 5 Power Mix'!OPN22</f>
        <v>0</v>
      </c>
      <c r="OPO42" s="1046">
        <f>OPO38+((OPO40+'NF - 5 Power Mix'!OPO14+'NF - 5 Power Mix'!OPO15)*860/10)+((('Form Sa1'!OPR835)*860)/10)+('Form Sa1'!OPR814*'Form Sa1'!OPR816/10)-'NF - 5 Power Mix'!OPO21-'NF - 5 Power Mix'!OPO22</f>
        <v>0</v>
      </c>
      <c r="OPP42" s="1046">
        <f>OPP38+((OPP40+'NF - 5 Power Mix'!OPP14+'NF - 5 Power Mix'!OPP15)*860/10)+((('Form Sa1'!OPS835)*860)/10)+('Form Sa1'!OPS814*'Form Sa1'!OPS816/10)-'NF - 5 Power Mix'!OPP21-'NF - 5 Power Mix'!OPP22</f>
        <v>0</v>
      </c>
      <c r="OPQ42" s="1046">
        <f>OPQ38+((OPQ40+'NF - 5 Power Mix'!OPQ14+'NF - 5 Power Mix'!OPQ15)*860/10)+((('Form Sa1'!OPT835)*860)/10)+('Form Sa1'!OPT814*'Form Sa1'!OPT816/10)-'NF - 5 Power Mix'!OPQ21-'NF - 5 Power Mix'!OPQ22</f>
        <v>0</v>
      </c>
      <c r="OPR42" s="1046">
        <f>OPR38+((OPR40+'NF - 5 Power Mix'!OPR14+'NF - 5 Power Mix'!OPR15)*860/10)+((('Form Sa1'!OPU835)*860)/10)+('Form Sa1'!OPU814*'Form Sa1'!OPU816/10)-'NF - 5 Power Mix'!OPR21-'NF - 5 Power Mix'!OPR22</f>
        <v>0</v>
      </c>
      <c r="OPS42" s="1046">
        <f>OPS38+((OPS40+'NF - 5 Power Mix'!OPS14+'NF - 5 Power Mix'!OPS15)*860/10)+((('Form Sa1'!OPV835)*860)/10)+('Form Sa1'!OPV814*'Form Sa1'!OPV816/10)-'NF - 5 Power Mix'!OPS21-'NF - 5 Power Mix'!OPS22</f>
        <v>0</v>
      </c>
      <c r="OPT42" s="1046">
        <f>OPT38+((OPT40+'NF - 5 Power Mix'!OPT14+'NF - 5 Power Mix'!OPT15)*860/10)+((('Form Sa1'!OPW835)*860)/10)+('Form Sa1'!OPW814*'Form Sa1'!OPW816/10)-'NF - 5 Power Mix'!OPT21-'NF - 5 Power Mix'!OPT22</f>
        <v>0</v>
      </c>
      <c r="OPU42" s="1046">
        <f>OPU38+((OPU40+'NF - 5 Power Mix'!OPU14+'NF - 5 Power Mix'!OPU15)*860/10)+((('Form Sa1'!OPX835)*860)/10)+('Form Sa1'!OPX814*'Form Sa1'!OPX816/10)-'NF - 5 Power Mix'!OPU21-'NF - 5 Power Mix'!OPU22</f>
        <v>0</v>
      </c>
      <c r="OPV42" s="1046">
        <f>OPV38+((OPV40+'NF - 5 Power Mix'!OPV14+'NF - 5 Power Mix'!OPV15)*860/10)+((('Form Sa1'!OPY835)*860)/10)+('Form Sa1'!OPY814*'Form Sa1'!OPY816/10)-'NF - 5 Power Mix'!OPV21-'NF - 5 Power Mix'!OPV22</f>
        <v>0</v>
      </c>
      <c r="OPW42" s="1046">
        <f>OPW38+((OPW40+'NF - 5 Power Mix'!OPW14+'NF - 5 Power Mix'!OPW15)*860/10)+((('Form Sa1'!OPZ835)*860)/10)+('Form Sa1'!OPZ814*'Form Sa1'!OPZ816/10)-'NF - 5 Power Mix'!OPW21-'NF - 5 Power Mix'!OPW22</f>
        <v>0</v>
      </c>
      <c r="OPX42" s="1046">
        <f>OPX38+((OPX40+'NF - 5 Power Mix'!OPX14+'NF - 5 Power Mix'!OPX15)*860/10)+((('Form Sa1'!OQA835)*860)/10)+('Form Sa1'!OQA814*'Form Sa1'!OQA816/10)-'NF - 5 Power Mix'!OPX21-'NF - 5 Power Mix'!OPX22</f>
        <v>0</v>
      </c>
      <c r="OPY42" s="1046">
        <f>OPY38+((OPY40+'NF - 5 Power Mix'!OPY14+'NF - 5 Power Mix'!OPY15)*860/10)+((('Form Sa1'!OQB835)*860)/10)+('Form Sa1'!OQB814*'Form Sa1'!OQB816/10)-'NF - 5 Power Mix'!OPY21-'NF - 5 Power Mix'!OPY22</f>
        <v>0</v>
      </c>
      <c r="OPZ42" s="1046">
        <f>OPZ38+((OPZ40+'NF - 5 Power Mix'!OPZ14+'NF - 5 Power Mix'!OPZ15)*860/10)+((('Form Sa1'!OQC835)*860)/10)+('Form Sa1'!OQC814*'Form Sa1'!OQC816/10)-'NF - 5 Power Mix'!OPZ21-'NF - 5 Power Mix'!OPZ22</f>
        <v>0</v>
      </c>
      <c r="OQA42" s="1046">
        <f>OQA38+((OQA40+'NF - 5 Power Mix'!OQA14+'NF - 5 Power Mix'!OQA15)*860/10)+((('Form Sa1'!OQD835)*860)/10)+('Form Sa1'!OQD814*'Form Sa1'!OQD816/10)-'NF - 5 Power Mix'!OQA21-'NF - 5 Power Mix'!OQA22</f>
        <v>0</v>
      </c>
      <c r="OQB42" s="1046">
        <f>OQB38+((OQB40+'NF - 5 Power Mix'!OQB14+'NF - 5 Power Mix'!OQB15)*860/10)+((('Form Sa1'!OQE835)*860)/10)+('Form Sa1'!OQE814*'Form Sa1'!OQE816/10)-'NF - 5 Power Mix'!OQB21-'NF - 5 Power Mix'!OQB22</f>
        <v>0</v>
      </c>
      <c r="OQC42" s="1046">
        <f>OQC38+((OQC40+'NF - 5 Power Mix'!OQC14+'NF - 5 Power Mix'!OQC15)*860/10)+((('Form Sa1'!OQF835)*860)/10)+('Form Sa1'!OQF814*'Form Sa1'!OQF816/10)-'NF - 5 Power Mix'!OQC21-'NF - 5 Power Mix'!OQC22</f>
        <v>0</v>
      </c>
      <c r="OQD42" s="1046">
        <f>OQD38+((OQD40+'NF - 5 Power Mix'!OQD14+'NF - 5 Power Mix'!OQD15)*860/10)+((('Form Sa1'!OQG835)*860)/10)+('Form Sa1'!OQG814*'Form Sa1'!OQG816/10)-'NF - 5 Power Mix'!OQD21-'NF - 5 Power Mix'!OQD22</f>
        <v>0</v>
      </c>
      <c r="OQE42" s="1046">
        <f>OQE38+((OQE40+'NF - 5 Power Mix'!OQE14+'NF - 5 Power Mix'!OQE15)*860/10)+((('Form Sa1'!OQH835)*860)/10)+('Form Sa1'!OQH814*'Form Sa1'!OQH816/10)-'NF - 5 Power Mix'!OQE21-'NF - 5 Power Mix'!OQE22</f>
        <v>0</v>
      </c>
      <c r="OQF42" s="1046">
        <f>OQF38+((OQF40+'NF - 5 Power Mix'!OQF14+'NF - 5 Power Mix'!OQF15)*860/10)+((('Form Sa1'!OQI835)*860)/10)+('Form Sa1'!OQI814*'Form Sa1'!OQI816/10)-'NF - 5 Power Mix'!OQF21-'NF - 5 Power Mix'!OQF22</f>
        <v>0</v>
      </c>
      <c r="OQG42" s="1046">
        <f>OQG38+((OQG40+'NF - 5 Power Mix'!OQG14+'NF - 5 Power Mix'!OQG15)*860/10)+((('Form Sa1'!OQJ835)*860)/10)+('Form Sa1'!OQJ814*'Form Sa1'!OQJ816/10)-'NF - 5 Power Mix'!OQG21-'NF - 5 Power Mix'!OQG22</f>
        <v>0</v>
      </c>
      <c r="OQH42" s="1046">
        <f>OQH38+((OQH40+'NF - 5 Power Mix'!OQH14+'NF - 5 Power Mix'!OQH15)*860/10)+((('Form Sa1'!OQK835)*860)/10)+('Form Sa1'!OQK814*'Form Sa1'!OQK816/10)-'NF - 5 Power Mix'!OQH21-'NF - 5 Power Mix'!OQH22</f>
        <v>0</v>
      </c>
      <c r="OQI42" s="1046">
        <f>OQI38+((OQI40+'NF - 5 Power Mix'!OQI14+'NF - 5 Power Mix'!OQI15)*860/10)+((('Form Sa1'!OQL835)*860)/10)+('Form Sa1'!OQL814*'Form Sa1'!OQL816/10)-'NF - 5 Power Mix'!OQI21-'NF - 5 Power Mix'!OQI22</f>
        <v>0</v>
      </c>
      <c r="OQJ42" s="1046">
        <f>OQJ38+((OQJ40+'NF - 5 Power Mix'!OQJ14+'NF - 5 Power Mix'!OQJ15)*860/10)+((('Form Sa1'!OQM835)*860)/10)+('Form Sa1'!OQM814*'Form Sa1'!OQM816/10)-'NF - 5 Power Mix'!OQJ21-'NF - 5 Power Mix'!OQJ22</f>
        <v>0</v>
      </c>
      <c r="OQK42" s="1046">
        <f>OQK38+((OQK40+'NF - 5 Power Mix'!OQK14+'NF - 5 Power Mix'!OQK15)*860/10)+((('Form Sa1'!OQN835)*860)/10)+('Form Sa1'!OQN814*'Form Sa1'!OQN816/10)-'NF - 5 Power Mix'!OQK21-'NF - 5 Power Mix'!OQK22</f>
        <v>0</v>
      </c>
      <c r="OQL42" s="1046">
        <f>OQL38+((OQL40+'NF - 5 Power Mix'!OQL14+'NF - 5 Power Mix'!OQL15)*860/10)+((('Form Sa1'!OQO835)*860)/10)+('Form Sa1'!OQO814*'Form Sa1'!OQO816/10)-'NF - 5 Power Mix'!OQL21-'NF - 5 Power Mix'!OQL22</f>
        <v>0</v>
      </c>
      <c r="OQM42" s="1046">
        <f>OQM38+((OQM40+'NF - 5 Power Mix'!OQM14+'NF - 5 Power Mix'!OQM15)*860/10)+((('Form Sa1'!OQP835)*860)/10)+('Form Sa1'!OQP814*'Form Sa1'!OQP816/10)-'NF - 5 Power Mix'!OQM21-'NF - 5 Power Mix'!OQM22</f>
        <v>0</v>
      </c>
      <c r="OQN42" s="1046">
        <f>OQN38+((OQN40+'NF - 5 Power Mix'!OQN14+'NF - 5 Power Mix'!OQN15)*860/10)+((('Form Sa1'!OQQ835)*860)/10)+('Form Sa1'!OQQ814*'Form Sa1'!OQQ816/10)-'NF - 5 Power Mix'!OQN21-'NF - 5 Power Mix'!OQN22</f>
        <v>0</v>
      </c>
      <c r="OQO42" s="1046">
        <f>OQO38+((OQO40+'NF - 5 Power Mix'!OQO14+'NF - 5 Power Mix'!OQO15)*860/10)+((('Form Sa1'!OQR835)*860)/10)+('Form Sa1'!OQR814*'Form Sa1'!OQR816/10)-'NF - 5 Power Mix'!OQO21-'NF - 5 Power Mix'!OQO22</f>
        <v>0</v>
      </c>
      <c r="OQP42" s="1046">
        <f>OQP38+((OQP40+'NF - 5 Power Mix'!OQP14+'NF - 5 Power Mix'!OQP15)*860/10)+((('Form Sa1'!OQS835)*860)/10)+('Form Sa1'!OQS814*'Form Sa1'!OQS816/10)-'NF - 5 Power Mix'!OQP21-'NF - 5 Power Mix'!OQP22</f>
        <v>0</v>
      </c>
      <c r="OQQ42" s="1046">
        <f>OQQ38+((OQQ40+'NF - 5 Power Mix'!OQQ14+'NF - 5 Power Mix'!OQQ15)*860/10)+((('Form Sa1'!OQT835)*860)/10)+('Form Sa1'!OQT814*'Form Sa1'!OQT816/10)-'NF - 5 Power Mix'!OQQ21-'NF - 5 Power Mix'!OQQ22</f>
        <v>0</v>
      </c>
      <c r="OQR42" s="1046">
        <f>OQR38+((OQR40+'NF - 5 Power Mix'!OQR14+'NF - 5 Power Mix'!OQR15)*860/10)+((('Form Sa1'!OQU835)*860)/10)+('Form Sa1'!OQU814*'Form Sa1'!OQU816/10)-'NF - 5 Power Mix'!OQR21-'NF - 5 Power Mix'!OQR22</f>
        <v>0</v>
      </c>
      <c r="OQS42" s="1046">
        <f>OQS38+((OQS40+'NF - 5 Power Mix'!OQS14+'NF - 5 Power Mix'!OQS15)*860/10)+((('Form Sa1'!OQV835)*860)/10)+('Form Sa1'!OQV814*'Form Sa1'!OQV816/10)-'NF - 5 Power Mix'!OQS21-'NF - 5 Power Mix'!OQS22</f>
        <v>0</v>
      </c>
      <c r="OQT42" s="1046">
        <f>OQT38+((OQT40+'NF - 5 Power Mix'!OQT14+'NF - 5 Power Mix'!OQT15)*860/10)+((('Form Sa1'!OQW835)*860)/10)+('Form Sa1'!OQW814*'Form Sa1'!OQW816/10)-'NF - 5 Power Mix'!OQT21-'NF - 5 Power Mix'!OQT22</f>
        <v>0</v>
      </c>
      <c r="OQU42" s="1046">
        <f>OQU38+((OQU40+'NF - 5 Power Mix'!OQU14+'NF - 5 Power Mix'!OQU15)*860/10)+((('Form Sa1'!OQX835)*860)/10)+('Form Sa1'!OQX814*'Form Sa1'!OQX816/10)-'NF - 5 Power Mix'!OQU21-'NF - 5 Power Mix'!OQU22</f>
        <v>0</v>
      </c>
      <c r="OQV42" s="1046">
        <f>OQV38+((OQV40+'NF - 5 Power Mix'!OQV14+'NF - 5 Power Mix'!OQV15)*860/10)+((('Form Sa1'!OQY835)*860)/10)+('Form Sa1'!OQY814*'Form Sa1'!OQY816/10)-'NF - 5 Power Mix'!OQV21-'NF - 5 Power Mix'!OQV22</f>
        <v>0</v>
      </c>
      <c r="OQW42" s="1046">
        <f>OQW38+((OQW40+'NF - 5 Power Mix'!OQW14+'NF - 5 Power Mix'!OQW15)*860/10)+((('Form Sa1'!OQZ835)*860)/10)+('Form Sa1'!OQZ814*'Form Sa1'!OQZ816/10)-'NF - 5 Power Mix'!OQW21-'NF - 5 Power Mix'!OQW22</f>
        <v>0</v>
      </c>
      <c r="OQX42" s="1046">
        <f>OQX38+((OQX40+'NF - 5 Power Mix'!OQX14+'NF - 5 Power Mix'!OQX15)*860/10)+((('Form Sa1'!ORA835)*860)/10)+('Form Sa1'!ORA814*'Form Sa1'!ORA816/10)-'NF - 5 Power Mix'!OQX21-'NF - 5 Power Mix'!OQX22</f>
        <v>0</v>
      </c>
      <c r="OQY42" s="1046">
        <f>OQY38+((OQY40+'NF - 5 Power Mix'!OQY14+'NF - 5 Power Mix'!OQY15)*860/10)+((('Form Sa1'!ORB835)*860)/10)+('Form Sa1'!ORB814*'Form Sa1'!ORB816/10)-'NF - 5 Power Mix'!OQY21-'NF - 5 Power Mix'!OQY22</f>
        <v>0</v>
      </c>
      <c r="OQZ42" s="1046">
        <f>OQZ38+((OQZ40+'NF - 5 Power Mix'!OQZ14+'NF - 5 Power Mix'!OQZ15)*860/10)+((('Form Sa1'!ORC835)*860)/10)+('Form Sa1'!ORC814*'Form Sa1'!ORC816/10)-'NF - 5 Power Mix'!OQZ21-'NF - 5 Power Mix'!OQZ22</f>
        <v>0</v>
      </c>
      <c r="ORA42" s="1046">
        <f>ORA38+((ORA40+'NF - 5 Power Mix'!ORA14+'NF - 5 Power Mix'!ORA15)*860/10)+((('Form Sa1'!ORD835)*860)/10)+('Form Sa1'!ORD814*'Form Sa1'!ORD816/10)-'NF - 5 Power Mix'!ORA21-'NF - 5 Power Mix'!ORA22</f>
        <v>0</v>
      </c>
      <c r="ORB42" s="1046">
        <f>ORB38+((ORB40+'NF - 5 Power Mix'!ORB14+'NF - 5 Power Mix'!ORB15)*860/10)+((('Form Sa1'!ORE835)*860)/10)+('Form Sa1'!ORE814*'Form Sa1'!ORE816/10)-'NF - 5 Power Mix'!ORB21-'NF - 5 Power Mix'!ORB22</f>
        <v>0</v>
      </c>
      <c r="ORC42" s="1046">
        <f>ORC38+((ORC40+'NF - 5 Power Mix'!ORC14+'NF - 5 Power Mix'!ORC15)*860/10)+((('Form Sa1'!ORF835)*860)/10)+('Form Sa1'!ORF814*'Form Sa1'!ORF816/10)-'NF - 5 Power Mix'!ORC21-'NF - 5 Power Mix'!ORC22</f>
        <v>0</v>
      </c>
      <c r="ORD42" s="1046">
        <f>ORD38+((ORD40+'NF - 5 Power Mix'!ORD14+'NF - 5 Power Mix'!ORD15)*860/10)+((('Form Sa1'!ORG835)*860)/10)+('Form Sa1'!ORG814*'Form Sa1'!ORG816/10)-'NF - 5 Power Mix'!ORD21-'NF - 5 Power Mix'!ORD22</f>
        <v>0</v>
      </c>
      <c r="ORE42" s="1046">
        <f>ORE38+((ORE40+'NF - 5 Power Mix'!ORE14+'NF - 5 Power Mix'!ORE15)*860/10)+((('Form Sa1'!ORH835)*860)/10)+('Form Sa1'!ORH814*'Form Sa1'!ORH816/10)-'NF - 5 Power Mix'!ORE21-'NF - 5 Power Mix'!ORE22</f>
        <v>0</v>
      </c>
      <c r="ORF42" s="1046">
        <f>ORF38+((ORF40+'NF - 5 Power Mix'!ORF14+'NF - 5 Power Mix'!ORF15)*860/10)+((('Form Sa1'!ORI835)*860)/10)+('Form Sa1'!ORI814*'Form Sa1'!ORI816/10)-'NF - 5 Power Mix'!ORF21-'NF - 5 Power Mix'!ORF22</f>
        <v>0</v>
      </c>
      <c r="ORG42" s="1046">
        <f>ORG38+((ORG40+'NF - 5 Power Mix'!ORG14+'NF - 5 Power Mix'!ORG15)*860/10)+((('Form Sa1'!ORJ835)*860)/10)+('Form Sa1'!ORJ814*'Form Sa1'!ORJ816/10)-'NF - 5 Power Mix'!ORG21-'NF - 5 Power Mix'!ORG22</f>
        <v>0</v>
      </c>
      <c r="ORH42" s="1046">
        <f>ORH38+((ORH40+'NF - 5 Power Mix'!ORH14+'NF - 5 Power Mix'!ORH15)*860/10)+((('Form Sa1'!ORK835)*860)/10)+('Form Sa1'!ORK814*'Form Sa1'!ORK816/10)-'NF - 5 Power Mix'!ORH21-'NF - 5 Power Mix'!ORH22</f>
        <v>0</v>
      </c>
      <c r="ORI42" s="1046">
        <f>ORI38+((ORI40+'NF - 5 Power Mix'!ORI14+'NF - 5 Power Mix'!ORI15)*860/10)+((('Form Sa1'!ORL835)*860)/10)+('Form Sa1'!ORL814*'Form Sa1'!ORL816/10)-'NF - 5 Power Mix'!ORI21-'NF - 5 Power Mix'!ORI22</f>
        <v>0</v>
      </c>
      <c r="ORJ42" s="1046">
        <f>ORJ38+((ORJ40+'NF - 5 Power Mix'!ORJ14+'NF - 5 Power Mix'!ORJ15)*860/10)+((('Form Sa1'!ORM835)*860)/10)+('Form Sa1'!ORM814*'Form Sa1'!ORM816/10)-'NF - 5 Power Mix'!ORJ21-'NF - 5 Power Mix'!ORJ22</f>
        <v>0</v>
      </c>
      <c r="ORK42" s="1046">
        <f>ORK38+((ORK40+'NF - 5 Power Mix'!ORK14+'NF - 5 Power Mix'!ORK15)*860/10)+((('Form Sa1'!ORN835)*860)/10)+('Form Sa1'!ORN814*'Form Sa1'!ORN816/10)-'NF - 5 Power Mix'!ORK21-'NF - 5 Power Mix'!ORK22</f>
        <v>0</v>
      </c>
      <c r="ORL42" s="1046">
        <f>ORL38+((ORL40+'NF - 5 Power Mix'!ORL14+'NF - 5 Power Mix'!ORL15)*860/10)+((('Form Sa1'!ORO835)*860)/10)+('Form Sa1'!ORO814*'Form Sa1'!ORO816/10)-'NF - 5 Power Mix'!ORL21-'NF - 5 Power Mix'!ORL22</f>
        <v>0</v>
      </c>
      <c r="ORM42" s="1046">
        <f>ORM38+((ORM40+'NF - 5 Power Mix'!ORM14+'NF - 5 Power Mix'!ORM15)*860/10)+((('Form Sa1'!ORP835)*860)/10)+('Form Sa1'!ORP814*'Form Sa1'!ORP816/10)-'NF - 5 Power Mix'!ORM21-'NF - 5 Power Mix'!ORM22</f>
        <v>0</v>
      </c>
      <c r="ORN42" s="1046">
        <f>ORN38+((ORN40+'NF - 5 Power Mix'!ORN14+'NF - 5 Power Mix'!ORN15)*860/10)+((('Form Sa1'!ORQ835)*860)/10)+('Form Sa1'!ORQ814*'Form Sa1'!ORQ816/10)-'NF - 5 Power Mix'!ORN21-'NF - 5 Power Mix'!ORN22</f>
        <v>0</v>
      </c>
      <c r="ORO42" s="1046">
        <f>ORO38+((ORO40+'NF - 5 Power Mix'!ORO14+'NF - 5 Power Mix'!ORO15)*860/10)+((('Form Sa1'!ORR835)*860)/10)+('Form Sa1'!ORR814*'Form Sa1'!ORR816/10)-'NF - 5 Power Mix'!ORO21-'NF - 5 Power Mix'!ORO22</f>
        <v>0</v>
      </c>
      <c r="ORP42" s="1046">
        <f>ORP38+((ORP40+'NF - 5 Power Mix'!ORP14+'NF - 5 Power Mix'!ORP15)*860/10)+((('Form Sa1'!ORS835)*860)/10)+('Form Sa1'!ORS814*'Form Sa1'!ORS816/10)-'NF - 5 Power Mix'!ORP21-'NF - 5 Power Mix'!ORP22</f>
        <v>0</v>
      </c>
      <c r="ORQ42" s="1046">
        <f>ORQ38+((ORQ40+'NF - 5 Power Mix'!ORQ14+'NF - 5 Power Mix'!ORQ15)*860/10)+((('Form Sa1'!ORT835)*860)/10)+('Form Sa1'!ORT814*'Form Sa1'!ORT816/10)-'NF - 5 Power Mix'!ORQ21-'NF - 5 Power Mix'!ORQ22</f>
        <v>0</v>
      </c>
      <c r="ORR42" s="1046">
        <f>ORR38+((ORR40+'NF - 5 Power Mix'!ORR14+'NF - 5 Power Mix'!ORR15)*860/10)+((('Form Sa1'!ORU835)*860)/10)+('Form Sa1'!ORU814*'Form Sa1'!ORU816/10)-'NF - 5 Power Mix'!ORR21-'NF - 5 Power Mix'!ORR22</f>
        <v>0</v>
      </c>
      <c r="ORS42" s="1046">
        <f>ORS38+((ORS40+'NF - 5 Power Mix'!ORS14+'NF - 5 Power Mix'!ORS15)*860/10)+((('Form Sa1'!ORV835)*860)/10)+('Form Sa1'!ORV814*'Form Sa1'!ORV816/10)-'NF - 5 Power Mix'!ORS21-'NF - 5 Power Mix'!ORS22</f>
        <v>0</v>
      </c>
      <c r="ORT42" s="1046">
        <f>ORT38+((ORT40+'NF - 5 Power Mix'!ORT14+'NF - 5 Power Mix'!ORT15)*860/10)+((('Form Sa1'!ORW835)*860)/10)+('Form Sa1'!ORW814*'Form Sa1'!ORW816/10)-'NF - 5 Power Mix'!ORT21-'NF - 5 Power Mix'!ORT22</f>
        <v>0</v>
      </c>
      <c r="ORU42" s="1046">
        <f>ORU38+((ORU40+'NF - 5 Power Mix'!ORU14+'NF - 5 Power Mix'!ORU15)*860/10)+((('Form Sa1'!ORX835)*860)/10)+('Form Sa1'!ORX814*'Form Sa1'!ORX816/10)-'NF - 5 Power Mix'!ORU21-'NF - 5 Power Mix'!ORU22</f>
        <v>0</v>
      </c>
      <c r="ORV42" s="1046">
        <f>ORV38+((ORV40+'NF - 5 Power Mix'!ORV14+'NF - 5 Power Mix'!ORV15)*860/10)+((('Form Sa1'!ORY835)*860)/10)+('Form Sa1'!ORY814*'Form Sa1'!ORY816/10)-'NF - 5 Power Mix'!ORV21-'NF - 5 Power Mix'!ORV22</f>
        <v>0</v>
      </c>
      <c r="ORW42" s="1046">
        <f>ORW38+((ORW40+'NF - 5 Power Mix'!ORW14+'NF - 5 Power Mix'!ORW15)*860/10)+((('Form Sa1'!ORZ835)*860)/10)+('Form Sa1'!ORZ814*'Form Sa1'!ORZ816/10)-'NF - 5 Power Mix'!ORW21-'NF - 5 Power Mix'!ORW22</f>
        <v>0</v>
      </c>
      <c r="ORX42" s="1046">
        <f>ORX38+((ORX40+'NF - 5 Power Mix'!ORX14+'NF - 5 Power Mix'!ORX15)*860/10)+((('Form Sa1'!OSA835)*860)/10)+('Form Sa1'!OSA814*'Form Sa1'!OSA816/10)-'NF - 5 Power Mix'!ORX21-'NF - 5 Power Mix'!ORX22</f>
        <v>0</v>
      </c>
      <c r="ORY42" s="1046">
        <f>ORY38+((ORY40+'NF - 5 Power Mix'!ORY14+'NF - 5 Power Mix'!ORY15)*860/10)+((('Form Sa1'!OSB835)*860)/10)+('Form Sa1'!OSB814*'Form Sa1'!OSB816/10)-'NF - 5 Power Mix'!ORY21-'NF - 5 Power Mix'!ORY22</f>
        <v>0</v>
      </c>
      <c r="ORZ42" s="1046">
        <f>ORZ38+((ORZ40+'NF - 5 Power Mix'!ORZ14+'NF - 5 Power Mix'!ORZ15)*860/10)+((('Form Sa1'!OSC835)*860)/10)+('Form Sa1'!OSC814*'Form Sa1'!OSC816/10)-'NF - 5 Power Mix'!ORZ21-'NF - 5 Power Mix'!ORZ22</f>
        <v>0</v>
      </c>
      <c r="OSA42" s="1046">
        <f>OSA38+((OSA40+'NF - 5 Power Mix'!OSA14+'NF - 5 Power Mix'!OSA15)*860/10)+((('Form Sa1'!OSD835)*860)/10)+('Form Sa1'!OSD814*'Form Sa1'!OSD816/10)-'NF - 5 Power Mix'!OSA21-'NF - 5 Power Mix'!OSA22</f>
        <v>0</v>
      </c>
      <c r="OSB42" s="1046">
        <f>OSB38+((OSB40+'NF - 5 Power Mix'!OSB14+'NF - 5 Power Mix'!OSB15)*860/10)+((('Form Sa1'!OSE835)*860)/10)+('Form Sa1'!OSE814*'Form Sa1'!OSE816/10)-'NF - 5 Power Mix'!OSB21-'NF - 5 Power Mix'!OSB22</f>
        <v>0</v>
      </c>
      <c r="OSC42" s="1046">
        <f>OSC38+((OSC40+'NF - 5 Power Mix'!OSC14+'NF - 5 Power Mix'!OSC15)*860/10)+((('Form Sa1'!OSF835)*860)/10)+('Form Sa1'!OSF814*'Form Sa1'!OSF816/10)-'NF - 5 Power Mix'!OSC21-'NF - 5 Power Mix'!OSC22</f>
        <v>0</v>
      </c>
      <c r="OSD42" s="1046">
        <f>OSD38+((OSD40+'NF - 5 Power Mix'!OSD14+'NF - 5 Power Mix'!OSD15)*860/10)+((('Form Sa1'!OSG835)*860)/10)+('Form Sa1'!OSG814*'Form Sa1'!OSG816/10)-'NF - 5 Power Mix'!OSD21-'NF - 5 Power Mix'!OSD22</f>
        <v>0</v>
      </c>
      <c r="OSE42" s="1046">
        <f>OSE38+((OSE40+'NF - 5 Power Mix'!OSE14+'NF - 5 Power Mix'!OSE15)*860/10)+((('Form Sa1'!OSH835)*860)/10)+('Form Sa1'!OSH814*'Form Sa1'!OSH816/10)-'NF - 5 Power Mix'!OSE21-'NF - 5 Power Mix'!OSE22</f>
        <v>0</v>
      </c>
      <c r="OSF42" s="1046">
        <f>OSF38+((OSF40+'NF - 5 Power Mix'!OSF14+'NF - 5 Power Mix'!OSF15)*860/10)+((('Form Sa1'!OSI835)*860)/10)+('Form Sa1'!OSI814*'Form Sa1'!OSI816/10)-'NF - 5 Power Mix'!OSF21-'NF - 5 Power Mix'!OSF22</f>
        <v>0</v>
      </c>
      <c r="OSG42" s="1046">
        <f>OSG38+((OSG40+'NF - 5 Power Mix'!OSG14+'NF - 5 Power Mix'!OSG15)*860/10)+((('Form Sa1'!OSJ835)*860)/10)+('Form Sa1'!OSJ814*'Form Sa1'!OSJ816/10)-'NF - 5 Power Mix'!OSG21-'NF - 5 Power Mix'!OSG22</f>
        <v>0</v>
      </c>
      <c r="OSH42" s="1046">
        <f>OSH38+((OSH40+'NF - 5 Power Mix'!OSH14+'NF - 5 Power Mix'!OSH15)*860/10)+((('Form Sa1'!OSK835)*860)/10)+('Form Sa1'!OSK814*'Form Sa1'!OSK816/10)-'NF - 5 Power Mix'!OSH21-'NF - 5 Power Mix'!OSH22</f>
        <v>0</v>
      </c>
      <c r="OSI42" s="1046">
        <f>OSI38+((OSI40+'NF - 5 Power Mix'!OSI14+'NF - 5 Power Mix'!OSI15)*860/10)+((('Form Sa1'!OSL835)*860)/10)+('Form Sa1'!OSL814*'Form Sa1'!OSL816/10)-'NF - 5 Power Mix'!OSI21-'NF - 5 Power Mix'!OSI22</f>
        <v>0</v>
      </c>
      <c r="OSJ42" s="1046">
        <f>OSJ38+((OSJ40+'NF - 5 Power Mix'!OSJ14+'NF - 5 Power Mix'!OSJ15)*860/10)+((('Form Sa1'!OSM835)*860)/10)+('Form Sa1'!OSM814*'Form Sa1'!OSM816/10)-'NF - 5 Power Mix'!OSJ21-'NF - 5 Power Mix'!OSJ22</f>
        <v>0</v>
      </c>
      <c r="OSK42" s="1046">
        <f>OSK38+((OSK40+'NF - 5 Power Mix'!OSK14+'NF - 5 Power Mix'!OSK15)*860/10)+((('Form Sa1'!OSN835)*860)/10)+('Form Sa1'!OSN814*'Form Sa1'!OSN816/10)-'NF - 5 Power Mix'!OSK21-'NF - 5 Power Mix'!OSK22</f>
        <v>0</v>
      </c>
      <c r="OSL42" s="1046">
        <f>OSL38+((OSL40+'NF - 5 Power Mix'!OSL14+'NF - 5 Power Mix'!OSL15)*860/10)+((('Form Sa1'!OSO835)*860)/10)+('Form Sa1'!OSO814*'Form Sa1'!OSO816/10)-'NF - 5 Power Mix'!OSL21-'NF - 5 Power Mix'!OSL22</f>
        <v>0</v>
      </c>
      <c r="OSM42" s="1046">
        <f>OSM38+((OSM40+'NF - 5 Power Mix'!OSM14+'NF - 5 Power Mix'!OSM15)*860/10)+((('Form Sa1'!OSP835)*860)/10)+('Form Sa1'!OSP814*'Form Sa1'!OSP816/10)-'NF - 5 Power Mix'!OSM21-'NF - 5 Power Mix'!OSM22</f>
        <v>0</v>
      </c>
      <c r="OSN42" s="1046">
        <f>OSN38+((OSN40+'NF - 5 Power Mix'!OSN14+'NF - 5 Power Mix'!OSN15)*860/10)+((('Form Sa1'!OSQ835)*860)/10)+('Form Sa1'!OSQ814*'Form Sa1'!OSQ816/10)-'NF - 5 Power Mix'!OSN21-'NF - 5 Power Mix'!OSN22</f>
        <v>0</v>
      </c>
      <c r="OSO42" s="1046">
        <f>OSO38+((OSO40+'NF - 5 Power Mix'!OSO14+'NF - 5 Power Mix'!OSO15)*860/10)+((('Form Sa1'!OSR835)*860)/10)+('Form Sa1'!OSR814*'Form Sa1'!OSR816/10)-'NF - 5 Power Mix'!OSO21-'NF - 5 Power Mix'!OSO22</f>
        <v>0</v>
      </c>
      <c r="OSP42" s="1046">
        <f>OSP38+((OSP40+'NF - 5 Power Mix'!OSP14+'NF - 5 Power Mix'!OSP15)*860/10)+((('Form Sa1'!OSS835)*860)/10)+('Form Sa1'!OSS814*'Form Sa1'!OSS816/10)-'NF - 5 Power Mix'!OSP21-'NF - 5 Power Mix'!OSP22</f>
        <v>0</v>
      </c>
      <c r="OSQ42" s="1046">
        <f>OSQ38+((OSQ40+'NF - 5 Power Mix'!OSQ14+'NF - 5 Power Mix'!OSQ15)*860/10)+((('Form Sa1'!OST835)*860)/10)+('Form Sa1'!OST814*'Form Sa1'!OST816/10)-'NF - 5 Power Mix'!OSQ21-'NF - 5 Power Mix'!OSQ22</f>
        <v>0</v>
      </c>
      <c r="OSR42" s="1046">
        <f>OSR38+((OSR40+'NF - 5 Power Mix'!OSR14+'NF - 5 Power Mix'!OSR15)*860/10)+((('Form Sa1'!OSU835)*860)/10)+('Form Sa1'!OSU814*'Form Sa1'!OSU816/10)-'NF - 5 Power Mix'!OSR21-'NF - 5 Power Mix'!OSR22</f>
        <v>0</v>
      </c>
      <c r="OSS42" s="1046">
        <f>OSS38+((OSS40+'NF - 5 Power Mix'!OSS14+'NF - 5 Power Mix'!OSS15)*860/10)+((('Form Sa1'!OSV835)*860)/10)+('Form Sa1'!OSV814*'Form Sa1'!OSV816/10)-'NF - 5 Power Mix'!OSS21-'NF - 5 Power Mix'!OSS22</f>
        <v>0</v>
      </c>
      <c r="OST42" s="1046">
        <f>OST38+((OST40+'NF - 5 Power Mix'!OST14+'NF - 5 Power Mix'!OST15)*860/10)+((('Form Sa1'!OSW835)*860)/10)+('Form Sa1'!OSW814*'Form Sa1'!OSW816/10)-'NF - 5 Power Mix'!OST21-'NF - 5 Power Mix'!OST22</f>
        <v>0</v>
      </c>
      <c r="OSU42" s="1046">
        <f>OSU38+((OSU40+'NF - 5 Power Mix'!OSU14+'NF - 5 Power Mix'!OSU15)*860/10)+((('Form Sa1'!OSX835)*860)/10)+('Form Sa1'!OSX814*'Form Sa1'!OSX816/10)-'NF - 5 Power Mix'!OSU21-'NF - 5 Power Mix'!OSU22</f>
        <v>0</v>
      </c>
      <c r="OSV42" s="1046">
        <f>OSV38+((OSV40+'NF - 5 Power Mix'!OSV14+'NF - 5 Power Mix'!OSV15)*860/10)+((('Form Sa1'!OSY835)*860)/10)+('Form Sa1'!OSY814*'Form Sa1'!OSY816/10)-'NF - 5 Power Mix'!OSV21-'NF - 5 Power Mix'!OSV22</f>
        <v>0</v>
      </c>
      <c r="OSW42" s="1046">
        <f>OSW38+((OSW40+'NF - 5 Power Mix'!OSW14+'NF - 5 Power Mix'!OSW15)*860/10)+((('Form Sa1'!OSZ835)*860)/10)+('Form Sa1'!OSZ814*'Form Sa1'!OSZ816/10)-'NF - 5 Power Mix'!OSW21-'NF - 5 Power Mix'!OSW22</f>
        <v>0</v>
      </c>
      <c r="OSX42" s="1046">
        <f>OSX38+((OSX40+'NF - 5 Power Mix'!OSX14+'NF - 5 Power Mix'!OSX15)*860/10)+((('Form Sa1'!OTA835)*860)/10)+('Form Sa1'!OTA814*'Form Sa1'!OTA816/10)-'NF - 5 Power Mix'!OSX21-'NF - 5 Power Mix'!OSX22</f>
        <v>0</v>
      </c>
      <c r="OSY42" s="1046">
        <f>OSY38+((OSY40+'NF - 5 Power Mix'!OSY14+'NF - 5 Power Mix'!OSY15)*860/10)+((('Form Sa1'!OTB835)*860)/10)+('Form Sa1'!OTB814*'Form Sa1'!OTB816/10)-'NF - 5 Power Mix'!OSY21-'NF - 5 Power Mix'!OSY22</f>
        <v>0</v>
      </c>
      <c r="OSZ42" s="1046">
        <f>OSZ38+((OSZ40+'NF - 5 Power Mix'!OSZ14+'NF - 5 Power Mix'!OSZ15)*860/10)+((('Form Sa1'!OTC835)*860)/10)+('Form Sa1'!OTC814*'Form Sa1'!OTC816/10)-'NF - 5 Power Mix'!OSZ21-'NF - 5 Power Mix'!OSZ22</f>
        <v>0</v>
      </c>
      <c r="OTA42" s="1046">
        <f>OTA38+((OTA40+'NF - 5 Power Mix'!OTA14+'NF - 5 Power Mix'!OTA15)*860/10)+((('Form Sa1'!OTD835)*860)/10)+('Form Sa1'!OTD814*'Form Sa1'!OTD816/10)-'NF - 5 Power Mix'!OTA21-'NF - 5 Power Mix'!OTA22</f>
        <v>0</v>
      </c>
      <c r="OTB42" s="1046">
        <f>OTB38+((OTB40+'NF - 5 Power Mix'!OTB14+'NF - 5 Power Mix'!OTB15)*860/10)+((('Form Sa1'!OTE835)*860)/10)+('Form Sa1'!OTE814*'Form Sa1'!OTE816/10)-'NF - 5 Power Mix'!OTB21-'NF - 5 Power Mix'!OTB22</f>
        <v>0</v>
      </c>
      <c r="OTC42" s="1046">
        <f>OTC38+((OTC40+'NF - 5 Power Mix'!OTC14+'NF - 5 Power Mix'!OTC15)*860/10)+((('Form Sa1'!OTF835)*860)/10)+('Form Sa1'!OTF814*'Form Sa1'!OTF816/10)-'NF - 5 Power Mix'!OTC21-'NF - 5 Power Mix'!OTC22</f>
        <v>0</v>
      </c>
      <c r="OTD42" s="1046">
        <f>OTD38+((OTD40+'NF - 5 Power Mix'!OTD14+'NF - 5 Power Mix'!OTD15)*860/10)+((('Form Sa1'!OTG835)*860)/10)+('Form Sa1'!OTG814*'Form Sa1'!OTG816/10)-'NF - 5 Power Mix'!OTD21-'NF - 5 Power Mix'!OTD22</f>
        <v>0</v>
      </c>
      <c r="OTE42" s="1046">
        <f>OTE38+((OTE40+'NF - 5 Power Mix'!OTE14+'NF - 5 Power Mix'!OTE15)*860/10)+((('Form Sa1'!OTH835)*860)/10)+('Form Sa1'!OTH814*'Form Sa1'!OTH816/10)-'NF - 5 Power Mix'!OTE21-'NF - 5 Power Mix'!OTE22</f>
        <v>0</v>
      </c>
      <c r="OTF42" s="1046">
        <f>OTF38+((OTF40+'NF - 5 Power Mix'!OTF14+'NF - 5 Power Mix'!OTF15)*860/10)+((('Form Sa1'!OTI835)*860)/10)+('Form Sa1'!OTI814*'Form Sa1'!OTI816/10)-'NF - 5 Power Mix'!OTF21-'NF - 5 Power Mix'!OTF22</f>
        <v>0</v>
      </c>
      <c r="OTG42" s="1046">
        <f>OTG38+((OTG40+'NF - 5 Power Mix'!OTG14+'NF - 5 Power Mix'!OTG15)*860/10)+((('Form Sa1'!OTJ835)*860)/10)+('Form Sa1'!OTJ814*'Form Sa1'!OTJ816/10)-'NF - 5 Power Mix'!OTG21-'NF - 5 Power Mix'!OTG22</f>
        <v>0</v>
      </c>
      <c r="OTH42" s="1046">
        <f>OTH38+((OTH40+'NF - 5 Power Mix'!OTH14+'NF - 5 Power Mix'!OTH15)*860/10)+((('Form Sa1'!OTK835)*860)/10)+('Form Sa1'!OTK814*'Form Sa1'!OTK816/10)-'NF - 5 Power Mix'!OTH21-'NF - 5 Power Mix'!OTH22</f>
        <v>0</v>
      </c>
      <c r="OTI42" s="1046">
        <f>OTI38+((OTI40+'NF - 5 Power Mix'!OTI14+'NF - 5 Power Mix'!OTI15)*860/10)+((('Form Sa1'!OTL835)*860)/10)+('Form Sa1'!OTL814*'Form Sa1'!OTL816/10)-'NF - 5 Power Mix'!OTI21-'NF - 5 Power Mix'!OTI22</f>
        <v>0</v>
      </c>
      <c r="OTJ42" s="1046">
        <f>OTJ38+((OTJ40+'NF - 5 Power Mix'!OTJ14+'NF - 5 Power Mix'!OTJ15)*860/10)+((('Form Sa1'!OTM835)*860)/10)+('Form Sa1'!OTM814*'Form Sa1'!OTM816/10)-'NF - 5 Power Mix'!OTJ21-'NF - 5 Power Mix'!OTJ22</f>
        <v>0</v>
      </c>
      <c r="OTK42" s="1046">
        <f>OTK38+((OTK40+'NF - 5 Power Mix'!OTK14+'NF - 5 Power Mix'!OTK15)*860/10)+((('Form Sa1'!OTN835)*860)/10)+('Form Sa1'!OTN814*'Form Sa1'!OTN816/10)-'NF - 5 Power Mix'!OTK21-'NF - 5 Power Mix'!OTK22</f>
        <v>0</v>
      </c>
      <c r="OTL42" s="1046">
        <f>OTL38+((OTL40+'NF - 5 Power Mix'!OTL14+'NF - 5 Power Mix'!OTL15)*860/10)+((('Form Sa1'!OTO835)*860)/10)+('Form Sa1'!OTO814*'Form Sa1'!OTO816/10)-'NF - 5 Power Mix'!OTL21-'NF - 5 Power Mix'!OTL22</f>
        <v>0</v>
      </c>
      <c r="OTM42" s="1046">
        <f>OTM38+((OTM40+'NF - 5 Power Mix'!OTM14+'NF - 5 Power Mix'!OTM15)*860/10)+((('Form Sa1'!OTP835)*860)/10)+('Form Sa1'!OTP814*'Form Sa1'!OTP816/10)-'NF - 5 Power Mix'!OTM21-'NF - 5 Power Mix'!OTM22</f>
        <v>0</v>
      </c>
      <c r="OTN42" s="1046">
        <f>OTN38+((OTN40+'NF - 5 Power Mix'!OTN14+'NF - 5 Power Mix'!OTN15)*860/10)+((('Form Sa1'!OTQ835)*860)/10)+('Form Sa1'!OTQ814*'Form Sa1'!OTQ816/10)-'NF - 5 Power Mix'!OTN21-'NF - 5 Power Mix'!OTN22</f>
        <v>0</v>
      </c>
      <c r="OTO42" s="1046">
        <f>OTO38+((OTO40+'NF - 5 Power Mix'!OTO14+'NF - 5 Power Mix'!OTO15)*860/10)+((('Form Sa1'!OTR835)*860)/10)+('Form Sa1'!OTR814*'Form Sa1'!OTR816/10)-'NF - 5 Power Mix'!OTO21-'NF - 5 Power Mix'!OTO22</f>
        <v>0</v>
      </c>
      <c r="OTP42" s="1046">
        <f>OTP38+((OTP40+'NF - 5 Power Mix'!OTP14+'NF - 5 Power Mix'!OTP15)*860/10)+((('Form Sa1'!OTS835)*860)/10)+('Form Sa1'!OTS814*'Form Sa1'!OTS816/10)-'NF - 5 Power Mix'!OTP21-'NF - 5 Power Mix'!OTP22</f>
        <v>0</v>
      </c>
      <c r="OTQ42" s="1046">
        <f>OTQ38+((OTQ40+'NF - 5 Power Mix'!OTQ14+'NF - 5 Power Mix'!OTQ15)*860/10)+((('Form Sa1'!OTT835)*860)/10)+('Form Sa1'!OTT814*'Form Sa1'!OTT816/10)-'NF - 5 Power Mix'!OTQ21-'NF - 5 Power Mix'!OTQ22</f>
        <v>0</v>
      </c>
      <c r="OTR42" s="1046">
        <f>OTR38+((OTR40+'NF - 5 Power Mix'!OTR14+'NF - 5 Power Mix'!OTR15)*860/10)+((('Form Sa1'!OTU835)*860)/10)+('Form Sa1'!OTU814*'Form Sa1'!OTU816/10)-'NF - 5 Power Mix'!OTR21-'NF - 5 Power Mix'!OTR22</f>
        <v>0</v>
      </c>
      <c r="OTS42" s="1046">
        <f>OTS38+((OTS40+'NF - 5 Power Mix'!OTS14+'NF - 5 Power Mix'!OTS15)*860/10)+((('Form Sa1'!OTV835)*860)/10)+('Form Sa1'!OTV814*'Form Sa1'!OTV816/10)-'NF - 5 Power Mix'!OTS21-'NF - 5 Power Mix'!OTS22</f>
        <v>0</v>
      </c>
      <c r="OTT42" s="1046">
        <f>OTT38+((OTT40+'NF - 5 Power Mix'!OTT14+'NF - 5 Power Mix'!OTT15)*860/10)+((('Form Sa1'!OTW835)*860)/10)+('Form Sa1'!OTW814*'Form Sa1'!OTW816/10)-'NF - 5 Power Mix'!OTT21-'NF - 5 Power Mix'!OTT22</f>
        <v>0</v>
      </c>
      <c r="OTU42" s="1046">
        <f>OTU38+((OTU40+'NF - 5 Power Mix'!OTU14+'NF - 5 Power Mix'!OTU15)*860/10)+((('Form Sa1'!OTX835)*860)/10)+('Form Sa1'!OTX814*'Form Sa1'!OTX816/10)-'NF - 5 Power Mix'!OTU21-'NF - 5 Power Mix'!OTU22</f>
        <v>0</v>
      </c>
      <c r="OTV42" s="1046">
        <f>OTV38+((OTV40+'NF - 5 Power Mix'!OTV14+'NF - 5 Power Mix'!OTV15)*860/10)+((('Form Sa1'!OTY835)*860)/10)+('Form Sa1'!OTY814*'Form Sa1'!OTY816/10)-'NF - 5 Power Mix'!OTV21-'NF - 5 Power Mix'!OTV22</f>
        <v>0</v>
      </c>
      <c r="OTW42" s="1046">
        <f>OTW38+((OTW40+'NF - 5 Power Mix'!OTW14+'NF - 5 Power Mix'!OTW15)*860/10)+((('Form Sa1'!OTZ835)*860)/10)+('Form Sa1'!OTZ814*'Form Sa1'!OTZ816/10)-'NF - 5 Power Mix'!OTW21-'NF - 5 Power Mix'!OTW22</f>
        <v>0</v>
      </c>
      <c r="OTX42" s="1046">
        <f>OTX38+((OTX40+'NF - 5 Power Mix'!OTX14+'NF - 5 Power Mix'!OTX15)*860/10)+((('Form Sa1'!OUA835)*860)/10)+('Form Sa1'!OUA814*'Form Sa1'!OUA816/10)-'NF - 5 Power Mix'!OTX21-'NF - 5 Power Mix'!OTX22</f>
        <v>0</v>
      </c>
      <c r="OTY42" s="1046">
        <f>OTY38+((OTY40+'NF - 5 Power Mix'!OTY14+'NF - 5 Power Mix'!OTY15)*860/10)+((('Form Sa1'!OUB835)*860)/10)+('Form Sa1'!OUB814*'Form Sa1'!OUB816/10)-'NF - 5 Power Mix'!OTY21-'NF - 5 Power Mix'!OTY22</f>
        <v>0</v>
      </c>
      <c r="OTZ42" s="1046">
        <f>OTZ38+((OTZ40+'NF - 5 Power Mix'!OTZ14+'NF - 5 Power Mix'!OTZ15)*860/10)+((('Form Sa1'!OUC835)*860)/10)+('Form Sa1'!OUC814*'Form Sa1'!OUC816/10)-'NF - 5 Power Mix'!OTZ21-'NF - 5 Power Mix'!OTZ22</f>
        <v>0</v>
      </c>
      <c r="OUA42" s="1046">
        <f>OUA38+((OUA40+'NF - 5 Power Mix'!OUA14+'NF - 5 Power Mix'!OUA15)*860/10)+((('Form Sa1'!OUD835)*860)/10)+('Form Sa1'!OUD814*'Form Sa1'!OUD816/10)-'NF - 5 Power Mix'!OUA21-'NF - 5 Power Mix'!OUA22</f>
        <v>0</v>
      </c>
      <c r="OUB42" s="1046">
        <f>OUB38+((OUB40+'NF - 5 Power Mix'!OUB14+'NF - 5 Power Mix'!OUB15)*860/10)+((('Form Sa1'!OUE835)*860)/10)+('Form Sa1'!OUE814*'Form Sa1'!OUE816/10)-'NF - 5 Power Mix'!OUB21-'NF - 5 Power Mix'!OUB22</f>
        <v>0</v>
      </c>
      <c r="OUC42" s="1046">
        <f>OUC38+((OUC40+'NF - 5 Power Mix'!OUC14+'NF - 5 Power Mix'!OUC15)*860/10)+((('Form Sa1'!OUF835)*860)/10)+('Form Sa1'!OUF814*'Form Sa1'!OUF816/10)-'NF - 5 Power Mix'!OUC21-'NF - 5 Power Mix'!OUC22</f>
        <v>0</v>
      </c>
      <c r="OUD42" s="1046">
        <f>OUD38+((OUD40+'NF - 5 Power Mix'!OUD14+'NF - 5 Power Mix'!OUD15)*860/10)+((('Form Sa1'!OUG835)*860)/10)+('Form Sa1'!OUG814*'Form Sa1'!OUG816/10)-'NF - 5 Power Mix'!OUD21-'NF - 5 Power Mix'!OUD22</f>
        <v>0</v>
      </c>
      <c r="OUE42" s="1046">
        <f>OUE38+((OUE40+'NF - 5 Power Mix'!OUE14+'NF - 5 Power Mix'!OUE15)*860/10)+((('Form Sa1'!OUH835)*860)/10)+('Form Sa1'!OUH814*'Form Sa1'!OUH816/10)-'NF - 5 Power Mix'!OUE21-'NF - 5 Power Mix'!OUE22</f>
        <v>0</v>
      </c>
      <c r="OUF42" s="1046">
        <f>OUF38+((OUF40+'NF - 5 Power Mix'!OUF14+'NF - 5 Power Mix'!OUF15)*860/10)+((('Form Sa1'!OUI835)*860)/10)+('Form Sa1'!OUI814*'Form Sa1'!OUI816/10)-'NF - 5 Power Mix'!OUF21-'NF - 5 Power Mix'!OUF22</f>
        <v>0</v>
      </c>
      <c r="OUG42" s="1046">
        <f>OUG38+((OUG40+'NF - 5 Power Mix'!OUG14+'NF - 5 Power Mix'!OUG15)*860/10)+((('Form Sa1'!OUJ835)*860)/10)+('Form Sa1'!OUJ814*'Form Sa1'!OUJ816/10)-'NF - 5 Power Mix'!OUG21-'NF - 5 Power Mix'!OUG22</f>
        <v>0</v>
      </c>
      <c r="OUH42" s="1046">
        <f>OUH38+((OUH40+'NF - 5 Power Mix'!OUH14+'NF - 5 Power Mix'!OUH15)*860/10)+((('Form Sa1'!OUK835)*860)/10)+('Form Sa1'!OUK814*'Form Sa1'!OUK816/10)-'NF - 5 Power Mix'!OUH21-'NF - 5 Power Mix'!OUH22</f>
        <v>0</v>
      </c>
      <c r="OUI42" s="1046">
        <f>OUI38+((OUI40+'NF - 5 Power Mix'!OUI14+'NF - 5 Power Mix'!OUI15)*860/10)+((('Form Sa1'!OUL835)*860)/10)+('Form Sa1'!OUL814*'Form Sa1'!OUL816/10)-'NF - 5 Power Mix'!OUI21-'NF - 5 Power Mix'!OUI22</f>
        <v>0</v>
      </c>
      <c r="OUJ42" s="1046">
        <f>OUJ38+((OUJ40+'NF - 5 Power Mix'!OUJ14+'NF - 5 Power Mix'!OUJ15)*860/10)+((('Form Sa1'!OUM835)*860)/10)+('Form Sa1'!OUM814*'Form Sa1'!OUM816/10)-'NF - 5 Power Mix'!OUJ21-'NF - 5 Power Mix'!OUJ22</f>
        <v>0</v>
      </c>
      <c r="OUK42" s="1046">
        <f>OUK38+((OUK40+'NF - 5 Power Mix'!OUK14+'NF - 5 Power Mix'!OUK15)*860/10)+((('Form Sa1'!OUN835)*860)/10)+('Form Sa1'!OUN814*'Form Sa1'!OUN816/10)-'NF - 5 Power Mix'!OUK21-'NF - 5 Power Mix'!OUK22</f>
        <v>0</v>
      </c>
      <c r="OUL42" s="1046">
        <f>OUL38+((OUL40+'NF - 5 Power Mix'!OUL14+'NF - 5 Power Mix'!OUL15)*860/10)+((('Form Sa1'!OUO835)*860)/10)+('Form Sa1'!OUO814*'Form Sa1'!OUO816/10)-'NF - 5 Power Mix'!OUL21-'NF - 5 Power Mix'!OUL22</f>
        <v>0</v>
      </c>
      <c r="OUM42" s="1046">
        <f>OUM38+((OUM40+'NF - 5 Power Mix'!OUM14+'NF - 5 Power Mix'!OUM15)*860/10)+((('Form Sa1'!OUP835)*860)/10)+('Form Sa1'!OUP814*'Form Sa1'!OUP816/10)-'NF - 5 Power Mix'!OUM21-'NF - 5 Power Mix'!OUM22</f>
        <v>0</v>
      </c>
      <c r="OUN42" s="1046">
        <f>OUN38+((OUN40+'NF - 5 Power Mix'!OUN14+'NF - 5 Power Mix'!OUN15)*860/10)+((('Form Sa1'!OUQ835)*860)/10)+('Form Sa1'!OUQ814*'Form Sa1'!OUQ816/10)-'NF - 5 Power Mix'!OUN21-'NF - 5 Power Mix'!OUN22</f>
        <v>0</v>
      </c>
      <c r="OUO42" s="1046">
        <f>OUO38+((OUO40+'NF - 5 Power Mix'!OUO14+'NF - 5 Power Mix'!OUO15)*860/10)+((('Form Sa1'!OUR835)*860)/10)+('Form Sa1'!OUR814*'Form Sa1'!OUR816/10)-'NF - 5 Power Mix'!OUO21-'NF - 5 Power Mix'!OUO22</f>
        <v>0</v>
      </c>
      <c r="OUP42" s="1046">
        <f>OUP38+((OUP40+'NF - 5 Power Mix'!OUP14+'NF - 5 Power Mix'!OUP15)*860/10)+((('Form Sa1'!OUS835)*860)/10)+('Form Sa1'!OUS814*'Form Sa1'!OUS816/10)-'NF - 5 Power Mix'!OUP21-'NF - 5 Power Mix'!OUP22</f>
        <v>0</v>
      </c>
      <c r="OUQ42" s="1046">
        <f>OUQ38+((OUQ40+'NF - 5 Power Mix'!OUQ14+'NF - 5 Power Mix'!OUQ15)*860/10)+((('Form Sa1'!OUT835)*860)/10)+('Form Sa1'!OUT814*'Form Sa1'!OUT816/10)-'NF - 5 Power Mix'!OUQ21-'NF - 5 Power Mix'!OUQ22</f>
        <v>0</v>
      </c>
      <c r="OUR42" s="1046">
        <f>OUR38+((OUR40+'NF - 5 Power Mix'!OUR14+'NF - 5 Power Mix'!OUR15)*860/10)+((('Form Sa1'!OUU835)*860)/10)+('Form Sa1'!OUU814*'Form Sa1'!OUU816/10)-'NF - 5 Power Mix'!OUR21-'NF - 5 Power Mix'!OUR22</f>
        <v>0</v>
      </c>
      <c r="OUS42" s="1046">
        <f>OUS38+((OUS40+'NF - 5 Power Mix'!OUS14+'NF - 5 Power Mix'!OUS15)*860/10)+((('Form Sa1'!OUV835)*860)/10)+('Form Sa1'!OUV814*'Form Sa1'!OUV816/10)-'NF - 5 Power Mix'!OUS21-'NF - 5 Power Mix'!OUS22</f>
        <v>0</v>
      </c>
      <c r="OUT42" s="1046">
        <f>OUT38+((OUT40+'NF - 5 Power Mix'!OUT14+'NF - 5 Power Mix'!OUT15)*860/10)+((('Form Sa1'!OUW835)*860)/10)+('Form Sa1'!OUW814*'Form Sa1'!OUW816/10)-'NF - 5 Power Mix'!OUT21-'NF - 5 Power Mix'!OUT22</f>
        <v>0</v>
      </c>
      <c r="OUU42" s="1046">
        <f>OUU38+((OUU40+'NF - 5 Power Mix'!OUU14+'NF - 5 Power Mix'!OUU15)*860/10)+((('Form Sa1'!OUX835)*860)/10)+('Form Sa1'!OUX814*'Form Sa1'!OUX816/10)-'NF - 5 Power Mix'!OUU21-'NF - 5 Power Mix'!OUU22</f>
        <v>0</v>
      </c>
      <c r="OUV42" s="1046">
        <f>OUV38+((OUV40+'NF - 5 Power Mix'!OUV14+'NF - 5 Power Mix'!OUV15)*860/10)+((('Form Sa1'!OUY835)*860)/10)+('Form Sa1'!OUY814*'Form Sa1'!OUY816/10)-'NF - 5 Power Mix'!OUV21-'NF - 5 Power Mix'!OUV22</f>
        <v>0</v>
      </c>
      <c r="OUW42" s="1046">
        <f>OUW38+((OUW40+'NF - 5 Power Mix'!OUW14+'NF - 5 Power Mix'!OUW15)*860/10)+((('Form Sa1'!OUZ835)*860)/10)+('Form Sa1'!OUZ814*'Form Sa1'!OUZ816/10)-'NF - 5 Power Mix'!OUW21-'NF - 5 Power Mix'!OUW22</f>
        <v>0</v>
      </c>
      <c r="OUX42" s="1046">
        <f>OUX38+((OUX40+'NF - 5 Power Mix'!OUX14+'NF - 5 Power Mix'!OUX15)*860/10)+((('Form Sa1'!OVA835)*860)/10)+('Form Sa1'!OVA814*'Form Sa1'!OVA816/10)-'NF - 5 Power Mix'!OUX21-'NF - 5 Power Mix'!OUX22</f>
        <v>0</v>
      </c>
      <c r="OUY42" s="1046">
        <f>OUY38+((OUY40+'NF - 5 Power Mix'!OUY14+'NF - 5 Power Mix'!OUY15)*860/10)+((('Form Sa1'!OVB835)*860)/10)+('Form Sa1'!OVB814*'Form Sa1'!OVB816/10)-'NF - 5 Power Mix'!OUY21-'NF - 5 Power Mix'!OUY22</f>
        <v>0</v>
      </c>
      <c r="OUZ42" s="1046">
        <f>OUZ38+((OUZ40+'NF - 5 Power Mix'!OUZ14+'NF - 5 Power Mix'!OUZ15)*860/10)+((('Form Sa1'!OVC835)*860)/10)+('Form Sa1'!OVC814*'Form Sa1'!OVC816/10)-'NF - 5 Power Mix'!OUZ21-'NF - 5 Power Mix'!OUZ22</f>
        <v>0</v>
      </c>
      <c r="OVA42" s="1046">
        <f>OVA38+((OVA40+'NF - 5 Power Mix'!OVA14+'NF - 5 Power Mix'!OVA15)*860/10)+((('Form Sa1'!OVD835)*860)/10)+('Form Sa1'!OVD814*'Form Sa1'!OVD816/10)-'NF - 5 Power Mix'!OVA21-'NF - 5 Power Mix'!OVA22</f>
        <v>0</v>
      </c>
      <c r="OVB42" s="1046">
        <f>OVB38+((OVB40+'NF - 5 Power Mix'!OVB14+'NF - 5 Power Mix'!OVB15)*860/10)+((('Form Sa1'!OVE835)*860)/10)+('Form Sa1'!OVE814*'Form Sa1'!OVE816/10)-'NF - 5 Power Mix'!OVB21-'NF - 5 Power Mix'!OVB22</f>
        <v>0</v>
      </c>
      <c r="OVC42" s="1046">
        <f>OVC38+((OVC40+'NF - 5 Power Mix'!OVC14+'NF - 5 Power Mix'!OVC15)*860/10)+((('Form Sa1'!OVF835)*860)/10)+('Form Sa1'!OVF814*'Form Sa1'!OVF816/10)-'NF - 5 Power Mix'!OVC21-'NF - 5 Power Mix'!OVC22</f>
        <v>0</v>
      </c>
      <c r="OVD42" s="1046">
        <f>OVD38+((OVD40+'NF - 5 Power Mix'!OVD14+'NF - 5 Power Mix'!OVD15)*860/10)+((('Form Sa1'!OVG835)*860)/10)+('Form Sa1'!OVG814*'Form Sa1'!OVG816/10)-'NF - 5 Power Mix'!OVD21-'NF - 5 Power Mix'!OVD22</f>
        <v>0</v>
      </c>
      <c r="OVE42" s="1046">
        <f>OVE38+((OVE40+'NF - 5 Power Mix'!OVE14+'NF - 5 Power Mix'!OVE15)*860/10)+((('Form Sa1'!OVH835)*860)/10)+('Form Sa1'!OVH814*'Form Sa1'!OVH816/10)-'NF - 5 Power Mix'!OVE21-'NF - 5 Power Mix'!OVE22</f>
        <v>0</v>
      </c>
      <c r="OVF42" s="1046">
        <f>OVF38+((OVF40+'NF - 5 Power Mix'!OVF14+'NF - 5 Power Mix'!OVF15)*860/10)+((('Form Sa1'!OVI835)*860)/10)+('Form Sa1'!OVI814*'Form Sa1'!OVI816/10)-'NF - 5 Power Mix'!OVF21-'NF - 5 Power Mix'!OVF22</f>
        <v>0</v>
      </c>
      <c r="OVG42" s="1046">
        <f>OVG38+((OVG40+'NF - 5 Power Mix'!OVG14+'NF - 5 Power Mix'!OVG15)*860/10)+((('Form Sa1'!OVJ835)*860)/10)+('Form Sa1'!OVJ814*'Form Sa1'!OVJ816/10)-'NF - 5 Power Mix'!OVG21-'NF - 5 Power Mix'!OVG22</f>
        <v>0</v>
      </c>
      <c r="OVH42" s="1046">
        <f>OVH38+((OVH40+'NF - 5 Power Mix'!OVH14+'NF - 5 Power Mix'!OVH15)*860/10)+((('Form Sa1'!OVK835)*860)/10)+('Form Sa1'!OVK814*'Form Sa1'!OVK816/10)-'NF - 5 Power Mix'!OVH21-'NF - 5 Power Mix'!OVH22</f>
        <v>0</v>
      </c>
      <c r="OVI42" s="1046">
        <f>OVI38+((OVI40+'NF - 5 Power Mix'!OVI14+'NF - 5 Power Mix'!OVI15)*860/10)+((('Form Sa1'!OVL835)*860)/10)+('Form Sa1'!OVL814*'Form Sa1'!OVL816/10)-'NF - 5 Power Mix'!OVI21-'NF - 5 Power Mix'!OVI22</f>
        <v>0</v>
      </c>
      <c r="OVJ42" s="1046">
        <f>OVJ38+((OVJ40+'NF - 5 Power Mix'!OVJ14+'NF - 5 Power Mix'!OVJ15)*860/10)+((('Form Sa1'!OVM835)*860)/10)+('Form Sa1'!OVM814*'Form Sa1'!OVM816/10)-'NF - 5 Power Mix'!OVJ21-'NF - 5 Power Mix'!OVJ22</f>
        <v>0</v>
      </c>
      <c r="OVK42" s="1046">
        <f>OVK38+((OVK40+'NF - 5 Power Mix'!OVK14+'NF - 5 Power Mix'!OVK15)*860/10)+((('Form Sa1'!OVN835)*860)/10)+('Form Sa1'!OVN814*'Form Sa1'!OVN816/10)-'NF - 5 Power Mix'!OVK21-'NF - 5 Power Mix'!OVK22</f>
        <v>0</v>
      </c>
      <c r="OVL42" s="1046">
        <f>OVL38+((OVL40+'NF - 5 Power Mix'!OVL14+'NF - 5 Power Mix'!OVL15)*860/10)+((('Form Sa1'!OVO835)*860)/10)+('Form Sa1'!OVO814*'Form Sa1'!OVO816/10)-'NF - 5 Power Mix'!OVL21-'NF - 5 Power Mix'!OVL22</f>
        <v>0</v>
      </c>
      <c r="OVM42" s="1046">
        <f>OVM38+((OVM40+'NF - 5 Power Mix'!OVM14+'NF - 5 Power Mix'!OVM15)*860/10)+((('Form Sa1'!OVP835)*860)/10)+('Form Sa1'!OVP814*'Form Sa1'!OVP816/10)-'NF - 5 Power Mix'!OVM21-'NF - 5 Power Mix'!OVM22</f>
        <v>0</v>
      </c>
      <c r="OVN42" s="1046">
        <f>OVN38+((OVN40+'NF - 5 Power Mix'!OVN14+'NF - 5 Power Mix'!OVN15)*860/10)+((('Form Sa1'!OVQ835)*860)/10)+('Form Sa1'!OVQ814*'Form Sa1'!OVQ816/10)-'NF - 5 Power Mix'!OVN21-'NF - 5 Power Mix'!OVN22</f>
        <v>0</v>
      </c>
      <c r="OVO42" s="1046">
        <f>OVO38+((OVO40+'NF - 5 Power Mix'!OVO14+'NF - 5 Power Mix'!OVO15)*860/10)+((('Form Sa1'!OVR835)*860)/10)+('Form Sa1'!OVR814*'Form Sa1'!OVR816/10)-'NF - 5 Power Mix'!OVO21-'NF - 5 Power Mix'!OVO22</f>
        <v>0</v>
      </c>
      <c r="OVP42" s="1046">
        <f>OVP38+((OVP40+'NF - 5 Power Mix'!OVP14+'NF - 5 Power Mix'!OVP15)*860/10)+((('Form Sa1'!OVS835)*860)/10)+('Form Sa1'!OVS814*'Form Sa1'!OVS816/10)-'NF - 5 Power Mix'!OVP21-'NF - 5 Power Mix'!OVP22</f>
        <v>0</v>
      </c>
      <c r="OVQ42" s="1046">
        <f>OVQ38+((OVQ40+'NF - 5 Power Mix'!OVQ14+'NF - 5 Power Mix'!OVQ15)*860/10)+((('Form Sa1'!OVT835)*860)/10)+('Form Sa1'!OVT814*'Form Sa1'!OVT816/10)-'NF - 5 Power Mix'!OVQ21-'NF - 5 Power Mix'!OVQ22</f>
        <v>0</v>
      </c>
      <c r="OVR42" s="1046">
        <f>OVR38+((OVR40+'NF - 5 Power Mix'!OVR14+'NF - 5 Power Mix'!OVR15)*860/10)+((('Form Sa1'!OVU835)*860)/10)+('Form Sa1'!OVU814*'Form Sa1'!OVU816/10)-'NF - 5 Power Mix'!OVR21-'NF - 5 Power Mix'!OVR22</f>
        <v>0</v>
      </c>
      <c r="OVS42" s="1046">
        <f>OVS38+((OVS40+'NF - 5 Power Mix'!OVS14+'NF - 5 Power Mix'!OVS15)*860/10)+((('Form Sa1'!OVV835)*860)/10)+('Form Sa1'!OVV814*'Form Sa1'!OVV816/10)-'NF - 5 Power Mix'!OVS21-'NF - 5 Power Mix'!OVS22</f>
        <v>0</v>
      </c>
      <c r="OVT42" s="1046">
        <f>OVT38+((OVT40+'NF - 5 Power Mix'!OVT14+'NF - 5 Power Mix'!OVT15)*860/10)+((('Form Sa1'!OVW835)*860)/10)+('Form Sa1'!OVW814*'Form Sa1'!OVW816/10)-'NF - 5 Power Mix'!OVT21-'NF - 5 Power Mix'!OVT22</f>
        <v>0</v>
      </c>
      <c r="OVU42" s="1046">
        <f>OVU38+((OVU40+'NF - 5 Power Mix'!OVU14+'NF - 5 Power Mix'!OVU15)*860/10)+((('Form Sa1'!OVX835)*860)/10)+('Form Sa1'!OVX814*'Form Sa1'!OVX816/10)-'NF - 5 Power Mix'!OVU21-'NF - 5 Power Mix'!OVU22</f>
        <v>0</v>
      </c>
      <c r="OVV42" s="1046">
        <f>OVV38+((OVV40+'NF - 5 Power Mix'!OVV14+'NF - 5 Power Mix'!OVV15)*860/10)+((('Form Sa1'!OVY835)*860)/10)+('Form Sa1'!OVY814*'Form Sa1'!OVY816/10)-'NF - 5 Power Mix'!OVV21-'NF - 5 Power Mix'!OVV22</f>
        <v>0</v>
      </c>
      <c r="OVW42" s="1046">
        <f>OVW38+((OVW40+'NF - 5 Power Mix'!OVW14+'NF - 5 Power Mix'!OVW15)*860/10)+((('Form Sa1'!OVZ835)*860)/10)+('Form Sa1'!OVZ814*'Form Sa1'!OVZ816/10)-'NF - 5 Power Mix'!OVW21-'NF - 5 Power Mix'!OVW22</f>
        <v>0</v>
      </c>
      <c r="OVX42" s="1046">
        <f>OVX38+((OVX40+'NF - 5 Power Mix'!OVX14+'NF - 5 Power Mix'!OVX15)*860/10)+((('Form Sa1'!OWA835)*860)/10)+('Form Sa1'!OWA814*'Form Sa1'!OWA816/10)-'NF - 5 Power Mix'!OVX21-'NF - 5 Power Mix'!OVX22</f>
        <v>0</v>
      </c>
      <c r="OVY42" s="1046">
        <f>OVY38+((OVY40+'NF - 5 Power Mix'!OVY14+'NF - 5 Power Mix'!OVY15)*860/10)+((('Form Sa1'!OWB835)*860)/10)+('Form Sa1'!OWB814*'Form Sa1'!OWB816/10)-'NF - 5 Power Mix'!OVY21-'NF - 5 Power Mix'!OVY22</f>
        <v>0</v>
      </c>
      <c r="OVZ42" s="1046">
        <f>OVZ38+((OVZ40+'NF - 5 Power Mix'!OVZ14+'NF - 5 Power Mix'!OVZ15)*860/10)+((('Form Sa1'!OWC835)*860)/10)+('Form Sa1'!OWC814*'Form Sa1'!OWC816/10)-'NF - 5 Power Mix'!OVZ21-'NF - 5 Power Mix'!OVZ22</f>
        <v>0</v>
      </c>
      <c r="OWA42" s="1046">
        <f>OWA38+((OWA40+'NF - 5 Power Mix'!OWA14+'NF - 5 Power Mix'!OWA15)*860/10)+((('Form Sa1'!OWD835)*860)/10)+('Form Sa1'!OWD814*'Form Sa1'!OWD816/10)-'NF - 5 Power Mix'!OWA21-'NF - 5 Power Mix'!OWA22</f>
        <v>0</v>
      </c>
      <c r="OWB42" s="1046">
        <f>OWB38+((OWB40+'NF - 5 Power Mix'!OWB14+'NF - 5 Power Mix'!OWB15)*860/10)+((('Form Sa1'!OWE835)*860)/10)+('Form Sa1'!OWE814*'Form Sa1'!OWE816/10)-'NF - 5 Power Mix'!OWB21-'NF - 5 Power Mix'!OWB22</f>
        <v>0</v>
      </c>
      <c r="OWC42" s="1046">
        <f>OWC38+((OWC40+'NF - 5 Power Mix'!OWC14+'NF - 5 Power Mix'!OWC15)*860/10)+((('Form Sa1'!OWF835)*860)/10)+('Form Sa1'!OWF814*'Form Sa1'!OWF816/10)-'NF - 5 Power Mix'!OWC21-'NF - 5 Power Mix'!OWC22</f>
        <v>0</v>
      </c>
      <c r="OWD42" s="1046">
        <f>OWD38+((OWD40+'NF - 5 Power Mix'!OWD14+'NF - 5 Power Mix'!OWD15)*860/10)+((('Form Sa1'!OWG835)*860)/10)+('Form Sa1'!OWG814*'Form Sa1'!OWG816/10)-'NF - 5 Power Mix'!OWD21-'NF - 5 Power Mix'!OWD22</f>
        <v>0</v>
      </c>
      <c r="OWE42" s="1046">
        <f>OWE38+((OWE40+'NF - 5 Power Mix'!OWE14+'NF - 5 Power Mix'!OWE15)*860/10)+((('Form Sa1'!OWH835)*860)/10)+('Form Sa1'!OWH814*'Form Sa1'!OWH816/10)-'NF - 5 Power Mix'!OWE21-'NF - 5 Power Mix'!OWE22</f>
        <v>0</v>
      </c>
      <c r="OWF42" s="1046">
        <f>OWF38+((OWF40+'NF - 5 Power Mix'!OWF14+'NF - 5 Power Mix'!OWF15)*860/10)+((('Form Sa1'!OWI835)*860)/10)+('Form Sa1'!OWI814*'Form Sa1'!OWI816/10)-'NF - 5 Power Mix'!OWF21-'NF - 5 Power Mix'!OWF22</f>
        <v>0</v>
      </c>
      <c r="OWG42" s="1046">
        <f>OWG38+((OWG40+'NF - 5 Power Mix'!OWG14+'NF - 5 Power Mix'!OWG15)*860/10)+((('Form Sa1'!OWJ835)*860)/10)+('Form Sa1'!OWJ814*'Form Sa1'!OWJ816/10)-'NF - 5 Power Mix'!OWG21-'NF - 5 Power Mix'!OWG22</f>
        <v>0</v>
      </c>
      <c r="OWH42" s="1046">
        <f>OWH38+((OWH40+'NF - 5 Power Mix'!OWH14+'NF - 5 Power Mix'!OWH15)*860/10)+((('Form Sa1'!OWK835)*860)/10)+('Form Sa1'!OWK814*'Form Sa1'!OWK816/10)-'NF - 5 Power Mix'!OWH21-'NF - 5 Power Mix'!OWH22</f>
        <v>0</v>
      </c>
      <c r="OWI42" s="1046">
        <f>OWI38+((OWI40+'NF - 5 Power Mix'!OWI14+'NF - 5 Power Mix'!OWI15)*860/10)+((('Form Sa1'!OWL835)*860)/10)+('Form Sa1'!OWL814*'Form Sa1'!OWL816/10)-'NF - 5 Power Mix'!OWI21-'NF - 5 Power Mix'!OWI22</f>
        <v>0</v>
      </c>
      <c r="OWJ42" s="1046">
        <f>OWJ38+((OWJ40+'NF - 5 Power Mix'!OWJ14+'NF - 5 Power Mix'!OWJ15)*860/10)+((('Form Sa1'!OWM835)*860)/10)+('Form Sa1'!OWM814*'Form Sa1'!OWM816/10)-'NF - 5 Power Mix'!OWJ21-'NF - 5 Power Mix'!OWJ22</f>
        <v>0</v>
      </c>
      <c r="OWK42" s="1046">
        <f>OWK38+((OWK40+'NF - 5 Power Mix'!OWK14+'NF - 5 Power Mix'!OWK15)*860/10)+((('Form Sa1'!OWN835)*860)/10)+('Form Sa1'!OWN814*'Form Sa1'!OWN816/10)-'NF - 5 Power Mix'!OWK21-'NF - 5 Power Mix'!OWK22</f>
        <v>0</v>
      </c>
      <c r="OWL42" s="1046">
        <f>OWL38+((OWL40+'NF - 5 Power Mix'!OWL14+'NF - 5 Power Mix'!OWL15)*860/10)+((('Form Sa1'!OWO835)*860)/10)+('Form Sa1'!OWO814*'Form Sa1'!OWO816/10)-'NF - 5 Power Mix'!OWL21-'NF - 5 Power Mix'!OWL22</f>
        <v>0</v>
      </c>
      <c r="OWM42" s="1046">
        <f>OWM38+((OWM40+'NF - 5 Power Mix'!OWM14+'NF - 5 Power Mix'!OWM15)*860/10)+((('Form Sa1'!OWP835)*860)/10)+('Form Sa1'!OWP814*'Form Sa1'!OWP816/10)-'NF - 5 Power Mix'!OWM21-'NF - 5 Power Mix'!OWM22</f>
        <v>0</v>
      </c>
      <c r="OWN42" s="1046">
        <f>OWN38+((OWN40+'NF - 5 Power Mix'!OWN14+'NF - 5 Power Mix'!OWN15)*860/10)+((('Form Sa1'!OWQ835)*860)/10)+('Form Sa1'!OWQ814*'Form Sa1'!OWQ816/10)-'NF - 5 Power Mix'!OWN21-'NF - 5 Power Mix'!OWN22</f>
        <v>0</v>
      </c>
      <c r="OWO42" s="1046">
        <f>OWO38+((OWO40+'NF - 5 Power Mix'!OWO14+'NF - 5 Power Mix'!OWO15)*860/10)+((('Form Sa1'!OWR835)*860)/10)+('Form Sa1'!OWR814*'Form Sa1'!OWR816/10)-'NF - 5 Power Mix'!OWO21-'NF - 5 Power Mix'!OWO22</f>
        <v>0</v>
      </c>
      <c r="OWP42" s="1046">
        <f>OWP38+((OWP40+'NF - 5 Power Mix'!OWP14+'NF - 5 Power Mix'!OWP15)*860/10)+((('Form Sa1'!OWS835)*860)/10)+('Form Sa1'!OWS814*'Form Sa1'!OWS816/10)-'NF - 5 Power Mix'!OWP21-'NF - 5 Power Mix'!OWP22</f>
        <v>0</v>
      </c>
      <c r="OWQ42" s="1046">
        <f>OWQ38+((OWQ40+'NF - 5 Power Mix'!OWQ14+'NF - 5 Power Mix'!OWQ15)*860/10)+((('Form Sa1'!OWT835)*860)/10)+('Form Sa1'!OWT814*'Form Sa1'!OWT816/10)-'NF - 5 Power Mix'!OWQ21-'NF - 5 Power Mix'!OWQ22</f>
        <v>0</v>
      </c>
      <c r="OWR42" s="1046">
        <f>OWR38+((OWR40+'NF - 5 Power Mix'!OWR14+'NF - 5 Power Mix'!OWR15)*860/10)+((('Form Sa1'!OWU835)*860)/10)+('Form Sa1'!OWU814*'Form Sa1'!OWU816/10)-'NF - 5 Power Mix'!OWR21-'NF - 5 Power Mix'!OWR22</f>
        <v>0</v>
      </c>
      <c r="OWS42" s="1046">
        <f>OWS38+((OWS40+'NF - 5 Power Mix'!OWS14+'NF - 5 Power Mix'!OWS15)*860/10)+((('Form Sa1'!OWV835)*860)/10)+('Form Sa1'!OWV814*'Form Sa1'!OWV816/10)-'NF - 5 Power Mix'!OWS21-'NF - 5 Power Mix'!OWS22</f>
        <v>0</v>
      </c>
      <c r="OWT42" s="1046">
        <f>OWT38+((OWT40+'NF - 5 Power Mix'!OWT14+'NF - 5 Power Mix'!OWT15)*860/10)+((('Form Sa1'!OWW835)*860)/10)+('Form Sa1'!OWW814*'Form Sa1'!OWW816/10)-'NF - 5 Power Mix'!OWT21-'NF - 5 Power Mix'!OWT22</f>
        <v>0</v>
      </c>
      <c r="OWU42" s="1046">
        <f>OWU38+((OWU40+'NF - 5 Power Mix'!OWU14+'NF - 5 Power Mix'!OWU15)*860/10)+((('Form Sa1'!OWX835)*860)/10)+('Form Sa1'!OWX814*'Form Sa1'!OWX816/10)-'NF - 5 Power Mix'!OWU21-'NF - 5 Power Mix'!OWU22</f>
        <v>0</v>
      </c>
      <c r="OWV42" s="1046">
        <f>OWV38+((OWV40+'NF - 5 Power Mix'!OWV14+'NF - 5 Power Mix'!OWV15)*860/10)+((('Form Sa1'!OWY835)*860)/10)+('Form Sa1'!OWY814*'Form Sa1'!OWY816/10)-'NF - 5 Power Mix'!OWV21-'NF - 5 Power Mix'!OWV22</f>
        <v>0</v>
      </c>
      <c r="OWW42" s="1046">
        <f>OWW38+((OWW40+'NF - 5 Power Mix'!OWW14+'NF - 5 Power Mix'!OWW15)*860/10)+((('Form Sa1'!OWZ835)*860)/10)+('Form Sa1'!OWZ814*'Form Sa1'!OWZ816/10)-'NF - 5 Power Mix'!OWW21-'NF - 5 Power Mix'!OWW22</f>
        <v>0</v>
      </c>
      <c r="OWX42" s="1046">
        <f>OWX38+((OWX40+'NF - 5 Power Mix'!OWX14+'NF - 5 Power Mix'!OWX15)*860/10)+((('Form Sa1'!OXA835)*860)/10)+('Form Sa1'!OXA814*'Form Sa1'!OXA816/10)-'NF - 5 Power Mix'!OWX21-'NF - 5 Power Mix'!OWX22</f>
        <v>0</v>
      </c>
      <c r="OWY42" s="1046">
        <f>OWY38+((OWY40+'NF - 5 Power Mix'!OWY14+'NF - 5 Power Mix'!OWY15)*860/10)+((('Form Sa1'!OXB835)*860)/10)+('Form Sa1'!OXB814*'Form Sa1'!OXB816/10)-'NF - 5 Power Mix'!OWY21-'NF - 5 Power Mix'!OWY22</f>
        <v>0</v>
      </c>
      <c r="OWZ42" s="1046">
        <f>OWZ38+((OWZ40+'NF - 5 Power Mix'!OWZ14+'NF - 5 Power Mix'!OWZ15)*860/10)+((('Form Sa1'!OXC835)*860)/10)+('Form Sa1'!OXC814*'Form Sa1'!OXC816/10)-'NF - 5 Power Mix'!OWZ21-'NF - 5 Power Mix'!OWZ22</f>
        <v>0</v>
      </c>
      <c r="OXA42" s="1046">
        <f>OXA38+((OXA40+'NF - 5 Power Mix'!OXA14+'NF - 5 Power Mix'!OXA15)*860/10)+((('Form Sa1'!OXD835)*860)/10)+('Form Sa1'!OXD814*'Form Sa1'!OXD816/10)-'NF - 5 Power Mix'!OXA21-'NF - 5 Power Mix'!OXA22</f>
        <v>0</v>
      </c>
      <c r="OXB42" s="1046">
        <f>OXB38+((OXB40+'NF - 5 Power Mix'!OXB14+'NF - 5 Power Mix'!OXB15)*860/10)+((('Form Sa1'!OXE835)*860)/10)+('Form Sa1'!OXE814*'Form Sa1'!OXE816/10)-'NF - 5 Power Mix'!OXB21-'NF - 5 Power Mix'!OXB22</f>
        <v>0</v>
      </c>
      <c r="OXC42" s="1046">
        <f>OXC38+((OXC40+'NF - 5 Power Mix'!OXC14+'NF - 5 Power Mix'!OXC15)*860/10)+((('Form Sa1'!OXF835)*860)/10)+('Form Sa1'!OXF814*'Form Sa1'!OXF816/10)-'NF - 5 Power Mix'!OXC21-'NF - 5 Power Mix'!OXC22</f>
        <v>0</v>
      </c>
      <c r="OXD42" s="1046">
        <f>OXD38+((OXD40+'NF - 5 Power Mix'!OXD14+'NF - 5 Power Mix'!OXD15)*860/10)+((('Form Sa1'!OXG835)*860)/10)+('Form Sa1'!OXG814*'Form Sa1'!OXG816/10)-'NF - 5 Power Mix'!OXD21-'NF - 5 Power Mix'!OXD22</f>
        <v>0</v>
      </c>
      <c r="OXE42" s="1046">
        <f>OXE38+((OXE40+'NF - 5 Power Mix'!OXE14+'NF - 5 Power Mix'!OXE15)*860/10)+((('Form Sa1'!OXH835)*860)/10)+('Form Sa1'!OXH814*'Form Sa1'!OXH816/10)-'NF - 5 Power Mix'!OXE21-'NF - 5 Power Mix'!OXE22</f>
        <v>0</v>
      </c>
      <c r="OXF42" s="1046">
        <f>OXF38+((OXF40+'NF - 5 Power Mix'!OXF14+'NF - 5 Power Mix'!OXF15)*860/10)+((('Form Sa1'!OXI835)*860)/10)+('Form Sa1'!OXI814*'Form Sa1'!OXI816/10)-'NF - 5 Power Mix'!OXF21-'NF - 5 Power Mix'!OXF22</f>
        <v>0</v>
      </c>
      <c r="OXG42" s="1046">
        <f>OXG38+((OXG40+'NF - 5 Power Mix'!OXG14+'NF - 5 Power Mix'!OXG15)*860/10)+((('Form Sa1'!OXJ835)*860)/10)+('Form Sa1'!OXJ814*'Form Sa1'!OXJ816/10)-'NF - 5 Power Mix'!OXG21-'NF - 5 Power Mix'!OXG22</f>
        <v>0</v>
      </c>
      <c r="OXH42" s="1046">
        <f>OXH38+((OXH40+'NF - 5 Power Mix'!OXH14+'NF - 5 Power Mix'!OXH15)*860/10)+((('Form Sa1'!OXK835)*860)/10)+('Form Sa1'!OXK814*'Form Sa1'!OXK816/10)-'NF - 5 Power Mix'!OXH21-'NF - 5 Power Mix'!OXH22</f>
        <v>0</v>
      </c>
      <c r="OXI42" s="1046">
        <f>OXI38+((OXI40+'NF - 5 Power Mix'!OXI14+'NF - 5 Power Mix'!OXI15)*860/10)+((('Form Sa1'!OXL835)*860)/10)+('Form Sa1'!OXL814*'Form Sa1'!OXL816/10)-'NF - 5 Power Mix'!OXI21-'NF - 5 Power Mix'!OXI22</f>
        <v>0</v>
      </c>
      <c r="OXJ42" s="1046">
        <f>OXJ38+((OXJ40+'NF - 5 Power Mix'!OXJ14+'NF - 5 Power Mix'!OXJ15)*860/10)+((('Form Sa1'!OXM835)*860)/10)+('Form Sa1'!OXM814*'Form Sa1'!OXM816/10)-'NF - 5 Power Mix'!OXJ21-'NF - 5 Power Mix'!OXJ22</f>
        <v>0</v>
      </c>
      <c r="OXK42" s="1046">
        <f>OXK38+((OXK40+'NF - 5 Power Mix'!OXK14+'NF - 5 Power Mix'!OXK15)*860/10)+((('Form Sa1'!OXN835)*860)/10)+('Form Sa1'!OXN814*'Form Sa1'!OXN816/10)-'NF - 5 Power Mix'!OXK21-'NF - 5 Power Mix'!OXK22</f>
        <v>0</v>
      </c>
      <c r="OXL42" s="1046">
        <f>OXL38+((OXL40+'NF - 5 Power Mix'!OXL14+'NF - 5 Power Mix'!OXL15)*860/10)+((('Form Sa1'!OXO835)*860)/10)+('Form Sa1'!OXO814*'Form Sa1'!OXO816/10)-'NF - 5 Power Mix'!OXL21-'NF - 5 Power Mix'!OXL22</f>
        <v>0</v>
      </c>
      <c r="OXM42" s="1046">
        <f>OXM38+((OXM40+'NF - 5 Power Mix'!OXM14+'NF - 5 Power Mix'!OXM15)*860/10)+((('Form Sa1'!OXP835)*860)/10)+('Form Sa1'!OXP814*'Form Sa1'!OXP816/10)-'NF - 5 Power Mix'!OXM21-'NF - 5 Power Mix'!OXM22</f>
        <v>0</v>
      </c>
      <c r="OXN42" s="1046">
        <f>OXN38+((OXN40+'NF - 5 Power Mix'!OXN14+'NF - 5 Power Mix'!OXN15)*860/10)+((('Form Sa1'!OXQ835)*860)/10)+('Form Sa1'!OXQ814*'Form Sa1'!OXQ816/10)-'NF - 5 Power Mix'!OXN21-'NF - 5 Power Mix'!OXN22</f>
        <v>0</v>
      </c>
      <c r="OXO42" s="1046">
        <f>OXO38+((OXO40+'NF - 5 Power Mix'!OXO14+'NF - 5 Power Mix'!OXO15)*860/10)+((('Form Sa1'!OXR835)*860)/10)+('Form Sa1'!OXR814*'Form Sa1'!OXR816/10)-'NF - 5 Power Mix'!OXO21-'NF - 5 Power Mix'!OXO22</f>
        <v>0</v>
      </c>
      <c r="OXP42" s="1046">
        <f>OXP38+((OXP40+'NF - 5 Power Mix'!OXP14+'NF - 5 Power Mix'!OXP15)*860/10)+((('Form Sa1'!OXS835)*860)/10)+('Form Sa1'!OXS814*'Form Sa1'!OXS816/10)-'NF - 5 Power Mix'!OXP21-'NF - 5 Power Mix'!OXP22</f>
        <v>0</v>
      </c>
      <c r="OXQ42" s="1046">
        <f>OXQ38+((OXQ40+'NF - 5 Power Mix'!OXQ14+'NF - 5 Power Mix'!OXQ15)*860/10)+((('Form Sa1'!OXT835)*860)/10)+('Form Sa1'!OXT814*'Form Sa1'!OXT816/10)-'NF - 5 Power Mix'!OXQ21-'NF - 5 Power Mix'!OXQ22</f>
        <v>0</v>
      </c>
      <c r="OXR42" s="1046">
        <f>OXR38+((OXR40+'NF - 5 Power Mix'!OXR14+'NF - 5 Power Mix'!OXR15)*860/10)+((('Form Sa1'!OXU835)*860)/10)+('Form Sa1'!OXU814*'Form Sa1'!OXU816/10)-'NF - 5 Power Mix'!OXR21-'NF - 5 Power Mix'!OXR22</f>
        <v>0</v>
      </c>
      <c r="OXS42" s="1046">
        <f>OXS38+((OXS40+'NF - 5 Power Mix'!OXS14+'NF - 5 Power Mix'!OXS15)*860/10)+((('Form Sa1'!OXV835)*860)/10)+('Form Sa1'!OXV814*'Form Sa1'!OXV816/10)-'NF - 5 Power Mix'!OXS21-'NF - 5 Power Mix'!OXS22</f>
        <v>0</v>
      </c>
      <c r="OXT42" s="1046">
        <f>OXT38+((OXT40+'NF - 5 Power Mix'!OXT14+'NF - 5 Power Mix'!OXT15)*860/10)+((('Form Sa1'!OXW835)*860)/10)+('Form Sa1'!OXW814*'Form Sa1'!OXW816/10)-'NF - 5 Power Mix'!OXT21-'NF - 5 Power Mix'!OXT22</f>
        <v>0</v>
      </c>
      <c r="OXU42" s="1046">
        <f>OXU38+((OXU40+'NF - 5 Power Mix'!OXU14+'NF - 5 Power Mix'!OXU15)*860/10)+((('Form Sa1'!OXX835)*860)/10)+('Form Sa1'!OXX814*'Form Sa1'!OXX816/10)-'NF - 5 Power Mix'!OXU21-'NF - 5 Power Mix'!OXU22</f>
        <v>0</v>
      </c>
      <c r="OXV42" s="1046">
        <f>OXV38+((OXV40+'NF - 5 Power Mix'!OXV14+'NF - 5 Power Mix'!OXV15)*860/10)+((('Form Sa1'!OXY835)*860)/10)+('Form Sa1'!OXY814*'Form Sa1'!OXY816/10)-'NF - 5 Power Mix'!OXV21-'NF - 5 Power Mix'!OXV22</f>
        <v>0</v>
      </c>
      <c r="OXW42" s="1046">
        <f>OXW38+((OXW40+'NF - 5 Power Mix'!OXW14+'NF - 5 Power Mix'!OXW15)*860/10)+((('Form Sa1'!OXZ835)*860)/10)+('Form Sa1'!OXZ814*'Form Sa1'!OXZ816/10)-'NF - 5 Power Mix'!OXW21-'NF - 5 Power Mix'!OXW22</f>
        <v>0</v>
      </c>
      <c r="OXX42" s="1046">
        <f>OXX38+((OXX40+'NF - 5 Power Mix'!OXX14+'NF - 5 Power Mix'!OXX15)*860/10)+((('Form Sa1'!OYA835)*860)/10)+('Form Sa1'!OYA814*'Form Sa1'!OYA816/10)-'NF - 5 Power Mix'!OXX21-'NF - 5 Power Mix'!OXX22</f>
        <v>0</v>
      </c>
      <c r="OXY42" s="1046">
        <f>OXY38+((OXY40+'NF - 5 Power Mix'!OXY14+'NF - 5 Power Mix'!OXY15)*860/10)+((('Form Sa1'!OYB835)*860)/10)+('Form Sa1'!OYB814*'Form Sa1'!OYB816/10)-'NF - 5 Power Mix'!OXY21-'NF - 5 Power Mix'!OXY22</f>
        <v>0</v>
      </c>
      <c r="OXZ42" s="1046">
        <f>OXZ38+((OXZ40+'NF - 5 Power Mix'!OXZ14+'NF - 5 Power Mix'!OXZ15)*860/10)+((('Form Sa1'!OYC835)*860)/10)+('Form Sa1'!OYC814*'Form Sa1'!OYC816/10)-'NF - 5 Power Mix'!OXZ21-'NF - 5 Power Mix'!OXZ22</f>
        <v>0</v>
      </c>
      <c r="OYA42" s="1046">
        <f>OYA38+((OYA40+'NF - 5 Power Mix'!OYA14+'NF - 5 Power Mix'!OYA15)*860/10)+((('Form Sa1'!OYD835)*860)/10)+('Form Sa1'!OYD814*'Form Sa1'!OYD816/10)-'NF - 5 Power Mix'!OYA21-'NF - 5 Power Mix'!OYA22</f>
        <v>0</v>
      </c>
      <c r="OYB42" s="1046">
        <f>OYB38+((OYB40+'NF - 5 Power Mix'!OYB14+'NF - 5 Power Mix'!OYB15)*860/10)+((('Form Sa1'!OYE835)*860)/10)+('Form Sa1'!OYE814*'Form Sa1'!OYE816/10)-'NF - 5 Power Mix'!OYB21-'NF - 5 Power Mix'!OYB22</f>
        <v>0</v>
      </c>
      <c r="OYC42" s="1046">
        <f>OYC38+((OYC40+'NF - 5 Power Mix'!OYC14+'NF - 5 Power Mix'!OYC15)*860/10)+((('Form Sa1'!OYF835)*860)/10)+('Form Sa1'!OYF814*'Form Sa1'!OYF816/10)-'NF - 5 Power Mix'!OYC21-'NF - 5 Power Mix'!OYC22</f>
        <v>0</v>
      </c>
      <c r="OYD42" s="1046">
        <f>OYD38+((OYD40+'NF - 5 Power Mix'!OYD14+'NF - 5 Power Mix'!OYD15)*860/10)+((('Form Sa1'!OYG835)*860)/10)+('Form Sa1'!OYG814*'Form Sa1'!OYG816/10)-'NF - 5 Power Mix'!OYD21-'NF - 5 Power Mix'!OYD22</f>
        <v>0</v>
      </c>
      <c r="OYE42" s="1046">
        <f>OYE38+((OYE40+'NF - 5 Power Mix'!OYE14+'NF - 5 Power Mix'!OYE15)*860/10)+((('Form Sa1'!OYH835)*860)/10)+('Form Sa1'!OYH814*'Form Sa1'!OYH816/10)-'NF - 5 Power Mix'!OYE21-'NF - 5 Power Mix'!OYE22</f>
        <v>0</v>
      </c>
      <c r="OYF42" s="1046">
        <f>OYF38+((OYF40+'NF - 5 Power Mix'!OYF14+'NF - 5 Power Mix'!OYF15)*860/10)+((('Form Sa1'!OYI835)*860)/10)+('Form Sa1'!OYI814*'Form Sa1'!OYI816/10)-'NF - 5 Power Mix'!OYF21-'NF - 5 Power Mix'!OYF22</f>
        <v>0</v>
      </c>
      <c r="OYG42" s="1046">
        <f>OYG38+((OYG40+'NF - 5 Power Mix'!OYG14+'NF - 5 Power Mix'!OYG15)*860/10)+((('Form Sa1'!OYJ835)*860)/10)+('Form Sa1'!OYJ814*'Form Sa1'!OYJ816/10)-'NF - 5 Power Mix'!OYG21-'NF - 5 Power Mix'!OYG22</f>
        <v>0</v>
      </c>
      <c r="OYH42" s="1046">
        <f>OYH38+((OYH40+'NF - 5 Power Mix'!OYH14+'NF - 5 Power Mix'!OYH15)*860/10)+((('Form Sa1'!OYK835)*860)/10)+('Form Sa1'!OYK814*'Form Sa1'!OYK816/10)-'NF - 5 Power Mix'!OYH21-'NF - 5 Power Mix'!OYH22</f>
        <v>0</v>
      </c>
      <c r="OYI42" s="1046">
        <f>OYI38+((OYI40+'NF - 5 Power Mix'!OYI14+'NF - 5 Power Mix'!OYI15)*860/10)+((('Form Sa1'!OYL835)*860)/10)+('Form Sa1'!OYL814*'Form Sa1'!OYL816/10)-'NF - 5 Power Mix'!OYI21-'NF - 5 Power Mix'!OYI22</f>
        <v>0</v>
      </c>
      <c r="OYJ42" s="1046">
        <f>OYJ38+((OYJ40+'NF - 5 Power Mix'!OYJ14+'NF - 5 Power Mix'!OYJ15)*860/10)+((('Form Sa1'!OYM835)*860)/10)+('Form Sa1'!OYM814*'Form Sa1'!OYM816/10)-'NF - 5 Power Mix'!OYJ21-'NF - 5 Power Mix'!OYJ22</f>
        <v>0</v>
      </c>
      <c r="OYK42" s="1046">
        <f>OYK38+((OYK40+'NF - 5 Power Mix'!OYK14+'NF - 5 Power Mix'!OYK15)*860/10)+((('Form Sa1'!OYN835)*860)/10)+('Form Sa1'!OYN814*'Form Sa1'!OYN816/10)-'NF - 5 Power Mix'!OYK21-'NF - 5 Power Mix'!OYK22</f>
        <v>0</v>
      </c>
      <c r="OYL42" s="1046">
        <f>OYL38+((OYL40+'NF - 5 Power Mix'!OYL14+'NF - 5 Power Mix'!OYL15)*860/10)+((('Form Sa1'!OYO835)*860)/10)+('Form Sa1'!OYO814*'Form Sa1'!OYO816/10)-'NF - 5 Power Mix'!OYL21-'NF - 5 Power Mix'!OYL22</f>
        <v>0</v>
      </c>
      <c r="OYM42" s="1046">
        <f>OYM38+((OYM40+'NF - 5 Power Mix'!OYM14+'NF - 5 Power Mix'!OYM15)*860/10)+((('Form Sa1'!OYP835)*860)/10)+('Form Sa1'!OYP814*'Form Sa1'!OYP816/10)-'NF - 5 Power Mix'!OYM21-'NF - 5 Power Mix'!OYM22</f>
        <v>0</v>
      </c>
      <c r="OYN42" s="1046">
        <f>OYN38+((OYN40+'NF - 5 Power Mix'!OYN14+'NF - 5 Power Mix'!OYN15)*860/10)+((('Form Sa1'!OYQ835)*860)/10)+('Form Sa1'!OYQ814*'Form Sa1'!OYQ816/10)-'NF - 5 Power Mix'!OYN21-'NF - 5 Power Mix'!OYN22</f>
        <v>0</v>
      </c>
      <c r="OYO42" s="1046">
        <f>OYO38+((OYO40+'NF - 5 Power Mix'!OYO14+'NF - 5 Power Mix'!OYO15)*860/10)+((('Form Sa1'!OYR835)*860)/10)+('Form Sa1'!OYR814*'Form Sa1'!OYR816/10)-'NF - 5 Power Mix'!OYO21-'NF - 5 Power Mix'!OYO22</f>
        <v>0</v>
      </c>
      <c r="OYP42" s="1046">
        <f>OYP38+((OYP40+'NF - 5 Power Mix'!OYP14+'NF - 5 Power Mix'!OYP15)*860/10)+((('Form Sa1'!OYS835)*860)/10)+('Form Sa1'!OYS814*'Form Sa1'!OYS816/10)-'NF - 5 Power Mix'!OYP21-'NF - 5 Power Mix'!OYP22</f>
        <v>0</v>
      </c>
      <c r="OYQ42" s="1046">
        <f>OYQ38+((OYQ40+'NF - 5 Power Mix'!OYQ14+'NF - 5 Power Mix'!OYQ15)*860/10)+((('Form Sa1'!OYT835)*860)/10)+('Form Sa1'!OYT814*'Form Sa1'!OYT816/10)-'NF - 5 Power Mix'!OYQ21-'NF - 5 Power Mix'!OYQ22</f>
        <v>0</v>
      </c>
      <c r="OYR42" s="1046">
        <f>OYR38+((OYR40+'NF - 5 Power Mix'!OYR14+'NF - 5 Power Mix'!OYR15)*860/10)+((('Form Sa1'!OYU835)*860)/10)+('Form Sa1'!OYU814*'Form Sa1'!OYU816/10)-'NF - 5 Power Mix'!OYR21-'NF - 5 Power Mix'!OYR22</f>
        <v>0</v>
      </c>
      <c r="OYS42" s="1046">
        <f>OYS38+((OYS40+'NF - 5 Power Mix'!OYS14+'NF - 5 Power Mix'!OYS15)*860/10)+((('Form Sa1'!OYV835)*860)/10)+('Form Sa1'!OYV814*'Form Sa1'!OYV816/10)-'NF - 5 Power Mix'!OYS21-'NF - 5 Power Mix'!OYS22</f>
        <v>0</v>
      </c>
      <c r="OYT42" s="1046">
        <f>OYT38+((OYT40+'NF - 5 Power Mix'!OYT14+'NF - 5 Power Mix'!OYT15)*860/10)+((('Form Sa1'!OYW835)*860)/10)+('Form Sa1'!OYW814*'Form Sa1'!OYW816/10)-'NF - 5 Power Mix'!OYT21-'NF - 5 Power Mix'!OYT22</f>
        <v>0</v>
      </c>
      <c r="OYU42" s="1046">
        <f>OYU38+((OYU40+'NF - 5 Power Mix'!OYU14+'NF - 5 Power Mix'!OYU15)*860/10)+((('Form Sa1'!OYX835)*860)/10)+('Form Sa1'!OYX814*'Form Sa1'!OYX816/10)-'NF - 5 Power Mix'!OYU21-'NF - 5 Power Mix'!OYU22</f>
        <v>0</v>
      </c>
      <c r="OYV42" s="1046">
        <f>OYV38+((OYV40+'NF - 5 Power Mix'!OYV14+'NF - 5 Power Mix'!OYV15)*860/10)+((('Form Sa1'!OYY835)*860)/10)+('Form Sa1'!OYY814*'Form Sa1'!OYY816/10)-'NF - 5 Power Mix'!OYV21-'NF - 5 Power Mix'!OYV22</f>
        <v>0</v>
      </c>
      <c r="OYW42" s="1046">
        <f>OYW38+((OYW40+'NF - 5 Power Mix'!OYW14+'NF - 5 Power Mix'!OYW15)*860/10)+((('Form Sa1'!OYZ835)*860)/10)+('Form Sa1'!OYZ814*'Form Sa1'!OYZ816/10)-'NF - 5 Power Mix'!OYW21-'NF - 5 Power Mix'!OYW22</f>
        <v>0</v>
      </c>
      <c r="OYX42" s="1046">
        <f>OYX38+((OYX40+'NF - 5 Power Mix'!OYX14+'NF - 5 Power Mix'!OYX15)*860/10)+((('Form Sa1'!OZA835)*860)/10)+('Form Sa1'!OZA814*'Form Sa1'!OZA816/10)-'NF - 5 Power Mix'!OYX21-'NF - 5 Power Mix'!OYX22</f>
        <v>0</v>
      </c>
      <c r="OYY42" s="1046">
        <f>OYY38+((OYY40+'NF - 5 Power Mix'!OYY14+'NF - 5 Power Mix'!OYY15)*860/10)+((('Form Sa1'!OZB835)*860)/10)+('Form Sa1'!OZB814*'Form Sa1'!OZB816/10)-'NF - 5 Power Mix'!OYY21-'NF - 5 Power Mix'!OYY22</f>
        <v>0</v>
      </c>
      <c r="OYZ42" s="1046">
        <f>OYZ38+((OYZ40+'NF - 5 Power Mix'!OYZ14+'NF - 5 Power Mix'!OYZ15)*860/10)+((('Form Sa1'!OZC835)*860)/10)+('Form Sa1'!OZC814*'Form Sa1'!OZC816/10)-'NF - 5 Power Mix'!OYZ21-'NF - 5 Power Mix'!OYZ22</f>
        <v>0</v>
      </c>
      <c r="OZA42" s="1046">
        <f>OZA38+((OZA40+'NF - 5 Power Mix'!OZA14+'NF - 5 Power Mix'!OZA15)*860/10)+((('Form Sa1'!OZD835)*860)/10)+('Form Sa1'!OZD814*'Form Sa1'!OZD816/10)-'NF - 5 Power Mix'!OZA21-'NF - 5 Power Mix'!OZA22</f>
        <v>0</v>
      </c>
      <c r="OZB42" s="1046">
        <f>OZB38+((OZB40+'NF - 5 Power Mix'!OZB14+'NF - 5 Power Mix'!OZB15)*860/10)+((('Form Sa1'!OZE835)*860)/10)+('Form Sa1'!OZE814*'Form Sa1'!OZE816/10)-'NF - 5 Power Mix'!OZB21-'NF - 5 Power Mix'!OZB22</f>
        <v>0</v>
      </c>
      <c r="OZC42" s="1046">
        <f>OZC38+((OZC40+'NF - 5 Power Mix'!OZC14+'NF - 5 Power Mix'!OZC15)*860/10)+((('Form Sa1'!OZF835)*860)/10)+('Form Sa1'!OZF814*'Form Sa1'!OZF816/10)-'NF - 5 Power Mix'!OZC21-'NF - 5 Power Mix'!OZC22</f>
        <v>0</v>
      </c>
      <c r="OZD42" s="1046">
        <f>OZD38+((OZD40+'NF - 5 Power Mix'!OZD14+'NF - 5 Power Mix'!OZD15)*860/10)+((('Form Sa1'!OZG835)*860)/10)+('Form Sa1'!OZG814*'Form Sa1'!OZG816/10)-'NF - 5 Power Mix'!OZD21-'NF - 5 Power Mix'!OZD22</f>
        <v>0</v>
      </c>
      <c r="OZE42" s="1046">
        <f>OZE38+((OZE40+'NF - 5 Power Mix'!OZE14+'NF - 5 Power Mix'!OZE15)*860/10)+((('Form Sa1'!OZH835)*860)/10)+('Form Sa1'!OZH814*'Form Sa1'!OZH816/10)-'NF - 5 Power Mix'!OZE21-'NF - 5 Power Mix'!OZE22</f>
        <v>0</v>
      </c>
      <c r="OZF42" s="1046">
        <f>OZF38+((OZF40+'NF - 5 Power Mix'!OZF14+'NF - 5 Power Mix'!OZF15)*860/10)+((('Form Sa1'!OZI835)*860)/10)+('Form Sa1'!OZI814*'Form Sa1'!OZI816/10)-'NF - 5 Power Mix'!OZF21-'NF - 5 Power Mix'!OZF22</f>
        <v>0</v>
      </c>
      <c r="OZG42" s="1046">
        <f>OZG38+((OZG40+'NF - 5 Power Mix'!OZG14+'NF - 5 Power Mix'!OZG15)*860/10)+((('Form Sa1'!OZJ835)*860)/10)+('Form Sa1'!OZJ814*'Form Sa1'!OZJ816/10)-'NF - 5 Power Mix'!OZG21-'NF - 5 Power Mix'!OZG22</f>
        <v>0</v>
      </c>
      <c r="OZH42" s="1046">
        <f>OZH38+((OZH40+'NF - 5 Power Mix'!OZH14+'NF - 5 Power Mix'!OZH15)*860/10)+((('Form Sa1'!OZK835)*860)/10)+('Form Sa1'!OZK814*'Form Sa1'!OZK816/10)-'NF - 5 Power Mix'!OZH21-'NF - 5 Power Mix'!OZH22</f>
        <v>0</v>
      </c>
      <c r="OZI42" s="1046">
        <f>OZI38+((OZI40+'NF - 5 Power Mix'!OZI14+'NF - 5 Power Mix'!OZI15)*860/10)+((('Form Sa1'!OZL835)*860)/10)+('Form Sa1'!OZL814*'Form Sa1'!OZL816/10)-'NF - 5 Power Mix'!OZI21-'NF - 5 Power Mix'!OZI22</f>
        <v>0</v>
      </c>
      <c r="OZJ42" s="1046">
        <f>OZJ38+((OZJ40+'NF - 5 Power Mix'!OZJ14+'NF - 5 Power Mix'!OZJ15)*860/10)+((('Form Sa1'!OZM835)*860)/10)+('Form Sa1'!OZM814*'Form Sa1'!OZM816/10)-'NF - 5 Power Mix'!OZJ21-'NF - 5 Power Mix'!OZJ22</f>
        <v>0</v>
      </c>
      <c r="OZK42" s="1046">
        <f>OZK38+((OZK40+'NF - 5 Power Mix'!OZK14+'NF - 5 Power Mix'!OZK15)*860/10)+((('Form Sa1'!OZN835)*860)/10)+('Form Sa1'!OZN814*'Form Sa1'!OZN816/10)-'NF - 5 Power Mix'!OZK21-'NF - 5 Power Mix'!OZK22</f>
        <v>0</v>
      </c>
      <c r="OZL42" s="1046">
        <f>OZL38+((OZL40+'NF - 5 Power Mix'!OZL14+'NF - 5 Power Mix'!OZL15)*860/10)+((('Form Sa1'!OZO835)*860)/10)+('Form Sa1'!OZO814*'Form Sa1'!OZO816/10)-'NF - 5 Power Mix'!OZL21-'NF - 5 Power Mix'!OZL22</f>
        <v>0</v>
      </c>
      <c r="OZM42" s="1046">
        <f>OZM38+((OZM40+'NF - 5 Power Mix'!OZM14+'NF - 5 Power Mix'!OZM15)*860/10)+((('Form Sa1'!OZP835)*860)/10)+('Form Sa1'!OZP814*'Form Sa1'!OZP816/10)-'NF - 5 Power Mix'!OZM21-'NF - 5 Power Mix'!OZM22</f>
        <v>0</v>
      </c>
      <c r="OZN42" s="1046">
        <f>OZN38+((OZN40+'NF - 5 Power Mix'!OZN14+'NF - 5 Power Mix'!OZN15)*860/10)+((('Form Sa1'!OZQ835)*860)/10)+('Form Sa1'!OZQ814*'Form Sa1'!OZQ816/10)-'NF - 5 Power Mix'!OZN21-'NF - 5 Power Mix'!OZN22</f>
        <v>0</v>
      </c>
      <c r="OZO42" s="1046">
        <f>OZO38+((OZO40+'NF - 5 Power Mix'!OZO14+'NF - 5 Power Mix'!OZO15)*860/10)+((('Form Sa1'!OZR835)*860)/10)+('Form Sa1'!OZR814*'Form Sa1'!OZR816/10)-'NF - 5 Power Mix'!OZO21-'NF - 5 Power Mix'!OZO22</f>
        <v>0</v>
      </c>
      <c r="OZP42" s="1046">
        <f>OZP38+((OZP40+'NF - 5 Power Mix'!OZP14+'NF - 5 Power Mix'!OZP15)*860/10)+((('Form Sa1'!OZS835)*860)/10)+('Form Sa1'!OZS814*'Form Sa1'!OZS816/10)-'NF - 5 Power Mix'!OZP21-'NF - 5 Power Mix'!OZP22</f>
        <v>0</v>
      </c>
      <c r="OZQ42" s="1046">
        <f>OZQ38+((OZQ40+'NF - 5 Power Mix'!OZQ14+'NF - 5 Power Mix'!OZQ15)*860/10)+((('Form Sa1'!OZT835)*860)/10)+('Form Sa1'!OZT814*'Form Sa1'!OZT816/10)-'NF - 5 Power Mix'!OZQ21-'NF - 5 Power Mix'!OZQ22</f>
        <v>0</v>
      </c>
      <c r="OZR42" s="1046">
        <f>OZR38+((OZR40+'NF - 5 Power Mix'!OZR14+'NF - 5 Power Mix'!OZR15)*860/10)+((('Form Sa1'!OZU835)*860)/10)+('Form Sa1'!OZU814*'Form Sa1'!OZU816/10)-'NF - 5 Power Mix'!OZR21-'NF - 5 Power Mix'!OZR22</f>
        <v>0</v>
      </c>
      <c r="OZS42" s="1046">
        <f>OZS38+((OZS40+'NF - 5 Power Mix'!OZS14+'NF - 5 Power Mix'!OZS15)*860/10)+((('Form Sa1'!OZV835)*860)/10)+('Form Sa1'!OZV814*'Form Sa1'!OZV816/10)-'NF - 5 Power Mix'!OZS21-'NF - 5 Power Mix'!OZS22</f>
        <v>0</v>
      </c>
      <c r="OZT42" s="1046">
        <f>OZT38+((OZT40+'NF - 5 Power Mix'!OZT14+'NF - 5 Power Mix'!OZT15)*860/10)+((('Form Sa1'!OZW835)*860)/10)+('Form Sa1'!OZW814*'Form Sa1'!OZW816/10)-'NF - 5 Power Mix'!OZT21-'NF - 5 Power Mix'!OZT22</f>
        <v>0</v>
      </c>
      <c r="OZU42" s="1046">
        <f>OZU38+((OZU40+'NF - 5 Power Mix'!OZU14+'NF - 5 Power Mix'!OZU15)*860/10)+((('Form Sa1'!OZX835)*860)/10)+('Form Sa1'!OZX814*'Form Sa1'!OZX816/10)-'NF - 5 Power Mix'!OZU21-'NF - 5 Power Mix'!OZU22</f>
        <v>0</v>
      </c>
      <c r="OZV42" s="1046">
        <f>OZV38+((OZV40+'NF - 5 Power Mix'!OZV14+'NF - 5 Power Mix'!OZV15)*860/10)+((('Form Sa1'!OZY835)*860)/10)+('Form Sa1'!OZY814*'Form Sa1'!OZY816/10)-'NF - 5 Power Mix'!OZV21-'NF - 5 Power Mix'!OZV22</f>
        <v>0</v>
      </c>
      <c r="OZW42" s="1046">
        <f>OZW38+((OZW40+'NF - 5 Power Mix'!OZW14+'NF - 5 Power Mix'!OZW15)*860/10)+((('Form Sa1'!OZZ835)*860)/10)+('Form Sa1'!OZZ814*'Form Sa1'!OZZ816/10)-'NF - 5 Power Mix'!OZW21-'NF - 5 Power Mix'!OZW22</f>
        <v>0</v>
      </c>
      <c r="OZX42" s="1046">
        <f>OZX38+((OZX40+'NF - 5 Power Mix'!OZX14+'NF - 5 Power Mix'!OZX15)*860/10)+((('Form Sa1'!PAA835)*860)/10)+('Form Sa1'!PAA814*'Form Sa1'!PAA816/10)-'NF - 5 Power Mix'!OZX21-'NF - 5 Power Mix'!OZX22</f>
        <v>0</v>
      </c>
      <c r="OZY42" s="1046">
        <f>OZY38+((OZY40+'NF - 5 Power Mix'!OZY14+'NF - 5 Power Mix'!OZY15)*860/10)+((('Form Sa1'!PAB835)*860)/10)+('Form Sa1'!PAB814*'Form Sa1'!PAB816/10)-'NF - 5 Power Mix'!OZY21-'NF - 5 Power Mix'!OZY22</f>
        <v>0</v>
      </c>
      <c r="OZZ42" s="1046">
        <f>OZZ38+((OZZ40+'NF - 5 Power Mix'!OZZ14+'NF - 5 Power Mix'!OZZ15)*860/10)+((('Form Sa1'!PAC835)*860)/10)+('Form Sa1'!PAC814*'Form Sa1'!PAC816/10)-'NF - 5 Power Mix'!OZZ21-'NF - 5 Power Mix'!OZZ22</f>
        <v>0</v>
      </c>
      <c r="PAA42" s="1046">
        <f>PAA38+((PAA40+'NF - 5 Power Mix'!PAA14+'NF - 5 Power Mix'!PAA15)*860/10)+((('Form Sa1'!PAD835)*860)/10)+('Form Sa1'!PAD814*'Form Sa1'!PAD816/10)-'NF - 5 Power Mix'!PAA21-'NF - 5 Power Mix'!PAA22</f>
        <v>0</v>
      </c>
      <c r="PAB42" s="1046">
        <f>PAB38+((PAB40+'NF - 5 Power Mix'!PAB14+'NF - 5 Power Mix'!PAB15)*860/10)+((('Form Sa1'!PAE835)*860)/10)+('Form Sa1'!PAE814*'Form Sa1'!PAE816/10)-'NF - 5 Power Mix'!PAB21-'NF - 5 Power Mix'!PAB22</f>
        <v>0</v>
      </c>
      <c r="PAC42" s="1046">
        <f>PAC38+((PAC40+'NF - 5 Power Mix'!PAC14+'NF - 5 Power Mix'!PAC15)*860/10)+((('Form Sa1'!PAF835)*860)/10)+('Form Sa1'!PAF814*'Form Sa1'!PAF816/10)-'NF - 5 Power Mix'!PAC21-'NF - 5 Power Mix'!PAC22</f>
        <v>0</v>
      </c>
      <c r="PAD42" s="1046">
        <f>PAD38+((PAD40+'NF - 5 Power Mix'!PAD14+'NF - 5 Power Mix'!PAD15)*860/10)+((('Form Sa1'!PAG835)*860)/10)+('Form Sa1'!PAG814*'Form Sa1'!PAG816/10)-'NF - 5 Power Mix'!PAD21-'NF - 5 Power Mix'!PAD22</f>
        <v>0</v>
      </c>
      <c r="PAE42" s="1046">
        <f>PAE38+((PAE40+'NF - 5 Power Mix'!PAE14+'NF - 5 Power Mix'!PAE15)*860/10)+((('Form Sa1'!PAH835)*860)/10)+('Form Sa1'!PAH814*'Form Sa1'!PAH816/10)-'NF - 5 Power Mix'!PAE21-'NF - 5 Power Mix'!PAE22</f>
        <v>0</v>
      </c>
      <c r="PAF42" s="1046">
        <f>PAF38+((PAF40+'NF - 5 Power Mix'!PAF14+'NF - 5 Power Mix'!PAF15)*860/10)+((('Form Sa1'!PAI835)*860)/10)+('Form Sa1'!PAI814*'Form Sa1'!PAI816/10)-'NF - 5 Power Mix'!PAF21-'NF - 5 Power Mix'!PAF22</f>
        <v>0</v>
      </c>
      <c r="PAG42" s="1046">
        <f>PAG38+((PAG40+'NF - 5 Power Mix'!PAG14+'NF - 5 Power Mix'!PAG15)*860/10)+((('Form Sa1'!PAJ835)*860)/10)+('Form Sa1'!PAJ814*'Form Sa1'!PAJ816/10)-'NF - 5 Power Mix'!PAG21-'NF - 5 Power Mix'!PAG22</f>
        <v>0</v>
      </c>
      <c r="PAH42" s="1046">
        <f>PAH38+((PAH40+'NF - 5 Power Mix'!PAH14+'NF - 5 Power Mix'!PAH15)*860/10)+((('Form Sa1'!PAK835)*860)/10)+('Form Sa1'!PAK814*'Form Sa1'!PAK816/10)-'NF - 5 Power Mix'!PAH21-'NF - 5 Power Mix'!PAH22</f>
        <v>0</v>
      </c>
      <c r="PAI42" s="1046">
        <f>PAI38+((PAI40+'NF - 5 Power Mix'!PAI14+'NF - 5 Power Mix'!PAI15)*860/10)+((('Form Sa1'!PAL835)*860)/10)+('Form Sa1'!PAL814*'Form Sa1'!PAL816/10)-'NF - 5 Power Mix'!PAI21-'NF - 5 Power Mix'!PAI22</f>
        <v>0</v>
      </c>
      <c r="PAJ42" s="1046">
        <f>PAJ38+((PAJ40+'NF - 5 Power Mix'!PAJ14+'NF - 5 Power Mix'!PAJ15)*860/10)+((('Form Sa1'!PAM835)*860)/10)+('Form Sa1'!PAM814*'Form Sa1'!PAM816/10)-'NF - 5 Power Mix'!PAJ21-'NF - 5 Power Mix'!PAJ22</f>
        <v>0</v>
      </c>
      <c r="PAK42" s="1046">
        <f>PAK38+((PAK40+'NF - 5 Power Mix'!PAK14+'NF - 5 Power Mix'!PAK15)*860/10)+((('Form Sa1'!PAN835)*860)/10)+('Form Sa1'!PAN814*'Form Sa1'!PAN816/10)-'NF - 5 Power Mix'!PAK21-'NF - 5 Power Mix'!PAK22</f>
        <v>0</v>
      </c>
      <c r="PAL42" s="1046">
        <f>PAL38+((PAL40+'NF - 5 Power Mix'!PAL14+'NF - 5 Power Mix'!PAL15)*860/10)+((('Form Sa1'!PAO835)*860)/10)+('Form Sa1'!PAO814*'Form Sa1'!PAO816/10)-'NF - 5 Power Mix'!PAL21-'NF - 5 Power Mix'!PAL22</f>
        <v>0</v>
      </c>
      <c r="PAM42" s="1046">
        <f>PAM38+((PAM40+'NF - 5 Power Mix'!PAM14+'NF - 5 Power Mix'!PAM15)*860/10)+((('Form Sa1'!PAP835)*860)/10)+('Form Sa1'!PAP814*'Form Sa1'!PAP816/10)-'NF - 5 Power Mix'!PAM21-'NF - 5 Power Mix'!PAM22</f>
        <v>0</v>
      </c>
      <c r="PAN42" s="1046">
        <f>PAN38+((PAN40+'NF - 5 Power Mix'!PAN14+'NF - 5 Power Mix'!PAN15)*860/10)+((('Form Sa1'!PAQ835)*860)/10)+('Form Sa1'!PAQ814*'Form Sa1'!PAQ816/10)-'NF - 5 Power Mix'!PAN21-'NF - 5 Power Mix'!PAN22</f>
        <v>0</v>
      </c>
      <c r="PAO42" s="1046">
        <f>PAO38+((PAO40+'NF - 5 Power Mix'!PAO14+'NF - 5 Power Mix'!PAO15)*860/10)+((('Form Sa1'!PAR835)*860)/10)+('Form Sa1'!PAR814*'Form Sa1'!PAR816/10)-'NF - 5 Power Mix'!PAO21-'NF - 5 Power Mix'!PAO22</f>
        <v>0</v>
      </c>
      <c r="PAP42" s="1046">
        <f>PAP38+((PAP40+'NF - 5 Power Mix'!PAP14+'NF - 5 Power Mix'!PAP15)*860/10)+((('Form Sa1'!PAS835)*860)/10)+('Form Sa1'!PAS814*'Form Sa1'!PAS816/10)-'NF - 5 Power Mix'!PAP21-'NF - 5 Power Mix'!PAP22</f>
        <v>0</v>
      </c>
      <c r="PAQ42" s="1046">
        <f>PAQ38+((PAQ40+'NF - 5 Power Mix'!PAQ14+'NF - 5 Power Mix'!PAQ15)*860/10)+((('Form Sa1'!PAT835)*860)/10)+('Form Sa1'!PAT814*'Form Sa1'!PAT816/10)-'NF - 5 Power Mix'!PAQ21-'NF - 5 Power Mix'!PAQ22</f>
        <v>0</v>
      </c>
      <c r="PAR42" s="1046">
        <f>PAR38+((PAR40+'NF - 5 Power Mix'!PAR14+'NF - 5 Power Mix'!PAR15)*860/10)+((('Form Sa1'!PAU835)*860)/10)+('Form Sa1'!PAU814*'Form Sa1'!PAU816/10)-'NF - 5 Power Mix'!PAR21-'NF - 5 Power Mix'!PAR22</f>
        <v>0</v>
      </c>
      <c r="PAS42" s="1046">
        <f>PAS38+((PAS40+'NF - 5 Power Mix'!PAS14+'NF - 5 Power Mix'!PAS15)*860/10)+((('Form Sa1'!PAV835)*860)/10)+('Form Sa1'!PAV814*'Form Sa1'!PAV816/10)-'NF - 5 Power Mix'!PAS21-'NF - 5 Power Mix'!PAS22</f>
        <v>0</v>
      </c>
      <c r="PAT42" s="1046">
        <f>PAT38+((PAT40+'NF - 5 Power Mix'!PAT14+'NF - 5 Power Mix'!PAT15)*860/10)+((('Form Sa1'!PAW835)*860)/10)+('Form Sa1'!PAW814*'Form Sa1'!PAW816/10)-'NF - 5 Power Mix'!PAT21-'NF - 5 Power Mix'!PAT22</f>
        <v>0</v>
      </c>
      <c r="PAU42" s="1046">
        <f>PAU38+((PAU40+'NF - 5 Power Mix'!PAU14+'NF - 5 Power Mix'!PAU15)*860/10)+((('Form Sa1'!PAX835)*860)/10)+('Form Sa1'!PAX814*'Form Sa1'!PAX816/10)-'NF - 5 Power Mix'!PAU21-'NF - 5 Power Mix'!PAU22</f>
        <v>0</v>
      </c>
      <c r="PAV42" s="1046">
        <f>PAV38+((PAV40+'NF - 5 Power Mix'!PAV14+'NF - 5 Power Mix'!PAV15)*860/10)+((('Form Sa1'!PAY835)*860)/10)+('Form Sa1'!PAY814*'Form Sa1'!PAY816/10)-'NF - 5 Power Mix'!PAV21-'NF - 5 Power Mix'!PAV22</f>
        <v>0</v>
      </c>
      <c r="PAW42" s="1046">
        <f>PAW38+((PAW40+'NF - 5 Power Mix'!PAW14+'NF - 5 Power Mix'!PAW15)*860/10)+((('Form Sa1'!PAZ835)*860)/10)+('Form Sa1'!PAZ814*'Form Sa1'!PAZ816/10)-'NF - 5 Power Mix'!PAW21-'NF - 5 Power Mix'!PAW22</f>
        <v>0</v>
      </c>
      <c r="PAX42" s="1046">
        <f>PAX38+((PAX40+'NF - 5 Power Mix'!PAX14+'NF - 5 Power Mix'!PAX15)*860/10)+((('Form Sa1'!PBA835)*860)/10)+('Form Sa1'!PBA814*'Form Sa1'!PBA816/10)-'NF - 5 Power Mix'!PAX21-'NF - 5 Power Mix'!PAX22</f>
        <v>0</v>
      </c>
      <c r="PAY42" s="1046">
        <f>PAY38+((PAY40+'NF - 5 Power Mix'!PAY14+'NF - 5 Power Mix'!PAY15)*860/10)+((('Form Sa1'!PBB835)*860)/10)+('Form Sa1'!PBB814*'Form Sa1'!PBB816/10)-'NF - 5 Power Mix'!PAY21-'NF - 5 Power Mix'!PAY22</f>
        <v>0</v>
      </c>
      <c r="PAZ42" s="1046">
        <f>PAZ38+((PAZ40+'NF - 5 Power Mix'!PAZ14+'NF - 5 Power Mix'!PAZ15)*860/10)+((('Form Sa1'!PBC835)*860)/10)+('Form Sa1'!PBC814*'Form Sa1'!PBC816/10)-'NF - 5 Power Mix'!PAZ21-'NF - 5 Power Mix'!PAZ22</f>
        <v>0</v>
      </c>
      <c r="PBA42" s="1046">
        <f>PBA38+((PBA40+'NF - 5 Power Mix'!PBA14+'NF - 5 Power Mix'!PBA15)*860/10)+((('Form Sa1'!PBD835)*860)/10)+('Form Sa1'!PBD814*'Form Sa1'!PBD816/10)-'NF - 5 Power Mix'!PBA21-'NF - 5 Power Mix'!PBA22</f>
        <v>0</v>
      </c>
      <c r="PBB42" s="1046">
        <f>PBB38+((PBB40+'NF - 5 Power Mix'!PBB14+'NF - 5 Power Mix'!PBB15)*860/10)+((('Form Sa1'!PBE835)*860)/10)+('Form Sa1'!PBE814*'Form Sa1'!PBE816/10)-'NF - 5 Power Mix'!PBB21-'NF - 5 Power Mix'!PBB22</f>
        <v>0</v>
      </c>
      <c r="PBC42" s="1046">
        <f>PBC38+((PBC40+'NF - 5 Power Mix'!PBC14+'NF - 5 Power Mix'!PBC15)*860/10)+((('Form Sa1'!PBF835)*860)/10)+('Form Sa1'!PBF814*'Form Sa1'!PBF816/10)-'NF - 5 Power Mix'!PBC21-'NF - 5 Power Mix'!PBC22</f>
        <v>0</v>
      </c>
      <c r="PBD42" s="1046">
        <f>PBD38+((PBD40+'NF - 5 Power Mix'!PBD14+'NF - 5 Power Mix'!PBD15)*860/10)+((('Form Sa1'!PBG835)*860)/10)+('Form Sa1'!PBG814*'Form Sa1'!PBG816/10)-'NF - 5 Power Mix'!PBD21-'NF - 5 Power Mix'!PBD22</f>
        <v>0</v>
      </c>
      <c r="PBE42" s="1046">
        <f>PBE38+((PBE40+'NF - 5 Power Mix'!PBE14+'NF - 5 Power Mix'!PBE15)*860/10)+((('Form Sa1'!PBH835)*860)/10)+('Form Sa1'!PBH814*'Form Sa1'!PBH816/10)-'NF - 5 Power Mix'!PBE21-'NF - 5 Power Mix'!PBE22</f>
        <v>0</v>
      </c>
      <c r="PBF42" s="1046">
        <f>PBF38+((PBF40+'NF - 5 Power Mix'!PBF14+'NF - 5 Power Mix'!PBF15)*860/10)+((('Form Sa1'!PBI835)*860)/10)+('Form Sa1'!PBI814*'Form Sa1'!PBI816/10)-'NF - 5 Power Mix'!PBF21-'NF - 5 Power Mix'!PBF22</f>
        <v>0</v>
      </c>
      <c r="PBG42" s="1046">
        <f>PBG38+((PBG40+'NF - 5 Power Mix'!PBG14+'NF - 5 Power Mix'!PBG15)*860/10)+((('Form Sa1'!PBJ835)*860)/10)+('Form Sa1'!PBJ814*'Form Sa1'!PBJ816/10)-'NF - 5 Power Mix'!PBG21-'NF - 5 Power Mix'!PBG22</f>
        <v>0</v>
      </c>
      <c r="PBH42" s="1046">
        <f>PBH38+((PBH40+'NF - 5 Power Mix'!PBH14+'NF - 5 Power Mix'!PBH15)*860/10)+((('Form Sa1'!PBK835)*860)/10)+('Form Sa1'!PBK814*'Form Sa1'!PBK816/10)-'NF - 5 Power Mix'!PBH21-'NF - 5 Power Mix'!PBH22</f>
        <v>0</v>
      </c>
      <c r="PBI42" s="1046">
        <f>PBI38+((PBI40+'NF - 5 Power Mix'!PBI14+'NF - 5 Power Mix'!PBI15)*860/10)+((('Form Sa1'!PBL835)*860)/10)+('Form Sa1'!PBL814*'Form Sa1'!PBL816/10)-'NF - 5 Power Mix'!PBI21-'NF - 5 Power Mix'!PBI22</f>
        <v>0</v>
      </c>
      <c r="PBJ42" s="1046">
        <f>PBJ38+((PBJ40+'NF - 5 Power Mix'!PBJ14+'NF - 5 Power Mix'!PBJ15)*860/10)+((('Form Sa1'!PBM835)*860)/10)+('Form Sa1'!PBM814*'Form Sa1'!PBM816/10)-'NF - 5 Power Mix'!PBJ21-'NF - 5 Power Mix'!PBJ22</f>
        <v>0</v>
      </c>
      <c r="PBK42" s="1046">
        <f>PBK38+((PBK40+'NF - 5 Power Mix'!PBK14+'NF - 5 Power Mix'!PBK15)*860/10)+((('Form Sa1'!PBN835)*860)/10)+('Form Sa1'!PBN814*'Form Sa1'!PBN816/10)-'NF - 5 Power Mix'!PBK21-'NF - 5 Power Mix'!PBK22</f>
        <v>0</v>
      </c>
      <c r="PBL42" s="1046">
        <f>PBL38+((PBL40+'NF - 5 Power Mix'!PBL14+'NF - 5 Power Mix'!PBL15)*860/10)+((('Form Sa1'!PBO835)*860)/10)+('Form Sa1'!PBO814*'Form Sa1'!PBO816/10)-'NF - 5 Power Mix'!PBL21-'NF - 5 Power Mix'!PBL22</f>
        <v>0</v>
      </c>
      <c r="PBM42" s="1046">
        <f>PBM38+((PBM40+'NF - 5 Power Mix'!PBM14+'NF - 5 Power Mix'!PBM15)*860/10)+((('Form Sa1'!PBP835)*860)/10)+('Form Sa1'!PBP814*'Form Sa1'!PBP816/10)-'NF - 5 Power Mix'!PBM21-'NF - 5 Power Mix'!PBM22</f>
        <v>0</v>
      </c>
      <c r="PBN42" s="1046">
        <f>PBN38+((PBN40+'NF - 5 Power Mix'!PBN14+'NF - 5 Power Mix'!PBN15)*860/10)+((('Form Sa1'!PBQ835)*860)/10)+('Form Sa1'!PBQ814*'Form Sa1'!PBQ816/10)-'NF - 5 Power Mix'!PBN21-'NF - 5 Power Mix'!PBN22</f>
        <v>0</v>
      </c>
      <c r="PBO42" s="1046">
        <f>PBO38+((PBO40+'NF - 5 Power Mix'!PBO14+'NF - 5 Power Mix'!PBO15)*860/10)+((('Form Sa1'!PBR835)*860)/10)+('Form Sa1'!PBR814*'Form Sa1'!PBR816/10)-'NF - 5 Power Mix'!PBO21-'NF - 5 Power Mix'!PBO22</f>
        <v>0</v>
      </c>
      <c r="PBP42" s="1046">
        <f>PBP38+((PBP40+'NF - 5 Power Mix'!PBP14+'NF - 5 Power Mix'!PBP15)*860/10)+((('Form Sa1'!PBS835)*860)/10)+('Form Sa1'!PBS814*'Form Sa1'!PBS816/10)-'NF - 5 Power Mix'!PBP21-'NF - 5 Power Mix'!PBP22</f>
        <v>0</v>
      </c>
      <c r="PBQ42" s="1046">
        <f>PBQ38+((PBQ40+'NF - 5 Power Mix'!PBQ14+'NF - 5 Power Mix'!PBQ15)*860/10)+((('Form Sa1'!PBT835)*860)/10)+('Form Sa1'!PBT814*'Form Sa1'!PBT816/10)-'NF - 5 Power Mix'!PBQ21-'NF - 5 Power Mix'!PBQ22</f>
        <v>0</v>
      </c>
      <c r="PBR42" s="1046">
        <f>PBR38+((PBR40+'NF - 5 Power Mix'!PBR14+'NF - 5 Power Mix'!PBR15)*860/10)+((('Form Sa1'!PBU835)*860)/10)+('Form Sa1'!PBU814*'Form Sa1'!PBU816/10)-'NF - 5 Power Mix'!PBR21-'NF - 5 Power Mix'!PBR22</f>
        <v>0</v>
      </c>
      <c r="PBS42" s="1046">
        <f>PBS38+((PBS40+'NF - 5 Power Mix'!PBS14+'NF - 5 Power Mix'!PBS15)*860/10)+((('Form Sa1'!PBV835)*860)/10)+('Form Sa1'!PBV814*'Form Sa1'!PBV816/10)-'NF - 5 Power Mix'!PBS21-'NF - 5 Power Mix'!PBS22</f>
        <v>0</v>
      </c>
      <c r="PBT42" s="1046">
        <f>PBT38+((PBT40+'NF - 5 Power Mix'!PBT14+'NF - 5 Power Mix'!PBT15)*860/10)+((('Form Sa1'!PBW835)*860)/10)+('Form Sa1'!PBW814*'Form Sa1'!PBW816/10)-'NF - 5 Power Mix'!PBT21-'NF - 5 Power Mix'!PBT22</f>
        <v>0</v>
      </c>
      <c r="PBU42" s="1046">
        <f>PBU38+((PBU40+'NF - 5 Power Mix'!PBU14+'NF - 5 Power Mix'!PBU15)*860/10)+((('Form Sa1'!PBX835)*860)/10)+('Form Sa1'!PBX814*'Form Sa1'!PBX816/10)-'NF - 5 Power Mix'!PBU21-'NF - 5 Power Mix'!PBU22</f>
        <v>0</v>
      </c>
      <c r="PBV42" s="1046">
        <f>PBV38+((PBV40+'NF - 5 Power Mix'!PBV14+'NF - 5 Power Mix'!PBV15)*860/10)+((('Form Sa1'!PBY835)*860)/10)+('Form Sa1'!PBY814*'Form Sa1'!PBY816/10)-'NF - 5 Power Mix'!PBV21-'NF - 5 Power Mix'!PBV22</f>
        <v>0</v>
      </c>
      <c r="PBW42" s="1046">
        <f>PBW38+((PBW40+'NF - 5 Power Mix'!PBW14+'NF - 5 Power Mix'!PBW15)*860/10)+((('Form Sa1'!PBZ835)*860)/10)+('Form Sa1'!PBZ814*'Form Sa1'!PBZ816/10)-'NF - 5 Power Mix'!PBW21-'NF - 5 Power Mix'!PBW22</f>
        <v>0</v>
      </c>
      <c r="PBX42" s="1046">
        <f>PBX38+((PBX40+'NF - 5 Power Mix'!PBX14+'NF - 5 Power Mix'!PBX15)*860/10)+((('Form Sa1'!PCA835)*860)/10)+('Form Sa1'!PCA814*'Form Sa1'!PCA816/10)-'NF - 5 Power Mix'!PBX21-'NF - 5 Power Mix'!PBX22</f>
        <v>0</v>
      </c>
      <c r="PBY42" s="1046">
        <f>PBY38+((PBY40+'NF - 5 Power Mix'!PBY14+'NF - 5 Power Mix'!PBY15)*860/10)+((('Form Sa1'!PCB835)*860)/10)+('Form Sa1'!PCB814*'Form Sa1'!PCB816/10)-'NF - 5 Power Mix'!PBY21-'NF - 5 Power Mix'!PBY22</f>
        <v>0</v>
      </c>
      <c r="PBZ42" s="1046">
        <f>PBZ38+((PBZ40+'NF - 5 Power Mix'!PBZ14+'NF - 5 Power Mix'!PBZ15)*860/10)+((('Form Sa1'!PCC835)*860)/10)+('Form Sa1'!PCC814*'Form Sa1'!PCC816/10)-'NF - 5 Power Mix'!PBZ21-'NF - 5 Power Mix'!PBZ22</f>
        <v>0</v>
      </c>
      <c r="PCA42" s="1046">
        <f>PCA38+((PCA40+'NF - 5 Power Mix'!PCA14+'NF - 5 Power Mix'!PCA15)*860/10)+((('Form Sa1'!PCD835)*860)/10)+('Form Sa1'!PCD814*'Form Sa1'!PCD816/10)-'NF - 5 Power Mix'!PCA21-'NF - 5 Power Mix'!PCA22</f>
        <v>0</v>
      </c>
      <c r="PCB42" s="1046">
        <f>PCB38+((PCB40+'NF - 5 Power Mix'!PCB14+'NF - 5 Power Mix'!PCB15)*860/10)+((('Form Sa1'!PCE835)*860)/10)+('Form Sa1'!PCE814*'Form Sa1'!PCE816/10)-'NF - 5 Power Mix'!PCB21-'NF - 5 Power Mix'!PCB22</f>
        <v>0</v>
      </c>
      <c r="PCC42" s="1046">
        <f>PCC38+((PCC40+'NF - 5 Power Mix'!PCC14+'NF - 5 Power Mix'!PCC15)*860/10)+((('Form Sa1'!PCF835)*860)/10)+('Form Sa1'!PCF814*'Form Sa1'!PCF816/10)-'NF - 5 Power Mix'!PCC21-'NF - 5 Power Mix'!PCC22</f>
        <v>0</v>
      </c>
      <c r="PCD42" s="1046">
        <f>PCD38+((PCD40+'NF - 5 Power Mix'!PCD14+'NF - 5 Power Mix'!PCD15)*860/10)+((('Form Sa1'!PCG835)*860)/10)+('Form Sa1'!PCG814*'Form Sa1'!PCG816/10)-'NF - 5 Power Mix'!PCD21-'NF - 5 Power Mix'!PCD22</f>
        <v>0</v>
      </c>
      <c r="PCE42" s="1046">
        <f>PCE38+((PCE40+'NF - 5 Power Mix'!PCE14+'NF - 5 Power Mix'!PCE15)*860/10)+((('Form Sa1'!PCH835)*860)/10)+('Form Sa1'!PCH814*'Form Sa1'!PCH816/10)-'NF - 5 Power Mix'!PCE21-'NF - 5 Power Mix'!PCE22</f>
        <v>0</v>
      </c>
      <c r="PCF42" s="1046">
        <f>PCF38+((PCF40+'NF - 5 Power Mix'!PCF14+'NF - 5 Power Mix'!PCF15)*860/10)+((('Form Sa1'!PCI835)*860)/10)+('Form Sa1'!PCI814*'Form Sa1'!PCI816/10)-'NF - 5 Power Mix'!PCF21-'NF - 5 Power Mix'!PCF22</f>
        <v>0</v>
      </c>
      <c r="PCG42" s="1046">
        <f>PCG38+((PCG40+'NF - 5 Power Mix'!PCG14+'NF - 5 Power Mix'!PCG15)*860/10)+((('Form Sa1'!PCJ835)*860)/10)+('Form Sa1'!PCJ814*'Form Sa1'!PCJ816/10)-'NF - 5 Power Mix'!PCG21-'NF - 5 Power Mix'!PCG22</f>
        <v>0</v>
      </c>
      <c r="PCH42" s="1046">
        <f>PCH38+((PCH40+'NF - 5 Power Mix'!PCH14+'NF - 5 Power Mix'!PCH15)*860/10)+((('Form Sa1'!PCK835)*860)/10)+('Form Sa1'!PCK814*'Form Sa1'!PCK816/10)-'NF - 5 Power Mix'!PCH21-'NF - 5 Power Mix'!PCH22</f>
        <v>0</v>
      </c>
      <c r="PCI42" s="1046">
        <f>PCI38+((PCI40+'NF - 5 Power Mix'!PCI14+'NF - 5 Power Mix'!PCI15)*860/10)+((('Form Sa1'!PCL835)*860)/10)+('Form Sa1'!PCL814*'Form Sa1'!PCL816/10)-'NF - 5 Power Mix'!PCI21-'NF - 5 Power Mix'!PCI22</f>
        <v>0</v>
      </c>
      <c r="PCJ42" s="1046">
        <f>PCJ38+((PCJ40+'NF - 5 Power Mix'!PCJ14+'NF - 5 Power Mix'!PCJ15)*860/10)+((('Form Sa1'!PCM835)*860)/10)+('Form Sa1'!PCM814*'Form Sa1'!PCM816/10)-'NF - 5 Power Mix'!PCJ21-'NF - 5 Power Mix'!PCJ22</f>
        <v>0</v>
      </c>
      <c r="PCK42" s="1046">
        <f>PCK38+((PCK40+'NF - 5 Power Mix'!PCK14+'NF - 5 Power Mix'!PCK15)*860/10)+((('Form Sa1'!PCN835)*860)/10)+('Form Sa1'!PCN814*'Form Sa1'!PCN816/10)-'NF - 5 Power Mix'!PCK21-'NF - 5 Power Mix'!PCK22</f>
        <v>0</v>
      </c>
      <c r="PCL42" s="1046">
        <f>PCL38+((PCL40+'NF - 5 Power Mix'!PCL14+'NF - 5 Power Mix'!PCL15)*860/10)+((('Form Sa1'!PCO835)*860)/10)+('Form Sa1'!PCO814*'Form Sa1'!PCO816/10)-'NF - 5 Power Mix'!PCL21-'NF - 5 Power Mix'!PCL22</f>
        <v>0</v>
      </c>
      <c r="PCM42" s="1046">
        <f>PCM38+((PCM40+'NF - 5 Power Mix'!PCM14+'NF - 5 Power Mix'!PCM15)*860/10)+((('Form Sa1'!PCP835)*860)/10)+('Form Sa1'!PCP814*'Form Sa1'!PCP816/10)-'NF - 5 Power Mix'!PCM21-'NF - 5 Power Mix'!PCM22</f>
        <v>0</v>
      </c>
      <c r="PCN42" s="1046">
        <f>PCN38+((PCN40+'NF - 5 Power Mix'!PCN14+'NF - 5 Power Mix'!PCN15)*860/10)+((('Form Sa1'!PCQ835)*860)/10)+('Form Sa1'!PCQ814*'Form Sa1'!PCQ816/10)-'NF - 5 Power Mix'!PCN21-'NF - 5 Power Mix'!PCN22</f>
        <v>0</v>
      </c>
      <c r="PCO42" s="1046">
        <f>PCO38+((PCO40+'NF - 5 Power Mix'!PCO14+'NF - 5 Power Mix'!PCO15)*860/10)+((('Form Sa1'!PCR835)*860)/10)+('Form Sa1'!PCR814*'Form Sa1'!PCR816/10)-'NF - 5 Power Mix'!PCO21-'NF - 5 Power Mix'!PCO22</f>
        <v>0</v>
      </c>
      <c r="PCP42" s="1046">
        <f>PCP38+((PCP40+'NF - 5 Power Mix'!PCP14+'NF - 5 Power Mix'!PCP15)*860/10)+((('Form Sa1'!PCS835)*860)/10)+('Form Sa1'!PCS814*'Form Sa1'!PCS816/10)-'NF - 5 Power Mix'!PCP21-'NF - 5 Power Mix'!PCP22</f>
        <v>0</v>
      </c>
      <c r="PCQ42" s="1046">
        <f>PCQ38+((PCQ40+'NF - 5 Power Mix'!PCQ14+'NF - 5 Power Mix'!PCQ15)*860/10)+((('Form Sa1'!PCT835)*860)/10)+('Form Sa1'!PCT814*'Form Sa1'!PCT816/10)-'NF - 5 Power Mix'!PCQ21-'NF - 5 Power Mix'!PCQ22</f>
        <v>0</v>
      </c>
      <c r="PCR42" s="1046">
        <f>PCR38+((PCR40+'NF - 5 Power Mix'!PCR14+'NF - 5 Power Mix'!PCR15)*860/10)+((('Form Sa1'!PCU835)*860)/10)+('Form Sa1'!PCU814*'Form Sa1'!PCU816/10)-'NF - 5 Power Mix'!PCR21-'NF - 5 Power Mix'!PCR22</f>
        <v>0</v>
      </c>
      <c r="PCS42" s="1046">
        <f>PCS38+((PCS40+'NF - 5 Power Mix'!PCS14+'NF - 5 Power Mix'!PCS15)*860/10)+((('Form Sa1'!PCV835)*860)/10)+('Form Sa1'!PCV814*'Form Sa1'!PCV816/10)-'NF - 5 Power Mix'!PCS21-'NF - 5 Power Mix'!PCS22</f>
        <v>0</v>
      </c>
      <c r="PCT42" s="1046">
        <f>PCT38+((PCT40+'NF - 5 Power Mix'!PCT14+'NF - 5 Power Mix'!PCT15)*860/10)+((('Form Sa1'!PCW835)*860)/10)+('Form Sa1'!PCW814*'Form Sa1'!PCW816/10)-'NF - 5 Power Mix'!PCT21-'NF - 5 Power Mix'!PCT22</f>
        <v>0</v>
      </c>
      <c r="PCU42" s="1046">
        <f>PCU38+((PCU40+'NF - 5 Power Mix'!PCU14+'NF - 5 Power Mix'!PCU15)*860/10)+((('Form Sa1'!PCX835)*860)/10)+('Form Sa1'!PCX814*'Form Sa1'!PCX816/10)-'NF - 5 Power Mix'!PCU21-'NF - 5 Power Mix'!PCU22</f>
        <v>0</v>
      </c>
      <c r="PCV42" s="1046">
        <f>PCV38+((PCV40+'NF - 5 Power Mix'!PCV14+'NF - 5 Power Mix'!PCV15)*860/10)+((('Form Sa1'!PCY835)*860)/10)+('Form Sa1'!PCY814*'Form Sa1'!PCY816/10)-'NF - 5 Power Mix'!PCV21-'NF - 5 Power Mix'!PCV22</f>
        <v>0</v>
      </c>
      <c r="PCW42" s="1046">
        <f>PCW38+((PCW40+'NF - 5 Power Mix'!PCW14+'NF - 5 Power Mix'!PCW15)*860/10)+((('Form Sa1'!PCZ835)*860)/10)+('Form Sa1'!PCZ814*'Form Sa1'!PCZ816/10)-'NF - 5 Power Mix'!PCW21-'NF - 5 Power Mix'!PCW22</f>
        <v>0</v>
      </c>
      <c r="PCX42" s="1046">
        <f>PCX38+((PCX40+'NF - 5 Power Mix'!PCX14+'NF - 5 Power Mix'!PCX15)*860/10)+((('Form Sa1'!PDA835)*860)/10)+('Form Sa1'!PDA814*'Form Sa1'!PDA816/10)-'NF - 5 Power Mix'!PCX21-'NF - 5 Power Mix'!PCX22</f>
        <v>0</v>
      </c>
      <c r="PCY42" s="1046">
        <f>PCY38+((PCY40+'NF - 5 Power Mix'!PCY14+'NF - 5 Power Mix'!PCY15)*860/10)+((('Form Sa1'!PDB835)*860)/10)+('Form Sa1'!PDB814*'Form Sa1'!PDB816/10)-'NF - 5 Power Mix'!PCY21-'NF - 5 Power Mix'!PCY22</f>
        <v>0</v>
      </c>
      <c r="PCZ42" s="1046">
        <f>PCZ38+((PCZ40+'NF - 5 Power Mix'!PCZ14+'NF - 5 Power Mix'!PCZ15)*860/10)+((('Form Sa1'!PDC835)*860)/10)+('Form Sa1'!PDC814*'Form Sa1'!PDC816/10)-'NF - 5 Power Mix'!PCZ21-'NF - 5 Power Mix'!PCZ22</f>
        <v>0</v>
      </c>
      <c r="PDA42" s="1046">
        <f>PDA38+((PDA40+'NF - 5 Power Mix'!PDA14+'NF - 5 Power Mix'!PDA15)*860/10)+((('Form Sa1'!PDD835)*860)/10)+('Form Sa1'!PDD814*'Form Sa1'!PDD816/10)-'NF - 5 Power Mix'!PDA21-'NF - 5 Power Mix'!PDA22</f>
        <v>0</v>
      </c>
      <c r="PDB42" s="1046">
        <f>PDB38+((PDB40+'NF - 5 Power Mix'!PDB14+'NF - 5 Power Mix'!PDB15)*860/10)+((('Form Sa1'!PDE835)*860)/10)+('Form Sa1'!PDE814*'Form Sa1'!PDE816/10)-'NF - 5 Power Mix'!PDB21-'NF - 5 Power Mix'!PDB22</f>
        <v>0</v>
      </c>
      <c r="PDC42" s="1046">
        <f>PDC38+((PDC40+'NF - 5 Power Mix'!PDC14+'NF - 5 Power Mix'!PDC15)*860/10)+((('Form Sa1'!PDF835)*860)/10)+('Form Sa1'!PDF814*'Form Sa1'!PDF816/10)-'NF - 5 Power Mix'!PDC21-'NF - 5 Power Mix'!PDC22</f>
        <v>0</v>
      </c>
      <c r="PDD42" s="1046">
        <f>PDD38+((PDD40+'NF - 5 Power Mix'!PDD14+'NF - 5 Power Mix'!PDD15)*860/10)+((('Form Sa1'!PDG835)*860)/10)+('Form Sa1'!PDG814*'Form Sa1'!PDG816/10)-'NF - 5 Power Mix'!PDD21-'NF - 5 Power Mix'!PDD22</f>
        <v>0</v>
      </c>
      <c r="PDE42" s="1046">
        <f>PDE38+((PDE40+'NF - 5 Power Mix'!PDE14+'NF - 5 Power Mix'!PDE15)*860/10)+((('Form Sa1'!PDH835)*860)/10)+('Form Sa1'!PDH814*'Form Sa1'!PDH816/10)-'NF - 5 Power Mix'!PDE21-'NF - 5 Power Mix'!PDE22</f>
        <v>0</v>
      </c>
      <c r="PDF42" s="1046">
        <f>PDF38+((PDF40+'NF - 5 Power Mix'!PDF14+'NF - 5 Power Mix'!PDF15)*860/10)+((('Form Sa1'!PDI835)*860)/10)+('Form Sa1'!PDI814*'Form Sa1'!PDI816/10)-'NF - 5 Power Mix'!PDF21-'NF - 5 Power Mix'!PDF22</f>
        <v>0</v>
      </c>
      <c r="PDG42" s="1046">
        <f>PDG38+((PDG40+'NF - 5 Power Mix'!PDG14+'NF - 5 Power Mix'!PDG15)*860/10)+((('Form Sa1'!PDJ835)*860)/10)+('Form Sa1'!PDJ814*'Form Sa1'!PDJ816/10)-'NF - 5 Power Mix'!PDG21-'NF - 5 Power Mix'!PDG22</f>
        <v>0</v>
      </c>
      <c r="PDH42" s="1046">
        <f>PDH38+((PDH40+'NF - 5 Power Mix'!PDH14+'NF - 5 Power Mix'!PDH15)*860/10)+((('Form Sa1'!PDK835)*860)/10)+('Form Sa1'!PDK814*'Form Sa1'!PDK816/10)-'NF - 5 Power Mix'!PDH21-'NF - 5 Power Mix'!PDH22</f>
        <v>0</v>
      </c>
      <c r="PDI42" s="1046">
        <f>PDI38+((PDI40+'NF - 5 Power Mix'!PDI14+'NF - 5 Power Mix'!PDI15)*860/10)+((('Form Sa1'!PDL835)*860)/10)+('Form Sa1'!PDL814*'Form Sa1'!PDL816/10)-'NF - 5 Power Mix'!PDI21-'NF - 5 Power Mix'!PDI22</f>
        <v>0</v>
      </c>
      <c r="PDJ42" s="1046">
        <f>PDJ38+((PDJ40+'NF - 5 Power Mix'!PDJ14+'NF - 5 Power Mix'!PDJ15)*860/10)+((('Form Sa1'!PDM835)*860)/10)+('Form Sa1'!PDM814*'Form Sa1'!PDM816/10)-'NF - 5 Power Mix'!PDJ21-'NF - 5 Power Mix'!PDJ22</f>
        <v>0</v>
      </c>
      <c r="PDK42" s="1046">
        <f>PDK38+((PDK40+'NF - 5 Power Mix'!PDK14+'NF - 5 Power Mix'!PDK15)*860/10)+((('Form Sa1'!PDN835)*860)/10)+('Form Sa1'!PDN814*'Form Sa1'!PDN816/10)-'NF - 5 Power Mix'!PDK21-'NF - 5 Power Mix'!PDK22</f>
        <v>0</v>
      </c>
      <c r="PDL42" s="1046">
        <f>PDL38+((PDL40+'NF - 5 Power Mix'!PDL14+'NF - 5 Power Mix'!PDL15)*860/10)+((('Form Sa1'!PDO835)*860)/10)+('Form Sa1'!PDO814*'Form Sa1'!PDO816/10)-'NF - 5 Power Mix'!PDL21-'NF - 5 Power Mix'!PDL22</f>
        <v>0</v>
      </c>
      <c r="PDM42" s="1046">
        <f>PDM38+((PDM40+'NF - 5 Power Mix'!PDM14+'NF - 5 Power Mix'!PDM15)*860/10)+((('Form Sa1'!PDP835)*860)/10)+('Form Sa1'!PDP814*'Form Sa1'!PDP816/10)-'NF - 5 Power Mix'!PDM21-'NF - 5 Power Mix'!PDM22</f>
        <v>0</v>
      </c>
      <c r="PDN42" s="1046">
        <f>PDN38+((PDN40+'NF - 5 Power Mix'!PDN14+'NF - 5 Power Mix'!PDN15)*860/10)+((('Form Sa1'!PDQ835)*860)/10)+('Form Sa1'!PDQ814*'Form Sa1'!PDQ816/10)-'NF - 5 Power Mix'!PDN21-'NF - 5 Power Mix'!PDN22</f>
        <v>0</v>
      </c>
      <c r="PDO42" s="1046">
        <f>PDO38+((PDO40+'NF - 5 Power Mix'!PDO14+'NF - 5 Power Mix'!PDO15)*860/10)+((('Form Sa1'!PDR835)*860)/10)+('Form Sa1'!PDR814*'Form Sa1'!PDR816/10)-'NF - 5 Power Mix'!PDO21-'NF - 5 Power Mix'!PDO22</f>
        <v>0</v>
      </c>
      <c r="PDP42" s="1046">
        <f>PDP38+((PDP40+'NF - 5 Power Mix'!PDP14+'NF - 5 Power Mix'!PDP15)*860/10)+((('Form Sa1'!PDS835)*860)/10)+('Form Sa1'!PDS814*'Form Sa1'!PDS816/10)-'NF - 5 Power Mix'!PDP21-'NF - 5 Power Mix'!PDP22</f>
        <v>0</v>
      </c>
      <c r="PDQ42" s="1046">
        <f>PDQ38+((PDQ40+'NF - 5 Power Mix'!PDQ14+'NF - 5 Power Mix'!PDQ15)*860/10)+((('Form Sa1'!PDT835)*860)/10)+('Form Sa1'!PDT814*'Form Sa1'!PDT816/10)-'NF - 5 Power Mix'!PDQ21-'NF - 5 Power Mix'!PDQ22</f>
        <v>0</v>
      </c>
      <c r="PDR42" s="1046">
        <f>PDR38+((PDR40+'NF - 5 Power Mix'!PDR14+'NF - 5 Power Mix'!PDR15)*860/10)+((('Form Sa1'!PDU835)*860)/10)+('Form Sa1'!PDU814*'Form Sa1'!PDU816/10)-'NF - 5 Power Mix'!PDR21-'NF - 5 Power Mix'!PDR22</f>
        <v>0</v>
      </c>
      <c r="PDS42" s="1046">
        <f>PDS38+((PDS40+'NF - 5 Power Mix'!PDS14+'NF - 5 Power Mix'!PDS15)*860/10)+((('Form Sa1'!PDV835)*860)/10)+('Form Sa1'!PDV814*'Form Sa1'!PDV816/10)-'NF - 5 Power Mix'!PDS21-'NF - 5 Power Mix'!PDS22</f>
        <v>0</v>
      </c>
      <c r="PDT42" s="1046">
        <f>PDT38+((PDT40+'NF - 5 Power Mix'!PDT14+'NF - 5 Power Mix'!PDT15)*860/10)+((('Form Sa1'!PDW835)*860)/10)+('Form Sa1'!PDW814*'Form Sa1'!PDW816/10)-'NF - 5 Power Mix'!PDT21-'NF - 5 Power Mix'!PDT22</f>
        <v>0</v>
      </c>
      <c r="PDU42" s="1046">
        <f>PDU38+((PDU40+'NF - 5 Power Mix'!PDU14+'NF - 5 Power Mix'!PDU15)*860/10)+((('Form Sa1'!PDX835)*860)/10)+('Form Sa1'!PDX814*'Form Sa1'!PDX816/10)-'NF - 5 Power Mix'!PDU21-'NF - 5 Power Mix'!PDU22</f>
        <v>0</v>
      </c>
      <c r="PDV42" s="1046">
        <f>PDV38+((PDV40+'NF - 5 Power Mix'!PDV14+'NF - 5 Power Mix'!PDV15)*860/10)+((('Form Sa1'!PDY835)*860)/10)+('Form Sa1'!PDY814*'Form Sa1'!PDY816/10)-'NF - 5 Power Mix'!PDV21-'NF - 5 Power Mix'!PDV22</f>
        <v>0</v>
      </c>
      <c r="PDW42" s="1046">
        <f>PDW38+((PDW40+'NF - 5 Power Mix'!PDW14+'NF - 5 Power Mix'!PDW15)*860/10)+((('Form Sa1'!PDZ835)*860)/10)+('Form Sa1'!PDZ814*'Form Sa1'!PDZ816/10)-'NF - 5 Power Mix'!PDW21-'NF - 5 Power Mix'!PDW22</f>
        <v>0</v>
      </c>
      <c r="PDX42" s="1046">
        <f>PDX38+((PDX40+'NF - 5 Power Mix'!PDX14+'NF - 5 Power Mix'!PDX15)*860/10)+((('Form Sa1'!PEA835)*860)/10)+('Form Sa1'!PEA814*'Form Sa1'!PEA816/10)-'NF - 5 Power Mix'!PDX21-'NF - 5 Power Mix'!PDX22</f>
        <v>0</v>
      </c>
      <c r="PDY42" s="1046">
        <f>PDY38+((PDY40+'NF - 5 Power Mix'!PDY14+'NF - 5 Power Mix'!PDY15)*860/10)+((('Form Sa1'!PEB835)*860)/10)+('Form Sa1'!PEB814*'Form Sa1'!PEB816/10)-'NF - 5 Power Mix'!PDY21-'NF - 5 Power Mix'!PDY22</f>
        <v>0</v>
      </c>
      <c r="PDZ42" s="1046">
        <f>PDZ38+((PDZ40+'NF - 5 Power Mix'!PDZ14+'NF - 5 Power Mix'!PDZ15)*860/10)+((('Form Sa1'!PEC835)*860)/10)+('Form Sa1'!PEC814*'Form Sa1'!PEC816/10)-'NF - 5 Power Mix'!PDZ21-'NF - 5 Power Mix'!PDZ22</f>
        <v>0</v>
      </c>
      <c r="PEA42" s="1046">
        <f>PEA38+((PEA40+'NF - 5 Power Mix'!PEA14+'NF - 5 Power Mix'!PEA15)*860/10)+((('Form Sa1'!PED835)*860)/10)+('Form Sa1'!PED814*'Form Sa1'!PED816/10)-'NF - 5 Power Mix'!PEA21-'NF - 5 Power Mix'!PEA22</f>
        <v>0</v>
      </c>
      <c r="PEB42" s="1046">
        <f>PEB38+((PEB40+'NF - 5 Power Mix'!PEB14+'NF - 5 Power Mix'!PEB15)*860/10)+((('Form Sa1'!PEE835)*860)/10)+('Form Sa1'!PEE814*'Form Sa1'!PEE816/10)-'NF - 5 Power Mix'!PEB21-'NF - 5 Power Mix'!PEB22</f>
        <v>0</v>
      </c>
      <c r="PEC42" s="1046">
        <f>PEC38+((PEC40+'NF - 5 Power Mix'!PEC14+'NF - 5 Power Mix'!PEC15)*860/10)+((('Form Sa1'!PEF835)*860)/10)+('Form Sa1'!PEF814*'Form Sa1'!PEF816/10)-'NF - 5 Power Mix'!PEC21-'NF - 5 Power Mix'!PEC22</f>
        <v>0</v>
      </c>
      <c r="PED42" s="1046">
        <f>PED38+((PED40+'NF - 5 Power Mix'!PED14+'NF - 5 Power Mix'!PED15)*860/10)+((('Form Sa1'!PEG835)*860)/10)+('Form Sa1'!PEG814*'Form Sa1'!PEG816/10)-'NF - 5 Power Mix'!PED21-'NF - 5 Power Mix'!PED22</f>
        <v>0</v>
      </c>
      <c r="PEE42" s="1046">
        <f>PEE38+((PEE40+'NF - 5 Power Mix'!PEE14+'NF - 5 Power Mix'!PEE15)*860/10)+((('Form Sa1'!PEH835)*860)/10)+('Form Sa1'!PEH814*'Form Sa1'!PEH816/10)-'NF - 5 Power Mix'!PEE21-'NF - 5 Power Mix'!PEE22</f>
        <v>0</v>
      </c>
      <c r="PEF42" s="1046">
        <f>PEF38+((PEF40+'NF - 5 Power Mix'!PEF14+'NF - 5 Power Mix'!PEF15)*860/10)+((('Form Sa1'!PEI835)*860)/10)+('Form Sa1'!PEI814*'Form Sa1'!PEI816/10)-'NF - 5 Power Mix'!PEF21-'NF - 5 Power Mix'!PEF22</f>
        <v>0</v>
      </c>
      <c r="PEG42" s="1046">
        <f>PEG38+((PEG40+'NF - 5 Power Mix'!PEG14+'NF - 5 Power Mix'!PEG15)*860/10)+((('Form Sa1'!PEJ835)*860)/10)+('Form Sa1'!PEJ814*'Form Sa1'!PEJ816/10)-'NF - 5 Power Mix'!PEG21-'NF - 5 Power Mix'!PEG22</f>
        <v>0</v>
      </c>
      <c r="PEH42" s="1046">
        <f>PEH38+((PEH40+'NF - 5 Power Mix'!PEH14+'NF - 5 Power Mix'!PEH15)*860/10)+((('Form Sa1'!PEK835)*860)/10)+('Form Sa1'!PEK814*'Form Sa1'!PEK816/10)-'NF - 5 Power Mix'!PEH21-'NF - 5 Power Mix'!PEH22</f>
        <v>0</v>
      </c>
      <c r="PEI42" s="1046">
        <f>PEI38+((PEI40+'NF - 5 Power Mix'!PEI14+'NF - 5 Power Mix'!PEI15)*860/10)+((('Form Sa1'!PEL835)*860)/10)+('Form Sa1'!PEL814*'Form Sa1'!PEL816/10)-'NF - 5 Power Mix'!PEI21-'NF - 5 Power Mix'!PEI22</f>
        <v>0</v>
      </c>
      <c r="PEJ42" s="1046">
        <f>PEJ38+((PEJ40+'NF - 5 Power Mix'!PEJ14+'NF - 5 Power Mix'!PEJ15)*860/10)+((('Form Sa1'!PEM835)*860)/10)+('Form Sa1'!PEM814*'Form Sa1'!PEM816/10)-'NF - 5 Power Mix'!PEJ21-'NF - 5 Power Mix'!PEJ22</f>
        <v>0</v>
      </c>
      <c r="PEK42" s="1046">
        <f>PEK38+((PEK40+'NF - 5 Power Mix'!PEK14+'NF - 5 Power Mix'!PEK15)*860/10)+((('Form Sa1'!PEN835)*860)/10)+('Form Sa1'!PEN814*'Form Sa1'!PEN816/10)-'NF - 5 Power Mix'!PEK21-'NF - 5 Power Mix'!PEK22</f>
        <v>0</v>
      </c>
      <c r="PEL42" s="1046">
        <f>PEL38+((PEL40+'NF - 5 Power Mix'!PEL14+'NF - 5 Power Mix'!PEL15)*860/10)+((('Form Sa1'!PEO835)*860)/10)+('Form Sa1'!PEO814*'Form Sa1'!PEO816/10)-'NF - 5 Power Mix'!PEL21-'NF - 5 Power Mix'!PEL22</f>
        <v>0</v>
      </c>
      <c r="PEM42" s="1046">
        <f>PEM38+((PEM40+'NF - 5 Power Mix'!PEM14+'NF - 5 Power Mix'!PEM15)*860/10)+((('Form Sa1'!PEP835)*860)/10)+('Form Sa1'!PEP814*'Form Sa1'!PEP816/10)-'NF - 5 Power Mix'!PEM21-'NF - 5 Power Mix'!PEM22</f>
        <v>0</v>
      </c>
      <c r="PEN42" s="1046">
        <f>PEN38+((PEN40+'NF - 5 Power Mix'!PEN14+'NF - 5 Power Mix'!PEN15)*860/10)+((('Form Sa1'!PEQ835)*860)/10)+('Form Sa1'!PEQ814*'Form Sa1'!PEQ816/10)-'NF - 5 Power Mix'!PEN21-'NF - 5 Power Mix'!PEN22</f>
        <v>0</v>
      </c>
      <c r="PEO42" s="1046">
        <f>PEO38+((PEO40+'NF - 5 Power Mix'!PEO14+'NF - 5 Power Mix'!PEO15)*860/10)+((('Form Sa1'!PER835)*860)/10)+('Form Sa1'!PER814*'Form Sa1'!PER816/10)-'NF - 5 Power Mix'!PEO21-'NF - 5 Power Mix'!PEO22</f>
        <v>0</v>
      </c>
      <c r="PEP42" s="1046">
        <f>PEP38+((PEP40+'NF - 5 Power Mix'!PEP14+'NF - 5 Power Mix'!PEP15)*860/10)+((('Form Sa1'!PES835)*860)/10)+('Form Sa1'!PES814*'Form Sa1'!PES816/10)-'NF - 5 Power Mix'!PEP21-'NF - 5 Power Mix'!PEP22</f>
        <v>0</v>
      </c>
      <c r="PEQ42" s="1046">
        <f>PEQ38+((PEQ40+'NF - 5 Power Mix'!PEQ14+'NF - 5 Power Mix'!PEQ15)*860/10)+((('Form Sa1'!PET835)*860)/10)+('Form Sa1'!PET814*'Form Sa1'!PET816/10)-'NF - 5 Power Mix'!PEQ21-'NF - 5 Power Mix'!PEQ22</f>
        <v>0</v>
      </c>
      <c r="PER42" s="1046">
        <f>PER38+((PER40+'NF - 5 Power Mix'!PER14+'NF - 5 Power Mix'!PER15)*860/10)+((('Form Sa1'!PEU835)*860)/10)+('Form Sa1'!PEU814*'Form Sa1'!PEU816/10)-'NF - 5 Power Mix'!PER21-'NF - 5 Power Mix'!PER22</f>
        <v>0</v>
      </c>
      <c r="PES42" s="1046">
        <f>PES38+((PES40+'NF - 5 Power Mix'!PES14+'NF - 5 Power Mix'!PES15)*860/10)+((('Form Sa1'!PEV835)*860)/10)+('Form Sa1'!PEV814*'Form Sa1'!PEV816/10)-'NF - 5 Power Mix'!PES21-'NF - 5 Power Mix'!PES22</f>
        <v>0</v>
      </c>
      <c r="PET42" s="1046">
        <f>PET38+((PET40+'NF - 5 Power Mix'!PET14+'NF - 5 Power Mix'!PET15)*860/10)+((('Form Sa1'!PEW835)*860)/10)+('Form Sa1'!PEW814*'Form Sa1'!PEW816/10)-'NF - 5 Power Mix'!PET21-'NF - 5 Power Mix'!PET22</f>
        <v>0</v>
      </c>
      <c r="PEU42" s="1046">
        <f>PEU38+((PEU40+'NF - 5 Power Mix'!PEU14+'NF - 5 Power Mix'!PEU15)*860/10)+((('Form Sa1'!PEX835)*860)/10)+('Form Sa1'!PEX814*'Form Sa1'!PEX816/10)-'NF - 5 Power Mix'!PEU21-'NF - 5 Power Mix'!PEU22</f>
        <v>0</v>
      </c>
      <c r="PEV42" s="1046">
        <f>PEV38+((PEV40+'NF - 5 Power Mix'!PEV14+'NF - 5 Power Mix'!PEV15)*860/10)+((('Form Sa1'!PEY835)*860)/10)+('Form Sa1'!PEY814*'Form Sa1'!PEY816/10)-'NF - 5 Power Mix'!PEV21-'NF - 5 Power Mix'!PEV22</f>
        <v>0</v>
      </c>
      <c r="PEW42" s="1046">
        <f>PEW38+((PEW40+'NF - 5 Power Mix'!PEW14+'NF - 5 Power Mix'!PEW15)*860/10)+((('Form Sa1'!PEZ835)*860)/10)+('Form Sa1'!PEZ814*'Form Sa1'!PEZ816/10)-'NF - 5 Power Mix'!PEW21-'NF - 5 Power Mix'!PEW22</f>
        <v>0</v>
      </c>
      <c r="PEX42" s="1046">
        <f>PEX38+((PEX40+'NF - 5 Power Mix'!PEX14+'NF - 5 Power Mix'!PEX15)*860/10)+((('Form Sa1'!PFA835)*860)/10)+('Form Sa1'!PFA814*'Form Sa1'!PFA816/10)-'NF - 5 Power Mix'!PEX21-'NF - 5 Power Mix'!PEX22</f>
        <v>0</v>
      </c>
      <c r="PEY42" s="1046">
        <f>PEY38+((PEY40+'NF - 5 Power Mix'!PEY14+'NF - 5 Power Mix'!PEY15)*860/10)+((('Form Sa1'!PFB835)*860)/10)+('Form Sa1'!PFB814*'Form Sa1'!PFB816/10)-'NF - 5 Power Mix'!PEY21-'NF - 5 Power Mix'!PEY22</f>
        <v>0</v>
      </c>
      <c r="PEZ42" s="1046">
        <f>PEZ38+((PEZ40+'NF - 5 Power Mix'!PEZ14+'NF - 5 Power Mix'!PEZ15)*860/10)+((('Form Sa1'!PFC835)*860)/10)+('Form Sa1'!PFC814*'Form Sa1'!PFC816/10)-'NF - 5 Power Mix'!PEZ21-'NF - 5 Power Mix'!PEZ22</f>
        <v>0</v>
      </c>
      <c r="PFA42" s="1046">
        <f>PFA38+((PFA40+'NF - 5 Power Mix'!PFA14+'NF - 5 Power Mix'!PFA15)*860/10)+((('Form Sa1'!PFD835)*860)/10)+('Form Sa1'!PFD814*'Form Sa1'!PFD816/10)-'NF - 5 Power Mix'!PFA21-'NF - 5 Power Mix'!PFA22</f>
        <v>0</v>
      </c>
      <c r="PFB42" s="1046">
        <f>PFB38+((PFB40+'NF - 5 Power Mix'!PFB14+'NF - 5 Power Mix'!PFB15)*860/10)+((('Form Sa1'!PFE835)*860)/10)+('Form Sa1'!PFE814*'Form Sa1'!PFE816/10)-'NF - 5 Power Mix'!PFB21-'NF - 5 Power Mix'!PFB22</f>
        <v>0</v>
      </c>
      <c r="PFC42" s="1046">
        <f>PFC38+((PFC40+'NF - 5 Power Mix'!PFC14+'NF - 5 Power Mix'!PFC15)*860/10)+((('Form Sa1'!PFF835)*860)/10)+('Form Sa1'!PFF814*'Form Sa1'!PFF816/10)-'NF - 5 Power Mix'!PFC21-'NF - 5 Power Mix'!PFC22</f>
        <v>0</v>
      </c>
      <c r="PFD42" s="1046">
        <f>PFD38+((PFD40+'NF - 5 Power Mix'!PFD14+'NF - 5 Power Mix'!PFD15)*860/10)+((('Form Sa1'!PFG835)*860)/10)+('Form Sa1'!PFG814*'Form Sa1'!PFG816/10)-'NF - 5 Power Mix'!PFD21-'NF - 5 Power Mix'!PFD22</f>
        <v>0</v>
      </c>
      <c r="PFE42" s="1046">
        <f>PFE38+((PFE40+'NF - 5 Power Mix'!PFE14+'NF - 5 Power Mix'!PFE15)*860/10)+((('Form Sa1'!PFH835)*860)/10)+('Form Sa1'!PFH814*'Form Sa1'!PFH816/10)-'NF - 5 Power Mix'!PFE21-'NF - 5 Power Mix'!PFE22</f>
        <v>0</v>
      </c>
      <c r="PFF42" s="1046">
        <f>PFF38+((PFF40+'NF - 5 Power Mix'!PFF14+'NF - 5 Power Mix'!PFF15)*860/10)+((('Form Sa1'!PFI835)*860)/10)+('Form Sa1'!PFI814*'Form Sa1'!PFI816/10)-'NF - 5 Power Mix'!PFF21-'NF - 5 Power Mix'!PFF22</f>
        <v>0</v>
      </c>
      <c r="PFG42" s="1046">
        <f>PFG38+((PFG40+'NF - 5 Power Mix'!PFG14+'NF - 5 Power Mix'!PFG15)*860/10)+((('Form Sa1'!PFJ835)*860)/10)+('Form Sa1'!PFJ814*'Form Sa1'!PFJ816/10)-'NF - 5 Power Mix'!PFG21-'NF - 5 Power Mix'!PFG22</f>
        <v>0</v>
      </c>
      <c r="PFH42" s="1046">
        <f>PFH38+((PFH40+'NF - 5 Power Mix'!PFH14+'NF - 5 Power Mix'!PFH15)*860/10)+((('Form Sa1'!PFK835)*860)/10)+('Form Sa1'!PFK814*'Form Sa1'!PFK816/10)-'NF - 5 Power Mix'!PFH21-'NF - 5 Power Mix'!PFH22</f>
        <v>0</v>
      </c>
      <c r="PFI42" s="1046">
        <f>PFI38+((PFI40+'NF - 5 Power Mix'!PFI14+'NF - 5 Power Mix'!PFI15)*860/10)+((('Form Sa1'!PFL835)*860)/10)+('Form Sa1'!PFL814*'Form Sa1'!PFL816/10)-'NF - 5 Power Mix'!PFI21-'NF - 5 Power Mix'!PFI22</f>
        <v>0</v>
      </c>
      <c r="PFJ42" s="1046">
        <f>PFJ38+((PFJ40+'NF - 5 Power Mix'!PFJ14+'NF - 5 Power Mix'!PFJ15)*860/10)+((('Form Sa1'!PFM835)*860)/10)+('Form Sa1'!PFM814*'Form Sa1'!PFM816/10)-'NF - 5 Power Mix'!PFJ21-'NF - 5 Power Mix'!PFJ22</f>
        <v>0</v>
      </c>
      <c r="PFK42" s="1046">
        <f>PFK38+((PFK40+'NF - 5 Power Mix'!PFK14+'NF - 5 Power Mix'!PFK15)*860/10)+((('Form Sa1'!PFN835)*860)/10)+('Form Sa1'!PFN814*'Form Sa1'!PFN816/10)-'NF - 5 Power Mix'!PFK21-'NF - 5 Power Mix'!PFK22</f>
        <v>0</v>
      </c>
      <c r="PFL42" s="1046">
        <f>PFL38+((PFL40+'NF - 5 Power Mix'!PFL14+'NF - 5 Power Mix'!PFL15)*860/10)+((('Form Sa1'!PFO835)*860)/10)+('Form Sa1'!PFO814*'Form Sa1'!PFO816/10)-'NF - 5 Power Mix'!PFL21-'NF - 5 Power Mix'!PFL22</f>
        <v>0</v>
      </c>
      <c r="PFM42" s="1046">
        <f>PFM38+((PFM40+'NF - 5 Power Mix'!PFM14+'NF - 5 Power Mix'!PFM15)*860/10)+((('Form Sa1'!PFP835)*860)/10)+('Form Sa1'!PFP814*'Form Sa1'!PFP816/10)-'NF - 5 Power Mix'!PFM21-'NF - 5 Power Mix'!PFM22</f>
        <v>0</v>
      </c>
      <c r="PFN42" s="1046">
        <f>PFN38+((PFN40+'NF - 5 Power Mix'!PFN14+'NF - 5 Power Mix'!PFN15)*860/10)+((('Form Sa1'!PFQ835)*860)/10)+('Form Sa1'!PFQ814*'Form Sa1'!PFQ816/10)-'NF - 5 Power Mix'!PFN21-'NF - 5 Power Mix'!PFN22</f>
        <v>0</v>
      </c>
      <c r="PFO42" s="1046">
        <f>PFO38+((PFO40+'NF - 5 Power Mix'!PFO14+'NF - 5 Power Mix'!PFO15)*860/10)+((('Form Sa1'!PFR835)*860)/10)+('Form Sa1'!PFR814*'Form Sa1'!PFR816/10)-'NF - 5 Power Mix'!PFO21-'NF - 5 Power Mix'!PFO22</f>
        <v>0</v>
      </c>
      <c r="PFP42" s="1046">
        <f>PFP38+((PFP40+'NF - 5 Power Mix'!PFP14+'NF - 5 Power Mix'!PFP15)*860/10)+((('Form Sa1'!PFS835)*860)/10)+('Form Sa1'!PFS814*'Form Sa1'!PFS816/10)-'NF - 5 Power Mix'!PFP21-'NF - 5 Power Mix'!PFP22</f>
        <v>0</v>
      </c>
      <c r="PFQ42" s="1046">
        <f>PFQ38+((PFQ40+'NF - 5 Power Mix'!PFQ14+'NF - 5 Power Mix'!PFQ15)*860/10)+((('Form Sa1'!PFT835)*860)/10)+('Form Sa1'!PFT814*'Form Sa1'!PFT816/10)-'NF - 5 Power Mix'!PFQ21-'NF - 5 Power Mix'!PFQ22</f>
        <v>0</v>
      </c>
      <c r="PFR42" s="1046">
        <f>PFR38+((PFR40+'NF - 5 Power Mix'!PFR14+'NF - 5 Power Mix'!PFR15)*860/10)+((('Form Sa1'!PFU835)*860)/10)+('Form Sa1'!PFU814*'Form Sa1'!PFU816/10)-'NF - 5 Power Mix'!PFR21-'NF - 5 Power Mix'!PFR22</f>
        <v>0</v>
      </c>
      <c r="PFS42" s="1046">
        <f>PFS38+((PFS40+'NF - 5 Power Mix'!PFS14+'NF - 5 Power Mix'!PFS15)*860/10)+((('Form Sa1'!PFV835)*860)/10)+('Form Sa1'!PFV814*'Form Sa1'!PFV816/10)-'NF - 5 Power Mix'!PFS21-'NF - 5 Power Mix'!PFS22</f>
        <v>0</v>
      </c>
      <c r="PFT42" s="1046">
        <f>PFT38+((PFT40+'NF - 5 Power Mix'!PFT14+'NF - 5 Power Mix'!PFT15)*860/10)+((('Form Sa1'!PFW835)*860)/10)+('Form Sa1'!PFW814*'Form Sa1'!PFW816/10)-'NF - 5 Power Mix'!PFT21-'NF - 5 Power Mix'!PFT22</f>
        <v>0</v>
      </c>
      <c r="PFU42" s="1046">
        <f>PFU38+((PFU40+'NF - 5 Power Mix'!PFU14+'NF - 5 Power Mix'!PFU15)*860/10)+((('Form Sa1'!PFX835)*860)/10)+('Form Sa1'!PFX814*'Form Sa1'!PFX816/10)-'NF - 5 Power Mix'!PFU21-'NF - 5 Power Mix'!PFU22</f>
        <v>0</v>
      </c>
      <c r="PFV42" s="1046">
        <f>PFV38+((PFV40+'NF - 5 Power Mix'!PFV14+'NF - 5 Power Mix'!PFV15)*860/10)+((('Form Sa1'!PFY835)*860)/10)+('Form Sa1'!PFY814*'Form Sa1'!PFY816/10)-'NF - 5 Power Mix'!PFV21-'NF - 5 Power Mix'!PFV22</f>
        <v>0</v>
      </c>
      <c r="PFW42" s="1046">
        <f>PFW38+((PFW40+'NF - 5 Power Mix'!PFW14+'NF - 5 Power Mix'!PFW15)*860/10)+((('Form Sa1'!PFZ835)*860)/10)+('Form Sa1'!PFZ814*'Form Sa1'!PFZ816/10)-'NF - 5 Power Mix'!PFW21-'NF - 5 Power Mix'!PFW22</f>
        <v>0</v>
      </c>
      <c r="PFX42" s="1046">
        <f>PFX38+((PFX40+'NF - 5 Power Mix'!PFX14+'NF - 5 Power Mix'!PFX15)*860/10)+((('Form Sa1'!PGA835)*860)/10)+('Form Sa1'!PGA814*'Form Sa1'!PGA816/10)-'NF - 5 Power Mix'!PFX21-'NF - 5 Power Mix'!PFX22</f>
        <v>0</v>
      </c>
      <c r="PFY42" s="1046">
        <f>PFY38+((PFY40+'NF - 5 Power Mix'!PFY14+'NF - 5 Power Mix'!PFY15)*860/10)+((('Form Sa1'!PGB835)*860)/10)+('Form Sa1'!PGB814*'Form Sa1'!PGB816/10)-'NF - 5 Power Mix'!PFY21-'NF - 5 Power Mix'!PFY22</f>
        <v>0</v>
      </c>
      <c r="PFZ42" s="1046">
        <f>PFZ38+((PFZ40+'NF - 5 Power Mix'!PFZ14+'NF - 5 Power Mix'!PFZ15)*860/10)+((('Form Sa1'!PGC835)*860)/10)+('Form Sa1'!PGC814*'Form Sa1'!PGC816/10)-'NF - 5 Power Mix'!PFZ21-'NF - 5 Power Mix'!PFZ22</f>
        <v>0</v>
      </c>
      <c r="PGA42" s="1046">
        <f>PGA38+((PGA40+'NF - 5 Power Mix'!PGA14+'NF - 5 Power Mix'!PGA15)*860/10)+((('Form Sa1'!PGD835)*860)/10)+('Form Sa1'!PGD814*'Form Sa1'!PGD816/10)-'NF - 5 Power Mix'!PGA21-'NF - 5 Power Mix'!PGA22</f>
        <v>0</v>
      </c>
      <c r="PGB42" s="1046">
        <f>PGB38+((PGB40+'NF - 5 Power Mix'!PGB14+'NF - 5 Power Mix'!PGB15)*860/10)+((('Form Sa1'!PGE835)*860)/10)+('Form Sa1'!PGE814*'Form Sa1'!PGE816/10)-'NF - 5 Power Mix'!PGB21-'NF - 5 Power Mix'!PGB22</f>
        <v>0</v>
      </c>
      <c r="PGC42" s="1046">
        <f>PGC38+((PGC40+'NF - 5 Power Mix'!PGC14+'NF - 5 Power Mix'!PGC15)*860/10)+((('Form Sa1'!PGF835)*860)/10)+('Form Sa1'!PGF814*'Form Sa1'!PGF816/10)-'NF - 5 Power Mix'!PGC21-'NF - 5 Power Mix'!PGC22</f>
        <v>0</v>
      </c>
      <c r="PGD42" s="1046">
        <f>PGD38+((PGD40+'NF - 5 Power Mix'!PGD14+'NF - 5 Power Mix'!PGD15)*860/10)+((('Form Sa1'!PGG835)*860)/10)+('Form Sa1'!PGG814*'Form Sa1'!PGG816/10)-'NF - 5 Power Mix'!PGD21-'NF - 5 Power Mix'!PGD22</f>
        <v>0</v>
      </c>
      <c r="PGE42" s="1046">
        <f>PGE38+((PGE40+'NF - 5 Power Mix'!PGE14+'NF - 5 Power Mix'!PGE15)*860/10)+((('Form Sa1'!PGH835)*860)/10)+('Form Sa1'!PGH814*'Form Sa1'!PGH816/10)-'NF - 5 Power Mix'!PGE21-'NF - 5 Power Mix'!PGE22</f>
        <v>0</v>
      </c>
      <c r="PGF42" s="1046">
        <f>PGF38+((PGF40+'NF - 5 Power Mix'!PGF14+'NF - 5 Power Mix'!PGF15)*860/10)+((('Form Sa1'!PGI835)*860)/10)+('Form Sa1'!PGI814*'Form Sa1'!PGI816/10)-'NF - 5 Power Mix'!PGF21-'NF - 5 Power Mix'!PGF22</f>
        <v>0</v>
      </c>
      <c r="PGG42" s="1046">
        <f>PGG38+((PGG40+'NF - 5 Power Mix'!PGG14+'NF - 5 Power Mix'!PGG15)*860/10)+((('Form Sa1'!PGJ835)*860)/10)+('Form Sa1'!PGJ814*'Form Sa1'!PGJ816/10)-'NF - 5 Power Mix'!PGG21-'NF - 5 Power Mix'!PGG22</f>
        <v>0</v>
      </c>
      <c r="PGH42" s="1046">
        <f>PGH38+((PGH40+'NF - 5 Power Mix'!PGH14+'NF - 5 Power Mix'!PGH15)*860/10)+((('Form Sa1'!PGK835)*860)/10)+('Form Sa1'!PGK814*'Form Sa1'!PGK816/10)-'NF - 5 Power Mix'!PGH21-'NF - 5 Power Mix'!PGH22</f>
        <v>0</v>
      </c>
      <c r="PGI42" s="1046">
        <f>PGI38+((PGI40+'NF - 5 Power Mix'!PGI14+'NF - 5 Power Mix'!PGI15)*860/10)+((('Form Sa1'!PGL835)*860)/10)+('Form Sa1'!PGL814*'Form Sa1'!PGL816/10)-'NF - 5 Power Mix'!PGI21-'NF - 5 Power Mix'!PGI22</f>
        <v>0</v>
      </c>
      <c r="PGJ42" s="1046">
        <f>PGJ38+((PGJ40+'NF - 5 Power Mix'!PGJ14+'NF - 5 Power Mix'!PGJ15)*860/10)+((('Form Sa1'!PGM835)*860)/10)+('Form Sa1'!PGM814*'Form Sa1'!PGM816/10)-'NF - 5 Power Mix'!PGJ21-'NF - 5 Power Mix'!PGJ22</f>
        <v>0</v>
      </c>
      <c r="PGK42" s="1046">
        <f>PGK38+((PGK40+'NF - 5 Power Mix'!PGK14+'NF - 5 Power Mix'!PGK15)*860/10)+((('Form Sa1'!PGN835)*860)/10)+('Form Sa1'!PGN814*'Form Sa1'!PGN816/10)-'NF - 5 Power Mix'!PGK21-'NF - 5 Power Mix'!PGK22</f>
        <v>0</v>
      </c>
      <c r="PGL42" s="1046">
        <f>PGL38+((PGL40+'NF - 5 Power Mix'!PGL14+'NF - 5 Power Mix'!PGL15)*860/10)+((('Form Sa1'!PGO835)*860)/10)+('Form Sa1'!PGO814*'Form Sa1'!PGO816/10)-'NF - 5 Power Mix'!PGL21-'NF - 5 Power Mix'!PGL22</f>
        <v>0</v>
      </c>
      <c r="PGM42" s="1046">
        <f>PGM38+((PGM40+'NF - 5 Power Mix'!PGM14+'NF - 5 Power Mix'!PGM15)*860/10)+((('Form Sa1'!PGP835)*860)/10)+('Form Sa1'!PGP814*'Form Sa1'!PGP816/10)-'NF - 5 Power Mix'!PGM21-'NF - 5 Power Mix'!PGM22</f>
        <v>0</v>
      </c>
      <c r="PGN42" s="1046">
        <f>PGN38+((PGN40+'NF - 5 Power Mix'!PGN14+'NF - 5 Power Mix'!PGN15)*860/10)+((('Form Sa1'!PGQ835)*860)/10)+('Form Sa1'!PGQ814*'Form Sa1'!PGQ816/10)-'NF - 5 Power Mix'!PGN21-'NF - 5 Power Mix'!PGN22</f>
        <v>0</v>
      </c>
      <c r="PGO42" s="1046">
        <f>PGO38+((PGO40+'NF - 5 Power Mix'!PGO14+'NF - 5 Power Mix'!PGO15)*860/10)+((('Form Sa1'!PGR835)*860)/10)+('Form Sa1'!PGR814*'Form Sa1'!PGR816/10)-'NF - 5 Power Mix'!PGO21-'NF - 5 Power Mix'!PGO22</f>
        <v>0</v>
      </c>
      <c r="PGP42" s="1046">
        <f>PGP38+((PGP40+'NF - 5 Power Mix'!PGP14+'NF - 5 Power Mix'!PGP15)*860/10)+((('Form Sa1'!PGS835)*860)/10)+('Form Sa1'!PGS814*'Form Sa1'!PGS816/10)-'NF - 5 Power Mix'!PGP21-'NF - 5 Power Mix'!PGP22</f>
        <v>0</v>
      </c>
      <c r="PGQ42" s="1046">
        <f>PGQ38+((PGQ40+'NF - 5 Power Mix'!PGQ14+'NF - 5 Power Mix'!PGQ15)*860/10)+((('Form Sa1'!PGT835)*860)/10)+('Form Sa1'!PGT814*'Form Sa1'!PGT816/10)-'NF - 5 Power Mix'!PGQ21-'NF - 5 Power Mix'!PGQ22</f>
        <v>0</v>
      </c>
      <c r="PGR42" s="1046">
        <f>PGR38+((PGR40+'NF - 5 Power Mix'!PGR14+'NF - 5 Power Mix'!PGR15)*860/10)+((('Form Sa1'!PGU835)*860)/10)+('Form Sa1'!PGU814*'Form Sa1'!PGU816/10)-'NF - 5 Power Mix'!PGR21-'NF - 5 Power Mix'!PGR22</f>
        <v>0</v>
      </c>
      <c r="PGS42" s="1046">
        <f>PGS38+((PGS40+'NF - 5 Power Mix'!PGS14+'NF - 5 Power Mix'!PGS15)*860/10)+((('Form Sa1'!PGV835)*860)/10)+('Form Sa1'!PGV814*'Form Sa1'!PGV816/10)-'NF - 5 Power Mix'!PGS21-'NF - 5 Power Mix'!PGS22</f>
        <v>0</v>
      </c>
      <c r="PGT42" s="1046">
        <f>PGT38+((PGT40+'NF - 5 Power Mix'!PGT14+'NF - 5 Power Mix'!PGT15)*860/10)+((('Form Sa1'!PGW835)*860)/10)+('Form Sa1'!PGW814*'Form Sa1'!PGW816/10)-'NF - 5 Power Mix'!PGT21-'NF - 5 Power Mix'!PGT22</f>
        <v>0</v>
      </c>
      <c r="PGU42" s="1046">
        <f>PGU38+((PGU40+'NF - 5 Power Mix'!PGU14+'NF - 5 Power Mix'!PGU15)*860/10)+((('Form Sa1'!PGX835)*860)/10)+('Form Sa1'!PGX814*'Form Sa1'!PGX816/10)-'NF - 5 Power Mix'!PGU21-'NF - 5 Power Mix'!PGU22</f>
        <v>0</v>
      </c>
      <c r="PGV42" s="1046">
        <f>PGV38+((PGV40+'NF - 5 Power Mix'!PGV14+'NF - 5 Power Mix'!PGV15)*860/10)+((('Form Sa1'!PGY835)*860)/10)+('Form Sa1'!PGY814*'Form Sa1'!PGY816/10)-'NF - 5 Power Mix'!PGV21-'NF - 5 Power Mix'!PGV22</f>
        <v>0</v>
      </c>
      <c r="PGW42" s="1046">
        <f>PGW38+((PGW40+'NF - 5 Power Mix'!PGW14+'NF - 5 Power Mix'!PGW15)*860/10)+((('Form Sa1'!PGZ835)*860)/10)+('Form Sa1'!PGZ814*'Form Sa1'!PGZ816/10)-'NF - 5 Power Mix'!PGW21-'NF - 5 Power Mix'!PGW22</f>
        <v>0</v>
      </c>
      <c r="PGX42" s="1046">
        <f>PGX38+((PGX40+'NF - 5 Power Mix'!PGX14+'NF - 5 Power Mix'!PGX15)*860/10)+((('Form Sa1'!PHA835)*860)/10)+('Form Sa1'!PHA814*'Form Sa1'!PHA816/10)-'NF - 5 Power Mix'!PGX21-'NF - 5 Power Mix'!PGX22</f>
        <v>0</v>
      </c>
      <c r="PGY42" s="1046">
        <f>PGY38+((PGY40+'NF - 5 Power Mix'!PGY14+'NF - 5 Power Mix'!PGY15)*860/10)+((('Form Sa1'!PHB835)*860)/10)+('Form Sa1'!PHB814*'Form Sa1'!PHB816/10)-'NF - 5 Power Mix'!PGY21-'NF - 5 Power Mix'!PGY22</f>
        <v>0</v>
      </c>
      <c r="PGZ42" s="1046">
        <f>PGZ38+((PGZ40+'NF - 5 Power Mix'!PGZ14+'NF - 5 Power Mix'!PGZ15)*860/10)+((('Form Sa1'!PHC835)*860)/10)+('Form Sa1'!PHC814*'Form Sa1'!PHC816/10)-'NF - 5 Power Mix'!PGZ21-'NF - 5 Power Mix'!PGZ22</f>
        <v>0</v>
      </c>
      <c r="PHA42" s="1046">
        <f>PHA38+((PHA40+'NF - 5 Power Mix'!PHA14+'NF - 5 Power Mix'!PHA15)*860/10)+((('Form Sa1'!PHD835)*860)/10)+('Form Sa1'!PHD814*'Form Sa1'!PHD816/10)-'NF - 5 Power Mix'!PHA21-'NF - 5 Power Mix'!PHA22</f>
        <v>0</v>
      </c>
      <c r="PHB42" s="1046">
        <f>PHB38+((PHB40+'NF - 5 Power Mix'!PHB14+'NF - 5 Power Mix'!PHB15)*860/10)+((('Form Sa1'!PHE835)*860)/10)+('Form Sa1'!PHE814*'Form Sa1'!PHE816/10)-'NF - 5 Power Mix'!PHB21-'NF - 5 Power Mix'!PHB22</f>
        <v>0</v>
      </c>
      <c r="PHC42" s="1046">
        <f>PHC38+((PHC40+'NF - 5 Power Mix'!PHC14+'NF - 5 Power Mix'!PHC15)*860/10)+((('Form Sa1'!PHF835)*860)/10)+('Form Sa1'!PHF814*'Form Sa1'!PHF816/10)-'NF - 5 Power Mix'!PHC21-'NF - 5 Power Mix'!PHC22</f>
        <v>0</v>
      </c>
      <c r="PHD42" s="1046">
        <f>PHD38+((PHD40+'NF - 5 Power Mix'!PHD14+'NF - 5 Power Mix'!PHD15)*860/10)+((('Form Sa1'!PHG835)*860)/10)+('Form Sa1'!PHG814*'Form Sa1'!PHG816/10)-'NF - 5 Power Mix'!PHD21-'NF - 5 Power Mix'!PHD22</f>
        <v>0</v>
      </c>
      <c r="PHE42" s="1046">
        <f>PHE38+((PHE40+'NF - 5 Power Mix'!PHE14+'NF - 5 Power Mix'!PHE15)*860/10)+((('Form Sa1'!PHH835)*860)/10)+('Form Sa1'!PHH814*'Form Sa1'!PHH816/10)-'NF - 5 Power Mix'!PHE21-'NF - 5 Power Mix'!PHE22</f>
        <v>0</v>
      </c>
      <c r="PHF42" s="1046">
        <f>PHF38+((PHF40+'NF - 5 Power Mix'!PHF14+'NF - 5 Power Mix'!PHF15)*860/10)+((('Form Sa1'!PHI835)*860)/10)+('Form Sa1'!PHI814*'Form Sa1'!PHI816/10)-'NF - 5 Power Mix'!PHF21-'NF - 5 Power Mix'!PHF22</f>
        <v>0</v>
      </c>
      <c r="PHG42" s="1046">
        <f>PHG38+((PHG40+'NF - 5 Power Mix'!PHG14+'NF - 5 Power Mix'!PHG15)*860/10)+((('Form Sa1'!PHJ835)*860)/10)+('Form Sa1'!PHJ814*'Form Sa1'!PHJ816/10)-'NF - 5 Power Mix'!PHG21-'NF - 5 Power Mix'!PHG22</f>
        <v>0</v>
      </c>
      <c r="PHH42" s="1046">
        <f>PHH38+((PHH40+'NF - 5 Power Mix'!PHH14+'NF - 5 Power Mix'!PHH15)*860/10)+((('Form Sa1'!PHK835)*860)/10)+('Form Sa1'!PHK814*'Form Sa1'!PHK816/10)-'NF - 5 Power Mix'!PHH21-'NF - 5 Power Mix'!PHH22</f>
        <v>0</v>
      </c>
      <c r="PHI42" s="1046">
        <f>PHI38+((PHI40+'NF - 5 Power Mix'!PHI14+'NF - 5 Power Mix'!PHI15)*860/10)+((('Form Sa1'!PHL835)*860)/10)+('Form Sa1'!PHL814*'Form Sa1'!PHL816/10)-'NF - 5 Power Mix'!PHI21-'NF - 5 Power Mix'!PHI22</f>
        <v>0</v>
      </c>
      <c r="PHJ42" s="1046">
        <f>PHJ38+((PHJ40+'NF - 5 Power Mix'!PHJ14+'NF - 5 Power Mix'!PHJ15)*860/10)+((('Form Sa1'!PHM835)*860)/10)+('Form Sa1'!PHM814*'Form Sa1'!PHM816/10)-'NF - 5 Power Mix'!PHJ21-'NF - 5 Power Mix'!PHJ22</f>
        <v>0</v>
      </c>
      <c r="PHK42" s="1046">
        <f>PHK38+((PHK40+'NF - 5 Power Mix'!PHK14+'NF - 5 Power Mix'!PHK15)*860/10)+((('Form Sa1'!PHN835)*860)/10)+('Form Sa1'!PHN814*'Form Sa1'!PHN816/10)-'NF - 5 Power Mix'!PHK21-'NF - 5 Power Mix'!PHK22</f>
        <v>0</v>
      </c>
      <c r="PHL42" s="1046">
        <f>PHL38+((PHL40+'NF - 5 Power Mix'!PHL14+'NF - 5 Power Mix'!PHL15)*860/10)+((('Form Sa1'!PHO835)*860)/10)+('Form Sa1'!PHO814*'Form Sa1'!PHO816/10)-'NF - 5 Power Mix'!PHL21-'NF - 5 Power Mix'!PHL22</f>
        <v>0</v>
      </c>
      <c r="PHM42" s="1046">
        <f>PHM38+((PHM40+'NF - 5 Power Mix'!PHM14+'NF - 5 Power Mix'!PHM15)*860/10)+((('Form Sa1'!PHP835)*860)/10)+('Form Sa1'!PHP814*'Form Sa1'!PHP816/10)-'NF - 5 Power Mix'!PHM21-'NF - 5 Power Mix'!PHM22</f>
        <v>0</v>
      </c>
      <c r="PHN42" s="1046">
        <f>PHN38+((PHN40+'NF - 5 Power Mix'!PHN14+'NF - 5 Power Mix'!PHN15)*860/10)+((('Form Sa1'!PHQ835)*860)/10)+('Form Sa1'!PHQ814*'Form Sa1'!PHQ816/10)-'NF - 5 Power Mix'!PHN21-'NF - 5 Power Mix'!PHN22</f>
        <v>0</v>
      </c>
      <c r="PHO42" s="1046">
        <f>PHO38+((PHO40+'NF - 5 Power Mix'!PHO14+'NF - 5 Power Mix'!PHO15)*860/10)+((('Form Sa1'!PHR835)*860)/10)+('Form Sa1'!PHR814*'Form Sa1'!PHR816/10)-'NF - 5 Power Mix'!PHO21-'NF - 5 Power Mix'!PHO22</f>
        <v>0</v>
      </c>
      <c r="PHP42" s="1046">
        <f>PHP38+((PHP40+'NF - 5 Power Mix'!PHP14+'NF - 5 Power Mix'!PHP15)*860/10)+((('Form Sa1'!PHS835)*860)/10)+('Form Sa1'!PHS814*'Form Sa1'!PHS816/10)-'NF - 5 Power Mix'!PHP21-'NF - 5 Power Mix'!PHP22</f>
        <v>0</v>
      </c>
      <c r="PHQ42" s="1046">
        <f>PHQ38+((PHQ40+'NF - 5 Power Mix'!PHQ14+'NF - 5 Power Mix'!PHQ15)*860/10)+((('Form Sa1'!PHT835)*860)/10)+('Form Sa1'!PHT814*'Form Sa1'!PHT816/10)-'NF - 5 Power Mix'!PHQ21-'NF - 5 Power Mix'!PHQ22</f>
        <v>0</v>
      </c>
      <c r="PHR42" s="1046">
        <f>PHR38+((PHR40+'NF - 5 Power Mix'!PHR14+'NF - 5 Power Mix'!PHR15)*860/10)+((('Form Sa1'!PHU835)*860)/10)+('Form Sa1'!PHU814*'Form Sa1'!PHU816/10)-'NF - 5 Power Mix'!PHR21-'NF - 5 Power Mix'!PHR22</f>
        <v>0</v>
      </c>
      <c r="PHS42" s="1046">
        <f>PHS38+((PHS40+'NF - 5 Power Mix'!PHS14+'NF - 5 Power Mix'!PHS15)*860/10)+((('Form Sa1'!PHV835)*860)/10)+('Form Sa1'!PHV814*'Form Sa1'!PHV816/10)-'NF - 5 Power Mix'!PHS21-'NF - 5 Power Mix'!PHS22</f>
        <v>0</v>
      </c>
      <c r="PHT42" s="1046">
        <f>PHT38+((PHT40+'NF - 5 Power Mix'!PHT14+'NF - 5 Power Mix'!PHT15)*860/10)+((('Form Sa1'!PHW835)*860)/10)+('Form Sa1'!PHW814*'Form Sa1'!PHW816/10)-'NF - 5 Power Mix'!PHT21-'NF - 5 Power Mix'!PHT22</f>
        <v>0</v>
      </c>
      <c r="PHU42" s="1046">
        <f>PHU38+((PHU40+'NF - 5 Power Mix'!PHU14+'NF - 5 Power Mix'!PHU15)*860/10)+((('Form Sa1'!PHX835)*860)/10)+('Form Sa1'!PHX814*'Form Sa1'!PHX816/10)-'NF - 5 Power Mix'!PHU21-'NF - 5 Power Mix'!PHU22</f>
        <v>0</v>
      </c>
      <c r="PHV42" s="1046">
        <f>PHV38+((PHV40+'NF - 5 Power Mix'!PHV14+'NF - 5 Power Mix'!PHV15)*860/10)+((('Form Sa1'!PHY835)*860)/10)+('Form Sa1'!PHY814*'Form Sa1'!PHY816/10)-'NF - 5 Power Mix'!PHV21-'NF - 5 Power Mix'!PHV22</f>
        <v>0</v>
      </c>
      <c r="PHW42" s="1046">
        <f>PHW38+((PHW40+'NF - 5 Power Mix'!PHW14+'NF - 5 Power Mix'!PHW15)*860/10)+((('Form Sa1'!PHZ835)*860)/10)+('Form Sa1'!PHZ814*'Form Sa1'!PHZ816/10)-'NF - 5 Power Mix'!PHW21-'NF - 5 Power Mix'!PHW22</f>
        <v>0</v>
      </c>
      <c r="PHX42" s="1046">
        <f>PHX38+((PHX40+'NF - 5 Power Mix'!PHX14+'NF - 5 Power Mix'!PHX15)*860/10)+((('Form Sa1'!PIA835)*860)/10)+('Form Sa1'!PIA814*'Form Sa1'!PIA816/10)-'NF - 5 Power Mix'!PHX21-'NF - 5 Power Mix'!PHX22</f>
        <v>0</v>
      </c>
      <c r="PHY42" s="1046">
        <f>PHY38+((PHY40+'NF - 5 Power Mix'!PHY14+'NF - 5 Power Mix'!PHY15)*860/10)+((('Form Sa1'!PIB835)*860)/10)+('Form Sa1'!PIB814*'Form Sa1'!PIB816/10)-'NF - 5 Power Mix'!PHY21-'NF - 5 Power Mix'!PHY22</f>
        <v>0</v>
      </c>
      <c r="PHZ42" s="1046">
        <f>PHZ38+((PHZ40+'NF - 5 Power Mix'!PHZ14+'NF - 5 Power Mix'!PHZ15)*860/10)+((('Form Sa1'!PIC835)*860)/10)+('Form Sa1'!PIC814*'Form Sa1'!PIC816/10)-'NF - 5 Power Mix'!PHZ21-'NF - 5 Power Mix'!PHZ22</f>
        <v>0</v>
      </c>
      <c r="PIA42" s="1046">
        <f>PIA38+((PIA40+'NF - 5 Power Mix'!PIA14+'NF - 5 Power Mix'!PIA15)*860/10)+((('Form Sa1'!PID835)*860)/10)+('Form Sa1'!PID814*'Form Sa1'!PID816/10)-'NF - 5 Power Mix'!PIA21-'NF - 5 Power Mix'!PIA22</f>
        <v>0</v>
      </c>
      <c r="PIB42" s="1046">
        <f>PIB38+((PIB40+'NF - 5 Power Mix'!PIB14+'NF - 5 Power Mix'!PIB15)*860/10)+((('Form Sa1'!PIE835)*860)/10)+('Form Sa1'!PIE814*'Form Sa1'!PIE816/10)-'NF - 5 Power Mix'!PIB21-'NF - 5 Power Mix'!PIB22</f>
        <v>0</v>
      </c>
      <c r="PIC42" s="1046">
        <f>PIC38+((PIC40+'NF - 5 Power Mix'!PIC14+'NF - 5 Power Mix'!PIC15)*860/10)+((('Form Sa1'!PIF835)*860)/10)+('Form Sa1'!PIF814*'Form Sa1'!PIF816/10)-'NF - 5 Power Mix'!PIC21-'NF - 5 Power Mix'!PIC22</f>
        <v>0</v>
      </c>
      <c r="PID42" s="1046">
        <f>PID38+((PID40+'NF - 5 Power Mix'!PID14+'NF - 5 Power Mix'!PID15)*860/10)+((('Form Sa1'!PIG835)*860)/10)+('Form Sa1'!PIG814*'Form Sa1'!PIG816/10)-'NF - 5 Power Mix'!PID21-'NF - 5 Power Mix'!PID22</f>
        <v>0</v>
      </c>
      <c r="PIE42" s="1046">
        <f>PIE38+((PIE40+'NF - 5 Power Mix'!PIE14+'NF - 5 Power Mix'!PIE15)*860/10)+((('Form Sa1'!PIH835)*860)/10)+('Form Sa1'!PIH814*'Form Sa1'!PIH816/10)-'NF - 5 Power Mix'!PIE21-'NF - 5 Power Mix'!PIE22</f>
        <v>0</v>
      </c>
      <c r="PIF42" s="1046">
        <f>PIF38+((PIF40+'NF - 5 Power Mix'!PIF14+'NF - 5 Power Mix'!PIF15)*860/10)+((('Form Sa1'!PII835)*860)/10)+('Form Sa1'!PII814*'Form Sa1'!PII816/10)-'NF - 5 Power Mix'!PIF21-'NF - 5 Power Mix'!PIF22</f>
        <v>0</v>
      </c>
      <c r="PIG42" s="1046">
        <f>PIG38+((PIG40+'NF - 5 Power Mix'!PIG14+'NF - 5 Power Mix'!PIG15)*860/10)+((('Form Sa1'!PIJ835)*860)/10)+('Form Sa1'!PIJ814*'Form Sa1'!PIJ816/10)-'NF - 5 Power Mix'!PIG21-'NF - 5 Power Mix'!PIG22</f>
        <v>0</v>
      </c>
      <c r="PIH42" s="1046">
        <f>PIH38+((PIH40+'NF - 5 Power Mix'!PIH14+'NF - 5 Power Mix'!PIH15)*860/10)+((('Form Sa1'!PIK835)*860)/10)+('Form Sa1'!PIK814*'Form Sa1'!PIK816/10)-'NF - 5 Power Mix'!PIH21-'NF - 5 Power Mix'!PIH22</f>
        <v>0</v>
      </c>
      <c r="PII42" s="1046">
        <f>PII38+((PII40+'NF - 5 Power Mix'!PII14+'NF - 5 Power Mix'!PII15)*860/10)+((('Form Sa1'!PIL835)*860)/10)+('Form Sa1'!PIL814*'Form Sa1'!PIL816/10)-'NF - 5 Power Mix'!PII21-'NF - 5 Power Mix'!PII22</f>
        <v>0</v>
      </c>
      <c r="PIJ42" s="1046">
        <f>PIJ38+((PIJ40+'NF - 5 Power Mix'!PIJ14+'NF - 5 Power Mix'!PIJ15)*860/10)+((('Form Sa1'!PIM835)*860)/10)+('Form Sa1'!PIM814*'Form Sa1'!PIM816/10)-'NF - 5 Power Mix'!PIJ21-'NF - 5 Power Mix'!PIJ22</f>
        <v>0</v>
      </c>
      <c r="PIK42" s="1046">
        <f>PIK38+((PIK40+'NF - 5 Power Mix'!PIK14+'NF - 5 Power Mix'!PIK15)*860/10)+((('Form Sa1'!PIN835)*860)/10)+('Form Sa1'!PIN814*'Form Sa1'!PIN816/10)-'NF - 5 Power Mix'!PIK21-'NF - 5 Power Mix'!PIK22</f>
        <v>0</v>
      </c>
      <c r="PIL42" s="1046">
        <f>PIL38+((PIL40+'NF - 5 Power Mix'!PIL14+'NF - 5 Power Mix'!PIL15)*860/10)+((('Form Sa1'!PIO835)*860)/10)+('Form Sa1'!PIO814*'Form Sa1'!PIO816/10)-'NF - 5 Power Mix'!PIL21-'NF - 5 Power Mix'!PIL22</f>
        <v>0</v>
      </c>
      <c r="PIM42" s="1046">
        <f>PIM38+((PIM40+'NF - 5 Power Mix'!PIM14+'NF - 5 Power Mix'!PIM15)*860/10)+((('Form Sa1'!PIP835)*860)/10)+('Form Sa1'!PIP814*'Form Sa1'!PIP816/10)-'NF - 5 Power Mix'!PIM21-'NF - 5 Power Mix'!PIM22</f>
        <v>0</v>
      </c>
      <c r="PIN42" s="1046">
        <f>PIN38+((PIN40+'NF - 5 Power Mix'!PIN14+'NF - 5 Power Mix'!PIN15)*860/10)+((('Form Sa1'!PIQ835)*860)/10)+('Form Sa1'!PIQ814*'Form Sa1'!PIQ816/10)-'NF - 5 Power Mix'!PIN21-'NF - 5 Power Mix'!PIN22</f>
        <v>0</v>
      </c>
      <c r="PIO42" s="1046">
        <f>PIO38+((PIO40+'NF - 5 Power Mix'!PIO14+'NF - 5 Power Mix'!PIO15)*860/10)+((('Form Sa1'!PIR835)*860)/10)+('Form Sa1'!PIR814*'Form Sa1'!PIR816/10)-'NF - 5 Power Mix'!PIO21-'NF - 5 Power Mix'!PIO22</f>
        <v>0</v>
      </c>
      <c r="PIP42" s="1046">
        <f>PIP38+((PIP40+'NF - 5 Power Mix'!PIP14+'NF - 5 Power Mix'!PIP15)*860/10)+((('Form Sa1'!PIS835)*860)/10)+('Form Sa1'!PIS814*'Form Sa1'!PIS816/10)-'NF - 5 Power Mix'!PIP21-'NF - 5 Power Mix'!PIP22</f>
        <v>0</v>
      </c>
      <c r="PIQ42" s="1046">
        <f>PIQ38+((PIQ40+'NF - 5 Power Mix'!PIQ14+'NF - 5 Power Mix'!PIQ15)*860/10)+((('Form Sa1'!PIT835)*860)/10)+('Form Sa1'!PIT814*'Form Sa1'!PIT816/10)-'NF - 5 Power Mix'!PIQ21-'NF - 5 Power Mix'!PIQ22</f>
        <v>0</v>
      </c>
      <c r="PIR42" s="1046">
        <f>PIR38+((PIR40+'NF - 5 Power Mix'!PIR14+'NF - 5 Power Mix'!PIR15)*860/10)+((('Form Sa1'!PIU835)*860)/10)+('Form Sa1'!PIU814*'Form Sa1'!PIU816/10)-'NF - 5 Power Mix'!PIR21-'NF - 5 Power Mix'!PIR22</f>
        <v>0</v>
      </c>
      <c r="PIS42" s="1046">
        <f>PIS38+((PIS40+'NF - 5 Power Mix'!PIS14+'NF - 5 Power Mix'!PIS15)*860/10)+((('Form Sa1'!PIV835)*860)/10)+('Form Sa1'!PIV814*'Form Sa1'!PIV816/10)-'NF - 5 Power Mix'!PIS21-'NF - 5 Power Mix'!PIS22</f>
        <v>0</v>
      </c>
      <c r="PIT42" s="1046">
        <f>PIT38+((PIT40+'NF - 5 Power Mix'!PIT14+'NF - 5 Power Mix'!PIT15)*860/10)+((('Form Sa1'!PIW835)*860)/10)+('Form Sa1'!PIW814*'Form Sa1'!PIW816/10)-'NF - 5 Power Mix'!PIT21-'NF - 5 Power Mix'!PIT22</f>
        <v>0</v>
      </c>
      <c r="PIU42" s="1046">
        <f>PIU38+((PIU40+'NF - 5 Power Mix'!PIU14+'NF - 5 Power Mix'!PIU15)*860/10)+((('Form Sa1'!PIX835)*860)/10)+('Form Sa1'!PIX814*'Form Sa1'!PIX816/10)-'NF - 5 Power Mix'!PIU21-'NF - 5 Power Mix'!PIU22</f>
        <v>0</v>
      </c>
      <c r="PIV42" s="1046">
        <f>PIV38+((PIV40+'NF - 5 Power Mix'!PIV14+'NF - 5 Power Mix'!PIV15)*860/10)+((('Form Sa1'!PIY835)*860)/10)+('Form Sa1'!PIY814*'Form Sa1'!PIY816/10)-'NF - 5 Power Mix'!PIV21-'NF - 5 Power Mix'!PIV22</f>
        <v>0</v>
      </c>
      <c r="PIW42" s="1046">
        <f>PIW38+((PIW40+'NF - 5 Power Mix'!PIW14+'NF - 5 Power Mix'!PIW15)*860/10)+((('Form Sa1'!PIZ835)*860)/10)+('Form Sa1'!PIZ814*'Form Sa1'!PIZ816/10)-'NF - 5 Power Mix'!PIW21-'NF - 5 Power Mix'!PIW22</f>
        <v>0</v>
      </c>
      <c r="PIX42" s="1046">
        <f>PIX38+((PIX40+'NF - 5 Power Mix'!PIX14+'NF - 5 Power Mix'!PIX15)*860/10)+((('Form Sa1'!PJA835)*860)/10)+('Form Sa1'!PJA814*'Form Sa1'!PJA816/10)-'NF - 5 Power Mix'!PIX21-'NF - 5 Power Mix'!PIX22</f>
        <v>0</v>
      </c>
      <c r="PIY42" s="1046">
        <f>PIY38+((PIY40+'NF - 5 Power Mix'!PIY14+'NF - 5 Power Mix'!PIY15)*860/10)+((('Form Sa1'!PJB835)*860)/10)+('Form Sa1'!PJB814*'Form Sa1'!PJB816/10)-'NF - 5 Power Mix'!PIY21-'NF - 5 Power Mix'!PIY22</f>
        <v>0</v>
      </c>
      <c r="PIZ42" s="1046">
        <f>PIZ38+((PIZ40+'NF - 5 Power Mix'!PIZ14+'NF - 5 Power Mix'!PIZ15)*860/10)+((('Form Sa1'!PJC835)*860)/10)+('Form Sa1'!PJC814*'Form Sa1'!PJC816/10)-'NF - 5 Power Mix'!PIZ21-'NF - 5 Power Mix'!PIZ22</f>
        <v>0</v>
      </c>
      <c r="PJA42" s="1046">
        <f>PJA38+((PJA40+'NF - 5 Power Mix'!PJA14+'NF - 5 Power Mix'!PJA15)*860/10)+((('Form Sa1'!PJD835)*860)/10)+('Form Sa1'!PJD814*'Form Sa1'!PJD816/10)-'NF - 5 Power Mix'!PJA21-'NF - 5 Power Mix'!PJA22</f>
        <v>0</v>
      </c>
      <c r="PJB42" s="1046">
        <f>PJB38+((PJB40+'NF - 5 Power Mix'!PJB14+'NF - 5 Power Mix'!PJB15)*860/10)+((('Form Sa1'!PJE835)*860)/10)+('Form Sa1'!PJE814*'Form Sa1'!PJE816/10)-'NF - 5 Power Mix'!PJB21-'NF - 5 Power Mix'!PJB22</f>
        <v>0</v>
      </c>
      <c r="PJC42" s="1046">
        <f>PJC38+((PJC40+'NF - 5 Power Mix'!PJC14+'NF - 5 Power Mix'!PJC15)*860/10)+((('Form Sa1'!PJF835)*860)/10)+('Form Sa1'!PJF814*'Form Sa1'!PJF816/10)-'NF - 5 Power Mix'!PJC21-'NF - 5 Power Mix'!PJC22</f>
        <v>0</v>
      </c>
      <c r="PJD42" s="1046">
        <f>PJD38+((PJD40+'NF - 5 Power Mix'!PJD14+'NF - 5 Power Mix'!PJD15)*860/10)+((('Form Sa1'!PJG835)*860)/10)+('Form Sa1'!PJG814*'Form Sa1'!PJG816/10)-'NF - 5 Power Mix'!PJD21-'NF - 5 Power Mix'!PJD22</f>
        <v>0</v>
      </c>
      <c r="PJE42" s="1046">
        <f>PJE38+((PJE40+'NF - 5 Power Mix'!PJE14+'NF - 5 Power Mix'!PJE15)*860/10)+((('Form Sa1'!PJH835)*860)/10)+('Form Sa1'!PJH814*'Form Sa1'!PJH816/10)-'NF - 5 Power Mix'!PJE21-'NF - 5 Power Mix'!PJE22</f>
        <v>0</v>
      </c>
      <c r="PJF42" s="1046">
        <f>PJF38+((PJF40+'NF - 5 Power Mix'!PJF14+'NF - 5 Power Mix'!PJF15)*860/10)+((('Form Sa1'!PJI835)*860)/10)+('Form Sa1'!PJI814*'Form Sa1'!PJI816/10)-'NF - 5 Power Mix'!PJF21-'NF - 5 Power Mix'!PJF22</f>
        <v>0</v>
      </c>
      <c r="PJG42" s="1046">
        <f>PJG38+((PJG40+'NF - 5 Power Mix'!PJG14+'NF - 5 Power Mix'!PJG15)*860/10)+((('Form Sa1'!PJJ835)*860)/10)+('Form Sa1'!PJJ814*'Form Sa1'!PJJ816/10)-'NF - 5 Power Mix'!PJG21-'NF - 5 Power Mix'!PJG22</f>
        <v>0</v>
      </c>
      <c r="PJH42" s="1046">
        <f>PJH38+((PJH40+'NF - 5 Power Mix'!PJH14+'NF - 5 Power Mix'!PJH15)*860/10)+((('Form Sa1'!PJK835)*860)/10)+('Form Sa1'!PJK814*'Form Sa1'!PJK816/10)-'NF - 5 Power Mix'!PJH21-'NF - 5 Power Mix'!PJH22</f>
        <v>0</v>
      </c>
      <c r="PJI42" s="1046">
        <f>PJI38+((PJI40+'NF - 5 Power Mix'!PJI14+'NF - 5 Power Mix'!PJI15)*860/10)+((('Form Sa1'!PJL835)*860)/10)+('Form Sa1'!PJL814*'Form Sa1'!PJL816/10)-'NF - 5 Power Mix'!PJI21-'NF - 5 Power Mix'!PJI22</f>
        <v>0</v>
      </c>
      <c r="PJJ42" s="1046">
        <f>PJJ38+((PJJ40+'NF - 5 Power Mix'!PJJ14+'NF - 5 Power Mix'!PJJ15)*860/10)+((('Form Sa1'!PJM835)*860)/10)+('Form Sa1'!PJM814*'Form Sa1'!PJM816/10)-'NF - 5 Power Mix'!PJJ21-'NF - 5 Power Mix'!PJJ22</f>
        <v>0</v>
      </c>
      <c r="PJK42" s="1046">
        <f>PJK38+((PJK40+'NF - 5 Power Mix'!PJK14+'NF - 5 Power Mix'!PJK15)*860/10)+((('Form Sa1'!PJN835)*860)/10)+('Form Sa1'!PJN814*'Form Sa1'!PJN816/10)-'NF - 5 Power Mix'!PJK21-'NF - 5 Power Mix'!PJK22</f>
        <v>0</v>
      </c>
      <c r="PJL42" s="1046">
        <f>PJL38+((PJL40+'NF - 5 Power Mix'!PJL14+'NF - 5 Power Mix'!PJL15)*860/10)+((('Form Sa1'!PJO835)*860)/10)+('Form Sa1'!PJO814*'Form Sa1'!PJO816/10)-'NF - 5 Power Mix'!PJL21-'NF - 5 Power Mix'!PJL22</f>
        <v>0</v>
      </c>
      <c r="PJM42" s="1046">
        <f>PJM38+((PJM40+'NF - 5 Power Mix'!PJM14+'NF - 5 Power Mix'!PJM15)*860/10)+((('Form Sa1'!PJP835)*860)/10)+('Form Sa1'!PJP814*'Form Sa1'!PJP816/10)-'NF - 5 Power Mix'!PJM21-'NF - 5 Power Mix'!PJM22</f>
        <v>0</v>
      </c>
      <c r="PJN42" s="1046">
        <f>PJN38+((PJN40+'NF - 5 Power Mix'!PJN14+'NF - 5 Power Mix'!PJN15)*860/10)+((('Form Sa1'!PJQ835)*860)/10)+('Form Sa1'!PJQ814*'Form Sa1'!PJQ816/10)-'NF - 5 Power Mix'!PJN21-'NF - 5 Power Mix'!PJN22</f>
        <v>0</v>
      </c>
      <c r="PJO42" s="1046">
        <f>PJO38+((PJO40+'NF - 5 Power Mix'!PJO14+'NF - 5 Power Mix'!PJO15)*860/10)+((('Form Sa1'!PJR835)*860)/10)+('Form Sa1'!PJR814*'Form Sa1'!PJR816/10)-'NF - 5 Power Mix'!PJO21-'NF - 5 Power Mix'!PJO22</f>
        <v>0</v>
      </c>
      <c r="PJP42" s="1046">
        <f>PJP38+((PJP40+'NF - 5 Power Mix'!PJP14+'NF - 5 Power Mix'!PJP15)*860/10)+((('Form Sa1'!PJS835)*860)/10)+('Form Sa1'!PJS814*'Form Sa1'!PJS816/10)-'NF - 5 Power Mix'!PJP21-'NF - 5 Power Mix'!PJP22</f>
        <v>0</v>
      </c>
      <c r="PJQ42" s="1046">
        <f>PJQ38+((PJQ40+'NF - 5 Power Mix'!PJQ14+'NF - 5 Power Mix'!PJQ15)*860/10)+((('Form Sa1'!PJT835)*860)/10)+('Form Sa1'!PJT814*'Form Sa1'!PJT816/10)-'NF - 5 Power Mix'!PJQ21-'NF - 5 Power Mix'!PJQ22</f>
        <v>0</v>
      </c>
      <c r="PJR42" s="1046">
        <f>PJR38+((PJR40+'NF - 5 Power Mix'!PJR14+'NF - 5 Power Mix'!PJR15)*860/10)+((('Form Sa1'!PJU835)*860)/10)+('Form Sa1'!PJU814*'Form Sa1'!PJU816/10)-'NF - 5 Power Mix'!PJR21-'NF - 5 Power Mix'!PJR22</f>
        <v>0</v>
      </c>
      <c r="PJS42" s="1046">
        <f>PJS38+((PJS40+'NF - 5 Power Mix'!PJS14+'NF - 5 Power Mix'!PJS15)*860/10)+((('Form Sa1'!PJV835)*860)/10)+('Form Sa1'!PJV814*'Form Sa1'!PJV816/10)-'NF - 5 Power Mix'!PJS21-'NF - 5 Power Mix'!PJS22</f>
        <v>0</v>
      </c>
      <c r="PJT42" s="1046">
        <f>PJT38+((PJT40+'NF - 5 Power Mix'!PJT14+'NF - 5 Power Mix'!PJT15)*860/10)+((('Form Sa1'!PJW835)*860)/10)+('Form Sa1'!PJW814*'Form Sa1'!PJW816/10)-'NF - 5 Power Mix'!PJT21-'NF - 5 Power Mix'!PJT22</f>
        <v>0</v>
      </c>
      <c r="PJU42" s="1046">
        <f>PJU38+((PJU40+'NF - 5 Power Mix'!PJU14+'NF - 5 Power Mix'!PJU15)*860/10)+((('Form Sa1'!PJX835)*860)/10)+('Form Sa1'!PJX814*'Form Sa1'!PJX816/10)-'NF - 5 Power Mix'!PJU21-'NF - 5 Power Mix'!PJU22</f>
        <v>0</v>
      </c>
      <c r="PJV42" s="1046">
        <f>PJV38+((PJV40+'NF - 5 Power Mix'!PJV14+'NF - 5 Power Mix'!PJV15)*860/10)+((('Form Sa1'!PJY835)*860)/10)+('Form Sa1'!PJY814*'Form Sa1'!PJY816/10)-'NF - 5 Power Mix'!PJV21-'NF - 5 Power Mix'!PJV22</f>
        <v>0</v>
      </c>
      <c r="PJW42" s="1046">
        <f>PJW38+((PJW40+'NF - 5 Power Mix'!PJW14+'NF - 5 Power Mix'!PJW15)*860/10)+((('Form Sa1'!PJZ835)*860)/10)+('Form Sa1'!PJZ814*'Form Sa1'!PJZ816/10)-'NF - 5 Power Mix'!PJW21-'NF - 5 Power Mix'!PJW22</f>
        <v>0</v>
      </c>
      <c r="PJX42" s="1046">
        <f>PJX38+((PJX40+'NF - 5 Power Mix'!PJX14+'NF - 5 Power Mix'!PJX15)*860/10)+((('Form Sa1'!PKA835)*860)/10)+('Form Sa1'!PKA814*'Form Sa1'!PKA816/10)-'NF - 5 Power Mix'!PJX21-'NF - 5 Power Mix'!PJX22</f>
        <v>0</v>
      </c>
      <c r="PJY42" s="1046">
        <f>PJY38+((PJY40+'NF - 5 Power Mix'!PJY14+'NF - 5 Power Mix'!PJY15)*860/10)+((('Form Sa1'!PKB835)*860)/10)+('Form Sa1'!PKB814*'Form Sa1'!PKB816/10)-'NF - 5 Power Mix'!PJY21-'NF - 5 Power Mix'!PJY22</f>
        <v>0</v>
      </c>
      <c r="PJZ42" s="1046">
        <f>PJZ38+((PJZ40+'NF - 5 Power Mix'!PJZ14+'NF - 5 Power Mix'!PJZ15)*860/10)+((('Form Sa1'!PKC835)*860)/10)+('Form Sa1'!PKC814*'Form Sa1'!PKC816/10)-'NF - 5 Power Mix'!PJZ21-'NF - 5 Power Mix'!PJZ22</f>
        <v>0</v>
      </c>
      <c r="PKA42" s="1046">
        <f>PKA38+((PKA40+'NF - 5 Power Mix'!PKA14+'NF - 5 Power Mix'!PKA15)*860/10)+((('Form Sa1'!PKD835)*860)/10)+('Form Sa1'!PKD814*'Form Sa1'!PKD816/10)-'NF - 5 Power Mix'!PKA21-'NF - 5 Power Mix'!PKA22</f>
        <v>0</v>
      </c>
      <c r="PKB42" s="1046">
        <f>PKB38+((PKB40+'NF - 5 Power Mix'!PKB14+'NF - 5 Power Mix'!PKB15)*860/10)+((('Form Sa1'!PKE835)*860)/10)+('Form Sa1'!PKE814*'Form Sa1'!PKE816/10)-'NF - 5 Power Mix'!PKB21-'NF - 5 Power Mix'!PKB22</f>
        <v>0</v>
      </c>
      <c r="PKC42" s="1046">
        <f>PKC38+((PKC40+'NF - 5 Power Mix'!PKC14+'NF - 5 Power Mix'!PKC15)*860/10)+((('Form Sa1'!PKF835)*860)/10)+('Form Sa1'!PKF814*'Form Sa1'!PKF816/10)-'NF - 5 Power Mix'!PKC21-'NF - 5 Power Mix'!PKC22</f>
        <v>0</v>
      </c>
      <c r="PKD42" s="1046">
        <f>PKD38+((PKD40+'NF - 5 Power Mix'!PKD14+'NF - 5 Power Mix'!PKD15)*860/10)+((('Form Sa1'!PKG835)*860)/10)+('Form Sa1'!PKG814*'Form Sa1'!PKG816/10)-'NF - 5 Power Mix'!PKD21-'NF - 5 Power Mix'!PKD22</f>
        <v>0</v>
      </c>
      <c r="PKE42" s="1046">
        <f>PKE38+((PKE40+'NF - 5 Power Mix'!PKE14+'NF - 5 Power Mix'!PKE15)*860/10)+((('Form Sa1'!PKH835)*860)/10)+('Form Sa1'!PKH814*'Form Sa1'!PKH816/10)-'NF - 5 Power Mix'!PKE21-'NF - 5 Power Mix'!PKE22</f>
        <v>0</v>
      </c>
      <c r="PKF42" s="1046">
        <f>PKF38+((PKF40+'NF - 5 Power Mix'!PKF14+'NF - 5 Power Mix'!PKF15)*860/10)+((('Form Sa1'!PKI835)*860)/10)+('Form Sa1'!PKI814*'Form Sa1'!PKI816/10)-'NF - 5 Power Mix'!PKF21-'NF - 5 Power Mix'!PKF22</f>
        <v>0</v>
      </c>
      <c r="PKG42" s="1046">
        <f>PKG38+((PKG40+'NF - 5 Power Mix'!PKG14+'NF - 5 Power Mix'!PKG15)*860/10)+((('Form Sa1'!PKJ835)*860)/10)+('Form Sa1'!PKJ814*'Form Sa1'!PKJ816/10)-'NF - 5 Power Mix'!PKG21-'NF - 5 Power Mix'!PKG22</f>
        <v>0</v>
      </c>
      <c r="PKH42" s="1046">
        <f>PKH38+((PKH40+'NF - 5 Power Mix'!PKH14+'NF - 5 Power Mix'!PKH15)*860/10)+((('Form Sa1'!PKK835)*860)/10)+('Form Sa1'!PKK814*'Form Sa1'!PKK816/10)-'NF - 5 Power Mix'!PKH21-'NF - 5 Power Mix'!PKH22</f>
        <v>0</v>
      </c>
      <c r="PKI42" s="1046">
        <f>PKI38+((PKI40+'NF - 5 Power Mix'!PKI14+'NF - 5 Power Mix'!PKI15)*860/10)+((('Form Sa1'!PKL835)*860)/10)+('Form Sa1'!PKL814*'Form Sa1'!PKL816/10)-'NF - 5 Power Mix'!PKI21-'NF - 5 Power Mix'!PKI22</f>
        <v>0</v>
      </c>
      <c r="PKJ42" s="1046">
        <f>PKJ38+((PKJ40+'NF - 5 Power Mix'!PKJ14+'NF - 5 Power Mix'!PKJ15)*860/10)+((('Form Sa1'!PKM835)*860)/10)+('Form Sa1'!PKM814*'Form Sa1'!PKM816/10)-'NF - 5 Power Mix'!PKJ21-'NF - 5 Power Mix'!PKJ22</f>
        <v>0</v>
      </c>
      <c r="PKK42" s="1046">
        <f>PKK38+((PKK40+'NF - 5 Power Mix'!PKK14+'NF - 5 Power Mix'!PKK15)*860/10)+((('Form Sa1'!PKN835)*860)/10)+('Form Sa1'!PKN814*'Form Sa1'!PKN816/10)-'NF - 5 Power Mix'!PKK21-'NF - 5 Power Mix'!PKK22</f>
        <v>0</v>
      </c>
      <c r="PKL42" s="1046">
        <f>PKL38+((PKL40+'NF - 5 Power Mix'!PKL14+'NF - 5 Power Mix'!PKL15)*860/10)+((('Form Sa1'!PKO835)*860)/10)+('Form Sa1'!PKO814*'Form Sa1'!PKO816/10)-'NF - 5 Power Mix'!PKL21-'NF - 5 Power Mix'!PKL22</f>
        <v>0</v>
      </c>
      <c r="PKM42" s="1046">
        <f>PKM38+((PKM40+'NF - 5 Power Mix'!PKM14+'NF - 5 Power Mix'!PKM15)*860/10)+((('Form Sa1'!PKP835)*860)/10)+('Form Sa1'!PKP814*'Form Sa1'!PKP816/10)-'NF - 5 Power Mix'!PKM21-'NF - 5 Power Mix'!PKM22</f>
        <v>0</v>
      </c>
      <c r="PKN42" s="1046">
        <f>PKN38+((PKN40+'NF - 5 Power Mix'!PKN14+'NF - 5 Power Mix'!PKN15)*860/10)+((('Form Sa1'!PKQ835)*860)/10)+('Form Sa1'!PKQ814*'Form Sa1'!PKQ816/10)-'NF - 5 Power Mix'!PKN21-'NF - 5 Power Mix'!PKN22</f>
        <v>0</v>
      </c>
      <c r="PKO42" s="1046">
        <f>PKO38+((PKO40+'NF - 5 Power Mix'!PKO14+'NF - 5 Power Mix'!PKO15)*860/10)+((('Form Sa1'!PKR835)*860)/10)+('Form Sa1'!PKR814*'Form Sa1'!PKR816/10)-'NF - 5 Power Mix'!PKO21-'NF - 5 Power Mix'!PKO22</f>
        <v>0</v>
      </c>
      <c r="PKP42" s="1046">
        <f>PKP38+((PKP40+'NF - 5 Power Mix'!PKP14+'NF - 5 Power Mix'!PKP15)*860/10)+((('Form Sa1'!PKS835)*860)/10)+('Form Sa1'!PKS814*'Form Sa1'!PKS816/10)-'NF - 5 Power Mix'!PKP21-'NF - 5 Power Mix'!PKP22</f>
        <v>0</v>
      </c>
      <c r="PKQ42" s="1046">
        <f>PKQ38+((PKQ40+'NF - 5 Power Mix'!PKQ14+'NF - 5 Power Mix'!PKQ15)*860/10)+((('Form Sa1'!PKT835)*860)/10)+('Form Sa1'!PKT814*'Form Sa1'!PKT816/10)-'NF - 5 Power Mix'!PKQ21-'NF - 5 Power Mix'!PKQ22</f>
        <v>0</v>
      </c>
      <c r="PKR42" s="1046">
        <f>PKR38+((PKR40+'NF - 5 Power Mix'!PKR14+'NF - 5 Power Mix'!PKR15)*860/10)+((('Form Sa1'!PKU835)*860)/10)+('Form Sa1'!PKU814*'Form Sa1'!PKU816/10)-'NF - 5 Power Mix'!PKR21-'NF - 5 Power Mix'!PKR22</f>
        <v>0</v>
      </c>
      <c r="PKS42" s="1046">
        <f>PKS38+((PKS40+'NF - 5 Power Mix'!PKS14+'NF - 5 Power Mix'!PKS15)*860/10)+((('Form Sa1'!PKV835)*860)/10)+('Form Sa1'!PKV814*'Form Sa1'!PKV816/10)-'NF - 5 Power Mix'!PKS21-'NF - 5 Power Mix'!PKS22</f>
        <v>0</v>
      </c>
      <c r="PKT42" s="1046">
        <f>PKT38+((PKT40+'NF - 5 Power Mix'!PKT14+'NF - 5 Power Mix'!PKT15)*860/10)+((('Form Sa1'!PKW835)*860)/10)+('Form Sa1'!PKW814*'Form Sa1'!PKW816/10)-'NF - 5 Power Mix'!PKT21-'NF - 5 Power Mix'!PKT22</f>
        <v>0</v>
      </c>
      <c r="PKU42" s="1046">
        <f>PKU38+((PKU40+'NF - 5 Power Mix'!PKU14+'NF - 5 Power Mix'!PKU15)*860/10)+((('Form Sa1'!PKX835)*860)/10)+('Form Sa1'!PKX814*'Form Sa1'!PKX816/10)-'NF - 5 Power Mix'!PKU21-'NF - 5 Power Mix'!PKU22</f>
        <v>0</v>
      </c>
      <c r="PKV42" s="1046">
        <f>PKV38+((PKV40+'NF - 5 Power Mix'!PKV14+'NF - 5 Power Mix'!PKV15)*860/10)+((('Form Sa1'!PKY835)*860)/10)+('Form Sa1'!PKY814*'Form Sa1'!PKY816/10)-'NF - 5 Power Mix'!PKV21-'NF - 5 Power Mix'!PKV22</f>
        <v>0</v>
      </c>
      <c r="PKW42" s="1046">
        <f>PKW38+((PKW40+'NF - 5 Power Mix'!PKW14+'NF - 5 Power Mix'!PKW15)*860/10)+((('Form Sa1'!PKZ835)*860)/10)+('Form Sa1'!PKZ814*'Form Sa1'!PKZ816/10)-'NF - 5 Power Mix'!PKW21-'NF - 5 Power Mix'!PKW22</f>
        <v>0</v>
      </c>
      <c r="PKX42" s="1046">
        <f>PKX38+((PKX40+'NF - 5 Power Mix'!PKX14+'NF - 5 Power Mix'!PKX15)*860/10)+((('Form Sa1'!PLA835)*860)/10)+('Form Sa1'!PLA814*'Form Sa1'!PLA816/10)-'NF - 5 Power Mix'!PKX21-'NF - 5 Power Mix'!PKX22</f>
        <v>0</v>
      </c>
      <c r="PKY42" s="1046">
        <f>PKY38+((PKY40+'NF - 5 Power Mix'!PKY14+'NF - 5 Power Mix'!PKY15)*860/10)+((('Form Sa1'!PLB835)*860)/10)+('Form Sa1'!PLB814*'Form Sa1'!PLB816/10)-'NF - 5 Power Mix'!PKY21-'NF - 5 Power Mix'!PKY22</f>
        <v>0</v>
      </c>
      <c r="PKZ42" s="1046">
        <f>PKZ38+((PKZ40+'NF - 5 Power Mix'!PKZ14+'NF - 5 Power Mix'!PKZ15)*860/10)+((('Form Sa1'!PLC835)*860)/10)+('Form Sa1'!PLC814*'Form Sa1'!PLC816/10)-'NF - 5 Power Mix'!PKZ21-'NF - 5 Power Mix'!PKZ22</f>
        <v>0</v>
      </c>
      <c r="PLA42" s="1046">
        <f>PLA38+((PLA40+'NF - 5 Power Mix'!PLA14+'NF - 5 Power Mix'!PLA15)*860/10)+((('Form Sa1'!PLD835)*860)/10)+('Form Sa1'!PLD814*'Form Sa1'!PLD816/10)-'NF - 5 Power Mix'!PLA21-'NF - 5 Power Mix'!PLA22</f>
        <v>0</v>
      </c>
      <c r="PLB42" s="1046">
        <f>PLB38+((PLB40+'NF - 5 Power Mix'!PLB14+'NF - 5 Power Mix'!PLB15)*860/10)+((('Form Sa1'!PLE835)*860)/10)+('Form Sa1'!PLE814*'Form Sa1'!PLE816/10)-'NF - 5 Power Mix'!PLB21-'NF - 5 Power Mix'!PLB22</f>
        <v>0</v>
      </c>
      <c r="PLC42" s="1046">
        <f>PLC38+((PLC40+'NF - 5 Power Mix'!PLC14+'NF - 5 Power Mix'!PLC15)*860/10)+((('Form Sa1'!PLF835)*860)/10)+('Form Sa1'!PLF814*'Form Sa1'!PLF816/10)-'NF - 5 Power Mix'!PLC21-'NF - 5 Power Mix'!PLC22</f>
        <v>0</v>
      </c>
      <c r="PLD42" s="1046">
        <f>PLD38+((PLD40+'NF - 5 Power Mix'!PLD14+'NF - 5 Power Mix'!PLD15)*860/10)+((('Form Sa1'!PLG835)*860)/10)+('Form Sa1'!PLG814*'Form Sa1'!PLG816/10)-'NF - 5 Power Mix'!PLD21-'NF - 5 Power Mix'!PLD22</f>
        <v>0</v>
      </c>
      <c r="PLE42" s="1046">
        <f>PLE38+((PLE40+'NF - 5 Power Mix'!PLE14+'NF - 5 Power Mix'!PLE15)*860/10)+((('Form Sa1'!PLH835)*860)/10)+('Form Sa1'!PLH814*'Form Sa1'!PLH816/10)-'NF - 5 Power Mix'!PLE21-'NF - 5 Power Mix'!PLE22</f>
        <v>0</v>
      </c>
      <c r="PLF42" s="1046">
        <f>PLF38+((PLF40+'NF - 5 Power Mix'!PLF14+'NF - 5 Power Mix'!PLF15)*860/10)+((('Form Sa1'!PLI835)*860)/10)+('Form Sa1'!PLI814*'Form Sa1'!PLI816/10)-'NF - 5 Power Mix'!PLF21-'NF - 5 Power Mix'!PLF22</f>
        <v>0</v>
      </c>
      <c r="PLG42" s="1046">
        <f>PLG38+((PLG40+'NF - 5 Power Mix'!PLG14+'NF - 5 Power Mix'!PLG15)*860/10)+((('Form Sa1'!PLJ835)*860)/10)+('Form Sa1'!PLJ814*'Form Sa1'!PLJ816/10)-'NF - 5 Power Mix'!PLG21-'NF - 5 Power Mix'!PLG22</f>
        <v>0</v>
      </c>
      <c r="PLH42" s="1046">
        <f>PLH38+((PLH40+'NF - 5 Power Mix'!PLH14+'NF - 5 Power Mix'!PLH15)*860/10)+((('Form Sa1'!PLK835)*860)/10)+('Form Sa1'!PLK814*'Form Sa1'!PLK816/10)-'NF - 5 Power Mix'!PLH21-'NF - 5 Power Mix'!PLH22</f>
        <v>0</v>
      </c>
      <c r="PLI42" s="1046">
        <f>PLI38+((PLI40+'NF - 5 Power Mix'!PLI14+'NF - 5 Power Mix'!PLI15)*860/10)+((('Form Sa1'!PLL835)*860)/10)+('Form Sa1'!PLL814*'Form Sa1'!PLL816/10)-'NF - 5 Power Mix'!PLI21-'NF - 5 Power Mix'!PLI22</f>
        <v>0</v>
      </c>
      <c r="PLJ42" s="1046">
        <f>PLJ38+((PLJ40+'NF - 5 Power Mix'!PLJ14+'NF - 5 Power Mix'!PLJ15)*860/10)+((('Form Sa1'!PLM835)*860)/10)+('Form Sa1'!PLM814*'Form Sa1'!PLM816/10)-'NF - 5 Power Mix'!PLJ21-'NF - 5 Power Mix'!PLJ22</f>
        <v>0</v>
      </c>
      <c r="PLK42" s="1046">
        <f>PLK38+((PLK40+'NF - 5 Power Mix'!PLK14+'NF - 5 Power Mix'!PLK15)*860/10)+((('Form Sa1'!PLN835)*860)/10)+('Form Sa1'!PLN814*'Form Sa1'!PLN816/10)-'NF - 5 Power Mix'!PLK21-'NF - 5 Power Mix'!PLK22</f>
        <v>0</v>
      </c>
      <c r="PLL42" s="1046">
        <f>PLL38+((PLL40+'NF - 5 Power Mix'!PLL14+'NF - 5 Power Mix'!PLL15)*860/10)+((('Form Sa1'!PLO835)*860)/10)+('Form Sa1'!PLO814*'Form Sa1'!PLO816/10)-'NF - 5 Power Mix'!PLL21-'NF - 5 Power Mix'!PLL22</f>
        <v>0</v>
      </c>
      <c r="PLM42" s="1046">
        <f>PLM38+((PLM40+'NF - 5 Power Mix'!PLM14+'NF - 5 Power Mix'!PLM15)*860/10)+((('Form Sa1'!PLP835)*860)/10)+('Form Sa1'!PLP814*'Form Sa1'!PLP816/10)-'NF - 5 Power Mix'!PLM21-'NF - 5 Power Mix'!PLM22</f>
        <v>0</v>
      </c>
      <c r="PLN42" s="1046">
        <f>PLN38+((PLN40+'NF - 5 Power Mix'!PLN14+'NF - 5 Power Mix'!PLN15)*860/10)+((('Form Sa1'!PLQ835)*860)/10)+('Form Sa1'!PLQ814*'Form Sa1'!PLQ816/10)-'NF - 5 Power Mix'!PLN21-'NF - 5 Power Mix'!PLN22</f>
        <v>0</v>
      </c>
      <c r="PLO42" s="1046">
        <f>PLO38+((PLO40+'NF - 5 Power Mix'!PLO14+'NF - 5 Power Mix'!PLO15)*860/10)+((('Form Sa1'!PLR835)*860)/10)+('Form Sa1'!PLR814*'Form Sa1'!PLR816/10)-'NF - 5 Power Mix'!PLO21-'NF - 5 Power Mix'!PLO22</f>
        <v>0</v>
      </c>
      <c r="PLP42" s="1046">
        <f>PLP38+((PLP40+'NF - 5 Power Mix'!PLP14+'NF - 5 Power Mix'!PLP15)*860/10)+((('Form Sa1'!PLS835)*860)/10)+('Form Sa1'!PLS814*'Form Sa1'!PLS816/10)-'NF - 5 Power Mix'!PLP21-'NF - 5 Power Mix'!PLP22</f>
        <v>0</v>
      </c>
      <c r="PLQ42" s="1046">
        <f>PLQ38+((PLQ40+'NF - 5 Power Mix'!PLQ14+'NF - 5 Power Mix'!PLQ15)*860/10)+((('Form Sa1'!PLT835)*860)/10)+('Form Sa1'!PLT814*'Form Sa1'!PLT816/10)-'NF - 5 Power Mix'!PLQ21-'NF - 5 Power Mix'!PLQ22</f>
        <v>0</v>
      </c>
      <c r="PLR42" s="1046">
        <f>PLR38+((PLR40+'NF - 5 Power Mix'!PLR14+'NF - 5 Power Mix'!PLR15)*860/10)+((('Form Sa1'!PLU835)*860)/10)+('Form Sa1'!PLU814*'Form Sa1'!PLU816/10)-'NF - 5 Power Mix'!PLR21-'NF - 5 Power Mix'!PLR22</f>
        <v>0</v>
      </c>
      <c r="PLS42" s="1046">
        <f>PLS38+((PLS40+'NF - 5 Power Mix'!PLS14+'NF - 5 Power Mix'!PLS15)*860/10)+((('Form Sa1'!PLV835)*860)/10)+('Form Sa1'!PLV814*'Form Sa1'!PLV816/10)-'NF - 5 Power Mix'!PLS21-'NF - 5 Power Mix'!PLS22</f>
        <v>0</v>
      </c>
      <c r="PLT42" s="1046">
        <f>PLT38+((PLT40+'NF - 5 Power Mix'!PLT14+'NF - 5 Power Mix'!PLT15)*860/10)+((('Form Sa1'!PLW835)*860)/10)+('Form Sa1'!PLW814*'Form Sa1'!PLW816/10)-'NF - 5 Power Mix'!PLT21-'NF - 5 Power Mix'!PLT22</f>
        <v>0</v>
      </c>
      <c r="PLU42" s="1046">
        <f>PLU38+((PLU40+'NF - 5 Power Mix'!PLU14+'NF - 5 Power Mix'!PLU15)*860/10)+((('Form Sa1'!PLX835)*860)/10)+('Form Sa1'!PLX814*'Form Sa1'!PLX816/10)-'NF - 5 Power Mix'!PLU21-'NF - 5 Power Mix'!PLU22</f>
        <v>0</v>
      </c>
      <c r="PLV42" s="1046">
        <f>PLV38+((PLV40+'NF - 5 Power Mix'!PLV14+'NF - 5 Power Mix'!PLV15)*860/10)+((('Form Sa1'!PLY835)*860)/10)+('Form Sa1'!PLY814*'Form Sa1'!PLY816/10)-'NF - 5 Power Mix'!PLV21-'NF - 5 Power Mix'!PLV22</f>
        <v>0</v>
      </c>
      <c r="PLW42" s="1046">
        <f>PLW38+((PLW40+'NF - 5 Power Mix'!PLW14+'NF - 5 Power Mix'!PLW15)*860/10)+((('Form Sa1'!PLZ835)*860)/10)+('Form Sa1'!PLZ814*'Form Sa1'!PLZ816/10)-'NF - 5 Power Mix'!PLW21-'NF - 5 Power Mix'!PLW22</f>
        <v>0</v>
      </c>
      <c r="PLX42" s="1046">
        <f>PLX38+((PLX40+'NF - 5 Power Mix'!PLX14+'NF - 5 Power Mix'!PLX15)*860/10)+((('Form Sa1'!PMA835)*860)/10)+('Form Sa1'!PMA814*'Form Sa1'!PMA816/10)-'NF - 5 Power Mix'!PLX21-'NF - 5 Power Mix'!PLX22</f>
        <v>0</v>
      </c>
      <c r="PLY42" s="1046">
        <f>PLY38+((PLY40+'NF - 5 Power Mix'!PLY14+'NF - 5 Power Mix'!PLY15)*860/10)+((('Form Sa1'!PMB835)*860)/10)+('Form Sa1'!PMB814*'Form Sa1'!PMB816/10)-'NF - 5 Power Mix'!PLY21-'NF - 5 Power Mix'!PLY22</f>
        <v>0</v>
      </c>
      <c r="PLZ42" s="1046">
        <f>PLZ38+((PLZ40+'NF - 5 Power Mix'!PLZ14+'NF - 5 Power Mix'!PLZ15)*860/10)+((('Form Sa1'!PMC835)*860)/10)+('Form Sa1'!PMC814*'Form Sa1'!PMC816/10)-'NF - 5 Power Mix'!PLZ21-'NF - 5 Power Mix'!PLZ22</f>
        <v>0</v>
      </c>
      <c r="PMA42" s="1046">
        <f>PMA38+((PMA40+'NF - 5 Power Mix'!PMA14+'NF - 5 Power Mix'!PMA15)*860/10)+((('Form Sa1'!PMD835)*860)/10)+('Form Sa1'!PMD814*'Form Sa1'!PMD816/10)-'NF - 5 Power Mix'!PMA21-'NF - 5 Power Mix'!PMA22</f>
        <v>0</v>
      </c>
      <c r="PMB42" s="1046">
        <f>PMB38+((PMB40+'NF - 5 Power Mix'!PMB14+'NF - 5 Power Mix'!PMB15)*860/10)+((('Form Sa1'!PME835)*860)/10)+('Form Sa1'!PME814*'Form Sa1'!PME816/10)-'NF - 5 Power Mix'!PMB21-'NF - 5 Power Mix'!PMB22</f>
        <v>0</v>
      </c>
      <c r="PMC42" s="1046">
        <f>PMC38+((PMC40+'NF - 5 Power Mix'!PMC14+'NF - 5 Power Mix'!PMC15)*860/10)+((('Form Sa1'!PMF835)*860)/10)+('Form Sa1'!PMF814*'Form Sa1'!PMF816/10)-'NF - 5 Power Mix'!PMC21-'NF - 5 Power Mix'!PMC22</f>
        <v>0</v>
      </c>
      <c r="PMD42" s="1046">
        <f>PMD38+((PMD40+'NF - 5 Power Mix'!PMD14+'NF - 5 Power Mix'!PMD15)*860/10)+((('Form Sa1'!PMG835)*860)/10)+('Form Sa1'!PMG814*'Form Sa1'!PMG816/10)-'NF - 5 Power Mix'!PMD21-'NF - 5 Power Mix'!PMD22</f>
        <v>0</v>
      </c>
      <c r="PME42" s="1046">
        <f>PME38+((PME40+'NF - 5 Power Mix'!PME14+'NF - 5 Power Mix'!PME15)*860/10)+((('Form Sa1'!PMH835)*860)/10)+('Form Sa1'!PMH814*'Form Sa1'!PMH816/10)-'NF - 5 Power Mix'!PME21-'NF - 5 Power Mix'!PME22</f>
        <v>0</v>
      </c>
      <c r="PMF42" s="1046">
        <f>PMF38+((PMF40+'NF - 5 Power Mix'!PMF14+'NF - 5 Power Mix'!PMF15)*860/10)+((('Form Sa1'!PMI835)*860)/10)+('Form Sa1'!PMI814*'Form Sa1'!PMI816/10)-'NF - 5 Power Mix'!PMF21-'NF - 5 Power Mix'!PMF22</f>
        <v>0</v>
      </c>
      <c r="PMG42" s="1046">
        <f>PMG38+((PMG40+'NF - 5 Power Mix'!PMG14+'NF - 5 Power Mix'!PMG15)*860/10)+((('Form Sa1'!PMJ835)*860)/10)+('Form Sa1'!PMJ814*'Form Sa1'!PMJ816/10)-'NF - 5 Power Mix'!PMG21-'NF - 5 Power Mix'!PMG22</f>
        <v>0</v>
      </c>
      <c r="PMH42" s="1046">
        <f>PMH38+((PMH40+'NF - 5 Power Mix'!PMH14+'NF - 5 Power Mix'!PMH15)*860/10)+((('Form Sa1'!PMK835)*860)/10)+('Form Sa1'!PMK814*'Form Sa1'!PMK816/10)-'NF - 5 Power Mix'!PMH21-'NF - 5 Power Mix'!PMH22</f>
        <v>0</v>
      </c>
      <c r="PMI42" s="1046">
        <f>PMI38+((PMI40+'NF - 5 Power Mix'!PMI14+'NF - 5 Power Mix'!PMI15)*860/10)+((('Form Sa1'!PML835)*860)/10)+('Form Sa1'!PML814*'Form Sa1'!PML816/10)-'NF - 5 Power Mix'!PMI21-'NF - 5 Power Mix'!PMI22</f>
        <v>0</v>
      </c>
      <c r="PMJ42" s="1046">
        <f>PMJ38+((PMJ40+'NF - 5 Power Mix'!PMJ14+'NF - 5 Power Mix'!PMJ15)*860/10)+((('Form Sa1'!PMM835)*860)/10)+('Form Sa1'!PMM814*'Form Sa1'!PMM816/10)-'NF - 5 Power Mix'!PMJ21-'NF - 5 Power Mix'!PMJ22</f>
        <v>0</v>
      </c>
      <c r="PMK42" s="1046">
        <f>PMK38+((PMK40+'NF - 5 Power Mix'!PMK14+'NF - 5 Power Mix'!PMK15)*860/10)+((('Form Sa1'!PMN835)*860)/10)+('Form Sa1'!PMN814*'Form Sa1'!PMN816/10)-'NF - 5 Power Mix'!PMK21-'NF - 5 Power Mix'!PMK22</f>
        <v>0</v>
      </c>
      <c r="PML42" s="1046">
        <f>PML38+((PML40+'NF - 5 Power Mix'!PML14+'NF - 5 Power Mix'!PML15)*860/10)+((('Form Sa1'!PMO835)*860)/10)+('Form Sa1'!PMO814*'Form Sa1'!PMO816/10)-'NF - 5 Power Mix'!PML21-'NF - 5 Power Mix'!PML22</f>
        <v>0</v>
      </c>
      <c r="PMM42" s="1046">
        <f>PMM38+((PMM40+'NF - 5 Power Mix'!PMM14+'NF - 5 Power Mix'!PMM15)*860/10)+((('Form Sa1'!PMP835)*860)/10)+('Form Sa1'!PMP814*'Form Sa1'!PMP816/10)-'NF - 5 Power Mix'!PMM21-'NF - 5 Power Mix'!PMM22</f>
        <v>0</v>
      </c>
      <c r="PMN42" s="1046">
        <f>PMN38+((PMN40+'NF - 5 Power Mix'!PMN14+'NF - 5 Power Mix'!PMN15)*860/10)+((('Form Sa1'!PMQ835)*860)/10)+('Form Sa1'!PMQ814*'Form Sa1'!PMQ816/10)-'NF - 5 Power Mix'!PMN21-'NF - 5 Power Mix'!PMN22</f>
        <v>0</v>
      </c>
      <c r="PMO42" s="1046">
        <f>PMO38+((PMO40+'NF - 5 Power Mix'!PMO14+'NF - 5 Power Mix'!PMO15)*860/10)+((('Form Sa1'!PMR835)*860)/10)+('Form Sa1'!PMR814*'Form Sa1'!PMR816/10)-'NF - 5 Power Mix'!PMO21-'NF - 5 Power Mix'!PMO22</f>
        <v>0</v>
      </c>
      <c r="PMP42" s="1046">
        <f>PMP38+((PMP40+'NF - 5 Power Mix'!PMP14+'NF - 5 Power Mix'!PMP15)*860/10)+((('Form Sa1'!PMS835)*860)/10)+('Form Sa1'!PMS814*'Form Sa1'!PMS816/10)-'NF - 5 Power Mix'!PMP21-'NF - 5 Power Mix'!PMP22</f>
        <v>0</v>
      </c>
      <c r="PMQ42" s="1046">
        <f>PMQ38+((PMQ40+'NF - 5 Power Mix'!PMQ14+'NF - 5 Power Mix'!PMQ15)*860/10)+((('Form Sa1'!PMT835)*860)/10)+('Form Sa1'!PMT814*'Form Sa1'!PMT816/10)-'NF - 5 Power Mix'!PMQ21-'NF - 5 Power Mix'!PMQ22</f>
        <v>0</v>
      </c>
      <c r="PMR42" s="1046">
        <f>PMR38+((PMR40+'NF - 5 Power Mix'!PMR14+'NF - 5 Power Mix'!PMR15)*860/10)+((('Form Sa1'!PMU835)*860)/10)+('Form Sa1'!PMU814*'Form Sa1'!PMU816/10)-'NF - 5 Power Mix'!PMR21-'NF - 5 Power Mix'!PMR22</f>
        <v>0</v>
      </c>
      <c r="PMS42" s="1046">
        <f>PMS38+((PMS40+'NF - 5 Power Mix'!PMS14+'NF - 5 Power Mix'!PMS15)*860/10)+((('Form Sa1'!PMV835)*860)/10)+('Form Sa1'!PMV814*'Form Sa1'!PMV816/10)-'NF - 5 Power Mix'!PMS21-'NF - 5 Power Mix'!PMS22</f>
        <v>0</v>
      </c>
      <c r="PMT42" s="1046">
        <f>PMT38+((PMT40+'NF - 5 Power Mix'!PMT14+'NF - 5 Power Mix'!PMT15)*860/10)+((('Form Sa1'!PMW835)*860)/10)+('Form Sa1'!PMW814*'Form Sa1'!PMW816/10)-'NF - 5 Power Mix'!PMT21-'NF - 5 Power Mix'!PMT22</f>
        <v>0</v>
      </c>
      <c r="PMU42" s="1046">
        <f>PMU38+((PMU40+'NF - 5 Power Mix'!PMU14+'NF - 5 Power Mix'!PMU15)*860/10)+((('Form Sa1'!PMX835)*860)/10)+('Form Sa1'!PMX814*'Form Sa1'!PMX816/10)-'NF - 5 Power Mix'!PMU21-'NF - 5 Power Mix'!PMU22</f>
        <v>0</v>
      </c>
      <c r="PMV42" s="1046">
        <f>PMV38+((PMV40+'NF - 5 Power Mix'!PMV14+'NF - 5 Power Mix'!PMV15)*860/10)+((('Form Sa1'!PMY835)*860)/10)+('Form Sa1'!PMY814*'Form Sa1'!PMY816/10)-'NF - 5 Power Mix'!PMV21-'NF - 5 Power Mix'!PMV22</f>
        <v>0</v>
      </c>
      <c r="PMW42" s="1046">
        <f>PMW38+((PMW40+'NF - 5 Power Mix'!PMW14+'NF - 5 Power Mix'!PMW15)*860/10)+((('Form Sa1'!PMZ835)*860)/10)+('Form Sa1'!PMZ814*'Form Sa1'!PMZ816/10)-'NF - 5 Power Mix'!PMW21-'NF - 5 Power Mix'!PMW22</f>
        <v>0</v>
      </c>
      <c r="PMX42" s="1046">
        <f>PMX38+((PMX40+'NF - 5 Power Mix'!PMX14+'NF - 5 Power Mix'!PMX15)*860/10)+((('Form Sa1'!PNA835)*860)/10)+('Form Sa1'!PNA814*'Form Sa1'!PNA816/10)-'NF - 5 Power Mix'!PMX21-'NF - 5 Power Mix'!PMX22</f>
        <v>0</v>
      </c>
      <c r="PMY42" s="1046">
        <f>PMY38+((PMY40+'NF - 5 Power Mix'!PMY14+'NF - 5 Power Mix'!PMY15)*860/10)+((('Form Sa1'!PNB835)*860)/10)+('Form Sa1'!PNB814*'Form Sa1'!PNB816/10)-'NF - 5 Power Mix'!PMY21-'NF - 5 Power Mix'!PMY22</f>
        <v>0</v>
      </c>
      <c r="PMZ42" s="1046">
        <f>PMZ38+((PMZ40+'NF - 5 Power Mix'!PMZ14+'NF - 5 Power Mix'!PMZ15)*860/10)+((('Form Sa1'!PNC835)*860)/10)+('Form Sa1'!PNC814*'Form Sa1'!PNC816/10)-'NF - 5 Power Mix'!PMZ21-'NF - 5 Power Mix'!PMZ22</f>
        <v>0</v>
      </c>
      <c r="PNA42" s="1046">
        <f>PNA38+((PNA40+'NF - 5 Power Mix'!PNA14+'NF - 5 Power Mix'!PNA15)*860/10)+((('Form Sa1'!PND835)*860)/10)+('Form Sa1'!PND814*'Form Sa1'!PND816/10)-'NF - 5 Power Mix'!PNA21-'NF - 5 Power Mix'!PNA22</f>
        <v>0</v>
      </c>
      <c r="PNB42" s="1046">
        <f>PNB38+((PNB40+'NF - 5 Power Mix'!PNB14+'NF - 5 Power Mix'!PNB15)*860/10)+((('Form Sa1'!PNE835)*860)/10)+('Form Sa1'!PNE814*'Form Sa1'!PNE816/10)-'NF - 5 Power Mix'!PNB21-'NF - 5 Power Mix'!PNB22</f>
        <v>0</v>
      </c>
      <c r="PNC42" s="1046">
        <f>PNC38+((PNC40+'NF - 5 Power Mix'!PNC14+'NF - 5 Power Mix'!PNC15)*860/10)+((('Form Sa1'!PNF835)*860)/10)+('Form Sa1'!PNF814*'Form Sa1'!PNF816/10)-'NF - 5 Power Mix'!PNC21-'NF - 5 Power Mix'!PNC22</f>
        <v>0</v>
      </c>
      <c r="PND42" s="1046">
        <f>PND38+((PND40+'NF - 5 Power Mix'!PND14+'NF - 5 Power Mix'!PND15)*860/10)+((('Form Sa1'!PNG835)*860)/10)+('Form Sa1'!PNG814*'Form Sa1'!PNG816/10)-'NF - 5 Power Mix'!PND21-'NF - 5 Power Mix'!PND22</f>
        <v>0</v>
      </c>
      <c r="PNE42" s="1046">
        <f>PNE38+((PNE40+'NF - 5 Power Mix'!PNE14+'NF - 5 Power Mix'!PNE15)*860/10)+((('Form Sa1'!PNH835)*860)/10)+('Form Sa1'!PNH814*'Form Sa1'!PNH816/10)-'NF - 5 Power Mix'!PNE21-'NF - 5 Power Mix'!PNE22</f>
        <v>0</v>
      </c>
      <c r="PNF42" s="1046">
        <f>PNF38+((PNF40+'NF - 5 Power Mix'!PNF14+'NF - 5 Power Mix'!PNF15)*860/10)+((('Form Sa1'!PNI835)*860)/10)+('Form Sa1'!PNI814*'Form Sa1'!PNI816/10)-'NF - 5 Power Mix'!PNF21-'NF - 5 Power Mix'!PNF22</f>
        <v>0</v>
      </c>
      <c r="PNG42" s="1046">
        <f>PNG38+((PNG40+'NF - 5 Power Mix'!PNG14+'NF - 5 Power Mix'!PNG15)*860/10)+((('Form Sa1'!PNJ835)*860)/10)+('Form Sa1'!PNJ814*'Form Sa1'!PNJ816/10)-'NF - 5 Power Mix'!PNG21-'NF - 5 Power Mix'!PNG22</f>
        <v>0</v>
      </c>
      <c r="PNH42" s="1046">
        <f>PNH38+((PNH40+'NF - 5 Power Mix'!PNH14+'NF - 5 Power Mix'!PNH15)*860/10)+((('Form Sa1'!PNK835)*860)/10)+('Form Sa1'!PNK814*'Form Sa1'!PNK816/10)-'NF - 5 Power Mix'!PNH21-'NF - 5 Power Mix'!PNH22</f>
        <v>0</v>
      </c>
      <c r="PNI42" s="1046">
        <f>PNI38+((PNI40+'NF - 5 Power Mix'!PNI14+'NF - 5 Power Mix'!PNI15)*860/10)+((('Form Sa1'!PNL835)*860)/10)+('Form Sa1'!PNL814*'Form Sa1'!PNL816/10)-'NF - 5 Power Mix'!PNI21-'NF - 5 Power Mix'!PNI22</f>
        <v>0</v>
      </c>
      <c r="PNJ42" s="1046">
        <f>PNJ38+((PNJ40+'NF - 5 Power Mix'!PNJ14+'NF - 5 Power Mix'!PNJ15)*860/10)+((('Form Sa1'!PNM835)*860)/10)+('Form Sa1'!PNM814*'Form Sa1'!PNM816/10)-'NF - 5 Power Mix'!PNJ21-'NF - 5 Power Mix'!PNJ22</f>
        <v>0</v>
      </c>
      <c r="PNK42" s="1046">
        <f>PNK38+((PNK40+'NF - 5 Power Mix'!PNK14+'NF - 5 Power Mix'!PNK15)*860/10)+((('Form Sa1'!PNN835)*860)/10)+('Form Sa1'!PNN814*'Form Sa1'!PNN816/10)-'NF - 5 Power Mix'!PNK21-'NF - 5 Power Mix'!PNK22</f>
        <v>0</v>
      </c>
      <c r="PNL42" s="1046">
        <f>PNL38+((PNL40+'NF - 5 Power Mix'!PNL14+'NF - 5 Power Mix'!PNL15)*860/10)+((('Form Sa1'!PNO835)*860)/10)+('Form Sa1'!PNO814*'Form Sa1'!PNO816/10)-'NF - 5 Power Mix'!PNL21-'NF - 5 Power Mix'!PNL22</f>
        <v>0</v>
      </c>
      <c r="PNM42" s="1046">
        <f>PNM38+((PNM40+'NF - 5 Power Mix'!PNM14+'NF - 5 Power Mix'!PNM15)*860/10)+((('Form Sa1'!PNP835)*860)/10)+('Form Sa1'!PNP814*'Form Sa1'!PNP816/10)-'NF - 5 Power Mix'!PNM21-'NF - 5 Power Mix'!PNM22</f>
        <v>0</v>
      </c>
      <c r="PNN42" s="1046">
        <f>PNN38+((PNN40+'NF - 5 Power Mix'!PNN14+'NF - 5 Power Mix'!PNN15)*860/10)+((('Form Sa1'!PNQ835)*860)/10)+('Form Sa1'!PNQ814*'Form Sa1'!PNQ816/10)-'NF - 5 Power Mix'!PNN21-'NF - 5 Power Mix'!PNN22</f>
        <v>0</v>
      </c>
      <c r="PNO42" s="1046">
        <f>PNO38+((PNO40+'NF - 5 Power Mix'!PNO14+'NF - 5 Power Mix'!PNO15)*860/10)+((('Form Sa1'!PNR835)*860)/10)+('Form Sa1'!PNR814*'Form Sa1'!PNR816/10)-'NF - 5 Power Mix'!PNO21-'NF - 5 Power Mix'!PNO22</f>
        <v>0</v>
      </c>
      <c r="PNP42" s="1046">
        <f>PNP38+((PNP40+'NF - 5 Power Mix'!PNP14+'NF - 5 Power Mix'!PNP15)*860/10)+((('Form Sa1'!PNS835)*860)/10)+('Form Sa1'!PNS814*'Form Sa1'!PNS816/10)-'NF - 5 Power Mix'!PNP21-'NF - 5 Power Mix'!PNP22</f>
        <v>0</v>
      </c>
      <c r="PNQ42" s="1046">
        <f>PNQ38+((PNQ40+'NF - 5 Power Mix'!PNQ14+'NF - 5 Power Mix'!PNQ15)*860/10)+((('Form Sa1'!PNT835)*860)/10)+('Form Sa1'!PNT814*'Form Sa1'!PNT816/10)-'NF - 5 Power Mix'!PNQ21-'NF - 5 Power Mix'!PNQ22</f>
        <v>0</v>
      </c>
      <c r="PNR42" s="1046">
        <f>PNR38+((PNR40+'NF - 5 Power Mix'!PNR14+'NF - 5 Power Mix'!PNR15)*860/10)+((('Form Sa1'!PNU835)*860)/10)+('Form Sa1'!PNU814*'Form Sa1'!PNU816/10)-'NF - 5 Power Mix'!PNR21-'NF - 5 Power Mix'!PNR22</f>
        <v>0</v>
      </c>
      <c r="PNS42" s="1046">
        <f>PNS38+((PNS40+'NF - 5 Power Mix'!PNS14+'NF - 5 Power Mix'!PNS15)*860/10)+((('Form Sa1'!PNV835)*860)/10)+('Form Sa1'!PNV814*'Form Sa1'!PNV816/10)-'NF - 5 Power Mix'!PNS21-'NF - 5 Power Mix'!PNS22</f>
        <v>0</v>
      </c>
      <c r="PNT42" s="1046">
        <f>PNT38+((PNT40+'NF - 5 Power Mix'!PNT14+'NF - 5 Power Mix'!PNT15)*860/10)+((('Form Sa1'!PNW835)*860)/10)+('Form Sa1'!PNW814*'Form Sa1'!PNW816/10)-'NF - 5 Power Mix'!PNT21-'NF - 5 Power Mix'!PNT22</f>
        <v>0</v>
      </c>
      <c r="PNU42" s="1046">
        <f>PNU38+((PNU40+'NF - 5 Power Mix'!PNU14+'NF - 5 Power Mix'!PNU15)*860/10)+((('Form Sa1'!PNX835)*860)/10)+('Form Sa1'!PNX814*'Form Sa1'!PNX816/10)-'NF - 5 Power Mix'!PNU21-'NF - 5 Power Mix'!PNU22</f>
        <v>0</v>
      </c>
      <c r="PNV42" s="1046">
        <f>PNV38+((PNV40+'NF - 5 Power Mix'!PNV14+'NF - 5 Power Mix'!PNV15)*860/10)+((('Form Sa1'!PNY835)*860)/10)+('Form Sa1'!PNY814*'Form Sa1'!PNY816/10)-'NF - 5 Power Mix'!PNV21-'NF - 5 Power Mix'!PNV22</f>
        <v>0</v>
      </c>
      <c r="PNW42" s="1046">
        <f>PNW38+((PNW40+'NF - 5 Power Mix'!PNW14+'NF - 5 Power Mix'!PNW15)*860/10)+((('Form Sa1'!PNZ835)*860)/10)+('Form Sa1'!PNZ814*'Form Sa1'!PNZ816/10)-'NF - 5 Power Mix'!PNW21-'NF - 5 Power Mix'!PNW22</f>
        <v>0</v>
      </c>
      <c r="PNX42" s="1046">
        <f>PNX38+((PNX40+'NF - 5 Power Mix'!PNX14+'NF - 5 Power Mix'!PNX15)*860/10)+((('Form Sa1'!POA835)*860)/10)+('Form Sa1'!POA814*'Form Sa1'!POA816/10)-'NF - 5 Power Mix'!PNX21-'NF - 5 Power Mix'!PNX22</f>
        <v>0</v>
      </c>
      <c r="PNY42" s="1046">
        <f>PNY38+((PNY40+'NF - 5 Power Mix'!PNY14+'NF - 5 Power Mix'!PNY15)*860/10)+((('Form Sa1'!POB835)*860)/10)+('Form Sa1'!POB814*'Form Sa1'!POB816/10)-'NF - 5 Power Mix'!PNY21-'NF - 5 Power Mix'!PNY22</f>
        <v>0</v>
      </c>
      <c r="PNZ42" s="1046">
        <f>PNZ38+((PNZ40+'NF - 5 Power Mix'!PNZ14+'NF - 5 Power Mix'!PNZ15)*860/10)+((('Form Sa1'!POC835)*860)/10)+('Form Sa1'!POC814*'Form Sa1'!POC816/10)-'NF - 5 Power Mix'!PNZ21-'NF - 5 Power Mix'!PNZ22</f>
        <v>0</v>
      </c>
      <c r="POA42" s="1046">
        <f>POA38+((POA40+'NF - 5 Power Mix'!POA14+'NF - 5 Power Mix'!POA15)*860/10)+((('Form Sa1'!POD835)*860)/10)+('Form Sa1'!POD814*'Form Sa1'!POD816/10)-'NF - 5 Power Mix'!POA21-'NF - 5 Power Mix'!POA22</f>
        <v>0</v>
      </c>
      <c r="POB42" s="1046">
        <f>POB38+((POB40+'NF - 5 Power Mix'!POB14+'NF - 5 Power Mix'!POB15)*860/10)+((('Form Sa1'!POE835)*860)/10)+('Form Sa1'!POE814*'Form Sa1'!POE816/10)-'NF - 5 Power Mix'!POB21-'NF - 5 Power Mix'!POB22</f>
        <v>0</v>
      </c>
      <c r="POC42" s="1046">
        <f>POC38+((POC40+'NF - 5 Power Mix'!POC14+'NF - 5 Power Mix'!POC15)*860/10)+((('Form Sa1'!POF835)*860)/10)+('Form Sa1'!POF814*'Form Sa1'!POF816/10)-'NF - 5 Power Mix'!POC21-'NF - 5 Power Mix'!POC22</f>
        <v>0</v>
      </c>
      <c r="POD42" s="1046">
        <f>POD38+((POD40+'NF - 5 Power Mix'!POD14+'NF - 5 Power Mix'!POD15)*860/10)+((('Form Sa1'!POG835)*860)/10)+('Form Sa1'!POG814*'Form Sa1'!POG816/10)-'NF - 5 Power Mix'!POD21-'NF - 5 Power Mix'!POD22</f>
        <v>0</v>
      </c>
      <c r="POE42" s="1046">
        <f>POE38+((POE40+'NF - 5 Power Mix'!POE14+'NF - 5 Power Mix'!POE15)*860/10)+((('Form Sa1'!POH835)*860)/10)+('Form Sa1'!POH814*'Form Sa1'!POH816/10)-'NF - 5 Power Mix'!POE21-'NF - 5 Power Mix'!POE22</f>
        <v>0</v>
      </c>
      <c r="POF42" s="1046">
        <f>POF38+((POF40+'NF - 5 Power Mix'!POF14+'NF - 5 Power Mix'!POF15)*860/10)+((('Form Sa1'!POI835)*860)/10)+('Form Sa1'!POI814*'Form Sa1'!POI816/10)-'NF - 5 Power Mix'!POF21-'NF - 5 Power Mix'!POF22</f>
        <v>0</v>
      </c>
      <c r="POG42" s="1046">
        <f>POG38+((POG40+'NF - 5 Power Mix'!POG14+'NF - 5 Power Mix'!POG15)*860/10)+((('Form Sa1'!POJ835)*860)/10)+('Form Sa1'!POJ814*'Form Sa1'!POJ816/10)-'NF - 5 Power Mix'!POG21-'NF - 5 Power Mix'!POG22</f>
        <v>0</v>
      </c>
      <c r="POH42" s="1046">
        <f>POH38+((POH40+'NF - 5 Power Mix'!POH14+'NF - 5 Power Mix'!POH15)*860/10)+((('Form Sa1'!POK835)*860)/10)+('Form Sa1'!POK814*'Form Sa1'!POK816/10)-'NF - 5 Power Mix'!POH21-'NF - 5 Power Mix'!POH22</f>
        <v>0</v>
      </c>
      <c r="POI42" s="1046">
        <f>POI38+((POI40+'NF - 5 Power Mix'!POI14+'NF - 5 Power Mix'!POI15)*860/10)+((('Form Sa1'!POL835)*860)/10)+('Form Sa1'!POL814*'Form Sa1'!POL816/10)-'NF - 5 Power Mix'!POI21-'NF - 5 Power Mix'!POI22</f>
        <v>0</v>
      </c>
      <c r="POJ42" s="1046">
        <f>POJ38+((POJ40+'NF - 5 Power Mix'!POJ14+'NF - 5 Power Mix'!POJ15)*860/10)+((('Form Sa1'!POM835)*860)/10)+('Form Sa1'!POM814*'Form Sa1'!POM816/10)-'NF - 5 Power Mix'!POJ21-'NF - 5 Power Mix'!POJ22</f>
        <v>0</v>
      </c>
      <c r="POK42" s="1046">
        <f>POK38+((POK40+'NF - 5 Power Mix'!POK14+'NF - 5 Power Mix'!POK15)*860/10)+((('Form Sa1'!PON835)*860)/10)+('Form Sa1'!PON814*'Form Sa1'!PON816/10)-'NF - 5 Power Mix'!POK21-'NF - 5 Power Mix'!POK22</f>
        <v>0</v>
      </c>
      <c r="POL42" s="1046">
        <f>POL38+((POL40+'NF - 5 Power Mix'!POL14+'NF - 5 Power Mix'!POL15)*860/10)+((('Form Sa1'!POO835)*860)/10)+('Form Sa1'!POO814*'Form Sa1'!POO816/10)-'NF - 5 Power Mix'!POL21-'NF - 5 Power Mix'!POL22</f>
        <v>0</v>
      </c>
      <c r="POM42" s="1046">
        <f>POM38+((POM40+'NF - 5 Power Mix'!POM14+'NF - 5 Power Mix'!POM15)*860/10)+((('Form Sa1'!POP835)*860)/10)+('Form Sa1'!POP814*'Form Sa1'!POP816/10)-'NF - 5 Power Mix'!POM21-'NF - 5 Power Mix'!POM22</f>
        <v>0</v>
      </c>
      <c r="PON42" s="1046">
        <f>PON38+((PON40+'NF - 5 Power Mix'!PON14+'NF - 5 Power Mix'!PON15)*860/10)+((('Form Sa1'!POQ835)*860)/10)+('Form Sa1'!POQ814*'Form Sa1'!POQ816/10)-'NF - 5 Power Mix'!PON21-'NF - 5 Power Mix'!PON22</f>
        <v>0</v>
      </c>
      <c r="POO42" s="1046">
        <f>POO38+((POO40+'NF - 5 Power Mix'!POO14+'NF - 5 Power Mix'!POO15)*860/10)+((('Form Sa1'!POR835)*860)/10)+('Form Sa1'!POR814*'Form Sa1'!POR816/10)-'NF - 5 Power Mix'!POO21-'NF - 5 Power Mix'!POO22</f>
        <v>0</v>
      </c>
      <c r="POP42" s="1046">
        <f>POP38+((POP40+'NF - 5 Power Mix'!POP14+'NF - 5 Power Mix'!POP15)*860/10)+((('Form Sa1'!POS835)*860)/10)+('Form Sa1'!POS814*'Form Sa1'!POS816/10)-'NF - 5 Power Mix'!POP21-'NF - 5 Power Mix'!POP22</f>
        <v>0</v>
      </c>
      <c r="POQ42" s="1046">
        <f>POQ38+((POQ40+'NF - 5 Power Mix'!POQ14+'NF - 5 Power Mix'!POQ15)*860/10)+((('Form Sa1'!POT835)*860)/10)+('Form Sa1'!POT814*'Form Sa1'!POT816/10)-'NF - 5 Power Mix'!POQ21-'NF - 5 Power Mix'!POQ22</f>
        <v>0</v>
      </c>
      <c r="POR42" s="1046">
        <f>POR38+((POR40+'NF - 5 Power Mix'!POR14+'NF - 5 Power Mix'!POR15)*860/10)+((('Form Sa1'!POU835)*860)/10)+('Form Sa1'!POU814*'Form Sa1'!POU816/10)-'NF - 5 Power Mix'!POR21-'NF - 5 Power Mix'!POR22</f>
        <v>0</v>
      </c>
      <c r="POS42" s="1046">
        <f>POS38+((POS40+'NF - 5 Power Mix'!POS14+'NF - 5 Power Mix'!POS15)*860/10)+((('Form Sa1'!POV835)*860)/10)+('Form Sa1'!POV814*'Form Sa1'!POV816/10)-'NF - 5 Power Mix'!POS21-'NF - 5 Power Mix'!POS22</f>
        <v>0</v>
      </c>
      <c r="POT42" s="1046">
        <f>POT38+((POT40+'NF - 5 Power Mix'!POT14+'NF - 5 Power Mix'!POT15)*860/10)+((('Form Sa1'!POW835)*860)/10)+('Form Sa1'!POW814*'Form Sa1'!POW816/10)-'NF - 5 Power Mix'!POT21-'NF - 5 Power Mix'!POT22</f>
        <v>0</v>
      </c>
      <c r="POU42" s="1046">
        <f>POU38+((POU40+'NF - 5 Power Mix'!POU14+'NF - 5 Power Mix'!POU15)*860/10)+((('Form Sa1'!POX835)*860)/10)+('Form Sa1'!POX814*'Form Sa1'!POX816/10)-'NF - 5 Power Mix'!POU21-'NF - 5 Power Mix'!POU22</f>
        <v>0</v>
      </c>
      <c r="POV42" s="1046">
        <f>POV38+((POV40+'NF - 5 Power Mix'!POV14+'NF - 5 Power Mix'!POV15)*860/10)+((('Form Sa1'!POY835)*860)/10)+('Form Sa1'!POY814*'Form Sa1'!POY816/10)-'NF - 5 Power Mix'!POV21-'NF - 5 Power Mix'!POV22</f>
        <v>0</v>
      </c>
      <c r="POW42" s="1046">
        <f>POW38+((POW40+'NF - 5 Power Mix'!POW14+'NF - 5 Power Mix'!POW15)*860/10)+((('Form Sa1'!POZ835)*860)/10)+('Form Sa1'!POZ814*'Form Sa1'!POZ816/10)-'NF - 5 Power Mix'!POW21-'NF - 5 Power Mix'!POW22</f>
        <v>0</v>
      </c>
      <c r="POX42" s="1046">
        <f>POX38+((POX40+'NF - 5 Power Mix'!POX14+'NF - 5 Power Mix'!POX15)*860/10)+((('Form Sa1'!PPA835)*860)/10)+('Form Sa1'!PPA814*'Form Sa1'!PPA816/10)-'NF - 5 Power Mix'!POX21-'NF - 5 Power Mix'!POX22</f>
        <v>0</v>
      </c>
      <c r="POY42" s="1046">
        <f>POY38+((POY40+'NF - 5 Power Mix'!POY14+'NF - 5 Power Mix'!POY15)*860/10)+((('Form Sa1'!PPB835)*860)/10)+('Form Sa1'!PPB814*'Form Sa1'!PPB816/10)-'NF - 5 Power Mix'!POY21-'NF - 5 Power Mix'!POY22</f>
        <v>0</v>
      </c>
      <c r="POZ42" s="1046">
        <f>POZ38+((POZ40+'NF - 5 Power Mix'!POZ14+'NF - 5 Power Mix'!POZ15)*860/10)+((('Form Sa1'!PPC835)*860)/10)+('Form Sa1'!PPC814*'Form Sa1'!PPC816/10)-'NF - 5 Power Mix'!POZ21-'NF - 5 Power Mix'!POZ22</f>
        <v>0</v>
      </c>
      <c r="PPA42" s="1046">
        <f>PPA38+((PPA40+'NF - 5 Power Mix'!PPA14+'NF - 5 Power Mix'!PPA15)*860/10)+((('Form Sa1'!PPD835)*860)/10)+('Form Sa1'!PPD814*'Form Sa1'!PPD816/10)-'NF - 5 Power Mix'!PPA21-'NF - 5 Power Mix'!PPA22</f>
        <v>0</v>
      </c>
      <c r="PPB42" s="1046">
        <f>PPB38+((PPB40+'NF - 5 Power Mix'!PPB14+'NF - 5 Power Mix'!PPB15)*860/10)+((('Form Sa1'!PPE835)*860)/10)+('Form Sa1'!PPE814*'Form Sa1'!PPE816/10)-'NF - 5 Power Mix'!PPB21-'NF - 5 Power Mix'!PPB22</f>
        <v>0</v>
      </c>
      <c r="PPC42" s="1046">
        <f>PPC38+((PPC40+'NF - 5 Power Mix'!PPC14+'NF - 5 Power Mix'!PPC15)*860/10)+((('Form Sa1'!PPF835)*860)/10)+('Form Sa1'!PPF814*'Form Sa1'!PPF816/10)-'NF - 5 Power Mix'!PPC21-'NF - 5 Power Mix'!PPC22</f>
        <v>0</v>
      </c>
      <c r="PPD42" s="1046">
        <f>PPD38+((PPD40+'NF - 5 Power Mix'!PPD14+'NF - 5 Power Mix'!PPD15)*860/10)+((('Form Sa1'!PPG835)*860)/10)+('Form Sa1'!PPG814*'Form Sa1'!PPG816/10)-'NF - 5 Power Mix'!PPD21-'NF - 5 Power Mix'!PPD22</f>
        <v>0</v>
      </c>
      <c r="PPE42" s="1046">
        <f>PPE38+((PPE40+'NF - 5 Power Mix'!PPE14+'NF - 5 Power Mix'!PPE15)*860/10)+((('Form Sa1'!PPH835)*860)/10)+('Form Sa1'!PPH814*'Form Sa1'!PPH816/10)-'NF - 5 Power Mix'!PPE21-'NF - 5 Power Mix'!PPE22</f>
        <v>0</v>
      </c>
      <c r="PPF42" s="1046">
        <f>PPF38+((PPF40+'NF - 5 Power Mix'!PPF14+'NF - 5 Power Mix'!PPF15)*860/10)+((('Form Sa1'!PPI835)*860)/10)+('Form Sa1'!PPI814*'Form Sa1'!PPI816/10)-'NF - 5 Power Mix'!PPF21-'NF - 5 Power Mix'!PPF22</f>
        <v>0</v>
      </c>
      <c r="PPG42" s="1046">
        <f>PPG38+((PPG40+'NF - 5 Power Mix'!PPG14+'NF - 5 Power Mix'!PPG15)*860/10)+((('Form Sa1'!PPJ835)*860)/10)+('Form Sa1'!PPJ814*'Form Sa1'!PPJ816/10)-'NF - 5 Power Mix'!PPG21-'NF - 5 Power Mix'!PPG22</f>
        <v>0</v>
      </c>
      <c r="PPH42" s="1046">
        <f>PPH38+((PPH40+'NF - 5 Power Mix'!PPH14+'NF - 5 Power Mix'!PPH15)*860/10)+((('Form Sa1'!PPK835)*860)/10)+('Form Sa1'!PPK814*'Form Sa1'!PPK816/10)-'NF - 5 Power Mix'!PPH21-'NF - 5 Power Mix'!PPH22</f>
        <v>0</v>
      </c>
      <c r="PPI42" s="1046">
        <f>PPI38+((PPI40+'NF - 5 Power Mix'!PPI14+'NF - 5 Power Mix'!PPI15)*860/10)+((('Form Sa1'!PPL835)*860)/10)+('Form Sa1'!PPL814*'Form Sa1'!PPL816/10)-'NF - 5 Power Mix'!PPI21-'NF - 5 Power Mix'!PPI22</f>
        <v>0</v>
      </c>
      <c r="PPJ42" s="1046">
        <f>PPJ38+((PPJ40+'NF - 5 Power Mix'!PPJ14+'NF - 5 Power Mix'!PPJ15)*860/10)+((('Form Sa1'!PPM835)*860)/10)+('Form Sa1'!PPM814*'Form Sa1'!PPM816/10)-'NF - 5 Power Mix'!PPJ21-'NF - 5 Power Mix'!PPJ22</f>
        <v>0</v>
      </c>
      <c r="PPK42" s="1046">
        <f>PPK38+((PPK40+'NF - 5 Power Mix'!PPK14+'NF - 5 Power Mix'!PPK15)*860/10)+((('Form Sa1'!PPN835)*860)/10)+('Form Sa1'!PPN814*'Form Sa1'!PPN816/10)-'NF - 5 Power Mix'!PPK21-'NF - 5 Power Mix'!PPK22</f>
        <v>0</v>
      </c>
      <c r="PPL42" s="1046">
        <f>PPL38+((PPL40+'NF - 5 Power Mix'!PPL14+'NF - 5 Power Mix'!PPL15)*860/10)+((('Form Sa1'!PPO835)*860)/10)+('Form Sa1'!PPO814*'Form Sa1'!PPO816/10)-'NF - 5 Power Mix'!PPL21-'NF - 5 Power Mix'!PPL22</f>
        <v>0</v>
      </c>
      <c r="PPM42" s="1046">
        <f>PPM38+((PPM40+'NF - 5 Power Mix'!PPM14+'NF - 5 Power Mix'!PPM15)*860/10)+((('Form Sa1'!PPP835)*860)/10)+('Form Sa1'!PPP814*'Form Sa1'!PPP816/10)-'NF - 5 Power Mix'!PPM21-'NF - 5 Power Mix'!PPM22</f>
        <v>0</v>
      </c>
      <c r="PPN42" s="1046">
        <f>PPN38+((PPN40+'NF - 5 Power Mix'!PPN14+'NF - 5 Power Mix'!PPN15)*860/10)+((('Form Sa1'!PPQ835)*860)/10)+('Form Sa1'!PPQ814*'Form Sa1'!PPQ816/10)-'NF - 5 Power Mix'!PPN21-'NF - 5 Power Mix'!PPN22</f>
        <v>0</v>
      </c>
      <c r="PPO42" s="1046">
        <f>PPO38+((PPO40+'NF - 5 Power Mix'!PPO14+'NF - 5 Power Mix'!PPO15)*860/10)+((('Form Sa1'!PPR835)*860)/10)+('Form Sa1'!PPR814*'Form Sa1'!PPR816/10)-'NF - 5 Power Mix'!PPO21-'NF - 5 Power Mix'!PPO22</f>
        <v>0</v>
      </c>
      <c r="PPP42" s="1046">
        <f>PPP38+((PPP40+'NF - 5 Power Mix'!PPP14+'NF - 5 Power Mix'!PPP15)*860/10)+((('Form Sa1'!PPS835)*860)/10)+('Form Sa1'!PPS814*'Form Sa1'!PPS816/10)-'NF - 5 Power Mix'!PPP21-'NF - 5 Power Mix'!PPP22</f>
        <v>0</v>
      </c>
      <c r="PPQ42" s="1046">
        <f>PPQ38+((PPQ40+'NF - 5 Power Mix'!PPQ14+'NF - 5 Power Mix'!PPQ15)*860/10)+((('Form Sa1'!PPT835)*860)/10)+('Form Sa1'!PPT814*'Form Sa1'!PPT816/10)-'NF - 5 Power Mix'!PPQ21-'NF - 5 Power Mix'!PPQ22</f>
        <v>0</v>
      </c>
      <c r="PPR42" s="1046">
        <f>PPR38+((PPR40+'NF - 5 Power Mix'!PPR14+'NF - 5 Power Mix'!PPR15)*860/10)+((('Form Sa1'!PPU835)*860)/10)+('Form Sa1'!PPU814*'Form Sa1'!PPU816/10)-'NF - 5 Power Mix'!PPR21-'NF - 5 Power Mix'!PPR22</f>
        <v>0</v>
      </c>
      <c r="PPS42" s="1046">
        <f>PPS38+((PPS40+'NF - 5 Power Mix'!PPS14+'NF - 5 Power Mix'!PPS15)*860/10)+((('Form Sa1'!PPV835)*860)/10)+('Form Sa1'!PPV814*'Form Sa1'!PPV816/10)-'NF - 5 Power Mix'!PPS21-'NF - 5 Power Mix'!PPS22</f>
        <v>0</v>
      </c>
      <c r="PPT42" s="1046">
        <f>PPT38+((PPT40+'NF - 5 Power Mix'!PPT14+'NF - 5 Power Mix'!PPT15)*860/10)+((('Form Sa1'!PPW835)*860)/10)+('Form Sa1'!PPW814*'Form Sa1'!PPW816/10)-'NF - 5 Power Mix'!PPT21-'NF - 5 Power Mix'!PPT22</f>
        <v>0</v>
      </c>
      <c r="PPU42" s="1046">
        <f>PPU38+((PPU40+'NF - 5 Power Mix'!PPU14+'NF - 5 Power Mix'!PPU15)*860/10)+((('Form Sa1'!PPX835)*860)/10)+('Form Sa1'!PPX814*'Form Sa1'!PPX816/10)-'NF - 5 Power Mix'!PPU21-'NF - 5 Power Mix'!PPU22</f>
        <v>0</v>
      </c>
      <c r="PPV42" s="1046">
        <f>PPV38+((PPV40+'NF - 5 Power Mix'!PPV14+'NF - 5 Power Mix'!PPV15)*860/10)+((('Form Sa1'!PPY835)*860)/10)+('Form Sa1'!PPY814*'Form Sa1'!PPY816/10)-'NF - 5 Power Mix'!PPV21-'NF - 5 Power Mix'!PPV22</f>
        <v>0</v>
      </c>
      <c r="PPW42" s="1046">
        <f>PPW38+((PPW40+'NF - 5 Power Mix'!PPW14+'NF - 5 Power Mix'!PPW15)*860/10)+((('Form Sa1'!PPZ835)*860)/10)+('Form Sa1'!PPZ814*'Form Sa1'!PPZ816/10)-'NF - 5 Power Mix'!PPW21-'NF - 5 Power Mix'!PPW22</f>
        <v>0</v>
      </c>
      <c r="PPX42" s="1046">
        <f>PPX38+((PPX40+'NF - 5 Power Mix'!PPX14+'NF - 5 Power Mix'!PPX15)*860/10)+((('Form Sa1'!PQA835)*860)/10)+('Form Sa1'!PQA814*'Form Sa1'!PQA816/10)-'NF - 5 Power Mix'!PPX21-'NF - 5 Power Mix'!PPX22</f>
        <v>0</v>
      </c>
      <c r="PPY42" s="1046">
        <f>PPY38+((PPY40+'NF - 5 Power Mix'!PPY14+'NF - 5 Power Mix'!PPY15)*860/10)+((('Form Sa1'!PQB835)*860)/10)+('Form Sa1'!PQB814*'Form Sa1'!PQB816/10)-'NF - 5 Power Mix'!PPY21-'NF - 5 Power Mix'!PPY22</f>
        <v>0</v>
      </c>
      <c r="PPZ42" s="1046">
        <f>PPZ38+((PPZ40+'NF - 5 Power Mix'!PPZ14+'NF - 5 Power Mix'!PPZ15)*860/10)+((('Form Sa1'!PQC835)*860)/10)+('Form Sa1'!PQC814*'Form Sa1'!PQC816/10)-'NF - 5 Power Mix'!PPZ21-'NF - 5 Power Mix'!PPZ22</f>
        <v>0</v>
      </c>
      <c r="PQA42" s="1046">
        <f>PQA38+((PQA40+'NF - 5 Power Mix'!PQA14+'NF - 5 Power Mix'!PQA15)*860/10)+((('Form Sa1'!PQD835)*860)/10)+('Form Sa1'!PQD814*'Form Sa1'!PQD816/10)-'NF - 5 Power Mix'!PQA21-'NF - 5 Power Mix'!PQA22</f>
        <v>0</v>
      </c>
      <c r="PQB42" s="1046">
        <f>PQB38+((PQB40+'NF - 5 Power Mix'!PQB14+'NF - 5 Power Mix'!PQB15)*860/10)+((('Form Sa1'!PQE835)*860)/10)+('Form Sa1'!PQE814*'Form Sa1'!PQE816/10)-'NF - 5 Power Mix'!PQB21-'NF - 5 Power Mix'!PQB22</f>
        <v>0</v>
      </c>
      <c r="PQC42" s="1046">
        <f>PQC38+((PQC40+'NF - 5 Power Mix'!PQC14+'NF - 5 Power Mix'!PQC15)*860/10)+((('Form Sa1'!PQF835)*860)/10)+('Form Sa1'!PQF814*'Form Sa1'!PQF816/10)-'NF - 5 Power Mix'!PQC21-'NF - 5 Power Mix'!PQC22</f>
        <v>0</v>
      </c>
      <c r="PQD42" s="1046">
        <f>PQD38+((PQD40+'NF - 5 Power Mix'!PQD14+'NF - 5 Power Mix'!PQD15)*860/10)+((('Form Sa1'!PQG835)*860)/10)+('Form Sa1'!PQG814*'Form Sa1'!PQG816/10)-'NF - 5 Power Mix'!PQD21-'NF - 5 Power Mix'!PQD22</f>
        <v>0</v>
      </c>
      <c r="PQE42" s="1046">
        <f>PQE38+((PQE40+'NF - 5 Power Mix'!PQE14+'NF - 5 Power Mix'!PQE15)*860/10)+((('Form Sa1'!PQH835)*860)/10)+('Form Sa1'!PQH814*'Form Sa1'!PQH816/10)-'NF - 5 Power Mix'!PQE21-'NF - 5 Power Mix'!PQE22</f>
        <v>0</v>
      </c>
      <c r="PQF42" s="1046">
        <f>PQF38+((PQF40+'NF - 5 Power Mix'!PQF14+'NF - 5 Power Mix'!PQF15)*860/10)+((('Form Sa1'!PQI835)*860)/10)+('Form Sa1'!PQI814*'Form Sa1'!PQI816/10)-'NF - 5 Power Mix'!PQF21-'NF - 5 Power Mix'!PQF22</f>
        <v>0</v>
      </c>
      <c r="PQG42" s="1046">
        <f>PQG38+((PQG40+'NF - 5 Power Mix'!PQG14+'NF - 5 Power Mix'!PQG15)*860/10)+((('Form Sa1'!PQJ835)*860)/10)+('Form Sa1'!PQJ814*'Form Sa1'!PQJ816/10)-'NF - 5 Power Mix'!PQG21-'NF - 5 Power Mix'!PQG22</f>
        <v>0</v>
      </c>
      <c r="PQH42" s="1046">
        <f>PQH38+((PQH40+'NF - 5 Power Mix'!PQH14+'NF - 5 Power Mix'!PQH15)*860/10)+((('Form Sa1'!PQK835)*860)/10)+('Form Sa1'!PQK814*'Form Sa1'!PQK816/10)-'NF - 5 Power Mix'!PQH21-'NF - 5 Power Mix'!PQH22</f>
        <v>0</v>
      </c>
      <c r="PQI42" s="1046">
        <f>PQI38+((PQI40+'NF - 5 Power Mix'!PQI14+'NF - 5 Power Mix'!PQI15)*860/10)+((('Form Sa1'!PQL835)*860)/10)+('Form Sa1'!PQL814*'Form Sa1'!PQL816/10)-'NF - 5 Power Mix'!PQI21-'NF - 5 Power Mix'!PQI22</f>
        <v>0</v>
      </c>
      <c r="PQJ42" s="1046">
        <f>PQJ38+((PQJ40+'NF - 5 Power Mix'!PQJ14+'NF - 5 Power Mix'!PQJ15)*860/10)+((('Form Sa1'!PQM835)*860)/10)+('Form Sa1'!PQM814*'Form Sa1'!PQM816/10)-'NF - 5 Power Mix'!PQJ21-'NF - 5 Power Mix'!PQJ22</f>
        <v>0</v>
      </c>
      <c r="PQK42" s="1046">
        <f>PQK38+((PQK40+'NF - 5 Power Mix'!PQK14+'NF - 5 Power Mix'!PQK15)*860/10)+((('Form Sa1'!PQN835)*860)/10)+('Form Sa1'!PQN814*'Form Sa1'!PQN816/10)-'NF - 5 Power Mix'!PQK21-'NF - 5 Power Mix'!PQK22</f>
        <v>0</v>
      </c>
      <c r="PQL42" s="1046">
        <f>PQL38+((PQL40+'NF - 5 Power Mix'!PQL14+'NF - 5 Power Mix'!PQL15)*860/10)+((('Form Sa1'!PQO835)*860)/10)+('Form Sa1'!PQO814*'Form Sa1'!PQO816/10)-'NF - 5 Power Mix'!PQL21-'NF - 5 Power Mix'!PQL22</f>
        <v>0</v>
      </c>
      <c r="PQM42" s="1046">
        <f>PQM38+((PQM40+'NF - 5 Power Mix'!PQM14+'NF - 5 Power Mix'!PQM15)*860/10)+((('Form Sa1'!PQP835)*860)/10)+('Form Sa1'!PQP814*'Form Sa1'!PQP816/10)-'NF - 5 Power Mix'!PQM21-'NF - 5 Power Mix'!PQM22</f>
        <v>0</v>
      </c>
      <c r="PQN42" s="1046">
        <f>PQN38+((PQN40+'NF - 5 Power Mix'!PQN14+'NF - 5 Power Mix'!PQN15)*860/10)+((('Form Sa1'!PQQ835)*860)/10)+('Form Sa1'!PQQ814*'Form Sa1'!PQQ816/10)-'NF - 5 Power Mix'!PQN21-'NF - 5 Power Mix'!PQN22</f>
        <v>0</v>
      </c>
      <c r="PQO42" s="1046">
        <f>PQO38+((PQO40+'NF - 5 Power Mix'!PQO14+'NF - 5 Power Mix'!PQO15)*860/10)+((('Form Sa1'!PQR835)*860)/10)+('Form Sa1'!PQR814*'Form Sa1'!PQR816/10)-'NF - 5 Power Mix'!PQO21-'NF - 5 Power Mix'!PQO22</f>
        <v>0</v>
      </c>
      <c r="PQP42" s="1046">
        <f>PQP38+((PQP40+'NF - 5 Power Mix'!PQP14+'NF - 5 Power Mix'!PQP15)*860/10)+((('Form Sa1'!PQS835)*860)/10)+('Form Sa1'!PQS814*'Form Sa1'!PQS816/10)-'NF - 5 Power Mix'!PQP21-'NF - 5 Power Mix'!PQP22</f>
        <v>0</v>
      </c>
      <c r="PQQ42" s="1046">
        <f>PQQ38+((PQQ40+'NF - 5 Power Mix'!PQQ14+'NF - 5 Power Mix'!PQQ15)*860/10)+((('Form Sa1'!PQT835)*860)/10)+('Form Sa1'!PQT814*'Form Sa1'!PQT816/10)-'NF - 5 Power Mix'!PQQ21-'NF - 5 Power Mix'!PQQ22</f>
        <v>0</v>
      </c>
      <c r="PQR42" s="1046">
        <f>PQR38+((PQR40+'NF - 5 Power Mix'!PQR14+'NF - 5 Power Mix'!PQR15)*860/10)+((('Form Sa1'!PQU835)*860)/10)+('Form Sa1'!PQU814*'Form Sa1'!PQU816/10)-'NF - 5 Power Mix'!PQR21-'NF - 5 Power Mix'!PQR22</f>
        <v>0</v>
      </c>
      <c r="PQS42" s="1046">
        <f>PQS38+((PQS40+'NF - 5 Power Mix'!PQS14+'NF - 5 Power Mix'!PQS15)*860/10)+((('Form Sa1'!PQV835)*860)/10)+('Form Sa1'!PQV814*'Form Sa1'!PQV816/10)-'NF - 5 Power Mix'!PQS21-'NF - 5 Power Mix'!PQS22</f>
        <v>0</v>
      </c>
      <c r="PQT42" s="1046">
        <f>PQT38+((PQT40+'NF - 5 Power Mix'!PQT14+'NF - 5 Power Mix'!PQT15)*860/10)+((('Form Sa1'!PQW835)*860)/10)+('Form Sa1'!PQW814*'Form Sa1'!PQW816/10)-'NF - 5 Power Mix'!PQT21-'NF - 5 Power Mix'!PQT22</f>
        <v>0</v>
      </c>
      <c r="PQU42" s="1046">
        <f>PQU38+((PQU40+'NF - 5 Power Mix'!PQU14+'NF - 5 Power Mix'!PQU15)*860/10)+((('Form Sa1'!PQX835)*860)/10)+('Form Sa1'!PQX814*'Form Sa1'!PQX816/10)-'NF - 5 Power Mix'!PQU21-'NF - 5 Power Mix'!PQU22</f>
        <v>0</v>
      </c>
      <c r="PQV42" s="1046">
        <f>PQV38+((PQV40+'NF - 5 Power Mix'!PQV14+'NF - 5 Power Mix'!PQV15)*860/10)+((('Form Sa1'!PQY835)*860)/10)+('Form Sa1'!PQY814*'Form Sa1'!PQY816/10)-'NF - 5 Power Mix'!PQV21-'NF - 5 Power Mix'!PQV22</f>
        <v>0</v>
      </c>
      <c r="PQW42" s="1046">
        <f>PQW38+((PQW40+'NF - 5 Power Mix'!PQW14+'NF - 5 Power Mix'!PQW15)*860/10)+((('Form Sa1'!PQZ835)*860)/10)+('Form Sa1'!PQZ814*'Form Sa1'!PQZ816/10)-'NF - 5 Power Mix'!PQW21-'NF - 5 Power Mix'!PQW22</f>
        <v>0</v>
      </c>
      <c r="PQX42" s="1046">
        <f>PQX38+((PQX40+'NF - 5 Power Mix'!PQX14+'NF - 5 Power Mix'!PQX15)*860/10)+((('Form Sa1'!PRA835)*860)/10)+('Form Sa1'!PRA814*'Form Sa1'!PRA816/10)-'NF - 5 Power Mix'!PQX21-'NF - 5 Power Mix'!PQX22</f>
        <v>0</v>
      </c>
      <c r="PQY42" s="1046">
        <f>PQY38+((PQY40+'NF - 5 Power Mix'!PQY14+'NF - 5 Power Mix'!PQY15)*860/10)+((('Form Sa1'!PRB835)*860)/10)+('Form Sa1'!PRB814*'Form Sa1'!PRB816/10)-'NF - 5 Power Mix'!PQY21-'NF - 5 Power Mix'!PQY22</f>
        <v>0</v>
      </c>
      <c r="PQZ42" s="1046">
        <f>PQZ38+((PQZ40+'NF - 5 Power Mix'!PQZ14+'NF - 5 Power Mix'!PQZ15)*860/10)+((('Form Sa1'!PRC835)*860)/10)+('Form Sa1'!PRC814*'Form Sa1'!PRC816/10)-'NF - 5 Power Mix'!PQZ21-'NF - 5 Power Mix'!PQZ22</f>
        <v>0</v>
      </c>
      <c r="PRA42" s="1046">
        <f>PRA38+((PRA40+'NF - 5 Power Mix'!PRA14+'NF - 5 Power Mix'!PRA15)*860/10)+((('Form Sa1'!PRD835)*860)/10)+('Form Sa1'!PRD814*'Form Sa1'!PRD816/10)-'NF - 5 Power Mix'!PRA21-'NF - 5 Power Mix'!PRA22</f>
        <v>0</v>
      </c>
      <c r="PRB42" s="1046">
        <f>PRB38+((PRB40+'NF - 5 Power Mix'!PRB14+'NF - 5 Power Mix'!PRB15)*860/10)+((('Form Sa1'!PRE835)*860)/10)+('Form Sa1'!PRE814*'Form Sa1'!PRE816/10)-'NF - 5 Power Mix'!PRB21-'NF - 5 Power Mix'!PRB22</f>
        <v>0</v>
      </c>
      <c r="PRC42" s="1046">
        <f>PRC38+((PRC40+'NF - 5 Power Mix'!PRC14+'NF - 5 Power Mix'!PRC15)*860/10)+((('Form Sa1'!PRF835)*860)/10)+('Form Sa1'!PRF814*'Form Sa1'!PRF816/10)-'NF - 5 Power Mix'!PRC21-'NF - 5 Power Mix'!PRC22</f>
        <v>0</v>
      </c>
      <c r="PRD42" s="1046">
        <f>PRD38+((PRD40+'NF - 5 Power Mix'!PRD14+'NF - 5 Power Mix'!PRD15)*860/10)+((('Form Sa1'!PRG835)*860)/10)+('Form Sa1'!PRG814*'Form Sa1'!PRG816/10)-'NF - 5 Power Mix'!PRD21-'NF - 5 Power Mix'!PRD22</f>
        <v>0</v>
      </c>
      <c r="PRE42" s="1046">
        <f>PRE38+((PRE40+'NF - 5 Power Mix'!PRE14+'NF - 5 Power Mix'!PRE15)*860/10)+((('Form Sa1'!PRH835)*860)/10)+('Form Sa1'!PRH814*'Form Sa1'!PRH816/10)-'NF - 5 Power Mix'!PRE21-'NF - 5 Power Mix'!PRE22</f>
        <v>0</v>
      </c>
      <c r="PRF42" s="1046">
        <f>PRF38+((PRF40+'NF - 5 Power Mix'!PRF14+'NF - 5 Power Mix'!PRF15)*860/10)+((('Form Sa1'!PRI835)*860)/10)+('Form Sa1'!PRI814*'Form Sa1'!PRI816/10)-'NF - 5 Power Mix'!PRF21-'NF - 5 Power Mix'!PRF22</f>
        <v>0</v>
      </c>
      <c r="PRG42" s="1046">
        <f>PRG38+((PRG40+'NF - 5 Power Mix'!PRG14+'NF - 5 Power Mix'!PRG15)*860/10)+((('Form Sa1'!PRJ835)*860)/10)+('Form Sa1'!PRJ814*'Form Sa1'!PRJ816/10)-'NF - 5 Power Mix'!PRG21-'NF - 5 Power Mix'!PRG22</f>
        <v>0</v>
      </c>
      <c r="PRH42" s="1046">
        <f>PRH38+((PRH40+'NF - 5 Power Mix'!PRH14+'NF - 5 Power Mix'!PRH15)*860/10)+((('Form Sa1'!PRK835)*860)/10)+('Form Sa1'!PRK814*'Form Sa1'!PRK816/10)-'NF - 5 Power Mix'!PRH21-'NF - 5 Power Mix'!PRH22</f>
        <v>0</v>
      </c>
      <c r="PRI42" s="1046">
        <f>PRI38+((PRI40+'NF - 5 Power Mix'!PRI14+'NF - 5 Power Mix'!PRI15)*860/10)+((('Form Sa1'!PRL835)*860)/10)+('Form Sa1'!PRL814*'Form Sa1'!PRL816/10)-'NF - 5 Power Mix'!PRI21-'NF - 5 Power Mix'!PRI22</f>
        <v>0</v>
      </c>
      <c r="PRJ42" s="1046">
        <f>PRJ38+((PRJ40+'NF - 5 Power Mix'!PRJ14+'NF - 5 Power Mix'!PRJ15)*860/10)+((('Form Sa1'!PRM835)*860)/10)+('Form Sa1'!PRM814*'Form Sa1'!PRM816/10)-'NF - 5 Power Mix'!PRJ21-'NF - 5 Power Mix'!PRJ22</f>
        <v>0</v>
      </c>
      <c r="PRK42" s="1046">
        <f>PRK38+((PRK40+'NF - 5 Power Mix'!PRK14+'NF - 5 Power Mix'!PRK15)*860/10)+((('Form Sa1'!PRN835)*860)/10)+('Form Sa1'!PRN814*'Form Sa1'!PRN816/10)-'NF - 5 Power Mix'!PRK21-'NF - 5 Power Mix'!PRK22</f>
        <v>0</v>
      </c>
      <c r="PRL42" s="1046">
        <f>PRL38+((PRL40+'NF - 5 Power Mix'!PRL14+'NF - 5 Power Mix'!PRL15)*860/10)+((('Form Sa1'!PRO835)*860)/10)+('Form Sa1'!PRO814*'Form Sa1'!PRO816/10)-'NF - 5 Power Mix'!PRL21-'NF - 5 Power Mix'!PRL22</f>
        <v>0</v>
      </c>
      <c r="PRM42" s="1046">
        <f>PRM38+((PRM40+'NF - 5 Power Mix'!PRM14+'NF - 5 Power Mix'!PRM15)*860/10)+((('Form Sa1'!PRP835)*860)/10)+('Form Sa1'!PRP814*'Form Sa1'!PRP816/10)-'NF - 5 Power Mix'!PRM21-'NF - 5 Power Mix'!PRM22</f>
        <v>0</v>
      </c>
      <c r="PRN42" s="1046">
        <f>PRN38+((PRN40+'NF - 5 Power Mix'!PRN14+'NF - 5 Power Mix'!PRN15)*860/10)+((('Form Sa1'!PRQ835)*860)/10)+('Form Sa1'!PRQ814*'Form Sa1'!PRQ816/10)-'NF - 5 Power Mix'!PRN21-'NF - 5 Power Mix'!PRN22</f>
        <v>0</v>
      </c>
      <c r="PRO42" s="1046">
        <f>PRO38+((PRO40+'NF - 5 Power Mix'!PRO14+'NF - 5 Power Mix'!PRO15)*860/10)+((('Form Sa1'!PRR835)*860)/10)+('Form Sa1'!PRR814*'Form Sa1'!PRR816/10)-'NF - 5 Power Mix'!PRO21-'NF - 5 Power Mix'!PRO22</f>
        <v>0</v>
      </c>
      <c r="PRP42" s="1046">
        <f>PRP38+((PRP40+'NF - 5 Power Mix'!PRP14+'NF - 5 Power Mix'!PRP15)*860/10)+((('Form Sa1'!PRS835)*860)/10)+('Form Sa1'!PRS814*'Form Sa1'!PRS816/10)-'NF - 5 Power Mix'!PRP21-'NF - 5 Power Mix'!PRP22</f>
        <v>0</v>
      </c>
      <c r="PRQ42" s="1046">
        <f>PRQ38+((PRQ40+'NF - 5 Power Mix'!PRQ14+'NF - 5 Power Mix'!PRQ15)*860/10)+((('Form Sa1'!PRT835)*860)/10)+('Form Sa1'!PRT814*'Form Sa1'!PRT816/10)-'NF - 5 Power Mix'!PRQ21-'NF - 5 Power Mix'!PRQ22</f>
        <v>0</v>
      </c>
      <c r="PRR42" s="1046">
        <f>PRR38+((PRR40+'NF - 5 Power Mix'!PRR14+'NF - 5 Power Mix'!PRR15)*860/10)+((('Form Sa1'!PRU835)*860)/10)+('Form Sa1'!PRU814*'Form Sa1'!PRU816/10)-'NF - 5 Power Mix'!PRR21-'NF - 5 Power Mix'!PRR22</f>
        <v>0</v>
      </c>
      <c r="PRS42" s="1046">
        <f>PRS38+((PRS40+'NF - 5 Power Mix'!PRS14+'NF - 5 Power Mix'!PRS15)*860/10)+((('Form Sa1'!PRV835)*860)/10)+('Form Sa1'!PRV814*'Form Sa1'!PRV816/10)-'NF - 5 Power Mix'!PRS21-'NF - 5 Power Mix'!PRS22</f>
        <v>0</v>
      </c>
      <c r="PRT42" s="1046">
        <f>PRT38+((PRT40+'NF - 5 Power Mix'!PRT14+'NF - 5 Power Mix'!PRT15)*860/10)+((('Form Sa1'!PRW835)*860)/10)+('Form Sa1'!PRW814*'Form Sa1'!PRW816/10)-'NF - 5 Power Mix'!PRT21-'NF - 5 Power Mix'!PRT22</f>
        <v>0</v>
      </c>
      <c r="PRU42" s="1046">
        <f>PRU38+((PRU40+'NF - 5 Power Mix'!PRU14+'NF - 5 Power Mix'!PRU15)*860/10)+((('Form Sa1'!PRX835)*860)/10)+('Form Sa1'!PRX814*'Form Sa1'!PRX816/10)-'NF - 5 Power Mix'!PRU21-'NF - 5 Power Mix'!PRU22</f>
        <v>0</v>
      </c>
      <c r="PRV42" s="1046">
        <f>PRV38+((PRV40+'NF - 5 Power Mix'!PRV14+'NF - 5 Power Mix'!PRV15)*860/10)+((('Form Sa1'!PRY835)*860)/10)+('Form Sa1'!PRY814*'Form Sa1'!PRY816/10)-'NF - 5 Power Mix'!PRV21-'NF - 5 Power Mix'!PRV22</f>
        <v>0</v>
      </c>
      <c r="PRW42" s="1046">
        <f>PRW38+((PRW40+'NF - 5 Power Mix'!PRW14+'NF - 5 Power Mix'!PRW15)*860/10)+((('Form Sa1'!PRZ835)*860)/10)+('Form Sa1'!PRZ814*'Form Sa1'!PRZ816/10)-'NF - 5 Power Mix'!PRW21-'NF - 5 Power Mix'!PRW22</f>
        <v>0</v>
      </c>
      <c r="PRX42" s="1046">
        <f>PRX38+((PRX40+'NF - 5 Power Mix'!PRX14+'NF - 5 Power Mix'!PRX15)*860/10)+((('Form Sa1'!PSA835)*860)/10)+('Form Sa1'!PSA814*'Form Sa1'!PSA816/10)-'NF - 5 Power Mix'!PRX21-'NF - 5 Power Mix'!PRX22</f>
        <v>0</v>
      </c>
      <c r="PRY42" s="1046">
        <f>PRY38+((PRY40+'NF - 5 Power Mix'!PRY14+'NF - 5 Power Mix'!PRY15)*860/10)+((('Form Sa1'!PSB835)*860)/10)+('Form Sa1'!PSB814*'Form Sa1'!PSB816/10)-'NF - 5 Power Mix'!PRY21-'NF - 5 Power Mix'!PRY22</f>
        <v>0</v>
      </c>
      <c r="PRZ42" s="1046">
        <f>PRZ38+((PRZ40+'NF - 5 Power Mix'!PRZ14+'NF - 5 Power Mix'!PRZ15)*860/10)+((('Form Sa1'!PSC835)*860)/10)+('Form Sa1'!PSC814*'Form Sa1'!PSC816/10)-'NF - 5 Power Mix'!PRZ21-'NF - 5 Power Mix'!PRZ22</f>
        <v>0</v>
      </c>
      <c r="PSA42" s="1046">
        <f>PSA38+((PSA40+'NF - 5 Power Mix'!PSA14+'NF - 5 Power Mix'!PSA15)*860/10)+((('Form Sa1'!PSD835)*860)/10)+('Form Sa1'!PSD814*'Form Sa1'!PSD816/10)-'NF - 5 Power Mix'!PSA21-'NF - 5 Power Mix'!PSA22</f>
        <v>0</v>
      </c>
      <c r="PSB42" s="1046">
        <f>PSB38+((PSB40+'NF - 5 Power Mix'!PSB14+'NF - 5 Power Mix'!PSB15)*860/10)+((('Form Sa1'!PSE835)*860)/10)+('Form Sa1'!PSE814*'Form Sa1'!PSE816/10)-'NF - 5 Power Mix'!PSB21-'NF - 5 Power Mix'!PSB22</f>
        <v>0</v>
      </c>
      <c r="PSC42" s="1046">
        <f>PSC38+((PSC40+'NF - 5 Power Mix'!PSC14+'NF - 5 Power Mix'!PSC15)*860/10)+((('Form Sa1'!PSF835)*860)/10)+('Form Sa1'!PSF814*'Form Sa1'!PSF816/10)-'NF - 5 Power Mix'!PSC21-'NF - 5 Power Mix'!PSC22</f>
        <v>0</v>
      </c>
      <c r="PSD42" s="1046">
        <f>PSD38+((PSD40+'NF - 5 Power Mix'!PSD14+'NF - 5 Power Mix'!PSD15)*860/10)+((('Form Sa1'!PSG835)*860)/10)+('Form Sa1'!PSG814*'Form Sa1'!PSG816/10)-'NF - 5 Power Mix'!PSD21-'NF - 5 Power Mix'!PSD22</f>
        <v>0</v>
      </c>
      <c r="PSE42" s="1046">
        <f>PSE38+((PSE40+'NF - 5 Power Mix'!PSE14+'NF - 5 Power Mix'!PSE15)*860/10)+((('Form Sa1'!PSH835)*860)/10)+('Form Sa1'!PSH814*'Form Sa1'!PSH816/10)-'NF - 5 Power Mix'!PSE21-'NF - 5 Power Mix'!PSE22</f>
        <v>0</v>
      </c>
      <c r="PSF42" s="1046">
        <f>PSF38+((PSF40+'NF - 5 Power Mix'!PSF14+'NF - 5 Power Mix'!PSF15)*860/10)+((('Form Sa1'!PSI835)*860)/10)+('Form Sa1'!PSI814*'Form Sa1'!PSI816/10)-'NF - 5 Power Mix'!PSF21-'NF - 5 Power Mix'!PSF22</f>
        <v>0</v>
      </c>
      <c r="PSG42" s="1046">
        <f>PSG38+((PSG40+'NF - 5 Power Mix'!PSG14+'NF - 5 Power Mix'!PSG15)*860/10)+((('Form Sa1'!PSJ835)*860)/10)+('Form Sa1'!PSJ814*'Form Sa1'!PSJ816/10)-'NF - 5 Power Mix'!PSG21-'NF - 5 Power Mix'!PSG22</f>
        <v>0</v>
      </c>
      <c r="PSH42" s="1046">
        <f>PSH38+((PSH40+'NF - 5 Power Mix'!PSH14+'NF - 5 Power Mix'!PSH15)*860/10)+((('Form Sa1'!PSK835)*860)/10)+('Form Sa1'!PSK814*'Form Sa1'!PSK816/10)-'NF - 5 Power Mix'!PSH21-'NF - 5 Power Mix'!PSH22</f>
        <v>0</v>
      </c>
      <c r="PSI42" s="1046">
        <f>PSI38+((PSI40+'NF - 5 Power Mix'!PSI14+'NF - 5 Power Mix'!PSI15)*860/10)+((('Form Sa1'!PSL835)*860)/10)+('Form Sa1'!PSL814*'Form Sa1'!PSL816/10)-'NF - 5 Power Mix'!PSI21-'NF - 5 Power Mix'!PSI22</f>
        <v>0</v>
      </c>
      <c r="PSJ42" s="1046">
        <f>PSJ38+((PSJ40+'NF - 5 Power Mix'!PSJ14+'NF - 5 Power Mix'!PSJ15)*860/10)+((('Form Sa1'!PSM835)*860)/10)+('Form Sa1'!PSM814*'Form Sa1'!PSM816/10)-'NF - 5 Power Mix'!PSJ21-'NF - 5 Power Mix'!PSJ22</f>
        <v>0</v>
      </c>
      <c r="PSK42" s="1046">
        <f>PSK38+((PSK40+'NF - 5 Power Mix'!PSK14+'NF - 5 Power Mix'!PSK15)*860/10)+((('Form Sa1'!PSN835)*860)/10)+('Form Sa1'!PSN814*'Form Sa1'!PSN816/10)-'NF - 5 Power Mix'!PSK21-'NF - 5 Power Mix'!PSK22</f>
        <v>0</v>
      </c>
      <c r="PSL42" s="1046">
        <f>PSL38+((PSL40+'NF - 5 Power Mix'!PSL14+'NF - 5 Power Mix'!PSL15)*860/10)+((('Form Sa1'!PSO835)*860)/10)+('Form Sa1'!PSO814*'Form Sa1'!PSO816/10)-'NF - 5 Power Mix'!PSL21-'NF - 5 Power Mix'!PSL22</f>
        <v>0</v>
      </c>
      <c r="PSM42" s="1046">
        <f>PSM38+((PSM40+'NF - 5 Power Mix'!PSM14+'NF - 5 Power Mix'!PSM15)*860/10)+((('Form Sa1'!PSP835)*860)/10)+('Form Sa1'!PSP814*'Form Sa1'!PSP816/10)-'NF - 5 Power Mix'!PSM21-'NF - 5 Power Mix'!PSM22</f>
        <v>0</v>
      </c>
      <c r="PSN42" s="1046">
        <f>PSN38+((PSN40+'NF - 5 Power Mix'!PSN14+'NF - 5 Power Mix'!PSN15)*860/10)+((('Form Sa1'!PSQ835)*860)/10)+('Form Sa1'!PSQ814*'Form Sa1'!PSQ816/10)-'NF - 5 Power Mix'!PSN21-'NF - 5 Power Mix'!PSN22</f>
        <v>0</v>
      </c>
      <c r="PSO42" s="1046">
        <f>PSO38+((PSO40+'NF - 5 Power Mix'!PSO14+'NF - 5 Power Mix'!PSO15)*860/10)+((('Form Sa1'!PSR835)*860)/10)+('Form Sa1'!PSR814*'Form Sa1'!PSR816/10)-'NF - 5 Power Mix'!PSO21-'NF - 5 Power Mix'!PSO22</f>
        <v>0</v>
      </c>
      <c r="PSP42" s="1046">
        <f>PSP38+((PSP40+'NF - 5 Power Mix'!PSP14+'NF - 5 Power Mix'!PSP15)*860/10)+((('Form Sa1'!PSS835)*860)/10)+('Form Sa1'!PSS814*'Form Sa1'!PSS816/10)-'NF - 5 Power Mix'!PSP21-'NF - 5 Power Mix'!PSP22</f>
        <v>0</v>
      </c>
      <c r="PSQ42" s="1046">
        <f>PSQ38+((PSQ40+'NF - 5 Power Mix'!PSQ14+'NF - 5 Power Mix'!PSQ15)*860/10)+((('Form Sa1'!PST835)*860)/10)+('Form Sa1'!PST814*'Form Sa1'!PST816/10)-'NF - 5 Power Mix'!PSQ21-'NF - 5 Power Mix'!PSQ22</f>
        <v>0</v>
      </c>
      <c r="PSR42" s="1046">
        <f>PSR38+((PSR40+'NF - 5 Power Mix'!PSR14+'NF - 5 Power Mix'!PSR15)*860/10)+((('Form Sa1'!PSU835)*860)/10)+('Form Sa1'!PSU814*'Form Sa1'!PSU816/10)-'NF - 5 Power Mix'!PSR21-'NF - 5 Power Mix'!PSR22</f>
        <v>0</v>
      </c>
      <c r="PSS42" s="1046">
        <f>PSS38+((PSS40+'NF - 5 Power Mix'!PSS14+'NF - 5 Power Mix'!PSS15)*860/10)+((('Form Sa1'!PSV835)*860)/10)+('Form Sa1'!PSV814*'Form Sa1'!PSV816/10)-'NF - 5 Power Mix'!PSS21-'NF - 5 Power Mix'!PSS22</f>
        <v>0</v>
      </c>
      <c r="PST42" s="1046">
        <f>PST38+((PST40+'NF - 5 Power Mix'!PST14+'NF - 5 Power Mix'!PST15)*860/10)+((('Form Sa1'!PSW835)*860)/10)+('Form Sa1'!PSW814*'Form Sa1'!PSW816/10)-'NF - 5 Power Mix'!PST21-'NF - 5 Power Mix'!PST22</f>
        <v>0</v>
      </c>
      <c r="PSU42" s="1046">
        <f>PSU38+((PSU40+'NF - 5 Power Mix'!PSU14+'NF - 5 Power Mix'!PSU15)*860/10)+((('Form Sa1'!PSX835)*860)/10)+('Form Sa1'!PSX814*'Form Sa1'!PSX816/10)-'NF - 5 Power Mix'!PSU21-'NF - 5 Power Mix'!PSU22</f>
        <v>0</v>
      </c>
      <c r="PSV42" s="1046">
        <f>PSV38+((PSV40+'NF - 5 Power Mix'!PSV14+'NF - 5 Power Mix'!PSV15)*860/10)+((('Form Sa1'!PSY835)*860)/10)+('Form Sa1'!PSY814*'Form Sa1'!PSY816/10)-'NF - 5 Power Mix'!PSV21-'NF - 5 Power Mix'!PSV22</f>
        <v>0</v>
      </c>
      <c r="PSW42" s="1046">
        <f>PSW38+((PSW40+'NF - 5 Power Mix'!PSW14+'NF - 5 Power Mix'!PSW15)*860/10)+((('Form Sa1'!PSZ835)*860)/10)+('Form Sa1'!PSZ814*'Form Sa1'!PSZ816/10)-'NF - 5 Power Mix'!PSW21-'NF - 5 Power Mix'!PSW22</f>
        <v>0</v>
      </c>
      <c r="PSX42" s="1046">
        <f>PSX38+((PSX40+'NF - 5 Power Mix'!PSX14+'NF - 5 Power Mix'!PSX15)*860/10)+((('Form Sa1'!PTA835)*860)/10)+('Form Sa1'!PTA814*'Form Sa1'!PTA816/10)-'NF - 5 Power Mix'!PSX21-'NF - 5 Power Mix'!PSX22</f>
        <v>0</v>
      </c>
      <c r="PSY42" s="1046">
        <f>PSY38+((PSY40+'NF - 5 Power Mix'!PSY14+'NF - 5 Power Mix'!PSY15)*860/10)+((('Form Sa1'!PTB835)*860)/10)+('Form Sa1'!PTB814*'Form Sa1'!PTB816/10)-'NF - 5 Power Mix'!PSY21-'NF - 5 Power Mix'!PSY22</f>
        <v>0</v>
      </c>
      <c r="PSZ42" s="1046">
        <f>PSZ38+((PSZ40+'NF - 5 Power Mix'!PSZ14+'NF - 5 Power Mix'!PSZ15)*860/10)+((('Form Sa1'!PTC835)*860)/10)+('Form Sa1'!PTC814*'Form Sa1'!PTC816/10)-'NF - 5 Power Mix'!PSZ21-'NF - 5 Power Mix'!PSZ22</f>
        <v>0</v>
      </c>
      <c r="PTA42" s="1046">
        <f>PTA38+((PTA40+'NF - 5 Power Mix'!PTA14+'NF - 5 Power Mix'!PTA15)*860/10)+((('Form Sa1'!PTD835)*860)/10)+('Form Sa1'!PTD814*'Form Sa1'!PTD816/10)-'NF - 5 Power Mix'!PTA21-'NF - 5 Power Mix'!PTA22</f>
        <v>0</v>
      </c>
      <c r="PTB42" s="1046">
        <f>PTB38+((PTB40+'NF - 5 Power Mix'!PTB14+'NF - 5 Power Mix'!PTB15)*860/10)+((('Form Sa1'!PTE835)*860)/10)+('Form Sa1'!PTE814*'Form Sa1'!PTE816/10)-'NF - 5 Power Mix'!PTB21-'NF - 5 Power Mix'!PTB22</f>
        <v>0</v>
      </c>
      <c r="PTC42" s="1046">
        <f>PTC38+((PTC40+'NF - 5 Power Mix'!PTC14+'NF - 5 Power Mix'!PTC15)*860/10)+((('Form Sa1'!PTF835)*860)/10)+('Form Sa1'!PTF814*'Form Sa1'!PTF816/10)-'NF - 5 Power Mix'!PTC21-'NF - 5 Power Mix'!PTC22</f>
        <v>0</v>
      </c>
      <c r="PTD42" s="1046">
        <f>PTD38+((PTD40+'NF - 5 Power Mix'!PTD14+'NF - 5 Power Mix'!PTD15)*860/10)+((('Form Sa1'!PTG835)*860)/10)+('Form Sa1'!PTG814*'Form Sa1'!PTG816/10)-'NF - 5 Power Mix'!PTD21-'NF - 5 Power Mix'!PTD22</f>
        <v>0</v>
      </c>
      <c r="PTE42" s="1046">
        <f>PTE38+((PTE40+'NF - 5 Power Mix'!PTE14+'NF - 5 Power Mix'!PTE15)*860/10)+((('Form Sa1'!PTH835)*860)/10)+('Form Sa1'!PTH814*'Form Sa1'!PTH816/10)-'NF - 5 Power Mix'!PTE21-'NF - 5 Power Mix'!PTE22</f>
        <v>0</v>
      </c>
      <c r="PTF42" s="1046">
        <f>PTF38+((PTF40+'NF - 5 Power Mix'!PTF14+'NF - 5 Power Mix'!PTF15)*860/10)+((('Form Sa1'!PTI835)*860)/10)+('Form Sa1'!PTI814*'Form Sa1'!PTI816/10)-'NF - 5 Power Mix'!PTF21-'NF - 5 Power Mix'!PTF22</f>
        <v>0</v>
      </c>
      <c r="PTG42" s="1046">
        <f>PTG38+((PTG40+'NF - 5 Power Mix'!PTG14+'NF - 5 Power Mix'!PTG15)*860/10)+((('Form Sa1'!PTJ835)*860)/10)+('Form Sa1'!PTJ814*'Form Sa1'!PTJ816/10)-'NF - 5 Power Mix'!PTG21-'NF - 5 Power Mix'!PTG22</f>
        <v>0</v>
      </c>
      <c r="PTH42" s="1046">
        <f>PTH38+((PTH40+'NF - 5 Power Mix'!PTH14+'NF - 5 Power Mix'!PTH15)*860/10)+((('Form Sa1'!PTK835)*860)/10)+('Form Sa1'!PTK814*'Form Sa1'!PTK816/10)-'NF - 5 Power Mix'!PTH21-'NF - 5 Power Mix'!PTH22</f>
        <v>0</v>
      </c>
      <c r="PTI42" s="1046">
        <f>PTI38+((PTI40+'NF - 5 Power Mix'!PTI14+'NF - 5 Power Mix'!PTI15)*860/10)+((('Form Sa1'!PTL835)*860)/10)+('Form Sa1'!PTL814*'Form Sa1'!PTL816/10)-'NF - 5 Power Mix'!PTI21-'NF - 5 Power Mix'!PTI22</f>
        <v>0</v>
      </c>
      <c r="PTJ42" s="1046">
        <f>PTJ38+((PTJ40+'NF - 5 Power Mix'!PTJ14+'NF - 5 Power Mix'!PTJ15)*860/10)+((('Form Sa1'!PTM835)*860)/10)+('Form Sa1'!PTM814*'Form Sa1'!PTM816/10)-'NF - 5 Power Mix'!PTJ21-'NF - 5 Power Mix'!PTJ22</f>
        <v>0</v>
      </c>
      <c r="PTK42" s="1046">
        <f>PTK38+((PTK40+'NF - 5 Power Mix'!PTK14+'NF - 5 Power Mix'!PTK15)*860/10)+((('Form Sa1'!PTN835)*860)/10)+('Form Sa1'!PTN814*'Form Sa1'!PTN816/10)-'NF - 5 Power Mix'!PTK21-'NF - 5 Power Mix'!PTK22</f>
        <v>0</v>
      </c>
      <c r="PTL42" s="1046">
        <f>PTL38+((PTL40+'NF - 5 Power Mix'!PTL14+'NF - 5 Power Mix'!PTL15)*860/10)+((('Form Sa1'!PTO835)*860)/10)+('Form Sa1'!PTO814*'Form Sa1'!PTO816/10)-'NF - 5 Power Mix'!PTL21-'NF - 5 Power Mix'!PTL22</f>
        <v>0</v>
      </c>
      <c r="PTM42" s="1046">
        <f>PTM38+((PTM40+'NF - 5 Power Mix'!PTM14+'NF - 5 Power Mix'!PTM15)*860/10)+((('Form Sa1'!PTP835)*860)/10)+('Form Sa1'!PTP814*'Form Sa1'!PTP816/10)-'NF - 5 Power Mix'!PTM21-'NF - 5 Power Mix'!PTM22</f>
        <v>0</v>
      </c>
      <c r="PTN42" s="1046">
        <f>PTN38+((PTN40+'NF - 5 Power Mix'!PTN14+'NF - 5 Power Mix'!PTN15)*860/10)+((('Form Sa1'!PTQ835)*860)/10)+('Form Sa1'!PTQ814*'Form Sa1'!PTQ816/10)-'NF - 5 Power Mix'!PTN21-'NF - 5 Power Mix'!PTN22</f>
        <v>0</v>
      </c>
      <c r="PTO42" s="1046">
        <f>PTO38+((PTO40+'NF - 5 Power Mix'!PTO14+'NF - 5 Power Mix'!PTO15)*860/10)+((('Form Sa1'!PTR835)*860)/10)+('Form Sa1'!PTR814*'Form Sa1'!PTR816/10)-'NF - 5 Power Mix'!PTO21-'NF - 5 Power Mix'!PTO22</f>
        <v>0</v>
      </c>
      <c r="PTP42" s="1046">
        <f>PTP38+((PTP40+'NF - 5 Power Mix'!PTP14+'NF - 5 Power Mix'!PTP15)*860/10)+((('Form Sa1'!PTS835)*860)/10)+('Form Sa1'!PTS814*'Form Sa1'!PTS816/10)-'NF - 5 Power Mix'!PTP21-'NF - 5 Power Mix'!PTP22</f>
        <v>0</v>
      </c>
      <c r="PTQ42" s="1046">
        <f>PTQ38+((PTQ40+'NF - 5 Power Mix'!PTQ14+'NF - 5 Power Mix'!PTQ15)*860/10)+((('Form Sa1'!PTT835)*860)/10)+('Form Sa1'!PTT814*'Form Sa1'!PTT816/10)-'NF - 5 Power Mix'!PTQ21-'NF - 5 Power Mix'!PTQ22</f>
        <v>0</v>
      </c>
      <c r="PTR42" s="1046">
        <f>PTR38+((PTR40+'NF - 5 Power Mix'!PTR14+'NF - 5 Power Mix'!PTR15)*860/10)+((('Form Sa1'!PTU835)*860)/10)+('Form Sa1'!PTU814*'Form Sa1'!PTU816/10)-'NF - 5 Power Mix'!PTR21-'NF - 5 Power Mix'!PTR22</f>
        <v>0</v>
      </c>
      <c r="PTS42" s="1046">
        <f>PTS38+((PTS40+'NF - 5 Power Mix'!PTS14+'NF - 5 Power Mix'!PTS15)*860/10)+((('Form Sa1'!PTV835)*860)/10)+('Form Sa1'!PTV814*'Form Sa1'!PTV816/10)-'NF - 5 Power Mix'!PTS21-'NF - 5 Power Mix'!PTS22</f>
        <v>0</v>
      </c>
      <c r="PTT42" s="1046">
        <f>PTT38+((PTT40+'NF - 5 Power Mix'!PTT14+'NF - 5 Power Mix'!PTT15)*860/10)+((('Form Sa1'!PTW835)*860)/10)+('Form Sa1'!PTW814*'Form Sa1'!PTW816/10)-'NF - 5 Power Mix'!PTT21-'NF - 5 Power Mix'!PTT22</f>
        <v>0</v>
      </c>
      <c r="PTU42" s="1046">
        <f>PTU38+((PTU40+'NF - 5 Power Mix'!PTU14+'NF - 5 Power Mix'!PTU15)*860/10)+((('Form Sa1'!PTX835)*860)/10)+('Form Sa1'!PTX814*'Form Sa1'!PTX816/10)-'NF - 5 Power Mix'!PTU21-'NF - 5 Power Mix'!PTU22</f>
        <v>0</v>
      </c>
      <c r="PTV42" s="1046">
        <f>PTV38+((PTV40+'NF - 5 Power Mix'!PTV14+'NF - 5 Power Mix'!PTV15)*860/10)+((('Form Sa1'!PTY835)*860)/10)+('Form Sa1'!PTY814*'Form Sa1'!PTY816/10)-'NF - 5 Power Mix'!PTV21-'NF - 5 Power Mix'!PTV22</f>
        <v>0</v>
      </c>
      <c r="PTW42" s="1046">
        <f>PTW38+((PTW40+'NF - 5 Power Mix'!PTW14+'NF - 5 Power Mix'!PTW15)*860/10)+((('Form Sa1'!PTZ835)*860)/10)+('Form Sa1'!PTZ814*'Form Sa1'!PTZ816/10)-'NF - 5 Power Mix'!PTW21-'NF - 5 Power Mix'!PTW22</f>
        <v>0</v>
      </c>
      <c r="PTX42" s="1046">
        <f>PTX38+((PTX40+'NF - 5 Power Mix'!PTX14+'NF - 5 Power Mix'!PTX15)*860/10)+((('Form Sa1'!PUA835)*860)/10)+('Form Sa1'!PUA814*'Form Sa1'!PUA816/10)-'NF - 5 Power Mix'!PTX21-'NF - 5 Power Mix'!PTX22</f>
        <v>0</v>
      </c>
      <c r="PTY42" s="1046">
        <f>PTY38+((PTY40+'NF - 5 Power Mix'!PTY14+'NF - 5 Power Mix'!PTY15)*860/10)+((('Form Sa1'!PUB835)*860)/10)+('Form Sa1'!PUB814*'Form Sa1'!PUB816/10)-'NF - 5 Power Mix'!PTY21-'NF - 5 Power Mix'!PTY22</f>
        <v>0</v>
      </c>
      <c r="PTZ42" s="1046">
        <f>PTZ38+((PTZ40+'NF - 5 Power Mix'!PTZ14+'NF - 5 Power Mix'!PTZ15)*860/10)+((('Form Sa1'!PUC835)*860)/10)+('Form Sa1'!PUC814*'Form Sa1'!PUC816/10)-'NF - 5 Power Mix'!PTZ21-'NF - 5 Power Mix'!PTZ22</f>
        <v>0</v>
      </c>
      <c r="PUA42" s="1046">
        <f>PUA38+((PUA40+'NF - 5 Power Mix'!PUA14+'NF - 5 Power Mix'!PUA15)*860/10)+((('Form Sa1'!PUD835)*860)/10)+('Form Sa1'!PUD814*'Form Sa1'!PUD816/10)-'NF - 5 Power Mix'!PUA21-'NF - 5 Power Mix'!PUA22</f>
        <v>0</v>
      </c>
      <c r="PUB42" s="1046">
        <f>PUB38+((PUB40+'NF - 5 Power Mix'!PUB14+'NF - 5 Power Mix'!PUB15)*860/10)+((('Form Sa1'!PUE835)*860)/10)+('Form Sa1'!PUE814*'Form Sa1'!PUE816/10)-'NF - 5 Power Mix'!PUB21-'NF - 5 Power Mix'!PUB22</f>
        <v>0</v>
      </c>
      <c r="PUC42" s="1046">
        <f>PUC38+((PUC40+'NF - 5 Power Mix'!PUC14+'NF - 5 Power Mix'!PUC15)*860/10)+((('Form Sa1'!PUF835)*860)/10)+('Form Sa1'!PUF814*'Form Sa1'!PUF816/10)-'NF - 5 Power Mix'!PUC21-'NF - 5 Power Mix'!PUC22</f>
        <v>0</v>
      </c>
      <c r="PUD42" s="1046">
        <f>PUD38+((PUD40+'NF - 5 Power Mix'!PUD14+'NF - 5 Power Mix'!PUD15)*860/10)+((('Form Sa1'!PUG835)*860)/10)+('Form Sa1'!PUG814*'Form Sa1'!PUG816/10)-'NF - 5 Power Mix'!PUD21-'NF - 5 Power Mix'!PUD22</f>
        <v>0</v>
      </c>
      <c r="PUE42" s="1046">
        <f>PUE38+((PUE40+'NF - 5 Power Mix'!PUE14+'NF - 5 Power Mix'!PUE15)*860/10)+((('Form Sa1'!PUH835)*860)/10)+('Form Sa1'!PUH814*'Form Sa1'!PUH816/10)-'NF - 5 Power Mix'!PUE21-'NF - 5 Power Mix'!PUE22</f>
        <v>0</v>
      </c>
      <c r="PUF42" s="1046">
        <f>PUF38+((PUF40+'NF - 5 Power Mix'!PUF14+'NF - 5 Power Mix'!PUF15)*860/10)+((('Form Sa1'!PUI835)*860)/10)+('Form Sa1'!PUI814*'Form Sa1'!PUI816/10)-'NF - 5 Power Mix'!PUF21-'NF - 5 Power Mix'!PUF22</f>
        <v>0</v>
      </c>
      <c r="PUG42" s="1046">
        <f>PUG38+((PUG40+'NF - 5 Power Mix'!PUG14+'NF - 5 Power Mix'!PUG15)*860/10)+((('Form Sa1'!PUJ835)*860)/10)+('Form Sa1'!PUJ814*'Form Sa1'!PUJ816/10)-'NF - 5 Power Mix'!PUG21-'NF - 5 Power Mix'!PUG22</f>
        <v>0</v>
      </c>
      <c r="PUH42" s="1046">
        <f>PUH38+((PUH40+'NF - 5 Power Mix'!PUH14+'NF - 5 Power Mix'!PUH15)*860/10)+((('Form Sa1'!PUK835)*860)/10)+('Form Sa1'!PUK814*'Form Sa1'!PUK816/10)-'NF - 5 Power Mix'!PUH21-'NF - 5 Power Mix'!PUH22</f>
        <v>0</v>
      </c>
      <c r="PUI42" s="1046">
        <f>PUI38+((PUI40+'NF - 5 Power Mix'!PUI14+'NF - 5 Power Mix'!PUI15)*860/10)+((('Form Sa1'!PUL835)*860)/10)+('Form Sa1'!PUL814*'Form Sa1'!PUL816/10)-'NF - 5 Power Mix'!PUI21-'NF - 5 Power Mix'!PUI22</f>
        <v>0</v>
      </c>
      <c r="PUJ42" s="1046">
        <f>PUJ38+((PUJ40+'NF - 5 Power Mix'!PUJ14+'NF - 5 Power Mix'!PUJ15)*860/10)+((('Form Sa1'!PUM835)*860)/10)+('Form Sa1'!PUM814*'Form Sa1'!PUM816/10)-'NF - 5 Power Mix'!PUJ21-'NF - 5 Power Mix'!PUJ22</f>
        <v>0</v>
      </c>
      <c r="PUK42" s="1046">
        <f>PUK38+((PUK40+'NF - 5 Power Mix'!PUK14+'NF - 5 Power Mix'!PUK15)*860/10)+((('Form Sa1'!PUN835)*860)/10)+('Form Sa1'!PUN814*'Form Sa1'!PUN816/10)-'NF - 5 Power Mix'!PUK21-'NF - 5 Power Mix'!PUK22</f>
        <v>0</v>
      </c>
      <c r="PUL42" s="1046">
        <f>PUL38+((PUL40+'NF - 5 Power Mix'!PUL14+'NF - 5 Power Mix'!PUL15)*860/10)+((('Form Sa1'!PUO835)*860)/10)+('Form Sa1'!PUO814*'Form Sa1'!PUO816/10)-'NF - 5 Power Mix'!PUL21-'NF - 5 Power Mix'!PUL22</f>
        <v>0</v>
      </c>
      <c r="PUM42" s="1046">
        <f>PUM38+((PUM40+'NF - 5 Power Mix'!PUM14+'NF - 5 Power Mix'!PUM15)*860/10)+((('Form Sa1'!PUP835)*860)/10)+('Form Sa1'!PUP814*'Form Sa1'!PUP816/10)-'NF - 5 Power Mix'!PUM21-'NF - 5 Power Mix'!PUM22</f>
        <v>0</v>
      </c>
      <c r="PUN42" s="1046">
        <f>PUN38+((PUN40+'NF - 5 Power Mix'!PUN14+'NF - 5 Power Mix'!PUN15)*860/10)+((('Form Sa1'!PUQ835)*860)/10)+('Form Sa1'!PUQ814*'Form Sa1'!PUQ816/10)-'NF - 5 Power Mix'!PUN21-'NF - 5 Power Mix'!PUN22</f>
        <v>0</v>
      </c>
      <c r="PUO42" s="1046">
        <f>PUO38+((PUO40+'NF - 5 Power Mix'!PUO14+'NF - 5 Power Mix'!PUO15)*860/10)+((('Form Sa1'!PUR835)*860)/10)+('Form Sa1'!PUR814*'Form Sa1'!PUR816/10)-'NF - 5 Power Mix'!PUO21-'NF - 5 Power Mix'!PUO22</f>
        <v>0</v>
      </c>
      <c r="PUP42" s="1046">
        <f>PUP38+((PUP40+'NF - 5 Power Mix'!PUP14+'NF - 5 Power Mix'!PUP15)*860/10)+((('Form Sa1'!PUS835)*860)/10)+('Form Sa1'!PUS814*'Form Sa1'!PUS816/10)-'NF - 5 Power Mix'!PUP21-'NF - 5 Power Mix'!PUP22</f>
        <v>0</v>
      </c>
      <c r="PUQ42" s="1046">
        <f>PUQ38+((PUQ40+'NF - 5 Power Mix'!PUQ14+'NF - 5 Power Mix'!PUQ15)*860/10)+((('Form Sa1'!PUT835)*860)/10)+('Form Sa1'!PUT814*'Form Sa1'!PUT816/10)-'NF - 5 Power Mix'!PUQ21-'NF - 5 Power Mix'!PUQ22</f>
        <v>0</v>
      </c>
      <c r="PUR42" s="1046">
        <f>PUR38+((PUR40+'NF - 5 Power Mix'!PUR14+'NF - 5 Power Mix'!PUR15)*860/10)+((('Form Sa1'!PUU835)*860)/10)+('Form Sa1'!PUU814*'Form Sa1'!PUU816/10)-'NF - 5 Power Mix'!PUR21-'NF - 5 Power Mix'!PUR22</f>
        <v>0</v>
      </c>
      <c r="PUS42" s="1046">
        <f>PUS38+((PUS40+'NF - 5 Power Mix'!PUS14+'NF - 5 Power Mix'!PUS15)*860/10)+((('Form Sa1'!PUV835)*860)/10)+('Form Sa1'!PUV814*'Form Sa1'!PUV816/10)-'NF - 5 Power Mix'!PUS21-'NF - 5 Power Mix'!PUS22</f>
        <v>0</v>
      </c>
      <c r="PUT42" s="1046">
        <f>PUT38+((PUT40+'NF - 5 Power Mix'!PUT14+'NF - 5 Power Mix'!PUT15)*860/10)+((('Form Sa1'!PUW835)*860)/10)+('Form Sa1'!PUW814*'Form Sa1'!PUW816/10)-'NF - 5 Power Mix'!PUT21-'NF - 5 Power Mix'!PUT22</f>
        <v>0</v>
      </c>
      <c r="PUU42" s="1046">
        <f>PUU38+((PUU40+'NF - 5 Power Mix'!PUU14+'NF - 5 Power Mix'!PUU15)*860/10)+((('Form Sa1'!PUX835)*860)/10)+('Form Sa1'!PUX814*'Form Sa1'!PUX816/10)-'NF - 5 Power Mix'!PUU21-'NF - 5 Power Mix'!PUU22</f>
        <v>0</v>
      </c>
      <c r="PUV42" s="1046">
        <f>PUV38+((PUV40+'NF - 5 Power Mix'!PUV14+'NF - 5 Power Mix'!PUV15)*860/10)+((('Form Sa1'!PUY835)*860)/10)+('Form Sa1'!PUY814*'Form Sa1'!PUY816/10)-'NF - 5 Power Mix'!PUV21-'NF - 5 Power Mix'!PUV22</f>
        <v>0</v>
      </c>
      <c r="PUW42" s="1046">
        <f>PUW38+((PUW40+'NF - 5 Power Mix'!PUW14+'NF - 5 Power Mix'!PUW15)*860/10)+((('Form Sa1'!PUZ835)*860)/10)+('Form Sa1'!PUZ814*'Form Sa1'!PUZ816/10)-'NF - 5 Power Mix'!PUW21-'NF - 5 Power Mix'!PUW22</f>
        <v>0</v>
      </c>
      <c r="PUX42" s="1046">
        <f>PUX38+((PUX40+'NF - 5 Power Mix'!PUX14+'NF - 5 Power Mix'!PUX15)*860/10)+((('Form Sa1'!PVA835)*860)/10)+('Form Sa1'!PVA814*'Form Sa1'!PVA816/10)-'NF - 5 Power Mix'!PUX21-'NF - 5 Power Mix'!PUX22</f>
        <v>0</v>
      </c>
      <c r="PUY42" s="1046">
        <f>PUY38+((PUY40+'NF - 5 Power Mix'!PUY14+'NF - 5 Power Mix'!PUY15)*860/10)+((('Form Sa1'!PVB835)*860)/10)+('Form Sa1'!PVB814*'Form Sa1'!PVB816/10)-'NF - 5 Power Mix'!PUY21-'NF - 5 Power Mix'!PUY22</f>
        <v>0</v>
      </c>
      <c r="PUZ42" s="1046">
        <f>PUZ38+((PUZ40+'NF - 5 Power Mix'!PUZ14+'NF - 5 Power Mix'!PUZ15)*860/10)+((('Form Sa1'!PVC835)*860)/10)+('Form Sa1'!PVC814*'Form Sa1'!PVC816/10)-'NF - 5 Power Mix'!PUZ21-'NF - 5 Power Mix'!PUZ22</f>
        <v>0</v>
      </c>
      <c r="PVA42" s="1046">
        <f>PVA38+((PVA40+'NF - 5 Power Mix'!PVA14+'NF - 5 Power Mix'!PVA15)*860/10)+((('Form Sa1'!PVD835)*860)/10)+('Form Sa1'!PVD814*'Form Sa1'!PVD816/10)-'NF - 5 Power Mix'!PVA21-'NF - 5 Power Mix'!PVA22</f>
        <v>0</v>
      </c>
      <c r="PVB42" s="1046">
        <f>PVB38+((PVB40+'NF - 5 Power Mix'!PVB14+'NF - 5 Power Mix'!PVB15)*860/10)+((('Form Sa1'!PVE835)*860)/10)+('Form Sa1'!PVE814*'Form Sa1'!PVE816/10)-'NF - 5 Power Mix'!PVB21-'NF - 5 Power Mix'!PVB22</f>
        <v>0</v>
      </c>
      <c r="PVC42" s="1046">
        <f>PVC38+((PVC40+'NF - 5 Power Mix'!PVC14+'NF - 5 Power Mix'!PVC15)*860/10)+((('Form Sa1'!PVF835)*860)/10)+('Form Sa1'!PVF814*'Form Sa1'!PVF816/10)-'NF - 5 Power Mix'!PVC21-'NF - 5 Power Mix'!PVC22</f>
        <v>0</v>
      </c>
      <c r="PVD42" s="1046">
        <f>PVD38+((PVD40+'NF - 5 Power Mix'!PVD14+'NF - 5 Power Mix'!PVD15)*860/10)+((('Form Sa1'!PVG835)*860)/10)+('Form Sa1'!PVG814*'Form Sa1'!PVG816/10)-'NF - 5 Power Mix'!PVD21-'NF - 5 Power Mix'!PVD22</f>
        <v>0</v>
      </c>
      <c r="PVE42" s="1046">
        <f>PVE38+((PVE40+'NF - 5 Power Mix'!PVE14+'NF - 5 Power Mix'!PVE15)*860/10)+((('Form Sa1'!PVH835)*860)/10)+('Form Sa1'!PVH814*'Form Sa1'!PVH816/10)-'NF - 5 Power Mix'!PVE21-'NF - 5 Power Mix'!PVE22</f>
        <v>0</v>
      </c>
      <c r="PVF42" s="1046">
        <f>PVF38+((PVF40+'NF - 5 Power Mix'!PVF14+'NF - 5 Power Mix'!PVF15)*860/10)+((('Form Sa1'!PVI835)*860)/10)+('Form Sa1'!PVI814*'Form Sa1'!PVI816/10)-'NF - 5 Power Mix'!PVF21-'NF - 5 Power Mix'!PVF22</f>
        <v>0</v>
      </c>
      <c r="PVG42" s="1046">
        <f>PVG38+((PVG40+'NF - 5 Power Mix'!PVG14+'NF - 5 Power Mix'!PVG15)*860/10)+((('Form Sa1'!PVJ835)*860)/10)+('Form Sa1'!PVJ814*'Form Sa1'!PVJ816/10)-'NF - 5 Power Mix'!PVG21-'NF - 5 Power Mix'!PVG22</f>
        <v>0</v>
      </c>
      <c r="PVH42" s="1046">
        <f>PVH38+((PVH40+'NF - 5 Power Mix'!PVH14+'NF - 5 Power Mix'!PVH15)*860/10)+((('Form Sa1'!PVK835)*860)/10)+('Form Sa1'!PVK814*'Form Sa1'!PVK816/10)-'NF - 5 Power Mix'!PVH21-'NF - 5 Power Mix'!PVH22</f>
        <v>0</v>
      </c>
      <c r="PVI42" s="1046">
        <f>PVI38+((PVI40+'NF - 5 Power Mix'!PVI14+'NF - 5 Power Mix'!PVI15)*860/10)+((('Form Sa1'!PVL835)*860)/10)+('Form Sa1'!PVL814*'Form Sa1'!PVL816/10)-'NF - 5 Power Mix'!PVI21-'NF - 5 Power Mix'!PVI22</f>
        <v>0</v>
      </c>
      <c r="PVJ42" s="1046">
        <f>PVJ38+((PVJ40+'NF - 5 Power Mix'!PVJ14+'NF - 5 Power Mix'!PVJ15)*860/10)+((('Form Sa1'!PVM835)*860)/10)+('Form Sa1'!PVM814*'Form Sa1'!PVM816/10)-'NF - 5 Power Mix'!PVJ21-'NF - 5 Power Mix'!PVJ22</f>
        <v>0</v>
      </c>
      <c r="PVK42" s="1046">
        <f>PVK38+((PVK40+'NF - 5 Power Mix'!PVK14+'NF - 5 Power Mix'!PVK15)*860/10)+((('Form Sa1'!PVN835)*860)/10)+('Form Sa1'!PVN814*'Form Sa1'!PVN816/10)-'NF - 5 Power Mix'!PVK21-'NF - 5 Power Mix'!PVK22</f>
        <v>0</v>
      </c>
      <c r="PVL42" s="1046">
        <f>PVL38+((PVL40+'NF - 5 Power Mix'!PVL14+'NF - 5 Power Mix'!PVL15)*860/10)+((('Form Sa1'!PVO835)*860)/10)+('Form Sa1'!PVO814*'Form Sa1'!PVO816/10)-'NF - 5 Power Mix'!PVL21-'NF - 5 Power Mix'!PVL22</f>
        <v>0</v>
      </c>
      <c r="PVM42" s="1046">
        <f>PVM38+((PVM40+'NF - 5 Power Mix'!PVM14+'NF - 5 Power Mix'!PVM15)*860/10)+((('Form Sa1'!PVP835)*860)/10)+('Form Sa1'!PVP814*'Form Sa1'!PVP816/10)-'NF - 5 Power Mix'!PVM21-'NF - 5 Power Mix'!PVM22</f>
        <v>0</v>
      </c>
      <c r="PVN42" s="1046">
        <f>PVN38+((PVN40+'NF - 5 Power Mix'!PVN14+'NF - 5 Power Mix'!PVN15)*860/10)+((('Form Sa1'!PVQ835)*860)/10)+('Form Sa1'!PVQ814*'Form Sa1'!PVQ816/10)-'NF - 5 Power Mix'!PVN21-'NF - 5 Power Mix'!PVN22</f>
        <v>0</v>
      </c>
      <c r="PVO42" s="1046">
        <f>PVO38+((PVO40+'NF - 5 Power Mix'!PVO14+'NF - 5 Power Mix'!PVO15)*860/10)+((('Form Sa1'!PVR835)*860)/10)+('Form Sa1'!PVR814*'Form Sa1'!PVR816/10)-'NF - 5 Power Mix'!PVO21-'NF - 5 Power Mix'!PVO22</f>
        <v>0</v>
      </c>
      <c r="PVP42" s="1046">
        <f>PVP38+((PVP40+'NF - 5 Power Mix'!PVP14+'NF - 5 Power Mix'!PVP15)*860/10)+((('Form Sa1'!PVS835)*860)/10)+('Form Sa1'!PVS814*'Form Sa1'!PVS816/10)-'NF - 5 Power Mix'!PVP21-'NF - 5 Power Mix'!PVP22</f>
        <v>0</v>
      </c>
      <c r="PVQ42" s="1046">
        <f>PVQ38+((PVQ40+'NF - 5 Power Mix'!PVQ14+'NF - 5 Power Mix'!PVQ15)*860/10)+((('Form Sa1'!PVT835)*860)/10)+('Form Sa1'!PVT814*'Form Sa1'!PVT816/10)-'NF - 5 Power Mix'!PVQ21-'NF - 5 Power Mix'!PVQ22</f>
        <v>0</v>
      </c>
      <c r="PVR42" s="1046">
        <f>PVR38+((PVR40+'NF - 5 Power Mix'!PVR14+'NF - 5 Power Mix'!PVR15)*860/10)+((('Form Sa1'!PVU835)*860)/10)+('Form Sa1'!PVU814*'Form Sa1'!PVU816/10)-'NF - 5 Power Mix'!PVR21-'NF - 5 Power Mix'!PVR22</f>
        <v>0</v>
      </c>
      <c r="PVS42" s="1046">
        <f>PVS38+((PVS40+'NF - 5 Power Mix'!PVS14+'NF - 5 Power Mix'!PVS15)*860/10)+((('Form Sa1'!PVV835)*860)/10)+('Form Sa1'!PVV814*'Form Sa1'!PVV816/10)-'NF - 5 Power Mix'!PVS21-'NF - 5 Power Mix'!PVS22</f>
        <v>0</v>
      </c>
      <c r="PVT42" s="1046">
        <f>PVT38+((PVT40+'NF - 5 Power Mix'!PVT14+'NF - 5 Power Mix'!PVT15)*860/10)+((('Form Sa1'!PVW835)*860)/10)+('Form Sa1'!PVW814*'Form Sa1'!PVW816/10)-'NF - 5 Power Mix'!PVT21-'NF - 5 Power Mix'!PVT22</f>
        <v>0</v>
      </c>
      <c r="PVU42" s="1046">
        <f>PVU38+((PVU40+'NF - 5 Power Mix'!PVU14+'NF - 5 Power Mix'!PVU15)*860/10)+((('Form Sa1'!PVX835)*860)/10)+('Form Sa1'!PVX814*'Form Sa1'!PVX816/10)-'NF - 5 Power Mix'!PVU21-'NF - 5 Power Mix'!PVU22</f>
        <v>0</v>
      </c>
      <c r="PVV42" s="1046">
        <f>PVV38+((PVV40+'NF - 5 Power Mix'!PVV14+'NF - 5 Power Mix'!PVV15)*860/10)+((('Form Sa1'!PVY835)*860)/10)+('Form Sa1'!PVY814*'Form Sa1'!PVY816/10)-'NF - 5 Power Mix'!PVV21-'NF - 5 Power Mix'!PVV22</f>
        <v>0</v>
      </c>
      <c r="PVW42" s="1046">
        <f>PVW38+((PVW40+'NF - 5 Power Mix'!PVW14+'NF - 5 Power Mix'!PVW15)*860/10)+((('Form Sa1'!PVZ835)*860)/10)+('Form Sa1'!PVZ814*'Form Sa1'!PVZ816/10)-'NF - 5 Power Mix'!PVW21-'NF - 5 Power Mix'!PVW22</f>
        <v>0</v>
      </c>
      <c r="PVX42" s="1046">
        <f>PVX38+((PVX40+'NF - 5 Power Mix'!PVX14+'NF - 5 Power Mix'!PVX15)*860/10)+((('Form Sa1'!PWA835)*860)/10)+('Form Sa1'!PWA814*'Form Sa1'!PWA816/10)-'NF - 5 Power Mix'!PVX21-'NF - 5 Power Mix'!PVX22</f>
        <v>0</v>
      </c>
      <c r="PVY42" s="1046">
        <f>PVY38+((PVY40+'NF - 5 Power Mix'!PVY14+'NF - 5 Power Mix'!PVY15)*860/10)+((('Form Sa1'!PWB835)*860)/10)+('Form Sa1'!PWB814*'Form Sa1'!PWB816/10)-'NF - 5 Power Mix'!PVY21-'NF - 5 Power Mix'!PVY22</f>
        <v>0</v>
      </c>
      <c r="PVZ42" s="1046">
        <f>PVZ38+((PVZ40+'NF - 5 Power Mix'!PVZ14+'NF - 5 Power Mix'!PVZ15)*860/10)+((('Form Sa1'!PWC835)*860)/10)+('Form Sa1'!PWC814*'Form Sa1'!PWC816/10)-'NF - 5 Power Mix'!PVZ21-'NF - 5 Power Mix'!PVZ22</f>
        <v>0</v>
      </c>
      <c r="PWA42" s="1046">
        <f>PWA38+((PWA40+'NF - 5 Power Mix'!PWA14+'NF - 5 Power Mix'!PWA15)*860/10)+((('Form Sa1'!PWD835)*860)/10)+('Form Sa1'!PWD814*'Form Sa1'!PWD816/10)-'NF - 5 Power Mix'!PWA21-'NF - 5 Power Mix'!PWA22</f>
        <v>0</v>
      </c>
      <c r="PWB42" s="1046">
        <f>PWB38+((PWB40+'NF - 5 Power Mix'!PWB14+'NF - 5 Power Mix'!PWB15)*860/10)+((('Form Sa1'!PWE835)*860)/10)+('Form Sa1'!PWE814*'Form Sa1'!PWE816/10)-'NF - 5 Power Mix'!PWB21-'NF - 5 Power Mix'!PWB22</f>
        <v>0</v>
      </c>
      <c r="PWC42" s="1046">
        <f>PWC38+((PWC40+'NF - 5 Power Mix'!PWC14+'NF - 5 Power Mix'!PWC15)*860/10)+((('Form Sa1'!PWF835)*860)/10)+('Form Sa1'!PWF814*'Form Sa1'!PWF816/10)-'NF - 5 Power Mix'!PWC21-'NF - 5 Power Mix'!PWC22</f>
        <v>0</v>
      </c>
      <c r="PWD42" s="1046">
        <f>PWD38+((PWD40+'NF - 5 Power Mix'!PWD14+'NF - 5 Power Mix'!PWD15)*860/10)+((('Form Sa1'!PWG835)*860)/10)+('Form Sa1'!PWG814*'Form Sa1'!PWG816/10)-'NF - 5 Power Mix'!PWD21-'NF - 5 Power Mix'!PWD22</f>
        <v>0</v>
      </c>
      <c r="PWE42" s="1046">
        <f>PWE38+((PWE40+'NF - 5 Power Mix'!PWE14+'NF - 5 Power Mix'!PWE15)*860/10)+((('Form Sa1'!PWH835)*860)/10)+('Form Sa1'!PWH814*'Form Sa1'!PWH816/10)-'NF - 5 Power Mix'!PWE21-'NF - 5 Power Mix'!PWE22</f>
        <v>0</v>
      </c>
      <c r="PWF42" s="1046">
        <f>PWF38+((PWF40+'NF - 5 Power Mix'!PWF14+'NF - 5 Power Mix'!PWF15)*860/10)+((('Form Sa1'!PWI835)*860)/10)+('Form Sa1'!PWI814*'Form Sa1'!PWI816/10)-'NF - 5 Power Mix'!PWF21-'NF - 5 Power Mix'!PWF22</f>
        <v>0</v>
      </c>
      <c r="PWG42" s="1046">
        <f>PWG38+((PWG40+'NF - 5 Power Mix'!PWG14+'NF - 5 Power Mix'!PWG15)*860/10)+((('Form Sa1'!PWJ835)*860)/10)+('Form Sa1'!PWJ814*'Form Sa1'!PWJ816/10)-'NF - 5 Power Mix'!PWG21-'NF - 5 Power Mix'!PWG22</f>
        <v>0</v>
      </c>
      <c r="PWH42" s="1046">
        <f>PWH38+((PWH40+'NF - 5 Power Mix'!PWH14+'NF - 5 Power Mix'!PWH15)*860/10)+((('Form Sa1'!PWK835)*860)/10)+('Form Sa1'!PWK814*'Form Sa1'!PWK816/10)-'NF - 5 Power Mix'!PWH21-'NF - 5 Power Mix'!PWH22</f>
        <v>0</v>
      </c>
      <c r="PWI42" s="1046">
        <f>PWI38+((PWI40+'NF - 5 Power Mix'!PWI14+'NF - 5 Power Mix'!PWI15)*860/10)+((('Form Sa1'!PWL835)*860)/10)+('Form Sa1'!PWL814*'Form Sa1'!PWL816/10)-'NF - 5 Power Mix'!PWI21-'NF - 5 Power Mix'!PWI22</f>
        <v>0</v>
      </c>
      <c r="PWJ42" s="1046">
        <f>PWJ38+((PWJ40+'NF - 5 Power Mix'!PWJ14+'NF - 5 Power Mix'!PWJ15)*860/10)+((('Form Sa1'!PWM835)*860)/10)+('Form Sa1'!PWM814*'Form Sa1'!PWM816/10)-'NF - 5 Power Mix'!PWJ21-'NF - 5 Power Mix'!PWJ22</f>
        <v>0</v>
      </c>
      <c r="PWK42" s="1046">
        <f>PWK38+((PWK40+'NF - 5 Power Mix'!PWK14+'NF - 5 Power Mix'!PWK15)*860/10)+((('Form Sa1'!PWN835)*860)/10)+('Form Sa1'!PWN814*'Form Sa1'!PWN816/10)-'NF - 5 Power Mix'!PWK21-'NF - 5 Power Mix'!PWK22</f>
        <v>0</v>
      </c>
      <c r="PWL42" s="1046">
        <f>PWL38+((PWL40+'NF - 5 Power Mix'!PWL14+'NF - 5 Power Mix'!PWL15)*860/10)+((('Form Sa1'!PWO835)*860)/10)+('Form Sa1'!PWO814*'Form Sa1'!PWO816/10)-'NF - 5 Power Mix'!PWL21-'NF - 5 Power Mix'!PWL22</f>
        <v>0</v>
      </c>
      <c r="PWM42" s="1046">
        <f>PWM38+((PWM40+'NF - 5 Power Mix'!PWM14+'NF - 5 Power Mix'!PWM15)*860/10)+((('Form Sa1'!PWP835)*860)/10)+('Form Sa1'!PWP814*'Form Sa1'!PWP816/10)-'NF - 5 Power Mix'!PWM21-'NF - 5 Power Mix'!PWM22</f>
        <v>0</v>
      </c>
      <c r="PWN42" s="1046">
        <f>PWN38+((PWN40+'NF - 5 Power Mix'!PWN14+'NF - 5 Power Mix'!PWN15)*860/10)+((('Form Sa1'!PWQ835)*860)/10)+('Form Sa1'!PWQ814*'Form Sa1'!PWQ816/10)-'NF - 5 Power Mix'!PWN21-'NF - 5 Power Mix'!PWN22</f>
        <v>0</v>
      </c>
      <c r="PWO42" s="1046">
        <f>PWO38+((PWO40+'NF - 5 Power Mix'!PWO14+'NF - 5 Power Mix'!PWO15)*860/10)+((('Form Sa1'!PWR835)*860)/10)+('Form Sa1'!PWR814*'Form Sa1'!PWR816/10)-'NF - 5 Power Mix'!PWO21-'NF - 5 Power Mix'!PWO22</f>
        <v>0</v>
      </c>
      <c r="PWP42" s="1046">
        <f>PWP38+((PWP40+'NF - 5 Power Mix'!PWP14+'NF - 5 Power Mix'!PWP15)*860/10)+((('Form Sa1'!PWS835)*860)/10)+('Form Sa1'!PWS814*'Form Sa1'!PWS816/10)-'NF - 5 Power Mix'!PWP21-'NF - 5 Power Mix'!PWP22</f>
        <v>0</v>
      </c>
      <c r="PWQ42" s="1046">
        <f>PWQ38+((PWQ40+'NF - 5 Power Mix'!PWQ14+'NF - 5 Power Mix'!PWQ15)*860/10)+((('Form Sa1'!PWT835)*860)/10)+('Form Sa1'!PWT814*'Form Sa1'!PWT816/10)-'NF - 5 Power Mix'!PWQ21-'NF - 5 Power Mix'!PWQ22</f>
        <v>0</v>
      </c>
      <c r="PWR42" s="1046">
        <f>PWR38+((PWR40+'NF - 5 Power Mix'!PWR14+'NF - 5 Power Mix'!PWR15)*860/10)+((('Form Sa1'!PWU835)*860)/10)+('Form Sa1'!PWU814*'Form Sa1'!PWU816/10)-'NF - 5 Power Mix'!PWR21-'NF - 5 Power Mix'!PWR22</f>
        <v>0</v>
      </c>
      <c r="PWS42" s="1046">
        <f>PWS38+((PWS40+'NF - 5 Power Mix'!PWS14+'NF - 5 Power Mix'!PWS15)*860/10)+((('Form Sa1'!PWV835)*860)/10)+('Form Sa1'!PWV814*'Form Sa1'!PWV816/10)-'NF - 5 Power Mix'!PWS21-'NF - 5 Power Mix'!PWS22</f>
        <v>0</v>
      </c>
      <c r="PWT42" s="1046">
        <f>PWT38+((PWT40+'NF - 5 Power Mix'!PWT14+'NF - 5 Power Mix'!PWT15)*860/10)+((('Form Sa1'!PWW835)*860)/10)+('Form Sa1'!PWW814*'Form Sa1'!PWW816/10)-'NF - 5 Power Mix'!PWT21-'NF - 5 Power Mix'!PWT22</f>
        <v>0</v>
      </c>
      <c r="PWU42" s="1046">
        <f>PWU38+((PWU40+'NF - 5 Power Mix'!PWU14+'NF - 5 Power Mix'!PWU15)*860/10)+((('Form Sa1'!PWX835)*860)/10)+('Form Sa1'!PWX814*'Form Sa1'!PWX816/10)-'NF - 5 Power Mix'!PWU21-'NF - 5 Power Mix'!PWU22</f>
        <v>0</v>
      </c>
      <c r="PWV42" s="1046">
        <f>PWV38+((PWV40+'NF - 5 Power Mix'!PWV14+'NF - 5 Power Mix'!PWV15)*860/10)+((('Form Sa1'!PWY835)*860)/10)+('Form Sa1'!PWY814*'Form Sa1'!PWY816/10)-'NF - 5 Power Mix'!PWV21-'NF - 5 Power Mix'!PWV22</f>
        <v>0</v>
      </c>
      <c r="PWW42" s="1046">
        <f>PWW38+((PWW40+'NF - 5 Power Mix'!PWW14+'NF - 5 Power Mix'!PWW15)*860/10)+((('Form Sa1'!PWZ835)*860)/10)+('Form Sa1'!PWZ814*'Form Sa1'!PWZ816/10)-'NF - 5 Power Mix'!PWW21-'NF - 5 Power Mix'!PWW22</f>
        <v>0</v>
      </c>
      <c r="PWX42" s="1046">
        <f>PWX38+((PWX40+'NF - 5 Power Mix'!PWX14+'NF - 5 Power Mix'!PWX15)*860/10)+((('Form Sa1'!PXA835)*860)/10)+('Form Sa1'!PXA814*'Form Sa1'!PXA816/10)-'NF - 5 Power Mix'!PWX21-'NF - 5 Power Mix'!PWX22</f>
        <v>0</v>
      </c>
      <c r="PWY42" s="1046">
        <f>PWY38+((PWY40+'NF - 5 Power Mix'!PWY14+'NF - 5 Power Mix'!PWY15)*860/10)+((('Form Sa1'!PXB835)*860)/10)+('Form Sa1'!PXB814*'Form Sa1'!PXB816/10)-'NF - 5 Power Mix'!PWY21-'NF - 5 Power Mix'!PWY22</f>
        <v>0</v>
      </c>
      <c r="PWZ42" s="1046">
        <f>PWZ38+((PWZ40+'NF - 5 Power Mix'!PWZ14+'NF - 5 Power Mix'!PWZ15)*860/10)+((('Form Sa1'!PXC835)*860)/10)+('Form Sa1'!PXC814*'Form Sa1'!PXC816/10)-'NF - 5 Power Mix'!PWZ21-'NF - 5 Power Mix'!PWZ22</f>
        <v>0</v>
      </c>
      <c r="PXA42" s="1046">
        <f>PXA38+((PXA40+'NF - 5 Power Mix'!PXA14+'NF - 5 Power Mix'!PXA15)*860/10)+((('Form Sa1'!PXD835)*860)/10)+('Form Sa1'!PXD814*'Form Sa1'!PXD816/10)-'NF - 5 Power Mix'!PXA21-'NF - 5 Power Mix'!PXA22</f>
        <v>0</v>
      </c>
      <c r="PXB42" s="1046">
        <f>PXB38+((PXB40+'NF - 5 Power Mix'!PXB14+'NF - 5 Power Mix'!PXB15)*860/10)+((('Form Sa1'!PXE835)*860)/10)+('Form Sa1'!PXE814*'Form Sa1'!PXE816/10)-'NF - 5 Power Mix'!PXB21-'NF - 5 Power Mix'!PXB22</f>
        <v>0</v>
      </c>
      <c r="PXC42" s="1046">
        <f>PXC38+((PXC40+'NF - 5 Power Mix'!PXC14+'NF - 5 Power Mix'!PXC15)*860/10)+((('Form Sa1'!PXF835)*860)/10)+('Form Sa1'!PXF814*'Form Sa1'!PXF816/10)-'NF - 5 Power Mix'!PXC21-'NF - 5 Power Mix'!PXC22</f>
        <v>0</v>
      </c>
      <c r="PXD42" s="1046">
        <f>PXD38+((PXD40+'NF - 5 Power Mix'!PXD14+'NF - 5 Power Mix'!PXD15)*860/10)+((('Form Sa1'!PXG835)*860)/10)+('Form Sa1'!PXG814*'Form Sa1'!PXG816/10)-'NF - 5 Power Mix'!PXD21-'NF - 5 Power Mix'!PXD22</f>
        <v>0</v>
      </c>
      <c r="PXE42" s="1046">
        <f>PXE38+((PXE40+'NF - 5 Power Mix'!PXE14+'NF - 5 Power Mix'!PXE15)*860/10)+((('Form Sa1'!PXH835)*860)/10)+('Form Sa1'!PXH814*'Form Sa1'!PXH816/10)-'NF - 5 Power Mix'!PXE21-'NF - 5 Power Mix'!PXE22</f>
        <v>0</v>
      </c>
      <c r="PXF42" s="1046">
        <f>PXF38+((PXF40+'NF - 5 Power Mix'!PXF14+'NF - 5 Power Mix'!PXF15)*860/10)+((('Form Sa1'!PXI835)*860)/10)+('Form Sa1'!PXI814*'Form Sa1'!PXI816/10)-'NF - 5 Power Mix'!PXF21-'NF - 5 Power Mix'!PXF22</f>
        <v>0</v>
      </c>
      <c r="PXG42" s="1046">
        <f>PXG38+((PXG40+'NF - 5 Power Mix'!PXG14+'NF - 5 Power Mix'!PXG15)*860/10)+((('Form Sa1'!PXJ835)*860)/10)+('Form Sa1'!PXJ814*'Form Sa1'!PXJ816/10)-'NF - 5 Power Mix'!PXG21-'NF - 5 Power Mix'!PXG22</f>
        <v>0</v>
      </c>
      <c r="PXH42" s="1046">
        <f>PXH38+((PXH40+'NF - 5 Power Mix'!PXH14+'NF - 5 Power Mix'!PXH15)*860/10)+((('Form Sa1'!PXK835)*860)/10)+('Form Sa1'!PXK814*'Form Sa1'!PXK816/10)-'NF - 5 Power Mix'!PXH21-'NF - 5 Power Mix'!PXH22</f>
        <v>0</v>
      </c>
      <c r="PXI42" s="1046">
        <f>PXI38+((PXI40+'NF - 5 Power Mix'!PXI14+'NF - 5 Power Mix'!PXI15)*860/10)+((('Form Sa1'!PXL835)*860)/10)+('Form Sa1'!PXL814*'Form Sa1'!PXL816/10)-'NF - 5 Power Mix'!PXI21-'NF - 5 Power Mix'!PXI22</f>
        <v>0</v>
      </c>
      <c r="PXJ42" s="1046">
        <f>PXJ38+((PXJ40+'NF - 5 Power Mix'!PXJ14+'NF - 5 Power Mix'!PXJ15)*860/10)+((('Form Sa1'!PXM835)*860)/10)+('Form Sa1'!PXM814*'Form Sa1'!PXM816/10)-'NF - 5 Power Mix'!PXJ21-'NF - 5 Power Mix'!PXJ22</f>
        <v>0</v>
      </c>
      <c r="PXK42" s="1046">
        <f>PXK38+((PXK40+'NF - 5 Power Mix'!PXK14+'NF - 5 Power Mix'!PXK15)*860/10)+((('Form Sa1'!PXN835)*860)/10)+('Form Sa1'!PXN814*'Form Sa1'!PXN816/10)-'NF - 5 Power Mix'!PXK21-'NF - 5 Power Mix'!PXK22</f>
        <v>0</v>
      </c>
      <c r="PXL42" s="1046">
        <f>PXL38+((PXL40+'NF - 5 Power Mix'!PXL14+'NF - 5 Power Mix'!PXL15)*860/10)+((('Form Sa1'!PXO835)*860)/10)+('Form Sa1'!PXO814*'Form Sa1'!PXO816/10)-'NF - 5 Power Mix'!PXL21-'NF - 5 Power Mix'!PXL22</f>
        <v>0</v>
      </c>
      <c r="PXM42" s="1046">
        <f>PXM38+((PXM40+'NF - 5 Power Mix'!PXM14+'NF - 5 Power Mix'!PXM15)*860/10)+((('Form Sa1'!PXP835)*860)/10)+('Form Sa1'!PXP814*'Form Sa1'!PXP816/10)-'NF - 5 Power Mix'!PXM21-'NF - 5 Power Mix'!PXM22</f>
        <v>0</v>
      </c>
      <c r="PXN42" s="1046">
        <f>PXN38+((PXN40+'NF - 5 Power Mix'!PXN14+'NF - 5 Power Mix'!PXN15)*860/10)+((('Form Sa1'!PXQ835)*860)/10)+('Form Sa1'!PXQ814*'Form Sa1'!PXQ816/10)-'NF - 5 Power Mix'!PXN21-'NF - 5 Power Mix'!PXN22</f>
        <v>0</v>
      </c>
      <c r="PXO42" s="1046">
        <f>PXO38+((PXO40+'NF - 5 Power Mix'!PXO14+'NF - 5 Power Mix'!PXO15)*860/10)+((('Form Sa1'!PXR835)*860)/10)+('Form Sa1'!PXR814*'Form Sa1'!PXR816/10)-'NF - 5 Power Mix'!PXO21-'NF - 5 Power Mix'!PXO22</f>
        <v>0</v>
      </c>
      <c r="PXP42" s="1046">
        <f>PXP38+((PXP40+'NF - 5 Power Mix'!PXP14+'NF - 5 Power Mix'!PXP15)*860/10)+((('Form Sa1'!PXS835)*860)/10)+('Form Sa1'!PXS814*'Form Sa1'!PXS816/10)-'NF - 5 Power Mix'!PXP21-'NF - 5 Power Mix'!PXP22</f>
        <v>0</v>
      </c>
      <c r="PXQ42" s="1046">
        <f>PXQ38+((PXQ40+'NF - 5 Power Mix'!PXQ14+'NF - 5 Power Mix'!PXQ15)*860/10)+((('Form Sa1'!PXT835)*860)/10)+('Form Sa1'!PXT814*'Form Sa1'!PXT816/10)-'NF - 5 Power Mix'!PXQ21-'NF - 5 Power Mix'!PXQ22</f>
        <v>0</v>
      </c>
      <c r="PXR42" s="1046">
        <f>PXR38+((PXR40+'NF - 5 Power Mix'!PXR14+'NF - 5 Power Mix'!PXR15)*860/10)+((('Form Sa1'!PXU835)*860)/10)+('Form Sa1'!PXU814*'Form Sa1'!PXU816/10)-'NF - 5 Power Mix'!PXR21-'NF - 5 Power Mix'!PXR22</f>
        <v>0</v>
      </c>
      <c r="PXS42" s="1046">
        <f>PXS38+((PXS40+'NF - 5 Power Mix'!PXS14+'NF - 5 Power Mix'!PXS15)*860/10)+((('Form Sa1'!PXV835)*860)/10)+('Form Sa1'!PXV814*'Form Sa1'!PXV816/10)-'NF - 5 Power Mix'!PXS21-'NF - 5 Power Mix'!PXS22</f>
        <v>0</v>
      </c>
      <c r="PXT42" s="1046">
        <f>PXT38+((PXT40+'NF - 5 Power Mix'!PXT14+'NF - 5 Power Mix'!PXT15)*860/10)+((('Form Sa1'!PXW835)*860)/10)+('Form Sa1'!PXW814*'Form Sa1'!PXW816/10)-'NF - 5 Power Mix'!PXT21-'NF - 5 Power Mix'!PXT22</f>
        <v>0</v>
      </c>
      <c r="PXU42" s="1046">
        <f>PXU38+((PXU40+'NF - 5 Power Mix'!PXU14+'NF - 5 Power Mix'!PXU15)*860/10)+((('Form Sa1'!PXX835)*860)/10)+('Form Sa1'!PXX814*'Form Sa1'!PXX816/10)-'NF - 5 Power Mix'!PXU21-'NF - 5 Power Mix'!PXU22</f>
        <v>0</v>
      </c>
      <c r="PXV42" s="1046">
        <f>PXV38+((PXV40+'NF - 5 Power Mix'!PXV14+'NF - 5 Power Mix'!PXV15)*860/10)+((('Form Sa1'!PXY835)*860)/10)+('Form Sa1'!PXY814*'Form Sa1'!PXY816/10)-'NF - 5 Power Mix'!PXV21-'NF - 5 Power Mix'!PXV22</f>
        <v>0</v>
      </c>
      <c r="PXW42" s="1046">
        <f>PXW38+((PXW40+'NF - 5 Power Mix'!PXW14+'NF - 5 Power Mix'!PXW15)*860/10)+((('Form Sa1'!PXZ835)*860)/10)+('Form Sa1'!PXZ814*'Form Sa1'!PXZ816/10)-'NF - 5 Power Mix'!PXW21-'NF - 5 Power Mix'!PXW22</f>
        <v>0</v>
      </c>
      <c r="PXX42" s="1046">
        <f>PXX38+((PXX40+'NF - 5 Power Mix'!PXX14+'NF - 5 Power Mix'!PXX15)*860/10)+((('Form Sa1'!PYA835)*860)/10)+('Form Sa1'!PYA814*'Form Sa1'!PYA816/10)-'NF - 5 Power Mix'!PXX21-'NF - 5 Power Mix'!PXX22</f>
        <v>0</v>
      </c>
      <c r="PXY42" s="1046">
        <f>PXY38+((PXY40+'NF - 5 Power Mix'!PXY14+'NF - 5 Power Mix'!PXY15)*860/10)+((('Form Sa1'!PYB835)*860)/10)+('Form Sa1'!PYB814*'Form Sa1'!PYB816/10)-'NF - 5 Power Mix'!PXY21-'NF - 5 Power Mix'!PXY22</f>
        <v>0</v>
      </c>
      <c r="PXZ42" s="1046">
        <f>PXZ38+((PXZ40+'NF - 5 Power Mix'!PXZ14+'NF - 5 Power Mix'!PXZ15)*860/10)+((('Form Sa1'!PYC835)*860)/10)+('Form Sa1'!PYC814*'Form Sa1'!PYC816/10)-'NF - 5 Power Mix'!PXZ21-'NF - 5 Power Mix'!PXZ22</f>
        <v>0</v>
      </c>
      <c r="PYA42" s="1046">
        <f>PYA38+((PYA40+'NF - 5 Power Mix'!PYA14+'NF - 5 Power Mix'!PYA15)*860/10)+((('Form Sa1'!PYD835)*860)/10)+('Form Sa1'!PYD814*'Form Sa1'!PYD816/10)-'NF - 5 Power Mix'!PYA21-'NF - 5 Power Mix'!PYA22</f>
        <v>0</v>
      </c>
      <c r="PYB42" s="1046">
        <f>PYB38+((PYB40+'NF - 5 Power Mix'!PYB14+'NF - 5 Power Mix'!PYB15)*860/10)+((('Form Sa1'!PYE835)*860)/10)+('Form Sa1'!PYE814*'Form Sa1'!PYE816/10)-'NF - 5 Power Mix'!PYB21-'NF - 5 Power Mix'!PYB22</f>
        <v>0</v>
      </c>
      <c r="PYC42" s="1046">
        <f>PYC38+((PYC40+'NF - 5 Power Mix'!PYC14+'NF - 5 Power Mix'!PYC15)*860/10)+((('Form Sa1'!PYF835)*860)/10)+('Form Sa1'!PYF814*'Form Sa1'!PYF816/10)-'NF - 5 Power Mix'!PYC21-'NF - 5 Power Mix'!PYC22</f>
        <v>0</v>
      </c>
      <c r="PYD42" s="1046">
        <f>PYD38+((PYD40+'NF - 5 Power Mix'!PYD14+'NF - 5 Power Mix'!PYD15)*860/10)+((('Form Sa1'!PYG835)*860)/10)+('Form Sa1'!PYG814*'Form Sa1'!PYG816/10)-'NF - 5 Power Mix'!PYD21-'NF - 5 Power Mix'!PYD22</f>
        <v>0</v>
      </c>
      <c r="PYE42" s="1046">
        <f>PYE38+((PYE40+'NF - 5 Power Mix'!PYE14+'NF - 5 Power Mix'!PYE15)*860/10)+((('Form Sa1'!PYH835)*860)/10)+('Form Sa1'!PYH814*'Form Sa1'!PYH816/10)-'NF - 5 Power Mix'!PYE21-'NF - 5 Power Mix'!PYE22</f>
        <v>0</v>
      </c>
      <c r="PYF42" s="1046">
        <f>PYF38+((PYF40+'NF - 5 Power Mix'!PYF14+'NF - 5 Power Mix'!PYF15)*860/10)+((('Form Sa1'!PYI835)*860)/10)+('Form Sa1'!PYI814*'Form Sa1'!PYI816/10)-'NF - 5 Power Mix'!PYF21-'NF - 5 Power Mix'!PYF22</f>
        <v>0</v>
      </c>
      <c r="PYG42" s="1046">
        <f>PYG38+((PYG40+'NF - 5 Power Mix'!PYG14+'NF - 5 Power Mix'!PYG15)*860/10)+((('Form Sa1'!PYJ835)*860)/10)+('Form Sa1'!PYJ814*'Form Sa1'!PYJ816/10)-'NF - 5 Power Mix'!PYG21-'NF - 5 Power Mix'!PYG22</f>
        <v>0</v>
      </c>
      <c r="PYH42" s="1046">
        <f>PYH38+((PYH40+'NF - 5 Power Mix'!PYH14+'NF - 5 Power Mix'!PYH15)*860/10)+((('Form Sa1'!PYK835)*860)/10)+('Form Sa1'!PYK814*'Form Sa1'!PYK816/10)-'NF - 5 Power Mix'!PYH21-'NF - 5 Power Mix'!PYH22</f>
        <v>0</v>
      </c>
      <c r="PYI42" s="1046">
        <f>PYI38+((PYI40+'NF - 5 Power Mix'!PYI14+'NF - 5 Power Mix'!PYI15)*860/10)+((('Form Sa1'!PYL835)*860)/10)+('Form Sa1'!PYL814*'Form Sa1'!PYL816/10)-'NF - 5 Power Mix'!PYI21-'NF - 5 Power Mix'!PYI22</f>
        <v>0</v>
      </c>
      <c r="PYJ42" s="1046">
        <f>PYJ38+((PYJ40+'NF - 5 Power Mix'!PYJ14+'NF - 5 Power Mix'!PYJ15)*860/10)+((('Form Sa1'!PYM835)*860)/10)+('Form Sa1'!PYM814*'Form Sa1'!PYM816/10)-'NF - 5 Power Mix'!PYJ21-'NF - 5 Power Mix'!PYJ22</f>
        <v>0</v>
      </c>
      <c r="PYK42" s="1046">
        <f>PYK38+((PYK40+'NF - 5 Power Mix'!PYK14+'NF - 5 Power Mix'!PYK15)*860/10)+((('Form Sa1'!PYN835)*860)/10)+('Form Sa1'!PYN814*'Form Sa1'!PYN816/10)-'NF - 5 Power Mix'!PYK21-'NF - 5 Power Mix'!PYK22</f>
        <v>0</v>
      </c>
      <c r="PYL42" s="1046">
        <f>PYL38+((PYL40+'NF - 5 Power Mix'!PYL14+'NF - 5 Power Mix'!PYL15)*860/10)+((('Form Sa1'!PYO835)*860)/10)+('Form Sa1'!PYO814*'Form Sa1'!PYO816/10)-'NF - 5 Power Mix'!PYL21-'NF - 5 Power Mix'!PYL22</f>
        <v>0</v>
      </c>
      <c r="PYM42" s="1046">
        <f>PYM38+((PYM40+'NF - 5 Power Mix'!PYM14+'NF - 5 Power Mix'!PYM15)*860/10)+((('Form Sa1'!PYP835)*860)/10)+('Form Sa1'!PYP814*'Form Sa1'!PYP816/10)-'NF - 5 Power Mix'!PYM21-'NF - 5 Power Mix'!PYM22</f>
        <v>0</v>
      </c>
      <c r="PYN42" s="1046">
        <f>PYN38+((PYN40+'NF - 5 Power Mix'!PYN14+'NF - 5 Power Mix'!PYN15)*860/10)+((('Form Sa1'!PYQ835)*860)/10)+('Form Sa1'!PYQ814*'Form Sa1'!PYQ816/10)-'NF - 5 Power Mix'!PYN21-'NF - 5 Power Mix'!PYN22</f>
        <v>0</v>
      </c>
      <c r="PYO42" s="1046">
        <f>PYO38+((PYO40+'NF - 5 Power Mix'!PYO14+'NF - 5 Power Mix'!PYO15)*860/10)+((('Form Sa1'!PYR835)*860)/10)+('Form Sa1'!PYR814*'Form Sa1'!PYR816/10)-'NF - 5 Power Mix'!PYO21-'NF - 5 Power Mix'!PYO22</f>
        <v>0</v>
      </c>
      <c r="PYP42" s="1046">
        <f>PYP38+((PYP40+'NF - 5 Power Mix'!PYP14+'NF - 5 Power Mix'!PYP15)*860/10)+((('Form Sa1'!PYS835)*860)/10)+('Form Sa1'!PYS814*'Form Sa1'!PYS816/10)-'NF - 5 Power Mix'!PYP21-'NF - 5 Power Mix'!PYP22</f>
        <v>0</v>
      </c>
      <c r="PYQ42" s="1046">
        <f>PYQ38+((PYQ40+'NF - 5 Power Mix'!PYQ14+'NF - 5 Power Mix'!PYQ15)*860/10)+((('Form Sa1'!PYT835)*860)/10)+('Form Sa1'!PYT814*'Form Sa1'!PYT816/10)-'NF - 5 Power Mix'!PYQ21-'NF - 5 Power Mix'!PYQ22</f>
        <v>0</v>
      </c>
      <c r="PYR42" s="1046">
        <f>PYR38+((PYR40+'NF - 5 Power Mix'!PYR14+'NF - 5 Power Mix'!PYR15)*860/10)+((('Form Sa1'!PYU835)*860)/10)+('Form Sa1'!PYU814*'Form Sa1'!PYU816/10)-'NF - 5 Power Mix'!PYR21-'NF - 5 Power Mix'!PYR22</f>
        <v>0</v>
      </c>
      <c r="PYS42" s="1046">
        <f>PYS38+((PYS40+'NF - 5 Power Mix'!PYS14+'NF - 5 Power Mix'!PYS15)*860/10)+((('Form Sa1'!PYV835)*860)/10)+('Form Sa1'!PYV814*'Form Sa1'!PYV816/10)-'NF - 5 Power Mix'!PYS21-'NF - 5 Power Mix'!PYS22</f>
        <v>0</v>
      </c>
      <c r="PYT42" s="1046">
        <f>PYT38+((PYT40+'NF - 5 Power Mix'!PYT14+'NF - 5 Power Mix'!PYT15)*860/10)+((('Form Sa1'!PYW835)*860)/10)+('Form Sa1'!PYW814*'Form Sa1'!PYW816/10)-'NF - 5 Power Mix'!PYT21-'NF - 5 Power Mix'!PYT22</f>
        <v>0</v>
      </c>
      <c r="PYU42" s="1046">
        <f>PYU38+((PYU40+'NF - 5 Power Mix'!PYU14+'NF - 5 Power Mix'!PYU15)*860/10)+((('Form Sa1'!PYX835)*860)/10)+('Form Sa1'!PYX814*'Form Sa1'!PYX816/10)-'NF - 5 Power Mix'!PYU21-'NF - 5 Power Mix'!PYU22</f>
        <v>0</v>
      </c>
      <c r="PYV42" s="1046">
        <f>PYV38+((PYV40+'NF - 5 Power Mix'!PYV14+'NF - 5 Power Mix'!PYV15)*860/10)+((('Form Sa1'!PYY835)*860)/10)+('Form Sa1'!PYY814*'Form Sa1'!PYY816/10)-'NF - 5 Power Mix'!PYV21-'NF - 5 Power Mix'!PYV22</f>
        <v>0</v>
      </c>
      <c r="PYW42" s="1046">
        <f>PYW38+((PYW40+'NF - 5 Power Mix'!PYW14+'NF - 5 Power Mix'!PYW15)*860/10)+((('Form Sa1'!PYZ835)*860)/10)+('Form Sa1'!PYZ814*'Form Sa1'!PYZ816/10)-'NF - 5 Power Mix'!PYW21-'NF - 5 Power Mix'!PYW22</f>
        <v>0</v>
      </c>
      <c r="PYX42" s="1046">
        <f>PYX38+((PYX40+'NF - 5 Power Mix'!PYX14+'NF - 5 Power Mix'!PYX15)*860/10)+((('Form Sa1'!PZA835)*860)/10)+('Form Sa1'!PZA814*'Form Sa1'!PZA816/10)-'NF - 5 Power Mix'!PYX21-'NF - 5 Power Mix'!PYX22</f>
        <v>0</v>
      </c>
      <c r="PYY42" s="1046">
        <f>PYY38+((PYY40+'NF - 5 Power Mix'!PYY14+'NF - 5 Power Mix'!PYY15)*860/10)+((('Form Sa1'!PZB835)*860)/10)+('Form Sa1'!PZB814*'Form Sa1'!PZB816/10)-'NF - 5 Power Mix'!PYY21-'NF - 5 Power Mix'!PYY22</f>
        <v>0</v>
      </c>
      <c r="PYZ42" s="1046">
        <f>PYZ38+((PYZ40+'NF - 5 Power Mix'!PYZ14+'NF - 5 Power Mix'!PYZ15)*860/10)+((('Form Sa1'!PZC835)*860)/10)+('Form Sa1'!PZC814*'Form Sa1'!PZC816/10)-'NF - 5 Power Mix'!PYZ21-'NF - 5 Power Mix'!PYZ22</f>
        <v>0</v>
      </c>
      <c r="PZA42" s="1046">
        <f>PZA38+((PZA40+'NF - 5 Power Mix'!PZA14+'NF - 5 Power Mix'!PZA15)*860/10)+((('Form Sa1'!PZD835)*860)/10)+('Form Sa1'!PZD814*'Form Sa1'!PZD816/10)-'NF - 5 Power Mix'!PZA21-'NF - 5 Power Mix'!PZA22</f>
        <v>0</v>
      </c>
      <c r="PZB42" s="1046">
        <f>PZB38+((PZB40+'NF - 5 Power Mix'!PZB14+'NF - 5 Power Mix'!PZB15)*860/10)+((('Form Sa1'!PZE835)*860)/10)+('Form Sa1'!PZE814*'Form Sa1'!PZE816/10)-'NF - 5 Power Mix'!PZB21-'NF - 5 Power Mix'!PZB22</f>
        <v>0</v>
      </c>
      <c r="PZC42" s="1046">
        <f>PZC38+((PZC40+'NF - 5 Power Mix'!PZC14+'NF - 5 Power Mix'!PZC15)*860/10)+((('Form Sa1'!PZF835)*860)/10)+('Form Sa1'!PZF814*'Form Sa1'!PZF816/10)-'NF - 5 Power Mix'!PZC21-'NF - 5 Power Mix'!PZC22</f>
        <v>0</v>
      </c>
      <c r="PZD42" s="1046">
        <f>PZD38+((PZD40+'NF - 5 Power Mix'!PZD14+'NF - 5 Power Mix'!PZD15)*860/10)+((('Form Sa1'!PZG835)*860)/10)+('Form Sa1'!PZG814*'Form Sa1'!PZG816/10)-'NF - 5 Power Mix'!PZD21-'NF - 5 Power Mix'!PZD22</f>
        <v>0</v>
      </c>
      <c r="PZE42" s="1046">
        <f>PZE38+((PZE40+'NF - 5 Power Mix'!PZE14+'NF - 5 Power Mix'!PZE15)*860/10)+((('Form Sa1'!PZH835)*860)/10)+('Form Sa1'!PZH814*'Form Sa1'!PZH816/10)-'NF - 5 Power Mix'!PZE21-'NF - 5 Power Mix'!PZE22</f>
        <v>0</v>
      </c>
      <c r="PZF42" s="1046">
        <f>PZF38+((PZF40+'NF - 5 Power Mix'!PZF14+'NF - 5 Power Mix'!PZF15)*860/10)+((('Form Sa1'!PZI835)*860)/10)+('Form Sa1'!PZI814*'Form Sa1'!PZI816/10)-'NF - 5 Power Mix'!PZF21-'NF - 5 Power Mix'!PZF22</f>
        <v>0</v>
      </c>
      <c r="PZG42" s="1046">
        <f>PZG38+((PZG40+'NF - 5 Power Mix'!PZG14+'NF - 5 Power Mix'!PZG15)*860/10)+((('Form Sa1'!PZJ835)*860)/10)+('Form Sa1'!PZJ814*'Form Sa1'!PZJ816/10)-'NF - 5 Power Mix'!PZG21-'NF - 5 Power Mix'!PZG22</f>
        <v>0</v>
      </c>
      <c r="PZH42" s="1046">
        <f>PZH38+((PZH40+'NF - 5 Power Mix'!PZH14+'NF - 5 Power Mix'!PZH15)*860/10)+((('Form Sa1'!PZK835)*860)/10)+('Form Sa1'!PZK814*'Form Sa1'!PZK816/10)-'NF - 5 Power Mix'!PZH21-'NF - 5 Power Mix'!PZH22</f>
        <v>0</v>
      </c>
      <c r="PZI42" s="1046">
        <f>PZI38+((PZI40+'NF - 5 Power Mix'!PZI14+'NF - 5 Power Mix'!PZI15)*860/10)+((('Form Sa1'!PZL835)*860)/10)+('Form Sa1'!PZL814*'Form Sa1'!PZL816/10)-'NF - 5 Power Mix'!PZI21-'NF - 5 Power Mix'!PZI22</f>
        <v>0</v>
      </c>
      <c r="PZJ42" s="1046">
        <f>PZJ38+((PZJ40+'NF - 5 Power Mix'!PZJ14+'NF - 5 Power Mix'!PZJ15)*860/10)+((('Form Sa1'!PZM835)*860)/10)+('Form Sa1'!PZM814*'Form Sa1'!PZM816/10)-'NF - 5 Power Mix'!PZJ21-'NF - 5 Power Mix'!PZJ22</f>
        <v>0</v>
      </c>
      <c r="PZK42" s="1046">
        <f>PZK38+((PZK40+'NF - 5 Power Mix'!PZK14+'NF - 5 Power Mix'!PZK15)*860/10)+((('Form Sa1'!PZN835)*860)/10)+('Form Sa1'!PZN814*'Form Sa1'!PZN816/10)-'NF - 5 Power Mix'!PZK21-'NF - 5 Power Mix'!PZK22</f>
        <v>0</v>
      </c>
      <c r="PZL42" s="1046">
        <f>PZL38+((PZL40+'NF - 5 Power Mix'!PZL14+'NF - 5 Power Mix'!PZL15)*860/10)+((('Form Sa1'!PZO835)*860)/10)+('Form Sa1'!PZO814*'Form Sa1'!PZO816/10)-'NF - 5 Power Mix'!PZL21-'NF - 5 Power Mix'!PZL22</f>
        <v>0</v>
      </c>
      <c r="PZM42" s="1046">
        <f>PZM38+((PZM40+'NF - 5 Power Mix'!PZM14+'NF - 5 Power Mix'!PZM15)*860/10)+((('Form Sa1'!PZP835)*860)/10)+('Form Sa1'!PZP814*'Form Sa1'!PZP816/10)-'NF - 5 Power Mix'!PZM21-'NF - 5 Power Mix'!PZM22</f>
        <v>0</v>
      </c>
      <c r="PZN42" s="1046">
        <f>PZN38+((PZN40+'NF - 5 Power Mix'!PZN14+'NF - 5 Power Mix'!PZN15)*860/10)+((('Form Sa1'!PZQ835)*860)/10)+('Form Sa1'!PZQ814*'Form Sa1'!PZQ816/10)-'NF - 5 Power Mix'!PZN21-'NF - 5 Power Mix'!PZN22</f>
        <v>0</v>
      </c>
      <c r="PZO42" s="1046">
        <f>PZO38+((PZO40+'NF - 5 Power Mix'!PZO14+'NF - 5 Power Mix'!PZO15)*860/10)+((('Form Sa1'!PZR835)*860)/10)+('Form Sa1'!PZR814*'Form Sa1'!PZR816/10)-'NF - 5 Power Mix'!PZO21-'NF - 5 Power Mix'!PZO22</f>
        <v>0</v>
      </c>
      <c r="PZP42" s="1046">
        <f>PZP38+((PZP40+'NF - 5 Power Mix'!PZP14+'NF - 5 Power Mix'!PZP15)*860/10)+((('Form Sa1'!PZS835)*860)/10)+('Form Sa1'!PZS814*'Form Sa1'!PZS816/10)-'NF - 5 Power Mix'!PZP21-'NF - 5 Power Mix'!PZP22</f>
        <v>0</v>
      </c>
      <c r="PZQ42" s="1046">
        <f>PZQ38+((PZQ40+'NF - 5 Power Mix'!PZQ14+'NF - 5 Power Mix'!PZQ15)*860/10)+((('Form Sa1'!PZT835)*860)/10)+('Form Sa1'!PZT814*'Form Sa1'!PZT816/10)-'NF - 5 Power Mix'!PZQ21-'NF - 5 Power Mix'!PZQ22</f>
        <v>0</v>
      </c>
      <c r="PZR42" s="1046">
        <f>PZR38+((PZR40+'NF - 5 Power Mix'!PZR14+'NF - 5 Power Mix'!PZR15)*860/10)+((('Form Sa1'!PZU835)*860)/10)+('Form Sa1'!PZU814*'Form Sa1'!PZU816/10)-'NF - 5 Power Mix'!PZR21-'NF - 5 Power Mix'!PZR22</f>
        <v>0</v>
      </c>
      <c r="PZS42" s="1046">
        <f>PZS38+((PZS40+'NF - 5 Power Mix'!PZS14+'NF - 5 Power Mix'!PZS15)*860/10)+((('Form Sa1'!PZV835)*860)/10)+('Form Sa1'!PZV814*'Form Sa1'!PZV816/10)-'NF - 5 Power Mix'!PZS21-'NF - 5 Power Mix'!PZS22</f>
        <v>0</v>
      </c>
      <c r="PZT42" s="1046">
        <f>PZT38+((PZT40+'NF - 5 Power Mix'!PZT14+'NF - 5 Power Mix'!PZT15)*860/10)+((('Form Sa1'!PZW835)*860)/10)+('Form Sa1'!PZW814*'Form Sa1'!PZW816/10)-'NF - 5 Power Mix'!PZT21-'NF - 5 Power Mix'!PZT22</f>
        <v>0</v>
      </c>
      <c r="PZU42" s="1046">
        <f>PZU38+((PZU40+'NF - 5 Power Mix'!PZU14+'NF - 5 Power Mix'!PZU15)*860/10)+((('Form Sa1'!PZX835)*860)/10)+('Form Sa1'!PZX814*'Form Sa1'!PZX816/10)-'NF - 5 Power Mix'!PZU21-'NF - 5 Power Mix'!PZU22</f>
        <v>0</v>
      </c>
      <c r="PZV42" s="1046">
        <f>PZV38+((PZV40+'NF - 5 Power Mix'!PZV14+'NF - 5 Power Mix'!PZV15)*860/10)+((('Form Sa1'!PZY835)*860)/10)+('Form Sa1'!PZY814*'Form Sa1'!PZY816/10)-'NF - 5 Power Mix'!PZV21-'NF - 5 Power Mix'!PZV22</f>
        <v>0</v>
      </c>
      <c r="PZW42" s="1046">
        <f>PZW38+((PZW40+'NF - 5 Power Mix'!PZW14+'NF - 5 Power Mix'!PZW15)*860/10)+((('Form Sa1'!PZZ835)*860)/10)+('Form Sa1'!PZZ814*'Form Sa1'!PZZ816/10)-'NF - 5 Power Mix'!PZW21-'NF - 5 Power Mix'!PZW22</f>
        <v>0</v>
      </c>
      <c r="PZX42" s="1046">
        <f>PZX38+((PZX40+'NF - 5 Power Mix'!PZX14+'NF - 5 Power Mix'!PZX15)*860/10)+((('Form Sa1'!QAA835)*860)/10)+('Form Sa1'!QAA814*'Form Sa1'!QAA816/10)-'NF - 5 Power Mix'!PZX21-'NF - 5 Power Mix'!PZX22</f>
        <v>0</v>
      </c>
      <c r="PZY42" s="1046">
        <f>PZY38+((PZY40+'NF - 5 Power Mix'!PZY14+'NF - 5 Power Mix'!PZY15)*860/10)+((('Form Sa1'!QAB835)*860)/10)+('Form Sa1'!QAB814*'Form Sa1'!QAB816/10)-'NF - 5 Power Mix'!PZY21-'NF - 5 Power Mix'!PZY22</f>
        <v>0</v>
      </c>
      <c r="PZZ42" s="1046">
        <f>PZZ38+((PZZ40+'NF - 5 Power Mix'!PZZ14+'NF - 5 Power Mix'!PZZ15)*860/10)+((('Form Sa1'!QAC835)*860)/10)+('Form Sa1'!QAC814*'Form Sa1'!QAC816/10)-'NF - 5 Power Mix'!PZZ21-'NF - 5 Power Mix'!PZZ22</f>
        <v>0</v>
      </c>
      <c r="QAA42" s="1046">
        <f>QAA38+((QAA40+'NF - 5 Power Mix'!QAA14+'NF - 5 Power Mix'!QAA15)*860/10)+((('Form Sa1'!QAD835)*860)/10)+('Form Sa1'!QAD814*'Form Sa1'!QAD816/10)-'NF - 5 Power Mix'!QAA21-'NF - 5 Power Mix'!QAA22</f>
        <v>0</v>
      </c>
      <c r="QAB42" s="1046">
        <f>QAB38+((QAB40+'NF - 5 Power Mix'!QAB14+'NF - 5 Power Mix'!QAB15)*860/10)+((('Form Sa1'!QAE835)*860)/10)+('Form Sa1'!QAE814*'Form Sa1'!QAE816/10)-'NF - 5 Power Mix'!QAB21-'NF - 5 Power Mix'!QAB22</f>
        <v>0</v>
      </c>
      <c r="QAC42" s="1046">
        <f>QAC38+((QAC40+'NF - 5 Power Mix'!QAC14+'NF - 5 Power Mix'!QAC15)*860/10)+((('Form Sa1'!QAF835)*860)/10)+('Form Sa1'!QAF814*'Form Sa1'!QAF816/10)-'NF - 5 Power Mix'!QAC21-'NF - 5 Power Mix'!QAC22</f>
        <v>0</v>
      </c>
      <c r="QAD42" s="1046">
        <f>QAD38+((QAD40+'NF - 5 Power Mix'!QAD14+'NF - 5 Power Mix'!QAD15)*860/10)+((('Form Sa1'!QAG835)*860)/10)+('Form Sa1'!QAG814*'Form Sa1'!QAG816/10)-'NF - 5 Power Mix'!QAD21-'NF - 5 Power Mix'!QAD22</f>
        <v>0</v>
      </c>
      <c r="QAE42" s="1046">
        <f>QAE38+((QAE40+'NF - 5 Power Mix'!QAE14+'NF - 5 Power Mix'!QAE15)*860/10)+((('Form Sa1'!QAH835)*860)/10)+('Form Sa1'!QAH814*'Form Sa1'!QAH816/10)-'NF - 5 Power Mix'!QAE21-'NF - 5 Power Mix'!QAE22</f>
        <v>0</v>
      </c>
      <c r="QAF42" s="1046">
        <f>QAF38+((QAF40+'NF - 5 Power Mix'!QAF14+'NF - 5 Power Mix'!QAF15)*860/10)+((('Form Sa1'!QAI835)*860)/10)+('Form Sa1'!QAI814*'Form Sa1'!QAI816/10)-'NF - 5 Power Mix'!QAF21-'NF - 5 Power Mix'!QAF22</f>
        <v>0</v>
      </c>
      <c r="QAG42" s="1046">
        <f>QAG38+((QAG40+'NF - 5 Power Mix'!QAG14+'NF - 5 Power Mix'!QAG15)*860/10)+((('Form Sa1'!QAJ835)*860)/10)+('Form Sa1'!QAJ814*'Form Sa1'!QAJ816/10)-'NF - 5 Power Mix'!QAG21-'NF - 5 Power Mix'!QAG22</f>
        <v>0</v>
      </c>
      <c r="QAH42" s="1046">
        <f>QAH38+((QAH40+'NF - 5 Power Mix'!QAH14+'NF - 5 Power Mix'!QAH15)*860/10)+((('Form Sa1'!QAK835)*860)/10)+('Form Sa1'!QAK814*'Form Sa1'!QAK816/10)-'NF - 5 Power Mix'!QAH21-'NF - 5 Power Mix'!QAH22</f>
        <v>0</v>
      </c>
      <c r="QAI42" s="1046">
        <f>QAI38+((QAI40+'NF - 5 Power Mix'!QAI14+'NF - 5 Power Mix'!QAI15)*860/10)+((('Form Sa1'!QAL835)*860)/10)+('Form Sa1'!QAL814*'Form Sa1'!QAL816/10)-'NF - 5 Power Mix'!QAI21-'NF - 5 Power Mix'!QAI22</f>
        <v>0</v>
      </c>
      <c r="QAJ42" s="1046">
        <f>QAJ38+((QAJ40+'NF - 5 Power Mix'!QAJ14+'NF - 5 Power Mix'!QAJ15)*860/10)+((('Form Sa1'!QAM835)*860)/10)+('Form Sa1'!QAM814*'Form Sa1'!QAM816/10)-'NF - 5 Power Mix'!QAJ21-'NF - 5 Power Mix'!QAJ22</f>
        <v>0</v>
      </c>
      <c r="QAK42" s="1046">
        <f>QAK38+((QAK40+'NF - 5 Power Mix'!QAK14+'NF - 5 Power Mix'!QAK15)*860/10)+((('Form Sa1'!QAN835)*860)/10)+('Form Sa1'!QAN814*'Form Sa1'!QAN816/10)-'NF - 5 Power Mix'!QAK21-'NF - 5 Power Mix'!QAK22</f>
        <v>0</v>
      </c>
      <c r="QAL42" s="1046">
        <f>QAL38+((QAL40+'NF - 5 Power Mix'!QAL14+'NF - 5 Power Mix'!QAL15)*860/10)+((('Form Sa1'!QAO835)*860)/10)+('Form Sa1'!QAO814*'Form Sa1'!QAO816/10)-'NF - 5 Power Mix'!QAL21-'NF - 5 Power Mix'!QAL22</f>
        <v>0</v>
      </c>
      <c r="QAM42" s="1046">
        <f>QAM38+((QAM40+'NF - 5 Power Mix'!QAM14+'NF - 5 Power Mix'!QAM15)*860/10)+((('Form Sa1'!QAP835)*860)/10)+('Form Sa1'!QAP814*'Form Sa1'!QAP816/10)-'NF - 5 Power Mix'!QAM21-'NF - 5 Power Mix'!QAM22</f>
        <v>0</v>
      </c>
      <c r="QAN42" s="1046">
        <f>QAN38+((QAN40+'NF - 5 Power Mix'!QAN14+'NF - 5 Power Mix'!QAN15)*860/10)+((('Form Sa1'!QAQ835)*860)/10)+('Form Sa1'!QAQ814*'Form Sa1'!QAQ816/10)-'NF - 5 Power Mix'!QAN21-'NF - 5 Power Mix'!QAN22</f>
        <v>0</v>
      </c>
      <c r="QAO42" s="1046">
        <f>QAO38+((QAO40+'NF - 5 Power Mix'!QAO14+'NF - 5 Power Mix'!QAO15)*860/10)+((('Form Sa1'!QAR835)*860)/10)+('Form Sa1'!QAR814*'Form Sa1'!QAR816/10)-'NF - 5 Power Mix'!QAO21-'NF - 5 Power Mix'!QAO22</f>
        <v>0</v>
      </c>
      <c r="QAP42" s="1046">
        <f>QAP38+((QAP40+'NF - 5 Power Mix'!QAP14+'NF - 5 Power Mix'!QAP15)*860/10)+((('Form Sa1'!QAS835)*860)/10)+('Form Sa1'!QAS814*'Form Sa1'!QAS816/10)-'NF - 5 Power Mix'!QAP21-'NF - 5 Power Mix'!QAP22</f>
        <v>0</v>
      </c>
      <c r="QAQ42" s="1046">
        <f>QAQ38+((QAQ40+'NF - 5 Power Mix'!QAQ14+'NF - 5 Power Mix'!QAQ15)*860/10)+((('Form Sa1'!QAT835)*860)/10)+('Form Sa1'!QAT814*'Form Sa1'!QAT816/10)-'NF - 5 Power Mix'!QAQ21-'NF - 5 Power Mix'!QAQ22</f>
        <v>0</v>
      </c>
      <c r="QAR42" s="1046">
        <f>QAR38+((QAR40+'NF - 5 Power Mix'!QAR14+'NF - 5 Power Mix'!QAR15)*860/10)+((('Form Sa1'!QAU835)*860)/10)+('Form Sa1'!QAU814*'Form Sa1'!QAU816/10)-'NF - 5 Power Mix'!QAR21-'NF - 5 Power Mix'!QAR22</f>
        <v>0</v>
      </c>
      <c r="QAS42" s="1046">
        <f>QAS38+((QAS40+'NF - 5 Power Mix'!QAS14+'NF - 5 Power Mix'!QAS15)*860/10)+((('Form Sa1'!QAV835)*860)/10)+('Form Sa1'!QAV814*'Form Sa1'!QAV816/10)-'NF - 5 Power Mix'!QAS21-'NF - 5 Power Mix'!QAS22</f>
        <v>0</v>
      </c>
      <c r="QAT42" s="1046">
        <f>QAT38+((QAT40+'NF - 5 Power Mix'!QAT14+'NF - 5 Power Mix'!QAT15)*860/10)+((('Form Sa1'!QAW835)*860)/10)+('Form Sa1'!QAW814*'Form Sa1'!QAW816/10)-'NF - 5 Power Mix'!QAT21-'NF - 5 Power Mix'!QAT22</f>
        <v>0</v>
      </c>
      <c r="QAU42" s="1046">
        <f>QAU38+((QAU40+'NF - 5 Power Mix'!QAU14+'NF - 5 Power Mix'!QAU15)*860/10)+((('Form Sa1'!QAX835)*860)/10)+('Form Sa1'!QAX814*'Form Sa1'!QAX816/10)-'NF - 5 Power Mix'!QAU21-'NF - 5 Power Mix'!QAU22</f>
        <v>0</v>
      </c>
      <c r="QAV42" s="1046">
        <f>QAV38+((QAV40+'NF - 5 Power Mix'!QAV14+'NF - 5 Power Mix'!QAV15)*860/10)+((('Form Sa1'!QAY835)*860)/10)+('Form Sa1'!QAY814*'Form Sa1'!QAY816/10)-'NF - 5 Power Mix'!QAV21-'NF - 5 Power Mix'!QAV22</f>
        <v>0</v>
      </c>
      <c r="QAW42" s="1046">
        <f>QAW38+((QAW40+'NF - 5 Power Mix'!QAW14+'NF - 5 Power Mix'!QAW15)*860/10)+((('Form Sa1'!QAZ835)*860)/10)+('Form Sa1'!QAZ814*'Form Sa1'!QAZ816/10)-'NF - 5 Power Mix'!QAW21-'NF - 5 Power Mix'!QAW22</f>
        <v>0</v>
      </c>
      <c r="QAX42" s="1046">
        <f>QAX38+((QAX40+'NF - 5 Power Mix'!QAX14+'NF - 5 Power Mix'!QAX15)*860/10)+((('Form Sa1'!QBA835)*860)/10)+('Form Sa1'!QBA814*'Form Sa1'!QBA816/10)-'NF - 5 Power Mix'!QAX21-'NF - 5 Power Mix'!QAX22</f>
        <v>0</v>
      </c>
      <c r="QAY42" s="1046">
        <f>QAY38+((QAY40+'NF - 5 Power Mix'!QAY14+'NF - 5 Power Mix'!QAY15)*860/10)+((('Form Sa1'!QBB835)*860)/10)+('Form Sa1'!QBB814*'Form Sa1'!QBB816/10)-'NF - 5 Power Mix'!QAY21-'NF - 5 Power Mix'!QAY22</f>
        <v>0</v>
      </c>
      <c r="QAZ42" s="1046">
        <f>QAZ38+((QAZ40+'NF - 5 Power Mix'!QAZ14+'NF - 5 Power Mix'!QAZ15)*860/10)+((('Form Sa1'!QBC835)*860)/10)+('Form Sa1'!QBC814*'Form Sa1'!QBC816/10)-'NF - 5 Power Mix'!QAZ21-'NF - 5 Power Mix'!QAZ22</f>
        <v>0</v>
      </c>
      <c r="QBA42" s="1046">
        <f>QBA38+((QBA40+'NF - 5 Power Mix'!QBA14+'NF - 5 Power Mix'!QBA15)*860/10)+((('Form Sa1'!QBD835)*860)/10)+('Form Sa1'!QBD814*'Form Sa1'!QBD816/10)-'NF - 5 Power Mix'!QBA21-'NF - 5 Power Mix'!QBA22</f>
        <v>0</v>
      </c>
      <c r="QBB42" s="1046">
        <f>QBB38+((QBB40+'NF - 5 Power Mix'!QBB14+'NF - 5 Power Mix'!QBB15)*860/10)+((('Form Sa1'!QBE835)*860)/10)+('Form Sa1'!QBE814*'Form Sa1'!QBE816/10)-'NF - 5 Power Mix'!QBB21-'NF - 5 Power Mix'!QBB22</f>
        <v>0</v>
      </c>
      <c r="QBC42" s="1046">
        <f>QBC38+((QBC40+'NF - 5 Power Mix'!QBC14+'NF - 5 Power Mix'!QBC15)*860/10)+((('Form Sa1'!QBF835)*860)/10)+('Form Sa1'!QBF814*'Form Sa1'!QBF816/10)-'NF - 5 Power Mix'!QBC21-'NF - 5 Power Mix'!QBC22</f>
        <v>0</v>
      </c>
      <c r="QBD42" s="1046">
        <f>QBD38+((QBD40+'NF - 5 Power Mix'!QBD14+'NF - 5 Power Mix'!QBD15)*860/10)+((('Form Sa1'!QBG835)*860)/10)+('Form Sa1'!QBG814*'Form Sa1'!QBG816/10)-'NF - 5 Power Mix'!QBD21-'NF - 5 Power Mix'!QBD22</f>
        <v>0</v>
      </c>
      <c r="QBE42" s="1046">
        <f>QBE38+((QBE40+'NF - 5 Power Mix'!QBE14+'NF - 5 Power Mix'!QBE15)*860/10)+((('Form Sa1'!QBH835)*860)/10)+('Form Sa1'!QBH814*'Form Sa1'!QBH816/10)-'NF - 5 Power Mix'!QBE21-'NF - 5 Power Mix'!QBE22</f>
        <v>0</v>
      </c>
      <c r="QBF42" s="1046">
        <f>QBF38+((QBF40+'NF - 5 Power Mix'!QBF14+'NF - 5 Power Mix'!QBF15)*860/10)+((('Form Sa1'!QBI835)*860)/10)+('Form Sa1'!QBI814*'Form Sa1'!QBI816/10)-'NF - 5 Power Mix'!QBF21-'NF - 5 Power Mix'!QBF22</f>
        <v>0</v>
      </c>
      <c r="QBG42" s="1046">
        <f>QBG38+((QBG40+'NF - 5 Power Mix'!QBG14+'NF - 5 Power Mix'!QBG15)*860/10)+((('Form Sa1'!QBJ835)*860)/10)+('Form Sa1'!QBJ814*'Form Sa1'!QBJ816/10)-'NF - 5 Power Mix'!QBG21-'NF - 5 Power Mix'!QBG22</f>
        <v>0</v>
      </c>
      <c r="QBH42" s="1046">
        <f>QBH38+((QBH40+'NF - 5 Power Mix'!QBH14+'NF - 5 Power Mix'!QBH15)*860/10)+((('Form Sa1'!QBK835)*860)/10)+('Form Sa1'!QBK814*'Form Sa1'!QBK816/10)-'NF - 5 Power Mix'!QBH21-'NF - 5 Power Mix'!QBH22</f>
        <v>0</v>
      </c>
      <c r="QBI42" s="1046">
        <f>QBI38+((QBI40+'NF - 5 Power Mix'!QBI14+'NF - 5 Power Mix'!QBI15)*860/10)+((('Form Sa1'!QBL835)*860)/10)+('Form Sa1'!QBL814*'Form Sa1'!QBL816/10)-'NF - 5 Power Mix'!QBI21-'NF - 5 Power Mix'!QBI22</f>
        <v>0</v>
      </c>
      <c r="QBJ42" s="1046">
        <f>QBJ38+((QBJ40+'NF - 5 Power Mix'!QBJ14+'NF - 5 Power Mix'!QBJ15)*860/10)+((('Form Sa1'!QBM835)*860)/10)+('Form Sa1'!QBM814*'Form Sa1'!QBM816/10)-'NF - 5 Power Mix'!QBJ21-'NF - 5 Power Mix'!QBJ22</f>
        <v>0</v>
      </c>
      <c r="QBK42" s="1046">
        <f>QBK38+((QBK40+'NF - 5 Power Mix'!QBK14+'NF - 5 Power Mix'!QBK15)*860/10)+((('Form Sa1'!QBN835)*860)/10)+('Form Sa1'!QBN814*'Form Sa1'!QBN816/10)-'NF - 5 Power Mix'!QBK21-'NF - 5 Power Mix'!QBK22</f>
        <v>0</v>
      </c>
      <c r="QBL42" s="1046">
        <f>QBL38+((QBL40+'NF - 5 Power Mix'!QBL14+'NF - 5 Power Mix'!QBL15)*860/10)+((('Form Sa1'!QBO835)*860)/10)+('Form Sa1'!QBO814*'Form Sa1'!QBO816/10)-'NF - 5 Power Mix'!QBL21-'NF - 5 Power Mix'!QBL22</f>
        <v>0</v>
      </c>
      <c r="QBM42" s="1046">
        <f>QBM38+((QBM40+'NF - 5 Power Mix'!QBM14+'NF - 5 Power Mix'!QBM15)*860/10)+((('Form Sa1'!QBP835)*860)/10)+('Form Sa1'!QBP814*'Form Sa1'!QBP816/10)-'NF - 5 Power Mix'!QBM21-'NF - 5 Power Mix'!QBM22</f>
        <v>0</v>
      </c>
      <c r="QBN42" s="1046">
        <f>QBN38+((QBN40+'NF - 5 Power Mix'!QBN14+'NF - 5 Power Mix'!QBN15)*860/10)+((('Form Sa1'!QBQ835)*860)/10)+('Form Sa1'!QBQ814*'Form Sa1'!QBQ816/10)-'NF - 5 Power Mix'!QBN21-'NF - 5 Power Mix'!QBN22</f>
        <v>0</v>
      </c>
      <c r="QBO42" s="1046">
        <f>QBO38+((QBO40+'NF - 5 Power Mix'!QBO14+'NF - 5 Power Mix'!QBO15)*860/10)+((('Form Sa1'!QBR835)*860)/10)+('Form Sa1'!QBR814*'Form Sa1'!QBR816/10)-'NF - 5 Power Mix'!QBO21-'NF - 5 Power Mix'!QBO22</f>
        <v>0</v>
      </c>
      <c r="QBP42" s="1046">
        <f>QBP38+((QBP40+'NF - 5 Power Mix'!QBP14+'NF - 5 Power Mix'!QBP15)*860/10)+((('Form Sa1'!QBS835)*860)/10)+('Form Sa1'!QBS814*'Form Sa1'!QBS816/10)-'NF - 5 Power Mix'!QBP21-'NF - 5 Power Mix'!QBP22</f>
        <v>0</v>
      </c>
      <c r="QBQ42" s="1046">
        <f>QBQ38+((QBQ40+'NF - 5 Power Mix'!QBQ14+'NF - 5 Power Mix'!QBQ15)*860/10)+((('Form Sa1'!QBT835)*860)/10)+('Form Sa1'!QBT814*'Form Sa1'!QBT816/10)-'NF - 5 Power Mix'!QBQ21-'NF - 5 Power Mix'!QBQ22</f>
        <v>0</v>
      </c>
      <c r="QBR42" s="1046">
        <f>QBR38+((QBR40+'NF - 5 Power Mix'!QBR14+'NF - 5 Power Mix'!QBR15)*860/10)+((('Form Sa1'!QBU835)*860)/10)+('Form Sa1'!QBU814*'Form Sa1'!QBU816/10)-'NF - 5 Power Mix'!QBR21-'NF - 5 Power Mix'!QBR22</f>
        <v>0</v>
      </c>
      <c r="QBS42" s="1046">
        <f>QBS38+((QBS40+'NF - 5 Power Mix'!QBS14+'NF - 5 Power Mix'!QBS15)*860/10)+((('Form Sa1'!QBV835)*860)/10)+('Form Sa1'!QBV814*'Form Sa1'!QBV816/10)-'NF - 5 Power Mix'!QBS21-'NF - 5 Power Mix'!QBS22</f>
        <v>0</v>
      </c>
      <c r="QBT42" s="1046">
        <f>QBT38+((QBT40+'NF - 5 Power Mix'!QBT14+'NF - 5 Power Mix'!QBT15)*860/10)+((('Form Sa1'!QBW835)*860)/10)+('Form Sa1'!QBW814*'Form Sa1'!QBW816/10)-'NF - 5 Power Mix'!QBT21-'NF - 5 Power Mix'!QBT22</f>
        <v>0</v>
      </c>
      <c r="QBU42" s="1046">
        <f>QBU38+((QBU40+'NF - 5 Power Mix'!QBU14+'NF - 5 Power Mix'!QBU15)*860/10)+((('Form Sa1'!QBX835)*860)/10)+('Form Sa1'!QBX814*'Form Sa1'!QBX816/10)-'NF - 5 Power Mix'!QBU21-'NF - 5 Power Mix'!QBU22</f>
        <v>0</v>
      </c>
      <c r="QBV42" s="1046">
        <f>QBV38+((QBV40+'NF - 5 Power Mix'!QBV14+'NF - 5 Power Mix'!QBV15)*860/10)+((('Form Sa1'!QBY835)*860)/10)+('Form Sa1'!QBY814*'Form Sa1'!QBY816/10)-'NF - 5 Power Mix'!QBV21-'NF - 5 Power Mix'!QBV22</f>
        <v>0</v>
      </c>
      <c r="QBW42" s="1046">
        <f>QBW38+((QBW40+'NF - 5 Power Mix'!QBW14+'NF - 5 Power Mix'!QBW15)*860/10)+((('Form Sa1'!QBZ835)*860)/10)+('Form Sa1'!QBZ814*'Form Sa1'!QBZ816/10)-'NF - 5 Power Mix'!QBW21-'NF - 5 Power Mix'!QBW22</f>
        <v>0</v>
      </c>
      <c r="QBX42" s="1046">
        <f>QBX38+((QBX40+'NF - 5 Power Mix'!QBX14+'NF - 5 Power Mix'!QBX15)*860/10)+((('Form Sa1'!QCA835)*860)/10)+('Form Sa1'!QCA814*'Form Sa1'!QCA816/10)-'NF - 5 Power Mix'!QBX21-'NF - 5 Power Mix'!QBX22</f>
        <v>0</v>
      </c>
      <c r="QBY42" s="1046">
        <f>QBY38+((QBY40+'NF - 5 Power Mix'!QBY14+'NF - 5 Power Mix'!QBY15)*860/10)+((('Form Sa1'!QCB835)*860)/10)+('Form Sa1'!QCB814*'Form Sa1'!QCB816/10)-'NF - 5 Power Mix'!QBY21-'NF - 5 Power Mix'!QBY22</f>
        <v>0</v>
      </c>
      <c r="QBZ42" s="1046">
        <f>QBZ38+((QBZ40+'NF - 5 Power Mix'!QBZ14+'NF - 5 Power Mix'!QBZ15)*860/10)+((('Form Sa1'!QCC835)*860)/10)+('Form Sa1'!QCC814*'Form Sa1'!QCC816/10)-'NF - 5 Power Mix'!QBZ21-'NF - 5 Power Mix'!QBZ22</f>
        <v>0</v>
      </c>
      <c r="QCA42" s="1046">
        <f>QCA38+((QCA40+'NF - 5 Power Mix'!QCA14+'NF - 5 Power Mix'!QCA15)*860/10)+((('Form Sa1'!QCD835)*860)/10)+('Form Sa1'!QCD814*'Form Sa1'!QCD816/10)-'NF - 5 Power Mix'!QCA21-'NF - 5 Power Mix'!QCA22</f>
        <v>0</v>
      </c>
      <c r="QCB42" s="1046">
        <f>QCB38+((QCB40+'NF - 5 Power Mix'!QCB14+'NF - 5 Power Mix'!QCB15)*860/10)+((('Form Sa1'!QCE835)*860)/10)+('Form Sa1'!QCE814*'Form Sa1'!QCE816/10)-'NF - 5 Power Mix'!QCB21-'NF - 5 Power Mix'!QCB22</f>
        <v>0</v>
      </c>
      <c r="QCC42" s="1046">
        <f>QCC38+((QCC40+'NF - 5 Power Mix'!QCC14+'NF - 5 Power Mix'!QCC15)*860/10)+((('Form Sa1'!QCF835)*860)/10)+('Form Sa1'!QCF814*'Form Sa1'!QCF816/10)-'NF - 5 Power Mix'!QCC21-'NF - 5 Power Mix'!QCC22</f>
        <v>0</v>
      </c>
      <c r="QCD42" s="1046">
        <f>QCD38+((QCD40+'NF - 5 Power Mix'!QCD14+'NF - 5 Power Mix'!QCD15)*860/10)+((('Form Sa1'!QCG835)*860)/10)+('Form Sa1'!QCG814*'Form Sa1'!QCG816/10)-'NF - 5 Power Mix'!QCD21-'NF - 5 Power Mix'!QCD22</f>
        <v>0</v>
      </c>
      <c r="QCE42" s="1046">
        <f>QCE38+((QCE40+'NF - 5 Power Mix'!QCE14+'NF - 5 Power Mix'!QCE15)*860/10)+((('Form Sa1'!QCH835)*860)/10)+('Form Sa1'!QCH814*'Form Sa1'!QCH816/10)-'NF - 5 Power Mix'!QCE21-'NF - 5 Power Mix'!QCE22</f>
        <v>0</v>
      </c>
      <c r="QCF42" s="1046">
        <f>QCF38+((QCF40+'NF - 5 Power Mix'!QCF14+'NF - 5 Power Mix'!QCF15)*860/10)+((('Form Sa1'!QCI835)*860)/10)+('Form Sa1'!QCI814*'Form Sa1'!QCI816/10)-'NF - 5 Power Mix'!QCF21-'NF - 5 Power Mix'!QCF22</f>
        <v>0</v>
      </c>
      <c r="QCG42" s="1046">
        <f>QCG38+((QCG40+'NF - 5 Power Mix'!QCG14+'NF - 5 Power Mix'!QCG15)*860/10)+((('Form Sa1'!QCJ835)*860)/10)+('Form Sa1'!QCJ814*'Form Sa1'!QCJ816/10)-'NF - 5 Power Mix'!QCG21-'NF - 5 Power Mix'!QCG22</f>
        <v>0</v>
      </c>
      <c r="QCH42" s="1046">
        <f>QCH38+((QCH40+'NF - 5 Power Mix'!QCH14+'NF - 5 Power Mix'!QCH15)*860/10)+((('Form Sa1'!QCK835)*860)/10)+('Form Sa1'!QCK814*'Form Sa1'!QCK816/10)-'NF - 5 Power Mix'!QCH21-'NF - 5 Power Mix'!QCH22</f>
        <v>0</v>
      </c>
      <c r="QCI42" s="1046">
        <f>QCI38+((QCI40+'NF - 5 Power Mix'!QCI14+'NF - 5 Power Mix'!QCI15)*860/10)+((('Form Sa1'!QCL835)*860)/10)+('Form Sa1'!QCL814*'Form Sa1'!QCL816/10)-'NF - 5 Power Mix'!QCI21-'NF - 5 Power Mix'!QCI22</f>
        <v>0</v>
      </c>
      <c r="QCJ42" s="1046">
        <f>QCJ38+((QCJ40+'NF - 5 Power Mix'!QCJ14+'NF - 5 Power Mix'!QCJ15)*860/10)+((('Form Sa1'!QCM835)*860)/10)+('Form Sa1'!QCM814*'Form Sa1'!QCM816/10)-'NF - 5 Power Mix'!QCJ21-'NF - 5 Power Mix'!QCJ22</f>
        <v>0</v>
      </c>
      <c r="QCK42" s="1046">
        <f>QCK38+((QCK40+'NF - 5 Power Mix'!QCK14+'NF - 5 Power Mix'!QCK15)*860/10)+((('Form Sa1'!QCN835)*860)/10)+('Form Sa1'!QCN814*'Form Sa1'!QCN816/10)-'NF - 5 Power Mix'!QCK21-'NF - 5 Power Mix'!QCK22</f>
        <v>0</v>
      </c>
      <c r="QCL42" s="1046">
        <f>QCL38+((QCL40+'NF - 5 Power Mix'!QCL14+'NF - 5 Power Mix'!QCL15)*860/10)+((('Form Sa1'!QCO835)*860)/10)+('Form Sa1'!QCO814*'Form Sa1'!QCO816/10)-'NF - 5 Power Mix'!QCL21-'NF - 5 Power Mix'!QCL22</f>
        <v>0</v>
      </c>
      <c r="QCM42" s="1046">
        <f>QCM38+((QCM40+'NF - 5 Power Mix'!QCM14+'NF - 5 Power Mix'!QCM15)*860/10)+((('Form Sa1'!QCP835)*860)/10)+('Form Sa1'!QCP814*'Form Sa1'!QCP816/10)-'NF - 5 Power Mix'!QCM21-'NF - 5 Power Mix'!QCM22</f>
        <v>0</v>
      </c>
      <c r="QCN42" s="1046">
        <f>QCN38+((QCN40+'NF - 5 Power Mix'!QCN14+'NF - 5 Power Mix'!QCN15)*860/10)+((('Form Sa1'!QCQ835)*860)/10)+('Form Sa1'!QCQ814*'Form Sa1'!QCQ816/10)-'NF - 5 Power Mix'!QCN21-'NF - 5 Power Mix'!QCN22</f>
        <v>0</v>
      </c>
      <c r="QCO42" s="1046">
        <f>QCO38+((QCO40+'NF - 5 Power Mix'!QCO14+'NF - 5 Power Mix'!QCO15)*860/10)+((('Form Sa1'!QCR835)*860)/10)+('Form Sa1'!QCR814*'Form Sa1'!QCR816/10)-'NF - 5 Power Mix'!QCO21-'NF - 5 Power Mix'!QCO22</f>
        <v>0</v>
      </c>
      <c r="QCP42" s="1046">
        <f>QCP38+((QCP40+'NF - 5 Power Mix'!QCP14+'NF - 5 Power Mix'!QCP15)*860/10)+((('Form Sa1'!QCS835)*860)/10)+('Form Sa1'!QCS814*'Form Sa1'!QCS816/10)-'NF - 5 Power Mix'!QCP21-'NF - 5 Power Mix'!QCP22</f>
        <v>0</v>
      </c>
      <c r="QCQ42" s="1046">
        <f>QCQ38+((QCQ40+'NF - 5 Power Mix'!QCQ14+'NF - 5 Power Mix'!QCQ15)*860/10)+((('Form Sa1'!QCT835)*860)/10)+('Form Sa1'!QCT814*'Form Sa1'!QCT816/10)-'NF - 5 Power Mix'!QCQ21-'NF - 5 Power Mix'!QCQ22</f>
        <v>0</v>
      </c>
      <c r="QCR42" s="1046">
        <f>QCR38+((QCR40+'NF - 5 Power Mix'!QCR14+'NF - 5 Power Mix'!QCR15)*860/10)+((('Form Sa1'!QCU835)*860)/10)+('Form Sa1'!QCU814*'Form Sa1'!QCU816/10)-'NF - 5 Power Mix'!QCR21-'NF - 5 Power Mix'!QCR22</f>
        <v>0</v>
      </c>
      <c r="QCS42" s="1046">
        <f>QCS38+((QCS40+'NF - 5 Power Mix'!QCS14+'NF - 5 Power Mix'!QCS15)*860/10)+((('Form Sa1'!QCV835)*860)/10)+('Form Sa1'!QCV814*'Form Sa1'!QCV816/10)-'NF - 5 Power Mix'!QCS21-'NF - 5 Power Mix'!QCS22</f>
        <v>0</v>
      </c>
      <c r="QCT42" s="1046">
        <f>QCT38+((QCT40+'NF - 5 Power Mix'!QCT14+'NF - 5 Power Mix'!QCT15)*860/10)+((('Form Sa1'!QCW835)*860)/10)+('Form Sa1'!QCW814*'Form Sa1'!QCW816/10)-'NF - 5 Power Mix'!QCT21-'NF - 5 Power Mix'!QCT22</f>
        <v>0</v>
      </c>
      <c r="QCU42" s="1046">
        <f>QCU38+((QCU40+'NF - 5 Power Mix'!QCU14+'NF - 5 Power Mix'!QCU15)*860/10)+((('Form Sa1'!QCX835)*860)/10)+('Form Sa1'!QCX814*'Form Sa1'!QCX816/10)-'NF - 5 Power Mix'!QCU21-'NF - 5 Power Mix'!QCU22</f>
        <v>0</v>
      </c>
      <c r="QCV42" s="1046">
        <f>QCV38+((QCV40+'NF - 5 Power Mix'!QCV14+'NF - 5 Power Mix'!QCV15)*860/10)+((('Form Sa1'!QCY835)*860)/10)+('Form Sa1'!QCY814*'Form Sa1'!QCY816/10)-'NF - 5 Power Mix'!QCV21-'NF - 5 Power Mix'!QCV22</f>
        <v>0</v>
      </c>
      <c r="QCW42" s="1046">
        <f>QCW38+((QCW40+'NF - 5 Power Mix'!QCW14+'NF - 5 Power Mix'!QCW15)*860/10)+((('Form Sa1'!QCZ835)*860)/10)+('Form Sa1'!QCZ814*'Form Sa1'!QCZ816/10)-'NF - 5 Power Mix'!QCW21-'NF - 5 Power Mix'!QCW22</f>
        <v>0</v>
      </c>
      <c r="QCX42" s="1046">
        <f>QCX38+((QCX40+'NF - 5 Power Mix'!QCX14+'NF - 5 Power Mix'!QCX15)*860/10)+((('Form Sa1'!QDA835)*860)/10)+('Form Sa1'!QDA814*'Form Sa1'!QDA816/10)-'NF - 5 Power Mix'!QCX21-'NF - 5 Power Mix'!QCX22</f>
        <v>0</v>
      </c>
      <c r="QCY42" s="1046">
        <f>QCY38+((QCY40+'NF - 5 Power Mix'!QCY14+'NF - 5 Power Mix'!QCY15)*860/10)+((('Form Sa1'!QDB835)*860)/10)+('Form Sa1'!QDB814*'Form Sa1'!QDB816/10)-'NF - 5 Power Mix'!QCY21-'NF - 5 Power Mix'!QCY22</f>
        <v>0</v>
      </c>
      <c r="QCZ42" s="1046">
        <f>QCZ38+((QCZ40+'NF - 5 Power Mix'!QCZ14+'NF - 5 Power Mix'!QCZ15)*860/10)+((('Form Sa1'!QDC835)*860)/10)+('Form Sa1'!QDC814*'Form Sa1'!QDC816/10)-'NF - 5 Power Mix'!QCZ21-'NF - 5 Power Mix'!QCZ22</f>
        <v>0</v>
      </c>
      <c r="QDA42" s="1046">
        <f>QDA38+((QDA40+'NF - 5 Power Mix'!QDA14+'NF - 5 Power Mix'!QDA15)*860/10)+((('Form Sa1'!QDD835)*860)/10)+('Form Sa1'!QDD814*'Form Sa1'!QDD816/10)-'NF - 5 Power Mix'!QDA21-'NF - 5 Power Mix'!QDA22</f>
        <v>0</v>
      </c>
      <c r="QDB42" s="1046">
        <f>QDB38+((QDB40+'NF - 5 Power Mix'!QDB14+'NF - 5 Power Mix'!QDB15)*860/10)+((('Form Sa1'!QDE835)*860)/10)+('Form Sa1'!QDE814*'Form Sa1'!QDE816/10)-'NF - 5 Power Mix'!QDB21-'NF - 5 Power Mix'!QDB22</f>
        <v>0</v>
      </c>
      <c r="QDC42" s="1046">
        <f>QDC38+((QDC40+'NF - 5 Power Mix'!QDC14+'NF - 5 Power Mix'!QDC15)*860/10)+((('Form Sa1'!QDF835)*860)/10)+('Form Sa1'!QDF814*'Form Sa1'!QDF816/10)-'NF - 5 Power Mix'!QDC21-'NF - 5 Power Mix'!QDC22</f>
        <v>0</v>
      </c>
      <c r="QDD42" s="1046">
        <f>QDD38+((QDD40+'NF - 5 Power Mix'!QDD14+'NF - 5 Power Mix'!QDD15)*860/10)+((('Form Sa1'!QDG835)*860)/10)+('Form Sa1'!QDG814*'Form Sa1'!QDG816/10)-'NF - 5 Power Mix'!QDD21-'NF - 5 Power Mix'!QDD22</f>
        <v>0</v>
      </c>
      <c r="QDE42" s="1046">
        <f>QDE38+((QDE40+'NF - 5 Power Mix'!QDE14+'NF - 5 Power Mix'!QDE15)*860/10)+((('Form Sa1'!QDH835)*860)/10)+('Form Sa1'!QDH814*'Form Sa1'!QDH816/10)-'NF - 5 Power Mix'!QDE21-'NF - 5 Power Mix'!QDE22</f>
        <v>0</v>
      </c>
      <c r="QDF42" s="1046">
        <f>QDF38+((QDF40+'NF - 5 Power Mix'!QDF14+'NF - 5 Power Mix'!QDF15)*860/10)+((('Form Sa1'!QDI835)*860)/10)+('Form Sa1'!QDI814*'Form Sa1'!QDI816/10)-'NF - 5 Power Mix'!QDF21-'NF - 5 Power Mix'!QDF22</f>
        <v>0</v>
      </c>
      <c r="QDG42" s="1046">
        <f>QDG38+((QDG40+'NF - 5 Power Mix'!QDG14+'NF - 5 Power Mix'!QDG15)*860/10)+((('Form Sa1'!QDJ835)*860)/10)+('Form Sa1'!QDJ814*'Form Sa1'!QDJ816/10)-'NF - 5 Power Mix'!QDG21-'NF - 5 Power Mix'!QDG22</f>
        <v>0</v>
      </c>
      <c r="QDH42" s="1046">
        <f>QDH38+((QDH40+'NF - 5 Power Mix'!QDH14+'NF - 5 Power Mix'!QDH15)*860/10)+((('Form Sa1'!QDK835)*860)/10)+('Form Sa1'!QDK814*'Form Sa1'!QDK816/10)-'NF - 5 Power Mix'!QDH21-'NF - 5 Power Mix'!QDH22</f>
        <v>0</v>
      </c>
      <c r="QDI42" s="1046">
        <f>QDI38+((QDI40+'NF - 5 Power Mix'!QDI14+'NF - 5 Power Mix'!QDI15)*860/10)+((('Form Sa1'!QDL835)*860)/10)+('Form Sa1'!QDL814*'Form Sa1'!QDL816/10)-'NF - 5 Power Mix'!QDI21-'NF - 5 Power Mix'!QDI22</f>
        <v>0</v>
      </c>
      <c r="QDJ42" s="1046">
        <f>QDJ38+((QDJ40+'NF - 5 Power Mix'!QDJ14+'NF - 5 Power Mix'!QDJ15)*860/10)+((('Form Sa1'!QDM835)*860)/10)+('Form Sa1'!QDM814*'Form Sa1'!QDM816/10)-'NF - 5 Power Mix'!QDJ21-'NF - 5 Power Mix'!QDJ22</f>
        <v>0</v>
      </c>
      <c r="QDK42" s="1046">
        <f>QDK38+((QDK40+'NF - 5 Power Mix'!QDK14+'NF - 5 Power Mix'!QDK15)*860/10)+((('Form Sa1'!QDN835)*860)/10)+('Form Sa1'!QDN814*'Form Sa1'!QDN816/10)-'NF - 5 Power Mix'!QDK21-'NF - 5 Power Mix'!QDK22</f>
        <v>0</v>
      </c>
      <c r="QDL42" s="1046">
        <f>QDL38+((QDL40+'NF - 5 Power Mix'!QDL14+'NF - 5 Power Mix'!QDL15)*860/10)+((('Form Sa1'!QDO835)*860)/10)+('Form Sa1'!QDO814*'Form Sa1'!QDO816/10)-'NF - 5 Power Mix'!QDL21-'NF - 5 Power Mix'!QDL22</f>
        <v>0</v>
      </c>
      <c r="QDM42" s="1046">
        <f>QDM38+((QDM40+'NF - 5 Power Mix'!QDM14+'NF - 5 Power Mix'!QDM15)*860/10)+((('Form Sa1'!QDP835)*860)/10)+('Form Sa1'!QDP814*'Form Sa1'!QDP816/10)-'NF - 5 Power Mix'!QDM21-'NF - 5 Power Mix'!QDM22</f>
        <v>0</v>
      </c>
      <c r="QDN42" s="1046">
        <f>QDN38+((QDN40+'NF - 5 Power Mix'!QDN14+'NF - 5 Power Mix'!QDN15)*860/10)+((('Form Sa1'!QDQ835)*860)/10)+('Form Sa1'!QDQ814*'Form Sa1'!QDQ816/10)-'NF - 5 Power Mix'!QDN21-'NF - 5 Power Mix'!QDN22</f>
        <v>0</v>
      </c>
      <c r="QDO42" s="1046">
        <f>QDO38+((QDO40+'NF - 5 Power Mix'!QDO14+'NF - 5 Power Mix'!QDO15)*860/10)+((('Form Sa1'!QDR835)*860)/10)+('Form Sa1'!QDR814*'Form Sa1'!QDR816/10)-'NF - 5 Power Mix'!QDO21-'NF - 5 Power Mix'!QDO22</f>
        <v>0</v>
      </c>
      <c r="QDP42" s="1046">
        <f>QDP38+((QDP40+'NF - 5 Power Mix'!QDP14+'NF - 5 Power Mix'!QDP15)*860/10)+((('Form Sa1'!QDS835)*860)/10)+('Form Sa1'!QDS814*'Form Sa1'!QDS816/10)-'NF - 5 Power Mix'!QDP21-'NF - 5 Power Mix'!QDP22</f>
        <v>0</v>
      </c>
      <c r="QDQ42" s="1046">
        <f>QDQ38+((QDQ40+'NF - 5 Power Mix'!QDQ14+'NF - 5 Power Mix'!QDQ15)*860/10)+((('Form Sa1'!QDT835)*860)/10)+('Form Sa1'!QDT814*'Form Sa1'!QDT816/10)-'NF - 5 Power Mix'!QDQ21-'NF - 5 Power Mix'!QDQ22</f>
        <v>0</v>
      </c>
      <c r="QDR42" s="1046">
        <f>QDR38+((QDR40+'NF - 5 Power Mix'!QDR14+'NF - 5 Power Mix'!QDR15)*860/10)+((('Form Sa1'!QDU835)*860)/10)+('Form Sa1'!QDU814*'Form Sa1'!QDU816/10)-'NF - 5 Power Mix'!QDR21-'NF - 5 Power Mix'!QDR22</f>
        <v>0</v>
      </c>
      <c r="QDS42" s="1046">
        <f>QDS38+((QDS40+'NF - 5 Power Mix'!QDS14+'NF - 5 Power Mix'!QDS15)*860/10)+((('Form Sa1'!QDV835)*860)/10)+('Form Sa1'!QDV814*'Form Sa1'!QDV816/10)-'NF - 5 Power Mix'!QDS21-'NF - 5 Power Mix'!QDS22</f>
        <v>0</v>
      </c>
      <c r="QDT42" s="1046">
        <f>QDT38+((QDT40+'NF - 5 Power Mix'!QDT14+'NF - 5 Power Mix'!QDT15)*860/10)+((('Form Sa1'!QDW835)*860)/10)+('Form Sa1'!QDW814*'Form Sa1'!QDW816/10)-'NF - 5 Power Mix'!QDT21-'NF - 5 Power Mix'!QDT22</f>
        <v>0</v>
      </c>
      <c r="QDU42" s="1046">
        <f>QDU38+((QDU40+'NF - 5 Power Mix'!QDU14+'NF - 5 Power Mix'!QDU15)*860/10)+((('Form Sa1'!QDX835)*860)/10)+('Form Sa1'!QDX814*'Form Sa1'!QDX816/10)-'NF - 5 Power Mix'!QDU21-'NF - 5 Power Mix'!QDU22</f>
        <v>0</v>
      </c>
      <c r="QDV42" s="1046">
        <f>QDV38+((QDV40+'NF - 5 Power Mix'!QDV14+'NF - 5 Power Mix'!QDV15)*860/10)+((('Form Sa1'!QDY835)*860)/10)+('Form Sa1'!QDY814*'Form Sa1'!QDY816/10)-'NF - 5 Power Mix'!QDV21-'NF - 5 Power Mix'!QDV22</f>
        <v>0</v>
      </c>
      <c r="QDW42" s="1046">
        <f>QDW38+((QDW40+'NF - 5 Power Mix'!QDW14+'NF - 5 Power Mix'!QDW15)*860/10)+((('Form Sa1'!QDZ835)*860)/10)+('Form Sa1'!QDZ814*'Form Sa1'!QDZ816/10)-'NF - 5 Power Mix'!QDW21-'NF - 5 Power Mix'!QDW22</f>
        <v>0</v>
      </c>
      <c r="QDX42" s="1046">
        <f>QDX38+((QDX40+'NF - 5 Power Mix'!QDX14+'NF - 5 Power Mix'!QDX15)*860/10)+((('Form Sa1'!QEA835)*860)/10)+('Form Sa1'!QEA814*'Form Sa1'!QEA816/10)-'NF - 5 Power Mix'!QDX21-'NF - 5 Power Mix'!QDX22</f>
        <v>0</v>
      </c>
      <c r="QDY42" s="1046">
        <f>QDY38+((QDY40+'NF - 5 Power Mix'!QDY14+'NF - 5 Power Mix'!QDY15)*860/10)+((('Form Sa1'!QEB835)*860)/10)+('Form Sa1'!QEB814*'Form Sa1'!QEB816/10)-'NF - 5 Power Mix'!QDY21-'NF - 5 Power Mix'!QDY22</f>
        <v>0</v>
      </c>
      <c r="QDZ42" s="1046">
        <f>QDZ38+((QDZ40+'NF - 5 Power Mix'!QDZ14+'NF - 5 Power Mix'!QDZ15)*860/10)+((('Form Sa1'!QEC835)*860)/10)+('Form Sa1'!QEC814*'Form Sa1'!QEC816/10)-'NF - 5 Power Mix'!QDZ21-'NF - 5 Power Mix'!QDZ22</f>
        <v>0</v>
      </c>
      <c r="QEA42" s="1046">
        <f>QEA38+((QEA40+'NF - 5 Power Mix'!QEA14+'NF - 5 Power Mix'!QEA15)*860/10)+((('Form Sa1'!QED835)*860)/10)+('Form Sa1'!QED814*'Form Sa1'!QED816/10)-'NF - 5 Power Mix'!QEA21-'NF - 5 Power Mix'!QEA22</f>
        <v>0</v>
      </c>
      <c r="QEB42" s="1046">
        <f>QEB38+((QEB40+'NF - 5 Power Mix'!QEB14+'NF - 5 Power Mix'!QEB15)*860/10)+((('Form Sa1'!QEE835)*860)/10)+('Form Sa1'!QEE814*'Form Sa1'!QEE816/10)-'NF - 5 Power Mix'!QEB21-'NF - 5 Power Mix'!QEB22</f>
        <v>0</v>
      </c>
      <c r="QEC42" s="1046">
        <f>QEC38+((QEC40+'NF - 5 Power Mix'!QEC14+'NF - 5 Power Mix'!QEC15)*860/10)+((('Form Sa1'!QEF835)*860)/10)+('Form Sa1'!QEF814*'Form Sa1'!QEF816/10)-'NF - 5 Power Mix'!QEC21-'NF - 5 Power Mix'!QEC22</f>
        <v>0</v>
      </c>
      <c r="QED42" s="1046">
        <f>QED38+((QED40+'NF - 5 Power Mix'!QED14+'NF - 5 Power Mix'!QED15)*860/10)+((('Form Sa1'!QEG835)*860)/10)+('Form Sa1'!QEG814*'Form Sa1'!QEG816/10)-'NF - 5 Power Mix'!QED21-'NF - 5 Power Mix'!QED22</f>
        <v>0</v>
      </c>
      <c r="QEE42" s="1046">
        <f>QEE38+((QEE40+'NF - 5 Power Mix'!QEE14+'NF - 5 Power Mix'!QEE15)*860/10)+((('Form Sa1'!QEH835)*860)/10)+('Form Sa1'!QEH814*'Form Sa1'!QEH816/10)-'NF - 5 Power Mix'!QEE21-'NF - 5 Power Mix'!QEE22</f>
        <v>0</v>
      </c>
      <c r="QEF42" s="1046">
        <f>QEF38+((QEF40+'NF - 5 Power Mix'!QEF14+'NF - 5 Power Mix'!QEF15)*860/10)+((('Form Sa1'!QEI835)*860)/10)+('Form Sa1'!QEI814*'Form Sa1'!QEI816/10)-'NF - 5 Power Mix'!QEF21-'NF - 5 Power Mix'!QEF22</f>
        <v>0</v>
      </c>
      <c r="QEG42" s="1046">
        <f>QEG38+((QEG40+'NF - 5 Power Mix'!QEG14+'NF - 5 Power Mix'!QEG15)*860/10)+((('Form Sa1'!QEJ835)*860)/10)+('Form Sa1'!QEJ814*'Form Sa1'!QEJ816/10)-'NF - 5 Power Mix'!QEG21-'NF - 5 Power Mix'!QEG22</f>
        <v>0</v>
      </c>
      <c r="QEH42" s="1046">
        <f>QEH38+((QEH40+'NF - 5 Power Mix'!QEH14+'NF - 5 Power Mix'!QEH15)*860/10)+((('Form Sa1'!QEK835)*860)/10)+('Form Sa1'!QEK814*'Form Sa1'!QEK816/10)-'NF - 5 Power Mix'!QEH21-'NF - 5 Power Mix'!QEH22</f>
        <v>0</v>
      </c>
      <c r="QEI42" s="1046">
        <f>QEI38+((QEI40+'NF - 5 Power Mix'!QEI14+'NF - 5 Power Mix'!QEI15)*860/10)+((('Form Sa1'!QEL835)*860)/10)+('Form Sa1'!QEL814*'Form Sa1'!QEL816/10)-'NF - 5 Power Mix'!QEI21-'NF - 5 Power Mix'!QEI22</f>
        <v>0</v>
      </c>
      <c r="QEJ42" s="1046">
        <f>QEJ38+((QEJ40+'NF - 5 Power Mix'!QEJ14+'NF - 5 Power Mix'!QEJ15)*860/10)+((('Form Sa1'!QEM835)*860)/10)+('Form Sa1'!QEM814*'Form Sa1'!QEM816/10)-'NF - 5 Power Mix'!QEJ21-'NF - 5 Power Mix'!QEJ22</f>
        <v>0</v>
      </c>
      <c r="QEK42" s="1046">
        <f>QEK38+((QEK40+'NF - 5 Power Mix'!QEK14+'NF - 5 Power Mix'!QEK15)*860/10)+((('Form Sa1'!QEN835)*860)/10)+('Form Sa1'!QEN814*'Form Sa1'!QEN816/10)-'NF - 5 Power Mix'!QEK21-'NF - 5 Power Mix'!QEK22</f>
        <v>0</v>
      </c>
      <c r="QEL42" s="1046">
        <f>QEL38+((QEL40+'NF - 5 Power Mix'!QEL14+'NF - 5 Power Mix'!QEL15)*860/10)+((('Form Sa1'!QEO835)*860)/10)+('Form Sa1'!QEO814*'Form Sa1'!QEO816/10)-'NF - 5 Power Mix'!QEL21-'NF - 5 Power Mix'!QEL22</f>
        <v>0</v>
      </c>
      <c r="QEM42" s="1046">
        <f>QEM38+((QEM40+'NF - 5 Power Mix'!QEM14+'NF - 5 Power Mix'!QEM15)*860/10)+((('Form Sa1'!QEP835)*860)/10)+('Form Sa1'!QEP814*'Form Sa1'!QEP816/10)-'NF - 5 Power Mix'!QEM21-'NF - 5 Power Mix'!QEM22</f>
        <v>0</v>
      </c>
      <c r="QEN42" s="1046">
        <f>QEN38+((QEN40+'NF - 5 Power Mix'!QEN14+'NF - 5 Power Mix'!QEN15)*860/10)+((('Form Sa1'!QEQ835)*860)/10)+('Form Sa1'!QEQ814*'Form Sa1'!QEQ816/10)-'NF - 5 Power Mix'!QEN21-'NF - 5 Power Mix'!QEN22</f>
        <v>0</v>
      </c>
      <c r="QEO42" s="1046">
        <f>QEO38+((QEO40+'NF - 5 Power Mix'!QEO14+'NF - 5 Power Mix'!QEO15)*860/10)+((('Form Sa1'!QER835)*860)/10)+('Form Sa1'!QER814*'Form Sa1'!QER816/10)-'NF - 5 Power Mix'!QEO21-'NF - 5 Power Mix'!QEO22</f>
        <v>0</v>
      </c>
      <c r="QEP42" s="1046">
        <f>QEP38+((QEP40+'NF - 5 Power Mix'!QEP14+'NF - 5 Power Mix'!QEP15)*860/10)+((('Form Sa1'!QES835)*860)/10)+('Form Sa1'!QES814*'Form Sa1'!QES816/10)-'NF - 5 Power Mix'!QEP21-'NF - 5 Power Mix'!QEP22</f>
        <v>0</v>
      </c>
      <c r="QEQ42" s="1046">
        <f>QEQ38+((QEQ40+'NF - 5 Power Mix'!QEQ14+'NF - 5 Power Mix'!QEQ15)*860/10)+((('Form Sa1'!QET835)*860)/10)+('Form Sa1'!QET814*'Form Sa1'!QET816/10)-'NF - 5 Power Mix'!QEQ21-'NF - 5 Power Mix'!QEQ22</f>
        <v>0</v>
      </c>
      <c r="QER42" s="1046">
        <f>QER38+((QER40+'NF - 5 Power Mix'!QER14+'NF - 5 Power Mix'!QER15)*860/10)+((('Form Sa1'!QEU835)*860)/10)+('Form Sa1'!QEU814*'Form Sa1'!QEU816/10)-'NF - 5 Power Mix'!QER21-'NF - 5 Power Mix'!QER22</f>
        <v>0</v>
      </c>
      <c r="QES42" s="1046">
        <f>QES38+((QES40+'NF - 5 Power Mix'!QES14+'NF - 5 Power Mix'!QES15)*860/10)+((('Form Sa1'!QEV835)*860)/10)+('Form Sa1'!QEV814*'Form Sa1'!QEV816/10)-'NF - 5 Power Mix'!QES21-'NF - 5 Power Mix'!QES22</f>
        <v>0</v>
      </c>
      <c r="QET42" s="1046">
        <f>QET38+((QET40+'NF - 5 Power Mix'!QET14+'NF - 5 Power Mix'!QET15)*860/10)+((('Form Sa1'!QEW835)*860)/10)+('Form Sa1'!QEW814*'Form Sa1'!QEW816/10)-'NF - 5 Power Mix'!QET21-'NF - 5 Power Mix'!QET22</f>
        <v>0</v>
      </c>
      <c r="QEU42" s="1046">
        <f>QEU38+((QEU40+'NF - 5 Power Mix'!QEU14+'NF - 5 Power Mix'!QEU15)*860/10)+((('Form Sa1'!QEX835)*860)/10)+('Form Sa1'!QEX814*'Form Sa1'!QEX816/10)-'NF - 5 Power Mix'!QEU21-'NF - 5 Power Mix'!QEU22</f>
        <v>0</v>
      </c>
      <c r="QEV42" s="1046">
        <f>QEV38+((QEV40+'NF - 5 Power Mix'!QEV14+'NF - 5 Power Mix'!QEV15)*860/10)+((('Form Sa1'!QEY835)*860)/10)+('Form Sa1'!QEY814*'Form Sa1'!QEY816/10)-'NF - 5 Power Mix'!QEV21-'NF - 5 Power Mix'!QEV22</f>
        <v>0</v>
      </c>
      <c r="QEW42" s="1046">
        <f>QEW38+((QEW40+'NF - 5 Power Mix'!QEW14+'NF - 5 Power Mix'!QEW15)*860/10)+((('Form Sa1'!QEZ835)*860)/10)+('Form Sa1'!QEZ814*'Form Sa1'!QEZ816/10)-'NF - 5 Power Mix'!QEW21-'NF - 5 Power Mix'!QEW22</f>
        <v>0</v>
      </c>
      <c r="QEX42" s="1046">
        <f>QEX38+((QEX40+'NF - 5 Power Mix'!QEX14+'NF - 5 Power Mix'!QEX15)*860/10)+((('Form Sa1'!QFA835)*860)/10)+('Form Sa1'!QFA814*'Form Sa1'!QFA816/10)-'NF - 5 Power Mix'!QEX21-'NF - 5 Power Mix'!QEX22</f>
        <v>0</v>
      </c>
      <c r="QEY42" s="1046">
        <f>QEY38+((QEY40+'NF - 5 Power Mix'!QEY14+'NF - 5 Power Mix'!QEY15)*860/10)+((('Form Sa1'!QFB835)*860)/10)+('Form Sa1'!QFB814*'Form Sa1'!QFB816/10)-'NF - 5 Power Mix'!QEY21-'NF - 5 Power Mix'!QEY22</f>
        <v>0</v>
      </c>
      <c r="QEZ42" s="1046">
        <f>QEZ38+((QEZ40+'NF - 5 Power Mix'!QEZ14+'NF - 5 Power Mix'!QEZ15)*860/10)+((('Form Sa1'!QFC835)*860)/10)+('Form Sa1'!QFC814*'Form Sa1'!QFC816/10)-'NF - 5 Power Mix'!QEZ21-'NF - 5 Power Mix'!QEZ22</f>
        <v>0</v>
      </c>
      <c r="QFA42" s="1046">
        <f>QFA38+((QFA40+'NF - 5 Power Mix'!QFA14+'NF - 5 Power Mix'!QFA15)*860/10)+((('Form Sa1'!QFD835)*860)/10)+('Form Sa1'!QFD814*'Form Sa1'!QFD816/10)-'NF - 5 Power Mix'!QFA21-'NF - 5 Power Mix'!QFA22</f>
        <v>0</v>
      </c>
      <c r="QFB42" s="1046">
        <f>QFB38+((QFB40+'NF - 5 Power Mix'!QFB14+'NF - 5 Power Mix'!QFB15)*860/10)+((('Form Sa1'!QFE835)*860)/10)+('Form Sa1'!QFE814*'Form Sa1'!QFE816/10)-'NF - 5 Power Mix'!QFB21-'NF - 5 Power Mix'!QFB22</f>
        <v>0</v>
      </c>
      <c r="QFC42" s="1046">
        <f>QFC38+((QFC40+'NF - 5 Power Mix'!QFC14+'NF - 5 Power Mix'!QFC15)*860/10)+((('Form Sa1'!QFF835)*860)/10)+('Form Sa1'!QFF814*'Form Sa1'!QFF816/10)-'NF - 5 Power Mix'!QFC21-'NF - 5 Power Mix'!QFC22</f>
        <v>0</v>
      </c>
      <c r="QFD42" s="1046">
        <f>QFD38+((QFD40+'NF - 5 Power Mix'!QFD14+'NF - 5 Power Mix'!QFD15)*860/10)+((('Form Sa1'!QFG835)*860)/10)+('Form Sa1'!QFG814*'Form Sa1'!QFG816/10)-'NF - 5 Power Mix'!QFD21-'NF - 5 Power Mix'!QFD22</f>
        <v>0</v>
      </c>
      <c r="QFE42" s="1046">
        <f>QFE38+((QFE40+'NF - 5 Power Mix'!QFE14+'NF - 5 Power Mix'!QFE15)*860/10)+((('Form Sa1'!QFH835)*860)/10)+('Form Sa1'!QFH814*'Form Sa1'!QFH816/10)-'NF - 5 Power Mix'!QFE21-'NF - 5 Power Mix'!QFE22</f>
        <v>0</v>
      </c>
      <c r="QFF42" s="1046">
        <f>QFF38+((QFF40+'NF - 5 Power Mix'!QFF14+'NF - 5 Power Mix'!QFF15)*860/10)+((('Form Sa1'!QFI835)*860)/10)+('Form Sa1'!QFI814*'Form Sa1'!QFI816/10)-'NF - 5 Power Mix'!QFF21-'NF - 5 Power Mix'!QFF22</f>
        <v>0</v>
      </c>
      <c r="QFG42" s="1046">
        <f>QFG38+((QFG40+'NF - 5 Power Mix'!QFG14+'NF - 5 Power Mix'!QFG15)*860/10)+((('Form Sa1'!QFJ835)*860)/10)+('Form Sa1'!QFJ814*'Form Sa1'!QFJ816/10)-'NF - 5 Power Mix'!QFG21-'NF - 5 Power Mix'!QFG22</f>
        <v>0</v>
      </c>
      <c r="QFH42" s="1046">
        <f>QFH38+((QFH40+'NF - 5 Power Mix'!QFH14+'NF - 5 Power Mix'!QFH15)*860/10)+((('Form Sa1'!QFK835)*860)/10)+('Form Sa1'!QFK814*'Form Sa1'!QFK816/10)-'NF - 5 Power Mix'!QFH21-'NF - 5 Power Mix'!QFH22</f>
        <v>0</v>
      </c>
      <c r="QFI42" s="1046">
        <f>QFI38+((QFI40+'NF - 5 Power Mix'!QFI14+'NF - 5 Power Mix'!QFI15)*860/10)+((('Form Sa1'!QFL835)*860)/10)+('Form Sa1'!QFL814*'Form Sa1'!QFL816/10)-'NF - 5 Power Mix'!QFI21-'NF - 5 Power Mix'!QFI22</f>
        <v>0</v>
      </c>
      <c r="QFJ42" s="1046">
        <f>QFJ38+((QFJ40+'NF - 5 Power Mix'!QFJ14+'NF - 5 Power Mix'!QFJ15)*860/10)+((('Form Sa1'!QFM835)*860)/10)+('Form Sa1'!QFM814*'Form Sa1'!QFM816/10)-'NF - 5 Power Mix'!QFJ21-'NF - 5 Power Mix'!QFJ22</f>
        <v>0</v>
      </c>
      <c r="QFK42" s="1046">
        <f>QFK38+((QFK40+'NF - 5 Power Mix'!QFK14+'NF - 5 Power Mix'!QFK15)*860/10)+((('Form Sa1'!QFN835)*860)/10)+('Form Sa1'!QFN814*'Form Sa1'!QFN816/10)-'NF - 5 Power Mix'!QFK21-'NF - 5 Power Mix'!QFK22</f>
        <v>0</v>
      </c>
      <c r="QFL42" s="1046">
        <f>QFL38+((QFL40+'NF - 5 Power Mix'!QFL14+'NF - 5 Power Mix'!QFL15)*860/10)+((('Form Sa1'!QFO835)*860)/10)+('Form Sa1'!QFO814*'Form Sa1'!QFO816/10)-'NF - 5 Power Mix'!QFL21-'NF - 5 Power Mix'!QFL22</f>
        <v>0</v>
      </c>
      <c r="QFM42" s="1046">
        <f>QFM38+((QFM40+'NF - 5 Power Mix'!QFM14+'NF - 5 Power Mix'!QFM15)*860/10)+((('Form Sa1'!QFP835)*860)/10)+('Form Sa1'!QFP814*'Form Sa1'!QFP816/10)-'NF - 5 Power Mix'!QFM21-'NF - 5 Power Mix'!QFM22</f>
        <v>0</v>
      </c>
      <c r="QFN42" s="1046">
        <f>QFN38+((QFN40+'NF - 5 Power Mix'!QFN14+'NF - 5 Power Mix'!QFN15)*860/10)+((('Form Sa1'!QFQ835)*860)/10)+('Form Sa1'!QFQ814*'Form Sa1'!QFQ816/10)-'NF - 5 Power Mix'!QFN21-'NF - 5 Power Mix'!QFN22</f>
        <v>0</v>
      </c>
      <c r="QFO42" s="1046">
        <f>QFO38+((QFO40+'NF - 5 Power Mix'!QFO14+'NF - 5 Power Mix'!QFO15)*860/10)+((('Form Sa1'!QFR835)*860)/10)+('Form Sa1'!QFR814*'Form Sa1'!QFR816/10)-'NF - 5 Power Mix'!QFO21-'NF - 5 Power Mix'!QFO22</f>
        <v>0</v>
      </c>
      <c r="QFP42" s="1046">
        <f>QFP38+((QFP40+'NF - 5 Power Mix'!QFP14+'NF - 5 Power Mix'!QFP15)*860/10)+((('Form Sa1'!QFS835)*860)/10)+('Form Sa1'!QFS814*'Form Sa1'!QFS816/10)-'NF - 5 Power Mix'!QFP21-'NF - 5 Power Mix'!QFP22</f>
        <v>0</v>
      </c>
      <c r="QFQ42" s="1046">
        <f>QFQ38+((QFQ40+'NF - 5 Power Mix'!QFQ14+'NF - 5 Power Mix'!QFQ15)*860/10)+((('Form Sa1'!QFT835)*860)/10)+('Form Sa1'!QFT814*'Form Sa1'!QFT816/10)-'NF - 5 Power Mix'!QFQ21-'NF - 5 Power Mix'!QFQ22</f>
        <v>0</v>
      </c>
      <c r="QFR42" s="1046">
        <f>QFR38+((QFR40+'NF - 5 Power Mix'!QFR14+'NF - 5 Power Mix'!QFR15)*860/10)+((('Form Sa1'!QFU835)*860)/10)+('Form Sa1'!QFU814*'Form Sa1'!QFU816/10)-'NF - 5 Power Mix'!QFR21-'NF - 5 Power Mix'!QFR22</f>
        <v>0</v>
      </c>
      <c r="QFS42" s="1046">
        <f>QFS38+((QFS40+'NF - 5 Power Mix'!QFS14+'NF - 5 Power Mix'!QFS15)*860/10)+((('Form Sa1'!QFV835)*860)/10)+('Form Sa1'!QFV814*'Form Sa1'!QFV816/10)-'NF - 5 Power Mix'!QFS21-'NF - 5 Power Mix'!QFS22</f>
        <v>0</v>
      </c>
      <c r="QFT42" s="1046">
        <f>QFT38+((QFT40+'NF - 5 Power Mix'!QFT14+'NF - 5 Power Mix'!QFT15)*860/10)+((('Form Sa1'!QFW835)*860)/10)+('Form Sa1'!QFW814*'Form Sa1'!QFW816/10)-'NF - 5 Power Mix'!QFT21-'NF - 5 Power Mix'!QFT22</f>
        <v>0</v>
      </c>
      <c r="QFU42" s="1046">
        <f>QFU38+((QFU40+'NF - 5 Power Mix'!QFU14+'NF - 5 Power Mix'!QFU15)*860/10)+((('Form Sa1'!QFX835)*860)/10)+('Form Sa1'!QFX814*'Form Sa1'!QFX816/10)-'NF - 5 Power Mix'!QFU21-'NF - 5 Power Mix'!QFU22</f>
        <v>0</v>
      </c>
      <c r="QFV42" s="1046">
        <f>QFV38+((QFV40+'NF - 5 Power Mix'!QFV14+'NF - 5 Power Mix'!QFV15)*860/10)+((('Form Sa1'!QFY835)*860)/10)+('Form Sa1'!QFY814*'Form Sa1'!QFY816/10)-'NF - 5 Power Mix'!QFV21-'NF - 5 Power Mix'!QFV22</f>
        <v>0</v>
      </c>
      <c r="QFW42" s="1046">
        <f>QFW38+((QFW40+'NF - 5 Power Mix'!QFW14+'NF - 5 Power Mix'!QFW15)*860/10)+((('Form Sa1'!QFZ835)*860)/10)+('Form Sa1'!QFZ814*'Form Sa1'!QFZ816/10)-'NF - 5 Power Mix'!QFW21-'NF - 5 Power Mix'!QFW22</f>
        <v>0</v>
      </c>
      <c r="QFX42" s="1046">
        <f>QFX38+((QFX40+'NF - 5 Power Mix'!QFX14+'NF - 5 Power Mix'!QFX15)*860/10)+((('Form Sa1'!QGA835)*860)/10)+('Form Sa1'!QGA814*'Form Sa1'!QGA816/10)-'NF - 5 Power Mix'!QFX21-'NF - 5 Power Mix'!QFX22</f>
        <v>0</v>
      </c>
      <c r="QFY42" s="1046">
        <f>QFY38+((QFY40+'NF - 5 Power Mix'!QFY14+'NF - 5 Power Mix'!QFY15)*860/10)+((('Form Sa1'!QGB835)*860)/10)+('Form Sa1'!QGB814*'Form Sa1'!QGB816/10)-'NF - 5 Power Mix'!QFY21-'NF - 5 Power Mix'!QFY22</f>
        <v>0</v>
      </c>
      <c r="QFZ42" s="1046">
        <f>QFZ38+((QFZ40+'NF - 5 Power Mix'!QFZ14+'NF - 5 Power Mix'!QFZ15)*860/10)+((('Form Sa1'!QGC835)*860)/10)+('Form Sa1'!QGC814*'Form Sa1'!QGC816/10)-'NF - 5 Power Mix'!QFZ21-'NF - 5 Power Mix'!QFZ22</f>
        <v>0</v>
      </c>
      <c r="QGA42" s="1046">
        <f>QGA38+((QGA40+'NF - 5 Power Mix'!QGA14+'NF - 5 Power Mix'!QGA15)*860/10)+((('Form Sa1'!QGD835)*860)/10)+('Form Sa1'!QGD814*'Form Sa1'!QGD816/10)-'NF - 5 Power Mix'!QGA21-'NF - 5 Power Mix'!QGA22</f>
        <v>0</v>
      </c>
      <c r="QGB42" s="1046">
        <f>QGB38+((QGB40+'NF - 5 Power Mix'!QGB14+'NF - 5 Power Mix'!QGB15)*860/10)+((('Form Sa1'!QGE835)*860)/10)+('Form Sa1'!QGE814*'Form Sa1'!QGE816/10)-'NF - 5 Power Mix'!QGB21-'NF - 5 Power Mix'!QGB22</f>
        <v>0</v>
      </c>
      <c r="QGC42" s="1046">
        <f>QGC38+((QGC40+'NF - 5 Power Mix'!QGC14+'NF - 5 Power Mix'!QGC15)*860/10)+((('Form Sa1'!QGF835)*860)/10)+('Form Sa1'!QGF814*'Form Sa1'!QGF816/10)-'NF - 5 Power Mix'!QGC21-'NF - 5 Power Mix'!QGC22</f>
        <v>0</v>
      </c>
      <c r="QGD42" s="1046">
        <f>QGD38+((QGD40+'NF - 5 Power Mix'!QGD14+'NF - 5 Power Mix'!QGD15)*860/10)+((('Form Sa1'!QGG835)*860)/10)+('Form Sa1'!QGG814*'Form Sa1'!QGG816/10)-'NF - 5 Power Mix'!QGD21-'NF - 5 Power Mix'!QGD22</f>
        <v>0</v>
      </c>
      <c r="QGE42" s="1046">
        <f>QGE38+((QGE40+'NF - 5 Power Mix'!QGE14+'NF - 5 Power Mix'!QGE15)*860/10)+((('Form Sa1'!QGH835)*860)/10)+('Form Sa1'!QGH814*'Form Sa1'!QGH816/10)-'NF - 5 Power Mix'!QGE21-'NF - 5 Power Mix'!QGE22</f>
        <v>0</v>
      </c>
      <c r="QGF42" s="1046">
        <f>QGF38+((QGF40+'NF - 5 Power Mix'!QGF14+'NF - 5 Power Mix'!QGF15)*860/10)+((('Form Sa1'!QGI835)*860)/10)+('Form Sa1'!QGI814*'Form Sa1'!QGI816/10)-'NF - 5 Power Mix'!QGF21-'NF - 5 Power Mix'!QGF22</f>
        <v>0</v>
      </c>
      <c r="QGG42" s="1046">
        <f>QGG38+((QGG40+'NF - 5 Power Mix'!QGG14+'NF - 5 Power Mix'!QGG15)*860/10)+((('Form Sa1'!QGJ835)*860)/10)+('Form Sa1'!QGJ814*'Form Sa1'!QGJ816/10)-'NF - 5 Power Mix'!QGG21-'NF - 5 Power Mix'!QGG22</f>
        <v>0</v>
      </c>
      <c r="QGH42" s="1046">
        <f>QGH38+((QGH40+'NF - 5 Power Mix'!QGH14+'NF - 5 Power Mix'!QGH15)*860/10)+((('Form Sa1'!QGK835)*860)/10)+('Form Sa1'!QGK814*'Form Sa1'!QGK816/10)-'NF - 5 Power Mix'!QGH21-'NF - 5 Power Mix'!QGH22</f>
        <v>0</v>
      </c>
      <c r="QGI42" s="1046">
        <f>QGI38+((QGI40+'NF - 5 Power Mix'!QGI14+'NF - 5 Power Mix'!QGI15)*860/10)+((('Form Sa1'!QGL835)*860)/10)+('Form Sa1'!QGL814*'Form Sa1'!QGL816/10)-'NF - 5 Power Mix'!QGI21-'NF - 5 Power Mix'!QGI22</f>
        <v>0</v>
      </c>
      <c r="QGJ42" s="1046">
        <f>QGJ38+((QGJ40+'NF - 5 Power Mix'!QGJ14+'NF - 5 Power Mix'!QGJ15)*860/10)+((('Form Sa1'!QGM835)*860)/10)+('Form Sa1'!QGM814*'Form Sa1'!QGM816/10)-'NF - 5 Power Mix'!QGJ21-'NF - 5 Power Mix'!QGJ22</f>
        <v>0</v>
      </c>
      <c r="QGK42" s="1046">
        <f>QGK38+((QGK40+'NF - 5 Power Mix'!QGK14+'NF - 5 Power Mix'!QGK15)*860/10)+((('Form Sa1'!QGN835)*860)/10)+('Form Sa1'!QGN814*'Form Sa1'!QGN816/10)-'NF - 5 Power Mix'!QGK21-'NF - 5 Power Mix'!QGK22</f>
        <v>0</v>
      </c>
      <c r="QGL42" s="1046">
        <f>QGL38+((QGL40+'NF - 5 Power Mix'!QGL14+'NF - 5 Power Mix'!QGL15)*860/10)+((('Form Sa1'!QGO835)*860)/10)+('Form Sa1'!QGO814*'Form Sa1'!QGO816/10)-'NF - 5 Power Mix'!QGL21-'NF - 5 Power Mix'!QGL22</f>
        <v>0</v>
      </c>
      <c r="QGM42" s="1046">
        <f>QGM38+((QGM40+'NF - 5 Power Mix'!QGM14+'NF - 5 Power Mix'!QGM15)*860/10)+((('Form Sa1'!QGP835)*860)/10)+('Form Sa1'!QGP814*'Form Sa1'!QGP816/10)-'NF - 5 Power Mix'!QGM21-'NF - 5 Power Mix'!QGM22</f>
        <v>0</v>
      </c>
      <c r="QGN42" s="1046">
        <f>QGN38+((QGN40+'NF - 5 Power Mix'!QGN14+'NF - 5 Power Mix'!QGN15)*860/10)+((('Form Sa1'!QGQ835)*860)/10)+('Form Sa1'!QGQ814*'Form Sa1'!QGQ816/10)-'NF - 5 Power Mix'!QGN21-'NF - 5 Power Mix'!QGN22</f>
        <v>0</v>
      </c>
      <c r="QGO42" s="1046">
        <f>QGO38+((QGO40+'NF - 5 Power Mix'!QGO14+'NF - 5 Power Mix'!QGO15)*860/10)+((('Form Sa1'!QGR835)*860)/10)+('Form Sa1'!QGR814*'Form Sa1'!QGR816/10)-'NF - 5 Power Mix'!QGO21-'NF - 5 Power Mix'!QGO22</f>
        <v>0</v>
      </c>
      <c r="QGP42" s="1046">
        <f>QGP38+((QGP40+'NF - 5 Power Mix'!QGP14+'NF - 5 Power Mix'!QGP15)*860/10)+((('Form Sa1'!QGS835)*860)/10)+('Form Sa1'!QGS814*'Form Sa1'!QGS816/10)-'NF - 5 Power Mix'!QGP21-'NF - 5 Power Mix'!QGP22</f>
        <v>0</v>
      </c>
      <c r="QGQ42" s="1046">
        <f>QGQ38+((QGQ40+'NF - 5 Power Mix'!QGQ14+'NF - 5 Power Mix'!QGQ15)*860/10)+((('Form Sa1'!QGT835)*860)/10)+('Form Sa1'!QGT814*'Form Sa1'!QGT816/10)-'NF - 5 Power Mix'!QGQ21-'NF - 5 Power Mix'!QGQ22</f>
        <v>0</v>
      </c>
      <c r="QGR42" s="1046">
        <f>QGR38+((QGR40+'NF - 5 Power Mix'!QGR14+'NF - 5 Power Mix'!QGR15)*860/10)+((('Form Sa1'!QGU835)*860)/10)+('Form Sa1'!QGU814*'Form Sa1'!QGU816/10)-'NF - 5 Power Mix'!QGR21-'NF - 5 Power Mix'!QGR22</f>
        <v>0</v>
      </c>
      <c r="QGS42" s="1046">
        <f>QGS38+((QGS40+'NF - 5 Power Mix'!QGS14+'NF - 5 Power Mix'!QGS15)*860/10)+((('Form Sa1'!QGV835)*860)/10)+('Form Sa1'!QGV814*'Form Sa1'!QGV816/10)-'NF - 5 Power Mix'!QGS21-'NF - 5 Power Mix'!QGS22</f>
        <v>0</v>
      </c>
      <c r="QGT42" s="1046">
        <f>QGT38+((QGT40+'NF - 5 Power Mix'!QGT14+'NF - 5 Power Mix'!QGT15)*860/10)+((('Form Sa1'!QGW835)*860)/10)+('Form Sa1'!QGW814*'Form Sa1'!QGW816/10)-'NF - 5 Power Mix'!QGT21-'NF - 5 Power Mix'!QGT22</f>
        <v>0</v>
      </c>
      <c r="QGU42" s="1046">
        <f>QGU38+((QGU40+'NF - 5 Power Mix'!QGU14+'NF - 5 Power Mix'!QGU15)*860/10)+((('Form Sa1'!QGX835)*860)/10)+('Form Sa1'!QGX814*'Form Sa1'!QGX816/10)-'NF - 5 Power Mix'!QGU21-'NF - 5 Power Mix'!QGU22</f>
        <v>0</v>
      </c>
      <c r="QGV42" s="1046">
        <f>QGV38+((QGV40+'NF - 5 Power Mix'!QGV14+'NF - 5 Power Mix'!QGV15)*860/10)+((('Form Sa1'!QGY835)*860)/10)+('Form Sa1'!QGY814*'Form Sa1'!QGY816/10)-'NF - 5 Power Mix'!QGV21-'NF - 5 Power Mix'!QGV22</f>
        <v>0</v>
      </c>
      <c r="QGW42" s="1046">
        <f>QGW38+((QGW40+'NF - 5 Power Mix'!QGW14+'NF - 5 Power Mix'!QGW15)*860/10)+((('Form Sa1'!QGZ835)*860)/10)+('Form Sa1'!QGZ814*'Form Sa1'!QGZ816/10)-'NF - 5 Power Mix'!QGW21-'NF - 5 Power Mix'!QGW22</f>
        <v>0</v>
      </c>
      <c r="QGX42" s="1046">
        <f>QGX38+((QGX40+'NF - 5 Power Mix'!QGX14+'NF - 5 Power Mix'!QGX15)*860/10)+((('Form Sa1'!QHA835)*860)/10)+('Form Sa1'!QHA814*'Form Sa1'!QHA816/10)-'NF - 5 Power Mix'!QGX21-'NF - 5 Power Mix'!QGX22</f>
        <v>0</v>
      </c>
      <c r="QGY42" s="1046">
        <f>QGY38+((QGY40+'NF - 5 Power Mix'!QGY14+'NF - 5 Power Mix'!QGY15)*860/10)+((('Form Sa1'!QHB835)*860)/10)+('Form Sa1'!QHB814*'Form Sa1'!QHB816/10)-'NF - 5 Power Mix'!QGY21-'NF - 5 Power Mix'!QGY22</f>
        <v>0</v>
      </c>
      <c r="QGZ42" s="1046">
        <f>QGZ38+((QGZ40+'NF - 5 Power Mix'!QGZ14+'NF - 5 Power Mix'!QGZ15)*860/10)+((('Form Sa1'!QHC835)*860)/10)+('Form Sa1'!QHC814*'Form Sa1'!QHC816/10)-'NF - 5 Power Mix'!QGZ21-'NF - 5 Power Mix'!QGZ22</f>
        <v>0</v>
      </c>
      <c r="QHA42" s="1046">
        <f>QHA38+((QHA40+'NF - 5 Power Mix'!QHA14+'NF - 5 Power Mix'!QHA15)*860/10)+((('Form Sa1'!QHD835)*860)/10)+('Form Sa1'!QHD814*'Form Sa1'!QHD816/10)-'NF - 5 Power Mix'!QHA21-'NF - 5 Power Mix'!QHA22</f>
        <v>0</v>
      </c>
      <c r="QHB42" s="1046">
        <f>QHB38+((QHB40+'NF - 5 Power Mix'!QHB14+'NF - 5 Power Mix'!QHB15)*860/10)+((('Form Sa1'!QHE835)*860)/10)+('Form Sa1'!QHE814*'Form Sa1'!QHE816/10)-'NF - 5 Power Mix'!QHB21-'NF - 5 Power Mix'!QHB22</f>
        <v>0</v>
      </c>
      <c r="QHC42" s="1046">
        <f>QHC38+((QHC40+'NF - 5 Power Mix'!QHC14+'NF - 5 Power Mix'!QHC15)*860/10)+((('Form Sa1'!QHF835)*860)/10)+('Form Sa1'!QHF814*'Form Sa1'!QHF816/10)-'NF - 5 Power Mix'!QHC21-'NF - 5 Power Mix'!QHC22</f>
        <v>0</v>
      </c>
      <c r="QHD42" s="1046">
        <f>QHD38+((QHD40+'NF - 5 Power Mix'!QHD14+'NF - 5 Power Mix'!QHD15)*860/10)+((('Form Sa1'!QHG835)*860)/10)+('Form Sa1'!QHG814*'Form Sa1'!QHG816/10)-'NF - 5 Power Mix'!QHD21-'NF - 5 Power Mix'!QHD22</f>
        <v>0</v>
      </c>
      <c r="QHE42" s="1046">
        <f>QHE38+((QHE40+'NF - 5 Power Mix'!QHE14+'NF - 5 Power Mix'!QHE15)*860/10)+((('Form Sa1'!QHH835)*860)/10)+('Form Sa1'!QHH814*'Form Sa1'!QHH816/10)-'NF - 5 Power Mix'!QHE21-'NF - 5 Power Mix'!QHE22</f>
        <v>0</v>
      </c>
      <c r="QHF42" s="1046">
        <f>QHF38+((QHF40+'NF - 5 Power Mix'!QHF14+'NF - 5 Power Mix'!QHF15)*860/10)+((('Form Sa1'!QHI835)*860)/10)+('Form Sa1'!QHI814*'Form Sa1'!QHI816/10)-'NF - 5 Power Mix'!QHF21-'NF - 5 Power Mix'!QHF22</f>
        <v>0</v>
      </c>
      <c r="QHG42" s="1046">
        <f>QHG38+((QHG40+'NF - 5 Power Mix'!QHG14+'NF - 5 Power Mix'!QHG15)*860/10)+((('Form Sa1'!QHJ835)*860)/10)+('Form Sa1'!QHJ814*'Form Sa1'!QHJ816/10)-'NF - 5 Power Mix'!QHG21-'NF - 5 Power Mix'!QHG22</f>
        <v>0</v>
      </c>
      <c r="QHH42" s="1046">
        <f>QHH38+((QHH40+'NF - 5 Power Mix'!QHH14+'NF - 5 Power Mix'!QHH15)*860/10)+((('Form Sa1'!QHK835)*860)/10)+('Form Sa1'!QHK814*'Form Sa1'!QHK816/10)-'NF - 5 Power Mix'!QHH21-'NF - 5 Power Mix'!QHH22</f>
        <v>0</v>
      </c>
      <c r="QHI42" s="1046">
        <f>QHI38+((QHI40+'NF - 5 Power Mix'!QHI14+'NF - 5 Power Mix'!QHI15)*860/10)+((('Form Sa1'!QHL835)*860)/10)+('Form Sa1'!QHL814*'Form Sa1'!QHL816/10)-'NF - 5 Power Mix'!QHI21-'NF - 5 Power Mix'!QHI22</f>
        <v>0</v>
      </c>
      <c r="QHJ42" s="1046">
        <f>QHJ38+((QHJ40+'NF - 5 Power Mix'!QHJ14+'NF - 5 Power Mix'!QHJ15)*860/10)+((('Form Sa1'!QHM835)*860)/10)+('Form Sa1'!QHM814*'Form Sa1'!QHM816/10)-'NF - 5 Power Mix'!QHJ21-'NF - 5 Power Mix'!QHJ22</f>
        <v>0</v>
      </c>
      <c r="QHK42" s="1046">
        <f>QHK38+((QHK40+'NF - 5 Power Mix'!QHK14+'NF - 5 Power Mix'!QHK15)*860/10)+((('Form Sa1'!QHN835)*860)/10)+('Form Sa1'!QHN814*'Form Sa1'!QHN816/10)-'NF - 5 Power Mix'!QHK21-'NF - 5 Power Mix'!QHK22</f>
        <v>0</v>
      </c>
      <c r="QHL42" s="1046">
        <f>QHL38+((QHL40+'NF - 5 Power Mix'!QHL14+'NF - 5 Power Mix'!QHL15)*860/10)+((('Form Sa1'!QHO835)*860)/10)+('Form Sa1'!QHO814*'Form Sa1'!QHO816/10)-'NF - 5 Power Mix'!QHL21-'NF - 5 Power Mix'!QHL22</f>
        <v>0</v>
      </c>
      <c r="QHM42" s="1046">
        <f>QHM38+((QHM40+'NF - 5 Power Mix'!QHM14+'NF - 5 Power Mix'!QHM15)*860/10)+((('Form Sa1'!QHP835)*860)/10)+('Form Sa1'!QHP814*'Form Sa1'!QHP816/10)-'NF - 5 Power Mix'!QHM21-'NF - 5 Power Mix'!QHM22</f>
        <v>0</v>
      </c>
      <c r="QHN42" s="1046">
        <f>QHN38+((QHN40+'NF - 5 Power Mix'!QHN14+'NF - 5 Power Mix'!QHN15)*860/10)+((('Form Sa1'!QHQ835)*860)/10)+('Form Sa1'!QHQ814*'Form Sa1'!QHQ816/10)-'NF - 5 Power Mix'!QHN21-'NF - 5 Power Mix'!QHN22</f>
        <v>0</v>
      </c>
      <c r="QHO42" s="1046">
        <f>QHO38+((QHO40+'NF - 5 Power Mix'!QHO14+'NF - 5 Power Mix'!QHO15)*860/10)+((('Form Sa1'!QHR835)*860)/10)+('Form Sa1'!QHR814*'Form Sa1'!QHR816/10)-'NF - 5 Power Mix'!QHO21-'NF - 5 Power Mix'!QHO22</f>
        <v>0</v>
      </c>
      <c r="QHP42" s="1046">
        <f>QHP38+((QHP40+'NF - 5 Power Mix'!QHP14+'NF - 5 Power Mix'!QHP15)*860/10)+((('Form Sa1'!QHS835)*860)/10)+('Form Sa1'!QHS814*'Form Sa1'!QHS816/10)-'NF - 5 Power Mix'!QHP21-'NF - 5 Power Mix'!QHP22</f>
        <v>0</v>
      </c>
      <c r="QHQ42" s="1046">
        <f>QHQ38+((QHQ40+'NF - 5 Power Mix'!QHQ14+'NF - 5 Power Mix'!QHQ15)*860/10)+((('Form Sa1'!QHT835)*860)/10)+('Form Sa1'!QHT814*'Form Sa1'!QHT816/10)-'NF - 5 Power Mix'!QHQ21-'NF - 5 Power Mix'!QHQ22</f>
        <v>0</v>
      </c>
      <c r="QHR42" s="1046">
        <f>QHR38+((QHR40+'NF - 5 Power Mix'!QHR14+'NF - 5 Power Mix'!QHR15)*860/10)+((('Form Sa1'!QHU835)*860)/10)+('Form Sa1'!QHU814*'Form Sa1'!QHU816/10)-'NF - 5 Power Mix'!QHR21-'NF - 5 Power Mix'!QHR22</f>
        <v>0</v>
      </c>
      <c r="QHS42" s="1046">
        <f>QHS38+((QHS40+'NF - 5 Power Mix'!QHS14+'NF - 5 Power Mix'!QHS15)*860/10)+((('Form Sa1'!QHV835)*860)/10)+('Form Sa1'!QHV814*'Form Sa1'!QHV816/10)-'NF - 5 Power Mix'!QHS21-'NF - 5 Power Mix'!QHS22</f>
        <v>0</v>
      </c>
      <c r="QHT42" s="1046">
        <f>QHT38+((QHT40+'NF - 5 Power Mix'!QHT14+'NF - 5 Power Mix'!QHT15)*860/10)+((('Form Sa1'!QHW835)*860)/10)+('Form Sa1'!QHW814*'Form Sa1'!QHW816/10)-'NF - 5 Power Mix'!QHT21-'NF - 5 Power Mix'!QHT22</f>
        <v>0</v>
      </c>
      <c r="QHU42" s="1046">
        <f>QHU38+((QHU40+'NF - 5 Power Mix'!QHU14+'NF - 5 Power Mix'!QHU15)*860/10)+((('Form Sa1'!QHX835)*860)/10)+('Form Sa1'!QHX814*'Form Sa1'!QHX816/10)-'NF - 5 Power Mix'!QHU21-'NF - 5 Power Mix'!QHU22</f>
        <v>0</v>
      </c>
      <c r="QHV42" s="1046">
        <f>QHV38+((QHV40+'NF - 5 Power Mix'!QHV14+'NF - 5 Power Mix'!QHV15)*860/10)+((('Form Sa1'!QHY835)*860)/10)+('Form Sa1'!QHY814*'Form Sa1'!QHY816/10)-'NF - 5 Power Mix'!QHV21-'NF - 5 Power Mix'!QHV22</f>
        <v>0</v>
      </c>
      <c r="QHW42" s="1046">
        <f>QHW38+((QHW40+'NF - 5 Power Mix'!QHW14+'NF - 5 Power Mix'!QHW15)*860/10)+((('Form Sa1'!QHZ835)*860)/10)+('Form Sa1'!QHZ814*'Form Sa1'!QHZ816/10)-'NF - 5 Power Mix'!QHW21-'NF - 5 Power Mix'!QHW22</f>
        <v>0</v>
      </c>
      <c r="QHX42" s="1046">
        <f>QHX38+((QHX40+'NF - 5 Power Mix'!QHX14+'NF - 5 Power Mix'!QHX15)*860/10)+((('Form Sa1'!QIA835)*860)/10)+('Form Sa1'!QIA814*'Form Sa1'!QIA816/10)-'NF - 5 Power Mix'!QHX21-'NF - 5 Power Mix'!QHX22</f>
        <v>0</v>
      </c>
      <c r="QHY42" s="1046">
        <f>QHY38+((QHY40+'NF - 5 Power Mix'!QHY14+'NF - 5 Power Mix'!QHY15)*860/10)+((('Form Sa1'!QIB835)*860)/10)+('Form Sa1'!QIB814*'Form Sa1'!QIB816/10)-'NF - 5 Power Mix'!QHY21-'NF - 5 Power Mix'!QHY22</f>
        <v>0</v>
      </c>
      <c r="QHZ42" s="1046">
        <f>QHZ38+((QHZ40+'NF - 5 Power Mix'!QHZ14+'NF - 5 Power Mix'!QHZ15)*860/10)+((('Form Sa1'!QIC835)*860)/10)+('Form Sa1'!QIC814*'Form Sa1'!QIC816/10)-'NF - 5 Power Mix'!QHZ21-'NF - 5 Power Mix'!QHZ22</f>
        <v>0</v>
      </c>
      <c r="QIA42" s="1046">
        <f>QIA38+((QIA40+'NF - 5 Power Mix'!QIA14+'NF - 5 Power Mix'!QIA15)*860/10)+((('Form Sa1'!QID835)*860)/10)+('Form Sa1'!QID814*'Form Sa1'!QID816/10)-'NF - 5 Power Mix'!QIA21-'NF - 5 Power Mix'!QIA22</f>
        <v>0</v>
      </c>
      <c r="QIB42" s="1046">
        <f>QIB38+((QIB40+'NF - 5 Power Mix'!QIB14+'NF - 5 Power Mix'!QIB15)*860/10)+((('Form Sa1'!QIE835)*860)/10)+('Form Sa1'!QIE814*'Form Sa1'!QIE816/10)-'NF - 5 Power Mix'!QIB21-'NF - 5 Power Mix'!QIB22</f>
        <v>0</v>
      </c>
      <c r="QIC42" s="1046">
        <f>QIC38+((QIC40+'NF - 5 Power Mix'!QIC14+'NF - 5 Power Mix'!QIC15)*860/10)+((('Form Sa1'!QIF835)*860)/10)+('Form Sa1'!QIF814*'Form Sa1'!QIF816/10)-'NF - 5 Power Mix'!QIC21-'NF - 5 Power Mix'!QIC22</f>
        <v>0</v>
      </c>
      <c r="QID42" s="1046">
        <f>QID38+((QID40+'NF - 5 Power Mix'!QID14+'NF - 5 Power Mix'!QID15)*860/10)+((('Form Sa1'!QIG835)*860)/10)+('Form Sa1'!QIG814*'Form Sa1'!QIG816/10)-'NF - 5 Power Mix'!QID21-'NF - 5 Power Mix'!QID22</f>
        <v>0</v>
      </c>
      <c r="QIE42" s="1046">
        <f>QIE38+((QIE40+'NF - 5 Power Mix'!QIE14+'NF - 5 Power Mix'!QIE15)*860/10)+((('Form Sa1'!QIH835)*860)/10)+('Form Sa1'!QIH814*'Form Sa1'!QIH816/10)-'NF - 5 Power Mix'!QIE21-'NF - 5 Power Mix'!QIE22</f>
        <v>0</v>
      </c>
      <c r="QIF42" s="1046">
        <f>QIF38+((QIF40+'NF - 5 Power Mix'!QIF14+'NF - 5 Power Mix'!QIF15)*860/10)+((('Form Sa1'!QII835)*860)/10)+('Form Sa1'!QII814*'Form Sa1'!QII816/10)-'NF - 5 Power Mix'!QIF21-'NF - 5 Power Mix'!QIF22</f>
        <v>0</v>
      </c>
      <c r="QIG42" s="1046">
        <f>QIG38+((QIG40+'NF - 5 Power Mix'!QIG14+'NF - 5 Power Mix'!QIG15)*860/10)+((('Form Sa1'!QIJ835)*860)/10)+('Form Sa1'!QIJ814*'Form Sa1'!QIJ816/10)-'NF - 5 Power Mix'!QIG21-'NF - 5 Power Mix'!QIG22</f>
        <v>0</v>
      </c>
      <c r="QIH42" s="1046">
        <f>QIH38+((QIH40+'NF - 5 Power Mix'!QIH14+'NF - 5 Power Mix'!QIH15)*860/10)+((('Form Sa1'!QIK835)*860)/10)+('Form Sa1'!QIK814*'Form Sa1'!QIK816/10)-'NF - 5 Power Mix'!QIH21-'NF - 5 Power Mix'!QIH22</f>
        <v>0</v>
      </c>
      <c r="QII42" s="1046">
        <f>QII38+((QII40+'NF - 5 Power Mix'!QII14+'NF - 5 Power Mix'!QII15)*860/10)+((('Form Sa1'!QIL835)*860)/10)+('Form Sa1'!QIL814*'Form Sa1'!QIL816/10)-'NF - 5 Power Mix'!QII21-'NF - 5 Power Mix'!QII22</f>
        <v>0</v>
      </c>
      <c r="QIJ42" s="1046">
        <f>QIJ38+((QIJ40+'NF - 5 Power Mix'!QIJ14+'NF - 5 Power Mix'!QIJ15)*860/10)+((('Form Sa1'!QIM835)*860)/10)+('Form Sa1'!QIM814*'Form Sa1'!QIM816/10)-'NF - 5 Power Mix'!QIJ21-'NF - 5 Power Mix'!QIJ22</f>
        <v>0</v>
      </c>
      <c r="QIK42" s="1046">
        <f>QIK38+((QIK40+'NF - 5 Power Mix'!QIK14+'NF - 5 Power Mix'!QIK15)*860/10)+((('Form Sa1'!QIN835)*860)/10)+('Form Sa1'!QIN814*'Form Sa1'!QIN816/10)-'NF - 5 Power Mix'!QIK21-'NF - 5 Power Mix'!QIK22</f>
        <v>0</v>
      </c>
      <c r="QIL42" s="1046">
        <f>QIL38+((QIL40+'NF - 5 Power Mix'!QIL14+'NF - 5 Power Mix'!QIL15)*860/10)+((('Form Sa1'!QIO835)*860)/10)+('Form Sa1'!QIO814*'Form Sa1'!QIO816/10)-'NF - 5 Power Mix'!QIL21-'NF - 5 Power Mix'!QIL22</f>
        <v>0</v>
      </c>
      <c r="QIM42" s="1046">
        <f>QIM38+((QIM40+'NF - 5 Power Mix'!QIM14+'NF - 5 Power Mix'!QIM15)*860/10)+((('Form Sa1'!QIP835)*860)/10)+('Form Sa1'!QIP814*'Form Sa1'!QIP816/10)-'NF - 5 Power Mix'!QIM21-'NF - 5 Power Mix'!QIM22</f>
        <v>0</v>
      </c>
      <c r="QIN42" s="1046">
        <f>QIN38+((QIN40+'NF - 5 Power Mix'!QIN14+'NF - 5 Power Mix'!QIN15)*860/10)+((('Form Sa1'!QIQ835)*860)/10)+('Form Sa1'!QIQ814*'Form Sa1'!QIQ816/10)-'NF - 5 Power Mix'!QIN21-'NF - 5 Power Mix'!QIN22</f>
        <v>0</v>
      </c>
      <c r="QIO42" s="1046">
        <f>QIO38+((QIO40+'NF - 5 Power Mix'!QIO14+'NF - 5 Power Mix'!QIO15)*860/10)+((('Form Sa1'!QIR835)*860)/10)+('Form Sa1'!QIR814*'Form Sa1'!QIR816/10)-'NF - 5 Power Mix'!QIO21-'NF - 5 Power Mix'!QIO22</f>
        <v>0</v>
      </c>
      <c r="QIP42" s="1046">
        <f>QIP38+((QIP40+'NF - 5 Power Mix'!QIP14+'NF - 5 Power Mix'!QIP15)*860/10)+((('Form Sa1'!QIS835)*860)/10)+('Form Sa1'!QIS814*'Form Sa1'!QIS816/10)-'NF - 5 Power Mix'!QIP21-'NF - 5 Power Mix'!QIP22</f>
        <v>0</v>
      </c>
      <c r="QIQ42" s="1046">
        <f>QIQ38+((QIQ40+'NF - 5 Power Mix'!QIQ14+'NF - 5 Power Mix'!QIQ15)*860/10)+((('Form Sa1'!QIT835)*860)/10)+('Form Sa1'!QIT814*'Form Sa1'!QIT816/10)-'NF - 5 Power Mix'!QIQ21-'NF - 5 Power Mix'!QIQ22</f>
        <v>0</v>
      </c>
      <c r="QIR42" s="1046">
        <f>QIR38+((QIR40+'NF - 5 Power Mix'!QIR14+'NF - 5 Power Mix'!QIR15)*860/10)+((('Form Sa1'!QIU835)*860)/10)+('Form Sa1'!QIU814*'Form Sa1'!QIU816/10)-'NF - 5 Power Mix'!QIR21-'NF - 5 Power Mix'!QIR22</f>
        <v>0</v>
      </c>
      <c r="QIS42" s="1046">
        <f>QIS38+((QIS40+'NF - 5 Power Mix'!QIS14+'NF - 5 Power Mix'!QIS15)*860/10)+((('Form Sa1'!QIV835)*860)/10)+('Form Sa1'!QIV814*'Form Sa1'!QIV816/10)-'NF - 5 Power Mix'!QIS21-'NF - 5 Power Mix'!QIS22</f>
        <v>0</v>
      </c>
      <c r="QIT42" s="1046">
        <f>QIT38+((QIT40+'NF - 5 Power Mix'!QIT14+'NF - 5 Power Mix'!QIT15)*860/10)+((('Form Sa1'!QIW835)*860)/10)+('Form Sa1'!QIW814*'Form Sa1'!QIW816/10)-'NF - 5 Power Mix'!QIT21-'NF - 5 Power Mix'!QIT22</f>
        <v>0</v>
      </c>
      <c r="QIU42" s="1046">
        <f>QIU38+((QIU40+'NF - 5 Power Mix'!QIU14+'NF - 5 Power Mix'!QIU15)*860/10)+((('Form Sa1'!QIX835)*860)/10)+('Form Sa1'!QIX814*'Form Sa1'!QIX816/10)-'NF - 5 Power Mix'!QIU21-'NF - 5 Power Mix'!QIU22</f>
        <v>0</v>
      </c>
      <c r="QIV42" s="1046">
        <f>QIV38+((QIV40+'NF - 5 Power Mix'!QIV14+'NF - 5 Power Mix'!QIV15)*860/10)+((('Form Sa1'!QIY835)*860)/10)+('Form Sa1'!QIY814*'Form Sa1'!QIY816/10)-'NF - 5 Power Mix'!QIV21-'NF - 5 Power Mix'!QIV22</f>
        <v>0</v>
      </c>
      <c r="QIW42" s="1046">
        <f>QIW38+((QIW40+'NF - 5 Power Mix'!QIW14+'NF - 5 Power Mix'!QIW15)*860/10)+((('Form Sa1'!QIZ835)*860)/10)+('Form Sa1'!QIZ814*'Form Sa1'!QIZ816/10)-'NF - 5 Power Mix'!QIW21-'NF - 5 Power Mix'!QIW22</f>
        <v>0</v>
      </c>
      <c r="QIX42" s="1046">
        <f>QIX38+((QIX40+'NF - 5 Power Mix'!QIX14+'NF - 5 Power Mix'!QIX15)*860/10)+((('Form Sa1'!QJA835)*860)/10)+('Form Sa1'!QJA814*'Form Sa1'!QJA816/10)-'NF - 5 Power Mix'!QIX21-'NF - 5 Power Mix'!QIX22</f>
        <v>0</v>
      </c>
      <c r="QIY42" s="1046">
        <f>QIY38+((QIY40+'NF - 5 Power Mix'!QIY14+'NF - 5 Power Mix'!QIY15)*860/10)+((('Form Sa1'!QJB835)*860)/10)+('Form Sa1'!QJB814*'Form Sa1'!QJB816/10)-'NF - 5 Power Mix'!QIY21-'NF - 5 Power Mix'!QIY22</f>
        <v>0</v>
      </c>
      <c r="QIZ42" s="1046">
        <f>QIZ38+((QIZ40+'NF - 5 Power Mix'!QIZ14+'NF - 5 Power Mix'!QIZ15)*860/10)+((('Form Sa1'!QJC835)*860)/10)+('Form Sa1'!QJC814*'Form Sa1'!QJC816/10)-'NF - 5 Power Mix'!QIZ21-'NF - 5 Power Mix'!QIZ22</f>
        <v>0</v>
      </c>
      <c r="QJA42" s="1046">
        <f>QJA38+((QJA40+'NF - 5 Power Mix'!QJA14+'NF - 5 Power Mix'!QJA15)*860/10)+((('Form Sa1'!QJD835)*860)/10)+('Form Sa1'!QJD814*'Form Sa1'!QJD816/10)-'NF - 5 Power Mix'!QJA21-'NF - 5 Power Mix'!QJA22</f>
        <v>0</v>
      </c>
      <c r="QJB42" s="1046">
        <f>QJB38+((QJB40+'NF - 5 Power Mix'!QJB14+'NF - 5 Power Mix'!QJB15)*860/10)+((('Form Sa1'!QJE835)*860)/10)+('Form Sa1'!QJE814*'Form Sa1'!QJE816/10)-'NF - 5 Power Mix'!QJB21-'NF - 5 Power Mix'!QJB22</f>
        <v>0</v>
      </c>
      <c r="QJC42" s="1046">
        <f>QJC38+((QJC40+'NF - 5 Power Mix'!QJC14+'NF - 5 Power Mix'!QJC15)*860/10)+((('Form Sa1'!QJF835)*860)/10)+('Form Sa1'!QJF814*'Form Sa1'!QJF816/10)-'NF - 5 Power Mix'!QJC21-'NF - 5 Power Mix'!QJC22</f>
        <v>0</v>
      </c>
      <c r="QJD42" s="1046">
        <f>QJD38+((QJD40+'NF - 5 Power Mix'!QJD14+'NF - 5 Power Mix'!QJD15)*860/10)+((('Form Sa1'!QJG835)*860)/10)+('Form Sa1'!QJG814*'Form Sa1'!QJG816/10)-'NF - 5 Power Mix'!QJD21-'NF - 5 Power Mix'!QJD22</f>
        <v>0</v>
      </c>
      <c r="QJE42" s="1046">
        <f>QJE38+((QJE40+'NF - 5 Power Mix'!QJE14+'NF - 5 Power Mix'!QJE15)*860/10)+((('Form Sa1'!QJH835)*860)/10)+('Form Sa1'!QJH814*'Form Sa1'!QJH816/10)-'NF - 5 Power Mix'!QJE21-'NF - 5 Power Mix'!QJE22</f>
        <v>0</v>
      </c>
      <c r="QJF42" s="1046">
        <f>QJF38+((QJF40+'NF - 5 Power Mix'!QJF14+'NF - 5 Power Mix'!QJF15)*860/10)+((('Form Sa1'!QJI835)*860)/10)+('Form Sa1'!QJI814*'Form Sa1'!QJI816/10)-'NF - 5 Power Mix'!QJF21-'NF - 5 Power Mix'!QJF22</f>
        <v>0</v>
      </c>
      <c r="QJG42" s="1046">
        <f>QJG38+((QJG40+'NF - 5 Power Mix'!QJG14+'NF - 5 Power Mix'!QJG15)*860/10)+((('Form Sa1'!QJJ835)*860)/10)+('Form Sa1'!QJJ814*'Form Sa1'!QJJ816/10)-'NF - 5 Power Mix'!QJG21-'NF - 5 Power Mix'!QJG22</f>
        <v>0</v>
      </c>
      <c r="QJH42" s="1046">
        <f>QJH38+((QJH40+'NF - 5 Power Mix'!QJH14+'NF - 5 Power Mix'!QJH15)*860/10)+((('Form Sa1'!QJK835)*860)/10)+('Form Sa1'!QJK814*'Form Sa1'!QJK816/10)-'NF - 5 Power Mix'!QJH21-'NF - 5 Power Mix'!QJH22</f>
        <v>0</v>
      </c>
      <c r="QJI42" s="1046">
        <f>QJI38+((QJI40+'NF - 5 Power Mix'!QJI14+'NF - 5 Power Mix'!QJI15)*860/10)+((('Form Sa1'!QJL835)*860)/10)+('Form Sa1'!QJL814*'Form Sa1'!QJL816/10)-'NF - 5 Power Mix'!QJI21-'NF - 5 Power Mix'!QJI22</f>
        <v>0</v>
      </c>
      <c r="QJJ42" s="1046">
        <f>QJJ38+((QJJ40+'NF - 5 Power Mix'!QJJ14+'NF - 5 Power Mix'!QJJ15)*860/10)+((('Form Sa1'!QJM835)*860)/10)+('Form Sa1'!QJM814*'Form Sa1'!QJM816/10)-'NF - 5 Power Mix'!QJJ21-'NF - 5 Power Mix'!QJJ22</f>
        <v>0</v>
      </c>
      <c r="QJK42" s="1046">
        <f>QJK38+((QJK40+'NF - 5 Power Mix'!QJK14+'NF - 5 Power Mix'!QJK15)*860/10)+((('Form Sa1'!QJN835)*860)/10)+('Form Sa1'!QJN814*'Form Sa1'!QJN816/10)-'NF - 5 Power Mix'!QJK21-'NF - 5 Power Mix'!QJK22</f>
        <v>0</v>
      </c>
      <c r="QJL42" s="1046">
        <f>QJL38+((QJL40+'NF - 5 Power Mix'!QJL14+'NF - 5 Power Mix'!QJL15)*860/10)+((('Form Sa1'!QJO835)*860)/10)+('Form Sa1'!QJO814*'Form Sa1'!QJO816/10)-'NF - 5 Power Mix'!QJL21-'NF - 5 Power Mix'!QJL22</f>
        <v>0</v>
      </c>
      <c r="QJM42" s="1046">
        <f>QJM38+((QJM40+'NF - 5 Power Mix'!QJM14+'NF - 5 Power Mix'!QJM15)*860/10)+((('Form Sa1'!QJP835)*860)/10)+('Form Sa1'!QJP814*'Form Sa1'!QJP816/10)-'NF - 5 Power Mix'!QJM21-'NF - 5 Power Mix'!QJM22</f>
        <v>0</v>
      </c>
      <c r="QJN42" s="1046">
        <f>QJN38+((QJN40+'NF - 5 Power Mix'!QJN14+'NF - 5 Power Mix'!QJN15)*860/10)+((('Form Sa1'!QJQ835)*860)/10)+('Form Sa1'!QJQ814*'Form Sa1'!QJQ816/10)-'NF - 5 Power Mix'!QJN21-'NF - 5 Power Mix'!QJN22</f>
        <v>0</v>
      </c>
      <c r="QJO42" s="1046">
        <f>QJO38+((QJO40+'NF - 5 Power Mix'!QJO14+'NF - 5 Power Mix'!QJO15)*860/10)+((('Form Sa1'!QJR835)*860)/10)+('Form Sa1'!QJR814*'Form Sa1'!QJR816/10)-'NF - 5 Power Mix'!QJO21-'NF - 5 Power Mix'!QJO22</f>
        <v>0</v>
      </c>
      <c r="QJP42" s="1046">
        <f>QJP38+((QJP40+'NF - 5 Power Mix'!QJP14+'NF - 5 Power Mix'!QJP15)*860/10)+((('Form Sa1'!QJS835)*860)/10)+('Form Sa1'!QJS814*'Form Sa1'!QJS816/10)-'NF - 5 Power Mix'!QJP21-'NF - 5 Power Mix'!QJP22</f>
        <v>0</v>
      </c>
      <c r="QJQ42" s="1046">
        <f>QJQ38+((QJQ40+'NF - 5 Power Mix'!QJQ14+'NF - 5 Power Mix'!QJQ15)*860/10)+((('Form Sa1'!QJT835)*860)/10)+('Form Sa1'!QJT814*'Form Sa1'!QJT816/10)-'NF - 5 Power Mix'!QJQ21-'NF - 5 Power Mix'!QJQ22</f>
        <v>0</v>
      </c>
      <c r="QJR42" s="1046">
        <f>QJR38+((QJR40+'NF - 5 Power Mix'!QJR14+'NF - 5 Power Mix'!QJR15)*860/10)+((('Form Sa1'!QJU835)*860)/10)+('Form Sa1'!QJU814*'Form Sa1'!QJU816/10)-'NF - 5 Power Mix'!QJR21-'NF - 5 Power Mix'!QJR22</f>
        <v>0</v>
      </c>
      <c r="QJS42" s="1046">
        <f>QJS38+((QJS40+'NF - 5 Power Mix'!QJS14+'NF - 5 Power Mix'!QJS15)*860/10)+((('Form Sa1'!QJV835)*860)/10)+('Form Sa1'!QJV814*'Form Sa1'!QJV816/10)-'NF - 5 Power Mix'!QJS21-'NF - 5 Power Mix'!QJS22</f>
        <v>0</v>
      </c>
      <c r="QJT42" s="1046">
        <f>QJT38+((QJT40+'NF - 5 Power Mix'!QJT14+'NF - 5 Power Mix'!QJT15)*860/10)+((('Form Sa1'!QJW835)*860)/10)+('Form Sa1'!QJW814*'Form Sa1'!QJW816/10)-'NF - 5 Power Mix'!QJT21-'NF - 5 Power Mix'!QJT22</f>
        <v>0</v>
      </c>
      <c r="QJU42" s="1046">
        <f>QJU38+((QJU40+'NF - 5 Power Mix'!QJU14+'NF - 5 Power Mix'!QJU15)*860/10)+((('Form Sa1'!QJX835)*860)/10)+('Form Sa1'!QJX814*'Form Sa1'!QJX816/10)-'NF - 5 Power Mix'!QJU21-'NF - 5 Power Mix'!QJU22</f>
        <v>0</v>
      </c>
      <c r="QJV42" s="1046">
        <f>QJV38+((QJV40+'NF - 5 Power Mix'!QJV14+'NF - 5 Power Mix'!QJV15)*860/10)+((('Form Sa1'!QJY835)*860)/10)+('Form Sa1'!QJY814*'Form Sa1'!QJY816/10)-'NF - 5 Power Mix'!QJV21-'NF - 5 Power Mix'!QJV22</f>
        <v>0</v>
      </c>
      <c r="QJW42" s="1046">
        <f>QJW38+((QJW40+'NF - 5 Power Mix'!QJW14+'NF - 5 Power Mix'!QJW15)*860/10)+((('Form Sa1'!QJZ835)*860)/10)+('Form Sa1'!QJZ814*'Form Sa1'!QJZ816/10)-'NF - 5 Power Mix'!QJW21-'NF - 5 Power Mix'!QJW22</f>
        <v>0</v>
      </c>
      <c r="QJX42" s="1046">
        <f>QJX38+((QJX40+'NF - 5 Power Mix'!QJX14+'NF - 5 Power Mix'!QJX15)*860/10)+((('Form Sa1'!QKA835)*860)/10)+('Form Sa1'!QKA814*'Form Sa1'!QKA816/10)-'NF - 5 Power Mix'!QJX21-'NF - 5 Power Mix'!QJX22</f>
        <v>0</v>
      </c>
      <c r="QJY42" s="1046">
        <f>QJY38+((QJY40+'NF - 5 Power Mix'!QJY14+'NF - 5 Power Mix'!QJY15)*860/10)+((('Form Sa1'!QKB835)*860)/10)+('Form Sa1'!QKB814*'Form Sa1'!QKB816/10)-'NF - 5 Power Mix'!QJY21-'NF - 5 Power Mix'!QJY22</f>
        <v>0</v>
      </c>
      <c r="QJZ42" s="1046">
        <f>QJZ38+((QJZ40+'NF - 5 Power Mix'!QJZ14+'NF - 5 Power Mix'!QJZ15)*860/10)+((('Form Sa1'!QKC835)*860)/10)+('Form Sa1'!QKC814*'Form Sa1'!QKC816/10)-'NF - 5 Power Mix'!QJZ21-'NF - 5 Power Mix'!QJZ22</f>
        <v>0</v>
      </c>
      <c r="QKA42" s="1046">
        <f>QKA38+((QKA40+'NF - 5 Power Mix'!QKA14+'NF - 5 Power Mix'!QKA15)*860/10)+((('Form Sa1'!QKD835)*860)/10)+('Form Sa1'!QKD814*'Form Sa1'!QKD816/10)-'NF - 5 Power Mix'!QKA21-'NF - 5 Power Mix'!QKA22</f>
        <v>0</v>
      </c>
      <c r="QKB42" s="1046">
        <f>QKB38+((QKB40+'NF - 5 Power Mix'!QKB14+'NF - 5 Power Mix'!QKB15)*860/10)+((('Form Sa1'!QKE835)*860)/10)+('Form Sa1'!QKE814*'Form Sa1'!QKE816/10)-'NF - 5 Power Mix'!QKB21-'NF - 5 Power Mix'!QKB22</f>
        <v>0</v>
      </c>
      <c r="QKC42" s="1046">
        <f>QKC38+((QKC40+'NF - 5 Power Mix'!QKC14+'NF - 5 Power Mix'!QKC15)*860/10)+((('Form Sa1'!QKF835)*860)/10)+('Form Sa1'!QKF814*'Form Sa1'!QKF816/10)-'NF - 5 Power Mix'!QKC21-'NF - 5 Power Mix'!QKC22</f>
        <v>0</v>
      </c>
      <c r="QKD42" s="1046">
        <f>QKD38+((QKD40+'NF - 5 Power Mix'!QKD14+'NF - 5 Power Mix'!QKD15)*860/10)+((('Form Sa1'!QKG835)*860)/10)+('Form Sa1'!QKG814*'Form Sa1'!QKG816/10)-'NF - 5 Power Mix'!QKD21-'NF - 5 Power Mix'!QKD22</f>
        <v>0</v>
      </c>
      <c r="QKE42" s="1046">
        <f>QKE38+((QKE40+'NF - 5 Power Mix'!QKE14+'NF - 5 Power Mix'!QKE15)*860/10)+((('Form Sa1'!QKH835)*860)/10)+('Form Sa1'!QKH814*'Form Sa1'!QKH816/10)-'NF - 5 Power Mix'!QKE21-'NF - 5 Power Mix'!QKE22</f>
        <v>0</v>
      </c>
      <c r="QKF42" s="1046">
        <f>QKF38+((QKF40+'NF - 5 Power Mix'!QKF14+'NF - 5 Power Mix'!QKF15)*860/10)+((('Form Sa1'!QKI835)*860)/10)+('Form Sa1'!QKI814*'Form Sa1'!QKI816/10)-'NF - 5 Power Mix'!QKF21-'NF - 5 Power Mix'!QKF22</f>
        <v>0</v>
      </c>
      <c r="QKG42" s="1046">
        <f>QKG38+((QKG40+'NF - 5 Power Mix'!QKG14+'NF - 5 Power Mix'!QKG15)*860/10)+((('Form Sa1'!QKJ835)*860)/10)+('Form Sa1'!QKJ814*'Form Sa1'!QKJ816/10)-'NF - 5 Power Mix'!QKG21-'NF - 5 Power Mix'!QKG22</f>
        <v>0</v>
      </c>
      <c r="QKH42" s="1046">
        <f>QKH38+((QKH40+'NF - 5 Power Mix'!QKH14+'NF - 5 Power Mix'!QKH15)*860/10)+((('Form Sa1'!QKK835)*860)/10)+('Form Sa1'!QKK814*'Form Sa1'!QKK816/10)-'NF - 5 Power Mix'!QKH21-'NF - 5 Power Mix'!QKH22</f>
        <v>0</v>
      </c>
      <c r="QKI42" s="1046">
        <f>QKI38+((QKI40+'NF - 5 Power Mix'!QKI14+'NF - 5 Power Mix'!QKI15)*860/10)+((('Form Sa1'!QKL835)*860)/10)+('Form Sa1'!QKL814*'Form Sa1'!QKL816/10)-'NF - 5 Power Mix'!QKI21-'NF - 5 Power Mix'!QKI22</f>
        <v>0</v>
      </c>
      <c r="QKJ42" s="1046">
        <f>QKJ38+((QKJ40+'NF - 5 Power Mix'!QKJ14+'NF - 5 Power Mix'!QKJ15)*860/10)+((('Form Sa1'!QKM835)*860)/10)+('Form Sa1'!QKM814*'Form Sa1'!QKM816/10)-'NF - 5 Power Mix'!QKJ21-'NF - 5 Power Mix'!QKJ22</f>
        <v>0</v>
      </c>
      <c r="QKK42" s="1046">
        <f>QKK38+((QKK40+'NF - 5 Power Mix'!QKK14+'NF - 5 Power Mix'!QKK15)*860/10)+((('Form Sa1'!QKN835)*860)/10)+('Form Sa1'!QKN814*'Form Sa1'!QKN816/10)-'NF - 5 Power Mix'!QKK21-'NF - 5 Power Mix'!QKK22</f>
        <v>0</v>
      </c>
      <c r="QKL42" s="1046">
        <f>QKL38+((QKL40+'NF - 5 Power Mix'!QKL14+'NF - 5 Power Mix'!QKL15)*860/10)+((('Form Sa1'!QKO835)*860)/10)+('Form Sa1'!QKO814*'Form Sa1'!QKO816/10)-'NF - 5 Power Mix'!QKL21-'NF - 5 Power Mix'!QKL22</f>
        <v>0</v>
      </c>
      <c r="QKM42" s="1046">
        <f>QKM38+((QKM40+'NF - 5 Power Mix'!QKM14+'NF - 5 Power Mix'!QKM15)*860/10)+((('Form Sa1'!QKP835)*860)/10)+('Form Sa1'!QKP814*'Form Sa1'!QKP816/10)-'NF - 5 Power Mix'!QKM21-'NF - 5 Power Mix'!QKM22</f>
        <v>0</v>
      </c>
      <c r="QKN42" s="1046">
        <f>QKN38+((QKN40+'NF - 5 Power Mix'!QKN14+'NF - 5 Power Mix'!QKN15)*860/10)+((('Form Sa1'!QKQ835)*860)/10)+('Form Sa1'!QKQ814*'Form Sa1'!QKQ816/10)-'NF - 5 Power Mix'!QKN21-'NF - 5 Power Mix'!QKN22</f>
        <v>0</v>
      </c>
      <c r="QKO42" s="1046">
        <f>QKO38+((QKO40+'NF - 5 Power Mix'!QKO14+'NF - 5 Power Mix'!QKO15)*860/10)+((('Form Sa1'!QKR835)*860)/10)+('Form Sa1'!QKR814*'Form Sa1'!QKR816/10)-'NF - 5 Power Mix'!QKO21-'NF - 5 Power Mix'!QKO22</f>
        <v>0</v>
      </c>
      <c r="QKP42" s="1046">
        <f>QKP38+((QKP40+'NF - 5 Power Mix'!QKP14+'NF - 5 Power Mix'!QKP15)*860/10)+((('Form Sa1'!QKS835)*860)/10)+('Form Sa1'!QKS814*'Form Sa1'!QKS816/10)-'NF - 5 Power Mix'!QKP21-'NF - 5 Power Mix'!QKP22</f>
        <v>0</v>
      </c>
      <c r="QKQ42" s="1046">
        <f>QKQ38+((QKQ40+'NF - 5 Power Mix'!QKQ14+'NF - 5 Power Mix'!QKQ15)*860/10)+((('Form Sa1'!QKT835)*860)/10)+('Form Sa1'!QKT814*'Form Sa1'!QKT816/10)-'NF - 5 Power Mix'!QKQ21-'NF - 5 Power Mix'!QKQ22</f>
        <v>0</v>
      </c>
      <c r="QKR42" s="1046">
        <f>QKR38+((QKR40+'NF - 5 Power Mix'!QKR14+'NF - 5 Power Mix'!QKR15)*860/10)+((('Form Sa1'!QKU835)*860)/10)+('Form Sa1'!QKU814*'Form Sa1'!QKU816/10)-'NF - 5 Power Mix'!QKR21-'NF - 5 Power Mix'!QKR22</f>
        <v>0</v>
      </c>
      <c r="QKS42" s="1046">
        <f>QKS38+((QKS40+'NF - 5 Power Mix'!QKS14+'NF - 5 Power Mix'!QKS15)*860/10)+((('Form Sa1'!QKV835)*860)/10)+('Form Sa1'!QKV814*'Form Sa1'!QKV816/10)-'NF - 5 Power Mix'!QKS21-'NF - 5 Power Mix'!QKS22</f>
        <v>0</v>
      </c>
      <c r="QKT42" s="1046">
        <f>QKT38+((QKT40+'NF - 5 Power Mix'!QKT14+'NF - 5 Power Mix'!QKT15)*860/10)+((('Form Sa1'!QKW835)*860)/10)+('Form Sa1'!QKW814*'Form Sa1'!QKW816/10)-'NF - 5 Power Mix'!QKT21-'NF - 5 Power Mix'!QKT22</f>
        <v>0</v>
      </c>
      <c r="QKU42" s="1046">
        <f>QKU38+((QKU40+'NF - 5 Power Mix'!QKU14+'NF - 5 Power Mix'!QKU15)*860/10)+((('Form Sa1'!QKX835)*860)/10)+('Form Sa1'!QKX814*'Form Sa1'!QKX816/10)-'NF - 5 Power Mix'!QKU21-'NF - 5 Power Mix'!QKU22</f>
        <v>0</v>
      </c>
      <c r="QKV42" s="1046">
        <f>QKV38+((QKV40+'NF - 5 Power Mix'!QKV14+'NF - 5 Power Mix'!QKV15)*860/10)+((('Form Sa1'!QKY835)*860)/10)+('Form Sa1'!QKY814*'Form Sa1'!QKY816/10)-'NF - 5 Power Mix'!QKV21-'NF - 5 Power Mix'!QKV22</f>
        <v>0</v>
      </c>
      <c r="QKW42" s="1046">
        <f>QKW38+((QKW40+'NF - 5 Power Mix'!QKW14+'NF - 5 Power Mix'!QKW15)*860/10)+((('Form Sa1'!QKZ835)*860)/10)+('Form Sa1'!QKZ814*'Form Sa1'!QKZ816/10)-'NF - 5 Power Mix'!QKW21-'NF - 5 Power Mix'!QKW22</f>
        <v>0</v>
      </c>
      <c r="QKX42" s="1046">
        <f>QKX38+((QKX40+'NF - 5 Power Mix'!QKX14+'NF - 5 Power Mix'!QKX15)*860/10)+((('Form Sa1'!QLA835)*860)/10)+('Form Sa1'!QLA814*'Form Sa1'!QLA816/10)-'NF - 5 Power Mix'!QKX21-'NF - 5 Power Mix'!QKX22</f>
        <v>0</v>
      </c>
      <c r="QKY42" s="1046">
        <f>QKY38+((QKY40+'NF - 5 Power Mix'!QKY14+'NF - 5 Power Mix'!QKY15)*860/10)+((('Form Sa1'!QLB835)*860)/10)+('Form Sa1'!QLB814*'Form Sa1'!QLB816/10)-'NF - 5 Power Mix'!QKY21-'NF - 5 Power Mix'!QKY22</f>
        <v>0</v>
      </c>
      <c r="QKZ42" s="1046">
        <f>QKZ38+((QKZ40+'NF - 5 Power Mix'!QKZ14+'NF - 5 Power Mix'!QKZ15)*860/10)+((('Form Sa1'!QLC835)*860)/10)+('Form Sa1'!QLC814*'Form Sa1'!QLC816/10)-'NF - 5 Power Mix'!QKZ21-'NF - 5 Power Mix'!QKZ22</f>
        <v>0</v>
      </c>
      <c r="QLA42" s="1046">
        <f>QLA38+((QLA40+'NF - 5 Power Mix'!QLA14+'NF - 5 Power Mix'!QLA15)*860/10)+((('Form Sa1'!QLD835)*860)/10)+('Form Sa1'!QLD814*'Form Sa1'!QLD816/10)-'NF - 5 Power Mix'!QLA21-'NF - 5 Power Mix'!QLA22</f>
        <v>0</v>
      </c>
      <c r="QLB42" s="1046">
        <f>QLB38+((QLB40+'NF - 5 Power Mix'!QLB14+'NF - 5 Power Mix'!QLB15)*860/10)+((('Form Sa1'!QLE835)*860)/10)+('Form Sa1'!QLE814*'Form Sa1'!QLE816/10)-'NF - 5 Power Mix'!QLB21-'NF - 5 Power Mix'!QLB22</f>
        <v>0</v>
      </c>
      <c r="QLC42" s="1046">
        <f>QLC38+((QLC40+'NF - 5 Power Mix'!QLC14+'NF - 5 Power Mix'!QLC15)*860/10)+((('Form Sa1'!QLF835)*860)/10)+('Form Sa1'!QLF814*'Form Sa1'!QLF816/10)-'NF - 5 Power Mix'!QLC21-'NF - 5 Power Mix'!QLC22</f>
        <v>0</v>
      </c>
      <c r="QLD42" s="1046">
        <f>QLD38+((QLD40+'NF - 5 Power Mix'!QLD14+'NF - 5 Power Mix'!QLD15)*860/10)+((('Form Sa1'!QLG835)*860)/10)+('Form Sa1'!QLG814*'Form Sa1'!QLG816/10)-'NF - 5 Power Mix'!QLD21-'NF - 5 Power Mix'!QLD22</f>
        <v>0</v>
      </c>
      <c r="QLE42" s="1046">
        <f>QLE38+((QLE40+'NF - 5 Power Mix'!QLE14+'NF - 5 Power Mix'!QLE15)*860/10)+((('Form Sa1'!QLH835)*860)/10)+('Form Sa1'!QLH814*'Form Sa1'!QLH816/10)-'NF - 5 Power Mix'!QLE21-'NF - 5 Power Mix'!QLE22</f>
        <v>0</v>
      </c>
      <c r="QLF42" s="1046">
        <f>QLF38+((QLF40+'NF - 5 Power Mix'!QLF14+'NF - 5 Power Mix'!QLF15)*860/10)+((('Form Sa1'!QLI835)*860)/10)+('Form Sa1'!QLI814*'Form Sa1'!QLI816/10)-'NF - 5 Power Mix'!QLF21-'NF - 5 Power Mix'!QLF22</f>
        <v>0</v>
      </c>
      <c r="QLG42" s="1046">
        <f>QLG38+((QLG40+'NF - 5 Power Mix'!QLG14+'NF - 5 Power Mix'!QLG15)*860/10)+((('Form Sa1'!QLJ835)*860)/10)+('Form Sa1'!QLJ814*'Form Sa1'!QLJ816/10)-'NF - 5 Power Mix'!QLG21-'NF - 5 Power Mix'!QLG22</f>
        <v>0</v>
      </c>
      <c r="QLH42" s="1046">
        <f>QLH38+((QLH40+'NF - 5 Power Mix'!QLH14+'NF - 5 Power Mix'!QLH15)*860/10)+((('Form Sa1'!QLK835)*860)/10)+('Form Sa1'!QLK814*'Form Sa1'!QLK816/10)-'NF - 5 Power Mix'!QLH21-'NF - 5 Power Mix'!QLH22</f>
        <v>0</v>
      </c>
      <c r="QLI42" s="1046">
        <f>QLI38+((QLI40+'NF - 5 Power Mix'!QLI14+'NF - 5 Power Mix'!QLI15)*860/10)+((('Form Sa1'!QLL835)*860)/10)+('Form Sa1'!QLL814*'Form Sa1'!QLL816/10)-'NF - 5 Power Mix'!QLI21-'NF - 5 Power Mix'!QLI22</f>
        <v>0</v>
      </c>
      <c r="QLJ42" s="1046">
        <f>QLJ38+((QLJ40+'NF - 5 Power Mix'!QLJ14+'NF - 5 Power Mix'!QLJ15)*860/10)+((('Form Sa1'!QLM835)*860)/10)+('Form Sa1'!QLM814*'Form Sa1'!QLM816/10)-'NF - 5 Power Mix'!QLJ21-'NF - 5 Power Mix'!QLJ22</f>
        <v>0</v>
      </c>
      <c r="QLK42" s="1046">
        <f>QLK38+((QLK40+'NF - 5 Power Mix'!QLK14+'NF - 5 Power Mix'!QLK15)*860/10)+((('Form Sa1'!QLN835)*860)/10)+('Form Sa1'!QLN814*'Form Sa1'!QLN816/10)-'NF - 5 Power Mix'!QLK21-'NF - 5 Power Mix'!QLK22</f>
        <v>0</v>
      </c>
      <c r="QLL42" s="1046">
        <f>QLL38+((QLL40+'NF - 5 Power Mix'!QLL14+'NF - 5 Power Mix'!QLL15)*860/10)+((('Form Sa1'!QLO835)*860)/10)+('Form Sa1'!QLO814*'Form Sa1'!QLO816/10)-'NF - 5 Power Mix'!QLL21-'NF - 5 Power Mix'!QLL22</f>
        <v>0</v>
      </c>
      <c r="QLM42" s="1046">
        <f>QLM38+((QLM40+'NF - 5 Power Mix'!QLM14+'NF - 5 Power Mix'!QLM15)*860/10)+((('Form Sa1'!QLP835)*860)/10)+('Form Sa1'!QLP814*'Form Sa1'!QLP816/10)-'NF - 5 Power Mix'!QLM21-'NF - 5 Power Mix'!QLM22</f>
        <v>0</v>
      </c>
      <c r="QLN42" s="1046">
        <f>QLN38+((QLN40+'NF - 5 Power Mix'!QLN14+'NF - 5 Power Mix'!QLN15)*860/10)+((('Form Sa1'!QLQ835)*860)/10)+('Form Sa1'!QLQ814*'Form Sa1'!QLQ816/10)-'NF - 5 Power Mix'!QLN21-'NF - 5 Power Mix'!QLN22</f>
        <v>0</v>
      </c>
      <c r="QLO42" s="1046">
        <f>QLO38+((QLO40+'NF - 5 Power Mix'!QLO14+'NF - 5 Power Mix'!QLO15)*860/10)+((('Form Sa1'!QLR835)*860)/10)+('Form Sa1'!QLR814*'Form Sa1'!QLR816/10)-'NF - 5 Power Mix'!QLO21-'NF - 5 Power Mix'!QLO22</f>
        <v>0</v>
      </c>
      <c r="QLP42" s="1046">
        <f>QLP38+((QLP40+'NF - 5 Power Mix'!QLP14+'NF - 5 Power Mix'!QLP15)*860/10)+((('Form Sa1'!QLS835)*860)/10)+('Form Sa1'!QLS814*'Form Sa1'!QLS816/10)-'NF - 5 Power Mix'!QLP21-'NF - 5 Power Mix'!QLP22</f>
        <v>0</v>
      </c>
      <c r="QLQ42" s="1046">
        <f>QLQ38+((QLQ40+'NF - 5 Power Mix'!QLQ14+'NF - 5 Power Mix'!QLQ15)*860/10)+((('Form Sa1'!QLT835)*860)/10)+('Form Sa1'!QLT814*'Form Sa1'!QLT816/10)-'NF - 5 Power Mix'!QLQ21-'NF - 5 Power Mix'!QLQ22</f>
        <v>0</v>
      </c>
      <c r="QLR42" s="1046">
        <f>QLR38+((QLR40+'NF - 5 Power Mix'!QLR14+'NF - 5 Power Mix'!QLR15)*860/10)+((('Form Sa1'!QLU835)*860)/10)+('Form Sa1'!QLU814*'Form Sa1'!QLU816/10)-'NF - 5 Power Mix'!QLR21-'NF - 5 Power Mix'!QLR22</f>
        <v>0</v>
      </c>
      <c r="QLS42" s="1046">
        <f>QLS38+((QLS40+'NF - 5 Power Mix'!QLS14+'NF - 5 Power Mix'!QLS15)*860/10)+((('Form Sa1'!QLV835)*860)/10)+('Form Sa1'!QLV814*'Form Sa1'!QLV816/10)-'NF - 5 Power Mix'!QLS21-'NF - 5 Power Mix'!QLS22</f>
        <v>0</v>
      </c>
      <c r="QLT42" s="1046">
        <f>QLT38+((QLT40+'NF - 5 Power Mix'!QLT14+'NF - 5 Power Mix'!QLT15)*860/10)+((('Form Sa1'!QLW835)*860)/10)+('Form Sa1'!QLW814*'Form Sa1'!QLW816/10)-'NF - 5 Power Mix'!QLT21-'NF - 5 Power Mix'!QLT22</f>
        <v>0</v>
      </c>
      <c r="QLU42" s="1046">
        <f>QLU38+((QLU40+'NF - 5 Power Mix'!QLU14+'NF - 5 Power Mix'!QLU15)*860/10)+((('Form Sa1'!QLX835)*860)/10)+('Form Sa1'!QLX814*'Form Sa1'!QLX816/10)-'NF - 5 Power Mix'!QLU21-'NF - 5 Power Mix'!QLU22</f>
        <v>0</v>
      </c>
      <c r="QLV42" s="1046">
        <f>QLV38+((QLV40+'NF - 5 Power Mix'!QLV14+'NF - 5 Power Mix'!QLV15)*860/10)+((('Form Sa1'!QLY835)*860)/10)+('Form Sa1'!QLY814*'Form Sa1'!QLY816/10)-'NF - 5 Power Mix'!QLV21-'NF - 5 Power Mix'!QLV22</f>
        <v>0</v>
      </c>
      <c r="QLW42" s="1046">
        <f>QLW38+((QLW40+'NF - 5 Power Mix'!QLW14+'NF - 5 Power Mix'!QLW15)*860/10)+((('Form Sa1'!QLZ835)*860)/10)+('Form Sa1'!QLZ814*'Form Sa1'!QLZ816/10)-'NF - 5 Power Mix'!QLW21-'NF - 5 Power Mix'!QLW22</f>
        <v>0</v>
      </c>
      <c r="QLX42" s="1046">
        <f>QLX38+((QLX40+'NF - 5 Power Mix'!QLX14+'NF - 5 Power Mix'!QLX15)*860/10)+((('Form Sa1'!QMA835)*860)/10)+('Form Sa1'!QMA814*'Form Sa1'!QMA816/10)-'NF - 5 Power Mix'!QLX21-'NF - 5 Power Mix'!QLX22</f>
        <v>0</v>
      </c>
      <c r="QLY42" s="1046">
        <f>QLY38+((QLY40+'NF - 5 Power Mix'!QLY14+'NF - 5 Power Mix'!QLY15)*860/10)+((('Form Sa1'!QMB835)*860)/10)+('Form Sa1'!QMB814*'Form Sa1'!QMB816/10)-'NF - 5 Power Mix'!QLY21-'NF - 5 Power Mix'!QLY22</f>
        <v>0</v>
      </c>
      <c r="QLZ42" s="1046">
        <f>QLZ38+((QLZ40+'NF - 5 Power Mix'!QLZ14+'NF - 5 Power Mix'!QLZ15)*860/10)+((('Form Sa1'!QMC835)*860)/10)+('Form Sa1'!QMC814*'Form Sa1'!QMC816/10)-'NF - 5 Power Mix'!QLZ21-'NF - 5 Power Mix'!QLZ22</f>
        <v>0</v>
      </c>
      <c r="QMA42" s="1046">
        <f>QMA38+((QMA40+'NF - 5 Power Mix'!QMA14+'NF - 5 Power Mix'!QMA15)*860/10)+((('Form Sa1'!QMD835)*860)/10)+('Form Sa1'!QMD814*'Form Sa1'!QMD816/10)-'NF - 5 Power Mix'!QMA21-'NF - 5 Power Mix'!QMA22</f>
        <v>0</v>
      </c>
      <c r="QMB42" s="1046">
        <f>QMB38+((QMB40+'NF - 5 Power Mix'!QMB14+'NF - 5 Power Mix'!QMB15)*860/10)+((('Form Sa1'!QME835)*860)/10)+('Form Sa1'!QME814*'Form Sa1'!QME816/10)-'NF - 5 Power Mix'!QMB21-'NF - 5 Power Mix'!QMB22</f>
        <v>0</v>
      </c>
      <c r="QMC42" s="1046">
        <f>QMC38+((QMC40+'NF - 5 Power Mix'!QMC14+'NF - 5 Power Mix'!QMC15)*860/10)+((('Form Sa1'!QMF835)*860)/10)+('Form Sa1'!QMF814*'Form Sa1'!QMF816/10)-'NF - 5 Power Mix'!QMC21-'NF - 5 Power Mix'!QMC22</f>
        <v>0</v>
      </c>
      <c r="QMD42" s="1046">
        <f>QMD38+((QMD40+'NF - 5 Power Mix'!QMD14+'NF - 5 Power Mix'!QMD15)*860/10)+((('Form Sa1'!QMG835)*860)/10)+('Form Sa1'!QMG814*'Form Sa1'!QMG816/10)-'NF - 5 Power Mix'!QMD21-'NF - 5 Power Mix'!QMD22</f>
        <v>0</v>
      </c>
      <c r="QME42" s="1046">
        <f>QME38+((QME40+'NF - 5 Power Mix'!QME14+'NF - 5 Power Mix'!QME15)*860/10)+((('Form Sa1'!QMH835)*860)/10)+('Form Sa1'!QMH814*'Form Sa1'!QMH816/10)-'NF - 5 Power Mix'!QME21-'NF - 5 Power Mix'!QME22</f>
        <v>0</v>
      </c>
      <c r="QMF42" s="1046">
        <f>QMF38+((QMF40+'NF - 5 Power Mix'!QMF14+'NF - 5 Power Mix'!QMF15)*860/10)+((('Form Sa1'!QMI835)*860)/10)+('Form Sa1'!QMI814*'Form Sa1'!QMI816/10)-'NF - 5 Power Mix'!QMF21-'NF - 5 Power Mix'!QMF22</f>
        <v>0</v>
      </c>
      <c r="QMG42" s="1046">
        <f>QMG38+((QMG40+'NF - 5 Power Mix'!QMG14+'NF - 5 Power Mix'!QMG15)*860/10)+((('Form Sa1'!QMJ835)*860)/10)+('Form Sa1'!QMJ814*'Form Sa1'!QMJ816/10)-'NF - 5 Power Mix'!QMG21-'NF - 5 Power Mix'!QMG22</f>
        <v>0</v>
      </c>
      <c r="QMH42" s="1046">
        <f>QMH38+((QMH40+'NF - 5 Power Mix'!QMH14+'NF - 5 Power Mix'!QMH15)*860/10)+((('Form Sa1'!QMK835)*860)/10)+('Form Sa1'!QMK814*'Form Sa1'!QMK816/10)-'NF - 5 Power Mix'!QMH21-'NF - 5 Power Mix'!QMH22</f>
        <v>0</v>
      </c>
      <c r="QMI42" s="1046">
        <f>QMI38+((QMI40+'NF - 5 Power Mix'!QMI14+'NF - 5 Power Mix'!QMI15)*860/10)+((('Form Sa1'!QML835)*860)/10)+('Form Sa1'!QML814*'Form Sa1'!QML816/10)-'NF - 5 Power Mix'!QMI21-'NF - 5 Power Mix'!QMI22</f>
        <v>0</v>
      </c>
      <c r="QMJ42" s="1046">
        <f>QMJ38+((QMJ40+'NF - 5 Power Mix'!QMJ14+'NF - 5 Power Mix'!QMJ15)*860/10)+((('Form Sa1'!QMM835)*860)/10)+('Form Sa1'!QMM814*'Form Sa1'!QMM816/10)-'NF - 5 Power Mix'!QMJ21-'NF - 5 Power Mix'!QMJ22</f>
        <v>0</v>
      </c>
      <c r="QMK42" s="1046">
        <f>QMK38+((QMK40+'NF - 5 Power Mix'!QMK14+'NF - 5 Power Mix'!QMK15)*860/10)+((('Form Sa1'!QMN835)*860)/10)+('Form Sa1'!QMN814*'Form Sa1'!QMN816/10)-'NF - 5 Power Mix'!QMK21-'NF - 5 Power Mix'!QMK22</f>
        <v>0</v>
      </c>
      <c r="QML42" s="1046">
        <f>QML38+((QML40+'NF - 5 Power Mix'!QML14+'NF - 5 Power Mix'!QML15)*860/10)+((('Form Sa1'!QMO835)*860)/10)+('Form Sa1'!QMO814*'Form Sa1'!QMO816/10)-'NF - 5 Power Mix'!QML21-'NF - 5 Power Mix'!QML22</f>
        <v>0</v>
      </c>
      <c r="QMM42" s="1046">
        <f>QMM38+((QMM40+'NF - 5 Power Mix'!QMM14+'NF - 5 Power Mix'!QMM15)*860/10)+((('Form Sa1'!QMP835)*860)/10)+('Form Sa1'!QMP814*'Form Sa1'!QMP816/10)-'NF - 5 Power Mix'!QMM21-'NF - 5 Power Mix'!QMM22</f>
        <v>0</v>
      </c>
      <c r="QMN42" s="1046">
        <f>QMN38+((QMN40+'NF - 5 Power Mix'!QMN14+'NF - 5 Power Mix'!QMN15)*860/10)+((('Form Sa1'!QMQ835)*860)/10)+('Form Sa1'!QMQ814*'Form Sa1'!QMQ816/10)-'NF - 5 Power Mix'!QMN21-'NF - 5 Power Mix'!QMN22</f>
        <v>0</v>
      </c>
      <c r="QMO42" s="1046">
        <f>QMO38+((QMO40+'NF - 5 Power Mix'!QMO14+'NF - 5 Power Mix'!QMO15)*860/10)+((('Form Sa1'!QMR835)*860)/10)+('Form Sa1'!QMR814*'Form Sa1'!QMR816/10)-'NF - 5 Power Mix'!QMO21-'NF - 5 Power Mix'!QMO22</f>
        <v>0</v>
      </c>
      <c r="QMP42" s="1046">
        <f>QMP38+((QMP40+'NF - 5 Power Mix'!QMP14+'NF - 5 Power Mix'!QMP15)*860/10)+((('Form Sa1'!QMS835)*860)/10)+('Form Sa1'!QMS814*'Form Sa1'!QMS816/10)-'NF - 5 Power Mix'!QMP21-'NF - 5 Power Mix'!QMP22</f>
        <v>0</v>
      </c>
      <c r="QMQ42" s="1046">
        <f>QMQ38+((QMQ40+'NF - 5 Power Mix'!QMQ14+'NF - 5 Power Mix'!QMQ15)*860/10)+((('Form Sa1'!QMT835)*860)/10)+('Form Sa1'!QMT814*'Form Sa1'!QMT816/10)-'NF - 5 Power Mix'!QMQ21-'NF - 5 Power Mix'!QMQ22</f>
        <v>0</v>
      </c>
      <c r="QMR42" s="1046">
        <f>QMR38+((QMR40+'NF - 5 Power Mix'!QMR14+'NF - 5 Power Mix'!QMR15)*860/10)+((('Form Sa1'!QMU835)*860)/10)+('Form Sa1'!QMU814*'Form Sa1'!QMU816/10)-'NF - 5 Power Mix'!QMR21-'NF - 5 Power Mix'!QMR22</f>
        <v>0</v>
      </c>
      <c r="QMS42" s="1046">
        <f>QMS38+((QMS40+'NF - 5 Power Mix'!QMS14+'NF - 5 Power Mix'!QMS15)*860/10)+((('Form Sa1'!QMV835)*860)/10)+('Form Sa1'!QMV814*'Form Sa1'!QMV816/10)-'NF - 5 Power Mix'!QMS21-'NF - 5 Power Mix'!QMS22</f>
        <v>0</v>
      </c>
      <c r="QMT42" s="1046">
        <f>QMT38+((QMT40+'NF - 5 Power Mix'!QMT14+'NF - 5 Power Mix'!QMT15)*860/10)+((('Form Sa1'!QMW835)*860)/10)+('Form Sa1'!QMW814*'Form Sa1'!QMW816/10)-'NF - 5 Power Mix'!QMT21-'NF - 5 Power Mix'!QMT22</f>
        <v>0</v>
      </c>
      <c r="QMU42" s="1046">
        <f>QMU38+((QMU40+'NF - 5 Power Mix'!QMU14+'NF - 5 Power Mix'!QMU15)*860/10)+((('Form Sa1'!QMX835)*860)/10)+('Form Sa1'!QMX814*'Form Sa1'!QMX816/10)-'NF - 5 Power Mix'!QMU21-'NF - 5 Power Mix'!QMU22</f>
        <v>0</v>
      </c>
      <c r="QMV42" s="1046">
        <f>QMV38+((QMV40+'NF - 5 Power Mix'!QMV14+'NF - 5 Power Mix'!QMV15)*860/10)+((('Form Sa1'!QMY835)*860)/10)+('Form Sa1'!QMY814*'Form Sa1'!QMY816/10)-'NF - 5 Power Mix'!QMV21-'NF - 5 Power Mix'!QMV22</f>
        <v>0</v>
      </c>
      <c r="QMW42" s="1046">
        <f>QMW38+((QMW40+'NF - 5 Power Mix'!QMW14+'NF - 5 Power Mix'!QMW15)*860/10)+((('Form Sa1'!QMZ835)*860)/10)+('Form Sa1'!QMZ814*'Form Sa1'!QMZ816/10)-'NF - 5 Power Mix'!QMW21-'NF - 5 Power Mix'!QMW22</f>
        <v>0</v>
      </c>
      <c r="QMX42" s="1046">
        <f>QMX38+((QMX40+'NF - 5 Power Mix'!QMX14+'NF - 5 Power Mix'!QMX15)*860/10)+((('Form Sa1'!QNA835)*860)/10)+('Form Sa1'!QNA814*'Form Sa1'!QNA816/10)-'NF - 5 Power Mix'!QMX21-'NF - 5 Power Mix'!QMX22</f>
        <v>0</v>
      </c>
      <c r="QMY42" s="1046">
        <f>QMY38+((QMY40+'NF - 5 Power Mix'!QMY14+'NF - 5 Power Mix'!QMY15)*860/10)+((('Form Sa1'!QNB835)*860)/10)+('Form Sa1'!QNB814*'Form Sa1'!QNB816/10)-'NF - 5 Power Mix'!QMY21-'NF - 5 Power Mix'!QMY22</f>
        <v>0</v>
      </c>
      <c r="QMZ42" s="1046">
        <f>QMZ38+((QMZ40+'NF - 5 Power Mix'!QMZ14+'NF - 5 Power Mix'!QMZ15)*860/10)+((('Form Sa1'!QNC835)*860)/10)+('Form Sa1'!QNC814*'Form Sa1'!QNC816/10)-'NF - 5 Power Mix'!QMZ21-'NF - 5 Power Mix'!QMZ22</f>
        <v>0</v>
      </c>
      <c r="QNA42" s="1046">
        <f>QNA38+((QNA40+'NF - 5 Power Mix'!QNA14+'NF - 5 Power Mix'!QNA15)*860/10)+((('Form Sa1'!QND835)*860)/10)+('Form Sa1'!QND814*'Form Sa1'!QND816/10)-'NF - 5 Power Mix'!QNA21-'NF - 5 Power Mix'!QNA22</f>
        <v>0</v>
      </c>
      <c r="QNB42" s="1046">
        <f>QNB38+((QNB40+'NF - 5 Power Mix'!QNB14+'NF - 5 Power Mix'!QNB15)*860/10)+((('Form Sa1'!QNE835)*860)/10)+('Form Sa1'!QNE814*'Form Sa1'!QNE816/10)-'NF - 5 Power Mix'!QNB21-'NF - 5 Power Mix'!QNB22</f>
        <v>0</v>
      </c>
      <c r="QNC42" s="1046">
        <f>QNC38+((QNC40+'NF - 5 Power Mix'!QNC14+'NF - 5 Power Mix'!QNC15)*860/10)+((('Form Sa1'!QNF835)*860)/10)+('Form Sa1'!QNF814*'Form Sa1'!QNF816/10)-'NF - 5 Power Mix'!QNC21-'NF - 5 Power Mix'!QNC22</f>
        <v>0</v>
      </c>
      <c r="QND42" s="1046">
        <f>QND38+((QND40+'NF - 5 Power Mix'!QND14+'NF - 5 Power Mix'!QND15)*860/10)+((('Form Sa1'!QNG835)*860)/10)+('Form Sa1'!QNG814*'Form Sa1'!QNG816/10)-'NF - 5 Power Mix'!QND21-'NF - 5 Power Mix'!QND22</f>
        <v>0</v>
      </c>
      <c r="QNE42" s="1046">
        <f>QNE38+((QNE40+'NF - 5 Power Mix'!QNE14+'NF - 5 Power Mix'!QNE15)*860/10)+((('Form Sa1'!QNH835)*860)/10)+('Form Sa1'!QNH814*'Form Sa1'!QNH816/10)-'NF - 5 Power Mix'!QNE21-'NF - 5 Power Mix'!QNE22</f>
        <v>0</v>
      </c>
      <c r="QNF42" s="1046">
        <f>QNF38+((QNF40+'NF - 5 Power Mix'!QNF14+'NF - 5 Power Mix'!QNF15)*860/10)+((('Form Sa1'!QNI835)*860)/10)+('Form Sa1'!QNI814*'Form Sa1'!QNI816/10)-'NF - 5 Power Mix'!QNF21-'NF - 5 Power Mix'!QNF22</f>
        <v>0</v>
      </c>
      <c r="QNG42" s="1046">
        <f>QNG38+((QNG40+'NF - 5 Power Mix'!QNG14+'NF - 5 Power Mix'!QNG15)*860/10)+((('Form Sa1'!QNJ835)*860)/10)+('Form Sa1'!QNJ814*'Form Sa1'!QNJ816/10)-'NF - 5 Power Mix'!QNG21-'NF - 5 Power Mix'!QNG22</f>
        <v>0</v>
      </c>
      <c r="QNH42" s="1046">
        <f>QNH38+((QNH40+'NF - 5 Power Mix'!QNH14+'NF - 5 Power Mix'!QNH15)*860/10)+((('Form Sa1'!QNK835)*860)/10)+('Form Sa1'!QNK814*'Form Sa1'!QNK816/10)-'NF - 5 Power Mix'!QNH21-'NF - 5 Power Mix'!QNH22</f>
        <v>0</v>
      </c>
      <c r="QNI42" s="1046">
        <f>QNI38+((QNI40+'NF - 5 Power Mix'!QNI14+'NF - 5 Power Mix'!QNI15)*860/10)+((('Form Sa1'!QNL835)*860)/10)+('Form Sa1'!QNL814*'Form Sa1'!QNL816/10)-'NF - 5 Power Mix'!QNI21-'NF - 5 Power Mix'!QNI22</f>
        <v>0</v>
      </c>
      <c r="QNJ42" s="1046">
        <f>QNJ38+((QNJ40+'NF - 5 Power Mix'!QNJ14+'NF - 5 Power Mix'!QNJ15)*860/10)+((('Form Sa1'!QNM835)*860)/10)+('Form Sa1'!QNM814*'Form Sa1'!QNM816/10)-'NF - 5 Power Mix'!QNJ21-'NF - 5 Power Mix'!QNJ22</f>
        <v>0</v>
      </c>
      <c r="QNK42" s="1046">
        <f>QNK38+((QNK40+'NF - 5 Power Mix'!QNK14+'NF - 5 Power Mix'!QNK15)*860/10)+((('Form Sa1'!QNN835)*860)/10)+('Form Sa1'!QNN814*'Form Sa1'!QNN816/10)-'NF - 5 Power Mix'!QNK21-'NF - 5 Power Mix'!QNK22</f>
        <v>0</v>
      </c>
      <c r="QNL42" s="1046">
        <f>QNL38+((QNL40+'NF - 5 Power Mix'!QNL14+'NF - 5 Power Mix'!QNL15)*860/10)+((('Form Sa1'!QNO835)*860)/10)+('Form Sa1'!QNO814*'Form Sa1'!QNO816/10)-'NF - 5 Power Mix'!QNL21-'NF - 5 Power Mix'!QNL22</f>
        <v>0</v>
      </c>
      <c r="QNM42" s="1046">
        <f>QNM38+((QNM40+'NF - 5 Power Mix'!QNM14+'NF - 5 Power Mix'!QNM15)*860/10)+((('Form Sa1'!QNP835)*860)/10)+('Form Sa1'!QNP814*'Form Sa1'!QNP816/10)-'NF - 5 Power Mix'!QNM21-'NF - 5 Power Mix'!QNM22</f>
        <v>0</v>
      </c>
      <c r="QNN42" s="1046">
        <f>QNN38+((QNN40+'NF - 5 Power Mix'!QNN14+'NF - 5 Power Mix'!QNN15)*860/10)+((('Form Sa1'!QNQ835)*860)/10)+('Form Sa1'!QNQ814*'Form Sa1'!QNQ816/10)-'NF - 5 Power Mix'!QNN21-'NF - 5 Power Mix'!QNN22</f>
        <v>0</v>
      </c>
      <c r="QNO42" s="1046">
        <f>QNO38+((QNO40+'NF - 5 Power Mix'!QNO14+'NF - 5 Power Mix'!QNO15)*860/10)+((('Form Sa1'!QNR835)*860)/10)+('Form Sa1'!QNR814*'Form Sa1'!QNR816/10)-'NF - 5 Power Mix'!QNO21-'NF - 5 Power Mix'!QNO22</f>
        <v>0</v>
      </c>
      <c r="QNP42" s="1046">
        <f>QNP38+((QNP40+'NF - 5 Power Mix'!QNP14+'NF - 5 Power Mix'!QNP15)*860/10)+((('Form Sa1'!QNS835)*860)/10)+('Form Sa1'!QNS814*'Form Sa1'!QNS816/10)-'NF - 5 Power Mix'!QNP21-'NF - 5 Power Mix'!QNP22</f>
        <v>0</v>
      </c>
      <c r="QNQ42" s="1046">
        <f>QNQ38+((QNQ40+'NF - 5 Power Mix'!QNQ14+'NF - 5 Power Mix'!QNQ15)*860/10)+((('Form Sa1'!QNT835)*860)/10)+('Form Sa1'!QNT814*'Form Sa1'!QNT816/10)-'NF - 5 Power Mix'!QNQ21-'NF - 5 Power Mix'!QNQ22</f>
        <v>0</v>
      </c>
      <c r="QNR42" s="1046">
        <f>QNR38+((QNR40+'NF - 5 Power Mix'!QNR14+'NF - 5 Power Mix'!QNR15)*860/10)+((('Form Sa1'!QNU835)*860)/10)+('Form Sa1'!QNU814*'Form Sa1'!QNU816/10)-'NF - 5 Power Mix'!QNR21-'NF - 5 Power Mix'!QNR22</f>
        <v>0</v>
      </c>
      <c r="QNS42" s="1046">
        <f>QNS38+((QNS40+'NF - 5 Power Mix'!QNS14+'NF - 5 Power Mix'!QNS15)*860/10)+((('Form Sa1'!QNV835)*860)/10)+('Form Sa1'!QNV814*'Form Sa1'!QNV816/10)-'NF - 5 Power Mix'!QNS21-'NF - 5 Power Mix'!QNS22</f>
        <v>0</v>
      </c>
      <c r="QNT42" s="1046">
        <f>QNT38+((QNT40+'NF - 5 Power Mix'!QNT14+'NF - 5 Power Mix'!QNT15)*860/10)+((('Form Sa1'!QNW835)*860)/10)+('Form Sa1'!QNW814*'Form Sa1'!QNW816/10)-'NF - 5 Power Mix'!QNT21-'NF - 5 Power Mix'!QNT22</f>
        <v>0</v>
      </c>
      <c r="QNU42" s="1046">
        <f>QNU38+((QNU40+'NF - 5 Power Mix'!QNU14+'NF - 5 Power Mix'!QNU15)*860/10)+((('Form Sa1'!QNX835)*860)/10)+('Form Sa1'!QNX814*'Form Sa1'!QNX816/10)-'NF - 5 Power Mix'!QNU21-'NF - 5 Power Mix'!QNU22</f>
        <v>0</v>
      </c>
      <c r="QNV42" s="1046">
        <f>QNV38+((QNV40+'NF - 5 Power Mix'!QNV14+'NF - 5 Power Mix'!QNV15)*860/10)+((('Form Sa1'!QNY835)*860)/10)+('Form Sa1'!QNY814*'Form Sa1'!QNY816/10)-'NF - 5 Power Mix'!QNV21-'NF - 5 Power Mix'!QNV22</f>
        <v>0</v>
      </c>
      <c r="QNW42" s="1046">
        <f>QNW38+((QNW40+'NF - 5 Power Mix'!QNW14+'NF - 5 Power Mix'!QNW15)*860/10)+((('Form Sa1'!QNZ835)*860)/10)+('Form Sa1'!QNZ814*'Form Sa1'!QNZ816/10)-'NF - 5 Power Mix'!QNW21-'NF - 5 Power Mix'!QNW22</f>
        <v>0</v>
      </c>
      <c r="QNX42" s="1046">
        <f>QNX38+((QNX40+'NF - 5 Power Mix'!QNX14+'NF - 5 Power Mix'!QNX15)*860/10)+((('Form Sa1'!QOA835)*860)/10)+('Form Sa1'!QOA814*'Form Sa1'!QOA816/10)-'NF - 5 Power Mix'!QNX21-'NF - 5 Power Mix'!QNX22</f>
        <v>0</v>
      </c>
      <c r="QNY42" s="1046">
        <f>QNY38+((QNY40+'NF - 5 Power Mix'!QNY14+'NF - 5 Power Mix'!QNY15)*860/10)+((('Form Sa1'!QOB835)*860)/10)+('Form Sa1'!QOB814*'Form Sa1'!QOB816/10)-'NF - 5 Power Mix'!QNY21-'NF - 5 Power Mix'!QNY22</f>
        <v>0</v>
      </c>
      <c r="QNZ42" s="1046">
        <f>QNZ38+((QNZ40+'NF - 5 Power Mix'!QNZ14+'NF - 5 Power Mix'!QNZ15)*860/10)+((('Form Sa1'!QOC835)*860)/10)+('Form Sa1'!QOC814*'Form Sa1'!QOC816/10)-'NF - 5 Power Mix'!QNZ21-'NF - 5 Power Mix'!QNZ22</f>
        <v>0</v>
      </c>
      <c r="QOA42" s="1046">
        <f>QOA38+((QOA40+'NF - 5 Power Mix'!QOA14+'NF - 5 Power Mix'!QOA15)*860/10)+((('Form Sa1'!QOD835)*860)/10)+('Form Sa1'!QOD814*'Form Sa1'!QOD816/10)-'NF - 5 Power Mix'!QOA21-'NF - 5 Power Mix'!QOA22</f>
        <v>0</v>
      </c>
      <c r="QOB42" s="1046">
        <f>QOB38+((QOB40+'NF - 5 Power Mix'!QOB14+'NF - 5 Power Mix'!QOB15)*860/10)+((('Form Sa1'!QOE835)*860)/10)+('Form Sa1'!QOE814*'Form Sa1'!QOE816/10)-'NF - 5 Power Mix'!QOB21-'NF - 5 Power Mix'!QOB22</f>
        <v>0</v>
      </c>
      <c r="QOC42" s="1046">
        <f>QOC38+((QOC40+'NF - 5 Power Mix'!QOC14+'NF - 5 Power Mix'!QOC15)*860/10)+((('Form Sa1'!QOF835)*860)/10)+('Form Sa1'!QOF814*'Form Sa1'!QOF816/10)-'NF - 5 Power Mix'!QOC21-'NF - 5 Power Mix'!QOC22</f>
        <v>0</v>
      </c>
      <c r="QOD42" s="1046">
        <f>QOD38+((QOD40+'NF - 5 Power Mix'!QOD14+'NF - 5 Power Mix'!QOD15)*860/10)+((('Form Sa1'!QOG835)*860)/10)+('Form Sa1'!QOG814*'Form Sa1'!QOG816/10)-'NF - 5 Power Mix'!QOD21-'NF - 5 Power Mix'!QOD22</f>
        <v>0</v>
      </c>
      <c r="QOE42" s="1046">
        <f>QOE38+((QOE40+'NF - 5 Power Mix'!QOE14+'NF - 5 Power Mix'!QOE15)*860/10)+((('Form Sa1'!QOH835)*860)/10)+('Form Sa1'!QOH814*'Form Sa1'!QOH816/10)-'NF - 5 Power Mix'!QOE21-'NF - 5 Power Mix'!QOE22</f>
        <v>0</v>
      </c>
      <c r="QOF42" s="1046">
        <f>QOF38+((QOF40+'NF - 5 Power Mix'!QOF14+'NF - 5 Power Mix'!QOF15)*860/10)+((('Form Sa1'!QOI835)*860)/10)+('Form Sa1'!QOI814*'Form Sa1'!QOI816/10)-'NF - 5 Power Mix'!QOF21-'NF - 5 Power Mix'!QOF22</f>
        <v>0</v>
      </c>
      <c r="QOG42" s="1046">
        <f>QOG38+((QOG40+'NF - 5 Power Mix'!QOG14+'NF - 5 Power Mix'!QOG15)*860/10)+((('Form Sa1'!QOJ835)*860)/10)+('Form Sa1'!QOJ814*'Form Sa1'!QOJ816/10)-'NF - 5 Power Mix'!QOG21-'NF - 5 Power Mix'!QOG22</f>
        <v>0</v>
      </c>
      <c r="QOH42" s="1046">
        <f>QOH38+((QOH40+'NF - 5 Power Mix'!QOH14+'NF - 5 Power Mix'!QOH15)*860/10)+((('Form Sa1'!QOK835)*860)/10)+('Form Sa1'!QOK814*'Form Sa1'!QOK816/10)-'NF - 5 Power Mix'!QOH21-'NF - 5 Power Mix'!QOH22</f>
        <v>0</v>
      </c>
      <c r="QOI42" s="1046">
        <f>QOI38+((QOI40+'NF - 5 Power Mix'!QOI14+'NF - 5 Power Mix'!QOI15)*860/10)+((('Form Sa1'!QOL835)*860)/10)+('Form Sa1'!QOL814*'Form Sa1'!QOL816/10)-'NF - 5 Power Mix'!QOI21-'NF - 5 Power Mix'!QOI22</f>
        <v>0</v>
      </c>
      <c r="QOJ42" s="1046">
        <f>QOJ38+((QOJ40+'NF - 5 Power Mix'!QOJ14+'NF - 5 Power Mix'!QOJ15)*860/10)+((('Form Sa1'!QOM835)*860)/10)+('Form Sa1'!QOM814*'Form Sa1'!QOM816/10)-'NF - 5 Power Mix'!QOJ21-'NF - 5 Power Mix'!QOJ22</f>
        <v>0</v>
      </c>
      <c r="QOK42" s="1046">
        <f>QOK38+((QOK40+'NF - 5 Power Mix'!QOK14+'NF - 5 Power Mix'!QOK15)*860/10)+((('Form Sa1'!QON835)*860)/10)+('Form Sa1'!QON814*'Form Sa1'!QON816/10)-'NF - 5 Power Mix'!QOK21-'NF - 5 Power Mix'!QOK22</f>
        <v>0</v>
      </c>
      <c r="QOL42" s="1046">
        <f>QOL38+((QOL40+'NF - 5 Power Mix'!QOL14+'NF - 5 Power Mix'!QOL15)*860/10)+((('Form Sa1'!QOO835)*860)/10)+('Form Sa1'!QOO814*'Form Sa1'!QOO816/10)-'NF - 5 Power Mix'!QOL21-'NF - 5 Power Mix'!QOL22</f>
        <v>0</v>
      </c>
      <c r="QOM42" s="1046">
        <f>QOM38+((QOM40+'NF - 5 Power Mix'!QOM14+'NF - 5 Power Mix'!QOM15)*860/10)+((('Form Sa1'!QOP835)*860)/10)+('Form Sa1'!QOP814*'Form Sa1'!QOP816/10)-'NF - 5 Power Mix'!QOM21-'NF - 5 Power Mix'!QOM22</f>
        <v>0</v>
      </c>
      <c r="QON42" s="1046">
        <f>QON38+((QON40+'NF - 5 Power Mix'!QON14+'NF - 5 Power Mix'!QON15)*860/10)+((('Form Sa1'!QOQ835)*860)/10)+('Form Sa1'!QOQ814*'Form Sa1'!QOQ816/10)-'NF - 5 Power Mix'!QON21-'NF - 5 Power Mix'!QON22</f>
        <v>0</v>
      </c>
      <c r="QOO42" s="1046">
        <f>QOO38+((QOO40+'NF - 5 Power Mix'!QOO14+'NF - 5 Power Mix'!QOO15)*860/10)+((('Form Sa1'!QOR835)*860)/10)+('Form Sa1'!QOR814*'Form Sa1'!QOR816/10)-'NF - 5 Power Mix'!QOO21-'NF - 5 Power Mix'!QOO22</f>
        <v>0</v>
      </c>
      <c r="QOP42" s="1046">
        <f>QOP38+((QOP40+'NF - 5 Power Mix'!QOP14+'NF - 5 Power Mix'!QOP15)*860/10)+((('Form Sa1'!QOS835)*860)/10)+('Form Sa1'!QOS814*'Form Sa1'!QOS816/10)-'NF - 5 Power Mix'!QOP21-'NF - 5 Power Mix'!QOP22</f>
        <v>0</v>
      </c>
      <c r="QOQ42" s="1046">
        <f>QOQ38+((QOQ40+'NF - 5 Power Mix'!QOQ14+'NF - 5 Power Mix'!QOQ15)*860/10)+((('Form Sa1'!QOT835)*860)/10)+('Form Sa1'!QOT814*'Form Sa1'!QOT816/10)-'NF - 5 Power Mix'!QOQ21-'NF - 5 Power Mix'!QOQ22</f>
        <v>0</v>
      </c>
      <c r="QOR42" s="1046">
        <f>QOR38+((QOR40+'NF - 5 Power Mix'!QOR14+'NF - 5 Power Mix'!QOR15)*860/10)+((('Form Sa1'!QOU835)*860)/10)+('Form Sa1'!QOU814*'Form Sa1'!QOU816/10)-'NF - 5 Power Mix'!QOR21-'NF - 5 Power Mix'!QOR22</f>
        <v>0</v>
      </c>
      <c r="QOS42" s="1046">
        <f>QOS38+((QOS40+'NF - 5 Power Mix'!QOS14+'NF - 5 Power Mix'!QOS15)*860/10)+((('Form Sa1'!QOV835)*860)/10)+('Form Sa1'!QOV814*'Form Sa1'!QOV816/10)-'NF - 5 Power Mix'!QOS21-'NF - 5 Power Mix'!QOS22</f>
        <v>0</v>
      </c>
      <c r="QOT42" s="1046">
        <f>QOT38+((QOT40+'NF - 5 Power Mix'!QOT14+'NF - 5 Power Mix'!QOT15)*860/10)+((('Form Sa1'!QOW835)*860)/10)+('Form Sa1'!QOW814*'Form Sa1'!QOW816/10)-'NF - 5 Power Mix'!QOT21-'NF - 5 Power Mix'!QOT22</f>
        <v>0</v>
      </c>
      <c r="QOU42" s="1046">
        <f>QOU38+((QOU40+'NF - 5 Power Mix'!QOU14+'NF - 5 Power Mix'!QOU15)*860/10)+((('Form Sa1'!QOX835)*860)/10)+('Form Sa1'!QOX814*'Form Sa1'!QOX816/10)-'NF - 5 Power Mix'!QOU21-'NF - 5 Power Mix'!QOU22</f>
        <v>0</v>
      </c>
      <c r="QOV42" s="1046">
        <f>QOV38+((QOV40+'NF - 5 Power Mix'!QOV14+'NF - 5 Power Mix'!QOV15)*860/10)+((('Form Sa1'!QOY835)*860)/10)+('Form Sa1'!QOY814*'Form Sa1'!QOY816/10)-'NF - 5 Power Mix'!QOV21-'NF - 5 Power Mix'!QOV22</f>
        <v>0</v>
      </c>
      <c r="QOW42" s="1046">
        <f>QOW38+((QOW40+'NF - 5 Power Mix'!QOW14+'NF - 5 Power Mix'!QOW15)*860/10)+((('Form Sa1'!QOZ835)*860)/10)+('Form Sa1'!QOZ814*'Form Sa1'!QOZ816/10)-'NF - 5 Power Mix'!QOW21-'NF - 5 Power Mix'!QOW22</f>
        <v>0</v>
      </c>
      <c r="QOX42" s="1046">
        <f>QOX38+((QOX40+'NF - 5 Power Mix'!QOX14+'NF - 5 Power Mix'!QOX15)*860/10)+((('Form Sa1'!QPA835)*860)/10)+('Form Sa1'!QPA814*'Form Sa1'!QPA816/10)-'NF - 5 Power Mix'!QOX21-'NF - 5 Power Mix'!QOX22</f>
        <v>0</v>
      </c>
      <c r="QOY42" s="1046">
        <f>QOY38+((QOY40+'NF - 5 Power Mix'!QOY14+'NF - 5 Power Mix'!QOY15)*860/10)+((('Form Sa1'!QPB835)*860)/10)+('Form Sa1'!QPB814*'Form Sa1'!QPB816/10)-'NF - 5 Power Mix'!QOY21-'NF - 5 Power Mix'!QOY22</f>
        <v>0</v>
      </c>
      <c r="QOZ42" s="1046">
        <f>QOZ38+((QOZ40+'NF - 5 Power Mix'!QOZ14+'NF - 5 Power Mix'!QOZ15)*860/10)+((('Form Sa1'!QPC835)*860)/10)+('Form Sa1'!QPC814*'Form Sa1'!QPC816/10)-'NF - 5 Power Mix'!QOZ21-'NF - 5 Power Mix'!QOZ22</f>
        <v>0</v>
      </c>
      <c r="QPA42" s="1046">
        <f>QPA38+((QPA40+'NF - 5 Power Mix'!QPA14+'NF - 5 Power Mix'!QPA15)*860/10)+((('Form Sa1'!QPD835)*860)/10)+('Form Sa1'!QPD814*'Form Sa1'!QPD816/10)-'NF - 5 Power Mix'!QPA21-'NF - 5 Power Mix'!QPA22</f>
        <v>0</v>
      </c>
      <c r="QPB42" s="1046">
        <f>QPB38+((QPB40+'NF - 5 Power Mix'!QPB14+'NF - 5 Power Mix'!QPB15)*860/10)+((('Form Sa1'!QPE835)*860)/10)+('Form Sa1'!QPE814*'Form Sa1'!QPE816/10)-'NF - 5 Power Mix'!QPB21-'NF - 5 Power Mix'!QPB22</f>
        <v>0</v>
      </c>
      <c r="QPC42" s="1046">
        <f>QPC38+((QPC40+'NF - 5 Power Mix'!QPC14+'NF - 5 Power Mix'!QPC15)*860/10)+((('Form Sa1'!QPF835)*860)/10)+('Form Sa1'!QPF814*'Form Sa1'!QPF816/10)-'NF - 5 Power Mix'!QPC21-'NF - 5 Power Mix'!QPC22</f>
        <v>0</v>
      </c>
      <c r="QPD42" s="1046">
        <f>QPD38+((QPD40+'NF - 5 Power Mix'!QPD14+'NF - 5 Power Mix'!QPD15)*860/10)+((('Form Sa1'!QPG835)*860)/10)+('Form Sa1'!QPG814*'Form Sa1'!QPG816/10)-'NF - 5 Power Mix'!QPD21-'NF - 5 Power Mix'!QPD22</f>
        <v>0</v>
      </c>
      <c r="QPE42" s="1046">
        <f>QPE38+((QPE40+'NF - 5 Power Mix'!QPE14+'NF - 5 Power Mix'!QPE15)*860/10)+((('Form Sa1'!QPH835)*860)/10)+('Form Sa1'!QPH814*'Form Sa1'!QPH816/10)-'NF - 5 Power Mix'!QPE21-'NF - 5 Power Mix'!QPE22</f>
        <v>0</v>
      </c>
      <c r="QPF42" s="1046">
        <f>QPF38+((QPF40+'NF - 5 Power Mix'!QPF14+'NF - 5 Power Mix'!QPF15)*860/10)+((('Form Sa1'!QPI835)*860)/10)+('Form Sa1'!QPI814*'Form Sa1'!QPI816/10)-'NF - 5 Power Mix'!QPF21-'NF - 5 Power Mix'!QPF22</f>
        <v>0</v>
      </c>
      <c r="QPG42" s="1046">
        <f>QPG38+((QPG40+'NF - 5 Power Mix'!QPG14+'NF - 5 Power Mix'!QPG15)*860/10)+((('Form Sa1'!QPJ835)*860)/10)+('Form Sa1'!QPJ814*'Form Sa1'!QPJ816/10)-'NF - 5 Power Mix'!QPG21-'NF - 5 Power Mix'!QPG22</f>
        <v>0</v>
      </c>
      <c r="QPH42" s="1046">
        <f>QPH38+((QPH40+'NF - 5 Power Mix'!QPH14+'NF - 5 Power Mix'!QPH15)*860/10)+((('Form Sa1'!QPK835)*860)/10)+('Form Sa1'!QPK814*'Form Sa1'!QPK816/10)-'NF - 5 Power Mix'!QPH21-'NF - 5 Power Mix'!QPH22</f>
        <v>0</v>
      </c>
      <c r="QPI42" s="1046">
        <f>QPI38+((QPI40+'NF - 5 Power Mix'!QPI14+'NF - 5 Power Mix'!QPI15)*860/10)+((('Form Sa1'!QPL835)*860)/10)+('Form Sa1'!QPL814*'Form Sa1'!QPL816/10)-'NF - 5 Power Mix'!QPI21-'NF - 5 Power Mix'!QPI22</f>
        <v>0</v>
      </c>
      <c r="QPJ42" s="1046">
        <f>QPJ38+((QPJ40+'NF - 5 Power Mix'!QPJ14+'NF - 5 Power Mix'!QPJ15)*860/10)+((('Form Sa1'!QPM835)*860)/10)+('Form Sa1'!QPM814*'Form Sa1'!QPM816/10)-'NF - 5 Power Mix'!QPJ21-'NF - 5 Power Mix'!QPJ22</f>
        <v>0</v>
      </c>
      <c r="QPK42" s="1046">
        <f>QPK38+((QPK40+'NF - 5 Power Mix'!QPK14+'NF - 5 Power Mix'!QPK15)*860/10)+((('Form Sa1'!QPN835)*860)/10)+('Form Sa1'!QPN814*'Form Sa1'!QPN816/10)-'NF - 5 Power Mix'!QPK21-'NF - 5 Power Mix'!QPK22</f>
        <v>0</v>
      </c>
      <c r="QPL42" s="1046">
        <f>QPL38+((QPL40+'NF - 5 Power Mix'!QPL14+'NF - 5 Power Mix'!QPL15)*860/10)+((('Form Sa1'!QPO835)*860)/10)+('Form Sa1'!QPO814*'Form Sa1'!QPO816/10)-'NF - 5 Power Mix'!QPL21-'NF - 5 Power Mix'!QPL22</f>
        <v>0</v>
      </c>
      <c r="QPM42" s="1046">
        <f>QPM38+((QPM40+'NF - 5 Power Mix'!QPM14+'NF - 5 Power Mix'!QPM15)*860/10)+((('Form Sa1'!QPP835)*860)/10)+('Form Sa1'!QPP814*'Form Sa1'!QPP816/10)-'NF - 5 Power Mix'!QPM21-'NF - 5 Power Mix'!QPM22</f>
        <v>0</v>
      </c>
      <c r="QPN42" s="1046">
        <f>QPN38+((QPN40+'NF - 5 Power Mix'!QPN14+'NF - 5 Power Mix'!QPN15)*860/10)+((('Form Sa1'!QPQ835)*860)/10)+('Form Sa1'!QPQ814*'Form Sa1'!QPQ816/10)-'NF - 5 Power Mix'!QPN21-'NF - 5 Power Mix'!QPN22</f>
        <v>0</v>
      </c>
      <c r="QPO42" s="1046">
        <f>QPO38+((QPO40+'NF - 5 Power Mix'!QPO14+'NF - 5 Power Mix'!QPO15)*860/10)+((('Form Sa1'!QPR835)*860)/10)+('Form Sa1'!QPR814*'Form Sa1'!QPR816/10)-'NF - 5 Power Mix'!QPO21-'NF - 5 Power Mix'!QPO22</f>
        <v>0</v>
      </c>
      <c r="QPP42" s="1046">
        <f>QPP38+((QPP40+'NF - 5 Power Mix'!QPP14+'NF - 5 Power Mix'!QPP15)*860/10)+((('Form Sa1'!QPS835)*860)/10)+('Form Sa1'!QPS814*'Form Sa1'!QPS816/10)-'NF - 5 Power Mix'!QPP21-'NF - 5 Power Mix'!QPP22</f>
        <v>0</v>
      </c>
      <c r="QPQ42" s="1046">
        <f>QPQ38+((QPQ40+'NF - 5 Power Mix'!QPQ14+'NF - 5 Power Mix'!QPQ15)*860/10)+((('Form Sa1'!QPT835)*860)/10)+('Form Sa1'!QPT814*'Form Sa1'!QPT816/10)-'NF - 5 Power Mix'!QPQ21-'NF - 5 Power Mix'!QPQ22</f>
        <v>0</v>
      </c>
      <c r="QPR42" s="1046">
        <f>QPR38+((QPR40+'NF - 5 Power Mix'!QPR14+'NF - 5 Power Mix'!QPR15)*860/10)+((('Form Sa1'!QPU835)*860)/10)+('Form Sa1'!QPU814*'Form Sa1'!QPU816/10)-'NF - 5 Power Mix'!QPR21-'NF - 5 Power Mix'!QPR22</f>
        <v>0</v>
      </c>
      <c r="QPS42" s="1046">
        <f>QPS38+((QPS40+'NF - 5 Power Mix'!QPS14+'NF - 5 Power Mix'!QPS15)*860/10)+((('Form Sa1'!QPV835)*860)/10)+('Form Sa1'!QPV814*'Form Sa1'!QPV816/10)-'NF - 5 Power Mix'!QPS21-'NF - 5 Power Mix'!QPS22</f>
        <v>0</v>
      </c>
      <c r="QPT42" s="1046">
        <f>QPT38+((QPT40+'NF - 5 Power Mix'!QPT14+'NF - 5 Power Mix'!QPT15)*860/10)+((('Form Sa1'!QPW835)*860)/10)+('Form Sa1'!QPW814*'Form Sa1'!QPW816/10)-'NF - 5 Power Mix'!QPT21-'NF - 5 Power Mix'!QPT22</f>
        <v>0</v>
      </c>
      <c r="QPU42" s="1046">
        <f>QPU38+((QPU40+'NF - 5 Power Mix'!QPU14+'NF - 5 Power Mix'!QPU15)*860/10)+((('Form Sa1'!QPX835)*860)/10)+('Form Sa1'!QPX814*'Form Sa1'!QPX816/10)-'NF - 5 Power Mix'!QPU21-'NF - 5 Power Mix'!QPU22</f>
        <v>0</v>
      </c>
      <c r="QPV42" s="1046">
        <f>QPV38+((QPV40+'NF - 5 Power Mix'!QPV14+'NF - 5 Power Mix'!QPV15)*860/10)+((('Form Sa1'!QPY835)*860)/10)+('Form Sa1'!QPY814*'Form Sa1'!QPY816/10)-'NF - 5 Power Mix'!QPV21-'NF - 5 Power Mix'!QPV22</f>
        <v>0</v>
      </c>
      <c r="QPW42" s="1046">
        <f>QPW38+((QPW40+'NF - 5 Power Mix'!QPW14+'NF - 5 Power Mix'!QPW15)*860/10)+((('Form Sa1'!QPZ835)*860)/10)+('Form Sa1'!QPZ814*'Form Sa1'!QPZ816/10)-'NF - 5 Power Mix'!QPW21-'NF - 5 Power Mix'!QPW22</f>
        <v>0</v>
      </c>
      <c r="QPX42" s="1046">
        <f>QPX38+((QPX40+'NF - 5 Power Mix'!QPX14+'NF - 5 Power Mix'!QPX15)*860/10)+((('Form Sa1'!QQA835)*860)/10)+('Form Sa1'!QQA814*'Form Sa1'!QQA816/10)-'NF - 5 Power Mix'!QPX21-'NF - 5 Power Mix'!QPX22</f>
        <v>0</v>
      </c>
      <c r="QPY42" s="1046">
        <f>QPY38+((QPY40+'NF - 5 Power Mix'!QPY14+'NF - 5 Power Mix'!QPY15)*860/10)+((('Form Sa1'!QQB835)*860)/10)+('Form Sa1'!QQB814*'Form Sa1'!QQB816/10)-'NF - 5 Power Mix'!QPY21-'NF - 5 Power Mix'!QPY22</f>
        <v>0</v>
      </c>
      <c r="QPZ42" s="1046">
        <f>QPZ38+((QPZ40+'NF - 5 Power Mix'!QPZ14+'NF - 5 Power Mix'!QPZ15)*860/10)+((('Form Sa1'!QQC835)*860)/10)+('Form Sa1'!QQC814*'Form Sa1'!QQC816/10)-'NF - 5 Power Mix'!QPZ21-'NF - 5 Power Mix'!QPZ22</f>
        <v>0</v>
      </c>
      <c r="QQA42" s="1046">
        <f>QQA38+((QQA40+'NF - 5 Power Mix'!QQA14+'NF - 5 Power Mix'!QQA15)*860/10)+((('Form Sa1'!QQD835)*860)/10)+('Form Sa1'!QQD814*'Form Sa1'!QQD816/10)-'NF - 5 Power Mix'!QQA21-'NF - 5 Power Mix'!QQA22</f>
        <v>0</v>
      </c>
      <c r="QQB42" s="1046">
        <f>QQB38+((QQB40+'NF - 5 Power Mix'!QQB14+'NF - 5 Power Mix'!QQB15)*860/10)+((('Form Sa1'!QQE835)*860)/10)+('Form Sa1'!QQE814*'Form Sa1'!QQE816/10)-'NF - 5 Power Mix'!QQB21-'NF - 5 Power Mix'!QQB22</f>
        <v>0</v>
      </c>
      <c r="QQC42" s="1046">
        <f>QQC38+((QQC40+'NF - 5 Power Mix'!QQC14+'NF - 5 Power Mix'!QQC15)*860/10)+((('Form Sa1'!QQF835)*860)/10)+('Form Sa1'!QQF814*'Form Sa1'!QQF816/10)-'NF - 5 Power Mix'!QQC21-'NF - 5 Power Mix'!QQC22</f>
        <v>0</v>
      </c>
      <c r="QQD42" s="1046">
        <f>QQD38+((QQD40+'NF - 5 Power Mix'!QQD14+'NF - 5 Power Mix'!QQD15)*860/10)+((('Form Sa1'!QQG835)*860)/10)+('Form Sa1'!QQG814*'Form Sa1'!QQG816/10)-'NF - 5 Power Mix'!QQD21-'NF - 5 Power Mix'!QQD22</f>
        <v>0</v>
      </c>
      <c r="QQE42" s="1046">
        <f>QQE38+((QQE40+'NF - 5 Power Mix'!QQE14+'NF - 5 Power Mix'!QQE15)*860/10)+((('Form Sa1'!QQH835)*860)/10)+('Form Sa1'!QQH814*'Form Sa1'!QQH816/10)-'NF - 5 Power Mix'!QQE21-'NF - 5 Power Mix'!QQE22</f>
        <v>0</v>
      </c>
      <c r="QQF42" s="1046">
        <f>QQF38+((QQF40+'NF - 5 Power Mix'!QQF14+'NF - 5 Power Mix'!QQF15)*860/10)+((('Form Sa1'!QQI835)*860)/10)+('Form Sa1'!QQI814*'Form Sa1'!QQI816/10)-'NF - 5 Power Mix'!QQF21-'NF - 5 Power Mix'!QQF22</f>
        <v>0</v>
      </c>
      <c r="QQG42" s="1046">
        <f>QQG38+((QQG40+'NF - 5 Power Mix'!QQG14+'NF - 5 Power Mix'!QQG15)*860/10)+((('Form Sa1'!QQJ835)*860)/10)+('Form Sa1'!QQJ814*'Form Sa1'!QQJ816/10)-'NF - 5 Power Mix'!QQG21-'NF - 5 Power Mix'!QQG22</f>
        <v>0</v>
      </c>
      <c r="QQH42" s="1046">
        <f>QQH38+((QQH40+'NF - 5 Power Mix'!QQH14+'NF - 5 Power Mix'!QQH15)*860/10)+((('Form Sa1'!QQK835)*860)/10)+('Form Sa1'!QQK814*'Form Sa1'!QQK816/10)-'NF - 5 Power Mix'!QQH21-'NF - 5 Power Mix'!QQH22</f>
        <v>0</v>
      </c>
      <c r="QQI42" s="1046">
        <f>QQI38+((QQI40+'NF - 5 Power Mix'!QQI14+'NF - 5 Power Mix'!QQI15)*860/10)+((('Form Sa1'!QQL835)*860)/10)+('Form Sa1'!QQL814*'Form Sa1'!QQL816/10)-'NF - 5 Power Mix'!QQI21-'NF - 5 Power Mix'!QQI22</f>
        <v>0</v>
      </c>
      <c r="QQJ42" s="1046">
        <f>QQJ38+((QQJ40+'NF - 5 Power Mix'!QQJ14+'NF - 5 Power Mix'!QQJ15)*860/10)+((('Form Sa1'!QQM835)*860)/10)+('Form Sa1'!QQM814*'Form Sa1'!QQM816/10)-'NF - 5 Power Mix'!QQJ21-'NF - 5 Power Mix'!QQJ22</f>
        <v>0</v>
      </c>
      <c r="QQK42" s="1046">
        <f>QQK38+((QQK40+'NF - 5 Power Mix'!QQK14+'NF - 5 Power Mix'!QQK15)*860/10)+((('Form Sa1'!QQN835)*860)/10)+('Form Sa1'!QQN814*'Form Sa1'!QQN816/10)-'NF - 5 Power Mix'!QQK21-'NF - 5 Power Mix'!QQK22</f>
        <v>0</v>
      </c>
      <c r="QQL42" s="1046">
        <f>QQL38+((QQL40+'NF - 5 Power Mix'!QQL14+'NF - 5 Power Mix'!QQL15)*860/10)+((('Form Sa1'!QQO835)*860)/10)+('Form Sa1'!QQO814*'Form Sa1'!QQO816/10)-'NF - 5 Power Mix'!QQL21-'NF - 5 Power Mix'!QQL22</f>
        <v>0</v>
      </c>
      <c r="QQM42" s="1046">
        <f>QQM38+((QQM40+'NF - 5 Power Mix'!QQM14+'NF - 5 Power Mix'!QQM15)*860/10)+((('Form Sa1'!QQP835)*860)/10)+('Form Sa1'!QQP814*'Form Sa1'!QQP816/10)-'NF - 5 Power Mix'!QQM21-'NF - 5 Power Mix'!QQM22</f>
        <v>0</v>
      </c>
      <c r="QQN42" s="1046">
        <f>QQN38+((QQN40+'NF - 5 Power Mix'!QQN14+'NF - 5 Power Mix'!QQN15)*860/10)+((('Form Sa1'!QQQ835)*860)/10)+('Form Sa1'!QQQ814*'Form Sa1'!QQQ816/10)-'NF - 5 Power Mix'!QQN21-'NF - 5 Power Mix'!QQN22</f>
        <v>0</v>
      </c>
      <c r="QQO42" s="1046">
        <f>QQO38+((QQO40+'NF - 5 Power Mix'!QQO14+'NF - 5 Power Mix'!QQO15)*860/10)+((('Form Sa1'!QQR835)*860)/10)+('Form Sa1'!QQR814*'Form Sa1'!QQR816/10)-'NF - 5 Power Mix'!QQO21-'NF - 5 Power Mix'!QQO22</f>
        <v>0</v>
      </c>
      <c r="QQP42" s="1046">
        <f>QQP38+((QQP40+'NF - 5 Power Mix'!QQP14+'NF - 5 Power Mix'!QQP15)*860/10)+((('Form Sa1'!QQS835)*860)/10)+('Form Sa1'!QQS814*'Form Sa1'!QQS816/10)-'NF - 5 Power Mix'!QQP21-'NF - 5 Power Mix'!QQP22</f>
        <v>0</v>
      </c>
      <c r="QQQ42" s="1046">
        <f>QQQ38+((QQQ40+'NF - 5 Power Mix'!QQQ14+'NF - 5 Power Mix'!QQQ15)*860/10)+((('Form Sa1'!QQT835)*860)/10)+('Form Sa1'!QQT814*'Form Sa1'!QQT816/10)-'NF - 5 Power Mix'!QQQ21-'NF - 5 Power Mix'!QQQ22</f>
        <v>0</v>
      </c>
      <c r="QQR42" s="1046">
        <f>QQR38+((QQR40+'NF - 5 Power Mix'!QQR14+'NF - 5 Power Mix'!QQR15)*860/10)+((('Form Sa1'!QQU835)*860)/10)+('Form Sa1'!QQU814*'Form Sa1'!QQU816/10)-'NF - 5 Power Mix'!QQR21-'NF - 5 Power Mix'!QQR22</f>
        <v>0</v>
      </c>
      <c r="QQS42" s="1046">
        <f>QQS38+((QQS40+'NF - 5 Power Mix'!QQS14+'NF - 5 Power Mix'!QQS15)*860/10)+((('Form Sa1'!QQV835)*860)/10)+('Form Sa1'!QQV814*'Form Sa1'!QQV816/10)-'NF - 5 Power Mix'!QQS21-'NF - 5 Power Mix'!QQS22</f>
        <v>0</v>
      </c>
      <c r="QQT42" s="1046">
        <f>QQT38+((QQT40+'NF - 5 Power Mix'!QQT14+'NF - 5 Power Mix'!QQT15)*860/10)+((('Form Sa1'!QQW835)*860)/10)+('Form Sa1'!QQW814*'Form Sa1'!QQW816/10)-'NF - 5 Power Mix'!QQT21-'NF - 5 Power Mix'!QQT22</f>
        <v>0</v>
      </c>
      <c r="QQU42" s="1046">
        <f>QQU38+((QQU40+'NF - 5 Power Mix'!QQU14+'NF - 5 Power Mix'!QQU15)*860/10)+((('Form Sa1'!QQX835)*860)/10)+('Form Sa1'!QQX814*'Form Sa1'!QQX816/10)-'NF - 5 Power Mix'!QQU21-'NF - 5 Power Mix'!QQU22</f>
        <v>0</v>
      </c>
      <c r="QQV42" s="1046">
        <f>QQV38+((QQV40+'NF - 5 Power Mix'!QQV14+'NF - 5 Power Mix'!QQV15)*860/10)+((('Form Sa1'!QQY835)*860)/10)+('Form Sa1'!QQY814*'Form Sa1'!QQY816/10)-'NF - 5 Power Mix'!QQV21-'NF - 5 Power Mix'!QQV22</f>
        <v>0</v>
      </c>
      <c r="QQW42" s="1046">
        <f>QQW38+((QQW40+'NF - 5 Power Mix'!QQW14+'NF - 5 Power Mix'!QQW15)*860/10)+((('Form Sa1'!QQZ835)*860)/10)+('Form Sa1'!QQZ814*'Form Sa1'!QQZ816/10)-'NF - 5 Power Mix'!QQW21-'NF - 5 Power Mix'!QQW22</f>
        <v>0</v>
      </c>
      <c r="QQX42" s="1046">
        <f>QQX38+((QQX40+'NF - 5 Power Mix'!QQX14+'NF - 5 Power Mix'!QQX15)*860/10)+((('Form Sa1'!QRA835)*860)/10)+('Form Sa1'!QRA814*'Form Sa1'!QRA816/10)-'NF - 5 Power Mix'!QQX21-'NF - 5 Power Mix'!QQX22</f>
        <v>0</v>
      </c>
      <c r="QQY42" s="1046">
        <f>QQY38+((QQY40+'NF - 5 Power Mix'!QQY14+'NF - 5 Power Mix'!QQY15)*860/10)+((('Form Sa1'!QRB835)*860)/10)+('Form Sa1'!QRB814*'Form Sa1'!QRB816/10)-'NF - 5 Power Mix'!QQY21-'NF - 5 Power Mix'!QQY22</f>
        <v>0</v>
      </c>
      <c r="QQZ42" s="1046">
        <f>QQZ38+((QQZ40+'NF - 5 Power Mix'!QQZ14+'NF - 5 Power Mix'!QQZ15)*860/10)+((('Form Sa1'!QRC835)*860)/10)+('Form Sa1'!QRC814*'Form Sa1'!QRC816/10)-'NF - 5 Power Mix'!QQZ21-'NF - 5 Power Mix'!QQZ22</f>
        <v>0</v>
      </c>
      <c r="QRA42" s="1046">
        <f>QRA38+((QRA40+'NF - 5 Power Mix'!QRA14+'NF - 5 Power Mix'!QRA15)*860/10)+((('Form Sa1'!QRD835)*860)/10)+('Form Sa1'!QRD814*'Form Sa1'!QRD816/10)-'NF - 5 Power Mix'!QRA21-'NF - 5 Power Mix'!QRA22</f>
        <v>0</v>
      </c>
      <c r="QRB42" s="1046">
        <f>QRB38+((QRB40+'NF - 5 Power Mix'!QRB14+'NF - 5 Power Mix'!QRB15)*860/10)+((('Form Sa1'!QRE835)*860)/10)+('Form Sa1'!QRE814*'Form Sa1'!QRE816/10)-'NF - 5 Power Mix'!QRB21-'NF - 5 Power Mix'!QRB22</f>
        <v>0</v>
      </c>
      <c r="QRC42" s="1046">
        <f>QRC38+((QRC40+'NF - 5 Power Mix'!QRC14+'NF - 5 Power Mix'!QRC15)*860/10)+((('Form Sa1'!QRF835)*860)/10)+('Form Sa1'!QRF814*'Form Sa1'!QRF816/10)-'NF - 5 Power Mix'!QRC21-'NF - 5 Power Mix'!QRC22</f>
        <v>0</v>
      </c>
      <c r="QRD42" s="1046">
        <f>QRD38+((QRD40+'NF - 5 Power Mix'!QRD14+'NF - 5 Power Mix'!QRD15)*860/10)+((('Form Sa1'!QRG835)*860)/10)+('Form Sa1'!QRG814*'Form Sa1'!QRG816/10)-'NF - 5 Power Mix'!QRD21-'NF - 5 Power Mix'!QRD22</f>
        <v>0</v>
      </c>
      <c r="QRE42" s="1046">
        <f>QRE38+((QRE40+'NF - 5 Power Mix'!QRE14+'NF - 5 Power Mix'!QRE15)*860/10)+((('Form Sa1'!QRH835)*860)/10)+('Form Sa1'!QRH814*'Form Sa1'!QRH816/10)-'NF - 5 Power Mix'!QRE21-'NF - 5 Power Mix'!QRE22</f>
        <v>0</v>
      </c>
      <c r="QRF42" s="1046">
        <f>QRF38+((QRF40+'NF - 5 Power Mix'!QRF14+'NF - 5 Power Mix'!QRF15)*860/10)+((('Form Sa1'!QRI835)*860)/10)+('Form Sa1'!QRI814*'Form Sa1'!QRI816/10)-'NF - 5 Power Mix'!QRF21-'NF - 5 Power Mix'!QRF22</f>
        <v>0</v>
      </c>
      <c r="QRG42" s="1046">
        <f>QRG38+((QRG40+'NF - 5 Power Mix'!QRG14+'NF - 5 Power Mix'!QRG15)*860/10)+((('Form Sa1'!QRJ835)*860)/10)+('Form Sa1'!QRJ814*'Form Sa1'!QRJ816/10)-'NF - 5 Power Mix'!QRG21-'NF - 5 Power Mix'!QRG22</f>
        <v>0</v>
      </c>
      <c r="QRH42" s="1046">
        <f>QRH38+((QRH40+'NF - 5 Power Mix'!QRH14+'NF - 5 Power Mix'!QRH15)*860/10)+((('Form Sa1'!QRK835)*860)/10)+('Form Sa1'!QRK814*'Form Sa1'!QRK816/10)-'NF - 5 Power Mix'!QRH21-'NF - 5 Power Mix'!QRH22</f>
        <v>0</v>
      </c>
      <c r="QRI42" s="1046">
        <f>QRI38+((QRI40+'NF - 5 Power Mix'!QRI14+'NF - 5 Power Mix'!QRI15)*860/10)+((('Form Sa1'!QRL835)*860)/10)+('Form Sa1'!QRL814*'Form Sa1'!QRL816/10)-'NF - 5 Power Mix'!QRI21-'NF - 5 Power Mix'!QRI22</f>
        <v>0</v>
      </c>
      <c r="QRJ42" s="1046">
        <f>QRJ38+((QRJ40+'NF - 5 Power Mix'!QRJ14+'NF - 5 Power Mix'!QRJ15)*860/10)+((('Form Sa1'!QRM835)*860)/10)+('Form Sa1'!QRM814*'Form Sa1'!QRM816/10)-'NF - 5 Power Mix'!QRJ21-'NF - 5 Power Mix'!QRJ22</f>
        <v>0</v>
      </c>
      <c r="QRK42" s="1046">
        <f>QRK38+((QRK40+'NF - 5 Power Mix'!QRK14+'NF - 5 Power Mix'!QRK15)*860/10)+((('Form Sa1'!QRN835)*860)/10)+('Form Sa1'!QRN814*'Form Sa1'!QRN816/10)-'NF - 5 Power Mix'!QRK21-'NF - 5 Power Mix'!QRK22</f>
        <v>0</v>
      </c>
      <c r="QRL42" s="1046">
        <f>QRL38+((QRL40+'NF - 5 Power Mix'!QRL14+'NF - 5 Power Mix'!QRL15)*860/10)+((('Form Sa1'!QRO835)*860)/10)+('Form Sa1'!QRO814*'Form Sa1'!QRO816/10)-'NF - 5 Power Mix'!QRL21-'NF - 5 Power Mix'!QRL22</f>
        <v>0</v>
      </c>
      <c r="QRM42" s="1046">
        <f>QRM38+((QRM40+'NF - 5 Power Mix'!QRM14+'NF - 5 Power Mix'!QRM15)*860/10)+((('Form Sa1'!QRP835)*860)/10)+('Form Sa1'!QRP814*'Form Sa1'!QRP816/10)-'NF - 5 Power Mix'!QRM21-'NF - 5 Power Mix'!QRM22</f>
        <v>0</v>
      </c>
      <c r="QRN42" s="1046">
        <f>QRN38+((QRN40+'NF - 5 Power Mix'!QRN14+'NF - 5 Power Mix'!QRN15)*860/10)+((('Form Sa1'!QRQ835)*860)/10)+('Form Sa1'!QRQ814*'Form Sa1'!QRQ816/10)-'NF - 5 Power Mix'!QRN21-'NF - 5 Power Mix'!QRN22</f>
        <v>0</v>
      </c>
      <c r="QRO42" s="1046">
        <f>QRO38+((QRO40+'NF - 5 Power Mix'!QRO14+'NF - 5 Power Mix'!QRO15)*860/10)+((('Form Sa1'!QRR835)*860)/10)+('Form Sa1'!QRR814*'Form Sa1'!QRR816/10)-'NF - 5 Power Mix'!QRO21-'NF - 5 Power Mix'!QRO22</f>
        <v>0</v>
      </c>
      <c r="QRP42" s="1046">
        <f>QRP38+((QRP40+'NF - 5 Power Mix'!QRP14+'NF - 5 Power Mix'!QRP15)*860/10)+((('Form Sa1'!QRS835)*860)/10)+('Form Sa1'!QRS814*'Form Sa1'!QRS816/10)-'NF - 5 Power Mix'!QRP21-'NF - 5 Power Mix'!QRP22</f>
        <v>0</v>
      </c>
      <c r="QRQ42" s="1046">
        <f>QRQ38+((QRQ40+'NF - 5 Power Mix'!QRQ14+'NF - 5 Power Mix'!QRQ15)*860/10)+((('Form Sa1'!QRT835)*860)/10)+('Form Sa1'!QRT814*'Form Sa1'!QRT816/10)-'NF - 5 Power Mix'!QRQ21-'NF - 5 Power Mix'!QRQ22</f>
        <v>0</v>
      </c>
      <c r="QRR42" s="1046">
        <f>QRR38+((QRR40+'NF - 5 Power Mix'!QRR14+'NF - 5 Power Mix'!QRR15)*860/10)+((('Form Sa1'!QRU835)*860)/10)+('Form Sa1'!QRU814*'Form Sa1'!QRU816/10)-'NF - 5 Power Mix'!QRR21-'NF - 5 Power Mix'!QRR22</f>
        <v>0</v>
      </c>
      <c r="QRS42" s="1046">
        <f>QRS38+((QRS40+'NF - 5 Power Mix'!QRS14+'NF - 5 Power Mix'!QRS15)*860/10)+((('Form Sa1'!QRV835)*860)/10)+('Form Sa1'!QRV814*'Form Sa1'!QRV816/10)-'NF - 5 Power Mix'!QRS21-'NF - 5 Power Mix'!QRS22</f>
        <v>0</v>
      </c>
      <c r="QRT42" s="1046">
        <f>QRT38+((QRT40+'NF - 5 Power Mix'!QRT14+'NF - 5 Power Mix'!QRT15)*860/10)+((('Form Sa1'!QRW835)*860)/10)+('Form Sa1'!QRW814*'Form Sa1'!QRW816/10)-'NF - 5 Power Mix'!QRT21-'NF - 5 Power Mix'!QRT22</f>
        <v>0</v>
      </c>
      <c r="QRU42" s="1046">
        <f>QRU38+((QRU40+'NF - 5 Power Mix'!QRU14+'NF - 5 Power Mix'!QRU15)*860/10)+((('Form Sa1'!QRX835)*860)/10)+('Form Sa1'!QRX814*'Form Sa1'!QRX816/10)-'NF - 5 Power Mix'!QRU21-'NF - 5 Power Mix'!QRU22</f>
        <v>0</v>
      </c>
      <c r="QRV42" s="1046">
        <f>QRV38+((QRV40+'NF - 5 Power Mix'!QRV14+'NF - 5 Power Mix'!QRV15)*860/10)+((('Form Sa1'!QRY835)*860)/10)+('Form Sa1'!QRY814*'Form Sa1'!QRY816/10)-'NF - 5 Power Mix'!QRV21-'NF - 5 Power Mix'!QRV22</f>
        <v>0</v>
      </c>
      <c r="QRW42" s="1046">
        <f>QRW38+((QRW40+'NF - 5 Power Mix'!QRW14+'NF - 5 Power Mix'!QRW15)*860/10)+((('Form Sa1'!QRZ835)*860)/10)+('Form Sa1'!QRZ814*'Form Sa1'!QRZ816/10)-'NF - 5 Power Mix'!QRW21-'NF - 5 Power Mix'!QRW22</f>
        <v>0</v>
      </c>
      <c r="QRX42" s="1046">
        <f>QRX38+((QRX40+'NF - 5 Power Mix'!QRX14+'NF - 5 Power Mix'!QRX15)*860/10)+((('Form Sa1'!QSA835)*860)/10)+('Form Sa1'!QSA814*'Form Sa1'!QSA816/10)-'NF - 5 Power Mix'!QRX21-'NF - 5 Power Mix'!QRX22</f>
        <v>0</v>
      </c>
      <c r="QRY42" s="1046">
        <f>QRY38+((QRY40+'NF - 5 Power Mix'!QRY14+'NF - 5 Power Mix'!QRY15)*860/10)+((('Form Sa1'!QSB835)*860)/10)+('Form Sa1'!QSB814*'Form Sa1'!QSB816/10)-'NF - 5 Power Mix'!QRY21-'NF - 5 Power Mix'!QRY22</f>
        <v>0</v>
      </c>
      <c r="QRZ42" s="1046">
        <f>QRZ38+((QRZ40+'NF - 5 Power Mix'!QRZ14+'NF - 5 Power Mix'!QRZ15)*860/10)+((('Form Sa1'!QSC835)*860)/10)+('Form Sa1'!QSC814*'Form Sa1'!QSC816/10)-'NF - 5 Power Mix'!QRZ21-'NF - 5 Power Mix'!QRZ22</f>
        <v>0</v>
      </c>
      <c r="QSA42" s="1046">
        <f>QSA38+((QSA40+'NF - 5 Power Mix'!QSA14+'NF - 5 Power Mix'!QSA15)*860/10)+((('Form Sa1'!QSD835)*860)/10)+('Form Sa1'!QSD814*'Form Sa1'!QSD816/10)-'NF - 5 Power Mix'!QSA21-'NF - 5 Power Mix'!QSA22</f>
        <v>0</v>
      </c>
      <c r="QSB42" s="1046">
        <f>QSB38+((QSB40+'NF - 5 Power Mix'!QSB14+'NF - 5 Power Mix'!QSB15)*860/10)+((('Form Sa1'!QSE835)*860)/10)+('Form Sa1'!QSE814*'Form Sa1'!QSE816/10)-'NF - 5 Power Mix'!QSB21-'NF - 5 Power Mix'!QSB22</f>
        <v>0</v>
      </c>
      <c r="QSC42" s="1046">
        <f>QSC38+((QSC40+'NF - 5 Power Mix'!QSC14+'NF - 5 Power Mix'!QSC15)*860/10)+((('Form Sa1'!QSF835)*860)/10)+('Form Sa1'!QSF814*'Form Sa1'!QSF816/10)-'NF - 5 Power Mix'!QSC21-'NF - 5 Power Mix'!QSC22</f>
        <v>0</v>
      </c>
      <c r="QSD42" s="1046">
        <f>QSD38+((QSD40+'NF - 5 Power Mix'!QSD14+'NF - 5 Power Mix'!QSD15)*860/10)+((('Form Sa1'!QSG835)*860)/10)+('Form Sa1'!QSG814*'Form Sa1'!QSG816/10)-'NF - 5 Power Mix'!QSD21-'NF - 5 Power Mix'!QSD22</f>
        <v>0</v>
      </c>
      <c r="QSE42" s="1046">
        <f>QSE38+((QSE40+'NF - 5 Power Mix'!QSE14+'NF - 5 Power Mix'!QSE15)*860/10)+((('Form Sa1'!QSH835)*860)/10)+('Form Sa1'!QSH814*'Form Sa1'!QSH816/10)-'NF - 5 Power Mix'!QSE21-'NF - 5 Power Mix'!QSE22</f>
        <v>0</v>
      </c>
      <c r="QSF42" s="1046">
        <f>QSF38+((QSF40+'NF - 5 Power Mix'!QSF14+'NF - 5 Power Mix'!QSF15)*860/10)+((('Form Sa1'!QSI835)*860)/10)+('Form Sa1'!QSI814*'Form Sa1'!QSI816/10)-'NF - 5 Power Mix'!QSF21-'NF - 5 Power Mix'!QSF22</f>
        <v>0</v>
      </c>
      <c r="QSG42" s="1046">
        <f>QSG38+((QSG40+'NF - 5 Power Mix'!QSG14+'NF - 5 Power Mix'!QSG15)*860/10)+((('Form Sa1'!QSJ835)*860)/10)+('Form Sa1'!QSJ814*'Form Sa1'!QSJ816/10)-'NF - 5 Power Mix'!QSG21-'NF - 5 Power Mix'!QSG22</f>
        <v>0</v>
      </c>
      <c r="QSH42" s="1046">
        <f>QSH38+((QSH40+'NF - 5 Power Mix'!QSH14+'NF - 5 Power Mix'!QSH15)*860/10)+((('Form Sa1'!QSK835)*860)/10)+('Form Sa1'!QSK814*'Form Sa1'!QSK816/10)-'NF - 5 Power Mix'!QSH21-'NF - 5 Power Mix'!QSH22</f>
        <v>0</v>
      </c>
      <c r="QSI42" s="1046">
        <f>QSI38+((QSI40+'NF - 5 Power Mix'!QSI14+'NF - 5 Power Mix'!QSI15)*860/10)+((('Form Sa1'!QSL835)*860)/10)+('Form Sa1'!QSL814*'Form Sa1'!QSL816/10)-'NF - 5 Power Mix'!QSI21-'NF - 5 Power Mix'!QSI22</f>
        <v>0</v>
      </c>
      <c r="QSJ42" s="1046">
        <f>QSJ38+((QSJ40+'NF - 5 Power Mix'!QSJ14+'NF - 5 Power Mix'!QSJ15)*860/10)+((('Form Sa1'!QSM835)*860)/10)+('Form Sa1'!QSM814*'Form Sa1'!QSM816/10)-'NF - 5 Power Mix'!QSJ21-'NF - 5 Power Mix'!QSJ22</f>
        <v>0</v>
      </c>
      <c r="QSK42" s="1046">
        <f>QSK38+((QSK40+'NF - 5 Power Mix'!QSK14+'NF - 5 Power Mix'!QSK15)*860/10)+((('Form Sa1'!QSN835)*860)/10)+('Form Sa1'!QSN814*'Form Sa1'!QSN816/10)-'NF - 5 Power Mix'!QSK21-'NF - 5 Power Mix'!QSK22</f>
        <v>0</v>
      </c>
      <c r="QSL42" s="1046">
        <f>QSL38+((QSL40+'NF - 5 Power Mix'!QSL14+'NF - 5 Power Mix'!QSL15)*860/10)+((('Form Sa1'!QSO835)*860)/10)+('Form Sa1'!QSO814*'Form Sa1'!QSO816/10)-'NF - 5 Power Mix'!QSL21-'NF - 5 Power Mix'!QSL22</f>
        <v>0</v>
      </c>
      <c r="QSM42" s="1046">
        <f>QSM38+((QSM40+'NF - 5 Power Mix'!QSM14+'NF - 5 Power Mix'!QSM15)*860/10)+((('Form Sa1'!QSP835)*860)/10)+('Form Sa1'!QSP814*'Form Sa1'!QSP816/10)-'NF - 5 Power Mix'!QSM21-'NF - 5 Power Mix'!QSM22</f>
        <v>0</v>
      </c>
      <c r="QSN42" s="1046">
        <f>QSN38+((QSN40+'NF - 5 Power Mix'!QSN14+'NF - 5 Power Mix'!QSN15)*860/10)+((('Form Sa1'!QSQ835)*860)/10)+('Form Sa1'!QSQ814*'Form Sa1'!QSQ816/10)-'NF - 5 Power Mix'!QSN21-'NF - 5 Power Mix'!QSN22</f>
        <v>0</v>
      </c>
      <c r="QSO42" s="1046">
        <f>QSO38+((QSO40+'NF - 5 Power Mix'!QSO14+'NF - 5 Power Mix'!QSO15)*860/10)+((('Form Sa1'!QSR835)*860)/10)+('Form Sa1'!QSR814*'Form Sa1'!QSR816/10)-'NF - 5 Power Mix'!QSO21-'NF - 5 Power Mix'!QSO22</f>
        <v>0</v>
      </c>
      <c r="QSP42" s="1046">
        <f>QSP38+((QSP40+'NF - 5 Power Mix'!QSP14+'NF - 5 Power Mix'!QSP15)*860/10)+((('Form Sa1'!QSS835)*860)/10)+('Form Sa1'!QSS814*'Form Sa1'!QSS816/10)-'NF - 5 Power Mix'!QSP21-'NF - 5 Power Mix'!QSP22</f>
        <v>0</v>
      </c>
      <c r="QSQ42" s="1046">
        <f>QSQ38+((QSQ40+'NF - 5 Power Mix'!QSQ14+'NF - 5 Power Mix'!QSQ15)*860/10)+((('Form Sa1'!QST835)*860)/10)+('Form Sa1'!QST814*'Form Sa1'!QST816/10)-'NF - 5 Power Mix'!QSQ21-'NF - 5 Power Mix'!QSQ22</f>
        <v>0</v>
      </c>
      <c r="QSR42" s="1046">
        <f>QSR38+((QSR40+'NF - 5 Power Mix'!QSR14+'NF - 5 Power Mix'!QSR15)*860/10)+((('Form Sa1'!QSU835)*860)/10)+('Form Sa1'!QSU814*'Form Sa1'!QSU816/10)-'NF - 5 Power Mix'!QSR21-'NF - 5 Power Mix'!QSR22</f>
        <v>0</v>
      </c>
      <c r="QSS42" s="1046">
        <f>QSS38+((QSS40+'NF - 5 Power Mix'!QSS14+'NF - 5 Power Mix'!QSS15)*860/10)+((('Form Sa1'!QSV835)*860)/10)+('Form Sa1'!QSV814*'Form Sa1'!QSV816/10)-'NF - 5 Power Mix'!QSS21-'NF - 5 Power Mix'!QSS22</f>
        <v>0</v>
      </c>
      <c r="QST42" s="1046">
        <f>QST38+((QST40+'NF - 5 Power Mix'!QST14+'NF - 5 Power Mix'!QST15)*860/10)+((('Form Sa1'!QSW835)*860)/10)+('Form Sa1'!QSW814*'Form Sa1'!QSW816/10)-'NF - 5 Power Mix'!QST21-'NF - 5 Power Mix'!QST22</f>
        <v>0</v>
      </c>
      <c r="QSU42" s="1046">
        <f>QSU38+((QSU40+'NF - 5 Power Mix'!QSU14+'NF - 5 Power Mix'!QSU15)*860/10)+((('Form Sa1'!QSX835)*860)/10)+('Form Sa1'!QSX814*'Form Sa1'!QSX816/10)-'NF - 5 Power Mix'!QSU21-'NF - 5 Power Mix'!QSU22</f>
        <v>0</v>
      </c>
      <c r="QSV42" s="1046">
        <f>QSV38+((QSV40+'NF - 5 Power Mix'!QSV14+'NF - 5 Power Mix'!QSV15)*860/10)+((('Form Sa1'!QSY835)*860)/10)+('Form Sa1'!QSY814*'Form Sa1'!QSY816/10)-'NF - 5 Power Mix'!QSV21-'NF - 5 Power Mix'!QSV22</f>
        <v>0</v>
      </c>
      <c r="QSW42" s="1046">
        <f>QSW38+((QSW40+'NF - 5 Power Mix'!QSW14+'NF - 5 Power Mix'!QSW15)*860/10)+((('Form Sa1'!QSZ835)*860)/10)+('Form Sa1'!QSZ814*'Form Sa1'!QSZ816/10)-'NF - 5 Power Mix'!QSW21-'NF - 5 Power Mix'!QSW22</f>
        <v>0</v>
      </c>
      <c r="QSX42" s="1046">
        <f>QSX38+((QSX40+'NF - 5 Power Mix'!QSX14+'NF - 5 Power Mix'!QSX15)*860/10)+((('Form Sa1'!QTA835)*860)/10)+('Form Sa1'!QTA814*'Form Sa1'!QTA816/10)-'NF - 5 Power Mix'!QSX21-'NF - 5 Power Mix'!QSX22</f>
        <v>0</v>
      </c>
      <c r="QSY42" s="1046">
        <f>QSY38+((QSY40+'NF - 5 Power Mix'!QSY14+'NF - 5 Power Mix'!QSY15)*860/10)+((('Form Sa1'!QTB835)*860)/10)+('Form Sa1'!QTB814*'Form Sa1'!QTB816/10)-'NF - 5 Power Mix'!QSY21-'NF - 5 Power Mix'!QSY22</f>
        <v>0</v>
      </c>
      <c r="QSZ42" s="1046">
        <f>QSZ38+((QSZ40+'NF - 5 Power Mix'!QSZ14+'NF - 5 Power Mix'!QSZ15)*860/10)+((('Form Sa1'!QTC835)*860)/10)+('Form Sa1'!QTC814*'Form Sa1'!QTC816/10)-'NF - 5 Power Mix'!QSZ21-'NF - 5 Power Mix'!QSZ22</f>
        <v>0</v>
      </c>
      <c r="QTA42" s="1046">
        <f>QTA38+((QTA40+'NF - 5 Power Mix'!QTA14+'NF - 5 Power Mix'!QTA15)*860/10)+((('Form Sa1'!QTD835)*860)/10)+('Form Sa1'!QTD814*'Form Sa1'!QTD816/10)-'NF - 5 Power Mix'!QTA21-'NF - 5 Power Mix'!QTA22</f>
        <v>0</v>
      </c>
      <c r="QTB42" s="1046">
        <f>QTB38+((QTB40+'NF - 5 Power Mix'!QTB14+'NF - 5 Power Mix'!QTB15)*860/10)+((('Form Sa1'!QTE835)*860)/10)+('Form Sa1'!QTE814*'Form Sa1'!QTE816/10)-'NF - 5 Power Mix'!QTB21-'NF - 5 Power Mix'!QTB22</f>
        <v>0</v>
      </c>
      <c r="QTC42" s="1046">
        <f>QTC38+((QTC40+'NF - 5 Power Mix'!QTC14+'NF - 5 Power Mix'!QTC15)*860/10)+((('Form Sa1'!QTF835)*860)/10)+('Form Sa1'!QTF814*'Form Sa1'!QTF816/10)-'NF - 5 Power Mix'!QTC21-'NF - 5 Power Mix'!QTC22</f>
        <v>0</v>
      </c>
      <c r="QTD42" s="1046">
        <f>QTD38+((QTD40+'NF - 5 Power Mix'!QTD14+'NF - 5 Power Mix'!QTD15)*860/10)+((('Form Sa1'!QTG835)*860)/10)+('Form Sa1'!QTG814*'Form Sa1'!QTG816/10)-'NF - 5 Power Mix'!QTD21-'NF - 5 Power Mix'!QTD22</f>
        <v>0</v>
      </c>
      <c r="QTE42" s="1046">
        <f>QTE38+((QTE40+'NF - 5 Power Mix'!QTE14+'NF - 5 Power Mix'!QTE15)*860/10)+((('Form Sa1'!QTH835)*860)/10)+('Form Sa1'!QTH814*'Form Sa1'!QTH816/10)-'NF - 5 Power Mix'!QTE21-'NF - 5 Power Mix'!QTE22</f>
        <v>0</v>
      </c>
      <c r="QTF42" s="1046">
        <f>QTF38+((QTF40+'NF - 5 Power Mix'!QTF14+'NF - 5 Power Mix'!QTF15)*860/10)+((('Form Sa1'!QTI835)*860)/10)+('Form Sa1'!QTI814*'Form Sa1'!QTI816/10)-'NF - 5 Power Mix'!QTF21-'NF - 5 Power Mix'!QTF22</f>
        <v>0</v>
      </c>
      <c r="QTG42" s="1046">
        <f>QTG38+((QTG40+'NF - 5 Power Mix'!QTG14+'NF - 5 Power Mix'!QTG15)*860/10)+((('Form Sa1'!QTJ835)*860)/10)+('Form Sa1'!QTJ814*'Form Sa1'!QTJ816/10)-'NF - 5 Power Mix'!QTG21-'NF - 5 Power Mix'!QTG22</f>
        <v>0</v>
      </c>
      <c r="QTH42" s="1046">
        <f>QTH38+((QTH40+'NF - 5 Power Mix'!QTH14+'NF - 5 Power Mix'!QTH15)*860/10)+((('Form Sa1'!QTK835)*860)/10)+('Form Sa1'!QTK814*'Form Sa1'!QTK816/10)-'NF - 5 Power Mix'!QTH21-'NF - 5 Power Mix'!QTH22</f>
        <v>0</v>
      </c>
      <c r="QTI42" s="1046">
        <f>QTI38+((QTI40+'NF - 5 Power Mix'!QTI14+'NF - 5 Power Mix'!QTI15)*860/10)+((('Form Sa1'!QTL835)*860)/10)+('Form Sa1'!QTL814*'Form Sa1'!QTL816/10)-'NF - 5 Power Mix'!QTI21-'NF - 5 Power Mix'!QTI22</f>
        <v>0</v>
      </c>
      <c r="QTJ42" s="1046">
        <f>QTJ38+((QTJ40+'NF - 5 Power Mix'!QTJ14+'NF - 5 Power Mix'!QTJ15)*860/10)+((('Form Sa1'!QTM835)*860)/10)+('Form Sa1'!QTM814*'Form Sa1'!QTM816/10)-'NF - 5 Power Mix'!QTJ21-'NF - 5 Power Mix'!QTJ22</f>
        <v>0</v>
      </c>
      <c r="QTK42" s="1046">
        <f>QTK38+((QTK40+'NF - 5 Power Mix'!QTK14+'NF - 5 Power Mix'!QTK15)*860/10)+((('Form Sa1'!QTN835)*860)/10)+('Form Sa1'!QTN814*'Form Sa1'!QTN816/10)-'NF - 5 Power Mix'!QTK21-'NF - 5 Power Mix'!QTK22</f>
        <v>0</v>
      </c>
      <c r="QTL42" s="1046">
        <f>QTL38+((QTL40+'NF - 5 Power Mix'!QTL14+'NF - 5 Power Mix'!QTL15)*860/10)+((('Form Sa1'!QTO835)*860)/10)+('Form Sa1'!QTO814*'Form Sa1'!QTO816/10)-'NF - 5 Power Mix'!QTL21-'NF - 5 Power Mix'!QTL22</f>
        <v>0</v>
      </c>
      <c r="QTM42" s="1046">
        <f>QTM38+((QTM40+'NF - 5 Power Mix'!QTM14+'NF - 5 Power Mix'!QTM15)*860/10)+((('Form Sa1'!QTP835)*860)/10)+('Form Sa1'!QTP814*'Form Sa1'!QTP816/10)-'NF - 5 Power Mix'!QTM21-'NF - 5 Power Mix'!QTM22</f>
        <v>0</v>
      </c>
      <c r="QTN42" s="1046">
        <f>QTN38+((QTN40+'NF - 5 Power Mix'!QTN14+'NF - 5 Power Mix'!QTN15)*860/10)+((('Form Sa1'!QTQ835)*860)/10)+('Form Sa1'!QTQ814*'Form Sa1'!QTQ816/10)-'NF - 5 Power Mix'!QTN21-'NF - 5 Power Mix'!QTN22</f>
        <v>0</v>
      </c>
      <c r="QTO42" s="1046">
        <f>QTO38+((QTO40+'NF - 5 Power Mix'!QTO14+'NF - 5 Power Mix'!QTO15)*860/10)+((('Form Sa1'!QTR835)*860)/10)+('Form Sa1'!QTR814*'Form Sa1'!QTR816/10)-'NF - 5 Power Mix'!QTO21-'NF - 5 Power Mix'!QTO22</f>
        <v>0</v>
      </c>
      <c r="QTP42" s="1046">
        <f>QTP38+((QTP40+'NF - 5 Power Mix'!QTP14+'NF - 5 Power Mix'!QTP15)*860/10)+((('Form Sa1'!QTS835)*860)/10)+('Form Sa1'!QTS814*'Form Sa1'!QTS816/10)-'NF - 5 Power Mix'!QTP21-'NF - 5 Power Mix'!QTP22</f>
        <v>0</v>
      </c>
      <c r="QTQ42" s="1046">
        <f>QTQ38+((QTQ40+'NF - 5 Power Mix'!QTQ14+'NF - 5 Power Mix'!QTQ15)*860/10)+((('Form Sa1'!QTT835)*860)/10)+('Form Sa1'!QTT814*'Form Sa1'!QTT816/10)-'NF - 5 Power Mix'!QTQ21-'NF - 5 Power Mix'!QTQ22</f>
        <v>0</v>
      </c>
      <c r="QTR42" s="1046">
        <f>QTR38+((QTR40+'NF - 5 Power Mix'!QTR14+'NF - 5 Power Mix'!QTR15)*860/10)+((('Form Sa1'!QTU835)*860)/10)+('Form Sa1'!QTU814*'Form Sa1'!QTU816/10)-'NF - 5 Power Mix'!QTR21-'NF - 5 Power Mix'!QTR22</f>
        <v>0</v>
      </c>
      <c r="QTS42" s="1046">
        <f>QTS38+((QTS40+'NF - 5 Power Mix'!QTS14+'NF - 5 Power Mix'!QTS15)*860/10)+((('Form Sa1'!QTV835)*860)/10)+('Form Sa1'!QTV814*'Form Sa1'!QTV816/10)-'NF - 5 Power Mix'!QTS21-'NF - 5 Power Mix'!QTS22</f>
        <v>0</v>
      </c>
      <c r="QTT42" s="1046">
        <f>QTT38+((QTT40+'NF - 5 Power Mix'!QTT14+'NF - 5 Power Mix'!QTT15)*860/10)+((('Form Sa1'!QTW835)*860)/10)+('Form Sa1'!QTW814*'Form Sa1'!QTW816/10)-'NF - 5 Power Mix'!QTT21-'NF - 5 Power Mix'!QTT22</f>
        <v>0</v>
      </c>
      <c r="QTU42" s="1046">
        <f>QTU38+((QTU40+'NF - 5 Power Mix'!QTU14+'NF - 5 Power Mix'!QTU15)*860/10)+((('Form Sa1'!QTX835)*860)/10)+('Form Sa1'!QTX814*'Form Sa1'!QTX816/10)-'NF - 5 Power Mix'!QTU21-'NF - 5 Power Mix'!QTU22</f>
        <v>0</v>
      </c>
      <c r="QTV42" s="1046">
        <f>QTV38+((QTV40+'NF - 5 Power Mix'!QTV14+'NF - 5 Power Mix'!QTV15)*860/10)+((('Form Sa1'!QTY835)*860)/10)+('Form Sa1'!QTY814*'Form Sa1'!QTY816/10)-'NF - 5 Power Mix'!QTV21-'NF - 5 Power Mix'!QTV22</f>
        <v>0</v>
      </c>
      <c r="QTW42" s="1046">
        <f>QTW38+((QTW40+'NF - 5 Power Mix'!QTW14+'NF - 5 Power Mix'!QTW15)*860/10)+((('Form Sa1'!QTZ835)*860)/10)+('Form Sa1'!QTZ814*'Form Sa1'!QTZ816/10)-'NF - 5 Power Mix'!QTW21-'NF - 5 Power Mix'!QTW22</f>
        <v>0</v>
      </c>
      <c r="QTX42" s="1046">
        <f>QTX38+((QTX40+'NF - 5 Power Mix'!QTX14+'NF - 5 Power Mix'!QTX15)*860/10)+((('Form Sa1'!QUA835)*860)/10)+('Form Sa1'!QUA814*'Form Sa1'!QUA816/10)-'NF - 5 Power Mix'!QTX21-'NF - 5 Power Mix'!QTX22</f>
        <v>0</v>
      </c>
      <c r="QTY42" s="1046">
        <f>QTY38+((QTY40+'NF - 5 Power Mix'!QTY14+'NF - 5 Power Mix'!QTY15)*860/10)+((('Form Sa1'!QUB835)*860)/10)+('Form Sa1'!QUB814*'Form Sa1'!QUB816/10)-'NF - 5 Power Mix'!QTY21-'NF - 5 Power Mix'!QTY22</f>
        <v>0</v>
      </c>
      <c r="QTZ42" s="1046">
        <f>QTZ38+((QTZ40+'NF - 5 Power Mix'!QTZ14+'NF - 5 Power Mix'!QTZ15)*860/10)+((('Form Sa1'!QUC835)*860)/10)+('Form Sa1'!QUC814*'Form Sa1'!QUC816/10)-'NF - 5 Power Mix'!QTZ21-'NF - 5 Power Mix'!QTZ22</f>
        <v>0</v>
      </c>
      <c r="QUA42" s="1046">
        <f>QUA38+((QUA40+'NF - 5 Power Mix'!QUA14+'NF - 5 Power Mix'!QUA15)*860/10)+((('Form Sa1'!QUD835)*860)/10)+('Form Sa1'!QUD814*'Form Sa1'!QUD816/10)-'NF - 5 Power Mix'!QUA21-'NF - 5 Power Mix'!QUA22</f>
        <v>0</v>
      </c>
      <c r="QUB42" s="1046">
        <f>QUB38+((QUB40+'NF - 5 Power Mix'!QUB14+'NF - 5 Power Mix'!QUB15)*860/10)+((('Form Sa1'!QUE835)*860)/10)+('Form Sa1'!QUE814*'Form Sa1'!QUE816/10)-'NF - 5 Power Mix'!QUB21-'NF - 5 Power Mix'!QUB22</f>
        <v>0</v>
      </c>
      <c r="QUC42" s="1046">
        <f>QUC38+((QUC40+'NF - 5 Power Mix'!QUC14+'NF - 5 Power Mix'!QUC15)*860/10)+((('Form Sa1'!QUF835)*860)/10)+('Form Sa1'!QUF814*'Form Sa1'!QUF816/10)-'NF - 5 Power Mix'!QUC21-'NF - 5 Power Mix'!QUC22</f>
        <v>0</v>
      </c>
      <c r="QUD42" s="1046">
        <f>QUD38+((QUD40+'NF - 5 Power Mix'!QUD14+'NF - 5 Power Mix'!QUD15)*860/10)+((('Form Sa1'!QUG835)*860)/10)+('Form Sa1'!QUG814*'Form Sa1'!QUG816/10)-'NF - 5 Power Mix'!QUD21-'NF - 5 Power Mix'!QUD22</f>
        <v>0</v>
      </c>
      <c r="QUE42" s="1046">
        <f>QUE38+((QUE40+'NF - 5 Power Mix'!QUE14+'NF - 5 Power Mix'!QUE15)*860/10)+((('Form Sa1'!QUH835)*860)/10)+('Form Sa1'!QUH814*'Form Sa1'!QUH816/10)-'NF - 5 Power Mix'!QUE21-'NF - 5 Power Mix'!QUE22</f>
        <v>0</v>
      </c>
      <c r="QUF42" s="1046">
        <f>QUF38+((QUF40+'NF - 5 Power Mix'!QUF14+'NF - 5 Power Mix'!QUF15)*860/10)+((('Form Sa1'!QUI835)*860)/10)+('Form Sa1'!QUI814*'Form Sa1'!QUI816/10)-'NF - 5 Power Mix'!QUF21-'NF - 5 Power Mix'!QUF22</f>
        <v>0</v>
      </c>
      <c r="QUG42" s="1046">
        <f>QUG38+((QUG40+'NF - 5 Power Mix'!QUG14+'NF - 5 Power Mix'!QUG15)*860/10)+((('Form Sa1'!QUJ835)*860)/10)+('Form Sa1'!QUJ814*'Form Sa1'!QUJ816/10)-'NF - 5 Power Mix'!QUG21-'NF - 5 Power Mix'!QUG22</f>
        <v>0</v>
      </c>
      <c r="QUH42" s="1046">
        <f>QUH38+((QUH40+'NF - 5 Power Mix'!QUH14+'NF - 5 Power Mix'!QUH15)*860/10)+((('Form Sa1'!QUK835)*860)/10)+('Form Sa1'!QUK814*'Form Sa1'!QUK816/10)-'NF - 5 Power Mix'!QUH21-'NF - 5 Power Mix'!QUH22</f>
        <v>0</v>
      </c>
      <c r="QUI42" s="1046">
        <f>QUI38+((QUI40+'NF - 5 Power Mix'!QUI14+'NF - 5 Power Mix'!QUI15)*860/10)+((('Form Sa1'!QUL835)*860)/10)+('Form Sa1'!QUL814*'Form Sa1'!QUL816/10)-'NF - 5 Power Mix'!QUI21-'NF - 5 Power Mix'!QUI22</f>
        <v>0</v>
      </c>
      <c r="QUJ42" s="1046">
        <f>QUJ38+((QUJ40+'NF - 5 Power Mix'!QUJ14+'NF - 5 Power Mix'!QUJ15)*860/10)+((('Form Sa1'!QUM835)*860)/10)+('Form Sa1'!QUM814*'Form Sa1'!QUM816/10)-'NF - 5 Power Mix'!QUJ21-'NF - 5 Power Mix'!QUJ22</f>
        <v>0</v>
      </c>
      <c r="QUK42" s="1046">
        <f>QUK38+((QUK40+'NF - 5 Power Mix'!QUK14+'NF - 5 Power Mix'!QUK15)*860/10)+((('Form Sa1'!QUN835)*860)/10)+('Form Sa1'!QUN814*'Form Sa1'!QUN816/10)-'NF - 5 Power Mix'!QUK21-'NF - 5 Power Mix'!QUK22</f>
        <v>0</v>
      </c>
      <c r="QUL42" s="1046">
        <f>QUL38+((QUL40+'NF - 5 Power Mix'!QUL14+'NF - 5 Power Mix'!QUL15)*860/10)+((('Form Sa1'!QUO835)*860)/10)+('Form Sa1'!QUO814*'Form Sa1'!QUO816/10)-'NF - 5 Power Mix'!QUL21-'NF - 5 Power Mix'!QUL22</f>
        <v>0</v>
      </c>
      <c r="QUM42" s="1046">
        <f>QUM38+((QUM40+'NF - 5 Power Mix'!QUM14+'NF - 5 Power Mix'!QUM15)*860/10)+((('Form Sa1'!QUP835)*860)/10)+('Form Sa1'!QUP814*'Form Sa1'!QUP816/10)-'NF - 5 Power Mix'!QUM21-'NF - 5 Power Mix'!QUM22</f>
        <v>0</v>
      </c>
      <c r="QUN42" s="1046">
        <f>QUN38+((QUN40+'NF - 5 Power Mix'!QUN14+'NF - 5 Power Mix'!QUN15)*860/10)+((('Form Sa1'!QUQ835)*860)/10)+('Form Sa1'!QUQ814*'Form Sa1'!QUQ816/10)-'NF - 5 Power Mix'!QUN21-'NF - 5 Power Mix'!QUN22</f>
        <v>0</v>
      </c>
      <c r="QUO42" s="1046">
        <f>QUO38+((QUO40+'NF - 5 Power Mix'!QUO14+'NF - 5 Power Mix'!QUO15)*860/10)+((('Form Sa1'!QUR835)*860)/10)+('Form Sa1'!QUR814*'Form Sa1'!QUR816/10)-'NF - 5 Power Mix'!QUO21-'NF - 5 Power Mix'!QUO22</f>
        <v>0</v>
      </c>
      <c r="QUP42" s="1046">
        <f>QUP38+((QUP40+'NF - 5 Power Mix'!QUP14+'NF - 5 Power Mix'!QUP15)*860/10)+((('Form Sa1'!QUS835)*860)/10)+('Form Sa1'!QUS814*'Form Sa1'!QUS816/10)-'NF - 5 Power Mix'!QUP21-'NF - 5 Power Mix'!QUP22</f>
        <v>0</v>
      </c>
      <c r="QUQ42" s="1046">
        <f>QUQ38+((QUQ40+'NF - 5 Power Mix'!QUQ14+'NF - 5 Power Mix'!QUQ15)*860/10)+((('Form Sa1'!QUT835)*860)/10)+('Form Sa1'!QUT814*'Form Sa1'!QUT816/10)-'NF - 5 Power Mix'!QUQ21-'NF - 5 Power Mix'!QUQ22</f>
        <v>0</v>
      </c>
      <c r="QUR42" s="1046">
        <f>QUR38+((QUR40+'NF - 5 Power Mix'!QUR14+'NF - 5 Power Mix'!QUR15)*860/10)+((('Form Sa1'!QUU835)*860)/10)+('Form Sa1'!QUU814*'Form Sa1'!QUU816/10)-'NF - 5 Power Mix'!QUR21-'NF - 5 Power Mix'!QUR22</f>
        <v>0</v>
      </c>
      <c r="QUS42" s="1046">
        <f>QUS38+((QUS40+'NF - 5 Power Mix'!QUS14+'NF - 5 Power Mix'!QUS15)*860/10)+((('Form Sa1'!QUV835)*860)/10)+('Form Sa1'!QUV814*'Form Sa1'!QUV816/10)-'NF - 5 Power Mix'!QUS21-'NF - 5 Power Mix'!QUS22</f>
        <v>0</v>
      </c>
      <c r="QUT42" s="1046">
        <f>QUT38+((QUT40+'NF - 5 Power Mix'!QUT14+'NF - 5 Power Mix'!QUT15)*860/10)+((('Form Sa1'!QUW835)*860)/10)+('Form Sa1'!QUW814*'Form Sa1'!QUW816/10)-'NF - 5 Power Mix'!QUT21-'NF - 5 Power Mix'!QUT22</f>
        <v>0</v>
      </c>
      <c r="QUU42" s="1046">
        <f>QUU38+((QUU40+'NF - 5 Power Mix'!QUU14+'NF - 5 Power Mix'!QUU15)*860/10)+((('Form Sa1'!QUX835)*860)/10)+('Form Sa1'!QUX814*'Form Sa1'!QUX816/10)-'NF - 5 Power Mix'!QUU21-'NF - 5 Power Mix'!QUU22</f>
        <v>0</v>
      </c>
      <c r="QUV42" s="1046">
        <f>QUV38+((QUV40+'NF - 5 Power Mix'!QUV14+'NF - 5 Power Mix'!QUV15)*860/10)+((('Form Sa1'!QUY835)*860)/10)+('Form Sa1'!QUY814*'Form Sa1'!QUY816/10)-'NF - 5 Power Mix'!QUV21-'NF - 5 Power Mix'!QUV22</f>
        <v>0</v>
      </c>
      <c r="QUW42" s="1046">
        <f>QUW38+((QUW40+'NF - 5 Power Mix'!QUW14+'NF - 5 Power Mix'!QUW15)*860/10)+((('Form Sa1'!QUZ835)*860)/10)+('Form Sa1'!QUZ814*'Form Sa1'!QUZ816/10)-'NF - 5 Power Mix'!QUW21-'NF - 5 Power Mix'!QUW22</f>
        <v>0</v>
      </c>
      <c r="QUX42" s="1046">
        <f>QUX38+((QUX40+'NF - 5 Power Mix'!QUX14+'NF - 5 Power Mix'!QUX15)*860/10)+((('Form Sa1'!QVA835)*860)/10)+('Form Sa1'!QVA814*'Form Sa1'!QVA816/10)-'NF - 5 Power Mix'!QUX21-'NF - 5 Power Mix'!QUX22</f>
        <v>0</v>
      </c>
      <c r="QUY42" s="1046">
        <f>QUY38+((QUY40+'NF - 5 Power Mix'!QUY14+'NF - 5 Power Mix'!QUY15)*860/10)+((('Form Sa1'!QVB835)*860)/10)+('Form Sa1'!QVB814*'Form Sa1'!QVB816/10)-'NF - 5 Power Mix'!QUY21-'NF - 5 Power Mix'!QUY22</f>
        <v>0</v>
      </c>
      <c r="QUZ42" s="1046">
        <f>QUZ38+((QUZ40+'NF - 5 Power Mix'!QUZ14+'NF - 5 Power Mix'!QUZ15)*860/10)+((('Form Sa1'!QVC835)*860)/10)+('Form Sa1'!QVC814*'Form Sa1'!QVC816/10)-'NF - 5 Power Mix'!QUZ21-'NF - 5 Power Mix'!QUZ22</f>
        <v>0</v>
      </c>
      <c r="QVA42" s="1046">
        <f>QVA38+((QVA40+'NF - 5 Power Mix'!QVA14+'NF - 5 Power Mix'!QVA15)*860/10)+((('Form Sa1'!QVD835)*860)/10)+('Form Sa1'!QVD814*'Form Sa1'!QVD816/10)-'NF - 5 Power Mix'!QVA21-'NF - 5 Power Mix'!QVA22</f>
        <v>0</v>
      </c>
      <c r="QVB42" s="1046">
        <f>QVB38+((QVB40+'NF - 5 Power Mix'!QVB14+'NF - 5 Power Mix'!QVB15)*860/10)+((('Form Sa1'!QVE835)*860)/10)+('Form Sa1'!QVE814*'Form Sa1'!QVE816/10)-'NF - 5 Power Mix'!QVB21-'NF - 5 Power Mix'!QVB22</f>
        <v>0</v>
      </c>
      <c r="QVC42" s="1046">
        <f>QVC38+((QVC40+'NF - 5 Power Mix'!QVC14+'NF - 5 Power Mix'!QVC15)*860/10)+((('Form Sa1'!QVF835)*860)/10)+('Form Sa1'!QVF814*'Form Sa1'!QVF816/10)-'NF - 5 Power Mix'!QVC21-'NF - 5 Power Mix'!QVC22</f>
        <v>0</v>
      </c>
      <c r="QVD42" s="1046">
        <f>QVD38+((QVD40+'NF - 5 Power Mix'!QVD14+'NF - 5 Power Mix'!QVD15)*860/10)+((('Form Sa1'!QVG835)*860)/10)+('Form Sa1'!QVG814*'Form Sa1'!QVG816/10)-'NF - 5 Power Mix'!QVD21-'NF - 5 Power Mix'!QVD22</f>
        <v>0</v>
      </c>
      <c r="QVE42" s="1046">
        <f>QVE38+((QVE40+'NF - 5 Power Mix'!QVE14+'NF - 5 Power Mix'!QVE15)*860/10)+((('Form Sa1'!QVH835)*860)/10)+('Form Sa1'!QVH814*'Form Sa1'!QVH816/10)-'NF - 5 Power Mix'!QVE21-'NF - 5 Power Mix'!QVE22</f>
        <v>0</v>
      </c>
      <c r="QVF42" s="1046">
        <f>QVF38+((QVF40+'NF - 5 Power Mix'!QVF14+'NF - 5 Power Mix'!QVF15)*860/10)+((('Form Sa1'!QVI835)*860)/10)+('Form Sa1'!QVI814*'Form Sa1'!QVI816/10)-'NF - 5 Power Mix'!QVF21-'NF - 5 Power Mix'!QVF22</f>
        <v>0</v>
      </c>
      <c r="QVG42" s="1046">
        <f>QVG38+((QVG40+'NF - 5 Power Mix'!QVG14+'NF - 5 Power Mix'!QVG15)*860/10)+((('Form Sa1'!QVJ835)*860)/10)+('Form Sa1'!QVJ814*'Form Sa1'!QVJ816/10)-'NF - 5 Power Mix'!QVG21-'NF - 5 Power Mix'!QVG22</f>
        <v>0</v>
      </c>
      <c r="QVH42" s="1046">
        <f>QVH38+((QVH40+'NF - 5 Power Mix'!QVH14+'NF - 5 Power Mix'!QVH15)*860/10)+((('Form Sa1'!QVK835)*860)/10)+('Form Sa1'!QVK814*'Form Sa1'!QVK816/10)-'NF - 5 Power Mix'!QVH21-'NF - 5 Power Mix'!QVH22</f>
        <v>0</v>
      </c>
      <c r="QVI42" s="1046">
        <f>QVI38+((QVI40+'NF - 5 Power Mix'!QVI14+'NF - 5 Power Mix'!QVI15)*860/10)+((('Form Sa1'!QVL835)*860)/10)+('Form Sa1'!QVL814*'Form Sa1'!QVL816/10)-'NF - 5 Power Mix'!QVI21-'NF - 5 Power Mix'!QVI22</f>
        <v>0</v>
      </c>
      <c r="QVJ42" s="1046">
        <f>QVJ38+((QVJ40+'NF - 5 Power Mix'!QVJ14+'NF - 5 Power Mix'!QVJ15)*860/10)+((('Form Sa1'!QVM835)*860)/10)+('Form Sa1'!QVM814*'Form Sa1'!QVM816/10)-'NF - 5 Power Mix'!QVJ21-'NF - 5 Power Mix'!QVJ22</f>
        <v>0</v>
      </c>
      <c r="QVK42" s="1046">
        <f>QVK38+((QVK40+'NF - 5 Power Mix'!QVK14+'NF - 5 Power Mix'!QVK15)*860/10)+((('Form Sa1'!QVN835)*860)/10)+('Form Sa1'!QVN814*'Form Sa1'!QVN816/10)-'NF - 5 Power Mix'!QVK21-'NF - 5 Power Mix'!QVK22</f>
        <v>0</v>
      </c>
      <c r="QVL42" s="1046">
        <f>QVL38+((QVL40+'NF - 5 Power Mix'!QVL14+'NF - 5 Power Mix'!QVL15)*860/10)+((('Form Sa1'!QVO835)*860)/10)+('Form Sa1'!QVO814*'Form Sa1'!QVO816/10)-'NF - 5 Power Mix'!QVL21-'NF - 5 Power Mix'!QVL22</f>
        <v>0</v>
      </c>
      <c r="QVM42" s="1046">
        <f>QVM38+((QVM40+'NF - 5 Power Mix'!QVM14+'NF - 5 Power Mix'!QVM15)*860/10)+((('Form Sa1'!QVP835)*860)/10)+('Form Sa1'!QVP814*'Form Sa1'!QVP816/10)-'NF - 5 Power Mix'!QVM21-'NF - 5 Power Mix'!QVM22</f>
        <v>0</v>
      </c>
      <c r="QVN42" s="1046">
        <f>QVN38+((QVN40+'NF - 5 Power Mix'!QVN14+'NF - 5 Power Mix'!QVN15)*860/10)+((('Form Sa1'!QVQ835)*860)/10)+('Form Sa1'!QVQ814*'Form Sa1'!QVQ816/10)-'NF - 5 Power Mix'!QVN21-'NF - 5 Power Mix'!QVN22</f>
        <v>0</v>
      </c>
      <c r="QVO42" s="1046">
        <f>QVO38+((QVO40+'NF - 5 Power Mix'!QVO14+'NF - 5 Power Mix'!QVO15)*860/10)+((('Form Sa1'!QVR835)*860)/10)+('Form Sa1'!QVR814*'Form Sa1'!QVR816/10)-'NF - 5 Power Mix'!QVO21-'NF - 5 Power Mix'!QVO22</f>
        <v>0</v>
      </c>
      <c r="QVP42" s="1046">
        <f>QVP38+((QVP40+'NF - 5 Power Mix'!QVP14+'NF - 5 Power Mix'!QVP15)*860/10)+((('Form Sa1'!QVS835)*860)/10)+('Form Sa1'!QVS814*'Form Sa1'!QVS816/10)-'NF - 5 Power Mix'!QVP21-'NF - 5 Power Mix'!QVP22</f>
        <v>0</v>
      </c>
      <c r="QVQ42" s="1046">
        <f>QVQ38+((QVQ40+'NF - 5 Power Mix'!QVQ14+'NF - 5 Power Mix'!QVQ15)*860/10)+((('Form Sa1'!QVT835)*860)/10)+('Form Sa1'!QVT814*'Form Sa1'!QVT816/10)-'NF - 5 Power Mix'!QVQ21-'NF - 5 Power Mix'!QVQ22</f>
        <v>0</v>
      </c>
      <c r="QVR42" s="1046">
        <f>QVR38+((QVR40+'NF - 5 Power Mix'!QVR14+'NF - 5 Power Mix'!QVR15)*860/10)+((('Form Sa1'!QVU835)*860)/10)+('Form Sa1'!QVU814*'Form Sa1'!QVU816/10)-'NF - 5 Power Mix'!QVR21-'NF - 5 Power Mix'!QVR22</f>
        <v>0</v>
      </c>
      <c r="QVS42" s="1046">
        <f>QVS38+((QVS40+'NF - 5 Power Mix'!QVS14+'NF - 5 Power Mix'!QVS15)*860/10)+((('Form Sa1'!QVV835)*860)/10)+('Form Sa1'!QVV814*'Form Sa1'!QVV816/10)-'NF - 5 Power Mix'!QVS21-'NF - 5 Power Mix'!QVS22</f>
        <v>0</v>
      </c>
      <c r="QVT42" s="1046">
        <f>QVT38+((QVT40+'NF - 5 Power Mix'!QVT14+'NF - 5 Power Mix'!QVT15)*860/10)+((('Form Sa1'!QVW835)*860)/10)+('Form Sa1'!QVW814*'Form Sa1'!QVW816/10)-'NF - 5 Power Mix'!QVT21-'NF - 5 Power Mix'!QVT22</f>
        <v>0</v>
      </c>
      <c r="QVU42" s="1046">
        <f>QVU38+((QVU40+'NF - 5 Power Mix'!QVU14+'NF - 5 Power Mix'!QVU15)*860/10)+((('Form Sa1'!QVX835)*860)/10)+('Form Sa1'!QVX814*'Form Sa1'!QVX816/10)-'NF - 5 Power Mix'!QVU21-'NF - 5 Power Mix'!QVU22</f>
        <v>0</v>
      </c>
      <c r="QVV42" s="1046">
        <f>QVV38+((QVV40+'NF - 5 Power Mix'!QVV14+'NF - 5 Power Mix'!QVV15)*860/10)+((('Form Sa1'!QVY835)*860)/10)+('Form Sa1'!QVY814*'Form Sa1'!QVY816/10)-'NF - 5 Power Mix'!QVV21-'NF - 5 Power Mix'!QVV22</f>
        <v>0</v>
      </c>
      <c r="QVW42" s="1046">
        <f>QVW38+((QVW40+'NF - 5 Power Mix'!QVW14+'NF - 5 Power Mix'!QVW15)*860/10)+((('Form Sa1'!QVZ835)*860)/10)+('Form Sa1'!QVZ814*'Form Sa1'!QVZ816/10)-'NF - 5 Power Mix'!QVW21-'NF - 5 Power Mix'!QVW22</f>
        <v>0</v>
      </c>
      <c r="QVX42" s="1046">
        <f>QVX38+((QVX40+'NF - 5 Power Mix'!QVX14+'NF - 5 Power Mix'!QVX15)*860/10)+((('Form Sa1'!QWA835)*860)/10)+('Form Sa1'!QWA814*'Form Sa1'!QWA816/10)-'NF - 5 Power Mix'!QVX21-'NF - 5 Power Mix'!QVX22</f>
        <v>0</v>
      </c>
      <c r="QVY42" s="1046">
        <f>QVY38+((QVY40+'NF - 5 Power Mix'!QVY14+'NF - 5 Power Mix'!QVY15)*860/10)+((('Form Sa1'!QWB835)*860)/10)+('Form Sa1'!QWB814*'Form Sa1'!QWB816/10)-'NF - 5 Power Mix'!QVY21-'NF - 5 Power Mix'!QVY22</f>
        <v>0</v>
      </c>
      <c r="QVZ42" s="1046">
        <f>QVZ38+((QVZ40+'NF - 5 Power Mix'!QVZ14+'NF - 5 Power Mix'!QVZ15)*860/10)+((('Form Sa1'!QWC835)*860)/10)+('Form Sa1'!QWC814*'Form Sa1'!QWC816/10)-'NF - 5 Power Mix'!QVZ21-'NF - 5 Power Mix'!QVZ22</f>
        <v>0</v>
      </c>
      <c r="QWA42" s="1046">
        <f>QWA38+((QWA40+'NF - 5 Power Mix'!QWA14+'NF - 5 Power Mix'!QWA15)*860/10)+((('Form Sa1'!QWD835)*860)/10)+('Form Sa1'!QWD814*'Form Sa1'!QWD816/10)-'NF - 5 Power Mix'!QWA21-'NF - 5 Power Mix'!QWA22</f>
        <v>0</v>
      </c>
      <c r="QWB42" s="1046">
        <f>QWB38+((QWB40+'NF - 5 Power Mix'!QWB14+'NF - 5 Power Mix'!QWB15)*860/10)+((('Form Sa1'!QWE835)*860)/10)+('Form Sa1'!QWE814*'Form Sa1'!QWE816/10)-'NF - 5 Power Mix'!QWB21-'NF - 5 Power Mix'!QWB22</f>
        <v>0</v>
      </c>
      <c r="QWC42" s="1046">
        <f>QWC38+((QWC40+'NF - 5 Power Mix'!QWC14+'NF - 5 Power Mix'!QWC15)*860/10)+((('Form Sa1'!QWF835)*860)/10)+('Form Sa1'!QWF814*'Form Sa1'!QWF816/10)-'NF - 5 Power Mix'!QWC21-'NF - 5 Power Mix'!QWC22</f>
        <v>0</v>
      </c>
      <c r="QWD42" s="1046">
        <f>QWD38+((QWD40+'NF - 5 Power Mix'!QWD14+'NF - 5 Power Mix'!QWD15)*860/10)+((('Form Sa1'!QWG835)*860)/10)+('Form Sa1'!QWG814*'Form Sa1'!QWG816/10)-'NF - 5 Power Mix'!QWD21-'NF - 5 Power Mix'!QWD22</f>
        <v>0</v>
      </c>
      <c r="QWE42" s="1046">
        <f>QWE38+((QWE40+'NF - 5 Power Mix'!QWE14+'NF - 5 Power Mix'!QWE15)*860/10)+((('Form Sa1'!QWH835)*860)/10)+('Form Sa1'!QWH814*'Form Sa1'!QWH816/10)-'NF - 5 Power Mix'!QWE21-'NF - 5 Power Mix'!QWE22</f>
        <v>0</v>
      </c>
      <c r="QWF42" s="1046">
        <f>QWF38+((QWF40+'NF - 5 Power Mix'!QWF14+'NF - 5 Power Mix'!QWF15)*860/10)+((('Form Sa1'!QWI835)*860)/10)+('Form Sa1'!QWI814*'Form Sa1'!QWI816/10)-'NF - 5 Power Mix'!QWF21-'NF - 5 Power Mix'!QWF22</f>
        <v>0</v>
      </c>
      <c r="QWG42" s="1046">
        <f>QWG38+((QWG40+'NF - 5 Power Mix'!QWG14+'NF - 5 Power Mix'!QWG15)*860/10)+((('Form Sa1'!QWJ835)*860)/10)+('Form Sa1'!QWJ814*'Form Sa1'!QWJ816/10)-'NF - 5 Power Mix'!QWG21-'NF - 5 Power Mix'!QWG22</f>
        <v>0</v>
      </c>
      <c r="QWH42" s="1046">
        <f>QWH38+((QWH40+'NF - 5 Power Mix'!QWH14+'NF - 5 Power Mix'!QWH15)*860/10)+((('Form Sa1'!QWK835)*860)/10)+('Form Sa1'!QWK814*'Form Sa1'!QWK816/10)-'NF - 5 Power Mix'!QWH21-'NF - 5 Power Mix'!QWH22</f>
        <v>0</v>
      </c>
      <c r="QWI42" s="1046">
        <f>QWI38+((QWI40+'NF - 5 Power Mix'!QWI14+'NF - 5 Power Mix'!QWI15)*860/10)+((('Form Sa1'!QWL835)*860)/10)+('Form Sa1'!QWL814*'Form Sa1'!QWL816/10)-'NF - 5 Power Mix'!QWI21-'NF - 5 Power Mix'!QWI22</f>
        <v>0</v>
      </c>
      <c r="QWJ42" s="1046">
        <f>QWJ38+((QWJ40+'NF - 5 Power Mix'!QWJ14+'NF - 5 Power Mix'!QWJ15)*860/10)+((('Form Sa1'!QWM835)*860)/10)+('Form Sa1'!QWM814*'Form Sa1'!QWM816/10)-'NF - 5 Power Mix'!QWJ21-'NF - 5 Power Mix'!QWJ22</f>
        <v>0</v>
      </c>
      <c r="QWK42" s="1046">
        <f>QWK38+((QWK40+'NF - 5 Power Mix'!QWK14+'NF - 5 Power Mix'!QWK15)*860/10)+((('Form Sa1'!QWN835)*860)/10)+('Form Sa1'!QWN814*'Form Sa1'!QWN816/10)-'NF - 5 Power Mix'!QWK21-'NF - 5 Power Mix'!QWK22</f>
        <v>0</v>
      </c>
      <c r="QWL42" s="1046">
        <f>QWL38+((QWL40+'NF - 5 Power Mix'!QWL14+'NF - 5 Power Mix'!QWL15)*860/10)+((('Form Sa1'!QWO835)*860)/10)+('Form Sa1'!QWO814*'Form Sa1'!QWO816/10)-'NF - 5 Power Mix'!QWL21-'NF - 5 Power Mix'!QWL22</f>
        <v>0</v>
      </c>
      <c r="QWM42" s="1046">
        <f>QWM38+((QWM40+'NF - 5 Power Mix'!QWM14+'NF - 5 Power Mix'!QWM15)*860/10)+((('Form Sa1'!QWP835)*860)/10)+('Form Sa1'!QWP814*'Form Sa1'!QWP816/10)-'NF - 5 Power Mix'!QWM21-'NF - 5 Power Mix'!QWM22</f>
        <v>0</v>
      </c>
      <c r="QWN42" s="1046">
        <f>QWN38+((QWN40+'NF - 5 Power Mix'!QWN14+'NF - 5 Power Mix'!QWN15)*860/10)+((('Form Sa1'!QWQ835)*860)/10)+('Form Sa1'!QWQ814*'Form Sa1'!QWQ816/10)-'NF - 5 Power Mix'!QWN21-'NF - 5 Power Mix'!QWN22</f>
        <v>0</v>
      </c>
      <c r="QWO42" s="1046">
        <f>QWO38+((QWO40+'NF - 5 Power Mix'!QWO14+'NF - 5 Power Mix'!QWO15)*860/10)+((('Form Sa1'!QWR835)*860)/10)+('Form Sa1'!QWR814*'Form Sa1'!QWR816/10)-'NF - 5 Power Mix'!QWO21-'NF - 5 Power Mix'!QWO22</f>
        <v>0</v>
      </c>
      <c r="QWP42" s="1046">
        <f>QWP38+((QWP40+'NF - 5 Power Mix'!QWP14+'NF - 5 Power Mix'!QWP15)*860/10)+((('Form Sa1'!QWS835)*860)/10)+('Form Sa1'!QWS814*'Form Sa1'!QWS816/10)-'NF - 5 Power Mix'!QWP21-'NF - 5 Power Mix'!QWP22</f>
        <v>0</v>
      </c>
      <c r="QWQ42" s="1046">
        <f>QWQ38+((QWQ40+'NF - 5 Power Mix'!QWQ14+'NF - 5 Power Mix'!QWQ15)*860/10)+((('Form Sa1'!QWT835)*860)/10)+('Form Sa1'!QWT814*'Form Sa1'!QWT816/10)-'NF - 5 Power Mix'!QWQ21-'NF - 5 Power Mix'!QWQ22</f>
        <v>0</v>
      </c>
      <c r="QWR42" s="1046">
        <f>QWR38+((QWR40+'NF - 5 Power Mix'!QWR14+'NF - 5 Power Mix'!QWR15)*860/10)+((('Form Sa1'!QWU835)*860)/10)+('Form Sa1'!QWU814*'Form Sa1'!QWU816/10)-'NF - 5 Power Mix'!QWR21-'NF - 5 Power Mix'!QWR22</f>
        <v>0</v>
      </c>
      <c r="QWS42" s="1046">
        <f>QWS38+((QWS40+'NF - 5 Power Mix'!QWS14+'NF - 5 Power Mix'!QWS15)*860/10)+((('Form Sa1'!QWV835)*860)/10)+('Form Sa1'!QWV814*'Form Sa1'!QWV816/10)-'NF - 5 Power Mix'!QWS21-'NF - 5 Power Mix'!QWS22</f>
        <v>0</v>
      </c>
      <c r="QWT42" s="1046">
        <f>QWT38+((QWT40+'NF - 5 Power Mix'!QWT14+'NF - 5 Power Mix'!QWT15)*860/10)+((('Form Sa1'!QWW835)*860)/10)+('Form Sa1'!QWW814*'Form Sa1'!QWW816/10)-'NF - 5 Power Mix'!QWT21-'NF - 5 Power Mix'!QWT22</f>
        <v>0</v>
      </c>
      <c r="QWU42" s="1046">
        <f>QWU38+((QWU40+'NF - 5 Power Mix'!QWU14+'NF - 5 Power Mix'!QWU15)*860/10)+((('Form Sa1'!QWX835)*860)/10)+('Form Sa1'!QWX814*'Form Sa1'!QWX816/10)-'NF - 5 Power Mix'!QWU21-'NF - 5 Power Mix'!QWU22</f>
        <v>0</v>
      </c>
      <c r="QWV42" s="1046">
        <f>QWV38+((QWV40+'NF - 5 Power Mix'!QWV14+'NF - 5 Power Mix'!QWV15)*860/10)+((('Form Sa1'!QWY835)*860)/10)+('Form Sa1'!QWY814*'Form Sa1'!QWY816/10)-'NF - 5 Power Mix'!QWV21-'NF - 5 Power Mix'!QWV22</f>
        <v>0</v>
      </c>
      <c r="QWW42" s="1046">
        <f>QWW38+((QWW40+'NF - 5 Power Mix'!QWW14+'NF - 5 Power Mix'!QWW15)*860/10)+((('Form Sa1'!QWZ835)*860)/10)+('Form Sa1'!QWZ814*'Form Sa1'!QWZ816/10)-'NF - 5 Power Mix'!QWW21-'NF - 5 Power Mix'!QWW22</f>
        <v>0</v>
      </c>
      <c r="QWX42" s="1046">
        <f>QWX38+((QWX40+'NF - 5 Power Mix'!QWX14+'NF - 5 Power Mix'!QWX15)*860/10)+((('Form Sa1'!QXA835)*860)/10)+('Form Sa1'!QXA814*'Form Sa1'!QXA816/10)-'NF - 5 Power Mix'!QWX21-'NF - 5 Power Mix'!QWX22</f>
        <v>0</v>
      </c>
      <c r="QWY42" s="1046">
        <f>QWY38+((QWY40+'NF - 5 Power Mix'!QWY14+'NF - 5 Power Mix'!QWY15)*860/10)+((('Form Sa1'!QXB835)*860)/10)+('Form Sa1'!QXB814*'Form Sa1'!QXB816/10)-'NF - 5 Power Mix'!QWY21-'NF - 5 Power Mix'!QWY22</f>
        <v>0</v>
      </c>
      <c r="QWZ42" s="1046">
        <f>QWZ38+((QWZ40+'NF - 5 Power Mix'!QWZ14+'NF - 5 Power Mix'!QWZ15)*860/10)+((('Form Sa1'!QXC835)*860)/10)+('Form Sa1'!QXC814*'Form Sa1'!QXC816/10)-'NF - 5 Power Mix'!QWZ21-'NF - 5 Power Mix'!QWZ22</f>
        <v>0</v>
      </c>
      <c r="QXA42" s="1046">
        <f>QXA38+((QXA40+'NF - 5 Power Mix'!QXA14+'NF - 5 Power Mix'!QXA15)*860/10)+((('Form Sa1'!QXD835)*860)/10)+('Form Sa1'!QXD814*'Form Sa1'!QXD816/10)-'NF - 5 Power Mix'!QXA21-'NF - 5 Power Mix'!QXA22</f>
        <v>0</v>
      </c>
      <c r="QXB42" s="1046">
        <f>QXB38+((QXB40+'NF - 5 Power Mix'!QXB14+'NF - 5 Power Mix'!QXB15)*860/10)+((('Form Sa1'!QXE835)*860)/10)+('Form Sa1'!QXE814*'Form Sa1'!QXE816/10)-'NF - 5 Power Mix'!QXB21-'NF - 5 Power Mix'!QXB22</f>
        <v>0</v>
      </c>
      <c r="QXC42" s="1046">
        <f>QXC38+((QXC40+'NF - 5 Power Mix'!QXC14+'NF - 5 Power Mix'!QXC15)*860/10)+((('Form Sa1'!QXF835)*860)/10)+('Form Sa1'!QXF814*'Form Sa1'!QXF816/10)-'NF - 5 Power Mix'!QXC21-'NF - 5 Power Mix'!QXC22</f>
        <v>0</v>
      </c>
      <c r="QXD42" s="1046">
        <f>QXD38+((QXD40+'NF - 5 Power Mix'!QXD14+'NF - 5 Power Mix'!QXD15)*860/10)+((('Form Sa1'!QXG835)*860)/10)+('Form Sa1'!QXG814*'Form Sa1'!QXG816/10)-'NF - 5 Power Mix'!QXD21-'NF - 5 Power Mix'!QXD22</f>
        <v>0</v>
      </c>
      <c r="QXE42" s="1046">
        <f>QXE38+((QXE40+'NF - 5 Power Mix'!QXE14+'NF - 5 Power Mix'!QXE15)*860/10)+((('Form Sa1'!QXH835)*860)/10)+('Form Sa1'!QXH814*'Form Sa1'!QXH816/10)-'NF - 5 Power Mix'!QXE21-'NF - 5 Power Mix'!QXE22</f>
        <v>0</v>
      </c>
      <c r="QXF42" s="1046">
        <f>QXF38+((QXF40+'NF - 5 Power Mix'!QXF14+'NF - 5 Power Mix'!QXF15)*860/10)+((('Form Sa1'!QXI835)*860)/10)+('Form Sa1'!QXI814*'Form Sa1'!QXI816/10)-'NF - 5 Power Mix'!QXF21-'NF - 5 Power Mix'!QXF22</f>
        <v>0</v>
      </c>
      <c r="QXG42" s="1046">
        <f>QXG38+((QXG40+'NF - 5 Power Mix'!QXG14+'NF - 5 Power Mix'!QXG15)*860/10)+((('Form Sa1'!QXJ835)*860)/10)+('Form Sa1'!QXJ814*'Form Sa1'!QXJ816/10)-'NF - 5 Power Mix'!QXG21-'NF - 5 Power Mix'!QXG22</f>
        <v>0</v>
      </c>
      <c r="QXH42" s="1046">
        <f>QXH38+((QXH40+'NF - 5 Power Mix'!QXH14+'NF - 5 Power Mix'!QXH15)*860/10)+((('Form Sa1'!QXK835)*860)/10)+('Form Sa1'!QXK814*'Form Sa1'!QXK816/10)-'NF - 5 Power Mix'!QXH21-'NF - 5 Power Mix'!QXH22</f>
        <v>0</v>
      </c>
      <c r="QXI42" s="1046">
        <f>QXI38+((QXI40+'NF - 5 Power Mix'!QXI14+'NF - 5 Power Mix'!QXI15)*860/10)+((('Form Sa1'!QXL835)*860)/10)+('Form Sa1'!QXL814*'Form Sa1'!QXL816/10)-'NF - 5 Power Mix'!QXI21-'NF - 5 Power Mix'!QXI22</f>
        <v>0</v>
      </c>
      <c r="QXJ42" s="1046">
        <f>QXJ38+((QXJ40+'NF - 5 Power Mix'!QXJ14+'NF - 5 Power Mix'!QXJ15)*860/10)+((('Form Sa1'!QXM835)*860)/10)+('Form Sa1'!QXM814*'Form Sa1'!QXM816/10)-'NF - 5 Power Mix'!QXJ21-'NF - 5 Power Mix'!QXJ22</f>
        <v>0</v>
      </c>
      <c r="QXK42" s="1046">
        <f>QXK38+((QXK40+'NF - 5 Power Mix'!QXK14+'NF - 5 Power Mix'!QXK15)*860/10)+((('Form Sa1'!QXN835)*860)/10)+('Form Sa1'!QXN814*'Form Sa1'!QXN816/10)-'NF - 5 Power Mix'!QXK21-'NF - 5 Power Mix'!QXK22</f>
        <v>0</v>
      </c>
      <c r="QXL42" s="1046">
        <f>QXL38+((QXL40+'NF - 5 Power Mix'!QXL14+'NF - 5 Power Mix'!QXL15)*860/10)+((('Form Sa1'!QXO835)*860)/10)+('Form Sa1'!QXO814*'Form Sa1'!QXO816/10)-'NF - 5 Power Mix'!QXL21-'NF - 5 Power Mix'!QXL22</f>
        <v>0</v>
      </c>
      <c r="QXM42" s="1046">
        <f>QXM38+((QXM40+'NF - 5 Power Mix'!QXM14+'NF - 5 Power Mix'!QXM15)*860/10)+((('Form Sa1'!QXP835)*860)/10)+('Form Sa1'!QXP814*'Form Sa1'!QXP816/10)-'NF - 5 Power Mix'!QXM21-'NF - 5 Power Mix'!QXM22</f>
        <v>0</v>
      </c>
      <c r="QXN42" s="1046">
        <f>QXN38+((QXN40+'NF - 5 Power Mix'!QXN14+'NF - 5 Power Mix'!QXN15)*860/10)+((('Form Sa1'!QXQ835)*860)/10)+('Form Sa1'!QXQ814*'Form Sa1'!QXQ816/10)-'NF - 5 Power Mix'!QXN21-'NF - 5 Power Mix'!QXN22</f>
        <v>0</v>
      </c>
      <c r="QXO42" s="1046">
        <f>QXO38+((QXO40+'NF - 5 Power Mix'!QXO14+'NF - 5 Power Mix'!QXO15)*860/10)+((('Form Sa1'!QXR835)*860)/10)+('Form Sa1'!QXR814*'Form Sa1'!QXR816/10)-'NF - 5 Power Mix'!QXO21-'NF - 5 Power Mix'!QXO22</f>
        <v>0</v>
      </c>
      <c r="QXP42" s="1046">
        <f>QXP38+((QXP40+'NF - 5 Power Mix'!QXP14+'NF - 5 Power Mix'!QXP15)*860/10)+((('Form Sa1'!QXS835)*860)/10)+('Form Sa1'!QXS814*'Form Sa1'!QXS816/10)-'NF - 5 Power Mix'!QXP21-'NF - 5 Power Mix'!QXP22</f>
        <v>0</v>
      </c>
      <c r="QXQ42" s="1046">
        <f>QXQ38+((QXQ40+'NF - 5 Power Mix'!QXQ14+'NF - 5 Power Mix'!QXQ15)*860/10)+((('Form Sa1'!QXT835)*860)/10)+('Form Sa1'!QXT814*'Form Sa1'!QXT816/10)-'NF - 5 Power Mix'!QXQ21-'NF - 5 Power Mix'!QXQ22</f>
        <v>0</v>
      </c>
      <c r="QXR42" s="1046">
        <f>QXR38+((QXR40+'NF - 5 Power Mix'!QXR14+'NF - 5 Power Mix'!QXR15)*860/10)+((('Form Sa1'!QXU835)*860)/10)+('Form Sa1'!QXU814*'Form Sa1'!QXU816/10)-'NF - 5 Power Mix'!QXR21-'NF - 5 Power Mix'!QXR22</f>
        <v>0</v>
      </c>
      <c r="QXS42" s="1046">
        <f>QXS38+((QXS40+'NF - 5 Power Mix'!QXS14+'NF - 5 Power Mix'!QXS15)*860/10)+((('Form Sa1'!QXV835)*860)/10)+('Form Sa1'!QXV814*'Form Sa1'!QXV816/10)-'NF - 5 Power Mix'!QXS21-'NF - 5 Power Mix'!QXS22</f>
        <v>0</v>
      </c>
      <c r="QXT42" s="1046">
        <f>QXT38+((QXT40+'NF - 5 Power Mix'!QXT14+'NF - 5 Power Mix'!QXT15)*860/10)+((('Form Sa1'!QXW835)*860)/10)+('Form Sa1'!QXW814*'Form Sa1'!QXW816/10)-'NF - 5 Power Mix'!QXT21-'NF - 5 Power Mix'!QXT22</f>
        <v>0</v>
      </c>
      <c r="QXU42" s="1046">
        <f>QXU38+((QXU40+'NF - 5 Power Mix'!QXU14+'NF - 5 Power Mix'!QXU15)*860/10)+((('Form Sa1'!QXX835)*860)/10)+('Form Sa1'!QXX814*'Form Sa1'!QXX816/10)-'NF - 5 Power Mix'!QXU21-'NF - 5 Power Mix'!QXU22</f>
        <v>0</v>
      </c>
      <c r="QXV42" s="1046">
        <f>QXV38+((QXV40+'NF - 5 Power Mix'!QXV14+'NF - 5 Power Mix'!QXV15)*860/10)+((('Form Sa1'!QXY835)*860)/10)+('Form Sa1'!QXY814*'Form Sa1'!QXY816/10)-'NF - 5 Power Mix'!QXV21-'NF - 5 Power Mix'!QXV22</f>
        <v>0</v>
      </c>
      <c r="QXW42" s="1046">
        <f>QXW38+((QXW40+'NF - 5 Power Mix'!QXW14+'NF - 5 Power Mix'!QXW15)*860/10)+((('Form Sa1'!QXZ835)*860)/10)+('Form Sa1'!QXZ814*'Form Sa1'!QXZ816/10)-'NF - 5 Power Mix'!QXW21-'NF - 5 Power Mix'!QXW22</f>
        <v>0</v>
      </c>
      <c r="QXX42" s="1046">
        <f>QXX38+((QXX40+'NF - 5 Power Mix'!QXX14+'NF - 5 Power Mix'!QXX15)*860/10)+((('Form Sa1'!QYA835)*860)/10)+('Form Sa1'!QYA814*'Form Sa1'!QYA816/10)-'NF - 5 Power Mix'!QXX21-'NF - 5 Power Mix'!QXX22</f>
        <v>0</v>
      </c>
      <c r="QXY42" s="1046">
        <f>QXY38+((QXY40+'NF - 5 Power Mix'!QXY14+'NF - 5 Power Mix'!QXY15)*860/10)+((('Form Sa1'!QYB835)*860)/10)+('Form Sa1'!QYB814*'Form Sa1'!QYB816/10)-'NF - 5 Power Mix'!QXY21-'NF - 5 Power Mix'!QXY22</f>
        <v>0</v>
      </c>
      <c r="QXZ42" s="1046">
        <f>QXZ38+((QXZ40+'NF - 5 Power Mix'!QXZ14+'NF - 5 Power Mix'!QXZ15)*860/10)+((('Form Sa1'!QYC835)*860)/10)+('Form Sa1'!QYC814*'Form Sa1'!QYC816/10)-'NF - 5 Power Mix'!QXZ21-'NF - 5 Power Mix'!QXZ22</f>
        <v>0</v>
      </c>
      <c r="QYA42" s="1046">
        <f>QYA38+((QYA40+'NF - 5 Power Mix'!QYA14+'NF - 5 Power Mix'!QYA15)*860/10)+((('Form Sa1'!QYD835)*860)/10)+('Form Sa1'!QYD814*'Form Sa1'!QYD816/10)-'NF - 5 Power Mix'!QYA21-'NF - 5 Power Mix'!QYA22</f>
        <v>0</v>
      </c>
      <c r="QYB42" s="1046">
        <f>QYB38+((QYB40+'NF - 5 Power Mix'!QYB14+'NF - 5 Power Mix'!QYB15)*860/10)+((('Form Sa1'!QYE835)*860)/10)+('Form Sa1'!QYE814*'Form Sa1'!QYE816/10)-'NF - 5 Power Mix'!QYB21-'NF - 5 Power Mix'!QYB22</f>
        <v>0</v>
      </c>
      <c r="QYC42" s="1046">
        <f>QYC38+((QYC40+'NF - 5 Power Mix'!QYC14+'NF - 5 Power Mix'!QYC15)*860/10)+((('Form Sa1'!QYF835)*860)/10)+('Form Sa1'!QYF814*'Form Sa1'!QYF816/10)-'NF - 5 Power Mix'!QYC21-'NF - 5 Power Mix'!QYC22</f>
        <v>0</v>
      </c>
      <c r="QYD42" s="1046">
        <f>QYD38+((QYD40+'NF - 5 Power Mix'!QYD14+'NF - 5 Power Mix'!QYD15)*860/10)+((('Form Sa1'!QYG835)*860)/10)+('Form Sa1'!QYG814*'Form Sa1'!QYG816/10)-'NF - 5 Power Mix'!QYD21-'NF - 5 Power Mix'!QYD22</f>
        <v>0</v>
      </c>
      <c r="QYE42" s="1046">
        <f>QYE38+((QYE40+'NF - 5 Power Mix'!QYE14+'NF - 5 Power Mix'!QYE15)*860/10)+((('Form Sa1'!QYH835)*860)/10)+('Form Sa1'!QYH814*'Form Sa1'!QYH816/10)-'NF - 5 Power Mix'!QYE21-'NF - 5 Power Mix'!QYE22</f>
        <v>0</v>
      </c>
      <c r="QYF42" s="1046">
        <f>QYF38+((QYF40+'NF - 5 Power Mix'!QYF14+'NF - 5 Power Mix'!QYF15)*860/10)+((('Form Sa1'!QYI835)*860)/10)+('Form Sa1'!QYI814*'Form Sa1'!QYI816/10)-'NF - 5 Power Mix'!QYF21-'NF - 5 Power Mix'!QYF22</f>
        <v>0</v>
      </c>
      <c r="QYG42" s="1046">
        <f>QYG38+((QYG40+'NF - 5 Power Mix'!QYG14+'NF - 5 Power Mix'!QYG15)*860/10)+((('Form Sa1'!QYJ835)*860)/10)+('Form Sa1'!QYJ814*'Form Sa1'!QYJ816/10)-'NF - 5 Power Mix'!QYG21-'NF - 5 Power Mix'!QYG22</f>
        <v>0</v>
      </c>
      <c r="QYH42" s="1046">
        <f>QYH38+((QYH40+'NF - 5 Power Mix'!QYH14+'NF - 5 Power Mix'!QYH15)*860/10)+((('Form Sa1'!QYK835)*860)/10)+('Form Sa1'!QYK814*'Form Sa1'!QYK816/10)-'NF - 5 Power Mix'!QYH21-'NF - 5 Power Mix'!QYH22</f>
        <v>0</v>
      </c>
      <c r="QYI42" s="1046">
        <f>QYI38+((QYI40+'NF - 5 Power Mix'!QYI14+'NF - 5 Power Mix'!QYI15)*860/10)+((('Form Sa1'!QYL835)*860)/10)+('Form Sa1'!QYL814*'Form Sa1'!QYL816/10)-'NF - 5 Power Mix'!QYI21-'NF - 5 Power Mix'!QYI22</f>
        <v>0</v>
      </c>
      <c r="QYJ42" s="1046">
        <f>QYJ38+((QYJ40+'NF - 5 Power Mix'!QYJ14+'NF - 5 Power Mix'!QYJ15)*860/10)+((('Form Sa1'!QYM835)*860)/10)+('Form Sa1'!QYM814*'Form Sa1'!QYM816/10)-'NF - 5 Power Mix'!QYJ21-'NF - 5 Power Mix'!QYJ22</f>
        <v>0</v>
      </c>
      <c r="QYK42" s="1046">
        <f>QYK38+((QYK40+'NF - 5 Power Mix'!QYK14+'NF - 5 Power Mix'!QYK15)*860/10)+((('Form Sa1'!QYN835)*860)/10)+('Form Sa1'!QYN814*'Form Sa1'!QYN816/10)-'NF - 5 Power Mix'!QYK21-'NF - 5 Power Mix'!QYK22</f>
        <v>0</v>
      </c>
      <c r="QYL42" s="1046">
        <f>QYL38+((QYL40+'NF - 5 Power Mix'!QYL14+'NF - 5 Power Mix'!QYL15)*860/10)+((('Form Sa1'!QYO835)*860)/10)+('Form Sa1'!QYO814*'Form Sa1'!QYO816/10)-'NF - 5 Power Mix'!QYL21-'NF - 5 Power Mix'!QYL22</f>
        <v>0</v>
      </c>
      <c r="QYM42" s="1046">
        <f>QYM38+((QYM40+'NF - 5 Power Mix'!QYM14+'NF - 5 Power Mix'!QYM15)*860/10)+((('Form Sa1'!QYP835)*860)/10)+('Form Sa1'!QYP814*'Form Sa1'!QYP816/10)-'NF - 5 Power Mix'!QYM21-'NF - 5 Power Mix'!QYM22</f>
        <v>0</v>
      </c>
      <c r="QYN42" s="1046">
        <f>QYN38+((QYN40+'NF - 5 Power Mix'!QYN14+'NF - 5 Power Mix'!QYN15)*860/10)+((('Form Sa1'!QYQ835)*860)/10)+('Form Sa1'!QYQ814*'Form Sa1'!QYQ816/10)-'NF - 5 Power Mix'!QYN21-'NF - 5 Power Mix'!QYN22</f>
        <v>0</v>
      </c>
      <c r="QYO42" s="1046">
        <f>QYO38+((QYO40+'NF - 5 Power Mix'!QYO14+'NF - 5 Power Mix'!QYO15)*860/10)+((('Form Sa1'!QYR835)*860)/10)+('Form Sa1'!QYR814*'Form Sa1'!QYR816/10)-'NF - 5 Power Mix'!QYO21-'NF - 5 Power Mix'!QYO22</f>
        <v>0</v>
      </c>
      <c r="QYP42" s="1046">
        <f>QYP38+((QYP40+'NF - 5 Power Mix'!QYP14+'NF - 5 Power Mix'!QYP15)*860/10)+((('Form Sa1'!QYS835)*860)/10)+('Form Sa1'!QYS814*'Form Sa1'!QYS816/10)-'NF - 5 Power Mix'!QYP21-'NF - 5 Power Mix'!QYP22</f>
        <v>0</v>
      </c>
      <c r="QYQ42" s="1046">
        <f>QYQ38+((QYQ40+'NF - 5 Power Mix'!QYQ14+'NF - 5 Power Mix'!QYQ15)*860/10)+((('Form Sa1'!QYT835)*860)/10)+('Form Sa1'!QYT814*'Form Sa1'!QYT816/10)-'NF - 5 Power Mix'!QYQ21-'NF - 5 Power Mix'!QYQ22</f>
        <v>0</v>
      </c>
      <c r="QYR42" s="1046">
        <f>QYR38+((QYR40+'NF - 5 Power Mix'!QYR14+'NF - 5 Power Mix'!QYR15)*860/10)+((('Form Sa1'!QYU835)*860)/10)+('Form Sa1'!QYU814*'Form Sa1'!QYU816/10)-'NF - 5 Power Mix'!QYR21-'NF - 5 Power Mix'!QYR22</f>
        <v>0</v>
      </c>
      <c r="QYS42" s="1046">
        <f>QYS38+((QYS40+'NF - 5 Power Mix'!QYS14+'NF - 5 Power Mix'!QYS15)*860/10)+((('Form Sa1'!QYV835)*860)/10)+('Form Sa1'!QYV814*'Form Sa1'!QYV816/10)-'NF - 5 Power Mix'!QYS21-'NF - 5 Power Mix'!QYS22</f>
        <v>0</v>
      </c>
      <c r="QYT42" s="1046">
        <f>QYT38+((QYT40+'NF - 5 Power Mix'!QYT14+'NF - 5 Power Mix'!QYT15)*860/10)+((('Form Sa1'!QYW835)*860)/10)+('Form Sa1'!QYW814*'Form Sa1'!QYW816/10)-'NF - 5 Power Mix'!QYT21-'NF - 5 Power Mix'!QYT22</f>
        <v>0</v>
      </c>
      <c r="QYU42" s="1046">
        <f>QYU38+((QYU40+'NF - 5 Power Mix'!QYU14+'NF - 5 Power Mix'!QYU15)*860/10)+((('Form Sa1'!QYX835)*860)/10)+('Form Sa1'!QYX814*'Form Sa1'!QYX816/10)-'NF - 5 Power Mix'!QYU21-'NF - 5 Power Mix'!QYU22</f>
        <v>0</v>
      </c>
      <c r="QYV42" s="1046">
        <f>QYV38+((QYV40+'NF - 5 Power Mix'!QYV14+'NF - 5 Power Mix'!QYV15)*860/10)+((('Form Sa1'!QYY835)*860)/10)+('Form Sa1'!QYY814*'Form Sa1'!QYY816/10)-'NF - 5 Power Mix'!QYV21-'NF - 5 Power Mix'!QYV22</f>
        <v>0</v>
      </c>
      <c r="QYW42" s="1046">
        <f>QYW38+((QYW40+'NF - 5 Power Mix'!QYW14+'NF - 5 Power Mix'!QYW15)*860/10)+((('Form Sa1'!QYZ835)*860)/10)+('Form Sa1'!QYZ814*'Form Sa1'!QYZ816/10)-'NF - 5 Power Mix'!QYW21-'NF - 5 Power Mix'!QYW22</f>
        <v>0</v>
      </c>
      <c r="QYX42" s="1046">
        <f>QYX38+((QYX40+'NF - 5 Power Mix'!QYX14+'NF - 5 Power Mix'!QYX15)*860/10)+((('Form Sa1'!QZA835)*860)/10)+('Form Sa1'!QZA814*'Form Sa1'!QZA816/10)-'NF - 5 Power Mix'!QYX21-'NF - 5 Power Mix'!QYX22</f>
        <v>0</v>
      </c>
      <c r="QYY42" s="1046">
        <f>QYY38+((QYY40+'NF - 5 Power Mix'!QYY14+'NF - 5 Power Mix'!QYY15)*860/10)+((('Form Sa1'!QZB835)*860)/10)+('Form Sa1'!QZB814*'Form Sa1'!QZB816/10)-'NF - 5 Power Mix'!QYY21-'NF - 5 Power Mix'!QYY22</f>
        <v>0</v>
      </c>
      <c r="QYZ42" s="1046">
        <f>QYZ38+((QYZ40+'NF - 5 Power Mix'!QYZ14+'NF - 5 Power Mix'!QYZ15)*860/10)+((('Form Sa1'!QZC835)*860)/10)+('Form Sa1'!QZC814*'Form Sa1'!QZC816/10)-'NF - 5 Power Mix'!QYZ21-'NF - 5 Power Mix'!QYZ22</f>
        <v>0</v>
      </c>
      <c r="QZA42" s="1046">
        <f>QZA38+((QZA40+'NF - 5 Power Mix'!QZA14+'NF - 5 Power Mix'!QZA15)*860/10)+((('Form Sa1'!QZD835)*860)/10)+('Form Sa1'!QZD814*'Form Sa1'!QZD816/10)-'NF - 5 Power Mix'!QZA21-'NF - 5 Power Mix'!QZA22</f>
        <v>0</v>
      </c>
      <c r="QZB42" s="1046">
        <f>QZB38+((QZB40+'NF - 5 Power Mix'!QZB14+'NF - 5 Power Mix'!QZB15)*860/10)+((('Form Sa1'!QZE835)*860)/10)+('Form Sa1'!QZE814*'Form Sa1'!QZE816/10)-'NF - 5 Power Mix'!QZB21-'NF - 5 Power Mix'!QZB22</f>
        <v>0</v>
      </c>
      <c r="QZC42" s="1046">
        <f>QZC38+((QZC40+'NF - 5 Power Mix'!QZC14+'NF - 5 Power Mix'!QZC15)*860/10)+((('Form Sa1'!QZF835)*860)/10)+('Form Sa1'!QZF814*'Form Sa1'!QZF816/10)-'NF - 5 Power Mix'!QZC21-'NF - 5 Power Mix'!QZC22</f>
        <v>0</v>
      </c>
      <c r="QZD42" s="1046">
        <f>QZD38+((QZD40+'NF - 5 Power Mix'!QZD14+'NF - 5 Power Mix'!QZD15)*860/10)+((('Form Sa1'!QZG835)*860)/10)+('Form Sa1'!QZG814*'Form Sa1'!QZG816/10)-'NF - 5 Power Mix'!QZD21-'NF - 5 Power Mix'!QZD22</f>
        <v>0</v>
      </c>
      <c r="QZE42" s="1046">
        <f>QZE38+((QZE40+'NF - 5 Power Mix'!QZE14+'NF - 5 Power Mix'!QZE15)*860/10)+((('Form Sa1'!QZH835)*860)/10)+('Form Sa1'!QZH814*'Form Sa1'!QZH816/10)-'NF - 5 Power Mix'!QZE21-'NF - 5 Power Mix'!QZE22</f>
        <v>0</v>
      </c>
      <c r="QZF42" s="1046">
        <f>QZF38+((QZF40+'NF - 5 Power Mix'!QZF14+'NF - 5 Power Mix'!QZF15)*860/10)+((('Form Sa1'!QZI835)*860)/10)+('Form Sa1'!QZI814*'Form Sa1'!QZI816/10)-'NF - 5 Power Mix'!QZF21-'NF - 5 Power Mix'!QZF22</f>
        <v>0</v>
      </c>
      <c r="QZG42" s="1046">
        <f>QZG38+((QZG40+'NF - 5 Power Mix'!QZG14+'NF - 5 Power Mix'!QZG15)*860/10)+((('Form Sa1'!QZJ835)*860)/10)+('Form Sa1'!QZJ814*'Form Sa1'!QZJ816/10)-'NF - 5 Power Mix'!QZG21-'NF - 5 Power Mix'!QZG22</f>
        <v>0</v>
      </c>
      <c r="QZH42" s="1046">
        <f>QZH38+((QZH40+'NF - 5 Power Mix'!QZH14+'NF - 5 Power Mix'!QZH15)*860/10)+((('Form Sa1'!QZK835)*860)/10)+('Form Sa1'!QZK814*'Form Sa1'!QZK816/10)-'NF - 5 Power Mix'!QZH21-'NF - 5 Power Mix'!QZH22</f>
        <v>0</v>
      </c>
      <c r="QZI42" s="1046">
        <f>QZI38+((QZI40+'NF - 5 Power Mix'!QZI14+'NF - 5 Power Mix'!QZI15)*860/10)+((('Form Sa1'!QZL835)*860)/10)+('Form Sa1'!QZL814*'Form Sa1'!QZL816/10)-'NF - 5 Power Mix'!QZI21-'NF - 5 Power Mix'!QZI22</f>
        <v>0</v>
      </c>
      <c r="QZJ42" s="1046">
        <f>QZJ38+((QZJ40+'NF - 5 Power Mix'!QZJ14+'NF - 5 Power Mix'!QZJ15)*860/10)+((('Form Sa1'!QZM835)*860)/10)+('Form Sa1'!QZM814*'Form Sa1'!QZM816/10)-'NF - 5 Power Mix'!QZJ21-'NF - 5 Power Mix'!QZJ22</f>
        <v>0</v>
      </c>
      <c r="QZK42" s="1046">
        <f>QZK38+((QZK40+'NF - 5 Power Mix'!QZK14+'NF - 5 Power Mix'!QZK15)*860/10)+((('Form Sa1'!QZN835)*860)/10)+('Form Sa1'!QZN814*'Form Sa1'!QZN816/10)-'NF - 5 Power Mix'!QZK21-'NF - 5 Power Mix'!QZK22</f>
        <v>0</v>
      </c>
      <c r="QZL42" s="1046">
        <f>QZL38+((QZL40+'NF - 5 Power Mix'!QZL14+'NF - 5 Power Mix'!QZL15)*860/10)+((('Form Sa1'!QZO835)*860)/10)+('Form Sa1'!QZO814*'Form Sa1'!QZO816/10)-'NF - 5 Power Mix'!QZL21-'NF - 5 Power Mix'!QZL22</f>
        <v>0</v>
      </c>
      <c r="QZM42" s="1046">
        <f>QZM38+((QZM40+'NF - 5 Power Mix'!QZM14+'NF - 5 Power Mix'!QZM15)*860/10)+((('Form Sa1'!QZP835)*860)/10)+('Form Sa1'!QZP814*'Form Sa1'!QZP816/10)-'NF - 5 Power Mix'!QZM21-'NF - 5 Power Mix'!QZM22</f>
        <v>0</v>
      </c>
      <c r="QZN42" s="1046">
        <f>QZN38+((QZN40+'NF - 5 Power Mix'!QZN14+'NF - 5 Power Mix'!QZN15)*860/10)+((('Form Sa1'!QZQ835)*860)/10)+('Form Sa1'!QZQ814*'Form Sa1'!QZQ816/10)-'NF - 5 Power Mix'!QZN21-'NF - 5 Power Mix'!QZN22</f>
        <v>0</v>
      </c>
      <c r="QZO42" s="1046">
        <f>QZO38+((QZO40+'NF - 5 Power Mix'!QZO14+'NF - 5 Power Mix'!QZO15)*860/10)+((('Form Sa1'!QZR835)*860)/10)+('Form Sa1'!QZR814*'Form Sa1'!QZR816/10)-'NF - 5 Power Mix'!QZO21-'NF - 5 Power Mix'!QZO22</f>
        <v>0</v>
      </c>
      <c r="QZP42" s="1046">
        <f>QZP38+((QZP40+'NF - 5 Power Mix'!QZP14+'NF - 5 Power Mix'!QZP15)*860/10)+((('Form Sa1'!QZS835)*860)/10)+('Form Sa1'!QZS814*'Form Sa1'!QZS816/10)-'NF - 5 Power Mix'!QZP21-'NF - 5 Power Mix'!QZP22</f>
        <v>0</v>
      </c>
      <c r="QZQ42" s="1046">
        <f>QZQ38+((QZQ40+'NF - 5 Power Mix'!QZQ14+'NF - 5 Power Mix'!QZQ15)*860/10)+((('Form Sa1'!QZT835)*860)/10)+('Form Sa1'!QZT814*'Form Sa1'!QZT816/10)-'NF - 5 Power Mix'!QZQ21-'NF - 5 Power Mix'!QZQ22</f>
        <v>0</v>
      </c>
      <c r="QZR42" s="1046">
        <f>QZR38+((QZR40+'NF - 5 Power Mix'!QZR14+'NF - 5 Power Mix'!QZR15)*860/10)+((('Form Sa1'!QZU835)*860)/10)+('Form Sa1'!QZU814*'Form Sa1'!QZU816/10)-'NF - 5 Power Mix'!QZR21-'NF - 5 Power Mix'!QZR22</f>
        <v>0</v>
      </c>
      <c r="QZS42" s="1046">
        <f>QZS38+((QZS40+'NF - 5 Power Mix'!QZS14+'NF - 5 Power Mix'!QZS15)*860/10)+((('Form Sa1'!QZV835)*860)/10)+('Form Sa1'!QZV814*'Form Sa1'!QZV816/10)-'NF - 5 Power Mix'!QZS21-'NF - 5 Power Mix'!QZS22</f>
        <v>0</v>
      </c>
      <c r="QZT42" s="1046">
        <f>QZT38+((QZT40+'NF - 5 Power Mix'!QZT14+'NF - 5 Power Mix'!QZT15)*860/10)+((('Form Sa1'!QZW835)*860)/10)+('Form Sa1'!QZW814*'Form Sa1'!QZW816/10)-'NF - 5 Power Mix'!QZT21-'NF - 5 Power Mix'!QZT22</f>
        <v>0</v>
      </c>
      <c r="QZU42" s="1046">
        <f>QZU38+((QZU40+'NF - 5 Power Mix'!QZU14+'NF - 5 Power Mix'!QZU15)*860/10)+((('Form Sa1'!QZX835)*860)/10)+('Form Sa1'!QZX814*'Form Sa1'!QZX816/10)-'NF - 5 Power Mix'!QZU21-'NF - 5 Power Mix'!QZU22</f>
        <v>0</v>
      </c>
      <c r="QZV42" s="1046">
        <f>QZV38+((QZV40+'NF - 5 Power Mix'!QZV14+'NF - 5 Power Mix'!QZV15)*860/10)+((('Form Sa1'!QZY835)*860)/10)+('Form Sa1'!QZY814*'Form Sa1'!QZY816/10)-'NF - 5 Power Mix'!QZV21-'NF - 5 Power Mix'!QZV22</f>
        <v>0</v>
      </c>
      <c r="QZW42" s="1046">
        <f>QZW38+((QZW40+'NF - 5 Power Mix'!QZW14+'NF - 5 Power Mix'!QZW15)*860/10)+((('Form Sa1'!QZZ835)*860)/10)+('Form Sa1'!QZZ814*'Form Sa1'!QZZ816/10)-'NF - 5 Power Mix'!QZW21-'NF - 5 Power Mix'!QZW22</f>
        <v>0</v>
      </c>
      <c r="QZX42" s="1046">
        <f>QZX38+((QZX40+'NF - 5 Power Mix'!QZX14+'NF - 5 Power Mix'!QZX15)*860/10)+((('Form Sa1'!RAA835)*860)/10)+('Form Sa1'!RAA814*'Form Sa1'!RAA816/10)-'NF - 5 Power Mix'!QZX21-'NF - 5 Power Mix'!QZX22</f>
        <v>0</v>
      </c>
      <c r="QZY42" s="1046">
        <f>QZY38+((QZY40+'NF - 5 Power Mix'!QZY14+'NF - 5 Power Mix'!QZY15)*860/10)+((('Form Sa1'!RAB835)*860)/10)+('Form Sa1'!RAB814*'Form Sa1'!RAB816/10)-'NF - 5 Power Mix'!QZY21-'NF - 5 Power Mix'!QZY22</f>
        <v>0</v>
      </c>
      <c r="QZZ42" s="1046">
        <f>QZZ38+((QZZ40+'NF - 5 Power Mix'!QZZ14+'NF - 5 Power Mix'!QZZ15)*860/10)+((('Form Sa1'!RAC835)*860)/10)+('Form Sa1'!RAC814*'Form Sa1'!RAC816/10)-'NF - 5 Power Mix'!QZZ21-'NF - 5 Power Mix'!QZZ22</f>
        <v>0</v>
      </c>
      <c r="RAA42" s="1046">
        <f>RAA38+((RAA40+'NF - 5 Power Mix'!RAA14+'NF - 5 Power Mix'!RAA15)*860/10)+((('Form Sa1'!RAD835)*860)/10)+('Form Sa1'!RAD814*'Form Sa1'!RAD816/10)-'NF - 5 Power Mix'!RAA21-'NF - 5 Power Mix'!RAA22</f>
        <v>0</v>
      </c>
      <c r="RAB42" s="1046">
        <f>RAB38+((RAB40+'NF - 5 Power Mix'!RAB14+'NF - 5 Power Mix'!RAB15)*860/10)+((('Form Sa1'!RAE835)*860)/10)+('Form Sa1'!RAE814*'Form Sa1'!RAE816/10)-'NF - 5 Power Mix'!RAB21-'NF - 5 Power Mix'!RAB22</f>
        <v>0</v>
      </c>
      <c r="RAC42" s="1046">
        <f>RAC38+((RAC40+'NF - 5 Power Mix'!RAC14+'NF - 5 Power Mix'!RAC15)*860/10)+((('Form Sa1'!RAF835)*860)/10)+('Form Sa1'!RAF814*'Form Sa1'!RAF816/10)-'NF - 5 Power Mix'!RAC21-'NF - 5 Power Mix'!RAC22</f>
        <v>0</v>
      </c>
      <c r="RAD42" s="1046">
        <f>RAD38+((RAD40+'NF - 5 Power Mix'!RAD14+'NF - 5 Power Mix'!RAD15)*860/10)+((('Form Sa1'!RAG835)*860)/10)+('Form Sa1'!RAG814*'Form Sa1'!RAG816/10)-'NF - 5 Power Mix'!RAD21-'NF - 5 Power Mix'!RAD22</f>
        <v>0</v>
      </c>
      <c r="RAE42" s="1046">
        <f>RAE38+((RAE40+'NF - 5 Power Mix'!RAE14+'NF - 5 Power Mix'!RAE15)*860/10)+((('Form Sa1'!RAH835)*860)/10)+('Form Sa1'!RAH814*'Form Sa1'!RAH816/10)-'NF - 5 Power Mix'!RAE21-'NF - 5 Power Mix'!RAE22</f>
        <v>0</v>
      </c>
      <c r="RAF42" s="1046">
        <f>RAF38+((RAF40+'NF - 5 Power Mix'!RAF14+'NF - 5 Power Mix'!RAF15)*860/10)+((('Form Sa1'!RAI835)*860)/10)+('Form Sa1'!RAI814*'Form Sa1'!RAI816/10)-'NF - 5 Power Mix'!RAF21-'NF - 5 Power Mix'!RAF22</f>
        <v>0</v>
      </c>
      <c r="RAG42" s="1046">
        <f>RAG38+((RAG40+'NF - 5 Power Mix'!RAG14+'NF - 5 Power Mix'!RAG15)*860/10)+((('Form Sa1'!RAJ835)*860)/10)+('Form Sa1'!RAJ814*'Form Sa1'!RAJ816/10)-'NF - 5 Power Mix'!RAG21-'NF - 5 Power Mix'!RAG22</f>
        <v>0</v>
      </c>
      <c r="RAH42" s="1046">
        <f>RAH38+((RAH40+'NF - 5 Power Mix'!RAH14+'NF - 5 Power Mix'!RAH15)*860/10)+((('Form Sa1'!RAK835)*860)/10)+('Form Sa1'!RAK814*'Form Sa1'!RAK816/10)-'NF - 5 Power Mix'!RAH21-'NF - 5 Power Mix'!RAH22</f>
        <v>0</v>
      </c>
      <c r="RAI42" s="1046">
        <f>RAI38+((RAI40+'NF - 5 Power Mix'!RAI14+'NF - 5 Power Mix'!RAI15)*860/10)+((('Form Sa1'!RAL835)*860)/10)+('Form Sa1'!RAL814*'Form Sa1'!RAL816/10)-'NF - 5 Power Mix'!RAI21-'NF - 5 Power Mix'!RAI22</f>
        <v>0</v>
      </c>
      <c r="RAJ42" s="1046">
        <f>RAJ38+((RAJ40+'NF - 5 Power Mix'!RAJ14+'NF - 5 Power Mix'!RAJ15)*860/10)+((('Form Sa1'!RAM835)*860)/10)+('Form Sa1'!RAM814*'Form Sa1'!RAM816/10)-'NF - 5 Power Mix'!RAJ21-'NF - 5 Power Mix'!RAJ22</f>
        <v>0</v>
      </c>
      <c r="RAK42" s="1046">
        <f>RAK38+((RAK40+'NF - 5 Power Mix'!RAK14+'NF - 5 Power Mix'!RAK15)*860/10)+((('Form Sa1'!RAN835)*860)/10)+('Form Sa1'!RAN814*'Form Sa1'!RAN816/10)-'NF - 5 Power Mix'!RAK21-'NF - 5 Power Mix'!RAK22</f>
        <v>0</v>
      </c>
      <c r="RAL42" s="1046">
        <f>RAL38+((RAL40+'NF - 5 Power Mix'!RAL14+'NF - 5 Power Mix'!RAL15)*860/10)+((('Form Sa1'!RAO835)*860)/10)+('Form Sa1'!RAO814*'Form Sa1'!RAO816/10)-'NF - 5 Power Mix'!RAL21-'NF - 5 Power Mix'!RAL22</f>
        <v>0</v>
      </c>
      <c r="RAM42" s="1046">
        <f>RAM38+((RAM40+'NF - 5 Power Mix'!RAM14+'NF - 5 Power Mix'!RAM15)*860/10)+((('Form Sa1'!RAP835)*860)/10)+('Form Sa1'!RAP814*'Form Sa1'!RAP816/10)-'NF - 5 Power Mix'!RAM21-'NF - 5 Power Mix'!RAM22</f>
        <v>0</v>
      </c>
      <c r="RAN42" s="1046">
        <f>RAN38+((RAN40+'NF - 5 Power Mix'!RAN14+'NF - 5 Power Mix'!RAN15)*860/10)+((('Form Sa1'!RAQ835)*860)/10)+('Form Sa1'!RAQ814*'Form Sa1'!RAQ816/10)-'NF - 5 Power Mix'!RAN21-'NF - 5 Power Mix'!RAN22</f>
        <v>0</v>
      </c>
      <c r="RAO42" s="1046">
        <f>RAO38+((RAO40+'NF - 5 Power Mix'!RAO14+'NF - 5 Power Mix'!RAO15)*860/10)+((('Form Sa1'!RAR835)*860)/10)+('Form Sa1'!RAR814*'Form Sa1'!RAR816/10)-'NF - 5 Power Mix'!RAO21-'NF - 5 Power Mix'!RAO22</f>
        <v>0</v>
      </c>
      <c r="RAP42" s="1046">
        <f>RAP38+((RAP40+'NF - 5 Power Mix'!RAP14+'NF - 5 Power Mix'!RAP15)*860/10)+((('Form Sa1'!RAS835)*860)/10)+('Form Sa1'!RAS814*'Form Sa1'!RAS816/10)-'NF - 5 Power Mix'!RAP21-'NF - 5 Power Mix'!RAP22</f>
        <v>0</v>
      </c>
      <c r="RAQ42" s="1046">
        <f>RAQ38+((RAQ40+'NF - 5 Power Mix'!RAQ14+'NF - 5 Power Mix'!RAQ15)*860/10)+((('Form Sa1'!RAT835)*860)/10)+('Form Sa1'!RAT814*'Form Sa1'!RAT816/10)-'NF - 5 Power Mix'!RAQ21-'NF - 5 Power Mix'!RAQ22</f>
        <v>0</v>
      </c>
      <c r="RAR42" s="1046">
        <f>RAR38+((RAR40+'NF - 5 Power Mix'!RAR14+'NF - 5 Power Mix'!RAR15)*860/10)+((('Form Sa1'!RAU835)*860)/10)+('Form Sa1'!RAU814*'Form Sa1'!RAU816/10)-'NF - 5 Power Mix'!RAR21-'NF - 5 Power Mix'!RAR22</f>
        <v>0</v>
      </c>
      <c r="RAS42" s="1046">
        <f>RAS38+((RAS40+'NF - 5 Power Mix'!RAS14+'NF - 5 Power Mix'!RAS15)*860/10)+((('Form Sa1'!RAV835)*860)/10)+('Form Sa1'!RAV814*'Form Sa1'!RAV816/10)-'NF - 5 Power Mix'!RAS21-'NF - 5 Power Mix'!RAS22</f>
        <v>0</v>
      </c>
      <c r="RAT42" s="1046">
        <f>RAT38+((RAT40+'NF - 5 Power Mix'!RAT14+'NF - 5 Power Mix'!RAT15)*860/10)+((('Form Sa1'!RAW835)*860)/10)+('Form Sa1'!RAW814*'Form Sa1'!RAW816/10)-'NF - 5 Power Mix'!RAT21-'NF - 5 Power Mix'!RAT22</f>
        <v>0</v>
      </c>
      <c r="RAU42" s="1046">
        <f>RAU38+((RAU40+'NF - 5 Power Mix'!RAU14+'NF - 5 Power Mix'!RAU15)*860/10)+((('Form Sa1'!RAX835)*860)/10)+('Form Sa1'!RAX814*'Form Sa1'!RAX816/10)-'NF - 5 Power Mix'!RAU21-'NF - 5 Power Mix'!RAU22</f>
        <v>0</v>
      </c>
      <c r="RAV42" s="1046">
        <f>RAV38+((RAV40+'NF - 5 Power Mix'!RAV14+'NF - 5 Power Mix'!RAV15)*860/10)+((('Form Sa1'!RAY835)*860)/10)+('Form Sa1'!RAY814*'Form Sa1'!RAY816/10)-'NF - 5 Power Mix'!RAV21-'NF - 5 Power Mix'!RAV22</f>
        <v>0</v>
      </c>
      <c r="RAW42" s="1046">
        <f>RAW38+((RAW40+'NF - 5 Power Mix'!RAW14+'NF - 5 Power Mix'!RAW15)*860/10)+((('Form Sa1'!RAZ835)*860)/10)+('Form Sa1'!RAZ814*'Form Sa1'!RAZ816/10)-'NF - 5 Power Mix'!RAW21-'NF - 5 Power Mix'!RAW22</f>
        <v>0</v>
      </c>
      <c r="RAX42" s="1046">
        <f>RAX38+((RAX40+'NF - 5 Power Mix'!RAX14+'NF - 5 Power Mix'!RAX15)*860/10)+((('Form Sa1'!RBA835)*860)/10)+('Form Sa1'!RBA814*'Form Sa1'!RBA816/10)-'NF - 5 Power Mix'!RAX21-'NF - 5 Power Mix'!RAX22</f>
        <v>0</v>
      </c>
      <c r="RAY42" s="1046">
        <f>RAY38+((RAY40+'NF - 5 Power Mix'!RAY14+'NF - 5 Power Mix'!RAY15)*860/10)+((('Form Sa1'!RBB835)*860)/10)+('Form Sa1'!RBB814*'Form Sa1'!RBB816/10)-'NF - 5 Power Mix'!RAY21-'NF - 5 Power Mix'!RAY22</f>
        <v>0</v>
      </c>
      <c r="RAZ42" s="1046">
        <f>RAZ38+((RAZ40+'NF - 5 Power Mix'!RAZ14+'NF - 5 Power Mix'!RAZ15)*860/10)+((('Form Sa1'!RBC835)*860)/10)+('Form Sa1'!RBC814*'Form Sa1'!RBC816/10)-'NF - 5 Power Mix'!RAZ21-'NF - 5 Power Mix'!RAZ22</f>
        <v>0</v>
      </c>
      <c r="RBA42" s="1046">
        <f>RBA38+((RBA40+'NF - 5 Power Mix'!RBA14+'NF - 5 Power Mix'!RBA15)*860/10)+((('Form Sa1'!RBD835)*860)/10)+('Form Sa1'!RBD814*'Form Sa1'!RBD816/10)-'NF - 5 Power Mix'!RBA21-'NF - 5 Power Mix'!RBA22</f>
        <v>0</v>
      </c>
      <c r="RBB42" s="1046">
        <f>RBB38+((RBB40+'NF - 5 Power Mix'!RBB14+'NF - 5 Power Mix'!RBB15)*860/10)+((('Form Sa1'!RBE835)*860)/10)+('Form Sa1'!RBE814*'Form Sa1'!RBE816/10)-'NF - 5 Power Mix'!RBB21-'NF - 5 Power Mix'!RBB22</f>
        <v>0</v>
      </c>
      <c r="RBC42" s="1046">
        <f>RBC38+((RBC40+'NF - 5 Power Mix'!RBC14+'NF - 5 Power Mix'!RBC15)*860/10)+((('Form Sa1'!RBF835)*860)/10)+('Form Sa1'!RBF814*'Form Sa1'!RBF816/10)-'NF - 5 Power Mix'!RBC21-'NF - 5 Power Mix'!RBC22</f>
        <v>0</v>
      </c>
      <c r="RBD42" s="1046">
        <f>RBD38+((RBD40+'NF - 5 Power Mix'!RBD14+'NF - 5 Power Mix'!RBD15)*860/10)+((('Form Sa1'!RBG835)*860)/10)+('Form Sa1'!RBG814*'Form Sa1'!RBG816/10)-'NF - 5 Power Mix'!RBD21-'NF - 5 Power Mix'!RBD22</f>
        <v>0</v>
      </c>
      <c r="RBE42" s="1046">
        <f>RBE38+((RBE40+'NF - 5 Power Mix'!RBE14+'NF - 5 Power Mix'!RBE15)*860/10)+((('Form Sa1'!RBH835)*860)/10)+('Form Sa1'!RBH814*'Form Sa1'!RBH816/10)-'NF - 5 Power Mix'!RBE21-'NF - 5 Power Mix'!RBE22</f>
        <v>0</v>
      </c>
      <c r="RBF42" s="1046">
        <f>RBF38+((RBF40+'NF - 5 Power Mix'!RBF14+'NF - 5 Power Mix'!RBF15)*860/10)+((('Form Sa1'!RBI835)*860)/10)+('Form Sa1'!RBI814*'Form Sa1'!RBI816/10)-'NF - 5 Power Mix'!RBF21-'NF - 5 Power Mix'!RBF22</f>
        <v>0</v>
      </c>
      <c r="RBG42" s="1046">
        <f>RBG38+((RBG40+'NF - 5 Power Mix'!RBG14+'NF - 5 Power Mix'!RBG15)*860/10)+((('Form Sa1'!RBJ835)*860)/10)+('Form Sa1'!RBJ814*'Form Sa1'!RBJ816/10)-'NF - 5 Power Mix'!RBG21-'NF - 5 Power Mix'!RBG22</f>
        <v>0</v>
      </c>
      <c r="RBH42" s="1046">
        <f>RBH38+((RBH40+'NF - 5 Power Mix'!RBH14+'NF - 5 Power Mix'!RBH15)*860/10)+((('Form Sa1'!RBK835)*860)/10)+('Form Sa1'!RBK814*'Form Sa1'!RBK816/10)-'NF - 5 Power Mix'!RBH21-'NF - 5 Power Mix'!RBH22</f>
        <v>0</v>
      </c>
      <c r="RBI42" s="1046">
        <f>RBI38+((RBI40+'NF - 5 Power Mix'!RBI14+'NF - 5 Power Mix'!RBI15)*860/10)+((('Form Sa1'!RBL835)*860)/10)+('Form Sa1'!RBL814*'Form Sa1'!RBL816/10)-'NF - 5 Power Mix'!RBI21-'NF - 5 Power Mix'!RBI22</f>
        <v>0</v>
      </c>
      <c r="RBJ42" s="1046">
        <f>RBJ38+((RBJ40+'NF - 5 Power Mix'!RBJ14+'NF - 5 Power Mix'!RBJ15)*860/10)+((('Form Sa1'!RBM835)*860)/10)+('Form Sa1'!RBM814*'Form Sa1'!RBM816/10)-'NF - 5 Power Mix'!RBJ21-'NF - 5 Power Mix'!RBJ22</f>
        <v>0</v>
      </c>
      <c r="RBK42" s="1046">
        <f>RBK38+((RBK40+'NF - 5 Power Mix'!RBK14+'NF - 5 Power Mix'!RBK15)*860/10)+((('Form Sa1'!RBN835)*860)/10)+('Form Sa1'!RBN814*'Form Sa1'!RBN816/10)-'NF - 5 Power Mix'!RBK21-'NF - 5 Power Mix'!RBK22</f>
        <v>0</v>
      </c>
      <c r="RBL42" s="1046">
        <f>RBL38+((RBL40+'NF - 5 Power Mix'!RBL14+'NF - 5 Power Mix'!RBL15)*860/10)+((('Form Sa1'!RBO835)*860)/10)+('Form Sa1'!RBO814*'Form Sa1'!RBO816/10)-'NF - 5 Power Mix'!RBL21-'NF - 5 Power Mix'!RBL22</f>
        <v>0</v>
      </c>
      <c r="RBM42" s="1046">
        <f>RBM38+((RBM40+'NF - 5 Power Mix'!RBM14+'NF - 5 Power Mix'!RBM15)*860/10)+((('Form Sa1'!RBP835)*860)/10)+('Form Sa1'!RBP814*'Form Sa1'!RBP816/10)-'NF - 5 Power Mix'!RBM21-'NF - 5 Power Mix'!RBM22</f>
        <v>0</v>
      </c>
      <c r="RBN42" s="1046">
        <f>RBN38+((RBN40+'NF - 5 Power Mix'!RBN14+'NF - 5 Power Mix'!RBN15)*860/10)+((('Form Sa1'!RBQ835)*860)/10)+('Form Sa1'!RBQ814*'Form Sa1'!RBQ816/10)-'NF - 5 Power Mix'!RBN21-'NF - 5 Power Mix'!RBN22</f>
        <v>0</v>
      </c>
      <c r="RBO42" s="1046">
        <f>RBO38+((RBO40+'NF - 5 Power Mix'!RBO14+'NF - 5 Power Mix'!RBO15)*860/10)+((('Form Sa1'!RBR835)*860)/10)+('Form Sa1'!RBR814*'Form Sa1'!RBR816/10)-'NF - 5 Power Mix'!RBO21-'NF - 5 Power Mix'!RBO22</f>
        <v>0</v>
      </c>
      <c r="RBP42" s="1046">
        <f>RBP38+((RBP40+'NF - 5 Power Mix'!RBP14+'NF - 5 Power Mix'!RBP15)*860/10)+((('Form Sa1'!RBS835)*860)/10)+('Form Sa1'!RBS814*'Form Sa1'!RBS816/10)-'NF - 5 Power Mix'!RBP21-'NF - 5 Power Mix'!RBP22</f>
        <v>0</v>
      </c>
      <c r="RBQ42" s="1046">
        <f>RBQ38+((RBQ40+'NF - 5 Power Mix'!RBQ14+'NF - 5 Power Mix'!RBQ15)*860/10)+((('Form Sa1'!RBT835)*860)/10)+('Form Sa1'!RBT814*'Form Sa1'!RBT816/10)-'NF - 5 Power Mix'!RBQ21-'NF - 5 Power Mix'!RBQ22</f>
        <v>0</v>
      </c>
      <c r="RBR42" s="1046">
        <f>RBR38+((RBR40+'NF - 5 Power Mix'!RBR14+'NF - 5 Power Mix'!RBR15)*860/10)+((('Form Sa1'!RBU835)*860)/10)+('Form Sa1'!RBU814*'Form Sa1'!RBU816/10)-'NF - 5 Power Mix'!RBR21-'NF - 5 Power Mix'!RBR22</f>
        <v>0</v>
      </c>
      <c r="RBS42" s="1046">
        <f>RBS38+((RBS40+'NF - 5 Power Mix'!RBS14+'NF - 5 Power Mix'!RBS15)*860/10)+((('Form Sa1'!RBV835)*860)/10)+('Form Sa1'!RBV814*'Form Sa1'!RBV816/10)-'NF - 5 Power Mix'!RBS21-'NF - 5 Power Mix'!RBS22</f>
        <v>0</v>
      </c>
      <c r="RBT42" s="1046">
        <f>RBT38+((RBT40+'NF - 5 Power Mix'!RBT14+'NF - 5 Power Mix'!RBT15)*860/10)+((('Form Sa1'!RBW835)*860)/10)+('Form Sa1'!RBW814*'Form Sa1'!RBW816/10)-'NF - 5 Power Mix'!RBT21-'NF - 5 Power Mix'!RBT22</f>
        <v>0</v>
      </c>
      <c r="RBU42" s="1046">
        <f>RBU38+((RBU40+'NF - 5 Power Mix'!RBU14+'NF - 5 Power Mix'!RBU15)*860/10)+((('Form Sa1'!RBX835)*860)/10)+('Form Sa1'!RBX814*'Form Sa1'!RBX816/10)-'NF - 5 Power Mix'!RBU21-'NF - 5 Power Mix'!RBU22</f>
        <v>0</v>
      </c>
      <c r="RBV42" s="1046">
        <f>RBV38+((RBV40+'NF - 5 Power Mix'!RBV14+'NF - 5 Power Mix'!RBV15)*860/10)+((('Form Sa1'!RBY835)*860)/10)+('Form Sa1'!RBY814*'Form Sa1'!RBY816/10)-'NF - 5 Power Mix'!RBV21-'NF - 5 Power Mix'!RBV22</f>
        <v>0</v>
      </c>
      <c r="RBW42" s="1046">
        <f>RBW38+((RBW40+'NF - 5 Power Mix'!RBW14+'NF - 5 Power Mix'!RBW15)*860/10)+((('Form Sa1'!RBZ835)*860)/10)+('Form Sa1'!RBZ814*'Form Sa1'!RBZ816/10)-'NF - 5 Power Mix'!RBW21-'NF - 5 Power Mix'!RBW22</f>
        <v>0</v>
      </c>
      <c r="RBX42" s="1046">
        <f>RBX38+((RBX40+'NF - 5 Power Mix'!RBX14+'NF - 5 Power Mix'!RBX15)*860/10)+((('Form Sa1'!RCA835)*860)/10)+('Form Sa1'!RCA814*'Form Sa1'!RCA816/10)-'NF - 5 Power Mix'!RBX21-'NF - 5 Power Mix'!RBX22</f>
        <v>0</v>
      </c>
      <c r="RBY42" s="1046">
        <f>RBY38+((RBY40+'NF - 5 Power Mix'!RBY14+'NF - 5 Power Mix'!RBY15)*860/10)+((('Form Sa1'!RCB835)*860)/10)+('Form Sa1'!RCB814*'Form Sa1'!RCB816/10)-'NF - 5 Power Mix'!RBY21-'NF - 5 Power Mix'!RBY22</f>
        <v>0</v>
      </c>
      <c r="RBZ42" s="1046">
        <f>RBZ38+((RBZ40+'NF - 5 Power Mix'!RBZ14+'NF - 5 Power Mix'!RBZ15)*860/10)+((('Form Sa1'!RCC835)*860)/10)+('Form Sa1'!RCC814*'Form Sa1'!RCC816/10)-'NF - 5 Power Mix'!RBZ21-'NF - 5 Power Mix'!RBZ22</f>
        <v>0</v>
      </c>
      <c r="RCA42" s="1046">
        <f>RCA38+((RCA40+'NF - 5 Power Mix'!RCA14+'NF - 5 Power Mix'!RCA15)*860/10)+((('Form Sa1'!RCD835)*860)/10)+('Form Sa1'!RCD814*'Form Sa1'!RCD816/10)-'NF - 5 Power Mix'!RCA21-'NF - 5 Power Mix'!RCA22</f>
        <v>0</v>
      </c>
      <c r="RCB42" s="1046">
        <f>RCB38+((RCB40+'NF - 5 Power Mix'!RCB14+'NF - 5 Power Mix'!RCB15)*860/10)+((('Form Sa1'!RCE835)*860)/10)+('Form Sa1'!RCE814*'Form Sa1'!RCE816/10)-'NF - 5 Power Mix'!RCB21-'NF - 5 Power Mix'!RCB22</f>
        <v>0</v>
      </c>
      <c r="RCC42" s="1046">
        <f>RCC38+((RCC40+'NF - 5 Power Mix'!RCC14+'NF - 5 Power Mix'!RCC15)*860/10)+((('Form Sa1'!RCF835)*860)/10)+('Form Sa1'!RCF814*'Form Sa1'!RCF816/10)-'NF - 5 Power Mix'!RCC21-'NF - 5 Power Mix'!RCC22</f>
        <v>0</v>
      </c>
      <c r="RCD42" s="1046">
        <f>RCD38+((RCD40+'NF - 5 Power Mix'!RCD14+'NF - 5 Power Mix'!RCD15)*860/10)+((('Form Sa1'!RCG835)*860)/10)+('Form Sa1'!RCG814*'Form Sa1'!RCG816/10)-'NF - 5 Power Mix'!RCD21-'NF - 5 Power Mix'!RCD22</f>
        <v>0</v>
      </c>
      <c r="RCE42" s="1046">
        <f>RCE38+((RCE40+'NF - 5 Power Mix'!RCE14+'NF - 5 Power Mix'!RCE15)*860/10)+((('Form Sa1'!RCH835)*860)/10)+('Form Sa1'!RCH814*'Form Sa1'!RCH816/10)-'NF - 5 Power Mix'!RCE21-'NF - 5 Power Mix'!RCE22</f>
        <v>0</v>
      </c>
      <c r="RCF42" s="1046">
        <f>RCF38+((RCF40+'NF - 5 Power Mix'!RCF14+'NF - 5 Power Mix'!RCF15)*860/10)+((('Form Sa1'!RCI835)*860)/10)+('Form Sa1'!RCI814*'Form Sa1'!RCI816/10)-'NF - 5 Power Mix'!RCF21-'NF - 5 Power Mix'!RCF22</f>
        <v>0</v>
      </c>
      <c r="RCG42" s="1046">
        <f>RCG38+((RCG40+'NF - 5 Power Mix'!RCG14+'NF - 5 Power Mix'!RCG15)*860/10)+((('Form Sa1'!RCJ835)*860)/10)+('Form Sa1'!RCJ814*'Form Sa1'!RCJ816/10)-'NF - 5 Power Mix'!RCG21-'NF - 5 Power Mix'!RCG22</f>
        <v>0</v>
      </c>
      <c r="RCH42" s="1046">
        <f>RCH38+((RCH40+'NF - 5 Power Mix'!RCH14+'NF - 5 Power Mix'!RCH15)*860/10)+((('Form Sa1'!RCK835)*860)/10)+('Form Sa1'!RCK814*'Form Sa1'!RCK816/10)-'NF - 5 Power Mix'!RCH21-'NF - 5 Power Mix'!RCH22</f>
        <v>0</v>
      </c>
      <c r="RCI42" s="1046">
        <f>RCI38+((RCI40+'NF - 5 Power Mix'!RCI14+'NF - 5 Power Mix'!RCI15)*860/10)+((('Form Sa1'!RCL835)*860)/10)+('Form Sa1'!RCL814*'Form Sa1'!RCL816/10)-'NF - 5 Power Mix'!RCI21-'NF - 5 Power Mix'!RCI22</f>
        <v>0</v>
      </c>
      <c r="RCJ42" s="1046">
        <f>RCJ38+((RCJ40+'NF - 5 Power Mix'!RCJ14+'NF - 5 Power Mix'!RCJ15)*860/10)+((('Form Sa1'!RCM835)*860)/10)+('Form Sa1'!RCM814*'Form Sa1'!RCM816/10)-'NF - 5 Power Mix'!RCJ21-'NF - 5 Power Mix'!RCJ22</f>
        <v>0</v>
      </c>
      <c r="RCK42" s="1046">
        <f>RCK38+((RCK40+'NF - 5 Power Mix'!RCK14+'NF - 5 Power Mix'!RCK15)*860/10)+((('Form Sa1'!RCN835)*860)/10)+('Form Sa1'!RCN814*'Form Sa1'!RCN816/10)-'NF - 5 Power Mix'!RCK21-'NF - 5 Power Mix'!RCK22</f>
        <v>0</v>
      </c>
      <c r="RCL42" s="1046">
        <f>RCL38+((RCL40+'NF - 5 Power Mix'!RCL14+'NF - 5 Power Mix'!RCL15)*860/10)+((('Form Sa1'!RCO835)*860)/10)+('Form Sa1'!RCO814*'Form Sa1'!RCO816/10)-'NF - 5 Power Mix'!RCL21-'NF - 5 Power Mix'!RCL22</f>
        <v>0</v>
      </c>
      <c r="RCM42" s="1046">
        <f>RCM38+((RCM40+'NF - 5 Power Mix'!RCM14+'NF - 5 Power Mix'!RCM15)*860/10)+((('Form Sa1'!RCP835)*860)/10)+('Form Sa1'!RCP814*'Form Sa1'!RCP816/10)-'NF - 5 Power Mix'!RCM21-'NF - 5 Power Mix'!RCM22</f>
        <v>0</v>
      </c>
      <c r="RCN42" s="1046">
        <f>RCN38+((RCN40+'NF - 5 Power Mix'!RCN14+'NF - 5 Power Mix'!RCN15)*860/10)+((('Form Sa1'!RCQ835)*860)/10)+('Form Sa1'!RCQ814*'Form Sa1'!RCQ816/10)-'NF - 5 Power Mix'!RCN21-'NF - 5 Power Mix'!RCN22</f>
        <v>0</v>
      </c>
      <c r="RCO42" s="1046">
        <f>RCO38+((RCO40+'NF - 5 Power Mix'!RCO14+'NF - 5 Power Mix'!RCO15)*860/10)+((('Form Sa1'!RCR835)*860)/10)+('Form Sa1'!RCR814*'Form Sa1'!RCR816/10)-'NF - 5 Power Mix'!RCO21-'NF - 5 Power Mix'!RCO22</f>
        <v>0</v>
      </c>
      <c r="RCP42" s="1046">
        <f>RCP38+((RCP40+'NF - 5 Power Mix'!RCP14+'NF - 5 Power Mix'!RCP15)*860/10)+((('Form Sa1'!RCS835)*860)/10)+('Form Sa1'!RCS814*'Form Sa1'!RCS816/10)-'NF - 5 Power Mix'!RCP21-'NF - 5 Power Mix'!RCP22</f>
        <v>0</v>
      </c>
      <c r="RCQ42" s="1046">
        <f>RCQ38+((RCQ40+'NF - 5 Power Mix'!RCQ14+'NF - 5 Power Mix'!RCQ15)*860/10)+((('Form Sa1'!RCT835)*860)/10)+('Form Sa1'!RCT814*'Form Sa1'!RCT816/10)-'NF - 5 Power Mix'!RCQ21-'NF - 5 Power Mix'!RCQ22</f>
        <v>0</v>
      </c>
      <c r="RCR42" s="1046">
        <f>RCR38+((RCR40+'NF - 5 Power Mix'!RCR14+'NF - 5 Power Mix'!RCR15)*860/10)+((('Form Sa1'!RCU835)*860)/10)+('Form Sa1'!RCU814*'Form Sa1'!RCU816/10)-'NF - 5 Power Mix'!RCR21-'NF - 5 Power Mix'!RCR22</f>
        <v>0</v>
      </c>
      <c r="RCS42" s="1046">
        <f>RCS38+((RCS40+'NF - 5 Power Mix'!RCS14+'NF - 5 Power Mix'!RCS15)*860/10)+((('Form Sa1'!RCV835)*860)/10)+('Form Sa1'!RCV814*'Form Sa1'!RCV816/10)-'NF - 5 Power Mix'!RCS21-'NF - 5 Power Mix'!RCS22</f>
        <v>0</v>
      </c>
      <c r="RCT42" s="1046">
        <f>RCT38+((RCT40+'NF - 5 Power Mix'!RCT14+'NF - 5 Power Mix'!RCT15)*860/10)+((('Form Sa1'!RCW835)*860)/10)+('Form Sa1'!RCW814*'Form Sa1'!RCW816/10)-'NF - 5 Power Mix'!RCT21-'NF - 5 Power Mix'!RCT22</f>
        <v>0</v>
      </c>
      <c r="RCU42" s="1046">
        <f>RCU38+((RCU40+'NF - 5 Power Mix'!RCU14+'NF - 5 Power Mix'!RCU15)*860/10)+((('Form Sa1'!RCX835)*860)/10)+('Form Sa1'!RCX814*'Form Sa1'!RCX816/10)-'NF - 5 Power Mix'!RCU21-'NF - 5 Power Mix'!RCU22</f>
        <v>0</v>
      </c>
      <c r="RCV42" s="1046">
        <f>RCV38+((RCV40+'NF - 5 Power Mix'!RCV14+'NF - 5 Power Mix'!RCV15)*860/10)+((('Form Sa1'!RCY835)*860)/10)+('Form Sa1'!RCY814*'Form Sa1'!RCY816/10)-'NF - 5 Power Mix'!RCV21-'NF - 5 Power Mix'!RCV22</f>
        <v>0</v>
      </c>
      <c r="RCW42" s="1046">
        <f>RCW38+((RCW40+'NF - 5 Power Mix'!RCW14+'NF - 5 Power Mix'!RCW15)*860/10)+((('Form Sa1'!RCZ835)*860)/10)+('Form Sa1'!RCZ814*'Form Sa1'!RCZ816/10)-'NF - 5 Power Mix'!RCW21-'NF - 5 Power Mix'!RCW22</f>
        <v>0</v>
      </c>
      <c r="RCX42" s="1046">
        <f>RCX38+((RCX40+'NF - 5 Power Mix'!RCX14+'NF - 5 Power Mix'!RCX15)*860/10)+((('Form Sa1'!RDA835)*860)/10)+('Form Sa1'!RDA814*'Form Sa1'!RDA816/10)-'NF - 5 Power Mix'!RCX21-'NF - 5 Power Mix'!RCX22</f>
        <v>0</v>
      </c>
      <c r="RCY42" s="1046">
        <f>RCY38+((RCY40+'NF - 5 Power Mix'!RCY14+'NF - 5 Power Mix'!RCY15)*860/10)+((('Form Sa1'!RDB835)*860)/10)+('Form Sa1'!RDB814*'Form Sa1'!RDB816/10)-'NF - 5 Power Mix'!RCY21-'NF - 5 Power Mix'!RCY22</f>
        <v>0</v>
      </c>
      <c r="RCZ42" s="1046">
        <f>RCZ38+((RCZ40+'NF - 5 Power Mix'!RCZ14+'NF - 5 Power Mix'!RCZ15)*860/10)+((('Form Sa1'!RDC835)*860)/10)+('Form Sa1'!RDC814*'Form Sa1'!RDC816/10)-'NF - 5 Power Mix'!RCZ21-'NF - 5 Power Mix'!RCZ22</f>
        <v>0</v>
      </c>
      <c r="RDA42" s="1046">
        <f>RDA38+((RDA40+'NF - 5 Power Mix'!RDA14+'NF - 5 Power Mix'!RDA15)*860/10)+((('Form Sa1'!RDD835)*860)/10)+('Form Sa1'!RDD814*'Form Sa1'!RDD816/10)-'NF - 5 Power Mix'!RDA21-'NF - 5 Power Mix'!RDA22</f>
        <v>0</v>
      </c>
      <c r="RDB42" s="1046">
        <f>RDB38+((RDB40+'NF - 5 Power Mix'!RDB14+'NF - 5 Power Mix'!RDB15)*860/10)+((('Form Sa1'!RDE835)*860)/10)+('Form Sa1'!RDE814*'Form Sa1'!RDE816/10)-'NF - 5 Power Mix'!RDB21-'NF - 5 Power Mix'!RDB22</f>
        <v>0</v>
      </c>
      <c r="RDC42" s="1046">
        <f>RDC38+((RDC40+'NF - 5 Power Mix'!RDC14+'NF - 5 Power Mix'!RDC15)*860/10)+((('Form Sa1'!RDF835)*860)/10)+('Form Sa1'!RDF814*'Form Sa1'!RDF816/10)-'NF - 5 Power Mix'!RDC21-'NF - 5 Power Mix'!RDC22</f>
        <v>0</v>
      </c>
      <c r="RDD42" s="1046">
        <f>RDD38+((RDD40+'NF - 5 Power Mix'!RDD14+'NF - 5 Power Mix'!RDD15)*860/10)+((('Form Sa1'!RDG835)*860)/10)+('Form Sa1'!RDG814*'Form Sa1'!RDG816/10)-'NF - 5 Power Mix'!RDD21-'NF - 5 Power Mix'!RDD22</f>
        <v>0</v>
      </c>
      <c r="RDE42" s="1046">
        <f>RDE38+((RDE40+'NF - 5 Power Mix'!RDE14+'NF - 5 Power Mix'!RDE15)*860/10)+((('Form Sa1'!RDH835)*860)/10)+('Form Sa1'!RDH814*'Form Sa1'!RDH816/10)-'NF - 5 Power Mix'!RDE21-'NF - 5 Power Mix'!RDE22</f>
        <v>0</v>
      </c>
      <c r="RDF42" s="1046">
        <f>RDF38+((RDF40+'NF - 5 Power Mix'!RDF14+'NF - 5 Power Mix'!RDF15)*860/10)+((('Form Sa1'!RDI835)*860)/10)+('Form Sa1'!RDI814*'Form Sa1'!RDI816/10)-'NF - 5 Power Mix'!RDF21-'NF - 5 Power Mix'!RDF22</f>
        <v>0</v>
      </c>
      <c r="RDG42" s="1046">
        <f>RDG38+((RDG40+'NF - 5 Power Mix'!RDG14+'NF - 5 Power Mix'!RDG15)*860/10)+((('Form Sa1'!RDJ835)*860)/10)+('Form Sa1'!RDJ814*'Form Sa1'!RDJ816/10)-'NF - 5 Power Mix'!RDG21-'NF - 5 Power Mix'!RDG22</f>
        <v>0</v>
      </c>
      <c r="RDH42" s="1046">
        <f>RDH38+((RDH40+'NF - 5 Power Mix'!RDH14+'NF - 5 Power Mix'!RDH15)*860/10)+((('Form Sa1'!RDK835)*860)/10)+('Form Sa1'!RDK814*'Form Sa1'!RDK816/10)-'NF - 5 Power Mix'!RDH21-'NF - 5 Power Mix'!RDH22</f>
        <v>0</v>
      </c>
      <c r="RDI42" s="1046">
        <f>RDI38+((RDI40+'NF - 5 Power Mix'!RDI14+'NF - 5 Power Mix'!RDI15)*860/10)+((('Form Sa1'!RDL835)*860)/10)+('Form Sa1'!RDL814*'Form Sa1'!RDL816/10)-'NF - 5 Power Mix'!RDI21-'NF - 5 Power Mix'!RDI22</f>
        <v>0</v>
      </c>
      <c r="RDJ42" s="1046">
        <f>RDJ38+((RDJ40+'NF - 5 Power Mix'!RDJ14+'NF - 5 Power Mix'!RDJ15)*860/10)+((('Form Sa1'!RDM835)*860)/10)+('Form Sa1'!RDM814*'Form Sa1'!RDM816/10)-'NF - 5 Power Mix'!RDJ21-'NF - 5 Power Mix'!RDJ22</f>
        <v>0</v>
      </c>
      <c r="RDK42" s="1046">
        <f>RDK38+((RDK40+'NF - 5 Power Mix'!RDK14+'NF - 5 Power Mix'!RDK15)*860/10)+((('Form Sa1'!RDN835)*860)/10)+('Form Sa1'!RDN814*'Form Sa1'!RDN816/10)-'NF - 5 Power Mix'!RDK21-'NF - 5 Power Mix'!RDK22</f>
        <v>0</v>
      </c>
      <c r="RDL42" s="1046">
        <f>RDL38+((RDL40+'NF - 5 Power Mix'!RDL14+'NF - 5 Power Mix'!RDL15)*860/10)+((('Form Sa1'!RDO835)*860)/10)+('Form Sa1'!RDO814*'Form Sa1'!RDO816/10)-'NF - 5 Power Mix'!RDL21-'NF - 5 Power Mix'!RDL22</f>
        <v>0</v>
      </c>
      <c r="RDM42" s="1046">
        <f>RDM38+((RDM40+'NF - 5 Power Mix'!RDM14+'NF - 5 Power Mix'!RDM15)*860/10)+((('Form Sa1'!RDP835)*860)/10)+('Form Sa1'!RDP814*'Form Sa1'!RDP816/10)-'NF - 5 Power Mix'!RDM21-'NF - 5 Power Mix'!RDM22</f>
        <v>0</v>
      </c>
      <c r="RDN42" s="1046">
        <f>RDN38+((RDN40+'NF - 5 Power Mix'!RDN14+'NF - 5 Power Mix'!RDN15)*860/10)+((('Form Sa1'!RDQ835)*860)/10)+('Form Sa1'!RDQ814*'Form Sa1'!RDQ816/10)-'NF - 5 Power Mix'!RDN21-'NF - 5 Power Mix'!RDN22</f>
        <v>0</v>
      </c>
      <c r="RDO42" s="1046">
        <f>RDO38+((RDO40+'NF - 5 Power Mix'!RDO14+'NF - 5 Power Mix'!RDO15)*860/10)+((('Form Sa1'!RDR835)*860)/10)+('Form Sa1'!RDR814*'Form Sa1'!RDR816/10)-'NF - 5 Power Mix'!RDO21-'NF - 5 Power Mix'!RDO22</f>
        <v>0</v>
      </c>
      <c r="RDP42" s="1046">
        <f>RDP38+((RDP40+'NF - 5 Power Mix'!RDP14+'NF - 5 Power Mix'!RDP15)*860/10)+((('Form Sa1'!RDS835)*860)/10)+('Form Sa1'!RDS814*'Form Sa1'!RDS816/10)-'NF - 5 Power Mix'!RDP21-'NF - 5 Power Mix'!RDP22</f>
        <v>0</v>
      </c>
      <c r="RDQ42" s="1046">
        <f>RDQ38+((RDQ40+'NF - 5 Power Mix'!RDQ14+'NF - 5 Power Mix'!RDQ15)*860/10)+((('Form Sa1'!RDT835)*860)/10)+('Form Sa1'!RDT814*'Form Sa1'!RDT816/10)-'NF - 5 Power Mix'!RDQ21-'NF - 5 Power Mix'!RDQ22</f>
        <v>0</v>
      </c>
      <c r="RDR42" s="1046">
        <f>RDR38+((RDR40+'NF - 5 Power Mix'!RDR14+'NF - 5 Power Mix'!RDR15)*860/10)+((('Form Sa1'!RDU835)*860)/10)+('Form Sa1'!RDU814*'Form Sa1'!RDU816/10)-'NF - 5 Power Mix'!RDR21-'NF - 5 Power Mix'!RDR22</f>
        <v>0</v>
      </c>
      <c r="RDS42" s="1046">
        <f>RDS38+((RDS40+'NF - 5 Power Mix'!RDS14+'NF - 5 Power Mix'!RDS15)*860/10)+((('Form Sa1'!RDV835)*860)/10)+('Form Sa1'!RDV814*'Form Sa1'!RDV816/10)-'NF - 5 Power Mix'!RDS21-'NF - 5 Power Mix'!RDS22</f>
        <v>0</v>
      </c>
      <c r="RDT42" s="1046">
        <f>RDT38+((RDT40+'NF - 5 Power Mix'!RDT14+'NF - 5 Power Mix'!RDT15)*860/10)+((('Form Sa1'!RDW835)*860)/10)+('Form Sa1'!RDW814*'Form Sa1'!RDW816/10)-'NF - 5 Power Mix'!RDT21-'NF - 5 Power Mix'!RDT22</f>
        <v>0</v>
      </c>
      <c r="RDU42" s="1046">
        <f>RDU38+((RDU40+'NF - 5 Power Mix'!RDU14+'NF - 5 Power Mix'!RDU15)*860/10)+((('Form Sa1'!RDX835)*860)/10)+('Form Sa1'!RDX814*'Form Sa1'!RDX816/10)-'NF - 5 Power Mix'!RDU21-'NF - 5 Power Mix'!RDU22</f>
        <v>0</v>
      </c>
      <c r="RDV42" s="1046">
        <f>RDV38+((RDV40+'NF - 5 Power Mix'!RDV14+'NF - 5 Power Mix'!RDV15)*860/10)+((('Form Sa1'!RDY835)*860)/10)+('Form Sa1'!RDY814*'Form Sa1'!RDY816/10)-'NF - 5 Power Mix'!RDV21-'NF - 5 Power Mix'!RDV22</f>
        <v>0</v>
      </c>
      <c r="RDW42" s="1046">
        <f>RDW38+((RDW40+'NF - 5 Power Mix'!RDW14+'NF - 5 Power Mix'!RDW15)*860/10)+((('Form Sa1'!RDZ835)*860)/10)+('Form Sa1'!RDZ814*'Form Sa1'!RDZ816/10)-'NF - 5 Power Mix'!RDW21-'NF - 5 Power Mix'!RDW22</f>
        <v>0</v>
      </c>
      <c r="RDX42" s="1046">
        <f>RDX38+((RDX40+'NF - 5 Power Mix'!RDX14+'NF - 5 Power Mix'!RDX15)*860/10)+((('Form Sa1'!REA835)*860)/10)+('Form Sa1'!REA814*'Form Sa1'!REA816/10)-'NF - 5 Power Mix'!RDX21-'NF - 5 Power Mix'!RDX22</f>
        <v>0</v>
      </c>
      <c r="RDY42" s="1046">
        <f>RDY38+((RDY40+'NF - 5 Power Mix'!RDY14+'NF - 5 Power Mix'!RDY15)*860/10)+((('Form Sa1'!REB835)*860)/10)+('Form Sa1'!REB814*'Form Sa1'!REB816/10)-'NF - 5 Power Mix'!RDY21-'NF - 5 Power Mix'!RDY22</f>
        <v>0</v>
      </c>
      <c r="RDZ42" s="1046">
        <f>RDZ38+((RDZ40+'NF - 5 Power Mix'!RDZ14+'NF - 5 Power Mix'!RDZ15)*860/10)+((('Form Sa1'!REC835)*860)/10)+('Form Sa1'!REC814*'Form Sa1'!REC816/10)-'NF - 5 Power Mix'!RDZ21-'NF - 5 Power Mix'!RDZ22</f>
        <v>0</v>
      </c>
      <c r="REA42" s="1046">
        <f>REA38+((REA40+'NF - 5 Power Mix'!REA14+'NF - 5 Power Mix'!REA15)*860/10)+((('Form Sa1'!RED835)*860)/10)+('Form Sa1'!RED814*'Form Sa1'!RED816/10)-'NF - 5 Power Mix'!REA21-'NF - 5 Power Mix'!REA22</f>
        <v>0</v>
      </c>
      <c r="REB42" s="1046">
        <f>REB38+((REB40+'NF - 5 Power Mix'!REB14+'NF - 5 Power Mix'!REB15)*860/10)+((('Form Sa1'!REE835)*860)/10)+('Form Sa1'!REE814*'Form Sa1'!REE816/10)-'NF - 5 Power Mix'!REB21-'NF - 5 Power Mix'!REB22</f>
        <v>0</v>
      </c>
      <c r="REC42" s="1046">
        <f>REC38+((REC40+'NF - 5 Power Mix'!REC14+'NF - 5 Power Mix'!REC15)*860/10)+((('Form Sa1'!REF835)*860)/10)+('Form Sa1'!REF814*'Form Sa1'!REF816/10)-'NF - 5 Power Mix'!REC21-'NF - 5 Power Mix'!REC22</f>
        <v>0</v>
      </c>
      <c r="RED42" s="1046">
        <f>RED38+((RED40+'NF - 5 Power Mix'!RED14+'NF - 5 Power Mix'!RED15)*860/10)+((('Form Sa1'!REG835)*860)/10)+('Form Sa1'!REG814*'Form Sa1'!REG816/10)-'NF - 5 Power Mix'!RED21-'NF - 5 Power Mix'!RED22</f>
        <v>0</v>
      </c>
      <c r="REE42" s="1046">
        <f>REE38+((REE40+'NF - 5 Power Mix'!REE14+'NF - 5 Power Mix'!REE15)*860/10)+((('Form Sa1'!REH835)*860)/10)+('Form Sa1'!REH814*'Form Sa1'!REH816/10)-'NF - 5 Power Mix'!REE21-'NF - 5 Power Mix'!REE22</f>
        <v>0</v>
      </c>
      <c r="REF42" s="1046">
        <f>REF38+((REF40+'NF - 5 Power Mix'!REF14+'NF - 5 Power Mix'!REF15)*860/10)+((('Form Sa1'!REI835)*860)/10)+('Form Sa1'!REI814*'Form Sa1'!REI816/10)-'NF - 5 Power Mix'!REF21-'NF - 5 Power Mix'!REF22</f>
        <v>0</v>
      </c>
      <c r="REG42" s="1046">
        <f>REG38+((REG40+'NF - 5 Power Mix'!REG14+'NF - 5 Power Mix'!REG15)*860/10)+((('Form Sa1'!REJ835)*860)/10)+('Form Sa1'!REJ814*'Form Sa1'!REJ816/10)-'NF - 5 Power Mix'!REG21-'NF - 5 Power Mix'!REG22</f>
        <v>0</v>
      </c>
      <c r="REH42" s="1046">
        <f>REH38+((REH40+'NF - 5 Power Mix'!REH14+'NF - 5 Power Mix'!REH15)*860/10)+((('Form Sa1'!REK835)*860)/10)+('Form Sa1'!REK814*'Form Sa1'!REK816/10)-'NF - 5 Power Mix'!REH21-'NF - 5 Power Mix'!REH22</f>
        <v>0</v>
      </c>
      <c r="REI42" s="1046">
        <f>REI38+((REI40+'NF - 5 Power Mix'!REI14+'NF - 5 Power Mix'!REI15)*860/10)+((('Form Sa1'!REL835)*860)/10)+('Form Sa1'!REL814*'Form Sa1'!REL816/10)-'NF - 5 Power Mix'!REI21-'NF - 5 Power Mix'!REI22</f>
        <v>0</v>
      </c>
      <c r="REJ42" s="1046">
        <f>REJ38+((REJ40+'NF - 5 Power Mix'!REJ14+'NF - 5 Power Mix'!REJ15)*860/10)+((('Form Sa1'!REM835)*860)/10)+('Form Sa1'!REM814*'Form Sa1'!REM816/10)-'NF - 5 Power Mix'!REJ21-'NF - 5 Power Mix'!REJ22</f>
        <v>0</v>
      </c>
      <c r="REK42" s="1046">
        <f>REK38+((REK40+'NF - 5 Power Mix'!REK14+'NF - 5 Power Mix'!REK15)*860/10)+((('Form Sa1'!REN835)*860)/10)+('Form Sa1'!REN814*'Form Sa1'!REN816/10)-'NF - 5 Power Mix'!REK21-'NF - 5 Power Mix'!REK22</f>
        <v>0</v>
      </c>
      <c r="REL42" s="1046">
        <f>REL38+((REL40+'NF - 5 Power Mix'!REL14+'NF - 5 Power Mix'!REL15)*860/10)+((('Form Sa1'!REO835)*860)/10)+('Form Sa1'!REO814*'Form Sa1'!REO816/10)-'NF - 5 Power Mix'!REL21-'NF - 5 Power Mix'!REL22</f>
        <v>0</v>
      </c>
      <c r="REM42" s="1046">
        <f>REM38+((REM40+'NF - 5 Power Mix'!REM14+'NF - 5 Power Mix'!REM15)*860/10)+((('Form Sa1'!REP835)*860)/10)+('Form Sa1'!REP814*'Form Sa1'!REP816/10)-'NF - 5 Power Mix'!REM21-'NF - 5 Power Mix'!REM22</f>
        <v>0</v>
      </c>
      <c r="REN42" s="1046">
        <f>REN38+((REN40+'NF - 5 Power Mix'!REN14+'NF - 5 Power Mix'!REN15)*860/10)+((('Form Sa1'!REQ835)*860)/10)+('Form Sa1'!REQ814*'Form Sa1'!REQ816/10)-'NF - 5 Power Mix'!REN21-'NF - 5 Power Mix'!REN22</f>
        <v>0</v>
      </c>
      <c r="REO42" s="1046">
        <f>REO38+((REO40+'NF - 5 Power Mix'!REO14+'NF - 5 Power Mix'!REO15)*860/10)+((('Form Sa1'!RER835)*860)/10)+('Form Sa1'!RER814*'Form Sa1'!RER816/10)-'NF - 5 Power Mix'!REO21-'NF - 5 Power Mix'!REO22</f>
        <v>0</v>
      </c>
      <c r="REP42" s="1046">
        <f>REP38+((REP40+'NF - 5 Power Mix'!REP14+'NF - 5 Power Mix'!REP15)*860/10)+((('Form Sa1'!RES835)*860)/10)+('Form Sa1'!RES814*'Form Sa1'!RES816/10)-'NF - 5 Power Mix'!REP21-'NF - 5 Power Mix'!REP22</f>
        <v>0</v>
      </c>
      <c r="REQ42" s="1046">
        <f>REQ38+((REQ40+'NF - 5 Power Mix'!REQ14+'NF - 5 Power Mix'!REQ15)*860/10)+((('Form Sa1'!RET835)*860)/10)+('Form Sa1'!RET814*'Form Sa1'!RET816/10)-'NF - 5 Power Mix'!REQ21-'NF - 5 Power Mix'!REQ22</f>
        <v>0</v>
      </c>
      <c r="RER42" s="1046">
        <f>RER38+((RER40+'NF - 5 Power Mix'!RER14+'NF - 5 Power Mix'!RER15)*860/10)+((('Form Sa1'!REU835)*860)/10)+('Form Sa1'!REU814*'Form Sa1'!REU816/10)-'NF - 5 Power Mix'!RER21-'NF - 5 Power Mix'!RER22</f>
        <v>0</v>
      </c>
      <c r="RES42" s="1046">
        <f>RES38+((RES40+'NF - 5 Power Mix'!RES14+'NF - 5 Power Mix'!RES15)*860/10)+((('Form Sa1'!REV835)*860)/10)+('Form Sa1'!REV814*'Form Sa1'!REV816/10)-'NF - 5 Power Mix'!RES21-'NF - 5 Power Mix'!RES22</f>
        <v>0</v>
      </c>
      <c r="RET42" s="1046">
        <f>RET38+((RET40+'NF - 5 Power Mix'!RET14+'NF - 5 Power Mix'!RET15)*860/10)+((('Form Sa1'!REW835)*860)/10)+('Form Sa1'!REW814*'Form Sa1'!REW816/10)-'NF - 5 Power Mix'!RET21-'NF - 5 Power Mix'!RET22</f>
        <v>0</v>
      </c>
      <c r="REU42" s="1046">
        <f>REU38+((REU40+'NF - 5 Power Mix'!REU14+'NF - 5 Power Mix'!REU15)*860/10)+((('Form Sa1'!REX835)*860)/10)+('Form Sa1'!REX814*'Form Sa1'!REX816/10)-'NF - 5 Power Mix'!REU21-'NF - 5 Power Mix'!REU22</f>
        <v>0</v>
      </c>
      <c r="REV42" s="1046">
        <f>REV38+((REV40+'NF - 5 Power Mix'!REV14+'NF - 5 Power Mix'!REV15)*860/10)+((('Form Sa1'!REY835)*860)/10)+('Form Sa1'!REY814*'Form Sa1'!REY816/10)-'NF - 5 Power Mix'!REV21-'NF - 5 Power Mix'!REV22</f>
        <v>0</v>
      </c>
      <c r="REW42" s="1046">
        <f>REW38+((REW40+'NF - 5 Power Mix'!REW14+'NF - 5 Power Mix'!REW15)*860/10)+((('Form Sa1'!REZ835)*860)/10)+('Form Sa1'!REZ814*'Form Sa1'!REZ816/10)-'NF - 5 Power Mix'!REW21-'NF - 5 Power Mix'!REW22</f>
        <v>0</v>
      </c>
      <c r="REX42" s="1046">
        <f>REX38+((REX40+'NF - 5 Power Mix'!REX14+'NF - 5 Power Mix'!REX15)*860/10)+((('Form Sa1'!RFA835)*860)/10)+('Form Sa1'!RFA814*'Form Sa1'!RFA816/10)-'NF - 5 Power Mix'!REX21-'NF - 5 Power Mix'!REX22</f>
        <v>0</v>
      </c>
      <c r="REY42" s="1046">
        <f>REY38+((REY40+'NF - 5 Power Mix'!REY14+'NF - 5 Power Mix'!REY15)*860/10)+((('Form Sa1'!RFB835)*860)/10)+('Form Sa1'!RFB814*'Form Sa1'!RFB816/10)-'NF - 5 Power Mix'!REY21-'NF - 5 Power Mix'!REY22</f>
        <v>0</v>
      </c>
      <c r="REZ42" s="1046">
        <f>REZ38+((REZ40+'NF - 5 Power Mix'!REZ14+'NF - 5 Power Mix'!REZ15)*860/10)+((('Form Sa1'!RFC835)*860)/10)+('Form Sa1'!RFC814*'Form Sa1'!RFC816/10)-'NF - 5 Power Mix'!REZ21-'NF - 5 Power Mix'!REZ22</f>
        <v>0</v>
      </c>
      <c r="RFA42" s="1046">
        <f>RFA38+((RFA40+'NF - 5 Power Mix'!RFA14+'NF - 5 Power Mix'!RFA15)*860/10)+((('Form Sa1'!RFD835)*860)/10)+('Form Sa1'!RFD814*'Form Sa1'!RFD816/10)-'NF - 5 Power Mix'!RFA21-'NF - 5 Power Mix'!RFA22</f>
        <v>0</v>
      </c>
      <c r="RFB42" s="1046">
        <f>RFB38+((RFB40+'NF - 5 Power Mix'!RFB14+'NF - 5 Power Mix'!RFB15)*860/10)+((('Form Sa1'!RFE835)*860)/10)+('Form Sa1'!RFE814*'Form Sa1'!RFE816/10)-'NF - 5 Power Mix'!RFB21-'NF - 5 Power Mix'!RFB22</f>
        <v>0</v>
      </c>
      <c r="RFC42" s="1046">
        <f>RFC38+((RFC40+'NF - 5 Power Mix'!RFC14+'NF - 5 Power Mix'!RFC15)*860/10)+((('Form Sa1'!RFF835)*860)/10)+('Form Sa1'!RFF814*'Form Sa1'!RFF816/10)-'NF - 5 Power Mix'!RFC21-'NF - 5 Power Mix'!RFC22</f>
        <v>0</v>
      </c>
      <c r="RFD42" s="1046">
        <f>RFD38+((RFD40+'NF - 5 Power Mix'!RFD14+'NF - 5 Power Mix'!RFD15)*860/10)+((('Form Sa1'!RFG835)*860)/10)+('Form Sa1'!RFG814*'Form Sa1'!RFG816/10)-'NF - 5 Power Mix'!RFD21-'NF - 5 Power Mix'!RFD22</f>
        <v>0</v>
      </c>
      <c r="RFE42" s="1046">
        <f>RFE38+((RFE40+'NF - 5 Power Mix'!RFE14+'NF - 5 Power Mix'!RFE15)*860/10)+((('Form Sa1'!RFH835)*860)/10)+('Form Sa1'!RFH814*'Form Sa1'!RFH816/10)-'NF - 5 Power Mix'!RFE21-'NF - 5 Power Mix'!RFE22</f>
        <v>0</v>
      </c>
      <c r="RFF42" s="1046">
        <f>RFF38+((RFF40+'NF - 5 Power Mix'!RFF14+'NF - 5 Power Mix'!RFF15)*860/10)+((('Form Sa1'!RFI835)*860)/10)+('Form Sa1'!RFI814*'Form Sa1'!RFI816/10)-'NF - 5 Power Mix'!RFF21-'NF - 5 Power Mix'!RFF22</f>
        <v>0</v>
      </c>
      <c r="RFG42" s="1046">
        <f>RFG38+((RFG40+'NF - 5 Power Mix'!RFG14+'NF - 5 Power Mix'!RFG15)*860/10)+((('Form Sa1'!RFJ835)*860)/10)+('Form Sa1'!RFJ814*'Form Sa1'!RFJ816/10)-'NF - 5 Power Mix'!RFG21-'NF - 5 Power Mix'!RFG22</f>
        <v>0</v>
      </c>
      <c r="RFH42" s="1046">
        <f>RFH38+((RFH40+'NF - 5 Power Mix'!RFH14+'NF - 5 Power Mix'!RFH15)*860/10)+((('Form Sa1'!RFK835)*860)/10)+('Form Sa1'!RFK814*'Form Sa1'!RFK816/10)-'NF - 5 Power Mix'!RFH21-'NF - 5 Power Mix'!RFH22</f>
        <v>0</v>
      </c>
      <c r="RFI42" s="1046">
        <f>RFI38+((RFI40+'NF - 5 Power Mix'!RFI14+'NF - 5 Power Mix'!RFI15)*860/10)+((('Form Sa1'!RFL835)*860)/10)+('Form Sa1'!RFL814*'Form Sa1'!RFL816/10)-'NF - 5 Power Mix'!RFI21-'NF - 5 Power Mix'!RFI22</f>
        <v>0</v>
      </c>
      <c r="RFJ42" s="1046">
        <f>RFJ38+((RFJ40+'NF - 5 Power Mix'!RFJ14+'NF - 5 Power Mix'!RFJ15)*860/10)+((('Form Sa1'!RFM835)*860)/10)+('Form Sa1'!RFM814*'Form Sa1'!RFM816/10)-'NF - 5 Power Mix'!RFJ21-'NF - 5 Power Mix'!RFJ22</f>
        <v>0</v>
      </c>
      <c r="RFK42" s="1046">
        <f>RFK38+((RFK40+'NF - 5 Power Mix'!RFK14+'NF - 5 Power Mix'!RFK15)*860/10)+((('Form Sa1'!RFN835)*860)/10)+('Form Sa1'!RFN814*'Form Sa1'!RFN816/10)-'NF - 5 Power Mix'!RFK21-'NF - 5 Power Mix'!RFK22</f>
        <v>0</v>
      </c>
      <c r="RFL42" s="1046">
        <f>RFL38+((RFL40+'NF - 5 Power Mix'!RFL14+'NF - 5 Power Mix'!RFL15)*860/10)+((('Form Sa1'!RFO835)*860)/10)+('Form Sa1'!RFO814*'Form Sa1'!RFO816/10)-'NF - 5 Power Mix'!RFL21-'NF - 5 Power Mix'!RFL22</f>
        <v>0</v>
      </c>
      <c r="RFM42" s="1046">
        <f>RFM38+((RFM40+'NF - 5 Power Mix'!RFM14+'NF - 5 Power Mix'!RFM15)*860/10)+((('Form Sa1'!RFP835)*860)/10)+('Form Sa1'!RFP814*'Form Sa1'!RFP816/10)-'NF - 5 Power Mix'!RFM21-'NF - 5 Power Mix'!RFM22</f>
        <v>0</v>
      </c>
      <c r="RFN42" s="1046">
        <f>RFN38+((RFN40+'NF - 5 Power Mix'!RFN14+'NF - 5 Power Mix'!RFN15)*860/10)+((('Form Sa1'!RFQ835)*860)/10)+('Form Sa1'!RFQ814*'Form Sa1'!RFQ816/10)-'NF - 5 Power Mix'!RFN21-'NF - 5 Power Mix'!RFN22</f>
        <v>0</v>
      </c>
      <c r="RFO42" s="1046">
        <f>RFO38+((RFO40+'NF - 5 Power Mix'!RFO14+'NF - 5 Power Mix'!RFO15)*860/10)+((('Form Sa1'!RFR835)*860)/10)+('Form Sa1'!RFR814*'Form Sa1'!RFR816/10)-'NF - 5 Power Mix'!RFO21-'NF - 5 Power Mix'!RFO22</f>
        <v>0</v>
      </c>
      <c r="RFP42" s="1046">
        <f>RFP38+((RFP40+'NF - 5 Power Mix'!RFP14+'NF - 5 Power Mix'!RFP15)*860/10)+((('Form Sa1'!RFS835)*860)/10)+('Form Sa1'!RFS814*'Form Sa1'!RFS816/10)-'NF - 5 Power Mix'!RFP21-'NF - 5 Power Mix'!RFP22</f>
        <v>0</v>
      </c>
      <c r="RFQ42" s="1046">
        <f>RFQ38+((RFQ40+'NF - 5 Power Mix'!RFQ14+'NF - 5 Power Mix'!RFQ15)*860/10)+((('Form Sa1'!RFT835)*860)/10)+('Form Sa1'!RFT814*'Form Sa1'!RFT816/10)-'NF - 5 Power Mix'!RFQ21-'NF - 5 Power Mix'!RFQ22</f>
        <v>0</v>
      </c>
      <c r="RFR42" s="1046">
        <f>RFR38+((RFR40+'NF - 5 Power Mix'!RFR14+'NF - 5 Power Mix'!RFR15)*860/10)+((('Form Sa1'!RFU835)*860)/10)+('Form Sa1'!RFU814*'Form Sa1'!RFU816/10)-'NF - 5 Power Mix'!RFR21-'NF - 5 Power Mix'!RFR22</f>
        <v>0</v>
      </c>
      <c r="RFS42" s="1046">
        <f>RFS38+((RFS40+'NF - 5 Power Mix'!RFS14+'NF - 5 Power Mix'!RFS15)*860/10)+((('Form Sa1'!RFV835)*860)/10)+('Form Sa1'!RFV814*'Form Sa1'!RFV816/10)-'NF - 5 Power Mix'!RFS21-'NF - 5 Power Mix'!RFS22</f>
        <v>0</v>
      </c>
      <c r="RFT42" s="1046">
        <f>RFT38+((RFT40+'NF - 5 Power Mix'!RFT14+'NF - 5 Power Mix'!RFT15)*860/10)+((('Form Sa1'!RFW835)*860)/10)+('Form Sa1'!RFW814*'Form Sa1'!RFW816/10)-'NF - 5 Power Mix'!RFT21-'NF - 5 Power Mix'!RFT22</f>
        <v>0</v>
      </c>
      <c r="RFU42" s="1046">
        <f>RFU38+((RFU40+'NF - 5 Power Mix'!RFU14+'NF - 5 Power Mix'!RFU15)*860/10)+((('Form Sa1'!RFX835)*860)/10)+('Form Sa1'!RFX814*'Form Sa1'!RFX816/10)-'NF - 5 Power Mix'!RFU21-'NF - 5 Power Mix'!RFU22</f>
        <v>0</v>
      </c>
      <c r="RFV42" s="1046">
        <f>RFV38+((RFV40+'NF - 5 Power Mix'!RFV14+'NF - 5 Power Mix'!RFV15)*860/10)+((('Form Sa1'!RFY835)*860)/10)+('Form Sa1'!RFY814*'Form Sa1'!RFY816/10)-'NF - 5 Power Mix'!RFV21-'NF - 5 Power Mix'!RFV22</f>
        <v>0</v>
      </c>
      <c r="RFW42" s="1046">
        <f>RFW38+((RFW40+'NF - 5 Power Mix'!RFW14+'NF - 5 Power Mix'!RFW15)*860/10)+((('Form Sa1'!RFZ835)*860)/10)+('Form Sa1'!RFZ814*'Form Sa1'!RFZ816/10)-'NF - 5 Power Mix'!RFW21-'NF - 5 Power Mix'!RFW22</f>
        <v>0</v>
      </c>
      <c r="RFX42" s="1046">
        <f>RFX38+((RFX40+'NF - 5 Power Mix'!RFX14+'NF - 5 Power Mix'!RFX15)*860/10)+((('Form Sa1'!RGA835)*860)/10)+('Form Sa1'!RGA814*'Form Sa1'!RGA816/10)-'NF - 5 Power Mix'!RFX21-'NF - 5 Power Mix'!RFX22</f>
        <v>0</v>
      </c>
      <c r="RFY42" s="1046">
        <f>RFY38+((RFY40+'NF - 5 Power Mix'!RFY14+'NF - 5 Power Mix'!RFY15)*860/10)+((('Form Sa1'!RGB835)*860)/10)+('Form Sa1'!RGB814*'Form Sa1'!RGB816/10)-'NF - 5 Power Mix'!RFY21-'NF - 5 Power Mix'!RFY22</f>
        <v>0</v>
      </c>
      <c r="RFZ42" s="1046">
        <f>RFZ38+((RFZ40+'NF - 5 Power Mix'!RFZ14+'NF - 5 Power Mix'!RFZ15)*860/10)+((('Form Sa1'!RGC835)*860)/10)+('Form Sa1'!RGC814*'Form Sa1'!RGC816/10)-'NF - 5 Power Mix'!RFZ21-'NF - 5 Power Mix'!RFZ22</f>
        <v>0</v>
      </c>
      <c r="RGA42" s="1046">
        <f>RGA38+((RGA40+'NF - 5 Power Mix'!RGA14+'NF - 5 Power Mix'!RGA15)*860/10)+((('Form Sa1'!RGD835)*860)/10)+('Form Sa1'!RGD814*'Form Sa1'!RGD816/10)-'NF - 5 Power Mix'!RGA21-'NF - 5 Power Mix'!RGA22</f>
        <v>0</v>
      </c>
      <c r="RGB42" s="1046">
        <f>RGB38+((RGB40+'NF - 5 Power Mix'!RGB14+'NF - 5 Power Mix'!RGB15)*860/10)+((('Form Sa1'!RGE835)*860)/10)+('Form Sa1'!RGE814*'Form Sa1'!RGE816/10)-'NF - 5 Power Mix'!RGB21-'NF - 5 Power Mix'!RGB22</f>
        <v>0</v>
      </c>
      <c r="RGC42" s="1046">
        <f>RGC38+((RGC40+'NF - 5 Power Mix'!RGC14+'NF - 5 Power Mix'!RGC15)*860/10)+((('Form Sa1'!RGF835)*860)/10)+('Form Sa1'!RGF814*'Form Sa1'!RGF816/10)-'NF - 5 Power Mix'!RGC21-'NF - 5 Power Mix'!RGC22</f>
        <v>0</v>
      </c>
      <c r="RGD42" s="1046">
        <f>RGD38+((RGD40+'NF - 5 Power Mix'!RGD14+'NF - 5 Power Mix'!RGD15)*860/10)+((('Form Sa1'!RGG835)*860)/10)+('Form Sa1'!RGG814*'Form Sa1'!RGG816/10)-'NF - 5 Power Mix'!RGD21-'NF - 5 Power Mix'!RGD22</f>
        <v>0</v>
      </c>
      <c r="RGE42" s="1046">
        <f>RGE38+((RGE40+'NF - 5 Power Mix'!RGE14+'NF - 5 Power Mix'!RGE15)*860/10)+((('Form Sa1'!RGH835)*860)/10)+('Form Sa1'!RGH814*'Form Sa1'!RGH816/10)-'NF - 5 Power Mix'!RGE21-'NF - 5 Power Mix'!RGE22</f>
        <v>0</v>
      </c>
      <c r="RGF42" s="1046">
        <f>RGF38+((RGF40+'NF - 5 Power Mix'!RGF14+'NF - 5 Power Mix'!RGF15)*860/10)+((('Form Sa1'!RGI835)*860)/10)+('Form Sa1'!RGI814*'Form Sa1'!RGI816/10)-'NF - 5 Power Mix'!RGF21-'NF - 5 Power Mix'!RGF22</f>
        <v>0</v>
      </c>
      <c r="RGG42" s="1046">
        <f>RGG38+((RGG40+'NF - 5 Power Mix'!RGG14+'NF - 5 Power Mix'!RGG15)*860/10)+((('Form Sa1'!RGJ835)*860)/10)+('Form Sa1'!RGJ814*'Form Sa1'!RGJ816/10)-'NF - 5 Power Mix'!RGG21-'NF - 5 Power Mix'!RGG22</f>
        <v>0</v>
      </c>
      <c r="RGH42" s="1046">
        <f>RGH38+((RGH40+'NF - 5 Power Mix'!RGH14+'NF - 5 Power Mix'!RGH15)*860/10)+((('Form Sa1'!RGK835)*860)/10)+('Form Sa1'!RGK814*'Form Sa1'!RGK816/10)-'NF - 5 Power Mix'!RGH21-'NF - 5 Power Mix'!RGH22</f>
        <v>0</v>
      </c>
      <c r="RGI42" s="1046">
        <f>RGI38+((RGI40+'NF - 5 Power Mix'!RGI14+'NF - 5 Power Mix'!RGI15)*860/10)+((('Form Sa1'!RGL835)*860)/10)+('Form Sa1'!RGL814*'Form Sa1'!RGL816/10)-'NF - 5 Power Mix'!RGI21-'NF - 5 Power Mix'!RGI22</f>
        <v>0</v>
      </c>
      <c r="RGJ42" s="1046">
        <f>RGJ38+((RGJ40+'NF - 5 Power Mix'!RGJ14+'NF - 5 Power Mix'!RGJ15)*860/10)+((('Form Sa1'!RGM835)*860)/10)+('Form Sa1'!RGM814*'Form Sa1'!RGM816/10)-'NF - 5 Power Mix'!RGJ21-'NF - 5 Power Mix'!RGJ22</f>
        <v>0</v>
      </c>
      <c r="RGK42" s="1046">
        <f>RGK38+((RGK40+'NF - 5 Power Mix'!RGK14+'NF - 5 Power Mix'!RGK15)*860/10)+((('Form Sa1'!RGN835)*860)/10)+('Form Sa1'!RGN814*'Form Sa1'!RGN816/10)-'NF - 5 Power Mix'!RGK21-'NF - 5 Power Mix'!RGK22</f>
        <v>0</v>
      </c>
      <c r="RGL42" s="1046">
        <f>RGL38+((RGL40+'NF - 5 Power Mix'!RGL14+'NF - 5 Power Mix'!RGL15)*860/10)+((('Form Sa1'!RGO835)*860)/10)+('Form Sa1'!RGO814*'Form Sa1'!RGO816/10)-'NF - 5 Power Mix'!RGL21-'NF - 5 Power Mix'!RGL22</f>
        <v>0</v>
      </c>
      <c r="RGM42" s="1046">
        <f>RGM38+((RGM40+'NF - 5 Power Mix'!RGM14+'NF - 5 Power Mix'!RGM15)*860/10)+((('Form Sa1'!RGP835)*860)/10)+('Form Sa1'!RGP814*'Form Sa1'!RGP816/10)-'NF - 5 Power Mix'!RGM21-'NF - 5 Power Mix'!RGM22</f>
        <v>0</v>
      </c>
      <c r="RGN42" s="1046">
        <f>RGN38+((RGN40+'NF - 5 Power Mix'!RGN14+'NF - 5 Power Mix'!RGN15)*860/10)+((('Form Sa1'!RGQ835)*860)/10)+('Form Sa1'!RGQ814*'Form Sa1'!RGQ816/10)-'NF - 5 Power Mix'!RGN21-'NF - 5 Power Mix'!RGN22</f>
        <v>0</v>
      </c>
      <c r="RGO42" s="1046">
        <f>RGO38+((RGO40+'NF - 5 Power Mix'!RGO14+'NF - 5 Power Mix'!RGO15)*860/10)+((('Form Sa1'!RGR835)*860)/10)+('Form Sa1'!RGR814*'Form Sa1'!RGR816/10)-'NF - 5 Power Mix'!RGO21-'NF - 5 Power Mix'!RGO22</f>
        <v>0</v>
      </c>
      <c r="RGP42" s="1046">
        <f>RGP38+((RGP40+'NF - 5 Power Mix'!RGP14+'NF - 5 Power Mix'!RGP15)*860/10)+((('Form Sa1'!RGS835)*860)/10)+('Form Sa1'!RGS814*'Form Sa1'!RGS816/10)-'NF - 5 Power Mix'!RGP21-'NF - 5 Power Mix'!RGP22</f>
        <v>0</v>
      </c>
      <c r="RGQ42" s="1046">
        <f>RGQ38+((RGQ40+'NF - 5 Power Mix'!RGQ14+'NF - 5 Power Mix'!RGQ15)*860/10)+((('Form Sa1'!RGT835)*860)/10)+('Form Sa1'!RGT814*'Form Sa1'!RGT816/10)-'NF - 5 Power Mix'!RGQ21-'NF - 5 Power Mix'!RGQ22</f>
        <v>0</v>
      </c>
      <c r="RGR42" s="1046">
        <f>RGR38+((RGR40+'NF - 5 Power Mix'!RGR14+'NF - 5 Power Mix'!RGR15)*860/10)+((('Form Sa1'!RGU835)*860)/10)+('Form Sa1'!RGU814*'Form Sa1'!RGU816/10)-'NF - 5 Power Mix'!RGR21-'NF - 5 Power Mix'!RGR22</f>
        <v>0</v>
      </c>
      <c r="RGS42" s="1046">
        <f>RGS38+((RGS40+'NF - 5 Power Mix'!RGS14+'NF - 5 Power Mix'!RGS15)*860/10)+((('Form Sa1'!RGV835)*860)/10)+('Form Sa1'!RGV814*'Form Sa1'!RGV816/10)-'NF - 5 Power Mix'!RGS21-'NF - 5 Power Mix'!RGS22</f>
        <v>0</v>
      </c>
      <c r="RGT42" s="1046">
        <f>RGT38+((RGT40+'NF - 5 Power Mix'!RGT14+'NF - 5 Power Mix'!RGT15)*860/10)+((('Form Sa1'!RGW835)*860)/10)+('Form Sa1'!RGW814*'Form Sa1'!RGW816/10)-'NF - 5 Power Mix'!RGT21-'NF - 5 Power Mix'!RGT22</f>
        <v>0</v>
      </c>
      <c r="RGU42" s="1046">
        <f>RGU38+((RGU40+'NF - 5 Power Mix'!RGU14+'NF - 5 Power Mix'!RGU15)*860/10)+((('Form Sa1'!RGX835)*860)/10)+('Form Sa1'!RGX814*'Form Sa1'!RGX816/10)-'NF - 5 Power Mix'!RGU21-'NF - 5 Power Mix'!RGU22</f>
        <v>0</v>
      </c>
      <c r="RGV42" s="1046">
        <f>RGV38+((RGV40+'NF - 5 Power Mix'!RGV14+'NF - 5 Power Mix'!RGV15)*860/10)+((('Form Sa1'!RGY835)*860)/10)+('Form Sa1'!RGY814*'Form Sa1'!RGY816/10)-'NF - 5 Power Mix'!RGV21-'NF - 5 Power Mix'!RGV22</f>
        <v>0</v>
      </c>
      <c r="RGW42" s="1046">
        <f>RGW38+((RGW40+'NF - 5 Power Mix'!RGW14+'NF - 5 Power Mix'!RGW15)*860/10)+((('Form Sa1'!RGZ835)*860)/10)+('Form Sa1'!RGZ814*'Form Sa1'!RGZ816/10)-'NF - 5 Power Mix'!RGW21-'NF - 5 Power Mix'!RGW22</f>
        <v>0</v>
      </c>
      <c r="RGX42" s="1046">
        <f>RGX38+((RGX40+'NF - 5 Power Mix'!RGX14+'NF - 5 Power Mix'!RGX15)*860/10)+((('Form Sa1'!RHA835)*860)/10)+('Form Sa1'!RHA814*'Form Sa1'!RHA816/10)-'NF - 5 Power Mix'!RGX21-'NF - 5 Power Mix'!RGX22</f>
        <v>0</v>
      </c>
      <c r="RGY42" s="1046">
        <f>RGY38+((RGY40+'NF - 5 Power Mix'!RGY14+'NF - 5 Power Mix'!RGY15)*860/10)+((('Form Sa1'!RHB835)*860)/10)+('Form Sa1'!RHB814*'Form Sa1'!RHB816/10)-'NF - 5 Power Mix'!RGY21-'NF - 5 Power Mix'!RGY22</f>
        <v>0</v>
      </c>
      <c r="RGZ42" s="1046">
        <f>RGZ38+((RGZ40+'NF - 5 Power Mix'!RGZ14+'NF - 5 Power Mix'!RGZ15)*860/10)+((('Form Sa1'!RHC835)*860)/10)+('Form Sa1'!RHC814*'Form Sa1'!RHC816/10)-'NF - 5 Power Mix'!RGZ21-'NF - 5 Power Mix'!RGZ22</f>
        <v>0</v>
      </c>
      <c r="RHA42" s="1046">
        <f>RHA38+((RHA40+'NF - 5 Power Mix'!RHA14+'NF - 5 Power Mix'!RHA15)*860/10)+((('Form Sa1'!RHD835)*860)/10)+('Form Sa1'!RHD814*'Form Sa1'!RHD816/10)-'NF - 5 Power Mix'!RHA21-'NF - 5 Power Mix'!RHA22</f>
        <v>0</v>
      </c>
      <c r="RHB42" s="1046">
        <f>RHB38+((RHB40+'NF - 5 Power Mix'!RHB14+'NF - 5 Power Mix'!RHB15)*860/10)+((('Form Sa1'!RHE835)*860)/10)+('Form Sa1'!RHE814*'Form Sa1'!RHE816/10)-'NF - 5 Power Mix'!RHB21-'NF - 5 Power Mix'!RHB22</f>
        <v>0</v>
      </c>
      <c r="RHC42" s="1046">
        <f>RHC38+((RHC40+'NF - 5 Power Mix'!RHC14+'NF - 5 Power Mix'!RHC15)*860/10)+((('Form Sa1'!RHF835)*860)/10)+('Form Sa1'!RHF814*'Form Sa1'!RHF816/10)-'NF - 5 Power Mix'!RHC21-'NF - 5 Power Mix'!RHC22</f>
        <v>0</v>
      </c>
      <c r="RHD42" s="1046">
        <f>RHD38+((RHD40+'NF - 5 Power Mix'!RHD14+'NF - 5 Power Mix'!RHD15)*860/10)+((('Form Sa1'!RHG835)*860)/10)+('Form Sa1'!RHG814*'Form Sa1'!RHG816/10)-'NF - 5 Power Mix'!RHD21-'NF - 5 Power Mix'!RHD22</f>
        <v>0</v>
      </c>
      <c r="RHE42" s="1046">
        <f>RHE38+((RHE40+'NF - 5 Power Mix'!RHE14+'NF - 5 Power Mix'!RHE15)*860/10)+((('Form Sa1'!RHH835)*860)/10)+('Form Sa1'!RHH814*'Form Sa1'!RHH816/10)-'NF - 5 Power Mix'!RHE21-'NF - 5 Power Mix'!RHE22</f>
        <v>0</v>
      </c>
      <c r="RHF42" s="1046">
        <f>RHF38+((RHF40+'NF - 5 Power Mix'!RHF14+'NF - 5 Power Mix'!RHF15)*860/10)+((('Form Sa1'!RHI835)*860)/10)+('Form Sa1'!RHI814*'Form Sa1'!RHI816/10)-'NF - 5 Power Mix'!RHF21-'NF - 5 Power Mix'!RHF22</f>
        <v>0</v>
      </c>
      <c r="RHG42" s="1046">
        <f>RHG38+((RHG40+'NF - 5 Power Mix'!RHG14+'NF - 5 Power Mix'!RHG15)*860/10)+((('Form Sa1'!RHJ835)*860)/10)+('Form Sa1'!RHJ814*'Form Sa1'!RHJ816/10)-'NF - 5 Power Mix'!RHG21-'NF - 5 Power Mix'!RHG22</f>
        <v>0</v>
      </c>
      <c r="RHH42" s="1046">
        <f>RHH38+((RHH40+'NF - 5 Power Mix'!RHH14+'NF - 5 Power Mix'!RHH15)*860/10)+((('Form Sa1'!RHK835)*860)/10)+('Form Sa1'!RHK814*'Form Sa1'!RHK816/10)-'NF - 5 Power Mix'!RHH21-'NF - 5 Power Mix'!RHH22</f>
        <v>0</v>
      </c>
      <c r="RHI42" s="1046">
        <f>RHI38+((RHI40+'NF - 5 Power Mix'!RHI14+'NF - 5 Power Mix'!RHI15)*860/10)+((('Form Sa1'!RHL835)*860)/10)+('Form Sa1'!RHL814*'Form Sa1'!RHL816/10)-'NF - 5 Power Mix'!RHI21-'NF - 5 Power Mix'!RHI22</f>
        <v>0</v>
      </c>
      <c r="RHJ42" s="1046">
        <f>RHJ38+((RHJ40+'NF - 5 Power Mix'!RHJ14+'NF - 5 Power Mix'!RHJ15)*860/10)+((('Form Sa1'!RHM835)*860)/10)+('Form Sa1'!RHM814*'Form Sa1'!RHM816/10)-'NF - 5 Power Mix'!RHJ21-'NF - 5 Power Mix'!RHJ22</f>
        <v>0</v>
      </c>
      <c r="RHK42" s="1046">
        <f>RHK38+((RHK40+'NF - 5 Power Mix'!RHK14+'NF - 5 Power Mix'!RHK15)*860/10)+((('Form Sa1'!RHN835)*860)/10)+('Form Sa1'!RHN814*'Form Sa1'!RHN816/10)-'NF - 5 Power Mix'!RHK21-'NF - 5 Power Mix'!RHK22</f>
        <v>0</v>
      </c>
      <c r="RHL42" s="1046">
        <f>RHL38+((RHL40+'NF - 5 Power Mix'!RHL14+'NF - 5 Power Mix'!RHL15)*860/10)+((('Form Sa1'!RHO835)*860)/10)+('Form Sa1'!RHO814*'Form Sa1'!RHO816/10)-'NF - 5 Power Mix'!RHL21-'NF - 5 Power Mix'!RHL22</f>
        <v>0</v>
      </c>
      <c r="RHM42" s="1046">
        <f>RHM38+((RHM40+'NF - 5 Power Mix'!RHM14+'NF - 5 Power Mix'!RHM15)*860/10)+((('Form Sa1'!RHP835)*860)/10)+('Form Sa1'!RHP814*'Form Sa1'!RHP816/10)-'NF - 5 Power Mix'!RHM21-'NF - 5 Power Mix'!RHM22</f>
        <v>0</v>
      </c>
      <c r="RHN42" s="1046">
        <f>RHN38+((RHN40+'NF - 5 Power Mix'!RHN14+'NF - 5 Power Mix'!RHN15)*860/10)+((('Form Sa1'!RHQ835)*860)/10)+('Form Sa1'!RHQ814*'Form Sa1'!RHQ816/10)-'NF - 5 Power Mix'!RHN21-'NF - 5 Power Mix'!RHN22</f>
        <v>0</v>
      </c>
      <c r="RHO42" s="1046">
        <f>RHO38+((RHO40+'NF - 5 Power Mix'!RHO14+'NF - 5 Power Mix'!RHO15)*860/10)+((('Form Sa1'!RHR835)*860)/10)+('Form Sa1'!RHR814*'Form Sa1'!RHR816/10)-'NF - 5 Power Mix'!RHO21-'NF - 5 Power Mix'!RHO22</f>
        <v>0</v>
      </c>
      <c r="RHP42" s="1046">
        <f>RHP38+((RHP40+'NF - 5 Power Mix'!RHP14+'NF - 5 Power Mix'!RHP15)*860/10)+((('Form Sa1'!RHS835)*860)/10)+('Form Sa1'!RHS814*'Form Sa1'!RHS816/10)-'NF - 5 Power Mix'!RHP21-'NF - 5 Power Mix'!RHP22</f>
        <v>0</v>
      </c>
      <c r="RHQ42" s="1046">
        <f>RHQ38+((RHQ40+'NF - 5 Power Mix'!RHQ14+'NF - 5 Power Mix'!RHQ15)*860/10)+((('Form Sa1'!RHT835)*860)/10)+('Form Sa1'!RHT814*'Form Sa1'!RHT816/10)-'NF - 5 Power Mix'!RHQ21-'NF - 5 Power Mix'!RHQ22</f>
        <v>0</v>
      </c>
      <c r="RHR42" s="1046">
        <f>RHR38+((RHR40+'NF - 5 Power Mix'!RHR14+'NF - 5 Power Mix'!RHR15)*860/10)+((('Form Sa1'!RHU835)*860)/10)+('Form Sa1'!RHU814*'Form Sa1'!RHU816/10)-'NF - 5 Power Mix'!RHR21-'NF - 5 Power Mix'!RHR22</f>
        <v>0</v>
      </c>
      <c r="RHS42" s="1046">
        <f>RHS38+((RHS40+'NF - 5 Power Mix'!RHS14+'NF - 5 Power Mix'!RHS15)*860/10)+((('Form Sa1'!RHV835)*860)/10)+('Form Sa1'!RHV814*'Form Sa1'!RHV816/10)-'NF - 5 Power Mix'!RHS21-'NF - 5 Power Mix'!RHS22</f>
        <v>0</v>
      </c>
      <c r="RHT42" s="1046">
        <f>RHT38+((RHT40+'NF - 5 Power Mix'!RHT14+'NF - 5 Power Mix'!RHT15)*860/10)+((('Form Sa1'!RHW835)*860)/10)+('Form Sa1'!RHW814*'Form Sa1'!RHW816/10)-'NF - 5 Power Mix'!RHT21-'NF - 5 Power Mix'!RHT22</f>
        <v>0</v>
      </c>
      <c r="RHU42" s="1046">
        <f>RHU38+((RHU40+'NF - 5 Power Mix'!RHU14+'NF - 5 Power Mix'!RHU15)*860/10)+((('Form Sa1'!RHX835)*860)/10)+('Form Sa1'!RHX814*'Form Sa1'!RHX816/10)-'NF - 5 Power Mix'!RHU21-'NF - 5 Power Mix'!RHU22</f>
        <v>0</v>
      </c>
      <c r="RHV42" s="1046">
        <f>RHV38+((RHV40+'NF - 5 Power Mix'!RHV14+'NF - 5 Power Mix'!RHV15)*860/10)+((('Form Sa1'!RHY835)*860)/10)+('Form Sa1'!RHY814*'Form Sa1'!RHY816/10)-'NF - 5 Power Mix'!RHV21-'NF - 5 Power Mix'!RHV22</f>
        <v>0</v>
      </c>
      <c r="RHW42" s="1046">
        <f>RHW38+((RHW40+'NF - 5 Power Mix'!RHW14+'NF - 5 Power Mix'!RHW15)*860/10)+((('Form Sa1'!RHZ835)*860)/10)+('Form Sa1'!RHZ814*'Form Sa1'!RHZ816/10)-'NF - 5 Power Mix'!RHW21-'NF - 5 Power Mix'!RHW22</f>
        <v>0</v>
      </c>
      <c r="RHX42" s="1046">
        <f>RHX38+((RHX40+'NF - 5 Power Mix'!RHX14+'NF - 5 Power Mix'!RHX15)*860/10)+((('Form Sa1'!RIA835)*860)/10)+('Form Sa1'!RIA814*'Form Sa1'!RIA816/10)-'NF - 5 Power Mix'!RHX21-'NF - 5 Power Mix'!RHX22</f>
        <v>0</v>
      </c>
      <c r="RHY42" s="1046">
        <f>RHY38+((RHY40+'NF - 5 Power Mix'!RHY14+'NF - 5 Power Mix'!RHY15)*860/10)+((('Form Sa1'!RIB835)*860)/10)+('Form Sa1'!RIB814*'Form Sa1'!RIB816/10)-'NF - 5 Power Mix'!RHY21-'NF - 5 Power Mix'!RHY22</f>
        <v>0</v>
      </c>
      <c r="RHZ42" s="1046">
        <f>RHZ38+((RHZ40+'NF - 5 Power Mix'!RHZ14+'NF - 5 Power Mix'!RHZ15)*860/10)+((('Form Sa1'!RIC835)*860)/10)+('Form Sa1'!RIC814*'Form Sa1'!RIC816/10)-'NF - 5 Power Mix'!RHZ21-'NF - 5 Power Mix'!RHZ22</f>
        <v>0</v>
      </c>
      <c r="RIA42" s="1046">
        <f>RIA38+((RIA40+'NF - 5 Power Mix'!RIA14+'NF - 5 Power Mix'!RIA15)*860/10)+((('Form Sa1'!RID835)*860)/10)+('Form Sa1'!RID814*'Form Sa1'!RID816/10)-'NF - 5 Power Mix'!RIA21-'NF - 5 Power Mix'!RIA22</f>
        <v>0</v>
      </c>
      <c r="RIB42" s="1046">
        <f>RIB38+((RIB40+'NF - 5 Power Mix'!RIB14+'NF - 5 Power Mix'!RIB15)*860/10)+((('Form Sa1'!RIE835)*860)/10)+('Form Sa1'!RIE814*'Form Sa1'!RIE816/10)-'NF - 5 Power Mix'!RIB21-'NF - 5 Power Mix'!RIB22</f>
        <v>0</v>
      </c>
      <c r="RIC42" s="1046">
        <f>RIC38+((RIC40+'NF - 5 Power Mix'!RIC14+'NF - 5 Power Mix'!RIC15)*860/10)+((('Form Sa1'!RIF835)*860)/10)+('Form Sa1'!RIF814*'Form Sa1'!RIF816/10)-'NF - 5 Power Mix'!RIC21-'NF - 5 Power Mix'!RIC22</f>
        <v>0</v>
      </c>
      <c r="RID42" s="1046">
        <f>RID38+((RID40+'NF - 5 Power Mix'!RID14+'NF - 5 Power Mix'!RID15)*860/10)+((('Form Sa1'!RIG835)*860)/10)+('Form Sa1'!RIG814*'Form Sa1'!RIG816/10)-'NF - 5 Power Mix'!RID21-'NF - 5 Power Mix'!RID22</f>
        <v>0</v>
      </c>
      <c r="RIE42" s="1046">
        <f>RIE38+((RIE40+'NF - 5 Power Mix'!RIE14+'NF - 5 Power Mix'!RIE15)*860/10)+((('Form Sa1'!RIH835)*860)/10)+('Form Sa1'!RIH814*'Form Sa1'!RIH816/10)-'NF - 5 Power Mix'!RIE21-'NF - 5 Power Mix'!RIE22</f>
        <v>0</v>
      </c>
      <c r="RIF42" s="1046">
        <f>RIF38+((RIF40+'NF - 5 Power Mix'!RIF14+'NF - 5 Power Mix'!RIF15)*860/10)+((('Form Sa1'!RII835)*860)/10)+('Form Sa1'!RII814*'Form Sa1'!RII816/10)-'NF - 5 Power Mix'!RIF21-'NF - 5 Power Mix'!RIF22</f>
        <v>0</v>
      </c>
      <c r="RIG42" s="1046">
        <f>RIG38+((RIG40+'NF - 5 Power Mix'!RIG14+'NF - 5 Power Mix'!RIG15)*860/10)+((('Form Sa1'!RIJ835)*860)/10)+('Form Sa1'!RIJ814*'Form Sa1'!RIJ816/10)-'NF - 5 Power Mix'!RIG21-'NF - 5 Power Mix'!RIG22</f>
        <v>0</v>
      </c>
      <c r="RIH42" s="1046">
        <f>RIH38+((RIH40+'NF - 5 Power Mix'!RIH14+'NF - 5 Power Mix'!RIH15)*860/10)+((('Form Sa1'!RIK835)*860)/10)+('Form Sa1'!RIK814*'Form Sa1'!RIK816/10)-'NF - 5 Power Mix'!RIH21-'NF - 5 Power Mix'!RIH22</f>
        <v>0</v>
      </c>
      <c r="RII42" s="1046">
        <f>RII38+((RII40+'NF - 5 Power Mix'!RII14+'NF - 5 Power Mix'!RII15)*860/10)+((('Form Sa1'!RIL835)*860)/10)+('Form Sa1'!RIL814*'Form Sa1'!RIL816/10)-'NF - 5 Power Mix'!RII21-'NF - 5 Power Mix'!RII22</f>
        <v>0</v>
      </c>
      <c r="RIJ42" s="1046">
        <f>RIJ38+((RIJ40+'NF - 5 Power Mix'!RIJ14+'NF - 5 Power Mix'!RIJ15)*860/10)+((('Form Sa1'!RIM835)*860)/10)+('Form Sa1'!RIM814*'Form Sa1'!RIM816/10)-'NF - 5 Power Mix'!RIJ21-'NF - 5 Power Mix'!RIJ22</f>
        <v>0</v>
      </c>
      <c r="RIK42" s="1046">
        <f>RIK38+((RIK40+'NF - 5 Power Mix'!RIK14+'NF - 5 Power Mix'!RIK15)*860/10)+((('Form Sa1'!RIN835)*860)/10)+('Form Sa1'!RIN814*'Form Sa1'!RIN816/10)-'NF - 5 Power Mix'!RIK21-'NF - 5 Power Mix'!RIK22</f>
        <v>0</v>
      </c>
      <c r="RIL42" s="1046">
        <f>RIL38+((RIL40+'NF - 5 Power Mix'!RIL14+'NF - 5 Power Mix'!RIL15)*860/10)+((('Form Sa1'!RIO835)*860)/10)+('Form Sa1'!RIO814*'Form Sa1'!RIO816/10)-'NF - 5 Power Mix'!RIL21-'NF - 5 Power Mix'!RIL22</f>
        <v>0</v>
      </c>
      <c r="RIM42" s="1046">
        <f>RIM38+((RIM40+'NF - 5 Power Mix'!RIM14+'NF - 5 Power Mix'!RIM15)*860/10)+((('Form Sa1'!RIP835)*860)/10)+('Form Sa1'!RIP814*'Form Sa1'!RIP816/10)-'NF - 5 Power Mix'!RIM21-'NF - 5 Power Mix'!RIM22</f>
        <v>0</v>
      </c>
      <c r="RIN42" s="1046">
        <f>RIN38+((RIN40+'NF - 5 Power Mix'!RIN14+'NF - 5 Power Mix'!RIN15)*860/10)+((('Form Sa1'!RIQ835)*860)/10)+('Form Sa1'!RIQ814*'Form Sa1'!RIQ816/10)-'NF - 5 Power Mix'!RIN21-'NF - 5 Power Mix'!RIN22</f>
        <v>0</v>
      </c>
      <c r="RIO42" s="1046">
        <f>RIO38+((RIO40+'NF - 5 Power Mix'!RIO14+'NF - 5 Power Mix'!RIO15)*860/10)+((('Form Sa1'!RIR835)*860)/10)+('Form Sa1'!RIR814*'Form Sa1'!RIR816/10)-'NF - 5 Power Mix'!RIO21-'NF - 5 Power Mix'!RIO22</f>
        <v>0</v>
      </c>
      <c r="RIP42" s="1046">
        <f>RIP38+((RIP40+'NF - 5 Power Mix'!RIP14+'NF - 5 Power Mix'!RIP15)*860/10)+((('Form Sa1'!RIS835)*860)/10)+('Form Sa1'!RIS814*'Form Sa1'!RIS816/10)-'NF - 5 Power Mix'!RIP21-'NF - 5 Power Mix'!RIP22</f>
        <v>0</v>
      </c>
      <c r="RIQ42" s="1046">
        <f>RIQ38+((RIQ40+'NF - 5 Power Mix'!RIQ14+'NF - 5 Power Mix'!RIQ15)*860/10)+((('Form Sa1'!RIT835)*860)/10)+('Form Sa1'!RIT814*'Form Sa1'!RIT816/10)-'NF - 5 Power Mix'!RIQ21-'NF - 5 Power Mix'!RIQ22</f>
        <v>0</v>
      </c>
      <c r="RIR42" s="1046">
        <f>RIR38+((RIR40+'NF - 5 Power Mix'!RIR14+'NF - 5 Power Mix'!RIR15)*860/10)+((('Form Sa1'!RIU835)*860)/10)+('Form Sa1'!RIU814*'Form Sa1'!RIU816/10)-'NF - 5 Power Mix'!RIR21-'NF - 5 Power Mix'!RIR22</f>
        <v>0</v>
      </c>
      <c r="RIS42" s="1046">
        <f>RIS38+((RIS40+'NF - 5 Power Mix'!RIS14+'NF - 5 Power Mix'!RIS15)*860/10)+((('Form Sa1'!RIV835)*860)/10)+('Form Sa1'!RIV814*'Form Sa1'!RIV816/10)-'NF - 5 Power Mix'!RIS21-'NF - 5 Power Mix'!RIS22</f>
        <v>0</v>
      </c>
      <c r="RIT42" s="1046">
        <f>RIT38+((RIT40+'NF - 5 Power Mix'!RIT14+'NF - 5 Power Mix'!RIT15)*860/10)+((('Form Sa1'!RIW835)*860)/10)+('Form Sa1'!RIW814*'Form Sa1'!RIW816/10)-'NF - 5 Power Mix'!RIT21-'NF - 5 Power Mix'!RIT22</f>
        <v>0</v>
      </c>
      <c r="RIU42" s="1046">
        <f>RIU38+((RIU40+'NF - 5 Power Mix'!RIU14+'NF - 5 Power Mix'!RIU15)*860/10)+((('Form Sa1'!RIX835)*860)/10)+('Form Sa1'!RIX814*'Form Sa1'!RIX816/10)-'NF - 5 Power Mix'!RIU21-'NF - 5 Power Mix'!RIU22</f>
        <v>0</v>
      </c>
      <c r="RIV42" s="1046">
        <f>RIV38+((RIV40+'NF - 5 Power Mix'!RIV14+'NF - 5 Power Mix'!RIV15)*860/10)+((('Form Sa1'!RIY835)*860)/10)+('Form Sa1'!RIY814*'Form Sa1'!RIY816/10)-'NF - 5 Power Mix'!RIV21-'NF - 5 Power Mix'!RIV22</f>
        <v>0</v>
      </c>
      <c r="RIW42" s="1046">
        <f>RIW38+((RIW40+'NF - 5 Power Mix'!RIW14+'NF - 5 Power Mix'!RIW15)*860/10)+((('Form Sa1'!RIZ835)*860)/10)+('Form Sa1'!RIZ814*'Form Sa1'!RIZ816/10)-'NF - 5 Power Mix'!RIW21-'NF - 5 Power Mix'!RIW22</f>
        <v>0</v>
      </c>
      <c r="RIX42" s="1046">
        <f>RIX38+((RIX40+'NF - 5 Power Mix'!RIX14+'NF - 5 Power Mix'!RIX15)*860/10)+((('Form Sa1'!RJA835)*860)/10)+('Form Sa1'!RJA814*'Form Sa1'!RJA816/10)-'NF - 5 Power Mix'!RIX21-'NF - 5 Power Mix'!RIX22</f>
        <v>0</v>
      </c>
      <c r="RIY42" s="1046">
        <f>RIY38+((RIY40+'NF - 5 Power Mix'!RIY14+'NF - 5 Power Mix'!RIY15)*860/10)+((('Form Sa1'!RJB835)*860)/10)+('Form Sa1'!RJB814*'Form Sa1'!RJB816/10)-'NF - 5 Power Mix'!RIY21-'NF - 5 Power Mix'!RIY22</f>
        <v>0</v>
      </c>
      <c r="RIZ42" s="1046">
        <f>RIZ38+((RIZ40+'NF - 5 Power Mix'!RIZ14+'NF - 5 Power Mix'!RIZ15)*860/10)+((('Form Sa1'!RJC835)*860)/10)+('Form Sa1'!RJC814*'Form Sa1'!RJC816/10)-'NF - 5 Power Mix'!RIZ21-'NF - 5 Power Mix'!RIZ22</f>
        <v>0</v>
      </c>
      <c r="RJA42" s="1046">
        <f>RJA38+((RJA40+'NF - 5 Power Mix'!RJA14+'NF - 5 Power Mix'!RJA15)*860/10)+((('Form Sa1'!RJD835)*860)/10)+('Form Sa1'!RJD814*'Form Sa1'!RJD816/10)-'NF - 5 Power Mix'!RJA21-'NF - 5 Power Mix'!RJA22</f>
        <v>0</v>
      </c>
      <c r="RJB42" s="1046">
        <f>RJB38+((RJB40+'NF - 5 Power Mix'!RJB14+'NF - 5 Power Mix'!RJB15)*860/10)+((('Form Sa1'!RJE835)*860)/10)+('Form Sa1'!RJE814*'Form Sa1'!RJE816/10)-'NF - 5 Power Mix'!RJB21-'NF - 5 Power Mix'!RJB22</f>
        <v>0</v>
      </c>
      <c r="RJC42" s="1046">
        <f>RJC38+((RJC40+'NF - 5 Power Mix'!RJC14+'NF - 5 Power Mix'!RJC15)*860/10)+((('Form Sa1'!RJF835)*860)/10)+('Form Sa1'!RJF814*'Form Sa1'!RJF816/10)-'NF - 5 Power Mix'!RJC21-'NF - 5 Power Mix'!RJC22</f>
        <v>0</v>
      </c>
      <c r="RJD42" s="1046">
        <f>RJD38+((RJD40+'NF - 5 Power Mix'!RJD14+'NF - 5 Power Mix'!RJD15)*860/10)+((('Form Sa1'!RJG835)*860)/10)+('Form Sa1'!RJG814*'Form Sa1'!RJG816/10)-'NF - 5 Power Mix'!RJD21-'NF - 5 Power Mix'!RJD22</f>
        <v>0</v>
      </c>
      <c r="RJE42" s="1046">
        <f>RJE38+((RJE40+'NF - 5 Power Mix'!RJE14+'NF - 5 Power Mix'!RJE15)*860/10)+((('Form Sa1'!RJH835)*860)/10)+('Form Sa1'!RJH814*'Form Sa1'!RJH816/10)-'NF - 5 Power Mix'!RJE21-'NF - 5 Power Mix'!RJE22</f>
        <v>0</v>
      </c>
      <c r="RJF42" s="1046">
        <f>RJF38+((RJF40+'NF - 5 Power Mix'!RJF14+'NF - 5 Power Mix'!RJF15)*860/10)+((('Form Sa1'!RJI835)*860)/10)+('Form Sa1'!RJI814*'Form Sa1'!RJI816/10)-'NF - 5 Power Mix'!RJF21-'NF - 5 Power Mix'!RJF22</f>
        <v>0</v>
      </c>
      <c r="RJG42" s="1046">
        <f>RJG38+((RJG40+'NF - 5 Power Mix'!RJG14+'NF - 5 Power Mix'!RJG15)*860/10)+((('Form Sa1'!RJJ835)*860)/10)+('Form Sa1'!RJJ814*'Form Sa1'!RJJ816/10)-'NF - 5 Power Mix'!RJG21-'NF - 5 Power Mix'!RJG22</f>
        <v>0</v>
      </c>
      <c r="RJH42" s="1046">
        <f>RJH38+((RJH40+'NF - 5 Power Mix'!RJH14+'NF - 5 Power Mix'!RJH15)*860/10)+((('Form Sa1'!RJK835)*860)/10)+('Form Sa1'!RJK814*'Form Sa1'!RJK816/10)-'NF - 5 Power Mix'!RJH21-'NF - 5 Power Mix'!RJH22</f>
        <v>0</v>
      </c>
      <c r="RJI42" s="1046">
        <f>RJI38+((RJI40+'NF - 5 Power Mix'!RJI14+'NF - 5 Power Mix'!RJI15)*860/10)+((('Form Sa1'!RJL835)*860)/10)+('Form Sa1'!RJL814*'Form Sa1'!RJL816/10)-'NF - 5 Power Mix'!RJI21-'NF - 5 Power Mix'!RJI22</f>
        <v>0</v>
      </c>
      <c r="RJJ42" s="1046">
        <f>RJJ38+((RJJ40+'NF - 5 Power Mix'!RJJ14+'NF - 5 Power Mix'!RJJ15)*860/10)+((('Form Sa1'!RJM835)*860)/10)+('Form Sa1'!RJM814*'Form Sa1'!RJM816/10)-'NF - 5 Power Mix'!RJJ21-'NF - 5 Power Mix'!RJJ22</f>
        <v>0</v>
      </c>
      <c r="RJK42" s="1046">
        <f>RJK38+((RJK40+'NF - 5 Power Mix'!RJK14+'NF - 5 Power Mix'!RJK15)*860/10)+((('Form Sa1'!RJN835)*860)/10)+('Form Sa1'!RJN814*'Form Sa1'!RJN816/10)-'NF - 5 Power Mix'!RJK21-'NF - 5 Power Mix'!RJK22</f>
        <v>0</v>
      </c>
      <c r="RJL42" s="1046">
        <f>RJL38+((RJL40+'NF - 5 Power Mix'!RJL14+'NF - 5 Power Mix'!RJL15)*860/10)+((('Form Sa1'!RJO835)*860)/10)+('Form Sa1'!RJO814*'Form Sa1'!RJO816/10)-'NF - 5 Power Mix'!RJL21-'NF - 5 Power Mix'!RJL22</f>
        <v>0</v>
      </c>
      <c r="RJM42" s="1046">
        <f>RJM38+((RJM40+'NF - 5 Power Mix'!RJM14+'NF - 5 Power Mix'!RJM15)*860/10)+((('Form Sa1'!RJP835)*860)/10)+('Form Sa1'!RJP814*'Form Sa1'!RJP816/10)-'NF - 5 Power Mix'!RJM21-'NF - 5 Power Mix'!RJM22</f>
        <v>0</v>
      </c>
      <c r="RJN42" s="1046">
        <f>RJN38+((RJN40+'NF - 5 Power Mix'!RJN14+'NF - 5 Power Mix'!RJN15)*860/10)+((('Form Sa1'!RJQ835)*860)/10)+('Form Sa1'!RJQ814*'Form Sa1'!RJQ816/10)-'NF - 5 Power Mix'!RJN21-'NF - 5 Power Mix'!RJN22</f>
        <v>0</v>
      </c>
      <c r="RJO42" s="1046">
        <f>RJO38+((RJO40+'NF - 5 Power Mix'!RJO14+'NF - 5 Power Mix'!RJO15)*860/10)+((('Form Sa1'!RJR835)*860)/10)+('Form Sa1'!RJR814*'Form Sa1'!RJR816/10)-'NF - 5 Power Mix'!RJO21-'NF - 5 Power Mix'!RJO22</f>
        <v>0</v>
      </c>
      <c r="RJP42" s="1046">
        <f>RJP38+((RJP40+'NF - 5 Power Mix'!RJP14+'NF - 5 Power Mix'!RJP15)*860/10)+((('Form Sa1'!RJS835)*860)/10)+('Form Sa1'!RJS814*'Form Sa1'!RJS816/10)-'NF - 5 Power Mix'!RJP21-'NF - 5 Power Mix'!RJP22</f>
        <v>0</v>
      </c>
      <c r="RJQ42" s="1046">
        <f>RJQ38+((RJQ40+'NF - 5 Power Mix'!RJQ14+'NF - 5 Power Mix'!RJQ15)*860/10)+((('Form Sa1'!RJT835)*860)/10)+('Form Sa1'!RJT814*'Form Sa1'!RJT816/10)-'NF - 5 Power Mix'!RJQ21-'NF - 5 Power Mix'!RJQ22</f>
        <v>0</v>
      </c>
      <c r="RJR42" s="1046">
        <f>RJR38+((RJR40+'NF - 5 Power Mix'!RJR14+'NF - 5 Power Mix'!RJR15)*860/10)+((('Form Sa1'!RJU835)*860)/10)+('Form Sa1'!RJU814*'Form Sa1'!RJU816/10)-'NF - 5 Power Mix'!RJR21-'NF - 5 Power Mix'!RJR22</f>
        <v>0</v>
      </c>
      <c r="RJS42" s="1046">
        <f>RJS38+((RJS40+'NF - 5 Power Mix'!RJS14+'NF - 5 Power Mix'!RJS15)*860/10)+((('Form Sa1'!RJV835)*860)/10)+('Form Sa1'!RJV814*'Form Sa1'!RJV816/10)-'NF - 5 Power Mix'!RJS21-'NF - 5 Power Mix'!RJS22</f>
        <v>0</v>
      </c>
      <c r="RJT42" s="1046">
        <f>RJT38+((RJT40+'NF - 5 Power Mix'!RJT14+'NF - 5 Power Mix'!RJT15)*860/10)+((('Form Sa1'!RJW835)*860)/10)+('Form Sa1'!RJW814*'Form Sa1'!RJW816/10)-'NF - 5 Power Mix'!RJT21-'NF - 5 Power Mix'!RJT22</f>
        <v>0</v>
      </c>
      <c r="RJU42" s="1046">
        <f>RJU38+((RJU40+'NF - 5 Power Mix'!RJU14+'NF - 5 Power Mix'!RJU15)*860/10)+((('Form Sa1'!RJX835)*860)/10)+('Form Sa1'!RJX814*'Form Sa1'!RJX816/10)-'NF - 5 Power Mix'!RJU21-'NF - 5 Power Mix'!RJU22</f>
        <v>0</v>
      </c>
      <c r="RJV42" s="1046">
        <f>RJV38+((RJV40+'NF - 5 Power Mix'!RJV14+'NF - 5 Power Mix'!RJV15)*860/10)+((('Form Sa1'!RJY835)*860)/10)+('Form Sa1'!RJY814*'Form Sa1'!RJY816/10)-'NF - 5 Power Mix'!RJV21-'NF - 5 Power Mix'!RJV22</f>
        <v>0</v>
      </c>
      <c r="RJW42" s="1046">
        <f>RJW38+((RJW40+'NF - 5 Power Mix'!RJW14+'NF - 5 Power Mix'!RJW15)*860/10)+((('Form Sa1'!RJZ835)*860)/10)+('Form Sa1'!RJZ814*'Form Sa1'!RJZ816/10)-'NF - 5 Power Mix'!RJW21-'NF - 5 Power Mix'!RJW22</f>
        <v>0</v>
      </c>
      <c r="RJX42" s="1046">
        <f>RJX38+((RJX40+'NF - 5 Power Mix'!RJX14+'NF - 5 Power Mix'!RJX15)*860/10)+((('Form Sa1'!RKA835)*860)/10)+('Form Sa1'!RKA814*'Form Sa1'!RKA816/10)-'NF - 5 Power Mix'!RJX21-'NF - 5 Power Mix'!RJX22</f>
        <v>0</v>
      </c>
      <c r="RJY42" s="1046">
        <f>RJY38+((RJY40+'NF - 5 Power Mix'!RJY14+'NF - 5 Power Mix'!RJY15)*860/10)+((('Form Sa1'!RKB835)*860)/10)+('Form Sa1'!RKB814*'Form Sa1'!RKB816/10)-'NF - 5 Power Mix'!RJY21-'NF - 5 Power Mix'!RJY22</f>
        <v>0</v>
      </c>
      <c r="RJZ42" s="1046">
        <f>RJZ38+((RJZ40+'NF - 5 Power Mix'!RJZ14+'NF - 5 Power Mix'!RJZ15)*860/10)+((('Form Sa1'!RKC835)*860)/10)+('Form Sa1'!RKC814*'Form Sa1'!RKC816/10)-'NF - 5 Power Mix'!RJZ21-'NF - 5 Power Mix'!RJZ22</f>
        <v>0</v>
      </c>
      <c r="RKA42" s="1046">
        <f>RKA38+((RKA40+'NF - 5 Power Mix'!RKA14+'NF - 5 Power Mix'!RKA15)*860/10)+((('Form Sa1'!RKD835)*860)/10)+('Form Sa1'!RKD814*'Form Sa1'!RKD816/10)-'NF - 5 Power Mix'!RKA21-'NF - 5 Power Mix'!RKA22</f>
        <v>0</v>
      </c>
      <c r="RKB42" s="1046">
        <f>RKB38+((RKB40+'NF - 5 Power Mix'!RKB14+'NF - 5 Power Mix'!RKB15)*860/10)+((('Form Sa1'!RKE835)*860)/10)+('Form Sa1'!RKE814*'Form Sa1'!RKE816/10)-'NF - 5 Power Mix'!RKB21-'NF - 5 Power Mix'!RKB22</f>
        <v>0</v>
      </c>
      <c r="RKC42" s="1046">
        <f>RKC38+((RKC40+'NF - 5 Power Mix'!RKC14+'NF - 5 Power Mix'!RKC15)*860/10)+((('Form Sa1'!RKF835)*860)/10)+('Form Sa1'!RKF814*'Form Sa1'!RKF816/10)-'NF - 5 Power Mix'!RKC21-'NF - 5 Power Mix'!RKC22</f>
        <v>0</v>
      </c>
      <c r="RKD42" s="1046">
        <f>RKD38+((RKD40+'NF - 5 Power Mix'!RKD14+'NF - 5 Power Mix'!RKD15)*860/10)+((('Form Sa1'!RKG835)*860)/10)+('Form Sa1'!RKG814*'Form Sa1'!RKG816/10)-'NF - 5 Power Mix'!RKD21-'NF - 5 Power Mix'!RKD22</f>
        <v>0</v>
      </c>
      <c r="RKE42" s="1046">
        <f>RKE38+((RKE40+'NF - 5 Power Mix'!RKE14+'NF - 5 Power Mix'!RKE15)*860/10)+((('Form Sa1'!RKH835)*860)/10)+('Form Sa1'!RKH814*'Form Sa1'!RKH816/10)-'NF - 5 Power Mix'!RKE21-'NF - 5 Power Mix'!RKE22</f>
        <v>0</v>
      </c>
      <c r="RKF42" s="1046">
        <f>RKF38+((RKF40+'NF - 5 Power Mix'!RKF14+'NF - 5 Power Mix'!RKF15)*860/10)+((('Form Sa1'!RKI835)*860)/10)+('Form Sa1'!RKI814*'Form Sa1'!RKI816/10)-'NF - 5 Power Mix'!RKF21-'NF - 5 Power Mix'!RKF22</f>
        <v>0</v>
      </c>
      <c r="RKG42" s="1046">
        <f>RKG38+((RKG40+'NF - 5 Power Mix'!RKG14+'NF - 5 Power Mix'!RKG15)*860/10)+((('Form Sa1'!RKJ835)*860)/10)+('Form Sa1'!RKJ814*'Form Sa1'!RKJ816/10)-'NF - 5 Power Mix'!RKG21-'NF - 5 Power Mix'!RKG22</f>
        <v>0</v>
      </c>
      <c r="RKH42" s="1046">
        <f>RKH38+((RKH40+'NF - 5 Power Mix'!RKH14+'NF - 5 Power Mix'!RKH15)*860/10)+((('Form Sa1'!RKK835)*860)/10)+('Form Sa1'!RKK814*'Form Sa1'!RKK816/10)-'NF - 5 Power Mix'!RKH21-'NF - 5 Power Mix'!RKH22</f>
        <v>0</v>
      </c>
      <c r="RKI42" s="1046">
        <f>RKI38+((RKI40+'NF - 5 Power Mix'!RKI14+'NF - 5 Power Mix'!RKI15)*860/10)+((('Form Sa1'!RKL835)*860)/10)+('Form Sa1'!RKL814*'Form Sa1'!RKL816/10)-'NF - 5 Power Mix'!RKI21-'NF - 5 Power Mix'!RKI22</f>
        <v>0</v>
      </c>
      <c r="RKJ42" s="1046">
        <f>RKJ38+((RKJ40+'NF - 5 Power Mix'!RKJ14+'NF - 5 Power Mix'!RKJ15)*860/10)+((('Form Sa1'!RKM835)*860)/10)+('Form Sa1'!RKM814*'Form Sa1'!RKM816/10)-'NF - 5 Power Mix'!RKJ21-'NF - 5 Power Mix'!RKJ22</f>
        <v>0</v>
      </c>
      <c r="RKK42" s="1046">
        <f>RKK38+((RKK40+'NF - 5 Power Mix'!RKK14+'NF - 5 Power Mix'!RKK15)*860/10)+((('Form Sa1'!RKN835)*860)/10)+('Form Sa1'!RKN814*'Form Sa1'!RKN816/10)-'NF - 5 Power Mix'!RKK21-'NF - 5 Power Mix'!RKK22</f>
        <v>0</v>
      </c>
      <c r="RKL42" s="1046">
        <f>RKL38+((RKL40+'NF - 5 Power Mix'!RKL14+'NF - 5 Power Mix'!RKL15)*860/10)+((('Form Sa1'!RKO835)*860)/10)+('Form Sa1'!RKO814*'Form Sa1'!RKO816/10)-'NF - 5 Power Mix'!RKL21-'NF - 5 Power Mix'!RKL22</f>
        <v>0</v>
      </c>
      <c r="RKM42" s="1046">
        <f>RKM38+((RKM40+'NF - 5 Power Mix'!RKM14+'NF - 5 Power Mix'!RKM15)*860/10)+((('Form Sa1'!RKP835)*860)/10)+('Form Sa1'!RKP814*'Form Sa1'!RKP816/10)-'NF - 5 Power Mix'!RKM21-'NF - 5 Power Mix'!RKM22</f>
        <v>0</v>
      </c>
      <c r="RKN42" s="1046">
        <f>RKN38+((RKN40+'NF - 5 Power Mix'!RKN14+'NF - 5 Power Mix'!RKN15)*860/10)+((('Form Sa1'!RKQ835)*860)/10)+('Form Sa1'!RKQ814*'Form Sa1'!RKQ816/10)-'NF - 5 Power Mix'!RKN21-'NF - 5 Power Mix'!RKN22</f>
        <v>0</v>
      </c>
      <c r="RKO42" s="1046">
        <f>RKO38+((RKO40+'NF - 5 Power Mix'!RKO14+'NF - 5 Power Mix'!RKO15)*860/10)+((('Form Sa1'!RKR835)*860)/10)+('Form Sa1'!RKR814*'Form Sa1'!RKR816/10)-'NF - 5 Power Mix'!RKO21-'NF - 5 Power Mix'!RKO22</f>
        <v>0</v>
      </c>
      <c r="RKP42" s="1046">
        <f>RKP38+((RKP40+'NF - 5 Power Mix'!RKP14+'NF - 5 Power Mix'!RKP15)*860/10)+((('Form Sa1'!RKS835)*860)/10)+('Form Sa1'!RKS814*'Form Sa1'!RKS816/10)-'NF - 5 Power Mix'!RKP21-'NF - 5 Power Mix'!RKP22</f>
        <v>0</v>
      </c>
      <c r="RKQ42" s="1046">
        <f>RKQ38+((RKQ40+'NF - 5 Power Mix'!RKQ14+'NF - 5 Power Mix'!RKQ15)*860/10)+((('Form Sa1'!RKT835)*860)/10)+('Form Sa1'!RKT814*'Form Sa1'!RKT816/10)-'NF - 5 Power Mix'!RKQ21-'NF - 5 Power Mix'!RKQ22</f>
        <v>0</v>
      </c>
      <c r="RKR42" s="1046">
        <f>RKR38+((RKR40+'NF - 5 Power Mix'!RKR14+'NF - 5 Power Mix'!RKR15)*860/10)+((('Form Sa1'!RKU835)*860)/10)+('Form Sa1'!RKU814*'Form Sa1'!RKU816/10)-'NF - 5 Power Mix'!RKR21-'NF - 5 Power Mix'!RKR22</f>
        <v>0</v>
      </c>
      <c r="RKS42" s="1046">
        <f>RKS38+((RKS40+'NF - 5 Power Mix'!RKS14+'NF - 5 Power Mix'!RKS15)*860/10)+((('Form Sa1'!RKV835)*860)/10)+('Form Sa1'!RKV814*'Form Sa1'!RKV816/10)-'NF - 5 Power Mix'!RKS21-'NF - 5 Power Mix'!RKS22</f>
        <v>0</v>
      </c>
      <c r="RKT42" s="1046">
        <f>RKT38+((RKT40+'NF - 5 Power Mix'!RKT14+'NF - 5 Power Mix'!RKT15)*860/10)+((('Form Sa1'!RKW835)*860)/10)+('Form Sa1'!RKW814*'Form Sa1'!RKW816/10)-'NF - 5 Power Mix'!RKT21-'NF - 5 Power Mix'!RKT22</f>
        <v>0</v>
      </c>
      <c r="RKU42" s="1046">
        <f>RKU38+((RKU40+'NF - 5 Power Mix'!RKU14+'NF - 5 Power Mix'!RKU15)*860/10)+((('Form Sa1'!RKX835)*860)/10)+('Form Sa1'!RKX814*'Form Sa1'!RKX816/10)-'NF - 5 Power Mix'!RKU21-'NF - 5 Power Mix'!RKU22</f>
        <v>0</v>
      </c>
      <c r="RKV42" s="1046">
        <f>RKV38+((RKV40+'NF - 5 Power Mix'!RKV14+'NF - 5 Power Mix'!RKV15)*860/10)+((('Form Sa1'!RKY835)*860)/10)+('Form Sa1'!RKY814*'Form Sa1'!RKY816/10)-'NF - 5 Power Mix'!RKV21-'NF - 5 Power Mix'!RKV22</f>
        <v>0</v>
      </c>
      <c r="RKW42" s="1046">
        <f>RKW38+((RKW40+'NF - 5 Power Mix'!RKW14+'NF - 5 Power Mix'!RKW15)*860/10)+((('Form Sa1'!RKZ835)*860)/10)+('Form Sa1'!RKZ814*'Form Sa1'!RKZ816/10)-'NF - 5 Power Mix'!RKW21-'NF - 5 Power Mix'!RKW22</f>
        <v>0</v>
      </c>
      <c r="RKX42" s="1046">
        <f>RKX38+((RKX40+'NF - 5 Power Mix'!RKX14+'NF - 5 Power Mix'!RKX15)*860/10)+((('Form Sa1'!RLA835)*860)/10)+('Form Sa1'!RLA814*'Form Sa1'!RLA816/10)-'NF - 5 Power Mix'!RKX21-'NF - 5 Power Mix'!RKX22</f>
        <v>0</v>
      </c>
      <c r="RKY42" s="1046">
        <f>RKY38+((RKY40+'NF - 5 Power Mix'!RKY14+'NF - 5 Power Mix'!RKY15)*860/10)+((('Form Sa1'!RLB835)*860)/10)+('Form Sa1'!RLB814*'Form Sa1'!RLB816/10)-'NF - 5 Power Mix'!RKY21-'NF - 5 Power Mix'!RKY22</f>
        <v>0</v>
      </c>
      <c r="RKZ42" s="1046">
        <f>RKZ38+((RKZ40+'NF - 5 Power Mix'!RKZ14+'NF - 5 Power Mix'!RKZ15)*860/10)+((('Form Sa1'!RLC835)*860)/10)+('Form Sa1'!RLC814*'Form Sa1'!RLC816/10)-'NF - 5 Power Mix'!RKZ21-'NF - 5 Power Mix'!RKZ22</f>
        <v>0</v>
      </c>
      <c r="RLA42" s="1046">
        <f>RLA38+((RLA40+'NF - 5 Power Mix'!RLA14+'NF - 5 Power Mix'!RLA15)*860/10)+((('Form Sa1'!RLD835)*860)/10)+('Form Sa1'!RLD814*'Form Sa1'!RLD816/10)-'NF - 5 Power Mix'!RLA21-'NF - 5 Power Mix'!RLA22</f>
        <v>0</v>
      </c>
      <c r="RLB42" s="1046">
        <f>RLB38+((RLB40+'NF - 5 Power Mix'!RLB14+'NF - 5 Power Mix'!RLB15)*860/10)+((('Form Sa1'!RLE835)*860)/10)+('Form Sa1'!RLE814*'Form Sa1'!RLE816/10)-'NF - 5 Power Mix'!RLB21-'NF - 5 Power Mix'!RLB22</f>
        <v>0</v>
      </c>
      <c r="RLC42" s="1046">
        <f>RLC38+((RLC40+'NF - 5 Power Mix'!RLC14+'NF - 5 Power Mix'!RLC15)*860/10)+((('Form Sa1'!RLF835)*860)/10)+('Form Sa1'!RLF814*'Form Sa1'!RLF816/10)-'NF - 5 Power Mix'!RLC21-'NF - 5 Power Mix'!RLC22</f>
        <v>0</v>
      </c>
      <c r="RLD42" s="1046">
        <f>RLD38+((RLD40+'NF - 5 Power Mix'!RLD14+'NF - 5 Power Mix'!RLD15)*860/10)+((('Form Sa1'!RLG835)*860)/10)+('Form Sa1'!RLG814*'Form Sa1'!RLG816/10)-'NF - 5 Power Mix'!RLD21-'NF - 5 Power Mix'!RLD22</f>
        <v>0</v>
      </c>
      <c r="RLE42" s="1046">
        <f>RLE38+((RLE40+'NF - 5 Power Mix'!RLE14+'NF - 5 Power Mix'!RLE15)*860/10)+((('Form Sa1'!RLH835)*860)/10)+('Form Sa1'!RLH814*'Form Sa1'!RLH816/10)-'NF - 5 Power Mix'!RLE21-'NF - 5 Power Mix'!RLE22</f>
        <v>0</v>
      </c>
      <c r="RLF42" s="1046">
        <f>RLF38+((RLF40+'NF - 5 Power Mix'!RLF14+'NF - 5 Power Mix'!RLF15)*860/10)+((('Form Sa1'!RLI835)*860)/10)+('Form Sa1'!RLI814*'Form Sa1'!RLI816/10)-'NF - 5 Power Mix'!RLF21-'NF - 5 Power Mix'!RLF22</f>
        <v>0</v>
      </c>
      <c r="RLG42" s="1046">
        <f>RLG38+((RLG40+'NF - 5 Power Mix'!RLG14+'NF - 5 Power Mix'!RLG15)*860/10)+((('Form Sa1'!RLJ835)*860)/10)+('Form Sa1'!RLJ814*'Form Sa1'!RLJ816/10)-'NF - 5 Power Mix'!RLG21-'NF - 5 Power Mix'!RLG22</f>
        <v>0</v>
      </c>
      <c r="RLH42" s="1046">
        <f>RLH38+((RLH40+'NF - 5 Power Mix'!RLH14+'NF - 5 Power Mix'!RLH15)*860/10)+((('Form Sa1'!RLK835)*860)/10)+('Form Sa1'!RLK814*'Form Sa1'!RLK816/10)-'NF - 5 Power Mix'!RLH21-'NF - 5 Power Mix'!RLH22</f>
        <v>0</v>
      </c>
      <c r="RLI42" s="1046">
        <f>RLI38+((RLI40+'NF - 5 Power Mix'!RLI14+'NF - 5 Power Mix'!RLI15)*860/10)+((('Form Sa1'!RLL835)*860)/10)+('Form Sa1'!RLL814*'Form Sa1'!RLL816/10)-'NF - 5 Power Mix'!RLI21-'NF - 5 Power Mix'!RLI22</f>
        <v>0</v>
      </c>
      <c r="RLJ42" s="1046">
        <f>RLJ38+((RLJ40+'NF - 5 Power Mix'!RLJ14+'NF - 5 Power Mix'!RLJ15)*860/10)+((('Form Sa1'!RLM835)*860)/10)+('Form Sa1'!RLM814*'Form Sa1'!RLM816/10)-'NF - 5 Power Mix'!RLJ21-'NF - 5 Power Mix'!RLJ22</f>
        <v>0</v>
      </c>
      <c r="RLK42" s="1046">
        <f>RLK38+((RLK40+'NF - 5 Power Mix'!RLK14+'NF - 5 Power Mix'!RLK15)*860/10)+((('Form Sa1'!RLN835)*860)/10)+('Form Sa1'!RLN814*'Form Sa1'!RLN816/10)-'NF - 5 Power Mix'!RLK21-'NF - 5 Power Mix'!RLK22</f>
        <v>0</v>
      </c>
      <c r="RLL42" s="1046">
        <f>RLL38+((RLL40+'NF - 5 Power Mix'!RLL14+'NF - 5 Power Mix'!RLL15)*860/10)+((('Form Sa1'!RLO835)*860)/10)+('Form Sa1'!RLO814*'Form Sa1'!RLO816/10)-'NF - 5 Power Mix'!RLL21-'NF - 5 Power Mix'!RLL22</f>
        <v>0</v>
      </c>
      <c r="RLM42" s="1046">
        <f>RLM38+((RLM40+'NF - 5 Power Mix'!RLM14+'NF - 5 Power Mix'!RLM15)*860/10)+((('Form Sa1'!RLP835)*860)/10)+('Form Sa1'!RLP814*'Form Sa1'!RLP816/10)-'NF - 5 Power Mix'!RLM21-'NF - 5 Power Mix'!RLM22</f>
        <v>0</v>
      </c>
      <c r="RLN42" s="1046">
        <f>RLN38+((RLN40+'NF - 5 Power Mix'!RLN14+'NF - 5 Power Mix'!RLN15)*860/10)+((('Form Sa1'!RLQ835)*860)/10)+('Form Sa1'!RLQ814*'Form Sa1'!RLQ816/10)-'NF - 5 Power Mix'!RLN21-'NF - 5 Power Mix'!RLN22</f>
        <v>0</v>
      </c>
      <c r="RLO42" s="1046">
        <f>RLO38+((RLO40+'NF - 5 Power Mix'!RLO14+'NF - 5 Power Mix'!RLO15)*860/10)+((('Form Sa1'!RLR835)*860)/10)+('Form Sa1'!RLR814*'Form Sa1'!RLR816/10)-'NF - 5 Power Mix'!RLO21-'NF - 5 Power Mix'!RLO22</f>
        <v>0</v>
      </c>
      <c r="RLP42" s="1046">
        <f>RLP38+((RLP40+'NF - 5 Power Mix'!RLP14+'NF - 5 Power Mix'!RLP15)*860/10)+((('Form Sa1'!RLS835)*860)/10)+('Form Sa1'!RLS814*'Form Sa1'!RLS816/10)-'NF - 5 Power Mix'!RLP21-'NF - 5 Power Mix'!RLP22</f>
        <v>0</v>
      </c>
      <c r="RLQ42" s="1046">
        <f>RLQ38+((RLQ40+'NF - 5 Power Mix'!RLQ14+'NF - 5 Power Mix'!RLQ15)*860/10)+((('Form Sa1'!RLT835)*860)/10)+('Form Sa1'!RLT814*'Form Sa1'!RLT816/10)-'NF - 5 Power Mix'!RLQ21-'NF - 5 Power Mix'!RLQ22</f>
        <v>0</v>
      </c>
      <c r="RLR42" s="1046">
        <f>RLR38+((RLR40+'NF - 5 Power Mix'!RLR14+'NF - 5 Power Mix'!RLR15)*860/10)+((('Form Sa1'!RLU835)*860)/10)+('Form Sa1'!RLU814*'Form Sa1'!RLU816/10)-'NF - 5 Power Mix'!RLR21-'NF - 5 Power Mix'!RLR22</f>
        <v>0</v>
      </c>
      <c r="RLS42" s="1046">
        <f>RLS38+((RLS40+'NF - 5 Power Mix'!RLS14+'NF - 5 Power Mix'!RLS15)*860/10)+((('Form Sa1'!RLV835)*860)/10)+('Form Sa1'!RLV814*'Form Sa1'!RLV816/10)-'NF - 5 Power Mix'!RLS21-'NF - 5 Power Mix'!RLS22</f>
        <v>0</v>
      </c>
      <c r="RLT42" s="1046">
        <f>RLT38+((RLT40+'NF - 5 Power Mix'!RLT14+'NF - 5 Power Mix'!RLT15)*860/10)+((('Form Sa1'!RLW835)*860)/10)+('Form Sa1'!RLW814*'Form Sa1'!RLW816/10)-'NF - 5 Power Mix'!RLT21-'NF - 5 Power Mix'!RLT22</f>
        <v>0</v>
      </c>
      <c r="RLU42" s="1046">
        <f>RLU38+((RLU40+'NF - 5 Power Mix'!RLU14+'NF - 5 Power Mix'!RLU15)*860/10)+((('Form Sa1'!RLX835)*860)/10)+('Form Sa1'!RLX814*'Form Sa1'!RLX816/10)-'NF - 5 Power Mix'!RLU21-'NF - 5 Power Mix'!RLU22</f>
        <v>0</v>
      </c>
      <c r="RLV42" s="1046">
        <f>RLV38+((RLV40+'NF - 5 Power Mix'!RLV14+'NF - 5 Power Mix'!RLV15)*860/10)+((('Form Sa1'!RLY835)*860)/10)+('Form Sa1'!RLY814*'Form Sa1'!RLY816/10)-'NF - 5 Power Mix'!RLV21-'NF - 5 Power Mix'!RLV22</f>
        <v>0</v>
      </c>
      <c r="RLW42" s="1046">
        <f>RLW38+((RLW40+'NF - 5 Power Mix'!RLW14+'NF - 5 Power Mix'!RLW15)*860/10)+((('Form Sa1'!RLZ835)*860)/10)+('Form Sa1'!RLZ814*'Form Sa1'!RLZ816/10)-'NF - 5 Power Mix'!RLW21-'NF - 5 Power Mix'!RLW22</f>
        <v>0</v>
      </c>
      <c r="RLX42" s="1046">
        <f>RLX38+((RLX40+'NF - 5 Power Mix'!RLX14+'NF - 5 Power Mix'!RLX15)*860/10)+((('Form Sa1'!RMA835)*860)/10)+('Form Sa1'!RMA814*'Form Sa1'!RMA816/10)-'NF - 5 Power Mix'!RLX21-'NF - 5 Power Mix'!RLX22</f>
        <v>0</v>
      </c>
      <c r="RLY42" s="1046">
        <f>RLY38+((RLY40+'NF - 5 Power Mix'!RLY14+'NF - 5 Power Mix'!RLY15)*860/10)+((('Form Sa1'!RMB835)*860)/10)+('Form Sa1'!RMB814*'Form Sa1'!RMB816/10)-'NF - 5 Power Mix'!RLY21-'NF - 5 Power Mix'!RLY22</f>
        <v>0</v>
      </c>
      <c r="RLZ42" s="1046">
        <f>RLZ38+((RLZ40+'NF - 5 Power Mix'!RLZ14+'NF - 5 Power Mix'!RLZ15)*860/10)+((('Form Sa1'!RMC835)*860)/10)+('Form Sa1'!RMC814*'Form Sa1'!RMC816/10)-'NF - 5 Power Mix'!RLZ21-'NF - 5 Power Mix'!RLZ22</f>
        <v>0</v>
      </c>
      <c r="RMA42" s="1046">
        <f>RMA38+((RMA40+'NF - 5 Power Mix'!RMA14+'NF - 5 Power Mix'!RMA15)*860/10)+((('Form Sa1'!RMD835)*860)/10)+('Form Sa1'!RMD814*'Form Sa1'!RMD816/10)-'NF - 5 Power Mix'!RMA21-'NF - 5 Power Mix'!RMA22</f>
        <v>0</v>
      </c>
      <c r="RMB42" s="1046">
        <f>RMB38+((RMB40+'NF - 5 Power Mix'!RMB14+'NF - 5 Power Mix'!RMB15)*860/10)+((('Form Sa1'!RME835)*860)/10)+('Form Sa1'!RME814*'Form Sa1'!RME816/10)-'NF - 5 Power Mix'!RMB21-'NF - 5 Power Mix'!RMB22</f>
        <v>0</v>
      </c>
      <c r="RMC42" s="1046">
        <f>RMC38+((RMC40+'NF - 5 Power Mix'!RMC14+'NF - 5 Power Mix'!RMC15)*860/10)+((('Form Sa1'!RMF835)*860)/10)+('Form Sa1'!RMF814*'Form Sa1'!RMF816/10)-'NF - 5 Power Mix'!RMC21-'NF - 5 Power Mix'!RMC22</f>
        <v>0</v>
      </c>
      <c r="RMD42" s="1046">
        <f>RMD38+((RMD40+'NF - 5 Power Mix'!RMD14+'NF - 5 Power Mix'!RMD15)*860/10)+((('Form Sa1'!RMG835)*860)/10)+('Form Sa1'!RMG814*'Form Sa1'!RMG816/10)-'NF - 5 Power Mix'!RMD21-'NF - 5 Power Mix'!RMD22</f>
        <v>0</v>
      </c>
      <c r="RME42" s="1046">
        <f>RME38+((RME40+'NF - 5 Power Mix'!RME14+'NF - 5 Power Mix'!RME15)*860/10)+((('Form Sa1'!RMH835)*860)/10)+('Form Sa1'!RMH814*'Form Sa1'!RMH816/10)-'NF - 5 Power Mix'!RME21-'NF - 5 Power Mix'!RME22</f>
        <v>0</v>
      </c>
      <c r="RMF42" s="1046">
        <f>RMF38+((RMF40+'NF - 5 Power Mix'!RMF14+'NF - 5 Power Mix'!RMF15)*860/10)+((('Form Sa1'!RMI835)*860)/10)+('Form Sa1'!RMI814*'Form Sa1'!RMI816/10)-'NF - 5 Power Mix'!RMF21-'NF - 5 Power Mix'!RMF22</f>
        <v>0</v>
      </c>
      <c r="RMG42" s="1046">
        <f>RMG38+((RMG40+'NF - 5 Power Mix'!RMG14+'NF - 5 Power Mix'!RMG15)*860/10)+((('Form Sa1'!RMJ835)*860)/10)+('Form Sa1'!RMJ814*'Form Sa1'!RMJ816/10)-'NF - 5 Power Mix'!RMG21-'NF - 5 Power Mix'!RMG22</f>
        <v>0</v>
      </c>
      <c r="RMH42" s="1046">
        <f>RMH38+((RMH40+'NF - 5 Power Mix'!RMH14+'NF - 5 Power Mix'!RMH15)*860/10)+((('Form Sa1'!RMK835)*860)/10)+('Form Sa1'!RMK814*'Form Sa1'!RMK816/10)-'NF - 5 Power Mix'!RMH21-'NF - 5 Power Mix'!RMH22</f>
        <v>0</v>
      </c>
      <c r="RMI42" s="1046">
        <f>RMI38+((RMI40+'NF - 5 Power Mix'!RMI14+'NF - 5 Power Mix'!RMI15)*860/10)+((('Form Sa1'!RML835)*860)/10)+('Form Sa1'!RML814*'Form Sa1'!RML816/10)-'NF - 5 Power Mix'!RMI21-'NF - 5 Power Mix'!RMI22</f>
        <v>0</v>
      </c>
      <c r="RMJ42" s="1046">
        <f>RMJ38+((RMJ40+'NF - 5 Power Mix'!RMJ14+'NF - 5 Power Mix'!RMJ15)*860/10)+((('Form Sa1'!RMM835)*860)/10)+('Form Sa1'!RMM814*'Form Sa1'!RMM816/10)-'NF - 5 Power Mix'!RMJ21-'NF - 5 Power Mix'!RMJ22</f>
        <v>0</v>
      </c>
      <c r="RMK42" s="1046">
        <f>RMK38+((RMK40+'NF - 5 Power Mix'!RMK14+'NF - 5 Power Mix'!RMK15)*860/10)+((('Form Sa1'!RMN835)*860)/10)+('Form Sa1'!RMN814*'Form Sa1'!RMN816/10)-'NF - 5 Power Mix'!RMK21-'NF - 5 Power Mix'!RMK22</f>
        <v>0</v>
      </c>
      <c r="RML42" s="1046">
        <f>RML38+((RML40+'NF - 5 Power Mix'!RML14+'NF - 5 Power Mix'!RML15)*860/10)+((('Form Sa1'!RMO835)*860)/10)+('Form Sa1'!RMO814*'Form Sa1'!RMO816/10)-'NF - 5 Power Mix'!RML21-'NF - 5 Power Mix'!RML22</f>
        <v>0</v>
      </c>
      <c r="RMM42" s="1046">
        <f>RMM38+((RMM40+'NF - 5 Power Mix'!RMM14+'NF - 5 Power Mix'!RMM15)*860/10)+((('Form Sa1'!RMP835)*860)/10)+('Form Sa1'!RMP814*'Form Sa1'!RMP816/10)-'NF - 5 Power Mix'!RMM21-'NF - 5 Power Mix'!RMM22</f>
        <v>0</v>
      </c>
      <c r="RMN42" s="1046">
        <f>RMN38+((RMN40+'NF - 5 Power Mix'!RMN14+'NF - 5 Power Mix'!RMN15)*860/10)+((('Form Sa1'!RMQ835)*860)/10)+('Form Sa1'!RMQ814*'Form Sa1'!RMQ816/10)-'NF - 5 Power Mix'!RMN21-'NF - 5 Power Mix'!RMN22</f>
        <v>0</v>
      </c>
      <c r="RMO42" s="1046">
        <f>RMO38+((RMO40+'NF - 5 Power Mix'!RMO14+'NF - 5 Power Mix'!RMO15)*860/10)+((('Form Sa1'!RMR835)*860)/10)+('Form Sa1'!RMR814*'Form Sa1'!RMR816/10)-'NF - 5 Power Mix'!RMO21-'NF - 5 Power Mix'!RMO22</f>
        <v>0</v>
      </c>
      <c r="RMP42" s="1046">
        <f>RMP38+((RMP40+'NF - 5 Power Mix'!RMP14+'NF - 5 Power Mix'!RMP15)*860/10)+((('Form Sa1'!RMS835)*860)/10)+('Form Sa1'!RMS814*'Form Sa1'!RMS816/10)-'NF - 5 Power Mix'!RMP21-'NF - 5 Power Mix'!RMP22</f>
        <v>0</v>
      </c>
      <c r="RMQ42" s="1046">
        <f>RMQ38+((RMQ40+'NF - 5 Power Mix'!RMQ14+'NF - 5 Power Mix'!RMQ15)*860/10)+((('Form Sa1'!RMT835)*860)/10)+('Form Sa1'!RMT814*'Form Sa1'!RMT816/10)-'NF - 5 Power Mix'!RMQ21-'NF - 5 Power Mix'!RMQ22</f>
        <v>0</v>
      </c>
      <c r="RMR42" s="1046">
        <f>RMR38+((RMR40+'NF - 5 Power Mix'!RMR14+'NF - 5 Power Mix'!RMR15)*860/10)+((('Form Sa1'!RMU835)*860)/10)+('Form Sa1'!RMU814*'Form Sa1'!RMU816/10)-'NF - 5 Power Mix'!RMR21-'NF - 5 Power Mix'!RMR22</f>
        <v>0</v>
      </c>
      <c r="RMS42" s="1046">
        <f>RMS38+((RMS40+'NF - 5 Power Mix'!RMS14+'NF - 5 Power Mix'!RMS15)*860/10)+((('Form Sa1'!RMV835)*860)/10)+('Form Sa1'!RMV814*'Form Sa1'!RMV816/10)-'NF - 5 Power Mix'!RMS21-'NF - 5 Power Mix'!RMS22</f>
        <v>0</v>
      </c>
      <c r="RMT42" s="1046">
        <f>RMT38+((RMT40+'NF - 5 Power Mix'!RMT14+'NF - 5 Power Mix'!RMT15)*860/10)+((('Form Sa1'!RMW835)*860)/10)+('Form Sa1'!RMW814*'Form Sa1'!RMW816/10)-'NF - 5 Power Mix'!RMT21-'NF - 5 Power Mix'!RMT22</f>
        <v>0</v>
      </c>
      <c r="RMU42" s="1046">
        <f>RMU38+((RMU40+'NF - 5 Power Mix'!RMU14+'NF - 5 Power Mix'!RMU15)*860/10)+((('Form Sa1'!RMX835)*860)/10)+('Form Sa1'!RMX814*'Form Sa1'!RMX816/10)-'NF - 5 Power Mix'!RMU21-'NF - 5 Power Mix'!RMU22</f>
        <v>0</v>
      </c>
      <c r="RMV42" s="1046">
        <f>RMV38+((RMV40+'NF - 5 Power Mix'!RMV14+'NF - 5 Power Mix'!RMV15)*860/10)+((('Form Sa1'!RMY835)*860)/10)+('Form Sa1'!RMY814*'Form Sa1'!RMY816/10)-'NF - 5 Power Mix'!RMV21-'NF - 5 Power Mix'!RMV22</f>
        <v>0</v>
      </c>
      <c r="RMW42" s="1046">
        <f>RMW38+((RMW40+'NF - 5 Power Mix'!RMW14+'NF - 5 Power Mix'!RMW15)*860/10)+((('Form Sa1'!RMZ835)*860)/10)+('Form Sa1'!RMZ814*'Form Sa1'!RMZ816/10)-'NF - 5 Power Mix'!RMW21-'NF - 5 Power Mix'!RMW22</f>
        <v>0</v>
      </c>
      <c r="RMX42" s="1046">
        <f>RMX38+((RMX40+'NF - 5 Power Mix'!RMX14+'NF - 5 Power Mix'!RMX15)*860/10)+((('Form Sa1'!RNA835)*860)/10)+('Form Sa1'!RNA814*'Form Sa1'!RNA816/10)-'NF - 5 Power Mix'!RMX21-'NF - 5 Power Mix'!RMX22</f>
        <v>0</v>
      </c>
      <c r="RMY42" s="1046">
        <f>RMY38+((RMY40+'NF - 5 Power Mix'!RMY14+'NF - 5 Power Mix'!RMY15)*860/10)+((('Form Sa1'!RNB835)*860)/10)+('Form Sa1'!RNB814*'Form Sa1'!RNB816/10)-'NF - 5 Power Mix'!RMY21-'NF - 5 Power Mix'!RMY22</f>
        <v>0</v>
      </c>
      <c r="RMZ42" s="1046">
        <f>RMZ38+((RMZ40+'NF - 5 Power Mix'!RMZ14+'NF - 5 Power Mix'!RMZ15)*860/10)+((('Form Sa1'!RNC835)*860)/10)+('Form Sa1'!RNC814*'Form Sa1'!RNC816/10)-'NF - 5 Power Mix'!RMZ21-'NF - 5 Power Mix'!RMZ22</f>
        <v>0</v>
      </c>
      <c r="RNA42" s="1046">
        <f>RNA38+((RNA40+'NF - 5 Power Mix'!RNA14+'NF - 5 Power Mix'!RNA15)*860/10)+((('Form Sa1'!RND835)*860)/10)+('Form Sa1'!RND814*'Form Sa1'!RND816/10)-'NF - 5 Power Mix'!RNA21-'NF - 5 Power Mix'!RNA22</f>
        <v>0</v>
      </c>
      <c r="RNB42" s="1046">
        <f>RNB38+((RNB40+'NF - 5 Power Mix'!RNB14+'NF - 5 Power Mix'!RNB15)*860/10)+((('Form Sa1'!RNE835)*860)/10)+('Form Sa1'!RNE814*'Form Sa1'!RNE816/10)-'NF - 5 Power Mix'!RNB21-'NF - 5 Power Mix'!RNB22</f>
        <v>0</v>
      </c>
      <c r="RNC42" s="1046">
        <f>RNC38+((RNC40+'NF - 5 Power Mix'!RNC14+'NF - 5 Power Mix'!RNC15)*860/10)+((('Form Sa1'!RNF835)*860)/10)+('Form Sa1'!RNF814*'Form Sa1'!RNF816/10)-'NF - 5 Power Mix'!RNC21-'NF - 5 Power Mix'!RNC22</f>
        <v>0</v>
      </c>
      <c r="RND42" s="1046">
        <f>RND38+((RND40+'NF - 5 Power Mix'!RND14+'NF - 5 Power Mix'!RND15)*860/10)+((('Form Sa1'!RNG835)*860)/10)+('Form Sa1'!RNG814*'Form Sa1'!RNG816/10)-'NF - 5 Power Mix'!RND21-'NF - 5 Power Mix'!RND22</f>
        <v>0</v>
      </c>
      <c r="RNE42" s="1046">
        <f>RNE38+((RNE40+'NF - 5 Power Mix'!RNE14+'NF - 5 Power Mix'!RNE15)*860/10)+((('Form Sa1'!RNH835)*860)/10)+('Form Sa1'!RNH814*'Form Sa1'!RNH816/10)-'NF - 5 Power Mix'!RNE21-'NF - 5 Power Mix'!RNE22</f>
        <v>0</v>
      </c>
      <c r="RNF42" s="1046">
        <f>RNF38+((RNF40+'NF - 5 Power Mix'!RNF14+'NF - 5 Power Mix'!RNF15)*860/10)+((('Form Sa1'!RNI835)*860)/10)+('Form Sa1'!RNI814*'Form Sa1'!RNI816/10)-'NF - 5 Power Mix'!RNF21-'NF - 5 Power Mix'!RNF22</f>
        <v>0</v>
      </c>
      <c r="RNG42" s="1046">
        <f>RNG38+((RNG40+'NF - 5 Power Mix'!RNG14+'NF - 5 Power Mix'!RNG15)*860/10)+((('Form Sa1'!RNJ835)*860)/10)+('Form Sa1'!RNJ814*'Form Sa1'!RNJ816/10)-'NF - 5 Power Mix'!RNG21-'NF - 5 Power Mix'!RNG22</f>
        <v>0</v>
      </c>
      <c r="RNH42" s="1046">
        <f>RNH38+((RNH40+'NF - 5 Power Mix'!RNH14+'NF - 5 Power Mix'!RNH15)*860/10)+((('Form Sa1'!RNK835)*860)/10)+('Form Sa1'!RNK814*'Form Sa1'!RNK816/10)-'NF - 5 Power Mix'!RNH21-'NF - 5 Power Mix'!RNH22</f>
        <v>0</v>
      </c>
      <c r="RNI42" s="1046">
        <f>RNI38+((RNI40+'NF - 5 Power Mix'!RNI14+'NF - 5 Power Mix'!RNI15)*860/10)+((('Form Sa1'!RNL835)*860)/10)+('Form Sa1'!RNL814*'Form Sa1'!RNL816/10)-'NF - 5 Power Mix'!RNI21-'NF - 5 Power Mix'!RNI22</f>
        <v>0</v>
      </c>
      <c r="RNJ42" s="1046">
        <f>RNJ38+((RNJ40+'NF - 5 Power Mix'!RNJ14+'NF - 5 Power Mix'!RNJ15)*860/10)+((('Form Sa1'!RNM835)*860)/10)+('Form Sa1'!RNM814*'Form Sa1'!RNM816/10)-'NF - 5 Power Mix'!RNJ21-'NF - 5 Power Mix'!RNJ22</f>
        <v>0</v>
      </c>
      <c r="RNK42" s="1046">
        <f>RNK38+((RNK40+'NF - 5 Power Mix'!RNK14+'NF - 5 Power Mix'!RNK15)*860/10)+((('Form Sa1'!RNN835)*860)/10)+('Form Sa1'!RNN814*'Form Sa1'!RNN816/10)-'NF - 5 Power Mix'!RNK21-'NF - 5 Power Mix'!RNK22</f>
        <v>0</v>
      </c>
      <c r="RNL42" s="1046">
        <f>RNL38+((RNL40+'NF - 5 Power Mix'!RNL14+'NF - 5 Power Mix'!RNL15)*860/10)+((('Form Sa1'!RNO835)*860)/10)+('Form Sa1'!RNO814*'Form Sa1'!RNO816/10)-'NF - 5 Power Mix'!RNL21-'NF - 5 Power Mix'!RNL22</f>
        <v>0</v>
      </c>
      <c r="RNM42" s="1046">
        <f>RNM38+((RNM40+'NF - 5 Power Mix'!RNM14+'NF - 5 Power Mix'!RNM15)*860/10)+((('Form Sa1'!RNP835)*860)/10)+('Form Sa1'!RNP814*'Form Sa1'!RNP816/10)-'NF - 5 Power Mix'!RNM21-'NF - 5 Power Mix'!RNM22</f>
        <v>0</v>
      </c>
      <c r="RNN42" s="1046">
        <f>RNN38+((RNN40+'NF - 5 Power Mix'!RNN14+'NF - 5 Power Mix'!RNN15)*860/10)+((('Form Sa1'!RNQ835)*860)/10)+('Form Sa1'!RNQ814*'Form Sa1'!RNQ816/10)-'NF - 5 Power Mix'!RNN21-'NF - 5 Power Mix'!RNN22</f>
        <v>0</v>
      </c>
      <c r="RNO42" s="1046">
        <f>RNO38+((RNO40+'NF - 5 Power Mix'!RNO14+'NF - 5 Power Mix'!RNO15)*860/10)+((('Form Sa1'!RNR835)*860)/10)+('Form Sa1'!RNR814*'Form Sa1'!RNR816/10)-'NF - 5 Power Mix'!RNO21-'NF - 5 Power Mix'!RNO22</f>
        <v>0</v>
      </c>
      <c r="RNP42" s="1046">
        <f>RNP38+((RNP40+'NF - 5 Power Mix'!RNP14+'NF - 5 Power Mix'!RNP15)*860/10)+((('Form Sa1'!RNS835)*860)/10)+('Form Sa1'!RNS814*'Form Sa1'!RNS816/10)-'NF - 5 Power Mix'!RNP21-'NF - 5 Power Mix'!RNP22</f>
        <v>0</v>
      </c>
      <c r="RNQ42" s="1046">
        <f>RNQ38+((RNQ40+'NF - 5 Power Mix'!RNQ14+'NF - 5 Power Mix'!RNQ15)*860/10)+((('Form Sa1'!RNT835)*860)/10)+('Form Sa1'!RNT814*'Form Sa1'!RNT816/10)-'NF - 5 Power Mix'!RNQ21-'NF - 5 Power Mix'!RNQ22</f>
        <v>0</v>
      </c>
      <c r="RNR42" s="1046">
        <f>RNR38+((RNR40+'NF - 5 Power Mix'!RNR14+'NF - 5 Power Mix'!RNR15)*860/10)+((('Form Sa1'!RNU835)*860)/10)+('Form Sa1'!RNU814*'Form Sa1'!RNU816/10)-'NF - 5 Power Mix'!RNR21-'NF - 5 Power Mix'!RNR22</f>
        <v>0</v>
      </c>
      <c r="RNS42" s="1046">
        <f>RNS38+((RNS40+'NF - 5 Power Mix'!RNS14+'NF - 5 Power Mix'!RNS15)*860/10)+((('Form Sa1'!RNV835)*860)/10)+('Form Sa1'!RNV814*'Form Sa1'!RNV816/10)-'NF - 5 Power Mix'!RNS21-'NF - 5 Power Mix'!RNS22</f>
        <v>0</v>
      </c>
      <c r="RNT42" s="1046">
        <f>RNT38+((RNT40+'NF - 5 Power Mix'!RNT14+'NF - 5 Power Mix'!RNT15)*860/10)+((('Form Sa1'!RNW835)*860)/10)+('Form Sa1'!RNW814*'Form Sa1'!RNW816/10)-'NF - 5 Power Mix'!RNT21-'NF - 5 Power Mix'!RNT22</f>
        <v>0</v>
      </c>
      <c r="RNU42" s="1046">
        <f>RNU38+((RNU40+'NF - 5 Power Mix'!RNU14+'NF - 5 Power Mix'!RNU15)*860/10)+((('Form Sa1'!RNX835)*860)/10)+('Form Sa1'!RNX814*'Form Sa1'!RNX816/10)-'NF - 5 Power Mix'!RNU21-'NF - 5 Power Mix'!RNU22</f>
        <v>0</v>
      </c>
      <c r="RNV42" s="1046">
        <f>RNV38+((RNV40+'NF - 5 Power Mix'!RNV14+'NF - 5 Power Mix'!RNV15)*860/10)+((('Form Sa1'!RNY835)*860)/10)+('Form Sa1'!RNY814*'Form Sa1'!RNY816/10)-'NF - 5 Power Mix'!RNV21-'NF - 5 Power Mix'!RNV22</f>
        <v>0</v>
      </c>
      <c r="RNW42" s="1046">
        <f>RNW38+((RNW40+'NF - 5 Power Mix'!RNW14+'NF - 5 Power Mix'!RNW15)*860/10)+((('Form Sa1'!RNZ835)*860)/10)+('Form Sa1'!RNZ814*'Form Sa1'!RNZ816/10)-'NF - 5 Power Mix'!RNW21-'NF - 5 Power Mix'!RNW22</f>
        <v>0</v>
      </c>
      <c r="RNX42" s="1046">
        <f>RNX38+((RNX40+'NF - 5 Power Mix'!RNX14+'NF - 5 Power Mix'!RNX15)*860/10)+((('Form Sa1'!ROA835)*860)/10)+('Form Sa1'!ROA814*'Form Sa1'!ROA816/10)-'NF - 5 Power Mix'!RNX21-'NF - 5 Power Mix'!RNX22</f>
        <v>0</v>
      </c>
      <c r="RNY42" s="1046">
        <f>RNY38+((RNY40+'NF - 5 Power Mix'!RNY14+'NF - 5 Power Mix'!RNY15)*860/10)+((('Form Sa1'!ROB835)*860)/10)+('Form Sa1'!ROB814*'Form Sa1'!ROB816/10)-'NF - 5 Power Mix'!RNY21-'NF - 5 Power Mix'!RNY22</f>
        <v>0</v>
      </c>
      <c r="RNZ42" s="1046">
        <f>RNZ38+((RNZ40+'NF - 5 Power Mix'!RNZ14+'NF - 5 Power Mix'!RNZ15)*860/10)+((('Form Sa1'!ROC835)*860)/10)+('Form Sa1'!ROC814*'Form Sa1'!ROC816/10)-'NF - 5 Power Mix'!RNZ21-'NF - 5 Power Mix'!RNZ22</f>
        <v>0</v>
      </c>
      <c r="ROA42" s="1046">
        <f>ROA38+((ROA40+'NF - 5 Power Mix'!ROA14+'NF - 5 Power Mix'!ROA15)*860/10)+((('Form Sa1'!ROD835)*860)/10)+('Form Sa1'!ROD814*'Form Sa1'!ROD816/10)-'NF - 5 Power Mix'!ROA21-'NF - 5 Power Mix'!ROA22</f>
        <v>0</v>
      </c>
      <c r="ROB42" s="1046">
        <f>ROB38+((ROB40+'NF - 5 Power Mix'!ROB14+'NF - 5 Power Mix'!ROB15)*860/10)+((('Form Sa1'!ROE835)*860)/10)+('Form Sa1'!ROE814*'Form Sa1'!ROE816/10)-'NF - 5 Power Mix'!ROB21-'NF - 5 Power Mix'!ROB22</f>
        <v>0</v>
      </c>
      <c r="ROC42" s="1046">
        <f>ROC38+((ROC40+'NF - 5 Power Mix'!ROC14+'NF - 5 Power Mix'!ROC15)*860/10)+((('Form Sa1'!ROF835)*860)/10)+('Form Sa1'!ROF814*'Form Sa1'!ROF816/10)-'NF - 5 Power Mix'!ROC21-'NF - 5 Power Mix'!ROC22</f>
        <v>0</v>
      </c>
      <c r="ROD42" s="1046">
        <f>ROD38+((ROD40+'NF - 5 Power Mix'!ROD14+'NF - 5 Power Mix'!ROD15)*860/10)+((('Form Sa1'!ROG835)*860)/10)+('Form Sa1'!ROG814*'Form Sa1'!ROG816/10)-'NF - 5 Power Mix'!ROD21-'NF - 5 Power Mix'!ROD22</f>
        <v>0</v>
      </c>
      <c r="ROE42" s="1046">
        <f>ROE38+((ROE40+'NF - 5 Power Mix'!ROE14+'NF - 5 Power Mix'!ROE15)*860/10)+((('Form Sa1'!ROH835)*860)/10)+('Form Sa1'!ROH814*'Form Sa1'!ROH816/10)-'NF - 5 Power Mix'!ROE21-'NF - 5 Power Mix'!ROE22</f>
        <v>0</v>
      </c>
      <c r="ROF42" s="1046">
        <f>ROF38+((ROF40+'NF - 5 Power Mix'!ROF14+'NF - 5 Power Mix'!ROF15)*860/10)+((('Form Sa1'!ROI835)*860)/10)+('Form Sa1'!ROI814*'Form Sa1'!ROI816/10)-'NF - 5 Power Mix'!ROF21-'NF - 5 Power Mix'!ROF22</f>
        <v>0</v>
      </c>
      <c r="ROG42" s="1046">
        <f>ROG38+((ROG40+'NF - 5 Power Mix'!ROG14+'NF - 5 Power Mix'!ROG15)*860/10)+((('Form Sa1'!ROJ835)*860)/10)+('Form Sa1'!ROJ814*'Form Sa1'!ROJ816/10)-'NF - 5 Power Mix'!ROG21-'NF - 5 Power Mix'!ROG22</f>
        <v>0</v>
      </c>
      <c r="ROH42" s="1046">
        <f>ROH38+((ROH40+'NF - 5 Power Mix'!ROH14+'NF - 5 Power Mix'!ROH15)*860/10)+((('Form Sa1'!ROK835)*860)/10)+('Form Sa1'!ROK814*'Form Sa1'!ROK816/10)-'NF - 5 Power Mix'!ROH21-'NF - 5 Power Mix'!ROH22</f>
        <v>0</v>
      </c>
      <c r="ROI42" s="1046">
        <f>ROI38+((ROI40+'NF - 5 Power Mix'!ROI14+'NF - 5 Power Mix'!ROI15)*860/10)+((('Form Sa1'!ROL835)*860)/10)+('Form Sa1'!ROL814*'Form Sa1'!ROL816/10)-'NF - 5 Power Mix'!ROI21-'NF - 5 Power Mix'!ROI22</f>
        <v>0</v>
      </c>
      <c r="ROJ42" s="1046">
        <f>ROJ38+((ROJ40+'NF - 5 Power Mix'!ROJ14+'NF - 5 Power Mix'!ROJ15)*860/10)+((('Form Sa1'!ROM835)*860)/10)+('Form Sa1'!ROM814*'Form Sa1'!ROM816/10)-'NF - 5 Power Mix'!ROJ21-'NF - 5 Power Mix'!ROJ22</f>
        <v>0</v>
      </c>
      <c r="ROK42" s="1046">
        <f>ROK38+((ROK40+'NF - 5 Power Mix'!ROK14+'NF - 5 Power Mix'!ROK15)*860/10)+((('Form Sa1'!RON835)*860)/10)+('Form Sa1'!RON814*'Form Sa1'!RON816/10)-'NF - 5 Power Mix'!ROK21-'NF - 5 Power Mix'!ROK22</f>
        <v>0</v>
      </c>
      <c r="ROL42" s="1046">
        <f>ROL38+((ROL40+'NF - 5 Power Mix'!ROL14+'NF - 5 Power Mix'!ROL15)*860/10)+((('Form Sa1'!ROO835)*860)/10)+('Form Sa1'!ROO814*'Form Sa1'!ROO816/10)-'NF - 5 Power Mix'!ROL21-'NF - 5 Power Mix'!ROL22</f>
        <v>0</v>
      </c>
      <c r="ROM42" s="1046">
        <f>ROM38+((ROM40+'NF - 5 Power Mix'!ROM14+'NF - 5 Power Mix'!ROM15)*860/10)+((('Form Sa1'!ROP835)*860)/10)+('Form Sa1'!ROP814*'Form Sa1'!ROP816/10)-'NF - 5 Power Mix'!ROM21-'NF - 5 Power Mix'!ROM22</f>
        <v>0</v>
      </c>
      <c r="RON42" s="1046">
        <f>RON38+((RON40+'NF - 5 Power Mix'!RON14+'NF - 5 Power Mix'!RON15)*860/10)+((('Form Sa1'!ROQ835)*860)/10)+('Form Sa1'!ROQ814*'Form Sa1'!ROQ816/10)-'NF - 5 Power Mix'!RON21-'NF - 5 Power Mix'!RON22</f>
        <v>0</v>
      </c>
      <c r="ROO42" s="1046">
        <f>ROO38+((ROO40+'NF - 5 Power Mix'!ROO14+'NF - 5 Power Mix'!ROO15)*860/10)+((('Form Sa1'!ROR835)*860)/10)+('Form Sa1'!ROR814*'Form Sa1'!ROR816/10)-'NF - 5 Power Mix'!ROO21-'NF - 5 Power Mix'!ROO22</f>
        <v>0</v>
      </c>
      <c r="ROP42" s="1046">
        <f>ROP38+((ROP40+'NF - 5 Power Mix'!ROP14+'NF - 5 Power Mix'!ROP15)*860/10)+((('Form Sa1'!ROS835)*860)/10)+('Form Sa1'!ROS814*'Form Sa1'!ROS816/10)-'NF - 5 Power Mix'!ROP21-'NF - 5 Power Mix'!ROP22</f>
        <v>0</v>
      </c>
      <c r="ROQ42" s="1046">
        <f>ROQ38+((ROQ40+'NF - 5 Power Mix'!ROQ14+'NF - 5 Power Mix'!ROQ15)*860/10)+((('Form Sa1'!ROT835)*860)/10)+('Form Sa1'!ROT814*'Form Sa1'!ROT816/10)-'NF - 5 Power Mix'!ROQ21-'NF - 5 Power Mix'!ROQ22</f>
        <v>0</v>
      </c>
      <c r="ROR42" s="1046">
        <f>ROR38+((ROR40+'NF - 5 Power Mix'!ROR14+'NF - 5 Power Mix'!ROR15)*860/10)+((('Form Sa1'!ROU835)*860)/10)+('Form Sa1'!ROU814*'Form Sa1'!ROU816/10)-'NF - 5 Power Mix'!ROR21-'NF - 5 Power Mix'!ROR22</f>
        <v>0</v>
      </c>
      <c r="ROS42" s="1046">
        <f>ROS38+((ROS40+'NF - 5 Power Mix'!ROS14+'NF - 5 Power Mix'!ROS15)*860/10)+((('Form Sa1'!ROV835)*860)/10)+('Form Sa1'!ROV814*'Form Sa1'!ROV816/10)-'NF - 5 Power Mix'!ROS21-'NF - 5 Power Mix'!ROS22</f>
        <v>0</v>
      </c>
      <c r="ROT42" s="1046">
        <f>ROT38+((ROT40+'NF - 5 Power Mix'!ROT14+'NF - 5 Power Mix'!ROT15)*860/10)+((('Form Sa1'!ROW835)*860)/10)+('Form Sa1'!ROW814*'Form Sa1'!ROW816/10)-'NF - 5 Power Mix'!ROT21-'NF - 5 Power Mix'!ROT22</f>
        <v>0</v>
      </c>
      <c r="ROU42" s="1046">
        <f>ROU38+((ROU40+'NF - 5 Power Mix'!ROU14+'NF - 5 Power Mix'!ROU15)*860/10)+((('Form Sa1'!ROX835)*860)/10)+('Form Sa1'!ROX814*'Form Sa1'!ROX816/10)-'NF - 5 Power Mix'!ROU21-'NF - 5 Power Mix'!ROU22</f>
        <v>0</v>
      </c>
      <c r="ROV42" s="1046">
        <f>ROV38+((ROV40+'NF - 5 Power Mix'!ROV14+'NF - 5 Power Mix'!ROV15)*860/10)+((('Form Sa1'!ROY835)*860)/10)+('Form Sa1'!ROY814*'Form Sa1'!ROY816/10)-'NF - 5 Power Mix'!ROV21-'NF - 5 Power Mix'!ROV22</f>
        <v>0</v>
      </c>
      <c r="ROW42" s="1046">
        <f>ROW38+((ROW40+'NF - 5 Power Mix'!ROW14+'NF - 5 Power Mix'!ROW15)*860/10)+((('Form Sa1'!ROZ835)*860)/10)+('Form Sa1'!ROZ814*'Form Sa1'!ROZ816/10)-'NF - 5 Power Mix'!ROW21-'NF - 5 Power Mix'!ROW22</f>
        <v>0</v>
      </c>
      <c r="ROX42" s="1046">
        <f>ROX38+((ROX40+'NF - 5 Power Mix'!ROX14+'NF - 5 Power Mix'!ROX15)*860/10)+((('Form Sa1'!RPA835)*860)/10)+('Form Sa1'!RPA814*'Form Sa1'!RPA816/10)-'NF - 5 Power Mix'!ROX21-'NF - 5 Power Mix'!ROX22</f>
        <v>0</v>
      </c>
      <c r="ROY42" s="1046">
        <f>ROY38+((ROY40+'NF - 5 Power Mix'!ROY14+'NF - 5 Power Mix'!ROY15)*860/10)+((('Form Sa1'!RPB835)*860)/10)+('Form Sa1'!RPB814*'Form Sa1'!RPB816/10)-'NF - 5 Power Mix'!ROY21-'NF - 5 Power Mix'!ROY22</f>
        <v>0</v>
      </c>
      <c r="ROZ42" s="1046">
        <f>ROZ38+((ROZ40+'NF - 5 Power Mix'!ROZ14+'NF - 5 Power Mix'!ROZ15)*860/10)+((('Form Sa1'!RPC835)*860)/10)+('Form Sa1'!RPC814*'Form Sa1'!RPC816/10)-'NF - 5 Power Mix'!ROZ21-'NF - 5 Power Mix'!ROZ22</f>
        <v>0</v>
      </c>
      <c r="RPA42" s="1046">
        <f>RPA38+((RPA40+'NF - 5 Power Mix'!RPA14+'NF - 5 Power Mix'!RPA15)*860/10)+((('Form Sa1'!RPD835)*860)/10)+('Form Sa1'!RPD814*'Form Sa1'!RPD816/10)-'NF - 5 Power Mix'!RPA21-'NF - 5 Power Mix'!RPA22</f>
        <v>0</v>
      </c>
      <c r="RPB42" s="1046">
        <f>RPB38+((RPB40+'NF - 5 Power Mix'!RPB14+'NF - 5 Power Mix'!RPB15)*860/10)+((('Form Sa1'!RPE835)*860)/10)+('Form Sa1'!RPE814*'Form Sa1'!RPE816/10)-'NF - 5 Power Mix'!RPB21-'NF - 5 Power Mix'!RPB22</f>
        <v>0</v>
      </c>
      <c r="RPC42" s="1046">
        <f>RPC38+((RPC40+'NF - 5 Power Mix'!RPC14+'NF - 5 Power Mix'!RPC15)*860/10)+((('Form Sa1'!RPF835)*860)/10)+('Form Sa1'!RPF814*'Form Sa1'!RPF816/10)-'NF - 5 Power Mix'!RPC21-'NF - 5 Power Mix'!RPC22</f>
        <v>0</v>
      </c>
      <c r="RPD42" s="1046">
        <f>RPD38+((RPD40+'NF - 5 Power Mix'!RPD14+'NF - 5 Power Mix'!RPD15)*860/10)+((('Form Sa1'!RPG835)*860)/10)+('Form Sa1'!RPG814*'Form Sa1'!RPG816/10)-'NF - 5 Power Mix'!RPD21-'NF - 5 Power Mix'!RPD22</f>
        <v>0</v>
      </c>
      <c r="RPE42" s="1046">
        <f>RPE38+((RPE40+'NF - 5 Power Mix'!RPE14+'NF - 5 Power Mix'!RPE15)*860/10)+((('Form Sa1'!RPH835)*860)/10)+('Form Sa1'!RPH814*'Form Sa1'!RPH816/10)-'NF - 5 Power Mix'!RPE21-'NF - 5 Power Mix'!RPE22</f>
        <v>0</v>
      </c>
      <c r="RPF42" s="1046">
        <f>RPF38+((RPF40+'NF - 5 Power Mix'!RPF14+'NF - 5 Power Mix'!RPF15)*860/10)+((('Form Sa1'!RPI835)*860)/10)+('Form Sa1'!RPI814*'Form Sa1'!RPI816/10)-'NF - 5 Power Mix'!RPF21-'NF - 5 Power Mix'!RPF22</f>
        <v>0</v>
      </c>
      <c r="RPG42" s="1046">
        <f>RPG38+((RPG40+'NF - 5 Power Mix'!RPG14+'NF - 5 Power Mix'!RPG15)*860/10)+((('Form Sa1'!RPJ835)*860)/10)+('Form Sa1'!RPJ814*'Form Sa1'!RPJ816/10)-'NF - 5 Power Mix'!RPG21-'NF - 5 Power Mix'!RPG22</f>
        <v>0</v>
      </c>
      <c r="RPH42" s="1046">
        <f>RPH38+((RPH40+'NF - 5 Power Mix'!RPH14+'NF - 5 Power Mix'!RPH15)*860/10)+((('Form Sa1'!RPK835)*860)/10)+('Form Sa1'!RPK814*'Form Sa1'!RPK816/10)-'NF - 5 Power Mix'!RPH21-'NF - 5 Power Mix'!RPH22</f>
        <v>0</v>
      </c>
      <c r="RPI42" s="1046">
        <f>RPI38+((RPI40+'NF - 5 Power Mix'!RPI14+'NF - 5 Power Mix'!RPI15)*860/10)+((('Form Sa1'!RPL835)*860)/10)+('Form Sa1'!RPL814*'Form Sa1'!RPL816/10)-'NF - 5 Power Mix'!RPI21-'NF - 5 Power Mix'!RPI22</f>
        <v>0</v>
      </c>
      <c r="RPJ42" s="1046">
        <f>RPJ38+((RPJ40+'NF - 5 Power Mix'!RPJ14+'NF - 5 Power Mix'!RPJ15)*860/10)+((('Form Sa1'!RPM835)*860)/10)+('Form Sa1'!RPM814*'Form Sa1'!RPM816/10)-'NF - 5 Power Mix'!RPJ21-'NF - 5 Power Mix'!RPJ22</f>
        <v>0</v>
      </c>
      <c r="RPK42" s="1046">
        <f>RPK38+((RPK40+'NF - 5 Power Mix'!RPK14+'NF - 5 Power Mix'!RPK15)*860/10)+((('Form Sa1'!RPN835)*860)/10)+('Form Sa1'!RPN814*'Form Sa1'!RPN816/10)-'NF - 5 Power Mix'!RPK21-'NF - 5 Power Mix'!RPK22</f>
        <v>0</v>
      </c>
      <c r="RPL42" s="1046">
        <f>RPL38+((RPL40+'NF - 5 Power Mix'!RPL14+'NF - 5 Power Mix'!RPL15)*860/10)+((('Form Sa1'!RPO835)*860)/10)+('Form Sa1'!RPO814*'Form Sa1'!RPO816/10)-'NF - 5 Power Mix'!RPL21-'NF - 5 Power Mix'!RPL22</f>
        <v>0</v>
      </c>
      <c r="RPM42" s="1046">
        <f>RPM38+((RPM40+'NF - 5 Power Mix'!RPM14+'NF - 5 Power Mix'!RPM15)*860/10)+((('Form Sa1'!RPP835)*860)/10)+('Form Sa1'!RPP814*'Form Sa1'!RPP816/10)-'NF - 5 Power Mix'!RPM21-'NF - 5 Power Mix'!RPM22</f>
        <v>0</v>
      </c>
      <c r="RPN42" s="1046">
        <f>RPN38+((RPN40+'NF - 5 Power Mix'!RPN14+'NF - 5 Power Mix'!RPN15)*860/10)+((('Form Sa1'!RPQ835)*860)/10)+('Form Sa1'!RPQ814*'Form Sa1'!RPQ816/10)-'NF - 5 Power Mix'!RPN21-'NF - 5 Power Mix'!RPN22</f>
        <v>0</v>
      </c>
      <c r="RPO42" s="1046">
        <f>RPO38+((RPO40+'NF - 5 Power Mix'!RPO14+'NF - 5 Power Mix'!RPO15)*860/10)+((('Form Sa1'!RPR835)*860)/10)+('Form Sa1'!RPR814*'Form Sa1'!RPR816/10)-'NF - 5 Power Mix'!RPO21-'NF - 5 Power Mix'!RPO22</f>
        <v>0</v>
      </c>
      <c r="RPP42" s="1046">
        <f>RPP38+((RPP40+'NF - 5 Power Mix'!RPP14+'NF - 5 Power Mix'!RPP15)*860/10)+((('Form Sa1'!RPS835)*860)/10)+('Form Sa1'!RPS814*'Form Sa1'!RPS816/10)-'NF - 5 Power Mix'!RPP21-'NF - 5 Power Mix'!RPP22</f>
        <v>0</v>
      </c>
      <c r="RPQ42" s="1046">
        <f>RPQ38+((RPQ40+'NF - 5 Power Mix'!RPQ14+'NF - 5 Power Mix'!RPQ15)*860/10)+((('Form Sa1'!RPT835)*860)/10)+('Form Sa1'!RPT814*'Form Sa1'!RPT816/10)-'NF - 5 Power Mix'!RPQ21-'NF - 5 Power Mix'!RPQ22</f>
        <v>0</v>
      </c>
      <c r="RPR42" s="1046">
        <f>RPR38+((RPR40+'NF - 5 Power Mix'!RPR14+'NF - 5 Power Mix'!RPR15)*860/10)+((('Form Sa1'!RPU835)*860)/10)+('Form Sa1'!RPU814*'Form Sa1'!RPU816/10)-'NF - 5 Power Mix'!RPR21-'NF - 5 Power Mix'!RPR22</f>
        <v>0</v>
      </c>
      <c r="RPS42" s="1046">
        <f>RPS38+((RPS40+'NF - 5 Power Mix'!RPS14+'NF - 5 Power Mix'!RPS15)*860/10)+((('Form Sa1'!RPV835)*860)/10)+('Form Sa1'!RPV814*'Form Sa1'!RPV816/10)-'NF - 5 Power Mix'!RPS21-'NF - 5 Power Mix'!RPS22</f>
        <v>0</v>
      </c>
      <c r="RPT42" s="1046">
        <f>RPT38+((RPT40+'NF - 5 Power Mix'!RPT14+'NF - 5 Power Mix'!RPT15)*860/10)+((('Form Sa1'!RPW835)*860)/10)+('Form Sa1'!RPW814*'Form Sa1'!RPW816/10)-'NF - 5 Power Mix'!RPT21-'NF - 5 Power Mix'!RPT22</f>
        <v>0</v>
      </c>
      <c r="RPU42" s="1046">
        <f>RPU38+((RPU40+'NF - 5 Power Mix'!RPU14+'NF - 5 Power Mix'!RPU15)*860/10)+((('Form Sa1'!RPX835)*860)/10)+('Form Sa1'!RPX814*'Form Sa1'!RPX816/10)-'NF - 5 Power Mix'!RPU21-'NF - 5 Power Mix'!RPU22</f>
        <v>0</v>
      </c>
      <c r="RPV42" s="1046">
        <f>RPV38+((RPV40+'NF - 5 Power Mix'!RPV14+'NF - 5 Power Mix'!RPV15)*860/10)+((('Form Sa1'!RPY835)*860)/10)+('Form Sa1'!RPY814*'Form Sa1'!RPY816/10)-'NF - 5 Power Mix'!RPV21-'NF - 5 Power Mix'!RPV22</f>
        <v>0</v>
      </c>
      <c r="RPW42" s="1046">
        <f>RPW38+((RPW40+'NF - 5 Power Mix'!RPW14+'NF - 5 Power Mix'!RPW15)*860/10)+((('Form Sa1'!RPZ835)*860)/10)+('Form Sa1'!RPZ814*'Form Sa1'!RPZ816/10)-'NF - 5 Power Mix'!RPW21-'NF - 5 Power Mix'!RPW22</f>
        <v>0</v>
      </c>
      <c r="RPX42" s="1046">
        <f>RPX38+((RPX40+'NF - 5 Power Mix'!RPX14+'NF - 5 Power Mix'!RPX15)*860/10)+((('Form Sa1'!RQA835)*860)/10)+('Form Sa1'!RQA814*'Form Sa1'!RQA816/10)-'NF - 5 Power Mix'!RPX21-'NF - 5 Power Mix'!RPX22</f>
        <v>0</v>
      </c>
      <c r="RPY42" s="1046">
        <f>RPY38+((RPY40+'NF - 5 Power Mix'!RPY14+'NF - 5 Power Mix'!RPY15)*860/10)+((('Form Sa1'!RQB835)*860)/10)+('Form Sa1'!RQB814*'Form Sa1'!RQB816/10)-'NF - 5 Power Mix'!RPY21-'NF - 5 Power Mix'!RPY22</f>
        <v>0</v>
      </c>
      <c r="RPZ42" s="1046">
        <f>RPZ38+((RPZ40+'NF - 5 Power Mix'!RPZ14+'NF - 5 Power Mix'!RPZ15)*860/10)+((('Form Sa1'!RQC835)*860)/10)+('Form Sa1'!RQC814*'Form Sa1'!RQC816/10)-'NF - 5 Power Mix'!RPZ21-'NF - 5 Power Mix'!RPZ22</f>
        <v>0</v>
      </c>
      <c r="RQA42" s="1046">
        <f>RQA38+((RQA40+'NF - 5 Power Mix'!RQA14+'NF - 5 Power Mix'!RQA15)*860/10)+((('Form Sa1'!RQD835)*860)/10)+('Form Sa1'!RQD814*'Form Sa1'!RQD816/10)-'NF - 5 Power Mix'!RQA21-'NF - 5 Power Mix'!RQA22</f>
        <v>0</v>
      </c>
      <c r="RQB42" s="1046">
        <f>RQB38+((RQB40+'NF - 5 Power Mix'!RQB14+'NF - 5 Power Mix'!RQB15)*860/10)+((('Form Sa1'!RQE835)*860)/10)+('Form Sa1'!RQE814*'Form Sa1'!RQE816/10)-'NF - 5 Power Mix'!RQB21-'NF - 5 Power Mix'!RQB22</f>
        <v>0</v>
      </c>
      <c r="RQC42" s="1046">
        <f>RQC38+((RQC40+'NF - 5 Power Mix'!RQC14+'NF - 5 Power Mix'!RQC15)*860/10)+((('Form Sa1'!RQF835)*860)/10)+('Form Sa1'!RQF814*'Form Sa1'!RQF816/10)-'NF - 5 Power Mix'!RQC21-'NF - 5 Power Mix'!RQC22</f>
        <v>0</v>
      </c>
      <c r="RQD42" s="1046">
        <f>RQD38+((RQD40+'NF - 5 Power Mix'!RQD14+'NF - 5 Power Mix'!RQD15)*860/10)+((('Form Sa1'!RQG835)*860)/10)+('Form Sa1'!RQG814*'Form Sa1'!RQG816/10)-'NF - 5 Power Mix'!RQD21-'NF - 5 Power Mix'!RQD22</f>
        <v>0</v>
      </c>
      <c r="RQE42" s="1046">
        <f>RQE38+((RQE40+'NF - 5 Power Mix'!RQE14+'NF - 5 Power Mix'!RQE15)*860/10)+((('Form Sa1'!RQH835)*860)/10)+('Form Sa1'!RQH814*'Form Sa1'!RQH816/10)-'NF - 5 Power Mix'!RQE21-'NF - 5 Power Mix'!RQE22</f>
        <v>0</v>
      </c>
      <c r="RQF42" s="1046">
        <f>RQF38+((RQF40+'NF - 5 Power Mix'!RQF14+'NF - 5 Power Mix'!RQF15)*860/10)+((('Form Sa1'!RQI835)*860)/10)+('Form Sa1'!RQI814*'Form Sa1'!RQI816/10)-'NF - 5 Power Mix'!RQF21-'NF - 5 Power Mix'!RQF22</f>
        <v>0</v>
      </c>
      <c r="RQG42" s="1046">
        <f>RQG38+((RQG40+'NF - 5 Power Mix'!RQG14+'NF - 5 Power Mix'!RQG15)*860/10)+((('Form Sa1'!RQJ835)*860)/10)+('Form Sa1'!RQJ814*'Form Sa1'!RQJ816/10)-'NF - 5 Power Mix'!RQG21-'NF - 5 Power Mix'!RQG22</f>
        <v>0</v>
      </c>
      <c r="RQH42" s="1046">
        <f>RQH38+((RQH40+'NF - 5 Power Mix'!RQH14+'NF - 5 Power Mix'!RQH15)*860/10)+((('Form Sa1'!RQK835)*860)/10)+('Form Sa1'!RQK814*'Form Sa1'!RQK816/10)-'NF - 5 Power Mix'!RQH21-'NF - 5 Power Mix'!RQH22</f>
        <v>0</v>
      </c>
      <c r="RQI42" s="1046">
        <f>RQI38+((RQI40+'NF - 5 Power Mix'!RQI14+'NF - 5 Power Mix'!RQI15)*860/10)+((('Form Sa1'!RQL835)*860)/10)+('Form Sa1'!RQL814*'Form Sa1'!RQL816/10)-'NF - 5 Power Mix'!RQI21-'NF - 5 Power Mix'!RQI22</f>
        <v>0</v>
      </c>
      <c r="RQJ42" s="1046">
        <f>RQJ38+((RQJ40+'NF - 5 Power Mix'!RQJ14+'NF - 5 Power Mix'!RQJ15)*860/10)+((('Form Sa1'!RQM835)*860)/10)+('Form Sa1'!RQM814*'Form Sa1'!RQM816/10)-'NF - 5 Power Mix'!RQJ21-'NF - 5 Power Mix'!RQJ22</f>
        <v>0</v>
      </c>
      <c r="RQK42" s="1046">
        <f>RQK38+((RQK40+'NF - 5 Power Mix'!RQK14+'NF - 5 Power Mix'!RQK15)*860/10)+((('Form Sa1'!RQN835)*860)/10)+('Form Sa1'!RQN814*'Form Sa1'!RQN816/10)-'NF - 5 Power Mix'!RQK21-'NF - 5 Power Mix'!RQK22</f>
        <v>0</v>
      </c>
      <c r="RQL42" s="1046">
        <f>RQL38+((RQL40+'NF - 5 Power Mix'!RQL14+'NF - 5 Power Mix'!RQL15)*860/10)+((('Form Sa1'!RQO835)*860)/10)+('Form Sa1'!RQO814*'Form Sa1'!RQO816/10)-'NF - 5 Power Mix'!RQL21-'NF - 5 Power Mix'!RQL22</f>
        <v>0</v>
      </c>
      <c r="RQM42" s="1046">
        <f>RQM38+((RQM40+'NF - 5 Power Mix'!RQM14+'NF - 5 Power Mix'!RQM15)*860/10)+((('Form Sa1'!RQP835)*860)/10)+('Form Sa1'!RQP814*'Form Sa1'!RQP816/10)-'NF - 5 Power Mix'!RQM21-'NF - 5 Power Mix'!RQM22</f>
        <v>0</v>
      </c>
      <c r="RQN42" s="1046">
        <f>RQN38+((RQN40+'NF - 5 Power Mix'!RQN14+'NF - 5 Power Mix'!RQN15)*860/10)+((('Form Sa1'!RQQ835)*860)/10)+('Form Sa1'!RQQ814*'Form Sa1'!RQQ816/10)-'NF - 5 Power Mix'!RQN21-'NF - 5 Power Mix'!RQN22</f>
        <v>0</v>
      </c>
      <c r="RQO42" s="1046">
        <f>RQO38+((RQO40+'NF - 5 Power Mix'!RQO14+'NF - 5 Power Mix'!RQO15)*860/10)+((('Form Sa1'!RQR835)*860)/10)+('Form Sa1'!RQR814*'Form Sa1'!RQR816/10)-'NF - 5 Power Mix'!RQO21-'NF - 5 Power Mix'!RQO22</f>
        <v>0</v>
      </c>
      <c r="RQP42" s="1046">
        <f>RQP38+((RQP40+'NF - 5 Power Mix'!RQP14+'NF - 5 Power Mix'!RQP15)*860/10)+((('Form Sa1'!RQS835)*860)/10)+('Form Sa1'!RQS814*'Form Sa1'!RQS816/10)-'NF - 5 Power Mix'!RQP21-'NF - 5 Power Mix'!RQP22</f>
        <v>0</v>
      </c>
      <c r="RQQ42" s="1046">
        <f>RQQ38+((RQQ40+'NF - 5 Power Mix'!RQQ14+'NF - 5 Power Mix'!RQQ15)*860/10)+((('Form Sa1'!RQT835)*860)/10)+('Form Sa1'!RQT814*'Form Sa1'!RQT816/10)-'NF - 5 Power Mix'!RQQ21-'NF - 5 Power Mix'!RQQ22</f>
        <v>0</v>
      </c>
      <c r="RQR42" s="1046">
        <f>RQR38+((RQR40+'NF - 5 Power Mix'!RQR14+'NF - 5 Power Mix'!RQR15)*860/10)+((('Form Sa1'!RQU835)*860)/10)+('Form Sa1'!RQU814*'Form Sa1'!RQU816/10)-'NF - 5 Power Mix'!RQR21-'NF - 5 Power Mix'!RQR22</f>
        <v>0</v>
      </c>
      <c r="RQS42" s="1046">
        <f>RQS38+((RQS40+'NF - 5 Power Mix'!RQS14+'NF - 5 Power Mix'!RQS15)*860/10)+((('Form Sa1'!RQV835)*860)/10)+('Form Sa1'!RQV814*'Form Sa1'!RQV816/10)-'NF - 5 Power Mix'!RQS21-'NF - 5 Power Mix'!RQS22</f>
        <v>0</v>
      </c>
      <c r="RQT42" s="1046">
        <f>RQT38+((RQT40+'NF - 5 Power Mix'!RQT14+'NF - 5 Power Mix'!RQT15)*860/10)+((('Form Sa1'!RQW835)*860)/10)+('Form Sa1'!RQW814*'Form Sa1'!RQW816/10)-'NF - 5 Power Mix'!RQT21-'NF - 5 Power Mix'!RQT22</f>
        <v>0</v>
      </c>
      <c r="RQU42" s="1046">
        <f>RQU38+((RQU40+'NF - 5 Power Mix'!RQU14+'NF - 5 Power Mix'!RQU15)*860/10)+((('Form Sa1'!RQX835)*860)/10)+('Form Sa1'!RQX814*'Form Sa1'!RQX816/10)-'NF - 5 Power Mix'!RQU21-'NF - 5 Power Mix'!RQU22</f>
        <v>0</v>
      </c>
      <c r="RQV42" s="1046">
        <f>RQV38+((RQV40+'NF - 5 Power Mix'!RQV14+'NF - 5 Power Mix'!RQV15)*860/10)+((('Form Sa1'!RQY835)*860)/10)+('Form Sa1'!RQY814*'Form Sa1'!RQY816/10)-'NF - 5 Power Mix'!RQV21-'NF - 5 Power Mix'!RQV22</f>
        <v>0</v>
      </c>
      <c r="RQW42" s="1046">
        <f>RQW38+((RQW40+'NF - 5 Power Mix'!RQW14+'NF - 5 Power Mix'!RQW15)*860/10)+((('Form Sa1'!RQZ835)*860)/10)+('Form Sa1'!RQZ814*'Form Sa1'!RQZ816/10)-'NF - 5 Power Mix'!RQW21-'NF - 5 Power Mix'!RQW22</f>
        <v>0</v>
      </c>
      <c r="RQX42" s="1046">
        <f>RQX38+((RQX40+'NF - 5 Power Mix'!RQX14+'NF - 5 Power Mix'!RQX15)*860/10)+((('Form Sa1'!RRA835)*860)/10)+('Form Sa1'!RRA814*'Form Sa1'!RRA816/10)-'NF - 5 Power Mix'!RQX21-'NF - 5 Power Mix'!RQX22</f>
        <v>0</v>
      </c>
      <c r="RQY42" s="1046">
        <f>RQY38+((RQY40+'NF - 5 Power Mix'!RQY14+'NF - 5 Power Mix'!RQY15)*860/10)+((('Form Sa1'!RRB835)*860)/10)+('Form Sa1'!RRB814*'Form Sa1'!RRB816/10)-'NF - 5 Power Mix'!RQY21-'NF - 5 Power Mix'!RQY22</f>
        <v>0</v>
      </c>
      <c r="RQZ42" s="1046">
        <f>RQZ38+((RQZ40+'NF - 5 Power Mix'!RQZ14+'NF - 5 Power Mix'!RQZ15)*860/10)+((('Form Sa1'!RRC835)*860)/10)+('Form Sa1'!RRC814*'Form Sa1'!RRC816/10)-'NF - 5 Power Mix'!RQZ21-'NF - 5 Power Mix'!RQZ22</f>
        <v>0</v>
      </c>
      <c r="RRA42" s="1046">
        <f>RRA38+((RRA40+'NF - 5 Power Mix'!RRA14+'NF - 5 Power Mix'!RRA15)*860/10)+((('Form Sa1'!RRD835)*860)/10)+('Form Sa1'!RRD814*'Form Sa1'!RRD816/10)-'NF - 5 Power Mix'!RRA21-'NF - 5 Power Mix'!RRA22</f>
        <v>0</v>
      </c>
      <c r="RRB42" s="1046">
        <f>RRB38+((RRB40+'NF - 5 Power Mix'!RRB14+'NF - 5 Power Mix'!RRB15)*860/10)+((('Form Sa1'!RRE835)*860)/10)+('Form Sa1'!RRE814*'Form Sa1'!RRE816/10)-'NF - 5 Power Mix'!RRB21-'NF - 5 Power Mix'!RRB22</f>
        <v>0</v>
      </c>
      <c r="RRC42" s="1046">
        <f>RRC38+((RRC40+'NF - 5 Power Mix'!RRC14+'NF - 5 Power Mix'!RRC15)*860/10)+((('Form Sa1'!RRF835)*860)/10)+('Form Sa1'!RRF814*'Form Sa1'!RRF816/10)-'NF - 5 Power Mix'!RRC21-'NF - 5 Power Mix'!RRC22</f>
        <v>0</v>
      </c>
      <c r="RRD42" s="1046">
        <f>RRD38+((RRD40+'NF - 5 Power Mix'!RRD14+'NF - 5 Power Mix'!RRD15)*860/10)+((('Form Sa1'!RRG835)*860)/10)+('Form Sa1'!RRG814*'Form Sa1'!RRG816/10)-'NF - 5 Power Mix'!RRD21-'NF - 5 Power Mix'!RRD22</f>
        <v>0</v>
      </c>
      <c r="RRE42" s="1046">
        <f>RRE38+((RRE40+'NF - 5 Power Mix'!RRE14+'NF - 5 Power Mix'!RRE15)*860/10)+((('Form Sa1'!RRH835)*860)/10)+('Form Sa1'!RRH814*'Form Sa1'!RRH816/10)-'NF - 5 Power Mix'!RRE21-'NF - 5 Power Mix'!RRE22</f>
        <v>0</v>
      </c>
      <c r="RRF42" s="1046">
        <f>RRF38+((RRF40+'NF - 5 Power Mix'!RRF14+'NF - 5 Power Mix'!RRF15)*860/10)+((('Form Sa1'!RRI835)*860)/10)+('Form Sa1'!RRI814*'Form Sa1'!RRI816/10)-'NF - 5 Power Mix'!RRF21-'NF - 5 Power Mix'!RRF22</f>
        <v>0</v>
      </c>
      <c r="RRG42" s="1046">
        <f>RRG38+((RRG40+'NF - 5 Power Mix'!RRG14+'NF - 5 Power Mix'!RRG15)*860/10)+((('Form Sa1'!RRJ835)*860)/10)+('Form Sa1'!RRJ814*'Form Sa1'!RRJ816/10)-'NF - 5 Power Mix'!RRG21-'NF - 5 Power Mix'!RRG22</f>
        <v>0</v>
      </c>
      <c r="RRH42" s="1046">
        <f>RRH38+((RRH40+'NF - 5 Power Mix'!RRH14+'NF - 5 Power Mix'!RRH15)*860/10)+((('Form Sa1'!RRK835)*860)/10)+('Form Sa1'!RRK814*'Form Sa1'!RRK816/10)-'NF - 5 Power Mix'!RRH21-'NF - 5 Power Mix'!RRH22</f>
        <v>0</v>
      </c>
      <c r="RRI42" s="1046">
        <f>RRI38+((RRI40+'NF - 5 Power Mix'!RRI14+'NF - 5 Power Mix'!RRI15)*860/10)+((('Form Sa1'!RRL835)*860)/10)+('Form Sa1'!RRL814*'Form Sa1'!RRL816/10)-'NF - 5 Power Mix'!RRI21-'NF - 5 Power Mix'!RRI22</f>
        <v>0</v>
      </c>
      <c r="RRJ42" s="1046">
        <f>RRJ38+((RRJ40+'NF - 5 Power Mix'!RRJ14+'NF - 5 Power Mix'!RRJ15)*860/10)+((('Form Sa1'!RRM835)*860)/10)+('Form Sa1'!RRM814*'Form Sa1'!RRM816/10)-'NF - 5 Power Mix'!RRJ21-'NF - 5 Power Mix'!RRJ22</f>
        <v>0</v>
      </c>
      <c r="RRK42" s="1046">
        <f>RRK38+((RRK40+'NF - 5 Power Mix'!RRK14+'NF - 5 Power Mix'!RRK15)*860/10)+((('Form Sa1'!RRN835)*860)/10)+('Form Sa1'!RRN814*'Form Sa1'!RRN816/10)-'NF - 5 Power Mix'!RRK21-'NF - 5 Power Mix'!RRK22</f>
        <v>0</v>
      </c>
      <c r="RRL42" s="1046">
        <f>RRL38+((RRL40+'NF - 5 Power Mix'!RRL14+'NF - 5 Power Mix'!RRL15)*860/10)+((('Form Sa1'!RRO835)*860)/10)+('Form Sa1'!RRO814*'Form Sa1'!RRO816/10)-'NF - 5 Power Mix'!RRL21-'NF - 5 Power Mix'!RRL22</f>
        <v>0</v>
      </c>
      <c r="RRM42" s="1046">
        <f>RRM38+((RRM40+'NF - 5 Power Mix'!RRM14+'NF - 5 Power Mix'!RRM15)*860/10)+((('Form Sa1'!RRP835)*860)/10)+('Form Sa1'!RRP814*'Form Sa1'!RRP816/10)-'NF - 5 Power Mix'!RRM21-'NF - 5 Power Mix'!RRM22</f>
        <v>0</v>
      </c>
      <c r="RRN42" s="1046">
        <f>RRN38+((RRN40+'NF - 5 Power Mix'!RRN14+'NF - 5 Power Mix'!RRN15)*860/10)+((('Form Sa1'!RRQ835)*860)/10)+('Form Sa1'!RRQ814*'Form Sa1'!RRQ816/10)-'NF - 5 Power Mix'!RRN21-'NF - 5 Power Mix'!RRN22</f>
        <v>0</v>
      </c>
      <c r="RRO42" s="1046">
        <f>RRO38+((RRO40+'NF - 5 Power Mix'!RRO14+'NF - 5 Power Mix'!RRO15)*860/10)+((('Form Sa1'!RRR835)*860)/10)+('Form Sa1'!RRR814*'Form Sa1'!RRR816/10)-'NF - 5 Power Mix'!RRO21-'NF - 5 Power Mix'!RRO22</f>
        <v>0</v>
      </c>
      <c r="RRP42" s="1046">
        <f>RRP38+((RRP40+'NF - 5 Power Mix'!RRP14+'NF - 5 Power Mix'!RRP15)*860/10)+((('Form Sa1'!RRS835)*860)/10)+('Form Sa1'!RRS814*'Form Sa1'!RRS816/10)-'NF - 5 Power Mix'!RRP21-'NF - 5 Power Mix'!RRP22</f>
        <v>0</v>
      </c>
      <c r="RRQ42" s="1046">
        <f>RRQ38+((RRQ40+'NF - 5 Power Mix'!RRQ14+'NF - 5 Power Mix'!RRQ15)*860/10)+((('Form Sa1'!RRT835)*860)/10)+('Form Sa1'!RRT814*'Form Sa1'!RRT816/10)-'NF - 5 Power Mix'!RRQ21-'NF - 5 Power Mix'!RRQ22</f>
        <v>0</v>
      </c>
      <c r="RRR42" s="1046">
        <f>RRR38+((RRR40+'NF - 5 Power Mix'!RRR14+'NF - 5 Power Mix'!RRR15)*860/10)+((('Form Sa1'!RRU835)*860)/10)+('Form Sa1'!RRU814*'Form Sa1'!RRU816/10)-'NF - 5 Power Mix'!RRR21-'NF - 5 Power Mix'!RRR22</f>
        <v>0</v>
      </c>
      <c r="RRS42" s="1046">
        <f>RRS38+((RRS40+'NF - 5 Power Mix'!RRS14+'NF - 5 Power Mix'!RRS15)*860/10)+((('Form Sa1'!RRV835)*860)/10)+('Form Sa1'!RRV814*'Form Sa1'!RRV816/10)-'NF - 5 Power Mix'!RRS21-'NF - 5 Power Mix'!RRS22</f>
        <v>0</v>
      </c>
      <c r="RRT42" s="1046">
        <f>RRT38+((RRT40+'NF - 5 Power Mix'!RRT14+'NF - 5 Power Mix'!RRT15)*860/10)+((('Form Sa1'!RRW835)*860)/10)+('Form Sa1'!RRW814*'Form Sa1'!RRW816/10)-'NF - 5 Power Mix'!RRT21-'NF - 5 Power Mix'!RRT22</f>
        <v>0</v>
      </c>
      <c r="RRU42" s="1046">
        <f>RRU38+((RRU40+'NF - 5 Power Mix'!RRU14+'NF - 5 Power Mix'!RRU15)*860/10)+((('Form Sa1'!RRX835)*860)/10)+('Form Sa1'!RRX814*'Form Sa1'!RRX816/10)-'NF - 5 Power Mix'!RRU21-'NF - 5 Power Mix'!RRU22</f>
        <v>0</v>
      </c>
      <c r="RRV42" s="1046">
        <f>RRV38+((RRV40+'NF - 5 Power Mix'!RRV14+'NF - 5 Power Mix'!RRV15)*860/10)+((('Form Sa1'!RRY835)*860)/10)+('Form Sa1'!RRY814*'Form Sa1'!RRY816/10)-'NF - 5 Power Mix'!RRV21-'NF - 5 Power Mix'!RRV22</f>
        <v>0</v>
      </c>
      <c r="RRW42" s="1046">
        <f>RRW38+((RRW40+'NF - 5 Power Mix'!RRW14+'NF - 5 Power Mix'!RRW15)*860/10)+((('Form Sa1'!RRZ835)*860)/10)+('Form Sa1'!RRZ814*'Form Sa1'!RRZ816/10)-'NF - 5 Power Mix'!RRW21-'NF - 5 Power Mix'!RRW22</f>
        <v>0</v>
      </c>
      <c r="RRX42" s="1046">
        <f>RRX38+((RRX40+'NF - 5 Power Mix'!RRX14+'NF - 5 Power Mix'!RRX15)*860/10)+((('Form Sa1'!RSA835)*860)/10)+('Form Sa1'!RSA814*'Form Sa1'!RSA816/10)-'NF - 5 Power Mix'!RRX21-'NF - 5 Power Mix'!RRX22</f>
        <v>0</v>
      </c>
      <c r="RRY42" s="1046">
        <f>RRY38+((RRY40+'NF - 5 Power Mix'!RRY14+'NF - 5 Power Mix'!RRY15)*860/10)+((('Form Sa1'!RSB835)*860)/10)+('Form Sa1'!RSB814*'Form Sa1'!RSB816/10)-'NF - 5 Power Mix'!RRY21-'NF - 5 Power Mix'!RRY22</f>
        <v>0</v>
      </c>
      <c r="RRZ42" s="1046">
        <f>RRZ38+((RRZ40+'NF - 5 Power Mix'!RRZ14+'NF - 5 Power Mix'!RRZ15)*860/10)+((('Form Sa1'!RSC835)*860)/10)+('Form Sa1'!RSC814*'Form Sa1'!RSC816/10)-'NF - 5 Power Mix'!RRZ21-'NF - 5 Power Mix'!RRZ22</f>
        <v>0</v>
      </c>
      <c r="RSA42" s="1046">
        <f>RSA38+((RSA40+'NF - 5 Power Mix'!RSA14+'NF - 5 Power Mix'!RSA15)*860/10)+((('Form Sa1'!RSD835)*860)/10)+('Form Sa1'!RSD814*'Form Sa1'!RSD816/10)-'NF - 5 Power Mix'!RSA21-'NF - 5 Power Mix'!RSA22</f>
        <v>0</v>
      </c>
      <c r="RSB42" s="1046">
        <f>RSB38+((RSB40+'NF - 5 Power Mix'!RSB14+'NF - 5 Power Mix'!RSB15)*860/10)+((('Form Sa1'!RSE835)*860)/10)+('Form Sa1'!RSE814*'Form Sa1'!RSE816/10)-'NF - 5 Power Mix'!RSB21-'NF - 5 Power Mix'!RSB22</f>
        <v>0</v>
      </c>
      <c r="RSC42" s="1046">
        <f>RSC38+((RSC40+'NF - 5 Power Mix'!RSC14+'NF - 5 Power Mix'!RSC15)*860/10)+((('Form Sa1'!RSF835)*860)/10)+('Form Sa1'!RSF814*'Form Sa1'!RSF816/10)-'NF - 5 Power Mix'!RSC21-'NF - 5 Power Mix'!RSC22</f>
        <v>0</v>
      </c>
      <c r="RSD42" s="1046">
        <f>RSD38+((RSD40+'NF - 5 Power Mix'!RSD14+'NF - 5 Power Mix'!RSD15)*860/10)+((('Form Sa1'!RSG835)*860)/10)+('Form Sa1'!RSG814*'Form Sa1'!RSG816/10)-'NF - 5 Power Mix'!RSD21-'NF - 5 Power Mix'!RSD22</f>
        <v>0</v>
      </c>
      <c r="RSE42" s="1046">
        <f>RSE38+((RSE40+'NF - 5 Power Mix'!RSE14+'NF - 5 Power Mix'!RSE15)*860/10)+((('Form Sa1'!RSH835)*860)/10)+('Form Sa1'!RSH814*'Form Sa1'!RSH816/10)-'NF - 5 Power Mix'!RSE21-'NF - 5 Power Mix'!RSE22</f>
        <v>0</v>
      </c>
      <c r="RSF42" s="1046">
        <f>RSF38+((RSF40+'NF - 5 Power Mix'!RSF14+'NF - 5 Power Mix'!RSF15)*860/10)+((('Form Sa1'!RSI835)*860)/10)+('Form Sa1'!RSI814*'Form Sa1'!RSI816/10)-'NF - 5 Power Mix'!RSF21-'NF - 5 Power Mix'!RSF22</f>
        <v>0</v>
      </c>
      <c r="RSG42" s="1046">
        <f>RSG38+((RSG40+'NF - 5 Power Mix'!RSG14+'NF - 5 Power Mix'!RSG15)*860/10)+((('Form Sa1'!RSJ835)*860)/10)+('Form Sa1'!RSJ814*'Form Sa1'!RSJ816/10)-'NF - 5 Power Mix'!RSG21-'NF - 5 Power Mix'!RSG22</f>
        <v>0</v>
      </c>
      <c r="RSH42" s="1046">
        <f>RSH38+((RSH40+'NF - 5 Power Mix'!RSH14+'NF - 5 Power Mix'!RSH15)*860/10)+((('Form Sa1'!RSK835)*860)/10)+('Form Sa1'!RSK814*'Form Sa1'!RSK816/10)-'NF - 5 Power Mix'!RSH21-'NF - 5 Power Mix'!RSH22</f>
        <v>0</v>
      </c>
      <c r="RSI42" s="1046">
        <f>RSI38+((RSI40+'NF - 5 Power Mix'!RSI14+'NF - 5 Power Mix'!RSI15)*860/10)+((('Form Sa1'!RSL835)*860)/10)+('Form Sa1'!RSL814*'Form Sa1'!RSL816/10)-'NF - 5 Power Mix'!RSI21-'NF - 5 Power Mix'!RSI22</f>
        <v>0</v>
      </c>
      <c r="RSJ42" s="1046">
        <f>RSJ38+((RSJ40+'NF - 5 Power Mix'!RSJ14+'NF - 5 Power Mix'!RSJ15)*860/10)+((('Form Sa1'!RSM835)*860)/10)+('Form Sa1'!RSM814*'Form Sa1'!RSM816/10)-'NF - 5 Power Mix'!RSJ21-'NF - 5 Power Mix'!RSJ22</f>
        <v>0</v>
      </c>
      <c r="RSK42" s="1046">
        <f>RSK38+((RSK40+'NF - 5 Power Mix'!RSK14+'NF - 5 Power Mix'!RSK15)*860/10)+((('Form Sa1'!RSN835)*860)/10)+('Form Sa1'!RSN814*'Form Sa1'!RSN816/10)-'NF - 5 Power Mix'!RSK21-'NF - 5 Power Mix'!RSK22</f>
        <v>0</v>
      </c>
      <c r="RSL42" s="1046">
        <f>RSL38+((RSL40+'NF - 5 Power Mix'!RSL14+'NF - 5 Power Mix'!RSL15)*860/10)+((('Form Sa1'!RSO835)*860)/10)+('Form Sa1'!RSO814*'Form Sa1'!RSO816/10)-'NF - 5 Power Mix'!RSL21-'NF - 5 Power Mix'!RSL22</f>
        <v>0</v>
      </c>
      <c r="RSM42" s="1046">
        <f>RSM38+((RSM40+'NF - 5 Power Mix'!RSM14+'NF - 5 Power Mix'!RSM15)*860/10)+((('Form Sa1'!RSP835)*860)/10)+('Form Sa1'!RSP814*'Form Sa1'!RSP816/10)-'NF - 5 Power Mix'!RSM21-'NF - 5 Power Mix'!RSM22</f>
        <v>0</v>
      </c>
      <c r="RSN42" s="1046">
        <f>RSN38+((RSN40+'NF - 5 Power Mix'!RSN14+'NF - 5 Power Mix'!RSN15)*860/10)+((('Form Sa1'!RSQ835)*860)/10)+('Form Sa1'!RSQ814*'Form Sa1'!RSQ816/10)-'NF - 5 Power Mix'!RSN21-'NF - 5 Power Mix'!RSN22</f>
        <v>0</v>
      </c>
      <c r="RSO42" s="1046">
        <f>RSO38+((RSO40+'NF - 5 Power Mix'!RSO14+'NF - 5 Power Mix'!RSO15)*860/10)+((('Form Sa1'!RSR835)*860)/10)+('Form Sa1'!RSR814*'Form Sa1'!RSR816/10)-'NF - 5 Power Mix'!RSO21-'NF - 5 Power Mix'!RSO22</f>
        <v>0</v>
      </c>
      <c r="RSP42" s="1046">
        <f>RSP38+((RSP40+'NF - 5 Power Mix'!RSP14+'NF - 5 Power Mix'!RSP15)*860/10)+((('Form Sa1'!RSS835)*860)/10)+('Form Sa1'!RSS814*'Form Sa1'!RSS816/10)-'NF - 5 Power Mix'!RSP21-'NF - 5 Power Mix'!RSP22</f>
        <v>0</v>
      </c>
      <c r="RSQ42" s="1046">
        <f>RSQ38+((RSQ40+'NF - 5 Power Mix'!RSQ14+'NF - 5 Power Mix'!RSQ15)*860/10)+((('Form Sa1'!RST835)*860)/10)+('Form Sa1'!RST814*'Form Sa1'!RST816/10)-'NF - 5 Power Mix'!RSQ21-'NF - 5 Power Mix'!RSQ22</f>
        <v>0</v>
      </c>
      <c r="RSR42" s="1046">
        <f>RSR38+((RSR40+'NF - 5 Power Mix'!RSR14+'NF - 5 Power Mix'!RSR15)*860/10)+((('Form Sa1'!RSU835)*860)/10)+('Form Sa1'!RSU814*'Form Sa1'!RSU816/10)-'NF - 5 Power Mix'!RSR21-'NF - 5 Power Mix'!RSR22</f>
        <v>0</v>
      </c>
      <c r="RSS42" s="1046">
        <f>RSS38+((RSS40+'NF - 5 Power Mix'!RSS14+'NF - 5 Power Mix'!RSS15)*860/10)+((('Form Sa1'!RSV835)*860)/10)+('Form Sa1'!RSV814*'Form Sa1'!RSV816/10)-'NF - 5 Power Mix'!RSS21-'NF - 5 Power Mix'!RSS22</f>
        <v>0</v>
      </c>
      <c r="RST42" s="1046">
        <f>RST38+((RST40+'NF - 5 Power Mix'!RST14+'NF - 5 Power Mix'!RST15)*860/10)+((('Form Sa1'!RSW835)*860)/10)+('Form Sa1'!RSW814*'Form Sa1'!RSW816/10)-'NF - 5 Power Mix'!RST21-'NF - 5 Power Mix'!RST22</f>
        <v>0</v>
      </c>
      <c r="RSU42" s="1046">
        <f>RSU38+((RSU40+'NF - 5 Power Mix'!RSU14+'NF - 5 Power Mix'!RSU15)*860/10)+((('Form Sa1'!RSX835)*860)/10)+('Form Sa1'!RSX814*'Form Sa1'!RSX816/10)-'NF - 5 Power Mix'!RSU21-'NF - 5 Power Mix'!RSU22</f>
        <v>0</v>
      </c>
      <c r="RSV42" s="1046">
        <f>RSV38+((RSV40+'NF - 5 Power Mix'!RSV14+'NF - 5 Power Mix'!RSV15)*860/10)+((('Form Sa1'!RSY835)*860)/10)+('Form Sa1'!RSY814*'Form Sa1'!RSY816/10)-'NF - 5 Power Mix'!RSV21-'NF - 5 Power Mix'!RSV22</f>
        <v>0</v>
      </c>
      <c r="RSW42" s="1046">
        <f>RSW38+((RSW40+'NF - 5 Power Mix'!RSW14+'NF - 5 Power Mix'!RSW15)*860/10)+((('Form Sa1'!RSZ835)*860)/10)+('Form Sa1'!RSZ814*'Form Sa1'!RSZ816/10)-'NF - 5 Power Mix'!RSW21-'NF - 5 Power Mix'!RSW22</f>
        <v>0</v>
      </c>
      <c r="RSX42" s="1046">
        <f>RSX38+((RSX40+'NF - 5 Power Mix'!RSX14+'NF - 5 Power Mix'!RSX15)*860/10)+((('Form Sa1'!RTA835)*860)/10)+('Form Sa1'!RTA814*'Form Sa1'!RTA816/10)-'NF - 5 Power Mix'!RSX21-'NF - 5 Power Mix'!RSX22</f>
        <v>0</v>
      </c>
      <c r="RSY42" s="1046">
        <f>RSY38+((RSY40+'NF - 5 Power Mix'!RSY14+'NF - 5 Power Mix'!RSY15)*860/10)+((('Form Sa1'!RTB835)*860)/10)+('Form Sa1'!RTB814*'Form Sa1'!RTB816/10)-'NF - 5 Power Mix'!RSY21-'NF - 5 Power Mix'!RSY22</f>
        <v>0</v>
      </c>
      <c r="RSZ42" s="1046">
        <f>RSZ38+((RSZ40+'NF - 5 Power Mix'!RSZ14+'NF - 5 Power Mix'!RSZ15)*860/10)+((('Form Sa1'!RTC835)*860)/10)+('Form Sa1'!RTC814*'Form Sa1'!RTC816/10)-'NF - 5 Power Mix'!RSZ21-'NF - 5 Power Mix'!RSZ22</f>
        <v>0</v>
      </c>
      <c r="RTA42" s="1046">
        <f>RTA38+((RTA40+'NF - 5 Power Mix'!RTA14+'NF - 5 Power Mix'!RTA15)*860/10)+((('Form Sa1'!RTD835)*860)/10)+('Form Sa1'!RTD814*'Form Sa1'!RTD816/10)-'NF - 5 Power Mix'!RTA21-'NF - 5 Power Mix'!RTA22</f>
        <v>0</v>
      </c>
      <c r="RTB42" s="1046">
        <f>RTB38+((RTB40+'NF - 5 Power Mix'!RTB14+'NF - 5 Power Mix'!RTB15)*860/10)+((('Form Sa1'!RTE835)*860)/10)+('Form Sa1'!RTE814*'Form Sa1'!RTE816/10)-'NF - 5 Power Mix'!RTB21-'NF - 5 Power Mix'!RTB22</f>
        <v>0</v>
      </c>
      <c r="RTC42" s="1046">
        <f>RTC38+((RTC40+'NF - 5 Power Mix'!RTC14+'NF - 5 Power Mix'!RTC15)*860/10)+((('Form Sa1'!RTF835)*860)/10)+('Form Sa1'!RTF814*'Form Sa1'!RTF816/10)-'NF - 5 Power Mix'!RTC21-'NF - 5 Power Mix'!RTC22</f>
        <v>0</v>
      </c>
      <c r="RTD42" s="1046">
        <f>RTD38+((RTD40+'NF - 5 Power Mix'!RTD14+'NF - 5 Power Mix'!RTD15)*860/10)+((('Form Sa1'!RTG835)*860)/10)+('Form Sa1'!RTG814*'Form Sa1'!RTG816/10)-'NF - 5 Power Mix'!RTD21-'NF - 5 Power Mix'!RTD22</f>
        <v>0</v>
      </c>
      <c r="RTE42" s="1046">
        <f>RTE38+((RTE40+'NF - 5 Power Mix'!RTE14+'NF - 5 Power Mix'!RTE15)*860/10)+((('Form Sa1'!RTH835)*860)/10)+('Form Sa1'!RTH814*'Form Sa1'!RTH816/10)-'NF - 5 Power Mix'!RTE21-'NF - 5 Power Mix'!RTE22</f>
        <v>0</v>
      </c>
      <c r="RTF42" s="1046">
        <f>RTF38+((RTF40+'NF - 5 Power Mix'!RTF14+'NF - 5 Power Mix'!RTF15)*860/10)+((('Form Sa1'!RTI835)*860)/10)+('Form Sa1'!RTI814*'Form Sa1'!RTI816/10)-'NF - 5 Power Mix'!RTF21-'NF - 5 Power Mix'!RTF22</f>
        <v>0</v>
      </c>
      <c r="RTG42" s="1046">
        <f>RTG38+((RTG40+'NF - 5 Power Mix'!RTG14+'NF - 5 Power Mix'!RTG15)*860/10)+((('Form Sa1'!RTJ835)*860)/10)+('Form Sa1'!RTJ814*'Form Sa1'!RTJ816/10)-'NF - 5 Power Mix'!RTG21-'NF - 5 Power Mix'!RTG22</f>
        <v>0</v>
      </c>
      <c r="RTH42" s="1046">
        <f>RTH38+((RTH40+'NF - 5 Power Mix'!RTH14+'NF - 5 Power Mix'!RTH15)*860/10)+((('Form Sa1'!RTK835)*860)/10)+('Form Sa1'!RTK814*'Form Sa1'!RTK816/10)-'NF - 5 Power Mix'!RTH21-'NF - 5 Power Mix'!RTH22</f>
        <v>0</v>
      </c>
      <c r="RTI42" s="1046">
        <f>RTI38+((RTI40+'NF - 5 Power Mix'!RTI14+'NF - 5 Power Mix'!RTI15)*860/10)+((('Form Sa1'!RTL835)*860)/10)+('Form Sa1'!RTL814*'Form Sa1'!RTL816/10)-'NF - 5 Power Mix'!RTI21-'NF - 5 Power Mix'!RTI22</f>
        <v>0</v>
      </c>
      <c r="RTJ42" s="1046">
        <f>RTJ38+((RTJ40+'NF - 5 Power Mix'!RTJ14+'NF - 5 Power Mix'!RTJ15)*860/10)+((('Form Sa1'!RTM835)*860)/10)+('Form Sa1'!RTM814*'Form Sa1'!RTM816/10)-'NF - 5 Power Mix'!RTJ21-'NF - 5 Power Mix'!RTJ22</f>
        <v>0</v>
      </c>
      <c r="RTK42" s="1046">
        <f>RTK38+((RTK40+'NF - 5 Power Mix'!RTK14+'NF - 5 Power Mix'!RTK15)*860/10)+((('Form Sa1'!RTN835)*860)/10)+('Form Sa1'!RTN814*'Form Sa1'!RTN816/10)-'NF - 5 Power Mix'!RTK21-'NF - 5 Power Mix'!RTK22</f>
        <v>0</v>
      </c>
      <c r="RTL42" s="1046">
        <f>RTL38+((RTL40+'NF - 5 Power Mix'!RTL14+'NF - 5 Power Mix'!RTL15)*860/10)+((('Form Sa1'!RTO835)*860)/10)+('Form Sa1'!RTO814*'Form Sa1'!RTO816/10)-'NF - 5 Power Mix'!RTL21-'NF - 5 Power Mix'!RTL22</f>
        <v>0</v>
      </c>
      <c r="RTM42" s="1046">
        <f>RTM38+((RTM40+'NF - 5 Power Mix'!RTM14+'NF - 5 Power Mix'!RTM15)*860/10)+((('Form Sa1'!RTP835)*860)/10)+('Form Sa1'!RTP814*'Form Sa1'!RTP816/10)-'NF - 5 Power Mix'!RTM21-'NF - 5 Power Mix'!RTM22</f>
        <v>0</v>
      </c>
      <c r="RTN42" s="1046">
        <f>RTN38+((RTN40+'NF - 5 Power Mix'!RTN14+'NF - 5 Power Mix'!RTN15)*860/10)+((('Form Sa1'!RTQ835)*860)/10)+('Form Sa1'!RTQ814*'Form Sa1'!RTQ816/10)-'NF - 5 Power Mix'!RTN21-'NF - 5 Power Mix'!RTN22</f>
        <v>0</v>
      </c>
      <c r="RTO42" s="1046">
        <f>RTO38+((RTO40+'NF - 5 Power Mix'!RTO14+'NF - 5 Power Mix'!RTO15)*860/10)+((('Form Sa1'!RTR835)*860)/10)+('Form Sa1'!RTR814*'Form Sa1'!RTR816/10)-'NF - 5 Power Mix'!RTO21-'NF - 5 Power Mix'!RTO22</f>
        <v>0</v>
      </c>
      <c r="RTP42" s="1046">
        <f>RTP38+((RTP40+'NF - 5 Power Mix'!RTP14+'NF - 5 Power Mix'!RTP15)*860/10)+((('Form Sa1'!RTS835)*860)/10)+('Form Sa1'!RTS814*'Form Sa1'!RTS816/10)-'NF - 5 Power Mix'!RTP21-'NF - 5 Power Mix'!RTP22</f>
        <v>0</v>
      </c>
      <c r="RTQ42" s="1046">
        <f>RTQ38+((RTQ40+'NF - 5 Power Mix'!RTQ14+'NF - 5 Power Mix'!RTQ15)*860/10)+((('Form Sa1'!RTT835)*860)/10)+('Form Sa1'!RTT814*'Form Sa1'!RTT816/10)-'NF - 5 Power Mix'!RTQ21-'NF - 5 Power Mix'!RTQ22</f>
        <v>0</v>
      </c>
      <c r="RTR42" s="1046">
        <f>RTR38+((RTR40+'NF - 5 Power Mix'!RTR14+'NF - 5 Power Mix'!RTR15)*860/10)+((('Form Sa1'!RTU835)*860)/10)+('Form Sa1'!RTU814*'Form Sa1'!RTU816/10)-'NF - 5 Power Mix'!RTR21-'NF - 5 Power Mix'!RTR22</f>
        <v>0</v>
      </c>
      <c r="RTS42" s="1046">
        <f>RTS38+((RTS40+'NF - 5 Power Mix'!RTS14+'NF - 5 Power Mix'!RTS15)*860/10)+((('Form Sa1'!RTV835)*860)/10)+('Form Sa1'!RTV814*'Form Sa1'!RTV816/10)-'NF - 5 Power Mix'!RTS21-'NF - 5 Power Mix'!RTS22</f>
        <v>0</v>
      </c>
      <c r="RTT42" s="1046">
        <f>RTT38+((RTT40+'NF - 5 Power Mix'!RTT14+'NF - 5 Power Mix'!RTT15)*860/10)+((('Form Sa1'!RTW835)*860)/10)+('Form Sa1'!RTW814*'Form Sa1'!RTW816/10)-'NF - 5 Power Mix'!RTT21-'NF - 5 Power Mix'!RTT22</f>
        <v>0</v>
      </c>
      <c r="RTU42" s="1046">
        <f>RTU38+((RTU40+'NF - 5 Power Mix'!RTU14+'NF - 5 Power Mix'!RTU15)*860/10)+((('Form Sa1'!RTX835)*860)/10)+('Form Sa1'!RTX814*'Form Sa1'!RTX816/10)-'NF - 5 Power Mix'!RTU21-'NF - 5 Power Mix'!RTU22</f>
        <v>0</v>
      </c>
      <c r="RTV42" s="1046">
        <f>RTV38+((RTV40+'NF - 5 Power Mix'!RTV14+'NF - 5 Power Mix'!RTV15)*860/10)+((('Form Sa1'!RTY835)*860)/10)+('Form Sa1'!RTY814*'Form Sa1'!RTY816/10)-'NF - 5 Power Mix'!RTV21-'NF - 5 Power Mix'!RTV22</f>
        <v>0</v>
      </c>
      <c r="RTW42" s="1046">
        <f>RTW38+((RTW40+'NF - 5 Power Mix'!RTW14+'NF - 5 Power Mix'!RTW15)*860/10)+((('Form Sa1'!RTZ835)*860)/10)+('Form Sa1'!RTZ814*'Form Sa1'!RTZ816/10)-'NF - 5 Power Mix'!RTW21-'NF - 5 Power Mix'!RTW22</f>
        <v>0</v>
      </c>
      <c r="RTX42" s="1046">
        <f>RTX38+((RTX40+'NF - 5 Power Mix'!RTX14+'NF - 5 Power Mix'!RTX15)*860/10)+((('Form Sa1'!RUA835)*860)/10)+('Form Sa1'!RUA814*'Form Sa1'!RUA816/10)-'NF - 5 Power Mix'!RTX21-'NF - 5 Power Mix'!RTX22</f>
        <v>0</v>
      </c>
      <c r="RTY42" s="1046">
        <f>RTY38+((RTY40+'NF - 5 Power Mix'!RTY14+'NF - 5 Power Mix'!RTY15)*860/10)+((('Form Sa1'!RUB835)*860)/10)+('Form Sa1'!RUB814*'Form Sa1'!RUB816/10)-'NF - 5 Power Mix'!RTY21-'NF - 5 Power Mix'!RTY22</f>
        <v>0</v>
      </c>
      <c r="RTZ42" s="1046">
        <f>RTZ38+((RTZ40+'NF - 5 Power Mix'!RTZ14+'NF - 5 Power Mix'!RTZ15)*860/10)+((('Form Sa1'!RUC835)*860)/10)+('Form Sa1'!RUC814*'Form Sa1'!RUC816/10)-'NF - 5 Power Mix'!RTZ21-'NF - 5 Power Mix'!RTZ22</f>
        <v>0</v>
      </c>
      <c r="RUA42" s="1046">
        <f>RUA38+((RUA40+'NF - 5 Power Mix'!RUA14+'NF - 5 Power Mix'!RUA15)*860/10)+((('Form Sa1'!RUD835)*860)/10)+('Form Sa1'!RUD814*'Form Sa1'!RUD816/10)-'NF - 5 Power Mix'!RUA21-'NF - 5 Power Mix'!RUA22</f>
        <v>0</v>
      </c>
      <c r="RUB42" s="1046">
        <f>RUB38+((RUB40+'NF - 5 Power Mix'!RUB14+'NF - 5 Power Mix'!RUB15)*860/10)+((('Form Sa1'!RUE835)*860)/10)+('Form Sa1'!RUE814*'Form Sa1'!RUE816/10)-'NF - 5 Power Mix'!RUB21-'NF - 5 Power Mix'!RUB22</f>
        <v>0</v>
      </c>
      <c r="RUC42" s="1046">
        <f>RUC38+((RUC40+'NF - 5 Power Mix'!RUC14+'NF - 5 Power Mix'!RUC15)*860/10)+((('Form Sa1'!RUF835)*860)/10)+('Form Sa1'!RUF814*'Form Sa1'!RUF816/10)-'NF - 5 Power Mix'!RUC21-'NF - 5 Power Mix'!RUC22</f>
        <v>0</v>
      </c>
      <c r="RUD42" s="1046">
        <f>RUD38+((RUD40+'NF - 5 Power Mix'!RUD14+'NF - 5 Power Mix'!RUD15)*860/10)+((('Form Sa1'!RUG835)*860)/10)+('Form Sa1'!RUG814*'Form Sa1'!RUG816/10)-'NF - 5 Power Mix'!RUD21-'NF - 5 Power Mix'!RUD22</f>
        <v>0</v>
      </c>
      <c r="RUE42" s="1046">
        <f>RUE38+((RUE40+'NF - 5 Power Mix'!RUE14+'NF - 5 Power Mix'!RUE15)*860/10)+((('Form Sa1'!RUH835)*860)/10)+('Form Sa1'!RUH814*'Form Sa1'!RUH816/10)-'NF - 5 Power Mix'!RUE21-'NF - 5 Power Mix'!RUE22</f>
        <v>0</v>
      </c>
      <c r="RUF42" s="1046">
        <f>RUF38+((RUF40+'NF - 5 Power Mix'!RUF14+'NF - 5 Power Mix'!RUF15)*860/10)+((('Form Sa1'!RUI835)*860)/10)+('Form Sa1'!RUI814*'Form Sa1'!RUI816/10)-'NF - 5 Power Mix'!RUF21-'NF - 5 Power Mix'!RUF22</f>
        <v>0</v>
      </c>
      <c r="RUG42" s="1046">
        <f>RUG38+((RUG40+'NF - 5 Power Mix'!RUG14+'NF - 5 Power Mix'!RUG15)*860/10)+((('Form Sa1'!RUJ835)*860)/10)+('Form Sa1'!RUJ814*'Form Sa1'!RUJ816/10)-'NF - 5 Power Mix'!RUG21-'NF - 5 Power Mix'!RUG22</f>
        <v>0</v>
      </c>
      <c r="RUH42" s="1046">
        <f>RUH38+((RUH40+'NF - 5 Power Mix'!RUH14+'NF - 5 Power Mix'!RUH15)*860/10)+((('Form Sa1'!RUK835)*860)/10)+('Form Sa1'!RUK814*'Form Sa1'!RUK816/10)-'NF - 5 Power Mix'!RUH21-'NF - 5 Power Mix'!RUH22</f>
        <v>0</v>
      </c>
      <c r="RUI42" s="1046">
        <f>RUI38+((RUI40+'NF - 5 Power Mix'!RUI14+'NF - 5 Power Mix'!RUI15)*860/10)+((('Form Sa1'!RUL835)*860)/10)+('Form Sa1'!RUL814*'Form Sa1'!RUL816/10)-'NF - 5 Power Mix'!RUI21-'NF - 5 Power Mix'!RUI22</f>
        <v>0</v>
      </c>
      <c r="RUJ42" s="1046">
        <f>RUJ38+((RUJ40+'NF - 5 Power Mix'!RUJ14+'NF - 5 Power Mix'!RUJ15)*860/10)+((('Form Sa1'!RUM835)*860)/10)+('Form Sa1'!RUM814*'Form Sa1'!RUM816/10)-'NF - 5 Power Mix'!RUJ21-'NF - 5 Power Mix'!RUJ22</f>
        <v>0</v>
      </c>
      <c r="RUK42" s="1046">
        <f>RUK38+((RUK40+'NF - 5 Power Mix'!RUK14+'NF - 5 Power Mix'!RUK15)*860/10)+((('Form Sa1'!RUN835)*860)/10)+('Form Sa1'!RUN814*'Form Sa1'!RUN816/10)-'NF - 5 Power Mix'!RUK21-'NF - 5 Power Mix'!RUK22</f>
        <v>0</v>
      </c>
      <c r="RUL42" s="1046">
        <f>RUL38+((RUL40+'NF - 5 Power Mix'!RUL14+'NF - 5 Power Mix'!RUL15)*860/10)+((('Form Sa1'!RUO835)*860)/10)+('Form Sa1'!RUO814*'Form Sa1'!RUO816/10)-'NF - 5 Power Mix'!RUL21-'NF - 5 Power Mix'!RUL22</f>
        <v>0</v>
      </c>
      <c r="RUM42" s="1046">
        <f>RUM38+((RUM40+'NF - 5 Power Mix'!RUM14+'NF - 5 Power Mix'!RUM15)*860/10)+((('Form Sa1'!RUP835)*860)/10)+('Form Sa1'!RUP814*'Form Sa1'!RUP816/10)-'NF - 5 Power Mix'!RUM21-'NF - 5 Power Mix'!RUM22</f>
        <v>0</v>
      </c>
      <c r="RUN42" s="1046">
        <f>RUN38+((RUN40+'NF - 5 Power Mix'!RUN14+'NF - 5 Power Mix'!RUN15)*860/10)+((('Form Sa1'!RUQ835)*860)/10)+('Form Sa1'!RUQ814*'Form Sa1'!RUQ816/10)-'NF - 5 Power Mix'!RUN21-'NF - 5 Power Mix'!RUN22</f>
        <v>0</v>
      </c>
      <c r="RUO42" s="1046">
        <f>RUO38+((RUO40+'NF - 5 Power Mix'!RUO14+'NF - 5 Power Mix'!RUO15)*860/10)+((('Form Sa1'!RUR835)*860)/10)+('Form Sa1'!RUR814*'Form Sa1'!RUR816/10)-'NF - 5 Power Mix'!RUO21-'NF - 5 Power Mix'!RUO22</f>
        <v>0</v>
      </c>
      <c r="RUP42" s="1046">
        <f>RUP38+((RUP40+'NF - 5 Power Mix'!RUP14+'NF - 5 Power Mix'!RUP15)*860/10)+((('Form Sa1'!RUS835)*860)/10)+('Form Sa1'!RUS814*'Form Sa1'!RUS816/10)-'NF - 5 Power Mix'!RUP21-'NF - 5 Power Mix'!RUP22</f>
        <v>0</v>
      </c>
      <c r="RUQ42" s="1046">
        <f>RUQ38+((RUQ40+'NF - 5 Power Mix'!RUQ14+'NF - 5 Power Mix'!RUQ15)*860/10)+((('Form Sa1'!RUT835)*860)/10)+('Form Sa1'!RUT814*'Form Sa1'!RUT816/10)-'NF - 5 Power Mix'!RUQ21-'NF - 5 Power Mix'!RUQ22</f>
        <v>0</v>
      </c>
      <c r="RUR42" s="1046">
        <f>RUR38+((RUR40+'NF - 5 Power Mix'!RUR14+'NF - 5 Power Mix'!RUR15)*860/10)+((('Form Sa1'!RUU835)*860)/10)+('Form Sa1'!RUU814*'Form Sa1'!RUU816/10)-'NF - 5 Power Mix'!RUR21-'NF - 5 Power Mix'!RUR22</f>
        <v>0</v>
      </c>
      <c r="RUS42" s="1046">
        <f>RUS38+((RUS40+'NF - 5 Power Mix'!RUS14+'NF - 5 Power Mix'!RUS15)*860/10)+((('Form Sa1'!RUV835)*860)/10)+('Form Sa1'!RUV814*'Form Sa1'!RUV816/10)-'NF - 5 Power Mix'!RUS21-'NF - 5 Power Mix'!RUS22</f>
        <v>0</v>
      </c>
      <c r="RUT42" s="1046">
        <f>RUT38+((RUT40+'NF - 5 Power Mix'!RUT14+'NF - 5 Power Mix'!RUT15)*860/10)+((('Form Sa1'!RUW835)*860)/10)+('Form Sa1'!RUW814*'Form Sa1'!RUW816/10)-'NF - 5 Power Mix'!RUT21-'NF - 5 Power Mix'!RUT22</f>
        <v>0</v>
      </c>
      <c r="RUU42" s="1046">
        <f>RUU38+((RUU40+'NF - 5 Power Mix'!RUU14+'NF - 5 Power Mix'!RUU15)*860/10)+((('Form Sa1'!RUX835)*860)/10)+('Form Sa1'!RUX814*'Form Sa1'!RUX816/10)-'NF - 5 Power Mix'!RUU21-'NF - 5 Power Mix'!RUU22</f>
        <v>0</v>
      </c>
      <c r="RUV42" s="1046">
        <f>RUV38+((RUV40+'NF - 5 Power Mix'!RUV14+'NF - 5 Power Mix'!RUV15)*860/10)+((('Form Sa1'!RUY835)*860)/10)+('Form Sa1'!RUY814*'Form Sa1'!RUY816/10)-'NF - 5 Power Mix'!RUV21-'NF - 5 Power Mix'!RUV22</f>
        <v>0</v>
      </c>
      <c r="RUW42" s="1046">
        <f>RUW38+((RUW40+'NF - 5 Power Mix'!RUW14+'NF - 5 Power Mix'!RUW15)*860/10)+((('Form Sa1'!RUZ835)*860)/10)+('Form Sa1'!RUZ814*'Form Sa1'!RUZ816/10)-'NF - 5 Power Mix'!RUW21-'NF - 5 Power Mix'!RUW22</f>
        <v>0</v>
      </c>
      <c r="RUX42" s="1046">
        <f>RUX38+((RUX40+'NF - 5 Power Mix'!RUX14+'NF - 5 Power Mix'!RUX15)*860/10)+((('Form Sa1'!RVA835)*860)/10)+('Form Sa1'!RVA814*'Form Sa1'!RVA816/10)-'NF - 5 Power Mix'!RUX21-'NF - 5 Power Mix'!RUX22</f>
        <v>0</v>
      </c>
      <c r="RUY42" s="1046">
        <f>RUY38+((RUY40+'NF - 5 Power Mix'!RUY14+'NF - 5 Power Mix'!RUY15)*860/10)+((('Form Sa1'!RVB835)*860)/10)+('Form Sa1'!RVB814*'Form Sa1'!RVB816/10)-'NF - 5 Power Mix'!RUY21-'NF - 5 Power Mix'!RUY22</f>
        <v>0</v>
      </c>
      <c r="RUZ42" s="1046">
        <f>RUZ38+((RUZ40+'NF - 5 Power Mix'!RUZ14+'NF - 5 Power Mix'!RUZ15)*860/10)+((('Form Sa1'!RVC835)*860)/10)+('Form Sa1'!RVC814*'Form Sa1'!RVC816/10)-'NF - 5 Power Mix'!RUZ21-'NF - 5 Power Mix'!RUZ22</f>
        <v>0</v>
      </c>
      <c r="RVA42" s="1046">
        <f>RVA38+((RVA40+'NF - 5 Power Mix'!RVA14+'NF - 5 Power Mix'!RVA15)*860/10)+((('Form Sa1'!RVD835)*860)/10)+('Form Sa1'!RVD814*'Form Sa1'!RVD816/10)-'NF - 5 Power Mix'!RVA21-'NF - 5 Power Mix'!RVA22</f>
        <v>0</v>
      </c>
      <c r="RVB42" s="1046">
        <f>RVB38+((RVB40+'NF - 5 Power Mix'!RVB14+'NF - 5 Power Mix'!RVB15)*860/10)+((('Form Sa1'!RVE835)*860)/10)+('Form Sa1'!RVE814*'Form Sa1'!RVE816/10)-'NF - 5 Power Mix'!RVB21-'NF - 5 Power Mix'!RVB22</f>
        <v>0</v>
      </c>
      <c r="RVC42" s="1046">
        <f>RVC38+((RVC40+'NF - 5 Power Mix'!RVC14+'NF - 5 Power Mix'!RVC15)*860/10)+((('Form Sa1'!RVF835)*860)/10)+('Form Sa1'!RVF814*'Form Sa1'!RVF816/10)-'NF - 5 Power Mix'!RVC21-'NF - 5 Power Mix'!RVC22</f>
        <v>0</v>
      </c>
      <c r="RVD42" s="1046">
        <f>RVD38+((RVD40+'NF - 5 Power Mix'!RVD14+'NF - 5 Power Mix'!RVD15)*860/10)+((('Form Sa1'!RVG835)*860)/10)+('Form Sa1'!RVG814*'Form Sa1'!RVG816/10)-'NF - 5 Power Mix'!RVD21-'NF - 5 Power Mix'!RVD22</f>
        <v>0</v>
      </c>
      <c r="RVE42" s="1046">
        <f>RVE38+((RVE40+'NF - 5 Power Mix'!RVE14+'NF - 5 Power Mix'!RVE15)*860/10)+((('Form Sa1'!RVH835)*860)/10)+('Form Sa1'!RVH814*'Form Sa1'!RVH816/10)-'NF - 5 Power Mix'!RVE21-'NF - 5 Power Mix'!RVE22</f>
        <v>0</v>
      </c>
      <c r="RVF42" s="1046">
        <f>RVF38+((RVF40+'NF - 5 Power Mix'!RVF14+'NF - 5 Power Mix'!RVF15)*860/10)+((('Form Sa1'!RVI835)*860)/10)+('Form Sa1'!RVI814*'Form Sa1'!RVI816/10)-'NF - 5 Power Mix'!RVF21-'NF - 5 Power Mix'!RVF22</f>
        <v>0</v>
      </c>
      <c r="RVG42" s="1046">
        <f>RVG38+((RVG40+'NF - 5 Power Mix'!RVG14+'NF - 5 Power Mix'!RVG15)*860/10)+((('Form Sa1'!RVJ835)*860)/10)+('Form Sa1'!RVJ814*'Form Sa1'!RVJ816/10)-'NF - 5 Power Mix'!RVG21-'NF - 5 Power Mix'!RVG22</f>
        <v>0</v>
      </c>
      <c r="RVH42" s="1046">
        <f>RVH38+((RVH40+'NF - 5 Power Mix'!RVH14+'NF - 5 Power Mix'!RVH15)*860/10)+((('Form Sa1'!RVK835)*860)/10)+('Form Sa1'!RVK814*'Form Sa1'!RVK816/10)-'NF - 5 Power Mix'!RVH21-'NF - 5 Power Mix'!RVH22</f>
        <v>0</v>
      </c>
      <c r="RVI42" s="1046">
        <f>RVI38+((RVI40+'NF - 5 Power Mix'!RVI14+'NF - 5 Power Mix'!RVI15)*860/10)+((('Form Sa1'!RVL835)*860)/10)+('Form Sa1'!RVL814*'Form Sa1'!RVL816/10)-'NF - 5 Power Mix'!RVI21-'NF - 5 Power Mix'!RVI22</f>
        <v>0</v>
      </c>
      <c r="RVJ42" s="1046">
        <f>RVJ38+((RVJ40+'NF - 5 Power Mix'!RVJ14+'NF - 5 Power Mix'!RVJ15)*860/10)+((('Form Sa1'!RVM835)*860)/10)+('Form Sa1'!RVM814*'Form Sa1'!RVM816/10)-'NF - 5 Power Mix'!RVJ21-'NF - 5 Power Mix'!RVJ22</f>
        <v>0</v>
      </c>
      <c r="RVK42" s="1046">
        <f>RVK38+((RVK40+'NF - 5 Power Mix'!RVK14+'NF - 5 Power Mix'!RVK15)*860/10)+((('Form Sa1'!RVN835)*860)/10)+('Form Sa1'!RVN814*'Form Sa1'!RVN816/10)-'NF - 5 Power Mix'!RVK21-'NF - 5 Power Mix'!RVK22</f>
        <v>0</v>
      </c>
      <c r="RVL42" s="1046">
        <f>RVL38+((RVL40+'NF - 5 Power Mix'!RVL14+'NF - 5 Power Mix'!RVL15)*860/10)+((('Form Sa1'!RVO835)*860)/10)+('Form Sa1'!RVO814*'Form Sa1'!RVO816/10)-'NF - 5 Power Mix'!RVL21-'NF - 5 Power Mix'!RVL22</f>
        <v>0</v>
      </c>
      <c r="RVM42" s="1046">
        <f>RVM38+((RVM40+'NF - 5 Power Mix'!RVM14+'NF - 5 Power Mix'!RVM15)*860/10)+((('Form Sa1'!RVP835)*860)/10)+('Form Sa1'!RVP814*'Form Sa1'!RVP816/10)-'NF - 5 Power Mix'!RVM21-'NF - 5 Power Mix'!RVM22</f>
        <v>0</v>
      </c>
      <c r="RVN42" s="1046">
        <f>RVN38+((RVN40+'NF - 5 Power Mix'!RVN14+'NF - 5 Power Mix'!RVN15)*860/10)+((('Form Sa1'!RVQ835)*860)/10)+('Form Sa1'!RVQ814*'Form Sa1'!RVQ816/10)-'NF - 5 Power Mix'!RVN21-'NF - 5 Power Mix'!RVN22</f>
        <v>0</v>
      </c>
      <c r="RVO42" s="1046">
        <f>RVO38+((RVO40+'NF - 5 Power Mix'!RVO14+'NF - 5 Power Mix'!RVO15)*860/10)+((('Form Sa1'!RVR835)*860)/10)+('Form Sa1'!RVR814*'Form Sa1'!RVR816/10)-'NF - 5 Power Mix'!RVO21-'NF - 5 Power Mix'!RVO22</f>
        <v>0</v>
      </c>
      <c r="RVP42" s="1046">
        <f>RVP38+((RVP40+'NF - 5 Power Mix'!RVP14+'NF - 5 Power Mix'!RVP15)*860/10)+((('Form Sa1'!RVS835)*860)/10)+('Form Sa1'!RVS814*'Form Sa1'!RVS816/10)-'NF - 5 Power Mix'!RVP21-'NF - 5 Power Mix'!RVP22</f>
        <v>0</v>
      </c>
      <c r="RVQ42" s="1046">
        <f>RVQ38+((RVQ40+'NF - 5 Power Mix'!RVQ14+'NF - 5 Power Mix'!RVQ15)*860/10)+((('Form Sa1'!RVT835)*860)/10)+('Form Sa1'!RVT814*'Form Sa1'!RVT816/10)-'NF - 5 Power Mix'!RVQ21-'NF - 5 Power Mix'!RVQ22</f>
        <v>0</v>
      </c>
      <c r="RVR42" s="1046">
        <f>RVR38+((RVR40+'NF - 5 Power Mix'!RVR14+'NF - 5 Power Mix'!RVR15)*860/10)+((('Form Sa1'!RVU835)*860)/10)+('Form Sa1'!RVU814*'Form Sa1'!RVU816/10)-'NF - 5 Power Mix'!RVR21-'NF - 5 Power Mix'!RVR22</f>
        <v>0</v>
      </c>
      <c r="RVS42" s="1046">
        <f>RVS38+((RVS40+'NF - 5 Power Mix'!RVS14+'NF - 5 Power Mix'!RVS15)*860/10)+((('Form Sa1'!RVV835)*860)/10)+('Form Sa1'!RVV814*'Form Sa1'!RVV816/10)-'NF - 5 Power Mix'!RVS21-'NF - 5 Power Mix'!RVS22</f>
        <v>0</v>
      </c>
      <c r="RVT42" s="1046">
        <f>RVT38+((RVT40+'NF - 5 Power Mix'!RVT14+'NF - 5 Power Mix'!RVT15)*860/10)+((('Form Sa1'!RVW835)*860)/10)+('Form Sa1'!RVW814*'Form Sa1'!RVW816/10)-'NF - 5 Power Mix'!RVT21-'NF - 5 Power Mix'!RVT22</f>
        <v>0</v>
      </c>
      <c r="RVU42" s="1046">
        <f>RVU38+((RVU40+'NF - 5 Power Mix'!RVU14+'NF - 5 Power Mix'!RVU15)*860/10)+((('Form Sa1'!RVX835)*860)/10)+('Form Sa1'!RVX814*'Form Sa1'!RVX816/10)-'NF - 5 Power Mix'!RVU21-'NF - 5 Power Mix'!RVU22</f>
        <v>0</v>
      </c>
      <c r="RVV42" s="1046">
        <f>RVV38+((RVV40+'NF - 5 Power Mix'!RVV14+'NF - 5 Power Mix'!RVV15)*860/10)+((('Form Sa1'!RVY835)*860)/10)+('Form Sa1'!RVY814*'Form Sa1'!RVY816/10)-'NF - 5 Power Mix'!RVV21-'NF - 5 Power Mix'!RVV22</f>
        <v>0</v>
      </c>
      <c r="RVW42" s="1046">
        <f>RVW38+((RVW40+'NF - 5 Power Mix'!RVW14+'NF - 5 Power Mix'!RVW15)*860/10)+((('Form Sa1'!RVZ835)*860)/10)+('Form Sa1'!RVZ814*'Form Sa1'!RVZ816/10)-'NF - 5 Power Mix'!RVW21-'NF - 5 Power Mix'!RVW22</f>
        <v>0</v>
      </c>
      <c r="RVX42" s="1046">
        <f>RVX38+((RVX40+'NF - 5 Power Mix'!RVX14+'NF - 5 Power Mix'!RVX15)*860/10)+((('Form Sa1'!RWA835)*860)/10)+('Form Sa1'!RWA814*'Form Sa1'!RWA816/10)-'NF - 5 Power Mix'!RVX21-'NF - 5 Power Mix'!RVX22</f>
        <v>0</v>
      </c>
      <c r="RVY42" s="1046">
        <f>RVY38+((RVY40+'NF - 5 Power Mix'!RVY14+'NF - 5 Power Mix'!RVY15)*860/10)+((('Form Sa1'!RWB835)*860)/10)+('Form Sa1'!RWB814*'Form Sa1'!RWB816/10)-'NF - 5 Power Mix'!RVY21-'NF - 5 Power Mix'!RVY22</f>
        <v>0</v>
      </c>
      <c r="RVZ42" s="1046">
        <f>RVZ38+((RVZ40+'NF - 5 Power Mix'!RVZ14+'NF - 5 Power Mix'!RVZ15)*860/10)+((('Form Sa1'!RWC835)*860)/10)+('Form Sa1'!RWC814*'Form Sa1'!RWC816/10)-'NF - 5 Power Mix'!RVZ21-'NF - 5 Power Mix'!RVZ22</f>
        <v>0</v>
      </c>
      <c r="RWA42" s="1046">
        <f>RWA38+((RWA40+'NF - 5 Power Mix'!RWA14+'NF - 5 Power Mix'!RWA15)*860/10)+((('Form Sa1'!RWD835)*860)/10)+('Form Sa1'!RWD814*'Form Sa1'!RWD816/10)-'NF - 5 Power Mix'!RWA21-'NF - 5 Power Mix'!RWA22</f>
        <v>0</v>
      </c>
      <c r="RWB42" s="1046">
        <f>RWB38+((RWB40+'NF - 5 Power Mix'!RWB14+'NF - 5 Power Mix'!RWB15)*860/10)+((('Form Sa1'!RWE835)*860)/10)+('Form Sa1'!RWE814*'Form Sa1'!RWE816/10)-'NF - 5 Power Mix'!RWB21-'NF - 5 Power Mix'!RWB22</f>
        <v>0</v>
      </c>
      <c r="RWC42" s="1046">
        <f>RWC38+((RWC40+'NF - 5 Power Mix'!RWC14+'NF - 5 Power Mix'!RWC15)*860/10)+((('Form Sa1'!RWF835)*860)/10)+('Form Sa1'!RWF814*'Form Sa1'!RWF816/10)-'NF - 5 Power Mix'!RWC21-'NF - 5 Power Mix'!RWC22</f>
        <v>0</v>
      </c>
      <c r="RWD42" s="1046">
        <f>RWD38+((RWD40+'NF - 5 Power Mix'!RWD14+'NF - 5 Power Mix'!RWD15)*860/10)+((('Form Sa1'!RWG835)*860)/10)+('Form Sa1'!RWG814*'Form Sa1'!RWG816/10)-'NF - 5 Power Mix'!RWD21-'NF - 5 Power Mix'!RWD22</f>
        <v>0</v>
      </c>
      <c r="RWE42" s="1046">
        <f>RWE38+((RWE40+'NF - 5 Power Mix'!RWE14+'NF - 5 Power Mix'!RWE15)*860/10)+((('Form Sa1'!RWH835)*860)/10)+('Form Sa1'!RWH814*'Form Sa1'!RWH816/10)-'NF - 5 Power Mix'!RWE21-'NF - 5 Power Mix'!RWE22</f>
        <v>0</v>
      </c>
      <c r="RWF42" s="1046">
        <f>RWF38+((RWF40+'NF - 5 Power Mix'!RWF14+'NF - 5 Power Mix'!RWF15)*860/10)+((('Form Sa1'!RWI835)*860)/10)+('Form Sa1'!RWI814*'Form Sa1'!RWI816/10)-'NF - 5 Power Mix'!RWF21-'NF - 5 Power Mix'!RWF22</f>
        <v>0</v>
      </c>
      <c r="RWG42" s="1046">
        <f>RWG38+((RWG40+'NF - 5 Power Mix'!RWG14+'NF - 5 Power Mix'!RWG15)*860/10)+((('Form Sa1'!RWJ835)*860)/10)+('Form Sa1'!RWJ814*'Form Sa1'!RWJ816/10)-'NF - 5 Power Mix'!RWG21-'NF - 5 Power Mix'!RWG22</f>
        <v>0</v>
      </c>
      <c r="RWH42" s="1046">
        <f>RWH38+((RWH40+'NF - 5 Power Mix'!RWH14+'NF - 5 Power Mix'!RWH15)*860/10)+((('Form Sa1'!RWK835)*860)/10)+('Form Sa1'!RWK814*'Form Sa1'!RWK816/10)-'NF - 5 Power Mix'!RWH21-'NF - 5 Power Mix'!RWH22</f>
        <v>0</v>
      </c>
      <c r="RWI42" s="1046">
        <f>RWI38+((RWI40+'NF - 5 Power Mix'!RWI14+'NF - 5 Power Mix'!RWI15)*860/10)+((('Form Sa1'!RWL835)*860)/10)+('Form Sa1'!RWL814*'Form Sa1'!RWL816/10)-'NF - 5 Power Mix'!RWI21-'NF - 5 Power Mix'!RWI22</f>
        <v>0</v>
      </c>
      <c r="RWJ42" s="1046">
        <f>RWJ38+((RWJ40+'NF - 5 Power Mix'!RWJ14+'NF - 5 Power Mix'!RWJ15)*860/10)+((('Form Sa1'!RWM835)*860)/10)+('Form Sa1'!RWM814*'Form Sa1'!RWM816/10)-'NF - 5 Power Mix'!RWJ21-'NF - 5 Power Mix'!RWJ22</f>
        <v>0</v>
      </c>
      <c r="RWK42" s="1046">
        <f>RWK38+((RWK40+'NF - 5 Power Mix'!RWK14+'NF - 5 Power Mix'!RWK15)*860/10)+((('Form Sa1'!RWN835)*860)/10)+('Form Sa1'!RWN814*'Form Sa1'!RWN816/10)-'NF - 5 Power Mix'!RWK21-'NF - 5 Power Mix'!RWK22</f>
        <v>0</v>
      </c>
      <c r="RWL42" s="1046">
        <f>RWL38+((RWL40+'NF - 5 Power Mix'!RWL14+'NF - 5 Power Mix'!RWL15)*860/10)+((('Form Sa1'!RWO835)*860)/10)+('Form Sa1'!RWO814*'Form Sa1'!RWO816/10)-'NF - 5 Power Mix'!RWL21-'NF - 5 Power Mix'!RWL22</f>
        <v>0</v>
      </c>
      <c r="RWM42" s="1046">
        <f>RWM38+((RWM40+'NF - 5 Power Mix'!RWM14+'NF - 5 Power Mix'!RWM15)*860/10)+((('Form Sa1'!RWP835)*860)/10)+('Form Sa1'!RWP814*'Form Sa1'!RWP816/10)-'NF - 5 Power Mix'!RWM21-'NF - 5 Power Mix'!RWM22</f>
        <v>0</v>
      </c>
      <c r="RWN42" s="1046">
        <f>RWN38+((RWN40+'NF - 5 Power Mix'!RWN14+'NF - 5 Power Mix'!RWN15)*860/10)+((('Form Sa1'!RWQ835)*860)/10)+('Form Sa1'!RWQ814*'Form Sa1'!RWQ816/10)-'NF - 5 Power Mix'!RWN21-'NF - 5 Power Mix'!RWN22</f>
        <v>0</v>
      </c>
      <c r="RWO42" s="1046">
        <f>RWO38+((RWO40+'NF - 5 Power Mix'!RWO14+'NF - 5 Power Mix'!RWO15)*860/10)+((('Form Sa1'!RWR835)*860)/10)+('Form Sa1'!RWR814*'Form Sa1'!RWR816/10)-'NF - 5 Power Mix'!RWO21-'NF - 5 Power Mix'!RWO22</f>
        <v>0</v>
      </c>
      <c r="RWP42" s="1046">
        <f>RWP38+((RWP40+'NF - 5 Power Mix'!RWP14+'NF - 5 Power Mix'!RWP15)*860/10)+((('Form Sa1'!RWS835)*860)/10)+('Form Sa1'!RWS814*'Form Sa1'!RWS816/10)-'NF - 5 Power Mix'!RWP21-'NF - 5 Power Mix'!RWP22</f>
        <v>0</v>
      </c>
      <c r="RWQ42" s="1046">
        <f>RWQ38+((RWQ40+'NF - 5 Power Mix'!RWQ14+'NF - 5 Power Mix'!RWQ15)*860/10)+((('Form Sa1'!RWT835)*860)/10)+('Form Sa1'!RWT814*'Form Sa1'!RWT816/10)-'NF - 5 Power Mix'!RWQ21-'NF - 5 Power Mix'!RWQ22</f>
        <v>0</v>
      </c>
      <c r="RWR42" s="1046">
        <f>RWR38+((RWR40+'NF - 5 Power Mix'!RWR14+'NF - 5 Power Mix'!RWR15)*860/10)+((('Form Sa1'!RWU835)*860)/10)+('Form Sa1'!RWU814*'Form Sa1'!RWU816/10)-'NF - 5 Power Mix'!RWR21-'NF - 5 Power Mix'!RWR22</f>
        <v>0</v>
      </c>
      <c r="RWS42" s="1046">
        <f>RWS38+((RWS40+'NF - 5 Power Mix'!RWS14+'NF - 5 Power Mix'!RWS15)*860/10)+((('Form Sa1'!RWV835)*860)/10)+('Form Sa1'!RWV814*'Form Sa1'!RWV816/10)-'NF - 5 Power Mix'!RWS21-'NF - 5 Power Mix'!RWS22</f>
        <v>0</v>
      </c>
      <c r="RWT42" s="1046">
        <f>RWT38+((RWT40+'NF - 5 Power Mix'!RWT14+'NF - 5 Power Mix'!RWT15)*860/10)+((('Form Sa1'!RWW835)*860)/10)+('Form Sa1'!RWW814*'Form Sa1'!RWW816/10)-'NF - 5 Power Mix'!RWT21-'NF - 5 Power Mix'!RWT22</f>
        <v>0</v>
      </c>
      <c r="RWU42" s="1046">
        <f>RWU38+((RWU40+'NF - 5 Power Mix'!RWU14+'NF - 5 Power Mix'!RWU15)*860/10)+((('Form Sa1'!RWX835)*860)/10)+('Form Sa1'!RWX814*'Form Sa1'!RWX816/10)-'NF - 5 Power Mix'!RWU21-'NF - 5 Power Mix'!RWU22</f>
        <v>0</v>
      </c>
      <c r="RWV42" s="1046">
        <f>RWV38+((RWV40+'NF - 5 Power Mix'!RWV14+'NF - 5 Power Mix'!RWV15)*860/10)+((('Form Sa1'!RWY835)*860)/10)+('Form Sa1'!RWY814*'Form Sa1'!RWY816/10)-'NF - 5 Power Mix'!RWV21-'NF - 5 Power Mix'!RWV22</f>
        <v>0</v>
      </c>
      <c r="RWW42" s="1046">
        <f>RWW38+((RWW40+'NF - 5 Power Mix'!RWW14+'NF - 5 Power Mix'!RWW15)*860/10)+((('Form Sa1'!RWZ835)*860)/10)+('Form Sa1'!RWZ814*'Form Sa1'!RWZ816/10)-'NF - 5 Power Mix'!RWW21-'NF - 5 Power Mix'!RWW22</f>
        <v>0</v>
      </c>
      <c r="RWX42" s="1046">
        <f>RWX38+((RWX40+'NF - 5 Power Mix'!RWX14+'NF - 5 Power Mix'!RWX15)*860/10)+((('Form Sa1'!RXA835)*860)/10)+('Form Sa1'!RXA814*'Form Sa1'!RXA816/10)-'NF - 5 Power Mix'!RWX21-'NF - 5 Power Mix'!RWX22</f>
        <v>0</v>
      </c>
      <c r="RWY42" s="1046">
        <f>RWY38+((RWY40+'NF - 5 Power Mix'!RWY14+'NF - 5 Power Mix'!RWY15)*860/10)+((('Form Sa1'!RXB835)*860)/10)+('Form Sa1'!RXB814*'Form Sa1'!RXB816/10)-'NF - 5 Power Mix'!RWY21-'NF - 5 Power Mix'!RWY22</f>
        <v>0</v>
      </c>
      <c r="RWZ42" s="1046">
        <f>RWZ38+((RWZ40+'NF - 5 Power Mix'!RWZ14+'NF - 5 Power Mix'!RWZ15)*860/10)+((('Form Sa1'!RXC835)*860)/10)+('Form Sa1'!RXC814*'Form Sa1'!RXC816/10)-'NF - 5 Power Mix'!RWZ21-'NF - 5 Power Mix'!RWZ22</f>
        <v>0</v>
      </c>
      <c r="RXA42" s="1046">
        <f>RXA38+((RXA40+'NF - 5 Power Mix'!RXA14+'NF - 5 Power Mix'!RXA15)*860/10)+((('Form Sa1'!RXD835)*860)/10)+('Form Sa1'!RXD814*'Form Sa1'!RXD816/10)-'NF - 5 Power Mix'!RXA21-'NF - 5 Power Mix'!RXA22</f>
        <v>0</v>
      </c>
      <c r="RXB42" s="1046">
        <f>RXB38+((RXB40+'NF - 5 Power Mix'!RXB14+'NF - 5 Power Mix'!RXB15)*860/10)+((('Form Sa1'!RXE835)*860)/10)+('Form Sa1'!RXE814*'Form Sa1'!RXE816/10)-'NF - 5 Power Mix'!RXB21-'NF - 5 Power Mix'!RXB22</f>
        <v>0</v>
      </c>
      <c r="RXC42" s="1046">
        <f>RXC38+((RXC40+'NF - 5 Power Mix'!RXC14+'NF - 5 Power Mix'!RXC15)*860/10)+((('Form Sa1'!RXF835)*860)/10)+('Form Sa1'!RXF814*'Form Sa1'!RXF816/10)-'NF - 5 Power Mix'!RXC21-'NF - 5 Power Mix'!RXC22</f>
        <v>0</v>
      </c>
      <c r="RXD42" s="1046">
        <f>RXD38+((RXD40+'NF - 5 Power Mix'!RXD14+'NF - 5 Power Mix'!RXD15)*860/10)+((('Form Sa1'!RXG835)*860)/10)+('Form Sa1'!RXG814*'Form Sa1'!RXG816/10)-'NF - 5 Power Mix'!RXD21-'NF - 5 Power Mix'!RXD22</f>
        <v>0</v>
      </c>
      <c r="RXE42" s="1046">
        <f>RXE38+((RXE40+'NF - 5 Power Mix'!RXE14+'NF - 5 Power Mix'!RXE15)*860/10)+((('Form Sa1'!RXH835)*860)/10)+('Form Sa1'!RXH814*'Form Sa1'!RXH816/10)-'NF - 5 Power Mix'!RXE21-'NF - 5 Power Mix'!RXE22</f>
        <v>0</v>
      </c>
      <c r="RXF42" s="1046">
        <f>RXF38+((RXF40+'NF - 5 Power Mix'!RXF14+'NF - 5 Power Mix'!RXF15)*860/10)+((('Form Sa1'!RXI835)*860)/10)+('Form Sa1'!RXI814*'Form Sa1'!RXI816/10)-'NF - 5 Power Mix'!RXF21-'NF - 5 Power Mix'!RXF22</f>
        <v>0</v>
      </c>
      <c r="RXG42" s="1046">
        <f>RXG38+((RXG40+'NF - 5 Power Mix'!RXG14+'NF - 5 Power Mix'!RXG15)*860/10)+((('Form Sa1'!RXJ835)*860)/10)+('Form Sa1'!RXJ814*'Form Sa1'!RXJ816/10)-'NF - 5 Power Mix'!RXG21-'NF - 5 Power Mix'!RXG22</f>
        <v>0</v>
      </c>
      <c r="RXH42" s="1046">
        <f>RXH38+((RXH40+'NF - 5 Power Mix'!RXH14+'NF - 5 Power Mix'!RXH15)*860/10)+((('Form Sa1'!RXK835)*860)/10)+('Form Sa1'!RXK814*'Form Sa1'!RXK816/10)-'NF - 5 Power Mix'!RXH21-'NF - 5 Power Mix'!RXH22</f>
        <v>0</v>
      </c>
      <c r="RXI42" s="1046">
        <f>RXI38+((RXI40+'NF - 5 Power Mix'!RXI14+'NF - 5 Power Mix'!RXI15)*860/10)+((('Form Sa1'!RXL835)*860)/10)+('Form Sa1'!RXL814*'Form Sa1'!RXL816/10)-'NF - 5 Power Mix'!RXI21-'NF - 5 Power Mix'!RXI22</f>
        <v>0</v>
      </c>
      <c r="RXJ42" s="1046">
        <f>RXJ38+((RXJ40+'NF - 5 Power Mix'!RXJ14+'NF - 5 Power Mix'!RXJ15)*860/10)+((('Form Sa1'!RXM835)*860)/10)+('Form Sa1'!RXM814*'Form Sa1'!RXM816/10)-'NF - 5 Power Mix'!RXJ21-'NF - 5 Power Mix'!RXJ22</f>
        <v>0</v>
      </c>
      <c r="RXK42" s="1046">
        <f>RXK38+((RXK40+'NF - 5 Power Mix'!RXK14+'NF - 5 Power Mix'!RXK15)*860/10)+((('Form Sa1'!RXN835)*860)/10)+('Form Sa1'!RXN814*'Form Sa1'!RXN816/10)-'NF - 5 Power Mix'!RXK21-'NF - 5 Power Mix'!RXK22</f>
        <v>0</v>
      </c>
      <c r="RXL42" s="1046">
        <f>RXL38+((RXL40+'NF - 5 Power Mix'!RXL14+'NF - 5 Power Mix'!RXL15)*860/10)+((('Form Sa1'!RXO835)*860)/10)+('Form Sa1'!RXO814*'Form Sa1'!RXO816/10)-'NF - 5 Power Mix'!RXL21-'NF - 5 Power Mix'!RXL22</f>
        <v>0</v>
      </c>
      <c r="RXM42" s="1046">
        <f>RXM38+((RXM40+'NF - 5 Power Mix'!RXM14+'NF - 5 Power Mix'!RXM15)*860/10)+((('Form Sa1'!RXP835)*860)/10)+('Form Sa1'!RXP814*'Form Sa1'!RXP816/10)-'NF - 5 Power Mix'!RXM21-'NF - 5 Power Mix'!RXM22</f>
        <v>0</v>
      </c>
      <c r="RXN42" s="1046">
        <f>RXN38+((RXN40+'NF - 5 Power Mix'!RXN14+'NF - 5 Power Mix'!RXN15)*860/10)+((('Form Sa1'!RXQ835)*860)/10)+('Form Sa1'!RXQ814*'Form Sa1'!RXQ816/10)-'NF - 5 Power Mix'!RXN21-'NF - 5 Power Mix'!RXN22</f>
        <v>0</v>
      </c>
      <c r="RXO42" s="1046">
        <f>RXO38+((RXO40+'NF - 5 Power Mix'!RXO14+'NF - 5 Power Mix'!RXO15)*860/10)+((('Form Sa1'!RXR835)*860)/10)+('Form Sa1'!RXR814*'Form Sa1'!RXR816/10)-'NF - 5 Power Mix'!RXO21-'NF - 5 Power Mix'!RXO22</f>
        <v>0</v>
      </c>
      <c r="RXP42" s="1046">
        <f>RXP38+((RXP40+'NF - 5 Power Mix'!RXP14+'NF - 5 Power Mix'!RXP15)*860/10)+((('Form Sa1'!RXS835)*860)/10)+('Form Sa1'!RXS814*'Form Sa1'!RXS816/10)-'NF - 5 Power Mix'!RXP21-'NF - 5 Power Mix'!RXP22</f>
        <v>0</v>
      </c>
      <c r="RXQ42" s="1046">
        <f>RXQ38+((RXQ40+'NF - 5 Power Mix'!RXQ14+'NF - 5 Power Mix'!RXQ15)*860/10)+((('Form Sa1'!RXT835)*860)/10)+('Form Sa1'!RXT814*'Form Sa1'!RXT816/10)-'NF - 5 Power Mix'!RXQ21-'NF - 5 Power Mix'!RXQ22</f>
        <v>0</v>
      </c>
      <c r="RXR42" s="1046">
        <f>RXR38+((RXR40+'NF - 5 Power Mix'!RXR14+'NF - 5 Power Mix'!RXR15)*860/10)+((('Form Sa1'!RXU835)*860)/10)+('Form Sa1'!RXU814*'Form Sa1'!RXU816/10)-'NF - 5 Power Mix'!RXR21-'NF - 5 Power Mix'!RXR22</f>
        <v>0</v>
      </c>
      <c r="RXS42" s="1046">
        <f>RXS38+((RXS40+'NF - 5 Power Mix'!RXS14+'NF - 5 Power Mix'!RXS15)*860/10)+((('Form Sa1'!RXV835)*860)/10)+('Form Sa1'!RXV814*'Form Sa1'!RXV816/10)-'NF - 5 Power Mix'!RXS21-'NF - 5 Power Mix'!RXS22</f>
        <v>0</v>
      </c>
      <c r="RXT42" s="1046">
        <f>RXT38+((RXT40+'NF - 5 Power Mix'!RXT14+'NF - 5 Power Mix'!RXT15)*860/10)+((('Form Sa1'!RXW835)*860)/10)+('Form Sa1'!RXW814*'Form Sa1'!RXW816/10)-'NF - 5 Power Mix'!RXT21-'NF - 5 Power Mix'!RXT22</f>
        <v>0</v>
      </c>
      <c r="RXU42" s="1046">
        <f>RXU38+((RXU40+'NF - 5 Power Mix'!RXU14+'NF - 5 Power Mix'!RXU15)*860/10)+((('Form Sa1'!RXX835)*860)/10)+('Form Sa1'!RXX814*'Form Sa1'!RXX816/10)-'NF - 5 Power Mix'!RXU21-'NF - 5 Power Mix'!RXU22</f>
        <v>0</v>
      </c>
      <c r="RXV42" s="1046">
        <f>RXV38+((RXV40+'NF - 5 Power Mix'!RXV14+'NF - 5 Power Mix'!RXV15)*860/10)+((('Form Sa1'!RXY835)*860)/10)+('Form Sa1'!RXY814*'Form Sa1'!RXY816/10)-'NF - 5 Power Mix'!RXV21-'NF - 5 Power Mix'!RXV22</f>
        <v>0</v>
      </c>
      <c r="RXW42" s="1046">
        <f>RXW38+((RXW40+'NF - 5 Power Mix'!RXW14+'NF - 5 Power Mix'!RXW15)*860/10)+((('Form Sa1'!RXZ835)*860)/10)+('Form Sa1'!RXZ814*'Form Sa1'!RXZ816/10)-'NF - 5 Power Mix'!RXW21-'NF - 5 Power Mix'!RXW22</f>
        <v>0</v>
      </c>
      <c r="RXX42" s="1046">
        <f>RXX38+((RXX40+'NF - 5 Power Mix'!RXX14+'NF - 5 Power Mix'!RXX15)*860/10)+((('Form Sa1'!RYA835)*860)/10)+('Form Sa1'!RYA814*'Form Sa1'!RYA816/10)-'NF - 5 Power Mix'!RXX21-'NF - 5 Power Mix'!RXX22</f>
        <v>0</v>
      </c>
      <c r="RXY42" s="1046">
        <f>RXY38+((RXY40+'NF - 5 Power Mix'!RXY14+'NF - 5 Power Mix'!RXY15)*860/10)+((('Form Sa1'!RYB835)*860)/10)+('Form Sa1'!RYB814*'Form Sa1'!RYB816/10)-'NF - 5 Power Mix'!RXY21-'NF - 5 Power Mix'!RXY22</f>
        <v>0</v>
      </c>
      <c r="RXZ42" s="1046">
        <f>RXZ38+((RXZ40+'NF - 5 Power Mix'!RXZ14+'NF - 5 Power Mix'!RXZ15)*860/10)+((('Form Sa1'!RYC835)*860)/10)+('Form Sa1'!RYC814*'Form Sa1'!RYC816/10)-'NF - 5 Power Mix'!RXZ21-'NF - 5 Power Mix'!RXZ22</f>
        <v>0</v>
      </c>
      <c r="RYA42" s="1046">
        <f>RYA38+((RYA40+'NF - 5 Power Mix'!RYA14+'NF - 5 Power Mix'!RYA15)*860/10)+((('Form Sa1'!RYD835)*860)/10)+('Form Sa1'!RYD814*'Form Sa1'!RYD816/10)-'NF - 5 Power Mix'!RYA21-'NF - 5 Power Mix'!RYA22</f>
        <v>0</v>
      </c>
      <c r="RYB42" s="1046">
        <f>RYB38+((RYB40+'NF - 5 Power Mix'!RYB14+'NF - 5 Power Mix'!RYB15)*860/10)+((('Form Sa1'!RYE835)*860)/10)+('Form Sa1'!RYE814*'Form Sa1'!RYE816/10)-'NF - 5 Power Mix'!RYB21-'NF - 5 Power Mix'!RYB22</f>
        <v>0</v>
      </c>
      <c r="RYC42" s="1046">
        <f>RYC38+((RYC40+'NF - 5 Power Mix'!RYC14+'NF - 5 Power Mix'!RYC15)*860/10)+((('Form Sa1'!RYF835)*860)/10)+('Form Sa1'!RYF814*'Form Sa1'!RYF816/10)-'NF - 5 Power Mix'!RYC21-'NF - 5 Power Mix'!RYC22</f>
        <v>0</v>
      </c>
      <c r="RYD42" s="1046">
        <f>RYD38+((RYD40+'NF - 5 Power Mix'!RYD14+'NF - 5 Power Mix'!RYD15)*860/10)+((('Form Sa1'!RYG835)*860)/10)+('Form Sa1'!RYG814*'Form Sa1'!RYG816/10)-'NF - 5 Power Mix'!RYD21-'NF - 5 Power Mix'!RYD22</f>
        <v>0</v>
      </c>
      <c r="RYE42" s="1046">
        <f>RYE38+((RYE40+'NF - 5 Power Mix'!RYE14+'NF - 5 Power Mix'!RYE15)*860/10)+((('Form Sa1'!RYH835)*860)/10)+('Form Sa1'!RYH814*'Form Sa1'!RYH816/10)-'NF - 5 Power Mix'!RYE21-'NF - 5 Power Mix'!RYE22</f>
        <v>0</v>
      </c>
      <c r="RYF42" s="1046">
        <f>RYF38+((RYF40+'NF - 5 Power Mix'!RYF14+'NF - 5 Power Mix'!RYF15)*860/10)+((('Form Sa1'!RYI835)*860)/10)+('Form Sa1'!RYI814*'Form Sa1'!RYI816/10)-'NF - 5 Power Mix'!RYF21-'NF - 5 Power Mix'!RYF22</f>
        <v>0</v>
      </c>
      <c r="RYG42" s="1046">
        <f>RYG38+((RYG40+'NF - 5 Power Mix'!RYG14+'NF - 5 Power Mix'!RYG15)*860/10)+((('Form Sa1'!RYJ835)*860)/10)+('Form Sa1'!RYJ814*'Form Sa1'!RYJ816/10)-'NF - 5 Power Mix'!RYG21-'NF - 5 Power Mix'!RYG22</f>
        <v>0</v>
      </c>
      <c r="RYH42" s="1046">
        <f>RYH38+((RYH40+'NF - 5 Power Mix'!RYH14+'NF - 5 Power Mix'!RYH15)*860/10)+((('Form Sa1'!RYK835)*860)/10)+('Form Sa1'!RYK814*'Form Sa1'!RYK816/10)-'NF - 5 Power Mix'!RYH21-'NF - 5 Power Mix'!RYH22</f>
        <v>0</v>
      </c>
      <c r="RYI42" s="1046">
        <f>RYI38+((RYI40+'NF - 5 Power Mix'!RYI14+'NF - 5 Power Mix'!RYI15)*860/10)+((('Form Sa1'!RYL835)*860)/10)+('Form Sa1'!RYL814*'Form Sa1'!RYL816/10)-'NF - 5 Power Mix'!RYI21-'NF - 5 Power Mix'!RYI22</f>
        <v>0</v>
      </c>
      <c r="RYJ42" s="1046">
        <f>RYJ38+((RYJ40+'NF - 5 Power Mix'!RYJ14+'NF - 5 Power Mix'!RYJ15)*860/10)+((('Form Sa1'!RYM835)*860)/10)+('Form Sa1'!RYM814*'Form Sa1'!RYM816/10)-'NF - 5 Power Mix'!RYJ21-'NF - 5 Power Mix'!RYJ22</f>
        <v>0</v>
      </c>
      <c r="RYK42" s="1046">
        <f>RYK38+((RYK40+'NF - 5 Power Mix'!RYK14+'NF - 5 Power Mix'!RYK15)*860/10)+((('Form Sa1'!RYN835)*860)/10)+('Form Sa1'!RYN814*'Form Sa1'!RYN816/10)-'NF - 5 Power Mix'!RYK21-'NF - 5 Power Mix'!RYK22</f>
        <v>0</v>
      </c>
      <c r="RYL42" s="1046">
        <f>RYL38+((RYL40+'NF - 5 Power Mix'!RYL14+'NF - 5 Power Mix'!RYL15)*860/10)+((('Form Sa1'!RYO835)*860)/10)+('Form Sa1'!RYO814*'Form Sa1'!RYO816/10)-'NF - 5 Power Mix'!RYL21-'NF - 5 Power Mix'!RYL22</f>
        <v>0</v>
      </c>
      <c r="RYM42" s="1046">
        <f>RYM38+((RYM40+'NF - 5 Power Mix'!RYM14+'NF - 5 Power Mix'!RYM15)*860/10)+((('Form Sa1'!RYP835)*860)/10)+('Form Sa1'!RYP814*'Form Sa1'!RYP816/10)-'NF - 5 Power Mix'!RYM21-'NF - 5 Power Mix'!RYM22</f>
        <v>0</v>
      </c>
      <c r="RYN42" s="1046">
        <f>RYN38+((RYN40+'NF - 5 Power Mix'!RYN14+'NF - 5 Power Mix'!RYN15)*860/10)+((('Form Sa1'!RYQ835)*860)/10)+('Form Sa1'!RYQ814*'Form Sa1'!RYQ816/10)-'NF - 5 Power Mix'!RYN21-'NF - 5 Power Mix'!RYN22</f>
        <v>0</v>
      </c>
      <c r="RYO42" s="1046">
        <f>RYO38+((RYO40+'NF - 5 Power Mix'!RYO14+'NF - 5 Power Mix'!RYO15)*860/10)+((('Form Sa1'!RYR835)*860)/10)+('Form Sa1'!RYR814*'Form Sa1'!RYR816/10)-'NF - 5 Power Mix'!RYO21-'NF - 5 Power Mix'!RYO22</f>
        <v>0</v>
      </c>
      <c r="RYP42" s="1046">
        <f>RYP38+((RYP40+'NF - 5 Power Mix'!RYP14+'NF - 5 Power Mix'!RYP15)*860/10)+((('Form Sa1'!RYS835)*860)/10)+('Form Sa1'!RYS814*'Form Sa1'!RYS816/10)-'NF - 5 Power Mix'!RYP21-'NF - 5 Power Mix'!RYP22</f>
        <v>0</v>
      </c>
      <c r="RYQ42" s="1046">
        <f>RYQ38+((RYQ40+'NF - 5 Power Mix'!RYQ14+'NF - 5 Power Mix'!RYQ15)*860/10)+((('Form Sa1'!RYT835)*860)/10)+('Form Sa1'!RYT814*'Form Sa1'!RYT816/10)-'NF - 5 Power Mix'!RYQ21-'NF - 5 Power Mix'!RYQ22</f>
        <v>0</v>
      </c>
      <c r="RYR42" s="1046">
        <f>RYR38+((RYR40+'NF - 5 Power Mix'!RYR14+'NF - 5 Power Mix'!RYR15)*860/10)+((('Form Sa1'!RYU835)*860)/10)+('Form Sa1'!RYU814*'Form Sa1'!RYU816/10)-'NF - 5 Power Mix'!RYR21-'NF - 5 Power Mix'!RYR22</f>
        <v>0</v>
      </c>
      <c r="RYS42" s="1046">
        <f>RYS38+((RYS40+'NF - 5 Power Mix'!RYS14+'NF - 5 Power Mix'!RYS15)*860/10)+((('Form Sa1'!RYV835)*860)/10)+('Form Sa1'!RYV814*'Form Sa1'!RYV816/10)-'NF - 5 Power Mix'!RYS21-'NF - 5 Power Mix'!RYS22</f>
        <v>0</v>
      </c>
      <c r="RYT42" s="1046">
        <f>RYT38+((RYT40+'NF - 5 Power Mix'!RYT14+'NF - 5 Power Mix'!RYT15)*860/10)+((('Form Sa1'!RYW835)*860)/10)+('Form Sa1'!RYW814*'Form Sa1'!RYW816/10)-'NF - 5 Power Mix'!RYT21-'NF - 5 Power Mix'!RYT22</f>
        <v>0</v>
      </c>
      <c r="RYU42" s="1046">
        <f>RYU38+((RYU40+'NF - 5 Power Mix'!RYU14+'NF - 5 Power Mix'!RYU15)*860/10)+((('Form Sa1'!RYX835)*860)/10)+('Form Sa1'!RYX814*'Form Sa1'!RYX816/10)-'NF - 5 Power Mix'!RYU21-'NF - 5 Power Mix'!RYU22</f>
        <v>0</v>
      </c>
      <c r="RYV42" s="1046">
        <f>RYV38+((RYV40+'NF - 5 Power Mix'!RYV14+'NF - 5 Power Mix'!RYV15)*860/10)+((('Form Sa1'!RYY835)*860)/10)+('Form Sa1'!RYY814*'Form Sa1'!RYY816/10)-'NF - 5 Power Mix'!RYV21-'NF - 5 Power Mix'!RYV22</f>
        <v>0</v>
      </c>
      <c r="RYW42" s="1046">
        <f>RYW38+((RYW40+'NF - 5 Power Mix'!RYW14+'NF - 5 Power Mix'!RYW15)*860/10)+((('Form Sa1'!RYZ835)*860)/10)+('Form Sa1'!RYZ814*'Form Sa1'!RYZ816/10)-'NF - 5 Power Mix'!RYW21-'NF - 5 Power Mix'!RYW22</f>
        <v>0</v>
      </c>
      <c r="RYX42" s="1046">
        <f>RYX38+((RYX40+'NF - 5 Power Mix'!RYX14+'NF - 5 Power Mix'!RYX15)*860/10)+((('Form Sa1'!RZA835)*860)/10)+('Form Sa1'!RZA814*'Form Sa1'!RZA816/10)-'NF - 5 Power Mix'!RYX21-'NF - 5 Power Mix'!RYX22</f>
        <v>0</v>
      </c>
      <c r="RYY42" s="1046">
        <f>RYY38+((RYY40+'NF - 5 Power Mix'!RYY14+'NF - 5 Power Mix'!RYY15)*860/10)+((('Form Sa1'!RZB835)*860)/10)+('Form Sa1'!RZB814*'Form Sa1'!RZB816/10)-'NF - 5 Power Mix'!RYY21-'NF - 5 Power Mix'!RYY22</f>
        <v>0</v>
      </c>
      <c r="RYZ42" s="1046">
        <f>RYZ38+((RYZ40+'NF - 5 Power Mix'!RYZ14+'NF - 5 Power Mix'!RYZ15)*860/10)+((('Form Sa1'!RZC835)*860)/10)+('Form Sa1'!RZC814*'Form Sa1'!RZC816/10)-'NF - 5 Power Mix'!RYZ21-'NF - 5 Power Mix'!RYZ22</f>
        <v>0</v>
      </c>
      <c r="RZA42" s="1046">
        <f>RZA38+((RZA40+'NF - 5 Power Mix'!RZA14+'NF - 5 Power Mix'!RZA15)*860/10)+((('Form Sa1'!RZD835)*860)/10)+('Form Sa1'!RZD814*'Form Sa1'!RZD816/10)-'NF - 5 Power Mix'!RZA21-'NF - 5 Power Mix'!RZA22</f>
        <v>0</v>
      </c>
      <c r="RZB42" s="1046">
        <f>RZB38+((RZB40+'NF - 5 Power Mix'!RZB14+'NF - 5 Power Mix'!RZB15)*860/10)+((('Form Sa1'!RZE835)*860)/10)+('Form Sa1'!RZE814*'Form Sa1'!RZE816/10)-'NF - 5 Power Mix'!RZB21-'NF - 5 Power Mix'!RZB22</f>
        <v>0</v>
      </c>
      <c r="RZC42" s="1046">
        <f>RZC38+((RZC40+'NF - 5 Power Mix'!RZC14+'NF - 5 Power Mix'!RZC15)*860/10)+((('Form Sa1'!RZF835)*860)/10)+('Form Sa1'!RZF814*'Form Sa1'!RZF816/10)-'NF - 5 Power Mix'!RZC21-'NF - 5 Power Mix'!RZC22</f>
        <v>0</v>
      </c>
      <c r="RZD42" s="1046">
        <f>RZD38+((RZD40+'NF - 5 Power Mix'!RZD14+'NF - 5 Power Mix'!RZD15)*860/10)+((('Form Sa1'!RZG835)*860)/10)+('Form Sa1'!RZG814*'Form Sa1'!RZG816/10)-'NF - 5 Power Mix'!RZD21-'NF - 5 Power Mix'!RZD22</f>
        <v>0</v>
      </c>
      <c r="RZE42" s="1046">
        <f>RZE38+((RZE40+'NF - 5 Power Mix'!RZE14+'NF - 5 Power Mix'!RZE15)*860/10)+((('Form Sa1'!RZH835)*860)/10)+('Form Sa1'!RZH814*'Form Sa1'!RZH816/10)-'NF - 5 Power Mix'!RZE21-'NF - 5 Power Mix'!RZE22</f>
        <v>0</v>
      </c>
      <c r="RZF42" s="1046">
        <f>RZF38+((RZF40+'NF - 5 Power Mix'!RZF14+'NF - 5 Power Mix'!RZF15)*860/10)+((('Form Sa1'!RZI835)*860)/10)+('Form Sa1'!RZI814*'Form Sa1'!RZI816/10)-'NF - 5 Power Mix'!RZF21-'NF - 5 Power Mix'!RZF22</f>
        <v>0</v>
      </c>
      <c r="RZG42" s="1046">
        <f>RZG38+((RZG40+'NF - 5 Power Mix'!RZG14+'NF - 5 Power Mix'!RZG15)*860/10)+((('Form Sa1'!RZJ835)*860)/10)+('Form Sa1'!RZJ814*'Form Sa1'!RZJ816/10)-'NF - 5 Power Mix'!RZG21-'NF - 5 Power Mix'!RZG22</f>
        <v>0</v>
      </c>
      <c r="RZH42" s="1046">
        <f>RZH38+((RZH40+'NF - 5 Power Mix'!RZH14+'NF - 5 Power Mix'!RZH15)*860/10)+((('Form Sa1'!RZK835)*860)/10)+('Form Sa1'!RZK814*'Form Sa1'!RZK816/10)-'NF - 5 Power Mix'!RZH21-'NF - 5 Power Mix'!RZH22</f>
        <v>0</v>
      </c>
      <c r="RZI42" s="1046">
        <f>RZI38+((RZI40+'NF - 5 Power Mix'!RZI14+'NF - 5 Power Mix'!RZI15)*860/10)+((('Form Sa1'!RZL835)*860)/10)+('Form Sa1'!RZL814*'Form Sa1'!RZL816/10)-'NF - 5 Power Mix'!RZI21-'NF - 5 Power Mix'!RZI22</f>
        <v>0</v>
      </c>
      <c r="RZJ42" s="1046">
        <f>RZJ38+((RZJ40+'NF - 5 Power Mix'!RZJ14+'NF - 5 Power Mix'!RZJ15)*860/10)+((('Form Sa1'!RZM835)*860)/10)+('Form Sa1'!RZM814*'Form Sa1'!RZM816/10)-'NF - 5 Power Mix'!RZJ21-'NF - 5 Power Mix'!RZJ22</f>
        <v>0</v>
      </c>
      <c r="RZK42" s="1046">
        <f>RZK38+((RZK40+'NF - 5 Power Mix'!RZK14+'NF - 5 Power Mix'!RZK15)*860/10)+((('Form Sa1'!RZN835)*860)/10)+('Form Sa1'!RZN814*'Form Sa1'!RZN816/10)-'NF - 5 Power Mix'!RZK21-'NF - 5 Power Mix'!RZK22</f>
        <v>0</v>
      </c>
      <c r="RZL42" s="1046">
        <f>RZL38+((RZL40+'NF - 5 Power Mix'!RZL14+'NF - 5 Power Mix'!RZL15)*860/10)+((('Form Sa1'!RZO835)*860)/10)+('Form Sa1'!RZO814*'Form Sa1'!RZO816/10)-'NF - 5 Power Mix'!RZL21-'NF - 5 Power Mix'!RZL22</f>
        <v>0</v>
      </c>
      <c r="RZM42" s="1046">
        <f>RZM38+((RZM40+'NF - 5 Power Mix'!RZM14+'NF - 5 Power Mix'!RZM15)*860/10)+((('Form Sa1'!RZP835)*860)/10)+('Form Sa1'!RZP814*'Form Sa1'!RZP816/10)-'NF - 5 Power Mix'!RZM21-'NF - 5 Power Mix'!RZM22</f>
        <v>0</v>
      </c>
      <c r="RZN42" s="1046">
        <f>RZN38+((RZN40+'NF - 5 Power Mix'!RZN14+'NF - 5 Power Mix'!RZN15)*860/10)+((('Form Sa1'!RZQ835)*860)/10)+('Form Sa1'!RZQ814*'Form Sa1'!RZQ816/10)-'NF - 5 Power Mix'!RZN21-'NF - 5 Power Mix'!RZN22</f>
        <v>0</v>
      </c>
      <c r="RZO42" s="1046">
        <f>RZO38+((RZO40+'NF - 5 Power Mix'!RZO14+'NF - 5 Power Mix'!RZO15)*860/10)+((('Form Sa1'!RZR835)*860)/10)+('Form Sa1'!RZR814*'Form Sa1'!RZR816/10)-'NF - 5 Power Mix'!RZO21-'NF - 5 Power Mix'!RZO22</f>
        <v>0</v>
      </c>
      <c r="RZP42" s="1046">
        <f>RZP38+((RZP40+'NF - 5 Power Mix'!RZP14+'NF - 5 Power Mix'!RZP15)*860/10)+((('Form Sa1'!RZS835)*860)/10)+('Form Sa1'!RZS814*'Form Sa1'!RZS816/10)-'NF - 5 Power Mix'!RZP21-'NF - 5 Power Mix'!RZP22</f>
        <v>0</v>
      </c>
      <c r="RZQ42" s="1046">
        <f>RZQ38+((RZQ40+'NF - 5 Power Mix'!RZQ14+'NF - 5 Power Mix'!RZQ15)*860/10)+((('Form Sa1'!RZT835)*860)/10)+('Form Sa1'!RZT814*'Form Sa1'!RZT816/10)-'NF - 5 Power Mix'!RZQ21-'NF - 5 Power Mix'!RZQ22</f>
        <v>0</v>
      </c>
      <c r="RZR42" s="1046">
        <f>RZR38+((RZR40+'NF - 5 Power Mix'!RZR14+'NF - 5 Power Mix'!RZR15)*860/10)+((('Form Sa1'!RZU835)*860)/10)+('Form Sa1'!RZU814*'Form Sa1'!RZU816/10)-'NF - 5 Power Mix'!RZR21-'NF - 5 Power Mix'!RZR22</f>
        <v>0</v>
      </c>
      <c r="RZS42" s="1046">
        <f>RZS38+((RZS40+'NF - 5 Power Mix'!RZS14+'NF - 5 Power Mix'!RZS15)*860/10)+((('Form Sa1'!RZV835)*860)/10)+('Form Sa1'!RZV814*'Form Sa1'!RZV816/10)-'NF - 5 Power Mix'!RZS21-'NF - 5 Power Mix'!RZS22</f>
        <v>0</v>
      </c>
      <c r="RZT42" s="1046">
        <f>RZT38+((RZT40+'NF - 5 Power Mix'!RZT14+'NF - 5 Power Mix'!RZT15)*860/10)+((('Form Sa1'!RZW835)*860)/10)+('Form Sa1'!RZW814*'Form Sa1'!RZW816/10)-'NF - 5 Power Mix'!RZT21-'NF - 5 Power Mix'!RZT22</f>
        <v>0</v>
      </c>
      <c r="RZU42" s="1046">
        <f>RZU38+((RZU40+'NF - 5 Power Mix'!RZU14+'NF - 5 Power Mix'!RZU15)*860/10)+((('Form Sa1'!RZX835)*860)/10)+('Form Sa1'!RZX814*'Form Sa1'!RZX816/10)-'NF - 5 Power Mix'!RZU21-'NF - 5 Power Mix'!RZU22</f>
        <v>0</v>
      </c>
      <c r="RZV42" s="1046">
        <f>RZV38+((RZV40+'NF - 5 Power Mix'!RZV14+'NF - 5 Power Mix'!RZV15)*860/10)+((('Form Sa1'!RZY835)*860)/10)+('Form Sa1'!RZY814*'Form Sa1'!RZY816/10)-'NF - 5 Power Mix'!RZV21-'NF - 5 Power Mix'!RZV22</f>
        <v>0</v>
      </c>
      <c r="RZW42" s="1046">
        <f>RZW38+((RZW40+'NF - 5 Power Mix'!RZW14+'NF - 5 Power Mix'!RZW15)*860/10)+((('Form Sa1'!RZZ835)*860)/10)+('Form Sa1'!RZZ814*'Form Sa1'!RZZ816/10)-'NF - 5 Power Mix'!RZW21-'NF - 5 Power Mix'!RZW22</f>
        <v>0</v>
      </c>
      <c r="RZX42" s="1046">
        <f>RZX38+((RZX40+'NF - 5 Power Mix'!RZX14+'NF - 5 Power Mix'!RZX15)*860/10)+((('Form Sa1'!SAA835)*860)/10)+('Form Sa1'!SAA814*'Form Sa1'!SAA816/10)-'NF - 5 Power Mix'!RZX21-'NF - 5 Power Mix'!RZX22</f>
        <v>0</v>
      </c>
      <c r="RZY42" s="1046">
        <f>RZY38+((RZY40+'NF - 5 Power Mix'!RZY14+'NF - 5 Power Mix'!RZY15)*860/10)+((('Form Sa1'!SAB835)*860)/10)+('Form Sa1'!SAB814*'Form Sa1'!SAB816/10)-'NF - 5 Power Mix'!RZY21-'NF - 5 Power Mix'!RZY22</f>
        <v>0</v>
      </c>
      <c r="RZZ42" s="1046">
        <f>RZZ38+((RZZ40+'NF - 5 Power Mix'!RZZ14+'NF - 5 Power Mix'!RZZ15)*860/10)+((('Form Sa1'!SAC835)*860)/10)+('Form Sa1'!SAC814*'Form Sa1'!SAC816/10)-'NF - 5 Power Mix'!RZZ21-'NF - 5 Power Mix'!RZZ22</f>
        <v>0</v>
      </c>
      <c r="SAA42" s="1046">
        <f>SAA38+((SAA40+'NF - 5 Power Mix'!SAA14+'NF - 5 Power Mix'!SAA15)*860/10)+((('Form Sa1'!SAD835)*860)/10)+('Form Sa1'!SAD814*'Form Sa1'!SAD816/10)-'NF - 5 Power Mix'!SAA21-'NF - 5 Power Mix'!SAA22</f>
        <v>0</v>
      </c>
      <c r="SAB42" s="1046">
        <f>SAB38+((SAB40+'NF - 5 Power Mix'!SAB14+'NF - 5 Power Mix'!SAB15)*860/10)+((('Form Sa1'!SAE835)*860)/10)+('Form Sa1'!SAE814*'Form Sa1'!SAE816/10)-'NF - 5 Power Mix'!SAB21-'NF - 5 Power Mix'!SAB22</f>
        <v>0</v>
      </c>
      <c r="SAC42" s="1046">
        <f>SAC38+((SAC40+'NF - 5 Power Mix'!SAC14+'NF - 5 Power Mix'!SAC15)*860/10)+((('Form Sa1'!SAF835)*860)/10)+('Form Sa1'!SAF814*'Form Sa1'!SAF816/10)-'NF - 5 Power Mix'!SAC21-'NF - 5 Power Mix'!SAC22</f>
        <v>0</v>
      </c>
      <c r="SAD42" s="1046">
        <f>SAD38+((SAD40+'NF - 5 Power Mix'!SAD14+'NF - 5 Power Mix'!SAD15)*860/10)+((('Form Sa1'!SAG835)*860)/10)+('Form Sa1'!SAG814*'Form Sa1'!SAG816/10)-'NF - 5 Power Mix'!SAD21-'NF - 5 Power Mix'!SAD22</f>
        <v>0</v>
      </c>
      <c r="SAE42" s="1046">
        <f>SAE38+((SAE40+'NF - 5 Power Mix'!SAE14+'NF - 5 Power Mix'!SAE15)*860/10)+((('Form Sa1'!SAH835)*860)/10)+('Form Sa1'!SAH814*'Form Sa1'!SAH816/10)-'NF - 5 Power Mix'!SAE21-'NF - 5 Power Mix'!SAE22</f>
        <v>0</v>
      </c>
      <c r="SAF42" s="1046">
        <f>SAF38+((SAF40+'NF - 5 Power Mix'!SAF14+'NF - 5 Power Mix'!SAF15)*860/10)+((('Form Sa1'!SAI835)*860)/10)+('Form Sa1'!SAI814*'Form Sa1'!SAI816/10)-'NF - 5 Power Mix'!SAF21-'NF - 5 Power Mix'!SAF22</f>
        <v>0</v>
      </c>
      <c r="SAG42" s="1046">
        <f>SAG38+((SAG40+'NF - 5 Power Mix'!SAG14+'NF - 5 Power Mix'!SAG15)*860/10)+((('Form Sa1'!SAJ835)*860)/10)+('Form Sa1'!SAJ814*'Form Sa1'!SAJ816/10)-'NF - 5 Power Mix'!SAG21-'NF - 5 Power Mix'!SAG22</f>
        <v>0</v>
      </c>
      <c r="SAH42" s="1046">
        <f>SAH38+((SAH40+'NF - 5 Power Mix'!SAH14+'NF - 5 Power Mix'!SAH15)*860/10)+((('Form Sa1'!SAK835)*860)/10)+('Form Sa1'!SAK814*'Form Sa1'!SAK816/10)-'NF - 5 Power Mix'!SAH21-'NF - 5 Power Mix'!SAH22</f>
        <v>0</v>
      </c>
      <c r="SAI42" s="1046">
        <f>SAI38+((SAI40+'NF - 5 Power Mix'!SAI14+'NF - 5 Power Mix'!SAI15)*860/10)+((('Form Sa1'!SAL835)*860)/10)+('Form Sa1'!SAL814*'Form Sa1'!SAL816/10)-'NF - 5 Power Mix'!SAI21-'NF - 5 Power Mix'!SAI22</f>
        <v>0</v>
      </c>
      <c r="SAJ42" s="1046">
        <f>SAJ38+((SAJ40+'NF - 5 Power Mix'!SAJ14+'NF - 5 Power Mix'!SAJ15)*860/10)+((('Form Sa1'!SAM835)*860)/10)+('Form Sa1'!SAM814*'Form Sa1'!SAM816/10)-'NF - 5 Power Mix'!SAJ21-'NF - 5 Power Mix'!SAJ22</f>
        <v>0</v>
      </c>
      <c r="SAK42" s="1046">
        <f>SAK38+((SAK40+'NF - 5 Power Mix'!SAK14+'NF - 5 Power Mix'!SAK15)*860/10)+((('Form Sa1'!SAN835)*860)/10)+('Form Sa1'!SAN814*'Form Sa1'!SAN816/10)-'NF - 5 Power Mix'!SAK21-'NF - 5 Power Mix'!SAK22</f>
        <v>0</v>
      </c>
      <c r="SAL42" s="1046">
        <f>SAL38+((SAL40+'NF - 5 Power Mix'!SAL14+'NF - 5 Power Mix'!SAL15)*860/10)+((('Form Sa1'!SAO835)*860)/10)+('Form Sa1'!SAO814*'Form Sa1'!SAO816/10)-'NF - 5 Power Mix'!SAL21-'NF - 5 Power Mix'!SAL22</f>
        <v>0</v>
      </c>
      <c r="SAM42" s="1046">
        <f>SAM38+((SAM40+'NF - 5 Power Mix'!SAM14+'NF - 5 Power Mix'!SAM15)*860/10)+((('Form Sa1'!SAP835)*860)/10)+('Form Sa1'!SAP814*'Form Sa1'!SAP816/10)-'NF - 5 Power Mix'!SAM21-'NF - 5 Power Mix'!SAM22</f>
        <v>0</v>
      </c>
      <c r="SAN42" s="1046">
        <f>SAN38+((SAN40+'NF - 5 Power Mix'!SAN14+'NF - 5 Power Mix'!SAN15)*860/10)+((('Form Sa1'!SAQ835)*860)/10)+('Form Sa1'!SAQ814*'Form Sa1'!SAQ816/10)-'NF - 5 Power Mix'!SAN21-'NF - 5 Power Mix'!SAN22</f>
        <v>0</v>
      </c>
      <c r="SAO42" s="1046">
        <f>SAO38+((SAO40+'NF - 5 Power Mix'!SAO14+'NF - 5 Power Mix'!SAO15)*860/10)+((('Form Sa1'!SAR835)*860)/10)+('Form Sa1'!SAR814*'Form Sa1'!SAR816/10)-'NF - 5 Power Mix'!SAO21-'NF - 5 Power Mix'!SAO22</f>
        <v>0</v>
      </c>
      <c r="SAP42" s="1046">
        <f>SAP38+((SAP40+'NF - 5 Power Mix'!SAP14+'NF - 5 Power Mix'!SAP15)*860/10)+((('Form Sa1'!SAS835)*860)/10)+('Form Sa1'!SAS814*'Form Sa1'!SAS816/10)-'NF - 5 Power Mix'!SAP21-'NF - 5 Power Mix'!SAP22</f>
        <v>0</v>
      </c>
      <c r="SAQ42" s="1046">
        <f>SAQ38+((SAQ40+'NF - 5 Power Mix'!SAQ14+'NF - 5 Power Mix'!SAQ15)*860/10)+((('Form Sa1'!SAT835)*860)/10)+('Form Sa1'!SAT814*'Form Sa1'!SAT816/10)-'NF - 5 Power Mix'!SAQ21-'NF - 5 Power Mix'!SAQ22</f>
        <v>0</v>
      </c>
      <c r="SAR42" s="1046">
        <f>SAR38+((SAR40+'NF - 5 Power Mix'!SAR14+'NF - 5 Power Mix'!SAR15)*860/10)+((('Form Sa1'!SAU835)*860)/10)+('Form Sa1'!SAU814*'Form Sa1'!SAU816/10)-'NF - 5 Power Mix'!SAR21-'NF - 5 Power Mix'!SAR22</f>
        <v>0</v>
      </c>
      <c r="SAS42" s="1046">
        <f>SAS38+((SAS40+'NF - 5 Power Mix'!SAS14+'NF - 5 Power Mix'!SAS15)*860/10)+((('Form Sa1'!SAV835)*860)/10)+('Form Sa1'!SAV814*'Form Sa1'!SAV816/10)-'NF - 5 Power Mix'!SAS21-'NF - 5 Power Mix'!SAS22</f>
        <v>0</v>
      </c>
      <c r="SAT42" s="1046">
        <f>SAT38+((SAT40+'NF - 5 Power Mix'!SAT14+'NF - 5 Power Mix'!SAT15)*860/10)+((('Form Sa1'!SAW835)*860)/10)+('Form Sa1'!SAW814*'Form Sa1'!SAW816/10)-'NF - 5 Power Mix'!SAT21-'NF - 5 Power Mix'!SAT22</f>
        <v>0</v>
      </c>
      <c r="SAU42" s="1046">
        <f>SAU38+((SAU40+'NF - 5 Power Mix'!SAU14+'NF - 5 Power Mix'!SAU15)*860/10)+((('Form Sa1'!SAX835)*860)/10)+('Form Sa1'!SAX814*'Form Sa1'!SAX816/10)-'NF - 5 Power Mix'!SAU21-'NF - 5 Power Mix'!SAU22</f>
        <v>0</v>
      </c>
      <c r="SAV42" s="1046">
        <f>SAV38+((SAV40+'NF - 5 Power Mix'!SAV14+'NF - 5 Power Mix'!SAV15)*860/10)+((('Form Sa1'!SAY835)*860)/10)+('Form Sa1'!SAY814*'Form Sa1'!SAY816/10)-'NF - 5 Power Mix'!SAV21-'NF - 5 Power Mix'!SAV22</f>
        <v>0</v>
      </c>
      <c r="SAW42" s="1046">
        <f>SAW38+((SAW40+'NF - 5 Power Mix'!SAW14+'NF - 5 Power Mix'!SAW15)*860/10)+((('Form Sa1'!SAZ835)*860)/10)+('Form Sa1'!SAZ814*'Form Sa1'!SAZ816/10)-'NF - 5 Power Mix'!SAW21-'NF - 5 Power Mix'!SAW22</f>
        <v>0</v>
      </c>
      <c r="SAX42" s="1046">
        <f>SAX38+((SAX40+'NF - 5 Power Mix'!SAX14+'NF - 5 Power Mix'!SAX15)*860/10)+((('Form Sa1'!SBA835)*860)/10)+('Form Sa1'!SBA814*'Form Sa1'!SBA816/10)-'NF - 5 Power Mix'!SAX21-'NF - 5 Power Mix'!SAX22</f>
        <v>0</v>
      </c>
      <c r="SAY42" s="1046">
        <f>SAY38+((SAY40+'NF - 5 Power Mix'!SAY14+'NF - 5 Power Mix'!SAY15)*860/10)+((('Form Sa1'!SBB835)*860)/10)+('Form Sa1'!SBB814*'Form Sa1'!SBB816/10)-'NF - 5 Power Mix'!SAY21-'NF - 5 Power Mix'!SAY22</f>
        <v>0</v>
      </c>
      <c r="SAZ42" s="1046">
        <f>SAZ38+((SAZ40+'NF - 5 Power Mix'!SAZ14+'NF - 5 Power Mix'!SAZ15)*860/10)+((('Form Sa1'!SBC835)*860)/10)+('Form Sa1'!SBC814*'Form Sa1'!SBC816/10)-'NF - 5 Power Mix'!SAZ21-'NF - 5 Power Mix'!SAZ22</f>
        <v>0</v>
      </c>
      <c r="SBA42" s="1046">
        <f>SBA38+((SBA40+'NF - 5 Power Mix'!SBA14+'NF - 5 Power Mix'!SBA15)*860/10)+((('Form Sa1'!SBD835)*860)/10)+('Form Sa1'!SBD814*'Form Sa1'!SBD816/10)-'NF - 5 Power Mix'!SBA21-'NF - 5 Power Mix'!SBA22</f>
        <v>0</v>
      </c>
      <c r="SBB42" s="1046">
        <f>SBB38+((SBB40+'NF - 5 Power Mix'!SBB14+'NF - 5 Power Mix'!SBB15)*860/10)+((('Form Sa1'!SBE835)*860)/10)+('Form Sa1'!SBE814*'Form Sa1'!SBE816/10)-'NF - 5 Power Mix'!SBB21-'NF - 5 Power Mix'!SBB22</f>
        <v>0</v>
      </c>
      <c r="SBC42" s="1046">
        <f>SBC38+((SBC40+'NF - 5 Power Mix'!SBC14+'NF - 5 Power Mix'!SBC15)*860/10)+((('Form Sa1'!SBF835)*860)/10)+('Form Sa1'!SBF814*'Form Sa1'!SBF816/10)-'NF - 5 Power Mix'!SBC21-'NF - 5 Power Mix'!SBC22</f>
        <v>0</v>
      </c>
      <c r="SBD42" s="1046">
        <f>SBD38+((SBD40+'NF - 5 Power Mix'!SBD14+'NF - 5 Power Mix'!SBD15)*860/10)+((('Form Sa1'!SBG835)*860)/10)+('Form Sa1'!SBG814*'Form Sa1'!SBG816/10)-'NF - 5 Power Mix'!SBD21-'NF - 5 Power Mix'!SBD22</f>
        <v>0</v>
      </c>
      <c r="SBE42" s="1046">
        <f>SBE38+((SBE40+'NF - 5 Power Mix'!SBE14+'NF - 5 Power Mix'!SBE15)*860/10)+((('Form Sa1'!SBH835)*860)/10)+('Form Sa1'!SBH814*'Form Sa1'!SBH816/10)-'NF - 5 Power Mix'!SBE21-'NF - 5 Power Mix'!SBE22</f>
        <v>0</v>
      </c>
      <c r="SBF42" s="1046">
        <f>SBF38+((SBF40+'NF - 5 Power Mix'!SBF14+'NF - 5 Power Mix'!SBF15)*860/10)+((('Form Sa1'!SBI835)*860)/10)+('Form Sa1'!SBI814*'Form Sa1'!SBI816/10)-'NF - 5 Power Mix'!SBF21-'NF - 5 Power Mix'!SBF22</f>
        <v>0</v>
      </c>
      <c r="SBG42" s="1046">
        <f>SBG38+((SBG40+'NF - 5 Power Mix'!SBG14+'NF - 5 Power Mix'!SBG15)*860/10)+((('Form Sa1'!SBJ835)*860)/10)+('Form Sa1'!SBJ814*'Form Sa1'!SBJ816/10)-'NF - 5 Power Mix'!SBG21-'NF - 5 Power Mix'!SBG22</f>
        <v>0</v>
      </c>
      <c r="SBH42" s="1046">
        <f>SBH38+((SBH40+'NF - 5 Power Mix'!SBH14+'NF - 5 Power Mix'!SBH15)*860/10)+((('Form Sa1'!SBK835)*860)/10)+('Form Sa1'!SBK814*'Form Sa1'!SBK816/10)-'NF - 5 Power Mix'!SBH21-'NF - 5 Power Mix'!SBH22</f>
        <v>0</v>
      </c>
      <c r="SBI42" s="1046">
        <f>SBI38+((SBI40+'NF - 5 Power Mix'!SBI14+'NF - 5 Power Mix'!SBI15)*860/10)+((('Form Sa1'!SBL835)*860)/10)+('Form Sa1'!SBL814*'Form Sa1'!SBL816/10)-'NF - 5 Power Mix'!SBI21-'NF - 5 Power Mix'!SBI22</f>
        <v>0</v>
      </c>
      <c r="SBJ42" s="1046">
        <f>SBJ38+((SBJ40+'NF - 5 Power Mix'!SBJ14+'NF - 5 Power Mix'!SBJ15)*860/10)+((('Form Sa1'!SBM835)*860)/10)+('Form Sa1'!SBM814*'Form Sa1'!SBM816/10)-'NF - 5 Power Mix'!SBJ21-'NF - 5 Power Mix'!SBJ22</f>
        <v>0</v>
      </c>
      <c r="SBK42" s="1046">
        <f>SBK38+((SBK40+'NF - 5 Power Mix'!SBK14+'NF - 5 Power Mix'!SBK15)*860/10)+((('Form Sa1'!SBN835)*860)/10)+('Form Sa1'!SBN814*'Form Sa1'!SBN816/10)-'NF - 5 Power Mix'!SBK21-'NF - 5 Power Mix'!SBK22</f>
        <v>0</v>
      </c>
      <c r="SBL42" s="1046">
        <f>SBL38+((SBL40+'NF - 5 Power Mix'!SBL14+'NF - 5 Power Mix'!SBL15)*860/10)+((('Form Sa1'!SBO835)*860)/10)+('Form Sa1'!SBO814*'Form Sa1'!SBO816/10)-'NF - 5 Power Mix'!SBL21-'NF - 5 Power Mix'!SBL22</f>
        <v>0</v>
      </c>
      <c r="SBM42" s="1046">
        <f>SBM38+((SBM40+'NF - 5 Power Mix'!SBM14+'NF - 5 Power Mix'!SBM15)*860/10)+((('Form Sa1'!SBP835)*860)/10)+('Form Sa1'!SBP814*'Form Sa1'!SBP816/10)-'NF - 5 Power Mix'!SBM21-'NF - 5 Power Mix'!SBM22</f>
        <v>0</v>
      </c>
      <c r="SBN42" s="1046">
        <f>SBN38+((SBN40+'NF - 5 Power Mix'!SBN14+'NF - 5 Power Mix'!SBN15)*860/10)+((('Form Sa1'!SBQ835)*860)/10)+('Form Sa1'!SBQ814*'Form Sa1'!SBQ816/10)-'NF - 5 Power Mix'!SBN21-'NF - 5 Power Mix'!SBN22</f>
        <v>0</v>
      </c>
      <c r="SBO42" s="1046">
        <f>SBO38+((SBO40+'NF - 5 Power Mix'!SBO14+'NF - 5 Power Mix'!SBO15)*860/10)+((('Form Sa1'!SBR835)*860)/10)+('Form Sa1'!SBR814*'Form Sa1'!SBR816/10)-'NF - 5 Power Mix'!SBO21-'NF - 5 Power Mix'!SBO22</f>
        <v>0</v>
      </c>
      <c r="SBP42" s="1046">
        <f>SBP38+((SBP40+'NF - 5 Power Mix'!SBP14+'NF - 5 Power Mix'!SBP15)*860/10)+((('Form Sa1'!SBS835)*860)/10)+('Form Sa1'!SBS814*'Form Sa1'!SBS816/10)-'NF - 5 Power Mix'!SBP21-'NF - 5 Power Mix'!SBP22</f>
        <v>0</v>
      </c>
      <c r="SBQ42" s="1046">
        <f>SBQ38+((SBQ40+'NF - 5 Power Mix'!SBQ14+'NF - 5 Power Mix'!SBQ15)*860/10)+((('Form Sa1'!SBT835)*860)/10)+('Form Sa1'!SBT814*'Form Sa1'!SBT816/10)-'NF - 5 Power Mix'!SBQ21-'NF - 5 Power Mix'!SBQ22</f>
        <v>0</v>
      </c>
      <c r="SBR42" s="1046">
        <f>SBR38+((SBR40+'NF - 5 Power Mix'!SBR14+'NF - 5 Power Mix'!SBR15)*860/10)+((('Form Sa1'!SBU835)*860)/10)+('Form Sa1'!SBU814*'Form Sa1'!SBU816/10)-'NF - 5 Power Mix'!SBR21-'NF - 5 Power Mix'!SBR22</f>
        <v>0</v>
      </c>
      <c r="SBS42" s="1046">
        <f>SBS38+((SBS40+'NF - 5 Power Mix'!SBS14+'NF - 5 Power Mix'!SBS15)*860/10)+((('Form Sa1'!SBV835)*860)/10)+('Form Sa1'!SBV814*'Form Sa1'!SBV816/10)-'NF - 5 Power Mix'!SBS21-'NF - 5 Power Mix'!SBS22</f>
        <v>0</v>
      </c>
      <c r="SBT42" s="1046">
        <f>SBT38+((SBT40+'NF - 5 Power Mix'!SBT14+'NF - 5 Power Mix'!SBT15)*860/10)+((('Form Sa1'!SBW835)*860)/10)+('Form Sa1'!SBW814*'Form Sa1'!SBW816/10)-'NF - 5 Power Mix'!SBT21-'NF - 5 Power Mix'!SBT22</f>
        <v>0</v>
      </c>
      <c r="SBU42" s="1046">
        <f>SBU38+((SBU40+'NF - 5 Power Mix'!SBU14+'NF - 5 Power Mix'!SBU15)*860/10)+((('Form Sa1'!SBX835)*860)/10)+('Form Sa1'!SBX814*'Form Sa1'!SBX816/10)-'NF - 5 Power Mix'!SBU21-'NF - 5 Power Mix'!SBU22</f>
        <v>0</v>
      </c>
      <c r="SBV42" s="1046">
        <f>SBV38+((SBV40+'NF - 5 Power Mix'!SBV14+'NF - 5 Power Mix'!SBV15)*860/10)+((('Form Sa1'!SBY835)*860)/10)+('Form Sa1'!SBY814*'Form Sa1'!SBY816/10)-'NF - 5 Power Mix'!SBV21-'NF - 5 Power Mix'!SBV22</f>
        <v>0</v>
      </c>
      <c r="SBW42" s="1046">
        <f>SBW38+((SBW40+'NF - 5 Power Mix'!SBW14+'NF - 5 Power Mix'!SBW15)*860/10)+((('Form Sa1'!SBZ835)*860)/10)+('Form Sa1'!SBZ814*'Form Sa1'!SBZ816/10)-'NF - 5 Power Mix'!SBW21-'NF - 5 Power Mix'!SBW22</f>
        <v>0</v>
      </c>
      <c r="SBX42" s="1046">
        <f>SBX38+((SBX40+'NF - 5 Power Mix'!SBX14+'NF - 5 Power Mix'!SBX15)*860/10)+((('Form Sa1'!SCA835)*860)/10)+('Form Sa1'!SCA814*'Form Sa1'!SCA816/10)-'NF - 5 Power Mix'!SBX21-'NF - 5 Power Mix'!SBX22</f>
        <v>0</v>
      </c>
      <c r="SBY42" s="1046">
        <f>SBY38+((SBY40+'NF - 5 Power Mix'!SBY14+'NF - 5 Power Mix'!SBY15)*860/10)+((('Form Sa1'!SCB835)*860)/10)+('Form Sa1'!SCB814*'Form Sa1'!SCB816/10)-'NF - 5 Power Mix'!SBY21-'NF - 5 Power Mix'!SBY22</f>
        <v>0</v>
      </c>
      <c r="SBZ42" s="1046">
        <f>SBZ38+((SBZ40+'NF - 5 Power Mix'!SBZ14+'NF - 5 Power Mix'!SBZ15)*860/10)+((('Form Sa1'!SCC835)*860)/10)+('Form Sa1'!SCC814*'Form Sa1'!SCC816/10)-'NF - 5 Power Mix'!SBZ21-'NF - 5 Power Mix'!SBZ22</f>
        <v>0</v>
      </c>
      <c r="SCA42" s="1046">
        <f>SCA38+((SCA40+'NF - 5 Power Mix'!SCA14+'NF - 5 Power Mix'!SCA15)*860/10)+((('Form Sa1'!SCD835)*860)/10)+('Form Sa1'!SCD814*'Form Sa1'!SCD816/10)-'NF - 5 Power Mix'!SCA21-'NF - 5 Power Mix'!SCA22</f>
        <v>0</v>
      </c>
      <c r="SCB42" s="1046">
        <f>SCB38+((SCB40+'NF - 5 Power Mix'!SCB14+'NF - 5 Power Mix'!SCB15)*860/10)+((('Form Sa1'!SCE835)*860)/10)+('Form Sa1'!SCE814*'Form Sa1'!SCE816/10)-'NF - 5 Power Mix'!SCB21-'NF - 5 Power Mix'!SCB22</f>
        <v>0</v>
      </c>
      <c r="SCC42" s="1046">
        <f>SCC38+((SCC40+'NF - 5 Power Mix'!SCC14+'NF - 5 Power Mix'!SCC15)*860/10)+((('Form Sa1'!SCF835)*860)/10)+('Form Sa1'!SCF814*'Form Sa1'!SCF816/10)-'NF - 5 Power Mix'!SCC21-'NF - 5 Power Mix'!SCC22</f>
        <v>0</v>
      </c>
      <c r="SCD42" s="1046">
        <f>SCD38+((SCD40+'NF - 5 Power Mix'!SCD14+'NF - 5 Power Mix'!SCD15)*860/10)+((('Form Sa1'!SCG835)*860)/10)+('Form Sa1'!SCG814*'Form Sa1'!SCG816/10)-'NF - 5 Power Mix'!SCD21-'NF - 5 Power Mix'!SCD22</f>
        <v>0</v>
      </c>
      <c r="SCE42" s="1046">
        <f>SCE38+((SCE40+'NF - 5 Power Mix'!SCE14+'NF - 5 Power Mix'!SCE15)*860/10)+((('Form Sa1'!SCH835)*860)/10)+('Form Sa1'!SCH814*'Form Sa1'!SCH816/10)-'NF - 5 Power Mix'!SCE21-'NF - 5 Power Mix'!SCE22</f>
        <v>0</v>
      </c>
      <c r="SCF42" s="1046">
        <f>SCF38+((SCF40+'NF - 5 Power Mix'!SCF14+'NF - 5 Power Mix'!SCF15)*860/10)+((('Form Sa1'!SCI835)*860)/10)+('Form Sa1'!SCI814*'Form Sa1'!SCI816/10)-'NF - 5 Power Mix'!SCF21-'NF - 5 Power Mix'!SCF22</f>
        <v>0</v>
      </c>
      <c r="SCG42" s="1046">
        <f>SCG38+((SCG40+'NF - 5 Power Mix'!SCG14+'NF - 5 Power Mix'!SCG15)*860/10)+((('Form Sa1'!SCJ835)*860)/10)+('Form Sa1'!SCJ814*'Form Sa1'!SCJ816/10)-'NF - 5 Power Mix'!SCG21-'NF - 5 Power Mix'!SCG22</f>
        <v>0</v>
      </c>
      <c r="SCH42" s="1046">
        <f>SCH38+((SCH40+'NF - 5 Power Mix'!SCH14+'NF - 5 Power Mix'!SCH15)*860/10)+((('Form Sa1'!SCK835)*860)/10)+('Form Sa1'!SCK814*'Form Sa1'!SCK816/10)-'NF - 5 Power Mix'!SCH21-'NF - 5 Power Mix'!SCH22</f>
        <v>0</v>
      </c>
      <c r="SCI42" s="1046">
        <f>SCI38+((SCI40+'NF - 5 Power Mix'!SCI14+'NF - 5 Power Mix'!SCI15)*860/10)+((('Form Sa1'!SCL835)*860)/10)+('Form Sa1'!SCL814*'Form Sa1'!SCL816/10)-'NF - 5 Power Mix'!SCI21-'NF - 5 Power Mix'!SCI22</f>
        <v>0</v>
      </c>
      <c r="SCJ42" s="1046">
        <f>SCJ38+((SCJ40+'NF - 5 Power Mix'!SCJ14+'NF - 5 Power Mix'!SCJ15)*860/10)+((('Form Sa1'!SCM835)*860)/10)+('Form Sa1'!SCM814*'Form Sa1'!SCM816/10)-'NF - 5 Power Mix'!SCJ21-'NF - 5 Power Mix'!SCJ22</f>
        <v>0</v>
      </c>
      <c r="SCK42" s="1046">
        <f>SCK38+((SCK40+'NF - 5 Power Mix'!SCK14+'NF - 5 Power Mix'!SCK15)*860/10)+((('Form Sa1'!SCN835)*860)/10)+('Form Sa1'!SCN814*'Form Sa1'!SCN816/10)-'NF - 5 Power Mix'!SCK21-'NF - 5 Power Mix'!SCK22</f>
        <v>0</v>
      </c>
      <c r="SCL42" s="1046">
        <f>SCL38+((SCL40+'NF - 5 Power Mix'!SCL14+'NF - 5 Power Mix'!SCL15)*860/10)+((('Form Sa1'!SCO835)*860)/10)+('Form Sa1'!SCO814*'Form Sa1'!SCO816/10)-'NF - 5 Power Mix'!SCL21-'NF - 5 Power Mix'!SCL22</f>
        <v>0</v>
      </c>
      <c r="SCM42" s="1046">
        <f>SCM38+((SCM40+'NF - 5 Power Mix'!SCM14+'NF - 5 Power Mix'!SCM15)*860/10)+((('Form Sa1'!SCP835)*860)/10)+('Form Sa1'!SCP814*'Form Sa1'!SCP816/10)-'NF - 5 Power Mix'!SCM21-'NF - 5 Power Mix'!SCM22</f>
        <v>0</v>
      </c>
      <c r="SCN42" s="1046">
        <f>SCN38+((SCN40+'NF - 5 Power Mix'!SCN14+'NF - 5 Power Mix'!SCN15)*860/10)+((('Form Sa1'!SCQ835)*860)/10)+('Form Sa1'!SCQ814*'Form Sa1'!SCQ816/10)-'NF - 5 Power Mix'!SCN21-'NF - 5 Power Mix'!SCN22</f>
        <v>0</v>
      </c>
      <c r="SCO42" s="1046">
        <f>SCO38+((SCO40+'NF - 5 Power Mix'!SCO14+'NF - 5 Power Mix'!SCO15)*860/10)+((('Form Sa1'!SCR835)*860)/10)+('Form Sa1'!SCR814*'Form Sa1'!SCR816/10)-'NF - 5 Power Mix'!SCO21-'NF - 5 Power Mix'!SCO22</f>
        <v>0</v>
      </c>
      <c r="SCP42" s="1046">
        <f>SCP38+((SCP40+'NF - 5 Power Mix'!SCP14+'NF - 5 Power Mix'!SCP15)*860/10)+((('Form Sa1'!SCS835)*860)/10)+('Form Sa1'!SCS814*'Form Sa1'!SCS816/10)-'NF - 5 Power Mix'!SCP21-'NF - 5 Power Mix'!SCP22</f>
        <v>0</v>
      </c>
      <c r="SCQ42" s="1046">
        <f>SCQ38+((SCQ40+'NF - 5 Power Mix'!SCQ14+'NF - 5 Power Mix'!SCQ15)*860/10)+((('Form Sa1'!SCT835)*860)/10)+('Form Sa1'!SCT814*'Form Sa1'!SCT816/10)-'NF - 5 Power Mix'!SCQ21-'NF - 5 Power Mix'!SCQ22</f>
        <v>0</v>
      </c>
      <c r="SCR42" s="1046">
        <f>SCR38+((SCR40+'NF - 5 Power Mix'!SCR14+'NF - 5 Power Mix'!SCR15)*860/10)+((('Form Sa1'!SCU835)*860)/10)+('Form Sa1'!SCU814*'Form Sa1'!SCU816/10)-'NF - 5 Power Mix'!SCR21-'NF - 5 Power Mix'!SCR22</f>
        <v>0</v>
      </c>
      <c r="SCS42" s="1046">
        <f>SCS38+((SCS40+'NF - 5 Power Mix'!SCS14+'NF - 5 Power Mix'!SCS15)*860/10)+((('Form Sa1'!SCV835)*860)/10)+('Form Sa1'!SCV814*'Form Sa1'!SCV816/10)-'NF - 5 Power Mix'!SCS21-'NF - 5 Power Mix'!SCS22</f>
        <v>0</v>
      </c>
      <c r="SCT42" s="1046">
        <f>SCT38+((SCT40+'NF - 5 Power Mix'!SCT14+'NF - 5 Power Mix'!SCT15)*860/10)+((('Form Sa1'!SCW835)*860)/10)+('Form Sa1'!SCW814*'Form Sa1'!SCW816/10)-'NF - 5 Power Mix'!SCT21-'NF - 5 Power Mix'!SCT22</f>
        <v>0</v>
      </c>
      <c r="SCU42" s="1046">
        <f>SCU38+((SCU40+'NF - 5 Power Mix'!SCU14+'NF - 5 Power Mix'!SCU15)*860/10)+((('Form Sa1'!SCX835)*860)/10)+('Form Sa1'!SCX814*'Form Sa1'!SCX816/10)-'NF - 5 Power Mix'!SCU21-'NF - 5 Power Mix'!SCU22</f>
        <v>0</v>
      </c>
      <c r="SCV42" s="1046">
        <f>SCV38+((SCV40+'NF - 5 Power Mix'!SCV14+'NF - 5 Power Mix'!SCV15)*860/10)+((('Form Sa1'!SCY835)*860)/10)+('Form Sa1'!SCY814*'Form Sa1'!SCY816/10)-'NF - 5 Power Mix'!SCV21-'NF - 5 Power Mix'!SCV22</f>
        <v>0</v>
      </c>
      <c r="SCW42" s="1046">
        <f>SCW38+((SCW40+'NF - 5 Power Mix'!SCW14+'NF - 5 Power Mix'!SCW15)*860/10)+((('Form Sa1'!SCZ835)*860)/10)+('Form Sa1'!SCZ814*'Form Sa1'!SCZ816/10)-'NF - 5 Power Mix'!SCW21-'NF - 5 Power Mix'!SCW22</f>
        <v>0</v>
      </c>
      <c r="SCX42" s="1046">
        <f>SCX38+((SCX40+'NF - 5 Power Mix'!SCX14+'NF - 5 Power Mix'!SCX15)*860/10)+((('Form Sa1'!SDA835)*860)/10)+('Form Sa1'!SDA814*'Form Sa1'!SDA816/10)-'NF - 5 Power Mix'!SCX21-'NF - 5 Power Mix'!SCX22</f>
        <v>0</v>
      </c>
      <c r="SCY42" s="1046">
        <f>SCY38+((SCY40+'NF - 5 Power Mix'!SCY14+'NF - 5 Power Mix'!SCY15)*860/10)+((('Form Sa1'!SDB835)*860)/10)+('Form Sa1'!SDB814*'Form Sa1'!SDB816/10)-'NF - 5 Power Mix'!SCY21-'NF - 5 Power Mix'!SCY22</f>
        <v>0</v>
      </c>
      <c r="SCZ42" s="1046">
        <f>SCZ38+((SCZ40+'NF - 5 Power Mix'!SCZ14+'NF - 5 Power Mix'!SCZ15)*860/10)+((('Form Sa1'!SDC835)*860)/10)+('Form Sa1'!SDC814*'Form Sa1'!SDC816/10)-'NF - 5 Power Mix'!SCZ21-'NF - 5 Power Mix'!SCZ22</f>
        <v>0</v>
      </c>
      <c r="SDA42" s="1046">
        <f>SDA38+((SDA40+'NF - 5 Power Mix'!SDA14+'NF - 5 Power Mix'!SDA15)*860/10)+((('Form Sa1'!SDD835)*860)/10)+('Form Sa1'!SDD814*'Form Sa1'!SDD816/10)-'NF - 5 Power Mix'!SDA21-'NF - 5 Power Mix'!SDA22</f>
        <v>0</v>
      </c>
      <c r="SDB42" s="1046">
        <f>SDB38+((SDB40+'NF - 5 Power Mix'!SDB14+'NF - 5 Power Mix'!SDB15)*860/10)+((('Form Sa1'!SDE835)*860)/10)+('Form Sa1'!SDE814*'Form Sa1'!SDE816/10)-'NF - 5 Power Mix'!SDB21-'NF - 5 Power Mix'!SDB22</f>
        <v>0</v>
      </c>
      <c r="SDC42" s="1046">
        <f>SDC38+((SDC40+'NF - 5 Power Mix'!SDC14+'NF - 5 Power Mix'!SDC15)*860/10)+((('Form Sa1'!SDF835)*860)/10)+('Form Sa1'!SDF814*'Form Sa1'!SDF816/10)-'NF - 5 Power Mix'!SDC21-'NF - 5 Power Mix'!SDC22</f>
        <v>0</v>
      </c>
      <c r="SDD42" s="1046">
        <f>SDD38+((SDD40+'NF - 5 Power Mix'!SDD14+'NF - 5 Power Mix'!SDD15)*860/10)+((('Form Sa1'!SDG835)*860)/10)+('Form Sa1'!SDG814*'Form Sa1'!SDG816/10)-'NF - 5 Power Mix'!SDD21-'NF - 5 Power Mix'!SDD22</f>
        <v>0</v>
      </c>
      <c r="SDE42" s="1046">
        <f>SDE38+((SDE40+'NF - 5 Power Mix'!SDE14+'NF - 5 Power Mix'!SDE15)*860/10)+((('Form Sa1'!SDH835)*860)/10)+('Form Sa1'!SDH814*'Form Sa1'!SDH816/10)-'NF - 5 Power Mix'!SDE21-'NF - 5 Power Mix'!SDE22</f>
        <v>0</v>
      </c>
      <c r="SDF42" s="1046">
        <f>SDF38+((SDF40+'NF - 5 Power Mix'!SDF14+'NF - 5 Power Mix'!SDF15)*860/10)+((('Form Sa1'!SDI835)*860)/10)+('Form Sa1'!SDI814*'Form Sa1'!SDI816/10)-'NF - 5 Power Mix'!SDF21-'NF - 5 Power Mix'!SDF22</f>
        <v>0</v>
      </c>
      <c r="SDG42" s="1046">
        <f>SDG38+((SDG40+'NF - 5 Power Mix'!SDG14+'NF - 5 Power Mix'!SDG15)*860/10)+((('Form Sa1'!SDJ835)*860)/10)+('Form Sa1'!SDJ814*'Form Sa1'!SDJ816/10)-'NF - 5 Power Mix'!SDG21-'NF - 5 Power Mix'!SDG22</f>
        <v>0</v>
      </c>
      <c r="SDH42" s="1046">
        <f>SDH38+((SDH40+'NF - 5 Power Mix'!SDH14+'NF - 5 Power Mix'!SDH15)*860/10)+((('Form Sa1'!SDK835)*860)/10)+('Form Sa1'!SDK814*'Form Sa1'!SDK816/10)-'NF - 5 Power Mix'!SDH21-'NF - 5 Power Mix'!SDH22</f>
        <v>0</v>
      </c>
      <c r="SDI42" s="1046">
        <f>SDI38+((SDI40+'NF - 5 Power Mix'!SDI14+'NF - 5 Power Mix'!SDI15)*860/10)+((('Form Sa1'!SDL835)*860)/10)+('Form Sa1'!SDL814*'Form Sa1'!SDL816/10)-'NF - 5 Power Mix'!SDI21-'NF - 5 Power Mix'!SDI22</f>
        <v>0</v>
      </c>
      <c r="SDJ42" s="1046">
        <f>SDJ38+((SDJ40+'NF - 5 Power Mix'!SDJ14+'NF - 5 Power Mix'!SDJ15)*860/10)+((('Form Sa1'!SDM835)*860)/10)+('Form Sa1'!SDM814*'Form Sa1'!SDM816/10)-'NF - 5 Power Mix'!SDJ21-'NF - 5 Power Mix'!SDJ22</f>
        <v>0</v>
      </c>
      <c r="SDK42" s="1046">
        <f>SDK38+((SDK40+'NF - 5 Power Mix'!SDK14+'NF - 5 Power Mix'!SDK15)*860/10)+((('Form Sa1'!SDN835)*860)/10)+('Form Sa1'!SDN814*'Form Sa1'!SDN816/10)-'NF - 5 Power Mix'!SDK21-'NF - 5 Power Mix'!SDK22</f>
        <v>0</v>
      </c>
      <c r="SDL42" s="1046">
        <f>SDL38+((SDL40+'NF - 5 Power Mix'!SDL14+'NF - 5 Power Mix'!SDL15)*860/10)+((('Form Sa1'!SDO835)*860)/10)+('Form Sa1'!SDO814*'Form Sa1'!SDO816/10)-'NF - 5 Power Mix'!SDL21-'NF - 5 Power Mix'!SDL22</f>
        <v>0</v>
      </c>
      <c r="SDM42" s="1046">
        <f>SDM38+((SDM40+'NF - 5 Power Mix'!SDM14+'NF - 5 Power Mix'!SDM15)*860/10)+((('Form Sa1'!SDP835)*860)/10)+('Form Sa1'!SDP814*'Form Sa1'!SDP816/10)-'NF - 5 Power Mix'!SDM21-'NF - 5 Power Mix'!SDM22</f>
        <v>0</v>
      </c>
      <c r="SDN42" s="1046">
        <f>SDN38+((SDN40+'NF - 5 Power Mix'!SDN14+'NF - 5 Power Mix'!SDN15)*860/10)+((('Form Sa1'!SDQ835)*860)/10)+('Form Sa1'!SDQ814*'Form Sa1'!SDQ816/10)-'NF - 5 Power Mix'!SDN21-'NF - 5 Power Mix'!SDN22</f>
        <v>0</v>
      </c>
      <c r="SDO42" s="1046">
        <f>SDO38+((SDO40+'NF - 5 Power Mix'!SDO14+'NF - 5 Power Mix'!SDO15)*860/10)+((('Form Sa1'!SDR835)*860)/10)+('Form Sa1'!SDR814*'Form Sa1'!SDR816/10)-'NF - 5 Power Mix'!SDO21-'NF - 5 Power Mix'!SDO22</f>
        <v>0</v>
      </c>
      <c r="SDP42" s="1046">
        <f>SDP38+((SDP40+'NF - 5 Power Mix'!SDP14+'NF - 5 Power Mix'!SDP15)*860/10)+((('Form Sa1'!SDS835)*860)/10)+('Form Sa1'!SDS814*'Form Sa1'!SDS816/10)-'NF - 5 Power Mix'!SDP21-'NF - 5 Power Mix'!SDP22</f>
        <v>0</v>
      </c>
      <c r="SDQ42" s="1046">
        <f>SDQ38+((SDQ40+'NF - 5 Power Mix'!SDQ14+'NF - 5 Power Mix'!SDQ15)*860/10)+((('Form Sa1'!SDT835)*860)/10)+('Form Sa1'!SDT814*'Form Sa1'!SDT816/10)-'NF - 5 Power Mix'!SDQ21-'NF - 5 Power Mix'!SDQ22</f>
        <v>0</v>
      </c>
      <c r="SDR42" s="1046">
        <f>SDR38+((SDR40+'NF - 5 Power Mix'!SDR14+'NF - 5 Power Mix'!SDR15)*860/10)+((('Form Sa1'!SDU835)*860)/10)+('Form Sa1'!SDU814*'Form Sa1'!SDU816/10)-'NF - 5 Power Mix'!SDR21-'NF - 5 Power Mix'!SDR22</f>
        <v>0</v>
      </c>
      <c r="SDS42" s="1046">
        <f>SDS38+((SDS40+'NF - 5 Power Mix'!SDS14+'NF - 5 Power Mix'!SDS15)*860/10)+((('Form Sa1'!SDV835)*860)/10)+('Form Sa1'!SDV814*'Form Sa1'!SDV816/10)-'NF - 5 Power Mix'!SDS21-'NF - 5 Power Mix'!SDS22</f>
        <v>0</v>
      </c>
      <c r="SDT42" s="1046">
        <f>SDT38+((SDT40+'NF - 5 Power Mix'!SDT14+'NF - 5 Power Mix'!SDT15)*860/10)+((('Form Sa1'!SDW835)*860)/10)+('Form Sa1'!SDW814*'Form Sa1'!SDW816/10)-'NF - 5 Power Mix'!SDT21-'NF - 5 Power Mix'!SDT22</f>
        <v>0</v>
      </c>
      <c r="SDU42" s="1046">
        <f>SDU38+((SDU40+'NF - 5 Power Mix'!SDU14+'NF - 5 Power Mix'!SDU15)*860/10)+((('Form Sa1'!SDX835)*860)/10)+('Form Sa1'!SDX814*'Form Sa1'!SDX816/10)-'NF - 5 Power Mix'!SDU21-'NF - 5 Power Mix'!SDU22</f>
        <v>0</v>
      </c>
      <c r="SDV42" s="1046">
        <f>SDV38+((SDV40+'NF - 5 Power Mix'!SDV14+'NF - 5 Power Mix'!SDV15)*860/10)+((('Form Sa1'!SDY835)*860)/10)+('Form Sa1'!SDY814*'Form Sa1'!SDY816/10)-'NF - 5 Power Mix'!SDV21-'NF - 5 Power Mix'!SDV22</f>
        <v>0</v>
      </c>
      <c r="SDW42" s="1046">
        <f>SDW38+((SDW40+'NF - 5 Power Mix'!SDW14+'NF - 5 Power Mix'!SDW15)*860/10)+((('Form Sa1'!SDZ835)*860)/10)+('Form Sa1'!SDZ814*'Form Sa1'!SDZ816/10)-'NF - 5 Power Mix'!SDW21-'NF - 5 Power Mix'!SDW22</f>
        <v>0</v>
      </c>
      <c r="SDX42" s="1046">
        <f>SDX38+((SDX40+'NF - 5 Power Mix'!SDX14+'NF - 5 Power Mix'!SDX15)*860/10)+((('Form Sa1'!SEA835)*860)/10)+('Form Sa1'!SEA814*'Form Sa1'!SEA816/10)-'NF - 5 Power Mix'!SDX21-'NF - 5 Power Mix'!SDX22</f>
        <v>0</v>
      </c>
      <c r="SDY42" s="1046">
        <f>SDY38+((SDY40+'NF - 5 Power Mix'!SDY14+'NF - 5 Power Mix'!SDY15)*860/10)+((('Form Sa1'!SEB835)*860)/10)+('Form Sa1'!SEB814*'Form Sa1'!SEB816/10)-'NF - 5 Power Mix'!SDY21-'NF - 5 Power Mix'!SDY22</f>
        <v>0</v>
      </c>
      <c r="SDZ42" s="1046">
        <f>SDZ38+((SDZ40+'NF - 5 Power Mix'!SDZ14+'NF - 5 Power Mix'!SDZ15)*860/10)+((('Form Sa1'!SEC835)*860)/10)+('Form Sa1'!SEC814*'Form Sa1'!SEC816/10)-'NF - 5 Power Mix'!SDZ21-'NF - 5 Power Mix'!SDZ22</f>
        <v>0</v>
      </c>
      <c r="SEA42" s="1046">
        <f>SEA38+((SEA40+'NF - 5 Power Mix'!SEA14+'NF - 5 Power Mix'!SEA15)*860/10)+((('Form Sa1'!SED835)*860)/10)+('Form Sa1'!SED814*'Form Sa1'!SED816/10)-'NF - 5 Power Mix'!SEA21-'NF - 5 Power Mix'!SEA22</f>
        <v>0</v>
      </c>
      <c r="SEB42" s="1046">
        <f>SEB38+((SEB40+'NF - 5 Power Mix'!SEB14+'NF - 5 Power Mix'!SEB15)*860/10)+((('Form Sa1'!SEE835)*860)/10)+('Form Sa1'!SEE814*'Form Sa1'!SEE816/10)-'NF - 5 Power Mix'!SEB21-'NF - 5 Power Mix'!SEB22</f>
        <v>0</v>
      </c>
      <c r="SEC42" s="1046">
        <f>SEC38+((SEC40+'NF - 5 Power Mix'!SEC14+'NF - 5 Power Mix'!SEC15)*860/10)+((('Form Sa1'!SEF835)*860)/10)+('Form Sa1'!SEF814*'Form Sa1'!SEF816/10)-'NF - 5 Power Mix'!SEC21-'NF - 5 Power Mix'!SEC22</f>
        <v>0</v>
      </c>
      <c r="SED42" s="1046">
        <f>SED38+((SED40+'NF - 5 Power Mix'!SED14+'NF - 5 Power Mix'!SED15)*860/10)+((('Form Sa1'!SEG835)*860)/10)+('Form Sa1'!SEG814*'Form Sa1'!SEG816/10)-'NF - 5 Power Mix'!SED21-'NF - 5 Power Mix'!SED22</f>
        <v>0</v>
      </c>
      <c r="SEE42" s="1046">
        <f>SEE38+((SEE40+'NF - 5 Power Mix'!SEE14+'NF - 5 Power Mix'!SEE15)*860/10)+((('Form Sa1'!SEH835)*860)/10)+('Form Sa1'!SEH814*'Form Sa1'!SEH816/10)-'NF - 5 Power Mix'!SEE21-'NF - 5 Power Mix'!SEE22</f>
        <v>0</v>
      </c>
      <c r="SEF42" s="1046">
        <f>SEF38+((SEF40+'NF - 5 Power Mix'!SEF14+'NF - 5 Power Mix'!SEF15)*860/10)+((('Form Sa1'!SEI835)*860)/10)+('Form Sa1'!SEI814*'Form Sa1'!SEI816/10)-'NF - 5 Power Mix'!SEF21-'NF - 5 Power Mix'!SEF22</f>
        <v>0</v>
      </c>
      <c r="SEG42" s="1046">
        <f>SEG38+((SEG40+'NF - 5 Power Mix'!SEG14+'NF - 5 Power Mix'!SEG15)*860/10)+((('Form Sa1'!SEJ835)*860)/10)+('Form Sa1'!SEJ814*'Form Sa1'!SEJ816/10)-'NF - 5 Power Mix'!SEG21-'NF - 5 Power Mix'!SEG22</f>
        <v>0</v>
      </c>
      <c r="SEH42" s="1046">
        <f>SEH38+((SEH40+'NF - 5 Power Mix'!SEH14+'NF - 5 Power Mix'!SEH15)*860/10)+((('Form Sa1'!SEK835)*860)/10)+('Form Sa1'!SEK814*'Form Sa1'!SEK816/10)-'NF - 5 Power Mix'!SEH21-'NF - 5 Power Mix'!SEH22</f>
        <v>0</v>
      </c>
      <c r="SEI42" s="1046">
        <f>SEI38+((SEI40+'NF - 5 Power Mix'!SEI14+'NF - 5 Power Mix'!SEI15)*860/10)+((('Form Sa1'!SEL835)*860)/10)+('Form Sa1'!SEL814*'Form Sa1'!SEL816/10)-'NF - 5 Power Mix'!SEI21-'NF - 5 Power Mix'!SEI22</f>
        <v>0</v>
      </c>
      <c r="SEJ42" s="1046">
        <f>SEJ38+((SEJ40+'NF - 5 Power Mix'!SEJ14+'NF - 5 Power Mix'!SEJ15)*860/10)+((('Form Sa1'!SEM835)*860)/10)+('Form Sa1'!SEM814*'Form Sa1'!SEM816/10)-'NF - 5 Power Mix'!SEJ21-'NF - 5 Power Mix'!SEJ22</f>
        <v>0</v>
      </c>
      <c r="SEK42" s="1046">
        <f>SEK38+((SEK40+'NF - 5 Power Mix'!SEK14+'NF - 5 Power Mix'!SEK15)*860/10)+((('Form Sa1'!SEN835)*860)/10)+('Form Sa1'!SEN814*'Form Sa1'!SEN816/10)-'NF - 5 Power Mix'!SEK21-'NF - 5 Power Mix'!SEK22</f>
        <v>0</v>
      </c>
      <c r="SEL42" s="1046">
        <f>SEL38+((SEL40+'NF - 5 Power Mix'!SEL14+'NF - 5 Power Mix'!SEL15)*860/10)+((('Form Sa1'!SEO835)*860)/10)+('Form Sa1'!SEO814*'Form Sa1'!SEO816/10)-'NF - 5 Power Mix'!SEL21-'NF - 5 Power Mix'!SEL22</f>
        <v>0</v>
      </c>
      <c r="SEM42" s="1046">
        <f>SEM38+((SEM40+'NF - 5 Power Mix'!SEM14+'NF - 5 Power Mix'!SEM15)*860/10)+((('Form Sa1'!SEP835)*860)/10)+('Form Sa1'!SEP814*'Form Sa1'!SEP816/10)-'NF - 5 Power Mix'!SEM21-'NF - 5 Power Mix'!SEM22</f>
        <v>0</v>
      </c>
      <c r="SEN42" s="1046">
        <f>SEN38+((SEN40+'NF - 5 Power Mix'!SEN14+'NF - 5 Power Mix'!SEN15)*860/10)+((('Form Sa1'!SEQ835)*860)/10)+('Form Sa1'!SEQ814*'Form Sa1'!SEQ816/10)-'NF - 5 Power Mix'!SEN21-'NF - 5 Power Mix'!SEN22</f>
        <v>0</v>
      </c>
      <c r="SEO42" s="1046">
        <f>SEO38+((SEO40+'NF - 5 Power Mix'!SEO14+'NF - 5 Power Mix'!SEO15)*860/10)+((('Form Sa1'!SER835)*860)/10)+('Form Sa1'!SER814*'Form Sa1'!SER816/10)-'NF - 5 Power Mix'!SEO21-'NF - 5 Power Mix'!SEO22</f>
        <v>0</v>
      </c>
      <c r="SEP42" s="1046">
        <f>SEP38+((SEP40+'NF - 5 Power Mix'!SEP14+'NF - 5 Power Mix'!SEP15)*860/10)+((('Form Sa1'!SES835)*860)/10)+('Form Sa1'!SES814*'Form Sa1'!SES816/10)-'NF - 5 Power Mix'!SEP21-'NF - 5 Power Mix'!SEP22</f>
        <v>0</v>
      </c>
      <c r="SEQ42" s="1046">
        <f>SEQ38+((SEQ40+'NF - 5 Power Mix'!SEQ14+'NF - 5 Power Mix'!SEQ15)*860/10)+((('Form Sa1'!SET835)*860)/10)+('Form Sa1'!SET814*'Form Sa1'!SET816/10)-'NF - 5 Power Mix'!SEQ21-'NF - 5 Power Mix'!SEQ22</f>
        <v>0</v>
      </c>
      <c r="SER42" s="1046">
        <f>SER38+((SER40+'NF - 5 Power Mix'!SER14+'NF - 5 Power Mix'!SER15)*860/10)+((('Form Sa1'!SEU835)*860)/10)+('Form Sa1'!SEU814*'Form Sa1'!SEU816/10)-'NF - 5 Power Mix'!SER21-'NF - 5 Power Mix'!SER22</f>
        <v>0</v>
      </c>
      <c r="SES42" s="1046">
        <f>SES38+((SES40+'NF - 5 Power Mix'!SES14+'NF - 5 Power Mix'!SES15)*860/10)+((('Form Sa1'!SEV835)*860)/10)+('Form Sa1'!SEV814*'Form Sa1'!SEV816/10)-'NF - 5 Power Mix'!SES21-'NF - 5 Power Mix'!SES22</f>
        <v>0</v>
      </c>
      <c r="SET42" s="1046">
        <f>SET38+((SET40+'NF - 5 Power Mix'!SET14+'NF - 5 Power Mix'!SET15)*860/10)+((('Form Sa1'!SEW835)*860)/10)+('Form Sa1'!SEW814*'Form Sa1'!SEW816/10)-'NF - 5 Power Mix'!SET21-'NF - 5 Power Mix'!SET22</f>
        <v>0</v>
      </c>
      <c r="SEU42" s="1046">
        <f>SEU38+((SEU40+'NF - 5 Power Mix'!SEU14+'NF - 5 Power Mix'!SEU15)*860/10)+((('Form Sa1'!SEX835)*860)/10)+('Form Sa1'!SEX814*'Form Sa1'!SEX816/10)-'NF - 5 Power Mix'!SEU21-'NF - 5 Power Mix'!SEU22</f>
        <v>0</v>
      </c>
      <c r="SEV42" s="1046">
        <f>SEV38+((SEV40+'NF - 5 Power Mix'!SEV14+'NF - 5 Power Mix'!SEV15)*860/10)+((('Form Sa1'!SEY835)*860)/10)+('Form Sa1'!SEY814*'Form Sa1'!SEY816/10)-'NF - 5 Power Mix'!SEV21-'NF - 5 Power Mix'!SEV22</f>
        <v>0</v>
      </c>
      <c r="SEW42" s="1046">
        <f>SEW38+((SEW40+'NF - 5 Power Mix'!SEW14+'NF - 5 Power Mix'!SEW15)*860/10)+((('Form Sa1'!SEZ835)*860)/10)+('Form Sa1'!SEZ814*'Form Sa1'!SEZ816/10)-'NF - 5 Power Mix'!SEW21-'NF - 5 Power Mix'!SEW22</f>
        <v>0</v>
      </c>
      <c r="SEX42" s="1046">
        <f>SEX38+((SEX40+'NF - 5 Power Mix'!SEX14+'NF - 5 Power Mix'!SEX15)*860/10)+((('Form Sa1'!SFA835)*860)/10)+('Form Sa1'!SFA814*'Form Sa1'!SFA816/10)-'NF - 5 Power Mix'!SEX21-'NF - 5 Power Mix'!SEX22</f>
        <v>0</v>
      </c>
      <c r="SEY42" s="1046">
        <f>SEY38+((SEY40+'NF - 5 Power Mix'!SEY14+'NF - 5 Power Mix'!SEY15)*860/10)+((('Form Sa1'!SFB835)*860)/10)+('Form Sa1'!SFB814*'Form Sa1'!SFB816/10)-'NF - 5 Power Mix'!SEY21-'NF - 5 Power Mix'!SEY22</f>
        <v>0</v>
      </c>
      <c r="SEZ42" s="1046">
        <f>SEZ38+((SEZ40+'NF - 5 Power Mix'!SEZ14+'NF - 5 Power Mix'!SEZ15)*860/10)+((('Form Sa1'!SFC835)*860)/10)+('Form Sa1'!SFC814*'Form Sa1'!SFC816/10)-'NF - 5 Power Mix'!SEZ21-'NF - 5 Power Mix'!SEZ22</f>
        <v>0</v>
      </c>
      <c r="SFA42" s="1046">
        <f>SFA38+((SFA40+'NF - 5 Power Mix'!SFA14+'NF - 5 Power Mix'!SFA15)*860/10)+((('Form Sa1'!SFD835)*860)/10)+('Form Sa1'!SFD814*'Form Sa1'!SFD816/10)-'NF - 5 Power Mix'!SFA21-'NF - 5 Power Mix'!SFA22</f>
        <v>0</v>
      </c>
      <c r="SFB42" s="1046">
        <f>SFB38+((SFB40+'NF - 5 Power Mix'!SFB14+'NF - 5 Power Mix'!SFB15)*860/10)+((('Form Sa1'!SFE835)*860)/10)+('Form Sa1'!SFE814*'Form Sa1'!SFE816/10)-'NF - 5 Power Mix'!SFB21-'NF - 5 Power Mix'!SFB22</f>
        <v>0</v>
      </c>
      <c r="SFC42" s="1046">
        <f>SFC38+((SFC40+'NF - 5 Power Mix'!SFC14+'NF - 5 Power Mix'!SFC15)*860/10)+((('Form Sa1'!SFF835)*860)/10)+('Form Sa1'!SFF814*'Form Sa1'!SFF816/10)-'NF - 5 Power Mix'!SFC21-'NF - 5 Power Mix'!SFC22</f>
        <v>0</v>
      </c>
      <c r="SFD42" s="1046">
        <f>SFD38+((SFD40+'NF - 5 Power Mix'!SFD14+'NF - 5 Power Mix'!SFD15)*860/10)+((('Form Sa1'!SFG835)*860)/10)+('Form Sa1'!SFG814*'Form Sa1'!SFG816/10)-'NF - 5 Power Mix'!SFD21-'NF - 5 Power Mix'!SFD22</f>
        <v>0</v>
      </c>
      <c r="SFE42" s="1046">
        <f>SFE38+((SFE40+'NF - 5 Power Mix'!SFE14+'NF - 5 Power Mix'!SFE15)*860/10)+((('Form Sa1'!SFH835)*860)/10)+('Form Sa1'!SFH814*'Form Sa1'!SFH816/10)-'NF - 5 Power Mix'!SFE21-'NF - 5 Power Mix'!SFE22</f>
        <v>0</v>
      </c>
      <c r="SFF42" s="1046">
        <f>SFF38+((SFF40+'NF - 5 Power Mix'!SFF14+'NF - 5 Power Mix'!SFF15)*860/10)+((('Form Sa1'!SFI835)*860)/10)+('Form Sa1'!SFI814*'Form Sa1'!SFI816/10)-'NF - 5 Power Mix'!SFF21-'NF - 5 Power Mix'!SFF22</f>
        <v>0</v>
      </c>
      <c r="SFG42" s="1046">
        <f>SFG38+((SFG40+'NF - 5 Power Mix'!SFG14+'NF - 5 Power Mix'!SFG15)*860/10)+((('Form Sa1'!SFJ835)*860)/10)+('Form Sa1'!SFJ814*'Form Sa1'!SFJ816/10)-'NF - 5 Power Mix'!SFG21-'NF - 5 Power Mix'!SFG22</f>
        <v>0</v>
      </c>
      <c r="SFH42" s="1046">
        <f>SFH38+((SFH40+'NF - 5 Power Mix'!SFH14+'NF - 5 Power Mix'!SFH15)*860/10)+((('Form Sa1'!SFK835)*860)/10)+('Form Sa1'!SFK814*'Form Sa1'!SFK816/10)-'NF - 5 Power Mix'!SFH21-'NF - 5 Power Mix'!SFH22</f>
        <v>0</v>
      </c>
      <c r="SFI42" s="1046">
        <f>SFI38+((SFI40+'NF - 5 Power Mix'!SFI14+'NF - 5 Power Mix'!SFI15)*860/10)+((('Form Sa1'!SFL835)*860)/10)+('Form Sa1'!SFL814*'Form Sa1'!SFL816/10)-'NF - 5 Power Mix'!SFI21-'NF - 5 Power Mix'!SFI22</f>
        <v>0</v>
      </c>
      <c r="SFJ42" s="1046">
        <f>SFJ38+((SFJ40+'NF - 5 Power Mix'!SFJ14+'NF - 5 Power Mix'!SFJ15)*860/10)+((('Form Sa1'!SFM835)*860)/10)+('Form Sa1'!SFM814*'Form Sa1'!SFM816/10)-'NF - 5 Power Mix'!SFJ21-'NF - 5 Power Mix'!SFJ22</f>
        <v>0</v>
      </c>
      <c r="SFK42" s="1046">
        <f>SFK38+((SFK40+'NF - 5 Power Mix'!SFK14+'NF - 5 Power Mix'!SFK15)*860/10)+((('Form Sa1'!SFN835)*860)/10)+('Form Sa1'!SFN814*'Form Sa1'!SFN816/10)-'NF - 5 Power Mix'!SFK21-'NF - 5 Power Mix'!SFK22</f>
        <v>0</v>
      </c>
      <c r="SFL42" s="1046">
        <f>SFL38+((SFL40+'NF - 5 Power Mix'!SFL14+'NF - 5 Power Mix'!SFL15)*860/10)+((('Form Sa1'!SFO835)*860)/10)+('Form Sa1'!SFO814*'Form Sa1'!SFO816/10)-'NF - 5 Power Mix'!SFL21-'NF - 5 Power Mix'!SFL22</f>
        <v>0</v>
      </c>
      <c r="SFM42" s="1046">
        <f>SFM38+((SFM40+'NF - 5 Power Mix'!SFM14+'NF - 5 Power Mix'!SFM15)*860/10)+((('Form Sa1'!SFP835)*860)/10)+('Form Sa1'!SFP814*'Form Sa1'!SFP816/10)-'NF - 5 Power Mix'!SFM21-'NF - 5 Power Mix'!SFM22</f>
        <v>0</v>
      </c>
      <c r="SFN42" s="1046">
        <f>SFN38+((SFN40+'NF - 5 Power Mix'!SFN14+'NF - 5 Power Mix'!SFN15)*860/10)+((('Form Sa1'!SFQ835)*860)/10)+('Form Sa1'!SFQ814*'Form Sa1'!SFQ816/10)-'NF - 5 Power Mix'!SFN21-'NF - 5 Power Mix'!SFN22</f>
        <v>0</v>
      </c>
      <c r="SFO42" s="1046">
        <f>SFO38+((SFO40+'NF - 5 Power Mix'!SFO14+'NF - 5 Power Mix'!SFO15)*860/10)+((('Form Sa1'!SFR835)*860)/10)+('Form Sa1'!SFR814*'Form Sa1'!SFR816/10)-'NF - 5 Power Mix'!SFO21-'NF - 5 Power Mix'!SFO22</f>
        <v>0</v>
      </c>
      <c r="SFP42" s="1046">
        <f>SFP38+((SFP40+'NF - 5 Power Mix'!SFP14+'NF - 5 Power Mix'!SFP15)*860/10)+((('Form Sa1'!SFS835)*860)/10)+('Form Sa1'!SFS814*'Form Sa1'!SFS816/10)-'NF - 5 Power Mix'!SFP21-'NF - 5 Power Mix'!SFP22</f>
        <v>0</v>
      </c>
      <c r="SFQ42" s="1046">
        <f>SFQ38+((SFQ40+'NF - 5 Power Mix'!SFQ14+'NF - 5 Power Mix'!SFQ15)*860/10)+((('Form Sa1'!SFT835)*860)/10)+('Form Sa1'!SFT814*'Form Sa1'!SFT816/10)-'NF - 5 Power Mix'!SFQ21-'NF - 5 Power Mix'!SFQ22</f>
        <v>0</v>
      </c>
      <c r="SFR42" s="1046">
        <f>SFR38+((SFR40+'NF - 5 Power Mix'!SFR14+'NF - 5 Power Mix'!SFR15)*860/10)+((('Form Sa1'!SFU835)*860)/10)+('Form Sa1'!SFU814*'Form Sa1'!SFU816/10)-'NF - 5 Power Mix'!SFR21-'NF - 5 Power Mix'!SFR22</f>
        <v>0</v>
      </c>
      <c r="SFS42" s="1046">
        <f>SFS38+((SFS40+'NF - 5 Power Mix'!SFS14+'NF - 5 Power Mix'!SFS15)*860/10)+((('Form Sa1'!SFV835)*860)/10)+('Form Sa1'!SFV814*'Form Sa1'!SFV816/10)-'NF - 5 Power Mix'!SFS21-'NF - 5 Power Mix'!SFS22</f>
        <v>0</v>
      </c>
      <c r="SFT42" s="1046">
        <f>SFT38+((SFT40+'NF - 5 Power Mix'!SFT14+'NF - 5 Power Mix'!SFT15)*860/10)+((('Form Sa1'!SFW835)*860)/10)+('Form Sa1'!SFW814*'Form Sa1'!SFW816/10)-'NF - 5 Power Mix'!SFT21-'NF - 5 Power Mix'!SFT22</f>
        <v>0</v>
      </c>
      <c r="SFU42" s="1046">
        <f>SFU38+((SFU40+'NF - 5 Power Mix'!SFU14+'NF - 5 Power Mix'!SFU15)*860/10)+((('Form Sa1'!SFX835)*860)/10)+('Form Sa1'!SFX814*'Form Sa1'!SFX816/10)-'NF - 5 Power Mix'!SFU21-'NF - 5 Power Mix'!SFU22</f>
        <v>0</v>
      </c>
      <c r="SFV42" s="1046">
        <f>SFV38+((SFV40+'NF - 5 Power Mix'!SFV14+'NF - 5 Power Mix'!SFV15)*860/10)+((('Form Sa1'!SFY835)*860)/10)+('Form Sa1'!SFY814*'Form Sa1'!SFY816/10)-'NF - 5 Power Mix'!SFV21-'NF - 5 Power Mix'!SFV22</f>
        <v>0</v>
      </c>
      <c r="SFW42" s="1046">
        <f>SFW38+((SFW40+'NF - 5 Power Mix'!SFW14+'NF - 5 Power Mix'!SFW15)*860/10)+((('Form Sa1'!SFZ835)*860)/10)+('Form Sa1'!SFZ814*'Form Sa1'!SFZ816/10)-'NF - 5 Power Mix'!SFW21-'NF - 5 Power Mix'!SFW22</f>
        <v>0</v>
      </c>
      <c r="SFX42" s="1046">
        <f>SFX38+((SFX40+'NF - 5 Power Mix'!SFX14+'NF - 5 Power Mix'!SFX15)*860/10)+((('Form Sa1'!SGA835)*860)/10)+('Form Sa1'!SGA814*'Form Sa1'!SGA816/10)-'NF - 5 Power Mix'!SFX21-'NF - 5 Power Mix'!SFX22</f>
        <v>0</v>
      </c>
      <c r="SFY42" s="1046">
        <f>SFY38+((SFY40+'NF - 5 Power Mix'!SFY14+'NF - 5 Power Mix'!SFY15)*860/10)+((('Form Sa1'!SGB835)*860)/10)+('Form Sa1'!SGB814*'Form Sa1'!SGB816/10)-'NF - 5 Power Mix'!SFY21-'NF - 5 Power Mix'!SFY22</f>
        <v>0</v>
      </c>
      <c r="SFZ42" s="1046">
        <f>SFZ38+((SFZ40+'NF - 5 Power Mix'!SFZ14+'NF - 5 Power Mix'!SFZ15)*860/10)+((('Form Sa1'!SGC835)*860)/10)+('Form Sa1'!SGC814*'Form Sa1'!SGC816/10)-'NF - 5 Power Mix'!SFZ21-'NF - 5 Power Mix'!SFZ22</f>
        <v>0</v>
      </c>
      <c r="SGA42" s="1046">
        <f>SGA38+((SGA40+'NF - 5 Power Mix'!SGA14+'NF - 5 Power Mix'!SGA15)*860/10)+((('Form Sa1'!SGD835)*860)/10)+('Form Sa1'!SGD814*'Form Sa1'!SGD816/10)-'NF - 5 Power Mix'!SGA21-'NF - 5 Power Mix'!SGA22</f>
        <v>0</v>
      </c>
      <c r="SGB42" s="1046">
        <f>SGB38+((SGB40+'NF - 5 Power Mix'!SGB14+'NF - 5 Power Mix'!SGB15)*860/10)+((('Form Sa1'!SGE835)*860)/10)+('Form Sa1'!SGE814*'Form Sa1'!SGE816/10)-'NF - 5 Power Mix'!SGB21-'NF - 5 Power Mix'!SGB22</f>
        <v>0</v>
      </c>
      <c r="SGC42" s="1046">
        <f>SGC38+((SGC40+'NF - 5 Power Mix'!SGC14+'NF - 5 Power Mix'!SGC15)*860/10)+((('Form Sa1'!SGF835)*860)/10)+('Form Sa1'!SGF814*'Form Sa1'!SGF816/10)-'NF - 5 Power Mix'!SGC21-'NF - 5 Power Mix'!SGC22</f>
        <v>0</v>
      </c>
      <c r="SGD42" s="1046">
        <f>SGD38+((SGD40+'NF - 5 Power Mix'!SGD14+'NF - 5 Power Mix'!SGD15)*860/10)+((('Form Sa1'!SGG835)*860)/10)+('Form Sa1'!SGG814*'Form Sa1'!SGG816/10)-'NF - 5 Power Mix'!SGD21-'NF - 5 Power Mix'!SGD22</f>
        <v>0</v>
      </c>
      <c r="SGE42" s="1046">
        <f>SGE38+((SGE40+'NF - 5 Power Mix'!SGE14+'NF - 5 Power Mix'!SGE15)*860/10)+((('Form Sa1'!SGH835)*860)/10)+('Form Sa1'!SGH814*'Form Sa1'!SGH816/10)-'NF - 5 Power Mix'!SGE21-'NF - 5 Power Mix'!SGE22</f>
        <v>0</v>
      </c>
      <c r="SGF42" s="1046">
        <f>SGF38+((SGF40+'NF - 5 Power Mix'!SGF14+'NF - 5 Power Mix'!SGF15)*860/10)+((('Form Sa1'!SGI835)*860)/10)+('Form Sa1'!SGI814*'Form Sa1'!SGI816/10)-'NF - 5 Power Mix'!SGF21-'NF - 5 Power Mix'!SGF22</f>
        <v>0</v>
      </c>
      <c r="SGG42" s="1046">
        <f>SGG38+((SGG40+'NF - 5 Power Mix'!SGG14+'NF - 5 Power Mix'!SGG15)*860/10)+((('Form Sa1'!SGJ835)*860)/10)+('Form Sa1'!SGJ814*'Form Sa1'!SGJ816/10)-'NF - 5 Power Mix'!SGG21-'NF - 5 Power Mix'!SGG22</f>
        <v>0</v>
      </c>
      <c r="SGH42" s="1046">
        <f>SGH38+((SGH40+'NF - 5 Power Mix'!SGH14+'NF - 5 Power Mix'!SGH15)*860/10)+((('Form Sa1'!SGK835)*860)/10)+('Form Sa1'!SGK814*'Form Sa1'!SGK816/10)-'NF - 5 Power Mix'!SGH21-'NF - 5 Power Mix'!SGH22</f>
        <v>0</v>
      </c>
      <c r="SGI42" s="1046">
        <f>SGI38+((SGI40+'NF - 5 Power Mix'!SGI14+'NF - 5 Power Mix'!SGI15)*860/10)+((('Form Sa1'!SGL835)*860)/10)+('Form Sa1'!SGL814*'Form Sa1'!SGL816/10)-'NF - 5 Power Mix'!SGI21-'NF - 5 Power Mix'!SGI22</f>
        <v>0</v>
      </c>
      <c r="SGJ42" s="1046">
        <f>SGJ38+((SGJ40+'NF - 5 Power Mix'!SGJ14+'NF - 5 Power Mix'!SGJ15)*860/10)+((('Form Sa1'!SGM835)*860)/10)+('Form Sa1'!SGM814*'Form Sa1'!SGM816/10)-'NF - 5 Power Mix'!SGJ21-'NF - 5 Power Mix'!SGJ22</f>
        <v>0</v>
      </c>
      <c r="SGK42" s="1046">
        <f>SGK38+((SGK40+'NF - 5 Power Mix'!SGK14+'NF - 5 Power Mix'!SGK15)*860/10)+((('Form Sa1'!SGN835)*860)/10)+('Form Sa1'!SGN814*'Form Sa1'!SGN816/10)-'NF - 5 Power Mix'!SGK21-'NF - 5 Power Mix'!SGK22</f>
        <v>0</v>
      </c>
      <c r="SGL42" s="1046">
        <f>SGL38+((SGL40+'NF - 5 Power Mix'!SGL14+'NF - 5 Power Mix'!SGL15)*860/10)+((('Form Sa1'!SGO835)*860)/10)+('Form Sa1'!SGO814*'Form Sa1'!SGO816/10)-'NF - 5 Power Mix'!SGL21-'NF - 5 Power Mix'!SGL22</f>
        <v>0</v>
      </c>
      <c r="SGM42" s="1046">
        <f>SGM38+((SGM40+'NF - 5 Power Mix'!SGM14+'NF - 5 Power Mix'!SGM15)*860/10)+((('Form Sa1'!SGP835)*860)/10)+('Form Sa1'!SGP814*'Form Sa1'!SGP816/10)-'NF - 5 Power Mix'!SGM21-'NF - 5 Power Mix'!SGM22</f>
        <v>0</v>
      </c>
      <c r="SGN42" s="1046">
        <f>SGN38+((SGN40+'NF - 5 Power Mix'!SGN14+'NF - 5 Power Mix'!SGN15)*860/10)+((('Form Sa1'!SGQ835)*860)/10)+('Form Sa1'!SGQ814*'Form Sa1'!SGQ816/10)-'NF - 5 Power Mix'!SGN21-'NF - 5 Power Mix'!SGN22</f>
        <v>0</v>
      </c>
      <c r="SGO42" s="1046">
        <f>SGO38+((SGO40+'NF - 5 Power Mix'!SGO14+'NF - 5 Power Mix'!SGO15)*860/10)+((('Form Sa1'!SGR835)*860)/10)+('Form Sa1'!SGR814*'Form Sa1'!SGR816/10)-'NF - 5 Power Mix'!SGO21-'NF - 5 Power Mix'!SGO22</f>
        <v>0</v>
      </c>
      <c r="SGP42" s="1046">
        <f>SGP38+((SGP40+'NF - 5 Power Mix'!SGP14+'NF - 5 Power Mix'!SGP15)*860/10)+((('Form Sa1'!SGS835)*860)/10)+('Form Sa1'!SGS814*'Form Sa1'!SGS816/10)-'NF - 5 Power Mix'!SGP21-'NF - 5 Power Mix'!SGP22</f>
        <v>0</v>
      </c>
      <c r="SGQ42" s="1046">
        <f>SGQ38+((SGQ40+'NF - 5 Power Mix'!SGQ14+'NF - 5 Power Mix'!SGQ15)*860/10)+((('Form Sa1'!SGT835)*860)/10)+('Form Sa1'!SGT814*'Form Sa1'!SGT816/10)-'NF - 5 Power Mix'!SGQ21-'NF - 5 Power Mix'!SGQ22</f>
        <v>0</v>
      </c>
      <c r="SGR42" s="1046">
        <f>SGR38+((SGR40+'NF - 5 Power Mix'!SGR14+'NF - 5 Power Mix'!SGR15)*860/10)+((('Form Sa1'!SGU835)*860)/10)+('Form Sa1'!SGU814*'Form Sa1'!SGU816/10)-'NF - 5 Power Mix'!SGR21-'NF - 5 Power Mix'!SGR22</f>
        <v>0</v>
      </c>
      <c r="SGS42" s="1046">
        <f>SGS38+((SGS40+'NF - 5 Power Mix'!SGS14+'NF - 5 Power Mix'!SGS15)*860/10)+((('Form Sa1'!SGV835)*860)/10)+('Form Sa1'!SGV814*'Form Sa1'!SGV816/10)-'NF - 5 Power Mix'!SGS21-'NF - 5 Power Mix'!SGS22</f>
        <v>0</v>
      </c>
      <c r="SGT42" s="1046">
        <f>SGT38+((SGT40+'NF - 5 Power Mix'!SGT14+'NF - 5 Power Mix'!SGT15)*860/10)+((('Form Sa1'!SGW835)*860)/10)+('Form Sa1'!SGW814*'Form Sa1'!SGW816/10)-'NF - 5 Power Mix'!SGT21-'NF - 5 Power Mix'!SGT22</f>
        <v>0</v>
      </c>
      <c r="SGU42" s="1046">
        <f>SGU38+((SGU40+'NF - 5 Power Mix'!SGU14+'NF - 5 Power Mix'!SGU15)*860/10)+((('Form Sa1'!SGX835)*860)/10)+('Form Sa1'!SGX814*'Form Sa1'!SGX816/10)-'NF - 5 Power Mix'!SGU21-'NF - 5 Power Mix'!SGU22</f>
        <v>0</v>
      </c>
      <c r="SGV42" s="1046">
        <f>SGV38+((SGV40+'NF - 5 Power Mix'!SGV14+'NF - 5 Power Mix'!SGV15)*860/10)+((('Form Sa1'!SGY835)*860)/10)+('Form Sa1'!SGY814*'Form Sa1'!SGY816/10)-'NF - 5 Power Mix'!SGV21-'NF - 5 Power Mix'!SGV22</f>
        <v>0</v>
      </c>
      <c r="SGW42" s="1046">
        <f>SGW38+((SGW40+'NF - 5 Power Mix'!SGW14+'NF - 5 Power Mix'!SGW15)*860/10)+((('Form Sa1'!SGZ835)*860)/10)+('Form Sa1'!SGZ814*'Form Sa1'!SGZ816/10)-'NF - 5 Power Mix'!SGW21-'NF - 5 Power Mix'!SGW22</f>
        <v>0</v>
      </c>
      <c r="SGX42" s="1046">
        <f>SGX38+((SGX40+'NF - 5 Power Mix'!SGX14+'NF - 5 Power Mix'!SGX15)*860/10)+((('Form Sa1'!SHA835)*860)/10)+('Form Sa1'!SHA814*'Form Sa1'!SHA816/10)-'NF - 5 Power Mix'!SGX21-'NF - 5 Power Mix'!SGX22</f>
        <v>0</v>
      </c>
      <c r="SGY42" s="1046">
        <f>SGY38+((SGY40+'NF - 5 Power Mix'!SGY14+'NF - 5 Power Mix'!SGY15)*860/10)+((('Form Sa1'!SHB835)*860)/10)+('Form Sa1'!SHB814*'Form Sa1'!SHB816/10)-'NF - 5 Power Mix'!SGY21-'NF - 5 Power Mix'!SGY22</f>
        <v>0</v>
      </c>
      <c r="SGZ42" s="1046">
        <f>SGZ38+((SGZ40+'NF - 5 Power Mix'!SGZ14+'NF - 5 Power Mix'!SGZ15)*860/10)+((('Form Sa1'!SHC835)*860)/10)+('Form Sa1'!SHC814*'Form Sa1'!SHC816/10)-'NF - 5 Power Mix'!SGZ21-'NF - 5 Power Mix'!SGZ22</f>
        <v>0</v>
      </c>
      <c r="SHA42" s="1046">
        <f>SHA38+((SHA40+'NF - 5 Power Mix'!SHA14+'NF - 5 Power Mix'!SHA15)*860/10)+((('Form Sa1'!SHD835)*860)/10)+('Form Sa1'!SHD814*'Form Sa1'!SHD816/10)-'NF - 5 Power Mix'!SHA21-'NF - 5 Power Mix'!SHA22</f>
        <v>0</v>
      </c>
      <c r="SHB42" s="1046">
        <f>SHB38+((SHB40+'NF - 5 Power Mix'!SHB14+'NF - 5 Power Mix'!SHB15)*860/10)+((('Form Sa1'!SHE835)*860)/10)+('Form Sa1'!SHE814*'Form Sa1'!SHE816/10)-'NF - 5 Power Mix'!SHB21-'NF - 5 Power Mix'!SHB22</f>
        <v>0</v>
      </c>
      <c r="SHC42" s="1046">
        <f>SHC38+((SHC40+'NF - 5 Power Mix'!SHC14+'NF - 5 Power Mix'!SHC15)*860/10)+((('Form Sa1'!SHF835)*860)/10)+('Form Sa1'!SHF814*'Form Sa1'!SHF816/10)-'NF - 5 Power Mix'!SHC21-'NF - 5 Power Mix'!SHC22</f>
        <v>0</v>
      </c>
      <c r="SHD42" s="1046">
        <f>SHD38+((SHD40+'NF - 5 Power Mix'!SHD14+'NF - 5 Power Mix'!SHD15)*860/10)+((('Form Sa1'!SHG835)*860)/10)+('Form Sa1'!SHG814*'Form Sa1'!SHG816/10)-'NF - 5 Power Mix'!SHD21-'NF - 5 Power Mix'!SHD22</f>
        <v>0</v>
      </c>
      <c r="SHE42" s="1046">
        <f>SHE38+((SHE40+'NF - 5 Power Mix'!SHE14+'NF - 5 Power Mix'!SHE15)*860/10)+((('Form Sa1'!SHH835)*860)/10)+('Form Sa1'!SHH814*'Form Sa1'!SHH816/10)-'NF - 5 Power Mix'!SHE21-'NF - 5 Power Mix'!SHE22</f>
        <v>0</v>
      </c>
      <c r="SHF42" s="1046">
        <f>SHF38+((SHF40+'NF - 5 Power Mix'!SHF14+'NF - 5 Power Mix'!SHF15)*860/10)+((('Form Sa1'!SHI835)*860)/10)+('Form Sa1'!SHI814*'Form Sa1'!SHI816/10)-'NF - 5 Power Mix'!SHF21-'NF - 5 Power Mix'!SHF22</f>
        <v>0</v>
      </c>
      <c r="SHG42" s="1046">
        <f>SHG38+((SHG40+'NF - 5 Power Mix'!SHG14+'NF - 5 Power Mix'!SHG15)*860/10)+((('Form Sa1'!SHJ835)*860)/10)+('Form Sa1'!SHJ814*'Form Sa1'!SHJ816/10)-'NF - 5 Power Mix'!SHG21-'NF - 5 Power Mix'!SHG22</f>
        <v>0</v>
      </c>
      <c r="SHH42" s="1046">
        <f>SHH38+((SHH40+'NF - 5 Power Mix'!SHH14+'NF - 5 Power Mix'!SHH15)*860/10)+((('Form Sa1'!SHK835)*860)/10)+('Form Sa1'!SHK814*'Form Sa1'!SHK816/10)-'NF - 5 Power Mix'!SHH21-'NF - 5 Power Mix'!SHH22</f>
        <v>0</v>
      </c>
      <c r="SHI42" s="1046">
        <f>SHI38+((SHI40+'NF - 5 Power Mix'!SHI14+'NF - 5 Power Mix'!SHI15)*860/10)+((('Form Sa1'!SHL835)*860)/10)+('Form Sa1'!SHL814*'Form Sa1'!SHL816/10)-'NF - 5 Power Mix'!SHI21-'NF - 5 Power Mix'!SHI22</f>
        <v>0</v>
      </c>
      <c r="SHJ42" s="1046">
        <f>SHJ38+((SHJ40+'NF - 5 Power Mix'!SHJ14+'NF - 5 Power Mix'!SHJ15)*860/10)+((('Form Sa1'!SHM835)*860)/10)+('Form Sa1'!SHM814*'Form Sa1'!SHM816/10)-'NF - 5 Power Mix'!SHJ21-'NF - 5 Power Mix'!SHJ22</f>
        <v>0</v>
      </c>
      <c r="SHK42" s="1046">
        <f>SHK38+((SHK40+'NF - 5 Power Mix'!SHK14+'NF - 5 Power Mix'!SHK15)*860/10)+((('Form Sa1'!SHN835)*860)/10)+('Form Sa1'!SHN814*'Form Sa1'!SHN816/10)-'NF - 5 Power Mix'!SHK21-'NF - 5 Power Mix'!SHK22</f>
        <v>0</v>
      </c>
      <c r="SHL42" s="1046">
        <f>SHL38+((SHL40+'NF - 5 Power Mix'!SHL14+'NF - 5 Power Mix'!SHL15)*860/10)+((('Form Sa1'!SHO835)*860)/10)+('Form Sa1'!SHO814*'Form Sa1'!SHO816/10)-'NF - 5 Power Mix'!SHL21-'NF - 5 Power Mix'!SHL22</f>
        <v>0</v>
      </c>
      <c r="SHM42" s="1046">
        <f>SHM38+((SHM40+'NF - 5 Power Mix'!SHM14+'NF - 5 Power Mix'!SHM15)*860/10)+((('Form Sa1'!SHP835)*860)/10)+('Form Sa1'!SHP814*'Form Sa1'!SHP816/10)-'NF - 5 Power Mix'!SHM21-'NF - 5 Power Mix'!SHM22</f>
        <v>0</v>
      </c>
      <c r="SHN42" s="1046">
        <f>SHN38+((SHN40+'NF - 5 Power Mix'!SHN14+'NF - 5 Power Mix'!SHN15)*860/10)+((('Form Sa1'!SHQ835)*860)/10)+('Form Sa1'!SHQ814*'Form Sa1'!SHQ816/10)-'NF - 5 Power Mix'!SHN21-'NF - 5 Power Mix'!SHN22</f>
        <v>0</v>
      </c>
      <c r="SHO42" s="1046">
        <f>SHO38+((SHO40+'NF - 5 Power Mix'!SHO14+'NF - 5 Power Mix'!SHO15)*860/10)+((('Form Sa1'!SHR835)*860)/10)+('Form Sa1'!SHR814*'Form Sa1'!SHR816/10)-'NF - 5 Power Mix'!SHO21-'NF - 5 Power Mix'!SHO22</f>
        <v>0</v>
      </c>
      <c r="SHP42" s="1046">
        <f>SHP38+((SHP40+'NF - 5 Power Mix'!SHP14+'NF - 5 Power Mix'!SHP15)*860/10)+((('Form Sa1'!SHS835)*860)/10)+('Form Sa1'!SHS814*'Form Sa1'!SHS816/10)-'NF - 5 Power Mix'!SHP21-'NF - 5 Power Mix'!SHP22</f>
        <v>0</v>
      </c>
      <c r="SHQ42" s="1046">
        <f>SHQ38+((SHQ40+'NF - 5 Power Mix'!SHQ14+'NF - 5 Power Mix'!SHQ15)*860/10)+((('Form Sa1'!SHT835)*860)/10)+('Form Sa1'!SHT814*'Form Sa1'!SHT816/10)-'NF - 5 Power Mix'!SHQ21-'NF - 5 Power Mix'!SHQ22</f>
        <v>0</v>
      </c>
      <c r="SHR42" s="1046">
        <f>SHR38+((SHR40+'NF - 5 Power Mix'!SHR14+'NF - 5 Power Mix'!SHR15)*860/10)+((('Form Sa1'!SHU835)*860)/10)+('Form Sa1'!SHU814*'Form Sa1'!SHU816/10)-'NF - 5 Power Mix'!SHR21-'NF - 5 Power Mix'!SHR22</f>
        <v>0</v>
      </c>
      <c r="SHS42" s="1046">
        <f>SHS38+((SHS40+'NF - 5 Power Mix'!SHS14+'NF - 5 Power Mix'!SHS15)*860/10)+((('Form Sa1'!SHV835)*860)/10)+('Form Sa1'!SHV814*'Form Sa1'!SHV816/10)-'NF - 5 Power Mix'!SHS21-'NF - 5 Power Mix'!SHS22</f>
        <v>0</v>
      </c>
      <c r="SHT42" s="1046">
        <f>SHT38+((SHT40+'NF - 5 Power Mix'!SHT14+'NF - 5 Power Mix'!SHT15)*860/10)+((('Form Sa1'!SHW835)*860)/10)+('Form Sa1'!SHW814*'Form Sa1'!SHW816/10)-'NF - 5 Power Mix'!SHT21-'NF - 5 Power Mix'!SHT22</f>
        <v>0</v>
      </c>
      <c r="SHU42" s="1046">
        <f>SHU38+((SHU40+'NF - 5 Power Mix'!SHU14+'NF - 5 Power Mix'!SHU15)*860/10)+((('Form Sa1'!SHX835)*860)/10)+('Form Sa1'!SHX814*'Form Sa1'!SHX816/10)-'NF - 5 Power Mix'!SHU21-'NF - 5 Power Mix'!SHU22</f>
        <v>0</v>
      </c>
      <c r="SHV42" s="1046">
        <f>SHV38+((SHV40+'NF - 5 Power Mix'!SHV14+'NF - 5 Power Mix'!SHV15)*860/10)+((('Form Sa1'!SHY835)*860)/10)+('Form Sa1'!SHY814*'Form Sa1'!SHY816/10)-'NF - 5 Power Mix'!SHV21-'NF - 5 Power Mix'!SHV22</f>
        <v>0</v>
      </c>
      <c r="SHW42" s="1046">
        <f>SHW38+((SHW40+'NF - 5 Power Mix'!SHW14+'NF - 5 Power Mix'!SHW15)*860/10)+((('Form Sa1'!SHZ835)*860)/10)+('Form Sa1'!SHZ814*'Form Sa1'!SHZ816/10)-'NF - 5 Power Mix'!SHW21-'NF - 5 Power Mix'!SHW22</f>
        <v>0</v>
      </c>
      <c r="SHX42" s="1046">
        <f>SHX38+((SHX40+'NF - 5 Power Mix'!SHX14+'NF - 5 Power Mix'!SHX15)*860/10)+((('Form Sa1'!SIA835)*860)/10)+('Form Sa1'!SIA814*'Form Sa1'!SIA816/10)-'NF - 5 Power Mix'!SHX21-'NF - 5 Power Mix'!SHX22</f>
        <v>0</v>
      </c>
      <c r="SHY42" s="1046">
        <f>SHY38+((SHY40+'NF - 5 Power Mix'!SHY14+'NF - 5 Power Mix'!SHY15)*860/10)+((('Form Sa1'!SIB835)*860)/10)+('Form Sa1'!SIB814*'Form Sa1'!SIB816/10)-'NF - 5 Power Mix'!SHY21-'NF - 5 Power Mix'!SHY22</f>
        <v>0</v>
      </c>
      <c r="SHZ42" s="1046">
        <f>SHZ38+((SHZ40+'NF - 5 Power Mix'!SHZ14+'NF - 5 Power Mix'!SHZ15)*860/10)+((('Form Sa1'!SIC835)*860)/10)+('Form Sa1'!SIC814*'Form Sa1'!SIC816/10)-'NF - 5 Power Mix'!SHZ21-'NF - 5 Power Mix'!SHZ22</f>
        <v>0</v>
      </c>
      <c r="SIA42" s="1046">
        <f>SIA38+((SIA40+'NF - 5 Power Mix'!SIA14+'NF - 5 Power Mix'!SIA15)*860/10)+((('Form Sa1'!SID835)*860)/10)+('Form Sa1'!SID814*'Form Sa1'!SID816/10)-'NF - 5 Power Mix'!SIA21-'NF - 5 Power Mix'!SIA22</f>
        <v>0</v>
      </c>
      <c r="SIB42" s="1046">
        <f>SIB38+((SIB40+'NF - 5 Power Mix'!SIB14+'NF - 5 Power Mix'!SIB15)*860/10)+((('Form Sa1'!SIE835)*860)/10)+('Form Sa1'!SIE814*'Form Sa1'!SIE816/10)-'NF - 5 Power Mix'!SIB21-'NF - 5 Power Mix'!SIB22</f>
        <v>0</v>
      </c>
      <c r="SIC42" s="1046">
        <f>SIC38+((SIC40+'NF - 5 Power Mix'!SIC14+'NF - 5 Power Mix'!SIC15)*860/10)+((('Form Sa1'!SIF835)*860)/10)+('Form Sa1'!SIF814*'Form Sa1'!SIF816/10)-'NF - 5 Power Mix'!SIC21-'NF - 5 Power Mix'!SIC22</f>
        <v>0</v>
      </c>
      <c r="SID42" s="1046">
        <f>SID38+((SID40+'NF - 5 Power Mix'!SID14+'NF - 5 Power Mix'!SID15)*860/10)+((('Form Sa1'!SIG835)*860)/10)+('Form Sa1'!SIG814*'Form Sa1'!SIG816/10)-'NF - 5 Power Mix'!SID21-'NF - 5 Power Mix'!SID22</f>
        <v>0</v>
      </c>
      <c r="SIE42" s="1046">
        <f>SIE38+((SIE40+'NF - 5 Power Mix'!SIE14+'NF - 5 Power Mix'!SIE15)*860/10)+((('Form Sa1'!SIH835)*860)/10)+('Form Sa1'!SIH814*'Form Sa1'!SIH816/10)-'NF - 5 Power Mix'!SIE21-'NF - 5 Power Mix'!SIE22</f>
        <v>0</v>
      </c>
      <c r="SIF42" s="1046">
        <f>SIF38+((SIF40+'NF - 5 Power Mix'!SIF14+'NF - 5 Power Mix'!SIF15)*860/10)+((('Form Sa1'!SII835)*860)/10)+('Form Sa1'!SII814*'Form Sa1'!SII816/10)-'NF - 5 Power Mix'!SIF21-'NF - 5 Power Mix'!SIF22</f>
        <v>0</v>
      </c>
      <c r="SIG42" s="1046">
        <f>SIG38+((SIG40+'NF - 5 Power Mix'!SIG14+'NF - 5 Power Mix'!SIG15)*860/10)+((('Form Sa1'!SIJ835)*860)/10)+('Form Sa1'!SIJ814*'Form Sa1'!SIJ816/10)-'NF - 5 Power Mix'!SIG21-'NF - 5 Power Mix'!SIG22</f>
        <v>0</v>
      </c>
      <c r="SIH42" s="1046">
        <f>SIH38+((SIH40+'NF - 5 Power Mix'!SIH14+'NF - 5 Power Mix'!SIH15)*860/10)+((('Form Sa1'!SIK835)*860)/10)+('Form Sa1'!SIK814*'Form Sa1'!SIK816/10)-'NF - 5 Power Mix'!SIH21-'NF - 5 Power Mix'!SIH22</f>
        <v>0</v>
      </c>
      <c r="SII42" s="1046">
        <f>SII38+((SII40+'NF - 5 Power Mix'!SII14+'NF - 5 Power Mix'!SII15)*860/10)+((('Form Sa1'!SIL835)*860)/10)+('Form Sa1'!SIL814*'Form Sa1'!SIL816/10)-'NF - 5 Power Mix'!SII21-'NF - 5 Power Mix'!SII22</f>
        <v>0</v>
      </c>
      <c r="SIJ42" s="1046">
        <f>SIJ38+((SIJ40+'NF - 5 Power Mix'!SIJ14+'NF - 5 Power Mix'!SIJ15)*860/10)+((('Form Sa1'!SIM835)*860)/10)+('Form Sa1'!SIM814*'Form Sa1'!SIM816/10)-'NF - 5 Power Mix'!SIJ21-'NF - 5 Power Mix'!SIJ22</f>
        <v>0</v>
      </c>
      <c r="SIK42" s="1046">
        <f>SIK38+((SIK40+'NF - 5 Power Mix'!SIK14+'NF - 5 Power Mix'!SIK15)*860/10)+((('Form Sa1'!SIN835)*860)/10)+('Form Sa1'!SIN814*'Form Sa1'!SIN816/10)-'NF - 5 Power Mix'!SIK21-'NF - 5 Power Mix'!SIK22</f>
        <v>0</v>
      </c>
      <c r="SIL42" s="1046">
        <f>SIL38+((SIL40+'NF - 5 Power Mix'!SIL14+'NF - 5 Power Mix'!SIL15)*860/10)+((('Form Sa1'!SIO835)*860)/10)+('Form Sa1'!SIO814*'Form Sa1'!SIO816/10)-'NF - 5 Power Mix'!SIL21-'NF - 5 Power Mix'!SIL22</f>
        <v>0</v>
      </c>
      <c r="SIM42" s="1046">
        <f>SIM38+((SIM40+'NF - 5 Power Mix'!SIM14+'NF - 5 Power Mix'!SIM15)*860/10)+((('Form Sa1'!SIP835)*860)/10)+('Form Sa1'!SIP814*'Form Sa1'!SIP816/10)-'NF - 5 Power Mix'!SIM21-'NF - 5 Power Mix'!SIM22</f>
        <v>0</v>
      </c>
      <c r="SIN42" s="1046">
        <f>SIN38+((SIN40+'NF - 5 Power Mix'!SIN14+'NF - 5 Power Mix'!SIN15)*860/10)+((('Form Sa1'!SIQ835)*860)/10)+('Form Sa1'!SIQ814*'Form Sa1'!SIQ816/10)-'NF - 5 Power Mix'!SIN21-'NF - 5 Power Mix'!SIN22</f>
        <v>0</v>
      </c>
      <c r="SIO42" s="1046">
        <f>SIO38+((SIO40+'NF - 5 Power Mix'!SIO14+'NF - 5 Power Mix'!SIO15)*860/10)+((('Form Sa1'!SIR835)*860)/10)+('Form Sa1'!SIR814*'Form Sa1'!SIR816/10)-'NF - 5 Power Mix'!SIO21-'NF - 5 Power Mix'!SIO22</f>
        <v>0</v>
      </c>
      <c r="SIP42" s="1046">
        <f>SIP38+((SIP40+'NF - 5 Power Mix'!SIP14+'NF - 5 Power Mix'!SIP15)*860/10)+((('Form Sa1'!SIS835)*860)/10)+('Form Sa1'!SIS814*'Form Sa1'!SIS816/10)-'NF - 5 Power Mix'!SIP21-'NF - 5 Power Mix'!SIP22</f>
        <v>0</v>
      </c>
      <c r="SIQ42" s="1046">
        <f>SIQ38+((SIQ40+'NF - 5 Power Mix'!SIQ14+'NF - 5 Power Mix'!SIQ15)*860/10)+((('Form Sa1'!SIT835)*860)/10)+('Form Sa1'!SIT814*'Form Sa1'!SIT816/10)-'NF - 5 Power Mix'!SIQ21-'NF - 5 Power Mix'!SIQ22</f>
        <v>0</v>
      </c>
      <c r="SIR42" s="1046">
        <f>SIR38+((SIR40+'NF - 5 Power Mix'!SIR14+'NF - 5 Power Mix'!SIR15)*860/10)+((('Form Sa1'!SIU835)*860)/10)+('Form Sa1'!SIU814*'Form Sa1'!SIU816/10)-'NF - 5 Power Mix'!SIR21-'NF - 5 Power Mix'!SIR22</f>
        <v>0</v>
      </c>
      <c r="SIS42" s="1046">
        <f>SIS38+((SIS40+'NF - 5 Power Mix'!SIS14+'NF - 5 Power Mix'!SIS15)*860/10)+((('Form Sa1'!SIV835)*860)/10)+('Form Sa1'!SIV814*'Form Sa1'!SIV816/10)-'NF - 5 Power Mix'!SIS21-'NF - 5 Power Mix'!SIS22</f>
        <v>0</v>
      </c>
      <c r="SIT42" s="1046">
        <f>SIT38+((SIT40+'NF - 5 Power Mix'!SIT14+'NF - 5 Power Mix'!SIT15)*860/10)+((('Form Sa1'!SIW835)*860)/10)+('Form Sa1'!SIW814*'Form Sa1'!SIW816/10)-'NF - 5 Power Mix'!SIT21-'NF - 5 Power Mix'!SIT22</f>
        <v>0</v>
      </c>
      <c r="SIU42" s="1046">
        <f>SIU38+((SIU40+'NF - 5 Power Mix'!SIU14+'NF - 5 Power Mix'!SIU15)*860/10)+((('Form Sa1'!SIX835)*860)/10)+('Form Sa1'!SIX814*'Form Sa1'!SIX816/10)-'NF - 5 Power Mix'!SIU21-'NF - 5 Power Mix'!SIU22</f>
        <v>0</v>
      </c>
      <c r="SIV42" s="1046">
        <f>SIV38+((SIV40+'NF - 5 Power Mix'!SIV14+'NF - 5 Power Mix'!SIV15)*860/10)+((('Form Sa1'!SIY835)*860)/10)+('Form Sa1'!SIY814*'Form Sa1'!SIY816/10)-'NF - 5 Power Mix'!SIV21-'NF - 5 Power Mix'!SIV22</f>
        <v>0</v>
      </c>
      <c r="SIW42" s="1046">
        <f>SIW38+((SIW40+'NF - 5 Power Mix'!SIW14+'NF - 5 Power Mix'!SIW15)*860/10)+((('Form Sa1'!SIZ835)*860)/10)+('Form Sa1'!SIZ814*'Form Sa1'!SIZ816/10)-'NF - 5 Power Mix'!SIW21-'NF - 5 Power Mix'!SIW22</f>
        <v>0</v>
      </c>
      <c r="SIX42" s="1046">
        <f>SIX38+((SIX40+'NF - 5 Power Mix'!SIX14+'NF - 5 Power Mix'!SIX15)*860/10)+((('Form Sa1'!SJA835)*860)/10)+('Form Sa1'!SJA814*'Form Sa1'!SJA816/10)-'NF - 5 Power Mix'!SIX21-'NF - 5 Power Mix'!SIX22</f>
        <v>0</v>
      </c>
      <c r="SIY42" s="1046">
        <f>SIY38+((SIY40+'NF - 5 Power Mix'!SIY14+'NF - 5 Power Mix'!SIY15)*860/10)+((('Form Sa1'!SJB835)*860)/10)+('Form Sa1'!SJB814*'Form Sa1'!SJB816/10)-'NF - 5 Power Mix'!SIY21-'NF - 5 Power Mix'!SIY22</f>
        <v>0</v>
      </c>
      <c r="SIZ42" s="1046">
        <f>SIZ38+((SIZ40+'NF - 5 Power Mix'!SIZ14+'NF - 5 Power Mix'!SIZ15)*860/10)+((('Form Sa1'!SJC835)*860)/10)+('Form Sa1'!SJC814*'Form Sa1'!SJC816/10)-'NF - 5 Power Mix'!SIZ21-'NF - 5 Power Mix'!SIZ22</f>
        <v>0</v>
      </c>
      <c r="SJA42" s="1046">
        <f>SJA38+((SJA40+'NF - 5 Power Mix'!SJA14+'NF - 5 Power Mix'!SJA15)*860/10)+((('Form Sa1'!SJD835)*860)/10)+('Form Sa1'!SJD814*'Form Sa1'!SJD816/10)-'NF - 5 Power Mix'!SJA21-'NF - 5 Power Mix'!SJA22</f>
        <v>0</v>
      </c>
      <c r="SJB42" s="1046">
        <f>SJB38+((SJB40+'NF - 5 Power Mix'!SJB14+'NF - 5 Power Mix'!SJB15)*860/10)+((('Form Sa1'!SJE835)*860)/10)+('Form Sa1'!SJE814*'Form Sa1'!SJE816/10)-'NF - 5 Power Mix'!SJB21-'NF - 5 Power Mix'!SJB22</f>
        <v>0</v>
      </c>
      <c r="SJC42" s="1046">
        <f>SJC38+((SJC40+'NF - 5 Power Mix'!SJC14+'NF - 5 Power Mix'!SJC15)*860/10)+((('Form Sa1'!SJF835)*860)/10)+('Form Sa1'!SJF814*'Form Sa1'!SJF816/10)-'NF - 5 Power Mix'!SJC21-'NF - 5 Power Mix'!SJC22</f>
        <v>0</v>
      </c>
      <c r="SJD42" s="1046">
        <f>SJD38+((SJD40+'NF - 5 Power Mix'!SJD14+'NF - 5 Power Mix'!SJD15)*860/10)+((('Form Sa1'!SJG835)*860)/10)+('Form Sa1'!SJG814*'Form Sa1'!SJG816/10)-'NF - 5 Power Mix'!SJD21-'NF - 5 Power Mix'!SJD22</f>
        <v>0</v>
      </c>
      <c r="SJE42" s="1046">
        <f>SJE38+((SJE40+'NF - 5 Power Mix'!SJE14+'NF - 5 Power Mix'!SJE15)*860/10)+((('Form Sa1'!SJH835)*860)/10)+('Form Sa1'!SJH814*'Form Sa1'!SJH816/10)-'NF - 5 Power Mix'!SJE21-'NF - 5 Power Mix'!SJE22</f>
        <v>0</v>
      </c>
      <c r="SJF42" s="1046">
        <f>SJF38+((SJF40+'NF - 5 Power Mix'!SJF14+'NF - 5 Power Mix'!SJF15)*860/10)+((('Form Sa1'!SJI835)*860)/10)+('Form Sa1'!SJI814*'Form Sa1'!SJI816/10)-'NF - 5 Power Mix'!SJF21-'NF - 5 Power Mix'!SJF22</f>
        <v>0</v>
      </c>
      <c r="SJG42" s="1046">
        <f>SJG38+((SJG40+'NF - 5 Power Mix'!SJG14+'NF - 5 Power Mix'!SJG15)*860/10)+((('Form Sa1'!SJJ835)*860)/10)+('Form Sa1'!SJJ814*'Form Sa1'!SJJ816/10)-'NF - 5 Power Mix'!SJG21-'NF - 5 Power Mix'!SJG22</f>
        <v>0</v>
      </c>
      <c r="SJH42" s="1046">
        <f>SJH38+((SJH40+'NF - 5 Power Mix'!SJH14+'NF - 5 Power Mix'!SJH15)*860/10)+((('Form Sa1'!SJK835)*860)/10)+('Form Sa1'!SJK814*'Form Sa1'!SJK816/10)-'NF - 5 Power Mix'!SJH21-'NF - 5 Power Mix'!SJH22</f>
        <v>0</v>
      </c>
      <c r="SJI42" s="1046">
        <f>SJI38+((SJI40+'NF - 5 Power Mix'!SJI14+'NF - 5 Power Mix'!SJI15)*860/10)+((('Form Sa1'!SJL835)*860)/10)+('Form Sa1'!SJL814*'Form Sa1'!SJL816/10)-'NF - 5 Power Mix'!SJI21-'NF - 5 Power Mix'!SJI22</f>
        <v>0</v>
      </c>
      <c r="SJJ42" s="1046">
        <f>SJJ38+((SJJ40+'NF - 5 Power Mix'!SJJ14+'NF - 5 Power Mix'!SJJ15)*860/10)+((('Form Sa1'!SJM835)*860)/10)+('Form Sa1'!SJM814*'Form Sa1'!SJM816/10)-'NF - 5 Power Mix'!SJJ21-'NF - 5 Power Mix'!SJJ22</f>
        <v>0</v>
      </c>
      <c r="SJK42" s="1046">
        <f>SJK38+((SJK40+'NF - 5 Power Mix'!SJK14+'NF - 5 Power Mix'!SJK15)*860/10)+((('Form Sa1'!SJN835)*860)/10)+('Form Sa1'!SJN814*'Form Sa1'!SJN816/10)-'NF - 5 Power Mix'!SJK21-'NF - 5 Power Mix'!SJK22</f>
        <v>0</v>
      </c>
      <c r="SJL42" s="1046">
        <f>SJL38+((SJL40+'NF - 5 Power Mix'!SJL14+'NF - 5 Power Mix'!SJL15)*860/10)+((('Form Sa1'!SJO835)*860)/10)+('Form Sa1'!SJO814*'Form Sa1'!SJO816/10)-'NF - 5 Power Mix'!SJL21-'NF - 5 Power Mix'!SJL22</f>
        <v>0</v>
      </c>
      <c r="SJM42" s="1046">
        <f>SJM38+((SJM40+'NF - 5 Power Mix'!SJM14+'NF - 5 Power Mix'!SJM15)*860/10)+((('Form Sa1'!SJP835)*860)/10)+('Form Sa1'!SJP814*'Form Sa1'!SJP816/10)-'NF - 5 Power Mix'!SJM21-'NF - 5 Power Mix'!SJM22</f>
        <v>0</v>
      </c>
      <c r="SJN42" s="1046">
        <f>SJN38+((SJN40+'NF - 5 Power Mix'!SJN14+'NF - 5 Power Mix'!SJN15)*860/10)+((('Form Sa1'!SJQ835)*860)/10)+('Form Sa1'!SJQ814*'Form Sa1'!SJQ816/10)-'NF - 5 Power Mix'!SJN21-'NF - 5 Power Mix'!SJN22</f>
        <v>0</v>
      </c>
      <c r="SJO42" s="1046">
        <f>SJO38+((SJO40+'NF - 5 Power Mix'!SJO14+'NF - 5 Power Mix'!SJO15)*860/10)+((('Form Sa1'!SJR835)*860)/10)+('Form Sa1'!SJR814*'Form Sa1'!SJR816/10)-'NF - 5 Power Mix'!SJO21-'NF - 5 Power Mix'!SJO22</f>
        <v>0</v>
      </c>
      <c r="SJP42" s="1046">
        <f>SJP38+((SJP40+'NF - 5 Power Mix'!SJP14+'NF - 5 Power Mix'!SJP15)*860/10)+((('Form Sa1'!SJS835)*860)/10)+('Form Sa1'!SJS814*'Form Sa1'!SJS816/10)-'NF - 5 Power Mix'!SJP21-'NF - 5 Power Mix'!SJP22</f>
        <v>0</v>
      </c>
      <c r="SJQ42" s="1046">
        <f>SJQ38+((SJQ40+'NF - 5 Power Mix'!SJQ14+'NF - 5 Power Mix'!SJQ15)*860/10)+((('Form Sa1'!SJT835)*860)/10)+('Form Sa1'!SJT814*'Form Sa1'!SJT816/10)-'NF - 5 Power Mix'!SJQ21-'NF - 5 Power Mix'!SJQ22</f>
        <v>0</v>
      </c>
      <c r="SJR42" s="1046">
        <f>SJR38+((SJR40+'NF - 5 Power Mix'!SJR14+'NF - 5 Power Mix'!SJR15)*860/10)+((('Form Sa1'!SJU835)*860)/10)+('Form Sa1'!SJU814*'Form Sa1'!SJU816/10)-'NF - 5 Power Mix'!SJR21-'NF - 5 Power Mix'!SJR22</f>
        <v>0</v>
      </c>
      <c r="SJS42" s="1046">
        <f>SJS38+((SJS40+'NF - 5 Power Mix'!SJS14+'NF - 5 Power Mix'!SJS15)*860/10)+((('Form Sa1'!SJV835)*860)/10)+('Form Sa1'!SJV814*'Form Sa1'!SJV816/10)-'NF - 5 Power Mix'!SJS21-'NF - 5 Power Mix'!SJS22</f>
        <v>0</v>
      </c>
      <c r="SJT42" s="1046">
        <f>SJT38+((SJT40+'NF - 5 Power Mix'!SJT14+'NF - 5 Power Mix'!SJT15)*860/10)+((('Form Sa1'!SJW835)*860)/10)+('Form Sa1'!SJW814*'Form Sa1'!SJW816/10)-'NF - 5 Power Mix'!SJT21-'NF - 5 Power Mix'!SJT22</f>
        <v>0</v>
      </c>
      <c r="SJU42" s="1046">
        <f>SJU38+((SJU40+'NF - 5 Power Mix'!SJU14+'NF - 5 Power Mix'!SJU15)*860/10)+((('Form Sa1'!SJX835)*860)/10)+('Form Sa1'!SJX814*'Form Sa1'!SJX816/10)-'NF - 5 Power Mix'!SJU21-'NF - 5 Power Mix'!SJU22</f>
        <v>0</v>
      </c>
      <c r="SJV42" s="1046">
        <f>SJV38+((SJV40+'NF - 5 Power Mix'!SJV14+'NF - 5 Power Mix'!SJV15)*860/10)+((('Form Sa1'!SJY835)*860)/10)+('Form Sa1'!SJY814*'Form Sa1'!SJY816/10)-'NF - 5 Power Mix'!SJV21-'NF - 5 Power Mix'!SJV22</f>
        <v>0</v>
      </c>
      <c r="SJW42" s="1046">
        <f>SJW38+((SJW40+'NF - 5 Power Mix'!SJW14+'NF - 5 Power Mix'!SJW15)*860/10)+((('Form Sa1'!SJZ835)*860)/10)+('Form Sa1'!SJZ814*'Form Sa1'!SJZ816/10)-'NF - 5 Power Mix'!SJW21-'NF - 5 Power Mix'!SJW22</f>
        <v>0</v>
      </c>
      <c r="SJX42" s="1046">
        <f>SJX38+((SJX40+'NF - 5 Power Mix'!SJX14+'NF - 5 Power Mix'!SJX15)*860/10)+((('Form Sa1'!SKA835)*860)/10)+('Form Sa1'!SKA814*'Form Sa1'!SKA816/10)-'NF - 5 Power Mix'!SJX21-'NF - 5 Power Mix'!SJX22</f>
        <v>0</v>
      </c>
      <c r="SJY42" s="1046">
        <f>SJY38+((SJY40+'NF - 5 Power Mix'!SJY14+'NF - 5 Power Mix'!SJY15)*860/10)+((('Form Sa1'!SKB835)*860)/10)+('Form Sa1'!SKB814*'Form Sa1'!SKB816/10)-'NF - 5 Power Mix'!SJY21-'NF - 5 Power Mix'!SJY22</f>
        <v>0</v>
      </c>
      <c r="SJZ42" s="1046">
        <f>SJZ38+((SJZ40+'NF - 5 Power Mix'!SJZ14+'NF - 5 Power Mix'!SJZ15)*860/10)+((('Form Sa1'!SKC835)*860)/10)+('Form Sa1'!SKC814*'Form Sa1'!SKC816/10)-'NF - 5 Power Mix'!SJZ21-'NF - 5 Power Mix'!SJZ22</f>
        <v>0</v>
      </c>
      <c r="SKA42" s="1046">
        <f>SKA38+((SKA40+'NF - 5 Power Mix'!SKA14+'NF - 5 Power Mix'!SKA15)*860/10)+((('Form Sa1'!SKD835)*860)/10)+('Form Sa1'!SKD814*'Form Sa1'!SKD816/10)-'NF - 5 Power Mix'!SKA21-'NF - 5 Power Mix'!SKA22</f>
        <v>0</v>
      </c>
      <c r="SKB42" s="1046">
        <f>SKB38+((SKB40+'NF - 5 Power Mix'!SKB14+'NF - 5 Power Mix'!SKB15)*860/10)+((('Form Sa1'!SKE835)*860)/10)+('Form Sa1'!SKE814*'Form Sa1'!SKE816/10)-'NF - 5 Power Mix'!SKB21-'NF - 5 Power Mix'!SKB22</f>
        <v>0</v>
      </c>
      <c r="SKC42" s="1046">
        <f>SKC38+((SKC40+'NF - 5 Power Mix'!SKC14+'NF - 5 Power Mix'!SKC15)*860/10)+((('Form Sa1'!SKF835)*860)/10)+('Form Sa1'!SKF814*'Form Sa1'!SKF816/10)-'NF - 5 Power Mix'!SKC21-'NF - 5 Power Mix'!SKC22</f>
        <v>0</v>
      </c>
      <c r="SKD42" s="1046">
        <f>SKD38+((SKD40+'NF - 5 Power Mix'!SKD14+'NF - 5 Power Mix'!SKD15)*860/10)+((('Form Sa1'!SKG835)*860)/10)+('Form Sa1'!SKG814*'Form Sa1'!SKG816/10)-'NF - 5 Power Mix'!SKD21-'NF - 5 Power Mix'!SKD22</f>
        <v>0</v>
      </c>
      <c r="SKE42" s="1046">
        <f>SKE38+((SKE40+'NF - 5 Power Mix'!SKE14+'NF - 5 Power Mix'!SKE15)*860/10)+((('Form Sa1'!SKH835)*860)/10)+('Form Sa1'!SKH814*'Form Sa1'!SKH816/10)-'NF - 5 Power Mix'!SKE21-'NF - 5 Power Mix'!SKE22</f>
        <v>0</v>
      </c>
      <c r="SKF42" s="1046">
        <f>SKF38+((SKF40+'NF - 5 Power Mix'!SKF14+'NF - 5 Power Mix'!SKF15)*860/10)+((('Form Sa1'!SKI835)*860)/10)+('Form Sa1'!SKI814*'Form Sa1'!SKI816/10)-'NF - 5 Power Mix'!SKF21-'NF - 5 Power Mix'!SKF22</f>
        <v>0</v>
      </c>
      <c r="SKG42" s="1046">
        <f>SKG38+((SKG40+'NF - 5 Power Mix'!SKG14+'NF - 5 Power Mix'!SKG15)*860/10)+((('Form Sa1'!SKJ835)*860)/10)+('Form Sa1'!SKJ814*'Form Sa1'!SKJ816/10)-'NF - 5 Power Mix'!SKG21-'NF - 5 Power Mix'!SKG22</f>
        <v>0</v>
      </c>
      <c r="SKH42" s="1046">
        <f>SKH38+((SKH40+'NF - 5 Power Mix'!SKH14+'NF - 5 Power Mix'!SKH15)*860/10)+((('Form Sa1'!SKK835)*860)/10)+('Form Sa1'!SKK814*'Form Sa1'!SKK816/10)-'NF - 5 Power Mix'!SKH21-'NF - 5 Power Mix'!SKH22</f>
        <v>0</v>
      </c>
      <c r="SKI42" s="1046">
        <f>SKI38+((SKI40+'NF - 5 Power Mix'!SKI14+'NF - 5 Power Mix'!SKI15)*860/10)+((('Form Sa1'!SKL835)*860)/10)+('Form Sa1'!SKL814*'Form Sa1'!SKL816/10)-'NF - 5 Power Mix'!SKI21-'NF - 5 Power Mix'!SKI22</f>
        <v>0</v>
      </c>
      <c r="SKJ42" s="1046">
        <f>SKJ38+((SKJ40+'NF - 5 Power Mix'!SKJ14+'NF - 5 Power Mix'!SKJ15)*860/10)+((('Form Sa1'!SKM835)*860)/10)+('Form Sa1'!SKM814*'Form Sa1'!SKM816/10)-'NF - 5 Power Mix'!SKJ21-'NF - 5 Power Mix'!SKJ22</f>
        <v>0</v>
      </c>
      <c r="SKK42" s="1046">
        <f>SKK38+((SKK40+'NF - 5 Power Mix'!SKK14+'NF - 5 Power Mix'!SKK15)*860/10)+((('Form Sa1'!SKN835)*860)/10)+('Form Sa1'!SKN814*'Form Sa1'!SKN816/10)-'NF - 5 Power Mix'!SKK21-'NF - 5 Power Mix'!SKK22</f>
        <v>0</v>
      </c>
      <c r="SKL42" s="1046">
        <f>SKL38+((SKL40+'NF - 5 Power Mix'!SKL14+'NF - 5 Power Mix'!SKL15)*860/10)+((('Form Sa1'!SKO835)*860)/10)+('Form Sa1'!SKO814*'Form Sa1'!SKO816/10)-'NF - 5 Power Mix'!SKL21-'NF - 5 Power Mix'!SKL22</f>
        <v>0</v>
      </c>
      <c r="SKM42" s="1046">
        <f>SKM38+((SKM40+'NF - 5 Power Mix'!SKM14+'NF - 5 Power Mix'!SKM15)*860/10)+((('Form Sa1'!SKP835)*860)/10)+('Form Sa1'!SKP814*'Form Sa1'!SKP816/10)-'NF - 5 Power Mix'!SKM21-'NF - 5 Power Mix'!SKM22</f>
        <v>0</v>
      </c>
      <c r="SKN42" s="1046">
        <f>SKN38+((SKN40+'NF - 5 Power Mix'!SKN14+'NF - 5 Power Mix'!SKN15)*860/10)+((('Form Sa1'!SKQ835)*860)/10)+('Form Sa1'!SKQ814*'Form Sa1'!SKQ816/10)-'NF - 5 Power Mix'!SKN21-'NF - 5 Power Mix'!SKN22</f>
        <v>0</v>
      </c>
      <c r="SKO42" s="1046">
        <f>SKO38+((SKO40+'NF - 5 Power Mix'!SKO14+'NF - 5 Power Mix'!SKO15)*860/10)+((('Form Sa1'!SKR835)*860)/10)+('Form Sa1'!SKR814*'Form Sa1'!SKR816/10)-'NF - 5 Power Mix'!SKO21-'NF - 5 Power Mix'!SKO22</f>
        <v>0</v>
      </c>
      <c r="SKP42" s="1046">
        <f>SKP38+((SKP40+'NF - 5 Power Mix'!SKP14+'NF - 5 Power Mix'!SKP15)*860/10)+((('Form Sa1'!SKS835)*860)/10)+('Form Sa1'!SKS814*'Form Sa1'!SKS816/10)-'NF - 5 Power Mix'!SKP21-'NF - 5 Power Mix'!SKP22</f>
        <v>0</v>
      </c>
      <c r="SKQ42" s="1046">
        <f>SKQ38+((SKQ40+'NF - 5 Power Mix'!SKQ14+'NF - 5 Power Mix'!SKQ15)*860/10)+((('Form Sa1'!SKT835)*860)/10)+('Form Sa1'!SKT814*'Form Sa1'!SKT816/10)-'NF - 5 Power Mix'!SKQ21-'NF - 5 Power Mix'!SKQ22</f>
        <v>0</v>
      </c>
      <c r="SKR42" s="1046">
        <f>SKR38+((SKR40+'NF - 5 Power Mix'!SKR14+'NF - 5 Power Mix'!SKR15)*860/10)+((('Form Sa1'!SKU835)*860)/10)+('Form Sa1'!SKU814*'Form Sa1'!SKU816/10)-'NF - 5 Power Mix'!SKR21-'NF - 5 Power Mix'!SKR22</f>
        <v>0</v>
      </c>
      <c r="SKS42" s="1046">
        <f>SKS38+((SKS40+'NF - 5 Power Mix'!SKS14+'NF - 5 Power Mix'!SKS15)*860/10)+((('Form Sa1'!SKV835)*860)/10)+('Form Sa1'!SKV814*'Form Sa1'!SKV816/10)-'NF - 5 Power Mix'!SKS21-'NF - 5 Power Mix'!SKS22</f>
        <v>0</v>
      </c>
      <c r="SKT42" s="1046">
        <f>SKT38+((SKT40+'NF - 5 Power Mix'!SKT14+'NF - 5 Power Mix'!SKT15)*860/10)+((('Form Sa1'!SKW835)*860)/10)+('Form Sa1'!SKW814*'Form Sa1'!SKW816/10)-'NF - 5 Power Mix'!SKT21-'NF - 5 Power Mix'!SKT22</f>
        <v>0</v>
      </c>
      <c r="SKU42" s="1046">
        <f>SKU38+((SKU40+'NF - 5 Power Mix'!SKU14+'NF - 5 Power Mix'!SKU15)*860/10)+((('Form Sa1'!SKX835)*860)/10)+('Form Sa1'!SKX814*'Form Sa1'!SKX816/10)-'NF - 5 Power Mix'!SKU21-'NF - 5 Power Mix'!SKU22</f>
        <v>0</v>
      </c>
      <c r="SKV42" s="1046">
        <f>SKV38+((SKV40+'NF - 5 Power Mix'!SKV14+'NF - 5 Power Mix'!SKV15)*860/10)+((('Form Sa1'!SKY835)*860)/10)+('Form Sa1'!SKY814*'Form Sa1'!SKY816/10)-'NF - 5 Power Mix'!SKV21-'NF - 5 Power Mix'!SKV22</f>
        <v>0</v>
      </c>
      <c r="SKW42" s="1046">
        <f>SKW38+((SKW40+'NF - 5 Power Mix'!SKW14+'NF - 5 Power Mix'!SKW15)*860/10)+((('Form Sa1'!SKZ835)*860)/10)+('Form Sa1'!SKZ814*'Form Sa1'!SKZ816/10)-'NF - 5 Power Mix'!SKW21-'NF - 5 Power Mix'!SKW22</f>
        <v>0</v>
      </c>
      <c r="SKX42" s="1046">
        <f>SKX38+((SKX40+'NF - 5 Power Mix'!SKX14+'NF - 5 Power Mix'!SKX15)*860/10)+((('Form Sa1'!SLA835)*860)/10)+('Form Sa1'!SLA814*'Form Sa1'!SLA816/10)-'NF - 5 Power Mix'!SKX21-'NF - 5 Power Mix'!SKX22</f>
        <v>0</v>
      </c>
      <c r="SKY42" s="1046">
        <f>SKY38+((SKY40+'NF - 5 Power Mix'!SKY14+'NF - 5 Power Mix'!SKY15)*860/10)+((('Form Sa1'!SLB835)*860)/10)+('Form Sa1'!SLB814*'Form Sa1'!SLB816/10)-'NF - 5 Power Mix'!SKY21-'NF - 5 Power Mix'!SKY22</f>
        <v>0</v>
      </c>
      <c r="SKZ42" s="1046">
        <f>SKZ38+((SKZ40+'NF - 5 Power Mix'!SKZ14+'NF - 5 Power Mix'!SKZ15)*860/10)+((('Form Sa1'!SLC835)*860)/10)+('Form Sa1'!SLC814*'Form Sa1'!SLC816/10)-'NF - 5 Power Mix'!SKZ21-'NF - 5 Power Mix'!SKZ22</f>
        <v>0</v>
      </c>
      <c r="SLA42" s="1046">
        <f>SLA38+((SLA40+'NF - 5 Power Mix'!SLA14+'NF - 5 Power Mix'!SLA15)*860/10)+((('Form Sa1'!SLD835)*860)/10)+('Form Sa1'!SLD814*'Form Sa1'!SLD816/10)-'NF - 5 Power Mix'!SLA21-'NF - 5 Power Mix'!SLA22</f>
        <v>0</v>
      </c>
      <c r="SLB42" s="1046">
        <f>SLB38+((SLB40+'NF - 5 Power Mix'!SLB14+'NF - 5 Power Mix'!SLB15)*860/10)+((('Form Sa1'!SLE835)*860)/10)+('Form Sa1'!SLE814*'Form Sa1'!SLE816/10)-'NF - 5 Power Mix'!SLB21-'NF - 5 Power Mix'!SLB22</f>
        <v>0</v>
      </c>
      <c r="SLC42" s="1046">
        <f>SLC38+((SLC40+'NF - 5 Power Mix'!SLC14+'NF - 5 Power Mix'!SLC15)*860/10)+((('Form Sa1'!SLF835)*860)/10)+('Form Sa1'!SLF814*'Form Sa1'!SLF816/10)-'NF - 5 Power Mix'!SLC21-'NF - 5 Power Mix'!SLC22</f>
        <v>0</v>
      </c>
      <c r="SLD42" s="1046">
        <f>SLD38+((SLD40+'NF - 5 Power Mix'!SLD14+'NF - 5 Power Mix'!SLD15)*860/10)+((('Form Sa1'!SLG835)*860)/10)+('Form Sa1'!SLG814*'Form Sa1'!SLG816/10)-'NF - 5 Power Mix'!SLD21-'NF - 5 Power Mix'!SLD22</f>
        <v>0</v>
      </c>
      <c r="SLE42" s="1046">
        <f>SLE38+((SLE40+'NF - 5 Power Mix'!SLE14+'NF - 5 Power Mix'!SLE15)*860/10)+((('Form Sa1'!SLH835)*860)/10)+('Form Sa1'!SLH814*'Form Sa1'!SLH816/10)-'NF - 5 Power Mix'!SLE21-'NF - 5 Power Mix'!SLE22</f>
        <v>0</v>
      </c>
      <c r="SLF42" s="1046">
        <f>SLF38+((SLF40+'NF - 5 Power Mix'!SLF14+'NF - 5 Power Mix'!SLF15)*860/10)+((('Form Sa1'!SLI835)*860)/10)+('Form Sa1'!SLI814*'Form Sa1'!SLI816/10)-'NF - 5 Power Mix'!SLF21-'NF - 5 Power Mix'!SLF22</f>
        <v>0</v>
      </c>
      <c r="SLG42" s="1046">
        <f>SLG38+((SLG40+'NF - 5 Power Mix'!SLG14+'NF - 5 Power Mix'!SLG15)*860/10)+((('Form Sa1'!SLJ835)*860)/10)+('Form Sa1'!SLJ814*'Form Sa1'!SLJ816/10)-'NF - 5 Power Mix'!SLG21-'NF - 5 Power Mix'!SLG22</f>
        <v>0</v>
      </c>
      <c r="SLH42" s="1046">
        <f>SLH38+((SLH40+'NF - 5 Power Mix'!SLH14+'NF - 5 Power Mix'!SLH15)*860/10)+((('Form Sa1'!SLK835)*860)/10)+('Form Sa1'!SLK814*'Form Sa1'!SLK816/10)-'NF - 5 Power Mix'!SLH21-'NF - 5 Power Mix'!SLH22</f>
        <v>0</v>
      </c>
      <c r="SLI42" s="1046">
        <f>SLI38+((SLI40+'NF - 5 Power Mix'!SLI14+'NF - 5 Power Mix'!SLI15)*860/10)+((('Form Sa1'!SLL835)*860)/10)+('Form Sa1'!SLL814*'Form Sa1'!SLL816/10)-'NF - 5 Power Mix'!SLI21-'NF - 5 Power Mix'!SLI22</f>
        <v>0</v>
      </c>
      <c r="SLJ42" s="1046">
        <f>SLJ38+((SLJ40+'NF - 5 Power Mix'!SLJ14+'NF - 5 Power Mix'!SLJ15)*860/10)+((('Form Sa1'!SLM835)*860)/10)+('Form Sa1'!SLM814*'Form Sa1'!SLM816/10)-'NF - 5 Power Mix'!SLJ21-'NF - 5 Power Mix'!SLJ22</f>
        <v>0</v>
      </c>
      <c r="SLK42" s="1046">
        <f>SLK38+((SLK40+'NF - 5 Power Mix'!SLK14+'NF - 5 Power Mix'!SLK15)*860/10)+((('Form Sa1'!SLN835)*860)/10)+('Form Sa1'!SLN814*'Form Sa1'!SLN816/10)-'NF - 5 Power Mix'!SLK21-'NF - 5 Power Mix'!SLK22</f>
        <v>0</v>
      </c>
      <c r="SLL42" s="1046">
        <f>SLL38+((SLL40+'NF - 5 Power Mix'!SLL14+'NF - 5 Power Mix'!SLL15)*860/10)+((('Form Sa1'!SLO835)*860)/10)+('Form Sa1'!SLO814*'Form Sa1'!SLO816/10)-'NF - 5 Power Mix'!SLL21-'NF - 5 Power Mix'!SLL22</f>
        <v>0</v>
      </c>
      <c r="SLM42" s="1046">
        <f>SLM38+((SLM40+'NF - 5 Power Mix'!SLM14+'NF - 5 Power Mix'!SLM15)*860/10)+((('Form Sa1'!SLP835)*860)/10)+('Form Sa1'!SLP814*'Form Sa1'!SLP816/10)-'NF - 5 Power Mix'!SLM21-'NF - 5 Power Mix'!SLM22</f>
        <v>0</v>
      </c>
      <c r="SLN42" s="1046">
        <f>SLN38+((SLN40+'NF - 5 Power Mix'!SLN14+'NF - 5 Power Mix'!SLN15)*860/10)+((('Form Sa1'!SLQ835)*860)/10)+('Form Sa1'!SLQ814*'Form Sa1'!SLQ816/10)-'NF - 5 Power Mix'!SLN21-'NF - 5 Power Mix'!SLN22</f>
        <v>0</v>
      </c>
      <c r="SLO42" s="1046">
        <f>SLO38+((SLO40+'NF - 5 Power Mix'!SLO14+'NF - 5 Power Mix'!SLO15)*860/10)+((('Form Sa1'!SLR835)*860)/10)+('Form Sa1'!SLR814*'Form Sa1'!SLR816/10)-'NF - 5 Power Mix'!SLO21-'NF - 5 Power Mix'!SLO22</f>
        <v>0</v>
      </c>
      <c r="SLP42" s="1046">
        <f>SLP38+((SLP40+'NF - 5 Power Mix'!SLP14+'NF - 5 Power Mix'!SLP15)*860/10)+((('Form Sa1'!SLS835)*860)/10)+('Form Sa1'!SLS814*'Form Sa1'!SLS816/10)-'NF - 5 Power Mix'!SLP21-'NF - 5 Power Mix'!SLP22</f>
        <v>0</v>
      </c>
      <c r="SLQ42" s="1046">
        <f>SLQ38+((SLQ40+'NF - 5 Power Mix'!SLQ14+'NF - 5 Power Mix'!SLQ15)*860/10)+((('Form Sa1'!SLT835)*860)/10)+('Form Sa1'!SLT814*'Form Sa1'!SLT816/10)-'NF - 5 Power Mix'!SLQ21-'NF - 5 Power Mix'!SLQ22</f>
        <v>0</v>
      </c>
      <c r="SLR42" s="1046">
        <f>SLR38+((SLR40+'NF - 5 Power Mix'!SLR14+'NF - 5 Power Mix'!SLR15)*860/10)+((('Form Sa1'!SLU835)*860)/10)+('Form Sa1'!SLU814*'Form Sa1'!SLU816/10)-'NF - 5 Power Mix'!SLR21-'NF - 5 Power Mix'!SLR22</f>
        <v>0</v>
      </c>
      <c r="SLS42" s="1046">
        <f>SLS38+((SLS40+'NF - 5 Power Mix'!SLS14+'NF - 5 Power Mix'!SLS15)*860/10)+((('Form Sa1'!SLV835)*860)/10)+('Form Sa1'!SLV814*'Form Sa1'!SLV816/10)-'NF - 5 Power Mix'!SLS21-'NF - 5 Power Mix'!SLS22</f>
        <v>0</v>
      </c>
      <c r="SLT42" s="1046">
        <f>SLT38+((SLT40+'NF - 5 Power Mix'!SLT14+'NF - 5 Power Mix'!SLT15)*860/10)+((('Form Sa1'!SLW835)*860)/10)+('Form Sa1'!SLW814*'Form Sa1'!SLW816/10)-'NF - 5 Power Mix'!SLT21-'NF - 5 Power Mix'!SLT22</f>
        <v>0</v>
      </c>
      <c r="SLU42" s="1046">
        <f>SLU38+((SLU40+'NF - 5 Power Mix'!SLU14+'NF - 5 Power Mix'!SLU15)*860/10)+((('Form Sa1'!SLX835)*860)/10)+('Form Sa1'!SLX814*'Form Sa1'!SLX816/10)-'NF - 5 Power Mix'!SLU21-'NF - 5 Power Mix'!SLU22</f>
        <v>0</v>
      </c>
      <c r="SLV42" s="1046">
        <f>SLV38+((SLV40+'NF - 5 Power Mix'!SLV14+'NF - 5 Power Mix'!SLV15)*860/10)+((('Form Sa1'!SLY835)*860)/10)+('Form Sa1'!SLY814*'Form Sa1'!SLY816/10)-'NF - 5 Power Mix'!SLV21-'NF - 5 Power Mix'!SLV22</f>
        <v>0</v>
      </c>
      <c r="SLW42" s="1046">
        <f>SLW38+((SLW40+'NF - 5 Power Mix'!SLW14+'NF - 5 Power Mix'!SLW15)*860/10)+((('Form Sa1'!SLZ835)*860)/10)+('Form Sa1'!SLZ814*'Form Sa1'!SLZ816/10)-'NF - 5 Power Mix'!SLW21-'NF - 5 Power Mix'!SLW22</f>
        <v>0</v>
      </c>
      <c r="SLX42" s="1046">
        <f>SLX38+((SLX40+'NF - 5 Power Mix'!SLX14+'NF - 5 Power Mix'!SLX15)*860/10)+((('Form Sa1'!SMA835)*860)/10)+('Form Sa1'!SMA814*'Form Sa1'!SMA816/10)-'NF - 5 Power Mix'!SLX21-'NF - 5 Power Mix'!SLX22</f>
        <v>0</v>
      </c>
      <c r="SLY42" s="1046">
        <f>SLY38+((SLY40+'NF - 5 Power Mix'!SLY14+'NF - 5 Power Mix'!SLY15)*860/10)+((('Form Sa1'!SMB835)*860)/10)+('Form Sa1'!SMB814*'Form Sa1'!SMB816/10)-'NF - 5 Power Mix'!SLY21-'NF - 5 Power Mix'!SLY22</f>
        <v>0</v>
      </c>
      <c r="SLZ42" s="1046">
        <f>SLZ38+((SLZ40+'NF - 5 Power Mix'!SLZ14+'NF - 5 Power Mix'!SLZ15)*860/10)+((('Form Sa1'!SMC835)*860)/10)+('Form Sa1'!SMC814*'Form Sa1'!SMC816/10)-'NF - 5 Power Mix'!SLZ21-'NF - 5 Power Mix'!SLZ22</f>
        <v>0</v>
      </c>
      <c r="SMA42" s="1046">
        <f>SMA38+((SMA40+'NF - 5 Power Mix'!SMA14+'NF - 5 Power Mix'!SMA15)*860/10)+((('Form Sa1'!SMD835)*860)/10)+('Form Sa1'!SMD814*'Form Sa1'!SMD816/10)-'NF - 5 Power Mix'!SMA21-'NF - 5 Power Mix'!SMA22</f>
        <v>0</v>
      </c>
      <c r="SMB42" s="1046">
        <f>SMB38+((SMB40+'NF - 5 Power Mix'!SMB14+'NF - 5 Power Mix'!SMB15)*860/10)+((('Form Sa1'!SME835)*860)/10)+('Form Sa1'!SME814*'Form Sa1'!SME816/10)-'NF - 5 Power Mix'!SMB21-'NF - 5 Power Mix'!SMB22</f>
        <v>0</v>
      </c>
      <c r="SMC42" s="1046">
        <f>SMC38+((SMC40+'NF - 5 Power Mix'!SMC14+'NF - 5 Power Mix'!SMC15)*860/10)+((('Form Sa1'!SMF835)*860)/10)+('Form Sa1'!SMF814*'Form Sa1'!SMF816/10)-'NF - 5 Power Mix'!SMC21-'NF - 5 Power Mix'!SMC22</f>
        <v>0</v>
      </c>
      <c r="SMD42" s="1046">
        <f>SMD38+((SMD40+'NF - 5 Power Mix'!SMD14+'NF - 5 Power Mix'!SMD15)*860/10)+((('Form Sa1'!SMG835)*860)/10)+('Form Sa1'!SMG814*'Form Sa1'!SMG816/10)-'NF - 5 Power Mix'!SMD21-'NF - 5 Power Mix'!SMD22</f>
        <v>0</v>
      </c>
      <c r="SME42" s="1046">
        <f>SME38+((SME40+'NF - 5 Power Mix'!SME14+'NF - 5 Power Mix'!SME15)*860/10)+((('Form Sa1'!SMH835)*860)/10)+('Form Sa1'!SMH814*'Form Sa1'!SMH816/10)-'NF - 5 Power Mix'!SME21-'NF - 5 Power Mix'!SME22</f>
        <v>0</v>
      </c>
      <c r="SMF42" s="1046">
        <f>SMF38+((SMF40+'NF - 5 Power Mix'!SMF14+'NF - 5 Power Mix'!SMF15)*860/10)+((('Form Sa1'!SMI835)*860)/10)+('Form Sa1'!SMI814*'Form Sa1'!SMI816/10)-'NF - 5 Power Mix'!SMF21-'NF - 5 Power Mix'!SMF22</f>
        <v>0</v>
      </c>
      <c r="SMG42" s="1046">
        <f>SMG38+((SMG40+'NF - 5 Power Mix'!SMG14+'NF - 5 Power Mix'!SMG15)*860/10)+((('Form Sa1'!SMJ835)*860)/10)+('Form Sa1'!SMJ814*'Form Sa1'!SMJ816/10)-'NF - 5 Power Mix'!SMG21-'NF - 5 Power Mix'!SMG22</f>
        <v>0</v>
      </c>
      <c r="SMH42" s="1046">
        <f>SMH38+((SMH40+'NF - 5 Power Mix'!SMH14+'NF - 5 Power Mix'!SMH15)*860/10)+((('Form Sa1'!SMK835)*860)/10)+('Form Sa1'!SMK814*'Form Sa1'!SMK816/10)-'NF - 5 Power Mix'!SMH21-'NF - 5 Power Mix'!SMH22</f>
        <v>0</v>
      </c>
      <c r="SMI42" s="1046">
        <f>SMI38+((SMI40+'NF - 5 Power Mix'!SMI14+'NF - 5 Power Mix'!SMI15)*860/10)+((('Form Sa1'!SML835)*860)/10)+('Form Sa1'!SML814*'Form Sa1'!SML816/10)-'NF - 5 Power Mix'!SMI21-'NF - 5 Power Mix'!SMI22</f>
        <v>0</v>
      </c>
      <c r="SMJ42" s="1046">
        <f>SMJ38+((SMJ40+'NF - 5 Power Mix'!SMJ14+'NF - 5 Power Mix'!SMJ15)*860/10)+((('Form Sa1'!SMM835)*860)/10)+('Form Sa1'!SMM814*'Form Sa1'!SMM816/10)-'NF - 5 Power Mix'!SMJ21-'NF - 5 Power Mix'!SMJ22</f>
        <v>0</v>
      </c>
      <c r="SMK42" s="1046">
        <f>SMK38+((SMK40+'NF - 5 Power Mix'!SMK14+'NF - 5 Power Mix'!SMK15)*860/10)+((('Form Sa1'!SMN835)*860)/10)+('Form Sa1'!SMN814*'Form Sa1'!SMN816/10)-'NF - 5 Power Mix'!SMK21-'NF - 5 Power Mix'!SMK22</f>
        <v>0</v>
      </c>
      <c r="SML42" s="1046">
        <f>SML38+((SML40+'NF - 5 Power Mix'!SML14+'NF - 5 Power Mix'!SML15)*860/10)+((('Form Sa1'!SMO835)*860)/10)+('Form Sa1'!SMO814*'Form Sa1'!SMO816/10)-'NF - 5 Power Mix'!SML21-'NF - 5 Power Mix'!SML22</f>
        <v>0</v>
      </c>
      <c r="SMM42" s="1046">
        <f>SMM38+((SMM40+'NF - 5 Power Mix'!SMM14+'NF - 5 Power Mix'!SMM15)*860/10)+((('Form Sa1'!SMP835)*860)/10)+('Form Sa1'!SMP814*'Form Sa1'!SMP816/10)-'NF - 5 Power Mix'!SMM21-'NF - 5 Power Mix'!SMM22</f>
        <v>0</v>
      </c>
      <c r="SMN42" s="1046">
        <f>SMN38+((SMN40+'NF - 5 Power Mix'!SMN14+'NF - 5 Power Mix'!SMN15)*860/10)+((('Form Sa1'!SMQ835)*860)/10)+('Form Sa1'!SMQ814*'Form Sa1'!SMQ816/10)-'NF - 5 Power Mix'!SMN21-'NF - 5 Power Mix'!SMN22</f>
        <v>0</v>
      </c>
      <c r="SMO42" s="1046">
        <f>SMO38+((SMO40+'NF - 5 Power Mix'!SMO14+'NF - 5 Power Mix'!SMO15)*860/10)+((('Form Sa1'!SMR835)*860)/10)+('Form Sa1'!SMR814*'Form Sa1'!SMR816/10)-'NF - 5 Power Mix'!SMO21-'NF - 5 Power Mix'!SMO22</f>
        <v>0</v>
      </c>
      <c r="SMP42" s="1046">
        <f>SMP38+((SMP40+'NF - 5 Power Mix'!SMP14+'NF - 5 Power Mix'!SMP15)*860/10)+((('Form Sa1'!SMS835)*860)/10)+('Form Sa1'!SMS814*'Form Sa1'!SMS816/10)-'NF - 5 Power Mix'!SMP21-'NF - 5 Power Mix'!SMP22</f>
        <v>0</v>
      </c>
      <c r="SMQ42" s="1046">
        <f>SMQ38+((SMQ40+'NF - 5 Power Mix'!SMQ14+'NF - 5 Power Mix'!SMQ15)*860/10)+((('Form Sa1'!SMT835)*860)/10)+('Form Sa1'!SMT814*'Form Sa1'!SMT816/10)-'NF - 5 Power Mix'!SMQ21-'NF - 5 Power Mix'!SMQ22</f>
        <v>0</v>
      </c>
      <c r="SMR42" s="1046">
        <f>SMR38+((SMR40+'NF - 5 Power Mix'!SMR14+'NF - 5 Power Mix'!SMR15)*860/10)+((('Form Sa1'!SMU835)*860)/10)+('Form Sa1'!SMU814*'Form Sa1'!SMU816/10)-'NF - 5 Power Mix'!SMR21-'NF - 5 Power Mix'!SMR22</f>
        <v>0</v>
      </c>
      <c r="SMS42" s="1046">
        <f>SMS38+((SMS40+'NF - 5 Power Mix'!SMS14+'NF - 5 Power Mix'!SMS15)*860/10)+((('Form Sa1'!SMV835)*860)/10)+('Form Sa1'!SMV814*'Form Sa1'!SMV816/10)-'NF - 5 Power Mix'!SMS21-'NF - 5 Power Mix'!SMS22</f>
        <v>0</v>
      </c>
      <c r="SMT42" s="1046">
        <f>SMT38+((SMT40+'NF - 5 Power Mix'!SMT14+'NF - 5 Power Mix'!SMT15)*860/10)+((('Form Sa1'!SMW835)*860)/10)+('Form Sa1'!SMW814*'Form Sa1'!SMW816/10)-'NF - 5 Power Mix'!SMT21-'NF - 5 Power Mix'!SMT22</f>
        <v>0</v>
      </c>
      <c r="SMU42" s="1046">
        <f>SMU38+((SMU40+'NF - 5 Power Mix'!SMU14+'NF - 5 Power Mix'!SMU15)*860/10)+((('Form Sa1'!SMX835)*860)/10)+('Form Sa1'!SMX814*'Form Sa1'!SMX816/10)-'NF - 5 Power Mix'!SMU21-'NF - 5 Power Mix'!SMU22</f>
        <v>0</v>
      </c>
      <c r="SMV42" s="1046">
        <f>SMV38+((SMV40+'NF - 5 Power Mix'!SMV14+'NF - 5 Power Mix'!SMV15)*860/10)+((('Form Sa1'!SMY835)*860)/10)+('Form Sa1'!SMY814*'Form Sa1'!SMY816/10)-'NF - 5 Power Mix'!SMV21-'NF - 5 Power Mix'!SMV22</f>
        <v>0</v>
      </c>
      <c r="SMW42" s="1046">
        <f>SMW38+((SMW40+'NF - 5 Power Mix'!SMW14+'NF - 5 Power Mix'!SMW15)*860/10)+((('Form Sa1'!SMZ835)*860)/10)+('Form Sa1'!SMZ814*'Form Sa1'!SMZ816/10)-'NF - 5 Power Mix'!SMW21-'NF - 5 Power Mix'!SMW22</f>
        <v>0</v>
      </c>
      <c r="SMX42" s="1046">
        <f>SMX38+((SMX40+'NF - 5 Power Mix'!SMX14+'NF - 5 Power Mix'!SMX15)*860/10)+((('Form Sa1'!SNA835)*860)/10)+('Form Sa1'!SNA814*'Form Sa1'!SNA816/10)-'NF - 5 Power Mix'!SMX21-'NF - 5 Power Mix'!SMX22</f>
        <v>0</v>
      </c>
      <c r="SMY42" s="1046">
        <f>SMY38+((SMY40+'NF - 5 Power Mix'!SMY14+'NF - 5 Power Mix'!SMY15)*860/10)+((('Form Sa1'!SNB835)*860)/10)+('Form Sa1'!SNB814*'Form Sa1'!SNB816/10)-'NF - 5 Power Mix'!SMY21-'NF - 5 Power Mix'!SMY22</f>
        <v>0</v>
      </c>
      <c r="SMZ42" s="1046">
        <f>SMZ38+((SMZ40+'NF - 5 Power Mix'!SMZ14+'NF - 5 Power Mix'!SMZ15)*860/10)+((('Form Sa1'!SNC835)*860)/10)+('Form Sa1'!SNC814*'Form Sa1'!SNC816/10)-'NF - 5 Power Mix'!SMZ21-'NF - 5 Power Mix'!SMZ22</f>
        <v>0</v>
      </c>
      <c r="SNA42" s="1046">
        <f>SNA38+((SNA40+'NF - 5 Power Mix'!SNA14+'NF - 5 Power Mix'!SNA15)*860/10)+((('Form Sa1'!SND835)*860)/10)+('Form Sa1'!SND814*'Form Sa1'!SND816/10)-'NF - 5 Power Mix'!SNA21-'NF - 5 Power Mix'!SNA22</f>
        <v>0</v>
      </c>
      <c r="SNB42" s="1046">
        <f>SNB38+((SNB40+'NF - 5 Power Mix'!SNB14+'NF - 5 Power Mix'!SNB15)*860/10)+((('Form Sa1'!SNE835)*860)/10)+('Form Sa1'!SNE814*'Form Sa1'!SNE816/10)-'NF - 5 Power Mix'!SNB21-'NF - 5 Power Mix'!SNB22</f>
        <v>0</v>
      </c>
      <c r="SNC42" s="1046">
        <f>SNC38+((SNC40+'NF - 5 Power Mix'!SNC14+'NF - 5 Power Mix'!SNC15)*860/10)+((('Form Sa1'!SNF835)*860)/10)+('Form Sa1'!SNF814*'Form Sa1'!SNF816/10)-'NF - 5 Power Mix'!SNC21-'NF - 5 Power Mix'!SNC22</f>
        <v>0</v>
      </c>
      <c r="SND42" s="1046">
        <f>SND38+((SND40+'NF - 5 Power Mix'!SND14+'NF - 5 Power Mix'!SND15)*860/10)+((('Form Sa1'!SNG835)*860)/10)+('Form Sa1'!SNG814*'Form Sa1'!SNG816/10)-'NF - 5 Power Mix'!SND21-'NF - 5 Power Mix'!SND22</f>
        <v>0</v>
      </c>
      <c r="SNE42" s="1046">
        <f>SNE38+((SNE40+'NF - 5 Power Mix'!SNE14+'NF - 5 Power Mix'!SNE15)*860/10)+((('Form Sa1'!SNH835)*860)/10)+('Form Sa1'!SNH814*'Form Sa1'!SNH816/10)-'NF - 5 Power Mix'!SNE21-'NF - 5 Power Mix'!SNE22</f>
        <v>0</v>
      </c>
      <c r="SNF42" s="1046">
        <f>SNF38+((SNF40+'NF - 5 Power Mix'!SNF14+'NF - 5 Power Mix'!SNF15)*860/10)+((('Form Sa1'!SNI835)*860)/10)+('Form Sa1'!SNI814*'Form Sa1'!SNI816/10)-'NF - 5 Power Mix'!SNF21-'NF - 5 Power Mix'!SNF22</f>
        <v>0</v>
      </c>
      <c r="SNG42" s="1046">
        <f>SNG38+((SNG40+'NF - 5 Power Mix'!SNG14+'NF - 5 Power Mix'!SNG15)*860/10)+((('Form Sa1'!SNJ835)*860)/10)+('Form Sa1'!SNJ814*'Form Sa1'!SNJ816/10)-'NF - 5 Power Mix'!SNG21-'NF - 5 Power Mix'!SNG22</f>
        <v>0</v>
      </c>
      <c r="SNH42" s="1046">
        <f>SNH38+((SNH40+'NF - 5 Power Mix'!SNH14+'NF - 5 Power Mix'!SNH15)*860/10)+((('Form Sa1'!SNK835)*860)/10)+('Form Sa1'!SNK814*'Form Sa1'!SNK816/10)-'NF - 5 Power Mix'!SNH21-'NF - 5 Power Mix'!SNH22</f>
        <v>0</v>
      </c>
      <c r="SNI42" s="1046">
        <f>SNI38+((SNI40+'NF - 5 Power Mix'!SNI14+'NF - 5 Power Mix'!SNI15)*860/10)+((('Form Sa1'!SNL835)*860)/10)+('Form Sa1'!SNL814*'Form Sa1'!SNL816/10)-'NF - 5 Power Mix'!SNI21-'NF - 5 Power Mix'!SNI22</f>
        <v>0</v>
      </c>
      <c r="SNJ42" s="1046">
        <f>SNJ38+((SNJ40+'NF - 5 Power Mix'!SNJ14+'NF - 5 Power Mix'!SNJ15)*860/10)+((('Form Sa1'!SNM835)*860)/10)+('Form Sa1'!SNM814*'Form Sa1'!SNM816/10)-'NF - 5 Power Mix'!SNJ21-'NF - 5 Power Mix'!SNJ22</f>
        <v>0</v>
      </c>
      <c r="SNK42" s="1046">
        <f>SNK38+((SNK40+'NF - 5 Power Mix'!SNK14+'NF - 5 Power Mix'!SNK15)*860/10)+((('Form Sa1'!SNN835)*860)/10)+('Form Sa1'!SNN814*'Form Sa1'!SNN816/10)-'NF - 5 Power Mix'!SNK21-'NF - 5 Power Mix'!SNK22</f>
        <v>0</v>
      </c>
      <c r="SNL42" s="1046">
        <f>SNL38+((SNL40+'NF - 5 Power Mix'!SNL14+'NF - 5 Power Mix'!SNL15)*860/10)+((('Form Sa1'!SNO835)*860)/10)+('Form Sa1'!SNO814*'Form Sa1'!SNO816/10)-'NF - 5 Power Mix'!SNL21-'NF - 5 Power Mix'!SNL22</f>
        <v>0</v>
      </c>
      <c r="SNM42" s="1046">
        <f>SNM38+((SNM40+'NF - 5 Power Mix'!SNM14+'NF - 5 Power Mix'!SNM15)*860/10)+((('Form Sa1'!SNP835)*860)/10)+('Form Sa1'!SNP814*'Form Sa1'!SNP816/10)-'NF - 5 Power Mix'!SNM21-'NF - 5 Power Mix'!SNM22</f>
        <v>0</v>
      </c>
      <c r="SNN42" s="1046">
        <f>SNN38+((SNN40+'NF - 5 Power Mix'!SNN14+'NF - 5 Power Mix'!SNN15)*860/10)+((('Form Sa1'!SNQ835)*860)/10)+('Form Sa1'!SNQ814*'Form Sa1'!SNQ816/10)-'NF - 5 Power Mix'!SNN21-'NF - 5 Power Mix'!SNN22</f>
        <v>0</v>
      </c>
      <c r="SNO42" s="1046">
        <f>SNO38+((SNO40+'NF - 5 Power Mix'!SNO14+'NF - 5 Power Mix'!SNO15)*860/10)+((('Form Sa1'!SNR835)*860)/10)+('Form Sa1'!SNR814*'Form Sa1'!SNR816/10)-'NF - 5 Power Mix'!SNO21-'NF - 5 Power Mix'!SNO22</f>
        <v>0</v>
      </c>
      <c r="SNP42" s="1046">
        <f>SNP38+((SNP40+'NF - 5 Power Mix'!SNP14+'NF - 5 Power Mix'!SNP15)*860/10)+((('Form Sa1'!SNS835)*860)/10)+('Form Sa1'!SNS814*'Form Sa1'!SNS816/10)-'NF - 5 Power Mix'!SNP21-'NF - 5 Power Mix'!SNP22</f>
        <v>0</v>
      </c>
      <c r="SNQ42" s="1046">
        <f>SNQ38+((SNQ40+'NF - 5 Power Mix'!SNQ14+'NF - 5 Power Mix'!SNQ15)*860/10)+((('Form Sa1'!SNT835)*860)/10)+('Form Sa1'!SNT814*'Form Sa1'!SNT816/10)-'NF - 5 Power Mix'!SNQ21-'NF - 5 Power Mix'!SNQ22</f>
        <v>0</v>
      </c>
      <c r="SNR42" s="1046">
        <f>SNR38+((SNR40+'NF - 5 Power Mix'!SNR14+'NF - 5 Power Mix'!SNR15)*860/10)+((('Form Sa1'!SNU835)*860)/10)+('Form Sa1'!SNU814*'Form Sa1'!SNU816/10)-'NF - 5 Power Mix'!SNR21-'NF - 5 Power Mix'!SNR22</f>
        <v>0</v>
      </c>
      <c r="SNS42" s="1046">
        <f>SNS38+((SNS40+'NF - 5 Power Mix'!SNS14+'NF - 5 Power Mix'!SNS15)*860/10)+((('Form Sa1'!SNV835)*860)/10)+('Form Sa1'!SNV814*'Form Sa1'!SNV816/10)-'NF - 5 Power Mix'!SNS21-'NF - 5 Power Mix'!SNS22</f>
        <v>0</v>
      </c>
      <c r="SNT42" s="1046">
        <f>SNT38+((SNT40+'NF - 5 Power Mix'!SNT14+'NF - 5 Power Mix'!SNT15)*860/10)+((('Form Sa1'!SNW835)*860)/10)+('Form Sa1'!SNW814*'Form Sa1'!SNW816/10)-'NF - 5 Power Mix'!SNT21-'NF - 5 Power Mix'!SNT22</f>
        <v>0</v>
      </c>
      <c r="SNU42" s="1046">
        <f>SNU38+((SNU40+'NF - 5 Power Mix'!SNU14+'NF - 5 Power Mix'!SNU15)*860/10)+((('Form Sa1'!SNX835)*860)/10)+('Form Sa1'!SNX814*'Form Sa1'!SNX816/10)-'NF - 5 Power Mix'!SNU21-'NF - 5 Power Mix'!SNU22</f>
        <v>0</v>
      </c>
      <c r="SNV42" s="1046">
        <f>SNV38+((SNV40+'NF - 5 Power Mix'!SNV14+'NF - 5 Power Mix'!SNV15)*860/10)+((('Form Sa1'!SNY835)*860)/10)+('Form Sa1'!SNY814*'Form Sa1'!SNY816/10)-'NF - 5 Power Mix'!SNV21-'NF - 5 Power Mix'!SNV22</f>
        <v>0</v>
      </c>
      <c r="SNW42" s="1046">
        <f>SNW38+((SNW40+'NF - 5 Power Mix'!SNW14+'NF - 5 Power Mix'!SNW15)*860/10)+((('Form Sa1'!SNZ835)*860)/10)+('Form Sa1'!SNZ814*'Form Sa1'!SNZ816/10)-'NF - 5 Power Mix'!SNW21-'NF - 5 Power Mix'!SNW22</f>
        <v>0</v>
      </c>
      <c r="SNX42" s="1046">
        <f>SNX38+((SNX40+'NF - 5 Power Mix'!SNX14+'NF - 5 Power Mix'!SNX15)*860/10)+((('Form Sa1'!SOA835)*860)/10)+('Form Sa1'!SOA814*'Form Sa1'!SOA816/10)-'NF - 5 Power Mix'!SNX21-'NF - 5 Power Mix'!SNX22</f>
        <v>0</v>
      </c>
      <c r="SNY42" s="1046">
        <f>SNY38+((SNY40+'NF - 5 Power Mix'!SNY14+'NF - 5 Power Mix'!SNY15)*860/10)+((('Form Sa1'!SOB835)*860)/10)+('Form Sa1'!SOB814*'Form Sa1'!SOB816/10)-'NF - 5 Power Mix'!SNY21-'NF - 5 Power Mix'!SNY22</f>
        <v>0</v>
      </c>
      <c r="SNZ42" s="1046">
        <f>SNZ38+((SNZ40+'NF - 5 Power Mix'!SNZ14+'NF - 5 Power Mix'!SNZ15)*860/10)+((('Form Sa1'!SOC835)*860)/10)+('Form Sa1'!SOC814*'Form Sa1'!SOC816/10)-'NF - 5 Power Mix'!SNZ21-'NF - 5 Power Mix'!SNZ22</f>
        <v>0</v>
      </c>
      <c r="SOA42" s="1046">
        <f>SOA38+((SOA40+'NF - 5 Power Mix'!SOA14+'NF - 5 Power Mix'!SOA15)*860/10)+((('Form Sa1'!SOD835)*860)/10)+('Form Sa1'!SOD814*'Form Sa1'!SOD816/10)-'NF - 5 Power Mix'!SOA21-'NF - 5 Power Mix'!SOA22</f>
        <v>0</v>
      </c>
      <c r="SOB42" s="1046">
        <f>SOB38+((SOB40+'NF - 5 Power Mix'!SOB14+'NF - 5 Power Mix'!SOB15)*860/10)+((('Form Sa1'!SOE835)*860)/10)+('Form Sa1'!SOE814*'Form Sa1'!SOE816/10)-'NF - 5 Power Mix'!SOB21-'NF - 5 Power Mix'!SOB22</f>
        <v>0</v>
      </c>
      <c r="SOC42" s="1046">
        <f>SOC38+((SOC40+'NF - 5 Power Mix'!SOC14+'NF - 5 Power Mix'!SOC15)*860/10)+((('Form Sa1'!SOF835)*860)/10)+('Form Sa1'!SOF814*'Form Sa1'!SOF816/10)-'NF - 5 Power Mix'!SOC21-'NF - 5 Power Mix'!SOC22</f>
        <v>0</v>
      </c>
      <c r="SOD42" s="1046">
        <f>SOD38+((SOD40+'NF - 5 Power Mix'!SOD14+'NF - 5 Power Mix'!SOD15)*860/10)+((('Form Sa1'!SOG835)*860)/10)+('Form Sa1'!SOG814*'Form Sa1'!SOG816/10)-'NF - 5 Power Mix'!SOD21-'NF - 5 Power Mix'!SOD22</f>
        <v>0</v>
      </c>
      <c r="SOE42" s="1046">
        <f>SOE38+((SOE40+'NF - 5 Power Mix'!SOE14+'NF - 5 Power Mix'!SOE15)*860/10)+((('Form Sa1'!SOH835)*860)/10)+('Form Sa1'!SOH814*'Form Sa1'!SOH816/10)-'NF - 5 Power Mix'!SOE21-'NF - 5 Power Mix'!SOE22</f>
        <v>0</v>
      </c>
      <c r="SOF42" s="1046">
        <f>SOF38+((SOF40+'NF - 5 Power Mix'!SOF14+'NF - 5 Power Mix'!SOF15)*860/10)+((('Form Sa1'!SOI835)*860)/10)+('Form Sa1'!SOI814*'Form Sa1'!SOI816/10)-'NF - 5 Power Mix'!SOF21-'NF - 5 Power Mix'!SOF22</f>
        <v>0</v>
      </c>
      <c r="SOG42" s="1046">
        <f>SOG38+((SOG40+'NF - 5 Power Mix'!SOG14+'NF - 5 Power Mix'!SOG15)*860/10)+((('Form Sa1'!SOJ835)*860)/10)+('Form Sa1'!SOJ814*'Form Sa1'!SOJ816/10)-'NF - 5 Power Mix'!SOG21-'NF - 5 Power Mix'!SOG22</f>
        <v>0</v>
      </c>
      <c r="SOH42" s="1046">
        <f>SOH38+((SOH40+'NF - 5 Power Mix'!SOH14+'NF - 5 Power Mix'!SOH15)*860/10)+((('Form Sa1'!SOK835)*860)/10)+('Form Sa1'!SOK814*'Form Sa1'!SOK816/10)-'NF - 5 Power Mix'!SOH21-'NF - 5 Power Mix'!SOH22</f>
        <v>0</v>
      </c>
      <c r="SOI42" s="1046">
        <f>SOI38+((SOI40+'NF - 5 Power Mix'!SOI14+'NF - 5 Power Mix'!SOI15)*860/10)+((('Form Sa1'!SOL835)*860)/10)+('Form Sa1'!SOL814*'Form Sa1'!SOL816/10)-'NF - 5 Power Mix'!SOI21-'NF - 5 Power Mix'!SOI22</f>
        <v>0</v>
      </c>
      <c r="SOJ42" s="1046">
        <f>SOJ38+((SOJ40+'NF - 5 Power Mix'!SOJ14+'NF - 5 Power Mix'!SOJ15)*860/10)+((('Form Sa1'!SOM835)*860)/10)+('Form Sa1'!SOM814*'Form Sa1'!SOM816/10)-'NF - 5 Power Mix'!SOJ21-'NF - 5 Power Mix'!SOJ22</f>
        <v>0</v>
      </c>
      <c r="SOK42" s="1046">
        <f>SOK38+((SOK40+'NF - 5 Power Mix'!SOK14+'NF - 5 Power Mix'!SOK15)*860/10)+((('Form Sa1'!SON835)*860)/10)+('Form Sa1'!SON814*'Form Sa1'!SON816/10)-'NF - 5 Power Mix'!SOK21-'NF - 5 Power Mix'!SOK22</f>
        <v>0</v>
      </c>
      <c r="SOL42" s="1046">
        <f>SOL38+((SOL40+'NF - 5 Power Mix'!SOL14+'NF - 5 Power Mix'!SOL15)*860/10)+((('Form Sa1'!SOO835)*860)/10)+('Form Sa1'!SOO814*'Form Sa1'!SOO816/10)-'NF - 5 Power Mix'!SOL21-'NF - 5 Power Mix'!SOL22</f>
        <v>0</v>
      </c>
      <c r="SOM42" s="1046">
        <f>SOM38+((SOM40+'NF - 5 Power Mix'!SOM14+'NF - 5 Power Mix'!SOM15)*860/10)+((('Form Sa1'!SOP835)*860)/10)+('Form Sa1'!SOP814*'Form Sa1'!SOP816/10)-'NF - 5 Power Mix'!SOM21-'NF - 5 Power Mix'!SOM22</f>
        <v>0</v>
      </c>
      <c r="SON42" s="1046">
        <f>SON38+((SON40+'NF - 5 Power Mix'!SON14+'NF - 5 Power Mix'!SON15)*860/10)+((('Form Sa1'!SOQ835)*860)/10)+('Form Sa1'!SOQ814*'Form Sa1'!SOQ816/10)-'NF - 5 Power Mix'!SON21-'NF - 5 Power Mix'!SON22</f>
        <v>0</v>
      </c>
      <c r="SOO42" s="1046">
        <f>SOO38+((SOO40+'NF - 5 Power Mix'!SOO14+'NF - 5 Power Mix'!SOO15)*860/10)+((('Form Sa1'!SOR835)*860)/10)+('Form Sa1'!SOR814*'Form Sa1'!SOR816/10)-'NF - 5 Power Mix'!SOO21-'NF - 5 Power Mix'!SOO22</f>
        <v>0</v>
      </c>
      <c r="SOP42" s="1046">
        <f>SOP38+((SOP40+'NF - 5 Power Mix'!SOP14+'NF - 5 Power Mix'!SOP15)*860/10)+((('Form Sa1'!SOS835)*860)/10)+('Form Sa1'!SOS814*'Form Sa1'!SOS816/10)-'NF - 5 Power Mix'!SOP21-'NF - 5 Power Mix'!SOP22</f>
        <v>0</v>
      </c>
      <c r="SOQ42" s="1046">
        <f>SOQ38+((SOQ40+'NF - 5 Power Mix'!SOQ14+'NF - 5 Power Mix'!SOQ15)*860/10)+((('Form Sa1'!SOT835)*860)/10)+('Form Sa1'!SOT814*'Form Sa1'!SOT816/10)-'NF - 5 Power Mix'!SOQ21-'NF - 5 Power Mix'!SOQ22</f>
        <v>0</v>
      </c>
      <c r="SOR42" s="1046">
        <f>SOR38+((SOR40+'NF - 5 Power Mix'!SOR14+'NF - 5 Power Mix'!SOR15)*860/10)+((('Form Sa1'!SOU835)*860)/10)+('Form Sa1'!SOU814*'Form Sa1'!SOU816/10)-'NF - 5 Power Mix'!SOR21-'NF - 5 Power Mix'!SOR22</f>
        <v>0</v>
      </c>
      <c r="SOS42" s="1046">
        <f>SOS38+((SOS40+'NF - 5 Power Mix'!SOS14+'NF - 5 Power Mix'!SOS15)*860/10)+((('Form Sa1'!SOV835)*860)/10)+('Form Sa1'!SOV814*'Form Sa1'!SOV816/10)-'NF - 5 Power Mix'!SOS21-'NF - 5 Power Mix'!SOS22</f>
        <v>0</v>
      </c>
      <c r="SOT42" s="1046">
        <f>SOT38+((SOT40+'NF - 5 Power Mix'!SOT14+'NF - 5 Power Mix'!SOT15)*860/10)+((('Form Sa1'!SOW835)*860)/10)+('Form Sa1'!SOW814*'Form Sa1'!SOW816/10)-'NF - 5 Power Mix'!SOT21-'NF - 5 Power Mix'!SOT22</f>
        <v>0</v>
      </c>
      <c r="SOU42" s="1046">
        <f>SOU38+((SOU40+'NF - 5 Power Mix'!SOU14+'NF - 5 Power Mix'!SOU15)*860/10)+((('Form Sa1'!SOX835)*860)/10)+('Form Sa1'!SOX814*'Form Sa1'!SOX816/10)-'NF - 5 Power Mix'!SOU21-'NF - 5 Power Mix'!SOU22</f>
        <v>0</v>
      </c>
      <c r="SOV42" s="1046">
        <f>SOV38+((SOV40+'NF - 5 Power Mix'!SOV14+'NF - 5 Power Mix'!SOV15)*860/10)+((('Form Sa1'!SOY835)*860)/10)+('Form Sa1'!SOY814*'Form Sa1'!SOY816/10)-'NF - 5 Power Mix'!SOV21-'NF - 5 Power Mix'!SOV22</f>
        <v>0</v>
      </c>
      <c r="SOW42" s="1046">
        <f>SOW38+((SOW40+'NF - 5 Power Mix'!SOW14+'NF - 5 Power Mix'!SOW15)*860/10)+((('Form Sa1'!SOZ835)*860)/10)+('Form Sa1'!SOZ814*'Form Sa1'!SOZ816/10)-'NF - 5 Power Mix'!SOW21-'NF - 5 Power Mix'!SOW22</f>
        <v>0</v>
      </c>
      <c r="SOX42" s="1046">
        <f>SOX38+((SOX40+'NF - 5 Power Mix'!SOX14+'NF - 5 Power Mix'!SOX15)*860/10)+((('Form Sa1'!SPA835)*860)/10)+('Form Sa1'!SPA814*'Form Sa1'!SPA816/10)-'NF - 5 Power Mix'!SOX21-'NF - 5 Power Mix'!SOX22</f>
        <v>0</v>
      </c>
      <c r="SOY42" s="1046">
        <f>SOY38+((SOY40+'NF - 5 Power Mix'!SOY14+'NF - 5 Power Mix'!SOY15)*860/10)+((('Form Sa1'!SPB835)*860)/10)+('Form Sa1'!SPB814*'Form Sa1'!SPB816/10)-'NF - 5 Power Mix'!SOY21-'NF - 5 Power Mix'!SOY22</f>
        <v>0</v>
      </c>
      <c r="SOZ42" s="1046">
        <f>SOZ38+((SOZ40+'NF - 5 Power Mix'!SOZ14+'NF - 5 Power Mix'!SOZ15)*860/10)+((('Form Sa1'!SPC835)*860)/10)+('Form Sa1'!SPC814*'Form Sa1'!SPC816/10)-'NF - 5 Power Mix'!SOZ21-'NF - 5 Power Mix'!SOZ22</f>
        <v>0</v>
      </c>
      <c r="SPA42" s="1046">
        <f>SPA38+((SPA40+'NF - 5 Power Mix'!SPA14+'NF - 5 Power Mix'!SPA15)*860/10)+((('Form Sa1'!SPD835)*860)/10)+('Form Sa1'!SPD814*'Form Sa1'!SPD816/10)-'NF - 5 Power Mix'!SPA21-'NF - 5 Power Mix'!SPA22</f>
        <v>0</v>
      </c>
      <c r="SPB42" s="1046">
        <f>SPB38+((SPB40+'NF - 5 Power Mix'!SPB14+'NF - 5 Power Mix'!SPB15)*860/10)+((('Form Sa1'!SPE835)*860)/10)+('Form Sa1'!SPE814*'Form Sa1'!SPE816/10)-'NF - 5 Power Mix'!SPB21-'NF - 5 Power Mix'!SPB22</f>
        <v>0</v>
      </c>
      <c r="SPC42" s="1046">
        <f>SPC38+((SPC40+'NF - 5 Power Mix'!SPC14+'NF - 5 Power Mix'!SPC15)*860/10)+((('Form Sa1'!SPF835)*860)/10)+('Form Sa1'!SPF814*'Form Sa1'!SPF816/10)-'NF - 5 Power Mix'!SPC21-'NF - 5 Power Mix'!SPC22</f>
        <v>0</v>
      </c>
      <c r="SPD42" s="1046">
        <f>SPD38+((SPD40+'NF - 5 Power Mix'!SPD14+'NF - 5 Power Mix'!SPD15)*860/10)+((('Form Sa1'!SPG835)*860)/10)+('Form Sa1'!SPG814*'Form Sa1'!SPG816/10)-'NF - 5 Power Mix'!SPD21-'NF - 5 Power Mix'!SPD22</f>
        <v>0</v>
      </c>
      <c r="SPE42" s="1046">
        <f>SPE38+((SPE40+'NF - 5 Power Mix'!SPE14+'NF - 5 Power Mix'!SPE15)*860/10)+((('Form Sa1'!SPH835)*860)/10)+('Form Sa1'!SPH814*'Form Sa1'!SPH816/10)-'NF - 5 Power Mix'!SPE21-'NF - 5 Power Mix'!SPE22</f>
        <v>0</v>
      </c>
      <c r="SPF42" s="1046">
        <f>SPF38+((SPF40+'NF - 5 Power Mix'!SPF14+'NF - 5 Power Mix'!SPF15)*860/10)+((('Form Sa1'!SPI835)*860)/10)+('Form Sa1'!SPI814*'Form Sa1'!SPI816/10)-'NF - 5 Power Mix'!SPF21-'NF - 5 Power Mix'!SPF22</f>
        <v>0</v>
      </c>
      <c r="SPG42" s="1046">
        <f>SPG38+((SPG40+'NF - 5 Power Mix'!SPG14+'NF - 5 Power Mix'!SPG15)*860/10)+((('Form Sa1'!SPJ835)*860)/10)+('Form Sa1'!SPJ814*'Form Sa1'!SPJ816/10)-'NF - 5 Power Mix'!SPG21-'NF - 5 Power Mix'!SPG22</f>
        <v>0</v>
      </c>
      <c r="SPH42" s="1046">
        <f>SPH38+((SPH40+'NF - 5 Power Mix'!SPH14+'NF - 5 Power Mix'!SPH15)*860/10)+((('Form Sa1'!SPK835)*860)/10)+('Form Sa1'!SPK814*'Form Sa1'!SPK816/10)-'NF - 5 Power Mix'!SPH21-'NF - 5 Power Mix'!SPH22</f>
        <v>0</v>
      </c>
      <c r="SPI42" s="1046">
        <f>SPI38+((SPI40+'NF - 5 Power Mix'!SPI14+'NF - 5 Power Mix'!SPI15)*860/10)+((('Form Sa1'!SPL835)*860)/10)+('Form Sa1'!SPL814*'Form Sa1'!SPL816/10)-'NF - 5 Power Mix'!SPI21-'NF - 5 Power Mix'!SPI22</f>
        <v>0</v>
      </c>
      <c r="SPJ42" s="1046">
        <f>SPJ38+((SPJ40+'NF - 5 Power Mix'!SPJ14+'NF - 5 Power Mix'!SPJ15)*860/10)+((('Form Sa1'!SPM835)*860)/10)+('Form Sa1'!SPM814*'Form Sa1'!SPM816/10)-'NF - 5 Power Mix'!SPJ21-'NF - 5 Power Mix'!SPJ22</f>
        <v>0</v>
      </c>
      <c r="SPK42" s="1046">
        <f>SPK38+((SPK40+'NF - 5 Power Mix'!SPK14+'NF - 5 Power Mix'!SPK15)*860/10)+((('Form Sa1'!SPN835)*860)/10)+('Form Sa1'!SPN814*'Form Sa1'!SPN816/10)-'NF - 5 Power Mix'!SPK21-'NF - 5 Power Mix'!SPK22</f>
        <v>0</v>
      </c>
      <c r="SPL42" s="1046">
        <f>SPL38+((SPL40+'NF - 5 Power Mix'!SPL14+'NF - 5 Power Mix'!SPL15)*860/10)+((('Form Sa1'!SPO835)*860)/10)+('Form Sa1'!SPO814*'Form Sa1'!SPO816/10)-'NF - 5 Power Mix'!SPL21-'NF - 5 Power Mix'!SPL22</f>
        <v>0</v>
      </c>
      <c r="SPM42" s="1046">
        <f>SPM38+((SPM40+'NF - 5 Power Mix'!SPM14+'NF - 5 Power Mix'!SPM15)*860/10)+((('Form Sa1'!SPP835)*860)/10)+('Form Sa1'!SPP814*'Form Sa1'!SPP816/10)-'NF - 5 Power Mix'!SPM21-'NF - 5 Power Mix'!SPM22</f>
        <v>0</v>
      </c>
      <c r="SPN42" s="1046">
        <f>SPN38+((SPN40+'NF - 5 Power Mix'!SPN14+'NF - 5 Power Mix'!SPN15)*860/10)+((('Form Sa1'!SPQ835)*860)/10)+('Form Sa1'!SPQ814*'Form Sa1'!SPQ816/10)-'NF - 5 Power Mix'!SPN21-'NF - 5 Power Mix'!SPN22</f>
        <v>0</v>
      </c>
      <c r="SPO42" s="1046">
        <f>SPO38+((SPO40+'NF - 5 Power Mix'!SPO14+'NF - 5 Power Mix'!SPO15)*860/10)+((('Form Sa1'!SPR835)*860)/10)+('Form Sa1'!SPR814*'Form Sa1'!SPR816/10)-'NF - 5 Power Mix'!SPO21-'NF - 5 Power Mix'!SPO22</f>
        <v>0</v>
      </c>
      <c r="SPP42" s="1046">
        <f>SPP38+((SPP40+'NF - 5 Power Mix'!SPP14+'NF - 5 Power Mix'!SPP15)*860/10)+((('Form Sa1'!SPS835)*860)/10)+('Form Sa1'!SPS814*'Form Sa1'!SPS816/10)-'NF - 5 Power Mix'!SPP21-'NF - 5 Power Mix'!SPP22</f>
        <v>0</v>
      </c>
      <c r="SPQ42" s="1046">
        <f>SPQ38+((SPQ40+'NF - 5 Power Mix'!SPQ14+'NF - 5 Power Mix'!SPQ15)*860/10)+((('Form Sa1'!SPT835)*860)/10)+('Form Sa1'!SPT814*'Form Sa1'!SPT816/10)-'NF - 5 Power Mix'!SPQ21-'NF - 5 Power Mix'!SPQ22</f>
        <v>0</v>
      </c>
      <c r="SPR42" s="1046">
        <f>SPR38+((SPR40+'NF - 5 Power Mix'!SPR14+'NF - 5 Power Mix'!SPR15)*860/10)+((('Form Sa1'!SPU835)*860)/10)+('Form Sa1'!SPU814*'Form Sa1'!SPU816/10)-'NF - 5 Power Mix'!SPR21-'NF - 5 Power Mix'!SPR22</f>
        <v>0</v>
      </c>
      <c r="SPS42" s="1046">
        <f>SPS38+((SPS40+'NF - 5 Power Mix'!SPS14+'NF - 5 Power Mix'!SPS15)*860/10)+((('Form Sa1'!SPV835)*860)/10)+('Form Sa1'!SPV814*'Form Sa1'!SPV816/10)-'NF - 5 Power Mix'!SPS21-'NF - 5 Power Mix'!SPS22</f>
        <v>0</v>
      </c>
      <c r="SPT42" s="1046">
        <f>SPT38+((SPT40+'NF - 5 Power Mix'!SPT14+'NF - 5 Power Mix'!SPT15)*860/10)+((('Form Sa1'!SPW835)*860)/10)+('Form Sa1'!SPW814*'Form Sa1'!SPW816/10)-'NF - 5 Power Mix'!SPT21-'NF - 5 Power Mix'!SPT22</f>
        <v>0</v>
      </c>
      <c r="SPU42" s="1046">
        <f>SPU38+((SPU40+'NF - 5 Power Mix'!SPU14+'NF - 5 Power Mix'!SPU15)*860/10)+((('Form Sa1'!SPX835)*860)/10)+('Form Sa1'!SPX814*'Form Sa1'!SPX816/10)-'NF - 5 Power Mix'!SPU21-'NF - 5 Power Mix'!SPU22</f>
        <v>0</v>
      </c>
      <c r="SPV42" s="1046">
        <f>SPV38+((SPV40+'NF - 5 Power Mix'!SPV14+'NF - 5 Power Mix'!SPV15)*860/10)+((('Form Sa1'!SPY835)*860)/10)+('Form Sa1'!SPY814*'Form Sa1'!SPY816/10)-'NF - 5 Power Mix'!SPV21-'NF - 5 Power Mix'!SPV22</f>
        <v>0</v>
      </c>
      <c r="SPW42" s="1046">
        <f>SPW38+((SPW40+'NF - 5 Power Mix'!SPW14+'NF - 5 Power Mix'!SPW15)*860/10)+((('Form Sa1'!SPZ835)*860)/10)+('Form Sa1'!SPZ814*'Form Sa1'!SPZ816/10)-'NF - 5 Power Mix'!SPW21-'NF - 5 Power Mix'!SPW22</f>
        <v>0</v>
      </c>
      <c r="SPX42" s="1046">
        <f>SPX38+((SPX40+'NF - 5 Power Mix'!SPX14+'NF - 5 Power Mix'!SPX15)*860/10)+((('Form Sa1'!SQA835)*860)/10)+('Form Sa1'!SQA814*'Form Sa1'!SQA816/10)-'NF - 5 Power Mix'!SPX21-'NF - 5 Power Mix'!SPX22</f>
        <v>0</v>
      </c>
      <c r="SPY42" s="1046">
        <f>SPY38+((SPY40+'NF - 5 Power Mix'!SPY14+'NF - 5 Power Mix'!SPY15)*860/10)+((('Form Sa1'!SQB835)*860)/10)+('Form Sa1'!SQB814*'Form Sa1'!SQB816/10)-'NF - 5 Power Mix'!SPY21-'NF - 5 Power Mix'!SPY22</f>
        <v>0</v>
      </c>
      <c r="SPZ42" s="1046">
        <f>SPZ38+((SPZ40+'NF - 5 Power Mix'!SPZ14+'NF - 5 Power Mix'!SPZ15)*860/10)+((('Form Sa1'!SQC835)*860)/10)+('Form Sa1'!SQC814*'Form Sa1'!SQC816/10)-'NF - 5 Power Mix'!SPZ21-'NF - 5 Power Mix'!SPZ22</f>
        <v>0</v>
      </c>
      <c r="SQA42" s="1046">
        <f>SQA38+((SQA40+'NF - 5 Power Mix'!SQA14+'NF - 5 Power Mix'!SQA15)*860/10)+((('Form Sa1'!SQD835)*860)/10)+('Form Sa1'!SQD814*'Form Sa1'!SQD816/10)-'NF - 5 Power Mix'!SQA21-'NF - 5 Power Mix'!SQA22</f>
        <v>0</v>
      </c>
      <c r="SQB42" s="1046">
        <f>SQB38+((SQB40+'NF - 5 Power Mix'!SQB14+'NF - 5 Power Mix'!SQB15)*860/10)+((('Form Sa1'!SQE835)*860)/10)+('Form Sa1'!SQE814*'Form Sa1'!SQE816/10)-'NF - 5 Power Mix'!SQB21-'NF - 5 Power Mix'!SQB22</f>
        <v>0</v>
      </c>
      <c r="SQC42" s="1046">
        <f>SQC38+((SQC40+'NF - 5 Power Mix'!SQC14+'NF - 5 Power Mix'!SQC15)*860/10)+((('Form Sa1'!SQF835)*860)/10)+('Form Sa1'!SQF814*'Form Sa1'!SQF816/10)-'NF - 5 Power Mix'!SQC21-'NF - 5 Power Mix'!SQC22</f>
        <v>0</v>
      </c>
      <c r="SQD42" s="1046">
        <f>SQD38+((SQD40+'NF - 5 Power Mix'!SQD14+'NF - 5 Power Mix'!SQD15)*860/10)+((('Form Sa1'!SQG835)*860)/10)+('Form Sa1'!SQG814*'Form Sa1'!SQG816/10)-'NF - 5 Power Mix'!SQD21-'NF - 5 Power Mix'!SQD22</f>
        <v>0</v>
      </c>
      <c r="SQE42" s="1046">
        <f>SQE38+((SQE40+'NF - 5 Power Mix'!SQE14+'NF - 5 Power Mix'!SQE15)*860/10)+((('Form Sa1'!SQH835)*860)/10)+('Form Sa1'!SQH814*'Form Sa1'!SQH816/10)-'NF - 5 Power Mix'!SQE21-'NF - 5 Power Mix'!SQE22</f>
        <v>0</v>
      </c>
      <c r="SQF42" s="1046">
        <f>SQF38+((SQF40+'NF - 5 Power Mix'!SQF14+'NF - 5 Power Mix'!SQF15)*860/10)+((('Form Sa1'!SQI835)*860)/10)+('Form Sa1'!SQI814*'Form Sa1'!SQI816/10)-'NF - 5 Power Mix'!SQF21-'NF - 5 Power Mix'!SQF22</f>
        <v>0</v>
      </c>
      <c r="SQG42" s="1046">
        <f>SQG38+((SQG40+'NF - 5 Power Mix'!SQG14+'NF - 5 Power Mix'!SQG15)*860/10)+((('Form Sa1'!SQJ835)*860)/10)+('Form Sa1'!SQJ814*'Form Sa1'!SQJ816/10)-'NF - 5 Power Mix'!SQG21-'NF - 5 Power Mix'!SQG22</f>
        <v>0</v>
      </c>
      <c r="SQH42" s="1046">
        <f>SQH38+((SQH40+'NF - 5 Power Mix'!SQH14+'NF - 5 Power Mix'!SQH15)*860/10)+((('Form Sa1'!SQK835)*860)/10)+('Form Sa1'!SQK814*'Form Sa1'!SQK816/10)-'NF - 5 Power Mix'!SQH21-'NF - 5 Power Mix'!SQH22</f>
        <v>0</v>
      </c>
      <c r="SQI42" s="1046">
        <f>SQI38+((SQI40+'NF - 5 Power Mix'!SQI14+'NF - 5 Power Mix'!SQI15)*860/10)+((('Form Sa1'!SQL835)*860)/10)+('Form Sa1'!SQL814*'Form Sa1'!SQL816/10)-'NF - 5 Power Mix'!SQI21-'NF - 5 Power Mix'!SQI22</f>
        <v>0</v>
      </c>
      <c r="SQJ42" s="1046">
        <f>SQJ38+((SQJ40+'NF - 5 Power Mix'!SQJ14+'NF - 5 Power Mix'!SQJ15)*860/10)+((('Form Sa1'!SQM835)*860)/10)+('Form Sa1'!SQM814*'Form Sa1'!SQM816/10)-'NF - 5 Power Mix'!SQJ21-'NF - 5 Power Mix'!SQJ22</f>
        <v>0</v>
      </c>
      <c r="SQK42" s="1046">
        <f>SQK38+((SQK40+'NF - 5 Power Mix'!SQK14+'NF - 5 Power Mix'!SQK15)*860/10)+((('Form Sa1'!SQN835)*860)/10)+('Form Sa1'!SQN814*'Form Sa1'!SQN816/10)-'NF - 5 Power Mix'!SQK21-'NF - 5 Power Mix'!SQK22</f>
        <v>0</v>
      </c>
      <c r="SQL42" s="1046">
        <f>SQL38+((SQL40+'NF - 5 Power Mix'!SQL14+'NF - 5 Power Mix'!SQL15)*860/10)+((('Form Sa1'!SQO835)*860)/10)+('Form Sa1'!SQO814*'Form Sa1'!SQO816/10)-'NF - 5 Power Mix'!SQL21-'NF - 5 Power Mix'!SQL22</f>
        <v>0</v>
      </c>
      <c r="SQM42" s="1046">
        <f>SQM38+((SQM40+'NF - 5 Power Mix'!SQM14+'NF - 5 Power Mix'!SQM15)*860/10)+((('Form Sa1'!SQP835)*860)/10)+('Form Sa1'!SQP814*'Form Sa1'!SQP816/10)-'NF - 5 Power Mix'!SQM21-'NF - 5 Power Mix'!SQM22</f>
        <v>0</v>
      </c>
      <c r="SQN42" s="1046">
        <f>SQN38+((SQN40+'NF - 5 Power Mix'!SQN14+'NF - 5 Power Mix'!SQN15)*860/10)+((('Form Sa1'!SQQ835)*860)/10)+('Form Sa1'!SQQ814*'Form Sa1'!SQQ816/10)-'NF - 5 Power Mix'!SQN21-'NF - 5 Power Mix'!SQN22</f>
        <v>0</v>
      </c>
      <c r="SQO42" s="1046">
        <f>SQO38+((SQO40+'NF - 5 Power Mix'!SQO14+'NF - 5 Power Mix'!SQO15)*860/10)+((('Form Sa1'!SQR835)*860)/10)+('Form Sa1'!SQR814*'Form Sa1'!SQR816/10)-'NF - 5 Power Mix'!SQO21-'NF - 5 Power Mix'!SQO22</f>
        <v>0</v>
      </c>
      <c r="SQP42" s="1046">
        <f>SQP38+((SQP40+'NF - 5 Power Mix'!SQP14+'NF - 5 Power Mix'!SQP15)*860/10)+((('Form Sa1'!SQS835)*860)/10)+('Form Sa1'!SQS814*'Form Sa1'!SQS816/10)-'NF - 5 Power Mix'!SQP21-'NF - 5 Power Mix'!SQP22</f>
        <v>0</v>
      </c>
      <c r="SQQ42" s="1046">
        <f>SQQ38+((SQQ40+'NF - 5 Power Mix'!SQQ14+'NF - 5 Power Mix'!SQQ15)*860/10)+((('Form Sa1'!SQT835)*860)/10)+('Form Sa1'!SQT814*'Form Sa1'!SQT816/10)-'NF - 5 Power Mix'!SQQ21-'NF - 5 Power Mix'!SQQ22</f>
        <v>0</v>
      </c>
      <c r="SQR42" s="1046">
        <f>SQR38+((SQR40+'NF - 5 Power Mix'!SQR14+'NF - 5 Power Mix'!SQR15)*860/10)+((('Form Sa1'!SQU835)*860)/10)+('Form Sa1'!SQU814*'Form Sa1'!SQU816/10)-'NF - 5 Power Mix'!SQR21-'NF - 5 Power Mix'!SQR22</f>
        <v>0</v>
      </c>
      <c r="SQS42" s="1046">
        <f>SQS38+((SQS40+'NF - 5 Power Mix'!SQS14+'NF - 5 Power Mix'!SQS15)*860/10)+((('Form Sa1'!SQV835)*860)/10)+('Form Sa1'!SQV814*'Form Sa1'!SQV816/10)-'NF - 5 Power Mix'!SQS21-'NF - 5 Power Mix'!SQS22</f>
        <v>0</v>
      </c>
      <c r="SQT42" s="1046">
        <f>SQT38+((SQT40+'NF - 5 Power Mix'!SQT14+'NF - 5 Power Mix'!SQT15)*860/10)+((('Form Sa1'!SQW835)*860)/10)+('Form Sa1'!SQW814*'Form Sa1'!SQW816/10)-'NF - 5 Power Mix'!SQT21-'NF - 5 Power Mix'!SQT22</f>
        <v>0</v>
      </c>
      <c r="SQU42" s="1046">
        <f>SQU38+((SQU40+'NF - 5 Power Mix'!SQU14+'NF - 5 Power Mix'!SQU15)*860/10)+((('Form Sa1'!SQX835)*860)/10)+('Form Sa1'!SQX814*'Form Sa1'!SQX816/10)-'NF - 5 Power Mix'!SQU21-'NF - 5 Power Mix'!SQU22</f>
        <v>0</v>
      </c>
      <c r="SQV42" s="1046">
        <f>SQV38+((SQV40+'NF - 5 Power Mix'!SQV14+'NF - 5 Power Mix'!SQV15)*860/10)+((('Form Sa1'!SQY835)*860)/10)+('Form Sa1'!SQY814*'Form Sa1'!SQY816/10)-'NF - 5 Power Mix'!SQV21-'NF - 5 Power Mix'!SQV22</f>
        <v>0</v>
      </c>
      <c r="SQW42" s="1046">
        <f>SQW38+((SQW40+'NF - 5 Power Mix'!SQW14+'NF - 5 Power Mix'!SQW15)*860/10)+((('Form Sa1'!SQZ835)*860)/10)+('Form Sa1'!SQZ814*'Form Sa1'!SQZ816/10)-'NF - 5 Power Mix'!SQW21-'NF - 5 Power Mix'!SQW22</f>
        <v>0</v>
      </c>
      <c r="SQX42" s="1046">
        <f>SQX38+((SQX40+'NF - 5 Power Mix'!SQX14+'NF - 5 Power Mix'!SQX15)*860/10)+((('Form Sa1'!SRA835)*860)/10)+('Form Sa1'!SRA814*'Form Sa1'!SRA816/10)-'NF - 5 Power Mix'!SQX21-'NF - 5 Power Mix'!SQX22</f>
        <v>0</v>
      </c>
      <c r="SQY42" s="1046">
        <f>SQY38+((SQY40+'NF - 5 Power Mix'!SQY14+'NF - 5 Power Mix'!SQY15)*860/10)+((('Form Sa1'!SRB835)*860)/10)+('Form Sa1'!SRB814*'Form Sa1'!SRB816/10)-'NF - 5 Power Mix'!SQY21-'NF - 5 Power Mix'!SQY22</f>
        <v>0</v>
      </c>
      <c r="SQZ42" s="1046">
        <f>SQZ38+((SQZ40+'NF - 5 Power Mix'!SQZ14+'NF - 5 Power Mix'!SQZ15)*860/10)+((('Form Sa1'!SRC835)*860)/10)+('Form Sa1'!SRC814*'Form Sa1'!SRC816/10)-'NF - 5 Power Mix'!SQZ21-'NF - 5 Power Mix'!SQZ22</f>
        <v>0</v>
      </c>
      <c r="SRA42" s="1046">
        <f>SRA38+((SRA40+'NF - 5 Power Mix'!SRA14+'NF - 5 Power Mix'!SRA15)*860/10)+((('Form Sa1'!SRD835)*860)/10)+('Form Sa1'!SRD814*'Form Sa1'!SRD816/10)-'NF - 5 Power Mix'!SRA21-'NF - 5 Power Mix'!SRA22</f>
        <v>0</v>
      </c>
      <c r="SRB42" s="1046">
        <f>SRB38+((SRB40+'NF - 5 Power Mix'!SRB14+'NF - 5 Power Mix'!SRB15)*860/10)+((('Form Sa1'!SRE835)*860)/10)+('Form Sa1'!SRE814*'Form Sa1'!SRE816/10)-'NF - 5 Power Mix'!SRB21-'NF - 5 Power Mix'!SRB22</f>
        <v>0</v>
      </c>
      <c r="SRC42" s="1046">
        <f>SRC38+((SRC40+'NF - 5 Power Mix'!SRC14+'NF - 5 Power Mix'!SRC15)*860/10)+((('Form Sa1'!SRF835)*860)/10)+('Form Sa1'!SRF814*'Form Sa1'!SRF816/10)-'NF - 5 Power Mix'!SRC21-'NF - 5 Power Mix'!SRC22</f>
        <v>0</v>
      </c>
      <c r="SRD42" s="1046">
        <f>SRD38+((SRD40+'NF - 5 Power Mix'!SRD14+'NF - 5 Power Mix'!SRD15)*860/10)+((('Form Sa1'!SRG835)*860)/10)+('Form Sa1'!SRG814*'Form Sa1'!SRG816/10)-'NF - 5 Power Mix'!SRD21-'NF - 5 Power Mix'!SRD22</f>
        <v>0</v>
      </c>
      <c r="SRE42" s="1046">
        <f>SRE38+((SRE40+'NF - 5 Power Mix'!SRE14+'NF - 5 Power Mix'!SRE15)*860/10)+((('Form Sa1'!SRH835)*860)/10)+('Form Sa1'!SRH814*'Form Sa1'!SRH816/10)-'NF - 5 Power Mix'!SRE21-'NF - 5 Power Mix'!SRE22</f>
        <v>0</v>
      </c>
      <c r="SRF42" s="1046">
        <f>SRF38+((SRF40+'NF - 5 Power Mix'!SRF14+'NF - 5 Power Mix'!SRF15)*860/10)+((('Form Sa1'!SRI835)*860)/10)+('Form Sa1'!SRI814*'Form Sa1'!SRI816/10)-'NF - 5 Power Mix'!SRF21-'NF - 5 Power Mix'!SRF22</f>
        <v>0</v>
      </c>
      <c r="SRG42" s="1046">
        <f>SRG38+((SRG40+'NF - 5 Power Mix'!SRG14+'NF - 5 Power Mix'!SRG15)*860/10)+((('Form Sa1'!SRJ835)*860)/10)+('Form Sa1'!SRJ814*'Form Sa1'!SRJ816/10)-'NF - 5 Power Mix'!SRG21-'NF - 5 Power Mix'!SRG22</f>
        <v>0</v>
      </c>
      <c r="SRH42" s="1046">
        <f>SRH38+((SRH40+'NF - 5 Power Mix'!SRH14+'NF - 5 Power Mix'!SRH15)*860/10)+((('Form Sa1'!SRK835)*860)/10)+('Form Sa1'!SRK814*'Form Sa1'!SRK816/10)-'NF - 5 Power Mix'!SRH21-'NF - 5 Power Mix'!SRH22</f>
        <v>0</v>
      </c>
      <c r="SRI42" s="1046">
        <f>SRI38+((SRI40+'NF - 5 Power Mix'!SRI14+'NF - 5 Power Mix'!SRI15)*860/10)+((('Form Sa1'!SRL835)*860)/10)+('Form Sa1'!SRL814*'Form Sa1'!SRL816/10)-'NF - 5 Power Mix'!SRI21-'NF - 5 Power Mix'!SRI22</f>
        <v>0</v>
      </c>
      <c r="SRJ42" s="1046">
        <f>SRJ38+((SRJ40+'NF - 5 Power Mix'!SRJ14+'NF - 5 Power Mix'!SRJ15)*860/10)+((('Form Sa1'!SRM835)*860)/10)+('Form Sa1'!SRM814*'Form Sa1'!SRM816/10)-'NF - 5 Power Mix'!SRJ21-'NF - 5 Power Mix'!SRJ22</f>
        <v>0</v>
      </c>
      <c r="SRK42" s="1046">
        <f>SRK38+((SRK40+'NF - 5 Power Mix'!SRK14+'NF - 5 Power Mix'!SRK15)*860/10)+((('Form Sa1'!SRN835)*860)/10)+('Form Sa1'!SRN814*'Form Sa1'!SRN816/10)-'NF - 5 Power Mix'!SRK21-'NF - 5 Power Mix'!SRK22</f>
        <v>0</v>
      </c>
      <c r="SRL42" s="1046">
        <f>SRL38+((SRL40+'NF - 5 Power Mix'!SRL14+'NF - 5 Power Mix'!SRL15)*860/10)+((('Form Sa1'!SRO835)*860)/10)+('Form Sa1'!SRO814*'Form Sa1'!SRO816/10)-'NF - 5 Power Mix'!SRL21-'NF - 5 Power Mix'!SRL22</f>
        <v>0</v>
      </c>
      <c r="SRM42" s="1046">
        <f>SRM38+((SRM40+'NF - 5 Power Mix'!SRM14+'NF - 5 Power Mix'!SRM15)*860/10)+((('Form Sa1'!SRP835)*860)/10)+('Form Sa1'!SRP814*'Form Sa1'!SRP816/10)-'NF - 5 Power Mix'!SRM21-'NF - 5 Power Mix'!SRM22</f>
        <v>0</v>
      </c>
      <c r="SRN42" s="1046">
        <f>SRN38+((SRN40+'NF - 5 Power Mix'!SRN14+'NF - 5 Power Mix'!SRN15)*860/10)+((('Form Sa1'!SRQ835)*860)/10)+('Form Sa1'!SRQ814*'Form Sa1'!SRQ816/10)-'NF - 5 Power Mix'!SRN21-'NF - 5 Power Mix'!SRN22</f>
        <v>0</v>
      </c>
      <c r="SRO42" s="1046">
        <f>SRO38+((SRO40+'NF - 5 Power Mix'!SRO14+'NF - 5 Power Mix'!SRO15)*860/10)+((('Form Sa1'!SRR835)*860)/10)+('Form Sa1'!SRR814*'Form Sa1'!SRR816/10)-'NF - 5 Power Mix'!SRO21-'NF - 5 Power Mix'!SRO22</f>
        <v>0</v>
      </c>
      <c r="SRP42" s="1046">
        <f>SRP38+((SRP40+'NF - 5 Power Mix'!SRP14+'NF - 5 Power Mix'!SRP15)*860/10)+((('Form Sa1'!SRS835)*860)/10)+('Form Sa1'!SRS814*'Form Sa1'!SRS816/10)-'NF - 5 Power Mix'!SRP21-'NF - 5 Power Mix'!SRP22</f>
        <v>0</v>
      </c>
      <c r="SRQ42" s="1046">
        <f>SRQ38+((SRQ40+'NF - 5 Power Mix'!SRQ14+'NF - 5 Power Mix'!SRQ15)*860/10)+((('Form Sa1'!SRT835)*860)/10)+('Form Sa1'!SRT814*'Form Sa1'!SRT816/10)-'NF - 5 Power Mix'!SRQ21-'NF - 5 Power Mix'!SRQ22</f>
        <v>0</v>
      </c>
      <c r="SRR42" s="1046">
        <f>SRR38+((SRR40+'NF - 5 Power Mix'!SRR14+'NF - 5 Power Mix'!SRR15)*860/10)+((('Form Sa1'!SRU835)*860)/10)+('Form Sa1'!SRU814*'Form Sa1'!SRU816/10)-'NF - 5 Power Mix'!SRR21-'NF - 5 Power Mix'!SRR22</f>
        <v>0</v>
      </c>
      <c r="SRS42" s="1046">
        <f>SRS38+((SRS40+'NF - 5 Power Mix'!SRS14+'NF - 5 Power Mix'!SRS15)*860/10)+((('Form Sa1'!SRV835)*860)/10)+('Form Sa1'!SRV814*'Form Sa1'!SRV816/10)-'NF - 5 Power Mix'!SRS21-'NF - 5 Power Mix'!SRS22</f>
        <v>0</v>
      </c>
      <c r="SRT42" s="1046">
        <f>SRT38+((SRT40+'NF - 5 Power Mix'!SRT14+'NF - 5 Power Mix'!SRT15)*860/10)+((('Form Sa1'!SRW835)*860)/10)+('Form Sa1'!SRW814*'Form Sa1'!SRW816/10)-'NF - 5 Power Mix'!SRT21-'NF - 5 Power Mix'!SRT22</f>
        <v>0</v>
      </c>
      <c r="SRU42" s="1046">
        <f>SRU38+((SRU40+'NF - 5 Power Mix'!SRU14+'NF - 5 Power Mix'!SRU15)*860/10)+((('Form Sa1'!SRX835)*860)/10)+('Form Sa1'!SRX814*'Form Sa1'!SRX816/10)-'NF - 5 Power Mix'!SRU21-'NF - 5 Power Mix'!SRU22</f>
        <v>0</v>
      </c>
      <c r="SRV42" s="1046">
        <f>SRV38+((SRV40+'NF - 5 Power Mix'!SRV14+'NF - 5 Power Mix'!SRV15)*860/10)+((('Form Sa1'!SRY835)*860)/10)+('Form Sa1'!SRY814*'Form Sa1'!SRY816/10)-'NF - 5 Power Mix'!SRV21-'NF - 5 Power Mix'!SRV22</f>
        <v>0</v>
      </c>
      <c r="SRW42" s="1046">
        <f>SRW38+((SRW40+'NF - 5 Power Mix'!SRW14+'NF - 5 Power Mix'!SRW15)*860/10)+((('Form Sa1'!SRZ835)*860)/10)+('Form Sa1'!SRZ814*'Form Sa1'!SRZ816/10)-'NF - 5 Power Mix'!SRW21-'NF - 5 Power Mix'!SRW22</f>
        <v>0</v>
      </c>
      <c r="SRX42" s="1046">
        <f>SRX38+((SRX40+'NF - 5 Power Mix'!SRX14+'NF - 5 Power Mix'!SRX15)*860/10)+((('Form Sa1'!SSA835)*860)/10)+('Form Sa1'!SSA814*'Form Sa1'!SSA816/10)-'NF - 5 Power Mix'!SRX21-'NF - 5 Power Mix'!SRX22</f>
        <v>0</v>
      </c>
      <c r="SRY42" s="1046">
        <f>SRY38+((SRY40+'NF - 5 Power Mix'!SRY14+'NF - 5 Power Mix'!SRY15)*860/10)+((('Form Sa1'!SSB835)*860)/10)+('Form Sa1'!SSB814*'Form Sa1'!SSB816/10)-'NF - 5 Power Mix'!SRY21-'NF - 5 Power Mix'!SRY22</f>
        <v>0</v>
      </c>
      <c r="SRZ42" s="1046">
        <f>SRZ38+((SRZ40+'NF - 5 Power Mix'!SRZ14+'NF - 5 Power Mix'!SRZ15)*860/10)+((('Form Sa1'!SSC835)*860)/10)+('Form Sa1'!SSC814*'Form Sa1'!SSC816/10)-'NF - 5 Power Mix'!SRZ21-'NF - 5 Power Mix'!SRZ22</f>
        <v>0</v>
      </c>
      <c r="SSA42" s="1046">
        <f>SSA38+((SSA40+'NF - 5 Power Mix'!SSA14+'NF - 5 Power Mix'!SSA15)*860/10)+((('Form Sa1'!SSD835)*860)/10)+('Form Sa1'!SSD814*'Form Sa1'!SSD816/10)-'NF - 5 Power Mix'!SSA21-'NF - 5 Power Mix'!SSA22</f>
        <v>0</v>
      </c>
      <c r="SSB42" s="1046">
        <f>SSB38+((SSB40+'NF - 5 Power Mix'!SSB14+'NF - 5 Power Mix'!SSB15)*860/10)+((('Form Sa1'!SSE835)*860)/10)+('Form Sa1'!SSE814*'Form Sa1'!SSE816/10)-'NF - 5 Power Mix'!SSB21-'NF - 5 Power Mix'!SSB22</f>
        <v>0</v>
      </c>
      <c r="SSC42" s="1046">
        <f>SSC38+((SSC40+'NF - 5 Power Mix'!SSC14+'NF - 5 Power Mix'!SSC15)*860/10)+((('Form Sa1'!SSF835)*860)/10)+('Form Sa1'!SSF814*'Form Sa1'!SSF816/10)-'NF - 5 Power Mix'!SSC21-'NF - 5 Power Mix'!SSC22</f>
        <v>0</v>
      </c>
      <c r="SSD42" s="1046">
        <f>SSD38+((SSD40+'NF - 5 Power Mix'!SSD14+'NF - 5 Power Mix'!SSD15)*860/10)+((('Form Sa1'!SSG835)*860)/10)+('Form Sa1'!SSG814*'Form Sa1'!SSG816/10)-'NF - 5 Power Mix'!SSD21-'NF - 5 Power Mix'!SSD22</f>
        <v>0</v>
      </c>
      <c r="SSE42" s="1046">
        <f>SSE38+((SSE40+'NF - 5 Power Mix'!SSE14+'NF - 5 Power Mix'!SSE15)*860/10)+((('Form Sa1'!SSH835)*860)/10)+('Form Sa1'!SSH814*'Form Sa1'!SSH816/10)-'NF - 5 Power Mix'!SSE21-'NF - 5 Power Mix'!SSE22</f>
        <v>0</v>
      </c>
      <c r="SSF42" s="1046">
        <f>SSF38+((SSF40+'NF - 5 Power Mix'!SSF14+'NF - 5 Power Mix'!SSF15)*860/10)+((('Form Sa1'!SSI835)*860)/10)+('Form Sa1'!SSI814*'Form Sa1'!SSI816/10)-'NF - 5 Power Mix'!SSF21-'NF - 5 Power Mix'!SSF22</f>
        <v>0</v>
      </c>
      <c r="SSG42" s="1046">
        <f>SSG38+((SSG40+'NF - 5 Power Mix'!SSG14+'NF - 5 Power Mix'!SSG15)*860/10)+((('Form Sa1'!SSJ835)*860)/10)+('Form Sa1'!SSJ814*'Form Sa1'!SSJ816/10)-'NF - 5 Power Mix'!SSG21-'NF - 5 Power Mix'!SSG22</f>
        <v>0</v>
      </c>
      <c r="SSH42" s="1046">
        <f>SSH38+((SSH40+'NF - 5 Power Mix'!SSH14+'NF - 5 Power Mix'!SSH15)*860/10)+((('Form Sa1'!SSK835)*860)/10)+('Form Sa1'!SSK814*'Form Sa1'!SSK816/10)-'NF - 5 Power Mix'!SSH21-'NF - 5 Power Mix'!SSH22</f>
        <v>0</v>
      </c>
      <c r="SSI42" s="1046">
        <f>SSI38+((SSI40+'NF - 5 Power Mix'!SSI14+'NF - 5 Power Mix'!SSI15)*860/10)+((('Form Sa1'!SSL835)*860)/10)+('Form Sa1'!SSL814*'Form Sa1'!SSL816/10)-'NF - 5 Power Mix'!SSI21-'NF - 5 Power Mix'!SSI22</f>
        <v>0</v>
      </c>
      <c r="SSJ42" s="1046">
        <f>SSJ38+((SSJ40+'NF - 5 Power Mix'!SSJ14+'NF - 5 Power Mix'!SSJ15)*860/10)+((('Form Sa1'!SSM835)*860)/10)+('Form Sa1'!SSM814*'Form Sa1'!SSM816/10)-'NF - 5 Power Mix'!SSJ21-'NF - 5 Power Mix'!SSJ22</f>
        <v>0</v>
      </c>
      <c r="SSK42" s="1046">
        <f>SSK38+((SSK40+'NF - 5 Power Mix'!SSK14+'NF - 5 Power Mix'!SSK15)*860/10)+((('Form Sa1'!SSN835)*860)/10)+('Form Sa1'!SSN814*'Form Sa1'!SSN816/10)-'NF - 5 Power Mix'!SSK21-'NF - 5 Power Mix'!SSK22</f>
        <v>0</v>
      </c>
      <c r="SSL42" s="1046">
        <f>SSL38+((SSL40+'NF - 5 Power Mix'!SSL14+'NF - 5 Power Mix'!SSL15)*860/10)+((('Form Sa1'!SSO835)*860)/10)+('Form Sa1'!SSO814*'Form Sa1'!SSO816/10)-'NF - 5 Power Mix'!SSL21-'NF - 5 Power Mix'!SSL22</f>
        <v>0</v>
      </c>
      <c r="SSM42" s="1046">
        <f>SSM38+((SSM40+'NF - 5 Power Mix'!SSM14+'NF - 5 Power Mix'!SSM15)*860/10)+((('Form Sa1'!SSP835)*860)/10)+('Form Sa1'!SSP814*'Form Sa1'!SSP816/10)-'NF - 5 Power Mix'!SSM21-'NF - 5 Power Mix'!SSM22</f>
        <v>0</v>
      </c>
      <c r="SSN42" s="1046">
        <f>SSN38+((SSN40+'NF - 5 Power Mix'!SSN14+'NF - 5 Power Mix'!SSN15)*860/10)+((('Form Sa1'!SSQ835)*860)/10)+('Form Sa1'!SSQ814*'Form Sa1'!SSQ816/10)-'NF - 5 Power Mix'!SSN21-'NF - 5 Power Mix'!SSN22</f>
        <v>0</v>
      </c>
      <c r="SSO42" s="1046">
        <f>SSO38+((SSO40+'NF - 5 Power Mix'!SSO14+'NF - 5 Power Mix'!SSO15)*860/10)+((('Form Sa1'!SSR835)*860)/10)+('Form Sa1'!SSR814*'Form Sa1'!SSR816/10)-'NF - 5 Power Mix'!SSO21-'NF - 5 Power Mix'!SSO22</f>
        <v>0</v>
      </c>
      <c r="SSP42" s="1046">
        <f>SSP38+((SSP40+'NF - 5 Power Mix'!SSP14+'NF - 5 Power Mix'!SSP15)*860/10)+((('Form Sa1'!SSS835)*860)/10)+('Form Sa1'!SSS814*'Form Sa1'!SSS816/10)-'NF - 5 Power Mix'!SSP21-'NF - 5 Power Mix'!SSP22</f>
        <v>0</v>
      </c>
      <c r="SSQ42" s="1046">
        <f>SSQ38+((SSQ40+'NF - 5 Power Mix'!SSQ14+'NF - 5 Power Mix'!SSQ15)*860/10)+((('Form Sa1'!SST835)*860)/10)+('Form Sa1'!SST814*'Form Sa1'!SST816/10)-'NF - 5 Power Mix'!SSQ21-'NF - 5 Power Mix'!SSQ22</f>
        <v>0</v>
      </c>
      <c r="SSR42" s="1046">
        <f>SSR38+((SSR40+'NF - 5 Power Mix'!SSR14+'NF - 5 Power Mix'!SSR15)*860/10)+((('Form Sa1'!SSU835)*860)/10)+('Form Sa1'!SSU814*'Form Sa1'!SSU816/10)-'NF - 5 Power Mix'!SSR21-'NF - 5 Power Mix'!SSR22</f>
        <v>0</v>
      </c>
      <c r="SSS42" s="1046">
        <f>SSS38+((SSS40+'NF - 5 Power Mix'!SSS14+'NF - 5 Power Mix'!SSS15)*860/10)+((('Form Sa1'!SSV835)*860)/10)+('Form Sa1'!SSV814*'Form Sa1'!SSV816/10)-'NF - 5 Power Mix'!SSS21-'NF - 5 Power Mix'!SSS22</f>
        <v>0</v>
      </c>
      <c r="SST42" s="1046">
        <f>SST38+((SST40+'NF - 5 Power Mix'!SST14+'NF - 5 Power Mix'!SST15)*860/10)+((('Form Sa1'!SSW835)*860)/10)+('Form Sa1'!SSW814*'Form Sa1'!SSW816/10)-'NF - 5 Power Mix'!SST21-'NF - 5 Power Mix'!SST22</f>
        <v>0</v>
      </c>
      <c r="SSU42" s="1046">
        <f>SSU38+((SSU40+'NF - 5 Power Mix'!SSU14+'NF - 5 Power Mix'!SSU15)*860/10)+((('Form Sa1'!SSX835)*860)/10)+('Form Sa1'!SSX814*'Form Sa1'!SSX816/10)-'NF - 5 Power Mix'!SSU21-'NF - 5 Power Mix'!SSU22</f>
        <v>0</v>
      </c>
      <c r="SSV42" s="1046">
        <f>SSV38+((SSV40+'NF - 5 Power Mix'!SSV14+'NF - 5 Power Mix'!SSV15)*860/10)+((('Form Sa1'!SSY835)*860)/10)+('Form Sa1'!SSY814*'Form Sa1'!SSY816/10)-'NF - 5 Power Mix'!SSV21-'NF - 5 Power Mix'!SSV22</f>
        <v>0</v>
      </c>
      <c r="SSW42" s="1046">
        <f>SSW38+((SSW40+'NF - 5 Power Mix'!SSW14+'NF - 5 Power Mix'!SSW15)*860/10)+((('Form Sa1'!SSZ835)*860)/10)+('Form Sa1'!SSZ814*'Form Sa1'!SSZ816/10)-'NF - 5 Power Mix'!SSW21-'NF - 5 Power Mix'!SSW22</f>
        <v>0</v>
      </c>
      <c r="SSX42" s="1046">
        <f>SSX38+((SSX40+'NF - 5 Power Mix'!SSX14+'NF - 5 Power Mix'!SSX15)*860/10)+((('Form Sa1'!STA835)*860)/10)+('Form Sa1'!STA814*'Form Sa1'!STA816/10)-'NF - 5 Power Mix'!SSX21-'NF - 5 Power Mix'!SSX22</f>
        <v>0</v>
      </c>
      <c r="SSY42" s="1046">
        <f>SSY38+((SSY40+'NF - 5 Power Mix'!SSY14+'NF - 5 Power Mix'!SSY15)*860/10)+((('Form Sa1'!STB835)*860)/10)+('Form Sa1'!STB814*'Form Sa1'!STB816/10)-'NF - 5 Power Mix'!SSY21-'NF - 5 Power Mix'!SSY22</f>
        <v>0</v>
      </c>
      <c r="SSZ42" s="1046">
        <f>SSZ38+((SSZ40+'NF - 5 Power Mix'!SSZ14+'NF - 5 Power Mix'!SSZ15)*860/10)+((('Form Sa1'!STC835)*860)/10)+('Form Sa1'!STC814*'Form Sa1'!STC816/10)-'NF - 5 Power Mix'!SSZ21-'NF - 5 Power Mix'!SSZ22</f>
        <v>0</v>
      </c>
      <c r="STA42" s="1046">
        <f>STA38+((STA40+'NF - 5 Power Mix'!STA14+'NF - 5 Power Mix'!STA15)*860/10)+((('Form Sa1'!STD835)*860)/10)+('Form Sa1'!STD814*'Form Sa1'!STD816/10)-'NF - 5 Power Mix'!STA21-'NF - 5 Power Mix'!STA22</f>
        <v>0</v>
      </c>
      <c r="STB42" s="1046">
        <f>STB38+((STB40+'NF - 5 Power Mix'!STB14+'NF - 5 Power Mix'!STB15)*860/10)+((('Form Sa1'!STE835)*860)/10)+('Form Sa1'!STE814*'Form Sa1'!STE816/10)-'NF - 5 Power Mix'!STB21-'NF - 5 Power Mix'!STB22</f>
        <v>0</v>
      </c>
      <c r="STC42" s="1046">
        <f>STC38+((STC40+'NF - 5 Power Mix'!STC14+'NF - 5 Power Mix'!STC15)*860/10)+((('Form Sa1'!STF835)*860)/10)+('Form Sa1'!STF814*'Form Sa1'!STF816/10)-'NF - 5 Power Mix'!STC21-'NF - 5 Power Mix'!STC22</f>
        <v>0</v>
      </c>
      <c r="STD42" s="1046">
        <f>STD38+((STD40+'NF - 5 Power Mix'!STD14+'NF - 5 Power Mix'!STD15)*860/10)+((('Form Sa1'!STG835)*860)/10)+('Form Sa1'!STG814*'Form Sa1'!STG816/10)-'NF - 5 Power Mix'!STD21-'NF - 5 Power Mix'!STD22</f>
        <v>0</v>
      </c>
      <c r="STE42" s="1046">
        <f>STE38+((STE40+'NF - 5 Power Mix'!STE14+'NF - 5 Power Mix'!STE15)*860/10)+((('Form Sa1'!STH835)*860)/10)+('Form Sa1'!STH814*'Form Sa1'!STH816/10)-'NF - 5 Power Mix'!STE21-'NF - 5 Power Mix'!STE22</f>
        <v>0</v>
      </c>
      <c r="STF42" s="1046">
        <f>STF38+((STF40+'NF - 5 Power Mix'!STF14+'NF - 5 Power Mix'!STF15)*860/10)+((('Form Sa1'!STI835)*860)/10)+('Form Sa1'!STI814*'Form Sa1'!STI816/10)-'NF - 5 Power Mix'!STF21-'NF - 5 Power Mix'!STF22</f>
        <v>0</v>
      </c>
      <c r="STG42" s="1046">
        <f>STG38+((STG40+'NF - 5 Power Mix'!STG14+'NF - 5 Power Mix'!STG15)*860/10)+((('Form Sa1'!STJ835)*860)/10)+('Form Sa1'!STJ814*'Form Sa1'!STJ816/10)-'NF - 5 Power Mix'!STG21-'NF - 5 Power Mix'!STG22</f>
        <v>0</v>
      </c>
      <c r="STH42" s="1046">
        <f>STH38+((STH40+'NF - 5 Power Mix'!STH14+'NF - 5 Power Mix'!STH15)*860/10)+((('Form Sa1'!STK835)*860)/10)+('Form Sa1'!STK814*'Form Sa1'!STK816/10)-'NF - 5 Power Mix'!STH21-'NF - 5 Power Mix'!STH22</f>
        <v>0</v>
      </c>
      <c r="STI42" s="1046">
        <f>STI38+((STI40+'NF - 5 Power Mix'!STI14+'NF - 5 Power Mix'!STI15)*860/10)+((('Form Sa1'!STL835)*860)/10)+('Form Sa1'!STL814*'Form Sa1'!STL816/10)-'NF - 5 Power Mix'!STI21-'NF - 5 Power Mix'!STI22</f>
        <v>0</v>
      </c>
      <c r="STJ42" s="1046">
        <f>STJ38+((STJ40+'NF - 5 Power Mix'!STJ14+'NF - 5 Power Mix'!STJ15)*860/10)+((('Form Sa1'!STM835)*860)/10)+('Form Sa1'!STM814*'Form Sa1'!STM816/10)-'NF - 5 Power Mix'!STJ21-'NF - 5 Power Mix'!STJ22</f>
        <v>0</v>
      </c>
      <c r="STK42" s="1046">
        <f>STK38+((STK40+'NF - 5 Power Mix'!STK14+'NF - 5 Power Mix'!STK15)*860/10)+((('Form Sa1'!STN835)*860)/10)+('Form Sa1'!STN814*'Form Sa1'!STN816/10)-'NF - 5 Power Mix'!STK21-'NF - 5 Power Mix'!STK22</f>
        <v>0</v>
      </c>
      <c r="STL42" s="1046">
        <f>STL38+((STL40+'NF - 5 Power Mix'!STL14+'NF - 5 Power Mix'!STL15)*860/10)+((('Form Sa1'!STO835)*860)/10)+('Form Sa1'!STO814*'Form Sa1'!STO816/10)-'NF - 5 Power Mix'!STL21-'NF - 5 Power Mix'!STL22</f>
        <v>0</v>
      </c>
      <c r="STM42" s="1046">
        <f>STM38+((STM40+'NF - 5 Power Mix'!STM14+'NF - 5 Power Mix'!STM15)*860/10)+((('Form Sa1'!STP835)*860)/10)+('Form Sa1'!STP814*'Form Sa1'!STP816/10)-'NF - 5 Power Mix'!STM21-'NF - 5 Power Mix'!STM22</f>
        <v>0</v>
      </c>
      <c r="STN42" s="1046">
        <f>STN38+((STN40+'NF - 5 Power Mix'!STN14+'NF - 5 Power Mix'!STN15)*860/10)+((('Form Sa1'!STQ835)*860)/10)+('Form Sa1'!STQ814*'Form Sa1'!STQ816/10)-'NF - 5 Power Mix'!STN21-'NF - 5 Power Mix'!STN22</f>
        <v>0</v>
      </c>
      <c r="STO42" s="1046">
        <f>STO38+((STO40+'NF - 5 Power Mix'!STO14+'NF - 5 Power Mix'!STO15)*860/10)+((('Form Sa1'!STR835)*860)/10)+('Form Sa1'!STR814*'Form Sa1'!STR816/10)-'NF - 5 Power Mix'!STO21-'NF - 5 Power Mix'!STO22</f>
        <v>0</v>
      </c>
      <c r="STP42" s="1046">
        <f>STP38+((STP40+'NF - 5 Power Mix'!STP14+'NF - 5 Power Mix'!STP15)*860/10)+((('Form Sa1'!STS835)*860)/10)+('Form Sa1'!STS814*'Form Sa1'!STS816/10)-'NF - 5 Power Mix'!STP21-'NF - 5 Power Mix'!STP22</f>
        <v>0</v>
      </c>
      <c r="STQ42" s="1046">
        <f>STQ38+((STQ40+'NF - 5 Power Mix'!STQ14+'NF - 5 Power Mix'!STQ15)*860/10)+((('Form Sa1'!STT835)*860)/10)+('Form Sa1'!STT814*'Form Sa1'!STT816/10)-'NF - 5 Power Mix'!STQ21-'NF - 5 Power Mix'!STQ22</f>
        <v>0</v>
      </c>
      <c r="STR42" s="1046">
        <f>STR38+((STR40+'NF - 5 Power Mix'!STR14+'NF - 5 Power Mix'!STR15)*860/10)+((('Form Sa1'!STU835)*860)/10)+('Form Sa1'!STU814*'Form Sa1'!STU816/10)-'NF - 5 Power Mix'!STR21-'NF - 5 Power Mix'!STR22</f>
        <v>0</v>
      </c>
      <c r="STS42" s="1046">
        <f>STS38+((STS40+'NF - 5 Power Mix'!STS14+'NF - 5 Power Mix'!STS15)*860/10)+((('Form Sa1'!STV835)*860)/10)+('Form Sa1'!STV814*'Form Sa1'!STV816/10)-'NF - 5 Power Mix'!STS21-'NF - 5 Power Mix'!STS22</f>
        <v>0</v>
      </c>
      <c r="STT42" s="1046">
        <f>STT38+((STT40+'NF - 5 Power Mix'!STT14+'NF - 5 Power Mix'!STT15)*860/10)+((('Form Sa1'!STW835)*860)/10)+('Form Sa1'!STW814*'Form Sa1'!STW816/10)-'NF - 5 Power Mix'!STT21-'NF - 5 Power Mix'!STT22</f>
        <v>0</v>
      </c>
      <c r="STU42" s="1046">
        <f>STU38+((STU40+'NF - 5 Power Mix'!STU14+'NF - 5 Power Mix'!STU15)*860/10)+((('Form Sa1'!STX835)*860)/10)+('Form Sa1'!STX814*'Form Sa1'!STX816/10)-'NF - 5 Power Mix'!STU21-'NF - 5 Power Mix'!STU22</f>
        <v>0</v>
      </c>
      <c r="STV42" s="1046">
        <f>STV38+((STV40+'NF - 5 Power Mix'!STV14+'NF - 5 Power Mix'!STV15)*860/10)+((('Form Sa1'!STY835)*860)/10)+('Form Sa1'!STY814*'Form Sa1'!STY816/10)-'NF - 5 Power Mix'!STV21-'NF - 5 Power Mix'!STV22</f>
        <v>0</v>
      </c>
      <c r="STW42" s="1046">
        <f>STW38+((STW40+'NF - 5 Power Mix'!STW14+'NF - 5 Power Mix'!STW15)*860/10)+((('Form Sa1'!STZ835)*860)/10)+('Form Sa1'!STZ814*'Form Sa1'!STZ816/10)-'NF - 5 Power Mix'!STW21-'NF - 5 Power Mix'!STW22</f>
        <v>0</v>
      </c>
      <c r="STX42" s="1046">
        <f>STX38+((STX40+'NF - 5 Power Mix'!STX14+'NF - 5 Power Mix'!STX15)*860/10)+((('Form Sa1'!SUA835)*860)/10)+('Form Sa1'!SUA814*'Form Sa1'!SUA816/10)-'NF - 5 Power Mix'!STX21-'NF - 5 Power Mix'!STX22</f>
        <v>0</v>
      </c>
      <c r="STY42" s="1046">
        <f>STY38+((STY40+'NF - 5 Power Mix'!STY14+'NF - 5 Power Mix'!STY15)*860/10)+((('Form Sa1'!SUB835)*860)/10)+('Form Sa1'!SUB814*'Form Sa1'!SUB816/10)-'NF - 5 Power Mix'!STY21-'NF - 5 Power Mix'!STY22</f>
        <v>0</v>
      </c>
      <c r="STZ42" s="1046">
        <f>STZ38+((STZ40+'NF - 5 Power Mix'!STZ14+'NF - 5 Power Mix'!STZ15)*860/10)+((('Form Sa1'!SUC835)*860)/10)+('Form Sa1'!SUC814*'Form Sa1'!SUC816/10)-'NF - 5 Power Mix'!STZ21-'NF - 5 Power Mix'!STZ22</f>
        <v>0</v>
      </c>
      <c r="SUA42" s="1046">
        <f>SUA38+((SUA40+'NF - 5 Power Mix'!SUA14+'NF - 5 Power Mix'!SUA15)*860/10)+((('Form Sa1'!SUD835)*860)/10)+('Form Sa1'!SUD814*'Form Sa1'!SUD816/10)-'NF - 5 Power Mix'!SUA21-'NF - 5 Power Mix'!SUA22</f>
        <v>0</v>
      </c>
      <c r="SUB42" s="1046">
        <f>SUB38+((SUB40+'NF - 5 Power Mix'!SUB14+'NF - 5 Power Mix'!SUB15)*860/10)+((('Form Sa1'!SUE835)*860)/10)+('Form Sa1'!SUE814*'Form Sa1'!SUE816/10)-'NF - 5 Power Mix'!SUB21-'NF - 5 Power Mix'!SUB22</f>
        <v>0</v>
      </c>
      <c r="SUC42" s="1046">
        <f>SUC38+((SUC40+'NF - 5 Power Mix'!SUC14+'NF - 5 Power Mix'!SUC15)*860/10)+((('Form Sa1'!SUF835)*860)/10)+('Form Sa1'!SUF814*'Form Sa1'!SUF816/10)-'NF - 5 Power Mix'!SUC21-'NF - 5 Power Mix'!SUC22</f>
        <v>0</v>
      </c>
      <c r="SUD42" s="1046">
        <f>SUD38+((SUD40+'NF - 5 Power Mix'!SUD14+'NF - 5 Power Mix'!SUD15)*860/10)+((('Form Sa1'!SUG835)*860)/10)+('Form Sa1'!SUG814*'Form Sa1'!SUG816/10)-'NF - 5 Power Mix'!SUD21-'NF - 5 Power Mix'!SUD22</f>
        <v>0</v>
      </c>
      <c r="SUE42" s="1046">
        <f>SUE38+((SUE40+'NF - 5 Power Mix'!SUE14+'NF - 5 Power Mix'!SUE15)*860/10)+((('Form Sa1'!SUH835)*860)/10)+('Form Sa1'!SUH814*'Form Sa1'!SUH816/10)-'NF - 5 Power Mix'!SUE21-'NF - 5 Power Mix'!SUE22</f>
        <v>0</v>
      </c>
      <c r="SUF42" s="1046">
        <f>SUF38+((SUF40+'NF - 5 Power Mix'!SUF14+'NF - 5 Power Mix'!SUF15)*860/10)+((('Form Sa1'!SUI835)*860)/10)+('Form Sa1'!SUI814*'Form Sa1'!SUI816/10)-'NF - 5 Power Mix'!SUF21-'NF - 5 Power Mix'!SUF22</f>
        <v>0</v>
      </c>
      <c r="SUG42" s="1046">
        <f>SUG38+((SUG40+'NF - 5 Power Mix'!SUG14+'NF - 5 Power Mix'!SUG15)*860/10)+((('Form Sa1'!SUJ835)*860)/10)+('Form Sa1'!SUJ814*'Form Sa1'!SUJ816/10)-'NF - 5 Power Mix'!SUG21-'NF - 5 Power Mix'!SUG22</f>
        <v>0</v>
      </c>
      <c r="SUH42" s="1046">
        <f>SUH38+((SUH40+'NF - 5 Power Mix'!SUH14+'NF - 5 Power Mix'!SUH15)*860/10)+((('Form Sa1'!SUK835)*860)/10)+('Form Sa1'!SUK814*'Form Sa1'!SUK816/10)-'NF - 5 Power Mix'!SUH21-'NF - 5 Power Mix'!SUH22</f>
        <v>0</v>
      </c>
      <c r="SUI42" s="1046">
        <f>SUI38+((SUI40+'NF - 5 Power Mix'!SUI14+'NF - 5 Power Mix'!SUI15)*860/10)+((('Form Sa1'!SUL835)*860)/10)+('Form Sa1'!SUL814*'Form Sa1'!SUL816/10)-'NF - 5 Power Mix'!SUI21-'NF - 5 Power Mix'!SUI22</f>
        <v>0</v>
      </c>
      <c r="SUJ42" s="1046">
        <f>SUJ38+((SUJ40+'NF - 5 Power Mix'!SUJ14+'NF - 5 Power Mix'!SUJ15)*860/10)+((('Form Sa1'!SUM835)*860)/10)+('Form Sa1'!SUM814*'Form Sa1'!SUM816/10)-'NF - 5 Power Mix'!SUJ21-'NF - 5 Power Mix'!SUJ22</f>
        <v>0</v>
      </c>
      <c r="SUK42" s="1046">
        <f>SUK38+((SUK40+'NF - 5 Power Mix'!SUK14+'NF - 5 Power Mix'!SUK15)*860/10)+((('Form Sa1'!SUN835)*860)/10)+('Form Sa1'!SUN814*'Form Sa1'!SUN816/10)-'NF - 5 Power Mix'!SUK21-'NF - 5 Power Mix'!SUK22</f>
        <v>0</v>
      </c>
      <c r="SUL42" s="1046">
        <f>SUL38+((SUL40+'NF - 5 Power Mix'!SUL14+'NF - 5 Power Mix'!SUL15)*860/10)+((('Form Sa1'!SUO835)*860)/10)+('Form Sa1'!SUO814*'Form Sa1'!SUO816/10)-'NF - 5 Power Mix'!SUL21-'NF - 5 Power Mix'!SUL22</f>
        <v>0</v>
      </c>
      <c r="SUM42" s="1046">
        <f>SUM38+((SUM40+'NF - 5 Power Mix'!SUM14+'NF - 5 Power Mix'!SUM15)*860/10)+((('Form Sa1'!SUP835)*860)/10)+('Form Sa1'!SUP814*'Form Sa1'!SUP816/10)-'NF - 5 Power Mix'!SUM21-'NF - 5 Power Mix'!SUM22</f>
        <v>0</v>
      </c>
      <c r="SUN42" s="1046">
        <f>SUN38+((SUN40+'NF - 5 Power Mix'!SUN14+'NF - 5 Power Mix'!SUN15)*860/10)+((('Form Sa1'!SUQ835)*860)/10)+('Form Sa1'!SUQ814*'Form Sa1'!SUQ816/10)-'NF - 5 Power Mix'!SUN21-'NF - 5 Power Mix'!SUN22</f>
        <v>0</v>
      </c>
      <c r="SUO42" s="1046">
        <f>SUO38+((SUO40+'NF - 5 Power Mix'!SUO14+'NF - 5 Power Mix'!SUO15)*860/10)+((('Form Sa1'!SUR835)*860)/10)+('Form Sa1'!SUR814*'Form Sa1'!SUR816/10)-'NF - 5 Power Mix'!SUO21-'NF - 5 Power Mix'!SUO22</f>
        <v>0</v>
      </c>
      <c r="SUP42" s="1046">
        <f>SUP38+((SUP40+'NF - 5 Power Mix'!SUP14+'NF - 5 Power Mix'!SUP15)*860/10)+((('Form Sa1'!SUS835)*860)/10)+('Form Sa1'!SUS814*'Form Sa1'!SUS816/10)-'NF - 5 Power Mix'!SUP21-'NF - 5 Power Mix'!SUP22</f>
        <v>0</v>
      </c>
      <c r="SUQ42" s="1046">
        <f>SUQ38+((SUQ40+'NF - 5 Power Mix'!SUQ14+'NF - 5 Power Mix'!SUQ15)*860/10)+((('Form Sa1'!SUT835)*860)/10)+('Form Sa1'!SUT814*'Form Sa1'!SUT816/10)-'NF - 5 Power Mix'!SUQ21-'NF - 5 Power Mix'!SUQ22</f>
        <v>0</v>
      </c>
      <c r="SUR42" s="1046">
        <f>SUR38+((SUR40+'NF - 5 Power Mix'!SUR14+'NF - 5 Power Mix'!SUR15)*860/10)+((('Form Sa1'!SUU835)*860)/10)+('Form Sa1'!SUU814*'Form Sa1'!SUU816/10)-'NF - 5 Power Mix'!SUR21-'NF - 5 Power Mix'!SUR22</f>
        <v>0</v>
      </c>
      <c r="SUS42" s="1046">
        <f>SUS38+((SUS40+'NF - 5 Power Mix'!SUS14+'NF - 5 Power Mix'!SUS15)*860/10)+((('Form Sa1'!SUV835)*860)/10)+('Form Sa1'!SUV814*'Form Sa1'!SUV816/10)-'NF - 5 Power Mix'!SUS21-'NF - 5 Power Mix'!SUS22</f>
        <v>0</v>
      </c>
      <c r="SUT42" s="1046">
        <f>SUT38+((SUT40+'NF - 5 Power Mix'!SUT14+'NF - 5 Power Mix'!SUT15)*860/10)+((('Form Sa1'!SUW835)*860)/10)+('Form Sa1'!SUW814*'Form Sa1'!SUW816/10)-'NF - 5 Power Mix'!SUT21-'NF - 5 Power Mix'!SUT22</f>
        <v>0</v>
      </c>
      <c r="SUU42" s="1046">
        <f>SUU38+((SUU40+'NF - 5 Power Mix'!SUU14+'NF - 5 Power Mix'!SUU15)*860/10)+((('Form Sa1'!SUX835)*860)/10)+('Form Sa1'!SUX814*'Form Sa1'!SUX816/10)-'NF - 5 Power Mix'!SUU21-'NF - 5 Power Mix'!SUU22</f>
        <v>0</v>
      </c>
      <c r="SUV42" s="1046">
        <f>SUV38+((SUV40+'NF - 5 Power Mix'!SUV14+'NF - 5 Power Mix'!SUV15)*860/10)+((('Form Sa1'!SUY835)*860)/10)+('Form Sa1'!SUY814*'Form Sa1'!SUY816/10)-'NF - 5 Power Mix'!SUV21-'NF - 5 Power Mix'!SUV22</f>
        <v>0</v>
      </c>
      <c r="SUW42" s="1046">
        <f>SUW38+((SUW40+'NF - 5 Power Mix'!SUW14+'NF - 5 Power Mix'!SUW15)*860/10)+((('Form Sa1'!SUZ835)*860)/10)+('Form Sa1'!SUZ814*'Form Sa1'!SUZ816/10)-'NF - 5 Power Mix'!SUW21-'NF - 5 Power Mix'!SUW22</f>
        <v>0</v>
      </c>
      <c r="SUX42" s="1046">
        <f>SUX38+((SUX40+'NF - 5 Power Mix'!SUX14+'NF - 5 Power Mix'!SUX15)*860/10)+((('Form Sa1'!SVA835)*860)/10)+('Form Sa1'!SVA814*'Form Sa1'!SVA816/10)-'NF - 5 Power Mix'!SUX21-'NF - 5 Power Mix'!SUX22</f>
        <v>0</v>
      </c>
      <c r="SUY42" s="1046">
        <f>SUY38+((SUY40+'NF - 5 Power Mix'!SUY14+'NF - 5 Power Mix'!SUY15)*860/10)+((('Form Sa1'!SVB835)*860)/10)+('Form Sa1'!SVB814*'Form Sa1'!SVB816/10)-'NF - 5 Power Mix'!SUY21-'NF - 5 Power Mix'!SUY22</f>
        <v>0</v>
      </c>
      <c r="SUZ42" s="1046">
        <f>SUZ38+((SUZ40+'NF - 5 Power Mix'!SUZ14+'NF - 5 Power Mix'!SUZ15)*860/10)+((('Form Sa1'!SVC835)*860)/10)+('Form Sa1'!SVC814*'Form Sa1'!SVC816/10)-'NF - 5 Power Mix'!SUZ21-'NF - 5 Power Mix'!SUZ22</f>
        <v>0</v>
      </c>
      <c r="SVA42" s="1046">
        <f>SVA38+((SVA40+'NF - 5 Power Mix'!SVA14+'NF - 5 Power Mix'!SVA15)*860/10)+((('Form Sa1'!SVD835)*860)/10)+('Form Sa1'!SVD814*'Form Sa1'!SVD816/10)-'NF - 5 Power Mix'!SVA21-'NF - 5 Power Mix'!SVA22</f>
        <v>0</v>
      </c>
      <c r="SVB42" s="1046">
        <f>SVB38+((SVB40+'NF - 5 Power Mix'!SVB14+'NF - 5 Power Mix'!SVB15)*860/10)+((('Form Sa1'!SVE835)*860)/10)+('Form Sa1'!SVE814*'Form Sa1'!SVE816/10)-'NF - 5 Power Mix'!SVB21-'NF - 5 Power Mix'!SVB22</f>
        <v>0</v>
      </c>
      <c r="SVC42" s="1046">
        <f>SVC38+((SVC40+'NF - 5 Power Mix'!SVC14+'NF - 5 Power Mix'!SVC15)*860/10)+((('Form Sa1'!SVF835)*860)/10)+('Form Sa1'!SVF814*'Form Sa1'!SVF816/10)-'NF - 5 Power Mix'!SVC21-'NF - 5 Power Mix'!SVC22</f>
        <v>0</v>
      </c>
      <c r="SVD42" s="1046">
        <f>SVD38+((SVD40+'NF - 5 Power Mix'!SVD14+'NF - 5 Power Mix'!SVD15)*860/10)+((('Form Sa1'!SVG835)*860)/10)+('Form Sa1'!SVG814*'Form Sa1'!SVG816/10)-'NF - 5 Power Mix'!SVD21-'NF - 5 Power Mix'!SVD22</f>
        <v>0</v>
      </c>
      <c r="SVE42" s="1046">
        <f>SVE38+((SVE40+'NF - 5 Power Mix'!SVE14+'NF - 5 Power Mix'!SVE15)*860/10)+((('Form Sa1'!SVH835)*860)/10)+('Form Sa1'!SVH814*'Form Sa1'!SVH816/10)-'NF - 5 Power Mix'!SVE21-'NF - 5 Power Mix'!SVE22</f>
        <v>0</v>
      </c>
      <c r="SVF42" s="1046">
        <f>SVF38+((SVF40+'NF - 5 Power Mix'!SVF14+'NF - 5 Power Mix'!SVF15)*860/10)+((('Form Sa1'!SVI835)*860)/10)+('Form Sa1'!SVI814*'Form Sa1'!SVI816/10)-'NF - 5 Power Mix'!SVF21-'NF - 5 Power Mix'!SVF22</f>
        <v>0</v>
      </c>
      <c r="SVG42" s="1046">
        <f>SVG38+((SVG40+'NF - 5 Power Mix'!SVG14+'NF - 5 Power Mix'!SVG15)*860/10)+((('Form Sa1'!SVJ835)*860)/10)+('Form Sa1'!SVJ814*'Form Sa1'!SVJ816/10)-'NF - 5 Power Mix'!SVG21-'NF - 5 Power Mix'!SVG22</f>
        <v>0</v>
      </c>
      <c r="SVH42" s="1046">
        <f>SVH38+((SVH40+'NF - 5 Power Mix'!SVH14+'NF - 5 Power Mix'!SVH15)*860/10)+((('Form Sa1'!SVK835)*860)/10)+('Form Sa1'!SVK814*'Form Sa1'!SVK816/10)-'NF - 5 Power Mix'!SVH21-'NF - 5 Power Mix'!SVH22</f>
        <v>0</v>
      </c>
      <c r="SVI42" s="1046">
        <f>SVI38+((SVI40+'NF - 5 Power Mix'!SVI14+'NF - 5 Power Mix'!SVI15)*860/10)+((('Form Sa1'!SVL835)*860)/10)+('Form Sa1'!SVL814*'Form Sa1'!SVL816/10)-'NF - 5 Power Mix'!SVI21-'NF - 5 Power Mix'!SVI22</f>
        <v>0</v>
      </c>
      <c r="SVJ42" s="1046">
        <f>SVJ38+((SVJ40+'NF - 5 Power Mix'!SVJ14+'NF - 5 Power Mix'!SVJ15)*860/10)+((('Form Sa1'!SVM835)*860)/10)+('Form Sa1'!SVM814*'Form Sa1'!SVM816/10)-'NF - 5 Power Mix'!SVJ21-'NF - 5 Power Mix'!SVJ22</f>
        <v>0</v>
      </c>
      <c r="SVK42" s="1046">
        <f>SVK38+((SVK40+'NF - 5 Power Mix'!SVK14+'NF - 5 Power Mix'!SVK15)*860/10)+((('Form Sa1'!SVN835)*860)/10)+('Form Sa1'!SVN814*'Form Sa1'!SVN816/10)-'NF - 5 Power Mix'!SVK21-'NF - 5 Power Mix'!SVK22</f>
        <v>0</v>
      </c>
      <c r="SVL42" s="1046">
        <f>SVL38+((SVL40+'NF - 5 Power Mix'!SVL14+'NF - 5 Power Mix'!SVL15)*860/10)+((('Form Sa1'!SVO835)*860)/10)+('Form Sa1'!SVO814*'Form Sa1'!SVO816/10)-'NF - 5 Power Mix'!SVL21-'NF - 5 Power Mix'!SVL22</f>
        <v>0</v>
      </c>
      <c r="SVM42" s="1046">
        <f>SVM38+((SVM40+'NF - 5 Power Mix'!SVM14+'NF - 5 Power Mix'!SVM15)*860/10)+((('Form Sa1'!SVP835)*860)/10)+('Form Sa1'!SVP814*'Form Sa1'!SVP816/10)-'NF - 5 Power Mix'!SVM21-'NF - 5 Power Mix'!SVM22</f>
        <v>0</v>
      </c>
      <c r="SVN42" s="1046">
        <f>SVN38+((SVN40+'NF - 5 Power Mix'!SVN14+'NF - 5 Power Mix'!SVN15)*860/10)+((('Form Sa1'!SVQ835)*860)/10)+('Form Sa1'!SVQ814*'Form Sa1'!SVQ816/10)-'NF - 5 Power Mix'!SVN21-'NF - 5 Power Mix'!SVN22</f>
        <v>0</v>
      </c>
      <c r="SVO42" s="1046">
        <f>SVO38+((SVO40+'NF - 5 Power Mix'!SVO14+'NF - 5 Power Mix'!SVO15)*860/10)+((('Form Sa1'!SVR835)*860)/10)+('Form Sa1'!SVR814*'Form Sa1'!SVR816/10)-'NF - 5 Power Mix'!SVO21-'NF - 5 Power Mix'!SVO22</f>
        <v>0</v>
      </c>
      <c r="SVP42" s="1046">
        <f>SVP38+((SVP40+'NF - 5 Power Mix'!SVP14+'NF - 5 Power Mix'!SVP15)*860/10)+((('Form Sa1'!SVS835)*860)/10)+('Form Sa1'!SVS814*'Form Sa1'!SVS816/10)-'NF - 5 Power Mix'!SVP21-'NF - 5 Power Mix'!SVP22</f>
        <v>0</v>
      </c>
      <c r="SVQ42" s="1046">
        <f>SVQ38+((SVQ40+'NF - 5 Power Mix'!SVQ14+'NF - 5 Power Mix'!SVQ15)*860/10)+((('Form Sa1'!SVT835)*860)/10)+('Form Sa1'!SVT814*'Form Sa1'!SVT816/10)-'NF - 5 Power Mix'!SVQ21-'NF - 5 Power Mix'!SVQ22</f>
        <v>0</v>
      </c>
      <c r="SVR42" s="1046">
        <f>SVR38+((SVR40+'NF - 5 Power Mix'!SVR14+'NF - 5 Power Mix'!SVR15)*860/10)+((('Form Sa1'!SVU835)*860)/10)+('Form Sa1'!SVU814*'Form Sa1'!SVU816/10)-'NF - 5 Power Mix'!SVR21-'NF - 5 Power Mix'!SVR22</f>
        <v>0</v>
      </c>
      <c r="SVS42" s="1046">
        <f>SVS38+((SVS40+'NF - 5 Power Mix'!SVS14+'NF - 5 Power Mix'!SVS15)*860/10)+((('Form Sa1'!SVV835)*860)/10)+('Form Sa1'!SVV814*'Form Sa1'!SVV816/10)-'NF - 5 Power Mix'!SVS21-'NF - 5 Power Mix'!SVS22</f>
        <v>0</v>
      </c>
      <c r="SVT42" s="1046">
        <f>SVT38+((SVT40+'NF - 5 Power Mix'!SVT14+'NF - 5 Power Mix'!SVT15)*860/10)+((('Form Sa1'!SVW835)*860)/10)+('Form Sa1'!SVW814*'Form Sa1'!SVW816/10)-'NF - 5 Power Mix'!SVT21-'NF - 5 Power Mix'!SVT22</f>
        <v>0</v>
      </c>
      <c r="SVU42" s="1046">
        <f>SVU38+((SVU40+'NF - 5 Power Mix'!SVU14+'NF - 5 Power Mix'!SVU15)*860/10)+((('Form Sa1'!SVX835)*860)/10)+('Form Sa1'!SVX814*'Form Sa1'!SVX816/10)-'NF - 5 Power Mix'!SVU21-'NF - 5 Power Mix'!SVU22</f>
        <v>0</v>
      </c>
      <c r="SVV42" s="1046">
        <f>SVV38+((SVV40+'NF - 5 Power Mix'!SVV14+'NF - 5 Power Mix'!SVV15)*860/10)+((('Form Sa1'!SVY835)*860)/10)+('Form Sa1'!SVY814*'Form Sa1'!SVY816/10)-'NF - 5 Power Mix'!SVV21-'NF - 5 Power Mix'!SVV22</f>
        <v>0</v>
      </c>
      <c r="SVW42" s="1046">
        <f>SVW38+((SVW40+'NF - 5 Power Mix'!SVW14+'NF - 5 Power Mix'!SVW15)*860/10)+((('Form Sa1'!SVZ835)*860)/10)+('Form Sa1'!SVZ814*'Form Sa1'!SVZ816/10)-'NF - 5 Power Mix'!SVW21-'NF - 5 Power Mix'!SVW22</f>
        <v>0</v>
      </c>
      <c r="SVX42" s="1046">
        <f>SVX38+((SVX40+'NF - 5 Power Mix'!SVX14+'NF - 5 Power Mix'!SVX15)*860/10)+((('Form Sa1'!SWA835)*860)/10)+('Form Sa1'!SWA814*'Form Sa1'!SWA816/10)-'NF - 5 Power Mix'!SVX21-'NF - 5 Power Mix'!SVX22</f>
        <v>0</v>
      </c>
      <c r="SVY42" s="1046">
        <f>SVY38+((SVY40+'NF - 5 Power Mix'!SVY14+'NF - 5 Power Mix'!SVY15)*860/10)+((('Form Sa1'!SWB835)*860)/10)+('Form Sa1'!SWB814*'Form Sa1'!SWB816/10)-'NF - 5 Power Mix'!SVY21-'NF - 5 Power Mix'!SVY22</f>
        <v>0</v>
      </c>
      <c r="SVZ42" s="1046">
        <f>SVZ38+((SVZ40+'NF - 5 Power Mix'!SVZ14+'NF - 5 Power Mix'!SVZ15)*860/10)+((('Form Sa1'!SWC835)*860)/10)+('Form Sa1'!SWC814*'Form Sa1'!SWC816/10)-'NF - 5 Power Mix'!SVZ21-'NF - 5 Power Mix'!SVZ22</f>
        <v>0</v>
      </c>
      <c r="SWA42" s="1046">
        <f>SWA38+((SWA40+'NF - 5 Power Mix'!SWA14+'NF - 5 Power Mix'!SWA15)*860/10)+((('Form Sa1'!SWD835)*860)/10)+('Form Sa1'!SWD814*'Form Sa1'!SWD816/10)-'NF - 5 Power Mix'!SWA21-'NF - 5 Power Mix'!SWA22</f>
        <v>0</v>
      </c>
      <c r="SWB42" s="1046">
        <f>SWB38+((SWB40+'NF - 5 Power Mix'!SWB14+'NF - 5 Power Mix'!SWB15)*860/10)+((('Form Sa1'!SWE835)*860)/10)+('Form Sa1'!SWE814*'Form Sa1'!SWE816/10)-'NF - 5 Power Mix'!SWB21-'NF - 5 Power Mix'!SWB22</f>
        <v>0</v>
      </c>
      <c r="SWC42" s="1046">
        <f>SWC38+((SWC40+'NF - 5 Power Mix'!SWC14+'NF - 5 Power Mix'!SWC15)*860/10)+((('Form Sa1'!SWF835)*860)/10)+('Form Sa1'!SWF814*'Form Sa1'!SWF816/10)-'NF - 5 Power Mix'!SWC21-'NF - 5 Power Mix'!SWC22</f>
        <v>0</v>
      </c>
      <c r="SWD42" s="1046">
        <f>SWD38+((SWD40+'NF - 5 Power Mix'!SWD14+'NF - 5 Power Mix'!SWD15)*860/10)+((('Form Sa1'!SWG835)*860)/10)+('Form Sa1'!SWG814*'Form Sa1'!SWG816/10)-'NF - 5 Power Mix'!SWD21-'NF - 5 Power Mix'!SWD22</f>
        <v>0</v>
      </c>
      <c r="SWE42" s="1046">
        <f>SWE38+((SWE40+'NF - 5 Power Mix'!SWE14+'NF - 5 Power Mix'!SWE15)*860/10)+((('Form Sa1'!SWH835)*860)/10)+('Form Sa1'!SWH814*'Form Sa1'!SWH816/10)-'NF - 5 Power Mix'!SWE21-'NF - 5 Power Mix'!SWE22</f>
        <v>0</v>
      </c>
      <c r="SWF42" s="1046">
        <f>SWF38+((SWF40+'NF - 5 Power Mix'!SWF14+'NF - 5 Power Mix'!SWF15)*860/10)+((('Form Sa1'!SWI835)*860)/10)+('Form Sa1'!SWI814*'Form Sa1'!SWI816/10)-'NF - 5 Power Mix'!SWF21-'NF - 5 Power Mix'!SWF22</f>
        <v>0</v>
      </c>
      <c r="SWG42" s="1046">
        <f>SWG38+((SWG40+'NF - 5 Power Mix'!SWG14+'NF - 5 Power Mix'!SWG15)*860/10)+((('Form Sa1'!SWJ835)*860)/10)+('Form Sa1'!SWJ814*'Form Sa1'!SWJ816/10)-'NF - 5 Power Mix'!SWG21-'NF - 5 Power Mix'!SWG22</f>
        <v>0</v>
      </c>
      <c r="SWH42" s="1046">
        <f>SWH38+((SWH40+'NF - 5 Power Mix'!SWH14+'NF - 5 Power Mix'!SWH15)*860/10)+((('Form Sa1'!SWK835)*860)/10)+('Form Sa1'!SWK814*'Form Sa1'!SWK816/10)-'NF - 5 Power Mix'!SWH21-'NF - 5 Power Mix'!SWH22</f>
        <v>0</v>
      </c>
      <c r="SWI42" s="1046">
        <f>SWI38+((SWI40+'NF - 5 Power Mix'!SWI14+'NF - 5 Power Mix'!SWI15)*860/10)+((('Form Sa1'!SWL835)*860)/10)+('Form Sa1'!SWL814*'Form Sa1'!SWL816/10)-'NF - 5 Power Mix'!SWI21-'NF - 5 Power Mix'!SWI22</f>
        <v>0</v>
      </c>
      <c r="SWJ42" s="1046">
        <f>SWJ38+((SWJ40+'NF - 5 Power Mix'!SWJ14+'NF - 5 Power Mix'!SWJ15)*860/10)+((('Form Sa1'!SWM835)*860)/10)+('Form Sa1'!SWM814*'Form Sa1'!SWM816/10)-'NF - 5 Power Mix'!SWJ21-'NF - 5 Power Mix'!SWJ22</f>
        <v>0</v>
      </c>
      <c r="SWK42" s="1046">
        <f>SWK38+((SWK40+'NF - 5 Power Mix'!SWK14+'NF - 5 Power Mix'!SWK15)*860/10)+((('Form Sa1'!SWN835)*860)/10)+('Form Sa1'!SWN814*'Form Sa1'!SWN816/10)-'NF - 5 Power Mix'!SWK21-'NF - 5 Power Mix'!SWK22</f>
        <v>0</v>
      </c>
      <c r="SWL42" s="1046">
        <f>SWL38+((SWL40+'NF - 5 Power Mix'!SWL14+'NF - 5 Power Mix'!SWL15)*860/10)+((('Form Sa1'!SWO835)*860)/10)+('Form Sa1'!SWO814*'Form Sa1'!SWO816/10)-'NF - 5 Power Mix'!SWL21-'NF - 5 Power Mix'!SWL22</f>
        <v>0</v>
      </c>
      <c r="SWM42" s="1046">
        <f>SWM38+((SWM40+'NF - 5 Power Mix'!SWM14+'NF - 5 Power Mix'!SWM15)*860/10)+((('Form Sa1'!SWP835)*860)/10)+('Form Sa1'!SWP814*'Form Sa1'!SWP816/10)-'NF - 5 Power Mix'!SWM21-'NF - 5 Power Mix'!SWM22</f>
        <v>0</v>
      </c>
      <c r="SWN42" s="1046">
        <f>SWN38+((SWN40+'NF - 5 Power Mix'!SWN14+'NF - 5 Power Mix'!SWN15)*860/10)+((('Form Sa1'!SWQ835)*860)/10)+('Form Sa1'!SWQ814*'Form Sa1'!SWQ816/10)-'NF - 5 Power Mix'!SWN21-'NF - 5 Power Mix'!SWN22</f>
        <v>0</v>
      </c>
      <c r="SWO42" s="1046">
        <f>SWO38+((SWO40+'NF - 5 Power Mix'!SWO14+'NF - 5 Power Mix'!SWO15)*860/10)+((('Form Sa1'!SWR835)*860)/10)+('Form Sa1'!SWR814*'Form Sa1'!SWR816/10)-'NF - 5 Power Mix'!SWO21-'NF - 5 Power Mix'!SWO22</f>
        <v>0</v>
      </c>
      <c r="SWP42" s="1046">
        <f>SWP38+((SWP40+'NF - 5 Power Mix'!SWP14+'NF - 5 Power Mix'!SWP15)*860/10)+((('Form Sa1'!SWS835)*860)/10)+('Form Sa1'!SWS814*'Form Sa1'!SWS816/10)-'NF - 5 Power Mix'!SWP21-'NF - 5 Power Mix'!SWP22</f>
        <v>0</v>
      </c>
      <c r="SWQ42" s="1046">
        <f>SWQ38+((SWQ40+'NF - 5 Power Mix'!SWQ14+'NF - 5 Power Mix'!SWQ15)*860/10)+((('Form Sa1'!SWT835)*860)/10)+('Form Sa1'!SWT814*'Form Sa1'!SWT816/10)-'NF - 5 Power Mix'!SWQ21-'NF - 5 Power Mix'!SWQ22</f>
        <v>0</v>
      </c>
      <c r="SWR42" s="1046">
        <f>SWR38+((SWR40+'NF - 5 Power Mix'!SWR14+'NF - 5 Power Mix'!SWR15)*860/10)+((('Form Sa1'!SWU835)*860)/10)+('Form Sa1'!SWU814*'Form Sa1'!SWU816/10)-'NF - 5 Power Mix'!SWR21-'NF - 5 Power Mix'!SWR22</f>
        <v>0</v>
      </c>
      <c r="SWS42" s="1046">
        <f>SWS38+((SWS40+'NF - 5 Power Mix'!SWS14+'NF - 5 Power Mix'!SWS15)*860/10)+((('Form Sa1'!SWV835)*860)/10)+('Form Sa1'!SWV814*'Form Sa1'!SWV816/10)-'NF - 5 Power Mix'!SWS21-'NF - 5 Power Mix'!SWS22</f>
        <v>0</v>
      </c>
      <c r="SWT42" s="1046">
        <f>SWT38+((SWT40+'NF - 5 Power Mix'!SWT14+'NF - 5 Power Mix'!SWT15)*860/10)+((('Form Sa1'!SWW835)*860)/10)+('Form Sa1'!SWW814*'Form Sa1'!SWW816/10)-'NF - 5 Power Mix'!SWT21-'NF - 5 Power Mix'!SWT22</f>
        <v>0</v>
      </c>
      <c r="SWU42" s="1046">
        <f>SWU38+((SWU40+'NF - 5 Power Mix'!SWU14+'NF - 5 Power Mix'!SWU15)*860/10)+((('Form Sa1'!SWX835)*860)/10)+('Form Sa1'!SWX814*'Form Sa1'!SWX816/10)-'NF - 5 Power Mix'!SWU21-'NF - 5 Power Mix'!SWU22</f>
        <v>0</v>
      </c>
      <c r="SWV42" s="1046">
        <f>SWV38+((SWV40+'NF - 5 Power Mix'!SWV14+'NF - 5 Power Mix'!SWV15)*860/10)+((('Form Sa1'!SWY835)*860)/10)+('Form Sa1'!SWY814*'Form Sa1'!SWY816/10)-'NF - 5 Power Mix'!SWV21-'NF - 5 Power Mix'!SWV22</f>
        <v>0</v>
      </c>
      <c r="SWW42" s="1046">
        <f>SWW38+((SWW40+'NF - 5 Power Mix'!SWW14+'NF - 5 Power Mix'!SWW15)*860/10)+((('Form Sa1'!SWZ835)*860)/10)+('Form Sa1'!SWZ814*'Form Sa1'!SWZ816/10)-'NF - 5 Power Mix'!SWW21-'NF - 5 Power Mix'!SWW22</f>
        <v>0</v>
      </c>
      <c r="SWX42" s="1046">
        <f>SWX38+((SWX40+'NF - 5 Power Mix'!SWX14+'NF - 5 Power Mix'!SWX15)*860/10)+((('Form Sa1'!SXA835)*860)/10)+('Form Sa1'!SXA814*'Form Sa1'!SXA816/10)-'NF - 5 Power Mix'!SWX21-'NF - 5 Power Mix'!SWX22</f>
        <v>0</v>
      </c>
      <c r="SWY42" s="1046">
        <f>SWY38+((SWY40+'NF - 5 Power Mix'!SWY14+'NF - 5 Power Mix'!SWY15)*860/10)+((('Form Sa1'!SXB835)*860)/10)+('Form Sa1'!SXB814*'Form Sa1'!SXB816/10)-'NF - 5 Power Mix'!SWY21-'NF - 5 Power Mix'!SWY22</f>
        <v>0</v>
      </c>
      <c r="SWZ42" s="1046">
        <f>SWZ38+((SWZ40+'NF - 5 Power Mix'!SWZ14+'NF - 5 Power Mix'!SWZ15)*860/10)+((('Form Sa1'!SXC835)*860)/10)+('Form Sa1'!SXC814*'Form Sa1'!SXC816/10)-'NF - 5 Power Mix'!SWZ21-'NF - 5 Power Mix'!SWZ22</f>
        <v>0</v>
      </c>
      <c r="SXA42" s="1046">
        <f>SXA38+((SXA40+'NF - 5 Power Mix'!SXA14+'NF - 5 Power Mix'!SXA15)*860/10)+((('Form Sa1'!SXD835)*860)/10)+('Form Sa1'!SXD814*'Form Sa1'!SXD816/10)-'NF - 5 Power Mix'!SXA21-'NF - 5 Power Mix'!SXA22</f>
        <v>0</v>
      </c>
      <c r="SXB42" s="1046">
        <f>SXB38+((SXB40+'NF - 5 Power Mix'!SXB14+'NF - 5 Power Mix'!SXB15)*860/10)+((('Form Sa1'!SXE835)*860)/10)+('Form Sa1'!SXE814*'Form Sa1'!SXE816/10)-'NF - 5 Power Mix'!SXB21-'NF - 5 Power Mix'!SXB22</f>
        <v>0</v>
      </c>
      <c r="SXC42" s="1046">
        <f>SXC38+((SXC40+'NF - 5 Power Mix'!SXC14+'NF - 5 Power Mix'!SXC15)*860/10)+((('Form Sa1'!SXF835)*860)/10)+('Form Sa1'!SXF814*'Form Sa1'!SXF816/10)-'NF - 5 Power Mix'!SXC21-'NF - 5 Power Mix'!SXC22</f>
        <v>0</v>
      </c>
      <c r="SXD42" s="1046">
        <f>SXD38+((SXD40+'NF - 5 Power Mix'!SXD14+'NF - 5 Power Mix'!SXD15)*860/10)+((('Form Sa1'!SXG835)*860)/10)+('Form Sa1'!SXG814*'Form Sa1'!SXG816/10)-'NF - 5 Power Mix'!SXD21-'NF - 5 Power Mix'!SXD22</f>
        <v>0</v>
      </c>
      <c r="SXE42" s="1046">
        <f>SXE38+((SXE40+'NF - 5 Power Mix'!SXE14+'NF - 5 Power Mix'!SXE15)*860/10)+((('Form Sa1'!SXH835)*860)/10)+('Form Sa1'!SXH814*'Form Sa1'!SXH816/10)-'NF - 5 Power Mix'!SXE21-'NF - 5 Power Mix'!SXE22</f>
        <v>0</v>
      </c>
      <c r="SXF42" s="1046">
        <f>SXF38+((SXF40+'NF - 5 Power Mix'!SXF14+'NF - 5 Power Mix'!SXF15)*860/10)+((('Form Sa1'!SXI835)*860)/10)+('Form Sa1'!SXI814*'Form Sa1'!SXI816/10)-'NF - 5 Power Mix'!SXF21-'NF - 5 Power Mix'!SXF22</f>
        <v>0</v>
      </c>
      <c r="SXG42" s="1046">
        <f>SXG38+((SXG40+'NF - 5 Power Mix'!SXG14+'NF - 5 Power Mix'!SXG15)*860/10)+((('Form Sa1'!SXJ835)*860)/10)+('Form Sa1'!SXJ814*'Form Sa1'!SXJ816/10)-'NF - 5 Power Mix'!SXG21-'NF - 5 Power Mix'!SXG22</f>
        <v>0</v>
      </c>
      <c r="SXH42" s="1046">
        <f>SXH38+((SXH40+'NF - 5 Power Mix'!SXH14+'NF - 5 Power Mix'!SXH15)*860/10)+((('Form Sa1'!SXK835)*860)/10)+('Form Sa1'!SXK814*'Form Sa1'!SXK816/10)-'NF - 5 Power Mix'!SXH21-'NF - 5 Power Mix'!SXH22</f>
        <v>0</v>
      </c>
      <c r="SXI42" s="1046">
        <f>SXI38+((SXI40+'NF - 5 Power Mix'!SXI14+'NF - 5 Power Mix'!SXI15)*860/10)+((('Form Sa1'!SXL835)*860)/10)+('Form Sa1'!SXL814*'Form Sa1'!SXL816/10)-'NF - 5 Power Mix'!SXI21-'NF - 5 Power Mix'!SXI22</f>
        <v>0</v>
      </c>
      <c r="SXJ42" s="1046">
        <f>SXJ38+((SXJ40+'NF - 5 Power Mix'!SXJ14+'NF - 5 Power Mix'!SXJ15)*860/10)+((('Form Sa1'!SXM835)*860)/10)+('Form Sa1'!SXM814*'Form Sa1'!SXM816/10)-'NF - 5 Power Mix'!SXJ21-'NF - 5 Power Mix'!SXJ22</f>
        <v>0</v>
      </c>
      <c r="SXK42" s="1046">
        <f>SXK38+((SXK40+'NF - 5 Power Mix'!SXK14+'NF - 5 Power Mix'!SXK15)*860/10)+((('Form Sa1'!SXN835)*860)/10)+('Form Sa1'!SXN814*'Form Sa1'!SXN816/10)-'NF - 5 Power Mix'!SXK21-'NF - 5 Power Mix'!SXK22</f>
        <v>0</v>
      </c>
      <c r="SXL42" s="1046">
        <f>SXL38+((SXL40+'NF - 5 Power Mix'!SXL14+'NF - 5 Power Mix'!SXL15)*860/10)+((('Form Sa1'!SXO835)*860)/10)+('Form Sa1'!SXO814*'Form Sa1'!SXO816/10)-'NF - 5 Power Mix'!SXL21-'NF - 5 Power Mix'!SXL22</f>
        <v>0</v>
      </c>
      <c r="SXM42" s="1046">
        <f>SXM38+((SXM40+'NF - 5 Power Mix'!SXM14+'NF - 5 Power Mix'!SXM15)*860/10)+((('Form Sa1'!SXP835)*860)/10)+('Form Sa1'!SXP814*'Form Sa1'!SXP816/10)-'NF - 5 Power Mix'!SXM21-'NF - 5 Power Mix'!SXM22</f>
        <v>0</v>
      </c>
      <c r="SXN42" s="1046">
        <f>SXN38+((SXN40+'NF - 5 Power Mix'!SXN14+'NF - 5 Power Mix'!SXN15)*860/10)+((('Form Sa1'!SXQ835)*860)/10)+('Form Sa1'!SXQ814*'Form Sa1'!SXQ816/10)-'NF - 5 Power Mix'!SXN21-'NF - 5 Power Mix'!SXN22</f>
        <v>0</v>
      </c>
      <c r="SXO42" s="1046">
        <f>SXO38+((SXO40+'NF - 5 Power Mix'!SXO14+'NF - 5 Power Mix'!SXO15)*860/10)+((('Form Sa1'!SXR835)*860)/10)+('Form Sa1'!SXR814*'Form Sa1'!SXR816/10)-'NF - 5 Power Mix'!SXO21-'NF - 5 Power Mix'!SXO22</f>
        <v>0</v>
      </c>
      <c r="SXP42" s="1046">
        <f>SXP38+((SXP40+'NF - 5 Power Mix'!SXP14+'NF - 5 Power Mix'!SXP15)*860/10)+((('Form Sa1'!SXS835)*860)/10)+('Form Sa1'!SXS814*'Form Sa1'!SXS816/10)-'NF - 5 Power Mix'!SXP21-'NF - 5 Power Mix'!SXP22</f>
        <v>0</v>
      </c>
      <c r="SXQ42" s="1046">
        <f>SXQ38+((SXQ40+'NF - 5 Power Mix'!SXQ14+'NF - 5 Power Mix'!SXQ15)*860/10)+((('Form Sa1'!SXT835)*860)/10)+('Form Sa1'!SXT814*'Form Sa1'!SXT816/10)-'NF - 5 Power Mix'!SXQ21-'NF - 5 Power Mix'!SXQ22</f>
        <v>0</v>
      </c>
      <c r="SXR42" s="1046">
        <f>SXR38+((SXR40+'NF - 5 Power Mix'!SXR14+'NF - 5 Power Mix'!SXR15)*860/10)+((('Form Sa1'!SXU835)*860)/10)+('Form Sa1'!SXU814*'Form Sa1'!SXU816/10)-'NF - 5 Power Mix'!SXR21-'NF - 5 Power Mix'!SXR22</f>
        <v>0</v>
      </c>
      <c r="SXS42" s="1046">
        <f>SXS38+((SXS40+'NF - 5 Power Mix'!SXS14+'NF - 5 Power Mix'!SXS15)*860/10)+((('Form Sa1'!SXV835)*860)/10)+('Form Sa1'!SXV814*'Form Sa1'!SXV816/10)-'NF - 5 Power Mix'!SXS21-'NF - 5 Power Mix'!SXS22</f>
        <v>0</v>
      </c>
      <c r="SXT42" s="1046">
        <f>SXT38+((SXT40+'NF - 5 Power Mix'!SXT14+'NF - 5 Power Mix'!SXT15)*860/10)+((('Form Sa1'!SXW835)*860)/10)+('Form Sa1'!SXW814*'Form Sa1'!SXW816/10)-'NF - 5 Power Mix'!SXT21-'NF - 5 Power Mix'!SXT22</f>
        <v>0</v>
      </c>
      <c r="SXU42" s="1046">
        <f>SXU38+((SXU40+'NF - 5 Power Mix'!SXU14+'NF - 5 Power Mix'!SXU15)*860/10)+((('Form Sa1'!SXX835)*860)/10)+('Form Sa1'!SXX814*'Form Sa1'!SXX816/10)-'NF - 5 Power Mix'!SXU21-'NF - 5 Power Mix'!SXU22</f>
        <v>0</v>
      </c>
      <c r="SXV42" s="1046">
        <f>SXV38+((SXV40+'NF - 5 Power Mix'!SXV14+'NF - 5 Power Mix'!SXV15)*860/10)+((('Form Sa1'!SXY835)*860)/10)+('Form Sa1'!SXY814*'Form Sa1'!SXY816/10)-'NF - 5 Power Mix'!SXV21-'NF - 5 Power Mix'!SXV22</f>
        <v>0</v>
      </c>
      <c r="SXW42" s="1046">
        <f>SXW38+((SXW40+'NF - 5 Power Mix'!SXW14+'NF - 5 Power Mix'!SXW15)*860/10)+((('Form Sa1'!SXZ835)*860)/10)+('Form Sa1'!SXZ814*'Form Sa1'!SXZ816/10)-'NF - 5 Power Mix'!SXW21-'NF - 5 Power Mix'!SXW22</f>
        <v>0</v>
      </c>
      <c r="SXX42" s="1046">
        <f>SXX38+((SXX40+'NF - 5 Power Mix'!SXX14+'NF - 5 Power Mix'!SXX15)*860/10)+((('Form Sa1'!SYA835)*860)/10)+('Form Sa1'!SYA814*'Form Sa1'!SYA816/10)-'NF - 5 Power Mix'!SXX21-'NF - 5 Power Mix'!SXX22</f>
        <v>0</v>
      </c>
      <c r="SXY42" s="1046">
        <f>SXY38+((SXY40+'NF - 5 Power Mix'!SXY14+'NF - 5 Power Mix'!SXY15)*860/10)+((('Form Sa1'!SYB835)*860)/10)+('Form Sa1'!SYB814*'Form Sa1'!SYB816/10)-'NF - 5 Power Mix'!SXY21-'NF - 5 Power Mix'!SXY22</f>
        <v>0</v>
      </c>
      <c r="SXZ42" s="1046">
        <f>SXZ38+((SXZ40+'NF - 5 Power Mix'!SXZ14+'NF - 5 Power Mix'!SXZ15)*860/10)+((('Form Sa1'!SYC835)*860)/10)+('Form Sa1'!SYC814*'Form Sa1'!SYC816/10)-'NF - 5 Power Mix'!SXZ21-'NF - 5 Power Mix'!SXZ22</f>
        <v>0</v>
      </c>
      <c r="SYA42" s="1046">
        <f>SYA38+((SYA40+'NF - 5 Power Mix'!SYA14+'NF - 5 Power Mix'!SYA15)*860/10)+((('Form Sa1'!SYD835)*860)/10)+('Form Sa1'!SYD814*'Form Sa1'!SYD816/10)-'NF - 5 Power Mix'!SYA21-'NF - 5 Power Mix'!SYA22</f>
        <v>0</v>
      </c>
      <c r="SYB42" s="1046">
        <f>SYB38+((SYB40+'NF - 5 Power Mix'!SYB14+'NF - 5 Power Mix'!SYB15)*860/10)+((('Form Sa1'!SYE835)*860)/10)+('Form Sa1'!SYE814*'Form Sa1'!SYE816/10)-'NF - 5 Power Mix'!SYB21-'NF - 5 Power Mix'!SYB22</f>
        <v>0</v>
      </c>
      <c r="SYC42" s="1046">
        <f>SYC38+((SYC40+'NF - 5 Power Mix'!SYC14+'NF - 5 Power Mix'!SYC15)*860/10)+((('Form Sa1'!SYF835)*860)/10)+('Form Sa1'!SYF814*'Form Sa1'!SYF816/10)-'NF - 5 Power Mix'!SYC21-'NF - 5 Power Mix'!SYC22</f>
        <v>0</v>
      </c>
      <c r="SYD42" s="1046">
        <f>SYD38+((SYD40+'NF - 5 Power Mix'!SYD14+'NF - 5 Power Mix'!SYD15)*860/10)+((('Form Sa1'!SYG835)*860)/10)+('Form Sa1'!SYG814*'Form Sa1'!SYG816/10)-'NF - 5 Power Mix'!SYD21-'NF - 5 Power Mix'!SYD22</f>
        <v>0</v>
      </c>
      <c r="SYE42" s="1046">
        <f>SYE38+((SYE40+'NF - 5 Power Mix'!SYE14+'NF - 5 Power Mix'!SYE15)*860/10)+((('Form Sa1'!SYH835)*860)/10)+('Form Sa1'!SYH814*'Form Sa1'!SYH816/10)-'NF - 5 Power Mix'!SYE21-'NF - 5 Power Mix'!SYE22</f>
        <v>0</v>
      </c>
      <c r="SYF42" s="1046">
        <f>SYF38+((SYF40+'NF - 5 Power Mix'!SYF14+'NF - 5 Power Mix'!SYF15)*860/10)+((('Form Sa1'!SYI835)*860)/10)+('Form Sa1'!SYI814*'Form Sa1'!SYI816/10)-'NF - 5 Power Mix'!SYF21-'NF - 5 Power Mix'!SYF22</f>
        <v>0</v>
      </c>
      <c r="SYG42" s="1046">
        <f>SYG38+((SYG40+'NF - 5 Power Mix'!SYG14+'NF - 5 Power Mix'!SYG15)*860/10)+((('Form Sa1'!SYJ835)*860)/10)+('Form Sa1'!SYJ814*'Form Sa1'!SYJ816/10)-'NF - 5 Power Mix'!SYG21-'NF - 5 Power Mix'!SYG22</f>
        <v>0</v>
      </c>
      <c r="SYH42" s="1046">
        <f>SYH38+((SYH40+'NF - 5 Power Mix'!SYH14+'NF - 5 Power Mix'!SYH15)*860/10)+((('Form Sa1'!SYK835)*860)/10)+('Form Sa1'!SYK814*'Form Sa1'!SYK816/10)-'NF - 5 Power Mix'!SYH21-'NF - 5 Power Mix'!SYH22</f>
        <v>0</v>
      </c>
      <c r="SYI42" s="1046">
        <f>SYI38+((SYI40+'NF - 5 Power Mix'!SYI14+'NF - 5 Power Mix'!SYI15)*860/10)+((('Form Sa1'!SYL835)*860)/10)+('Form Sa1'!SYL814*'Form Sa1'!SYL816/10)-'NF - 5 Power Mix'!SYI21-'NF - 5 Power Mix'!SYI22</f>
        <v>0</v>
      </c>
      <c r="SYJ42" s="1046">
        <f>SYJ38+((SYJ40+'NF - 5 Power Mix'!SYJ14+'NF - 5 Power Mix'!SYJ15)*860/10)+((('Form Sa1'!SYM835)*860)/10)+('Form Sa1'!SYM814*'Form Sa1'!SYM816/10)-'NF - 5 Power Mix'!SYJ21-'NF - 5 Power Mix'!SYJ22</f>
        <v>0</v>
      </c>
      <c r="SYK42" s="1046">
        <f>SYK38+((SYK40+'NF - 5 Power Mix'!SYK14+'NF - 5 Power Mix'!SYK15)*860/10)+((('Form Sa1'!SYN835)*860)/10)+('Form Sa1'!SYN814*'Form Sa1'!SYN816/10)-'NF - 5 Power Mix'!SYK21-'NF - 5 Power Mix'!SYK22</f>
        <v>0</v>
      </c>
      <c r="SYL42" s="1046">
        <f>SYL38+((SYL40+'NF - 5 Power Mix'!SYL14+'NF - 5 Power Mix'!SYL15)*860/10)+((('Form Sa1'!SYO835)*860)/10)+('Form Sa1'!SYO814*'Form Sa1'!SYO816/10)-'NF - 5 Power Mix'!SYL21-'NF - 5 Power Mix'!SYL22</f>
        <v>0</v>
      </c>
      <c r="SYM42" s="1046">
        <f>SYM38+((SYM40+'NF - 5 Power Mix'!SYM14+'NF - 5 Power Mix'!SYM15)*860/10)+((('Form Sa1'!SYP835)*860)/10)+('Form Sa1'!SYP814*'Form Sa1'!SYP816/10)-'NF - 5 Power Mix'!SYM21-'NF - 5 Power Mix'!SYM22</f>
        <v>0</v>
      </c>
      <c r="SYN42" s="1046">
        <f>SYN38+((SYN40+'NF - 5 Power Mix'!SYN14+'NF - 5 Power Mix'!SYN15)*860/10)+((('Form Sa1'!SYQ835)*860)/10)+('Form Sa1'!SYQ814*'Form Sa1'!SYQ816/10)-'NF - 5 Power Mix'!SYN21-'NF - 5 Power Mix'!SYN22</f>
        <v>0</v>
      </c>
      <c r="SYO42" s="1046">
        <f>SYO38+((SYO40+'NF - 5 Power Mix'!SYO14+'NF - 5 Power Mix'!SYO15)*860/10)+((('Form Sa1'!SYR835)*860)/10)+('Form Sa1'!SYR814*'Form Sa1'!SYR816/10)-'NF - 5 Power Mix'!SYO21-'NF - 5 Power Mix'!SYO22</f>
        <v>0</v>
      </c>
      <c r="SYP42" s="1046">
        <f>SYP38+((SYP40+'NF - 5 Power Mix'!SYP14+'NF - 5 Power Mix'!SYP15)*860/10)+((('Form Sa1'!SYS835)*860)/10)+('Form Sa1'!SYS814*'Form Sa1'!SYS816/10)-'NF - 5 Power Mix'!SYP21-'NF - 5 Power Mix'!SYP22</f>
        <v>0</v>
      </c>
      <c r="SYQ42" s="1046">
        <f>SYQ38+((SYQ40+'NF - 5 Power Mix'!SYQ14+'NF - 5 Power Mix'!SYQ15)*860/10)+((('Form Sa1'!SYT835)*860)/10)+('Form Sa1'!SYT814*'Form Sa1'!SYT816/10)-'NF - 5 Power Mix'!SYQ21-'NF - 5 Power Mix'!SYQ22</f>
        <v>0</v>
      </c>
      <c r="SYR42" s="1046">
        <f>SYR38+((SYR40+'NF - 5 Power Mix'!SYR14+'NF - 5 Power Mix'!SYR15)*860/10)+((('Form Sa1'!SYU835)*860)/10)+('Form Sa1'!SYU814*'Form Sa1'!SYU816/10)-'NF - 5 Power Mix'!SYR21-'NF - 5 Power Mix'!SYR22</f>
        <v>0</v>
      </c>
      <c r="SYS42" s="1046">
        <f>SYS38+((SYS40+'NF - 5 Power Mix'!SYS14+'NF - 5 Power Mix'!SYS15)*860/10)+((('Form Sa1'!SYV835)*860)/10)+('Form Sa1'!SYV814*'Form Sa1'!SYV816/10)-'NF - 5 Power Mix'!SYS21-'NF - 5 Power Mix'!SYS22</f>
        <v>0</v>
      </c>
      <c r="SYT42" s="1046">
        <f>SYT38+((SYT40+'NF - 5 Power Mix'!SYT14+'NF - 5 Power Mix'!SYT15)*860/10)+((('Form Sa1'!SYW835)*860)/10)+('Form Sa1'!SYW814*'Form Sa1'!SYW816/10)-'NF - 5 Power Mix'!SYT21-'NF - 5 Power Mix'!SYT22</f>
        <v>0</v>
      </c>
      <c r="SYU42" s="1046">
        <f>SYU38+((SYU40+'NF - 5 Power Mix'!SYU14+'NF - 5 Power Mix'!SYU15)*860/10)+((('Form Sa1'!SYX835)*860)/10)+('Form Sa1'!SYX814*'Form Sa1'!SYX816/10)-'NF - 5 Power Mix'!SYU21-'NF - 5 Power Mix'!SYU22</f>
        <v>0</v>
      </c>
      <c r="SYV42" s="1046">
        <f>SYV38+((SYV40+'NF - 5 Power Mix'!SYV14+'NF - 5 Power Mix'!SYV15)*860/10)+((('Form Sa1'!SYY835)*860)/10)+('Form Sa1'!SYY814*'Form Sa1'!SYY816/10)-'NF - 5 Power Mix'!SYV21-'NF - 5 Power Mix'!SYV22</f>
        <v>0</v>
      </c>
      <c r="SYW42" s="1046">
        <f>SYW38+((SYW40+'NF - 5 Power Mix'!SYW14+'NF - 5 Power Mix'!SYW15)*860/10)+((('Form Sa1'!SYZ835)*860)/10)+('Form Sa1'!SYZ814*'Form Sa1'!SYZ816/10)-'NF - 5 Power Mix'!SYW21-'NF - 5 Power Mix'!SYW22</f>
        <v>0</v>
      </c>
      <c r="SYX42" s="1046">
        <f>SYX38+((SYX40+'NF - 5 Power Mix'!SYX14+'NF - 5 Power Mix'!SYX15)*860/10)+((('Form Sa1'!SZA835)*860)/10)+('Form Sa1'!SZA814*'Form Sa1'!SZA816/10)-'NF - 5 Power Mix'!SYX21-'NF - 5 Power Mix'!SYX22</f>
        <v>0</v>
      </c>
      <c r="SYY42" s="1046">
        <f>SYY38+((SYY40+'NF - 5 Power Mix'!SYY14+'NF - 5 Power Mix'!SYY15)*860/10)+((('Form Sa1'!SZB835)*860)/10)+('Form Sa1'!SZB814*'Form Sa1'!SZB816/10)-'NF - 5 Power Mix'!SYY21-'NF - 5 Power Mix'!SYY22</f>
        <v>0</v>
      </c>
      <c r="SYZ42" s="1046">
        <f>SYZ38+((SYZ40+'NF - 5 Power Mix'!SYZ14+'NF - 5 Power Mix'!SYZ15)*860/10)+((('Form Sa1'!SZC835)*860)/10)+('Form Sa1'!SZC814*'Form Sa1'!SZC816/10)-'NF - 5 Power Mix'!SYZ21-'NF - 5 Power Mix'!SYZ22</f>
        <v>0</v>
      </c>
      <c r="SZA42" s="1046">
        <f>SZA38+((SZA40+'NF - 5 Power Mix'!SZA14+'NF - 5 Power Mix'!SZA15)*860/10)+((('Form Sa1'!SZD835)*860)/10)+('Form Sa1'!SZD814*'Form Sa1'!SZD816/10)-'NF - 5 Power Mix'!SZA21-'NF - 5 Power Mix'!SZA22</f>
        <v>0</v>
      </c>
      <c r="SZB42" s="1046">
        <f>SZB38+((SZB40+'NF - 5 Power Mix'!SZB14+'NF - 5 Power Mix'!SZB15)*860/10)+((('Form Sa1'!SZE835)*860)/10)+('Form Sa1'!SZE814*'Form Sa1'!SZE816/10)-'NF - 5 Power Mix'!SZB21-'NF - 5 Power Mix'!SZB22</f>
        <v>0</v>
      </c>
      <c r="SZC42" s="1046">
        <f>SZC38+((SZC40+'NF - 5 Power Mix'!SZC14+'NF - 5 Power Mix'!SZC15)*860/10)+((('Form Sa1'!SZF835)*860)/10)+('Form Sa1'!SZF814*'Form Sa1'!SZF816/10)-'NF - 5 Power Mix'!SZC21-'NF - 5 Power Mix'!SZC22</f>
        <v>0</v>
      </c>
      <c r="SZD42" s="1046">
        <f>SZD38+((SZD40+'NF - 5 Power Mix'!SZD14+'NF - 5 Power Mix'!SZD15)*860/10)+((('Form Sa1'!SZG835)*860)/10)+('Form Sa1'!SZG814*'Form Sa1'!SZG816/10)-'NF - 5 Power Mix'!SZD21-'NF - 5 Power Mix'!SZD22</f>
        <v>0</v>
      </c>
      <c r="SZE42" s="1046">
        <f>SZE38+((SZE40+'NF - 5 Power Mix'!SZE14+'NF - 5 Power Mix'!SZE15)*860/10)+((('Form Sa1'!SZH835)*860)/10)+('Form Sa1'!SZH814*'Form Sa1'!SZH816/10)-'NF - 5 Power Mix'!SZE21-'NF - 5 Power Mix'!SZE22</f>
        <v>0</v>
      </c>
      <c r="SZF42" s="1046">
        <f>SZF38+((SZF40+'NF - 5 Power Mix'!SZF14+'NF - 5 Power Mix'!SZF15)*860/10)+((('Form Sa1'!SZI835)*860)/10)+('Form Sa1'!SZI814*'Form Sa1'!SZI816/10)-'NF - 5 Power Mix'!SZF21-'NF - 5 Power Mix'!SZF22</f>
        <v>0</v>
      </c>
      <c r="SZG42" s="1046">
        <f>SZG38+((SZG40+'NF - 5 Power Mix'!SZG14+'NF - 5 Power Mix'!SZG15)*860/10)+((('Form Sa1'!SZJ835)*860)/10)+('Form Sa1'!SZJ814*'Form Sa1'!SZJ816/10)-'NF - 5 Power Mix'!SZG21-'NF - 5 Power Mix'!SZG22</f>
        <v>0</v>
      </c>
      <c r="SZH42" s="1046">
        <f>SZH38+((SZH40+'NF - 5 Power Mix'!SZH14+'NF - 5 Power Mix'!SZH15)*860/10)+((('Form Sa1'!SZK835)*860)/10)+('Form Sa1'!SZK814*'Form Sa1'!SZK816/10)-'NF - 5 Power Mix'!SZH21-'NF - 5 Power Mix'!SZH22</f>
        <v>0</v>
      </c>
      <c r="SZI42" s="1046">
        <f>SZI38+((SZI40+'NF - 5 Power Mix'!SZI14+'NF - 5 Power Mix'!SZI15)*860/10)+((('Form Sa1'!SZL835)*860)/10)+('Form Sa1'!SZL814*'Form Sa1'!SZL816/10)-'NF - 5 Power Mix'!SZI21-'NF - 5 Power Mix'!SZI22</f>
        <v>0</v>
      </c>
      <c r="SZJ42" s="1046">
        <f>SZJ38+((SZJ40+'NF - 5 Power Mix'!SZJ14+'NF - 5 Power Mix'!SZJ15)*860/10)+((('Form Sa1'!SZM835)*860)/10)+('Form Sa1'!SZM814*'Form Sa1'!SZM816/10)-'NF - 5 Power Mix'!SZJ21-'NF - 5 Power Mix'!SZJ22</f>
        <v>0</v>
      </c>
      <c r="SZK42" s="1046">
        <f>SZK38+((SZK40+'NF - 5 Power Mix'!SZK14+'NF - 5 Power Mix'!SZK15)*860/10)+((('Form Sa1'!SZN835)*860)/10)+('Form Sa1'!SZN814*'Form Sa1'!SZN816/10)-'NF - 5 Power Mix'!SZK21-'NF - 5 Power Mix'!SZK22</f>
        <v>0</v>
      </c>
      <c r="SZL42" s="1046">
        <f>SZL38+((SZL40+'NF - 5 Power Mix'!SZL14+'NF - 5 Power Mix'!SZL15)*860/10)+((('Form Sa1'!SZO835)*860)/10)+('Form Sa1'!SZO814*'Form Sa1'!SZO816/10)-'NF - 5 Power Mix'!SZL21-'NF - 5 Power Mix'!SZL22</f>
        <v>0</v>
      </c>
      <c r="SZM42" s="1046">
        <f>SZM38+((SZM40+'NF - 5 Power Mix'!SZM14+'NF - 5 Power Mix'!SZM15)*860/10)+((('Form Sa1'!SZP835)*860)/10)+('Form Sa1'!SZP814*'Form Sa1'!SZP816/10)-'NF - 5 Power Mix'!SZM21-'NF - 5 Power Mix'!SZM22</f>
        <v>0</v>
      </c>
      <c r="SZN42" s="1046">
        <f>SZN38+((SZN40+'NF - 5 Power Mix'!SZN14+'NF - 5 Power Mix'!SZN15)*860/10)+((('Form Sa1'!SZQ835)*860)/10)+('Form Sa1'!SZQ814*'Form Sa1'!SZQ816/10)-'NF - 5 Power Mix'!SZN21-'NF - 5 Power Mix'!SZN22</f>
        <v>0</v>
      </c>
      <c r="SZO42" s="1046">
        <f>SZO38+((SZO40+'NF - 5 Power Mix'!SZO14+'NF - 5 Power Mix'!SZO15)*860/10)+((('Form Sa1'!SZR835)*860)/10)+('Form Sa1'!SZR814*'Form Sa1'!SZR816/10)-'NF - 5 Power Mix'!SZO21-'NF - 5 Power Mix'!SZO22</f>
        <v>0</v>
      </c>
      <c r="SZP42" s="1046">
        <f>SZP38+((SZP40+'NF - 5 Power Mix'!SZP14+'NF - 5 Power Mix'!SZP15)*860/10)+((('Form Sa1'!SZS835)*860)/10)+('Form Sa1'!SZS814*'Form Sa1'!SZS816/10)-'NF - 5 Power Mix'!SZP21-'NF - 5 Power Mix'!SZP22</f>
        <v>0</v>
      </c>
      <c r="SZQ42" s="1046">
        <f>SZQ38+((SZQ40+'NF - 5 Power Mix'!SZQ14+'NF - 5 Power Mix'!SZQ15)*860/10)+((('Form Sa1'!SZT835)*860)/10)+('Form Sa1'!SZT814*'Form Sa1'!SZT816/10)-'NF - 5 Power Mix'!SZQ21-'NF - 5 Power Mix'!SZQ22</f>
        <v>0</v>
      </c>
      <c r="SZR42" s="1046">
        <f>SZR38+((SZR40+'NF - 5 Power Mix'!SZR14+'NF - 5 Power Mix'!SZR15)*860/10)+((('Form Sa1'!SZU835)*860)/10)+('Form Sa1'!SZU814*'Form Sa1'!SZU816/10)-'NF - 5 Power Mix'!SZR21-'NF - 5 Power Mix'!SZR22</f>
        <v>0</v>
      </c>
      <c r="SZS42" s="1046">
        <f>SZS38+((SZS40+'NF - 5 Power Mix'!SZS14+'NF - 5 Power Mix'!SZS15)*860/10)+((('Form Sa1'!SZV835)*860)/10)+('Form Sa1'!SZV814*'Form Sa1'!SZV816/10)-'NF - 5 Power Mix'!SZS21-'NF - 5 Power Mix'!SZS22</f>
        <v>0</v>
      </c>
      <c r="SZT42" s="1046">
        <f>SZT38+((SZT40+'NF - 5 Power Mix'!SZT14+'NF - 5 Power Mix'!SZT15)*860/10)+((('Form Sa1'!SZW835)*860)/10)+('Form Sa1'!SZW814*'Form Sa1'!SZW816/10)-'NF - 5 Power Mix'!SZT21-'NF - 5 Power Mix'!SZT22</f>
        <v>0</v>
      </c>
      <c r="SZU42" s="1046">
        <f>SZU38+((SZU40+'NF - 5 Power Mix'!SZU14+'NF - 5 Power Mix'!SZU15)*860/10)+((('Form Sa1'!SZX835)*860)/10)+('Form Sa1'!SZX814*'Form Sa1'!SZX816/10)-'NF - 5 Power Mix'!SZU21-'NF - 5 Power Mix'!SZU22</f>
        <v>0</v>
      </c>
      <c r="SZV42" s="1046">
        <f>SZV38+((SZV40+'NF - 5 Power Mix'!SZV14+'NF - 5 Power Mix'!SZV15)*860/10)+((('Form Sa1'!SZY835)*860)/10)+('Form Sa1'!SZY814*'Form Sa1'!SZY816/10)-'NF - 5 Power Mix'!SZV21-'NF - 5 Power Mix'!SZV22</f>
        <v>0</v>
      </c>
      <c r="SZW42" s="1046">
        <f>SZW38+((SZW40+'NF - 5 Power Mix'!SZW14+'NF - 5 Power Mix'!SZW15)*860/10)+((('Form Sa1'!SZZ835)*860)/10)+('Form Sa1'!SZZ814*'Form Sa1'!SZZ816/10)-'NF - 5 Power Mix'!SZW21-'NF - 5 Power Mix'!SZW22</f>
        <v>0</v>
      </c>
      <c r="SZX42" s="1046">
        <f>SZX38+((SZX40+'NF - 5 Power Mix'!SZX14+'NF - 5 Power Mix'!SZX15)*860/10)+((('Form Sa1'!TAA835)*860)/10)+('Form Sa1'!TAA814*'Form Sa1'!TAA816/10)-'NF - 5 Power Mix'!SZX21-'NF - 5 Power Mix'!SZX22</f>
        <v>0</v>
      </c>
      <c r="SZY42" s="1046">
        <f>SZY38+((SZY40+'NF - 5 Power Mix'!SZY14+'NF - 5 Power Mix'!SZY15)*860/10)+((('Form Sa1'!TAB835)*860)/10)+('Form Sa1'!TAB814*'Form Sa1'!TAB816/10)-'NF - 5 Power Mix'!SZY21-'NF - 5 Power Mix'!SZY22</f>
        <v>0</v>
      </c>
      <c r="SZZ42" s="1046">
        <f>SZZ38+((SZZ40+'NF - 5 Power Mix'!SZZ14+'NF - 5 Power Mix'!SZZ15)*860/10)+((('Form Sa1'!TAC835)*860)/10)+('Form Sa1'!TAC814*'Form Sa1'!TAC816/10)-'NF - 5 Power Mix'!SZZ21-'NF - 5 Power Mix'!SZZ22</f>
        <v>0</v>
      </c>
      <c r="TAA42" s="1046">
        <f>TAA38+((TAA40+'NF - 5 Power Mix'!TAA14+'NF - 5 Power Mix'!TAA15)*860/10)+((('Form Sa1'!TAD835)*860)/10)+('Form Sa1'!TAD814*'Form Sa1'!TAD816/10)-'NF - 5 Power Mix'!TAA21-'NF - 5 Power Mix'!TAA22</f>
        <v>0</v>
      </c>
      <c r="TAB42" s="1046">
        <f>TAB38+((TAB40+'NF - 5 Power Mix'!TAB14+'NF - 5 Power Mix'!TAB15)*860/10)+((('Form Sa1'!TAE835)*860)/10)+('Form Sa1'!TAE814*'Form Sa1'!TAE816/10)-'NF - 5 Power Mix'!TAB21-'NF - 5 Power Mix'!TAB22</f>
        <v>0</v>
      </c>
      <c r="TAC42" s="1046">
        <f>TAC38+((TAC40+'NF - 5 Power Mix'!TAC14+'NF - 5 Power Mix'!TAC15)*860/10)+((('Form Sa1'!TAF835)*860)/10)+('Form Sa1'!TAF814*'Form Sa1'!TAF816/10)-'NF - 5 Power Mix'!TAC21-'NF - 5 Power Mix'!TAC22</f>
        <v>0</v>
      </c>
      <c r="TAD42" s="1046">
        <f>TAD38+((TAD40+'NF - 5 Power Mix'!TAD14+'NF - 5 Power Mix'!TAD15)*860/10)+((('Form Sa1'!TAG835)*860)/10)+('Form Sa1'!TAG814*'Form Sa1'!TAG816/10)-'NF - 5 Power Mix'!TAD21-'NF - 5 Power Mix'!TAD22</f>
        <v>0</v>
      </c>
      <c r="TAE42" s="1046">
        <f>TAE38+((TAE40+'NF - 5 Power Mix'!TAE14+'NF - 5 Power Mix'!TAE15)*860/10)+((('Form Sa1'!TAH835)*860)/10)+('Form Sa1'!TAH814*'Form Sa1'!TAH816/10)-'NF - 5 Power Mix'!TAE21-'NF - 5 Power Mix'!TAE22</f>
        <v>0</v>
      </c>
      <c r="TAF42" s="1046">
        <f>TAF38+((TAF40+'NF - 5 Power Mix'!TAF14+'NF - 5 Power Mix'!TAF15)*860/10)+((('Form Sa1'!TAI835)*860)/10)+('Form Sa1'!TAI814*'Form Sa1'!TAI816/10)-'NF - 5 Power Mix'!TAF21-'NF - 5 Power Mix'!TAF22</f>
        <v>0</v>
      </c>
      <c r="TAG42" s="1046">
        <f>TAG38+((TAG40+'NF - 5 Power Mix'!TAG14+'NF - 5 Power Mix'!TAG15)*860/10)+((('Form Sa1'!TAJ835)*860)/10)+('Form Sa1'!TAJ814*'Form Sa1'!TAJ816/10)-'NF - 5 Power Mix'!TAG21-'NF - 5 Power Mix'!TAG22</f>
        <v>0</v>
      </c>
      <c r="TAH42" s="1046">
        <f>TAH38+((TAH40+'NF - 5 Power Mix'!TAH14+'NF - 5 Power Mix'!TAH15)*860/10)+((('Form Sa1'!TAK835)*860)/10)+('Form Sa1'!TAK814*'Form Sa1'!TAK816/10)-'NF - 5 Power Mix'!TAH21-'NF - 5 Power Mix'!TAH22</f>
        <v>0</v>
      </c>
      <c r="TAI42" s="1046">
        <f>TAI38+((TAI40+'NF - 5 Power Mix'!TAI14+'NF - 5 Power Mix'!TAI15)*860/10)+((('Form Sa1'!TAL835)*860)/10)+('Form Sa1'!TAL814*'Form Sa1'!TAL816/10)-'NF - 5 Power Mix'!TAI21-'NF - 5 Power Mix'!TAI22</f>
        <v>0</v>
      </c>
      <c r="TAJ42" s="1046">
        <f>TAJ38+((TAJ40+'NF - 5 Power Mix'!TAJ14+'NF - 5 Power Mix'!TAJ15)*860/10)+((('Form Sa1'!TAM835)*860)/10)+('Form Sa1'!TAM814*'Form Sa1'!TAM816/10)-'NF - 5 Power Mix'!TAJ21-'NF - 5 Power Mix'!TAJ22</f>
        <v>0</v>
      </c>
      <c r="TAK42" s="1046">
        <f>TAK38+((TAK40+'NF - 5 Power Mix'!TAK14+'NF - 5 Power Mix'!TAK15)*860/10)+((('Form Sa1'!TAN835)*860)/10)+('Form Sa1'!TAN814*'Form Sa1'!TAN816/10)-'NF - 5 Power Mix'!TAK21-'NF - 5 Power Mix'!TAK22</f>
        <v>0</v>
      </c>
      <c r="TAL42" s="1046">
        <f>TAL38+((TAL40+'NF - 5 Power Mix'!TAL14+'NF - 5 Power Mix'!TAL15)*860/10)+((('Form Sa1'!TAO835)*860)/10)+('Form Sa1'!TAO814*'Form Sa1'!TAO816/10)-'NF - 5 Power Mix'!TAL21-'NF - 5 Power Mix'!TAL22</f>
        <v>0</v>
      </c>
      <c r="TAM42" s="1046">
        <f>TAM38+((TAM40+'NF - 5 Power Mix'!TAM14+'NF - 5 Power Mix'!TAM15)*860/10)+((('Form Sa1'!TAP835)*860)/10)+('Form Sa1'!TAP814*'Form Sa1'!TAP816/10)-'NF - 5 Power Mix'!TAM21-'NF - 5 Power Mix'!TAM22</f>
        <v>0</v>
      </c>
      <c r="TAN42" s="1046">
        <f>TAN38+((TAN40+'NF - 5 Power Mix'!TAN14+'NF - 5 Power Mix'!TAN15)*860/10)+((('Form Sa1'!TAQ835)*860)/10)+('Form Sa1'!TAQ814*'Form Sa1'!TAQ816/10)-'NF - 5 Power Mix'!TAN21-'NF - 5 Power Mix'!TAN22</f>
        <v>0</v>
      </c>
      <c r="TAO42" s="1046">
        <f>TAO38+((TAO40+'NF - 5 Power Mix'!TAO14+'NF - 5 Power Mix'!TAO15)*860/10)+((('Form Sa1'!TAR835)*860)/10)+('Form Sa1'!TAR814*'Form Sa1'!TAR816/10)-'NF - 5 Power Mix'!TAO21-'NF - 5 Power Mix'!TAO22</f>
        <v>0</v>
      </c>
      <c r="TAP42" s="1046">
        <f>TAP38+((TAP40+'NF - 5 Power Mix'!TAP14+'NF - 5 Power Mix'!TAP15)*860/10)+((('Form Sa1'!TAS835)*860)/10)+('Form Sa1'!TAS814*'Form Sa1'!TAS816/10)-'NF - 5 Power Mix'!TAP21-'NF - 5 Power Mix'!TAP22</f>
        <v>0</v>
      </c>
      <c r="TAQ42" s="1046">
        <f>TAQ38+((TAQ40+'NF - 5 Power Mix'!TAQ14+'NF - 5 Power Mix'!TAQ15)*860/10)+((('Form Sa1'!TAT835)*860)/10)+('Form Sa1'!TAT814*'Form Sa1'!TAT816/10)-'NF - 5 Power Mix'!TAQ21-'NF - 5 Power Mix'!TAQ22</f>
        <v>0</v>
      </c>
      <c r="TAR42" s="1046">
        <f>TAR38+((TAR40+'NF - 5 Power Mix'!TAR14+'NF - 5 Power Mix'!TAR15)*860/10)+((('Form Sa1'!TAU835)*860)/10)+('Form Sa1'!TAU814*'Form Sa1'!TAU816/10)-'NF - 5 Power Mix'!TAR21-'NF - 5 Power Mix'!TAR22</f>
        <v>0</v>
      </c>
      <c r="TAS42" s="1046">
        <f>TAS38+((TAS40+'NF - 5 Power Mix'!TAS14+'NF - 5 Power Mix'!TAS15)*860/10)+((('Form Sa1'!TAV835)*860)/10)+('Form Sa1'!TAV814*'Form Sa1'!TAV816/10)-'NF - 5 Power Mix'!TAS21-'NF - 5 Power Mix'!TAS22</f>
        <v>0</v>
      </c>
      <c r="TAT42" s="1046">
        <f>TAT38+((TAT40+'NF - 5 Power Mix'!TAT14+'NF - 5 Power Mix'!TAT15)*860/10)+((('Form Sa1'!TAW835)*860)/10)+('Form Sa1'!TAW814*'Form Sa1'!TAW816/10)-'NF - 5 Power Mix'!TAT21-'NF - 5 Power Mix'!TAT22</f>
        <v>0</v>
      </c>
      <c r="TAU42" s="1046">
        <f>TAU38+((TAU40+'NF - 5 Power Mix'!TAU14+'NF - 5 Power Mix'!TAU15)*860/10)+((('Form Sa1'!TAX835)*860)/10)+('Form Sa1'!TAX814*'Form Sa1'!TAX816/10)-'NF - 5 Power Mix'!TAU21-'NF - 5 Power Mix'!TAU22</f>
        <v>0</v>
      </c>
      <c r="TAV42" s="1046">
        <f>TAV38+((TAV40+'NF - 5 Power Mix'!TAV14+'NF - 5 Power Mix'!TAV15)*860/10)+((('Form Sa1'!TAY835)*860)/10)+('Form Sa1'!TAY814*'Form Sa1'!TAY816/10)-'NF - 5 Power Mix'!TAV21-'NF - 5 Power Mix'!TAV22</f>
        <v>0</v>
      </c>
      <c r="TAW42" s="1046">
        <f>TAW38+((TAW40+'NF - 5 Power Mix'!TAW14+'NF - 5 Power Mix'!TAW15)*860/10)+((('Form Sa1'!TAZ835)*860)/10)+('Form Sa1'!TAZ814*'Form Sa1'!TAZ816/10)-'NF - 5 Power Mix'!TAW21-'NF - 5 Power Mix'!TAW22</f>
        <v>0</v>
      </c>
      <c r="TAX42" s="1046">
        <f>TAX38+((TAX40+'NF - 5 Power Mix'!TAX14+'NF - 5 Power Mix'!TAX15)*860/10)+((('Form Sa1'!TBA835)*860)/10)+('Form Sa1'!TBA814*'Form Sa1'!TBA816/10)-'NF - 5 Power Mix'!TAX21-'NF - 5 Power Mix'!TAX22</f>
        <v>0</v>
      </c>
      <c r="TAY42" s="1046">
        <f>TAY38+((TAY40+'NF - 5 Power Mix'!TAY14+'NF - 5 Power Mix'!TAY15)*860/10)+((('Form Sa1'!TBB835)*860)/10)+('Form Sa1'!TBB814*'Form Sa1'!TBB816/10)-'NF - 5 Power Mix'!TAY21-'NF - 5 Power Mix'!TAY22</f>
        <v>0</v>
      </c>
      <c r="TAZ42" s="1046">
        <f>TAZ38+((TAZ40+'NF - 5 Power Mix'!TAZ14+'NF - 5 Power Mix'!TAZ15)*860/10)+((('Form Sa1'!TBC835)*860)/10)+('Form Sa1'!TBC814*'Form Sa1'!TBC816/10)-'NF - 5 Power Mix'!TAZ21-'NF - 5 Power Mix'!TAZ22</f>
        <v>0</v>
      </c>
      <c r="TBA42" s="1046">
        <f>TBA38+((TBA40+'NF - 5 Power Mix'!TBA14+'NF - 5 Power Mix'!TBA15)*860/10)+((('Form Sa1'!TBD835)*860)/10)+('Form Sa1'!TBD814*'Form Sa1'!TBD816/10)-'NF - 5 Power Mix'!TBA21-'NF - 5 Power Mix'!TBA22</f>
        <v>0</v>
      </c>
      <c r="TBB42" s="1046">
        <f>TBB38+((TBB40+'NF - 5 Power Mix'!TBB14+'NF - 5 Power Mix'!TBB15)*860/10)+((('Form Sa1'!TBE835)*860)/10)+('Form Sa1'!TBE814*'Form Sa1'!TBE816/10)-'NF - 5 Power Mix'!TBB21-'NF - 5 Power Mix'!TBB22</f>
        <v>0</v>
      </c>
      <c r="TBC42" s="1046">
        <f>TBC38+((TBC40+'NF - 5 Power Mix'!TBC14+'NF - 5 Power Mix'!TBC15)*860/10)+((('Form Sa1'!TBF835)*860)/10)+('Form Sa1'!TBF814*'Form Sa1'!TBF816/10)-'NF - 5 Power Mix'!TBC21-'NF - 5 Power Mix'!TBC22</f>
        <v>0</v>
      </c>
      <c r="TBD42" s="1046">
        <f>TBD38+((TBD40+'NF - 5 Power Mix'!TBD14+'NF - 5 Power Mix'!TBD15)*860/10)+((('Form Sa1'!TBG835)*860)/10)+('Form Sa1'!TBG814*'Form Sa1'!TBG816/10)-'NF - 5 Power Mix'!TBD21-'NF - 5 Power Mix'!TBD22</f>
        <v>0</v>
      </c>
      <c r="TBE42" s="1046">
        <f>TBE38+((TBE40+'NF - 5 Power Mix'!TBE14+'NF - 5 Power Mix'!TBE15)*860/10)+((('Form Sa1'!TBH835)*860)/10)+('Form Sa1'!TBH814*'Form Sa1'!TBH816/10)-'NF - 5 Power Mix'!TBE21-'NF - 5 Power Mix'!TBE22</f>
        <v>0</v>
      </c>
      <c r="TBF42" s="1046">
        <f>TBF38+((TBF40+'NF - 5 Power Mix'!TBF14+'NF - 5 Power Mix'!TBF15)*860/10)+((('Form Sa1'!TBI835)*860)/10)+('Form Sa1'!TBI814*'Form Sa1'!TBI816/10)-'NF - 5 Power Mix'!TBF21-'NF - 5 Power Mix'!TBF22</f>
        <v>0</v>
      </c>
      <c r="TBG42" s="1046">
        <f>TBG38+((TBG40+'NF - 5 Power Mix'!TBG14+'NF - 5 Power Mix'!TBG15)*860/10)+((('Form Sa1'!TBJ835)*860)/10)+('Form Sa1'!TBJ814*'Form Sa1'!TBJ816/10)-'NF - 5 Power Mix'!TBG21-'NF - 5 Power Mix'!TBG22</f>
        <v>0</v>
      </c>
      <c r="TBH42" s="1046">
        <f>TBH38+((TBH40+'NF - 5 Power Mix'!TBH14+'NF - 5 Power Mix'!TBH15)*860/10)+((('Form Sa1'!TBK835)*860)/10)+('Form Sa1'!TBK814*'Form Sa1'!TBK816/10)-'NF - 5 Power Mix'!TBH21-'NF - 5 Power Mix'!TBH22</f>
        <v>0</v>
      </c>
      <c r="TBI42" s="1046">
        <f>TBI38+((TBI40+'NF - 5 Power Mix'!TBI14+'NF - 5 Power Mix'!TBI15)*860/10)+((('Form Sa1'!TBL835)*860)/10)+('Form Sa1'!TBL814*'Form Sa1'!TBL816/10)-'NF - 5 Power Mix'!TBI21-'NF - 5 Power Mix'!TBI22</f>
        <v>0</v>
      </c>
      <c r="TBJ42" s="1046">
        <f>TBJ38+((TBJ40+'NF - 5 Power Mix'!TBJ14+'NF - 5 Power Mix'!TBJ15)*860/10)+((('Form Sa1'!TBM835)*860)/10)+('Form Sa1'!TBM814*'Form Sa1'!TBM816/10)-'NF - 5 Power Mix'!TBJ21-'NF - 5 Power Mix'!TBJ22</f>
        <v>0</v>
      </c>
      <c r="TBK42" s="1046">
        <f>TBK38+((TBK40+'NF - 5 Power Mix'!TBK14+'NF - 5 Power Mix'!TBK15)*860/10)+((('Form Sa1'!TBN835)*860)/10)+('Form Sa1'!TBN814*'Form Sa1'!TBN816/10)-'NF - 5 Power Mix'!TBK21-'NF - 5 Power Mix'!TBK22</f>
        <v>0</v>
      </c>
      <c r="TBL42" s="1046">
        <f>TBL38+((TBL40+'NF - 5 Power Mix'!TBL14+'NF - 5 Power Mix'!TBL15)*860/10)+((('Form Sa1'!TBO835)*860)/10)+('Form Sa1'!TBO814*'Form Sa1'!TBO816/10)-'NF - 5 Power Mix'!TBL21-'NF - 5 Power Mix'!TBL22</f>
        <v>0</v>
      </c>
      <c r="TBM42" s="1046">
        <f>TBM38+((TBM40+'NF - 5 Power Mix'!TBM14+'NF - 5 Power Mix'!TBM15)*860/10)+((('Form Sa1'!TBP835)*860)/10)+('Form Sa1'!TBP814*'Form Sa1'!TBP816/10)-'NF - 5 Power Mix'!TBM21-'NF - 5 Power Mix'!TBM22</f>
        <v>0</v>
      </c>
      <c r="TBN42" s="1046">
        <f>TBN38+((TBN40+'NF - 5 Power Mix'!TBN14+'NF - 5 Power Mix'!TBN15)*860/10)+((('Form Sa1'!TBQ835)*860)/10)+('Form Sa1'!TBQ814*'Form Sa1'!TBQ816/10)-'NF - 5 Power Mix'!TBN21-'NF - 5 Power Mix'!TBN22</f>
        <v>0</v>
      </c>
      <c r="TBO42" s="1046">
        <f>TBO38+((TBO40+'NF - 5 Power Mix'!TBO14+'NF - 5 Power Mix'!TBO15)*860/10)+((('Form Sa1'!TBR835)*860)/10)+('Form Sa1'!TBR814*'Form Sa1'!TBR816/10)-'NF - 5 Power Mix'!TBO21-'NF - 5 Power Mix'!TBO22</f>
        <v>0</v>
      </c>
      <c r="TBP42" s="1046">
        <f>TBP38+((TBP40+'NF - 5 Power Mix'!TBP14+'NF - 5 Power Mix'!TBP15)*860/10)+((('Form Sa1'!TBS835)*860)/10)+('Form Sa1'!TBS814*'Form Sa1'!TBS816/10)-'NF - 5 Power Mix'!TBP21-'NF - 5 Power Mix'!TBP22</f>
        <v>0</v>
      </c>
      <c r="TBQ42" s="1046">
        <f>TBQ38+((TBQ40+'NF - 5 Power Mix'!TBQ14+'NF - 5 Power Mix'!TBQ15)*860/10)+((('Form Sa1'!TBT835)*860)/10)+('Form Sa1'!TBT814*'Form Sa1'!TBT816/10)-'NF - 5 Power Mix'!TBQ21-'NF - 5 Power Mix'!TBQ22</f>
        <v>0</v>
      </c>
      <c r="TBR42" s="1046">
        <f>TBR38+((TBR40+'NF - 5 Power Mix'!TBR14+'NF - 5 Power Mix'!TBR15)*860/10)+((('Form Sa1'!TBU835)*860)/10)+('Form Sa1'!TBU814*'Form Sa1'!TBU816/10)-'NF - 5 Power Mix'!TBR21-'NF - 5 Power Mix'!TBR22</f>
        <v>0</v>
      </c>
      <c r="TBS42" s="1046">
        <f>TBS38+((TBS40+'NF - 5 Power Mix'!TBS14+'NF - 5 Power Mix'!TBS15)*860/10)+((('Form Sa1'!TBV835)*860)/10)+('Form Sa1'!TBV814*'Form Sa1'!TBV816/10)-'NF - 5 Power Mix'!TBS21-'NF - 5 Power Mix'!TBS22</f>
        <v>0</v>
      </c>
      <c r="TBT42" s="1046">
        <f>TBT38+((TBT40+'NF - 5 Power Mix'!TBT14+'NF - 5 Power Mix'!TBT15)*860/10)+((('Form Sa1'!TBW835)*860)/10)+('Form Sa1'!TBW814*'Form Sa1'!TBW816/10)-'NF - 5 Power Mix'!TBT21-'NF - 5 Power Mix'!TBT22</f>
        <v>0</v>
      </c>
      <c r="TBU42" s="1046">
        <f>TBU38+((TBU40+'NF - 5 Power Mix'!TBU14+'NF - 5 Power Mix'!TBU15)*860/10)+((('Form Sa1'!TBX835)*860)/10)+('Form Sa1'!TBX814*'Form Sa1'!TBX816/10)-'NF - 5 Power Mix'!TBU21-'NF - 5 Power Mix'!TBU22</f>
        <v>0</v>
      </c>
      <c r="TBV42" s="1046">
        <f>TBV38+((TBV40+'NF - 5 Power Mix'!TBV14+'NF - 5 Power Mix'!TBV15)*860/10)+((('Form Sa1'!TBY835)*860)/10)+('Form Sa1'!TBY814*'Form Sa1'!TBY816/10)-'NF - 5 Power Mix'!TBV21-'NF - 5 Power Mix'!TBV22</f>
        <v>0</v>
      </c>
      <c r="TBW42" s="1046">
        <f>TBW38+((TBW40+'NF - 5 Power Mix'!TBW14+'NF - 5 Power Mix'!TBW15)*860/10)+((('Form Sa1'!TBZ835)*860)/10)+('Form Sa1'!TBZ814*'Form Sa1'!TBZ816/10)-'NF - 5 Power Mix'!TBW21-'NF - 5 Power Mix'!TBW22</f>
        <v>0</v>
      </c>
      <c r="TBX42" s="1046">
        <f>TBX38+((TBX40+'NF - 5 Power Mix'!TBX14+'NF - 5 Power Mix'!TBX15)*860/10)+((('Form Sa1'!TCA835)*860)/10)+('Form Sa1'!TCA814*'Form Sa1'!TCA816/10)-'NF - 5 Power Mix'!TBX21-'NF - 5 Power Mix'!TBX22</f>
        <v>0</v>
      </c>
      <c r="TBY42" s="1046">
        <f>TBY38+((TBY40+'NF - 5 Power Mix'!TBY14+'NF - 5 Power Mix'!TBY15)*860/10)+((('Form Sa1'!TCB835)*860)/10)+('Form Sa1'!TCB814*'Form Sa1'!TCB816/10)-'NF - 5 Power Mix'!TBY21-'NF - 5 Power Mix'!TBY22</f>
        <v>0</v>
      </c>
      <c r="TBZ42" s="1046">
        <f>TBZ38+((TBZ40+'NF - 5 Power Mix'!TBZ14+'NF - 5 Power Mix'!TBZ15)*860/10)+((('Form Sa1'!TCC835)*860)/10)+('Form Sa1'!TCC814*'Form Sa1'!TCC816/10)-'NF - 5 Power Mix'!TBZ21-'NF - 5 Power Mix'!TBZ22</f>
        <v>0</v>
      </c>
      <c r="TCA42" s="1046">
        <f>TCA38+((TCA40+'NF - 5 Power Mix'!TCA14+'NF - 5 Power Mix'!TCA15)*860/10)+((('Form Sa1'!TCD835)*860)/10)+('Form Sa1'!TCD814*'Form Sa1'!TCD816/10)-'NF - 5 Power Mix'!TCA21-'NF - 5 Power Mix'!TCA22</f>
        <v>0</v>
      </c>
      <c r="TCB42" s="1046">
        <f>TCB38+((TCB40+'NF - 5 Power Mix'!TCB14+'NF - 5 Power Mix'!TCB15)*860/10)+((('Form Sa1'!TCE835)*860)/10)+('Form Sa1'!TCE814*'Form Sa1'!TCE816/10)-'NF - 5 Power Mix'!TCB21-'NF - 5 Power Mix'!TCB22</f>
        <v>0</v>
      </c>
      <c r="TCC42" s="1046">
        <f>TCC38+((TCC40+'NF - 5 Power Mix'!TCC14+'NF - 5 Power Mix'!TCC15)*860/10)+((('Form Sa1'!TCF835)*860)/10)+('Form Sa1'!TCF814*'Form Sa1'!TCF816/10)-'NF - 5 Power Mix'!TCC21-'NF - 5 Power Mix'!TCC22</f>
        <v>0</v>
      </c>
      <c r="TCD42" s="1046">
        <f>TCD38+((TCD40+'NF - 5 Power Mix'!TCD14+'NF - 5 Power Mix'!TCD15)*860/10)+((('Form Sa1'!TCG835)*860)/10)+('Form Sa1'!TCG814*'Form Sa1'!TCG816/10)-'NF - 5 Power Mix'!TCD21-'NF - 5 Power Mix'!TCD22</f>
        <v>0</v>
      </c>
      <c r="TCE42" s="1046">
        <f>TCE38+((TCE40+'NF - 5 Power Mix'!TCE14+'NF - 5 Power Mix'!TCE15)*860/10)+((('Form Sa1'!TCH835)*860)/10)+('Form Sa1'!TCH814*'Form Sa1'!TCH816/10)-'NF - 5 Power Mix'!TCE21-'NF - 5 Power Mix'!TCE22</f>
        <v>0</v>
      </c>
      <c r="TCF42" s="1046">
        <f>TCF38+((TCF40+'NF - 5 Power Mix'!TCF14+'NF - 5 Power Mix'!TCF15)*860/10)+((('Form Sa1'!TCI835)*860)/10)+('Form Sa1'!TCI814*'Form Sa1'!TCI816/10)-'NF - 5 Power Mix'!TCF21-'NF - 5 Power Mix'!TCF22</f>
        <v>0</v>
      </c>
      <c r="TCG42" s="1046">
        <f>TCG38+((TCG40+'NF - 5 Power Mix'!TCG14+'NF - 5 Power Mix'!TCG15)*860/10)+((('Form Sa1'!TCJ835)*860)/10)+('Form Sa1'!TCJ814*'Form Sa1'!TCJ816/10)-'NF - 5 Power Mix'!TCG21-'NF - 5 Power Mix'!TCG22</f>
        <v>0</v>
      </c>
      <c r="TCH42" s="1046">
        <f>TCH38+((TCH40+'NF - 5 Power Mix'!TCH14+'NF - 5 Power Mix'!TCH15)*860/10)+((('Form Sa1'!TCK835)*860)/10)+('Form Sa1'!TCK814*'Form Sa1'!TCK816/10)-'NF - 5 Power Mix'!TCH21-'NF - 5 Power Mix'!TCH22</f>
        <v>0</v>
      </c>
      <c r="TCI42" s="1046">
        <f>TCI38+((TCI40+'NF - 5 Power Mix'!TCI14+'NF - 5 Power Mix'!TCI15)*860/10)+((('Form Sa1'!TCL835)*860)/10)+('Form Sa1'!TCL814*'Form Sa1'!TCL816/10)-'NF - 5 Power Mix'!TCI21-'NF - 5 Power Mix'!TCI22</f>
        <v>0</v>
      </c>
      <c r="TCJ42" s="1046">
        <f>TCJ38+((TCJ40+'NF - 5 Power Mix'!TCJ14+'NF - 5 Power Mix'!TCJ15)*860/10)+((('Form Sa1'!TCM835)*860)/10)+('Form Sa1'!TCM814*'Form Sa1'!TCM816/10)-'NF - 5 Power Mix'!TCJ21-'NF - 5 Power Mix'!TCJ22</f>
        <v>0</v>
      </c>
      <c r="TCK42" s="1046">
        <f>TCK38+((TCK40+'NF - 5 Power Mix'!TCK14+'NF - 5 Power Mix'!TCK15)*860/10)+((('Form Sa1'!TCN835)*860)/10)+('Form Sa1'!TCN814*'Form Sa1'!TCN816/10)-'NF - 5 Power Mix'!TCK21-'NF - 5 Power Mix'!TCK22</f>
        <v>0</v>
      </c>
      <c r="TCL42" s="1046">
        <f>TCL38+((TCL40+'NF - 5 Power Mix'!TCL14+'NF - 5 Power Mix'!TCL15)*860/10)+((('Form Sa1'!TCO835)*860)/10)+('Form Sa1'!TCO814*'Form Sa1'!TCO816/10)-'NF - 5 Power Mix'!TCL21-'NF - 5 Power Mix'!TCL22</f>
        <v>0</v>
      </c>
      <c r="TCM42" s="1046">
        <f>TCM38+((TCM40+'NF - 5 Power Mix'!TCM14+'NF - 5 Power Mix'!TCM15)*860/10)+((('Form Sa1'!TCP835)*860)/10)+('Form Sa1'!TCP814*'Form Sa1'!TCP816/10)-'NF - 5 Power Mix'!TCM21-'NF - 5 Power Mix'!TCM22</f>
        <v>0</v>
      </c>
      <c r="TCN42" s="1046">
        <f>TCN38+((TCN40+'NF - 5 Power Mix'!TCN14+'NF - 5 Power Mix'!TCN15)*860/10)+((('Form Sa1'!TCQ835)*860)/10)+('Form Sa1'!TCQ814*'Form Sa1'!TCQ816/10)-'NF - 5 Power Mix'!TCN21-'NF - 5 Power Mix'!TCN22</f>
        <v>0</v>
      </c>
      <c r="TCO42" s="1046">
        <f>TCO38+((TCO40+'NF - 5 Power Mix'!TCO14+'NF - 5 Power Mix'!TCO15)*860/10)+((('Form Sa1'!TCR835)*860)/10)+('Form Sa1'!TCR814*'Form Sa1'!TCR816/10)-'NF - 5 Power Mix'!TCO21-'NF - 5 Power Mix'!TCO22</f>
        <v>0</v>
      </c>
      <c r="TCP42" s="1046">
        <f>TCP38+((TCP40+'NF - 5 Power Mix'!TCP14+'NF - 5 Power Mix'!TCP15)*860/10)+((('Form Sa1'!TCS835)*860)/10)+('Form Sa1'!TCS814*'Form Sa1'!TCS816/10)-'NF - 5 Power Mix'!TCP21-'NF - 5 Power Mix'!TCP22</f>
        <v>0</v>
      </c>
      <c r="TCQ42" s="1046">
        <f>TCQ38+((TCQ40+'NF - 5 Power Mix'!TCQ14+'NF - 5 Power Mix'!TCQ15)*860/10)+((('Form Sa1'!TCT835)*860)/10)+('Form Sa1'!TCT814*'Form Sa1'!TCT816/10)-'NF - 5 Power Mix'!TCQ21-'NF - 5 Power Mix'!TCQ22</f>
        <v>0</v>
      </c>
      <c r="TCR42" s="1046">
        <f>TCR38+((TCR40+'NF - 5 Power Mix'!TCR14+'NF - 5 Power Mix'!TCR15)*860/10)+((('Form Sa1'!TCU835)*860)/10)+('Form Sa1'!TCU814*'Form Sa1'!TCU816/10)-'NF - 5 Power Mix'!TCR21-'NF - 5 Power Mix'!TCR22</f>
        <v>0</v>
      </c>
      <c r="TCS42" s="1046">
        <f>TCS38+((TCS40+'NF - 5 Power Mix'!TCS14+'NF - 5 Power Mix'!TCS15)*860/10)+((('Form Sa1'!TCV835)*860)/10)+('Form Sa1'!TCV814*'Form Sa1'!TCV816/10)-'NF - 5 Power Mix'!TCS21-'NF - 5 Power Mix'!TCS22</f>
        <v>0</v>
      </c>
      <c r="TCT42" s="1046">
        <f>TCT38+((TCT40+'NF - 5 Power Mix'!TCT14+'NF - 5 Power Mix'!TCT15)*860/10)+((('Form Sa1'!TCW835)*860)/10)+('Form Sa1'!TCW814*'Form Sa1'!TCW816/10)-'NF - 5 Power Mix'!TCT21-'NF - 5 Power Mix'!TCT22</f>
        <v>0</v>
      </c>
      <c r="TCU42" s="1046">
        <f>TCU38+((TCU40+'NF - 5 Power Mix'!TCU14+'NF - 5 Power Mix'!TCU15)*860/10)+((('Form Sa1'!TCX835)*860)/10)+('Form Sa1'!TCX814*'Form Sa1'!TCX816/10)-'NF - 5 Power Mix'!TCU21-'NF - 5 Power Mix'!TCU22</f>
        <v>0</v>
      </c>
      <c r="TCV42" s="1046">
        <f>TCV38+((TCV40+'NF - 5 Power Mix'!TCV14+'NF - 5 Power Mix'!TCV15)*860/10)+((('Form Sa1'!TCY835)*860)/10)+('Form Sa1'!TCY814*'Form Sa1'!TCY816/10)-'NF - 5 Power Mix'!TCV21-'NF - 5 Power Mix'!TCV22</f>
        <v>0</v>
      </c>
      <c r="TCW42" s="1046">
        <f>TCW38+((TCW40+'NF - 5 Power Mix'!TCW14+'NF - 5 Power Mix'!TCW15)*860/10)+((('Form Sa1'!TCZ835)*860)/10)+('Form Sa1'!TCZ814*'Form Sa1'!TCZ816/10)-'NF - 5 Power Mix'!TCW21-'NF - 5 Power Mix'!TCW22</f>
        <v>0</v>
      </c>
      <c r="TCX42" s="1046">
        <f>TCX38+((TCX40+'NF - 5 Power Mix'!TCX14+'NF - 5 Power Mix'!TCX15)*860/10)+((('Form Sa1'!TDA835)*860)/10)+('Form Sa1'!TDA814*'Form Sa1'!TDA816/10)-'NF - 5 Power Mix'!TCX21-'NF - 5 Power Mix'!TCX22</f>
        <v>0</v>
      </c>
      <c r="TCY42" s="1046">
        <f>TCY38+((TCY40+'NF - 5 Power Mix'!TCY14+'NF - 5 Power Mix'!TCY15)*860/10)+((('Form Sa1'!TDB835)*860)/10)+('Form Sa1'!TDB814*'Form Sa1'!TDB816/10)-'NF - 5 Power Mix'!TCY21-'NF - 5 Power Mix'!TCY22</f>
        <v>0</v>
      </c>
      <c r="TCZ42" s="1046">
        <f>TCZ38+((TCZ40+'NF - 5 Power Mix'!TCZ14+'NF - 5 Power Mix'!TCZ15)*860/10)+((('Form Sa1'!TDC835)*860)/10)+('Form Sa1'!TDC814*'Form Sa1'!TDC816/10)-'NF - 5 Power Mix'!TCZ21-'NF - 5 Power Mix'!TCZ22</f>
        <v>0</v>
      </c>
      <c r="TDA42" s="1046">
        <f>TDA38+((TDA40+'NF - 5 Power Mix'!TDA14+'NF - 5 Power Mix'!TDA15)*860/10)+((('Form Sa1'!TDD835)*860)/10)+('Form Sa1'!TDD814*'Form Sa1'!TDD816/10)-'NF - 5 Power Mix'!TDA21-'NF - 5 Power Mix'!TDA22</f>
        <v>0</v>
      </c>
      <c r="TDB42" s="1046">
        <f>TDB38+((TDB40+'NF - 5 Power Mix'!TDB14+'NF - 5 Power Mix'!TDB15)*860/10)+((('Form Sa1'!TDE835)*860)/10)+('Form Sa1'!TDE814*'Form Sa1'!TDE816/10)-'NF - 5 Power Mix'!TDB21-'NF - 5 Power Mix'!TDB22</f>
        <v>0</v>
      </c>
      <c r="TDC42" s="1046">
        <f>TDC38+((TDC40+'NF - 5 Power Mix'!TDC14+'NF - 5 Power Mix'!TDC15)*860/10)+((('Form Sa1'!TDF835)*860)/10)+('Form Sa1'!TDF814*'Form Sa1'!TDF816/10)-'NF - 5 Power Mix'!TDC21-'NF - 5 Power Mix'!TDC22</f>
        <v>0</v>
      </c>
      <c r="TDD42" s="1046">
        <f>TDD38+((TDD40+'NF - 5 Power Mix'!TDD14+'NF - 5 Power Mix'!TDD15)*860/10)+((('Form Sa1'!TDG835)*860)/10)+('Form Sa1'!TDG814*'Form Sa1'!TDG816/10)-'NF - 5 Power Mix'!TDD21-'NF - 5 Power Mix'!TDD22</f>
        <v>0</v>
      </c>
      <c r="TDE42" s="1046">
        <f>TDE38+((TDE40+'NF - 5 Power Mix'!TDE14+'NF - 5 Power Mix'!TDE15)*860/10)+((('Form Sa1'!TDH835)*860)/10)+('Form Sa1'!TDH814*'Form Sa1'!TDH816/10)-'NF - 5 Power Mix'!TDE21-'NF - 5 Power Mix'!TDE22</f>
        <v>0</v>
      </c>
      <c r="TDF42" s="1046">
        <f>TDF38+((TDF40+'NF - 5 Power Mix'!TDF14+'NF - 5 Power Mix'!TDF15)*860/10)+((('Form Sa1'!TDI835)*860)/10)+('Form Sa1'!TDI814*'Form Sa1'!TDI816/10)-'NF - 5 Power Mix'!TDF21-'NF - 5 Power Mix'!TDF22</f>
        <v>0</v>
      </c>
      <c r="TDG42" s="1046">
        <f>TDG38+((TDG40+'NF - 5 Power Mix'!TDG14+'NF - 5 Power Mix'!TDG15)*860/10)+((('Form Sa1'!TDJ835)*860)/10)+('Form Sa1'!TDJ814*'Form Sa1'!TDJ816/10)-'NF - 5 Power Mix'!TDG21-'NF - 5 Power Mix'!TDG22</f>
        <v>0</v>
      </c>
      <c r="TDH42" s="1046">
        <f>TDH38+((TDH40+'NF - 5 Power Mix'!TDH14+'NF - 5 Power Mix'!TDH15)*860/10)+((('Form Sa1'!TDK835)*860)/10)+('Form Sa1'!TDK814*'Form Sa1'!TDK816/10)-'NF - 5 Power Mix'!TDH21-'NF - 5 Power Mix'!TDH22</f>
        <v>0</v>
      </c>
      <c r="TDI42" s="1046">
        <f>TDI38+((TDI40+'NF - 5 Power Mix'!TDI14+'NF - 5 Power Mix'!TDI15)*860/10)+((('Form Sa1'!TDL835)*860)/10)+('Form Sa1'!TDL814*'Form Sa1'!TDL816/10)-'NF - 5 Power Mix'!TDI21-'NF - 5 Power Mix'!TDI22</f>
        <v>0</v>
      </c>
      <c r="TDJ42" s="1046">
        <f>TDJ38+((TDJ40+'NF - 5 Power Mix'!TDJ14+'NF - 5 Power Mix'!TDJ15)*860/10)+((('Form Sa1'!TDM835)*860)/10)+('Form Sa1'!TDM814*'Form Sa1'!TDM816/10)-'NF - 5 Power Mix'!TDJ21-'NF - 5 Power Mix'!TDJ22</f>
        <v>0</v>
      </c>
      <c r="TDK42" s="1046">
        <f>TDK38+((TDK40+'NF - 5 Power Mix'!TDK14+'NF - 5 Power Mix'!TDK15)*860/10)+((('Form Sa1'!TDN835)*860)/10)+('Form Sa1'!TDN814*'Form Sa1'!TDN816/10)-'NF - 5 Power Mix'!TDK21-'NF - 5 Power Mix'!TDK22</f>
        <v>0</v>
      </c>
      <c r="TDL42" s="1046">
        <f>TDL38+((TDL40+'NF - 5 Power Mix'!TDL14+'NF - 5 Power Mix'!TDL15)*860/10)+((('Form Sa1'!TDO835)*860)/10)+('Form Sa1'!TDO814*'Form Sa1'!TDO816/10)-'NF - 5 Power Mix'!TDL21-'NF - 5 Power Mix'!TDL22</f>
        <v>0</v>
      </c>
      <c r="TDM42" s="1046">
        <f>TDM38+((TDM40+'NF - 5 Power Mix'!TDM14+'NF - 5 Power Mix'!TDM15)*860/10)+((('Form Sa1'!TDP835)*860)/10)+('Form Sa1'!TDP814*'Form Sa1'!TDP816/10)-'NF - 5 Power Mix'!TDM21-'NF - 5 Power Mix'!TDM22</f>
        <v>0</v>
      </c>
      <c r="TDN42" s="1046">
        <f>TDN38+((TDN40+'NF - 5 Power Mix'!TDN14+'NF - 5 Power Mix'!TDN15)*860/10)+((('Form Sa1'!TDQ835)*860)/10)+('Form Sa1'!TDQ814*'Form Sa1'!TDQ816/10)-'NF - 5 Power Mix'!TDN21-'NF - 5 Power Mix'!TDN22</f>
        <v>0</v>
      </c>
      <c r="TDO42" s="1046">
        <f>TDO38+((TDO40+'NF - 5 Power Mix'!TDO14+'NF - 5 Power Mix'!TDO15)*860/10)+((('Form Sa1'!TDR835)*860)/10)+('Form Sa1'!TDR814*'Form Sa1'!TDR816/10)-'NF - 5 Power Mix'!TDO21-'NF - 5 Power Mix'!TDO22</f>
        <v>0</v>
      </c>
      <c r="TDP42" s="1046">
        <f>TDP38+((TDP40+'NF - 5 Power Mix'!TDP14+'NF - 5 Power Mix'!TDP15)*860/10)+((('Form Sa1'!TDS835)*860)/10)+('Form Sa1'!TDS814*'Form Sa1'!TDS816/10)-'NF - 5 Power Mix'!TDP21-'NF - 5 Power Mix'!TDP22</f>
        <v>0</v>
      </c>
      <c r="TDQ42" s="1046">
        <f>TDQ38+((TDQ40+'NF - 5 Power Mix'!TDQ14+'NF - 5 Power Mix'!TDQ15)*860/10)+((('Form Sa1'!TDT835)*860)/10)+('Form Sa1'!TDT814*'Form Sa1'!TDT816/10)-'NF - 5 Power Mix'!TDQ21-'NF - 5 Power Mix'!TDQ22</f>
        <v>0</v>
      </c>
      <c r="TDR42" s="1046">
        <f>TDR38+((TDR40+'NF - 5 Power Mix'!TDR14+'NF - 5 Power Mix'!TDR15)*860/10)+((('Form Sa1'!TDU835)*860)/10)+('Form Sa1'!TDU814*'Form Sa1'!TDU816/10)-'NF - 5 Power Mix'!TDR21-'NF - 5 Power Mix'!TDR22</f>
        <v>0</v>
      </c>
      <c r="TDS42" s="1046">
        <f>TDS38+((TDS40+'NF - 5 Power Mix'!TDS14+'NF - 5 Power Mix'!TDS15)*860/10)+((('Form Sa1'!TDV835)*860)/10)+('Form Sa1'!TDV814*'Form Sa1'!TDV816/10)-'NF - 5 Power Mix'!TDS21-'NF - 5 Power Mix'!TDS22</f>
        <v>0</v>
      </c>
      <c r="TDT42" s="1046">
        <f>TDT38+((TDT40+'NF - 5 Power Mix'!TDT14+'NF - 5 Power Mix'!TDT15)*860/10)+((('Form Sa1'!TDW835)*860)/10)+('Form Sa1'!TDW814*'Form Sa1'!TDW816/10)-'NF - 5 Power Mix'!TDT21-'NF - 5 Power Mix'!TDT22</f>
        <v>0</v>
      </c>
      <c r="TDU42" s="1046">
        <f>TDU38+((TDU40+'NF - 5 Power Mix'!TDU14+'NF - 5 Power Mix'!TDU15)*860/10)+((('Form Sa1'!TDX835)*860)/10)+('Form Sa1'!TDX814*'Form Sa1'!TDX816/10)-'NF - 5 Power Mix'!TDU21-'NF - 5 Power Mix'!TDU22</f>
        <v>0</v>
      </c>
      <c r="TDV42" s="1046">
        <f>TDV38+((TDV40+'NF - 5 Power Mix'!TDV14+'NF - 5 Power Mix'!TDV15)*860/10)+((('Form Sa1'!TDY835)*860)/10)+('Form Sa1'!TDY814*'Form Sa1'!TDY816/10)-'NF - 5 Power Mix'!TDV21-'NF - 5 Power Mix'!TDV22</f>
        <v>0</v>
      </c>
      <c r="TDW42" s="1046">
        <f>TDW38+((TDW40+'NF - 5 Power Mix'!TDW14+'NF - 5 Power Mix'!TDW15)*860/10)+((('Form Sa1'!TDZ835)*860)/10)+('Form Sa1'!TDZ814*'Form Sa1'!TDZ816/10)-'NF - 5 Power Mix'!TDW21-'NF - 5 Power Mix'!TDW22</f>
        <v>0</v>
      </c>
      <c r="TDX42" s="1046">
        <f>TDX38+((TDX40+'NF - 5 Power Mix'!TDX14+'NF - 5 Power Mix'!TDX15)*860/10)+((('Form Sa1'!TEA835)*860)/10)+('Form Sa1'!TEA814*'Form Sa1'!TEA816/10)-'NF - 5 Power Mix'!TDX21-'NF - 5 Power Mix'!TDX22</f>
        <v>0</v>
      </c>
      <c r="TDY42" s="1046">
        <f>TDY38+((TDY40+'NF - 5 Power Mix'!TDY14+'NF - 5 Power Mix'!TDY15)*860/10)+((('Form Sa1'!TEB835)*860)/10)+('Form Sa1'!TEB814*'Form Sa1'!TEB816/10)-'NF - 5 Power Mix'!TDY21-'NF - 5 Power Mix'!TDY22</f>
        <v>0</v>
      </c>
      <c r="TDZ42" s="1046">
        <f>TDZ38+((TDZ40+'NF - 5 Power Mix'!TDZ14+'NF - 5 Power Mix'!TDZ15)*860/10)+((('Form Sa1'!TEC835)*860)/10)+('Form Sa1'!TEC814*'Form Sa1'!TEC816/10)-'NF - 5 Power Mix'!TDZ21-'NF - 5 Power Mix'!TDZ22</f>
        <v>0</v>
      </c>
      <c r="TEA42" s="1046">
        <f>TEA38+((TEA40+'NF - 5 Power Mix'!TEA14+'NF - 5 Power Mix'!TEA15)*860/10)+((('Form Sa1'!TED835)*860)/10)+('Form Sa1'!TED814*'Form Sa1'!TED816/10)-'NF - 5 Power Mix'!TEA21-'NF - 5 Power Mix'!TEA22</f>
        <v>0</v>
      </c>
      <c r="TEB42" s="1046">
        <f>TEB38+((TEB40+'NF - 5 Power Mix'!TEB14+'NF - 5 Power Mix'!TEB15)*860/10)+((('Form Sa1'!TEE835)*860)/10)+('Form Sa1'!TEE814*'Form Sa1'!TEE816/10)-'NF - 5 Power Mix'!TEB21-'NF - 5 Power Mix'!TEB22</f>
        <v>0</v>
      </c>
      <c r="TEC42" s="1046">
        <f>TEC38+((TEC40+'NF - 5 Power Mix'!TEC14+'NF - 5 Power Mix'!TEC15)*860/10)+((('Form Sa1'!TEF835)*860)/10)+('Form Sa1'!TEF814*'Form Sa1'!TEF816/10)-'NF - 5 Power Mix'!TEC21-'NF - 5 Power Mix'!TEC22</f>
        <v>0</v>
      </c>
      <c r="TED42" s="1046">
        <f>TED38+((TED40+'NF - 5 Power Mix'!TED14+'NF - 5 Power Mix'!TED15)*860/10)+((('Form Sa1'!TEG835)*860)/10)+('Form Sa1'!TEG814*'Form Sa1'!TEG816/10)-'NF - 5 Power Mix'!TED21-'NF - 5 Power Mix'!TED22</f>
        <v>0</v>
      </c>
      <c r="TEE42" s="1046">
        <f>TEE38+((TEE40+'NF - 5 Power Mix'!TEE14+'NF - 5 Power Mix'!TEE15)*860/10)+((('Form Sa1'!TEH835)*860)/10)+('Form Sa1'!TEH814*'Form Sa1'!TEH816/10)-'NF - 5 Power Mix'!TEE21-'NF - 5 Power Mix'!TEE22</f>
        <v>0</v>
      </c>
      <c r="TEF42" s="1046">
        <f>TEF38+((TEF40+'NF - 5 Power Mix'!TEF14+'NF - 5 Power Mix'!TEF15)*860/10)+((('Form Sa1'!TEI835)*860)/10)+('Form Sa1'!TEI814*'Form Sa1'!TEI816/10)-'NF - 5 Power Mix'!TEF21-'NF - 5 Power Mix'!TEF22</f>
        <v>0</v>
      </c>
      <c r="TEG42" s="1046">
        <f>TEG38+((TEG40+'NF - 5 Power Mix'!TEG14+'NF - 5 Power Mix'!TEG15)*860/10)+((('Form Sa1'!TEJ835)*860)/10)+('Form Sa1'!TEJ814*'Form Sa1'!TEJ816/10)-'NF - 5 Power Mix'!TEG21-'NF - 5 Power Mix'!TEG22</f>
        <v>0</v>
      </c>
      <c r="TEH42" s="1046">
        <f>TEH38+((TEH40+'NF - 5 Power Mix'!TEH14+'NF - 5 Power Mix'!TEH15)*860/10)+((('Form Sa1'!TEK835)*860)/10)+('Form Sa1'!TEK814*'Form Sa1'!TEK816/10)-'NF - 5 Power Mix'!TEH21-'NF - 5 Power Mix'!TEH22</f>
        <v>0</v>
      </c>
      <c r="TEI42" s="1046">
        <f>TEI38+((TEI40+'NF - 5 Power Mix'!TEI14+'NF - 5 Power Mix'!TEI15)*860/10)+((('Form Sa1'!TEL835)*860)/10)+('Form Sa1'!TEL814*'Form Sa1'!TEL816/10)-'NF - 5 Power Mix'!TEI21-'NF - 5 Power Mix'!TEI22</f>
        <v>0</v>
      </c>
      <c r="TEJ42" s="1046">
        <f>TEJ38+((TEJ40+'NF - 5 Power Mix'!TEJ14+'NF - 5 Power Mix'!TEJ15)*860/10)+((('Form Sa1'!TEM835)*860)/10)+('Form Sa1'!TEM814*'Form Sa1'!TEM816/10)-'NF - 5 Power Mix'!TEJ21-'NF - 5 Power Mix'!TEJ22</f>
        <v>0</v>
      </c>
      <c r="TEK42" s="1046">
        <f>TEK38+((TEK40+'NF - 5 Power Mix'!TEK14+'NF - 5 Power Mix'!TEK15)*860/10)+((('Form Sa1'!TEN835)*860)/10)+('Form Sa1'!TEN814*'Form Sa1'!TEN816/10)-'NF - 5 Power Mix'!TEK21-'NF - 5 Power Mix'!TEK22</f>
        <v>0</v>
      </c>
      <c r="TEL42" s="1046">
        <f>TEL38+((TEL40+'NF - 5 Power Mix'!TEL14+'NF - 5 Power Mix'!TEL15)*860/10)+((('Form Sa1'!TEO835)*860)/10)+('Form Sa1'!TEO814*'Form Sa1'!TEO816/10)-'NF - 5 Power Mix'!TEL21-'NF - 5 Power Mix'!TEL22</f>
        <v>0</v>
      </c>
      <c r="TEM42" s="1046">
        <f>TEM38+((TEM40+'NF - 5 Power Mix'!TEM14+'NF - 5 Power Mix'!TEM15)*860/10)+((('Form Sa1'!TEP835)*860)/10)+('Form Sa1'!TEP814*'Form Sa1'!TEP816/10)-'NF - 5 Power Mix'!TEM21-'NF - 5 Power Mix'!TEM22</f>
        <v>0</v>
      </c>
      <c r="TEN42" s="1046">
        <f>TEN38+((TEN40+'NF - 5 Power Mix'!TEN14+'NF - 5 Power Mix'!TEN15)*860/10)+((('Form Sa1'!TEQ835)*860)/10)+('Form Sa1'!TEQ814*'Form Sa1'!TEQ816/10)-'NF - 5 Power Mix'!TEN21-'NF - 5 Power Mix'!TEN22</f>
        <v>0</v>
      </c>
      <c r="TEO42" s="1046">
        <f>TEO38+((TEO40+'NF - 5 Power Mix'!TEO14+'NF - 5 Power Mix'!TEO15)*860/10)+((('Form Sa1'!TER835)*860)/10)+('Form Sa1'!TER814*'Form Sa1'!TER816/10)-'NF - 5 Power Mix'!TEO21-'NF - 5 Power Mix'!TEO22</f>
        <v>0</v>
      </c>
      <c r="TEP42" s="1046">
        <f>TEP38+((TEP40+'NF - 5 Power Mix'!TEP14+'NF - 5 Power Mix'!TEP15)*860/10)+((('Form Sa1'!TES835)*860)/10)+('Form Sa1'!TES814*'Form Sa1'!TES816/10)-'NF - 5 Power Mix'!TEP21-'NF - 5 Power Mix'!TEP22</f>
        <v>0</v>
      </c>
      <c r="TEQ42" s="1046">
        <f>TEQ38+((TEQ40+'NF - 5 Power Mix'!TEQ14+'NF - 5 Power Mix'!TEQ15)*860/10)+((('Form Sa1'!TET835)*860)/10)+('Form Sa1'!TET814*'Form Sa1'!TET816/10)-'NF - 5 Power Mix'!TEQ21-'NF - 5 Power Mix'!TEQ22</f>
        <v>0</v>
      </c>
      <c r="TER42" s="1046">
        <f>TER38+((TER40+'NF - 5 Power Mix'!TER14+'NF - 5 Power Mix'!TER15)*860/10)+((('Form Sa1'!TEU835)*860)/10)+('Form Sa1'!TEU814*'Form Sa1'!TEU816/10)-'NF - 5 Power Mix'!TER21-'NF - 5 Power Mix'!TER22</f>
        <v>0</v>
      </c>
      <c r="TES42" s="1046">
        <f>TES38+((TES40+'NF - 5 Power Mix'!TES14+'NF - 5 Power Mix'!TES15)*860/10)+((('Form Sa1'!TEV835)*860)/10)+('Form Sa1'!TEV814*'Form Sa1'!TEV816/10)-'NF - 5 Power Mix'!TES21-'NF - 5 Power Mix'!TES22</f>
        <v>0</v>
      </c>
      <c r="TET42" s="1046">
        <f>TET38+((TET40+'NF - 5 Power Mix'!TET14+'NF - 5 Power Mix'!TET15)*860/10)+((('Form Sa1'!TEW835)*860)/10)+('Form Sa1'!TEW814*'Form Sa1'!TEW816/10)-'NF - 5 Power Mix'!TET21-'NF - 5 Power Mix'!TET22</f>
        <v>0</v>
      </c>
      <c r="TEU42" s="1046">
        <f>TEU38+((TEU40+'NF - 5 Power Mix'!TEU14+'NF - 5 Power Mix'!TEU15)*860/10)+((('Form Sa1'!TEX835)*860)/10)+('Form Sa1'!TEX814*'Form Sa1'!TEX816/10)-'NF - 5 Power Mix'!TEU21-'NF - 5 Power Mix'!TEU22</f>
        <v>0</v>
      </c>
      <c r="TEV42" s="1046">
        <f>TEV38+((TEV40+'NF - 5 Power Mix'!TEV14+'NF - 5 Power Mix'!TEV15)*860/10)+((('Form Sa1'!TEY835)*860)/10)+('Form Sa1'!TEY814*'Form Sa1'!TEY816/10)-'NF - 5 Power Mix'!TEV21-'NF - 5 Power Mix'!TEV22</f>
        <v>0</v>
      </c>
      <c r="TEW42" s="1046">
        <f>TEW38+((TEW40+'NF - 5 Power Mix'!TEW14+'NF - 5 Power Mix'!TEW15)*860/10)+((('Form Sa1'!TEZ835)*860)/10)+('Form Sa1'!TEZ814*'Form Sa1'!TEZ816/10)-'NF - 5 Power Mix'!TEW21-'NF - 5 Power Mix'!TEW22</f>
        <v>0</v>
      </c>
      <c r="TEX42" s="1046">
        <f>TEX38+((TEX40+'NF - 5 Power Mix'!TEX14+'NF - 5 Power Mix'!TEX15)*860/10)+((('Form Sa1'!TFA835)*860)/10)+('Form Sa1'!TFA814*'Form Sa1'!TFA816/10)-'NF - 5 Power Mix'!TEX21-'NF - 5 Power Mix'!TEX22</f>
        <v>0</v>
      </c>
      <c r="TEY42" s="1046">
        <f>TEY38+((TEY40+'NF - 5 Power Mix'!TEY14+'NF - 5 Power Mix'!TEY15)*860/10)+((('Form Sa1'!TFB835)*860)/10)+('Form Sa1'!TFB814*'Form Sa1'!TFB816/10)-'NF - 5 Power Mix'!TEY21-'NF - 5 Power Mix'!TEY22</f>
        <v>0</v>
      </c>
      <c r="TEZ42" s="1046">
        <f>TEZ38+((TEZ40+'NF - 5 Power Mix'!TEZ14+'NF - 5 Power Mix'!TEZ15)*860/10)+((('Form Sa1'!TFC835)*860)/10)+('Form Sa1'!TFC814*'Form Sa1'!TFC816/10)-'NF - 5 Power Mix'!TEZ21-'NF - 5 Power Mix'!TEZ22</f>
        <v>0</v>
      </c>
      <c r="TFA42" s="1046">
        <f>TFA38+((TFA40+'NF - 5 Power Mix'!TFA14+'NF - 5 Power Mix'!TFA15)*860/10)+((('Form Sa1'!TFD835)*860)/10)+('Form Sa1'!TFD814*'Form Sa1'!TFD816/10)-'NF - 5 Power Mix'!TFA21-'NF - 5 Power Mix'!TFA22</f>
        <v>0</v>
      </c>
      <c r="TFB42" s="1046">
        <f>TFB38+((TFB40+'NF - 5 Power Mix'!TFB14+'NF - 5 Power Mix'!TFB15)*860/10)+((('Form Sa1'!TFE835)*860)/10)+('Form Sa1'!TFE814*'Form Sa1'!TFE816/10)-'NF - 5 Power Mix'!TFB21-'NF - 5 Power Mix'!TFB22</f>
        <v>0</v>
      </c>
      <c r="TFC42" s="1046">
        <f>TFC38+((TFC40+'NF - 5 Power Mix'!TFC14+'NF - 5 Power Mix'!TFC15)*860/10)+((('Form Sa1'!TFF835)*860)/10)+('Form Sa1'!TFF814*'Form Sa1'!TFF816/10)-'NF - 5 Power Mix'!TFC21-'NF - 5 Power Mix'!TFC22</f>
        <v>0</v>
      </c>
      <c r="TFD42" s="1046">
        <f>TFD38+((TFD40+'NF - 5 Power Mix'!TFD14+'NF - 5 Power Mix'!TFD15)*860/10)+((('Form Sa1'!TFG835)*860)/10)+('Form Sa1'!TFG814*'Form Sa1'!TFG816/10)-'NF - 5 Power Mix'!TFD21-'NF - 5 Power Mix'!TFD22</f>
        <v>0</v>
      </c>
      <c r="TFE42" s="1046">
        <f>TFE38+((TFE40+'NF - 5 Power Mix'!TFE14+'NF - 5 Power Mix'!TFE15)*860/10)+((('Form Sa1'!TFH835)*860)/10)+('Form Sa1'!TFH814*'Form Sa1'!TFH816/10)-'NF - 5 Power Mix'!TFE21-'NF - 5 Power Mix'!TFE22</f>
        <v>0</v>
      </c>
      <c r="TFF42" s="1046">
        <f>TFF38+((TFF40+'NF - 5 Power Mix'!TFF14+'NF - 5 Power Mix'!TFF15)*860/10)+((('Form Sa1'!TFI835)*860)/10)+('Form Sa1'!TFI814*'Form Sa1'!TFI816/10)-'NF - 5 Power Mix'!TFF21-'NF - 5 Power Mix'!TFF22</f>
        <v>0</v>
      </c>
      <c r="TFG42" s="1046">
        <f>TFG38+((TFG40+'NF - 5 Power Mix'!TFG14+'NF - 5 Power Mix'!TFG15)*860/10)+((('Form Sa1'!TFJ835)*860)/10)+('Form Sa1'!TFJ814*'Form Sa1'!TFJ816/10)-'NF - 5 Power Mix'!TFG21-'NF - 5 Power Mix'!TFG22</f>
        <v>0</v>
      </c>
      <c r="TFH42" s="1046">
        <f>TFH38+((TFH40+'NF - 5 Power Mix'!TFH14+'NF - 5 Power Mix'!TFH15)*860/10)+((('Form Sa1'!TFK835)*860)/10)+('Form Sa1'!TFK814*'Form Sa1'!TFK816/10)-'NF - 5 Power Mix'!TFH21-'NF - 5 Power Mix'!TFH22</f>
        <v>0</v>
      </c>
      <c r="TFI42" s="1046">
        <f>TFI38+((TFI40+'NF - 5 Power Mix'!TFI14+'NF - 5 Power Mix'!TFI15)*860/10)+((('Form Sa1'!TFL835)*860)/10)+('Form Sa1'!TFL814*'Form Sa1'!TFL816/10)-'NF - 5 Power Mix'!TFI21-'NF - 5 Power Mix'!TFI22</f>
        <v>0</v>
      </c>
      <c r="TFJ42" s="1046">
        <f>TFJ38+((TFJ40+'NF - 5 Power Mix'!TFJ14+'NF - 5 Power Mix'!TFJ15)*860/10)+((('Form Sa1'!TFM835)*860)/10)+('Form Sa1'!TFM814*'Form Sa1'!TFM816/10)-'NF - 5 Power Mix'!TFJ21-'NF - 5 Power Mix'!TFJ22</f>
        <v>0</v>
      </c>
      <c r="TFK42" s="1046">
        <f>TFK38+((TFK40+'NF - 5 Power Mix'!TFK14+'NF - 5 Power Mix'!TFK15)*860/10)+((('Form Sa1'!TFN835)*860)/10)+('Form Sa1'!TFN814*'Form Sa1'!TFN816/10)-'NF - 5 Power Mix'!TFK21-'NF - 5 Power Mix'!TFK22</f>
        <v>0</v>
      </c>
      <c r="TFL42" s="1046">
        <f>TFL38+((TFL40+'NF - 5 Power Mix'!TFL14+'NF - 5 Power Mix'!TFL15)*860/10)+((('Form Sa1'!TFO835)*860)/10)+('Form Sa1'!TFO814*'Form Sa1'!TFO816/10)-'NF - 5 Power Mix'!TFL21-'NF - 5 Power Mix'!TFL22</f>
        <v>0</v>
      </c>
      <c r="TFM42" s="1046">
        <f>TFM38+((TFM40+'NF - 5 Power Mix'!TFM14+'NF - 5 Power Mix'!TFM15)*860/10)+((('Form Sa1'!TFP835)*860)/10)+('Form Sa1'!TFP814*'Form Sa1'!TFP816/10)-'NF - 5 Power Mix'!TFM21-'NF - 5 Power Mix'!TFM22</f>
        <v>0</v>
      </c>
      <c r="TFN42" s="1046">
        <f>TFN38+((TFN40+'NF - 5 Power Mix'!TFN14+'NF - 5 Power Mix'!TFN15)*860/10)+((('Form Sa1'!TFQ835)*860)/10)+('Form Sa1'!TFQ814*'Form Sa1'!TFQ816/10)-'NF - 5 Power Mix'!TFN21-'NF - 5 Power Mix'!TFN22</f>
        <v>0</v>
      </c>
      <c r="TFO42" s="1046">
        <f>TFO38+((TFO40+'NF - 5 Power Mix'!TFO14+'NF - 5 Power Mix'!TFO15)*860/10)+((('Form Sa1'!TFR835)*860)/10)+('Form Sa1'!TFR814*'Form Sa1'!TFR816/10)-'NF - 5 Power Mix'!TFO21-'NF - 5 Power Mix'!TFO22</f>
        <v>0</v>
      </c>
      <c r="TFP42" s="1046">
        <f>TFP38+((TFP40+'NF - 5 Power Mix'!TFP14+'NF - 5 Power Mix'!TFP15)*860/10)+((('Form Sa1'!TFS835)*860)/10)+('Form Sa1'!TFS814*'Form Sa1'!TFS816/10)-'NF - 5 Power Mix'!TFP21-'NF - 5 Power Mix'!TFP22</f>
        <v>0</v>
      </c>
      <c r="TFQ42" s="1046">
        <f>TFQ38+((TFQ40+'NF - 5 Power Mix'!TFQ14+'NF - 5 Power Mix'!TFQ15)*860/10)+((('Form Sa1'!TFT835)*860)/10)+('Form Sa1'!TFT814*'Form Sa1'!TFT816/10)-'NF - 5 Power Mix'!TFQ21-'NF - 5 Power Mix'!TFQ22</f>
        <v>0</v>
      </c>
      <c r="TFR42" s="1046">
        <f>TFR38+((TFR40+'NF - 5 Power Mix'!TFR14+'NF - 5 Power Mix'!TFR15)*860/10)+((('Form Sa1'!TFU835)*860)/10)+('Form Sa1'!TFU814*'Form Sa1'!TFU816/10)-'NF - 5 Power Mix'!TFR21-'NF - 5 Power Mix'!TFR22</f>
        <v>0</v>
      </c>
      <c r="TFS42" s="1046">
        <f>TFS38+((TFS40+'NF - 5 Power Mix'!TFS14+'NF - 5 Power Mix'!TFS15)*860/10)+((('Form Sa1'!TFV835)*860)/10)+('Form Sa1'!TFV814*'Form Sa1'!TFV816/10)-'NF - 5 Power Mix'!TFS21-'NF - 5 Power Mix'!TFS22</f>
        <v>0</v>
      </c>
      <c r="TFT42" s="1046">
        <f>TFT38+((TFT40+'NF - 5 Power Mix'!TFT14+'NF - 5 Power Mix'!TFT15)*860/10)+((('Form Sa1'!TFW835)*860)/10)+('Form Sa1'!TFW814*'Form Sa1'!TFW816/10)-'NF - 5 Power Mix'!TFT21-'NF - 5 Power Mix'!TFT22</f>
        <v>0</v>
      </c>
      <c r="TFU42" s="1046">
        <f>TFU38+((TFU40+'NF - 5 Power Mix'!TFU14+'NF - 5 Power Mix'!TFU15)*860/10)+((('Form Sa1'!TFX835)*860)/10)+('Form Sa1'!TFX814*'Form Sa1'!TFX816/10)-'NF - 5 Power Mix'!TFU21-'NF - 5 Power Mix'!TFU22</f>
        <v>0</v>
      </c>
      <c r="TFV42" s="1046">
        <f>TFV38+((TFV40+'NF - 5 Power Mix'!TFV14+'NF - 5 Power Mix'!TFV15)*860/10)+((('Form Sa1'!TFY835)*860)/10)+('Form Sa1'!TFY814*'Form Sa1'!TFY816/10)-'NF - 5 Power Mix'!TFV21-'NF - 5 Power Mix'!TFV22</f>
        <v>0</v>
      </c>
      <c r="TFW42" s="1046">
        <f>TFW38+((TFW40+'NF - 5 Power Mix'!TFW14+'NF - 5 Power Mix'!TFW15)*860/10)+((('Form Sa1'!TFZ835)*860)/10)+('Form Sa1'!TFZ814*'Form Sa1'!TFZ816/10)-'NF - 5 Power Mix'!TFW21-'NF - 5 Power Mix'!TFW22</f>
        <v>0</v>
      </c>
      <c r="TFX42" s="1046">
        <f>TFX38+((TFX40+'NF - 5 Power Mix'!TFX14+'NF - 5 Power Mix'!TFX15)*860/10)+((('Form Sa1'!TGA835)*860)/10)+('Form Sa1'!TGA814*'Form Sa1'!TGA816/10)-'NF - 5 Power Mix'!TFX21-'NF - 5 Power Mix'!TFX22</f>
        <v>0</v>
      </c>
      <c r="TFY42" s="1046">
        <f>TFY38+((TFY40+'NF - 5 Power Mix'!TFY14+'NF - 5 Power Mix'!TFY15)*860/10)+((('Form Sa1'!TGB835)*860)/10)+('Form Sa1'!TGB814*'Form Sa1'!TGB816/10)-'NF - 5 Power Mix'!TFY21-'NF - 5 Power Mix'!TFY22</f>
        <v>0</v>
      </c>
      <c r="TFZ42" s="1046">
        <f>TFZ38+((TFZ40+'NF - 5 Power Mix'!TFZ14+'NF - 5 Power Mix'!TFZ15)*860/10)+((('Form Sa1'!TGC835)*860)/10)+('Form Sa1'!TGC814*'Form Sa1'!TGC816/10)-'NF - 5 Power Mix'!TFZ21-'NF - 5 Power Mix'!TFZ22</f>
        <v>0</v>
      </c>
      <c r="TGA42" s="1046">
        <f>TGA38+((TGA40+'NF - 5 Power Mix'!TGA14+'NF - 5 Power Mix'!TGA15)*860/10)+((('Form Sa1'!TGD835)*860)/10)+('Form Sa1'!TGD814*'Form Sa1'!TGD816/10)-'NF - 5 Power Mix'!TGA21-'NF - 5 Power Mix'!TGA22</f>
        <v>0</v>
      </c>
      <c r="TGB42" s="1046">
        <f>TGB38+((TGB40+'NF - 5 Power Mix'!TGB14+'NF - 5 Power Mix'!TGB15)*860/10)+((('Form Sa1'!TGE835)*860)/10)+('Form Sa1'!TGE814*'Form Sa1'!TGE816/10)-'NF - 5 Power Mix'!TGB21-'NF - 5 Power Mix'!TGB22</f>
        <v>0</v>
      </c>
      <c r="TGC42" s="1046">
        <f>TGC38+((TGC40+'NF - 5 Power Mix'!TGC14+'NF - 5 Power Mix'!TGC15)*860/10)+((('Form Sa1'!TGF835)*860)/10)+('Form Sa1'!TGF814*'Form Sa1'!TGF816/10)-'NF - 5 Power Mix'!TGC21-'NF - 5 Power Mix'!TGC22</f>
        <v>0</v>
      </c>
      <c r="TGD42" s="1046">
        <f>TGD38+((TGD40+'NF - 5 Power Mix'!TGD14+'NF - 5 Power Mix'!TGD15)*860/10)+((('Form Sa1'!TGG835)*860)/10)+('Form Sa1'!TGG814*'Form Sa1'!TGG816/10)-'NF - 5 Power Mix'!TGD21-'NF - 5 Power Mix'!TGD22</f>
        <v>0</v>
      </c>
      <c r="TGE42" s="1046">
        <f>TGE38+((TGE40+'NF - 5 Power Mix'!TGE14+'NF - 5 Power Mix'!TGE15)*860/10)+((('Form Sa1'!TGH835)*860)/10)+('Form Sa1'!TGH814*'Form Sa1'!TGH816/10)-'NF - 5 Power Mix'!TGE21-'NF - 5 Power Mix'!TGE22</f>
        <v>0</v>
      </c>
      <c r="TGF42" s="1046">
        <f>TGF38+((TGF40+'NF - 5 Power Mix'!TGF14+'NF - 5 Power Mix'!TGF15)*860/10)+((('Form Sa1'!TGI835)*860)/10)+('Form Sa1'!TGI814*'Form Sa1'!TGI816/10)-'NF - 5 Power Mix'!TGF21-'NF - 5 Power Mix'!TGF22</f>
        <v>0</v>
      </c>
      <c r="TGG42" s="1046">
        <f>TGG38+((TGG40+'NF - 5 Power Mix'!TGG14+'NF - 5 Power Mix'!TGG15)*860/10)+((('Form Sa1'!TGJ835)*860)/10)+('Form Sa1'!TGJ814*'Form Sa1'!TGJ816/10)-'NF - 5 Power Mix'!TGG21-'NF - 5 Power Mix'!TGG22</f>
        <v>0</v>
      </c>
      <c r="TGH42" s="1046">
        <f>TGH38+((TGH40+'NF - 5 Power Mix'!TGH14+'NF - 5 Power Mix'!TGH15)*860/10)+((('Form Sa1'!TGK835)*860)/10)+('Form Sa1'!TGK814*'Form Sa1'!TGK816/10)-'NF - 5 Power Mix'!TGH21-'NF - 5 Power Mix'!TGH22</f>
        <v>0</v>
      </c>
      <c r="TGI42" s="1046">
        <f>TGI38+((TGI40+'NF - 5 Power Mix'!TGI14+'NF - 5 Power Mix'!TGI15)*860/10)+((('Form Sa1'!TGL835)*860)/10)+('Form Sa1'!TGL814*'Form Sa1'!TGL816/10)-'NF - 5 Power Mix'!TGI21-'NF - 5 Power Mix'!TGI22</f>
        <v>0</v>
      </c>
      <c r="TGJ42" s="1046">
        <f>TGJ38+((TGJ40+'NF - 5 Power Mix'!TGJ14+'NF - 5 Power Mix'!TGJ15)*860/10)+((('Form Sa1'!TGM835)*860)/10)+('Form Sa1'!TGM814*'Form Sa1'!TGM816/10)-'NF - 5 Power Mix'!TGJ21-'NF - 5 Power Mix'!TGJ22</f>
        <v>0</v>
      </c>
      <c r="TGK42" s="1046">
        <f>TGK38+((TGK40+'NF - 5 Power Mix'!TGK14+'NF - 5 Power Mix'!TGK15)*860/10)+((('Form Sa1'!TGN835)*860)/10)+('Form Sa1'!TGN814*'Form Sa1'!TGN816/10)-'NF - 5 Power Mix'!TGK21-'NF - 5 Power Mix'!TGK22</f>
        <v>0</v>
      </c>
      <c r="TGL42" s="1046">
        <f>TGL38+((TGL40+'NF - 5 Power Mix'!TGL14+'NF - 5 Power Mix'!TGL15)*860/10)+((('Form Sa1'!TGO835)*860)/10)+('Form Sa1'!TGO814*'Form Sa1'!TGO816/10)-'NF - 5 Power Mix'!TGL21-'NF - 5 Power Mix'!TGL22</f>
        <v>0</v>
      </c>
      <c r="TGM42" s="1046">
        <f>TGM38+((TGM40+'NF - 5 Power Mix'!TGM14+'NF - 5 Power Mix'!TGM15)*860/10)+((('Form Sa1'!TGP835)*860)/10)+('Form Sa1'!TGP814*'Form Sa1'!TGP816/10)-'NF - 5 Power Mix'!TGM21-'NF - 5 Power Mix'!TGM22</f>
        <v>0</v>
      </c>
      <c r="TGN42" s="1046">
        <f>TGN38+((TGN40+'NF - 5 Power Mix'!TGN14+'NF - 5 Power Mix'!TGN15)*860/10)+((('Form Sa1'!TGQ835)*860)/10)+('Form Sa1'!TGQ814*'Form Sa1'!TGQ816/10)-'NF - 5 Power Mix'!TGN21-'NF - 5 Power Mix'!TGN22</f>
        <v>0</v>
      </c>
      <c r="TGO42" s="1046">
        <f>TGO38+((TGO40+'NF - 5 Power Mix'!TGO14+'NF - 5 Power Mix'!TGO15)*860/10)+((('Form Sa1'!TGR835)*860)/10)+('Form Sa1'!TGR814*'Form Sa1'!TGR816/10)-'NF - 5 Power Mix'!TGO21-'NF - 5 Power Mix'!TGO22</f>
        <v>0</v>
      </c>
      <c r="TGP42" s="1046">
        <f>TGP38+((TGP40+'NF - 5 Power Mix'!TGP14+'NF - 5 Power Mix'!TGP15)*860/10)+((('Form Sa1'!TGS835)*860)/10)+('Form Sa1'!TGS814*'Form Sa1'!TGS816/10)-'NF - 5 Power Mix'!TGP21-'NF - 5 Power Mix'!TGP22</f>
        <v>0</v>
      </c>
      <c r="TGQ42" s="1046">
        <f>TGQ38+((TGQ40+'NF - 5 Power Mix'!TGQ14+'NF - 5 Power Mix'!TGQ15)*860/10)+((('Form Sa1'!TGT835)*860)/10)+('Form Sa1'!TGT814*'Form Sa1'!TGT816/10)-'NF - 5 Power Mix'!TGQ21-'NF - 5 Power Mix'!TGQ22</f>
        <v>0</v>
      </c>
      <c r="TGR42" s="1046">
        <f>TGR38+((TGR40+'NF - 5 Power Mix'!TGR14+'NF - 5 Power Mix'!TGR15)*860/10)+((('Form Sa1'!TGU835)*860)/10)+('Form Sa1'!TGU814*'Form Sa1'!TGU816/10)-'NF - 5 Power Mix'!TGR21-'NF - 5 Power Mix'!TGR22</f>
        <v>0</v>
      </c>
      <c r="TGS42" s="1046">
        <f>TGS38+((TGS40+'NF - 5 Power Mix'!TGS14+'NF - 5 Power Mix'!TGS15)*860/10)+((('Form Sa1'!TGV835)*860)/10)+('Form Sa1'!TGV814*'Form Sa1'!TGV816/10)-'NF - 5 Power Mix'!TGS21-'NF - 5 Power Mix'!TGS22</f>
        <v>0</v>
      </c>
      <c r="TGT42" s="1046">
        <f>TGT38+((TGT40+'NF - 5 Power Mix'!TGT14+'NF - 5 Power Mix'!TGT15)*860/10)+((('Form Sa1'!TGW835)*860)/10)+('Form Sa1'!TGW814*'Form Sa1'!TGW816/10)-'NF - 5 Power Mix'!TGT21-'NF - 5 Power Mix'!TGT22</f>
        <v>0</v>
      </c>
      <c r="TGU42" s="1046">
        <f>TGU38+((TGU40+'NF - 5 Power Mix'!TGU14+'NF - 5 Power Mix'!TGU15)*860/10)+((('Form Sa1'!TGX835)*860)/10)+('Form Sa1'!TGX814*'Form Sa1'!TGX816/10)-'NF - 5 Power Mix'!TGU21-'NF - 5 Power Mix'!TGU22</f>
        <v>0</v>
      </c>
      <c r="TGV42" s="1046">
        <f>TGV38+((TGV40+'NF - 5 Power Mix'!TGV14+'NF - 5 Power Mix'!TGV15)*860/10)+((('Form Sa1'!TGY835)*860)/10)+('Form Sa1'!TGY814*'Form Sa1'!TGY816/10)-'NF - 5 Power Mix'!TGV21-'NF - 5 Power Mix'!TGV22</f>
        <v>0</v>
      </c>
      <c r="TGW42" s="1046">
        <f>TGW38+((TGW40+'NF - 5 Power Mix'!TGW14+'NF - 5 Power Mix'!TGW15)*860/10)+((('Form Sa1'!TGZ835)*860)/10)+('Form Sa1'!TGZ814*'Form Sa1'!TGZ816/10)-'NF - 5 Power Mix'!TGW21-'NF - 5 Power Mix'!TGW22</f>
        <v>0</v>
      </c>
      <c r="TGX42" s="1046">
        <f>TGX38+((TGX40+'NF - 5 Power Mix'!TGX14+'NF - 5 Power Mix'!TGX15)*860/10)+((('Form Sa1'!THA835)*860)/10)+('Form Sa1'!THA814*'Form Sa1'!THA816/10)-'NF - 5 Power Mix'!TGX21-'NF - 5 Power Mix'!TGX22</f>
        <v>0</v>
      </c>
      <c r="TGY42" s="1046">
        <f>TGY38+((TGY40+'NF - 5 Power Mix'!TGY14+'NF - 5 Power Mix'!TGY15)*860/10)+((('Form Sa1'!THB835)*860)/10)+('Form Sa1'!THB814*'Form Sa1'!THB816/10)-'NF - 5 Power Mix'!TGY21-'NF - 5 Power Mix'!TGY22</f>
        <v>0</v>
      </c>
      <c r="TGZ42" s="1046">
        <f>TGZ38+((TGZ40+'NF - 5 Power Mix'!TGZ14+'NF - 5 Power Mix'!TGZ15)*860/10)+((('Form Sa1'!THC835)*860)/10)+('Form Sa1'!THC814*'Form Sa1'!THC816/10)-'NF - 5 Power Mix'!TGZ21-'NF - 5 Power Mix'!TGZ22</f>
        <v>0</v>
      </c>
      <c r="THA42" s="1046">
        <f>THA38+((THA40+'NF - 5 Power Mix'!THA14+'NF - 5 Power Mix'!THA15)*860/10)+((('Form Sa1'!THD835)*860)/10)+('Form Sa1'!THD814*'Form Sa1'!THD816/10)-'NF - 5 Power Mix'!THA21-'NF - 5 Power Mix'!THA22</f>
        <v>0</v>
      </c>
      <c r="THB42" s="1046">
        <f>THB38+((THB40+'NF - 5 Power Mix'!THB14+'NF - 5 Power Mix'!THB15)*860/10)+((('Form Sa1'!THE835)*860)/10)+('Form Sa1'!THE814*'Form Sa1'!THE816/10)-'NF - 5 Power Mix'!THB21-'NF - 5 Power Mix'!THB22</f>
        <v>0</v>
      </c>
      <c r="THC42" s="1046">
        <f>THC38+((THC40+'NF - 5 Power Mix'!THC14+'NF - 5 Power Mix'!THC15)*860/10)+((('Form Sa1'!THF835)*860)/10)+('Form Sa1'!THF814*'Form Sa1'!THF816/10)-'NF - 5 Power Mix'!THC21-'NF - 5 Power Mix'!THC22</f>
        <v>0</v>
      </c>
      <c r="THD42" s="1046">
        <f>THD38+((THD40+'NF - 5 Power Mix'!THD14+'NF - 5 Power Mix'!THD15)*860/10)+((('Form Sa1'!THG835)*860)/10)+('Form Sa1'!THG814*'Form Sa1'!THG816/10)-'NF - 5 Power Mix'!THD21-'NF - 5 Power Mix'!THD22</f>
        <v>0</v>
      </c>
      <c r="THE42" s="1046">
        <f>THE38+((THE40+'NF - 5 Power Mix'!THE14+'NF - 5 Power Mix'!THE15)*860/10)+((('Form Sa1'!THH835)*860)/10)+('Form Sa1'!THH814*'Form Sa1'!THH816/10)-'NF - 5 Power Mix'!THE21-'NF - 5 Power Mix'!THE22</f>
        <v>0</v>
      </c>
      <c r="THF42" s="1046">
        <f>THF38+((THF40+'NF - 5 Power Mix'!THF14+'NF - 5 Power Mix'!THF15)*860/10)+((('Form Sa1'!THI835)*860)/10)+('Form Sa1'!THI814*'Form Sa1'!THI816/10)-'NF - 5 Power Mix'!THF21-'NF - 5 Power Mix'!THF22</f>
        <v>0</v>
      </c>
      <c r="THG42" s="1046">
        <f>THG38+((THG40+'NF - 5 Power Mix'!THG14+'NF - 5 Power Mix'!THG15)*860/10)+((('Form Sa1'!THJ835)*860)/10)+('Form Sa1'!THJ814*'Form Sa1'!THJ816/10)-'NF - 5 Power Mix'!THG21-'NF - 5 Power Mix'!THG22</f>
        <v>0</v>
      </c>
      <c r="THH42" s="1046">
        <f>THH38+((THH40+'NF - 5 Power Mix'!THH14+'NF - 5 Power Mix'!THH15)*860/10)+((('Form Sa1'!THK835)*860)/10)+('Form Sa1'!THK814*'Form Sa1'!THK816/10)-'NF - 5 Power Mix'!THH21-'NF - 5 Power Mix'!THH22</f>
        <v>0</v>
      </c>
      <c r="THI42" s="1046">
        <f>THI38+((THI40+'NF - 5 Power Mix'!THI14+'NF - 5 Power Mix'!THI15)*860/10)+((('Form Sa1'!THL835)*860)/10)+('Form Sa1'!THL814*'Form Sa1'!THL816/10)-'NF - 5 Power Mix'!THI21-'NF - 5 Power Mix'!THI22</f>
        <v>0</v>
      </c>
      <c r="THJ42" s="1046">
        <f>THJ38+((THJ40+'NF - 5 Power Mix'!THJ14+'NF - 5 Power Mix'!THJ15)*860/10)+((('Form Sa1'!THM835)*860)/10)+('Form Sa1'!THM814*'Form Sa1'!THM816/10)-'NF - 5 Power Mix'!THJ21-'NF - 5 Power Mix'!THJ22</f>
        <v>0</v>
      </c>
      <c r="THK42" s="1046">
        <f>THK38+((THK40+'NF - 5 Power Mix'!THK14+'NF - 5 Power Mix'!THK15)*860/10)+((('Form Sa1'!THN835)*860)/10)+('Form Sa1'!THN814*'Form Sa1'!THN816/10)-'NF - 5 Power Mix'!THK21-'NF - 5 Power Mix'!THK22</f>
        <v>0</v>
      </c>
      <c r="THL42" s="1046">
        <f>THL38+((THL40+'NF - 5 Power Mix'!THL14+'NF - 5 Power Mix'!THL15)*860/10)+((('Form Sa1'!THO835)*860)/10)+('Form Sa1'!THO814*'Form Sa1'!THO816/10)-'NF - 5 Power Mix'!THL21-'NF - 5 Power Mix'!THL22</f>
        <v>0</v>
      </c>
      <c r="THM42" s="1046">
        <f>THM38+((THM40+'NF - 5 Power Mix'!THM14+'NF - 5 Power Mix'!THM15)*860/10)+((('Form Sa1'!THP835)*860)/10)+('Form Sa1'!THP814*'Form Sa1'!THP816/10)-'NF - 5 Power Mix'!THM21-'NF - 5 Power Mix'!THM22</f>
        <v>0</v>
      </c>
      <c r="THN42" s="1046">
        <f>THN38+((THN40+'NF - 5 Power Mix'!THN14+'NF - 5 Power Mix'!THN15)*860/10)+((('Form Sa1'!THQ835)*860)/10)+('Form Sa1'!THQ814*'Form Sa1'!THQ816/10)-'NF - 5 Power Mix'!THN21-'NF - 5 Power Mix'!THN22</f>
        <v>0</v>
      </c>
      <c r="THO42" s="1046">
        <f>THO38+((THO40+'NF - 5 Power Mix'!THO14+'NF - 5 Power Mix'!THO15)*860/10)+((('Form Sa1'!THR835)*860)/10)+('Form Sa1'!THR814*'Form Sa1'!THR816/10)-'NF - 5 Power Mix'!THO21-'NF - 5 Power Mix'!THO22</f>
        <v>0</v>
      </c>
      <c r="THP42" s="1046">
        <f>THP38+((THP40+'NF - 5 Power Mix'!THP14+'NF - 5 Power Mix'!THP15)*860/10)+((('Form Sa1'!THS835)*860)/10)+('Form Sa1'!THS814*'Form Sa1'!THS816/10)-'NF - 5 Power Mix'!THP21-'NF - 5 Power Mix'!THP22</f>
        <v>0</v>
      </c>
      <c r="THQ42" s="1046">
        <f>THQ38+((THQ40+'NF - 5 Power Mix'!THQ14+'NF - 5 Power Mix'!THQ15)*860/10)+((('Form Sa1'!THT835)*860)/10)+('Form Sa1'!THT814*'Form Sa1'!THT816/10)-'NF - 5 Power Mix'!THQ21-'NF - 5 Power Mix'!THQ22</f>
        <v>0</v>
      </c>
      <c r="THR42" s="1046">
        <f>THR38+((THR40+'NF - 5 Power Mix'!THR14+'NF - 5 Power Mix'!THR15)*860/10)+((('Form Sa1'!THU835)*860)/10)+('Form Sa1'!THU814*'Form Sa1'!THU816/10)-'NF - 5 Power Mix'!THR21-'NF - 5 Power Mix'!THR22</f>
        <v>0</v>
      </c>
      <c r="THS42" s="1046">
        <f>THS38+((THS40+'NF - 5 Power Mix'!THS14+'NF - 5 Power Mix'!THS15)*860/10)+((('Form Sa1'!THV835)*860)/10)+('Form Sa1'!THV814*'Form Sa1'!THV816/10)-'NF - 5 Power Mix'!THS21-'NF - 5 Power Mix'!THS22</f>
        <v>0</v>
      </c>
      <c r="THT42" s="1046">
        <f>THT38+((THT40+'NF - 5 Power Mix'!THT14+'NF - 5 Power Mix'!THT15)*860/10)+((('Form Sa1'!THW835)*860)/10)+('Form Sa1'!THW814*'Form Sa1'!THW816/10)-'NF - 5 Power Mix'!THT21-'NF - 5 Power Mix'!THT22</f>
        <v>0</v>
      </c>
      <c r="THU42" s="1046">
        <f>THU38+((THU40+'NF - 5 Power Mix'!THU14+'NF - 5 Power Mix'!THU15)*860/10)+((('Form Sa1'!THX835)*860)/10)+('Form Sa1'!THX814*'Form Sa1'!THX816/10)-'NF - 5 Power Mix'!THU21-'NF - 5 Power Mix'!THU22</f>
        <v>0</v>
      </c>
      <c r="THV42" s="1046">
        <f>THV38+((THV40+'NF - 5 Power Mix'!THV14+'NF - 5 Power Mix'!THV15)*860/10)+((('Form Sa1'!THY835)*860)/10)+('Form Sa1'!THY814*'Form Sa1'!THY816/10)-'NF - 5 Power Mix'!THV21-'NF - 5 Power Mix'!THV22</f>
        <v>0</v>
      </c>
      <c r="THW42" s="1046">
        <f>THW38+((THW40+'NF - 5 Power Mix'!THW14+'NF - 5 Power Mix'!THW15)*860/10)+((('Form Sa1'!THZ835)*860)/10)+('Form Sa1'!THZ814*'Form Sa1'!THZ816/10)-'NF - 5 Power Mix'!THW21-'NF - 5 Power Mix'!THW22</f>
        <v>0</v>
      </c>
      <c r="THX42" s="1046">
        <f>THX38+((THX40+'NF - 5 Power Mix'!THX14+'NF - 5 Power Mix'!THX15)*860/10)+((('Form Sa1'!TIA835)*860)/10)+('Form Sa1'!TIA814*'Form Sa1'!TIA816/10)-'NF - 5 Power Mix'!THX21-'NF - 5 Power Mix'!THX22</f>
        <v>0</v>
      </c>
      <c r="THY42" s="1046">
        <f>THY38+((THY40+'NF - 5 Power Mix'!THY14+'NF - 5 Power Mix'!THY15)*860/10)+((('Form Sa1'!TIB835)*860)/10)+('Form Sa1'!TIB814*'Form Sa1'!TIB816/10)-'NF - 5 Power Mix'!THY21-'NF - 5 Power Mix'!THY22</f>
        <v>0</v>
      </c>
      <c r="THZ42" s="1046">
        <f>THZ38+((THZ40+'NF - 5 Power Mix'!THZ14+'NF - 5 Power Mix'!THZ15)*860/10)+((('Form Sa1'!TIC835)*860)/10)+('Form Sa1'!TIC814*'Form Sa1'!TIC816/10)-'NF - 5 Power Mix'!THZ21-'NF - 5 Power Mix'!THZ22</f>
        <v>0</v>
      </c>
      <c r="TIA42" s="1046">
        <f>TIA38+((TIA40+'NF - 5 Power Mix'!TIA14+'NF - 5 Power Mix'!TIA15)*860/10)+((('Form Sa1'!TID835)*860)/10)+('Form Sa1'!TID814*'Form Sa1'!TID816/10)-'NF - 5 Power Mix'!TIA21-'NF - 5 Power Mix'!TIA22</f>
        <v>0</v>
      </c>
      <c r="TIB42" s="1046">
        <f>TIB38+((TIB40+'NF - 5 Power Mix'!TIB14+'NF - 5 Power Mix'!TIB15)*860/10)+((('Form Sa1'!TIE835)*860)/10)+('Form Sa1'!TIE814*'Form Sa1'!TIE816/10)-'NF - 5 Power Mix'!TIB21-'NF - 5 Power Mix'!TIB22</f>
        <v>0</v>
      </c>
      <c r="TIC42" s="1046">
        <f>TIC38+((TIC40+'NF - 5 Power Mix'!TIC14+'NF - 5 Power Mix'!TIC15)*860/10)+((('Form Sa1'!TIF835)*860)/10)+('Form Sa1'!TIF814*'Form Sa1'!TIF816/10)-'NF - 5 Power Mix'!TIC21-'NF - 5 Power Mix'!TIC22</f>
        <v>0</v>
      </c>
      <c r="TID42" s="1046">
        <f>TID38+((TID40+'NF - 5 Power Mix'!TID14+'NF - 5 Power Mix'!TID15)*860/10)+((('Form Sa1'!TIG835)*860)/10)+('Form Sa1'!TIG814*'Form Sa1'!TIG816/10)-'NF - 5 Power Mix'!TID21-'NF - 5 Power Mix'!TID22</f>
        <v>0</v>
      </c>
      <c r="TIE42" s="1046">
        <f>TIE38+((TIE40+'NF - 5 Power Mix'!TIE14+'NF - 5 Power Mix'!TIE15)*860/10)+((('Form Sa1'!TIH835)*860)/10)+('Form Sa1'!TIH814*'Form Sa1'!TIH816/10)-'NF - 5 Power Mix'!TIE21-'NF - 5 Power Mix'!TIE22</f>
        <v>0</v>
      </c>
      <c r="TIF42" s="1046">
        <f>TIF38+((TIF40+'NF - 5 Power Mix'!TIF14+'NF - 5 Power Mix'!TIF15)*860/10)+((('Form Sa1'!TII835)*860)/10)+('Form Sa1'!TII814*'Form Sa1'!TII816/10)-'NF - 5 Power Mix'!TIF21-'NF - 5 Power Mix'!TIF22</f>
        <v>0</v>
      </c>
      <c r="TIG42" s="1046">
        <f>TIG38+((TIG40+'NF - 5 Power Mix'!TIG14+'NF - 5 Power Mix'!TIG15)*860/10)+((('Form Sa1'!TIJ835)*860)/10)+('Form Sa1'!TIJ814*'Form Sa1'!TIJ816/10)-'NF - 5 Power Mix'!TIG21-'NF - 5 Power Mix'!TIG22</f>
        <v>0</v>
      </c>
      <c r="TIH42" s="1046">
        <f>TIH38+((TIH40+'NF - 5 Power Mix'!TIH14+'NF - 5 Power Mix'!TIH15)*860/10)+((('Form Sa1'!TIK835)*860)/10)+('Form Sa1'!TIK814*'Form Sa1'!TIK816/10)-'NF - 5 Power Mix'!TIH21-'NF - 5 Power Mix'!TIH22</f>
        <v>0</v>
      </c>
      <c r="TII42" s="1046">
        <f>TII38+((TII40+'NF - 5 Power Mix'!TII14+'NF - 5 Power Mix'!TII15)*860/10)+((('Form Sa1'!TIL835)*860)/10)+('Form Sa1'!TIL814*'Form Sa1'!TIL816/10)-'NF - 5 Power Mix'!TII21-'NF - 5 Power Mix'!TII22</f>
        <v>0</v>
      </c>
      <c r="TIJ42" s="1046">
        <f>TIJ38+((TIJ40+'NF - 5 Power Mix'!TIJ14+'NF - 5 Power Mix'!TIJ15)*860/10)+((('Form Sa1'!TIM835)*860)/10)+('Form Sa1'!TIM814*'Form Sa1'!TIM816/10)-'NF - 5 Power Mix'!TIJ21-'NF - 5 Power Mix'!TIJ22</f>
        <v>0</v>
      </c>
      <c r="TIK42" s="1046">
        <f>TIK38+((TIK40+'NF - 5 Power Mix'!TIK14+'NF - 5 Power Mix'!TIK15)*860/10)+((('Form Sa1'!TIN835)*860)/10)+('Form Sa1'!TIN814*'Form Sa1'!TIN816/10)-'NF - 5 Power Mix'!TIK21-'NF - 5 Power Mix'!TIK22</f>
        <v>0</v>
      </c>
      <c r="TIL42" s="1046">
        <f>TIL38+((TIL40+'NF - 5 Power Mix'!TIL14+'NF - 5 Power Mix'!TIL15)*860/10)+((('Form Sa1'!TIO835)*860)/10)+('Form Sa1'!TIO814*'Form Sa1'!TIO816/10)-'NF - 5 Power Mix'!TIL21-'NF - 5 Power Mix'!TIL22</f>
        <v>0</v>
      </c>
      <c r="TIM42" s="1046">
        <f>TIM38+((TIM40+'NF - 5 Power Mix'!TIM14+'NF - 5 Power Mix'!TIM15)*860/10)+((('Form Sa1'!TIP835)*860)/10)+('Form Sa1'!TIP814*'Form Sa1'!TIP816/10)-'NF - 5 Power Mix'!TIM21-'NF - 5 Power Mix'!TIM22</f>
        <v>0</v>
      </c>
      <c r="TIN42" s="1046">
        <f>TIN38+((TIN40+'NF - 5 Power Mix'!TIN14+'NF - 5 Power Mix'!TIN15)*860/10)+((('Form Sa1'!TIQ835)*860)/10)+('Form Sa1'!TIQ814*'Form Sa1'!TIQ816/10)-'NF - 5 Power Mix'!TIN21-'NF - 5 Power Mix'!TIN22</f>
        <v>0</v>
      </c>
      <c r="TIO42" s="1046">
        <f>TIO38+((TIO40+'NF - 5 Power Mix'!TIO14+'NF - 5 Power Mix'!TIO15)*860/10)+((('Form Sa1'!TIR835)*860)/10)+('Form Sa1'!TIR814*'Form Sa1'!TIR816/10)-'NF - 5 Power Mix'!TIO21-'NF - 5 Power Mix'!TIO22</f>
        <v>0</v>
      </c>
      <c r="TIP42" s="1046">
        <f>TIP38+((TIP40+'NF - 5 Power Mix'!TIP14+'NF - 5 Power Mix'!TIP15)*860/10)+((('Form Sa1'!TIS835)*860)/10)+('Form Sa1'!TIS814*'Form Sa1'!TIS816/10)-'NF - 5 Power Mix'!TIP21-'NF - 5 Power Mix'!TIP22</f>
        <v>0</v>
      </c>
      <c r="TIQ42" s="1046">
        <f>TIQ38+((TIQ40+'NF - 5 Power Mix'!TIQ14+'NF - 5 Power Mix'!TIQ15)*860/10)+((('Form Sa1'!TIT835)*860)/10)+('Form Sa1'!TIT814*'Form Sa1'!TIT816/10)-'NF - 5 Power Mix'!TIQ21-'NF - 5 Power Mix'!TIQ22</f>
        <v>0</v>
      </c>
      <c r="TIR42" s="1046">
        <f>TIR38+((TIR40+'NF - 5 Power Mix'!TIR14+'NF - 5 Power Mix'!TIR15)*860/10)+((('Form Sa1'!TIU835)*860)/10)+('Form Sa1'!TIU814*'Form Sa1'!TIU816/10)-'NF - 5 Power Mix'!TIR21-'NF - 5 Power Mix'!TIR22</f>
        <v>0</v>
      </c>
      <c r="TIS42" s="1046">
        <f>TIS38+((TIS40+'NF - 5 Power Mix'!TIS14+'NF - 5 Power Mix'!TIS15)*860/10)+((('Form Sa1'!TIV835)*860)/10)+('Form Sa1'!TIV814*'Form Sa1'!TIV816/10)-'NF - 5 Power Mix'!TIS21-'NF - 5 Power Mix'!TIS22</f>
        <v>0</v>
      </c>
      <c r="TIT42" s="1046">
        <f>TIT38+((TIT40+'NF - 5 Power Mix'!TIT14+'NF - 5 Power Mix'!TIT15)*860/10)+((('Form Sa1'!TIW835)*860)/10)+('Form Sa1'!TIW814*'Form Sa1'!TIW816/10)-'NF - 5 Power Mix'!TIT21-'NF - 5 Power Mix'!TIT22</f>
        <v>0</v>
      </c>
      <c r="TIU42" s="1046">
        <f>TIU38+((TIU40+'NF - 5 Power Mix'!TIU14+'NF - 5 Power Mix'!TIU15)*860/10)+((('Form Sa1'!TIX835)*860)/10)+('Form Sa1'!TIX814*'Form Sa1'!TIX816/10)-'NF - 5 Power Mix'!TIU21-'NF - 5 Power Mix'!TIU22</f>
        <v>0</v>
      </c>
      <c r="TIV42" s="1046">
        <f>TIV38+((TIV40+'NF - 5 Power Mix'!TIV14+'NF - 5 Power Mix'!TIV15)*860/10)+((('Form Sa1'!TIY835)*860)/10)+('Form Sa1'!TIY814*'Form Sa1'!TIY816/10)-'NF - 5 Power Mix'!TIV21-'NF - 5 Power Mix'!TIV22</f>
        <v>0</v>
      </c>
      <c r="TIW42" s="1046">
        <f>TIW38+((TIW40+'NF - 5 Power Mix'!TIW14+'NF - 5 Power Mix'!TIW15)*860/10)+((('Form Sa1'!TIZ835)*860)/10)+('Form Sa1'!TIZ814*'Form Sa1'!TIZ816/10)-'NF - 5 Power Mix'!TIW21-'NF - 5 Power Mix'!TIW22</f>
        <v>0</v>
      </c>
      <c r="TIX42" s="1046">
        <f>TIX38+((TIX40+'NF - 5 Power Mix'!TIX14+'NF - 5 Power Mix'!TIX15)*860/10)+((('Form Sa1'!TJA835)*860)/10)+('Form Sa1'!TJA814*'Form Sa1'!TJA816/10)-'NF - 5 Power Mix'!TIX21-'NF - 5 Power Mix'!TIX22</f>
        <v>0</v>
      </c>
      <c r="TIY42" s="1046">
        <f>TIY38+((TIY40+'NF - 5 Power Mix'!TIY14+'NF - 5 Power Mix'!TIY15)*860/10)+((('Form Sa1'!TJB835)*860)/10)+('Form Sa1'!TJB814*'Form Sa1'!TJB816/10)-'NF - 5 Power Mix'!TIY21-'NF - 5 Power Mix'!TIY22</f>
        <v>0</v>
      </c>
      <c r="TIZ42" s="1046">
        <f>TIZ38+((TIZ40+'NF - 5 Power Mix'!TIZ14+'NF - 5 Power Mix'!TIZ15)*860/10)+((('Form Sa1'!TJC835)*860)/10)+('Form Sa1'!TJC814*'Form Sa1'!TJC816/10)-'NF - 5 Power Mix'!TIZ21-'NF - 5 Power Mix'!TIZ22</f>
        <v>0</v>
      </c>
      <c r="TJA42" s="1046">
        <f>TJA38+((TJA40+'NF - 5 Power Mix'!TJA14+'NF - 5 Power Mix'!TJA15)*860/10)+((('Form Sa1'!TJD835)*860)/10)+('Form Sa1'!TJD814*'Form Sa1'!TJD816/10)-'NF - 5 Power Mix'!TJA21-'NF - 5 Power Mix'!TJA22</f>
        <v>0</v>
      </c>
      <c r="TJB42" s="1046">
        <f>TJB38+((TJB40+'NF - 5 Power Mix'!TJB14+'NF - 5 Power Mix'!TJB15)*860/10)+((('Form Sa1'!TJE835)*860)/10)+('Form Sa1'!TJE814*'Form Sa1'!TJE816/10)-'NF - 5 Power Mix'!TJB21-'NF - 5 Power Mix'!TJB22</f>
        <v>0</v>
      </c>
      <c r="TJC42" s="1046">
        <f>TJC38+((TJC40+'NF - 5 Power Mix'!TJC14+'NF - 5 Power Mix'!TJC15)*860/10)+((('Form Sa1'!TJF835)*860)/10)+('Form Sa1'!TJF814*'Form Sa1'!TJF816/10)-'NF - 5 Power Mix'!TJC21-'NF - 5 Power Mix'!TJC22</f>
        <v>0</v>
      </c>
      <c r="TJD42" s="1046">
        <f>TJD38+((TJD40+'NF - 5 Power Mix'!TJD14+'NF - 5 Power Mix'!TJD15)*860/10)+((('Form Sa1'!TJG835)*860)/10)+('Form Sa1'!TJG814*'Form Sa1'!TJG816/10)-'NF - 5 Power Mix'!TJD21-'NF - 5 Power Mix'!TJD22</f>
        <v>0</v>
      </c>
      <c r="TJE42" s="1046">
        <f>TJE38+((TJE40+'NF - 5 Power Mix'!TJE14+'NF - 5 Power Mix'!TJE15)*860/10)+((('Form Sa1'!TJH835)*860)/10)+('Form Sa1'!TJH814*'Form Sa1'!TJH816/10)-'NF - 5 Power Mix'!TJE21-'NF - 5 Power Mix'!TJE22</f>
        <v>0</v>
      </c>
      <c r="TJF42" s="1046">
        <f>TJF38+((TJF40+'NF - 5 Power Mix'!TJF14+'NF - 5 Power Mix'!TJF15)*860/10)+((('Form Sa1'!TJI835)*860)/10)+('Form Sa1'!TJI814*'Form Sa1'!TJI816/10)-'NF - 5 Power Mix'!TJF21-'NF - 5 Power Mix'!TJF22</f>
        <v>0</v>
      </c>
      <c r="TJG42" s="1046">
        <f>TJG38+((TJG40+'NF - 5 Power Mix'!TJG14+'NF - 5 Power Mix'!TJG15)*860/10)+((('Form Sa1'!TJJ835)*860)/10)+('Form Sa1'!TJJ814*'Form Sa1'!TJJ816/10)-'NF - 5 Power Mix'!TJG21-'NF - 5 Power Mix'!TJG22</f>
        <v>0</v>
      </c>
      <c r="TJH42" s="1046">
        <f>TJH38+((TJH40+'NF - 5 Power Mix'!TJH14+'NF - 5 Power Mix'!TJH15)*860/10)+((('Form Sa1'!TJK835)*860)/10)+('Form Sa1'!TJK814*'Form Sa1'!TJK816/10)-'NF - 5 Power Mix'!TJH21-'NF - 5 Power Mix'!TJH22</f>
        <v>0</v>
      </c>
      <c r="TJI42" s="1046">
        <f>TJI38+((TJI40+'NF - 5 Power Mix'!TJI14+'NF - 5 Power Mix'!TJI15)*860/10)+((('Form Sa1'!TJL835)*860)/10)+('Form Sa1'!TJL814*'Form Sa1'!TJL816/10)-'NF - 5 Power Mix'!TJI21-'NF - 5 Power Mix'!TJI22</f>
        <v>0</v>
      </c>
      <c r="TJJ42" s="1046">
        <f>TJJ38+((TJJ40+'NF - 5 Power Mix'!TJJ14+'NF - 5 Power Mix'!TJJ15)*860/10)+((('Form Sa1'!TJM835)*860)/10)+('Form Sa1'!TJM814*'Form Sa1'!TJM816/10)-'NF - 5 Power Mix'!TJJ21-'NF - 5 Power Mix'!TJJ22</f>
        <v>0</v>
      </c>
      <c r="TJK42" s="1046">
        <f>TJK38+((TJK40+'NF - 5 Power Mix'!TJK14+'NF - 5 Power Mix'!TJK15)*860/10)+((('Form Sa1'!TJN835)*860)/10)+('Form Sa1'!TJN814*'Form Sa1'!TJN816/10)-'NF - 5 Power Mix'!TJK21-'NF - 5 Power Mix'!TJK22</f>
        <v>0</v>
      </c>
      <c r="TJL42" s="1046">
        <f>TJL38+((TJL40+'NF - 5 Power Mix'!TJL14+'NF - 5 Power Mix'!TJL15)*860/10)+((('Form Sa1'!TJO835)*860)/10)+('Form Sa1'!TJO814*'Form Sa1'!TJO816/10)-'NF - 5 Power Mix'!TJL21-'NF - 5 Power Mix'!TJL22</f>
        <v>0</v>
      </c>
      <c r="TJM42" s="1046">
        <f>TJM38+((TJM40+'NF - 5 Power Mix'!TJM14+'NF - 5 Power Mix'!TJM15)*860/10)+((('Form Sa1'!TJP835)*860)/10)+('Form Sa1'!TJP814*'Form Sa1'!TJP816/10)-'NF - 5 Power Mix'!TJM21-'NF - 5 Power Mix'!TJM22</f>
        <v>0</v>
      </c>
      <c r="TJN42" s="1046">
        <f>TJN38+((TJN40+'NF - 5 Power Mix'!TJN14+'NF - 5 Power Mix'!TJN15)*860/10)+((('Form Sa1'!TJQ835)*860)/10)+('Form Sa1'!TJQ814*'Form Sa1'!TJQ816/10)-'NF - 5 Power Mix'!TJN21-'NF - 5 Power Mix'!TJN22</f>
        <v>0</v>
      </c>
      <c r="TJO42" s="1046">
        <f>TJO38+((TJO40+'NF - 5 Power Mix'!TJO14+'NF - 5 Power Mix'!TJO15)*860/10)+((('Form Sa1'!TJR835)*860)/10)+('Form Sa1'!TJR814*'Form Sa1'!TJR816/10)-'NF - 5 Power Mix'!TJO21-'NF - 5 Power Mix'!TJO22</f>
        <v>0</v>
      </c>
      <c r="TJP42" s="1046">
        <f>TJP38+((TJP40+'NF - 5 Power Mix'!TJP14+'NF - 5 Power Mix'!TJP15)*860/10)+((('Form Sa1'!TJS835)*860)/10)+('Form Sa1'!TJS814*'Form Sa1'!TJS816/10)-'NF - 5 Power Mix'!TJP21-'NF - 5 Power Mix'!TJP22</f>
        <v>0</v>
      </c>
      <c r="TJQ42" s="1046">
        <f>TJQ38+((TJQ40+'NF - 5 Power Mix'!TJQ14+'NF - 5 Power Mix'!TJQ15)*860/10)+((('Form Sa1'!TJT835)*860)/10)+('Form Sa1'!TJT814*'Form Sa1'!TJT816/10)-'NF - 5 Power Mix'!TJQ21-'NF - 5 Power Mix'!TJQ22</f>
        <v>0</v>
      </c>
      <c r="TJR42" s="1046">
        <f>TJR38+((TJR40+'NF - 5 Power Mix'!TJR14+'NF - 5 Power Mix'!TJR15)*860/10)+((('Form Sa1'!TJU835)*860)/10)+('Form Sa1'!TJU814*'Form Sa1'!TJU816/10)-'NF - 5 Power Mix'!TJR21-'NF - 5 Power Mix'!TJR22</f>
        <v>0</v>
      </c>
      <c r="TJS42" s="1046">
        <f>TJS38+((TJS40+'NF - 5 Power Mix'!TJS14+'NF - 5 Power Mix'!TJS15)*860/10)+((('Form Sa1'!TJV835)*860)/10)+('Form Sa1'!TJV814*'Form Sa1'!TJV816/10)-'NF - 5 Power Mix'!TJS21-'NF - 5 Power Mix'!TJS22</f>
        <v>0</v>
      </c>
      <c r="TJT42" s="1046">
        <f>TJT38+((TJT40+'NF - 5 Power Mix'!TJT14+'NF - 5 Power Mix'!TJT15)*860/10)+((('Form Sa1'!TJW835)*860)/10)+('Form Sa1'!TJW814*'Form Sa1'!TJW816/10)-'NF - 5 Power Mix'!TJT21-'NF - 5 Power Mix'!TJT22</f>
        <v>0</v>
      </c>
      <c r="TJU42" s="1046">
        <f>TJU38+((TJU40+'NF - 5 Power Mix'!TJU14+'NF - 5 Power Mix'!TJU15)*860/10)+((('Form Sa1'!TJX835)*860)/10)+('Form Sa1'!TJX814*'Form Sa1'!TJX816/10)-'NF - 5 Power Mix'!TJU21-'NF - 5 Power Mix'!TJU22</f>
        <v>0</v>
      </c>
      <c r="TJV42" s="1046">
        <f>TJV38+((TJV40+'NF - 5 Power Mix'!TJV14+'NF - 5 Power Mix'!TJV15)*860/10)+((('Form Sa1'!TJY835)*860)/10)+('Form Sa1'!TJY814*'Form Sa1'!TJY816/10)-'NF - 5 Power Mix'!TJV21-'NF - 5 Power Mix'!TJV22</f>
        <v>0</v>
      </c>
      <c r="TJW42" s="1046">
        <f>TJW38+((TJW40+'NF - 5 Power Mix'!TJW14+'NF - 5 Power Mix'!TJW15)*860/10)+((('Form Sa1'!TJZ835)*860)/10)+('Form Sa1'!TJZ814*'Form Sa1'!TJZ816/10)-'NF - 5 Power Mix'!TJW21-'NF - 5 Power Mix'!TJW22</f>
        <v>0</v>
      </c>
      <c r="TJX42" s="1046">
        <f>TJX38+((TJX40+'NF - 5 Power Mix'!TJX14+'NF - 5 Power Mix'!TJX15)*860/10)+((('Form Sa1'!TKA835)*860)/10)+('Form Sa1'!TKA814*'Form Sa1'!TKA816/10)-'NF - 5 Power Mix'!TJX21-'NF - 5 Power Mix'!TJX22</f>
        <v>0</v>
      </c>
      <c r="TJY42" s="1046">
        <f>TJY38+((TJY40+'NF - 5 Power Mix'!TJY14+'NF - 5 Power Mix'!TJY15)*860/10)+((('Form Sa1'!TKB835)*860)/10)+('Form Sa1'!TKB814*'Form Sa1'!TKB816/10)-'NF - 5 Power Mix'!TJY21-'NF - 5 Power Mix'!TJY22</f>
        <v>0</v>
      </c>
      <c r="TJZ42" s="1046">
        <f>TJZ38+((TJZ40+'NF - 5 Power Mix'!TJZ14+'NF - 5 Power Mix'!TJZ15)*860/10)+((('Form Sa1'!TKC835)*860)/10)+('Form Sa1'!TKC814*'Form Sa1'!TKC816/10)-'NF - 5 Power Mix'!TJZ21-'NF - 5 Power Mix'!TJZ22</f>
        <v>0</v>
      </c>
      <c r="TKA42" s="1046">
        <f>TKA38+((TKA40+'NF - 5 Power Mix'!TKA14+'NF - 5 Power Mix'!TKA15)*860/10)+((('Form Sa1'!TKD835)*860)/10)+('Form Sa1'!TKD814*'Form Sa1'!TKD816/10)-'NF - 5 Power Mix'!TKA21-'NF - 5 Power Mix'!TKA22</f>
        <v>0</v>
      </c>
      <c r="TKB42" s="1046">
        <f>TKB38+((TKB40+'NF - 5 Power Mix'!TKB14+'NF - 5 Power Mix'!TKB15)*860/10)+((('Form Sa1'!TKE835)*860)/10)+('Form Sa1'!TKE814*'Form Sa1'!TKE816/10)-'NF - 5 Power Mix'!TKB21-'NF - 5 Power Mix'!TKB22</f>
        <v>0</v>
      </c>
      <c r="TKC42" s="1046">
        <f>TKC38+((TKC40+'NF - 5 Power Mix'!TKC14+'NF - 5 Power Mix'!TKC15)*860/10)+((('Form Sa1'!TKF835)*860)/10)+('Form Sa1'!TKF814*'Form Sa1'!TKF816/10)-'NF - 5 Power Mix'!TKC21-'NF - 5 Power Mix'!TKC22</f>
        <v>0</v>
      </c>
      <c r="TKD42" s="1046">
        <f>TKD38+((TKD40+'NF - 5 Power Mix'!TKD14+'NF - 5 Power Mix'!TKD15)*860/10)+((('Form Sa1'!TKG835)*860)/10)+('Form Sa1'!TKG814*'Form Sa1'!TKG816/10)-'NF - 5 Power Mix'!TKD21-'NF - 5 Power Mix'!TKD22</f>
        <v>0</v>
      </c>
      <c r="TKE42" s="1046">
        <f>TKE38+((TKE40+'NF - 5 Power Mix'!TKE14+'NF - 5 Power Mix'!TKE15)*860/10)+((('Form Sa1'!TKH835)*860)/10)+('Form Sa1'!TKH814*'Form Sa1'!TKH816/10)-'NF - 5 Power Mix'!TKE21-'NF - 5 Power Mix'!TKE22</f>
        <v>0</v>
      </c>
      <c r="TKF42" s="1046">
        <f>TKF38+((TKF40+'NF - 5 Power Mix'!TKF14+'NF - 5 Power Mix'!TKF15)*860/10)+((('Form Sa1'!TKI835)*860)/10)+('Form Sa1'!TKI814*'Form Sa1'!TKI816/10)-'NF - 5 Power Mix'!TKF21-'NF - 5 Power Mix'!TKF22</f>
        <v>0</v>
      </c>
      <c r="TKG42" s="1046">
        <f>TKG38+((TKG40+'NF - 5 Power Mix'!TKG14+'NF - 5 Power Mix'!TKG15)*860/10)+((('Form Sa1'!TKJ835)*860)/10)+('Form Sa1'!TKJ814*'Form Sa1'!TKJ816/10)-'NF - 5 Power Mix'!TKG21-'NF - 5 Power Mix'!TKG22</f>
        <v>0</v>
      </c>
      <c r="TKH42" s="1046">
        <f>TKH38+((TKH40+'NF - 5 Power Mix'!TKH14+'NF - 5 Power Mix'!TKH15)*860/10)+((('Form Sa1'!TKK835)*860)/10)+('Form Sa1'!TKK814*'Form Sa1'!TKK816/10)-'NF - 5 Power Mix'!TKH21-'NF - 5 Power Mix'!TKH22</f>
        <v>0</v>
      </c>
      <c r="TKI42" s="1046">
        <f>TKI38+((TKI40+'NF - 5 Power Mix'!TKI14+'NF - 5 Power Mix'!TKI15)*860/10)+((('Form Sa1'!TKL835)*860)/10)+('Form Sa1'!TKL814*'Form Sa1'!TKL816/10)-'NF - 5 Power Mix'!TKI21-'NF - 5 Power Mix'!TKI22</f>
        <v>0</v>
      </c>
      <c r="TKJ42" s="1046">
        <f>TKJ38+((TKJ40+'NF - 5 Power Mix'!TKJ14+'NF - 5 Power Mix'!TKJ15)*860/10)+((('Form Sa1'!TKM835)*860)/10)+('Form Sa1'!TKM814*'Form Sa1'!TKM816/10)-'NF - 5 Power Mix'!TKJ21-'NF - 5 Power Mix'!TKJ22</f>
        <v>0</v>
      </c>
      <c r="TKK42" s="1046">
        <f>TKK38+((TKK40+'NF - 5 Power Mix'!TKK14+'NF - 5 Power Mix'!TKK15)*860/10)+((('Form Sa1'!TKN835)*860)/10)+('Form Sa1'!TKN814*'Form Sa1'!TKN816/10)-'NF - 5 Power Mix'!TKK21-'NF - 5 Power Mix'!TKK22</f>
        <v>0</v>
      </c>
      <c r="TKL42" s="1046">
        <f>TKL38+((TKL40+'NF - 5 Power Mix'!TKL14+'NF - 5 Power Mix'!TKL15)*860/10)+((('Form Sa1'!TKO835)*860)/10)+('Form Sa1'!TKO814*'Form Sa1'!TKO816/10)-'NF - 5 Power Mix'!TKL21-'NF - 5 Power Mix'!TKL22</f>
        <v>0</v>
      </c>
      <c r="TKM42" s="1046">
        <f>TKM38+((TKM40+'NF - 5 Power Mix'!TKM14+'NF - 5 Power Mix'!TKM15)*860/10)+((('Form Sa1'!TKP835)*860)/10)+('Form Sa1'!TKP814*'Form Sa1'!TKP816/10)-'NF - 5 Power Mix'!TKM21-'NF - 5 Power Mix'!TKM22</f>
        <v>0</v>
      </c>
      <c r="TKN42" s="1046">
        <f>TKN38+((TKN40+'NF - 5 Power Mix'!TKN14+'NF - 5 Power Mix'!TKN15)*860/10)+((('Form Sa1'!TKQ835)*860)/10)+('Form Sa1'!TKQ814*'Form Sa1'!TKQ816/10)-'NF - 5 Power Mix'!TKN21-'NF - 5 Power Mix'!TKN22</f>
        <v>0</v>
      </c>
      <c r="TKO42" s="1046">
        <f>TKO38+((TKO40+'NF - 5 Power Mix'!TKO14+'NF - 5 Power Mix'!TKO15)*860/10)+((('Form Sa1'!TKR835)*860)/10)+('Form Sa1'!TKR814*'Form Sa1'!TKR816/10)-'NF - 5 Power Mix'!TKO21-'NF - 5 Power Mix'!TKO22</f>
        <v>0</v>
      </c>
      <c r="TKP42" s="1046">
        <f>TKP38+((TKP40+'NF - 5 Power Mix'!TKP14+'NF - 5 Power Mix'!TKP15)*860/10)+((('Form Sa1'!TKS835)*860)/10)+('Form Sa1'!TKS814*'Form Sa1'!TKS816/10)-'NF - 5 Power Mix'!TKP21-'NF - 5 Power Mix'!TKP22</f>
        <v>0</v>
      </c>
      <c r="TKQ42" s="1046">
        <f>TKQ38+((TKQ40+'NF - 5 Power Mix'!TKQ14+'NF - 5 Power Mix'!TKQ15)*860/10)+((('Form Sa1'!TKT835)*860)/10)+('Form Sa1'!TKT814*'Form Sa1'!TKT816/10)-'NF - 5 Power Mix'!TKQ21-'NF - 5 Power Mix'!TKQ22</f>
        <v>0</v>
      </c>
      <c r="TKR42" s="1046">
        <f>TKR38+((TKR40+'NF - 5 Power Mix'!TKR14+'NF - 5 Power Mix'!TKR15)*860/10)+((('Form Sa1'!TKU835)*860)/10)+('Form Sa1'!TKU814*'Form Sa1'!TKU816/10)-'NF - 5 Power Mix'!TKR21-'NF - 5 Power Mix'!TKR22</f>
        <v>0</v>
      </c>
      <c r="TKS42" s="1046">
        <f>TKS38+((TKS40+'NF - 5 Power Mix'!TKS14+'NF - 5 Power Mix'!TKS15)*860/10)+((('Form Sa1'!TKV835)*860)/10)+('Form Sa1'!TKV814*'Form Sa1'!TKV816/10)-'NF - 5 Power Mix'!TKS21-'NF - 5 Power Mix'!TKS22</f>
        <v>0</v>
      </c>
      <c r="TKT42" s="1046">
        <f>TKT38+((TKT40+'NF - 5 Power Mix'!TKT14+'NF - 5 Power Mix'!TKT15)*860/10)+((('Form Sa1'!TKW835)*860)/10)+('Form Sa1'!TKW814*'Form Sa1'!TKW816/10)-'NF - 5 Power Mix'!TKT21-'NF - 5 Power Mix'!TKT22</f>
        <v>0</v>
      </c>
      <c r="TKU42" s="1046">
        <f>TKU38+((TKU40+'NF - 5 Power Mix'!TKU14+'NF - 5 Power Mix'!TKU15)*860/10)+((('Form Sa1'!TKX835)*860)/10)+('Form Sa1'!TKX814*'Form Sa1'!TKX816/10)-'NF - 5 Power Mix'!TKU21-'NF - 5 Power Mix'!TKU22</f>
        <v>0</v>
      </c>
      <c r="TKV42" s="1046">
        <f>TKV38+((TKV40+'NF - 5 Power Mix'!TKV14+'NF - 5 Power Mix'!TKV15)*860/10)+((('Form Sa1'!TKY835)*860)/10)+('Form Sa1'!TKY814*'Form Sa1'!TKY816/10)-'NF - 5 Power Mix'!TKV21-'NF - 5 Power Mix'!TKV22</f>
        <v>0</v>
      </c>
      <c r="TKW42" s="1046">
        <f>TKW38+((TKW40+'NF - 5 Power Mix'!TKW14+'NF - 5 Power Mix'!TKW15)*860/10)+((('Form Sa1'!TKZ835)*860)/10)+('Form Sa1'!TKZ814*'Form Sa1'!TKZ816/10)-'NF - 5 Power Mix'!TKW21-'NF - 5 Power Mix'!TKW22</f>
        <v>0</v>
      </c>
      <c r="TKX42" s="1046">
        <f>TKX38+((TKX40+'NF - 5 Power Mix'!TKX14+'NF - 5 Power Mix'!TKX15)*860/10)+((('Form Sa1'!TLA835)*860)/10)+('Form Sa1'!TLA814*'Form Sa1'!TLA816/10)-'NF - 5 Power Mix'!TKX21-'NF - 5 Power Mix'!TKX22</f>
        <v>0</v>
      </c>
      <c r="TKY42" s="1046">
        <f>TKY38+((TKY40+'NF - 5 Power Mix'!TKY14+'NF - 5 Power Mix'!TKY15)*860/10)+((('Form Sa1'!TLB835)*860)/10)+('Form Sa1'!TLB814*'Form Sa1'!TLB816/10)-'NF - 5 Power Mix'!TKY21-'NF - 5 Power Mix'!TKY22</f>
        <v>0</v>
      </c>
      <c r="TKZ42" s="1046">
        <f>TKZ38+((TKZ40+'NF - 5 Power Mix'!TKZ14+'NF - 5 Power Mix'!TKZ15)*860/10)+((('Form Sa1'!TLC835)*860)/10)+('Form Sa1'!TLC814*'Form Sa1'!TLC816/10)-'NF - 5 Power Mix'!TKZ21-'NF - 5 Power Mix'!TKZ22</f>
        <v>0</v>
      </c>
      <c r="TLA42" s="1046">
        <f>TLA38+((TLA40+'NF - 5 Power Mix'!TLA14+'NF - 5 Power Mix'!TLA15)*860/10)+((('Form Sa1'!TLD835)*860)/10)+('Form Sa1'!TLD814*'Form Sa1'!TLD816/10)-'NF - 5 Power Mix'!TLA21-'NF - 5 Power Mix'!TLA22</f>
        <v>0</v>
      </c>
      <c r="TLB42" s="1046">
        <f>TLB38+((TLB40+'NF - 5 Power Mix'!TLB14+'NF - 5 Power Mix'!TLB15)*860/10)+((('Form Sa1'!TLE835)*860)/10)+('Form Sa1'!TLE814*'Form Sa1'!TLE816/10)-'NF - 5 Power Mix'!TLB21-'NF - 5 Power Mix'!TLB22</f>
        <v>0</v>
      </c>
      <c r="TLC42" s="1046">
        <f>TLC38+((TLC40+'NF - 5 Power Mix'!TLC14+'NF - 5 Power Mix'!TLC15)*860/10)+((('Form Sa1'!TLF835)*860)/10)+('Form Sa1'!TLF814*'Form Sa1'!TLF816/10)-'NF - 5 Power Mix'!TLC21-'NF - 5 Power Mix'!TLC22</f>
        <v>0</v>
      </c>
      <c r="TLD42" s="1046">
        <f>TLD38+((TLD40+'NF - 5 Power Mix'!TLD14+'NF - 5 Power Mix'!TLD15)*860/10)+((('Form Sa1'!TLG835)*860)/10)+('Form Sa1'!TLG814*'Form Sa1'!TLG816/10)-'NF - 5 Power Mix'!TLD21-'NF - 5 Power Mix'!TLD22</f>
        <v>0</v>
      </c>
      <c r="TLE42" s="1046">
        <f>TLE38+((TLE40+'NF - 5 Power Mix'!TLE14+'NF - 5 Power Mix'!TLE15)*860/10)+((('Form Sa1'!TLH835)*860)/10)+('Form Sa1'!TLH814*'Form Sa1'!TLH816/10)-'NF - 5 Power Mix'!TLE21-'NF - 5 Power Mix'!TLE22</f>
        <v>0</v>
      </c>
      <c r="TLF42" s="1046">
        <f>TLF38+((TLF40+'NF - 5 Power Mix'!TLF14+'NF - 5 Power Mix'!TLF15)*860/10)+((('Form Sa1'!TLI835)*860)/10)+('Form Sa1'!TLI814*'Form Sa1'!TLI816/10)-'NF - 5 Power Mix'!TLF21-'NF - 5 Power Mix'!TLF22</f>
        <v>0</v>
      </c>
      <c r="TLG42" s="1046">
        <f>TLG38+((TLG40+'NF - 5 Power Mix'!TLG14+'NF - 5 Power Mix'!TLG15)*860/10)+((('Form Sa1'!TLJ835)*860)/10)+('Form Sa1'!TLJ814*'Form Sa1'!TLJ816/10)-'NF - 5 Power Mix'!TLG21-'NF - 5 Power Mix'!TLG22</f>
        <v>0</v>
      </c>
      <c r="TLH42" s="1046">
        <f>TLH38+((TLH40+'NF - 5 Power Mix'!TLH14+'NF - 5 Power Mix'!TLH15)*860/10)+((('Form Sa1'!TLK835)*860)/10)+('Form Sa1'!TLK814*'Form Sa1'!TLK816/10)-'NF - 5 Power Mix'!TLH21-'NF - 5 Power Mix'!TLH22</f>
        <v>0</v>
      </c>
      <c r="TLI42" s="1046">
        <f>TLI38+((TLI40+'NF - 5 Power Mix'!TLI14+'NF - 5 Power Mix'!TLI15)*860/10)+((('Form Sa1'!TLL835)*860)/10)+('Form Sa1'!TLL814*'Form Sa1'!TLL816/10)-'NF - 5 Power Mix'!TLI21-'NF - 5 Power Mix'!TLI22</f>
        <v>0</v>
      </c>
      <c r="TLJ42" s="1046">
        <f>TLJ38+((TLJ40+'NF - 5 Power Mix'!TLJ14+'NF - 5 Power Mix'!TLJ15)*860/10)+((('Form Sa1'!TLM835)*860)/10)+('Form Sa1'!TLM814*'Form Sa1'!TLM816/10)-'NF - 5 Power Mix'!TLJ21-'NF - 5 Power Mix'!TLJ22</f>
        <v>0</v>
      </c>
      <c r="TLK42" s="1046">
        <f>TLK38+((TLK40+'NF - 5 Power Mix'!TLK14+'NF - 5 Power Mix'!TLK15)*860/10)+((('Form Sa1'!TLN835)*860)/10)+('Form Sa1'!TLN814*'Form Sa1'!TLN816/10)-'NF - 5 Power Mix'!TLK21-'NF - 5 Power Mix'!TLK22</f>
        <v>0</v>
      </c>
      <c r="TLL42" s="1046">
        <f>TLL38+((TLL40+'NF - 5 Power Mix'!TLL14+'NF - 5 Power Mix'!TLL15)*860/10)+((('Form Sa1'!TLO835)*860)/10)+('Form Sa1'!TLO814*'Form Sa1'!TLO816/10)-'NF - 5 Power Mix'!TLL21-'NF - 5 Power Mix'!TLL22</f>
        <v>0</v>
      </c>
      <c r="TLM42" s="1046">
        <f>TLM38+((TLM40+'NF - 5 Power Mix'!TLM14+'NF - 5 Power Mix'!TLM15)*860/10)+((('Form Sa1'!TLP835)*860)/10)+('Form Sa1'!TLP814*'Form Sa1'!TLP816/10)-'NF - 5 Power Mix'!TLM21-'NF - 5 Power Mix'!TLM22</f>
        <v>0</v>
      </c>
      <c r="TLN42" s="1046">
        <f>TLN38+((TLN40+'NF - 5 Power Mix'!TLN14+'NF - 5 Power Mix'!TLN15)*860/10)+((('Form Sa1'!TLQ835)*860)/10)+('Form Sa1'!TLQ814*'Form Sa1'!TLQ816/10)-'NF - 5 Power Mix'!TLN21-'NF - 5 Power Mix'!TLN22</f>
        <v>0</v>
      </c>
      <c r="TLO42" s="1046">
        <f>TLO38+((TLO40+'NF - 5 Power Mix'!TLO14+'NF - 5 Power Mix'!TLO15)*860/10)+((('Form Sa1'!TLR835)*860)/10)+('Form Sa1'!TLR814*'Form Sa1'!TLR816/10)-'NF - 5 Power Mix'!TLO21-'NF - 5 Power Mix'!TLO22</f>
        <v>0</v>
      </c>
      <c r="TLP42" s="1046">
        <f>TLP38+((TLP40+'NF - 5 Power Mix'!TLP14+'NF - 5 Power Mix'!TLP15)*860/10)+((('Form Sa1'!TLS835)*860)/10)+('Form Sa1'!TLS814*'Form Sa1'!TLS816/10)-'NF - 5 Power Mix'!TLP21-'NF - 5 Power Mix'!TLP22</f>
        <v>0</v>
      </c>
      <c r="TLQ42" s="1046">
        <f>TLQ38+((TLQ40+'NF - 5 Power Mix'!TLQ14+'NF - 5 Power Mix'!TLQ15)*860/10)+((('Form Sa1'!TLT835)*860)/10)+('Form Sa1'!TLT814*'Form Sa1'!TLT816/10)-'NF - 5 Power Mix'!TLQ21-'NF - 5 Power Mix'!TLQ22</f>
        <v>0</v>
      </c>
      <c r="TLR42" s="1046">
        <f>TLR38+((TLR40+'NF - 5 Power Mix'!TLR14+'NF - 5 Power Mix'!TLR15)*860/10)+((('Form Sa1'!TLU835)*860)/10)+('Form Sa1'!TLU814*'Form Sa1'!TLU816/10)-'NF - 5 Power Mix'!TLR21-'NF - 5 Power Mix'!TLR22</f>
        <v>0</v>
      </c>
      <c r="TLS42" s="1046">
        <f>TLS38+((TLS40+'NF - 5 Power Mix'!TLS14+'NF - 5 Power Mix'!TLS15)*860/10)+((('Form Sa1'!TLV835)*860)/10)+('Form Sa1'!TLV814*'Form Sa1'!TLV816/10)-'NF - 5 Power Mix'!TLS21-'NF - 5 Power Mix'!TLS22</f>
        <v>0</v>
      </c>
      <c r="TLT42" s="1046">
        <f>TLT38+((TLT40+'NF - 5 Power Mix'!TLT14+'NF - 5 Power Mix'!TLT15)*860/10)+((('Form Sa1'!TLW835)*860)/10)+('Form Sa1'!TLW814*'Form Sa1'!TLW816/10)-'NF - 5 Power Mix'!TLT21-'NF - 5 Power Mix'!TLT22</f>
        <v>0</v>
      </c>
      <c r="TLU42" s="1046">
        <f>TLU38+((TLU40+'NF - 5 Power Mix'!TLU14+'NF - 5 Power Mix'!TLU15)*860/10)+((('Form Sa1'!TLX835)*860)/10)+('Form Sa1'!TLX814*'Form Sa1'!TLX816/10)-'NF - 5 Power Mix'!TLU21-'NF - 5 Power Mix'!TLU22</f>
        <v>0</v>
      </c>
      <c r="TLV42" s="1046">
        <f>TLV38+((TLV40+'NF - 5 Power Mix'!TLV14+'NF - 5 Power Mix'!TLV15)*860/10)+((('Form Sa1'!TLY835)*860)/10)+('Form Sa1'!TLY814*'Form Sa1'!TLY816/10)-'NF - 5 Power Mix'!TLV21-'NF - 5 Power Mix'!TLV22</f>
        <v>0</v>
      </c>
      <c r="TLW42" s="1046">
        <f>TLW38+((TLW40+'NF - 5 Power Mix'!TLW14+'NF - 5 Power Mix'!TLW15)*860/10)+((('Form Sa1'!TLZ835)*860)/10)+('Form Sa1'!TLZ814*'Form Sa1'!TLZ816/10)-'NF - 5 Power Mix'!TLW21-'NF - 5 Power Mix'!TLW22</f>
        <v>0</v>
      </c>
      <c r="TLX42" s="1046">
        <f>TLX38+((TLX40+'NF - 5 Power Mix'!TLX14+'NF - 5 Power Mix'!TLX15)*860/10)+((('Form Sa1'!TMA835)*860)/10)+('Form Sa1'!TMA814*'Form Sa1'!TMA816/10)-'NF - 5 Power Mix'!TLX21-'NF - 5 Power Mix'!TLX22</f>
        <v>0</v>
      </c>
      <c r="TLY42" s="1046">
        <f>TLY38+((TLY40+'NF - 5 Power Mix'!TLY14+'NF - 5 Power Mix'!TLY15)*860/10)+((('Form Sa1'!TMB835)*860)/10)+('Form Sa1'!TMB814*'Form Sa1'!TMB816/10)-'NF - 5 Power Mix'!TLY21-'NF - 5 Power Mix'!TLY22</f>
        <v>0</v>
      </c>
      <c r="TLZ42" s="1046">
        <f>TLZ38+((TLZ40+'NF - 5 Power Mix'!TLZ14+'NF - 5 Power Mix'!TLZ15)*860/10)+((('Form Sa1'!TMC835)*860)/10)+('Form Sa1'!TMC814*'Form Sa1'!TMC816/10)-'NF - 5 Power Mix'!TLZ21-'NF - 5 Power Mix'!TLZ22</f>
        <v>0</v>
      </c>
      <c r="TMA42" s="1046">
        <f>TMA38+((TMA40+'NF - 5 Power Mix'!TMA14+'NF - 5 Power Mix'!TMA15)*860/10)+((('Form Sa1'!TMD835)*860)/10)+('Form Sa1'!TMD814*'Form Sa1'!TMD816/10)-'NF - 5 Power Mix'!TMA21-'NF - 5 Power Mix'!TMA22</f>
        <v>0</v>
      </c>
      <c r="TMB42" s="1046">
        <f>TMB38+((TMB40+'NF - 5 Power Mix'!TMB14+'NF - 5 Power Mix'!TMB15)*860/10)+((('Form Sa1'!TME835)*860)/10)+('Form Sa1'!TME814*'Form Sa1'!TME816/10)-'NF - 5 Power Mix'!TMB21-'NF - 5 Power Mix'!TMB22</f>
        <v>0</v>
      </c>
      <c r="TMC42" s="1046">
        <f>TMC38+((TMC40+'NF - 5 Power Mix'!TMC14+'NF - 5 Power Mix'!TMC15)*860/10)+((('Form Sa1'!TMF835)*860)/10)+('Form Sa1'!TMF814*'Form Sa1'!TMF816/10)-'NF - 5 Power Mix'!TMC21-'NF - 5 Power Mix'!TMC22</f>
        <v>0</v>
      </c>
      <c r="TMD42" s="1046">
        <f>TMD38+((TMD40+'NF - 5 Power Mix'!TMD14+'NF - 5 Power Mix'!TMD15)*860/10)+((('Form Sa1'!TMG835)*860)/10)+('Form Sa1'!TMG814*'Form Sa1'!TMG816/10)-'NF - 5 Power Mix'!TMD21-'NF - 5 Power Mix'!TMD22</f>
        <v>0</v>
      </c>
      <c r="TME42" s="1046">
        <f>TME38+((TME40+'NF - 5 Power Mix'!TME14+'NF - 5 Power Mix'!TME15)*860/10)+((('Form Sa1'!TMH835)*860)/10)+('Form Sa1'!TMH814*'Form Sa1'!TMH816/10)-'NF - 5 Power Mix'!TME21-'NF - 5 Power Mix'!TME22</f>
        <v>0</v>
      </c>
      <c r="TMF42" s="1046">
        <f>TMF38+((TMF40+'NF - 5 Power Mix'!TMF14+'NF - 5 Power Mix'!TMF15)*860/10)+((('Form Sa1'!TMI835)*860)/10)+('Form Sa1'!TMI814*'Form Sa1'!TMI816/10)-'NF - 5 Power Mix'!TMF21-'NF - 5 Power Mix'!TMF22</f>
        <v>0</v>
      </c>
      <c r="TMG42" s="1046">
        <f>TMG38+((TMG40+'NF - 5 Power Mix'!TMG14+'NF - 5 Power Mix'!TMG15)*860/10)+((('Form Sa1'!TMJ835)*860)/10)+('Form Sa1'!TMJ814*'Form Sa1'!TMJ816/10)-'NF - 5 Power Mix'!TMG21-'NF - 5 Power Mix'!TMG22</f>
        <v>0</v>
      </c>
      <c r="TMH42" s="1046">
        <f>TMH38+((TMH40+'NF - 5 Power Mix'!TMH14+'NF - 5 Power Mix'!TMH15)*860/10)+((('Form Sa1'!TMK835)*860)/10)+('Form Sa1'!TMK814*'Form Sa1'!TMK816/10)-'NF - 5 Power Mix'!TMH21-'NF - 5 Power Mix'!TMH22</f>
        <v>0</v>
      </c>
      <c r="TMI42" s="1046">
        <f>TMI38+((TMI40+'NF - 5 Power Mix'!TMI14+'NF - 5 Power Mix'!TMI15)*860/10)+((('Form Sa1'!TML835)*860)/10)+('Form Sa1'!TML814*'Form Sa1'!TML816/10)-'NF - 5 Power Mix'!TMI21-'NF - 5 Power Mix'!TMI22</f>
        <v>0</v>
      </c>
      <c r="TMJ42" s="1046">
        <f>TMJ38+((TMJ40+'NF - 5 Power Mix'!TMJ14+'NF - 5 Power Mix'!TMJ15)*860/10)+((('Form Sa1'!TMM835)*860)/10)+('Form Sa1'!TMM814*'Form Sa1'!TMM816/10)-'NF - 5 Power Mix'!TMJ21-'NF - 5 Power Mix'!TMJ22</f>
        <v>0</v>
      </c>
      <c r="TMK42" s="1046">
        <f>TMK38+((TMK40+'NF - 5 Power Mix'!TMK14+'NF - 5 Power Mix'!TMK15)*860/10)+((('Form Sa1'!TMN835)*860)/10)+('Form Sa1'!TMN814*'Form Sa1'!TMN816/10)-'NF - 5 Power Mix'!TMK21-'NF - 5 Power Mix'!TMK22</f>
        <v>0</v>
      </c>
      <c r="TML42" s="1046">
        <f>TML38+((TML40+'NF - 5 Power Mix'!TML14+'NF - 5 Power Mix'!TML15)*860/10)+((('Form Sa1'!TMO835)*860)/10)+('Form Sa1'!TMO814*'Form Sa1'!TMO816/10)-'NF - 5 Power Mix'!TML21-'NF - 5 Power Mix'!TML22</f>
        <v>0</v>
      </c>
      <c r="TMM42" s="1046">
        <f>TMM38+((TMM40+'NF - 5 Power Mix'!TMM14+'NF - 5 Power Mix'!TMM15)*860/10)+((('Form Sa1'!TMP835)*860)/10)+('Form Sa1'!TMP814*'Form Sa1'!TMP816/10)-'NF - 5 Power Mix'!TMM21-'NF - 5 Power Mix'!TMM22</f>
        <v>0</v>
      </c>
      <c r="TMN42" s="1046">
        <f>TMN38+((TMN40+'NF - 5 Power Mix'!TMN14+'NF - 5 Power Mix'!TMN15)*860/10)+((('Form Sa1'!TMQ835)*860)/10)+('Form Sa1'!TMQ814*'Form Sa1'!TMQ816/10)-'NF - 5 Power Mix'!TMN21-'NF - 5 Power Mix'!TMN22</f>
        <v>0</v>
      </c>
      <c r="TMO42" s="1046">
        <f>TMO38+((TMO40+'NF - 5 Power Mix'!TMO14+'NF - 5 Power Mix'!TMO15)*860/10)+((('Form Sa1'!TMR835)*860)/10)+('Form Sa1'!TMR814*'Form Sa1'!TMR816/10)-'NF - 5 Power Mix'!TMO21-'NF - 5 Power Mix'!TMO22</f>
        <v>0</v>
      </c>
      <c r="TMP42" s="1046">
        <f>TMP38+((TMP40+'NF - 5 Power Mix'!TMP14+'NF - 5 Power Mix'!TMP15)*860/10)+((('Form Sa1'!TMS835)*860)/10)+('Form Sa1'!TMS814*'Form Sa1'!TMS816/10)-'NF - 5 Power Mix'!TMP21-'NF - 5 Power Mix'!TMP22</f>
        <v>0</v>
      </c>
      <c r="TMQ42" s="1046">
        <f>TMQ38+((TMQ40+'NF - 5 Power Mix'!TMQ14+'NF - 5 Power Mix'!TMQ15)*860/10)+((('Form Sa1'!TMT835)*860)/10)+('Form Sa1'!TMT814*'Form Sa1'!TMT816/10)-'NF - 5 Power Mix'!TMQ21-'NF - 5 Power Mix'!TMQ22</f>
        <v>0</v>
      </c>
      <c r="TMR42" s="1046">
        <f>TMR38+((TMR40+'NF - 5 Power Mix'!TMR14+'NF - 5 Power Mix'!TMR15)*860/10)+((('Form Sa1'!TMU835)*860)/10)+('Form Sa1'!TMU814*'Form Sa1'!TMU816/10)-'NF - 5 Power Mix'!TMR21-'NF - 5 Power Mix'!TMR22</f>
        <v>0</v>
      </c>
      <c r="TMS42" s="1046">
        <f>TMS38+((TMS40+'NF - 5 Power Mix'!TMS14+'NF - 5 Power Mix'!TMS15)*860/10)+((('Form Sa1'!TMV835)*860)/10)+('Form Sa1'!TMV814*'Form Sa1'!TMV816/10)-'NF - 5 Power Mix'!TMS21-'NF - 5 Power Mix'!TMS22</f>
        <v>0</v>
      </c>
      <c r="TMT42" s="1046">
        <f>TMT38+((TMT40+'NF - 5 Power Mix'!TMT14+'NF - 5 Power Mix'!TMT15)*860/10)+((('Form Sa1'!TMW835)*860)/10)+('Form Sa1'!TMW814*'Form Sa1'!TMW816/10)-'NF - 5 Power Mix'!TMT21-'NF - 5 Power Mix'!TMT22</f>
        <v>0</v>
      </c>
      <c r="TMU42" s="1046">
        <f>TMU38+((TMU40+'NF - 5 Power Mix'!TMU14+'NF - 5 Power Mix'!TMU15)*860/10)+((('Form Sa1'!TMX835)*860)/10)+('Form Sa1'!TMX814*'Form Sa1'!TMX816/10)-'NF - 5 Power Mix'!TMU21-'NF - 5 Power Mix'!TMU22</f>
        <v>0</v>
      </c>
      <c r="TMV42" s="1046">
        <f>TMV38+((TMV40+'NF - 5 Power Mix'!TMV14+'NF - 5 Power Mix'!TMV15)*860/10)+((('Form Sa1'!TMY835)*860)/10)+('Form Sa1'!TMY814*'Form Sa1'!TMY816/10)-'NF - 5 Power Mix'!TMV21-'NF - 5 Power Mix'!TMV22</f>
        <v>0</v>
      </c>
      <c r="TMW42" s="1046">
        <f>TMW38+((TMW40+'NF - 5 Power Mix'!TMW14+'NF - 5 Power Mix'!TMW15)*860/10)+((('Form Sa1'!TMZ835)*860)/10)+('Form Sa1'!TMZ814*'Form Sa1'!TMZ816/10)-'NF - 5 Power Mix'!TMW21-'NF - 5 Power Mix'!TMW22</f>
        <v>0</v>
      </c>
      <c r="TMX42" s="1046">
        <f>TMX38+((TMX40+'NF - 5 Power Mix'!TMX14+'NF - 5 Power Mix'!TMX15)*860/10)+((('Form Sa1'!TNA835)*860)/10)+('Form Sa1'!TNA814*'Form Sa1'!TNA816/10)-'NF - 5 Power Mix'!TMX21-'NF - 5 Power Mix'!TMX22</f>
        <v>0</v>
      </c>
      <c r="TMY42" s="1046">
        <f>TMY38+((TMY40+'NF - 5 Power Mix'!TMY14+'NF - 5 Power Mix'!TMY15)*860/10)+((('Form Sa1'!TNB835)*860)/10)+('Form Sa1'!TNB814*'Form Sa1'!TNB816/10)-'NF - 5 Power Mix'!TMY21-'NF - 5 Power Mix'!TMY22</f>
        <v>0</v>
      </c>
      <c r="TMZ42" s="1046">
        <f>TMZ38+((TMZ40+'NF - 5 Power Mix'!TMZ14+'NF - 5 Power Mix'!TMZ15)*860/10)+((('Form Sa1'!TNC835)*860)/10)+('Form Sa1'!TNC814*'Form Sa1'!TNC816/10)-'NF - 5 Power Mix'!TMZ21-'NF - 5 Power Mix'!TMZ22</f>
        <v>0</v>
      </c>
      <c r="TNA42" s="1046">
        <f>TNA38+((TNA40+'NF - 5 Power Mix'!TNA14+'NF - 5 Power Mix'!TNA15)*860/10)+((('Form Sa1'!TND835)*860)/10)+('Form Sa1'!TND814*'Form Sa1'!TND816/10)-'NF - 5 Power Mix'!TNA21-'NF - 5 Power Mix'!TNA22</f>
        <v>0</v>
      </c>
      <c r="TNB42" s="1046">
        <f>TNB38+((TNB40+'NF - 5 Power Mix'!TNB14+'NF - 5 Power Mix'!TNB15)*860/10)+((('Form Sa1'!TNE835)*860)/10)+('Form Sa1'!TNE814*'Form Sa1'!TNE816/10)-'NF - 5 Power Mix'!TNB21-'NF - 5 Power Mix'!TNB22</f>
        <v>0</v>
      </c>
      <c r="TNC42" s="1046">
        <f>TNC38+((TNC40+'NF - 5 Power Mix'!TNC14+'NF - 5 Power Mix'!TNC15)*860/10)+((('Form Sa1'!TNF835)*860)/10)+('Form Sa1'!TNF814*'Form Sa1'!TNF816/10)-'NF - 5 Power Mix'!TNC21-'NF - 5 Power Mix'!TNC22</f>
        <v>0</v>
      </c>
      <c r="TND42" s="1046">
        <f>TND38+((TND40+'NF - 5 Power Mix'!TND14+'NF - 5 Power Mix'!TND15)*860/10)+((('Form Sa1'!TNG835)*860)/10)+('Form Sa1'!TNG814*'Form Sa1'!TNG816/10)-'NF - 5 Power Mix'!TND21-'NF - 5 Power Mix'!TND22</f>
        <v>0</v>
      </c>
      <c r="TNE42" s="1046">
        <f>TNE38+((TNE40+'NF - 5 Power Mix'!TNE14+'NF - 5 Power Mix'!TNE15)*860/10)+((('Form Sa1'!TNH835)*860)/10)+('Form Sa1'!TNH814*'Form Sa1'!TNH816/10)-'NF - 5 Power Mix'!TNE21-'NF - 5 Power Mix'!TNE22</f>
        <v>0</v>
      </c>
      <c r="TNF42" s="1046">
        <f>TNF38+((TNF40+'NF - 5 Power Mix'!TNF14+'NF - 5 Power Mix'!TNF15)*860/10)+((('Form Sa1'!TNI835)*860)/10)+('Form Sa1'!TNI814*'Form Sa1'!TNI816/10)-'NF - 5 Power Mix'!TNF21-'NF - 5 Power Mix'!TNF22</f>
        <v>0</v>
      </c>
      <c r="TNG42" s="1046">
        <f>TNG38+((TNG40+'NF - 5 Power Mix'!TNG14+'NF - 5 Power Mix'!TNG15)*860/10)+((('Form Sa1'!TNJ835)*860)/10)+('Form Sa1'!TNJ814*'Form Sa1'!TNJ816/10)-'NF - 5 Power Mix'!TNG21-'NF - 5 Power Mix'!TNG22</f>
        <v>0</v>
      </c>
      <c r="TNH42" s="1046">
        <f>TNH38+((TNH40+'NF - 5 Power Mix'!TNH14+'NF - 5 Power Mix'!TNH15)*860/10)+((('Form Sa1'!TNK835)*860)/10)+('Form Sa1'!TNK814*'Form Sa1'!TNK816/10)-'NF - 5 Power Mix'!TNH21-'NF - 5 Power Mix'!TNH22</f>
        <v>0</v>
      </c>
      <c r="TNI42" s="1046">
        <f>TNI38+((TNI40+'NF - 5 Power Mix'!TNI14+'NF - 5 Power Mix'!TNI15)*860/10)+((('Form Sa1'!TNL835)*860)/10)+('Form Sa1'!TNL814*'Form Sa1'!TNL816/10)-'NF - 5 Power Mix'!TNI21-'NF - 5 Power Mix'!TNI22</f>
        <v>0</v>
      </c>
      <c r="TNJ42" s="1046">
        <f>TNJ38+((TNJ40+'NF - 5 Power Mix'!TNJ14+'NF - 5 Power Mix'!TNJ15)*860/10)+((('Form Sa1'!TNM835)*860)/10)+('Form Sa1'!TNM814*'Form Sa1'!TNM816/10)-'NF - 5 Power Mix'!TNJ21-'NF - 5 Power Mix'!TNJ22</f>
        <v>0</v>
      </c>
      <c r="TNK42" s="1046">
        <f>TNK38+((TNK40+'NF - 5 Power Mix'!TNK14+'NF - 5 Power Mix'!TNK15)*860/10)+((('Form Sa1'!TNN835)*860)/10)+('Form Sa1'!TNN814*'Form Sa1'!TNN816/10)-'NF - 5 Power Mix'!TNK21-'NF - 5 Power Mix'!TNK22</f>
        <v>0</v>
      </c>
      <c r="TNL42" s="1046">
        <f>TNL38+((TNL40+'NF - 5 Power Mix'!TNL14+'NF - 5 Power Mix'!TNL15)*860/10)+((('Form Sa1'!TNO835)*860)/10)+('Form Sa1'!TNO814*'Form Sa1'!TNO816/10)-'NF - 5 Power Mix'!TNL21-'NF - 5 Power Mix'!TNL22</f>
        <v>0</v>
      </c>
      <c r="TNM42" s="1046">
        <f>TNM38+((TNM40+'NF - 5 Power Mix'!TNM14+'NF - 5 Power Mix'!TNM15)*860/10)+((('Form Sa1'!TNP835)*860)/10)+('Form Sa1'!TNP814*'Form Sa1'!TNP816/10)-'NF - 5 Power Mix'!TNM21-'NF - 5 Power Mix'!TNM22</f>
        <v>0</v>
      </c>
      <c r="TNN42" s="1046">
        <f>TNN38+((TNN40+'NF - 5 Power Mix'!TNN14+'NF - 5 Power Mix'!TNN15)*860/10)+((('Form Sa1'!TNQ835)*860)/10)+('Form Sa1'!TNQ814*'Form Sa1'!TNQ816/10)-'NF - 5 Power Mix'!TNN21-'NF - 5 Power Mix'!TNN22</f>
        <v>0</v>
      </c>
      <c r="TNO42" s="1046">
        <f>TNO38+((TNO40+'NF - 5 Power Mix'!TNO14+'NF - 5 Power Mix'!TNO15)*860/10)+((('Form Sa1'!TNR835)*860)/10)+('Form Sa1'!TNR814*'Form Sa1'!TNR816/10)-'NF - 5 Power Mix'!TNO21-'NF - 5 Power Mix'!TNO22</f>
        <v>0</v>
      </c>
      <c r="TNP42" s="1046">
        <f>TNP38+((TNP40+'NF - 5 Power Mix'!TNP14+'NF - 5 Power Mix'!TNP15)*860/10)+((('Form Sa1'!TNS835)*860)/10)+('Form Sa1'!TNS814*'Form Sa1'!TNS816/10)-'NF - 5 Power Mix'!TNP21-'NF - 5 Power Mix'!TNP22</f>
        <v>0</v>
      </c>
      <c r="TNQ42" s="1046">
        <f>TNQ38+((TNQ40+'NF - 5 Power Mix'!TNQ14+'NF - 5 Power Mix'!TNQ15)*860/10)+((('Form Sa1'!TNT835)*860)/10)+('Form Sa1'!TNT814*'Form Sa1'!TNT816/10)-'NF - 5 Power Mix'!TNQ21-'NF - 5 Power Mix'!TNQ22</f>
        <v>0</v>
      </c>
      <c r="TNR42" s="1046">
        <f>TNR38+((TNR40+'NF - 5 Power Mix'!TNR14+'NF - 5 Power Mix'!TNR15)*860/10)+((('Form Sa1'!TNU835)*860)/10)+('Form Sa1'!TNU814*'Form Sa1'!TNU816/10)-'NF - 5 Power Mix'!TNR21-'NF - 5 Power Mix'!TNR22</f>
        <v>0</v>
      </c>
      <c r="TNS42" s="1046">
        <f>TNS38+((TNS40+'NF - 5 Power Mix'!TNS14+'NF - 5 Power Mix'!TNS15)*860/10)+((('Form Sa1'!TNV835)*860)/10)+('Form Sa1'!TNV814*'Form Sa1'!TNV816/10)-'NF - 5 Power Mix'!TNS21-'NF - 5 Power Mix'!TNS22</f>
        <v>0</v>
      </c>
      <c r="TNT42" s="1046">
        <f>TNT38+((TNT40+'NF - 5 Power Mix'!TNT14+'NF - 5 Power Mix'!TNT15)*860/10)+((('Form Sa1'!TNW835)*860)/10)+('Form Sa1'!TNW814*'Form Sa1'!TNW816/10)-'NF - 5 Power Mix'!TNT21-'NF - 5 Power Mix'!TNT22</f>
        <v>0</v>
      </c>
      <c r="TNU42" s="1046">
        <f>TNU38+((TNU40+'NF - 5 Power Mix'!TNU14+'NF - 5 Power Mix'!TNU15)*860/10)+((('Form Sa1'!TNX835)*860)/10)+('Form Sa1'!TNX814*'Form Sa1'!TNX816/10)-'NF - 5 Power Mix'!TNU21-'NF - 5 Power Mix'!TNU22</f>
        <v>0</v>
      </c>
      <c r="TNV42" s="1046">
        <f>TNV38+((TNV40+'NF - 5 Power Mix'!TNV14+'NF - 5 Power Mix'!TNV15)*860/10)+((('Form Sa1'!TNY835)*860)/10)+('Form Sa1'!TNY814*'Form Sa1'!TNY816/10)-'NF - 5 Power Mix'!TNV21-'NF - 5 Power Mix'!TNV22</f>
        <v>0</v>
      </c>
      <c r="TNW42" s="1046">
        <f>TNW38+((TNW40+'NF - 5 Power Mix'!TNW14+'NF - 5 Power Mix'!TNW15)*860/10)+((('Form Sa1'!TNZ835)*860)/10)+('Form Sa1'!TNZ814*'Form Sa1'!TNZ816/10)-'NF - 5 Power Mix'!TNW21-'NF - 5 Power Mix'!TNW22</f>
        <v>0</v>
      </c>
      <c r="TNX42" s="1046">
        <f>TNX38+((TNX40+'NF - 5 Power Mix'!TNX14+'NF - 5 Power Mix'!TNX15)*860/10)+((('Form Sa1'!TOA835)*860)/10)+('Form Sa1'!TOA814*'Form Sa1'!TOA816/10)-'NF - 5 Power Mix'!TNX21-'NF - 5 Power Mix'!TNX22</f>
        <v>0</v>
      </c>
      <c r="TNY42" s="1046">
        <f>TNY38+((TNY40+'NF - 5 Power Mix'!TNY14+'NF - 5 Power Mix'!TNY15)*860/10)+((('Form Sa1'!TOB835)*860)/10)+('Form Sa1'!TOB814*'Form Sa1'!TOB816/10)-'NF - 5 Power Mix'!TNY21-'NF - 5 Power Mix'!TNY22</f>
        <v>0</v>
      </c>
      <c r="TNZ42" s="1046">
        <f>TNZ38+((TNZ40+'NF - 5 Power Mix'!TNZ14+'NF - 5 Power Mix'!TNZ15)*860/10)+((('Form Sa1'!TOC835)*860)/10)+('Form Sa1'!TOC814*'Form Sa1'!TOC816/10)-'NF - 5 Power Mix'!TNZ21-'NF - 5 Power Mix'!TNZ22</f>
        <v>0</v>
      </c>
      <c r="TOA42" s="1046">
        <f>TOA38+((TOA40+'NF - 5 Power Mix'!TOA14+'NF - 5 Power Mix'!TOA15)*860/10)+((('Form Sa1'!TOD835)*860)/10)+('Form Sa1'!TOD814*'Form Sa1'!TOD816/10)-'NF - 5 Power Mix'!TOA21-'NF - 5 Power Mix'!TOA22</f>
        <v>0</v>
      </c>
      <c r="TOB42" s="1046">
        <f>TOB38+((TOB40+'NF - 5 Power Mix'!TOB14+'NF - 5 Power Mix'!TOB15)*860/10)+((('Form Sa1'!TOE835)*860)/10)+('Form Sa1'!TOE814*'Form Sa1'!TOE816/10)-'NF - 5 Power Mix'!TOB21-'NF - 5 Power Mix'!TOB22</f>
        <v>0</v>
      </c>
      <c r="TOC42" s="1046">
        <f>TOC38+((TOC40+'NF - 5 Power Mix'!TOC14+'NF - 5 Power Mix'!TOC15)*860/10)+((('Form Sa1'!TOF835)*860)/10)+('Form Sa1'!TOF814*'Form Sa1'!TOF816/10)-'NF - 5 Power Mix'!TOC21-'NF - 5 Power Mix'!TOC22</f>
        <v>0</v>
      </c>
      <c r="TOD42" s="1046">
        <f>TOD38+((TOD40+'NF - 5 Power Mix'!TOD14+'NF - 5 Power Mix'!TOD15)*860/10)+((('Form Sa1'!TOG835)*860)/10)+('Form Sa1'!TOG814*'Form Sa1'!TOG816/10)-'NF - 5 Power Mix'!TOD21-'NF - 5 Power Mix'!TOD22</f>
        <v>0</v>
      </c>
      <c r="TOE42" s="1046">
        <f>TOE38+((TOE40+'NF - 5 Power Mix'!TOE14+'NF - 5 Power Mix'!TOE15)*860/10)+((('Form Sa1'!TOH835)*860)/10)+('Form Sa1'!TOH814*'Form Sa1'!TOH816/10)-'NF - 5 Power Mix'!TOE21-'NF - 5 Power Mix'!TOE22</f>
        <v>0</v>
      </c>
      <c r="TOF42" s="1046">
        <f>TOF38+((TOF40+'NF - 5 Power Mix'!TOF14+'NF - 5 Power Mix'!TOF15)*860/10)+((('Form Sa1'!TOI835)*860)/10)+('Form Sa1'!TOI814*'Form Sa1'!TOI816/10)-'NF - 5 Power Mix'!TOF21-'NF - 5 Power Mix'!TOF22</f>
        <v>0</v>
      </c>
      <c r="TOG42" s="1046">
        <f>TOG38+((TOG40+'NF - 5 Power Mix'!TOG14+'NF - 5 Power Mix'!TOG15)*860/10)+((('Form Sa1'!TOJ835)*860)/10)+('Form Sa1'!TOJ814*'Form Sa1'!TOJ816/10)-'NF - 5 Power Mix'!TOG21-'NF - 5 Power Mix'!TOG22</f>
        <v>0</v>
      </c>
      <c r="TOH42" s="1046">
        <f>TOH38+((TOH40+'NF - 5 Power Mix'!TOH14+'NF - 5 Power Mix'!TOH15)*860/10)+((('Form Sa1'!TOK835)*860)/10)+('Form Sa1'!TOK814*'Form Sa1'!TOK816/10)-'NF - 5 Power Mix'!TOH21-'NF - 5 Power Mix'!TOH22</f>
        <v>0</v>
      </c>
      <c r="TOI42" s="1046">
        <f>TOI38+((TOI40+'NF - 5 Power Mix'!TOI14+'NF - 5 Power Mix'!TOI15)*860/10)+((('Form Sa1'!TOL835)*860)/10)+('Form Sa1'!TOL814*'Form Sa1'!TOL816/10)-'NF - 5 Power Mix'!TOI21-'NF - 5 Power Mix'!TOI22</f>
        <v>0</v>
      </c>
      <c r="TOJ42" s="1046">
        <f>TOJ38+((TOJ40+'NF - 5 Power Mix'!TOJ14+'NF - 5 Power Mix'!TOJ15)*860/10)+((('Form Sa1'!TOM835)*860)/10)+('Form Sa1'!TOM814*'Form Sa1'!TOM816/10)-'NF - 5 Power Mix'!TOJ21-'NF - 5 Power Mix'!TOJ22</f>
        <v>0</v>
      </c>
      <c r="TOK42" s="1046">
        <f>TOK38+((TOK40+'NF - 5 Power Mix'!TOK14+'NF - 5 Power Mix'!TOK15)*860/10)+((('Form Sa1'!TON835)*860)/10)+('Form Sa1'!TON814*'Form Sa1'!TON816/10)-'NF - 5 Power Mix'!TOK21-'NF - 5 Power Mix'!TOK22</f>
        <v>0</v>
      </c>
      <c r="TOL42" s="1046">
        <f>TOL38+((TOL40+'NF - 5 Power Mix'!TOL14+'NF - 5 Power Mix'!TOL15)*860/10)+((('Form Sa1'!TOO835)*860)/10)+('Form Sa1'!TOO814*'Form Sa1'!TOO816/10)-'NF - 5 Power Mix'!TOL21-'NF - 5 Power Mix'!TOL22</f>
        <v>0</v>
      </c>
      <c r="TOM42" s="1046">
        <f>TOM38+((TOM40+'NF - 5 Power Mix'!TOM14+'NF - 5 Power Mix'!TOM15)*860/10)+((('Form Sa1'!TOP835)*860)/10)+('Form Sa1'!TOP814*'Form Sa1'!TOP816/10)-'NF - 5 Power Mix'!TOM21-'NF - 5 Power Mix'!TOM22</f>
        <v>0</v>
      </c>
      <c r="TON42" s="1046">
        <f>TON38+((TON40+'NF - 5 Power Mix'!TON14+'NF - 5 Power Mix'!TON15)*860/10)+((('Form Sa1'!TOQ835)*860)/10)+('Form Sa1'!TOQ814*'Form Sa1'!TOQ816/10)-'NF - 5 Power Mix'!TON21-'NF - 5 Power Mix'!TON22</f>
        <v>0</v>
      </c>
      <c r="TOO42" s="1046">
        <f>TOO38+((TOO40+'NF - 5 Power Mix'!TOO14+'NF - 5 Power Mix'!TOO15)*860/10)+((('Form Sa1'!TOR835)*860)/10)+('Form Sa1'!TOR814*'Form Sa1'!TOR816/10)-'NF - 5 Power Mix'!TOO21-'NF - 5 Power Mix'!TOO22</f>
        <v>0</v>
      </c>
      <c r="TOP42" s="1046">
        <f>TOP38+((TOP40+'NF - 5 Power Mix'!TOP14+'NF - 5 Power Mix'!TOP15)*860/10)+((('Form Sa1'!TOS835)*860)/10)+('Form Sa1'!TOS814*'Form Sa1'!TOS816/10)-'NF - 5 Power Mix'!TOP21-'NF - 5 Power Mix'!TOP22</f>
        <v>0</v>
      </c>
      <c r="TOQ42" s="1046">
        <f>TOQ38+((TOQ40+'NF - 5 Power Mix'!TOQ14+'NF - 5 Power Mix'!TOQ15)*860/10)+((('Form Sa1'!TOT835)*860)/10)+('Form Sa1'!TOT814*'Form Sa1'!TOT816/10)-'NF - 5 Power Mix'!TOQ21-'NF - 5 Power Mix'!TOQ22</f>
        <v>0</v>
      </c>
      <c r="TOR42" s="1046">
        <f>TOR38+((TOR40+'NF - 5 Power Mix'!TOR14+'NF - 5 Power Mix'!TOR15)*860/10)+((('Form Sa1'!TOU835)*860)/10)+('Form Sa1'!TOU814*'Form Sa1'!TOU816/10)-'NF - 5 Power Mix'!TOR21-'NF - 5 Power Mix'!TOR22</f>
        <v>0</v>
      </c>
      <c r="TOS42" s="1046">
        <f>TOS38+((TOS40+'NF - 5 Power Mix'!TOS14+'NF - 5 Power Mix'!TOS15)*860/10)+((('Form Sa1'!TOV835)*860)/10)+('Form Sa1'!TOV814*'Form Sa1'!TOV816/10)-'NF - 5 Power Mix'!TOS21-'NF - 5 Power Mix'!TOS22</f>
        <v>0</v>
      </c>
      <c r="TOT42" s="1046">
        <f>TOT38+((TOT40+'NF - 5 Power Mix'!TOT14+'NF - 5 Power Mix'!TOT15)*860/10)+((('Form Sa1'!TOW835)*860)/10)+('Form Sa1'!TOW814*'Form Sa1'!TOW816/10)-'NF - 5 Power Mix'!TOT21-'NF - 5 Power Mix'!TOT22</f>
        <v>0</v>
      </c>
      <c r="TOU42" s="1046">
        <f>TOU38+((TOU40+'NF - 5 Power Mix'!TOU14+'NF - 5 Power Mix'!TOU15)*860/10)+((('Form Sa1'!TOX835)*860)/10)+('Form Sa1'!TOX814*'Form Sa1'!TOX816/10)-'NF - 5 Power Mix'!TOU21-'NF - 5 Power Mix'!TOU22</f>
        <v>0</v>
      </c>
      <c r="TOV42" s="1046">
        <f>TOV38+((TOV40+'NF - 5 Power Mix'!TOV14+'NF - 5 Power Mix'!TOV15)*860/10)+((('Form Sa1'!TOY835)*860)/10)+('Form Sa1'!TOY814*'Form Sa1'!TOY816/10)-'NF - 5 Power Mix'!TOV21-'NF - 5 Power Mix'!TOV22</f>
        <v>0</v>
      </c>
      <c r="TOW42" s="1046">
        <f>TOW38+((TOW40+'NF - 5 Power Mix'!TOW14+'NF - 5 Power Mix'!TOW15)*860/10)+((('Form Sa1'!TOZ835)*860)/10)+('Form Sa1'!TOZ814*'Form Sa1'!TOZ816/10)-'NF - 5 Power Mix'!TOW21-'NF - 5 Power Mix'!TOW22</f>
        <v>0</v>
      </c>
      <c r="TOX42" s="1046">
        <f>TOX38+((TOX40+'NF - 5 Power Mix'!TOX14+'NF - 5 Power Mix'!TOX15)*860/10)+((('Form Sa1'!TPA835)*860)/10)+('Form Sa1'!TPA814*'Form Sa1'!TPA816/10)-'NF - 5 Power Mix'!TOX21-'NF - 5 Power Mix'!TOX22</f>
        <v>0</v>
      </c>
      <c r="TOY42" s="1046">
        <f>TOY38+((TOY40+'NF - 5 Power Mix'!TOY14+'NF - 5 Power Mix'!TOY15)*860/10)+((('Form Sa1'!TPB835)*860)/10)+('Form Sa1'!TPB814*'Form Sa1'!TPB816/10)-'NF - 5 Power Mix'!TOY21-'NF - 5 Power Mix'!TOY22</f>
        <v>0</v>
      </c>
      <c r="TOZ42" s="1046">
        <f>TOZ38+((TOZ40+'NF - 5 Power Mix'!TOZ14+'NF - 5 Power Mix'!TOZ15)*860/10)+((('Form Sa1'!TPC835)*860)/10)+('Form Sa1'!TPC814*'Form Sa1'!TPC816/10)-'NF - 5 Power Mix'!TOZ21-'NF - 5 Power Mix'!TOZ22</f>
        <v>0</v>
      </c>
      <c r="TPA42" s="1046">
        <f>TPA38+((TPA40+'NF - 5 Power Mix'!TPA14+'NF - 5 Power Mix'!TPA15)*860/10)+((('Form Sa1'!TPD835)*860)/10)+('Form Sa1'!TPD814*'Form Sa1'!TPD816/10)-'NF - 5 Power Mix'!TPA21-'NF - 5 Power Mix'!TPA22</f>
        <v>0</v>
      </c>
      <c r="TPB42" s="1046">
        <f>TPB38+((TPB40+'NF - 5 Power Mix'!TPB14+'NF - 5 Power Mix'!TPB15)*860/10)+((('Form Sa1'!TPE835)*860)/10)+('Form Sa1'!TPE814*'Form Sa1'!TPE816/10)-'NF - 5 Power Mix'!TPB21-'NF - 5 Power Mix'!TPB22</f>
        <v>0</v>
      </c>
      <c r="TPC42" s="1046">
        <f>TPC38+((TPC40+'NF - 5 Power Mix'!TPC14+'NF - 5 Power Mix'!TPC15)*860/10)+((('Form Sa1'!TPF835)*860)/10)+('Form Sa1'!TPF814*'Form Sa1'!TPF816/10)-'NF - 5 Power Mix'!TPC21-'NF - 5 Power Mix'!TPC22</f>
        <v>0</v>
      </c>
      <c r="TPD42" s="1046">
        <f>TPD38+((TPD40+'NF - 5 Power Mix'!TPD14+'NF - 5 Power Mix'!TPD15)*860/10)+((('Form Sa1'!TPG835)*860)/10)+('Form Sa1'!TPG814*'Form Sa1'!TPG816/10)-'NF - 5 Power Mix'!TPD21-'NF - 5 Power Mix'!TPD22</f>
        <v>0</v>
      </c>
      <c r="TPE42" s="1046">
        <f>TPE38+((TPE40+'NF - 5 Power Mix'!TPE14+'NF - 5 Power Mix'!TPE15)*860/10)+((('Form Sa1'!TPH835)*860)/10)+('Form Sa1'!TPH814*'Form Sa1'!TPH816/10)-'NF - 5 Power Mix'!TPE21-'NF - 5 Power Mix'!TPE22</f>
        <v>0</v>
      </c>
      <c r="TPF42" s="1046">
        <f>TPF38+((TPF40+'NF - 5 Power Mix'!TPF14+'NF - 5 Power Mix'!TPF15)*860/10)+((('Form Sa1'!TPI835)*860)/10)+('Form Sa1'!TPI814*'Form Sa1'!TPI816/10)-'NF - 5 Power Mix'!TPF21-'NF - 5 Power Mix'!TPF22</f>
        <v>0</v>
      </c>
      <c r="TPG42" s="1046">
        <f>TPG38+((TPG40+'NF - 5 Power Mix'!TPG14+'NF - 5 Power Mix'!TPG15)*860/10)+((('Form Sa1'!TPJ835)*860)/10)+('Form Sa1'!TPJ814*'Form Sa1'!TPJ816/10)-'NF - 5 Power Mix'!TPG21-'NF - 5 Power Mix'!TPG22</f>
        <v>0</v>
      </c>
      <c r="TPH42" s="1046">
        <f>TPH38+((TPH40+'NF - 5 Power Mix'!TPH14+'NF - 5 Power Mix'!TPH15)*860/10)+((('Form Sa1'!TPK835)*860)/10)+('Form Sa1'!TPK814*'Form Sa1'!TPK816/10)-'NF - 5 Power Mix'!TPH21-'NF - 5 Power Mix'!TPH22</f>
        <v>0</v>
      </c>
      <c r="TPI42" s="1046">
        <f>TPI38+((TPI40+'NF - 5 Power Mix'!TPI14+'NF - 5 Power Mix'!TPI15)*860/10)+((('Form Sa1'!TPL835)*860)/10)+('Form Sa1'!TPL814*'Form Sa1'!TPL816/10)-'NF - 5 Power Mix'!TPI21-'NF - 5 Power Mix'!TPI22</f>
        <v>0</v>
      </c>
      <c r="TPJ42" s="1046">
        <f>TPJ38+((TPJ40+'NF - 5 Power Mix'!TPJ14+'NF - 5 Power Mix'!TPJ15)*860/10)+((('Form Sa1'!TPM835)*860)/10)+('Form Sa1'!TPM814*'Form Sa1'!TPM816/10)-'NF - 5 Power Mix'!TPJ21-'NF - 5 Power Mix'!TPJ22</f>
        <v>0</v>
      </c>
      <c r="TPK42" s="1046">
        <f>TPK38+((TPK40+'NF - 5 Power Mix'!TPK14+'NF - 5 Power Mix'!TPK15)*860/10)+((('Form Sa1'!TPN835)*860)/10)+('Form Sa1'!TPN814*'Form Sa1'!TPN816/10)-'NF - 5 Power Mix'!TPK21-'NF - 5 Power Mix'!TPK22</f>
        <v>0</v>
      </c>
      <c r="TPL42" s="1046">
        <f>TPL38+((TPL40+'NF - 5 Power Mix'!TPL14+'NF - 5 Power Mix'!TPL15)*860/10)+((('Form Sa1'!TPO835)*860)/10)+('Form Sa1'!TPO814*'Form Sa1'!TPO816/10)-'NF - 5 Power Mix'!TPL21-'NF - 5 Power Mix'!TPL22</f>
        <v>0</v>
      </c>
      <c r="TPM42" s="1046">
        <f>TPM38+((TPM40+'NF - 5 Power Mix'!TPM14+'NF - 5 Power Mix'!TPM15)*860/10)+((('Form Sa1'!TPP835)*860)/10)+('Form Sa1'!TPP814*'Form Sa1'!TPP816/10)-'NF - 5 Power Mix'!TPM21-'NF - 5 Power Mix'!TPM22</f>
        <v>0</v>
      </c>
      <c r="TPN42" s="1046">
        <f>TPN38+((TPN40+'NF - 5 Power Mix'!TPN14+'NF - 5 Power Mix'!TPN15)*860/10)+((('Form Sa1'!TPQ835)*860)/10)+('Form Sa1'!TPQ814*'Form Sa1'!TPQ816/10)-'NF - 5 Power Mix'!TPN21-'NF - 5 Power Mix'!TPN22</f>
        <v>0</v>
      </c>
      <c r="TPO42" s="1046">
        <f>TPO38+((TPO40+'NF - 5 Power Mix'!TPO14+'NF - 5 Power Mix'!TPO15)*860/10)+((('Form Sa1'!TPR835)*860)/10)+('Form Sa1'!TPR814*'Form Sa1'!TPR816/10)-'NF - 5 Power Mix'!TPO21-'NF - 5 Power Mix'!TPO22</f>
        <v>0</v>
      </c>
      <c r="TPP42" s="1046">
        <f>TPP38+((TPP40+'NF - 5 Power Mix'!TPP14+'NF - 5 Power Mix'!TPP15)*860/10)+((('Form Sa1'!TPS835)*860)/10)+('Form Sa1'!TPS814*'Form Sa1'!TPS816/10)-'NF - 5 Power Mix'!TPP21-'NF - 5 Power Mix'!TPP22</f>
        <v>0</v>
      </c>
      <c r="TPQ42" s="1046">
        <f>TPQ38+((TPQ40+'NF - 5 Power Mix'!TPQ14+'NF - 5 Power Mix'!TPQ15)*860/10)+((('Form Sa1'!TPT835)*860)/10)+('Form Sa1'!TPT814*'Form Sa1'!TPT816/10)-'NF - 5 Power Mix'!TPQ21-'NF - 5 Power Mix'!TPQ22</f>
        <v>0</v>
      </c>
      <c r="TPR42" s="1046">
        <f>TPR38+((TPR40+'NF - 5 Power Mix'!TPR14+'NF - 5 Power Mix'!TPR15)*860/10)+((('Form Sa1'!TPU835)*860)/10)+('Form Sa1'!TPU814*'Form Sa1'!TPU816/10)-'NF - 5 Power Mix'!TPR21-'NF - 5 Power Mix'!TPR22</f>
        <v>0</v>
      </c>
      <c r="TPS42" s="1046">
        <f>TPS38+((TPS40+'NF - 5 Power Mix'!TPS14+'NF - 5 Power Mix'!TPS15)*860/10)+((('Form Sa1'!TPV835)*860)/10)+('Form Sa1'!TPV814*'Form Sa1'!TPV816/10)-'NF - 5 Power Mix'!TPS21-'NF - 5 Power Mix'!TPS22</f>
        <v>0</v>
      </c>
      <c r="TPT42" s="1046">
        <f>TPT38+((TPT40+'NF - 5 Power Mix'!TPT14+'NF - 5 Power Mix'!TPT15)*860/10)+((('Form Sa1'!TPW835)*860)/10)+('Form Sa1'!TPW814*'Form Sa1'!TPW816/10)-'NF - 5 Power Mix'!TPT21-'NF - 5 Power Mix'!TPT22</f>
        <v>0</v>
      </c>
      <c r="TPU42" s="1046">
        <f>TPU38+((TPU40+'NF - 5 Power Mix'!TPU14+'NF - 5 Power Mix'!TPU15)*860/10)+((('Form Sa1'!TPX835)*860)/10)+('Form Sa1'!TPX814*'Form Sa1'!TPX816/10)-'NF - 5 Power Mix'!TPU21-'NF - 5 Power Mix'!TPU22</f>
        <v>0</v>
      </c>
      <c r="TPV42" s="1046">
        <f>TPV38+((TPV40+'NF - 5 Power Mix'!TPV14+'NF - 5 Power Mix'!TPV15)*860/10)+((('Form Sa1'!TPY835)*860)/10)+('Form Sa1'!TPY814*'Form Sa1'!TPY816/10)-'NF - 5 Power Mix'!TPV21-'NF - 5 Power Mix'!TPV22</f>
        <v>0</v>
      </c>
      <c r="TPW42" s="1046">
        <f>TPW38+((TPW40+'NF - 5 Power Mix'!TPW14+'NF - 5 Power Mix'!TPW15)*860/10)+((('Form Sa1'!TPZ835)*860)/10)+('Form Sa1'!TPZ814*'Form Sa1'!TPZ816/10)-'NF - 5 Power Mix'!TPW21-'NF - 5 Power Mix'!TPW22</f>
        <v>0</v>
      </c>
      <c r="TPX42" s="1046">
        <f>TPX38+((TPX40+'NF - 5 Power Mix'!TPX14+'NF - 5 Power Mix'!TPX15)*860/10)+((('Form Sa1'!TQA835)*860)/10)+('Form Sa1'!TQA814*'Form Sa1'!TQA816/10)-'NF - 5 Power Mix'!TPX21-'NF - 5 Power Mix'!TPX22</f>
        <v>0</v>
      </c>
      <c r="TPY42" s="1046">
        <f>TPY38+((TPY40+'NF - 5 Power Mix'!TPY14+'NF - 5 Power Mix'!TPY15)*860/10)+((('Form Sa1'!TQB835)*860)/10)+('Form Sa1'!TQB814*'Form Sa1'!TQB816/10)-'NF - 5 Power Mix'!TPY21-'NF - 5 Power Mix'!TPY22</f>
        <v>0</v>
      </c>
      <c r="TPZ42" s="1046">
        <f>TPZ38+((TPZ40+'NF - 5 Power Mix'!TPZ14+'NF - 5 Power Mix'!TPZ15)*860/10)+((('Form Sa1'!TQC835)*860)/10)+('Form Sa1'!TQC814*'Form Sa1'!TQC816/10)-'NF - 5 Power Mix'!TPZ21-'NF - 5 Power Mix'!TPZ22</f>
        <v>0</v>
      </c>
      <c r="TQA42" s="1046">
        <f>TQA38+((TQA40+'NF - 5 Power Mix'!TQA14+'NF - 5 Power Mix'!TQA15)*860/10)+((('Form Sa1'!TQD835)*860)/10)+('Form Sa1'!TQD814*'Form Sa1'!TQD816/10)-'NF - 5 Power Mix'!TQA21-'NF - 5 Power Mix'!TQA22</f>
        <v>0</v>
      </c>
      <c r="TQB42" s="1046">
        <f>TQB38+((TQB40+'NF - 5 Power Mix'!TQB14+'NF - 5 Power Mix'!TQB15)*860/10)+((('Form Sa1'!TQE835)*860)/10)+('Form Sa1'!TQE814*'Form Sa1'!TQE816/10)-'NF - 5 Power Mix'!TQB21-'NF - 5 Power Mix'!TQB22</f>
        <v>0</v>
      </c>
      <c r="TQC42" s="1046">
        <f>TQC38+((TQC40+'NF - 5 Power Mix'!TQC14+'NF - 5 Power Mix'!TQC15)*860/10)+((('Form Sa1'!TQF835)*860)/10)+('Form Sa1'!TQF814*'Form Sa1'!TQF816/10)-'NF - 5 Power Mix'!TQC21-'NF - 5 Power Mix'!TQC22</f>
        <v>0</v>
      </c>
      <c r="TQD42" s="1046">
        <f>TQD38+((TQD40+'NF - 5 Power Mix'!TQD14+'NF - 5 Power Mix'!TQD15)*860/10)+((('Form Sa1'!TQG835)*860)/10)+('Form Sa1'!TQG814*'Form Sa1'!TQG816/10)-'NF - 5 Power Mix'!TQD21-'NF - 5 Power Mix'!TQD22</f>
        <v>0</v>
      </c>
      <c r="TQE42" s="1046">
        <f>TQE38+((TQE40+'NF - 5 Power Mix'!TQE14+'NF - 5 Power Mix'!TQE15)*860/10)+((('Form Sa1'!TQH835)*860)/10)+('Form Sa1'!TQH814*'Form Sa1'!TQH816/10)-'NF - 5 Power Mix'!TQE21-'NF - 5 Power Mix'!TQE22</f>
        <v>0</v>
      </c>
      <c r="TQF42" s="1046">
        <f>TQF38+((TQF40+'NF - 5 Power Mix'!TQF14+'NF - 5 Power Mix'!TQF15)*860/10)+((('Form Sa1'!TQI835)*860)/10)+('Form Sa1'!TQI814*'Form Sa1'!TQI816/10)-'NF - 5 Power Mix'!TQF21-'NF - 5 Power Mix'!TQF22</f>
        <v>0</v>
      </c>
      <c r="TQG42" s="1046">
        <f>TQG38+((TQG40+'NF - 5 Power Mix'!TQG14+'NF - 5 Power Mix'!TQG15)*860/10)+((('Form Sa1'!TQJ835)*860)/10)+('Form Sa1'!TQJ814*'Form Sa1'!TQJ816/10)-'NF - 5 Power Mix'!TQG21-'NF - 5 Power Mix'!TQG22</f>
        <v>0</v>
      </c>
      <c r="TQH42" s="1046">
        <f>TQH38+((TQH40+'NF - 5 Power Mix'!TQH14+'NF - 5 Power Mix'!TQH15)*860/10)+((('Form Sa1'!TQK835)*860)/10)+('Form Sa1'!TQK814*'Form Sa1'!TQK816/10)-'NF - 5 Power Mix'!TQH21-'NF - 5 Power Mix'!TQH22</f>
        <v>0</v>
      </c>
      <c r="TQI42" s="1046">
        <f>TQI38+((TQI40+'NF - 5 Power Mix'!TQI14+'NF - 5 Power Mix'!TQI15)*860/10)+((('Form Sa1'!TQL835)*860)/10)+('Form Sa1'!TQL814*'Form Sa1'!TQL816/10)-'NF - 5 Power Mix'!TQI21-'NF - 5 Power Mix'!TQI22</f>
        <v>0</v>
      </c>
      <c r="TQJ42" s="1046">
        <f>TQJ38+((TQJ40+'NF - 5 Power Mix'!TQJ14+'NF - 5 Power Mix'!TQJ15)*860/10)+((('Form Sa1'!TQM835)*860)/10)+('Form Sa1'!TQM814*'Form Sa1'!TQM816/10)-'NF - 5 Power Mix'!TQJ21-'NF - 5 Power Mix'!TQJ22</f>
        <v>0</v>
      </c>
      <c r="TQK42" s="1046">
        <f>TQK38+((TQK40+'NF - 5 Power Mix'!TQK14+'NF - 5 Power Mix'!TQK15)*860/10)+((('Form Sa1'!TQN835)*860)/10)+('Form Sa1'!TQN814*'Form Sa1'!TQN816/10)-'NF - 5 Power Mix'!TQK21-'NF - 5 Power Mix'!TQK22</f>
        <v>0</v>
      </c>
      <c r="TQL42" s="1046">
        <f>TQL38+((TQL40+'NF - 5 Power Mix'!TQL14+'NF - 5 Power Mix'!TQL15)*860/10)+((('Form Sa1'!TQO835)*860)/10)+('Form Sa1'!TQO814*'Form Sa1'!TQO816/10)-'NF - 5 Power Mix'!TQL21-'NF - 5 Power Mix'!TQL22</f>
        <v>0</v>
      </c>
      <c r="TQM42" s="1046">
        <f>TQM38+((TQM40+'NF - 5 Power Mix'!TQM14+'NF - 5 Power Mix'!TQM15)*860/10)+((('Form Sa1'!TQP835)*860)/10)+('Form Sa1'!TQP814*'Form Sa1'!TQP816/10)-'NF - 5 Power Mix'!TQM21-'NF - 5 Power Mix'!TQM22</f>
        <v>0</v>
      </c>
      <c r="TQN42" s="1046">
        <f>TQN38+((TQN40+'NF - 5 Power Mix'!TQN14+'NF - 5 Power Mix'!TQN15)*860/10)+((('Form Sa1'!TQQ835)*860)/10)+('Form Sa1'!TQQ814*'Form Sa1'!TQQ816/10)-'NF - 5 Power Mix'!TQN21-'NF - 5 Power Mix'!TQN22</f>
        <v>0</v>
      </c>
      <c r="TQO42" s="1046">
        <f>TQO38+((TQO40+'NF - 5 Power Mix'!TQO14+'NF - 5 Power Mix'!TQO15)*860/10)+((('Form Sa1'!TQR835)*860)/10)+('Form Sa1'!TQR814*'Form Sa1'!TQR816/10)-'NF - 5 Power Mix'!TQO21-'NF - 5 Power Mix'!TQO22</f>
        <v>0</v>
      </c>
      <c r="TQP42" s="1046">
        <f>TQP38+((TQP40+'NF - 5 Power Mix'!TQP14+'NF - 5 Power Mix'!TQP15)*860/10)+((('Form Sa1'!TQS835)*860)/10)+('Form Sa1'!TQS814*'Form Sa1'!TQS816/10)-'NF - 5 Power Mix'!TQP21-'NF - 5 Power Mix'!TQP22</f>
        <v>0</v>
      </c>
      <c r="TQQ42" s="1046">
        <f>TQQ38+((TQQ40+'NF - 5 Power Mix'!TQQ14+'NF - 5 Power Mix'!TQQ15)*860/10)+((('Form Sa1'!TQT835)*860)/10)+('Form Sa1'!TQT814*'Form Sa1'!TQT816/10)-'NF - 5 Power Mix'!TQQ21-'NF - 5 Power Mix'!TQQ22</f>
        <v>0</v>
      </c>
      <c r="TQR42" s="1046">
        <f>TQR38+((TQR40+'NF - 5 Power Mix'!TQR14+'NF - 5 Power Mix'!TQR15)*860/10)+((('Form Sa1'!TQU835)*860)/10)+('Form Sa1'!TQU814*'Form Sa1'!TQU816/10)-'NF - 5 Power Mix'!TQR21-'NF - 5 Power Mix'!TQR22</f>
        <v>0</v>
      </c>
      <c r="TQS42" s="1046">
        <f>TQS38+((TQS40+'NF - 5 Power Mix'!TQS14+'NF - 5 Power Mix'!TQS15)*860/10)+((('Form Sa1'!TQV835)*860)/10)+('Form Sa1'!TQV814*'Form Sa1'!TQV816/10)-'NF - 5 Power Mix'!TQS21-'NF - 5 Power Mix'!TQS22</f>
        <v>0</v>
      </c>
      <c r="TQT42" s="1046">
        <f>TQT38+((TQT40+'NF - 5 Power Mix'!TQT14+'NF - 5 Power Mix'!TQT15)*860/10)+((('Form Sa1'!TQW835)*860)/10)+('Form Sa1'!TQW814*'Form Sa1'!TQW816/10)-'NF - 5 Power Mix'!TQT21-'NF - 5 Power Mix'!TQT22</f>
        <v>0</v>
      </c>
      <c r="TQU42" s="1046">
        <f>TQU38+((TQU40+'NF - 5 Power Mix'!TQU14+'NF - 5 Power Mix'!TQU15)*860/10)+((('Form Sa1'!TQX835)*860)/10)+('Form Sa1'!TQX814*'Form Sa1'!TQX816/10)-'NF - 5 Power Mix'!TQU21-'NF - 5 Power Mix'!TQU22</f>
        <v>0</v>
      </c>
      <c r="TQV42" s="1046">
        <f>TQV38+((TQV40+'NF - 5 Power Mix'!TQV14+'NF - 5 Power Mix'!TQV15)*860/10)+((('Form Sa1'!TQY835)*860)/10)+('Form Sa1'!TQY814*'Form Sa1'!TQY816/10)-'NF - 5 Power Mix'!TQV21-'NF - 5 Power Mix'!TQV22</f>
        <v>0</v>
      </c>
      <c r="TQW42" s="1046">
        <f>TQW38+((TQW40+'NF - 5 Power Mix'!TQW14+'NF - 5 Power Mix'!TQW15)*860/10)+((('Form Sa1'!TQZ835)*860)/10)+('Form Sa1'!TQZ814*'Form Sa1'!TQZ816/10)-'NF - 5 Power Mix'!TQW21-'NF - 5 Power Mix'!TQW22</f>
        <v>0</v>
      </c>
      <c r="TQX42" s="1046">
        <f>TQX38+((TQX40+'NF - 5 Power Mix'!TQX14+'NF - 5 Power Mix'!TQX15)*860/10)+((('Form Sa1'!TRA835)*860)/10)+('Form Sa1'!TRA814*'Form Sa1'!TRA816/10)-'NF - 5 Power Mix'!TQX21-'NF - 5 Power Mix'!TQX22</f>
        <v>0</v>
      </c>
      <c r="TQY42" s="1046">
        <f>TQY38+((TQY40+'NF - 5 Power Mix'!TQY14+'NF - 5 Power Mix'!TQY15)*860/10)+((('Form Sa1'!TRB835)*860)/10)+('Form Sa1'!TRB814*'Form Sa1'!TRB816/10)-'NF - 5 Power Mix'!TQY21-'NF - 5 Power Mix'!TQY22</f>
        <v>0</v>
      </c>
      <c r="TQZ42" s="1046">
        <f>TQZ38+((TQZ40+'NF - 5 Power Mix'!TQZ14+'NF - 5 Power Mix'!TQZ15)*860/10)+((('Form Sa1'!TRC835)*860)/10)+('Form Sa1'!TRC814*'Form Sa1'!TRC816/10)-'NF - 5 Power Mix'!TQZ21-'NF - 5 Power Mix'!TQZ22</f>
        <v>0</v>
      </c>
      <c r="TRA42" s="1046">
        <f>TRA38+((TRA40+'NF - 5 Power Mix'!TRA14+'NF - 5 Power Mix'!TRA15)*860/10)+((('Form Sa1'!TRD835)*860)/10)+('Form Sa1'!TRD814*'Form Sa1'!TRD816/10)-'NF - 5 Power Mix'!TRA21-'NF - 5 Power Mix'!TRA22</f>
        <v>0</v>
      </c>
      <c r="TRB42" s="1046">
        <f>TRB38+((TRB40+'NF - 5 Power Mix'!TRB14+'NF - 5 Power Mix'!TRB15)*860/10)+((('Form Sa1'!TRE835)*860)/10)+('Form Sa1'!TRE814*'Form Sa1'!TRE816/10)-'NF - 5 Power Mix'!TRB21-'NF - 5 Power Mix'!TRB22</f>
        <v>0</v>
      </c>
      <c r="TRC42" s="1046">
        <f>TRC38+((TRC40+'NF - 5 Power Mix'!TRC14+'NF - 5 Power Mix'!TRC15)*860/10)+((('Form Sa1'!TRF835)*860)/10)+('Form Sa1'!TRF814*'Form Sa1'!TRF816/10)-'NF - 5 Power Mix'!TRC21-'NF - 5 Power Mix'!TRC22</f>
        <v>0</v>
      </c>
      <c r="TRD42" s="1046">
        <f>TRD38+((TRD40+'NF - 5 Power Mix'!TRD14+'NF - 5 Power Mix'!TRD15)*860/10)+((('Form Sa1'!TRG835)*860)/10)+('Form Sa1'!TRG814*'Form Sa1'!TRG816/10)-'NF - 5 Power Mix'!TRD21-'NF - 5 Power Mix'!TRD22</f>
        <v>0</v>
      </c>
      <c r="TRE42" s="1046">
        <f>TRE38+((TRE40+'NF - 5 Power Mix'!TRE14+'NF - 5 Power Mix'!TRE15)*860/10)+((('Form Sa1'!TRH835)*860)/10)+('Form Sa1'!TRH814*'Form Sa1'!TRH816/10)-'NF - 5 Power Mix'!TRE21-'NF - 5 Power Mix'!TRE22</f>
        <v>0</v>
      </c>
      <c r="TRF42" s="1046">
        <f>TRF38+((TRF40+'NF - 5 Power Mix'!TRF14+'NF - 5 Power Mix'!TRF15)*860/10)+((('Form Sa1'!TRI835)*860)/10)+('Form Sa1'!TRI814*'Form Sa1'!TRI816/10)-'NF - 5 Power Mix'!TRF21-'NF - 5 Power Mix'!TRF22</f>
        <v>0</v>
      </c>
      <c r="TRG42" s="1046">
        <f>TRG38+((TRG40+'NF - 5 Power Mix'!TRG14+'NF - 5 Power Mix'!TRG15)*860/10)+((('Form Sa1'!TRJ835)*860)/10)+('Form Sa1'!TRJ814*'Form Sa1'!TRJ816/10)-'NF - 5 Power Mix'!TRG21-'NF - 5 Power Mix'!TRG22</f>
        <v>0</v>
      </c>
      <c r="TRH42" s="1046">
        <f>TRH38+((TRH40+'NF - 5 Power Mix'!TRH14+'NF - 5 Power Mix'!TRH15)*860/10)+((('Form Sa1'!TRK835)*860)/10)+('Form Sa1'!TRK814*'Form Sa1'!TRK816/10)-'NF - 5 Power Mix'!TRH21-'NF - 5 Power Mix'!TRH22</f>
        <v>0</v>
      </c>
      <c r="TRI42" s="1046">
        <f>TRI38+((TRI40+'NF - 5 Power Mix'!TRI14+'NF - 5 Power Mix'!TRI15)*860/10)+((('Form Sa1'!TRL835)*860)/10)+('Form Sa1'!TRL814*'Form Sa1'!TRL816/10)-'NF - 5 Power Mix'!TRI21-'NF - 5 Power Mix'!TRI22</f>
        <v>0</v>
      </c>
      <c r="TRJ42" s="1046">
        <f>TRJ38+((TRJ40+'NF - 5 Power Mix'!TRJ14+'NF - 5 Power Mix'!TRJ15)*860/10)+((('Form Sa1'!TRM835)*860)/10)+('Form Sa1'!TRM814*'Form Sa1'!TRM816/10)-'NF - 5 Power Mix'!TRJ21-'NF - 5 Power Mix'!TRJ22</f>
        <v>0</v>
      </c>
      <c r="TRK42" s="1046">
        <f>TRK38+((TRK40+'NF - 5 Power Mix'!TRK14+'NF - 5 Power Mix'!TRK15)*860/10)+((('Form Sa1'!TRN835)*860)/10)+('Form Sa1'!TRN814*'Form Sa1'!TRN816/10)-'NF - 5 Power Mix'!TRK21-'NF - 5 Power Mix'!TRK22</f>
        <v>0</v>
      </c>
      <c r="TRL42" s="1046">
        <f>TRL38+((TRL40+'NF - 5 Power Mix'!TRL14+'NF - 5 Power Mix'!TRL15)*860/10)+((('Form Sa1'!TRO835)*860)/10)+('Form Sa1'!TRO814*'Form Sa1'!TRO816/10)-'NF - 5 Power Mix'!TRL21-'NF - 5 Power Mix'!TRL22</f>
        <v>0</v>
      </c>
      <c r="TRM42" s="1046">
        <f>TRM38+((TRM40+'NF - 5 Power Mix'!TRM14+'NF - 5 Power Mix'!TRM15)*860/10)+((('Form Sa1'!TRP835)*860)/10)+('Form Sa1'!TRP814*'Form Sa1'!TRP816/10)-'NF - 5 Power Mix'!TRM21-'NF - 5 Power Mix'!TRM22</f>
        <v>0</v>
      </c>
      <c r="TRN42" s="1046">
        <f>TRN38+((TRN40+'NF - 5 Power Mix'!TRN14+'NF - 5 Power Mix'!TRN15)*860/10)+((('Form Sa1'!TRQ835)*860)/10)+('Form Sa1'!TRQ814*'Form Sa1'!TRQ816/10)-'NF - 5 Power Mix'!TRN21-'NF - 5 Power Mix'!TRN22</f>
        <v>0</v>
      </c>
      <c r="TRO42" s="1046">
        <f>TRO38+((TRO40+'NF - 5 Power Mix'!TRO14+'NF - 5 Power Mix'!TRO15)*860/10)+((('Form Sa1'!TRR835)*860)/10)+('Form Sa1'!TRR814*'Form Sa1'!TRR816/10)-'NF - 5 Power Mix'!TRO21-'NF - 5 Power Mix'!TRO22</f>
        <v>0</v>
      </c>
      <c r="TRP42" s="1046">
        <f>TRP38+((TRP40+'NF - 5 Power Mix'!TRP14+'NF - 5 Power Mix'!TRP15)*860/10)+((('Form Sa1'!TRS835)*860)/10)+('Form Sa1'!TRS814*'Form Sa1'!TRS816/10)-'NF - 5 Power Mix'!TRP21-'NF - 5 Power Mix'!TRP22</f>
        <v>0</v>
      </c>
      <c r="TRQ42" s="1046">
        <f>TRQ38+((TRQ40+'NF - 5 Power Mix'!TRQ14+'NF - 5 Power Mix'!TRQ15)*860/10)+((('Form Sa1'!TRT835)*860)/10)+('Form Sa1'!TRT814*'Form Sa1'!TRT816/10)-'NF - 5 Power Mix'!TRQ21-'NF - 5 Power Mix'!TRQ22</f>
        <v>0</v>
      </c>
      <c r="TRR42" s="1046">
        <f>TRR38+((TRR40+'NF - 5 Power Mix'!TRR14+'NF - 5 Power Mix'!TRR15)*860/10)+((('Form Sa1'!TRU835)*860)/10)+('Form Sa1'!TRU814*'Form Sa1'!TRU816/10)-'NF - 5 Power Mix'!TRR21-'NF - 5 Power Mix'!TRR22</f>
        <v>0</v>
      </c>
      <c r="TRS42" s="1046">
        <f>TRS38+((TRS40+'NF - 5 Power Mix'!TRS14+'NF - 5 Power Mix'!TRS15)*860/10)+((('Form Sa1'!TRV835)*860)/10)+('Form Sa1'!TRV814*'Form Sa1'!TRV816/10)-'NF - 5 Power Mix'!TRS21-'NF - 5 Power Mix'!TRS22</f>
        <v>0</v>
      </c>
      <c r="TRT42" s="1046">
        <f>TRT38+((TRT40+'NF - 5 Power Mix'!TRT14+'NF - 5 Power Mix'!TRT15)*860/10)+((('Form Sa1'!TRW835)*860)/10)+('Form Sa1'!TRW814*'Form Sa1'!TRW816/10)-'NF - 5 Power Mix'!TRT21-'NF - 5 Power Mix'!TRT22</f>
        <v>0</v>
      </c>
      <c r="TRU42" s="1046">
        <f>TRU38+((TRU40+'NF - 5 Power Mix'!TRU14+'NF - 5 Power Mix'!TRU15)*860/10)+((('Form Sa1'!TRX835)*860)/10)+('Form Sa1'!TRX814*'Form Sa1'!TRX816/10)-'NF - 5 Power Mix'!TRU21-'NF - 5 Power Mix'!TRU22</f>
        <v>0</v>
      </c>
      <c r="TRV42" s="1046">
        <f>TRV38+((TRV40+'NF - 5 Power Mix'!TRV14+'NF - 5 Power Mix'!TRV15)*860/10)+((('Form Sa1'!TRY835)*860)/10)+('Form Sa1'!TRY814*'Form Sa1'!TRY816/10)-'NF - 5 Power Mix'!TRV21-'NF - 5 Power Mix'!TRV22</f>
        <v>0</v>
      </c>
      <c r="TRW42" s="1046">
        <f>TRW38+((TRW40+'NF - 5 Power Mix'!TRW14+'NF - 5 Power Mix'!TRW15)*860/10)+((('Form Sa1'!TRZ835)*860)/10)+('Form Sa1'!TRZ814*'Form Sa1'!TRZ816/10)-'NF - 5 Power Mix'!TRW21-'NF - 5 Power Mix'!TRW22</f>
        <v>0</v>
      </c>
      <c r="TRX42" s="1046">
        <f>TRX38+((TRX40+'NF - 5 Power Mix'!TRX14+'NF - 5 Power Mix'!TRX15)*860/10)+((('Form Sa1'!TSA835)*860)/10)+('Form Sa1'!TSA814*'Form Sa1'!TSA816/10)-'NF - 5 Power Mix'!TRX21-'NF - 5 Power Mix'!TRX22</f>
        <v>0</v>
      </c>
      <c r="TRY42" s="1046">
        <f>TRY38+((TRY40+'NF - 5 Power Mix'!TRY14+'NF - 5 Power Mix'!TRY15)*860/10)+((('Form Sa1'!TSB835)*860)/10)+('Form Sa1'!TSB814*'Form Sa1'!TSB816/10)-'NF - 5 Power Mix'!TRY21-'NF - 5 Power Mix'!TRY22</f>
        <v>0</v>
      </c>
      <c r="TRZ42" s="1046">
        <f>TRZ38+((TRZ40+'NF - 5 Power Mix'!TRZ14+'NF - 5 Power Mix'!TRZ15)*860/10)+((('Form Sa1'!TSC835)*860)/10)+('Form Sa1'!TSC814*'Form Sa1'!TSC816/10)-'NF - 5 Power Mix'!TRZ21-'NF - 5 Power Mix'!TRZ22</f>
        <v>0</v>
      </c>
      <c r="TSA42" s="1046">
        <f>TSA38+((TSA40+'NF - 5 Power Mix'!TSA14+'NF - 5 Power Mix'!TSA15)*860/10)+((('Form Sa1'!TSD835)*860)/10)+('Form Sa1'!TSD814*'Form Sa1'!TSD816/10)-'NF - 5 Power Mix'!TSA21-'NF - 5 Power Mix'!TSA22</f>
        <v>0</v>
      </c>
      <c r="TSB42" s="1046">
        <f>TSB38+((TSB40+'NF - 5 Power Mix'!TSB14+'NF - 5 Power Mix'!TSB15)*860/10)+((('Form Sa1'!TSE835)*860)/10)+('Form Sa1'!TSE814*'Form Sa1'!TSE816/10)-'NF - 5 Power Mix'!TSB21-'NF - 5 Power Mix'!TSB22</f>
        <v>0</v>
      </c>
      <c r="TSC42" s="1046">
        <f>TSC38+((TSC40+'NF - 5 Power Mix'!TSC14+'NF - 5 Power Mix'!TSC15)*860/10)+((('Form Sa1'!TSF835)*860)/10)+('Form Sa1'!TSF814*'Form Sa1'!TSF816/10)-'NF - 5 Power Mix'!TSC21-'NF - 5 Power Mix'!TSC22</f>
        <v>0</v>
      </c>
      <c r="TSD42" s="1046">
        <f>TSD38+((TSD40+'NF - 5 Power Mix'!TSD14+'NF - 5 Power Mix'!TSD15)*860/10)+((('Form Sa1'!TSG835)*860)/10)+('Form Sa1'!TSG814*'Form Sa1'!TSG816/10)-'NF - 5 Power Mix'!TSD21-'NF - 5 Power Mix'!TSD22</f>
        <v>0</v>
      </c>
      <c r="TSE42" s="1046">
        <f>TSE38+((TSE40+'NF - 5 Power Mix'!TSE14+'NF - 5 Power Mix'!TSE15)*860/10)+((('Form Sa1'!TSH835)*860)/10)+('Form Sa1'!TSH814*'Form Sa1'!TSH816/10)-'NF - 5 Power Mix'!TSE21-'NF - 5 Power Mix'!TSE22</f>
        <v>0</v>
      </c>
      <c r="TSF42" s="1046">
        <f>TSF38+((TSF40+'NF - 5 Power Mix'!TSF14+'NF - 5 Power Mix'!TSF15)*860/10)+((('Form Sa1'!TSI835)*860)/10)+('Form Sa1'!TSI814*'Form Sa1'!TSI816/10)-'NF - 5 Power Mix'!TSF21-'NF - 5 Power Mix'!TSF22</f>
        <v>0</v>
      </c>
      <c r="TSG42" s="1046">
        <f>TSG38+((TSG40+'NF - 5 Power Mix'!TSG14+'NF - 5 Power Mix'!TSG15)*860/10)+((('Form Sa1'!TSJ835)*860)/10)+('Form Sa1'!TSJ814*'Form Sa1'!TSJ816/10)-'NF - 5 Power Mix'!TSG21-'NF - 5 Power Mix'!TSG22</f>
        <v>0</v>
      </c>
      <c r="TSH42" s="1046">
        <f>TSH38+((TSH40+'NF - 5 Power Mix'!TSH14+'NF - 5 Power Mix'!TSH15)*860/10)+((('Form Sa1'!TSK835)*860)/10)+('Form Sa1'!TSK814*'Form Sa1'!TSK816/10)-'NF - 5 Power Mix'!TSH21-'NF - 5 Power Mix'!TSH22</f>
        <v>0</v>
      </c>
      <c r="TSI42" s="1046">
        <f>TSI38+((TSI40+'NF - 5 Power Mix'!TSI14+'NF - 5 Power Mix'!TSI15)*860/10)+((('Form Sa1'!TSL835)*860)/10)+('Form Sa1'!TSL814*'Form Sa1'!TSL816/10)-'NF - 5 Power Mix'!TSI21-'NF - 5 Power Mix'!TSI22</f>
        <v>0</v>
      </c>
      <c r="TSJ42" s="1046">
        <f>TSJ38+((TSJ40+'NF - 5 Power Mix'!TSJ14+'NF - 5 Power Mix'!TSJ15)*860/10)+((('Form Sa1'!TSM835)*860)/10)+('Form Sa1'!TSM814*'Form Sa1'!TSM816/10)-'NF - 5 Power Mix'!TSJ21-'NF - 5 Power Mix'!TSJ22</f>
        <v>0</v>
      </c>
      <c r="TSK42" s="1046">
        <f>TSK38+((TSK40+'NF - 5 Power Mix'!TSK14+'NF - 5 Power Mix'!TSK15)*860/10)+((('Form Sa1'!TSN835)*860)/10)+('Form Sa1'!TSN814*'Form Sa1'!TSN816/10)-'NF - 5 Power Mix'!TSK21-'NF - 5 Power Mix'!TSK22</f>
        <v>0</v>
      </c>
      <c r="TSL42" s="1046">
        <f>TSL38+((TSL40+'NF - 5 Power Mix'!TSL14+'NF - 5 Power Mix'!TSL15)*860/10)+((('Form Sa1'!TSO835)*860)/10)+('Form Sa1'!TSO814*'Form Sa1'!TSO816/10)-'NF - 5 Power Mix'!TSL21-'NF - 5 Power Mix'!TSL22</f>
        <v>0</v>
      </c>
      <c r="TSM42" s="1046">
        <f>TSM38+((TSM40+'NF - 5 Power Mix'!TSM14+'NF - 5 Power Mix'!TSM15)*860/10)+((('Form Sa1'!TSP835)*860)/10)+('Form Sa1'!TSP814*'Form Sa1'!TSP816/10)-'NF - 5 Power Mix'!TSM21-'NF - 5 Power Mix'!TSM22</f>
        <v>0</v>
      </c>
      <c r="TSN42" s="1046">
        <f>TSN38+((TSN40+'NF - 5 Power Mix'!TSN14+'NF - 5 Power Mix'!TSN15)*860/10)+((('Form Sa1'!TSQ835)*860)/10)+('Form Sa1'!TSQ814*'Form Sa1'!TSQ816/10)-'NF - 5 Power Mix'!TSN21-'NF - 5 Power Mix'!TSN22</f>
        <v>0</v>
      </c>
      <c r="TSO42" s="1046">
        <f>TSO38+((TSO40+'NF - 5 Power Mix'!TSO14+'NF - 5 Power Mix'!TSO15)*860/10)+((('Form Sa1'!TSR835)*860)/10)+('Form Sa1'!TSR814*'Form Sa1'!TSR816/10)-'NF - 5 Power Mix'!TSO21-'NF - 5 Power Mix'!TSO22</f>
        <v>0</v>
      </c>
      <c r="TSP42" s="1046">
        <f>TSP38+((TSP40+'NF - 5 Power Mix'!TSP14+'NF - 5 Power Mix'!TSP15)*860/10)+((('Form Sa1'!TSS835)*860)/10)+('Form Sa1'!TSS814*'Form Sa1'!TSS816/10)-'NF - 5 Power Mix'!TSP21-'NF - 5 Power Mix'!TSP22</f>
        <v>0</v>
      </c>
      <c r="TSQ42" s="1046">
        <f>TSQ38+((TSQ40+'NF - 5 Power Mix'!TSQ14+'NF - 5 Power Mix'!TSQ15)*860/10)+((('Form Sa1'!TST835)*860)/10)+('Form Sa1'!TST814*'Form Sa1'!TST816/10)-'NF - 5 Power Mix'!TSQ21-'NF - 5 Power Mix'!TSQ22</f>
        <v>0</v>
      </c>
      <c r="TSR42" s="1046">
        <f>TSR38+((TSR40+'NF - 5 Power Mix'!TSR14+'NF - 5 Power Mix'!TSR15)*860/10)+((('Form Sa1'!TSU835)*860)/10)+('Form Sa1'!TSU814*'Form Sa1'!TSU816/10)-'NF - 5 Power Mix'!TSR21-'NF - 5 Power Mix'!TSR22</f>
        <v>0</v>
      </c>
      <c r="TSS42" s="1046">
        <f>TSS38+((TSS40+'NF - 5 Power Mix'!TSS14+'NF - 5 Power Mix'!TSS15)*860/10)+((('Form Sa1'!TSV835)*860)/10)+('Form Sa1'!TSV814*'Form Sa1'!TSV816/10)-'NF - 5 Power Mix'!TSS21-'NF - 5 Power Mix'!TSS22</f>
        <v>0</v>
      </c>
      <c r="TST42" s="1046">
        <f>TST38+((TST40+'NF - 5 Power Mix'!TST14+'NF - 5 Power Mix'!TST15)*860/10)+((('Form Sa1'!TSW835)*860)/10)+('Form Sa1'!TSW814*'Form Sa1'!TSW816/10)-'NF - 5 Power Mix'!TST21-'NF - 5 Power Mix'!TST22</f>
        <v>0</v>
      </c>
      <c r="TSU42" s="1046">
        <f>TSU38+((TSU40+'NF - 5 Power Mix'!TSU14+'NF - 5 Power Mix'!TSU15)*860/10)+((('Form Sa1'!TSX835)*860)/10)+('Form Sa1'!TSX814*'Form Sa1'!TSX816/10)-'NF - 5 Power Mix'!TSU21-'NF - 5 Power Mix'!TSU22</f>
        <v>0</v>
      </c>
      <c r="TSV42" s="1046">
        <f>TSV38+((TSV40+'NF - 5 Power Mix'!TSV14+'NF - 5 Power Mix'!TSV15)*860/10)+((('Form Sa1'!TSY835)*860)/10)+('Form Sa1'!TSY814*'Form Sa1'!TSY816/10)-'NF - 5 Power Mix'!TSV21-'NF - 5 Power Mix'!TSV22</f>
        <v>0</v>
      </c>
      <c r="TSW42" s="1046">
        <f>TSW38+((TSW40+'NF - 5 Power Mix'!TSW14+'NF - 5 Power Mix'!TSW15)*860/10)+((('Form Sa1'!TSZ835)*860)/10)+('Form Sa1'!TSZ814*'Form Sa1'!TSZ816/10)-'NF - 5 Power Mix'!TSW21-'NF - 5 Power Mix'!TSW22</f>
        <v>0</v>
      </c>
      <c r="TSX42" s="1046">
        <f>TSX38+((TSX40+'NF - 5 Power Mix'!TSX14+'NF - 5 Power Mix'!TSX15)*860/10)+((('Form Sa1'!TTA835)*860)/10)+('Form Sa1'!TTA814*'Form Sa1'!TTA816/10)-'NF - 5 Power Mix'!TSX21-'NF - 5 Power Mix'!TSX22</f>
        <v>0</v>
      </c>
      <c r="TSY42" s="1046">
        <f>TSY38+((TSY40+'NF - 5 Power Mix'!TSY14+'NF - 5 Power Mix'!TSY15)*860/10)+((('Form Sa1'!TTB835)*860)/10)+('Form Sa1'!TTB814*'Form Sa1'!TTB816/10)-'NF - 5 Power Mix'!TSY21-'NF - 5 Power Mix'!TSY22</f>
        <v>0</v>
      </c>
      <c r="TSZ42" s="1046">
        <f>TSZ38+((TSZ40+'NF - 5 Power Mix'!TSZ14+'NF - 5 Power Mix'!TSZ15)*860/10)+((('Form Sa1'!TTC835)*860)/10)+('Form Sa1'!TTC814*'Form Sa1'!TTC816/10)-'NF - 5 Power Mix'!TSZ21-'NF - 5 Power Mix'!TSZ22</f>
        <v>0</v>
      </c>
      <c r="TTA42" s="1046">
        <f>TTA38+((TTA40+'NF - 5 Power Mix'!TTA14+'NF - 5 Power Mix'!TTA15)*860/10)+((('Form Sa1'!TTD835)*860)/10)+('Form Sa1'!TTD814*'Form Sa1'!TTD816/10)-'NF - 5 Power Mix'!TTA21-'NF - 5 Power Mix'!TTA22</f>
        <v>0</v>
      </c>
      <c r="TTB42" s="1046">
        <f>TTB38+((TTB40+'NF - 5 Power Mix'!TTB14+'NF - 5 Power Mix'!TTB15)*860/10)+((('Form Sa1'!TTE835)*860)/10)+('Form Sa1'!TTE814*'Form Sa1'!TTE816/10)-'NF - 5 Power Mix'!TTB21-'NF - 5 Power Mix'!TTB22</f>
        <v>0</v>
      </c>
      <c r="TTC42" s="1046">
        <f>TTC38+((TTC40+'NF - 5 Power Mix'!TTC14+'NF - 5 Power Mix'!TTC15)*860/10)+((('Form Sa1'!TTF835)*860)/10)+('Form Sa1'!TTF814*'Form Sa1'!TTF816/10)-'NF - 5 Power Mix'!TTC21-'NF - 5 Power Mix'!TTC22</f>
        <v>0</v>
      </c>
      <c r="TTD42" s="1046">
        <f>TTD38+((TTD40+'NF - 5 Power Mix'!TTD14+'NF - 5 Power Mix'!TTD15)*860/10)+((('Form Sa1'!TTG835)*860)/10)+('Form Sa1'!TTG814*'Form Sa1'!TTG816/10)-'NF - 5 Power Mix'!TTD21-'NF - 5 Power Mix'!TTD22</f>
        <v>0</v>
      </c>
      <c r="TTE42" s="1046">
        <f>TTE38+((TTE40+'NF - 5 Power Mix'!TTE14+'NF - 5 Power Mix'!TTE15)*860/10)+((('Form Sa1'!TTH835)*860)/10)+('Form Sa1'!TTH814*'Form Sa1'!TTH816/10)-'NF - 5 Power Mix'!TTE21-'NF - 5 Power Mix'!TTE22</f>
        <v>0</v>
      </c>
      <c r="TTF42" s="1046">
        <f>TTF38+((TTF40+'NF - 5 Power Mix'!TTF14+'NF - 5 Power Mix'!TTF15)*860/10)+((('Form Sa1'!TTI835)*860)/10)+('Form Sa1'!TTI814*'Form Sa1'!TTI816/10)-'NF - 5 Power Mix'!TTF21-'NF - 5 Power Mix'!TTF22</f>
        <v>0</v>
      </c>
      <c r="TTG42" s="1046">
        <f>TTG38+((TTG40+'NF - 5 Power Mix'!TTG14+'NF - 5 Power Mix'!TTG15)*860/10)+((('Form Sa1'!TTJ835)*860)/10)+('Form Sa1'!TTJ814*'Form Sa1'!TTJ816/10)-'NF - 5 Power Mix'!TTG21-'NF - 5 Power Mix'!TTG22</f>
        <v>0</v>
      </c>
      <c r="TTH42" s="1046">
        <f>TTH38+((TTH40+'NF - 5 Power Mix'!TTH14+'NF - 5 Power Mix'!TTH15)*860/10)+((('Form Sa1'!TTK835)*860)/10)+('Form Sa1'!TTK814*'Form Sa1'!TTK816/10)-'NF - 5 Power Mix'!TTH21-'NF - 5 Power Mix'!TTH22</f>
        <v>0</v>
      </c>
      <c r="TTI42" s="1046">
        <f>TTI38+((TTI40+'NF - 5 Power Mix'!TTI14+'NF - 5 Power Mix'!TTI15)*860/10)+((('Form Sa1'!TTL835)*860)/10)+('Form Sa1'!TTL814*'Form Sa1'!TTL816/10)-'NF - 5 Power Mix'!TTI21-'NF - 5 Power Mix'!TTI22</f>
        <v>0</v>
      </c>
      <c r="TTJ42" s="1046">
        <f>TTJ38+((TTJ40+'NF - 5 Power Mix'!TTJ14+'NF - 5 Power Mix'!TTJ15)*860/10)+((('Form Sa1'!TTM835)*860)/10)+('Form Sa1'!TTM814*'Form Sa1'!TTM816/10)-'NF - 5 Power Mix'!TTJ21-'NF - 5 Power Mix'!TTJ22</f>
        <v>0</v>
      </c>
      <c r="TTK42" s="1046">
        <f>TTK38+((TTK40+'NF - 5 Power Mix'!TTK14+'NF - 5 Power Mix'!TTK15)*860/10)+((('Form Sa1'!TTN835)*860)/10)+('Form Sa1'!TTN814*'Form Sa1'!TTN816/10)-'NF - 5 Power Mix'!TTK21-'NF - 5 Power Mix'!TTK22</f>
        <v>0</v>
      </c>
      <c r="TTL42" s="1046">
        <f>TTL38+((TTL40+'NF - 5 Power Mix'!TTL14+'NF - 5 Power Mix'!TTL15)*860/10)+((('Form Sa1'!TTO835)*860)/10)+('Form Sa1'!TTO814*'Form Sa1'!TTO816/10)-'NF - 5 Power Mix'!TTL21-'NF - 5 Power Mix'!TTL22</f>
        <v>0</v>
      </c>
      <c r="TTM42" s="1046">
        <f>TTM38+((TTM40+'NF - 5 Power Mix'!TTM14+'NF - 5 Power Mix'!TTM15)*860/10)+((('Form Sa1'!TTP835)*860)/10)+('Form Sa1'!TTP814*'Form Sa1'!TTP816/10)-'NF - 5 Power Mix'!TTM21-'NF - 5 Power Mix'!TTM22</f>
        <v>0</v>
      </c>
      <c r="TTN42" s="1046">
        <f>TTN38+((TTN40+'NF - 5 Power Mix'!TTN14+'NF - 5 Power Mix'!TTN15)*860/10)+((('Form Sa1'!TTQ835)*860)/10)+('Form Sa1'!TTQ814*'Form Sa1'!TTQ816/10)-'NF - 5 Power Mix'!TTN21-'NF - 5 Power Mix'!TTN22</f>
        <v>0</v>
      </c>
      <c r="TTO42" s="1046">
        <f>TTO38+((TTO40+'NF - 5 Power Mix'!TTO14+'NF - 5 Power Mix'!TTO15)*860/10)+((('Form Sa1'!TTR835)*860)/10)+('Form Sa1'!TTR814*'Form Sa1'!TTR816/10)-'NF - 5 Power Mix'!TTO21-'NF - 5 Power Mix'!TTO22</f>
        <v>0</v>
      </c>
      <c r="TTP42" s="1046">
        <f>TTP38+((TTP40+'NF - 5 Power Mix'!TTP14+'NF - 5 Power Mix'!TTP15)*860/10)+((('Form Sa1'!TTS835)*860)/10)+('Form Sa1'!TTS814*'Form Sa1'!TTS816/10)-'NF - 5 Power Mix'!TTP21-'NF - 5 Power Mix'!TTP22</f>
        <v>0</v>
      </c>
      <c r="TTQ42" s="1046">
        <f>TTQ38+((TTQ40+'NF - 5 Power Mix'!TTQ14+'NF - 5 Power Mix'!TTQ15)*860/10)+((('Form Sa1'!TTT835)*860)/10)+('Form Sa1'!TTT814*'Form Sa1'!TTT816/10)-'NF - 5 Power Mix'!TTQ21-'NF - 5 Power Mix'!TTQ22</f>
        <v>0</v>
      </c>
      <c r="TTR42" s="1046">
        <f>TTR38+((TTR40+'NF - 5 Power Mix'!TTR14+'NF - 5 Power Mix'!TTR15)*860/10)+((('Form Sa1'!TTU835)*860)/10)+('Form Sa1'!TTU814*'Form Sa1'!TTU816/10)-'NF - 5 Power Mix'!TTR21-'NF - 5 Power Mix'!TTR22</f>
        <v>0</v>
      </c>
      <c r="TTS42" s="1046">
        <f>TTS38+((TTS40+'NF - 5 Power Mix'!TTS14+'NF - 5 Power Mix'!TTS15)*860/10)+((('Form Sa1'!TTV835)*860)/10)+('Form Sa1'!TTV814*'Form Sa1'!TTV816/10)-'NF - 5 Power Mix'!TTS21-'NF - 5 Power Mix'!TTS22</f>
        <v>0</v>
      </c>
      <c r="TTT42" s="1046">
        <f>TTT38+((TTT40+'NF - 5 Power Mix'!TTT14+'NF - 5 Power Mix'!TTT15)*860/10)+((('Form Sa1'!TTW835)*860)/10)+('Form Sa1'!TTW814*'Form Sa1'!TTW816/10)-'NF - 5 Power Mix'!TTT21-'NF - 5 Power Mix'!TTT22</f>
        <v>0</v>
      </c>
      <c r="TTU42" s="1046">
        <f>TTU38+((TTU40+'NF - 5 Power Mix'!TTU14+'NF - 5 Power Mix'!TTU15)*860/10)+((('Form Sa1'!TTX835)*860)/10)+('Form Sa1'!TTX814*'Form Sa1'!TTX816/10)-'NF - 5 Power Mix'!TTU21-'NF - 5 Power Mix'!TTU22</f>
        <v>0</v>
      </c>
      <c r="TTV42" s="1046">
        <f>TTV38+((TTV40+'NF - 5 Power Mix'!TTV14+'NF - 5 Power Mix'!TTV15)*860/10)+((('Form Sa1'!TTY835)*860)/10)+('Form Sa1'!TTY814*'Form Sa1'!TTY816/10)-'NF - 5 Power Mix'!TTV21-'NF - 5 Power Mix'!TTV22</f>
        <v>0</v>
      </c>
      <c r="TTW42" s="1046">
        <f>TTW38+((TTW40+'NF - 5 Power Mix'!TTW14+'NF - 5 Power Mix'!TTW15)*860/10)+((('Form Sa1'!TTZ835)*860)/10)+('Form Sa1'!TTZ814*'Form Sa1'!TTZ816/10)-'NF - 5 Power Mix'!TTW21-'NF - 5 Power Mix'!TTW22</f>
        <v>0</v>
      </c>
      <c r="TTX42" s="1046">
        <f>TTX38+((TTX40+'NF - 5 Power Mix'!TTX14+'NF - 5 Power Mix'!TTX15)*860/10)+((('Form Sa1'!TUA835)*860)/10)+('Form Sa1'!TUA814*'Form Sa1'!TUA816/10)-'NF - 5 Power Mix'!TTX21-'NF - 5 Power Mix'!TTX22</f>
        <v>0</v>
      </c>
      <c r="TTY42" s="1046">
        <f>TTY38+((TTY40+'NF - 5 Power Mix'!TTY14+'NF - 5 Power Mix'!TTY15)*860/10)+((('Form Sa1'!TUB835)*860)/10)+('Form Sa1'!TUB814*'Form Sa1'!TUB816/10)-'NF - 5 Power Mix'!TTY21-'NF - 5 Power Mix'!TTY22</f>
        <v>0</v>
      </c>
      <c r="TTZ42" s="1046">
        <f>TTZ38+((TTZ40+'NF - 5 Power Mix'!TTZ14+'NF - 5 Power Mix'!TTZ15)*860/10)+((('Form Sa1'!TUC835)*860)/10)+('Form Sa1'!TUC814*'Form Sa1'!TUC816/10)-'NF - 5 Power Mix'!TTZ21-'NF - 5 Power Mix'!TTZ22</f>
        <v>0</v>
      </c>
      <c r="TUA42" s="1046">
        <f>TUA38+((TUA40+'NF - 5 Power Mix'!TUA14+'NF - 5 Power Mix'!TUA15)*860/10)+((('Form Sa1'!TUD835)*860)/10)+('Form Sa1'!TUD814*'Form Sa1'!TUD816/10)-'NF - 5 Power Mix'!TUA21-'NF - 5 Power Mix'!TUA22</f>
        <v>0</v>
      </c>
      <c r="TUB42" s="1046">
        <f>TUB38+((TUB40+'NF - 5 Power Mix'!TUB14+'NF - 5 Power Mix'!TUB15)*860/10)+((('Form Sa1'!TUE835)*860)/10)+('Form Sa1'!TUE814*'Form Sa1'!TUE816/10)-'NF - 5 Power Mix'!TUB21-'NF - 5 Power Mix'!TUB22</f>
        <v>0</v>
      </c>
      <c r="TUC42" s="1046">
        <f>TUC38+((TUC40+'NF - 5 Power Mix'!TUC14+'NF - 5 Power Mix'!TUC15)*860/10)+((('Form Sa1'!TUF835)*860)/10)+('Form Sa1'!TUF814*'Form Sa1'!TUF816/10)-'NF - 5 Power Mix'!TUC21-'NF - 5 Power Mix'!TUC22</f>
        <v>0</v>
      </c>
      <c r="TUD42" s="1046">
        <f>TUD38+((TUD40+'NF - 5 Power Mix'!TUD14+'NF - 5 Power Mix'!TUD15)*860/10)+((('Form Sa1'!TUG835)*860)/10)+('Form Sa1'!TUG814*'Form Sa1'!TUG816/10)-'NF - 5 Power Mix'!TUD21-'NF - 5 Power Mix'!TUD22</f>
        <v>0</v>
      </c>
      <c r="TUE42" s="1046">
        <f>TUE38+((TUE40+'NF - 5 Power Mix'!TUE14+'NF - 5 Power Mix'!TUE15)*860/10)+((('Form Sa1'!TUH835)*860)/10)+('Form Sa1'!TUH814*'Form Sa1'!TUH816/10)-'NF - 5 Power Mix'!TUE21-'NF - 5 Power Mix'!TUE22</f>
        <v>0</v>
      </c>
      <c r="TUF42" s="1046">
        <f>TUF38+((TUF40+'NF - 5 Power Mix'!TUF14+'NF - 5 Power Mix'!TUF15)*860/10)+((('Form Sa1'!TUI835)*860)/10)+('Form Sa1'!TUI814*'Form Sa1'!TUI816/10)-'NF - 5 Power Mix'!TUF21-'NF - 5 Power Mix'!TUF22</f>
        <v>0</v>
      </c>
      <c r="TUG42" s="1046">
        <f>TUG38+((TUG40+'NF - 5 Power Mix'!TUG14+'NF - 5 Power Mix'!TUG15)*860/10)+((('Form Sa1'!TUJ835)*860)/10)+('Form Sa1'!TUJ814*'Form Sa1'!TUJ816/10)-'NF - 5 Power Mix'!TUG21-'NF - 5 Power Mix'!TUG22</f>
        <v>0</v>
      </c>
      <c r="TUH42" s="1046">
        <f>TUH38+((TUH40+'NF - 5 Power Mix'!TUH14+'NF - 5 Power Mix'!TUH15)*860/10)+((('Form Sa1'!TUK835)*860)/10)+('Form Sa1'!TUK814*'Form Sa1'!TUK816/10)-'NF - 5 Power Mix'!TUH21-'NF - 5 Power Mix'!TUH22</f>
        <v>0</v>
      </c>
      <c r="TUI42" s="1046">
        <f>TUI38+((TUI40+'NF - 5 Power Mix'!TUI14+'NF - 5 Power Mix'!TUI15)*860/10)+((('Form Sa1'!TUL835)*860)/10)+('Form Sa1'!TUL814*'Form Sa1'!TUL816/10)-'NF - 5 Power Mix'!TUI21-'NF - 5 Power Mix'!TUI22</f>
        <v>0</v>
      </c>
      <c r="TUJ42" s="1046">
        <f>TUJ38+((TUJ40+'NF - 5 Power Mix'!TUJ14+'NF - 5 Power Mix'!TUJ15)*860/10)+((('Form Sa1'!TUM835)*860)/10)+('Form Sa1'!TUM814*'Form Sa1'!TUM816/10)-'NF - 5 Power Mix'!TUJ21-'NF - 5 Power Mix'!TUJ22</f>
        <v>0</v>
      </c>
      <c r="TUK42" s="1046">
        <f>TUK38+((TUK40+'NF - 5 Power Mix'!TUK14+'NF - 5 Power Mix'!TUK15)*860/10)+((('Form Sa1'!TUN835)*860)/10)+('Form Sa1'!TUN814*'Form Sa1'!TUN816/10)-'NF - 5 Power Mix'!TUK21-'NF - 5 Power Mix'!TUK22</f>
        <v>0</v>
      </c>
      <c r="TUL42" s="1046">
        <f>TUL38+((TUL40+'NF - 5 Power Mix'!TUL14+'NF - 5 Power Mix'!TUL15)*860/10)+((('Form Sa1'!TUO835)*860)/10)+('Form Sa1'!TUO814*'Form Sa1'!TUO816/10)-'NF - 5 Power Mix'!TUL21-'NF - 5 Power Mix'!TUL22</f>
        <v>0</v>
      </c>
      <c r="TUM42" s="1046">
        <f>TUM38+((TUM40+'NF - 5 Power Mix'!TUM14+'NF - 5 Power Mix'!TUM15)*860/10)+((('Form Sa1'!TUP835)*860)/10)+('Form Sa1'!TUP814*'Form Sa1'!TUP816/10)-'NF - 5 Power Mix'!TUM21-'NF - 5 Power Mix'!TUM22</f>
        <v>0</v>
      </c>
      <c r="TUN42" s="1046">
        <f>TUN38+((TUN40+'NF - 5 Power Mix'!TUN14+'NF - 5 Power Mix'!TUN15)*860/10)+((('Form Sa1'!TUQ835)*860)/10)+('Form Sa1'!TUQ814*'Form Sa1'!TUQ816/10)-'NF - 5 Power Mix'!TUN21-'NF - 5 Power Mix'!TUN22</f>
        <v>0</v>
      </c>
      <c r="TUO42" s="1046">
        <f>TUO38+((TUO40+'NF - 5 Power Mix'!TUO14+'NF - 5 Power Mix'!TUO15)*860/10)+((('Form Sa1'!TUR835)*860)/10)+('Form Sa1'!TUR814*'Form Sa1'!TUR816/10)-'NF - 5 Power Mix'!TUO21-'NF - 5 Power Mix'!TUO22</f>
        <v>0</v>
      </c>
      <c r="TUP42" s="1046">
        <f>TUP38+((TUP40+'NF - 5 Power Mix'!TUP14+'NF - 5 Power Mix'!TUP15)*860/10)+((('Form Sa1'!TUS835)*860)/10)+('Form Sa1'!TUS814*'Form Sa1'!TUS816/10)-'NF - 5 Power Mix'!TUP21-'NF - 5 Power Mix'!TUP22</f>
        <v>0</v>
      </c>
      <c r="TUQ42" s="1046">
        <f>TUQ38+((TUQ40+'NF - 5 Power Mix'!TUQ14+'NF - 5 Power Mix'!TUQ15)*860/10)+((('Form Sa1'!TUT835)*860)/10)+('Form Sa1'!TUT814*'Form Sa1'!TUT816/10)-'NF - 5 Power Mix'!TUQ21-'NF - 5 Power Mix'!TUQ22</f>
        <v>0</v>
      </c>
      <c r="TUR42" s="1046">
        <f>TUR38+((TUR40+'NF - 5 Power Mix'!TUR14+'NF - 5 Power Mix'!TUR15)*860/10)+((('Form Sa1'!TUU835)*860)/10)+('Form Sa1'!TUU814*'Form Sa1'!TUU816/10)-'NF - 5 Power Mix'!TUR21-'NF - 5 Power Mix'!TUR22</f>
        <v>0</v>
      </c>
      <c r="TUS42" s="1046">
        <f>TUS38+((TUS40+'NF - 5 Power Mix'!TUS14+'NF - 5 Power Mix'!TUS15)*860/10)+((('Form Sa1'!TUV835)*860)/10)+('Form Sa1'!TUV814*'Form Sa1'!TUV816/10)-'NF - 5 Power Mix'!TUS21-'NF - 5 Power Mix'!TUS22</f>
        <v>0</v>
      </c>
      <c r="TUT42" s="1046">
        <f>TUT38+((TUT40+'NF - 5 Power Mix'!TUT14+'NF - 5 Power Mix'!TUT15)*860/10)+((('Form Sa1'!TUW835)*860)/10)+('Form Sa1'!TUW814*'Form Sa1'!TUW816/10)-'NF - 5 Power Mix'!TUT21-'NF - 5 Power Mix'!TUT22</f>
        <v>0</v>
      </c>
      <c r="TUU42" s="1046">
        <f>TUU38+((TUU40+'NF - 5 Power Mix'!TUU14+'NF - 5 Power Mix'!TUU15)*860/10)+((('Form Sa1'!TUX835)*860)/10)+('Form Sa1'!TUX814*'Form Sa1'!TUX816/10)-'NF - 5 Power Mix'!TUU21-'NF - 5 Power Mix'!TUU22</f>
        <v>0</v>
      </c>
      <c r="TUV42" s="1046">
        <f>TUV38+((TUV40+'NF - 5 Power Mix'!TUV14+'NF - 5 Power Mix'!TUV15)*860/10)+((('Form Sa1'!TUY835)*860)/10)+('Form Sa1'!TUY814*'Form Sa1'!TUY816/10)-'NF - 5 Power Mix'!TUV21-'NF - 5 Power Mix'!TUV22</f>
        <v>0</v>
      </c>
      <c r="TUW42" s="1046">
        <f>TUW38+((TUW40+'NF - 5 Power Mix'!TUW14+'NF - 5 Power Mix'!TUW15)*860/10)+((('Form Sa1'!TUZ835)*860)/10)+('Form Sa1'!TUZ814*'Form Sa1'!TUZ816/10)-'NF - 5 Power Mix'!TUW21-'NF - 5 Power Mix'!TUW22</f>
        <v>0</v>
      </c>
      <c r="TUX42" s="1046">
        <f>TUX38+((TUX40+'NF - 5 Power Mix'!TUX14+'NF - 5 Power Mix'!TUX15)*860/10)+((('Form Sa1'!TVA835)*860)/10)+('Form Sa1'!TVA814*'Form Sa1'!TVA816/10)-'NF - 5 Power Mix'!TUX21-'NF - 5 Power Mix'!TUX22</f>
        <v>0</v>
      </c>
      <c r="TUY42" s="1046">
        <f>TUY38+((TUY40+'NF - 5 Power Mix'!TUY14+'NF - 5 Power Mix'!TUY15)*860/10)+((('Form Sa1'!TVB835)*860)/10)+('Form Sa1'!TVB814*'Form Sa1'!TVB816/10)-'NF - 5 Power Mix'!TUY21-'NF - 5 Power Mix'!TUY22</f>
        <v>0</v>
      </c>
      <c r="TUZ42" s="1046">
        <f>TUZ38+((TUZ40+'NF - 5 Power Mix'!TUZ14+'NF - 5 Power Mix'!TUZ15)*860/10)+((('Form Sa1'!TVC835)*860)/10)+('Form Sa1'!TVC814*'Form Sa1'!TVC816/10)-'NF - 5 Power Mix'!TUZ21-'NF - 5 Power Mix'!TUZ22</f>
        <v>0</v>
      </c>
      <c r="TVA42" s="1046">
        <f>TVA38+((TVA40+'NF - 5 Power Mix'!TVA14+'NF - 5 Power Mix'!TVA15)*860/10)+((('Form Sa1'!TVD835)*860)/10)+('Form Sa1'!TVD814*'Form Sa1'!TVD816/10)-'NF - 5 Power Mix'!TVA21-'NF - 5 Power Mix'!TVA22</f>
        <v>0</v>
      </c>
      <c r="TVB42" s="1046">
        <f>TVB38+((TVB40+'NF - 5 Power Mix'!TVB14+'NF - 5 Power Mix'!TVB15)*860/10)+((('Form Sa1'!TVE835)*860)/10)+('Form Sa1'!TVE814*'Form Sa1'!TVE816/10)-'NF - 5 Power Mix'!TVB21-'NF - 5 Power Mix'!TVB22</f>
        <v>0</v>
      </c>
      <c r="TVC42" s="1046">
        <f>TVC38+((TVC40+'NF - 5 Power Mix'!TVC14+'NF - 5 Power Mix'!TVC15)*860/10)+((('Form Sa1'!TVF835)*860)/10)+('Form Sa1'!TVF814*'Form Sa1'!TVF816/10)-'NF - 5 Power Mix'!TVC21-'NF - 5 Power Mix'!TVC22</f>
        <v>0</v>
      </c>
      <c r="TVD42" s="1046">
        <f>TVD38+((TVD40+'NF - 5 Power Mix'!TVD14+'NF - 5 Power Mix'!TVD15)*860/10)+((('Form Sa1'!TVG835)*860)/10)+('Form Sa1'!TVG814*'Form Sa1'!TVG816/10)-'NF - 5 Power Mix'!TVD21-'NF - 5 Power Mix'!TVD22</f>
        <v>0</v>
      </c>
      <c r="TVE42" s="1046">
        <f>TVE38+((TVE40+'NF - 5 Power Mix'!TVE14+'NF - 5 Power Mix'!TVE15)*860/10)+((('Form Sa1'!TVH835)*860)/10)+('Form Sa1'!TVH814*'Form Sa1'!TVH816/10)-'NF - 5 Power Mix'!TVE21-'NF - 5 Power Mix'!TVE22</f>
        <v>0</v>
      </c>
      <c r="TVF42" s="1046">
        <f>TVF38+((TVF40+'NF - 5 Power Mix'!TVF14+'NF - 5 Power Mix'!TVF15)*860/10)+((('Form Sa1'!TVI835)*860)/10)+('Form Sa1'!TVI814*'Form Sa1'!TVI816/10)-'NF - 5 Power Mix'!TVF21-'NF - 5 Power Mix'!TVF22</f>
        <v>0</v>
      </c>
      <c r="TVG42" s="1046">
        <f>TVG38+((TVG40+'NF - 5 Power Mix'!TVG14+'NF - 5 Power Mix'!TVG15)*860/10)+((('Form Sa1'!TVJ835)*860)/10)+('Form Sa1'!TVJ814*'Form Sa1'!TVJ816/10)-'NF - 5 Power Mix'!TVG21-'NF - 5 Power Mix'!TVG22</f>
        <v>0</v>
      </c>
      <c r="TVH42" s="1046">
        <f>TVH38+((TVH40+'NF - 5 Power Mix'!TVH14+'NF - 5 Power Mix'!TVH15)*860/10)+((('Form Sa1'!TVK835)*860)/10)+('Form Sa1'!TVK814*'Form Sa1'!TVK816/10)-'NF - 5 Power Mix'!TVH21-'NF - 5 Power Mix'!TVH22</f>
        <v>0</v>
      </c>
      <c r="TVI42" s="1046">
        <f>TVI38+((TVI40+'NF - 5 Power Mix'!TVI14+'NF - 5 Power Mix'!TVI15)*860/10)+((('Form Sa1'!TVL835)*860)/10)+('Form Sa1'!TVL814*'Form Sa1'!TVL816/10)-'NF - 5 Power Mix'!TVI21-'NF - 5 Power Mix'!TVI22</f>
        <v>0</v>
      </c>
      <c r="TVJ42" s="1046">
        <f>TVJ38+((TVJ40+'NF - 5 Power Mix'!TVJ14+'NF - 5 Power Mix'!TVJ15)*860/10)+((('Form Sa1'!TVM835)*860)/10)+('Form Sa1'!TVM814*'Form Sa1'!TVM816/10)-'NF - 5 Power Mix'!TVJ21-'NF - 5 Power Mix'!TVJ22</f>
        <v>0</v>
      </c>
      <c r="TVK42" s="1046">
        <f>TVK38+((TVK40+'NF - 5 Power Mix'!TVK14+'NF - 5 Power Mix'!TVK15)*860/10)+((('Form Sa1'!TVN835)*860)/10)+('Form Sa1'!TVN814*'Form Sa1'!TVN816/10)-'NF - 5 Power Mix'!TVK21-'NF - 5 Power Mix'!TVK22</f>
        <v>0</v>
      </c>
      <c r="TVL42" s="1046">
        <f>TVL38+((TVL40+'NF - 5 Power Mix'!TVL14+'NF - 5 Power Mix'!TVL15)*860/10)+((('Form Sa1'!TVO835)*860)/10)+('Form Sa1'!TVO814*'Form Sa1'!TVO816/10)-'NF - 5 Power Mix'!TVL21-'NF - 5 Power Mix'!TVL22</f>
        <v>0</v>
      </c>
      <c r="TVM42" s="1046">
        <f>TVM38+((TVM40+'NF - 5 Power Mix'!TVM14+'NF - 5 Power Mix'!TVM15)*860/10)+((('Form Sa1'!TVP835)*860)/10)+('Form Sa1'!TVP814*'Form Sa1'!TVP816/10)-'NF - 5 Power Mix'!TVM21-'NF - 5 Power Mix'!TVM22</f>
        <v>0</v>
      </c>
      <c r="TVN42" s="1046">
        <f>TVN38+((TVN40+'NF - 5 Power Mix'!TVN14+'NF - 5 Power Mix'!TVN15)*860/10)+((('Form Sa1'!TVQ835)*860)/10)+('Form Sa1'!TVQ814*'Form Sa1'!TVQ816/10)-'NF - 5 Power Mix'!TVN21-'NF - 5 Power Mix'!TVN22</f>
        <v>0</v>
      </c>
      <c r="TVO42" s="1046">
        <f>TVO38+((TVO40+'NF - 5 Power Mix'!TVO14+'NF - 5 Power Mix'!TVO15)*860/10)+((('Form Sa1'!TVR835)*860)/10)+('Form Sa1'!TVR814*'Form Sa1'!TVR816/10)-'NF - 5 Power Mix'!TVO21-'NF - 5 Power Mix'!TVO22</f>
        <v>0</v>
      </c>
      <c r="TVP42" s="1046">
        <f>TVP38+((TVP40+'NF - 5 Power Mix'!TVP14+'NF - 5 Power Mix'!TVP15)*860/10)+((('Form Sa1'!TVS835)*860)/10)+('Form Sa1'!TVS814*'Form Sa1'!TVS816/10)-'NF - 5 Power Mix'!TVP21-'NF - 5 Power Mix'!TVP22</f>
        <v>0</v>
      </c>
      <c r="TVQ42" s="1046">
        <f>TVQ38+((TVQ40+'NF - 5 Power Mix'!TVQ14+'NF - 5 Power Mix'!TVQ15)*860/10)+((('Form Sa1'!TVT835)*860)/10)+('Form Sa1'!TVT814*'Form Sa1'!TVT816/10)-'NF - 5 Power Mix'!TVQ21-'NF - 5 Power Mix'!TVQ22</f>
        <v>0</v>
      </c>
      <c r="TVR42" s="1046">
        <f>TVR38+((TVR40+'NF - 5 Power Mix'!TVR14+'NF - 5 Power Mix'!TVR15)*860/10)+((('Form Sa1'!TVU835)*860)/10)+('Form Sa1'!TVU814*'Form Sa1'!TVU816/10)-'NF - 5 Power Mix'!TVR21-'NF - 5 Power Mix'!TVR22</f>
        <v>0</v>
      </c>
      <c r="TVS42" s="1046">
        <f>TVS38+((TVS40+'NF - 5 Power Mix'!TVS14+'NF - 5 Power Mix'!TVS15)*860/10)+((('Form Sa1'!TVV835)*860)/10)+('Form Sa1'!TVV814*'Form Sa1'!TVV816/10)-'NF - 5 Power Mix'!TVS21-'NF - 5 Power Mix'!TVS22</f>
        <v>0</v>
      </c>
      <c r="TVT42" s="1046">
        <f>TVT38+((TVT40+'NF - 5 Power Mix'!TVT14+'NF - 5 Power Mix'!TVT15)*860/10)+((('Form Sa1'!TVW835)*860)/10)+('Form Sa1'!TVW814*'Form Sa1'!TVW816/10)-'NF - 5 Power Mix'!TVT21-'NF - 5 Power Mix'!TVT22</f>
        <v>0</v>
      </c>
      <c r="TVU42" s="1046">
        <f>TVU38+((TVU40+'NF - 5 Power Mix'!TVU14+'NF - 5 Power Mix'!TVU15)*860/10)+((('Form Sa1'!TVX835)*860)/10)+('Form Sa1'!TVX814*'Form Sa1'!TVX816/10)-'NF - 5 Power Mix'!TVU21-'NF - 5 Power Mix'!TVU22</f>
        <v>0</v>
      </c>
      <c r="TVV42" s="1046">
        <f>TVV38+((TVV40+'NF - 5 Power Mix'!TVV14+'NF - 5 Power Mix'!TVV15)*860/10)+((('Form Sa1'!TVY835)*860)/10)+('Form Sa1'!TVY814*'Form Sa1'!TVY816/10)-'NF - 5 Power Mix'!TVV21-'NF - 5 Power Mix'!TVV22</f>
        <v>0</v>
      </c>
      <c r="TVW42" s="1046">
        <f>TVW38+((TVW40+'NF - 5 Power Mix'!TVW14+'NF - 5 Power Mix'!TVW15)*860/10)+((('Form Sa1'!TVZ835)*860)/10)+('Form Sa1'!TVZ814*'Form Sa1'!TVZ816/10)-'NF - 5 Power Mix'!TVW21-'NF - 5 Power Mix'!TVW22</f>
        <v>0</v>
      </c>
      <c r="TVX42" s="1046">
        <f>TVX38+((TVX40+'NF - 5 Power Mix'!TVX14+'NF - 5 Power Mix'!TVX15)*860/10)+((('Form Sa1'!TWA835)*860)/10)+('Form Sa1'!TWA814*'Form Sa1'!TWA816/10)-'NF - 5 Power Mix'!TVX21-'NF - 5 Power Mix'!TVX22</f>
        <v>0</v>
      </c>
      <c r="TVY42" s="1046">
        <f>TVY38+((TVY40+'NF - 5 Power Mix'!TVY14+'NF - 5 Power Mix'!TVY15)*860/10)+((('Form Sa1'!TWB835)*860)/10)+('Form Sa1'!TWB814*'Form Sa1'!TWB816/10)-'NF - 5 Power Mix'!TVY21-'NF - 5 Power Mix'!TVY22</f>
        <v>0</v>
      </c>
      <c r="TVZ42" s="1046">
        <f>TVZ38+((TVZ40+'NF - 5 Power Mix'!TVZ14+'NF - 5 Power Mix'!TVZ15)*860/10)+((('Form Sa1'!TWC835)*860)/10)+('Form Sa1'!TWC814*'Form Sa1'!TWC816/10)-'NF - 5 Power Mix'!TVZ21-'NF - 5 Power Mix'!TVZ22</f>
        <v>0</v>
      </c>
      <c r="TWA42" s="1046">
        <f>TWA38+((TWA40+'NF - 5 Power Mix'!TWA14+'NF - 5 Power Mix'!TWA15)*860/10)+((('Form Sa1'!TWD835)*860)/10)+('Form Sa1'!TWD814*'Form Sa1'!TWD816/10)-'NF - 5 Power Mix'!TWA21-'NF - 5 Power Mix'!TWA22</f>
        <v>0</v>
      </c>
      <c r="TWB42" s="1046">
        <f>TWB38+((TWB40+'NF - 5 Power Mix'!TWB14+'NF - 5 Power Mix'!TWB15)*860/10)+((('Form Sa1'!TWE835)*860)/10)+('Form Sa1'!TWE814*'Form Sa1'!TWE816/10)-'NF - 5 Power Mix'!TWB21-'NF - 5 Power Mix'!TWB22</f>
        <v>0</v>
      </c>
      <c r="TWC42" s="1046">
        <f>TWC38+((TWC40+'NF - 5 Power Mix'!TWC14+'NF - 5 Power Mix'!TWC15)*860/10)+((('Form Sa1'!TWF835)*860)/10)+('Form Sa1'!TWF814*'Form Sa1'!TWF816/10)-'NF - 5 Power Mix'!TWC21-'NF - 5 Power Mix'!TWC22</f>
        <v>0</v>
      </c>
      <c r="TWD42" s="1046">
        <f>TWD38+((TWD40+'NF - 5 Power Mix'!TWD14+'NF - 5 Power Mix'!TWD15)*860/10)+((('Form Sa1'!TWG835)*860)/10)+('Form Sa1'!TWG814*'Form Sa1'!TWG816/10)-'NF - 5 Power Mix'!TWD21-'NF - 5 Power Mix'!TWD22</f>
        <v>0</v>
      </c>
      <c r="TWE42" s="1046">
        <f>TWE38+((TWE40+'NF - 5 Power Mix'!TWE14+'NF - 5 Power Mix'!TWE15)*860/10)+((('Form Sa1'!TWH835)*860)/10)+('Form Sa1'!TWH814*'Form Sa1'!TWH816/10)-'NF - 5 Power Mix'!TWE21-'NF - 5 Power Mix'!TWE22</f>
        <v>0</v>
      </c>
      <c r="TWF42" s="1046">
        <f>TWF38+((TWF40+'NF - 5 Power Mix'!TWF14+'NF - 5 Power Mix'!TWF15)*860/10)+((('Form Sa1'!TWI835)*860)/10)+('Form Sa1'!TWI814*'Form Sa1'!TWI816/10)-'NF - 5 Power Mix'!TWF21-'NF - 5 Power Mix'!TWF22</f>
        <v>0</v>
      </c>
      <c r="TWG42" s="1046">
        <f>TWG38+((TWG40+'NF - 5 Power Mix'!TWG14+'NF - 5 Power Mix'!TWG15)*860/10)+((('Form Sa1'!TWJ835)*860)/10)+('Form Sa1'!TWJ814*'Form Sa1'!TWJ816/10)-'NF - 5 Power Mix'!TWG21-'NF - 5 Power Mix'!TWG22</f>
        <v>0</v>
      </c>
      <c r="TWH42" s="1046">
        <f>TWH38+((TWH40+'NF - 5 Power Mix'!TWH14+'NF - 5 Power Mix'!TWH15)*860/10)+((('Form Sa1'!TWK835)*860)/10)+('Form Sa1'!TWK814*'Form Sa1'!TWK816/10)-'NF - 5 Power Mix'!TWH21-'NF - 5 Power Mix'!TWH22</f>
        <v>0</v>
      </c>
      <c r="TWI42" s="1046">
        <f>TWI38+((TWI40+'NF - 5 Power Mix'!TWI14+'NF - 5 Power Mix'!TWI15)*860/10)+((('Form Sa1'!TWL835)*860)/10)+('Form Sa1'!TWL814*'Form Sa1'!TWL816/10)-'NF - 5 Power Mix'!TWI21-'NF - 5 Power Mix'!TWI22</f>
        <v>0</v>
      </c>
      <c r="TWJ42" s="1046">
        <f>TWJ38+((TWJ40+'NF - 5 Power Mix'!TWJ14+'NF - 5 Power Mix'!TWJ15)*860/10)+((('Form Sa1'!TWM835)*860)/10)+('Form Sa1'!TWM814*'Form Sa1'!TWM816/10)-'NF - 5 Power Mix'!TWJ21-'NF - 5 Power Mix'!TWJ22</f>
        <v>0</v>
      </c>
      <c r="TWK42" s="1046">
        <f>TWK38+((TWK40+'NF - 5 Power Mix'!TWK14+'NF - 5 Power Mix'!TWK15)*860/10)+((('Form Sa1'!TWN835)*860)/10)+('Form Sa1'!TWN814*'Form Sa1'!TWN816/10)-'NF - 5 Power Mix'!TWK21-'NF - 5 Power Mix'!TWK22</f>
        <v>0</v>
      </c>
      <c r="TWL42" s="1046">
        <f>TWL38+((TWL40+'NF - 5 Power Mix'!TWL14+'NF - 5 Power Mix'!TWL15)*860/10)+((('Form Sa1'!TWO835)*860)/10)+('Form Sa1'!TWO814*'Form Sa1'!TWO816/10)-'NF - 5 Power Mix'!TWL21-'NF - 5 Power Mix'!TWL22</f>
        <v>0</v>
      </c>
      <c r="TWM42" s="1046">
        <f>TWM38+((TWM40+'NF - 5 Power Mix'!TWM14+'NF - 5 Power Mix'!TWM15)*860/10)+((('Form Sa1'!TWP835)*860)/10)+('Form Sa1'!TWP814*'Form Sa1'!TWP816/10)-'NF - 5 Power Mix'!TWM21-'NF - 5 Power Mix'!TWM22</f>
        <v>0</v>
      </c>
      <c r="TWN42" s="1046">
        <f>TWN38+((TWN40+'NF - 5 Power Mix'!TWN14+'NF - 5 Power Mix'!TWN15)*860/10)+((('Form Sa1'!TWQ835)*860)/10)+('Form Sa1'!TWQ814*'Form Sa1'!TWQ816/10)-'NF - 5 Power Mix'!TWN21-'NF - 5 Power Mix'!TWN22</f>
        <v>0</v>
      </c>
      <c r="TWO42" s="1046">
        <f>TWO38+((TWO40+'NF - 5 Power Mix'!TWO14+'NF - 5 Power Mix'!TWO15)*860/10)+((('Form Sa1'!TWR835)*860)/10)+('Form Sa1'!TWR814*'Form Sa1'!TWR816/10)-'NF - 5 Power Mix'!TWO21-'NF - 5 Power Mix'!TWO22</f>
        <v>0</v>
      </c>
      <c r="TWP42" s="1046">
        <f>TWP38+((TWP40+'NF - 5 Power Mix'!TWP14+'NF - 5 Power Mix'!TWP15)*860/10)+((('Form Sa1'!TWS835)*860)/10)+('Form Sa1'!TWS814*'Form Sa1'!TWS816/10)-'NF - 5 Power Mix'!TWP21-'NF - 5 Power Mix'!TWP22</f>
        <v>0</v>
      </c>
      <c r="TWQ42" s="1046">
        <f>TWQ38+((TWQ40+'NF - 5 Power Mix'!TWQ14+'NF - 5 Power Mix'!TWQ15)*860/10)+((('Form Sa1'!TWT835)*860)/10)+('Form Sa1'!TWT814*'Form Sa1'!TWT816/10)-'NF - 5 Power Mix'!TWQ21-'NF - 5 Power Mix'!TWQ22</f>
        <v>0</v>
      </c>
      <c r="TWR42" s="1046">
        <f>TWR38+((TWR40+'NF - 5 Power Mix'!TWR14+'NF - 5 Power Mix'!TWR15)*860/10)+((('Form Sa1'!TWU835)*860)/10)+('Form Sa1'!TWU814*'Form Sa1'!TWU816/10)-'NF - 5 Power Mix'!TWR21-'NF - 5 Power Mix'!TWR22</f>
        <v>0</v>
      </c>
      <c r="TWS42" s="1046">
        <f>TWS38+((TWS40+'NF - 5 Power Mix'!TWS14+'NF - 5 Power Mix'!TWS15)*860/10)+((('Form Sa1'!TWV835)*860)/10)+('Form Sa1'!TWV814*'Form Sa1'!TWV816/10)-'NF - 5 Power Mix'!TWS21-'NF - 5 Power Mix'!TWS22</f>
        <v>0</v>
      </c>
      <c r="TWT42" s="1046">
        <f>TWT38+((TWT40+'NF - 5 Power Mix'!TWT14+'NF - 5 Power Mix'!TWT15)*860/10)+((('Form Sa1'!TWW835)*860)/10)+('Form Sa1'!TWW814*'Form Sa1'!TWW816/10)-'NF - 5 Power Mix'!TWT21-'NF - 5 Power Mix'!TWT22</f>
        <v>0</v>
      </c>
      <c r="TWU42" s="1046">
        <f>TWU38+((TWU40+'NF - 5 Power Mix'!TWU14+'NF - 5 Power Mix'!TWU15)*860/10)+((('Form Sa1'!TWX835)*860)/10)+('Form Sa1'!TWX814*'Form Sa1'!TWX816/10)-'NF - 5 Power Mix'!TWU21-'NF - 5 Power Mix'!TWU22</f>
        <v>0</v>
      </c>
      <c r="TWV42" s="1046">
        <f>TWV38+((TWV40+'NF - 5 Power Mix'!TWV14+'NF - 5 Power Mix'!TWV15)*860/10)+((('Form Sa1'!TWY835)*860)/10)+('Form Sa1'!TWY814*'Form Sa1'!TWY816/10)-'NF - 5 Power Mix'!TWV21-'NF - 5 Power Mix'!TWV22</f>
        <v>0</v>
      </c>
      <c r="TWW42" s="1046">
        <f>TWW38+((TWW40+'NF - 5 Power Mix'!TWW14+'NF - 5 Power Mix'!TWW15)*860/10)+((('Form Sa1'!TWZ835)*860)/10)+('Form Sa1'!TWZ814*'Form Sa1'!TWZ816/10)-'NF - 5 Power Mix'!TWW21-'NF - 5 Power Mix'!TWW22</f>
        <v>0</v>
      </c>
      <c r="TWX42" s="1046">
        <f>TWX38+((TWX40+'NF - 5 Power Mix'!TWX14+'NF - 5 Power Mix'!TWX15)*860/10)+((('Form Sa1'!TXA835)*860)/10)+('Form Sa1'!TXA814*'Form Sa1'!TXA816/10)-'NF - 5 Power Mix'!TWX21-'NF - 5 Power Mix'!TWX22</f>
        <v>0</v>
      </c>
      <c r="TWY42" s="1046">
        <f>TWY38+((TWY40+'NF - 5 Power Mix'!TWY14+'NF - 5 Power Mix'!TWY15)*860/10)+((('Form Sa1'!TXB835)*860)/10)+('Form Sa1'!TXB814*'Form Sa1'!TXB816/10)-'NF - 5 Power Mix'!TWY21-'NF - 5 Power Mix'!TWY22</f>
        <v>0</v>
      </c>
      <c r="TWZ42" s="1046">
        <f>TWZ38+((TWZ40+'NF - 5 Power Mix'!TWZ14+'NF - 5 Power Mix'!TWZ15)*860/10)+((('Form Sa1'!TXC835)*860)/10)+('Form Sa1'!TXC814*'Form Sa1'!TXC816/10)-'NF - 5 Power Mix'!TWZ21-'NF - 5 Power Mix'!TWZ22</f>
        <v>0</v>
      </c>
      <c r="TXA42" s="1046">
        <f>TXA38+((TXA40+'NF - 5 Power Mix'!TXA14+'NF - 5 Power Mix'!TXA15)*860/10)+((('Form Sa1'!TXD835)*860)/10)+('Form Sa1'!TXD814*'Form Sa1'!TXD816/10)-'NF - 5 Power Mix'!TXA21-'NF - 5 Power Mix'!TXA22</f>
        <v>0</v>
      </c>
      <c r="TXB42" s="1046">
        <f>TXB38+((TXB40+'NF - 5 Power Mix'!TXB14+'NF - 5 Power Mix'!TXB15)*860/10)+((('Form Sa1'!TXE835)*860)/10)+('Form Sa1'!TXE814*'Form Sa1'!TXE816/10)-'NF - 5 Power Mix'!TXB21-'NF - 5 Power Mix'!TXB22</f>
        <v>0</v>
      </c>
      <c r="TXC42" s="1046">
        <f>TXC38+((TXC40+'NF - 5 Power Mix'!TXC14+'NF - 5 Power Mix'!TXC15)*860/10)+((('Form Sa1'!TXF835)*860)/10)+('Form Sa1'!TXF814*'Form Sa1'!TXF816/10)-'NF - 5 Power Mix'!TXC21-'NF - 5 Power Mix'!TXC22</f>
        <v>0</v>
      </c>
      <c r="TXD42" s="1046">
        <f>TXD38+((TXD40+'NF - 5 Power Mix'!TXD14+'NF - 5 Power Mix'!TXD15)*860/10)+((('Form Sa1'!TXG835)*860)/10)+('Form Sa1'!TXG814*'Form Sa1'!TXG816/10)-'NF - 5 Power Mix'!TXD21-'NF - 5 Power Mix'!TXD22</f>
        <v>0</v>
      </c>
      <c r="TXE42" s="1046">
        <f>TXE38+((TXE40+'NF - 5 Power Mix'!TXE14+'NF - 5 Power Mix'!TXE15)*860/10)+((('Form Sa1'!TXH835)*860)/10)+('Form Sa1'!TXH814*'Form Sa1'!TXH816/10)-'NF - 5 Power Mix'!TXE21-'NF - 5 Power Mix'!TXE22</f>
        <v>0</v>
      </c>
      <c r="TXF42" s="1046">
        <f>TXF38+((TXF40+'NF - 5 Power Mix'!TXF14+'NF - 5 Power Mix'!TXF15)*860/10)+((('Form Sa1'!TXI835)*860)/10)+('Form Sa1'!TXI814*'Form Sa1'!TXI816/10)-'NF - 5 Power Mix'!TXF21-'NF - 5 Power Mix'!TXF22</f>
        <v>0</v>
      </c>
      <c r="TXG42" s="1046">
        <f>TXG38+((TXG40+'NF - 5 Power Mix'!TXG14+'NF - 5 Power Mix'!TXG15)*860/10)+((('Form Sa1'!TXJ835)*860)/10)+('Form Sa1'!TXJ814*'Form Sa1'!TXJ816/10)-'NF - 5 Power Mix'!TXG21-'NF - 5 Power Mix'!TXG22</f>
        <v>0</v>
      </c>
      <c r="TXH42" s="1046">
        <f>TXH38+((TXH40+'NF - 5 Power Mix'!TXH14+'NF - 5 Power Mix'!TXH15)*860/10)+((('Form Sa1'!TXK835)*860)/10)+('Form Sa1'!TXK814*'Form Sa1'!TXK816/10)-'NF - 5 Power Mix'!TXH21-'NF - 5 Power Mix'!TXH22</f>
        <v>0</v>
      </c>
      <c r="TXI42" s="1046">
        <f>TXI38+((TXI40+'NF - 5 Power Mix'!TXI14+'NF - 5 Power Mix'!TXI15)*860/10)+((('Form Sa1'!TXL835)*860)/10)+('Form Sa1'!TXL814*'Form Sa1'!TXL816/10)-'NF - 5 Power Mix'!TXI21-'NF - 5 Power Mix'!TXI22</f>
        <v>0</v>
      </c>
      <c r="TXJ42" s="1046">
        <f>TXJ38+((TXJ40+'NF - 5 Power Mix'!TXJ14+'NF - 5 Power Mix'!TXJ15)*860/10)+((('Form Sa1'!TXM835)*860)/10)+('Form Sa1'!TXM814*'Form Sa1'!TXM816/10)-'NF - 5 Power Mix'!TXJ21-'NF - 5 Power Mix'!TXJ22</f>
        <v>0</v>
      </c>
      <c r="TXK42" s="1046">
        <f>TXK38+((TXK40+'NF - 5 Power Mix'!TXK14+'NF - 5 Power Mix'!TXK15)*860/10)+((('Form Sa1'!TXN835)*860)/10)+('Form Sa1'!TXN814*'Form Sa1'!TXN816/10)-'NF - 5 Power Mix'!TXK21-'NF - 5 Power Mix'!TXK22</f>
        <v>0</v>
      </c>
      <c r="TXL42" s="1046">
        <f>TXL38+((TXL40+'NF - 5 Power Mix'!TXL14+'NF - 5 Power Mix'!TXL15)*860/10)+((('Form Sa1'!TXO835)*860)/10)+('Form Sa1'!TXO814*'Form Sa1'!TXO816/10)-'NF - 5 Power Mix'!TXL21-'NF - 5 Power Mix'!TXL22</f>
        <v>0</v>
      </c>
      <c r="TXM42" s="1046">
        <f>TXM38+((TXM40+'NF - 5 Power Mix'!TXM14+'NF - 5 Power Mix'!TXM15)*860/10)+((('Form Sa1'!TXP835)*860)/10)+('Form Sa1'!TXP814*'Form Sa1'!TXP816/10)-'NF - 5 Power Mix'!TXM21-'NF - 5 Power Mix'!TXM22</f>
        <v>0</v>
      </c>
      <c r="TXN42" s="1046">
        <f>TXN38+((TXN40+'NF - 5 Power Mix'!TXN14+'NF - 5 Power Mix'!TXN15)*860/10)+((('Form Sa1'!TXQ835)*860)/10)+('Form Sa1'!TXQ814*'Form Sa1'!TXQ816/10)-'NF - 5 Power Mix'!TXN21-'NF - 5 Power Mix'!TXN22</f>
        <v>0</v>
      </c>
      <c r="TXO42" s="1046">
        <f>TXO38+((TXO40+'NF - 5 Power Mix'!TXO14+'NF - 5 Power Mix'!TXO15)*860/10)+((('Form Sa1'!TXR835)*860)/10)+('Form Sa1'!TXR814*'Form Sa1'!TXR816/10)-'NF - 5 Power Mix'!TXO21-'NF - 5 Power Mix'!TXO22</f>
        <v>0</v>
      </c>
      <c r="TXP42" s="1046">
        <f>TXP38+((TXP40+'NF - 5 Power Mix'!TXP14+'NF - 5 Power Mix'!TXP15)*860/10)+((('Form Sa1'!TXS835)*860)/10)+('Form Sa1'!TXS814*'Form Sa1'!TXS816/10)-'NF - 5 Power Mix'!TXP21-'NF - 5 Power Mix'!TXP22</f>
        <v>0</v>
      </c>
      <c r="TXQ42" s="1046">
        <f>TXQ38+((TXQ40+'NF - 5 Power Mix'!TXQ14+'NF - 5 Power Mix'!TXQ15)*860/10)+((('Form Sa1'!TXT835)*860)/10)+('Form Sa1'!TXT814*'Form Sa1'!TXT816/10)-'NF - 5 Power Mix'!TXQ21-'NF - 5 Power Mix'!TXQ22</f>
        <v>0</v>
      </c>
      <c r="TXR42" s="1046">
        <f>TXR38+((TXR40+'NF - 5 Power Mix'!TXR14+'NF - 5 Power Mix'!TXR15)*860/10)+((('Form Sa1'!TXU835)*860)/10)+('Form Sa1'!TXU814*'Form Sa1'!TXU816/10)-'NF - 5 Power Mix'!TXR21-'NF - 5 Power Mix'!TXR22</f>
        <v>0</v>
      </c>
      <c r="TXS42" s="1046">
        <f>TXS38+((TXS40+'NF - 5 Power Mix'!TXS14+'NF - 5 Power Mix'!TXS15)*860/10)+((('Form Sa1'!TXV835)*860)/10)+('Form Sa1'!TXV814*'Form Sa1'!TXV816/10)-'NF - 5 Power Mix'!TXS21-'NF - 5 Power Mix'!TXS22</f>
        <v>0</v>
      </c>
      <c r="TXT42" s="1046">
        <f>TXT38+((TXT40+'NF - 5 Power Mix'!TXT14+'NF - 5 Power Mix'!TXT15)*860/10)+((('Form Sa1'!TXW835)*860)/10)+('Form Sa1'!TXW814*'Form Sa1'!TXW816/10)-'NF - 5 Power Mix'!TXT21-'NF - 5 Power Mix'!TXT22</f>
        <v>0</v>
      </c>
      <c r="TXU42" s="1046">
        <f>TXU38+((TXU40+'NF - 5 Power Mix'!TXU14+'NF - 5 Power Mix'!TXU15)*860/10)+((('Form Sa1'!TXX835)*860)/10)+('Form Sa1'!TXX814*'Form Sa1'!TXX816/10)-'NF - 5 Power Mix'!TXU21-'NF - 5 Power Mix'!TXU22</f>
        <v>0</v>
      </c>
      <c r="TXV42" s="1046">
        <f>TXV38+((TXV40+'NF - 5 Power Mix'!TXV14+'NF - 5 Power Mix'!TXV15)*860/10)+((('Form Sa1'!TXY835)*860)/10)+('Form Sa1'!TXY814*'Form Sa1'!TXY816/10)-'NF - 5 Power Mix'!TXV21-'NF - 5 Power Mix'!TXV22</f>
        <v>0</v>
      </c>
      <c r="TXW42" s="1046">
        <f>TXW38+((TXW40+'NF - 5 Power Mix'!TXW14+'NF - 5 Power Mix'!TXW15)*860/10)+((('Form Sa1'!TXZ835)*860)/10)+('Form Sa1'!TXZ814*'Form Sa1'!TXZ816/10)-'NF - 5 Power Mix'!TXW21-'NF - 5 Power Mix'!TXW22</f>
        <v>0</v>
      </c>
      <c r="TXX42" s="1046">
        <f>TXX38+((TXX40+'NF - 5 Power Mix'!TXX14+'NF - 5 Power Mix'!TXX15)*860/10)+((('Form Sa1'!TYA835)*860)/10)+('Form Sa1'!TYA814*'Form Sa1'!TYA816/10)-'NF - 5 Power Mix'!TXX21-'NF - 5 Power Mix'!TXX22</f>
        <v>0</v>
      </c>
      <c r="TXY42" s="1046">
        <f>TXY38+((TXY40+'NF - 5 Power Mix'!TXY14+'NF - 5 Power Mix'!TXY15)*860/10)+((('Form Sa1'!TYB835)*860)/10)+('Form Sa1'!TYB814*'Form Sa1'!TYB816/10)-'NF - 5 Power Mix'!TXY21-'NF - 5 Power Mix'!TXY22</f>
        <v>0</v>
      </c>
      <c r="TXZ42" s="1046">
        <f>TXZ38+((TXZ40+'NF - 5 Power Mix'!TXZ14+'NF - 5 Power Mix'!TXZ15)*860/10)+((('Form Sa1'!TYC835)*860)/10)+('Form Sa1'!TYC814*'Form Sa1'!TYC816/10)-'NF - 5 Power Mix'!TXZ21-'NF - 5 Power Mix'!TXZ22</f>
        <v>0</v>
      </c>
      <c r="TYA42" s="1046">
        <f>TYA38+((TYA40+'NF - 5 Power Mix'!TYA14+'NF - 5 Power Mix'!TYA15)*860/10)+((('Form Sa1'!TYD835)*860)/10)+('Form Sa1'!TYD814*'Form Sa1'!TYD816/10)-'NF - 5 Power Mix'!TYA21-'NF - 5 Power Mix'!TYA22</f>
        <v>0</v>
      </c>
      <c r="TYB42" s="1046">
        <f>TYB38+((TYB40+'NF - 5 Power Mix'!TYB14+'NF - 5 Power Mix'!TYB15)*860/10)+((('Form Sa1'!TYE835)*860)/10)+('Form Sa1'!TYE814*'Form Sa1'!TYE816/10)-'NF - 5 Power Mix'!TYB21-'NF - 5 Power Mix'!TYB22</f>
        <v>0</v>
      </c>
      <c r="TYC42" s="1046">
        <f>TYC38+((TYC40+'NF - 5 Power Mix'!TYC14+'NF - 5 Power Mix'!TYC15)*860/10)+((('Form Sa1'!TYF835)*860)/10)+('Form Sa1'!TYF814*'Form Sa1'!TYF816/10)-'NF - 5 Power Mix'!TYC21-'NF - 5 Power Mix'!TYC22</f>
        <v>0</v>
      </c>
      <c r="TYD42" s="1046">
        <f>TYD38+((TYD40+'NF - 5 Power Mix'!TYD14+'NF - 5 Power Mix'!TYD15)*860/10)+((('Form Sa1'!TYG835)*860)/10)+('Form Sa1'!TYG814*'Form Sa1'!TYG816/10)-'NF - 5 Power Mix'!TYD21-'NF - 5 Power Mix'!TYD22</f>
        <v>0</v>
      </c>
      <c r="TYE42" s="1046">
        <f>TYE38+((TYE40+'NF - 5 Power Mix'!TYE14+'NF - 5 Power Mix'!TYE15)*860/10)+((('Form Sa1'!TYH835)*860)/10)+('Form Sa1'!TYH814*'Form Sa1'!TYH816/10)-'NF - 5 Power Mix'!TYE21-'NF - 5 Power Mix'!TYE22</f>
        <v>0</v>
      </c>
      <c r="TYF42" s="1046">
        <f>TYF38+((TYF40+'NF - 5 Power Mix'!TYF14+'NF - 5 Power Mix'!TYF15)*860/10)+((('Form Sa1'!TYI835)*860)/10)+('Form Sa1'!TYI814*'Form Sa1'!TYI816/10)-'NF - 5 Power Mix'!TYF21-'NF - 5 Power Mix'!TYF22</f>
        <v>0</v>
      </c>
      <c r="TYG42" s="1046">
        <f>TYG38+((TYG40+'NF - 5 Power Mix'!TYG14+'NF - 5 Power Mix'!TYG15)*860/10)+((('Form Sa1'!TYJ835)*860)/10)+('Form Sa1'!TYJ814*'Form Sa1'!TYJ816/10)-'NF - 5 Power Mix'!TYG21-'NF - 5 Power Mix'!TYG22</f>
        <v>0</v>
      </c>
      <c r="TYH42" s="1046">
        <f>TYH38+((TYH40+'NF - 5 Power Mix'!TYH14+'NF - 5 Power Mix'!TYH15)*860/10)+((('Form Sa1'!TYK835)*860)/10)+('Form Sa1'!TYK814*'Form Sa1'!TYK816/10)-'NF - 5 Power Mix'!TYH21-'NF - 5 Power Mix'!TYH22</f>
        <v>0</v>
      </c>
      <c r="TYI42" s="1046">
        <f>TYI38+((TYI40+'NF - 5 Power Mix'!TYI14+'NF - 5 Power Mix'!TYI15)*860/10)+((('Form Sa1'!TYL835)*860)/10)+('Form Sa1'!TYL814*'Form Sa1'!TYL816/10)-'NF - 5 Power Mix'!TYI21-'NF - 5 Power Mix'!TYI22</f>
        <v>0</v>
      </c>
      <c r="TYJ42" s="1046">
        <f>TYJ38+((TYJ40+'NF - 5 Power Mix'!TYJ14+'NF - 5 Power Mix'!TYJ15)*860/10)+((('Form Sa1'!TYM835)*860)/10)+('Form Sa1'!TYM814*'Form Sa1'!TYM816/10)-'NF - 5 Power Mix'!TYJ21-'NF - 5 Power Mix'!TYJ22</f>
        <v>0</v>
      </c>
      <c r="TYK42" s="1046">
        <f>TYK38+((TYK40+'NF - 5 Power Mix'!TYK14+'NF - 5 Power Mix'!TYK15)*860/10)+((('Form Sa1'!TYN835)*860)/10)+('Form Sa1'!TYN814*'Form Sa1'!TYN816/10)-'NF - 5 Power Mix'!TYK21-'NF - 5 Power Mix'!TYK22</f>
        <v>0</v>
      </c>
      <c r="TYL42" s="1046">
        <f>TYL38+((TYL40+'NF - 5 Power Mix'!TYL14+'NF - 5 Power Mix'!TYL15)*860/10)+((('Form Sa1'!TYO835)*860)/10)+('Form Sa1'!TYO814*'Form Sa1'!TYO816/10)-'NF - 5 Power Mix'!TYL21-'NF - 5 Power Mix'!TYL22</f>
        <v>0</v>
      </c>
      <c r="TYM42" s="1046">
        <f>TYM38+((TYM40+'NF - 5 Power Mix'!TYM14+'NF - 5 Power Mix'!TYM15)*860/10)+((('Form Sa1'!TYP835)*860)/10)+('Form Sa1'!TYP814*'Form Sa1'!TYP816/10)-'NF - 5 Power Mix'!TYM21-'NF - 5 Power Mix'!TYM22</f>
        <v>0</v>
      </c>
      <c r="TYN42" s="1046">
        <f>TYN38+((TYN40+'NF - 5 Power Mix'!TYN14+'NF - 5 Power Mix'!TYN15)*860/10)+((('Form Sa1'!TYQ835)*860)/10)+('Form Sa1'!TYQ814*'Form Sa1'!TYQ816/10)-'NF - 5 Power Mix'!TYN21-'NF - 5 Power Mix'!TYN22</f>
        <v>0</v>
      </c>
      <c r="TYO42" s="1046">
        <f>TYO38+((TYO40+'NF - 5 Power Mix'!TYO14+'NF - 5 Power Mix'!TYO15)*860/10)+((('Form Sa1'!TYR835)*860)/10)+('Form Sa1'!TYR814*'Form Sa1'!TYR816/10)-'NF - 5 Power Mix'!TYO21-'NF - 5 Power Mix'!TYO22</f>
        <v>0</v>
      </c>
      <c r="TYP42" s="1046">
        <f>TYP38+((TYP40+'NF - 5 Power Mix'!TYP14+'NF - 5 Power Mix'!TYP15)*860/10)+((('Form Sa1'!TYS835)*860)/10)+('Form Sa1'!TYS814*'Form Sa1'!TYS816/10)-'NF - 5 Power Mix'!TYP21-'NF - 5 Power Mix'!TYP22</f>
        <v>0</v>
      </c>
      <c r="TYQ42" s="1046">
        <f>TYQ38+((TYQ40+'NF - 5 Power Mix'!TYQ14+'NF - 5 Power Mix'!TYQ15)*860/10)+((('Form Sa1'!TYT835)*860)/10)+('Form Sa1'!TYT814*'Form Sa1'!TYT816/10)-'NF - 5 Power Mix'!TYQ21-'NF - 5 Power Mix'!TYQ22</f>
        <v>0</v>
      </c>
      <c r="TYR42" s="1046">
        <f>TYR38+((TYR40+'NF - 5 Power Mix'!TYR14+'NF - 5 Power Mix'!TYR15)*860/10)+((('Form Sa1'!TYU835)*860)/10)+('Form Sa1'!TYU814*'Form Sa1'!TYU816/10)-'NF - 5 Power Mix'!TYR21-'NF - 5 Power Mix'!TYR22</f>
        <v>0</v>
      </c>
      <c r="TYS42" s="1046">
        <f>TYS38+((TYS40+'NF - 5 Power Mix'!TYS14+'NF - 5 Power Mix'!TYS15)*860/10)+((('Form Sa1'!TYV835)*860)/10)+('Form Sa1'!TYV814*'Form Sa1'!TYV816/10)-'NF - 5 Power Mix'!TYS21-'NF - 5 Power Mix'!TYS22</f>
        <v>0</v>
      </c>
      <c r="TYT42" s="1046">
        <f>TYT38+((TYT40+'NF - 5 Power Mix'!TYT14+'NF - 5 Power Mix'!TYT15)*860/10)+((('Form Sa1'!TYW835)*860)/10)+('Form Sa1'!TYW814*'Form Sa1'!TYW816/10)-'NF - 5 Power Mix'!TYT21-'NF - 5 Power Mix'!TYT22</f>
        <v>0</v>
      </c>
      <c r="TYU42" s="1046">
        <f>TYU38+((TYU40+'NF - 5 Power Mix'!TYU14+'NF - 5 Power Mix'!TYU15)*860/10)+((('Form Sa1'!TYX835)*860)/10)+('Form Sa1'!TYX814*'Form Sa1'!TYX816/10)-'NF - 5 Power Mix'!TYU21-'NF - 5 Power Mix'!TYU22</f>
        <v>0</v>
      </c>
      <c r="TYV42" s="1046">
        <f>TYV38+((TYV40+'NF - 5 Power Mix'!TYV14+'NF - 5 Power Mix'!TYV15)*860/10)+((('Form Sa1'!TYY835)*860)/10)+('Form Sa1'!TYY814*'Form Sa1'!TYY816/10)-'NF - 5 Power Mix'!TYV21-'NF - 5 Power Mix'!TYV22</f>
        <v>0</v>
      </c>
      <c r="TYW42" s="1046">
        <f>TYW38+((TYW40+'NF - 5 Power Mix'!TYW14+'NF - 5 Power Mix'!TYW15)*860/10)+((('Form Sa1'!TYZ835)*860)/10)+('Form Sa1'!TYZ814*'Form Sa1'!TYZ816/10)-'NF - 5 Power Mix'!TYW21-'NF - 5 Power Mix'!TYW22</f>
        <v>0</v>
      </c>
      <c r="TYX42" s="1046">
        <f>TYX38+((TYX40+'NF - 5 Power Mix'!TYX14+'NF - 5 Power Mix'!TYX15)*860/10)+((('Form Sa1'!TZA835)*860)/10)+('Form Sa1'!TZA814*'Form Sa1'!TZA816/10)-'NF - 5 Power Mix'!TYX21-'NF - 5 Power Mix'!TYX22</f>
        <v>0</v>
      </c>
      <c r="TYY42" s="1046">
        <f>TYY38+((TYY40+'NF - 5 Power Mix'!TYY14+'NF - 5 Power Mix'!TYY15)*860/10)+((('Form Sa1'!TZB835)*860)/10)+('Form Sa1'!TZB814*'Form Sa1'!TZB816/10)-'NF - 5 Power Mix'!TYY21-'NF - 5 Power Mix'!TYY22</f>
        <v>0</v>
      </c>
      <c r="TYZ42" s="1046">
        <f>TYZ38+((TYZ40+'NF - 5 Power Mix'!TYZ14+'NF - 5 Power Mix'!TYZ15)*860/10)+((('Form Sa1'!TZC835)*860)/10)+('Form Sa1'!TZC814*'Form Sa1'!TZC816/10)-'NF - 5 Power Mix'!TYZ21-'NF - 5 Power Mix'!TYZ22</f>
        <v>0</v>
      </c>
      <c r="TZA42" s="1046">
        <f>TZA38+((TZA40+'NF - 5 Power Mix'!TZA14+'NF - 5 Power Mix'!TZA15)*860/10)+((('Form Sa1'!TZD835)*860)/10)+('Form Sa1'!TZD814*'Form Sa1'!TZD816/10)-'NF - 5 Power Mix'!TZA21-'NF - 5 Power Mix'!TZA22</f>
        <v>0</v>
      </c>
      <c r="TZB42" s="1046">
        <f>TZB38+((TZB40+'NF - 5 Power Mix'!TZB14+'NF - 5 Power Mix'!TZB15)*860/10)+((('Form Sa1'!TZE835)*860)/10)+('Form Sa1'!TZE814*'Form Sa1'!TZE816/10)-'NF - 5 Power Mix'!TZB21-'NF - 5 Power Mix'!TZB22</f>
        <v>0</v>
      </c>
      <c r="TZC42" s="1046">
        <f>TZC38+((TZC40+'NF - 5 Power Mix'!TZC14+'NF - 5 Power Mix'!TZC15)*860/10)+((('Form Sa1'!TZF835)*860)/10)+('Form Sa1'!TZF814*'Form Sa1'!TZF816/10)-'NF - 5 Power Mix'!TZC21-'NF - 5 Power Mix'!TZC22</f>
        <v>0</v>
      </c>
      <c r="TZD42" s="1046">
        <f>TZD38+((TZD40+'NF - 5 Power Mix'!TZD14+'NF - 5 Power Mix'!TZD15)*860/10)+((('Form Sa1'!TZG835)*860)/10)+('Form Sa1'!TZG814*'Form Sa1'!TZG816/10)-'NF - 5 Power Mix'!TZD21-'NF - 5 Power Mix'!TZD22</f>
        <v>0</v>
      </c>
      <c r="TZE42" s="1046">
        <f>TZE38+((TZE40+'NF - 5 Power Mix'!TZE14+'NF - 5 Power Mix'!TZE15)*860/10)+((('Form Sa1'!TZH835)*860)/10)+('Form Sa1'!TZH814*'Form Sa1'!TZH816/10)-'NF - 5 Power Mix'!TZE21-'NF - 5 Power Mix'!TZE22</f>
        <v>0</v>
      </c>
      <c r="TZF42" s="1046">
        <f>TZF38+((TZF40+'NF - 5 Power Mix'!TZF14+'NF - 5 Power Mix'!TZF15)*860/10)+((('Form Sa1'!TZI835)*860)/10)+('Form Sa1'!TZI814*'Form Sa1'!TZI816/10)-'NF - 5 Power Mix'!TZF21-'NF - 5 Power Mix'!TZF22</f>
        <v>0</v>
      </c>
      <c r="TZG42" s="1046">
        <f>TZG38+((TZG40+'NF - 5 Power Mix'!TZG14+'NF - 5 Power Mix'!TZG15)*860/10)+((('Form Sa1'!TZJ835)*860)/10)+('Form Sa1'!TZJ814*'Form Sa1'!TZJ816/10)-'NF - 5 Power Mix'!TZG21-'NF - 5 Power Mix'!TZG22</f>
        <v>0</v>
      </c>
      <c r="TZH42" s="1046">
        <f>TZH38+((TZH40+'NF - 5 Power Mix'!TZH14+'NF - 5 Power Mix'!TZH15)*860/10)+((('Form Sa1'!TZK835)*860)/10)+('Form Sa1'!TZK814*'Form Sa1'!TZK816/10)-'NF - 5 Power Mix'!TZH21-'NF - 5 Power Mix'!TZH22</f>
        <v>0</v>
      </c>
      <c r="TZI42" s="1046">
        <f>TZI38+((TZI40+'NF - 5 Power Mix'!TZI14+'NF - 5 Power Mix'!TZI15)*860/10)+((('Form Sa1'!TZL835)*860)/10)+('Form Sa1'!TZL814*'Form Sa1'!TZL816/10)-'NF - 5 Power Mix'!TZI21-'NF - 5 Power Mix'!TZI22</f>
        <v>0</v>
      </c>
      <c r="TZJ42" s="1046">
        <f>TZJ38+((TZJ40+'NF - 5 Power Mix'!TZJ14+'NF - 5 Power Mix'!TZJ15)*860/10)+((('Form Sa1'!TZM835)*860)/10)+('Form Sa1'!TZM814*'Form Sa1'!TZM816/10)-'NF - 5 Power Mix'!TZJ21-'NF - 5 Power Mix'!TZJ22</f>
        <v>0</v>
      </c>
      <c r="TZK42" s="1046">
        <f>TZK38+((TZK40+'NF - 5 Power Mix'!TZK14+'NF - 5 Power Mix'!TZK15)*860/10)+((('Form Sa1'!TZN835)*860)/10)+('Form Sa1'!TZN814*'Form Sa1'!TZN816/10)-'NF - 5 Power Mix'!TZK21-'NF - 5 Power Mix'!TZK22</f>
        <v>0</v>
      </c>
      <c r="TZL42" s="1046">
        <f>TZL38+((TZL40+'NF - 5 Power Mix'!TZL14+'NF - 5 Power Mix'!TZL15)*860/10)+((('Form Sa1'!TZO835)*860)/10)+('Form Sa1'!TZO814*'Form Sa1'!TZO816/10)-'NF - 5 Power Mix'!TZL21-'NF - 5 Power Mix'!TZL22</f>
        <v>0</v>
      </c>
      <c r="TZM42" s="1046">
        <f>TZM38+((TZM40+'NF - 5 Power Mix'!TZM14+'NF - 5 Power Mix'!TZM15)*860/10)+((('Form Sa1'!TZP835)*860)/10)+('Form Sa1'!TZP814*'Form Sa1'!TZP816/10)-'NF - 5 Power Mix'!TZM21-'NF - 5 Power Mix'!TZM22</f>
        <v>0</v>
      </c>
      <c r="TZN42" s="1046">
        <f>TZN38+((TZN40+'NF - 5 Power Mix'!TZN14+'NF - 5 Power Mix'!TZN15)*860/10)+((('Form Sa1'!TZQ835)*860)/10)+('Form Sa1'!TZQ814*'Form Sa1'!TZQ816/10)-'NF - 5 Power Mix'!TZN21-'NF - 5 Power Mix'!TZN22</f>
        <v>0</v>
      </c>
      <c r="TZO42" s="1046">
        <f>TZO38+((TZO40+'NF - 5 Power Mix'!TZO14+'NF - 5 Power Mix'!TZO15)*860/10)+((('Form Sa1'!TZR835)*860)/10)+('Form Sa1'!TZR814*'Form Sa1'!TZR816/10)-'NF - 5 Power Mix'!TZO21-'NF - 5 Power Mix'!TZO22</f>
        <v>0</v>
      </c>
      <c r="TZP42" s="1046">
        <f>TZP38+((TZP40+'NF - 5 Power Mix'!TZP14+'NF - 5 Power Mix'!TZP15)*860/10)+((('Form Sa1'!TZS835)*860)/10)+('Form Sa1'!TZS814*'Form Sa1'!TZS816/10)-'NF - 5 Power Mix'!TZP21-'NF - 5 Power Mix'!TZP22</f>
        <v>0</v>
      </c>
      <c r="TZQ42" s="1046">
        <f>TZQ38+((TZQ40+'NF - 5 Power Mix'!TZQ14+'NF - 5 Power Mix'!TZQ15)*860/10)+((('Form Sa1'!TZT835)*860)/10)+('Form Sa1'!TZT814*'Form Sa1'!TZT816/10)-'NF - 5 Power Mix'!TZQ21-'NF - 5 Power Mix'!TZQ22</f>
        <v>0</v>
      </c>
      <c r="TZR42" s="1046">
        <f>TZR38+((TZR40+'NF - 5 Power Mix'!TZR14+'NF - 5 Power Mix'!TZR15)*860/10)+((('Form Sa1'!TZU835)*860)/10)+('Form Sa1'!TZU814*'Form Sa1'!TZU816/10)-'NF - 5 Power Mix'!TZR21-'NF - 5 Power Mix'!TZR22</f>
        <v>0</v>
      </c>
      <c r="TZS42" s="1046">
        <f>TZS38+((TZS40+'NF - 5 Power Mix'!TZS14+'NF - 5 Power Mix'!TZS15)*860/10)+((('Form Sa1'!TZV835)*860)/10)+('Form Sa1'!TZV814*'Form Sa1'!TZV816/10)-'NF - 5 Power Mix'!TZS21-'NF - 5 Power Mix'!TZS22</f>
        <v>0</v>
      </c>
      <c r="TZT42" s="1046">
        <f>TZT38+((TZT40+'NF - 5 Power Mix'!TZT14+'NF - 5 Power Mix'!TZT15)*860/10)+((('Form Sa1'!TZW835)*860)/10)+('Form Sa1'!TZW814*'Form Sa1'!TZW816/10)-'NF - 5 Power Mix'!TZT21-'NF - 5 Power Mix'!TZT22</f>
        <v>0</v>
      </c>
      <c r="TZU42" s="1046">
        <f>TZU38+((TZU40+'NF - 5 Power Mix'!TZU14+'NF - 5 Power Mix'!TZU15)*860/10)+((('Form Sa1'!TZX835)*860)/10)+('Form Sa1'!TZX814*'Form Sa1'!TZX816/10)-'NF - 5 Power Mix'!TZU21-'NF - 5 Power Mix'!TZU22</f>
        <v>0</v>
      </c>
      <c r="TZV42" s="1046">
        <f>TZV38+((TZV40+'NF - 5 Power Mix'!TZV14+'NF - 5 Power Mix'!TZV15)*860/10)+((('Form Sa1'!TZY835)*860)/10)+('Form Sa1'!TZY814*'Form Sa1'!TZY816/10)-'NF - 5 Power Mix'!TZV21-'NF - 5 Power Mix'!TZV22</f>
        <v>0</v>
      </c>
      <c r="TZW42" s="1046">
        <f>TZW38+((TZW40+'NF - 5 Power Mix'!TZW14+'NF - 5 Power Mix'!TZW15)*860/10)+((('Form Sa1'!TZZ835)*860)/10)+('Form Sa1'!TZZ814*'Form Sa1'!TZZ816/10)-'NF - 5 Power Mix'!TZW21-'NF - 5 Power Mix'!TZW22</f>
        <v>0</v>
      </c>
      <c r="TZX42" s="1046">
        <f>TZX38+((TZX40+'NF - 5 Power Mix'!TZX14+'NF - 5 Power Mix'!TZX15)*860/10)+((('Form Sa1'!UAA835)*860)/10)+('Form Sa1'!UAA814*'Form Sa1'!UAA816/10)-'NF - 5 Power Mix'!TZX21-'NF - 5 Power Mix'!TZX22</f>
        <v>0</v>
      </c>
      <c r="TZY42" s="1046">
        <f>TZY38+((TZY40+'NF - 5 Power Mix'!TZY14+'NF - 5 Power Mix'!TZY15)*860/10)+((('Form Sa1'!UAB835)*860)/10)+('Form Sa1'!UAB814*'Form Sa1'!UAB816/10)-'NF - 5 Power Mix'!TZY21-'NF - 5 Power Mix'!TZY22</f>
        <v>0</v>
      </c>
      <c r="TZZ42" s="1046">
        <f>TZZ38+((TZZ40+'NF - 5 Power Mix'!TZZ14+'NF - 5 Power Mix'!TZZ15)*860/10)+((('Form Sa1'!UAC835)*860)/10)+('Form Sa1'!UAC814*'Form Sa1'!UAC816/10)-'NF - 5 Power Mix'!TZZ21-'NF - 5 Power Mix'!TZZ22</f>
        <v>0</v>
      </c>
      <c r="UAA42" s="1046">
        <f>UAA38+((UAA40+'NF - 5 Power Mix'!UAA14+'NF - 5 Power Mix'!UAA15)*860/10)+((('Form Sa1'!UAD835)*860)/10)+('Form Sa1'!UAD814*'Form Sa1'!UAD816/10)-'NF - 5 Power Mix'!UAA21-'NF - 5 Power Mix'!UAA22</f>
        <v>0</v>
      </c>
      <c r="UAB42" s="1046">
        <f>UAB38+((UAB40+'NF - 5 Power Mix'!UAB14+'NF - 5 Power Mix'!UAB15)*860/10)+((('Form Sa1'!UAE835)*860)/10)+('Form Sa1'!UAE814*'Form Sa1'!UAE816/10)-'NF - 5 Power Mix'!UAB21-'NF - 5 Power Mix'!UAB22</f>
        <v>0</v>
      </c>
      <c r="UAC42" s="1046">
        <f>UAC38+((UAC40+'NF - 5 Power Mix'!UAC14+'NF - 5 Power Mix'!UAC15)*860/10)+((('Form Sa1'!UAF835)*860)/10)+('Form Sa1'!UAF814*'Form Sa1'!UAF816/10)-'NF - 5 Power Mix'!UAC21-'NF - 5 Power Mix'!UAC22</f>
        <v>0</v>
      </c>
      <c r="UAD42" s="1046">
        <f>UAD38+((UAD40+'NF - 5 Power Mix'!UAD14+'NF - 5 Power Mix'!UAD15)*860/10)+((('Form Sa1'!UAG835)*860)/10)+('Form Sa1'!UAG814*'Form Sa1'!UAG816/10)-'NF - 5 Power Mix'!UAD21-'NF - 5 Power Mix'!UAD22</f>
        <v>0</v>
      </c>
      <c r="UAE42" s="1046">
        <f>UAE38+((UAE40+'NF - 5 Power Mix'!UAE14+'NF - 5 Power Mix'!UAE15)*860/10)+((('Form Sa1'!UAH835)*860)/10)+('Form Sa1'!UAH814*'Form Sa1'!UAH816/10)-'NF - 5 Power Mix'!UAE21-'NF - 5 Power Mix'!UAE22</f>
        <v>0</v>
      </c>
      <c r="UAF42" s="1046">
        <f>UAF38+((UAF40+'NF - 5 Power Mix'!UAF14+'NF - 5 Power Mix'!UAF15)*860/10)+((('Form Sa1'!UAI835)*860)/10)+('Form Sa1'!UAI814*'Form Sa1'!UAI816/10)-'NF - 5 Power Mix'!UAF21-'NF - 5 Power Mix'!UAF22</f>
        <v>0</v>
      </c>
      <c r="UAG42" s="1046">
        <f>UAG38+((UAG40+'NF - 5 Power Mix'!UAG14+'NF - 5 Power Mix'!UAG15)*860/10)+((('Form Sa1'!UAJ835)*860)/10)+('Form Sa1'!UAJ814*'Form Sa1'!UAJ816/10)-'NF - 5 Power Mix'!UAG21-'NF - 5 Power Mix'!UAG22</f>
        <v>0</v>
      </c>
      <c r="UAH42" s="1046">
        <f>UAH38+((UAH40+'NF - 5 Power Mix'!UAH14+'NF - 5 Power Mix'!UAH15)*860/10)+((('Form Sa1'!UAK835)*860)/10)+('Form Sa1'!UAK814*'Form Sa1'!UAK816/10)-'NF - 5 Power Mix'!UAH21-'NF - 5 Power Mix'!UAH22</f>
        <v>0</v>
      </c>
      <c r="UAI42" s="1046">
        <f>UAI38+((UAI40+'NF - 5 Power Mix'!UAI14+'NF - 5 Power Mix'!UAI15)*860/10)+((('Form Sa1'!UAL835)*860)/10)+('Form Sa1'!UAL814*'Form Sa1'!UAL816/10)-'NF - 5 Power Mix'!UAI21-'NF - 5 Power Mix'!UAI22</f>
        <v>0</v>
      </c>
      <c r="UAJ42" s="1046">
        <f>UAJ38+((UAJ40+'NF - 5 Power Mix'!UAJ14+'NF - 5 Power Mix'!UAJ15)*860/10)+((('Form Sa1'!UAM835)*860)/10)+('Form Sa1'!UAM814*'Form Sa1'!UAM816/10)-'NF - 5 Power Mix'!UAJ21-'NF - 5 Power Mix'!UAJ22</f>
        <v>0</v>
      </c>
      <c r="UAK42" s="1046">
        <f>UAK38+((UAK40+'NF - 5 Power Mix'!UAK14+'NF - 5 Power Mix'!UAK15)*860/10)+((('Form Sa1'!UAN835)*860)/10)+('Form Sa1'!UAN814*'Form Sa1'!UAN816/10)-'NF - 5 Power Mix'!UAK21-'NF - 5 Power Mix'!UAK22</f>
        <v>0</v>
      </c>
      <c r="UAL42" s="1046">
        <f>UAL38+((UAL40+'NF - 5 Power Mix'!UAL14+'NF - 5 Power Mix'!UAL15)*860/10)+((('Form Sa1'!UAO835)*860)/10)+('Form Sa1'!UAO814*'Form Sa1'!UAO816/10)-'NF - 5 Power Mix'!UAL21-'NF - 5 Power Mix'!UAL22</f>
        <v>0</v>
      </c>
      <c r="UAM42" s="1046">
        <f>UAM38+((UAM40+'NF - 5 Power Mix'!UAM14+'NF - 5 Power Mix'!UAM15)*860/10)+((('Form Sa1'!UAP835)*860)/10)+('Form Sa1'!UAP814*'Form Sa1'!UAP816/10)-'NF - 5 Power Mix'!UAM21-'NF - 5 Power Mix'!UAM22</f>
        <v>0</v>
      </c>
      <c r="UAN42" s="1046">
        <f>UAN38+((UAN40+'NF - 5 Power Mix'!UAN14+'NF - 5 Power Mix'!UAN15)*860/10)+((('Form Sa1'!UAQ835)*860)/10)+('Form Sa1'!UAQ814*'Form Sa1'!UAQ816/10)-'NF - 5 Power Mix'!UAN21-'NF - 5 Power Mix'!UAN22</f>
        <v>0</v>
      </c>
      <c r="UAO42" s="1046">
        <f>UAO38+((UAO40+'NF - 5 Power Mix'!UAO14+'NF - 5 Power Mix'!UAO15)*860/10)+((('Form Sa1'!UAR835)*860)/10)+('Form Sa1'!UAR814*'Form Sa1'!UAR816/10)-'NF - 5 Power Mix'!UAO21-'NF - 5 Power Mix'!UAO22</f>
        <v>0</v>
      </c>
      <c r="UAP42" s="1046">
        <f>UAP38+((UAP40+'NF - 5 Power Mix'!UAP14+'NF - 5 Power Mix'!UAP15)*860/10)+((('Form Sa1'!UAS835)*860)/10)+('Form Sa1'!UAS814*'Form Sa1'!UAS816/10)-'NF - 5 Power Mix'!UAP21-'NF - 5 Power Mix'!UAP22</f>
        <v>0</v>
      </c>
      <c r="UAQ42" s="1046">
        <f>UAQ38+((UAQ40+'NF - 5 Power Mix'!UAQ14+'NF - 5 Power Mix'!UAQ15)*860/10)+((('Form Sa1'!UAT835)*860)/10)+('Form Sa1'!UAT814*'Form Sa1'!UAT816/10)-'NF - 5 Power Mix'!UAQ21-'NF - 5 Power Mix'!UAQ22</f>
        <v>0</v>
      </c>
      <c r="UAR42" s="1046">
        <f>UAR38+((UAR40+'NF - 5 Power Mix'!UAR14+'NF - 5 Power Mix'!UAR15)*860/10)+((('Form Sa1'!UAU835)*860)/10)+('Form Sa1'!UAU814*'Form Sa1'!UAU816/10)-'NF - 5 Power Mix'!UAR21-'NF - 5 Power Mix'!UAR22</f>
        <v>0</v>
      </c>
      <c r="UAS42" s="1046">
        <f>UAS38+((UAS40+'NF - 5 Power Mix'!UAS14+'NF - 5 Power Mix'!UAS15)*860/10)+((('Form Sa1'!UAV835)*860)/10)+('Form Sa1'!UAV814*'Form Sa1'!UAV816/10)-'NF - 5 Power Mix'!UAS21-'NF - 5 Power Mix'!UAS22</f>
        <v>0</v>
      </c>
      <c r="UAT42" s="1046">
        <f>UAT38+((UAT40+'NF - 5 Power Mix'!UAT14+'NF - 5 Power Mix'!UAT15)*860/10)+((('Form Sa1'!UAW835)*860)/10)+('Form Sa1'!UAW814*'Form Sa1'!UAW816/10)-'NF - 5 Power Mix'!UAT21-'NF - 5 Power Mix'!UAT22</f>
        <v>0</v>
      </c>
      <c r="UAU42" s="1046">
        <f>UAU38+((UAU40+'NF - 5 Power Mix'!UAU14+'NF - 5 Power Mix'!UAU15)*860/10)+((('Form Sa1'!UAX835)*860)/10)+('Form Sa1'!UAX814*'Form Sa1'!UAX816/10)-'NF - 5 Power Mix'!UAU21-'NF - 5 Power Mix'!UAU22</f>
        <v>0</v>
      </c>
      <c r="UAV42" s="1046">
        <f>UAV38+((UAV40+'NF - 5 Power Mix'!UAV14+'NF - 5 Power Mix'!UAV15)*860/10)+((('Form Sa1'!UAY835)*860)/10)+('Form Sa1'!UAY814*'Form Sa1'!UAY816/10)-'NF - 5 Power Mix'!UAV21-'NF - 5 Power Mix'!UAV22</f>
        <v>0</v>
      </c>
      <c r="UAW42" s="1046">
        <f>UAW38+((UAW40+'NF - 5 Power Mix'!UAW14+'NF - 5 Power Mix'!UAW15)*860/10)+((('Form Sa1'!UAZ835)*860)/10)+('Form Sa1'!UAZ814*'Form Sa1'!UAZ816/10)-'NF - 5 Power Mix'!UAW21-'NF - 5 Power Mix'!UAW22</f>
        <v>0</v>
      </c>
      <c r="UAX42" s="1046">
        <f>UAX38+((UAX40+'NF - 5 Power Mix'!UAX14+'NF - 5 Power Mix'!UAX15)*860/10)+((('Form Sa1'!UBA835)*860)/10)+('Form Sa1'!UBA814*'Form Sa1'!UBA816/10)-'NF - 5 Power Mix'!UAX21-'NF - 5 Power Mix'!UAX22</f>
        <v>0</v>
      </c>
      <c r="UAY42" s="1046">
        <f>UAY38+((UAY40+'NF - 5 Power Mix'!UAY14+'NF - 5 Power Mix'!UAY15)*860/10)+((('Form Sa1'!UBB835)*860)/10)+('Form Sa1'!UBB814*'Form Sa1'!UBB816/10)-'NF - 5 Power Mix'!UAY21-'NF - 5 Power Mix'!UAY22</f>
        <v>0</v>
      </c>
      <c r="UAZ42" s="1046">
        <f>UAZ38+((UAZ40+'NF - 5 Power Mix'!UAZ14+'NF - 5 Power Mix'!UAZ15)*860/10)+((('Form Sa1'!UBC835)*860)/10)+('Form Sa1'!UBC814*'Form Sa1'!UBC816/10)-'NF - 5 Power Mix'!UAZ21-'NF - 5 Power Mix'!UAZ22</f>
        <v>0</v>
      </c>
      <c r="UBA42" s="1046">
        <f>UBA38+((UBA40+'NF - 5 Power Mix'!UBA14+'NF - 5 Power Mix'!UBA15)*860/10)+((('Form Sa1'!UBD835)*860)/10)+('Form Sa1'!UBD814*'Form Sa1'!UBD816/10)-'NF - 5 Power Mix'!UBA21-'NF - 5 Power Mix'!UBA22</f>
        <v>0</v>
      </c>
      <c r="UBB42" s="1046">
        <f>UBB38+((UBB40+'NF - 5 Power Mix'!UBB14+'NF - 5 Power Mix'!UBB15)*860/10)+((('Form Sa1'!UBE835)*860)/10)+('Form Sa1'!UBE814*'Form Sa1'!UBE816/10)-'NF - 5 Power Mix'!UBB21-'NF - 5 Power Mix'!UBB22</f>
        <v>0</v>
      </c>
      <c r="UBC42" s="1046">
        <f>UBC38+((UBC40+'NF - 5 Power Mix'!UBC14+'NF - 5 Power Mix'!UBC15)*860/10)+((('Form Sa1'!UBF835)*860)/10)+('Form Sa1'!UBF814*'Form Sa1'!UBF816/10)-'NF - 5 Power Mix'!UBC21-'NF - 5 Power Mix'!UBC22</f>
        <v>0</v>
      </c>
      <c r="UBD42" s="1046">
        <f>UBD38+((UBD40+'NF - 5 Power Mix'!UBD14+'NF - 5 Power Mix'!UBD15)*860/10)+((('Form Sa1'!UBG835)*860)/10)+('Form Sa1'!UBG814*'Form Sa1'!UBG816/10)-'NF - 5 Power Mix'!UBD21-'NF - 5 Power Mix'!UBD22</f>
        <v>0</v>
      </c>
      <c r="UBE42" s="1046">
        <f>UBE38+((UBE40+'NF - 5 Power Mix'!UBE14+'NF - 5 Power Mix'!UBE15)*860/10)+((('Form Sa1'!UBH835)*860)/10)+('Form Sa1'!UBH814*'Form Sa1'!UBH816/10)-'NF - 5 Power Mix'!UBE21-'NF - 5 Power Mix'!UBE22</f>
        <v>0</v>
      </c>
      <c r="UBF42" s="1046">
        <f>UBF38+((UBF40+'NF - 5 Power Mix'!UBF14+'NF - 5 Power Mix'!UBF15)*860/10)+((('Form Sa1'!UBI835)*860)/10)+('Form Sa1'!UBI814*'Form Sa1'!UBI816/10)-'NF - 5 Power Mix'!UBF21-'NF - 5 Power Mix'!UBF22</f>
        <v>0</v>
      </c>
      <c r="UBG42" s="1046">
        <f>UBG38+((UBG40+'NF - 5 Power Mix'!UBG14+'NF - 5 Power Mix'!UBG15)*860/10)+((('Form Sa1'!UBJ835)*860)/10)+('Form Sa1'!UBJ814*'Form Sa1'!UBJ816/10)-'NF - 5 Power Mix'!UBG21-'NF - 5 Power Mix'!UBG22</f>
        <v>0</v>
      </c>
      <c r="UBH42" s="1046">
        <f>UBH38+((UBH40+'NF - 5 Power Mix'!UBH14+'NF - 5 Power Mix'!UBH15)*860/10)+((('Form Sa1'!UBK835)*860)/10)+('Form Sa1'!UBK814*'Form Sa1'!UBK816/10)-'NF - 5 Power Mix'!UBH21-'NF - 5 Power Mix'!UBH22</f>
        <v>0</v>
      </c>
      <c r="UBI42" s="1046">
        <f>UBI38+((UBI40+'NF - 5 Power Mix'!UBI14+'NF - 5 Power Mix'!UBI15)*860/10)+((('Form Sa1'!UBL835)*860)/10)+('Form Sa1'!UBL814*'Form Sa1'!UBL816/10)-'NF - 5 Power Mix'!UBI21-'NF - 5 Power Mix'!UBI22</f>
        <v>0</v>
      </c>
      <c r="UBJ42" s="1046">
        <f>UBJ38+((UBJ40+'NF - 5 Power Mix'!UBJ14+'NF - 5 Power Mix'!UBJ15)*860/10)+((('Form Sa1'!UBM835)*860)/10)+('Form Sa1'!UBM814*'Form Sa1'!UBM816/10)-'NF - 5 Power Mix'!UBJ21-'NF - 5 Power Mix'!UBJ22</f>
        <v>0</v>
      </c>
      <c r="UBK42" s="1046">
        <f>UBK38+((UBK40+'NF - 5 Power Mix'!UBK14+'NF - 5 Power Mix'!UBK15)*860/10)+((('Form Sa1'!UBN835)*860)/10)+('Form Sa1'!UBN814*'Form Sa1'!UBN816/10)-'NF - 5 Power Mix'!UBK21-'NF - 5 Power Mix'!UBK22</f>
        <v>0</v>
      </c>
      <c r="UBL42" s="1046">
        <f>UBL38+((UBL40+'NF - 5 Power Mix'!UBL14+'NF - 5 Power Mix'!UBL15)*860/10)+((('Form Sa1'!UBO835)*860)/10)+('Form Sa1'!UBO814*'Form Sa1'!UBO816/10)-'NF - 5 Power Mix'!UBL21-'NF - 5 Power Mix'!UBL22</f>
        <v>0</v>
      </c>
      <c r="UBM42" s="1046">
        <f>UBM38+((UBM40+'NF - 5 Power Mix'!UBM14+'NF - 5 Power Mix'!UBM15)*860/10)+((('Form Sa1'!UBP835)*860)/10)+('Form Sa1'!UBP814*'Form Sa1'!UBP816/10)-'NF - 5 Power Mix'!UBM21-'NF - 5 Power Mix'!UBM22</f>
        <v>0</v>
      </c>
      <c r="UBN42" s="1046">
        <f>UBN38+((UBN40+'NF - 5 Power Mix'!UBN14+'NF - 5 Power Mix'!UBN15)*860/10)+((('Form Sa1'!UBQ835)*860)/10)+('Form Sa1'!UBQ814*'Form Sa1'!UBQ816/10)-'NF - 5 Power Mix'!UBN21-'NF - 5 Power Mix'!UBN22</f>
        <v>0</v>
      </c>
      <c r="UBO42" s="1046">
        <f>UBO38+((UBO40+'NF - 5 Power Mix'!UBO14+'NF - 5 Power Mix'!UBO15)*860/10)+((('Form Sa1'!UBR835)*860)/10)+('Form Sa1'!UBR814*'Form Sa1'!UBR816/10)-'NF - 5 Power Mix'!UBO21-'NF - 5 Power Mix'!UBO22</f>
        <v>0</v>
      </c>
      <c r="UBP42" s="1046">
        <f>UBP38+((UBP40+'NF - 5 Power Mix'!UBP14+'NF - 5 Power Mix'!UBP15)*860/10)+((('Form Sa1'!UBS835)*860)/10)+('Form Sa1'!UBS814*'Form Sa1'!UBS816/10)-'NF - 5 Power Mix'!UBP21-'NF - 5 Power Mix'!UBP22</f>
        <v>0</v>
      </c>
      <c r="UBQ42" s="1046">
        <f>UBQ38+((UBQ40+'NF - 5 Power Mix'!UBQ14+'NF - 5 Power Mix'!UBQ15)*860/10)+((('Form Sa1'!UBT835)*860)/10)+('Form Sa1'!UBT814*'Form Sa1'!UBT816/10)-'NF - 5 Power Mix'!UBQ21-'NF - 5 Power Mix'!UBQ22</f>
        <v>0</v>
      </c>
      <c r="UBR42" s="1046">
        <f>UBR38+((UBR40+'NF - 5 Power Mix'!UBR14+'NF - 5 Power Mix'!UBR15)*860/10)+((('Form Sa1'!UBU835)*860)/10)+('Form Sa1'!UBU814*'Form Sa1'!UBU816/10)-'NF - 5 Power Mix'!UBR21-'NF - 5 Power Mix'!UBR22</f>
        <v>0</v>
      </c>
      <c r="UBS42" s="1046">
        <f>UBS38+((UBS40+'NF - 5 Power Mix'!UBS14+'NF - 5 Power Mix'!UBS15)*860/10)+((('Form Sa1'!UBV835)*860)/10)+('Form Sa1'!UBV814*'Form Sa1'!UBV816/10)-'NF - 5 Power Mix'!UBS21-'NF - 5 Power Mix'!UBS22</f>
        <v>0</v>
      </c>
      <c r="UBT42" s="1046">
        <f>UBT38+((UBT40+'NF - 5 Power Mix'!UBT14+'NF - 5 Power Mix'!UBT15)*860/10)+((('Form Sa1'!UBW835)*860)/10)+('Form Sa1'!UBW814*'Form Sa1'!UBW816/10)-'NF - 5 Power Mix'!UBT21-'NF - 5 Power Mix'!UBT22</f>
        <v>0</v>
      </c>
      <c r="UBU42" s="1046">
        <f>UBU38+((UBU40+'NF - 5 Power Mix'!UBU14+'NF - 5 Power Mix'!UBU15)*860/10)+((('Form Sa1'!UBX835)*860)/10)+('Form Sa1'!UBX814*'Form Sa1'!UBX816/10)-'NF - 5 Power Mix'!UBU21-'NF - 5 Power Mix'!UBU22</f>
        <v>0</v>
      </c>
      <c r="UBV42" s="1046">
        <f>UBV38+((UBV40+'NF - 5 Power Mix'!UBV14+'NF - 5 Power Mix'!UBV15)*860/10)+((('Form Sa1'!UBY835)*860)/10)+('Form Sa1'!UBY814*'Form Sa1'!UBY816/10)-'NF - 5 Power Mix'!UBV21-'NF - 5 Power Mix'!UBV22</f>
        <v>0</v>
      </c>
      <c r="UBW42" s="1046">
        <f>UBW38+((UBW40+'NF - 5 Power Mix'!UBW14+'NF - 5 Power Mix'!UBW15)*860/10)+((('Form Sa1'!UBZ835)*860)/10)+('Form Sa1'!UBZ814*'Form Sa1'!UBZ816/10)-'NF - 5 Power Mix'!UBW21-'NF - 5 Power Mix'!UBW22</f>
        <v>0</v>
      </c>
      <c r="UBX42" s="1046">
        <f>UBX38+((UBX40+'NF - 5 Power Mix'!UBX14+'NF - 5 Power Mix'!UBX15)*860/10)+((('Form Sa1'!UCA835)*860)/10)+('Form Sa1'!UCA814*'Form Sa1'!UCA816/10)-'NF - 5 Power Mix'!UBX21-'NF - 5 Power Mix'!UBX22</f>
        <v>0</v>
      </c>
      <c r="UBY42" s="1046">
        <f>UBY38+((UBY40+'NF - 5 Power Mix'!UBY14+'NF - 5 Power Mix'!UBY15)*860/10)+((('Form Sa1'!UCB835)*860)/10)+('Form Sa1'!UCB814*'Form Sa1'!UCB816/10)-'NF - 5 Power Mix'!UBY21-'NF - 5 Power Mix'!UBY22</f>
        <v>0</v>
      </c>
      <c r="UBZ42" s="1046">
        <f>UBZ38+((UBZ40+'NF - 5 Power Mix'!UBZ14+'NF - 5 Power Mix'!UBZ15)*860/10)+((('Form Sa1'!UCC835)*860)/10)+('Form Sa1'!UCC814*'Form Sa1'!UCC816/10)-'NF - 5 Power Mix'!UBZ21-'NF - 5 Power Mix'!UBZ22</f>
        <v>0</v>
      </c>
      <c r="UCA42" s="1046">
        <f>UCA38+((UCA40+'NF - 5 Power Mix'!UCA14+'NF - 5 Power Mix'!UCA15)*860/10)+((('Form Sa1'!UCD835)*860)/10)+('Form Sa1'!UCD814*'Form Sa1'!UCD816/10)-'NF - 5 Power Mix'!UCA21-'NF - 5 Power Mix'!UCA22</f>
        <v>0</v>
      </c>
      <c r="UCB42" s="1046">
        <f>UCB38+((UCB40+'NF - 5 Power Mix'!UCB14+'NF - 5 Power Mix'!UCB15)*860/10)+((('Form Sa1'!UCE835)*860)/10)+('Form Sa1'!UCE814*'Form Sa1'!UCE816/10)-'NF - 5 Power Mix'!UCB21-'NF - 5 Power Mix'!UCB22</f>
        <v>0</v>
      </c>
      <c r="UCC42" s="1046">
        <f>UCC38+((UCC40+'NF - 5 Power Mix'!UCC14+'NF - 5 Power Mix'!UCC15)*860/10)+((('Form Sa1'!UCF835)*860)/10)+('Form Sa1'!UCF814*'Form Sa1'!UCF816/10)-'NF - 5 Power Mix'!UCC21-'NF - 5 Power Mix'!UCC22</f>
        <v>0</v>
      </c>
      <c r="UCD42" s="1046">
        <f>UCD38+((UCD40+'NF - 5 Power Mix'!UCD14+'NF - 5 Power Mix'!UCD15)*860/10)+((('Form Sa1'!UCG835)*860)/10)+('Form Sa1'!UCG814*'Form Sa1'!UCG816/10)-'NF - 5 Power Mix'!UCD21-'NF - 5 Power Mix'!UCD22</f>
        <v>0</v>
      </c>
      <c r="UCE42" s="1046">
        <f>UCE38+((UCE40+'NF - 5 Power Mix'!UCE14+'NF - 5 Power Mix'!UCE15)*860/10)+((('Form Sa1'!UCH835)*860)/10)+('Form Sa1'!UCH814*'Form Sa1'!UCH816/10)-'NF - 5 Power Mix'!UCE21-'NF - 5 Power Mix'!UCE22</f>
        <v>0</v>
      </c>
      <c r="UCF42" s="1046">
        <f>UCF38+((UCF40+'NF - 5 Power Mix'!UCF14+'NF - 5 Power Mix'!UCF15)*860/10)+((('Form Sa1'!UCI835)*860)/10)+('Form Sa1'!UCI814*'Form Sa1'!UCI816/10)-'NF - 5 Power Mix'!UCF21-'NF - 5 Power Mix'!UCF22</f>
        <v>0</v>
      </c>
      <c r="UCG42" s="1046">
        <f>UCG38+((UCG40+'NF - 5 Power Mix'!UCG14+'NF - 5 Power Mix'!UCG15)*860/10)+((('Form Sa1'!UCJ835)*860)/10)+('Form Sa1'!UCJ814*'Form Sa1'!UCJ816/10)-'NF - 5 Power Mix'!UCG21-'NF - 5 Power Mix'!UCG22</f>
        <v>0</v>
      </c>
      <c r="UCH42" s="1046">
        <f>UCH38+((UCH40+'NF - 5 Power Mix'!UCH14+'NF - 5 Power Mix'!UCH15)*860/10)+((('Form Sa1'!UCK835)*860)/10)+('Form Sa1'!UCK814*'Form Sa1'!UCK816/10)-'NF - 5 Power Mix'!UCH21-'NF - 5 Power Mix'!UCH22</f>
        <v>0</v>
      </c>
      <c r="UCI42" s="1046">
        <f>UCI38+((UCI40+'NF - 5 Power Mix'!UCI14+'NF - 5 Power Mix'!UCI15)*860/10)+((('Form Sa1'!UCL835)*860)/10)+('Form Sa1'!UCL814*'Form Sa1'!UCL816/10)-'NF - 5 Power Mix'!UCI21-'NF - 5 Power Mix'!UCI22</f>
        <v>0</v>
      </c>
      <c r="UCJ42" s="1046">
        <f>UCJ38+((UCJ40+'NF - 5 Power Mix'!UCJ14+'NF - 5 Power Mix'!UCJ15)*860/10)+((('Form Sa1'!UCM835)*860)/10)+('Form Sa1'!UCM814*'Form Sa1'!UCM816/10)-'NF - 5 Power Mix'!UCJ21-'NF - 5 Power Mix'!UCJ22</f>
        <v>0</v>
      </c>
      <c r="UCK42" s="1046">
        <f>UCK38+((UCK40+'NF - 5 Power Mix'!UCK14+'NF - 5 Power Mix'!UCK15)*860/10)+((('Form Sa1'!UCN835)*860)/10)+('Form Sa1'!UCN814*'Form Sa1'!UCN816/10)-'NF - 5 Power Mix'!UCK21-'NF - 5 Power Mix'!UCK22</f>
        <v>0</v>
      </c>
      <c r="UCL42" s="1046">
        <f>UCL38+((UCL40+'NF - 5 Power Mix'!UCL14+'NF - 5 Power Mix'!UCL15)*860/10)+((('Form Sa1'!UCO835)*860)/10)+('Form Sa1'!UCO814*'Form Sa1'!UCO816/10)-'NF - 5 Power Mix'!UCL21-'NF - 5 Power Mix'!UCL22</f>
        <v>0</v>
      </c>
      <c r="UCM42" s="1046">
        <f>UCM38+((UCM40+'NF - 5 Power Mix'!UCM14+'NF - 5 Power Mix'!UCM15)*860/10)+((('Form Sa1'!UCP835)*860)/10)+('Form Sa1'!UCP814*'Form Sa1'!UCP816/10)-'NF - 5 Power Mix'!UCM21-'NF - 5 Power Mix'!UCM22</f>
        <v>0</v>
      </c>
      <c r="UCN42" s="1046">
        <f>UCN38+((UCN40+'NF - 5 Power Mix'!UCN14+'NF - 5 Power Mix'!UCN15)*860/10)+((('Form Sa1'!UCQ835)*860)/10)+('Form Sa1'!UCQ814*'Form Sa1'!UCQ816/10)-'NF - 5 Power Mix'!UCN21-'NF - 5 Power Mix'!UCN22</f>
        <v>0</v>
      </c>
      <c r="UCO42" s="1046">
        <f>UCO38+((UCO40+'NF - 5 Power Mix'!UCO14+'NF - 5 Power Mix'!UCO15)*860/10)+((('Form Sa1'!UCR835)*860)/10)+('Form Sa1'!UCR814*'Form Sa1'!UCR816/10)-'NF - 5 Power Mix'!UCO21-'NF - 5 Power Mix'!UCO22</f>
        <v>0</v>
      </c>
      <c r="UCP42" s="1046">
        <f>UCP38+((UCP40+'NF - 5 Power Mix'!UCP14+'NF - 5 Power Mix'!UCP15)*860/10)+((('Form Sa1'!UCS835)*860)/10)+('Form Sa1'!UCS814*'Form Sa1'!UCS816/10)-'NF - 5 Power Mix'!UCP21-'NF - 5 Power Mix'!UCP22</f>
        <v>0</v>
      </c>
      <c r="UCQ42" s="1046">
        <f>UCQ38+((UCQ40+'NF - 5 Power Mix'!UCQ14+'NF - 5 Power Mix'!UCQ15)*860/10)+((('Form Sa1'!UCT835)*860)/10)+('Form Sa1'!UCT814*'Form Sa1'!UCT816/10)-'NF - 5 Power Mix'!UCQ21-'NF - 5 Power Mix'!UCQ22</f>
        <v>0</v>
      </c>
      <c r="UCR42" s="1046">
        <f>UCR38+((UCR40+'NF - 5 Power Mix'!UCR14+'NF - 5 Power Mix'!UCR15)*860/10)+((('Form Sa1'!UCU835)*860)/10)+('Form Sa1'!UCU814*'Form Sa1'!UCU816/10)-'NF - 5 Power Mix'!UCR21-'NF - 5 Power Mix'!UCR22</f>
        <v>0</v>
      </c>
      <c r="UCS42" s="1046">
        <f>UCS38+((UCS40+'NF - 5 Power Mix'!UCS14+'NF - 5 Power Mix'!UCS15)*860/10)+((('Form Sa1'!UCV835)*860)/10)+('Form Sa1'!UCV814*'Form Sa1'!UCV816/10)-'NF - 5 Power Mix'!UCS21-'NF - 5 Power Mix'!UCS22</f>
        <v>0</v>
      </c>
      <c r="UCT42" s="1046">
        <f>UCT38+((UCT40+'NF - 5 Power Mix'!UCT14+'NF - 5 Power Mix'!UCT15)*860/10)+((('Form Sa1'!UCW835)*860)/10)+('Form Sa1'!UCW814*'Form Sa1'!UCW816/10)-'NF - 5 Power Mix'!UCT21-'NF - 5 Power Mix'!UCT22</f>
        <v>0</v>
      </c>
      <c r="UCU42" s="1046">
        <f>UCU38+((UCU40+'NF - 5 Power Mix'!UCU14+'NF - 5 Power Mix'!UCU15)*860/10)+((('Form Sa1'!UCX835)*860)/10)+('Form Sa1'!UCX814*'Form Sa1'!UCX816/10)-'NF - 5 Power Mix'!UCU21-'NF - 5 Power Mix'!UCU22</f>
        <v>0</v>
      </c>
      <c r="UCV42" s="1046">
        <f>UCV38+((UCV40+'NF - 5 Power Mix'!UCV14+'NF - 5 Power Mix'!UCV15)*860/10)+((('Form Sa1'!UCY835)*860)/10)+('Form Sa1'!UCY814*'Form Sa1'!UCY816/10)-'NF - 5 Power Mix'!UCV21-'NF - 5 Power Mix'!UCV22</f>
        <v>0</v>
      </c>
      <c r="UCW42" s="1046">
        <f>UCW38+((UCW40+'NF - 5 Power Mix'!UCW14+'NF - 5 Power Mix'!UCW15)*860/10)+((('Form Sa1'!UCZ835)*860)/10)+('Form Sa1'!UCZ814*'Form Sa1'!UCZ816/10)-'NF - 5 Power Mix'!UCW21-'NF - 5 Power Mix'!UCW22</f>
        <v>0</v>
      </c>
      <c r="UCX42" s="1046">
        <f>UCX38+((UCX40+'NF - 5 Power Mix'!UCX14+'NF - 5 Power Mix'!UCX15)*860/10)+((('Form Sa1'!UDA835)*860)/10)+('Form Sa1'!UDA814*'Form Sa1'!UDA816/10)-'NF - 5 Power Mix'!UCX21-'NF - 5 Power Mix'!UCX22</f>
        <v>0</v>
      </c>
      <c r="UCY42" s="1046">
        <f>UCY38+((UCY40+'NF - 5 Power Mix'!UCY14+'NF - 5 Power Mix'!UCY15)*860/10)+((('Form Sa1'!UDB835)*860)/10)+('Form Sa1'!UDB814*'Form Sa1'!UDB816/10)-'NF - 5 Power Mix'!UCY21-'NF - 5 Power Mix'!UCY22</f>
        <v>0</v>
      </c>
      <c r="UCZ42" s="1046">
        <f>UCZ38+((UCZ40+'NF - 5 Power Mix'!UCZ14+'NF - 5 Power Mix'!UCZ15)*860/10)+((('Form Sa1'!UDC835)*860)/10)+('Form Sa1'!UDC814*'Form Sa1'!UDC816/10)-'NF - 5 Power Mix'!UCZ21-'NF - 5 Power Mix'!UCZ22</f>
        <v>0</v>
      </c>
      <c r="UDA42" s="1046">
        <f>UDA38+((UDA40+'NF - 5 Power Mix'!UDA14+'NF - 5 Power Mix'!UDA15)*860/10)+((('Form Sa1'!UDD835)*860)/10)+('Form Sa1'!UDD814*'Form Sa1'!UDD816/10)-'NF - 5 Power Mix'!UDA21-'NF - 5 Power Mix'!UDA22</f>
        <v>0</v>
      </c>
      <c r="UDB42" s="1046">
        <f>UDB38+((UDB40+'NF - 5 Power Mix'!UDB14+'NF - 5 Power Mix'!UDB15)*860/10)+((('Form Sa1'!UDE835)*860)/10)+('Form Sa1'!UDE814*'Form Sa1'!UDE816/10)-'NF - 5 Power Mix'!UDB21-'NF - 5 Power Mix'!UDB22</f>
        <v>0</v>
      </c>
      <c r="UDC42" s="1046">
        <f>UDC38+((UDC40+'NF - 5 Power Mix'!UDC14+'NF - 5 Power Mix'!UDC15)*860/10)+((('Form Sa1'!UDF835)*860)/10)+('Form Sa1'!UDF814*'Form Sa1'!UDF816/10)-'NF - 5 Power Mix'!UDC21-'NF - 5 Power Mix'!UDC22</f>
        <v>0</v>
      </c>
      <c r="UDD42" s="1046">
        <f>UDD38+((UDD40+'NF - 5 Power Mix'!UDD14+'NF - 5 Power Mix'!UDD15)*860/10)+((('Form Sa1'!UDG835)*860)/10)+('Form Sa1'!UDG814*'Form Sa1'!UDG816/10)-'NF - 5 Power Mix'!UDD21-'NF - 5 Power Mix'!UDD22</f>
        <v>0</v>
      </c>
      <c r="UDE42" s="1046">
        <f>UDE38+((UDE40+'NF - 5 Power Mix'!UDE14+'NF - 5 Power Mix'!UDE15)*860/10)+((('Form Sa1'!UDH835)*860)/10)+('Form Sa1'!UDH814*'Form Sa1'!UDH816/10)-'NF - 5 Power Mix'!UDE21-'NF - 5 Power Mix'!UDE22</f>
        <v>0</v>
      </c>
      <c r="UDF42" s="1046">
        <f>UDF38+((UDF40+'NF - 5 Power Mix'!UDF14+'NF - 5 Power Mix'!UDF15)*860/10)+((('Form Sa1'!UDI835)*860)/10)+('Form Sa1'!UDI814*'Form Sa1'!UDI816/10)-'NF - 5 Power Mix'!UDF21-'NF - 5 Power Mix'!UDF22</f>
        <v>0</v>
      </c>
      <c r="UDG42" s="1046">
        <f>UDG38+((UDG40+'NF - 5 Power Mix'!UDG14+'NF - 5 Power Mix'!UDG15)*860/10)+((('Form Sa1'!UDJ835)*860)/10)+('Form Sa1'!UDJ814*'Form Sa1'!UDJ816/10)-'NF - 5 Power Mix'!UDG21-'NF - 5 Power Mix'!UDG22</f>
        <v>0</v>
      </c>
      <c r="UDH42" s="1046">
        <f>UDH38+((UDH40+'NF - 5 Power Mix'!UDH14+'NF - 5 Power Mix'!UDH15)*860/10)+((('Form Sa1'!UDK835)*860)/10)+('Form Sa1'!UDK814*'Form Sa1'!UDK816/10)-'NF - 5 Power Mix'!UDH21-'NF - 5 Power Mix'!UDH22</f>
        <v>0</v>
      </c>
      <c r="UDI42" s="1046">
        <f>UDI38+((UDI40+'NF - 5 Power Mix'!UDI14+'NF - 5 Power Mix'!UDI15)*860/10)+((('Form Sa1'!UDL835)*860)/10)+('Form Sa1'!UDL814*'Form Sa1'!UDL816/10)-'NF - 5 Power Mix'!UDI21-'NF - 5 Power Mix'!UDI22</f>
        <v>0</v>
      </c>
      <c r="UDJ42" s="1046">
        <f>UDJ38+((UDJ40+'NF - 5 Power Mix'!UDJ14+'NF - 5 Power Mix'!UDJ15)*860/10)+((('Form Sa1'!UDM835)*860)/10)+('Form Sa1'!UDM814*'Form Sa1'!UDM816/10)-'NF - 5 Power Mix'!UDJ21-'NF - 5 Power Mix'!UDJ22</f>
        <v>0</v>
      </c>
      <c r="UDK42" s="1046">
        <f>UDK38+((UDK40+'NF - 5 Power Mix'!UDK14+'NF - 5 Power Mix'!UDK15)*860/10)+((('Form Sa1'!UDN835)*860)/10)+('Form Sa1'!UDN814*'Form Sa1'!UDN816/10)-'NF - 5 Power Mix'!UDK21-'NF - 5 Power Mix'!UDK22</f>
        <v>0</v>
      </c>
      <c r="UDL42" s="1046">
        <f>UDL38+((UDL40+'NF - 5 Power Mix'!UDL14+'NF - 5 Power Mix'!UDL15)*860/10)+((('Form Sa1'!UDO835)*860)/10)+('Form Sa1'!UDO814*'Form Sa1'!UDO816/10)-'NF - 5 Power Mix'!UDL21-'NF - 5 Power Mix'!UDL22</f>
        <v>0</v>
      </c>
      <c r="UDM42" s="1046">
        <f>UDM38+((UDM40+'NF - 5 Power Mix'!UDM14+'NF - 5 Power Mix'!UDM15)*860/10)+((('Form Sa1'!UDP835)*860)/10)+('Form Sa1'!UDP814*'Form Sa1'!UDP816/10)-'NF - 5 Power Mix'!UDM21-'NF - 5 Power Mix'!UDM22</f>
        <v>0</v>
      </c>
      <c r="UDN42" s="1046">
        <f>UDN38+((UDN40+'NF - 5 Power Mix'!UDN14+'NF - 5 Power Mix'!UDN15)*860/10)+((('Form Sa1'!UDQ835)*860)/10)+('Form Sa1'!UDQ814*'Form Sa1'!UDQ816/10)-'NF - 5 Power Mix'!UDN21-'NF - 5 Power Mix'!UDN22</f>
        <v>0</v>
      </c>
      <c r="UDO42" s="1046">
        <f>UDO38+((UDO40+'NF - 5 Power Mix'!UDO14+'NF - 5 Power Mix'!UDO15)*860/10)+((('Form Sa1'!UDR835)*860)/10)+('Form Sa1'!UDR814*'Form Sa1'!UDR816/10)-'NF - 5 Power Mix'!UDO21-'NF - 5 Power Mix'!UDO22</f>
        <v>0</v>
      </c>
      <c r="UDP42" s="1046">
        <f>UDP38+((UDP40+'NF - 5 Power Mix'!UDP14+'NF - 5 Power Mix'!UDP15)*860/10)+((('Form Sa1'!UDS835)*860)/10)+('Form Sa1'!UDS814*'Form Sa1'!UDS816/10)-'NF - 5 Power Mix'!UDP21-'NF - 5 Power Mix'!UDP22</f>
        <v>0</v>
      </c>
      <c r="UDQ42" s="1046">
        <f>UDQ38+((UDQ40+'NF - 5 Power Mix'!UDQ14+'NF - 5 Power Mix'!UDQ15)*860/10)+((('Form Sa1'!UDT835)*860)/10)+('Form Sa1'!UDT814*'Form Sa1'!UDT816/10)-'NF - 5 Power Mix'!UDQ21-'NF - 5 Power Mix'!UDQ22</f>
        <v>0</v>
      </c>
      <c r="UDR42" s="1046">
        <f>UDR38+((UDR40+'NF - 5 Power Mix'!UDR14+'NF - 5 Power Mix'!UDR15)*860/10)+((('Form Sa1'!UDU835)*860)/10)+('Form Sa1'!UDU814*'Form Sa1'!UDU816/10)-'NF - 5 Power Mix'!UDR21-'NF - 5 Power Mix'!UDR22</f>
        <v>0</v>
      </c>
      <c r="UDS42" s="1046">
        <f>UDS38+((UDS40+'NF - 5 Power Mix'!UDS14+'NF - 5 Power Mix'!UDS15)*860/10)+((('Form Sa1'!UDV835)*860)/10)+('Form Sa1'!UDV814*'Form Sa1'!UDV816/10)-'NF - 5 Power Mix'!UDS21-'NF - 5 Power Mix'!UDS22</f>
        <v>0</v>
      </c>
      <c r="UDT42" s="1046">
        <f>UDT38+((UDT40+'NF - 5 Power Mix'!UDT14+'NF - 5 Power Mix'!UDT15)*860/10)+((('Form Sa1'!UDW835)*860)/10)+('Form Sa1'!UDW814*'Form Sa1'!UDW816/10)-'NF - 5 Power Mix'!UDT21-'NF - 5 Power Mix'!UDT22</f>
        <v>0</v>
      </c>
      <c r="UDU42" s="1046">
        <f>UDU38+((UDU40+'NF - 5 Power Mix'!UDU14+'NF - 5 Power Mix'!UDU15)*860/10)+((('Form Sa1'!UDX835)*860)/10)+('Form Sa1'!UDX814*'Form Sa1'!UDX816/10)-'NF - 5 Power Mix'!UDU21-'NF - 5 Power Mix'!UDU22</f>
        <v>0</v>
      </c>
      <c r="UDV42" s="1046">
        <f>UDV38+((UDV40+'NF - 5 Power Mix'!UDV14+'NF - 5 Power Mix'!UDV15)*860/10)+((('Form Sa1'!UDY835)*860)/10)+('Form Sa1'!UDY814*'Form Sa1'!UDY816/10)-'NF - 5 Power Mix'!UDV21-'NF - 5 Power Mix'!UDV22</f>
        <v>0</v>
      </c>
      <c r="UDW42" s="1046">
        <f>UDW38+((UDW40+'NF - 5 Power Mix'!UDW14+'NF - 5 Power Mix'!UDW15)*860/10)+((('Form Sa1'!UDZ835)*860)/10)+('Form Sa1'!UDZ814*'Form Sa1'!UDZ816/10)-'NF - 5 Power Mix'!UDW21-'NF - 5 Power Mix'!UDW22</f>
        <v>0</v>
      </c>
      <c r="UDX42" s="1046">
        <f>UDX38+((UDX40+'NF - 5 Power Mix'!UDX14+'NF - 5 Power Mix'!UDX15)*860/10)+((('Form Sa1'!UEA835)*860)/10)+('Form Sa1'!UEA814*'Form Sa1'!UEA816/10)-'NF - 5 Power Mix'!UDX21-'NF - 5 Power Mix'!UDX22</f>
        <v>0</v>
      </c>
      <c r="UDY42" s="1046">
        <f>UDY38+((UDY40+'NF - 5 Power Mix'!UDY14+'NF - 5 Power Mix'!UDY15)*860/10)+((('Form Sa1'!UEB835)*860)/10)+('Form Sa1'!UEB814*'Form Sa1'!UEB816/10)-'NF - 5 Power Mix'!UDY21-'NF - 5 Power Mix'!UDY22</f>
        <v>0</v>
      </c>
      <c r="UDZ42" s="1046">
        <f>UDZ38+((UDZ40+'NF - 5 Power Mix'!UDZ14+'NF - 5 Power Mix'!UDZ15)*860/10)+((('Form Sa1'!UEC835)*860)/10)+('Form Sa1'!UEC814*'Form Sa1'!UEC816/10)-'NF - 5 Power Mix'!UDZ21-'NF - 5 Power Mix'!UDZ22</f>
        <v>0</v>
      </c>
      <c r="UEA42" s="1046">
        <f>UEA38+((UEA40+'NF - 5 Power Mix'!UEA14+'NF - 5 Power Mix'!UEA15)*860/10)+((('Form Sa1'!UED835)*860)/10)+('Form Sa1'!UED814*'Form Sa1'!UED816/10)-'NF - 5 Power Mix'!UEA21-'NF - 5 Power Mix'!UEA22</f>
        <v>0</v>
      </c>
      <c r="UEB42" s="1046">
        <f>UEB38+((UEB40+'NF - 5 Power Mix'!UEB14+'NF - 5 Power Mix'!UEB15)*860/10)+((('Form Sa1'!UEE835)*860)/10)+('Form Sa1'!UEE814*'Form Sa1'!UEE816/10)-'NF - 5 Power Mix'!UEB21-'NF - 5 Power Mix'!UEB22</f>
        <v>0</v>
      </c>
      <c r="UEC42" s="1046">
        <f>UEC38+((UEC40+'NF - 5 Power Mix'!UEC14+'NF - 5 Power Mix'!UEC15)*860/10)+((('Form Sa1'!UEF835)*860)/10)+('Form Sa1'!UEF814*'Form Sa1'!UEF816/10)-'NF - 5 Power Mix'!UEC21-'NF - 5 Power Mix'!UEC22</f>
        <v>0</v>
      </c>
      <c r="UED42" s="1046">
        <f>UED38+((UED40+'NF - 5 Power Mix'!UED14+'NF - 5 Power Mix'!UED15)*860/10)+((('Form Sa1'!UEG835)*860)/10)+('Form Sa1'!UEG814*'Form Sa1'!UEG816/10)-'NF - 5 Power Mix'!UED21-'NF - 5 Power Mix'!UED22</f>
        <v>0</v>
      </c>
      <c r="UEE42" s="1046">
        <f>UEE38+((UEE40+'NF - 5 Power Mix'!UEE14+'NF - 5 Power Mix'!UEE15)*860/10)+((('Form Sa1'!UEH835)*860)/10)+('Form Sa1'!UEH814*'Form Sa1'!UEH816/10)-'NF - 5 Power Mix'!UEE21-'NF - 5 Power Mix'!UEE22</f>
        <v>0</v>
      </c>
      <c r="UEF42" s="1046">
        <f>UEF38+((UEF40+'NF - 5 Power Mix'!UEF14+'NF - 5 Power Mix'!UEF15)*860/10)+((('Form Sa1'!UEI835)*860)/10)+('Form Sa1'!UEI814*'Form Sa1'!UEI816/10)-'NF - 5 Power Mix'!UEF21-'NF - 5 Power Mix'!UEF22</f>
        <v>0</v>
      </c>
      <c r="UEG42" s="1046">
        <f>UEG38+((UEG40+'NF - 5 Power Mix'!UEG14+'NF - 5 Power Mix'!UEG15)*860/10)+((('Form Sa1'!UEJ835)*860)/10)+('Form Sa1'!UEJ814*'Form Sa1'!UEJ816/10)-'NF - 5 Power Mix'!UEG21-'NF - 5 Power Mix'!UEG22</f>
        <v>0</v>
      </c>
      <c r="UEH42" s="1046">
        <f>UEH38+((UEH40+'NF - 5 Power Mix'!UEH14+'NF - 5 Power Mix'!UEH15)*860/10)+((('Form Sa1'!UEK835)*860)/10)+('Form Sa1'!UEK814*'Form Sa1'!UEK816/10)-'NF - 5 Power Mix'!UEH21-'NF - 5 Power Mix'!UEH22</f>
        <v>0</v>
      </c>
      <c r="UEI42" s="1046">
        <f>UEI38+((UEI40+'NF - 5 Power Mix'!UEI14+'NF - 5 Power Mix'!UEI15)*860/10)+((('Form Sa1'!UEL835)*860)/10)+('Form Sa1'!UEL814*'Form Sa1'!UEL816/10)-'NF - 5 Power Mix'!UEI21-'NF - 5 Power Mix'!UEI22</f>
        <v>0</v>
      </c>
      <c r="UEJ42" s="1046">
        <f>UEJ38+((UEJ40+'NF - 5 Power Mix'!UEJ14+'NF - 5 Power Mix'!UEJ15)*860/10)+((('Form Sa1'!UEM835)*860)/10)+('Form Sa1'!UEM814*'Form Sa1'!UEM816/10)-'NF - 5 Power Mix'!UEJ21-'NF - 5 Power Mix'!UEJ22</f>
        <v>0</v>
      </c>
      <c r="UEK42" s="1046">
        <f>UEK38+((UEK40+'NF - 5 Power Mix'!UEK14+'NF - 5 Power Mix'!UEK15)*860/10)+((('Form Sa1'!UEN835)*860)/10)+('Form Sa1'!UEN814*'Form Sa1'!UEN816/10)-'NF - 5 Power Mix'!UEK21-'NF - 5 Power Mix'!UEK22</f>
        <v>0</v>
      </c>
      <c r="UEL42" s="1046">
        <f>UEL38+((UEL40+'NF - 5 Power Mix'!UEL14+'NF - 5 Power Mix'!UEL15)*860/10)+((('Form Sa1'!UEO835)*860)/10)+('Form Sa1'!UEO814*'Form Sa1'!UEO816/10)-'NF - 5 Power Mix'!UEL21-'NF - 5 Power Mix'!UEL22</f>
        <v>0</v>
      </c>
      <c r="UEM42" s="1046">
        <f>UEM38+((UEM40+'NF - 5 Power Mix'!UEM14+'NF - 5 Power Mix'!UEM15)*860/10)+((('Form Sa1'!UEP835)*860)/10)+('Form Sa1'!UEP814*'Form Sa1'!UEP816/10)-'NF - 5 Power Mix'!UEM21-'NF - 5 Power Mix'!UEM22</f>
        <v>0</v>
      </c>
      <c r="UEN42" s="1046">
        <f>UEN38+((UEN40+'NF - 5 Power Mix'!UEN14+'NF - 5 Power Mix'!UEN15)*860/10)+((('Form Sa1'!UEQ835)*860)/10)+('Form Sa1'!UEQ814*'Form Sa1'!UEQ816/10)-'NF - 5 Power Mix'!UEN21-'NF - 5 Power Mix'!UEN22</f>
        <v>0</v>
      </c>
      <c r="UEO42" s="1046">
        <f>UEO38+((UEO40+'NF - 5 Power Mix'!UEO14+'NF - 5 Power Mix'!UEO15)*860/10)+((('Form Sa1'!UER835)*860)/10)+('Form Sa1'!UER814*'Form Sa1'!UER816/10)-'NF - 5 Power Mix'!UEO21-'NF - 5 Power Mix'!UEO22</f>
        <v>0</v>
      </c>
      <c r="UEP42" s="1046">
        <f>UEP38+((UEP40+'NF - 5 Power Mix'!UEP14+'NF - 5 Power Mix'!UEP15)*860/10)+((('Form Sa1'!UES835)*860)/10)+('Form Sa1'!UES814*'Form Sa1'!UES816/10)-'NF - 5 Power Mix'!UEP21-'NF - 5 Power Mix'!UEP22</f>
        <v>0</v>
      </c>
      <c r="UEQ42" s="1046">
        <f>UEQ38+((UEQ40+'NF - 5 Power Mix'!UEQ14+'NF - 5 Power Mix'!UEQ15)*860/10)+((('Form Sa1'!UET835)*860)/10)+('Form Sa1'!UET814*'Form Sa1'!UET816/10)-'NF - 5 Power Mix'!UEQ21-'NF - 5 Power Mix'!UEQ22</f>
        <v>0</v>
      </c>
      <c r="UER42" s="1046">
        <f>UER38+((UER40+'NF - 5 Power Mix'!UER14+'NF - 5 Power Mix'!UER15)*860/10)+((('Form Sa1'!UEU835)*860)/10)+('Form Sa1'!UEU814*'Form Sa1'!UEU816/10)-'NF - 5 Power Mix'!UER21-'NF - 5 Power Mix'!UER22</f>
        <v>0</v>
      </c>
      <c r="UES42" s="1046">
        <f>UES38+((UES40+'NF - 5 Power Mix'!UES14+'NF - 5 Power Mix'!UES15)*860/10)+((('Form Sa1'!UEV835)*860)/10)+('Form Sa1'!UEV814*'Form Sa1'!UEV816/10)-'NF - 5 Power Mix'!UES21-'NF - 5 Power Mix'!UES22</f>
        <v>0</v>
      </c>
      <c r="UET42" s="1046">
        <f>UET38+((UET40+'NF - 5 Power Mix'!UET14+'NF - 5 Power Mix'!UET15)*860/10)+((('Form Sa1'!UEW835)*860)/10)+('Form Sa1'!UEW814*'Form Sa1'!UEW816/10)-'NF - 5 Power Mix'!UET21-'NF - 5 Power Mix'!UET22</f>
        <v>0</v>
      </c>
      <c r="UEU42" s="1046">
        <f>UEU38+((UEU40+'NF - 5 Power Mix'!UEU14+'NF - 5 Power Mix'!UEU15)*860/10)+((('Form Sa1'!UEX835)*860)/10)+('Form Sa1'!UEX814*'Form Sa1'!UEX816/10)-'NF - 5 Power Mix'!UEU21-'NF - 5 Power Mix'!UEU22</f>
        <v>0</v>
      </c>
      <c r="UEV42" s="1046">
        <f>UEV38+((UEV40+'NF - 5 Power Mix'!UEV14+'NF - 5 Power Mix'!UEV15)*860/10)+((('Form Sa1'!UEY835)*860)/10)+('Form Sa1'!UEY814*'Form Sa1'!UEY816/10)-'NF - 5 Power Mix'!UEV21-'NF - 5 Power Mix'!UEV22</f>
        <v>0</v>
      </c>
      <c r="UEW42" s="1046">
        <f>UEW38+((UEW40+'NF - 5 Power Mix'!UEW14+'NF - 5 Power Mix'!UEW15)*860/10)+((('Form Sa1'!UEZ835)*860)/10)+('Form Sa1'!UEZ814*'Form Sa1'!UEZ816/10)-'NF - 5 Power Mix'!UEW21-'NF - 5 Power Mix'!UEW22</f>
        <v>0</v>
      </c>
      <c r="UEX42" s="1046">
        <f>UEX38+((UEX40+'NF - 5 Power Mix'!UEX14+'NF - 5 Power Mix'!UEX15)*860/10)+((('Form Sa1'!UFA835)*860)/10)+('Form Sa1'!UFA814*'Form Sa1'!UFA816/10)-'NF - 5 Power Mix'!UEX21-'NF - 5 Power Mix'!UEX22</f>
        <v>0</v>
      </c>
      <c r="UEY42" s="1046">
        <f>UEY38+((UEY40+'NF - 5 Power Mix'!UEY14+'NF - 5 Power Mix'!UEY15)*860/10)+((('Form Sa1'!UFB835)*860)/10)+('Form Sa1'!UFB814*'Form Sa1'!UFB816/10)-'NF - 5 Power Mix'!UEY21-'NF - 5 Power Mix'!UEY22</f>
        <v>0</v>
      </c>
      <c r="UEZ42" s="1046">
        <f>UEZ38+((UEZ40+'NF - 5 Power Mix'!UEZ14+'NF - 5 Power Mix'!UEZ15)*860/10)+((('Form Sa1'!UFC835)*860)/10)+('Form Sa1'!UFC814*'Form Sa1'!UFC816/10)-'NF - 5 Power Mix'!UEZ21-'NF - 5 Power Mix'!UEZ22</f>
        <v>0</v>
      </c>
      <c r="UFA42" s="1046">
        <f>UFA38+((UFA40+'NF - 5 Power Mix'!UFA14+'NF - 5 Power Mix'!UFA15)*860/10)+((('Form Sa1'!UFD835)*860)/10)+('Form Sa1'!UFD814*'Form Sa1'!UFD816/10)-'NF - 5 Power Mix'!UFA21-'NF - 5 Power Mix'!UFA22</f>
        <v>0</v>
      </c>
      <c r="UFB42" s="1046">
        <f>UFB38+((UFB40+'NF - 5 Power Mix'!UFB14+'NF - 5 Power Mix'!UFB15)*860/10)+((('Form Sa1'!UFE835)*860)/10)+('Form Sa1'!UFE814*'Form Sa1'!UFE816/10)-'NF - 5 Power Mix'!UFB21-'NF - 5 Power Mix'!UFB22</f>
        <v>0</v>
      </c>
      <c r="UFC42" s="1046">
        <f>UFC38+((UFC40+'NF - 5 Power Mix'!UFC14+'NF - 5 Power Mix'!UFC15)*860/10)+((('Form Sa1'!UFF835)*860)/10)+('Form Sa1'!UFF814*'Form Sa1'!UFF816/10)-'NF - 5 Power Mix'!UFC21-'NF - 5 Power Mix'!UFC22</f>
        <v>0</v>
      </c>
      <c r="UFD42" s="1046">
        <f>UFD38+((UFD40+'NF - 5 Power Mix'!UFD14+'NF - 5 Power Mix'!UFD15)*860/10)+((('Form Sa1'!UFG835)*860)/10)+('Form Sa1'!UFG814*'Form Sa1'!UFG816/10)-'NF - 5 Power Mix'!UFD21-'NF - 5 Power Mix'!UFD22</f>
        <v>0</v>
      </c>
      <c r="UFE42" s="1046">
        <f>UFE38+((UFE40+'NF - 5 Power Mix'!UFE14+'NF - 5 Power Mix'!UFE15)*860/10)+((('Form Sa1'!UFH835)*860)/10)+('Form Sa1'!UFH814*'Form Sa1'!UFH816/10)-'NF - 5 Power Mix'!UFE21-'NF - 5 Power Mix'!UFE22</f>
        <v>0</v>
      </c>
      <c r="UFF42" s="1046">
        <f>UFF38+((UFF40+'NF - 5 Power Mix'!UFF14+'NF - 5 Power Mix'!UFF15)*860/10)+((('Form Sa1'!UFI835)*860)/10)+('Form Sa1'!UFI814*'Form Sa1'!UFI816/10)-'NF - 5 Power Mix'!UFF21-'NF - 5 Power Mix'!UFF22</f>
        <v>0</v>
      </c>
      <c r="UFG42" s="1046">
        <f>UFG38+((UFG40+'NF - 5 Power Mix'!UFG14+'NF - 5 Power Mix'!UFG15)*860/10)+((('Form Sa1'!UFJ835)*860)/10)+('Form Sa1'!UFJ814*'Form Sa1'!UFJ816/10)-'NF - 5 Power Mix'!UFG21-'NF - 5 Power Mix'!UFG22</f>
        <v>0</v>
      </c>
      <c r="UFH42" s="1046">
        <f>UFH38+((UFH40+'NF - 5 Power Mix'!UFH14+'NF - 5 Power Mix'!UFH15)*860/10)+((('Form Sa1'!UFK835)*860)/10)+('Form Sa1'!UFK814*'Form Sa1'!UFK816/10)-'NF - 5 Power Mix'!UFH21-'NF - 5 Power Mix'!UFH22</f>
        <v>0</v>
      </c>
      <c r="UFI42" s="1046">
        <f>UFI38+((UFI40+'NF - 5 Power Mix'!UFI14+'NF - 5 Power Mix'!UFI15)*860/10)+((('Form Sa1'!UFL835)*860)/10)+('Form Sa1'!UFL814*'Form Sa1'!UFL816/10)-'NF - 5 Power Mix'!UFI21-'NF - 5 Power Mix'!UFI22</f>
        <v>0</v>
      </c>
      <c r="UFJ42" s="1046">
        <f>UFJ38+((UFJ40+'NF - 5 Power Mix'!UFJ14+'NF - 5 Power Mix'!UFJ15)*860/10)+((('Form Sa1'!UFM835)*860)/10)+('Form Sa1'!UFM814*'Form Sa1'!UFM816/10)-'NF - 5 Power Mix'!UFJ21-'NF - 5 Power Mix'!UFJ22</f>
        <v>0</v>
      </c>
      <c r="UFK42" s="1046">
        <f>UFK38+((UFK40+'NF - 5 Power Mix'!UFK14+'NF - 5 Power Mix'!UFK15)*860/10)+((('Form Sa1'!UFN835)*860)/10)+('Form Sa1'!UFN814*'Form Sa1'!UFN816/10)-'NF - 5 Power Mix'!UFK21-'NF - 5 Power Mix'!UFK22</f>
        <v>0</v>
      </c>
      <c r="UFL42" s="1046">
        <f>UFL38+((UFL40+'NF - 5 Power Mix'!UFL14+'NF - 5 Power Mix'!UFL15)*860/10)+((('Form Sa1'!UFO835)*860)/10)+('Form Sa1'!UFO814*'Form Sa1'!UFO816/10)-'NF - 5 Power Mix'!UFL21-'NF - 5 Power Mix'!UFL22</f>
        <v>0</v>
      </c>
      <c r="UFM42" s="1046">
        <f>UFM38+((UFM40+'NF - 5 Power Mix'!UFM14+'NF - 5 Power Mix'!UFM15)*860/10)+((('Form Sa1'!UFP835)*860)/10)+('Form Sa1'!UFP814*'Form Sa1'!UFP816/10)-'NF - 5 Power Mix'!UFM21-'NF - 5 Power Mix'!UFM22</f>
        <v>0</v>
      </c>
      <c r="UFN42" s="1046">
        <f>UFN38+((UFN40+'NF - 5 Power Mix'!UFN14+'NF - 5 Power Mix'!UFN15)*860/10)+((('Form Sa1'!UFQ835)*860)/10)+('Form Sa1'!UFQ814*'Form Sa1'!UFQ816/10)-'NF - 5 Power Mix'!UFN21-'NF - 5 Power Mix'!UFN22</f>
        <v>0</v>
      </c>
      <c r="UFO42" s="1046">
        <f>UFO38+((UFO40+'NF - 5 Power Mix'!UFO14+'NF - 5 Power Mix'!UFO15)*860/10)+((('Form Sa1'!UFR835)*860)/10)+('Form Sa1'!UFR814*'Form Sa1'!UFR816/10)-'NF - 5 Power Mix'!UFO21-'NF - 5 Power Mix'!UFO22</f>
        <v>0</v>
      </c>
      <c r="UFP42" s="1046">
        <f>UFP38+((UFP40+'NF - 5 Power Mix'!UFP14+'NF - 5 Power Mix'!UFP15)*860/10)+((('Form Sa1'!UFS835)*860)/10)+('Form Sa1'!UFS814*'Form Sa1'!UFS816/10)-'NF - 5 Power Mix'!UFP21-'NF - 5 Power Mix'!UFP22</f>
        <v>0</v>
      </c>
      <c r="UFQ42" s="1046">
        <f>UFQ38+((UFQ40+'NF - 5 Power Mix'!UFQ14+'NF - 5 Power Mix'!UFQ15)*860/10)+((('Form Sa1'!UFT835)*860)/10)+('Form Sa1'!UFT814*'Form Sa1'!UFT816/10)-'NF - 5 Power Mix'!UFQ21-'NF - 5 Power Mix'!UFQ22</f>
        <v>0</v>
      </c>
      <c r="UFR42" s="1046">
        <f>UFR38+((UFR40+'NF - 5 Power Mix'!UFR14+'NF - 5 Power Mix'!UFR15)*860/10)+((('Form Sa1'!UFU835)*860)/10)+('Form Sa1'!UFU814*'Form Sa1'!UFU816/10)-'NF - 5 Power Mix'!UFR21-'NF - 5 Power Mix'!UFR22</f>
        <v>0</v>
      </c>
      <c r="UFS42" s="1046">
        <f>UFS38+((UFS40+'NF - 5 Power Mix'!UFS14+'NF - 5 Power Mix'!UFS15)*860/10)+((('Form Sa1'!UFV835)*860)/10)+('Form Sa1'!UFV814*'Form Sa1'!UFV816/10)-'NF - 5 Power Mix'!UFS21-'NF - 5 Power Mix'!UFS22</f>
        <v>0</v>
      </c>
      <c r="UFT42" s="1046">
        <f>UFT38+((UFT40+'NF - 5 Power Mix'!UFT14+'NF - 5 Power Mix'!UFT15)*860/10)+((('Form Sa1'!UFW835)*860)/10)+('Form Sa1'!UFW814*'Form Sa1'!UFW816/10)-'NF - 5 Power Mix'!UFT21-'NF - 5 Power Mix'!UFT22</f>
        <v>0</v>
      </c>
      <c r="UFU42" s="1046">
        <f>UFU38+((UFU40+'NF - 5 Power Mix'!UFU14+'NF - 5 Power Mix'!UFU15)*860/10)+((('Form Sa1'!UFX835)*860)/10)+('Form Sa1'!UFX814*'Form Sa1'!UFX816/10)-'NF - 5 Power Mix'!UFU21-'NF - 5 Power Mix'!UFU22</f>
        <v>0</v>
      </c>
      <c r="UFV42" s="1046">
        <f>UFV38+((UFV40+'NF - 5 Power Mix'!UFV14+'NF - 5 Power Mix'!UFV15)*860/10)+((('Form Sa1'!UFY835)*860)/10)+('Form Sa1'!UFY814*'Form Sa1'!UFY816/10)-'NF - 5 Power Mix'!UFV21-'NF - 5 Power Mix'!UFV22</f>
        <v>0</v>
      </c>
      <c r="UFW42" s="1046">
        <f>UFW38+((UFW40+'NF - 5 Power Mix'!UFW14+'NF - 5 Power Mix'!UFW15)*860/10)+((('Form Sa1'!UFZ835)*860)/10)+('Form Sa1'!UFZ814*'Form Sa1'!UFZ816/10)-'NF - 5 Power Mix'!UFW21-'NF - 5 Power Mix'!UFW22</f>
        <v>0</v>
      </c>
      <c r="UFX42" s="1046">
        <f>UFX38+((UFX40+'NF - 5 Power Mix'!UFX14+'NF - 5 Power Mix'!UFX15)*860/10)+((('Form Sa1'!UGA835)*860)/10)+('Form Sa1'!UGA814*'Form Sa1'!UGA816/10)-'NF - 5 Power Mix'!UFX21-'NF - 5 Power Mix'!UFX22</f>
        <v>0</v>
      </c>
      <c r="UFY42" s="1046">
        <f>UFY38+((UFY40+'NF - 5 Power Mix'!UFY14+'NF - 5 Power Mix'!UFY15)*860/10)+((('Form Sa1'!UGB835)*860)/10)+('Form Sa1'!UGB814*'Form Sa1'!UGB816/10)-'NF - 5 Power Mix'!UFY21-'NF - 5 Power Mix'!UFY22</f>
        <v>0</v>
      </c>
      <c r="UFZ42" s="1046">
        <f>UFZ38+((UFZ40+'NF - 5 Power Mix'!UFZ14+'NF - 5 Power Mix'!UFZ15)*860/10)+((('Form Sa1'!UGC835)*860)/10)+('Form Sa1'!UGC814*'Form Sa1'!UGC816/10)-'NF - 5 Power Mix'!UFZ21-'NF - 5 Power Mix'!UFZ22</f>
        <v>0</v>
      </c>
      <c r="UGA42" s="1046">
        <f>UGA38+((UGA40+'NF - 5 Power Mix'!UGA14+'NF - 5 Power Mix'!UGA15)*860/10)+((('Form Sa1'!UGD835)*860)/10)+('Form Sa1'!UGD814*'Form Sa1'!UGD816/10)-'NF - 5 Power Mix'!UGA21-'NF - 5 Power Mix'!UGA22</f>
        <v>0</v>
      </c>
      <c r="UGB42" s="1046">
        <f>UGB38+((UGB40+'NF - 5 Power Mix'!UGB14+'NF - 5 Power Mix'!UGB15)*860/10)+((('Form Sa1'!UGE835)*860)/10)+('Form Sa1'!UGE814*'Form Sa1'!UGE816/10)-'NF - 5 Power Mix'!UGB21-'NF - 5 Power Mix'!UGB22</f>
        <v>0</v>
      </c>
      <c r="UGC42" s="1046">
        <f>UGC38+((UGC40+'NF - 5 Power Mix'!UGC14+'NF - 5 Power Mix'!UGC15)*860/10)+((('Form Sa1'!UGF835)*860)/10)+('Form Sa1'!UGF814*'Form Sa1'!UGF816/10)-'NF - 5 Power Mix'!UGC21-'NF - 5 Power Mix'!UGC22</f>
        <v>0</v>
      </c>
      <c r="UGD42" s="1046">
        <f>UGD38+((UGD40+'NF - 5 Power Mix'!UGD14+'NF - 5 Power Mix'!UGD15)*860/10)+((('Form Sa1'!UGG835)*860)/10)+('Form Sa1'!UGG814*'Form Sa1'!UGG816/10)-'NF - 5 Power Mix'!UGD21-'NF - 5 Power Mix'!UGD22</f>
        <v>0</v>
      </c>
      <c r="UGE42" s="1046">
        <f>UGE38+((UGE40+'NF - 5 Power Mix'!UGE14+'NF - 5 Power Mix'!UGE15)*860/10)+((('Form Sa1'!UGH835)*860)/10)+('Form Sa1'!UGH814*'Form Sa1'!UGH816/10)-'NF - 5 Power Mix'!UGE21-'NF - 5 Power Mix'!UGE22</f>
        <v>0</v>
      </c>
      <c r="UGF42" s="1046">
        <f>UGF38+((UGF40+'NF - 5 Power Mix'!UGF14+'NF - 5 Power Mix'!UGF15)*860/10)+((('Form Sa1'!UGI835)*860)/10)+('Form Sa1'!UGI814*'Form Sa1'!UGI816/10)-'NF - 5 Power Mix'!UGF21-'NF - 5 Power Mix'!UGF22</f>
        <v>0</v>
      </c>
      <c r="UGG42" s="1046">
        <f>UGG38+((UGG40+'NF - 5 Power Mix'!UGG14+'NF - 5 Power Mix'!UGG15)*860/10)+((('Form Sa1'!UGJ835)*860)/10)+('Form Sa1'!UGJ814*'Form Sa1'!UGJ816/10)-'NF - 5 Power Mix'!UGG21-'NF - 5 Power Mix'!UGG22</f>
        <v>0</v>
      </c>
      <c r="UGH42" s="1046">
        <f>UGH38+((UGH40+'NF - 5 Power Mix'!UGH14+'NF - 5 Power Mix'!UGH15)*860/10)+((('Form Sa1'!UGK835)*860)/10)+('Form Sa1'!UGK814*'Form Sa1'!UGK816/10)-'NF - 5 Power Mix'!UGH21-'NF - 5 Power Mix'!UGH22</f>
        <v>0</v>
      </c>
      <c r="UGI42" s="1046">
        <f>UGI38+((UGI40+'NF - 5 Power Mix'!UGI14+'NF - 5 Power Mix'!UGI15)*860/10)+((('Form Sa1'!UGL835)*860)/10)+('Form Sa1'!UGL814*'Form Sa1'!UGL816/10)-'NF - 5 Power Mix'!UGI21-'NF - 5 Power Mix'!UGI22</f>
        <v>0</v>
      </c>
      <c r="UGJ42" s="1046">
        <f>UGJ38+((UGJ40+'NF - 5 Power Mix'!UGJ14+'NF - 5 Power Mix'!UGJ15)*860/10)+((('Form Sa1'!UGM835)*860)/10)+('Form Sa1'!UGM814*'Form Sa1'!UGM816/10)-'NF - 5 Power Mix'!UGJ21-'NF - 5 Power Mix'!UGJ22</f>
        <v>0</v>
      </c>
      <c r="UGK42" s="1046">
        <f>UGK38+((UGK40+'NF - 5 Power Mix'!UGK14+'NF - 5 Power Mix'!UGK15)*860/10)+((('Form Sa1'!UGN835)*860)/10)+('Form Sa1'!UGN814*'Form Sa1'!UGN816/10)-'NF - 5 Power Mix'!UGK21-'NF - 5 Power Mix'!UGK22</f>
        <v>0</v>
      </c>
      <c r="UGL42" s="1046">
        <f>UGL38+((UGL40+'NF - 5 Power Mix'!UGL14+'NF - 5 Power Mix'!UGL15)*860/10)+((('Form Sa1'!UGO835)*860)/10)+('Form Sa1'!UGO814*'Form Sa1'!UGO816/10)-'NF - 5 Power Mix'!UGL21-'NF - 5 Power Mix'!UGL22</f>
        <v>0</v>
      </c>
      <c r="UGM42" s="1046">
        <f>UGM38+((UGM40+'NF - 5 Power Mix'!UGM14+'NF - 5 Power Mix'!UGM15)*860/10)+((('Form Sa1'!UGP835)*860)/10)+('Form Sa1'!UGP814*'Form Sa1'!UGP816/10)-'NF - 5 Power Mix'!UGM21-'NF - 5 Power Mix'!UGM22</f>
        <v>0</v>
      </c>
      <c r="UGN42" s="1046">
        <f>UGN38+((UGN40+'NF - 5 Power Mix'!UGN14+'NF - 5 Power Mix'!UGN15)*860/10)+((('Form Sa1'!UGQ835)*860)/10)+('Form Sa1'!UGQ814*'Form Sa1'!UGQ816/10)-'NF - 5 Power Mix'!UGN21-'NF - 5 Power Mix'!UGN22</f>
        <v>0</v>
      </c>
      <c r="UGO42" s="1046">
        <f>UGO38+((UGO40+'NF - 5 Power Mix'!UGO14+'NF - 5 Power Mix'!UGO15)*860/10)+((('Form Sa1'!UGR835)*860)/10)+('Form Sa1'!UGR814*'Form Sa1'!UGR816/10)-'NF - 5 Power Mix'!UGO21-'NF - 5 Power Mix'!UGO22</f>
        <v>0</v>
      </c>
      <c r="UGP42" s="1046">
        <f>UGP38+((UGP40+'NF - 5 Power Mix'!UGP14+'NF - 5 Power Mix'!UGP15)*860/10)+((('Form Sa1'!UGS835)*860)/10)+('Form Sa1'!UGS814*'Form Sa1'!UGS816/10)-'NF - 5 Power Mix'!UGP21-'NF - 5 Power Mix'!UGP22</f>
        <v>0</v>
      </c>
      <c r="UGQ42" s="1046">
        <f>UGQ38+((UGQ40+'NF - 5 Power Mix'!UGQ14+'NF - 5 Power Mix'!UGQ15)*860/10)+((('Form Sa1'!UGT835)*860)/10)+('Form Sa1'!UGT814*'Form Sa1'!UGT816/10)-'NF - 5 Power Mix'!UGQ21-'NF - 5 Power Mix'!UGQ22</f>
        <v>0</v>
      </c>
      <c r="UGR42" s="1046">
        <f>UGR38+((UGR40+'NF - 5 Power Mix'!UGR14+'NF - 5 Power Mix'!UGR15)*860/10)+((('Form Sa1'!UGU835)*860)/10)+('Form Sa1'!UGU814*'Form Sa1'!UGU816/10)-'NF - 5 Power Mix'!UGR21-'NF - 5 Power Mix'!UGR22</f>
        <v>0</v>
      </c>
      <c r="UGS42" s="1046">
        <f>UGS38+((UGS40+'NF - 5 Power Mix'!UGS14+'NF - 5 Power Mix'!UGS15)*860/10)+((('Form Sa1'!UGV835)*860)/10)+('Form Sa1'!UGV814*'Form Sa1'!UGV816/10)-'NF - 5 Power Mix'!UGS21-'NF - 5 Power Mix'!UGS22</f>
        <v>0</v>
      </c>
      <c r="UGT42" s="1046">
        <f>UGT38+((UGT40+'NF - 5 Power Mix'!UGT14+'NF - 5 Power Mix'!UGT15)*860/10)+((('Form Sa1'!UGW835)*860)/10)+('Form Sa1'!UGW814*'Form Sa1'!UGW816/10)-'NF - 5 Power Mix'!UGT21-'NF - 5 Power Mix'!UGT22</f>
        <v>0</v>
      </c>
      <c r="UGU42" s="1046">
        <f>UGU38+((UGU40+'NF - 5 Power Mix'!UGU14+'NF - 5 Power Mix'!UGU15)*860/10)+((('Form Sa1'!UGX835)*860)/10)+('Form Sa1'!UGX814*'Form Sa1'!UGX816/10)-'NF - 5 Power Mix'!UGU21-'NF - 5 Power Mix'!UGU22</f>
        <v>0</v>
      </c>
      <c r="UGV42" s="1046">
        <f>UGV38+((UGV40+'NF - 5 Power Mix'!UGV14+'NF - 5 Power Mix'!UGV15)*860/10)+((('Form Sa1'!UGY835)*860)/10)+('Form Sa1'!UGY814*'Form Sa1'!UGY816/10)-'NF - 5 Power Mix'!UGV21-'NF - 5 Power Mix'!UGV22</f>
        <v>0</v>
      </c>
      <c r="UGW42" s="1046">
        <f>UGW38+((UGW40+'NF - 5 Power Mix'!UGW14+'NF - 5 Power Mix'!UGW15)*860/10)+((('Form Sa1'!UGZ835)*860)/10)+('Form Sa1'!UGZ814*'Form Sa1'!UGZ816/10)-'NF - 5 Power Mix'!UGW21-'NF - 5 Power Mix'!UGW22</f>
        <v>0</v>
      </c>
      <c r="UGX42" s="1046">
        <f>UGX38+((UGX40+'NF - 5 Power Mix'!UGX14+'NF - 5 Power Mix'!UGX15)*860/10)+((('Form Sa1'!UHA835)*860)/10)+('Form Sa1'!UHA814*'Form Sa1'!UHA816/10)-'NF - 5 Power Mix'!UGX21-'NF - 5 Power Mix'!UGX22</f>
        <v>0</v>
      </c>
      <c r="UGY42" s="1046">
        <f>UGY38+((UGY40+'NF - 5 Power Mix'!UGY14+'NF - 5 Power Mix'!UGY15)*860/10)+((('Form Sa1'!UHB835)*860)/10)+('Form Sa1'!UHB814*'Form Sa1'!UHB816/10)-'NF - 5 Power Mix'!UGY21-'NF - 5 Power Mix'!UGY22</f>
        <v>0</v>
      </c>
      <c r="UGZ42" s="1046">
        <f>UGZ38+((UGZ40+'NF - 5 Power Mix'!UGZ14+'NF - 5 Power Mix'!UGZ15)*860/10)+((('Form Sa1'!UHC835)*860)/10)+('Form Sa1'!UHC814*'Form Sa1'!UHC816/10)-'NF - 5 Power Mix'!UGZ21-'NF - 5 Power Mix'!UGZ22</f>
        <v>0</v>
      </c>
      <c r="UHA42" s="1046">
        <f>UHA38+((UHA40+'NF - 5 Power Mix'!UHA14+'NF - 5 Power Mix'!UHA15)*860/10)+((('Form Sa1'!UHD835)*860)/10)+('Form Sa1'!UHD814*'Form Sa1'!UHD816/10)-'NF - 5 Power Mix'!UHA21-'NF - 5 Power Mix'!UHA22</f>
        <v>0</v>
      </c>
      <c r="UHB42" s="1046">
        <f>UHB38+((UHB40+'NF - 5 Power Mix'!UHB14+'NF - 5 Power Mix'!UHB15)*860/10)+((('Form Sa1'!UHE835)*860)/10)+('Form Sa1'!UHE814*'Form Sa1'!UHE816/10)-'NF - 5 Power Mix'!UHB21-'NF - 5 Power Mix'!UHB22</f>
        <v>0</v>
      </c>
      <c r="UHC42" s="1046">
        <f>UHC38+((UHC40+'NF - 5 Power Mix'!UHC14+'NF - 5 Power Mix'!UHC15)*860/10)+((('Form Sa1'!UHF835)*860)/10)+('Form Sa1'!UHF814*'Form Sa1'!UHF816/10)-'NF - 5 Power Mix'!UHC21-'NF - 5 Power Mix'!UHC22</f>
        <v>0</v>
      </c>
      <c r="UHD42" s="1046">
        <f>UHD38+((UHD40+'NF - 5 Power Mix'!UHD14+'NF - 5 Power Mix'!UHD15)*860/10)+((('Form Sa1'!UHG835)*860)/10)+('Form Sa1'!UHG814*'Form Sa1'!UHG816/10)-'NF - 5 Power Mix'!UHD21-'NF - 5 Power Mix'!UHD22</f>
        <v>0</v>
      </c>
      <c r="UHE42" s="1046">
        <f>UHE38+((UHE40+'NF - 5 Power Mix'!UHE14+'NF - 5 Power Mix'!UHE15)*860/10)+((('Form Sa1'!UHH835)*860)/10)+('Form Sa1'!UHH814*'Form Sa1'!UHH816/10)-'NF - 5 Power Mix'!UHE21-'NF - 5 Power Mix'!UHE22</f>
        <v>0</v>
      </c>
      <c r="UHF42" s="1046">
        <f>UHF38+((UHF40+'NF - 5 Power Mix'!UHF14+'NF - 5 Power Mix'!UHF15)*860/10)+((('Form Sa1'!UHI835)*860)/10)+('Form Sa1'!UHI814*'Form Sa1'!UHI816/10)-'NF - 5 Power Mix'!UHF21-'NF - 5 Power Mix'!UHF22</f>
        <v>0</v>
      </c>
      <c r="UHG42" s="1046">
        <f>UHG38+((UHG40+'NF - 5 Power Mix'!UHG14+'NF - 5 Power Mix'!UHG15)*860/10)+((('Form Sa1'!UHJ835)*860)/10)+('Form Sa1'!UHJ814*'Form Sa1'!UHJ816/10)-'NF - 5 Power Mix'!UHG21-'NF - 5 Power Mix'!UHG22</f>
        <v>0</v>
      </c>
      <c r="UHH42" s="1046">
        <f>UHH38+((UHH40+'NF - 5 Power Mix'!UHH14+'NF - 5 Power Mix'!UHH15)*860/10)+((('Form Sa1'!UHK835)*860)/10)+('Form Sa1'!UHK814*'Form Sa1'!UHK816/10)-'NF - 5 Power Mix'!UHH21-'NF - 5 Power Mix'!UHH22</f>
        <v>0</v>
      </c>
      <c r="UHI42" s="1046">
        <f>UHI38+((UHI40+'NF - 5 Power Mix'!UHI14+'NF - 5 Power Mix'!UHI15)*860/10)+((('Form Sa1'!UHL835)*860)/10)+('Form Sa1'!UHL814*'Form Sa1'!UHL816/10)-'NF - 5 Power Mix'!UHI21-'NF - 5 Power Mix'!UHI22</f>
        <v>0</v>
      </c>
      <c r="UHJ42" s="1046">
        <f>UHJ38+((UHJ40+'NF - 5 Power Mix'!UHJ14+'NF - 5 Power Mix'!UHJ15)*860/10)+((('Form Sa1'!UHM835)*860)/10)+('Form Sa1'!UHM814*'Form Sa1'!UHM816/10)-'NF - 5 Power Mix'!UHJ21-'NF - 5 Power Mix'!UHJ22</f>
        <v>0</v>
      </c>
      <c r="UHK42" s="1046">
        <f>UHK38+((UHK40+'NF - 5 Power Mix'!UHK14+'NF - 5 Power Mix'!UHK15)*860/10)+((('Form Sa1'!UHN835)*860)/10)+('Form Sa1'!UHN814*'Form Sa1'!UHN816/10)-'NF - 5 Power Mix'!UHK21-'NF - 5 Power Mix'!UHK22</f>
        <v>0</v>
      </c>
      <c r="UHL42" s="1046">
        <f>UHL38+((UHL40+'NF - 5 Power Mix'!UHL14+'NF - 5 Power Mix'!UHL15)*860/10)+((('Form Sa1'!UHO835)*860)/10)+('Form Sa1'!UHO814*'Form Sa1'!UHO816/10)-'NF - 5 Power Mix'!UHL21-'NF - 5 Power Mix'!UHL22</f>
        <v>0</v>
      </c>
      <c r="UHM42" s="1046">
        <f>UHM38+((UHM40+'NF - 5 Power Mix'!UHM14+'NF - 5 Power Mix'!UHM15)*860/10)+((('Form Sa1'!UHP835)*860)/10)+('Form Sa1'!UHP814*'Form Sa1'!UHP816/10)-'NF - 5 Power Mix'!UHM21-'NF - 5 Power Mix'!UHM22</f>
        <v>0</v>
      </c>
      <c r="UHN42" s="1046">
        <f>UHN38+((UHN40+'NF - 5 Power Mix'!UHN14+'NF - 5 Power Mix'!UHN15)*860/10)+((('Form Sa1'!UHQ835)*860)/10)+('Form Sa1'!UHQ814*'Form Sa1'!UHQ816/10)-'NF - 5 Power Mix'!UHN21-'NF - 5 Power Mix'!UHN22</f>
        <v>0</v>
      </c>
      <c r="UHO42" s="1046">
        <f>UHO38+((UHO40+'NF - 5 Power Mix'!UHO14+'NF - 5 Power Mix'!UHO15)*860/10)+((('Form Sa1'!UHR835)*860)/10)+('Form Sa1'!UHR814*'Form Sa1'!UHR816/10)-'NF - 5 Power Mix'!UHO21-'NF - 5 Power Mix'!UHO22</f>
        <v>0</v>
      </c>
      <c r="UHP42" s="1046">
        <f>UHP38+((UHP40+'NF - 5 Power Mix'!UHP14+'NF - 5 Power Mix'!UHP15)*860/10)+((('Form Sa1'!UHS835)*860)/10)+('Form Sa1'!UHS814*'Form Sa1'!UHS816/10)-'NF - 5 Power Mix'!UHP21-'NF - 5 Power Mix'!UHP22</f>
        <v>0</v>
      </c>
      <c r="UHQ42" s="1046">
        <f>UHQ38+((UHQ40+'NF - 5 Power Mix'!UHQ14+'NF - 5 Power Mix'!UHQ15)*860/10)+((('Form Sa1'!UHT835)*860)/10)+('Form Sa1'!UHT814*'Form Sa1'!UHT816/10)-'NF - 5 Power Mix'!UHQ21-'NF - 5 Power Mix'!UHQ22</f>
        <v>0</v>
      </c>
      <c r="UHR42" s="1046">
        <f>UHR38+((UHR40+'NF - 5 Power Mix'!UHR14+'NF - 5 Power Mix'!UHR15)*860/10)+((('Form Sa1'!UHU835)*860)/10)+('Form Sa1'!UHU814*'Form Sa1'!UHU816/10)-'NF - 5 Power Mix'!UHR21-'NF - 5 Power Mix'!UHR22</f>
        <v>0</v>
      </c>
      <c r="UHS42" s="1046">
        <f>UHS38+((UHS40+'NF - 5 Power Mix'!UHS14+'NF - 5 Power Mix'!UHS15)*860/10)+((('Form Sa1'!UHV835)*860)/10)+('Form Sa1'!UHV814*'Form Sa1'!UHV816/10)-'NF - 5 Power Mix'!UHS21-'NF - 5 Power Mix'!UHS22</f>
        <v>0</v>
      </c>
      <c r="UHT42" s="1046">
        <f>UHT38+((UHT40+'NF - 5 Power Mix'!UHT14+'NF - 5 Power Mix'!UHT15)*860/10)+((('Form Sa1'!UHW835)*860)/10)+('Form Sa1'!UHW814*'Form Sa1'!UHW816/10)-'NF - 5 Power Mix'!UHT21-'NF - 5 Power Mix'!UHT22</f>
        <v>0</v>
      </c>
      <c r="UHU42" s="1046">
        <f>UHU38+((UHU40+'NF - 5 Power Mix'!UHU14+'NF - 5 Power Mix'!UHU15)*860/10)+((('Form Sa1'!UHX835)*860)/10)+('Form Sa1'!UHX814*'Form Sa1'!UHX816/10)-'NF - 5 Power Mix'!UHU21-'NF - 5 Power Mix'!UHU22</f>
        <v>0</v>
      </c>
      <c r="UHV42" s="1046">
        <f>UHV38+((UHV40+'NF - 5 Power Mix'!UHV14+'NF - 5 Power Mix'!UHV15)*860/10)+((('Form Sa1'!UHY835)*860)/10)+('Form Sa1'!UHY814*'Form Sa1'!UHY816/10)-'NF - 5 Power Mix'!UHV21-'NF - 5 Power Mix'!UHV22</f>
        <v>0</v>
      </c>
      <c r="UHW42" s="1046">
        <f>UHW38+((UHW40+'NF - 5 Power Mix'!UHW14+'NF - 5 Power Mix'!UHW15)*860/10)+((('Form Sa1'!UHZ835)*860)/10)+('Form Sa1'!UHZ814*'Form Sa1'!UHZ816/10)-'NF - 5 Power Mix'!UHW21-'NF - 5 Power Mix'!UHW22</f>
        <v>0</v>
      </c>
      <c r="UHX42" s="1046">
        <f>UHX38+((UHX40+'NF - 5 Power Mix'!UHX14+'NF - 5 Power Mix'!UHX15)*860/10)+((('Form Sa1'!UIA835)*860)/10)+('Form Sa1'!UIA814*'Form Sa1'!UIA816/10)-'NF - 5 Power Mix'!UHX21-'NF - 5 Power Mix'!UHX22</f>
        <v>0</v>
      </c>
      <c r="UHY42" s="1046">
        <f>UHY38+((UHY40+'NF - 5 Power Mix'!UHY14+'NF - 5 Power Mix'!UHY15)*860/10)+((('Form Sa1'!UIB835)*860)/10)+('Form Sa1'!UIB814*'Form Sa1'!UIB816/10)-'NF - 5 Power Mix'!UHY21-'NF - 5 Power Mix'!UHY22</f>
        <v>0</v>
      </c>
      <c r="UHZ42" s="1046">
        <f>UHZ38+((UHZ40+'NF - 5 Power Mix'!UHZ14+'NF - 5 Power Mix'!UHZ15)*860/10)+((('Form Sa1'!UIC835)*860)/10)+('Form Sa1'!UIC814*'Form Sa1'!UIC816/10)-'NF - 5 Power Mix'!UHZ21-'NF - 5 Power Mix'!UHZ22</f>
        <v>0</v>
      </c>
      <c r="UIA42" s="1046">
        <f>UIA38+((UIA40+'NF - 5 Power Mix'!UIA14+'NF - 5 Power Mix'!UIA15)*860/10)+((('Form Sa1'!UID835)*860)/10)+('Form Sa1'!UID814*'Form Sa1'!UID816/10)-'NF - 5 Power Mix'!UIA21-'NF - 5 Power Mix'!UIA22</f>
        <v>0</v>
      </c>
      <c r="UIB42" s="1046">
        <f>UIB38+((UIB40+'NF - 5 Power Mix'!UIB14+'NF - 5 Power Mix'!UIB15)*860/10)+((('Form Sa1'!UIE835)*860)/10)+('Form Sa1'!UIE814*'Form Sa1'!UIE816/10)-'NF - 5 Power Mix'!UIB21-'NF - 5 Power Mix'!UIB22</f>
        <v>0</v>
      </c>
      <c r="UIC42" s="1046">
        <f>UIC38+((UIC40+'NF - 5 Power Mix'!UIC14+'NF - 5 Power Mix'!UIC15)*860/10)+((('Form Sa1'!UIF835)*860)/10)+('Form Sa1'!UIF814*'Form Sa1'!UIF816/10)-'NF - 5 Power Mix'!UIC21-'NF - 5 Power Mix'!UIC22</f>
        <v>0</v>
      </c>
      <c r="UID42" s="1046">
        <f>UID38+((UID40+'NF - 5 Power Mix'!UID14+'NF - 5 Power Mix'!UID15)*860/10)+((('Form Sa1'!UIG835)*860)/10)+('Form Sa1'!UIG814*'Form Sa1'!UIG816/10)-'NF - 5 Power Mix'!UID21-'NF - 5 Power Mix'!UID22</f>
        <v>0</v>
      </c>
      <c r="UIE42" s="1046">
        <f>UIE38+((UIE40+'NF - 5 Power Mix'!UIE14+'NF - 5 Power Mix'!UIE15)*860/10)+((('Form Sa1'!UIH835)*860)/10)+('Form Sa1'!UIH814*'Form Sa1'!UIH816/10)-'NF - 5 Power Mix'!UIE21-'NF - 5 Power Mix'!UIE22</f>
        <v>0</v>
      </c>
      <c r="UIF42" s="1046">
        <f>UIF38+((UIF40+'NF - 5 Power Mix'!UIF14+'NF - 5 Power Mix'!UIF15)*860/10)+((('Form Sa1'!UII835)*860)/10)+('Form Sa1'!UII814*'Form Sa1'!UII816/10)-'NF - 5 Power Mix'!UIF21-'NF - 5 Power Mix'!UIF22</f>
        <v>0</v>
      </c>
      <c r="UIG42" s="1046">
        <f>UIG38+((UIG40+'NF - 5 Power Mix'!UIG14+'NF - 5 Power Mix'!UIG15)*860/10)+((('Form Sa1'!UIJ835)*860)/10)+('Form Sa1'!UIJ814*'Form Sa1'!UIJ816/10)-'NF - 5 Power Mix'!UIG21-'NF - 5 Power Mix'!UIG22</f>
        <v>0</v>
      </c>
      <c r="UIH42" s="1046">
        <f>UIH38+((UIH40+'NF - 5 Power Mix'!UIH14+'NF - 5 Power Mix'!UIH15)*860/10)+((('Form Sa1'!UIK835)*860)/10)+('Form Sa1'!UIK814*'Form Sa1'!UIK816/10)-'NF - 5 Power Mix'!UIH21-'NF - 5 Power Mix'!UIH22</f>
        <v>0</v>
      </c>
      <c r="UII42" s="1046">
        <f>UII38+((UII40+'NF - 5 Power Mix'!UII14+'NF - 5 Power Mix'!UII15)*860/10)+((('Form Sa1'!UIL835)*860)/10)+('Form Sa1'!UIL814*'Form Sa1'!UIL816/10)-'NF - 5 Power Mix'!UII21-'NF - 5 Power Mix'!UII22</f>
        <v>0</v>
      </c>
      <c r="UIJ42" s="1046">
        <f>UIJ38+((UIJ40+'NF - 5 Power Mix'!UIJ14+'NF - 5 Power Mix'!UIJ15)*860/10)+((('Form Sa1'!UIM835)*860)/10)+('Form Sa1'!UIM814*'Form Sa1'!UIM816/10)-'NF - 5 Power Mix'!UIJ21-'NF - 5 Power Mix'!UIJ22</f>
        <v>0</v>
      </c>
      <c r="UIK42" s="1046">
        <f>UIK38+((UIK40+'NF - 5 Power Mix'!UIK14+'NF - 5 Power Mix'!UIK15)*860/10)+((('Form Sa1'!UIN835)*860)/10)+('Form Sa1'!UIN814*'Form Sa1'!UIN816/10)-'NF - 5 Power Mix'!UIK21-'NF - 5 Power Mix'!UIK22</f>
        <v>0</v>
      </c>
      <c r="UIL42" s="1046">
        <f>UIL38+((UIL40+'NF - 5 Power Mix'!UIL14+'NF - 5 Power Mix'!UIL15)*860/10)+((('Form Sa1'!UIO835)*860)/10)+('Form Sa1'!UIO814*'Form Sa1'!UIO816/10)-'NF - 5 Power Mix'!UIL21-'NF - 5 Power Mix'!UIL22</f>
        <v>0</v>
      </c>
      <c r="UIM42" s="1046">
        <f>UIM38+((UIM40+'NF - 5 Power Mix'!UIM14+'NF - 5 Power Mix'!UIM15)*860/10)+((('Form Sa1'!UIP835)*860)/10)+('Form Sa1'!UIP814*'Form Sa1'!UIP816/10)-'NF - 5 Power Mix'!UIM21-'NF - 5 Power Mix'!UIM22</f>
        <v>0</v>
      </c>
      <c r="UIN42" s="1046">
        <f>UIN38+((UIN40+'NF - 5 Power Mix'!UIN14+'NF - 5 Power Mix'!UIN15)*860/10)+((('Form Sa1'!UIQ835)*860)/10)+('Form Sa1'!UIQ814*'Form Sa1'!UIQ816/10)-'NF - 5 Power Mix'!UIN21-'NF - 5 Power Mix'!UIN22</f>
        <v>0</v>
      </c>
      <c r="UIO42" s="1046">
        <f>UIO38+((UIO40+'NF - 5 Power Mix'!UIO14+'NF - 5 Power Mix'!UIO15)*860/10)+((('Form Sa1'!UIR835)*860)/10)+('Form Sa1'!UIR814*'Form Sa1'!UIR816/10)-'NF - 5 Power Mix'!UIO21-'NF - 5 Power Mix'!UIO22</f>
        <v>0</v>
      </c>
      <c r="UIP42" s="1046">
        <f>UIP38+((UIP40+'NF - 5 Power Mix'!UIP14+'NF - 5 Power Mix'!UIP15)*860/10)+((('Form Sa1'!UIS835)*860)/10)+('Form Sa1'!UIS814*'Form Sa1'!UIS816/10)-'NF - 5 Power Mix'!UIP21-'NF - 5 Power Mix'!UIP22</f>
        <v>0</v>
      </c>
      <c r="UIQ42" s="1046">
        <f>UIQ38+((UIQ40+'NF - 5 Power Mix'!UIQ14+'NF - 5 Power Mix'!UIQ15)*860/10)+((('Form Sa1'!UIT835)*860)/10)+('Form Sa1'!UIT814*'Form Sa1'!UIT816/10)-'NF - 5 Power Mix'!UIQ21-'NF - 5 Power Mix'!UIQ22</f>
        <v>0</v>
      </c>
      <c r="UIR42" s="1046">
        <f>UIR38+((UIR40+'NF - 5 Power Mix'!UIR14+'NF - 5 Power Mix'!UIR15)*860/10)+((('Form Sa1'!UIU835)*860)/10)+('Form Sa1'!UIU814*'Form Sa1'!UIU816/10)-'NF - 5 Power Mix'!UIR21-'NF - 5 Power Mix'!UIR22</f>
        <v>0</v>
      </c>
      <c r="UIS42" s="1046">
        <f>UIS38+((UIS40+'NF - 5 Power Mix'!UIS14+'NF - 5 Power Mix'!UIS15)*860/10)+((('Form Sa1'!UIV835)*860)/10)+('Form Sa1'!UIV814*'Form Sa1'!UIV816/10)-'NF - 5 Power Mix'!UIS21-'NF - 5 Power Mix'!UIS22</f>
        <v>0</v>
      </c>
      <c r="UIT42" s="1046">
        <f>UIT38+((UIT40+'NF - 5 Power Mix'!UIT14+'NF - 5 Power Mix'!UIT15)*860/10)+((('Form Sa1'!UIW835)*860)/10)+('Form Sa1'!UIW814*'Form Sa1'!UIW816/10)-'NF - 5 Power Mix'!UIT21-'NF - 5 Power Mix'!UIT22</f>
        <v>0</v>
      </c>
      <c r="UIU42" s="1046">
        <f>UIU38+((UIU40+'NF - 5 Power Mix'!UIU14+'NF - 5 Power Mix'!UIU15)*860/10)+((('Form Sa1'!UIX835)*860)/10)+('Form Sa1'!UIX814*'Form Sa1'!UIX816/10)-'NF - 5 Power Mix'!UIU21-'NF - 5 Power Mix'!UIU22</f>
        <v>0</v>
      </c>
      <c r="UIV42" s="1046">
        <f>UIV38+((UIV40+'NF - 5 Power Mix'!UIV14+'NF - 5 Power Mix'!UIV15)*860/10)+((('Form Sa1'!UIY835)*860)/10)+('Form Sa1'!UIY814*'Form Sa1'!UIY816/10)-'NF - 5 Power Mix'!UIV21-'NF - 5 Power Mix'!UIV22</f>
        <v>0</v>
      </c>
      <c r="UIW42" s="1046">
        <f>UIW38+((UIW40+'NF - 5 Power Mix'!UIW14+'NF - 5 Power Mix'!UIW15)*860/10)+((('Form Sa1'!UIZ835)*860)/10)+('Form Sa1'!UIZ814*'Form Sa1'!UIZ816/10)-'NF - 5 Power Mix'!UIW21-'NF - 5 Power Mix'!UIW22</f>
        <v>0</v>
      </c>
      <c r="UIX42" s="1046">
        <f>UIX38+((UIX40+'NF - 5 Power Mix'!UIX14+'NF - 5 Power Mix'!UIX15)*860/10)+((('Form Sa1'!UJA835)*860)/10)+('Form Sa1'!UJA814*'Form Sa1'!UJA816/10)-'NF - 5 Power Mix'!UIX21-'NF - 5 Power Mix'!UIX22</f>
        <v>0</v>
      </c>
      <c r="UIY42" s="1046">
        <f>UIY38+((UIY40+'NF - 5 Power Mix'!UIY14+'NF - 5 Power Mix'!UIY15)*860/10)+((('Form Sa1'!UJB835)*860)/10)+('Form Sa1'!UJB814*'Form Sa1'!UJB816/10)-'NF - 5 Power Mix'!UIY21-'NF - 5 Power Mix'!UIY22</f>
        <v>0</v>
      </c>
      <c r="UIZ42" s="1046">
        <f>UIZ38+((UIZ40+'NF - 5 Power Mix'!UIZ14+'NF - 5 Power Mix'!UIZ15)*860/10)+((('Form Sa1'!UJC835)*860)/10)+('Form Sa1'!UJC814*'Form Sa1'!UJC816/10)-'NF - 5 Power Mix'!UIZ21-'NF - 5 Power Mix'!UIZ22</f>
        <v>0</v>
      </c>
      <c r="UJA42" s="1046">
        <f>UJA38+((UJA40+'NF - 5 Power Mix'!UJA14+'NF - 5 Power Mix'!UJA15)*860/10)+((('Form Sa1'!UJD835)*860)/10)+('Form Sa1'!UJD814*'Form Sa1'!UJD816/10)-'NF - 5 Power Mix'!UJA21-'NF - 5 Power Mix'!UJA22</f>
        <v>0</v>
      </c>
      <c r="UJB42" s="1046">
        <f>UJB38+((UJB40+'NF - 5 Power Mix'!UJB14+'NF - 5 Power Mix'!UJB15)*860/10)+((('Form Sa1'!UJE835)*860)/10)+('Form Sa1'!UJE814*'Form Sa1'!UJE816/10)-'NF - 5 Power Mix'!UJB21-'NF - 5 Power Mix'!UJB22</f>
        <v>0</v>
      </c>
      <c r="UJC42" s="1046">
        <f>UJC38+((UJC40+'NF - 5 Power Mix'!UJC14+'NF - 5 Power Mix'!UJC15)*860/10)+((('Form Sa1'!UJF835)*860)/10)+('Form Sa1'!UJF814*'Form Sa1'!UJF816/10)-'NF - 5 Power Mix'!UJC21-'NF - 5 Power Mix'!UJC22</f>
        <v>0</v>
      </c>
      <c r="UJD42" s="1046">
        <f>UJD38+((UJD40+'NF - 5 Power Mix'!UJD14+'NF - 5 Power Mix'!UJD15)*860/10)+((('Form Sa1'!UJG835)*860)/10)+('Form Sa1'!UJG814*'Form Sa1'!UJG816/10)-'NF - 5 Power Mix'!UJD21-'NF - 5 Power Mix'!UJD22</f>
        <v>0</v>
      </c>
      <c r="UJE42" s="1046">
        <f>UJE38+((UJE40+'NF - 5 Power Mix'!UJE14+'NF - 5 Power Mix'!UJE15)*860/10)+((('Form Sa1'!UJH835)*860)/10)+('Form Sa1'!UJH814*'Form Sa1'!UJH816/10)-'NF - 5 Power Mix'!UJE21-'NF - 5 Power Mix'!UJE22</f>
        <v>0</v>
      </c>
      <c r="UJF42" s="1046">
        <f>UJF38+((UJF40+'NF - 5 Power Mix'!UJF14+'NF - 5 Power Mix'!UJF15)*860/10)+((('Form Sa1'!UJI835)*860)/10)+('Form Sa1'!UJI814*'Form Sa1'!UJI816/10)-'NF - 5 Power Mix'!UJF21-'NF - 5 Power Mix'!UJF22</f>
        <v>0</v>
      </c>
      <c r="UJG42" s="1046">
        <f>UJG38+((UJG40+'NF - 5 Power Mix'!UJG14+'NF - 5 Power Mix'!UJG15)*860/10)+((('Form Sa1'!UJJ835)*860)/10)+('Form Sa1'!UJJ814*'Form Sa1'!UJJ816/10)-'NF - 5 Power Mix'!UJG21-'NF - 5 Power Mix'!UJG22</f>
        <v>0</v>
      </c>
      <c r="UJH42" s="1046">
        <f>UJH38+((UJH40+'NF - 5 Power Mix'!UJH14+'NF - 5 Power Mix'!UJH15)*860/10)+((('Form Sa1'!UJK835)*860)/10)+('Form Sa1'!UJK814*'Form Sa1'!UJK816/10)-'NF - 5 Power Mix'!UJH21-'NF - 5 Power Mix'!UJH22</f>
        <v>0</v>
      </c>
      <c r="UJI42" s="1046">
        <f>UJI38+((UJI40+'NF - 5 Power Mix'!UJI14+'NF - 5 Power Mix'!UJI15)*860/10)+((('Form Sa1'!UJL835)*860)/10)+('Form Sa1'!UJL814*'Form Sa1'!UJL816/10)-'NF - 5 Power Mix'!UJI21-'NF - 5 Power Mix'!UJI22</f>
        <v>0</v>
      </c>
      <c r="UJJ42" s="1046">
        <f>UJJ38+((UJJ40+'NF - 5 Power Mix'!UJJ14+'NF - 5 Power Mix'!UJJ15)*860/10)+((('Form Sa1'!UJM835)*860)/10)+('Form Sa1'!UJM814*'Form Sa1'!UJM816/10)-'NF - 5 Power Mix'!UJJ21-'NF - 5 Power Mix'!UJJ22</f>
        <v>0</v>
      </c>
      <c r="UJK42" s="1046">
        <f>UJK38+((UJK40+'NF - 5 Power Mix'!UJK14+'NF - 5 Power Mix'!UJK15)*860/10)+((('Form Sa1'!UJN835)*860)/10)+('Form Sa1'!UJN814*'Form Sa1'!UJN816/10)-'NF - 5 Power Mix'!UJK21-'NF - 5 Power Mix'!UJK22</f>
        <v>0</v>
      </c>
      <c r="UJL42" s="1046">
        <f>UJL38+((UJL40+'NF - 5 Power Mix'!UJL14+'NF - 5 Power Mix'!UJL15)*860/10)+((('Form Sa1'!UJO835)*860)/10)+('Form Sa1'!UJO814*'Form Sa1'!UJO816/10)-'NF - 5 Power Mix'!UJL21-'NF - 5 Power Mix'!UJL22</f>
        <v>0</v>
      </c>
      <c r="UJM42" s="1046">
        <f>UJM38+((UJM40+'NF - 5 Power Mix'!UJM14+'NF - 5 Power Mix'!UJM15)*860/10)+((('Form Sa1'!UJP835)*860)/10)+('Form Sa1'!UJP814*'Form Sa1'!UJP816/10)-'NF - 5 Power Mix'!UJM21-'NF - 5 Power Mix'!UJM22</f>
        <v>0</v>
      </c>
      <c r="UJN42" s="1046">
        <f>UJN38+((UJN40+'NF - 5 Power Mix'!UJN14+'NF - 5 Power Mix'!UJN15)*860/10)+((('Form Sa1'!UJQ835)*860)/10)+('Form Sa1'!UJQ814*'Form Sa1'!UJQ816/10)-'NF - 5 Power Mix'!UJN21-'NF - 5 Power Mix'!UJN22</f>
        <v>0</v>
      </c>
      <c r="UJO42" s="1046">
        <f>UJO38+((UJO40+'NF - 5 Power Mix'!UJO14+'NF - 5 Power Mix'!UJO15)*860/10)+((('Form Sa1'!UJR835)*860)/10)+('Form Sa1'!UJR814*'Form Sa1'!UJR816/10)-'NF - 5 Power Mix'!UJO21-'NF - 5 Power Mix'!UJO22</f>
        <v>0</v>
      </c>
      <c r="UJP42" s="1046">
        <f>UJP38+((UJP40+'NF - 5 Power Mix'!UJP14+'NF - 5 Power Mix'!UJP15)*860/10)+((('Form Sa1'!UJS835)*860)/10)+('Form Sa1'!UJS814*'Form Sa1'!UJS816/10)-'NF - 5 Power Mix'!UJP21-'NF - 5 Power Mix'!UJP22</f>
        <v>0</v>
      </c>
      <c r="UJQ42" s="1046">
        <f>UJQ38+((UJQ40+'NF - 5 Power Mix'!UJQ14+'NF - 5 Power Mix'!UJQ15)*860/10)+((('Form Sa1'!UJT835)*860)/10)+('Form Sa1'!UJT814*'Form Sa1'!UJT816/10)-'NF - 5 Power Mix'!UJQ21-'NF - 5 Power Mix'!UJQ22</f>
        <v>0</v>
      </c>
      <c r="UJR42" s="1046">
        <f>UJR38+((UJR40+'NF - 5 Power Mix'!UJR14+'NF - 5 Power Mix'!UJR15)*860/10)+((('Form Sa1'!UJU835)*860)/10)+('Form Sa1'!UJU814*'Form Sa1'!UJU816/10)-'NF - 5 Power Mix'!UJR21-'NF - 5 Power Mix'!UJR22</f>
        <v>0</v>
      </c>
      <c r="UJS42" s="1046">
        <f>UJS38+((UJS40+'NF - 5 Power Mix'!UJS14+'NF - 5 Power Mix'!UJS15)*860/10)+((('Form Sa1'!UJV835)*860)/10)+('Form Sa1'!UJV814*'Form Sa1'!UJV816/10)-'NF - 5 Power Mix'!UJS21-'NF - 5 Power Mix'!UJS22</f>
        <v>0</v>
      </c>
      <c r="UJT42" s="1046">
        <f>UJT38+((UJT40+'NF - 5 Power Mix'!UJT14+'NF - 5 Power Mix'!UJT15)*860/10)+((('Form Sa1'!UJW835)*860)/10)+('Form Sa1'!UJW814*'Form Sa1'!UJW816/10)-'NF - 5 Power Mix'!UJT21-'NF - 5 Power Mix'!UJT22</f>
        <v>0</v>
      </c>
      <c r="UJU42" s="1046">
        <f>UJU38+((UJU40+'NF - 5 Power Mix'!UJU14+'NF - 5 Power Mix'!UJU15)*860/10)+((('Form Sa1'!UJX835)*860)/10)+('Form Sa1'!UJX814*'Form Sa1'!UJX816/10)-'NF - 5 Power Mix'!UJU21-'NF - 5 Power Mix'!UJU22</f>
        <v>0</v>
      </c>
      <c r="UJV42" s="1046">
        <f>UJV38+((UJV40+'NF - 5 Power Mix'!UJV14+'NF - 5 Power Mix'!UJV15)*860/10)+((('Form Sa1'!UJY835)*860)/10)+('Form Sa1'!UJY814*'Form Sa1'!UJY816/10)-'NF - 5 Power Mix'!UJV21-'NF - 5 Power Mix'!UJV22</f>
        <v>0</v>
      </c>
      <c r="UJW42" s="1046">
        <f>UJW38+((UJW40+'NF - 5 Power Mix'!UJW14+'NF - 5 Power Mix'!UJW15)*860/10)+((('Form Sa1'!UJZ835)*860)/10)+('Form Sa1'!UJZ814*'Form Sa1'!UJZ816/10)-'NF - 5 Power Mix'!UJW21-'NF - 5 Power Mix'!UJW22</f>
        <v>0</v>
      </c>
      <c r="UJX42" s="1046">
        <f>UJX38+((UJX40+'NF - 5 Power Mix'!UJX14+'NF - 5 Power Mix'!UJX15)*860/10)+((('Form Sa1'!UKA835)*860)/10)+('Form Sa1'!UKA814*'Form Sa1'!UKA816/10)-'NF - 5 Power Mix'!UJX21-'NF - 5 Power Mix'!UJX22</f>
        <v>0</v>
      </c>
      <c r="UJY42" s="1046">
        <f>UJY38+((UJY40+'NF - 5 Power Mix'!UJY14+'NF - 5 Power Mix'!UJY15)*860/10)+((('Form Sa1'!UKB835)*860)/10)+('Form Sa1'!UKB814*'Form Sa1'!UKB816/10)-'NF - 5 Power Mix'!UJY21-'NF - 5 Power Mix'!UJY22</f>
        <v>0</v>
      </c>
      <c r="UJZ42" s="1046">
        <f>UJZ38+((UJZ40+'NF - 5 Power Mix'!UJZ14+'NF - 5 Power Mix'!UJZ15)*860/10)+((('Form Sa1'!UKC835)*860)/10)+('Form Sa1'!UKC814*'Form Sa1'!UKC816/10)-'NF - 5 Power Mix'!UJZ21-'NF - 5 Power Mix'!UJZ22</f>
        <v>0</v>
      </c>
      <c r="UKA42" s="1046">
        <f>UKA38+((UKA40+'NF - 5 Power Mix'!UKA14+'NF - 5 Power Mix'!UKA15)*860/10)+((('Form Sa1'!UKD835)*860)/10)+('Form Sa1'!UKD814*'Form Sa1'!UKD816/10)-'NF - 5 Power Mix'!UKA21-'NF - 5 Power Mix'!UKA22</f>
        <v>0</v>
      </c>
      <c r="UKB42" s="1046">
        <f>UKB38+((UKB40+'NF - 5 Power Mix'!UKB14+'NF - 5 Power Mix'!UKB15)*860/10)+((('Form Sa1'!UKE835)*860)/10)+('Form Sa1'!UKE814*'Form Sa1'!UKE816/10)-'NF - 5 Power Mix'!UKB21-'NF - 5 Power Mix'!UKB22</f>
        <v>0</v>
      </c>
      <c r="UKC42" s="1046">
        <f>UKC38+((UKC40+'NF - 5 Power Mix'!UKC14+'NF - 5 Power Mix'!UKC15)*860/10)+((('Form Sa1'!UKF835)*860)/10)+('Form Sa1'!UKF814*'Form Sa1'!UKF816/10)-'NF - 5 Power Mix'!UKC21-'NF - 5 Power Mix'!UKC22</f>
        <v>0</v>
      </c>
      <c r="UKD42" s="1046">
        <f>UKD38+((UKD40+'NF - 5 Power Mix'!UKD14+'NF - 5 Power Mix'!UKD15)*860/10)+((('Form Sa1'!UKG835)*860)/10)+('Form Sa1'!UKG814*'Form Sa1'!UKG816/10)-'NF - 5 Power Mix'!UKD21-'NF - 5 Power Mix'!UKD22</f>
        <v>0</v>
      </c>
      <c r="UKE42" s="1046">
        <f>UKE38+((UKE40+'NF - 5 Power Mix'!UKE14+'NF - 5 Power Mix'!UKE15)*860/10)+((('Form Sa1'!UKH835)*860)/10)+('Form Sa1'!UKH814*'Form Sa1'!UKH816/10)-'NF - 5 Power Mix'!UKE21-'NF - 5 Power Mix'!UKE22</f>
        <v>0</v>
      </c>
      <c r="UKF42" s="1046">
        <f>UKF38+((UKF40+'NF - 5 Power Mix'!UKF14+'NF - 5 Power Mix'!UKF15)*860/10)+((('Form Sa1'!UKI835)*860)/10)+('Form Sa1'!UKI814*'Form Sa1'!UKI816/10)-'NF - 5 Power Mix'!UKF21-'NF - 5 Power Mix'!UKF22</f>
        <v>0</v>
      </c>
      <c r="UKG42" s="1046">
        <f>UKG38+((UKG40+'NF - 5 Power Mix'!UKG14+'NF - 5 Power Mix'!UKG15)*860/10)+((('Form Sa1'!UKJ835)*860)/10)+('Form Sa1'!UKJ814*'Form Sa1'!UKJ816/10)-'NF - 5 Power Mix'!UKG21-'NF - 5 Power Mix'!UKG22</f>
        <v>0</v>
      </c>
      <c r="UKH42" s="1046">
        <f>UKH38+((UKH40+'NF - 5 Power Mix'!UKH14+'NF - 5 Power Mix'!UKH15)*860/10)+((('Form Sa1'!UKK835)*860)/10)+('Form Sa1'!UKK814*'Form Sa1'!UKK816/10)-'NF - 5 Power Mix'!UKH21-'NF - 5 Power Mix'!UKH22</f>
        <v>0</v>
      </c>
      <c r="UKI42" s="1046">
        <f>UKI38+((UKI40+'NF - 5 Power Mix'!UKI14+'NF - 5 Power Mix'!UKI15)*860/10)+((('Form Sa1'!UKL835)*860)/10)+('Form Sa1'!UKL814*'Form Sa1'!UKL816/10)-'NF - 5 Power Mix'!UKI21-'NF - 5 Power Mix'!UKI22</f>
        <v>0</v>
      </c>
      <c r="UKJ42" s="1046">
        <f>UKJ38+((UKJ40+'NF - 5 Power Mix'!UKJ14+'NF - 5 Power Mix'!UKJ15)*860/10)+((('Form Sa1'!UKM835)*860)/10)+('Form Sa1'!UKM814*'Form Sa1'!UKM816/10)-'NF - 5 Power Mix'!UKJ21-'NF - 5 Power Mix'!UKJ22</f>
        <v>0</v>
      </c>
      <c r="UKK42" s="1046">
        <f>UKK38+((UKK40+'NF - 5 Power Mix'!UKK14+'NF - 5 Power Mix'!UKK15)*860/10)+((('Form Sa1'!UKN835)*860)/10)+('Form Sa1'!UKN814*'Form Sa1'!UKN816/10)-'NF - 5 Power Mix'!UKK21-'NF - 5 Power Mix'!UKK22</f>
        <v>0</v>
      </c>
      <c r="UKL42" s="1046">
        <f>UKL38+((UKL40+'NF - 5 Power Mix'!UKL14+'NF - 5 Power Mix'!UKL15)*860/10)+((('Form Sa1'!UKO835)*860)/10)+('Form Sa1'!UKO814*'Form Sa1'!UKO816/10)-'NF - 5 Power Mix'!UKL21-'NF - 5 Power Mix'!UKL22</f>
        <v>0</v>
      </c>
      <c r="UKM42" s="1046">
        <f>UKM38+((UKM40+'NF - 5 Power Mix'!UKM14+'NF - 5 Power Mix'!UKM15)*860/10)+((('Form Sa1'!UKP835)*860)/10)+('Form Sa1'!UKP814*'Form Sa1'!UKP816/10)-'NF - 5 Power Mix'!UKM21-'NF - 5 Power Mix'!UKM22</f>
        <v>0</v>
      </c>
      <c r="UKN42" s="1046">
        <f>UKN38+((UKN40+'NF - 5 Power Mix'!UKN14+'NF - 5 Power Mix'!UKN15)*860/10)+((('Form Sa1'!UKQ835)*860)/10)+('Form Sa1'!UKQ814*'Form Sa1'!UKQ816/10)-'NF - 5 Power Mix'!UKN21-'NF - 5 Power Mix'!UKN22</f>
        <v>0</v>
      </c>
      <c r="UKO42" s="1046">
        <f>UKO38+((UKO40+'NF - 5 Power Mix'!UKO14+'NF - 5 Power Mix'!UKO15)*860/10)+((('Form Sa1'!UKR835)*860)/10)+('Form Sa1'!UKR814*'Form Sa1'!UKR816/10)-'NF - 5 Power Mix'!UKO21-'NF - 5 Power Mix'!UKO22</f>
        <v>0</v>
      </c>
      <c r="UKP42" s="1046">
        <f>UKP38+((UKP40+'NF - 5 Power Mix'!UKP14+'NF - 5 Power Mix'!UKP15)*860/10)+((('Form Sa1'!UKS835)*860)/10)+('Form Sa1'!UKS814*'Form Sa1'!UKS816/10)-'NF - 5 Power Mix'!UKP21-'NF - 5 Power Mix'!UKP22</f>
        <v>0</v>
      </c>
      <c r="UKQ42" s="1046">
        <f>UKQ38+((UKQ40+'NF - 5 Power Mix'!UKQ14+'NF - 5 Power Mix'!UKQ15)*860/10)+((('Form Sa1'!UKT835)*860)/10)+('Form Sa1'!UKT814*'Form Sa1'!UKT816/10)-'NF - 5 Power Mix'!UKQ21-'NF - 5 Power Mix'!UKQ22</f>
        <v>0</v>
      </c>
      <c r="UKR42" s="1046">
        <f>UKR38+((UKR40+'NF - 5 Power Mix'!UKR14+'NF - 5 Power Mix'!UKR15)*860/10)+((('Form Sa1'!UKU835)*860)/10)+('Form Sa1'!UKU814*'Form Sa1'!UKU816/10)-'NF - 5 Power Mix'!UKR21-'NF - 5 Power Mix'!UKR22</f>
        <v>0</v>
      </c>
      <c r="UKS42" s="1046">
        <f>UKS38+((UKS40+'NF - 5 Power Mix'!UKS14+'NF - 5 Power Mix'!UKS15)*860/10)+((('Form Sa1'!UKV835)*860)/10)+('Form Sa1'!UKV814*'Form Sa1'!UKV816/10)-'NF - 5 Power Mix'!UKS21-'NF - 5 Power Mix'!UKS22</f>
        <v>0</v>
      </c>
      <c r="UKT42" s="1046">
        <f>UKT38+((UKT40+'NF - 5 Power Mix'!UKT14+'NF - 5 Power Mix'!UKT15)*860/10)+((('Form Sa1'!UKW835)*860)/10)+('Form Sa1'!UKW814*'Form Sa1'!UKW816/10)-'NF - 5 Power Mix'!UKT21-'NF - 5 Power Mix'!UKT22</f>
        <v>0</v>
      </c>
      <c r="UKU42" s="1046">
        <f>UKU38+((UKU40+'NF - 5 Power Mix'!UKU14+'NF - 5 Power Mix'!UKU15)*860/10)+((('Form Sa1'!UKX835)*860)/10)+('Form Sa1'!UKX814*'Form Sa1'!UKX816/10)-'NF - 5 Power Mix'!UKU21-'NF - 5 Power Mix'!UKU22</f>
        <v>0</v>
      </c>
      <c r="UKV42" s="1046">
        <f>UKV38+((UKV40+'NF - 5 Power Mix'!UKV14+'NF - 5 Power Mix'!UKV15)*860/10)+((('Form Sa1'!UKY835)*860)/10)+('Form Sa1'!UKY814*'Form Sa1'!UKY816/10)-'NF - 5 Power Mix'!UKV21-'NF - 5 Power Mix'!UKV22</f>
        <v>0</v>
      </c>
      <c r="UKW42" s="1046">
        <f>UKW38+((UKW40+'NF - 5 Power Mix'!UKW14+'NF - 5 Power Mix'!UKW15)*860/10)+((('Form Sa1'!UKZ835)*860)/10)+('Form Sa1'!UKZ814*'Form Sa1'!UKZ816/10)-'NF - 5 Power Mix'!UKW21-'NF - 5 Power Mix'!UKW22</f>
        <v>0</v>
      </c>
      <c r="UKX42" s="1046">
        <f>UKX38+((UKX40+'NF - 5 Power Mix'!UKX14+'NF - 5 Power Mix'!UKX15)*860/10)+((('Form Sa1'!ULA835)*860)/10)+('Form Sa1'!ULA814*'Form Sa1'!ULA816/10)-'NF - 5 Power Mix'!UKX21-'NF - 5 Power Mix'!UKX22</f>
        <v>0</v>
      </c>
      <c r="UKY42" s="1046">
        <f>UKY38+((UKY40+'NF - 5 Power Mix'!UKY14+'NF - 5 Power Mix'!UKY15)*860/10)+((('Form Sa1'!ULB835)*860)/10)+('Form Sa1'!ULB814*'Form Sa1'!ULB816/10)-'NF - 5 Power Mix'!UKY21-'NF - 5 Power Mix'!UKY22</f>
        <v>0</v>
      </c>
      <c r="UKZ42" s="1046">
        <f>UKZ38+((UKZ40+'NF - 5 Power Mix'!UKZ14+'NF - 5 Power Mix'!UKZ15)*860/10)+((('Form Sa1'!ULC835)*860)/10)+('Form Sa1'!ULC814*'Form Sa1'!ULC816/10)-'NF - 5 Power Mix'!UKZ21-'NF - 5 Power Mix'!UKZ22</f>
        <v>0</v>
      </c>
      <c r="ULA42" s="1046">
        <f>ULA38+((ULA40+'NF - 5 Power Mix'!ULA14+'NF - 5 Power Mix'!ULA15)*860/10)+((('Form Sa1'!ULD835)*860)/10)+('Form Sa1'!ULD814*'Form Sa1'!ULD816/10)-'NF - 5 Power Mix'!ULA21-'NF - 5 Power Mix'!ULA22</f>
        <v>0</v>
      </c>
      <c r="ULB42" s="1046">
        <f>ULB38+((ULB40+'NF - 5 Power Mix'!ULB14+'NF - 5 Power Mix'!ULB15)*860/10)+((('Form Sa1'!ULE835)*860)/10)+('Form Sa1'!ULE814*'Form Sa1'!ULE816/10)-'NF - 5 Power Mix'!ULB21-'NF - 5 Power Mix'!ULB22</f>
        <v>0</v>
      </c>
      <c r="ULC42" s="1046">
        <f>ULC38+((ULC40+'NF - 5 Power Mix'!ULC14+'NF - 5 Power Mix'!ULC15)*860/10)+((('Form Sa1'!ULF835)*860)/10)+('Form Sa1'!ULF814*'Form Sa1'!ULF816/10)-'NF - 5 Power Mix'!ULC21-'NF - 5 Power Mix'!ULC22</f>
        <v>0</v>
      </c>
      <c r="ULD42" s="1046">
        <f>ULD38+((ULD40+'NF - 5 Power Mix'!ULD14+'NF - 5 Power Mix'!ULD15)*860/10)+((('Form Sa1'!ULG835)*860)/10)+('Form Sa1'!ULG814*'Form Sa1'!ULG816/10)-'NF - 5 Power Mix'!ULD21-'NF - 5 Power Mix'!ULD22</f>
        <v>0</v>
      </c>
      <c r="ULE42" s="1046">
        <f>ULE38+((ULE40+'NF - 5 Power Mix'!ULE14+'NF - 5 Power Mix'!ULE15)*860/10)+((('Form Sa1'!ULH835)*860)/10)+('Form Sa1'!ULH814*'Form Sa1'!ULH816/10)-'NF - 5 Power Mix'!ULE21-'NF - 5 Power Mix'!ULE22</f>
        <v>0</v>
      </c>
      <c r="ULF42" s="1046">
        <f>ULF38+((ULF40+'NF - 5 Power Mix'!ULF14+'NF - 5 Power Mix'!ULF15)*860/10)+((('Form Sa1'!ULI835)*860)/10)+('Form Sa1'!ULI814*'Form Sa1'!ULI816/10)-'NF - 5 Power Mix'!ULF21-'NF - 5 Power Mix'!ULF22</f>
        <v>0</v>
      </c>
      <c r="ULG42" s="1046">
        <f>ULG38+((ULG40+'NF - 5 Power Mix'!ULG14+'NF - 5 Power Mix'!ULG15)*860/10)+((('Form Sa1'!ULJ835)*860)/10)+('Form Sa1'!ULJ814*'Form Sa1'!ULJ816/10)-'NF - 5 Power Mix'!ULG21-'NF - 5 Power Mix'!ULG22</f>
        <v>0</v>
      </c>
      <c r="ULH42" s="1046">
        <f>ULH38+((ULH40+'NF - 5 Power Mix'!ULH14+'NF - 5 Power Mix'!ULH15)*860/10)+((('Form Sa1'!ULK835)*860)/10)+('Form Sa1'!ULK814*'Form Sa1'!ULK816/10)-'NF - 5 Power Mix'!ULH21-'NF - 5 Power Mix'!ULH22</f>
        <v>0</v>
      </c>
      <c r="ULI42" s="1046">
        <f>ULI38+((ULI40+'NF - 5 Power Mix'!ULI14+'NF - 5 Power Mix'!ULI15)*860/10)+((('Form Sa1'!ULL835)*860)/10)+('Form Sa1'!ULL814*'Form Sa1'!ULL816/10)-'NF - 5 Power Mix'!ULI21-'NF - 5 Power Mix'!ULI22</f>
        <v>0</v>
      </c>
      <c r="ULJ42" s="1046">
        <f>ULJ38+((ULJ40+'NF - 5 Power Mix'!ULJ14+'NF - 5 Power Mix'!ULJ15)*860/10)+((('Form Sa1'!ULM835)*860)/10)+('Form Sa1'!ULM814*'Form Sa1'!ULM816/10)-'NF - 5 Power Mix'!ULJ21-'NF - 5 Power Mix'!ULJ22</f>
        <v>0</v>
      </c>
      <c r="ULK42" s="1046">
        <f>ULK38+((ULK40+'NF - 5 Power Mix'!ULK14+'NF - 5 Power Mix'!ULK15)*860/10)+((('Form Sa1'!ULN835)*860)/10)+('Form Sa1'!ULN814*'Form Sa1'!ULN816/10)-'NF - 5 Power Mix'!ULK21-'NF - 5 Power Mix'!ULK22</f>
        <v>0</v>
      </c>
      <c r="ULL42" s="1046">
        <f>ULL38+((ULL40+'NF - 5 Power Mix'!ULL14+'NF - 5 Power Mix'!ULL15)*860/10)+((('Form Sa1'!ULO835)*860)/10)+('Form Sa1'!ULO814*'Form Sa1'!ULO816/10)-'NF - 5 Power Mix'!ULL21-'NF - 5 Power Mix'!ULL22</f>
        <v>0</v>
      </c>
      <c r="ULM42" s="1046">
        <f>ULM38+((ULM40+'NF - 5 Power Mix'!ULM14+'NF - 5 Power Mix'!ULM15)*860/10)+((('Form Sa1'!ULP835)*860)/10)+('Form Sa1'!ULP814*'Form Sa1'!ULP816/10)-'NF - 5 Power Mix'!ULM21-'NF - 5 Power Mix'!ULM22</f>
        <v>0</v>
      </c>
      <c r="ULN42" s="1046">
        <f>ULN38+((ULN40+'NF - 5 Power Mix'!ULN14+'NF - 5 Power Mix'!ULN15)*860/10)+((('Form Sa1'!ULQ835)*860)/10)+('Form Sa1'!ULQ814*'Form Sa1'!ULQ816/10)-'NF - 5 Power Mix'!ULN21-'NF - 5 Power Mix'!ULN22</f>
        <v>0</v>
      </c>
      <c r="ULO42" s="1046">
        <f>ULO38+((ULO40+'NF - 5 Power Mix'!ULO14+'NF - 5 Power Mix'!ULO15)*860/10)+((('Form Sa1'!ULR835)*860)/10)+('Form Sa1'!ULR814*'Form Sa1'!ULR816/10)-'NF - 5 Power Mix'!ULO21-'NF - 5 Power Mix'!ULO22</f>
        <v>0</v>
      </c>
      <c r="ULP42" s="1046">
        <f>ULP38+((ULP40+'NF - 5 Power Mix'!ULP14+'NF - 5 Power Mix'!ULP15)*860/10)+((('Form Sa1'!ULS835)*860)/10)+('Form Sa1'!ULS814*'Form Sa1'!ULS816/10)-'NF - 5 Power Mix'!ULP21-'NF - 5 Power Mix'!ULP22</f>
        <v>0</v>
      </c>
      <c r="ULQ42" s="1046">
        <f>ULQ38+((ULQ40+'NF - 5 Power Mix'!ULQ14+'NF - 5 Power Mix'!ULQ15)*860/10)+((('Form Sa1'!ULT835)*860)/10)+('Form Sa1'!ULT814*'Form Sa1'!ULT816/10)-'NF - 5 Power Mix'!ULQ21-'NF - 5 Power Mix'!ULQ22</f>
        <v>0</v>
      </c>
      <c r="ULR42" s="1046">
        <f>ULR38+((ULR40+'NF - 5 Power Mix'!ULR14+'NF - 5 Power Mix'!ULR15)*860/10)+((('Form Sa1'!ULU835)*860)/10)+('Form Sa1'!ULU814*'Form Sa1'!ULU816/10)-'NF - 5 Power Mix'!ULR21-'NF - 5 Power Mix'!ULR22</f>
        <v>0</v>
      </c>
      <c r="ULS42" s="1046">
        <f>ULS38+((ULS40+'NF - 5 Power Mix'!ULS14+'NF - 5 Power Mix'!ULS15)*860/10)+((('Form Sa1'!ULV835)*860)/10)+('Form Sa1'!ULV814*'Form Sa1'!ULV816/10)-'NF - 5 Power Mix'!ULS21-'NF - 5 Power Mix'!ULS22</f>
        <v>0</v>
      </c>
      <c r="ULT42" s="1046">
        <f>ULT38+((ULT40+'NF - 5 Power Mix'!ULT14+'NF - 5 Power Mix'!ULT15)*860/10)+((('Form Sa1'!ULW835)*860)/10)+('Form Sa1'!ULW814*'Form Sa1'!ULW816/10)-'NF - 5 Power Mix'!ULT21-'NF - 5 Power Mix'!ULT22</f>
        <v>0</v>
      </c>
      <c r="ULU42" s="1046">
        <f>ULU38+((ULU40+'NF - 5 Power Mix'!ULU14+'NF - 5 Power Mix'!ULU15)*860/10)+((('Form Sa1'!ULX835)*860)/10)+('Form Sa1'!ULX814*'Form Sa1'!ULX816/10)-'NF - 5 Power Mix'!ULU21-'NF - 5 Power Mix'!ULU22</f>
        <v>0</v>
      </c>
      <c r="ULV42" s="1046">
        <f>ULV38+((ULV40+'NF - 5 Power Mix'!ULV14+'NF - 5 Power Mix'!ULV15)*860/10)+((('Form Sa1'!ULY835)*860)/10)+('Form Sa1'!ULY814*'Form Sa1'!ULY816/10)-'NF - 5 Power Mix'!ULV21-'NF - 5 Power Mix'!ULV22</f>
        <v>0</v>
      </c>
      <c r="ULW42" s="1046">
        <f>ULW38+((ULW40+'NF - 5 Power Mix'!ULW14+'NF - 5 Power Mix'!ULW15)*860/10)+((('Form Sa1'!ULZ835)*860)/10)+('Form Sa1'!ULZ814*'Form Sa1'!ULZ816/10)-'NF - 5 Power Mix'!ULW21-'NF - 5 Power Mix'!ULW22</f>
        <v>0</v>
      </c>
      <c r="ULX42" s="1046">
        <f>ULX38+((ULX40+'NF - 5 Power Mix'!ULX14+'NF - 5 Power Mix'!ULX15)*860/10)+((('Form Sa1'!UMA835)*860)/10)+('Form Sa1'!UMA814*'Form Sa1'!UMA816/10)-'NF - 5 Power Mix'!ULX21-'NF - 5 Power Mix'!ULX22</f>
        <v>0</v>
      </c>
      <c r="ULY42" s="1046">
        <f>ULY38+((ULY40+'NF - 5 Power Mix'!ULY14+'NF - 5 Power Mix'!ULY15)*860/10)+((('Form Sa1'!UMB835)*860)/10)+('Form Sa1'!UMB814*'Form Sa1'!UMB816/10)-'NF - 5 Power Mix'!ULY21-'NF - 5 Power Mix'!ULY22</f>
        <v>0</v>
      </c>
      <c r="ULZ42" s="1046">
        <f>ULZ38+((ULZ40+'NF - 5 Power Mix'!ULZ14+'NF - 5 Power Mix'!ULZ15)*860/10)+((('Form Sa1'!UMC835)*860)/10)+('Form Sa1'!UMC814*'Form Sa1'!UMC816/10)-'NF - 5 Power Mix'!ULZ21-'NF - 5 Power Mix'!ULZ22</f>
        <v>0</v>
      </c>
      <c r="UMA42" s="1046">
        <f>UMA38+((UMA40+'NF - 5 Power Mix'!UMA14+'NF - 5 Power Mix'!UMA15)*860/10)+((('Form Sa1'!UMD835)*860)/10)+('Form Sa1'!UMD814*'Form Sa1'!UMD816/10)-'NF - 5 Power Mix'!UMA21-'NF - 5 Power Mix'!UMA22</f>
        <v>0</v>
      </c>
      <c r="UMB42" s="1046">
        <f>UMB38+((UMB40+'NF - 5 Power Mix'!UMB14+'NF - 5 Power Mix'!UMB15)*860/10)+((('Form Sa1'!UME835)*860)/10)+('Form Sa1'!UME814*'Form Sa1'!UME816/10)-'NF - 5 Power Mix'!UMB21-'NF - 5 Power Mix'!UMB22</f>
        <v>0</v>
      </c>
      <c r="UMC42" s="1046">
        <f>UMC38+((UMC40+'NF - 5 Power Mix'!UMC14+'NF - 5 Power Mix'!UMC15)*860/10)+((('Form Sa1'!UMF835)*860)/10)+('Form Sa1'!UMF814*'Form Sa1'!UMF816/10)-'NF - 5 Power Mix'!UMC21-'NF - 5 Power Mix'!UMC22</f>
        <v>0</v>
      </c>
      <c r="UMD42" s="1046">
        <f>UMD38+((UMD40+'NF - 5 Power Mix'!UMD14+'NF - 5 Power Mix'!UMD15)*860/10)+((('Form Sa1'!UMG835)*860)/10)+('Form Sa1'!UMG814*'Form Sa1'!UMG816/10)-'NF - 5 Power Mix'!UMD21-'NF - 5 Power Mix'!UMD22</f>
        <v>0</v>
      </c>
      <c r="UME42" s="1046">
        <f>UME38+((UME40+'NF - 5 Power Mix'!UME14+'NF - 5 Power Mix'!UME15)*860/10)+((('Form Sa1'!UMH835)*860)/10)+('Form Sa1'!UMH814*'Form Sa1'!UMH816/10)-'NF - 5 Power Mix'!UME21-'NF - 5 Power Mix'!UME22</f>
        <v>0</v>
      </c>
      <c r="UMF42" s="1046">
        <f>UMF38+((UMF40+'NF - 5 Power Mix'!UMF14+'NF - 5 Power Mix'!UMF15)*860/10)+((('Form Sa1'!UMI835)*860)/10)+('Form Sa1'!UMI814*'Form Sa1'!UMI816/10)-'NF - 5 Power Mix'!UMF21-'NF - 5 Power Mix'!UMF22</f>
        <v>0</v>
      </c>
      <c r="UMG42" s="1046">
        <f>UMG38+((UMG40+'NF - 5 Power Mix'!UMG14+'NF - 5 Power Mix'!UMG15)*860/10)+((('Form Sa1'!UMJ835)*860)/10)+('Form Sa1'!UMJ814*'Form Sa1'!UMJ816/10)-'NF - 5 Power Mix'!UMG21-'NF - 5 Power Mix'!UMG22</f>
        <v>0</v>
      </c>
      <c r="UMH42" s="1046">
        <f>UMH38+((UMH40+'NF - 5 Power Mix'!UMH14+'NF - 5 Power Mix'!UMH15)*860/10)+((('Form Sa1'!UMK835)*860)/10)+('Form Sa1'!UMK814*'Form Sa1'!UMK816/10)-'NF - 5 Power Mix'!UMH21-'NF - 5 Power Mix'!UMH22</f>
        <v>0</v>
      </c>
      <c r="UMI42" s="1046">
        <f>UMI38+((UMI40+'NF - 5 Power Mix'!UMI14+'NF - 5 Power Mix'!UMI15)*860/10)+((('Form Sa1'!UML835)*860)/10)+('Form Sa1'!UML814*'Form Sa1'!UML816/10)-'NF - 5 Power Mix'!UMI21-'NF - 5 Power Mix'!UMI22</f>
        <v>0</v>
      </c>
      <c r="UMJ42" s="1046">
        <f>UMJ38+((UMJ40+'NF - 5 Power Mix'!UMJ14+'NF - 5 Power Mix'!UMJ15)*860/10)+((('Form Sa1'!UMM835)*860)/10)+('Form Sa1'!UMM814*'Form Sa1'!UMM816/10)-'NF - 5 Power Mix'!UMJ21-'NF - 5 Power Mix'!UMJ22</f>
        <v>0</v>
      </c>
      <c r="UMK42" s="1046">
        <f>UMK38+((UMK40+'NF - 5 Power Mix'!UMK14+'NF - 5 Power Mix'!UMK15)*860/10)+((('Form Sa1'!UMN835)*860)/10)+('Form Sa1'!UMN814*'Form Sa1'!UMN816/10)-'NF - 5 Power Mix'!UMK21-'NF - 5 Power Mix'!UMK22</f>
        <v>0</v>
      </c>
      <c r="UML42" s="1046">
        <f>UML38+((UML40+'NF - 5 Power Mix'!UML14+'NF - 5 Power Mix'!UML15)*860/10)+((('Form Sa1'!UMO835)*860)/10)+('Form Sa1'!UMO814*'Form Sa1'!UMO816/10)-'NF - 5 Power Mix'!UML21-'NF - 5 Power Mix'!UML22</f>
        <v>0</v>
      </c>
      <c r="UMM42" s="1046">
        <f>UMM38+((UMM40+'NF - 5 Power Mix'!UMM14+'NF - 5 Power Mix'!UMM15)*860/10)+((('Form Sa1'!UMP835)*860)/10)+('Form Sa1'!UMP814*'Form Sa1'!UMP816/10)-'NF - 5 Power Mix'!UMM21-'NF - 5 Power Mix'!UMM22</f>
        <v>0</v>
      </c>
      <c r="UMN42" s="1046">
        <f>UMN38+((UMN40+'NF - 5 Power Mix'!UMN14+'NF - 5 Power Mix'!UMN15)*860/10)+((('Form Sa1'!UMQ835)*860)/10)+('Form Sa1'!UMQ814*'Form Sa1'!UMQ816/10)-'NF - 5 Power Mix'!UMN21-'NF - 5 Power Mix'!UMN22</f>
        <v>0</v>
      </c>
      <c r="UMO42" s="1046">
        <f>UMO38+((UMO40+'NF - 5 Power Mix'!UMO14+'NF - 5 Power Mix'!UMO15)*860/10)+((('Form Sa1'!UMR835)*860)/10)+('Form Sa1'!UMR814*'Form Sa1'!UMR816/10)-'NF - 5 Power Mix'!UMO21-'NF - 5 Power Mix'!UMO22</f>
        <v>0</v>
      </c>
      <c r="UMP42" s="1046">
        <f>UMP38+((UMP40+'NF - 5 Power Mix'!UMP14+'NF - 5 Power Mix'!UMP15)*860/10)+((('Form Sa1'!UMS835)*860)/10)+('Form Sa1'!UMS814*'Form Sa1'!UMS816/10)-'NF - 5 Power Mix'!UMP21-'NF - 5 Power Mix'!UMP22</f>
        <v>0</v>
      </c>
      <c r="UMQ42" s="1046">
        <f>UMQ38+((UMQ40+'NF - 5 Power Mix'!UMQ14+'NF - 5 Power Mix'!UMQ15)*860/10)+((('Form Sa1'!UMT835)*860)/10)+('Form Sa1'!UMT814*'Form Sa1'!UMT816/10)-'NF - 5 Power Mix'!UMQ21-'NF - 5 Power Mix'!UMQ22</f>
        <v>0</v>
      </c>
      <c r="UMR42" s="1046">
        <f>UMR38+((UMR40+'NF - 5 Power Mix'!UMR14+'NF - 5 Power Mix'!UMR15)*860/10)+((('Form Sa1'!UMU835)*860)/10)+('Form Sa1'!UMU814*'Form Sa1'!UMU816/10)-'NF - 5 Power Mix'!UMR21-'NF - 5 Power Mix'!UMR22</f>
        <v>0</v>
      </c>
      <c r="UMS42" s="1046">
        <f>UMS38+((UMS40+'NF - 5 Power Mix'!UMS14+'NF - 5 Power Mix'!UMS15)*860/10)+((('Form Sa1'!UMV835)*860)/10)+('Form Sa1'!UMV814*'Form Sa1'!UMV816/10)-'NF - 5 Power Mix'!UMS21-'NF - 5 Power Mix'!UMS22</f>
        <v>0</v>
      </c>
      <c r="UMT42" s="1046">
        <f>UMT38+((UMT40+'NF - 5 Power Mix'!UMT14+'NF - 5 Power Mix'!UMT15)*860/10)+((('Form Sa1'!UMW835)*860)/10)+('Form Sa1'!UMW814*'Form Sa1'!UMW816/10)-'NF - 5 Power Mix'!UMT21-'NF - 5 Power Mix'!UMT22</f>
        <v>0</v>
      </c>
      <c r="UMU42" s="1046">
        <f>UMU38+((UMU40+'NF - 5 Power Mix'!UMU14+'NF - 5 Power Mix'!UMU15)*860/10)+((('Form Sa1'!UMX835)*860)/10)+('Form Sa1'!UMX814*'Form Sa1'!UMX816/10)-'NF - 5 Power Mix'!UMU21-'NF - 5 Power Mix'!UMU22</f>
        <v>0</v>
      </c>
      <c r="UMV42" s="1046">
        <f>UMV38+((UMV40+'NF - 5 Power Mix'!UMV14+'NF - 5 Power Mix'!UMV15)*860/10)+((('Form Sa1'!UMY835)*860)/10)+('Form Sa1'!UMY814*'Form Sa1'!UMY816/10)-'NF - 5 Power Mix'!UMV21-'NF - 5 Power Mix'!UMV22</f>
        <v>0</v>
      </c>
      <c r="UMW42" s="1046">
        <f>UMW38+((UMW40+'NF - 5 Power Mix'!UMW14+'NF - 5 Power Mix'!UMW15)*860/10)+((('Form Sa1'!UMZ835)*860)/10)+('Form Sa1'!UMZ814*'Form Sa1'!UMZ816/10)-'NF - 5 Power Mix'!UMW21-'NF - 5 Power Mix'!UMW22</f>
        <v>0</v>
      </c>
      <c r="UMX42" s="1046">
        <f>UMX38+((UMX40+'NF - 5 Power Mix'!UMX14+'NF - 5 Power Mix'!UMX15)*860/10)+((('Form Sa1'!UNA835)*860)/10)+('Form Sa1'!UNA814*'Form Sa1'!UNA816/10)-'NF - 5 Power Mix'!UMX21-'NF - 5 Power Mix'!UMX22</f>
        <v>0</v>
      </c>
      <c r="UMY42" s="1046">
        <f>UMY38+((UMY40+'NF - 5 Power Mix'!UMY14+'NF - 5 Power Mix'!UMY15)*860/10)+((('Form Sa1'!UNB835)*860)/10)+('Form Sa1'!UNB814*'Form Sa1'!UNB816/10)-'NF - 5 Power Mix'!UMY21-'NF - 5 Power Mix'!UMY22</f>
        <v>0</v>
      </c>
      <c r="UMZ42" s="1046">
        <f>UMZ38+((UMZ40+'NF - 5 Power Mix'!UMZ14+'NF - 5 Power Mix'!UMZ15)*860/10)+((('Form Sa1'!UNC835)*860)/10)+('Form Sa1'!UNC814*'Form Sa1'!UNC816/10)-'NF - 5 Power Mix'!UMZ21-'NF - 5 Power Mix'!UMZ22</f>
        <v>0</v>
      </c>
      <c r="UNA42" s="1046">
        <f>UNA38+((UNA40+'NF - 5 Power Mix'!UNA14+'NF - 5 Power Mix'!UNA15)*860/10)+((('Form Sa1'!UND835)*860)/10)+('Form Sa1'!UND814*'Form Sa1'!UND816/10)-'NF - 5 Power Mix'!UNA21-'NF - 5 Power Mix'!UNA22</f>
        <v>0</v>
      </c>
      <c r="UNB42" s="1046">
        <f>UNB38+((UNB40+'NF - 5 Power Mix'!UNB14+'NF - 5 Power Mix'!UNB15)*860/10)+((('Form Sa1'!UNE835)*860)/10)+('Form Sa1'!UNE814*'Form Sa1'!UNE816/10)-'NF - 5 Power Mix'!UNB21-'NF - 5 Power Mix'!UNB22</f>
        <v>0</v>
      </c>
      <c r="UNC42" s="1046">
        <f>UNC38+((UNC40+'NF - 5 Power Mix'!UNC14+'NF - 5 Power Mix'!UNC15)*860/10)+((('Form Sa1'!UNF835)*860)/10)+('Form Sa1'!UNF814*'Form Sa1'!UNF816/10)-'NF - 5 Power Mix'!UNC21-'NF - 5 Power Mix'!UNC22</f>
        <v>0</v>
      </c>
      <c r="UND42" s="1046">
        <f>UND38+((UND40+'NF - 5 Power Mix'!UND14+'NF - 5 Power Mix'!UND15)*860/10)+((('Form Sa1'!UNG835)*860)/10)+('Form Sa1'!UNG814*'Form Sa1'!UNG816/10)-'NF - 5 Power Mix'!UND21-'NF - 5 Power Mix'!UND22</f>
        <v>0</v>
      </c>
      <c r="UNE42" s="1046">
        <f>UNE38+((UNE40+'NF - 5 Power Mix'!UNE14+'NF - 5 Power Mix'!UNE15)*860/10)+((('Form Sa1'!UNH835)*860)/10)+('Form Sa1'!UNH814*'Form Sa1'!UNH816/10)-'NF - 5 Power Mix'!UNE21-'NF - 5 Power Mix'!UNE22</f>
        <v>0</v>
      </c>
      <c r="UNF42" s="1046">
        <f>UNF38+((UNF40+'NF - 5 Power Mix'!UNF14+'NF - 5 Power Mix'!UNF15)*860/10)+((('Form Sa1'!UNI835)*860)/10)+('Form Sa1'!UNI814*'Form Sa1'!UNI816/10)-'NF - 5 Power Mix'!UNF21-'NF - 5 Power Mix'!UNF22</f>
        <v>0</v>
      </c>
      <c r="UNG42" s="1046">
        <f>UNG38+((UNG40+'NF - 5 Power Mix'!UNG14+'NF - 5 Power Mix'!UNG15)*860/10)+((('Form Sa1'!UNJ835)*860)/10)+('Form Sa1'!UNJ814*'Form Sa1'!UNJ816/10)-'NF - 5 Power Mix'!UNG21-'NF - 5 Power Mix'!UNG22</f>
        <v>0</v>
      </c>
      <c r="UNH42" s="1046">
        <f>UNH38+((UNH40+'NF - 5 Power Mix'!UNH14+'NF - 5 Power Mix'!UNH15)*860/10)+((('Form Sa1'!UNK835)*860)/10)+('Form Sa1'!UNK814*'Form Sa1'!UNK816/10)-'NF - 5 Power Mix'!UNH21-'NF - 5 Power Mix'!UNH22</f>
        <v>0</v>
      </c>
      <c r="UNI42" s="1046">
        <f>UNI38+((UNI40+'NF - 5 Power Mix'!UNI14+'NF - 5 Power Mix'!UNI15)*860/10)+((('Form Sa1'!UNL835)*860)/10)+('Form Sa1'!UNL814*'Form Sa1'!UNL816/10)-'NF - 5 Power Mix'!UNI21-'NF - 5 Power Mix'!UNI22</f>
        <v>0</v>
      </c>
      <c r="UNJ42" s="1046">
        <f>UNJ38+((UNJ40+'NF - 5 Power Mix'!UNJ14+'NF - 5 Power Mix'!UNJ15)*860/10)+((('Form Sa1'!UNM835)*860)/10)+('Form Sa1'!UNM814*'Form Sa1'!UNM816/10)-'NF - 5 Power Mix'!UNJ21-'NF - 5 Power Mix'!UNJ22</f>
        <v>0</v>
      </c>
      <c r="UNK42" s="1046">
        <f>UNK38+((UNK40+'NF - 5 Power Mix'!UNK14+'NF - 5 Power Mix'!UNK15)*860/10)+((('Form Sa1'!UNN835)*860)/10)+('Form Sa1'!UNN814*'Form Sa1'!UNN816/10)-'NF - 5 Power Mix'!UNK21-'NF - 5 Power Mix'!UNK22</f>
        <v>0</v>
      </c>
      <c r="UNL42" s="1046">
        <f>UNL38+((UNL40+'NF - 5 Power Mix'!UNL14+'NF - 5 Power Mix'!UNL15)*860/10)+((('Form Sa1'!UNO835)*860)/10)+('Form Sa1'!UNO814*'Form Sa1'!UNO816/10)-'NF - 5 Power Mix'!UNL21-'NF - 5 Power Mix'!UNL22</f>
        <v>0</v>
      </c>
      <c r="UNM42" s="1046">
        <f>UNM38+((UNM40+'NF - 5 Power Mix'!UNM14+'NF - 5 Power Mix'!UNM15)*860/10)+((('Form Sa1'!UNP835)*860)/10)+('Form Sa1'!UNP814*'Form Sa1'!UNP816/10)-'NF - 5 Power Mix'!UNM21-'NF - 5 Power Mix'!UNM22</f>
        <v>0</v>
      </c>
      <c r="UNN42" s="1046">
        <f>UNN38+((UNN40+'NF - 5 Power Mix'!UNN14+'NF - 5 Power Mix'!UNN15)*860/10)+((('Form Sa1'!UNQ835)*860)/10)+('Form Sa1'!UNQ814*'Form Sa1'!UNQ816/10)-'NF - 5 Power Mix'!UNN21-'NF - 5 Power Mix'!UNN22</f>
        <v>0</v>
      </c>
      <c r="UNO42" s="1046">
        <f>UNO38+((UNO40+'NF - 5 Power Mix'!UNO14+'NF - 5 Power Mix'!UNO15)*860/10)+((('Form Sa1'!UNR835)*860)/10)+('Form Sa1'!UNR814*'Form Sa1'!UNR816/10)-'NF - 5 Power Mix'!UNO21-'NF - 5 Power Mix'!UNO22</f>
        <v>0</v>
      </c>
      <c r="UNP42" s="1046">
        <f>UNP38+((UNP40+'NF - 5 Power Mix'!UNP14+'NF - 5 Power Mix'!UNP15)*860/10)+((('Form Sa1'!UNS835)*860)/10)+('Form Sa1'!UNS814*'Form Sa1'!UNS816/10)-'NF - 5 Power Mix'!UNP21-'NF - 5 Power Mix'!UNP22</f>
        <v>0</v>
      </c>
      <c r="UNQ42" s="1046">
        <f>UNQ38+((UNQ40+'NF - 5 Power Mix'!UNQ14+'NF - 5 Power Mix'!UNQ15)*860/10)+((('Form Sa1'!UNT835)*860)/10)+('Form Sa1'!UNT814*'Form Sa1'!UNT816/10)-'NF - 5 Power Mix'!UNQ21-'NF - 5 Power Mix'!UNQ22</f>
        <v>0</v>
      </c>
      <c r="UNR42" s="1046">
        <f>UNR38+((UNR40+'NF - 5 Power Mix'!UNR14+'NF - 5 Power Mix'!UNR15)*860/10)+((('Form Sa1'!UNU835)*860)/10)+('Form Sa1'!UNU814*'Form Sa1'!UNU816/10)-'NF - 5 Power Mix'!UNR21-'NF - 5 Power Mix'!UNR22</f>
        <v>0</v>
      </c>
      <c r="UNS42" s="1046">
        <f>UNS38+((UNS40+'NF - 5 Power Mix'!UNS14+'NF - 5 Power Mix'!UNS15)*860/10)+((('Form Sa1'!UNV835)*860)/10)+('Form Sa1'!UNV814*'Form Sa1'!UNV816/10)-'NF - 5 Power Mix'!UNS21-'NF - 5 Power Mix'!UNS22</f>
        <v>0</v>
      </c>
      <c r="UNT42" s="1046">
        <f>UNT38+((UNT40+'NF - 5 Power Mix'!UNT14+'NF - 5 Power Mix'!UNT15)*860/10)+((('Form Sa1'!UNW835)*860)/10)+('Form Sa1'!UNW814*'Form Sa1'!UNW816/10)-'NF - 5 Power Mix'!UNT21-'NF - 5 Power Mix'!UNT22</f>
        <v>0</v>
      </c>
      <c r="UNU42" s="1046">
        <f>UNU38+((UNU40+'NF - 5 Power Mix'!UNU14+'NF - 5 Power Mix'!UNU15)*860/10)+((('Form Sa1'!UNX835)*860)/10)+('Form Sa1'!UNX814*'Form Sa1'!UNX816/10)-'NF - 5 Power Mix'!UNU21-'NF - 5 Power Mix'!UNU22</f>
        <v>0</v>
      </c>
      <c r="UNV42" s="1046">
        <f>UNV38+((UNV40+'NF - 5 Power Mix'!UNV14+'NF - 5 Power Mix'!UNV15)*860/10)+((('Form Sa1'!UNY835)*860)/10)+('Form Sa1'!UNY814*'Form Sa1'!UNY816/10)-'NF - 5 Power Mix'!UNV21-'NF - 5 Power Mix'!UNV22</f>
        <v>0</v>
      </c>
      <c r="UNW42" s="1046">
        <f>UNW38+((UNW40+'NF - 5 Power Mix'!UNW14+'NF - 5 Power Mix'!UNW15)*860/10)+((('Form Sa1'!UNZ835)*860)/10)+('Form Sa1'!UNZ814*'Form Sa1'!UNZ816/10)-'NF - 5 Power Mix'!UNW21-'NF - 5 Power Mix'!UNW22</f>
        <v>0</v>
      </c>
      <c r="UNX42" s="1046">
        <f>UNX38+((UNX40+'NF - 5 Power Mix'!UNX14+'NF - 5 Power Mix'!UNX15)*860/10)+((('Form Sa1'!UOA835)*860)/10)+('Form Sa1'!UOA814*'Form Sa1'!UOA816/10)-'NF - 5 Power Mix'!UNX21-'NF - 5 Power Mix'!UNX22</f>
        <v>0</v>
      </c>
      <c r="UNY42" s="1046">
        <f>UNY38+((UNY40+'NF - 5 Power Mix'!UNY14+'NF - 5 Power Mix'!UNY15)*860/10)+((('Form Sa1'!UOB835)*860)/10)+('Form Sa1'!UOB814*'Form Sa1'!UOB816/10)-'NF - 5 Power Mix'!UNY21-'NF - 5 Power Mix'!UNY22</f>
        <v>0</v>
      </c>
      <c r="UNZ42" s="1046">
        <f>UNZ38+((UNZ40+'NF - 5 Power Mix'!UNZ14+'NF - 5 Power Mix'!UNZ15)*860/10)+((('Form Sa1'!UOC835)*860)/10)+('Form Sa1'!UOC814*'Form Sa1'!UOC816/10)-'NF - 5 Power Mix'!UNZ21-'NF - 5 Power Mix'!UNZ22</f>
        <v>0</v>
      </c>
      <c r="UOA42" s="1046">
        <f>UOA38+((UOA40+'NF - 5 Power Mix'!UOA14+'NF - 5 Power Mix'!UOA15)*860/10)+((('Form Sa1'!UOD835)*860)/10)+('Form Sa1'!UOD814*'Form Sa1'!UOD816/10)-'NF - 5 Power Mix'!UOA21-'NF - 5 Power Mix'!UOA22</f>
        <v>0</v>
      </c>
      <c r="UOB42" s="1046">
        <f>UOB38+((UOB40+'NF - 5 Power Mix'!UOB14+'NF - 5 Power Mix'!UOB15)*860/10)+((('Form Sa1'!UOE835)*860)/10)+('Form Sa1'!UOE814*'Form Sa1'!UOE816/10)-'NF - 5 Power Mix'!UOB21-'NF - 5 Power Mix'!UOB22</f>
        <v>0</v>
      </c>
      <c r="UOC42" s="1046">
        <f>UOC38+((UOC40+'NF - 5 Power Mix'!UOC14+'NF - 5 Power Mix'!UOC15)*860/10)+((('Form Sa1'!UOF835)*860)/10)+('Form Sa1'!UOF814*'Form Sa1'!UOF816/10)-'NF - 5 Power Mix'!UOC21-'NF - 5 Power Mix'!UOC22</f>
        <v>0</v>
      </c>
      <c r="UOD42" s="1046">
        <f>UOD38+((UOD40+'NF - 5 Power Mix'!UOD14+'NF - 5 Power Mix'!UOD15)*860/10)+((('Form Sa1'!UOG835)*860)/10)+('Form Sa1'!UOG814*'Form Sa1'!UOG816/10)-'NF - 5 Power Mix'!UOD21-'NF - 5 Power Mix'!UOD22</f>
        <v>0</v>
      </c>
      <c r="UOE42" s="1046">
        <f>UOE38+((UOE40+'NF - 5 Power Mix'!UOE14+'NF - 5 Power Mix'!UOE15)*860/10)+((('Form Sa1'!UOH835)*860)/10)+('Form Sa1'!UOH814*'Form Sa1'!UOH816/10)-'NF - 5 Power Mix'!UOE21-'NF - 5 Power Mix'!UOE22</f>
        <v>0</v>
      </c>
      <c r="UOF42" s="1046">
        <f>UOF38+((UOF40+'NF - 5 Power Mix'!UOF14+'NF - 5 Power Mix'!UOF15)*860/10)+((('Form Sa1'!UOI835)*860)/10)+('Form Sa1'!UOI814*'Form Sa1'!UOI816/10)-'NF - 5 Power Mix'!UOF21-'NF - 5 Power Mix'!UOF22</f>
        <v>0</v>
      </c>
      <c r="UOG42" s="1046">
        <f>UOG38+((UOG40+'NF - 5 Power Mix'!UOG14+'NF - 5 Power Mix'!UOG15)*860/10)+((('Form Sa1'!UOJ835)*860)/10)+('Form Sa1'!UOJ814*'Form Sa1'!UOJ816/10)-'NF - 5 Power Mix'!UOG21-'NF - 5 Power Mix'!UOG22</f>
        <v>0</v>
      </c>
      <c r="UOH42" s="1046">
        <f>UOH38+((UOH40+'NF - 5 Power Mix'!UOH14+'NF - 5 Power Mix'!UOH15)*860/10)+((('Form Sa1'!UOK835)*860)/10)+('Form Sa1'!UOK814*'Form Sa1'!UOK816/10)-'NF - 5 Power Mix'!UOH21-'NF - 5 Power Mix'!UOH22</f>
        <v>0</v>
      </c>
      <c r="UOI42" s="1046">
        <f>UOI38+((UOI40+'NF - 5 Power Mix'!UOI14+'NF - 5 Power Mix'!UOI15)*860/10)+((('Form Sa1'!UOL835)*860)/10)+('Form Sa1'!UOL814*'Form Sa1'!UOL816/10)-'NF - 5 Power Mix'!UOI21-'NF - 5 Power Mix'!UOI22</f>
        <v>0</v>
      </c>
      <c r="UOJ42" s="1046">
        <f>UOJ38+((UOJ40+'NF - 5 Power Mix'!UOJ14+'NF - 5 Power Mix'!UOJ15)*860/10)+((('Form Sa1'!UOM835)*860)/10)+('Form Sa1'!UOM814*'Form Sa1'!UOM816/10)-'NF - 5 Power Mix'!UOJ21-'NF - 5 Power Mix'!UOJ22</f>
        <v>0</v>
      </c>
      <c r="UOK42" s="1046">
        <f>UOK38+((UOK40+'NF - 5 Power Mix'!UOK14+'NF - 5 Power Mix'!UOK15)*860/10)+((('Form Sa1'!UON835)*860)/10)+('Form Sa1'!UON814*'Form Sa1'!UON816/10)-'NF - 5 Power Mix'!UOK21-'NF - 5 Power Mix'!UOK22</f>
        <v>0</v>
      </c>
      <c r="UOL42" s="1046">
        <f>UOL38+((UOL40+'NF - 5 Power Mix'!UOL14+'NF - 5 Power Mix'!UOL15)*860/10)+((('Form Sa1'!UOO835)*860)/10)+('Form Sa1'!UOO814*'Form Sa1'!UOO816/10)-'NF - 5 Power Mix'!UOL21-'NF - 5 Power Mix'!UOL22</f>
        <v>0</v>
      </c>
      <c r="UOM42" s="1046">
        <f>UOM38+((UOM40+'NF - 5 Power Mix'!UOM14+'NF - 5 Power Mix'!UOM15)*860/10)+((('Form Sa1'!UOP835)*860)/10)+('Form Sa1'!UOP814*'Form Sa1'!UOP816/10)-'NF - 5 Power Mix'!UOM21-'NF - 5 Power Mix'!UOM22</f>
        <v>0</v>
      </c>
      <c r="UON42" s="1046">
        <f>UON38+((UON40+'NF - 5 Power Mix'!UON14+'NF - 5 Power Mix'!UON15)*860/10)+((('Form Sa1'!UOQ835)*860)/10)+('Form Sa1'!UOQ814*'Form Sa1'!UOQ816/10)-'NF - 5 Power Mix'!UON21-'NF - 5 Power Mix'!UON22</f>
        <v>0</v>
      </c>
      <c r="UOO42" s="1046">
        <f>UOO38+((UOO40+'NF - 5 Power Mix'!UOO14+'NF - 5 Power Mix'!UOO15)*860/10)+((('Form Sa1'!UOR835)*860)/10)+('Form Sa1'!UOR814*'Form Sa1'!UOR816/10)-'NF - 5 Power Mix'!UOO21-'NF - 5 Power Mix'!UOO22</f>
        <v>0</v>
      </c>
      <c r="UOP42" s="1046">
        <f>UOP38+((UOP40+'NF - 5 Power Mix'!UOP14+'NF - 5 Power Mix'!UOP15)*860/10)+((('Form Sa1'!UOS835)*860)/10)+('Form Sa1'!UOS814*'Form Sa1'!UOS816/10)-'NF - 5 Power Mix'!UOP21-'NF - 5 Power Mix'!UOP22</f>
        <v>0</v>
      </c>
      <c r="UOQ42" s="1046">
        <f>UOQ38+((UOQ40+'NF - 5 Power Mix'!UOQ14+'NF - 5 Power Mix'!UOQ15)*860/10)+((('Form Sa1'!UOT835)*860)/10)+('Form Sa1'!UOT814*'Form Sa1'!UOT816/10)-'NF - 5 Power Mix'!UOQ21-'NF - 5 Power Mix'!UOQ22</f>
        <v>0</v>
      </c>
      <c r="UOR42" s="1046">
        <f>UOR38+((UOR40+'NF - 5 Power Mix'!UOR14+'NF - 5 Power Mix'!UOR15)*860/10)+((('Form Sa1'!UOU835)*860)/10)+('Form Sa1'!UOU814*'Form Sa1'!UOU816/10)-'NF - 5 Power Mix'!UOR21-'NF - 5 Power Mix'!UOR22</f>
        <v>0</v>
      </c>
      <c r="UOS42" s="1046">
        <f>UOS38+((UOS40+'NF - 5 Power Mix'!UOS14+'NF - 5 Power Mix'!UOS15)*860/10)+((('Form Sa1'!UOV835)*860)/10)+('Form Sa1'!UOV814*'Form Sa1'!UOV816/10)-'NF - 5 Power Mix'!UOS21-'NF - 5 Power Mix'!UOS22</f>
        <v>0</v>
      </c>
      <c r="UOT42" s="1046">
        <f>UOT38+((UOT40+'NF - 5 Power Mix'!UOT14+'NF - 5 Power Mix'!UOT15)*860/10)+((('Form Sa1'!UOW835)*860)/10)+('Form Sa1'!UOW814*'Form Sa1'!UOW816/10)-'NF - 5 Power Mix'!UOT21-'NF - 5 Power Mix'!UOT22</f>
        <v>0</v>
      </c>
      <c r="UOU42" s="1046">
        <f>UOU38+((UOU40+'NF - 5 Power Mix'!UOU14+'NF - 5 Power Mix'!UOU15)*860/10)+((('Form Sa1'!UOX835)*860)/10)+('Form Sa1'!UOX814*'Form Sa1'!UOX816/10)-'NF - 5 Power Mix'!UOU21-'NF - 5 Power Mix'!UOU22</f>
        <v>0</v>
      </c>
      <c r="UOV42" s="1046">
        <f>UOV38+((UOV40+'NF - 5 Power Mix'!UOV14+'NF - 5 Power Mix'!UOV15)*860/10)+((('Form Sa1'!UOY835)*860)/10)+('Form Sa1'!UOY814*'Form Sa1'!UOY816/10)-'NF - 5 Power Mix'!UOV21-'NF - 5 Power Mix'!UOV22</f>
        <v>0</v>
      </c>
      <c r="UOW42" s="1046">
        <f>UOW38+((UOW40+'NF - 5 Power Mix'!UOW14+'NF - 5 Power Mix'!UOW15)*860/10)+((('Form Sa1'!UOZ835)*860)/10)+('Form Sa1'!UOZ814*'Form Sa1'!UOZ816/10)-'NF - 5 Power Mix'!UOW21-'NF - 5 Power Mix'!UOW22</f>
        <v>0</v>
      </c>
      <c r="UOX42" s="1046">
        <f>UOX38+((UOX40+'NF - 5 Power Mix'!UOX14+'NF - 5 Power Mix'!UOX15)*860/10)+((('Form Sa1'!UPA835)*860)/10)+('Form Sa1'!UPA814*'Form Sa1'!UPA816/10)-'NF - 5 Power Mix'!UOX21-'NF - 5 Power Mix'!UOX22</f>
        <v>0</v>
      </c>
      <c r="UOY42" s="1046">
        <f>UOY38+((UOY40+'NF - 5 Power Mix'!UOY14+'NF - 5 Power Mix'!UOY15)*860/10)+((('Form Sa1'!UPB835)*860)/10)+('Form Sa1'!UPB814*'Form Sa1'!UPB816/10)-'NF - 5 Power Mix'!UOY21-'NF - 5 Power Mix'!UOY22</f>
        <v>0</v>
      </c>
      <c r="UOZ42" s="1046">
        <f>UOZ38+((UOZ40+'NF - 5 Power Mix'!UOZ14+'NF - 5 Power Mix'!UOZ15)*860/10)+((('Form Sa1'!UPC835)*860)/10)+('Form Sa1'!UPC814*'Form Sa1'!UPC816/10)-'NF - 5 Power Mix'!UOZ21-'NF - 5 Power Mix'!UOZ22</f>
        <v>0</v>
      </c>
      <c r="UPA42" s="1046">
        <f>UPA38+((UPA40+'NF - 5 Power Mix'!UPA14+'NF - 5 Power Mix'!UPA15)*860/10)+((('Form Sa1'!UPD835)*860)/10)+('Form Sa1'!UPD814*'Form Sa1'!UPD816/10)-'NF - 5 Power Mix'!UPA21-'NF - 5 Power Mix'!UPA22</f>
        <v>0</v>
      </c>
      <c r="UPB42" s="1046">
        <f>UPB38+((UPB40+'NF - 5 Power Mix'!UPB14+'NF - 5 Power Mix'!UPB15)*860/10)+((('Form Sa1'!UPE835)*860)/10)+('Form Sa1'!UPE814*'Form Sa1'!UPE816/10)-'NF - 5 Power Mix'!UPB21-'NF - 5 Power Mix'!UPB22</f>
        <v>0</v>
      </c>
      <c r="UPC42" s="1046">
        <f>UPC38+((UPC40+'NF - 5 Power Mix'!UPC14+'NF - 5 Power Mix'!UPC15)*860/10)+((('Form Sa1'!UPF835)*860)/10)+('Form Sa1'!UPF814*'Form Sa1'!UPF816/10)-'NF - 5 Power Mix'!UPC21-'NF - 5 Power Mix'!UPC22</f>
        <v>0</v>
      </c>
      <c r="UPD42" s="1046">
        <f>UPD38+((UPD40+'NF - 5 Power Mix'!UPD14+'NF - 5 Power Mix'!UPD15)*860/10)+((('Form Sa1'!UPG835)*860)/10)+('Form Sa1'!UPG814*'Form Sa1'!UPG816/10)-'NF - 5 Power Mix'!UPD21-'NF - 5 Power Mix'!UPD22</f>
        <v>0</v>
      </c>
      <c r="UPE42" s="1046">
        <f>UPE38+((UPE40+'NF - 5 Power Mix'!UPE14+'NF - 5 Power Mix'!UPE15)*860/10)+((('Form Sa1'!UPH835)*860)/10)+('Form Sa1'!UPH814*'Form Sa1'!UPH816/10)-'NF - 5 Power Mix'!UPE21-'NF - 5 Power Mix'!UPE22</f>
        <v>0</v>
      </c>
      <c r="UPF42" s="1046">
        <f>UPF38+((UPF40+'NF - 5 Power Mix'!UPF14+'NF - 5 Power Mix'!UPF15)*860/10)+((('Form Sa1'!UPI835)*860)/10)+('Form Sa1'!UPI814*'Form Sa1'!UPI816/10)-'NF - 5 Power Mix'!UPF21-'NF - 5 Power Mix'!UPF22</f>
        <v>0</v>
      </c>
      <c r="UPG42" s="1046">
        <f>UPG38+((UPG40+'NF - 5 Power Mix'!UPG14+'NF - 5 Power Mix'!UPG15)*860/10)+((('Form Sa1'!UPJ835)*860)/10)+('Form Sa1'!UPJ814*'Form Sa1'!UPJ816/10)-'NF - 5 Power Mix'!UPG21-'NF - 5 Power Mix'!UPG22</f>
        <v>0</v>
      </c>
      <c r="UPH42" s="1046">
        <f>UPH38+((UPH40+'NF - 5 Power Mix'!UPH14+'NF - 5 Power Mix'!UPH15)*860/10)+((('Form Sa1'!UPK835)*860)/10)+('Form Sa1'!UPK814*'Form Sa1'!UPK816/10)-'NF - 5 Power Mix'!UPH21-'NF - 5 Power Mix'!UPH22</f>
        <v>0</v>
      </c>
      <c r="UPI42" s="1046">
        <f>UPI38+((UPI40+'NF - 5 Power Mix'!UPI14+'NF - 5 Power Mix'!UPI15)*860/10)+((('Form Sa1'!UPL835)*860)/10)+('Form Sa1'!UPL814*'Form Sa1'!UPL816/10)-'NF - 5 Power Mix'!UPI21-'NF - 5 Power Mix'!UPI22</f>
        <v>0</v>
      </c>
      <c r="UPJ42" s="1046">
        <f>UPJ38+((UPJ40+'NF - 5 Power Mix'!UPJ14+'NF - 5 Power Mix'!UPJ15)*860/10)+((('Form Sa1'!UPM835)*860)/10)+('Form Sa1'!UPM814*'Form Sa1'!UPM816/10)-'NF - 5 Power Mix'!UPJ21-'NF - 5 Power Mix'!UPJ22</f>
        <v>0</v>
      </c>
      <c r="UPK42" s="1046">
        <f>UPK38+((UPK40+'NF - 5 Power Mix'!UPK14+'NF - 5 Power Mix'!UPK15)*860/10)+((('Form Sa1'!UPN835)*860)/10)+('Form Sa1'!UPN814*'Form Sa1'!UPN816/10)-'NF - 5 Power Mix'!UPK21-'NF - 5 Power Mix'!UPK22</f>
        <v>0</v>
      </c>
      <c r="UPL42" s="1046">
        <f>UPL38+((UPL40+'NF - 5 Power Mix'!UPL14+'NF - 5 Power Mix'!UPL15)*860/10)+((('Form Sa1'!UPO835)*860)/10)+('Form Sa1'!UPO814*'Form Sa1'!UPO816/10)-'NF - 5 Power Mix'!UPL21-'NF - 5 Power Mix'!UPL22</f>
        <v>0</v>
      </c>
      <c r="UPM42" s="1046">
        <f>UPM38+((UPM40+'NF - 5 Power Mix'!UPM14+'NF - 5 Power Mix'!UPM15)*860/10)+((('Form Sa1'!UPP835)*860)/10)+('Form Sa1'!UPP814*'Form Sa1'!UPP816/10)-'NF - 5 Power Mix'!UPM21-'NF - 5 Power Mix'!UPM22</f>
        <v>0</v>
      </c>
      <c r="UPN42" s="1046">
        <f>UPN38+((UPN40+'NF - 5 Power Mix'!UPN14+'NF - 5 Power Mix'!UPN15)*860/10)+((('Form Sa1'!UPQ835)*860)/10)+('Form Sa1'!UPQ814*'Form Sa1'!UPQ816/10)-'NF - 5 Power Mix'!UPN21-'NF - 5 Power Mix'!UPN22</f>
        <v>0</v>
      </c>
      <c r="UPO42" s="1046">
        <f>UPO38+((UPO40+'NF - 5 Power Mix'!UPO14+'NF - 5 Power Mix'!UPO15)*860/10)+((('Form Sa1'!UPR835)*860)/10)+('Form Sa1'!UPR814*'Form Sa1'!UPR816/10)-'NF - 5 Power Mix'!UPO21-'NF - 5 Power Mix'!UPO22</f>
        <v>0</v>
      </c>
      <c r="UPP42" s="1046">
        <f>UPP38+((UPP40+'NF - 5 Power Mix'!UPP14+'NF - 5 Power Mix'!UPP15)*860/10)+((('Form Sa1'!UPS835)*860)/10)+('Form Sa1'!UPS814*'Form Sa1'!UPS816/10)-'NF - 5 Power Mix'!UPP21-'NF - 5 Power Mix'!UPP22</f>
        <v>0</v>
      </c>
      <c r="UPQ42" s="1046">
        <f>UPQ38+((UPQ40+'NF - 5 Power Mix'!UPQ14+'NF - 5 Power Mix'!UPQ15)*860/10)+((('Form Sa1'!UPT835)*860)/10)+('Form Sa1'!UPT814*'Form Sa1'!UPT816/10)-'NF - 5 Power Mix'!UPQ21-'NF - 5 Power Mix'!UPQ22</f>
        <v>0</v>
      </c>
      <c r="UPR42" s="1046">
        <f>UPR38+((UPR40+'NF - 5 Power Mix'!UPR14+'NF - 5 Power Mix'!UPR15)*860/10)+((('Form Sa1'!UPU835)*860)/10)+('Form Sa1'!UPU814*'Form Sa1'!UPU816/10)-'NF - 5 Power Mix'!UPR21-'NF - 5 Power Mix'!UPR22</f>
        <v>0</v>
      </c>
      <c r="UPS42" s="1046">
        <f>UPS38+((UPS40+'NF - 5 Power Mix'!UPS14+'NF - 5 Power Mix'!UPS15)*860/10)+((('Form Sa1'!UPV835)*860)/10)+('Form Sa1'!UPV814*'Form Sa1'!UPV816/10)-'NF - 5 Power Mix'!UPS21-'NF - 5 Power Mix'!UPS22</f>
        <v>0</v>
      </c>
      <c r="UPT42" s="1046">
        <f>UPT38+((UPT40+'NF - 5 Power Mix'!UPT14+'NF - 5 Power Mix'!UPT15)*860/10)+((('Form Sa1'!UPW835)*860)/10)+('Form Sa1'!UPW814*'Form Sa1'!UPW816/10)-'NF - 5 Power Mix'!UPT21-'NF - 5 Power Mix'!UPT22</f>
        <v>0</v>
      </c>
      <c r="UPU42" s="1046">
        <f>UPU38+((UPU40+'NF - 5 Power Mix'!UPU14+'NF - 5 Power Mix'!UPU15)*860/10)+((('Form Sa1'!UPX835)*860)/10)+('Form Sa1'!UPX814*'Form Sa1'!UPX816/10)-'NF - 5 Power Mix'!UPU21-'NF - 5 Power Mix'!UPU22</f>
        <v>0</v>
      </c>
      <c r="UPV42" s="1046">
        <f>UPV38+((UPV40+'NF - 5 Power Mix'!UPV14+'NF - 5 Power Mix'!UPV15)*860/10)+((('Form Sa1'!UPY835)*860)/10)+('Form Sa1'!UPY814*'Form Sa1'!UPY816/10)-'NF - 5 Power Mix'!UPV21-'NF - 5 Power Mix'!UPV22</f>
        <v>0</v>
      </c>
      <c r="UPW42" s="1046">
        <f>UPW38+((UPW40+'NF - 5 Power Mix'!UPW14+'NF - 5 Power Mix'!UPW15)*860/10)+((('Form Sa1'!UPZ835)*860)/10)+('Form Sa1'!UPZ814*'Form Sa1'!UPZ816/10)-'NF - 5 Power Mix'!UPW21-'NF - 5 Power Mix'!UPW22</f>
        <v>0</v>
      </c>
      <c r="UPX42" s="1046">
        <f>UPX38+((UPX40+'NF - 5 Power Mix'!UPX14+'NF - 5 Power Mix'!UPX15)*860/10)+((('Form Sa1'!UQA835)*860)/10)+('Form Sa1'!UQA814*'Form Sa1'!UQA816/10)-'NF - 5 Power Mix'!UPX21-'NF - 5 Power Mix'!UPX22</f>
        <v>0</v>
      </c>
      <c r="UPY42" s="1046">
        <f>UPY38+((UPY40+'NF - 5 Power Mix'!UPY14+'NF - 5 Power Mix'!UPY15)*860/10)+((('Form Sa1'!UQB835)*860)/10)+('Form Sa1'!UQB814*'Form Sa1'!UQB816/10)-'NF - 5 Power Mix'!UPY21-'NF - 5 Power Mix'!UPY22</f>
        <v>0</v>
      </c>
      <c r="UPZ42" s="1046">
        <f>UPZ38+((UPZ40+'NF - 5 Power Mix'!UPZ14+'NF - 5 Power Mix'!UPZ15)*860/10)+((('Form Sa1'!UQC835)*860)/10)+('Form Sa1'!UQC814*'Form Sa1'!UQC816/10)-'NF - 5 Power Mix'!UPZ21-'NF - 5 Power Mix'!UPZ22</f>
        <v>0</v>
      </c>
      <c r="UQA42" s="1046">
        <f>UQA38+((UQA40+'NF - 5 Power Mix'!UQA14+'NF - 5 Power Mix'!UQA15)*860/10)+((('Form Sa1'!UQD835)*860)/10)+('Form Sa1'!UQD814*'Form Sa1'!UQD816/10)-'NF - 5 Power Mix'!UQA21-'NF - 5 Power Mix'!UQA22</f>
        <v>0</v>
      </c>
      <c r="UQB42" s="1046">
        <f>UQB38+((UQB40+'NF - 5 Power Mix'!UQB14+'NF - 5 Power Mix'!UQB15)*860/10)+((('Form Sa1'!UQE835)*860)/10)+('Form Sa1'!UQE814*'Form Sa1'!UQE816/10)-'NF - 5 Power Mix'!UQB21-'NF - 5 Power Mix'!UQB22</f>
        <v>0</v>
      </c>
      <c r="UQC42" s="1046">
        <f>UQC38+((UQC40+'NF - 5 Power Mix'!UQC14+'NF - 5 Power Mix'!UQC15)*860/10)+((('Form Sa1'!UQF835)*860)/10)+('Form Sa1'!UQF814*'Form Sa1'!UQF816/10)-'NF - 5 Power Mix'!UQC21-'NF - 5 Power Mix'!UQC22</f>
        <v>0</v>
      </c>
      <c r="UQD42" s="1046">
        <f>UQD38+((UQD40+'NF - 5 Power Mix'!UQD14+'NF - 5 Power Mix'!UQD15)*860/10)+((('Form Sa1'!UQG835)*860)/10)+('Form Sa1'!UQG814*'Form Sa1'!UQG816/10)-'NF - 5 Power Mix'!UQD21-'NF - 5 Power Mix'!UQD22</f>
        <v>0</v>
      </c>
      <c r="UQE42" s="1046">
        <f>UQE38+((UQE40+'NF - 5 Power Mix'!UQE14+'NF - 5 Power Mix'!UQE15)*860/10)+((('Form Sa1'!UQH835)*860)/10)+('Form Sa1'!UQH814*'Form Sa1'!UQH816/10)-'NF - 5 Power Mix'!UQE21-'NF - 5 Power Mix'!UQE22</f>
        <v>0</v>
      </c>
      <c r="UQF42" s="1046">
        <f>UQF38+((UQF40+'NF - 5 Power Mix'!UQF14+'NF - 5 Power Mix'!UQF15)*860/10)+((('Form Sa1'!UQI835)*860)/10)+('Form Sa1'!UQI814*'Form Sa1'!UQI816/10)-'NF - 5 Power Mix'!UQF21-'NF - 5 Power Mix'!UQF22</f>
        <v>0</v>
      </c>
      <c r="UQG42" s="1046">
        <f>UQG38+((UQG40+'NF - 5 Power Mix'!UQG14+'NF - 5 Power Mix'!UQG15)*860/10)+((('Form Sa1'!UQJ835)*860)/10)+('Form Sa1'!UQJ814*'Form Sa1'!UQJ816/10)-'NF - 5 Power Mix'!UQG21-'NF - 5 Power Mix'!UQG22</f>
        <v>0</v>
      </c>
      <c r="UQH42" s="1046">
        <f>UQH38+((UQH40+'NF - 5 Power Mix'!UQH14+'NF - 5 Power Mix'!UQH15)*860/10)+((('Form Sa1'!UQK835)*860)/10)+('Form Sa1'!UQK814*'Form Sa1'!UQK816/10)-'NF - 5 Power Mix'!UQH21-'NF - 5 Power Mix'!UQH22</f>
        <v>0</v>
      </c>
      <c r="UQI42" s="1046">
        <f>UQI38+((UQI40+'NF - 5 Power Mix'!UQI14+'NF - 5 Power Mix'!UQI15)*860/10)+((('Form Sa1'!UQL835)*860)/10)+('Form Sa1'!UQL814*'Form Sa1'!UQL816/10)-'NF - 5 Power Mix'!UQI21-'NF - 5 Power Mix'!UQI22</f>
        <v>0</v>
      </c>
      <c r="UQJ42" s="1046">
        <f>UQJ38+((UQJ40+'NF - 5 Power Mix'!UQJ14+'NF - 5 Power Mix'!UQJ15)*860/10)+((('Form Sa1'!UQM835)*860)/10)+('Form Sa1'!UQM814*'Form Sa1'!UQM816/10)-'NF - 5 Power Mix'!UQJ21-'NF - 5 Power Mix'!UQJ22</f>
        <v>0</v>
      </c>
      <c r="UQK42" s="1046">
        <f>UQK38+((UQK40+'NF - 5 Power Mix'!UQK14+'NF - 5 Power Mix'!UQK15)*860/10)+((('Form Sa1'!UQN835)*860)/10)+('Form Sa1'!UQN814*'Form Sa1'!UQN816/10)-'NF - 5 Power Mix'!UQK21-'NF - 5 Power Mix'!UQK22</f>
        <v>0</v>
      </c>
      <c r="UQL42" s="1046">
        <f>UQL38+((UQL40+'NF - 5 Power Mix'!UQL14+'NF - 5 Power Mix'!UQL15)*860/10)+((('Form Sa1'!UQO835)*860)/10)+('Form Sa1'!UQO814*'Form Sa1'!UQO816/10)-'NF - 5 Power Mix'!UQL21-'NF - 5 Power Mix'!UQL22</f>
        <v>0</v>
      </c>
      <c r="UQM42" s="1046">
        <f>UQM38+((UQM40+'NF - 5 Power Mix'!UQM14+'NF - 5 Power Mix'!UQM15)*860/10)+((('Form Sa1'!UQP835)*860)/10)+('Form Sa1'!UQP814*'Form Sa1'!UQP816/10)-'NF - 5 Power Mix'!UQM21-'NF - 5 Power Mix'!UQM22</f>
        <v>0</v>
      </c>
      <c r="UQN42" s="1046">
        <f>UQN38+((UQN40+'NF - 5 Power Mix'!UQN14+'NF - 5 Power Mix'!UQN15)*860/10)+((('Form Sa1'!UQQ835)*860)/10)+('Form Sa1'!UQQ814*'Form Sa1'!UQQ816/10)-'NF - 5 Power Mix'!UQN21-'NF - 5 Power Mix'!UQN22</f>
        <v>0</v>
      </c>
      <c r="UQO42" s="1046">
        <f>UQO38+((UQO40+'NF - 5 Power Mix'!UQO14+'NF - 5 Power Mix'!UQO15)*860/10)+((('Form Sa1'!UQR835)*860)/10)+('Form Sa1'!UQR814*'Form Sa1'!UQR816/10)-'NF - 5 Power Mix'!UQO21-'NF - 5 Power Mix'!UQO22</f>
        <v>0</v>
      </c>
      <c r="UQP42" s="1046">
        <f>UQP38+((UQP40+'NF - 5 Power Mix'!UQP14+'NF - 5 Power Mix'!UQP15)*860/10)+((('Form Sa1'!UQS835)*860)/10)+('Form Sa1'!UQS814*'Form Sa1'!UQS816/10)-'NF - 5 Power Mix'!UQP21-'NF - 5 Power Mix'!UQP22</f>
        <v>0</v>
      </c>
      <c r="UQQ42" s="1046">
        <f>UQQ38+((UQQ40+'NF - 5 Power Mix'!UQQ14+'NF - 5 Power Mix'!UQQ15)*860/10)+((('Form Sa1'!UQT835)*860)/10)+('Form Sa1'!UQT814*'Form Sa1'!UQT816/10)-'NF - 5 Power Mix'!UQQ21-'NF - 5 Power Mix'!UQQ22</f>
        <v>0</v>
      </c>
      <c r="UQR42" s="1046">
        <f>UQR38+((UQR40+'NF - 5 Power Mix'!UQR14+'NF - 5 Power Mix'!UQR15)*860/10)+((('Form Sa1'!UQU835)*860)/10)+('Form Sa1'!UQU814*'Form Sa1'!UQU816/10)-'NF - 5 Power Mix'!UQR21-'NF - 5 Power Mix'!UQR22</f>
        <v>0</v>
      </c>
      <c r="UQS42" s="1046">
        <f>UQS38+((UQS40+'NF - 5 Power Mix'!UQS14+'NF - 5 Power Mix'!UQS15)*860/10)+((('Form Sa1'!UQV835)*860)/10)+('Form Sa1'!UQV814*'Form Sa1'!UQV816/10)-'NF - 5 Power Mix'!UQS21-'NF - 5 Power Mix'!UQS22</f>
        <v>0</v>
      </c>
      <c r="UQT42" s="1046">
        <f>UQT38+((UQT40+'NF - 5 Power Mix'!UQT14+'NF - 5 Power Mix'!UQT15)*860/10)+((('Form Sa1'!UQW835)*860)/10)+('Form Sa1'!UQW814*'Form Sa1'!UQW816/10)-'NF - 5 Power Mix'!UQT21-'NF - 5 Power Mix'!UQT22</f>
        <v>0</v>
      </c>
      <c r="UQU42" s="1046">
        <f>UQU38+((UQU40+'NF - 5 Power Mix'!UQU14+'NF - 5 Power Mix'!UQU15)*860/10)+((('Form Sa1'!UQX835)*860)/10)+('Form Sa1'!UQX814*'Form Sa1'!UQX816/10)-'NF - 5 Power Mix'!UQU21-'NF - 5 Power Mix'!UQU22</f>
        <v>0</v>
      </c>
      <c r="UQV42" s="1046">
        <f>UQV38+((UQV40+'NF - 5 Power Mix'!UQV14+'NF - 5 Power Mix'!UQV15)*860/10)+((('Form Sa1'!UQY835)*860)/10)+('Form Sa1'!UQY814*'Form Sa1'!UQY816/10)-'NF - 5 Power Mix'!UQV21-'NF - 5 Power Mix'!UQV22</f>
        <v>0</v>
      </c>
      <c r="UQW42" s="1046">
        <f>UQW38+((UQW40+'NF - 5 Power Mix'!UQW14+'NF - 5 Power Mix'!UQW15)*860/10)+((('Form Sa1'!UQZ835)*860)/10)+('Form Sa1'!UQZ814*'Form Sa1'!UQZ816/10)-'NF - 5 Power Mix'!UQW21-'NF - 5 Power Mix'!UQW22</f>
        <v>0</v>
      </c>
      <c r="UQX42" s="1046">
        <f>UQX38+((UQX40+'NF - 5 Power Mix'!UQX14+'NF - 5 Power Mix'!UQX15)*860/10)+((('Form Sa1'!URA835)*860)/10)+('Form Sa1'!URA814*'Form Sa1'!URA816/10)-'NF - 5 Power Mix'!UQX21-'NF - 5 Power Mix'!UQX22</f>
        <v>0</v>
      </c>
      <c r="UQY42" s="1046">
        <f>UQY38+((UQY40+'NF - 5 Power Mix'!UQY14+'NF - 5 Power Mix'!UQY15)*860/10)+((('Form Sa1'!URB835)*860)/10)+('Form Sa1'!URB814*'Form Sa1'!URB816/10)-'NF - 5 Power Mix'!UQY21-'NF - 5 Power Mix'!UQY22</f>
        <v>0</v>
      </c>
      <c r="UQZ42" s="1046">
        <f>UQZ38+((UQZ40+'NF - 5 Power Mix'!UQZ14+'NF - 5 Power Mix'!UQZ15)*860/10)+((('Form Sa1'!URC835)*860)/10)+('Form Sa1'!URC814*'Form Sa1'!URC816/10)-'NF - 5 Power Mix'!UQZ21-'NF - 5 Power Mix'!UQZ22</f>
        <v>0</v>
      </c>
      <c r="URA42" s="1046">
        <f>URA38+((URA40+'NF - 5 Power Mix'!URA14+'NF - 5 Power Mix'!URA15)*860/10)+((('Form Sa1'!URD835)*860)/10)+('Form Sa1'!URD814*'Form Sa1'!URD816/10)-'NF - 5 Power Mix'!URA21-'NF - 5 Power Mix'!URA22</f>
        <v>0</v>
      </c>
      <c r="URB42" s="1046">
        <f>URB38+((URB40+'NF - 5 Power Mix'!URB14+'NF - 5 Power Mix'!URB15)*860/10)+((('Form Sa1'!URE835)*860)/10)+('Form Sa1'!URE814*'Form Sa1'!URE816/10)-'NF - 5 Power Mix'!URB21-'NF - 5 Power Mix'!URB22</f>
        <v>0</v>
      </c>
      <c r="URC42" s="1046">
        <f>URC38+((URC40+'NF - 5 Power Mix'!URC14+'NF - 5 Power Mix'!URC15)*860/10)+((('Form Sa1'!URF835)*860)/10)+('Form Sa1'!URF814*'Form Sa1'!URF816/10)-'NF - 5 Power Mix'!URC21-'NF - 5 Power Mix'!URC22</f>
        <v>0</v>
      </c>
      <c r="URD42" s="1046">
        <f>URD38+((URD40+'NF - 5 Power Mix'!URD14+'NF - 5 Power Mix'!URD15)*860/10)+((('Form Sa1'!URG835)*860)/10)+('Form Sa1'!URG814*'Form Sa1'!URG816/10)-'NF - 5 Power Mix'!URD21-'NF - 5 Power Mix'!URD22</f>
        <v>0</v>
      </c>
      <c r="URE42" s="1046">
        <f>URE38+((URE40+'NF - 5 Power Mix'!URE14+'NF - 5 Power Mix'!URE15)*860/10)+((('Form Sa1'!URH835)*860)/10)+('Form Sa1'!URH814*'Form Sa1'!URH816/10)-'NF - 5 Power Mix'!URE21-'NF - 5 Power Mix'!URE22</f>
        <v>0</v>
      </c>
      <c r="URF42" s="1046">
        <f>URF38+((URF40+'NF - 5 Power Mix'!URF14+'NF - 5 Power Mix'!URF15)*860/10)+((('Form Sa1'!URI835)*860)/10)+('Form Sa1'!URI814*'Form Sa1'!URI816/10)-'NF - 5 Power Mix'!URF21-'NF - 5 Power Mix'!URF22</f>
        <v>0</v>
      </c>
      <c r="URG42" s="1046">
        <f>URG38+((URG40+'NF - 5 Power Mix'!URG14+'NF - 5 Power Mix'!URG15)*860/10)+((('Form Sa1'!URJ835)*860)/10)+('Form Sa1'!URJ814*'Form Sa1'!URJ816/10)-'NF - 5 Power Mix'!URG21-'NF - 5 Power Mix'!URG22</f>
        <v>0</v>
      </c>
      <c r="URH42" s="1046">
        <f>URH38+((URH40+'NF - 5 Power Mix'!URH14+'NF - 5 Power Mix'!URH15)*860/10)+((('Form Sa1'!URK835)*860)/10)+('Form Sa1'!URK814*'Form Sa1'!URK816/10)-'NF - 5 Power Mix'!URH21-'NF - 5 Power Mix'!URH22</f>
        <v>0</v>
      </c>
      <c r="URI42" s="1046">
        <f>URI38+((URI40+'NF - 5 Power Mix'!URI14+'NF - 5 Power Mix'!URI15)*860/10)+((('Form Sa1'!URL835)*860)/10)+('Form Sa1'!URL814*'Form Sa1'!URL816/10)-'NF - 5 Power Mix'!URI21-'NF - 5 Power Mix'!URI22</f>
        <v>0</v>
      </c>
      <c r="URJ42" s="1046">
        <f>URJ38+((URJ40+'NF - 5 Power Mix'!URJ14+'NF - 5 Power Mix'!URJ15)*860/10)+((('Form Sa1'!URM835)*860)/10)+('Form Sa1'!URM814*'Form Sa1'!URM816/10)-'NF - 5 Power Mix'!URJ21-'NF - 5 Power Mix'!URJ22</f>
        <v>0</v>
      </c>
      <c r="URK42" s="1046">
        <f>URK38+((URK40+'NF - 5 Power Mix'!URK14+'NF - 5 Power Mix'!URK15)*860/10)+((('Form Sa1'!URN835)*860)/10)+('Form Sa1'!URN814*'Form Sa1'!URN816/10)-'NF - 5 Power Mix'!URK21-'NF - 5 Power Mix'!URK22</f>
        <v>0</v>
      </c>
      <c r="URL42" s="1046">
        <f>URL38+((URL40+'NF - 5 Power Mix'!URL14+'NF - 5 Power Mix'!URL15)*860/10)+((('Form Sa1'!URO835)*860)/10)+('Form Sa1'!URO814*'Form Sa1'!URO816/10)-'NF - 5 Power Mix'!URL21-'NF - 5 Power Mix'!URL22</f>
        <v>0</v>
      </c>
      <c r="URM42" s="1046">
        <f>URM38+((URM40+'NF - 5 Power Mix'!URM14+'NF - 5 Power Mix'!URM15)*860/10)+((('Form Sa1'!URP835)*860)/10)+('Form Sa1'!URP814*'Form Sa1'!URP816/10)-'NF - 5 Power Mix'!URM21-'NF - 5 Power Mix'!URM22</f>
        <v>0</v>
      </c>
      <c r="URN42" s="1046">
        <f>URN38+((URN40+'NF - 5 Power Mix'!URN14+'NF - 5 Power Mix'!URN15)*860/10)+((('Form Sa1'!URQ835)*860)/10)+('Form Sa1'!URQ814*'Form Sa1'!URQ816/10)-'NF - 5 Power Mix'!URN21-'NF - 5 Power Mix'!URN22</f>
        <v>0</v>
      </c>
      <c r="URO42" s="1046">
        <f>URO38+((URO40+'NF - 5 Power Mix'!URO14+'NF - 5 Power Mix'!URO15)*860/10)+((('Form Sa1'!URR835)*860)/10)+('Form Sa1'!URR814*'Form Sa1'!URR816/10)-'NF - 5 Power Mix'!URO21-'NF - 5 Power Mix'!URO22</f>
        <v>0</v>
      </c>
      <c r="URP42" s="1046">
        <f>URP38+((URP40+'NF - 5 Power Mix'!URP14+'NF - 5 Power Mix'!URP15)*860/10)+((('Form Sa1'!URS835)*860)/10)+('Form Sa1'!URS814*'Form Sa1'!URS816/10)-'NF - 5 Power Mix'!URP21-'NF - 5 Power Mix'!URP22</f>
        <v>0</v>
      </c>
      <c r="URQ42" s="1046">
        <f>URQ38+((URQ40+'NF - 5 Power Mix'!URQ14+'NF - 5 Power Mix'!URQ15)*860/10)+((('Form Sa1'!URT835)*860)/10)+('Form Sa1'!URT814*'Form Sa1'!URT816/10)-'NF - 5 Power Mix'!URQ21-'NF - 5 Power Mix'!URQ22</f>
        <v>0</v>
      </c>
      <c r="URR42" s="1046">
        <f>URR38+((URR40+'NF - 5 Power Mix'!URR14+'NF - 5 Power Mix'!URR15)*860/10)+((('Form Sa1'!URU835)*860)/10)+('Form Sa1'!URU814*'Form Sa1'!URU816/10)-'NF - 5 Power Mix'!URR21-'NF - 5 Power Mix'!URR22</f>
        <v>0</v>
      </c>
      <c r="URS42" s="1046">
        <f>URS38+((URS40+'NF - 5 Power Mix'!URS14+'NF - 5 Power Mix'!URS15)*860/10)+((('Form Sa1'!URV835)*860)/10)+('Form Sa1'!URV814*'Form Sa1'!URV816/10)-'NF - 5 Power Mix'!URS21-'NF - 5 Power Mix'!URS22</f>
        <v>0</v>
      </c>
      <c r="URT42" s="1046">
        <f>URT38+((URT40+'NF - 5 Power Mix'!URT14+'NF - 5 Power Mix'!URT15)*860/10)+((('Form Sa1'!URW835)*860)/10)+('Form Sa1'!URW814*'Form Sa1'!URW816/10)-'NF - 5 Power Mix'!URT21-'NF - 5 Power Mix'!URT22</f>
        <v>0</v>
      </c>
      <c r="URU42" s="1046">
        <f>URU38+((URU40+'NF - 5 Power Mix'!URU14+'NF - 5 Power Mix'!URU15)*860/10)+((('Form Sa1'!URX835)*860)/10)+('Form Sa1'!URX814*'Form Sa1'!URX816/10)-'NF - 5 Power Mix'!URU21-'NF - 5 Power Mix'!URU22</f>
        <v>0</v>
      </c>
      <c r="URV42" s="1046">
        <f>URV38+((URV40+'NF - 5 Power Mix'!URV14+'NF - 5 Power Mix'!URV15)*860/10)+((('Form Sa1'!URY835)*860)/10)+('Form Sa1'!URY814*'Form Sa1'!URY816/10)-'NF - 5 Power Mix'!URV21-'NF - 5 Power Mix'!URV22</f>
        <v>0</v>
      </c>
      <c r="URW42" s="1046">
        <f>URW38+((URW40+'NF - 5 Power Mix'!URW14+'NF - 5 Power Mix'!URW15)*860/10)+((('Form Sa1'!URZ835)*860)/10)+('Form Sa1'!URZ814*'Form Sa1'!URZ816/10)-'NF - 5 Power Mix'!URW21-'NF - 5 Power Mix'!URW22</f>
        <v>0</v>
      </c>
      <c r="URX42" s="1046">
        <f>URX38+((URX40+'NF - 5 Power Mix'!URX14+'NF - 5 Power Mix'!URX15)*860/10)+((('Form Sa1'!USA835)*860)/10)+('Form Sa1'!USA814*'Form Sa1'!USA816/10)-'NF - 5 Power Mix'!URX21-'NF - 5 Power Mix'!URX22</f>
        <v>0</v>
      </c>
      <c r="URY42" s="1046">
        <f>URY38+((URY40+'NF - 5 Power Mix'!URY14+'NF - 5 Power Mix'!URY15)*860/10)+((('Form Sa1'!USB835)*860)/10)+('Form Sa1'!USB814*'Form Sa1'!USB816/10)-'NF - 5 Power Mix'!URY21-'NF - 5 Power Mix'!URY22</f>
        <v>0</v>
      </c>
      <c r="URZ42" s="1046">
        <f>URZ38+((URZ40+'NF - 5 Power Mix'!URZ14+'NF - 5 Power Mix'!URZ15)*860/10)+((('Form Sa1'!USC835)*860)/10)+('Form Sa1'!USC814*'Form Sa1'!USC816/10)-'NF - 5 Power Mix'!URZ21-'NF - 5 Power Mix'!URZ22</f>
        <v>0</v>
      </c>
      <c r="USA42" s="1046">
        <f>USA38+((USA40+'NF - 5 Power Mix'!USA14+'NF - 5 Power Mix'!USA15)*860/10)+((('Form Sa1'!USD835)*860)/10)+('Form Sa1'!USD814*'Form Sa1'!USD816/10)-'NF - 5 Power Mix'!USA21-'NF - 5 Power Mix'!USA22</f>
        <v>0</v>
      </c>
      <c r="USB42" s="1046">
        <f>USB38+((USB40+'NF - 5 Power Mix'!USB14+'NF - 5 Power Mix'!USB15)*860/10)+((('Form Sa1'!USE835)*860)/10)+('Form Sa1'!USE814*'Form Sa1'!USE816/10)-'NF - 5 Power Mix'!USB21-'NF - 5 Power Mix'!USB22</f>
        <v>0</v>
      </c>
      <c r="USC42" s="1046">
        <f>USC38+((USC40+'NF - 5 Power Mix'!USC14+'NF - 5 Power Mix'!USC15)*860/10)+((('Form Sa1'!USF835)*860)/10)+('Form Sa1'!USF814*'Form Sa1'!USF816/10)-'NF - 5 Power Mix'!USC21-'NF - 5 Power Mix'!USC22</f>
        <v>0</v>
      </c>
      <c r="USD42" s="1046">
        <f>USD38+((USD40+'NF - 5 Power Mix'!USD14+'NF - 5 Power Mix'!USD15)*860/10)+((('Form Sa1'!USG835)*860)/10)+('Form Sa1'!USG814*'Form Sa1'!USG816/10)-'NF - 5 Power Mix'!USD21-'NF - 5 Power Mix'!USD22</f>
        <v>0</v>
      </c>
      <c r="USE42" s="1046">
        <f>USE38+((USE40+'NF - 5 Power Mix'!USE14+'NF - 5 Power Mix'!USE15)*860/10)+((('Form Sa1'!USH835)*860)/10)+('Form Sa1'!USH814*'Form Sa1'!USH816/10)-'NF - 5 Power Mix'!USE21-'NF - 5 Power Mix'!USE22</f>
        <v>0</v>
      </c>
      <c r="USF42" s="1046">
        <f>USF38+((USF40+'NF - 5 Power Mix'!USF14+'NF - 5 Power Mix'!USF15)*860/10)+((('Form Sa1'!USI835)*860)/10)+('Form Sa1'!USI814*'Form Sa1'!USI816/10)-'NF - 5 Power Mix'!USF21-'NF - 5 Power Mix'!USF22</f>
        <v>0</v>
      </c>
      <c r="USG42" s="1046">
        <f>USG38+((USG40+'NF - 5 Power Mix'!USG14+'NF - 5 Power Mix'!USG15)*860/10)+((('Form Sa1'!USJ835)*860)/10)+('Form Sa1'!USJ814*'Form Sa1'!USJ816/10)-'NF - 5 Power Mix'!USG21-'NF - 5 Power Mix'!USG22</f>
        <v>0</v>
      </c>
      <c r="USH42" s="1046">
        <f>USH38+((USH40+'NF - 5 Power Mix'!USH14+'NF - 5 Power Mix'!USH15)*860/10)+((('Form Sa1'!USK835)*860)/10)+('Form Sa1'!USK814*'Form Sa1'!USK816/10)-'NF - 5 Power Mix'!USH21-'NF - 5 Power Mix'!USH22</f>
        <v>0</v>
      </c>
      <c r="USI42" s="1046">
        <f>USI38+((USI40+'NF - 5 Power Mix'!USI14+'NF - 5 Power Mix'!USI15)*860/10)+((('Form Sa1'!USL835)*860)/10)+('Form Sa1'!USL814*'Form Sa1'!USL816/10)-'NF - 5 Power Mix'!USI21-'NF - 5 Power Mix'!USI22</f>
        <v>0</v>
      </c>
      <c r="USJ42" s="1046">
        <f>USJ38+((USJ40+'NF - 5 Power Mix'!USJ14+'NF - 5 Power Mix'!USJ15)*860/10)+((('Form Sa1'!USM835)*860)/10)+('Form Sa1'!USM814*'Form Sa1'!USM816/10)-'NF - 5 Power Mix'!USJ21-'NF - 5 Power Mix'!USJ22</f>
        <v>0</v>
      </c>
      <c r="USK42" s="1046">
        <f>USK38+((USK40+'NF - 5 Power Mix'!USK14+'NF - 5 Power Mix'!USK15)*860/10)+((('Form Sa1'!USN835)*860)/10)+('Form Sa1'!USN814*'Form Sa1'!USN816/10)-'NF - 5 Power Mix'!USK21-'NF - 5 Power Mix'!USK22</f>
        <v>0</v>
      </c>
      <c r="USL42" s="1046">
        <f>USL38+((USL40+'NF - 5 Power Mix'!USL14+'NF - 5 Power Mix'!USL15)*860/10)+((('Form Sa1'!USO835)*860)/10)+('Form Sa1'!USO814*'Form Sa1'!USO816/10)-'NF - 5 Power Mix'!USL21-'NF - 5 Power Mix'!USL22</f>
        <v>0</v>
      </c>
      <c r="USM42" s="1046">
        <f>USM38+((USM40+'NF - 5 Power Mix'!USM14+'NF - 5 Power Mix'!USM15)*860/10)+((('Form Sa1'!USP835)*860)/10)+('Form Sa1'!USP814*'Form Sa1'!USP816/10)-'NF - 5 Power Mix'!USM21-'NF - 5 Power Mix'!USM22</f>
        <v>0</v>
      </c>
      <c r="USN42" s="1046">
        <f>USN38+((USN40+'NF - 5 Power Mix'!USN14+'NF - 5 Power Mix'!USN15)*860/10)+((('Form Sa1'!USQ835)*860)/10)+('Form Sa1'!USQ814*'Form Sa1'!USQ816/10)-'NF - 5 Power Mix'!USN21-'NF - 5 Power Mix'!USN22</f>
        <v>0</v>
      </c>
      <c r="USO42" s="1046">
        <f>USO38+((USO40+'NF - 5 Power Mix'!USO14+'NF - 5 Power Mix'!USO15)*860/10)+((('Form Sa1'!USR835)*860)/10)+('Form Sa1'!USR814*'Form Sa1'!USR816/10)-'NF - 5 Power Mix'!USO21-'NF - 5 Power Mix'!USO22</f>
        <v>0</v>
      </c>
      <c r="USP42" s="1046">
        <f>USP38+((USP40+'NF - 5 Power Mix'!USP14+'NF - 5 Power Mix'!USP15)*860/10)+((('Form Sa1'!USS835)*860)/10)+('Form Sa1'!USS814*'Form Sa1'!USS816/10)-'NF - 5 Power Mix'!USP21-'NF - 5 Power Mix'!USP22</f>
        <v>0</v>
      </c>
      <c r="USQ42" s="1046">
        <f>USQ38+((USQ40+'NF - 5 Power Mix'!USQ14+'NF - 5 Power Mix'!USQ15)*860/10)+((('Form Sa1'!UST835)*860)/10)+('Form Sa1'!UST814*'Form Sa1'!UST816/10)-'NF - 5 Power Mix'!USQ21-'NF - 5 Power Mix'!USQ22</f>
        <v>0</v>
      </c>
      <c r="USR42" s="1046">
        <f>USR38+((USR40+'NF - 5 Power Mix'!USR14+'NF - 5 Power Mix'!USR15)*860/10)+((('Form Sa1'!USU835)*860)/10)+('Form Sa1'!USU814*'Form Sa1'!USU816/10)-'NF - 5 Power Mix'!USR21-'NF - 5 Power Mix'!USR22</f>
        <v>0</v>
      </c>
      <c r="USS42" s="1046">
        <f>USS38+((USS40+'NF - 5 Power Mix'!USS14+'NF - 5 Power Mix'!USS15)*860/10)+((('Form Sa1'!USV835)*860)/10)+('Form Sa1'!USV814*'Form Sa1'!USV816/10)-'NF - 5 Power Mix'!USS21-'NF - 5 Power Mix'!USS22</f>
        <v>0</v>
      </c>
      <c r="UST42" s="1046">
        <f>UST38+((UST40+'NF - 5 Power Mix'!UST14+'NF - 5 Power Mix'!UST15)*860/10)+((('Form Sa1'!USW835)*860)/10)+('Form Sa1'!USW814*'Form Sa1'!USW816/10)-'NF - 5 Power Mix'!UST21-'NF - 5 Power Mix'!UST22</f>
        <v>0</v>
      </c>
      <c r="USU42" s="1046">
        <f>USU38+((USU40+'NF - 5 Power Mix'!USU14+'NF - 5 Power Mix'!USU15)*860/10)+((('Form Sa1'!USX835)*860)/10)+('Form Sa1'!USX814*'Form Sa1'!USX816/10)-'NF - 5 Power Mix'!USU21-'NF - 5 Power Mix'!USU22</f>
        <v>0</v>
      </c>
      <c r="USV42" s="1046">
        <f>USV38+((USV40+'NF - 5 Power Mix'!USV14+'NF - 5 Power Mix'!USV15)*860/10)+((('Form Sa1'!USY835)*860)/10)+('Form Sa1'!USY814*'Form Sa1'!USY816/10)-'NF - 5 Power Mix'!USV21-'NF - 5 Power Mix'!USV22</f>
        <v>0</v>
      </c>
      <c r="USW42" s="1046">
        <f>USW38+((USW40+'NF - 5 Power Mix'!USW14+'NF - 5 Power Mix'!USW15)*860/10)+((('Form Sa1'!USZ835)*860)/10)+('Form Sa1'!USZ814*'Form Sa1'!USZ816/10)-'NF - 5 Power Mix'!USW21-'NF - 5 Power Mix'!USW22</f>
        <v>0</v>
      </c>
      <c r="USX42" s="1046">
        <f>USX38+((USX40+'NF - 5 Power Mix'!USX14+'NF - 5 Power Mix'!USX15)*860/10)+((('Form Sa1'!UTA835)*860)/10)+('Form Sa1'!UTA814*'Form Sa1'!UTA816/10)-'NF - 5 Power Mix'!USX21-'NF - 5 Power Mix'!USX22</f>
        <v>0</v>
      </c>
      <c r="USY42" s="1046">
        <f>USY38+((USY40+'NF - 5 Power Mix'!USY14+'NF - 5 Power Mix'!USY15)*860/10)+((('Form Sa1'!UTB835)*860)/10)+('Form Sa1'!UTB814*'Form Sa1'!UTB816/10)-'NF - 5 Power Mix'!USY21-'NF - 5 Power Mix'!USY22</f>
        <v>0</v>
      </c>
      <c r="USZ42" s="1046">
        <f>USZ38+((USZ40+'NF - 5 Power Mix'!USZ14+'NF - 5 Power Mix'!USZ15)*860/10)+((('Form Sa1'!UTC835)*860)/10)+('Form Sa1'!UTC814*'Form Sa1'!UTC816/10)-'NF - 5 Power Mix'!USZ21-'NF - 5 Power Mix'!USZ22</f>
        <v>0</v>
      </c>
      <c r="UTA42" s="1046">
        <f>UTA38+((UTA40+'NF - 5 Power Mix'!UTA14+'NF - 5 Power Mix'!UTA15)*860/10)+((('Form Sa1'!UTD835)*860)/10)+('Form Sa1'!UTD814*'Form Sa1'!UTD816/10)-'NF - 5 Power Mix'!UTA21-'NF - 5 Power Mix'!UTA22</f>
        <v>0</v>
      </c>
      <c r="UTB42" s="1046">
        <f>UTB38+((UTB40+'NF - 5 Power Mix'!UTB14+'NF - 5 Power Mix'!UTB15)*860/10)+((('Form Sa1'!UTE835)*860)/10)+('Form Sa1'!UTE814*'Form Sa1'!UTE816/10)-'NF - 5 Power Mix'!UTB21-'NF - 5 Power Mix'!UTB22</f>
        <v>0</v>
      </c>
      <c r="UTC42" s="1046">
        <f>UTC38+((UTC40+'NF - 5 Power Mix'!UTC14+'NF - 5 Power Mix'!UTC15)*860/10)+((('Form Sa1'!UTF835)*860)/10)+('Form Sa1'!UTF814*'Form Sa1'!UTF816/10)-'NF - 5 Power Mix'!UTC21-'NF - 5 Power Mix'!UTC22</f>
        <v>0</v>
      </c>
      <c r="UTD42" s="1046">
        <f>UTD38+((UTD40+'NF - 5 Power Mix'!UTD14+'NF - 5 Power Mix'!UTD15)*860/10)+((('Form Sa1'!UTG835)*860)/10)+('Form Sa1'!UTG814*'Form Sa1'!UTG816/10)-'NF - 5 Power Mix'!UTD21-'NF - 5 Power Mix'!UTD22</f>
        <v>0</v>
      </c>
      <c r="UTE42" s="1046">
        <f>UTE38+((UTE40+'NF - 5 Power Mix'!UTE14+'NF - 5 Power Mix'!UTE15)*860/10)+((('Form Sa1'!UTH835)*860)/10)+('Form Sa1'!UTH814*'Form Sa1'!UTH816/10)-'NF - 5 Power Mix'!UTE21-'NF - 5 Power Mix'!UTE22</f>
        <v>0</v>
      </c>
      <c r="UTF42" s="1046">
        <f>UTF38+((UTF40+'NF - 5 Power Mix'!UTF14+'NF - 5 Power Mix'!UTF15)*860/10)+((('Form Sa1'!UTI835)*860)/10)+('Form Sa1'!UTI814*'Form Sa1'!UTI816/10)-'NF - 5 Power Mix'!UTF21-'NF - 5 Power Mix'!UTF22</f>
        <v>0</v>
      </c>
      <c r="UTG42" s="1046">
        <f>UTG38+((UTG40+'NF - 5 Power Mix'!UTG14+'NF - 5 Power Mix'!UTG15)*860/10)+((('Form Sa1'!UTJ835)*860)/10)+('Form Sa1'!UTJ814*'Form Sa1'!UTJ816/10)-'NF - 5 Power Mix'!UTG21-'NF - 5 Power Mix'!UTG22</f>
        <v>0</v>
      </c>
      <c r="UTH42" s="1046">
        <f>UTH38+((UTH40+'NF - 5 Power Mix'!UTH14+'NF - 5 Power Mix'!UTH15)*860/10)+((('Form Sa1'!UTK835)*860)/10)+('Form Sa1'!UTK814*'Form Sa1'!UTK816/10)-'NF - 5 Power Mix'!UTH21-'NF - 5 Power Mix'!UTH22</f>
        <v>0</v>
      </c>
      <c r="UTI42" s="1046">
        <f>UTI38+((UTI40+'NF - 5 Power Mix'!UTI14+'NF - 5 Power Mix'!UTI15)*860/10)+((('Form Sa1'!UTL835)*860)/10)+('Form Sa1'!UTL814*'Form Sa1'!UTL816/10)-'NF - 5 Power Mix'!UTI21-'NF - 5 Power Mix'!UTI22</f>
        <v>0</v>
      </c>
      <c r="UTJ42" s="1046">
        <f>UTJ38+((UTJ40+'NF - 5 Power Mix'!UTJ14+'NF - 5 Power Mix'!UTJ15)*860/10)+((('Form Sa1'!UTM835)*860)/10)+('Form Sa1'!UTM814*'Form Sa1'!UTM816/10)-'NF - 5 Power Mix'!UTJ21-'NF - 5 Power Mix'!UTJ22</f>
        <v>0</v>
      </c>
      <c r="UTK42" s="1046">
        <f>UTK38+((UTK40+'NF - 5 Power Mix'!UTK14+'NF - 5 Power Mix'!UTK15)*860/10)+((('Form Sa1'!UTN835)*860)/10)+('Form Sa1'!UTN814*'Form Sa1'!UTN816/10)-'NF - 5 Power Mix'!UTK21-'NF - 5 Power Mix'!UTK22</f>
        <v>0</v>
      </c>
      <c r="UTL42" s="1046">
        <f>UTL38+((UTL40+'NF - 5 Power Mix'!UTL14+'NF - 5 Power Mix'!UTL15)*860/10)+((('Form Sa1'!UTO835)*860)/10)+('Form Sa1'!UTO814*'Form Sa1'!UTO816/10)-'NF - 5 Power Mix'!UTL21-'NF - 5 Power Mix'!UTL22</f>
        <v>0</v>
      </c>
      <c r="UTM42" s="1046">
        <f>UTM38+((UTM40+'NF - 5 Power Mix'!UTM14+'NF - 5 Power Mix'!UTM15)*860/10)+((('Form Sa1'!UTP835)*860)/10)+('Form Sa1'!UTP814*'Form Sa1'!UTP816/10)-'NF - 5 Power Mix'!UTM21-'NF - 5 Power Mix'!UTM22</f>
        <v>0</v>
      </c>
      <c r="UTN42" s="1046">
        <f>UTN38+((UTN40+'NF - 5 Power Mix'!UTN14+'NF - 5 Power Mix'!UTN15)*860/10)+((('Form Sa1'!UTQ835)*860)/10)+('Form Sa1'!UTQ814*'Form Sa1'!UTQ816/10)-'NF - 5 Power Mix'!UTN21-'NF - 5 Power Mix'!UTN22</f>
        <v>0</v>
      </c>
      <c r="UTO42" s="1046">
        <f>UTO38+((UTO40+'NF - 5 Power Mix'!UTO14+'NF - 5 Power Mix'!UTO15)*860/10)+((('Form Sa1'!UTR835)*860)/10)+('Form Sa1'!UTR814*'Form Sa1'!UTR816/10)-'NF - 5 Power Mix'!UTO21-'NF - 5 Power Mix'!UTO22</f>
        <v>0</v>
      </c>
      <c r="UTP42" s="1046">
        <f>UTP38+((UTP40+'NF - 5 Power Mix'!UTP14+'NF - 5 Power Mix'!UTP15)*860/10)+((('Form Sa1'!UTS835)*860)/10)+('Form Sa1'!UTS814*'Form Sa1'!UTS816/10)-'NF - 5 Power Mix'!UTP21-'NF - 5 Power Mix'!UTP22</f>
        <v>0</v>
      </c>
      <c r="UTQ42" s="1046">
        <f>UTQ38+((UTQ40+'NF - 5 Power Mix'!UTQ14+'NF - 5 Power Mix'!UTQ15)*860/10)+((('Form Sa1'!UTT835)*860)/10)+('Form Sa1'!UTT814*'Form Sa1'!UTT816/10)-'NF - 5 Power Mix'!UTQ21-'NF - 5 Power Mix'!UTQ22</f>
        <v>0</v>
      </c>
      <c r="UTR42" s="1046">
        <f>UTR38+((UTR40+'NF - 5 Power Mix'!UTR14+'NF - 5 Power Mix'!UTR15)*860/10)+((('Form Sa1'!UTU835)*860)/10)+('Form Sa1'!UTU814*'Form Sa1'!UTU816/10)-'NF - 5 Power Mix'!UTR21-'NF - 5 Power Mix'!UTR22</f>
        <v>0</v>
      </c>
      <c r="UTS42" s="1046">
        <f>UTS38+((UTS40+'NF - 5 Power Mix'!UTS14+'NF - 5 Power Mix'!UTS15)*860/10)+((('Form Sa1'!UTV835)*860)/10)+('Form Sa1'!UTV814*'Form Sa1'!UTV816/10)-'NF - 5 Power Mix'!UTS21-'NF - 5 Power Mix'!UTS22</f>
        <v>0</v>
      </c>
      <c r="UTT42" s="1046">
        <f>UTT38+((UTT40+'NF - 5 Power Mix'!UTT14+'NF - 5 Power Mix'!UTT15)*860/10)+((('Form Sa1'!UTW835)*860)/10)+('Form Sa1'!UTW814*'Form Sa1'!UTW816/10)-'NF - 5 Power Mix'!UTT21-'NF - 5 Power Mix'!UTT22</f>
        <v>0</v>
      </c>
      <c r="UTU42" s="1046">
        <f>UTU38+((UTU40+'NF - 5 Power Mix'!UTU14+'NF - 5 Power Mix'!UTU15)*860/10)+((('Form Sa1'!UTX835)*860)/10)+('Form Sa1'!UTX814*'Form Sa1'!UTX816/10)-'NF - 5 Power Mix'!UTU21-'NF - 5 Power Mix'!UTU22</f>
        <v>0</v>
      </c>
      <c r="UTV42" s="1046">
        <f>UTV38+((UTV40+'NF - 5 Power Mix'!UTV14+'NF - 5 Power Mix'!UTV15)*860/10)+((('Form Sa1'!UTY835)*860)/10)+('Form Sa1'!UTY814*'Form Sa1'!UTY816/10)-'NF - 5 Power Mix'!UTV21-'NF - 5 Power Mix'!UTV22</f>
        <v>0</v>
      </c>
      <c r="UTW42" s="1046">
        <f>UTW38+((UTW40+'NF - 5 Power Mix'!UTW14+'NF - 5 Power Mix'!UTW15)*860/10)+((('Form Sa1'!UTZ835)*860)/10)+('Form Sa1'!UTZ814*'Form Sa1'!UTZ816/10)-'NF - 5 Power Mix'!UTW21-'NF - 5 Power Mix'!UTW22</f>
        <v>0</v>
      </c>
      <c r="UTX42" s="1046">
        <f>UTX38+((UTX40+'NF - 5 Power Mix'!UTX14+'NF - 5 Power Mix'!UTX15)*860/10)+((('Form Sa1'!UUA835)*860)/10)+('Form Sa1'!UUA814*'Form Sa1'!UUA816/10)-'NF - 5 Power Mix'!UTX21-'NF - 5 Power Mix'!UTX22</f>
        <v>0</v>
      </c>
      <c r="UTY42" s="1046">
        <f>UTY38+((UTY40+'NF - 5 Power Mix'!UTY14+'NF - 5 Power Mix'!UTY15)*860/10)+((('Form Sa1'!UUB835)*860)/10)+('Form Sa1'!UUB814*'Form Sa1'!UUB816/10)-'NF - 5 Power Mix'!UTY21-'NF - 5 Power Mix'!UTY22</f>
        <v>0</v>
      </c>
      <c r="UTZ42" s="1046">
        <f>UTZ38+((UTZ40+'NF - 5 Power Mix'!UTZ14+'NF - 5 Power Mix'!UTZ15)*860/10)+((('Form Sa1'!UUC835)*860)/10)+('Form Sa1'!UUC814*'Form Sa1'!UUC816/10)-'NF - 5 Power Mix'!UTZ21-'NF - 5 Power Mix'!UTZ22</f>
        <v>0</v>
      </c>
      <c r="UUA42" s="1046">
        <f>UUA38+((UUA40+'NF - 5 Power Mix'!UUA14+'NF - 5 Power Mix'!UUA15)*860/10)+((('Form Sa1'!UUD835)*860)/10)+('Form Sa1'!UUD814*'Form Sa1'!UUD816/10)-'NF - 5 Power Mix'!UUA21-'NF - 5 Power Mix'!UUA22</f>
        <v>0</v>
      </c>
      <c r="UUB42" s="1046">
        <f>UUB38+((UUB40+'NF - 5 Power Mix'!UUB14+'NF - 5 Power Mix'!UUB15)*860/10)+((('Form Sa1'!UUE835)*860)/10)+('Form Sa1'!UUE814*'Form Sa1'!UUE816/10)-'NF - 5 Power Mix'!UUB21-'NF - 5 Power Mix'!UUB22</f>
        <v>0</v>
      </c>
      <c r="UUC42" s="1046">
        <f>UUC38+((UUC40+'NF - 5 Power Mix'!UUC14+'NF - 5 Power Mix'!UUC15)*860/10)+((('Form Sa1'!UUF835)*860)/10)+('Form Sa1'!UUF814*'Form Sa1'!UUF816/10)-'NF - 5 Power Mix'!UUC21-'NF - 5 Power Mix'!UUC22</f>
        <v>0</v>
      </c>
      <c r="UUD42" s="1046">
        <f>UUD38+((UUD40+'NF - 5 Power Mix'!UUD14+'NF - 5 Power Mix'!UUD15)*860/10)+((('Form Sa1'!UUG835)*860)/10)+('Form Sa1'!UUG814*'Form Sa1'!UUG816/10)-'NF - 5 Power Mix'!UUD21-'NF - 5 Power Mix'!UUD22</f>
        <v>0</v>
      </c>
      <c r="UUE42" s="1046">
        <f>UUE38+((UUE40+'NF - 5 Power Mix'!UUE14+'NF - 5 Power Mix'!UUE15)*860/10)+((('Form Sa1'!UUH835)*860)/10)+('Form Sa1'!UUH814*'Form Sa1'!UUH816/10)-'NF - 5 Power Mix'!UUE21-'NF - 5 Power Mix'!UUE22</f>
        <v>0</v>
      </c>
      <c r="UUF42" s="1046">
        <f>UUF38+((UUF40+'NF - 5 Power Mix'!UUF14+'NF - 5 Power Mix'!UUF15)*860/10)+((('Form Sa1'!UUI835)*860)/10)+('Form Sa1'!UUI814*'Form Sa1'!UUI816/10)-'NF - 5 Power Mix'!UUF21-'NF - 5 Power Mix'!UUF22</f>
        <v>0</v>
      </c>
      <c r="UUG42" s="1046">
        <f>UUG38+((UUG40+'NF - 5 Power Mix'!UUG14+'NF - 5 Power Mix'!UUG15)*860/10)+((('Form Sa1'!UUJ835)*860)/10)+('Form Sa1'!UUJ814*'Form Sa1'!UUJ816/10)-'NF - 5 Power Mix'!UUG21-'NF - 5 Power Mix'!UUG22</f>
        <v>0</v>
      </c>
      <c r="UUH42" s="1046">
        <f>UUH38+((UUH40+'NF - 5 Power Mix'!UUH14+'NF - 5 Power Mix'!UUH15)*860/10)+((('Form Sa1'!UUK835)*860)/10)+('Form Sa1'!UUK814*'Form Sa1'!UUK816/10)-'NF - 5 Power Mix'!UUH21-'NF - 5 Power Mix'!UUH22</f>
        <v>0</v>
      </c>
      <c r="UUI42" s="1046">
        <f>UUI38+((UUI40+'NF - 5 Power Mix'!UUI14+'NF - 5 Power Mix'!UUI15)*860/10)+((('Form Sa1'!UUL835)*860)/10)+('Form Sa1'!UUL814*'Form Sa1'!UUL816/10)-'NF - 5 Power Mix'!UUI21-'NF - 5 Power Mix'!UUI22</f>
        <v>0</v>
      </c>
      <c r="UUJ42" s="1046">
        <f>UUJ38+((UUJ40+'NF - 5 Power Mix'!UUJ14+'NF - 5 Power Mix'!UUJ15)*860/10)+((('Form Sa1'!UUM835)*860)/10)+('Form Sa1'!UUM814*'Form Sa1'!UUM816/10)-'NF - 5 Power Mix'!UUJ21-'NF - 5 Power Mix'!UUJ22</f>
        <v>0</v>
      </c>
      <c r="UUK42" s="1046">
        <f>UUK38+((UUK40+'NF - 5 Power Mix'!UUK14+'NF - 5 Power Mix'!UUK15)*860/10)+((('Form Sa1'!UUN835)*860)/10)+('Form Sa1'!UUN814*'Form Sa1'!UUN816/10)-'NF - 5 Power Mix'!UUK21-'NF - 5 Power Mix'!UUK22</f>
        <v>0</v>
      </c>
      <c r="UUL42" s="1046">
        <f>UUL38+((UUL40+'NF - 5 Power Mix'!UUL14+'NF - 5 Power Mix'!UUL15)*860/10)+((('Form Sa1'!UUO835)*860)/10)+('Form Sa1'!UUO814*'Form Sa1'!UUO816/10)-'NF - 5 Power Mix'!UUL21-'NF - 5 Power Mix'!UUL22</f>
        <v>0</v>
      </c>
      <c r="UUM42" s="1046">
        <f>UUM38+((UUM40+'NF - 5 Power Mix'!UUM14+'NF - 5 Power Mix'!UUM15)*860/10)+((('Form Sa1'!UUP835)*860)/10)+('Form Sa1'!UUP814*'Form Sa1'!UUP816/10)-'NF - 5 Power Mix'!UUM21-'NF - 5 Power Mix'!UUM22</f>
        <v>0</v>
      </c>
      <c r="UUN42" s="1046">
        <f>UUN38+((UUN40+'NF - 5 Power Mix'!UUN14+'NF - 5 Power Mix'!UUN15)*860/10)+((('Form Sa1'!UUQ835)*860)/10)+('Form Sa1'!UUQ814*'Form Sa1'!UUQ816/10)-'NF - 5 Power Mix'!UUN21-'NF - 5 Power Mix'!UUN22</f>
        <v>0</v>
      </c>
      <c r="UUO42" s="1046">
        <f>UUO38+((UUO40+'NF - 5 Power Mix'!UUO14+'NF - 5 Power Mix'!UUO15)*860/10)+((('Form Sa1'!UUR835)*860)/10)+('Form Sa1'!UUR814*'Form Sa1'!UUR816/10)-'NF - 5 Power Mix'!UUO21-'NF - 5 Power Mix'!UUO22</f>
        <v>0</v>
      </c>
      <c r="UUP42" s="1046">
        <f>UUP38+((UUP40+'NF - 5 Power Mix'!UUP14+'NF - 5 Power Mix'!UUP15)*860/10)+((('Form Sa1'!UUS835)*860)/10)+('Form Sa1'!UUS814*'Form Sa1'!UUS816/10)-'NF - 5 Power Mix'!UUP21-'NF - 5 Power Mix'!UUP22</f>
        <v>0</v>
      </c>
      <c r="UUQ42" s="1046">
        <f>UUQ38+((UUQ40+'NF - 5 Power Mix'!UUQ14+'NF - 5 Power Mix'!UUQ15)*860/10)+((('Form Sa1'!UUT835)*860)/10)+('Form Sa1'!UUT814*'Form Sa1'!UUT816/10)-'NF - 5 Power Mix'!UUQ21-'NF - 5 Power Mix'!UUQ22</f>
        <v>0</v>
      </c>
      <c r="UUR42" s="1046">
        <f>UUR38+((UUR40+'NF - 5 Power Mix'!UUR14+'NF - 5 Power Mix'!UUR15)*860/10)+((('Form Sa1'!UUU835)*860)/10)+('Form Sa1'!UUU814*'Form Sa1'!UUU816/10)-'NF - 5 Power Mix'!UUR21-'NF - 5 Power Mix'!UUR22</f>
        <v>0</v>
      </c>
      <c r="UUS42" s="1046">
        <f>UUS38+((UUS40+'NF - 5 Power Mix'!UUS14+'NF - 5 Power Mix'!UUS15)*860/10)+((('Form Sa1'!UUV835)*860)/10)+('Form Sa1'!UUV814*'Form Sa1'!UUV816/10)-'NF - 5 Power Mix'!UUS21-'NF - 5 Power Mix'!UUS22</f>
        <v>0</v>
      </c>
      <c r="UUT42" s="1046">
        <f>UUT38+((UUT40+'NF - 5 Power Mix'!UUT14+'NF - 5 Power Mix'!UUT15)*860/10)+((('Form Sa1'!UUW835)*860)/10)+('Form Sa1'!UUW814*'Form Sa1'!UUW816/10)-'NF - 5 Power Mix'!UUT21-'NF - 5 Power Mix'!UUT22</f>
        <v>0</v>
      </c>
      <c r="UUU42" s="1046">
        <f>UUU38+((UUU40+'NF - 5 Power Mix'!UUU14+'NF - 5 Power Mix'!UUU15)*860/10)+((('Form Sa1'!UUX835)*860)/10)+('Form Sa1'!UUX814*'Form Sa1'!UUX816/10)-'NF - 5 Power Mix'!UUU21-'NF - 5 Power Mix'!UUU22</f>
        <v>0</v>
      </c>
      <c r="UUV42" s="1046">
        <f>UUV38+((UUV40+'NF - 5 Power Mix'!UUV14+'NF - 5 Power Mix'!UUV15)*860/10)+((('Form Sa1'!UUY835)*860)/10)+('Form Sa1'!UUY814*'Form Sa1'!UUY816/10)-'NF - 5 Power Mix'!UUV21-'NF - 5 Power Mix'!UUV22</f>
        <v>0</v>
      </c>
      <c r="UUW42" s="1046">
        <f>UUW38+((UUW40+'NF - 5 Power Mix'!UUW14+'NF - 5 Power Mix'!UUW15)*860/10)+((('Form Sa1'!UUZ835)*860)/10)+('Form Sa1'!UUZ814*'Form Sa1'!UUZ816/10)-'NF - 5 Power Mix'!UUW21-'NF - 5 Power Mix'!UUW22</f>
        <v>0</v>
      </c>
      <c r="UUX42" s="1046">
        <f>UUX38+((UUX40+'NF - 5 Power Mix'!UUX14+'NF - 5 Power Mix'!UUX15)*860/10)+((('Form Sa1'!UVA835)*860)/10)+('Form Sa1'!UVA814*'Form Sa1'!UVA816/10)-'NF - 5 Power Mix'!UUX21-'NF - 5 Power Mix'!UUX22</f>
        <v>0</v>
      </c>
      <c r="UUY42" s="1046">
        <f>UUY38+((UUY40+'NF - 5 Power Mix'!UUY14+'NF - 5 Power Mix'!UUY15)*860/10)+((('Form Sa1'!UVB835)*860)/10)+('Form Sa1'!UVB814*'Form Sa1'!UVB816/10)-'NF - 5 Power Mix'!UUY21-'NF - 5 Power Mix'!UUY22</f>
        <v>0</v>
      </c>
      <c r="UUZ42" s="1046">
        <f>UUZ38+((UUZ40+'NF - 5 Power Mix'!UUZ14+'NF - 5 Power Mix'!UUZ15)*860/10)+((('Form Sa1'!UVC835)*860)/10)+('Form Sa1'!UVC814*'Form Sa1'!UVC816/10)-'NF - 5 Power Mix'!UUZ21-'NF - 5 Power Mix'!UUZ22</f>
        <v>0</v>
      </c>
      <c r="UVA42" s="1046">
        <f>UVA38+((UVA40+'NF - 5 Power Mix'!UVA14+'NF - 5 Power Mix'!UVA15)*860/10)+((('Form Sa1'!UVD835)*860)/10)+('Form Sa1'!UVD814*'Form Sa1'!UVD816/10)-'NF - 5 Power Mix'!UVA21-'NF - 5 Power Mix'!UVA22</f>
        <v>0</v>
      </c>
      <c r="UVB42" s="1046">
        <f>UVB38+((UVB40+'NF - 5 Power Mix'!UVB14+'NF - 5 Power Mix'!UVB15)*860/10)+((('Form Sa1'!UVE835)*860)/10)+('Form Sa1'!UVE814*'Form Sa1'!UVE816/10)-'NF - 5 Power Mix'!UVB21-'NF - 5 Power Mix'!UVB22</f>
        <v>0</v>
      </c>
      <c r="UVC42" s="1046">
        <f>UVC38+((UVC40+'NF - 5 Power Mix'!UVC14+'NF - 5 Power Mix'!UVC15)*860/10)+((('Form Sa1'!UVF835)*860)/10)+('Form Sa1'!UVF814*'Form Sa1'!UVF816/10)-'NF - 5 Power Mix'!UVC21-'NF - 5 Power Mix'!UVC22</f>
        <v>0</v>
      </c>
      <c r="UVD42" s="1046">
        <f>UVD38+((UVD40+'NF - 5 Power Mix'!UVD14+'NF - 5 Power Mix'!UVD15)*860/10)+((('Form Sa1'!UVG835)*860)/10)+('Form Sa1'!UVG814*'Form Sa1'!UVG816/10)-'NF - 5 Power Mix'!UVD21-'NF - 5 Power Mix'!UVD22</f>
        <v>0</v>
      </c>
      <c r="UVE42" s="1046">
        <f>UVE38+((UVE40+'NF - 5 Power Mix'!UVE14+'NF - 5 Power Mix'!UVE15)*860/10)+((('Form Sa1'!UVH835)*860)/10)+('Form Sa1'!UVH814*'Form Sa1'!UVH816/10)-'NF - 5 Power Mix'!UVE21-'NF - 5 Power Mix'!UVE22</f>
        <v>0</v>
      </c>
      <c r="UVF42" s="1046">
        <f>UVF38+((UVF40+'NF - 5 Power Mix'!UVF14+'NF - 5 Power Mix'!UVF15)*860/10)+((('Form Sa1'!UVI835)*860)/10)+('Form Sa1'!UVI814*'Form Sa1'!UVI816/10)-'NF - 5 Power Mix'!UVF21-'NF - 5 Power Mix'!UVF22</f>
        <v>0</v>
      </c>
      <c r="UVG42" s="1046">
        <f>UVG38+((UVG40+'NF - 5 Power Mix'!UVG14+'NF - 5 Power Mix'!UVG15)*860/10)+((('Form Sa1'!UVJ835)*860)/10)+('Form Sa1'!UVJ814*'Form Sa1'!UVJ816/10)-'NF - 5 Power Mix'!UVG21-'NF - 5 Power Mix'!UVG22</f>
        <v>0</v>
      </c>
      <c r="UVH42" s="1046">
        <f>UVH38+((UVH40+'NF - 5 Power Mix'!UVH14+'NF - 5 Power Mix'!UVH15)*860/10)+((('Form Sa1'!UVK835)*860)/10)+('Form Sa1'!UVK814*'Form Sa1'!UVK816/10)-'NF - 5 Power Mix'!UVH21-'NF - 5 Power Mix'!UVH22</f>
        <v>0</v>
      </c>
      <c r="UVI42" s="1046">
        <f>UVI38+((UVI40+'NF - 5 Power Mix'!UVI14+'NF - 5 Power Mix'!UVI15)*860/10)+((('Form Sa1'!UVL835)*860)/10)+('Form Sa1'!UVL814*'Form Sa1'!UVL816/10)-'NF - 5 Power Mix'!UVI21-'NF - 5 Power Mix'!UVI22</f>
        <v>0</v>
      </c>
      <c r="UVJ42" s="1046">
        <f>UVJ38+((UVJ40+'NF - 5 Power Mix'!UVJ14+'NF - 5 Power Mix'!UVJ15)*860/10)+((('Form Sa1'!UVM835)*860)/10)+('Form Sa1'!UVM814*'Form Sa1'!UVM816/10)-'NF - 5 Power Mix'!UVJ21-'NF - 5 Power Mix'!UVJ22</f>
        <v>0</v>
      </c>
      <c r="UVK42" s="1046">
        <f>UVK38+((UVK40+'NF - 5 Power Mix'!UVK14+'NF - 5 Power Mix'!UVK15)*860/10)+((('Form Sa1'!UVN835)*860)/10)+('Form Sa1'!UVN814*'Form Sa1'!UVN816/10)-'NF - 5 Power Mix'!UVK21-'NF - 5 Power Mix'!UVK22</f>
        <v>0</v>
      </c>
      <c r="UVL42" s="1046">
        <f>UVL38+((UVL40+'NF - 5 Power Mix'!UVL14+'NF - 5 Power Mix'!UVL15)*860/10)+((('Form Sa1'!UVO835)*860)/10)+('Form Sa1'!UVO814*'Form Sa1'!UVO816/10)-'NF - 5 Power Mix'!UVL21-'NF - 5 Power Mix'!UVL22</f>
        <v>0</v>
      </c>
      <c r="UVM42" s="1046">
        <f>UVM38+((UVM40+'NF - 5 Power Mix'!UVM14+'NF - 5 Power Mix'!UVM15)*860/10)+((('Form Sa1'!UVP835)*860)/10)+('Form Sa1'!UVP814*'Form Sa1'!UVP816/10)-'NF - 5 Power Mix'!UVM21-'NF - 5 Power Mix'!UVM22</f>
        <v>0</v>
      </c>
      <c r="UVN42" s="1046">
        <f>UVN38+((UVN40+'NF - 5 Power Mix'!UVN14+'NF - 5 Power Mix'!UVN15)*860/10)+((('Form Sa1'!UVQ835)*860)/10)+('Form Sa1'!UVQ814*'Form Sa1'!UVQ816/10)-'NF - 5 Power Mix'!UVN21-'NF - 5 Power Mix'!UVN22</f>
        <v>0</v>
      </c>
      <c r="UVO42" s="1046">
        <f>UVO38+((UVO40+'NF - 5 Power Mix'!UVO14+'NF - 5 Power Mix'!UVO15)*860/10)+((('Form Sa1'!UVR835)*860)/10)+('Form Sa1'!UVR814*'Form Sa1'!UVR816/10)-'NF - 5 Power Mix'!UVO21-'NF - 5 Power Mix'!UVO22</f>
        <v>0</v>
      </c>
      <c r="UVP42" s="1046">
        <f>UVP38+((UVP40+'NF - 5 Power Mix'!UVP14+'NF - 5 Power Mix'!UVP15)*860/10)+((('Form Sa1'!UVS835)*860)/10)+('Form Sa1'!UVS814*'Form Sa1'!UVS816/10)-'NF - 5 Power Mix'!UVP21-'NF - 5 Power Mix'!UVP22</f>
        <v>0</v>
      </c>
      <c r="UVQ42" s="1046">
        <f>UVQ38+((UVQ40+'NF - 5 Power Mix'!UVQ14+'NF - 5 Power Mix'!UVQ15)*860/10)+((('Form Sa1'!UVT835)*860)/10)+('Form Sa1'!UVT814*'Form Sa1'!UVT816/10)-'NF - 5 Power Mix'!UVQ21-'NF - 5 Power Mix'!UVQ22</f>
        <v>0</v>
      </c>
      <c r="UVR42" s="1046">
        <f>UVR38+((UVR40+'NF - 5 Power Mix'!UVR14+'NF - 5 Power Mix'!UVR15)*860/10)+((('Form Sa1'!UVU835)*860)/10)+('Form Sa1'!UVU814*'Form Sa1'!UVU816/10)-'NF - 5 Power Mix'!UVR21-'NF - 5 Power Mix'!UVR22</f>
        <v>0</v>
      </c>
      <c r="UVS42" s="1046">
        <f>UVS38+((UVS40+'NF - 5 Power Mix'!UVS14+'NF - 5 Power Mix'!UVS15)*860/10)+((('Form Sa1'!UVV835)*860)/10)+('Form Sa1'!UVV814*'Form Sa1'!UVV816/10)-'NF - 5 Power Mix'!UVS21-'NF - 5 Power Mix'!UVS22</f>
        <v>0</v>
      </c>
      <c r="UVT42" s="1046">
        <f>UVT38+((UVT40+'NF - 5 Power Mix'!UVT14+'NF - 5 Power Mix'!UVT15)*860/10)+((('Form Sa1'!UVW835)*860)/10)+('Form Sa1'!UVW814*'Form Sa1'!UVW816/10)-'NF - 5 Power Mix'!UVT21-'NF - 5 Power Mix'!UVT22</f>
        <v>0</v>
      </c>
      <c r="UVU42" s="1046">
        <f>UVU38+((UVU40+'NF - 5 Power Mix'!UVU14+'NF - 5 Power Mix'!UVU15)*860/10)+((('Form Sa1'!UVX835)*860)/10)+('Form Sa1'!UVX814*'Form Sa1'!UVX816/10)-'NF - 5 Power Mix'!UVU21-'NF - 5 Power Mix'!UVU22</f>
        <v>0</v>
      </c>
      <c r="UVV42" s="1046">
        <f>UVV38+((UVV40+'NF - 5 Power Mix'!UVV14+'NF - 5 Power Mix'!UVV15)*860/10)+((('Form Sa1'!UVY835)*860)/10)+('Form Sa1'!UVY814*'Form Sa1'!UVY816/10)-'NF - 5 Power Mix'!UVV21-'NF - 5 Power Mix'!UVV22</f>
        <v>0</v>
      </c>
      <c r="UVW42" s="1046">
        <f>UVW38+((UVW40+'NF - 5 Power Mix'!UVW14+'NF - 5 Power Mix'!UVW15)*860/10)+((('Form Sa1'!UVZ835)*860)/10)+('Form Sa1'!UVZ814*'Form Sa1'!UVZ816/10)-'NF - 5 Power Mix'!UVW21-'NF - 5 Power Mix'!UVW22</f>
        <v>0</v>
      </c>
      <c r="UVX42" s="1046">
        <f>UVX38+((UVX40+'NF - 5 Power Mix'!UVX14+'NF - 5 Power Mix'!UVX15)*860/10)+((('Form Sa1'!UWA835)*860)/10)+('Form Sa1'!UWA814*'Form Sa1'!UWA816/10)-'NF - 5 Power Mix'!UVX21-'NF - 5 Power Mix'!UVX22</f>
        <v>0</v>
      </c>
      <c r="UVY42" s="1046">
        <f>UVY38+((UVY40+'NF - 5 Power Mix'!UVY14+'NF - 5 Power Mix'!UVY15)*860/10)+((('Form Sa1'!UWB835)*860)/10)+('Form Sa1'!UWB814*'Form Sa1'!UWB816/10)-'NF - 5 Power Mix'!UVY21-'NF - 5 Power Mix'!UVY22</f>
        <v>0</v>
      </c>
      <c r="UVZ42" s="1046">
        <f>UVZ38+((UVZ40+'NF - 5 Power Mix'!UVZ14+'NF - 5 Power Mix'!UVZ15)*860/10)+((('Form Sa1'!UWC835)*860)/10)+('Form Sa1'!UWC814*'Form Sa1'!UWC816/10)-'NF - 5 Power Mix'!UVZ21-'NF - 5 Power Mix'!UVZ22</f>
        <v>0</v>
      </c>
      <c r="UWA42" s="1046">
        <f>UWA38+((UWA40+'NF - 5 Power Mix'!UWA14+'NF - 5 Power Mix'!UWA15)*860/10)+((('Form Sa1'!UWD835)*860)/10)+('Form Sa1'!UWD814*'Form Sa1'!UWD816/10)-'NF - 5 Power Mix'!UWA21-'NF - 5 Power Mix'!UWA22</f>
        <v>0</v>
      </c>
      <c r="UWB42" s="1046">
        <f>UWB38+((UWB40+'NF - 5 Power Mix'!UWB14+'NF - 5 Power Mix'!UWB15)*860/10)+((('Form Sa1'!UWE835)*860)/10)+('Form Sa1'!UWE814*'Form Sa1'!UWE816/10)-'NF - 5 Power Mix'!UWB21-'NF - 5 Power Mix'!UWB22</f>
        <v>0</v>
      </c>
      <c r="UWC42" s="1046">
        <f>UWC38+((UWC40+'NF - 5 Power Mix'!UWC14+'NF - 5 Power Mix'!UWC15)*860/10)+((('Form Sa1'!UWF835)*860)/10)+('Form Sa1'!UWF814*'Form Sa1'!UWF816/10)-'NF - 5 Power Mix'!UWC21-'NF - 5 Power Mix'!UWC22</f>
        <v>0</v>
      </c>
      <c r="UWD42" s="1046">
        <f>UWD38+((UWD40+'NF - 5 Power Mix'!UWD14+'NF - 5 Power Mix'!UWD15)*860/10)+((('Form Sa1'!UWG835)*860)/10)+('Form Sa1'!UWG814*'Form Sa1'!UWG816/10)-'NF - 5 Power Mix'!UWD21-'NF - 5 Power Mix'!UWD22</f>
        <v>0</v>
      </c>
      <c r="UWE42" s="1046">
        <f>UWE38+((UWE40+'NF - 5 Power Mix'!UWE14+'NF - 5 Power Mix'!UWE15)*860/10)+((('Form Sa1'!UWH835)*860)/10)+('Form Sa1'!UWH814*'Form Sa1'!UWH816/10)-'NF - 5 Power Mix'!UWE21-'NF - 5 Power Mix'!UWE22</f>
        <v>0</v>
      </c>
      <c r="UWF42" s="1046">
        <f>UWF38+((UWF40+'NF - 5 Power Mix'!UWF14+'NF - 5 Power Mix'!UWF15)*860/10)+((('Form Sa1'!UWI835)*860)/10)+('Form Sa1'!UWI814*'Form Sa1'!UWI816/10)-'NF - 5 Power Mix'!UWF21-'NF - 5 Power Mix'!UWF22</f>
        <v>0</v>
      </c>
      <c r="UWG42" s="1046">
        <f>UWG38+((UWG40+'NF - 5 Power Mix'!UWG14+'NF - 5 Power Mix'!UWG15)*860/10)+((('Form Sa1'!UWJ835)*860)/10)+('Form Sa1'!UWJ814*'Form Sa1'!UWJ816/10)-'NF - 5 Power Mix'!UWG21-'NF - 5 Power Mix'!UWG22</f>
        <v>0</v>
      </c>
      <c r="UWH42" s="1046">
        <f>UWH38+((UWH40+'NF - 5 Power Mix'!UWH14+'NF - 5 Power Mix'!UWH15)*860/10)+((('Form Sa1'!UWK835)*860)/10)+('Form Sa1'!UWK814*'Form Sa1'!UWK816/10)-'NF - 5 Power Mix'!UWH21-'NF - 5 Power Mix'!UWH22</f>
        <v>0</v>
      </c>
      <c r="UWI42" s="1046">
        <f>UWI38+((UWI40+'NF - 5 Power Mix'!UWI14+'NF - 5 Power Mix'!UWI15)*860/10)+((('Form Sa1'!UWL835)*860)/10)+('Form Sa1'!UWL814*'Form Sa1'!UWL816/10)-'NF - 5 Power Mix'!UWI21-'NF - 5 Power Mix'!UWI22</f>
        <v>0</v>
      </c>
      <c r="UWJ42" s="1046">
        <f>UWJ38+((UWJ40+'NF - 5 Power Mix'!UWJ14+'NF - 5 Power Mix'!UWJ15)*860/10)+((('Form Sa1'!UWM835)*860)/10)+('Form Sa1'!UWM814*'Form Sa1'!UWM816/10)-'NF - 5 Power Mix'!UWJ21-'NF - 5 Power Mix'!UWJ22</f>
        <v>0</v>
      </c>
      <c r="UWK42" s="1046">
        <f>UWK38+((UWK40+'NF - 5 Power Mix'!UWK14+'NF - 5 Power Mix'!UWK15)*860/10)+((('Form Sa1'!UWN835)*860)/10)+('Form Sa1'!UWN814*'Form Sa1'!UWN816/10)-'NF - 5 Power Mix'!UWK21-'NF - 5 Power Mix'!UWK22</f>
        <v>0</v>
      </c>
      <c r="UWL42" s="1046">
        <f>UWL38+((UWL40+'NF - 5 Power Mix'!UWL14+'NF - 5 Power Mix'!UWL15)*860/10)+((('Form Sa1'!UWO835)*860)/10)+('Form Sa1'!UWO814*'Form Sa1'!UWO816/10)-'NF - 5 Power Mix'!UWL21-'NF - 5 Power Mix'!UWL22</f>
        <v>0</v>
      </c>
      <c r="UWM42" s="1046">
        <f>UWM38+((UWM40+'NF - 5 Power Mix'!UWM14+'NF - 5 Power Mix'!UWM15)*860/10)+((('Form Sa1'!UWP835)*860)/10)+('Form Sa1'!UWP814*'Form Sa1'!UWP816/10)-'NF - 5 Power Mix'!UWM21-'NF - 5 Power Mix'!UWM22</f>
        <v>0</v>
      </c>
      <c r="UWN42" s="1046">
        <f>UWN38+((UWN40+'NF - 5 Power Mix'!UWN14+'NF - 5 Power Mix'!UWN15)*860/10)+((('Form Sa1'!UWQ835)*860)/10)+('Form Sa1'!UWQ814*'Form Sa1'!UWQ816/10)-'NF - 5 Power Mix'!UWN21-'NF - 5 Power Mix'!UWN22</f>
        <v>0</v>
      </c>
      <c r="UWO42" s="1046">
        <f>UWO38+((UWO40+'NF - 5 Power Mix'!UWO14+'NF - 5 Power Mix'!UWO15)*860/10)+((('Form Sa1'!UWR835)*860)/10)+('Form Sa1'!UWR814*'Form Sa1'!UWR816/10)-'NF - 5 Power Mix'!UWO21-'NF - 5 Power Mix'!UWO22</f>
        <v>0</v>
      </c>
      <c r="UWP42" s="1046">
        <f>UWP38+((UWP40+'NF - 5 Power Mix'!UWP14+'NF - 5 Power Mix'!UWP15)*860/10)+((('Form Sa1'!UWS835)*860)/10)+('Form Sa1'!UWS814*'Form Sa1'!UWS816/10)-'NF - 5 Power Mix'!UWP21-'NF - 5 Power Mix'!UWP22</f>
        <v>0</v>
      </c>
      <c r="UWQ42" s="1046">
        <f>UWQ38+((UWQ40+'NF - 5 Power Mix'!UWQ14+'NF - 5 Power Mix'!UWQ15)*860/10)+((('Form Sa1'!UWT835)*860)/10)+('Form Sa1'!UWT814*'Form Sa1'!UWT816/10)-'NF - 5 Power Mix'!UWQ21-'NF - 5 Power Mix'!UWQ22</f>
        <v>0</v>
      </c>
      <c r="UWR42" s="1046">
        <f>UWR38+((UWR40+'NF - 5 Power Mix'!UWR14+'NF - 5 Power Mix'!UWR15)*860/10)+((('Form Sa1'!UWU835)*860)/10)+('Form Sa1'!UWU814*'Form Sa1'!UWU816/10)-'NF - 5 Power Mix'!UWR21-'NF - 5 Power Mix'!UWR22</f>
        <v>0</v>
      </c>
      <c r="UWS42" s="1046">
        <f>UWS38+((UWS40+'NF - 5 Power Mix'!UWS14+'NF - 5 Power Mix'!UWS15)*860/10)+((('Form Sa1'!UWV835)*860)/10)+('Form Sa1'!UWV814*'Form Sa1'!UWV816/10)-'NF - 5 Power Mix'!UWS21-'NF - 5 Power Mix'!UWS22</f>
        <v>0</v>
      </c>
      <c r="UWT42" s="1046">
        <f>UWT38+((UWT40+'NF - 5 Power Mix'!UWT14+'NF - 5 Power Mix'!UWT15)*860/10)+((('Form Sa1'!UWW835)*860)/10)+('Form Sa1'!UWW814*'Form Sa1'!UWW816/10)-'NF - 5 Power Mix'!UWT21-'NF - 5 Power Mix'!UWT22</f>
        <v>0</v>
      </c>
      <c r="UWU42" s="1046">
        <f>UWU38+((UWU40+'NF - 5 Power Mix'!UWU14+'NF - 5 Power Mix'!UWU15)*860/10)+((('Form Sa1'!UWX835)*860)/10)+('Form Sa1'!UWX814*'Form Sa1'!UWX816/10)-'NF - 5 Power Mix'!UWU21-'NF - 5 Power Mix'!UWU22</f>
        <v>0</v>
      </c>
      <c r="UWV42" s="1046">
        <f>UWV38+((UWV40+'NF - 5 Power Mix'!UWV14+'NF - 5 Power Mix'!UWV15)*860/10)+((('Form Sa1'!UWY835)*860)/10)+('Form Sa1'!UWY814*'Form Sa1'!UWY816/10)-'NF - 5 Power Mix'!UWV21-'NF - 5 Power Mix'!UWV22</f>
        <v>0</v>
      </c>
      <c r="UWW42" s="1046">
        <f>UWW38+((UWW40+'NF - 5 Power Mix'!UWW14+'NF - 5 Power Mix'!UWW15)*860/10)+((('Form Sa1'!UWZ835)*860)/10)+('Form Sa1'!UWZ814*'Form Sa1'!UWZ816/10)-'NF - 5 Power Mix'!UWW21-'NF - 5 Power Mix'!UWW22</f>
        <v>0</v>
      </c>
      <c r="UWX42" s="1046">
        <f>UWX38+((UWX40+'NF - 5 Power Mix'!UWX14+'NF - 5 Power Mix'!UWX15)*860/10)+((('Form Sa1'!UXA835)*860)/10)+('Form Sa1'!UXA814*'Form Sa1'!UXA816/10)-'NF - 5 Power Mix'!UWX21-'NF - 5 Power Mix'!UWX22</f>
        <v>0</v>
      </c>
      <c r="UWY42" s="1046">
        <f>UWY38+((UWY40+'NF - 5 Power Mix'!UWY14+'NF - 5 Power Mix'!UWY15)*860/10)+((('Form Sa1'!UXB835)*860)/10)+('Form Sa1'!UXB814*'Form Sa1'!UXB816/10)-'NF - 5 Power Mix'!UWY21-'NF - 5 Power Mix'!UWY22</f>
        <v>0</v>
      </c>
      <c r="UWZ42" s="1046">
        <f>UWZ38+((UWZ40+'NF - 5 Power Mix'!UWZ14+'NF - 5 Power Mix'!UWZ15)*860/10)+((('Form Sa1'!UXC835)*860)/10)+('Form Sa1'!UXC814*'Form Sa1'!UXC816/10)-'NF - 5 Power Mix'!UWZ21-'NF - 5 Power Mix'!UWZ22</f>
        <v>0</v>
      </c>
      <c r="UXA42" s="1046">
        <f>UXA38+((UXA40+'NF - 5 Power Mix'!UXA14+'NF - 5 Power Mix'!UXA15)*860/10)+((('Form Sa1'!UXD835)*860)/10)+('Form Sa1'!UXD814*'Form Sa1'!UXD816/10)-'NF - 5 Power Mix'!UXA21-'NF - 5 Power Mix'!UXA22</f>
        <v>0</v>
      </c>
      <c r="UXB42" s="1046">
        <f>UXB38+((UXB40+'NF - 5 Power Mix'!UXB14+'NF - 5 Power Mix'!UXB15)*860/10)+((('Form Sa1'!UXE835)*860)/10)+('Form Sa1'!UXE814*'Form Sa1'!UXE816/10)-'NF - 5 Power Mix'!UXB21-'NF - 5 Power Mix'!UXB22</f>
        <v>0</v>
      </c>
      <c r="UXC42" s="1046">
        <f>UXC38+((UXC40+'NF - 5 Power Mix'!UXC14+'NF - 5 Power Mix'!UXC15)*860/10)+((('Form Sa1'!UXF835)*860)/10)+('Form Sa1'!UXF814*'Form Sa1'!UXF816/10)-'NF - 5 Power Mix'!UXC21-'NF - 5 Power Mix'!UXC22</f>
        <v>0</v>
      </c>
      <c r="UXD42" s="1046">
        <f>UXD38+((UXD40+'NF - 5 Power Mix'!UXD14+'NF - 5 Power Mix'!UXD15)*860/10)+((('Form Sa1'!UXG835)*860)/10)+('Form Sa1'!UXG814*'Form Sa1'!UXG816/10)-'NF - 5 Power Mix'!UXD21-'NF - 5 Power Mix'!UXD22</f>
        <v>0</v>
      </c>
      <c r="UXE42" s="1046">
        <f>UXE38+((UXE40+'NF - 5 Power Mix'!UXE14+'NF - 5 Power Mix'!UXE15)*860/10)+((('Form Sa1'!UXH835)*860)/10)+('Form Sa1'!UXH814*'Form Sa1'!UXH816/10)-'NF - 5 Power Mix'!UXE21-'NF - 5 Power Mix'!UXE22</f>
        <v>0</v>
      </c>
      <c r="UXF42" s="1046">
        <f>UXF38+((UXF40+'NF - 5 Power Mix'!UXF14+'NF - 5 Power Mix'!UXF15)*860/10)+((('Form Sa1'!UXI835)*860)/10)+('Form Sa1'!UXI814*'Form Sa1'!UXI816/10)-'NF - 5 Power Mix'!UXF21-'NF - 5 Power Mix'!UXF22</f>
        <v>0</v>
      </c>
      <c r="UXG42" s="1046">
        <f>UXG38+((UXG40+'NF - 5 Power Mix'!UXG14+'NF - 5 Power Mix'!UXG15)*860/10)+((('Form Sa1'!UXJ835)*860)/10)+('Form Sa1'!UXJ814*'Form Sa1'!UXJ816/10)-'NF - 5 Power Mix'!UXG21-'NF - 5 Power Mix'!UXG22</f>
        <v>0</v>
      </c>
      <c r="UXH42" s="1046">
        <f>UXH38+((UXH40+'NF - 5 Power Mix'!UXH14+'NF - 5 Power Mix'!UXH15)*860/10)+((('Form Sa1'!UXK835)*860)/10)+('Form Sa1'!UXK814*'Form Sa1'!UXK816/10)-'NF - 5 Power Mix'!UXH21-'NF - 5 Power Mix'!UXH22</f>
        <v>0</v>
      </c>
      <c r="UXI42" s="1046">
        <f>UXI38+((UXI40+'NF - 5 Power Mix'!UXI14+'NF - 5 Power Mix'!UXI15)*860/10)+((('Form Sa1'!UXL835)*860)/10)+('Form Sa1'!UXL814*'Form Sa1'!UXL816/10)-'NF - 5 Power Mix'!UXI21-'NF - 5 Power Mix'!UXI22</f>
        <v>0</v>
      </c>
      <c r="UXJ42" s="1046">
        <f>UXJ38+((UXJ40+'NF - 5 Power Mix'!UXJ14+'NF - 5 Power Mix'!UXJ15)*860/10)+((('Form Sa1'!UXM835)*860)/10)+('Form Sa1'!UXM814*'Form Sa1'!UXM816/10)-'NF - 5 Power Mix'!UXJ21-'NF - 5 Power Mix'!UXJ22</f>
        <v>0</v>
      </c>
      <c r="UXK42" s="1046">
        <f>UXK38+((UXK40+'NF - 5 Power Mix'!UXK14+'NF - 5 Power Mix'!UXK15)*860/10)+((('Form Sa1'!UXN835)*860)/10)+('Form Sa1'!UXN814*'Form Sa1'!UXN816/10)-'NF - 5 Power Mix'!UXK21-'NF - 5 Power Mix'!UXK22</f>
        <v>0</v>
      </c>
      <c r="UXL42" s="1046">
        <f>UXL38+((UXL40+'NF - 5 Power Mix'!UXL14+'NF - 5 Power Mix'!UXL15)*860/10)+((('Form Sa1'!UXO835)*860)/10)+('Form Sa1'!UXO814*'Form Sa1'!UXO816/10)-'NF - 5 Power Mix'!UXL21-'NF - 5 Power Mix'!UXL22</f>
        <v>0</v>
      </c>
      <c r="UXM42" s="1046">
        <f>UXM38+((UXM40+'NF - 5 Power Mix'!UXM14+'NF - 5 Power Mix'!UXM15)*860/10)+((('Form Sa1'!UXP835)*860)/10)+('Form Sa1'!UXP814*'Form Sa1'!UXP816/10)-'NF - 5 Power Mix'!UXM21-'NF - 5 Power Mix'!UXM22</f>
        <v>0</v>
      </c>
      <c r="UXN42" s="1046">
        <f>UXN38+((UXN40+'NF - 5 Power Mix'!UXN14+'NF - 5 Power Mix'!UXN15)*860/10)+((('Form Sa1'!UXQ835)*860)/10)+('Form Sa1'!UXQ814*'Form Sa1'!UXQ816/10)-'NF - 5 Power Mix'!UXN21-'NF - 5 Power Mix'!UXN22</f>
        <v>0</v>
      </c>
      <c r="UXO42" s="1046">
        <f>UXO38+((UXO40+'NF - 5 Power Mix'!UXO14+'NF - 5 Power Mix'!UXO15)*860/10)+((('Form Sa1'!UXR835)*860)/10)+('Form Sa1'!UXR814*'Form Sa1'!UXR816/10)-'NF - 5 Power Mix'!UXO21-'NF - 5 Power Mix'!UXO22</f>
        <v>0</v>
      </c>
      <c r="UXP42" s="1046">
        <f>UXP38+((UXP40+'NF - 5 Power Mix'!UXP14+'NF - 5 Power Mix'!UXP15)*860/10)+((('Form Sa1'!UXS835)*860)/10)+('Form Sa1'!UXS814*'Form Sa1'!UXS816/10)-'NF - 5 Power Mix'!UXP21-'NF - 5 Power Mix'!UXP22</f>
        <v>0</v>
      </c>
      <c r="UXQ42" s="1046">
        <f>UXQ38+((UXQ40+'NF - 5 Power Mix'!UXQ14+'NF - 5 Power Mix'!UXQ15)*860/10)+((('Form Sa1'!UXT835)*860)/10)+('Form Sa1'!UXT814*'Form Sa1'!UXT816/10)-'NF - 5 Power Mix'!UXQ21-'NF - 5 Power Mix'!UXQ22</f>
        <v>0</v>
      </c>
      <c r="UXR42" s="1046">
        <f>UXR38+((UXR40+'NF - 5 Power Mix'!UXR14+'NF - 5 Power Mix'!UXR15)*860/10)+((('Form Sa1'!UXU835)*860)/10)+('Form Sa1'!UXU814*'Form Sa1'!UXU816/10)-'NF - 5 Power Mix'!UXR21-'NF - 5 Power Mix'!UXR22</f>
        <v>0</v>
      </c>
      <c r="UXS42" s="1046">
        <f>UXS38+((UXS40+'NF - 5 Power Mix'!UXS14+'NF - 5 Power Mix'!UXS15)*860/10)+((('Form Sa1'!UXV835)*860)/10)+('Form Sa1'!UXV814*'Form Sa1'!UXV816/10)-'NF - 5 Power Mix'!UXS21-'NF - 5 Power Mix'!UXS22</f>
        <v>0</v>
      </c>
      <c r="UXT42" s="1046">
        <f>UXT38+((UXT40+'NF - 5 Power Mix'!UXT14+'NF - 5 Power Mix'!UXT15)*860/10)+((('Form Sa1'!UXW835)*860)/10)+('Form Sa1'!UXW814*'Form Sa1'!UXW816/10)-'NF - 5 Power Mix'!UXT21-'NF - 5 Power Mix'!UXT22</f>
        <v>0</v>
      </c>
      <c r="UXU42" s="1046">
        <f>UXU38+((UXU40+'NF - 5 Power Mix'!UXU14+'NF - 5 Power Mix'!UXU15)*860/10)+((('Form Sa1'!UXX835)*860)/10)+('Form Sa1'!UXX814*'Form Sa1'!UXX816/10)-'NF - 5 Power Mix'!UXU21-'NF - 5 Power Mix'!UXU22</f>
        <v>0</v>
      </c>
      <c r="UXV42" s="1046">
        <f>UXV38+((UXV40+'NF - 5 Power Mix'!UXV14+'NF - 5 Power Mix'!UXV15)*860/10)+((('Form Sa1'!UXY835)*860)/10)+('Form Sa1'!UXY814*'Form Sa1'!UXY816/10)-'NF - 5 Power Mix'!UXV21-'NF - 5 Power Mix'!UXV22</f>
        <v>0</v>
      </c>
      <c r="UXW42" s="1046">
        <f>UXW38+((UXW40+'NF - 5 Power Mix'!UXW14+'NF - 5 Power Mix'!UXW15)*860/10)+((('Form Sa1'!UXZ835)*860)/10)+('Form Sa1'!UXZ814*'Form Sa1'!UXZ816/10)-'NF - 5 Power Mix'!UXW21-'NF - 5 Power Mix'!UXW22</f>
        <v>0</v>
      </c>
      <c r="UXX42" s="1046">
        <f>UXX38+((UXX40+'NF - 5 Power Mix'!UXX14+'NF - 5 Power Mix'!UXX15)*860/10)+((('Form Sa1'!UYA835)*860)/10)+('Form Sa1'!UYA814*'Form Sa1'!UYA816/10)-'NF - 5 Power Mix'!UXX21-'NF - 5 Power Mix'!UXX22</f>
        <v>0</v>
      </c>
      <c r="UXY42" s="1046">
        <f>UXY38+((UXY40+'NF - 5 Power Mix'!UXY14+'NF - 5 Power Mix'!UXY15)*860/10)+((('Form Sa1'!UYB835)*860)/10)+('Form Sa1'!UYB814*'Form Sa1'!UYB816/10)-'NF - 5 Power Mix'!UXY21-'NF - 5 Power Mix'!UXY22</f>
        <v>0</v>
      </c>
      <c r="UXZ42" s="1046">
        <f>UXZ38+((UXZ40+'NF - 5 Power Mix'!UXZ14+'NF - 5 Power Mix'!UXZ15)*860/10)+((('Form Sa1'!UYC835)*860)/10)+('Form Sa1'!UYC814*'Form Sa1'!UYC816/10)-'NF - 5 Power Mix'!UXZ21-'NF - 5 Power Mix'!UXZ22</f>
        <v>0</v>
      </c>
      <c r="UYA42" s="1046">
        <f>UYA38+((UYA40+'NF - 5 Power Mix'!UYA14+'NF - 5 Power Mix'!UYA15)*860/10)+((('Form Sa1'!UYD835)*860)/10)+('Form Sa1'!UYD814*'Form Sa1'!UYD816/10)-'NF - 5 Power Mix'!UYA21-'NF - 5 Power Mix'!UYA22</f>
        <v>0</v>
      </c>
      <c r="UYB42" s="1046">
        <f>UYB38+((UYB40+'NF - 5 Power Mix'!UYB14+'NF - 5 Power Mix'!UYB15)*860/10)+((('Form Sa1'!UYE835)*860)/10)+('Form Sa1'!UYE814*'Form Sa1'!UYE816/10)-'NF - 5 Power Mix'!UYB21-'NF - 5 Power Mix'!UYB22</f>
        <v>0</v>
      </c>
      <c r="UYC42" s="1046">
        <f>UYC38+((UYC40+'NF - 5 Power Mix'!UYC14+'NF - 5 Power Mix'!UYC15)*860/10)+((('Form Sa1'!UYF835)*860)/10)+('Form Sa1'!UYF814*'Form Sa1'!UYF816/10)-'NF - 5 Power Mix'!UYC21-'NF - 5 Power Mix'!UYC22</f>
        <v>0</v>
      </c>
      <c r="UYD42" s="1046">
        <f>UYD38+((UYD40+'NF - 5 Power Mix'!UYD14+'NF - 5 Power Mix'!UYD15)*860/10)+((('Form Sa1'!UYG835)*860)/10)+('Form Sa1'!UYG814*'Form Sa1'!UYG816/10)-'NF - 5 Power Mix'!UYD21-'NF - 5 Power Mix'!UYD22</f>
        <v>0</v>
      </c>
      <c r="UYE42" s="1046">
        <f>UYE38+((UYE40+'NF - 5 Power Mix'!UYE14+'NF - 5 Power Mix'!UYE15)*860/10)+((('Form Sa1'!UYH835)*860)/10)+('Form Sa1'!UYH814*'Form Sa1'!UYH816/10)-'NF - 5 Power Mix'!UYE21-'NF - 5 Power Mix'!UYE22</f>
        <v>0</v>
      </c>
      <c r="UYF42" s="1046">
        <f>UYF38+((UYF40+'NF - 5 Power Mix'!UYF14+'NF - 5 Power Mix'!UYF15)*860/10)+((('Form Sa1'!UYI835)*860)/10)+('Form Sa1'!UYI814*'Form Sa1'!UYI816/10)-'NF - 5 Power Mix'!UYF21-'NF - 5 Power Mix'!UYF22</f>
        <v>0</v>
      </c>
      <c r="UYG42" s="1046">
        <f>UYG38+((UYG40+'NF - 5 Power Mix'!UYG14+'NF - 5 Power Mix'!UYG15)*860/10)+((('Form Sa1'!UYJ835)*860)/10)+('Form Sa1'!UYJ814*'Form Sa1'!UYJ816/10)-'NF - 5 Power Mix'!UYG21-'NF - 5 Power Mix'!UYG22</f>
        <v>0</v>
      </c>
      <c r="UYH42" s="1046">
        <f>UYH38+((UYH40+'NF - 5 Power Mix'!UYH14+'NF - 5 Power Mix'!UYH15)*860/10)+((('Form Sa1'!UYK835)*860)/10)+('Form Sa1'!UYK814*'Form Sa1'!UYK816/10)-'NF - 5 Power Mix'!UYH21-'NF - 5 Power Mix'!UYH22</f>
        <v>0</v>
      </c>
      <c r="UYI42" s="1046">
        <f>UYI38+((UYI40+'NF - 5 Power Mix'!UYI14+'NF - 5 Power Mix'!UYI15)*860/10)+((('Form Sa1'!UYL835)*860)/10)+('Form Sa1'!UYL814*'Form Sa1'!UYL816/10)-'NF - 5 Power Mix'!UYI21-'NF - 5 Power Mix'!UYI22</f>
        <v>0</v>
      </c>
      <c r="UYJ42" s="1046">
        <f>UYJ38+((UYJ40+'NF - 5 Power Mix'!UYJ14+'NF - 5 Power Mix'!UYJ15)*860/10)+((('Form Sa1'!UYM835)*860)/10)+('Form Sa1'!UYM814*'Form Sa1'!UYM816/10)-'NF - 5 Power Mix'!UYJ21-'NF - 5 Power Mix'!UYJ22</f>
        <v>0</v>
      </c>
      <c r="UYK42" s="1046">
        <f>UYK38+((UYK40+'NF - 5 Power Mix'!UYK14+'NF - 5 Power Mix'!UYK15)*860/10)+((('Form Sa1'!UYN835)*860)/10)+('Form Sa1'!UYN814*'Form Sa1'!UYN816/10)-'NF - 5 Power Mix'!UYK21-'NF - 5 Power Mix'!UYK22</f>
        <v>0</v>
      </c>
      <c r="UYL42" s="1046">
        <f>UYL38+((UYL40+'NF - 5 Power Mix'!UYL14+'NF - 5 Power Mix'!UYL15)*860/10)+((('Form Sa1'!UYO835)*860)/10)+('Form Sa1'!UYO814*'Form Sa1'!UYO816/10)-'NF - 5 Power Mix'!UYL21-'NF - 5 Power Mix'!UYL22</f>
        <v>0</v>
      </c>
      <c r="UYM42" s="1046">
        <f>UYM38+((UYM40+'NF - 5 Power Mix'!UYM14+'NF - 5 Power Mix'!UYM15)*860/10)+((('Form Sa1'!UYP835)*860)/10)+('Form Sa1'!UYP814*'Form Sa1'!UYP816/10)-'NF - 5 Power Mix'!UYM21-'NF - 5 Power Mix'!UYM22</f>
        <v>0</v>
      </c>
      <c r="UYN42" s="1046">
        <f>UYN38+((UYN40+'NF - 5 Power Mix'!UYN14+'NF - 5 Power Mix'!UYN15)*860/10)+((('Form Sa1'!UYQ835)*860)/10)+('Form Sa1'!UYQ814*'Form Sa1'!UYQ816/10)-'NF - 5 Power Mix'!UYN21-'NF - 5 Power Mix'!UYN22</f>
        <v>0</v>
      </c>
      <c r="UYO42" s="1046">
        <f>UYO38+((UYO40+'NF - 5 Power Mix'!UYO14+'NF - 5 Power Mix'!UYO15)*860/10)+((('Form Sa1'!UYR835)*860)/10)+('Form Sa1'!UYR814*'Form Sa1'!UYR816/10)-'NF - 5 Power Mix'!UYO21-'NF - 5 Power Mix'!UYO22</f>
        <v>0</v>
      </c>
      <c r="UYP42" s="1046">
        <f>UYP38+((UYP40+'NF - 5 Power Mix'!UYP14+'NF - 5 Power Mix'!UYP15)*860/10)+((('Form Sa1'!UYS835)*860)/10)+('Form Sa1'!UYS814*'Form Sa1'!UYS816/10)-'NF - 5 Power Mix'!UYP21-'NF - 5 Power Mix'!UYP22</f>
        <v>0</v>
      </c>
      <c r="UYQ42" s="1046">
        <f>UYQ38+((UYQ40+'NF - 5 Power Mix'!UYQ14+'NF - 5 Power Mix'!UYQ15)*860/10)+((('Form Sa1'!UYT835)*860)/10)+('Form Sa1'!UYT814*'Form Sa1'!UYT816/10)-'NF - 5 Power Mix'!UYQ21-'NF - 5 Power Mix'!UYQ22</f>
        <v>0</v>
      </c>
      <c r="UYR42" s="1046">
        <f>UYR38+((UYR40+'NF - 5 Power Mix'!UYR14+'NF - 5 Power Mix'!UYR15)*860/10)+((('Form Sa1'!UYU835)*860)/10)+('Form Sa1'!UYU814*'Form Sa1'!UYU816/10)-'NF - 5 Power Mix'!UYR21-'NF - 5 Power Mix'!UYR22</f>
        <v>0</v>
      </c>
      <c r="UYS42" s="1046">
        <f>UYS38+((UYS40+'NF - 5 Power Mix'!UYS14+'NF - 5 Power Mix'!UYS15)*860/10)+((('Form Sa1'!UYV835)*860)/10)+('Form Sa1'!UYV814*'Form Sa1'!UYV816/10)-'NF - 5 Power Mix'!UYS21-'NF - 5 Power Mix'!UYS22</f>
        <v>0</v>
      </c>
      <c r="UYT42" s="1046">
        <f>UYT38+((UYT40+'NF - 5 Power Mix'!UYT14+'NF - 5 Power Mix'!UYT15)*860/10)+((('Form Sa1'!UYW835)*860)/10)+('Form Sa1'!UYW814*'Form Sa1'!UYW816/10)-'NF - 5 Power Mix'!UYT21-'NF - 5 Power Mix'!UYT22</f>
        <v>0</v>
      </c>
      <c r="UYU42" s="1046">
        <f>UYU38+((UYU40+'NF - 5 Power Mix'!UYU14+'NF - 5 Power Mix'!UYU15)*860/10)+((('Form Sa1'!UYX835)*860)/10)+('Form Sa1'!UYX814*'Form Sa1'!UYX816/10)-'NF - 5 Power Mix'!UYU21-'NF - 5 Power Mix'!UYU22</f>
        <v>0</v>
      </c>
      <c r="UYV42" s="1046">
        <f>UYV38+((UYV40+'NF - 5 Power Mix'!UYV14+'NF - 5 Power Mix'!UYV15)*860/10)+((('Form Sa1'!UYY835)*860)/10)+('Form Sa1'!UYY814*'Form Sa1'!UYY816/10)-'NF - 5 Power Mix'!UYV21-'NF - 5 Power Mix'!UYV22</f>
        <v>0</v>
      </c>
      <c r="UYW42" s="1046">
        <f>UYW38+((UYW40+'NF - 5 Power Mix'!UYW14+'NF - 5 Power Mix'!UYW15)*860/10)+((('Form Sa1'!UYZ835)*860)/10)+('Form Sa1'!UYZ814*'Form Sa1'!UYZ816/10)-'NF - 5 Power Mix'!UYW21-'NF - 5 Power Mix'!UYW22</f>
        <v>0</v>
      </c>
      <c r="UYX42" s="1046">
        <f>UYX38+((UYX40+'NF - 5 Power Mix'!UYX14+'NF - 5 Power Mix'!UYX15)*860/10)+((('Form Sa1'!UZA835)*860)/10)+('Form Sa1'!UZA814*'Form Sa1'!UZA816/10)-'NF - 5 Power Mix'!UYX21-'NF - 5 Power Mix'!UYX22</f>
        <v>0</v>
      </c>
      <c r="UYY42" s="1046">
        <f>UYY38+((UYY40+'NF - 5 Power Mix'!UYY14+'NF - 5 Power Mix'!UYY15)*860/10)+((('Form Sa1'!UZB835)*860)/10)+('Form Sa1'!UZB814*'Form Sa1'!UZB816/10)-'NF - 5 Power Mix'!UYY21-'NF - 5 Power Mix'!UYY22</f>
        <v>0</v>
      </c>
      <c r="UYZ42" s="1046">
        <f>UYZ38+((UYZ40+'NF - 5 Power Mix'!UYZ14+'NF - 5 Power Mix'!UYZ15)*860/10)+((('Form Sa1'!UZC835)*860)/10)+('Form Sa1'!UZC814*'Form Sa1'!UZC816/10)-'NF - 5 Power Mix'!UYZ21-'NF - 5 Power Mix'!UYZ22</f>
        <v>0</v>
      </c>
      <c r="UZA42" s="1046">
        <f>UZA38+((UZA40+'NF - 5 Power Mix'!UZA14+'NF - 5 Power Mix'!UZA15)*860/10)+((('Form Sa1'!UZD835)*860)/10)+('Form Sa1'!UZD814*'Form Sa1'!UZD816/10)-'NF - 5 Power Mix'!UZA21-'NF - 5 Power Mix'!UZA22</f>
        <v>0</v>
      </c>
      <c r="UZB42" s="1046">
        <f>UZB38+((UZB40+'NF - 5 Power Mix'!UZB14+'NF - 5 Power Mix'!UZB15)*860/10)+((('Form Sa1'!UZE835)*860)/10)+('Form Sa1'!UZE814*'Form Sa1'!UZE816/10)-'NF - 5 Power Mix'!UZB21-'NF - 5 Power Mix'!UZB22</f>
        <v>0</v>
      </c>
      <c r="UZC42" s="1046">
        <f>UZC38+((UZC40+'NF - 5 Power Mix'!UZC14+'NF - 5 Power Mix'!UZC15)*860/10)+((('Form Sa1'!UZF835)*860)/10)+('Form Sa1'!UZF814*'Form Sa1'!UZF816/10)-'NF - 5 Power Mix'!UZC21-'NF - 5 Power Mix'!UZC22</f>
        <v>0</v>
      </c>
      <c r="UZD42" s="1046">
        <f>UZD38+((UZD40+'NF - 5 Power Mix'!UZD14+'NF - 5 Power Mix'!UZD15)*860/10)+((('Form Sa1'!UZG835)*860)/10)+('Form Sa1'!UZG814*'Form Sa1'!UZG816/10)-'NF - 5 Power Mix'!UZD21-'NF - 5 Power Mix'!UZD22</f>
        <v>0</v>
      </c>
      <c r="UZE42" s="1046">
        <f>UZE38+((UZE40+'NF - 5 Power Mix'!UZE14+'NF - 5 Power Mix'!UZE15)*860/10)+((('Form Sa1'!UZH835)*860)/10)+('Form Sa1'!UZH814*'Form Sa1'!UZH816/10)-'NF - 5 Power Mix'!UZE21-'NF - 5 Power Mix'!UZE22</f>
        <v>0</v>
      </c>
      <c r="UZF42" s="1046">
        <f>UZF38+((UZF40+'NF - 5 Power Mix'!UZF14+'NF - 5 Power Mix'!UZF15)*860/10)+((('Form Sa1'!UZI835)*860)/10)+('Form Sa1'!UZI814*'Form Sa1'!UZI816/10)-'NF - 5 Power Mix'!UZF21-'NF - 5 Power Mix'!UZF22</f>
        <v>0</v>
      </c>
      <c r="UZG42" s="1046">
        <f>UZG38+((UZG40+'NF - 5 Power Mix'!UZG14+'NF - 5 Power Mix'!UZG15)*860/10)+((('Form Sa1'!UZJ835)*860)/10)+('Form Sa1'!UZJ814*'Form Sa1'!UZJ816/10)-'NF - 5 Power Mix'!UZG21-'NF - 5 Power Mix'!UZG22</f>
        <v>0</v>
      </c>
      <c r="UZH42" s="1046">
        <f>UZH38+((UZH40+'NF - 5 Power Mix'!UZH14+'NF - 5 Power Mix'!UZH15)*860/10)+((('Form Sa1'!UZK835)*860)/10)+('Form Sa1'!UZK814*'Form Sa1'!UZK816/10)-'NF - 5 Power Mix'!UZH21-'NF - 5 Power Mix'!UZH22</f>
        <v>0</v>
      </c>
      <c r="UZI42" s="1046">
        <f>UZI38+((UZI40+'NF - 5 Power Mix'!UZI14+'NF - 5 Power Mix'!UZI15)*860/10)+((('Form Sa1'!UZL835)*860)/10)+('Form Sa1'!UZL814*'Form Sa1'!UZL816/10)-'NF - 5 Power Mix'!UZI21-'NF - 5 Power Mix'!UZI22</f>
        <v>0</v>
      </c>
      <c r="UZJ42" s="1046">
        <f>UZJ38+((UZJ40+'NF - 5 Power Mix'!UZJ14+'NF - 5 Power Mix'!UZJ15)*860/10)+((('Form Sa1'!UZM835)*860)/10)+('Form Sa1'!UZM814*'Form Sa1'!UZM816/10)-'NF - 5 Power Mix'!UZJ21-'NF - 5 Power Mix'!UZJ22</f>
        <v>0</v>
      </c>
      <c r="UZK42" s="1046">
        <f>UZK38+((UZK40+'NF - 5 Power Mix'!UZK14+'NF - 5 Power Mix'!UZK15)*860/10)+((('Form Sa1'!UZN835)*860)/10)+('Form Sa1'!UZN814*'Form Sa1'!UZN816/10)-'NF - 5 Power Mix'!UZK21-'NF - 5 Power Mix'!UZK22</f>
        <v>0</v>
      </c>
      <c r="UZL42" s="1046">
        <f>UZL38+((UZL40+'NF - 5 Power Mix'!UZL14+'NF - 5 Power Mix'!UZL15)*860/10)+((('Form Sa1'!UZO835)*860)/10)+('Form Sa1'!UZO814*'Form Sa1'!UZO816/10)-'NF - 5 Power Mix'!UZL21-'NF - 5 Power Mix'!UZL22</f>
        <v>0</v>
      </c>
      <c r="UZM42" s="1046">
        <f>UZM38+((UZM40+'NF - 5 Power Mix'!UZM14+'NF - 5 Power Mix'!UZM15)*860/10)+((('Form Sa1'!UZP835)*860)/10)+('Form Sa1'!UZP814*'Form Sa1'!UZP816/10)-'NF - 5 Power Mix'!UZM21-'NF - 5 Power Mix'!UZM22</f>
        <v>0</v>
      </c>
      <c r="UZN42" s="1046">
        <f>UZN38+((UZN40+'NF - 5 Power Mix'!UZN14+'NF - 5 Power Mix'!UZN15)*860/10)+((('Form Sa1'!UZQ835)*860)/10)+('Form Sa1'!UZQ814*'Form Sa1'!UZQ816/10)-'NF - 5 Power Mix'!UZN21-'NF - 5 Power Mix'!UZN22</f>
        <v>0</v>
      </c>
      <c r="UZO42" s="1046">
        <f>UZO38+((UZO40+'NF - 5 Power Mix'!UZO14+'NF - 5 Power Mix'!UZO15)*860/10)+((('Form Sa1'!UZR835)*860)/10)+('Form Sa1'!UZR814*'Form Sa1'!UZR816/10)-'NF - 5 Power Mix'!UZO21-'NF - 5 Power Mix'!UZO22</f>
        <v>0</v>
      </c>
      <c r="UZP42" s="1046">
        <f>UZP38+((UZP40+'NF - 5 Power Mix'!UZP14+'NF - 5 Power Mix'!UZP15)*860/10)+((('Form Sa1'!UZS835)*860)/10)+('Form Sa1'!UZS814*'Form Sa1'!UZS816/10)-'NF - 5 Power Mix'!UZP21-'NF - 5 Power Mix'!UZP22</f>
        <v>0</v>
      </c>
      <c r="UZQ42" s="1046">
        <f>UZQ38+((UZQ40+'NF - 5 Power Mix'!UZQ14+'NF - 5 Power Mix'!UZQ15)*860/10)+((('Form Sa1'!UZT835)*860)/10)+('Form Sa1'!UZT814*'Form Sa1'!UZT816/10)-'NF - 5 Power Mix'!UZQ21-'NF - 5 Power Mix'!UZQ22</f>
        <v>0</v>
      </c>
      <c r="UZR42" s="1046">
        <f>UZR38+((UZR40+'NF - 5 Power Mix'!UZR14+'NF - 5 Power Mix'!UZR15)*860/10)+((('Form Sa1'!UZU835)*860)/10)+('Form Sa1'!UZU814*'Form Sa1'!UZU816/10)-'NF - 5 Power Mix'!UZR21-'NF - 5 Power Mix'!UZR22</f>
        <v>0</v>
      </c>
      <c r="UZS42" s="1046">
        <f>UZS38+((UZS40+'NF - 5 Power Mix'!UZS14+'NF - 5 Power Mix'!UZS15)*860/10)+((('Form Sa1'!UZV835)*860)/10)+('Form Sa1'!UZV814*'Form Sa1'!UZV816/10)-'NF - 5 Power Mix'!UZS21-'NF - 5 Power Mix'!UZS22</f>
        <v>0</v>
      </c>
      <c r="UZT42" s="1046">
        <f>UZT38+((UZT40+'NF - 5 Power Mix'!UZT14+'NF - 5 Power Mix'!UZT15)*860/10)+((('Form Sa1'!UZW835)*860)/10)+('Form Sa1'!UZW814*'Form Sa1'!UZW816/10)-'NF - 5 Power Mix'!UZT21-'NF - 5 Power Mix'!UZT22</f>
        <v>0</v>
      </c>
      <c r="UZU42" s="1046">
        <f>UZU38+((UZU40+'NF - 5 Power Mix'!UZU14+'NF - 5 Power Mix'!UZU15)*860/10)+((('Form Sa1'!UZX835)*860)/10)+('Form Sa1'!UZX814*'Form Sa1'!UZX816/10)-'NF - 5 Power Mix'!UZU21-'NF - 5 Power Mix'!UZU22</f>
        <v>0</v>
      </c>
      <c r="UZV42" s="1046">
        <f>UZV38+((UZV40+'NF - 5 Power Mix'!UZV14+'NF - 5 Power Mix'!UZV15)*860/10)+((('Form Sa1'!UZY835)*860)/10)+('Form Sa1'!UZY814*'Form Sa1'!UZY816/10)-'NF - 5 Power Mix'!UZV21-'NF - 5 Power Mix'!UZV22</f>
        <v>0</v>
      </c>
      <c r="UZW42" s="1046">
        <f>UZW38+((UZW40+'NF - 5 Power Mix'!UZW14+'NF - 5 Power Mix'!UZW15)*860/10)+((('Form Sa1'!UZZ835)*860)/10)+('Form Sa1'!UZZ814*'Form Sa1'!UZZ816/10)-'NF - 5 Power Mix'!UZW21-'NF - 5 Power Mix'!UZW22</f>
        <v>0</v>
      </c>
      <c r="UZX42" s="1046">
        <f>UZX38+((UZX40+'NF - 5 Power Mix'!UZX14+'NF - 5 Power Mix'!UZX15)*860/10)+((('Form Sa1'!VAA835)*860)/10)+('Form Sa1'!VAA814*'Form Sa1'!VAA816/10)-'NF - 5 Power Mix'!UZX21-'NF - 5 Power Mix'!UZX22</f>
        <v>0</v>
      </c>
      <c r="UZY42" s="1046">
        <f>UZY38+((UZY40+'NF - 5 Power Mix'!UZY14+'NF - 5 Power Mix'!UZY15)*860/10)+((('Form Sa1'!VAB835)*860)/10)+('Form Sa1'!VAB814*'Form Sa1'!VAB816/10)-'NF - 5 Power Mix'!UZY21-'NF - 5 Power Mix'!UZY22</f>
        <v>0</v>
      </c>
      <c r="UZZ42" s="1046">
        <f>UZZ38+((UZZ40+'NF - 5 Power Mix'!UZZ14+'NF - 5 Power Mix'!UZZ15)*860/10)+((('Form Sa1'!VAC835)*860)/10)+('Form Sa1'!VAC814*'Form Sa1'!VAC816/10)-'NF - 5 Power Mix'!UZZ21-'NF - 5 Power Mix'!UZZ22</f>
        <v>0</v>
      </c>
      <c r="VAA42" s="1046">
        <f>VAA38+((VAA40+'NF - 5 Power Mix'!VAA14+'NF - 5 Power Mix'!VAA15)*860/10)+((('Form Sa1'!VAD835)*860)/10)+('Form Sa1'!VAD814*'Form Sa1'!VAD816/10)-'NF - 5 Power Mix'!VAA21-'NF - 5 Power Mix'!VAA22</f>
        <v>0</v>
      </c>
      <c r="VAB42" s="1046">
        <f>VAB38+((VAB40+'NF - 5 Power Mix'!VAB14+'NF - 5 Power Mix'!VAB15)*860/10)+((('Form Sa1'!VAE835)*860)/10)+('Form Sa1'!VAE814*'Form Sa1'!VAE816/10)-'NF - 5 Power Mix'!VAB21-'NF - 5 Power Mix'!VAB22</f>
        <v>0</v>
      </c>
      <c r="VAC42" s="1046">
        <f>VAC38+((VAC40+'NF - 5 Power Mix'!VAC14+'NF - 5 Power Mix'!VAC15)*860/10)+((('Form Sa1'!VAF835)*860)/10)+('Form Sa1'!VAF814*'Form Sa1'!VAF816/10)-'NF - 5 Power Mix'!VAC21-'NF - 5 Power Mix'!VAC22</f>
        <v>0</v>
      </c>
      <c r="VAD42" s="1046">
        <f>VAD38+((VAD40+'NF - 5 Power Mix'!VAD14+'NF - 5 Power Mix'!VAD15)*860/10)+((('Form Sa1'!VAG835)*860)/10)+('Form Sa1'!VAG814*'Form Sa1'!VAG816/10)-'NF - 5 Power Mix'!VAD21-'NF - 5 Power Mix'!VAD22</f>
        <v>0</v>
      </c>
      <c r="VAE42" s="1046">
        <f>VAE38+((VAE40+'NF - 5 Power Mix'!VAE14+'NF - 5 Power Mix'!VAE15)*860/10)+((('Form Sa1'!VAH835)*860)/10)+('Form Sa1'!VAH814*'Form Sa1'!VAH816/10)-'NF - 5 Power Mix'!VAE21-'NF - 5 Power Mix'!VAE22</f>
        <v>0</v>
      </c>
      <c r="VAF42" s="1046">
        <f>VAF38+((VAF40+'NF - 5 Power Mix'!VAF14+'NF - 5 Power Mix'!VAF15)*860/10)+((('Form Sa1'!VAI835)*860)/10)+('Form Sa1'!VAI814*'Form Sa1'!VAI816/10)-'NF - 5 Power Mix'!VAF21-'NF - 5 Power Mix'!VAF22</f>
        <v>0</v>
      </c>
      <c r="VAG42" s="1046">
        <f>VAG38+((VAG40+'NF - 5 Power Mix'!VAG14+'NF - 5 Power Mix'!VAG15)*860/10)+((('Form Sa1'!VAJ835)*860)/10)+('Form Sa1'!VAJ814*'Form Sa1'!VAJ816/10)-'NF - 5 Power Mix'!VAG21-'NF - 5 Power Mix'!VAG22</f>
        <v>0</v>
      </c>
      <c r="VAH42" s="1046">
        <f>VAH38+((VAH40+'NF - 5 Power Mix'!VAH14+'NF - 5 Power Mix'!VAH15)*860/10)+((('Form Sa1'!VAK835)*860)/10)+('Form Sa1'!VAK814*'Form Sa1'!VAK816/10)-'NF - 5 Power Mix'!VAH21-'NF - 5 Power Mix'!VAH22</f>
        <v>0</v>
      </c>
      <c r="VAI42" s="1046">
        <f>VAI38+((VAI40+'NF - 5 Power Mix'!VAI14+'NF - 5 Power Mix'!VAI15)*860/10)+((('Form Sa1'!VAL835)*860)/10)+('Form Sa1'!VAL814*'Form Sa1'!VAL816/10)-'NF - 5 Power Mix'!VAI21-'NF - 5 Power Mix'!VAI22</f>
        <v>0</v>
      </c>
      <c r="VAJ42" s="1046">
        <f>VAJ38+((VAJ40+'NF - 5 Power Mix'!VAJ14+'NF - 5 Power Mix'!VAJ15)*860/10)+((('Form Sa1'!VAM835)*860)/10)+('Form Sa1'!VAM814*'Form Sa1'!VAM816/10)-'NF - 5 Power Mix'!VAJ21-'NF - 5 Power Mix'!VAJ22</f>
        <v>0</v>
      </c>
      <c r="VAK42" s="1046">
        <f>VAK38+((VAK40+'NF - 5 Power Mix'!VAK14+'NF - 5 Power Mix'!VAK15)*860/10)+((('Form Sa1'!VAN835)*860)/10)+('Form Sa1'!VAN814*'Form Sa1'!VAN816/10)-'NF - 5 Power Mix'!VAK21-'NF - 5 Power Mix'!VAK22</f>
        <v>0</v>
      </c>
      <c r="VAL42" s="1046">
        <f>VAL38+((VAL40+'NF - 5 Power Mix'!VAL14+'NF - 5 Power Mix'!VAL15)*860/10)+((('Form Sa1'!VAO835)*860)/10)+('Form Sa1'!VAO814*'Form Sa1'!VAO816/10)-'NF - 5 Power Mix'!VAL21-'NF - 5 Power Mix'!VAL22</f>
        <v>0</v>
      </c>
      <c r="VAM42" s="1046">
        <f>VAM38+((VAM40+'NF - 5 Power Mix'!VAM14+'NF - 5 Power Mix'!VAM15)*860/10)+((('Form Sa1'!VAP835)*860)/10)+('Form Sa1'!VAP814*'Form Sa1'!VAP816/10)-'NF - 5 Power Mix'!VAM21-'NF - 5 Power Mix'!VAM22</f>
        <v>0</v>
      </c>
      <c r="VAN42" s="1046">
        <f>VAN38+((VAN40+'NF - 5 Power Mix'!VAN14+'NF - 5 Power Mix'!VAN15)*860/10)+((('Form Sa1'!VAQ835)*860)/10)+('Form Sa1'!VAQ814*'Form Sa1'!VAQ816/10)-'NF - 5 Power Mix'!VAN21-'NF - 5 Power Mix'!VAN22</f>
        <v>0</v>
      </c>
      <c r="VAO42" s="1046">
        <f>VAO38+((VAO40+'NF - 5 Power Mix'!VAO14+'NF - 5 Power Mix'!VAO15)*860/10)+((('Form Sa1'!VAR835)*860)/10)+('Form Sa1'!VAR814*'Form Sa1'!VAR816/10)-'NF - 5 Power Mix'!VAO21-'NF - 5 Power Mix'!VAO22</f>
        <v>0</v>
      </c>
      <c r="VAP42" s="1046">
        <f>VAP38+((VAP40+'NF - 5 Power Mix'!VAP14+'NF - 5 Power Mix'!VAP15)*860/10)+((('Form Sa1'!VAS835)*860)/10)+('Form Sa1'!VAS814*'Form Sa1'!VAS816/10)-'NF - 5 Power Mix'!VAP21-'NF - 5 Power Mix'!VAP22</f>
        <v>0</v>
      </c>
      <c r="VAQ42" s="1046">
        <f>VAQ38+((VAQ40+'NF - 5 Power Mix'!VAQ14+'NF - 5 Power Mix'!VAQ15)*860/10)+((('Form Sa1'!VAT835)*860)/10)+('Form Sa1'!VAT814*'Form Sa1'!VAT816/10)-'NF - 5 Power Mix'!VAQ21-'NF - 5 Power Mix'!VAQ22</f>
        <v>0</v>
      </c>
      <c r="VAR42" s="1046">
        <f>VAR38+((VAR40+'NF - 5 Power Mix'!VAR14+'NF - 5 Power Mix'!VAR15)*860/10)+((('Form Sa1'!VAU835)*860)/10)+('Form Sa1'!VAU814*'Form Sa1'!VAU816/10)-'NF - 5 Power Mix'!VAR21-'NF - 5 Power Mix'!VAR22</f>
        <v>0</v>
      </c>
      <c r="VAS42" s="1046">
        <f>VAS38+((VAS40+'NF - 5 Power Mix'!VAS14+'NF - 5 Power Mix'!VAS15)*860/10)+((('Form Sa1'!VAV835)*860)/10)+('Form Sa1'!VAV814*'Form Sa1'!VAV816/10)-'NF - 5 Power Mix'!VAS21-'NF - 5 Power Mix'!VAS22</f>
        <v>0</v>
      </c>
      <c r="VAT42" s="1046">
        <f>VAT38+((VAT40+'NF - 5 Power Mix'!VAT14+'NF - 5 Power Mix'!VAT15)*860/10)+((('Form Sa1'!VAW835)*860)/10)+('Form Sa1'!VAW814*'Form Sa1'!VAW816/10)-'NF - 5 Power Mix'!VAT21-'NF - 5 Power Mix'!VAT22</f>
        <v>0</v>
      </c>
      <c r="VAU42" s="1046">
        <f>VAU38+((VAU40+'NF - 5 Power Mix'!VAU14+'NF - 5 Power Mix'!VAU15)*860/10)+((('Form Sa1'!VAX835)*860)/10)+('Form Sa1'!VAX814*'Form Sa1'!VAX816/10)-'NF - 5 Power Mix'!VAU21-'NF - 5 Power Mix'!VAU22</f>
        <v>0</v>
      </c>
      <c r="VAV42" s="1046">
        <f>VAV38+((VAV40+'NF - 5 Power Mix'!VAV14+'NF - 5 Power Mix'!VAV15)*860/10)+((('Form Sa1'!VAY835)*860)/10)+('Form Sa1'!VAY814*'Form Sa1'!VAY816/10)-'NF - 5 Power Mix'!VAV21-'NF - 5 Power Mix'!VAV22</f>
        <v>0</v>
      </c>
      <c r="VAW42" s="1046">
        <f>VAW38+((VAW40+'NF - 5 Power Mix'!VAW14+'NF - 5 Power Mix'!VAW15)*860/10)+((('Form Sa1'!VAZ835)*860)/10)+('Form Sa1'!VAZ814*'Form Sa1'!VAZ816/10)-'NF - 5 Power Mix'!VAW21-'NF - 5 Power Mix'!VAW22</f>
        <v>0</v>
      </c>
      <c r="VAX42" s="1046">
        <f>VAX38+((VAX40+'NF - 5 Power Mix'!VAX14+'NF - 5 Power Mix'!VAX15)*860/10)+((('Form Sa1'!VBA835)*860)/10)+('Form Sa1'!VBA814*'Form Sa1'!VBA816/10)-'NF - 5 Power Mix'!VAX21-'NF - 5 Power Mix'!VAX22</f>
        <v>0</v>
      </c>
      <c r="VAY42" s="1046">
        <f>VAY38+((VAY40+'NF - 5 Power Mix'!VAY14+'NF - 5 Power Mix'!VAY15)*860/10)+((('Form Sa1'!VBB835)*860)/10)+('Form Sa1'!VBB814*'Form Sa1'!VBB816/10)-'NF - 5 Power Mix'!VAY21-'NF - 5 Power Mix'!VAY22</f>
        <v>0</v>
      </c>
      <c r="VAZ42" s="1046">
        <f>VAZ38+((VAZ40+'NF - 5 Power Mix'!VAZ14+'NF - 5 Power Mix'!VAZ15)*860/10)+((('Form Sa1'!VBC835)*860)/10)+('Form Sa1'!VBC814*'Form Sa1'!VBC816/10)-'NF - 5 Power Mix'!VAZ21-'NF - 5 Power Mix'!VAZ22</f>
        <v>0</v>
      </c>
      <c r="VBA42" s="1046">
        <f>VBA38+((VBA40+'NF - 5 Power Mix'!VBA14+'NF - 5 Power Mix'!VBA15)*860/10)+((('Form Sa1'!VBD835)*860)/10)+('Form Sa1'!VBD814*'Form Sa1'!VBD816/10)-'NF - 5 Power Mix'!VBA21-'NF - 5 Power Mix'!VBA22</f>
        <v>0</v>
      </c>
      <c r="VBB42" s="1046">
        <f>VBB38+((VBB40+'NF - 5 Power Mix'!VBB14+'NF - 5 Power Mix'!VBB15)*860/10)+((('Form Sa1'!VBE835)*860)/10)+('Form Sa1'!VBE814*'Form Sa1'!VBE816/10)-'NF - 5 Power Mix'!VBB21-'NF - 5 Power Mix'!VBB22</f>
        <v>0</v>
      </c>
      <c r="VBC42" s="1046">
        <f>VBC38+((VBC40+'NF - 5 Power Mix'!VBC14+'NF - 5 Power Mix'!VBC15)*860/10)+((('Form Sa1'!VBF835)*860)/10)+('Form Sa1'!VBF814*'Form Sa1'!VBF816/10)-'NF - 5 Power Mix'!VBC21-'NF - 5 Power Mix'!VBC22</f>
        <v>0</v>
      </c>
      <c r="VBD42" s="1046">
        <f>VBD38+((VBD40+'NF - 5 Power Mix'!VBD14+'NF - 5 Power Mix'!VBD15)*860/10)+((('Form Sa1'!VBG835)*860)/10)+('Form Sa1'!VBG814*'Form Sa1'!VBG816/10)-'NF - 5 Power Mix'!VBD21-'NF - 5 Power Mix'!VBD22</f>
        <v>0</v>
      </c>
      <c r="VBE42" s="1046">
        <f>VBE38+((VBE40+'NF - 5 Power Mix'!VBE14+'NF - 5 Power Mix'!VBE15)*860/10)+((('Form Sa1'!VBH835)*860)/10)+('Form Sa1'!VBH814*'Form Sa1'!VBH816/10)-'NF - 5 Power Mix'!VBE21-'NF - 5 Power Mix'!VBE22</f>
        <v>0</v>
      </c>
      <c r="VBF42" s="1046">
        <f>VBF38+((VBF40+'NF - 5 Power Mix'!VBF14+'NF - 5 Power Mix'!VBF15)*860/10)+((('Form Sa1'!VBI835)*860)/10)+('Form Sa1'!VBI814*'Form Sa1'!VBI816/10)-'NF - 5 Power Mix'!VBF21-'NF - 5 Power Mix'!VBF22</f>
        <v>0</v>
      </c>
      <c r="VBG42" s="1046">
        <f>VBG38+((VBG40+'NF - 5 Power Mix'!VBG14+'NF - 5 Power Mix'!VBG15)*860/10)+((('Form Sa1'!VBJ835)*860)/10)+('Form Sa1'!VBJ814*'Form Sa1'!VBJ816/10)-'NF - 5 Power Mix'!VBG21-'NF - 5 Power Mix'!VBG22</f>
        <v>0</v>
      </c>
      <c r="VBH42" s="1046">
        <f>VBH38+((VBH40+'NF - 5 Power Mix'!VBH14+'NF - 5 Power Mix'!VBH15)*860/10)+((('Form Sa1'!VBK835)*860)/10)+('Form Sa1'!VBK814*'Form Sa1'!VBK816/10)-'NF - 5 Power Mix'!VBH21-'NF - 5 Power Mix'!VBH22</f>
        <v>0</v>
      </c>
      <c r="VBI42" s="1046">
        <f>VBI38+((VBI40+'NF - 5 Power Mix'!VBI14+'NF - 5 Power Mix'!VBI15)*860/10)+((('Form Sa1'!VBL835)*860)/10)+('Form Sa1'!VBL814*'Form Sa1'!VBL816/10)-'NF - 5 Power Mix'!VBI21-'NF - 5 Power Mix'!VBI22</f>
        <v>0</v>
      </c>
      <c r="VBJ42" s="1046">
        <f>VBJ38+((VBJ40+'NF - 5 Power Mix'!VBJ14+'NF - 5 Power Mix'!VBJ15)*860/10)+((('Form Sa1'!VBM835)*860)/10)+('Form Sa1'!VBM814*'Form Sa1'!VBM816/10)-'NF - 5 Power Mix'!VBJ21-'NF - 5 Power Mix'!VBJ22</f>
        <v>0</v>
      </c>
      <c r="VBK42" s="1046">
        <f>VBK38+((VBK40+'NF - 5 Power Mix'!VBK14+'NF - 5 Power Mix'!VBK15)*860/10)+((('Form Sa1'!VBN835)*860)/10)+('Form Sa1'!VBN814*'Form Sa1'!VBN816/10)-'NF - 5 Power Mix'!VBK21-'NF - 5 Power Mix'!VBK22</f>
        <v>0</v>
      </c>
      <c r="VBL42" s="1046">
        <f>VBL38+((VBL40+'NF - 5 Power Mix'!VBL14+'NF - 5 Power Mix'!VBL15)*860/10)+((('Form Sa1'!VBO835)*860)/10)+('Form Sa1'!VBO814*'Form Sa1'!VBO816/10)-'NF - 5 Power Mix'!VBL21-'NF - 5 Power Mix'!VBL22</f>
        <v>0</v>
      </c>
      <c r="VBM42" s="1046">
        <f>VBM38+((VBM40+'NF - 5 Power Mix'!VBM14+'NF - 5 Power Mix'!VBM15)*860/10)+((('Form Sa1'!VBP835)*860)/10)+('Form Sa1'!VBP814*'Form Sa1'!VBP816/10)-'NF - 5 Power Mix'!VBM21-'NF - 5 Power Mix'!VBM22</f>
        <v>0</v>
      </c>
      <c r="VBN42" s="1046">
        <f>VBN38+((VBN40+'NF - 5 Power Mix'!VBN14+'NF - 5 Power Mix'!VBN15)*860/10)+((('Form Sa1'!VBQ835)*860)/10)+('Form Sa1'!VBQ814*'Form Sa1'!VBQ816/10)-'NF - 5 Power Mix'!VBN21-'NF - 5 Power Mix'!VBN22</f>
        <v>0</v>
      </c>
      <c r="VBO42" s="1046">
        <f>VBO38+((VBO40+'NF - 5 Power Mix'!VBO14+'NF - 5 Power Mix'!VBO15)*860/10)+((('Form Sa1'!VBR835)*860)/10)+('Form Sa1'!VBR814*'Form Sa1'!VBR816/10)-'NF - 5 Power Mix'!VBO21-'NF - 5 Power Mix'!VBO22</f>
        <v>0</v>
      </c>
      <c r="VBP42" s="1046">
        <f>VBP38+((VBP40+'NF - 5 Power Mix'!VBP14+'NF - 5 Power Mix'!VBP15)*860/10)+((('Form Sa1'!VBS835)*860)/10)+('Form Sa1'!VBS814*'Form Sa1'!VBS816/10)-'NF - 5 Power Mix'!VBP21-'NF - 5 Power Mix'!VBP22</f>
        <v>0</v>
      </c>
      <c r="VBQ42" s="1046">
        <f>VBQ38+((VBQ40+'NF - 5 Power Mix'!VBQ14+'NF - 5 Power Mix'!VBQ15)*860/10)+((('Form Sa1'!VBT835)*860)/10)+('Form Sa1'!VBT814*'Form Sa1'!VBT816/10)-'NF - 5 Power Mix'!VBQ21-'NF - 5 Power Mix'!VBQ22</f>
        <v>0</v>
      </c>
      <c r="VBR42" s="1046">
        <f>VBR38+((VBR40+'NF - 5 Power Mix'!VBR14+'NF - 5 Power Mix'!VBR15)*860/10)+((('Form Sa1'!VBU835)*860)/10)+('Form Sa1'!VBU814*'Form Sa1'!VBU816/10)-'NF - 5 Power Mix'!VBR21-'NF - 5 Power Mix'!VBR22</f>
        <v>0</v>
      </c>
      <c r="VBS42" s="1046">
        <f>VBS38+((VBS40+'NF - 5 Power Mix'!VBS14+'NF - 5 Power Mix'!VBS15)*860/10)+((('Form Sa1'!VBV835)*860)/10)+('Form Sa1'!VBV814*'Form Sa1'!VBV816/10)-'NF - 5 Power Mix'!VBS21-'NF - 5 Power Mix'!VBS22</f>
        <v>0</v>
      </c>
      <c r="VBT42" s="1046">
        <f>VBT38+((VBT40+'NF - 5 Power Mix'!VBT14+'NF - 5 Power Mix'!VBT15)*860/10)+((('Form Sa1'!VBW835)*860)/10)+('Form Sa1'!VBW814*'Form Sa1'!VBW816/10)-'NF - 5 Power Mix'!VBT21-'NF - 5 Power Mix'!VBT22</f>
        <v>0</v>
      </c>
      <c r="VBU42" s="1046">
        <f>VBU38+((VBU40+'NF - 5 Power Mix'!VBU14+'NF - 5 Power Mix'!VBU15)*860/10)+((('Form Sa1'!VBX835)*860)/10)+('Form Sa1'!VBX814*'Form Sa1'!VBX816/10)-'NF - 5 Power Mix'!VBU21-'NF - 5 Power Mix'!VBU22</f>
        <v>0</v>
      </c>
      <c r="VBV42" s="1046">
        <f>VBV38+((VBV40+'NF - 5 Power Mix'!VBV14+'NF - 5 Power Mix'!VBV15)*860/10)+((('Form Sa1'!VBY835)*860)/10)+('Form Sa1'!VBY814*'Form Sa1'!VBY816/10)-'NF - 5 Power Mix'!VBV21-'NF - 5 Power Mix'!VBV22</f>
        <v>0</v>
      </c>
      <c r="VBW42" s="1046">
        <f>VBW38+((VBW40+'NF - 5 Power Mix'!VBW14+'NF - 5 Power Mix'!VBW15)*860/10)+((('Form Sa1'!VBZ835)*860)/10)+('Form Sa1'!VBZ814*'Form Sa1'!VBZ816/10)-'NF - 5 Power Mix'!VBW21-'NF - 5 Power Mix'!VBW22</f>
        <v>0</v>
      </c>
      <c r="VBX42" s="1046">
        <f>VBX38+((VBX40+'NF - 5 Power Mix'!VBX14+'NF - 5 Power Mix'!VBX15)*860/10)+((('Form Sa1'!VCA835)*860)/10)+('Form Sa1'!VCA814*'Form Sa1'!VCA816/10)-'NF - 5 Power Mix'!VBX21-'NF - 5 Power Mix'!VBX22</f>
        <v>0</v>
      </c>
      <c r="VBY42" s="1046">
        <f>VBY38+((VBY40+'NF - 5 Power Mix'!VBY14+'NF - 5 Power Mix'!VBY15)*860/10)+((('Form Sa1'!VCB835)*860)/10)+('Form Sa1'!VCB814*'Form Sa1'!VCB816/10)-'NF - 5 Power Mix'!VBY21-'NF - 5 Power Mix'!VBY22</f>
        <v>0</v>
      </c>
      <c r="VBZ42" s="1046">
        <f>VBZ38+((VBZ40+'NF - 5 Power Mix'!VBZ14+'NF - 5 Power Mix'!VBZ15)*860/10)+((('Form Sa1'!VCC835)*860)/10)+('Form Sa1'!VCC814*'Form Sa1'!VCC816/10)-'NF - 5 Power Mix'!VBZ21-'NF - 5 Power Mix'!VBZ22</f>
        <v>0</v>
      </c>
      <c r="VCA42" s="1046">
        <f>VCA38+((VCA40+'NF - 5 Power Mix'!VCA14+'NF - 5 Power Mix'!VCA15)*860/10)+((('Form Sa1'!VCD835)*860)/10)+('Form Sa1'!VCD814*'Form Sa1'!VCD816/10)-'NF - 5 Power Mix'!VCA21-'NF - 5 Power Mix'!VCA22</f>
        <v>0</v>
      </c>
      <c r="VCB42" s="1046">
        <f>VCB38+((VCB40+'NF - 5 Power Mix'!VCB14+'NF - 5 Power Mix'!VCB15)*860/10)+((('Form Sa1'!VCE835)*860)/10)+('Form Sa1'!VCE814*'Form Sa1'!VCE816/10)-'NF - 5 Power Mix'!VCB21-'NF - 5 Power Mix'!VCB22</f>
        <v>0</v>
      </c>
      <c r="VCC42" s="1046">
        <f>VCC38+((VCC40+'NF - 5 Power Mix'!VCC14+'NF - 5 Power Mix'!VCC15)*860/10)+((('Form Sa1'!VCF835)*860)/10)+('Form Sa1'!VCF814*'Form Sa1'!VCF816/10)-'NF - 5 Power Mix'!VCC21-'NF - 5 Power Mix'!VCC22</f>
        <v>0</v>
      </c>
      <c r="VCD42" s="1046">
        <f>VCD38+((VCD40+'NF - 5 Power Mix'!VCD14+'NF - 5 Power Mix'!VCD15)*860/10)+((('Form Sa1'!VCG835)*860)/10)+('Form Sa1'!VCG814*'Form Sa1'!VCG816/10)-'NF - 5 Power Mix'!VCD21-'NF - 5 Power Mix'!VCD22</f>
        <v>0</v>
      </c>
      <c r="VCE42" s="1046">
        <f>VCE38+((VCE40+'NF - 5 Power Mix'!VCE14+'NF - 5 Power Mix'!VCE15)*860/10)+((('Form Sa1'!VCH835)*860)/10)+('Form Sa1'!VCH814*'Form Sa1'!VCH816/10)-'NF - 5 Power Mix'!VCE21-'NF - 5 Power Mix'!VCE22</f>
        <v>0</v>
      </c>
      <c r="VCF42" s="1046">
        <f>VCF38+((VCF40+'NF - 5 Power Mix'!VCF14+'NF - 5 Power Mix'!VCF15)*860/10)+((('Form Sa1'!VCI835)*860)/10)+('Form Sa1'!VCI814*'Form Sa1'!VCI816/10)-'NF - 5 Power Mix'!VCF21-'NF - 5 Power Mix'!VCF22</f>
        <v>0</v>
      </c>
      <c r="VCG42" s="1046">
        <f>VCG38+((VCG40+'NF - 5 Power Mix'!VCG14+'NF - 5 Power Mix'!VCG15)*860/10)+((('Form Sa1'!VCJ835)*860)/10)+('Form Sa1'!VCJ814*'Form Sa1'!VCJ816/10)-'NF - 5 Power Mix'!VCG21-'NF - 5 Power Mix'!VCG22</f>
        <v>0</v>
      </c>
      <c r="VCH42" s="1046">
        <f>VCH38+((VCH40+'NF - 5 Power Mix'!VCH14+'NF - 5 Power Mix'!VCH15)*860/10)+((('Form Sa1'!VCK835)*860)/10)+('Form Sa1'!VCK814*'Form Sa1'!VCK816/10)-'NF - 5 Power Mix'!VCH21-'NF - 5 Power Mix'!VCH22</f>
        <v>0</v>
      </c>
      <c r="VCI42" s="1046">
        <f>VCI38+((VCI40+'NF - 5 Power Mix'!VCI14+'NF - 5 Power Mix'!VCI15)*860/10)+((('Form Sa1'!VCL835)*860)/10)+('Form Sa1'!VCL814*'Form Sa1'!VCL816/10)-'NF - 5 Power Mix'!VCI21-'NF - 5 Power Mix'!VCI22</f>
        <v>0</v>
      </c>
      <c r="VCJ42" s="1046">
        <f>VCJ38+((VCJ40+'NF - 5 Power Mix'!VCJ14+'NF - 5 Power Mix'!VCJ15)*860/10)+((('Form Sa1'!VCM835)*860)/10)+('Form Sa1'!VCM814*'Form Sa1'!VCM816/10)-'NF - 5 Power Mix'!VCJ21-'NF - 5 Power Mix'!VCJ22</f>
        <v>0</v>
      </c>
      <c r="VCK42" s="1046">
        <f>VCK38+((VCK40+'NF - 5 Power Mix'!VCK14+'NF - 5 Power Mix'!VCK15)*860/10)+((('Form Sa1'!VCN835)*860)/10)+('Form Sa1'!VCN814*'Form Sa1'!VCN816/10)-'NF - 5 Power Mix'!VCK21-'NF - 5 Power Mix'!VCK22</f>
        <v>0</v>
      </c>
      <c r="VCL42" s="1046">
        <f>VCL38+((VCL40+'NF - 5 Power Mix'!VCL14+'NF - 5 Power Mix'!VCL15)*860/10)+((('Form Sa1'!VCO835)*860)/10)+('Form Sa1'!VCO814*'Form Sa1'!VCO816/10)-'NF - 5 Power Mix'!VCL21-'NF - 5 Power Mix'!VCL22</f>
        <v>0</v>
      </c>
      <c r="VCM42" s="1046">
        <f>VCM38+((VCM40+'NF - 5 Power Mix'!VCM14+'NF - 5 Power Mix'!VCM15)*860/10)+((('Form Sa1'!VCP835)*860)/10)+('Form Sa1'!VCP814*'Form Sa1'!VCP816/10)-'NF - 5 Power Mix'!VCM21-'NF - 5 Power Mix'!VCM22</f>
        <v>0</v>
      </c>
      <c r="VCN42" s="1046">
        <f>VCN38+((VCN40+'NF - 5 Power Mix'!VCN14+'NF - 5 Power Mix'!VCN15)*860/10)+((('Form Sa1'!VCQ835)*860)/10)+('Form Sa1'!VCQ814*'Form Sa1'!VCQ816/10)-'NF - 5 Power Mix'!VCN21-'NF - 5 Power Mix'!VCN22</f>
        <v>0</v>
      </c>
      <c r="VCO42" s="1046">
        <f>VCO38+((VCO40+'NF - 5 Power Mix'!VCO14+'NF - 5 Power Mix'!VCO15)*860/10)+((('Form Sa1'!VCR835)*860)/10)+('Form Sa1'!VCR814*'Form Sa1'!VCR816/10)-'NF - 5 Power Mix'!VCO21-'NF - 5 Power Mix'!VCO22</f>
        <v>0</v>
      </c>
      <c r="VCP42" s="1046">
        <f>VCP38+((VCP40+'NF - 5 Power Mix'!VCP14+'NF - 5 Power Mix'!VCP15)*860/10)+((('Form Sa1'!VCS835)*860)/10)+('Form Sa1'!VCS814*'Form Sa1'!VCS816/10)-'NF - 5 Power Mix'!VCP21-'NF - 5 Power Mix'!VCP22</f>
        <v>0</v>
      </c>
      <c r="VCQ42" s="1046">
        <f>VCQ38+((VCQ40+'NF - 5 Power Mix'!VCQ14+'NF - 5 Power Mix'!VCQ15)*860/10)+((('Form Sa1'!VCT835)*860)/10)+('Form Sa1'!VCT814*'Form Sa1'!VCT816/10)-'NF - 5 Power Mix'!VCQ21-'NF - 5 Power Mix'!VCQ22</f>
        <v>0</v>
      </c>
      <c r="VCR42" s="1046">
        <f>VCR38+((VCR40+'NF - 5 Power Mix'!VCR14+'NF - 5 Power Mix'!VCR15)*860/10)+((('Form Sa1'!VCU835)*860)/10)+('Form Sa1'!VCU814*'Form Sa1'!VCU816/10)-'NF - 5 Power Mix'!VCR21-'NF - 5 Power Mix'!VCR22</f>
        <v>0</v>
      </c>
      <c r="VCS42" s="1046">
        <f>VCS38+((VCS40+'NF - 5 Power Mix'!VCS14+'NF - 5 Power Mix'!VCS15)*860/10)+((('Form Sa1'!VCV835)*860)/10)+('Form Sa1'!VCV814*'Form Sa1'!VCV816/10)-'NF - 5 Power Mix'!VCS21-'NF - 5 Power Mix'!VCS22</f>
        <v>0</v>
      </c>
      <c r="VCT42" s="1046">
        <f>VCT38+((VCT40+'NF - 5 Power Mix'!VCT14+'NF - 5 Power Mix'!VCT15)*860/10)+((('Form Sa1'!VCW835)*860)/10)+('Form Sa1'!VCW814*'Form Sa1'!VCW816/10)-'NF - 5 Power Mix'!VCT21-'NF - 5 Power Mix'!VCT22</f>
        <v>0</v>
      </c>
      <c r="VCU42" s="1046">
        <f>VCU38+((VCU40+'NF - 5 Power Mix'!VCU14+'NF - 5 Power Mix'!VCU15)*860/10)+((('Form Sa1'!VCX835)*860)/10)+('Form Sa1'!VCX814*'Form Sa1'!VCX816/10)-'NF - 5 Power Mix'!VCU21-'NF - 5 Power Mix'!VCU22</f>
        <v>0</v>
      </c>
      <c r="VCV42" s="1046">
        <f>VCV38+((VCV40+'NF - 5 Power Mix'!VCV14+'NF - 5 Power Mix'!VCV15)*860/10)+((('Form Sa1'!VCY835)*860)/10)+('Form Sa1'!VCY814*'Form Sa1'!VCY816/10)-'NF - 5 Power Mix'!VCV21-'NF - 5 Power Mix'!VCV22</f>
        <v>0</v>
      </c>
      <c r="VCW42" s="1046">
        <f>VCW38+((VCW40+'NF - 5 Power Mix'!VCW14+'NF - 5 Power Mix'!VCW15)*860/10)+((('Form Sa1'!VCZ835)*860)/10)+('Form Sa1'!VCZ814*'Form Sa1'!VCZ816/10)-'NF - 5 Power Mix'!VCW21-'NF - 5 Power Mix'!VCW22</f>
        <v>0</v>
      </c>
      <c r="VCX42" s="1046">
        <f>VCX38+((VCX40+'NF - 5 Power Mix'!VCX14+'NF - 5 Power Mix'!VCX15)*860/10)+((('Form Sa1'!VDA835)*860)/10)+('Form Sa1'!VDA814*'Form Sa1'!VDA816/10)-'NF - 5 Power Mix'!VCX21-'NF - 5 Power Mix'!VCX22</f>
        <v>0</v>
      </c>
      <c r="VCY42" s="1046">
        <f>VCY38+((VCY40+'NF - 5 Power Mix'!VCY14+'NF - 5 Power Mix'!VCY15)*860/10)+((('Form Sa1'!VDB835)*860)/10)+('Form Sa1'!VDB814*'Form Sa1'!VDB816/10)-'NF - 5 Power Mix'!VCY21-'NF - 5 Power Mix'!VCY22</f>
        <v>0</v>
      </c>
      <c r="VCZ42" s="1046">
        <f>VCZ38+((VCZ40+'NF - 5 Power Mix'!VCZ14+'NF - 5 Power Mix'!VCZ15)*860/10)+((('Form Sa1'!VDC835)*860)/10)+('Form Sa1'!VDC814*'Form Sa1'!VDC816/10)-'NF - 5 Power Mix'!VCZ21-'NF - 5 Power Mix'!VCZ22</f>
        <v>0</v>
      </c>
      <c r="VDA42" s="1046">
        <f>VDA38+((VDA40+'NF - 5 Power Mix'!VDA14+'NF - 5 Power Mix'!VDA15)*860/10)+((('Form Sa1'!VDD835)*860)/10)+('Form Sa1'!VDD814*'Form Sa1'!VDD816/10)-'NF - 5 Power Mix'!VDA21-'NF - 5 Power Mix'!VDA22</f>
        <v>0</v>
      </c>
      <c r="VDB42" s="1046">
        <f>VDB38+((VDB40+'NF - 5 Power Mix'!VDB14+'NF - 5 Power Mix'!VDB15)*860/10)+((('Form Sa1'!VDE835)*860)/10)+('Form Sa1'!VDE814*'Form Sa1'!VDE816/10)-'NF - 5 Power Mix'!VDB21-'NF - 5 Power Mix'!VDB22</f>
        <v>0</v>
      </c>
      <c r="VDC42" s="1046">
        <f>VDC38+((VDC40+'NF - 5 Power Mix'!VDC14+'NF - 5 Power Mix'!VDC15)*860/10)+((('Form Sa1'!VDF835)*860)/10)+('Form Sa1'!VDF814*'Form Sa1'!VDF816/10)-'NF - 5 Power Mix'!VDC21-'NF - 5 Power Mix'!VDC22</f>
        <v>0</v>
      </c>
      <c r="VDD42" s="1046">
        <f>VDD38+((VDD40+'NF - 5 Power Mix'!VDD14+'NF - 5 Power Mix'!VDD15)*860/10)+((('Form Sa1'!VDG835)*860)/10)+('Form Sa1'!VDG814*'Form Sa1'!VDG816/10)-'NF - 5 Power Mix'!VDD21-'NF - 5 Power Mix'!VDD22</f>
        <v>0</v>
      </c>
      <c r="VDE42" s="1046">
        <f>VDE38+((VDE40+'NF - 5 Power Mix'!VDE14+'NF - 5 Power Mix'!VDE15)*860/10)+((('Form Sa1'!VDH835)*860)/10)+('Form Sa1'!VDH814*'Form Sa1'!VDH816/10)-'NF - 5 Power Mix'!VDE21-'NF - 5 Power Mix'!VDE22</f>
        <v>0</v>
      </c>
      <c r="VDF42" s="1046">
        <f>VDF38+((VDF40+'NF - 5 Power Mix'!VDF14+'NF - 5 Power Mix'!VDF15)*860/10)+((('Form Sa1'!VDI835)*860)/10)+('Form Sa1'!VDI814*'Form Sa1'!VDI816/10)-'NF - 5 Power Mix'!VDF21-'NF - 5 Power Mix'!VDF22</f>
        <v>0</v>
      </c>
      <c r="VDG42" s="1046">
        <f>VDG38+((VDG40+'NF - 5 Power Mix'!VDG14+'NF - 5 Power Mix'!VDG15)*860/10)+((('Form Sa1'!VDJ835)*860)/10)+('Form Sa1'!VDJ814*'Form Sa1'!VDJ816/10)-'NF - 5 Power Mix'!VDG21-'NF - 5 Power Mix'!VDG22</f>
        <v>0</v>
      </c>
      <c r="VDH42" s="1046">
        <f>VDH38+((VDH40+'NF - 5 Power Mix'!VDH14+'NF - 5 Power Mix'!VDH15)*860/10)+((('Form Sa1'!VDK835)*860)/10)+('Form Sa1'!VDK814*'Form Sa1'!VDK816/10)-'NF - 5 Power Mix'!VDH21-'NF - 5 Power Mix'!VDH22</f>
        <v>0</v>
      </c>
      <c r="VDI42" s="1046">
        <f>VDI38+((VDI40+'NF - 5 Power Mix'!VDI14+'NF - 5 Power Mix'!VDI15)*860/10)+((('Form Sa1'!VDL835)*860)/10)+('Form Sa1'!VDL814*'Form Sa1'!VDL816/10)-'NF - 5 Power Mix'!VDI21-'NF - 5 Power Mix'!VDI22</f>
        <v>0</v>
      </c>
      <c r="VDJ42" s="1046">
        <f>VDJ38+((VDJ40+'NF - 5 Power Mix'!VDJ14+'NF - 5 Power Mix'!VDJ15)*860/10)+((('Form Sa1'!VDM835)*860)/10)+('Form Sa1'!VDM814*'Form Sa1'!VDM816/10)-'NF - 5 Power Mix'!VDJ21-'NF - 5 Power Mix'!VDJ22</f>
        <v>0</v>
      </c>
      <c r="VDK42" s="1046">
        <f>VDK38+((VDK40+'NF - 5 Power Mix'!VDK14+'NF - 5 Power Mix'!VDK15)*860/10)+((('Form Sa1'!VDN835)*860)/10)+('Form Sa1'!VDN814*'Form Sa1'!VDN816/10)-'NF - 5 Power Mix'!VDK21-'NF - 5 Power Mix'!VDK22</f>
        <v>0</v>
      </c>
      <c r="VDL42" s="1046">
        <f>VDL38+((VDL40+'NF - 5 Power Mix'!VDL14+'NF - 5 Power Mix'!VDL15)*860/10)+((('Form Sa1'!VDO835)*860)/10)+('Form Sa1'!VDO814*'Form Sa1'!VDO816/10)-'NF - 5 Power Mix'!VDL21-'NF - 5 Power Mix'!VDL22</f>
        <v>0</v>
      </c>
      <c r="VDM42" s="1046">
        <f>VDM38+((VDM40+'NF - 5 Power Mix'!VDM14+'NF - 5 Power Mix'!VDM15)*860/10)+((('Form Sa1'!VDP835)*860)/10)+('Form Sa1'!VDP814*'Form Sa1'!VDP816/10)-'NF - 5 Power Mix'!VDM21-'NF - 5 Power Mix'!VDM22</f>
        <v>0</v>
      </c>
      <c r="VDN42" s="1046">
        <f>VDN38+((VDN40+'NF - 5 Power Mix'!VDN14+'NF - 5 Power Mix'!VDN15)*860/10)+((('Form Sa1'!VDQ835)*860)/10)+('Form Sa1'!VDQ814*'Form Sa1'!VDQ816/10)-'NF - 5 Power Mix'!VDN21-'NF - 5 Power Mix'!VDN22</f>
        <v>0</v>
      </c>
      <c r="VDO42" s="1046">
        <f>VDO38+((VDO40+'NF - 5 Power Mix'!VDO14+'NF - 5 Power Mix'!VDO15)*860/10)+((('Form Sa1'!VDR835)*860)/10)+('Form Sa1'!VDR814*'Form Sa1'!VDR816/10)-'NF - 5 Power Mix'!VDO21-'NF - 5 Power Mix'!VDO22</f>
        <v>0</v>
      </c>
      <c r="VDP42" s="1046">
        <f>VDP38+((VDP40+'NF - 5 Power Mix'!VDP14+'NF - 5 Power Mix'!VDP15)*860/10)+((('Form Sa1'!VDS835)*860)/10)+('Form Sa1'!VDS814*'Form Sa1'!VDS816/10)-'NF - 5 Power Mix'!VDP21-'NF - 5 Power Mix'!VDP22</f>
        <v>0</v>
      </c>
      <c r="VDQ42" s="1046">
        <f>VDQ38+((VDQ40+'NF - 5 Power Mix'!VDQ14+'NF - 5 Power Mix'!VDQ15)*860/10)+((('Form Sa1'!VDT835)*860)/10)+('Form Sa1'!VDT814*'Form Sa1'!VDT816/10)-'NF - 5 Power Mix'!VDQ21-'NF - 5 Power Mix'!VDQ22</f>
        <v>0</v>
      </c>
      <c r="VDR42" s="1046">
        <f>VDR38+((VDR40+'NF - 5 Power Mix'!VDR14+'NF - 5 Power Mix'!VDR15)*860/10)+((('Form Sa1'!VDU835)*860)/10)+('Form Sa1'!VDU814*'Form Sa1'!VDU816/10)-'NF - 5 Power Mix'!VDR21-'NF - 5 Power Mix'!VDR22</f>
        <v>0</v>
      </c>
      <c r="VDS42" s="1046">
        <f>VDS38+((VDS40+'NF - 5 Power Mix'!VDS14+'NF - 5 Power Mix'!VDS15)*860/10)+((('Form Sa1'!VDV835)*860)/10)+('Form Sa1'!VDV814*'Form Sa1'!VDV816/10)-'NF - 5 Power Mix'!VDS21-'NF - 5 Power Mix'!VDS22</f>
        <v>0</v>
      </c>
      <c r="VDT42" s="1046">
        <f>VDT38+((VDT40+'NF - 5 Power Mix'!VDT14+'NF - 5 Power Mix'!VDT15)*860/10)+((('Form Sa1'!VDW835)*860)/10)+('Form Sa1'!VDW814*'Form Sa1'!VDW816/10)-'NF - 5 Power Mix'!VDT21-'NF - 5 Power Mix'!VDT22</f>
        <v>0</v>
      </c>
      <c r="VDU42" s="1046">
        <f>VDU38+((VDU40+'NF - 5 Power Mix'!VDU14+'NF - 5 Power Mix'!VDU15)*860/10)+((('Form Sa1'!VDX835)*860)/10)+('Form Sa1'!VDX814*'Form Sa1'!VDX816/10)-'NF - 5 Power Mix'!VDU21-'NF - 5 Power Mix'!VDU22</f>
        <v>0</v>
      </c>
      <c r="VDV42" s="1046">
        <f>VDV38+((VDV40+'NF - 5 Power Mix'!VDV14+'NF - 5 Power Mix'!VDV15)*860/10)+((('Form Sa1'!VDY835)*860)/10)+('Form Sa1'!VDY814*'Form Sa1'!VDY816/10)-'NF - 5 Power Mix'!VDV21-'NF - 5 Power Mix'!VDV22</f>
        <v>0</v>
      </c>
      <c r="VDW42" s="1046">
        <f>VDW38+((VDW40+'NF - 5 Power Mix'!VDW14+'NF - 5 Power Mix'!VDW15)*860/10)+((('Form Sa1'!VDZ835)*860)/10)+('Form Sa1'!VDZ814*'Form Sa1'!VDZ816/10)-'NF - 5 Power Mix'!VDW21-'NF - 5 Power Mix'!VDW22</f>
        <v>0</v>
      </c>
      <c r="VDX42" s="1046">
        <f>VDX38+((VDX40+'NF - 5 Power Mix'!VDX14+'NF - 5 Power Mix'!VDX15)*860/10)+((('Form Sa1'!VEA835)*860)/10)+('Form Sa1'!VEA814*'Form Sa1'!VEA816/10)-'NF - 5 Power Mix'!VDX21-'NF - 5 Power Mix'!VDX22</f>
        <v>0</v>
      </c>
      <c r="VDY42" s="1046">
        <f>VDY38+((VDY40+'NF - 5 Power Mix'!VDY14+'NF - 5 Power Mix'!VDY15)*860/10)+((('Form Sa1'!VEB835)*860)/10)+('Form Sa1'!VEB814*'Form Sa1'!VEB816/10)-'NF - 5 Power Mix'!VDY21-'NF - 5 Power Mix'!VDY22</f>
        <v>0</v>
      </c>
      <c r="VDZ42" s="1046">
        <f>VDZ38+((VDZ40+'NF - 5 Power Mix'!VDZ14+'NF - 5 Power Mix'!VDZ15)*860/10)+((('Form Sa1'!VEC835)*860)/10)+('Form Sa1'!VEC814*'Form Sa1'!VEC816/10)-'NF - 5 Power Mix'!VDZ21-'NF - 5 Power Mix'!VDZ22</f>
        <v>0</v>
      </c>
      <c r="VEA42" s="1046">
        <f>VEA38+((VEA40+'NF - 5 Power Mix'!VEA14+'NF - 5 Power Mix'!VEA15)*860/10)+((('Form Sa1'!VED835)*860)/10)+('Form Sa1'!VED814*'Form Sa1'!VED816/10)-'NF - 5 Power Mix'!VEA21-'NF - 5 Power Mix'!VEA22</f>
        <v>0</v>
      </c>
      <c r="VEB42" s="1046">
        <f>VEB38+((VEB40+'NF - 5 Power Mix'!VEB14+'NF - 5 Power Mix'!VEB15)*860/10)+((('Form Sa1'!VEE835)*860)/10)+('Form Sa1'!VEE814*'Form Sa1'!VEE816/10)-'NF - 5 Power Mix'!VEB21-'NF - 5 Power Mix'!VEB22</f>
        <v>0</v>
      </c>
      <c r="VEC42" s="1046">
        <f>VEC38+((VEC40+'NF - 5 Power Mix'!VEC14+'NF - 5 Power Mix'!VEC15)*860/10)+((('Form Sa1'!VEF835)*860)/10)+('Form Sa1'!VEF814*'Form Sa1'!VEF816/10)-'NF - 5 Power Mix'!VEC21-'NF - 5 Power Mix'!VEC22</f>
        <v>0</v>
      </c>
      <c r="VED42" s="1046">
        <f>VED38+((VED40+'NF - 5 Power Mix'!VED14+'NF - 5 Power Mix'!VED15)*860/10)+((('Form Sa1'!VEG835)*860)/10)+('Form Sa1'!VEG814*'Form Sa1'!VEG816/10)-'NF - 5 Power Mix'!VED21-'NF - 5 Power Mix'!VED22</f>
        <v>0</v>
      </c>
      <c r="VEE42" s="1046">
        <f>VEE38+((VEE40+'NF - 5 Power Mix'!VEE14+'NF - 5 Power Mix'!VEE15)*860/10)+((('Form Sa1'!VEH835)*860)/10)+('Form Sa1'!VEH814*'Form Sa1'!VEH816/10)-'NF - 5 Power Mix'!VEE21-'NF - 5 Power Mix'!VEE22</f>
        <v>0</v>
      </c>
      <c r="VEF42" s="1046">
        <f>VEF38+((VEF40+'NF - 5 Power Mix'!VEF14+'NF - 5 Power Mix'!VEF15)*860/10)+((('Form Sa1'!VEI835)*860)/10)+('Form Sa1'!VEI814*'Form Sa1'!VEI816/10)-'NF - 5 Power Mix'!VEF21-'NF - 5 Power Mix'!VEF22</f>
        <v>0</v>
      </c>
      <c r="VEG42" s="1046">
        <f>VEG38+((VEG40+'NF - 5 Power Mix'!VEG14+'NF - 5 Power Mix'!VEG15)*860/10)+((('Form Sa1'!VEJ835)*860)/10)+('Form Sa1'!VEJ814*'Form Sa1'!VEJ816/10)-'NF - 5 Power Mix'!VEG21-'NF - 5 Power Mix'!VEG22</f>
        <v>0</v>
      </c>
      <c r="VEH42" s="1046">
        <f>VEH38+((VEH40+'NF - 5 Power Mix'!VEH14+'NF - 5 Power Mix'!VEH15)*860/10)+((('Form Sa1'!VEK835)*860)/10)+('Form Sa1'!VEK814*'Form Sa1'!VEK816/10)-'NF - 5 Power Mix'!VEH21-'NF - 5 Power Mix'!VEH22</f>
        <v>0</v>
      </c>
      <c r="VEI42" s="1046">
        <f>VEI38+((VEI40+'NF - 5 Power Mix'!VEI14+'NF - 5 Power Mix'!VEI15)*860/10)+((('Form Sa1'!VEL835)*860)/10)+('Form Sa1'!VEL814*'Form Sa1'!VEL816/10)-'NF - 5 Power Mix'!VEI21-'NF - 5 Power Mix'!VEI22</f>
        <v>0</v>
      </c>
      <c r="VEJ42" s="1046">
        <f>VEJ38+((VEJ40+'NF - 5 Power Mix'!VEJ14+'NF - 5 Power Mix'!VEJ15)*860/10)+((('Form Sa1'!VEM835)*860)/10)+('Form Sa1'!VEM814*'Form Sa1'!VEM816/10)-'NF - 5 Power Mix'!VEJ21-'NF - 5 Power Mix'!VEJ22</f>
        <v>0</v>
      </c>
      <c r="VEK42" s="1046">
        <f>VEK38+((VEK40+'NF - 5 Power Mix'!VEK14+'NF - 5 Power Mix'!VEK15)*860/10)+((('Form Sa1'!VEN835)*860)/10)+('Form Sa1'!VEN814*'Form Sa1'!VEN816/10)-'NF - 5 Power Mix'!VEK21-'NF - 5 Power Mix'!VEK22</f>
        <v>0</v>
      </c>
      <c r="VEL42" s="1046">
        <f>VEL38+((VEL40+'NF - 5 Power Mix'!VEL14+'NF - 5 Power Mix'!VEL15)*860/10)+((('Form Sa1'!VEO835)*860)/10)+('Form Sa1'!VEO814*'Form Sa1'!VEO816/10)-'NF - 5 Power Mix'!VEL21-'NF - 5 Power Mix'!VEL22</f>
        <v>0</v>
      </c>
      <c r="VEM42" s="1046">
        <f>VEM38+((VEM40+'NF - 5 Power Mix'!VEM14+'NF - 5 Power Mix'!VEM15)*860/10)+((('Form Sa1'!VEP835)*860)/10)+('Form Sa1'!VEP814*'Form Sa1'!VEP816/10)-'NF - 5 Power Mix'!VEM21-'NF - 5 Power Mix'!VEM22</f>
        <v>0</v>
      </c>
      <c r="VEN42" s="1046">
        <f>VEN38+((VEN40+'NF - 5 Power Mix'!VEN14+'NF - 5 Power Mix'!VEN15)*860/10)+((('Form Sa1'!VEQ835)*860)/10)+('Form Sa1'!VEQ814*'Form Sa1'!VEQ816/10)-'NF - 5 Power Mix'!VEN21-'NF - 5 Power Mix'!VEN22</f>
        <v>0</v>
      </c>
      <c r="VEO42" s="1046">
        <f>VEO38+((VEO40+'NF - 5 Power Mix'!VEO14+'NF - 5 Power Mix'!VEO15)*860/10)+((('Form Sa1'!VER835)*860)/10)+('Form Sa1'!VER814*'Form Sa1'!VER816/10)-'NF - 5 Power Mix'!VEO21-'NF - 5 Power Mix'!VEO22</f>
        <v>0</v>
      </c>
      <c r="VEP42" s="1046">
        <f>VEP38+((VEP40+'NF - 5 Power Mix'!VEP14+'NF - 5 Power Mix'!VEP15)*860/10)+((('Form Sa1'!VES835)*860)/10)+('Form Sa1'!VES814*'Form Sa1'!VES816/10)-'NF - 5 Power Mix'!VEP21-'NF - 5 Power Mix'!VEP22</f>
        <v>0</v>
      </c>
      <c r="VEQ42" s="1046">
        <f>VEQ38+((VEQ40+'NF - 5 Power Mix'!VEQ14+'NF - 5 Power Mix'!VEQ15)*860/10)+((('Form Sa1'!VET835)*860)/10)+('Form Sa1'!VET814*'Form Sa1'!VET816/10)-'NF - 5 Power Mix'!VEQ21-'NF - 5 Power Mix'!VEQ22</f>
        <v>0</v>
      </c>
      <c r="VER42" s="1046">
        <f>VER38+((VER40+'NF - 5 Power Mix'!VER14+'NF - 5 Power Mix'!VER15)*860/10)+((('Form Sa1'!VEU835)*860)/10)+('Form Sa1'!VEU814*'Form Sa1'!VEU816/10)-'NF - 5 Power Mix'!VER21-'NF - 5 Power Mix'!VER22</f>
        <v>0</v>
      </c>
      <c r="VES42" s="1046">
        <f>VES38+((VES40+'NF - 5 Power Mix'!VES14+'NF - 5 Power Mix'!VES15)*860/10)+((('Form Sa1'!VEV835)*860)/10)+('Form Sa1'!VEV814*'Form Sa1'!VEV816/10)-'NF - 5 Power Mix'!VES21-'NF - 5 Power Mix'!VES22</f>
        <v>0</v>
      </c>
      <c r="VET42" s="1046">
        <f>VET38+((VET40+'NF - 5 Power Mix'!VET14+'NF - 5 Power Mix'!VET15)*860/10)+((('Form Sa1'!VEW835)*860)/10)+('Form Sa1'!VEW814*'Form Sa1'!VEW816/10)-'NF - 5 Power Mix'!VET21-'NF - 5 Power Mix'!VET22</f>
        <v>0</v>
      </c>
      <c r="VEU42" s="1046">
        <f>VEU38+((VEU40+'NF - 5 Power Mix'!VEU14+'NF - 5 Power Mix'!VEU15)*860/10)+((('Form Sa1'!VEX835)*860)/10)+('Form Sa1'!VEX814*'Form Sa1'!VEX816/10)-'NF - 5 Power Mix'!VEU21-'NF - 5 Power Mix'!VEU22</f>
        <v>0</v>
      </c>
      <c r="VEV42" s="1046">
        <f>VEV38+((VEV40+'NF - 5 Power Mix'!VEV14+'NF - 5 Power Mix'!VEV15)*860/10)+((('Form Sa1'!VEY835)*860)/10)+('Form Sa1'!VEY814*'Form Sa1'!VEY816/10)-'NF - 5 Power Mix'!VEV21-'NF - 5 Power Mix'!VEV22</f>
        <v>0</v>
      </c>
      <c r="VEW42" s="1046">
        <f>VEW38+((VEW40+'NF - 5 Power Mix'!VEW14+'NF - 5 Power Mix'!VEW15)*860/10)+((('Form Sa1'!VEZ835)*860)/10)+('Form Sa1'!VEZ814*'Form Sa1'!VEZ816/10)-'NF - 5 Power Mix'!VEW21-'NF - 5 Power Mix'!VEW22</f>
        <v>0</v>
      </c>
      <c r="VEX42" s="1046">
        <f>VEX38+((VEX40+'NF - 5 Power Mix'!VEX14+'NF - 5 Power Mix'!VEX15)*860/10)+((('Form Sa1'!VFA835)*860)/10)+('Form Sa1'!VFA814*'Form Sa1'!VFA816/10)-'NF - 5 Power Mix'!VEX21-'NF - 5 Power Mix'!VEX22</f>
        <v>0</v>
      </c>
      <c r="VEY42" s="1046">
        <f>VEY38+((VEY40+'NF - 5 Power Mix'!VEY14+'NF - 5 Power Mix'!VEY15)*860/10)+((('Form Sa1'!VFB835)*860)/10)+('Form Sa1'!VFB814*'Form Sa1'!VFB816/10)-'NF - 5 Power Mix'!VEY21-'NF - 5 Power Mix'!VEY22</f>
        <v>0</v>
      </c>
      <c r="VEZ42" s="1046">
        <f>VEZ38+((VEZ40+'NF - 5 Power Mix'!VEZ14+'NF - 5 Power Mix'!VEZ15)*860/10)+((('Form Sa1'!VFC835)*860)/10)+('Form Sa1'!VFC814*'Form Sa1'!VFC816/10)-'NF - 5 Power Mix'!VEZ21-'NF - 5 Power Mix'!VEZ22</f>
        <v>0</v>
      </c>
      <c r="VFA42" s="1046">
        <f>VFA38+((VFA40+'NF - 5 Power Mix'!VFA14+'NF - 5 Power Mix'!VFA15)*860/10)+((('Form Sa1'!VFD835)*860)/10)+('Form Sa1'!VFD814*'Form Sa1'!VFD816/10)-'NF - 5 Power Mix'!VFA21-'NF - 5 Power Mix'!VFA22</f>
        <v>0</v>
      </c>
      <c r="VFB42" s="1046">
        <f>VFB38+((VFB40+'NF - 5 Power Mix'!VFB14+'NF - 5 Power Mix'!VFB15)*860/10)+((('Form Sa1'!VFE835)*860)/10)+('Form Sa1'!VFE814*'Form Sa1'!VFE816/10)-'NF - 5 Power Mix'!VFB21-'NF - 5 Power Mix'!VFB22</f>
        <v>0</v>
      </c>
      <c r="VFC42" s="1046">
        <f>VFC38+((VFC40+'NF - 5 Power Mix'!VFC14+'NF - 5 Power Mix'!VFC15)*860/10)+((('Form Sa1'!VFF835)*860)/10)+('Form Sa1'!VFF814*'Form Sa1'!VFF816/10)-'NF - 5 Power Mix'!VFC21-'NF - 5 Power Mix'!VFC22</f>
        <v>0</v>
      </c>
      <c r="VFD42" s="1046">
        <f>VFD38+((VFD40+'NF - 5 Power Mix'!VFD14+'NF - 5 Power Mix'!VFD15)*860/10)+((('Form Sa1'!VFG835)*860)/10)+('Form Sa1'!VFG814*'Form Sa1'!VFG816/10)-'NF - 5 Power Mix'!VFD21-'NF - 5 Power Mix'!VFD22</f>
        <v>0</v>
      </c>
      <c r="VFE42" s="1046">
        <f>VFE38+((VFE40+'NF - 5 Power Mix'!VFE14+'NF - 5 Power Mix'!VFE15)*860/10)+((('Form Sa1'!VFH835)*860)/10)+('Form Sa1'!VFH814*'Form Sa1'!VFH816/10)-'NF - 5 Power Mix'!VFE21-'NF - 5 Power Mix'!VFE22</f>
        <v>0</v>
      </c>
      <c r="VFF42" s="1046">
        <f>VFF38+((VFF40+'NF - 5 Power Mix'!VFF14+'NF - 5 Power Mix'!VFF15)*860/10)+((('Form Sa1'!VFI835)*860)/10)+('Form Sa1'!VFI814*'Form Sa1'!VFI816/10)-'NF - 5 Power Mix'!VFF21-'NF - 5 Power Mix'!VFF22</f>
        <v>0</v>
      </c>
      <c r="VFG42" s="1046">
        <f>VFG38+((VFG40+'NF - 5 Power Mix'!VFG14+'NF - 5 Power Mix'!VFG15)*860/10)+((('Form Sa1'!VFJ835)*860)/10)+('Form Sa1'!VFJ814*'Form Sa1'!VFJ816/10)-'NF - 5 Power Mix'!VFG21-'NF - 5 Power Mix'!VFG22</f>
        <v>0</v>
      </c>
      <c r="VFH42" s="1046">
        <f>VFH38+((VFH40+'NF - 5 Power Mix'!VFH14+'NF - 5 Power Mix'!VFH15)*860/10)+((('Form Sa1'!VFK835)*860)/10)+('Form Sa1'!VFK814*'Form Sa1'!VFK816/10)-'NF - 5 Power Mix'!VFH21-'NF - 5 Power Mix'!VFH22</f>
        <v>0</v>
      </c>
      <c r="VFI42" s="1046">
        <f>VFI38+((VFI40+'NF - 5 Power Mix'!VFI14+'NF - 5 Power Mix'!VFI15)*860/10)+((('Form Sa1'!VFL835)*860)/10)+('Form Sa1'!VFL814*'Form Sa1'!VFL816/10)-'NF - 5 Power Mix'!VFI21-'NF - 5 Power Mix'!VFI22</f>
        <v>0</v>
      </c>
      <c r="VFJ42" s="1046">
        <f>VFJ38+((VFJ40+'NF - 5 Power Mix'!VFJ14+'NF - 5 Power Mix'!VFJ15)*860/10)+((('Form Sa1'!VFM835)*860)/10)+('Form Sa1'!VFM814*'Form Sa1'!VFM816/10)-'NF - 5 Power Mix'!VFJ21-'NF - 5 Power Mix'!VFJ22</f>
        <v>0</v>
      </c>
      <c r="VFK42" s="1046">
        <f>VFK38+((VFK40+'NF - 5 Power Mix'!VFK14+'NF - 5 Power Mix'!VFK15)*860/10)+((('Form Sa1'!VFN835)*860)/10)+('Form Sa1'!VFN814*'Form Sa1'!VFN816/10)-'NF - 5 Power Mix'!VFK21-'NF - 5 Power Mix'!VFK22</f>
        <v>0</v>
      </c>
      <c r="VFL42" s="1046">
        <f>VFL38+((VFL40+'NF - 5 Power Mix'!VFL14+'NF - 5 Power Mix'!VFL15)*860/10)+((('Form Sa1'!VFO835)*860)/10)+('Form Sa1'!VFO814*'Form Sa1'!VFO816/10)-'NF - 5 Power Mix'!VFL21-'NF - 5 Power Mix'!VFL22</f>
        <v>0</v>
      </c>
      <c r="VFM42" s="1046">
        <f>VFM38+((VFM40+'NF - 5 Power Mix'!VFM14+'NF - 5 Power Mix'!VFM15)*860/10)+((('Form Sa1'!VFP835)*860)/10)+('Form Sa1'!VFP814*'Form Sa1'!VFP816/10)-'NF - 5 Power Mix'!VFM21-'NF - 5 Power Mix'!VFM22</f>
        <v>0</v>
      </c>
      <c r="VFN42" s="1046">
        <f>VFN38+((VFN40+'NF - 5 Power Mix'!VFN14+'NF - 5 Power Mix'!VFN15)*860/10)+((('Form Sa1'!VFQ835)*860)/10)+('Form Sa1'!VFQ814*'Form Sa1'!VFQ816/10)-'NF - 5 Power Mix'!VFN21-'NF - 5 Power Mix'!VFN22</f>
        <v>0</v>
      </c>
      <c r="VFO42" s="1046">
        <f>VFO38+((VFO40+'NF - 5 Power Mix'!VFO14+'NF - 5 Power Mix'!VFO15)*860/10)+((('Form Sa1'!VFR835)*860)/10)+('Form Sa1'!VFR814*'Form Sa1'!VFR816/10)-'NF - 5 Power Mix'!VFO21-'NF - 5 Power Mix'!VFO22</f>
        <v>0</v>
      </c>
      <c r="VFP42" s="1046">
        <f>VFP38+((VFP40+'NF - 5 Power Mix'!VFP14+'NF - 5 Power Mix'!VFP15)*860/10)+((('Form Sa1'!VFS835)*860)/10)+('Form Sa1'!VFS814*'Form Sa1'!VFS816/10)-'NF - 5 Power Mix'!VFP21-'NF - 5 Power Mix'!VFP22</f>
        <v>0</v>
      </c>
      <c r="VFQ42" s="1046">
        <f>VFQ38+((VFQ40+'NF - 5 Power Mix'!VFQ14+'NF - 5 Power Mix'!VFQ15)*860/10)+((('Form Sa1'!VFT835)*860)/10)+('Form Sa1'!VFT814*'Form Sa1'!VFT816/10)-'NF - 5 Power Mix'!VFQ21-'NF - 5 Power Mix'!VFQ22</f>
        <v>0</v>
      </c>
      <c r="VFR42" s="1046">
        <f>VFR38+((VFR40+'NF - 5 Power Mix'!VFR14+'NF - 5 Power Mix'!VFR15)*860/10)+((('Form Sa1'!VFU835)*860)/10)+('Form Sa1'!VFU814*'Form Sa1'!VFU816/10)-'NF - 5 Power Mix'!VFR21-'NF - 5 Power Mix'!VFR22</f>
        <v>0</v>
      </c>
      <c r="VFS42" s="1046">
        <f>VFS38+((VFS40+'NF - 5 Power Mix'!VFS14+'NF - 5 Power Mix'!VFS15)*860/10)+((('Form Sa1'!VFV835)*860)/10)+('Form Sa1'!VFV814*'Form Sa1'!VFV816/10)-'NF - 5 Power Mix'!VFS21-'NF - 5 Power Mix'!VFS22</f>
        <v>0</v>
      </c>
      <c r="VFT42" s="1046">
        <f>VFT38+((VFT40+'NF - 5 Power Mix'!VFT14+'NF - 5 Power Mix'!VFT15)*860/10)+((('Form Sa1'!VFW835)*860)/10)+('Form Sa1'!VFW814*'Form Sa1'!VFW816/10)-'NF - 5 Power Mix'!VFT21-'NF - 5 Power Mix'!VFT22</f>
        <v>0</v>
      </c>
      <c r="VFU42" s="1046">
        <f>VFU38+((VFU40+'NF - 5 Power Mix'!VFU14+'NF - 5 Power Mix'!VFU15)*860/10)+((('Form Sa1'!VFX835)*860)/10)+('Form Sa1'!VFX814*'Form Sa1'!VFX816/10)-'NF - 5 Power Mix'!VFU21-'NF - 5 Power Mix'!VFU22</f>
        <v>0</v>
      </c>
      <c r="VFV42" s="1046">
        <f>VFV38+((VFV40+'NF - 5 Power Mix'!VFV14+'NF - 5 Power Mix'!VFV15)*860/10)+((('Form Sa1'!VFY835)*860)/10)+('Form Sa1'!VFY814*'Form Sa1'!VFY816/10)-'NF - 5 Power Mix'!VFV21-'NF - 5 Power Mix'!VFV22</f>
        <v>0</v>
      </c>
      <c r="VFW42" s="1046">
        <f>VFW38+((VFW40+'NF - 5 Power Mix'!VFW14+'NF - 5 Power Mix'!VFW15)*860/10)+((('Form Sa1'!VFZ835)*860)/10)+('Form Sa1'!VFZ814*'Form Sa1'!VFZ816/10)-'NF - 5 Power Mix'!VFW21-'NF - 5 Power Mix'!VFW22</f>
        <v>0</v>
      </c>
      <c r="VFX42" s="1046">
        <f>VFX38+((VFX40+'NF - 5 Power Mix'!VFX14+'NF - 5 Power Mix'!VFX15)*860/10)+((('Form Sa1'!VGA835)*860)/10)+('Form Sa1'!VGA814*'Form Sa1'!VGA816/10)-'NF - 5 Power Mix'!VFX21-'NF - 5 Power Mix'!VFX22</f>
        <v>0</v>
      </c>
      <c r="VFY42" s="1046">
        <f>VFY38+((VFY40+'NF - 5 Power Mix'!VFY14+'NF - 5 Power Mix'!VFY15)*860/10)+((('Form Sa1'!VGB835)*860)/10)+('Form Sa1'!VGB814*'Form Sa1'!VGB816/10)-'NF - 5 Power Mix'!VFY21-'NF - 5 Power Mix'!VFY22</f>
        <v>0</v>
      </c>
      <c r="VFZ42" s="1046">
        <f>VFZ38+((VFZ40+'NF - 5 Power Mix'!VFZ14+'NF - 5 Power Mix'!VFZ15)*860/10)+((('Form Sa1'!VGC835)*860)/10)+('Form Sa1'!VGC814*'Form Sa1'!VGC816/10)-'NF - 5 Power Mix'!VFZ21-'NF - 5 Power Mix'!VFZ22</f>
        <v>0</v>
      </c>
      <c r="VGA42" s="1046">
        <f>VGA38+((VGA40+'NF - 5 Power Mix'!VGA14+'NF - 5 Power Mix'!VGA15)*860/10)+((('Form Sa1'!VGD835)*860)/10)+('Form Sa1'!VGD814*'Form Sa1'!VGD816/10)-'NF - 5 Power Mix'!VGA21-'NF - 5 Power Mix'!VGA22</f>
        <v>0</v>
      </c>
      <c r="VGB42" s="1046">
        <f>VGB38+((VGB40+'NF - 5 Power Mix'!VGB14+'NF - 5 Power Mix'!VGB15)*860/10)+((('Form Sa1'!VGE835)*860)/10)+('Form Sa1'!VGE814*'Form Sa1'!VGE816/10)-'NF - 5 Power Mix'!VGB21-'NF - 5 Power Mix'!VGB22</f>
        <v>0</v>
      </c>
      <c r="VGC42" s="1046">
        <f>VGC38+((VGC40+'NF - 5 Power Mix'!VGC14+'NF - 5 Power Mix'!VGC15)*860/10)+((('Form Sa1'!VGF835)*860)/10)+('Form Sa1'!VGF814*'Form Sa1'!VGF816/10)-'NF - 5 Power Mix'!VGC21-'NF - 5 Power Mix'!VGC22</f>
        <v>0</v>
      </c>
      <c r="VGD42" s="1046">
        <f>VGD38+((VGD40+'NF - 5 Power Mix'!VGD14+'NF - 5 Power Mix'!VGD15)*860/10)+((('Form Sa1'!VGG835)*860)/10)+('Form Sa1'!VGG814*'Form Sa1'!VGG816/10)-'NF - 5 Power Mix'!VGD21-'NF - 5 Power Mix'!VGD22</f>
        <v>0</v>
      </c>
      <c r="VGE42" s="1046">
        <f>VGE38+((VGE40+'NF - 5 Power Mix'!VGE14+'NF - 5 Power Mix'!VGE15)*860/10)+((('Form Sa1'!VGH835)*860)/10)+('Form Sa1'!VGH814*'Form Sa1'!VGH816/10)-'NF - 5 Power Mix'!VGE21-'NF - 5 Power Mix'!VGE22</f>
        <v>0</v>
      </c>
      <c r="VGF42" s="1046">
        <f>VGF38+((VGF40+'NF - 5 Power Mix'!VGF14+'NF - 5 Power Mix'!VGF15)*860/10)+((('Form Sa1'!VGI835)*860)/10)+('Form Sa1'!VGI814*'Form Sa1'!VGI816/10)-'NF - 5 Power Mix'!VGF21-'NF - 5 Power Mix'!VGF22</f>
        <v>0</v>
      </c>
      <c r="VGG42" s="1046">
        <f>VGG38+((VGG40+'NF - 5 Power Mix'!VGG14+'NF - 5 Power Mix'!VGG15)*860/10)+((('Form Sa1'!VGJ835)*860)/10)+('Form Sa1'!VGJ814*'Form Sa1'!VGJ816/10)-'NF - 5 Power Mix'!VGG21-'NF - 5 Power Mix'!VGG22</f>
        <v>0</v>
      </c>
      <c r="VGH42" s="1046">
        <f>VGH38+((VGH40+'NF - 5 Power Mix'!VGH14+'NF - 5 Power Mix'!VGH15)*860/10)+((('Form Sa1'!VGK835)*860)/10)+('Form Sa1'!VGK814*'Form Sa1'!VGK816/10)-'NF - 5 Power Mix'!VGH21-'NF - 5 Power Mix'!VGH22</f>
        <v>0</v>
      </c>
      <c r="VGI42" s="1046">
        <f>VGI38+((VGI40+'NF - 5 Power Mix'!VGI14+'NF - 5 Power Mix'!VGI15)*860/10)+((('Form Sa1'!VGL835)*860)/10)+('Form Sa1'!VGL814*'Form Sa1'!VGL816/10)-'NF - 5 Power Mix'!VGI21-'NF - 5 Power Mix'!VGI22</f>
        <v>0</v>
      </c>
      <c r="VGJ42" s="1046">
        <f>VGJ38+((VGJ40+'NF - 5 Power Mix'!VGJ14+'NF - 5 Power Mix'!VGJ15)*860/10)+((('Form Sa1'!VGM835)*860)/10)+('Form Sa1'!VGM814*'Form Sa1'!VGM816/10)-'NF - 5 Power Mix'!VGJ21-'NF - 5 Power Mix'!VGJ22</f>
        <v>0</v>
      </c>
      <c r="VGK42" s="1046">
        <f>VGK38+((VGK40+'NF - 5 Power Mix'!VGK14+'NF - 5 Power Mix'!VGK15)*860/10)+((('Form Sa1'!VGN835)*860)/10)+('Form Sa1'!VGN814*'Form Sa1'!VGN816/10)-'NF - 5 Power Mix'!VGK21-'NF - 5 Power Mix'!VGK22</f>
        <v>0</v>
      </c>
      <c r="VGL42" s="1046">
        <f>VGL38+((VGL40+'NF - 5 Power Mix'!VGL14+'NF - 5 Power Mix'!VGL15)*860/10)+((('Form Sa1'!VGO835)*860)/10)+('Form Sa1'!VGO814*'Form Sa1'!VGO816/10)-'NF - 5 Power Mix'!VGL21-'NF - 5 Power Mix'!VGL22</f>
        <v>0</v>
      </c>
      <c r="VGM42" s="1046">
        <f>VGM38+((VGM40+'NF - 5 Power Mix'!VGM14+'NF - 5 Power Mix'!VGM15)*860/10)+((('Form Sa1'!VGP835)*860)/10)+('Form Sa1'!VGP814*'Form Sa1'!VGP816/10)-'NF - 5 Power Mix'!VGM21-'NF - 5 Power Mix'!VGM22</f>
        <v>0</v>
      </c>
      <c r="VGN42" s="1046">
        <f>VGN38+((VGN40+'NF - 5 Power Mix'!VGN14+'NF - 5 Power Mix'!VGN15)*860/10)+((('Form Sa1'!VGQ835)*860)/10)+('Form Sa1'!VGQ814*'Form Sa1'!VGQ816/10)-'NF - 5 Power Mix'!VGN21-'NF - 5 Power Mix'!VGN22</f>
        <v>0</v>
      </c>
      <c r="VGO42" s="1046">
        <f>VGO38+((VGO40+'NF - 5 Power Mix'!VGO14+'NF - 5 Power Mix'!VGO15)*860/10)+((('Form Sa1'!VGR835)*860)/10)+('Form Sa1'!VGR814*'Form Sa1'!VGR816/10)-'NF - 5 Power Mix'!VGO21-'NF - 5 Power Mix'!VGO22</f>
        <v>0</v>
      </c>
      <c r="VGP42" s="1046">
        <f>VGP38+((VGP40+'NF - 5 Power Mix'!VGP14+'NF - 5 Power Mix'!VGP15)*860/10)+((('Form Sa1'!VGS835)*860)/10)+('Form Sa1'!VGS814*'Form Sa1'!VGS816/10)-'NF - 5 Power Mix'!VGP21-'NF - 5 Power Mix'!VGP22</f>
        <v>0</v>
      </c>
      <c r="VGQ42" s="1046">
        <f>VGQ38+((VGQ40+'NF - 5 Power Mix'!VGQ14+'NF - 5 Power Mix'!VGQ15)*860/10)+((('Form Sa1'!VGT835)*860)/10)+('Form Sa1'!VGT814*'Form Sa1'!VGT816/10)-'NF - 5 Power Mix'!VGQ21-'NF - 5 Power Mix'!VGQ22</f>
        <v>0</v>
      </c>
      <c r="VGR42" s="1046">
        <f>VGR38+((VGR40+'NF - 5 Power Mix'!VGR14+'NF - 5 Power Mix'!VGR15)*860/10)+((('Form Sa1'!VGU835)*860)/10)+('Form Sa1'!VGU814*'Form Sa1'!VGU816/10)-'NF - 5 Power Mix'!VGR21-'NF - 5 Power Mix'!VGR22</f>
        <v>0</v>
      </c>
      <c r="VGS42" s="1046">
        <f>VGS38+((VGS40+'NF - 5 Power Mix'!VGS14+'NF - 5 Power Mix'!VGS15)*860/10)+((('Form Sa1'!VGV835)*860)/10)+('Form Sa1'!VGV814*'Form Sa1'!VGV816/10)-'NF - 5 Power Mix'!VGS21-'NF - 5 Power Mix'!VGS22</f>
        <v>0</v>
      </c>
      <c r="VGT42" s="1046">
        <f>VGT38+((VGT40+'NF - 5 Power Mix'!VGT14+'NF - 5 Power Mix'!VGT15)*860/10)+((('Form Sa1'!VGW835)*860)/10)+('Form Sa1'!VGW814*'Form Sa1'!VGW816/10)-'NF - 5 Power Mix'!VGT21-'NF - 5 Power Mix'!VGT22</f>
        <v>0</v>
      </c>
      <c r="VGU42" s="1046">
        <f>VGU38+((VGU40+'NF - 5 Power Mix'!VGU14+'NF - 5 Power Mix'!VGU15)*860/10)+((('Form Sa1'!VGX835)*860)/10)+('Form Sa1'!VGX814*'Form Sa1'!VGX816/10)-'NF - 5 Power Mix'!VGU21-'NF - 5 Power Mix'!VGU22</f>
        <v>0</v>
      </c>
      <c r="VGV42" s="1046">
        <f>VGV38+((VGV40+'NF - 5 Power Mix'!VGV14+'NF - 5 Power Mix'!VGV15)*860/10)+((('Form Sa1'!VGY835)*860)/10)+('Form Sa1'!VGY814*'Form Sa1'!VGY816/10)-'NF - 5 Power Mix'!VGV21-'NF - 5 Power Mix'!VGV22</f>
        <v>0</v>
      </c>
      <c r="VGW42" s="1046">
        <f>VGW38+((VGW40+'NF - 5 Power Mix'!VGW14+'NF - 5 Power Mix'!VGW15)*860/10)+((('Form Sa1'!VGZ835)*860)/10)+('Form Sa1'!VGZ814*'Form Sa1'!VGZ816/10)-'NF - 5 Power Mix'!VGW21-'NF - 5 Power Mix'!VGW22</f>
        <v>0</v>
      </c>
      <c r="VGX42" s="1046">
        <f>VGX38+((VGX40+'NF - 5 Power Mix'!VGX14+'NF - 5 Power Mix'!VGX15)*860/10)+((('Form Sa1'!VHA835)*860)/10)+('Form Sa1'!VHA814*'Form Sa1'!VHA816/10)-'NF - 5 Power Mix'!VGX21-'NF - 5 Power Mix'!VGX22</f>
        <v>0</v>
      </c>
      <c r="VGY42" s="1046">
        <f>VGY38+((VGY40+'NF - 5 Power Mix'!VGY14+'NF - 5 Power Mix'!VGY15)*860/10)+((('Form Sa1'!VHB835)*860)/10)+('Form Sa1'!VHB814*'Form Sa1'!VHB816/10)-'NF - 5 Power Mix'!VGY21-'NF - 5 Power Mix'!VGY22</f>
        <v>0</v>
      </c>
      <c r="VGZ42" s="1046">
        <f>VGZ38+((VGZ40+'NF - 5 Power Mix'!VGZ14+'NF - 5 Power Mix'!VGZ15)*860/10)+((('Form Sa1'!VHC835)*860)/10)+('Form Sa1'!VHC814*'Form Sa1'!VHC816/10)-'NF - 5 Power Mix'!VGZ21-'NF - 5 Power Mix'!VGZ22</f>
        <v>0</v>
      </c>
      <c r="VHA42" s="1046">
        <f>VHA38+((VHA40+'NF - 5 Power Mix'!VHA14+'NF - 5 Power Mix'!VHA15)*860/10)+((('Form Sa1'!VHD835)*860)/10)+('Form Sa1'!VHD814*'Form Sa1'!VHD816/10)-'NF - 5 Power Mix'!VHA21-'NF - 5 Power Mix'!VHA22</f>
        <v>0</v>
      </c>
      <c r="VHB42" s="1046">
        <f>VHB38+((VHB40+'NF - 5 Power Mix'!VHB14+'NF - 5 Power Mix'!VHB15)*860/10)+((('Form Sa1'!VHE835)*860)/10)+('Form Sa1'!VHE814*'Form Sa1'!VHE816/10)-'NF - 5 Power Mix'!VHB21-'NF - 5 Power Mix'!VHB22</f>
        <v>0</v>
      </c>
      <c r="VHC42" s="1046">
        <f>VHC38+((VHC40+'NF - 5 Power Mix'!VHC14+'NF - 5 Power Mix'!VHC15)*860/10)+((('Form Sa1'!VHF835)*860)/10)+('Form Sa1'!VHF814*'Form Sa1'!VHF816/10)-'NF - 5 Power Mix'!VHC21-'NF - 5 Power Mix'!VHC22</f>
        <v>0</v>
      </c>
      <c r="VHD42" s="1046">
        <f>VHD38+((VHD40+'NF - 5 Power Mix'!VHD14+'NF - 5 Power Mix'!VHD15)*860/10)+((('Form Sa1'!VHG835)*860)/10)+('Form Sa1'!VHG814*'Form Sa1'!VHG816/10)-'NF - 5 Power Mix'!VHD21-'NF - 5 Power Mix'!VHD22</f>
        <v>0</v>
      </c>
      <c r="VHE42" s="1046">
        <f>VHE38+((VHE40+'NF - 5 Power Mix'!VHE14+'NF - 5 Power Mix'!VHE15)*860/10)+((('Form Sa1'!VHH835)*860)/10)+('Form Sa1'!VHH814*'Form Sa1'!VHH816/10)-'NF - 5 Power Mix'!VHE21-'NF - 5 Power Mix'!VHE22</f>
        <v>0</v>
      </c>
      <c r="VHF42" s="1046">
        <f>VHF38+((VHF40+'NF - 5 Power Mix'!VHF14+'NF - 5 Power Mix'!VHF15)*860/10)+((('Form Sa1'!VHI835)*860)/10)+('Form Sa1'!VHI814*'Form Sa1'!VHI816/10)-'NF - 5 Power Mix'!VHF21-'NF - 5 Power Mix'!VHF22</f>
        <v>0</v>
      </c>
      <c r="VHG42" s="1046">
        <f>VHG38+((VHG40+'NF - 5 Power Mix'!VHG14+'NF - 5 Power Mix'!VHG15)*860/10)+((('Form Sa1'!VHJ835)*860)/10)+('Form Sa1'!VHJ814*'Form Sa1'!VHJ816/10)-'NF - 5 Power Mix'!VHG21-'NF - 5 Power Mix'!VHG22</f>
        <v>0</v>
      </c>
      <c r="VHH42" s="1046">
        <f>VHH38+((VHH40+'NF - 5 Power Mix'!VHH14+'NF - 5 Power Mix'!VHH15)*860/10)+((('Form Sa1'!VHK835)*860)/10)+('Form Sa1'!VHK814*'Form Sa1'!VHK816/10)-'NF - 5 Power Mix'!VHH21-'NF - 5 Power Mix'!VHH22</f>
        <v>0</v>
      </c>
      <c r="VHI42" s="1046">
        <f>VHI38+((VHI40+'NF - 5 Power Mix'!VHI14+'NF - 5 Power Mix'!VHI15)*860/10)+((('Form Sa1'!VHL835)*860)/10)+('Form Sa1'!VHL814*'Form Sa1'!VHL816/10)-'NF - 5 Power Mix'!VHI21-'NF - 5 Power Mix'!VHI22</f>
        <v>0</v>
      </c>
      <c r="VHJ42" s="1046">
        <f>VHJ38+((VHJ40+'NF - 5 Power Mix'!VHJ14+'NF - 5 Power Mix'!VHJ15)*860/10)+((('Form Sa1'!VHM835)*860)/10)+('Form Sa1'!VHM814*'Form Sa1'!VHM816/10)-'NF - 5 Power Mix'!VHJ21-'NF - 5 Power Mix'!VHJ22</f>
        <v>0</v>
      </c>
      <c r="VHK42" s="1046">
        <f>VHK38+((VHK40+'NF - 5 Power Mix'!VHK14+'NF - 5 Power Mix'!VHK15)*860/10)+((('Form Sa1'!VHN835)*860)/10)+('Form Sa1'!VHN814*'Form Sa1'!VHN816/10)-'NF - 5 Power Mix'!VHK21-'NF - 5 Power Mix'!VHK22</f>
        <v>0</v>
      </c>
      <c r="VHL42" s="1046">
        <f>VHL38+((VHL40+'NF - 5 Power Mix'!VHL14+'NF - 5 Power Mix'!VHL15)*860/10)+((('Form Sa1'!VHO835)*860)/10)+('Form Sa1'!VHO814*'Form Sa1'!VHO816/10)-'NF - 5 Power Mix'!VHL21-'NF - 5 Power Mix'!VHL22</f>
        <v>0</v>
      </c>
      <c r="VHM42" s="1046">
        <f>VHM38+((VHM40+'NF - 5 Power Mix'!VHM14+'NF - 5 Power Mix'!VHM15)*860/10)+((('Form Sa1'!VHP835)*860)/10)+('Form Sa1'!VHP814*'Form Sa1'!VHP816/10)-'NF - 5 Power Mix'!VHM21-'NF - 5 Power Mix'!VHM22</f>
        <v>0</v>
      </c>
      <c r="VHN42" s="1046">
        <f>VHN38+((VHN40+'NF - 5 Power Mix'!VHN14+'NF - 5 Power Mix'!VHN15)*860/10)+((('Form Sa1'!VHQ835)*860)/10)+('Form Sa1'!VHQ814*'Form Sa1'!VHQ816/10)-'NF - 5 Power Mix'!VHN21-'NF - 5 Power Mix'!VHN22</f>
        <v>0</v>
      </c>
      <c r="VHO42" s="1046">
        <f>VHO38+((VHO40+'NF - 5 Power Mix'!VHO14+'NF - 5 Power Mix'!VHO15)*860/10)+((('Form Sa1'!VHR835)*860)/10)+('Form Sa1'!VHR814*'Form Sa1'!VHR816/10)-'NF - 5 Power Mix'!VHO21-'NF - 5 Power Mix'!VHO22</f>
        <v>0</v>
      </c>
      <c r="VHP42" s="1046">
        <f>VHP38+((VHP40+'NF - 5 Power Mix'!VHP14+'NF - 5 Power Mix'!VHP15)*860/10)+((('Form Sa1'!VHS835)*860)/10)+('Form Sa1'!VHS814*'Form Sa1'!VHS816/10)-'NF - 5 Power Mix'!VHP21-'NF - 5 Power Mix'!VHP22</f>
        <v>0</v>
      </c>
      <c r="VHQ42" s="1046">
        <f>VHQ38+((VHQ40+'NF - 5 Power Mix'!VHQ14+'NF - 5 Power Mix'!VHQ15)*860/10)+((('Form Sa1'!VHT835)*860)/10)+('Form Sa1'!VHT814*'Form Sa1'!VHT816/10)-'NF - 5 Power Mix'!VHQ21-'NF - 5 Power Mix'!VHQ22</f>
        <v>0</v>
      </c>
      <c r="VHR42" s="1046">
        <f>VHR38+((VHR40+'NF - 5 Power Mix'!VHR14+'NF - 5 Power Mix'!VHR15)*860/10)+((('Form Sa1'!VHU835)*860)/10)+('Form Sa1'!VHU814*'Form Sa1'!VHU816/10)-'NF - 5 Power Mix'!VHR21-'NF - 5 Power Mix'!VHR22</f>
        <v>0</v>
      </c>
      <c r="VHS42" s="1046">
        <f>VHS38+((VHS40+'NF - 5 Power Mix'!VHS14+'NF - 5 Power Mix'!VHS15)*860/10)+((('Form Sa1'!VHV835)*860)/10)+('Form Sa1'!VHV814*'Form Sa1'!VHV816/10)-'NF - 5 Power Mix'!VHS21-'NF - 5 Power Mix'!VHS22</f>
        <v>0</v>
      </c>
      <c r="VHT42" s="1046">
        <f>VHT38+((VHT40+'NF - 5 Power Mix'!VHT14+'NF - 5 Power Mix'!VHT15)*860/10)+((('Form Sa1'!VHW835)*860)/10)+('Form Sa1'!VHW814*'Form Sa1'!VHW816/10)-'NF - 5 Power Mix'!VHT21-'NF - 5 Power Mix'!VHT22</f>
        <v>0</v>
      </c>
      <c r="VHU42" s="1046">
        <f>VHU38+((VHU40+'NF - 5 Power Mix'!VHU14+'NF - 5 Power Mix'!VHU15)*860/10)+((('Form Sa1'!VHX835)*860)/10)+('Form Sa1'!VHX814*'Form Sa1'!VHX816/10)-'NF - 5 Power Mix'!VHU21-'NF - 5 Power Mix'!VHU22</f>
        <v>0</v>
      </c>
      <c r="VHV42" s="1046">
        <f>VHV38+((VHV40+'NF - 5 Power Mix'!VHV14+'NF - 5 Power Mix'!VHV15)*860/10)+((('Form Sa1'!VHY835)*860)/10)+('Form Sa1'!VHY814*'Form Sa1'!VHY816/10)-'NF - 5 Power Mix'!VHV21-'NF - 5 Power Mix'!VHV22</f>
        <v>0</v>
      </c>
      <c r="VHW42" s="1046">
        <f>VHW38+((VHW40+'NF - 5 Power Mix'!VHW14+'NF - 5 Power Mix'!VHW15)*860/10)+((('Form Sa1'!VHZ835)*860)/10)+('Form Sa1'!VHZ814*'Form Sa1'!VHZ816/10)-'NF - 5 Power Mix'!VHW21-'NF - 5 Power Mix'!VHW22</f>
        <v>0</v>
      </c>
      <c r="VHX42" s="1046">
        <f>VHX38+((VHX40+'NF - 5 Power Mix'!VHX14+'NF - 5 Power Mix'!VHX15)*860/10)+((('Form Sa1'!VIA835)*860)/10)+('Form Sa1'!VIA814*'Form Sa1'!VIA816/10)-'NF - 5 Power Mix'!VHX21-'NF - 5 Power Mix'!VHX22</f>
        <v>0</v>
      </c>
      <c r="VHY42" s="1046">
        <f>VHY38+((VHY40+'NF - 5 Power Mix'!VHY14+'NF - 5 Power Mix'!VHY15)*860/10)+((('Form Sa1'!VIB835)*860)/10)+('Form Sa1'!VIB814*'Form Sa1'!VIB816/10)-'NF - 5 Power Mix'!VHY21-'NF - 5 Power Mix'!VHY22</f>
        <v>0</v>
      </c>
      <c r="VHZ42" s="1046">
        <f>VHZ38+((VHZ40+'NF - 5 Power Mix'!VHZ14+'NF - 5 Power Mix'!VHZ15)*860/10)+((('Form Sa1'!VIC835)*860)/10)+('Form Sa1'!VIC814*'Form Sa1'!VIC816/10)-'NF - 5 Power Mix'!VHZ21-'NF - 5 Power Mix'!VHZ22</f>
        <v>0</v>
      </c>
      <c r="VIA42" s="1046">
        <f>VIA38+((VIA40+'NF - 5 Power Mix'!VIA14+'NF - 5 Power Mix'!VIA15)*860/10)+((('Form Sa1'!VID835)*860)/10)+('Form Sa1'!VID814*'Form Sa1'!VID816/10)-'NF - 5 Power Mix'!VIA21-'NF - 5 Power Mix'!VIA22</f>
        <v>0</v>
      </c>
      <c r="VIB42" s="1046">
        <f>VIB38+((VIB40+'NF - 5 Power Mix'!VIB14+'NF - 5 Power Mix'!VIB15)*860/10)+((('Form Sa1'!VIE835)*860)/10)+('Form Sa1'!VIE814*'Form Sa1'!VIE816/10)-'NF - 5 Power Mix'!VIB21-'NF - 5 Power Mix'!VIB22</f>
        <v>0</v>
      </c>
      <c r="VIC42" s="1046">
        <f>VIC38+((VIC40+'NF - 5 Power Mix'!VIC14+'NF - 5 Power Mix'!VIC15)*860/10)+((('Form Sa1'!VIF835)*860)/10)+('Form Sa1'!VIF814*'Form Sa1'!VIF816/10)-'NF - 5 Power Mix'!VIC21-'NF - 5 Power Mix'!VIC22</f>
        <v>0</v>
      </c>
      <c r="VID42" s="1046">
        <f>VID38+((VID40+'NF - 5 Power Mix'!VID14+'NF - 5 Power Mix'!VID15)*860/10)+((('Form Sa1'!VIG835)*860)/10)+('Form Sa1'!VIG814*'Form Sa1'!VIG816/10)-'NF - 5 Power Mix'!VID21-'NF - 5 Power Mix'!VID22</f>
        <v>0</v>
      </c>
      <c r="VIE42" s="1046">
        <f>VIE38+((VIE40+'NF - 5 Power Mix'!VIE14+'NF - 5 Power Mix'!VIE15)*860/10)+((('Form Sa1'!VIH835)*860)/10)+('Form Sa1'!VIH814*'Form Sa1'!VIH816/10)-'NF - 5 Power Mix'!VIE21-'NF - 5 Power Mix'!VIE22</f>
        <v>0</v>
      </c>
      <c r="VIF42" s="1046">
        <f>VIF38+((VIF40+'NF - 5 Power Mix'!VIF14+'NF - 5 Power Mix'!VIF15)*860/10)+((('Form Sa1'!VII835)*860)/10)+('Form Sa1'!VII814*'Form Sa1'!VII816/10)-'NF - 5 Power Mix'!VIF21-'NF - 5 Power Mix'!VIF22</f>
        <v>0</v>
      </c>
      <c r="VIG42" s="1046">
        <f>VIG38+((VIG40+'NF - 5 Power Mix'!VIG14+'NF - 5 Power Mix'!VIG15)*860/10)+((('Form Sa1'!VIJ835)*860)/10)+('Form Sa1'!VIJ814*'Form Sa1'!VIJ816/10)-'NF - 5 Power Mix'!VIG21-'NF - 5 Power Mix'!VIG22</f>
        <v>0</v>
      </c>
      <c r="VIH42" s="1046">
        <f>VIH38+((VIH40+'NF - 5 Power Mix'!VIH14+'NF - 5 Power Mix'!VIH15)*860/10)+((('Form Sa1'!VIK835)*860)/10)+('Form Sa1'!VIK814*'Form Sa1'!VIK816/10)-'NF - 5 Power Mix'!VIH21-'NF - 5 Power Mix'!VIH22</f>
        <v>0</v>
      </c>
      <c r="VII42" s="1046">
        <f>VII38+((VII40+'NF - 5 Power Mix'!VII14+'NF - 5 Power Mix'!VII15)*860/10)+((('Form Sa1'!VIL835)*860)/10)+('Form Sa1'!VIL814*'Form Sa1'!VIL816/10)-'NF - 5 Power Mix'!VII21-'NF - 5 Power Mix'!VII22</f>
        <v>0</v>
      </c>
      <c r="VIJ42" s="1046">
        <f>VIJ38+((VIJ40+'NF - 5 Power Mix'!VIJ14+'NF - 5 Power Mix'!VIJ15)*860/10)+((('Form Sa1'!VIM835)*860)/10)+('Form Sa1'!VIM814*'Form Sa1'!VIM816/10)-'NF - 5 Power Mix'!VIJ21-'NF - 5 Power Mix'!VIJ22</f>
        <v>0</v>
      </c>
      <c r="VIK42" s="1046">
        <f>VIK38+((VIK40+'NF - 5 Power Mix'!VIK14+'NF - 5 Power Mix'!VIK15)*860/10)+((('Form Sa1'!VIN835)*860)/10)+('Form Sa1'!VIN814*'Form Sa1'!VIN816/10)-'NF - 5 Power Mix'!VIK21-'NF - 5 Power Mix'!VIK22</f>
        <v>0</v>
      </c>
      <c r="VIL42" s="1046">
        <f>VIL38+((VIL40+'NF - 5 Power Mix'!VIL14+'NF - 5 Power Mix'!VIL15)*860/10)+((('Form Sa1'!VIO835)*860)/10)+('Form Sa1'!VIO814*'Form Sa1'!VIO816/10)-'NF - 5 Power Mix'!VIL21-'NF - 5 Power Mix'!VIL22</f>
        <v>0</v>
      </c>
      <c r="VIM42" s="1046">
        <f>VIM38+((VIM40+'NF - 5 Power Mix'!VIM14+'NF - 5 Power Mix'!VIM15)*860/10)+((('Form Sa1'!VIP835)*860)/10)+('Form Sa1'!VIP814*'Form Sa1'!VIP816/10)-'NF - 5 Power Mix'!VIM21-'NF - 5 Power Mix'!VIM22</f>
        <v>0</v>
      </c>
      <c r="VIN42" s="1046">
        <f>VIN38+((VIN40+'NF - 5 Power Mix'!VIN14+'NF - 5 Power Mix'!VIN15)*860/10)+((('Form Sa1'!VIQ835)*860)/10)+('Form Sa1'!VIQ814*'Form Sa1'!VIQ816/10)-'NF - 5 Power Mix'!VIN21-'NF - 5 Power Mix'!VIN22</f>
        <v>0</v>
      </c>
      <c r="VIO42" s="1046">
        <f>VIO38+((VIO40+'NF - 5 Power Mix'!VIO14+'NF - 5 Power Mix'!VIO15)*860/10)+((('Form Sa1'!VIR835)*860)/10)+('Form Sa1'!VIR814*'Form Sa1'!VIR816/10)-'NF - 5 Power Mix'!VIO21-'NF - 5 Power Mix'!VIO22</f>
        <v>0</v>
      </c>
      <c r="VIP42" s="1046">
        <f>VIP38+((VIP40+'NF - 5 Power Mix'!VIP14+'NF - 5 Power Mix'!VIP15)*860/10)+((('Form Sa1'!VIS835)*860)/10)+('Form Sa1'!VIS814*'Form Sa1'!VIS816/10)-'NF - 5 Power Mix'!VIP21-'NF - 5 Power Mix'!VIP22</f>
        <v>0</v>
      </c>
      <c r="VIQ42" s="1046">
        <f>VIQ38+((VIQ40+'NF - 5 Power Mix'!VIQ14+'NF - 5 Power Mix'!VIQ15)*860/10)+((('Form Sa1'!VIT835)*860)/10)+('Form Sa1'!VIT814*'Form Sa1'!VIT816/10)-'NF - 5 Power Mix'!VIQ21-'NF - 5 Power Mix'!VIQ22</f>
        <v>0</v>
      </c>
      <c r="VIR42" s="1046">
        <f>VIR38+((VIR40+'NF - 5 Power Mix'!VIR14+'NF - 5 Power Mix'!VIR15)*860/10)+((('Form Sa1'!VIU835)*860)/10)+('Form Sa1'!VIU814*'Form Sa1'!VIU816/10)-'NF - 5 Power Mix'!VIR21-'NF - 5 Power Mix'!VIR22</f>
        <v>0</v>
      </c>
      <c r="VIS42" s="1046">
        <f>VIS38+((VIS40+'NF - 5 Power Mix'!VIS14+'NF - 5 Power Mix'!VIS15)*860/10)+((('Form Sa1'!VIV835)*860)/10)+('Form Sa1'!VIV814*'Form Sa1'!VIV816/10)-'NF - 5 Power Mix'!VIS21-'NF - 5 Power Mix'!VIS22</f>
        <v>0</v>
      </c>
      <c r="VIT42" s="1046">
        <f>VIT38+((VIT40+'NF - 5 Power Mix'!VIT14+'NF - 5 Power Mix'!VIT15)*860/10)+((('Form Sa1'!VIW835)*860)/10)+('Form Sa1'!VIW814*'Form Sa1'!VIW816/10)-'NF - 5 Power Mix'!VIT21-'NF - 5 Power Mix'!VIT22</f>
        <v>0</v>
      </c>
      <c r="VIU42" s="1046">
        <f>VIU38+((VIU40+'NF - 5 Power Mix'!VIU14+'NF - 5 Power Mix'!VIU15)*860/10)+((('Form Sa1'!VIX835)*860)/10)+('Form Sa1'!VIX814*'Form Sa1'!VIX816/10)-'NF - 5 Power Mix'!VIU21-'NF - 5 Power Mix'!VIU22</f>
        <v>0</v>
      </c>
      <c r="VIV42" s="1046">
        <f>VIV38+((VIV40+'NF - 5 Power Mix'!VIV14+'NF - 5 Power Mix'!VIV15)*860/10)+((('Form Sa1'!VIY835)*860)/10)+('Form Sa1'!VIY814*'Form Sa1'!VIY816/10)-'NF - 5 Power Mix'!VIV21-'NF - 5 Power Mix'!VIV22</f>
        <v>0</v>
      </c>
      <c r="VIW42" s="1046">
        <f>VIW38+((VIW40+'NF - 5 Power Mix'!VIW14+'NF - 5 Power Mix'!VIW15)*860/10)+((('Form Sa1'!VIZ835)*860)/10)+('Form Sa1'!VIZ814*'Form Sa1'!VIZ816/10)-'NF - 5 Power Mix'!VIW21-'NF - 5 Power Mix'!VIW22</f>
        <v>0</v>
      </c>
      <c r="VIX42" s="1046">
        <f>VIX38+((VIX40+'NF - 5 Power Mix'!VIX14+'NF - 5 Power Mix'!VIX15)*860/10)+((('Form Sa1'!VJA835)*860)/10)+('Form Sa1'!VJA814*'Form Sa1'!VJA816/10)-'NF - 5 Power Mix'!VIX21-'NF - 5 Power Mix'!VIX22</f>
        <v>0</v>
      </c>
      <c r="VIY42" s="1046">
        <f>VIY38+((VIY40+'NF - 5 Power Mix'!VIY14+'NF - 5 Power Mix'!VIY15)*860/10)+((('Form Sa1'!VJB835)*860)/10)+('Form Sa1'!VJB814*'Form Sa1'!VJB816/10)-'NF - 5 Power Mix'!VIY21-'NF - 5 Power Mix'!VIY22</f>
        <v>0</v>
      </c>
      <c r="VIZ42" s="1046">
        <f>VIZ38+((VIZ40+'NF - 5 Power Mix'!VIZ14+'NF - 5 Power Mix'!VIZ15)*860/10)+((('Form Sa1'!VJC835)*860)/10)+('Form Sa1'!VJC814*'Form Sa1'!VJC816/10)-'NF - 5 Power Mix'!VIZ21-'NF - 5 Power Mix'!VIZ22</f>
        <v>0</v>
      </c>
      <c r="VJA42" s="1046">
        <f>VJA38+((VJA40+'NF - 5 Power Mix'!VJA14+'NF - 5 Power Mix'!VJA15)*860/10)+((('Form Sa1'!VJD835)*860)/10)+('Form Sa1'!VJD814*'Form Sa1'!VJD816/10)-'NF - 5 Power Mix'!VJA21-'NF - 5 Power Mix'!VJA22</f>
        <v>0</v>
      </c>
      <c r="VJB42" s="1046">
        <f>VJB38+((VJB40+'NF - 5 Power Mix'!VJB14+'NF - 5 Power Mix'!VJB15)*860/10)+((('Form Sa1'!VJE835)*860)/10)+('Form Sa1'!VJE814*'Form Sa1'!VJE816/10)-'NF - 5 Power Mix'!VJB21-'NF - 5 Power Mix'!VJB22</f>
        <v>0</v>
      </c>
      <c r="VJC42" s="1046">
        <f>VJC38+((VJC40+'NF - 5 Power Mix'!VJC14+'NF - 5 Power Mix'!VJC15)*860/10)+((('Form Sa1'!VJF835)*860)/10)+('Form Sa1'!VJF814*'Form Sa1'!VJF816/10)-'NF - 5 Power Mix'!VJC21-'NF - 5 Power Mix'!VJC22</f>
        <v>0</v>
      </c>
      <c r="VJD42" s="1046">
        <f>VJD38+((VJD40+'NF - 5 Power Mix'!VJD14+'NF - 5 Power Mix'!VJD15)*860/10)+((('Form Sa1'!VJG835)*860)/10)+('Form Sa1'!VJG814*'Form Sa1'!VJG816/10)-'NF - 5 Power Mix'!VJD21-'NF - 5 Power Mix'!VJD22</f>
        <v>0</v>
      </c>
      <c r="VJE42" s="1046">
        <f>VJE38+((VJE40+'NF - 5 Power Mix'!VJE14+'NF - 5 Power Mix'!VJE15)*860/10)+((('Form Sa1'!VJH835)*860)/10)+('Form Sa1'!VJH814*'Form Sa1'!VJH816/10)-'NF - 5 Power Mix'!VJE21-'NF - 5 Power Mix'!VJE22</f>
        <v>0</v>
      </c>
      <c r="VJF42" s="1046">
        <f>VJF38+((VJF40+'NF - 5 Power Mix'!VJF14+'NF - 5 Power Mix'!VJF15)*860/10)+((('Form Sa1'!VJI835)*860)/10)+('Form Sa1'!VJI814*'Form Sa1'!VJI816/10)-'NF - 5 Power Mix'!VJF21-'NF - 5 Power Mix'!VJF22</f>
        <v>0</v>
      </c>
      <c r="VJG42" s="1046">
        <f>VJG38+((VJG40+'NF - 5 Power Mix'!VJG14+'NF - 5 Power Mix'!VJG15)*860/10)+((('Form Sa1'!VJJ835)*860)/10)+('Form Sa1'!VJJ814*'Form Sa1'!VJJ816/10)-'NF - 5 Power Mix'!VJG21-'NF - 5 Power Mix'!VJG22</f>
        <v>0</v>
      </c>
      <c r="VJH42" s="1046">
        <f>VJH38+((VJH40+'NF - 5 Power Mix'!VJH14+'NF - 5 Power Mix'!VJH15)*860/10)+((('Form Sa1'!VJK835)*860)/10)+('Form Sa1'!VJK814*'Form Sa1'!VJK816/10)-'NF - 5 Power Mix'!VJH21-'NF - 5 Power Mix'!VJH22</f>
        <v>0</v>
      </c>
      <c r="VJI42" s="1046">
        <f>VJI38+((VJI40+'NF - 5 Power Mix'!VJI14+'NF - 5 Power Mix'!VJI15)*860/10)+((('Form Sa1'!VJL835)*860)/10)+('Form Sa1'!VJL814*'Form Sa1'!VJL816/10)-'NF - 5 Power Mix'!VJI21-'NF - 5 Power Mix'!VJI22</f>
        <v>0</v>
      </c>
      <c r="VJJ42" s="1046">
        <f>VJJ38+((VJJ40+'NF - 5 Power Mix'!VJJ14+'NF - 5 Power Mix'!VJJ15)*860/10)+((('Form Sa1'!VJM835)*860)/10)+('Form Sa1'!VJM814*'Form Sa1'!VJM816/10)-'NF - 5 Power Mix'!VJJ21-'NF - 5 Power Mix'!VJJ22</f>
        <v>0</v>
      </c>
      <c r="VJK42" s="1046">
        <f>VJK38+((VJK40+'NF - 5 Power Mix'!VJK14+'NF - 5 Power Mix'!VJK15)*860/10)+((('Form Sa1'!VJN835)*860)/10)+('Form Sa1'!VJN814*'Form Sa1'!VJN816/10)-'NF - 5 Power Mix'!VJK21-'NF - 5 Power Mix'!VJK22</f>
        <v>0</v>
      </c>
      <c r="VJL42" s="1046">
        <f>VJL38+((VJL40+'NF - 5 Power Mix'!VJL14+'NF - 5 Power Mix'!VJL15)*860/10)+((('Form Sa1'!VJO835)*860)/10)+('Form Sa1'!VJO814*'Form Sa1'!VJO816/10)-'NF - 5 Power Mix'!VJL21-'NF - 5 Power Mix'!VJL22</f>
        <v>0</v>
      </c>
      <c r="VJM42" s="1046">
        <f>VJM38+((VJM40+'NF - 5 Power Mix'!VJM14+'NF - 5 Power Mix'!VJM15)*860/10)+((('Form Sa1'!VJP835)*860)/10)+('Form Sa1'!VJP814*'Form Sa1'!VJP816/10)-'NF - 5 Power Mix'!VJM21-'NF - 5 Power Mix'!VJM22</f>
        <v>0</v>
      </c>
      <c r="VJN42" s="1046">
        <f>VJN38+((VJN40+'NF - 5 Power Mix'!VJN14+'NF - 5 Power Mix'!VJN15)*860/10)+((('Form Sa1'!VJQ835)*860)/10)+('Form Sa1'!VJQ814*'Form Sa1'!VJQ816/10)-'NF - 5 Power Mix'!VJN21-'NF - 5 Power Mix'!VJN22</f>
        <v>0</v>
      </c>
      <c r="VJO42" s="1046">
        <f>VJO38+((VJO40+'NF - 5 Power Mix'!VJO14+'NF - 5 Power Mix'!VJO15)*860/10)+((('Form Sa1'!VJR835)*860)/10)+('Form Sa1'!VJR814*'Form Sa1'!VJR816/10)-'NF - 5 Power Mix'!VJO21-'NF - 5 Power Mix'!VJO22</f>
        <v>0</v>
      </c>
      <c r="VJP42" s="1046">
        <f>VJP38+((VJP40+'NF - 5 Power Mix'!VJP14+'NF - 5 Power Mix'!VJP15)*860/10)+((('Form Sa1'!VJS835)*860)/10)+('Form Sa1'!VJS814*'Form Sa1'!VJS816/10)-'NF - 5 Power Mix'!VJP21-'NF - 5 Power Mix'!VJP22</f>
        <v>0</v>
      </c>
      <c r="VJQ42" s="1046">
        <f>VJQ38+((VJQ40+'NF - 5 Power Mix'!VJQ14+'NF - 5 Power Mix'!VJQ15)*860/10)+((('Form Sa1'!VJT835)*860)/10)+('Form Sa1'!VJT814*'Form Sa1'!VJT816/10)-'NF - 5 Power Mix'!VJQ21-'NF - 5 Power Mix'!VJQ22</f>
        <v>0</v>
      </c>
      <c r="VJR42" s="1046">
        <f>VJR38+((VJR40+'NF - 5 Power Mix'!VJR14+'NF - 5 Power Mix'!VJR15)*860/10)+((('Form Sa1'!VJU835)*860)/10)+('Form Sa1'!VJU814*'Form Sa1'!VJU816/10)-'NF - 5 Power Mix'!VJR21-'NF - 5 Power Mix'!VJR22</f>
        <v>0</v>
      </c>
      <c r="VJS42" s="1046">
        <f>VJS38+((VJS40+'NF - 5 Power Mix'!VJS14+'NF - 5 Power Mix'!VJS15)*860/10)+((('Form Sa1'!VJV835)*860)/10)+('Form Sa1'!VJV814*'Form Sa1'!VJV816/10)-'NF - 5 Power Mix'!VJS21-'NF - 5 Power Mix'!VJS22</f>
        <v>0</v>
      </c>
      <c r="VJT42" s="1046">
        <f>VJT38+((VJT40+'NF - 5 Power Mix'!VJT14+'NF - 5 Power Mix'!VJT15)*860/10)+((('Form Sa1'!VJW835)*860)/10)+('Form Sa1'!VJW814*'Form Sa1'!VJW816/10)-'NF - 5 Power Mix'!VJT21-'NF - 5 Power Mix'!VJT22</f>
        <v>0</v>
      </c>
      <c r="VJU42" s="1046">
        <f>VJU38+((VJU40+'NF - 5 Power Mix'!VJU14+'NF - 5 Power Mix'!VJU15)*860/10)+((('Form Sa1'!VJX835)*860)/10)+('Form Sa1'!VJX814*'Form Sa1'!VJX816/10)-'NF - 5 Power Mix'!VJU21-'NF - 5 Power Mix'!VJU22</f>
        <v>0</v>
      </c>
      <c r="VJV42" s="1046">
        <f>VJV38+((VJV40+'NF - 5 Power Mix'!VJV14+'NF - 5 Power Mix'!VJV15)*860/10)+((('Form Sa1'!VJY835)*860)/10)+('Form Sa1'!VJY814*'Form Sa1'!VJY816/10)-'NF - 5 Power Mix'!VJV21-'NF - 5 Power Mix'!VJV22</f>
        <v>0</v>
      </c>
      <c r="VJW42" s="1046">
        <f>VJW38+((VJW40+'NF - 5 Power Mix'!VJW14+'NF - 5 Power Mix'!VJW15)*860/10)+((('Form Sa1'!VJZ835)*860)/10)+('Form Sa1'!VJZ814*'Form Sa1'!VJZ816/10)-'NF - 5 Power Mix'!VJW21-'NF - 5 Power Mix'!VJW22</f>
        <v>0</v>
      </c>
      <c r="VJX42" s="1046">
        <f>VJX38+((VJX40+'NF - 5 Power Mix'!VJX14+'NF - 5 Power Mix'!VJX15)*860/10)+((('Form Sa1'!VKA835)*860)/10)+('Form Sa1'!VKA814*'Form Sa1'!VKA816/10)-'NF - 5 Power Mix'!VJX21-'NF - 5 Power Mix'!VJX22</f>
        <v>0</v>
      </c>
      <c r="VJY42" s="1046">
        <f>VJY38+((VJY40+'NF - 5 Power Mix'!VJY14+'NF - 5 Power Mix'!VJY15)*860/10)+((('Form Sa1'!VKB835)*860)/10)+('Form Sa1'!VKB814*'Form Sa1'!VKB816/10)-'NF - 5 Power Mix'!VJY21-'NF - 5 Power Mix'!VJY22</f>
        <v>0</v>
      </c>
      <c r="VJZ42" s="1046">
        <f>VJZ38+((VJZ40+'NF - 5 Power Mix'!VJZ14+'NF - 5 Power Mix'!VJZ15)*860/10)+((('Form Sa1'!VKC835)*860)/10)+('Form Sa1'!VKC814*'Form Sa1'!VKC816/10)-'NF - 5 Power Mix'!VJZ21-'NF - 5 Power Mix'!VJZ22</f>
        <v>0</v>
      </c>
      <c r="VKA42" s="1046">
        <f>VKA38+((VKA40+'NF - 5 Power Mix'!VKA14+'NF - 5 Power Mix'!VKA15)*860/10)+((('Form Sa1'!VKD835)*860)/10)+('Form Sa1'!VKD814*'Form Sa1'!VKD816/10)-'NF - 5 Power Mix'!VKA21-'NF - 5 Power Mix'!VKA22</f>
        <v>0</v>
      </c>
      <c r="VKB42" s="1046">
        <f>VKB38+((VKB40+'NF - 5 Power Mix'!VKB14+'NF - 5 Power Mix'!VKB15)*860/10)+((('Form Sa1'!VKE835)*860)/10)+('Form Sa1'!VKE814*'Form Sa1'!VKE816/10)-'NF - 5 Power Mix'!VKB21-'NF - 5 Power Mix'!VKB22</f>
        <v>0</v>
      </c>
      <c r="VKC42" s="1046">
        <f>VKC38+((VKC40+'NF - 5 Power Mix'!VKC14+'NF - 5 Power Mix'!VKC15)*860/10)+((('Form Sa1'!VKF835)*860)/10)+('Form Sa1'!VKF814*'Form Sa1'!VKF816/10)-'NF - 5 Power Mix'!VKC21-'NF - 5 Power Mix'!VKC22</f>
        <v>0</v>
      </c>
      <c r="VKD42" s="1046">
        <f>VKD38+((VKD40+'NF - 5 Power Mix'!VKD14+'NF - 5 Power Mix'!VKD15)*860/10)+((('Form Sa1'!VKG835)*860)/10)+('Form Sa1'!VKG814*'Form Sa1'!VKG816/10)-'NF - 5 Power Mix'!VKD21-'NF - 5 Power Mix'!VKD22</f>
        <v>0</v>
      </c>
      <c r="VKE42" s="1046">
        <f>VKE38+((VKE40+'NF - 5 Power Mix'!VKE14+'NF - 5 Power Mix'!VKE15)*860/10)+((('Form Sa1'!VKH835)*860)/10)+('Form Sa1'!VKH814*'Form Sa1'!VKH816/10)-'NF - 5 Power Mix'!VKE21-'NF - 5 Power Mix'!VKE22</f>
        <v>0</v>
      </c>
      <c r="VKF42" s="1046">
        <f>VKF38+((VKF40+'NF - 5 Power Mix'!VKF14+'NF - 5 Power Mix'!VKF15)*860/10)+((('Form Sa1'!VKI835)*860)/10)+('Form Sa1'!VKI814*'Form Sa1'!VKI816/10)-'NF - 5 Power Mix'!VKF21-'NF - 5 Power Mix'!VKF22</f>
        <v>0</v>
      </c>
      <c r="VKG42" s="1046">
        <f>VKG38+((VKG40+'NF - 5 Power Mix'!VKG14+'NF - 5 Power Mix'!VKG15)*860/10)+((('Form Sa1'!VKJ835)*860)/10)+('Form Sa1'!VKJ814*'Form Sa1'!VKJ816/10)-'NF - 5 Power Mix'!VKG21-'NF - 5 Power Mix'!VKG22</f>
        <v>0</v>
      </c>
      <c r="VKH42" s="1046">
        <f>VKH38+((VKH40+'NF - 5 Power Mix'!VKH14+'NF - 5 Power Mix'!VKH15)*860/10)+((('Form Sa1'!VKK835)*860)/10)+('Form Sa1'!VKK814*'Form Sa1'!VKK816/10)-'NF - 5 Power Mix'!VKH21-'NF - 5 Power Mix'!VKH22</f>
        <v>0</v>
      </c>
      <c r="VKI42" s="1046">
        <f>VKI38+((VKI40+'NF - 5 Power Mix'!VKI14+'NF - 5 Power Mix'!VKI15)*860/10)+((('Form Sa1'!VKL835)*860)/10)+('Form Sa1'!VKL814*'Form Sa1'!VKL816/10)-'NF - 5 Power Mix'!VKI21-'NF - 5 Power Mix'!VKI22</f>
        <v>0</v>
      </c>
      <c r="VKJ42" s="1046">
        <f>VKJ38+((VKJ40+'NF - 5 Power Mix'!VKJ14+'NF - 5 Power Mix'!VKJ15)*860/10)+((('Form Sa1'!VKM835)*860)/10)+('Form Sa1'!VKM814*'Form Sa1'!VKM816/10)-'NF - 5 Power Mix'!VKJ21-'NF - 5 Power Mix'!VKJ22</f>
        <v>0</v>
      </c>
      <c r="VKK42" s="1046">
        <f>VKK38+((VKK40+'NF - 5 Power Mix'!VKK14+'NF - 5 Power Mix'!VKK15)*860/10)+((('Form Sa1'!VKN835)*860)/10)+('Form Sa1'!VKN814*'Form Sa1'!VKN816/10)-'NF - 5 Power Mix'!VKK21-'NF - 5 Power Mix'!VKK22</f>
        <v>0</v>
      </c>
      <c r="VKL42" s="1046">
        <f>VKL38+((VKL40+'NF - 5 Power Mix'!VKL14+'NF - 5 Power Mix'!VKL15)*860/10)+((('Form Sa1'!VKO835)*860)/10)+('Form Sa1'!VKO814*'Form Sa1'!VKO816/10)-'NF - 5 Power Mix'!VKL21-'NF - 5 Power Mix'!VKL22</f>
        <v>0</v>
      </c>
      <c r="VKM42" s="1046">
        <f>VKM38+((VKM40+'NF - 5 Power Mix'!VKM14+'NF - 5 Power Mix'!VKM15)*860/10)+((('Form Sa1'!VKP835)*860)/10)+('Form Sa1'!VKP814*'Form Sa1'!VKP816/10)-'NF - 5 Power Mix'!VKM21-'NF - 5 Power Mix'!VKM22</f>
        <v>0</v>
      </c>
      <c r="VKN42" s="1046">
        <f>VKN38+((VKN40+'NF - 5 Power Mix'!VKN14+'NF - 5 Power Mix'!VKN15)*860/10)+((('Form Sa1'!VKQ835)*860)/10)+('Form Sa1'!VKQ814*'Form Sa1'!VKQ816/10)-'NF - 5 Power Mix'!VKN21-'NF - 5 Power Mix'!VKN22</f>
        <v>0</v>
      </c>
      <c r="VKO42" s="1046">
        <f>VKO38+((VKO40+'NF - 5 Power Mix'!VKO14+'NF - 5 Power Mix'!VKO15)*860/10)+((('Form Sa1'!VKR835)*860)/10)+('Form Sa1'!VKR814*'Form Sa1'!VKR816/10)-'NF - 5 Power Mix'!VKO21-'NF - 5 Power Mix'!VKO22</f>
        <v>0</v>
      </c>
      <c r="VKP42" s="1046">
        <f>VKP38+((VKP40+'NF - 5 Power Mix'!VKP14+'NF - 5 Power Mix'!VKP15)*860/10)+((('Form Sa1'!VKS835)*860)/10)+('Form Sa1'!VKS814*'Form Sa1'!VKS816/10)-'NF - 5 Power Mix'!VKP21-'NF - 5 Power Mix'!VKP22</f>
        <v>0</v>
      </c>
      <c r="VKQ42" s="1046">
        <f>VKQ38+((VKQ40+'NF - 5 Power Mix'!VKQ14+'NF - 5 Power Mix'!VKQ15)*860/10)+((('Form Sa1'!VKT835)*860)/10)+('Form Sa1'!VKT814*'Form Sa1'!VKT816/10)-'NF - 5 Power Mix'!VKQ21-'NF - 5 Power Mix'!VKQ22</f>
        <v>0</v>
      </c>
      <c r="VKR42" s="1046">
        <f>VKR38+((VKR40+'NF - 5 Power Mix'!VKR14+'NF - 5 Power Mix'!VKR15)*860/10)+((('Form Sa1'!VKU835)*860)/10)+('Form Sa1'!VKU814*'Form Sa1'!VKU816/10)-'NF - 5 Power Mix'!VKR21-'NF - 5 Power Mix'!VKR22</f>
        <v>0</v>
      </c>
      <c r="VKS42" s="1046">
        <f>VKS38+((VKS40+'NF - 5 Power Mix'!VKS14+'NF - 5 Power Mix'!VKS15)*860/10)+((('Form Sa1'!VKV835)*860)/10)+('Form Sa1'!VKV814*'Form Sa1'!VKV816/10)-'NF - 5 Power Mix'!VKS21-'NF - 5 Power Mix'!VKS22</f>
        <v>0</v>
      </c>
      <c r="VKT42" s="1046">
        <f>VKT38+((VKT40+'NF - 5 Power Mix'!VKT14+'NF - 5 Power Mix'!VKT15)*860/10)+((('Form Sa1'!VKW835)*860)/10)+('Form Sa1'!VKW814*'Form Sa1'!VKW816/10)-'NF - 5 Power Mix'!VKT21-'NF - 5 Power Mix'!VKT22</f>
        <v>0</v>
      </c>
      <c r="VKU42" s="1046">
        <f>VKU38+((VKU40+'NF - 5 Power Mix'!VKU14+'NF - 5 Power Mix'!VKU15)*860/10)+((('Form Sa1'!VKX835)*860)/10)+('Form Sa1'!VKX814*'Form Sa1'!VKX816/10)-'NF - 5 Power Mix'!VKU21-'NF - 5 Power Mix'!VKU22</f>
        <v>0</v>
      </c>
      <c r="VKV42" s="1046">
        <f>VKV38+((VKV40+'NF - 5 Power Mix'!VKV14+'NF - 5 Power Mix'!VKV15)*860/10)+((('Form Sa1'!VKY835)*860)/10)+('Form Sa1'!VKY814*'Form Sa1'!VKY816/10)-'NF - 5 Power Mix'!VKV21-'NF - 5 Power Mix'!VKV22</f>
        <v>0</v>
      </c>
      <c r="VKW42" s="1046">
        <f>VKW38+((VKW40+'NF - 5 Power Mix'!VKW14+'NF - 5 Power Mix'!VKW15)*860/10)+((('Form Sa1'!VKZ835)*860)/10)+('Form Sa1'!VKZ814*'Form Sa1'!VKZ816/10)-'NF - 5 Power Mix'!VKW21-'NF - 5 Power Mix'!VKW22</f>
        <v>0</v>
      </c>
      <c r="VKX42" s="1046">
        <f>VKX38+((VKX40+'NF - 5 Power Mix'!VKX14+'NF - 5 Power Mix'!VKX15)*860/10)+((('Form Sa1'!VLA835)*860)/10)+('Form Sa1'!VLA814*'Form Sa1'!VLA816/10)-'NF - 5 Power Mix'!VKX21-'NF - 5 Power Mix'!VKX22</f>
        <v>0</v>
      </c>
      <c r="VKY42" s="1046">
        <f>VKY38+((VKY40+'NF - 5 Power Mix'!VKY14+'NF - 5 Power Mix'!VKY15)*860/10)+((('Form Sa1'!VLB835)*860)/10)+('Form Sa1'!VLB814*'Form Sa1'!VLB816/10)-'NF - 5 Power Mix'!VKY21-'NF - 5 Power Mix'!VKY22</f>
        <v>0</v>
      </c>
      <c r="VKZ42" s="1046">
        <f>VKZ38+((VKZ40+'NF - 5 Power Mix'!VKZ14+'NF - 5 Power Mix'!VKZ15)*860/10)+((('Form Sa1'!VLC835)*860)/10)+('Form Sa1'!VLC814*'Form Sa1'!VLC816/10)-'NF - 5 Power Mix'!VKZ21-'NF - 5 Power Mix'!VKZ22</f>
        <v>0</v>
      </c>
      <c r="VLA42" s="1046">
        <f>VLA38+((VLA40+'NF - 5 Power Mix'!VLA14+'NF - 5 Power Mix'!VLA15)*860/10)+((('Form Sa1'!VLD835)*860)/10)+('Form Sa1'!VLD814*'Form Sa1'!VLD816/10)-'NF - 5 Power Mix'!VLA21-'NF - 5 Power Mix'!VLA22</f>
        <v>0</v>
      </c>
      <c r="VLB42" s="1046">
        <f>VLB38+((VLB40+'NF - 5 Power Mix'!VLB14+'NF - 5 Power Mix'!VLB15)*860/10)+((('Form Sa1'!VLE835)*860)/10)+('Form Sa1'!VLE814*'Form Sa1'!VLE816/10)-'NF - 5 Power Mix'!VLB21-'NF - 5 Power Mix'!VLB22</f>
        <v>0</v>
      </c>
      <c r="VLC42" s="1046">
        <f>VLC38+((VLC40+'NF - 5 Power Mix'!VLC14+'NF - 5 Power Mix'!VLC15)*860/10)+((('Form Sa1'!VLF835)*860)/10)+('Form Sa1'!VLF814*'Form Sa1'!VLF816/10)-'NF - 5 Power Mix'!VLC21-'NF - 5 Power Mix'!VLC22</f>
        <v>0</v>
      </c>
      <c r="VLD42" s="1046">
        <f>VLD38+((VLD40+'NF - 5 Power Mix'!VLD14+'NF - 5 Power Mix'!VLD15)*860/10)+((('Form Sa1'!VLG835)*860)/10)+('Form Sa1'!VLG814*'Form Sa1'!VLG816/10)-'NF - 5 Power Mix'!VLD21-'NF - 5 Power Mix'!VLD22</f>
        <v>0</v>
      </c>
      <c r="VLE42" s="1046">
        <f>VLE38+((VLE40+'NF - 5 Power Mix'!VLE14+'NF - 5 Power Mix'!VLE15)*860/10)+((('Form Sa1'!VLH835)*860)/10)+('Form Sa1'!VLH814*'Form Sa1'!VLH816/10)-'NF - 5 Power Mix'!VLE21-'NF - 5 Power Mix'!VLE22</f>
        <v>0</v>
      </c>
      <c r="VLF42" s="1046">
        <f>VLF38+((VLF40+'NF - 5 Power Mix'!VLF14+'NF - 5 Power Mix'!VLF15)*860/10)+((('Form Sa1'!VLI835)*860)/10)+('Form Sa1'!VLI814*'Form Sa1'!VLI816/10)-'NF - 5 Power Mix'!VLF21-'NF - 5 Power Mix'!VLF22</f>
        <v>0</v>
      </c>
      <c r="VLG42" s="1046">
        <f>VLG38+((VLG40+'NF - 5 Power Mix'!VLG14+'NF - 5 Power Mix'!VLG15)*860/10)+((('Form Sa1'!VLJ835)*860)/10)+('Form Sa1'!VLJ814*'Form Sa1'!VLJ816/10)-'NF - 5 Power Mix'!VLG21-'NF - 5 Power Mix'!VLG22</f>
        <v>0</v>
      </c>
      <c r="VLH42" s="1046">
        <f>VLH38+((VLH40+'NF - 5 Power Mix'!VLH14+'NF - 5 Power Mix'!VLH15)*860/10)+((('Form Sa1'!VLK835)*860)/10)+('Form Sa1'!VLK814*'Form Sa1'!VLK816/10)-'NF - 5 Power Mix'!VLH21-'NF - 5 Power Mix'!VLH22</f>
        <v>0</v>
      </c>
      <c r="VLI42" s="1046">
        <f>VLI38+((VLI40+'NF - 5 Power Mix'!VLI14+'NF - 5 Power Mix'!VLI15)*860/10)+((('Form Sa1'!VLL835)*860)/10)+('Form Sa1'!VLL814*'Form Sa1'!VLL816/10)-'NF - 5 Power Mix'!VLI21-'NF - 5 Power Mix'!VLI22</f>
        <v>0</v>
      </c>
      <c r="VLJ42" s="1046">
        <f>VLJ38+((VLJ40+'NF - 5 Power Mix'!VLJ14+'NF - 5 Power Mix'!VLJ15)*860/10)+((('Form Sa1'!VLM835)*860)/10)+('Form Sa1'!VLM814*'Form Sa1'!VLM816/10)-'NF - 5 Power Mix'!VLJ21-'NF - 5 Power Mix'!VLJ22</f>
        <v>0</v>
      </c>
      <c r="VLK42" s="1046">
        <f>VLK38+((VLK40+'NF - 5 Power Mix'!VLK14+'NF - 5 Power Mix'!VLK15)*860/10)+((('Form Sa1'!VLN835)*860)/10)+('Form Sa1'!VLN814*'Form Sa1'!VLN816/10)-'NF - 5 Power Mix'!VLK21-'NF - 5 Power Mix'!VLK22</f>
        <v>0</v>
      </c>
      <c r="VLL42" s="1046">
        <f>VLL38+((VLL40+'NF - 5 Power Mix'!VLL14+'NF - 5 Power Mix'!VLL15)*860/10)+((('Form Sa1'!VLO835)*860)/10)+('Form Sa1'!VLO814*'Form Sa1'!VLO816/10)-'NF - 5 Power Mix'!VLL21-'NF - 5 Power Mix'!VLL22</f>
        <v>0</v>
      </c>
      <c r="VLM42" s="1046">
        <f>VLM38+((VLM40+'NF - 5 Power Mix'!VLM14+'NF - 5 Power Mix'!VLM15)*860/10)+((('Form Sa1'!VLP835)*860)/10)+('Form Sa1'!VLP814*'Form Sa1'!VLP816/10)-'NF - 5 Power Mix'!VLM21-'NF - 5 Power Mix'!VLM22</f>
        <v>0</v>
      </c>
      <c r="VLN42" s="1046">
        <f>VLN38+((VLN40+'NF - 5 Power Mix'!VLN14+'NF - 5 Power Mix'!VLN15)*860/10)+((('Form Sa1'!VLQ835)*860)/10)+('Form Sa1'!VLQ814*'Form Sa1'!VLQ816/10)-'NF - 5 Power Mix'!VLN21-'NF - 5 Power Mix'!VLN22</f>
        <v>0</v>
      </c>
      <c r="VLO42" s="1046">
        <f>VLO38+((VLO40+'NF - 5 Power Mix'!VLO14+'NF - 5 Power Mix'!VLO15)*860/10)+((('Form Sa1'!VLR835)*860)/10)+('Form Sa1'!VLR814*'Form Sa1'!VLR816/10)-'NF - 5 Power Mix'!VLO21-'NF - 5 Power Mix'!VLO22</f>
        <v>0</v>
      </c>
      <c r="VLP42" s="1046">
        <f>VLP38+((VLP40+'NF - 5 Power Mix'!VLP14+'NF - 5 Power Mix'!VLP15)*860/10)+((('Form Sa1'!VLS835)*860)/10)+('Form Sa1'!VLS814*'Form Sa1'!VLS816/10)-'NF - 5 Power Mix'!VLP21-'NF - 5 Power Mix'!VLP22</f>
        <v>0</v>
      </c>
      <c r="VLQ42" s="1046">
        <f>VLQ38+((VLQ40+'NF - 5 Power Mix'!VLQ14+'NF - 5 Power Mix'!VLQ15)*860/10)+((('Form Sa1'!VLT835)*860)/10)+('Form Sa1'!VLT814*'Form Sa1'!VLT816/10)-'NF - 5 Power Mix'!VLQ21-'NF - 5 Power Mix'!VLQ22</f>
        <v>0</v>
      </c>
      <c r="VLR42" s="1046">
        <f>VLR38+((VLR40+'NF - 5 Power Mix'!VLR14+'NF - 5 Power Mix'!VLR15)*860/10)+((('Form Sa1'!VLU835)*860)/10)+('Form Sa1'!VLU814*'Form Sa1'!VLU816/10)-'NF - 5 Power Mix'!VLR21-'NF - 5 Power Mix'!VLR22</f>
        <v>0</v>
      </c>
      <c r="VLS42" s="1046">
        <f>VLS38+((VLS40+'NF - 5 Power Mix'!VLS14+'NF - 5 Power Mix'!VLS15)*860/10)+((('Form Sa1'!VLV835)*860)/10)+('Form Sa1'!VLV814*'Form Sa1'!VLV816/10)-'NF - 5 Power Mix'!VLS21-'NF - 5 Power Mix'!VLS22</f>
        <v>0</v>
      </c>
      <c r="VLT42" s="1046">
        <f>VLT38+((VLT40+'NF - 5 Power Mix'!VLT14+'NF - 5 Power Mix'!VLT15)*860/10)+((('Form Sa1'!VLW835)*860)/10)+('Form Sa1'!VLW814*'Form Sa1'!VLW816/10)-'NF - 5 Power Mix'!VLT21-'NF - 5 Power Mix'!VLT22</f>
        <v>0</v>
      </c>
      <c r="VLU42" s="1046">
        <f>VLU38+((VLU40+'NF - 5 Power Mix'!VLU14+'NF - 5 Power Mix'!VLU15)*860/10)+((('Form Sa1'!VLX835)*860)/10)+('Form Sa1'!VLX814*'Form Sa1'!VLX816/10)-'NF - 5 Power Mix'!VLU21-'NF - 5 Power Mix'!VLU22</f>
        <v>0</v>
      </c>
      <c r="VLV42" s="1046">
        <f>VLV38+((VLV40+'NF - 5 Power Mix'!VLV14+'NF - 5 Power Mix'!VLV15)*860/10)+((('Form Sa1'!VLY835)*860)/10)+('Form Sa1'!VLY814*'Form Sa1'!VLY816/10)-'NF - 5 Power Mix'!VLV21-'NF - 5 Power Mix'!VLV22</f>
        <v>0</v>
      </c>
      <c r="VLW42" s="1046">
        <f>VLW38+((VLW40+'NF - 5 Power Mix'!VLW14+'NF - 5 Power Mix'!VLW15)*860/10)+((('Form Sa1'!VLZ835)*860)/10)+('Form Sa1'!VLZ814*'Form Sa1'!VLZ816/10)-'NF - 5 Power Mix'!VLW21-'NF - 5 Power Mix'!VLW22</f>
        <v>0</v>
      </c>
      <c r="VLX42" s="1046">
        <f>VLX38+((VLX40+'NF - 5 Power Mix'!VLX14+'NF - 5 Power Mix'!VLX15)*860/10)+((('Form Sa1'!VMA835)*860)/10)+('Form Sa1'!VMA814*'Form Sa1'!VMA816/10)-'NF - 5 Power Mix'!VLX21-'NF - 5 Power Mix'!VLX22</f>
        <v>0</v>
      </c>
      <c r="VLY42" s="1046">
        <f>VLY38+((VLY40+'NF - 5 Power Mix'!VLY14+'NF - 5 Power Mix'!VLY15)*860/10)+((('Form Sa1'!VMB835)*860)/10)+('Form Sa1'!VMB814*'Form Sa1'!VMB816/10)-'NF - 5 Power Mix'!VLY21-'NF - 5 Power Mix'!VLY22</f>
        <v>0</v>
      </c>
      <c r="VLZ42" s="1046">
        <f>VLZ38+((VLZ40+'NF - 5 Power Mix'!VLZ14+'NF - 5 Power Mix'!VLZ15)*860/10)+((('Form Sa1'!VMC835)*860)/10)+('Form Sa1'!VMC814*'Form Sa1'!VMC816/10)-'NF - 5 Power Mix'!VLZ21-'NF - 5 Power Mix'!VLZ22</f>
        <v>0</v>
      </c>
      <c r="VMA42" s="1046">
        <f>VMA38+((VMA40+'NF - 5 Power Mix'!VMA14+'NF - 5 Power Mix'!VMA15)*860/10)+((('Form Sa1'!VMD835)*860)/10)+('Form Sa1'!VMD814*'Form Sa1'!VMD816/10)-'NF - 5 Power Mix'!VMA21-'NF - 5 Power Mix'!VMA22</f>
        <v>0</v>
      </c>
      <c r="VMB42" s="1046">
        <f>VMB38+((VMB40+'NF - 5 Power Mix'!VMB14+'NF - 5 Power Mix'!VMB15)*860/10)+((('Form Sa1'!VME835)*860)/10)+('Form Sa1'!VME814*'Form Sa1'!VME816/10)-'NF - 5 Power Mix'!VMB21-'NF - 5 Power Mix'!VMB22</f>
        <v>0</v>
      </c>
      <c r="VMC42" s="1046">
        <f>VMC38+((VMC40+'NF - 5 Power Mix'!VMC14+'NF - 5 Power Mix'!VMC15)*860/10)+((('Form Sa1'!VMF835)*860)/10)+('Form Sa1'!VMF814*'Form Sa1'!VMF816/10)-'NF - 5 Power Mix'!VMC21-'NF - 5 Power Mix'!VMC22</f>
        <v>0</v>
      </c>
      <c r="VMD42" s="1046">
        <f>VMD38+((VMD40+'NF - 5 Power Mix'!VMD14+'NF - 5 Power Mix'!VMD15)*860/10)+((('Form Sa1'!VMG835)*860)/10)+('Form Sa1'!VMG814*'Form Sa1'!VMG816/10)-'NF - 5 Power Mix'!VMD21-'NF - 5 Power Mix'!VMD22</f>
        <v>0</v>
      </c>
      <c r="VME42" s="1046">
        <f>VME38+((VME40+'NF - 5 Power Mix'!VME14+'NF - 5 Power Mix'!VME15)*860/10)+((('Form Sa1'!VMH835)*860)/10)+('Form Sa1'!VMH814*'Form Sa1'!VMH816/10)-'NF - 5 Power Mix'!VME21-'NF - 5 Power Mix'!VME22</f>
        <v>0</v>
      </c>
      <c r="VMF42" s="1046">
        <f>VMF38+((VMF40+'NF - 5 Power Mix'!VMF14+'NF - 5 Power Mix'!VMF15)*860/10)+((('Form Sa1'!VMI835)*860)/10)+('Form Sa1'!VMI814*'Form Sa1'!VMI816/10)-'NF - 5 Power Mix'!VMF21-'NF - 5 Power Mix'!VMF22</f>
        <v>0</v>
      </c>
      <c r="VMG42" s="1046">
        <f>VMG38+((VMG40+'NF - 5 Power Mix'!VMG14+'NF - 5 Power Mix'!VMG15)*860/10)+((('Form Sa1'!VMJ835)*860)/10)+('Form Sa1'!VMJ814*'Form Sa1'!VMJ816/10)-'NF - 5 Power Mix'!VMG21-'NF - 5 Power Mix'!VMG22</f>
        <v>0</v>
      </c>
      <c r="VMH42" s="1046">
        <f>VMH38+((VMH40+'NF - 5 Power Mix'!VMH14+'NF - 5 Power Mix'!VMH15)*860/10)+((('Form Sa1'!VMK835)*860)/10)+('Form Sa1'!VMK814*'Form Sa1'!VMK816/10)-'NF - 5 Power Mix'!VMH21-'NF - 5 Power Mix'!VMH22</f>
        <v>0</v>
      </c>
      <c r="VMI42" s="1046">
        <f>VMI38+((VMI40+'NF - 5 Power Mix'!VMI14+'NF - 5 Power Mix'!VMI15)*860/10)+((('Form Sa1'!VML835)*860)/10)+('Form Sa1'!VML814*'Form Sa1'!VML816/10)-'NF - 5 Power Mix'!VMI21-'NF - 5 Power Mix'!VMI22</f>
        <v>0</v>
      </c>
      <c r="VMJ42" s="1046">
        <f>VMJ38+((VMJ40+'NF - 5 Power Mix'!VMJ14+'NF - 5 Power Mix'!VMJ15)*860/10)+((('Form Sa1'!VMM835)*860)/10)+('Form Sa1'!VMM814*'Form Sa1'!VMM816/10)-'NF - 5 Power Mix'!VMJ21-'NF - 5 Power Mix'!VMJ22</f>
        <v>0</v>
      </c>
      <c r="VMK42" s="1046">
        <f>VMK38+((VMK40+'NF - 5 Power Mix'!VMK14+'NF - 5 Power Mix'!VMK15)*860/10)+((('Form Sa1'!VMN835)*860)/10)+('Form Sa1'!VMN814*'Form Sa1'!VMN816/10)-'NF - 5 Power Mix'!VMK21-'NF - 5 Power Mix'!VMK22</f>
        <v>0</v>
      </c>
      <c r="VML42" s="1046">
        <f>VML38+((VML40+'NF - 5 Power Mix'!VML14+'NF - 5 Power Mix'!VML15)*860/10)+((('Form Sa1'!VMO835)*860)/10)+('Form Sa1'!VMO814*'Form Sa1'!VMO816/10)-'NF - 5 Power Mix'!VML21-'NF - 5 Power Mix'!VML22</f>
        <v>0</v>
      </c>
      <c r="VMM42" s="1046">
        <f>VMM38+((VMM40+'NF - 5 Power Mix'!VMM14+'NF - 5 Power Mix'!VMM15)*860/10)+((('Form Sa1'!VMP835)*860)/10)+('Form Sa1'!VMP814*'Form Sa1'!VMP816/10)-'NF - 5 Power Mix'!VMM21-'NF - 5 Power Mix'!VMM22</f>
        <v>0</v>
      </c>
      <c r="VMN42" s="1046">
        <f>VMN38+((VMN40+'NF - 5 Power Mix'!VMN14+'NF - 5 Power Mix'!VMN15)*860/10)+((('Form Sa1'!VMQ835)*860)/10)+('Form Sa1'!VMQ814*'Form Sa1'!VMQ816/10)-'NF - 5 Power Mix'!VMN21-'NF - 5 Power Mix'!VMN22</f>
        <v>0</v>
      </c>
      <c r="VMO42" s="1046">
        <f>VMO38+((VMO40+'NF - 5 Power Mix'!VMO14+'NF - 5 Power Mix'!VMO15)*860/10)+((('Form Sa1'!VMR835)*860)/10)+('Form Sa1'!VMR814*'Form Sa1'!VMR816/10)-'NF - 5 Power Mix'!VMO21-'NF - 5 Power Mix'!VMO22</f>
        <v>0</v>
      </c>
      <c r="VMP42" s="1046">
        <f>VMP38+((VMP40+'NF - 5 Power Mix'!VMP14+'NF - 5 Power Mix'!VMP15)*860/10)+((('Form Sa1'!VMS835)*860)/10)+('Form Sa1'!VMS814*'Form Sa1'!VMS816/10)-'NF - 5 Power Mix'!VMP21-'NF - 5 Power Mix'!VMP22</f>
        <v>0</v>
      </c>
      <c r="VMQ42" s="1046">
        <f>VMQ38+((VMQ40+'NF - 5 Power Mix'!VMQ14+'NF - 5 Power Mix'!VMQ15)*860/10)+((('Form Sa1'!VMT835)*860)/10)+('Form Sa1'!VMT814*'Form Sa1'!VMT816/10)-'NF - 5 Power Mix'!VMQ21-'NF - 5 Power Mix'!VMQ22</f>
        <v>0</v>
      </c>
      <c r="VMR42" s="1046">
        <f>VMR38+((VMR40+'NF - 5 Power Mix'!VMR14+'NF - 5 Power Mix'!VMR15)*860/10)+((('Form Sa1'!VMU835)*860)/10)+('Form Sa1'!VMU814*'Form Sa1'!VMU816/10)-'NF - 5 Power Mix'!VMR21-'NF - 5 Power Mix'!VMR22</f>
        <v>0</v>
      </c>
      <c r="VMS42" s="1046">
        <f>VMS38+((VMS40+'NF - 5 Power Mix'!VMS14+'NF - 5 Power Mix'!VMS15)*860/10)+((('Form Sa1'!VMV835)*860)/10)+('Form Sa1'!VMV814*'Form Sa1'!VMV816/10)-'NF - 5 Power Mix'!VMS21-'NF - 5 Power Mix'!VMS22</f>
        <v>0</v>
      </c>
      <c r="VMT42" s="1046">
        <f>VMT38+((VMT40+'NF - 5 Power Mix'!VMT14+'NF - 5 Power Mix'!VMT15)*860/10)+((('Form Sa1'!VMW835)*860)/10)+('Form Sa1'!VMW814*'Form Sa1'!VMW816/10)-'NF - 5 Power Mix'!VMT21-'NF - 5 Power Mix'!VMT22</f>
        <v>0</v>
      </c>
      <c r="VMU42" s="1046">
        <f>VMU38+((VMU40+'NF - 5 Power Mix'!VMU14+'NF - 5 Power Mix'!VMU15)*860/10)+((('Form Sa1'!VMX835)*860)/10)+('Form Sa1'!VMX814*'Form Sa1'!VMX816/10)-'NF - 5 Power Mix'!VMU21-'NF - 5 Power Mix'!VMU22</f>
        <v>0</v>
      </c>
      <c r="VMV42" s="1046">
        <f>VMV38+((VMV40+'NF - 5 Power Mix'!VMV14+'NF - 5 Power Mix'!VMV15)*860/10)+((('Form Sa1'!VMY835)*860)/10)+('Form Sa1'!VMY814*'Form Sa1'!VMY816/10)-'NF - 5 Power Mix'!VMV21-'NF - 5 Power Mix'!VMV22</f>
        <v>0</v>
      </c>
      <c r="VMW42" s="1046">
        <f>VMW38+((VMW40+'NF - 5 Power Mix'!VMW14+'NF - 5 Power Mix'!VMW15)*860/10)+((('Form Sa1'!VMZ835)*860)/10)+('Form Sa1'!VMZ814*'Form Sa1'!VMZ816/10)-'NF - 5 Power Mix'!VMW21-'NF - 5 Power Mix'!VMW22</f>
        <v>0</v>
      </c>
      <c r="VMX42" s="1046">
        <f>VMX38+((VMX40+'NF - 5 Power Mix'!VMX14+'NF - 5 Power Mix'!VMX15)*860/10)+((('Form Sa1'!VNA835)*860)/10)+('Form Sa1'!VNA814*'Form Sa1'!VNA816/10)-'NF - 5 Power Mix'!VMX21-'NF - 5 Power Mix'!VMX22</f>
        <v>0</v>
      </c>
      <c r="VMY42" s="1046">
        <f>VMY38+((VMY40+'NF - 5 Power Mix'!VMY14+'NF - 5 Power Mix'!VMY15)*860/10)+((('Form Sa1'!VNB835)*860)/10)+('Form Sa1'!VNB814*'Form Sa1'!VNB816/10)-'NF - 5 Power Mix'!VMY21-'NF - 5 Power Mix'!VMY22</f>
        <v>0</v>
      </c>
      <c r="VMZ42" s="1046">
        <f>VMZ38+((VMZ40+'NF - 5 Power Mix'!VMZ14+'NF - 5 Power Mix'!VMZ15)*860/10)+((('Form Sa1'!VNC835)*860)/10)+('Form Sa1'!VNC814*'Form Sa1'!VNC816/10)-'NF - 5 Power Mix'!VMZ21-'NF - 5 Power Mix'!VMZ22</f>
        <v>0</v>
      </c>
      <c r="VNA42" s="1046">
        <f>VNA38+((VNA40+'NF - 5 Power Mix'!VNA14+'NF - 5 Power Mix'!VNA15)*860/10)+((('Form Sa1'!VND835)*860)/10)+('Form Sa1'!VND814*'Form Sa1'!VND816/10)-'NF - 5 Power Mix'!VNA21-'NF - 5 Power Mix'!VNA22</f>
        <v>0</v>
      </c>
      <c r="VNB42" s="1046">
        <f>VNB38+((VNB40+'NF - 5 Power Mix'!VNB14+'NF - 5 Power Mix'!VNB15)*860/10)+((('Form Sa1'!VNE835)*860)/10)+('Form Sa1'!VNE814*'Form Sa1'!VNE816/10)-'NF - 5 Power Mix'!VNB21-'NF - 5 Power Mix'!VNB22</f>
        <v>0</v>
      </c>
      <c r="VNC42" s="1046">
        <f>VNC38+((VNC40+'NF - 5 Power Mix'!VNC14+'NF - 5 Power Mix'!VNC15)*860/10)+((('Form Sa1'!VNF835)*860)/10)+('Form Sa1'!VNF814*'Form Sa1'!VNF816/10)-'NF - 5 Power Mix'!VNC21-'NF - 5 Power Mix'!VNC22</f>
        <v>0</v>
      </c>
      <c r="VND42" s="1046">
        <f>VND38+((VND40+'NF - 5 Power Mix'!VND14+'NF - 5 Power Mix'!VND15)*860/10)+((('Form Sa1'!VNG835)*860)/10)+('Form Sa1'!VNG814*'Form Sa1'!VNG816/10)-'NF - 5 Power Mix'!VND21-'NF - 5 Power Mix'!VND22</f>
        <v>0</v>
      </c>
      <c r="VNE42" s="1046">
        <f>VNE38+((VNE40+'NF - 5 Power Mix'!VNE14+'NF - 5 Power Mix'!VNE15)*860/10)+((('Form Sa1'!VNH835)*860)/10)+('Form Sa1'!VNH814*'Form Sa1'!VNH816/10)-'NF - 5 Power Mix'!VNE21-'NF - 5 Power Mix'!VNE22</f>
        <v>0</v>
      </c>
      <c r="VNF42" s="1046">
        <f>VNF38+((VNF40+'NF - 5 Power Mix'!VNF14+'NF - 5 Power Mix'!VNF15)*860/10)+((('Form Sa1'!VNI835)*860)/10)+('Form Sa1'!VNI814*'Form Sa1'!VNI816/10)-'NF - 5 Power Mix'!VNF21-'NF - 5 Power Mix'!VNF22</f>
        <v>0</v>
      </c>
      <c r="VNG42" s="1046">
        <f>VNG38+((VNG40+'NF - 5 Power Mix'!VNG14+'NF - 5 Power Mix'!VNG15)*860/10)+((('Form Sa1'!VNJ835)*860)/10)+('Form Sa1'!VNJ814*'Form Sa1'!VNJ816/10)-'NF - 5 Power Mix'!VNG21-'NF - 5 Power Mix'!VNG22</f>
        <v>0</v>
      </c>
      <c r="VNH42" s="1046">
        <f>VNH38+((VNH40+'NF - 5 Power Mix'!VNH14+'NF - 5 Power Mix'!VNH15)*860/10)+((('Form Sa1'!VNK835)*860)/10)+('Form Sa1'!VNK814*'Form Sa1'!VNK816/10)-'NF - 5 Power Mix'!VNH21-'NF - 5 Power Mix'!VNH22</f>
        <v>0</v>
      </c>
      <c r="VNI42" s="1046">
        <f>VNI38+((VNI40+'NF - 5 Power Mix'!VNI14+'NF - 5 Power Mix'!VNI15)*860/10)+((('Form Sa1'!VNL835)*860)/10)+('Form Sa1'!VNL814*'Form Sa1'!VNL816/10)-'NF - 5 Power Mix'!VNI21-'NF - 5 Power Mix'!VNI22</f>
        <v>0</v>
      </c>
      <c r="VNJ42" s="1046">
        <f>VNJ38+((VNJ40+'NF - 5 Power Mix'!VNJ14+'NF - 5 Power Mix'!VNJ15)*860/10)+((('Form Sa1'!VNM835)*860)/10)+('Form Sa1'!VNM814*'Form Sa1'!VNM816/10)-'NF - 5 Power Mix'!VNJ21-'NF - 5 Power Mix'!VNJ22</f>
        <v>0</v>
      </c>
      <c r="VNK42" s="1046">
        <f>VNK38+((VNK40+'NF - 5 Power Mix'!VNK14+'NF - 5 Power Mix'!VNK15)*860/10)+((('Form Sa1'!VNN835)*860)/10)+('Form Sa1'!VNN814*'Form Sa1'!VNN816/10)-'NF - 5 Power Mix'!VNK21-'NF - 5 Power Mix'!VNK22</f>
        <v>0</v>
      </c>
      <c r="VNL42" s="1046">
        <f>VNL38+((VNL40+'NF - 5 Power Mix'!VNL14+'NF - 5 Power Mix'!VNL15)*860/10)+((('Form Sa1'!VNO835)*860)/10)+('Form Sa1'!VNO814*'Form Sa1'!VNO816/10)-'NF - 5 Power Mix'!VNL21-'NF - 5 Power Mix'!VNL22</f>
        <v>0</v>
      </c>
      <c r="VNM42" s="1046">
        <f>VNM38+((VNM40+'NF - 5 Power Mix'!VNM14+'NF - 5 Power Mix'!VNM15)*860/10)+((('Form Sa1'!VNP835)*860)/10)+('Form Sa1'!VNP814*'Form Sa1'!VNP816/10)-'NF - 5 Power Mix'!VNM21-'NF - 5 Power Mix'!VNM22</f>
        <v>0</v>
      </c>
      <c r="VNN42" s="1046">
        <f>VNN38+((VNN40+'NF - 5 Power Mix'!VNN14+'NF - 5 Power Mix'!VNN15)*860/10)+((('Form Sa1'!VNQ835)*860)/10)+('Form Sa1'!VNQ814*'Form Sa1'!VNQ816/10)-'NF - 5 Power Mix'!VNN21-'NF - 5 Power Mix'!VNN22</f>
        <v>0</v>
      </c>
      <c r="VNO42" s="1046">
        <f>VNO38+((VNO40+'NF - 5 Power Mix'!VNO14+'NF - 5 Power Mix'!VNO15)*860/10)+((('Form Sa1'!VNR835)*860)/10)+('Form Sa1'!VNR814*'Form Sa1'!VNR816/10)-'NF - 5 Power Mix'!VNO21-'NF - 5 Power Mix'!VNO22</f>
        <v>0</v>
      </c>
      <c r="VNP42" s="1046">
        <f>VNP38+((VNP40+'NF - 5 Power Mix'!VNP14+'NF - 5 Power Mix'!VNP15)*860/10)+((('Form Sa1'!VNS835)*860)/10)+('Form Sa1'!VNS814*'Form Sa1'!VNS816/10)-'NF - 5 Power Mix'!VNP21-'NF - 5 Power Mix'!VNP22</f>
        <v>0</v>
      </c>
      <c r="VNQ42" s="1046">
        <f>VNQ38+((VNQ40+'NF - 5 Power Mix'!VNQ14+'NF - 5 Power Mix'!VNQ15)*860/10)+((('Form Sa1'!VNT835)*860)/10)+('Form Sa1'!VNT814*'Form Sa1'!VNT816/10)-'NF - 5 Power Mix'!VNQ21-'NF - 5 Power Mix'!VNQ22</f>
        <v>0</v>
      </c>
      <c r="VNR42" s="1046">
        <f>VNR38+((VNR40+'NF - 5 Power Mix'!VNR14+'NF - 5 Power Mix'!VNR15)*860/10)+((('Form Sa1'!VNU835)*860)/10)+('Form Sa1'!VNU814*'Form Sa1'!VNU816/10)-'NF - 5 Power Mix'!VNR21-'NF - 5 Power Mix'!VNR22</f>
        <v>0</v>
      </c>
      <c r="VNS42" s="1046">
        <f>VNS38+((VNS40+'NF - 5 Power Mix'!VNS14+'NF - 5 Power Mix'!VNS15)*860/10)+((('Form Sa1'!VNV835)*860)/10)+('Form Sa1'!VNV814*'Form Sa1'!VNV816/10)-'NF - 5 Power Mix'!VNS21-'NF - 5 Power Mix'!VNS22</f>
        <v>0</v>
      </c>
      <c r="VNT42" s="1046">
        <f>VNT38+((VNT40+'NF - 5 Power Mix'!VNT14+'NF - 5 Power Mix'!VNT15)*860/10)+((('Form Sa1'!VNW835)*860)/10)+('Form Sa1'!VNW814*'Form Sa1'!VNW816/10)-'NF - 5 Power Mix'!VNT21-'NF - 5 Power Mix'!VNT22</f>
        <v>0</v>
      </c>
      <c r="VNU42" s="1046">
        <f>VNU38+((VNU40+'NF - 5 Power Mix'!VNU14+'NF - 5 Power Mix'!VNU15)*860/10)+((('Form Sa1'!VNX835)*860)/10)+('Form Sa1'!VNX814*'Form Sa1'!VNX816/10)-'NF - 5 Power Mix'!VNU21-'NF - 5 Power Mix'!VNU22</f>
        <v>0</v>
      </c>
      <c r="VNV42" s="1046">
        <f>VNV38+((VNV40+'NF - 5 Power Mix'!VNV14+'NF - 5 Power Mix'!VNV15)*860/10)+((('Form Sa1'!VNY835)*860)/10)+('Form Sa1'!VNY814*'Form Sa1'!VNY816/10)-'NF - 5 Power Mix'!VNV21-'NF - 5 Power Mix'!VNV22</f>
        <v>0</v>
      </c>
      <c r="VNW42" s="1046">
        <f>VNW38+((VNW40+'NF - 5 Power Mix'!VNW14+'NF - 5 Power Mix'!VNW15)*860/10)+((('Form Sa1'!VNZ835)*860)/10)+('Form Sa1'!VNZ814*'Form Sa1'!VNZ816/10)-'NF - 5 Power Mix'!VNW21-'NF - 5 Power Mix'!VNW22</f>
        <v>0</v>
      </c>
      <c r="VNX42" s="1046">
        <f>VNX38+((VNX40+'NF - 5 Power Mix'!VNX14+'NF - 5 Power Mix'!VNX15)*860/10)+((('Form Sa1'!VOA835)*860)/10)+('Form Sa1'!VOA814*'Form Sa1'!VOA816/10)-'NF - 5 Power Mix'!VNX21-'NF - 5 Power Mix'!VNX22</f>
        <v>0</v>
      </c>
      <c r="VNY42" s="1046">
        <f>VNY38+((VNY40+'NF - 5 Power Mix'!VNY14+'NF - 5 Power Mix'!VNY15)*860/10)+((('Form Sa1'!VOB835)*860)/10)+('Form Sa1'!VOB814*'Form Sa1'!VOB816/10)-'NF - 5 Power Mix'!VNY21-'NF - 5 Power Mix'!VNY22</f>
        <v>0</v>
      </c>
      <c r="VNZ42" s="1046">
        <f>VNZ38+((VNZ40+'NF - 5 Power Mix'!VNZ14+'NF - 5 Power Mix'!VNZ15)*860/10)+((('Form Sa1'!VOC835)*860)/10)+('Form Sa1'!VOC814*'Form Sa1'!VOC816/10)-'NF - 5 Power Mix'!VNZ21-'NF - 5 Power Mix'!VNZ22</f>
        <v>0</v>
      </c>
      <c r="VOA42" s="1046">
        <f>VOA38+((VOA40+'NF - 5 Power Mix'!VOA14+'NF - 5 Power Mix'!VOA15)*860/10)+((('Form Sa1'!VOD835)*860)/10)+('Form Sa1'!VOD814*'Form Sa1'!VOD816/10)-'NF - 5 Power Mix'!VOA21-'NF - 5 Power Mix'!VOA22</f>
        <v>0</v>
      </c>
      <c r="VOB42" s="1046">
        <f>VOB38+((VOB40+'NF - 5 Power Mix'!VOB14+'NF - 5 Power Mix'!VOB15)*860/10)+((('Form Sa1'!VOE835)*860)/10)+('Form Sa1'!VOE814*'Form Sa1'!VOE816/10)-'NF - 5 Power Mix'!VOB21-'NF - 5 Power Mix'!VOB22</f>
        <v>0</v>
      </c>
      <c r="VOC42" s="1046">
        <f>VOC38+((VOC40+'NF - 5 Power Mix'!VOC14+'NF - 5 Power Mix'!VOC15)*860/10)+((('Form Sa1'!VOF835)*860)/10)+('Form Sa1'!VOF814*'Form Sa1'!VOF816/10)-'NF - 5 Power Mix'!VOC21-'NF - 5 Power Mix'!VOC22</f>
        <v>0</v>
      </c>
      <c r="VOD42" s="1046">
        <f>VOD38+((VOD40+'NF - 5 Power Mix'!VOD14+'NF - 5 Power Mix'!VOD15)*860/10)+((('Form Sa1'!VOG835)*860)/10)+('Form Sa1'!VOG814*'Form Sa1'!VOG816/10)-'NF - 5 Power Mix'!VOD21-'NF - 5 Power Mix'!VOD22</f>
        <v>0</v>
      </c>
      <c r="VOE42" s="1046">
        <f>VOE38+((VOE40+'NF - 5 Power Mix'!VOE14+'NF - 5 Power Mix'!VOE15)*860/10)+((('Form Sa1'!VOH835)*860)/10)+('Form Sa1'!VOH814*'Form Sa1'!VOH816/10)-'NF - 5 Power Mix'!VOE21-'NF - 5 Power Mix'!VOE22</f>
        <v>0</v>
      </c>
      <c r="VOF42" s="1046">
        <f>VOF38+((VOF40+'NF - 5 Power Mix'!VOF14+'NF - 5 Power Mix'!VOF15)*860/10)+((('Form Sa1'!VOI835)*860)/10)+('Form Sa1'!VOI814*'Form Sa1'!VOI816/10)-'NF - 5 Power Mix'!VOF21-'NF - 5 Power Mix'!VOF22</f>
        <v>0</v>
      </c>
      <c r="VOG42" s="1046">
        <f>VOG38+((VOG40+'NF - 5 Power Mix'!VOG14+'NF - 5 Power Mix'!VOG15)*860/10)+((('Form Sa1'!VOJ835)*860)/10)+('Form Sa1'!VOJ814*'Form Sa1'!VOJ816/10)-'NF - 5 Power Mix'!VOG21-'NF - 5 Power Mix'!VOG22</f>
        <v>0</v>
      </c>
      <c r="VOH42" s="1046">
        <f>VOH38+((VOH40+'NF - 5 Power Mix'!VOH14+'NF - 5 Power Mix'!VOH15)*860/10)+((('Form Sa1'!VOK835)*860)/10)+('Form Sa1'!VOK814*'Form Sa1'!VOK816/10)-'NF - 5 Power Mix'!VOH21-'NF - 5 Power Mix'!VOH22</f>
        <v>0</v>
      </c>
      <c r="VOI42" s="1046">
        <f>VOI38+((VOI40+'NF - 5 Power Mix'!VOI14+'NF - 5 Power Mix'!VOI15)*860/10)+((('Form Sa1'!VOL835)*860)/10)+('Form Sa1'!VOL814*'Form Sa1'!VOL816/10)-'NF - 5 Power Mix'!VOI21-'NF - 5 Power Mix'!VOI22</f>
        <v>0</v>
      </c>
      <c r="VOJ42" s="1046">
        <f>VOJ38+((VOJ40+'NF - 5 Power Mix'!VOJ14+'NF - 5 Power Mix'!VOJ15)*860/10)+((('Form Sa1'!VOM835)*860)/10)+('Form Sa1'!VOM814*'Form Sa1'!VOM816/10)-'NF - 5 Power Mix'!VOJ21-'NF - 5 Power Mix'!VOJ22</f>
        <v>0</v>
      </c>
      <c r="VOK42" s="1046">
        <f>VOK38+((VOK40+'NF - 5 Power Mix'!VOK14+'NF - 5 Power Mix'!VOK15)*860/10)+((('Form Sa1'!VON835)*860)/10)+('Form Sa1'!VON814*'Form Sa1'!VON816/10)-'NF - 5 Power Mix'!VOK21-'NF - 5 Power Mix'!VOK22</f>
        <v>0</v>
      </c>
      <c r="VOL42" s="1046">
        <f>VOL38+((VOL40+'NF - 5 Power Mix'!VOL14+'NF - 5 Power Mix'!VOL15)*860/10)+((('Form Sa1'!VOO835)*860)/10)+('Form Sa1'!VOO814*'Form Sa1'!VOO816/10)-'NF - 5 Power Mix'!VOL21-'NF - 5 Power Mix'!VOL22</f>
        <v>0</v>
      </c>
      <c r="VOM42" s="1046">
        <f>VOM38+((VOM40+'NF - 5 Power Mix'!VOM14+'NF - 5 Power Mix'!VOM15)*860/10)+((('Form Sa1'!VOP835)*860)/10)+('Form Sa1'!VOP814*'Form Sa1'!VOP816/10)-'NF - 5 Power Mix'!VOM21-'NF - 5 Power Mix'!VOM22</f>
        <v>0</v>
      </c>
      <c r="VON42" s="1046">
        <f>VON38+((VON40+'NF - 5 Power Mix'!VON14+'NF - 5 Power Mix'!VON15)*860/10)+((('Form Sa1'!VOQ835)*860)/10)+('Form Sa1'!VOQ814*'Form Sa1'!VOQ816/10)-'NF - 5 Power Mix'!VON21-'NF - 5 Power Mix'!VON22</f>
        <v>0</v>
      </c>
      <c r="VOO42" s="1046">
        <f>VOO38+((VOO40+'NF - 5 Power Mix'!VOO14+'NF - 5 Power Mix'!VOO15)*860/10)+((('Form Sa1'!VOR835)*860)/10)+('Form Sa1'!VOR814*'Form Sa1'!VOR816/10)-'NF - 5 Power Mix'!VOO21-'NF - 5 Power Mix'!VOO22</f>
        <v>0</v>
      </c>
      <c r="VOP42" s="1046">
        <f>VOP38+((VOP40+'NF - 5 Power Mix'!VOP14+'NF - 5 Power Mix'!VOP15)*860/10)+((('Form Sa1'!VOS835)*860)/10)+('Form Sa1'!VOS814*'Form Sa1'!VOS816/10)-'NF - 5 Power Mix'!VOP21-'NF - 5 Power Mix'!VOP22</f>
        <v>0</v>
      </c>
      <c r="VOQ42" s="1046">
        <f>VOQ38+((VOQ40+'NF - 5 Power Mix'!VOQ14+'NF - 5 Power Mix'!VOQ15)*860/10)+((('Form Sa1'!VOT835)*860)/10)+('Form Sa1'!VOT814*'Form Sa1'!VOT816/10)-'NF - 5 Power Mix'!VOQ21-'NF - 5 Power Mix'!VOQ22</f>
        <v>0</v>
      </c>
      <c r="VOR42" s="1046">
        <f>VOR38+((VOR40+'NF - 5 Power Mix'!VOR14+'NF - 5 Power Mix'!VOR15)*860/10)+((('Form Sa1'!VOU835)*860)/10)+('Form Sa1'!VOU814*'Form Sa1'!VOU816/10)-'NF - 5 Power Mix'!VOR21-'NF - 5 Power Mix'!VOR22</f>
        <v>0</v>
      </c>
      <c r="VOS42" s="1046">
        <f>VOS38+((VOS40+'NF - 5 Power Mix'!VOS14+'NF - 5 Power Mix'!VOS15)*860/10)+((('Form Sa1'!VOV835)*860)/10)+('Form Sa1'!VOV814*'Form Sa1'!VOV816/10)-'NF - 5 Power Mix'!VOS21-'NF - 5 Power Mix'!VOS22</f>
        <v>0</v>
      </c>
      <c r="VOT42" s="1046">
        <f>VOT38+((VOT40+'NF - 5 Power Mix'!VOT14+'NF - 5 Power Mix'!VOT15)*860/10)+((('Form Sa1'!VOW835)*860)/10)+('Form Sa1'!VOW814*'Form Sa1'!VOW816/10)-'NF - 5 Power Mix'!VOT21-'NF - 5 Power Mix'!VOT22</f>
        <v>0</v>
      </c>
      <c r="VOU42" s="1046">
        <f>VOU38+((VOU40+'NF - 5 Power Mix'!VOU14+'NF - 5 Power Mix'!VOU15)*860/10)+((('Form Sa1'!VOX835)*860)/10)+('Form Sa1'!VOX814*'Form Sa1'!VOX816/10)-'NF - 5 Power Mix'!VOU21-'NF - 5 Power Mix'!VOU22</f>
        <v>0</v>
      </c>
      <c r="VOV42" s="1046">
        <f>VOV38+((VOV40+'NF - 5 Power Mix'!VOV14+'NF - 5 Power Mix'!VOV15)*860/10)+((('Form Sa1'!VOY835)*860)/10)+('Form Sa1'!VOY814*'Form Sa1'!VOY816/10)-'NF - 5 Power Mix'!VOV21-'NF - 5 Power Mix'!VOV22</f>
        <v>0</v>
      </c>
      <c r="VOW42" s="1046">
        <f>VOW38+((VOW40+'NF - 5 Power Mix'!VOW14+'NF - 5 Power Mix'!VOW15)*860/10)+((('Form Sa1'!VOZ835)*860)/10)+('Form Sa1'!VOZ814*'Form Sa1'!VOZ816/10)-'NF - 5 Power Mix'!VOW21-'NF - 5 Power Mix'!VOW22</f>
        <v>0</v>
      </c>
      <c r="VOX42" s="1046">
        <f>VOX38+((VOX40+'NF - 5 Power Mix'!VOX14+'NF - 5 Power Mix'!VOX15)*860/10)+((('Form Sa1'!VPA835)*860)/10)+('Form Sa1'!VPA814*'Form Sa1'!VPA816/10)-'NF - 5 Power Mix'!VOX21-'NF - 5 Power Mix'!VOX22</f>
        <v>0</v>
      </c>
      <c r="VOY42" s="1046">
        <f>VOY38+((VOY40+'NF - 5 Power Mix'!VOY14+'NF - 5 Power Mix'!VOY15)*860/10)+((('Form Sa1'!VPB835)*860)/10)+('Form Sa1'!VPB814*'Form Sa1'!VPB816/10)-'NF - 5 Power Mix'!VOY21-'NF - 5 Power Mix'!VOY22</f>
        <v>0</v>
      </c>
      <c r="VOZ42" s="1046">
        <f>VOZ38+((VOZ40+'NF - 5 Power Mix'!VOZ14+'NF - 5 Power Mix'!VOZ15)*860/10)+((('Form Sa1'!VPC835)*860)/10)+('Form Sa1'!VPC814*'Form Sa1'!VPC816/10)-'NF - 5 Power Mix'!VOZ21-'NF - 5 Power Mix'!VOZ22</f>
        <v>0</v>
      </c>
      <c r="VPA42" s="1046">
        <f>VPA38+((VPA40+'NF - 5 Power Mix'!VPA14+'NF - 5 Power Mix'!VPA15)*860/10)+((('Form Sa1'!VPD835)*860)/10)+('Form Sa1'!VPD814*'Form Sa1'!VPD816/10)-'NF - 5 Power Mix'!VPA21-'NF - 5 Power Mix'!VPA22</f>
        <v>0</v>
      </c>
      <c r="VPB42" s="1046">
        <f>VPB38+((VPB40+'NF - 5 Power Mix'!VPB14+'NF - 5 Power Mix'!VPB15)*860/10)+((('Form Sa1'!VPE835)*860)/10)+('Form Sa1'!VPE814*'Form Sa1'!VPE816/10)-'NF - 5 Power Mix'!VPB21-'NF - 5 Power Mix'!VPB22</f>
        <v>0</v>
      </c>
      <c r="VPC42" s="1046">
        <f>VPC38+((VPC40+'NF - 5 Power Mix'!VPC14+'NF - 5 Power Mix'!VPC15)*860/10)+((('Form Sa1'!VPF835)*860)/10)+('Form Sa1'!VPF814*'Form Sa1'!VPF816/10)-'NF - 5 Power Mix'!VPC21-'NF - 5 Power Mix'!VPC22</f>
        <v>0</v>
      </c>
      <c r="VPD42" s="1046">
        <f>VPD38+((VPD40+'NF - 5 Power Mix'!VPD14+'NF - 5 Power Mix'!VPD15)*860/10)+((('Form Sa1'!VPG835)*860)/10)+('Form Sa1'!VPG814*'Form Sa1'!VPG816/10)-'NF - 5 Power Mix'!VPD21-'NF - 5 Power Mix'!VPD22</f>
        <v>0</v>
      </c>
      <c r="VPE42" s="1046">
        <f>VPE38+((VPE40+'NF - 5 Power Mix'!VPE14+'NF - 5 Power Mix'!VPE15)*860/10)+((('Form Sa1'!VPH835)*860)/10)+('Form Sa1'!VPH814*'Form Sa1'!VPH816/10)-'NF - 5 Power Mix'!VPE21-'NF - 5 Power Mix'!VPE22</f>
        <v>0</v>
      </c>
      <c r="VPF42" s="1046">
        <f>VPF38+((VPF40+'NF - 5 Power Mix'!VPF14+'NF - 5 Power Mix'!VPF15)*860/10)+((('Form Sa1'!VPI835)*860)/10)+('Form Sa1'!VPI814*'Form Sa1'!VPI816/10)-'NF - 5 Power Mix'!VPF21-'NF - 5 Power Mix'!VPF22</f>
        <v>0</v>
      </c>
      <c r="VPG42" s="1046">
        <f>VPG38+((VPG40+'NF - 5 Power Mix'!VPG14+'NF - 5 Power Mix'!VPG15)*860/10)+((('Form Sa1'!VPJ835)*860)/10)+('Form Sa1'!VPJ814*'Form Sa1'!VPJ816/10)-'NF - 5 Power Mix'!VPG21-'NF - 5 Power Mix'!VPG22</f>
        <v>0</v>
      </c>
      <c r="VPH42" s="1046">
        <f>VPH38+((VPH40+'NF - 5 Power Mix'!VPH14+'NF - 5 Power Mix'!VPH15)*860/10)+((('Form Sa1'!VPK835)*860)/10)+('Form Sa1'!VPK814*'Form Sa1'!VPK816/10)-'NF - 5 Power Mix'!VPH21-'NF - 5 Power Mix'!VPH22</f>
        <v>0</v>
      </c>
      <c r="VPI42" s="1046">
        <f>VPI38+((VPI40+'NF - 5 Power Mix'!VPI14+'NF - 5 Power Mix'!VPI15)*860/10)+((('Form Sa1'!VPL835)*860)/10)+('Form Sa1'!VPL814*'Form Sa1'!VPL816/10)-'NF - 5 Power Mix'!VPI21-'NF - 5 Power Mix'!VPI22</f>
        <v>0</v>
      </c>
      <c r="VPJ42" s="1046">
        <f>VPJ38+((VPJ40+'NF - 5 Power Mix'!VPJ14+'NF - 5 Power Mix'!VPJ15)*860/10)+((('Form Sa1'!VPM835)*860)/10)+('Form Sa1'!VPM814*'Form Sa1'!VPM816/10)-'NF - 5 Power Mix'!VPJ21-'NF - 5 Power Mix'!VPJ22</f>
        <v>0</v>
      </c>
      <c r="VPK42" s="1046">
        <f>VPK38+((VPK40+'NF - 5 Power Mix'!VPK14+'NF - 5 Power Mix'!VPK15)*860/10)+((('Form Sa1'!VPN835)*860)/10)+('Form Sa1'!VPN814*'Form Sa1'!VPN816/10)-'NF - 5 Power Mix'!VPK21-'NF - 5 Power Mix'!VPK22</f>
        <v>0</v>
      </c>
      <c r="VPL42" s="1046">
        <f>VPL38+((VPL40+'NF - 5 Power Mix'!VPL14+'NF - 5 Power Mix'!VPL15)*860/10)+((('Form Sa1'!VPO835)*860)/10)+('Form Sa1'!VPO814*'Form Sa1'!VPO816/10)-'NF - 5 Power Mix'!VPL21-'NF - 5 Power Mix'!VPL22</f>
        <v>0</v>
      </c>
      <c r="VPM42" s="1046">
        <f>VPM38+((VPM40+'NF - 5 Power Mix'!VPM14+'NF - 5 Power Mix'!VPM15)*860/10)+((('Form Sa1'!VPP835)*860)/10)+('Form Sa1'!VPP814*'Form Sa1'!VPP816/10)-'NF - 5 Power Mix'!VPM21-'NF - 5 Power Mix'!VPM22</f>
        <v>0</v>
      </c>
      <c r="VPN42" s="1046">
        <f>VPN38+((VPN40+'NF - 5 Power Mix'!VPN14+'NF - 5 Power Mix'!VPN15)*860/10)+((('Form Sa1'!VPQ835)*860)/10)+('Form Sa1'!VPQ814*'Form Sa1'!VPQ816/10)-'NF - 5 Power Mix'!VPN21-'NF - 5 Power Mix'!VPN22</f>
        <v>0</v>
      </c>
      <c r="VPO42" s="1046">
        <f>VPO38+((VPO40+'NF - 5 Power Mix'!VPO14+'NF - 5 Power Mix'!VPO15)*860/10)+((('Form Sa1'!VPR835)*860)/10)+('Form Sa1'!VPR814*'Form Sa1'!VPR816/10)-'NF - 5 Power Mix'!VPO21-'NF - 5 Power Mix'!VPO22</f>
        <v>0</v>
      </c>
      <c r="VPP42" s="1046">
        <f>VPP38+((VPP40+'NF - 5 Power Mix'!VPP14+'NF - 5 Power Mix'!VPP15)*860/10)+((('Form Sa1'!VPS835)*860)/10)+('Form Sa1'!VPS814*'Form Sa1'!VPS816/10)-'NF - 5 Power Mix'!VPP21-'NF - 5 Power Mix'!VPP22</f>
        <v>0</v>
      </c>
      <c r="VPQ42" s="1046">
        <f>VPQ38+((VPQ40+'NF - 5 Power Mix'!VPQ14+'NF - 5 Power Mix'!VPQ15)*860/10)+((('Form Sa1'!VPT835)*860)/10)+('Form Sa1'!VPT814*'Form Sa1'!VPT816/10)-'NF - 5 Power Mix'!VPQ21-'NF - 5 Power Mix'!VPQ22</f>
        <v>0</v>
      </c>
      <c r="VPR42" s="1046">
        <f>VPR38+((VPR40+'NF - 5 Power Mix'!VPR14+'NF - 5 Power Mix'!VPR15)*860/10)+((('Form Sa1'!VPU835)*860)/10)+('Form Sa1'!VPU814*'Form Sa1'!VPU816/10)-'NF - 5 Power Mix'!VPR21-'NF - 5 Power Mix'!VPR22</f>
        <v>0</v>
      </c>
      <c r="VPS42" s="1046">
        <f>VPS38+((VPS40+'NF - 5 Power Mix'!VPS14+'NF - 5 Power Mix'!VPS15)*860/10)+((('Form Sa1'!VPV835)*860)/10)+('Form Sa1'!VPV814*'Form Sa1'!VPV816/10)-'NF - 5 Power Mix'!VPS21-'NF - 5 Power Mix'!VPS22</f>
        <v>0</v>
      </c>
      <c r="VPT42" s="1046">
        <f>VPT38+((VPT40+'NF - 5 Power Mix'!VPT14+'NF - 5 Power Mix'!VPT15)*860/10)+((('Form Sa1'!VPW835)*860)/10)+('Form Sa1'!VPW814*'Form Sa1'!VPW816/10)-'NF - 5 Power Mix'!VPT21-'NF - 5 Power Mix'!VPT22</f>
        <v>0</v>
      </c>
      <c r="VPU42" s="1046">
        <f>VPU38+((VPU40+'NF - 5 Power Mix'!VPU14+'NF - 5 Power Mix'!VPU15)*860/10)+((('Form Sa1'!VPX835)*860)/10)+('Form Sa1'!VPX814*'Form Sa1'!VPX816/10)-'NF - 5 Power Mix'!VPU21-'NF - 5 Power Mix'!VPU22</f>
        <v>0</v>
      </c>
      <c r="VPV42" s="1046">
        <f>VPV38+((VPV40+'NF - 5 Power Mix'!VPV14+'NF - 5 Power Mix'!VPV15)*860/10)+((('Form Sa1'!VPY835)*860)/10)+('Form Sa1'!VPY814*'Form Sa1'!VPY816/10)-'NF - 5 Power Mix'!VPV21-'NF - 5 Power Mix'!VPV22</f>
        <v>0</v>
      </c>
      <c r="VPW42" s="1046">
        <f>VPW38+((VPW40+'NF - 5 Power Mix'!VPW14+'NF - 5 Power Mix'!VPW15)*860/10)+((('Form Sa1'!VPZ835)*860)/10)+('Form Sa1'!VPZ814*'Form Sa1'!VPZ816/10)-'NF - 5 Power Mix'!VPW21-'NF - 5 Power Mix'!VPW22</f>
        <v>0</v>
      </c>
      <c r="VPX42" s="1046">
        <f>VPX38+((VPX40+'NF - 5 Power Mix'!VPX14+'NF - 5 Power Mix'!VPX15)*860/10)+((('Form Sa1'!VQA835)*860)/10)+('Form Sa1'!VQA814*'Form Sa1'!VQA816/10)-'NF - 5 Power Mix'!VPX21-'NF - 5 Power Mix'!VPX22</f>
        <v>0</v>
      </c>
      <c r="VPY42" s="1046">
        <f>VPY38+((VPY40+'NF - 5 Power Mix'!VPY14+'NF - 5 Power Mix'!VPY15)*860/10)+((('Form Sa1'!VQB835)*860)/10)+('Form Sa1'!VQB814*'Form Sa1'!VQB816/10)-'NF - 5 Power Mix'!VPY21-'NF - 5 Power Mix'!VPY22</f>
        <v>0</v>
      </c>
      <c r="VPZ42" s="1046">
        <f>VPZ38+((VPZ40+'NF - 5 Power Mix'!VPZ14+'NF - 5 Power Mix'!VPZ15)*860/10)+((('Form Sa1'!VQC835)*860)/10)+('Form Sa1'!VQC814*'Form Sa1'!VQC816/10)-'NF - 5 Power Mix'!VPZ21-'NF - 5 Power Mix'!VPZ22</f>
        <v>0</v>
      </c>
      <c r="VQA42" s="1046">
        <f>VQA38+((VQA40+'NF - 5 Power Mix'!VQA14+'NF - 5 Power Mix'!VQA15)*860/10)+((('Form Sa1'!VQD835)*860)/10)+('Form Sa1'!VQD814*'Form Sa1'!VQD816/10)-'NF - 5 Power Mix'!VQA21-'NF - 5 Power Mix'!VQA22</f>
        <v>0</v>
      </c>
      <c r="VQB42" s="1046">
        <f>VQB38+((VQB40+'NF - 5 Power Mix'!VQB14+'NF - 5 Power Mix'!VQB15)*860/10)+((('Form Sa1'!VQE835)*860)/10)+('Form Sa1'!VQE814*'Form Sa1'!VQE816/10)-'NF - 5 Power Mix'!VQB21-'NF - 5 Power Mix'!VQB22</f>
        <v>0</v>
      </c>
      <c r="VQC42" s="1046">
        <f>VQC38+((VQC40+'NF - 5 Power Mix'!VQC14+'NF - 5 Power Mix'!VQC15)*860/10)+((('Form Sa1'!VQF835)*860)/10)+('Form Sa1'!VQF814*'Form Sa1'!VQF816/10)-'NF - 5 Power Mix'!VQC21-'NF - 5 Power Mix'!VQC22</f>
        <v>0</v>
      </c>
      <c r="VQD42" s="1046">
        <f>VQD38+((VQD40+'NF - 5 Power Mix'!VQD14+'NF - 5 Power Mix'!VQD15)*860/10)+((('Form Sa1'!VQG835)*860)/10)+('Form Sa1'!VQG814*'Form Sa1'!VQG816/10)-'NF - 5 Power Mix'!VQD21-'NF - 5 Power Mix'!VQD22</f>
        <v>0</v>
      </c>
      <c r="VQE42" s="1046">
        <f>VQE38+((VQE40+'NF - 5 Power Mix'!VQE14+'NF - 5 Power Mix'!VQE15)*860/10)+((('Form Sa1'!VQH835)*860)/10)+('Form Sa1'!VQH814*'Form Sa1'!VQH816/10)-'NF - 5 Power Mix'!VQE21-'NF - 5 Power Mix'!VQE22</f>
        <v>0</v>
      </c>
      <c r="VQF42" s="1046">
        <f>VQF38+((VQF40+'NF - 5 Power Mix'!VQF14+'NF - 5 Power Mix'!VQF15)*860/10)+((('Form Sa1'!VQI835)*860)/10)+('Form Sa1'!VQI814*'Form Sa1'!VQI816/10)-'NF - 5 Power Mix'!VQF21-'NF - 5 Power Mix'!VQF22</f>
        <v>0</v>
      </c>
      <c r="VQG42" s="1046">
        <f>VQG38+((VQG40+'NF - 5 Power Mix'!VQG14+'NF - 5 Power Mix'!VQG15)*860/10)+((('Form Sa1'!VQJ835)*860)/10)+('Form Sa1'!VQJ814*'Form Sa1'!VQJ816/10)-'NF - 5 Power Mix'!VQG21-'NF - 5 Power Mix'!VQG22</f>
        <v>0</v>
      </c>
      <c r="VQH42" s="1046">
        <f>VQH38+((VQH40+'NF - 5 Power Mix'!VQH14+'NF - 5 Power Mix'!VQH15)*860/10)+((('Form Sa1'!VQK835)*860)/10)+('Form Sa1'!VQK814*'Form Sa1'!VQK816/10)-'NF - 5 Power Mix'!VQH21-'NF - 5 Power Mix'!VQH22</f>
        <v>0</v>
      </c>
      <c r="VQI42" s="1046">
        <f>VQI38+((VQI40+'NF - 5 Power Mix'!VQI14+'NF - 5 Power Mix'!VQI15)*860/10)+((('Form Sa1'!VQL835)*860)/10)+('Form Sa1'!VQL814*'Form Sa1'!VQL816/10)-'NF - 5 Power Mix'!VQI21-'NF - 5 Power Mix'!VQI22</f>
        <v>0</v>
      </c>
      <c r="VQJ42" s="1046">
        <f>VQJ38+((VQJ40+'NF - 5 Power Mix'!VQJ14+'NF - 5 Power Mix'!VQJ15)*860/10)+((('Form Sa1'!VQM835)*860)/10)+('Form Sa1'!VQM814*'Form Sa1'!VQM816/10)-'NF - 5 Power Mix'!VQJ21-'NF - 5 Power Mix'!VQJ22</f>
        <v>0</v>
      </c>
      <c r="VQK42" s="1046">
        <f>VQK38+((VQK40+'NF - 5 Power Mix'!VQK14+'NF - 5 Power Mix'!VQK15)*860/10)+((('Form Sa1'!VQN835)*860)/10)+('Form Sa1'!VQN814*'Form Sa1'!VQN816/10)-'NF - 5 Power Mix'!VQK21-'NF - 5 Power Mix'!VQK22</f>
        <v>0</v>
      </c>
      <c r="VQL42" s="1046">
        <f>VQL38+((VQL40+'NF - 5 Power Mix'!VQL14+'NF - 5 Power Mix'!VQL15)*860/10)+((('Form Sa1'!VQO835)*860)/10)+('Form Sa1'!VQO814*'Form Sa1'!VQO816/10)-'NF - 5 Power Mix'!VQL21-'NF - 5 Power Mix'!VQL22</f>
        <v>0</v>
      </c>
      <c r="VQM42" s="1046">
        <f>VQM38+((VQM40+'NF - 5 Power Mix'!VQM14+'NF - 5 Power Mix'!VQM15)*860/10)+((('Form Sa1'!VQP835)*860)/10)+('Form Sa1'!VQP814*'Form Sa1'!VQP816/10)-'NF - 5 Power Mix'!VQM21-'NF - 5 Power Mix'!VQM22</f>
        <v>0</v>
      </c>
      <c r="VQN42" s="1046">
        <f>VQN38+((VQN40+'NF - 5 Power Mix'!VQN14+'NF - 5 Power Mix'!VQN15)*860/10)+((('Form Sa1'!VQQ835)*860)/10)+('Form Sa1'!VQQ814*'Form Sa1'!VQQ816/10)-'NF - 5 Power Mix'!VQN21-'NF - 5 Power Mix'!VQN22</f>
        <v>0</v>
      </c>
      <c r="VQO42" s="1046">
        <f>VQO38+((VQO40+'NF - 5 Power Mix'!VQO14+'NF - 5 Power Mix'!VQO15)*860/10)+((('Form Sa1'!VQR835)*860)/10)+('Form Sa1'!VQR814*'Form Sa1'!VQR816/10)-'NF - 5 Power Mix'!VQO21-'NF - 5 Power Mix'!VQO22</f>
        <v>0</v>
      </c>
      <c r="VQP42" s="1046">
        <f>VQP38+((VQP40+'NF - 5 Power Mix'!VQP14+'NF - 5 Power Mix'!VQP15)*860/10)+((('Form Sa1'!VQS835)*860)/10)+('Form Sa1'!VQS814*'Form Sa1'!VQS816/10)-'NF - 5 Power Mix'!VQP21-'NF - 5 Power Mix'!VQP22</f>
        <v>0</v>
      </c>
      <c r="VQQ42" s="1046">
        <f>VQQ38+((VQQ40+'NF - 5 Power Mix'!VQQ14+'NF - 5 Power Mix'!VQQ15)*860/10)+((('Form Sa1'!VQT835)*860)/10)+('Form Sa1'!VQT814*'Form Sa1'!VQT816/10)-'NF - 5 Power Mix'!VQQ21-'NF - 5 Power Mix'!VQQ22</f>
        <v>0</v>
      </c>
      <c r="VQR42" s="1046">
        <f>VQR38+((VQR40+'NF - 5 Power Mix'!VQR14+'NF - 5 Power Mix'!VQR15)*860/10)+((('Form Sa1'!VQU835)*860)/10)+('Form Sa1'!VQU814*'Form Sa1'!VQU816/10)-'NF - 5 Power Mix'!VQR21-'NF - 5 Power Mix'!VQR22</f>
        <v>0</v>
      </c>
      <c r="VQS42" s="1046">
        <f>VQS38+((VQS40+'NF - 5 Power Mix'!VQS14+'NF - 5 Power Mix'!VQS15)*860/10)+((('Form Sa1'!VQV835)*860)/10)+('Form Sa1'!VQV814*'Form Sa1'!VQV816/10)-'NF - 5 Power Mix'!VQS21-'NF - 5 Power Mix'!VQS22</f>
        <v>0</v>
      </c>
      <c r="VQT42" s="1046">
        <f>VQT38+((VQT40+'NF - 5 Power Mix'!VQT14+'NF - 5 Power Mix'!VQT15)*860/10)+((('Form Sa1'!VQW835)*860)/10)+('Form Sa1'!VQW814*'Form Sa1'!VQW816/10)-'NF - 5 Power Mix'!VQT21-'NF - 5 Power Mix'!VQT22</f>
        <v>0</v>
      </c>
      <c r="VQU42" s="1046">
        <f>VQU38+((VQU40+'NF - 5 Power Mix'!VQU14+'NF - 5 Power Mix'!VQU15)*860/10)+((('Form Sa1'!VQX835)*860)/10)+('Form Sa1'!VQX814*'Form Sa1'!VQX816/10)-'NF - 5 Power Mix'!VQU21-'NF - 5 Power Mix'!VQU22</f>
        <v>0</v>
      </c>
      <c r="VQV42" s="1046">
        <f>VQV38+((VQV40+'NF - 5 Power Mix'!VQV14+'NF - 5 Power Mix'!VQV15)*860/10)+((('Form Sa1'!VQY835)*860)/10)+('Form Sa1'!VQY814*'Form Sa1'!VQY816/10)-'NF - 5 Power Mix'!VQV21-'NF - 5 Power Mix'!VQV22</f>
        <v>0</v>
      </c>
      <c r="VQW42" s="1046">
        <f>VQW38+((VQW40+'NF - 5 Power Mix'!VQW14+'NF - 5 Power Mix'!VQW15)*860/10)+((('Form Sa1'!VQZ835)*860)/10)+('Form Sa1'!VQZ814*'Form Sa1'!VQZ816/10)-'NF - 5 Power Mix'!VQW21-'NF - 5 Power Mix'!VQW22</f>
        <v>0</v>
      </c>
      <c r="VQX42" s="1046">
        <f>VQX38+((VQX40+'NF - 5 Power Mix'!VQX14+'NF - 5 Power Mix'!VQX15)*860/10)+((('Form Sa1'!VRA835)*860)/10)+('Form Sa1'!VRA814*'Form Sa1'!VRA816/10)-'NF - 5 Power Mix'!VQX21-'NF - 5 Power Mix'!VQX22</f>
        <v>0</v>
      </c>
      <c r="VQY42" s="1046">
        <f>VQY38+((VQY40+'NF - 5 Power Mix'!VQY14+'NF - 5 Power Mix'!VQY15)*860/10)+((('Form Sa1'!VRB835)*860)/10)+('Form Sa1'!VRB814*'Form Sa1'!VRB816/10)-'NF - 5 Power Mix'!VQY21-'NF - 5 Power Mix'!VQY22</f>
        <v>0</v>
      </c>
      <c r="VQZ42" s="1046">
        <f>VQZ38+((VQZ40+'NF - 5 Power Mix'!VQZ14+'NF - 5 Power Mix'!VQZ15)*860/10)+((('Form Sa1'!VRC835)*860)/10)+('Form Sa1'!VRC814*'Form Sa1'!VRC816/10)-'NF - 5 Power Mix'!VQZ21-'NF - 5 Power Mix'!VQZ22</f>
        <v>0</v>
      </c>
      <c r="VRA42" s="1046">
        <f>VRA38+((VRA40+'NF - 5 Power Mix'!VRA14+'NF - 5 Power Mix'!VRA15)*860/10)+((('Form Sa1'!VRD835)*860)/10)+('Form Sa1'!VRD814*'Form Sa1'!VRD816/10)-'NF - 5 Power Mix'!VRA21-'NF - 5 Power Mix'!VRA22</f>
        <v>0</v>
      </c>
      <c r="VRB42" s="1046">
        <f>VRB38+((VRB40+'NF - 5 Power Mix'!VRB14+'NF - 5 Power Mix'!VRB15)*860/10)+((('Form Sa1'!VRE835)*860)/10)+('Form Sa1'!VRE814*'Form Sa1'!VRE816/10)-'NF - 5 Power Mix'!VRB21-'NF - 5 Power Mix'!VRB22</f>
        <v>0</v>
      </c>
      <c r="VRC42" s="1046">
        <f>VRC38+((VRC40+'NF - 5 Power Mix'!VRC14+'NF - 5 Power Mix'!VRC15)*860/10)+((('Form Sa1'!VRF835)*860)/10)+('Form Sa1'!VRF814*'Form Sa1'!VRF816/10)-'NF - 5 Power Mix'!VRC21-'NF - 5 Power Mix'!VRC22</f>
        <v>0</v>
      </c>
      <c r="VRD42" s="1046">
        <f>VRD38+((VRD40+'NF - 5 Power Mix'!VRD14+'NF - 5 Power Mix'!VRD15)*860/10)+((('Form Sa1'!VRG835)*860)/10)+('Form Sa1'!VRG814*'Form Sa1'!VRG816/10)-'NF - 5 Power Mix'!VRD21-'NF - 5 Power Mix'!VRD22</f>
        <v>0</v>
      </c>
      <c r="VRE42" s="1046">
        <f>VRE38+((VRE40+'NF - 5 Power Mix'!VRE14+'NF - 5 Power Mix'!VRE15)*860/10)+((('Form Sa1'!VRH835)*860)/10)+('Form Sa1'!VRH814*'Form Sa1'!VRH816/10)-'NF - 5 Power Mix'!VRE21-'NF - 5 Power Mix'!VRE22</f>
        <v>0</v>
      </c>
      <c r="VRF42" s="1046">
        <f>VRF38+((VRF40+'NF - 5 Power Mix'!VRF14+'NF - 5 Power Mix'!VRF15)*860/10)+((('Form Sa1'!VRI835)*860)/10)+('Form Sa1'!VRI814*'Form Sa1'!VRI816/10)-'NF - 5 Power Mix'!VRF21-'NF - 5 Power Mix'!VRF22</f>
        <v>0</v>
      </c>
      <c r="VRG42" s="1046">
        <f>VRG38+((VRG40+'NF - 5 Power Mix'!VRG14+'NF - 5 Power Mix'!VRG15)*860/10)+((('Form Sa1'!VRJ835)*860)/10)+('Form Sa1'!VRJ814*'Form Sa1'!VRJ816/10)-'NF - 5 Power Mix'!VRG21-'NF - 5 Power Mix'!VRG22</f>
        <v>0</v>
      </c>
      <c r="VRH42" s="1046">
        <f>VRH38+((VRH40+'NF - 5 Power Mix'!VRH14+'NF - 5 Power Mix'!VRH15)*860/10)+((('Form Sa1'!VRK835)*860)/10)+('Form Sa1'!VRK814*'Form Sa1'!VRK816/10)-'NF - 5 Power Mix'!VRH21-'NF - 5 Power Mix'!VRH22</f>
        <v>0</v>
      </c>
      <c r="VRI42" s="1046">
        <f>VRI38+((VRI40+'NF - 5 Power Mix'!VRI14+'NF - 5 Power Mix'!VRI15)*860/10)+((('Form Sa1'!VRL835)*860)/10)+('Form Sa1'!VRL814*'Form Sa1'!VRL816/10)-'NF - 5 Power Mix'!VRI21-'NF - 5 Power Mix'!VRI22</f>
        <v>0</v>
      </c>
      <c r="VRJ42" s="1046">
        <f>VRJ38+((VRJ40+'NF - 5 Power Mix'!VRJ14+'NF - 5 Power Mix'!VRJ15)*860/10)+((('Form Sa1'!VRM835)*860)/10)+('Form Sa1'!VRM814*'Form Sa1'!VRM816/10)-'NF - 5 Power Mix'!VRJ21-'NF - 5 Power Mix'!VRJ22</f>
        <v>0</v>
      </c>
      <c r="VRK42" s="1046">
        <f>VRK38+((VRK40+'NF - 5 Power Mix'!VRK14+'NF - 5 Power Mix'!VRK15)*860/10)+((('Form Sa1'!VRN835)*860)/10)+('Form Sa1'!VRN814*'Form Sa1'!VRN816/10)-'NF - 5 Power Mix'!VRK21-'NF - 5 Power Mix'!VRK22</f>
        <v>0</v>
      </c>
      <c r="VRL42" s="1046">
        <f>VRL38+((VRL40+'NF - 5 Power Mix'!VRL14+'NF - 5 Power Mix'!VRL15)*860/10)+((('Form Sa1'!VRO835)*860)/10)+('Form Sa1'!VRO814*'Form Sa1'!VRO816/10)-'NF - 5 Power Mix'!VRL21-'NF - 5 Power Mix'!VRL22</f>
        <v>0</v>
      </c>
      <c r="VRM42" s="1046">
        <f>VRM38+((VRM40+'NF - 5 Power Mix'!VRM14+'NF - 5 Power Mix'!VRM15)*860/10)+((('Form Sa1'!VRP835)*860)/10)+('Form Sa1'!VRP814*'Form Sa1'!VRP816/10)-'NF - 5 Power Mix'!VRM21-'NF - 5 Power Mix'!VRM22</f>
        <v>0</v>
      </c>
      <c r="VRN42" s="1046">
        <f>VRN38+((VRN40+'NF - 5 Power Mix'!VRN14+'NF - 5 Power Mix'!VRN15)*860/10)+((('Form Sa1'!VRQ835)*860)/10)+('Form Sa1'!VRQ814*'Form Sa1'!VRQ816/10)-'NF - 5 Power Mix'!VRN21-'NF - 5 Power Mix'!VRN22</f>
        <v>0</v>
      </c>
      <c r="VRO42" s="1046">
        <f>VRO38+((VRO40+'NF - 5 Power Mix'!VRO14+'NF - 5 Power Mix'!VRO15)*860/10)+((('Form Sa1'!VRR835)*860)/10)+('Form Sa1'!VRR814*'Form Sa1'!VRR816/10)-'NF - 5 Power Mix'!VRO21-'NF - 5 Power Mix'!VRO22</f>
        <v>0</v>
      </c>
      <c r="VRP42" s="1046">
        <f>VRP38+((VRP40+'NF - 5 Power Mix'!VRP14+'NF - 5 Power Mix'!VRP15)*860/10)+((('Form Sa1'!VRS835)*860)/10)+('Form Sa1'!VRS814*'Form Sa1'!VRS816/10)-'NF - 5 Power Mix'!VRP21-'NF - 5 Power Mix'!VRP22</f>
        <v>0</v>
      </c>
      <c r="VRQ42" s="1046">
        <f>VRQ38+((VRQ40+'NF - 5 Power Mix'!VRQ14+'NF - 5 Power Mix'!VRQ15)*860/10)+((('Form Sa1'!VRT835)*860)/10)+('Form Sa1'!VRT814*'Form Sa1'!VRT816/10)-'NF - 5 Power Mix'!VRQ21-'NF - 5 Power Mix'!VRQ22</f>
        <v>0</v>
      </c>
      <c r="VRR42" s="1046">
        <f>VRR38+((VRR40+'NF - 5 Power Mix'!VRR14+'NF - 5 Power Mix'!VRR15)*860/10)+((('Form Sa1'!VRU835)*860)/10)+('Form Sa1'!VRU814*'Form Sa1'!VRU816/10)-'NF - 5 Power Mix'!VRR21-'NF - 5 Power Mix'!VRR22</f>
        <v>0</v>
      </c>
      <c r="VRS42" s="1046">
        <f>VRS38+((VRS40+'NF - 5 Power Mix'!VRS14+'NF - 5 Power Mix'!VRS15)*860/10)+((('Form Sa1'!VRV835)*860)/10)+('Form Sa1'!VRV814*'Form Sa1'!VRV816/10)-'NF - 5 Power Mix'!VRS21-'NF - 5 Power Mix'!VRS22</f>
        <v>0</v>
      </c>
      <c r="VRT42" s="1046">
        <f>VRT38+((VRT40+'NF - 5 Power Mix'!VRT14+'NF - 5 Power Mix'!VRT15)*860/10)+((('Form Sa1'!VRW835)*860)/10)+('Form Sa1'!VRW814*'Form Sa1'!VRW816/10)-'NF - 5 Power Mix'!VRT21-'NF - 5 Power Mix'!VRT22</f>
        <v>0</v>
      </c>
      <c r="VRU42" s="1046">
        <f>VRU38+((VRU40+'NF - 5 Power Mix'!VRU14+'NF - 5 Power Mix'!VRU15)*860/10)+((('Form Sa1'!VRX835)*860)/10)+('Form Sa1'!VRX814*'Form Sa1'!VRX816/10)-'NF - 5 Power Mix'!VRU21-'NF - 5 Power Mix'!VRU22</f>
        <v>0</v>
      </c>
      <c r="VRV42" s="1046">
        <f>VRV38+((VRV40+'NF - 5 Power Mix'!VRV14+'NF - 5 Power Mix'!VRV15)*860/10)+((('Form Sa1'!VRY835)*860)/10)+('Form Sa1'!VRY814*'Form Sa1'!VRY816/10)-'NF - 5 Power Mix'!VRV21-'NF - 5 Power Mix'!VRV22</f>
        <v>0</v>
      </c>
      <c r="VRW42" s="1046">
        <f>VRW38+((VRW40+'NF - 5 Power Mix'!VRW14+'NF - 5 Power Mix'!VRW15)*860/10)+((('Form Sa1'!VRZ835)*860)/10)+('Form Sa1'!VRZ814*'Form Sa1'!VRZ816/10)-'NF - 5 Power Mix'!VRW21-'NF - 5 Power Mix'!VRW22</f>
        <v>0</v>
      </c>
      <c r="VRX42" s="1046">
        <f>VRX38+((VRX40+'NF - 5 Power Mix'!VRX14+'NF - 5 Power Mix'!VRX15)*860/10)+((('Form Sa1'!VSA835)*860)/10)+('Form Sa1'!VSA814*'Form Sa1'!VSA816/10)-'NF - 5 Power Mix'!VRX21-'NF - 5 Power Mix'!VRX22</f>
        <v>0</v>
      </c>
      <c r="VRY42" s="1046">
        <f>VRY38+((VRY40+'NF - 5 Power Mix'!VRY14+'NF - 5 Power Mix'!VRY15)*860/10)+((('Form Sa1'!VSB835)*860)/10)+('Form Sa1'!VSB814*'Form Sa1'!VSB816/10)-'NF - 5 Power Mix'!VRY21-'NF - 5 Power Mix'!VRY22</f>
        <v>0</v>
      </c>
      <c r="VRZ42" s="1046">
        <f>VRZ38+((VRZ40+'NF - 5 Power Mix'!VRZ14+'NF - 5 Power Mix'!VRZ15)*860/10)+((('Form Sa1'!VSC835)*860)/10)+('Form Sa1'!VSC814*'Form Sa1'!VSC816/10)-'NF - 5 Power Mix'!VRZ21-'NF - 5 Power Mix'!VRZ22</f>
        <v>0</v>
      </c>
      <c r="VSA42" s="1046">
        <f>VSA38+((VSA40+'NF - 5 Power Mix'!VSA14+'NF - 5 Power Mix'!VSA15)*860/10)+((('Form Sa1'!VSD835)*860)/10)+('Form Sa1'!VSD814*'Form Sa1'!VSD816/10)-'NF - 5 Power Mix'!VSA21-'NF - 5 Power Mix'!VSA22</f>
        <v>0</v>
      </c>
      <c r="VSB42" s="1046">
        <f>VSB38+((VSB40+'NF - 5 Power Mix'!VSB14+'NF - 5 Power Mix'!VSB15)*860/10)+((('Form Sa1'!VSE835)*860)/10)+('Form Sa1'!VSE814*'Form Sa1'!VSE816/10)-'NF - 5 Power Mix'!VSB21-'NF - 5 Power Mix'!VSB22</f>
        <v>0</v>
      </c>
      <c r="VSC42" s="1046">
        <f>VSC38+((VSC40+'NF - 5 Power Mix'!VSC14+'NF - 5 Power Mix'!VSC15)*860/10)+((('Form Sa1'!VSF835)*860)/10)+('Form Sa1'!VSF814*'Form Sa1'!VSF816/10)-'NF - 5 Power Mix'!VSC21-'NF - 5 Power Mix'!VSC22</f>
        <v>0</v>
      </c>
      <c r="VSD42" s="1046">
        <f>VSD38+((VSD40+'NF - 5 Power Mix'!VSD14+'NF - 5 Power Mix'!VSD15)*860/10)+((('Form Sa1'!VSG835)*860)/10)+('Form Sa1'!VSG814*'Form Sa1'!VSG816/10)-'NF - 5 Power Mix'!VSD21-'NF - 5 Power Mix'!VSD22</f>
        <v>0</v>
      </c>
      <c r="VSE42" s="1046">
        <f>VSE38+((VSE40+'NF - 5 Power Mix'!VSE14+'NF - 5 Power Mix'!VSE15)*860/10)+((('Form Sa1'!VSH835)*860)/10)+('Form Sa1'!VSH814*'Form Sa1'!VSH816/10)-'NF - 5 Power Mix'!VSE21-'NF - 5 Power Mix'!VSE22</f>
        <v>0</v>
      </c>
      <c r="VSF42" s="1046">
        <f>VSF38+((VSF40+'NF - 5 Power Mix'!VSF14+'NF - 5 Power Mix'!VSF15)*860/10)+((('Form Sa1'!VSI835)*860)/10)+('Form Sa1'!VSI814*'Form Sa1'!VSI816/10)-'NF - 5 Power Mix'!VSF21-'NF - 5 Power Mix'!VSF22</f>
        <v>0</v>
      </c>
      <c r="VSG42" s="1046">
        <f>VSG38+((VSG40+'NF - 5 Power Mix'!VSG14+'NF - 5 Power Mix'!VSG15)*860/10)+((('Form Sa1'!VSJ835)*860)/10)+('Form Sa1'!VSJ814*'Form Sa1'!VSJ816/10)-'NF - 5 Power Mix'!VSG21-'NF - 5 Power Mix'!VSG22</f>
        <v>0</v>
      </c>
      <c r="VSH42" s="1046">
        <f>VSH38+((VSH40+'NF - 5 Power Mix'!VSH14+'NF - 5 Power Mix'!VSH15)*860/10)+((('Form Sa1'!VSK835)*860)/10)+('Form Sa1'!VSK814*'Form Sa1'!VSK816/10)-'NF - 5 Power Mix'!VSH21-'NF - 5 Power Mix'!VSH22</f>
        <v>0</v>
      </c>
      <c r="VSI42" s="1046">
        <f>VSI38+((VSI40+'NF - 5 Power Mix'!VSI14+'NF - 5 Power Mix'!VSI15)*860/10)+((('Form Sa1'!VSL835)*860)/10)+('Form Sa1'!VSL814*'Form Sa1'!VSL816/10)-'NF - 5 Power Mix'!VSI21-'NF - 5 Power Mix'!VSI22</f>
        <v>0</v>
      </c>
      <c r="VSJ42" s="1046">
        <f>VSJ38+((VSJ40+'NF - 5 Power Mix'!VSJ14+'NF - 5 Power Mix'!VSJ15)*860/10)+((('Form Sa1'!VSM835)*860)/10)+('Form Sa1'!VSM814*'Form Sa1'!VSM816/10)-'NF - 5 Power Mix'!VSJ21-'NF - 5 Power Mix'!VSJ22</f>
        <v>0</v>
      </c>
      <c r="VSK42" s="1046">
        <f>VSK38+((VSK40+'NF - 5 Power Mix'!VSK14+'NF - 5 Power Mix'!VSK15)*860/10)+((('Form Sa1'!VSN835)*860)/10)+('Form Sa1'!VSN814*'Form Sa1'!VSN816/10)-'NF - 5 Power Mix'!VSK21-'NF - 5 Power Mix'!VSK22</f>
        <v>0</v>
      </c>
      <c r="VSL42" s="1046">
        <f>VSL38+((VSL40+'NF - 5 Power Mix'!VSL14+'NF - 5 Power Mix'!VSL15)*860/10)+((('Form Sa1'!VSO835)*860)/10)+('Form Sa1'!VSO814*'Form Sa1'!VSO816/10)-'NF - 5 Power Mix'!VSL21-'NF - 5 Power Mix'!VSL22</f>
        <v>0</v>
      </c>
      <c r="VSM42" s="1046">
        <f>VSM38+((VSM40+'NF - 5 Power Mix'!VSM14+'NF - 5 Power Mix'!VSM15)*860/10)+((('Form Sa1'!VSP835)*860)/10)+('Form Sa1'!VSP814*'Form Sa1'!VSP816/10)-'NF - 5 Power Mix'!VSM21-'NF - 5 Power Mix'!VSM22</f>
        <v>0</v>
      </c>
      <c r="VSN42" s="1046">
        <f>VSN38+((VSN40+'NF - 5 Power Mix'!VSN14+'NF - 5 Power Mix'!VSN15)*860/10)+((('Form Sa1'!VSQ835)*860)/10)+('Form Sa1'!VSQ814*'Form Sa1'!VSQ816/10)-'NF - 5 Power Mix'!VSN21-'NF - 5 Power Mix'!VSN22</f>
        <v>0</v>
      </c>
      <c r="VSO42" s="1046">
        <f>VSO38+((VSO40+'NF - 5 Power Mix'!VSO14+'NF - 5 Power Mix'!VSO15)*860/10)+((('Form Sa1'!VSR835)*860)/10)+('Form Sa1'!VSR814*'Form Sa1'!VSR816/10)-'NF - 5 Power Mix'!VSO21-'NF - 5 Power Mix'!VSO22</f>
        <v>0</v>
      </c>
      <c r="VSP42" s="1046">
        <f>VSP38+((VSP40+'NF - 5 Power Mix'!VSP14+'NF - 5 Power Mix'!VSP15)*860/10)+((('Form Sa1'!VSS835)*860)/10)+('Form Sa1'!VSS814*'Form Sa1'!VSS816/10)-'NF - 5 Power Mix'!VSP21-'NF - 5 Power Mix'!VSP22</f>
        <v>0</v>
      </c>
      <c r="VSQ42" s="1046">
        <f>VSQ38+((VSQ40+'NF - 5 Power Mix'!VSQ14+'NF - 5 Power Mix'!VSQ15)*860/10)+((('Form Sa1'!VST835)*860)/10)+('Form Sa1'!VST814*'Form Sa1'!VST816/10)-'NF - 5 Power Mix'!VSQ21-'NF - 5 Power Mix'!VSQ22</f>
        <v>0</v>
      </c>
      <c r="VSR42" s="1046">
        <f>VSR38+((VSR40+'NF - 5 Power Mix'!VSR14+'NF - 5 Power Mix'!VSR15)*860/10)+((('Form Sa1'!VSU835)*860)/10)+('Form Sa1'!VSU814*'Form Sa1'!VSU816/10)-'NF - 5 Power Mix'!VSR21-'NF - 5 Power Mix'!VSR22</f>
        <v>0</v>
      </c>
      <c r="VSS42" s="1046">
        <f>VSS38+((VSS40+'NF - 5 Power Mix'!VSS14+'NF - 5 Power Mix'!VSS15)*860/10)+((('Form Sa1'!VSV835)*860)/10)+('Form Sa1'!VSV814*'Form Sa1'!VSV816/10)-'NF - 5 Power Mix'!VSS21-'NF - 5 Power Mix'!VSS22</f>
        <v>0</v>
      </c>
      <c r="VST42" s="1046">
        <f>VST38+((VST40+'NF - 5 Power Mix'!VST14+'NF - 5 Power Mix'!VST15)*860/10)+((('Form Sa1'!VSW835)*860)/10)+('Form Sa1'!VSW814*'Form Sa1'!VSW816/10)-'NF - 5 Power Mix'!VST21-'NF - 5 Power Mix'!VST22</f>
        <v>0</v>
      </c>
      <c r="VSU42" s="1046">
        <f>VSU38+((VSU40+'NF - 5 Power Mix'!VSU14+'NF - 5 Power Mix'!VSU15)*860/10)+((('Form Sa1'!VSX835)*860)/10)+('Form Sa1'!VSX814*'Form Sa1'!VSX816/10)-'NF - 5 Power Mix'!VSU21-'NF - 5 Power Mix'!VSU22</f>
        <v>0</v>
      </c>
      <c r="VSV42" s="1046">
        <f>VSV38+((VSV40+'NF - 5 Power Mix'!VSV14+'NF - 5 Power Mix'!VSV15)*860/10)+((('Form Sa1'!VSY835)*860)/10)+('Form Sa1'!VSY814*'Form Sa1'!VSY816/10)-'NF - 5 Power Mix'!VSV21-'NF - 5 Power Mix'!VSV22</f>
        <v>0</v>
      </c>
      <c r="VSW42" s="1046">
        <f>VSW38+((VSW40+'NF - 5 Power Mix'!VSW14+'NF - 5 Power Mix'!VSW15)*860/10)+((('Form Sa1'!VSZ835)*860)/10)+('Form Sa1'!VSZ814*'Form Sa1'!VSZ816/10)-'NF - 5 Power Mix'!VSW21-'NF - 5 Power Mix'!VSW22</f>
        <v>0</v>
      </c>
      <c r="VSX42" s="1046">
        <f>VSX38+((VSX40+'NF - 5 Power Mix'!VSX14+'NF - 5 Power Mix'!VSX15)*860/10)+((('Form Sa1'!VTA835)*860)/10)+('Form Sa1'!VTA814*'Form Sa1'!VTA816/10)-'NF - 5 Power Mix'!VSX21-'NF - 5 Power Mix'!VSX22</f>
        <v>0</v>
      </c>
      <c r="VSY42" s="1046">
        <f>VSY38+((VSY40+'NF - 5 Power Mix'!VSY14+'NF - 5 Power Mix'!VSY15)*860/10)+((('Form Sa1'!VTB835)*860)/10)+('Form Sa1'!VTB814*'Form Sa1'!VTB816/10)-'NF - 5 Power Mix'!VSY21-'NF - 5 Power Mix'!VSY22</f>
        <v>0</v>
      </c>
      <c r="VSZ42" s="1046">
        <f>VSZ38+((VSZ40+'NF - 5 Power Mix'!VSZ14+'NF - 5 Power Mix'!VSZ15)*860/10)+((('Form Sa1'!VTC835)*860)/10)+('Form Sa1'!VTC814*'Form Sa1'!VTC816/10)-'NF - 5 Power Mix'!VSZ21-'NF - 5 Power Mix'!VSZ22</f>
        <v>0</v>
      </c>
      <c r="VTA42" s="1046">
        <f>VTA38+((VTA40+'NF - 5 Power Mix'!VTA14+'NF - 5 Power Mix'!VTA15)*860/10)+((('Form Sa1'!VTD835)*860)/10)+('Form Sa1'!VTD814*'Form Sa1'!VTD816/10)-'NF - 5 Power Mix'!VTA21-'NF - 5 Power Mix'!VTA22</f>
        <v>0</v>
      </c>
      <c r="VTB42" s="1046">
        <f>VTB38+((VTB40+'NF - 5 Power Mix'!VTB14+'NF - 5 Power Mix'!VTB15)*860/10)+((('Form Sa1'!VTE835)*860)/10)+('Form Sa1'!VTE814*'Form Sa1'!VTE816/10)-'NF - 5 Power Mix'!VTB21-'NF - 5 Power Mix'!VTB22</f>
        <v>0</v>
      </c>
      <c r="VTC42" s="1046">
        <f>VTC38+((VTC40+'NF - 5 Power Mix'!VTC14+'NF - 5 Power Mix'!VTC15)*860/10)+((('Form Sa1'!VTF835)*860)/10)+('Form Sa1'!VTF814*'Form Sa1'!VTF816/10)-'NF - 5 Power Mix'!VTC21-'NF - 5 Power Mix'!VTC22</f>
        <v>0</v>
      </c>
      <c r="VTD42" s="1046">
        <f>VTD38+((VTD40+'NF - 5 Power Mix'!VTD14+'NF - 5 Power Mix'!VTD15)*860/10)+((('Form Sa1'!VTG835)*860)/10)+('Form Sa1'!VTG814*'Form Sa1'!VTG816/10)-'NF - 5 Power Mix'!VTD21-'NF - 5 Power Mix'!VTD22</f>
        <v>0</v>
      </c>
      <c r="VTE42" s="1046">
        <f>VTE38+((VTE40+'NF - 5 Power Mix'!VTE14+'NF - 5 Power Mix'!VTE15)*860/10)+((('Form Sa1'!VTH835)*860)/10)+('Form Sa1'!VTH814*'Form Sa1'!VTH816/10)-'NF - 5 Power Mix'!VTE21-'NF - 5 Power Mix'!VTE22</f>
        <v>0</v>
      </c>
      <c r="VTF42" s="1046">
        <f>VTF38+((VTF40+'NF - 5 Power Mix'!VTF14+'NF - 5 Power Mix'!VTF15)*860/10)+((('Form Sa1'!VTI835)*860)/10)+('Form Sa1'!VTI814*'Form Sa1'!VTI816/10)-'NF - 5 Power Mix'!VTF21-'NF - 5 Power Mix'!VTF22</f>
        <v>0</v>
      </c>
      <c r="VTG42" s="1046">
        <f>VTG38+((VTG40+'NF - 5 Power Mix'!VTG14+'NF - 5 Power Mix'!VTG15)*860/10)+((('Form Sa1'!VTJ835)*860)/10)+('Form Sa1'!VTJ814*'Form Sa1'!VTJ816/10)-'NF - 5 Power Mix'!VTG21-'NF - 5 Power Mix'!VTG22</f>
        <v>0</v>
      </c>
      <c r="VTH42" s="1046">
        <f>VTH38+((VTH40+'NF - 5 Power Mix'!VTH14+'NF - 5 Power Mix'!VTH15)*860/10)+((('Form Sa1'!VTK835)*860)/10)+('Form Sa1'!VTK814*'Form Sa1'!VTK816/10)-'NF - 5 Power Mix'!VTH21-'NF - 5 Power Mix'!VTH22</f>
        <v>0</v>
      </c>
      <c r="VTI42" s="1046">
        <f>VTI38+((VTI40+'NF - 5 Power Mix'!VTI14+'NF - 5 Power Mix'!VTI15)*860/10)+((('Form Sa1'!VTL835)*860)/10)+('Form Sa1'!VTL814*'Form Sa1'!VTL816/10)-'NF - 5 Power Mix'!VTI21-'NF - 5 Power Mix'!VTI22</f>
        <v>0</v>
      </c>
      <c r="VTJ42" s="1046">
        <f>VTJ38+((VTJ40+'NF - 5 Power Mix'!VTJ14+'NF - 5 Power Mix'!VTJ15)*860/10)+((('Form Sa1'!VTM835)*860)/10)+('Form Sa1'!VTM814*'Form Sa1'!VTM816/10)-'NF - 5 Power Mix'!VTJ21-'NF - 5 Power Mix'!VTJ22</f>
        <v>0</v>
      </c>
      <c r="VTK42" s="1046">
        <f>VTK38+((VTK40+'NF - 5 Power Mix'!VTK14+'NF - 5 Power Mix'!VTK15)*860/10)+((('Form Sa1'!VTN835)*860)/10)+('Form Sa1'!VTN814*'Form Sa1'!VTN816/10)-'NF - 5 Power Mix'!VTK21-'NF - 5 Power Mix'!VTK22</f>
        <v>0</v>
      </c>
      <c r="VTL42" s="1046">
        <f>VTL38+((VTL40+'NF - 5 Power Mix'!VTL14+'NF - 5 Power Mix'!VTL15)*860/10)+((('Form Sa1'!VTO835)*860)/10)+('Form Sa1'!VTO814*'Form Sa1'!VTO816/10)-'NF - 5 Power Mix'!VTL21-'NF - 5 Power Mix'!VTL22</f>
        <v>0</v>
      </c>
      <c r="VTM42" s="1046">
        <f>VTM38+((VTM40+'NF - 5 Power Mix'!VTM14+'NF - 5 Power Mix'!VTM15)*860/10)+((('Form Sa1'!VTP835)*860)/10)+('Form Sa1'!VTP814*'Form Sa1'!VTP816/10)-'NF - 5 Power Mix'!VTM21-'NF - 5 Power Mix'!VTM22</f>
        <v>0</v>
      </c>
      <c r="VTN42" s="1046">
        <f>VTN38+((VTN40+'NF - 5 Power Mix'!VTN14+'NF - 5 Power Mix'!VTN15)*860/10)+((('Form Sa1'!VTQ835)*860)/10)+('Form Sa1'!VTQ814*'Form Sa1'!VTQ816/10)-'NF - 5 Power Mix'!VTN21-'NF - 5 Power Mix'!VTN22</f>
        <v>0</v>
      </c>
      <c r="VTO42" s="1046">
        <f>VTO38+((VTO40+'NF - 5 Power Mix'!VTO14+'NF - 5 Power Mix'!VTO15)*860/10)+((('Form Sa1'!VTR835)*860)/10)+('Form Sa1'!VTR814*'Form Sa1'!VTR816/10)-'NF - 5 Power Mix'!VTO21-'NF - 5 Power Mix'!VTO22</f>
        <v>0</v>
      </c>
      <c r="VTP42" s="1046">
        <f>VTP38+((VTP40+'NF - 5 Power Mix'!VTP14+'NF - 5 Power Mix'!VTP15)*860/10)+((('Form Sa1'!VTS835)*860)/10)+('Form Sa1'!VTS814*'Form Sa1'!VTS816/10)-'NF - 5 Power Mix'!VTP21-'NF - 5 Power Mix'!VTP22</f>
        <v>0</v>
      </c>
      <c r="VTQ42" s="1046">
        <f>VTQ38+((VTQ40+'NF - 5 Power Mix'!VTQ14+'NF - 5 Power Mix'!VTQ15)*860/10)+((('Form Sa1'!VTT835)*860)/10)+('Form Sa1'!VTT814*'Form Sa1'!VTT816/10)-'NF - 5 Power Mix'!VTQ21-'NF - 5 Power Mix'!VTQ22</f>
        <v>0</v>
      </c>
      <c r="VTR42" s="1046">
        <f>VTR38+((VTR40+'NF - 5 Power Mix'!VTR14+'NF - 5 Power Mix'!VTR15)*860/10)+((('Form Sa1'!VTU835)*860)/10)+('Form Sa1'!VTU814*'Form Sa1'!VTU816/10)-'NF - 5 Power Mix'!VTR21-'NF - 5 Power Mix'!VTR22</f>
        <v>0</v>
      </c>
      <c r="VTS42" s="1046">
        <f>VTS38+((VTS40+'NF - 5 Power Mix'!VTS14+'NF - 5 Power Mix'!VTS15)*860/10)+((('Form Sa1'!VTV835)*860)/10)+('Form Sa1'!VTV814*'Form Sa1'!VTV816/10)-'NF - 5 Power Mix'!VTS21-'NF - 5 Power Mix'!VTS22</f>
        <v>0</v>
      </c>
      <c r="VTT42" s="1046">
        <f>VTT38+((VTT40+'NF - 5 Power Mix'!VTT14+'NF - 5 Power Mix'!VTT15)*860/10)+((('Form Sa1'!VTW835)*860)/10)+('Form Sa1'!VTW814*'Form Sa1'!VTW816/10)-'NF - 5 Power Mix'!VTT21-'NF - 5 Power Mix'!VTT22</f>
        <v>0</v>
      </c>
      <c r="VTU42" s="1046">
        <f>VTU38+((VTU40+'NF - 5 Power Mix'!VTU14+'NF - 5 Power Mix'!VTU15)*860/10)+((('Form Sa1'!VTX835)*860)/10)+('Form Sa1'!VTX814*'Form Sa1'!VTX816/10)-'NF - 5 Power Mix'!VTU21-'NF - 5 Power Mix'!VTU22</f>
        <v>0</v>
      </c>
      <c r="VTV42" s="1046">
        <f>VTV38+((VTV40+'NF - 5 Power Mix'!VTV14+'NF - 5 Power Mix'!VTV15)*860/10)+((('Form Sa1'!VTY835)*860)/10)+('Form Sa1'!VTY814*'Form Sa1'!VTY816/10)-'NF - 5 Power Mix'!VTV21-'NF - 5 Power Mix'!VTV22</f>
        <v>0</v>
      </c>
      <c r="VTW42" s="1046">
        <f>VTW38+((VTW40+'NF - 5 Power Mix'!VTW14+'NF - 5 Power Mix'!VTW15)*860/10)+((('Form Sa1'!VTZ835)*860)/10)+('Form Sa1'!VTZ814*'Form Sa1'!VTZ816/10)-'NF - 5 Power Mix'!VTW21-'NF - 5 Power Mix'!VTW22</f>
        <v>0</v>
      </c>
      <c r="VTX42" s="1046">
        <f>VTX38+((VTX40+'NF - 5 Power Mix'!VTX14+'NF - 5 Power Mix'!VTX15)*860/10)+((('Form Sa1'!VUA835)*860)/10)+('Form Sa1'!VUA814*'Form Sa1'!VUA816/10)-'NF - 5 Power Mix'!VTX21-'NF - 5 Power Mix'!VTX22</f>
        <v>0</v>
      </c>
      <c r="VTY42" s="1046">
        <f>VTY38+((VTY40+'NF - 5 Power Mix'!VTY14+'NF - 5 Power Mix'!VTY15)*860/10)+((('Form Sa1'!VUB835)*860)/10)+('Form Sa1'!VUB814*'Form Sa1'!VUB816/10)-'NF - 5 Power Mix'!VTY21-'NF - 5 Power Mix'!VTY22</f>
        <v>0</v>
      </c>
      <c r="VTZ42" s="1046">
        <f>VTZ38+((VTZ40+'NF - 5 Power Mix'!VTZ14+'NF - 5 Power Mix'!VTZ15)*860/10)+((('Form Sa1'!VUC835)*860)/10)+('Form Sa1'!VUC814*'Form Sa1'!VUC816/10)-'NF - 5 Power Mix'!VTZ21-'NF - 5 Power Mix'!VTZ22</f>
        <v>0</v>
      </c>
      <c r="VUA42" s="1046">
        <f>VUA38+((VUA40+'NF - 5 Power Mix'!VUA14+'NF - 5 Power Mix'!VUA15)*860/10)+((('Form Sa1'!VUD835)*860)/10)+('Form Sa1'!VUD814*'Form Sa1'!VUD816/10)-'NF - 5 Power Mix'!VUA21-'NF - 5 Power Mix'!VUA22</f>
        <v>0</v>
      </c>
      <c r="VUB42" s="1046">
        <f>VUB38+((VUB40+'NF - 5 Power Mix'!VUB14+'NF - 5 Power Mix'!VUB15)*860/10)+((('Form Sa1'!VUE835)*860)/10)+('Form Sa1'!VUE814*'Form Sa1'!VUE816/10)-'NF - 5 Power Mix'!VUB21-'NF - 5 Power Mix'!VUB22</f>
        <v>0</v>
      </c>
      <c r="VUC42" s="1046">
        <f>VUC38+((VUC40+'NF - 5 Power Mix'!VUC14+'NF - 5 Power Mix'!VUC15)*860/10)+((('Form Sa1'!VUF835)*860)/10)+('Form Sa1'!VUF814*'Form Sa1'!VUF816/10)-'NF - 5 Power Mix'!VUC21-'NF - 5 Power Mix'!VUC22</f>
        <v>0</v>
      </c>
      <c r="VUD42" s="1046">
        <f>VUD38+((VUD40+'NF - 5 Power Mix'!VUD14+'NF - 5 Power Mix'!VUD15)*860/10)+((('Form Sa1'!VUG835)*860)/10)+('Form Sa1'!VUG814*'Form Sa1'!VUG816/10)-'NF - 5 Power Mix'!VUD21-'NF - 5 Power Mix'!VUD22</f>
        <v>0</v>
      </c>
      <c r="VUE42" s="1046">
        <f>VUE38+((VUE40+'NF - 5 Power Mix'!VUE14+'NF - 5 Power Mix'!VUE15)*860/10)+((('Form Sa1'!VUH835)*860)/10)+('Form Sa1'!VUH814*'Form Sa1'!VUH816/10)-'NF - 5 Power Mix'!VUE21-'NF - 5 Power Mix'!VUE22</f>
        <v>0</v>
      </c>
      <c r="VUF42" s="1046">
        <f>VUF38+((VUF40+'NF - 5 Power Mix'!VUF14+'NF - 5 Power Mix'!VUF15)*860/10)+((('Form Sa1'!VUI835)*860)/10)+('Form Sa1'!VUI814*'Form Sa1'!VUI816/10)-'NF - 5 Power Mix'!VUF21-'NF - 5 Power Mix'!VUF22</f>
        <v>0</v>
      </c>
      <c r="VUG42" s="1046">
        <f>VUG38+((VUG40+'NF - 5 Power Mix'!VUG14+'NF - 5 Power Mix'!VUG15)*860/10)+((('Form Sa1'!VUJ835)*860)/10)+('Form Sa1'!VUJ814*'Form Sa1'!VUJ816/10)-'NF - 5 Power Mix'!VUG21-'NF - 5 Power Mix'!VUG22</f>
        <v>0</v>
      </c>
      <c r="VUH42" s="1046">
        <f>VUH38+((VUH40+'NF - 5 Power Mix'!VUH14+'NF - 5 Power Mix'!VUH15)*860/10)+((('Form Sa1'!VUK835)*860)/10)+('Form Sa1'!VUK814*'Form Sa1'!VUK816/10)-'NF - 5 Power Mix'!VUH21-'NF - 5 Power Mix'!VUH22</f>
        <v>0</v>
      </c>
      <c r="VUI42" s="1046">
        <f>VUI38+((VUI40+'NF - 5 Power Mix'!VUI14+'NF - 5 Power Mix'!VUI15)*860/10)+((('Form Sa1'!VUL835)*860)/10)+('Form Sa1'!VUL814*'Form Sa1'!VUL816/10)-'NF - 5 Power Mix'!VUI21-'NF - 5 Power Mix'!VUI22</f>
        <v>0</v>
      </c>
      <c r="VUJ42" s="1046">
        <f>VUJ38+((VUJ40+'NF - 5 Power Mix'!VUJ14+'NF - 5 Power Mix'!VUJ15)*860/10)+((('Form Sa1'!VUM835)*860)/10)+('Form Sa1'!VUM814*'Form Sa1'!VUM816/10)-'NF - 5 Power Mix'!VUJ21-'NF - 5 Power Mix'!VUJ22</f>
        <v>0</v>
      </c>
      <c r="VUK42" s="1046">
        <f>VUK38+((VUK40+'NF - 5 Power Mix'!VUK14+'NF - 5 Power Mix'!VUK15)*860/10)+((('Form Sa1'!VUN835)*860)/10)+('Form Sa1'!VUN814*'Form Sa1'!VUN816/10)-'NF - 5 Power Mix'!VUK21-'NF - 5 Power Mix'!VUK22</f>
        <v>0</v>
      </c>
      <c r="VUL42" s="1046">
        <f>VUL38+((VUL40+'NF - 5 Power Mix'!VUL14+'NF - 5 Power Mix'!VUL15)*860/10)+((('Form Sa1'!VUO835)*860)/10)+('Form Sa1'!VUO814*'Form Sa1'!VUO816/10)-'NF - 5 Power Mix'!VUL21-'NF - 5 Power Mix'!VUL22</f>
        <v>0</v>
      </c>
      <c r="VUM42" s="1046">
        <f>VUM38+((VUM40+'NF - 5 Power Mix'!VUM14+'NF - 5 Power Mix'!VUM15)*860/10)+((('Form Sa1'!VUP835)*860)/10)+('Form Sa1'!VUP814*'Form Sa1'!VUP816/10)-'NF - 5 Power Mix'!VUM21-'NF - 5 Power Mix'!VUM22</f>
        <v>0</v>
      </c>
      <c r="VUN42" s="1046">
        <f>VUN38+((VUN40+'NF - 5 Power Mix'!VUN14+'NF - 5 Power Mix'!VUN15)*860/10)+((('Form Sa1'!VUQ835)*860)/10)+('Form Sa1'!VUQ814*'Form Sa1'!VUQ816/10)-'NF - 5 Power Mix'!VUN21-'NF - 5 Power Mix'!VUN22</f>
        <v>0</v>
      </c>
      <c r="VUO42" s="1046">
        <f>VUO38+((VUO40+'NF - 5 Power Mix'!VUO14+'NF - 5 Power Mix'!VUO15)*860/10)+((('Form Sa1'!VUR835)*860)/10)+('Form Sa1'!VUR814*'Form Sa1'!VUR816/10)-'NF - 5 Power Mix'!VUO21-'NF - 5 Power Mix'!VUO22</f>
        <v>0</v>
      </c>
      <c r="VUP42" s="1046">
        <f>VUP38+((VUP40+'NF - 5 Power Mix'!VUP14+'NF - 5 Power Mix'!VUP15)*860/10)+((('Form Sa1'!VUS835)*860)/10)+('Form Sa1'!VUS814*'Form Sa1'!VUS816/10)-'NF - 5 Power Mix'!VUP21-'NF - 5 Power Mix'!VUP22</f>
        <v>0</v>
      </c>
      <c r="VUQ42" s="1046">
        <f>VUQ38+((VUQ40+'NF - 5 Power Mix'!VUQ14+'NF - 5 Power Mix'!VUQ15)*860/10)+((('Form Sa1'!VUT835)*860)/10)+('Form Sa1'!VUT814*'Form Sa1'!VUT816/10)-'NF - 5 Power Mix'!VUQ21-'NF - 5 Power Mix'!VUQ22</f>
        <v>0</v>
      </c>
      <c r="VUR42" s="1046">
        <f>VUR38+((VUR40+'NF - 5 Power Mix'!VUR14+'NF - 5 Power Mix'!VUR15)*860/10)+((('Form Sa1'!VUU835)*860)/10)+('Form Sa1'!VUU814*'Form Sa1'!VUU816/10)-'NF - 5 Power Mix'!VUR21-'NF - 5 Power Mix'!VUR22</f>
        <v>0</v>
      </c>
      <c r="VUS42" s="1046">
        <f>VUS38+((VUS40+'NF - 5 Power Mix'!VUS14+'NF - 5 Power Mix'!VUS15)*860/10)+((('Form Sa1'!VUV835)*860)/10)+('Form Sa1'!VUV814*'Form Sa1'!VUV816/10)-'NF - 5 Power Mix'!VUS21-'NF - 5 Power Mix'!VUS22</f>
        <v>0</v>
      </c>
      <c r="VUT42" s="1046">
        <f>VUT38+((VUT40+'NF - 5 Power Mix'!VUT14+'NF - 5 Power Mix'!VUT15)*860/10)+((('Form Sa1'!VUW835)*860)/10)+('Form Sa1'!VUW814*'Form Sa1'!VUW816/10)-'NF - 5 Power Mix'!VUT21-'NF - 5 Power Mix'!VUT22</f>
        <v>0</v>
      </c>
      <c r="VUU42" s="1046">
        <f>VUU38+((VUU40+'NF - 5 Power Mix'!VUU14+'NF - 5 Power Mix'!VUU15)*860/10)+((('Form Sa1'!VUX835)*860)/10)+('Form Sa1'!VUX814*'Form Sa1'!VUX816/10)-'NF - 5 Power Mix'!VUU21-'NF - 5 Power Mix'!VUU22</f>
        <v>0</v>
      </c>
      <c r="VUV42" s="1046">
        <f>VUV38+((VUV40+'NF - 5 Power Mix'!VUV14+'NF - 5 Power Mix'!VUV15)*860/10)+((('Form Sa1'!VUY835)*860)/10)+('Form Sa1'!VUY814*'Form Sa1'!VUY816/10)-'NF - 5 Power Mix'!VUV21-'NF - 5 Power Mix'!VUV22</f>
        <v>0</v>
      </c>
      <c r="VUW42" s="1046">
        <f>VUW38+((VUW40+'NF - 5 Power Mix'!VUW14+'NF - 5 Power Mix'!VUW15)*860/10)+((('Form Sa1'!VUZ835)*860)/10)+('Form Sa1'!VUZ814*'Form Sa1'!VUZ816/10)-'NF - 5 Power Mix'!VUW21-'NF - 5 Power Mix'!VUW22</f>
        <v>0</v>
      </c>
      <c r="VUX42" s="1046">
        <f>VUX38+((VUX40+'NF - 5 Power Mix'!VUX14+'NF - 5 Power Mix'!VUX15)*860/10)+((('Form Sa1'!VVA835)*860)/10)+('Form Sa1'!VVA814*'Form Sa1'!VVA816/10)-'NF - 5 Power Mix'!VUX21-'NF - 5 Power Mix'!VUX22</f>
        <v>0</v>
      </c>
      <c r="VUY42" s="1046">
        <f>VUY38+((VUY40+'NF - 5 Power Mix'!VUY14+'NF - 5 Power Mix'!VUY15)*860/10)+((('Form Sa1'!VVB835)*860)/10)+('Form Sa1'!VVB814*'Form Sa1'!VVB816/10)-'NF - 5 Power Mix'!VUY21-'NF - 5 Power Mix'!VUY22</f>
        <v>0</v>
      </c>
      <c r="VUZ42" s="1046">
        <f>VUZ38+((VUZ40+'NF - 5 Power Mix'!VUZ14+'NF - 5 Power Mix'!VUZ15)*860/10)+((('Form Sa1'!VVC835)*860)/10)+('Form Sa1'!VVC814*'Form Sa1'!VVC816/10)-'NF - 5 Power Mix'!VUZ21-'NF - 5 Power Mix'!VUZ22</f>
        <v>0</v>
      </c>
      <c r="VVA42" s="1046">
        <f>VVA38+((VVA40+'NF - 5 Power Mix'!VVA14+'NF - 5 Power Mix'!VVA15)*860/10)+((('Form Sa1'!VVD835)*860)/10)+('Form Sa1'!VVD814*'Form Sa1'!VVD816/10)-'NF - 5 Power Mix'!VVA21-'NF - 5 Power Mix'!VVA22</f>
        <v>0</v>
      </c>
      <c r="VVB42" s="1046">
        <f>VVB38+((VVB40+'NF - 5 Power Mix'!VVB14+'NF - 5 Power Mix'!VVB15)*860/10)+((('Form Sa1'!VVE835)*860)/10)+('Form Sa1'!VVE814*'Form Sa1'!VVE816/10)-'NF - 5 Power Mix'!VVB21-'NF - 5 Power Mix'!VVB22</f>
        <v>0</v>
      </c>
      <c r="VVC42" s="1046">
        <f>VVC38+((VVC40+'NF - 5 Power Mix'!VVC14+'NF - 5 Power Mix'!VVC15)*860/10)+((('Form Sa1'!VVF835)*860)/10)+('Form Sa1'!VVF814*'Form Sa1'!VVF816/10)-'NF - 5 Power Mix'!VVC21-'NF - 5 Power Mix'!VVC22</f>
        <v>0</v>
      </c>
      <c r="VVD42" s="1046">
        <f>VVD38+((VVD40+'NF - 5 Power Mix'!VVD14+'NF - 5 Power Mix'!VVD15)*860/10)+((('Form Sa1'!VVG835)*860)/10)+('Form Sa1'!VVG814*'Form Sa1'!VVG816/10)-'NF - 5 Power Mix'!VVD21-'NF - 5 Power Mix'!VVD22</f>
        <v>0</v>
      </c>
      <c r="VVE42" s="1046">
        <f>VVE38+((VVE40+'NF - 5 Power Mix'!VVE14+'NF - 5 Power Mix'!VVE15)*860/10)+((('Form Sa1'!VVH835)*860)/10)+('Form Sa1'!VVH814*'Form Sa1'!VVH816/10)-'NF - 5 Power Mix'!VVE21-'NF - 5 Power Mix'!VVE22</f>
        <v>0</v>
      </c>
      <c r="VVF42" s="1046">
        <f>VVF38+((VVF40+'NF - 5 Power Mix'!VVF14+'NF - 5 Power Mix'!VVF15)*860/10)+((('Form Sa1'!VVI835)*860)/10)+('Form Sa1'!VVI814*'Form Sa1'!VVI816/10)-'NF - 5 Power Mix'!VVF21-'NF - 5 Power Mix'!VVF22</f>
        <v>0</v>
      </c>
      <c r="VVG42" s="1046">
        <f>VVG38+((VVG40+'NF - 5 Power Mix'!VVG14+'NF - 5 Power Mix'!VVG15)*860/10)+((('Form Sa1'!VVJ835)*860)/10)+('Form Sa1'!VVJ814*'Form Sa1'!VVJ816/10)-'NF - 5 Power Mix'!VVG21-'NF - 5 Power Mix'!VVG22</f>
        <v>0</v>
      </c>
      <c r="VVH42" s="1046">
        <f>VVH38+((VVH40+'NF - 5 Power Mix'!VVH14+'NF - 5 Power Mix'!VVH15)*860/10)+((('Form Sa1'!VVK835)*860)/10)+('Form Sa1'!VVK814*'Form Sa1'!VVK816/10)-'NF - 5 Power Mix'!VVH21-'NF - 5 Power Mix'!VVH22</f>
        <v>0</v>
      </c>
      <c r="VVI42" s="1046">
        <f>VVI38+((VVI40+'NF - 5 Power Mix'!VVI14+'NF - 5 Power Mix'!VVI15)*860/10)+((('Form Sa1'!VVL835)*860)/10)+('Form Sa1'!VVL814*'Form Sa1'!VVL816/10)-'NF - 5 Power Mix'!VVI21-'NF - 5 Power Mix'!VVI22</f>
        <v>0</v>
      </c>
      <c r="VVJ42" s="1046">
        <f>VVJ38+((VVJ40+'NF - 5 Power Mix'!VVJ14+'NF - 5 Power Mix'!VVJ15)*860/10)+((('Form Sa1'!VVM835)*860)/10)+('Form Sa1'!VVM814*'Form Sa1'!VVM816/10)-'NF - 5 Power Mix'!VVJ21-'NF - 5 Power Mix'!VVJ22</f>
        <v>0</v>
      </c>
      <c r="VVK42" s="1046">
        <f>VVK38+((VVK40+'NF - 5 Power Mix'!VVK14+'NF - 5 Power Mix'!VVK15)*860/10)+((('Form Sa1'!VVN835)*860)/10)+('Form Sa1'!VVN814*'Form Sa1'!VVN816/10)-'NF - 5 Power Mix'!VVK21-'NF - 5 Power Mix'!VVK22</f>
        <v>0</v>
      </c>
      <c r="VVL42" s="1046">
        <f>VVL38+((VVL40+'NF - 5 Power Mix'!VVL14+'NF - 5 Power Mix'!VVL15)*860/10)+((('Form Sa1'!VVO835)*860)/10)+('Form Sa1'!VVO814*'Form Sa1'!VVO816/10)-'NF - 5 Power Mix'!VVL21-'NF - 5 Power Mix'!VVL22</f>
        <v>0</v>
      </c>
      <c r="VVM42" s="1046">
        <f>VVM38+((VVM40+'NF - 5 Power Mix'!VVM14+'NF - 5 Power Mix'!VVM15)*860/10)+((('Form Sa1'!VVP835)*860)/10)+('Form Sa1'!VVP814*'Form Sa1'!VVP816/10)-'NF - 5 Power Mix'!VVM21-'NF - 5 Power Mix'!VVM22</f>
        <v>0</v>
      </c>
      <c r="VVN42" s="1046">
        <f>VVN38+((VVN40+'NF - 5 Power Mix'!VVN14+'NF - 5 Power Mix'!VVN15)*860/10)+((('Form Sa1'!VVQ835)*860)/10)+('Form Sa1'!VVQ814*'Form Sa1'!VVQ816/10)-'NF - 5 Power Mix'!VVN21-'NF - 5 Power Mix'!VVN22</f>
        <v>0</v>
      </c>
      <c r="VVO42" s="1046">
        <f>VVO38+((VVO40+'NF - 5 Power Mix'!VVO14+'NF - 5 Power Mix'!VVO15)*860/10)+((('Form Sa1'!VVR835)*860)/10)+('Form Sa1'!VVR814*'Form Sa1'!VVR816/10)-'NF - 5 Power Mix'!VVO21-'NF - 5 Power Mix'!VVO22</f>
        <v>0</v>
      </c>
      <c r="VVP42" s="1046">
        <f>VVP38+((VVP40+'NF - 5 Power Mix'!VVP14+'NF - 5 Power Mix'!VVP15)*860/10)+((('Form Sa1'!VVS835)*860)/10)+('Form Sa1'!VVS814*'Form Sa1'!VVS816/10)-'NF - 5 Power Mix'!VVP21-'NF - 5 Power Mix'!VVP22</f>
        <v>0</v>
      </c>
      <c r="VVQ42" s="1046">
        <f>VVQ38+((VVQ40+'NF - 5 Power Mix'!VVQ14+'NF - 5 Power Mix'!VVQ15)*860/10)+((('Form Sa1'!VVT835)*860)/10)+('Form Sa1'!VVT814*'Form Sa1'!VVT816/10)-'NF - 5 Power Mix'!VVQ21-'NF - 5 Power Mix'!VVQ22</f>
        <v>0</v>
      </c>
      <c r="VVR42" s="1046">
        <f>VVR38+((VVR40+'NF - 5 Power Mix'!VVR14+'NF - 5 Power Mix'!VVR15)*860/10)+((('Form Sa1'!VVU835)*860)/10)+('Form Sa1'!VVU814*'Form Sa1'!VVU816/10)-'NF - 5 Power Mix'!VVR21-'NF - 5 Power Mix'!VVR22</f>
        <v>0</v>
      </c>
      <c r="VVS42" s="1046">
        <f>VVS38+((VVS40+'NF - 5 Power Mix'!VVS14+'NF - 5 Power Mix'!VVS15)*860/10)+((('Form Sa1'!VVV835)*860)/10)+('Form Sa1'!VVV814*'Form Sa1'!VVV816/10)-'NF - 5 Power Mix'!VVS21-'NF - 5 Power Mix'!VVS22</f>
        <v>0</v>
      </c>
      <c r="VVT42" s="1046">
        <f>VVT38+((VVT40+'NF - 5 Power Mix'!VVT14+'NF - 5 Power Mix'!VVT15)*860/10)+((('Form Sa1'!VVW835)*860)/10)+('Form Sa1'!VVW814*'Form Sa1'!VVW816/10)-'NF - 5 Power Mix'!VVT21-'NF - 5 Power Mix'!VVT22</f>
        <v>0</v>
      </c>
      <c r="VVU42" s="1046">
        <f>VVU38+((VVU40+'NF - 5 Power Mix'!VVU14+'NF - 5 Power Mix'!VVU15)*860/10)+((('Form Sa1'!VVX835)*860)/10)+('Form Sa1'!VVX814*'Form Sa1'!VVX816/10)-'NF - 5 Power Mix'!VVU21-'NF - 5 Power Mix'!VVU22</f>
        <v>0</v>
      </c>
      <c r="VVV42" s="1046">
        <f>VVV38+((VVV40+'NF - 5 Power Mix'!VVV14+'NF - 5 Power Mix'!VVV15)*860/10)+((('Form Sa1'!VVY835)*860)/10)+('Form Sa1'!VVY814*'Form Sa1'!VVY816/10)-'NF - 5 Power Mix'!VVV21-'NF - 5 Power Mix'!VVV22</f>
        <v>0</v>
      </c>
      <c r="VVW42" s="1046">
        <f>VVW38+((VVW40+'NF - 5 Power Mix'!VVW14+'NF - 5 Power Mix'!VVW15)*860/10)+((('Form Sa1'!VVZ835)*860)/10)+('Form Sa1'!VVZ814*'Form Sa1'!VVZ816/10)-'NF - 5 Power Mix'!VVW21-'NF - 5 Power Mix'!VVW22</f>
        <v>0</v>
      </c>
      <c r="VVX42" s="1046">
        <f>VVX38+((VVX40+'NF - 5 Power Mix'!VVX14+'NF - 5 Power Mix'!VVX15)*860/10)+((('Form Sa1'!VWA835)*860)/10)+('Form Sa1'!VWA814*'Form Sa1'!VWA816/10)-'NF - 5 Power Mix'!VVX21-'NF - 5 Power Mix'!VVX22</f>
        <v>0</v>
      </c>
      <c r="VVY42" s="1046">
        <f>VVY38+((VVY40+'NF - 5 Power Mix'!VVY14+'NF - 5 Power Mix'!VVY15)*860/10)+((('Form Sa1'!VWB835)*860)/10)+('Form Sa1'!VWB814*'Form Sa1'!VWB816/10)-'NF - 5 Power Mix'!VVY21-'NF - 5 Power Mix'!VVY22</f>
        <v>0</v>
      </c>
      <c r="VVZ42" s="1046">
        <f>VVZ38+((VVZ40+'NF - 5 Power Mix'!VVZ14+'NF - 5 Power Mix'!VVZ15)*860/10)+((('Form Sa1'!VWC835)*860)/10)+('Form Sa1'!VWC814*'Form Sa1'!VWC816/10)-'NF - 5 Power Mix'!VVZ21-'NF - 5 Power Mix'!VVZ22</f>
        <v>0</v>
      </c>
      <c r="VWA42" s="1046">
        <f>VWA38+((VWA40+'NF - 5 Power Mix'!VWA14+'NF - 5 Power Mix'!VWA15)*860/10)+((('Form Sa1'!VWD835)*860)/10)+('Form Sa1'!VWD814*'Form Sa1'!VWD816/10)-'NF - 5 Power Mix'!VWA21-'NF - 5 Power Mix'!VWA22</f>
        <v>0</v>
      </c>
      <c r="VWB42" s="1046">
        <f>VWB38+((VWB40+'NF - 5 Power Mix'!VWB14+'NF - 5 Power Mix'!VWB15)*860/10)+((('Form Sa1'!VWE835)*860)/10)+('Form Sa1'!VWE814*'Form Sa1'!VWE816/10)-'NF - 5 Power Mix'!VWB21-'NF - 5 Power Mix'!VWB22</f>
        <v>0</v>
      </c>
      <c r="VWC42" s="1046">
        <f>VWC38+((VWC40+'NF - 5 Power Mix'!VWC14+'NF - 5 Power Mix'!VWC15)*860/10)+((('Form Sa1'!VWF835)*860)/10)+('Form Sa1'!VWF814*'Form Sa1'!VWF816/10)-'NF - 5 Power Mix'!VWC21-'NF - 5 Power Mix'!VWC22</f>
        <v>0</v>
      </c>
      <c r="VWD42" s="1046">
        <f>VWD38+((VWD40+'NF - 5 Power Mix'!VWD14+'NF - 5 Power Mix'!VWD15)*860/10)+((('Form Sa1'!VWG835)*860)/10)+('Form Sa1'!VWG814*'Form Sa1'!VWG816/10)-'NF - 5 Power Mix'!VWD21-'NF - 5 Power Mix'!VWD22</f>
        <v>0</v>
      </c>
      <c r="VWE42" s="1046">
        <f>VWE38+((VWE40+'NF - 5 Power Mix'!VWE14+'NF - 5 Power Mix'!VWE15)*860/10)+((('Form Sa1'!VWH835)*860)/10)+('Form Sa1'!VWH814*'Form Sa1'!VWH816/10)-'NF - 5 Power Mix'!VWE21-'NF - 5 Power Mix'!VWE22</f>
        <v>0</v>
      </c>
      <c r="VWF42" s="1046">
        <f>VWF38+((VWF40+'NF - 5 Power Mix'!VWF14+'NF - 5 Power Mix'!VWF15)*860/10)+((('Form Sa1'!VWI835)*860)/10)+('Form Sa1'!VWI814*'Form Sa1'!VWI816/10)-'NF - 5 Power Mix'!VWF21-'NF - 5 Power Mix'!VWF22</f>
        <v>0</v>
      </c>
      <c r="VWG42" s="1046">
        <f>VWG38+((VWG40+'NF - 5 Power Mix'!VWG14+'NF - 5 Power Mix'!VWG15)*860/10)+((('Form Sa1'!VWJ835)*860)/10)+('Form Sa1'!VWJ814*'Form Sa1'!VWJ816/10)-'NF - 5 Power Mix'!VWG21-'NF - 5 Power Mix'!VWG22</f>
        <v>0</v>
      </c>
      <c r="VWH42" s="1046">
        <f>VWH38+((VWH40+'NF - 5 Power Mix'!VWH14+'NF - 5 Power Mix'!VWH15)*860/10)+((('Form Sa1'!VWK835)*860)/10)+('Form Sa1'!VWK814*'Form Sa1'!VWK816/10)-'NF - 5 Power Mix'!VWH21-'NF - 5 Power Mix'!VWH22</f>
        <v>0</v>
      </c>
      <c r="VWI42" s="1046">
        <f>VWI38+((VWI40+'NF - 5 Power Mix'!VWI14+'NF - 5 Power Mix'!VWI15)*860/10)+((('Form Sa1'!VWL835)*860)/10)+('Form Sa1'!VWL814*'Form Sa1'!VWL816/10)-'NF - 5 Power Mix'!VWI21-'NF - 5 Power Mix'!VWI22</f>
        <v>0</v>
      </c>
      <c r="VWJ42" s="1046">
        <f>VWJ38+((VWJ40+'NF - 5 Power Mix'!VWJ14+'NF - 5 Power Mix'!VWJ15)*860/10)+((('Form Sa1'!VWM835)*860)/10)+('Form Sa1'!VWM814*'Form Sa1'!VWM816/10)-'NF - 5 Power Mix'!VWJ21-'NF - 5 Power Mix'!VWJ22</f>
        <v>0</v>
      </c>
      <c r="VWK42" s="1046">
        <f>VWK38+((VWK40+'NF - 5 Power Mix'!VWK14+'NF - 5 Power Mix'!VWK15)*860/10)+((('Form Sa1'!VWN835)*860)/10)+('Form Sa1'!VWN814*'Form Sa1'!VWN816/10)-'NF - 5 Power Mix'!VWK21-'NF - 5 Power Mix'!VWK22</f>
        <v>0</v>
      </c>
      <c r="VWL42" s="1046">
        <f>VWL38+((VWL40+'NF - 5 Power Mix'!VWL14+'NF - 5 Power Mix'!VWL15)*860/10)+((('Form Sa1'!VWO835)*860)/10)+('Form Sa1'!VWO814*'Form Sa1'!VWO816/10)-'NF - 5 Power Mix'!VWL21-'NF - 5 Power Mix'!VWL22</f>
        <v>0</v>
      </c>
      <c r="VWM42" s="1046">
        <f>VWM38+((VWM40+'NF - 5 Power Mix'!VWM14+'NF - 5 Power Mix'!VWM15)*860/10)+((('Form Sa1'!VWP835)*860)/10)+('Form Sa1'!VWP814*'Form Sa1'!VWP816/10)-'NF - 5 Power Mix'!VWM21-'NF - 5 Power Mix'!VWM22</f>
        <v>0</v>
      </c>
      <c r="VWN42" s="1046">
        <f>VWN38+((VWN40+'NF - 5 Power Mix'!VWN14+'NF - 5 Power Mix'!VWN15)*860/10)+((('Form Sa1'!VWQ835)*860)/10)+('Form Sa1'!VWQ814*'Form Sa1'!VWQ816/10)-'NF - 5 Power Mix'!VWN21-'NF - 5 Power Mix'!VWN22</f>
        <v>0</v>
      </c>
      <c r="VWO42" s="1046">
        <f>VWO38+((VWO40+'NF - 5 Power Mix'!VWO14+'NF - 5 Power Mix'!VWO15)*860/10)+((('Form Sa1'!VWR835)*860)/10)+('Form Sa1'!VWR814*'Form Sa1'!VWR816/10)-'NF - 5 Power Mix'!VWO21-'NF - 5 Power Mix'!VWO22</f>
        <v>0</v>
      </c>
      <c r="VWP42" s="1046">
        <f>VWP38+((VWP40+'NF - 5 Power Mix'!VWP14+'NF - 5 Power Mix'!VWP15)*860/10)+((('Form Sa1'!VWS835)*860)/10)+('Form Sa1'!VWS814*'Form Sa1'!VWS816/10)-'NF - 5 Power Mix'!VWP21-'NF - 5 Power Mix'!VWP22</f>
        <v>0</v>
      </c>
      <c r="VWQ42" s="1046">
        <f>VWQ38+((VWQ40+'NF - 5 Power Mix'!VWQ14+'NF - 5 Power Mix'!VWQ15)*860/10)+((('Form Sa1'!VWT835)*860)/10)+('Form Sa1'!VWT814*'Form Sa1'!VWT816/10)-'NF - 5 Power Mix'!VWQ21-'NF - 5 Power Mix'!VWQ22</f>
        <v>0</v>
      </c>
      <c r="VWR42" s="1046">
        <f>VWR38+((VWR40+'NF - 5 Power Mix'!VWR14+'NF - 5 Power Mix'!VWR15)*860/10)+((('Form Sa1'!VWU835)*860)/10)+('Form Sa1'!VWU814*'Form Sa1'!VWU816/10)-'NF - 5 Power Mix'!VWR21-'NF - 5 Power Mix'!VWR22</f>
        <v>0</v>
      </c>
      <c r="VWS42" s="1046">
        <f>VWS38+((VWS40+'NF - 5 Power Mix'!VWS14+'NF - 5 Power Mix'!VWS15)*860/10)+((('Form Sa1'!VWV835)*860)/10)+('Form Sa1'!VWV814*'Form Sa1'!VWV816/10)-'NF - 5 Power Mix'!VWS21-'NF - 5 Power Mix'!VWS22</f>
        <v>0</v>
      </c>
      <c r="VWT42" s="1046">
        <f>VWT38+((VWT40+'NF - 5 Power Mix'!VWT14+'NF - 5 Power Mix'!VWT15)*860/10)+((('Form Sa1'!VWW835)*860)/10)+('Form Sa1'!VWW814*'Form Sa1'!VWW816/10)-'NF - 5 Power Mix'!VWT21-'NF - 5 Power Mix'!VWT22</f>
        <v>0</v>
      </c>
      <c r="VWU42" s="1046">
        <f>VWU38+((VWU40+'NF - 5 Power Mix'!VWU14+'NF - 5 Power Mix'!VWU15)*860/10)+((('Form Sa1'!VWX835)*860)/10)+('Form Sa1'!VWX814*'Form Sa1'!VWX816/10)-'NF - 5 Power Mix'!VWU21-'NF - 5 Power Mix'!VWU22</f>
        <v>0</v>
      </c>
      <c r="VWV42" s="1046">
        <f>VWV38+((VWV40+'NF - 5 Power Mix'!VWV14+'NF - 5 Power Mix'!VWV15)*860/10)+((('Form Sa1'!VWY835)*860)/10)+('Form Sa1'!VWY814*'Form Sa1'!VWY816/10)-'NF - 5 Power Mix'!VWV21-'NF - 5 Power Mix'!VWV22</f>
        <v>0</v>
      </c>
      <c r="VWW42" s="1046">
        <f>VWW38+((VWW40+'NF - 5 Power Mix'!VWW14+'NF - 5 Power Mix'!VWW15)*860/10)+((('Form Sa1'!VWZ835)*860)/10)+('Form Sa1'!VWZ814*'Form Sa1'!VWZ816/10)-'NF - 5 Power Mix'!VWW21-'NF - 5 Power Mix'!VWW22</f>
        <v>0</v>
      </c>
      <c r="VWX42" s="1046">
        <f>VWX38+((VWX40+'NF - 5 Power Mix'!VWX14+'NF - 5 Power Mix'!VWX15)*860/10)+((('Form Sa1'!VXA835)*860)/10)+('Form Sa1'!VXA814*'Form Sa1'!VXA816/10)-'NF - 5 Power Mix'!VWX21-'NF - 5 Power Mix'!VWX22</f>
        <v>0</v>
      </c>
      <c r="VWY42" s="1046">
        <f>VWY38+((VWY40+'NF - 5 Power Mix'!VWY14+'NF - 5 Power Mix'!VWY15)*860/10)+((('Form Sa1'!VXB835)*860)/10)+('Form Sa1'!VXB814*'Form Sa1'!VXB816/10)-'NF - 5 Power Mix'!VWY21-'NF - 5 Power Mix'!VWY22</f>
        <v>0</v>
      </c>
      <c r="VWZ42" s="1046">
        <f>VWZ38+((VWZ40+'NF - 5 Power Mix'!VWZ14+'NF - 5 Power Mix'!VWZ15)*860/10)+((('Form Sa1'!VXC835)*860)/10)+('Form Sa1'!VXC814*'Form Sa1'!VXC816/10)-'NF - 5 Power Mix'!VWZ21-'NF - 5 Power Mix'!VWZ22</f>
        <v>0</v>
      </c>
      <c r="VXA42" s="1046">
        <f>VXA38+((VXA40+'NF - 5 Power Mix'!VXA14+'NF - 5 Power Mix'!VXA15)*860/10)+((('Form Sa1'!VXD835)*860)/10)+('Form Sa1'!VXD814*'Form Sa1'!VXD816/10)-'NF - 5 Power Mix'!VXA21-'NF - 5 Power Mix'!VXA22</f>
        <v>0</v>
      </c>
      <c r="VXB42" s="1046">
        <f>VXB38+((VXB40+'NF - 5 Power Mix'!VXB14+'NF - 5 Power Mix'!VXB15)*860/10)+((('Form Sa1'!VXE835)*860)/10)+('Form Sa1'!VXE814*'Form Sa1'!VXE816/10)-'NF - 5 Power Mix'!VXB21-'NF - 5 Power Mix'!VXB22</f>
        <v>0</v>
      </c>
      <c r="VXC42" s="1046">
        <f>VXC38+((VXC40+'NF - 5 Power Mix'!VXC14+'NF - 5 Power Mix'!VXC15)*860/10)+((('Form Sa1'!VXF835)*860)/10)+('Form Sa1'!VXF814*'Form Sa1'!VXF816/10)-'NF - 5 Power Mix'!VXC21-'NF - 5 Power Mix'!VXC22</f>
        <v>0</v>
      </c>
      <c r="VXD42" s="1046">
        <f>VXD38+((VXD40+'NF - 5 Power Mix'!VXD14+'NF - 5 Power Mix'!VXD15)*860/10)+((('Form Sa1'!VXG835)*860)/10)+('Form Sa1'!VXG814*'Form Sa1'!VXG816/10)-'NF - 5 Power Mix'!VXD21-'NF - 5 Power Mix'!VXD22</f>
        <v>0</v>
      </c>
      <c r="VXE42" s="1046">
        <f>VXE38+((VXE40+'NF - 5 Power Mix'!VXE14+'NF - 5 Power Mix'!VXE15)*860/10)+((('Form Sa1'!VXH835)*860)/10)+('Form Sa1'!VXH814*'Form Sa1'!VXH816/10)-'NF - 5 Power Mix'!VXE21-'NF - 5 Power Mix'!VXE22</f>
        <v>0</v>
      </c>
      <c r="VXF42" s="1046">
        <f>VXF38+((VXF40+'NF - 5 Power Mix'!VXF14+'NF - 5 Power Mix'!VXF15)*860/10)+((('Form Sa1'!VXI835)*860)/10)+('Form Sa1'!VXI814*'Form Sa1'!VXI816/10)-'NF - 5 Power Mix'!VXF21-'NF - 5 Power Mix'!VXF22</f>
        <v>0</v>
      </c>
      <c r="VXG42" s="1046">
        <f>VXG38+((VXG40+'NF - 5 Power Mix'!VXG14+'NF - 5 Power Mix'!VXG15)*860/10)+((('Form Sa1'!VXJ835)*860)/10)+('Form Sa1'!VXJ814*'Form Sa1'!VXJ816/10)-'NF - 5 Power Mix'!VXG21-'NF - 5 Power Mix'!VXG22</f>
        <v>0</v>
      </c>
      <c r="VXH42" s="1046">
        <f>VXH38+((VXH40+'NF - 5 Power Mix'!VXH14+'NF - 5 Power Mix'!VXH15)*860/10)+((('Form Sa1'!VXK835)*860)/10)+('Form Sa1'!VXK814*'Form Sa1'!VXK816/10)-'NF - 5 Power Mix'!VXH21-'NF - 5 Power Mix'!VXH22</f>
        <v>0</v>
      </c>
      <c r="VXI42" s="1046">
        <f>VXI38+((VXI40+'NF - 5 Power Mix'!VXI14+'NF - 5 Power Mix'!VXI15)*860/10)+((('Form Sa1'!VXL835)*860)/10)+('Form Sa1'!VXL814*'Form Sa1'!VXL816/10)-'NF - 5 Power Mix'!VXI21-'NF - 5 Power Mix'!VXI22</f>
        <v>0</v>
      </c>
      <c r="VXJ42" s="1046">
        <f>VXJ38+((VXJ40+'NF - 5 Power Mix'!VXJ14+'NF - 5 Power Mix'!VXJ15)*860/10)+((('Form Sa1'!VXM835)*860)/10)+('Form Sa1'!VXM814*'Form Sa1'!VXM816/10)-'NF - 5 Power Mix'!VXJ21-'NF - 5 Power Mix'!VXJ22</f>
        <v>0</v>
      </c>
      <c r="VXK42" s="1046">
        <f>VXK38+((VXK40+'NF - 5 Power Mix'!VXK14+'NF - 5 Power Mix'!VXK15)*860/10)+((('Form Sa1'!VXN835)*860)/10)+('Form Sa1'!VXN814*'Form Sa1'!VXN816/10)-'NF - 5 Power Mix'!VXK21-'NF - 5 Power Mix'!VXK22</f>
        <v>0</v>
      </c>
      <c r="VXL42" s="1046">
        <f>VXL38+((VXL40+'NF - 5 Power Mix'!VXL14+'NF - 5 Power Mix'!VXL15)*860/10)+((('Form Sa1'!VXO835)*860)/10)+('Form Sa1'!VXO814*'Form Sa1'!VXO816/10)-'NF - 5 Power Mix'!VXL21-'NF - 5 Power Mix'!VXL22</f>
        <v>0</v>
      </c>
      <c r="VXM42" s="1046">
        <f>VXM38+((VXM40+'NF - 5 Power Mix'!VXM14+'NF - 5 Power Mix'!VXM15)*860/10)+((('Form Sa1'!VXP835)*860)/10)+('Form Sa1'!VXP814*'Form Sa1'!VXP816/10)-'NF - 5 Power Mix'!VXM21-'NF - 5 Power Mix'!VXM22</f>
        <v>0</v>
      </c>
      <c r="VXN42" s="1046">
        <f>VXN38+((VXN40+'NF - 5 Power Mix'!VXN14+'NF - 5 Power Mix'!VXN15)*860/10)+((('Form Sa1'!VXQ835)*860)/10)+('Form Sa1'!VXQ814*'Form Sa1'!VXQ816/10)-'NF - 5 Power Mix'!VXN21-'NF - 5 Power Mix'!VXN22</f>
        <v>0</v>
      </c>
      <c r="VXO42" s="1046">
        <f>VXO38+((VXO40+'NF - 5 Power Mix'!VXO14+'NF - 5 Power Mix'!VXO15)*860/10)+((('Form Sa1'!VXR835)*860)/10)+('Form Sa1'!VXR814*'Form Sa1'!VXR816/10)-'NF - 5 Power Mix'!VXO21-'NF - 5 Power Mix'!VXO22</f>
        <v>0</v>
      </c>
      <c r="VXP42" s="1046">
        <f>VXP38+((VXP40+'NF - 5 Power Mix'!VXP14+'NF - 5 Power Mix'!VXP15)*860/10)+((('Form Sa1'!VXS835)*860)/10)+('Form Sa1'!VXS814*'Form Sa1'!VXS816/10)-'NF - 5 Power Mix'!VXP21-'NF - 5 Power Mix'!VXP22</f>
        <v>0</v>
      </c>
      <c r="VXQ42" s="1046">
        <f>VXQ38+((VXQ40+'NF - 5 Power Mix'!VXQ14+'NF - 5 Power Mix'!VXQ15)*860/10)+((('Form Sa1'!VXT835)*860)/10)+('Form Sa1'!VXT814*'Form Sa1'!VXT816/10)-'NF - 5 Power Mix'!VXQ21-'NF - 5 Power Mix'!VXQ22</f>
        <v>0</v>
      </c>
      <c r="VXR42" s="1046">
        <f>VXR38+((VXR40+'NF - 5 Power Mix'!VXR14+'NF - 5 Power Mix'!VXR15)*860/10)+((('Form Sa1'!VXU835)*860)/10)+('Form Sa1'!VXU814*'Form Sa1'!VXU816/10)-'NF - 5 Power Mix'!VXR21-'NF - 5 Power Mix'!VXR22</f>
        <v>0</v>
      </c>
      <c r="VXS42" s="1046">
        <f>VXS38+((VXS40+'NF - 5 Power Mix'!VXS14+'NF - 5 Power Mix'!VXS15)*860/10)+((('Form Sa1'!VXV835)*860)/10)+('Form Sa1'!VXV814*'Form Sa1'!VXV816/10)-'NF - 5 Power Mix'!VXS21-'NF - 5 Power Mix'!VXS22</f>
        <v>0</v>
      </c>
      <c r="VXT42" s="1046">
        <f>VXT38+((VXT40+'NF - 5 Power Mix'!VXT14+'NF - 5 Power Mix'!VXT15)*860/10)+((('Form Sa1'!VXW835)*860)/10)+('Form Sa1'!VXW814*'Form Sa1'!VXW816/10)-'NF - 5 Power Mix'!VXT21-'NF - 5 Power Mix'!VXT22</f>
        <v>0</v>
      </c>
      <c r="VXU42" s="1046">
        <f>VXU38+((VXU40+'NF - 5 Power Mix'!VXU14+'NF - 5 Power Mix'!VXU15)*860/10)+((('Form Sa1'!VXX835)*860)/10)+('Form Sa1'!VXX814*'Form Sa1'!VXX816/10)-'NF - 5 Power Mix'!VXU21-'NF - 5 Power Mix'!VXU22</f>
        <v>0</v>
      </c>
      <c r="VXV42" s="1046">
        <f>VXV38+((VXV40+'NF - 5 Power Mix'!VXV14+'NF - 5 Power Mix'!VXV15)*860/10)+((('Form Sa1'!VXY835)*860)/10)+('Form Sa1'!VXY814*'Form Sa1'!VXY816/10)-'NF - 5 Power Mix'!VXV21-'NF - 5 Power Mix'!VXV22</f>
        <v>0</v>
      </c>
      <c r="VXW42" s="1046">
        <f>VXW38+((VXW40+'NF - 5 Power Mix'!VXW14+'NF - 5 Power Mix'!VXW15)*860/10)+((('Form Sa1'!VXZ835)*860)/10)+('Form Sa1'!VXZ814*'Form Sa1'!VXZ816/10)-'NF - 5 Power Mix'!VXW21-'NF - 5 Power Mix'!VXW22</f>
        <v>0</v>
      </c>
      <c r="VXX42" s="1046">
        <f>VXX38+((VXX40+'NF - 5 Power Mix'!VXX14+'NF - 5 Power Mix'!VXX15)*860/10)+((('Form Sa1'!VYA835)*860)/10)+('Form Sa1'!VYA814*'Form Sa1'!VYA816/10)-'NF - 5 Power Mix'!VXX21-'NF - 5 Power Mix'!VXX22</f>
        <v>0</v>
      </c>
      <c r="VXY42" s="1046">
        <f>VXY38+((VXY40+'NF - 5 Power Mix'!VXY14+'NF - 5 Power Mix'!VXY15)*860/10)+((('Form Sa1'!VYB835)*860)/10)+('Form Sa1'!VYB814*'Form Sa1'!VYB816/10)-'NF - 5 Power Mix'!VXY21-'NF - 5 Power Mix'!VXY22</f>
        <v>0</v>
      </c>
      <c r="VXZ42" s="1046">
        <f>VXZ38+((VXZ40+'NF - 5 Power Mix'!VXZ14+'NF - 5 Power Mix'!VXZ15)*860/10)+((('Form Sa1'!VYC835)*860)/10)+('Form Sa1'!VYC814*'Form Sa1'!VYC816/10)-'NF - 5 Power Mix'!VXZ21-'NF - 5 Power Mix'!VXZ22</f>
        <v>0</v>
      </c>
      <c r="VYA42" s="1046">
        <f>VYA38+((VYA40+'NF - 5 Power Mix'!VYA14+'NF - 5 Power Mix'!VYA15)*860/10)+((('Form Sa1'!VYD835)*860)/10)+('Form Sa1'!VYD814*'Form Sa1'!VYD816/10)-'NF - 5 Power Mix'!VYA21-'NF - 5 Power Mix'!VYA22</f>
        <v>0</v>
      </c>
      <c r="VYB42" s="1046">
        <f>VYB38+((VYB40+'NF - 5 Power Mix'!VYB14+'NF - 5 Power Mix'!VYB15)*860/10)+((('Form Sa1'!VYE835)*860)/10)+('Form Sa1'!VYE814*'Form Sa1'!VYE816/10)-'NF - 5 Power Mix'!VYB21-'NF - 5 Power Mix'!VYB22</f>
        <v>0</v>
      </c>
      <c r="VYC42" s="1046">
        <f>VYC38+((VYC40+'NF - 5 Power Mix'!VYC14+'NF - 5 Power Mix'!VYC15)*860/10)+((('Form Sa1'!VYF835)*860)/10)+('Form Sa1'!VYF814*'Form Sa1'!VYF816/10)-'NF - 5 Power Mix'!VYC21-'NF - 5 Power Mix'!VYC22</f>
        <v>0</v>
      </c>
      <c r="VYD42" s="1046">
        <f>VYD38+((VYD40+'NF - 5 Power Mix'!VYD14+'NF - 5 Power Mix'!VYD15)*860/10)+((('Form Sa1'!VYG835)*860)/10)+('Form Sa1'!VYG814*'Form Sa1'!VYG816/10)-'NF - 5 Power Mix'!VYD21-'NF - 5 Power Mix'!VYD22</f>
        <v>0</v>
      </c>
      <c r="VYE42" s="1046">
        <f>VYE38+((VYE40+'NF - 5 Power Mix'!VYE14+'NF - 5 Power Mix'!VYE15)*860/10)+((('Form Sa1'!VYH835)*860)/10)+('Form Sa1'!VYH814*'Form Sa1'!VYH816/10)-'NF - 5 Power Mix'!VYE21-'NF - 5 Power Mix'!VYE22</f>
        <v>0</v>
      </c>
      <c r="VYF42" s="1046">
        <f>VYF38+((VYF40+'NF - 5 Power Mix'!VYF14+'NF - 5 Power Mix'!VYF15)*860/10)+((('Form Sa1'!VYI835)*860)/10)+('Form Sa1'!VYI814*'Form Sa1'!VYI816/10)-'NF - 5 Power Mix'!VYF21-'NF - 5 Power Mix'!VYF22</f>
        <v>0</v>
      </c>
      <c r="VYG42" s="1046">
        <f>VYG38+((VYG40+'NF - 5 Power Mix'!VYG14+'NF - 5 Power Mix'!VYG15)*860/10)+((('Form Sa1'!VYJ835)*860)/10)+('Form Sa1'!VYJ814*'Form Sa1'!VYJ816/10)-'NF - 5 Power Mix'!VYG21-'NF - 5 Power Mix'!VYG22</f>
        <v>0</v>
      </c>
      <c r="VYH42" s="1046">
        <f>VYH38+((VYH40+'NF - 5 Power Mix'!VYH14+'NF - 5 Power Mix'!VYH15)*860/10)+((('Form Sa1'!VYK835)*860)/10)+('Form Sa1'!VYK814*'Form Sa1'!VYK816/10)-'NF - 5 Power Mix'!VYH21-'NF - 5 Power Mix'!VYH22</f>
        <v>0</v>
      </c>
      <c r="VYI42" s="1046">
        <f>VYI38+((VYI40+'NF - 5 Power Mix'!VYI14+'NF - 5 Power Mix'!VYI15)*860/10)+((('Form Sa1'!VYL835)*860)/10)+('Form Sa1'!VYL814*'Form Sa1'!VYL816/10)-'NF - 5 Power Mix'!VYI21-'NF - 5 Power Mix'!VYI22</f>
        <v>0</v>
      </c>
      <c r="VYJ42" s="1046">
        <f>VYJ38+((VYJ40+'NF - 5 Power Mix'!VYJ14+'NF - 5 Power Mix'!VYJ15)*860/10)+((('Form Sa1'!VYM835)*860)/10)+('Form Sa1'!VYM814*'Form Sa1'!VYM816/10)-'NF - 5 Power Mix'!VYJ21-'NF - 5 Power Mix'!VYJ22</f>
        <v>0</v>
      </c>
      <c r="VYK42" s="1046">
        <f>VYK38+((VYK40+'NF - 5 Power Mix'!VYK14+'NF - 5 Power Mix'!VYK15)*860/10)+((('Form Sa1'!VYN835)*860)/10)+('Form Sa1'!VYN814*'Form Sa1'!VYN816/10)-'NF - 5 Power Mix'!VYK21-'NF - 5 Power Mix'!VYK22</f>
        <v>0</v>
      </c>
      <c r="VYL42" s="1046">
        <f>VYL38+((VYL40+'NF - 5 Power Mix'!VYL14+'NF - 5 Power Mix'!VYL15)*860/10)+((('Form Sa1'!VYO835)*860)/10)+('Form Sa1'!VYO814*'Form Sa1'!VYO816/10)-'NF - 5 Power Mix'!VYL21-'NF - 5 Power Mix'!VYL22</f>
        <v>0</v>
      </c>
      <c r="VYM42" s="1046">
        <f>VYM38+((VYM40+'NF - 5 Power Mix'!VYM14+'NF - 5 Power Mix'!VYM15)*860/10)+((('Form Sa1'!VYP835)*860)/10)+('Form Sa1'!VYP814*'Form Sa1'!VYP816/10)-'NF - 5 Power Mix'!VYM21-'NF - 5 Power Mix'!VYM22</f>
        <v>0</v>
      </c>
      <c r="VYN42" s="1046">
        <f>VYN38+((VYN40+'NF - 5 Power Mix'!VYN14+'NF - 5 Power Mix'!VYN15)*860/10)+((('Form Sa1'!VYQ835)*860)/10)+('Form Sa1'!VYQ814*'Form Sa1'!VYQ816/10)-'NF - 5 Power Mix'!VYN21-'NF - 5 Power Mix'!VYN22</f>
        <v>0</v>
      </c>
      <c r="VYO42" s="1046">
        <f>VYO38+((VYO40+'NF - 5 Power Mix'!VYO14+'NF - 5 Power Mix'!VYO15)*860/10)+((('Form Sa1'!VYR835)*860)/10)+('Form Sa1'!VYR814*'Form Sa1'!VYR816/10)-'NF - 5 Power Mix'!VYO21-'NF - 5 Power Mix'!VYO22</f>
        <v>0</v>
      </c>
      <c r="VYP42" s="1046">
        <f>VYP38+((VYP40+'NF - 5 Power Mix'!VYP14+'NF - 5 Power Mix'!VYP15)*860/10)+((('Form Sa1'!VYS835)*860)/10)+('Form Sa1'!VYS814*'Form Sa1'!VYS816/10)-'NF - 5 Power Mix'!VYP21-'NF - 5 Power Mix'!VYP22</f>
        <v>0</v>
      </c>
      <c r="VYQ42" s="1046">
        <f>VYQ38+((VYQ40+'NF - 5 Power Mix'!VYQ14+'NF - 5 Power Mix'!VYQ15)*860/10)+((('Form Sa1'!VYT835)*860)/10)+('Form Sa1'!VYT814*'Form Sa1'!VYT816/10)-'NF - 5 Power Mix'!VYQ21-'NF - 5 Power Mix'!VYQ22</f>
        <v>0</v>
      </c>
      <c r="VYR42" s="1046">
        <f>VYR38+((VYR40+'NF - 5 Power Mix'!VYR14+'NF - 5 Power Mix'!VYR15)*860/10)+((('Form Sa1'!VYU835)*860)/10)+('Form Sa1'!VYU814*'Form Sa1'!VYU816/10)-'NF - 5 Power Mix'!VYR21-'NF - 5 Power Mix'!VYR22</f>
        <v>0</v>
      </c>
      <c r="VYS42" s="1046">
        <f>VYS38+((VYS40+'NF - 5 Power Mix'!VYS14+'NF - 5 Power Mix'!VYS15)*860/10)+((('Form Sa1'!VYV835)*860)/10)+('Form Sa1'!VYV814*'Form Sa1'!VYV816/10)-'NF - 5 Power Mix'!VYS21-'NF - 5 Power Mix'!VYS22</f>
        <v>0</v>
      </c>
      <c r="VYT42" s="1046">
        <f>VYT38+((VYT40+'NF - 5 Power Mix'!VYT14+'NF - 5 Power Mix'!VYT15)*860/10)+((('Form Sa1'!VYW835)*860)/10)+('Form Sa1'!VYW814*'Form Sa1'!VYW816/10)-'NF - 5 Power Mix'!VYT21-'NF - 5 Power Mix'!VYT22</f>
        <v>0</v>
      </c>
      <c r="VYU42" s="1046">
        <f>VYU38+((VYU40+'NF - 5 Power Mix'!VYU14+'NF - 5 Power Mix'!VYU15)*860/10)+((('Form Sa1'!VYX835)*860)/10)+('Form Sa1'!VYX814*'Form Sa1'!VYX816/10)-'NF - 5 Power Mix'!VYU21-'NF - 5 Power Mix'!VYU22</f>
        <v>0</v>
      </c>
      <c r="VYV42" s="1046">
        <f>VYV38+((VYV40+'NF - 5 Power Mix'!VYV14+'NF - 5 Power Mix'!VYV15)*860/10)+((('Form Sa1'!VYY835)*860)/10)+('Form Sa1'!VYY814*'Form Sa1'!VYY816/10)-'NF - 5 Power Mix'!VYV21-'NF - 5 Power Mix'!VYV22</f>
        <v>0</v>
      </c>
      <c r="VYW42" s="1046">
        <f>VYW38+((VYW40+'NF - 5 Power Mix'!VYW14+'NF - 5 Power Mix'!VYW15)*860/10)+((('Form Sa1'!VYZ835)*860)/10)+('Form Sa1'!VYZ814*'Form Sa1'!VYZ816/10)-'NF - 5 Power Mix'!VYW21-'NF - 5 Power Mix'!VYW22</f>
        <v>0</v>
      </c>
      <c r="VYX42" s="1046">
        <f>VYX38+((VYX40+'NF - 5 Power Mix'!VYX14+'NF - 5 Power Mix'!VYX15)*860/10)+((('Form Sa1'!VZA835)*860)/10)+('Form Sa1'!VZA814*'Form Sa1'!VZA816/10)-'NF - 5 Power Mix'!VYX21-'NF - 5 Power Mix'!VYX22</f>
        <v>0</v>
      </c>
      <c r="VYY42" s="1046">
        <f>VYY38+((VYY40+'NF - 5 Power Mix'!VYY14+'NF - 5 Power Mix'!VYY15)*860/10)+((('Form Sa1'!VZB835)*860)/10)+('Form Sa1'!VZB814*'Form Sa1'!VZB816/10)-'NF - 5 Power Mix'!VYY21-'NF - 5 Power Mix'!VYY22</f>
        <v>0</v>
      </c>
      <c r="VYZ42" s="1046">
        <f>VYZ38+((VYZ40+'NF - 5 Power Mix'!VYZ14+'NF - 5 Power Mix'!VYZ15)*860/10)+((('Form Sa1'!VZC835)*860)/10)+('Form Sa1'!VZC814*'Form Sa1'!VZC816/10)-'NF - 5 Power Mix'!VYZ21-'NF - 5 Power Mix'!VYZ22</f>
        <v>0</v>
      </c>
      <c r="VZA42" s="1046">
        <f>VZA38+((VZA40+'NF - 5 Power Mix'!VZA14+'NF - 5 Power Mix'!VZA15)*860/10)+((('Form Sa1'!VZD835)*860)/10)+('Form Sa1'!VZD814*'Form Sa1'!VZD816/10)-'NF - 5 Power Mix'!VZA21-'NF - 5 Power Mix'!VZA22</f>
        <v>0</v>
      </c>
      <c r="VZB42" s="1046">
        <f>VZB38+((VZB40+'NF - 5 Power Mix'!VZB14+'NF - 5 Power Mix'!VZB15)*860/10)+((('Form Sa1'!VZE835)*860)/10)+('Form Sa1'!VZE814*'Form Sa1'!VZE816/10)-'NF - 5 Power Mix'!VZB21-'NF - 5 Power Mix'!VZB22</f>
        <v>0</v>
      </c>
      <c r="VZC42" s="1046">
        <f>VZC38+((VZC40+'NF - 5 Power Mix'!VZC14+'NF - 5 Power Mix'!VZC15)*860/10)+((('Form Sa1'!VZF835)*860)/10)+('Form Sa1'!VZF814*'Form Sa1'!VZF816/10)-'NF - 5 Power Mix'!VZC21-'NF - 5 Power Mix'!VZC22</f>
        <v>0</v>
      </c>
      <c r="VZD42" s="1046">
        <f>VZD38+((VZD40+'NF - 5 Power Mix'!VZD14+'NF - 5 Power Mix'!VZD15)*860/10)+((('Form Sa1'!VZG835)*860)/10)+('Form Sa1'!VZG814*'Form Sa1'!VZG816/10)-'NF - 5 Power Mix'!VZD21-'NF - 5 Power Mix'!VZD22</f>
        <v>0</v>
      </c>
      <c r="VZE42" s="1046">
        <f>VZE38+((VZE40+'NF - 5 Power Mix'!VZE14+'NF - 5 Power Mix'!VZE15)*860/10)+((('Form Sa1'!VZH835)*860)/10)+('Form Sa1'!VZH814*'Form Sa1'!VZH816/10)-'NF - 5 Power Mix'!VZE21-'NF - 5 Power Mix'!VZE22</f>
        <v>0</v>
      </c>
      <c r="VZF42" s="1046">
        <f>VZF38+((VZF40+'NF - 5 Power Mix'!VZF14+'NF - 5 Power Mix'!VZF15)*860/10)+((('Form Sa1'!VZI835)*860)/10)+('Form Sa1'!VZI814*'Form Sa1'!VZI816/10)-'NF - 5 Power Mix'!VZF21-'NF - 5 Power Mix'!VZF22</f>
        <v>0</v>
      </c>
      <c r="VZG42" s="1046">
        <f>VZG38+((VZG40+'NF - 5 Power Mix'!VZG14+'NF - 5 Power Mix'!VZG15)*860/10)+((('Form Sa1'!VZJ835)*860)/10)+('Form Sa1'!VZJ814*'Form Sa1'!VZJ816/10)-'NF - 5 Power Mix'!VZG21-'NF - 5 Power Mix'!VZG22</f>
        <v>0</v>
      </c>
      <c r="VZH42" s="1046">
        <f>VZH38+((VZH40+'NF - 5 Power Mix'!VZH14+'NF - 5 Power Mix'!VZH15)*860/10)+((('Form Sa1'!VZK835)*860)/10)+('Form Sa1'!VZK814*'Form Sa1'!VZK816/10)-'NF - 5 Power Mix'!VZH21-'NF - 5 Power Mix'!VZH22</f>
        <v>0</v>
      </c>
      <c r="VZI42" s="1046">
        <f>VZI38+((VZI40+'NF - 5 Power Mix'!VZI14+'NF - 5 Power Mix'!VZI15)*860/10)+((('Form Sa1'!VZL835)*860)/10)+('Form Sa1'!VZL814*'Form Sa1'!VZL816/10)-'NF - 5 Power Mix'!VZI21-'NF - 5 Power Mix'!VZI22</f>
        <v>0</v>
      </c>
      <c r="VZJ42" s="1046">
        <f>VZJ38+((VZJ40+'NF - 5 Power Mix'!VZJ14+'NF - 5 Power Mix'!VZJ15)*860/10)+((('Form Sa1'!VZM835)*860)/10)+('Form Sa1'!VZM814*'Form Sa1'!VZM816/10)-'NF - 5 Power Mix'!VZJ21-'NF - 5 Power Mix'!VZJ22</f>
        <v>0</v>
      </c>
      <c r="VZK42" s="1046">
        <f>VZK38+((VZK40+'NF - 5 Power Mix'!VZK14+'NF - 5 Power Mix'!VZK15)*860/10)+((('Form Sa1'!VZN835)*860)/10)+('Form Sa1'!VZN814*'Form Sa1'!VZN816/10)-'NF - 5 Power Mix'!VZK21-'NF - 5 Power Mix'!VZK22</f>
        <v>0</v>
      </c>
      <c r="VZL42" s="1046">
        <f>VZL38+((VZL40+'NF - 5 Power Mix'!VZL14+'NF - 5 Power Mix'!VZL15)*860/10)+((('Form Sa1'!VZO835)*860)/10)+('Form Sa1'!VZO814*'Form Sa1'!VZO816/10)-'NF - 5 Power Mix'!VZL21-'NF - 5 Power Mix'!VZL22</f>
        <v>0</v>
      </c>
      <c r="VZM42" s="1046">
        <f>VZM38+((VZM40+'NF - 5 Power Mix'!VZM14+'NF - 5 Power Mix'!VZM15)*860/10)+((('Form Sa1'!VZP835)*860)/10)+('Form Sa1'!VZP814*'Form Sa1'!VZP816/10)-'NF - 5 Power Mix'!VZM21-'NF - 5 Power Mix'!VZM22</f>
        <v>0</v>
      </c>
      <c r="VZN42" s="1046">
        <f>VZN38+((VZN40+'NF - 5 Power Mix'!VZN14+'NF - 5 Power Mix'!VZN15)*860/10)+((('Form Sa1'!VZQ835)*860)/10)+('Form Sa1'!VZQ814*'Form Sa1'!VZQ816/10)-'NF - 5 Power Mix'!VZN21-'NF - 5 Power Mix'!VZN22</f>
        <v>0</v>
      </c>
      <c r="VZO42" s="1046">
        <f>VZO38+((VZO40+'NF - 5 Power Mix'!VZO14+'NF - 5 Power Mix'!VZO15)*860/10)+((('Form Sa1'!VZR835)*860)/10)+('Form Sa1'!VZR814*'Form Sa1'!VZR816/10)-'NF - 5 Power Mix'!VZO21-'NF - 5 Power Mix'!VZO22</f>
        <v>0</v>
      </c>
      <c r="VZP42" s="1046">
        <f>VZP38+((VZP40+'NF - 5 Power Mix'!VZP14+'NF - 5 Power Mix'!VZP15)*860/10)+((('Form Sa1'!VZS835)*860)/10)+('Form Sa1'!VZS814*'Form Sa1'!VZS816/10)-'NF - 5 Power Mix'!VZP21-'NF - 5 Power Mix'!VZP22</f>
        <v>0</v>
      </c>
      <c r="VZQ42" s="1046">
        <f>VZQ38+((VZQ40+'NF - 5 Power Mix'!VZQ14+'NF - 5 Power Mix'!VZQ15)*860/10)+((('Form Sa1'!VZT835)*860)/10)+('Form Sa1'!VZT814*'Form Sa1'!VZT816/10)-'NF - 5 Power Mix'!VZQ21-'NF - 5 Power Mix'!VZQ22</f>
        <v>0</v>
      </c>
      <c r="VZR42" s="1046">
        <f>VZR38+((VZR40+'NF - 5 Power Mix'!VZR14+'NF - 5 Power Mix'!VZR15)*860/10)+((('Form Sa1'!VZU835)*860)/10)+('Form Sa1'!VZU814*'Form Sa1'!VZU816/10)-'NF - 5 Power Mix'!VZR21-'NF - 5 Power Mix'!VZR22</f>
        <v>0</v>
      </c>
      <c r="VZS42" s="1046">
        <f>VZS38+((VZS40+'NF - 5 Power Mix'!VZS14+'NF - 5 Power Mix'!VZS15)*860/10)+((('Form Sa1'!VZV835)*860)/10)+('Form Sa1'!VZV814*'Form Sa1'!VZV816/10)-'NF - 5 Power Mix'!VZS21-'NF - 5 Power Mix'!VZS22</f>
        <v>0</v>
      </c>
      <c r="VZT42" s="1046">
        <f>VZT38+((VZT40+'NF - 5 Power Mix'!VZT14+'NF - 5 Power Mix'!VZT15)*860/10)+((('Form Sa1'!VZW835)*860)/10)+('Form Sa1'!VZW814*'Form Sa1'!VZW816/10)-'NF - 5 Power Mix'!VZT21-'NF - 5 Power Mix'!VZT22</f>
        <v>0</v>
      </c>
      <c r="VZU42" s="1046">
        <f>VZU38+((VZU40+'NF - 5 Power Mix'!VZU14+'NF - 5 Power Mix'!VZU15)*860/10)+((('Form Sa1'!VZX835)*860)/10)+('Form Sa1'!VZX814*'Form Sa1'!VZX816/10)-'NF - 5 Power Mix'!VZU21-'NF - 5 Power Mix'!VZU22</f>
        <v>0</v>
      </c>
      <c r="VZV42" s="1046">
        <f>VZV38+((VZV40+'NF - 5 Power Mix'!VZV14+'NF - 5 Power Mix'!VZV15)*860/10)+((('Form Sa1'!VZY835)*860)/10)+('Form Sa1'!VZY814*'Form Sa1'!VZY816/10)-'NF - 5 Power Mix'!VZV21-'NF - 5 Power Mix'!VZV22</f>
        <v>0</v>
      </c>
      <c r="VZW42" s="1046">
        <f>VZW38+((VZW40+'NF - 5 Power Mix'!VZW14+'NF - 5 Power Mix'!VZW15)*860/10)+((('Form Sa1'!VZZ835)*860)/10)+('Form Sa1'!VZZ814*'Form Sa1'!VZZ816/10)-'NF - 5 Power Mix'!VZW21-'NF - 5 Power Mix'!VZW22</f>
        <v>0</v>
      </c>
      <c r="VZX42" s="1046">
        <f>VZX38+((VZX40+'NF - 5 Power Mix'!VZX14+'NF - 5 Power Mix'!VZX15)*860/10)+((('Form Sa1'!WAA835)*860)/10)+('Form Sa1'!WAA814*'Form Sa1'!WAA816/10)-'NF - 5 Power Mix'!VZX21-'NF - 5 Power Mix'!VZX22</f>
        <v>0</v>
      </c>
      <c r="VZY42" s="1046">
        <f>VZY38+((VZY40+'NF - 5 Power Mix'!VZY14+'NF - 5 Power Mix'!VZY15)*860/10)+((('Form Sa1'!WAB835)*860)/10)+('Form Sa1'!WAB814*'Form Sa1'!WAB816/10)-'NF - 5 Power Mix'!VZY21-'NF - 5 Power Mix'!VZY22</f>
        <v>0</v>
      </c>
      <c r="VZZ42" s="1046">
        <f>VZZ38+((VZZ40+'NF - 5 Power Mix'!VZZ14+'NF - 5 Power Mix'!VZZ15)*860/10)+((('Form Sa1'!WAC835)*860)/10)+('Form Sa1'!WAC814*'Form Sa1'!WAC816/10)-'NF - 5 Power Mix'!VZZ21-'NF - 5 Power Mix'!VZZ22</f>
        <v>0</v>
      </c>
      <c r="WAA42" s="1046">
        <f>WAA38+((WAA40+'NF - 5 Power Mix'!WAA14+'NF - 5 Power Mix'!WAA15)*860/10)+((('Form Sa1'!WAD835)*860)/10)+('Form Sa1'!WAD814*'Form Sa1'!WAD816/10)-'NF - 5 Power Mix'!WAA21-'NF - 5 Power Mix'!WAA22</f>
        <v>0</v>
      </c>
      <c r="WAB42" s="1046">
        <f>WAB38+((WAB40+'NF - 5 Power Mix'!WAB14+'NF - 5 Power Mix'!WAB15)*860/10)+((('Form Sa1'!WAE835)*860)/10)+('Form Sa1'!WAE814*'Form Sa1'!WAE816/10)-'NF - 5 Power Mix'!WAB21-'NF - 5 Power Mix'!WAB22</f>
        <v>0</v>
      </c>
      <c r="WAC42" s="1046">
        <f>WAC38+((WAC40+'NF - 5 Power Mix'!WAC14+'NF - 5 Power Mix'!WAC15)*860/10)+((('Form Sa1'!WAF835)*860)/10)+('Form Sa1'!WAF814*'Form Sa1'!WAF816/10)-'NF - 5 Power Mix'!WAC21-'NF - 5 Power Mix'!WAC22</f>
        <v>0</v>
      </c>
      <c r="WAD42" s="1046">
        <f>WAD38+((WAD40+'NF - 5 Power Mix'!WAD14+'NF - 5 Power Mix'!WAD15)*860/10)+((('Form Sa1'!WAG835)*860)/10)+('Form Sa1'!WAG814*'Form Sa1'!WAG816/10)-'NF - 5 Power Mix'!WAD21-'NF - 5 Power Mix'!WAD22</f>
        <v>0</v>
      </c>
      <c r="WAE42" s="1046">
        <f>WAE38+((WAE40+'NF - 5 Power Mix'!WAE14+'NF - 5 Power Mix'!WAE15)*860/10)+((('Form Sa1'!WAH835)*860)/10)+('Form Sa1'!WAH814*'Form Sa1'!WAH816/10)-'NF - 5 Power Mix'!WAE21-'NF - 5 Power Mix'!WAE22</f>
        <v>0</v>
      </c>
      <c r="WAF42" s="1046">
        <f>WAF38+((WAF40+'NF - 5 Power Mix'!WAF14+'NF - 5 Power Mix'!WAF15)*860/10)+((('Form Sa1'!WAI835)*860)/10)+('Form Sa1'!WAI814*'Form Sa1'!WAI816/10)-'NF - 5 Power Mix'!WAF21-'NF - 5 Power Mix'!WAF22</f>
        <v>0</v>
      </c>
      <c r="WAG42" s="1046">
        <f>WAG38+((WAG40+'NF - 5 Power Mix'!WAG14+'NF - 5 Power Mix'!WAG15)*860/10)+((('Form Sa1'!WAJ835)*860)/10)+('Form Sa1'!WAJ814*'Form Sa1'!WAJ816/10)-'NF - 5 Power Mix'!WAG21-'NF - 5 Power Mix'!WAG22</f>
        <v>0</v>
      </c>
      <c r="WAH42" s="1046">
        <f>WAH38+((WAH40+'NF - 5 Power Mix'!WAH14+'NF - 5 Power Mix'!WAH15)*860/10)+((('Form Sa1'!WAK835)*860)/10)+('Form Sa1'!WAK814*'Form Sa1'!WAK816/10)-'NF - 5 Power Mix'!WAH21-'NF - 5 Power Mix'!WAH22</f>
        <v>0</v>
      </c>
      <c r="WAI42" s="1046">
        <f>WAI38+((WAI40+'NF - 5 Power Mix'!WAI14+'NF - 5 Power Mix'!WAI15)*860/10)+((('Form Sa1'!WAL835)*860)/10)+('Form Sa1'!WAL814*'Form Sa1'!WAL816/10)-'NF - 5 Power Mix'!WAI21-'NF - 5 Power Mix'!WAI22</f>
        <v>0</v>
      </c>
      <c r="WAJ42" s="1046">
        <f>WAJ38+((WAJ40+'NF - 5 Power Mix'!WAJ14+'NF - 5 Power Mix'!WAJ15)*860/10)+((('Form Sa1'!WAM835)*860)/10)+('Form Sa1'!WAM814*'Form Sa1'!WAM816/10)-'NF - 5 Power Mix'!WAJ21-'NF - 5 Power Mix'!WAJ22</f>
        <v>0</v>
      </c>
      <c r="WAK42" s="1046">
        <f>WAK38+((WAK40+'NF - 5 Power Mix'!WAK14+'NF - 5 Power Mix'!WAK15)*860/10)+((('Form Sa1'!WAN835)*860)/10)+('Form Sa1'!WAN814*'Form Sa1'!WAN816/10)-'NF - 5 Power Mix'!WAK21-'NF - 5 Power Mix'!WAK22</f>
        <v>0</v>
      </c>
      <c r="WAL42" s="1046">
        <f>WAL38+((WAL40+'NF - 5 Power Mix'!WAL14+'NF - 5 Power Mix'!WAL15)*860/10)+((('Form Sa1'!WAO835)*860)/10)+('Form Sa1'!WAO814*'Form Sa1'!WAO816/10)-'NF - 5 Power Mix'!WAL21-'NF - 5 Power Mix'!WAL22</f>
        <v>0</v>
      </c>
      <c r="WAM42" s="1046">
        <f>WAM38+((WAM40+'NF - 5 Power Mix'!WAM14+'NF - 5 Power Mix'!WAM15)*860/10)+((('Form Sa1'!WAP835)*860)/10)+('Form Sa1'!WAP814*'Form Sa1'!WAP816/10)-'NF - 5 Power Mix'!WAM21-'NF - 5 Power Mix'!WAM22</f>
        <v>0</v>
      </c>
      <c r="WAN42" s="1046">
        <f>WAN38+((WAN40+'NF - 5 Power Mix'!WAN14+'NF - 5 Power Mix'!WAN15)*860/10)+((('Form Sa1'!WAQ835)*860)/10)+('Form Sa1'!WAQ814*'Form Sa1'!WAQ816/10)-'NF - 5 Power Mix'!WAN21-'NF - 5 Power Mix'!WAN22</f>
        <v>0</v>
      </c>
      <c r="WAO42" s="1046">
        <f>WAO38+((WAO40+'NF - 5 Power Mix'!WAO14+'NF - 5 Power Mix'!WAO15)*860/10)+((('Form Sa1'!WAR835)*860)/10)+('Form Sa1'!WAR814*'Form Sa1'!WAR816/10)-'NF - 5 Power Mix'!WAO21-'NF - 5 Power Mix'!WAO22</f>
        <v>0</v>
      </c>
      <c r="WAP42" s="1046">
        <f>WAP38+((WAP40+'NF - 5 Power Mix'!WAP14+'NF - 5 Power Mix'!WAP15)*860/10)+((('Form Sa1'!WAS835)*860)/10)+('Form Sa1'!WAS814*'Form Sa1'!WAS816/10)-'NF - 5 Power Mix'!WAP21-'NF - 5 Power Mix'!WAP22</f>
        <v>0</v>
      </c>
      <c r="WAQ42" s="1046">
        <f>WAQ38+((WAQ40+'NF - 5 Power Mix'!WAQ14+'NF - 5 Power Mix'!WAQ15)*860/10)+((('Form Sa1'!WAT835)*860)/10)+('Form Sa1'!WAT814*'Form Sa1'!WAT816/10)-'NF - 5 Power Mix'!WAQ21-'NF - 5 Power Mix'!WAQ22</f>
        <v>0</v>
      </c>
      <c r="WAR42" s="1046">
        <f>WAR38+((WAR40+'NF - 5 Power Mix'!WAR14+'NF - 5 Power Mix'!WAR15)*860/10)+((('Form Sa1'!WAU835)*860)/10)+('Form Sa1'!WAU814*'Form Sa1'!WAU816/10)-'NF - 5 Power Mix'!WAR21-'NF - 5 Power Mix'!WAR22</f>
        <v>0</v>
      </c>
      <c r="WAS42" s="1046">
        <f>WAS38+((WAS40+'NF - 5 Power Mix'!WAS14+'NF - 5 Power Mix'!WAS15)*860/10)+((('Form Sa1'!WAV835)*860)/10)+('Form Sa1'!WAV814*'Form Sa1'!WAV816/10)-'NF - 5 Power Mix'!WAS21-'NF - 5 Power Mix'!WAS22</f>
        <v>0</v>
      </c>
      <c r="WAT42" s="1046">
        <f>WAT38+((WAT40+'NF - 5 Power Mix'!WAT14+'NF - 5 Power Mix'!WAT15)*860/10)+((('Form Sa1'!WAW835)*860)/10)+('Form Sa1'!WAW814*'Form Sa1'!WAW816/10)-'NF - 5 Power Mix'!WAT21-'NF - 5 Power Mix'!WAT22</f>
        <v>0</v>
      </c>
      <c r="WAU42" s="1046">
        <f>WAU38+((WAU40+'NF - 5 Power Mix'!WAU14+'NF - 5 Power Mix'!WAU15)*860/10)+((('Form Sa1'!WAX835)*860)/10)+('Form Sa1'!WAX814*'Form Sa1'!WAX816/10)-'NF - 5 Power Mix'!WAU21-'NF - 5 Power Mix'!WAU22</f>
        <v>0</v>
      </c>
      <c r="WAV42" s="1046">
        <f>WAV38+((WAV40+'NF - 5 Power Mix'!WAV14+'NF - 5 Power Mix'!WAV15)*860/10)+((('Form Sa1'!WAY835)*860)/10)+('Form Sa1'!WAY814*'Form Sa1'!WAY816/10)-'NF - 5 Power Mix'!WAV21-'NF - 5 Power Mix'!WAV22</f>
        <v>0</v>
      </c>
      <c r="WAW42" s="1046">
        <f>WAW38+((WAW40+'NF - 5 Power Mix'!WAW14+'NF - 5 Power Mix'!WAW15)*860/10)+((('Form Sa1'!WAZ835)*860)/10)+('Form Sa1'!WAZ814*'Form Sa1'!WAZ816/10)-'NF - 5 Power Mix'!WAW21-'NF - 5 Power Mix'!WAW22</f>
        <v>0</v>
      </c>
      <c r="WAX42" s="1046">
        <f>WAX38+((WAX40+'NF - 5 Power Mix'!WAX14+'NF - 5 Power Mix'!WAX15)*860/10)+((('Form Sa1'!WBA835)*860)/10)+('Form Sa1'!WBA814*'Form Sa1'!WBA816/10)-'NF - 5 Power Mix'!WAX21-'NF - 5 Power Mix'!WAX22</f>
        <v>0</v>
      </c>
      <c r="WAY42" s="1046">
        <f>WAY38+((WAY40+'NF - 5 Power Mix'!WAY14+'NF - 5 Power Mix'!WAY15)*860/10)+((('Form Sa1'!WBB835)*860)/10)+('Form Sa1'!WBB814*'Form Sa1'!WBB816/10)-'NF - 5 Power Mix'!WAY21-'NF - 5 Power Mix'!WAY22</f>
        <v>0</v>
      </c>
      <c r="WAZ42" s="1046">
        <f>WAZ38+((WAZ40+'NF - 5 Power Mix'!WAZ14+'NF - 5 Power Mix'!WAZ15)*860/10)+((('Form Sa1'!WBC835)*860)/10)+('Form Sa1'!WBC814*'Form Sa1'!WBC816/10)-'NF - 5 Power Mix'!WAZ21-'NF - 5 Power Mix'!WAZ22</f>
        <v>0</v>
      </c>
      <c r="WBA42" s="1046">
        <f>WBA38+((WBA40+'NF - 5 Power Mix'!WBA14+'NF - 5 Power Mix'!WBA15)*860/10)+((('Form Sa1'!WBD835)*860)/10)+('Form Sa1'!WBD814*'Form Sa1'!WBD816/10)-'NF - 5 Power Mix'!WBA21-'NF - 5 Power Mix'!WBA22</f>
        <v>0</v>
      </c>
      <c r="WBB42" s="1046">
        <f>WBB38+((WBB40+'NF - 5 Power Mix'!WBB14+'NF - 5 Power Mix'!WBB15)*860/10)+((('Form Sa1'!WBE835)*860)/10)+('Form Sa1'!WBE814*'Form Sa1'!WBE816/10)-'NF - 5 Power Mix'!WBB21-'NF - 5 Power Mix'!WBB22</f>
        <v>0</v>
      </c>
      <c r="WBC42" s="1046">
        <f>WBC38+((WBC40+'NF - 5 Power Mix'!WBC14+'NF - 5 Power Mix'!WBC15)*860/10)+((('Form Sa1'!WBF835)*860)/10)+('Form Sa1'!WBF814*'Form Sa1'!WBF816/10)-'NF - 5 Power Mix'!WBC21-'NF - 5 Power Mix'!WBC22</f>
        <v>0</v>
      </c>
      <c r="WBD42" s="1046">
        <f>WBD38+((WBD40+'NF - 5 Power Mix'!WBD14+'NF - 5 Power Mix'!WBD15)*860/10)+((('Form Sa1'!WBG835)*860)/10)+('Form Sa1'!WBG814*'Form Sa1'!WBG816/10)-'NF - 5 Power Mix'!WBD21-'NF - 5 Power Mix'!WBD22</f>
        <v>0</v>
      </c>
      <c r="WBE42" s="1046">
        <f>WBE38+((WBE40+'NF - 5 Power Mix'!WBE14+'NF - 5 Power Mix'!WBE15)*860/10)+((('Form Sa1'!WBH835)*860)/10)+('Form Sa1'!WBH814*'Form Sa1'!WBH816/10)-'NF - 5 Power Mix'!WBE21-'NF - 5 Power Mix'!WBE22</f>
        <v>0</v>
      </c>
      <c r="WBF42" s="1046">
        <f>WBF38+((WBF40+'NF - 5 Power Mix'!WBF14+'NF - 5 Power Mix'!WBF15)*860/10)+((('Form Sa1'!WBI835)*860)/10)+('Form Sa1'!WBI814*'Form Sa1'!WBI816/10)-'NF - 5 Power Mix'!WBF21-'NF - 5 Power Mix'!WBF22</f>
        <v>0</v>
      </c>
      <c r="WBG42" s="1046">
        <f>WBG38+((WBG40+'NF - 5 Power Mix'!WBG14+'NF - 5 Power Mix'!WBG15)*860/10)+((('Form Sa1'!WBJ835)*860)/10)+('Form Sa1'!WBJ814*'Form Sa1'!WBJ816/10)-'NF - 5 Power Mix'!WBG21-'NF - 5 Power Mix'!WBG22</f>
        <v>0</v>
      </c>
      <c r="WBH42" s="1046">
        <f>WBH38+((WBH40+'NF - 5 Power Mix'!WBH14+'NF - 5 Power Mix'!WBH15)*860/10)+((('Form Sa1'!WBK835)*860)/10)+('Form Sa1'!WBK814*'Form Sa1'!WBK816/10)-'NF - 5 Power Mix'!WBH21-'NF - 5 Power Mix'!WBH22</f>
        <v>0</v>
      </c>
      <c r="WBI42" s="1046">
        <f>WBI38+((WBI40+'NF - 5 Power Mix'!WBI14+'NF - 5 Power Mix'!WBI15)*860/10)+((('Form Sa1'!WBL835)*860)/10)+('Form Sa1'!WBL814*'Form Sa1'!WBL816/10)-'NF - 5 Power Mix'!WBI21-'NF - 5 Power Mix'!WBI22</f>
        <v>0</v>
      </c>
      <c r="WBJ42" s="1046">
        <f>WBJ38+((WBJ40+'NF - 5 Power Mix'!WBJ14+'NF - 5 Power Mix'!WBJ15)*860/10)+((('Form Sa1'!WBM835)*860)/10)+('Form Sa1'!WBM814*'Form Sa1'!WBM816/10)-'NF - 5 Power Mix'!WBJ21-'NF - 5 Power Mix'!WBJ22</f>
        <v>0</v>
      </c>
      <c r="WBK42" s="1046">
        <f>WBK38+((WBK40+'NF - 5 Power Mix'!WBK14+'NF - 5 Power Mix'!WBK15)*860/10)+((('Form Sa1'!WBN835)*860)/10)+('Form Sa1'!WBN814*'Form Sa1'!WBN816/10)-'NF - 5 Power Mix'!WBK21-'NF - 5 Power Mix'!WBK22</f>
        <v>0</v>
      </c>
      <c r="WBL42" s="1046">
        <f>WBL38+((WBL40+'NF - 5 Power Mix'!WBL14+'NF - 5 Power Mix'!WBL15)*860/10)+((('Form Sa1'!WBO835)*860)/10)+('Form Sa1'!WBO814*'Form Sa1'!WBO816/10)-'NF - 5 Power Mix'!WBL21-'NF - 5 Power Mix'!WBL22</f>
        <v>0</v>
      </c>
      <c r="WBM42" s="1046">
        <f>WBM38+((WBM40+'NF - 5 Power Mix'!WBM14+'NF - 5 Power Mix'!WBM15)*860/10)+((('Form Sa1'!WBP835)*860)/10)+('Form Sa1'!WBP814*'Form Sa1'!WBP816/10)-'NF - 5 Power Mix'!WBM21-'NF - 5 Power Mix'!WBM22</f>
        <v>0</v>
      </c>
      <c r="WBN42" s="1046">
        <f>WBN38+((WBN40+'NF - 5 Power Mix'!WBN14+'NF - 5 Power Mix'!WBN15)*860/10)+((('Form Sa1'!WBQ835)*860)/10)+('Form Sa1'!WBQ814*'Form Sa1'!WBQ816/10)-'NF - 5 Power Mix'!WBN21-'NF - 5 Power Mix'!WBN22</f>
        <v>0</v>
      </c>
      <c r="WBO42" s="1046">
        <f>WBO38+((WBO40+'NF - 5 Power Mix'!WBO14+'NF - 5 Power Mix'!WBO15)*860/10)+((('Form Sa1'!WBR835)*860)/10)+('Form Sa1'!WBR814*'Form Sa1'!WBR816/10)-'NF - 5 Power Mix'!WBO21-'NF - 5 Power Mix'!WBO22</f>
        <v>0</v>
      </c>
      <c r="WBP42" s="1046">
        <f>WBP38+((WBP40+'NF - 5 Power Mix'!WBP14+'NF - 5 Power Mix'!WBP15)*860/10)+((('Form Sa1'!WBS835)*860)/10)+('Form Sa1'!WBS814*'Form Sa1'!WBS816/10)-'NF - 5 Power Mix'!WBP21-'NF - 5 Power Mix'!WBP22</f>
        <v>0</v>
      </c>
      <c r="WBQ42" s="1046">
        <f>WBQ38+((WBQ40+'NF - 5 Power Mix'!WBQ14+'NF - 5 Power Mix'!WBQ15)*860/10)+((('Form Sa1'!WBT835)*860)/10)+('Form Sa1'!WBT814*'Form Sa1'!WBT816/10)-'NF - 5 Power Mix'!WBQ21-'NF - 5 Power Mix'!WBQ22</f>
        <v>0</v>
      </c>
      <c r="WBR42" s="1046">
        <f>WBR38+((WBR40+'NF - 5 Power Mix'!WBR14+'NF - 5 Power Mix'!WBR15)*860/10)+((('Form Sa1'!WBU835)*860)/10)+('Form Sa1'!WBU814*'Form Sa1'!WBU816/10)-'NF - 5 Power Mix'!WBR21-'NF - 5 Power Mix'!WBR22</f>
        <v>0</v>
      </c>
      <c r="WBS42" s="1046">
        <f>WBS38+((WBS40+'NF - 5 Power Mix'!WBS14+'NF - 5 Power Mix'!WBS15)*860/10)+((('Form Sa1'!WBV835)*860)/10)+('Form Sa1'!WBV814*'Form Sa1'!WBV816/10)-'NF - 5 Power Mix'!WBS21-'NF - 5 Power Mix'!WBS22</f>
        <v>0</v>
      </c>
      <c r="WBT42" s="1046">
        <f>WBT38+((WBT40+'NF - 5 Power Mix'!WBT14+'NF - 5 Power Mix'!WBT15)*860/10)+((('Form Sa1'!WBW835)*860)/10)+('Form Sa1'!WBW814*'Form Sa1'!WBW816/10)-'NF - 5 Power Mix'!WBT21-'NF - 5 Power Mix'!WBT22</f>
        <v>0</v>
      </c>
      <c r="WBU42" s="1046">
        <f>WBU38+((WBU40+'NF - 5 Power Mix'!WBU14+'NF - 5 Power Mix'!WBU15)*860/10)+((('Form Sa1'!WBX835)*860)/10)+('Form Sa1'!WBX814*'Form Sa1'!WBX816/10)-'NF - 5 Power Mix'!WBU21-'NF - 5 Power Mix'!WBU22</f>
        <v>0</v>
      </c>
      <c r="WBV42" s="1046">
        <f>WBV38+((WBV40+'NF - 5 Power Mix'!WBV14+'NF - 5 Power Mix'!WBV15)*860/10)+((('Form Sa1'!WBY835)*860)/10)+('Form Sa1'!WBY814*'Form Sa1'!WBY816/10)-'NF - 5 Power Mix'!WBV21-'NF - 5 Power Mix'!WBV22</f>
        <v>0</v>
      </c>
      <c r="WBW42" s="1046">
        <f>WBW38+((WBW40+'NF - 5 Power Mix'!WBW14+'NF - 5 Power Mix'!WBW15)*860/10)+((('Form Sa1'!WBZ835)*860)/10)+('Form Sa1'!WBZ814*'Form Sa1'!WBZ816/10)-'NF - 5 Power Mix'!WBW21-'NF - 5 Power Mix'!WBW22</f>
        <v>0</v>
      </c>
      <c r="WBX42" s="1046">
        <f>WBX38+((WBX40+'NF - 5 Power Mix'!WBX14+'NF - 5 Power Mix'!WBX15)*860/10)+((('Form Sa1'!WCA835)*860)/10)+('Form Sa1'!WCA814*'Form Sa1'!WCA816/10)-'NF - 5 Power Mix'!WBX21-'NF - 5 Power Mix'!WBX22</f>
        <v>0</v>
      </c>
      <c r="WBY42" s="1046">
        <f>WBY38+((WBY40+'NF - 5 Power Mix'!WBY14+'NF - 5 Power Mix'!WBY15)*860/10)+((('Form Sa1'!WCB835)*860)/10)+('Form Sa1'!WCB814*'Form Sa1'!WCB816/10)-'NF - 5 Power Mix'!WBY21-'NF - 5 Power Mix'!WBY22</f>
        <v>0</v>
      </c>
      <c r="WBZ42" s="1046">
        <f>WBZ38+((WBZ40+'NF - 5 Power Mix'!WBZ14+'NF - 5 Power Mix'!WBZ15)*860/10)+((('Form Sa1'!WCC835)*860)/10)+('Form Sa1'!WCC814*'Form Sa1'!WCC816/10)-'NF - 5 Power Mix'!WBZ21-'NF - 5 Power Mix'!WBZ22</f>
        <v>0</v>
      </c>
      <c r="WCA42" s="1046">
        <f>WCA38+((WCA40+'NF - 5 Power Mix'!WCA14+'NF - 5 Power Mix'!WCA15)*860/10)+((('Form Sa1'!WCD835)*860)/10)+('Form Sa1'!WCD814*'Form Sa1'!WCD816/10)-'NF - 5 Power Mix'!WCA21-'NF - 5 Power Mix'!WCA22</f>
        <v>0</v>
      </c>
      <c r="WCB42" s="1046">
        <f>WCB38+((WCB40+'NF - 5 Power Mix'!WCB14+'NF - 5 Power Mix'!WCB15)*860/10)+((('Form Sa1'!WCE835)*860)/10)+('Form Sa1'!WCE814*'Form Sa1'!WCE816/10)-'NF - 5 Power Mix'!WCB21-'NF - 5 Power Mix'!WCB22</f>
        <v>0</v>
      </c>
      <c r="WCC42" s="1046">
        <f>WCC38+((WCC40+'NF - 5 Power Mix'!WCC14+'NF - 5 Power Mix'!WCC15)*860/10)+((('Form Sa1'!WCF835)*860)/10)+('Form Sa1'!WCF814*'Form Sa1'!WCF816/10)-'NF - 5 Power Mix'!WCC21-'NF - 5 Power Mix'!WCC22</f>
        <v>0</v>
      </c>
      <c r="WCD42" s="1046">
        <f>WCD38+((WCD40+'NF - 5 Power Mix'!WCD14+'NF - 5 Power Mix'!WCD15)*860/10)+((('Form Sa1'!WCG835)*860)/10)+('Form Sa1'!WCG814*'Form Sa1'!WCG816/10)-'NF - 5 Power Mix'!WCD21-'NF - 5 Power Mix'!WCD22</f>
        <v>0</v>
      </c>
      <c r="WCE42" s="1046">
        <f>WCE38+((WCE40+'NF - 5 Power Mix'!WCE14+'NF - 5 Power Mix'!WCE15)*860/10)+((('Form Sa1'!WCH835)*860)/10)+('Form Sa1'!WCH814*'Form Sa1'!WCH816/10)-'NF - 5 Power Mix'!WCE21-'NF - 5 Power Mix'!WCE22</f>
        <v>0</v>
      </c>
      <c r="WCF42" s="1046">
        <f>WCF38+((WCF40+'NF - 5 Power Mix'!WCF14+'NF - 5 Power Mix'!WCF15)*860/10)+((('Form Sa1'!WCI835)*860)/10)+('Form Sa1'!WCI814*'Form Sa1'!WCI816/10)-'NF - 5 Power Mix'!WCF21-'NF - 5 Power Mix'!WCF22</f>
        <v>0</v>
      </c>
      <c r="WCG42" s="1046">
        <f>WCG38+((WCG40+'NF - 5 Power Mix'!WCG14+'NF - 5 Power Mix'!WCG15)*860/10)+((('Form Sa1'!WCJ835)*860)/10)+('Form Sa1'!WCJ814*'Form Sa1'!WCJ816/10)-'NF - 5 Power Mix'!WCG21-'NF - 5 Power Mix'!WCG22</f>
        <v>0</v>
      </c>
      <c r="WCH42" s="1046">
        <f>WCH38+((WCH40+'NF - 5 Power Mix'!WCH14+'NF - 5 Power Mix'!WCH15)*860/10)+((('Form Sa1'!WCK835)*860)/10)+('Form Sa1'!WCK814*'Form Sa1'!WCK816/10)-'NF - 5 Power Mix'!WCH21-'NF - 5 Power Mix'!WCH22</f>
        <v>0</v>
      </c>
      <c r="WCI42" s="1046">
        <f>WCI38+((WCI40+'NF - 5 Power Mix'!WCI14+'NF - 5 Power Mix'!WCI15)*860/10)+((('Form Sa1'!WCL835)*860)/10)+('Form Sa1'!WCL814*'Form Sa1'!WCL816/10)-'NF - 5 Power Mix'!WCI21-'NF - 5 Power Mix'!WCI22</f>
        <v>0</v>
      </c>
      <c r="WCJ42" s="1046">
        <f>WCJ38+((WCJ40+'NF - 5 Power Mix'!WCJ14+'NF - 5 Power Mix'!WCJ15)*860/10)+((('Form Sa1'!WCM835)*860)/10)+('Form Sa1'!WCM814*'Form Sa1'!WCM816/10)-'NF - 5 Power Mix'!WCJ21-'NF - 5 Power Mix'!WCJ22</f>
        <v>0</v>
      </c>
      <c r="WCK42" s="1046">
        <f>WCK38+((WCK40+'NF - 5 Power Mix'!WCK14+'NF - 5 Power Mix'!WCK15)*860/10)+((('Form Sa1'!WCN835)*860)/10)+('Form Sa1'!WCN814*'Form Sa1'!WCN816/10)-'NF - 5 Power Mix'!WCK21-'NF - 5 Power Mix'!WCK22</f>
        <v>0</v>
      </c>
      <c r="WCL42" s="1046">
        <f>WCL38+((WCL40+'NF - 5 Power Mix'!WCL14+'NF - 5 Power Mix'!WCL15)*860/10)+((('Form Sa1'!WCO835)*860)/10)+('Form Sa1'!WCO814*'Form Sa1'!WCO816/10)-'NF - 5 Power Mix'!WCL21-'NF - 5 Power Mix'!WCL22</f>
        <v>0</v>
      </c>
      <c r="WCM42" s="1046">
        <f>WCM38+((WCM40+'NF - 5 Power Mix'!WCM14+'NF - 5 Power Mix'!WCM15)*860/10)+((('Form Sa1'!WCP835)*860)/10)+('Form Sa1'!WCP814*'Form Sa1'!WCP816/10)-'NF - 5 Power Mix'!WCM21-'NF - 5 Power Mix'!WCM22</f>
        <v>0</v>
      </c>
      <c r="WCN42" s="1046">
        <f>WCN38+((WCN40+'NF - 5 Power Mix'!WCN14+'NF - 5 Power Mix'!WCN15)*860/10)+((('Form Sa1'!WCQ835)*860)/10)+('Form Sa1'!WCQ814*'Form Sa1'!WCQ816/10)-'NF - 5 Power Mix'!WCN21-'NF - 5 Power Mix'!WCN22</f>
        <v>0</v>
      </c>
      <c r="WCO42" s="1046">
        <f>WCO38+((WCO40+'NF - 5 Power Mix'!WCO14+'NF - 5 Power Mix'!WCO15)*860/10)+((('Form Sa1'!WCR835)*860)/10)+('Form Sa1'!WCR814*'Form Sa1'!WCR816/10)-'NF - 5 Power Mix'!WCO21-'NF - 5 Power Mix'!WCO22</f>
        <v>0</v>
      </c>
      <c r="WCP42" s="1046">
        <f>WCP38+((WCP40+'NF - 5 Power Mix'!WCP14+'NF - 5 Power Mix'!WCP15)*860/10)+((('Form Sa1'!WCS835)*860)/10)+('Form Sa1'!WCS814*'Form Sa1'!WCS816/10)-'NF - 5 Power Mix'!WCP21-'NF - 5 Power Mix'!WCP22</f>
        <v>0</v>
      </c>
      <c r="WCQ42" s="1046">
        <f>WCQ38+((WCQ40+'NF - 5 Power Mix'!WCQ14+'NF - 5 Power Mix'!WCQ15)*860/10)+((('Form Sa1'!WCT835)*860)/10)+('Form Sa1'!WCT814*'Form Sa1'!WCT816/10)-'NF - 5 Power Mix'!WCQ21-'NF - 5 Power Mix'!WCQ22</f>
        <v>0</v>
      </c>
      <c r="WCR42" s="1046">
        <f>WCR38+((WCR40+'NF - 5 Power Mix'!WCR14+'NF - 5 Power Mix'!WCR15)*860/10)+((('Form Sa1'!WCU835)*860)/10)+('Form Sa1'!WCU814*'Form Sa1'!WCU816/10)-'NF - 5 Power Mix'!WCR21-'NF - 5 Power Mix'!WCR22</f>
        <v>0</v>
      </c>
      <c r="WCS42" s="1046">
        <f>WCS38+((WCS40+'NF - 5 Power Mix'!WCS14+'NF - 5 Power Mix'!WCS15)*860/10)+((('Form Sa1'!WCV835)*860)/10)+('Form Sa1'!WCV814*'Form Sa1'!WCV816/10)-'NF - 5 Power Mix'!WCS21-'NF - 5 Power Mix'!WCS22</f>
        <v>0</v>
      </c>
      <c r="WCT42" s="1046">
        <f>WCT38+((WCT40+'NF - 5 Power Mix'!WCT14+'NF - 5 Power Mix'!WCT15)*860/10)+((('Form Sa1'!WCW835)*860)/10)+('Form Sa1'!WCW814*'Form Sa1'!WCW816/10)-'NF - 5 Power Mix'!WCT21-'NF - 5 Power Mix'!WCT22</f>
        <v>0</v>
      </c>
      <c r="WCU42" s="1046">
        <f>WCU38+((WCU40+'NF - 5 Power Mix'!WCU14+'NF - 5 Power Mix'!WCU15)*860/10)+((('Form Sa1'!WCX835)*860)/10)+('Form Sa1'!WCX814*'Form Sa1'!WCX816/10)-'NF - 5 Power Mix'!WCU21-'NF - 5 Power Mix'!WCU22</f>
        <v>0</v>
      </c>
      <c r="WCV42" s="1046">
        <f>WCV38+((WCV40+'NF - 5 Power Mix'!WCV14+'NF - 5 Power Mix'!WCV15)*860/10)+((('Form Sa1'!WCY835)*860)/10)+('Form Sa1'!WCY814*'Form Sa1'!WCY816/10)-'NF - 5 Power Mix'!WCV21-'NF - 5 Power Mix'!WCV22</f>
        <v>0</v>
      </c>
      <c r="WCW42" s="1046">
        <f>WCW38+((WCW40+'NF - 5 Power Mix'!WCW14+'NF - 5 Power Mix'!WCW15)*860/10)+((('Form Sa1'!WCZ835)*860)/10)+('Form Sa1'!WCZ814*'Form Sa1'!WCZ816/10)-'NF - 5 Power Mix'!WCW21-'NF - 5 Power Mix'!WCW22</f>
        <v>0</v>
      </c>
      <c r="WCX42" s="1046">
        <f>WCX38+((WCX40+'NF - 5 Power Mix'!WCX14+'NF - 5 Power Mix'!WCX15)*860/10)+((('Form Sa1'!WDA835)*860)/10)+('Form Sa1'!WDA814*'Form Sa1'!WDA816/10)-'NF - 5 Power Mix'!WCX21-'NF - 5 Power Mix'!WCX22</f>
        <v>0</v>
      </c>
      <c r="WCY42" s="1046">
        <f>WCY38+((WCY40+'NF - 5 Power Mix'!WCY14+'NF - 5 Power Mix'!WCY15)*860/10)+((('Form Sa1'!WDB835)*860)/10)+('Form Sa1'!WDB814*'Form Sa1'!WDB816/10)-'NF - 5 Power Mix'!WCY21-'NF - 5 Power Mix'!WCY22</f>
        <v>0</v>
      </c>
      <c r="WCZ42" s="1046">
        <f>WCZ38+((WCZ40+'NF - 5 Power Mix'!WCZ14+'NF - 5 Power Mix'!WCZ15)*860/10)+((('Form Sa1'!WDC835)*860)/10)+('Form Sa1'!WDC814*'Form Sa1'!WDC816/10)-'NF - 5 Power Mix'!WCZ21-'NF - 5 Power Mix'!WCZ22</f>
        <v>0</v>
      </c>
      <c r="WDA42" s="1046">
        <f>WDA38+((WDA40+'NF - 5 Power Mix'!WDA14+'NF - 5 Power Mix'!WDA15)*860/10)+((('Form Sa1'!WDD835)*860)/10)+('Form Sa1'!WDD814*'Form Sa1'!WDD816/10)-'NF - 5 Power Mix'!WDA21-'NF - 5 Power Mix'!WDA22</f>
        <v>0</v>
      </c>
      <c r="WDB42" s="1046">
        <f>WDB38+((WDB40+'NF - 5 Power Mix'!WDB14+'NF - 5 Power Mix'!WDB15)*860/10)+((('Form Sa1'!WDE835)*860)/10)+('Form Sa1'!WDE814*'Form Sa1'!WDE816/10)-'NF - 5 Power Mix'!WDB21-'NF - 5 Power Mix'!WDB22</f>
        <v>0</v>
      </c>
      <c r="WDC42" s="1046">
        <f>WDC38+((WDC40+'NF - 5 Power Mix'!WDC14+'NF - 5 Power Mix'!WDC15)*860/10)+((('Form Sa1'!WDF835)*860)/10)+('Form Sa1'!WDF814*'Form Sa1'!WDF816/10)-'NF - 5 Power Mix'!WDC21-'NF - 5 Power Mix'!WDC22</f>
        <v>0</v>
      </c>
      <c r="WDD42" s="1046">
        <f>WDD38+((WDD40+'NF - 5 Power Mix'!WDD14+'NF - 5 Power Mix'!WDD15)*860/10)+((('Form Sa1'!WDG835)*860)/10)+('Form Sa1'!WDG814*'Form Sa1'!WDG816/10)-'NF - 5 Power Mix'!WDD21-'NF - 5 Power Mix'!WDD22</f>
        <v>0</v>
      </c>
      <c r="WDE42" s="1046">
        <f>WDE38+((WDE40+'NF - 5 Power Mix'!WDE14+'NF - 5 Power Mix'!WDE15)*860/10)+((('Form Sa1'!WDH835)*860)/10)+('Form Sa1'!WDH814*'Form Sa1'!WDH816/10)-'NF - 5 Power Mix'!WDE21-'NF - 5 Power Mix'!WDE22</f>
        <v>0</v>
      </c>
      <c r="WDF42" s="1046">
        <f>WDF38+((WDF40+'NF - 5 Power Mix'!WDF14+'NF - 5 Power Mix'!WDF15)*860/10)+((('Form Sa1'!WDI835)*860)/10)+('Form Sa1'!WDI814*'Form Sa1'!WDI816/10)-'NF - 5 Power Mix'!WDF21-'NF - 5 Power Mix'!WDF22</f>
        <v>0</v>
      </c>
      <c r="WDG42" s="1046">
        <f>WDG38+((WDG40+'NF - 5 Power Mix'!WDG14+'NF - 5 Power Mix'!WDG15)*860/10)+((('Form Sa1'!WDJ835)*860)/10)+('Form Sa1'!WDJ814*'Form Sa1'!WDJ816/10)-'NF - 5 Power Mix'!WDG21-'NF - 5 Power Mix'!WDG22</f>
        <v>0</v>
      </c>
      <c r="WDH42" s="1046">
        <f>WDH38+((WDH40+'NF - 5 Power Mix'!WDH14+'NF - 5 Power Mix'!WDH15)*860/10)+((('Form Sa1'!WDK835)*860)/10)+('Form Sa1'!WDK814*'Form Sa1'!WDK816/10)-'NF - 5 Power Mix'!WDH21-'NF - 5 Power Mix'!WDH22</f>
        <v>0</v>
      </c>
      <c r="WDI42" s="1046">
        <f>WDI38+((WDI40+'NF - 5 Power Mix'!WDI14+'NF - 5 Power Mix'!WDI15)*860/10)+((('Form Sa1'!WDL835)*860)/10)+('Form Sa1'!WDL814*'Form Sa1'!WDL816/10)-'NF - 5 Power Mix'!WDI21-'NF - 5 Power Mix'!WDI22</f>
        <v>0</v>
      </c>
      <c r="WDJ42" s="1046">
        <f>WDJ38+((WDJ40+'NF - 5 Power Mix'!WDJ14+'NF - 5 Power Mix'!WDJ15)*860/10)+((('Form Sa1'!WDM835)*860)/10)+('Form Sa1'!WDM814*'Form Sa1'!WDM816/10)-'NF - 5 Power Mix'!WDJ21-'NF - 5 Power Mix'!WDJ22</f>
        <v>0</v>
      </c>
      <c r="WDK42" s="1046">
        <f>WDK38+((WDK40+'NF - 5 Power Mix'!WDK14+'NF - 5 Power Mix'!WDK15)*860/10)+((('Form Sa1'!WDN835)*860)/10)+('Form Sa1'!WDN814*'Form Sa1'!WDN816/10)-'NF - 5 Power Mix'!WDK21-'NF - 5 Power Mix'!WDK22</f>
        <v>0</v>
      </c>
      <c r="WDL42" s="1046">
        <f>WDL38+((WDL40+'NF - 5 Power Mix'!WDL14+'NF - 5 Power Mix'!WDL15)*860/10)+((('Form Sa1'!WDO835)*860)/10)+('Form Sa1'!WDO814*'Form Sa1'!WDO816/10)-'NF - 5 Power Mix'!WDL21-'NF - 5 Power Mix'!WDL22</f>
        <v>0</v>
      </c>
      <c r="WDM42" s="1046">
        <f>WDM38+((WDM40+'NF - 5 Power Mix'!WDM14+'NF - 5 Power Mix'!WDM15)*860/10)+((('Form Sa1'!WDP835)*860)/10)+('Form Sa1'!WDP814*'Form Sa1'!WDP816/10)-'NF - 5 Power Mix'!WDM21-'NF - 5 Power Mix'!WDM22</f>
        <v>0</v>
      </c>
      <c r="WDN42" s="1046">
        <f>WDN38+((WDN40+'NF - 5 Power Mix'!WDN14+'NF - 5 Power Mix'!WDN15)*860/10)+((('Form Sa1'!WDQ835)*860)/10)+('Form Sa1'!WDQ814*'Form Sa1'!WDQ816/10)-'NF - 5 Power Mix'!WDN21-'NF - 5 Power Mix'!WDN22</f>
        <v>0</v>
      </c>
      <c r="WDO42" s="1046">
        <f>WDO38+((WDO40+'NF - 5 Power Mix'!WDO14+'NF - 5 Power Mix'!WDO15)*860/10)+((('Form Sa1'!WDR835)*860)/10)+('Form Sa1'!WDR814*'Form Sa1'!WDR816/10)-'NF - 5 Power Mix'!WDO21-'NF - 5 Power Mix'!WDO22</f>
        <v>0</v>
      </c>
      <c r="WDP42" s="1046">
        <f>WDP38+((WDP40+'NF - 5 Power Mix'!WDP14+'NF - 5 Power Mix'!WDP15)*860/10)+((('Form Sa1'!WDS835)*860)/10)+('Form Sa1'!WDS814*'Form Sa1'!WDS816/10)-'NF - 5 Power Mix'!WDP21-'NF - 5 Power Mix'!WDP22</f>
        <v>0</v>
      </c>
      <c r="WDQ42" s="1046">
        <f>WDQ38+((WDQ40+'NF - 5 Power Mix'!WDQ14+'NF - 5 Power Mix'!WDQ15)*860/10)+((('Form Sa1'!WDT835)*860)/10)+('Form Sa1'!WDT814*'Form Sa1'!WDT816/10)-'NF - 5 Power Mix'!WDQ21-'NF - 5 Power Mix'!WDQ22</f>
        <v>0</v>
      </c>
      <c r="WDR42" s="1046">
        <f>WDR38+((WDR40+'NF - 5 Power Mix'!WDR14+'NF - 5 Power Mix'!WDR15)*860/10)+((('Form Sa1'!WDU835)*860)/10)+('Form Sa1'!WDU814*'Form Sa1'!WDU816/10)-'NF - 5 Power Mix'!WDR21-'NF - 5 Power Mix'!WDR22</f>
        <v>0</v>
      </c>
      <c r="WDS42" s="1046">
        <f>WDS38+((WDS40+'NF - 5 Power Mix'!WDS14+'NF - 5 Power Mix'!WDS15)*860/10)+((('Form Sa1'!WDV835)*860)/10)+('Form Sa1'!WDV814*'Form Sa1'!WDV816/10)-'NF - 5 Power Mix'!WDS21-'NF - 5 Power Mix'!WDS22</f>
        <v>0</v>
      </c>
      <c r="WDT42" s="1046">
        <f>WDT38+((WDT40+'NF - 5 Power Mix'!WDT14+'NF - 5 Power Mix'!WDT15)*860/10)+((('Form Sa1'!WDW835)*860)/10)+('Form Sa1'!WDW814*'Form Sa1'!WDW816/10)-'NF - 5 Power Mix'!WDT21-'NF - 5 Power Mix'!WDT22</f>
        <v>0</v>
      </c>
      <c r="WDU42" s="1046">
        <f>WDU38+((WDU40+'NF - 5 Power Mix'!WDU14+'NF - 5 Power Mix'!WDU15)*860/10)+((('Form Sa1'!WDX835)*860)/10)+('Form Sa1'!WDX814*'Form Sa1'!WDX816/10)-'NF - 5 Power Mix'!WDU21-'NF - 5 Power Mix'!WDU22</f>
        <v>0</v>
      </c>
      <c r="WDV42" s="1046">
        <f>WDV38+((WDV40+'NF - 5 Power Mix'!WDV14+'NF - 5 Power Mix'!WDV15)*860/10)+((('Form Sa1'!WDY835)*860)/10)+('Form Sa1'!WDY814*'Form Sa1'!WDY816/10)-'NF - 5 Power Mix'!WDV21-'NF - 5 Power Mix'!WDV22</f>
        <v>0</v>
      </c>
      <c r="WDW42" s="1046">
        <f>WDW38+((WDW40+'NF - 5 Power Mix'!WDW14+'NF - 5 Power Mix'!WDW15)*860/10)+((('Form Sa1'!WDZ835)*860)/10)+('Form Sa1'!WDZ814*'Form Sa1'!WDZ816/10)-'NF - 5 Power Mix'!WDW21-'NF - 5 Power Mix'!WDW22</f>
        <v>0</v>
      </c>
      <c r="WDX42" s="1046">
        <f>WDX38+((WDX40+'NF - 5 Power Mix'!WDX14+'NF - 5 Power Mix'!WDX15)*860/10)+((('Form Sa1'!WEA835)*860)/10)+('Form Sa1'!WEA814*'Form Sa1'!WEA816/10)-'NF - 5 Power Mix'!WDX21-'NF - 5 Power Mix'!WDX22</f>
        <v>0</v>
      </c>
      <c r="WDY42" s="1046">
        <f>WDY38+((WDY40+'NF - 5 Power Mix'!WDY14+'NF - 5 Power Mix'!WDY15)*860/10)+((('Form Sa1'!WEB835)*860)/10)+('Form Sa1'!WEB814*'Form Sa1'!WEB816/10)-'NF - 5 Power Mix'!WDY21-'NF - 5 Power Mix'!WDY22</f>
        <v>0</v>
      </c>
      <c r="WDZ42" s="1046">
        <f>WDZ38+((WDZ40+'NF - 5 Power Mix'!WDZ14+'NF - 5 Power Mix'!WDZ15)*860/10)+((('Form Sa1'!WEC835)*860)/10)+('Form Sa1'!WEC814*'Form Sa1'!WEC816/10)-'NF - 5 Power Mix'!WDZ21-'NF - 5 Power Mix'!WDZ22</f>
        <v>0</v>
      </c>
      <c r="WEA42" s="1046">
        <f>WEA38+((WEA40+'NF - 5 Power Mix'!WEA14+'NF - 5 Power Mix'!WEA15)*860/10)+((('Form Sa1'!WED835)*860)/10)+('Form Sa1'!WED814*'Form Sa1'!WED816/10)-'NF - 5 Power Mix'!WEA21-'NF - 5 Power Mix'!WEA22</f>
        <v>0</v>
      </c>
      <c r="WEB42" s="1046">
        <f>WEB38+((WEB40+'NF - 5 Power Mix'!WEB14+'NF - 5 Power Mix'!WEB15)*860/10)+((('Form Sa1'!WEE835)*860)/10)+('Form Sa1'!WEE814*'Form Sa1'!WEE816/10)-'NF - 5 Power Mix'!WEB21-'NF - 5 Power Mix'!WEB22</f>
        <v>0</v>
      </c>
      <c r="WEC42" s="1046">
        <f>WEC38+((WEC40+'NF - 5 Power Mix'!WEC14+'NF - 5 Power Mix'!WEC15)*860/10)+((('Form Sa1'!WEF835)*860)/10)+('Form Sa1'!WEF814*'Form Sa1'!WEF816/10)-'NF - 5 Power Mix'!WEC21-'NF - 5 Power Mix'!WEC22</f>
        <v>0</v>
      </c>
      <c r="WED42" s="1046">
        <f>WED38+((WED40+'NF - 5 Power Mix'!WED14+'NF - 5 Power Mix'!WED15)*860/10)+((('Form Sa1'!WEG835)*860)/10)+('Form Sa1'!WEG814*'Form Sa1'!WEG816/10)-'NF - 5 Power Mix'!WED21-'NF - 5 Power Mix'!WED22</f>
        <v>0</v>
      </c>
      <c r="WEE42" s="1046">
        <f>WEE38+((WEE40+'NF - 5 Power Mix'!WEE14+'NF - 5 Power Mix'!WEE15)*860/10)+((('Form Sa1'!WEH835)*860)/10)+('Form Sa1'!WEH814*'Form Sa1'!WEH816/10)-'NF - 5 Power Mix'!WEE21-'NF - 5 Power Mix'!WEE22</f>
        <v>0</v>
      </c>
      <c r="WEF42" s="1046">
        <f>WEF38+((WEF40+'NF - 5 Power Mix'!WEF14+'NF - 5 Power Mix'!WEF15)*860/10)+((('Form Sa1'!WEI835)*860)/10)+('Form Sa1'!WEI814*'Form Sa1'!WEI816/10)-'NF - 5 Power Mix'!WEF21-'NF - 5 Power Mix'!WEF22</f>
        <v>0</v>
      </c>
      <c r="WEG42" s="1046">
        <f>WEG38+((WEG40+'NF - 5 Power Mix'!WEG14+'NF - 5 Power Mix'!WEG15)*860/10)+((('Form Sa1'!WEJ835)*860)/10)+('Form Sa1'!WEJ814*'Form Sa1'!WEJ816/10)-'NF - 5 Power Mix'!WEG21-'NF - 5 Power Mix'!WEG22</f>
        <v>0</v>
      </c>
      <c r="WEH42" s="1046">
        <f>WEH38+((WEH40+'NF - 5 Power Mix'!WEH14+'NF - 5 Power Mix'!WEH15)*860/10)+((('Form Sa1'!WEK835)*860)/10)+('Form Sa1'!WEK814*'Form Sa1'!WEK816/10)-'NF - 5 Power Mix'!WEH21-'NF - 5 Power Mix'!WEH22</f>
        <v>0</v>
      </c>
      <c r="WEI42" s="1046">
        <f>WEI38+((WEI40+'NF - 5 Power Mix'!WEI14+'NF - 5 Power Mix'!WEI15)*860/10)+((('Form Sa1'!WEL835)*860)/10)+('Form Sa1'!WEL814*'Form Sa1'!WEL816/10)-'NF - 5 Power Mix'!WEI21-'NF - 5 Power Mix'!WEI22</f>
        <v>0</v>
      </c>
      <c r="WEJ42" s="1046">
        <f>WEJ38+((WEJ40+'NF - 5 Power Mix'!WEJ14+'NF - 5 Power Mix'!WEJ15)*860/10)+((('Form Sa1'!WEM835)*860)/10)+('Form Sa1'!WEM814*'Form Sa1'!WEM816/10)-'NF - 5 Power Mix'!WEJ21-'NF - 5 Power Mix'!WEJ22</f>
        <v>0</v>
      </c>
      <c r="WEK42" s="1046">
        <f>WEK38+((WEK40+'NF - 5 Power Mix'!WEK14+'NF - 5 Power Mix'!WEK15)*860/10)+((('Form Sa1'!WEN835)*860)/10)+('Form Sa1'!WEN814*'Form Sa1'!WEN816/10)-'NF - 5 Power Mix'!WEK21-'NF - 5 Power Mix'!WEK22</f>
        <v>0</v>
      </c>
      <c r="WEL42" s="1046">
        <f>WEL38+((WEL40+'NF - 5 Power Mix'!WEL14+'NF - 5 Power Mix'!WEL15)*860/10)+((('Form Sa1'!WEO835)*860)/10)+('Form Sa1'!WEO814*'Form Sa1'!WEO816/10)-'NF - 5 Power Mix'!WEL21-'NF - 5 Power Mix'!WEL22</f>
        <v>0</v>
      </c>
      <c r="WEM42" s="1046">
        <f>WEM38+((WEM40+'NF - 5 Power Mix'!WEM14+'NF - 5 Power Mix'!WEM15)*860/10)+((('Form Sa1'!WEP835)*860)/10)+('Form Sa1'!WEP814*'Form Sa1'!WEP816/10)-'NF - 5 Power Mix'!WEM21-'NF - 5 Power Mix'!WEM22</f>
        <v>0</v>
      </c>
      <c r="WEN42" s="1046">
        <f>WEN38+((WEN40+'NF - 5 Power Mix'!WEN14+'NF - 5 Power Mix'!WEN15)*860/10)+((('Form Sa1'!WEQ835)*860)/10)+('Form Sa1'!WEQ814*'Form Sa1'!WEQ816/10)-'NF - 5 Power Mix'!WEN21-'NF - 5 Power Mix'!WEN22</f>
        <v>0</v>
      </c>
      <c r="WEO42" s="1046">
        <f>WEO38+((WEO40+'NF - 5 Power Mix'!WEO14+'NF - 5 Power Mix'!WEO15)*860/10)+((('Form Sa1'!WER835)*860)/10)+('Form Sa1'!WER814*'Form Sa1'!WER816/10)-'NF - 5 Power Mix'!WEO21-'NF - 5 Power Mix'!WEO22</f>
        <v>0</v>
      </c>
      <c r="WEP42" s="1046">
        <f>WEP38+((WEP40+'NF - 5 Power Mix'!WEP14+'NF - 5 Power Mix'!WEP15)*860/10)+((('Form Sa1'!WES835)*860)/10)+('Form Sa1'!WES814*'Form Sa1'!WES816/10)-'NF - 5 Power Mix'!WEP21-'NF - 5 Power Mix'!WEP22</f>
        <v>0</v>
      </c>
      <c r="WEQ42" s="1046">
        <f>WEQ38+((WEQ40+'NF - 5 Power Mix'!WEQ14+'NF - 5 Power Mix'!WEQ15)*860/10)+((('Form Sa1'!WET835)*860)/10)+('Form Sa1'!WET814*'Form Sa1'!WET816/10)-'NF - 5 Power Mix'!WEQ21-'NF - 5 Power Mix'!WEQ22</f>
        <v>0</v>
      </c>
      <c r="WER42" s="1046">
        <f>WER38+((WER40+'NF - 5 Power Mix'!WER14+'NF - 5 Power Mix'!WER15)*860/10)+((('Form Sa1'!WEU835)*860)/10)+('Form Sa1'!WEU814*'Form Sa1'!WEU816/10)-'NF - 5 Power Mix'!WER21-'NF - 5 Power Mix'!WER22</f>
        <v>0</v>
      </c>
      <c r="WES42" s="1046">
        <f>WES38+((WES40+'NF - 5 Power Mix'!WES14+'NF - 5 Power Mix'!WES15)*860/10)+((('Form Sa1'!WEV835)*860)/10)+('Form Sa1'!WEV814*'Form Sa1'!WEV816/10)-'NF - 5 Power Mix'!WES21-'NF - 5 Power Mix'!WES22</f>
        <v>0</v>
      </c>
      <c r="WET42" s="1046">
        <f>WET38+((WET40+'NF - 5 Power Mix'!WET14+'NF - 5 Power Mix'!WET15)*860/10)+((('Form Sa1'!WEW835)*860)/10)+('Form Sa1'!WEW814*'Form Sa1'!WEW816/10)-'NF - 5 Power Mix'!WET21-'NF - 5 Power Mix'!WET22</f>
        <v>0</v>
      </c>
      <c r="WEU42" s="1046">
        <f>WEU38+((WEU40+'NF - 5 Power Mix'!WEU14+'NF - 5 Power Mix'!WEU15)*860/10)+((('Form Sa1'!WEX835)*860)/10)+('Form Sa1'!WEX814*'Form Sa1'!WEX816/10)-'NF - 5 Power Mix'!WEU21-'NF - 5 Power Mix'!WEU22</f>
        <v>0</v>
      </c>
      <c r="WEV42" s="1046">
        <f>WEV38+((WEV40+'NF - 5 Power Mix'!WEV14+'NF - 5 Power Mix'!WEV15)*860/10)+((('Form Sa1'!WEY835)*860)/10)+('Form Sa1'!WEY814*'Form Sa1'!WEY816/10)-'NF - 5 Power Mix'!WEV21-'NF - 5 Power Mix'!WEV22</f>
        <v>0</v>
      </c>
      <c r="WEW42" s="1046">
        <f>WEW38+((WEW40+'NF - 5 Power Mix'!WEW14+'NF - 5 Power Mix'!WEW15)*860/10)+((('Form Sa1'!WEZ835)*860)/10)+('Form Sa1'!WEZ814*'Form Sa1'!WEZ816/10)-'NF - 5 Power Mix'!WEW21-'NF - 5 Power Mix'!WEW22</f>
        <v>0</v>
      </c>
      <c r="WEX42" s="1046">
        <f>WEX38+((WEX40+'NF - 5 Power Mix'!WEX14+'NF - 5 Power Mix'!WEX15)*860/10)+((('Form Sa1'!WFA835)*860)/10)+('Form Sa1'!WFA814*'Form Sa1'!WFA816/10)-'NF - 5 Power Mix'!WEX21-'NF - 5 Power Mix'!WEX22</f>
        <v>0</v>
      </c>
      <c r="WEY42" s="1046">
        <f>WEY38+((WEY40+'NF - 5 Power Mix'!WEY14+'NF - 5 Power Mix'!WEY15)*860/10)+((('Form Sa1'!WFB835)*860)/10)+('Form Sa1'!WFB814*'Form Sa1'!WFB816/10)-'NF - 5 Power Mix'!WEY21-'NF - 5 Power Mix'!WEY22</f>
        <v>0</v>
      </c>
      <c r="WEZ42" s="1046">
        <f>WEZ38+((WEZ40+'NF - 5 Power Mix'!WEZ14+'NF - 5 Power Mix'!WEZ15)*860/10)+((('Form Sa1'!WFC835)*860)/10)+('Form Sa1'!WFC814*'Form Sa1'!WFC816/10)-'NF - 5 Power Mix'!WEZ21-'NF - 5 Power Mix'!WEZ22</f>
        <v>0</v>
      </c>
      <c r="WFA42" s="1046">
        <f>WFA38+((WFA40+'NF - 5 Power Mix'!WFA14+'NF - 5 Power Mix'!WFA15)*860/10)+((('Form Sa1'!WFD835)*860)/10)+('Form Sa1'!WFD814*'Form Sa1'!WFD816/10)-'NF - 5 Power Mix'!WFA21-'NF - 5 Power Mix'!WFA22</f>
        <v>0</v>
      </c>
      <c r="WFB42" s="1046">
        <f>WFB38+((WFB40+'NF - 5 Power Mix'!WFB14+'NF - 5 Power Mix'!WFB15)*860/10)+((('Form Sa1'!WFE835)*860)/10)+('Form Sa1'!WFE814*'Form Sa1'!WFE816/10)-'NF - 5 Power Mix'!WFB21-'NF - 5 Power Mix'!WFB22</f>
        <v>0</v>
      </c>
      <c r="WFC42" s="1046">
        <f>WFC38+((WFC40+'NF - 5 Power Mix'!WFC14+'NF - 5 Power Mix'!WFC15)*860/10)+((('Form Sa1'!WFF835)*860)/10)+('Form Sa1'!WFF814*'Form Sa1'!WFF816/10)-'NF - 5 Power Mix'!WFC21-'NF - 5 Power Mix'!WFC22</f>
        <v>0</v>
      </c>
      <c r="WFD42" s="1046">
        <f>WFD38+((WFD40+'NF - 5 Power Mix'!WFD14+'NF - 5 Power Mix'!WFD15)*860/10)+((('Form Sa1'!WFG835)*860)/10)+('Form Sa1'!WFG814*'Form Sa1'!WFG816/10)-'NF - 5 Power Mix'!WFD21-'NF - 5 Power Mix'!WFD22</f>
        <v>0</v>
      </c>
      <c r="WFE42" s="1046">
        <f>WFE38+((WFE40+'NF - 5 Power Mix'!WFE14+'NF - 5 Power Mix'!WFE15)*860/10)+((('Form Sa1'!WFH835)*860)/10)+('Form Sa1'!WFH814*'Form Sa1'!WFH816/10)-'NF - 5 Power Mix'!WFE21-'NF - 5 Power Mix'!WFE22</f>
        <v>0</v>
      </c>
      <c r="WFF42" s="1046">
        <f>WFF38+((WFF40+'NF - 5 Power Mix'!WFF14+'NF - 5 Power Mix'!WFF15)*860/10)+((('Form Sa1'!WFI835)*860)/10)+('Form Sa1'!WFI814*'Form Sa1'!WFI816/10)-'NF - 5 Power Mix'!WFF21-'NF - 5 Power Mix'!WFF22</f>
        <v>0</v>
      </c>
      <c r="WFG42" s="1046">
        <f>WFG38+((WFG40+'NF - 5 Power Mix'!WFG14+'NF - 5 Power Mix'!WFG15)*860/10)+((('Form Sa1'!WFJ835)*860)/10)+('Form Sa1'!WFJ814*'Form Sa1'!WFJ816/10)-'NF - 5 Power Mix'!WFG21-'NF - 5 Power Mix'!WFG22</f>
        <v>0</v>
      </c>
      <c r="WFH42" s="1046">
        <f>WFH38+((WFH40+'NF - 5 Power Mix'!WFH14+'NF - 5 Power Mix'!WFH15)*860/10)+((('Form Sa1'!WFK835)*860)/10)+('Form Sa1'!WFK814*'Form Sa1'!WFK816/10)-'NF - 5 Power Mix'!WFH21-'NF - 5 Power Mix'!WFH22</f>
        <v>0</v>
      </c>
      <c r="WFI42" s="1046">
        <f>WFI38+((WFI40+'NF - 5 Power Mix'!WFI14+'NF - 5 Power Mix'!WFI15)*860/10)+((('Form Sa1'!WFL835)*860)/10)+('Form Sa1'!WFL814*'Form Sa1'!WFL816/10)-'NF - 5 Power Mix'!WFI21-'NF - 5 Power Mix'!WFI22</f>
        <v>0</v>
      </c>
      <c r="WFJ42" s="1046">
        <f>WFJ38+((WFJ40+'NF - 5 Power Mix'!WFJ14+'NF - 5 Power Mix'!WFJ15)*860/10)+((('Form Sa1'!WFM835)*860)/10)+('Form Sa1'!WFM814*'Form Sa1'!WFM816/10)-'NF - 5 Power Mix'!WFJ21-'NF - 5 Power Mix'!WFJ22</f>
        <v>0</v>
      </c>
      <c r="WFK42" s="1046">
        <f>WFK38+((WFK40+'NF - 5 Power Mix'!WFK14+'NF - 5 Power Mix'!WFK15)*860/10)+((('Form Sa1'!WFN835)*860)/10)+('Form Sa1'!WFN814*'Form Sa1'!WFN816/10)-'NF - 5 Power Mix'!WFK21-'NF - 5 Power Mix'!WFK22</f>
        <v>0</v>
      </c>
      <c r="WFL42" s="1046">
        <f>WFL38+((WFL40+'NF - 5 Power Mix'!WFL14+'NF - 5 Power Mix'!WFL15)*860/10)+((('Form Sa1'!WFO835)*860)/10)+('Form Sa1'!WFO814*'Form Sa1'!WFO816/10)-'NF - 5 Power Mix'!WFL21-'NF - 5 Power Mix'!WFL22</f>
        <v>0</v>
      </c>
      <c r="WFM42" s="1046">
        <f>WFM38+((WFM40+'NF - 5 Power Mix'!WFM14+'NF - 5 Power Mix'!WFM15)*860/10)+((('Form Sa1'!WFP835)*860)/10)+('Form Sa1'!WFP814*'Form Sa1'!WFP816/10)-'NF - 5 Power Mix'!WFM21-'NF - 5 Power Mix'!WFM22</f>
        <v>0</v>
      </c>
      <c r="WFN42" s="1046">
        <f>WFN38+((WFN40+'NF - 5 Power Mix'!WFN14+'NF - 5 Power Mix'!WFN15)*860/10)+((('Form Sa1'!WFQ835)*860)/10)+('Form Sa1'!WFQ814*'Form Sa1'!WFQ816/10)-'NF - 5 Power Mix'!WFN21-'NF - 5 Power Mix'!WFN22</f>
        <v>0</v>
      </c>
      <c r="WFO42" s="1046">
        <f>WFO38+((WFO40+'NF - 5 Power Mix'!WFO14+'NF - 5 Power Mix'!WFO15)*860/10)+((('Form Sa1'!WFR835)*860)/10)+('Form Sa1'!WFR814*'Form Sa1'!WFR816/10)-'NF - 5 Power Mix'!WFO21-'NF - 5 Power Mix'!WFO22</f>
        <v>0</v>
      </c>
      <c r="WFP42" s="1046">
        <f>WFP38+((WFP40+'NF - 5 Power Mix'!WFP14+'NF - 5 Power Mix'!WFP15)*860/10)+((('Form Sa1'!WFS835)*860)/10)+('Form Sa1'!WFS814*'Form Sa1'!WFS816/10)-'NF - 5 Power Mix'!WFP21-'NF - 5 Power Mix'!WFP22</f>
        <v>0</v>
      </c>
      <c r="WFQ42" s="1046">
        <f>WFQ38+((WFQ40+'NF - 5 Power Mix'!WFQ14+'NF - 5 Power Mix'!WFQ15)*860/10)+((('Form Sa1'!WFT835)*860)/10)+('Form Sa1'!WFT814*'Form Sa1'!WFT816/10)-'NF - 5 Power Mix'!WFQ21-'NF - 5 Power Mix'!WFQ22</f>
        <v>0</v>
      </c>
      <c r="WFR42" s="1046">
        <f>WFR38+((WFR40+'NF - 5 Power Mix'!WFR14+'NF - 5 Power Mix'!WFR15)*860/10)+((('Form Sa1'!WFU835)*860)/10)+('Form Sa1'!WFU814*'Form Sa1'!WFU816/10)-'NF - 5 Power Mix'!WFR21-'NF - 5 Power Mix'!WFR22</f>
        <v>0</v>
      </c>
      <c r="WFS42" s="1046">
        <f>WFS38+((WFS40+'NF - 5 Power Mix'!WFS14+'NF - 5 Power Mix'!WFS15)*860/10)+((('Form Sa1'!WFV835)*860)/10)+('Form Sa1'!WFV814*'Form Sa1'!WFV816/10)-'NF - 5 Power Mix'!WFS21-'NF - 5 Power Mix'!WFS22</f>
        <v>0</v>
      </c>
      <c r="WFT42" s="1046">
        <f>WFT38+((WFT40+'NF - 5 Power Mix'!WFT14+'NF - 5 Power Mix'!WFT15)*860/10)+((('Form Sa1'!WFW835)*860)/10)+('Form Sa1'!WFW814*'Form Sa1'!WFW816/10)-'NF - 5 Power Mix'!WFT21-'NF - 5 Power Mix'!WFT22</f>
        <v>0</v>
      </c>
      <c r="WFU42" s="1046">
        <f>WFU38+((WFU40+'NF - 5 Power Mix'!WFU14+'NF - 5 Power Mix'!WFU15)*860/10)+((('Form Sa1'!WFX835)*860)/10)+('Form Sa1'!WFX814*'Form Sa1'!WFX816/10)-'NF - 5 Power Mix'!WFU21-'NF - 5 Power Mix'!WFU22</f>
        <v>0</v>
      </c>
      <c r="WFV42" s="1046">
        <f>WFV38+((WFV40+'NF - 5 Power Mix'!WFV14+'NF - 5 Power Mix'!WFV15)*860/10)+((('Form Sa1'!WFY835)*860)/10)+('Form Sa1'!WFY814*'Form Sa1'!WFY816/10)-'NF - 5 Power Mix'!WFV21-'NF - 5 Power Mix'!WFV22</f>
        <v>0</v>
      </c>
      <c r="WFW42" s="1046">
        <f>WFW38+((WFW40+'NF - 5 Power Mix'!WFW14+'NF - 5 Power Mix'!WFW15)*860/10)+((('Form Sa1'!WFZ835)*860)/10)+('Form Sa1'!WFZ814*'Form Sa1'!WFZ816/10)-'NF - 5 Power Mix'!WFW21-'NF - 5 Power Mix'!WFW22</f>
        <v>0</v>
      </c>
      <c r="WFX42" s="1046">
        <f>WFX38+((WFX40+'NF - 5 Power Mix'!WFX14+'NF - 5 Power Mix'!WFX15)*860/10)+((('Form Sa1'!WGA835)*860)/10)+('Form Sa1'!WGA814*'Form Sa1'!WGA816/10)-'NF - 5 Power Mix'!WFX21-'NF - 5 Power Mix'!WFX22</f>
        <v>0</v>
      </c>
      <c r="WFY42" s="1046">
        <f>WFY38+((WFY40+'NF - 5 Power Mix'!WFY14+'NF - 5 Power Mix'!WFY15)*860/10)+((('Form Sa1'!WGB835)*860)/10)+('Form Sa1'!WGB814*'Form Sa1'!WGB816/10)-'NF - 5 Power Mix'!WFY21-'NF - 5 Power Mix'!WFY22</f>
        <v>0</v>
      </c>
      <c r="WFZ42" s="1046">
        <f>WFZ38+((WFZ40+'NF - 5 Power Mix'!WFZ14+'NF - 5 Power Mix'!WFZ15)*860/10)+((('Form Sa1'!WGC835)*860)/10)+('Form Sa1'!WGC814*'Form Sa1'!WGC816/10)-'NF - 5 Power Mix'!WFZ21-'NF - 5 Power Mix'!WFZ22</f>
        <v>0</v>
      </c>
      <c r="WGA42" s="1046">
        <f>WGA38+((WGA40+'NF - 5 Power Mix'!WGA14+'NF - 5 Power Mix'!WGA15)*860/10)+((('Form Sa1'!WGD835)*860)/10)+('Form Sa1'!WGD814*'Form Sa1'!WGD816/10)-'NF - 5 Power Mix'!WGA21-'NF - 5 Power Mix'!WGA22</f>
        <v>0</v>
      </c>
      <c r="WGB42" s="1046">
        <f>WGB38+((WGB40+'NF - 5 Power Mix'!WGB14+'NF - 5 Power Mix'!WGB15)*860/10)+((('Form Sa1'!WGE835)*860)/10)+('Form Sa1'!WGE814*'Form Sa1'!WGE816/10)-'NF - 5 Power Mix'!WGB21-'NF - 5 Power Mix'!WGB22</f>
        <v>0</v>
      </c>
      <c r="WGC42" s="1046">
        <f>WGC38+((WGC40+'NF - 5 Power Mix'!WGC14+'NF - 5 Power Mix'!WGC15)*860/10)+((('Form Sa1'!WGF835)*860)/10)+('Form Sa1'!WGF814*'Form Sa1'!WGF816/10)-'NF - 5 Power Mix'!WGC21-'NF - 5 Power Mix'!WGC22</f>
        <v>0</v>
      </c>
      <c r="WGD42" s="1046">
        <f>WGD38+((WGD40+'NF - 5 Power Mix'!WGD14+'NF - 5 Power Mix'!WGD15)*860/10)+((('Form Sa1'!WGG835)*860)/10)+('Form Sa1'!WGG814*'Form Sa1'!WGG816/10)-'NF - 5 Power Mix'!WGD21-'NF - 5 Power Mix'!WGD22</f>
        <v>0</v>
      </c>
      <c r="WGE42" s="1046">
        <f>WGE38+((WGE40+'NF - 5 Power Mix'!WGE14+'NF - 5 Power Mix'!WGE15)*860/10)+((('Form Sa1'!WGH835)*860)/10)+('Form Sa1'!WGH814*'Form Sa1'!WGH816/10)-'NF - 5 Power Mix'!WGE21-'NF - 5 Power Mix'!WGE22</f>
        <v>0</v>
      </c>
      <c r="WGF42" s="1046">
        <f>WGF38+((WGF40+'NF - 5 Power Mix'!WGF14+'NF - 5 Power Mix'!WGF15)*860/10)+((('Form Sa1'!WGI835)*860)/10)+('Form Sa1'!WGI814*'Form Sa1'!WGI816/10)-'NF - 5 Power Mix'!WGF21-'NF - 5 Power Mix'!WGF22</f>
        <v>0</v>
      </c>
      <c r="WGG42" s="1046">
        <f>WGG38+((WGG40+'NF - 5 Power Mix'!WGG14+'NF - 5 Power Mix'!WGG15)*860/10)+((('Form Sa1'!WGJ835)*860)/10)+('Form Sa1'!WGJ814*'Form Sa1'!WGJ816/10)-'NF - 5 Power Mix'!WGG21-'NF - 5 Power Mix'!WGG22</f>
        <v>0</v>
      </c>
      <c r="WGH42" s="1046">
        <f>WGH38+((WGH40+'NF - 5 Power Mix'!WGH14+'NF - 5 Power Mix'!WGH15)*860/10)+((('Form Sa1'!WGK835)*860)/10)+('Form Sa1'!WGK814*'Form Sa1'!WGK816/10)-'NF - 5 Power Mix'!WGH21-'NF - 5 Power Mix'!WGH22</f>
        <v>0</v>
      </c>
      <c r="WGI42" s="1046">
        <f>WGI38+((WGI40+'NF - 5 Power Mix'!WGI14+'NF - 5 Power Mix'!WGI15)*860/10)+((('Form Sa1'!WGL835)*860)/10)+('Form Sa1'!WGL814*'Form Sa1'!WGL816/10)-'NF - 5 Power Mix'!WGI21-'NF - 5 Power Mix'!WGI22</f>
        <v>0</v>
      </c>
      <c r="WGJ42" s="1046">
        <f>WGJ38+((WGJ40+'NF - 5 Power Mix'!WGJ14+'NF - 5 Power Mix'!WGJ15)*860/10)+((('Form Sa1'!WGM835)*860)/10)+('Form Sa1'!WGM814*'Form Sa1'!WGM816/10)-'NF - 5 Power Mix'!WGJ21-'NF - 5 Power Mix'!WGJ22</f>
        <v>0</v>
      </c>
      <c r="WGK42" s="1046">
        <f>WGK38+((WGK40+'NF - 5 Power Mix'!WGK14+'NF - 5 Power Mix'!WGK15)*860/10)+((('Form Sa1'!WGN835)*860)/10)+('Form Sa1'!WGN814*'Form Sa1'!WGN816/10)-'NF - 5 Power Mix'!WGK21-'NF - 5 Power Mix'!WGK22</f>
        <v>0</v>
      </c>
      <c r="WGL42" s="1046">
        <f>WGL38+((WGL40+'NF - 5 Power Mix'!WGL14+'NF - 5 Power Mix'!WGL15)*860/10)+((('Form Sa1'!WGO835)*860)/10)+('Form Sa1'!WGO814*'Form Sa1'!WGO816/10)-'NF - 5 Power Mix'!WGL21-'NF - 5 Power Mix'!WGL22</f>
        <v>0</v>
      </c>
      <c r="WGM42" s="1046">
        <f>WGM38+((WGM40+'NF - 5 Power Mix'!WGM14+'NF - 5 Power Mix'!WGM15)*860/10)+((('Form Sa1'!WGP835)*860)/10)+('Form Sa1'!WGP814*'Form Sa1'!WGP816/10)-'NF - 5 Power Mix'!WGM21-'NF - 5 Power Mix'!WGM22</f>
        <v>0</v>
      </c>
      <c r="WGN42" s="1046">
        <f>WGN38+((WGN40+'NF - 5 Power Mix'!WGN14+'NF - 5 Power Mix'!WGN15)*860/10)+((('Form Sa1'!WGQ835)*860)/10)+('Form Sa1'!WGQ814*'Form Sa1'!WGQ816/10)-'NF - 5 Power Mix'!WGN21-'NF - 5 Power Mix'!WGN22</f>
        <v>0</v>
      </c>
      <c r="WGO42" s="1046">
        <f>WGO38+((WGO40+'NF - 5 Power Mix'!WGO14+'NF - 5 Power Mix'!WGO15)*860/10)+((('Form Sa1'!WGR835)*860)/10)+('Form Sa1'!WGR814*'Form Sa1'!WGR816/10)-'NF - 5 Power Mix'!WGO21-'NF - 5 Power Mix'!WGO22</f>
        <v>0</v>
      </c>
      <c r="WGP42" s="1046">
        <f>WGP38+((WGP40+'NF - 5 Power Mix'!WGP14+'NF - 5 Power Mix'!WGP15)*860/10)+((('Form Sa1'!WGS835)*860)/10)+('Form Sa1'!WGS814*'Form Sa1'!WGS816/10)-'NF - 5 Power Mix'!WGP21-'NF - 5 Power Mix'!WGP22</f>
        <v>0</v>
      </c>
      <c r="WGQ42" s="1046">
        <f>WGQ38+((WGQ40+'NF - 5 Power Mix'!WGQ14+'NF - 5 Power Mix'!WGQ15)*860/10)+((('Form Sa1'!WGT835)*860)/10)+('Form Sa1'!WGT814*'Form Sa1'!WGT816/10)-'NF - 5 Power Mix'!WGQ21-'NF - 5 Power Mix'!WGQ22</f>
        <v>0</v>
      </c>
      <c r="WGR42" s="1046">
        <f>WGR38+((WGR40+'NF - 5 Power Mix'!WGR14+'NF - 5 Power Mix'!WGR15)*860/10)+((('Form Sa1'!WGU835)*860)/10)+('Form Sa1'!WGU814*'Form Sa1'!WGU816/10)-'NF - 5 Power Mix'!WGR21-'NF - 5 Power Mix'!WGR22</f>
        <v>0</v>
      </c>
      <c r="WGS42" s="1046">
        <f>WGS38+((WGS40+'NF - 5 Power Mix'!WGS14+'NF - 5 Power Mix'!WGS15)*860/10)+((('Form Sa1'!WGV835)*860)/10)+('Form Sa1'!WGV814*'Form Sa1'!WGV816/10)-'NF - 5 Power Mix'!WGS21-'NF - 5 Power Mix'!WGS22</f>
        <v>0</v>
      </c>
      <c r="WGT42" s="1046">
        <f>WGT38+((WGT40+'NF - 5 Power Mix'!WGT14+'NF - 5 Power Mix'!WGT15)*860/10)+((('Form Sa1'!WGW835)*860)/10)+('Form Sa1'!WGW814*'Form Sa1'!WGW816/10)-'NF - 5 Power Mix'!WGT21-'NF - 5 Power Mix'!WGT22</f>
        <v>0</v>
      </c>
      <c r="WGU42" s="1046">
        <f>WGU38+((WGU40+'NF - 5 Power Mix'!WGU14+'NF - 5 Power Mix'!WGU15)*860/10)+((('Form Sa1'!WGX835)*860)/10)+('Form Sa1'!WGX814*'Form Sa1'!WGX816/10)-'NF - 5 Power Mix'!WGU21-'NF - 5 Power Mix'!WGU22</f>
        <v>0</v>
      </c>
      <c r="WGV42" s="1046">
        <f>WGV38+((WGV40+'NF - 5 Power Mix'!WGV14+'NF - 5 Power Mix'!WGV15)*860/10)+((('Form Sa1'!WGY835)*860)/10)+('Form Sa1'!WGY814*'Form Sa1'!WGY816/10)-'NF - 5 Power Mix'!WGV21-'NF - 5 Power Mix'!WGV22</f>
        <v>0</v>
      </c>
      <c r="WGW42" s="1046">
        <f>WGW38+((WGW40+'NF - 5 Power Mix'!WGW14+'NF - 5 Power Mix'!WGW15)*860/10)+((('Form Sa1'!WGZ835)*860)/10)+('Form Sa1'!WGZ814*'Form Sa1'!WGZ816/10)-'NF - 5 Power Mix'!WGW21-'NF - 5 Power Mix'!WGW22</f>
        <v>0</v>
      </c>
      <c r="WGX42" s="1046">
        <f>WGX38+((WGX40+'NF - 5 Power Mix'!WGX14+'NF - 5 Power Mix'!WGX15)*860/10)+((('Form Sa1'!WHA835)*860)/10)+('Form Sa1'!WHA814*'Form Sa1'!WHA816/10)-'NF - 5 Power Mix'!WGX21-'NF - 5 Power Mix'!WGX22</f>
        <v>0</v>
      </c>
      <c r="WGY42" s="1046">
        <f>WGY38+((WGY40+'NF - 5 Power Mix'!WGY14+'NF - 5 Power Mix'!WGY15)*860/10)+((('Form Sa1'!WHB835)*860)/10)+('Form Sa1'!WHB814*'Form Sa1'!WHB816/10)-'NF - 5 Power Mix'!WGY21-'NF - 5 Power Mix'!WGY22</f>
        <v>0</v>
      </c>
      <c r="WGZ42" s="1046">
        <f>WGZ38+((WGZ40+'NF - 5 Power Mix'!WGZ14+'NF - 5 Power Mix'!WGZ15)*860/10)+((('Form Sa1'!WHC835)*860)/10)+('Form Sa1'!WHC814*'Form Sa1'!WHC816/10)-'NF - 5 Power Mix'!WGZ21-'NF - 5 Power Mix'!WGZ22</f>
        <v>0</v>
      </c>
      <c r="WHA42" s="1046">
        <f>WHA38+((WHA40+'NF - 5 Power Mix'!WHA14+'NF - 5 Power Mix'!WHA15)*860/10)+((('Form Sa1'!WHD835)*860)/10)+('Form Sa1'!WHD814*'Form Sa1'!WHD816/10)-'NF - 5 Power Mix'!WHA21-'NF - 5 Power Mix'!WHA22</f>
        <v>0</v>
      </c>
      <c r="WHB42" s="1046">
        <f>WHB38+((WHB40+'NF - 5 Power Mix'!WHB14+'NF - 5 Power Mix'!WHB15)*860/10)+((('Form Sa1'!WHE835)*860)/10)+('Form Sa1'!WHE814*'Form Sa1'!WHE816/10)-'NF - 5 Power Mix'!WHB21-'NF - 5 Power Mix'!WHB22</f>
        <v>0</v>
      </c>
      <c r="WHC42" s="1046">
        <f>WHC38+((WHC40+'NF - 5 Power Mix'!WHC14+'NF - 5 Power Mix'!WHC15)*860/10)+((('Form Sa1'!WHF835)*860)/10)+('Form Sa1'!WHF814*'Form Sa1'!WHF816/10)-'NF - 5 Power Mix'!WHC21-'NF - 5 Power Mix'!WHC22</f>
        <v>0</v>
      </c>
      <c r="WHD42" s="1046">
        <f>WHD38+((WHD40+'NF - 5 Power Mix'!WHD14+'NF - 5 Power Mix'!WHD15)*860/10)+((('Form Sa1'!WHG835)*860)/10)+('Form Sa1'!WHG814*'Form Sa1'!WHG816/10)-'NF - 5 Power Mix'!WHD21-'NF - 5 Power Mix'!WHD22</f>
        <v>0</v>
      </c>
      <c r="WHE42" s="1046">
        <f>WHE38+((WHE40+'NF - 5 Power Mix'!WHE14+'NF - 5 Power Mix'!WHE15)*860/10)+((('Form Sa1'!WHH835)*860)/10)+('Form Sa1'!WHH814*'Form Sa1'!WHH816/10)-'NF - 5 Power Mix'!WHE21-'NF - 5 Power Mix'!WHE22</f>
        <v>0</v>
      </c>
      <c r="WHF42" s="1046">
        <f>WHF38+((WHF40+'NF - 5 Power Mix'!WHF14+'NF - 5 Power Mix'!WHF15)*860/10)+((('Form Sa1'!WHI835)*860)/10)+('Form Sa1'!WHI814*'Form Sa1'!WHI816/10)-'NF - 5 Power Mix'!WHF21-'NF - 5 Power Mix'!WHF22</f>
        <v>0</v>
      </c>
      <c r="WHG42" s="1046">
        <f>WHG38+((WHG40+'NF - 5 Power Mix'!WHG14+'NF - 5 Power Mix'!WHG15)*860/10)+((('Form Sa1'!WHJ835)*860)/10)+('Form Sa1'!WHJ814*'Form Sa1'!WHJ816/10)-'NF - 5 Power Mix'!WHG21-'NF - 5 Power Mix'!WHG22</f>
        <v>0</v>
      </c>
      <c r="WHH42" s="1046">
        <f>WHH38+((WHH40+'NF - 5 Power Mix'!WHH14+'NF - 5 Power Mix'!WHH15)*860/10)+((('Form Sa1'!WHK835)*860)/10)+('Form Sa1'!WHK814*'Form Sa1'!WHK816/10)-'NF - 5 Power Mix'!WHH21-'NF - 5 Power Mix'!WHH22</f>
        <v>0</v>
      </c>
      <c r="WHI42" s="1046">
        <f>WHI38+((WHI40+'NF - 5 Power Mix'!WHI14+'NF - 5 Power Mix'!WHI15)*860/10)+((('Form Sa1'!WHL835)*860)/10)+('Form Sa1'!WHL814*'Form Sa1'!WHL816/10)-'NF - 5 Power Mix'!WHI21-'NF - 5 Power Mix'!WHI22</f>
        <v>0</v>
      </c>
      <c r="WHJ42" s="1046">
        <f>WHJ38+((WHJ40+'NF - 5 Power Mix'!WHJ14+'NF - 5 Power Mix'!WHJ15)*860/10)+((('Form Sa1'!WHM835)*860)/10)+('Form Sa1'!WHM814*'Form Sa1'!WHM816/10)-'NF - 5 Power Mix'!WHJ21-'NF - 5 Power Mix'!WHJ22</f>
        <v>0</v>
      </c>
      <c r="WHK42" s="1046">
        <f>WHK38+((WHK40+'NF - 5 Power Mix'!WHK14+'NF - 5 Power Mix'!WHK15)*860/10)+((('Form Sa1'!WHN835)*860)/10)+('Form Sa1'!WHN814*'Form Sa1'!WHN816/10)-'NF - 5 Power Mix'!WHK21-'NF - 5 Power Mix'!WHK22</f>
        <v>0</v>
      </c>
      <c r="WHL42" s="1046">
        <f>WHL38+((WHL40+'NF - 5 Power Mix'!WHL14+'NF - 5 Power Mix'!WHL15)*860/10)+((('Form Sa1'!WHO835)*860)/10)+('Form Sa1'!WHO814*'Form Sa1'!WHO816/10)-'NF - 5 Power Mix'!WHL21-'NF - 5 Power Mix'!WHL22</f>
        <v>0</v>
      </c>
      <c r="WHM42" s="1046">
        <f>WHM38+((WHM40+'NF - 5 Power Mix'!WHM14+'NF - 5 Power Mix'!WHM15)*860/10)+((('Form Sa1'!WHP835)*860)/10)+('Form Sa1'!WHP814*'Form Sa1'!WHP816/10)-'NF - 5 Power Mix'!WHM21-'NF - 5 Power Mix'!WHM22</f>
        <v>0</v>
      </c>
      <c r="WHN42" s="1046">
        <f>WHN38+((WHN40+'NF - 5 Power Mix'!WHN14+'NF - 5 Power Mix'!WHN15)*860/10)+((('Form Sa1'!WHQ835)*860)/10)+('Form Sa1'!WHQ814*'Form Sa1'!WHQ816/10)-'NF - 5 Power Mix'!WHN21-'NF - 5 Power Mix'!WHN22</f>
        <v>0</v>
      </c>
      <c r="WHO42" s="1046">
        <f>WHO38+((WHO40+'NF - 5 Power Mix'!WHO14+'NF - 5 Power Mix'!WHO15)*860/10)+((('Form Sa1'!WHR835)*860)/10)+('Form Sa1'!WHR814*'Form Sa1'!WHR816/10)-'NF - 5 Power Mix'!WHO21-'NF - 5 Power Mix'!WHO22</f>
        <v>0</v>
      </c>
      <c r="WHP42" s="1046">
        <f>WHP38+((WHP40+'NF - 5 Power Mix'!WHP14+'NF - 5 Power Mix'!WHP15)*860/10)+((('Form Sa1'!WHS835)*860)/10)+('Form Sa1'!WHS814*'Form Sa1'!WHS816/10)-'NF - 5 Power Mix'!WHP21-'NF - 5 Power Mix'!WHP22</f>
        <v>0</v>
      </c>
      <c r="WHQ42" s="1046">
        <f>WHQ38+((WHQ40+'NF - 5 Power Mix'!WHQ14+'NF - 5 Power Mix'!WHQ15)*860/10)+((('Form Sa1'!WHT835)*860)/10)+('Form Sa1'!WHT814*'Form Sa1'!WHT816/10)-'NF - 5 Power Mix'!WHQ21-'NF - 5 Power Mix'!WHQ22</f>
        <v>0</v>
      </c>
      <c r="WHR42" s="1046">
        <f>WHR38+((WHR40+'NF - 5 Power Mix'!WHR14+'NF - 5 Power Mix'!WHR15)*860/10)+((('Form Sa1'!WHU835)*860)/10)+('Form Sa1'!WHU814*'Form Sa1'!WHU816/10)-'NF - 5 Power Mix'!WHR21-'NF - 5 Power Mix'!WHR22</f>
        <v>0</v>
      </c>
      <c r="WHS42" s="1046">
        <f>WHS38+((WHS40+'NF - 5 Power Mix'!WHS14+'NF - 5 Power Mix'!WHS15)*860/10)+((('Form Sa1'!WHV835)*860)/10)+('Form Sa1'!WHV814*'Form Sa1'!WHV816/10)-'NF - 5 Power Mix'!WHS21-'NF - 5 Power Mix'!WHS22</f>
        <v>0</v>
      </c>
      <c r="WHT42" s="1046">
        <f>WHT38+((WHT40+'NF - 5 Power Mix'!WHT14+'NF - 5 Power Mix'!WHT15)*860/10)+((('Form Sa1'!WHW835)*860)/10)+('Form Sa1'!WHW814*'Form Sa1'!WHW816/10)-'NF - 5 Power Mix'!WHT21-'NF - 5 Power Mix'!WHT22</f>
        <v>0</v>
      </c>
      <c r="WHU42" s="1046">
        <f>WHU38+((WHU40+'NF - 5 Power Mix'!WHU14+'NF - 5 Power Mix'!WHU15)*860/10)+((('Form Sa1'!WHX835)*860)/10)+('Form Sa1'!WHX814*'Form Sa1'!WHX816/10)-'NF - 5 Power Mix'!WHU21-'NF - 5 Power Mix'!WHU22</f>
        <v>0</v>
      </c>
      <c r="WHV42" s="1046">
        <f>WHV38+((WHV40+'NF - 5 Power Mix'!WHV14+'NF - 5 Power Mix'!WHV15)*860/10)+((('Form Sa1'!WHY835)*860)/10)+('Form Sa1'!WHY814*'Form Sa1'!WHY816/10)-'NF - 5 Power Mix'!WHV21-'NF - 5 Power Mix'!WHV22</f>
        <v>0</v>
      </c>
      <c r="WHW42" s="1046">
        <f>WHW38+((WHW40+'NF - 5 Power Mix'!WHW14+'NF - 5 Power Mix'!WHW15)*860/10)+((('Form Sa1'!WHZ835)*860)/10)+('Form Sa1'!WHZ814*'Form Sa1'!WHZ816/10)-'NF - 5 Power Mix'!WHW21-'NF - 5 Power Mix'!WHW22</f>
        <v>0</v>
      </c>
      <c r="WHX42" s="1046">
        <f>WHX38+((WHX40+'NF - 5 Power Mix'!WHX14+'NF - 5 Power Mix'!WHX15)*860/10)+((('Form Sa1'!WIA835)*860)/10)+('Form Sa1'!WIA814*'Form Sa1'!WIA816/10)-'NF - 5 Power Mix'!WHX21-'NF - 5 Power Mix'!WHX22</f>
        <v>0</v>
      </c>
      <c r="WHY42" s="1046">
        <f>WHY38+((WHY40+'NF - 5 Power Mix'!WHY14+'NF - 5 Power Mix'!WHY15)*860/10)+((('Form Sa1'!WIB835)*860)/10)+('Form Sa1'!WIB814*'Form Sa1'!WIB816/10)-'NF - 5 Power Mix'!WHY21-'NF - 5 Power Mix'!WHY22</f>
        <v>0</v>
      </c>
      <c r="WHZ42" s="1046">
        <f>WHZ38+((WHZ40+'NF - 5 Power Mix'!WHZ14+'NF - 5 Power Mix'!WHZ15)*860/10)+((('Form Sa1'!WIC835)*860)/10)+('Form Sa1'!WIC814*'Form Sa1'!WIC816/10)-'NF - 5 Power Mix'!WHZ21-'NF - 5 Power Mix'!WHZ22</f>
        <v>0</v>
      </c>
      <c r="WIA42" s="1046">
        <f>WIA38+((WIA40+'NF - 5 Power Mix'!WIA14+'NF - 5 Power Mix'!WIA15)*860/10)+((('Form Sa1'!WID835)*860)/10)+('Form Sa1'!WID814*'Form Sa1'!WID816/10)-'NF - 5 Power Mix'!WIA21-'NF - 5 Power Mix'!WIA22</f>
        <v>0</v>
      </c>
      <c r="WIB42" s="1046">
        <f>WIB38+((WIB40+'NF - 5 Power Mix'!WIB14+'NF - 5 Power Mix'!WIB15)*860/10)+((('Form Sa1'!WIE835)*860)/10)+('Form Sa1'!WIE814*'Form Sa1'!WIE816/10)-'NF - 5 Power Mix'!WIB21-'NF - 5 Power Mix'!WIB22</f>
        <v>0</v>
      </c>
      <c r="WIC42" s="1046">
        <f>WIC38+((WIC40+'NF - 5 Power Mix'!WIC14+'NF - 5 Power Mix'!WIC15)*860/10)+((('Form Sa1'!WIF835)*860)/10)+('Form Sa1'!WIF814*'Form Sa1'!WIF816/10)-'NF - 5 Power Mix'!WIC21-'NF - 5 Power Mix'!WIC22</f>
        <v>0</v>
      </c>
      <c r="WID42" s="1046">
        <f>WID38+((WID40+'NF - 5 Power Mix'!WID14+'NF - 5 Power Mix'!WID15)*860/10)+((('Form Sa1'!WIG835)*860)/10)+('Form Sa1'!WIG814*'Form Sa1'!WIG816/10)-'NF - 5 Power Mix'!WID21-'NF - 5 Power Mix'!WID22</f>
        <v>0</v>
      </c>
      <c r="WIE42" s="1046">
        <f>WIE38+((WIE40+'NF - 5 Power Mix'!WIE14+'NF - 5 Power Mix'!WIE15)*860/10)+((('Form Sa1'!WIH835)*860)/10)+('Form Sa1'!WIH814*'Form Sa1'!WIH816/10)-'NF - 5 Power Mix'!WIE21-'NF - 5 Power Mix'!WIE22</f>
        <v>0</v>
      </c>
      <c r="WIF42" s="1046">
        <f>WIF38+((WIF40+'NF - 5 Power Mix'!WIF14+'NF - 5 Power Mix'!WIF15)*860/10)+((('Form Sa1'!WII835)*860)/10)+('Form Sa1'!WII814*'Form Sa1'!WII816/10)-'NF - 5 Power Mix'!WIF21-'NF - 5 Power Mix'!WIF22</f>
        <v>0</v>
      </c>
      <c r="WIG42" s="1046">
        <f>WIG38+((WIG40+'NF - 5 Power Mix'!WIG14+'NF - 5 Power Mix'!WIG15)*860/10)+((('Form Sa1'!WIJ835)*860)/10)+('Form Sa1'!WIJ814*'Form Sa1'!WIJ816/10)-'NF - 5 Power Mix'!WIG21-'NF - 5 Power Mix'!WIG22</f>
        <v>0</v>
      </c>
      <c r="WIH42" s="1046">
        <f>WIH38+((WIH40+'NF - 5 Power Mix'!WIH14+'NF - 5 Power Mix'!WIH15)*860/10)+((('Form Sa1'!WIK835)*860)/10)+('Form Sa1'!WIK814*'Form Sa1'!WIK816/10)-'NF - 5 Power Mix'!WIH21-'NF - 5 Power Mix'!WIH22</f>
        <v>0</v>
      </c>
      <c r="WII42" s="1046">
        <f>WII38+((WII40+'NF - 5 Power Mix'!WII14+'NF - 5 Power Mix'!WII15)*860/10)+((('Form Sa1'!WIL835)*860)/10)+('Form Sa1'!WIL814*'Form Sa1'!WIL816/10)-'NF - 5 Power Mix'!WII21-'NF - 5 Power Mix'!WII22</f>
        <v>0</v>
      </c>
      <c r="WIJ42" s="1046">
        <f>WIJ38+((WIJ40+'NF - 5 Power Mix'!WIJ14+'NF - 5 Power Mix'!WIJ15)*860/10)+((('Form Sa1'!WIM835)*860)/10)+('Form Sa1'!WIM814*'Form Sa1'!WIM816/10)-'NF - 5 Power Mix'!WIJ21-'NF - 5 Power Mix'!WIJ22</f>
        <v>0</v>
      </c>
      <c r="WIK42" s="1046">
        <f>WIK38+((WIK40+'NF - 5 Power Mix'!WIK14+'NF - 5 Power Mix'!WIK15)*860/10)+((('Form Sa1'!WIN835)*860)/10)+('Form Sa1'!WIN814*'Form Sa1'!WIN816/10)-'NF - 5 Power Mix'!WIK21-'NF - 5 Power Mix'!WIK22</f>
        <v>0</v>
      </c>
      <c r="WIL42" s="1046">
        <f>WIL38+((WIL40+'NF - 5 Power Mix'!WIL14+'NF - 5 Power Mix'!WIL15)*860/10)+((('Form Sa1'!WIO835)*860)/10)+('Form Sa1'!WIO814*'Form Sa1'!WIO816/10)-'NF - 5 Power Mix'!WIL21-'NF - 5 Power Mix'!WIL22</f>
        <v>0</v>
      </c>
      <c r="WIM42" s="1046">
        <f>WIM38+((WIM40+'NF - 5 Power Mix'!WIM14+'NF - 5 Power Mix'!WIM15)*860/10)+((('Form Sa1'!WIP835)*860)/10)+('Form Sa1'!WIP814*'Form Sa1'!WIP816/10)-'NF - 5 Power Mix'!WIM21-'NF - 5 Power Mix'!WIM22</f>
        <v>0</v>
      </c>
      <c r="WIN42" s="1046">
        <f>WIN38+((WIN40+'NF - 5 Power Mix'!WIN14+'NF - 5 Power Mix'!WIN15)*860/10)+((('Form Sa1'!WIQ835)*860)/10)+('Form Sa1'!WIQ814*'Form Sa1'!WIQ816/10)-'NF - 5 Power Mix'!WIN21-'NF - 5 Power Mix'!WIN22</f>
        <v>0</v>
      </c>
      <c r="WIO42" s="1046">
        <f>WIO38+((WIO40+'NF - 5 Power Mix'!WIO14+'NF - 5 Power Mix'!WIO15)*860/10)+((('Form Sa1'!WIR835)*860)/10)+('Form Sa1'!WIR814*'Form Sa1'!WIR816/10)-'NF - 5 Power Mix'!WIO21-'NF - 5 Power Mix'!WIO22</f>
        <v>0</v>
      </c>
      <c r="WIP42" s="1046">
        <f>WIP38+((WIP40+'NF - 5 Power Mix'!WIP14+'NF - 5 Power Mix'!WIP15)*860/10)+((('Form Sa1'!WIS835)*860)/10)+('Form Sa1'!WIS814*'Form Sa1'!WIS816/10)-'NF - 5 Power Mix'!WIP21-'NF - 5 Power Mix'!WIP22</f>
        <v>0</v>
      </c>
      <c r="WIQ42" s="1046">
        <f>WIQ38+((WIQ40+'NF - 5 Power Mix'!WIQ14+'NF - 5 Power Mix'!WIQ15)*860/10)+((('Form Sa1'!WIT835)*860)/10)+('Form Sa1'!WIT814*'Form Sa1'!WIT816/10)-'NF - 5 Power Mix'!WIQ21-'NF - 5 Power Mix'!WIQ22</f>
        <v>0</v>
      </c>
      <c r="WIR42" s="1046">
        <f>WIR38+((WIR40+'NF - 5 Power Mix'!WIR14+'NF - 5 Power Mix'!WIR15)*860/10)+((('Form Sa1'!WIU835)*860)/10)+('Form Sa1'!WIU814*'Form Sa1'!WIU816/10)-'NF - 5 Power Mix'!WIR21-'NF - 5 Power Mix'!WIR22</f>
        <v>0</v>
      </c>
      <c r="WIS42" s="1046">
        <f>WIS38+((WIS40+'NF - 5 Power Mix'!WIS14+'NF - 5 Power Mix'!WIS15)*860/10)+((('Form Sa1'!WIV835)*860)/10)+('Form Sa1'!WIV814*'Form Sa1'!WIV816/10)-'NF - 5 Power Mix'!WIS21-'NF - 5 Power Mix'!WIS22</f>
        <v>0</v>
      </c>
      <c r="WIT42" s="1046">
        <f>WIT38+((WIT40+'NF - 5 Power Mix'!WIT14+'NF - 5 Power Mix'!WIT15)*860/10)+((('Form Sa1'!WIW835)*860)/10)+('Form Sa1'!WIW814*'Form Sa1'!WIW816/10)-'NF - 5 Power Mix'!WIT21-'NF - 5 Power Mix'!WIT22</f>
        <v>0</v>
      </c>
      <c r="WIU42" s="1046">
        <f>WIU38+((WIU40+'NF - 5 Power Mix'!WIU14+'NF - 5 Power Mix'!WIU15)*860/10)+((('Form Sa1'!WIX835)*860)/10)+('Form Sa1'!WIX814*'Form Sa1'!WIX816/10)-'NF - 5 Power Mix'!WIU21-'NF - 5 Power Mix'!WIU22</f>
        <v>0</v>
      </c>
      <c r="WIV42" s="1046">
        <f>WIV38+((WIV40+'NF - 5 Power Mix'!WIV14+'NF - 5 Power Mix'!WIV15)*860/10)+((('Form Sa1'!WIY835)*860)/10)+('Form Sa1'!WIY814*'Form Sa1'!WIY816/10)-'NF - 5 Power Mix'!WIV21-'NF - 5 Power Mix'!WIV22</f>
        <v>0</v>
      </c>
      <c r="WIW42" s="1046">
        <f>WIW38+((WIW40+'NF - 5 Power Mix'!WIW14+'NF - 5 Power Mix'!WIW15)*860/10)+((('Form Sa1'!WIZ835)*860)/10)+('Form Sa1'!WIZ814*'Form Sa1'!WIZ816/10)-'NF - 5 Power Mix'!WIW21-'NF - 5 Power Mix'!WIW22</f>
        <v>0</v>
      </c>
      <c r="WIX42" s="1046">
        <f>WIX38+((WIX40+'NF - 5 Power Mix'!WIX14+'NF - 5 Power Mix'!WIX15)*860/10)+((('Form Sa1'!WJA835)*860)/10)+('Form Sa1'!WJA814*'Form Sa1'!WJA816/10)-'NF - 5 Power Mix'!WIX21-'NF - 5 Power Mix'!WIX22</f>
        <v>0</v>
      </c>
      <c r="WIY42" s="1046">
        <f>WIY38+((WIY40+'NF - 5 Power Mix'!WIY14+'NF - 5 Power Mix'!WIY15)*860/10)+((('Form Sa1'!WJB835)*860)/10)+('Form Sa1'!WJB814*'Form Sa1'!WJB816/10)-'NF - 5 Power Mix'!WIY21-'NF - 5 Power Mix'!WIY22</f>
        <v>0</v>
      </c>
      <c r="WIZ42" s="1046">
        <f>WIZ38+((WIZ40+'NF - 5 Power Mix'!WIZ14+'NF - 5 Power Mix'!WIZ15)*860/10)+((('Form Sa1'!WJC835)*860)/10)+('Form Sa1'!WJC814*'Form Sa1'!WJC816/10)-'NF - 5 Power Mix'!WIZ21-'NF - 5 Power Mix'!WIZ22</f>
        <v>0</v>
      </c>
      <c r="WJA42" s="1046">
        <f>WJA38+((WJA40+'NF - 5 Power Mix'!WJA14+'NF - 5 Power Mix'!WJA15)*860/10)+((('Form Sa1'!WJD835)*860)/10)+('Form Sa1'!WJD814*'Form Sa1'!WJD816/10)-'NF - 5 Power Mix'!WJA21-'NF - 5 Power Mix'!WJA22</f>
        <v>0</v>
      </c>
      <c r="WJB42" s="1046">
        <f>WJB38+((WJB40+'NF - 5 Power Mix'!WJB14+'NF - 5 Power Mix'!WJB15)*860/10)+((('Form Sa1'!WJE835)*860)/10)+('Form Sa1'!WJE814*'Form Sa1'!WJE816/10)-'NF - 5 Power Mix'!WJB21-'NF - 5 Power Mix'!WJB22</f>
        <v>0</v>
      </c>
      <c r="WJC42" s="1046">
        <f>WJC38+((WJC40+'NF - 5 Power Mix'!WJC14+'NF - 5 Power Mix'!WJC15)*860/10)+((('Form Sa1'!WJF835)*860)/10)+('Form Sa1'!WJF814*'Form Sa1'!WJF816/10)-'NF - 5 Power Mix'!WJC21-'NF - 5 Power Mix'!WJC22</f>
        <v>0</v>
      </c>
      <c r="WJD42" s="1046">
        <f>WJD38+((WJD40+'NF - 5 Power Mix'!WJD14+'NF - 5 Power Mix'!WJD15)*860/10)+((('Form Sa1'!WJG835)*860)/10)+('Form Sa1'!WJG814*'Form Sa1'!WJG816/10)-'NF - 5 Power Mix'!WJD21-'NF - 5 Power Mix'!WJD22</f>
        <v>0</v>
      </c>
      <c r="WJE42" s="1046">
        <f>WJE38+((WJE40+'NF - 5 Power Mix'!WJE14+'NF - 5 Power Mix'!WJE15)*860/10)+((('Form Sa1'!WJH835)*860)/10)+('Form Sa1'!WJH814*'Form Sa1'!WJH816/10)-'NF - 5 Power Mix'!WJE21-'NF - 5 Power Mix'!WJE22</f>
        <v>0</v>
      </c>
      <c r="WJF42" s="1046">
        <f>WJF38+((WJF40+'NF - 5 Power Mix'!WJF14+'NF - 5 Power Mix'!WJF15)*860/10)+((('Form Sa1'!WJI835)*860)/10)+('Form Sa1'!WJI814*'Form Sa1'!WJI816/10)-'NF - 5 Power Mix'!WJF21-'NF - 5 Power Mix'!WJF22</f>
        <v>0</v>
      </c>
      <c r="WJG42" s="1046">
        <f>WJG38+((WJG40+'NF - 5 Power Mix'!WJG14+'NF - 5 Power Mix'!WJG15)*860/10)+((('Form Sa1'!WJJ835)*860)/10)+('Form Sa1'!WJJ814*'Form Sa1'!WJJ816/10)-'NF - 5 Power Mix'!WJG21-'NF - 5 Power Mix'!WJG22</f>
        <v>0</v>
      </c>
      <c r="WJH42" s="1046">
        <f>WJH38+((WJH40+'NF - 5 Power Mix'!WJH14+'NF - 5 Power Mix'!WJH15)*860/10)+((('Form Sa1'!WJK835)*860)/10)+('Form Sa1'!WJK814*'Form Sa1'!WJK816/10)-'NF - 5 Power Mix'!WJH21-'NF - 5 Power Mix'!WJH22</f>
        <v>0</v>
      </c>
      <c r="WJI42" s="1046">
        <f>WJI38+((WJI40+'NF - 5 Power Mix'!WJI14+'NF - 5 Power Mix'!WJI15)*860/10)+((('Form Sa1'!WJL835)*860)/10)+('Form Sa1'!WJL814*'Form Sa1'!WJL816/10)-'NF - 5 Power Mix'!WJI21-'NF - 5 Power Mix'!WJI22</f>
        <v>0</v>
      </c>
      <c r="WJJ42" s="1046">
        <f>WJJ38+((WJJ40+'NF - 5 Power Mix'!WJJ14+'NF - 5 Power Mix'!WJJ15)*860/10)+((('Form Sa1'!WJM835)*860)/10)+('Form Sa1'!WJM814*'Form Sa1'!WJM816/10)-'NF - 5 Power Mix'!WJJ21-'NF - 5 Power Mix'!WJJ22</f>
        <v>0</v>
      </c>
      <c r="WJK42" s="1046">
        <f>WJK38+((WJK40+'NF - 5 Power Mix'!WJK14+'NF - 5 Power Mix'!WJK15)*860/10)+((('Form Sa1'!WJN835)*860)/10)+('Form Sa1'!WJN814*'Form Sa1'!WJN816/10)-'NF - 5 Power Mix'!WJK21-'NF - 5 Power Mix'!WJK22</f>
        <v>0</v>
      </c>
      <c r="WJL42" s="1046">
        <f>WJL38+((WJL40+'NF - 5 Power Mix'!WJL14+'NF - 5 Power Mix'!WJL15)*860/10)+((('Form Sa1'!WJO835)*860)/10)+('Form Sa1'!WJO814*'Form Sa1'!WJO816/10)-'NF - 5 Power Mix'!WJL21-'NF - 5 Power Mix'!WJL22</f>
        <v>0</v>
      </c>
      <c r="WJM42" s="1046">
        <f>WJM38+((WJM40+'NF - 5 Power Mix'!WJM14+'NF - 5 Power Mix'!WJM15)*860/10)+((('Form Sa1'!WJP835)*860)/10)+('Form Sa1'!WJP814*'Form Sa1'!WJP816/10)-'NF - 5 Power Mix'!WJM21-'NF - 5 Power Mix'!WJM22</f>
        <v>0</v>
      </c>
      <c r="WJN42" s="1046">
        <f>WJN38+((WJN40+'NF - 5 Power Mix'!WJN14+'NF - 5 Power Mix'!WJN15)*860/10)+((('Form Sa1'!WJQ835)*860)/10)+('Form Sa1'!WJQ814*'Form Sa1'!WJQ816/10)-'NF - 5 Power Mix'!WJN21-'NF - 5 Power Mix'!WJN22</f>
        <v>0</v>
      </c>
      <c r="WJO42" s="1046">
        <f>WJO38+((WJO40+'NF - 5 Power Mix'!WJO14+'NF - 5 Power Mix'!WJO15)*860/10)+((('Form Sa1'!WJR835)*860)/10)+('Form Sa1'!WJR814*'Form Sa1'!WJR816/10)-'NF - 5 Power Mix'!WJO21-'NF - 5 Power Mix'!WJO22</f>
        <v>0</v>
      </c>
      <c r="WJP42" s="1046">
        <f>WJP38+((WJP40+'NF - 5 Power Mix'!WJP14+'NF - 5 Power Mix'!WJP15)*860/10)+((('Form Sa1'!WJS835)*860)/10)+('Form Sa1'!WJS814*'Form Sa1'!WJS816/10)-'NF - 5 Power Mix'!WJP21-'NF - 5 Power Mix'!WJP22</f>
        <v>0</v>
      </c>
      <c r="WJQ42" s="1046">
        <f>WJQ38+((WJQ40+'NF - 5 Power Mix'!WJQ14+'NF - 5 Power Mix'!WJQ15)*860/10)+((('Form Sa1'!WJT835)*860)/10)+('Form Sa1'!WJT814*'Form Sa1'!WJT816/10)-'NF - 5 Power Mix'!WJQ21-'NF - 5 Power Mix'!WJQ22</f>
        <v>0</v>
      </c>
      <c r="WJR42" s="1046">
        <f>WJR38+((WJR40+'NF - 5 Power Mix'!WJR14+'NF - 5 Power Mix'!WJR15)*860/10)+((('Form Sa1'!WJU835)*860)/10)+('Form Sa1'!WJU814*'Form Sa1'!WJU816/10)-'NF - 5 Power Mix'!WJR21-'NF - 5 Power Mix'!WJR22</f>
        <v>0</v>
      </c>
      <c r="WJS42" s="1046">
        <f>WJS38+((WJS40+'NF - 5 Power Mix'!WJS14+'NF - 5 Power Mix'!WJS15)*860/10)+((('Form Sa1'!WJV835)*860)/10)+('Form Sa1'!WJV814*'Form Sa1'!WJV816/10)-'NF - 5 Power Mix'!WJS21-'NF - 5 Power Mix'!WJS22</f>
        <v>0</v>
      </c>
      <c r="WJT42" s="1046">
        <f>WJT38+((WJT40+'NF - 5 Power Mix'!WJT14+'NF - 5 Power Mix'!WJT15)*860/10)+((('Form Sa1'!WJW835)*860)/10)+('Form Sa1'!WJW814*'Form Sa1'!WJW816/10)-'NF - 5 Power Mix'!WJT21-'NF - 5 Power Mix'!WJT22</f>
        <v>0</v>
      </c>
      <c r="WJU42" s="1046">
        <f>WJU38+((WJU40+'NF - 5 Power Mix'!WJU14+'NF - 5 Power Mix'!WJU15)*860/10)+((('Form Sa1'!WJX835)*860)/10)+('Form Sa1'!WJX814*'Form Sa1'!WJX816/10)-'NF - 5 Power Mix'!WJU21-'NF - 5 Power Mix'!WJU22</f>
        <v>0</v>
      </c>
      <c r="WJV42" s="1046">
        <f>WJV38+((WJV40+'NF - 5 Power Mix'!WJV14+'NF - 5 Power Mix'!WJV15)*860/10)+((('Form Sa1'!WJY835)*860)/10)+('Form Sa1'!WJY814*'Form Sa1'!WJY816/10)-'NF - 5 Power Mix'!WJV21-'NF - 5 Power Mix'!WJV22</f>
        <v>0</v>
      </c>
      <c r="WJW42" s="1046">
        <f>WJW38+((WJW40+'NF - 5 Power Mix'!WJW14+'NF - 5 Power Mix'!WJW15)*860/10)+((('Form Sa1'!WJZ835)*860)/10)+('Form Sa1'!WJZ814*'Form Sa1'!WJZ816/10)-'NF - 5 Power Mix'!WJW21-'NF - 5 Power Mix'!WJW22</f>
        <v>0</v>
      </c>
      <c r="WJX42" s="1046">
        <f>WJX38+((WJX40+'NF - 5 Power Mix'!WJX14+'NF - 5 Power Mix'!WJX15)*860/10)+((('Form Sa1'!WKA835)*860)/10)+('Form Sa1'!WKA814*'Form Sa1'!WKA816/10)-'NF - 5 Power Mix'!WJX21-'NF - 5 Power Mix'!WJX22</f>
        <v>0</v>
      </c>
      <c r="WJY42" s="1046">
        <f>WJY38+((WJY40+'NF - 5 Power Mix'!WJY14+'NF - 5 Power Mix'!WJY15)*860/10)+((('Form Sa1'!WKB835)*860)/10)+('Form Sa1'!WKB814*'Form Sa1'!WKB816/10)-'NF - 5 Power Mix'!WJY21-'NF - 5 Power Mix'!WJY22</f>
        <v>0</v>
      </c>
      <c r="WJZ42" s="1046">
        <f>WJZ38+((WJZ40+'NF - 5 Power Mix'!WJZ14+'NF - 5 Power Mix'!WJZ15)*860/10)+((('Form Sa1'!WKC835)*860)/10)+('Form Sa1'!WKC814*'Form Sa1'!WKC816/10)-'NF - 5 Power Mix'!WJZ21-'NF - 5 Power Mix'!WJZ22</f>
        <v>0</v>
      </c>
      <c r="WKA42" s="1046">
        <f>WKA38+((WKA40+'NF - 5 Power Mix'!WKA14+'NF - 5 Power Mix'!WKA15)*860/10)+((('Form Sa1'!WKD835)*860)/10)+('Form Sa1'!WKD814*'Form Sa1'!WKD816/10)-'NF - 5 Power Mix'!WKA21-'NF - 5 Power Mix'!WKA22</f>
        <v>0</v>
      </c>
      <c r="WKB42" s="1046">
        <f>WKB38+((WKB40+'NF - 5 Power Mix'!WKB14+'NF - 5 Power Mix'!WKB15)*860/10)+((('Form Sa1'!WKE835)*860)/10)+('Form Sa1'!WKE814*'Form Sa1'!WKE816/10)-'NF - 5 Power Mix'!WKB21-'NF - 5 Power Mix'!WKB22</f>
        <v>0</v>
      </c>
      <c r="WKC42" s="1046">
        <f>WKC38+((WKC40+'NF - 5 Power Mix'!WKC14+'NF - 5 Power Mix'!WKC15)*860/10)+((('Form Sa1'!WKF835)*860)/10)+('Form Sa1'!WKF814*'Form Sa1'!WKF816/10)-'NF - 5 Power Mix'!WKC21-'NF - 5 Power Mix'!WKC22</f>
        <v>0</v>
      </c>
      <c r="WKD42" s="1046">
        <f>WKD38+((WKD40+'NF - 5 Power Mix'!WKD14+'NF - 5 Power Mix'!WKD15)*860/10)+((('Form Sa1'!WKG835)*860)/10)+('Form Sa1'!WKG814*'Form Sa1'!WKG816/10)-'NF - 5 Power Mix'!WKD21-'NF - 5 Power Mix'!WKD22</f>
        <v>0</v>
      </c>
      <c r="WKE42" s="1046">
        <f>WKE38+((WKE40+'NF - 5 Power Mix'!WKE14+'NF - 5 Power Mix'!WKE15)*860/10)+((('Form Sa1'!WKH835)*860)/10)+('Form Sa1'!WKH814*'Form Sa1'!WKH816/10)-'NF - 5 Power Mix'!WKE21-'NF - 5 Power Mix'!WKE22</f>
        <v>0</v>
      </c>
      <c r="WKF42" s="1046">
        <f>WKF38+((WKF40+'NF - 5 Power Mix'!WKF14+'NF - 5 Power Mix'!WKF15)*860/10)+((('Form Sa1'!WKI835)*860)/10)+('Form Sa1'!WKI814*'Form Sa1'!WKI816/10)-'NF - 5 Power Mix'!WKF21-'NF - 5 Power Mix'!WKF22</f>
        <v>0</v>
      </c>
      <c r="WKG42" s="1046">
        <f>WKG38+((WKG40+'NF - 5 Power Mix'!WKG14+'NF - 5 Power Mix'!WKG15)*860/10)+((('Form Sa1'!WKJ835)*860)/10)+('Form Sa1'!WKJ814*'Form Sa1'!WKJ816/10)-'NF - 5 Power Mix'!WKG21-'NF - 5 Power Mix'!WKG22</f>
        <v>0</v>
      </c>
      <c r="WKH42" s="1046">
        <f>WKH38+((WKH40+'NF - 5 Power Mix'!WKH14+'NF - 5 Power Mix'!WKH15)*860/10)+((('Form Sa1'!WKK835)*860)/10)+('Form Sa1'!WKK814*'Form Sa1'!WKK816/10)-'NF - 5 Power Mix'!WKH21-'NF - 5 Power Mix'!WKH22</f>
        <v>0</v>
      </c>
      <c r="WKI42" s="1046">
        <f>WKI38+((WKI40+'NF - 5 Power Mix'!WKI14+'NF - 5 Power Mix'!WKI15)*860/10)+((('Form Sa1'!WKL835)*860)/10)+('Form Sa1'!WKL814*'Form Sa1'!WKL816/10)-'NF - 5 Power Mix'!WKI21-'NF - 5 Power Mix'!WKI22</f>
        <v>0</v>
      </c>
      <c r="WKJ42" s="1046">
        <f>WKJ38+((WKJ40+'NF - 5 Power Mix'!WKJ14+'NF - 5 Power Mix'!WKJ15)*860/10)+((('Form Sa1'!WKM835)*860)/10)+('Form Sa1'!WKM814*'Form Sa1'!WKM816/10)-'NF - 5 Power Mix'!WKJ21-'NF - 5 Power Mix'!WKJ22</f>
        <v>0</v>
      </c>
      <c r="WKK42" s="1046">
        <f>WKK38+((WKK40+'NF - 5 Power Mix'!WKK14+'NF - 5 Power Mix'!WKK15)*860/10)+((('Form Sa1'!WKN835)*860)/10)+('Form Sa1'!WKN814*'Form Sa1'!WKN816/10)-'NF - 5 Power Mix'!WKK21-'NF - 5 Power Mix'!WKK22</f>
        <v>0</v>
      </c>
      <c r="WKL42" s="1046">
        <f>WKL38+((WKL40+'NF - 5 Power Mix'!WKL14+'NF - 5 Power Mix'!WKL15)*860/10)+((('Form Sa1'!WKO835)*860)/10)+('Form Sa1'!WKO814*'Form Sa1'!WKO816/10)-'NF - 5 Power Mix'!WKL21-'NF - 5 Power Mix'!WKL22</f>
        <v>0</v>
      </c>
      <c r="WKM42" s="1046">
        <f>WKM38+((WKM40+'NF - 5 Power Mix'!WKM14+'NF - 5 Power Mix'!WKM15)*860/10)+((('Form Sa1'!WKP835)*860)/10)+('Form Sa1'!WKP814*'Form Sa1'!WKP816/10)-'NF - 5 Power Mix'!WKM21-'NF - 5 Power Mix'!WKM22</f>
        <v>0</v>
      </c>
      <c r="WKN42" s="1046">
        <f>WKN38+((WKN40+'NF - 5 Power Mix'!WKN14+'NF - 5 Power Mix'!WKN15)*860/10)+((('Form Sa1'!WKQ835)*860)/10)+('Form Sa1'!WKQ814*'Form Sa1'!WKQ816/10)-'NF - 5 Power Mix'!WKN21-'NF - 5 Power Mix'!WKN22</f>
        <v>0</v>
      </c>
      <c r="WKO42" s="1046">
        <f>WKO38+((WKO40+'NF - 5 Power Mix'!WKO14+'NF - 5 Power Mix'!WKO15)*860/10)+((('Form Sa1'!WKR835)*860)/10)+('Form Sa1'!WKR814*'Form Sa1'!WKR816/10)-'NF - 5 Power Mix'!WKO21-'NF - 5 Power Mix'!WKO22</f>
        <v>0</v>
      </c>
      <c r="WKP42" s="1046">
        <f>WKP38+((WKP40+'NF - 5 Power Mix'!WKP14+'NF - 5 Power Mix'!WKP15)*860/10)+((('Form Sa1'!WKS835)*860)/10)+('Form Sa1'!WKS814*'Form Sa1'!WKS816/10)-'NF - 5 Power Mix'!WKP21-'NF - 5 Power Mix'!WKP22</f>
        <v>0</v>
      </c>
      <c r="WKQ42" s="1046">
        <f>WKQ38+((WKQ40+'NF - 5 Power Mix'!WKQ14+'NF - 5 Power Mix'!WKQ15)*860/10)+((('Form Sa1'!WKT835)*860)/10)+('Form Sa1'!WKT814*'Form Sa1'!WKT816/10)-'NF - 5 Power Mix'!WKQ21-'NF - 5 Power Mix'!WKQ22</f>
        <v>0</v>
      </c>
      <c r="WKR42" s="1046">
        <f>WKR38+((WKR40+'NF - 5 Power Mix'!WKR14+'NF - 5 Power Mix'!WKR15)*860/10)+((('Form Sa1'!WKU835)*860)/10)+('Form Sa1'!WKU814*'Form Sa1'!WKU816/10)-'NF - 5 Power Mix'!WKR21-'NF - 5 Power Mix'!WKR22</f>
        <v>0</v>
      </c>
      <c r="WKS42" s="1046">
        <f>WKS38+((WKS40+'NF - 5 Power Mix'!WKS14+'NF - 5 Power Mix'!WKS15)*860/10)+((('Form Sa1'!WKV835)*860)/10)+('Form Sa1'!WKV814*'Form Sa1'!WKV816/10)-'NF - 5 Power Mix'!WKS21-'NF - 5 Power Mix'!WKS22</f>
        <v>0</v>
      </c>
      <c r="WKT42" s="1046">
        <f>WKT38+((WKT40+'NF - 5 Power Mix'!WKT14+'NF - 5 Power Mix'!WKT15)*860/10)+((('Form Sa1'!WKW835)*860)/10)+('Form Sa1'!WKW814*'Form Sa1'!WKW816/10)-'NF - 5 Power Mix'!WKT21-'NF - 5 Power Mix'!WKT22</f>
        <v>0</v>
      </c>
      <c r="WKU42" s="1046">
        <f>WKU38+((WKU40+'NF - 5 Power Mix'!WKU14+'NF - 5 Power Mix'!WKU15)*860/10)+((('Form Sa1'!WKX835)*860)/10)+('Form Sa1'!WKX814*'Form Sa1'!WKX816/10)-'NF - 5 Power Mix'!WKU21-'NF - 5 Power Mix'!WKU22</f>
        <v>0</v>
      </c>
      <c r="WKV42" s="1046">
        <f>WKV38+((WKV40+'NF - 5 Power Mix'!WKV14+'NF - 5 Power Mix'!WKV15)*860/10)+((('Form Sa1'!WKY835)*860)/10)+('Form Sa1'!WKY814*'Form Sa1'!WKY816/10)-'NF - 5 Power Mix'!WKV21-'NF - 5 Power Mix'!WKV22</f>
        <v>0</v>
      </c>
      <c r="WKW42" s="1046">
        <f>WKW38+((WKW40+'NF - 5 Power Mix'!WKW14+'NF - 5 Power Mix'!WKW15)*860/10)+((('Form Sa1'!WKZ835)*860)/10)+('Form Sa1'!WKZ814*'Form Sa1'!WKZ816/10)-'NF - 5 Power Mix'!WKW21-'NF - 5 Power Mix'!WKW22</f>
        <v>0</v>
      </c>
      <c r="WKX42" s="1046">
        <f>WKX38+((WKX40+'NF - 5 Power Mix'!WKX14+'NF - 5 Power Mix'!WKX15)*860/10)+((('Form Sa1'!WLA835)*860)/10)+('Form Sa1'!WLA814*'Form Sa1'!WLA816/10)-'NF - 5 Power Mix'!WKX21-'NF - 5 Power Mix'!WKX22</f>
        <v>0</v>
      </c>
      <c r="WKY42" s="1046">
        <f>WKY38+((WKY40+'NF - 5 Power Mix'!WKY14+'NF - 5 Power Mix'!WKY15)*860/10)+((('Form Sa1'!WLB835)*860)/10)+('Form Sa1'!WLB814*'Form Sa1'!WLB816/10)-'NF - 5 Power Mix'!WKY21-'NF - 5 Power Mix'!WKY22</f>
        <v>0</v>
      </c>
      <c r="WKZ42" s="1046">
        <f>WKZ38+((WKZ40+'NF - 5 Power Mix'!WKZ14+'NF - 5 Power Mix'!WKZ15)*860/10)+((('Form Sa1'!WLC835)*860)/10)+('Form Sa1'!WLC814*'Form Sa1'!WLC816/10)-'NF - 5 Power Mix'!WKZ21-'NF - 5 Power Mix'!WKZ22</f>
        <v>0</v>
      </c>
      <c r="WLA42" s="1046">
        <f>WLA38+((WLA40+'NF - 5 Power Mix'!WLA14+'NF - 5 Power Mix'!WLA15)*860/10)+((('Form Sa1'!WLD835)*860)/10)+('Form Sa1'!WLD814*'Form Sa1'!WLD816/10)-'NF - 5 Power Mix'!WLA21-'NF - 5 Power Mix'!WLA22</f>
        <v>0</v>
      </c>
      <c r="WLB42" s="1046">
        <f>WLB38+((WLB40+'NF - 5 Power Mix'!WLB14+'NF - 5 Power Mix'!WLB15)*860/10)+((('Form Sa1'!WLE835)*860)/10)+('Form Sa1'!WLE814*'Form Sa1'!WLE816/10)-'NF - 5 Power Mix'!WLB21-'NF - 5 Power Mix'!WLB22</f>
        <v>0</v>
      </c>
      <c r="WLC42" s="1046">
        <f>WLC38+((WLC40+'NF - 5 Power Mix'!WLC14+'NF - 5 Power Mix'!WLC15)*860/10)+((('Form Sa1'!WLF835)*860)/10)+('Form Sa1'!WLF814*'Form Sa1'!WLF816/10)-'NF - 5 Power Mix'!WLC21-'NF - 5 Power Mix'!WLC22</f>
        <v>0</v>
      </c>
      <c r="WLD42" s="1046">
        <f>WLD38+((WLD40+'NF - 5 Power Mix'!WLD14+'NF - 5 Power Mix'!WLD15)*860/10)+((('Form Sa1'!WLG835)*860)/10)+('Form Sa1'!WLG814*'Form Sa1'!WLG816/10)-'NF - 5 Power Mix'!WLD21-'NF - 5 Power Mix'!WLD22</f>
        <v>0</v>
      </c>
      <c r="WLE42" s="1046">
        <f>WLE38+((WLE40+'NF - 5 Power Mix'!WLE14+'NF - 5 Power Mix'!WLE15)*860/10)+((('Form Sa1'!WLH835)*860)/10)+('Form Sa1'!WLH814*'Form Sa1'!WLH816/10)-'NF - 5 Power Mix'!WLE21-'NF - 5 Power Mix'!WLE22</f>
        <v>0</v>
      </c>
      <c r="WLF42" s="1046">
        <f>WLF38+((WLF40+'NF - 5 Power Mix'!WLF14+'NF - 5 Power Mix'!WLF15)*860/10)+((('Form Sa1'!WLI835)*860)/10)+('Form Sa1'!WLI814*'Form Sa1'!WLI816/10)-'NF - 5 Power Mix'!WLF21-'NF - 5 Power Mix'!WLF22</f>
        <v>0</v>
      </c>
      <c r="WLG42" s="1046">
        <f>WLG38+((WLG40+'NF - 5 Power Mix'!WLG14+'NF - 5 Power Mix'!WLG15)*860/10)+((('Form Sa1'!WLJ835)*860)/10)+('Form Sa1'!WLJ814*'Form Sa1'!WLJ816/10)-'NF - 5 Power Mix'!WLG21-'NF - 5 Power Mix'!WLG22</f>
        <v>0</v>
      </c>
      <c r="WLH42" s="1046">
        <f>WLH38+((WLH40+'NF - 5 Power Mix'!WLH14+'NF - 5 Power Mix'!WLH15)*860/10)+((('Form Sa1'!WLK835)*860)/10)+('Form Sa1'!WLK814*'Form Sa1'!WLK816/10)-'NF - 5 Power Mix'!WLH21-'NF - 5 Power Mix'!WLH22</f>
        <v>0</v>
      </c>
      <c r="WLI42" s="1046">
        <f>WLI38+((WLI40+'NF - 5 Power Mix'!WLI14+'NF - 5 Power Mix'!WLI15)*860/10)+((('Form Sa1'!WLL835)*860)/10)+('Form Sa1'!WLL814*'Form Sa1'!WLL816/10)-'NF - 5 Power Mix'!WLI21-'NF - 5 Power Mix'!WLI22</f>
        <v>0</v>
      </c>
      <c r="WLJ42" s="1046">
        <f>WLJ38+((WLJ40+'NF - 5 Power Mix'!WLJ14+'NF - 5 Power Mix'!WLJ15)*860/10)+((('Form Sa1'!WLM835)*860)/10)+('Form Sa1'!WLM814*'Form Sa1'!WLM816/10)-'NF - 5 Power Mix'!WLJ21-'NF - 5 Power Mix'!WLJ22</f>
        <v>0</v>
      </c>
      <c r="WLK42" s="1046">
        <f>WLK38+((WLK40+'NF - 5 Power Mix'!WLK14+'NF - 5 Power Mix'!WLK15)*860/10)+((('Form Sa1'!WLN835)*860)/10)+('Form Sa1'!WLN814*'Form Sa1'!WLN816/10)-'NF - 5 Power Mix'!WLK21-'NF - 5 Power Mix'!WLK22</f>
        <v>0</v>
      </c>
      <c r="WLL42" s="1046">
        <f>WLL38+((WLL40+'NF - 5 Power Mix'!WLL14+'NF - 5 Power Mix'!WLL15)*860/10)+((('Form Sa1'!WLO835)*860)/10)+('Form Sa1'!WLO814*'Form Sa1'!WLO816/10)-'NF - 5 Power Mix'!WLL21-'NF - 5 Power Mix'!WLL22</f>
        <v>0</v>
      </c>
      <c r="WLM42" s="1046">
        <f>WLM38+((WLM40+'NF - 5 Power Mix'!WLM14+'NF - 5 Power Mix'!WLM15)*860/10)+((('Form Sa1'!WLP835)*860)/10)+('Form Sa1'!WLP814*'Form Sa1'!WLP816/10)-'NF - 5 Power Mix'!WLM21-'NF - 5 Power Mix'!WLM22</f>
        <v>0</v>
      </c>
      <c r="WLN42" s="1046">
        <f>WLN38+((WLN40+'NF - 5 Power Mix'!WLN14+'NF - 5 Power Mix'!WLN15)*860/10)+((('Form Sa1'!WLQ835)*860)/10)+('Form Sa1'!WLQ814*'Form Sa1'!WLQ816/10)-'NF - 5 Power Mix'!WLN21-'NF - 5 Power Mix'!WLN22</f>
        <v>0</v>
      </c>
      <c r="WLO42" s="1046">
        <f>WLO38+((WLO40+'NF - 5 Power Mix'!WLO14+'NF - 5 Power Mix'!WLO15)*860/10)+((('Form Sa1'!WLR835)*860)/10)+('Form Sa1'!WLR814*'Form Sa1'!WLR816/10)-'NF - 5 Power Mix'!WLO21-'NF - 5 Power Mix'!WLO22</f>
        <v>0</v>
      </c>
      <c r="WLP42" s="1046">
        <f>WLP38+((WLP40+'NF - 5 Power Mix'!WLP14+'NF - 5 Power Mix'!WLP15)*860/10)+((('Form Sa1'!WLS835)*860)/10)+('Form Sa1'!WLS814*'Form Sa1'!WLS816/10)-'NF - 5 Power Mix'!WLP21-'NF - 5 Power Mix'!WLP22</f>
        <v>0</v>
      </c>
      <c r="WLQ42" s="1046">
        <f>WLQ38+((WLQ40+'NF - 5 Power Mix'!WLQ14+'NF - 5 Power Mix'!WLQ15)*860/10)+((('Form Sa1'!WLT835)*860)/10)+('Form Sa1'!WLT814*'Form Sa1'!WLT816/10)-'NF - 5 Power Mix'!WLQ21-'NF - 5 Power Mix'!WLQ22</f>
        <v>0</v>
      </c>
      <c r="WLR42" s="1046">
        <f>WLR38+((WLR40+'NF - 5 Power Mix'!WLR14+'NF - 5 Power Mix'!WLR15)*860/10)+((('Form Sa1'!WLU835)*860)/10)+('Form Sa1'!WLU814*'Form Sa1'!WLU816/10)-'NF - 5 Power Mix'!WLR21-'NF - 5 Power Mix'!WLR22</f>
        <v>0</v>
      </c>
      <c r="WLS42" s="1046">
        <f>WLS38+((WLS40+'NF - 5 Power Mix'!WLS14+'NF - 5 Power Mix'!WLS15)*860/10)+((('Form Sa1'!WLV835)*860)/10)+('Form Sa1'!WLV814*'Form Sa1'!WLV816/10)-'NF - 5 Power Mix'!WLS21-'NF - 5 Power Mix'!WLS22</f>
        <v>0</v>
      </c>
      <c r="WLT42" s="1046">
        <f>WLT38+((WLT40+'NF - 5 Power Mix'!WLT14+'NF - 5 Power Mix'!WLT15)*860/10)+((('Form Sa1'!WLW835)*860)/10)+('Form Sa1'!WLW814*'Form Sa1'!WLW816/10)-'NF - 5 Power Mix'!WLT21-'NF - 5 Power Mix'!WLT22</f>
        <v>0</v>
      </c>
      <c r="WLU42" s="1046">
        <f>WLU38+((WLU40+'NF - 5 Power Mix'!WLU14+'NF - 5 Power Mix'!WLU15)*860/10)+((('Form Sa1'!WLX835)*860)/10)+('Form Sa1'!WLX814*'Form Sa1'!WLX816/10)-'NF - 5 Power Mix'!WLU21-'NF - 5 Power Mix'!WLU22</f>
        <v>0</v>
      </c>
      <c r="WLV42" s="1046">
        <f>WLV38+((WLV40+'NF - 5 Power Mix'!WLV14+'NF - 5 Power Mix'!WLV15)*860/10)+((('Form Sa1'!WLY835)*860)/10)+('Form Sa1'!WLY814*'Form Sa1'!WLY816/10)-'NF - 5 Power Mix'!WLV21-'NF - 5 Power Mix'!WLV22</f>
        <v>0</v>
      </c>
      <c r="WLW42" s="1046">
        <f>WLW38+((WLW40+'NF - 5 Power Mix'!WLW14+'NF - 5 Power Mix'!WLW15)*860/10)+((('Form Sa1'!WLZ835)*860)/10)+('Form Sa1'!WLZ814*'Form Sa1'!WLZ816/10)-'NF - 5 Power Mix'!WLW21-'NF - 5 Power Mix'!WLW22</f>
        <v>0</v>
      </c>
      <c r="WLX42" s="1046">
        <f>WLX38+((WLX40+'NF - 5 Power Mix'!WLX14+'NF - 5 Power Mix'!WLX15)*860/10)+((('Form Sa1'!WMA835)*860)/10)+('Form Sa1'!WMA814*'Form Sa1'!WMA816/10)-'NF - 5 Power Mix'!WLX21-'NF - 5 Power Mix'!WLX22</f>
        <v>0</v>
      </c>
      <c r="WLY42" s="1046">
        <f>WLY38+((WLY40+'NF - 5 Power Mix'!WLY14+'NF - 5 Power Mix'!WLY15)*860/10)+((('Form Sa1'!WMB835)*860)/10)+('Form Sa1'!WMB814*'Form Sa1'!WMB816/10)-'NF - 5 Power Mix'!WLY21-'NF - 5 Power Mix'!WLY22</f>
        <v>0</v>
      </c>
      <c r="WLZ42" s="1046">
        <f>WLZ38+((WLZ40+'NF - 5 Power Mix'!WLZ14+'NF - 5 Power Mix'!WLZ15)*860/10)+((('Form Sa1'!WMC835)*860)/10)+('Form Sa1'!WMC814*'Form Sa1'!WMC816/10)-'NF - 5 Power Mix'!WLZ21-'NF - 5 Power Mix'!WLZ22</f>
        <v>0</v>
      </c>
      <c r="WMA42" s="1046">
        <f>WMA38+((WMA40+'NF - 5 Power Mix'!WMA14+'NF - 5 Power Mix'!WMA15)*860/10)+((('Form Sa1'!WMD835)*860)/10)+('Form Sa1'!WMD814*'Form Sa1'!WMD816/10)-'NF - 5 Power Mix'!WMA21-'NF - 5 Power Mix'!WMA22</f>
        <v>0</v>
      </c>
      <c r="WMB42" s="1046">
        <f>WMB38+((WMB40+'NF - 5 Power Mix'!WMB14+'NF - 5 Power Mix'!WMB15)*860/10)+((('Form Sa1'!WME835)*860)/10)+('Form Sa1'!WME814*'Form Sa1'!WME816/10)-'NF - 5 Power Mix'!WMB21-'NF - 5 Power Mix'!WMB22</f>
        <v>0</v>
      </c>
      <c r="WMC42" s="1046">
        <f>WMC38+((WMC40+'NF - 5 Power Mix'!WMC14+'NF - 5 Power Mix'!WMC15)*860/10)+((('Form Sa1'!WMF835)*860)/10)+('Form Sa1'!WMF814*'Form Sa1'!WMF816/10)-'NF - 5 Power Mix'!WMC21-'NF - 5 Power Mix'!WMC22</f>
        <v>0</v>
      </c>
      <c r="WMD42" s="1046">
        <f>WMD38+((WMD40+'NF - 5 Power Mix'!WMD14+'NF - 5 Power Mix'!WMD15)*860/10)+((('Form Sa1'!WMG835)*860)/10)+('Form Sa1'!WMG814*'Form Sa1'!WMG816/10)-'NF - 5 Power Mix'!WMD21-'NF - 5 Power Mix'!WMD22</f>
        <v>0</v>
      </c>
      <c r="WME42" s="1046">
        <f>WME38+((WME40+'NF - 5 Power Mix'!WME14+'NF - 5 Power Mix'!WME15)*860/10)+((('Form Sa1'!WMH835)*860)/10)+('Form Sa1'!WMH814*'Form Sa1'!WMH816/10)-'NF - 5 Power Mix'!WME21-'NF - 5 Power Mix'!WME22</f>
        <v>0</v>
      </c>
      <c r="WMF42" s="1046">
        <f>WMF38+((WMF40+'NF - 5 Power Mix'!WMF14+'NF - 5 Power Mix'!WMF15)*860/10)+((('Form Sa1'!WMI835)*860)/10)+('Form Sa1'!WMI814*'Form Sa1'!WMI816/10)-'NF - 5 Power Mix'!WMF21-'NF - 5 Power Mix'!WMF22</f>
        <v>0</v>
      </c>
      <c r="WMG42" s="1046">
        <f>WMG38+((WMG40+'NF - 5 Power Mix'!WMG14+'NF - 5 Power Mix'!WMG15)*860/10)+((('Form Sa1'!WMJ835)*860)/10)+('Form Sa1'!WMJ814*'Form Sa1'!WMJ816/10)-'NF - 5 Power Mix'!WMG21-'NF - 5 Power Mix'!WMG22</f>
        <v>0</v>
      </c>
      <c r="WMH42" s="1046">
        <f>WMH38+((WMH40+'NF - 5 Power Mix'!WMH14+'NF - 5 Power Mix'!WMH15)*860/10)+((('Form Sa1'!WMK835)*860)/10)+('Form Sa1'!WMK814*'Form Sa1'!WMK816/10)-'NF - 5 Power Mix'!WMH21-'NF - 5 Power Mix'!WMH22</f>
        <v>0</v>
      </c>
      <c r="WMI42" s="1046">
        <f>WMI38+((WMI40+'NF - 5 Power Mix'!WMI14+'NF - 5 Power Mix'!WMI15)*860/10)+((('Form Sa1'!WML835)*860)/10)+('Form Sa1'!WML814*'Form Sa1'!WML816/10)-'NF - 5 Power Mix'!WMI21-'NF - 5 Power Mix'!WMI22</f>
        <v>0</v>
      </c>
      <c r="WMJ42" s="1046">
        <f>WMJ38+((WMJ40+'NF - 5 Power Mix'!WMJ14+'NF - 5 Power Mix'!WMJ15)*860/10)+((('Form Sa1'!WMM835)*860)/10)+('Form Sa1'!WMM814*'Form Sa1'!WMM816/10)-'NF - 5 Power Mix'!WMJ21-'NF - 5 Power Mix'!WMJ22</f>
        <v>0</v>
      </c>
      <c r="WMK42" s="1046">
        <f>WMK38+((WMK40+'NF - 5 Power Mix'!WMK14+'NF - 5 Power Mix'!WMK15)*860/10)+((('Form Sa1'!WMN835)*860)/10)+('Form Sa1'!WMN814*'Form Sa1'!WMN816/10)-'NF - 5 Power Mix'!WMK21-'NF - 5 Power Mix'!WMK22</f>
        <v>0</v>
      </c>
      <c r="WML42" s="1046">
        <f>WML38+((WML40+'NF - 5 Power Mix'!WML14+'NF - 5 Power Mix'!WML15)*860/10)+((('Form Sa1'!WMO835)*860)/10)+('Form Sa1'!WMO814*'Form Sa1'!WMO816/10)-'NF - 5 Power Mix'!WML21-'NF - 5 Power Mix'!WML22</f>
        <v>0</v>
      </c>
      <c r="WMM42" s="1046">
        <f>WMM38+((WMM40+'NF - 5 Power Mix'!WMM14+'NF - 5 Power Mix'!WMM15)*860/10)+((('Form Sa1'!WMP835)*860)/10)+('Form Sa1'!WMP814*'Form Sa1'!WMP816/10)-'NF - 5 Power Mix'!WMM21-'NF - 5 Power Mix'!WMM22</f>
        <v>0</v>
      </c>
      <c r="WMN42" s="1046">
        <f>WMN38+((WMN40+'NF - 5 Power Mix'!WMN14+'NF - 5 Power Mix'!WMN15)*860/10)+((('Form Sa1'!WMQ835)*860)/10)+('Form Sa1'!WMQ814*'Form Sa1'!WMQ816/10)-'NF - 5 Power Mix'!WMN21-'NF - 5 Power Mix'!WMN22</f>
        <v>0</v>
      </c>
      <c r="WMO42" s="1046">
        <f>WMO38+((WMO40+'NF - 5 Power Mix'!WMO14+'NF - 5 Power Mix'!WMO15)*860/10)+((('Form Sa1'!WMR835)*860)/10)+('Form Sa1'!WMR814*'Form Sa1'!WMR816/10)-'NF - 5 Power Mix'!WMO21-'NF - 5 Power Mix'!WMO22</f>
        <v>0</v>
      </c>
      <c r="WMP42" s="1046">
        <f>WMP38+((WMP40+'NF - 5 Power Mix'!WMP14+'NF - 5 Power Mix'!WMP15)*860/10)+((('Form Sa1'!WMS835)*860)/10)+('Form Sa1'!WMS814*'Form Sa1'!WMS816/10)-'NF - 5 Power Mix'!WMP21-'NF - 5 Power Mix'!WMP22</f>
        <v>0</v>
      </c>
      <c r="WMQ42" s="1046">
        <f>WMQ38+((WMQ40+'NF - 5 Power Mix'!WMQ14+'NF - 5 Power Mix'!WMQ15)*860/10)+((('Form Sa1'!WMT835)*860)/10)+('Form Sa1'!WMT814*'Form Sa1'!WMT816/10)-'NF - 5 Power Mix'!WMQ21-'NF - 5 Power Mix'!WMQ22</f>
        <v>0</v>
      </c>
      <c r="WMR42" s="1046">
        <f>WMR38+((WMR40+'NF - 5 Power Mix'!WMR14+'NF - 5 Power Mix'!WMR15)*860/10)+((('Form Sa1'!WMU835)*860)/10)+('Form Sa1'!WMU814*'Form Sa1'!WMU816/10)-'NF - 5 Power Mix'!WMR21-'NF - 5 Power Mix'!WMR22</f>
        <v>0</v>
      </c>
      <c r="WMS42" s="1046">
        <f>WMS38+((WMS40+'NF - 5 Power Mix'!WMS14+'NF - 5 Power Mix'!WMS15)*860/10)+((('Form Sa1'!WMV835)*860)/10)+('Form Sa1'!WMV814*'Form Sa1'!WMV816/10)-'NF - 5 Power Mix'!WMS21-'NF - 5 Power Mix'!WMS22</f>
        <v>0</v>
      </c>
      <c r="WMT42" s="1046">
        <f>WMT38+((WMT40+'NF - 5 Power Mix'!WMT14+'NF - 5 Power Mix'!WMT15)*860/10)+((('Form Sa1'!WMW835)*860)/10)+('Form Sa1'!WMW814*'Form Sa1'!WMW816/10)-'NF - 5 Power Mix'!WMT21-'NF - 5 Power Mix'!WMT22</f>
        <v>0</v>
      </c>
      <c r="WMU42" s="1046">
        <f>WMU38+((WMU40+'NF - 5 Power Mix'!WMU14+'NF - 5 Power Mix'!WMU15)*860/10)+((('Form Sa1'!WMX835)*860)/10)+('Form Sa1'!WMX814*'Form Sa1'!WMX816/10)-'NF - 5 Power Mix'!WMU21-'NF - 5 Power Mix'!WMU22</f>
        <v>0</v>
      </c>
      <c r="WMV42" s="1046">
        <f>WMV38+((WMV40+'NF - 5 Power Mix'!WMV14+'NF - 5 Power Mix'!WMV15)*860/10)+((('Form Sa1'!WMY835)*860)/10)+('Form Sa1'!WMY814*'Form Sa1'!WMY816/10)-'NF - 5 Power Mix'!WMV21-'NF - 5 Power Mix'!WMV22</f>
        <v>0</v>
      </c>
      <c r="WMW42" s="1046">
        <f>WMW38+((WMW40+'NF - 5 Power Mix'!WMW14+'NF - 5 Power Mix'!WMW15)*860/10)+((('Form Sa1'!WMZ835)*860)/10)+('Form Sa1'!WMZ814*'Form Sa1'!WMZ816/10)-'NF - 5 Power Mix'!WMW21-'NF - 5 Power Mix'!WMW22</f>
        <v>0</v>
      </c>
      <c r="WMX42" s="1046">
        <f>WMX38+((WMX40+'NF - 5 Power Mix'!WMX14+'NF - 5 Power Mix'!WMX15)*860/10)+((('Form Sa1'!WNA835)*860)/10)+('Form Sa1'!WNA814*'Form Sa1'!WNA816/10)-'NF - 5 Power Mix'!WMX21-'NF - 5 Power Mix'!WMX22</f>
        <v>0</v>
      </c>
      <c r="WMY42" s="1046">
        <f>WMY38+((WMY40+'NF - 5 Power Mix'!WMY14+'NF - 5 Power Mix'!WMY15)*860/10)+((('Form Sa1'!WNB835)*860)/10)+('Form Sa1'!WNB814*'Form Sa1'!WNB816/10)-'NF - 5 Power Mix'!WMY21-'NF - 5 Power Mix'!WMY22</f>
        <v>0</v>
      </c>
      <c r="WMZ42" s="1046">
        <f>WMZ38+((WMZ40+'NF - 5 Power Mix'!WMZ14+'NF - 5 Power Mix'!WMZ15)*860/10)+((('Form Sa1'!WNC835)*860)/10)+('Form Sa1'!WNC814*'Form Sa1'!WNC816/10)-'NF - 5 Power Mix'!WMZ21-'NF - 5 Power Mix'!WMZ22</f>
        <v>0</v>
      </c>
      <c r="WNA42" s="1046">
        <f>WNA38+((WNA40+'NF - 5 Power Mix'!WNA14+'NF - 5 Power Mix'!WNA15)*860/10)+((('Form Sa1'!WND835)*860)/10)+('Form Sa1'!WND814*'Form Sa1'!WND816/10)-'NF - 5 Power Mix'!WNA21-'NF - 5 Power Mix'!WNA22</f>
        <v>0</v>
      </c>
      <c r="WNB42" s="1046">
        <f>WNB38+((WNB40+'NF - 5 Power Mix'!WNB14+'NF - 5 Power Mix'!WNB15)*860/10)+((('Form Sa1'!WNE835)*860)/10)+('Form Sa1'!WNE814*'Form Sa1'!WNE816/10)-'NF - 5 Power Mix'!WNB21-'NF - 5 Power Mix'!WNB22</f>
        <v>0</v>
      </c>
      <c r="WNC42" s="1046">
        <f>WNC38+((WNC40+'NF - 5 Power Mix'!WNC14+'NF - 5 Power Mix'!WNC15)*860/10)+((('Form Sa1'!WNF835)*860)/10)+('Form Sa1'!WNF814*'Form Sa1'!WNF816/10)-'NF - 5 Power Mix'!WNC21-'NF - 5 Power Mix'!WNC22</f>
        <v>0</v>
      </c>
      <c r="WND42" s="1046">
        <f>WND38+((WND40+'NF - 5 Power Mix'!WND14+'NF - 5 Power Mix'!WND15)*860/10)+((('Form Sa1'!WNG835)*860)/10)+('Form Sa1'!WNG814*'Form Sa1'!WNG816/10)-'NF - 5 Power Mix'!WND21-'NF - 5 Power Mix'!WND22</f>
        <v>0</v>
      </c>
      <c r="WNE42" s="1046">
        <f>WNE38+((WNE40+'NF - 5 Power Mix'!WNE14+'NF - 5 Power Mix'!WNE15)*860/10)+((('Form Sa1'!WNH835)*860)/10)+('Form Sa1'!WNH814*'Form Sa1'!WNH816/10)-'NF - 5 Power Mix'!WNE21-'NF - 5 Power Mix'!WNE22</f>
        <v>0</v>
      </c>
      <c r="WNF42" s="1046">
        <f>WNF38+((WNF40+'NF - 5 Power Mix'!WNF14+'NF - 5 Power Mix'!WNF15)*860/10)+((('Form Sa1'!WNI835)*860)/10)+('Form Sa1'!WNI814*'Form Sa1'!WNI816/10)-'NF - 5 Power Mix'!WNF21-'NF - 5 Power Mix'!WNF22</f>
        <v>0</v>
      </c>
      <c r="WNG42" s="1046">
        <f>WNG38+((WNG40+'NF - 5 Power Mix'!WNG14+'NF - 5 Power Mix'!WNG15)*860/10)+((('Form Sa1'!WNJ835)*860)/10)+('Form Sa1'!WNJ814*'Form Sa1'!WNJ816/10)-'NF - 5 Power Mix'!WNG21-'NF - 5 Power Mix'!WNG22</f>
        <v>0</v>
      </c>
      <c r="WNH42" s="1046">
        <f>WNH38+((WNH40+'NF - 5 Power Mix'!WNH14+'NF - 5 Power Mix'!WNH15)*860/10)+((('Form Sa1'!WNK835)*860)/10)+('Form Sa1'!WNK814*'Form Sa1'!WNK816/10)-'NF - 5 Power Mix'!WNH21-'NF - 5 Power Mix'!WNH22</f>
        <v>0</v>
      </c>
      <c r="WNI42" s="1046">
        <f>WNI38+((WNI40+'NF - 5 Power Mix'!WNI14+'NF - 5 Power Mix'!WNI15)*860/10)+((('Form Sa1'!WNL835)*860)/10)+('Form Sa1'!WNL814*'Form Sa1'!WNL816/10)-'NF - 5 Power Mix'!WNI21-'NF - 5 Power Mix'!WNI22</f>
        <v>0</v>
      </c>
      <c r="WNJ42" s="1046">
        <f>WNJ38+((WNJ40+'NF - 5 Power Mix'!WNJ14+'NF - 5 Power Mix'!WNJ15)*860/10)+((('Form Sa1'!WNM835)*860)/10)+('Form Sa1'!WNM814*'Form Sa1'!WNM816/10)-'NF - 5 Power Mix'!WNJ21-'NF - 5 Power Mix'!WNJ22</f>
        <v>0</v>
      </c>
      <c r="WNK42" s="1046">
        <f>WNK38+((WNK40+'NF - 5 Power Mix'!WNK14+'NF - 5 Power Mix'!WNK15)*860/10)+((('Form Sa1'!WNN835)*860)/10)+('Form Sa1'!WNN814*'Form Sa1'!WNN816/10)-'NF - 5 Power Mix'!WNK21-'NF - 5 Power Mix'!WNK22</f>
        <v>0</v>
      </c>
      <c r="WNL42" s="1046">
        <f>WNL38+((WNL40+'NF - 5 Power Mix'!WNL14+'NF - 5 Power Mix'!WNL15)*860/10)+((('Form Sa1'!WNO835)*860)/10)+('Form Sa1'!WNO814*'Form Sa1'!WNO816/10)-'NF - 5 Power Mix'!WNL21-'NF - 5 Power Mix'!WNL22</f>
        <v>0</v>
      </c>
      <c r="WNM42" s="1046">
        <f>WNM38+((WNM40+'NF - 5 Power Mix'!WNM14+'NF - 5 Power Mix'!WNM15)*860/10)+((('Form Sa1'!WNP835)*860)/10)+('Form Sa1'!WNP814*'Form Sa1'!WNP816/10)-'NF - 5 Power Mix'!WNM21-'NF - 5 Power Mix'!WNM22</f>
        <v>0</v>
      </c>
      <c r="WNN42" s="1046">
        <f>WNN38+((WNN40+'NF - 5 Power Mix'!WNN14+'NF - 5 Power Mix'!WNN15)*860/10)+((('Form Sa1'!WNQ835)*860)/10)+('Form Sa1'!WNQ814*'Form Sa1'!WNQ816/10)-'NF - 5 Power Mix'!WNN21-'NF - 5 Power Mix'!WNN22</f>
        <v>0</v>
      </c>
      <c r="WNO42" s="1046">
        <f>WNO38+((WNO40+'NF - 5 Power Mix'!WNO14+'NF - 5 Power Mix'!WNO15)*860/10)+((('Form Sa1'!WNR835)*860)/10)+('Form Sa1'!WNR814*'Form Sa1'!WNR816/10)-'NF - 5 Power Mix'!WNO21-'NF - 5 Power Mix'!WNO22</f>
        <v>0</v>
      </c>
      <c r="WNP42" s="1046">
        <f>WNP38+((WNP40+'NF - 5 Power Mix'!WNP14+'NF - 5 Power Mix'!WNP15)*860/10)+((('Form Sa1'!WNS835)*860)/10)+('Form Sa1'!WNS814*'Form Sa1'!WNS816/10)-'NF - 5 Power Mix'!WNP21-'NF - 5 Power Mix'!WNP22</f>
        <v>0</v>
      </c>
      <c r="WNQ42" s="1046">
        <f>WNQ38+((WNQ40+'NF - 5 Power Mix'!WNQ14+'NF - 5 Power Mix'!WNQ15)*860/10)+((('Form Sa1'!WNT835)*860)/10)+('Form Sa1'!WNT814*'Form Sa1'!WNT816/10)-'NF - 5 Power Mix'!WNQ21-'NF - 5 Power Mix'!WNQ22</f>
        <v>0</v>
      </c>
      <c r="WNR42" s="1046">
        <f>WNR38+((WNR40+'NF - 5 Power Mix'!WNR14+'NF - 5 Power Mix'!WNR15)*860/10)+((('Form Sa1'!WNU835)*860)/10)+('Form Sa1'!WNU814*'Form Sa1'!WNU816/10)-'NF - 5 Power Mix'!WNR21-'NF - 5 Power Mix'!WNR22</f>
        <v>0</v>
      </c>
      <c r="WNS42" s="1046">
        <f>WNS38+((WNS40+'NF - 5 Power Mix'!WNS14+'NF - 5 Power Mix'!WNS15)*860/10)+((('Form Sa1'!WNV835)*860)/10)+('Form Sa1'!WNV814*'Form Sa1'!WNV816/10)-'NF - 5 Power Mix'!WNS21-'NF - 5 Power Mix'!WNS22</f>
        <v>0</v>
      </c>
      <c r="WNT42" s="1046">
        <f>WNT38+((WNT40+'NF - 5 Power Mix'!WNT14+'NF - 5 Power Mix'!WNT15)*860/10)+((('Form Sa1'!WNW835)*860)/10)+('Form Sa1'!WNW814*'Form Sa1'!WNW816/10)-'NF - 5 Power Mix'!WNT21-'NF - 5 Power Mix'!WNT22</f>
        <v>0</v>
      </c>
      <c r="WNU42" s="1046">
        <f>WNU38+((WNU40+'NF - 5 Power Mix'!WNU14+'NF - 5 Power Mix'!WNU15)*860/10)+((('Form Sa1'!WNX835)*860)/10)+('Form Sa1'!WNX814*'Form Sa1'!WNX816/10)-'NF - 5 Power Mix'!WNU21-'NF - 5 Power Mix'!WNU22</f>
        <v>0</v>
      </c>
      <c r="WNV42" s="1046">
        <f>WNV38+((WNV40+'NF - 5 Power Mix'!WNV14+'NF - 5 Power Mix'!WNV15)*860/10)+((('Form Sa1'!WNY835)*860)/10)+('Form Sa1'!WNY814*'Form Sa1'!WNY816/10)-'NF - 5 Power Mix'!WNV21-'NF - 5 Power Mix'!WNV22</f>
        <v>0</v>
      </c>
      <c r="WNW42" s="1046">
        <f>WNW38+((WNW40+'NF - 5 Power Mix'!WNW14+'NF - 5 Power Mix'!WNW15)*860/10)+((('Form Sa1'!WNZ835)*860)/10)+('Form Sa1'!WNZ814*'Form Sa1'!WNZ816/10)-'NF - 5 Power Mix'!WNW21-'NF - 5 Power Mix'!WNW22</f>
        <v>0</v>
      </c>
      <c r="WNX42" s="1046">
        <f>WNX38+((WNX40+'NF - 5 Power Mix'!WNX14+'NF - 5 Power Mix'!WNX15)*860/10)+((('Form Sa1'!WOA835)*860)/10)+('Form Sa1'!WOA814*'Form Sa1'!WOA816/10)-'NF - 5 Power Mix'!WNX21-'NF - 5 Power Mix'!WNX22</f>
        <v>0</v>
      </c>
      <c r="WNY42" s="1046">
        <f>WNY38+((WNY40+'NF - 5 Power Mix'!WNY14+'NF - 5 Power Mix'!WNY15)*860/10)+((('Form Sa1'!WOB835)*860)/10)+('Form Sa1'!WOB814*'Form Sa1'!WOB816/10)-'NF - 5 Power Mix'!WNY21-'NF - 5 Power Mix'!WNY22</f>
        <v>0</v>
      </c>
      <c r="WNZ42" s="1046">
        <f>WNZ38+((WNZ40+'NF - 5 Power Mix'!WNZ14+'NF - 5 Power Mix'!WNZ15)*860/10)+((('Form Sa1'!WOC835)*860)/10)+('Form Sa1'!WOC814*'Form Sa1'!WOC816/10)-'NF - 5 Power Mix'!WNZ21-'NF - 5 Power Mix'!WNZ22</f>
        <v>0</v>
      </c>
      <c r="WOA42" s="1046">
        <f>WOA38+((WOA40+'NF - 5 Power Mix'!WOA14+'NF - 5 Power Mix'!WOA15)*860/10)+((('Form Sa1'!WOD835)*860)/10)+('Form Sa1'!WOD814*'Form Sa1'!WOD816/10)-'NF - 5 Power Mix'!WOA21-'NF - 5 Power Mix'!WOA22</f>
        <v>0</v>
      </c>
      <c r="WOB42" s="1046">
        <f>WOB38+((WOB40+'NF - 5 Power Mix'!WOB14+'NF - 5 Power Mix'!WOB15)*860/10)+((('Form Sa1'!WOE835)*860)/10)+('Form Sa1'!WOE814*'Form Sa1'!WOE816/10)-'NF - 5 Power Mix'!WOB21-'NF - 5 Power Mix'!WOB22</f>
        <v>0</v>
      </c>
      <c r="WOC42" s="1046">
        <f>WOC38+((WOC40+'NF - 5 Power Mix'!WOC14+'NF - 5 Power Mix'!WOC15)*860/10)+((('Form Sa1'!WOF835)*860)/10)+('Form Sa1'!WOF814*'Form Sa1'!WOF816/10)-'NF - 5 Power Mix'!WOC21-'NF - 5 Power Mix'!WOC22</f>
        <v>0</v>
      </c>
      <c r="WOD42" s="1046">
        <f>WOD38+((WOD40+'NF - 5 Power Mix'!WOD14+'NF - 5 Power Mix'!WOD15)*860/10)+((('Form Sa1'!WOG835)*860)/10)+('Form Sa1'!WOG814*'Form Sa1'!WOG816/10)-'NF - 5 Power Mix'!WOD21-'NF - 5 Power Mix'!WOD22</f>
        <v>0</v>
      </c>
      <c r="WOE42" s="1046">
        <f>WOE38+((WOE40+'NF - 5 Power Mix'!WOE14+'NF - 5 Power Mix'!WOE15)*860/10)+((('Form Sa1'!WOH835)*860)/10)+('Form Sa1'!WOH814*'Form Sa1'!WOH816/10)-'NF - 5 Power Mix'!WOE21-'NF - 5 Power Mix'!WOE22</f>
        <v>0</v>
      </c>
      <c r="WOF42" s="1046">
        <f>WOF38+((WOF40+'NF - 5 Power Mix'!WOF14+'NF - 5 Power Mix'!WOF15)*860/10)+((('Form Sa1'!WOI835)*860)/10)+('Form Sa1'!WOI814*'Form Sa1'!WOI816/10)-'NF - 5 Power Mix'!WOF21-'NF - 5 Power Mix'!WOF22</f>
        <v>0</v>
      </c>
      <c r="WOG42" s="1046">
        <f>WOG38+((WOG40+'NF - 5 Power Mix'!WOG14+'NF - 5 Power Mix'!WOG15)*860/10)+((('Form Sa1'!WOJ835)*860)/10)+('Form Sa1'!WOJ814*'Form Sa1'!WOJ816/10)-'NF - 5 Power Mix'!WOG21-'NF - 5 Power Mix'!WOG22</f>
        <v>0</v>
      </c>
      <c r="WOH42" s="1046">
        <f>WOH38+((WOH40+'NF - 5 Power Mix'!WOH14+'NF - 5 Power Mix'!WOH15)*860/10)+((('Form Sa1'!WOK835)*860)/10)+('Form Sa1'!WOK814*'Form Sa1'!WOK816/10)-'NF - 5 Power Mix'!WOH21-'NF - 5 Power Mix'!WOH22</f>
        <v>0</v>
      </c>
      <c r="WOI42" s="1046">
        <f>WOI38+((WOI40+'NF - 5 Power Mix'!WOI14+'NF - 5 Power Mix'!WOI15)*860/10)+((('Form Sa1'!WOL835)*860)/10)+('Form Sa1'!WOL814*'Form Sa1'!WOL816/10)-'NF - 5 Power Mix'!WOI21-'NF - 5 Power Mix'!WOI22</f>
        <v>0</v>
      </c>
      <c r="WOJ42" s="1046">
        <f>WOJ38+((WOJ40+'NF - 5 Power Mix'!WOJ14+'NF - 5 Power Mix'!WOJ15)*860/10)+((('Form Sa1'!WOM835)*860)/10)+('Form Sa1'!WOM814*'Form Sa1'!WOM816/10)-'NF - 5 Power Mix'!WOJ21-'NF - 5 Power Mix'!WOJ22</f>
        <v>0</v>
      </c>
      <c r="WOK42" s="1046">
        <f>WOK38+((WOK40+'NF - 5 Power Mix'!WOK14+'NF - 5 Power Mix'!WOK15)*860/10)+((('Form Sa1'!WON835)*860)/10)+('Form Sa1'!WON814*'Form Sa1'!WON816/10)-'NF - 5 Power Mix'!WOK21-'NF - 5 Power Mix'!WOK22</f>
        <v>0</v>
      </c>
      <c r="WOL42" s="1046">
        <f>WOL38+((WOL40+'NF - 5 Power Mix'!WOL14+'NF - 5 Power Mix'!WOL15)*860/10)+((('Form Sa1'!WOO835)*860)/10)+('Form Sa1'!WOO814*'Form Sa1'!WOO816/10)-'NF - 5 Power Mix'!WOL21-'NF - 5 Power Mix'!WOL22</f>
        <v>0</v>
      </c>
      <c r="WOM42" s="1046">
        <f>WOM38+((WOM40+'NF - 5 Power Mix'!WOM14+'NF - 5 Power Mix'!WOM15)*860/10)+((('Form Sa1'!WOP835)*860)/10)+('Form Sa1'!WOP814*'Form Sa1'!WOP816/10)-'NF - 5 Power Mix'!WOM21-'NF - 5 Power Mix'!WOM22</f>
        <v>0</v>
      </c>
      <c r="WON42" s="1046">
        <f>WON38+((WON40+'NF - 5 Power Mix'!WON14+'NF - 5 Power Mix'!WON15)*860/10)+((('Form Sa1'!WOQ835)*860)/10)+('Form Sa1'!WOQ814*'Form Sa1'!WOQ816/10)-'NF - 5 Power Mix'!WON21-'NF - 5 Power Mix'!WON22</f>
        <v>0</v>
      </c>
      <c r="WOO42" s="1046">
        <f>WOO38+((WOO40+'NF - 5 Power Mix'!WOO14+'NF - 5 Power Mix'!WOO15)*860/10)+((('Form Sa1'!WOR835)*860)/10)+('Form Sa1'!WOR814*'Form Sa1'!WOR816/10)-'NF - 5 Power Mix'!WOO21-'NF - 5 Power Mix'!WOO22</f>
        <v>0</v>
      </c>
      <c r="WOP42" s="1046">
        <f>WOP38+((WOP40+'NF - 5 Power Mix'!WOP14+'NF - 5 Power Mix'!WOP15)*860/10)+((('Form Sa1'!WOS835)*860)/10)+('Form Sa1'!WOS814*'Form Sa1'!WOS816/10)-'NF - 5 Power Mix'!WOP21-'NF - 5 Power Mix'!WOP22</f>
        <v>0</v>
      </c>
      <c r="WOQ42" s="1046">
        <f>WOQ38+((WOQ40+'NF - 5 Power Mix'!WOQ14+'NF - 5 Power Mix'!WOQ15)*860/10)+((('Form Sa1'!WOT835)*860)/10)+('Form Sa1'!WOT814*'Form Sa1'!WOT816/10)-'NF - 5 Power Mix'!WOQ21-'NF - 5 Power Mix'!WOQ22</f>
        <v>0</v>
      </c>
      <c r="WOR42" s="1046">
        <f>WOR38+((WOR40+'NF - 5 Power Mix'!WOR14+'NF - 5 Power Mix'!WOR15)*860/10)+((('Form Sa1'!WOU835)*860)/10)+('Form Sa1'!WOU814*'Form Sa1'!WOU816/10)-'NF - 5 Power Mix'!WOR21-'NF - 5 Power Mix'!WOR22</f>
        <v>0</v>
      </c>
      <c r="WOS42" s="1046">
        <f>WOS38+((WOS40+'NF - 5 Power Mix'!WOS14+'NF - 5 Power Mix'!WOS15)*860/10)+((('Form Sa1'!WOV835)*860)/10)+('Form Sa1'!WOV814*'Form Sa1'!WOV816/10)-'NF - 5 Power Mix'!WOS21-'NF - 5 Power Mix'!WOS22</f>
        <v>0</v>
      </c>
      <c r="WOT42" s="1046">
        <f>WOT38+((WOT40+'NF - 5 Power Mix'!WOT14+'NF - 5 Power Mix'!WOT15)*860/10)+((('Form Sa1'!WOW835)*860)/10)+('Form Sa1'!WOW814*'Form Sa1'!WOW816/10)-'NF - 5 Power Mix'!WOT21-'NF - 5 Power Mix'!WOT22</f>
        <v>0</v>
      </c>
      <c r="WOU42" s="1046">
        <f>WOU38+((WOU40+'NF - 5 Power Mix'!WOU14+'NF - 5 Power Mix'!WOU15)*860/10)+((('Form Sa1'!WOX835)*860)/10)+('Form Sa1'!WOX814*'Form Sa1'!WOX816/10)-'NF - 5 Power Mix'!WOU21-'NF - 5 Power Mix'!WOU22</f>
        <v>0</v>
      </c>
      <c r="WOV42" s="1046">
        <f>WOV38+((WOV40+'NF - 5 Power Mix'!WOV14+'NF - 5 Power Mix'!WOV15)*860/10)+((('Form Sa1'!WOY835)*860)/10)+('Form Sa1'!WOY814*'Form Sa1'!WOY816/10)-'NF - 5 Power Mix'!WOV21-'NF - 5 Power Mix'!WOV22</f>
        <v>0</v>
      </c>
      <c r="WOW42" s="1046">
        <f>WOW38+((WOW40+'NF - 5 Power Mix'!WOW14+'NF - 5 Power Mix'!WOW15)*860/10)+((('Form Sa1'!WOZ835)*860)/10)+('Form Sa1'!WOZ814*'Form Sa1'!WOZ816/10)-'NF - 5 Power Mix'!WOW21-'NF - 5 Power Mix'!WOW22</f>
        <v>0</v>
      </c>
      <c r="WOX42" s="1046">
        <f>WOX38+((WOX40+'NF - 5 Power Mix'!WOX14+'NF - 5 Power Mix'!WOX15)*860/10)+((('Form Sa1'!WPA835)*860)/10)+('Form Sa1'!WPA814*'Form Sa1'!WPA816/10)-'NF - 5 Power Mix'!WOX21-'NF - 5 Power Mix'!WOX22</f>
        <v>0</v>
      </c>
      <c r="WOY42" s="1046">
        <f>WOY38+((WOY40+'NF - 5 Power Mix'!WOY14+'NF - 5 Power Mix'!WOY15)*860/10)+((('Form Sa1'!WPB835)*860)/10)+('Form Sa1'!WPB814*'Form Sa1'!WPB816/10)-'NF - 5 Power Mix'!WOY21-'NF - 5 Power Mix'!WOY22</f>
        <v>0</v>
      </c>
      <c r="WOZ42" s="1046">
        <f>WOZ38+((WOZ40+'NF - 5 Power Mix'!WOZ14+'NF - 5 Power Mix'!WOZ15)*860/10)+((('Form Sa1'!WPC835)*860)/10)+('Form Sa1'!WPC814*'Form Sa1'!WPC816/10)-'NF - 5 Power Mix'!WOZ21-'NF - 5 Power Mix'!WOZ22</f>
        <v>0</v>
      </c>
      <c r="WPA42" s="1046">
        <f>WPA38+((WPA40+'NF - 5 Power Mix'!WPA14+'NF - 5 Power Mix'!WPA15)*860/10)+((('Form Sa1'!WPD835)*860)/10)+('Form Sa1'!WPD814*'Form Sa1'!WPD816/10)-'NF - 5 Power Mix'!WPA21-'NF - 5 Power Mix'!WPA22</f>
        <v>0</v>
      </c>
      <c r="WPB42" s="1046">
        <f>WPB38+((WPB40+'NF - 5 Power Mix'!WPB14+'NF - 5 Power Mix'!WPB15)*860/10)+((('Form Sa1'!WPE835)*860)/10)+('Form Sa1'!WPE814*'Form Sa1'!WPE816/10)-'NF - 5 Power Mix'!WPB21-'NF - 5 Power Mix'!WPB22</f>
        <v>0</v>
      </c>
      <c r="WPC42" s="1046">
        <f>WPC38+((WPC40+'NF - 5 Power Mix'!WPC14+'NF - 5 Power Mix'!WPC15)*860/10)+((('Form Sa1'!WPF835)*860)/10)+('Form Sa1'!WPF814*'Form Sa1'!WPF816/10)-'NF - 5 Power Mix'!WPC21-'NF - 5 Power Mix'!WPC22</f>
        <v>0</v>
      </c>
      <c r="WPD42" s="1046">
        <f>WPD38+((WPD40+'NF - 5 Power Mix'!WPD14+'NF - 5 Power Mix'!WPD15)*860/10)+((('Form Sa1'!WPG835)*860)/10)+('Form Sa1'!WPG814*'Form Sa1'!WPG816/10)-'NF - 5 Power Mix'!WPD21-'NF - 5 Power Mix'!WPD22</f>
        <v>0</v>
      </c>
      <c r="WPE42" s="1046">
        <f>WPE38+((WPE40+'NF - 5 Power Mix'!WPE14+'NF - 5 Power Mix'!WPE15)*860/10)+((('Form Sa1'!WPH835)*860)/10)+('Form Sa1'!WPH814*'Form Sa1'!WPH816/10)-'NF - 5 Power Mix'!WPE21-'NF - 5 Power Mix'!WPE22</f>
        <v>0</v>
      </c>
      <c r="WPF42" s="1046">
        <f>WPF38+((WPF40+'NF - 5 Power Mix'!WPF14+'NF - 5 Power Mix'!WPF15)*860/10)+((('Form Sa1'!WPI835)*860)/10)+('Form Sa1'!WPI814*'Form Sa1'!WPI816/10)-'NF - 5 Power Mix'!WPF21-'NF - 5 Power Mix'!WPF22</f>
        <v>0</v>
      </c>
      <c r="WPG42" s="1046">
        <f>WPG38+((WPG40+'NF - 5 Power Mix'!WPG14+'NF - 5 Power Mix'!WPG15)*860/10)+((('Form Sa1'!WPJ835)*860)/10)+('Form Sa1'!WPJ814*'Form Sa1'!WPJ816/10)-'NF - 5 Power Mix'!WPG21-'NF - 5 Power Mix'!WPG22</f>
        <v>0</v>
      </c>
      <c r="WPH42" s="1046">
        <f>WPH38+((WPH40+'NF - 5 Power Mix'!WPH14+'NF - 5 Power Mix'!WPH15)*860/10)+((('Form Sa1'!WPK835)*860)/10)+('Form Sa1'!WPK814*'Form Sa1'!WPK816/10)-'NF - 5 Power Mix'!WPH21-'NF - 5 Power Mix'!WPH22</f>
        <v>0</v>
      </c>
      <c r="WPI42" s="1046">
        <f>WPI38+((WPI40+'NF - 5 Power Mix'!WPI14+'NF - 5 Power Mix'!WPI15)*860/10)+((('Form Sa1'!WPL835)*860)/10)+('Form Sa1'!WPL814*'Form Sa1'!WPL816/10)-'NF - 5 Power Mix'!WPI21-'NF - 5 Power Mix'!WPI22</f>
        <v>0</v>
      </c>
      <c r="WPJ42" s="1046">
        <f>WPJ38+((WPJ40+'NF - 5 Power Mix'!WPJ14+'NF - 5 Power Mix'!WPJ15)*860/10)+((('Form Sa1'!WPM835)*860)/10)+('Form Sa1'!WPM814*'Form Sa1'!WPM816/10)-'NF - 5 Power Mix'!WPJ21-'NF - 5 Power Mix'!WPJ22</f>
        <v>0</v>
      </c>
      <c r="WPK42" s="1046">
        <f>WPK38+((WPK40+'NF - 5 Power Mix'!WPK14+'NF - 5 Power Mix'!WPK15)*860/10)+((('Form Sa1'!WPN835)*860)/10)+('Form Sa1'!WPN814*'Form Sa1'!WPN816/10)-'NF - 5 Power Mix'!WPK21-'NF - 5 Power Mix'!WPK22</f>
        <v>0</v>
      </c>
      <c r="WPL42" s="1046">
        <f>WPL38+((WPL40+'NF - 5 Power Mix'!WPL14+'NF - 5 Power Mix'!WPL15)*860/10)+((('Form Sa1'!WPO835)*860)/10)+('Form Sa1'!WPO814*'Form Sa1'!WPO816/10)-'NF - 5 Power Mix'!WPL21-'NF - 5 Power Mix'!WPL22</f>
        <v>0</v>
      </c>
      <c r="WPM42" s="1046">
        <f>WPM38+((WPM40+'NF - 5 Power Mix'!WPM14+'NF - 5 Power Mix'!WPM15)*860/10)+((('Form Sa1'!WPP835)*860)/10)+('Form Sa1'!WPP814*'Form Sa1'!WPP816/10)-'NF - 5 Power Mix'!WPM21-'NF - 5 Power Mix'!WPM22</f>
        <v>0</v>
      </c>
      <c r="WPN42" s="1046">
        <f>WPN38+((WPN40+'NF - 5 Power Mix'!WPN14+'NF - 5 Power Mix'!WPN15)*860/10)+((('Form Sa1'!WPQ835)*860)/10)+('Form Sa1'!WPQ814*'Form Sa1'!WPQ816/10)-'NF - 5 Power Mix'!WPN21-'NF - 5 Power Mix'!WPN22</f>
        <v>0</v>
      </c>
      <c r="WPO42" s="1046">
        <f>WPO38+((WPO40+'NF - 5 Power Mix'!WPO14+'NF - 5 Power Mix'!WPO15)*860/10)+((('Form Sa1'!WPR835)*860)/10)+('Form Sa1'!WPR814*'Form Sa1'!WPR816/10)-'NF - 5 Power Mix'!WPO21-'NF - 5 Power Mix'!WPO22</f>
        <v>0</v>
      </c>
      <c r="WPP42" s="1046">
        <f>WPP38+((WPP40+'NF - 5 Power Mix'!WPP14+'NF - 5 Power Mix'!WPP15)*860/10)+((('Form Sa1'!WPS835)*860)/10)+('Form Sa1'!WPS814*'Form Sa1'!WPS816/10)-'NF - 5 Power Mix'!WPP21-'NF - 5 Power Mix'!WPP22</f>
        <v>0</v>
      </c>
      <c r="WPQ42" s="1046">
        <f>WPQ38+((WPQ40+'NF - 5 Power Mix'!WPQ14+'NF - 5 Power Mix'!WPQ15)*860/10)+((('Form Sa1'!WPT835)*860)/10)+('Form Sa1'!WPT814*'Form Sa1'!WPT816/10)-'NF - 5 Power Mix'!WPQ21-'NF - 5 Power Mix'!WPQ22</f>
        <v>0</v>
      </c>
      <c r="WPR42" s="1046">
        <f>WPR38+((WPR40+'NF - 5 Power Mix'!WPR14+'NF - 5 Power Mix'!WPR15)*860/10)+((('Form Sa1'!WPU835)*860)/10)+('Form Sa1'!WPU814*'Form Sa1'!WPU816/10)-'NF - 5 Power Mix'!WPR21-'NF - 5 Power Mix'!WPR22</f>
        <v>0</v>
      </c>
      <c r="WPS42" s="1046">
        <f>WPS38+((WPS40+'NF - 5 Power Mix'!WPS14+'NF - 5 Power Mix'!WPS15)*860/10)+((('Form Sa1'!WPV835)*860)/10)+('Form Sa1'!WPV814*'Form Sa1'!WPV816/10)-'NF - 5 Power Mix'!WPS21-'NF - 5 Power Mix'!WPS22</f>
        <v>0</v>
      </c>
      <c r="WPT42" s="1046">
        <f>WPT38+((WPT40+'NF - 5 Power Mix'!WPT14+'NF - 5 Power Mix'!WPT15)*860/10)+((('Form Sa1'!WPW835)*860)/10)+('Form Sa1'!WPW814*'Form Sa1'!WPW816/10)-'NF - 5 Power Mix'!WPT21-'NF - 5 Power Mix'!WPT22</f>
        <v>0</v>
      </c>
      <c r="WPU42" s="1046">
        <f>WPU38+((WPU40+'NF - 5 Power Mix'!WPU14+'NF - 5 Power Mix'!WPU15)*860/10)+((('Form Sa1'!WPX835)*860)/10)+('Form Sa1'!WPX814*'Form Sa1'!WPX816/10)-'NF - 5 Power Mix'!WPU21-'NF - 5 Power Mix'!WPU22</f>
        <v>0</v>
      </c>
      <c r="WPV42" s="1046">
        <f>WPV38+((WPV40+'NF - 5 Power Mix'!WPV14+'NF - 5 Power Mix'!WPV15)*860/10)+((('Form Sa1'!WPY835)*860)/10)+('Form Sa1'!WPY814*'Form Sa1'!WPY816/10)-'NF - 5 Power Mix'!WPV21-'NF - 5 Power Mix'!WPV22</f>
        <v>0</v>
      </c>
      <c r="WPW42" s="1046">
        <f>WPW38+((WPW40+'NF - 5 Power Mix'!WPW14+'NF - 5 Power Mix'!WPW15)*860/10)+((('Form Sa1'!WPZ835)*860)/10)+('Form Sa1'!WPZ814*'Form Sa1'!WPZ816/10)-'NF - 5 Power Mix'!WPW21-'NF - 5 Power Mix'!WPW22</f>
        <v>0</v>
      </c>
      <c r="WPX42" s="1046">
        <f>WPX38+((WPX40+'NF - 5 Power Mix'!WPX14+'NF - 5 Power Mix'!WPX15)*860/10)+((('Form Sa1'!WQA835)*860)/10)+('Form Sa1'!WQA814*'Form Sa1'!WQA816/10)-'NF - 5 Power Mix'!WPX21-'NF - 5 Power Mix'!WPX22</f>
        <v>0</v>
      </c>
      <c r="WPY42" s="1046">
        <f>WPY38+((WPY40+'NF - 5 Power Mix'!WPY14+'NF - 5 Power Mix'!WPY15)*860/10)+((('Form Sa1'!WQB835)*860)/10)+('Form Sa1'!WQB814*'Form Sa1'!WQB816/10)-'NF - 5 Power Mix'!WPY21-'NF - 5 Power Mix'!WPY22</f>
        <v>0</v>
      </c>
      <c r="WPZ42" s="1046">
        <f>WPZ38+((WPZ40+'NF - 5 Power Mix'!WPZ14+'NF - 5 Power Mix'!WPZ15)*860/10)+((('Form Sa1'!WQC835)*860)/10)+('Form Sa1'!WQC814*'Form Sa1'!WQC816/10)-'NF - 5 Power Mix'!WPZ21-'NF - 5 Power Mix'!WPZ22</f>
        <v>0</v>
      </c>
      <c r="WQA42" s="1046">
        <f>WQA38+((WQA40+'NF - 5 Power Mix'!WQA14+'NF - 5 Power Mix'!WQA15)*860/10)+((('Form Sa1'!WQD835)*860)/10)+('Form Sa1'!WQD814*'Form Sa1'!WQD816/10)-'NF - 5 Power Mix'!WQA21-'NF - 5 Power Mix'!WQA22</f>
        <v>0</v>
      </c>
      <c r="WQB42" s="1046">
        <f>WQB38+((WQB40+'NF - 5 Power Mix'!WQB14+'NF - 5 Power Mix'!WQB15)*860/10)+((('Form Sa1'!WQE835)*860)/10)+('Form Sa1'!WQE814*'Form Sa1'!WQE816/10)-'NF - 5 Power Mix'!WQB21-'NF - 5 Power Mix'!WQB22</f>
        <v>0</v>
      </c>
      <c r="WQC42" s="1046">
        <f>WQC38+((WQC40+'NF - 5 Power Mix'!WQC14+'NF - 5 Power Mix'!WQC15)*860/10)+((('Form Sa1'!WQF835)*860)/10)+('Form Sa1'!WQF814*'Form Sa1'!WQF816/10)-'NF - 5 Power Mix'!WQC21-'NF - 5 Power Mix'!WQC22</f>
        <v>0</v>
      </c>
      <c r="WQD42" s="1046">
        <f>WQD38+((WQD40+'NF - 5 Power Mix'!WQD14+'NF - 5 Power Mix'!WQD15)*860/10)+((('Form Sa1'!WQG835)*860)/10)+('Form Sa1'!WQG814*'Form Sa1'!WQG816/10)-'NF - 5 Power Mix'!WQD21-'NF - 5 Power Mix'!WQD22</f>
        <v>0</v>
      </c>
      <c r="WQE42" s="1046">
        <f>WQE38+((WQE40+'NF - 5 Power Mix'!WQE14+'NF - 5 Power Mix'!WQE15)*860/10)+((('Form Sa1'!WQH835)*860)/10)+('Form Sa1'!WQH814*'Form Sa1'!WQH816/10)-'NF - 5 Power Mix'!WQE21-'NF - 5 Power Mix'!WQE22</f>
        <v>0</v>
      </c>
      <c r="WQF42" s="1046">
        <f>WQF38+((WQF40+'NF - 5 Power Mix'!WQF14+'NF - 5 Power Mix'!WQF15)*860/10)+((('Form Sa1'!WQI835)*860)/10)+('Form Sa1'!WQI814*'Form Sa1'!WQI816/10)-'NF - 5 Power Mix'!WQF21-'NF - 5 Power Mix'!WQF22</f>
        <v>0</v>
      </c>
      <c r="WQG42" s="1046">
        <f>WQG38+((WQG40+'NF - 5 Power Mix'!WQG14+'NF - 5 Power Mix'!WQG15)*860/10)+((('Form Sa1'!WQJ835)*860)/10)+('Form Sa1'!WQJ814*'Form Sa1'!WQJ816/10)-'NF - 5 Power Mix'!WQG21-'NF - 5 Power Mix'!WQG22</f>
        <v>0</v>
      </c>
      <c r="WQH42" s="1046">
        <f>WQH38+((WQH40+'NF - 5 Power Mix'!WQH14+'NF - 5 Power Mix'!WQH15)*860/10)+((('Form Sa1'!WQK835)*860)/10)+('Form Sa1'!WQK814*'Form Sa1'!WQK816/10)-'NF - 5 Power Mix'!WQH21-'NF - 5 Power Mix'!WQH22</f>
        <v>0</v>
      </c>
      <c r="WQI42" s="1046">
        <f>WQI38+((WQI40+'NF - 5 Power Mix'!WQI14+'NF - 5 Power Mix'!WQI15)*860/10)+((('Form Sa1'!WQL835)*860)/10)+('Form Sa1'!WQL814*'Form Sa1'!WQL816/10)-'NF - 5 Power Mix'!WQI21-'NF - 5 Power Mix'!WQI22</f>
        <v>0</v>
      </c>
      <c r="WQJ42" s="1046">
        <f>WQJ38+((WQJ40+'NF - 5 Power Mix'!WQJ14+'NF - 5 Power Mix'!WQJ15)*860/10)+((('Form Sa1'!WQM835)*860)/10)+('Form Sa1'!WQM814*'Form Sa1'!WQM816/10)-'NF - 5 Power Mix'!WQJ21-'NF - 5 Power Mix'!WQJ22</f>
        <v>0</v>
      </c>
      <c r="WQK42" s="1046">
        <f>WQK38+((WQK40+'NF - 5 Power Mix'!WQK14+'NF - 5 Power Mix'!WQK15)*860/10)+((('Form Sa1'!WQN835)*860)/10)+('Form Sa1'!WQN814*'Form Sa1'!WQN816/10)-'NF - 5 Power Mix'!WQK21-'NF - 5 Power Mix'!WQK22</f>
        <v>0</v>
      </c>
      <c r="WQL42" s="1046">
        <f>WQL38+((WQL40+'NF - 5 Power Mix'!WQL14+'NF - 5 Power Mix'!WQL15)*860/10)+((('Form Sa1'!WQO835)*860)/10)+('Form Sa1'!WQO814*'Form Sa1'!WQO816/10)-'NF - 5 Power Mix'!WQL21-'NF - 5 Power Mix'!WQL22</f>
        <v>0</v>
      </c>
      <c r="WQM42" s="1046">
        <f>WQM38+((WQM40+'NF - 5 Power Mix'!WQM14+'NF - 5 Power Mix'!WQM15)*860/10)+((('Form Sa1'!WQP835)*860)/10)+('Form Sa1'!WQP814*'Form Sa1'!WQP816/10)-'NF - 5 Power Mix'!WQM21-'NF - 5 Power Mix'!WQM22</f>
        <v>0</v>
      </c>
      <c r="WQN42" s="1046">
        <f>WQN38+((WQN40+'NF - 5 Power Mix'!WQN14+'NF - 5 Power Mix'!WQN15)*860/10)+((('Form Sa1'!WQQ835)*860)/10)+('Form Sa1'!WQQ814*'Form Sa1'!WQQ816/10)-'NF - 5 Power Mix'!WQN21-'NF - 5 Power Mix'!WQN22</f>
        <v>0</v>
      </c>
      <c r="WQO42" s="1046">
        <f>WQO38+((WQO40+'NF - 5 Power Mix'!WQO14+'NF - 5 Power Mix'!WQO15)*860/10)+((('Form Sa1'!WQR835)*860)/10)+('Form Sa1'!WQR814*'Form Sa1'!WQR816/10)-'NF - 5 Power Mix'!WQO21-'NF - 5 Power Mix'!WQO22</f>
        <v>0</v>
      </c>
      <c r="WQP42" s="1046">
        <f>WQP38+((WQP40+'NF - 5 Power Mix'!WQP14+'NF - 5 Power Mix'!WQP15)*860/10)+((('Form Sa1'!WQS835)*860)/10)+('Form Sa1'!WQS814*'Form Sa1'!WQS816/10)-'NF - 5 Power Mix'!WQP21-'NF - 5 Power Mix'!WQP22</f>
        <v>0</v>
      </c>
      <c r="WQQ42" s="1046">
        <f>WQQ38+((WQQ40+'NF - 5 Power Mix'!WQQ14+'NF - 5 Power Mix'!WQQ15)*860/10)+((('Form Sa1'!WQT835)*860)/10)+('Form Sa1'!WQT814*'Form Sa1'!WQT816/10)-'NF - 5 Power Mix'!WQQ21-'NF - 5 Power Mix'!WQQ22</f>
        <v>0</v>
      </c>
      <c r="WQR42" s="1046">
        <f>WQR38+((WQR40+'NF - 5 Power Mix'!WQR14+'NF - 5 Power Mix'!WQR15)*860/10)+((('Form Sa1'!WQU835)*860)/10)+('Form Sa1'!WQU814*'Form Sa1'!WQU816/10)-'NF - 5 Power Mix'!WQR21-'NF - 5 Power Mix'!WQR22</f>
        <v>0</v>
      </c>
      <c r="WQS42" s="1046">
        <f>WQS38+((WQS40+'NF - 5 Power Mix'!WQS14+'NF - 5 Power Mix'!WQS15)*860/10)+((('Form Sa1'!WQV835)*860)/10)+('Form Sa1'!WQV814*'Form Sa1'!WQV816/10)-'NF - 5 Power Mix'!WQS21-'NF - 5 Power Mix'!WQS22</f>
        <v>0</v>
      </c>
      <c r="WQT42" s="1046">
        <f>WQT38+((WQT40+'NF - 5 Power Mix'!WQT14+'NF - 5 Power Mix'!WQT15)*860/10)+((('Form Sa1'!WQW835)*860)/10)+('Form Sa1'!WQW814*'Form Sa1'!WQW816/10)-'NF - 5 Power Mix'!WQT21-'NF - 5 Power Mix'!WQT22</f>
        <v>0</v>
      </c>
      <c r="WQU42" s="1046">
        <f>WQU38+((WQU40+'NF - 5 Power Mix'!WQU14+'NF - 5 Power Mix'!WQU15)*860/10)+((('Form Sa1'!WQX835)*860)/10)+('Form Sa1'!WQX814*'Form Sa1'!WQX816/10)-'NF - 5 Power Mix'!WQU21-'NF - 5 Power Mix'!WQU22</f>
        <v>0</v>
      </c>
      <c r="WQV42" s="1046">
        <f>WQV38+((WQV40+'NF - 5 Power Mix'!WQV14+'NF - 5 Power Mix'!WQV15)*860/10)+((('Form Sa1'!WQY835)*860)/10)+('Form Sa1'!WQY814*'Form Sa1'!WQY816/10)-'NF - 5 Power Mix'!WQV21-'NF - 5 Power Mix'!WQV22</f>
        <v>0</v>
      </c>
      <c r="WQW42" s="1046">
        <f>WQW38+((WQW40+'NF - 5 Power Mix'!WQW14+'NF - 5 Power Mix'!WQW15)*860/10)+((('Form Sa1'!WQZ835)*860)/10)+('Form Sa1'!WQZ814*'Form Sa1'!WQZ816/10)-'NF - 5 Power Mix'!WQW21-'NF - 5 Power Mix'!WQW22</f>
        <v>0</v>
      </c>
      <c r="WQX42" s="1046">
        <f>WQX38+((WQX40+'NF - 5 Power Mix'!WQX14+'NF - 5 Power Mix'!WQX15)*860/10)+((('Form Sa1'!WRA835)*860)/10)+('Form Sa1'!WRA814*'Form Sa1'!WRA816/10)-'NF - 5 Power Mix'!WQX21-'NF - 5 Power Mix'!WQX22</f>
        <v>0</v>
      </c>
      <c r="WQY42" s="1046">
        <f>WQY38+((WQY40+'NF - 5 Power Mix'!WQY14+'NF - 5 Power Mix'!WQY15)*860/10)+((('Form Sa1'!WRB835)*860)/10)+('Form Sa1'!WRB814*'Form Sa1'!WRB816/10)-'NF - 5 Power Mix'!WQY21-'NF - 5 Power Mix'!WQY22</f>
        <v>0</v>
      </c>
      <c r="WQZ42" s="1046">
        <f>WQZ38+((WQZ40+'NF - 5 Power Mix'!WQZ14+'NF - 5 Power Mix'!WQZ15)*860/10)+((('Form Sa1'!WRC835)*860)/10)+('Form Sa1'!WRC814*'Form Sa1'!WRC816/10)-'NF - 5 Power Mix'!WQZ21-'NF - 5 Power Mix'!WQZ22</f>
        <v>0</v>
      </c>
      <c r="WRA42" s="1046">
        <f>WRA38+((WRA40+'NF - 5 Power Mix'!WRA14+'NF - 5 Power Mix'!WRA15)*860/10)+((('Form Sa1'!WRD835)*860)/10)+('Form Sa1'!WRD814*'Form Sa1'!WRD816/10)-'NF - 5 Power Mix'!WRA21-'NF - 5 Power Mix'!WRA22</f>
        <v>0</v>
      </c>
      <c r="WRB42" s="1046">
        <f>WRB38+((WRB40+'NF - 5 Power Mix'!WRB14+'NF - 5 Power Mix'!WRB15)*860/10)+((('Form Sa1'!WRE835)*860)/10)+('Form Sa1'!WRE814*'Form Sa1'!WRE816/10)-'NF - 5 Power Mix'!WRB21-'NF - 5 Power Mix'!WRB22</f>
        <v>0</v>
      </c>
      <c r="WRC42" s="1046">
        <f>WRC38+((WRC40+'NF - 5 Power Mix'!WRC14+'NF - 5 Power Mix'!WRC15)*860/10)+((('Form Sa1'!WRF835)*860)/10)+('Form Sa1'!WRF814*'Form Sa1'!WRF816/10)-'NF - 5 Power Mix'!WRC21-'NF - 5 Power Mix'!WRC22</f>
        <v>0</v>
      </c>
      <c r="WRD42" s="1046">
        <f>WRD38+((WRD40+'NF - 5 Power Mix'!WRD14+'NF - 5 Power Mix'!WRD15)*860/10)+((('Form Sa1'!WRG835)*860)/10)+('Form Sa1'!WRG814*'Form Sa1'!WRG816/10)-'NF - 5 Power Mix'!WRD21-'NF - 5 Power Mix'!WRD22</f>
        <v>0</v>
      </c>
      <c r="WRE42" s="1046">
        <f>WRE38+((WRE40+'NF - 5 Power Mix'!WRE14+'NF - 5 Power Mix'!WRE15)*860/10)+((('Form Sa1'!WRH835)*860)/10)+('Form Sa1'!WRH814*'Form Sa1'!WRH816/10)-'NF - 5 Power Mix'!WRE21-'NF - 5 Power Mix'!WRE22</f>
        <v>0</v>
      </c>
      <c r="WRF42" s="1046">
        <f>WRF38+((WRF40+'NF - 5 Power Mix'!WRF14+'NF - 5 Power Mix'!WRF15)*860/10)+((('Form Sa1'!WRI835)*860)/10)+('Form Sa1'!WRI814*'Form Sa1'!WRI816/10)-'NF - 5 Power Mix'!WRF21-'NF - 5 Power Mix'!WRF22</f>
        <v>0</v>
      </c>
      <c r="WRG42" s="1046">
        <f>WRG38+((WRG40+'NF - 5 Power Mix'!WRG14+'NF - 5 Power Mix'!WRG15)*860/10)+((('Form Sa1'!WRJ835)*860)/10)+('Form Sa1'!WRJ814*'Form Sa1'!WRJ816/10)-'NF - 5 Power Mix'!WRG21-'NF - 5 Power Mix'!WRG22</f>
        <v>0</v>
      </c>
      <c r="WRH42" s="1046">
        <f>WRH38+((WRH40+'NF - 5 Power Mix'!WRH14+'NF - 5 Power Mix'!WRH15)*860/10)+((('Form Sa1'!WRK835)*860)/10)+('Form Sa1'!WRK814*'Form Sa1'!WRK816/10)-'NF - 5 Power Mix'!WRH21-'NF - 5 Power Mix'!WRH22</f>
        <v>0</v>
      </c>
      <c r="WRI42" s="1046">
        <f>WRI38+((WRI40+'NF - 5 Power Mix'!WRI14+'NF - 5 Power Mix'!WRI15)*860/10)+((('Form Sa1'!WRL835)*860)/10)+('Form Sa1'!WRL814*'Form Sa1'!WRL816/10)-'NF - 5 Power Mix'!WRI21-'NF - 5 Power Mix'!WRI22</f>
        <v>0</v>
      </c>
      <c r="WRJ42" s="1046">
        <f>WRJ38+((WRJ40+'NF - 5 Power Mix'!WRJ14+'NF - 5 Power Mix'!WRJ15)*860/10)+((('Form Sa1'!WRM835)*860)/10)+('Form Sa1'!WRM814*'Form Sa1'!WRM816/10)-'NF - 5 Power Mix'!WRJ21-'NF - 5 Power Mix'!WRJ22</f>
        <v>0</v>
      </c>
      <c r="WRK42" s="1046">
        <f>WRK38+((WRK40+'NF - 5 Power Mix'!WRK14+'NF - 5 Power Mix'!WRK15)*860/10)+((('Form Sa1'!WRN835)*860)/10)+('Form Sa1'!WRN814*'Form Sa1'!WRN816/10)-'NF - 5 Power Mix'!WRK21-'NF - 5 Power Mix'!WRK22</f>
        <v>0</v>
      </c>
      <c r="WRL42" s="1046">
        <f>WRL38+((WRL40+'NF - 5 Power Mix'!WRL14+'NF - 5 Power Mix'!WRL15)*860/10)+((('Form Sa1'!WRO835)*860)/10)+('Form Sa1'!WRO814*'Form Sa1'!WRO816/10)-'NF - 5 Power Mix'!WRL21-'NF - 5 Power Mix'!WRL22</f>
        <v>0</v>
      </c>
      <c r="WRM42" s="1046">
        <f>WRM38+((WRM40+'NF - 5 Power Mix'!WRM14+'NF - 5 Power Mix'!WRM15)*860/10)+((('Form Sa1'!WRP835)*860)/10)+('Form Sa1'!WRP814*'Form Sa1'!WRP816/10)-'NF - 5 Power Mix'!WRM21-'NF - 5 Power Mix'!WRM22</f>
        <v>0</v>
      </c>
      <c r="WRN42" s="1046">
        <f>WRN38+((WRN40+'NF - 5 Power Mix'!WRN14+'NF - 5 Power Mix'!WRN15)*860/10)+((('Form Sa1'!WRQ835)*860)/10)+('Form Sa1'!WRQ814*'Form Sa1'!WRQ816/10)-'NF - 5 Power Mix'!WRN21-'NF - 5 Power Mix'!WRN22</f>
        <v>0</v>
      </c>
      <c r="WRO42" s="1046">
        <f>WRO38+((WRO40+'NF - 5 Power Mix'!WRO14+'NF - 5 Power Mix'!WRO15)*860/10)+((('Form Sa1'!WRR835)*860)/10)+('Form Sa1'!WRR814*'Form Sa1'!WRR816/10)-'NF - 5 Power Mix'!WRO21-'NF - 5 Power Mix'!WRO22</f>
        <v>0</v>
      </c>
      <c r="WRP42" s="1046">
        <f>WRP38+((WRP40+'NF - 5 Power Mix'!WRP14+'NF - 5 Power Mix'!WRP15)*860/10)+((('Form Sa1'!WRS835)*860)/10)+('Form Sa1'!WRS814*'Form Sa1'!WRS816/10)-'NF - 5 Power Mix'!WRP21-'NF - 5 Power Mix'!WRP22</f>
        <v>0</v>
      </c>
      <c r="WRQ42" s="1046">
        <f>WRQ38+((WRQ40+'NF - 5 Power Mix'!WRQ14+'NF - 5 Power Mix'!WRQ15)*860/10)+((('Form Sa1'!WRT835)*860)/10)+('Form Sa1'!WRT814*'Form Sa1'!WRT816/10)-'NF - 5 Power Mix'!WRQ21-'NF - 5 Power Mix'!WRQ22</f>
        <v>0</v>
      </c>
      <c r="WRR42" s="1046">
        <f>WRR38+((WRR40+'NF - 5 Power Mix'!WRR14+'NF - 5 Power Mix'!WRR15)*860/10)+((('Form Sa1'!WRU835)*860)/10)+('Form Sa1'!WRU814*'Form Sa1'!WRU816/10)-'NF - 5 Power Mix'!WRR21-'NF - 5 Power Mix'!WRR22</f>
        <v>0</v>
      </c>
      <c r="WRS42" s="1046">
        <f>WRS38+((WRS40+'NF - 5 Power Mix'!WRS14+'NF - 5 Power Mix'!WRS15)*860/10)+((('Form Sa1'!WRV835)*860)/10)+('Form Sa1'!WRV814*'Form Sa1'!WRV816/10)-'NF - 5 Power Mix'!WRS21-'NF - 5 Power Mix'!WRS22</f>
        <v>0</v>
      </c>
      <c r="WRT42" s="1046">
        <f>WRT38+((WRT40+'NF - 5 Power Mix'!WRT14+'NF - 5 Power Mix'!WRT15)*860/10)+((('Form Sa1'!WRW835)*860)/10)+('Form Sa1'!WRW814*'Form Sa1'!WRW816/10)-'NF - 5 Power Mix'!WRT21-'NF - 5 Power Mix'!WRT22</f>
        <v>0</v>
      </c>
      <c r="WRU42" s="1046">
        <f>WRU38+((WRU40+'NF - 5 Power Mix'!WRU14+'NF - 5 Power Mix'!WRU15)*860/10)+((('Form Sa1'!WRX835)*860)/10)+('Form Sa1'!WRX814*'Form Sa1'!WRX816/10)-'NF - 5 Power Mix'!WRU21-'NF - 5 Power Mix'!WRU22</f>
        <v>0</v>
      </c>
      <c r="WRV42" s="1046">
        <f>WRV38+((WRV40+'NF - 5 Power Mix'!WRV14+'NF - 5 Power Mix'!WRV15)*860/10)+((('Form Sa1'!WRY835)*860)/10)+('Form Sa1'!WRY814*'Form Sa1'!WRY816/10)-'NF - 5 Power Mix'!WRV21-'NF - 5 Power Mix'!WRV22</f>
        <v>0</v>
      </c>
      <c r="WRW42" s="1046">
        <f>WRW38+((WRW40+'NF - 5 Power Mix'!WRW14+'NF - 5 Power Mix'!WRW15)*860/10)+((('Form Sa1'!WRZ835)*860)/10)+('Form Sa1'!WRZ814*'Form Sa1'!WRZ816/10)-'NF - 5 Power Mix'!WRW21-'NF - 5 Power Mix'!WRW22</f>
        <v>0</v>
      </c>
      <c r="WRX42" s="1046">
        <f>WRX38+((WRX40+'NF - 5 Power Mix'!WRX14+'NF - 5 Power Mix'!WRX15)*860/10)+((('Form Sa1'!WSA835)*860)/10)+('Form Sa1'!WSA814*'Form Sa1'!WSA816/10)-'NF - 5 Power Mix'!WRX21-'NF - 5 Power Mix'!WRX22</f>
        <v>0</v>
      </c>
      <c r="WRY42" s="1046">
        <f>WRY38+((WRY40+'NF - 5 Power Mix'!WRY14+'NF - 5 Power Mix'!WRY15)*860/10)+((('Form Sa1'!WSB835)*860)/10)+('Form Sa1'!WSB814*'Form Sa1'!WSB816/10)-'NF - 5 Power Mix'!WRY21-'NF - 5 Power Mix'!WRY22</f>
        <v>0</v>
      </c>
      <c r="WRZ42" s="1046">
        <f>WRZ38+((WRZ40+'NF - 5 Power Mix'!WRZ14+'NF - 5 Power Mix'!WRZ15)*860/10)+((('Form Sa1'!WSC835)*860)/10)+('Form Sa1'!WSC814*'Form Sa1'!WSC816/10)-'NF - 5 Power Mix'!WRZ21-'NF - 5 Power Mix'!WRZ22</f>
        <v>0</v>
      </c>
      <c r="WSA42" s="1046">
        <f>WSA38+((WSA40+'NF - 5 Power Mix'!WSA14+'NF - 5 Power Mix'!WSA15)*860/10)+((('Form Sa1'!WSD835)*860)/10)+('Form Sa1'!WSD814*'Form Sa1'!WSD816/10)-'NF - 5 Power Mix'!WSA21-'NF - 5 Power Mix'!WSA22</f>
        <v>0</v>
      </c>
      <c r="WSB42" s="1046">
        <f>WSB38+((WSB40+'NF - 5 Power Mix'!WSB14+'NF - 5 Power Mix'!WSB15)*860/10)+((('Form Sa1'!WSE835)*860)/10)+('Form Sa1'!WSE814*'Form Sa1'!WSE816/10)-'NF - 5 Power Mix'!WSB21-'NF - 5 Power Mix'!WSB22</f>
        <v>0</v>
      </c>
      <c r="WSC42" s="1046">
        <f>WSC38+((WSC40+'NF - 5 Power Mix'!WSC14+'NF - 5 Power Mix'!WSC15)*860/10)+((('Form Sa1'!WSF835)*860)/10)+('Form Sa1'!WSF814*'Form Sa1'!WSF816/10)-'NF - 5 Power Mix'!WSC21-'NF - 5 Power Mix'!WSC22</f>
        <v>0</v>
      </c>
      <c r="WSD42" s="1046">
        <f>WSD38+((WSD40+'NF - 5 Power Mix'!WSD14+'NF - 5 Power Mix'!WSD15)*860/10)+((('Form Sa1'!WSG835)*860)/10)+('Form Sa1'!WSG814*'Form Sa1'!WSG816/10)-'NF - 5 Power Mix'!WSD21-'NF - 5 Power Mix'!WSD22</f>
        <v>0</v>
      </c>
      <c r="WSE42" s="1046">
        <f>WSE38+((WSE40+'NF - 5 Power Mix'!WSE14+'NF - 5 Power Mix'!WSE15)*860/10)+((('Form Sa1'!WSH835)*860)/10)+('Form Sa1'!WSH814*'Form Sa1'!WSH816/10)-'NF - 5 Power Mix'!WSE21-'NF - 5 Power Mix'!WSE22</f>
        <v>0</v>
      </c>
      <c r="WSF42" s="1046">
        <f>WSF38+((WSF40+'NF - 5 Power Mix'!WSF14+'NF - 5 Power Mix'!WSF15)*860/10)+((('Form Sa1'!WSI835)*860)/10)+('Form Sa1'!WSI814*'Form Sa1'!WSI816/10)-'NF - 5 Power Mix'!WSF21-'NF - 5 Power Mix'!WSF22</f>
        <v>0</v>
      </c>
      <c r="WSG42" s="1046">
        <f>WSG38+((WSG40+'NF - 5 Power Mix'!WSG14+'NF - 5 Power Mix'!WSG15)*860/10)+((('Form Sa1'!WSJ835)*860)/10)+('Form Sa1'!WSJ814*'Form Sa1'!WSJ816/10)-'NF - 5 Power Mix'!WSG21-'NF - 5 Power Mix'!WSG22</f>
        <v>0</v>
      </c>
      <c r="WSH42" s="1046">
        <f>WSH38+((WSH40+'NF - 5 Power Mix'!WSH14+'NF - 5 Power Mix'!WSH15)*860/10)+((('Form Sa1'!WSK835)*860)/10)+('Form Sa1'!WSK814*'Form Sa1'!WSK816/10)-'NF - 5 Power Mix'!WSH21-'NF - 5 Power Mix'!WSH22</f>
        <v>0</v>
      </c>
      <c r="WSI42" s="1046">
        <f>WSI38+((WSI40+'NF - 5 Power Mix'!WSI14+'NF - 5 Power Mix'!WSI15)*860/10)+((('Form Sa1'!WSL835)*860)/10)+('Form Sa1'!WSL814*'Form Sa1'!WSL816/10)-'NF - 5 Power Mix'!WSI21-'NF - 5 Power Mix'!WSI22</f>
        <v>0</v>
      </c>
      <c r="WSJ42" s="1046">
        <f>WSJ38+((WSJ40+'NF - 5 Power Mix'!WSJ14+'NF - 5 Power Mix'!WSJ15)*860/10)+((('Form Sa1'!WSM835)*860)/10)+('Form Sa1'!WSM814*'Form Sa1'!WSM816/10)-'NF - 5 Power Mix'!WSJ21-'NF - 5 Power Mix'!WSJ22</f>
        <v>0</v>
      </c>
      <c r="WSK42" s="1046">
        <f>WSK38+((WSK40+'NF - 5 Power Mix'!WSK14+'NF - 5 Power Mix'!WSK15)*860/10)+((('Form Sa1'!WSN835)*860)/10)+('Form Sa1'!WSN814*'Form Sa1'!WSN816/10)-'NF - 5 Power Mix'!WSK21-'NF - 5 Power Mix'!WSK22</f>
        <v>0</v>
      </c>
      <c r="WSL42" s="1046">
        <f>WSL38+((WSL40+'NF - 5 Power Mix'!WSL14+'NF - 5 Power Mix'!WSL15)*860/10)+((('Form Sa1'!WSO835)*860)/10)+('Form Sa1'!WSO814*'Form Sa1'!WSO816/10)-'NF - 5 Power Mix'!WSL21-'NF - 5 Power Mix'!WSL22</f>
        <v>0</v>
      </c>
      <c r="WSM42" s="1046">
        <f>WSM38+((WSM40+'NF - 5 Power Mix'!WSM14+'NF - 5 Power Mix'!WSM15)*860/10)+((('Form Sa1'!WSP835)*860)/10)+('Form Sa1'!WSP814*'Form Sa1'!WSP816/10)-'NF - 5 Power Mix'!WSM21-'NF - 5 Power Mix'!WSM22</f>
        <v>0</v>
      </c>
      <c r="WSN42" s="1046">
        <f>WSN38+((WSN40+'NF - 5 Power Mix'!WSN14+'NF - 5 Power Mix'!WSN15)*860/10)+((('Form Sa1'!WSQ835)*860)/10)+('Form Sa1'!WSQ814*'Form Sa1'!WSQ816/10)-'NF - 5 Power Mix'!WSN21-'NF - 5 Power Mix'!WSN22</f>
        <v>0</v>
      </c>
      <c r="WSO42" s="1046">
        <f>WSO38+((WSO40+'NF - 5 Power Mix'!WSO14+'NF - 5 Power Mix'!WSO15)*860/10)+((('Form Sa1'!WSR835)*860)/10)+('Form Sa1'!WSR814*'Form Sa1'!WSR816/10)-'NF - 5 Power Mix'!WSO21-'NF - 5 Power Mix'!WSO22</f>
        <v>0</v>
      </c>
      <c r="WSP42" s="1046">
        <f>WSP38+((WSP40+'NF - 5 Power Mix'!WSP14+'NF - 5 Power Mix'!WSP15)*860/10)+((('Form Sa1'!WSS835)*860)/10)+('Form Sa1'!WSS814*'Form Sa1'!WSS816/10)-'NF - 5 Power Mix'!WSP21-'NF - 5 Power Mix'!WSP22</f>
        <v>0</v>
      </c>
      <c r="WSQ42" s="1046">
        <f>WSQ38+((WSQ40+'NF - 5 Power Mix'!WSQ14+'NF - 5 Power Mix'!WSQ15)*860/10)+((('Form Sa1'!WST835)*860)/10)+('Form Sa1'!WST814*'Form Sa1'!WST816/10)-'NF - 5 Power Mix'!WSQ21-'NF - 5 Power Mix'!WSQ22</f>
        <v>0</v>
      </c>
      <c r="WSR42" s="1046">
        <f>WSR38+((WSR40+'NF - 5 Power Mix'!WSR14+'NF - 5 Power Mix'!WSR15)*860/10)+((('Form Sa1'!WSU835)*860)/10)+('Form Sa1'!WSU814*'Form Sa1'!WSU816/10)-'NF - 5 Power Mix'!WSR21-'NF - 5 Power Mix'!WSR22</f>
        <v>0</v>
      </c>
      <c r="WSS42" s="1046">
        <f>WSS38+((WSS40+'NF - 5 Power Mix'!WSS14+'NF - 5 Power Mix'!WSS15)*860/10)+((('Form Sa1'!WSV835)*860)/10)+('Form Sa1'!WSV814*'Form Sa1'!WSV816/10)-'NF - 5 Power Mix'!WSS21-'NF - 5 Power Mix'!WSS22</f>
        <v>0</v>
      </c>
      <c r="WST42" s="1046">
        <f>WST38+((WST40+'NF - 5 Power Mix'!WST14+'NF - 5 Power Mix'!WST15)*860/10)+((('Form Sa1'!WSW835)*860)/10)+('Form Sa1'!WSW814*'Form Sa1'!WSW816/10)-'NF - 5 Power Mix'!WST21-'NF - 5 Power Mix'!WST22</f>
        <v>0</v>
      </c>
      <c r="WSU42" s="1046">
        <f>WSU38+((WSU40+'NF - 5 Power Mix'!WSU14+'NF - 5 Power Mix'!WSU15)*860/10)+((('Form Sa1'!WSX835)*860)/10)+('Form Sa1'!WSX814*'Form Sa1'!WSX816/10)-'NF - 5 Power Mix'!WSU21-'NF - 5 Power Mix'!WSU22</f>
        <v>0</v>
      </c>
      <c r="WSV42" s="1046">
        <f>WSV38+((WSV40+'NF - 5 Power Mix'!WSV14+'NF - 5 Power Mix'!WSV15)*860/10)+((('Form Sa1'!WSY835)*860)/10)+('Form Sa1'!WSY814*'Form Sa1'!WSY816/10)-'NF - 5 Power Mix'!WSV21-'NF - 5 Power Mix'!WSV22</f>
        <v>0</v>
      </c>
      <c r="WSW42" s="1046">
        <f>WSW38+((WSW40+'NF - 5 Power Mix'!WSW14+'NF - 5 Power Mix'!WSW15)*860/10)+((('Form Sa1'!WSZ835)*860)/10)+('Form Sa1'!WSZ814*'Form Sa1'!WSZ816/10)-'NF - 5 Power Mix'!WSW21-'NF - 5 Power Mix'!WSW22</f>
        <v>0</v>
      </c>
      <c r="WSX42" s="1046">
        <f>WSX38+((WSX40+'NF - 5 Power Mix'!WSX14+'NF - 5 Power Mix'!WSX15)*860/10)+((('Form Sa1'!WTA835)*860)/10)+('Form Sa1'!WTA814*'Form Sa1'!WTA816/10)-'NF - 5 Power Mix'!WSX21-'NF - 5 Power Mix'!WSX22</f>
        <v>0</v>
      </c>
      <c r="WSY42" s="1046">
        <f>WSY38+((WSY40+'NF - 5 Power Mix'!WSY14+'NF - 5 Power Mix'!WSY15)*860/10)+((('Form Sa1'!WTB835)*860)/10)+('Form Sa1'!WTB814*'Form Sa1'!WTB816/10)-'NF - 5 Power Mix'!WSY21-'NF - 5 Power Mix'!WSY22</f>
        <v>0</v>
      </c>
      <c r="WSZ42" s="1046">
        <f>WSZ38+((WSZ40+'NF - 5 Power Mix'!WSZ14+'NF - 5 Power Mix'!WSZ15)*860/10)+((('Form Sa1'!WTC835)*860)/10)+('Form Sa1'!WTC814*'Form Sa1'!WTC816/10)-'NF - 5 Power Mix'!WSZ21-'NF - 5 Power Mix'!WSZ22</f>
        <v>0</v>
      </c>
      <c r="WTA42" s="1046">
        <f>WTA38+((WTA40+'NF - 5 Power Mix'!WTA14+'NF - 5 Power Mix'!WTA15)*860/10)+((('Form Sa1'!WTD835)*860)/10)+('Form Sa1'!WTD814*'Form Sa1'!WTD816/10)-'NF - 5 Power Mix'!WTA21-'NF - 5 Power Mix'!WTA22</f>
        <v>0</v>
      </c>
      <c r="WTB42" s="1046">
        <f>WTB38+((WTB40+'NF - 5 Power Mix'!WTB14+'NF - 5 Power Mix'!WTB15)*860/10)+((('Form Sa1'!WTE835)*860)/10)+('Form Sa1'!WTE814*'Form Sa1'!WTE816/10)-'NF - 5 Power Mix'!WTB21-'NF - 5 Power Mix'!WTB22</f>
        <v>0</v>
      </c>
      <c r="WTC42" s="1046">
        <f>WTC38+((WTC40+'NF - 5 Power Mix'!WTC14+'NF - 5 Power Mix'!WTC15)*860/10)+((('Form Sa1'!WTF835)*860)/10)+('Form Sa1'!WTF814*'Form Sa1'!WTF816/10)-'NF - 5 Power Mix'!WTC21-'NF - 5 Power Mix'!WTC22</f>
        <v>0</v>
      </c>
      <c r="WTD42" s="1046">
        <f>WTD38+((WTD40+'NF - 5 Power Mix'!WTD14+'NF - 5 Power Mix'!WTD15)*860/10)+((('Form Sa1'!WTG835)*860)/10)+('Form Sa1'!WTG814*'Form Sa1'!WTG816/10)-'NF - 5 Power Mix'!WTD21-'NF - 5 Power Mix'!WTD22</f>
        <v>0</v>
      </c>
      <c r="WTE42" s="1046">
        <f>WTE38+((WTE40+'NF - 5 Power Mix'!WTE14+'NF - 5 Power Mix'!WTE15)*860/10)+((('Form Sa1'!WTH835)*860)/10)+('Form Sa1'!WTH814*'Form Sa1'!WTH816/10)-'NF - 5 Power Mix'!WTE21-'NF - 5 Power Mix'!WTE22</f>
        <v>0</v>
      </c>
      <c r="WTF42" s="1046">
        <f>WTF38+((WTF40+'NF - 5 Power Mix'!WTF14+'NF - 5 Power Mix'!WTF15)*860/10)+((('Form Sa1'!WTI835)*860)/10)+('Form Sa1'!WTI814*'Form Sa1'!WTI816/10)-'NF - 5 Power Mix'!WTF21-'NF - 5 Power Mix'!WTF22</f>
        <v>0</v>
      </c>
      <c r="WTG42" s="1046">
        <f>WTG38+((WTG40+'NF - 5 Power Mix'!WTG14+'NF - 5 Power Mix'!WTG15)*860/10)+((('Form Sa1'!WTJ835)*860)/10)+('Form Sa1'!WTJ814*'Form Sa1'!WTJ816/10)-'NF - 5 Power Mix'!WTG21-'NF - 5 Power Mix'!WTG22</f>
        <v>0</v>
      </c>
      <c r="WTH42" s="1046">
        <f>WTH38+((WTH40+'NF - 5 Power Mix'!WTH14+'NF - 5 Power Mix'!WTH15)*860/10)+((('Form Sa1'!WTK835)*860)/10)+('Form Sa1'!WTK814*'Form Sa1'!WTK816/10)-'NF - 5 Power Mix'!WTH21-'NF - 5 Power Mix'!WTH22</f>
        <v>0</v>
      </c>
      <c r="WTI42" s="1046">
        <f>WTI38+((WTI40+'NF - 5 Power Mix'!WTI14+'NF - 5 Power Mix'!WTI15)*860/10)+((('Form Sa1'!WTL835)*860)/10)+('Form Sa1'!WTL814*'Form Sa1'!WTL816/10)-'NF - 5 Power Mix'!WTI21-'NF - 5 Power Mix'!WTI22</f>
        <v>0</v>
      </c>
      <c r="WTJ42" s="1046">
        <f>WTJ38+((WTJ40+'NF - 5 Power Mix'!WTJ14+'NF - 5 Power Mix'!WTJ15)*860/10)+((('Form Sa1'!WTM835)*860)/10)+('Form Sa1'!WTM814*'Form Sa1'!WTM816/10)-'NF - 5 Power Mix'!WTJ21-'NF - 5 Power Mix'!WTJ22</f>
        <v>0</v>
      </c>
      <c r="WTK42" s="1046">
        <f>WTK38+((WTK40+'NF - 5 Power Mix'!WTK14+'NF - 5 Power Mix'!WTK15)*860/10)+((('Form Sa1'!WTN835)*860)/10)+('Form Sa1'!WTN814*'Form Sa1'!WTN816/10)-'NF - 5 Power Mix'!WTK21-'NF - 5 Power Mix'!WTK22</f>
        <v>0</v>
      </c>
      <c r="WTL42" s="1046">
        <f>WTL38+((WTL40+'NF - 5 Power Mix'!WTL14+'NF - 5 Power Mix'!WTL15)*860/10)+((('Form Sa1'!WTO835)*860)/10)+('Form Sa1'!WTO814*'Form Sa1'!WTO816/10)-'NF - 5 Power Mix'!WTL21-'NF - 5 Power Mix'!WTL22</f>
        <v>0</v>
      </c>
      <c r="WTM42" s="1046">
        <f>WTM38+((WTM40+'NF - 5 Power Mix'!WTM14+'NF - 5 Power Mix'!WTM15)*860/10)+((('Form Sa1'!WTP835)*860)/10)+('Form Sa1'!WTP814*'Form Sa1'!WTP816/10)-'NF - 5 Power Mix'!WTM21-'NF - 5 Power Mix'!WTM22</f>
        <v>0</v>
      </c>
      <c r="WTN42" s="1046">
        <f>WTN38+((WTN40+'NF - 5 Power Mix'!WTN14+'NF - 5 Power Mix'!WTN15)*860/10)+((('Form Sa1'!WTQ835)*860)/10)+('Form Sa1'!WTQ814*'Form Sa1'!WTQ816/10)-'NF - 5 Power Mix'!WTN21-'NF - 5 Power Mix'!WTN22</f>
        <v>0</v>
      </c>
      <c r="WTO42" s="1046">
        <f>WTO38+((WTO40+'NF - 5 Power Mix'!WTO14+'NF - 5 Power Mix'!WTO15)*860/10)+((('Form Sa1'!WTR835)*860)/10)+('Form Sa1'!WTR814*'Form Sa1'!WTR816/10)-'NF - 5 Power Mix'!WTO21-'NF - 5 Power Mix'!WTO22</f>
        <v>0</v>
      </c>
      <c r="WTP42" s="1046">
        <f>WTP38+((WTP40+'NF - 5 Power Mix'!WTP14+'NF - 5 Power Mix'!WTP15)*860/10)+((('Form Sa1'!WTS835)*860)/10)+('Form Sa1'!WTS814*'Form Sa1'!WTS816/10)-'NF - 5 Power Mix'!WTP21-'NF - 5 Power Mix'!WTP22</f>
        <v>0</v>
      </c>
      <c r="WTQ42" s="1046">
        <f>WTQ38+((WTQ40+'NF - 5 Power Mix'!WTQ14+'NF - 5 Power Mix'!WTQ15)*860/10)+((('Form Sa1'!WTT835)*860)/10)+('Form Sa1'!WTT814*'Form Sa1'!WTT816/10)-'NF - 5 Power Mix'!WTQ21-'NF - 5 Power Mix'!WTQ22</f>
        <v>0</v>
      </c>
      <c r="WTR42" s="1046">
        <f>WTR38+((WTR40+'NF - 5 Power Mix'!WTR14+'NF - 5 Power Mix'!WTR15)*860/10)+((('Form Sa1'!WTU835)*860)/10)+('Form Sa1'!WTU814*'Form Sa1'!WTU816/10)-'NF - 5 Power Mix'!WTR21-'NF - 5 Power Mix'!WTR22</f>
        <v>0</v>
      </c>
      <c r="WTS42" s="1046">
        <f>WTS38+((WTS40+'NF - 5 Power Mix'!WTS14+'NF - 5 Power Mix'!WTS15)*860/10)+((('Form Sa1'!WTV835)*860)/10)+('Form Sa1'!WTV814*'Form Sa1'!WTV816/10)-'NF - 5 Power Mix'!WTS21-'NF - 5 Power Mix'!WTS22</f>
        <v>0</v>
      </c>
      <c r="WTT42" s="1046">
        <f>WTT38+((WTT40+'NF - 5 Power Mix'!WTT14+'NF - 5 Power Mix'!WTT15)*860/10)+((('Form Sa1'!WTW835)*860)/10)+('Form Sa1'!WTW814*'Form Sa1'!WTW816/10)-'NF - 5 Power Mix'!WTT21-'NF - 5 Power Mix'!WTT22</f>
        <v>0</v>
      </c>
      <c r="WTU42" s="1046">
        <f>WTU38+((WTU40+'NF - 5 Power Mix'!WTU14+'NF - 5 Power Mix'!WTU15)*860/10)+((('Form Sa1'!WTX835)*860)/10)+('Form Sa1'!WTX814*'Form Sa1'!WTX816/10)-'NF - 5 Power Mix'!WTU21-'NF - 5 Power Mix'!WTU22</f>
        <v>0</v>
      </c>
      <c r="WTV42" s="1046">
        <f>WTV38+((WTV40+'NF - 5 Power Mix'!WTV14+'NF - 5 Power Mix'!WTV15)*860/10)+((('Form Sa1'!WTY835)*860)/10)+('Form Sa1'!WTY814*'Form Sa1'!WTY816/10)-'NF - 5 Power Mix'!WTV21-'NF - 5 Power Mix'!WTV22</f>
        <v>0</v>
      </c>
      <c r="WTW42" s="1046">
        <f>WTW38+((WTW40+'NF - 5 Power Mix'!WTW14+'NF - 5 Power Mix'!WTW15)*860/10)+((('Form Sa1'!WTZ835)*860)/10)+('Form Sa1'!WTZ814*'Form Sa1'!WTZ816/10)-'NF - 5 Power Mix'!WTW21-'NF - 5 Power Mix'!WTW22</f>
        <v>0</v>
      </c>
      <c r="WTX42" s="1046">
        <f>WTX38+((WTX40+'NF - 5 Power Mix'!WTX14+'NF - 5 Power Mix'!WTX15)*860/10)+((('Form Sa1'!WUA835)*860)/10)+('Form Sa1'!WUA814*'Form Sa1'!WUA816/10)-'NF - 5 Power Mix'!WTX21-'NF - 5 Power Mix'!WTX22</f>
        <v>0</v>
      </c>
      <c r="WTY42" s="1046">
        <f>WTY38+((WTY40+'NF - 5 Power Mix'!WTY14+'NF - 5 Power Mix'!WTY15)*860/10)+((('Form Sa1'!WUB835)*860)/10)+('Form Sa1'!WUB814*'Form Sa1'!WUB816/10)-'NF - 5 Power Mix'!WTY21-'NF - 5 Power Mix'!WTY22</f>
        <v>0</v>
      </c>
      <c r="WTZ42" s="1046">
        <f>WTZ38+((WTZ40+'NF - 5 Power Mix'!WTZ14+'NF - 5 Power Mix'!WTZ15)*860/10)+((('Form Sa1'!WUC835)*860)/10)+('Form Sa1'!WUC814*'Form Sa1'!WUC816/10)-'NF - 5 Power Mix'!WTZ21-'NF - 5 Power Mix'!WTZ22</f>
        <v>0</v>
      </c>
      <c r="WUA42" s="1046">
        <f>WUA38+((WUA40+'NF - 5 Power Mix'!WUA14+'NF - 5 Power Mix'!WUA15)*860/10)+((('Form Sa1'!WUD835)*860)/10)+('Form Sa1'!WUD814*'Form Sa1'!WUD816/10)-'NF - 5 Power Mix'!WUA21-'NF - 5 Power Mix'!WUA22</f>
        <v>0</v>
      </c>
      <c r="WUB42" s="1046">
        <f>WUB38+((WUB40+'NF - 5 Power Mix'!WUB14+'NF - 5 Power Mix'!WUB15)*860/10)+((('Form Sa1'!WUE835)*860)/10)+('Form Sa1'!WUE814*'Form Sa1'!WUE816/10)-'NF - 5 Power Mix'!WUB21-'NF - 5 Power Mix'!WUB22</f>
        <v>0</v>
      </c>
      <c r="WUC42" s="1046">
        <f>WUC38+((WUC40+'NF - 5 Power Mix'!WUC14+'NF - 5 Power Mix'!WUC15)*860/10)+((('Form Sa1'!WUF835)*860)/10)+('Form Sa1'!WUF814*'Form Sa1'!WUF816/10)-'NF - 5 Power Mix'!WUC21-'NF - 5 Power Mix'!WUC22</f>
        <v>0</v>
      </c>
      <c r="WUD42" s="1046">
        <f>WUD38+((WUD40+'NF - 5 Power Mix'!WUD14+'NF - 5 Power Mix'!WUD15)*860/10)+((('Form Sa1'!WUG835)*860)/10)+('Form Sa1'!WUG814*'Form Sa1'!WUG816/10)-'NF - 5 Power Mix'!WUD21-'NF - 5 Power Mix'!WUD22</f>
        <v>0</v>
      </c>
      <c r="WUE42" s="1046">
        <f>WUE38+((WUE40+'NF - 5 Power Mix'!WUE14+'NF - 5 Power Mix'!WUE15)*860/10)+((('Form Sa1'!WUH835)*860)/10)+('Form Sa1'!WUH814*'Form Sa1'!WUH816/10)-'NF - 5 Power Mix'!WUE21-'NF - 5 Power Mix'!WUE22</f>
        <v>0</v>
      </c>
      <c r="WUF42" s="1046">
        <f>WUF38+((WUF40+'NF - 5 Power Mix'!WUF14+'NF - 5 Power Mix'!WUF15)*860/10)+((('Form Sa1'!WUI835)*860)/10)+('Form Sa1'!WUI814*'Form Sa1'!WUI816/10)-'NF - 5 Power Mix'!WUF21-'NF - 5 Power Mix'!WUF22</f>
        <v>0</v>
      </c>
      <c r="WUG42" s="1046">
        <f>WUG38+((WUG40+'NF - 5 Power Mix'!WUG14+'NF - 5 Power Mix'!WUG15)*860/10)+((('Form Sa1'!WUJ835)*860)/10)+('Form Sa1'!WUJ814*'Form Sa1'!WUJ816/10)-'NF - 5 Power Mix'!WUG21-'NF - 5 Power Mix'!WUG22</f>
        <v>0</v>
      </c>
      <c r="WUH42" s="1046">
        <f>WUH38+((WUH40+'NF - 5 Power Mix'!WUH14+'NF - 5 Power Mix'!WUH15)*860/10)+((('Form Sa1'!WUK835)*860)/10)+('Form Sa1'!WUK814*'Form Sa1'!WUK816/10)-'NF - 5 Power Mix'!WUH21-'NF - 5 Power Mix'!WUH22</f>
        <v>0</v>
      </c>
      <c r="WUI42" s="1046">
        <f>WUI38+((WUI40+'NF - 5 Power Mix'!WUI14+'NF - 5 Power Mix'!WUI15)*860/10)+((('Form Sa1'!WUL835)*860)/10)+('Form Sa1'!WUL814*'Form Sa1'!WUL816/10)-'NF - 5 Power Mix'!WUI21-'NF - 5 Power Mix'!WUI22</f>
        <v>0</v>
      </c>
      <c r="WUJ42" s="1046">
        <f>WUJ38+((WUJ40+'NF - 5 Power Mix'!WUJ14+'NF - 5 Power Mix'!WUJ15)*860/10)+((('Form Sa1'!WUM835)*860)/10)+('Form Sa1'!WUM814*'Form Sa1'!WUM816/10)-'NF - 5 Power Mix'!WUJ21-'NF - 5 Power Mix'!WUJ22</f>
        <v>0</v>
      </c>
      <c r="WUK42" s="1046">
        <f>WUK38+((WUK40+'NF - 5 Power Mix'!WUK14+'NF - 5 Power Mix'!WUK15)*860/10)+((('Form Sa1'!WUN835)*860)/10)+('Form Sa1'!WUN814*'Form Sa1'!WUN816/10)-'NF - 5 Power Mix'!WUK21-'NF - 5 Power Mix'!WUK22</f>
        <v>0</v>
      </c>
      <c r="WUL42" s="1046">
        <f>WUL38+((WUL40+'NF - 5 Power Mix'!WUL14+'NF - 5 Power Mix'!WUL15)*860/10)+((('Form Sa1'!WUO835)*860)/10)+('Form Sa1'!WUO814*'Form Sa1'!WUO816/10)-'NF - 5 Power Mix'!WUL21-'NF - 5 Power Mix'!WUL22</f>
        <v>0</v>
      </c>
      <c r="WUM42" s="1046">
        <f>WUM38+((WUM40+'NF - 5 Power Mix'!WUM14+'NF - 5 Power Mix'!WUM15)*860/10)+((('Form Sa1'!WUP835)*860)/10)+('Form Sa1'!WUP814*'Form Sa1'!WUP816/10)-'NF - 5 Power Mix'!WUM21-'NF - 5 Power Mix'!WUM22</f>
        <v>0</v>
      </c>
      <c r="WUN42" s="1046">
        <f>WUN38+((WUN40+'NF - 5 Power Mix'!WUN14+'NF - 5 Power Mix'!WUN15)*860/10)+((('Form Sa1'!WUQ835)*860)/10)+('Form Sa1'!WUQ814*'Form Sa1'!WUQ816/10)-'NF - 5 Power Mix'!WUN21-'NF - 5 Power Mix'!WUN22</f>
        <v>0</v>
      </c>
      <c r="WUO42" s="1046">
        <f>WUO38+((WUO40+'NF - 5 Power Mix'!WUO14+'NF - 5 Power Mix'!WUO15)*860/10)+((('Form Sa1'!WUR835)*860)/10)+('Form Sa1'!WUR814*'Form Sa1'!WUR816/10)-'NF - 5 Power Mix'!WUO21-'NF - 5 Power Mix'!WUO22</f>
        <v>0</v>
      </c>
      <c r="WUP42" s="1046">
        <f>WUP38+((WUP40+'NF - 5 Power Mix'!WUP14+'NF - 5 Power Mix'!WUP15)*860/10)+((('Form Sa1'!WUS835)*860)/10)+('Form Sa1'!WUS814*'Form Sa1'!WUS816/10)-'NF - 5 Power Mix'!WUP21-'NF - 5 Power Mix'!WUP22</f>
        <v>0</v>
      </c>
      <c r="WUQ42" s="1046">
        <f>WUQ38+((WUQ40+'NF - 5 Power Mix'!WUQ14+'NF - 5 Power Mix'!WUQ15)*860/10)+((('Form Sa1'!WUT835)*860)/10)+('Form Sa1'!WUT814*'Form Sa1'!WUT816/10)-'NF - 5 Power Mix'!WUQ21-'NF - 5 Power Mix'!WUQ22</f>
        <v>0</v>
      </c>
      <c r="WUR42" s="1046">
        <f>WUR38+((WUR40+'NF - 5 Power Mix'!WUR14+'NF - 5 Power Mix'!WUR15)*860/10)+((('Form Sa1'!WUU835)*860)/10)+('Form Sa1'!WUU814*'Form Sa1'!WUU816/10)-'NF - 5 Power Mix'!WUR21-'NF - 5 Power Mix'!WUR22</f>
        <v>0</v>
      </c>
      <c r="WUS42" s="1046">
        <f>WUS38+((WUS40+'NF - 5 Power Mix'!WUS14+'NF - 5 Power Mix'!WUS15)*860/10)+((('Form Sa1'!WUV835)*860)/10)+('Form Sa1'!WUV814*'Form Sa1'!WUV816/10)-'NF - 5 Power Mix'!WUS21-'NF - 5 Power Mix'!WUS22</f>
        <v>0</v>
      </c>
      <c r="WUT42" s="1046">
        <f>WUT38+((WUT40+'NF - 5 Power Mix'!WUT14+'NF - 5 Power Mix'!WUT15)*860/10)+((('Form Sa1'!WUW835)*860)/10)+('Form Sa1'!WUW814*'Form Sa1'!WUW816/10)-'NF - 5 Power Mix'!WUT21-'NF - 5 Power Mix'!WUT22</f>
        <v>0</v>
      </c>
      <c r="WUU42" s="1046">
        <f>WUU38+((WUU40+'NF - 5 Power Mix'!WUU14+'NF - 5 Power Mix'!WUU15)*860/10)+((('Form Sa1'!WUX835)*860)/10)+('Form Sa1'!WUX814*'Form Sa1'!WUX816/10)-'NF - 5 Power Mix'!WUU21-'NF - 5 Power Mix'!WUU22</f>
        <v>0</v>
      </c>
      <c r="WUV42" s="1046">
        <f>WUV38+((WUV40+'NF - 5 Power Mix'!WUV14+'NF - 5 Power Mix'!WUV15)*860/10)+((('Form Sa1'!WUY835)*860)/10)+('Form Sa1'!WUY814*'Form Sa1'!WUY816/10)-'NF - 5 Power Mix'!WUV21-'NF - 5 Power Mix'!WUV22</f>
        <v>0</v>
      </c>
      <c r="WUW42" s="1046">
        <f>WUW38+((WUW40+'NF - 5 Power Mix'!WUW14+'NF - 5 Power Mix'!WUW15)*860/10)+((('Form Sa1'!WUZ835)*860)/10)+('Form Sa1'!WUZ814*'Form Sa1'!WUZ816/10)-'NF - 5 Power Mix'!WUW21-'NF - 5 Power Mix'!WUW22</f>
        <v>0</v>
      </c>
      <c r="WUX42" s="1046">
        <f>WUX38+((WUX40+'NF - 5 Power Mix'!WUX14+'NF - 5 Power Mix'!WUX15)*860/10)+((('Form Sa1'!WVA835)*860)/10)+('Form Sa1'!WVA814*'Form Sa1'!WVA816/10)-'NF - 5 Power Mix'!WUX21-'NF - 5 Power Mix'!WUX22</f>
        <v>0</v>
      </c>
      <c r="WUY42" s="1046">
        <f>WUY38+((WUY40+'NF - 5 Power Mix'!WUY14+'NF - 5 Power Mix'!WUY15)*860/10)+((('Form Sa1'!WVB835)*860)/10)+('Form Sa1'!WVB814*'Form Sa1'!WVB816/10)-'NF - 5 Power Mix'!WUY21-'NF - 5 Power Mix'!WUY22</f>
        <v>0</v>
      </c>
      <c r="WUZ42" s="1046">
        <f>WUZ38+((WUZ40+'NF - 5 Power Mix'!WUZ14+'NF - 5 Power Mix'!WUZ15)*860/10)+((('Form Sa1'!WVC835)*860)/10)+('Form Sa1'!WVC814*'Form Sa1'!WVC816/10)-'NF - 5 Power Mix'!WUZ21-'NF - 5 Power Mix'!WUZ22</f>
        <v>0</v>
      </c>
      <c r="WVA42" s="1046">
        <f>WVA38+((WVA40+'NF - 5 Power Mix'!WVA14+'NF - 5 Power Mix'!WVA15)*860/10)+((('Form Sa1'!WVD835)*860)/10)+('Form Sa1'!WVD814*'Form Sa1'!WVD816/10)-'NF - 5 Power Mix'!WVA21-'NF - 5 Power Mix'!WVA22</f>
        <v>0</v>
      </c>
      <c r="WVB42" s="1046">
        <f>WVB38+((WVB40+'NF - 5 Power Mix'!WVB14+'NF - 5 Power Mix'!WVB15)*860/10)+((('Form Sa1'!WVE835)*860)/10)+('Form Sa1'!WVE814*'Form Sa1'!WVE816/10)-'NF - 5 Power Mix'!WVB21-'NF - 5 Power Mix'!WVB22</f>
        <v>0</v>
      </c>
      <c r="WVC42" s="1046">
        <f>WVC38+((WVC40+'NF - 5 Power Mix'!WVC14+'NF - 5 Power Mix'!WVC15)*860/10)+((('Form Sa1'!WVF835)*860)/10)+('Form Sa1'!WVF814*'Form Sa1'!WVF816/10)-'NF - 5 Power Mix'!WVC21-'NF - 5 Power Mix'!WVC22</f>
        <v>0</v>
      </c>
      <c r="WVD42" s="1046">
        <f>WVD38+((WVD40+'NF - 5 Power Mix'!WVD14+'NF - 5 Power Mix'!WVD15)*860/10)+((('Form Sa1'!WVG835)*860)/10)+('Form Sa1'!WVG814*'Form Sa1'!WVG816/10)-'NF - 5 Power Mix'!WVD21-'NF - 5 Power Mix'!WVD22</f>
        <v>0</v>
      </c>
      <c r="WVE42" s="1046">
        <f>WVE38+((WVE40+'NF - 5 Power Mix'!WVE14+'NF - 5 Power Mix'!WVE15)*860/10)+((('Form Sa1'!WVH835)*860)/10)+('Form Sa1'!WVH814*'Form Sa1'!WVH816/10)-'NF - 5 Power Mix'!WVE21-'NF - 5 Power Mix'!WVE22</f>
        <v>0</v>
      </c>
      <c r="WVF42" s="1046">
        <f>WVF38+((WVF40+'NF - 5 Power Mix'!WVF14+'NF - 5 Power Mix'!WVF15)*860/10)+((('Form Sa1'!WVI835)*860)/10)+('Form Sa1'!WVI814*'Form Sa1'!WVI816/10)-'NF - 5 Power Mix'!WVF21-'NF - 5 Power Mix'!WVF22</f>
        <v>0</v>
      </c>
      <c r="WVG42" s="1046">
        <f>WVG38+((WVG40+'NF - 5 Power Mix'!WVG14+'NF - 5 Power Mix'!WVG15)*860/10)+((('Form Sa1'!WVJ835)*860)/10)+('Form Sa1'!WVJ814*'Form Sa1'!WVJ816/10)-'NF - 5 Power Mix'!WVG21-'NF - 5 Power Mix'!WVG22</f>
        <v>0</v>
      </c>
      <c r="WVH42" s="1046">
        <f>WVH38+((WVH40+'NF - 5 Power Mix'!WVH14+'NF - 5 Power Mix'!WVH15)*860/10)+((('Form Sa1'!WVK835)*860)/10)+('Form Sa1'!WVK814*'Form Sa1'!WVK816/10)-'NF - 5 Power Mix'!WVH21-'NF - 5 Power Mix'!WVH22</f>
        <v>0</v>
      </c>
      <c r="WVI42" s="1046">
        <f>WVI38+((WVI40+'NF - 5 Power Mix'!WVI14+'NF - 5 Power Mix'!WVI15)*860/10)+((('Form Sa1'!WVL835)*860)/10)+('Form Sa1'!WVL814*'Form Sa1'!WVL816/10)-'NF - 5 Power Mix'!WVI21-'NF - 5 Power Mix'!WVI22</f>
        <v>0</v>
      </c>
      <c r="WVJ42" s="1046">
        <f>WVJ38+((WVJ40+'NF - 5 Power Mix'!WVJ14+'NF - 5 Power Mix'!WVJ15)*860/10)+((('Form Sa1'!WVM835)*860)/10)+('Form Sa1'!WVM814*'Form Sa1'!WVM816/10)-'NF - 5 Power Mix'!WVJ21-'NF - 5 Power Mix'!WVJ22</f>
        <v>0</v>
      </c>
      <c r="WVK42" s="1046">
        <f>WVK38+((WVK40+'NF - 5 Power Mix'!WVK14+'NF - 5 Power Mix'!WVK15)*860/10)+((('Form Sa1'!WVN835)*860)/10)+('Form Sa1'!WVN814*'Form Sa1'!WVN816/10)-'NF - 5 Power Mix'!WVK21-'NF - 5 Power Mix'!WVK22</f>
        <v>0</v>
      </c>
      <c r="WVL42" s="1046">
        <f>WVL38+((WVL40+'NF - 5 Power Mix'!WVL14+'NF - 5 Power Mix'!WVL15)*860/10)+((('Form Sa1'!WVO835)*860)/10)+('Form Sa1'!WVO814*'Form Sa1'!WVO816/10)-'NF - 5 Power Mix'!WVL21-'NF - 5 Power Mix'!WVL22</f>
        <v>0</v>
      </c>
      <c r="WVM42" s="1046">
        <f>WVM38+((WVM40+'NF - 5 Power Mix'!WVM14+'NF - 5 Power Mix'!WVM15)*860/10)+((('Form Sa1'!WVP835)*860)/10)+('Form Sa1'!WVP814*'Form Sa1'!WVP816/10)-'NF - 5 Power Mix'!WVM21-'NF - 5 Power Mix'!WVM22</f>
        <v>0</v>
      </c>
      <c r="WVN42" s="1046">
        <f>WVN38+((WVN40+'NF - 5 Power Mix'!WVN14+'NF - 5 Power Mix'!WVN15)*860/10)+((('Form Sa1'!WVQ835)*860)/10)+('Form Sa1'!WVQ814*'Form Sa1'!WVQ816/10)-'NF - 5 Power Mix'!WVN21-'NF - 5 Power Mix'!WVN22</f>
        <v>0</v>
      </c>
      <c r="WVO42" s="1046">
        <f>WVO38+((WVO40+'NF - 5 Power Mix'!WVO14+'NF - 5 Power Mix'!WVO15)*860/10)+((('Form Sa1'!WVR835)*860)/10)+('Form Sa1'!WVR814*'Form Sa1'!WVR816/10)-'NF - 5 Power Mix'!WVO21-'NF - 5 Power Mix'!WVO22</f>
        <v>0</v>
      </c>
      <c r="WVP42" s="1046">
        <f>WVP38+((WVP40+'NF - 5 Power Mix'!WVP14+'NF - 5 Power Mix'!WVP15)*860/10)+((('Form Sa1'!WVS835)*860)/10)+('Form Sa1'!WVS814*'Form Sa1'!WVS816/10)-'NF - 5 Power Mix'!WVP21-'NF - 5 Power Mix'!WVP22</f>
        <v>0</v>
      </c>
      <c r="WVQ42" s="1046">
        <f>WVQ38+((WVQ40+'NF - 5 Power Mix'!WVQ14+'NF - 5 Power Mix'!WVQ15)*860/10)+((('Form Sa1'!WVT835)*860)/10)+('Form Sa1'!WVT814*'Form Sa1'!WVT816/10)-'NF - 5 Power Mix'!WVQ21-'NF - 5 Power Mix'!WVQ22</f>
        <v>0</v>
      </c>
      <c r="WVR42" s="1046">
        <f>WVR38+((WVR40+'NF - 5 Power Mix'!WVR14+'NF - 5 Power Mix'!WVR15)*860/10)+((('Form Sa1'!WVU835)*860)/10)+('Form Sa1'!WVU814*'Form Sa1'!WVU816/10)-'NF - 5 Power Mix'!WVR21-'NF - 5 Power Mix'!WVR22</f>
        <v>0</v>
      </c>
      <c r="WVS42" s="1046">
        <f>WVS38+((WVS40+'NF - 5 Power Mix'!WVS14+'NF - 5 Power Mix'!WVS15)*860/10)+((('Form Sa1'!WVV835)*860)/10)+('Form Sa1'!WVV814*'Form Sa1'!WVV816/10)-'NF - 5 Power Mix'!WVS21-'NF - 5 Power Mix'!WVS22</f>
        <v>0</v>
      </c>
      <c r="WVT42" s="1046">
        <f>WVT38+((WVT40+'NF - 5 Power Mix'!WVT14+'NF - 5 Power Mix'!WVT15)*860/10)+((('Form Sa1'!WVW835)*860)/10)+('Form Sa1'!WVW814*'Form Sa1'!WVW816/10)-'NF - 5 Power Mix'!WVT21-'NF - 5 Power Mix'!WVT22</f>
        <v>0</v>
      </c>
      <c r="WVU42" s="1046">
        <f>WVU38+((WVU40+'NF - 5 Power Mix'!WVU14+'NF - 5 Power Mix'!WVU15)*860/10)+((('Form Sa1'!WVX835)*860)/10)+('Form Sa1'!WVX814*'Form Sa1'!WVX816/10)-'NF - 5 Power Mix'!WVU21-'NF - 5 Power Mix'!WVU22</f>
        <v>0</v>
      </c>
      <c r="WVV42" s="1046">
        <f>WVV38+((WVV40+'NF - 5 Power Mix'!WVV14+'NF - 5 Power Mix'!WVV15)*860/10)+((('Form Sa1'!WVY835)*860)/10)+('Form Sa1'!WVY814*'Form Sa1'!WVY816/10)-'NF - 5 Power Mix'!WVV21-'NF - 5 Power Mix'!WVV22</f>
        <v>0</v>
      </c>
      <c r="WVW42" s="1046">
        <f>WVW38+((WVW40+'NF - 5 Power Mix'!WVW14+'NF - 5 Power Mix'!WVW15)*860/10)+((('Form Sa1'!WVZ835)*860)/10)+('Form Sa1'!WVZ814*'Form Sa1'!WVZ816/10)-'NF - 5 Power Mix'!WVW21-'NF - 5 Power Mix'!WVW22</f>
        <v>0</v>
      </c>
      <c r="WVX42" s="1046">
        <f>WVX38+((WVX40+'NF - 5 Power Mix'!WVX14+'NF - 5 Power Mix'!WVX15)*860/10)+((('Form Sa1'!WWA835)*860)/10)+('Form Sa1'!WWA814*'Form Sa1'!WWA816/10)-'NF - 5 Power Mix'!WVX21-'NF - 5 Power Mix'!WVX22</f>
        <v>0</v>
      </c>
      <c r="WVY42" s="1046">
        <f>WVY38+((WVY40+'NF - 5 Power Mix'!WVY14+'NF - 5 Power Mix'!WVY15)*860/10)+((('Form Sa1'!WWB835)*860)/10)+('Form Sa1'!WWB814*'Form Sa1'!WWB816/10)-'NF - 5 Power Mix'!WVY21-'NF - 5 Power Mix'!WVY22</f>
        <v>0</v>
      </c>
      <c r="WVZ42" s="1046">
        <f>WVZ38+((WVZ40+'NF - 5 Power Mix'!WVZ14+'NF - 5 Power Mix'!WVZ15)*860/10)+((('Form Sa1'!WWC835)*860)/10)+('Form Sa1'!WWC814*'Form Sa1'!WWC816/10)-'NF - 5 Power Mix'!WVZ21-'NF - 5 Power Mix'!WVZ22</f>
        <v>0</v>
      </c>
      <c r="WWA42" s="1046">
        <f>WWA38+((WWA40+'NF - 5 Power Mix'!WWA14+'NF - 5 Power Mix'!WWA15)*860/10)+((('Form Sa1'!WWD835)*860)/10)+('Form Sa1'!WWD814*'Form Sa1'!WWD816/10)-'NF - 5 Power Mix'!WWA21-'NF - 5 Power Mix'!WWA22</f>
        <v>0</v>
      </c>
      <c r="WWB42" s="1046">
        <f>WWB38+((WWB40+'NF - 5 Power Mix'!WWB14+'NF - 5 Power Mix'!WWB15)*860/10)+((('Form Sa1'!WWE835)*860)/10)+('Form Sa1'!WWE814*'Form Sa1'!WWE816/10)-'NF - 5 Power Mix'!WWB21-'NF - 5 Power Mix'!WWB22</f>
        <v>0</v>
      </c>
      <c r="WWC42" s="1046">
        <f>WWC38+((WWC40+'NF - 5 Power Mix'!WWC14+'NF - 5 Power Mix'!WWC15)*860/10)+((('Form Sa1'!WWF835)*860)/10)+('Form Sa1'!WWF814*'Form Sa1'!WWF816/10)-'NF - 5 Power Mix'!WWC21-'NF - 5 Power Mix'!WWC22</f>
        <v>0</v>
      </c>
      <c r="WWD42" s="1046">
        <f>WWD38+((WWD40+'NF - 5 Power Mix'!WWD14+'NF - 5 Power Mix'!WWD15)*860/10)+((('Form Sa1'!WWG835)*860)/10)+('Form Sa1'!WWG814*'Form Sa1'!WWG816/10)-'NF - 5 Power Mix'!WWD21-'NF - 5 Power Mix'!WWD22</f>
        <v>0</v>
      </c>
      <c r="WWE42" s="1046">
        <f>WWE38+((WWE40+'NF - 5 Power Mix'!WWE14+'NF - 5 Power Mix'!WWE15)*860/10)+((('Form Sa1'!WWH835)*860)/10)+('Form Sa1'!WWH814*'Form Sa1'!WWH816/10)-'NF - 5 Power Mix'!WWE21-'NF - 5 Power Mix'!WWE22</f>
        <v>0</v>
      </c>
      <c r="WWF42" s="1046">
        <f>WWF38+((WWF40+'NF - 5 Power Mix'!WWF14+'NF - 5 Power Mix'!WWF15)*860/10)+((('Form Sa1'!WWI835)*860)/10)+('Form Sa1'!WWI814*'Form Sa1'!WWI816/10)-'NF - 5 Power Mix'!WWF21-'NF - 5 Power Mix'!WWF22</f>
        <v>0</v>
      </c>
      <c r="WWG42" s="1046">
        <f>WWG38+((WWG40+'NF - 5 Power Mix'!WWG14+'NF - 5 Power Mix'!WWG15)*860/10)+((('Form Sa1'!WWJ835)*860)/10)+('Form Sa1'!WWJ814*'Form Sa1'!WWJ816/10)-'NF - 5 Power Mix'!WWG21-'NF - 5 Power Mix'!WWG22</f>
        <v>0</v>
      </c>
      <c r="WWH42" s="1046">
        <f>WWH38+((WWH40+'NF - 5 Power Mix'!WWH14+'NF - 5 Power Mix'!WWH15)*860/10)+((('Form Sa1'!WWK835)*860)/10)+('Form Sa1'!WWK814*'Form Sa1'!WWK816/10)-'NF - 5 Power Mix'!WWH21-'NF - 5 Power Mix'!WWH22</f>
        <v>0</v>
      </c>
      <c r="WWI42" s="1046">
        <f>WWI38+((WWI40+'NF - 5 Power Mix'!WWI14+'NF - 5 Power Mix'!WWI15)*860/10)+((('Form Sa1'!WWL835)*860)/10)+('Form Sa1'!WWL814*'Form Sa1'!WWL816/10)-'NF - 5 Power Mix'!WWI21-'NF - 5 Power Mix'!WWI22</f>
        <v>0</v>
      </c>
      <c r="WWJ42" s="1046">
        <f>WWJ38+((WWJ40+'NF - 5 Power Mix'!WWJ14+'NF - 5 Power Mix'!WWJ15)*860/10)+((('Form Sa1'!WWM835)*860)/10)+('Form Sa1'!WWM814*'Form Sa1'!WWM816/10)-'NF - 5 Power Mix'!WWJ21-'NF - 5 Power Mix'!WWJ22</f>
        <v>0</v>
      </c>
      <c r="WWK42" s="1046">
        <f>WWK38+((WWK40+'NF - 5 Power Mix'!WWK14+'NF - 5 Power Mix'!WWK15)*860/10)+((('Form Sa1'!WWN835)*860)/10)+('Form Sa1'!WWN814*'Form Sa1'!WWN816/10)-'NF - 5 Power Mix'!WWK21-'NF - 5 Power Mix'!WWK22</f>
        <v>0</v>
      </c>
      <c r="WWL42" s="1046">
        <f>WWL38+((WWL40+'NF - 5 Power Mix'!WWL14+'NF - 5 Power Mix'!WWL15)*860/10)+((('Form Sa1'!WWO835)*860)/10)+('Form Sa1'!WWO814*'Form Sa1'!WWO816/10)-'NF - 5 Power Mix'!WWL21-'NF - 5 Power Mix'!WWL22</f>
        <v>0</v>
      </c>
      <c r="WWM42" s="1046">
        <f>WWM38+((WWM40+'NF - 5 Power Mix'!WWM14+'NF - 5 Power Mix'!WWM15)*860/10)+((('Form Sa1'!WWP835)*860)/10)+('Form Sa1'!WWP814*'Form Sa1'!WWP816/10)-'NF - 5 Power Mix'!WWM21-'NF - 5 Power Mix'!WWM22</f>
        <v>0</v>
      </c>
      <c r="WWN42" s="1046">
        <f>WWN38+((WWN40+'NF - 5 Power Mix'!WWN14+'NF - 5 Power Mix'!WWN15)*860/10)+((('Form Sa1'!WWQ835)*860)/10)+('Form Sa1'!WWQ814*'Form Sa1'!WWQ816/10)-'NF - 5 Power Mix'!WWN21-'NF - 5 Power Mix'!WWN22</f>
        <v>0</v>
      </c>
      <c r="WWO42" s="1046">
        <f>WWO38+((WWO40+'NF - 5 Power Mix'!WWO14+'NF - 5 Power Mix'!WWO15)*860/10)+((('Form Sa1'!WWR835)*860)/10)+('Form Sa1'!WWR814*'Form Sa1'!WWR816/10)-'NF - 5 Power Mix'!WWO21-'NF - 5 Power Mix'!WWO22</f>
        <v>0</v>
      </c>
      <c r="WWP42" s="1046">
        <f>WWP38+((WWP40+'NF - 5 Power Mix'!WWP14+'NF - 5 Power Mix'!WWP15)*860/10)+((('Form Sa1'!WWS835)*860)/10)+('Form Sa1'!WWS814*'Form Sa1'!WWS816/10)-'NF - 5 Power Mix'!WWP21-'NF - 5 Power Mix'!WWP22</f>
        <v>0</v>
      </c>
      <c r="WWQ42" s="1046">
        <f>WWQ38+((WWQ40+'NF - 5 Power Mix'!WWQ14+'NF - 5 Power Mix'!WWQ15)*860/10)+((('Form Sa1'!WWT835)*860)/10)+('Form Sa1'!WWT814*'Form Sa1'!WWT816/10)-'NF - 5 Power Mix'!WWQ21-'NF - 5 Power Mix'!WWQ22</f>
        <v>0</v>
      </c>
      <c r="WWR42" s="1046">
        <f>WWR38+((WWR40+'NF - 5 Power Mix'!WWR14+'NF - 5 Power Mix'!WWR15)*860/10)+((('Form Sa1'!WWU835)*860)/10)+('Form Sa1'!WWU814*'Form Sa1'!WWU816/10)-'NF - 5 Power Mix'!WWR21-'NF - 5 Power Mix'!WWR22</f>
        <v>0</v>
      </c>
      <c r="WWS42" s="1046">
        <f>WWS38+((WWS40+'NF - 5 Power Mix'!WWS14+'NF - 5 Power Mix'!WWS15)*860/10)+((('Form Sa1'!WWV835)*860)/10)+('Form Sa1'!WWV814*'Form Sa1'!WWV816/10)-'NF - 5 Power Mix'!WWS21-'NF - 5 Power Mix'!WWS22</f>
        <v>0</v>
      </c>
      <c r="WWT42" s="1046">
        <f>WWT38+((WWT40+'NF - 5 Power Mix'!WWT14+'NF - 5 Power Mix'!WWT15)*860/10)+((('Form Sa1'!WWW835)*860)/10)+('Form Sa1'!WWW814*'Form Sa1'!WWW816/10)-'NF - 5 Power Mix'!WWT21-'NF - 5 Power Mix'!WWT22</f>
        <v>0</v>
      </c>
      <c r="WWU42" s="1046">
        <f>WWU38+((WWU40+'NF - 5 Power Mix'!WWU14+'NF - 5 Power Mix'!WWU15)*860/10)+((('Form Sa1'!WWX835)*860)/10)+('Form Sa1'!WWX814*'Form Sa1'!WWX816/10)-'NF - 5 Power Mix'!WWU21-'NF - 5 Power Mix'!WWU22</f>
        <v>0</v>
      </c>
      <c r="WWV42" s="1046">
        <f>WWV38+((WWV40+'NF - 5 Power Mix'!WWV14+'NF - 5 Power Mix'!WWV15)*860/10)+((('Form Sa1'!WWY835)*860)/10)+('Form Sa1'!WWY814*'Form Sa1'!WWY816/10)-'NF - 5 Power Mix'!WWV21-'NF - 5 Power Mix'!WWV22</f>
        <v>0</v>
      </c>
      <c r="WWW42" s="1046">
        <f>WWW38+((WWW40+'NF - 5 Power Mix'!WWW14+'NF - 5 Power Mix'!WWW15)*860/10)+((('Form Sa1'!WWZ835)*860)/10)+('Form Sa1'!WWZ814*'Form Sa1'!WWZ816/10)-'NF - 5 Power Mix'!WWW21-'NF - 5 Power Mix'!WWW22</f>
        <v>0</v>
      </c>
      <c r="WWX42" s="1046">
        <f>WWX38+((WWX40+'NF - 5 Power Mix'!WWX14+'NF - 5 Power Mix'!WWX15)*860/10)+((('Form Sa1'!WXA835)*860)/10)+('Form Sa1'!WXA814*'Form Sa1'!WXA816/10)-'NF - 5 Power Mix'!WWX21-'NF - 5 Power Mix'!WWX22</f>
        <v>0</v>
      </c>
      <c r="WWY42" s="1046">
        <f>WWY38+((WWY40+'NF - 5 Power Mix'!WWY14+'NF - 5 Power Mix'!WWY15)*860/10)+((('Form Sa1'!WXB835)*860)/10)+('Form Sa1'!WXB814*'Form Sa1'!WXB816/10)-'NF - 5 Power Mix'!WWY21-'NF - 5 Power Mix'!WWY22</f>
        <v>0</v>
      </c>
      <c r="WWZ42" s="1046">
        <f>WWZ38+((WWZ40+'NF - 5 Power Mix'!WWZ14+'NF - 5 Power Mix'!WWZ15)*860/10)+((('Form Sa1'!WXC835)*860)/10)+('Form Sa1'!WXC814*'Form Sa1'!WXC816/10)-'NF - 5 Power Mix'!WWZ21-'NF - 5 Power Mix'!WWZ22</f>
        <v>0</v>
      </c>
      <c r="WXA42" s="1046">
        <f>WXA38+((WXA40+'NF - 5 Power Mix'!WXA14+'NF - 5 Power Mix'!WXA15)*860/10)+((('Form Sa1'!WXD835)*860)/10)+('Form Sa1'!WXD814*'Form Sa1'!WXD816/10)-'NF - 5 Power Mix'!WXA21-'NF - 5 Power Mix'!WXA22</f>
        <v>0</v>
      </c>
      <c r="WXB42" s="1046">
        <f>WXB38+((WXB40+'NF - 5 Power Mix'!WXB14+'NF - 5 Power Mix'!WXB15)*860/10)+((('Form Sa1'!WXE835)*860)/10)+('Form Sa1'!WXE814*'Form Sa1'!WXE816/10)-'NF - 5 Power Mix'!WXB21-'NF - 5 Power Mix'!WXB22</f>
        <v>0</v>
      </c>
      <c r="WXC42" s="1046">
        <f>WXC38+((WXC40+'NF - 5 Power Mix'!WXC14+'NF - 5 Power Mix'!WXC15)*860/10)+((('Form Sa1'!WXF835)*860)/10)+('Form Sa1'!WXF814*'Form Sa1'!WXF816/10)-'NF - 5 Power Mix'!WXC21-'NF - 5 Power Mix'!WXC22</f>
        <v>0</v>
      </c>
      <c r="WXD42" s="1046">
        <f>WXD38+((WXD40+'NF - 5 Power Mix'!WXD14+'NF - 5 Power Mix'!WXD15)*860/10)+((('Form Sa1'!WXG835)*860)/10)+('Form Sa1'!WXG814*'Form Sa1'!WXG816/10)-'NF - 5 Power Mix'!WXD21-'NF - 5 Power Mix'!WXD22</f>
        <v>0</v>
      </c>
      <c r="WXE42" s="1046">
        <f>WXE38+((WXE40+'NF - 5 Power Mix'!WXE14+'NF - 5 Power Mix'!WXE15)*860/10)+((('Form Sa1'!WXH835)*860)/10)+('Form Sa1'!WXH814*'Form Sa1'!WXH816/10)-'NF - 5 Power Mix'!WXE21-'NF - 5 Power Mix'!WXE22</f>
        <v>0</v>
      </c>
      <c r="WXF42" s="1046">
        <f>WXF38+((WXF40+'NF - 5 Power Mix'!WXF14+'NF - 5 Power Mix'!WXF15)*860/10)+((('Form Sa1'!WXI835)*860)/10)+('Form Sa1'!WXI814*'Form Sa1'!WXI816/10)-'NF - 5 Power Mix'!WXF21-'NF - 5 Power Mix'!WXF22</f>
        <v>0</v>
      </c>
      <c r="WXG42" s="1046">
        <f>WXG38+((WXG40+'NF - 5 Power Mix'!WXG14+'NF - 5 Power Mix'!WXG15)*860/10)+((('Form Sa1'!WXJ835)*860)/10)+('Form Sa1'!WXJ814*'Form Sa1'!WXJ816/10)-'NF - 5 Power Mix'!WXG21-'NF - 5 Power Mix'!WXG22</f>
        <v>0</v>
      </c>
      <c r="WXH42" s="1046">
        <f>WXH38+((WXH40+'NF - 5 Power Mix'!WXH14+'NF - 5 Power Mix'!WXH15)*860/10)+((('Form Sa1'!WXK835)*860)/10)+('Form Sa1'!WXK814*'Form Sa1'!WXK816/10)-'NF - 5 Power Mix'!WXH21-'NF - 5 Power Mix'!WXH22</f>
        <v>0</v>
      </c>
      <c r="WXI42" s="1046">
        <f>WXI38+((WXI40+'NF - 5 Power Mix'!WXI14+'NF - 5 Power Mix'!WXI15)*860/10)+((('Form Sa1'!WXL835)*860)/10)+('Form Sa1'!WXL814*'Form Sa1'!WXL816/10)-'NF - 5 Power Mix'!WXI21-'NF - 5 Power Mix'!WXI22</f>
        <v>0</v>
      </c>
      <c r="WXJ42" s="1046">
        <f>WXJ38+((WXJ40+'NF - 5 Power Mix'!WXJ14+'NF - 5 Power Mix'!WXJ15)*860/10)+((('Form Sa1'!WXM835)*860)/10)+('Form Sa1'!WXM814*'Form Sa1'!WXM816/10)-'NF - 5 Power Mix'!WXJ21-'NF - 5 Power Mix'!WXJ22</f>
        <v>0</v>
      </c>
      <c r="WXK42" s="1046">
        <f>WXK38+((WXK40+'NF - 5 Power Mix'!WXK14+'NF - 5 Power Mix'!WXK15)*860/10)+((('Form Sa1'!WXN835)*860)/10)+('Form Sa1'!WXN814*'Form Sa1'!WXN816/10)-'NF - 5 Power Mix'!WXK21-'NF - 5 Power Mix'!WXK22</f>
        <v>0</v>
      </c>
      <c r="WXL42" s="1046">
        <f>WXL38+((WXL40+'NF - 5 Power Mix'!WXL14+'NF - 5 Power Mix'!WXL15)*860/10)+((('Form Sa1'!WXO835)*860)/10)+('Form Sa1'!WXO814*'Form Sa1'!WXO816/10)-'NF - 5 Power Mix'!WXL21-'NF - 5 Power Mix'!WXL22</f>
        <v>0</v>
      </c>
      <c r="WXM42" s="1046">
        <f>WXM38+((WXM40+'NF - 5 Power Mix'!WXM14+'NF - 5 Power Mix'!WXM15)*860/10)+((('Form Sa1'!WXP835)*860)/10)+('Form Sa1'!WXP814*'Form Sa1'!WXP816/10)-'NF - 5 Power Mix'!WXM21-'NF - 5 Power Mix'!WXM22</f>
        <v>0</v>
      </c>
      <c r="WXN42" s="1046">
        <f>WXN38+((WXN40+'NF - 5 Power Mix'!WXN14+'NF - 5 Power Mix'!WXN15)*860/10)+((('Form Sa1'!WXQ835)*860)/10)+('Form Sa1'!WXQ814*'Form Sa1'!WXQ816/10)-'NF - 5 Power Mix'!WXN21-'NF - 5 Power Mix'!WXN22</f>
        <v>0</v>
      </c>
      <c r="WXO42" s="1046">
        <f>WXO38+((WXO40+'NF - 5 Power Mix'!WXO14+'NF - 5 Power Mix'!WXO15)*860/10)+((('Form Sa1'!WXR835)*860)/10)+('Form Sa1'!WXR814*'Form Sa1'!WXR816/10)-'NF - 5 Power Mix'!WXO21-'NF - 5 Power Mix'!WXO22</f>
        <v>0</v>
      </c>
      <c r="WXP42" s="1046">
        <f>WXP38+((WXP40+'NF - 5 Power Mix'!WXP14+'NF - 5 Power Mix'!WXP15)*860/10)+((('Form Sa1'!WXS835)*860)/10)+('Form Sa1'!WXS814*'Form Sa1'!WXS816/10)-'NF - 5 Power Mix'!WXP21-'NF - 5 Power Mix'!WXP22</f>
        <v>0</v>
      </c>
      <c r="WXQ42" s="1046">
        <f>WXQ38+((WXQ40+'NF - 5 Power Mix'!WXQ14+'NF - 5 Power Mix'!WXQ15)*860/10)+((('Form Sa1'!WXT835)*860)/10)+('Form Sa1'!WXT814*'Form Sa1'!WXT816/10)-'NF - 5 Power Mix'!WXQ21-'NF - 5 Power Mix'!WXQ22</f>
        <v>0</v>
      </c>
      <c r="WXR42" s="1046">
        <f>WXR38+((WXR40+'NF - 5 Power Mix'!WXR14+'NF - 5 Power Mix'!WXR15)*860/10)+((('Form Sa1'!WXU835)*860)/10)+('Form Sa1'!WXU814*'Form Sa1'!WXU816/10)-'NF - 5 Power Mix'!WXR21-'NF - 5 Power Mix'!WXR22</f>
        <v>0</v>
      </c>
      <c r="WXS42" s="1046">
        <f>WXS38+((WXS40+'NF - 5 Power Mix'!WXS14+'NF - 5 Power Mix'!WXS15)*860/10)+((('Form Sa1'!WXV835)*860)/10)+('Form Sa1'!WXV814*'Form Sa1'!WXV816/10)-'NF - 5 Power Mix'!WXS21-'NF - 5 Power Mix'!WXS22</f>
        <v>0</v>
      </c>
      <c r="WXT42" s="1046">
        <f>WXT38+((WXT40+'NF - 5 Power Mix'!WXT14+'NF - 5 Power Mix'!WXT15)*860/10)+((('Form Sa1'!WXW835)*860)/10)+('Form Sa1'!WXW814*'Form Sa1'!WXW816/10)-'NF - 5 Power Mix'!WXT21-'NF - 5 Power Mix'!WXT22</f>
        <v>0</v>
      </c>
      <c r="WXU42" s="1046">
        <f>WXU38+((WXU40+'NF - 5 Power Mix'!WXU14+'NF - 5 Power Mix'!WXU15)*860/10)+((('Form Sa1'!WXX835)*860)/10)+('Form Sa1'!WXX814*'Form Sa1'!WXX816/10)-'NF - 5 Power Mix'!WXU21-'NF - 5 Power Mix'!WXU22</f>
        <v>0</v>
      </c>
      <c r="WXV42" s="1046">
        <f>WXV38+((WXV40+'NF - 5 Power Mix'!WXV14+'NF - 5 Power Mix'!WXV15)*860/10)+((('Form Sa1'!WXY835)*860)/10)+('Form Sa1'!WXY814*'Form Sa1'!WXY816/10)-'NF - 5 Power Mix'!WXV21-'NF - 5 Power Mix'!WXV22</f>
        <v>0</v>
      </c>
      <c r="WXW42" s="1046">
        <f>WXW38+((WXW40+'NF - 5 Power Mix'!WXW14+'NF - 5 Power Mix'!WXW15)*860/10)+((('Form Sa1'!WXZ835)*860)/10)+('Form Sa1'!WXZ814*'Form Sa1'!WXZ816/10)-'NF - 5 Power Mix'!WXW21-'NF - 5 Power Mix'!WXW22</f>
        <v>0</v>
      </c>
      <c r="WXX42" s="1046">
        <f>WXX38+((WXX40+'NF - 5 Power Mix'!WXX14+'NF - 5 Power Mix'!WXX15)*860/10)+((('Form Sa1'!WYA835)*860)/10)+('Form Sa1'!WYA814*'Form Sa1'!WYA816/10)-'NF - 5 Power Mix'!WXX21-'NF - 5 Power Mix'!WXX22</f>
        <v>0</v>
      </c>
      <c r="WXY42" s="1046">
        <f>WXY38+((WXY40+'NF - 5 Power Mix'!WXY14+'NF - 5 Power Mix'!WXY15)*860/10)+((('Form Sa1'!WYB835)*860)/10)+('Form Sa1'!WYB814*'Form Sa1'!WYB816/10)-'NF - 5 Power Mix'!WXY21-'NF - 5 Power Mix'!WXY22</f>
        <v>0</v>
      </c>
      <c r="WXZ42" s="1046">
        <f>WXZ38+((WXZ40+'NF - 5 Power Mix'!WXZ14+'NF - 5 Power Mix'!WXZ15)*860/10)+((('Form Sa1'!WYC835)*860)/10)+('Form Sa1'!WYC814*'Form Sa1'!WYC816/10)-'NF - 5 Power Mix'!WXZ21-'NF - 5 Power Mix'!WXZ22</f>
        <v>0</v>
      </c>
      <c r="WYA42" s="1046">
        <f>WYA38+((WYA40+'NF - 5 Power Mix'!WYA14+'NF - 5 Power Mix'!WYA15)*860/10)+((('Form Sa1'!WYD835)*860)/10)+('Form Sa1'!WYD814*'Form Sa1'!WYD816/10)-'NF - 5 Power Mix'!WYA21-'NF - 5 Power Mix'!WYA22</f>
        <v>0</v>
      </c>
      <c r="WYB42" s="1046">
        <f>WYB38+((WYB40+'NF - 5 Power Mix'!WYB14+'NF - 5 Power Mix'!WYB15)*860/10)+((('Form Sa1'!WYE835)*860)/10)+('Form Sa1'!WYE814*'Form Sa1'!WYE816/10)-'NF - 5 Power Mix'!WYB21-'NF - 5 Power Mix'!WYB22</f>
        <v>0</v>
      </c>
      <c r="WYC42" s="1046">
        <f>WYC38+((WYC40+'NF - 5 Power Mix'!WYC14+'NF - 5 Power Mix'!WYC15)*860/10)+((('Form Sa1'!WYF835)*860)/10)+('Form Sa1'!WYF814*'Form Sa1'!WYF816/10)-'NF - 5 Power Mix'!WYC21-'NF - 5 Power Mix'!WYC22</f>
        <v>0</v>
      </c>
      <c r="WYD42" s="1046">
        <f>WYD38+((WYD40+'NF - 5 Power Mix'!WYD14+'NF - 5 Power Mix'!WYD15)*860/10)+((('Form Sa1'!WYG835)*860)/10)+('Form Sa1'!WYG814*'Form Sa1'!WYG816/10)-'NF - 5 Power Mix'!WYD21-'NF - 5 Power Mix'!WYD22</f>
        <v>0</v>
      </c>
      <c r="WYE42" s="1046">
        <f>WYE38+((WYE40+'NF - 5 Power Mix'!WYE14+'NF - 5 Power Mix'!WYE15)*860/10)+((('Form Sa1'!WYH835)*860)/10)+('Form Sa1'!WYH814*'Form Sa1'!WYH816/10)-'NF - 5 Power Mix'!WYE21-'NF - 5 Power Mix'!WYE22</f>
        <v>0</v>
      </c>
      <c r="WYF42" s="1046">
        <f>WYF38+((WYF40+'NF - 5 Power Mix'!WYF14+'NF - 5 Power Mix'!WYF15)*860/10)+((('Form Sa1'!WYI835)*860)/10)+('Form Sa1'!WYI814*'Form Sa1'!WYI816/10)-'NF - 5 Power Mix'!WYF21-'NF - 5 Power Mix'!WYF22</f>
        <v>0</v>
      </c>
      <c r="WYG42" s="1046">
        <f>WYG38+((WYG40+'NF - 5 Power Mix'!WYG14+'NF - 5 Power Mix'!WYG15)*860/10)+((('Form Sa1'!WYJ835)*860)/10)+('Form Sa1'!WYJ814*'Form Sa1'!WYJ816/10)-'NF - 5 Power Mix'!WYG21-'NF - 5 Power Mix'!WYG22</f>
        <v>0</v>
      </c>
      <c r="WYH42" s="1046">
        <f>WYH38+((WYH40+'NF - 5 Power Mix'!WYH14+'NF - 5 Power Mix'!WYH15)*860/10)+((('Form Sa1'!WYK835)*860)/10)+('Form Sa1'!WYK814*'Form Sa1'!WYK816/10)-'NF - 5 Power Mix'!WYH21-'NF - 5 Power Mix'!WYH22</f>
        <v>0</v>
      </c>
      <c r="WYI42" s="1046">
        <f>WYI38+((WYI40+'NF - 5 Power Mix'!WYI14+'NF - 5 Power Mix'!WYI15)*860/10)+((('Form Sa1'!WYL835)*860)/10)+('Form Sa1'!WYL814*'Form Sa1'!WYL816/10)-'NF - 5 Power Mix'!WYI21-'NF - 5 Power Mix'!WYI22</f>
        <v>0</v>
      </c>
      <c r="WYJ42" s="1046">
        <f>WYJ38+((WYJ40+'NF - 5 Power Mix'!WYJ14+'NF - 5 Power Mix'!WYJ15)*860/10)+((('Form Sa1'!WYM835)*860)/10)+('Form Sa1'!WYM814*'Form Sa1'!WYM816/10)-'NF - 5 Power Mix'!WYJ21-'NF - 5 Power Mix'!WYJ22</f>
        <v>0</v>
      </c>
      <c r="WYK42" s="1046">
        <f>WYK38+((WYK40+'NF - 5 Power Mix'!WYK14+'NF - 5 Power Mix'!WYK15)*860/10)+((('Form Sa1'!WYN835)*860)/10)+('Form Sa1'!WYN814*'Form Sa1'!WYN816/10)-'NF - 5 Power Mix'!WYK21-'NF - 5 Power Mix'!WYK22</f>
        <v>0</v>
      </c>
      <c r="WYL42" s="1046">
        <f>WYL38+((WYL40+'NF - 5 Power Mix'!WYL14+'NF - 5 Power Mix'!WYL15)*860/10)+((('Form Sa1'!WYO835)*860)/10)+('Form Sa1'!WYO814*'Form Sa1'!WYO816/10)-'NF - 5 Power Mix'!WYL21-'NF - 5 Power Mix'!WYL22</f>
        <v>0</v>
      </c>
      <c r="WYM42" s="1046">
        <f>WYM38+((WYM40+'NF - 5 Power Mix'!WYM14+'NF - 5 Power Mix'!WYM15)*860/10)+((('Form Sa1'!WYP835)*860)/10)+('Form Sa1'!WYP814*'Form Sa1'!WYP816/10)-'NF - 5 Power Mix'!WYM21-'NF - 5 Power Mix'!WYM22</f>
        <v>0</v>
      </c>
      <c r="WYN42" s="1046">
        <f>WYN38+((WYN40+'NF - 5 Power Mix'!WYN14+'NF - 5 Power Mix'!WYN15)*860/10)+((('Form Sa1'!WYQ835)*860)/10)+('Form Sa1'!WYQ814*'Form Sa1'!WYQ816/10)-'NF - 5 Power Mix'!WYN21-'NF - 5 Power Mix'!WYN22</f>
        <v>0</v>
      </c>
      <c r="WYO42" s="1046">
        <f>WYO38+((WYO40+'NF - 5 Power Mix'!WYO14+'NF - 5 Power Mix'!WYO15)*860/10)+((('Form Sa1'!WYR835)*860)/10)+('Form Sa1'!WYR814*'Form Sa1'!WYR816/10)-'NF - 5 Power Mix'!WYO21-'NF - 5 Power Mix'!WYO22</f>
        <v>0</v>
      </c>
      <c r="WYP42" s="1046">
        <f>WYP38+((WYP40+'NF - 5 Power Mix'!WYP14+'NF - 5 Power Mix'!WYP15)*860/10)+((('Form Sa1'!WYS835)*860)/10)+('Form Sa1'!WYS814*'Form Sa1'!WYS816/10)-'NF - 5 Power Mix'!WYP21-'NF - 5 Power Mix'!WYP22</f>
        <v>0</v>
      </c>
      <c r="WYQ42" s="1046">
        <f>WYQ38+((WYQ40+'NF - 5 Power Mix'!WYQ14+'NF - 5 Power Mix'!WYQ15)*860/10)+((('Form Sa1'!WYT835)*860)/10)+('Form Sa1'!WYT814*'Form Sa1'!WYT816/10)-'NF - 5 Power Mix'!WYQ21-'NF - 5 Power Mix'!WYQ22</f>
        <v>0</v>
      </c>
      <c r="WYR42" s="1046">
        <f>WYR38+((WYR40+'NF - 5 Power Mix'!WYR14+'NF - 5 Power Mix'!WYR15)*860/10)+((('Form Sa1'!WYU835)*860)/10)+('Form Sa1'!WYU814*'Form Sa1'!WYU816/10)-'NF - 5 Power Mix'!WYR21-'NF - 5 Power Mix'!WYR22</f>
        <v>0</v>
      </c>
      <c r="WYS42" s="1046">
        <f>WYS38+((WYS40+'NF - 5 Power Mix'!WYS14+'NF - 5 Power Mix'!WYS15)*860/10)+((('Form Sa1'!WYV835)*860)/10)+('Form Sa1'!WYV814*'Form Sa1'!WYV816/10)-'NF - 5 Power Mix'!WYS21-'NF - 5 Power Mix'!WYS22</f>
        <v>0</v>
      </c>
      <c r="WYT42" s="1046">
        <f>WYT38+((WYT40+'NF - 5 Power Mix'!WYT14+'NF - 5 Power Mix'!WYT15)*860/10)+((('Form Sa1'!WYW835)*860)/10)+('Form Sa1'!WYW814*'Form Sa1'!WYW816/10)-'NF - 5 Power Mix'!WYT21-'NF - 5 Power Mix'!WYT22</f>
        <v>0</v>
      </c>
      <c r="WYU42" s="1046">
        <f>WYU38+((WYU40+'NF - 5 Power Mix'!WYU14+'NF - 5 Power Mix'!WYU15)*860/10)+((('Form Sa1'!WYX835)*860)/10)+('Form Sa1'!WYX814*'Form Sa1'!WYX816/10)-'NF - 5 Power Mix'!WYU21-'NF - 5 Power Mix'!WYU22</f>
        <v>0</v>
      </c>
      <c r="WYV42" s="1046">
        <f>WYV38+((WYV40+'NF - 5 Power Mix'!WYV14+'NF - 5 Power Mix'!WYV15)*860/10)+((('Form Sa1'!WYY835)*860)/10)+('Form Sa1'!WYY814*'Form Sa1'!WYY816/10)-'NF - 5 Power Mix'!WYV21-'NF - 5 Power Mix'!WYV22</f>
        <v>0</v>
      </c>
      <c r="WYW42" s="1046">
        <f>WYW38+((WYW40+'NF - 5 Power Mix'!WYW14+'NF - 5 Power Mix'!WYW15)*860/10)+((('Form Sa1'!WYZ835)*860)/10)+('Form Sa1'!WYZ814*'Form Sa1'!WYZ816/10)-'NF - 5 Power Mix'!WYW21-'NF - 5 Power Mix'!WYW22</f>
        <v>0</v>
      </c>
      <c r="WYX42" s="1046">
        <f>WYX38+((WYX40+'NF - 5 Power Mix'!WYX14+'NF - 5 Power Mix'!WYX15)*860/10)+((('Form Sa1'!WZA835)*860)/10)+('Form Sa1'!WZA814*'Form Sa1'!WZA816/10)-'NF - 5 Power Mix'!WYX21-'NF - 5 Power Mix'!WYX22</f>
        <v>0</v>
      </c>
      <c r="WYY42" s="1046">
        <f>WYY38+((WYY40+'NF - 5 Power Mix'!WYY14+'NF - 5 Power Mix'!WYY15)*860/10)+((('Form Sa1'!WZB835)*860)/10)+('Form Sa1'!WZB814*'Form Sa1'!WZB816/10)-'NF - 5 Power Mix'!WYY21-'NF - 5 Power Mix'!WYY22</f>
        <v>0</v>
      </c>
      <c r="WYZ42" s="1046">
        <f>WYZ38+((WYZ40+'NF - 5 Power Mix'!WYZ14+'NF - 5 Power Mix'!WYZ15)*860/10)+((('Form Sa1'!WZC835)*860)/10)+('Form Sa1'!WZC814*'Form Sa1'!WZC816/10)-'NF - 5 Power Mix'!WYZ21-'NF - 5 Power Mix'!WYZ22</f>
        <v>0</v>
      </c>
      <c r="WZA42" s="1046">
        <f>WZA38+((WZA40+'NF - 5 Power Mix'!WZA14+'NF - 5 Power Mix'!WZA15)*860/10)+((('Form Sa1'!WZD835)*860)/10)+('Form Sa1'!WZD814*'Form Sa1'!WZD816/10)-'NF - 5 Power Mix'!WZA21-'NF - 5 Power Mix'!WZA22</f>
        <v>0</v>
      </c>
      <c r="WZB42" s="1046">
        <f>WZB38+((WZB40+'NF - 5 Power Mix'!WZB14+'NF - 5 Power Mix'!WZB15)*860/10)+((('Form Sa1'!WZE835)*860)/10)+('Form Sa1'!WZE814*'Form Sa1'!WZE816/10)-'NF - 5 Power Mix'!WZB21-'NF - 5 Power Mix'!WZB22</f>
        <v>0</v>
      </c>
      <c r="WZC42" s="1046">
        <f>WZC38+((WZC40+'NF - 5 Power Mix'!WZC14+'NF - 5 Power Mix'!WZC15)*860/10)+((('Form Sa1'!WZF835)*860)/10)+('Form Sa1'!WZF814*'Form Sa1'!WZF816/10)-'NF - 5 Power Mix'!WZC21-'NF - 5 Power Mix'!WZC22</f>
        <v>0</v>
      </c>
      <c r="WZD42" s="1046">
        <f>WZD38+((WZD40+'NF - 5 Power Mix'!WZD14+'NF - 5 Power Mix'!WZD15)*860/10)+((('Form Sa1'!WZG835)*860)/10)+('Form Sa1'!WZG814*'Form Sa1'!WZG816/10)-'NF - 5 Power Mix'!WZD21-'NF - 5 Power Mix'!WZD22</f>
        <v>0</v>
      </c>
      <c r="WZE42" s="1046">
        <f>WZE38+((WZE40+'NF - 5 Power Mix'!WZE14+'NF - 5 Power Mix'!WZE15)*860/10)+((('Form Sa1'!WZH835)*860)/10)+('Form Sa1'!WZH814*'Form Sa1'!WZH816/10)-'NF - 5 Power Mix'!WZE21-'NF - 5 Power Mix'!WZE22</f>
        <v>0</v>
      </c>
      <c r="WZF42" s="1046">
        <f>WZF38+((WZF40+'NF - 5 Power Mix'!WZF14+'NF - 5 Power Mix'!WZF15)*860/10)+((('Form Sa1'!WZI835)*860)/10)+('Form Sa1'!WZI814*'Form Sa1'!WZI816/10)-'NF - 5 Power Mix'!WZF21-'NF - 5 Power Mix'!WZF22</f>
        <v>0</v>
      </c>
      <c r="WZG42" s="1046">
        <f>WZG38+((WZG40+'NF - 5 Power Mix'!WZG14+'NF - 5 Power Mix'!WZG15)*860/10)+((('Form Sa1'!WZJ835)*860)/10)+('Form Sa1'!WZJ814*'Form Sa1'!WZJ816/10)-'NF - 5 Power Mix'!WZG21-'NF - 5 Power Mix'!WZG22</f>
        <v>0</v>
      </c>
      <c r="WZH42" s="1046">
        <f>WZH38+((WZH40+'NF - 5 Power Mix'!WZH14+'NF - 5 Power Mix'!WZH15)*860/10)+((('Form Sa1'!WZK835)*860)/10)+('Form Sa1'!WZK814*'Form Sa1'!WZK816/10)-'NF - 5 Power Mix'!WZH21-'NF - 5 Power Mix'!WZH22</f>
        <v>0</v>
      </c>
      <c r="WZI42" s="1046">
        <f>WZI38+((WZI40+'NF - 5 Power Mix'!WZI14+'NF - 5 Power Mix'!WZI15)*860/10)+((('Form Sa1'!WZL835)*860)/10)+('Form Sa1'!WZL814*'Form Sa1'!WZL816/10)-'NF - 5 Power Mix'!WZI21-'NF - 5 Power Mix'!WZI22</f>
        <v>0</v>
      </c>
      <c r="WZJ42" s="1046">
        <f>WZJ38+((WZJ40+'NF - 5 Power Mix'!WZJ14+'NF - 5 Power Mix'!WZJ15)*860/10)+((('Form Sa1'!WZM835)*860)/10)+('Form Sa1'!WZM814*'Form Sa1'!WZM816/10)-'NF - 5 Power Mix'!WZJ21-'NF - 5 Power Mix'!WZJ22</f>
        <v>0</v>
      </c>
      <c r="WZK42" s="1046">
        <f>WZK38+((WZK40+'NF - 5 Power Mix'!WZK14+'NF - 5 Power Mix'!WZK15)*860/10)+((('Form Sa1'!WZN835)*860)/10)+('Form Sa1'!WZN814*'Form Sa1'!WZN816/10)-'NF - 5 Power Mix'!WZK21-'NF - 5 Power Mix'!WZK22</f>
        <v>0</v>
      </c>
      <c r="WZL42" s="1046">
        <f>WZL38+((WZL40+'NF - 5 Power Mix'!WZL14+'NF - 5 Power Mix'!WZL15)*860/10)+((('Form Sa1'!WZO835)*860)/10)+('Form Sa1'!WZO814*'Form Sa1'!WZO816/10)-'NF - 5 Power Mix'!WZL21-'NF - 5 Power Mix'!WZL22</f>
        <v>0</v>
      </c>
      <c r="WZM42" s="1046">
        <f>WZM38+((WZM40+'NF - 5 Power Mix'!WZM14+'NF - 5 Power Mix'!WZM15)*860/10)+((('Form Sa1'!WZP835)*860)/10)+('Form Sa1'!WZP814*'Form Sa1'!WZP816/10)-'NF - 5 Power Mix'!WZM21-'NF - 5 Power Mix'!WZM22</f>
        <v>0</v>
      </c>
      <c r="WZN42" s="1046">
        <f>WZN38+((WZN40+'NF - 5 Power Mix'!WZN14+'NF - 5 Power Mix'!WZN15)*860/10)+((('Form Sa1'!WZQ835)*860)/10)+('Form Sa1'!WZQ814*'Form Sa1'!WZQ816/10)-'NF - 5 Power Mix'!WZN21-'NF - 5 Power Mix'!WZN22</f>
        <v>0</v>
      </c>
      <c r="WZO42" s="1046">
        <f>WZO38+((WZO40+'NF - 5 Power Mix'!WZO14+'NF - 5 Power Mix'!WZO15)*860/10)+((('Form Sa1'!WZR835)*860)/10)+('Form Sa1'!WZR814*'Form Sa1'!WZR816/10)-'NF - 5 Power Mix'!WZO21-'NF - 5 Power Mix'!WZO22</f>
        <v>0</v>
      </c>
      <c r="WZP42" s="1046">
        <f>WZP38+((WZP40+'NF - 5 Power Mix'!WZP14+'NF - 5 Power Mix'!WZP15)*860/10)+((('Form Sa1'!WZS835)*860)/10)+('Form Sa1'!WZS814*'Form Sa1'!WZS816/10)-'NF - 5 Power Mix'!WZP21-'NF - 5 Power Mix'!WZP22</f>
        <v>0</v>
      </c>
      <c r="WZQ42" s="1046">
        <f>WZQ38+((WZQ40+'NF - 5 Power Mix'!WZQ14+'NF - 5 Power Mix'!WZQ15)*860/10)+((('Form Sa1'!WZT835)*860)/10)+('Form Sa1'!WZT814*'Form Sa1'!WZT816/10)-'NF - 5 Power Mix'!WZQ21-'NF - 5 Power Mix'!WZQ22</f>
        <v>0</v>
      </c>
      <c r="WZR42" s="1046">
        <f>WZR38+((WZR40+'NF - 5 Power Mix'!WZR14+'NF - 5 Power Mix'!WZR15)*860/10)+((('Form Sa1'!WZU835)*860)/10)+('Form Sa1'!WZU814*'Form Sa1'!WZU816/10)-'NF - 5 Power Mix'!WZR21-'NF - 5 Power Mix'!WZR22</f>
        <v>0</v>
      </c>
      <c r="WZS42" s="1046">
        <f>WZS38+((WZS40+'NF - 5 Power Mix'!WZS14+'NF - 5 Power Mix'!WZS15)*860/10)+((('Form Sa1'!WZV835)*860)/10)+('Form Sa1'!WZV814*'Form Sa1'!WZV816/10)-'NF - 5 Power Mix'!WZS21-'NF - 5 Power Mix'!WZS22</f>
        <v>0</v>
      </c>
      <c r="WZT42" s="1046">
        <f>WZT38+((WZT40+'NF - 5 Power Mix'!WZT14+'NF - 5 Power Mix'!WZT15)*860/10)+((('Form Sa1'!WZW835)*860)/10)+('Form Sa1'!WZW814*'Form Sa1'!WZW816/10)-'NF - 5 Power Mix'!WZT21-'NF - 5 Power Mix'!WZT22</f>
        <v>0</v>
      </c>
      <c r="WZU42" s="1046">
        <f>WZU38+((WZU40+'NF - 5 Power Mix'!WZU14+'NF - 5 Power Mix'!WZU15)*860/10)+((('Form Sa1'!WZX835)*860)/10)+('Form Sa1'!WZX814*'Form Sa1'!WZX816/10)-'NF - 5 Power Mix'!WZU21-'NF - 5 Power Mix'!WZU22</f>
        <v>0</v>
      </c>
      <c r="WZV42" s="1046">
        <f>WZV38+((WZV40+'NF - 5 Power Mix'!WZV14+'NF - 5 Power Mix'!WZV15)*860/10)+((('Form Sa1'!WZY835)*860)/10)+('Form Sa1'!WZY814*'Form Sa1'!WZY816/10)-'NF - 5 Power Mix'!WZV21-'NF - 5 Power Mix'!WZV22</f>
        <v>0</v>
      </c>
      <c r="WZW42" s="1046">
        <f>WZW38+((WZW40+'NF - 5 Power Mix'!WZW14+'NF - 5 Power Mix'!WZW15)*860/10)+((('Form Sa1'!WZZ835)*860)/10)+('Form Sa1'!WZZ814*'Form Sa1'!WZZ816/10)-'NF - 5 Power Mix'!WZW21-'NF - 5 Power Mix'!WZW22</f>
        <v>0</v>
      </c>
      <c r="WZX42" s="1046">
        <f>WZX38+((WZX40+'NF - 5 Power Mix'!WZX14+'NF - 5 Power Mix'!WZX15)*860/10)+((('Form Sa1'!XAA835)*860)/10)+('Form Sa1'!XAA814*'Form Sa1'!XAA816/10)-'NF - 5 Power Mix'!WZX21-'NF - 5 Power Mix'!WZX22</f>
        <v>0</v>
      </c>
      <c r="WZY42" s="1046">
        <f>WZY38+((WZY40+'NF - 5 Power Mix'!WZY14+'NF - 5 Power Mix'!WZY15)*860/10)+((('Form Sa1'!XAB835)*860)/10)+('Form Sa1'!XAB814*'Form Sa1'!XAB816/10)-'NF - 5 Power Mix'!WZY21-'NF - 5 Power Mix'!WZY22</f>
        <v>0</v>
      </c>
      <c r="WZZ42" s="1046">
        <f>WZZ38+((WZZ40+'NF - 5 Power Mix'!WZZ14+'NF - 5 Power Mix'!WZZ15)*860/10)+((('Form Sa1'!XAC835)*860)/10)+('Form Sa1'!XAC814*'Form Sa1'!XAC816/10)-'NF - 5 Power Mix'!WZZ21-'NF - 5 Power Mix'!WZZ22</f>
        <v>0</v>
      </c>
      <c r="XAA42" s="1046">
        <f>XAA38+((XAA40+'NF - 5 Power Mix'!XAA14+'NF - 5 Power Mix'!XAA15)*860/10)+((('Form Sa1'!XAD835)*860)/10)+('Form Sa1'!XAD814*'Form Sa1'!XAD816/10)-'NF - 5 Power Mix'!XAA21-'NF - 5 Power Mix'!XAA22</f>
        <v>0</v>
      </c>
      <c r="XAB42" s="1046">
        <f>XAB38+((XAB40+'NF - 5 Power Mix'!XAB14+'NF - 5 Power Mix'!XAB15)*860/10)+((('Form Sa1'!XAE835)*860)/10)+('Form Sa1'!XAE814*'Form Sa1'!XAE816/10)-'NF - 5 Power Mix'!XAB21-'NF - 5 Power Mix'!XAB22</f>
        <v>0</v>
      </c>
      <c r="XAC42" s="1046">
        <f>XAC38+((XAC40+'NF - 5 Power Mix'!XAC14+'NF - 5 Power Mix'!XAC15)*860/10)+((('Form Sa1'!XAF835)*860)/10)+('Form Sa1'!XAF814*'Form Sa1'!XAF816/10)-'NF - 5 Power Mix'!XAC21-'NF - 5 Power Mix'!XAC22</f>
        <v>0</v>
      </c>
      <c r="XAD42" s="1046">
        <f>XAD38+((XAD40+'NF - 5 Power Mix'!XAD14+'NF - 5 Power Mix'!XAD15)*860/10)+((('Form Sa1'!XAG835)*860)/10)+('Form Sa1'!XAG814*'Form Sa1'!XAG816/10)-'NF - 5 Power Mix'!XAD21-'NF - 5 Power Mix'!XAD22</f>
        <v>0</v>
      </c>
      <c r="XAE42" s="1046">
        <f>XAE38+((XAE40+'NF - 5 Power Mix'!XAE14+'NF - 5 Power Mix'!XAE15)*860/10)+((('Form Sa1'!XAH835)*860)/10)+('Form Sa1'!XAH814*'Form Sa1'!XAH816/10)-'NF - 5 Power Mix'!XAE21-'NF - 5 Power Mix'!XAE22</f>
        <v>0</v>
      </c>
      <c r="XAF42" s="1046">
        <f>XAF38+((XAF40+'NF - 5 Power Mix'!XAF14+'NF - 5 Power Mix'!XAF15)*860/10)+((('Form Sa1'!XAI835)*860)/10)+('Form Sa1'!XAI814*'Form Sa1'!XAI816/10)-'NF - 5 Power Mix'!XAF21-'NF - 5 Power Mix'!XAF22</f>
        <v>0</v>
      </c>
      <c r="XAG42" s="1046">
        <f>XAG38+((XAG40+'NF - 5 Power Mix'!XAG14+'NF - 5 Power Mix'!XAG15)*860/10)+((('Form Sa1'!XAJ835)*860)/10)+('Form Sa1'!XAJ814*'Form Sa1'!XAJ816/10)-'NF - 5 Power Mix'!XAG21-'NF - 5 Power Mix'!XAG22</f>
        <v>0</v>
      </c>
      <c r="XAH42" s="1046">
        <f>XAH38+((XAH40+'NF - 5 Power Mix'!XAH14+'NF - 5 Power Mix'!XAH15)*860/10)+((('Form Sa1'!XAK835)*860)/10)+('Form Sa1'!XAK814*'Form Sa1'!XAK816/10)-'NF - 5 Power Mix'!XAH21-'NF - 5 Power Mix'!XAH22</f>
        <v>0</v>
      </c>
      <c r="XAI42" s="1046">
        <f>XAI38+((XAI40+'NF - 5 Power Mix'!XAI14+'NF - 5 Power Mix'!XAI15)*860/10)+((('Form Sa1'!XAL835)*860)/10)+('Form Sa1'!XAL814*'Form Sa1'!XAL816/10)-'NF - 5 Power Mix'!XAI21-'NF - 5 Power Mix'!XAI22</f>
        <v>0</v>
      </c>
      <c r="XAJ42" s="1046">
        <f>XAJ38+((XAJ40+'NF - 5 Power Mix'!XAJ14+'NF - 5 Power Mix'!XAJ15)*860/10)+((('Form Sa1'!XAM835)*860)/10)+('Form Sa1'!XAM814*'Form Sa1'!XAM816/10)-'NF - 5 Power Mix'!XAJ21-'NF - 5 Power Mix'!XAJ22</f>
        <v>0</v>
      </c>
      <c r="XAK42" s="1046">
        <f>XAK38+((XAK40+'NF - 5 Power Mix'!XAK14+'NF - 5 Power Mix'!XAK15)*860/10)+((('Form Sa1'!XAN835)*860)/10)+('Form Sa1'!XAN814*'Form Sa1'!XAN816/10)-'NF - 5 Power Mix'!XAK21-'NF - 5 Power Mix'!XAK22</f>
        <v>0</v>
      </c>
      <c r="XAL42" s="1046">
        <f>XAL38+((XAL40+'NF - 5 Power Mix'!XAL14+'NF - 5 Power Mix'!XAL15)*860/10)+((('Form Sa1'!XAO835)*860)/10)+('Form Sa1'!XAO814*'Form Sa1'!XAO816/10)-'NF - 5 Power Mix'!XAL21-'NF - 5 Power Mix'!XAL22</f>
        <v>0</v>
      </c>
      <c r="XAM42" s="1046">
        <f>XAM38+((XAM40+'NF - 5 Power Mix'!XAM14+'NF - 5 Power Mix'!XAM15)*860/10)+((('Form Sa1'!XAP835)*860)/10)+('Form Sa1'!XAP814*'Form Sa1'!XAP816/10)-'NF - 5 Power Mix'!XAM21-'NF - 5 Power Mix'!XAM22</f>
        <v>0</v>
      </c>
      <c r="XAN42" s="1046">
        <f>XAN38+((XAN40+'NF - 5 Power Mix'!XAN14+'NF - 5 Power Mix'!XAN15)*860/10)+((('Form Sa1'!XAQ835)*860)/10)+('Form Sa1'!XAQ814*'Form Sa1'!XAQ816/10)-'NF - 5 Power Mix'!XAN21-'NF - 5 Power Mix'!XAN22</f>
        <v>0</v>
      </c>
      <c r="XAO42" s="1046">
        <f>XAO38+((XAO40+'NF - 5 Power Mix'!XAO14+'NF - 5 Power Mix'!XAO15)*860/10)+((('Form Sa1'!XAR835)*860)/10)+('Form Sa1'!XAR814*'Form Sa1'!XAR816/10)-'NF - 5 Power Mix'!XAO21-'NF - 5 Power Mix'!XAO22</f>
        <v>0</v>
      </c>
      <c r="XAP42" s="1046">
        <f>XAP38+((XAP40+'NF - 5 Power Mix'!XAP14+'NF - 5 Power Mix'!XAP15)*860/10)+((('Form Sa1'!XAS835)*860)/10)+('Form Sa1'!XAS814*'Form Sa1'!XAS816/10)-'NF - 5 Power Mix'!XAP21-'NF - 5 Power Mix'!XAP22</f>
        <v>0</v>
      </c>
      <c r="XAQ42" s="1046">
        <f>XAQ38+((XAQ40+'NF - 5 Power Mix'!XAQ14+'NF - 5 Power Mix'!XAQ15)*860/10)+((('Form Sa1'!XAT835)*860)/10)+('Form Sa1'!XAT814*'Form Sa1'!XAT816/10)-'NF - 5 Power Mix'!XAQ21-'NF - 5 Power Mix'!XAQ22</f>
        <v>0</v>
      </c>
      <c r="XAR42" s="1046">
        <f>XAR38+((XAR40+'NF - 5 Power Mix'!XAR14+'NF - 5 Power Mix'!XAR15)*860/10)+((('Form Sa1'!XAU835)*860)/10)+('Form Sa1'!XAU814*'Form Sa1'!XAU816/10)-'NF - 5 Power Mix'!XAR21-'NF - 5 Power Mix'!XAR22</f>
        <v>0</v>
      </c>
      <c r="XAS42" s="1046">
        <f>XAS38+((XAS40+'NF - 5 Power Mix'!XAS14+'NF - 5 Power Mix'!XAS15)*860/10)+((('Form Sa1'!XAV835)*860)/10)+('Form Sa1'!XAV814*'Form Sa1'!XAV816/10)-'NF - 5 Power Mix'!XAS21-'NF - 5 Power Mix'!XAS22</f>
        <v>0</v>
      </c>
      <c r="XAT42" s="1046">
        <f>XAT38+((XAT40+'NF - 5 Power Mix'!XAT14+'NF - 5 Power Mix'!XAT15)*860/10)+((('Form Sa1'!XAW835)*860)/10)+('Form Sa1'!XAW814*'Form Sa1'!XAW816/10)-'NF - 5 Power Mix'!XAT21-'NF - 5 Power Mix'!XAT22</f>
        <v>0</v>
      </c>
      <c r="XAU42" s="1046">
        <f>XAU38+((XAU40+'NF - 5 Power Mix'!XAU14+'NF - 5 Power Mix'!XAU15)*860/10)+((('Form Sa1'!XAX835)*860)/10)+('Form Sa1'!XAX814*'Form Sa1'!XAX816/10)-'NF - 5 Power Mix'!XAU21-'NF - 5 Power Mix'!XAU22</f>
        <v>0</v>
      </c>
      <c r="XAV42" s="1046">
        <f>XAV38+((XAV40+'NF - 5 Power Mix'!XAV14+'NF - 5 Power Mix'!XAV15)*860/10)+((('Form Sa1'!XAY835)*860)/10)+('Form Sa1'!XAY814*'Form Sa1'!XAY816/10)-'NF - 5 Power Mix'!XAV21-'NF - 5 Power Mix'!XAV22</f>
        <v>0</v>
      </c>
      <c r="XAW42" s="1046">
        <f>XAW38+((XAW40+'NF - 5 Power Mix'!XAW14+'NF - 5 Power Mix'!XAW15)*860/10)+((('Form Sa1'!XAZ835)*860)/10)+('Form Sa1'!XAZ814*'Form Sa1'!XAZ816/10)-'NF - 5 Power Mix'!XAW21-'NF - 5 Power Mix'!XAW22</f>
        <v>0</v>
      </c>
      <c r="XAX42" s="1046">
        <f>XAX38+((XAX40+'NF - 5 Power Mix'!XAX14+'NF - 5 Power Mix'!XAX15)*860/10)+((('Form Sa1'!XBA835)*860)/10)+('Form Sa1'!XBA814*'Form Sa1'!XBA816/10)-'NF - 5 Power Mix'!XAX21-'NF - 5 Power Mix'!XAX22</f>
        <v>0</v>
      </c>
      <c r="XAY42" s="1046">
        <f>XAY38+((XAY40+'NF - 5 Power Mix'!XAY14+'NF - 5 Power Mix'!XAY15)*860/10)+((('Form Sa1'!XBB835)*860)/10)+('Form Sa1'!XBB814*'Form Sa1'!XBB816/10)-'NF - 5 Power Mix'!XAY21-'NF - 5 Power Mix'!XAY22</f>
        <v>0</v>
      </c>
      <c r="XAZ42" s="1046">
        <f>XAZ38+((XAZ40+'NF - 5 Power Mix'!XAZ14+'NF - 5 Power Mix'!XAZ15)*860/10)+((('Form Sa1'!XBC835)*860)/10)+('Form Sa1'!XBC814*'Form Sa1'!XBC816/10)-'NF - 5 Power Mix'!XAZ21-'NF - 5 Power Mix'!XAZ22</f>
        <v>0</v>
      </c>
      <c r="XBA42" s="1046">
        <f>XBA38+((XBA40+'NF - 5 Power Mix'!XBA14+'NF - 5 Power Mix'!XBA15)*860/10)+((('Form Sa1'!XBD835)*860)/10)+('Form Sa1'!XBD814*'Form Sa1'!XBD816/10)-'NF - 5 Power Mix'!XBA21-'NF - 5 Power Mix'!XBA22</f>
        <v>0</v>
      </c>
      <c r="XBB42" s="1046">
        <f>XBB38+((XBB40+'NF - 5 Power Mix'!XBB14+'NF - 5 Power Mix'!XBB15)*860/10)+((('Form Sa1'!XBE835)*860)/10)+('Form Sa1'!XBE814*'Form Sa1'!XBE816/10)-'NF - 5 Power Mix'!XBB21-'NF - 5 Power Mix'!XBB22</f>
        <v>0</v>
      </c>
      <c r="XBC42" s="1046">
        <f>XBC38+((XBC40+'NF - 5 Power Mix'!XBC14+'NF - 5 Power Mix'!XBC15)*860/10)+((('Form Sa1'!XBF835)*860)/10)+('Form Sa1'!XBF814*'Form Sa1'!XBF816/10)-'NF - 5 Power Mix'!XBC21-'NF - 5 Power Mix'!XBC22</f>
        <v>0</v>
      </c>
      <c r="XBD42" s="1046">
        <f>XBD38+((XBD40+'NF - 5 Power Mix'!XBD14+'NF - 5 Power Mix'!XBD15)*860/10)+((('Form Sa1'!XBG835)*860)/10)+('Form Sa1'!XBG814*'Form Sa1'!XBG816/10)-'NF - 5 Power Mix'!XBD21-'NF - 5 Power Mix'!XBD22</f>
        <v>0</v>
      </c>
      <c r="XBE42" s="1046">
        <f>XBE38+((XBE40+'NF - 5 Power Mix'!XBE14+'NF - 5 Power Mix'!XBE15)*860/10)+((('Form Sa1'!XBH835)*860)/10)+('Form Sa1'!XBH814*'Form Sa1'!XBH816/10)-'NF - 5 Power Mix'!XBE21-'NF - 5 Power Mix'!XBE22</f>
        <v>0</v>
      </c>
      <c r="XBF42" s="1046">
        <f>XBF38+((XBF40+'NF - 5 Power Mix'!XBF14+'NF - 5 Power Mix'!XBF15)*860/10)+((('Form Sa1'!XBI835)*860)/10)+('Form Sa1'!XBI814*'Form Sa1'!XBI816/10)-'NF - 5 Power Mix'!XBF21-'NF - 5 Power Mix'!XBF22</f>
        <v>0</v>
      </c>
      <c r="XBG42" s="1046">
        <f>XBG38+((XBG40+'NF - 5 Power Mix'!XBG14+'NF - 5 Power Mix'!XBG15)*860/10)+((('Form Sa1'!XBJ835)*860)/10)+('Form Sa1'!XBJ814*'Form Sa1'!XBJ816/10)-'NF - 5 Power Mix'!XBG21-'NF - 5 Power Mix'!XBG22</f>
        <v>0</v>
      </c>
      <c r="XBH42" s="1046">
        <f>XBH38+((XBH40+'NF - 5 Power Mix'!XBH14+'NF - 5 Power Mix'!XBH15)*860/10)+((('Form Sa1'!XBK835)*860)/10)+('Form Sa1'!XBK814*'Form Sa1'!XBK816/10)-'NF - 5 Power Mix'!XBH21-'NF - 5 Power Mix'!XBH22</f>
        <v>0</v>
      </c>
      <c r="XBI42" s="1046">
        <f>XBI38+((XBI40+'NF - 5 Power Mix'!XBI14+'NF - 5 Power Mix'!XBI15)*860/10)+((('Form Sa1'!XBL835)*860)/10)+('Form Sa1'!XBL814*'Form Sa1'!XBL816/10)-'NF - 5 Power Mix'!XBI21-'NF - 5 Power Mix'!XBI22</f>
        <v>0</v>
      </c>
      <c r="XBJ42" s="1046">
        <f>XBJ38+((XBJ40+'NF - 5 Power Mix'!XBJ14+'NF - 5 Power Mix'!XBJ15)*860/10)+((('Form Sa1'!XBM835)*860)/10)+('Form Sa1'!XBM814*'Form Sa1'!XBM816/10)-'NF - 5 Power Mix'!XBJ21-'NF - 5 Power Mix'!XBJ22</f>
        <v>0</v>
      </c>
      <c r="XBK42" s="1046">
        <f>XBK38+((XBK40+'NF - 5 Power Mix'!XBK14+'NF - 5 Power Mix'!XBK15)*860/10)+((('Form Sa1'!XBN835)*860)/10)+('Form Sa1'!XBN814*'Form Sa1'!XBN816/10)-'NF - 5 Power Mix'!XBK21-'NF - 5 Power Mix'!XBK22</f>
        <v>0</v>
      </c>
      <c r="XBL42" s="1046">
        <f>XBL38+((XBL40+'NF - 5 Power Mix'!XBL14+'NF - 5 Power Mix'!XBL15)*860/10)+((('Form Sa1'!XBO835)*860)/10)+('Form Sa1'!XBO814*'Form Sa1'!XBO816/10)-'NF - 5 Power Mix'!XBL21-'NF - 5 Power Mix'!XBL22</f>
        <v>0</v>
      </c>
      <c r="XBM42" s="1046">
        <f>XBM38+((XBM40+'NF - 5 Power Mix'!XBM14+'NF - 5 Power Mix'!XBM15)*860/10)+((('Form Sa1'!XBP835)*860)/10)+('Form Sa1'!XBP814*'Form Sa1'!XBP816/10)-'NF - 5 Power Mix'!XBM21-'NF - 5 Power Mix'!XBM22</f>
        <v>0</v>
      </c>
      <c r="XBN42" s="1046">
        <f>XBN38+((XBN40+'NF - 5 Power Mix'!XBN14+'NF - 5 Power Mix'!XBN15)*860/10)+((('Form Sa1'!XBQ835)*860)/10)+('Form Sa1'!XBQ814*'Form Sa1'!XBQ816/10)-'NF - 5 Power Mix'!XBN21-'NF - 5 Power Mix'!XBN22</f>
        <v>0</v>
      </c>
      <c r="XBO42" s="1046">
        <f>XBO38+((XBO40+'NF - 5 Power Mix'!XBO14+'NF - 5 Power Mix'!XBO15)*860/10)+((('Form Sa1'!XBR835)*860)/10)+('Form Sa1'!XBR814*'Form Sa1'!XBR816/10)-'NF - 5 Power Mix'!XBO21-'NF - 5 Power Mix'!XBO22</f>
        <v>0</v>
      </c>
      <c r="XBP42" s="1046">
        <f>XBP38+((XBP40+'NF - 5 Power Mix'!XBP14+'NF - 5 Power Mix'!XBP15)*860/10)+((('Form Sa1'!XBS835)*860)/10)+('Form Sa1'!XBS814*'Form Sa1'!XBS816/10)-'NF - 5 Power Mix'!XBP21-'NF - 5 Power Mix'!XBP22</f>
        <v>0</v>
      </c>
      <c r="XBQ42" s="1046">
        <f>XBQ38+((XBQ40+'NF - 5 Power Mix'!XBQ14+'NF - 5 Power Mix'!XBQ15)*860/10)+((('Form Sa1'!XBT835)*860)/10)+('Form Sa1'!XBT814*'Form Sa1'!XBT816/10)-'NF - 5 Power Mix'!XBQ21-'NF - 5 Power Mix'!XBQ22</f>
        <v>0</v>
      </c>
      <c r="XBR42" s="1046">
        <f>XBR38+((XBR40+'NF - 5 Power Mix'!XBR14+'NF - 5 Power Mix'!XBR15)*860/10)+((('Form Sa1'!XBU835)*860)/10)+('Form Sa1'!XBU814*'Form Sa1'!XBU816/10)-'NF - 5 Power Mix'!XBR21-'NF - 5 Power Mix'!XBR22</f>
        <v>0</v>
      </c>
      <c r="XBS42" s="1046">
        <f>XBS38+((XBS40+'NF - 5 Power Mix'!XBS14+'NF - 5 Power Mix'!XBS15)*860/10)+((('Form Sa1'!XBV835)*860)/10)+('Form Sa1'!XBV814*'Form Sa1'!XBV816/10)-'NF - 5 Power Mix'!XBS21-'NF - 5 Power Mix'!XBS22</f>
        <v>0</v>
      </c>
      <c r="XBT42" s="1046">
        <f>XBT38+((XBT40+'NF - 5 Power Mix'!XBT14+'NF - 5 Power Mix'!XBT15)*860/10)+((('Form Sa1'!XBW835)*860)/10)+('Form Sa1'!XBW814*'Form Sa1'!XBW816/10)-'NF - 5 Power Mix'!XBT21-'NF - 5 Power Mix'!XBT22</f>
        <v>0</v>
      </c>
      <c r="XBU42" s="1046">
        <f>XBU38+((XBU40+'NF - 5 Power Mix'!XBU14+'NF - 5 Power Mix'!XBU15)*860/10)+((('Form Sa1'!XBX835)*860)/10)+('Form Sa1'!XBX814*'Form Sa1'!XBX816/10)-'NF - 5 Power Mix'!XBU21-'NF - 5 Power Mix'!XBU22</f>
        <v>0</v>
      </c>
      <c r="XBV42" s="1046">
        <f>XBV38+((XBV40+'NF - 5 Power Mix'!XBV14+'NF - 5 Power Mix'!XBV15)*860/10)+((('Form Sa1'!XBY835)*860)/10)+('Form Sa1'!XBY814*'Form Sa1'!XBY816/10)-'NF - 5 Power Mix'!XBV21-'NF - 5 Power Mix'!XBV22</f>
        <v>0</v>
      </c>
      <c r="XBW42" s="1046">
        <f>XBW38+((XBW40+'NF - 5 Power Mix'!XBW14+'NF - 5 Power Mix'!XBW15)*860/10)+((('Form Sa1'!XBZ835)*860)/10)+('Form Sa1'!XBZ814*'Form Sa1'!XBZ816/10)-'NF - 5 Power Mix'!XBW21-'NF - 5 Power Mix'!XBW22</f>
        <v>0</v>
      </c>
      <c r="XBX42" s="1046">
        <f>XBX38+((XBX40+'NF - 5 Power Mix'!XBX14+'NF - 5 Power Mix'!XBX15)*860/10)+((('Form Sa1'!XCA835)*860)/10)+('Form Sa1'!XCA814*'Form Sa1'!XCA816/10)-'NF - 5 Power Mix'!XBX21-'NF - 5 Power Mix'!XBX22</f>
        <v>0</v>
      </c>
      <c r="XBY42" s="1046">
        <f>XBY38+((XBY40+'NF - 5 Power Mix'!XBY14+'NF - 5 Power Mix'!XBY15)*860/10)+((('Form Sa1'!XCB835)*860)/10)+('Form Sa1'!XCB814*'Form Sa1'!XCB816/10)-'NF - 5 Power Mix'!XBY21-'NF - 5 Power Mix'!XBY22</f>
        <v>0</v>
      </c>
      <c r="XBZ42" s="1046">
        <f>XBZ38+((XBZ40+'NF - 5 Power Mix'!XBZ14+'NF - 5 Power Mix'!XBZ15)*860/10)+((('Form Sa1'!XCC835)*860)/10)+('Form Sa1'!XCC814*'Form Sa1'!XCC816/10)-'NF - 5 Power Mix'!XBZ21-'NF - 5 Power Mix'!XBZ22</f>
        <v>0</v>
      </c>
      <c r="XCA42" s="1046">
        <f>XCA38+((XCA40+'NF - 5 Power Mix'!XCA14+'NF - 5 Power Mix'!XCA15)*860/10)+((('Form Sa1'!XCD835)*860)/10)+('Form Sa1'!XCD814*'Form Sa1'!XCD816/10)-'NF - 5 Power Mix'!XCA21-'NF - 5 Power Mix'!XCA22</f>
        <v>0</v>
      </c>
      <c r="XCB42" s="1046">
        <f>XCB38+((XCB40+'NF - 5 Power Mix'!XCB14+'NF - 5 Power Mix'!XCB15)*860/10)+((('Form Sa1'!XCE835)*860)/10)+('Form Sa1'!XCE814*'Form Sa1'!XCE816/10)-'NF - 5 Power Mix'!XCB21-'NF - 5 Power Mix'!XCB22</f>
        <v>0</v>
      </c>
      <c r="XCC42" s="1046">
        <f>XCC38+((XCC40+'NF - 5 Power Mix'!XCC14+'NF - 5 Power Mix'!XCC15)*860/10)+((('Form Sa1'!XCF835)*860)/10)+('Form Sa1'!XCF814*'Form Sa1'!XCF816/10)-'NF - 5 Power Mix'!XCC21-'NF - 5 Power Mix'!XCC22</f>
        <v>0</v>
      </c>
      <c r="XCD42" s="1046">
        <f>XCD38+((XCD40+'NF - 5 Power Mix'!XCD14+'NF - 5 Power Mix'!XCD15)*860/10)+((('Form Sa1'!XCG835)*860)/10)+('Form Sa1'!XCG814*'Form Sa1'!XCG816/10)-'NF - 5 Power Mix'!XCD21-'NF - 5 Power Mix'!XCD22</f>
        <v>0</v>
      </c>
      <c r="XCE42" s="1046">
        <f>XCE38+((XCE40+'NF - 5 Power Mix'!XCE14+'NF - 5 Power Mix'!XCE15)*860/10)+((('Form Sa1'!XCH835)*860)/10)+('Form Sa1'!XCH814*'Form Sa1'!XCH816/10)-'NF - 5 Power Mix'!XCE21-'NF - 5 Power Mix'!XCE22</f>
        <v>0</v>
      </c>
      <c r="XCF42" s="1046">
        <f>XCF38+((XCF40+'NF - 5 Power Mix'!XCF14+'NF - 5 Power Mix'!XCF15)*860/10)+((('Form Sa1'!XCI835)*860)/10)+('Form Sa1'!XCI814*'Form Sa1'!XCI816/10)-'NF - 5 Power Mix'!XCF21-'NF - 5 Power Mix'!XCF22</f>
        <v>0</v>
      </c>
      <c r="XCG42" s="1046">
        <f>XCG38+((XCG40+'NF - 5 Power Mix'!XCG14+'NF - 5 Power Mix'!XCG15)*860/10)+((('Form Sa1'!XCJ835)*860)/10)+('Form Sa1'!XCJ814*'Form Sa1'!XCJ816/10)-'NF - 5 Power Mix'!XCG21-'NF - 5 Power Mix'!XCG22</f>
        <v>0</v>
      </c>
      <c r="XCH42" s="1046">
        <f>XCH38+((XCH40+'NF - 5 Power Mix'!XCH14+'NF - 5 Power Mix'!XCH15)*860/10)+((('Form Sa1'!XCK835)*860)/10)+('Form Sa1'!XCK814*'Form Sa1'!XCK816/10)-'NF - 5 Power Mix'!XCH21-'NF - 5 Power Mix'!XCH22</f>
        <v>0</v>
      </c>
      <c r="XCI42" s="1046">
        <f>XCI38+((XCI40+'NF - 5 Power Mix'!XCI14+'NF - 5 Power Mix'!XCI15)*860/10)+((('Form Sa1'!XCL835)*860)/10)+('Form Sa1'!XCL814*'Form Sa1'!XCL816/10)-'NF - 5 Power Mix'!XCI21-'NF - 5 Power Mix'!XCI22</f>
        <v>0</v>
      </c>
      <c r="XCJ42" s="1046">
        <f>XCJ38+((XCJ40+'NF - 5 Power Mix'!XCJ14+'NF - 5 Power Mix'!XCJ15)*860/10)+((('Form Sa1'!XCM835)*860)/10)+('Form Sa1'!XCM814*'Form Sa1'!XCM816/10)-'NF - 5 Power Mix'!XCJ21-'NF - 5 Power Mix'!XCJ22</f>
        <v>0</v>
      </c>
      <c r="XCK42" s="1046">
        <f>XCK38+((XCK40+'NF - 5 Power Mix'!XCK14+'NF - 5 Power Mix'!XCK15)*860/10)+((('Form Sa1'!XCN835)*860)/10)+('Form Sa1'!XCN814*'Form Sa1'!XCN816/10)-'NF - 5 Power Mix'!XCK21-'NF - 5 Power Mix'!XCK22</f>
        <v>0</v>
      </c>
      <c r="XCL42" s="1046">
        <f>XCL38+((XCL40+'NF - 5 Power Mix'!XCL14+'NF - 5 Power Mix'!XCL15)*860/10)+((('Form Sa1'!XCO835)*860)/10)+('Form Sa1'!XCO814*'Form Sa1'!XCO816/10)-'NF - 5 Power Mix'!XCL21-'NF - 5 Power Mix'!XCL22</f>
        <v>0</v>
      </c>
      <c r="XCM42" s="1046">
        <f>XCM38+((XCM40+'NF - 5 Power Mix'!XCM14+'NF - 5 Power Mix'!XCM15)*860/10)+((('Form Sa1'!XCP835)*860)/10)+('Form Sa1'!XCP814*'Form Sa1'!XCP816/10)-'NF - 5 Power Mix'!XCM21-'NF - 5 Power Mix'!XCM22</f>
        <v>0</v>
      </c>
      <c r="XCN42" s="1046">
        <f>XCN38+((XCN40+'NF - 5 Power Mix'!XCN14+'NF - 5 Power Mix'!XCN15)*860/10)+((('Form Sa1'!XCQ835)*860)/10)+('Form Sa1'!XCQ814*'Form Sa1'!XCQ816/10)-'NF - 5 Power Mix'!XCN21-'NF - 5 Power Mix'!XCN22</f>
        <v>0</v>
      </c>
      <c r="XCO42" s="1046">
        <f>XCO38+((XCO40+'NF - 5 Power Mix'!XCO14+'NF - 5 Power Mix'!XCO15)*860/10)+((('Form Sa1'!XCR835)*860)/10)+('Form Sa1'!XCR814*'Form Sa1'!XCR816/10)-'NF - 5 Power Mix'!XCO21-'NF - 5 Power Mix'!XCO22</f>
        <v>0</v>
      </c>
      <c r="XCP42" s="1046">
        <f>XCP38+((XCP40+'NF - 5 Power Mix'!XCP14+'NF - 5 Power Mix'!XCP15)*860/10)+((('Form Sa1'!XCS835)*860)/10)+('Form Sa1'!XCS814*'Form Sa1'!XCS816/10)-'NF - 5 Power Mix'!XCP21-'NF - 5 Power Mix'!XCP22</f>
        <v>0</v>
      </c>
      <c r="XCQ42" s="1046">
        <f>XCQ38+((XCQ40+'NF - 5 Power Mix'!XCQ14+'NF - 5 Power Mix'!XCQ15)*860/10)+((('Form Sa1'!XCT835)*860)/10)+('Form Sa1'!XCT814*'Form Sa1'!XCT816/10)-'NF - 5 Power Mix'!XCQ21-'NF - 5 Power Mix'!XCQ22</f>
        <v>0</v>
      </c>
      <c r="XCR42" s="1046">
        <f>XCR38+((XCR40+'NF - 5 Power Mix'!XCR14+'NF - 5 Power Mix'!XCR15)*860/10)+((('Form Sa1'!XCU835)*860)/10)+('Form Sa1'!XCU814*'Form Sa1'!XCU816/10)-'NF - 5 Power Mix'!XCR21-'NF - 5 Power Mix'!XCR22</f>
        <v>0</v>
      </c>
      <c r="XCS42" s="1046">
        <f>XCS38+((XCS40+'NF - 5 Power Mix'!XCS14+'NF - 5 Power Mix'!XCS15)*860/10)+((('Form Sa1'!XCV835)*860)/10)+('Form Sa1'!XCV814*'Form Sa1'!XCV816/10)-'NF - 5 Power Mix'!XCS21-'NF - 5 Power Mix'!XCS22</f>
        <v>0</v>
      </c>
      <c r="XCT42" s="1046">
        <f>XCT38+((XCT40+'NF - 5 Power Mix'!XCT14+'NF - 5 Power Mix'!XCT15)*860/10)+((('Form Sa1'!XCW835)*860)/10)+('Form Sa1'!XCW814*'Form Sa1'!XCW816/10)-'NF - 5 Power Mix'!XCT21-'NF - 5 Power Mix'!XCT22</f>
        <v>0</v>
      </c>
      <c r="XCU42" s="1046">
        <f>XCU38+((XCU40+'NF - 5 Power Mix'!XCU14+'NF - 5 Power Mix'!XCU15)*860/10)+((('Form Sa1'!XCX835)*860)/10)+('Form Sa1'!XCX814*'Form Sa1'!XCX816/10)-'NF - 5 Power Mix'!XCU21-'NF - 5 Power Mix'!XCU22</f>
        <v>0</v>
      </c>
      <c r="XCV42" s="1046">
        <f>XCV38+((XCV40+'NF - 5 Power Mix'!XCV14+'NF - 5 Power Mix'!XCV15)*860/10)+((('Form Sa1'!XCY835)*860)/10)+('Form Sa1'!XCY814*'Form Sa1'!XCY816/10)-'NF - 5 Power Mix'!XCV21-'NF - 5 Power Mix'!XCV22</f>
        <v>0</v>
      </c>
      <c r="XCW42" s="1046">
        <f>XCW38+((XCW40+'NF - 5 Power Mix'!XCW14+'NF - 5 Power Mix'!XCW15)*860/10)+((('Form Sa1'!XCZ835)*860)/10)+('Form Sa1'!XCZ814*'Form Sa1'!XCZ816/10)-'NF - 5 Power Mix'!XCW21-'NF - 5 Power Mix'!XCW22</f>
        <v>0</v>
      </c>
      <c r="XCX42" s="1046">
        <f>XCX38+((XCX40+'NF - 5 Power Mix'!XCX14+'NF - 5 Power Mix'!XCX15)*860/10)+((('Form Sa1'!XDA835)*860)/10)+('Form Sa1'!XDA814*'Form Sa1'!XDA816/10)-'NF - 5 Power Mix'!XCX21-'NF - 5 Power Mix'!XCX22</f>
        <v>0</v>
      </c>
      <c r="XCY42" s="1046">
        <f>XCY38+((XCY40+'NF - 5 Power Mix'!XCY14+'NF - 5 Power Mix'!XCY15)*860/10)+((('Form Sa1'!XDB835)*860)/10)+('Form Sa1'!XDB814*'Form Sa1'!XDB816/10)-'NF - 5 Power Mix'!XCY21-'NF - 5 Power Mix'!XCY22</f>
        <v>0</v>
      </c>
      <c r="XCZ42" s="1046">
        <f>XCZ38+((XCZ40+'NF - 5 Power Mix'!XCZ14+'NF - 5 Power Mix'!XCZ15)*860/10)+((('Form Sa1'!XDC835)*860)/10)+('Form Sa1'!XDC814*'Form Sa1'!XDC816/10)-'NF - 5 Power Mix'!XCZ21-'NF - 5 Power Mix'!XCZ22</f>
        <v>0</v>
      </c>
      <c r="XDA42" s="1046">
        <f>XDA38+((XDA40+'NF - 5 Power Mix'!XDA14+'NF - 5 Power Mix'!XDA15)*860/10)+((('Form Sa1'!XDD835)*860)/10)+('Form Sa1'!XDD814*'Form Sa1'!XDD816/10)-'NF - 5 Power Mix'!XDA21-'NF - 5 Power Mix'!XDA22</f>
        <v>0</v>
      </c>
      <c r="XDB42" s="1046">
        <f>XDB38+((XDB40+'NF - 5 Power Mix'!XDB14+'NF - 5 Power Mix'!XDB15)*860/10)+((('Form Sa1'!XDE835)*860)/10)+('Form Sa1'!XDE814*'Form Sa1'!XDE816/10)-'NF - 5 Power Mix'!XDB21-'NF - 5 Power Mix'!XDB22</f>
        <v>0</v>
      </c>
      <c r="XDC42" s="1046">
        <f>XDC38+((XDC40+'NF - 5 Power Mix'!XDC14+'NF - 5 Power Mix'!XDC15)*860/10)+((('Form Sa1'!XDF835)*860)/10)+('Form Sa1'!XDF814*'Form Sa1'!XDF816/10)-'NF - 5 Power Mix'!XDC21-'NF - 5 Power Mix'!XDC22</f>
        <v>0</v>
      </c>
      <c r="XDD42" s="1046">
        <f>XDD38+((XDD40+'NF - 5 Power Mix'!XDD14+'NF - 5 Power Mix'!XDD15)*860/10)+((('Form Sa1'!XDG835)*860)/10)+('Form Sa1'!XDG814*'Form Sa1'!XDG816/10)-'NF - 5 Power Mix'!XDD21-'NF - 5 Power Mix'!XDD22</f>
        <v>0</v>
      </c>
      <c r="XDE42" s="1046">
        <f>XDE38+((XDE40+'NF - 5 Power Mix'!XDE14+'NF - 5 Power Mix'!XDE15)*860/10)+((('Form Sa1'!XDH835)*860)/10)+('Form Sa1'!XDH814*'Form Sa1'!XDH816/10)-'NF - 5 Power Mix'!XDE21-'NF - 5 Power Mix'!XDE22</f>
        <v>0</v>
      </c>
      <c r="XDF42" s="1046">
        <f>XDF38+((XDF40+'NF - 5 Power Mix'!XDF14+'NF - 5 Power Mix'!XDF15)*860/10)+((('Form Sa1'!XDI835)*860)/10)+('Form Sa1'!XDI814*'Form Sa1'!XDI816/10)-'NF - 5 Power Mix'!XDF21-'NF - 5 Power Mix'!XDF22</f>
        <v>0</v>
      </c>
      <c r="XDG42" s="1046">
        <f>XDG38+((XDG40+'NF - 5 Power Mix'!XDG14+'NF - 5 Power Mix'!XDG15)*860/10)+((('Form Sa1'!XDJ835)*860)/10)+('Form Sa1'!XDJ814*'Form Sa1'!XDJ816/10)-'NF - 5 Power Mix'!XDG21-'NF - 5 Power Mix'!XDG22</f>
        <v>0</v>
      </c>
      <c r="XDH42" s="1046">
        <f>XDH38+((XDH40+'NF - 5 Power Mix'!XDH14+'NF - 5 Power Mix'!XDH15)*860/10)+((('Form Sa1'!XDK835)*860)/10)+('Form Sa1'!XDK814*'Form Sa1'!XDK816/10)-'NF - 5 Power Mix'!XDH21-'NF - 5 Power Mix'!XDH22</f>
        <v>0</v>
      </c>
      <c r="XDI42" s="1046">
        <f>XDI38+((XDI40+'NF - 5 Power Mix'!XDI14+'NF - 5 Power Mix'!XDI15)*860/10)+((('Form Sa1'!XDL835)*860)/10)+('Form Sa1'!XDL814*'Form Sa1'!XDL816/10)-'NF - 5 Power Mix'!XDI21-'NF - 5 Power Mix'!XDI22</f>
        <v>0</v>
      </c>
      <c r="XDJ42" s="1046">
        <f>XDJ38+((XDJ40+'NF - 5 Power Mix'!XDJ14+'NF - 5 Power Mix'!XDJ15)*860/10)+((('Form Sa1'!XDM835)*860)/10)+('Form Sa1'!XDM814*'Form Sa1'!XDM816/10)-'NF - 5 Power Mix'!XDJ21-'NF - 5 Power Mix'!XDJ22</f>
        <v>0</v>
      </c>
      <c r="XDK42" s="1046">
        <f>XDK38+((XDK40+'NF - 5 Power Mix'!XDK14+'NF - 5 Power Mix'!XDK15)*860/10)+((('Form Sa1'!XDN835)*860)/10)+('Form Sa1'!XDN814*'Form Sa1'!XDN816/10)-'NF - 5 Power Mix'!XDK21-'NF - 5 Power Mix'!XDK22</f>
        <v>0</v>
      </c>
      <c r="XDL42" s="1046">
        <f>XDL38+((XDL40+'NF - 5 Power Mix'!XDL14+'NF - 5 Power Mix'!XDL15)*860/10)+((('Form Sa1'!XDO835)*860)/10)+('Form Sa1'!XDO814*'Form Sa1'!XDO816/10)-'NF - 5 Power Mix'!XDL21-'NF - 5 Power Mix'!XDL22</f>
        <v>0</v>
      </c>
      <c r="XDM42" s="1046">
        <f>XDM38+((XDM40+'NF - 5 Power Mix'!XDM14+'NF - 5 Power Mix'!XDM15)*860/10)+((('Form Sa1'!XDP835)*860)/10)+('Form Sa1'!XDP814*'Form Sa1'!XDP816/10)-'NF - 5 Power Mix'!XDM21-'NF - 5 Power Mix'!XDM22</f>
        <v>0</v>
      </c>
      <c r="XDN42" s="1046">
        <f>XDN38+((XDN40+'NF - 5 Power Mix'!XDN14+'NF - 5 Power Mix'!XDN15)*860/10)+((('Form Sa1'!XDQ835)*860)/10)+('Form Sa1'!XDQ814*'Form Sa1'!XDQ816/10)-'NF - 5 Power Mix'!XDN21-'NF - 5 Power Mix'!XDN22</f>
        <v>0</v>
      </c>
      <c r="XDO42" s="1046">
        <f>XDO38+((XDO40+'NF - 5 Power Mix'!XDO14+'NF - 5 Power Mix'!XDO15)*860/10)+((('Form Sa1'!XDR835)*860)/10)+('Form Sa1'!XDR814*'Form Sa1'!XDR816/10)-'NF - 5 Power Mix'!XDO21-'NF - 5 Power Mix'!XDO22</f>
        <v>0</v>
      </c>
      <c r="XDP42" s="1046">
        <f>XDP38+((XDP40+'NF - 5 Power Mix'!XDP14+'NF - 5 Power Mix'!XDP15)*860/10)+((('Form Sa1'!XDS835)*860)/10)+('Form Sa1'!XDS814*'Form Sa1'!XDS816/10)-'NF - 5 Power Mix'!XDP21-'NF - 5 Power Mix'!XDP22</f>
        <v>0</v>
      </c>
      <c r="XDQ42" s="1046">
        <f>XDQ38+((XDQ40+'NF - 5 Power Mix'!XDQ14+'NF - 5 Power Mix'!XDQ15)*860/10)+((('Form Sa1'!XDT835)*860)/10)+('Form Sa1'!XDT814*'Form Sa1'!XDT816/10)-'NF - 5 Power Mix'!XDQ21-'NF - 5 Power Mix'!XDQ22</f>
        <v>0</v>
      </c>
      <c r="XDR42" s="1046">
        <f>XDR38+((XDR40+'NF - 5 Power Mix'!XDR14+'NF - 5 Power Mix'!XDR15)*860/10)+((('Form Sa1'!XDU835)*860)/10)+('Form Sa1'!XDU814*'Form Sa1'!XDU816/10)-'NF - 5 Power Mix'!XDR21-'NF - 5 Power Mix'!XDR22</f>
        <v>0</v>
      </c>
      <c r="XDS42" s="1046">
        <f>XDS38+((XDS40+'NF - 5 Power Mix'!XDS14+'NF - 5 Power Mix'!XDS15)*860/10)+((('Form Sa1'!XDV835)*860)/10)+('Form Sa1'!XDV814*'Form Sa1'!XDV816/10)-'NF - 5 Power Mix'!XDS21-'NF - 5 Power Mix'!XDS22</f>
        <v>0</v>
      </c>
      <c r="XDT42" s="1046">
        <f>XDT38+((XDT40+'NF - 5 Power Mix'!XDT14+'NF - 5 Power Mix'!XDT15)*860/10)+((('Form Sa1'!XDW835)*860)/10)+('Form Sa1'!XDW814*'Form Sa1'!XDW816/10)-'NF - 5 Power Mix'!XDT21-'NF - 5 Power Mix'!XDT22</f>
        <v>0</v>
      </c>
      <c r="XDU42" s="1046">
        <f>XDU38+((XDU40+'NF - 5 Power Mix'!XDU14+'NF - 5 Power Mix'!XDU15)*860/10)+((('Form Sa1'!XDX835)*860)/10)+('Form Sa1'!XDX814*'Form Sa1'!XDX816/10)-'NF - 5 Power Mix'!XDU21-'NF - 5 Power Mix'!XDU22</f>
        <v>0</v>
      </c>
      <c r="XDV42" s="1046">
        <f>XDV38+((XDV40+'NF - 5 Power Mix'!XDV14+'NF - 5 Power Mix'!XDV15)*860/10)+((('Form Sa1'!XDY835)*860)/10)+('Form Sa1'!XDY814*'Form Sa1'!XDY816/10)-'NF - 5 Power Mix'!XDV21-'NF - 5 Power Mix'!XDV22</f>
        <v>0</v>
      </c>
      <c r="XDW42" s="1046">
        <f>XDW38+((XDW40+'NF - 5 Power Mix'!XDW14+'NF - 5 Power Mix'!XDW15)*860/10)+((('Form Sa1'!XDZ835)*860)/10)+('Form Sa1'!XDZ814*'Form Sa1'!XDZ816/10)-'NF - 5 Power Mix'!XDW21-'NF - 5 Power Mix'!XDW22</f>
        <v>0</v>
      </c>
      <c r="XDX42" s="1046">
        <f>XDX38+((XDX40+'NF - 5 Power Mix'!XDX14+'NF - 5 Power Mix'!XDX15)*860/10)+((('Form Sa1'!XEA835)*860)/10)+('Form Sa1'!XEA814*'Form Sa1'!XEA816/10)-'NF - 5 Power Mix'!XDX21-'NF - 5 Power Mix'!XDX22</f>
        <v>0</v>
      </c>
      <c r="XDY42" s="1046">
        <f>XDY38+((XDY40+'NF - 5 Power Mix'!XDY14+'NF - 5 Power Mix'!XDY15)*860/10)+((('Form Sa1'!XEB835)*860)/10)+('Form Sa1'!XEB814*'Form Sa1'!XEB816/10)-'NF - 5 Power Mix'!XDY21-'NF - 5 Power Mix'!XDY22</f>
        <v>0</v>
      </c>
      <c r="XDZ42" s="1046">
        <f>XDZ38+((XDZ40+'NF - 5 Power Mix'!XDZ14+'NF - 5 Power Mix'!XDZ15)*860/10)+((('Form Sa1'!XEC835)*860)/10)+('Form Sa1'!XEC814*'Form Sa1'!XEC816/10)-'NF - 5 Power Mix'!XDZ21-'NF - 5 Power Mix'!XDZ22</f>
        <v>0</v>
      </c>
      <c r="XEA42" s="1046">
        <f>XEA38+((XEA40+'NF - 5 Power Mix'!XEA14+'NF - 5 Power Mix'!XEA15)*860/10)+((('Form Sa1'!XED835)*860)/10)+('Form Sa1'!XED814*'Form Sa1'!XED816/10)-'NF - 5 Power Mix'!XEA21-'NF - 5 Power Mix'!XEA22</f>
        <v>0</v>
      </c>
      <c r="XEB42" s="1046">
        <f>XEB38+((XEB40+'NF - 5 Power Mix'!XEB14+'NF - 5 Power Mix'!XEB15)*860/10)+((('Form Sa1'!XEE835)*860)/10)+('Form Sa1'!XEE814*'Form Sa1'!XEE816/10)-'NF - 5 Power Mix'!XEB21-'NF - 5 Power Mix'!XEB22</f>
        <v>0</v>
      </c>
      <c r="XEC42" s="1046">
        <f>XEC38+((XEC40+'NF - 5 Power Mix'!XEC14+'NF - 5 Power Mix'!XEC15)*860/10)+((('Form Sa1'!XEF835)*860)/10)+('Form Sa1'!XEF814*'Form Sa1'!XEF816/10)-'NF - 5 Power Mix'!XEC21-'NF - 5 Power Mix'!XEC22</f>
        <v>0</v>
      </c>
      <c r="XED42" s="1046">
        <f>XED38+((XED40+'NF - 5 Power Mix'!XED14+'NF - 5 Power Mix'!XED15)*860/10)+((('Form Sa1'!XEG835)*860)/10)+('Form Sa1'!XEG814*'Form Sa1'!XEG816/10)-'NF - 5 Power Mix'!XED21-'NF - 5 Power Mix'!XED22</f>
        <v>0</v>
      </c>
      <c r="XEE42" s="1046">
        <f>XEE38+((XEE40+'NF - 5 Power Mix'!XEE14+'NF - 5 Power Mix'!XEE15)*860/10)+((('Form Sa1'!XEH835)*860)/10)+('Form Sa1'!XEH814*'Form Sa1'!XEH816/10)-'NF - 5 Power Mix'!XEE21-'NF - 5 Power Mix'!XEE22</f>
        <v>0</v>
      </c>
      <c r="XEF42" s="1046">
        <f>XEF38+((XEF40+'NF - 5 Power Mix'!XEF14+'NF - 5 Power Mix'!XEF15)*860/10)+((('Form Sa1'!XEI835)*860)/10)+('Form Sa1'!XEI814*'Form Sa1'!XEI816/10)-'NF - 5 Power Mix'!XEF21-'NF - 5 Power Mix'!XEF22</f>
        <v>0</v>
      </c>
      <c r="XEG42" s="1046">
        <f>XEG38+((XEG40+'NF - 5 Power Mix'!XEG14+'NF - 5 Power Mix'!XEG15)*860/10)+((('Form Sa1'!XEJ835)*860)/10)+('Form Sa1'!XEJ814*'Form Sa1'!XEJ816/10)-'NF - 5 Power Mix'!XEG21-'NF - 5 Power Mix'!XEG22</f>
        <v>0</v>
      </c>
      <c r="XEH42" s="1046">
        <f>XEH38+((XEH40+'NF - 5 Power Mix'!XEH14+'NF - 5 Power Mix'!XEH15)*860/10)+((('Form Sa1'!XEK835)*860)/10)+('Form Sa1'!XEK814*'Form Sa1'!XEK816/10)-'NF - 5 Power Mix'!XEH21-'NF - 5 Power Mix'!XEH22</f>
        <v>0</v>
      </c>
      <c r="XEI42" s="1046">
        <f>XEI38+((XEI40+'NF - 5 Power Mix'!XEI14+'NF - 5 Power Mix'!XEI15)*860/10)+((('Form Sa1'!XEL835)*860)/10)+('Form Sa1'!XEL814*'Form Sa1'!XEL816/10)-'NF - 5 Power Mix'!XEI21-'NF - 5 Power Mix'!XEI22</f>
        <v>0</v>
      </c>
      <c r="XEJ42" s="1046">
        <f>XEJ38+((XEJ40+'NF - 5 Power Mix'!XEJ14+'NF - 5 Power Mix'!XEJ15)*860/10)+((('Form Sa1'!XEM835)*860)/10)+('Form Sa1'!XEM814*'Form Sa1'!XEM816/10)-'NF - 5 Power Mix'!XEJ21-'NF - 5 Power Mix'!XEJ22</f>
        <v>0</v>
      </c>
      <c r="XEK42" s="1046">
        <f>XEK38+((XEK40+'NF - 5 Power Mix'!XEK14+'NF - 5 Power Mix'!XEK15)*860/10)+((('Form Sa1'!XEN835)*860)/10)+('Form Sa1'!XEN814*'Form Sa1'!XEN816/10)-'NF - 5 Power Mix'!XEK21-'NF - 5 Power Mix'!XEK22</f>
        <v>0</v>
      </c>
      <c r="XEL42" s="1046">
        <f>XEL38+((XEL40+'NF - 5 Power Mix'!XEL14+'NF - 5 Power Mix'!XEL15)*860/10)+((('Form Sa1'!XEO835)*860)/10)+('Form Sa1'!XEO814*'Form Sa1'!XEO816/10)-'NF - 5 Power Mix'!XEL21-'NF - 5 Power Mix'!XEL22</f>
        <v>0</v>
      </c>
      <c r="XEM42" s="1046">
        <f>XEM38+((XEM40+'NF - 5 Power Mix'!XEM14+'NF - 5 Power Mix'!XEM15)*860/10)+((('Form Sa1'!XEP835)*860)/10)+('Form Sa1'!XEP814*'Form Sa1'!XEP816/10)-'NF - 5 Power Mix'!XEM21-'NF - 5 Power Mix'!XEM22</f>
        <v>0</v>
      </c>
      <c r="XEN42" s="1046">
        <f>XEN38+((XEN40+'NF - 5 Power Mix'!XEN14+'NF - 5 Power Mix'!XEN15)*860/10)+((('Form Sa1'!XEQ835)*860)/10)+('Form Sa1'!XEQ814*'Form Sa1'!XEQ816/10)-'NF - 5 Power Mix'!XEN21-'NF - 5 Power Mix'!XEN22</f>
        <v>0</v>
      </c>
      <c r="XEO42" s="1046">
        <f>XEO38+((XEO40+'NF - 5 Power Mix'!XEO14+'NF - 5 Power Mix'!XEO15)*860/10)+((('Form Sa1'!XER835)*860)/10)+('Form Sa1'!XER814*'Form Sa1'!XER816/10)-'NF - 5 Power Mix'!XEO21-'NF - 5 Power Mix'!XEO22</f>
        <v>0</v>
      </c>
      <c r="XEP42" s="1046">
        <f>XEP38+((XEP40+'NF - 5 Power Mix'!XEP14+'NF - 5 Power Mix'!XEP15)*860/10)+((('Form Sa1'!XES835)*860)/10)+('Form Sa1'!XES814*'Form Sa1'!XES816/10)-'NF - 5 Power Mix'!XEP21-'NF - 5 Power Mix'!XEP22</f>
        <v>0</v>
      </c>
      <c r="XEQ42" s="1046">
        <f>XEQ38+((XEQ40+'NF - 5 Power Mix'!XEQ14+'NF - 5 Power Mix'!XEQ15)*860/10)+((('Form Sa1'!XET835)*860)/10)+('Form Sa1'!XET814*'Form Sa1'!XET816/10)-'NF - 5 Power Mix'!XEQ21-'NF - 5 Power Mix'!XEQ22</f>
        <v>0</v>
      </c>
      <c r="XER42" s="1046">
        <f>XER38+((XER40+'NF - 5 Power Mix'!XER14+'NF - 5 Power Mix'!XER15)*860/10)+((('Form Sa1'!XEU835)*860)/10)+('Form Sa1'!XEU814*'Form Sa1'!XEU816/10)-'NF - 5 Power Mix'!XER21-'NF - 5 Power Mix'!XER22</f>
        <v>0</v>
      </c>
      <c r="XES42" s="1046">
        <f>XES38+((XES40+'NF - 5 Power Mix'!XES14+'NF - 5 Power Mix'!XES15)*860/10)+((('Form Sa1'!XEV835)*860)/10)+('Form Sa1'!XEV814*'Form Sa1'!XEV816/10)-'NF - 5 Power Mix'!XES21-'NF - 5 Power Mix'!XES22</f>
        <v>0</v>
      </c>
      <c r="XET42" s="1046">
        <f>XET38+((XET40+'NF - 5 Power Mix'!XET14+'NF - 5 Power Mix'!XET15)*860/10)+((('Form Sa1'!XEW835)*860)/10)+('Form Sa1'!XEW814*'Form Sa1'!XEW816/10)-'NF - 5 Power Mix'!XET21-'NF - 5 Power Mix'!XET22</f>
        <v>0</v>
      </c>
      <c r="XEU42" s="1046">
        <f>XEU38+((XEU40+'NF - 5 Power Mix'!XEU14+'NF - 5 Power Mix'!XEU15)*860/10)+((('Form Sa1'!XEX835)*860)/10)+('Form Sa1'!XEX814*'Form Sa1'!XEX816/10)-'NF - 5 Power Mix'!XEU21-'NF - 5 Power Mix'!XEU22</f>
        <v>0</v>
      </c>
      <c r="XEV42" s="1046">
        <f>XEV38+((XEV40+'NF - 5 Power Mix'!XEV14+'NF - 5 Power Mix'!XEV15)*860/10)+((('Form Sa1'!XEY835)*860)/10)+('Form Sa1'!XEY814*'Form Sa1'!XEY816/10)-'NF - 5 Power Mix'!XEV21-'NF - 5 Power Mix'!XEV22</f>
        <v>0</v>
      </c>
      <c r="XEW42" s="1046">
        <f>XEW38+((XEW40+'NF - 5 Power Mix'!XEW14+'NF - 5 Power Mix'!XEW15)*860/10)+((('Form Sa1'!XEZ835)*860)/10)+('Form Sa1'!XEZ814*'Form Sa1'!XEZ816/10)-'NF - 5 Power Mix'!XEW21-'NF - 5 Power Mix'!XEW22</f>
        <v>0</v>
      </c>
      <c r="XEX42" s="1046">
        <f>XEX38+((XEX40+'NF - 5 Power Mix'!XEX14+'NF - 5 Power Mix'!XEX15)*860/10)+((('Form Sa1'!XFA835)*860)/10)+('Form Sa1'!XFA814*'Form Sa1'!XFA816/10)-'NF - 5 Power Mix'!XEX21-'NF - 5 Power Mix'!XEX22</f>
        <v>0</v>
      </c>
      <c r="XEY42" s="1046">
        <f>XEY38+((XEY40+'NF - 5 Power Mix'!XEY14+'NF - 5 Power Mix'!XEY15)*860/10)+((('Form Sa1'!XFB835)*860)/10)+('Form Sa1'!XFB814*'Form Sa1'!XFB816/10)-'NF - 5 Power Mix'!XEY21-'NF - 5 Power Mix'!XEY22</f>
        <v>0</v>
      </c>
      <c r="XEZ42" s="1046">
        <f>XEZ38+((XEZ40+'NF - 5 Power Mix'!XEZ14+'NF - 5 Power Mix'!XEZ15)*860/10)+((('Form Sa1'!XFC835)*860)/10)+('Form Sa1'!XFC814*'Form Sa1'!XFC816/10)-'NF - 5 Power Mix'!XEZ21-'NF - 5 Power Mix'!XEZ22</f>
        <v>0</v>
      </c>
      <c r="XFA42" s="1046">
        <f>XFA38+((XFA40+'NF - 5 Power Mix'!XFA14+'NF - 5 Power Mix'!XFA15)*860/10)+((('Form Sa1'!XFD835)*860)/10)+('Form Sa1'!XFD814*'Form Sa1'!XFD816/10)-'NF - 5 Power Mix'!XFA21-'NF - 5 Power Mix'!XFA22</f>
        <v>0</v>
      </c>
      <c r="XFB42" s="1046" t="e">
        <f>XFB38+((XFB40+'NF - 5 Power Mix'!XFB14+'NF - 5 Power Mix'!XFB15)*860/10)+((('Form Sa1'!#REF!)*860)/10)+('Form Sa1'!#REF!*'Form Sa1'!#REF!/10)-'NF - 5 Power Mix'!XFB21-'NF - 5 Power Mix'!XFB22</f>
        <v>#REF!</v>
      </c>
      <c r="XFC42" s="1046" t="e">
        <f>XFC38+((XFC40+'NF - 5 Power Mix'!XFC14+'NF - 5 Power Mix'!XFC15)*860/10)+((('Form Sa1'!#REF!)*860)/10)+('Form Sa1'!#REF!*'Form Sa1'!#REF!/10)-'NF - 5 Power Mix'!XFC21-'NF - 5 Power Mix'!XFC22</f>
        <v>#REF!</v>
      </c>
    </row>
    <row r="43" ht="14" customHeight="1" spans="1:6" s="1049" customFormat="1" x14ac:dyDescent="0.25">
      <c r="A43" s="1023"/>
      <c r="B43" s="1023"/>
      <c r="C43" s="1023"/>
      <c r="D43" s="1045"/>
      <c r="E43" s="1045"/>
      <c r="F43" s="1045"/>
    </row>
    <row r="44" ht="14" customHeight="1" spans="1:6" s="1049" customFormat="1" x14ac:dyDescent="0.25">
      <c r="A44" s="1050" t="s">
        <v>993</v>
      </c>
      <c r="B44" s="1051" t="s">
        <v>2676</v>
      </c>
      <c r="C44" s="1023"/>
      <c r="D44" s="1045"/>
      <c r="E44" s="1045"/>
      <c r="F44" s="1045"/>
    </row>
    <row r="45" ht="14" customHeight="1" spans="1:6" s="1049" customFormat="1" x14ac:dyDescent="0.25">
      <c r="A45" s="1050" t="s">
        <v>995</v>
      </c>
      <c r="B45" s="1051" t="s">
        <v>57</v>
      </c>
      <c r="C45" s="1023"/>
      <c r="D45" s="1045"/>
      <c r="E45" s="1045"/>
      <c r="F45" s="1045"/>
    </row>
    <row r="46" ht="30" customHeight="1" spans="1:6" x14ac:dyDescent="0.25">
      <c r="A46" s="1052" t="s">
        <v>58</v>
      </c>
      <c r="B46" s="1053" t="s">
        <v>2677</v>
      </c>
      <c r="C46" s="1033" t="s">
        <v>2678</v>
      </c>
      <c r="D46" s="1054" t="s">
        <v>1456</v>
      </c>
      <c r="E46" s="1055">
        <f>'Baseline Parameter'!E70</f>
        <v>561459</v>
      </c>
      <c r="F46" s="1055">
        <f>'Baseline Parameter'!F70</f>
        <v>0</v>
      </c>
    </row>
    <row r="47" ht="30" customHeight="1" spans="1:6" x14ac:dyDescent="0.25">
      <c r="A47" s="1052" t="s">
        <v>64</v>
      </c>
      <c r="B47" s="1033" t="s">
        <v>2679</v>
      </c>
      <c r="C47" s="1033" t="s">
        <v>2680</v>
      </c>
      <c r="D47" s="1054" t="s">
        <v>1826</v>
      </c>
      <c r="E47" s="1055">
        <f>E19*'Baseline Parameter'!E44</f>
        <v>8241.71967000682</v>
      </c>
      <c r="F47" s="1055" t="e">
        <f>F19*'Baseline Parameter'!F44</f>
        <v>#DIV/0!</v>
      </c>
    </row>
    <row r="48" ht="30" customHeight="1" spans="1:6" x14ac:dyDescent="0.25">
      <c r="A48" s="1052" t="s">
        <v>68</v>
      </c>
      <c r="B48" s="1053" t="s">
        <v>2681</v>
      </c>
      <c r="C48" s="1033" t="s">
        <v>2682</v>
      </c>
      <c r="D48" s="1054" t="s">
        <v>1826</v>
      </c>
      <c r="E48" s="1055">
        <f>E20*'Baseline Parameter'!E44</f>
        <v>0</v>
      </c>
      <c r="F48" s="1055" t="e">
        <f>F20*'Baseline Parameter'!F44</f>
        <v>#DIV/0!</v>
      </c>
    </row>
    <row r="49" ht="42" customHeight="1" spans="1:6" s="1028" customFormat="1" x14ac:dyDescent="0.25">
      <c r="A49" s="1052" t="s">
        <v>74</v>
      </c>
      <c r="B49" s="1053" t="s">
        <v>2683</v>
      </c>
      <c r="C49" s="1051" t="s">
        <v>2684</v>
      </c>
      <c r="D49" s="1054" t="s">
        <v>1826</v>
      </c>
      <c r="E49" s="1055">
        <f>'Baseline Parameter'!E52+'Baseline Parameter'!E53+'Baseline Parameter'!E54+'Baseline Parameter'!E55</f>
        <v>0</v>
      </c>
      <c r="F49" s="1055" t="e">
        <f>'Baseline Parameter'!F52+'Baseline Parameter'!F53+'Baseline Parameter'!F54+'Baseline Parameter'!F55</f>
        <v>#DIV/0!</v>
      </c>
    </row>
    <row r="50" ht="15" customHeight="1" spans="1:6" x14ac:dyDescent="0.25">
      <c r="A50" s="1052" t="s">
        <v>80</v>
      </c>
      <c r="B50" s="1053" t="s">
        <v>2685</v>
      </c>
      <c r="C50" s="1033" t="s">
        <v>2686</v>
      </c>
      <c r="D50" s="1054" t="s">
        <v>1477</v>
      </c>
      <c r="E50" s="1055">
        <f>(E42/10)-(E47/10)+(E48/10)-(E49/10)</f>
        <v>2018113.2163148595</v>
      </c>
      <c r="F50" s="1055" t="e">
        <f>(F42/10)-(F47/10)+(F48/10)-(F49/10)</f>
        <v>#DIV/0!</v>
      </c>
    </row>
    <row r="51" ht="33" customHeight="1" spans="1:6" s="1056" customFormat="1" x14ac:dyDescent="0.25">
      <c r="A51" s="1057" t="s">
        <v>80</v>
      </c>
      <c r="B51" s="1058" t="s">
        <v>2687</v>
      </c>
      <c r="C51" s="1059" t="s">
        <v>2688</v>
      </c>
      <c r="D51" s="1060" t="s">
        <v>1482</v>
      </c>
      <c r="E51" s="1061" t="str">
        <f>IF('General Information'!C4="REFINERY",(IFERROR(E50/E46,0)),"Not Applicable")</f>
        <v>Not Applicable</v>
      </c>
      <c r="F51" s="1061" t="str">
        <f>IF('General Information'!C4="REFINERY",(IFERROR(F50/F46,0)),"Not Applicable")</f>
        <v>Not Applicable</v>
      </c>
    </row>
    <row r="52" ht="15" customHeight="1" spans="1:6" x14ac:dyDescent="0.25">
      <c r="A52" s="1052"/>
      <c r="B52" s="1053"/>
      <c r="C52" s="1053"/>
      <c r="D52" s="1054"/>
      <c r="E52" s="1055"/>
      <c r="F52" s="1055"/>
    </row>
    <row r="53" ht="15" customHeight="1" spans="1:6" s="1028" customFormat="1" x14ac:dyDescent="0.25">
      <c r="A53" s="1062" t="s">
        <v>997</v>
      </c>
      <c r="B53" s="1063" t="s">
        <v>85</v>
      </c>
      <c r="C53" s="1063"/>
      <c r="D53" s="1063"/>
      <c r="E53" s="1063"/>
      <c r="F53" s="1063"/>
    </row>
    <row r="54" ht="30" customHeight="1" spans="1:6" x14ac:dyDescent="0.25">
      <c r="A54" s="1052" t="s">
        <v>58</v>
      </c>
      <c r="B54" s="1053" t="s">
        <v>2689</v>
      </c>
      <c r="C54" s="1033" t="s">
        <v>2690</v>
      </c>
      <c r="D54" s="1054" t="s">
        <v>1456</v>
      </c>
      <c r="E54" s="1055">
        <f>'Baseline Parameter'!E73</f>
        <v>423396.4640200816</v>
      </c>
      <c r="F54" s="1055">
        <f>'Baseline Parameter'!F73</f>
        <v>0</v>
      </c>
    </row>
    <row r="55" ht="45" customHeight="1" spans="1:6" x14ac:dyDescent="0.25">
      <c r="A55" s="1052" t="s">
        <v>64</v>
      </c>
      <c r="B55" s="1033" t="s">
        <v>2691</v>
      </c>
      <c r="C55" s="1033" t="s">
        <v>2692</v>
      </c>
      <c r="D55" s="1054" t="s">
        <v>1826</v>
      </c>
      <c r="E55" s="1055">
        <f>E27*'Baseline Parameter'!E43</f>
        <v>13771.942241511913</v>
      </c>
      <c r="F55" s="1055" t="e">
        <f>F27*'Baseline Parameter'!F43</f>
        <v>#DIV/0!</v>
      </c>
    </row>
    <row r="56" ht="45" customHeight="1" spans="1:6" x14ac:dyDescent="0.25">
      <c r="A56" s="1052" t="s">
        <v>68</v>
      </c>
      <c r="B56" s="1033" t="s">
        <v>2693</v>
      </c>
      <c r="C56" s="1033" t="s">
        <v>2694</v>
      </c>
      <c r="D56" s="1054" t="s">
        <v>1826</v>
      </c>
      <c r="E56" s="1055">
        <f>E28*'Baseline Parameter'!E43</f>
        <v>685232.4344469522</v>
      </c>
      <c r="F56" s="1055" t="e">
        <f>F28*'Baseline Parameter'!F43</f>
        <v>#DIV/0!</v>
      </c>
    </row>
    <row r="57" ht="15" customHeight="1" spans="1:6" x14ac:dyDescent="0.25">
      <c r="A57" s="1052" t="s">
        <v>74</v>
      </c>
      <c r="B57" s="1053" t="s">
        <v>2685</v>
      </c>
      <c r="C57" s="1053" t="s">
        <v>2695</v>
      </c>
      <c r="D57" s="1054" t="s">
        <v>1477</v>
      </c>
      <c r="E57" s="1055">
        <f>(E42/10)-(E55/10)+(E56/10)</f>
        <v>2086083.4375024042</v>
      </c>
      <c r="F57" s="1055" t="e">
        <f>(F42/10)-(F55/10)+(F56/10)</f>
        <v>#DIV/0!</v>
      </c>
    </row>
    <row r="58" ht="38.5" customHeight="1" spans="1:6" s="1064" customFormat="1" x14ac:dyDescent="0.25">
      <c r="A58" s="1065" t="s">
        <v>80</v>
      </c>
      <c r="B58" s="1066" t="s">
        <v>2696</v>
      </c>
      <c r="C58" s="1067" t="s">
        <v>2697</v>
      </c>
      <c r="D58" s="1068" t="s">
        <v>1482</v>
      </c>
      <c r="E58" s="1069">
        <f>IF(OR('General Information'!C4="SMELTER", 'General Information'!C4="INTEGRATED"),(IFERROR((E57/E54),0)),"Not Applicable")</f>
        <v>4.927021396672462</v>
      </c>
      <c r="F58" s="1070">
        <f>IF(OR('General Information'!C4="SMELTER", 'General Information'!C4="INTEGRATED"),(IFERROR((F57/F54),0)),"Not Applicable")</f>
        <v>0</v>
      </c>
    </row>
    <row r="59" spans="1:6" x14ac:dyDescent="0.25">
      <c r="A59" s="1071" t="s">
        <v>1007</v>
      </c>
      <c r="B59" s="1071" t="s">
        <v>2698</v>
      </c>
      <c r="C59" s="1038" t="s">
        <v>1453</v>
      </c>
      <c r="D59" s="1038"/>
      <c r="E59" s="1038" t="s">
        <v>2699</v>
      </c>
      <c r="F59" s="1072" t="s">
        <v>2700</v>
      </c>
    </row>
    <row r="60" ht="30" customHeight="1" hidden="1" spans="1:6" x14ac:dyDescent="0.25">
      <c r="A60" s="1034" t="s">
        <v>58</v>
      </c>
      <c r="B60" s="1053" t="s">
        <v>2701</v>
      </c>
      <c r="C60" s="1033" t="s">
        <v>2702</v>
      </c>
      <c r="D60" s="1053" t="s">
        <v>1477</v>
      </c>
      <c r="E60" s="1053"/>
      <c r="F60" s="1052">
        <f>'N1-BQ Bauxite Quality'!F23/10</f>
        <v>0</v>
      </c>
    </row>
    <row r="61" ht="30" customHeight="1" hidden="1" spans="1:6" x14ac:dyDescent="0.25">
      <c r="A61" s="1034" t="s">
        <v>64</v>
      </c>
      <c r="B61" s="1053" t="s">
        <v>2703</v>
      </c>
      <c r="C61" s="1033" t="s">
        <v>2704</v>
      </c>
      <c r="D61" s="1053" t="s">
        <v>1477</v>
      </c>
      <c r="E61" s="1053"/>
      <c r="F61" s="1052">
        <f>'NF - 2 Fuel Quality CPP &amp; Cogen'!F47/10</f>
        <v>0</v>
      </c>
    </row>
    <row r="62" ht="15" customHeight="1" hidden="1" spans="1:6" x14ac:dyDescent="0.25">
      <c r="A62" s="1034" t="s">
        <v>68</v>
      </c>
      <c r="B62" s="1053" t="s">
        <v>2705</v>
      </c>
      <c r="C62" s="1033" t="s">
        <v>2706</v>
      </c>
      <c r="D62" s="1053" t="s">
        <v>1477</v>
      </c>
      <c r="E62" s="1053"/>
      <c r="F62" s="1052">
        <f>'NF - 3 PLF'!E25/10</f>
        <v>0</v>
      </c>
    </row>
    <row r="63" ht="30" customHeight="1" hidden="1" spans="1:6" x14ac:dyDescent="0.25">
      <c r="A63" s="1034" t="s">
        <v>74</v>
      </c>
      <c r="B63" s="1053" t="s">
        <v>2707</v>
      </c>
      <c r="C63" s="1033" t="s">
        <v>2708</v>
      </c>
      <c r="D63" s="1053" t="s">
        <v>1477</v>
      </c>
      <c r="E63" s="1053"/>
      <c r="F63" s="1052">
        <f>'NF - 5 Power Mix'!F69/10</f>
        <v>0</v>
      </c>
    </row>
    <row r="64" ht="30" customHeight="1" hidden="1" spans="1:6" x14ac:dyDescent="0.25">
      <c r="A64" s="1034" t="s">
        <v>80</v>
      </c>
      <c r="B64" s="1053" t="s">
        <v>2709</v>
      </c>
      <c r="C64" s="1033" t="s">
        <v>2710</v>
      </c>
      <c r="D64" s="1053" t="s">
        <v>1477</v>
      </c>
      <c r="E64" s="1053"/>
      <c r="F64" s="1052" t="e">
        <f>'NF-6 Carbon Anode Production'!F18/10</f>
        <v>#DIV/0!</v>
      </c>
    </row>
    <row r="65" ht="30" customHeight="1" hidden="1" spans="1:6" x14ac:dyDescent="0.25">
      <c r="A65" s="1034" t="s">
        <v>82</v>
      </c>
      <c r="B65" s="1053" t="s">
        <v>2711</v>
      </c>
      <c r="C65" s="1033" t="s">
        <v>2712</v>
      </c>
      <c r="D65" s="1053" t="s">
        <v>1477</v>
      </c>
      <c r="E65" s="1053"/>
      <c r="F65" s="1052" t="e">
        <f> 'NF-7 Smelter CU'!E22/10</f>
        <v>#DIV/0!</v>
      </c>
    </row>
    <row r="66" ht="15" customHeight="1" hidden="1" spans="1:6" x14ac:dyDescent="0.25">
      <c r="A66" s="1034" t="s">
        <v>121</v>
      </c>
      <c r="B66" s="1053" t="s">
        <v>2713</v>
      </c>
      <c r="C66" s="1033" t="s">
        <v>2714</v>
      </c>
      <c r="D66" s="1053" t="s">
        <v>1477</v>
      </c>
      <c r="E66" s="1053"/>
      <c r="F66" s="1052" t="e">
        <f>'NF-8 Others'!F30/10</f>
        <v>#DIV/0!</v>
      </c>
    </row>
    <row r="67" ht="15" customHeight="1" spans="1:6" x14ac:dyDescent="0.25">
      <c r="A67" s="1034" t="s">
        <v>144</v>
      </c>
      <c r="B67" s="1053" t="s">
        <v>2715</v>
      </c>
      <c r="C67" s="1033" t="s">
        <v>61</v>
      </c>
      <c r="D67" s="1053" t="s">
        <v>1477</v>
      </c>
      <c r="E67" s="1052">
        <f>IF(C3="Refinery",E50,E57)</f>
        <v>2086083.4375024042</v>
      </c>
      <c r="F67" s="1052" t="e">
        <f>IF(C3="Refinery",F50-F60-F61-F62-F63-F65-F64-F66,F57-F60-F61-F62-F63-F65-F64-F66)</f>
        <v>#DIV/0!</v>
      </c>
    </row>
    <row r="68" ht="42" customHeight="1" spans="1:6" x14ac:dyDescent="0.25">
      <c r="A68" s="1073" t="s">
        <v>1161</v>
      </c>
      <c r="B68" s="1074" t="s">
        <v>2716</v>
      </c>
      <c r="C68" s="1074" t="s">
        <v>2717</v>
      </c>
      <c r="D68" s="1075" t="s">
        <v>1482</v>
      </c>
      <c r="E68" s="1076">
        <f>IF('General Information'!C4="REFINERY",(IFERROR((E67/E46),0)),IFERROR((E67/E54),0))</f>
        <v>4.927021396672462</v>
      </c>
      <c r="F68" s="1073">
        <f>IF('General Information'!C4="REFINERY",(IFERROR((F67/F46),0)),IFERROR((F67/F54),0))</f>
        <v>0</v>
      </c>
    </row>
    <row r="69" ht="15" customHeight="1" spans="1:6" x14ac:dyDescent="0.25">
      <c r="A69" s="1038" t="s">
        <v>1173</v>
      </c>
      <c r="B69" s="349" t="s">
        <v>2718</v>
      </c>
      <c r="C69" s="1047"/>
      <c r="D69" s="1037" t="s">
        <v>1482</v>
      </c>
      <c r="E69" s="1077">
        <f>'Form Sa1'!H712</f>
        <v>0</v>
      </c>
      <c r="F69" s="1038"/>
    </row>
    <row r="70" ht="15" customHeight="1" spans="1:6" x14ac:dyDescent="0.25">
      <c r="A70" s="1038" t="s">
        <v>1194</v>
      </c>
      <c r="B70" s="1078" t="s">
        <v>2719</v>
      </c>
      <c r="C70" s="1047"/>
      <c r="D70" s="1037" t="s">
        <v>1482</v>
      </c>
      <c r="E70" s="1077">
        <f>E68-E69</f>
        <v>4.927021396672462</v>
      </c>
      <c r="F70" s="1038"/>
    </row>
    <row r="71" ht="15" customHeight="1" spans="1:6" x14ac:dyDescent="0.25">
      <c r="A71" s="1079" t="s">
        <v>1253</v>
      </c>
      <c r="B71" s="1080" t="s">
        <v>2720</v>
      </c>
      <c r="C71" s="1081" t="s">
        <v>2721</v>
      </c>
      <c r="D71" s="1082" t="s">
        <v>1477</v>
      </c>
      <c r="E71" s="1072"/>
      <c r="F71" s="1072">
        <f>'NF-8 Others'!F39</f>
        <v>0</v>
      </c>
    </row>
    <row r="72" ht="15" customHeight="1" spans="1:6" x14ac:dyDescent="0.25">
      <c r="A72" s="1052" t="s">
        <v>58</v>
      </c>
      <c r="B72" s="1033" t="s">
        <v>2722</v>
      </c>
      <c r="C72" s="1083" t="s">
        <v>2723</v>
      </c>
      <c r="D72" s="1053" t="s">
        <v>1477</v>
      </c>
      <c r="E72" s="1072"/>
      <c r="F72" s="1072" t="e">
        <f>(F71+F67)</f>
        <v>#DIV/0!</v>
      </c>
    </row>
    <row r="73" ht="30" customHeight="1" spans="1:6" x14ac:dyDescent="0.25">
      <c r="A73" s="1084" t="s">
        <v>1264</v>
      </c>
      <c r="B73" s="1085" t="s">
        <v>2724</v>
      </c>
      <c r="C73" s="1086" t="s">
        <v>61</v>
      </c>
      <c r="D73" s="1086" t="s">
        <v>1482</v>
      </c>
      <c r="E73" s="1086"/>
      <c r="F73" s="1087">
        <f>IFERROR(IF(C3="Refinery",((F72/F46)-E70),((F72/F54)-E70)),0)</f>
        <v>0</v>
      </c>
    </row>
    <row r="74" ht="15" customHeight="1" spans="1:6" x14ac:dyDescent="0.25">
      <c r="A74" s="1079"/>
      <c r="B74" s="1088"/>
      <c r="C74" s="1089"/>
      <c r="D74" s="1089"/>
      <c r="E74" s="1089"/>
      <c r="F74" s="1090"/>
    </row>
    <row r="75" spans="1:6" x14ac:dyDescent="0.25">
      <c r="A75" s="1091">
        <v>13</v>
      </c>
      <c r="B75" s="1092" t="s">
        <v>2725</v>
      </c>
      <c r="C75" s="1092"/>
      <c r="D75" s="1093"/>
      <c r="E75" s="1093"/>
      <c r="F75" s="1093"/>
    </row>
    <row r="76" spans="1:6" x14ac:dyDescent="0.25">
      <c r="A76" s="1091">
        <v>13.1</v>
      </c>
      <c r="B76" s="1094" t="s">
        <v>2726</v>
      </c>
      <c r="C76" s="1092"/>
      <c r="D76" s="1093"/>
      <c r="E76" s="1093"/>
      <c r="F76" s="1093"/>
    </row>
    <row r="77" spans="1:6" x14ac:dyDescent="0.25">
      <c r="A77" s="1095" t="s">
        <v>103</v>
      </c>
      <c r="B77" s="1096" t="s">
        <v>2727</v>
      </c>
      <c r="C77" s="782" t="s">
        <v>2728</v>
      </c>
      <c r="D77" s="771" t="s">
        <v>1822</v>
      </c>
      <c r="E77" s="1097">
        <f>'Form Sa1'!H693</f>
        <v>1144.79</v>
      </c>
      <c r="F77" s="1097">
        <f>'Form Sa1'!I693</f>
        <v>0</v>
      </c>
    </row>
    <row r="78" spans="1:6" x14ac:dyDescent="0.25">
      <c r="A78" s="1095" t="s">
        <v>125</v>
      </c>
      <c r="B78" s="1096" t="s">
        <v>2729</v>
      </c>
      <c r="C78" s="782" t="s">
        <v>2730</v>
      </c>
      <c r="D78" s="771" t="s">
        <v>1822</v>
      </c>
      <c r="E78" s="1097">
        <f>'NF - 5 Power Mix'!E7</f>
        <v>0</v>
      </c>
      <c r="F78" s="1097">
        <f>'NF - 5 Power Mix'!F7</f>
        <v>0</v>
      </c>
    </row>
    <row r="79" spans="1:6" x14ac:dyDescent="0.25">
      <c r="A79" s="1095" t="s">
        <v>182</v>
      </c>
      <c r="B79" s="1096" t="s">
        <v>2731</v>
      </c>
      <c r="C79" s="782" t="s">
        <v>2732</v>
      </c>
      <c r="D79" s="771" t="s">
        <v>1822</v>
      </c>
      <c r="E79" s="1097">
        <f>'NF - 5 Power Mix'!E8</f>
        <v>66354.07216</v>
      </c>
      <c r="F79" s="1097">
        <f>'NF - 5 Power Mix'!F8</f>
        <v>0</v>
      </c>
    </row>
    <row r="80" spans="1:6" x14ac:dyDescent="0.25">
      <c r="A80" s="1095" t="s">
        <v>322</v>
      </c>
      <c r="B80" s="1096" t="s">
        <v>2733</v>
      </c>
      <c r="C80" s="782" t="s">
        <v>2734</v>
      </c>
      <c r="D80" s="771" t="s">
        <v>1822</v>
      </c>
      <c r="E80" s="1097">
        <f>'NF - 5 Power Mix'!E9</f>
        <v>0</v>
      </c>
      <c r="F80" s="1097">
        <f>'NF - 5 Power Mix'!F9</f>
        <v>0</v>
      </c>
    </row>
    <row r="81" spans="1:6" x14ac:dyDescent="0.25">
      <c r="A81" s="1095" t="s">
        <v>1326</v>
      </c>
      <c r="B81" s="1096" t="s">
        <v>2735</v>
      </c>
      <c r="C81" s="782" t="s">
        <v>2736</v>
      </c>
      <c r="D81" s="771" t="s">
        <v>1822</v>
      </c>
      <c r="E81" s="1097">
        <f>'NF - 5 Power Mix'!E10</f>
        <v>779.51468375</v>
      </c>
      <c r="F81" s="1097">
        <f>'NF - 5 Power Mix'!F10</f>
        <v>0</v>
      </c>
    </row>
    <row r="82" spans="1:6" x14ac:dyDescent="0.25">
      <c r="A82" s="1095" t="s">
        <v>1333</v>
      </c>
      <c r="B82" s="1096" t="s">
        <v>2737</v>
      </c>
      <c r="C82" s="782" t="s">
        <v>2738</v>
      </c>
      <c r="D82" s="771" t="s">
        <v>1822</v>
      </c>
      <c r="E82" s="1097">
        <f>'NF - 5 Power Mix'!E11</f>
        <v>3739.338125</v>
      </c>
      <c r="F82" s="1097">
        <f>'NF - 5 Power Mix'!F11</f>
        <v>0</v>
      </c>
    </row>
    <row r="83" spans="1:6" x14ac:dyDescent="0.25">
      <c r="A83" s="1095" t="s">
        <v>1521</v>
      </c>
      <c r="B83" s="1096" t="s">
        <v>2739</v>
      </c>
      <c r="C83" s="782" t="s">
        <v>2740</v>
      </c>
      <c r="D83" s="771" t="s">
        <v>1822</v>
      </c>
      <c r="E83" s="1097">
        <f>'NF - 5 Power Mix'!E12</f>
        <v>0</v>
      </c>
      <c r="F83" s="1097">
        <f>'NF - 5 Power Mix'!F12</f>
        <v>0</v>
      </c>
    </row>
    <row r="84" spans="1:6" x14ac:dyDescent="0.25">
      <c r="A84" s="1095" t="s">
        <v>1531</v>
      </c>
      <c r="B84" s="1096" t="s">
        <v>2741</v>
      </c>
      <c r="C84" s="782" t="s">
        <v>2742</v>
      </c>
      <c r="D84" s="771" t="s">
        <v>1822</v>
      </c>
      <c r="E84" s="1097">
        <f>'NF - 5 Power Mix'!E13</f>
        <v>0</v>
      </c>
      <c r="F84" s="1097">
        <f>'NF - 5 Power Mix'!F13</f>
        <v>0</v>
      </c>
    </row>
    <row r="85" spans="1:6" x14ac:dyDescent="0.25">
      <c r="A85" s="1095" t="s">
        <v>58</v>
      </c>
      <c r="B85" s="1096" t="s">
        <v>2087</v>
      </c>
      <c r="C85" s="782" t="s">
        <v>2743</v>
      </c>
      <c r="D85" s="771" t="s">
        <v>1822</v>
      </c>
      <c r="E85" s="1097">
        <f>'NF - 5 Power Mix'!E17</f>
        <v>0</v>
      </c>
      <c r="F85" s="1097">
        <f>'NF - 5 Power Mix'!F17</f>
        <v>0</v>
      </c>
    </row>
    <row r="86" spans="1:6" x14ac:dyDescent="0.25">
      <c r="A86" s="1095" t="s">
        <v>219</v>
      </c>
      <c r="B86" s="1098" t="s">
        <v>2744</v>
      </c>
      <c r="C86" s="782" t="s">
        <v>2745</v>
      </c>
      <c r="D86" s="771" t="s">
        <v>1822</v>
      </c>
      <c r="E86" s="1097">
        <f>'NF - 5 Power Mix'!E16</f>
        <v>0</v>
      </c>
      <c r="F86" s="1097">
        <f>'NF - 5 Power Mix'!F16</f>
        <v>0</v>
      </c>
    </row>
    <row r="87" spans="1:6" x14ac:dyDescent="0.25">
      <c r="A87" s="1095" t="s">
        <v>225</v>
      </c>
      <c r="B87" s="1096" t="s">
        <v>1986</v>
      </c>
      <c r="C87" s="782" t="s">
        <v>2746</v>
      </c>
      <c r="D87" s="771" t="s">
        <v>1822</v>
      </c>
      <c r="E87" s="1097">
        <f>'NF - 5 Power Mix'!E15</f>
        <v>0</v>
      </c>
      <c r="F87" s="1097">
        <f>'NF - 5 Power Mix'!F15</f>
        <v>0</v>
      </c>
    </row>
    <row r="88" spans="1:6" x14ac:dyDescent="0.25">
      <c r="A88" s="1095" t="s">
        <v>231</v>
      </c>
      <c r="B88" s="1096" t="s">
        <v>2747</v>
      </c>
      <c r="C88" s="782" t="s">
        <v>2748</v>
      </c>
      <c r="D88" s="771" t="s">
        <v>1822</v>
      </c>
      <c r="E88" s="1097">
        <f>'NF - 5 Power Mix'!E14</f>
        <v>39.123358992527514</v>
      </c>
      <c r="F88" s="1097">
        <f>'NF - 5 Power Mix'!F14</f>
        <v>0</v>
      </c>
    </row>
    <row r="89" spans="1:6" x14ac:dyDescent="0.25">
      <c r="A89" s="1099" t="s">
        <v>237</v>
      </c>
      <c r="B89" s="1100" t="s">
        <v>2749</v>
      </c>
      <c r="C89" s="782" t="s">
        <v>2750</v>
      </c>
      <c r="D89" s="1101" t="s">
        <v>1822</v>
      </c>
      <c r="E89" s="1079">
        <f>SUM(E77:E88)</f>
        <v>72056.83832774252</v>
      </c>
      <c r="F89" s="1079">
        <f>SUM(F77:F88)</f>
        <v>0</v>
      </c>
    </row>
    <row r="90" ht="14" customHeight="1" spans="1:3" s="1102" customFormat="1" x14ac:dyDescent="0.25">
      <c r="A90" s="1103">
        <v>13.2</v>
      </c>
      <c r="B90" s="1104" t="s">
        <v>2751</v>
      </c>
      <c r="C90" s="1105"/>
    </row>
    <row r="91" ht="28" customHeight="1" spans="1:6" x14ac:dyDescent="0.25">
      <c r="A91" s="1095" t="s">
        <v>103</v>
      </c>
      <c r="B91" s="1096" t="s">
        <v>2752</v>
      </c>
      <c r="C91" s="782" t="s">
        <v>2753</v>
      </c>
      <c r="D91" s="771" t="s">
        <v>1590</v>
      </c>
      <c r="E91" s="1106">
        <f>IFERROR((E78+E79+E80+E81+E82+E85+E86)/E89,0)</f>
        <v>0.9835697293071947</v>
      </c>
      <c r="F91" s="1106">
        <f>IFERROR((F78+F79+F80+F81+F82+F85+F86)/F89,0)</f>
        <v>0</v>
      </c>
    </row>
    <row r="92" spans="1:6" x14ac:dyDescent="0.25">
      <c r="A92" s="1095" t="s">
        <v>125</v>
      </c>
      <c r="B92" s="1096" t="s">
        <v>2754</v>
      </c>
      <c r="C92" s="782" t="s">
        <v>2755</v>
      </c>
      <c r="D92" s="771" t="s">
        <v>1493</v>
      </c>
      <c r="E92" s="1106">
        <f>IFERROR(E77/E89,0)</f>
        <v>0.015887319324129238</v>
      </c>
      <c r="F92" s="1106">
        <f>IFERROR(F77/F89,0)</f>
        <v>0</v>
      </c>
    </row>
    <row r="93" spans="1:6" x14ac:dyDescent="0.25">
      <c r="A93" s="1095" t="s">
        <v>182</v>
      </c>
      <c r="B93" s="1096" t="s">
        <v>2756</v>
      </c>
      <c r="C93" s="782" t="s">
        <v>2757</v>
      </c>
      <c r="D93" s="771" t="s">
        <v>1493</v>
      </c>
      <c r="E93" s="1106">
        <f>IFERROR((E84+E87+E88)/E89,0)</f>
        <v>0.0005429513686762006</v>
      </c>
      <c r="F93" s="1106">
        <f>IFERROR((F84+F87+F88)/F89,0)</f>
        <v>0</v>
      </c>
    </row>
    <row r="94" spans="1:6" x14ac:dyDescent="0.25">
      <c r="A94" s="1095" t="s">
        <v>322</v>
      </c>
      <c r="B94" s="1096" t="s">
        <v>2758</v>
      </c>
      <c r="C94" s="782" t="s">
        <v>2759</v>
      </c>
      <c r="D94" s="771" t="s">
        <v>1493</v>
      </c>
      <c r="E94" s="1106">
        <f>IFERROR(E83/E89,0)</f>
        <v>0</v>
      </c>
      <c r="F94" s="1106">
        <f>IFERROR(F83/F89,0)</f>
        <v>0</v>
      </c>
    </row>
    <row r="95" spans="1:6" x14ac:dyDescent="0.25">
      <c r="A95" s="1095" t="s">
        <v>1326</v>
      </c>
      <c r="B95" s="1096" t="s">
        <v>2760</v>
      </c>
      <c r="C95" s="782" t="s">
        <v>2761</v>
      </c>
      <c r="D95" s="771" t="s">
        <v>1493</v>
      </c>
      <c r="E95" s="1106">
        <f>SUM(E91:E94)</f>
        <v>1</v>
      </c>
      <c r="F95" s="1106">
        <f>SUM(F91:F94)</f>
        <v>0</v>
      </c>
    </row>
    <row r="96" spans="1:6" x14ac:dyDescent="0.25">
      <c r="A96" s="1095" t="s">
        <v>1270</v>
      </c>
      <c r="B96" s="1096" t="s">
        <v>2762</v>
      </c>
      <c r="C96" s="782" t="s">
        <v>2763</v>
      </c>
      <c r="D96" s="771" t="s">
        <v>1493</v>
      </c>
      <c r="E96" s="1106">
        <f>IFERROR((E85+E86)/E89,0)</f>
        <v>0</v>
      </c>
      <c r="F96" s="1106">
        <f>IFERROR((F85+F86)/F89,0)</f>
        <v>0</v>
      </c>
    </row>
    <row r="97" spans="1:6" x14ac:dyDescent="0.25">
      <c r="A97" s="1095" t="s">
        <v>2764</v>
      </c>
      <c r="B97" s="1096" t="s">
        <v>2765</v>
      </c>
      <c r="C97" s="782" t="s">
        <v>2766</v>
      </c>
      <c r="D97" s="771" t="s">
        <v>1493</v>
      </c>
      <c r="E97" s="1106">
        <f>IFERROR(E84/E89,0)</f>
        <v>0</v>
      </c>
      <c r="F97" s="1106">
        <f>IFERROR(F84/F89,0)</f>
        <v>0</v>
      </c>
    </row>
    <row r="98" spans="1:6" x14ac:dyDescent="0.25">
      <c r="A98" s="1095" t="s">
        <v>2767</v>
      </c>
      <c r="B98" s="1096" t="s">
        <v>2768</v>
      </c>
      <c r="C98" s="782" t="s">
        <v>2769</v>
      </c>
      <c r="D98" s="771" t="s">
        <v>1493</v>
      </c>
      <c r="E98" s="1106">
        <f>IFERROR((E87+E88)/E89,0)</f>
        <v>0.0005429513686762006</v>
      </c>
      <c r="F98" s="1106">
        <f>IFERROR((F87+F88)/F89,0)</f>
        <v>0</v>
      </c>
    </row>
    <row r="99" spans="1:6" x14ac:dyDescent="0.25">
      <c r="A99" s="1095" t="s">
        <v>2770</v>
      </c>
      <c r="B99" s="1096" t="s">
        <v>2771</v>
      </c>
      <c r="C99" s="782" t="s">
        <v>2772</v>
      </c>
      <c r="D99" s="771" t="s">
        <v>1493</v>
      </c>
      <c r="E99" s="1106">
        <f>IFERROR((E84+E87+E88)*860*10^5/(E67*10^7),0)</f>
        <v>0.00016128831727774495</v>
      </c>
      <c r="F99" s="1106">
        <f>IFERROR((F84+F87+F88)*860*10^5/(F67*10^7),0)</f>
        <v>0</v>
      </c>
    </row>
    <row r="100" spans="1:6" x14ac:dyDescent="0.25">
      <c r="A100" s="1103">
        <v>14</v>
      </c>
      <c r="B100" s="1105" t="s">
        <v>2773</v>
      </c>
      <c r="C100" s="1105"/>
      <c r="D100" s="1102"/>
      <c r="E100" s="1102"/>
      <c r="F100" s="1102"/>
    </row>
    <row r="101" ht="15" customHeight="1" spans="1:6" x14ac:dyDescent="0.25">
      <c r="A101" s="1079"/>
      <c r="B101" s="1088"/>
      <c r="C101" s="1089"/>
      <c r="D101" s="1089"/>
      <c r="E101" s="1089"/>
      <c r="F101" s="1090"/>
    </row>
    <row r="102" ht="16.5" customHeight="1" spans="1:6" s="1107" customFormat="1" x14ac:dyDescent="0.25">
      <c r="A102" s="1108" t="s">
        <v>1281</v>
      </c>
      <c r="B102" s="1085" t="s">
        <v>2774</v>
      </c>
      <c r="C102" s="1085" t="s">
        <v>2775</v>
      </c>
      <c r="D102" s="1085" t="s">
        <v>2776</v>
      </c>
      <c r="E102" s="1108">
        <f>IF('General Information'!C4="REFINERY",'NF - 4 Product Mix'!E102+E46,'NF - 4 Product Mix'!E114+E54)</f>
        <v>423703.5138747444</v>
      </c>
      <c r="F102" s="1108">
        <f>IF('General Information'!D4="REFINERY",'NF - 4 Product Mix'!F102+F46,'NF - 4 Product Mix'!F114+F54)</f>
        <v>0</v>
      </c>
    </row>
    <row r="103" ht="14" customHeight="1" spans="1:6" s="1109" customFormat="1" x14ac:dyDescent="0.25">
      <c r="A103" s="1101" t="s">
        <v>1284</v>
      </c>
      <c r="B103" s="1110" t="s">
        <v>2777</v>
      </c>
      <c r="C103" s="771"/>
      <c r="D103" s="1111"/>
      <c r="E103" s="1112"/>
      <c r="F103" s="1113"/>
    </row>
    <row r="104" ht="14" customHeight="1" spans="1:6" s="1109" customFormat="1" x14ac:dyDescent="0.25">
      <c r="A104" s="771" t="s">
        <v>306</v>
      </c>
      <c r="B104" s="1110" t="s">
        <v>2778</v>
      </c>
      <c r="C104" s="1110" t="s">
        <v>2779</v>
      </c>
      <c r="D104" s="1114" t="s">
        <v>2780</v>
      </c>
      <c r="E104" s="1115">
        <f>'Form Sa1'!H1021</f>
        <v>7588795.744947225</v>
      </c>
      <c r="F104" s="1115">
        <f>'Form Sa1'!I1021</f>
        <v>0</v>
      </c>
    </row>
    <row r="105" ht="14" customHeight="1" spans="1:6" s="1116" customFormat="1" x14ac:dyDescent="0.25">
      <c r="A105" s="1117" t="s">
        <v>103</v>
      </c>
      <c r="B105" s="1118" t="s">
        <v>2781</v>
      </c>
      <c r="C105" s="770" t="s">
        <v>2782</v>
      </c>
      <c r="D105" s="1111" t="s">
        <v>2780</v>
      </c>
      <c r="E105" s="1119">
        <f>'Form Sa1'!H1015+'Form Sa1'!H1016</f>
        <v>7034588.346511294</v>
      </c>
      <c r="F105" s="1119">
        <f>'Form Sa1'!I1015+'Form Sa1'!I1016</f>
        <v>0</v>
      </c>
    </row>
    <row r="106" ht="14" customHeight="1" spans="1:6" s="1116" customFormat="1" x14ac:dyDescent="0.25">
      <c r="A106" s="1117" t="s">
        <v>125</v>
      </c>
      <c r="B106" s="1118" t="s">
        <v>2783</v>
      </c>
      <c r="C106" s="770" t="s">
        <v>2784</v>
      </c>
      <c r="D106" s="1111" t="s">
        <v>2780</v>
      </c>
      <c r="E106" s="1119">
        <f>'Form Sa1'!H1017</f>
        <v>554207.3984359308</v>
      </c>
      <c r="F106" s="1119">
        <f>'Form Sa1'!I1017</f>
        <v>0</v>
      </c>
    </row>
    <row r="107" ht="14" customHeight="1" spans="1:6" s="1109" customFormat="1" x14ac:dyDescent="0.25">
      <c r="A107" s="771" t="s">
        <v>308</v>
      </c>
      <c r="B107" s="1110" t="s">
        <v>2785</v>
      </c>
      <c r="C107" s="1110" t="s">
        <v>2786</v>
      </c>
      <c r="D107" s="1114" t="s">
        <v>2780</v>
      </c>
      <c r="E107" s="1115">
        <f>'Form Sa1'!H1183</f>
        <v>220350.16318745003</v>
      </c>
      <c r="F107" s="1115">
        <f>'Form Sa1'!I1183</f>
        <v>0</v>
      </c>
    </row>
    <row r="108" ht="17.5" customHeight="1" spans="1:6" s="1116" customFormat="1" x14ac:dyDescent="0.25">
      <c r="A108" s="1117" t="s">
        <v>103</v>
      </c>
      <c r="B108" s="1118" t="s">
        <v>2781</v>
      </c>
      <c r="C108" s="770" t="s">
        <v>2787</v>
      </c>
      <c r="D108" s="1111" t="s">
        <v>2780</v>
      </c>
      <c r="E108" s="1119">
        <f>'Form Sa1'!H1175+'Form Sa1'!H1176+'Form Sa1'!H1177</f>
        <v>3649.7496647205635</v>
      </c>
      <c r="F108" s="1119">
        <f>'Form Sa1'!I1175+'Form Sa1'!I1176+'Form Sa1'!I1177</f>
        <v>0</v>
      </c>
    </row>
    <row r="109" ht="14" customHeight="1" spans="1:6" s="1116" customFormat="1" x14ac:dyDescent="0.25">
      <c r="A109" s="1117" t="s">
        <v>125</v>
      </c>
      <c r="B109" s="1118" t="s">
        <v>2783</v>
      </c>
      <c r="C109" s="770" t="s">
        <v>2788</v>
      </c>
      <c r="D109" s="1111" t="s">
        <v>2780</v>
      </c>
      <c r="E109" s="1119">
        <f>'Form Sa1'!H1178</f>
        <v>216700.41352272948</v>
      </c>
      <c r="F109" s="1119">
        <f>'Form Sa1'!I1178</f>
        <v>0</v>
      </c>
    </row>
    <row r="110" ht="14" customHeight="1" spans="1:6" s="1109" customFormat="1" x14ac:dyDescent="0.25">
      <c r="A110" s="771" t="s">
        <v>310</v>
      </c>
      <c r="B110" s="1110" t="s">
        <v>2789</v>
      </c>
      <c r="C110" s="1110" t="s">
        <v>2790</v>
      </c>
      <c r="D110" s="1114" t="s">
        <v>2780</v>
      </c>
      <c r="E110" s="1077">
        <f>'Form Sa1'!H1221</f>
        <v>0</v>
      </c>
      <c r="F110" s="1077">
        <f>'Form Sa1'!I1221</f>
        <v>0</v>
      </c>
    </row>
    <row r="111" ht="19.9" customHeight="1" spans="1:6" s="1116" customFormat="1" x14ac:dyDescent="0.25">
      <c r="A111" s="1117" t="s">
        <v>103</v>
      </c>
      <c r="B111" s="1118" t="s">
        <v>2781</v>
      </c>
      <c r="C111" s="770" t="s">
        <v>2791</v>
      </c>
      <c r="D111" s="1111" t="s">
        <v>2780</v>
      </c>
      <c r="E111" s="1112">
        <f>'Form Sa1'!H1219</f>
        <v>0</v>
      </c>
      <c r="F111" s="1112">
        <f>'Form Sa1'!I1219</f>
        <v>0</v>
      </c>
    </row>
    <row r="112" ht="14" customHeight="1" spans="1:6" s="1116" customFormat="1" x14ac:dyDescent="0.25">
      <c r="A112" s="1117" t="s">
        <v>125</v>
      </c>
      <c r="B112" s="1118" t="s">
        <v>2783</v>
      </c>
      <c r="C112" s="770" t="s">
        <v>2792</v>
      </c>
      <c r="D112" s="1111" t="s">
        <v>2780</v>
      </c>
      <c r="E112" s="1112">
        <f>'Form Sa1'!H1220</f>
        <v>0</v>
      </c>
      <c r="F112" s="1112">
        <f>'Form Sa1'!I1220</f>
        <v>0</v>
      </c>
    </row>
    <row r="113" ht="14" customHeight="1" spans="1:6" s="1109" customFormat="1" x14ac:dyDescent="0.25">
      <c r="A113" s="1101" t="s">
        <v>312</v>
      </c>
      <c r="B113" s="1110" t="s">
        <v>2793</v>
      </c>
      <c r="C113" s="1110" t="s">
        <v>2794</v>
      </c>
      <c r="D113" s="1114" t="s">
        <v>2780</v>
      </c>
      <c r="E113" s="1077">
        <f>'Form Sa1'!H1404</f>
        <v>740123.1433905291</v>
      </c>
      <c r="F113" s="1077">
        <f>'Form Sa1'!I1404</f>
        <v>0</v>
      </c>
    </row>
    <row r="114" ht="14" customHeight="1" spans="1:6" s="1109" customFormat="1" x14ac:dyDescent="0.25">
      <c r="A114" s="771" t="s">
        <v>314</v>
      </c>
      <c r="B114" s="770" t="s">
        <v>2795</v>
      </c>
      <c r="C114" s="1120" t="s">
        <v>2796</v>
      </c>
      <c r="D114" s="1111" t="s">
        <v>2780</v>
      </c>
      <c r="E114" s="1112">
        <f>'Form Sa1'!H1300</f>
        <v>0</v>
      </c>
      <c r="F114" s="1112">
        <f>'Form Sa1'!I1300</f>
        <v>0</v>
      </c>
    </row>
    <row r="115" ht="14" customHeight="1" spans="1:6" s="1109" customFormat="1" x14ac:dyDescent="0.25">
      <c r="A115" s="771" t="s">
        <v>316</v>
      </c>
      <c r="B115" s="770" t="s">
        <v>2797</v>
      </c>
      <c r="C115" s="770" t="s">
        <v>2798</v>
      </c>
      <c r="D115" s="1111" t="s">
        <v>2780</v>
      </c>
      <c r="E115" s="1112">
        <f>'Form Sa1'!H1264</f>
        <v>0</v>
      </c>
      <c r="F115" s="1112">
        <f>'Form Sa1'!I1264</f>
        <v>0</v>
      </c>
    </row>
    <row r="116" ht="14" customHeight="1" spans="1:6" s="1109" customFormat="1" x14ac:dyDescent="0.25">
      <c r="A116" s="771" t="s">
        <v>318</v>
      </c>
      <c r="B116" s="770" t="s">
        <v>2799</v>
      </c>
      <c r="C116" s="770" t="s">
        <v>2800</v>
      </c>
      <c r="D116" s="1111" t="s">
        <v>2780</v>
      </c>
      <c r="E116" s="1112">
        <f>'Form Sa1'!H1287</f>
        <v>0</v>
      </c>
      <c r="F116" s="1112">
        <f>'Form Sa1'!I1287</f>
        <v>0</v>
      </c>
    </row>
    <row r="117" ht="28" customHeight="1" spans="1:6" s="1109" customFormat="1" x14ac:dyDescent="0.25">
      <c r="A117" s="771" t="s">
        <v>478</v>
      </c>
      <c r="B117" s="770" t="s">
        <v>2801</v>
      </c>
      <c r="C117" s="770" t="s">
        <v>2802</v>
      </c>
      <c r="D117" s="1111" t="s">
        <v>2780</v>
      </c>
      <c r="E117" s="1112">
        <f>'Form Sa1'!H1018+'Form Sa1'!H1019+'Form Sa1'!H1179+'Form Sa1'!H1180+'Form Sa1'!H1181</f>
        <v>3765.6529756599984</v>
      </c>
      <c r="F117" s="1112">
        <f>'Form Sa1'!I1018+'Form Sa1'!I1019+'Form Sa1'!I1179+'Form Sa1'!I1180+'Form Sa1'!I1181</f>
        <v>0</v>
      </c>
    </row>
    <row r="118" ht="14" customHeight="1" spans="1:6" s="1109" customFormat="1" x14ac:dyDescent="0.25">
      <c r="A118" s="771" t="s">
        <v>481</v>
      </c>
      <c r="B118" s="770" t="s">
        <v>2803</v>
      </c>
      <c r="C118" s="770" t="s">
        <v>2804</v>
      </c>
      <c r="D118" s="1111" t="s">
        <v>2780</v>
      </c>
      <c r="E118" s="1112">
        <f>'Form Sa1'!H1020+'Form Sa1'!H1182</f>
        <v>12008.856015246705</v>
      </c>
      <c r="F118" s="1112">
        <f>'Form Sa1'!I1020+'Form Sa1'!I1182</f>
        <v>0</v>
      </c>
    </row>
    <row r="119" ht="14" customHeight="1" spans="1:6" s="1109" customFormat="1" x14ac:dyDescent="0.25">
      <c r="A119" s="771"/>
      <c r="B119" s="1110" t="s">
        <v>2805</v>
      </c>
      <c r="C119" s="770" t="s">
        <v>2806</v>
      </c>
      <c r="D119" s="1114" t="s">
        <v>2780</v>
      </c>
      <c r="E119" s="776">
        <f>E104+E107+E110+E113-E114-E115-E116</f>
        <v>8549269.051525204</v>
      </c>
      <c r="F119" s="776">
        <f>F104+F107+F110+F113-F114-F115-F116</f>
        <v>0</v>
      </c>
    </row>
    <row r="120" ht="14" customHeight="1" spans="1:6" s="1109" customFormat="1" x14ac:dyDescent="0.25">
      <c r="A120" s="1121"/>
      <c r="B120" s="1121"/>
      <c r="C120" s="1121"/>
      <c r="D120" s="1121"/>
      <c r="E120" s="1121"/>
      <c r="F120" s="1122"/>
    </row>
    <row r="121" ht="14" customHeight="1" spans="1:6" s="1109" customFormat="1" x14ac:dyDescent="0.25">
      <c r="A121" s="1101" t="s">
        <v>2807</v>
      </c>
      <c r="B121" s="1110" t="s">
        <v>2808</v>
      </c>
      <c r="C121" s="770"/>
      <c r="D121" s="1111"/>
      <c r="E121" s="1112"/>
      <c r="F121" s="1113"/>
    </row>
    <row r="122" ht="14" customHeight="1" spans="1:6" s="1109" customFormat="1" x14ac:dyDescent="0.25">
      <c r="A122" s="771" t="s">
        <v>306</v>
      </c>
      <c r="B122" s="770" t="s">
        <v>2809</v>
      </c>
      <c r="C122" s="770" t="s">
        <v>2810</v>
      </c>
      <c r="D122" s="1111" t="s">
        <v>2780</v>
      </c>
      <c r="E122" s="1112">
        <f>'Form Sa1'!H723</f>
        <v>83226.233</v>
      </c>
      <c r="F122" s="1112">
        <f>'Form Sa1'!I723</f>
        <v>0</v>
      </c>
    </row>
    <row r="123" ht="14" customHeight="1" spans="1:6" s="1109" customFormat="1" x14ac:dyDescent="0.25">
      <c r="A123" s="771" t="s">
        <v>308</v>
      </c>
      <c r="B123" s="770" t="s">
        <v>2811</v>
      </c>
      <c r="C123" s="770" t="s">
        <v>2812</v>
      </c>
      <c r="D123" s="1111" t="s">
        <v>2780</v>
      </c>
      <c r="E123" s="1112">
        <f>'Form Sa1'!H852</f>
        <v>201068.2051623292</v>
      </c>
      <c r="F123" s="1112">
        <f>'Form Sa1'!I852</f>
        <v>0</v>
      </c>
    </row>
    <row r="124" ht="14" customHeight="1" spans="1:6" s="1109" customFormat="1" x14ac:dyDescent="0.25">
      <c r="A124" s="771" t="s">
        <v>310</v>
      </c>
      <c r="B124" s="770" t="s">
        <v>2813</v>
      </c>
      <c r="C124" s="770" t="s">
        <v>2814</v>
      </c>
      <c r="D124" s="1111" t="s">
        <v>2780</v>
      </c>
      <c r="E124" s="1112">
        <f>'Form Sa1'!H1243</f>
        <v>2078.9119614663746</v>
      </c>
      <c r="F124" s="1112">
        <f>'Form Sa1'!I1243</f>
        <v>0</v>
      </c>
    </row>
    <row r="125" ht="14" customHeight="1" spans="1:6" s="1109" customFormat="1" x14ac:dyDescent="0.25">
      <c r="A125" s="771" t="s">
        <v>312</v>
      </c>
      <c r="B125" s="770" t="s">
        <v>2815</v>
      </c>
      <c r="C125" s="770" t="s">
        <v>2816</v>
      </c>
      <c r="D125" s="1111" t="s">
        <v>2780</v>
      </c>
      <c r="E125" s="1112">
        <f>'Form Sa1'!H1277</f>
        <v>0</v>
      </c>
      <c r="F125" s="1112">
        <f>'Form Sa1'!I1277</f>
        <v>0</v>
      </c>
    </row>
    <row r="126" ht="28" customHeight="1" spans="1:6" s="1109" customFormat="1" x14ac:dyDescent="0.25">
      <c r="A126" s="771" t="s">
        <v>314</v>
      </c>
      <c r="B126" s="770" t="s">
        <v>2817</v>
      </c>
      <c r="C126" s="770" t="s">
        <v>2818</v>
      </c>
      <c r="D126" s="1111" t="s">
        <v>2780</v>
      </c>
      <c r="E126" s="1112">
        <f>IF('General Information'!C4="REFINERY",'NF - 4 Product Mix'!E97,'NF - 4 Product Mix'!E109)</f>
        <v>275661.84366714413</v>
      </c>
      <c r="F126" s="1112" t="e">
        <f>IF('General Information'!D4="REFINERY",'NF - 4 Product Mix'!F97,'NF - 4 Product Mix'!F109)</f>
        <v>#DIV/0!</v>
      </c>
    </row>
    <row r="127" ht="14" customHeight="1" spans="1:6" s="1109" customFormat="1" x14ac:dyDescent="0.25">
      <c r="A127" s="771"/>
      <c r="B127" s="1110" t="s">
        <v>2819</v>
      </c>
      <c r="C127" s="770" t="s">
        <v>2820</v>
      </c>
      <c r="D127" s="1114" t="s">
        <v>2780</v>
      </c>
      <c r="E127" s="1077">
        <f>E122-E123+E124+E125+E126</f>
        <v>159898.7834662813</v>
      </c>
      <c r="F127" s="1077" t="e">
        <f>F122-F123+F124+F125+F126</f>
        <v>#DIV/0!</v>
      </c>
    </row>
    <row r="128" ht="14" customHeight="1" spans="1:6" s="1109" customFormat="1" x14ac:dyDescent="0.25">
      <c r="A128" s="1123"/>
      <c r="B128" s="1124"/>
      <c r="C128" s="1123"/>
      <c r="D128" s="1125"/>
      <c r="E128" s="1121"/>
      <c r="F128" s="1122"/>
    </row>
    <row r="129" ht="14" customHeight="1" spans="1:6" s="1109" customFormat="1" x14ac:dyDescent="0.25">
      <c r="A129" s="1101" t="s">
        <v>1341</v>
      </c>
      <c r="B129" s="1110" t="s">
        <v>2821</v>
      </c>
      <c r="C129" s="1101" t="s">
        <v>2822</v>
      </c>
      <c r="D129" s="1114" t="s">
        <v>2823</v>
      </c>
      <c r="E129" s="1077">
        <f>E119+E127</f>
        <v>8709167.834991485</v>
      </c>
      <c r="F129" s="1077" t="e">
        <f>F119+F127</f>
        <v>#DIV/0!</v>
      </c>
    </row>
    <row r="130" ht="42" customHeight="1" spans="1:6" s="1109" customFormat="1" x14ac:dyDescent="0.25">
      <c r="A130" s="1126" t="s">
        <v>2824</v>
      </c>
      <c r="B130" s="1127" t="s">
        <v>2825</v>
      </c>
      <c r="C130" s="1126" t="s">
        <v>2826</v>
      </c>
      <c r="D130" s="1128" t="s">
        <v>2827</v>
      </c>
      <c r="E130" s="1129">
        <f>IFERROR(E129/E102,0)</f>
        <v>20.55486336506073</v>
      </c>
      <c r="F130" s="1130">
        <f>IFERROR(F129/F102,0)</f>
        <v>0</v>
      </c>
    </row>
    <row r="131" ht="14" customHeight="1" spans="1:6" s="1109" customFormat="1" x14ac:dyDescent="0.25">
      <c r="A131" s="1131"/>
      <c r="B131" s="1132"/>
      <c r="C131" s="1131"/>
      <c r="F131" s="1133"/>
    </row>
    <row r="132" ht="14" customHeight="1" spans="1:6" s="1109" customFormat="1" x14ac:dyDescent="0.25">
      <c r="A132" s="1131"/>
      <c r="B132" s="1132"/>
      <c r="C132" s="1131"/>
      <c r="D132" s="384"/>
      <c r="E132" s="1134"/>
      <c r="F132" s="1133"/>
    </row>
    <row r="133" ht="14" customHeight="1" spans="1:6" s="1109" customFormat="1" x14ac:dyDescent="0.25">
      <c r="A133" s="1131"/>
      <c r="B133" s="1132"/>
      <c r="C133" s="1131"/>
      <c r="D133" s="384"/>
      <c r="E133" s="1134"/>
      <c r="F133" s="1134"/>
    </row>
    <row r="134" ht="14" customHeight="1" spans="1:6" s="1109" customFormat="1" x14ac:dyDescent="0.25">
      <c r="A134" s="1131"/>
      <c r="B134" s="1132"/>
      <c r="C134" s="1131"/>
      <c r="D134" s="384"/>
      <c r="E134" s="1134"/>
      <c r="F134" s="1134"/>
    </row>
    <row r="135" ht="14" customHeight="1" spans="1:6" s="1109" customFormat="1" x14ac:dyDescent="0.25">
      <c r="A135" s="1131"/>
      <c r="B135" s="1132"/>
      <c r="C135" s="1131"/>
      <c r="D135" s="384"/>
      <c r="E135" s="1134"/>
      <c r="F135" s="1134"/>
    </row>
    <row r="136" ht="14" customHeight="1" spans="1:6" s="1109" customFormat="1" x14ac:dyDescent="0.25">
      <c r="A136" s="369" t="s">
        <v>2828</v>
      </c>
      <c r="B136" s="370"/>
      <c r="C136" s="370"/>
      <c r="D136" s="370"/>
      <c r="E136" s="370"/>
      <c r="F136" s="370"/>
    </row>
    <row r="137" ht="14" customHeight="1" spans="1:6" s="1109" customFormat="1" x14ac:dyDescent="0.25">
      <c r="A137" s="369"/>
      <c r="B137" s="370"/>
      <c r="C137" s="370"/>
      <c r="D137" s="370"/>
      <c r="E137" s="370"/>
      <c r="F137" s="370"/>
    </row>
    <row r="138" ht="14" customHeight="1" spans="1:6" s="1109" customFormat="1" x14ac:dyDescent="0.25">
      <c r="A138" s="382"/>
      <c r="B138" s="370"/>
      <c r="C138" s="370"/>
      <c r="D138" s="1135"/>
      <c r="E138" s="1135"/>
      <c r="F138" s="370"/>
    </row>
    <row r="139" ht="14" customHeight="1" spans="1:6" s="1109" customFormat="1" x14ac:dyDescent="0.25">
      <c r="A139" s="1136" t="s">
        <v>2829</v>
      </c>
      <c r="B139" s="1137"/>
      <c r="C139" s="1137"/>
      <c r="D139" s="1137"/>
      <c r="E139" s="1137"/>
      <c r="F139" s="1137"/>
    </row>
    <row r="140" ht="14" customHeight="1" spans="1:6" s="1109" customFormat="1" x14ac:dyDescent="0.25">
      <c r="A140" s="1138"/>
      <c r="B140" s="1137"/>
      <c r="C140" s="1139"/>
      <c r="D140" s="1140"/>
      <c r="E140" s="1140"/>
      <c r="F140" s="1139"/>
    </row>
    <row r="141" ht="14" customHeight="1" spans="1:6" s="1109" customFormat="1" x14ac:dyDescent="0.25">
      <c r="A141" s="1136" t="s">
        <v>2528</v>
      </c>
      <c r="B141" s="1137"/>
      <c r="C141" s="1137"/>
      <c r="D141" s="1137"/>
      <c r="E141" s="1137"/>
      <c r="F141" s="1137"/>
    </row>
    <row r="142" ht="14" customHeight="1" spans="1:6" s="1109" customFormat="1" x14ac:dyDescent="0.25">
      <c r="A142" s="1138"/>
      <c r="B142" s="1137"/>
      <c r="C142" s="1139"/>
      <c r="D142" s="1140"/>
      <c r="E142" s="1140"/>
      <c r="F142" s="1139"/>
    </row>
    <row r="143" ht="14" customHeight="1" spans="1:6" s="1109" customFormat="1" x14ac:dyDescent="0.25">
      <c r="A143" s="1138"/>
      <c r="B143" s="1137"/>
      <c r="C143" s="1139"/>
      <c r="D143" s="1137" t="s">
        <v>2531</v>
      </c>
      <c r="E143" s="1137"/>
      <c r="F143" s="1137"/>
    </row>
    <row r="144" ht="14" customHeight="1" spans="1:6" s="1109" customFormat="1" x14ac:dyDescent="0.25">
      <c r="A144" s="1138"/>
      <c r="B144" s="1141" t="s">
        <v>2830</v>
      </c>
      <c r="C144" s="1139"/>
      <c r="D144" s="1140"/>
      <c r="E144" s="1140"/>
      <c r="F144" s="1139"/>
    </row>
    <row r="145" ht="14" customHeight="1" spans="1:6" s="1109" customFormat="1" x14ac:dyDescent="0.25">
      <c r="A145" s="1138"/>
      <c r="B145" s="1141"/>
      <c r="C145" s="1139"/>
      <c r="D145" s="1140"/>
      <c r="E145" s="1140"/>
      <c r="F145" s="1139"/>
    </row>
    <row r="146" ht="14" customHeight="1" spans="1:6" s="1109" customFormat="1" x14ac:dyDescent="0.25">
      <c r="A146" s="1138"/>
      <c r="B146" s="1141" t="s">
        <v>2831</v>
      </c>
      <c r="C146" s="1139"/>
      <c r="D146" s="1140"/>
      <c r="E146" s="1140"/>
      <c r="F146" s="1139"/>
    </row>
    <row r="147" spans="1:6" s="1109" customFormat="1" x14ac:dyDescent="0.25">
      <c r="A147" s="1142"/>
      <c r="B147" s="1143"/>
      <c r="C147" s="1143"/>
      <c r="D147" s="1144"/>
      <c r="E147" s="1144"/>
      <c r="F147" s="1143"/>
    </row>
    <row r="161" spans="2:2" x14ac:dyDescent="0.25">
      <c r="B161" s="1145"/>
    </row>
    <row r="162" spans="2:2" x14ac:dyDescent="0.25">
      <c r="B162" s="1145"/>
    </row>
    <row r="163" spans="2:2" x14ac:dyDescent="0.25">
      <c r="B163" s="1145"/>
    </row>
    <row r="164" spans="2:2" x14ac:dyDescent="0.25">
      <c r="B164" s="1145"/>
    </row>
    <row r="165" spans="2:2" x14ac:dyDescent="0.25">
      <c r="B165" s="1145"/>
    </row>
    <row r="166" spans="2:2" x14ac:dyDescent="0.25">
      <c r="B166" s="1145"/>
    </row>
  </sheetData>
  <sheetProtection sheet="1" algorithmName="SHA-512" hashValue="/PkMmyW4Ek8usKFz50kGOtebL1NDVETQbiwnbfvV3HV4+UNPpFLaZtY+UHSijh64GRP1D11or9U4rpXwoTnCVg==" saltValue="0rxBdQmb5ZZi22fDKdDg2Q==" spinCount="100000" objects="1" scenarios="1"/>
  <mergeCells count="10">
    <mergeCell ref="A1:F1"/>
    <mergeCell ref="A2:F2"/>
    <mergeCell ref="C3:F3"/>
    <mergeCell ref="B6:F6"/>
    <mergeCell ref="B37:F37"/>
    <mergeCell ref="C59:D59"/>
    <mergeCell ref="A136:F137"/>
    <mergeCell ref="A139:F139"/>
    <mergeCell ref="A141:F141"/>
    <mergeCell ref="D143:F143"/>
  </mergeCells>
  <pageMargins left="0.7086614173228347" right="0.7086614173228347" top="0.7480314960629921" bottom="0.4724409448818898" header="0.31496062992125984" footer="0.31496062992125984"/>
  <pageSetup paperSize="9" orientation="landscape" horizontalDpi="4294967295" verticalDpi="4294967295" scale="7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zoomScale="100" zoomScaleNormal="100"/>
  </sheetViews>
  <sheetFormatPr defaultRowHeight="14.5" outlineLevelRow="0" outlineLevelCol="0" x14ac:dyDescent="0.35" customHeight="1"/>
  <cols>
    <col min="1" max="1" width="6.26953125" style="1146" customWidth="1"/>
    <col min="2" max="2" width="35.7265625" customWidth="1"/>
    <col min="3" max="3" width="26" style="1146" customWidth="1"/>
    <col min="4" max="4" width="10.26953125" style="1146" customWidth="1"/>
    <col min="5" max="5" width="17.81640625" style="1146" customWidth="1"/>
    <col min="6" max="6" width="22.54296875" style="1146" customWidth="1"/>
  </cols>
  <sheetData>
    <row r="1" ht="22.5" customHeight="1" spans="1:6" x14ac:dyDescent="0.25">
      <c r="A1" s="1392" t="s">
        <v>3358</v>
      </c>
      <c r="B1" s="1393"/>
      <c r="C1" s="1393"/>
      <c r="D1" s="1393"/>
      <c r="E1" s="1393"/>
      <c r="F1" s="1394"/>
    </row>
    <row r="2" ht="17.5" customHeight="1" spans="1:6" x14ac:dyDescent="0.25">
      <c r="A2" s="1395" t="s">
        <v>1361</v>
      </c>
      <c r="B2" s="1396"/>
      <c r="C2" s="1395" t="str">
        <f>'General Information'!C3:G3</f>
        <v>HINDALCO INDUSTRIES LIMITED</v>
      </c>
      <c r="D2" s="1397"/>
      <c r="E2" s="1397"/>
      <c r="F2" s="1396"/>
    </row>
    <row r="3" ht="17.5" customHeight="1" spans="1:6" x14ac:dyDescent="0.25">
      <c r="A3" s="907"/>
      <c r="B3" s="1210" t="s">
        <v>2833</v>
      </c>
      <c r="C3" s="1398"/>
      <c r="D3" s="9" t="s">
        <v>2028</v>
      </c>
      <c r="E3" s="1159" t="str">
        <f>'Form Sa1'!H1373</f>
        <v>Yes</v>
      </c>
      <c r="F3" s="1159" t="str">
        <f>'Form Sa1'!I1373</f>
        <v>Yes</v>
      </c>
    </row>
    <row r="4" ht="29" customHeight="1" spans="1:6" s="1399" customFormat="1" x14ac:dyDescent="0.25">
      <c r="A4" s="1400" t="s">
        <v>2958</v>
      </c>
      <c r="B4" s="1401" t="s">
        <v>1437</v>
      </c>
      <c r="C4" s="1400" t="s">
        <v>3359</v>
      </c>
      <c r="D4" s="1400" t="s">
        <v>1453</v>
      </c>
      <c r="E4" s="1402" t="str">
        <f>'NF - 5 Power Mix'!E4</f>
        <v>Baseline/Previous Year 2023-24</v>
      </c>
      <c r="F4" s="1402" t="str">
        <f>'NF - 5 Power Mix'!F4</f>
        <v>Assesment year/ Current Year  FY 2025-26</v>
      </c>
    </row>
    <row r="5" spans="1:6" s="1399" customFormat="1" x14ac:dyDescent="0.25">
      <c r="A5" s="9">
        <v>1</v>
      </c>
      <c r="B5" s="1209" t="s">
        <v>1725</v>
      </c>
      <c r="C5" s="9" t="s">
        <v>3360</v>
      </c>
      <c r="D5" s="9" t="s">
        <v>1585</v>
      </c>
      <c r="E5" s="1403">
        <f>'Form Sa1'!H45</f>
        <v>565600</v>
      </c>
      <c r="F5" s="1403">
        <f>'Form Sa1'!I45</f>
        <v>0</v>
      </c>
    </row>
    <row r="6" spans="1:6" x14ac:dyDescent="0.25">
      <c r="A6" s="1404">
        <v>2</v>
      </c>
      <c r="B6" s="334" t="s">
        <v>3361</v>
      </c>
      <c r="C6" s="9" t="s">
        <v>3362</v>
      </c>
      <c r="D6" s="9" t="s">
        <v>1493</v>
      </c>
      <c r="E6" s="9">
        <f>'Form Sa1'!H1330</f>
        <v>39.02022905079718</v>
      </c>
      <c r="F6" s="9">
        <f>'Form Sa1'!I1330</f>
        <v>0</v>
      </c>
    </row>
    <row r="7" spans="1:6" x14ac:dyDescent="0.25">
      <c r="A7" s="1404">
        <v>3</v>
      </c>
      <c r="B7" s="334" t="s">
        <v>2438</v>
      </c>
      <c r="C7" s="9" t="s">
        <v>3363</v>
      </c>
      <c r="D7" s="9" t="s">
        <v>1493</v>
      </c>
      <c r="E7" s="9">
        <f>'Form Sa1'!H1334</f>
        <v>4.586569568038562</v>
      </c>
      <c r="F7" s="9">
        <f>'Form Sa1'!I1334</f>
        <v>0</v>
      </c>
    </row>
    <row r="8" spans="1:6" x14ac:dyDescent="0.25">
      <c r="A8" s="1404">
        <v>4</v>
      </c>
      <c r="B8" s="334" t="s">
        <v>2449</v>
      </c>
      <c r="C8" s="9" t="s">
        <v>3364</v>
      </c>
      <c r="D8" s="9" t="s">
        <v>1493</v>
      </c>
      <c r="E8" s="9">
        <f>'Form Sa1'!H1335</f>
        <v>93.30412418849379</v>
      </c>
      <c r="F8" s="9">
        <f>'Form Sa1'!I1335</f>
        <v>0</v>
      </c>
    </row>
    <row r="9" spans="1:6" x14ac:dyDescent="0.25">
      <c r="A9" s="1404">
        <v>5</v>
      </c>
      <c r="B9" s="334" t="s">
        <v>2450</v>
      </c>
      <c r="C9" s="9" t="s">
        <v>3365</v>
      </c>
      <c r="D9" s="9" t="s">
        <v>3366</v>
      </c>
      <c r="E9" s="9">
        <f>'Form Sa1'!H1336</f>
        <v>0.71</v>
      </c>
      <c r="F9" s="9">
        <f>'Form Sa1'!I1336</f>
        <v>0</v>
      </c>
    </row>
    <row r="10" spans="1:6" x14ac:dyDescent="0.25">
      <c r="A10" s="1404">
        <v>6</v>
      </c>
      <c r="B10" s="334" t="s">
        <v>2451</v>
      </c>
      <c r="C10" s="9" t="s">
        <v>3367</v>
      </c>
      <c r="D10" s="9" t="s">
        <v>1595</v>
      </c>
      <c r="E10" s="9">
        <f>'Form Sa1'!H1337</f>
        <v>3.03</v>
      </c>
      <c r="F10" s="9">
        <f>'Form Sa1'!I1337</f>
        <v>0</v>
      </c>
    </row>
    <row r="11" spans="1:6" x14ac:dyDescent="0.25">
      <c r="A11" s="1404">
        <v>7</v>
      </c>
      <c r="B11" s="334" t="s">
        <v>3368</v>
      </c>
      <c r="C11" s="9" t="s">
        <v>3369</v>
      </c>
      <c r="D11" s="9" t="s">
        <v>1493</v>
      </c>
      <c r="E11" s="9">
        <f>'Form Sa1'!H1338</f>
        <v>18.879329154307253</v>
      </c>
      <c r="F11" s="9">
        <f>'Form Sa1'!I1338</f>
        <v>0</v>
      </c>
    </row>
    <row r="12" spans="1:6" x14ac:dyDescent="0.25">
      <c r="A12" s="1404">
        <v>8</v>
      </c>
      <c r="B12" s="334" t="s">
        <v>2453</v>
      </c>
      <c r="C12" s="9" t="s">
        <v>3370</v>
      </c>
      <c r="D12" s="9" t="s">
        <v>1493</v>
      </c>
      <c r="E12" s="9">
        <f>'Form Sa1'!H1339</f>
        <v>38.358107495983184</v>
      </c>
      <c r="F12" s="9">
        <f>'Form Sa1'!I1339</f>
        <v>0</v>
      </c>
    </row>
    <row r="13" spans="1:6" x14ac:dyDescent="0.25">
      <c r="A13" s="1404">
        <v>9</v>
      </c>
      <c r="B13" s="334" t="s">
        <v>2454</v>
      </c>
      <c r="C13" s="9" t="s">
        <v>3371</v>
      </c>
      <c r="D13" s="9" t="s">
        <v>1771</v>
      </c>
      <c r="E13" s="9">
        <f>'Form Sa1'!H1340</f>
        <v>747.0143875151521</v>
      </c>
      <c r="F13" s="9">
        <f>'Form Sa1'!I1340</f>
        <v>0</v>
      </c>
    </row>
    <row r="14" spans="1:6" x14ac:dyDescent="0.25">
      <c r="A14" s="1404">
        <v>10</v>
      </c>
      <c r="B14" s="334" t="s">
        <v>2455</v>
      </c>
      <c r="C14" s="9" t="s">
        <v>3372</v>
      </c>
      <c r="D14" s="9" t="s">
        <v>2079</v>
      </c>
      <c r="E14" s="1186">
        <f>'Form Sa1'!H688</f>
        <v>83.81812367157337</v>
      </c>
      <c r="F14" s="1186">
        <f>'Form Sa1'!I688</f>
        <v>0</v>
      </c>
    </row>
    <row r="15" spans="1:6" x14ac:dyDescent="0.25">
      <c r="A15" s="1405"/>
      <c r="B15" s="1406"/>
      <c r="C15" s="1407"/>
      <c r="D15" s="1407"/>
      <c r="E15" s="1407"/>
      <c r="F15" s="1407"/>
    </row>
    <row r="16" spans="1:6" x14ac:dyDescent="0.25">
      <c r="A16" s="1404">
        <v>11</v>
      </c>
      <c r="B16" s="334" t="s">
        <v>3373</v>
      </c>
      <c r="C16" s="9" t="s">
        <v>3374</v>
      </c>
      <c r="D16" s="9" t="s">
        <v>3375</v>
      </c>
      <c r="E16" s="1408">
        <f>IFERROR(1/(E6%*(100-E7)%*E8%),0)</f>
        <v>2.8787227135941844</v>
      </c>
      <c r="F16" s="1408">
        <f>IFERROR((1/(F6%*(100-F7)%*F8%)),0)</f>
        <v>0</v>
      </c>
    </row>
    <row r="17" ht="29" customHeight="1" spans="1:6" s="904" customFormat="1" x14ac:dyDescent="0.25">
      <c r="A17" s="1">
        <v>12</v>
      </c>
      <c r="B17" s="1409" t="s">
        <v>3376</v>
      </c>
      <c r="C17" s="245" t="s">
        <v>3377</v>
      </c>
      <c r="D17" s="1" t="s">
        <v>3378</v>
      </c>
      <c r="E17" s="1410">
        <f>IFERROR(E11/E12,0)</f>
        <v>0.49218614751221174</v>
      </c>
      <c r="F17" s="1410">
        <f>IFERROR((F11/F12),0)</f>
        <v>0</v>
      </c>
    </row>
    <row r="18" spans="1:6" x14ac:dyDescent="0.25">
      <c r="A18" s="1404">
        <v>13</v>
      </c>
      <c r="B18" s="334" t="s">
        <v>3379</v>
      </c>
      <c r="C18" s="9" t="s">
        <v>3380</v>
      </c>
      <c r="D18" s="9" t="s">
        <v>1585</v>
      </c>
      <c r="E18" s="1186">
        <f>IFERROR(E16*(100-E7)%*E17*E9,0)</f>
        <v>0.9598361001791738</v>
      </c>
      <c r="F18" s="1186">
        <f>IFERROR((F16*(100-F7)%*F17*F9),0)</f>
        <v>0</v>
      </c>
    </row>
    <row r="19" spans="1:6" x14ac:dyDescent="0.25">
      <c r="A19" s="1404">
        <v>14</v>
      </c>
      <c r="B19" s="334" t="s">
        <v>3381</v>
      </c>
      <c r="C19" s="9" t="s">
        <v>3382</v>
      </c>
      <c r="D19" s="9" t="s">
        <v>1585</v>
      </c>
      <c r="E19" s="9"/>
      <c r="F19" s="1187">
        <f>IFERROR(((F16-E16)*F7%),0)</f>
        <v>0</v>
      </c>
    </row>
    <row r="20" spans="1:6" x14ac:dyDescent="0.25">
      <c r="A20" s="1404">
        <v>15</v>
      </c>
      <c r="B20" s="334" t="s">
        <v>3383</v>
      </c>
      <c r="C20" s="9" t="s">
        <v>3384</v>
      </c>
      <c r="D20" s="9" t="s">
        <v>1585</v>
      </c>
      <c r="E20" s="9"/>
      <c r="F20" s="1187">
        <f>IFERROR((F18-E18),0)</f>
        <v>-0.9598361001791738</v>
      </c>
    </row>
    <row r="21" spans="1:6" x14ac:dyDescent="0.25">
      <c r="A21" s="1404">
        <v>16</v>
      </c>
      <c r="B21" s="334" t="s">
        <v>3385</v>
      </c>
      <c r="C21" s="9" t="s">
        <v>3386</v>
      </c>
      <c r="D21" s="9" t="s">
        <v>1595</v>
      </c>
      <c r="E21" s="9"/>
      <c r="F21" s="1408">
        <f>IFERROR(((F19+F20)/F10),0)</f>
        <v>0</v>
      </c>
    </row>
    <row r="22" spans="1:6" x14ac:dyDescent="0.25">
      <c r="A22" s="1404">
        <v>17</v>
      </c>
      <c r="B22" s="334" t="s">
        <v>3387</v>
      </c>
      <c r="C22" s="9" t="s">
        <v>3388</v>
      </c>
      <c r="D22" s="9" t="s">
        <v>3389</v>
      </c>
      <c r="E22" s="9"/>
      <c r="F22" s="1403">
        <f>IFERROR((F21*F13*10^3/F14),0)</f>
        <v>0</v>
      </c>
    </row>
    <row r="23" spans="1:6" s="556" customFormat="1" x14ac:dyDescent="0.25">
      <c r="A23" s="989">
        <v>18</v>
      </c>
      <c r="B23" s="862" t="s">
        <v>3390</v>
      </c>
      <c r="C23" s="1386" t="s">
        <v>3391</v>
      </c>
      <c r="D23" s="860" t="s">
        <v>1826</v>
      </c>
      <c r="E23" s="860"/>
      <c r="F23" s="1411">
        <f>IF(AND(E3="Yes", F3="Yes"), (F22*F5/10^6), 0)</f>
        <v>0</v>
      </c>
    </row>
  </sheetData>
  <sheetProtection sheet="1" algorithmName="SHA-512" hashValue="4BIBSTk5cN5/Rew+l9PguVP5jBZrR7Dauc62ozp7F3aSH3+5p2ICwP2iYjEiPtnEeNzOstxgaZ6GUI+F1HqQZQ==" saltValue="O7yq+6bMLu8itpVbgP2b2Q==" spinCount="100000" objects="1" scenarios="1"/>
  <mergeCells count="4">
    <mergeCell ref="A1:F1"/>
    <mergeCell ref="A2:B2"/>
    <mergeCell ref="C2:F2"/>
    <mergeCell ref="B3:C3"/>
  </mergeCells>
  <pageMargins left="0.7" right="0.7" top="0.75" bottom="0.75" header="0.3" footer="0.3"/>
  <pageSetup orientation="landscape"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7"/>
  <sheetViews>
    <sheetView workbookViewId="0" zoomScale="100" zoomScaleNormal="100"/>
  </sheetViews>
  <sheetFormatPr defaultRowHeight="14.5" outlineLevelRow="0" outlineLevelCol="0" x14ac:dyDescent="0.35" customHeight="1"/>
  <cols>
    <col min="1" max="1" width="9.81640625" customWidth="1"/>
    <col min="2" max="2" width="43.81640625" customWidth="1"/>
    <col min="3" max="3" width="29.26953125" customWidth="1"/>
    <col min="4" max="5" width="19" customWidth="1"/>
    <col min="6" max="6" width="18.81640625" customWidth="1"/>
    <col min="7" max="7" width="12" customWidth="1"/>
    <col min="8" max="9" width="9.26953125" customWidth="1"/>
    <col min="10" max="10" width="11.1796875" customWidth="1"/>
    <col min="11" max="11" width="9.26953125" customWidth="1"/>
    <col min="18" max="18" width="11.1796875" customWidth="1"/>
    <col min="19" max="19" width="9.26953125" customWidth="1"/>
    <col min="20" max="20" width="11.1796875" customWidth="1"/>
    <col min="21" max="21" width="9.26953125" customWidth="1"/>
    <col min="22" max="22" width="11.1796875" customWidth="1"/>
    <col min="23" max="23" width="9.26953125" customWidth="1"/>
    <col min="24" max="24" width="11.1796875" customWidth="1"/>
  </cols>
  <sheetData>
    <row r="1" ht="23.5" customHeight="1" spans="1:24" x14ac:dyDescent="0.25">
      <c r="A1" s="1412" t="s">
        <v>3392</v>
      </c>
      <c r="B1" s="1413"/>
      <c r="C1" s="1413"/>
      <c r="D1" s="1413"/>
      <c r="E1" s="1414"/>
      <c r="F1" s="1414"/>
      <c r="G1" s="1414"/>
      <c r="H1" s="1414"/>
      <c r="I1" s="1414"/>
      <c r="J1" s="1414"/>
      <c r="K1" s="1414"/>
      <c r="L1" s="1414"/>
      <c r="M1" s="1414"/>
      <c r="N1" s="1414"/>
      <c r="O1" s="1414"/>
      <c r="P1" s="1414"/>
      <c r="Q1" s="1414"/>
      <c r="R1" s="1414"/>
      <c r="S1" s="1414"/>
      <c r="T1" s="1414"/>
      <c r="U1" s="1414"/>
      <c r="V1" s="1414"/>
      <c r="W1" s="1414"/>
      <c r="X1" s="1414"/>
    </row>
    <row r="2" ht="18.5" customHeight="1" spans="1:24" x14ac:dyDescent="0.25">
      <c r="A2" s="1415" t="s">
        <v>1361</v>
      </c>
      <c r="B2" s="1416"/>
      <c r="C2" s="1416"/>
      <c r="D2" s="1416"/>
      <c r="E2" s="1417" t="str">
        <f>'Form Sa1'!C3</f>
        <v>HINDALCO INDUSTRIES LIMITED  </v>
      </c>
      <c r="F2" s="1417"/>
      <c r="G2" s="1417"/>
      <c r="H2" s="1417"/>
      <c r="I2" s="1417"/>
      <c r="J2" s="1417"/>
      <c r="K2" s="1417"/>
      <c r="L2" s="1417"/>
      <c r="M2" s="1417"/>
      <c r="N2" s="1417"/>
      <c r="O2" s="1417"/>
      <c r="P2" s="1417"/>
      <c r="Q2" s="1417"/>
      <c r="R2" s="1417"/>
      <c r="S2" s="1417"/>
      <c r="T2" s="1417"/>
      <c r="U2" s="1417"/>
      <c r="V2" s="1417"/>
      <c r="W2" s="1417"/>
      <c r="X2" s="1418"/>
    </row>
    <row r="3" spans="1:24" x14ac:dyDescent="0.25">
      <c r="A3" s="1419" t="s">
        <v>46</v>
      </c>
      <c r="B3" s="1420" t="s">
        <v>1459</v>
      </c>
      <c r="C3" s="1421" t="s">
        <v>3393</v>
      </c>
      <c r="D3" s="1421" t="s">
        <v>1453</v>
      </c>
      <c r="E3" s="1422" t="s">
        <v>3394</v>
      </c>
      <c r="F3" s="1423"/>
      <c r="G3" s="1422" t="s">
        <v>3395</v>
      </c>
      <c r="H3" s="1423"/>
      <c r="I3" s="1422" t="s">
        <v>3396</v>
      </c>
      <c r="J3" s="1423"/>
      <c r="K3" s="1422" t="s">
        <v>3397</v>
      </c>
      <c r="L3" s="1423"/>
      <c r="M3" s="1422" t="s">
        <v>3398</v>
      </c>
      <c r="N3" s="1423"/>
      <c r="O3" s="1422" t="s">
        <v>3399</v>
      </c>
      <c r="P3" s="1423"/>
      <c r="Q3" s="1422" t="s">
        <v>3400</v>
      </c>
      <c r="R3" s="1423"/>
      <c r="S3" s="1422" t="s">
        <v>3401</v>
      </c>
      <c r="T3" s="1423"/>
      <c r="U3" s="1422" t="s">
        <v>3402</v>
      </c>
      <c r="V3" s="1423"/>
      <c r="W3" s="1422" t="s">
        <v>3403</v>
      </c>
      <c r="X3" s="1423"/>
    </row>
    <row r="4" spans="1:24" x14ac:dyDescent="0.25">
      <c r="A4" s="1424"/>
      <c r="B4" s="1420"/>
      <c r="C4" s="1421"/>
      <c r="D4" s="1421"/>
      <c r="E4" s="1421" t="s">
        <v>3404</v>
      </c>
      <c r="F4" s="1421" t="s">
        <v>3405</v>
      </c>
      <c r="G4" s="1421" t="s">
        <v>3404</v>
      </c>
      <c r="H4" s="1421" t="s">
        <v>3405</v>
      </c>
      <c r="I4" s="1421" t="s">
        <v>3404</v>
      </c>
      <c r="J4" s="1421" t="s">
        <v>3405</v>
      </c>
      <c r="K4" s="1421" t="s">
        <v>3404</v>
      </c>
      <c r="L4" s="1421" t="s">
        <v>3405</v>
      </c>
      <c r="M4" s="1421" t="s">
        <v>3404</v>
      </c>
      <c r="N4" s="1421" t="s">
        <v>3405</v>
      </c>
      <c r="O4" s="1421" t="s">
        <v>3404</v>
      </c>
      <c r="P4" s="1421" t="s">
        <v>3405</v>
      </c>
      <c r="Q4" s="1421" t="s">
        <v>3404</v>
      </c>
      <c r="R4" s="1421" t="s">
        <v>3405</v>
      </c>
      <c r="S4" s="1421" t="s">
        <v>3404</v>
      </c>
      <c r="T4" s="1421" t="s">
        <v>3405</v>
      </c>
      <c r="U4" s="1421" t="s">
        <v>3404</v>
      </c>
      <c r="V4" s="1421" t="s">
        <v>3405</v>
      </c>
      <c r="W4" s="1421" t="s">
        <v>3404</v>
      </c>
      <c r="X4" s="1421" t="s">
        <v>3405</v>
      </c>
    </row>
    <row r="5" spans="1:24" x14ac:dyDescent="0.25">
      <c r="A5" s="1">
        <v>1</v>
      </c>
      <c r="B5" s="1425" t="s">
        <v>3406</v>
      </c>
      <c r="C5" s="1426" t="s">
        <v>3407</v>
      </c>
      <c r="D5" s="1426" t="s">
        <v>1487</v>
      </c>
      <c r="E5" s="1426">
        <f>'Annex CPP'!C82</f>
        <v>81.75</v>
      </c>
      <c r="F5" s="1426">
        <f>E5</f>
        <v>81.75</v>
      </c>
      <c r="G5" s="1426">
        <f>'Annex CPP'!C83</f>
        <v>81.75</v>
      </c>
      <c r="H5" s="1426">
        <f>G5</f>
        <v>81.75</v>
      </c>
      <c r="I5" s="1426">
        <f>'Annex CPP'!C84</f>
        <v>84</v>
      </c>
      <c r="J5" s="1426">
        <f>I5</f>
        <v>84</v>
      </c>
      <c r="K5" s="1426">
        <f>'Annex CPP'!C85</f>
        <v>84</v>
      </c>
      <c r="L5" s="1426">
        <f>'Annex CPP'!C10</f>
        <v>84</v>
      </c>
      <c r="M5" s="1426">
        <f>'Annex CPP'!C86</f>
        <v>76</v>
      </c>
      <c r="N5" s="1426">
        <f>M5</f>
        <v>76</v>
      </c>
      <c r="O5" s="1426">
        <f>'Annex CPP'!C87</f>
        <v>84</v>
      </c>
      <c r="P5" s="1426">
        <f>O5</f>
        <v>84</v>
      </c>
      <c r="Q5" s="1426">
        <f>'Annex CPP'!C88</f>
        <v>84</v>
      </c>
      <c r="R5" s="1426">
        <f>Q5</f>
        <v>84</v>
      </c>
      <c r="S5" s="1426">
        <f>'Annex CPP'!C89</f>
        <v>80.08</v>
      </c>
      <c r="T5" s="1426">
        <f>S5</f>
        <v>80.08</v>
      </c>
      <c r="U5" s="1426">
        <f>'Annex CPP'!C90</f>
        <v>87</v>
      </c>
      <c r="V5" s="1426">
        <f>U5</f>
        <v>87</v>
      </c>
      <c r="W5" s="1426">
        <f>'Annex CPP'!C91</f>
        <v>87</v>
      </c>
      <c r="X5" s="1426">
        <f>W5</f>
        <v>87</v>
      </c>
    </row>
    <row r="6" spans="1:24" x14ac:dyDescent="0.25">
      <c r="A6" s="1">
        <v>2</v>
      </c>
      <c r="B6" s="1427" t="s">
        <v>2601</v>
      </c>
      <c r="C6" s="1426" t="s">
        <v>3408</v>
      </c>
      <c r="D6" s="1426" t="s">
        <v>1493</v>
      </c>
      <c r="E6" s="1426">
        <f>'Annex CPP'!E82</f>
        <v>14.165521779389787</v>
      </c>
      <c r="F6" s="1426">
        <f>'Annex CPP'!L82</f>
        <v>0</v>
      </c>
      <c r="G6" s="1426">
        <f>'Annex CPP'!E83</f>
        <v>14.141887654764902</v>
      </c>
      <c r="H6" s="1426">
        <f>'Annex CPP'!L83</f>
        <v>0</v>
      </c>
      <c r="I6" s="1426">
        <f>'Annex CPP'!E84</f>
        <v>14.450208096843332</v>
      </c>
      <c r="J6" s="1426">
        <f>'Annex CPP'!L84</f>
        <v>0</v>
      </c>
      <c r="K6" s="1426">
        <f>'Annex CPP'!E85</f>
        <v>14.420618654665718</v>
      </c>
      <c r="L6" s="1426">
        <f>'Annex CPP'!L85</f>
        <v>0</v>
      </c>
      <c r="M6" s="1426">
        <f>'Annex CPP'!E86</f>
        <v>14.398672518146125</v>
      </c>
      <c r="N6" s="1426">
        <f>'Annex CPP'!L86</f>
        <v>0</v>
      </c>
      <c r="O6" s="1426">
        <f>'Annex CPP'!E87</f>
        <v>14.18410093135191</v>
      </c>
      <c r="P6" s="1426">
        <f>'Annex CPP'!L87</f>
        <v>0</v>
      </c>
      <c r="Q6" s="1426">
        <f>'Annex CPP'!E88</f>
        <v>14.2558900724448</v>
      </c>
      <c r="R6" s="1426">
        <f>'Annex CPP'!L88</f>
        <v>0</v>
      </c>
      <c r="S6" s="1426">
        <f>'Annex CPP'!E89</f>
        <v>14.055036923789224</v>
      </c>
      <c r="T6" s="1426">
        <f>'Annex CPP'!L89</f>
        <v>0</v>
      </c>
      <c r="U6" s="1426">
        <f>'Annex CPP'!E90</f>
        <v>14.073938277454992</v>
      </c>
      <c r="V6" s="1426">
        <f>'Annex CPP'!L90</f>
        <v>0</v>
      </c>
      <c r="W6" s="1426">
        <f>'Annex CPP'!E91</f>
        <v>14.007632064806886</v>
      </c>
      <c r="X6" s="1426">
        <f>'Annex CPP'!L91</f>
        <v>0</v>
      </c>
    </row>
    <row r="7" spans="1:24" x14ac:dyDescent="0.25">
      <c r="A7" s="1">
        <v>3</v>
      </c>
      <c r="B7" s="1427" t="s">
        <v>2436</v>
      </c>
      <c r="C7" s="1426" t="s">
        <v>3409</v>
      </c>
      <c r="D7" s="1426" t="s">
        <v>1493</v>
      </c>
      <c r="E7" s="1426">
        <f>'Annex CPP'!F82</f>
        <v>31.186943410453814</v>
      </c>
      <c r="F7" s="1426">
        <f>'Annex CPP'!M82</f>
        <v>0</v>
      </c>
      <c r="G7" s="1426">
        <f>'Annex CPP'!F83</f>
        <v>32.16420663563419</v>
      </c>
      <c r="H7" s="1426">
        <f>'Annex CPP'!M83</f>
        <v>0</v>
      </c>
      <c r="I7" s="1426">
        <f>'Annex CPP'!F84</f>
        <v>32.22217760681542</v>
      </c>
      <c r="J7" s="1426">
        <f>'Annex CPP'!M84</f>
        <v>0</v>
      </c>
      <c r="K7" s="1426">
        <f>'Annex CPP'!F85</f>
        <v>32.248598604784306</v>
      </c>
      <c r="L7" s="1426">
        <f>'Annex CPP'!M85</f>
        <v>0</v>
      </c>
      <c r="M7" s="1426">
        <f>'Annex CPP'!F86</f>
        <v>31.746014175292334</v>
      </c>
      <c r="N7" s="1426">
        <f>'Annex CPP'!M86</f>
        <v>0</v>
      </c>
      <c r="O7" s="1426">
        <f>'Annex CPP'!F87</f>
        <v>32.108795015400744</v>
      </c>
      <c r="P7" s="1426">
        <f>'Annex CPP'!M87</f>
        <v>0</v>
      </c>
      <c r="Q7" s="1426">
        <f>'Annex CPP'!F88</f>
        <v>31.80206313787261</v>
      </c>
      <c r="R7" s="1426">
        <f>'Annex CPP'!M88</f>
        <v>0</v>
      </c>
      <c r="S7" s="1426">
        <f>'Annex CPP'!F89</f>
        <v>32.509779754443905</v>
      </c>
      <c r="T7" s="1426">
        <f>'Annex CPP'!M89</f>
        <v>0</v>
      </c>
      <c r="U7" s="1426">
        <f>'Annex CPP'!F90</f>
        <v>32.539076039366726</v>
      </c>
      <c r="V7" s="1426">
        <f>'Annex CPP'!M90</f>
        <v>0</v>
      </c>
      <c r="W7" s="1426">
        <f>'Annex CPP'!F91</f>
        <v>32.61368130764383</v>
      </c>
      <c r="X7" s="1426">
        <f>'Annex CPP'!M91</f>
        <v>0</v>
      </c>
    </row>
    <row r="8" spans="1:24" x14ac:dyDescent="0.25">
      <c r="A8" s="1">
        <v>4</v>
      </c>
      <c r="B8" s="1427" t="s">
        <v>3410</v>
      </c>
      <c r="C8" s="1426" t="s">
        <v>3411</v>
      </c>
      <c r="D8" s="1426" t="s">
        <v>1493</v>
      </c>
      <c r="E8" s="1426">
        <f>'Annex CPP'!G82</f>
        <v>3963.847841488764</v>
      </c>
      <c r="F8" s="1426">
        <f>'Annex CPP'!N82</f>
        <v>0</v>
      </c>
      <c r="G8" s="1426">
        <f>'Annex CPP'!G83</f>
        <v>3970.50308707765</v>
      </c>
      <c r="H8" s="1426">
        <f>'Annex CPP'!N83</f>
        <v>0</v>
      </c>
      <c r="I8" s="1426">
        <f>'Annex CPP'!G84</f>
        <v>3935.6835444749763</v>
      </c>
      <c r="J8" s="1426">
        <f>'Annex CPP'!N84</f>
        <v>0</v>
      </c>
      <c r="K8" s="1426">
        <f>'Annex CPP'!G85</f>
        <v>3936.4164299043878</v>
      </c>
      <c r="L8" s="1426">
        <f>'Annex CPP'!N85</f>
        <v>0</v>
      </c>
      <c r="M8" s="1426">
        <f>'Annex CPP'!G86</f>
        <v>3980.983784428046</v>
      </c>
      <c r="N8" s="1426">
        <f>'Annex CPP'!N86</f>
        <v>0</v>
      </c>
      <c r="O8" s="1426">
        <f>'Annex CPP'!G87</f>
        <v>3968.2507841155666</v>
      </c>
      <c r="P8" s="1426">
        <f>'Annex CPP'!N87</f>
        <v>0</v>
      </c>
      <c r="Q8" s="1426">
        <f>'Annex CPP'!G88</f>
        <v>3989.0294531980444</v>
      </c>
      <c r="R8" s="1426">
        <f>'Annex CPP'!N88</f>
        <v>0</v>
      </c>
      <c r="S8" s="1426">
        <f>'Annex CPP'!G89</f>
        <v>3940.2848914008505</v>
      </c>
      <c r="T8" s="1426">
        <f>'Annex CPP'!N89</f>
        <v>0</v>
      </c>
      <c r="U8" s="1426">
        <f>'Annex CPP'!G90</f>
        <v>3934.6397232259264</v>
      </c>
      <c r="V8" s="1426">
        <f>'Annex CPP'!N90</f>
        <v>0</v>
      </c>
      <c r="W8" s="1426">
        <f>'Annex CPP'!G91</f>
        <v>3935.855148253786</v>
      </c>
      <c r="X8" s="1426">
        <f>'Annex CPP'!N91</f>
        <v>0</v>
      </c>
    </row>
    <row r="9" spans="1:24" x14ac:dyDescent="0.25">
      <c r="A9" s="1">
        <v>5</v>
      </c>
      <c r="B9" s="1427" t="s">
        <v>2437</v>
      </c>
      <c r="C9" s="1426" t="s">
        <v>3412</v>
      </c>
      <c r="D9" s="1426" t="s">
        <v>1493</v>
      </c>
      <c r="E9" s="1426">
        <f>'Annex CPP'!H82</f>
        <v>2.320324024975823</v>
      </c>
      <c r="F9" s="1426">
        <f>'Annex CPP'!O82</f>
        <v>0</v>
      </c>
      <c r="G9" s="1426">
        <f>'Annex CPP'!H83</f>
        <v>2.327625343827291</v>
      </c>
      <c r="H9" s="1426">
        <f>'Annex CPP'!O83</f>
        <v>0</v>
      </c>
      <c r="I9" s="1426">
        <f>'Annex CPP'!H84</f>
        <v>2.28952291305595</v>
      </c>
      <c r="J9" s="1426">
        <f>'Annex CPP'!O84</f>
        <v>0</v>
      </c>
      <c r="K9" s="1426">
        <f>'Annex CPP'!H85</f>
        <v>2.2905087662771204</v>
      </c>
      <c r="L9" s="1426">
        <f>'Annex CPP'!O85</f>
        <v>0</v>
      </c>
      <c r="M9" s="1426">
        <f>'Annex CPP'!H86</f>
        <v>2.323693631043307</v>
      </c>
      <c r="N9" s="1426">
        <f>'Annex CPP'!O86</f>
        <v>0</v>
      </c>
      <c r="O9" s="1426">
        <f>'Annex CPP'!H87</f>
        <v>2.326958927995449</v>
      </c>
      <c r="P9" s="1426">
        <f>'Annex CPP'!O87</f>
        <v>0</v>
      </c>
      <c r="Q9" s="1426">
        <f>'Annex CPP'!H88</f>
        <v>2.337127344716053</v>
      </c>
      <c r="R9" s="1426">
        <f>'Annex CPP'!O88</f>
        <v>0</v>
      </c>
      <c r="S9" s="1426">
        <f>'Annex CPP'!H89</f>
        <v>2.3124789344535803</v>
      </c>
      <c r="T9" s="1426">
        <f>'Annex CPP'!O89</f>
        <v>0</v>
      </c>
      <c r="U9" s="1426">
        <f>'Annex CPP'!H90</f>
        <v>2.3093936758703735</v>
      </c>
      <c r="V9" s="1426">
        <f>'Annex CPP'!O90</f>
        <v>0</v>
      </c>
      <c r="W9" s="1426">
        <f>'Annex CPP'!H91</f>
        <v>2.3106647606341633</v>
      </c>
      <c r="X9" s="1426">
        <f>'Annex CPP'!O91</f>
        <v>0</v>
      </c>
    </row>
    <row r="10" ht="29" customHeight="1" spans="1:24" x14ac:dyDescent="0.25">
      <c r="A10" s="1">
        <v>6</v>
      </c>
      <c r="B10" s="1425" t="s">
        <v>3413</v>
      </c>
      <c r="C10" s="1426" t="s">
        <v>3414</v>
      </c>
      <c r="D10" s="1426" t="s">
        <v>1493</v>
      </c>
      <c r="E10" s="1428">
        <f>IFERROR(92.5-(50*E7+630*(E6+9*E9))/E8,0)</f>
        <v>86.53613255137655</v>
      </c>
      <c r="F10" s="1428">
        <f t="shared" ref="F10:X10" si="0">IFERROR(92.5-(50*F7+630*(F6+9*F9))/F8,0)</f>
        <v>0</v>
      </c>
      <c r="G10" s="1428">
        <f t="shared" si="0"/>
        <v>86.52714599795486</v>
      </c>
      <c r="H10" s="1428">
        <f t="shared" si="0"/>
        <v>0</v>
      </c>
      <c r="I10" s="1428">
        <f t="shared" si="0"/>
        <v>86.47910562914925</v>
      </c>
      <c r="J10" s="1428">
        <f t="shared" si="0"/>
        <v>0</v>
      </c>
      <c r="K10" s="1428">
        <f t="shared" si="0"/>
        <v>86.4832066019384</v>
      </c>
      <c r="L10" s="1428">
        <f t="shared" si="0"/>
        <v>0</v>
      </c>
      <c r="M10" s="1428">
        <f t="shared" si="0"/>
        <v>86.51308606771015</v>
      </c>
      <c r="N10" s="1428">
        <f t="shared" si="0"/>
        <v>0</v>
      </c>
      <c r="O10" s="1428">
        <f t="shared" si="0"/>
        <v>86.5187045248588</v>
      </c>
      <c r="P10" s="1428">
        <f t="shared" si="0"/>
        <v>0</v>
      </c>
      <c r="Q10" s="1428">
        <f t="shared" si="0"/>
        <v>86.52791425167972</v>
      </c>
      <c r="R10" s="1428">
        <f t="shared" si="0"/>
        <v>0</v>
      </c>
      <c r="S10" s="1428">
        <f t="shared" si="0"/>
        <v>86.51263653307215</v>
      </c>
      <c r="T10" s="1428">
        <f t="shared" si="0"/>
        <v>0</v>
      </c>
      <c r="U10" s="1428">
        <f t="shared" si="0"/>
        <v>86.50509354904523</v>
      </c>
      <c r="V10" s="1428">
        <f t="shared" si="0"/>
        <v>0</v>
      </c>
      <c r="W10" s="1428">
        <f t="shared" si="0"/>
        <v>86.51477936263541</v>
      </c>
      <c r="X10" s="1428">
        <f t="shared" si="0"/>
        <v>0</v>
      </c>
    </row>
    <row r="11" ht="43.5" customHeight="1" hidden="1" spans="1:24" x14ac:dyDescent="0.25">
      <c r="A11" s="1">
        <v>7</v>
      </c>
      <c r="B11" s="1427" t="s">
        <v>3415</v>
      </c>
      <c r="C11" s="1426"/>
      <c r="D11" s="1426" t="s">
        <v>1493</v>
      </c>
      <c r="E11" s="1428"/>
      <c r="F11" s="1428" t="e">
        <f>(F10-E10)*100/F10</f>
        <v>#DIV/0!</v>
      </c>
      <c r="G11" s="1428"/>
      <c r="H11" s="1428" t="e">
        <f>(H10-G10)*100/H10</f>
        <v>#DIV/0!</v>
      </c>
      <c r="I11" s="1428"/>
      <c r="J11" s="1428" t="e">
        <f>(J10-I10)*100/J10</f>
        <v>#DIV/0!</v>
      </c>
      <c r="K11" s="1428"/>
      <c r="L11" s="1428" t="e">
        <f>(L10-K10)*100/L10</f>
        <v>#DIV/0!</v>
      </c>
      <c r="M11" s="1428"/>
      <c r="N11" s="1428" t="e">
        <f>(N10-M10)*100/N10</f>
        <v>#DIV/0!</v>
      </c>
      <c r="O11" s="1428"/>
      <c r="P11" s="1428" t="e">
        <f>(P10-O10)*100/P10</f>
        <v>#DIV/0!</v>
      </c>
      <c r="Q11" s="1428"/>
      <c r="R11" s="1428" t="e">
        <f>(R10-Q10)*100/R10</f>
        <v>#DIV/0!</v>
      </c>
      <c r="S11" s="1428"/>
      <c r="T11" s="1428" t="e">
        <f>(T10-S10)*100/T10</f>
        <v>#DIV/0!</v>
      </c>
      <c r="U11" s="1428"/>
      <c r="V11" s="1428" t="e">
        <f>(V10-U10)*100/V10</f>
        <v>#DIV/0!</v>
      </c>
      <c r="W11" s="1428"/>
      <c r="X11" s="1428" t="e">
        <f>(X10-W10)*100/X10</f>
        <v>#DIV/0!</v>
      </c>
    </row>
    <row r="12" hidden="1" spans="1:24" x14ac:dyDescent="0.25">
      <c r="A12" s="1">
        <v>8</v>
      </c>
      <c r="B12" s="1427" t="s">
        <v>3416</v>
      </c>
      <c r="C12" s="1426"/>
      <c r="D12" s="1426" t="s">
        <v>1493</v>
      </c>
      <c r="E12" s="1428"/>
      <c r="F12" s="1428" t="e">
        <f>F10-F11</f>
        <v>#DIV/0!</v>
      </c>
      <c r="G12" s="1428"/>
      <c r="H12" s="1428" t="e">
        <f>H10-H11</f>
        <v>#DIV/0!</v>
      </c>
      <c r="I12" s="1428"/>
      <c r="J12" s="1428" t="e">
        <f>J10-J11</f>
        <v>#DIV/0!</v>
      </c>
      <c r="K12" s="1428"/>
      <c r="L12" s="1428" t="e">
        <f>L10-L11</f>
        <v>#DIV/0!</v>
      </c>
      <c r="M12" s="1428"/>
      <c r="N12" s="1428" t="e">
        <f>N10-N11</f>
        <v>#DIV/0!</v>
      </c>
      <c r="O12" s="1428"/>
      <c r="P12" s="1428" t="e">
        <f>P10-P11</f>
        <v>#DIV/0!</v>
      </c>
      <c r="Q12" s="1428"/>
      <c r="R12" s="1428" t="e">
        <f>R10-R11</f>
        <v>#DIV/0!</v>
      </c>
      <c r="S12" s="1428"/>
      <c r="T12" s="1428" t="e">
        <f>T10-T11</f>
        <v>#DIV/0!</v>
      </c>
      <c r="U12" s="1428"/>
      <c r="V12" s="1428" t="e">
        <f>V10-V11</f>
        <v>#DIV/0!</v>
      </c>
      <c r="W12" s="1428"/>
      <c r="X12" s="1428" t="e">
        <f>X10-X11</f>
        <v>#DIV/0!</v>
      </c>
    </row>
    <row r="13" ht="29" customHeight="1" hidden="1" spans="1:24" x14ac:dyDescent="0.25">
      <c r="A13" s="1">
        <v>7</v>
      </c>
      <c r="B13" s="1427" t="s">
        <v>3417</v>
      </c>
      <c r="C13" s="1429" t="s">
        <v>3418</v>
      </c>
      <c r="D13" s="1429" t="s">
        <v>1493</v>
      </c>
      <c r="E13" s="1429"/>
      <c r="F13" s="1429">
        <f>'Annex CPP'!D7</f>
        <v>83</v>
      </c>
      <c r="G13" s="1429"/>
      <c r="H13" s="1429">
        <v>87.25</v>
      </c>
      <c r="I13" s="1429"/>
      <c r="J13" s="1429">
        <v>0</v>
      </c>
      <c r="K13" s="1430"/>
      <c r="L13" s="1">
        <v>0</v>
      </c>
      <c r="M13" s="1"/>
      <c r="N13" s="1">
        <v>0</v>
      </c>
      <c r="O13" s="1"/>
      <c r="P13" s="1">
        <v>0</v>
      </c>
      <c r="Q13" s="1"/>
      <c r="R13" s="1">
        <v>0</v>
      </c>
      <c r="S13" s="1"/>
      <c r="T13" s="1">
        <v>0</v>
      </c>
      <c r="U13" s="1"/>
      <c r="V13" s="1">
        <v>0</v>
      </c>
      <c r="W13" s="1"/>
      <c r="X13" s="1">
        <v>0</v>
      </c>
    </row>
    <row r="14" hidden="1" spans="1:24" x14ac:dyDescent="0.25">
      <c r="A14" s="1">
        <v>8</v>
      </c>
      <c r="B14" s="1427" t="s">
        <v>3419</v>
      </c>
      <c r="C14" s="1429" t="s">
        <v>3418</v>
      </c>
      <c r="D14" s="1429" t="s">
        <v>1495</v>
      </c>
      <c r="E14" s="1429"/>
      <c r="F14" s="1429">
        <f>'Annex CPP'!E7</f>
        <v>2224</v>
      </c>
      <c r="G14" s="1429"/>
      <c r="H14" s="1429">
        <v>2045</v>
      </c>
      <c r="I14" s="1429"/>
      <c r="J14" s="1429">
        <v>0</v>
      </c>
      <c r="K14" s="1430"/>
      <c r="L14" s="1">
        <v>0</v>
      </c>
      <c r="M14" s="1"/>
      <c r="N14" s="1">
        <v>0</v>
      </c>
      <c r="O14" s="1"/>
      <c r="P14" s="1">
        <v>0</v>
      </c>
      <c r="Q14" s="1"/>
      <c r="R14" s="1">
        <v>0</v>
      </c>
      <c r="S14" s="1"/>
      <c r="T14" s="1">
        <v>0</v>
      </c>
      <c r="U14" s="1"/>
      <c r="V14" s="1">
        <v>0</v>
      </c>
      <c r="W14" s="1"/>
      <c r="X14" s="1">
        <v>0</v>
      </c>
    </row>
    <row r="15" hidden="1" spans="1:24" x14ac:dyDescent="0.25">
      <c r="A15" s="1">
        <v>9</v>
      </c>
      <c r="B15" s="1427" t="s">
        <v>3420</v>
      </c>
      <c r="C15" s="1429" t="s">
        <v>3421</v>
      </c>
      <c r="D15" s="1429" t="s">
        <v>1495</v>
      </c>
      <c r="E15" s="1429"/>
      <c r="F15" s="1431">
        <f>'Annex CPP'!F7</f>
        <v>2679.5180722891564</v>
      </c>
      <c r="G15" s="1431"/>
      <c r="H15" s="1431">
        <v>2343.839541547278</v>
      </c>
      <c r="I15" s="1431"/>
      <c r="J15" s="1431">
        <v>0</v>
      </c>
      <c r="K15" s="1429"/>
      <c r="L15" s="868">
        <v>0</v>
      </c>
      <c r="M15" s="1"/>
      <c r="N15" s="868">
        <v>0</v>
      </c>
      <c r="O15" s="1"/>
      <c r="P15" s="868">
        <v>0</v>
      </c>
      <c r="Q15" s="1"/>
      <c r="R15" s="868">
        <v>0</v>
      </c>
      <c r="S15" s="1"/>
      <c r="T15" s="868">
        <v>0</v>
      </c>
      <c r="U15" s="1"/>
      <c r="V15" s="868">
        <v>0</v>
      </c>
      <c r="W15" s="1"/>
      <c r="X15" s="868">
        <v>0</v>
      </c>
    </row>
    <row r="16" ht="43.5" customHeight="1" hidden="1" spans="1:24" x14ac:dyDescent="0.25">
      <c r="A16" s="1">
        <v>10</v>
      </c>
      <c r="B16" s="1427" t="s">
        <v>3415</v>
      </c>
      <c r="C16" s="1429" t="s">
        <v>3422</v>
      </c>
      <c r="D16" s="1429" t="s">
        <v>1493</v>
      </c>
      <c r="E16" s="1429"/>
      <c r="F16" s="1431" t="e">
        <f>(F10-E10)*100/F10</f>
        <v>#DIV/0!</v>
      </c>
      <c r="G16" s="1431"/>
      <c r="H16" s="1431" t="e">
        <f>(H10-G10)*100/H10</f>
        <v>#DIV/0!</v>
      </c>
      <c r="I16" s="1431"/>
      <c r="J16" s="1431" t="e">
        <f>(J10-I10)*100/J10</f>
        <v>#DIV/0!</v>
      </c>
      <c r="K16" s="1429"/>
      <c r="L16" s="1431" t="e">
        <f>(L10-K10)*100/L10</f>
        <v>#DIV/0!</v>
      </c>
      <c r="M16" s="9"/>
      <c r="N16" s="1431" t="e">
        <f>(N10-M10)*100/N10</f>
        <v>#DIV/0!</v>
      </c>
      <c r="O16" s="9"/>
      <c r="P16" s="1431" t="e">
        <f>(P10-O10)*100/P10</f>
        <v>#DIV/0!</v>
      </c>
      <c r="Q16" s="9"/>
      <c r="R16" s="1431" t="e">
        <f>(R10-Q10)*100/R10</f>
        <v>#DIV/0!</v>
      </c>
      <c r="S16" s="9"/>
      <c r="T16" s="1431" t="e">
        <f>(T10-S10)*100/T10</f>
        <v>#DIV/0!</v>
      </c>
      <c r="U16" s="9"/>
      <c r="V16" s="1431" t="e">
        <f>(V10-U10)*100/V10</f>
        <v>#DIV/0!</v>
      </c>
      <c r="W16" s="9"/>
      <c r="X16" s="1431" t="e">
        <f>(X10-W10)*100/X10</f>
        <v>#DIV/0!</v>
      </c>
    </row>
    <row r="17" ht="29" customHeight="1" hidden="1" spans="1:24" x14ac:dyDescent="0.25">
      <c r="A17" s="1">
        <v>11</v>
      </c>
      <c r="B17" s="1427" t="s">
        <v>3423</v>
      </c>
      <c r="C17" s="1429" t="s">
        <v>3424</v>
      </c>
      <c r="D17" s="1429" t="s">
        <v>1493</v>
      </c>
      <c r="E17" s="1429"/>
      <c r="F17" s="1431" t="e">
        <f>F13*F16/100</f>
        <v>#DIV/0!</v>
      </c>
      <c r="G17" s="1431"/>
      <c r="H17" s="1431" t="e">
        <f>H13*H16/100</f>
        <v>#DIV/0!</v>
      </c>
      <c r="I17" s="1431"/>
      <c r="J17" s="1431" t="e">
        <f>J13*J16/100</f>
        <v>#DIV/0!</v>
      </c>
      <c r="K17" s="1429"/>
      <c r="L17" s="1431" t="e">
        <f>L13*L16/100</f>
        <v>#DIV/0!</v>
      </c>
      <c r="M17" s="9"/>
      <c r="N17" s="1431" t="e">
        <f>N13*N16/100</f>
        <v>#DIV/0!</v>
      </c>
      <c r="O17" s="9"/>
      <c r="P17" s="1431" t="e">
        <f>P13*P16/100</f>
        <v>#DIV/0!</v>
      </c>
      <c r="Q17" s="9"/>
      <c r="R17" s="1431" t="e">
        <f>R13*R16/100</f>
        <v>#DIV/0!</v>
      </c>
      <c r="S17" s="9"/>
      <c r="T17" s="1431" t="e">
        <f>T13*T16/100</f>
        <v>#DIV/0!</v>
      </c>
      <c r="U17" s="9"/>
      <c r="V17" s="1431" t="e">
        <f>V13*V16/100</f>
        <v>#DIV/0!</v>
      </c>
      <c r="W17" s="9"/>
      <c r="X17" s="1431" t="e">
        <f>X13*X16/100</f>
        <v>#DIV/0!</v>
      </c>
    </row>
    <row r="18" hidden="1" spans="1:24" x14ac:dyDescent="0.25">
      <c r="A18" s="1">
        <v>12</v>
      </c>
      <c r="B18" s="1427" t="s">
        <v>3425</v>
      </c>
      <c r="C18" s="1432" t="s">
        <v>3426</v>
      </c>
      <c r="D18" s="1429" t="s">
        <v>1493</v>
      </c>
      <c r="E18" s="1429"/>
      <c r="F18" s="1433" t="e">
        <f>F13-F17</f>
        <v>#DIV/0!</v>
      </c>
      <c r="G18" s="1433"/>
      <c r="H18" s="1433" t="e">
        <f>H13-H17</f>
        <v>#DIV/0!</v>
      </c>
      <c r="I18" s="1433"/>
      <c r="J18" s="1433" t="e">
        <f>J13-J17</f>
        <v>#DIV/0!</v>
      </c>
      <c r="K18" s="1429"/>
      <c r="L18" s="1433" t="e">
        <f>L13-L17</f>
        <v>#DIV/0!</v>
      </c>
      <c r="M18" s="9"/>
      <c r="N18" s="1433" t="e">
        <f>N13-N17</f>
        <v>#DIV/0!</v>
      </c>
      <c r="O18" s="9"/>
      <c r="P18" s="1433" t="e">
        <f>P13-P17</f>
        <v>#DIV/0!</v>
      </c>
      <c r="Q18" s="9"/>
      <c r="R18" s="1433" t="e">
        <f>R13-R17</f>
        <v>#DIV/0!</v>
      </c>
      <c r="S18" s="9"/>
      <c r="T18" s="1433" t="e">
        <f>T13-T17</f>
        <v>#DIV/0!</v>
      </c>
      <c r="U18" s="9"/>
      <c r="V18" s="1433" t="e">
        <f>V13-V17</f>
        <v>#DIV/0!</v>
      </c>
      <c r="W18" s="9"/>
      <c r="X18" s="1433" t="e">
        <f>X13-X17</f>
        <v>#DIV/0!</v>
      </c>
    </row>
    <row r="19" spans="1:24" x14ac:dyDescent="0.25">
      <c r="A19" s="1434">
        <v>7</v>
      </c>
      <c r="B19" s="1435" t="s">
        <v>3427</v>
      </c>
      <c r="C19" t="s">
        <v>3428</v>
      </c>
      <c r="D19" s="1436" t="s">
        <v>1493</v>
      </c>
      <c r="E19" s="1437">
        <f>IFERROR((E5*E10+G5*G10+I5*I10+K5*K10+M5*M10+O5*O10+Q5*Q10+S5*S10+U5*U10+W5*W10)/(E5+G5+I5+K5+M5+O5+Q5+S5+U5+W5),0)</f>
        <v>86.51164281212064</v>
      </c>
      <c r="F19" s="1438"/>
      <c r="G19" s="1438"/>
      <c r="H19" s="1438"/>
      <c r="I19" s="1438"/>
      <c r="J19" s="1438"/>
      <c r="K19" s="1438"/>
      <c r="L19" s="1438"/>
      <c r="M19" s="1438"/>
      <c r="N19" s="1438"/>
      <c r="O19" s="1438"/>
      <c r="P19" s="1438"/>
      <c r="Q19" s="1438"/>
      <c r="R19" s="1438"/>
      <c r="S19" s="1438"/>
      <c r="T19" s="1438"/>
      <c r="U19" s="1438"/>
      <c r="V19" s="1438"/>
      <c r="W19" s="1438"/>
      <c r="X19" s="1439"/>
    </row>
    <row r="20" spans="1:24" x14ac:dyDescent="0.25">
      <c r="A20" s="1434">
        <v>8</v>
      </c>
      <c r="B20" s="1435" t="s">
        <v>3429</v>
      </c>
      <c r="C20" s="1440" t="s">
        <v>3428</v>
      </c>
      <c r="D20" s="1436" t="s">
        <v>1493</v>
      </c>
      <c r="E20" s="1437">
        <f>IFERROR(((F5*F10+H5*H10+J5*J10+L5*L10+N5*N10+P5*P10+R5*R10+T5*T10+V5*V10+X5*X10)/(F5+H5+J5+L5+N5+P5+R5+T5+V5+X5)),0)</f>
        <v>0</v>
      </c>
      <c r="F20" s="1438"/>
      <c r="G20" s="1438"/>
      <c r="H20" s="1438"/>
      <c r="I20" s="1438"/>
      <c r="J20" s="1438"/>
      <c r="K20" s="1438"/>
      <c r="L20" s="1438"/>
      <c r="M20" s="1438"/>
      <c r="N20" s="1438"/>
      <c r="O20" s="1438"/>
      <c r="P20" s="1438"/>
      <c r="Q20" s="1438"/>
      <c r="R20" s="1438"/>
      <c r="S20" s="1438"/>
      <c r="T20" s="1438"/>
      <c r="U20" s="1438"/>
      <c r="V20" s="1438"/>
      <c r="W20" s="1438"/>
      <c r="X20" s="1439"/>
    </row>
    <row r="21" ht="15" customHeight="1" spans="1:6" x14ac:dyDescent="0.25">
      <c r="A21" s="987" t="s">
        <v>54</v>
      </c>
      <c r="B21" s="1441" t="s">
        <v>3430</v>
      </c>
      <c r="C21" s="1442"/>
      <c r="D21" s="1442"/>
      <c r="E21" s="1442"/>
      <c r="F21" s="1443"/>
    </row>
    <row r="22" ht="15" customHeight="1" spans="1:6" x14ac:dyDescent="0.25">
      <c r="A22" s="1444" t="s">
        <v>2833</v>
      </c>
      <c r="B22" s="1445"/>
      <c r="C22" s="1446"/>
      <c r="D22" s="1447" t="s">
        <v>2028</v>
      </c>
      <c r="E22" s="1447" t="str">
        <f>'Form Sa1'!H1375</f>
        <v>Yes</v>
      </c>
      <c r="F22" s="1447" t="str">
        <f>'Form Sa1'!I1375</f>
        <v>Yes</v>
      </c>
    </row>
    <row r="23" ht="51.65" customHeight="1" spans="1:6" x14ac:dyDescent="0.25">
      <c r="A23" s="1448" t="s">
        <v>2834</v>
      </c>
      <c r="B23" s="1449" t="s">
        <v>1437</v>
      </c>
      <c r="C23" s="1449" t="s">
        <v>1545</v>
      </c>
      <c r="D23" s="1448" t="s">
        <v>2535</v>
      </c>
      <c r="E23" s="1156" t="str">
        <f>'NF - 5 Power Mix'!E4</f>
        <v>Baseline/Previous Year 2023-24</v>
      </c>
      <c r="F23" s="1156" t="str">
        <f>'NF - 5 Power Mix'!F4</f>
        <v>Assesment year/ Current Year  FY 2025-26</v>
      </c>
    </row>
    <row r="24" spans="1:6" x14ac:dyDescent="0.25">
      <c r="A24" s="352">
        <v>1</v>
      </c>
      <c r="B24" s="1450" t="s">
        <v>3431</v>
      </c>
      <c r="C24" s="1450" t="s">
        <v>3432</v>
      </c>
      <c r="D24" s="352" t="s">
        <v>1822</v>
      </c>
      <c r="E24" s="1451">
        <f>'Annex CPP'!G35</f>
        <v>66354.07216</v>
      </c>
      <c r="F24" s="1451">
        <f>'Annex CPP'!O35</f>
        <v>0</v>
      </c>
    </row>
    <row r="25" spans="1:6" x14ac:dyDescent="0.25">
      <c r="A25" s="352">
        <v>2</v>
      </c>
      <c r="B25" s="1450" t="s">
        <v>3433</v>
      </c>
      <c r="C25" s="1450" t="s">
        <v>3434</v>
      </c>
      <c r="D25" s="352" t="s">
        <v>1495</v>
      </c>
      <c r="E25" s="1451">
        <f>'Baseline Parameter'!E92</f>
        <v>2564.570826735534</v>
      </c>
      <c r="F25" s="1451">
        <f>'Baseline Parameter'!F92</f>
        <v>0</v>
      </c>
    </row>
    <row r="26" spans="1:6" x14ac:dyDescent="0.25">
      <c r="A26" s="352">
        <v>3</v>
      </c>
      <c r="B26" s="1450" t="s">
        <v>2455</v>
      </c>
      <c r="C26" s="1450" t="s">
        <v>3435</v>
      </c>
      <c r="D26" s="352" t="s">
        <v>1493</v>
      </c>
      <c r="E26" s="1452">
        <f>E19</f>
        <v>86.51164281212064</v>
      </c>
      <c r="F26" s="1452">
        <f>E20</f>
        <v>0</v>
      </c>
    </row>
    <row r="27" spans="1:6" x14ac:dyDescent="0.25">
      <c r="A27" s="352">
        <v>4</v>
      </c>
      <c r="B27" s="1450" t="s">
        <v>3436</v>
      </c>
      <c r="C27" s="1450" t="s">
        <v>3437</v>
      </c>
      <c r="D27" s="352" t="s">
        <v>1495</v>
      </c>
      <c r="E27" s="1451"/>
      <c r="F27" s="1451">
        <f>IF(F26=0, 0, E25*E26/F26)</f>
        <v>0</v>
      </c>
    </row>
    <row r="28" spans="1:6" x14ac:dyDescent="0.25">
      <c r="A28" s="352">
        <v>5</v>
      </c>
      <c r="B28" s="1450" t="s">
        <v>3438</v>
      </c>
      <c r="C28" s="1450" t="s">
        <v>3439</v>
      </c>
      <c r="D28" s="352" t="s">
        <v>1495</v>
      </c>
      <c r="E28" s="1451"/>
      <c r="F28" s="1451">
        <f>IF(F27=0, 0, F27-$E$25)</f>
        <v>0</v>
      </c>
    </row>
    <row r="29" spans="1:6" x14ac:dyDescent="0.25">
      <c r="A29" s="1448">
        <v>6</v>
      </c>
      <c r="B29" s="1449" t="s">
        <v>3440</v>
      </c>
      <c r="C29" s="1449" t="s">
        <v>3441</v>
      </c>
      <c r="D29" s="1448" t="s">
        <v>1826</v>
      </c>
      <c r="E29" s="1453"/>
      <c r="F29" s="1453">
        <f>F28*F24/10</f>
        <v>0</v>
      </c>
    </row>
    <row r="30" ht="15" customHeight="1" spans="1:6" x14ac:dyDescent="0.25">
      <c r="A30" s="987" t="s">
        <v>459</v>
      </c>
      <c r="B30" s="1441" t="s">
        <v>3442</v>
      </c>
      <c r="C30" s="1442"/>
      <c r="D30" s="1442"/>
      <c r="E30" s="1442"/>
      <c r="F30" s="1443"/>
    </row>
    <row r="31" spans="1:6" x14ac:dyDescent="0.25">
      <c r="A31" s="352">
        <v>1</v>
      </c>
      <c r="B31" s="1450" t="s">
        <v>2436</v>
      </c>
      <c r="C31" s="1450" t="s">
        <v>3443</v>
      </c>
      <c r="D31" s="352" t="s">
        <v>1493</v>
      </c>
      <c r="E31" s="1451">
        <f>'Form Sa1'!H1322</f>
        <v>39.14073725469841</v>
      </c>
      <c r="F31" s="1451">
        <f>'Form Sa1'!I1322</f>
        <v>0</v>
      </c>
    </row>
    <row r="32" spans="1:6" x14ac:dyDescent="0.25">
      <c r="A32" s="352">
        <v>2</v>
      </c>
      <c r="B32" s="1450" t="s">
        <v>2438</v>
      </c>
      <c r="C32" s="1450" t="s">
        <v>3444</v>
      </c>
      <c r="D32" s="352" t="s">
        <v>1493</v>
      </c>
      <c r="E32" s="1451">
        <f>'Form Sa1'!H1324</f>
        <v>12.234134628365876</v>
      </c>
      <c r="F32" s="1451">
        <f>'Form Sa1'!I1324</f>
        <v>0</v>
      </c>
    </row>
    <row r="33" spans="1:6" x14ac:dyDescent="0.25">
      <c r="A33" s="352">
        <v>3</v>
      </c>
      <c r="B33" s="1450" t="s">
        <v>2437</v>
      </c>
      <c r="C33" s="1450" t="s">
        <v>3445</v>
      </c>
      <c r="D33" s="352" t="s">
        <v>1493</v>
      </c>
      <c r="E33" s="1451">
        <f>'Form Sa1'!H1323</f>
        <v>2.0332141897901357</v>
      </c>
      <c r="F33" s="1451">
        <f>'Form Sa1'!I1323</f>
        <v>0</v>
      </c>
    </row>
    <row r="34" spans="1:6" x14ac:dyDescent="0.25">
      <c r="A34" s="352">
        <v>4</v>
      </c>
      <c r="B34" s="1450" t="s">
        <v>2602</v>
      </c>
      <c r="C34" s="1450" t="s">
        <v>3446</v>
      </c>
      <c r="D34" s="352" t="s">
        <v>1771</v>
      </c>
      <c r="E34" s="1451">
        <f>'Form Sa1'!H1321</f>
        <v>3482.7822441899325</v>
      </c>
      <c r="F34" s="1451">
        <f>'Form Sa1'!I1321</f>
        <v>0</v>
      </c>
    </row>
    <row r="35" ht="28" customHeight="1" spans="1:6" x14ac:dyDescent="0.25">
      <c r="A35" s="1454">
        <v>5</v>
      </c>
      <c r="B35" s="1455" t="s">
        <v>2455</v>
      </c>
      <c r="C35" s="1455" t="s">
        <v>3447</v>
      </c>
      <c r="D35" s="1455" t="s">
        <v>1493</v>
      </c>
      <c r="E35" s="1454">
        <f>IF(E34=0, 0, 92.5-(50*E31+630*(E32+9*E33))/E34)</f>
        <v>86.41496089941599</v>
      </c>
      <c r="F35" s="1454">
        <f>IF(F34=0, 0, 92.5-(50*F31+630*(F32+9*F33))/F34)</f>
        <v>0</v>
      </c>
    </row>
    <row r="36" spans="1:6" x14ac:dyDescent="0.25">
      <c r="A36" s="743">
        <v>6</v>
      </c>
      <c r="B36" s="1456" t="s">
        <v>3448</v>
      </c>
      <c r="C36" s="1457" t="s">
        <v>3449</v>
      </c>
      <c r="D36" s="1457" t="s">
        <v>1456</v>
      </c>
      <c r="E36" s="1458">
        <f>'Form Sa1'!H560</f>
        <v>1060213.2000000002</v>
      </c>
      <c r="F36" s="1458">
        <f>'Form Sa1'!I560</f>
        <v>0</v>
      </c>
    </row>
    <row r="37" spans="1:6" x14ac:dyDescent="0.25">
      <c r="A37" s="743">
        <v>7</v>
      </c>
      <c r="B37" s="1456" t="s">
        <v>3450</v>
      </c>
      <c r="C37" s="1457" t="s">
        <v>3451</v>
      </c>
      <c r="D37" s="1457" t="s">
        <v>1456</v>
      </c>
      <c r="E37" s="1458">
        <f>'Form Sa1'!H683</f>
        <v>2153635.7</v>
      </c>
      <c r="F37" s="1458">
        <f>'Form Sa1'!I683</f>
        <v>0</v>
      </c>
    </row>
    <row r="38" ht="28" customHeight="1" spans="1:6" x14ac:dyDescent="0.25">
      <c r="A38" s="743">
        <v>8</v>
      </c>
      <c r="B38" s="1459" t="s">
        <v>3452</v>
      </c>
      <c r="C38" s="1457" t="s">
        <v>3453</v>
      </c>
      <c r="D38" s="1460" t="s">
        <v>3454</v>
      </c>
      <c r="E38" s="1458">
        <f>'Form Sa1'!H563</f>
        <v>830.2428426004989</v>
      </c>
      <c r="F38" s="1458">
        <f>'Form Sa1'!I563</f>
        <v>0</v>
      </c>
    </row>
    <row r="39" ht="28" customHeight="1" spans="1:6" x14ac:dyDescent="0.25">
      <c r="A39" s="743">
        <v>9</v>
      </c>
      <c r="B39" s="1459" t="s">
        <v>3455</v>
      </c>
      <c r="C39" s="1457" t="s">
        <v>3456</v>
      </c>
      <c r="D39" s="1460" t="s">
        <v>3454</v>
      </c>
      <c r="E39" s="1458">
        <f>'Form Sa1'!H686</f>
        <v>791.8244809298797</v>
      </c>
      <c r="F39" s="1458">
        <f>'Form Sa1'!I686</f>
        <v>0</v>
      </c>
    </row>
    <row r="40" ht="28" customHeight="1" spans="1:6" x14ac:dyDescent="0.25">
      <c r="A40" s="743">
        <v>10</v>
      </c>
      <c r="B40" s="1459" t="s">
        <v>1957</v>
      </c>
      <c r="C40" s="1457" t="s">
        <v>3457</v>
      </c>
      <c r="D40" s="1460" t="s">
        <v>2079</v>
      </c>
      <c r="E40" s="1458">
        <f>'Form Sa1'!H564</f>
        <v>0.9952067278270673</v>
      </c>
      <c r="F40" s="1458">
        <f>'Form Sa1'!I564</f>
        <v>0</v>
      </c>
    </row>
    <row r="41" ht="29" customHeight="1" spans="1:6" x14ac:dyDescent="0.25">
      <c r="A41" s="743">
        <v>11</v>
      </c>
      <c r="B41" s="1461" t="s">
        <v>3458</v>
      </c>
      <c r="C41" s="1457" t="s">
        <v>3459</v>
      </c>
      <c r="D41" s="1460" t="s">
        <v>2079</v>
      </c>
      <c r="E41" s="1458">
        <f>'Form Sa1'!H687</f>
        <v>0.9836419025238494</v>
      </c>
      <c r="F41" s="1458">
        <f>'Form Sa1'!I687</f>
        <v>0</v>
      </c>
    </row>
    <row r="42" spans="1:6" x14ac:dyDescent="0.25">
      <c r="A42" s="743">
        <v>12</v>
      </c>
      <c r="B42" s="1462" t="s">
        <v>3460</v>
      </c>
      <c r="C42" s="1457" t="s">
        <v>3461</v>
      </c>
      <c r="D42" s="1460" t="s">
        <v>3454</v>
      </c>
      <c r="E42" s="1457">
        <f>IFERROR((E38*E36+E39*E37)/(E36+E37),0)</f>
        <v>804.498273454962</v>
      </c>
      <c r="F42" s="1457">
        <f>IFERROR((F38*F36+F39*F37)/(F36+F37),0)</f>
        <v>0</v>
      </c>
    </row>
    <row r="43" ht="28" customHeight="1" spans="1:6" x14ac:dyDescent="0.25">
      <c r="A43" s="743">
        <v>13</v>
      </c>
      <c r="B43" s="1459" t="s">
        <v>3462</v>
      </c>
      <c r="C43" s="1457" t="s">
        <v>3463</v>
      </c>
      <c r="D43" s="1460" t="s">
        <v>3454</v>
      </c>
      <c r="E43" s="1463"/>
      <c r="F43" s="1457">
        <f>IFERROR(E42*(E35/F35),0)</f>
        <v>0</v>
      </c>
    </row>
    <row r="44" spans="1:6" x14ac:dyDescent="0.25">
      <c r="A44" s="743">
        <v>14</v>
      </c>
      <c r="B44" s="1459" t="s">
        <v>3464</v>
      </c>
      <c r="C44" s="1457" t="s">
        <v>3465</v>
      </c>
      <c r="D44" s="1460" t="s">
        <v>3454</v>
      </c>
      <c r="E44" s="1463"/>
      <c r="F44" s="1457">
        <f>F43-E42</f>
        <v>-804.498273454962</v>
      </c>
    </row>
    <row r="45" ht="28" customHeight="1" spans="1:6" x14ac:dyDescent="0.25">
      <c r="A45" s="1464">
        <v>15</v>
      </c>
      <c r="B45" s="1465" t="s">
        <v>3466</v>
      </c>
      <c r="C45" s="1466" t="s">
        <v>3467</v>
      </c>
      <c r="D45" s="1464" t="s">
        <v>1472</v>
      </c>
      <c r="E45" s="1467"/>
      <c r="F45" s="1464">
        <f>IF(AND(E22="yes",F22="yes"),(F44*(F36*F40+F37*F41))/1000,0)</f>
        <v>0</v>
      </c>
    </row>
    <row r="46" spans="1:6" x14ac:dyDescent="0.25">
      <c r="A46" s="352"/>
      <c r="B46" s="352"/>
      <c r="C46" s="352"/>
      <c r="D46" s="352"/>
      <c r="E46" s="352"/>
      <c r="F46" s="352"/>
    </row>
    <row r="47" ht="42" customHeight="1" spans="1:6" s="904" customFormat="1" x14ac:dyDescent="0.25">
      <c r="A47" s="873">
        <v>16</v>
      </c>
      <c r="B47" s="1455" t="s">
        <v>3468</v>
      </c>
      <c r="C47" s="1468" t="s">
        <v>3469</v>
      </c>
      <c r="D47" s="874" t="s">
        <v>1826</v>
      </c>
      <c r="E47" s="1468"/>
      <c r="F47" s="1469">
        <f>IF(AND(E22="Yes",F22="Yes"),IF((F45+F29)&lt;0,0,(F45+F29)),0)</f>
        <v>0</v>
      </c>
    </row>
  </sheetData>
  <sheetProtection sheet="1" algorithmName="SHA-512" hashValue="86jJhxSzTRFvlTNY5T10yq0NRg9O5/X60gkUOz4tRgvehCuahwvbDZ8A7qLQtDNc94Xrh8drqgqpzQ9WJav+fQ==" saltValue="thQy/RuvhwVEEjW5Lib+vA==" spinCount="100000" objects="1" scenarios="1"/>
  <mergeCells count="22">
    <mergeCell ref="A1:D1"/>
    <mergeCell ref="A2:D2"/>
    <mergeCell ref="E2:X2"/>
    <mergeCell ref="E3:F3"/>
    <mergeCell ref="G3:H3"/>
    <mergeCell ref="I3:J3"/>
    <mergeCell ref="K3:L3"/>
    <mergeCell ref="M3:N3"/>
    <mergeCell ref="O3:P3"/>
    <mergeCell ref="Q3:R3"/>
    <mergeCell ref="S3:T3"/>
    <mergeCell ref="U3:V3"/>
    <mergeCell ref="W3:X3"/>
    <mergeCell ref="A3:A4"/>
    <mergeCell ref="B3:B4"/>
    <mergeCell ref="C3:C4"/>
    <mergeCell ref="D3:D4"/>
    <mergeCell ref="E19:X19"/>
    <mergeCell ref="E20:X20"/>
    <mergeCell ref="B21:F21"/>
    <mergeCell ref="A22:C22"/>
    <mergeCell ref="B30:F30"/>
  </mergeCells>
  <pageMargins left="0.7086614173228347" right="0.23" top="0.7480314960629921" bottom="0.7480314960629921" header="0.31496062992125984" footer="0.31496062992125984"/>
  <pageSetup orientation="landscape" horizontalDpi="4294967295" verticalDpi="4294967295" scale="4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
  <sheetViews>
    <sheetView workbookViewId="0" zoomScale="83" zoomScaleNormal="83">
      <selection activeCell="E25" sqref="E25"/>
    </sheetView>
  </sheetViews>
  <sheetFormatPr defaultRowHeight="14.5" outlineLevelRow="0" outlineLevelCol="0" x14ac:dyDescent="0.35" customHeight="1"/>
  <cols>
    <col min="2" max="2" width="33.26953125" customWidth="1"/>
    <col min="3" max="3" width="22.26953125" customWidth="1"/>
    <col min="4" max="4" width="10.1796875" style="1146" customWidth="1"/>
    <col min="5" max="5" width="11.81640625" customWidth="1"/>
    <col min="6" max="6" width="14.54296875" customWidth="1"/>
    <col min="7" max="7" width="11.26953125" customWidth="1"/>
    <col min="8" max="8" width="12" customWidth="1"/>
    <col min="9" max="9" width="10.7265625" customWidth="1"/>
  </cols>
  <sheetData>
    <row r="1" ht="22.5" customHeight="1" spans="1:24" x14ac:dyDescent="0.25">
      <c r="A1" s="1470" t="s">
        <v>3470</v>
      </c>
      <c r="B1" s="1471"/>
      <c r="C1" s="1471"/>
      <c r="D1" s="1471"/>
      <c r="E1" s="1471"/>
      <c r="F1" s="1471"/>
      <c r="G1" s="1471"/>
      <c r="H1" s="1471"/>
      <c r="I1" s="1471"/>
      <c r="J1" s="1471"/>
      <c r="K1" s="1471"/>
      <c r="L1" s="1471"/>
      <c r="M1" s="1471"/>
      <c r="N1" s="1471"/>
      <c r="O1" s="1471"/>
      <c r="P1" s="1471"/>
      <c r="Q1" s="1471"/>
      <c r="R1" s="1471"/>
      <c r="S1" s="1471"/>
      <c r="T1" s="1471"/>
      <c r="U1" s="1471"/>
      <c r="V1" s="1471"/>
      <c r="W1" s="1471"/>
      <c r="X1" s="1471"/>
    </row>
    <row r="2" ht="18" customHeight="1" spans="1:24" x14ac:dyDescent="0.25">
      <c r="A2" s="1472" t="s">
        <v>3471</v>
      </c>
      <c r="B2" s="1473"/>
      <c r="C2" s="1473"/>
      <c r="D2" s="1473"/>
      <c r="E2" s="1473"/>
      <c r="F2" s="1473"/>
      <c r="G2" s="1474" t="str">
        <f>'Form Sa1'!C3</f>
        <v>HINDALCO INDUSTRIES LIMITED  </v>
      </c>
      <c r="H2" s="1475"/>
      <c r="I2" s="1475"/>
      <c r="J2" s="1475"/>
      <c r="K2" s="1475"/>
      <c r="L2" s="1475"/>
      <c r="M2" s="1475"/>
      <c r="N2" s="1475"/>
      <c r="O2" s="1475"/>
      <c r="P2" s="1475"/>
      <c r="Q2" s="1475"/>
      <c r="R2" s="1475"/>
      <c r="S2" s="1475"/>
      <c r="T2" s="1475"/>
      <c r="U2" s="1475"/>
      <c r="V2" s="1475"/>
      <c r="W2" s="1475"/>
      <c r="X2" s="1476"/>
    </row>
    <row r="3" ht="18" customHeight="1" spans="1:24" s="556" customFormat="1" x14ac:dyDescent="0.25">
      <c r="A3" s="1477" t="s">
        <v>2833</v>
      </c>
      <c r="B3" s="1477"/>
      <c r="C3" s="1477"/>
      <c r="D3" s="1478" t="s">
        <v>2028</v>
      </c>
      <c r="E3" s="1479" t="str">
        <f>'Form Sa1'!H1376</f>
        <v>Yes</v>
      </c>
      <c r="F3" s="1479" t="str">
        <f>'Form Sa1'!I1376</f>
        <v>Yes</v>
      </c>
      <c r="G3" s="1480"/>
      <c r="H3" s="1481"/>
      <c r="I3" s="1481"/>
      <c r="J3" s="1481"/>
      <c r="K3" s="1481"/>
      <c r="L3" s="1481"/>
      <c r="M3" s="1481"/>
      <c r="N3" s="1481"/>
      <c r="O3" s="1481"/>
      <c r="P3" s="1481"/>
      <c r="Q3" s="1481"/>
      <c r="R3" s="1481"/>
      <c r="S3" s="1481"/>
      <c r="T3" s="1481"/>
      <c r="U3" s="1481"/>
      <c r="V3" s="1481"/>
      <c r="W3" s="1481"/>
      <c r="X3" s="1481"/>
    </row>
    <row r="4" spans="1:24" x14ac:dyDescent="0.25">
      <c r="A4" s="1482" t="s">
        <v>46</v>
      </c>
      <c r="B4" s="1482" t="s">
        <v>1459</v>
      </c>
      <c r="C4" s="1482" t="s">
        <v>3359</v>
      </c>
      <c r="D4" s="1482" t="s">
        <v>1453</v>
      </c>
      <c r="E4" s="1483" t="s">
        <v>3394</v>
      </c>
      <c r="F4" s="1484"/>
      <c r="G4" s="1483" t="s">
        <v>3395</v>
      </c>
      <c r="H4" s="1484"/>
      <c r="I4" s="1483" t="s">
        <v>3396</v>
      </c>
      <c r="J4" s="1484"/>
      <c r="K4" s="1483" t="s">
        <v>3397</v>
      </c>
      <c r="L4" s="1484"/>
      <c r="M4" s="1483" t="s">
        <v>3398</v>
      </c>
      <c r="N4" s="1484"/>
      <c r="O4" s="1483" t="s">
        <v>3399</v>
      </c>
      <c r="P4" s="1484"/>
      <c r="Q4" s="1483" t="s">
        <v>3400</v>
      </c>
      <c r="R4" s="1484"/>
      <c r="S4" s="1483" t="s">
        <v>3401</v>
      </c>
      <c r="T4" s="1484"/>
      <c r="U4" s="1483" t="s">
        <v>3402</v>
      </c>
      <c r="V4" s="1484"/>
      <c r="W4" s="1483" t="s">
        <v>3403</v>
      </c>
      <c r="X4" s="1484"/>
    </row>
    <row r="5" spans="1:24" x14ac:dyDescent="0.25">
      <c r="A5" s="1485"/>
      <c r="B5" s="1485"/>
      <c r="C5" s="1485"/>
      <c r="D5" s="1485"/>
      <c r="E5" s="504" t="s">
        <v>3404</v>
      </c>
      <c r="F5" s="504" t="s">
        <v>3405</v>
      </c>
      <c r="G5" s="504" t="s">
        <v>3404</v>
      </c>
      <c r="H5" s="504" t="s">
        <v>3405</v>
      </c>
      <c r="I5" s="504" t="s">
        <v>3404</v>
      </c>
      <c r="J5" s="504" t="s">
        <v>3405</v>
      </c>
      <c r="K5" s="504" t="s">
        <v>3404</v>
      </c>
      <c r="L5" s="504" t="s">
        <v>3405</v>
      </c>
      <c r="M5" s="504" t="s">
        <v>3404</v>
      </c>
      <c r="N5" s="504" t="s">
        <v>3405</v>
      </c>
      <c r="O5" s="504" t="s">
        <v>3404</v>
      </c>
      <c r="P5" s="504" t="s">
        <v>3405</v>
      </c>
      <c r="Q5" s="504" t="s">
        <v>3404</v>
      </c>
      <c r="R5" s="504" t="s">
        <v>3405</v>
      </c>
      <c r="S5" s="504" t="s">
        <v>3404</v>
      </c>
      <c r="T5" s="504" t="s">
        <v>3405</v>
      </c>
      <c r="U5" s="504" t="s">
        <v>3404</v>
      </c>
      <c r="V5" s="504" t="s">
        <v>3405</v>
      </c>
      <c r="W5" s="504" t="s">
        <v>3404</v>
      </c>
      <c r="X5" s="504" t="s">
        <v>3405</v>
      </c>
    </row>
    <row r="6" spans="1:24" x14ac:dyDescent="0.25">
      <c r="A6" s="245">
        <v>1</v>
      </c>
      <c r="B6" s="828" t="s">
        <v>3406</v>
      </c>
      <c r="C6" s="828" t="s">
        <v>3472</v>
      </c>
      <c r="D6" s="245" t="s">
        <v>1487</v>
      </c>
      <c r="E6" s="1486">
        <f>'Annex CPP'!C7</f>
        <v>81.75</v>
      </c>
      <c r="F6" s="1486">
        <f>E6</f>
        <v>81.75</v>
      </c>
      <c r="G6" s="1486">
        <f>'Annex CPP'!C8</f>
        <v>81.75</v>
      </c>
      <c r="H6" s="1486">
        <f>G6</f>
        <v>81.75</v>
      </c>
      <c r="I6" s="1486">
        <f>'Annex CPP'!C9</f>
        <v>84</v>
      </c>
      <c r="J6" s="1486">
        <f>I6</f>
        <v>84</v>
      </c>
      <c r="K6" s="1486">
        <f>'Annex CPP'!C10</f>
        <v>84</v>
      </c>
      <c r="L6" s="1486">
        <f>K6</f>
        <v>84</v>
      </c>
      <c r="M6" s="1486">
        <f>'Annex CPP'!C11</f>
        <v>76</v>
      </c>
      <c r="N6" s="1486">
        <f>M6</f>
        <v>76</v>
      </c>
      <c r="O6" s="1486">
        <f>'Annex CPP'!C12</f>
        <v>84</v>
      </c>
      <c r="P6" s="1486">
        <f>O6</f>
        <v>84</v>
      </c>
      <c r="Q6" s="1486">
        <f>'Annex CPP'!C13</f>
        <v>84</v>
      </c>
      <c r="R6" s="1486">
        <f>Q6</f>
        <v>84</v>
      </c>
      <c r="S6" s="1486">
        <f>'Annex CPP'!C14</f>
        <v>80.08</v>
      </c>
      <c r="T6" s="1486">
        <f>S6</f>
        <v>80.08</v>
      </c>
      <c r="U6" s="1486">
        <f>'Annex CPP'!C15</f>
        <v>87</v>
      </c>
      <c r="V6" s="1486">
        <f>U6</f>
        <v>87</v>
      </c>
      <c r="W6" s="1486">
        <f>'Annex CPP'!C16</f>
        <v>87</v>
      </c>
      <c r="X6" s="1486">
        <f>W6</f>
        <v>87</v>
      </c>
    </row>
    <row r="7" ht="29" customHeight="1" spans="1:24" x14ac:dyDescent="0.25">
      <c r="A7" s="245">
        <v>2</v>
      </c>
      <c r="B7" s="828" t="s">
        <v>2032</v>
      </c>
      <c r="C7" s="828" t="s">
        <v>3473</v>
      </c>
      <c r="D7" s="245" t="s">
        <v>3474</v>
      </c>
      <c r="E7" s="1486">
        <f>'Annex CPP'!G25</f>
        <v>6802.58048</v>
      </c>
      <c r="F7" s="1486">
        <f>'Annex CPP'!O25</f>
        <v>0</v>
      </c>
      <c r="G7" s="1486">
        <f>'Annex CPP'!G26</f>
        <v>6421.731840000004</v>
      </c>
      <c r="H7" s="1486">
        <f>'Annex CPP'!O26</f>
        <v>0</v>
      </c>
      <c r="I7" s="1486">
        <f>'Annex CPP'!G27</f>
        <v>6821.277919999999</v>
      </c>
      <c r="J7" s="1486">
        <f>'Annex CPP'!O27</f>
        <v>0</v>
      </c>
      <c r="K7" s="1486">
        <f>'Annex CPP'!G28</f>
        <v>7266.132480000001</v>
      </c>
      <c r="L7" s="1486">
        <f>'Annex CPP'!O28</f>
        <v>0</v>
      </c>
      <c r="M7" s="1486">
        <f>'Annex CPP'!G29</f>
        <v>6228.89472</v>
      </c>
      <c r="N7" s="1486">
        <f>'Annex CPP'!O29</f>
        <v>0</v>
      </c>
      <c r="O7" s="1486">
        <f>'Annex CPP'!G30</f>
        <v>5809.044479999999</v>
      </c>
      <c r="P7" s="1486">
        <f>'Annex CPP'!O30</f>
        <v>0</v>
      </c>
      <c r="Q7" s="1486">
        <f>'Annex CPP'!G31</f>
        <v>6900.648959999997</v>
      </c>
      <c r="R7" s="1486">
        <f>'Annex CPP'!O31</f>
        <v>0</v>
      </c>
      <c r="S7" s="1486">
        <f>'Annex CPP'!G32</f>
        <v>6946.3376</v>
      </c>
      <c r="T7" s="1486">
        <f>'Annex CPP'!O32</f>
        <v>0</v>
      </c>
      <c r="U7" s="1486">
        <f>'Annex CPP'!G33</f>
        <v>7268.899840000002</v>
      </c>
      <c r="V7" s="1486">
        <f>'Annex CPP'!O33</f>
        <v>0</v>
      </c>
      <c r="W7" s="1486">
        <f>'Annex CPP'!G34</f>
        <v>5888.52384</v>
      </c>
      <c r="X7" s="1486">
        <f>'Annex CPP'!O34</f>
        <v>0</v>
      </c>
    </row>
    <row r="8" ht="29" customHeight="1" spans="1:24" x14ac:dyDescent="0.25">
      <c r="A8" s="245">
        <v>3</v>
      </c>
      <c r="B8" s="828" t="s">
        <v>3475</v>
      </c>
      <c r="C8" s="828" t="s">
        <v>3476</v>
      </c>
      <c r="D8" s="245" t="s">
        <v>1989</v>
      </c>
      <c r="E8" s="1486">
        <f>'Annex CPP'!E7</f>
        <v>2224</v>
      </c>
      <c r="F8" s="1486">
        <f>E8</f>
        <v>2224</v>
      </c>
      <c r="G8" s="1486">
        <f>'Annex CPP'!E8</f>
        <v>2224</v>
      </c>
      <c r="H8" s="1486">
        <f>G8</f>
        <v>2224</v>
      </c>
      <c r="I8" s="1486">
        <f>'Annex CPP'!E9</f>
        <v>2112</v>
      </c>
      <c r="J8" s="1486">
        <f>I8</f>
        <v>2112</v>
      </c>
      <c r="K8" s="1486">
        <f>'Annex CPP'!E10</f>
        <v>2112</v>
      </c>
      <c r="L8" s="1486">
        <f>K8</f>
        <v>2112</v>
      </c>
      <c r="M8" s="1486">
        <f>'Annex CPP'!E11</f>
        <v>2127</v>
      </c>
      <c r="N8" s="1486">
        <f>M8</f>
        <v>2127</v>
      </c>
      <c r="O8" s="1486">
        <f>'Annex CPP'!E12</f>
        <v>2170</v>
      </c>
      <c r="P8" s="1486">
        <f>O8</f>
        <v>2170</v>
      </c>
      <c r="Q8" s="1486">
        <f>'Annex CPP'!E13</f>
        <v>2170</v>
      </c>
      <c r="R8" s="1486">
        <f>Q8</f>
        <v>2170</v>
      </c>
      <c r="S8" s="1486">
        <f>'Annex CPP'!E14</f>
        <v>2216</v>
      </c>
      <c r="T8" s="1486">
        <f>S8</f>
        <v>2216</v>
      </c>
      <c r="U8" s="1486">
        <f>'Annex CPP'!E15</f>
        <v>2162</v>
      </c>
      <c r="V8" s="1486">
        <f>U8</f>
        <v>2162</v>
      </c>
      <c r="W8" s="1486">
        <f>'Annex CPP'!E16</f>
        <v>2162</v>
      </c>
      <c r="X8" s="1486">
        <f>W8</f>
        <v>2162</v>
      </c>
    </row>
    <row r="9" ht="29" customHeight="1" spans="1:24" x14ac:dyDescent="0.25">
      <c r="A9" s="245">
        <v>4</v>
      </c>
      <c r="B9" s="828" t="s">
        <v>3477</v>
      </c>
      <c r="C9" s="828" t="s">
        <v>3478</v>
      </c>
      <c r="D9" s="245" t="s">
        <v>1989</v>
      </c>
      <c r="E9" s="1486">
        <f>'Annex CPP'!L7</f>
        <v>2224</v>
      </c>
      <c r="F9" s="1486">
        <f>E9</f>
        <v>2224</v>
      </c>
      <c r="G9" s="1486">
        <f>'Annex CPP'!L8</f>
        <v>2224</v>
      </c>
      <c r="H9" s="1486">
        <f>G9</f>
        <v>2224</v>
      </c>
      <c r="I9" s="1486">
        <f>'Annex CPP'!L9</f>
        <v>2112</v>
      </c>
      <c r="J9" s="1486">
        <f>I9</f>
        <v>2112</v>
      </c>
      <c r="K9" s="1486">
        <f>'Annex CPP'!L10</f>
        <v>2112</v>
      </c>
      <c r="L9" s="1486">
        <f>K9</f>
        <v>2112</v>
      </c>
      <c r="M9" s="1486">
        <f>'Annex CPP'!L11</f>
        <v>2127</v>
      </c>
      <c r="N9" s="1486">
        <f>M9</f>
        <v>2127</v>
      </c>
      <c r="O9" s="1486">
        <f>'Annex CPP'!L12</f>
        <v>2170</v>
      </c>
      <c r="P9" s="1486">
        <f>O9</f>
        <v>2170</v>
      </c>
      <c r="Q9" s="1486">
        <f>'Annex CPP'!L13</f>
        <v>2170</v>
      </c>
      <c r="R9" s="1486">
        <f>Q9</f>
        <v>2170</v>
      </c>
      <c r="S9" s="1486">
        <f>'Annex CPP'!L14</f>
        <v>2216</v>
      </c>
      <c r="T9" s="1486">
        <f>S9</f>
        <v>2216</v>
      </c>
      <c r="U9" s="1486">
        <f>'Annex CPP'!L20</f>
        <v>0</v>
      </c>
      <c r="V9" s="1486">
        <f>U9</f>
        <v>0</v>
      </c>
      <c r="W9" s="1486">
        <f>'Annex CPP'!L21</f>
        <v>0</v>
      </c>
      <c r="X9" s="1486">
        <f>W9</f>
        <v>0</v>
      </c>
    </row>
    <row r="10" ht="43.5" customHeight="1" spans="1:24" x14ac:dyDescent="0.25">
      <c r="A10" s="245">
        <v>5</v>
      </c>
      <c r="B10" s="828" t="s">
        <v>3479</v>
      </c>
      <c r="C10" s="828" t="s">
        <v>3480</v>
      </c>
      <c r="D10" s="245" t="s">
        <v>1493</v>
      </c>
      <c r="E10" s="1487">
        <f t="shared" ref="E10:X10" si="0">IFERROR((E8-E9)*100/E8,0)</f>
        <v>0</v>
      </c>
      <c r="F10" s="1487">
        <f t="shared" si="0"/>
        <v>0</v>
      </c>
      <c r="G10" s="1487">
        <f t="shared" si="0"/>
        <v>0</v>
      </c>
      <c r="H10" s="1487">
        <f t="shared" si="0"/>
        <v>0</v>
      </c>
      <c r="I10" s="1487">
        <f t="shared" si="0"/>
        <v>0</v>
      </c>
      <c r="J10" s="1487">
        <f t="shared" si="0"/>
        <v>0</v>
      </c>
      <c r="K10" s="1487">
        <f t="shared" si="0"/>
        <v>0</v>
      </c>
      <c r="L10" s="1487">
        <f t="shared" si="0"/>
        <v>0</v>
      </c>
      <c r="M10" s="1487">
        <f t="shared" si="0"/>
        <v>0</v>
      </c>
      <c r="N10" s="1487">
        <f t="shared" si="0"/>
        <v>0</v>
      </c>
      <c r="O10" s="1487">
        <f t="shared" si="0"/>
        <v>0</v>
      </c>
      <c r="P10" s="1487">
        <f t="shared" si="0"/>
        <v>0</v>
      </c>
      <c r="Q10" s="1487">
        <f t="shared" si="0"/>
        <v>0</v>
      </c>
      <c r="R10" s="1487">
        <f t="shared" si="0"/>
        <v>0</v>
      </c>
      <c r="S10" s="1487">
        <f t="shared" si="0"/>
        <v>0</v>
      </c>
      <c r="T10" s="1487">
        <f t="shared" si="0"/>
        <v>0</v>
      </c>
      <c r="U10" s="1487">
        <f t="shared" si="0"/>
        <v>100</v>
      </c>
      <c r="V10" s="1487">
        <f t="shared" si="0"/>
        <v>100</v>
      </c>
      <c r="W10" s="1487">
        <f t="shared" si="0"/>
        <v>100</v>
      </c>
      <c r="X10" s="1487">
        <f t="shared" si="0"/>
        <v>100</v>
      </c>
    </row>
    <row r="11" ht="29" customHeight="1" spans="1:24" x14ac:dyDescent="0.25">
      <c r="A11" s="245">
        <v>6</v>
      </c>
      <c r="B11" s="828" t="s">
        <v>3481</v>
      </c>
      <c r="C11" s="828" t="s">
        <v>3482</v>
      </c>
      <c r="D11" s="245"/>
      <c r="E11" s="1486">
        <f>'Annex CPP'!F61</f>
        <v>1</v>
      </c>
      <c r="F11" s="1486">
        <f>'Annex CPP'!N61</f>
        <v>1</v>
      </c>
      <c r="G11" s="1486">
        <f>'Annex CPP'!F62</f>
        <v>0.9512195495231308</v>
      </c>
      <c r="H11" s="1486">
        <f>'Annex CPP'!N62</f>
        <v>1</v>
      </c>
      <c r="I11" s="1486">
        <f>'Annex CPP'!F63</f>
        <v>0.9571109371602522</v>
      </c>
      <c r="J11" s="1486">
        <f>'Annex CPP'!N63</f>
        <v>1</v>
      </c>
      <c r="K11" s="1486">
        <f>'Annex CPP'!F64</f>
        <v>0.9924696999347685</v>
      </c>
      <c r="L11" s="1486">
        <f>'Annex CPP'!N64</f>
        <v>1</v>
      </c>
      <c r="M11" s="1486">
        <f>'Annex CPP'!F65</f>
        <v>0.9544405431386694</v>
      </c>
      <c r="N11" s="1486">
        <f>'Annex CPP'!N65</f>
        <v>1</v>
      </c>
      <c r="O11" s="1486">
        <f>'Annex CPP'!F66</f>
        <v>0.8109814959773849</v>
      </c>
      <c r="P11" s="1486">
        <f>'Annex CPP'!N66</f>
        <v>1</v>
      </c>
      <c r="Q11" s="1486">
        <f>'Annex CPP'!F67</f>
        <v>0.9774189062839739</v>
      </c>
      <c r="R11" s="1486">
        <f>'Annex CPP'!N67</f>
        <v>1</v>
      </c>
      <c r="S11" s="1486">
        <f>'Annex CPP'!F68</f>
        <v>0.9912079130914747</v>
      </c>
      <c r="T11" s="1486">
        <f>'Annex CPP'!N68</f>
        <v>1</v>
      </c>
      <c r="U11" s="1486">
        <f>'Annex CPP'!F69</f>
        <v>0.9579089907101253</v>
      </c>
      <c r="V11" s="1486">
        <f>'Annex CPP'!N69</f>
        <v>1</v>
      </c>
      <c r="W11" s="1486">
        <f>'Annex CPP'!F70</f>
        <v>0.9749599013278748</v>
      </c>
      <c r="X11" s="1486">
        <f>'Annex CPP'!N70</f>
        <v>1</v>
      </c>
    </row>
    <row r="12" ht="29" customHeight="1" spans="1:24" x14ac:dyDescent="0.25">
      <c r="A12" s="245">
        <v>7</v>
      </c>
      <c r="B12" s="828" t="s">
        <v>3483</v>
      </c>
      <c r="C12" s="828" t="s">
        <v>3484</v>
      </c>
      <c r="D12" s="245" t="s">
        <v>1487</v>
      </c>
      <c r="E12" s="1486">
        <f>'Annex CPP'!I61</f>
        <v>4.277089253187617</v>
      </c>
      <c r="F12" s="1486">
        <f>'Annex CPP'!Q61</f>
        <v>0</v>
      </c>
      <c r="G12" s="1486">
        <f>'Annex CPP'!I62</f>
        <v>4.627467213114671</v>
      </c>
      <c r="H12" s="1486">
        <f>'Annex CPP'!Q62</f>
        <v>0</v>
      </c>
      <c r="I12" s="1486">
        <f>'Annex CPP'!I63</f>
        <v>2.636601092896189</v>
      </c>
      <c r="J12" s="1486">
        <f>'Annex CPP'!Q63</f>
        <v>0</v>
      </c>
      <c r="K12" s="1486">
        <f>'Annex CPP'!I64</f>
        <v>0.5877422586523198</v>
      </c>
      <c r="L12" s="1486">
        <f>'Annex CPP'!Q64</f>
        <v>0</v>
      </c>
      <c r="M12" s="1486">
        <f>'Annex CPP'!I65</f>
        <v>1.5714808743169688</v>
      </c>
      <c r="N12" s="1486">
        <f>'Annex CPP'!Q65</f>
        <v>0</v>
      </c>
      <c r="O12" s="1486">
        <f>'Annex CPP'!I66</f>
        <v>2.030777777777822</v>
      </c>
      <c r="P12" s="1486">
        <f>'Annex CPP'!Q66</f>
        <v>0</v>
      </c>
      <c r="Q12" s="1486">
        <f>'Annex CPP'!I67</f>
        <v>3.491534608379039</v>
      </c>
      <c r="R12" s="1486">
        <f>'Annex CPP'!Q67</f>
        <v>0</v>
      </c>
      <c r="S12" s="1486">
        <f>'Annex CPP'!I68</f>
        <v>0.4335027322404549</v>
      </c>
      <c r="T12" s="1486">
        <f>'Annex CPP'!Q68</f>
        <v>0</v>
      </c>
      <c r="U12" s="1486">
        <f>'Annex CPP'!I69</f>
        <v>0.8275355191256475</v>
      </c>
      <c r="V12" s="1486">
        <f>'Annex CPP'!Q69</f>
        <v>0</v>
      </c>
      <c r="W12" s="1486">
        <f>'Annex CPP'!I70</f>
        <v>17.7060628415301</v>
      </c>
      <c r="X12" s="1486">
        <f>'Annex CPP'!Q70</f>
        <v>0</v>
      </c>
    </row>
    <row r="13" ht="29" customHeight="1" spans="1:24" x14ac:dyDescent="0.25">
      <c r="A13" s="245">
        <v>8</v>
      </c>
      <c r="B13" s="828" t="s">
        <v>2590</v>
      </c>
      <c r="C13" s="828" t="s">
        <v>3485</v>
      </c>
      <c r="D13" s="245" t="s">
        <v>3486</v>
      </c>
      <c r="E13" s="1486">
        <f>'Annex CPP'!J61</f>
        <v>459.5712782874621</v>
      </c>
      <c r="F13" s="1486">
        <f>'Annex CPP'!R61</f>
        <v>0</v>
      </c>
      <c r="G13" s="1486">
        <f>'Annex CPP'!J62</f>
        <v>497.21922935778923</v>
      </c>
      <c r="H13" s="1486">
        <f>'Annex CPP'!R62</f>
        <v>0</v>
      </c>
      <c r="I13" s="1486">
        <f>'Annex CPP'!J63</f>
        <v>275.71314285714436</v>
      </c>
      <c r="J13" s="1486">
        <f>'Annex CPP'!R63</f>
        <v>0</v>
      </c>
      <c r="K13" s="1486">
        <f>'Annex CPP'!J64</f>
        <v>61.46104761907116</v>
      </c>
      <c r="L13" s="1486">
        <f>'Annex CPP'!R64</f>
        <v>0</v>
      </c>
      <c r="M13" s="1486">
        <f>'Annex CPP'!J65</f>
        <v>181.63010526316123</v>
      </c>
      <c r="N13" s="1486"/>
      <c r="O13" s="1486">
        <f>'Annex CPP'!J66</f>
        <v>212.361333333338</v>
      </c>
      <c r="P13" s="1486"/>
      <c r="Q13" s="1486">
        <f>'Annex CPP'!J67</f>
        <v>365.11476190477947</v>
      </c>
      <c r="R13" s="1486"/>
      <c r="S13" s="1486">
        <f>'Annex CPP'!J68</f>
        <v>47.55104895105093</v>
      </c>
      <c r="T13" s="1486"/>
      <c r="U13" s="1486">
        <f>'Annex CPP'!J69</f>
        <v>83.55255172413433</v>
      </c>
      <c r="V13" s="1486"/>
      <c r="W13" s="1486">
        <f>'Annex CPP'!J70</f>
        <v>1787.7017931034482</v>
      </c>
      <c r="X13" s="1486"/>
    </row>
    <row r="14" ht="29" customHeight="1" spans="1:24" x14ac:dyDescent="0.25">
      <c r="A14" s="245">
        <v>9</v>
      </c>
      <c r="B14" s="828" t="s">
        <v>3487</v>
      </c>
      <c r="C14" s="828" t="s">
        <v>3488</v>
      </c>
      <c r="D14" s="245" t="s">
        <v>3486</v>
      </c>
      <c r="E14" s="1488">
        <f t="shared" ref="E14:L14" si="1">8760*E11</f>
        <v>8760</v>
      </c>
      <c r="F14" s="1488">
        <f t="shared" si="1"/>
        <v>8760</v>
      </c>
      <c r="G14" s="1488">
        <f t="shared" si="1"/>
        <v>8332.683253822626</v>
      </c>
      <c r="H14" s="1488">
        <f t="shared" si="1"/>
        <v>8760</v>
      </c>
      <c r="I14" s="1488">
        <f t="shared" si="1"/>
        <v>8384.29180952381</v>
      </c>
      <c r="J14" s="1488">
        <f t="shared" si="1"/>
        <v>8760</v>
      </c>
      <c r="K14" s="1488">
        <f t="shared" si="1"/>
        <v>8694.034571428572</v>
      </c>
      <c r="L14" s="1488">
        <f t="shared" si="1"/>
        <v>8760</v>
      </c>
      <c r="M14" s="1488">
        <f t="shared" ref="M14:X14" si="2">8760*M11</f>
        <v>8360.899157894744</v>
      </c>
      <c r="N14" s="1488">
        <f t="shared" si="2"/>
        <v>8760</v>
      </c>
      <c r="O14" s="1488">
        <f t="shared" si="2"/>
        <v>7104.197904761892</v>
      </c>
      <c r="P14" s="1488">
        <f t="shared" si="2"/>
        <v>8760</v>
      </c>
      <c r="Q14" s="1488">
        <f t="shared" si="2"/>
        <v>8562.18961904761</v>
      </c>
      <c r="R14" s="1488">
        <f t="shared" si="2"/>
        <v>8760</v>
      </c>
      <c r="S14" s="1488">
        <f t="shared" si="2"/>
        <v>8682.981318681319</v>
      </c>
      <c r="T14" s="1488">
        <f t="shared" si="2"/>
        <v>8760</v>
      </c>
      <c r="U14" s="1488">
        <f t="shared" si="2"/>
        <v>8391.282758620697</v>
      </c>
      <c r="V14" s="1488">
        <f t="shared" si="2"/>
        <v>8760</v>
      </c>
      <c r="W14" s="1488">
        <f t="shared" si="2"/>
        <v>8540.648735632183</v>
      </c>
      <c r="X14" s="1488">
        <f t="shared" si="2"/>
        <v>8760</v>
      </c>
    </row>
    <row r="15" ht="29" customHeight="1" spans="1:24" x14ac:dyDescent="0.25">
      <c r="A15" s="245">
        <v>10</v>
      </c>
      <c r="B15" s="828" t="s">
        <v>3489</v>
      </c>
      <c r="C15" s="828" t="s">
        <v>3490</v>
      </c>
      <c r="D15" s="245" t="s">
        <v>3486</v>
      </c>
      <c r="E15" s="1488">
        <f t="shared" ref="E15:X15" si="3">E14-E13</f>
        <v>8300.428721712538</v>
      </c>
      <c r="F15" s="1488">
        <f t="shared" si="3"/>
        <v>8760</v>
      </c>
      <c r="G15" s="1488">
        <f t="shared" si="3"/>
        <v>7835.464024464837</v>
      </c>
      <c r="H15" s="1488">
        <f t="shared" si="3"/>
        <v>8760</v>
      </c>
      <c r="I15" s="1488">
        <f t="shared" si="3"/>
        <v>8108.5786666666645</v>
      </c>
      <c r="J15" s="1488">
        <f t="shared" si="3"/>
        <v>8760</v>
      </c>
      <c r="K15" s="1488">
        <f t="shared" si="3"/>
        <v>8632.5735238095</v>
      </c>
      <c r="L15" s="1488">
        <f t="shared" si="3"/>
        <v>8760</v>
      </c>
      <c r="M15" s="1488">
        <f t="shared" si="3"/>
        <v>8179.269052631583</v>
      </c>
      <c r="N15" s="1488">
        <f t="shared" si="3"/>
        <v>8760</v>
      </c>
      <c r="O15" s="1488">
        <f t="shared" si="3"/>
        <v>6891.836571428554</v>
      </c>
      <c r="P15" s="1488">
        <f t="shared" si="3"/>
        <v>8760</v>
      </c>
      <c r="Q15" s="1488">
        <f t="shared" si="3"/>
        <v>8197.074857142832</v>
      </c>
      <c r="R15" s="1488">
        <f t="shared" si="3"/>
        <v>8760</v>
      </c>
      <c r="S15" s="1488">
        <f t="shared" si="3"/>
        <v>8635.430269730268</v>
      </c>
      <c r="T15" s="1488">
        <f t="shared" si="3"/>
        <v>8760</v>
      </c>
      <c r="U15" s="1488">
        <f t="shared" si="3"/>
        <v>8307.730206896562</v>
      </c>
      <c r="V15" s="1488">
        <f t="shared" si="3"/>
        <v>8760</v>
      </c>
      <c r="W15" s="1488">
        <f t="shared" si="3"/>
        <v>6752.946942528735</v>
      </c>
      <c r="X15" s="1488">
        <f t="shared" si="3"/>
        <v>8760</v>
      </c>
    </row>
    <row r="16" ht="36" customHeight="1" spans="1:24" x14ac:dyDescent="0.25">
      <c r="A16" s="245">
        <v>11</v>
      </c>
      <c r="B16" s="828" t="s">
        <v>3491</v>
      </c>
      <c r="C16" s="828" t="s">
        <v>3492</v>
      </c>
      <c r="D16" s="245" t="s">
        <v>3493</v>
      </c>
      <c r="E16" s="1489" t="str">
        <f>'Annex CPP'!$G$7</f>
        <v>0.3246x2 - 57.852x + 4779.7</v>
      </c>
      <c r="F16" s="1489" t="str">
        <f>E16</f>
        <v>0.3246x2 - 57.852x + 4779.7</v>
      </c>
      <c r="G16" s="1489">
        <f>'Annex CPP'!G8</f>
        <v>0</v>
      </c>
      <c r="H16" s="1489">
        <f>G16</f>
        <v>0</v>
      </c>
      <c r="I16" s="1489" t="str">
        <f>'Annex CPP'!G9</f>
        <v>0.1056x2 - 18.23x + 2905</v>
      </c>
      <c r="J16" s="1489" t="str">
        <f>I16</f>
        <v>0.1056x2 - 18.23x + 2905</v>
      </c>
      <c r="K16" s="1489">
        <f>'Annex CPP'!G10</f>
        <v>0</v>
      </c>
      <c r="L16" s="1489">
        <f>K16</f>
        <v>0</v>
      </c>
      <c r="M16" s="1489">
        <f>'Annex CPP'!G11</f>
        <v>0</v>
      </c>
      <c r="N16" s="1489">
        <f>M16</f>
        <v>0</v>
      </c>
      <c r="O16" s="1489">
        <f>'Annex CPP'!G12</f>
        <v>0</v>
      </c>
      <c r="P16" s="1489">
        <f>O16</f>
        <v>0</v>
      </c>
      <c r="Q16" s="1489">
        <f>'Annex CPP'!G13</f>
        <v>0</v>
      </c>
      <c r="R16" s="1489">
        <f>Q16</f>
        <v>0</v>
      </c>
      <c r="S16" s="1489">
        <f>'Annex CPP'!G14</f>
        <v>0</v>
      </c>
      <c r="T16" s="1489">
        <f>S16</f>
        <v>0</v>
      </c>
      <c r="U16" s="1489">
        <f>'Annex CPP'!G15</f>
        <v>0</v>
      </c>
      <c r="V16" s="1489">
        <f>U16</f>
        <v>0</v>
      </c>
      <c r="W16" s="1489">
        <f>'Annex CPP'!G16</f>
        <v>0</v>
      </c>
      <c r="X16" s="1489">
        <f>W16</f>
        <v>0</v>
      </c>
    </row>
    <row r="17" ht="29" customHeight="1" spans="1:24" x14ac:dyDescent="0.25">
      <c r="A17" s="245">
        <v>12</v>
      </c>
      <c r="B17" s="828" t="s">
        <v>3494</v>
      </c>
      <c r="C17" s="828" t="s">
        <v>3495</v>
      </c>
      <c r="D17" s="245"/>
      <c r="E17" s="1490">
        <f>'Annex CPP'!$I$7</f>
        <v>0.3246</v>
      </c>
      <c r="F17" s="1490">
        <f>E17</f>
        <v>0.3246</v>
      </c>
      <c r="G17" s="1490">
        <f>'Annex CPP'!I8</f>
        <v>0</v>
      </c>
      <c r="H17" s="1490">
        <f>G17</f>
        <v>0</v>
      </c>
      <c r="I17" s="1490">
        <f>'Annex CPP'!I9</f>
        <v>0.1056</v>
      </c>
      <c r="J17" s="1489">
        <f>I17</f>
        <v>0.1056</v>
      </c>
      <c r="K17" s="1486">
        <f>'Annex CPP'!I10</f>
        <v>0</v>
      </c>
      <c r="L17" s="1489">
        <f>K17</f>
        <v>0</v>
      </c>
      <c r="M17" s="1486">
        <f>'Annex CPP'!I11</f>
        <v>0</v>
      </c>
      <c r="N17" s="1489">
        <f>M17</f>
        <v>0</v>
      </c>
      <c r="O17" s="1486">
        <f>'Annex CPP'!I12</f>
        <v>0</v>
      </c>
      <c r="P17" s="1486">
        <f>O17</f>
        <v>0</v>
      </c>
      <c r="Q17" s="1486">
        <f>'Annex CPP'!I13</f>
        <v>0</v>
      </c>
      <c r="R17" s="1486">
        <f>Q17</f>
        <v>0</v>
      </c>
      <c r="S17" s="1486">
        <f>'Annex CPP'!I14</f>
        <v>0</v>
      </c>
      <c r="T17" s="1486">
        <f>S17</f>
        <v>0</v>
      </c>
      <c r="U17" s="1486">
        <f>'Annex CPP'!I15</f>
        <v>0</v>
      </c>
      <c r="V17" s="1486">
        <f>U17</f>
        <v>0</v>
      </c>
      <c r="W17" s="1486">
        <f>'Annex CPP'!I16</f>
        <v>0</v>
      </c>
      <c r="X17" s="1486">
        <f>W17</f>
        <v>0</v>
      </c>
    </row>
    <row r="18" ht="29" customHeight="1" spans="1:24" x14ac:dyDescent="0.25">
      <c r="A18" s="245">
        <v>13</v>
      </c>
      <c r="B18" s="828" t="s">
        <v>3496</v>
      </c>
      <c r="C18" s="828" t="s">
        <v>3497</v>
      </c>
      <c r="D18" s="245"/>
      <c r="E18" s="1490">
        <f>'Annex CPP'!$J$7</f>
        <v>-57.852</v>
      </c>
      <c r="F18" s="1490">
        <f>E18</f>
        <v>-57.852</v>
      </c>
      <c r="G18" s="1490">
        <f>'Annex CPP'!J8</f>
        <v>0</v>
      </c>
      <c r="H18" s="1490">
        <f>G18</f>
        <v>0</v>
      </c>
      <c r="I18" s="1490">
        <f>'Annex CPP'!J9</f>
        <v>-18.23</v>
      </c>
      <c r="J18" s="1489">
        <f>I18</f>
        <v>-18.23</v>
      </c>
      <c r="K18" s="1486">
        <f>'Annex CPP'!J10</f>
        <v>0</v>
      </c>
      <c r="L18" s="1489">
        <f>K18</f>
        <v>0</v>
      </c>
      <c r="M18" s="1486">
        <f>'Annex CPP'!J11</f>
        <v>0</v>
      </c>
      <c r="N18" s="1489">
        <f>M18</f>
        <v>0</v>
      </c>
      <c r="O18" s="1486">
        <f>'Annex CPP'!J12</f>
        <v>0</v>
      </c>
      <c r="P18" s="1486">
        <f>O18</f>
        <v>0</v>
      </c>
      <c r="Q18" s="1486">
        <f>'Annex CPP'!J13</f>
        <v>0</v>
      </c>
      <c r="R18" s="1486">
        <f>Q18</f>
        <v>0</v>
      </c>
      <c r="S18" s="1486">
        <f>'Annex CPP'!J14</f>
        <v>0</v>
      </c>
      <c r="T18" s="1486">
        <f>S18</f>
        <v>0</v>
      </c>
      <c r="U18" s="1486">
        <f>'Annex CPP'!J15</f>
        <v>0</v>
      </c>
      <c r="V18" s="1486">
        <f>U18</f>
        <v>0</v>
      </c>
      <c r="W18" s="1486">
        <f>'Annex CPP'!J16</f>
        <v>0</v>
      </c>
      <c r="X18" s="1486">
        <f>W18</f>
        <v>0</v>
      </c>
    </row>
    <row r="19" ht="29" customHeight="1" spans="1:24" x14ac:dyDescent="0.25">
      <c r="A19" s="245">
        <v>14</v>
      </c>
      <c r="B19" s="828" t="s">
        <v>3498</v>
      </c>
      <c r="C19" s="828" t="s">
        <v>3499</v>
      </c>
      <c r="D19" s="245"/>
      <c r="E19" s="1490">
        <f>'Annex CPP'!$K$7</f>
        <v>4779.7</v>
      </c>
      <c r="F19" s="1490">
        <f>E19</f>
        <v>4779.7</v>
      </c>
      <c r="G19" s="1490">
        <f>'Annex CPP'!K8</f>
        <v>0</v>
      </c>
      <c r="H19" s="1490">
        <f>G19</f>
        <v>0</v>
      </c>
      <c r="I19" s="1490">
        <f>'Annex CPP'!K9</f>
        <v>2905</v>
      </c>
      <c r="J19" s="1489">
        <f>I19</f>
        <v>2905</v>
      </c>
      <c r="K19" s="1486">
        <f>'Annex CPP'!K10</f>
        <v>0</v>
      </c>
      <c r="L19" s="1489">
        <f>K19</f>
        <v>0</v>
      </c>
      <c r="M19" s="1486">
        <f>'Annex CPP'!K11</f>
        <v>0</v>
      </c>
      <c r="N19" s="1489">
        <f>M19</f>
        <v>0</v>
      </c>
      <c r="O19" s="1486">
        <f>'Annex CPP'!K12</f>
        <v>0</v>
      </c>
      <c r="P19" s="1486">
        <f>O19</f>
        <v>0</v>
      </c>
      <c r="Q19" s="1486">
        <f>'Annex CPP'!K13</f>
        <v>0</v>
      </c>
      <c r="R19" s="1486">
        <f>Q19</f>
        <v>0</v>
      </c>
      <c r="S19" s="1486">
        <f>'Annex CPP'!K14</f>
        <v>0</v>
      </c>
      <c r="T19" s="1486">
        <f>S19</f>
        <v>0</v>
      </c>
      <c r="U19" s="1486">
        <f>'Annex CPP'!K15</f>
        <v>0</v>
      </c>
      <c r="V19" s="1486">
        <f>U19</f>
        <v>0</v>
      </c>
      <c r="W19" s="1486">
        <f>'Annex CPP'!K16</f>
        <v>0</v>
      </c>
      <c r="X19" s="1486">
        <f>W19</f>
        <v>0</v>
      </c>
    </row>
    <row r="20" ht="29" customHeight="1" spans="1:24" x14ac:dyDescent="0.25">
      <c r="A20" s="245">
        <v>15</v>
      </c>
      <c r="B20" s="828" t="s">
        <v>3500</v>
      </c>
      <c r="C20" s="245" t="s">
        <v>3501</v>
      </c>
      <c r="D20" s="245" t="s">
        <v>1989</v>
      </c>
      <c r="E20" s="1491">
        <f t="shared" ref="E20:X20" si="4">E17*E12^2-E18*E12+E19</f>
        <v>5033.076235134331</v>
      </c>
      <c r="F20" s="1491">
        <f t="shared" si="4"/>
        <v>4779.7</v>
      </c>
      <c r="G20" s="1491">
        <f t="shared" si="4"/>
        <v>0</v>
      </c>
      <c r="H20" s="1491">
        <f t="shared" si="4"/>
        <v>0</v>
      </c>
      <c r="I20" s="1491">
        <f t="shared" si="4"/>
        <v>2953.799333781613</v>
      </c>
      <c r="J20" s="1491">
        <f t="shared" si="4"/>
        <v>2905</v>
      </c>
      <c r="K20" s="1491">
        <f t="shared" si="4"/>
        <v>0</v>
      </c>
      <c r="L20" s="1491">
        <f t="shared" si="4"/>
        <v>0</v>
      </c>
      <c r="M20" s="1491">
        <f t="shared" si="4"/>
        <v>0</v>
      </c>
      <c r="N20" s="1491">
        <f t="shared" si="4"/>
        <v>0</v>
      </c>
      <c r="O20" s="1491">
        <f t="shared" si="4"/>
        <v>0</v>
      </c>
      <c r="P20" s="1491">
        <f t="shared" si="4"/>
        <v>0</v>
      </c>
      <c r="Q20" s="1491">
        <f t="shared" si="4"/>
        <v>0</v>
      </c>
      <c r="R20" s="1491">
        <f t="shared" si="4"/>
        <v>0</v>
      </c>
      <c r="S20" s="1491">
        <f t="shared" si="4"/>
        <v>0</v>
      </c>
      <c r="T20" s="1491">
        <f t="shared" si="4"/>
        <v>0</v>
      </c>
      <c r="U20" s="1491">
        <f t="shared" si="4"/>
        <v>0</v>
      </c>
      <c r="V20" s="1491">
        <f t="shared" si="4"/>
        <v>0</v>
      </c>
      <c r="W20" s="1491">
        <f t="shared" si="4"/>
        <v>0</v>
      </c>
      <c r="X20" s="1491">
        <f t="shared" si="4"/>
        <v>0</v>
      </c>
    </row>
    <row r="21" ht="46.9" customHeight="1" spans="1:24" x14ac:dyDescent="0.25">
      <c r="A21" s="245">
        <v>16</v>
      </c>
      <c r="B21" s="828" t="s">
        <v>3502</v>
      </c>
      <c r="C21" s="245" t="s">
        <v>3503</v>
      </c>
      <c r="D21" s="245" t="s">
        <v>1989</v>
      </c>
      <c r="E21" s="1491">
        <f t="shared" ref="E21:X21" si="5">E20*(1+E10/100)</f>
        <v>5033.076235134331</v>
      </c>
      <c r="F21" s="1491">
        <f t="shared" si="5"/>
        <v>4779.7</v>
      </c>
      <c r="G21" s="1491">
        <f t="shared" si="5"/>
        <v>0</v>
      </c>
      <c r="H21" s="1491">
        <f t="shared" si="5"/>
        <v>0</v>
      </c>
      <c r="I21" s="1491">
        <f t="shared" si="5"/>
        <v>2953.799333781613</v>
      </c>
      <c r="J21" s="1491">
        <f t="shared" si="5"/>
        <v>2905</v>
      </c>
      <c r="K21" s="1491">
        <f t="shared" si="5"/>
        <v>0</v>
      </c>
      <c r="L21" s="1491">
        <f t="shared" si="5"/>
        <v>0</v>
      </c>
      <c r="M21" s="1491">
        <f t="shared" si="5"/>
        <v>0</v>
      </c>
      <c r="N21" s="1491">
        <f t="shared" si="5"/>
        <v>0</v>
      </c>
      <c r="O21" s="1491">
        <f t="shared" si="5"/>
        <v>0</v>
      </c>
      <c r="P21" s="1491">
        <f t="shared" si="5"/>
        <v>0</v>
      </c>
      <c r="Q21" s="1491">
        <f t="shared" si="5"/>
        <v>0</v>
      </c>
      <c r="R21" s="1491">
        <f t="shared" si="5"/>
        <v>0</v>
      </c>
      <c r="S21" s="1491">
        <f t="shared" si="5"/>
        <v>0</v>
      </c>
      <c r="T21" s="1491">
        <f t="shared" si="5"/>
        <v>0</v>
      </c>
      <c r="U21" s="1491">
        <f t="shared" si="5"/>
        <v>0</v>
      </c>
      <c r="V21" s="1491">
        <f t="shared" si="5"/>
        <v>0</v>
      </c>
      <c r="W21" s="1491">
        <f t="shared" si="5"/>
        <v>0</v>
      </c>
      <c r="X21" s="1491">
        <f t="shared" si="5"/>
        <v>0</v>
      </c>
    </row>
    <row r="22" ht="46.9" customHeight="1" spans="1:24" x14ac:dyDescent="0.25">
      <c r="A22" s="245">
        <v>17</v>
      </c>
      <c r="B22" s="828" t="s">
        <v>3504</v>
      </c>
      <c r="C22" s="245" t="s">
        <v>3505</v>
      </c>
      <c r="D22" s="245" t="s">
        <v>1989</v>
      </c>
      <c r="E22" s="1491">
        <f t="shared" ref="E22:X22" si="6">IFERROR((E21*E13+E8*E15)/E14,0)</f>
        <v>2371.3710908889975</v>
      </c>
      <c r="F22" s="1491">
        <f t="shared" si="6"/>
        <v>2224</v>
      </c>
      <c r="G22" s="1491">
        <f t="shared" si="6"/>
        <v>2091.291779561592</v>
      </c>
      <c r="H22" s="1491">
        <f t="shared" si="6"/>
        <v>2224</v>
      </c>
      <c r="I22" s="1491">
        <f t="shared" si="6"/>
        <v>2139.6821400357676</v>
      </c>
      <c r="J22" s="1491">
        <f t="shared" si="6"/>
        <v>2112</v>
      </c>
      <c r="K22" s="1491">
        <f t="shared" si="6"/>
        <v>2097.069563330463</v>
      </c>
      <c r="L22" s="1491">
        <f t="shared" si="6"/>
        <v>2112</v>
      </c>
      <c r="M22" s="1491">
        <f t="shared" si="6"/>
        <v>2080.7935781069723</v>
      </c>
      <c r="N22" s="1491">
        <f t="shared" si="6"/>
        <v>2127</v>
      </c>
      <c r="O22" s="1491">
        <f t="shared" si="6"/>
        <v>2105.133550682132</v>
      </c>
      <c r="P22" s="1491">
        <f t="shared" si="6"/>
        <v>2170</v>
      </c>
      <c r="Q22" s="1491">
        <f t="shared" si="6"/>
        <v>2077.465371758317</v>
      </c>
      <c r="R22" s="1491">
        <f t="shared" si="6"/>
        <v>2170</v>
      </c>
      <c r="S22" s="1491">
        <f t="shared" si="6"/>
        <v>2203.864407326454</v>
      </c>
      <c r="T22" s="1491">
        <f t="shared" si="6"/>
        <v>2216</v>
      </c>
      <c r="U22" s="1491">
        <f t="shared" si="6"/>
        <v>2140.472824474661</v>
      </c>
      <c r="V22" s="1491">
        <f t="shared" si="6"/>
        <v>2162</v>
      </c>
      <c r="W22" s="1491">
        <f t="shared" si="6"/>
        <v>1709.456944275842</v>
      </c>
      <c r="X22" s="1491">
        <f t="shared" si="6"/>
        <v>2162</v>
      </c>
    </row>
    <row r="23" ht="28" customHeight="1" spans="1:24" x14ac:dyDescent="0.25">
      <c r="A23" s="245">
        <v>18</v>
      </c>
      <c r="B23" s="1492" t="s">
        <v>3506</v>
      </c>
      <c r="C23" s="1492" t="s">
        <v>3507</v>
      </c>
      <c r="D23" s="245" t="s">
        <v>1989</v>
      </c>
      <c r="E23" s="1493"/>
      <c r="F23" s="1486">
        <f>F22-E22</f>
        <v>-147.37109088899751</v>
      </c>
      <c r="G23" s="1486"/>
      <c r="H23" s="1486">
        <f>H22-G22</f>
        <v>132.7082204384078</v>
      </c>
      <c r="I23" s="1486"/>
      <c r="J23" s="1486">
        <f>J22-I22</f>
        <v>-27.68214003576759</v>
      </c>
      <c r="K23" s="1486"/>
      <c r="L23" s="1486">
        <f>L22-K22</f>
        <v>14.930436669536903</v>
      </c>
      <c r="M23" s="1486"/>
      <c r="N23" s="1486">
        <f>N22-M22</f>
        <v>46.20642189302771</v>
      </c>
      <c r="O23" s="1486"/>
      <c r="P23" s="1486">
        <f>P22-O22</f>
        <v>64.86644931786805</v>
      </c>
      <c r="Q23" s="1486"/>
      <c r="R23" s="1486">
        <f>R22-Q22</f>
        <v>92.5346282416831</v>
      </c>
      <c r="S23" s="1486"/>
      <c r="T23" s="1486">
        <f>T22-S22</f>
        <v>12.135592673545943</v>
      </c>
      <c r="U23" s="1486"/>
      <c r="V23" s="1486">
        <f>V22-U22</f>
        <v>21.527175525338862</v>
      </c>
      <c r="W23" s="1486"/>
      <c r="X23" s="1486">
        <f>X22-W22</f>
        <v>452.54305572415797</v>
      </c>
    </row>
    <row r="24" spans="1:24" x14ac:dyDescent="0.25">
      <c r="A24" s="245">
        <v>19</v>
      </c>
      <c r="B24" s="828" t="s">
        <v>3508</v>
      </c>
      <c r="C24" s="1492" t="s">
        <v>3509</v>
      </c>
      <c r="D24" s="245" t="s">
        <v>1826</v>
      </c>
      <c r="E24" s="1493"/>
      <c r="F24" s="1486">
        <f>F23*F7/10</f>
        <v>0</v>
      </c>
      <c r="G24" s="1486"/>
      <c r="H24" s="1486">
        <f>H23*H7/10</f>
        <v>0</v>
      </c>
      <c r="I24" s="1486"/>
      <c r="J24" s="1486">
        <f>J23*J7/10</f>
        <v>0</v>
      </c>
      <c r="K24" s="1486"/>
      <c r="L24" s="1486">
        <f>L23*L7/10</f>
        <v>0</v>
      </c>
      <c r="M24" s="1486"/>
      <c r="N24" s="1486">
        <f>N23*N7/10</f>
        <v>0</v>
      </c>
      <c r="O24" s="1486"/>
      <c r="P24" s="1486">
        <f>P23*P7/10</f>
        <v>0</v>
      </c>
      <c r="Q24" s="1486"/>
      <c r="R24" s="1486">
        <f>R23*R7/10</f>
        <v>0</v>
      </c>
      <c r="S24" s="1486"/>
      <c r="T24" s="1486">
        <f>T23*T7/10</f>
        <v>0</v>
      </c>
      <c r="U24" s="1486"/>
      <c r="V24" s="1486">
        <f>V23*V7/10</f>
        <v>0</v>
      </c>
      <c r="W24" s="1486"/>
      <c r="X24" s="1486">
        <f>X23*X7/10</f>
        <v>0</v>
      </c>
    </row>
    <row r="25" ht="44.5" customHeight="1" spans="1:24" s="556" customFormat="1" x14ac:dyDescent="0.25">
      <c r="A25" s="242">
        <v>20</v>
      </c>
      <c r="B25" s="893" t="s">
        <v>3510</v>
      </c>
      <c r="C25" s="547" t="s">
        <v>3511</v>
      </c>
      <c r="D25" s="245" t="s">
        <v>1826</v>
      </c>
      <c r="E25" s="1494">
        <f>IF(AND(E3="Yes", F3="Yes"), IF((F24+H24+J24+L24+N24+P24+R24+T24+V24+X24)&lt;0,0,(F24+H24+J24+L24+N24+P24+R24+T24+V24+X24)), 0)</f>
        <v>0</v>
      </c>
      <c r="F25" s="1495"/>
      <c r="G25" s="1495"/>
      <c r="H25" s="1495"/>
      <c r="I25" s="1495"/>
      <c r="J25" s="1495"/>
      <c r="K25" s="1495"/>
      <c r="L25" s="1495"/>
      <c r="M25" s="1495"/>
      <c r="N25" s="1495"/>
      <c r="O25" s="1495"/>
      <c r="P25" s="1495"/>
      <c r="Q25" s="1495"/>
      <c r="R25" s="1495"/>
      <c r="S25" s="1495"/>
      <c r="T25" s="1495"/>
      <c r="U25" s="1495"/>
      <c r="V25" s="1495"/>
      <c r="W25" s="1495"/>
      <c r="X25" s="1496"/>
    </row>
  </sheetData>
  <sheetProtection sheet="1" algorithmName="SHA-512" hashValue="WMOgDsAFykKv0MOZcq3gWDrJzbzUa/FkHb17uie0FOH+IrL8PwbTfBCKjpkele3S6+HRbRmNh31r957M1L5hlg==" saltValue="uSFp5lhHF+qGae3fQqSR+g==" spinCount="100000" objects="1" scenarios="1"/>
  <mergeCells count="19">
    <mergeCell ref="A1:X1"/>
    <mergeCell ref="A2:F2"/>
    <mergeCell ref="G2:X2"/>
    <mergeCell ref="A3:C3"/>
    <mergeCell ref="E4:F4"/>
    <mergeCell ref="G4:H4"/>
    <mergeCell ref="I4:J4"/>
    <mergeCell ref="K4:L4"/>
    <mergeCell ref="M4:N4"/>
    <mergeCell ref="O4:P4"/>
    <mergeCell ref="Q4:R4"/>
    <mergeCell ref="S4:T4"/>
    <mergeCell ref="U4:V4"/>
    <mergeCell ref="W4:X4"/>
    <mergeCell ref="A4:A5"/>
    <mergeCell ref="B4:B5"/>
    <mergeCell ref="C4:C5"/>
    <mergeCell ref="D4:D5"/>
    <mergeCell ref="E25:X25"/>
  </mergeCells>
  <pageMargins left="0.7" right="0.7" top="0.75" bottom="0.75" header="0.3" footer="0.3"/>
  <pageSetup orientation="landscape" horizontalDpi="4294967295" verticalDpi="4294967295" scale="43"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4"/>
  <sheetViews>
    <sheetView workbookViewId="0" zoomScale="85" zoomScaleNormal="85">
      <selection activeCell="E99" sqref="E99"/>
    </sheetView>
  </sheetViews>
  <sheetFormatPr defaultRowHeight="14" outlineLevelRow="0" outlineLevelCol="0" x14ac:dyDescent="0.3" defaultColWidth="8.81640625" customHeight="1"/>
  <cols>
    <col min="1" max="1" width="8.81640625" style="254" customWidth="1"/>
    <col min="2" max="2" width="44.453125" style="254" customWidth="1"/>
    <col min="3" max="3" width="36.1796875" style="254" customWidth="1"/>
    <col min="4" max="4" width="20.7265625" style="254" customWidth="1"/>
    <col min="5" max="5" width="15.7265625" style="254" customWidth="1"/>
    <col min="6" max="6" width="21.26953125" style="254" customWidth="1"/>
    <col min="7" max="7" width="8.81640625" style="254" customWidth="1"/>
    <col min="8" max="8" width="12" style="254" customWidth="1"/>
    <col min="9" max="16384" width="8.81640625" style="254" customWidth="1"/>
  </cols>
  <sheetData>
    <row r="1" ht="22.5" customHeight="1" spans="1:6" x14ac:dyDescent="0.25">
      <c r="A1" s="1220" t="s">
        <v>3083</v>
      </c>
      <c r="B1" s="1221"/>
      <c r="C1" s="1221"/>
      <c r="D1" s="1221"/>
      <c r="E1" s="1221"/>
      <c r="F1" s="1221"/>
    </row>
    <row r="2" spans="1:6" x14ac:dyDescent="0.25">
      <c r="A2" s="1159" t="s">
        <v>1361</v>
      </c>
      <c r="B2" s="1159"/>
      <c r="C2" s="1159" t="str">
        <f>'Form Sa1'!C3:K3</f>
        <v>HINDALCO INDUSTRIES LIMITED  </v>
      </c>
      <c r="D2" s="1159"/>
      <c r="E2" s="1159"/>
      <c r="F2" s="1159"/>
    </row>
    <row r="3" ht="15" customHeight="1" spans="1:6" x14ac:dyDescent="0.25">
      <c r="A3" s="1222" t="s">
        <v>2833</v>
      </c>
      <c r="B3" s="1222"/>
      <c r="C3" s="1222"/>
      <c r="D3" s="1159" t="s">
        <v>2028</v>
      </c>
      <c r="E3" s="1159" t="str">
        <f>'Form Sa1'!H1378</f>
        <v>Yes</v>
      </c>
      <c r="F3" s="1159" t="str">
        <f>'Form Sa1'!I1378</f>
        <v>Yes</v>
      </c>
    </row>
    <row r="4" spans="1:6" x14ac:dyDescent="0.25">
      <c r="A4" s="1223" t="s">
        <v>2834</v>
      </c>
      <c r="B4" s="1224" t="s">
        <v>1437</v>
      </c>
      <c r="C4" s="1224" t="s">
        <v>1545</v>
      </c>
      <c r="D4" s="1224" t="s">
        <v>2535</v>
      </c>
      <c r="E4" s="856" t="str">
        <f>' Summary Sheet'!E5</f>
        <v>2023-24</v>
      </c>
      <c r="F4" s="856" t="str">
        <f>' Summary Sheet'!F5</f>
        <v>2025-26</v>
      </c>
    </row>
    <row r="5" spans="1:6" x14ac:dyDescent="0.25">
      <c r="A5" s="1225" t="s">
        <v>2619</v>
      </c>
      <c r="B5" s="1226"/>
      <c r="C5" s="1226"/>
      <c r="D5" s="1226"/>
      <c r="E5" s="1226"/>
      <c r="F5" s="1227"/>
    </row>
    <row r="6" spans="1:6" x14ac:dyDescent="0.25">
      <c r="A6" s="484" t="s">
        <v>54</v>
      </c>
      <c r="B6" s="399" t="s">
        <v>1888</v>
      </c>
      <c r="C6" s="1228"/>
      <c r="D6" s="1228"/>
      <c r="E6" s="1228"/>
      <c r="F6" s="1228"/>
    </row>
    <row r="7" spans="1:6" x14ac:dyDescent="0.25">
      <c r="A7" s="443" t="s">
        <v>3084</v>
      </c>
      <c r="B7" s="1158" t="str">
        <f>'Form Sa1'!B45</f>
        <v>Total Hydrate Alumina Production</v>
      </c>
      <c r="C7" s="1158" t="s">
        <v>3085</v>
      </c>
      <c r="D7" s="1158" t="s">
        <v>1456</v>
      </c>
      <c r="E7" s="1229">
        <f>'Baseline Parameter'!E8</f>
        <v>565600</v>
      </c>
      <c r="F7" s="443">
        <f>'Baseline Parameter'!F8</f>
        <v>0</v>
      </c>
    </row>
    <row r="8" spans="1:6" x14ac:dyDescent="0.25">
      <c r="A8" s="443" t="s">
        <v>3086</v>
      </c>
      <c r="B8" s="349" t="str">
        <f>'Form Sa1'!B46</f>
        <v>Total Calcined Alumina  Production</v>
      </c>
      <c r="C8" s="1158" t="s">
        <v>3087</v>
      </c>
      <c r="D8" s="349" t="s">
        <v>1456</v>
      </c>
      <c r="E8" s="293">
        <f>'Baseline Parameter'!E9</f>
        <v>561459</v>
      </c>
      <c r="F8" s="293">
        <f>'Baseline Parameter'!F9</f>
        <v>0</v>
      </c>
    </row>
    <row r="9" spans="1:6" x14ac:dyDescent="0.25">
      <c r="A9" s="443" t="s">
        <v>3088</v>
      </c>
      <c r="B9" s="349" t="s">
        <v>3089</v>
      </c>
      <c r="C9" s="1158" t="s">
        <v>3090</v>
      </c>
      <c r="D9" s="349" t="s">
        <v>1456</v>
      </c>
      <c r="E9" s="293">
        <f>'Baseline Parameter'!E10</f>
        <v>0</v>
      </c>
      <c r="F9" s="293">
        <f>'Baseline Parameter'!F10</f>
        <v>0</v>
      </c>
    </row>
    <row r="10" spans="1:6" x14ac:dyDescent="0.25">
      <c r="A10" s="443" t="s">
        <v>3091</v>
      </c>
      <c r="B10" s="349" t="s">
        <v>3092</v>
      </c>
      <c r="C10" s="1158" t="s">
        <v>3093</v>
      </c>
      <c r="D10" s="349" t="s">
        <v>1456</v>
      </c>
      <c r="E10" s="293">
        <f>'Baseline Parameter'!E11</f>
        <v>0</v>
      </c>
      <c r="F10" s="293">
        <f>'Baseline Parameter'!F11</f>
        <v>0</v>
      </c>
    </row>
    <row r="11" spans="1:6" x14ac:dyDescent="0.25">
      <c r="A11" s="443" t="s">
        <v>3094</v>
      </c>
      <c r="B11" s="349" t="s">
        <v>3095</v>
      </c>
      <c r="C11" s="1158" t="s">
        <v>3096</v>
      </c>
      <c r="D11" s="349" t="s">
        <v>1456</v>
      </c>
      <c r="E11" s="293">
        <f>'Baseline Parameter'!E12</f>
        <v>0</v>
      </c>
      <c r="F11" s="293">
        <f>'Baseline Parameter'!F12</f>
        <v>0</v>
      </c>
    </row>
    <row r="12" spans="1:6" x14ac:dyDescent="0.25">
      <c r="A12" s="443" t="s">
        <v>3097</v>
      </c>
      <c r="B12" s="349" t="s">
        <v>3098</v>
      </c>
      <c r="C12" s="1158" t="s">
        <v>3099</v>
      </c>
      <c r="D12" s="349" t="s">
        <v>1456</v>
      </c>
      <c r="E12" s="293">
        <f>'Baseline Parameter'!E13</f>
        <v>0</v>
      </c>
      <c r="F12" s="293">
        <f>'Baseline Parameter'!F13</f>
        <v>0</v>
      </c>
    </row>
    <row r="13" spans="1:6" x14ac:dyDescent="0.25">
      <c r="A13" s="443" t="s">
        <v>3100</v>
      </c>
      <c r="B13" s="349" t="s">
        <v>3101</v>
      </c>
      <c r="C13" s="1158" t="s">
        <v>3102</v>
      </c>
      <c r="D13" s="349" t="s">
        <v>1456</v>
      </c>
      <c r="E13" s="293">
        <f>'Baseline Parameter'!E14</f>
        <v>0</v>
      </c>
      <c r="F13" s="293">
        <f>'Baseline Parameter'!F14</f>
        <v>0</v>
      </c>
    </row>
    <row r="14" spans="1:6" x14ac:dyDescent="0.25">
      <c r="A14" s="443" t="s">
        <v>3103</v>
      </c>
      <c r="B14" s="349" t="s">
        <v>3104</v>
      </c>
      <c r="C14" s="1158" t="s">
        <v>3105</v>
      </c>
      <c r="D14" s="349" t="s">
        <v>1456</v>
      </c>
      <c r="E14" s="293">
        <f>'Baseline Parameter'!E15</f>
        <v>0</v>
      </c>
      <c r="F14" s="293">
        <f>'Baseline Parameter'!F15</f>
        <v>0</v>
      </c>
    </row>
    <row r="15" spans="1:6" x14ac:dyDescent="0.25">
      <c r="A15" s="443" t="s">
        <v>3106</v>
      </c>
      <c r="B15" s="349" t="s">
        <v>3107</v>
      </c>
      <c r="C15" s="1158" t="s">
        <v>3108</v>
      </c>
      <c r="D15" s="349" t="s">
        <v>1456</v>
      </c>
      <c r="E15" s="1230">
        <f>'Baseline Parameter'!E16</f>
        <v>0</v>
      </c>
      <c r="F15" s="293">
        <f>'Baseline Parameter'!F16</f>
        <v>0</v>
      </c>
    </row>
    <row r="16" spans="1:6" x14ac:dyDescent="0.25">
      <c r="A16" s="443" t="s">
        <v>3109</v>
      </c>
      <c r="B16" s="349" t="s">
        <v>3110</v>
      </c>
      <c r="C16" s="1158" t="s">
        <v>3111</v>
      </c>
      <c r="D16" s="349" t="s">
        <v>1456</v>
      </c>
      <c r="E16" s="1230">
        <f>'Baseline Parameter'!E17</f>
        <v>236609.48821399998</v>
      </c>
      <c r="F16" s="293">
        <f>'Baseline Parameter'!F17</f>
        <v>0</v>
      </c>
    </row>
    <row r="17" spans="1:6" x14ac:dyDescent="0.25">
      <c r="A17" s="443" t="s">
        <v>3112</v>
      </c>
      <c r="B17" s="349" t="s">
        <v>3113</v>
      </c>
      <c r="C17" s="1158" t="s">
        <v>3114</v>
      </c>
      <c r="D17" s="349" t="s">
        <v>1456</v>
      </c>
      <c r="E17" s="293">
        <f>'Baseline Parameter'!E18</f>
        <v>0</v>
      </c>
      <c r="F17" s="293">
        <f>'Baseline Parameter'!F18</f>
        <v>0</v>
      </c>
    </row>
    <row r="18" spans="1:6" x14ac:dyDescent="0.25">
      <c r="A18" s="443" t="s">
        <v>3115</v>
      </c>
      <c r="B18" s="349" t="s">
        <v>3116</v>
      </c>
      <c r="C18" s="1158" t="s">
        <v>3117</v>
      </c>
      <c r="D18" s="349" t="s">
        <v>1456</v>
      </c>
      <c r="E18" s="293">
        <f>'Baseline Parameter'!E19</f>
        <v>0</v>
      </c>
      <c r="F18" s="293">
        <f>'Baseline Parameter'!F19</f>
        <v>0</v>
      </c>
    </row>
    <row r="19" spans="1:6" s="274" customFormat="1" x14ac:dyDescent="0.25">
      <c r="A19" s="484" t="s">
        <v>459</v>
      </c>
      <c r="B19" s="399" t="s">
        <v>1936</v>
      </c>
      <c r="C19" s="486"/>
      <c r="D19" s="486"/>
      <c r="E19" s="486"/>
      <c r="F19" s="486"/>
    </row>
    <row r="20" spans="1:6" s="326" customFormat="1" x14ac:dyDescent="0.25">
      <c r="A20" s="293" t="s">
        <v>461</v>
      </c>
      <c r="B20" s="1231" t="s">
        <v>3118</v>
      </c>
      <c r="C20" s="349" t="s">
        <v>3119</v>
      </c>
      <c r="D20" s="349" t="s">
        <v>3120</v>
      </c>
      <c r="E20" s="1232">
        <f>'Baseline Parameter'!E43</f>
        <v>2.798510890404859</v>
      </c>
      <c r="F20" s="296" t="e">
        <f>'Baseline Parameter'!F43</f>
        <v>#DIV/0!</v>
      </c>
    </row>
    <row r="21" spans="1:6" x14ac:dyDescent="0.25">
      <c r="A21" s="443" t="s">
        <v>2023</v>
      </c>
      <c r="B21" s="1158" t="s">
        <v>3121</v>
      </c>
      <c r="C21" s="1158" t="s">
        <v>3122</v>
      </c>
      <c r="D21" s="349" t="s">
        <v>3120</v>
      </c>
      <c r="E21" s="1159">
        <f>'Baseline Parameter'!E44</f>
        <v>2.0367461243808735</v>
      </c>
      <c r="F21" s="1159" t="e">
        <f>'Baseline Parameter'!F44</f>
        <v>#DIV/0!</v>
      </c>
    </row>
    <row r="22" spans="1:6" x14ac:dyDescent="0.25">
      <c r="A22" s="443" t="s">
        <v>3123</v>
      </c>
      <c r="B22" s="1158" t="s">
        <v>3124</v>
      </c>
      <c r="C22" s="1158" t="s">
        <v>3125</v>
      </c>
      <c r="D22" s="349" t="s">
        <v>3120</v>
      </c>
      <c r="E22" s="1233">
        <f>'Baseline Parameter'!E45</f>
        <v>0</v>
      </c>
      <c r="F22" s="1159" t="e">
        <f>'Baseline Parameter'!F45</f>
        <v>#DIV/0!</v>
      </c>
    </row>
    <row r="23" spans="1:6" x14ac:dyDescent="0.25">
      <c r="A23" s="443" t="s">
        <v>676</v>
      </c>
      <c r="B23" s="1158" t="s">
        <v>3126</v>
      </c>
      <c r="C23" s="1158" t="s">
        <v>3127</v>
      </c>
      <c r="D23" s="349" t="s">
        <v>3120</v>
      </c>
      <c r="E23" s="1233">
        <f>'Baseline Parameter'!E46</f>
        <v>0</v>
      </c>
      <c r="F23" s="1159" t="e">
        <f>'Baseline Parameter'!F46</f>
        <v>#DIV/0!</v>
      </c>
    </row>
    <row r="24" spans="1:6" x14ac:dyDescent="0.25">
      <c r="A24" s="443" t="s">
        <v>680</v>
      </c>
      <c r="B24" s="1158" t="s">
        <v>3128</v>
      </c>
      <c r="C24" s="1158" t="s">
        <v>3129</v>
      </c>
      <c r="D24" s="349" t="s">
        <v>3120</v>
      </c>
      <c r="E24" s="1159">
        <f>'Baseline Parameter'!E47</f>
        <v>0</v>
      </c>
      <c r="F24" s="1159" t="e">
        <f>'Baseline Parameter'!F47</f>
        <v>#DIV/0!</v>
      </c>
    </row>
    <row r="25" spans="1:6" x14ac:dyDescent="0.25">
      <c r="A25" s="443" t="s">
        <v>684</v>
      </c>
      <c r="B25" s="1158" t="s">
        <v>3130</v>
      </c>
      <c r="C25" s="1158" t="s">
        <v>3131</v>
      </c>
      <c r="D25" s="349" t="s">
        <v>3120</v>
      </c>
      <c r="E25" s="1159">
        <f>'Baseline Parameter'!E48</f>
        <v>0</v>
      </c>
      <c r="F25" s="1159" t="e">
        <f>'Baseline Parameter'!F48</f>
        <v>#DIV/0!</v>
      </c>
    </row>
    <row r="26" ht="13.9" customHeight="1" spans="1:6" x14ac:dyDescent="0.25">
      <c r="A26" s="443" t="s">
        <v>686</v>
      </c>
      <c r="B26" s="1158" t="s">
        <v>3132</v>
      </c>
      <c r="C26" s="1158" t="s">
        <v>3133</v>
      </c>
      <c r="D26" s="349" t="s">
        <v>3120</v>
      </c>
      <c r="E26" s="1159">
        <f>'Baseline Parameter'!E49</f>
        <v>0</v>
      </c>
      <c r="F26" s="1159" t="e">
        <f>'Baseline Parameter'!F49</f>
        <v>#DIV/0!</v>
      </c>
    </row>
    <row r="27" ht="14.5" customHeight="1" spans="1:6" x14ac:dyDescent="0.25">
      <c r="A27" s="443" t="s">
        <v>688</v>
      </c>
      <c r="B27" s="1158" t="s">
        <v>3134</v>
      </c>
      <c r="C27" s="1158" t="s">
        <v>3135</v>
      </c>
      <c r="D27" s="349" t="s">
        <v>3120</v>
      </c>
      <c r="E27" s="1159">
        <f>'Baseline Parameter'!E50</f>
        <v>0</v>
      </c>
      <c r="F27" s="1159" t="e">
        <f>'Baseline Parameter'!F50</f>
        <v>#DIV/0!</v>
      </c>
    </row>
    <row r="28" spans="1:6" x14ac:dyDescent="0.25">
      <c r="A28" s="1234" t="s">
        <v>743</v>
      </c>
      <c r="B28" s="486" t="s">
        <v>3136</v>
      </c>
      <c r="C28" s="486"/>
      <c r="D28" s="486"/>
      <c r="E28" s="296"/>
      <c r="F28" s="296"/>
    </row>
    <row r="29" spans="1:6" x14ac:dyDescent="0.25">
      <c r="A29" s="1234" t="s">
        <v>2120</v>
      </c>
      <c r="B29" s="349" t="s">
        <v>3137</v>
      </c>
      <c r="C29" s="349" t="s">
        <v>3138</v>
      </c>
      <c r="D29" s="349" t="s">
        <v>1826</v>
      </c>
      <c r="E29" s="296">
        <f>'Baseline Parameter'!E52</f>
        <v>0</v>
      </c>
      <c r="F29" s="296" t="e">
        <f>'Baseline Parameter'!F52</f>
        <v>#DIV/0!</v>
      </c>
    </row>
    <row r="30" spans="1:6" x14ac:dyDescent="0.25">
      <c r="A30" s="1234" t="s">
        <v>2150</v>
      </c>
      <c r="B30" s="349" t="s">
        <v>3139</v>
      </c>
      <c r="C30" s="349" t="s">
        <v>3140</v>
      </c>
      <c r="D30" s="349" t="s">
        <v>1826</v>
      </c>
      <c r="E30" s="296">
        <f>'Baseline Parameter'!E53</f>
        <v>0</v>
      </c>
      <c r="F30" s="296" t="e">
        <f>'Baseline Parameter'!F53</f>
        <v>#DIV/0!</v>
      </c>
    </row>
    <row r="31" spans="1:6" x14ac:dyDescent="0.25">
      <c r="A31" s="1234" t="s">
        <v>2163</v>
      </c>
      <c r="B31" s="349" t="s">
        <v>3141</v>
      </c>
      <c r="C31" s="349" t="s">
        <v>3142</v>
      </c>
      <c r="D31" s="349" t="s">
        <v>1826</v>
      </c>
      <c r="E31" s="296">
        <f>'Baseline Parameter'!E54</f>
        <v>0</v>
      </c>
      <c r="F31" s="296" t="e">
        <f>'Baseline Parameter'!F54</f>
        <v>#DIV/0!</v>
      </c>
    </row>
    <row r="32" spans="1:6" x14ac:dyDescent="0.25">
      <c r="A32" s="1234" t="s">
        <v>2173</v>
      </c>
      <c r="B32" s="349" t="s">
        <v>3143</v>
      </c>
      <c r="C32" s="349" t="s">
        <v>3144</v>
      </c>
      <c r="D32" s="349" t="s">
        <v>1826</v>
      </c>
      <c r="E32" s="296">
        <f>'Baseline Parameter'!E55</f>
        <v>0</v>
      </c>
      <c r="F32" s="296" t="e">
        <f>'Baseline Parameter'!F55</f>
        <v>#DIV/0!</v>
      </c>
    </row>
    <row r="33" spans="1:6" s="274" customFormat="1" x14ac:dyDescent="0.25">
      <c r="A33" s="1235" t="s">
        <v>2177</v>
      </c>
      <c r="B33" s="486" t="s">
        <v>3145</v>
      </c>
      <c r="C33" s="486"/>
      <c r="D33" s="486" t="s">
        <v>1826</v>
      </c>
      <c r="E33" s="650">
        <f>SUM(E29:E32)</f>
        <v>0</v>
      </c>
      <c r="F33" s="650" t="e">
        <f>SUM(F29:F32)</f>
        <v>#DIV/0!</v>
      </c>
    </row>
    <row r="34" spans="1:6" s="274" customFormat="1" x14ac:dyDescent="0.25">
      <c r="A34" s="1235" t="s">
        <v>1058</v>
      </c>
      <c r="B34" s="1236" t="s">
        <v>3146</v>
      </c>
      <c r="C34" s="1236"/>
      <c r="D34" s="1236"/>
      <c r="E34" s="650"/>
      <c r="F34" s="650"/>
    </row>
    <row r="35" spans="1:6" x14ac:dyDescent="0.25">
      <c r="A35" s="1234" t="s">
        <v>1059</v>
      </c>
      <c r="B35" s="349" t="s">
        <v>3147</v>
      </c>
      <c r="C35" s="753" t="s">
        <v>3148</v>
      </c>
      <c r="D35" s="753" t="s">
        <v>2079</v>
      </c>
      <c r="E35" s="1232">
        <f t="shared" ref="E35:E41" si="0">IFERROR(E21/$E$20,0)</f>
        <v>0.7277963903460881</v>
      </c>
      <c r="F35" s="1232">
        <f>IFERROR(IF(E20=0,F21/$E$20,E35),0)</f>
        <v>0.7277963903460881</v>
      </c>
    </row>
    <row r="36" spans="1:6" x14ac:dyDescent="0.25">
      <c r="A36" s="1234" t="s">
        <v>2237</v>
      </c>
      <c r="B36" s="349" t="s">
        <v>3149</v>
      </c>
      <c r="C36" s="753" t="s">
        <v>3150</v>
      </c>
      <c r="D36" s="753" t="s">
        <v>2079</v>
      </c>
      <c r="E36" s="1232">
        <f t="shared" si="0"/>
        <v>0</v>
      </c>
      <c r="F36" s="1232">
        <f t="shared" ref="F36:F41" si="1">IFERROR(IF(E21=0,F22/$E$20,E36),0)</f>
        <v>0</v>
      </c>
    </row>
    <row r="37" spans="1:6" x14ac:dyDescent="0.25">
      <c r="A37" s="1234" t="s">
        <v>2247</v>
      </c>
      <c r="B37" s="349" t="s">
        <v>3151</v>
      </c>
      <c r="C37" s="753" t="s">
        <v>3152</v>
      </c>
      <c r="D37" s="753" t="s">
        <v>2079</v>
      </c>
      <c r="E37" s="1232">
        <f t="shared" si="0"/>
        <v>0</v>
      </c>
      <c r="F37" s="1232">
        <f t="shared" si="1"/>
        <v>0</v>
      </c>
    </row>
    <row r="38" spans="1:6" x14ac:dyDescent="0.25">
      <c r="A38" s="1234" t="s">
        <v>2253</v>
      </c>
      <c r="B38" s="349" t="s">
        <v>3153</v>
      </c>
      <c r="C38" s="753" t="s">
        <v>3154</v>
      </c>
      <c r="D38" s="753" t="s">
        <v>2079</v>
      </c>
      <c r="E38" s="1232">
        <f t="shared" si="0"/>
        <v>0</v>
      </c>
      <c r="F38" s="1232">
        <f t="shared" si="1"/>
        <v>0</v>
      </c>
    </row>
    <row r="39" ht="28" customHeight="1" spans="1:6" x14ac:dyDescent="0.25">
      <c r="A39" s="1234" t="s">
        <v>2266</v>
      </c>
      <c r="B39" s="349" t="s">
        <v>3155</v>
      </c>
      <c r="C39" s="753" t="s">
        <v>3156</v>
      </c>
      <c r="D39" s="753" t="s">
        <v>2079</v>
      </c>
      <c r="E39" s="1232">
        <f t="shared" si="0"/>
        <v>0</v>
      </c>
      <c r="F39" s="1232">
        <f t="shared" si="1"/>
        <v>0</v>
      </c>
    </row>
    <row r="40" ht="28" customHeight="1" spans="1:6" x14ac:dyDescent="0.25">
      <c r="A40" s="1234" t="s">
        <v>1095</v>
      </c>
      <c r="B40" s="349" t="s">
        <v>3157</v>
      </c>
      <c r="C40" s="753" t="s">
        <v>3158</v>
      </c>
      <c r="D40" s="753" t="s">
        <v>2079</v>
      </c>
      <c r="E40" s="1232">
        <f t="shared" si="0"/>
        <v>0</v>
      </c>
      <c r="F40" s="1232">
        <f t="shared" si="1"/>
        <v>0</v>
      </c>
    </row>
    <row r="41" ht="28" customHeight="1" spans="1:6" x14ac:dyDescent="0.25">
      <c r="A41" s="1234" t="s">
        <v>1106</v>
      </c>
      <c r="B41" s="349" t="s">
        <v>3159</v>
      </c>
      <c r="C41" s="753" t="s">
        <v>3160</v>
      </c>
      <c r="D41" s="753" t="s">
        <v>2079</v>
      </c>
      <c r="E41" s="1232">
        <f t="shared" si="0"/>
        <v>0</v>
      </c>
      <c r="F41" s="1232">
        <f t="shared" si="1"/>
        <v>0</v>
      </c>
    </row>
    <row r="42" spans="1:6" s="274" customFormat="1" x14ac:dyDescent="0.25">
      <c r="A42" s="1235" t="s">
        <v>373</v>
      </c>
      <c r="B42" s="486" t="s">
        <v>3161</v>
      </c>
      <c r="C42" s="1236"/>
      <c r="D42" s="1236"/>
      <c r="E42" s="650"/>
      <c r="F42" s="650"/>
    </row>
    <row r="43" spans="1:6" x14ac:dyDescent="0.25">
      <c r="A43" s="1234" t="s">
        <v>375</v>
      </c>
      <c r="B43" s="349" t="s">
        <v>3162</v>
      </c>
      <c r="C43" s="753" t="s">
        <v>3163</v>
      </c>
      <c r="D43" s="753"/>
      <c r="E43" s="296">
        <f>E8</f>
        <v>561459</v>
      </c>
      <c r="F43" s="296">
        <f>F8</f>
        <v>0</v>
      </c>
    </row>
    <row r="44" spans="1:6" x14ac:dyDescent="0.25">
      <c r="A44" s="1234" t="s">
        <v>1115</v>
      </c>
      <c r="B44" s="349" t="s">
        <v>3121</v>
      </c>
      <c r="C44" s="753" t="s">
        <v>3164</v>
      </c>
      <c r="D44" s="753" t="s">
        <v>1456</v>
      </c>
      <c r="E44" s="296">
        <f>E7*E35</f>
        <v>411641.63837974746</v>
      </c>
      <c r="F44" s="296">
        <f>F7*F35</f>
        <v>0</v>
      </c>
    </row>
    <row r="45" spans="1:6" x14ac:dyDescent="0.25">
      <c r="A45" s="1234" t="s">
        <v>1121</v>
      </c>
      <c r="B45" s="349" t="s">
        <v>3124</v>
      </c>
      <c r="C45" s="753" t="s">
        <v>3165</v>
      </c>
      <c r="D45" s="753" t="s">
        <v>1456</v>
      </c>
      <c r="E45" s="296">
        <f t="shared" ref="E45:E50" si="2">E9*E36</f>
        <v>0</v>
      </c>
      <c r="F45" s="296">
        <f t="shared" ref="F45:F50" si="3">F9*F36</f>
        <v>0</v>
      </c>
    </row>
    <row r="46" spans="1:6" x14ac:dyDescent="0.25">
      <c r="A46" s="1234" t="s">
        <v>1122</v>
      </c>
      <c r="B46" s="349" t="s">
        <v>3126</v>
      </c>
      <c r="C46" s="753" t="s">
        <v>3166</v>
      </c>
      <c r="D46" s="753" t="s">
        <v>1456</v>
      </c>
      <c r="E46" s="296">
        <f t="shared" si="2"/>
        <v>0</v>
      </c>
      <c r="F46" s="296">
        <f t="shared" si="3"/>
        <v>0</v>
      </c>
    </row>
    <row r="47" spans="1:6" x14ac:dyDescent="0.25">
      <c r="A47" s="1234" t="s">
        <v>2321</v>
      </c>
      <c r="B47" s="349" t="s">
        <v>3128</v>
      </c>
      <c r="C47" s="753" t="s">
        <v>3167</v>
      </c>
      <c r="D47" s="753" t="s">
        <v>1456</v>
      </c>
      <c r="E47" s="296">
        <f t="shared" si="2"/>
        <v>0</v>
      </c>
      <c r="F47" s="296">
        <f t="shared" si="3"/>
        <v>0</v>
      </c>
    </row>
    <row r="48" spans="1:6" x14ac:dyDescent="0.25">
      <c r="A48" s="1234" t="s">
        <v>897</v>
      </c>
      <c r="B48" s="349" t="s">
        <v>3130</v>
      </c>
      <c r="C48" s="753" t="s">
        <v>3168</v>
      </c>
      <c r="D48" s="753" t="s">
        <v>1456</v>
      </c>
      <c r="E48" s="296">
        <f t="shared" si="2"/>
        <v>0</v>
      </c>
      <c r="F48" s="296">
        <f t="shared" si="3"/>
        <v>0</v>
      </c>
    </row>
    <row r="49" spans="1:6" x14ac:dyDescent="0.25">
      <c r="A49" s="1234" t="s">
        <v>922</v>
      </c>
      <c r="B49" s="349" t="s">
        <v>3132</v>
      </c>
      <c r="C49" s="753" t="s">
        <v>3169</v>
      </c>
      <c r="D49" s="753" t="s">
        <v>1456</v>
      </c>
      <c r="E49" s="296">
        <f t="shared" si="2"/>
        <v>0</v>
      </c>
      <c r="F49" s="296">
        <f t="shared" si="3"/>
        <v>0</v>
      </c>
    </row>
    <row r="50" spans="1:6" x14ac:dyDescent="0.25">
      <c r="A50" s="1234" t="s">
        <v>924</v>
      </c>
      <c r="B50" s="349" t="s">
        <v>3134</v>
      </c>
      <c r="C50" s="753" t="s">
        <v>3170</v>
      </c>
      <c r="D50" s="753" t="s">
        <v>1456</v>
      </c>
      <c r="E50" s="296">
        <f t="shared" si="2"/>
        <v>0</v>
      </c>
      <c r="F50" s="296">
        <f t="shared" si="3"/>
        <v>0</v>
      </c>
    </row>
    <row r="51" ht="70" customHeight="1" spans="1:6" s="274" customFormat="1" x14ac:dyDescent="0.25">
      <c r="A51" s="1237" t="s">
        <v>942</v>
      </c>
      <c r="B51" s="1238" t="s">
        <v>3171</v>
      </c>
      <c r="C51" s="1238" t="s">
        <v>3172</v>
      </c>
      <c r="D51" s="1238" t="s">
        <v>1456</v>
      </c>
      <c r="E51" s="1239">
        <f>IF(E43=0,SUM(E44:E50),(SUM(E43:E50)-E44))</f>
        <v>561459</v>
      </c>
      <c r="F51" s="1239">
        <f>IF(F43=0,SUM(F44:F50),(SUM(F43:F50)-F44))</f>
        <v>0</v>
      </c>
    </row>
    <row r="52" spans="1:6" x14ac:dyDescent="0.25">
      <c r="A52" s="1234"/>
      <c r="B52" s="753"/>
      <c r="C52" s="753"/>
      <c r="D52" s="753"/>
      <c r="E52" s="296"/>
      <c r="F52" s="296"/>
    </row>
    <row r="53" spans="1:6" x14ac:dyDescent="0.25">
      <c r="A53" s="1240" t="s">
        <v>3173</v>
      </c>
      <c r="B53" s="1241"/>
      <c r="C53" s="1241"/>
      <c r="D53" s="1241"/>
      <c r="E53" s="1241"/>
      <c r="F53" s="1242"/>
    </row>
    <row r="54" spans="1:6" x14ac:dyDescent="0.25">
      <c r="A54" s="484" t="s">
        <v>54</v>
      </c>
      <c r="B54" s="399" t="s">
        <v>1888</v>
      </c>
      <c r="C54" s="1228"/>
      <c r="D54" s="1228"/>
      <c r="E54" s="1228"/>
      <c r="F54" s="1228"/>
    </row>
    <row r="55" spans="1:6" x14ac:dyDescent="0.25">
      <c r="A55" s="443" t="s">
        <v>3084</v>
      </c>
      <c r="B55" s="349" t="s">
        <v>3174</v>
      </c>
      <c r="C55" s="1158" t="s">
        <v>3175</v>
      </c>
      <c r="D55" s="349" t="s">
        <v>1456</v>
      </c>
      <c r="E55" s="1243">
        <f>'Baseline Parameter'!E31</f>
        <v>410661.738</v>
      </c>
      <c r="F55" s="1243">
        <f>'Baseline Parameter'!F31</f>
        <v>0</v>
      </c>
    </row>
    <row r="56" spans="1:6" x14ac:dyDescent="0.25">
      <c r="A56" s="443" t="s">
        <v>3086</v>
      </c>
      <c r="B56" s="349" t="s">
        <v>3176</v>
      </c>
      <c r="C56" s="1158" t="s">
        <v>3177</v>
      </c>
      <c r="D56" s="349" t="s">
        <v>1456</v>
      </c>
      <c r="E56" s="1243">
        <f>'Baseline Parameter'!E32</f>
        <v>381860.332</v>
      </c>
      <c r="F56" s="1243">
        <f>'Baseline Parameter'!F32</f>
        <v>0</v>
      </c>
    </row>
    <row r="57" spans="1:6" x14ac:dyDescent="0.25">
      <c r="A57" s="443" t="s">
        <v>3088</v>
      </c>
      <c r="B57" s="349" t="s">
        <v>3178</v>
      </c>
      <c r="C57" s="1158" t="s">
        <v>3179</v>
      </c>
      <c r="D57" s="349" t="s">
        <v>1456</v>
      </c>
      <c r="E57" s="1243">
        <f>'Baseline Parameter'!E33</f>
        <v>58980.666</v>
      </c>
      <c r="F57" s="1243">
        <f>'Baseline Parameter'!F33</f>
        <v>0</v>
      </c>
    </row>
    <row r="58" spans="1:6" x14ac:dyDescent="0.25">
      <c r="A58" s="443" t="s">
        <v>3091</v>
      </c>
      <c r="B58" s="349" t="s">
        <v>3180</v>
      </c>
      <c r="C58" s="1158" t="s">
        <v>3181</v>
      </c>
      <c r="D58" s="349" t="s">
        <v>1456</v>
      </c>
      <c r="E58" s="1243">
        <f>'Baseline Parameter'!E34</f>
        <v>210775.162</v>
      </c>
      <c r="F58" s="1243">
        <f>'Baseline Parameter'!F34</f>
        <v>0</v>
      </c>
    </row>
    <row r="59" spans="1:6" x14ac:dyDescent="0.25">
      <c r="A59" s="443" t="s">
        <v>3094</v>
      </c>
      <c r="B59" s="349" t="s">
        <v>3182</v>
      </c>
      <c r="C59" s="1158" t="s">
        <v>3183</v>
      </c>
      <c r="D59" s="349" t="s">
        <v>1456</v>
      </c>
      <c r="E59" s="1243">
        <f>'Baseline Parameter'!E35</f>
        <v>0</v>
      </c>
      <c r="F59" s="1243">
        <f>'Baseline Parameter'!F35</f>
        <v>0</v>
      </c>
    </row>
    <row r="60" spans="1:6" x14ac:dyDescent="0.25">
      <c r="A60" s="443" t="s">
        <v>3097</v>
      </c>
      <c r="B60" s="349" t="s">
        <v>3184</v>
      </c>
      <c r="C60" s="1158" t="s">
        <v>3185</v>
      </c>
      <c r="D60" s="349" t="s">
        <v>1456</v>
      </c>
      <c r="E60" s="1243">
        <f>'Baseline Parameter'!E36</f>
        <v>0</v>
      </c>
      <c r="F60" s="1243">
        <f>'Baseline Parameter'!F36</f>
        <v>0</v>
      </c>
    </row>
    <row r="61" spans="1:6" x14ac:dyDescent="0.25">
      <c r="A61" s="443" t="s">
        <v>3100</v>
      </c>
      <c r="B61" s="349" t="s">
        <v>3186</v>
      </c>
      <c r="C61" s="1158" t="s">
        <v>3187</v>
      </c>
      <c r="D61" s="349" t="s">
        <v>1456</v>
      </c>
      <c r="E61" s="1243">
        <f>'Baseline Parameter'!E37</f>
        <v>55481.148</v>
      </c>
      <c r="F61" s="1243">
        <f>'Baseline Parameter'!F37</f>
        <v>0</v>
      </c>
    </row>
    <row r="62" spans="1:6" x14ac:dyDescent="0.25">
      <c r="A62" s="443" t="s">
        <v>3103</v>
      </c>
      <c r="B62" s="349" t="s">
        <v>3188</v>
      </c>
      <c r="C62" s="1158" t="s">
        <v>3189</v>
      </c>
      <c r="D62" s="349" t="s">
        <v>1456</v>
      </c>
      <c r="E62" s="1243">
        <f>'Baseline Parameter'!E38</f>
        <v>76567.049</v>
      </c>
      <c r="F62" s="1243">
        <f>'Baseline Parameter'!F38</f>
        <v>0</v>
      </c>
    </row>
    <row r="63" spans="1:6" x14ac:dyDescent="0.25">
      <c r="A63" s="443" t="s">
        <v>3106</v>
      </c>
      <c r="B63" s="349" t="s">
        <v>3190</v>
      </c>
      <c r="C63" s="1158" t="s">
        <v>3191</v>
      </c>
      <c r="D63" s="349" t="s">
        <v>1456</v>
      </c>
      <c r="E63" s="1243">
        <f>'Baseline Parameter'!E39</f>
        <v>42078.393</v>
      </c>
      <c r="F63" s="1243">
        <f>'Baseline Parameter'!F39</f>
        <v>0</v>
      </c>
    </row>
    <row r="64" spans="1:6" s="274" customFormat="1" x14ac:dyDescent="0.25">
      <c r="A64" s="484" t="s">
        <v>459</v>
      </c>
      <c r="B64" s="399" t="s">
        <v>1936</v>
      </c>
      <c r="C64" s="1228"/>
      <c r="D64" s="1228"/>
      <c r="E64" s="1228"/>
      <c r="F64" s="1228"/>
    </row>
    <row r="65" ht="15.75" customHeight="1" spans="1:6" x14ac:dyDescent="0.25">
      <c r="A65" s="443" t="s">
        <v>461</v>
      </c>
      <c r="B65" s="349" t="s">
        <v>3192</v>
      </c>
      <c r="C65" s="1158" t="s">
        <v>3193</v>
      </c>
      <c r="D65" s="349" t="s">
        <v>3120</v>
      </c>
      <c r="E65" s="296">
        <f>'Baseline Parameter'!E58</f>
        <v>44.85246298727394</v>
      </c>
      <c r="F65" s="296" t="e">
        <f>'Baseline Parameter'!F58</f>
        <v>#DIV/0!</v>
      </c>
    </row>
    <row r="66" ht="15.75" customHeight="1" spans="1:6" x14ac:dyDescent="0.25">
      <c r="A66" s="443" t="s">
        <v>2023</v>
      </c>
      <c r="B66" s="349" t="s">
        <v>3194</v>
      </c>
      <c r="C66" s="1158" t="s">
        <v>3195</v>
      </c>
      <c r="D66" s="349" t="s">
        <v>3120</v>
      </c>
      <c r="E66" s="296">
        <f>'Baseline Parameter'!E59</f>
        <v>1.3750583510766246</v>
      </c>
      <c r="F66" s="296" t="e">
        <f>'Baseline Parameter'!F59</f>
        <v>#DIV/0!</v>
      </c>
    </row>
    <row r="67" ht="15.75" customHeight="1" spans="1:6" x14ac:dyDescent="0.25">
      <c r="A67" s="443" t="s">
        <v>3123</v>
      </c>
      <c r="B67" s="349" t="s">
        <v>3196</v>
      </c>
      <c r="C67" s="1158" t="s">
        <v>3197</v>
      </c>
      <c r="D67" s="349" t="s">
        <v>3120</v>
      </c>
      <c r="E67" s="296">
        <f>'Baseline Parameter'!E60</f>
        <v>0.10192863148946821</v>
      </c>
      <c r="F67" s="296" t="e">
        <f>'Baseline Parameter'!F60</f>
        <v>#DIV/0!</v>
      </c>
    </row>
    <row r="68" ht="15.75" customHeight="1" spans="1:6" x14ac:dyDescent="0.25">
      <c r="A68" s="443" t="s">
        <v>676</v>
      </c>
      <c r="B68" s="349" t="s">
        <v>3198</v>
      </c>
      <c r="C68" s="1158" t="s">
        <v>3199</v>
      </c>
      <c r="D68" s="349" t="s">
        <v>3120</v>
      </c>
      <c r="E68" s="296">
        <f>'Baseline Parameter'!E61</f>
        <v>0</v>
      </c>
      <c r="F68" s="296" t="e">
        <f>'Baseline Parameter'!F61</f>
        <v>#DIV/0!</v>
      </c>
    </row>
    <row r="69" spans="1:6" x14ac:dyDescent="0.25">
      <c r="A69" s="443" t="s">
        <v>680</v>
      </c>
      <c r="B69" s="349" t="s">
        <v>3200</v>
      </c>
      <c r="C69" s="1158" t="s">
        <v>3201</v>
      </c>
      <c r="D69" s="349" t="s">
        <v>3120</v>
      </c>
      <c r="E69" s="296">
        <f>'Baseline Parameter'!E62</f>
        <v>0</v>
      </c>
      <c r="F69" s="296" t="e">
        <f>'Baseline Parameter'!F62</f>
        <v>#DIV/0!</v>
      </c>
    </row>
    <row r="70" ht="15.75" customHeight="1" spans="1:6" x14ac:dyDescent="0.25">
      <c r="A70" s="443" t="s">
        <v>684</v>
      </c>
      <c r="B70" s="349" t="s">
        <v>3202</v>
      </c>
      <c r="C70" s="1158" t="s">
        <v>3203</v>
      </c>
      <c r="D70" s="349" t="s">
        <v>3120</v>
      </c>
      <c r="E70" s="1244">
        <f>'Baseline Parameter'!E63</f>
        <v>0.47047072137388796</v>
      </c>
      <c r="F70" s="296" t="e">
        <f>'Baseline Parameter'!F63</f>
        <v>#DIV/0!</v>
      </c>
    </row>
    <row r="71" ht="18" customHeight="1" spans="1:6" x14ac:dyDescent="0.25">
      <c r="A71" s="443" t="s">
        <v>686</v>
      </c>
      <c r="B71" s="349" t="s">
        <v>3204</v>
      </c>
      <c r="C71" s="1158" t="s">
        <v>3205</v>
      </c>
      <c r="D71" s="349" t="s">
        <v>3120</v>
      </c>
      <c r="E71" s="1232">
        <f>'Baseline Parameter'!E64</f>
        <v>4.172637406164195</v>
      </c>
      <c r="F71" s="296" t="e">
        <f>'Baseline Parameter'!F64</f>
        <v>#DIV/0!</v>
      </c>
    </row>
    <row r="72" ht="28" customHeight="1" spans="1:6" x14ac:dyDescent="0.25">
      <c r="A72" s="443" t="s">
        <v>688</v>
      </c>
      <c r="B72" s="349" t="s">
        <v>3206</v>
      </c>
      <c r="C72" s="1158" t="s">
        <v>3207</v>
      </c>
      <c r="D72" s="349" t="s">
        <v>3120</v>
      </c>
      <c r="E72" s="296">
        <f>'Baseline Parameter'!E65</f>
        <v>2.9233330716687385</v>
      </c>
      <c r="F72" s="296" t="e">
        <f>'Baseline Parameter'!F65</f>
        <v>#DIV/0!</v>
      </c>
    </row>
    <row r="73" spans="1:6" s="274" customFormat="1" x14ac:dyDescent="0.25">
      <c r="A73" s="484" t="s">
        <v>743</v>
      </c>
      <c r="B73" s="399" t="s">
        <v>3146</v>
      </c>
      <c r="C73" s="1228"/>
      <c r="D73" s="1228"/>
      <c r="E73" s="1228"/>
      <c r="F73" s="1228"/>
    </row>
    <row r="74" spans="1:6" x14ac:dyDescent="0.25">
      <c r="A74" s="293" t="s">
        <v>2120</v>
      </c>
      <c r="B74" s="349" t="s">
        <v>3208</v>
      </c>
      <c r="C74" s="349" t="s">
        <v>3209</v>
      </c>
      <c r="D74" s="349" t="s">
        <v>2079</v>
      </c>
      <c r="E74" s="1245">
        <f>IFERROR(E66/$E$65,0)</f>
        <v>0.03065736549332357</v>
      </c>
      <c r="F74" s="1245">
        <f>IFERROR(IF(E66=0,F66/$E$65,E74),0)</f>
        <v>0.03065736549332357</v>
      </c>
    </row>
    <row r="75" spans="1:6" x14ac:dyDescent="0.25">
      <c r="A75" s="293" t="s">
        <v>2150</v>
      </c>
      <c r="B75" s="349" t="s">
        <v>3210</v>
      </c>
      <c r="C75" s="349" t="s">
        <v>3211</v>
      </c>
      <c r="D75" s="349" t="s">
        <v>2079</v>
      </c>
      <c r="E75" s="1245">
        <f t="shared" ref="E75:E80" si="4">IFERROR(E67/$E$65,0)</f>
        <v>0.00227253142192857</v>
      </c>
      <c r="F75" s="1245">
        <f t="shared" ref="F75:F80" si="5">IFERROR(IF(E67=0,F67/$E$65,E75),0)</f>
        <v>0.00227253142192857</v>
      </c>
    </row>
    <row r="76" spans="1:6" x14ac:dyDescent="0.25">
      <c r="A76" s="293" t="s">
        <v>2163</v>
      </c>
      <c r="B76" s="349" t="s">
        <v>3212</v>
      </c>
      <c r="C76" s="349" t="s">
        <v>3213</v>
      </c>
      <c r="D76" s="349" t="s">
        <v>2079</v>
      </c>
      <c r="E76" s="1245">
        <f t="shared" si="4"/>
        <v>0</v>
      </c>
      <c r="F76" s="1245">
        <f t="shared" si="5"/>
        <v>0</v>
      </c>
    </row>
    <row r="77" spans="1:6" x14ac:dyDescent="0.25">
      <c r="A77" s="293" t="s">
        <v>2173</v>
      </c>
      <c r="B77" s="349" t="s">
        <v>3214</v>
      </c>
      <c r="C77" s="349" t="s">
        <v>3215</v>
      </c>
      <c r="D77" s="349" t="s">
        <v>2079</v>
      </c>
      <c r="E77" s="1245">
        <f t="shared" si="4"/>
        <v>0</v>
      </c>
      <c r="F77" s="1245">
        <f t="shared" si="5"/>
        <v>0</v>
      </c>
    </row>
    <row r="78" spans="1:6" x14ac:dyDescent="0.25">
      <c r="A78" s="293" t="s">
        <v>2177</v>
      </c>
      <c r="B78" s="349" t="s">
        <v>3216</v>
      </c>
      <c r="C78" s="349" t="s">
        <v>3217</v>
      </c>
      <c r="D78" s="349" t="s">
        <v>2079</v>
      </c>
      <c r="E78" s="1245">
        <f t="shared" si="4"/>
        <v>0.010489295125384204</v>
      </c>
      <c r="F78" s="1245">
        <f t="shared" si="5"/>
        <v>0.010489295125384204</v>
      </c>
    </row>
    <row r="79" spans="1:6" x14ac:dyDescent="0.25">
      <c r="A79" s="293" t="s">
        <v>1036</v>
      </c>
      <c r="B79" s="349" t="s">
        <v>3218</v>
      </c>
      <c r="C79" s="349" t="s">
        <v>3219</v>
      </c>
      <c r="D79" s="349" t="s">
        <v>2079</v>
      </c>
      <c r="E79" s="1245">
        <f t="shared" si="4"/>
        <v>0.09303028481062688</v>
      </c>
      <c r="F79" s="1245">
        <f t="shared" si="5"/>
        <v>0.09303028481062688</v>
      </c>
    </row>
    <row r="80" spans="1:6" x14ac:dyDescent="0.25">
      <c r="A80" s="293" t="s">
        <v>1044</v>
      </c>
      <c r="B80" s="349" t="s">
        <v>3220</v>
      </c>
      <c r="C80" s="349" t="s">
        <v>3221</v>
      </c>
      <c r="D80" s="349" t="s">
        <v>2079</v>
      </c>
      <c r="E80" s="1245">
        <f t="shared" si="4"/>
        <v>0.06517664531595914</v>
      </c>
      <c r="F80" s="1245">
        <f t="shared" si="5"/>
        <v>0.06517664531595914</v>
      </c>
    </row>
    <row r="81" spans="1:6" s="274" customFormat="1" x14ac:dyDescent="0.25">
      <c r="A81" s="414" t="s">
        <v>1058</v>
      </c>
      <c r="B81" s="399" t="s">
        <v>3222</v>
      </c>
      <c r="C81" s="1228"/>
      <c r="D81" s="1228"/>
      <c r="E81" s="1228"/>
      <c r="F81" s="1228"/>
    </row>
    <row r="82" spans="1:6" x14ac:dyDescent="0.25">
      <c r="A82" s="293" t="s">
        <v>1059</v>
      </c>
      <c r="B82" s="349" t="s">
        <v>3223</v>
      </c>
      <c r="C82" s="349" t="s">
        <v>3224</v>
      </c>
      <c r="D82" s="1231" t="s">
        <v>1456</v>
      </c>
      <c r="E82" s="1243">
        <f>E55</f>
        <v>410661.738</v>
      </c>
      <c r="F82" s="1243">
        <f>F55</f>
        <v>0</v>
      </c>
    </row>
    <row r="83" spans="1:6" x14ac:dyDescent="0.25">
      <c r="A83" s="293" t="s">
        <v>2237</v>
      </c>
      <c r="B83" s="349" t="s">
        <v>3225</v>
      </c>
      <c r="C83" s="349" t="s">
        <v>3226</v>
      </c>
      <c r="D83" s="1231" t="s">
        <v>1456</v>
      </c>
      <c r="E83" s="1243">
        <f t="shared" ref="E83:F85" si="6">E57*E74</f>
        <v>1808.1918346016425</v>
      </c>
      <c r="F83" s="1243">
        <f t="shared" si="6"/>
        <v>0</v>
      </c>
    </row>
    <row r="84" spans="1:6" x14ac:dyDescent="0.25">
      <c r="A84" s="293" t="s">
        <v>2247</v>
      </c>
      <c r="B84" s="349" t="s">
        <v>3227</v>
      </c>
      <c r="C84" s="349" t="s">
        <v>3228</v>
      </c>
      <c r="D84" s="1231" t="s">
        <v>1456</v>
      </c>
      <c r="E84" s="1243">
        <f t="shared" si="6"/>
        <v>478.99317860708476</v>
      </c>
      <c r="F84" s="1243">
        <f t="shared" si="6"/>
        <v>0</v>
      </c>
    </row>
    <row r="85" spans="1:6" x14ac:dyDescent="0.25">
      <c r="A85" s="293" t="s">
        <v>2253</v>
      </c>
      <c r="B85" s="349" t="s">
        <v>3229</v>
      </c>
      <c r="C85" s="349" t="s">
        <v>3230</v>
      </c>
      <c r="D85" s="1231" t="s">
        <v>1456</v>
      </c>
      <c r="E85" s="1243">
        <f t="shared" si="6"/>
        <v>0</v>
      </c>
      <c r="F85" s="1243">
        <f t="shared" si="6"/>
        <v>0</v>
      </c>
    </row>
    <row r="86" ht="28" customHeight="1" spans="1:6" x14ac:dyDescent="0.25">
      <c r="A86" s="293" t="s">
        <v>2266</v>
      </c>
      <c r="B86" s="349" t="s">
        <v>3231</v>
      </c>
      <c r="C86" s="349" t="s">
        <v>3232</v>
      </c>
      <c r="D86" s="1231" t="s">
        <v>1456</v>
      </c>
      <c r="E86" s="1243">
        <f t="shared" ref="E86:F89" si="7">E60*E77</f>
        <v>0</v>
      </c>
      <c r="F86" s="1243">
        <f t="shared" si="7"/>
        <v>0</v>
      </c>
    </row>
    <row r="87" ht="28" customHeight="1" spans="1:6" x14ac:dyDescent="0.25">
      <c r="A87" s="293" t="s">
        <v>1095</v>
      </c>
      <c r="B87" s="349" t="s">
        <v>3233</v>
      </c>
      <c r="C87" s="349" t="s">
        <v>3234</v>
      </c>
      <c r="D87" s="1231" t="s">
        <v>1456</v>
      </c>
      <c r="E87" s="1243">
        <f t="shared" si="7"/>
        <v>581.9581352671196</v>
      </c>
      <c r="F87" s="1243">
        <f t="shared" si="7"/>
        <v>0</v>
      </c>
    </row>
    <row r="88" spans="1:6" x14ac:dyDescent="0.25">
      <c r="A88" s="293" t="s">
        <v>1106</v>
      </c>
      <c r="B88" s="349" t="s">
        <v>3235</v>
      </c>
      <c r="C88" s="349" t="s">
        <v>3236</v>
      </c>
      <c r="D88" s="1231" t="s">
        <v>1456</v>
      </c>
      <c r="E88" s="1243">
        <f t="shared" si="7"/>
        <v>7123.054375579223</v>
      </c>
      <c r="F88" s="1243">
        <f t="shared" si="7"/>
        <v>0</v>
      </c>
    </row>
    <row r="89" spans="1:6" x14ac:dyDescent="0.25">
      <c r="A89" s="293" t="s">
        <v>1107</v>
      </c>
      <c r="B89" s="349" t="s">
        <v>3237</v>
      </c>
      <c r="C89" s="349" t="s">
        <v>3238</v>
      </c>
      <c r="D89" s="1231" t="s">
        <v>1456</v>
      </c>
      <c r="E89" s="293">
        <f t="shared" si="7"/>
        <v>2742.5284960265376</v>
      </c>
      <c r="F89" s="293">
        <f t="shared" si="7"/>
        <v>0</v>
      </c>
    </row>
    <row r="90" ht="27.65" customHeight="1" spans="1:6" s="274" customFormat="1" x14ac:dyDescent="0.25">
      <c r="A90" s="439" t="s">
        <v>373</v>
      </c>
      <c r="B90" s="565" t="s">
        <v>3239</v>
      </c>
      <c r="C90" s="565" t="s">
        <v>3240</v>
      </c>
      <c r="D90" s="692" t="s">
        <v>1456</v>
      </c>
      <c r="E90" s="1246">
        <f>SUM(E82:E89)</f>
        <v>423396.4640200816</v>
      </c>
      <c r="F90" s="1246">
        <f>SUM(F82:F89)</f>
        <v>0</v>
      </c>
    </row>
    <row r="91" ht="23.25" customHeight="1" spans="1:6" x14ac:dyDescent="0.25">
      <c r="A91" s="1247" t="s">
        <v>3241</v>
      </c>
      <c r="B91" s="1247"/>
      <c r="C91" s="1247"/>
      <c r="D91" s="1247"/>
      <c r="E91" s="1247"/>
      <c r="F91" s="1247"/>
    </row>
    <row r="92" ht="14.5" customHeight="1" spans="1:6" x14ac:dyDescent="0.25">
      <c r="A92" s="1248" t="s">
        <v>942</v>
      </c>
      <c r="B92" s="1249" t="s">
        <v>3242</v>
      </c>
      <c r="C92" s="1250"/>
      <c r="D92" s="1250"/>
      <c r="E92" s="1250"/>
      <c r="F92" s="1251"/>
    </row>
    <row r="93" ht="14.5" customHeight="1" spans="1:6" x14ac:dyDescent="0.25">
      <c r="A93" s="1248" t="s">
        <v>944</v>
      </c>
      <c r="B93" s="1249" t="s">
        <v>3243</v>
      </c>
      <c r="C93" s="1250"/>
      <c r="D93" s="1250"/>
      <c r="E93" s="1250"/>
      <c r="F93" s="1251"/>
    </row>
    <row r="94" ht="14.5" customHeight="1" spans="1:6" x14ac:dyDescent="0.25">
      <c r="A94" s="1248" t="s">
        <v>3244</v>
      </c>
      <c r="B94" s="1252" t="str">
        <f>' Summary Sheet'!B20</f>
        <v>Total Hydrate Aluminia Import</v>
      </c>
      <c r="C94" s="1253"/>
      <c r="D94" s="1254" t="str">
        <f>' Summary Sheet'!D20</f>
        <v>Tonne</v>
      </c>
      <c r="E94" s="1255">
        <f>' Summary Sheet'!E20</f>
        <v>0</v>
      </c>
      <c r="F94" s="1255">
        <f>' Summary Sheet'!F20</f>
        <v>0</v>
      </c>
    </row>
    <row r="95" ht="14.5" customHeight="1" spans="1:6" x14ac:dyDescent="0.25">
      <c r="A95" s="1248" t="s">
        <v>3245</v>
      </c>
      <c r="B95" s="1252" t="s">
        <v>3246</v>
      </c>
      <c r="C95" s="1253"/>
      <c r="D95" s="596" t="s">
        <v>3247</v>
      </c>
      <c r="E95" s="1255">
        <f>' Summary Sheet'!E48</f>
        <v>0</v>
      </c>
      <c r="F95" s="1255" t="e">
        <f>' Summary Sheet'!F48</f>
        <v>#DIV/0!</v>
      </c>
    </row>
    <row r="96" ht="14.5" customHeight="1" spans="1:6" x14ac:dyDescent="0.25">
      <c r="A96" s="1248" t="s">
        <v>1139</v>
      </c>
      <c r="B96" s="1256" t="s">
        <v>3248</v>
      </c>
      <c r="C96" s="1252"/>
      <c r="D96" s="596" t="s">
        <v>2105</v>
      </c>
      <c r="E96" s="1257">
        <f>'Form Sa1'!H840</f>
        <v>0.402289544115975</v>
      </c>
      <c r="F96" s="1257">
        <f>'Form Sa1'!I840</f>
        <v>0</v>
      </c>
    </row>
    <row r="97" ht="28" customHeight="1" spans="1:6" x14ac:dyDescent="0.25">
      <c r="A97" s="1248" t="s">
        <v>3249</v>
      </c>
      <c r="B97" s="1258" t="s">
        <v>3250</v>
      </c>
      <c r="C97" s="1259"/>
      <c r="D97" s="1260" t="s">
        <v>1560</v>
      </c>
      <c r="E97" s="1260">
        <f>E95*E96</f>
        <v>0</v>
      </c>
      <c r="F97" s="1260" t="e">
        <f>F95*F96</f>
        <v>#DIV/0!</v>
      </c>
    </row>
    <row r="98" ht="28" customHeight="1" spans="1:6" x14ac:dyDescent="0.25">
      <c r="A98" s="1248" t="s">
        <v>970</v>
      </c>
      <c r="B98" s="1251" t="s">
        <v>3251</v>
      </c>
      <c r="C98" s="1261"/>
      <c r="D98" s="873"/>
      <c r="E98" s="873"/>
      <c r="F98" s="873"/>
    </row>
    <row r="99" ht="14.5" customHeight="1" spans="1:6" x14ac:dyDescent="0.25">
      <c r="A99" s="1248" t="s">
        <v>3252</v>
      </c>
      <c r="B99" s="1256" t="s">
        <v>3253</v>
      </c>
      <c r="C99" s="1252"/>
      <c r="D99" s="596" t="s">
        <v>1456</v>
      </c>
      <c r="E99" s="1255">
        <f>' Summary Sheet'!E19</f>
        <v>4046.512999999999</v>
      </c>
      <c r="F99" s="1255">
        <f>' Summary Sheet'!F19</f>
        <v>0</v>
      </c>
    </row>
    <row r="100" ht="14.5" customHeight="1" spans="1:6" x14ac:dyDescent="0.25">
      <c r="A100" s="1248" t="s">
        <v>3254</v>
      </c>
      <c r="B100" s="1256" t="s">
        <v>3255</v>
      </c>
      <c r="C100" s="1252"/>
      <c r="D100" s="596" t="s">
        <v>3120</v>
      </c>
      <c r="E100" s="1262">
        <f>'Baseline Parameter'!E43</f>
        <v>2.798510890404859</v>
      </c>
      <c r="F100" s="1262" t="e">
        <f>'Baseline Parameter'!F43</f>
        <v>#DIV/0!</v>
      </c>
    </row>
    <row r="101" ht="14.5" customHeight="1" spans="1:9" x14ac:dyDescent="0.25">
      <c r="A101" s="1248" t="s">
        <v>3256</v>
      </c>
      <c r="B101" s="1252" t="s">
        <v>3257</v>
      </c>
      <c r="C101" s="1263"/>
      <c r="D101" s="596" t="s">
        <v>3258</v>
      </c>
      <c r="E101" s="1255">
        <f>' Summary Sheet'!E47</f>
        <v>8241.71967000682</v>
      </c>
      <c r="F101" s="1255" t="e">
        <f>' Summary Sheet'!F47</f>
        <v>#DIV/0!</v>
      </c>
      <c r="I101" s="302"/>
    </row>
    <row r="102" ht="14.5" customHeight="1" spans="1:6" x14ac:dyDescent="0.25">
      <c r="A102" s="1248" t="s">
        <v>3259</v>
      </c>
      <c r="B102" s="1258" t="s">
        <v>3260</v>
      </c>
      <c r="C102" s="1258"/>
      <c r="D102" s="1128" t="s">
        <v>1456</v>
      </c>
      <c r="E102" s="1128">
        <f>IFERROR(E101/E100,0)</f>
        <v>2945.0375548885195</v>
      </c>
      <c r="F102" s="1128">
        <f>IFERROR(F101/F100,0)</f>
        <v>0</v>
      </c>
    </row>
    <row r="104" ht="14.5" customHeight="1" spans="1:6" x14ac:dyDescent="0.25">
      <c r="A104" s="1248" t="s">
        <v>942</v>
      </c>
      <c r="B104" s="1249" t="s">
        <v>3261</v>
      </c>
      <c r="C104" s="1250"/>
      <c r="D104" s="1250"/>
      <c r="E104" s="1250"/>
      <c r="F104" s="1251"/>
    </row>
    <row r="105" ht="14.5" customHeight="1" spans="1:6" x14ac:dyDescent="0.25">
      <c r="A105" s="1248" t="s">
        <v>944</v>
      </c>
      <c r="B105" s="1249" t="s">
        <v>3262</v>
      </c>
      <c r="C105" s="1250"/>
      <c r="D105" s="1250"/>
      <c r="E105" s="1250"/>
      <c r="F105" s="1251"/>
    </row>
    <row r="106" ht="14.5" customHeight="1" spans="1:6" s="870" customFormat="1" x14ac:dyDescent="0.25">
      <c r="A106" s="1248" t="s">
        <v>3244</v>
      </c>
      <c r="B106" s="1264" t="str">
        <f>' Summary Sheet'!B28</f>
        <v>Total Calcined Alumina Import (Intergated Process)</v>
      </c>
      <c r="C106" s="1253"/>
      <c r="D106" s="1265" t="str">
        <f>' Summary Sheet'!D27</f>
        <v>Tonne</v>
      </c>
      <c r="E106" s="1163">
        <f>' Summary Sheet'!E28</f>
        <v>244856.08999999997</v>
      </c>
      <c r="F106" s="1163">
        <f>' Summary Sheet'!F28</f>
        <v>0</v>
      </c>
    </row>
    <row r="107" ht="14.5" customHeight="1" spans="1:6" x14ac:dyDescent="0.25">
      <c r="A107" s="1248" t="s">
        <v>3245</v>
      </c>
      <c r="B107" s="1252" t="s">
        <v>3263</v>
      </c>
      <c r="C107" s="1253"/>
      <c r="D107" s="1265" t="s">
        <v>3247</v>
      </c>
      <c r="E107" s="1255">
        <f>' Summary Sheet'!E56</f>
        <v>685232.4344469522</v>
      </c>
      <c r="F107" s="1255" t="e">
        <f>' Summary Sheet'!F56</f>
        <v>#DIV/0!</v>
      </c>
    </row>
    <row r="108" ht="14.5" customHeight="1" spans="1:6" x14ac:dyDescent="0.25">
      <c r="A108" s="1248" t="s">
        <v>1139</v>
      </c>
      <c r="B108" s="1252" t="s">
        <v>3248</v>
      </c>
      <c r="C108" s="1252"/>
      <c r="D108" s="1265" t="s">
        <v>2105</v>
      </c>
      <c r="E108" s="1257">
        <f>E96</f>
        <v>0.402289544115975</v>
      </c>
      <c r="F108" s="1257">
        <f>F96</f>
        <v>0</v>
      </c>
    </row>
    <row r="109" ht="28" customHeight="1" spans="1:6" x14ac:dyDescent="0.25">
      <c r="A109" s="1248" t="s">
        <v>3249</v>
      </c>
      <c r="B109" s="1258" t="s">
        <v>3264</v>
      </c>
      <c r="C109" s="1259"/>
      <c r="D109" s="1260" t="s">
        <v>1560</v>
      </c>
      <c r="E109" s="1260">
        <f>E107*E108</f>
        <v>275661.84366714413</v>
      </c>
      <c r="F109" s="1260" t="e">
        <f>F107*F108</f>
        <v>#DIV/0!</v>
      </c>
    </row>
    <row r="110" ht="28" customHeight="1" spans="1:6" x14ac:dyDescent="0.25">
      <c r="A110" s="1248" t="s">
        <v>970</v>
      </c>
      <c r="B110" s="1251" t="s">
        <v>3251</v>
      </c>
      <c r="C110" s="1261"/>
      <c r="D110" s="873"/>
      <c r="E110" s="873"/>
      <c r="F110" s="873"/>
    </row>
    <row r="111" ht="31.5" customHeight="1" spans="1:6" s="870" customFormat="1" x14ac:dyDescent="0.25">
      <c r="A111" s="1248" t="s">
        <v>3252</v>
      </c>
      <c r="B111" s="1264" t="str">
        <f>' Summary Sheet'!B27</f>
        <v>Total Calcined Alumina Export (Integrated Process)</v>
      </c>
      <c r="C111" s="1252"/>
      <c r="D111" s="1265" t="s">
        <v>1456</v>
      </c>
      <c r="E111" s="1163">
        <f>' Summary Sheet'!E27</f>
        <v>4921.168000000005</v>
      </c>
      <c r="F111" s="1163">
        <f>' Summary Sheet'!F27</f>
        <v>0</v>
      </c>
    </row>
    <row r="112" ht="14.5" customHeight="1" spans="1:6" x14ac:dyDescent="0.25">
      <c r="A112" s="1248" t="s">
        <v>3254</v>
      </c>
      <c r="B112" s="1252" t="s">
        <v>3265</v>
      </c>
      <c r="C112" s="1252"/>
      <c r="D112" s="1265" t="s">
        <v>3120</v>
      </c>
      <c r="E112" s="1255">
        <f>'Baseline Parameter'!E58</f>
        <v>44.85246298727394</v>
      </c>
      <c r="F112" s="1255" t="e">
        <f>'Baseline Parameter'!F58</f>
        <v>#DIV/0!</v>
      </c>
    </row>
    <row r="113" ht="14.5" customHeight="1" spans="1:6" x14ac:dyDescent="0.25">
      <c r="A113" s="1248" t="s">
        <v>3256</v>
      </c>
      <c r="B113" s="1252" t="s">
        <v>3266</v>
      </c>
      <c r="C113" s="1263"/>
      <c r="D113" s="1265" t="s">
        <v>3258</v>
      </c>
      <c r="E113" s="1255">
        <f>' Summary Sheet'!E55</f>
        <v>13771.942241511913</v>
      </c>
      <c r="F113" s="1255" t="e">
        <f>' Summary Sheet'!F55</f>
        <v>#DIV/0!</v>
      </c>
    </row>
    <row r="114" ht="28" customHeight="1" spans="1:6" x14ac:dyDescent="0.25">
      <c r="A114" s="1248" t="s">
        <v>3259</v>
      </c>
      <c r="B114" s="1258" t="s">
        <v>3267</v>
      </c>
      <c r="C114" s="1258"/>
      <c r="D114" s="1128" t="s">
        <v>1456</v>
      </c>
      <c r="E114" s="1128">
        <f>IFERROR(E113/E112,0)</f>
        <v>307.0498546628186</v>
      </c>
      <c r="F114" s="1128">
        <f>IFERROR(F113/F112,0)</f>
        <v>0</v>
      </c>
    </row>
  </sheetData>
  <sheetProtection sheet="1" algorithmName="SHA-512" hashValue="Alt9pXgY/Pevq6mei5D8906nTEI7hzvUQ+jDs7BoZ7cSgq3HZXJaW1QaXkm+lIoqdwqY2mZlFCnAZ+pxfYWP1A==" saltValue="D7sgkHmb9RFwrmg0XwFbKQ==" spinCount="100000" objects="1" scenarios="1"/>
  <mergeCells count="16">
    <mergeCell ref="A1:F1"/>
    <mergeCell ref="A2:B2"/>
    <mergeCell ref="C2:F2"/>
    <mergeCell ref="A3:C3"/>
    <mergeCell ref="A5:F5"/>
    <mergeCell ref="B6:F6"/>
    <mergeCell ref="A53:F53"/>
    <mergeCell ref="B54:F54"/>
    <mergeCell ref="B64:F64"/>
    <mergeCell ref="B73:F73"/>
    <mergeCell ref="B81:F81"/>
    <mergeCell ref="A91:F91"/>
    <mergeCell ref="B92:F92"/>
    <mergeCell ref="B93:F93"/>
    <mergeCell ref="B104:F104"/>
    <mergeCell ref="B105:F105"/>
  </mergeCells>
  <pageMargins left="0.7086614173228347" right="0.7086614173228347" top="0.7480314960629921" bottom="0.7480314960629921" header="0.31496062992125984" footer="0.31496062992125984"/>
  <pageSetup paperSize="9" orientation="landscape" horizontalDpi="4294967295" verticalDpi="4294967295" scale="9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7"/>
  <sheetViews>
    <sheetView workbookViewId="0" zoomScale="85" zoomScaleNormal="85">
      <selection activeCell="E3" sqref="E3"/>
    </sheetView>
  </sheetViews>
  <sheetFormatPr defaultRowHeight="14.5" outlineLevelRow="0" outlineLevelCol="0" x14ac:dyDescent="0.35" customHeight="1"/>
  <cols>
    <col min="1" max="1" width="8.81640625" style="1146" customWidth="1"/>
    <col min="2" max="2" width="37" customWidth="1"/>
    <col min="3" max="3" width="40" customWidth="1"/>
    <col min="4" max="4" width="13.54296875" customWidth="1"/>
    <col min="5" max="5" width="19" customWidth="1"/>
    <col min="6" max="6" width="10.54296875" customWidth="1"/>
    <col min="7" max="16383" width="10.54296875" hidden="1" customWidth="1"/>
    <col min="16384" max="16384" width="12.1796875" hidden="1" customWidth="1"/>
  </cols>
  <sheetData>
    <row r="1" ht="20" customHeight="1" spans="1:6" x14ac:dyDescent="0.25">
      <c r="A1" s="1147" t="s">
        <v>2832</v>
      </c>
      <c r="B1" s="1147"/>
      <c r="C1" s="1147"/>
      <c r="D1" s="1147"/>
      <c r="E1" s="1147"/>
      <c r="F1" s="1147"/>
    </row>
    <row r="2" ht="17.5" customHeight="1" spans="1:6" x14ac:dyDescent="0.25">
      <c r="A2" s="1148" t="s">
        <v>1361</v>
      </c>
      <c r="B2" s="1149"/>
      <c r="C2" s="1150" t="str">
        <f>'Form Sa1'!C3:K3</f>
        <v>HINDALCO INDUSTRIES LIMITED  </v>
      </c>
      <c r="D2" s="1151"/>
      <c r="E2" s="1151"/>
      <c r="F2" s="1152"/>
    </row>
    <row r="3" spans="1:6" x14ac:dyDescent="0.25">
      <c r="A3" s="1153" t="s">
        <v>2833</v>
      </c>
      <c r="B3" s="1154"/>
      <c r="C3" s="1155"/>
      <c r="D3" s="443" t="s">
        <v>2028</v>
      </c>
      <c r="E3" s="443" t="str">
        <f>'Form Sa1'!H1377</f>
        <v>Yes</v>
      </c>
      <c r="F3" s="443" t="str">
        <f>'Form Sa1'!I1377</f>
        <v>Yes</v>
      </c>
    </row>
    <row r="4" ht="70" customHeight="1" spans="1:6" x14ac:dyDescent="0.25">
      <c r="A4" s="1156" t="s">
        <v>2834</v>
      </c>
      <c r="B4" s="1156" t="s">
        <v>1437</v>
      </c>
      <c r="C4" s="1156" t="s">
        <v>1545</v>
      </c>
      <c r="D4" s="1156" t="s">
        <v>2535</v>
      </c>
      <c r="E4" s="1156" t="str">
        <f>'Form 1'!D15 &amp; ' Summary Sheet'!E5</f>
        <v>Baseline/Previous Year 2023-24</v>
      </c>
      <c r="F4" s="1156" t="str">
        <f>'Form 1'!E15 &amp;"  "&amp; 'Form 1'!E16</f>
        <v>Assesment year/ Current Year  FY 2025-26</v>
      </c>
    </row>
    <row r="5" spans="1:6" x14ac:dyDescent="0.25">
      <c r="A5" s="458">
        <v>1</v>
      </c>
      <c r="B5" s="1157" t="s">
        <v>2835</v>
      </c>
      <c r="C5" s="1157" t="s">
        <v>2836</v>
      </c>
      <c r="D5" s="396" t="s">
        <v>1822</v>
      </c>
      <c r="E5" s="462">
        <f>SUM(E6:E17)</f>
        <v>72056.83832774252</v>
      </c>
      <c r="F5" s="462">
        <f>SUM(F6:F17)</f>
        <v>0</v>
      </c>
    </row>
    <row r="6" spans="1:6" x14ac:dyDescent="0.25">
      <c r="A6" s="443" t="s">
        <v>579</v>
      </c>
      <c r="B6" s="266" t="s">
        <v>2727</v>
      </c>
      <c r="C6" s="1158" t="s">
        <v>2837</v>
      </c>
      <c r="D6" s="1158" t="s">
        <v>1822</v>
      </c>
      <c r="E6" s="1159">
        <f>'Form Sa1'!H693</f>
        <v>1144.79</v>
      </c>
      <c r="F6" s="1159">
        <f>'Form Sa1'!I693</f>
        <v>0</v>
      </c>
    </row>
    <row r="7" spans="1:6" x14ac:dyDescent="0.25">
      <c r="A7" s="466" t="s">
        <v>583</v>
      </c>
      <c r="B7" s="266" t="s">
        <v>2729</v>
      </c>
      <c r="C7" s="1158" t="s">
        <v>2838</v>
      </c>
      <c r="D7" s="1158" t="s">
        <v>1822</v>
      </c>
      <c r="E7" s="1159">
        <f>'Form Sa1'!H729</f>
        <v>0</v>
      </c>
      <c r="F7" s="1159">
        <f>'Form Sa1'!I729</f>
        <v>0</v>
      </c>
    </row>
    <row r="8" spans="1:6" x14ac:dyDescent="0.25">
      <c r="A8" s="443" t="s">
        <v>2839</v>
      </c>
      <c r="B8" s="266" t="s">
        <v>2731</v>
      </c>
      <c r="C8" s="1158" t="s">
        <v>2840</v>
      </c>
      <c r="D8" s="1158" t="s">
        <v>1822</v>
      </c>
      <c r="E8" s="1159">
        <f>'Form Sa1'!H740</f>
        <v>66354.07216</v>
      </c>
      <c r="F8" s="1159">
        <f>'Form Sa1'!I740</f>
        <v>0</v>
      </c>
    </row>
    <row r="9" ht="28" customHeight="1" spans="1:6" x14ac:dyDescent="0.25">
      <c r="A9" s="443" t="s">
        <v>2841</v>
      </c>
      <c r="B9" s="266" t="s">
        <v>2842</v>
      </c>
      <c r="C9" s="1158" t="s">
        <v>2843</v>
      </c>
      <c r="D9" s="1158" t="s">
        <v>1822</v>
      </c>
      <c r="E9" s="1159">
        <f>'Form Sa1'!H748</f>
        <v>0</v>
      </c>
      <c r="F9" s="1159">
        <f>'Form Sa1'!I748</f>
        <v>0</v>
      </c>
    </row>
    <row r="10" ht="28" customHeight="1" spans="1:6" x14ac:dyDescent="0.25">
      <c r="A10" s="443" t="s">
        <v>2844</v>
      </c>
      <c r="B10" s="1160" t="s">
        <v>2845</v>
      </c>
      <c r="C10" s="1158" t="s">
        <v>2846</v>
      </c>
      <c r="D10" s="1158" t="s">
        <v>1822</v>
      </c>
      <c r="E10" s="1159">
        <f>'Form Sa1'!H762</f>
        <v>779.51468375</v>
      </c>
      <c r="F10" s="1159">
        <f>'Form Sa1'!I762</f>
        <v>0</v>
      </c>
    </row>
    <row r="11" ht="28" customHeight="1" spans="1:6" x14ac:dyDescent="0.25">
      <c r="A11" s="443" t="s">
        <v>2847</v>
      </c>
      <c r="B11" s="1160" t="s">
        <v>2848</v>
      </c>
      <c r="C11" s="1158" t="s">
        <v>2849</v>
      </c>
      <c r="D11" s="1158" t="s">
        <v>1822</v>
      </c>
      <c r="E11" s="1159">
        <f>'Form Sa1'!H789</f>
        <v>3739.338125</v>
      </c>
      <c r="F11" s="1159">
        <f>'Form Sa1'!I789</f>
        <v>0</v>
      </c>
    </row>
    <row r="12" spans="1:6" x14ac:dyDescent="0.25">
      <c r="A12" s="443" t="s">
        <v>2850</v>
      </c>
      <c r="B12" s="266" t="s">
        <v>2739</v>
      </c>
      <c r="C12" s="1158" t="s">
        <v>2851</v>
      </c>
      <c r="D12" s="1158" t="s">
        <v>1822</v>
      </c>
      <c r="E12" s="1159">
        <f>'Form Sa1'!H756</f>
        <v>0</v>
      </c>
      <c r="F12" s="1159">
        <f>'Form Sa1'!I756</f>
        <v>0</v>
      </c>
    </row>
    <row r="13" ht="28" customHeight="1" spans="1:6" x14ac:dyDescent="0.25">
      <c r="A13" s="451" t="s">
        <v>2852</v>
      </c>
      <c r="B13" s="1161" t="s">
        <v>2853</v>
      </c>
      <c r="C13" s="1162" t="s">
        <v>2854</v>
      </c>
      <c r="D13" s="1162" t="s">
        <v>1822</v>
      </c>
      <c r="E13" s="1163">
        <f>'Form Sa1'!H835</f>
        <v>0</v>
      </c>
      <c r="F13" s="1163">
        <f>'Form Sa1'!I835</f>
        <v>0</v>
      </c>
    </row>
    <row r="14" ht="28" customHeight="1" spans="1:6" x14ac:dyDescent="0.25">
      <c r="A14" s="451" t="s">
        <v>2855</v>
      </c>
      <c r="B14" s="1161" t="s">
        <v>2856</v>
      </c>
      <c r="C14" s="1162" t="s">
        <v>2857</v>
      </c>
      <c r="D14" s="1162" t="s">
        <v>1822</v>
      </c>
      <c r="E14" s="1164">
        <f>'Form Sa1'!H720</f>
        <v>39.123358992527514</v>
      </c>
      <c r="F14" s="1164">
        <f>'Form Sa1'!I720</f>
        <v>0</v>
      </c>
    </row>
    <row r="15" ht="28" customHeight="1" spans="1:6" x14ac:dyDescent="0.25">
      <c r="A15" s="451" t="s">
        <v>2858</v>
      </c>
      <c r="B15" s="1161" t="s">
        <v>2859</v>
      </c>
      <c r="C15" s="1162" t="s">
        <v>2860</v>
      </c>
      <c r="D15" s="1162" t="s">
        <v>1822</v>
      </c>
      <c r="E15" s="1163">
        <f>'Form Sa1'!H698</f>
        <v>0</v>
      </c>
      <c r="F15" s="1163">
        <f>'Form Sa1'!I698</f>
        <v>0</v>
      </c>
    </row>
    <row r="16" ht="28" customHeight="1" spans="1:6" x14ac:dyDescent="0.25">
      <c r="A16" s="451" t="s">
        <v>2861</v>
      </c>
      <c r="B16" s="1161" t="s">
        <v>2744</v>
      </c>
      <c r="C16" s="1162" t="s">
        <v>2862</v>
      </c>
      <c r="D16" s="1162" t="s">
        <v>1822</v>
      </c>
      <c r="E16" s="1163">
        <f>'Form Sa1'!H699</f>
        <v>0</v>
      </c>
      <c r="F16" s="1163">
        <f>'Form Sa1'!I699</f>
        <v>0</v>
      </c>
    </row>
    <row r="17" ht="28" customHeight="1" spans="1:16384" x14ac:dyDescent="0.25">
      <c r="A17" s="451" t="s">
        <v>2863</v>
      </c>
      <c r="B17" s="1161" t="s">
        <v>2864</v>
      </c>
      <c r="C17" s="1162" t="s">
        <v>2865</v>
      </c>
      <c r="D17" s="1162" t="s">
        <v>1822</v>
      </c>
      <c r="E17" s="1163">
        <f>'Form Sa1'!H814</f>
        <v>0</v>
      </c>
      <c r="F17" s="1163">
        <f>'Form Sa1'!I814</f>
        <v>0</v>
      </c>
      <c r="XFD17" s="1002">
        <f>SUM(E6:E17)-E19-E20</f>
        <v>70274.18451758652</v>
      </c>
    </row>
    <row r="18" spans="1:6" x14ac:dyDescent="0.25">
      <c r="A18" s="1165"/>
      <c r="B18" s="1166"/>
      <c r="C18" s="1167"/>
      <c r="D18" s="1167"/>
      <c r="E18" s="1168"/>
      <c r="F18" s="1168"/>
    </row>
    <row r="19" spans="1:6" x14ac:dyDescent="0.25">
      <c r="A19" s="443">
        <v>2.1</v>
      </c>
      <c r="B19" s="266" t="s">
        <v>2866</v>
      </c>
      <c r="C19" s="1158" t="s">
        <v>2867</v>
      </c>
      <c r="D19" s="1158" t="s">
        <v>1822</v>
      </c>
      <c r="E19" s="1159">
        <f>'Form Sa1'!H841</f>
        <v>1293.4463999999998</v>
      </c>
      <c r="F19" s="1159">
        <f>'Form Sa1'!I841</f>
        <v>0</v>
      </c>
    </row>
    <row r="20" spans="1:6" x14ac:dyDescent="0.25">
      <c r="A20" s="443">
        <v>2.2</v>
      </c>
      <c r="B20" s="266" t="s">
        <v>2868</v>
      </c>
      <c r="C20" s="1158" t="s">
        <v>2869</v>
      </c>
      <c r="D20" s="1158" t="s">
        <v>1822</v>
      </c>
      <c r="E20" s="1159">
        <f>'Form Sa1'!H842</f>
        <v>489.207410156</v>
      </c>
      <c r="F20" s="1159">
        <f>'Form Sa1'!I842</f>
        <v>0</v>
      </c>
    </row>
    <row r="21" spans="1:6" x14ac:dyDescent="0.25">
      <c r="A21" s="443">
        <v>2.3</v>
      </c>
      <c r="B21" s="266" t="s">
        <v>2870</v>
      </c>
      <c r="C21" s="1158" t="s">
        <v>2871</v>
      </c>
      <c r="D21" s="1158" t="s">
        <v>1826</v>
      </c>
      <c r="E21" s="1159">
        <f>(E19*E71)/10</f>
        <v>360762.71056661673</v>
      </c>
      <c r="F21" s="1159" t="e">
        <f>(F19*F71)/10</f>
        <v>#DIV/0!</v>
      </c>
    </row>
    <row r="22" spans="1:6" x14ac:dyDescent="0.25">
      <c r="A22" s="443">
        <v>2.4</v>
      </c>
      <c r="B22" s="266" t="s">
        <v>2872</v>
      </c>
      <c r="C22" s="1158" t="s">
        <v>2873</v>
      </c>
      <c r="D22" s="1158" t="s">
        <v>1826</v>
      </c>
      <c r="E22" s="1159">
        <f>(E20*E71)/10</f>
        <v>136447.70383771078</v>
      </c>
      <c r="F22" s="1159" t="e">
        <f>(F20*F71)/10</f>
        <v>#DIV/0!</v>
      </c>
    </row>
    <row r="23" spans="1:6" x14ac:dyDescent="0.25">
      <c r="A23" s="1165"/>
      <c r="B23" s="1166"/>
      <c r="C23" s="1167"/>
      <c r="D23" s="1167"/>
      <c r="E23" s="1168"/>
      <c r="F23" s="1168"/>
    </row>
    <row r="24" ht="28" customHeight="1" spans="1:6" x14ac:dyDescent="0.25">
      <c r="A24" s="484">
        <v>3</v>
      </c>
      <c r="B24" s="459" t="s">
        <v>2874</v>
      </c>
      <c r="C24" s="1158" t="s">
        <v>2875</v>
      </c>
      <c r="D24" s="396" t="s">
        <v>1822</v>
      </c>
      <c r="E24" s="474">
        <f>'Form Sa1'!H845</f>
        <v>70274.18451758653</v>
      </c>
      <c r="F24" s="474">
        <f>'Form Sa1'!I845</f>
        <v>0</v>
      </c>
    </row>
    <row r="25" spans="1:6" x14ac:dyDescent="0.25">
      <c r="A25" s="443" t="s">
        <v>598</v>
      </c>
      <c r="B25" s="266" t="s">
        <v>2727</v>
      </c>
      <c r="C25" s="1158" t="s">
        <v>2876</v>
      </c>
      <c r="D25" s="1158" t="s">
        <v>1822</v>
      </c>
      <c r="E25" s="1159">
        <f>E6</f>
        <v>1144.79</v>
      </c>
      <c r="F25" s="1159">
        <f>F6</f>
        <v>0</v>
      </c>
    </row>
    <row r="26" spans="1:6" x14ac:dyDescent="0.25">
      <c r="A26" s="443" t="s">
        <v>607</v>
      </c>
      <c r="B26" s="266" t="s">
        <v>2729</v>
      </c>
      <c r="C26" s="1158" t="s">
        <v>2877</v>
      </c>
      <c r="D26" s="1158" t="s">
        <v>1822</v>
      </c>
      <c r="E26" s="1159">
        <f>IF(AND(E7&gt;E8,E7&gt;E9,E7&gt;E10,E7&gt;E11,E7&gt;E12),E7-E19,E7)</f>
        <v>0</v>
      </c>
      <c r="F26" s="1159">
        <f>IF(AND(F7&gt;F8,F7&gt;F9,F7&gt;F10,F7&gt;F11,F7&gt;F12),F7-F19,F7)</f>
        <v>0</v>
      </c>
    </row>
    <row r="27" ht="28" customHeight="1" spans="1:6" x14ac:dyDescent="0.25">
      <c r="A27" s="443" t="s">
        <v>2878</v>
      </c>
      <c r="B27" s="266" t="s">
        <v>2879</v>
      </c>
      <c r="C27" s="349" t="s">
        <v>2880</v>
      </c>
      <c r="D27" s="1158" t="s">
        <v>1822</v>
      </c>
      <c r="E27" s="1159">
        <f>IF(AND(E8&gt;E7,E8&gt;E9,E8&gt;E10,E8&gt;E11,E8&gt;E12),E8-E19,E8)</f>
        <v>65060.625759999995</v>
      </c>
      <c r="F27" s="1159">
        <f>IF(AND(F8&gt;F7,F8&gt;F9,F8&gt;F10,F8&gt;F11,F8&gt;F12),F8-F19,F8)</f>
        <v>0</v>
      </c>
    </row>
    <row r="28" ht="28" customHeight="1" spans="1:6" x14ac:dyDescent="0.25">
      <c r="A28" s="443" t="s">
        <v>2881</v>
      </c>
      <c r="B28" s="266" t="s">
        <v>2882</v>
      </c>
      <c r="C28" s="349" t="s">
        <v>2883</v>
      </c>
      <c r="D28" s="1158" t="s">
        <v>1822</v>
      </c>
      <c r="E28" s="1159">
        <f>IF(AND(E9&gt;E7,E9&gt;E8,E9&gt;E10,E9&gt;E11,E9&gt;E12),E9-E19,E9)</f>
        <v>0</v>
      </c>
      <c r="F28" s="1159">
        <f>IF(AND(F9&gt;F7,F9&gt;F8,F9&gt;F10,F9&gt;F11,F9&gt;F12),F9-F19,F9)</f>
        <v>0</v>
      </c>
    </row>
    <row r="29" ht="28" customHeight="1" spans="1:6" x14ac:dyDescent="0.25">
      <c r="A29" s="443" t="s">
        <v>2884</v>
      </c>
      <c r="B29" s="266" t="s">
        <v>2885</v>
      </c>
      <c r="C29" s="349" t="s">
        <v>2886</v>
      </c>
      <c r="D29" s="1158" t="s">
        <v>1822</v>
      </c>
      <c r="E29" s="1159">
        <f>IF(AND(E10&gt;E7,E10&gt;E8,E10&gt;E9,E10&gt;E11,E10&gt;E12),E10-E19,E10)</f>
        <v>779.51468375</v>
      </c>
      <c r="F29" s="1159">
        <f>IF(AND(F10&gt;F7,F10&gt;F8,F10&gt;F9,F10&gt;F11,F10&gt;F12),F10-F19,F10)</f>
        <v>0</v>
      </c>
    </row>
    <row r="30" ht="28" customHeight="1" spans="1:6" x14ac:dyDescent="0.25">
      <c r="A30" s="443" t="s">
        <v>2887</v>
      </c>
      <c r="B30" s="266" t="s">
        <v>2888</v>
      </c>
      <c r="C30" s="349" t="s">
        <v>2889</v>
      </c>
      <c r="D30" s="1158" t="s">
        <v>1822</v>
      </c>
      <c r="E30" s="1159">
        <f>IF(AND(E11&gt;E7,E11&gt;E8,E11&gt;E9,E11&gt;E10,E11&gt;E12),E11-E19,E11)</f>
        <v>3739.338125</v>
      </c>
      <c r="F30" s="1159">
        <f>IF(AND(F11&gt;F7,F11&gt;F8,F11&gt;F9,F11&gt;F10,F11&gt;F12),F11-F19,F11)</f>
        <v>0</v>
      </c>
    </row>
    <row r="31" spans="1:6" x14ac:dyDescent="0.25">
      <c r="A31" s="443" t="s">
        <v>2890</v>
      </c>
      <c r="B31" s="266" t="s">
        <v>2891</v>
      </c>
      <c r="C31" s="349" t="s">
        <v>2892</v>
      </c>
      <c r="D31" s="1158" t="s">
        <v>1822</v>
      </c>
      <c r="E31" s="1159">
        <f>IF(AND(E12&gt;E7,E12&gt;E8,E12&gt;E9,E12&gt;E10,E12&gt;E11),E12-E19,E12)</f>
        <v>0</v>
      </c>
      <c r="F31" s="1159">
        <f>IF(AND(F12&gt;F7,F12&gt;F8,F12&gt;F9,F12&gt;F10,F12&gt;F11),F12-F19,F12)</f>
        <v>0</v>
      </c>
    </row>
    <row r="32" spans="1:6" x14ac:dyDescent="0.25">
      <c r="A32" s="1165"/>
      <c r="B32" s="1166"/>
      <c r="C32" s="1169"/>
      <c r="D32" s="1167"/>
      <c r="E32" s="1168"/>
      <c r="F32" s="1168"/>
    </row>
    <row r="33" ht="28" customHeight="1" spans="1:6" x14ac:dyDescent="0.25">
      <c r="A33" s="484">
        <v>4</v>
      </c>
      <c r="B33" s="459" t="s">
        <v>2893</v>
      </c>
      <c r="C33" s="486" t="s">
        <v>2894</v>
      </c>
      <c r="D33" s="396" t="s">
        <v>1822</v>
      </c>
      <c r="E33" s="474">
        <f>E24-E31</f>
        <v>70274.18451758653</v>
      </c>
      <c r="F33" s="474">
        <f>F24-F31</f>
        <v>0</v>
      </c>
    </row>
    <row r="34" spans="1:6" x14ac:dyDescent="0.25">
      <c r="A34" s="1170"/>
      <c r="B34" s="332"/>
      <c r="C34" s="332"/>
      <c r="D34" s="1171"/>
      <c r="E34" s="1172"/>
      <c r="F34" s="1172"/>
    </row>
    <row r="35" spans="1:6" x14ac:dyDescent="0.25">
      <c r="A35" s="466">
        <v>5</v>
      </c>
      <c r="B35" s="1158" t="s">
        <v>2895</v>
      </c>
      <c r="C35" s="349">
        <v>860</v>
      </c>
      <c r="D35" s="1158" t="s">
        <v>1495</v>
      </c>
      <c r="E35" s="1159">
        <v>860</v>
      </c>
      <c r="F35" s="1159">
        <v>860</v>
      </c>
    </row>
    <row r="36" spans="1:6" x14ac:dyDescent="0.25">
      <c r="A36" s="466">
        <v>6</v>
      </c>
      <c r="B36" s="1158" t="s">
        <v>2896</v>
      </c>
      <c r="C36" s="1158" t="s">
        <v>2897</v>
      </c>
      <c r="D36" s="1158" t="s">
        <v>1495</v>
      </c>
      <c r="E36" s="1159">
        <f>'Form Sa1'!H1312</f>
        <v>0</v>
      </c>
      <c r="F36" s="1159">
        <f>'Form Sa1'!I1312</f>
        <v>0</v>
      </c>
    </row>
    <row r="37" spans="1:6" x14ac:dyDescent="0.25">
      <c r="A37" s="466">
        <v>7</v>
      </c>
      <c r="B37" s="1158" t="s">
        <v>2898</v>
      </c>
      <c r="C37" s="1158" t="s">
        <v>2899</v>
      </c>
      <c r="D37" s="1158" t="s">
        <v>1495</v>
      </c>
      <c r="E37" s="1159">
        <f>'Form Sa1'!H1313</f>
        <v>2564.570826735534</v>
      </c>
      <c r="F37" s="1159">
        <f>'Form Sa1'!I1313</f>
        <v>0</v>
      </c>
    </row>
    <row r="38" spans="1:6" x14ac:dyDescent="0.25">
      <c r="A38" s="466">
        <v>8</v>
      </c>
      <c r="B38" s="1158" t="s">
        <v>2900</v>
      </c>
      <c r="C38" s="1158" t="s">
        <v>2901</v>
      </c>
      <c r="D38" s="1158" t="s">
        <v>1495</v>
      </c>
      <c r="E38" s="1159">
        <f>'Form Sa1'!H1314</f>
        <v>0</v>
      </c>
      <c r="F38" s="1159">
        <f>'Form Sa1'!I1314</f>
        <v>0</v>
      </c>
    </row>
    <row r="39" ht="28" customHeight="1" spans="1:6" x14ac:dyDescent="0.25">
      <c r="A39" s="466">
        <v>9</v>
      </c>
      <c r="B39" s="349" t="s">
        <v>2902</v>
      </c>
      <c r="C39" s="1158" t="s">
        <v>2903</v>
      </c>
      <c r="D39" s="1158" t="s">
        <v>1495</v>
      </c>
      <c r="E39" s="1159">
        <f>'Form Sa1'!H1316</f>
        <v>936.8101345736408</v>
      </c>
      <c r="F39" s="1159">
        <f>'Form Sa1'!I1316</f>
        <v>0</v>
      </c>
    </row>
    <row r="40" spans="1:6" x14ac:dyDescent="0.25">
      <c r="A40" s="466">
        <v>10</v>
      </c>
      <c r="B40" s="349" t="s">
        <v>2904</v>
      </c>
      <c r="C40" s="1158" t="s">
        <v>2905</v>
      </c>
      <c r="D40" s="1158" t="s">
        <v>1495</v>
      </c>
      <c r="E40" s="1159">
        <f>'Form Sa1'!H1315</f>
        <v>3636.0935777411933</v>
      </c>
      <c r="F40" s="1159">
        <f>'Form Sa1'!I1315</f>
        <v>0</v>
      </c>
    </row>
    <row r="41" spans="1:6" x14ac:dyDescent="0.25">
      <c r="A41" s="466">
        <v>11</v>
      </c>
      <c r="B41" s="349" t="s">
        <v>2906</v>
      </c>
      <c r="C41" s="1158">
        <v>-4.22</v>
      </c>
      <c r="D41" s="1158" t="s">
        <v>1495</v>
      </c>
      <c r="E41" s="1159">
        <f>E54</f>
        <v>2821.3846462408255</v>
      </c>
      <c r="F41" s="1159">
        <f>F54</f>
        <v>0</v>
      </c>
    </row>
    <row r="42" spans="1:6" x14ac:dyDescent="0.25">
      <c r="A42" s="1165"/>
      <c r="B42" s="1169"/>
      <c r="C42" s="1167"/>
      <c r="D42" s="1167"/>
      <c r="E42" s="1168"/>
      <c r="F42" s="1168"/>
    </row>
    <row r="43" spans="1:6" x14ac:dyDescent="0.25">
      <c r="A43" s="443">
        <v>12</v>
      </c>
      <c r="B43" s="349" t="s">
        <v>2907</v>
      </c>
      <c r="C43" s="1158" t="s">
        <v>2908</v>
      </c>
      <c r="D43" s="1158" t="s">
        <v>1493</v>
      </c>
      <c r="E43" s="1159">
        <f>'Form Sa1'!H732</f>
        <v>0</v>
      </c>
      <c r="F43" s="1159">
        <f>'Form Sa1'!I732</f>
        <v>0</v>
      </c>
    </row>
    <row r="44" spans="1:6" x14ac:dyDescent="0.25">
      <c r="A44" s="443">
        <v>13</v>
      </c>
      <c r="B44" s="349" t="s">
        <v>2909</v>
      </c>
      <c r="C44" s="1158" t="s">
        <v>2910</v>
      </c>
      <c r="D44" s="1158" t="s">
        <v>1493</v>
      </c>
      <c r="E44" s="1159">
        <f>'Form Sa1'!H741</f>
        <v>8.33</v>
      </c>
      <c r="F44" s="1159">
        <f>'Form Sa1'!I741</f>
        <v>0</v>
      </c>
    </row>
    <row r="45" spans="1:6" x14ac:dyDescent="0.25">
      <c r="A45" s="443">
        <v>14</v>
      </c>
      <c r="B45" s="349" t="s">
        <v>2911</v>
      </c>
      <c r="C45" s="1158" t="s">
        <v>2912</v>
      </c>
      <c r="D45" s="1158" t="s">
        <v>1493</v>
      </c>
      <c r="E45" s="1159">
        <f>'Form Sa1'!H750</f>
        <v>0</v>
      </c>
      <c r="F45" s="1159">
        <f>'Form Sa1'!I750</f>
        <v>0</v>
      </c>
    </row>
    <row r="46" spans="1:6" x14ac:dyDescent="0.25">
      <c r="A46" s="443">
        <v>15</v>
      </c>
      <c r="B46" s="349" t="s">
        <v>2913</v>
      </c>
      <c r="C46" s="1158" t="s">
        <v>2914</v>
      </c>
      <c r="D46" s="1158" t="s">
        <v>1493</v>
      </c>
      <c r="E46" s="1159">
        <f>'Form Sa1'!H763</f>
        <v>0</v>
      </c>
      <c r="F46" s="1159">
        <f>'Form Sa1'!I763</f>
        <v>0</v>
      </c>
    </row>
    <row r="47" spans="1:7" x14ac:dyDescent="0.25">
      <c r="A47" s="443">
        <v>16</v>
      </c>
      <c r="B47" s="349" t="s">
        <v>2915</v>
      </c>
      <c r="C47" s="1158" t="s">
        <v>2916</v>
      </c>
      <c r="D47" s="1158" t="s">
        <v>1493</v>
      </c>
      <c r="E47" s="1159">
        <f>'Form Sa1'!H790</f>
        <v>0</v>
      </c>
      <c r="F47" s="1159">
        <f>'Form Sa1'!I790</f>
        <v>0</v>
      </c>
      <c r="G47" s="1002"/>
    </row>
    <row r="48" spans="1:7" x14ac:dyDescent="0.25">
      <c r="A48" s="1165"/>
      <c r="B48" s="1169"/>
      <c r="C48" s="1167"/>
      <c r="D48" s="1167"/>
      <c r="E48" s="1168"/>
      <c r="F48" s="1168"/>
      <c r="G48" s="1002"/>
    </row>
    <row r="49" spans="1:7" x14ac:dyDescent="0.25">
      <c r="A49" s="443">
        <v>17</v>
      </c>
      <c r="B49" s="1158" t="s">
        <v>2917</v>
      </c>
      <c r="C49" t="s">
        <v>2918</v>
      </c>
      <c r="D49" s="1158" t="s">
        <v>1495</v>
      </c>
      <c r="E49" s="1159">
        <f t="shared" ref="E49:F53" si="0">E36/(1-E43/100)</f>
        <v>0</v>
      </c>
      <c r="F49" s="1159">
        <f t="shared" si="0"/>
        <v>0</v>
      </c>
      <c r="G49" s="1002"/>
    </row>
    <row r="50" spans="1:7" x14ac:dyDescent="0.25">
      <c r="A50" s="443">
        <v>18</v>
      </c>
      <c r="B50" s="1158" t="s">
        <v>2919</v>
      </c>
      <c r="C50" s="1158" t="s">
        <v>2920</v>
      </c>
      <c r="D50" s="1158" t="s">
        <v>1495</v>
      </c>
      <c r="E50" s="1159">
        <f t="shared" si="0"/>
        <v>2797.611897824298</v>
      </c>
      <c r="F50" s="1159">
        <f t="shared" si="0"/>
        <v>0</v>
      </c>
      <c r="G50" s="1002"/>
    </row>
    <row r="51" spans="1:7" x14ac:dyDescent="0.25">
      <c r="A51" s="443">
        <v>19</v>
      </c>
      <c r="B51" s="1158" t="s">
        <v>2921</v>
      </c>
      <c r="C51" s="1158" t="s">
        <v>2922</v>
      </c>
      <c r="D51" s="1158" t="s">
        <v>1495</v>
      </c>
      <c r="E51" s="1159">
        <f t="shared" si="0"/>
        <v>0</v>
      </c>
      <c r="F51" s="1159">
        <f t="shared" si="0"/>
        <v>0</v>
      </c>
      <c r="G51" s="1002"/>
    </row>
    <row r="52" ht="28" customHeight="1" spans="1:6" x14ac:dyDescent="0.25">
      <c r="A52" s="443">
        <v>20</v>
      </c>
      <c r="B52" s="349" t="s">
        <v>2923</v>
      </c>
      <c r="C52" s="1158" t="s">
        <v>2924</v>
      </c>
      <c r="D52" s="1158" t="s">
        <v>1495</v>
      </c>
      <c r="E52" s="1159">
        <f t="shared" si="0"/>
        <v>936.8101345736408</v>
      </c>
      <c r="F52" s="1159">
        <f t="shared" si="0"/>
        <v>0</v>
      </c>
    </row>
    <row r="53" spans="1:6" x14ac:dyDescent="0.25">
      <c r="A53" s="443">
        <v>21</v>
      </c>
      <c r="B53" s="349" t="s">
        <v>2925</v>
      </c>
      <c r="C53" s="1158" t="s">
        <v>2926</v>
      </c>
      <c r="D53" s="1158" t="s">
        <v>1495</v>
      </c>
      <c r="E53" s="1159">
        <f t="shared" si="0"/>
        <v>3636.0935777411933</v>
      </c>
      <c r="F53" s="1159">
        <f t="shared" si="0"/>
        <v>0</v>
      </c>
    </row>
    <row r="54" spans="1:6" x14ac:dyDescent="0.25">
      <c r="A54" s="443">
        <v>22</v>
      </c>
      <c r="B54" s="349" t="s">
        <v>2927</v>
      </c>
      <c r="C54" s="1158" t="s">
        <v>2928</v>
      </c>
      <c r="D54" s="1158" t="s">
        <v>1495</v>
      </c>
      <c r="E54" s="1159">
        <f>IFERROR((E49*E7+E8*E50+E51*E9+E52*E10+E11*E53)/SUM(E7:E11),0)</f>
        <v>2821.3846462408255</v>
      </c>
      <c r="F54" s="1159">
        <f>IFERROR((F49*F7+F8*F50+F51*F9+F52*F10+F11*F53)/SUM(F7:F11),0)</f>
        <v>0</v>
      </c>
    </row>
    <row r="55" ht="28" customHeight="1" spans="1:6" x14ac:dyDescent="0.25">
      <c r="A55" s="451">
        <v>22.1</v>
      </c>
      <c r="B55" s="435" t="s">
        <v>1988</v>
      </c>
      <c r="C55" s="1162" t="s">
        <v>2929</v>
      </c>
      <c r="D55" s="1162" t="s">
        <v>1495</v>
      </c>
      <c r="E55" s="1163">
        <f>'Form Sa1'!H700</f>
        <v>0</v>
      </c>
      <c r="F55" s="1163">
        <f>'Form Sa1'!I700</f>
        <v>0</v>
      </c>
    </row>
    <row r="56" spans="1:6" x14ac:dyDescent="0.25">
      <c r="A56" s="451">
        <v>22.3</v>
      </c>
      <c r="B56" s="435" t="s">
        <v>2930</v>
      </c>
      <c r="C56" s="1162" t="s">
        <v>2865</v>
      </c>
      <c r="D56" s="1162" t="s">
        <v>1495</v>
      </c>
      <c r="E56" s="1163">
        <f>'Form Sa1'!H816</f>
        <v>0</v>
      </c>
      <c r="F56" s="1163">
        <f>'Form Sa1'!I816</f>
        <v>0</v>
      </c>
    </row>
    <row r="57" spans="1:6" x14ac:dyDescent="0.25">
      <c r="A57" s="1165"/>
      <c r="B57" s="1167"/>
      <c r="C57" s="1167"/>
      <c r="D57" s="1167"/>
      <c r="E57" s="1168"/>
      <c r="F57" s="1168"/>
    </row>
    <row r="58" spans="1:6" x14ac:dyDescent="0.25">
      <c r="A58" s="466">
        <v>23</v>
      </c>
      <c r="B58" s="349" t="s">
        <v>2931</v>
      </c>
      <c r="C58" s="1158" t="s">
        <v>2932</v>
      </c>
      <c r="D58" s="1158" t="s">
        <v>1493</v>
      </c>
      <c r="E58" s="1159">
        <f t="shared" ref="E58:E63" si="1">IFERROR(E25*100/$E$33,0)</f>
        <v>1.629033489123605</v>
      </c>
      <c r="F58" s="1159">
        <f t="shared" ref="F58:F63" si="2">IFERROR(F25*100/$F$33,0)</f>
        <v>0</v>
      </c>
    </row>
    <row r="59" spans="1:6" x14ac:dyDescent="0.25">
      <c r="A59" s="466">
        <v>24</v>
      </c>
      <c r="B59" s="349" t="s">
        <v>2933</v>
      </c>
      <c r="C59" s="1158" t="s">
        <v>2934</v>
      </c>
      <c r="D59" s="1158" t="s">
        <v>1493</v>
      </c>
      <c r="E59" s="1159">
        <f t="shared" si="1"/>
        <v>0</v>
      </c>
      <c r="F59" s="1159">
        <f t="shared" si="2"/>
        <v>0</v>
      </c>
    </row>
    <row r="60" spans="1:6" x14ac:dyDescent="0.25">
      <c r="A60" s="466">
        <v>25</v>
      </c>
      <c r="B60" s="349" t="s">
        <v>2935</v>
      </c>
      <c r="C60" s="1158" t="s">
        <v>2936</v>
      </c>
      <c r="D60" s="1158" t="s">
        <v>1493</v>
      </c>
      <c r="E60" s="1159">
        <f t="shared" si="1"/>
        <v>92.58111809709892</v>
      </c>
      <c r="F60" s="1159">
        <f t="shared" si="2"/>
        <v>0</v>
      </c>
    </row>
    <row r="61" spans="1:6" x14ac:dyDescent="0.25">
      <c r="A61" s="466">
        <v>26</v>
      </c>
      <c r="B61" s="349" t="s">
        <v>2937</v>
      </c>
      <c r="C61" s="1158" t="s">
        <v>2938</v>
      </c>
      <c r="D61" s="1158" t="s">
        <v>1493</v>
      </c>
      <c r="E61" s="1159">
        <f t="shared" si="1"/>
        <v>0</v>
      </c>
      <c r="F61" s="1159">
        <f t="shared" si="2"/>
        <v>0</v>
      </c>
    </row>
    <row r="62" ht="28" customHeight="1" spans="1:6" x14ac:dyDescent="0.25">
      <c r="A62" s="466">
        <v>27</v>
      </c>
      <c r="B62" s="349" t="s">
        <v>2939</v>
      </c>
      <c r="C62" s="1158" t="s">
        <v>2940</v>
      </c>
      <c r="D62" s="1158" t="s">
        <v>1493</v>
      </c>
      <c r="E62" s="1159">
        <f t="shared" si="1"/>
        <v>1.1092475695038793</v>
      </c>
      <c r="F62" s="1159">
        <f t="shared" si="2"/>
        <v>0</v>
      </c>
    </row>
    <row r="63" spans="1:6" x14ac:dyDescent="0.25">
      <c r="A63" s="466">
        <v>28</v>
      </c>
      <c r="B63" s="349" t="s">
        <v>2941</v>
      </c>
      <c r="C63" s="1158" t="s">
        <v>2942</v>
      </c>
      <c r="D63" s="1158" t="s">
        <v>1493</v>
      </c>
      <c r="E63" s="1159">
        <f t="shared" si="1"/>
        <v>5.321069395069548</v>
      </c>
      <c r="F63" s="1159">
        <f t="shared" si="2"/>
        <v>0</v>
      </c>
    </row>
    <row r="64" spans="1:6" x14ac:dyDescent="0.25">
      <c r="A64" s="1165"/>
      <c r="B64" s="1169"/>
      <c r="C64" s="1167"/>
      <c r="D64" s="1167"/>
      <c r="E64" s="1168"/>
      <c r="F64" s="1168"/>
    </row>
    <row r="65" spans="1:7" x14ac:dyDescent="0.25">
      <c r="A65" s="466">
        <v>29</v>
      </c>
      <c r="B65" s="1158" t="s">
        <v>2943</v>
      </c>
      <c r="C65" s="349" t="s">
        <v>2944</v>
      </c>
      <c r="D65" s="1158" t="s">
        <v>1495</v>
      </c>
      <c r="E65" s="1159">
        <f>IFERROR((E25*E35+E26*E36+E27*E37+E28*E38+E29*E39+E30*E40)/E33,0)</f>
        <v>2592.1886399801347</v>
      </c>
      <c r="F65" s="1159">
        <f>IFERROR((F25*F35+F26*F36+F27*F37+F28*F38+F29*F39+F30*F40)/F33,0)</f>
        <v>0</v>
      </c>
      <c r="G65" s="1002"/>
    </row>
    <row r="66" ht="28" customHeight="1" spans="1:6" x14ac:dyDescent="0.25">
      <c r="A66" s="466">
        <v>30</v>
      </c>
      <c r="B66" s="1158" t="s">
        <v>2945</v>
      </c>
      <c r="C66" s="349" t="s">
        <v>2946</v>
      </c>
      <c r="D66" s="1158" t="s">
        <v>1495</v>
      </c>
      <c r="E66" s="1159"/>
      <c r="F66" s="1159">
        <f>(F35*$E$58+F36*$E$59+F37*$E$60+F38*$E$61+F39*$E$62+F40*$E$63)/100</f>
        <v>14.009688006463001</v>
      </c>
    </row>
    <row r="67" spans="1:6" x14ac:dyDescent="0.25">
      <c r="A67" s="466">
        <v>31</v>
      </c>
      <c r="B67" s="332" t="s">
        <v>2947</v>
      </c>
      <c r="C67" s="332" t="s">
        <v>2948</v>
      </c>
      <c r="D67" s="1171" t="s">
        <v>1826</v>
      </c>
      <c r="E67" s="1172"/>
      <c r="F67" s="1172">
        <f>F33*(F65-F66)/10</f>
        <v>0</v>
      </c>
    </row>
    <row r="68" spans="1:6" x14ac:dyDescent="0.25">
      <c r="A68" s="466">
        <v>32</v>
      </c>
      <c r="B68" s="332" t="s">
        <v>2949</v>
      </c>
      <c r="C68" s="332" t="s">
        <v>2950</v>
      </c>
      <c r="D68" s="1171" t="s">
        <v>1826</v>
      </c>
      <c r="E68" s="1172"/>
      <c r="F68" s="1172">
        <f>(F19-E19)*(F54-F41)/10</f>
        <v>0</v>
      </c>
    </row>
    <row r="69" spans="1:6" x14ac:dyDescent="0.25">
      <c r="A69" s="466">
        <v>33</v>
      </c>
      <c r="B69" s="332" t="s">
        <v>2951</v>
      </c>
      <c r="C69" s="1171" t="s">
        <v>2952</v>
      </c>
      <c r="D69" s="1171" t="s">
        <v>1826</v>
      </c>
      <c r="E69" s="1172"/>
      <c r="F69" s="1172">
        <f>(F67+F68)</f>
        <v>0</v>
      </c>
    </row>
    <row r="70" ht="42" customHeight="1" spans="1:6" x14ac:dyDescent="0.25">
      <c r="A70" s="443">
        <v>35</v>
      </c>
      <c r="B70" s="349" t="s">
        <v>2953</v>
      </c>
      <c r="C70" s="293" t="s">
        <v>2954</v>
      </c>
      <c r="D70" s="293" t="s">
        <v>1989</v>
      </c>
      <c r="E70" s="1159">
        <f>IFERROR((E7*E49+E8*E50+E9*E51+E10*E52+E11*E53+E12*860)/SUM(E7:E12),0)</f>
        <v>2821.3846462408255</v>
      </c>
      <c r="F70" s="1159">
        <f>IFERROR((F7*F49+F8*F50+F9*F51+F10*F52+F11*F53+F12*860)/SUM(F7:F12),0)</f>
        <v>0</v>
      </c>
    </row>
    <row r="71" ht="56" customHeight="1" spans="1:16384" x14ac:dyDescent="0.25">
      <c r="A71" s="443">
        <v>36</v>
      </c>
      <c r="B71" s="349" t="s">
        <v>2955</v>
      </c>
      <c r="C71" s="293" t="s">
        <v>2956</v>
      </c>
      <c r="D71" s="293" t="s">
        <v>1495</v>
      </c>
      <c r="E71" s="1159">
        <f>((E6+E12+E13+E14+E15)*860+E16*E55+E17*E56+E7*E49+E8*E50+E9*E51+E10*E52+E11*E53)/(SUM(E6:E17))</f>
        <v>2789.1585655703766</v>
      </c>
      <c r="F71" s="1159" t="e">
        <f t="shared" ref="F71:BQ71" si="3">((F6+F12+F13+F14+F15)*860+F16*F55+F17*F56+F7*F49+F8*F50+F9*F51+F10*F52+F11*F53)/(SUM(F6:F17))</f>
        <v>#DIV/0!</v>
      </c>
      <c r="G71" s="1159" t="e">
        <f t="shared" si="3"/>
        <v>#DIV/0!</v>
      </c>
      <c r="H71" s="1159" t="e">
        <f t="shared" si="3"/>
        <v>#DIV/0!</v>
      </c>
      <c r="I71" s="1159" t="e">
        <f t="shared" si="3"/>
        <v>#DIV/0!</v>
      </c>
      <c r="J71" s="1159" t="e">
        <f t="shared" si="3"/>
        <v>#DIV/0!</v>
      </c>
      <c r="K71" s="1159" t="e">
        <f t="shared" si="3"/>
        <v>#DIV/0!</v>
      </c>
      <c r="L71" s="1159" t="e">
        <f t="shared" si="3"/>
        <v>#DIV/0!</v>
      </c>
      <c r="M71" s="1159" t="e">
        <f t="shared" si="3"/>
        <v>#DIV/0!</v>
      </c>
      <c r="N71" s="1159" t="e">
        <f t="shared" si="3"/>
        <v>#DIV/0!</v>
      </c>
      <c r="O71" s="1159" t="e">
        <f t="shared" si="3"/>
        <v>#DIV/0!</v>
      </c>
      <c r="P71" s="1159" t="e">
        <f t="shared" si="3"/>
        <v>#DIV/0!</v>
      </c>
      <c r="Q71" s="1159" t="e">
        <f t="shared" si="3"/>
        <v>#DIV/0!</v>
      </c>
      <c r="R71" s="1159" t="e">
        <f t="shared" si="3"/>
        <v>#DIV/0!</v>
      </c>
      <c r="S71" s="1159" t="e">
        <f t="shared" si="3"/>
        <v>#DIV/0!</v>
      </c>
      <c r="T71" s="1159" t="e">
        <f t="shared" si="3"/>
        <v>#DIV/0!</v>
      </c>
      <c r="U71" s="1159" t="e">
        <f t="shared" si="3"/>
        <v>#DIV/0!</v>
      </c>
      <c r="V71" s="1159" t="e">
        <f t="shared" si="3"/>
        <v>#DIV/0!</v>
      </c>
      <c r="W71" s="1159" t="e">
        <f t="shared" si="3"/>
        <v>#DIV/0!</v>
      </c>
      <c r="X71" s="1159" t="e">
        <f t="shared" si="3"/>
        <v>#DIV/0!</v>
      </c>
      <c r="Y71" s="1159" t="e">
        <f t="shared" si="3"/>
        <v>#DIV/0!</v>
      </c>
      <c r="Z71" s="1159" t="e">
        <f t="shared" si="3"/>
        <v>#DIV/0!</v>
      </c>
      <c r="AA71" s="1159" t="e">
        <f t="shared" si="3"/>
        <v>#DIV/0!</v>
      </c>
      <c r="AB71" s="1159" t="e">
        <f t="shared" si="3"/>
        <v>#DIV/0!</v>
      </c>
      <c r="AC71" s="1159" t="e">
        <f t="shared" si="3"/>
        <v>#DIV/0!</v>
      </c>
      <c r="AD71" s="1159" t="e">
        <f t="shared" si="3"/>
        <v>#DIV/0!</v>
      </c>
      <c r="AE71" s="1159" t="e">
        <f t="shared" si="3"/>
        <v>#DIV/0!</v>
      </c>
      <c r="AF71" s="1159" t="e">
        <f t="shared" si="3"/>
        <v>#DIV/0!</v>
      </c>
      <c r="AG71" s="1159" t="e">
        <f t="shared" si="3"/>
        <v>#DIV/0!</v>
      </c>
      <c r="AH71" s="1159" t="e">
        <f t="shared" si="3"/>
        <v>#DIV/0!</v>
      </c>
      <c r="AI71" s="1159" t="e">
        <f t="shared" si="3"/>
        <v>#DIV/0!</v>
      </c>
      <c r="AJ71" s="1159" t="e">
        <f t="shared" si="3"/>
        <v>#DIV/0!</v>
      </c>
      <c r="AK71" s="1159" t="e">
        <f t="shared" si="3"/>
        <v>#DIV/0!</v>
      </c>
      <c r="AL71" s="1159" t="e">
        <f t="shared" si="3"/>
        <v>#DIV/0!</v>
      </c>
      <c r="AM71" s="1159" t="e">
        <f t="shared" si="3"/>
        <v>#DIV/0!</v>
      </c>
      <c r="AN71" s="1159" t="e">
        <f t="shared" si="3"/>
        <v>#DIV/0!</v>
      </c>
      <c r="AO71" s="1159" t="e">
        <f t="shared" si="3"/>
        <v>#DIV/0!</v>
      </c>
      <c r="AP71" s="1159" t="e">
        <f t="shared" si="3"/>
        <v>#DIV/0!</v>
      </c>
      <c r="AQ71" s="1159" t="e">
        <f t="shared" si="3"/>
        <v>#DIV/0!</v>
      </c>
      <c r="AR71" s="1159" t="e">
        <f t="shared" si="3"/>
        <v>#DIV/0!</v>
      </c>
      <c r="AS71" s="1159" t="e">
        <f t="shared" si="3"/>
        <v>#DIV/0!</v>
      </c>
      <c r="AT71" s="1159" t="e">
        <f t="shared" si="3"/>
        <v>#DIV/0!</v>
      </c>
      <c r="AU71" s="1159" t="e">
        <f t="shared" si="3"/>
        <v>#DIV/0!</v>
      </c>
      <c r="AV71" s="1159" t="e">
        <f t="shared" si="3"/>
        <v>#DIV/0!</v>
      </c>
      <c r="AW71" s="1159" t="e">
        <f t="shared" si="3"/>
        <v>#DIV/0!</v>
      </c>
      <c r="AX71" s="1159" t="e">
        <f t="shared" si="3"/>
        <v>#DIV/0!</v>
      </c>
      <c r="AY71" s="1159" t="e">
        <f t="shared" si="3"/>
        <v>#DIV/0!</v>
      </c>
      <c r="AZ71" s="1159" t="e">
        <f t="shared" si="3"/>
        <v>#DIV/0!</v>
      </c>
      <c r="BA71" s="1159" t="e">
        <f t="shared" si="3"/>
        <v>#DIV/0!</v>
      </c>
      <c r="BB71" s="1159" t="e">
        <f t="shared" si="3"/>
        <v>#DIV/0!</v>
      </c>
      <c r="BC71" s="1159" t="e">
        <f t="shared" si="3"/>
        <v>#DIV/0!</v>
      </c>
      <c r="BD71" s="1159" t="e">
        <f t="shared" si="3"/>
        <v>#DIV/0!</v>
      </c>
      <c r="BE71" s="1159" t="e">
        <f t="shared" si="3"/>
        <v>#DIV/0!</v>
      </c>
      <c r="BF71" s="1159" t="e">
        <f t="shared" si="3"/>
        <v>#DIV/0!</v>
      </c>
      <c r="BG71" s="1159" t="e">
        <f t="shared" si="3"/>
        <v>#DIV/0!</v>
      </c>
      <c r="BH71" s="1159" t="e">
        <f t="shared" si="3"/>
        <v>#DIV/0!</v>
      </c>
      <c r="BI71" s="1159" t="e">
        <f t="shared" si="3"/>
        <v>#DIV/0!</v>
      </c>
      <c r="BJ71" s="1159" t="e">
        <f t="shared" si="3"/>
        <v>#DIV/0!</v>
      </c>
      <c r="BK71" s="1159" t="e">
        <f t="shared" si="3"/>
        <v>#DIV/0!</v>
      </c>
      <c r="BL71" s="1159" t="e">
        <f t="shared" si="3"/>
        <v>#DIV/0!</v>
      </c>
      <c r="BM71" s="1159" t="e">
        <f t="shared" si="3"/>
        <v>#DIV/0!</v>
      </c>
      <c r="BN71" s="1159" t="e">
        <f t="shared" si="3"/>
        <v>#DIV/0!</v>
      </c>
      <c r="BO71" s="1159" t="e">
        <f t="shared" si="3"/>
        <v>#DIV/0!</v>
      </c>
      <c r="BP71" s="1159" t="e">
        <f t="shared" si="3"/>
        <v>#DIV/0!</v>
      </c>
      <c r="BQ71" s="1159" t="e">
        <f t="shared" si="3"/>
        <v>#DIV/0!</v>
      </c>
      <c r="BR71" s="1159" t="e">
        <f t="shared" ref="BR71:EC71" si="4">((BR6+BR12+BR13+BR14+BR15)*860+BR16*BR55+BR17*BR56+BR7*BR49+BR8*BR50+BR9*BR51+BR10*BR52+BR11*BR53)/(SUM(BR6:BR17))</f>
        <v>#DIV/0!</v>
      </c>
      <c r="BS71" s="1159" t="e">
        <f t="shared" si="4"/>
        <v>#DIV/0!</v>
      </c>
      <c r="BT71" s="1159" t="e">
        <f t="shared" si="4"/>
        <v>#DIV/0!</v>
      </c>
      <c r="BU71" s="1159" t="e">
        <f t="shared" si="4"/>
        <v>#DIV/0!</v>
      </c>
      <c r="BV71" s="1159" t="e">
        <f t="shared" si="4"/>
        <v>#DIV/0!</v>
      </c>
      <c r="BW71" s="1159" t="e">
        <f t="shared" si="4"/>
        <v>#DIV/0!</v>
      </c>
      <c r="BX71" s="1159" t="e">
        <f t="shared" si="4"/>
        <v>#DIV/0!</v>
      </c>
      <c r="BY71" s="1159" t="e">
        <f t="shared" si="4"/>
        <v>#DIV/0!</v>
      </c>
      <c r="BZ71" s="1159" t="e">
        <f t="shared" si="4"/>
        <v>#DIV/0!</v>
      </c>
      <c r="CA71" s="1159" t="e">
        <f t="shared" si="4"/>
        <v>#DIV/0!</v>
      </c>
      <c r="CB71" s="1159" t="e">
        <f t="shared" si="4"/>
        <v>#DIV/0!</v>
      </c>
      <c r="CC71" s="1159" t="e">
        <f t="shared" si="4"/>
        <v>#DIV/0!</v>
      </c>
      <c r="CD71" s="1159" t="e">
        <f t="shared" si="4"/>
        <v>#DIV/0!</v>
      </c>
      <c r="CE71" s="1159" t="e">
        <f t="shared" si="4"/>
        <v>#DIV/0!</v>
      </c>
      <c r="CF71" s="1159" t="e">
        <f t="shared" si="4"/>
        <v>#DIV/0!</v>
      </c>
      <c r="CG71" s="1159" t="e">
        <f t="shared" si="4"/>
        <v>#DIV/0!</v>
      </c>
      <c r="CH71" s="1159" t="e">
        <f t="shared" si="4"/>
        <v>#DIV/0!</v>
      </c>
      <c r="CI71" s="1159" t="e">
        <f t="shared" si="4"/>
        <v>#DIV/0!</v>
      </c>
      <c r="CJ71" s="1159" t="e">
        <f t="shared" si="4"/>
        <v>#DIV/0!</v>
      </c>
      <c r="CK71" s="1159" t="e">
        <f t="shared" si="4"/>
        <v>#DIV/0!</v>
      </c>
      <c r="CL71" s="1159" t="e">
        <f t="shared" si="4"/>
        <v>#DIV/0!</v>
      </c>
      <c r="CM71" s="1159" t="e">
        <f t="shared" si="4"/>
        <v>#DIV/0!</v>
      </c>
      <c r="CN71" s="1159" t="e">
        <f t="shared" si="4"/>
        <v>#DIV/0!</v>
      </c>
      <c r="CO71" s="1159" t="e">
        <f t="shared" si="4"/>
        <v>#DIV/0!</v>
      </c>
      <c r="CP71" s="1159" t="e">
        <f t="shared" si="4"/>
        <v>#DIV/0!</v>
      </c>
      <c r="CQ71" s="1159" t="e">
        <f t="shared" si="4"/>
        <v>#DIV/0!</v>
      </c>
      <c r="CR71" s="1159" t="e">
        <f t="shared" si="4"/>
        <v>#DIV/0!</v>
      </c>
      <c r="CS71" s="1159" t="e">
        <f t="shared" si="4"/>
        <v>#DIV/0!</v>
      </c>
      <c r="CT71" s="1159" t="e">
        <f t="shared" si="4"/>
        <v>#DIV/0!</v>
      </c>
      <c r="CU71" s="1159" t="e">
        <f t="shared" si="4"/>
        <v>#DIV/0!</v>
      </c>
      <c r="CV71" s="1159" t="e">
        <f t="shared" si="4"/>
        <v>#DIV/0!</v>
      </c>
      <c r="CW71" s="1159" t="e">
        <f t="shared" si="4"/>
        <v>#DIV/0!</v>
      </c>
      <c r="CX71" s="1159" t="e">
        <f t="shared" si="4"/>
        <v>#DIV/0!</v>
      </c>
      <c r="CY71" s="1159" t="e">
        <f t="shared" si="4"/>
        <v>#DIV/0!</v>
      </c>
      <c r="CZ71" s="1159" t="e">
        <f t="shared" si="4"/>
        <v>#DIV/0!</v>
      </c>
      <c r="DA71" s="1159" t="e">
        <f t="shared" si="4"/>
        <v>#DIV/0!</v>
      </c>
      <c r="DB71" s="1159" t="e">
        <f t="shared" si="4"/>
        <v>#DIV/0!</v>
      </c>
      <c r="DC71" s="1159" t="e">
        <f t="shared" si="4"/>
        <v>#DIV/0!</v>
      </c>
      <c r="DD71" s="1159" t="e">
        <f t="shared" si="4"/>
        <v>#DIV/0!</v>
      </c>
      <c r="DE71" s="1159" t="e">
        <f t="shared" si="4"/>
        <v>#DIV/0!</v>
      </c>
      <c r="DF71" s="1159" t="e">
        <f t="shared" si="4"/>
        <v>#DIV/0!</v>
      </c>
      <c r="DG71" s="1159" t="e">
        <f t="shared" si="4"/>
        <v>#DIV/0!</v>
      </c>
      <c r="DH71" s="1159" t="e">
        <f t="shared" si="4"/>
        <v>#DIV/0!</v>
      </c>
      <c r="DI71" s="1159" t="e">
        <f t="shared" si="4"/>
        <v>#DIV/0!</v>
      </c>
      <c r="DJ71" s="1159" t="e">
        <f t="shared" si="4"/>
        <v>#DIV/0!</v>
      </c>
      <c r="DK71" s="1159" t="e">
        <f t="shared" si="4"/>
        <v>#DIV/0!</v>
      </c>
      <c r="DL71" s="1159" t="e">
        <f t="shared" si="4"/>
        <v>#DIV/0!</v>
      </c>
      <c r="DM71" s="1159" t="e">
        <f t="shared" si="4"/>
        <v>#DIV/0!</v>
      </c>
      <c r="DN71" s="1159" t="e">
        <f t="shared" si="4"/>
        <v>#DIV/0!</v>
      </c>
      <c r="DO71" s="1159" t="e">
        <f t="shared" si="4"/>
        <v>#DIV/0!</v>
      </c>
      <c r="DP71" s="1159" t="e">
        <f t="shared" si="4"/>
        <v>#DIV/0!</v>
      </c>
      <c r="DQ71" s="1159" t="e">
        <f t="shared" si="4"/>
        <v>#DIV/0!</v>
      </c>
      <c r="DR71" s="1159" t="e">
        <f t="shared" si="4"/>
        <v>#DIV/0!</v>
      </c>
      <c r="DS71" s="1159" t="e">
        <f t="shared" si="4"/>
        <v>#DIV/0!</v>
      </c>
      <c r="DT71" s="1159" t="e">
        <f t="shared" si="4"/>
        <v>#DIV/0!</v>
      </c>
      <c r="DU71" s="1159" t="e">
        <f t="shared" si="4"/>
        <v>#DIV/0!</v>
      </c>
      <c r="DV71" s="1159" t="e">
        <f t="shared" si="4"/>
        <v>#DIV/0!</v>
      </c>
      <c r="DW71" s="1159" t="e">
        <f t="shared" si="4"/>
        <v>#DIV/0!</v>
      </c>
      <c r="DX71" s="1159" t="e">
        <f t="shared" si="4"/>
        <v>#DIV/0!</v>
      </c>
      <c r="DY71" s="1159" t="e">
        <f t="shared" si="4"/>
        <v>#DIV/0!</v>
      </c>
      <c r="DZ71" s="1159" t="e">
        <f t="shared" si="4"/>
        <v>#DIV/0!</v>
      </c>
      <c r="EA71" s="1159" t="e">
        <f t="shared" si="4"/>
        <v>#DIV/0!</v>
      </c>
      <c r="EB71" s="1159" t="e">
        <f t="shared" si="4"/>
        <v>#DIV/0!</v>
      </c>
      <c r="EC71" s="1159" t="e">
        <f t="shared" si="4"/>
        <v>#DIV/0!</v>
      </c>
      <c r="ED71" s="1159" t="e">
        <f t="shared" ref="ED71:GO71" si="5">((ED6+ED12+ED13+ED14+ED15)*860+ED16*ED55+ED17*ED56+ED7*ED49+ED8*ED50+ED9*ED51+ED10*ED52+ED11*ED53)/(SUM(ED6:ED17))</f>
        <v>#DIV/0!</v>
      </c>
      <c r="EE71" s="1159" t="e">
        <f t="shared" si="5"/>
        <v>#DIV/0!</v>
      </c>
      <c r="EF71" s="1159" t="e">
        <f t="shared" si="5"/>
        <v>#DIV/0!</v>
      </c>
      <c r="EG71" s="1159" t="e">
        <f t="shared" si="5"/>
        <v>#DIV/0!</v>
      </c>
      <c r="EH71" s="1159" t="e">
        <f t="shared" si="5"/>
        <v>#DIV/0!</v>
      </c>
      <c r="EI71" s="1159" t="e">
        <f t="shared" si="5"/>
        <v>#DIV/0!</v>
      </c>
      <c r="EJ71" s="1159" t="e">
        <f t="shared" si="5"/>
        <v>#DIV/0!</v>
      </c>
      <c r="EK71" s="1159" t="e">
        <f t="shared" si="5"/>
        <v>#DIV/0!</v>
      </c>
      <c r="EL71" s="1159" t="e">
        <f t="shared" si="5"/>
        <v>#DIV/0!</v>
      </c>
      <c r="EM71" s="1159" t="e">
        <f t="shared" si="5"/>
        <v>#DIV/0!</v>
      </c>
      <c r="EN71" s="1159" t="e">
        <f t="shared" si="5"/>
        <v>#DIV/0!</v>
      </c>
      <c r="EO71" s="1159" t="e">
        <f t="shared" si="5"/>
        <v>#DIV/0!</v>
      </c>
      <c r="EP71" s="1159" t="e">
        <f t="shared" si="5"/>
        <v>#DIV/0!</v>
      </c>
      <c r="EQ71" s="1159" t="e">
        <f t="shared" si="5"/>
        <v>#DIV/0!</v>
      </c>
      <c r="ER71" s="1159" t="e">
        <f t="shared" si="5"/>
        <v>#DIV/0!</v>
      </c>
      <c r="ES71" s="1159" t="e">
        <f t="shared" si="5"/>
        <v>#DIV/0!</v>
      </c>
      <c r="ET71" s="1159" t="e">
        <f t="shared" si="5"/>
        <v>#DIV/0!</v>
      </c>
      <c r="EU71" s="1159" t="e">
        <f t="shared" si="5"/>
        <v>#DIV/0!</v>
      </c>
      <c r="EV71" s="1159" t="e">
        <f t="shared" si="5"/>
        <v>#DIV/0!</v>
      </c>
      <c r="EW71" s="1159" t="e">
        <f t="shared" si="5"/>
        <v>#DIV/0!</v>
      </c>
      <c r="EX71" s="1159" t="e">
        <f t="shared" si="5"/>
        <v>#DIV/0!</v>
      </c>
      <c r="EY71" s="1159" t="e">
        <f t="shared" si="5"/>
        <v>#DIV/0!</v>
      </c>
      <c r="EZ71" s="1159" t="e">
        <f t="shared" si="5"/>
        <v>#DIV/0!</v>
      </c>
      <c r="FA71" s="1159" t="e">
        <f t="shared" si="5"/>
        <v>#DIV/0!</v>
      </c>
      <c r="FB71" s="1159" t="e">
        <f t="shared" si="5"/>
        <v>#DIV/0!</v>
      </c>
      <c r="FC71" s="1159" t="e">
        <f t="shared" si="5"/>
        <v>#DIV/0!</v>
      </c>
      <c r="FD71" s="1159" t="e">
        <f t="shared" si="5"/>
        <v>#DIV/0!</v>
      </c>
      <c r="FE71" s="1159" t="e">
        <f t="shared" si="5"/>
        <v>#DIV/0!</v>
      </c>
      <c r="FF71" s="1159" t="e">
        <f t="shared" si="5"/>
        <v>#DIV/0!</v>
      </c>
      <c r="FG71" s="1159" t="e">
        <f t="shared" si="5"/>
        <v>#DIV/0!</v>
      </c>
      <c r="FH71" s="1159" t="e">
        <f t="shared" si="5"/>
        <v>#DIV/0!</v>
      </c>
      <c r="FI71" s="1159" t="e">
        <f t="shared" si="5"/>
        <v>#DIV/0!</v>
      </c>
      <c r="FJ71" s="1159" t="e">
        <f t="shared" si="5"/>
        <v>#DIV/0!</v>
      </c>
      <c r="FK71" s="1159" t="e">
        <f t="shared" si="5"/>
        <v>#DIV/0!</v>
      </c>
      <c r="FL71" s="1159" t="e">
        <f t="shared" si="5"/>
        <v>#DIV/0!</v>
      </c>
      <c r="FM71" s="1159" t="e">
        <f t="shared" si="5"/>
        <v>#DIV/0!</v>
      </c>
      <c r="FN71" s="1159" t="e">
        <f t="shared" si="5"/>
        <v>#DIV/0!</v>
      </c>
      <c r="FO71" s="1159" t="e">
        <f t="shared" si="5"/>
        <v>#DIV/0!</v>
      </c>
      <c r="FP71" s="1159" t="e">
        <f t="shared" si="5"/>
        <v>#DIV/0!</v>
      </c>
      <c r="FQ71" s="1159" t="e">
        <f t="shared" si="5"/>
        <v>#DIV/0!</v>
      </c>
      <c r="FR71" s="1159" t="e">
        <f t="shared" si="5"/>
        <v>#DIV/0!</v>
      </c>
      <c r="FS71" s="1159" t="e">
        <f t="shared" si="5"/>
        <v>#DIV/0!</v>
      </c>
      <c r="FT71" s="1159" t="e">
        <f t="shared" si="5"/>
        <v>#DIV/0!</v>
      </c>
      <c r="FU71" s="1159" t="e">
        <f t="shared" si="5"/>
        <v>#DIV/0!</v>
      </c>
      <c r="FV71" s="1159" t="e">
        <f t="shared" si="5"/>
        <v>#DIV/0!</v>
      </c>
      <c r="FW71" s="1159" t="e">
        <f t="shared" si="5"/>
        <v>#DIV/0!</v>
      </c>
      <c r="FX71" s="1159" t="e">
        <f t="shared" si="5"/>
        <v>#DIV/0!</v>
      </c>
      <c r="FY71" s="1159" t="e">
        <f t="shared" si="5"/>
        <v>#DIV/0!</v>
      </c>
      <c r="FZ71" s="1159" t="e">
        <f t="shared" si="5"/>
        <v>#DIV/0!</v>
      </c>
      <c r="GA71" s="1159" t="e">
        <f t="shared" si="5"/>
        <v>#DIV/0!</v>
      </c>
      <c r="GB71" s="1159" t="e">
        <f t="shared" si="5"/>
        <v>#DIV/0!</v>
      </c>
      <c r="GC71" s="1159" t="e">
        <f t="shared" si="5"/>
        <v>#DIV/0!</v>
      </c>
      <c r="GD71" s="1159" t="e">
        <f t="shared" si="5"/>
        <v>#DIV/0!</v>
      </c>
      <c r="GE71" s="1159" t="e">
        <f t="shared" si="5"/>
        <v>#DIV/0!</v>
      </c>
      <c r="GF71" s="1159" t="e">
        <f t="shared" si="5"/>
        <v>#DIV/0!</v>
      </c>
      <c r="GG71" s="1159" t="e">
        <f t="shared" si="5"/>
        <v>#DIV/0!</v>
      </c>
      <c r="GH71" s="1159" t="e">
        <f t="shared" si="5"/>
        <v>#DIV/0!</v>
      </c>
      <c r="GI71" s="1159" t="e">
        <f t="shared" si="5"/>
        <v>#DIV/0!</v>
      </c>
      <c r="GJ71" s="1159" t="e">
        <f t="shared" si="5"/>
        <v>#DIV/0!</v>
      </c>
      <c r="GK71" s="1159" t="e">
        <f t="shared" si="5"/>
        <v>#DIV/0!</v>
      </c>
      <c r="GL71" s="1159" t="e">
        <f t="shared" si="5"/>
        <v>#DIV/0!</v>
      </c>
      <c r="GM71" s="1159" t="e">
        <f t="shared" si="5"/>
        <v>#DIV/0!</v>
      </c>
      <c r="GN71" s="1159" t="e">
        <f t="shared" si="5"/>
        <v>#DIV/0!</v>
      </c>
      <c r="GO71" s="1159" t="e">
        <f t="shared" si="5"/>
        <v>#DIV/0!</v>
      </c>
      <c r="GP71" s="1159" t="e">
        <f t="shared" ref="GP71:JA71" si="6">((GP6+GP12+GP13+GP14+GP15)*860+GP16*GP55+GP17*GP56+GP7*GP49+GP8*GP50+GP9*GP51+GP10*GP52+GP11*GP53)/(SUM(GP6:GP17))</f>
        <v>#DIV/0!</v>
      </c>
      <c r="GQ71" s="1159" t="e">
        <f t="shared" si="6"/>
        <v>#DIV/0!</v>
      </c>
      <c r="GR71" s="1159" t="e">
        <f t="shared" si="6"/>
        <v>#DIV/0!</v>
      </c>
      <c r="GS71" s="1159" t="e">
        <f t="shared" si="6"/>
        <v>#DIV/0!</v>
      </c>
      <c r="GT71" s="1159" t="e">
        <f t="shared" si="6"/>
        <v>#DIV/0!</v>
      </c>
      <c r="GU71" s="1159" t="e">
        <f t="shared" si="6"/>
        <v>#DIV/0!</v>
      </c>
      <c r="GV71" s="1159" t="e">
        <f t="shared" si="6"/>
        <v>#DIV/0!</v>
      </c>
      <c r="GW71" s="1159" t="e">
        <f t="shared" si="6"/>
        <v>#DIV/0!</v>
      </c>
      <c r="GX71" s="1159" t="e">
        <f t="shared" si="6"/>
        <v>#DIV/0!</v>
      </c>
      <c r="GY71" s="1159" t="e">
        <f t="shared" si="6"/>
        <v>#DIV/0!</v>
      </c>
      <c r="GZ71" s="1159" t="e">
        <f t="shared" si="6"/>
        <v>#DIV/0!</v>
      </c>
      <c r="HA71" s="1159" t="e">
        <f t="shared" si="6"/>
        <v>#DIV/0!</v>
      </c>
      <c r="HB71" s="1159" t="e">
        <f t="shared" si="6"/>
        <v>#DIV/0!</v>
      </c>
      <c r="HC71" s="1159" t="e">
        <f t="shared" si="6"/>
        <v>#DIV/0!</v>
      </c>
      <c r="HD71" s="1159" t="e">
        <f t="shared" si="6"/>
        <v>#DIV/0!</v>
      </c>
      <c r="HE71" s="1159" t="e">
        <f t="shared" si="6"/>
        <v>#DIV/0!</v>
      </c>
      <c r="HF71" s="1159" t="e">
        <f t="shared" si="6"/>
        <v>#DIV/0!</v>
      </c>
      <c r="HG71" s="1159" t="e">
        <f t="shared" si="6"/>
        <v>#DIV/0!</v>
      </c>
      <c r="HH71" s="1159" t="e">
        <f t="shared" si="6"/>
        <v>#DIV/0!</v>
      </c>
      <c r="HI71" s="1159" t="e">
        <f t="shared" si="6"/>
        <v>#DIV/0!</v>
      </c>
      <c r="HJ71" s="1159" t="e">
        <f t="shared" si="6"/>
        <v>#DIV/0!</v>
      </c>
      <c r="HK71" s="1159" t="e">
        <f t="shared" si="6"/>
        <v>#DIV/0!</v>
      </c>
      <c r="HL71" s="1159" t="e">
        <f t="shared" si="6"/>
        <v>#DIV/0!</v>
      </c>
      <c r="HM71" s="1159" t="e">
        <f t="shared" si="6"/>
        <v>#DIV/0!</v>
      </c>
      <c r="HN71" s="1159" t="e">
        <f t="shared" si="6"/>
        <v>#DIV/0!</v>
      </c>
      <c r="HO71" s="1159" t="e">
        <f t="shared" si="6"/>
        <v>#DIV/0!</v>
      </c>
      <c r="HP71" s="1159" t="e">
        <f t="shared" si="6"/>
        <v>#DIV/0!</v>
      </c>
      <c r="HQ71" s="1159" t="e">
        <f t="shared" si="6"/>
        <v>#DIV/0!</v>
      </c>
      <c r="HR71" s="1159" t="e">
        <f t="shared" si="6"/>
        <v>#DIV/0!</v>
      </c>
      <c r="HS71" s="1159" t="e">
        <f t="shared" si="6"/>
        <v>#DIV/0!</v>
      </c>
      <c r="HT71" s="1159" t="e">
        <f t="shared" si="6"/>
        <v>#DIV/0!</v>
      </c>
      <c r="HU71" s="1159" t="e">
        <f t="shared" si="6"/>
        <v>#DIV/0!</v>
      </c>
      <c r="HV71" s="1159" t="e">
        <f t="shared" si="6"/>
        <v>#DIV/0!</v>
      </c>
      <c r="HW71" s="1159" t="e">
        <f t="shared" si="6"/>
        <v>#DIV/0!</v>
      </c>
      <c r="HX71" s="1159" t="e">
        <f t="shared" si="6"/>
        <v>#DIV/0!</v>
      </c>
      <c r="HY71" s="1159" t="e">
        <f t="shared" si="6"/>
        <v>#DIV/0!</v>
      </c>
      <c r="HZ71" s="1159" t="e">
        <f t="shared" si="6"/>
        <v>#DIV/0!</v>
      </c>
      <c r="IA71" s="1159" t="e">
        <f t="shared" si="6"/>
        <v>#DIV/0!</v>
      </c>
      <c r="IB71" s="1159" t="e">
        <f t="shared" si="6"/>
        <v>#DIV/0!</v>
      </c>
      <c r="IC71" s="1159" t="e">
        <f t="shared" si="6"/>
        <v>#DIV/0!</v>
      </c>
      <c r="ID71" s="1159" t="e">
        <f t="shared" si="6"/>
        <v>#DIV/0!</v>
      </c>
      <c r="IE71" s="1159" t="e">
        <f t="shared" si="6"/>
        <v>#DIV/0!</v>
      </c>
      <c r="IF71" s="1159" t="e">
        <f t="shared" si="6"/>
        <v>#DIV/0!</v>
      </c>
      <c r="IG71" s="1159" t="e">
        <f t="shared" si="6"/>
        <v>#DIV/0!</v>
      </c>
      <c r="IH71" s="1159" t="e">
        <f t="shared" si="6"/>
        <v>#DIV/0!</v>
      </c>
      <c r="II71" s="1159" t="e">
        <f t="shared" si="6"/>
        <v>#DIV/0!</v>
      </c>
      <c r="IJ71" s="1159" t="e">
        <f t="shared" si="6"/>
        <v>#DIV/0!</v>
      </c>
      <c r="IK71" s="1159" t="e">
        <f t="shared" si="6"/>
        <v>#DIV/0!</v>
      </c>
      <c r="IL71" s="1159" t="e">
        <f t="shared" si="6"/>
        <v>#DIV/0!</v>
      </c>
      <c r="IM71" s="1159" t="e">
        <f t="shared" si="6"/>
        <v>#DIV/0!</v>
      </c>
      <c r="IN71" s="1159" t="e">
        <f t="shared" si="6"/>
        <v>#DIV/0!</v>
      </c>
      <c r="IO71" s="1159" t="e">
        <f t="shared" si="6"/>
        <v>#DIV/0!</v>
      </c>
      <c r="IP71" s="1159" t="e">
        <f t="shared" si="6"/>
        <v>#DIV/0!</v>
      </c>
      <c r="IQ71" s="1159" t="e">
        <f t="shared" si="6"/>
        <v>#DIV/0!</v>
      </c>
      <c r="IR71" s="1159" t="e">
        <f t="shared" si="6"/>
        <v>#DIV/0!</v>
      </c>
      <c r="IS71" s="1159" t="e">
        <f t="shared" si="6"/>
        <v>#DIV/0!</v>
      </c>
      <c r="IT71" s="1159" t="e">
        <f t="shared" si="6"/>
        <v>#DIV/0!</v>
      </c>
      <c r="IU71" s="1159" t="e">
        <f t="shared" si="6"/>
        <v>#DIV/0!</v>
      </c>
      <c r="IV71" s="1159" t="e">
        <f t="shared" si="6"/>
        <v>#DIV/0!</v>
      </c>
      <c r="IW71" s="1159" t="e">
        <f t="shared" si="6"/>
        <v>#DIV/0!</v>
      </c>
      <c r="IX71" s="1159" t="e">
        <f t="shared" si="6"/>
        <v>#DIV/0!</v>
      </c>
      <c r="IY71" s="1159" t="e">
        <f t="shared" si="6"/>
        <v>#DIV/0!</v>
      </c>
      <c r="IZ71" s="1159" t="e">
        <f t="shared" si="6"/>
        <v>#DIV/0!</v>
      </c>
      <c r="JA71" s="1159" t="e">
        <f t="shared" si="6"/>
        <v>#DIV/0!</v>
      </c>
      <c r="JB71" s="1159" t="e">
        <f t="shared" ref="JB71:LM71" si="7">((JB6+JB12+JB13+JB14+JB15)*860+JB16*JB55+JB17*JB56+JB7*JB49+JB8*JB50+JB9*JB51+JB10*JB52+JB11*JB53)/(SUM(JB6:JB17))</f>
        <v>#DIV/0!</v>
      </c>
      <c r="JC71" s="1159" t="e">
        <f t="shared" si="7"/>
        <v>#DIV/0!</v>
      </c>
      <c r="JD71" s="1159" t="e">
        <f t="shared" si="7"/>
        <v>#DIV/0!</v>
      </c>
      <c r="JE71" s="1159" t="e">
        <f t="shared" si="7"/>
        <v>#DIV/0!</v>
      </c>
      <c r="JF71" s="1159" t="e">
        <f t="shared" si="7"/>
        <v>#DIV/0!</v>
      </c>
      <c r="JG71" s="1159" t="e">
        <f t="shared" si="7"/>
        <v>#DIV/0!</v>
      </c>
      <c r="JH71" s="1159" t="e">
        <f t="shared" si="7"/>
        <v>#DIV/0!</v>
      </c>
      <c r="JI71" s="1159" t="e">
        <f t="shared" si="7"/>
        <v>#DIV/0!</v>
      </c>
      <c r="JJ71" s="1159" t="e">
        <f t="shared" si="7"/>
        <v>#DIV/0!</v>
      </c>
      <c r="JK71" s="1159" t="e">
        <f t="shared" si="7"/>
        <v>#DIV/0!</v>
      </c>
      <c r="JL71" s="1159" t="e">
        <f t="shared" si="7"/>
        <v>#DIV/0!</v>
      </c>
      <c r="JM71" s="1159" t="e">
        <f t="shared" si="7"/>
        <v>#DIV/0!</v>
      </c>
      <c r="JN71" s="1159" t="e">
        <f t="shared" si="7"/>
        <v>#DIV/0!</v>
      </c>
      <c r="JO71" s="1159" t="e">
        <f t="shared" si="7"/>
        <v>#DIV/0!</v>
      </c>
      <c r="JP71" s="1159" t="e">
        <f t="shared" si="7"/>
        <v>#DIV/0!</v>
      </c>
      <c r="JQ71" s="1159" t="e">
        <f t="shared" si="7"/>
        <v>#DIV/0!</v>
      </c>
      <c r="JR71" s="1159" t="e">
        <f t="shared" si="7"/>
        <v>#DIV/0!</v>
      </c>
      <c r="JS71" s="1159" t="e">
        <f t="shared" si="7"/>
        <v>#DIV/0!</v>
      </c>
      <c r="JT71" s="1159" t="e">
        <f t="shared" si="7"/>
        <v>#DIV/0!</v>
      </c>
      <c r="JU71" s="1159" t="e">
        <f t="shared" si="7"/>
        <v>#DIV/0!</v>
      </c>
      <c r="JV71" s="1159" t="e">
        <f t="shared" si="7"/>
        <v>#DIV/0!</v>
      </c>
      <c r="JW71" s="1159" t="e">
        <f t="shared" si="7"/>
        <v>#DIV/0!</v>
      </c>
      <c r="JX71" s="1159" t="e">
        <f t="shared" si="7"/>
        <v>#DIV/0!</v>
      </c>
      <c r="JY71" s="1159" t="e">
        <f t="shared" si="7"/>
        <v>#DIV/0!</v>
      </c>
      <c r="JZ71" s="1159" t="e">
        <f t="shared" si="7"/>
        <v>#DIV/0!</v>
      </c>
      <c r="KA71" s="1159" t="e">
        <f t="shared" si="7"/>
        <v>#DIV/0!</v>
      </c>
      <c r="KB71" s="1159" t="e">
        <f t="shared" si="7"/>
        <v>#DIV/0!</v>
      </c>
      <c r="KC71" s="1159" t="e">
        <f t="shared" si="7"/>
        <v>#DIV/0!</v>
      </c>
      <c r="KD71" s="1159" t="e">
        <f t="shared" si="7"/>
        <v>#DIV/0!</v>
      </c>
      <c r="KE71" s="1159" t="e">
        <f t="shared" si="7"/>
        <v>#DIV/0!</v>
      </c>
      <c r="KF71" s="1159" t="e">
        <f t="shared" si="7"/>
        <v>#DIV/0!</v>
      </c>
      <c r="KG71" s="1159" t="e">
        <f t="shared" si="7"/>
        <v>#DIV/0!</v>
      </c>
      <c r="KH71" s="1159" t="e">
        <f t="shared" si="7"/>
        <v>#DIV/0!</v>
      </c>
      <c r="KI71" s="1159" t="e">
        <f t="shared" si="7"/>
        <v>#DIV/0!</v>
      </c>
      <c r="KJ71" s="1159" t="e">
        <f t="shared" si="7"/>
        <v>#DIV/0!</v>
      </c>
      <c r="KK71" s="1159" t="e">
        <f t="shared" si="7"/>
        <v>#DIV/0!</v>
      </c>
      <c r="KL71" s="1159" t="e">
        <f t="shared" si="7"/>
        <v>#DIV/0!</v>
      </c>
      <c r="KM71" s="1159" t="e">
        <f t="shared" si="7"/>
        <v>#DIV/0!</v>
      </c>
      <c r="KN71" s="1159" t="e">
        <f t="shared" si="7"/>
        <v>#DIV/0!</v>
      </c>
      <c r="KO71" s="1159" t="e">
        <f t="shared" si="7"/>
        <v>#DIV/0!</v>
      </c>
      <c r="KP71" s="1159" t="e">
        <f t="shared" si="7"/>
        <v>#DIV/0!</v>
      </c>
      <c r="KQ71" s="1159" t="e">
        <f t="shared" si="7"/>
        <v>#DIV/0!</v>
      </c>
      <c r="KR71" s="1159" t="e">
        <f t="shared" si="7"/>
        <v>#DIV/0!</v>
      </c>
      <c r="KS71" s="1159" t="e">
        <f t="shared" si="7"/>
        <v>#DIV/0!</v>
      </c>
      <c r="KT71" s="1159" t="e">
        <f t="shared" si="7"/>
        <v>#DIV/0!</v>
      </c>
      <c r="KU71" s="1159" t="e">
        <f t="shared" si="7"/>
        <v>#DIV/0!</v>
      </c>
      <c r="KV71" s="1159" t="e">
        <f t="shared" si="7"/>
        <v>#DIV/0!</v>
      </c>
      <c r="KW71" s="1159" t="e">
        <f t="shared" si="7"/>
        <v>#DIV/0!</v>
      </c>
      <c r="KX71" s="1159" t="e">
        <f t="shared" si="7"/>
        <v>#DIV/0!</v>
      </c>
      <c r="KY71" s="1159" t="e">
        <f t="shared" si="7"/>
        <v>#DIV/0!</v>
      </c>
      <c r="KZ71" s="1159" t="e">
        <f t="shared" si="7"/>
        <v>#DIV/0!</v>
      </c>
      <c r="LA71" s="1159" t="e">
        <f t="shared" si="7"/>
        <v>#DIV/0!</v>
      </c>
      <c r="LB71" s="1159" t="e">
        <f t="shared" si="7"/>
        <v>#DIV/0!</v>
      </c>
      <c r="LC71" s="1159" t="e">
        <f t="shared" si="7"/>
        <v>#DIV/0!</v>
      </c>
      <c r="LD71" s="1159" t="e">
        <f t="shared" si="7"/>
        <v>#DIV/0!</v>
      </c>
      <c r="LE71" s="1159" t="e">
        <f t="shared" si="7"/>
        <v>#DIV/0!</v>
      </c>
      <c r="LF71" s="1159" t="e">
        <f t="shared" si="7"/>
        <v>#DIV/0!</v>
      </c>
      <c r="LG71" s="1159" t="e">
        <f t="shared" si="7"/>
        <v>#DIV/0!</v>
      </c>
      <c r="LH71" s="1159" t="e">
        <f t="shared" si="7"/>
        <v>#DIV/0!</v>
      </c>
      <c r="LI71" s="1159" t="e">
        <f t="shared" si="7"/>
        <v>#DIV/0!</v>
      </c>
      <c r="LJ71" s="1159" t="e">
        <f t="shared" si="7"/>
        <v>#DIV/0!</v>
      </c>
      <c r="LK71" s="1159" t="e">
        <f t="shared" si="7"/>
        <v>#DIV/0!</v>
      </c>
      <c r="LL71" s="1159" t="e">
        <f t="shared" si="7"/>
        <v>#DIV/0!</v>
      </c>
      <c r="LM71" s="1159" t="e">
        <f t="shared" si="7"/>
        <v>#DIV/0!</v>
      </c>
      <c r="LN71" s="1159" t="e">
        <f t="shared" ref="LN71:NY71" si="8">((LN6+LN12+LN13+LN14+LN15)*860+LN16*LN55+LN17*LN56+LN7*LN49+LN8*LN50+LN9*LN51+LN10*LN52+LN11*LN53)/(SUM(LN6:LN17))</f>
        <v>#DIV/0!</v>
      </c>
      <c r="LO71" s="1159" t="e">
        <f t="shared" si="8"/>
        <v>#DIV/0!</v>
      </c>
      <c r="LP71" s="1159" t="e">
        <f t="shared" si="8"/>
        <v>#DIV/0!</v>
      </c>
      <c r="LQ71" s="1159" t="e">
        <f t="shared" si="8"/>
        <v>#DIV/0!</v>
      </c>
      <c r="LR71" s="1159" t="e">
        <f t="shared" si="8"/>
        <v>#DIV/0!</v>
      </c>
      <c r="LS71" s="1159" t="e">
        <f t="shared" si="8"/>
        <v>#DIV/0!</v>
      </c>
      <c r="LT71" s="1159" t="e">
        <f t="shared" si="8"/>
        <v>#DIV/0!</v>
      </c>
      <c r="LU71" s="1159" t="e">
        <f t="shared" si="8"/>
        <v>#DIV/0!</v>
      </c>
      <c r="LV71" s="1159" t="e">
        <f t="shared" si="8"/>
        <v>#DIV/0!</v>
      </c>
      <c r="LW71" s="1159" t="e">
        <f t="shared" si="8"/>
        <v>#DIV/0!</v>
      </c>
      <c r="LX71" s="1159" t="e">
        <f t="shared" si="8"/>
        <v>#DIV/0!</v>
      </c>
      <c r="LY71" s="1159" t="e">
        <f t="shared" si="8"/>
        <v>#DIV/0!</v>
      </c>
      <c r="LZ71" s="1159" t="e">
        <f t="shared" si="8"/>
        <v>#DIV/0!</v>
      </c>
      <c r="MA71" s="1159" t="e">
        <f t="shared" si="8"/>
        <v>#DIV/0!</v>
      </c>
      <c r="MB71" s="1159" t="e">
        <f t="shared" si="8"/>
        <v>#DIV/0!</v>
      </c>
      <c r="MC71" s="1159" t="e">
        <f t="shared" si="8"/>
        <v>#DIV/0!</v>
      </c>
      <c r="MD71" s="1159" t="e">
        <f t="shared" si="8"/>
        <v>#DIV/0!</v>
      </c>
      <c r="ME71" s="1159" t="e">
        <f t="shared" si="8"/>
        <v>#DIV/0!</v>
      </c>
      <c r="MF71" s="1159" t="e">
        <f t="shared" si="8"/>
        <v>#DIV/0!</v>
      </c>
      <c r="MG71" s="1159" t="e">
        <f t="shared" si="8"/>
        <v>#DIV/0!</v>
      </c>
      <c r="MH71" s="1159" t="e">
        <f t="shared" si="8"/>
        <v>#DIV/0!</v>
      </c>
      <c r="MI71" s="1159" t="e">
        <f t="shared" si="8"/>
        <v>#DIV/0!</v>
      </c>
      <c r="MJ71" s="1159" t="e">
        <f t="shared" si="8"/>
        <v>#DIV/0!</v>
      </c>
      <c r="MK71" s="1159" t="e">
        <f t="shared" si="8"/>
        <v>#DIV/0!</v>
      </c>
      <c r="ML71" s="1159" t="e">
        <f t="shared" si="8"/>
        <v>#DIV/0!</v>
      </c>
      <c r="MM71" s="1159" t="e">
        <f t="shared" si="8"/>
        <v>#DIV/0!</v>
      </c>
      <c r="MN71" s="1159" t="e">
        <f t="shared" si="8"/>
        <v>#DIV/0!</v>
      </c>
      <c r="MO71" s="1159" t="e">
        <f t="shared" si="8"/>
        <v>#DIV/0!</v>
      </c>
      <c r="MP71" s="1159" t="e">
        <f t="shared" si="8"/>
        <v>#DIV/0!</v>
      </c>
      <c r="MQ71" s="1159" t="e">
        <f t="shared" si="8"/>
        <v>#DIV/0!</v>
      </c>
      <c r="MR71" s="1159" t="e">
        <f t="shared" si="8"/>
        <v>#DIV/0!</v>
      </c>
      <c r="MS71" s="1159" t="e">
        <f t="shared" si="8"/>
        <v>#DIV/0!</v>
      </c>
      <c r="MT71" s="1159" t="e">
        <f t="shared" si="8"/>
        <v>#DIV/0!</v>
      </c>
      <c r="MU71" s="1159" t="e">
        <f t="shared" si="8"/>
        <v>#DIV/0!</v>
      </c>
      <c r="MV71" s="1159" t="e">
        <f t="shared" si="8"/>
        <v>#DIV/0!</v>
      </c>
      <c r="MW71" s="1159" t="e">
        <f t="shared" si="8"/>
        <v>#DIV/0!</v>
      </c>
      <c r="MX71" s="1159" t="e">
        <f t="shared" si="8"/>
        <v>#DIV/0!</v>
      </c>
      <c r="MY71" s="1159" t="e">
        <f t="shared" si="8"/>
        <v>#DIV/0!</v>
      </c>
      <c r="MZ71" s="1159" t="e">
        <f t="shared" si="8"/>
        <v>#DIV/0!</v>
      </c>
      <c r="NA71" s="1159" t="e">
        <f t="shared" si="8"/>
        <v>#DIV/0!</v>
      </c>
      <c r="NB71" s="1159" t="e">
        <f t="shared" si="8"/>
        <v>#DIV/0!</v>
      </c>
      <c r="NC71" s="1159" t="e">
        <f t="shared" si="8"/>
        <v>#DIV/0!</v>
      </c>
      <c r="ND71" s="1159" t="e">
        <f t="shared" si="8"/>
        <v>#DIV/0!</v>
      </c>
      <c r="NE71" s="1159" t="e">
        <f t="shared" si="8"/>
        <v>#DIV/0!</v>
      </c>
      <c r="NF71" s="1159" t="e">
        <f t="shared" si="8"/>
        <v>#DIV/0!</v>
      </c>
      <c r="NG71" s="1159" t="e">
        <f t="shared" si="8"/>
        <v>#DIV/0!</v>
      </c>
      <c r="NH71" s="1159" t="e">
        <f t="shared" si="8"/>
        <v>#DIV/0!</v>
      </c>
      <c r="NI71" s="1159" t="e">
        <f t="shared" si="8"/>
        <v>#DIV/0!</v>
      </c>
      <c r="NJ71" s="1159" t="e">
        <f t="shared" si="8"/>
        <v>#DIV/0!</v>
      </c>
      <c r="NK71" s="1159" t="e">
        <f t="shared" si="8"/>
        <v>#DIV/0!</v>
      </c>
      <c r="NL71" s="1159" t="e">
        <f t="shared" si="8"/>
        <v>#DIV/0!</v>
      </c>
      <c r="NM71" s="1159" t="e">
        <f t="shared" si="8"/>
        <v>#DIV/0!</v>
      </c>
      <c r="NN71" s="1159" t="e">
        <f t="shared" si="8"/>
        <v>#DIV/0!</v>
      </c>
      <c r="NO71" s="1159" t="e">
        <f t="shared" si="8"/>
        <v>#DIV/0!</v>
      </c>
      <c r="NP71" s="1159" t="e">
        <f t="shared" si="8"/>
        <v>#DIV/0!</v>
      </c>
      <c r="NQ71" s="1159" t="e">
        <f t="shared" si="8"/>
        <v>#DIV/0!</v>
      </c>
      <c r="NR71" s="1159" t="e">
        <f t="shared" si="8"/>
        <v>#DIV/0!</v>
      </c>
      <c r="NS71" s="1159" t="e">
        <f t="shared" si="8"/>
        <v>#DIV/0!</v>
      </c>
      <c r="NT71" s="1159" t="e">
        <f t="shared" si="8"/>
        <v>#DIV/0!</v>
      </c>
      <c r="NU71" s="1159" t="e">
        <f t="shared" si="8"/>
        <v>#DIV/0!</v>
      </c>
      <c r="NV71" s="1159" t="e">
        <f t="shared" si="8"/>
        <v>#DIV/0!</v>
      </c>
      <c r="NW71" s="1159" t="e">
        <f t="shared" si="8"/>
        <v>#DIV/0!</v>
      </c>
      <c r="NX71" s="1159" t="e">
        <f t="shared" si="8"/>
        <v>#DIV/0!</v>
      </c>
      <c r="NY71" s="1159" t="e">
        <f t="shared" si="8"/>
        <v>#DIV/0!</v>
      </c>
      <c r="NZ71" s="1159" t="e">
        <f t="shared" ref="NZ71:QK71" si="9">((NZ6+NZ12+NZ13+NZ14+NZ15)*860+NZ16*NZ55+NZ17*NZ56+NZ7*NZ49+NZ8*NZ50+NZ9*NZ51+NZ10*NZ52+NZ11*NZ53)/(SUM(NZ6:NZ17))</f>
        <v>#DIV/0!</v>
      </c>
      <c r="OA71" s="1159" t="e">
        <f t="shared" si="9"/>
        <v>#DIV/0!</v>
      </c>
      <c r="OB71" s="1159" t="e">
        <f t="shared" si="9"/>
        <v>#DIV/0!</v>
      </c>
      <c r="OC71" s="1159" t="e">
        <f t="shared" si="9"/>
        <v>#DIV/0!</v>
      </c>
      <c r="OD71" s="1159" t="e">
        <f t="shared" si="9"/>
        <v>#DIV/0!</v>
      </c>
      <c r="OE71" s="1159" t="e">
        <f t="shared" si="9"/>
        <v>#DIV/0!</v>
      </c>
      <c r="OF71" s="1159" t="e">
        <f t="shared" si="9"/>
        <v>#DIV/0!</v>
      </c>
      <c r="OG71" s="1159" t="e">
        <f t="shared" si="9"/>
        <v>#DIV/0!</v>
      </c>
      <c r="OH71" s="1159" t="e">
        <f t="shared" si="9"/>
        <v>#DIV/0!</v>
      </c>
      <c r="OI71" s="1159" t="e">
        <f t="shared" si="9"/>
        <v>#DIV/0!</v>
      </c>
      <c r="OJ71" s="1159" t="e">
        <f t="shared" si="9"/>
        <v>#DIV/0!</v>
      </c>
      <c r="OK71" s="1159" t="e">
        <f t="shared" si="9"/>
        <v>#DIV/0!</v>
      </c>
      <c r="OL71" s="1159" t="e">
        <f t="shared" si="9"/>
        <v>#DIV/0!</v>
      </c>
      <c r="OM71" s="1159" t="e">
        <f t="shared" si="9"/>
        <v>#DIV/0!</v>
      </c>
      <c r="ON71" s="1159" t="e">
        <f t="shared" si="9"/>
        <v>#DIV/0!</v>
      </c>
      <c r="OO71" s="1159" t="e">
        <f t="shared" si="9"/>
        <v>#DIV/0!</v>
      </c>
      <c r="OP71" s="1159" t="e">
        <f t="shared" si="9"/>
        <v>#DIV/0!</v>
      </c>
      <c r="OQ71" s="1159" t="e">
        <f t="shared" si="9"/>
        <v>#DIV/0!</v>
      </c>
      <c r="OR71" s="1159" t="e">
        <f t="shared" si="9"/>
        <v>#DIV/0!</v>
      </c>
      <c r="OS71" s="1159" t="e">
        <f t="shared" si="9"/>
        <v>#DIV/0!</v>
      </c>
      <c r="OT71" s="1159" t="e">
        <f t="shared" si="9"/>
        <v>#DIV/0!</v>
      </c>
      <c r="OU71" s="1159" t="e">
        <f t="shared" si="9"/>
        <v>#DIV/0!</v>
      </c>
      <c r="OV71" s="1159" t="e">
        <f t="shared" si="9"/>
        <v>#DIV/0!</v>
      </c>
      <c r="OW71" s="1159" t="e">
        <f t="shared" si="9"/>
        <v>#DIV/0!</v>
      </c>
      <c r="OX71" s="1159" t="e">
        <f t="shared" si="9"/>
        <v>#DIV/0!</v>
      </c>
      <c r="OY71" s="1159" t="e">
        <f t="shared" si="9"/>
        <v>#DIV/0!</v>
      </c>
      <c r="OZ71" s="1159" t="e">
        <f t="shared" si="9"/>
        <v>#DIV/0!</v>
      </c>
      <c r="PA71" s="1159" t="e">
        <f t="shared" si="9"/>
        <v>#DIV/0!</v>
      </c>
      <c r="PB71" s="1159" t="e">
        <f t="shared" si="9"/>
        <v>#DIV/0!</v>
      </c>
      <c r="PC71" s="1159" t="e">
        <f t="shared" si="9"/>
        <v>#DIV/0!</v>
      </c>
      <c r="PD71" s="1159" t="e">
        <f t="shared" si="9"/>
        <v>#DIV/0!</v>
      </c>
      <c r="PE71" s="1159" t="e">
        <f t="shared" si="9"/>
        <v>#DIV/0!</v>
      </c>
      <c r="PF71" s="1159" t="e">
        <f t="shared" si="9"/>
        <v>#DIV/0!</v>
      </c>
      <c r="PG71" s="1159" t="e">
        <f t="shared" si="9"/>
        <v>#DIV/0!</v>
      </c>
      <c r="PH71" s="1159" t="e">
        <f t="shared" si="9"/>
        <v>#DIV/0!</v>
      </c>
      <c r="PI71" s="1159" t="e">
        <f t="shared" si="9"/>
        <v>#DIV/0!</v>
      </c>
      <c r="PJ71" s="1159" t="e">
        <f t="shared" si="9"/>
        <v>#DIV/0!</v>
      </c>
      <c r="PK71" s="1159" t="e">
        <f t="shared" si="9"/>
        <v>#DIV/0!</v>
      </c>
      <c r="PL71" s="1159" t="e">
        <f t="shared" si="9"/>
        <v>#DIV/0!</v>
      </c>
      <c r="PM71" s="1159" t="e">
        <f t="shared" si="9"/>
        <v>#DIV/0!</v>
      </c>
      <c r="PN71" s="1159" t="e">
        <f t="shared" si="9"/>
        <v>#DIV/0!</v>
      </c>
      <c r="PO71" s="1159" t="e">
        <f t="shared" si="9"/>
        <v>#DIV/0!</v>
      </c>
      <c r="PP71" s="1159" t="e">
        <f t="shared" si="9"/>
        <v>#DIV/0!</v>
      </c>
      <c r="PQ71" s="1159" t="e">
        <f t="shared" si="9"/>
        <v>#DIV/0!</v>
      </c>
      <c r="PR71" s="1159" t="e">
        <f t="shared" si="9"/>
        <v>#DIV/0!</v>
      </c>
      <c r="PS71" s="1159" t="e">
        <f t="shared" si="9"/>
        <v>#DIV/0!</v>
      </c>
      <c r="PT71" s="1159" t="e">
        <f t="shared" si="9"/>
        <v>#DIV/0!</v>
      </c>
      <c r="PU71" s="1159" t="e">
        <f t="shared" si="9"/>
        <v>#DIV/0!</v>
      </c>
      <c r="PV71" s="1159" t="e">
        <f t="shared" si="9"/>
        <v>#DIV/0!</v>
      </c>
      <c r="PW71" s="1159" t="e">
        <f t="shared" si="9"/>
        <v>#DIV/0!</v>
      </c>
      <c r="PX71" s="1159" t="e">
        <f t="shared" si="9"/>
        <v>#DIV/0!</v>
      </c>
      <c r="PY71" s="1159" t="e">
        <f t="shared" si="9"/>
        <v>#DIV/0!</v>
      </c>
      <c r="PZ71" s="1159" t="e">
        <f t="shared" si="9"/>
        <v>#DIV/0!</v>
      </c>
      <c r="QA71" s="1159" t="e">
        <f t="shared" si="9"/>
        <v>#DIV/0!</v>
      </c>
      <c r="QB71" s="1159" t="e">
        <f t="shared" si="9"/>
        <v>#DIV/0!</v>
      </c>
      <c r="QC71" s="1159" t="e">
        <f t="shared" si="9"/>
        <v>#DIV/0!</v>
      </c>
      <c r="QD71" s="1159" t="e">
        <f t="shared" si="9"/>
        <v>#DIV/0!</v>
      </c>
      <c r="QE71" s="1159" t="e">
        <f t="shared" si="9"/>
        <v>#DIV/0!</v>
      </c>
      <c r="QF71" s="1159" t="e">
        <f t="shared" si="9"/>
        <v>#DIV/0!</v>
      </c>
      <c r="QG71" s="1159" t="e">
        <f t="shared" si="9"/>
        <v>#DIV/0!</v>
      </c>
      <c r="QH71" s="1159" t="e">
        <f t="shared" si="9"/>
        <v>#DIV/0!</v>
      </c>
      <c r="QI71" s="1159" t="e">
        <f t="shared" si="9"/>
        <v>#DIV/0!</v>
      </c>
      <c r="QJ71" s="1159" t="e">
        <f t="shared" si="9"/>
        <v>#DIV/0!</v>
      </c>
      <c r="QK71" s="1159" t="e">
        <f t="shared" si="9"/>
        <v>#DIV/0!</v>
      </c>
      <c r="QL71" s="1159" t="e">
        <f t="shared" ref="QL71:SW71" si="10">((QL6+QL12+QL13+QL14+QL15)*860+QL16*QL55+QL17*QL56+QL7*QL49+QL8*QL50+QL9*QL51+QL10*QL52+QL11*QL53)/(SUM(QL6:QL17))</f>
        <v>#DIV/0!</v>
      </c>
      <c r="QM71" s="1159" t="e">
        <f t="shared" si="10"/>
        <v>#DIV/0!</v>
      </c>
      <c r="QN71" s="1159" t="e">
        <f t="shared" si="10"/>
        <v>#DIV/0!</v>
      </c>
      <c r="QO71" s="1159" t="e">
        <f t="shared" si="10"/>
        <v>#DIV/0!</v>
      </c>
      <c r="QP71" s="1159" t="e">
        <f t="shared" si="10"/>
        <v>#DIV/0!</v>
      </c>
      <c r="QQ71" s="1159" t="e">
        <f t="shared" si="10"/>
        <v>#DIV/0!</v>
      </c>
      <c r="QR71" s="1159" t="e">
        <f t="shared" si="10"/>
        <v>#DIV/0!</v>
      </c>
      <c r="QS71" s="1159" t="e">
        <f t="shared" si="10"/>
        <v>#DIV/0!</v>
      </c>
      <c r="QT71" s="1159" t="e">
        <f t="shared" si="10"/>
        <v>#DIV/0!</v>
      </c>
      <c r="QU71" s="1159" t="e">
        <f t="shared" si="10"/>
        <v>#DIV/0!</v>
      </c>
      <c r="QV71" s="1159" t="e">
        <f t="shared" si="10"/>
        <v>#DIV/0!</v>
      </c>
      <c r="QW71" s="1159" t="e">
        <f t="shared" si="10"/>
        <v>#DIV/0!</v>
      </c>
      <c r="QX71" s="1159" t="e">
        <f t="shared" si="10"/>
        <v>#DIV/0!</v>
      </c>
      <c r="QY71" s="1159" t="e">
        <f t="shared" si="10"/>
        <v>#DIV/0!</v>
      </c>
      <c r="QZ71" s="1159" t="e">
        <f t="shared" si="10"/>
        <v>#DIV/0!</v>
      </c>
      <c r="RA71" s="1159" t="e">
        <f t="shared" si="10"/>
        <v>#DIV/0!</v>
      </c>
      <c r="RB71" s="1159" t="e">
        <f t="shared" si="10"/>
        <v>#DIV/0!</v>
      </c>
      <c r="RC71" s="1159" t="e">
        <f t="shared" si="10"/>
        <v>#DIV/0!</v>
      </c>
      <c r="RD71" s="1159" t="e">
        <f t="shared" si="10"/>
        <v>#DIV/0!</v>
      </c>
      <c r="RE71" s="1159" t="e">
        <f t="shared" si="10"/>
        <v>#DIV/0!</v>
      </c>
      <c r="RF71" s="1159" t="e">
        <f t="shared" si="10"/>
        <v>#DIV/0!</v>
      </c>
      <c r="RG71" s="1159" t="e">
        <f t="shared" si="10"/>
        <v>#DIV/0!</v>
      </c>
      <c r="RH71" s="1159" t="e">
        <f t="shared" si="10"/>
        <v>#DIV/0!</v>
      </c>
      <c r="RI71" s="1159" t="e">
        <f t="shared" si="10"/>
        <v>#DIV/0!</v>
      </c>
      <c r="RJ71" s="1159" t="e">
        <f t="shared" si="10"/>
        <v>#DIV/0!</v>
      </c>
      <c r="RK71" s="1159" t="e">
        <f t="shared" si="10"/>
        <v>#DIV/0!</v>
      </c>
      <c r="RL71" s="1159" t="e">
        <f t="shared" si="10"/>
        <v>#DIV/0!</v>
      </c>
      <c r="RM71" s="1159" t="e">
        <f t="shared" si="10"/>
        <v>#DIV/0!</v>
      </c>
      <c r="RN71" s="1159" t="e">
        <f t="shared" si="10"/>
        <v>#DIV/0!</v>
      </c>
      <c r="RO71" s="1159" t="e">
        <f t="shared" si="10"/>
        <v>#DIV/0!</v>
      </c>
      <c r="RP71" s="1159" t="e">
        <f t="shared" si="10"/>
        <v>#DIV/0!</v>
      </c>
      <c r="RQ71" s="1159" t="e">
        <f t="shared" si="10"/>
        <v>#DIV/0!</v>
      </c>
      <c r="RR71" s="1159" t="e">
        <f t="shared" si="10"/>
        <v>#DIV/0!</v>
      </c>
      <c r="RS71" s="1159" t="e">
        <f t="shared" si="10"/>
        <v>#DIV/0!</v>
      </c>
      <c r="RT71" s="1159" t="e">
        <f t="shared" si="10"/>
        <v>#DIV/0!</v>
      </c>
      <c r="RU71" s="1159" t="e">
        <f t="shared" si="10"/>
        <v>#DIV/0!</v>
      </c>
      <c r="RV71" s="1159" t="e">
        <f t="shared" si="10"/>
        <v>#DIV/0!</v>
      </c>
      <c r="RW71" s="1159" t="e">
        <f t="shared" si="10"/>
        <v>#DIV/0!</v>
      </c>
      <c r="RX71" s="1159" t="e">
        <f t="shared" si="10"/>
        <v>#DIV/0!</v>
      </c>
      <c r="RY71" s="1159" t="e">
        <f t="shared" si="10"/>
        <v>#DIV/0!</v>
      </c>
      <c r="RZ71" s="1159" t="e">
        <f t="shared" si="10"/>
        <v>#DIV/0!</v>
      </c>
      <c r="SA71" s="1159" t="e">
        <f t="shared" si="10"/>
        <v>#DIV/0!</v>
      </c>
      <c r="SB71" s="1159" t="e">
        <f t="shared" si="10"/>
        <v>#DIV/0!</v>
      </c>
      <c r="SC71" s="1159" t="e">
        <f t="shared" si="10"/>
        <v>#DIV/0!</v>
      </c>
      <c r="SD71" s="1159" t="e">
        <f t="shared" si="10"/>
        <v>#DIV/0!</v>
      </c>
      <c r="SE71" s="1159" t="e">
        <f t="shared" si="10"/>
        <v>#DIV/0!</v>
      </c>
      <c r="SF71" s="1159" t="e">
        <f t="shared" si="10"/>
        <v>#DIV/0!</v>
      </c>
      <c r="SG71" s="1159" t="e">
        <f t="shared" si="10"/>
        <v>#DIV/0!</v>
      </c>
      <c r="SH71" s="1159" t="e">
        <f t="shared" si="10"/>
        <v>#DIV/0!</v>
      </c>
      <c r="SI71" s="1159" t="e">
        <f t="shared" si="10"/>
        <v>#DIV/0!</v>
      </c>
      <c r="SJ71" s="1159" t="e">
        <f t="shared" si="10"/>
        <v>#DIV/0!</v>
      </c>
      <c r="SK71" s="1159" t="e">
        <f t="shared" si="10"/>
        <v>#DIV/0!</v>
      </c>
      <c r="SL71" s="1159" t="e">
        <f t="shared" si="10"/>
        <v>#DIV/0!</v>
      </c>
      <c r="SM71" s="1159" t="e">
        <f t="shared" si="10"/>
        <v>#DIV/0!</v>
      </c>
      <c r="SN71" s="1159" t="e">
        <f t="shared" si="10"/>
        <v>#DIV/0!</v>
      </c>
      <c r="SO71" s="1159" t="e">
        <f t="shared" si="10"/>
        <v>#DIV/0!</v>
      </c>
      <c r="SP71" s="1159" t="e">
        <f t="shared" si="10"/>
        <v>#DIV/0!</v>
      </c>
      <c r="SQ71" s="1159" t="e">
        <f t="shared" si="10"/>
        <v>#DIV/0!</v>
      </c>
      <c r="SR71" s="1159" t="e">
        <f t="shared" si="10"/>
        <v>#DIV/0!</v>
      </c>
      <c r="SS71" s="1159" t="e">
        <f t="shared" si="10"/>
        <v>#DIV/0!</v>
      </c>
      <c r="ST71" s="1159" t="e">
        <f t="shared" si="10"/>
        <v>#DIV/0!</v>
      </c>
      <c r="SU71" s="1159" t="e">
        <f t="shared" si="10"/>
        <v>#DIV/0!</v>
      </c>
      <c r="SV71" s="1159" t="e">
        <f t="shared" si="10"/>
        <v>#DIV/0!</v>
      </c>
      <c r="SW71" s="1159" t="e">
        <f t="shared" si="10"/>
        <v>#DIV/0!</v>
      </c>
      <c r="SX71" s="1159" t="e">
        <f t="shared" ref="SX71:VI71" si="11">((SX6+SX12+SX13+SX14+SX15)*860+SX16*SX55+SX17*SX56+SX7*SX49+SX8*SX50+SX9*SX51+SX10*SX52+SX11*SX53)/(SUM(SX6:SX17))</f>
        <v>#DIV/0!</v>
      </c>
      <c r="SY71" s="1159" t="e">
        <f t="shared" si="11"/>
        <v>#DIV/0!</v>
      </c>
      <c r="SZ71" s="1159" t="e">
        <f t="shared" si="11"/>
        <v>#DIV/0!</v>
      </c>
      <c r="TA71" s="1159" t="e">
        <f t="shared" si="11"/>
        <v>#DIV/0!</v>
      </c>
      <c r="TB71" s="1159" t="e">
        <f t="shared" si="11"/>
        <v>#DIV/0!</v>
      </c>
      <c r="TC71" s="1159" t="e">
        <f t="shared" si="11"/>
        <v>#DIV/0!</v>
      </c>
      <c r="TD71" s="1159" t="e">
        <f t="shared" si="11"/>
        <v>#DIV/0!</v>
      </c>
      <c r="TE71" s="1159" t="e">
        <f t="shared" si="11"/>
        <v>#DIV/0!</v>
      </c>
      <c r="TF71" s="1159" t="e">
        <f t="shared" si="11"/>
        <v>#DIV/0!</v>
      </c>
      <c r="TG71" s="1159" t="e">
        <f t="shared" si="11"/>
        <v>#DIV/0!</v>
      </c>
      <c r="TH71" s="1159" t="e">
        <f t="shared" si="11"/>
        <v>#DIV/0!</v>
      </c>
      <c r="TI71" s="1159" t="e">
        <f t="shared" si="11"/>
        <v>#DIV/0!</v>
      </c>
      <c r="TJ71" s="1159" t="e">
        <f t="shared" si="11"/>
        <v>#DIV/0!</v>
      </c>
      <c r="TK71" s="1159" t="e">
        <f t="shared" si="11"/>
        <v>#DIV/0!</v>
      </c>
      <c r="TL71" s="1159" t="e">
        <f t="shared" si="11"/>
        <v>#DIV/0!</v>
      </c>
      <c r="TM71" s="1159" t="e">
        <f t="shared" si="11"/>
        <v>#DIV/0!</v>
      </c>
      <c r="TN71" s="1159" t="e">
        <f t="shared" si="11"/>
        <v>#DIV/0!</v>
      </c>
      <c r="TO71" s="1159" t="e">
        <f t="shared" si="11"/>
        <v>#DIV/0!</v>
      </c>
      <c r="TP71" s="1159" t="e">
        <f t="shared" si="11"/>
        <v>#DIV/0!</v>
      </c>
      <c r="TQ71" s="1159" t="e">
        <f t="shared" si="11"/>
        <v>#DIV/0!</v>
      </c>
      <c r="TR71" s="1159" t="e">
        <f t="shared" si="11"/>
        <v>#DIV/0!</v>
      </c>
      <c r="TS71" s="1159" t="e">
        <f t="shared" si="11"/>
        <v>#DIV/0!</v>
      </c>
      <c r="TT71" s="1159" t="e">
        <f t="shared" si="11"/>
        <v>#DIV/0!</v>
      </c>
      <c r="TU71" s="1159" t="e">
        <f t="shared" si="11"/>
        <v>#DIV/0!</v>
      </c>
      <c r="TV71" s="1159" t="e">
        <f t="shared" si="11"/>
        <v>#DIV/0!</v>
      </c>
      <c r="TW71" s="1159" t="e">
        <f t="shared" si="11"/>
        <v>#DIV/0!</v>
      </c>
      <c r="TX71" s="1159" t="e">
        <f t="shared" si="11"/>
        <v>#DIV/0!</v>
      </c>
      <c r="TY71" s="1159" t="e">
        <f t="shared" si="11"/>
        <v>#DIV/0!</v>
      </c>
      <c r="TZ71" s="1159" t="e">
        <f t="shared" si="11"/>
        <v>#DIV/0!</v>
      </c>
      <c r="UA71" s="1159" t="e">
        <f t="shared" si="11"/>
        <v>#DIV/0!</v>
      </c>
      <c r="UB71" s="1159" t="e">
        <f t="shared" si="11"/>
        <v>#DIV/0!</v>
      </c>
      <c r="UC71" s="1159" t="e">
        <f t="shared" si="11"/>
        <v>#DIV/0!</v>
      </c>
      <c r="UD71" s="1159" t="e">
        <f t="shared" si="11"/>
        <v>#DIV/0!</v>
      </c>
      <c r="UE71" s="1159" t="e">
        <f t="shared" si="11"/>
        <v>#DIV/0!</v>
      </c>
      <c r="UF71" s="1159" t="e">
        <f t="shared" si="11"/>
        <v>#DIV/0!</v>
      </c>
      <c r="UG71" s="1159" t="e">
        <f t="shared" si="11"/>
        <v>#DIV/0!</v>
      </c>
      <c r="UH71" s="1159" t="e">
        <f t="shared" si="11"/>
        <v>#DIV/0!</v>
      </c>
      <c r="UI71" s="1159" t="e">
        <f t="shared" si="11"/>
        <v>#DIV/0!</v>
      </c>
      <c r="UJ71" s="1159" t="e">
        <f t="shared" si="11"/>
        <v>#DIV/0!</v>
      </c>
      <c r="UK71" s="1159" t="e">
        <f t="shared" si="11"/>
        <v>#DIV/0!</v>
      </c>
      <c r="UL71" s="1159" t="e">
        <f t="shared" si="11"/>
        <v>#DIV/0!</v>
      </c>
      <c r="UM71" s="1159" t="e">
        <f t="shared" si="11"/>
        <v>#DIV/0!</v>
      </c>
      <c r="UN71" s="1159" t="e">
        <f t="shared" si="11"/>
        <v>#DIV/0!</v>
      </c>
      <c r="UO71" s="1159" t="e">
        <f t="shared" si="11"/>
        <v>#DIV/0!</v>
      </c>
      <c r="UP71" s="1159" t="e">
        <f t="shared" si="11"/>
        <v>#DIV/0!</v>
      </c>
      <c r="UQ71" s="1159" t="e">
        <f t="shared" si="11"/>
        <v>#DIV/0!</v>
      </c>
      <c r="UR71" s="1159" t="e">
        <f t="shared" si="11"/>
        <v>#DIV/0!</v>
      </c>
      <c r="US71" s="1159" t="e">
        <f t="shared" si="11"/>
        <v>#DIV/0!</v>
      </c>
      <c r="UT71" s="1159" t="e">
        <f t="shared" si="11"/>
        <v>#DIV/0!</v>
      </c>
      <c r="UU71" s="1159" t="e">
        <f t="shared" si="11"/>
        <v>#DIV/0!</v>
      </c>
      <c r="UV71" s="1159" t="e">
        <f t="shared" si="11"/>
        <v>#DIV/0!</v>
      </c>
      <c r="UW71" s="1159" t="e">
        <f t="shared" si="11"/>
        <v>#DIV/0!</v>
      </c>
      <c r="UX71" s="1159" t="e">
        <f t="shared" si="11"/>
        <v>#DIV/0!</v>
      </c>
      <c r="UY71" s="1159" t="e">
        <f t="shared" si="11"/>
        <v>#DIV/0!</v>
      </c>
      <c r="UZ71" s="1159" t="e">
        <f t="shared" si="11"/>
        <v>#DIV/0!</v>
      </c>
      <c r="VA71" s="1159" t="e">
        <f t="shared" si="11"/>
        <v>#DIV/0!</v>
      </c>
      <c r="VB71" s="1159" t="e">
        <f t="shared" si="11"/>
        <v>#DIV/0!</v>
      </c>
      <c r="VC71" s="1159" t="e">
        <f t="shared" si="11"/>
        <v>#DIV/0!</v>
      </c>
      <c r="VD71" s="1159" t="e">
        <f t="shared" si="11"/>
        <v>#DIV/0!</v>
      </c>
      <c r="VE71" s="1159" t="e">
        <f t="shared" si="11"/>
        <v>#DIV/0!</v>
      </c>
      <c r="VF71" s="1159" t="e">
        <f t="shared" si="11"/>
        <v>#DIV/0!</v>
      </c>
      <c r="VG71" s="1159" t="e">
        <f t="shared" si="11"/>
        <v>#DIV/0!</v>
      </c>
      <c r="VH71" s="1159" t="e">
        <f t="shared" si="11"/>
        <v>#DIV/0!</v>
      </c>
      <c r="VI71" s="1159" t="e">
        <f t="shared" si="11"/>
        <v>#DIV/0!</v>
      </c>
      <c r="VJ71" s="1159" t="e">
        <f t="shared" ref="VJ71:XU71" si="12">((VJ6+VJ12+VJ13+VJ14+VJ15)*860+VJ16*VJ55+VJ17*VJ56+VJ7*VJ49+VJ8*VJ50+VJ9*VJ51+VJ10*VJ52+VJ11*VJ53)/(SUM(VJ6:VJ17))</f>
        <v>#DIV/0!</v>
      </c>
      <c r="VK71" s="1159" t="e">
        <f t="shared" si="12"/>
        <v>#DIV/0!</v>
      </c>
      <c r="VL71" s="1159" t="e">
        <f t="shared" si="12"/>
        <v>#DIV/0!</v>
      </c>
      <c r="VM71" s="1159" t="e">
        <f t="shared" si="12"/>
        <v>#DIV/0!</v>
      </c>
      <c r="VN71" s="1159" t="e">
        <f t="shared" si="12"/>
        <v>#DIV/0!</v>
      </c>
      <c r="VO71" s="1159" t="e">
        <f t="shared" si="12"/>
        <v>#DIV/0!</v>
      </c>
      <c r="VP71" s="1159" t="e">
        <f t="shared" si="12"/>
        <v>#DIV/0!</v>
      </c>
      <c r="VQ71" s="1159" t="e">
        <f t="shared" si="12"/>
        <v>#DIV/0!</v>
      </c>
      <c r="VR71" s="1159" t="e">
        <f t="shared" si="12"/>
        <v>#DIV/0!</v>
      </c>
      <c r="VS71" s="1159" t="e">
        <f t="shared" si="12"/>
        <v>#DIV/0!</v>
      </c>
      <c r="VT71" s="1159" t="e">
        <f t="shared" si="12"/>
        <v>#DIV/0!</v>
      </c>
      <c r="VU71" s="1159" t="e">
        <f t="shared" si="12"/>
        <v>#DIV/0!</v>
      </c>
      <c r="VV71" s="1159" t="e">
        <f t="shared" si="12"/>
        <v>#DIV/0!</v>
      </c>
      <c r="VW71" s="1159" t="e">
        <f t="shared" si="12"/>
        <v>#DIV/0!</v>
      </c>
      <c r="VX71" s="1159" t="e">
        <f t="shared" si="12"/>
        <v>#DIV/0!</v>
      </c>
      <c r="VY71" s="1159" t="e">
        <f t="shared" si="12"/>
        <v>#DIV/0!</v>
      </c>
      <c r="VZ71" s="1159" t="e">
        <f t="shared" si="12"/>
        <v>#DIV/0!</v>
      </c>
      <c r="WA71" s="1159" t="e">
        <f t="shared" si="12"/>
        <v>#DIV/0!</v>
      </c>
      <c r="WB71" s="1159" t="e">
        <f t="shared" si="12"/>
        <v>#DIV/0!</v>
      </c>
      <c r="WC71" s="1159" t="e">
        <f t="shared" si="12"/>
        <v>#DIV/0!</v>
      </c>
      <c r="WD71" s="1159" t="e">
        <f t="shared" si="12"/>
        <v>#DIV/0!</v>
      </c>
      <c r="WE71" s="1159" t="e">
        <f t="shared" si="12"/>
        <v>#DIV/0!</v>
      </c>
      <c r="WF71" s="1159" t="e">
        <f t="shared" si="12"/>
        <v>#DIV/0!</v>
      </c>
      <c r="WG71" s="1159" t="e">
        <f t="shared" si="12"/>
        <v>#DIV/0!</v>
      </c>
      <c r="WH71" s="1159" t="e">
        <f t="shared" si="12"/>
        <v>#DIV/0!</v>
      </c>
      <c r="WI71" s="1159" t="e">
        <f t="shared" si="12"/>
        <v>#DIV/0!</v>
      </c>
      <c r="WJ71" s="1159" t="e">
        <f t="shared" si="12"/>
        <v>#DIV/0!</v>
      </c>
      <c r="WK71" s="1159" t="e">
        <f t="shared" si="12"/>
        <v>#DIV/0!</v>
      </c>
      <c r="WL71" s="1159" t="e">
        <f t="shared" si="12"/>
        <v>#DIV/0!</v>
      </c>
      <c r="WM71" s="1159" t="e">
        <f t="shared" si="12"/>
        <v>#DIV/0!</v>
      </c>
      <c r="WN71" s="1159" t="e">
        <f t="shared" si="12"/>
        <v>#DIV/0!</v>
      </c>
      <c r="WO71" s="1159" t="e">
        <f t="shared" si="12"/>
        <v>#DIV/0!</v>
      </c>
      <c r="WP71" s="1159" t="e">
        <f t="shared" si="12"/>
        <v>#DIV/0!</v>
      </c>
      <c r="WQ71" s="1159" t="e">
        <f t="shared" si="12"/>
        <v>#DIV/0!</v>
      </c>
      <c r="WR71" s="1159" t="e">
        <f t="shared" si="12"/>
        <v>#DIV/0!</v>
      </c>
      <c r="WS71" s="1159" t="e">
        <f t="shared" si="12"/>
        <v>#DIV/0!</v>
      </c>
      <c r="WT71" s="1159" t="e">
        <f t="shared" si="12"/>
        <v>#DIV/0!</v>
      </c>
      <c r="WU71" s="1159" t="e">
        <f t="shared" si="12"/>
        <v>#DIV/0!</v>
      </c>
      <c r="WV71" s="1159" t="e">
        <f t="shared" si="12"/>
        <v>#DIV/0!</v>
      </c>
      <c r="WW71" s="1159" t="e">
        <f t="shared" si="12"/>
        <v>#DIV/0!</v>
      </c>
      <c r="WX71" s="1159" t="e">
        <f t="shared" si="12"/>
        <v>#DIV/0!</v>
      </c>
      <c r="WY71" s="1159" t="e">
        <f t="shared" si="12"/>
        <v>#DIV/0!</v>
      </c>
      <c r="WZ71" s="1159" t="e">
        <f t="shared" si="12"/>
        <v>#DIV/0!</v>
      </c>
      <c r="XA71" s="1159" t="e">
        <f t="shared" si="12"/>
        <v>#DIV/0!</v>
      </c>
      <c r="XB71" s="1159" t="e">
        <f t="shared" si="12"/>
        <v>#DIV/0!</v>
      </c>
      <c r="XC71" s="1159" t="e">
        <f t="shared" si="12"/>
        <v>#DIV/0!</v>
      </c>
      <c r="XD71" s="1159" t="e">
        <f t="shared" si="12"/>
        <v>#DIV/0!</v>
      </c>
      <c r="XE71" s="1159" t="e">
        <f t="shared" si="12"/>
        <v>#DIV/0!</v>
      </c>
      <c r="XF71" s="1159" t="e">
        <f t="shared" si="12"/>
        <v>#DIV/0!</v>
      </c>
      <c r="XG71" s="1159" t="e">
        <f t="shared" si="12"/>
        <v>#DIV/0!</v>
      </c>
      <c r="XH71" s="1159" t="e">
        <f t="shared" si="12"/>
        <v>#DIV/0!</v>
      </c>
      <c r="XI71" s="1159" t="e">
        <f t="shared" si="12"/>
        <v>#DIV/0!</v>
      </c>
      <c r="XJ71" s="1159" t="e">
        <f t="shared" si="12"/>
        <v>#DIV/0!</v>
      </c>
      <c r="XK71" s="1159" t="e">
        <f t="shared" si="12"/>
        <v>#DIV/0!</v>
      </c>
      <c r="XL71" s="1159" t="e">
        <f t="shared" si="12"/>
        <v>#DIV/0!</v>
      </c>
      <c r="XM71" s="1159" t="e">
        <f t="shared" si="12"/>
        <v>#DIV/0!</v>
      </c>
      <c r="XN71" s="1159" t="e">
        <f t="shared" si="12"/>
        <v>#DIV/0!</v>
      </c>
      <c r="XO71" s="1159" t="e">
        <f t="shared" si="12"/>
        <v>#DIV/0!</v>
      </c>
      <c r="XP71" s="1159" t="e">
        <f t="shared" si="12"/>
        <v>#DIV/0!</v>
      </c>
      <c r="XQ71" s="1159" t="e">
        <f t="shared" si="12"/>
        <v>#DIV/0!</v>
      </c>
      <c r="XR71" s="1159" t="e">
        <f t="shared" si="12"/>
        <v>#DIV/0!</v>
      </c>
      <c r="XS71" s="1159" t="e">
        <f t="shared" si="12"/>
        <v>#DIV/0!</v>
      </c>
      <c r="XT71" s="1159" t="e">
        <f t="shared" si="12"/>
        <v>#DIV/0!</v>
      </c>
      <c r="XU71" s="1159" t="e">
        <f t="shared" si="12"/>
        <v>#DIV/0!</v>
      </c>
      <c r="XV71" s="1159" t="e">
        <f t="shared" ref="XV71:AAG71" si="13">((XV6+XV12+XV13+XV14+XV15)*860+XV16*XV55+XV17*XV56+XV7*XV49+XV8*XV50+XV9*XV51+XV10*XV52+XV11*XV53)/(SUM(XV6:XV17))</f>
        <v>#DIV/0!</v>
      </c>
      <c r="XW71" s="1159" t="e">
        <f t="shared" si="13"/>
        <v>#DIV/0!</v>
      </c>
      <c r="XX71" s="1159" t="e">
        <f t="shared" si="13"/>
        <v>#DIV/0!</v>
      </c>
      <c r="XY71" s="1159" t="e">
        <f t="shared" si="13"/>
        <v>#DIV/0!</v>
      </c>
      <c r="XZ71" s="1159" t="e">
        <f t="shared" si="13"/>
        <v>#DIV/0!</v>
      </c>
      <c r="YA71" s="1159" t="e">
        <f t="shared" si="13"/>
        <v>#DIV/0!</v>
      </c>
      <c r="YB71" s="1159" t="e">
        <f t="shared" si="13"/>
        <v>#DIV/0!</v>
      </c>
      <c r="YC71" s="1159" t="e">
        <f t="shared" si="13"/>
        <v>#DIV/0!</v>
      </c>
      <c r="YD71" s="1159" t="e">
        <f t="shared" si="13"/>
        <v>#DIV/0!</v>
      </c>
      <c r="YE71" s="1159" t="e">
        <f t="shared" si="13"/>
        <v>#DIV/0!</v>
      </c>
      <c r="YF71" s="1159" t="e">
        <f t="shared" si="13"/>
        <v>#DIV/0!</v>
      </c>
      <c r="YG71" s="1159" t="e">
        <f t="shared" si="13"/>
        <v>#DIV/0!</v>
      </c>
      <c r="YH71" s="1159" t="e">
        <f t="shared" si="13"/>
        <v>#DIV/0!</v>
      </c>
      <c r="YI71" s="1159" t="e">
        <f t="shared" si="13"/>
        <v>#DIV/0!</v>
      </c>
      <c r="YJ71" s="1159" t="e">
        <f t="shared" si="13"/>
        <v>#DIV/0!</v>
      </c>
      <c r="YK71" s="1159" t="e">
        <f t="shared" si="13"/>
        <v>#DIV/0!</v>
      </c>
      <c r="YL71" s="1159" t="e">
        <f t="shared" si="13"/>
        <v>#DIV/0!</v>
      </c>
      <c r="YM71" s="1159" t="e">
        <f t="shared" si="13"/>
        <v>#DIV/0!</v>
      </c>
      <c r="YN71" s="1159" t="e">
        <f t="shared" si="13"/>
        <v>#DIV/0!</v>
      </c>
      <c r="YO71" s="1159" t="e">
        <f t="shared" si="13"/>
        <v>#DIV/0!</v>
      </c>
      <c r="YP71" s="1159" t="e">
        <f t="shared" si="13"/>
        <v>#DIV/0!</v>
      </c>
      <c r="YQ71" s="1159" t="e">
        <f t="shared" si="13"/>
        <v>#DIV/0!</v>
      </c>
      <c r="YR71" s="1159" t="e">
        <f t="shared" si="13"/>
        <v>#DIV/0!</v>
      </c>
      <c r="YS71" s="1159" t="e">
        <f t="shared" si="13"/>
        <v>#DIV/0!</v>
      </c>
      <c r="YT71" s="1159" t="e">
        <f t="shared" si="13"/>
        <v>#DIV/0!</v>
      </c>
      <c r="YU71" s="1159" t="e">
        <f t="shared" si="13"/>
        <v>#DIV/0!</v>
      </c>
      <c r="YV71" s="1159" t="e">
        <f t="shared" si="13"/>
        <v>#DIV/0!</v>
      </c>
      <c r="YW71" s="1159" t="e">
        <f t="shared" si="13"/>
        <v>#DIV/0!</v>
      </c>
      <c r="YX71" s="1159" t="e">
        <f t="shared" si="13"/>
        <v>#DIV/0!</v>
      </c>
      <c r="YY71" s="1159" t="e">
        <f t="shared" si="13"/>
        <v>#DIV/0!</v>
      </c>
      <c r="YZ71" s="1159" t="e">
        <f t="shared" si="13"/>
        <v>#DIV/0!</v>
      </c>
      <c r="ZA71" s="1159" t="e">
        <f t="shared" si="13"/>
        <v>#DIV/0!</v>
      </c>
      <c r="ZB71" s="1159" t="e">
        <f t="shared" si="13"/>
        <v>#DIV/0!</v>
      </c>
      <c r="ZC71" s="1159" t="e">
        <f t="shared" si="13"/>
        <v>#DIV/0!</v>
      </c>
      <c r="ZD71" s="1159" t="e">
        <f t="shared" si="13"/>
        <v>#DIV/0!</v>
      </c>
      <c r="ZE71" s="1159" t="e">
        <f t="shared" si="13"/>
        <v>#DIV/0!</v>
      </c>
      <c r="ZF71" s="1159" t="e">
        <f t="shared" si="13"/>
        <v>#DIV/0!</v>
      </c>
      <c r="ZG71" s="1159" t="e">
        <f t="shared" si="13"/>
        <v>#DIV/0!</v>
      </c>
      <c r="ZH71" s="1159" t="e">
        <f t="shared" si="13"/>
        <v>#DIV/0!</v>
      </c>
      <c r="ZI71" s="1159" t="e">
        <f t="shared" si="13"/>
        <v>#DIV/0!</v>
      </c>
      <c r="ZJ71" s="1159" t="e">
        <f t="shared" si="13"/>
        <v>#DIV/0!</v>
      </c>
      <c r="ZK71" s="1159" t="e">
        <f t="shared" si="13"/>
        <v>#DIV/0!</v>
      </c>
      <c r="ZL71" s="1159" t="e">
        <f t="shared" si="13"/>
        <v>#DIV/0!</v>
      </c>
      <c r="ZM71" s="1159" t="e">
        <f t="shared" si="13"/>
        <v>#DIV/0!</v>
      </c>
      <c r="ZN71" s="1159" t="e">
        <f t="shared" si="13"/>
        <v>#DIV/0!</v>
      </c>
      <c r="ZO71" s="1159" t="e">
        <f t="shared" si="13"/>
        <v>#DIV/0!</v>
      </c>
      <c r="ZP71" s="1159" t="e">
        <f t="shared" si="13"/>
        <v>#DIV/0!</v>
      </c>
      <c r="ZQ71" s="1159" t="e">
        <f t="shared" si="13"/>
        <v>#DIV/0!</v>
      </c>
      <c r="ZR71" s="1159" t="e">
        <f t="shared" si="13"/>
        <v>#DIV/0!</v>
      </c>
      <c r="ZS71" s="1159" t="e">
        <f t="shared" si="13"/>
        <v>#DIV/0!</v>
      </c>
      <c r="ZT71" s="1159" t="e">
        <f t="shared" si="13"/>
        <v>#DIV/0!</v>
      </c>
      <c r="ZU71" s="1159" t="e">
        <f t="shared" si="13"/>
        <v>#DIV/0!</v>
      </c>
      <c r="ZV71" s="1159" t="e">
        <f t="shared" si="13"/>
        <v>#DIV/0!</v>
      </c>
      <c r="ZW71" s="1159" t="e">
        <f t="shared" si="13"/>
        <v>#DIV/0!</v>
      </c>
      <c r="ZX71" s="1159" t="e">
        <f t="shared" si="13"/>
        <v>#DIV/0!</v>
      </c>
      <c r="ZY71" s="1159" t="e">
        <f t="shared" si="13"/>
        <v>#DIV/0!</v>
      </c>
      <c r="ZZ71" s="1159" t="e">
        <f t="shared" si="13"/>
        <v>#DIV/0!</v>
      </c>
      <c r="AAA71" s="1159" t="e">
        <f t="shared" si="13"/>
        <v>#DIV/0!</v>
      </c>
      <c r="AAB71" s="1159" t="e">
        <f t="shared" si="13"/>
        <v>#DIV/0!</v>
      </c>
      <c r="AAC71" s="1159" t="e">
        <f t="shared" si="13"/>
        <v>#DIV/0!</v>
      </c>
      <c r="AAD71" s="1159" t="e">
        <f t="shared" si="13"/>
        <v>#DIV/0!</v>
      </c>
      <c r="AAE71" s="1159" t="e">
        <f t="shared" si="13"/>
        <v>#DIV/0!</v>
      </c>
      <c r="AAF71" s="1159" t="e">
        <f t="shared" si="13"/>
        <v>#DIV/0!</v>
      </c>
      <c r="AAG71" s="1159" t="e">
        <f t="shared" si="13"/>
        <v>#DIV/0!</v>
      </c>
      <c r="AAH71" s="1159" t="e">
        <f t="shared" ref="AAH71:ACS71" si="14">((AAH6+AAH12+AAH13+AAH14+AAH15)*860+AAH16*AAH55+AAH17*AAH56+AAH7*AAH49+AAH8*AAH50+AAH9*AAH51+AAH10*AAH52+AAH11*AAH53)/(SUM(AAH6:AAH17))</f>
        <v>#DIV/0!</v>
      </c>
      <c r="AAI71" s="1159" t="e">
        <f t="shared" si="14"/>
        <v>#DIV/0!</v>
      </c>
      <c r="AAJ71" s="1159" t="e">
        <f t="shared" si="14"/>
        <v>#DIV/0!</v>
      </c>
      <c r="AAK71" s="1159" t="e">
        <f t="shared" si="14"/>
        <v>#DIV/0!</v>
      </c>
      <c r="AAL71" s="1159" t="e">
        <f t="shared" si="14"/>
        <v>#DIV/0!</v>
      </c>
      <c r="AAM71" s="1159" t="e">
        <f t="shared" si="14"/>
        <v>#DIV/0!</v>
      </c>
      <c r="AAN71" s="1159" t="e">
        <f t="shared" si="14"/>
        <v>#DIV/0!</v>
      </c>
      <c r="AAO71" s="1159" t="e">
        <f t="shared" si="14"/>
        <v>#DIV/0!</v>
      </c>
      <c r="AAP71" s="1159" t="e">
        <f t="shared" si="14"/>
        <v>#DIV/0!</v>
      </c>
      <c r="AAQ71" s="1159" t="e">
        <f t="shared" si="14"/>
        <v>#DIV/0!</v>
      </c>
      <c r="AAR71" s="1159" t="e">
        <f t="shared" si="14"/>
        <v>#DIV/0!</v>
      </c>
      <c r="AAS71" s="1159" t="e">
        <f t="shared" si="14"/>
        <v>#DIV/0!</v>
      </c>
      <c r="AAT71" s="1159" t="e">
        <f t="shared" si="14"/>
        <v>#DIV/0!</v>
      </c>
      <c r="AAU71" s="1159" t="e">
        <f t="shared" si="14"/>
        <v>#DIV/0!</v>
      </c>
      <c r="AAV71" s="1159" t="e">
        <f t="shared" si="14"/>
        <v>#DIV/0!</v>
      </c>
      <c r="AAW71" s="1159" t="e">
        <f t="shared" si="14"/>
        <v>#DIV/0!</v>
      </c>
      <c r="AAX71" s="1159" t="e">
        <f t="shared" si="14"/>
        <v>#DIV/0!</v>
      </c>
      <c r="AAY71" s="1159" t="e">
        <f t="shared" si="14"/>
        <v>#DIV/0!</v>
      </c>
      <c r="AAZ71" s="1159" t="e">
        <f t="shared" si="14"/>
        <v>#DIV/0!</v>
      </c>
      <c r="ABA71" s="1159" t="e">
        <f t="shared" si="14"/>
        <v>#DIV/0!</v>
      </c>
      <c r="ABB71" s="1159" t="e">
        <f t="shared" si="14"/>
        <v>#DIV/0!</v>
      </c>
      <c r="ABC71" s="1159" t="e">
        <f t="shared" si="14"/>
        <v>#DIV/0!</v>
      </c>
      <c r="ABD71" s="1159" t="e">
        <f t="shared" si="14"/>
        <v>#DIV/0!</v>
      </c>
      <c r="ABE71" s="1159" t="e">
        <f t="shared" si="14"/>
        <v>#DIV/0!</v>
      </c>
      <c r="ABF71" s="1159" t="e">
        <f t="shared" si="14"/>
        <v>#DIV/0!</v>
      </c>
      <c r="ABG71" s="1159" t="e">
        <f t="shared" si="14"/>
        <v>#DIV/0!</v>
      </c>
      <c r="ABH71" s="1159" t="e">
        <f t="shared" si="14"/>
        <v>#DIV/0!</v>
      </c>
      <c r="ABI71" s="1159" t="e">
        <f t="shared" si="14"/>
        <v>#DIV/0!</v>
      </c>
      <c r="ABJ71" s="1159" t="e">
        <f t="shared" si="14"/>
        <v>#DIV/0!</v>
      </c>
      <c r="ABK71" s="1159" t="e">
        <f t="shared" si="14"/>
        <v>#DIV/0!</v>
      </c>
      <c r="ABL71" s="1159" t="e">
        <f t="shared" si="14"/>
        <v>#DIV/0!</v>
      </c>
      <c r="ABM71" s="1159" t="e">
        <f t="shared" si="14"/>
        <v>#DIV/0!</v>
      </c>
      <c r="ABN71" s="1159" t="e">
        <f t="shared" si="14"/>
        <v>#DIV/0!</v>
      </c>
      <c r="ABO71" s="1159" t="e">
        <f t="shared" si="14"/>
        <v>#DIV/0!</v>
      </c>
      <c r="ABP71" s="1159" t="e">
        <f t="shared" si="14"/>
        <v>#DIV/0!</v>
      </c>
      <c r="ABQ71" s="1159" t="e">
        <f t="shared" si="14"/>
        <v>#DIV/0!</v>
      </c>
      <c r="ABR71" s="1159" t="e">
        <f t="shared" si="14"/>
        <v>#DIV/0!</v>
      </c>
      <c r="ABS71" s="1159" t="e">
        <f t="shared" si="14"/>
        <v>#DIV/0!</v>
      </c>
      <c r="ABT71" s="1159" t="e">
        <f t="shared" si="14"/>
        <v>#DIV/0!</v>
      </c>
      <c r="ABU71" s="1159" t="e">
        <f t="shared" si="14"/>
        <v>#DIV/0!</v>
      </c>
      <c r="ABV71" s="1159" t="e">
        <f t="shared" si="14"/>
        <v>#DIV/0!</v>
      </c>
      <c r="ABW71" s="1159" t="e">
        <f t="shared" si="14"/>
        <v>#DIV/0!</v>
      </c>
      <c r="ABX71" s="1159" t="e">
        <f t="shared" si="14"/>
        <v>#DIV/0!</v>
      </c>
      <c r="ABY71" s="1159" t="e">
        <f t="shared" si="14"/>
        <v>#DIV/0!</v>
      </c>
      <c r="ABZ71" s="1159" t="e">
        <f t="shared" si="14"/>
        <v>#DIV/0!</v>
      </c>
      <c r="ACA71" s="1159" t="e">
        <f t="shared" si="14"/>
        <v>#DIV/0!</v>
      </c>
      <c r="ACB71" s="1159" t="e">
        <f t="shared" si="14"/>
        <v>#DIV/0!</v>
      </c>
      <c r="ACC71" s="1159" t="e">
        <f t="shared" si="14"/>
        <v>#DIV/0!</v>
      </c>
      <c r="ACD71" s="1159" t="e">
        <f t="shared" si="14"/>
        <v>#DIV/0!</v>
      </c>
      <c r="ACE71" s="1159" t="e">
        <f t="shared" si="14"/>
        <v>#DIV/0!</v>
      </c>
      <c r="ACF71" s="1159" t="e">
        <f t="shared" si="14"/>
        <v>#DIV/0!</v>
      </c>
      <c r="ACG71" s="1159" t="e">
        <f t="shared" si="14"/>
        <v>#DIV/0!</v>
      </c>
      <c r="ACH71" s="1159" t="e">
        <f t="shared" si="14"/>
        <v>#DIV/0!</v>
      </c>
      <c r="ACI71" s="1159" t="e">
        <f t="shared" si="14"/>
        <v>#DIV/0!</v>
      </c>
      <c r="ACJ71" s="1159" t="e">
        <f t="shared" si="14"/>
        <v>#DIV/0!</v>
      </c>
      <c r="ACK71" s="1159" t="e">
        <f t="shared" si="14"/>
        <v>#DIV/0!</v>
      </c>
      <c r="ACL71" s="1159" t="e">
        <f t="shared" si="14"/>
        <v>#DIV/0!</v>
      </c>
      <c r="ACM71" s="1159" t="e">
        <f t="shared" si="14"/>
        <v>#DIV/0!</v>
      </c>
      <c r="ACN71" s="1159" t="e">
        <f t="shared" si="14"/>
        <v>#DIV/0!</v>
      </c>
      <c r="ACO71" s="1159" t="e">
        <f t="shared" si="14"/>
        <v>#DIV/0!</v>
      </c>
      <c r="ACP71" s="1159" t="e">
        <f t="shared" si="14"/>
        <v>#DIV/0!</v>
      </c>
      <c r="ACQ71" s="1159" t="e">
        <f t="shared" si="14"/>
        <v>#DIV/0!</v>
      </c>
      <c r="ACR71" s="1159" t="e">
        <f t="shared" si="14"/>
        <v>#DIV/0!</v>
      </c>
      <c r="ACS71" s="1159" t="e">
        <f t="shared" si="14"/>
        <v>#DIV/0!</v>
      </c>
      <c r="ACT71" s="1159" t="e">
        <f t="shared" ref="ACT71:AFE71" si="15">((ACT6+ACT12+ACT13+ACT14+ACT15)*860+ACT16*ACT55+ACT17*ACT56+ACT7*ACT49+ACT8*ACT50+ACT9*ACT51+ACT10*ACT52+ACT11*ACT53)/(SUM(ACT6:ACT17))</f>
        <v>#DIV/0!</v>
      </c>
      <c r="ACU71" s="1159" t="e">
        <f t="shared" si="15"/>
        <v>#DIV/0!</v>
      </c>
      <c r="ACV71" s="1159" t="e">
        <f t="shared" si="15"/>
        <v>#DIV/0!</v>
      </c>
      <c r="ACW71" s="1159" t="e">
        <f t="shared" si="15"/>
        <v>#DIV/0!</v>
      </c>
      <c r="ACX71" s="1159" t="e">
        <f t="shared" si="15"/>
        <v>#DIV/0!</v>
      </c>
      <c r="ACY71" s="1159" t="e">
        <f t="shared" si="15"/>
        <v>#DIV/0!</v>
      </c>
      <c r="ACZ71" s="1159" t="e">
        <f t="shared" si="15"/>
        <v>#DIV/0!</v>
      </c>
      <c r="ADA71" s="1159" t="e">
        <f t="shared" si="15"/>
        <v>#DIV/0!</v>
      </c>
      <c r="ADB71" s="1159" t="e">
        <f t="shared" si="15"/>
        <v>#DIV/0!</v>
      </c>
      <c r="ADC71" s="1159" t="e">
        <f t="shared" si="15"/>
        <v>#DIV/0!</v>
      </c>
      <c r="ADD71" s="1159" t="e">
        <f t="shared" si="15"/>
        <v>#DIV/0!</v>
      </c>
      <c r="ADE71" s="1159" t="e">
        <f t="shared" si="15"/>
        <v>#DIV/0!</v>
      </c>
      <c r="ADF71" s="1159" t="e">
        <f t="shared" si="15"/>
        <v>#DIV/0!</v>
      </c>
      <c r="ADG71" s="1159" t="e">
        <f t="shared" si="15"/>
        <v>#DIV/0!</v>
      </c>
      <c r="ADH71" s="1159" t="e">
        <f t="shared" si="15"/>
        <v>#DIV/0!</v>
      </c>
      <c r="ADI71" s="1159" t="e">
        <f t="shared" si="15"/>
        <v>#DIV/0!</v>
      </c>
      <c r="ADJ71" s="1159" t="e">
        <f t="shared" si="15"/>
        <v>#DIV/0!</v>
      </c>
      <c r="ADK71" s="1159" t="e">
        <f t="shared" si="15"/>
        <v>#DIV/0!</v>
      </c>
      <c r="ADL71" s="1159" t="e">
        <f t="shared" si="15"/>
        <v>#DIV/0!</v>
      </c>
      <c r="ADM71" s="1159" t="e">
        <f t="shared" si="15"/>
        <v>#DIV/0!</v>
      </c>
      <c r="ADN71" s="1159" t="e">
        <f t="shared" si="15"/>
        <v>#DIV/0!</v>
      </c>
      <c r="ADO71" s="1159" t="e">
        <f t="shared" si="15"/>
        <v>#DIV/0!</v>
      </c>
      <c r="ADP71" s="1159" t="e">
        <f t="shared" si="15"/>
        <v>#DIV/0!</v>
      </c>
      <c r="ADQ71" s="1159" t="e">
        <f t="shared" si="15"/>
        <v>#DIV/0!</v>
      </c>
      <c r="ADR71" s="1159" t="e">
        <f t="shared" si="15"/>
        <v>#DIV/0!</v>
      </c>
      <c r="ADS71" s="1159" t="e">
        <f t="shared" si="15"/>
        <v>#DIV/0!</v>
      </c>
      <c r="ADT71" s="1159" t="e">
        <f t="shared" si="15"/>
        <v>#DIV/0!</v>
      </c>
      <c r="ADU71" s="1159" t="e">
        <f t="shared" si="15"/>
        <v>#DIV/0!</v>
      </c>
      <c r="ADV71" s="1159" t="e">
        <f t="shared" si="15"/>
        <v>#DIV/0!</v>
      </c>
      <c r="ADW71" s="1159" t="e">
        <f t="shared" si="15"/>
        <v>#DIV/0!</v>
      </c>
      <c r="ADX71" s="1159" t="e">
        <f t="shared" si="15"/>
        <v>#DIV/0!</v>
      </c>
      <c r="ADY71" s="1159" t="e">
        <f t="shared" si="15"/>
        <v>#DIV/0!</v>
      </c>
      <c r="ADZ71" s="1159" t="e">
        <f t="shared" si="15"/>
        <v>#DIV/0!</v>
      </c>
      <c r="AEA71" s="1159" t="e">
        <f t="shared" si="15"/>
        <v>#DIV/0!</v>
      </c>
      <c r="AEB71" s="1159" t="e">
        <f t="shared" si="15"/>
        <v>#DIV/0!</v>
      </c>
      <c r="AEC71" s="1159" t="e">
        <f t="shared" si="15"/>
        <v>#DIV/0!</v>
      </c>
      <c r="AED71" s="1159" t="e">
        <f t="shared" si="15"/>
        <v>#DIV/0!</v>
      </c>
      <c r="AEE71" s="1159" t="e">
        <f t="shared" si="15"/>
        <v>#DIV/0!</v>
      </c>
      <c r="AEF71" s="1159" t="e">
        <f t="shared" si="15"/>
        <v>#DIV/0!</v>
      </c>
      <c r="AEG71" s="1159" t="e">
        <f t="shared" si="15"/>
        <v>#DIV/0!</v>
      </c>
      <c r="AEH71" s="1159" t="e">
        <f t="shared" si="15"/>
        <v>#DIV/0!</v>
      </c>
      <c r="AEI71" s="1159" t="e">
        <f t="shared" si="15"/>
        <v>#DIV/0!</v>
      </c>
      <c r="AEJ71" s="1159" t="e">
        <f t="shared" si="15"/>
        <v>#DIV/0!</v>
      </c>
      <c r="AEK71" s="1159" t="e">
        <f t="shared" si="15"/>
        <v>#DIV/0!</v>
      </c>
      <c r="AEL71" s="1159" t="e">
        <f t="shared" si="15"/>
        <v>#DIV/0!</v>
      </c>
      <c r="AEM71" s="1159" t="e">
        <f t="shared" si="15"/>
        <v>#DIV/0!</v>
      </c>
      <c r="AEN71" s="1159" t="e">
        <f t="shared" si="15"/>
        <v>#DIV/0!</v>
      </c>
      <c r="AEO71" s="1159" t="e">
        <f t="shared" si="15"/>
        <v>#DIV/0!</v>
      </c>
      <c r="AEP71" s="1159" t="e">
        <f t="shared" si="15"/>
        <v>#DIV/0!</v>
      </c>
      <c r="AEQ71" s="1159" t="e">
        <f t="shared" si="15"/>
        <v>#DIV/0!</v>
      </c>
      <c r="AER71" s="1159" t="e">
        <f t="shared" si="15"/>
        <v>#DIV/0!</v>
      </c>
      <c r="AES71" s="1159" t="e">
        <f t="shared" si="15"/>
        <v>#DIV/0!</v>
      </c>
      <c r="AET71" s="1159" t="e">
        <f t="shared" si="15"/>
        <v>#DIV/0!</v>
      </c>
      <c r="AEU71" s="1159" t="e">
        <f t="shared" si="15"/>
        <v>#DIV/0!</v>
      </c>
      <c r="AEV71" s="1159" t="e">
        <f t="shared" si="15"/>
        <v>#DIV/0!</v>
      </c>
      <c r="AEW71" s="1159" t="e">
        <f t="shared" si="15"/>
        <v>#DIV/0!</v>
      </c>
      <c r="AEX71" s="1159" t="e">
        <f t="shared" si="15"/>
        <v>#DIV/0!</v>
      </c>
      <c r="AEY71" s="1159" t="e">
        <f t="shared" si="15"/>
        <v>#DIV/0!</v>
      </c>
      <c r="AEZ71" s="1159" t="e">
        <f t="shared" si="15"/>
        <v>#DIV/0!</v>
      </c>
      <c r="AFA71" s="1159" t="e">
        <f t="shared" si="15"/>
        <v>#DIV/0!</v>
      </c>
      <c r="AFB71" s="1159" t="e">
        <f t="shared" si="15"/>
        <v>#DIV/0!</v>
      </c>
      <c r="AFC71" s="1159" t="e">
        <f t="shared" si="15"/>
        <v>#DIV/0!</v>
      </c>
      <c r="AFD71" s="1159" t="e">
        <f t="shared" si="15"/>
        <v>#DIV/0!</v>
      </c>
      <c r="AFE71" s="1159" t="e">
        <f t="shared" si="15"/>
        <v>#DIV/0!</v>
      </c>
      <c r="AFF71" s="1159" t="e">
        <f t="shared" ref="AFF71:AHQ71" si="16">((AFF6+AFF12+AFF13+AFF14+AFF15)*860+AFF16*AFF55+AFF17*AFF56+AFF7*AFF49+AFF8*AFF50+AFF9*AFF51+AFF10*AFF52+AFF11*AFF53)/(SUM(AFF6:AFF17))</f>
        <v>#DIV/0!</v>
      </c>
      <c r="AFG71" s="1159" t="e">
        <f t="shared" si="16"/>
        <v>#DIV/0!</v>
      </c>
      <c r="AFH71" s="1159" t="e">
        <f t="shared" si="16"/>
        <v>#DIV/0!</v>
      </c>
      <c r="AFI71" s="1159" t="e">
        <f t="shared" si="16"/>
        <v>#DIV/0!</v>
      </c>
      <c r="AFJ71" s="1159" t="e">
        <f t="shared" si="16"/>
        <v>#DIV/0!</v>
      </c>
      <c r="AFK71" s="1159" t="e">
        <f t="shared" si="16"/>
        <v>#DIV/0!</v>
      </c>
      <c r="AFL71" s="1159" t="e">
        <f t="shared" si="16"/>
        <v>#DIV/0!</v>
      </c>
      <c r="AFM71" s="1159" t="e">
        <f t="shared" si="16"/>
        <v>#DIV/0!</v>
      </c>
      <c r="AFN71" s="1159" t="e">
        <f t="shared" si="16"/>
        <v>#DIV/0!</v>
      </c>
      <c r="AFO71" s="1159" t="e">
        <f t="shared" si="16"/>
        <v>#DIV/0!</v>
      </c>
      <c r="AFP71" s="1159" t="e">
        <f t="shared" si="16"/>
        <v>#DIV/0!</v>
      </c>
      <c r="AFQ71" s="1159" t="e">
        <f t="shared" si="16"/>
        <v>#DIV/0!</v>
      </c>
      <c r="AFR71" s="1159" t="e">
        <f t="shared" si="16"/>
        <v>#DIV/0!</v>
      </c>
      <c r="AFS71" s="1159" t="e">
        <f t="shared" si="16"/>
        <v>#DIV/0!</v>
      </c>
      <c r="AFT71" s="1159" t="e">
        <f t="shared" si="16"/>
        <v>#DIV/0!</v>
      </c>
      <c r="AFU71" s="1159" t="e">
        <f t="shared" si="16"/>
        <v>#DIV/0!</v>
      </c>
      <c r="AFV71" s="1159" t="e">
        <f t="shared" si="16"/>
        <v>#DIV/0!</v>
      </c>
      <c r="AFW71" s="1159" t="e">
        <f t="shared" si="16"/>
        <v>#DIV/0!</v>
      </c>
      <c r="AFX71" s="1159" t="e">
        <f t="shared" si="16"/>
        <v>#DIV/0!</v>
      </c>
      <c r="AFY71" s="1159" t="e">
        <f t="shared" si="16"/>
        <v>#DIV/0!</v>
      </c>
      <c r="AFZ71" s="1159" t="e">
        <f t="shared" si="16"/>
        <v>#DIV/0!</v>
      </c>
      <c r="AGA71" s="1159" t="e">
        <f t="shared" si="16"/>
        <v>#DIV/0!</v>
      </c>
      <c r="AGB71" s="1159" t="e">
        <f t="shared" si="16"/>
        <v>#DIV/0!</v>
      </c>
      <c r="AGC71" s="1159" t="e">
        <f t="shared" si="16"/>
        <v>#DIV/0!</v>
      </c>
      <c r="AGD71" s="1159" t="e">
        <f t="shared" si="16"/>
        <v>#DIV/0!</v>
      </c>
      <c r="AGE71" s="1159" t="e">
        <f t="shared" si="16"/>
        <v>#DIV/0!</v>
      </c>
      <c r="AGF71" s="1159" t="e">
        <f t="shared" si="16"/>
        <v>#DIV/0!</v>
      </c>
      <c r="AGG71" s="1159" t="e">
        <f t="shared" si="16"/>
        <v>#DIV/0!</v>
      </c>
      <c r="AGH71" s="1159" t="e">
        <f t="shared" si="16"/>
        <v>#DIV/0!</v>
      </c>
      <c r="AGI71" s="1159" t="e">
        <f t="shared" si="16"/>
        <v>#DIV/0!</v>
      </c>
      <c r="AGJ71" s="1159" t="e">
        <f t="shared" si="16"/>
        <v>#DIV/0!</v>
      </c>
      <c r="AGK71" s="1159" t="e">
        <f t="shared" si="16"/>
        <v>#DIV/0!</v>
      </c>
      <c r="AGL71" s="1159" t="e">
        <f t="shared" si="16"/>
        <v>#DIV/0!</v>
      </c>
      <c r="AGM71" s="1159" t="e">
        <f t="shared" si="16"/>
        <v>#DIV/0!</v>
      </c>
      <c r="AGN71" s="1159" t="e">
        <f t="shared" si="16"/>
        <v>#DIV/0!</v>
      </c>
      <c r="AGO71" s="1159" t="e">
        <f t="shared" si="16"/>
        <v>#DIV/0!</v>
      </c>
      <c r="AGP71" s="1159" t="e">
        <f t="shared" si="16"/>
        <v>#DIV/0!</v>
      </c>
      <c r="AGQ71" s="1159" t="e">
        <f t="shared" si="16"/>
        <v>#DIV/0!</v>
      </c>
      <c r="AGR71" s="1159" t="e">
        <f t="shared" si="16"/>
        <v>#DIV/0!</v>
      </c>
      <c r="AGS71" s="1159" t="e">
        <f t="shared" si="16"/>
        <v>#DIV/0!</v>
      </c>
      <c r="AGT71" s="1159" t="e">
        <f t="shared" si="16"/>
        <v>#DIV/0!</v>
      </c>
      <c r="AGU71" s="1159" t="e">
        <f t="shared" si="16"/>
        <v>#DIV/0!</v>
      </c>
      <c r="AGV71" s="1159" t="e">
        <f t="shared" si="16"/>
        <v>#DIV/0!</v>
      </c>
      <c r="AGW71" s="1159" t="e">
        <f t="shared" si="16"/>
        <v>#DIV/0!</v>
      </c>
      <c r="AGX71" s="1159" t="e">
        <f t="shared" si="16"/>
        <v>#DIV/0!</v>
      </c>
      <c r="AGY71" s="1159" t="e">
        <f t="shared" si="16"/>
        <v>#DIV/0!</v>
      </c>
      <c r="AGZ71" s="1159" t="e">
        <f t="shared" si="16"/>
        <v>#DIV/0!</v>
      </c>
      <c r="AHA71" s="1159" t="e">
        <f t="shared" si="16"/>
        <v>#DIV/0!</v>
      </c>
      <c r="AHB71" s="1159" t="e">
        <f t="shared" si="16"/>
        <v>#DIV/0!</v>
      </c>
      <c r="AHC71" s="1159" t="e">
        <f t="shared" si="16"/>
        <v>#DIV/0!</v>
      </c>
      <c r="AHD71" s="1159" t="e">
        <f t="shared" si="16"/>
        <v>#DIV/0!</v>
      </c>
      <c r="AHE71" s="1159" t="e">
        <f t="shared" si="16"/>
        <v>#DIV/0!</v>
      </c>
      <c r="AHF71" s="1159" t="e">
        <f t="shared" si="16"/>
        <v>#DIV/0!</v>
      </c>
      <c r="AHG71" s="1159" t="e">
        <f t="shared" si="16"/>
        <v>#DIV/0!</v>
      </c>
      <c r="AHH71" s="1159" t="e">
        <f t="shared" si="16"/>
        <v>#DIV/0!</v>
      </c>
      <c r="AHI71" s="1159" t="e">
        <f t="shared" si="16"/>
        <v>#DIV/0!</v>
      </c>
      <c r="AHJ71" s="1159" t="e">
        <f t="shared" si="16"/>
        <v>#DIV/0!</v>
      </c>
      <c r="AHK71" s="1159" t="e">
        <f t="shared" si="16"/>
        <v>#DIV/0!</v>
      </c>
      <c r="AHL71" s="1159" t="e">
        <f t="shared" si="16"/>
        <v>#DIV/0!</v>
      </c>
      <c r="AHM71" s="1159" t="e">
        <f t="shared" si="16"/>
        <v>#DIV/0!</v>
      </c>
      <c r="AHN71" s="1159" t="e">
        <f t="shared" si="16"/>
        <v>#DIV/0!</v>
      </c>
      <c r="AHO71" s="1159" t="e">
        <f t="shared" si="16"/>
        <v>#DIV/0!</v>
      </c>
      <c r="AHP71" s="1159" t="e">
        <f t="shared" si="16"/>
        <v>#DIV/0!</v>
      </c>
      <c r="AHQ71" s="1159" t="e">
        <f t="shared" si="16"/>
        <v>#DIV/0!</v>
      </c>
      <c r="AHR71" s="1159" t="e">
        <f t="shared" ref="AHR71:AKC71" si="17">((AHR6+AHR12+AHR13+AHR14+AHR15)*860+AHR16*AHR55+AHR17*AHR56+AHR7*AHR49+AHR8*AHR50+AHR9*AHR51+AHR10*AHR52+AHR11*AHR53)/(SUM(AHR6:AHR17))</f>
        <v>#DIV/0!</v>
      </c>
      <c r="AHS71" s="1159" t="e">
        <f t="shared" si="17"/>
        <v>#DIV/0!</v>
      </c>
      <c r="AHT71" s="1159" t="e">
        <f t="shared" si="17"/>
        <v>#DIV/0!</v>
      </c>
      <c r="AHU71" s="1159" t="e">
        <f t="shared" si="17"/>
        <v>#DIV/0!</v>
      </c>
      <c r="AHV71" s="1159" t="e">
        <f t="shared" si="17"/>
        <v>#DIV/0!</v>
      </c>
      <c r="AHW71" s="1159" t="e">
        <f t="shared" si="17"/>
        <v>#DIV/0!</v>
      </c>
      <c r="AHX71" s="1159" t="e">
        <f t="shared" si="17"/>
        <v>#DIV/0!</v>
      </c>
      <c r="AHY71" s="1159" t="e">
        <f t="shared" si="17"/>
        <v>#DIV/0!</v>
      </c>
      <c r="AHZ71" s="1159" t="e">
        <f t="shared" si="17"/>
        <v>#DIV/0!</v>
      </c>
      <c r="AIA71" s="1159" t="e">
        <f t="shared" si="17"/>
        <v>#DIV/0!</v>
      </c>
      <c r="AIB71" s="1159" t="e">
        <f t="shared" si="17"/>
        <v>#DIV/0!</v>
      </c>
      <c r="AIC71" s="1159" t="e">
        <f t="shared" si="17"/>
        <v>#DIV/0!</v>
      </c>
      <c r="AID71" s="1159" t="e">
        <f t="shared" si="17"/>
        <v>#DIV/0!</v>
      </c>
      <c r="AIE71" s="1159" t="e">
        <f t="shared" si="17"/>
        <v>#DIV/0!</v>
      </c>
      <c r="AIF71" s="1159" t="e">
        <f t="shared" si="17"/>
        <v>#DIV/0!</v>
      </c>
      <c r="AIG71" s="1159" t="e">
        <f t="shared" si="17"/>
        <v>#DIV/0!</v>
      </c>
      <c r="AIH71" s="1159" t="e">
        <f t="shared" si="17"/>
        <v>#DIV/0!</v>
      </c>
      <c r="AII71" s="1159" t="e">
        <f t="shared" si="17"/>
        <v>#DIV/0!</v>
      </c>
      <c r="AIJ71" s="1159" t="e">
        <f t="shared" si="17"/>
        <v>#DIV/0!</v>
      </c>
      <c r="AIK71" s="1159" t="e">
        <f t="shared" si="17"/>
        <v>#DIV/0!</v>
      </c>
      <c r="AIL71" s="1159" t="e">
        <f t="shared" si="17"/>
        <v>#DIV/0!</v>
      </c>
      <c r="AIM71" s="1159" t="e">
        <f t="shared" si="17"/>
        <v>#DIV/0!</v>
      </c>
      <c r="AIN71" s="1159" t="e">
        <f t="shared" si="17"/>
        <v>#DIV/0!</v>
      </c>
      <c r="AIO71" s="1159" t="e">
        <f t="shared" si="17"/>
        <v>#DIV/0!</v>
      </c>
      <c r="AIP71" s="1159" t="e">
        <f t="shared" si="17"/>
        <v>#DIV/0!</v>
      </c>
      <c r="AIQ71" s="1159" t="e">
        <f t="shared" si="17"/>
        <v>#DIV/0!</v>
      </c>
      <c r="AIR71" s="1159" t="e">
        <f t="shared" si="17"/>
        <v>#DIV/0!</v>
      </c>
      <c r="AIS71" s="1159" t="e">
        <f t="shared" si="17"/>
        <v>#DIV/0!</v>
      </c>
      <c r="AIT71" s="1159" t="e">
        <f t="shared" si="17"/>
        <v>#DIV/0!</v>
      </c>
      <c r="AIU71" s="1159" t="e">
        <f t="shared" si="17"/>
        <v>#DIV/0!</v>
      </c>
      <c r="AIV71" s="1159" t="e">
        <f t="shared" si="17"/>
        <v>#DIV/0!</v>
      </c>
      <c r="AIW71" s="1159" t="e">
        <f t="shared" si="17"/>
        <v>#DIV/0!</v>
      </c>
      <c r="AIX71" s="1159" t="e">
        <f t="shared" si="17"/>
        <v>#DIV/0!</v>
      </c>
      <c r="AIY71" s="1159" t="e">
        <f t="shared" si="17"/>
        <v>#DIV/0!</v>
      </c>
      <c r="AIZ71" s="1159" t="e">
        <f t="shared" si="17"/>
        <v>#DIV/0!</v>
      </c>
      <c r="AJA71" s="1159" t="e">
        <f t="shared" si="17"/>
        <v>#DIV/0!</v>
      </c>
      <c r="AJB71" s="1159" t="e">
        <f t="shared" si="17"/>
        <v>#DIV/0!</v>
      </c>
      <c r="AJC71" s="1159" t="e">
        <f t="shared" si="17"/>
        <v>#DIV/0!</v>
      </c>
      <c r="AJD71" s="1159" t="e">
        <f t="shared" si="17"/>
        <v>#DIV/0!</v>
      </c>
      <c r="AJE71" s="1159" t="e">
        <f t="shared" si="17"/>
        <v>#DIV/0!</v>
      </c>
      <c r="AJF71" s="1159" t="e">
        <f t="shared" si="17"/>
        <v>#DIV/0!</v>
      </c>
      <c r="AJG71" s="1159" t="e">
        <f t="shared" si="17"/>
        <v>#DIV/0!</v>
      </c>
      <c r="AJH71" s="1159" t="e">
        <f t="shared" si="17"/>
        <v>#DIV/0!</v>
      </c>
      <c r="AJI71" s="1159" t="e">
        <f t="shared" si="17"/>
        <v>#DIV/0!</v>
      </c>
      <c r="AJJ71" s="1159" t="e">
        <f t="shared" si="17"/>
        <v>#DIV/0!</v>
      </c>
      <c r="AJK71" s="1159" t="e">
        <f t="shared" si="17"/>
        <v>#DIV/0!</v>
      </c>
      <c r="AJL71" s="1159" t="e">
        <f t="shared" si="17"/>
        <v>#DIV/0!</v>
      </c>
      <c r="AJM71" s="1159" t="e">
        <f t="shared" si="17"/>
        <v>#DIV/0!</v>
      </c>
      <c r="AJN71" s="1159" t="e">
        <f t="shared" si="17"/>
        <v>#DIV/0!</v>
      </c>
      <c r="AJO71" s="1159" t="e">
        <f t="shared" si="17"/>
        <v>#DIV/0!</v>
      </c>
      <c r="AJP71" s="1159" t="e">
        <f t="shared" si="17"/>
        <v>#DIV/0!</v>
      </c>
      <c r="AJQ71" s="1159" t="e">
        <f t="shared" si="17"/>
        <v>#DIV/0!</v>
      </c>
      <c r="AJR71" s="1159" t="e">
        <f t="shared" si="17"/>
        <v>#DIV/0!</v>
      </c>
      <c r="AJS71" s="1159" t="e">
        <f t="shared" si="17"/>
        <v>#DIV/0!</v>
      </c>
      <c r="AJT71" s="1159" t="e">
        <f t="shared" si="17"/>
        <v>#DIV/0!</v>
      </c>
      <c r="AJU71" s="1159" t="e">
        <f t="shared" si="17"/>
        <v>#DIV/0!</v>
      </c>
      <c r="AJV71" s="1159" t="e">
        <f t="shared" si="17"/>
        <v>#DIV/0!</v>
      </c>
      <c r="AJW71" s="1159" t="e">
        <f t="shared" si="17"/>
        <v>#DIV/0!</v>
      </c>
      <c r="AJX71" s="1159" t="e">
        <f t="shared" si="17"/>
        <v>#DIV/0!</v>
      </c>
      <c r="AJY71" s="1159" t="e">
        <f t="shared" si="17"/>
        <v>#DIV/0!</v>
      </c>
      <c r="AJZ71" s="1159" t="e">
        <f t="shared" si="17"/>
        <v>#DIV/0!</v>
      </c>
      <c r="AKA71" s="1159" t="e">
        <f t="shared" si="17"/>
        <v>#DIV/0!</v>
      </c>
      <c r="AKB71" s="1159" t="e">
        <f t="shared" si="17"/>
        <v>#DIV/0!</v>
      </c>
      <c r="AKC71" s="1159" t="e">
        <f t="shared" si="17"/>
        <v>#DIV/0!</v>
      </c>
      <c r="AKD71" s="1159" t="e">
        <f t="shared" ref="AKD71:AMO71" si="18">((AKD6+AKD12+AKD13+AKD14+AKD15)*860+AKD16*AKD55+AKD17*AKD56+AKD7*AKD49+AKD8*AKD50+AKD9*AKD51+AKD10*AKD52+AKD11*AKD53)/(SUM(AKD6:AKD17))</f>
        <v>#DIV/0!</v>
      </c>
      <c r="AKE71" s="1159" t="e">
        <f t="shared" si="18"/>
        <v>#DIV/0!</v>
      </c>
      <c r="AKF71" s="1159" t="e">
        <f t="shared" si="18"/>
        <v>#DIV/0!</v>
      </c>
      <c r="AKG71" s="1159" t="e">
        <f t="shared" si="18"/>
        <v>#DIV/0!</v>
      </c>
      <c r="AKH71" s="1159" t="e">
        <f t="shared" si="18"/>
        <v>#DIV/0!</v>
      </c>
      <c r="AKI71" s="1159" t="e">
        <f t="shared" si="18"/>
        <v>#DIV/0!</v>
      </c>
      <c r="AKJ71" s="1159" t="e">
        <f t="shared" si="18"/>
        <v>#DIV/0!</v>
      </c>
      <c r="AKK71" s="1159" t="e">
        <f t="shared" si="18"/>
        <v>#DIV/0!</v>
      </c>
      <c r="AKL71" s="1159" t="e">
        <f t="shared" si="18"/>
        <v>#DIV/0!</v>
      </c>
      <c r="AKM71" s="1159" t="e">
        <f t="shared" si="18"/>
        <v>#DIV/0!</v>
      </c>
      <c r="AKN71" s="1159" t="e">
        <f t="shared" si="18"/>
        <v>#DIV/0!</v>
      </c>
      <c r="AKO71" s="1159" t="e">
        <f t="shared" si="18"/>
        <v>#DIV/0!</v>
      </c>
      <c r="AKP71" s="1159" t="e">
        <f t="shared" si="18"/>
        <v>#DIV/0!</v>
      </c>
      <c r="AKQ71" s="1159" t="e">
        <f t="shared" si="18"/>
        <v>#DIV/0!</v>
      </c>
      <c r="AKR71" s="1159" t="e">
        <f t="shared" si="18"/>
        <v>#DIV/0!</v>
      </c>
      <c r="AKS71" s="1159" t="e">
        <f t="shared" si="18"/>
        <v>#DIV/0!</v>
      </c>
      <c r="AKT71" s="1159" t="e">
        <f t="shared" si="18"/>
        <v>#DIV/0!</v>
      </c>
      <c r="AKU71" s="1159" t="e">
        <f t="shared" si="18"/>
        <v>#DIV/0!</v>
      </c>
      <c r="AKV71" s="1159" t="e">
        <f t="shared" si="18"/>
        <v>#DIV/0!</v>
      </c>
      <c r="AKW71" s="1159" t="e">
        <f t="shared" si="18"/>
        <v>#DIV/0!</v>
      </c>
      <c r="AKX71" s="1159" t="e">
        <f t="shared" si="18"/>
        <v>#DIV/0!</v>
      </c>
      <c r="AKY71" s="1159" t="e">
        <f t="shared" si="18"/>
        <v>#DIV/0!</v>
      </c>
      <c r="AKZ71" s="1159" t="e">
        <f t="shared" si="18"/>
        <v>#DIV/0!</v>
      </c>
      <c r="ALA71" s="1159" t="e">
        <f t="shared" si="18"/>
        <v>#DIV/0!</v>
      </c>
      <c r="ALB71" s="1159" t="e">
        <f t="shared" si="18"/>
        <v>#DIV/0!</v>
      </c>
      <c r="ALC71" s="1159" t="e">
        <f t="shared" si="18"/>
        <v>#DIV/0!</v>
      </c>
      <c r="ALD71" s="1159" t="e">
        <f t="shared" si="18"/>
        <v>#DIV/0!</v>
      </c>
      <c r="ALE71" s="1159" t="e">
        <f t="shared" si="18"/>
        <v>#DIV/0!</v>
      </c>
      <c r="ALF71" s="1159" t="e">
        <f t="shared" si="18"/>
        <v>#DIV/0!</v>
      </c>
      <c r="ALG71" s="1159" t="e">
        <f t="shared" si="18"/>
        <v>#DIV/0!</v>
      </c>
      <c r="ALH71" s="1159" t="e">
        <f t="shared" si="18"/>
        <v>#DIV/0!</v>
      </c>
      <c r="ALI71" s="1159" t="e">
        <f t="shared" si="18"/>
        <v>#DIV/0!</v>
      </c>
      <c r="ALJ71" s="1159" t="e">
        <f t="shared" si="18"/>
        <v>#DIV/0!</v>
      </c>
      <c r="ALK71" s="1159" t="e">
        <f t="shared" si="18"/>
        <v>#DIV/0!</v>
      </c>
      <c r="ALL71" s="1159" t="e">
        <f t="shared" si="18"/>
        <v>#DIV/0!</v>
      </c>
      <c r="ALM71" s="1159" t="e">
        <f t="shared" si="18"/>
        <v>#DIV/0!</v>
      </c>
      <c r="ALN71" s="1159" t="e">
        <f t="shared" si="18"/>
        <v>#DIV/0!</v>
      </c>
      <c r="ALO71" s="1159" t="e">
        <f t="shared" si="18"/>
        <v>#DIV/0!</v>
      </c>
      <c r="ALP71" s="1159" t="e">
        <f t="shared" si="18"/>
        <v>#DIV/0!</v>
      </c>
      <c r="ALQ71" s="1159" t="e">
        <f t="shared" si="18"/>
        <v>#DIV/0!</v>
      </c>
      <c r="ALR71" s="1159" t="e">
        <f t="shared" si="18"/>
        <v>#DIV/0!</v>
      </c>
      <c r="ALS71" s="1159" t="e">
        <f t="shared" si="18"/>
        <v>#DIV/0!</v>
      </c>
      <c r="ALT71" s="1159" t="e">
        <f t="shared" si="18"/>
        <v>#DIV/0!</v>
      </c>
      <c r="ALU71" s="1159" t="e">
        <f t="shared" si="18"/>
        <v>#DIV/0!</v>
      </c>
      <c r="ALV71" s="1159" t="e">
        <f t="shared" si="18"/>
        <v>#DIV/0!</v>
      </c>
      <c r="ALW71" s="1159" t="e">
        <f t="shared" si="18"/>
        <v>#DIV/0!</v>
      </c>
      <c r="ALX71" s="1159" t="e">
        <f t="shared" si="18"/>
        <v>#DIV/0!</v>
      </c>
      <c r="ALY71" s="1159" t="e">
        <f t="shared" si="18"/>
        <v>#DIV/0!</v>
      </c>
      <c r="ALZ71" s="1159" t="e">
        <f t="shared" si="18"/>
        <v>#DIV/0!</v>
      </c>
      <c r="AMA71" s="1159" t="e">
        <f t="shared" si="18"/>
        <v>#DIV/0!</v>
      </c>
      <c r="AMB71" s="1159" t="e">
        <f t="shared" si="18"/>
        <v>#DIV/0!</v>
      </c>
      <c r="AMC71" s="1159" t="e">
        <f t="shared" si="18"/>
        <v>#DIV/0!</v>
      </c>
      <c r="AMD71" s="1159" t="e">
        <f t="shared" si="18"/>
        <v>#DIV/0!</v>
      </c>
      <c r="AME71" s="1159" t="e">
        <f t="shared" si="18"/>
        <v>#DIV/0!</v>
      </c>
      <c r="AMF71" s="1159" t="e">
        <f t="shared" si="18"/>
        <v>#DIV/0!</v>
      </c>
      <c r="AMG71" s="1159" t="e">
        <f t="shared" si="18"/>
        <v>#DIV/0!</v>
      </c>
      <c r="AMH71" s="1159" t="e">
        <f t="shared" si="18"/>
        <v>#DIV/0!</v>
      </c>
      <c r="AMI71" s="1159" t="e">
        <f t="shared" si="18"/>
        <v>#DIV/0!</v>
      </c>
      <c r="AMJ71" s="1159" t="e">
        <f t="shared" si="18"/>
        <v>#DIV/0!</v>
      </c>
      <c r="AMK71" s="1159" t="e">
        <f t="shared" si="18"/>
        <v>#DIV/0!</v>
      </c>
      <c r="AML71" s="1159" t="e">
        <f t="shared" si="18"/>
        <v>#DIV/0!</v>
      </c>
      <c r="AMM71" s="1159" t="e">
        <f t="shared" si="18"/>
        <v>#DIV/0!</v>
      </c>
      <c r="AMN71" s="1159" t="e">
        <f t="shared" si="18"/>
        <v>#DIV/0!</v>
      </c>
      <c r="AMO71" s="1159" t="e">
        <f t="shared" si="18"/>
        <v>#DIV/0!</v>
      </c>
      <c r="AMP71" s="1159" t="e">
        <f t="shared" ref="AMP71:APA71" si="19">((AMP6+AMP12+AMP13+AMP14+AMP15)*860+AMP16*AMP55+AMP17*AMP56+AMP7*AMP49+AMP8*AMP50+AMP9*AMP51+AMP10*AMP52+AMP11*AMP53)/(SUM(AMP6:AMP17))</f>
        <v>#DIV/0!</v>
      </c>
      <c r="AMQ71" s="1159" t="e">
        <f t="shared" si="19"/>
        <v>#DIV/0!</v>
      </c>
      <c r="AMR71" s="1159" t="e">
        <f t="shared" si="19"/>
        <v>#DIV/0!</v>
      </c>
      <c r="AMS71" s="1159" t="e">
        <f t="shared" si="19"/>
        <v>#DIV/0!</v>
      </c>
      <c r="AMT71" s="1159" t="e">
        <f t="shared" si="19"/>
        <v>#DIV/0!</v>
      </c>
      <c r="AMU71" s="1159" t="e">
        <f t="shared" si="19"/>
        <v>#DIV/0!</v>
      </c>
      <c r="AMV71" s="1159" t="e">
        <f t="shared" si="19"/>
        <v>#DIV/0!</v>
      </c>
      <c r="AMW71" s="1159" t="e">
        <f t="shared" si="19"/>
        <v>#DIV/0!</v>
      </c>
      <c r="AMX71" s="1159" t="e">
        <f t="shared" si="19"/>
        <v>#DIV/0!</v>
      </c>
      <c r="AMY71" s="1159" t="e">
        <f t="shared" si="19"/>
        <v>#DIV/0!</v>
      </c>
      <c r="AMZ71" s="1159" t="e">
        <f t="shared" si="19"/>
        <v>#DIV/0!</v>
      </c>
      <c r="ANA71" s="1159" t="e">
        <f t="shared" si="19"/>
        <v>#DIV/0!</v>
      </c>
      <c r="ANB71" s="1159" t="e">
        <f t="shared" si="19"/>
        <v>#DIV/0!</v>
      </c>
      <c r="ANC71" s="1159" t="e">
        <f t="shared" si="19"/>
        <v>#DIV/0!</v>
      </c>
      <c r="AND71" s="1159" t="e">
        <f t="shared" si="19"/>
        <v>#DIV/0!</v>
      </c>
      <c r="ANE71" s="1159" t="e">
        <f t="shared" si="19"/>
        <v>#DIV/0!</v>
      </c>
      <c r="ANF71" s="1159" t="e">
        <f t="shared" si="19"/>
        <v>#DIV/0!</v>
      </c>
      <c r="ANG71" s="1159" t="e">
        <f t="shared" si="19"/>
        <v>#DIV/0!</v>
      </c>
      <c r="ANH71" s="1159" t="e">
        <f t="shared" si="19"/>
        <v>#DIV/0!</v>
      </c>
      <c r="ANI71" s="1159" t="e">
        <f t="shared" si="19"/>
        <v>#DIV/0!</v>
      </c>
      <c r="ANJ71" s="1159" t="e">
        <f t="shared" si="19"/>
        <v>#DIV/0!</v>
      </c>
      <c r="ANK71" s="1159" t="e">
        <f t="shared" si="19"/>
        <v>#DIV/0!</v>
      </c>
      <c r="ANL71" s="1159" t="e">
        <f t="shared" si="19"/>
        <v>#DIV/0!</v>
      </c>
      <c r="ANM71" s="1159" t="e">
        <f t="shared" si="19"/>
        <v>#DIV/0!</v>
      </c>
      <c r="ANN71" s="1159" t="e">
        <f t="shared" si="19"/>
        <v>#DIV/0!</v>
      </c>
      <c r="ANO71" s="1159" t="e">
        <f t="shared" si="19"/>
        <v>#DIV/0!</v>
      </c>
      <c r="ANP71" s="1159" t="e">
        <f t="shared" si="19"/>
        <v>#DIV/0!</v>
      </c>
      <c r="ANQ71" s="1159" t="e">
        <f t="shared" si="19"/>
        <v>#DIV/0!</v>
      </c>
      <c r="ANR71" s="1159" t="e">
        <f t="shared" si="19"/>
        <v>#DIV/0!</v>
      </c>
      <c r="ANS71" s="1159" t="e">
        <f t="shared" si="19"/>
        <v>#DIV/0!</v>
      </c>
      <c r="ANT71" s="1159" t="e">
        <f t="shared" si="19"/>
        <v>#DIV/0!</v>
      </c>
      <c r="ANU71" s="1159" t="e">
        <f t="shared" si="19"/>
        <v>#DIV/0!</v>
      </c>
      <c r="ANV71" s="1159" t="e">
        <f t="shared" si="19"/>
        <v>#DIV/0!</v>
      </c>
      <c r="ANW71" s="1159" t="e">
        <f t="shared" si="19"/>
        <v>#DIV/0!</v>
      </c>
      <c r="ANX71" s="1159" t="e">
        <f t="shared" si="19"/>
        <v>#DIV/0!</v>
      </c>
      <c r="ANY71" s="1159" t="e">
        <f t="shared" si="19"/>
        <v>#DIV/0!</v>
      </c>
      <c r="ANZ71" s="1159" t="e">
        <f t="shared" si="19"/>
        <v>#DIV/0!</v>
      </c>
      <c r="AOA71" s="1159" t="e">
        <f t="shared" si="19"/>
        <v>#DIV/0!</v>
      </c>
      <c r="AOB71" s="1159" t="e">
        <f t="shared" si="19"/>
        <v>#DIV/0!</v>
      </c>
      <c r="AOC71" s="1159" t="e">
        <f t="shared" si="19"/>
        <v>#DIV/0!</v>
      </c>
      <c r="AOD71" s="1159" t="e">
        <f t="shared" si="19"/>
        <v>#DIV/0!</v>
      </c>
      <c r="AOE71" s="1159" t="e">
        <f t="shared" si="19"/>
        <v>#DIV/0!</v>
      </c>
      <c r="AOF71" s="1159" t="e">
        <f t="shared" si="19"/>
        <v>#DIV/0!</v>
      </c>
      <c r="AOG71" s="1159" t="e">
        <f t="shared" si="19"/>
        <v>#DIV/0!</v>
      </c>
      <c r="AOH71" s="1159" t="e">
        <f t="shared" si="19"/>
        <v>#DIV/0!</v>
      </c>
      <c r="AOI71" s="1159" t="e">
        <f t="shared" si="19"/>
        <v>#DIV/0!</v>
      </c>
      <c r="AOJ71" s="1159" t="e">
        <f t="shared" si="19"/>
        <v>#DIV/0!</v>
      </c>
      <c r="AOK71" s="1159" t="e">
        <f t="shared" si="19"/>
        <v>#DIV/0!</v>
      </c>
      <c r="AOL71" s="1159" t="e">
        <f t="shared" si="19"/>
        <v>#DIV/0!</v>
      </c>
      <c r="AOM71" s="1159" t="e">
        <f t="shared" si="19"/>
        <v>#DIV/0!</v>
      </c>
      <c r="AON71" s="1159" t="e">
        <f t="shared" si="19"/>
        <v>#DIV/0!</v>
      </c>
      <c r="AOO71" s="1159" t="e">
        <f t="shared" si="19"/>
        <v>#DIV/0!</v>
      </c>
      <c r="AOP71" s="1159" t="e">
        <f t="shared" si="19"/>
        <v>#DIV/0!</v>
      </c>
      <c r="AOQ71" s="1159" t="e">
        <f t="shared" si="19"/>
        <v>#DIV/0!</v>
      </c>
      <c r="AOR71" s="1159" t="e">
        <f t="shared" si="19"/>
        <v>#DIV/0!</v>
      </c>
      <c r="AOS71" s="1159" t="e">
        <f t="shared" si="19"/>
        <v>#DIV/0!</v>
      </c>
      <c r="AOT71" s="1159" t="e">
        <f t="shared" si="19"/>
        <v>#DIV/0!</v>
      </c>
      <c r="AOU71" s="1159" t="e">
        <f t="shared" si="19"/>
        <v>#DIV/0!</v>
      </c>
      <c r="AOV71" s="1159" t="e">
        <f t="shared" si="19"/>
        <v>#DIV/0!</v>
      </c>
      <c r="AOW71" s="1159" t="e">
        <f t="shared" si="19"/>
        <v>#DIV/0!</v>
      </c>
      <c r="AOX71" s="1159" t="e">
        <f t="shared" si="19"/>
        <v>#DIV/0!</v>
      </c>
      <c r="AOY71" s="1159" t="e">
        <f t="shared" si="19"/>
        <v>#DIV/0!</v>
      </c>
      <c r="AOZ71" s="1159" t="e">
        <f t="shared" si="19"/>
        <v>#DIV/0!</v>
      </c>
      <c r="APA71" s="1159" t="e">
        <f t="shared" si="19"/>
        <v>#DIV/0!</v>
      </c>
      <c r="APB71" s="1159" t="e">
        <f t="shared" ref="APB71:ARM71" si="20">((APB6+APB12+APB13+APB14+APB15)*860+APB16*APB55+APB17*APB56+APB7*APB49+APB8*APB50+APB9*APB51+APB10*APB52+APB11*APB53)/(SUM(APB6:APB17))</f>
        <v>#DIV/0!</v>
      </c>
      <c r="APC71" s="1159" t="e">
        <f t="shared" si="20"/>
        <v>#DIV/0!</v>
      </c>
      <c r="APD71" s="1159" t="e">
        <f t="shared" si="20"/>
        <v>#DIV/0!</v>
      </c>
      <c r="APE71" s="1159" t="e">
        <f t="shared" si="20"/>
        <v>#DIV/0!</v>
      </c>
      <c r="APF71" s="1159" t="e">
        <f t="shared" si="20"/>
        <v>#DIV/0!</v>
      </c>
      <c r="APG71" s="1159" t="e">
        <f t="shared" si="20"/>
        <v>#DIV/0!</v>
      </c>
      <c r="APH71" s="1159" t="e">
        <f t="shared" si="20"/>
        <v>#DIV/0!</v>
      </c>
      <c r="API71" s="1159" t="e">
        <f t="shared" si="20"/>
        <v>#DIV/0!</v>
      </c>
      <c r="APJ71" s="1159" t="e">
        <f t="shared" si="20"/>
        <v>#DIV/0!</v>
      </c>
      <c r="APK71" s="1159" t="e">
        <f t="shared" si="20"/>
        <v>#DIV/0!</v>
      </c>
      <c r="APL71" s="1159" t="e">
        <f t="shared" si="20"/>
        <v>#DIV/0!</v>
      </c>
      <c r="APM71" s="1159" t="e">
        <f t="shared" si="20"/>
        <v>#DIV/0!</v>
      </c>
      <c r="APN71" s="1159" t="e">
        <f t="shared" si="20"/>
        <v>#DIV/0!</v>
      </c>
      <c r="APO71" s="1159" t="e">
        <f t="shared" si="20"/>
        <v>#DIV/0!</v>
      </c>
      <c r="APP71" s="1159" t="e">
        <f t="shared" si="20"/>
        <v>#DIV/0!</v>
      </c>
      <c r="APQ71" s="1159" t="e">
        <f t="shared" si="20"/>
        <v>#DIV/0!</v>
      </c>
      <c r="APR71" s="1159" t="e">
        <f t="shared" si="20"/>
        <v>#DIV/0!</v>
      </c>
      <c r="APS71" s="1159" t="e">
        <f t="shared" si="20"/>
        <v>#DIV/0!</v>
      </c>
      <c r="APT71" s="1159" t="e">
        <f t="shared" si="20"/>
        <v>#DIV/0!</v>
      </c>
      <c r="APU71" s="1159" t="e">
        <f t="shared" si="20"/>
        <v>#DIV/0!</v>
      </c>
      <c r="APV71" s="1159" t="e">
        <f t="shared" si="20"/>
        <v>#DIV/0!</v>
      </c>
      <c r="APW71" s="1159" t="e">
        <f t="shared" si="20"/>
        <v>#DIV/0!</v>
      </c>
      <c r="APX71" s="1159" t="e">
        <f t="shared" si="20"/>
        <v>#DIV/0!</v>
      </c>
      <c r="APY71" s="1159" t="e">
        <f t="shared" si="20"/>
        <v>#DIV/0!</v>
      </c>
      <c r="APZ71" s="1159" t="e">
        <f t="shared" si="20"/>
        <v>#DIV/0!</v>
      </c>
      <c r="AQA71" s="1159" t="e">
        <f t="shared" si="20"/>
        <v>#DIV/0!</v>
      </c>
      <c r="AQB71" s="1159" t="e">
        <f t="shared" si="20"/>
        <v>#DIV/0!</v>
      </c>
      <c r="AQC71" s="1159" t="e">
        <f t="shared" si="20"/>
        <v>#DIV/0!</v>
      </c>
      <c r="AQD71" s="1159" t="e">
        <f t="shared" si="20"/>
        <v>#DIV/0!</v>
      </c>
      <c r="AQE71" s="1159" t="e">
        <f t="shared" si="20"/>
        <v>#DIV/0!</v>
      </c>
      <c r="AQF71" s="1159" t="e">
        <f t="shared" si="20"/>
        <v>#DIV/0!</v>
      </c>
      <c r="AQG71" s="1159" t="e">
        <f t="shared" si="20"/>
        <v>#DIV/0!</v>
      </c>
      <c r="AQH71" s="1159" t="e">
        <f t="shared" si="20"/>
        <v>#DIV/0!</v>
      </c>
      <c r="AQI71" s="1159" t="e">
        <f t="shared" si="20"/>
        <v>#DIV/0!</v>
      </c>
      <c r="AQJ71" s="1159" t="e">
        <f t="shared" si="20"/>
        <v>#DIV/0!</v>
      </c>
      <c r="AQK71" s="1159" t="e">
        <f t="shared" si="20"/>
        <v>#DIV/0!</v>
      </c>
      <c r="AQL71" s="1159" t="e">
        <f t="shared" si="20"/>
        <v>#DIV/0!</v>
      </c>
      <c r="AQM71" s="1159" t="e">
        <f t="shared" si="20"/>
        <v>#DIV/0!</v>
      </c>
      <c r="AQN71" s="1159" t="e">
        <f t="shared" si="20"/>
        <v>#DIV/0!</v>
      </c>
      <c r="AQO71" s="1159" t="e">
        <f t="shared" si="20"/>
        <v>#DIV/0!</v>
      </c>
      <c r="AQP71" s="1159" t="e">
        <f t="shared" si="20"/>
        <v>#DIV/0!</v>
      </c>
      <c r="AQQ71" s="1159" t="e">
        <f t="shared" si="20"/>
        <v>#DIV/0!</v>
      </c>
      <c r="AQR71" s="1159" t="e">
        <f t="shared" si="20"/>
        <v>#DIV/0!</v>
      </c>
      <c r="AQS71" s="1159" t="e">
        <f t="shared" si="20"/>
        <v>#DIV/0!</v>
      </c>
      <c r="AQT71" s="1159" t="e">
        <f t="shared" si="20"/>
        <v>#DIV/0!</v>
      </c>
      <c r="AQU71" s="1159" t="e">
        <f t="shared" si="20"/>
        <v>#DIV/0!</v>
      </c>
      <c r="AQV71" s="1159" t="e">
        <f t="shared" si="20"/>
        <v>#DIV/0!</v>
      </c>
      <c r="AQW71" s="1159" t="e">
        <f t="shared" si="20"/>
        <v>#DIV/0!</v>
      </c>
      <c r="AQX71" s="1159" t="e">
        <f t="shared" si="20"/>
        <v>#DIV/0!</v>
      </c>
      <c r="AQY71" s="1159" t="e">
        <f t="shared" si="20"/>
        <v>#DIV/0!</v>
      </c>
      <c r="AQZ71" s="1159" t="e">
        <f t="shared" si="20"/>
        <v>#DIV/0!</v>
      </c>
      <c r="ARA71" s="1159" t="e">
        <f t="shared" si="20"/>
        <v>#DIV/0!</v>
      </c>
      <c r="ARB71" s="1159" t="e">
        <f t="shared" si="20"/>
        <v>#DIV/0!</v>
      </c>
      <c r="ARC71" s="1159" t="e">
        <f t="shared" si="20"/>
        <v>#DIV/0!</v>
      </c>
      <c r="ARD71" s="1159" t="e">
        <f t="shared" si="20"/>
        <v>#DIV/0!</v>
      </c>
      <c r="ARE71" s="1159" t="e">
        <f t="shared" si="20"/>
        <v>#DIV/0!</v>
      </c>
      <c r="ARF71" s="1159" t="e">
        <f t="shared" si="20"/>
        <v>#DIV/0!</v>
      </c>
      <c r="ARG71" s="1159" t="e">
        <f t="shared" si="20"/>
        <v>#DIV/0!</v>
      </c>
      <c r="ARH71" s="1159" t="e">
        <f t="shared" si="20"/>
        <v>#DIV/0!</v>
      </c>
      <c r="ARI71" s="1159" t="e">
        <f t="shared" si="20"/>
        <v>#DIV/0!</v>
      </c>
      <c r="ARJ71" s="1159" t="e">
        <f t="shared" si="20"/>
        <v>#DIV/0!</v>
      </c>
      <c r="ARK71" s="1159" t="e">
        <f t="shared" si="20"/>
        <v>#DIV/0!</v>
      </c>
      <c r="ARL71" s="1159" t="e">
        <f t="shared" si="20"/>
        <v>#DIV/0!</v>
      </c>
      <c r="ARM71" s="1159" t="e">
        <f t="shared" si="20"/>
        <v>#DIV/0!</v>
      </c>
      <c r="ARN71" s="1159" t="e">
        <f t="shared" ref="ARN71:ATY71" si="21">((ARN6+ARN12+ARN13+ARN14+ARN15)*860+ARN16*ARN55+ARN17*ARN56+ARN7*ARN49+ARN8*ARN50+ARN9*ARN51+ARN10*ARN52+ARN11*ARN53)/(SUM(ARN6:ARN17))</f>
        <v>#DIV/0!</v>
      </c>
      <c r="ARO71" s="1159" t="e">
        <f t="shared" si="21"/>
        <v>#DIV/0!</v>
      </c>
      <c r="ARP71" s="1159" t="e">
        <f t="shared" si="21"/>
        <v>#DIV/0!</v>
      </c>
      <c r="ARQ71" s="1159" t="e">
        <f t="shared" si="21"/>
        <v>#DIV/0!</v>
      </c>
      <c r="ARR71" s="1159" t="e">
        <f t="shared" si="21"/>
        <v>#DIV/0!</v>
      </c>
      <c r="ARS71" s="1159" t="e">
        <f t="shared" si="21"/>
        <v>#DIV/0!</v>
      </c>
      <c r="ART71" s="1159" t="e">
        <f t="shared" si="21"/>
        <v>#DIV/0!</v>
      </c>
      <c r="ARU71" s="1159" t="e">
        <f t="shared" si="21"/>
        <v>#DIV/0!</v>
      </c>
      <c r="ARV71" s="1159" t="e">
        <f t="shared" si="21"/>
        <v>#DIV/0!</v>
      </c>
      <c r="ARW71" s="1159" t="e">
        <f t="shared" si="21"/>
        <v>#DIV/0!</v>
      </c>
      <c r="ARX71" s="1159" t="e">
        <f t="shared" si="21"/>
        <v>#DIV/0!</v>
      </c>
      <c r="ARY71" s="1159" t="e">
        <f t="shared" si="21"/>
        <v>#DIV/0!</v>
      </c>
      <c r="ARZ71" s="1159" t="e">
        <f t="shared" si="21"/>
        <v>#DIV/0!</v>
      </c>
      <c r="ASA71" s="1159" t="e">
        <f t="shared" si="21"/>
        <v>#DIV/0!</v>
      </c>
      <c r="ASB71" s="1159" t="e">
        <f t="shared" si="21"/>
        <v>#DIV/0!</v>
      </c>
      <c r="ASC71" s="1159" t="e">
        <f t="shared" si="21"/>
        <v>#DIV/0!</v>
      </c>
      <c r="ASD71" s="1159" t="e">
        <f t="shared" si="21"/>
        <v>#DIV/0!</v>
      </c>
      <c r="ASE71" s="1159" t="e">
        <f t="shared" si="21"/>
        <v>#DIV/0!</v>
      </c>
      <c r="ASF71" s="1159" t="e">
        <f t="shared" si="21"/>
        <v>#DIV/0!</v>
      </c>
      <c r="ASG71" s="1159" t="e">
        <f t="shared" si="21"/>
        <v>#DIV/0!</v>
      </c>
      <c r="ASH71" s="1159" t="e">
        <f t="shared" si="21"/>
        <v>#DIV/0!</v>
      </c>
      <c r="ASI71" s="1159" t="e">
        <f t="shared" si="21"/>
        <v>#DIV/0!</v>
      </c>
      <c r="ASJ71" s="1159" t="e">
        <f t="shared" si="21"/>
        <v>#DIV/0!</v>
      </c>
      <c r="ASK71" s="1159" t="e">
        <f t="shared" si="21"/>
        <v>#DIV/0!</v>
      </c>
      <c r="ASL71" s="1159" t="e">
        <f t="shared" si="21"/>
        <v>#DIV/0!</v>
      </c>
      <c r="ASM71" s="1159" t="e">
        <f t="shared" si="21"/>
        <v>#DIV/0!</v>
      </c>
      <c r="ASN71" s="1159" t="e">
        <f t="shared" si="21"/>
        <v>#DIV/0!</v>
      </c>
      <c r="ASO71" s="1159" t="e">
        <f t="shared" si="21"/>
        <v>#DIV/0!</v>
      </c>
      <c r="ASP71" s="1159" t="e">
        <f t="shared" si="21"/>
        <v>#DIV/0!</v>
      </c>
      <c r="ASQ71" s="1159" t="e">
        <f t="shared" si="21"/>
        <v>#DIV/0!</v>
      </c>
      <c r="ASR71" s="1159" t="e">
        <f t="shared" si="21"/>
        <v>#DIV/0!</v>
      </c>
      <c r="ASS71" s="1159" t="e">
        <f t="shared" si="21"/>
        <v>#DIV/0!</v>
      </c>
      <c r="AST71" s="1159" t="e">
        <f t="shared" si="21"/>
        <v>#DIV/0!</v>
      </c>
      <c r="ASU71" s="1159" t="e">
        <f t="shared" si="21"/>
        <v>#DIV/0!</v>
      </c>
      <c r="ASV71" s="1159" t="e">
        <f t="shared" si="21"/>
        <v>#DIV/0!</v>
      </c>
      <c r="ASW71" s="1159" t="e">
        <f t="shared" si="21"/>
        <v>#DIV/0!</v>
      </c>
      <c r="ASX71" s="1159" t="e">
        <f t="shared" si="21"/>
        <v>#DIV/0!</v>
      </c>
      <c r="ASY71" s="1159" t="e">
        <f t="shared" si="21"/>
        <v>#DIV/0!</v>
      </c>
      <c r="ASZ71" s="1159" t="e">
        <f t="shared" si="21"/>
        <v>#DIV/0!</v>
      </c>
      <c r="ATA71" s="1159" t="e">
        <f t="shared" si="21"/>
        <v>#DIV/0!</v>
      </c>
      <c r="ATB71" s="1159" t="e">
        <f t="shared" si="21"/>
        <v>#DIV/0!</v>
      </c>
      <c r="ATC71" s="1159" t="e">
        <f t="shared" si="21"/>
        <v>#DIV/0!</v>
      </c>
      <c r="ATD71" s="1159" t="e">
        <f t="shared" si="21"/>
        <v>#DIV/0!</v>
      </c>
      <c r="ATE71" s="1159" t="e">
        <f t="shared" si="21"/>
        <v>#DIV/0!</v>
      </c>
      <c r="ATF71" s="1159" t="e">
        <f t="shared" si="21"/>
        <v>#DIV/0!</v>
      </c>
      <c r="ATG71" s="1159" t="e">
        <f t="shared" si="21"/>
        <v>#DIV/0!</v>
      </c>
      <c r="ATH71" s="1159" t="e">
        <f t="shared" si="21"/>
        <v>#DIV/0!</v>
      </c>
      <c r="ATI71" s="1159" t="e">
        <f t="shared" si="21"/>
        <v>#DIV/0!</v>
      </c>
      <c r="ATJ71" s="1159" t="e">
        <f t="shared" si="21"/>
        <v>#DIV/0!</v>
      </c>
      <c r="ATK71" s="1159" t="e">
        <f t="shared" si="21"/>
        <v>#DIV/0!</v>
      </c>
      <c r="ATL71" s="1159" t="e">
        <f t="shared" si="21"/>
        <v>#DIV/0!</v>
      </c>
      <c r="ATM71" s="1159" t="e">
        <f t="shared" si="21"/>
        <v>#DIV/0!</v>
      </c>
      <c r="ATN71" s="1159" t="e">
        <f t="shared" si="21"/>
        <v>#DIV/0!</v>
      </c>
      <c r="ATO71" s="1159" t="e">
        <f t="shared" si="21"/>
        <v>#DIV/0!</v>
      </c>
      <c r="ATP71" s="1159" t="e">
        <f t="shared" si="21"/>
        <v>#DIV/0!</v>
      </c>
      <c r="ATQ71" s="1159" t="e">
        <f t="shared" si="21"/>
        <v>#DIV/0!</v>
      </c>
      <c r="ATR71" s="1159" t="e">
        <f t="shared" si="21"/>
        <v>#DIV/0!</v>
      </c>
      <c r="ATS71" s="1159" t="e">
        <f t="shared" si="21"/>
        <v>#DIV/0!</v>
      </c>
      <c r="ATT71" s="1159" t="e">
        <f t="shared" si="21"/>
        <v>#DIV/0!</v>
      </c>
      <c r="ATU71" s="1159" t="e">
        <f t="shared" si="21"/>
        <v>#DIV/0!</v>
      </c>
      <c r="ATV71" s="1159" t="e">
        <f t="shared" si="21"/>
        <v>#DIV/0!</v>
      </c>
      <c r="ATW71" s="1159" t="e">
        <f t="shared" si="21"/>
        <v>#DIV/0!</v>
      </c>
      <c r="ATX71" s="1159" t="e">
        <f t="shared" si="21"/>
        <v>#DIV/0!</v>
      </c>
      <c r="ATY71" s="1159" t="e">
        <f t="shared" si="21"/>
        <v>#DIV/0!</v>
      </c>
      <c r="ATZ71" s="1159" t="e">
        <f t="shared" ref="ATZ71:AWK71" si="22">((ATZ6+ATZ12+ATZ13+ATZ14+ATZ15)*860+ATZ16*ATZ55+ATZ17*ATZ56+ATZ7*ATZ49+ATZ8*ATZ50+ATZ9*ATZ51+ATZ10*ATZ52+ATZ11*ATZ53)/(SUM(ATZ6:ATZ17))</f>
        <v>#DIV/0!</v>
      </c>
      <c r="AUA71" s="1159" t="e">
        <f t="shared" si="22"/>
        <v>#DIV/0!</v>
      </c>
      <c r="AUB71" s="1159" t="e">
        <f t="shared" si="22"/>
        <v>#DIV/0!</v>
      </c>
      <c r="AUC71" s="1159" t="e">
        <f t="shared" si="22"/>
        <v>#DIV/0!</v>
      </c>
      <c r="AUD71" s="1159" t="e">
        <f t="shared" si="22"/>
        <v>#DIV/0!</v>
      </c>
      <c r="AUE71" s="1159" t="e">
        <f t="shared" si="22"/>
        <v>#DIV/0!</v>
      </c>
      <c r="AUF71" s="1159" t="e">
        <f t="shared" si="22"/>
        <v>#DIV/0!</v>
      </c>
      <c r="AUG71" s="1159" t="e">
        <f t="shared" si="22"/>
        <v>#DIV/0!</v>
      </c>
      <c r="AUH71" s="1159" t="e">
        <f t="shared" si="22"/>
        <v>#DIV/0!</v>
      </c>
      <c r="AUI71" s="1159" t="e">
        <f t="shared" si="22"/>
        <v>#DIV/0!</v>
      </c>
      <c r="AUJ71" s="1159" t="e">
        <f t="shared" si="22"/>
        <v>#DIV/0!</v>
      </c>
      <c r="AUK71" s="1159" t="e">
        <f t="shared" si="22"/>
        <v>#DIV/0!</v>
      </c>
      <c r="AUL71" s="1159" t="e">
        <f t="shared" si="22"/>
        <v>#DIV/0!</v>
      </c>
      <c r="AUM71" s="1159" t="e">
        <f t="shared" si="22"/>
        <v>#DIV/0!</v>
      </c>
      <c r="AUN71" s="1159" t="e">
        <f t="shared" si="22"/>
        <v>#DIV/0!</v>
      </c>
      <c r="AUO71" s="1159" t="e">
        <f t="shared" si="22"/>
        <v>#DIV/0!</v>
      </c>
      <c r="AUP71" s="1159" t="e">
        <f t="shared" si="22"/>
        <v>#DIV/0!</v>
      </c>
      <c r="AUQ71" s="1159" t="e">
        <f t="shared" si="22"/>
        <v>#DIV/0!</v>
      </c>
      <c r="AUR71" s="1159" t="e">
        <f t="shared" si="22"/>
        <v>#DIV/0!</v>
      </c>
      <c r="AUS71" s="1159" t="e">
        <f t="shared" si="22"/>
        <v>#DIV/0!</v>
      </c>
      <c r="AUT71" s="1159" t="e">
        <f t="shared" si="22"/>
        <v>#DIV/0!</v>
      </c>
      <c r="AUU71" s="1159" t="e">
        <f t="shared" si="22"/>
        <v>#DIV/0!</v>
      </c>
      <c r="AUV71" s="1159" t="e">
        <f t="shared" si="22"/>
        <v>#DIV/0!</v>
      </c>
      <c r="AUW71" s="1159" t="e">
        <f t="shared" si="22"/>
        <v>#DIV/0!</v>
      </c>
      <c r="AUX71" s="1159" t="e">
        <f t="shared" si="22"/>
        <v>#DIV/0!</v>
      </c>
      <c r="AUY71" s="1159" t="e">
        <f t="shared" si="22"/>
        <v>#DIV/0!</v>
      </c>
      <c r="AUZ71" s="1159" t="e">
        <f t="shared" si="22"/>
        <v>#DIV/0!</v>
      </c>
      <c r="AVA71" s="1159" t="e">
        <f t="shared" si="22"/>
        <v>#DIV/0!</v>
      </c>
      <c r="AVB71" s="1159" t="e">
        <f t="shared" si="22"/>
        <v>#DIV/0!</v>
      </c>
      <c r="AVC71" s="1159" t="e">
        <f t="shared" si="22"/>
        <v>#DIV/0!</v>
      </c>
      <c r="AVD71" s="1159" t="e">
        <f t="shared" si="22"/>
        <v>#DIV/0!</v>
      </c>
      <c r="AVE71" s="1159" t="e">
        <f t="shared" si="22"/>
        <v>#DIV/0!</v>
      </c>
      <c r="AVF71" s="1159" t="e">
        <f t="shared" si="22"/>
        <v>#DIV/0!</v>
      </c>
      <c r="AVG71" s="1159" t="e">
        <f t="shared" si="22"/>
        <v>#DIV/0!</v>
      </c>
      <c r="AVH71" s="1159" t="e">
        <f t="shared" si="22"/>
        <v>#DIV/0!</v>
      </c>
      <c r="AVI71" s="1159" t="e">
        <f t="shared" si="22"/>
        <v>#DIV/0!</v>
      </c>
      <c r="AVJ71" s="1159" t="e">
        <f t="shared" si="22"/>
        <v>#DIV/0!</v>
      </c>
      <c r="AVK71" s="1159" t="e">
        <f t="shared" si="22"/>
        <v>#DIV/0!</v>
      </c>
      <c r="AVL71" s="1159" t="e">
        <f t="shared" si="22"/>
        <v>#DIV/0!</v>
      </c>
      <c r="AVM71" s="1159" t="e">
        <f t="shared" si="22"/>
        <v>#DIV/0!</v>
      </c>
      <c r="AVN71" s="1159" t="e">
        <f t="shared" si="22"/>
        <v>#DIV/0!</v>
      </c>
      <c r="AVO71" s="1159" t="e">
        <f t="shared" si="22"/>
        <v>#DIV/0!</v>
      </c>
      <c r="AVP71" s="1159" t="e">
        <f t="shared" si="22"/>
        <v>#DIV/0!</v>
      </c>
      <c r="AVQ71" s="1159" t="e">
        <f t="shared" si="22"/>
        <v>#DIV/0!</v>
      </c>
      <c r="AVR71" s="1159" t="e">
        <f t="shared" si="22"/>
        <v>#DIV/0!</v>
      </c>
      <c r="AVS71" s="1159" t="e">
        <f t="shared" si="22"/>
        <v>#DIV/0!</v>
      </c>
      <c r="AVT71" s="1159" t="e">
        <f t="shared" si="22"/>
        <v>#DIV/0!</v>
      </c>
      <c r="AVU71" s="1159" t="e">
        <f t="shared" si="22"/>
        <v>#DIV/0!</v>
      </c>
      <c r="AVV71" s="1159" t="e">
        <f t="shared" si="22"/>
        <v>#DIV/0!</v>
      </c>
      <c r="AVW71" s="1159" t="e">
        <f t="shared" si="22"/>
        <v>#DIV/0!</v>
      </c>
      <c r="AVX71" s="1159" t="e">
        <f t="shared" si="22"/>
        <v>#DIV/0!</v>
      </c>
      <c r="AVY71" s="1159" t="e">
        <f t="shared" si="22"/>
        <v>#DIV/0!</v>
      </c>
      <c r="AVZ71" s="1159" t="e">
        <f t="shared" si="22"/>
        <v>#DIV/0!</v>
      </c>
      <c r="AWA71" s="1159" t="e">
        <f t="shared" si="22"/>
        <v>#DIV/0!</v>
      </c>
      <c r="AWB71" s="1159" t="e">
        <f t="shared" si="22"/>
        <v>#DIV/0!</v>
      </c>
      <c r="AWC71" s="1159" t="e">
        <f t="shared" si="22"/>
        <v>#DIV/0!</v>
      </c>
      <c r="AWD71" s="1159" t="e">
        <f t="shared" si="22"/>
        <v>#DIV/0!</v>
      </c>
      <c r="AWE71" s="1159" t="e">
        <f t="shared" si="22"/>
        <v>#DIV/0!</v>
      </c>
      <c r="AWF71" s="1159" t="e">
        <f t="shared" si="22"/>
        <v>#DIV/0!</v>
      </c>
      <c r="AWG71" s="1159" t="e">
        <f t="shared" si="22"/>
        <v>#DIV/0!</v>
      </c>
      <c r="AWH71" s="1159" t="e">
        <f t="shared" si="22"/>
        <v>#DIV/0!</v>
      </c>
      <c r="AWI71" s="1159" t="e">
        <f t="shared" si="22"/>
        <v>#DIV/0!</v>
      </c>
      <c r="AWJ71" s="1159" t="e">
        <f t="shared" si="22"/>
        <v>#DIV/0!</v>
      </c>
      <c r="AWK71" s="1159" t="e">
        <f t="shared" si="22"/>
        <v>#DIV/0!</v>
      </c>
      <c r="AWL71" s="1159" t="e">
        <f t="shared" ref="AWL71:AYW71" si="23">((AWL6+AWL12+AWL13+AWL14+AWL15)*860+AWL16*AWL55+AWL17*AWL56+AWL7*AWL49+AWL8*AWL50+AWL9*AWL51+AWL10*AWL52+AWL11*AWL53)/(SUM(AWL6:AWL17))</f>
        <v>#DIV/0!</v>
      </c>
      <c r="AWM71" s="1159" t="e">
        <f t="shared" si="23"/>
        <v>#DIV/0!</v>
      </c>
      <c r="AWN71" s="1159" t="e">
        <f t="shared" si="23"/>
        <v>#DIV/0!</v>
      </c>
      <c r="AWO71" s="1159" t="e">
        <f t="shared" si="23"/>
        <v>#DIV/0!</v>
      </c>
      <c r="AWP71" s="1159" t="e">
        <f t="shared" si="23"/>
        <v>#DIV/0!</v>
      </c>
      <c r="AWQ71" s="1159" t="e">
        <f t="shared" si="23"/>
        <v>#DIV/0!</v>
      </c>
      <c r="AWR71" s="1159" t="e">
        <f t="shared" si="23"/>
        <v>#DIV/0!</v>
      </c>
      <c r="AWS71" s="1159" t="e">
        <f t="shared" si="23"/>
        <v>#DIV/0!</v>
      </c>
      <c r="AWT71" s="1159" t="e">
        <f t="shared" si="23"/>
        <v>#DIV/0!</v>
      </c>
      <c r="AWU71" s="1159" t="e">
        <f t="shared" si="23"/>
        <v>#DIV/0!</v>
      </c>
      <c r="AWV71" s="1159" t="e">
        <f t="shared" si="23"/>
        <v>#DIV/0!</v>
      </c>
      <c r="AWW71" s="1159" t="e">
        <f t="shared" si="23"/>
        <v>#DIV/0!</v>
      </c>
      <c r="AWX71" s="1159" t="e">
        <f t="shared" si="23"/>
        <v>#DIV/0!</v>
      </c>
      <c r="AWY71" s="1159" t="e">
        <f t="shared" si="23"/>
        <v>#DIV/0!</v>
      </c>
      <c r="AWZ71" s="1159" t="e">
        <f t="shared" si="23"/>
        <v>#DIV/0!</v>
      </c>
      <c r="AXA71" s="1159" t="e">
        <f t="shared" si="23"/>
        <v>#DIV/0!</v>
      </c>
      <c r="AXB71" s="1159" t="e">
        <f t="shared" si="23"/>
        <v>#DIV/0!</v>
      </c>
      <c r="AXC71" s="1159" t="e">
        <f t="shared" si="23"/>
        <v>#DIV/0!</v>
      </c>
      <c r="AXD71" s="1159" t="e">
        <f t="shared" si="23"/>
        <v>#DIV/0!</v>
      </c>
      <c r="AXE71" s="1159" t="e">
        <f t="shared" si="23"/>
        <v>#DIV/0!</v>
      </c>
      <c r="AXF71" s="1159" t="e">
        <f t="shared" si="23"/>
        <v>#DIV/0!</v>
      </c>
      <c r="AXG71" s="1159" t="e">
        <f t="shared" si="23"/>
        <v>#DIV/0!</v>
      </c>
      <c r="AXH71" s="1159" t="e">
        <f t="shared" si="23"/>
        <v>#DIV/0!</v>
      </c>
      <c r="AXI71" s="1159" t="e">
        <f t="shared" si="23"/>
        <v>#DIV/0!</v>
      </c>
      <c r="AXJ71" s="1159" t="e">
        <f t="shared" si="23"/>
        <v>#DIV/0!</v>
      </c>
      <c r="AXK71" s="1159" t="e">
        <f t="shared" si="23"/>
        <v>#DIV/0!</v>
      </c>
      <c r="AXL71" s="1159" t="e">
        <f t="shared" si="23"/>
        <v>#DIV/0!</v>
      </c>
      <c r="AXM71" s="1159" t="e">
        <f t="shared" si="23"/>
        <v>#DIV/0!</v>
      </c>
      <c r="AXN71" s="1159" t="e">
        <f t="shared" si="23"/>
        <v>#DIV/0!</v>
      </c>
      <c r="AXO71" s="1159" t="e">
        <f t="shared" si="23"/>
        <v>#DIV/0!</v>
      </c>
      <c r="AXP71" s="1159" t="e">
        <f t="shared" si="23"/>
        <v>#DIV/0!</v>
      </c>
      <c r="AXQ71" s="1159" t="e">
        <f t="shared" si="23"/>
        <v>#DIV/0!</v>
      </c>
      <c r="AXR71" s="1159" t="e">
        <f t="shared" si="23"/>
        <v>#DIV/0!</v>
      </c>
      <c r="AXS71" s="1159" t="e">
        <f t="shared" si="23"/>
        <v>#DIV/0!</v>
      </c>
      <c r="AXT71" s="1159" t="e">
        <f t="shared" si="23"/>
        <v>#DIV/0!</v>
      </c>
      <c r="AXU71" s="1159" t="e">
        <f t="shared" si="23"/>
        <v>#DIV/0!</v>
      </c>
      <c r="AXV71" s="1159" t="e">
        <f t="shared" si="23"/>
        <v>#DIV/0!</v>
      </c>
      <c r="AXW71" s="1159" t="e">
        <f t="shared" si="23"/>
        <v>#DIV/0!</v>
      </c>
      <c r="AXX71" s="1159" t="e">
        <f t="shared" si="23"/>
        <v>#DIV/0!</v>
      </c>
      <c r="AXY71" s="1159" t="e">
        <f t="shared" si="23"/>
        <v>#DIV/0!</v>
      </c>
      <c r="AXZ71" s="1159" t="e">
        <f t="shared" si="23"/>
        <v>#DIV/0!</v>
      </c>
      <c r="AYA71" s="1159" t="e">
        <f t="shared" si="23"/>
        <v>#DIV/0!</v>
      </c>
      <c r="AYB71" s="1159" t="e">
        <f t="shared" si="23"/>
        <v>#DIV/0!</v>
      </c>
      <c r="AYC71" s="1159" t="e">
        <f t="shared" si="23"/>
        <v>#DIV/0!</v>
      </c>
      <c r="AYD71" s="1159" t="e">
        <f t="shared" si="23"/>
        <v>#DIV/0!</v>
      </c>
      <c r="AYE71" s="1159" t="e">
        <f t="shared" si="23"/>
        <v>#DIV/0!</v>
      </c>
      <c r="AYF71" s="1159" t="e">
        <f t="shared" si="23"/>
        <v>#DIV/0!</v>
      </c>
      <c r="AYG71" s="1159" t="e">
        <f t="shared" si="23"/>
        <v>#DIV/0!</v>
      </c>
      <c r="AYH71" s="1159" t="e">
        <f t="shared" si="23"/>
        <v>#DIV/0!</v>
      </c>
      <c r="AYI71" s="1159" t="e">
        <f t="shared" si="23"/>
        <v>#DIV/0!</v>
      </c>
      <c r="AYJ71" s="1159" t="e">
        <f t="shared" si="23"/>
        <v>#DIV/0!</v>
      </c>
      <c r="AYK71" s="1159" t="e">
        <f t="shared" si="23"/>
        <v>#DIV/0!</v>
      </c>
      <c r="AYL71" s="1159" t="e">
        <f t="shared" si="23"/>
        <v>#DIV/0!</v>
      </c>
      <c r="AYM71" s="1159" t="e">
        <f t="shared" si="23"/>
        <v>#DIV/0!</v>
      </c>
      <c r="AYN71" s="1159" t="e">
        <f t="shared" si="23"/>
        <v>#DIV/0!</v>
      </c>
      <c r="AYO71" s="1159" t="e">
        <f t="shared" si="23"/>
        <v>#DIV/0!</v>
      </c>
      <c r="AYP71" s="1159" t="e">
        <f t="shared" si="23"/>
        <v>#DIV/0!</v>
      </c>
      <c r="AYQ71" s="1159" t="e">
        <f t="shared" si="23"/>
        <v>#DIV/0!</v>
      </c>
      <c r="AYR71" s="1159" t="e">
        <f t="shared" si="23"/>
        <v>#DIV/0!</v>
      </c>
      <c r="AYS71" s="1159" t="e">
        <f t="shared" si="23"/>
        <v>#DIV/0!</v>
      </c>
      <c r="AYT71" s="1159" t="e">
        <f t="shared" si="23"/>
        <v>#DIV/0!</v>
      </c>
      <c r="AYU71" s="1159" t="e">
        <f t="shared" si="23"/>
        <v>#DIV/0!</v>
      </c>
      <c r="AYV71" s="1159" t="e">
        <f t="shared" si="23"/>
        <v>#DIV/0!</v>
      </c>
      <c r="AYW71" s="1159" t="e">
        <f t="shared" si="23"/>
        <v>#DIV/0!</v>
      </c>
      <c r="AYX71" s="1159" t="e">
        <f t="shared" ref="AYX71:BBI71" si="24">((AYX6+AYX12+AYX13+AYX14+AYX15)*860+AYX16*AYX55+AYX17*AYX56+AYX7*AYX49+AYX8*AYX50+AYX9*AYX51+AYX10*AYX52+AYX11*AYX53)/(SUM(AYX6:AYX17))</f>
        <v>#DIV/0!</v>
      </c>
      <c r="AYY71" s="1159" t="e">
        <f t="shared" si="24"/>
        <v>#DIV/0!</v>
      </c>
      <c r="AYZ71" s="1159" t="e">
        <f t="shared" si="24"/>
        <v>#DIV/0!</v>
      </c>
      <c r="AZA71" s="1159" t="e">
        <f t="shared" si="24"/>
        <v>#DIV/0!</v>
      </c>
      <c r="AZB71" s="1159" t="e">
        <f t="shared" si="24"/>
        <v>#DIV/0!</v>
      </c>
      <c r="AZC71" s="1159" t="e">
        <f t="shared" si="24"/>
        <v>#DIV/0!</v>
      </c>
      <c r="AZD71" s="1159" t="e">
        <f t="shared" si="24"/>
        <v>#DIV/0!</v>
      </c>
      <c r="AZE71" s="1159" t="e">
        <f t="shared" si="24"/>
        <v>#DIV/0!</v>
      </c>
      <c r="AZF71" s="1159" t="e">
        <f t="shared" si="24"/>
        <v>#DIV/0!</v>
      </c>
      <c r="AZG71" s="1159" t="e">
        <f t="shared" si="24"/>
        <v>#DIV/0!</v>
      </c>
      <c r="AZH71" s="1159" t="e">
        <f t="shared" si="24"/>
        <v>#DIV/0!</v>
      </c>
      <c r="AZI71" s="1159" t="e">
        <f t="shared" si="24"/>
        <v>#DIV/0!</v>
      </c>
      <c r="AZJ71" s="1159" t="e">
        <f t="shared" si="24"/>
        <v>#DIV/0!</v>
      </c>
      <c r="AZK71" s="1159" t="e">
        <f t="shared" si="24"/>
        <v>#DIV/0!</v>
      </c>
      <c r="AZL71" s="1159" t="e">
        <f t="shared" si="24"/>
        <v>#DIV/0!</v>
      </c>
      <c r="AZM71" s="1159" t="e">
        <f t="shared" si="24"/>
        <v>#DIV/0!</v>
      </c>
      <c r="AZN71" s="1159" t="e">
        <f t="shared" si="24"/>
        <v>#DIV/0!</v>
      </c>
      <c r="AZO71" s="1159" t="e">
        <f t="shared" si="24"/>
        <v>#DIV/0!</v>
      </c>
      <c r="AZP71" s="1159" t="e">
        <f t="shared" si="24"/>
        <v>#DIV/0!</v>
      </c>
      <c r="AZQ71" s="1159" t="e">
        <f t="shared" si="24"/>
        <v>#DIV/0!</v>
      </c>
      <c r="AZR71" s="1159" t="e">
        <f t="shared" si="24"/>
        <v>#DIV/0!</v>
      </c>
      <c r="AZS71" s="1159" t="e">
        <f t="shared" si="24"/>
        <v>#DIV/0!</v>
      </c>
      <c r="AZT71" s="1159" t="e">
        <f t="shared" si="24"/>
        <v>#DIV/0!</v>
      </c>
      <c r="AZU71" s="1159" t="e">
        <f t="shared" si="24"/>
        <v>#DIV/0!</v>
      </c>
      <c r="AZV71" s="1159" t="e">
        <f t="shared" si="24"/>
        <v>#DIV/0!</v>
      </c>
      <c r="AZW71" s="1159" t="e">
        <f t="shared" si="24"/>
        <v>#DIV/0!</v>
      </c>
      <c r="AZX71" s="1159" t="e">
        <f t="shared" si="24"/>
        <v>#DIV/0!</v>
      </c>
      <c r="AZY71" s="1159" t="e">
        <f t="shared" si="24"/>
        <v>#DIV/0!</v>
      </c>
      <c r="AZZ71" s="1159" t="e">
        <f t="shared" si="24"/>
        <v>#DIV/0!</v>
      </c>
      <c r="BAA71" s="1159" t="e">
        <f t="shared" si="24"/>
        <v>#DIV/0!</v>
      </c>
      <c r="BAB71" s="1159" t="e">
        <f t="shared" si="24"/>
        <v>#DIV/0!</v>
      </c>
      <c r="BAC71" s="1159" t="e">
        <f t="shared" si="24"/>
        <v>#DIV/0!</v>
      </c>
      <c r="BAD71" s="1159" t="e">
        <f t="shared" si="24"/>
        <v>#DIV/0!</v>
      </c>
      <c r="BAE71" s="1159" t="e">
        <f t="shared" si="24"/>
        <v>#DIV/0!</v>
      </c>
      <c r="BAF71" s="1159" t="e">
        <f t="shared" si="24"/>
        <v>#DIV/0!</v>
      </c>
      <c r="BAG71" s="1159" t="e">
        <f t="shared" si="24"/>
        <v>#DIV/0!</v>
      </c>
      <c r="BAH71" s="1159" t="e">
        <f t="shared" si="24"/>
        <v>#DIV/0!</v>
      </c>
      <c r="BAI71" s="1159" t="e">
        <f t="shared" si="24"/>
        <v>#DIV/0!</v>
      </c>
      <c r="BAJ71" s="1159" t="e">
        <f t="shared" si="24"/>
        <v>#DIV/0!</v>
      </c>
      <c r="BAK71" s="1159" t="e">
        <f t="shared" si="24"/>
        <v>#DIV/0!</v>
      </c>
      <c r="BAL71" s="1159" t="e">
        <f t="shared" si="24"/>
        <v>#DIV/0!</v>
      </c>
      <c r="BAM71" s="1159" t="e">
        <f t="shared" si="24"/>
        <v>#DIV/0!</v>
      </c>
      <c r="BAN71" s="1159" t="e">
        <f t="shared" si="24"/>
        <v>#DIV/0!</v>
      </c>
      <c r="BAO71" s="1159" t="e">
        <f t="shared" si="24"/>
        <v>#DIV/0!</v>
      </c>
      <c r="BAP71" s="1159" t="e">
        <f t="shared" si="24"/>
        <v>#DIV/0!</v>
      </c>
      <c r="BAQ71" s="1159" t="e">
        <f t="shared" si="24"/>
        <v>#DIV/0!</v>
      </c>
      <c r="BAR71" s="1159" t="e">
        <f t="shared" si="24"/>
        <v>#DIV/0!</v>
      </c>
      <c r="BAS71" s="1159" t="e">
        <f t="shared" si="24"/>
        <v>#DIV/0!</v>
      </c>
      <c r="BAT71" s="1159" t="e">
        <f t="shared" si="24"/>
        <v>#DIV/0!</v>
      </c>
      <c r="BAU71" s="1159" t="e">
        <f t="shared" si="24"/>
        <v>#DIV/0!</v>
      </c>
      <c r="BAV71" s="1159" t="e">
        <f t="shared" si="24"/>
        <v>#DIV/0!</v>
      </c>
      <c r="BAW71" s="1159" t="e">
        <f t="shared" si="24"/>
        <v>#DIV/0!</v>
      </c>
      <c r="BAX71" s="1159" t="e">
        <f t="shared" si="24"/>
        <v>#DIV/0!</v>
      </c>
      <c r="BAY71" s="1159" t="e">
        <f t="shared" si="24"/>
        <v>#DIV/0!</v>
      </c>
      <c r="BAZ71" s="1159" t="e">
        <f t="shared" si="24"/>
        <v>#DIV/0!</v>
      </c>
      <c r="BBA71" s="1159" t="e">
        <f t="shared" si="24"/>
        <v>#DIV/0!</v>
      </c>
      <c r="BBB71" s="1159" t="e">
        <f t="shared" si="24"/>
        <v>#DIV/0!</v>
      </c>
      <c r="BBC71" s="1159" t="e">
        <f t="shared" si="24"/>
        <v>#DIV/0!</v>
      </c>
      <c r="BBD71" s="1159" t="e">
        <f t="shared" si="24"/>
        <v>#DIV/0!</v>
      </c>
      <c r="BBE71" s="1159" t="e">
        <f t="shared" si="24"/>
        <v>#DIV/0!</v>
      </c>
      <c r="BBF71" s="1159" t="e">
        <f t="shared" si="24"/>
        <v>#DIV/0!</v>
      </c>
      <c r="BBG71" s="1159" t="e">
        <f t="shared" si="24"/>
        <v>#DIV/0!</v>
      </c>
      <c r="BBH71" s="1159" t="e">
        <f t="shared" si="24"/>
        <v>#DIV/0!</v>
      </c>
      <c r="BBI71" s="1159" t="e">
        <f t="shared" si="24"/>
        <v>#DIV/0!</v>
      </c>
      <c r="BBJ71" s="1159" t="e">
        <f t="shared" ref="BBJ71:BDU71" si="25">((BBJ6+BBJ12+BBJ13+BBJ14+BBJ15)*860+BBJ16*BBJ55+BBJ17*BBJ56+BBJ7*BBJ49+BBJ8*BBJ50+BBJ9*BBJ51+BBJ10*BBJ52+BBJ11*BBJ53)/(SUM(BBJ6:BBJ17))</f>
        <v>#DIV/0!</v>
      </c>
      <c r="BBK71" s="1159" t="e">
        <f t="shared" si="25"/>
        <v>#DIV/0!</v>
      </c>
      <c r="BBL71" s="1159" t="e">
        <f t="shared" si="25"/>
        <v>#DIV/0!</v>
      </c>
      <c r="BBM71" s="1159" t="e">
        <f t="shared" si="25"/>
        <v>#DIV/0!</v>
      </c>
      <c r="BBN71" s="1159" t="e">
        <f t="shared" si="25"/>
        <v>#DIV/0!</v>
      </c>
      <c r="BBO71" s="1159" t="e">
        <f t="shared" si="25"/>
        <v>#DIV/0!</v>
      </c>
      <c r="BBP71" s="1159" t="e">
        <f t="shared" si="25"/>
        <v>#DIV/0!</v>
      </c>
      <c r="BBQ71" s="1159" t="e">
        <f t="shared" si="25"/>
        <v>#DIV/0!</v>
      </c>
      <c r="BBR71" s="1159" t="e">
        <f t="shared" si="25"/>
        <v>#DIV/0!</v>
      </c>
      <c r="BBS71" s="1159" t="e">
        <f t="shared" si="25"/>
        <v>#DIV/0!</v>
      </c>
      <c r="BBT71" s="1159" t="e">
        <f t="shared" si="25"/>
        <v>#DIV/0!</v>
      </c>
      <c r="BBU71" s="1159" t="e">
        <f t="shared" si="25"/>
        <v>#DIV/0!</v>
      </c>
      <c r="BBV71" s="1159" t="e">
        <f t="shared" si="25"/>
        <v>#DIV/0!</v>
      </c>
      <c r="BBW71" s="1159" t="e">
        <f t="shared" si="25"/>
        <v>#DIV/0!</v>
      </c>
      <c r="BBX71" s="1159" t="e">
        <f t="shared" si="25"/>
        <v>#DIV/0!</v>
      </c>
      <c r="BBY71" s="1159" t="e">
        <f t="shared" si="25"/>
        <v>#DIV/0!</v>
      </c>
      <c r="BBZ71" s="1159" t="e">
        <f t="shared" si="25"/>
        <v>#DIV/0!</v>
      </c>
      <c r="BCA71" s="1159" t="e">
        <f t="shared" si="25"/>
        <v>#DIV/0!</v>
      </c>
      <c r="BCB71" s="1159" t="e">
        <f t="shared" si="25"/>
        <v>#DIV/0!</v>
      </c>
      <c r="BCC71" s="1159" t="e">
        <f t="shared" si="25"/>
        <v>#DIV/0!</v>
      </c>
      <c r="BCD71" s="1159" t="e">
        <f t="shared" si="25"/>
        <v>#DIV/0!</v>
      </c>
      <c r="BCE71" s="1159" t="e">
        <f t="shared" si="25"/>
        <v>#DIV/0!</v>
      </c>
      <c r="BCF71" s="1159" t="e">
        <f t="shared" si="25"/>
        <v>#DIV/0!</v>
      </c>
      <c r="BCG71" s="1159" t="e">
        <f t="shared" si="25"/>
        <v>#DIV/0!</v>
      </c>
      <c r="BCH71" s="1159" t="e">
        <f t="shared" si="25"/>
        <v>#DIV/0!</v>
      </c>
      <c r="BCI71" s="1159" t="e">
        <f t="shared" si="25"/>
        <v>#DIV/0!</v>
      </c>
      <c r="BCJ71" s="1159" t="e">
        <f t="shared" si="25"/>
        <v>#DIV/0!</v>
      </c>
      <c r="BCK71" s="1159" t="e">
        <f t="shared" si="25"/>
        <v>#DIV/0!</v>
      </c>
      <c r="BCL71" s="1159" t="e">
        <f t="shared" si="25"/>
        <v>#DIV/0!</v>
      </c>
      <c r="BCM71" s="1159" t="e">
        <f t="shared" si="25"/>
        <v>#DIV/0!</v>
      </c>
      <c r="BCN71" s="1159" t="e">
        <f t="shared" si="25"/>
        <v>#DIV/0!</v>
      </c>
      <c r="BCO71" s="1159" t="e">
        <f t="shared" si="25"/>
        <v>#DIV/0!</v>
      </c>
      <c r="BCP71" s="1159" t="e">
        <f t="shared" si="25"/>
        <v>#DIV/0!</v>
      </c>
      <c r="BCQ71" s="1159" t="e">
        <f t="shared" si="25"/>
        <v>#DIV/0!</v>
      </c>
      <c r="BCR71" s="1159" t="e">
        <f t="shared" si="25"/>
        <v>#DIV/0!</v>
      </c>
      <c r="BCS71" s="1159" t="e">
        <f t="shared" si="25"/>
        <v>#DIV/0!</v>
      </c>
      <c r="BCT71" s="1159" t="e">
        <f t="shared" si="25"/>
        <v>#DIV/0!</v>
      </c>
      <c r="BCU71" s="1159" t="e">
        <f t="shared" si="25"/>
        <v>#DIV/0!</v>
      </c>
      <c r="BCV71" s="1159" t="e">
        <f t="shared" si="25"/>
        <v>#DIV/0!</v>
      </c>
      <c r="BCW71" s="1159" t="e">
        <f t="shared" si="25"/>
        <v>#DIV/0!</v>
      </c>
      <c r="BCX71" s="1159" t="e">
        <f t="shared" si="25"/>
        <v>#DIV/0!</v>
      </c>
      <c r="BCY71" s="1159" t="e">
        <f t="shared" si="25"/>
        <v>#DIV/0!</v>
      </c>
      <c r="BCZ71" s="1159" t="e">
        <f t="shared" si="25"/>
        <v>#DIV/0!</v>
      </c>
      <c r="BDA71" s="1159" t="e">
        <f t="shared" si="25"/>
        <v>#DIV/0!</v>
      </c>
      <c r="BDB71" s="1159" t="e">
        <f t="shared" si="25"/>
        <v>#DIV/0!</v>
      </c>
      <c r="BDC71" s="1159" t="e">
        <f t="shared" si="25"/>
        <v>#DIV/0!</v>
      </c>
      <c r="BDD71" s="1159" t="e">
        <f t="shared" si="25"/>
        <v>#DIV/0!</v>
      </c>
      <c r="BDE71" s="1159" t="e">
        <f t="shared" si="25"/>
        <v>#DIV/0!</v>
      </c>
      <c r="BDF71" s="1159" t="e">
        <f t="shared" si="25"/>
        <v>#DIV/0!</v>
      </c>
      <c r="BDG71" s="1159" t="e">
        <f t="shared" si="25"/>
        <v>#DIV/0!</v>
      </c>
      <c r="BDH71" s="1159" t="e">
        <f t="shared" si="25"/>
        <v>#DIV/0!</v>
      </c>
      <c r="BDI71" s="1159" t="e">
        <f t="shared" si="25"/>
        <v>#DIV/0!</v>
      </c>
      <c r="BDJ71" s="1159" t="e">
        <f t="shared" si="25"/>
        <v>#DIV/0!</v>
      </c>
      <c r="BDK71" s="1159" t="e">
        <f t="shared" si="25"/>
        <v>#DIV/0!</v>
      </c>
      <c r="BDL71" s="1159" t="e">
        <f t="shared" si="25"/>
        <v>#DIV/0!</v>
      </c>
      <c r="BDM71" s="1159" t="e">
        <f t="shared" si="25"/>
        <v>#DIV/0!</v>
      </c>
      <c r="BDN71" s="1159" t="e">
        <f t="shared" si="25"/>
        <v>#DIV/0!</v>
      </c>
      <c r="BDO71" s="1159" t="e">
        <f t="shared" si="25"/>
        <v>#DIV/0!</v>
      </c>
      <c r="BDP71" s="1159" t="e">
        <f t="shared" si="25"/>
        <v>#DIV/0!</v>
      </c>
      <c r="BDQ71" s="1159" t="e">
        <f t="shared" si="25"/>
        <v>#DIV/0!</v>
      </c>
      <c r="BDR71" s="1159" t="e">
        <f t="shared" si="25"/>
        <v>#DIV/0!</v>
      </c>
      <c r="BDS71" s="1159" t="e">
        <f t="shared" si="25"/>
        <v>#DIV/0!</v>
      </c>
      <c r="BDT71" s="1159" t="e">
        <f t="shared" si="25"/>
        <v>#DIV/0!</v>
      </c>
      <c r="BDU71" s="1159" t="e">
        <f t="shared" si="25"/>
        <v>#DIV/0!</v>
      </c>
      <c r="BDV71" s="1159" t="e">
        <f t="shared" ref="BDV71:BGG71" si="26">((BDV6+BDV12+BDV13+BDV14+BDV15)*860+BDV16*BDV55+BDV17*BDV56+BDV7*BDV49+BDV8*BDV50+BDV9*BDV51+BDV10*BDV52+BDV11*BDV53)/(SUM(BDV6:BDV17))</f>
        <v>#DIV/0!</v>
      </c>
      <c r="BDW71" s="1159" t="e">
        <f t="shared" si="26"/>
        <v>#DIV/0!</v>
      </c>
      <c r="BDX71" s="1159" t="e">
        <f t="shared" si="26"/>
        <v>#DIV/0!</v>
      </c>
      <c r="BDY71" s="1159" t="e">
        <f t="shared" si="26"/>
        <v>#DIV/0!</v>
      </c>
      <c r="BDZ71" s="1159" t="e">
        <f t="shared" si="26"/>
        <v>#DIV/0!</v>
      </c>
      <c r="BEA71" s="1159" t="e">
        <f t="shared" si="26"/>
        <v>#DIV/0!</v>
      </c>
      <c r="BEB71" s="1159" t="e">
        <f t="shared" si="26"/>
        <v>#DIV/0!</v>
      </c>
      <c r="BEC71" s="1159" t="e">
        <f t="shared" si="26"/>
        <v>#DIV/0!</v>
      </c>
      <c r="BED71" s="1159" t="e">
        <f t="shared" si="26"/>
        <v>#DIV/0!</v>
      </c>
      <c r="BEE71" s="1159" t="e">
        <f t="shared" si="26"/>
        <v>#DIV/0!</v>
      </c>
      <c r="BEF71" s="1159" t="e">
        <f t="shared" si="26"/>
        <v>#DIV/0!</v>
      </c>
      <c r="BEG71" s="1159" t="e">
        <f t="shared" si="26"/>
        <v>#DIV/0!</v>
      </c>
      <c r="BEH71" s="1159" t="e">
        <f t="shared" si="26"/>
        <v>#DIV/0!</v>
      </c>
      <c r="BEI71" s="1159" t="e">
        <f t="shared" si="26"/>
        <v>#DIV/0!</v>
      </c>
      <c r="BEJ71" s="1159" t="e">
        <f t="shared" si="26"/>
        <v>#DIV/0!</v>
      </c>
      <c r="BEK71" s="1159" t="e">
        <f t="shared" si="26"/>
        <v>#DIV/0!</v>
      </c>
      <c r="BEL71" s="1159" t="e">
        <f t="shared" si="26"/>
        <v>#DIV/0!</v>
      </c>
      <c r="BEM71" s="1159" t="e">
        <f t="shared" si="26"/>
        <v>#DIV/0!</v>
      </c>
      <c r="BEN71" s="1159" t="e">
        <f t="shared" si="26"/>
        <v>#DIV/0!</v>
      </c>
      <c r="BEO71" s="1159" t="e">
        <f t="shared" si="26"/>
        <v>#DIV/0!</v>
      </c>
      <c r="BEP71" s="1159" t="e">
        <f t="shared" si="26"/>
        <v>#DIV/0!</v>
      </c>
      <c r="BEQ71" s="1159" t="e">
        <f t="shared" si="26"/>
        <v>#DIV/0!</v>
      </c>
      <c r="BER71" s="1159" t="e">
        <f t="shared" si="26"/>
        <v>#DIV/0!</v>
      </c>
      <c r="BES71" s="1159" t="e">
        <f t="shared" si="26"/>
        <v>#DIV/0!</v>
      </c>
      <c r="BET71" s="1159" t="e">
        <f t="shared" si="26"/>
        <v>#DIV/0!</v>
      </c>
      <c r="BEU71" s="1159" t="e">
        <f t="shared" si="26"/>
        <v>#DIV/0!</v>
      </c>
      <c r="BEV71" s="1159" t="e">
        <f t="shared" si="26"/>
        <v>#DIV/0!</v>
      </c>
      <c r="BEW71" s="1159" t="e">
        <f t="shared" si="26"/>
        <v>#DIV/0!</v>
      </c>
      <c r="BEX71" s="1159" t="e">
        <f t="shared" si="26"/>
        <v>#DIV/0!</v>
      </c>
      <c r="BEY71" s="1159" t="e">
        <f t="shared" si="26"/>
        <v>#DIV/0!</v>
      </c>
      <c r="BEZ71" s="1159" t="e">
        <f t="shared" si="26"/>
        <v>#DIV/0!</v>
      </c>
      <c r="BFA71" s="1159" t="e">
        <f t="shared" si="26"/>
        <v>#DIV/0!</v>
      </c>
      <c r="BFB71" s="1159" t="e">
        <f t="shared" si="26"/>
        <v>#DIV/0!</v>
      </c>
      <c r="BFC71" s="1159" t="e">
        <f t="shared" si="26"/>
        <v>#DIV/0!</v>
      </c>
      <c r="BFD71" s="1159" t="e">
        <f t="shared" si="26"/>
        <v>#DIV/0!</v>
      </c>
      <c r="BFE71" s="1159" t="e">
        <f t="shared" si="26"/>
        <v>#DIV/0!</v>
      </c>
      <c r="BFF71" s="1159" t="e">
        <f t="shared" si="26"/>
        <v>#DIV/0!</v>
      </c>
      <c r="BFG71" s="1159" t="e">
        <f t="shared" si="26"/>
        <v>#DIV/0!</v>
      </c>
      <c r="BFH71" s="1159" t="e">
        <f t="shared" si="26"/>
        <v>#DIV/0!</v>
      </c>
      <c r="BFI71" s="1159" t="e">
        <f t="shared" si="26"/>
        <v>#DIV/0!</v>
      </c>
      <c r="BFJ71" s="1159" t="e">
        <f t="shared" si="26"/>
        <v>#DIV/0!</v>
      </c>
      <c r="BFK71" s="1159" t="e">
        <f t="shared" si="26"/>
        <v>#DIV/0!</v>
      </c>
      <c r="BFL71" s="1159" t="e">
        <f t="shared" si="26"/>
        <v>#DIV/0!</v>
      </c>
      <c r="BFM71" s="1159" t="e">
        <f t="shared" si="26"/>
        <v>#DIV/0!</v>
      </c>
      <c r="BFN71" s="1159" t="e">
        <f t="shared" si="26"/>
        <v>#DIV/0!</v>
      </c>
      <c r="BFO71" s="1159" t="e">
        <f t="shared" si="26"/>
        <v>#DIV/0!</v>
      </c>
      <c r="BFP71" s="1159" t="e">
        <f t="shared" si="26"/>
        <v>#DIV/0!</v>
      </c>
      <c r="BFQ71" s="1159" t="e">
        <f t="shared" si="26"/>
        <v>#DIV/0!</v>
      </c>
      <c r="BFR71" s="1159" t="e">
        <f t="shared" si="26"/>
        <v>#DIV/0!</v>
      </c>
      <c r="BFS71" s="1159" t="e">
        <f t="shared" si="26"/>
        <v>#DIV/0!</v>
      </c>
      <c r="BFT71" s="1159" t="e">
        <f t="shared" si="26"/>
        <v>#DIV/0!</v>
      </c>
      <c r="BFU71" s="1159" t="e">
        <f t="shared" si="26"/>
        <v>#DIV/0!</v>
      </c>
      <c r="BFV71" s="1159" t="e">
        <f t="shared" si="26"/>
        <v>#DIV/0!</v>
      </c>
      <c r="BFW71" s="1159" t="e">
        <f t="shared" si="26"/>
        <v>#DIV/0!</v>
      </c>
      <c r="BFX71" s="1159" t="e">
        <f t="shared" si="26"/>
        <v>#DIV/0!</v>
      </c>
      <c r="BFY71" s="1159" t="e">
        <f t="shared" si="26"/>
        <v>#DIV/0!</v>
      </c>
      <c r="BFZ71" s="1159" t="e">
        <f t="shared" si="26"/>
        <v>#DIV/0!</v>
      </c>
      <c r="BGA71" s="1159" t="e">
        <f t="shared" si="26"/>
        <v>#DIV/0!</v>
      </c>
      <c r="BGB71" s="1159" t="e">
        <f t="shared" si="26"/>
        <v>#DIV/0!</v>
      </c>
      <c r="BGC71" s="1159" t="e">
        <f t="shared" si="26"/>
        <v>#DIV/0!</v>
      </c>
      <c r="BGD71" s="1159" t="e">
        <f t="shared" si="26"/>
        <v>#DIV/0!</v>
      </c>
      <c r="BGE71" s="1159" t="e">
        <f t="shared" si="26"/>
        <v>#DIV/0!</v>
      </c>
      <c r="BGF71" s="1159" t="e">
        <f t="shared" si="26"/>
        <v>#DIV/0!</v>
      </c>
      <c r="BGG71" s="1159" t="e">
        <f t="shared" si="26"/>
        <v>#DIV/0!</v>
      </c>
      <c r="BGH71" s="1159" t="e">
        <f t="shared" ref="BGH71:BIS71" si="27">((BGH6+BGH12+BGH13+BGH14+BGH15)*860+BGH16*BGH55+BGH17*BGH56+BGH7*BGH49+BGH8*BGH50+BGH9*BGH51+BGH10*BGH52+BGH11*BGH53)/(SUM(BGH6:BGH17))</f>
        <v>#DIV/0!</v>
      </c>
      <c r="BGI71" s="1159" t="e">
        <f t="shared" si="27"/>
        <v>#DIV/0!</v>
      </c>
      <c r="BGJ71" s="1159" t="e">
        <f t="shared" si="27"/>
        <v>#DIV/0!</v>
      </c>
      <c r="BGK71" s="1159" t="e">
        <f t="shared" si="27"/>
        <v>#DIV/0!</v>
      </c>
      <c r="BGL71" s="1159" t="e">
        <f t="shared" si="27"/>
        <v>#DIV/0!</v>
      </c>
      <c r="BGM71" s="1159" t="e">
        <f t="shared" si="27"/>
        <v>#DIV/0!</v>
      </c>
      <c r="BGN71" s="1159" t="e">
        <f t="shared" si="27"/>
        <v>#DIV/0!</v>
      </c>
      <c r="BGO71" s="1159" t="e">
        <f t="shared" si="27"/>
        <v>#DIV/0!</v>
      </c>
      <c r="BGP71" s="1159" t="e">
        <f t="shared" si="27"/>
        <v>#DIV/0!</v>
      </c>
      <c r="BGQ71" s="1159" t="e">
        <f t="shared" si="27"/>
        <v>#DIV/0!</v>
      </c>
      <c r="BGR71" s="1159" t="e">
        <f t="shared" si="27"/>
        <v>#DIV/0!</v>
      </c>
      <c r="BGS71" s="1159" t="e">
        <f t="shared" si="27"/>
        <v>#DIV/0!</v>
      </c>
      <c r="BGT71" s="1159" t="e">
        <f t="shared" si="27"/>
        <v>#DIV/0!</v>
      </c>
      <c r="BGU71" s="1159" t="e">
        <f t="shared" si="27"/>
        <v>#DIV/0!</v>
      </c>
      <c r="BGV71" s="1159" t="e">
        <f t="shared" si="27"/>
        <v>#DIV/0!</v>
      </c>
      <c r="BGW71" s="1159" t="e">
        <f t="shared" si="27"/>
        <v>#DIV/0!</v>
      </c>
      <c r="BGX71" s="1159" t="e">
        <f t="shared" si="27"/>
        <v>#DIV/0!</v>
      </c>
      <c r="BGY71" s="1159" t="e">
        <f t="shared" si="27"/>
        <v>#DIV/0!</v>
      </c>
      <c r="BGZ71" s="1159" t="e">
        <f t="shared" si="27"/>
        <v>#DIV/0!</v>
      </c>
      <c r="BHA71" s="1159" t="e">
        <f t="shared" si="27"/>
        <v>#DIV/0!</v>
      </c>
      <c r="BHB71" s="1159" t="e">
        <f t="shared" si="27"/>
        <v>#DIV/0!</v>
      </c>
      <c r="BHC71" s="1159" t="e">
        <f t="shared" si="27"/>
        <v>#DIV/0!</v>
      </c>
      <c r="BHD71" s="1159" t="e">
        <f t="shared" si="27"/>
        <v>#DIV/0!</v>
      </c>
      <c r="BHE71" s="1159" t="e">
        <f t="shared" si="27"/>
        <v>#DIV/0!</v>
      </c>
      <c r="BHF71" s="1159" t="e">
        <f t="shared" si="27"/>
        <v>#DIV/0!</v>
      </c>
      <c r="BHG71" s="1159" t="e">
        <f t="shared" si="27"/>
        <v>#DIV/0!</v>
      </c>
      <c r="BHH71" s="1159" t="e">
        <f t="shared" si="27"/>
        <v>#DIV/0!</v>
      </c>
      <c r="BHI71" s="1159" t="e">
        <f t="shared" si="27"/>
        <v>#DIV/0!</v>
      </c>
      <c r="BHJ71" s="1159" t="e">
        <f t="shared" si="27"/>
        <v>#DIV/0!</v>
      </c>
      <c r="BHK71" s="1159" t="e">
        <f t="shared" si="27"/>
        <v>#DIV/0!</v>
      </c>
      <c r="BHL71" s="1159" t="e">
        <f t="shared" si="27"/>
        <v>#DIV/0!</v>
      </c>
      <c r="BHM71" s="1159" t="e">
        <f t="shared" si="27"/>
        <v>#DIV/0!</v>
      </c>
      <c r="BHN71" s="1159" t="e">
        <f t="shared" si="27"/>
        <v>#DIV/0!</v>
      </c>
      <c r="BHO71" s="1159" t="e">
        <f t="shared" si="27"/>
        <v>#DIV/0!</v>
      </c>
      <c r="BHP71" s="1159" t="e">
        <f t="shared" si="27"/>
        <v>#DIV/0!</v>
      </c>
      <c r="BHQ71" s="1159" t="e">
        <f t="shared" si="27"/>
        <v>#DIV/0!</v>
      </c>
      <c r="BHR71" s="1159" t="e">
        <f t="shared" si="27"/>
        <v>#DIV/0!</v>
      </c>
      <c r="BHS71" s="1159" t="e">
        <f t="shared" si="27"/>
        <v>#DIV/0!</v>
      </c>
      <c r="BHT71" s="1159" t="e">
        <f t="shared" si="27"/>
        <v>#DIV/0!</v>
      </c>
      <c r="BHU71" s="1159" t="e">
        <f t="shared" si="27"/>
        <v>#DIV/0!</v>
      </c>
      <c r="BHV71" s="1159" t="e">
        <f t="shared" si="27"/>
        <v>#DIV/0!</v>
      </c>
      <c r="BHW71" s="1159" t="e">
        <f t="shared" si="27"/>
        <v>#DIV/0!</v>
      </c>
      <c r="BHX71" s="1159" t="e">
        <f t="shared" si="27"/>
        <v>#DIV/0!</v>
      </c>
      <c r="BHY71" s="1159" t="e">
        <f t="shared" si="27"/>
        <v>#DIV/0!</v>
      </c>
      <c r="BHZ71" s="1159" t="e">
        <f t="shared" si="27"/>
        <v>#DIV/0!</v>
      </c>
      <c r="BIA71" s="1159" t="e">
        <f t="shared" si="27"/>
        <v>#DIV/0!</v>
      </c>
      <c r="BIB71" s="1159" t="e">
        <f t="shared" si="27"/>
        <v>#DIV/0!</v>
      </c>
      <c r="BIC71" s="1159" t="e">
        <f t="shared" si="27"/>
        <v>#DIV/0!</v>
      </c>
      <c r="BID71" s="1159" t="e">
        <f t="shared" si="27"/>
        <v>#DIV/0!</v>
      </c>
      <c r="BIE71" s="1159" t="e">
        <f t="shared" si="27"/>
        <v>#DIV/0!</v>
      </c>
      <c r="BIF71" s="1159" t="e">
        <f t="shared" si="27"/>
        <v>#DIV/0!</v>
      </c>
      <c r="BIG71" s="1159" t="e">
        <f t="shared" si="27"/>
        <v>#DIV/0!</v>
      </c>
      <c r="BIH71" s="1159" t="e">
        <f t="shared" si="27"/>
        <v>#DIV/0!</v>
      </c>
      <c r="BII71" s="1159" t="e">
        <f t="shared" si="27"/>
        <v>#DIV/0!</v>
      </c>
      <c r="BIJ71" s="1159" t="e">
        <f t="shared" si="27"/>
        <v>#DIV/0!</v>
      </c>
      <c r="BIK71" s="1159" t="e">
        <f t="shared" si="27"/>
        <v>#DIV/0!</v>
      </c>
      <c r="BIL71" s="1159" t="e">
        <f t="shared" si="27"/>
        <v>#DIV/0!</v>
      </c>
      <c r="BIM71" s="1159" t="e">
        <f t="shared" si="27"/>
        <v>#DIV/0!</v>
      </c>
      <c r="BIN71" s="1159" t="e">
        <f t="shared" si="27"/>
        <v>#DIV/0!</v>
      </c>
      <c r="BIO71" s="1159" t="e">
        <f t="shared" si="27"/>
        <v>#DIV/0!</v>
      </c>
      <c r="BIP71" s="1159" t="e">
        <f t="shared" si="27"/>
        <v>#DIV/0!</v>
      </c>
      <c r="BIQ71" s="1159" t="e">
        <f t="shared" si="27"/>
        <v>#DIV/0!</v>
      </c>
      <c r="BIR71" s="1159" t="e">
        <f t="shared" si="27"/>
        <v>#DIV/0!</v>
      </c>
      <c r="BIS71" s="1159" t="e">
        <f t="shared" si="27"/>
        <v>#DIV/0!</v>
      </c>
      <c r="BIT71" s="1159" t="e">
        <f t="shared" ref="BIT71:BLE71" si="28">((BIT6+BIT12+BIT13+BIT14+BIT15)*860+BIT16*BIT55+BIT17*BIT56+BIT7*BIT49+BIT8*BIT50+BIT9*BIT51+BIT10*BIT52+BIT11*BIT53)/(SUM(BIT6:BIT17))</f>
        <v>#DIV/0!</v>
      </c>
      <c r="BIU71" s="1159" t="e">
        <f t="shared" si="28"/>
        <v>#DIV/0!</v>
      </c>
      <c r="BIV71" s="1159" t="e">
        <f t="shared" si="28"/>
        <v>#DIV/0!</v>
      </c>
      <c r="BIW71" s="1159" t="e">
        <f t="shared" si="28"/>
        <v>#DIV/0!</v>
      </c>
      <c r="BIX71" s="1159" t="e">
        <f t="shared" si="28"/>
        <v>#DIV/0!</v>
      </c>
      <c r="BIY71" s="1159" t="e">
        <f t="shared" si="28"/>
        <v>#DIV/0!</v>
      </c>
      <c r="BIZ71" s="1159" t="e">
        <f t="shared" si="28"/>
        <v>#DIV/0!</v>
      </c>
      <c r="BJA71" s="1159" t="e">
        <f t="shared" si="28"/>
        <v>#DIV/0!</v>
      </c>
      <c r="BJB71" s="1159" t="e">
        <f t="shared" si="28"/>
        <v>#DIV/0!</v>
      </c>
      <c r="BJC71" s="1159" t="e">
        <f t="shared" si="28"/>
        <v>#DIV/0!</v>
      </c>
      <c r="BJD71" s="1159" t="e">
        <f t="shared" si="28"/>
        <v>#DIV/0!</v>
      </c>
      <c r="BJE71" s="1159" t="e">
        <f t="shared" si="28"/>
        <v>#DIV/0!</v>
      </c>
      <c r="BJF71" s="1159" t="e">
        <f t="shared" si="28"/>
        <v>#DIV/0!</v>
      </c>
      <c r="BJG71" s="1159" t="e">
        <f t="shared" si="28"/>
        <v>#DIV/0!</v>
      </c>
      <c r="BJH71" s="1159" t="e">
        <f t="shared" si="28"/>
        <v>#DIV/0!</v>
      </c>
      <c r="BJI71" s="1159" t="e">
        <f t="shared" si="28"/>
        <v>#DIV/0!</v>
      </c>
      <c r="BJJ71" s="1159" t="e">
        <f t="shared" si="28"/>
        <v>#DIV/0!</v>
      </c>
      <c r="BJK71" s="1159" t="e">
        <f t="shared" si="28"/>
        <v>#DIV/0!</v>
      </c>
      <c r="BJL71" s="1159" t="e">
        <f t="shared" si="28"/>
        <v>#DIV/0!</v>
      </c>
      <c r="BJM71" s="1159" t="e">
        <f t="shared" si="28"/>
        <v>#DIV/0!</v>
      </c>
      <c r="BJN71" s="1159" t="e">
        <f t="shared" si="28"/>
        <v>#DIV/0!</v>
      </c>
      <c r="BJO71" s="1159" t="e">
        <f t="shared" si="28"/>
        <v>#DIV/0!</v>
      </c>
      <c r="BJP71" s="1159" t="e">
        <f t="shared" si="28"/>
        <v>#DIV/0!</v>
      </c>
      <c r="BJQ71" s="1159" t="e">
        <f t="shared" si="28"/>
        <v>#DIV/0!</v>
      </c>
      <c r="BJR71" s="1159" t="e">
        <f t="shared" si="28"/>
        <v>#DIV/0!</v>
      </c>
      <c r="BJS71" s="1159" t="e">
        <f t="shared" si="28"/>
        <v>#DIV/0!</v>
      </c>
      <c r="BJT71" s="1159" t="e">
        <f t="shared" si="28"/>
        <v>#DIV/0!</v>
      </c>
      <c r="BJU71" s="1159" t="e">
        <f t="shared" si="28"/>
        <v>#DIV/0!</v>
      </c>
      <c r="BJV71" s="1159" t="e">
        <f t="shared" si="28"/>
        <v>#DIV/0!</v>
      </c>
      <c r="BJW71" s="1159" t="e">
        <f t="shared" si="28"/>
        <v>#DIV/0!</v>
      </c>
      <c r="BJX71" s="1159" t="e">
        <f t="shared" si="28"/>
        <v>#DIV/0!</v>
      </c>
      <c r="BJY71" s="1159" t="e">
        <f t="shared" si="28"/>
        <v>#DIV/0!</v>
      </c>
      <c r="BJZ71" s="1159" t="e">
        <f t="shared" si="28"/>
        <v>#DIV/0!</v>
      </c>
      <c r="BKA71" s="1159" t="e">
        <f t="shared" si="28"/>
        <v>#DIV/0!</v>
      </c>
      <c r="BKB71" s="1159" t="e">
        <f t="shared" si="28"/>
        <v>#DIV/0!</v>
      </c>
      <c r="BKC71" s="1159" t="e">
        <f t="shared" si="28"/>
        <v>#DIV/0!</v>
      </c>
      <c r="BKD71" s="1159" t="e">
        <f t="shared" si="28"/>
        <v>#DIV/0!</v>
      </c>
      <c r="BKE71" s="1159" t="e">
        <f t="shared" si="28"/>
        <v>#DIV/0!</v>
      </c>
      <c r="BKF71" s="1159" t="e">
        <f t="shared" si="28"/>
        <v>#DIV/0!</v>
      </c>
      <c r="BKG71" s="1159" t="e">
        <f t="shared" si="28"/>
        <v>#DIV/0!</v>
      </c>
      <c r="BKH71" s="1159" t="e">
        <f t="shared" si="28"/>
        <v>#DIV/0!</v>
      </c>
      <c r="BKI71" s="1159" t="e">
        <f t="shared" si="28"/>
        <v>#DIV/0!</v>
      </c>
      <c r="BKJ71" s="1159" t="e">
        <f t="shared" si="28"/>
        <v>#DIV/0!</v>
      </c>
      <c r="BKK71" s="1159" t="e">
        <f t="shared" si="28"/>
        <v>#DIV/0!</v>
      </c>
      <c r="BKL71" s="1159" t="e">
        <f t="shared" si="28"/>
        <v>#DIV/0!</v>
      </c>
      <c r="BKM71" s="1159" t="e">
        <f t="shared" si="28"/>
        <v>#DIV/0!</v>
      </c>
      <c r="BKN71" s="1159" t="e">
        <f t="shared" si="28"/>
        <v>#DIV/0!</v>
      </c>
      <c r="BKO71" s="1159" t="e">
        <f t="shared" si="28"/>
        <v>#DIV/0!</v>
      </c>
      <c r="BKP71" s="1159" t="e">
        <f t="shared" si="28"/>
        <v>#DIV/0!</v>
      </c>
      <c r="BKQ71" s="1159" t="e">
        <f t="shared" si="28"/>
        <v>#DIV/0!</v>
      </c>
      <c r="BKR71" s="1159" t="e">
        <f t="shared" si="28"/>
        <v>#DIV/0!</v>
      </c>
      <c r="BKS71" s="1159" t="e">
        <f t="shared" si="28"/>
        <v>#DIV/0!</v>
      </c>
      <c r="BKT71" s="1159" t="e">
        <f t="shared" si="28"/>
        <v>#DIV/0!</v>
      </c>
      <c r="BKU71" s="1159" t="e">
        <f t="shared" si="28"/>
        <v>#DIV/0!</v>
      </c>
      <c r="BKV71" s="1159" t="e">
        <f t="shared" si="28"/>
        <v>#DIV/0!</v>
      </c>
      <c r="BKW71" s="1159" t="e">
        <f t="shared" si="28"/>
        <v>#DIV/0!</v>
      </c>
      <c r="BKX71" s="1159" t="e">
        <f t="shared" si="28"/>
        <v>#DIV/0!</v>
      </c>
      <c r="BKY71" s="1159" t="e">
        <f t="shared" si="28"/>
        <v>#DIV/0!</v>
      </c>
      <c r="BKZ71" s="1159" t="e">
        <f t="shared" si="28"/>
        <v>#DIV/0!</v>
      </c>
      <c r="BLA71" s="1159" t="e">
        <f t="shared" si="28"/>
        <v>#DIV/0!</v>
      </c>
      <c r="BLB71" s="1159" t="e">
        <f t="shared" si="28"/>
        <v>#DIV/0!</v>
      </c>
      <c r="BLC71" s="1159" t="e">
        <f t="shared" si="28"/>
        <v>#DIV/0!</v>
      </c>
      <c r="BLD71" s="1159" t="e">
        <f t="shared" si="28"/>
        <v>#DIV/0!</v>
      </c>
      <c r="BLE71" s="1159" t="e">
        <f t="shared" si="28"/>
        <v>#DIV/0!</v>
      </c>
      <c r="BLF71" s="1159" t="e">
        <f t="shared" ref="BLF71:BNQ71" si="29">((BLF6+BLF12+BLF13+BLF14+BLF15)*860+BLF16*BLF55+BLF17*BLF56+BLF7*BLF49+BLF8*BLF50+BLF9*BLF51+BLF10*BLF52+BLF11*BLF53)/(SUM(BLF6:BLF17))</f>
        <v>#DIV/0!</v>
      </c>
      <c r="BLG71" s="1159" t="e">
        <f t="shared" si="29"/>
        <v>#DIV/0!</v>
      </c>
      <c r="BLH71" s="1159" t="e">
        <f t="shared" si="29"/>
        <v>#DIV/0!</v>
      </c>
      <c r="BLI71" s="1159" t="e">
        <f t="shared" si="29"/>
        <v>#DIV/0!</v>
      </c>
      <c r="BLJ71" s="1159" t="e">
        <f t="shared" si="29"/>
        <v>#DIV/0!</v>
      </c>
      <c r="BLK71" s="1159" t="e">
        <f t="shared" si="29"/>
        <v>#DIV/0!</v>
      </c>
      <c r="BLL71" s="1159" t="e">
        <f t="shared" si="29"/>
        <v>#DIV/0!</v>
      </c>
      <c r="BLM71" s="1159" t="e">
        <f t="shared" si="29"/>
        <v>#DIV/0!</v>
      </c>
      <c r="BLN71" s="1159" t="e">
        <f t="shared" si="29"/>
        <v>#DIV/0!</v>
      </c>
      <c r="BLO71" s="1159" t="e">
        <f t="shared" si="29"/>
        <v>#DIV/0!</v>
      </c>
      <c r="BLP71" s="1159" t="e">
        <f t="shared" si="29"/>
        <v>#DIV/0!</v>
      </c>
      <c r="BLQ71" s="1159" t="e">
        <f t="shared" si="29"/>
        <v>#DIV/0!</v>
      </c>
      <c r="BLR71" s="1159" t="e">
        <f t="shared" si="29"/>
        <v>#DIV/0!</v>
      </c>
      <c r="BLS71" s="1159" t="e">
        <f t="shared" si="29"/>
        <v>#DIV/0!</v>
      </c>
      <c r="BLT71" s="1159" t="e">
        <f t="shared" si="29"/>
        <v>#DIV/0!</v>
      </c>
      <c r="BLU71" s="1159" t="e">
        <f t="shared" si="29"/>
        <v>#DIV/0!</v>
      </c>
      <c r="BLV71" s="1159" t="e">
        <f t="shared" si="29"/>
        <v>#DIV/0!</v>
      </c>
      <c r="BLW71" s="1159" t="e">
        <f t="shared" si="29"/>
        <v>#DIV/0!</v>
      </c>
      <c r="BLX71" s="1159" t="e">
        <f t="shared" si="29"/>
        <v>#DIV/0!</v>
      </c>
      <c r="BLY71" s="1159" t="e">
        <f t="shared" si="29"/>
        <v>#DIV/0!</v>
      </c>
      <c r="BLZ71" s="1159" t="e">
        <f t="shared" si="29"/>
        <v>#DIV/0!</v>
      </c>
      <c r="BMA71" s="1159" t="e">
        <f t="shared" si="29"/>
        <v>#DIV/0!</v>
      </c>
      <c r="BMB71" s="1159" t="e">
        <f t="shared" si="29"/>
        <v>#DIV/0!</v>
      </c>
      <c r="BMC71" s="1159" t="e">
        <f t="shared" si="29"/>
        <v>#DIV/0!</v>
      </c>
      <c r="BMD71" s="1159" t="e">
        <f t="shared" si="29"/>
        <v>#DIV/0!</v>
      </c>
      <c r="BME71" s="1159" t="e">
        <f t="shared" si="29"/>
        <v>#DIV/0!</v>
      </c>
      <c r="BMF71" s="1159" t="e">
        <f t="shared" si="29"/>
        <v>#DIV/0!</v>
      </c>
      <c r="BMG71" s="1159" t="e">
        <f t="shared" si="29"/>
        <v>#DIV/0!</v>
      </c>
      <c r="BMH71" s="1159" t="e">
        <f t="shared" si="29"/>
        <v>#DIV/0!</v>
      </c>
      <c r="BMI71" s="1159" t="e">
        <f t="shared" si="29"/>
        <v>#DIV/0!</v>
      </c>
      <c r="BMJ71" s="1159" t="e">
        <f t="shared" si="29"/>
        <v>#DIV/0!</v>
      </c>
      <c r="BMK71" s="1159" t="e">
        <f t="shared" si="29"/>
        <v>#DIV/0!</v>
      </c>
      <c r="BML71" s="1159" t="e">
        <f t="shared" si="29"/>
        <v>#DIV/0!</v>
      </c>
      <c r="BMM71" s="1159" t="e">
        <f t="shared" si="29"/>
        <v>#DIV/0!</v>
      </c>
      <c r="BMN71" s="1159" t="e">
        <f t="shared" si="29"/>
        <v>#DIV/0!</v>
      </c>
      <c r="BMO71" s="1159" t="e">
        <f t="shared" si="29"/>
        <v>#DIV/0!</v>
      </c>
      <c r="BMP71" s="1159" t="e">
        <f t="shared" si="29"/>
        <v>#DIV/0!</v>
      </c>
      <c r="BMQ71" s="1159" t="e">
        <f t="shared" si="29"/>
        <v>#DIV/0!</v>
      </c>
      <c r="BMR71" s="1159" t="e">
        <f t="shared" si="29"/>
        <v>#DIV/0!</v>
      </c>
      <c r="BMS71" s="1159" t="e">
        <f t="shared" si="29"/>
        <v>#DIV/0!</v>
      </c>
      <c r="BMT71" s="1159" t="e">
        <f t="shared" si="29"/>
        <v>#DIV/0!</v>
      </c>
      <c r="BMU71" s="1159" t="e">
        <f t="shared" si="29"/>
        <v>#DIV/0!</v>
      </c>
      <c r="BMV71" s="1159" t="e">
        <f t="shared" si="29"/>
        <v>#DIV/0!</v>
      </c>
      <c r="BMW71" s="1159" t="e">
        <f t="shared" si="29"/>
        <v>#DIV/0!</v>
      </c>
      <c r="BMX71" s="1159" t="e">
        <f t="shared" si="29"/>
        <v>#DIV/0!</v>
      </c>
      <c r="BMY71" s="1159" t="e">
        <f t="shared" si="29"/>
        <v>#DIV/0!</v>
      </c>
      <c r="BMZ71" s="1159" t="e">
        <f t="shared" si="29"/>
        <v>#DIV/0!</v>
      </c>
      <c r="BNA71" s="1159" t="e">
        <f t="shared" si="29"/>
        <v>#DIV/0!</v>
      </c>
      <c r="BNB71" s="1159" t="e">
        <f t="shared" si="29"/>
        <v>#DIV/0!</v>
      </c>
      <c r="BNC71" s="1159" t="e">
        <f t="shared" si="29"/>
        <v>#DIV/0!</v>
      </c>
      <c r="BND71" s="1159" t="e">
        <f t="shared" si="29"/>
        <v>#DIV/0!</v>
      </c>
      <c r="BNE71" s="1159" t="e">
        <f t="shared" si="29"/>
        <v>#DIV/0!</v>
      </c>
      <c r="BNF71" s="1159" t="e">
        <f t="shared" si="29"/>
        <v>#DIV/0!</v>
      </c>
      <c r="BNG71" s="1159" t="e">
        <f t="shared" si="29"/>
        <v>#DIV/0!</v>
      </c>
      <c r="BNH71" s="1159" t="e">
        <f t="shared" si="29"/>
        <v>#DIV/0!</v>
      </c>
      <c r="BNI71" s="1159" t="e">
        <f t="shared" si="29"/>
        <v>#DIV/0!</v>
      </c>
      <c r="BNJ71" s="1159" t="e">
        <f t="shared" si="29"/>
        <v>#DIV/0!</v>
      </c>
      <c r="BNK71" s="1159" t="e">
        <f t="shared" si="29"/>
        <v>#DIV/0!</v>
      </c>
      <c r="BNL71" s="1159" t="e">
        <f t="shared" si="29"/>
        <v>#DIV/0!</v>
      </c>
      <c r="BNM71" s="1159" t="e">
        <f t="shared" si="29"/>
        <v>#DIV/0!</v>
      </c>
      <c r="BNN71" s="1159" t="e">
        <f t="shared" si="29"/>
        <v>#DIV/0!</v>
      </c>
      <c r="BNO71" s="1159" t="e">
        <f t="shared" si="29"/>
        <v>#DIV/0!</v>
      </c>
      <c r="BNP71" s="1159" t="e">
        <f t="shared" si="29"/>
        <v>#DIV/0!</v>
      </c>
      <c r="BNQ71" s="1159" t="e">
        <f t="shared" si="29"/>
        <v>#DIV/0!</v>
      </c>
      <c r="BNR71" s="1159" t="e">
        <f t="shared" ref="BNR71:BQC71" si="30">((BNR6+BNR12+BNR13+BNR14+BNR15)*860+BNR16*BNR55+BNR17*BNR56+BNR7*BNR49+BNR8*BNR50+BNR9*BNR51+BNR10*BNR52+BNR11*BNR53)/(SUM(BNR6:BNR17))</f>
        <v>#DIV/0!</v>
      </c>
      <c r="BNS71" s="1159" t="e">
        <f t="shared" si="30"/>
        <v>#DIV/0!</v>
      </c>
      <c r="BNT71" s="1159" t="e">
        <f t="shared" si="30"/>
        <v>#DIV/0!</v>
      </c>
      <c r="BNU71" s="1159" t="e">
        <f t="shared" si="30"/>
        <v>#DIV/0!</v>
      </c>
      <c r="BNV71" s="1159" t="e">
        <f t="shared" si="30"/>
        <v>#DIV/0!</v>
      </c>
      <c r="BNW71" s="1159" t="e">
        <f t="shared" si="30"/>
        <v>#DIV/0!</v>
      </c>
      <c r="BNX71" s="1159" t="e">
        <f t="shared" si="30"/>
        <v>#DIV/0!</v>
      </c>
      <c r="BNY71" s="1159" t="e">
        <f t="shared" si="30"/>
        <v>#DIV/0!</v>
      </c>
      <c r="BNZ71" s="1159" t="e">
        <f t="shared" si="30"/>
        <v>#DIV/0!</v>
      </c>
      <c r="BOA71" s="1159" t="e">
        <f t="shared" si="30"/>
        <v>#DIV/0!</v>
      </c>
      <c r="BOB71" s="1159" t="e">
        <f t="shared" si="30"/>
        <v>#DIV/0!</v>
      </c>
      <c r="BOC71" s="1159" t="e">
        <f t="shared" si="30"/>
        <v>#DIV/0!</v>
      </c>
      <c r="BOD71" s="1159" t="e">
        <f t="shared" si="30"/>
        <v>#DIV/0!</v>
      </c>
      <c r="BOE71" s="1159" t="e">
        <f t="shared" si="30"/>
        <v>#DIV/0!</v>
      </c>
      <c r="BOF71" s="1159" t="e">
        <f t="shared" si="30"/>
        <v>#DIV/0!</v>
      </c>
      <c r="BOG71" s="1159" t="e">
        <f t="shared" si="30"/>
        <v>#DIV/0!</v>
      </c>
      <c r="BOH71" s="1159" t="e">
        <f t="shared" si="30"/>
        <v>#DIV/0!</v>
      </c>
      <c r="BOI71" s="1159" t="e">
        <f t="shared" si="30"/>
        <v>#DIV/0!</v>
      </c>
      <c r="BOJ71" s="1159" t="e">
        <f t="shared" si="30"/>
        <v>#DIV/0!</v>
      </c>
      <c r="BOK71" s="1159" t="e">
        <f t="shared" si="30"/>
        <v>#DIV/0!</v>
      </c>
      <c r="BOL71" s="1159" t="e">
        <f t="shared" si="30"/>
        <v>#DIV/0!</v>
      </c>
      <c r="BOM71" s="1159" t="e">
        <f t="shared" si="30"/>
        <v>#DIV/0!</v>
      </c>
      <c r="BON71" s="1159" t="e">
        <f t="shared" si="30"/>
        <v>#DIV/0!</v>
      </c>
      <c r="BOO71" s="1159" t="e">
        <f t="shared" si="30"/>
        <v>#DIV/0!</v>
      </c>
      <c r="BOP71" s="1159" t="e">
        <f t="shared" si="30"/>
        <v>#DIV/0!</v>
      </c>
      <c r="BOQ71" s="1159" t="e">
        <f t="shared" si="30"/>
        <v>#DIV/0!</v>
      </c>
      <c r="BOR71" s="1159" t="e">
        <f t="shared" si="30"/>
        <v>#DIV/0!</v>
      </c>
      <c r="BOS71" s="1159" t="e">
        <f t="shared" si="30"/>
        <v>#DIV/0!</v>
      </c>
      <c r="BOT71" s="1159" t="e">
        <f t="shared" si="30"/>
        <v>#DIV/0!</v>
      </c>
      <c r="BOU71" s="1159" t="e">
        <f t="shared" si="30"/>
        <v>#DIV/0!</v>
      </c>
      <c r="BOV71" s="1159" t="e">
        <f t="shared" si="30"/>
        <v>#DIV/0!</v>
      </c>
      <c r="BOW71" s="1159" t="e">
        <f t="shared" si="30"/>
        <v>#DIV/0!</v>
      </c>
      <c r="BOX71" s="1159" t="e">
        <f t="shared" si="30"/>
        <v>#DIV/0!</v>
      </c>
      <c r="BOY71" s="1159" t="e">
        <f t="shared" si="30"/>
        <v>#DIV/0!</v>
      </c>
      <c r="BOZ71" s="1159" t="e">
        <f t="shared" si="30"/>
        <v>#DIV/0!</v>
      </c>
      <c r="BPA71" s="1159" t="e">
        <f t="shared" si="30"/>
        <v>#DIV/0!</v>
      </c>
      <c r="BPB71" s="1159" t="e">
        <f t="shared" si="30"/>
        <v>#DIV/0!</v>
      </c>
      <c r="BPC71" s="1159" t="e">
        <f t="shared" si="30"/>
        <v>#DIV/0!</v>
      </c>
      <c r="BPD71" s="1159" t="e">
        <f t="shared" si="30"/>
        <v>#DIV/0!</v>
      </c>
      <c r="BPE71" s="1159" t="e">
        <f t="shared" si="30"/>
        <v>#DIV/0!</v>
      </c>
      <c r="BPF71" s="1159" t="e">
        <f t="shared" si="30"/>
        <v>#DIV/0!</v>
      </c>
      <c r="BPG71" s="1159" t="e">
        <f t="shared" si="30"/>
        <v>#DIV/0!</v>
      </c>
      <c r="BPH71" s="1159" t="e">
        <f t="shared" si="30"/>
        <v>#DIV/0!</v>
      </c>
      <c r="BPI71" s="1159" t="e">
        <f t="shared" si="30"/>
        <v>#DIV/0!</v>
      </c>
      <c r="BPJ71" s="1159" t="e">
        <f t="shared" si="30"/>
        <v>#DIV/0!</v>
      </c>
      <c r="BPK71" s="1159" t="e">
        <f t="shared" si="30"/>
        <v>#DIV/0!</v>
      </c>
      <c r="BPL71" s="1159" t="e">
        <f t="shared" si="30"/>
        <v>#DIV/0!</v>
      </c>
      <c r="BPM71" s="1159" t="e">
        <f t="shared" si="30"/>
        <v>#DIV/0!</v>
      </c>
      <c r="BPN71" s="1159" t="e">
        <f t="shared" si="30"/>
        <v>#DIV/0!</v>
      </c>
      <c r="BPO71" s="1159" t="e">
        <f t="shared" si="30"/>
        <v>#DIV/0!</v>
      </c>
      <c r="BPP71" s="1159" t="e">
        <f t="shared" si="30"/>
        <v>#DIV/0!</v>
      </c>
      <c r="BPQ71" s="1159" t="e">
        <f t="shared" si="30"/>
        <v>#DIV/0!</v>
      </c>
      <c r="BPR71" s="1159" t="e">
        <f t="shared" si="30"/>
        <v>#DIV/0!</v>
      </c>
      <c r="BPS71" s="1159" t="e">
        <f t="shared" si="30"/>
        <v>#DIV/0!</v>
      </c>
      <c r="BPT71" s="1159" t="e">
        <f t="shared" si="30"/>
        <v>#DIV/0!</v>
      </c>
      <c r="BPU71" s="1159" t="e">
        <f t="shared" si="30"/>
        <v>#DIV/0!</v>
      </c>
      <c r="BPV71" s="1159" t="e">
        <f t="shared" si="30"/>
        <v>#DIV/0!</v>
      </c>
      <c r="BPW71" s="1159" t="e">
        <f t="shared" si="30"/>
        <v>#DIV/0!</v>
      </c>
      <c r="BPX71" s="1159" t="e">
        <f t="shared" si="30"/>
        <v>#DIV/0!</v>
      </c>
      <c r="BPY71" s="1159" t="e">
        <f t="shared" si="30"/>
        <v>#DIV/0!</v>
      </c>
      <c r="BPZ71" s="1159" t="e">
        <f t="shared" si="30"/>
        <v>#DIV/0!</v>
      </c>
      <c r="BQA71" s="1159" t="e">
        <f t="shared" si="30"/>
        <v>#DIV/0!</v>
      </c>
      <c r="BQB71" s="1159" t="e">
        <f t="shared" si="30"/>
        <v>#DIV/0!</v>
      </c>
      <c r="BQC71" s="1159" t="e">
        <f t="shared" si="30"/>
        <v>#DIV/0!</v>
      </c>
      <c r="BQD71" s="1159" t="e">
        <f t="shared" ref="BQD71:BSO71" si="31">((BQD6+BQD12+BQD13+BQD14+BQD15)*860+BQD16*BQD55+BQD17*BQD56+BQD7*BQD49+BQD8*BQD50+BQD9*BQD51+BQD10*BQD52+BQD11*BQD53)/(SUM(BQD6:BQD17))</f>
        <v>#DIV/0!</v>
      </c>
      <c r="BQE71" s="1159" t="e">
        <f t="shared" si="31"/>
        <v>#DIV/0!</v>
      </c>
      <c r="BQF71" s="1159" t="e">
        <f t="shared" si="31"/>
        <v>#DIV/0!</v>
      </c>
      <c r="BQG71" s="1159" t="e">
        <f t="shared" si="31"/>
        <v>#DIV/0!</v>
      </c>
      <c r="BQH71" s="1159" t="e">
        <f t="shared" si="31"/>
        <v>#DIV/0!</v>
      </c>
      <c r="BQI71" s="1159" t="e">
        <f t="shared" si="31"/>
        <v>#DIV/0!</v>
      </c>
      <c r="BQJ71" s="1159" t="e">
        <f t="shared" si="31"/>
        <v>#DIV/0!</v>
      </c>
      <c r="BQK71" s="1159" t="e">
        <f t="shared" si="31"/>
        <v>#DIV/0!</v>
      </c>
      <c r="BQL71" s="1159" t="e">
        <f t="shared" si="31"/>
        <v>#DIV/0!</v>
      </c>
      <c r="BQM71" s="1159" t="e">
        <f t="shared" si="31"/>
        <v>#DIV/0!</v>
      </c>
      <c r="BQN71" s="1159" t="e">
        <f t="shared" si="31"/>
        <v>#DIV/0!</v>
      </c>
      <c r="BQO71" s="1159" t="e">
        <f t="shared" si="31"/>
        <v>#DIV/0!</v>
      </c>
      <c r="BQP71" s="1159" t="e">
        <f t="shared" si="31"/>
        <v>#DIV/0!</v>
      </c>
      <c r="BQQ71" s="1159" t="e">
        <f t="shared" si="31"/>
        <v>#DIV/0!</v>
      </c>
      <c r="BQR71" s="1159" t="e">
        <f t="shared" si="31"/>
        <v>#DIV/0!</v>
      </c>
      <c r="BQS71" s="1159" t="e">
        <f t="shared" si="31"/>
        <v>#DIV/0!</v>
      </c>
      <c r="BQT71" s="1159" t="e">
        <f t="shared" si="31"/>
        <v>#DIV/0!</v>
      </c>
      <c r="BQU71" s="1159" t="e">
        <f t="shared" si="31"/>
        <v>#DIV/0!</v>
      </c>
      <c r="BQV71" s="1159" t="e">
        <f t="shared" si="31"/>
        <v>#DIV/0!</v>
      </c>
      <c r="BQW71" s="1159" t="e">
        <f t="shared" si="31"/>
        <v>#DIV/0!</v>
      </c>
      <c r="BQX71" s="1159" t="e">
        <f t="shared" si="31"/>
        <v>#DIV/0!</v>
      </c>
      <c r="BQY71" s="1159" t="e">
        <f t="shared" si="31"/>
        <v>#DIV/0!</v>
      </c>
      <c r="BQZ71" s="1159" t="e">
        <f t="shared" si="31"/>
        <v>#DIV/0!</v>
      </c>
      <c r="BRA71" s="1159" t="e">
        <f t="shared" si="31"/>
        <v>#DIV/0!</v>
      </c>
      <c r="BRB71" s="1159" t="e">
        <f t="shared" si="31"/>
        <v>#DIV/0!</v>
      </c>
      <c r="BRC71" s="1159" t="e">
        <f t="shared" si="31"/>
        <v>#DIV/0!</v>
      </c>
      <c r="BRD71" s="1159" t="e">
        <f t="shared" si="31"/>
        <v>#DIV/0!</v>
      </c>
      <c r="BRE71" s="1159" t="e">
        <f t="shared" si="31"/>
        <v>#DIV/0!</v>
      </c>
      <c r="BRF71" s="1159" t="e">
        <f t="shared" si="31"/>
        <v>#DIV/0!</v>
      </c>
      <c r="BRG71" s="1159" t="e">
        <f t="shared" si="31"/>
        <v>#DIV/0!</v>
      </c>
      <c r="BRH71" s="1159" t="e">
        <f t="shared" si="31"/>
        <v>#DIV/0!</v>
      </c>
      <c r="BRI71" s="1159" t="e">
        <f t="shared" si="31"/>
        <v>#DIV/0!</v>
      </c>
      <c r="BRJ71" s="1159" t="e">
        <f t="shared" si="31"/>
        <v>#DIV/0!</v>
      </c>
      <c r="BRK71" s="1159" t="e">
        <f t="shared" si="31"/>
        <v>#DIV/0!</v>
      </c>
      <c r="BRL71" s="1159" t="e">
        <f t="shared" si="31"/>
        <v>#DIV/0!</v>
      </c>
      <c r="BRM71" s="1159" t="e">
        <f t="shared" si="31"/>
        <v>#DIV/0!</v>
      </c>
      <c r="BRN71" s="1159" t="e">
        <f t="shared" si="31"/>
        <v>#DIV/0!</v>
      </c>
      <c r="BRO71" s="1159" t="e">
        <f t="shared" si="31"/>
        <v>#DIV/0!</v>
      </c>
      <c r="BRP71" s="1159" t="e">
        <f t="shared" si="31"/>
        <v>#DIV/0!</v>
      </c>
      <c r="BRQ71" s="1159" t="e">
        <f t="shared" si="31"/>
        <v>#DIV/0!</v>
      </c>
      <c r="BRR71" s="1159" t="e">
        <f t="shared" si="31"/>
        <v>#DIV/0!</v>
      </c>
      <c r="BRS71" s="1159" t="e">
        <f t="shared" si="31"/>
        <v>#DIV/0!</v>
      </c>
      <c r="BRT71" s="1159" t="e">
        <f t="shared" si="31"/>
        <v>#DIV/0!</v>
      </c>
      <c r="BRU71" s="1159" t="e">
        <f t="shared" si="31"/>
        <v>#DIV/0!</v>
      </c>
      <c r="BRV71" s="1159" t="e">
        <f t="shared" si="31"/>
        <v>#DIV/0!</v>
      </c>
      <c r="BRW71" s="1159" t="e">
        <f t="shared" si="31"/>
        <v>#DIV/0!</v>
      </c>
      <c r="BRX71" s="1159" t="e">
        <f t="shared" si="31"/>
        <v>#DIV/0!</v>
      </c>
      <c r="BRY71" s="1159" t="e">
        <f t="shared" si="31"/>
        <v>#DIV/0!</v>
      </c>
      <c r="BRZ71" s="1159" t="e">
        <f t="shared" si="31"/>
        <v>#DIV/0!</v>
      </c>
      <c r="BSA71" s="1159" t="e">
        <f t="shared" si="31"/>
        <v>#DIV/0!</v>
      </c>
      <c r="BSB71" s="1159" t="e">
        <f t="shared" si="31"/>
        <v>#DIV/0!</v>
      </c>
      <c r="BSC71" s="1159" t="e">
        <f t="shared" si="31"/>
        <v>#DIV/0!</v>
      </c>
      <c r="BSD71" s="1159" t="e">
        <f t="shared" si="31"/>
        <v>#DIV/0!</v>
      </c>
      <c r="BSE71" s="1159" t="e">
        <f t="shared" si="31"/>
        <v>#DIV/0!</v>
      </c>
      <c r="BSF71" s="1159" t="e">
        <f t="shared" si="31"/>
        <v>#DIV/0!</v>
      </c>
      <c r="BSG71" s="1159" t="e">
        <f t="shared" si="31"/>
        <v>#DIV/0!</v>
      </c>
      <c r="BSH71" s="1159" t="e">
        <f t="shared" si="31"/>
        <v>#DIV/0!</v>
      </c>
      <c r="BSI71" s="1159" t="e">
        <f t="shared" si="31"/>
        <v>#DIV/0!</v>
      </c>
      <c r="BSJ71" s="1159" t="e">
        <f t="shared" si="31"/>
        <v>#DIV/0!</v>
      </c>
      <c r="BSK71" s="1159" t="e">
        <f t="shared" si="31"/>
        <v>#DIV/0!</v>
      </c>
      <c r="BSL71" s="1159" t="e">
        <f t="shared" si="31"/>
        <v>#DIV/0!</v>
      </c>
      <c r="BSM71" s="1159" t="e">
        <f t="shared" si="31"/>
        <v>#DIV/0!</v>
      </c>
      <c r="BSN71" s="1159" t="e">
        <f t="shared" si="31"/>
        <v>#DIV/0!</v>
      </c>
      <c r="BSO71" s="1159" t="e">
        <f t="shared" si="31"/>
        <v>#DIV/0!</v>
      </c>
      <c r="BSP71" s="1159" t="e">
        <f t="shared" ref="BSP71:BVA71" si="32">((BSP6+BSP12+BSP13+BSP14+BSP15)*860+BSP16*BSP55+BSP17*BSP56+BSP7*BSP49+BSP8*BSP50+BSP9*BSP51+BSP10*BSP52+BSP11*BSP53)/(SUM(BSP6:BSP17))</f>
        <v>#DIV/0!</v>
      </c>
      <c r="BSQ71" s="1159" t="e">
        <f t="shared" si="32"/>
        <v>#DIV/0!</v>
      </c>
      <c r="BSR71" s="1159" t="e">
        <f t="shared" si="32"/>
        <v>#DIV/0!</v>
      </c>
      <c r="BSS71" s="1159" t="e">
        <f t="shared" si="32"/>
        <v>#DIV/0!</v>
      </c>
      <c r="BST71" s="1159" t="e">
        <f t="shared" si="32"/>
        <v>#DIV/0!</v>
      </c>
      <c r="BSU71" s="1159" t="e">
        <f t="shared" si="32"/>
        <v>#DIV/0!</v>
      </c>
      <c r="BSV71" s="1159" t="e">
        <f t="shared" si="32"/>
        <v>#DIV/0!</v>
      </c>
      <c r="BSW71" s="1159" t="e">
        <f t="shared" si="32"/>
        <v>#DIV/0!</v>
      </c>
      <c r="BSX71" s="1159" t="e">
        <f t="shared" si="32"/>
        <v>#DIV/0!</v>
      </c>
      <c r="BSY71" s="1159" t="e">
        <f t="shared" si="32"/>
        <v>#DIV/0!</v>
      </c>
      <c r="BSZ71" s="1159" t="e">
        <f t="shared" si="32"/>
        <v>#DIV/0!</v>
      </c>
      <c r="BTA71" s="1159" t="e">
        <f t="shared" si="32"/>
        <v>#DIV/0!</v>
      </c>
      <c r="BTB71" s="1159" t="e">
        <f t="shared" si="32"/>
        <v>#DIV/0!</v>
      </c>
      <c r="BTC71" s="1159" t="e">
        <f t="shared" si="32"/>
        <v>#DIV/0!</v>
      </c>
      <c r="BTD71" s="1159" t="e">
        <f t="shared" si="32"/>
        <v>#DIV/0!</v>
      </c>
      <c r="BTE71" s="1159" t="e">
        <f t="shared" si="32"/>
        <v>#DIV/0!</v>
      </c>
      <c r="BTF71" s="1159" t="e">
        <f t="shared" si="32"/>
        <v>#DIV/0!</v>
      </c>
      <c r="BTG71" s="1159" t="e">
        <f t="shared" si="32"/>
        <v>#DIV/0!</v>
      </c>
      <c r="BTH71" s="1159" t="e">
        <f t="shared" si="32"/>
        <v>#DIV/0!</v>
      </c>
      <c r="BTI71" s="1159" t="e">
        <f t="shared" si="32"/>
        <v>#DIV/0!</v>
      </c>
      <c r="BTJ71" s="1159" t="e">
        <f t="shared" si="32"/>
        <v>#DIV/0!</v>
      </c>
      <c r="BTK71" s="1159" t="e">
        <f t="shared" si="32"/>
        <v>#DIV/0!</v>
      </c>
      <c r="BTL71" s="1159" t="e">
        <f t="shared" si="32"/>
        <v>#DIV/0!</v>
      </c>
      <c r="BTM71" s="1159" t="e">
        <f t="shared" si="32"/>
        <v>#DIV/0!</v>
      </c>
      <c r="BTN71" s="1159" t="e">
        <f t="shared" si="32"/>
        <v>#DIV/0!</v>
      </c>
      <c r="BTO71" s="1159" t="e">
        <f t="shared" si="32"/>
        <v>#DIV/0!</v>
      </c>
      <c r="BTP71" s="1159" t="e">
        <f t="shared" si="32"/>
        <v>#DIV/0!</v>
      </c>
      <c r="BTQ71" s="1159" t="e">
        <f t="shared" si="32"/>
        <v>#DIV/0!</v>
      </c>
      <c r="BTR71" s="1159" t="e">
        <f t="shared" si="32"/>
        <v>#DIV/0!</v>
      </c>
      <c r="BTS71" s="1159" t="e">
        <f t="shared" si="32"/>
        <v>#DIV/0!</v>
      </c>
      <c r="BTT71" s="1159" t="e">
        <f t="shared" si="32"/>
        <v>#DIV/0!</v>
      </c>
      <c r="BTU71" s="1159" t="e">
        <f t="shared" si="32"/>
        <v>#DIV/0!</v>
      </c>
      <c r="BTV71" s="1159" t="e">
        <f t="shared" si="32"/>
        <v>#DIV/0!</v>
      </c>
      <c r="BTW71" s="1159" t="e">
        <f t="shared" si="32"/>
        <v>#DIV/0!</v>
      </c>
      <c r="BTX71" s="1159" t="e">
        <f t="shared" si="32"/>
        <v>#DIV/0!</v>
      </c>
      <c r="BTY71" s="1159" t="e">
        <f t="shared" si="32"/>
        <v>#DIV/0!</v>
      </c>
      <c r="BTZ71" s="1159" t="e">
        <f t="shared" si="32"/>
        <v>#DIV/0!</v>
      </c>
      <c r="BUA71" s="1159" t="e">
        <f t="shared" si="32"/>
        <v>#DIV/0!</v>
      </c>
      <c r="BUB71" s="1159" t="e">
        <f t="shared" si="32"/>
        <v>#DIV/0!</v>
      </c>
      <c r="BUC71" s="1159" t="e">
        <f t="shared" si="32"/>
        <v>#DIV/0!</v>
      </c>
      <c r="BUD71" s="1159" t="e">
        <f t="shared" si="32"/>
        <v>#DIV/0!</v>
      </c>
      <c r="BUE71" s="1159" t="e">
        <f t="shared" si="32"/>
        <v>#DIV/0!</v>
      </c>
      <c r="BUF71" s="1159" t="e">
        <f t="shared" si="32"/>
        <v>#DIV/0!</v>
      </c>
      <c r="BUG71" s="1159" t="e">
        <f t="shared" si="32"/>
        <v>#DIV/0!</v>
      </c>
      <c r="BUH71" s="1159" t="e">
        <f t="shared" si="32"/>
        <v>#DIV/0!</v>
      </c>
      <c r="BUI71" s="1159" t="e">
        <f t="shared" si="32"/>
        <v>#DIV/0!</v>
      </c>
      <c r="BUJ71" s="1159" t="e">
        <f t="shared" si="32"/>
        <v>#DIV/0!</v>
      </c>
      <c r="BUK71" s="1159" t="e">
        <f t="shared" si="32"/>
        <v>#DIV/0!</v>
      </c>
      <c r="BUL71" s="1159" t="e">
        <f t="shared" si="32"/>
        <v>#DIV/0!</v>
      </c>
      <c r="BUM71" s="1159" t="e">
        <f t="shared" si="32"/>
        <v>#DIV/0!</v>
      </c>
      <c r="BUN71" s="1159" t="e">
        <f t="shared" si="32"/>
        <v>#DIV/0!</v>
      </c>
      <c r="BUO71" s="1159" t="e">
        <f t="shared" si="32"/>
        <v>#DIV/0!</v>
      </c>
      <c r="BUP71" s="1159" t="e">
        <f t="shared" si="32"/>
        <v>#DIV/0!</v>
      </c>
      <c r="BUQ71" s="1159" t="e">
        <f t="shared" si="32"/>
        <v>#DIV/0!</v>
      </c>
      <c r="BUR71" s="1159" t="e">
        <f t="shared" si="32"/>
        <v>#DIV/0!</v>
      </c>
      <c r="BUS71" s="1159" t="e">
        <f t="shared" si="32"/>
        <v>#DIV/0!</v>
      </c>
      <c r="BUT71" s="1159" t="e">
        <f t="shared" si="32"/>
        <v>#DIV/0!</v>
      </c>
      <c r="BUU71" s="1159" t="e">
        <f t="shared" si="32"/>
        <v>#DIV/0!</v>
      </c>
      <c r="BUV71" s="1159" t="e">
        <f t="shared" si="32"/>
        <v>#DIV/0!</v>
      </c>
      <c r="BUW71" s="1159" t="e">
        <f t="shared" si="32"/>
        <v>#DIV/0!</v>
      </c>
      <c r="BUX71" s="1159" t="e">
        <f t="shared" si="32"/>
        <v>#DIV/0!</v>
      </c>
      <c r="BUY71" s="1159" t="e">
        <f t="shared" si="32"/>
        <v>#DIV/0!</v>
      </c>
      <c r="BUZ71" s="1159" t="e">
        <f t="shared" si="32"/>
        <v>#DIV/0!</v>
      </c>
      <c r="BVA71" s="1159" t="e">
        <f t="shared" si="32"/>
        <v>#DIV/0!</v>
      </c>
      <c r="BVB71" s="1159" t="e">
        <f t="shared" ref="BVB71:BXM71" si="33">((BVB6+BVB12+BVB13+BVB14+BVB15)*860+BVB16*BVB55+BVB17*BVB56+BVB7*BVB49+BVB8*BVB50+BVB9*BVB51+BVB10*BVB52+BVB11*BVB53)/(SUM(BVB6:BVB17))</f>
        <v>#DIV/0!</v>
      </c>
      <c r="BVC71" s="1159" t="e">
        <f t="shared" si="33"/>
        <v>#DIV/0!</v>
      </c>
      <c r="BVD71" s="1159" t="e">
        <f t="shared" si="33"/>
        <v>#DIV/0!</v>
      </c>
      <c r="BVE71" s="1159" t="e">
        <f t="shared" si="33"/>
        <v>#DIV/0!</v>
      </c>
      <c r="BVF71" s="1159" t="e">
        <f t="shared" si="33"/>
        <v>#DIV/0!</v>
      </c>
      <c r="BVG71" s="1159" t="e">
        <f t="shared" si="33"/>
        <v>#DIV/0!</v>
      </c>
      <c r="BVH71" s="1159" t="e">
        <f t="shared" si="33"/>
        <v>#DIV/0!</v>
      </c>
      <c r="BVI71" s="1159" t="e">
        <f t="shared" si="33"/>
        <v>#DIV/0!</v>
      </c>
      <c r="BVJ71" s="1159" t="e">
        <f t="shared" si="33"/>
        <v>#DIV/0!</v>
      </c>
      <c r="BVK71" s="1159" t="e">
        <f t="shared" si="33"/>
        <v>#DIV/0!</v>
      </c>
      <c r="BVL71" s="1159" t="e">
        <f t="shared" si="33"/>
        <v>#DIV/0!</v>
      </c>
      <c r="BVM71" s="1159" t="e">
        <f t="shared" si="33"/>
        <v>#DIV/0!</v>
      </c>
      <c r="BVN71" s="1159" t="e">
        <f t="shared" si="33"/>
        <v>#DIV/0!</v>
      </c>
      <c r="BVO71" s="1159" t="e">
        <f t="shared" si="33"/>
        <v>#DIV/0!</v>
      </c>
      <c r="BVP71" s="1159" t="e">
        <f t="shared" si="33"/>
        <v>#DIV/0!</v>
      </c>
      <c r="BVQ71" s="1159" t="e">
        <f t="shared" si="33"/>
        <v>#DIV/0!</v>
      </c>
      <c r="BVR71" s="1159" t="e">
        <f t="shared" si="33"/>
        <v>#DIV/0!</v>
      </c>
      <c r="BVS71" s="1159" t="e">
        <f t="shared" si="33"/>
        <v>#DIV/0!</v>
      </c>
      <c r="BVT71" s="1159" t="e">
        <f t="shared" si="33"/>
        <v>#DIV/0!</v>
      </c>
      <c r="BVU71" s="1159" t="e">
        <f t="shared" si="33"/>
        <v>#DIV/0!</v>
      </c>
      <c r="BVV71" s="1159" t="e">
        <f t="shared" si="33"/>
        <v>#DIV/0!</v>
      </c>
      <c r="BVW71" s="1159" t="e">
        <f t="shared" si="33"/>
        <v>#DIV/0!</v>
      </c>
      <c r="BVX71" s="1159" t="e">
        <f t="shared" si="33"/>
        <v>#DIV/0!</v>
      </c>
      <c r="BVY71" s="1159" t="e">
        <f t="shared" si="33"/>
        <v>#DIV/0!</v>
      </c>
      <c r="BVZ71" s="1159" t="e">
        <f t="shared" si="33"/>
        <v>#DIV/0!</v>
      </c>
      <c r="BWA71" s="1159" t="e">
        <f t="shared" si="33"/>
        <v>#DIV/0!</v>
      </c>
      <c r="BWB71" s="1159" t="e">
        <f t="shared" si="33"/>
        <v>#DIV/0!</v>
      </c>
      <c r="BWC71" s="1159" t="e">
        <f t="shared" si="33"/>
        <v>#DIV/0!</v>
      </c>
      <c r="BWD71" s="1159" t="e">
        <f t="shared" si="33"/>
        <v>#DIV/0!</v>
      </c>
      <c r="BWE71" s="1159" t="e">
        <f t="shared" si="33"/>
        <v>#DIV/0!</v>
      </c>
      <c r="BWF71" s="1159" t="e">
        <f t="shared" si="33"/>
        <v>#DIV/0!</v>
      </c>
      <c r="BWG71" s="1159" t="e">
        <f t="shared" si="33"/>
        <v>#DIV/0!</v>
      </c>
      <c r="BWH71" s="1159" t="e">
        <f t="shared" si="33"/>
        <v>#DIV/0!</v>
      </c>
      <c r="BWI71" s="1159" t="e">
        <f t="shared" si="33"/>
        <v>#DIV/0!</v>
      </c>
      <c r="BWJ71" s="1159" t="e">
        <f t="shared" si="33"/>
        <v>#DIV/0!</v>
      </c>
      <c r="BWK71" s="1159" t="e">
        <f t="shared" si="33"/>
        <v>#DIV/0!</v>
      </c>
      <c r="BWL71" s="1159" t="e">
        <f t="shared" si="33"/>
        <v>#DIV/0!</v>
      </c>
      <c r="BWM71" s="1159" t="e">
        <f t="shared" si="33"/>
        <v>#DIV/0!</v>
      </c>
      <c r="BWN71" s="1159" t="e">
        <f t="shared" si="33"/>
        <v>#DIV/0!</v>
      </c>
      <c r="BWO71" s="1159" t="e">
        <f t="shared" si="33"/>
        <v>#DIV/0!</v>
      </c>
      <c r="BWP71" s="1159" t="e">
        <f t="shared" si="33"/>
        <v>#DIV/0!</v>
      </c>
      <c r="BWQ71" s="1159" t="e">
        <f t="shared" si="33"/>
        <v>#DIV/0!</v>
      </c>
      <c r="BWR71" s="1159" t="e">
        <f t="shared" si="33"/>
        <v>#DIV/0!</v>
      </c>
      <c r="BWS71" s="1159" t="e">
        <f t="shared" si="33"/>
        <v>#DIV/0!</v>
      </c>
      <c r="BWT71" s="1159" t="e">
        <f t="shared" si="33"/>
        <v>#DIV/0!</v>
      </c>
      <c r="BWU71" s="1159" t="e">
        <f t="shared" si="33"/>
        <v>#DIV/0!</v>
      </c>
      <c r="BWV71" s="1159" t="e">
        <f t="shared" si="33"/>
        <v>#DIV/0!</v>
      </c>
      <c r="BWW71" s="1159" t="e">
        <f t="shared" si="33"/>
        <v>#DIV/0!</v>
      </c>
      <c r="BWX71" s="1159" t="e">
        <f t="shared" si="33"/>
        <v>#DIV/0!</v>
      </c>
      <c r="BWY71" s="1159" t="e">
        <f t="shared" si="33"/>
        <v>#DIV/0!</v>
      </c>
      <c r="BWZ71" s="1159" t="e">
        <f t="shared" si="33"/>
        <v>#DIV/0!</v>
      </c>
      <c r="BXA71" s="1159" t="e">
        <f t="shared" si="33"/>
        <v>#DIV/0!</v>
      </c>
      <c r="BXB71" s="1159" t="e">
        <f t="shared" si="33"/>
        <v>#DIV/0!</v>
      </c>
      <c r="BXC71" s="1159" t="e">
        <f t="shared" si="33"/>
        <v>#DIV/0!</v>
      </c>
      <c r="BXD71" s="1159" t="e">
        <f t="shared" si="33"/>
        <v>#DIV/0!</v>
      </c>
      <c r="BXE71" s="1159" t="e">
        <f t="shared" si="33"/>
        <v>#DIV/0!</v>
      </c>
      <c r="BXF71" s="1159" t="e">
        <f t="shared" si="33"/>
        <v>#DIV/0!</v>
      </c>
      <c r="BXG71" s="1159" t="e">
        <f t="shared" si="33"/>
        <v>#DIV/0!</v>
      </c>
      <c r="BXH71" s="1159" t="e">
        <f t="shared" si="33"/>
        <v>#DIV/0!</v>
      </c>
      <c r="BXI71" s="1159" t="e">
        <f t="shared" si="33"/>
        <v>#DIV/0!</v>
      </c>
      <c r="BXJ71" s="1159" t="e">
        <f t="shared" si="33"/>
        <v>#DIV/0!</v>
      </c>
      <c r="BXK71" s="1159" t="e">
        <f t="shared" si="33"/>
        <v>#DIV/0!</v>
      </c>
      <c r="BXL71" s="1159" t="e">
        <f t="shared" si="33"/>
        <v>#DIV/0!</v>
      </c>
      <c r="BXM71" s="1159" t="e">
        <f t="shared" si="33"/>
        <v>#DIV/0!</v>
      </c>
      <c r="BXN71" s="1159" t="e">
        <f t="shared" ref="BXN71:BZY71" si="34">((BXN6+BXN12+BXN13+BXN14+BXN15)*860+BXN16*BXN55+BXN17*BXN56+BXN7*BXN49+BXN8*BXN50+BXN9*BXN51+BXN10*BXN52+BXN11*BXN53)/(SUM(BXN6:BXN17))</f>
        <v>#DIV/0!</v>
      </c>
      <c r="BXO71" s="1159" t="e">
        <f t="shared" si="34"/>
        <v>#DIV/0!</v>
      </c>
      <c r="BXP71" s="1159" t="e">
        <f t="shared" si="34"/>
        <v>#DIV/0!</v>
      </c>
      <c r="BXQ71" s="1159" t="e">
        <f t="shared" si="34"/>
        <v>#DIV/0!</v>
      </c>
      <c r="BXR71" s="1159" t="e">
        <f t="shared" si="34"/>
        <v>#DIV/0!</v>
      </c>
      <c r="BXS71" s="1159" t="e">
        <f t="shared" si="34"/>
        <v>#DIV/0!</v>
      </c>
      <c r="BXT71" s="1159" t="e">
        <f t="shared" si="34"/>
        <v>#DIV/0!</v>
      </c>
      <c r="BXU71" s="1159" t="e">
        <f t="shared" si="34"/>
        <v>#DIV/0!</v>
      </c>
      <c r="BXV71" s="1159" t="e">
        <f t="shared" si="34"/>
        <v>#DIV/0!</v>
      </c>
      <c r="BXW71" s="1159" t="e">
        <f t="shared" si="34"/>
        <v>#DIV/0!</v>
      </c>
      <c r="BXX71" s="1159" t="e">
        <f t="shared" si="34"/>
        <v>#DIV/0!</v>
      </c>
      <c r="BXY71" s="1159" t="e">
        <f t="shared" si="34"/>
        <v>#DIV/0!</v>
      </c>
      <c r="BXZ71" s="1159" t="e">
        <f t="shared" si="34"/>
        <v>#DIV/0!</v>
      </c>
      <c r="BYA71" s="1159" t="e">
        <f t="shared" si="34"/>
        <v>#DIV/0!</v>
      </c>
      <c r="BYB71" s="1159" t="e">
        <f t="shared" si="34"/>
        <v>#DIV/0!</v>
      </c>
      <c r="BYC71" s="1159" t="e">
        <f t="shared" si="34"/>
        <v>#DIV/0!</v>
      </c>
      <c r="BYD71" s="1159" t="e">
        <f t="shared" si="34"/>
        <v>#DIV/0!</v>
      </c>
      <c r="BYE71" s="1159" t="e">
        <f t="shared" si="34"/>
        <v>#DIV/0!</v>
      </c>
      <c r="BYF71" s="1159" t="e">
        <f t="shared" si="34"/>
        <v>#DIV/0!</v>
      </c>
      <c r="BYG71" s="1159" t="e">
        <f t="shared" si="34"/>
        <v>#DIV/0!</v>
      </c>
      <c r="BYH71" s="1159" t="e">
        <f t="shared" si="34"/>
        <v>#DIV/0!</v>
      </c>
      <c r="BYI71" s="1159" t="e">
        <f t="shared" si="34"/>
        <v>#DIV/0!</v>
      </c>
      <c r="BYJ71" s="1159" t="e">
        <f t="shared" si="34"/>
        <v>#DIV/0!</v>
      </c>
      <c r="BYK71" s="1159" t="e">
        <f t="shared" si="34"/>
        <v>#DIV/0!</v>
      </c>
      <c r="BYL71" s="1159" t="e">
        <f t="shared" si="34"/>
        <v>#DIV/0!</v>
      </c>
      <c r="BYM71" s="1159" t="e">
        <f t="shared" si="34"/>
        <v>#DIV/0!</v>
      </c>
      <c r="BYN71" s="1159" t="e">
        <f t="shared" si="34"/>
        <v>#DIV/0!</v>
      </c>
      <c r="BYO71" s="1159" t="e">
        <f t="shared" si="34"/>
        <v>#DIV/0!</v>
      </c>
      <c r="BYP71" s="1159" t="e">
        <f t="shared" si="34"/>
        <v>#DIV/0!</v>
      </c>
      <c r="BYQ71" s="1159" t="e">
        <f t="shared" si="34"/>
        <v>#DIV/0!</v>
      </c>
      <c r="BYR71" s="1159" t="e">
        <f t="shared" si="34"/>
        <v>#DIV/0!</v>
      </c>
      <c r="BYS71" s="1159" t="e">
        <f t="shared" si="34"/>
        <v>#DIV/0!</v>
      </c>
      <c r="BYT71" s="1159" t="e">
        <f t="shared" si="34"/>
        <v>#DIV/0!</v>
      </c>
      <c r="BYU71" s="1159" t="e">
        <f t="shared" si="34"/>
        <v>#DIV/0!</v>
      </c>
      <c r="BYV71" s="1159" t="e">
        <f t="shared" si="34"/>
        <v>#DIV/0!</v>
      </c>
      <c r="BYW71" s="1159" t="e">
        <f t="shared" si="34"/>
        <v>#DIV/0!</v>
      </c>
      <c r="BYX71" s="1159" t="e">
        <f t="shared" si="34"/>
        <v>#DIV/0!</v>
      </c>
      <c r="BYY71" s="1159" t="e">
        <f t="shared" si="34"/>
        <v>#DIV/0!</v>
      </c>
      <c r="BYZ71" s="1159" t="e">
        <f t="shared" si="34"/>
        <v>#DIV/0!</v>
      </c>
      <c r="BZA71" s="1159" t="e">
        <f t="shared" si="34"/>
        <v>#DIV/0!</v>
      </c>
      <c r="BZB71" s="1159" t="e">
        <f t="shared" si="34"/>
        <v>#DIV/0!</v>
      </c>
      <c r="BZC71" s="1159" t="e">
        <f t="shared" si="34"/>
        <v>#DIV/0!</v>
      </c>
      <c r="BZD71" s="1159" t="e">
        <f t="shared" si="34"/>
        <v>#DIV/0!</v>
      </c>
      <c r="BZE71" s="1159" t="e">
        <f t="shared" si="34"/>
        <v>#DIV/0!</v>
      </c>
      <c r="BZF71" s="1159" t="e">
        <f t="shared" si="34"/>
        <v>#DIV/0!</v>
      </c>
      <c r="BZG71" s="1159" t="e">
        <f t="shared" si="34"/>
        <v>#DIV/0!</v>
      </c>
      <c r="BZH71" s="1159" t="e">
        <f t="shared" si="34"/>
        <v>#DIV/0!</v>
      </c>
      <c r="BZI71" s="1159" t="e">
        <f t="shared" si="34"/>
        <v>#DIV/0!</v>
      </c>
      <c r="BZJ71" s="1159" t="e">
        <f t="shared" si="34"/>
        <v>#DIV/0!</v>
      </c>
      <c r="BZK71" s="1159" t="e">
        <f t="shared" si="34"/>
        <v>#DIV/0!</v>
      </c>
      <c r="BZL71" s="1159" t="e">
        <f t="shared" si="34"/>
        <v>#DIV/0!</v>
      </c>
      <c r="BZM71" s="1159" t="e">
        <f t="shared" si="34"/>
        <v>#DIV/0!</v>
      </c>
      <c r="BZN71" s="1159" t="e">
        <f t="shared" si="34"/>
        <v>#DIV/0!</v>
      </c>
      <c r="BZO71" s="1159" t="e">
        <f t="shared" si="34"/>
        <v>#DIV/0!</v>
      </c>
      <c r="BZP71" s="1159" t="e">
        <f t="shared" si="34"/>
        <v>#DIV/0!</v>
      </c>
      <c r="BZQ71" s="1159" t="e">
        <f t="shared" si="34"/>
        <v>#DIV/0!</v>
      </c>
      <c r="BZR71" s="1159" t="e">
        <f t="shared" si="34"/>
        <v>#DIV/0!</v>
      </c>
      <c r="BZS71" s="1159" t="e">
        <f t="shared" si="34"/>
        <v>#DIV/0!</v>
      </c>
      <c r="BZT71" s="1159" t="e">
        <f t="shared" si="34"/>
        <v>#DIV/0!</v>
      </c>
      <c r="BZU71" s="1159" t="e">
        <f t="shared" si="34"/>
        <v>#DIV/0!</v>
      </c>
      <c r="BZV71" s="1159" t="e">
        <f t="shared" si="34"/>
        <v>#DIV/0!</v>
      </c>
      <c r="BZW71" s="1159" t="e">
        <f t="shared" si="34"/>
        <v>#DIV/0!</v>
      </c>
      <c r="BZX71" s="1159" t="e">
        <f t="shared" si="34"/>
        <v>#DIV/0!</v>
      </c>
      <c r="BZY71" s="1159" t="e">
        <f t="shared" si="34"/>
        <v>#DIV/0!</v>
      </c>
      <c r="BZZ71" s="1159" t="e">
        <f t="shared" ref="BZZ71:CCK71" si="35">((BZZ6+BZZ12+BZZ13+BZZ14+BZZ15)*860+BZZ16*BZZ55+BZZ17*BZZ56+BZZ7*BZZ49+BZZ8*BZZ50+BZZ9*BZZ51+BZZ10*BZZ52+BZZ11*BZZ53)/(SUM(BZZ6:BZZ17))</f>
        <v>#DIV/0!</v>
      </c>
      <c r="CAA71" s="1159" t="e">
        <f t="shared" si="35"/>
        <v>#DIV/0!</v>
      </c>
      <c r="CAB71" s="1159" t="e">
        <f t="shared" si="35"/>
        <v>#DIV/0!</v>
      </c>
      <c r="CAC71" s="1159" t="e">
        <f t="shared" si="35"/>
        <v>#DIV/0!</v>
      </c>
      <c r="CAD71" s="1159" t="e">
        <f t="shared" si="35"/>
        <v>#DIV/0!</v>
      </c>
      <c r="CAE71" s="1159" t="e">
        <f t="shared" si="35"/>
        <v>#DIV/0!</v>
      </c>
      <c r="CAF71" s="1159" t="e">
        <f t="shared" si="35"/>
        <v>#DIV/0!</v>
      </c>
      <c r="CAG71" s="1159" t="e">
        <f t="shared" si="35"/>
        <v>#DIV/0!</v>
      </c>
      <c r="CAH71" s="1159" t="e">
        <f t="shared" si="35"/>
        <v>#DIV/0!</v>
      </c>
      <c r="CAI71" s="1159" t="e">
        <f t="shared" si="35"/>
        <v>#DIV/0!</v>
      </c>
      <c r="CAJ71" s="1159" t="e">
        <f t="shared" si="35"/>
        <v>#DIV/0!</v>
      </c>
      <c r="CAK71" s="1159" t="e">
        <f t="shared" si="35"/>
        <v>#DIV/0!</v>
      </c>
      <c r="CAL71" s="1159" t="e">
        <f t="shared" si="35"/>
        <v>#DIV/0!</v>
      </c>
      <c r="CAM71" s="1159" t="e">
        <f t="shared" si="35"/>
        <v>#DIV/0!</v>
      </c>
      <c r="CAN71" s="1159" t="e">
        <f t="shared" si="35"/>
        <v>#DIV/0!</v>
      </c>
      <c r="CAO71" s="1159" t="e">
        <f t="shared" si="35"/>
        <v>#DIV/0!</v>
      </c>
      <c r="CAP71" s="1159" t="e">
        <f t="shared" si="35"/>
        <v>#DIV/0!</v>
      </c>
      <c r="CAQ71" s="1159" t="e">
        <f t="shared" si="35"/>
        <v>#DIV/0!</v>
      </c>
      <c r="CAR71" s="1159" t="e">
        <f t="shared" si="35"/>
        <v>#DIV/0!</v>
      </c>
      <c r="CAS71" s="1159" t="e">
        <f t="shared" si="35"/>
        <v>#DIV/0!</v>
      </c>
      <c r="CAT71" s="1159" t="e">
        <f t="shared" si="35"/>
        <v>#DIV/0!</v>
      </c>
      <c r="CAU71" s="1159" t="e">
        <f t="shared" si="35"/>
        <v>#DIV/0!</v>
      </c>
      <c r="CAV71" s="1159" t="e">
        <f t="shared" si="35"/>
        <v>#DIV/0!</v>
      </c>
      <c r="CAW71" s="1159" t="e">
        <f t="shared" si="35"/>
        <v>#DIV/0!</v>
      </c>
      <c r="CAX71" s="1159" t="e">
        <f t="shared" si="35"/>
        <v>#DIV/0!</v>
      </c>
      <c r="CAY71" s="1159" t="e">
        <f t="shared" si="35"/>
        <v>#DIV/0!</v>
      </c>
      <c r="CAZ71" s="1159" t="e">
        <f t="shared" si="35"/>
        <v>#DIV/0!</v>
      </c>
      <c r="CBA71" s="1159" t="e">
        <f t="shared" si="35"/>
        <v>#DIV/0!</v>
      </c>
      <c r="CBB71" s="1159" t="e">
        <f t="shared" si="35"/>
        <v>#DIV/0!</v>
      </c>
      <c r="CBC71" s="1159" t="e">
        <f t="shared" si="35"/>
        <v>#DIV/0!</v>
      </c>
      <c r="CBD71" s="1159" t="e">
        <f t="shared" si="35"/>
        <v>#DIV/0!</v>
      </c>
      <c r="CBE71" s="1159" t="e">
        <f t="shared" si="35"/>
        <v>#DIV/0!</v>
      </c>
      <c r="CBF71" s="1159" t="e">
        <f t="shared" si="35"/>
        <v>#DIV/0!</v>
      </c>
      <c r="CBG71" s="1159" t="e">
        <f t="shared" si="35"/>
        <v>#DIV/0!</v>
      </c>
      <c r="CBH71" s="1159" t="e">
        <f t="shared" si="35"/>
        <v>#DIV/0!</v>
      </c>
      <c r="CBI71" s="1159" t="e">
        <f t="shared" si="35"/>
        <v>#DIV/0!</v>
      </c>
      <c r="CBJ71" s="1159" t="e">
        <f t="shared" si="35"/>
        <v>#DIV/0!</v>
      </c>
      <c r="CBK71" s="1159" t="e">
        <f t="shared" si="35"/>
        <v>#DIV/0!</v>
      </c>
      <c r="CBL71" s="1159" t="e">
        <f t="shared" si="35"/>
        <v>#DIV/0!</v>
      </c>
      <c r="CBM71" s="1159" t="e">
        <f t="shared" si="35"/>
        <v>#DIV/0!</v>
      </c>
      <c r="CBN71" s="1159" t="e">
        <f t="shared" si="35"/>
        <v>#DIV/0!</v>
      </c>
      <c r="CBO71" s="1159" t="e">
        <f t="shared" si="35"/>
        <v>#DIV/0!</v>
      </c>
      <c r="CBP71" s="1159" t="e">
        <f t="shared" si="35"/>
        <v>#DIV/0!</v>
      </c>
      <c r="CBQ71" s="1159" t="e">
        <f t="shared" si="35"/>
        <v>#DIV/0!</v>
      </c>
      <c r="CBR71" s="1159" t="e">
        <f t="shared" si="35"/>
        <v>#DIV/0!</v>
      </c>
      <c r="CBS71" s="1159" t="e">
        <f t="shared" si="35"/>
        <v>#DIV/0!</v>
      </c>
      <c r="CBT71" s="1159" t="e">
        <f t="shared" si="35"/>
        <v>#DIV/0!</v>
      </c>
      <c r="CBU71" s="1159" t="e">
        <f t="shared" si="35"/>
        <v>#DIV/0!</v>
      </c>
      <c r="CBV71" s="1159" t="e">
        <f t="shared" si="35"/>
        <v>#DIV/0!</v>
      </c>
      <c r="CBW71" s="1159" t="e">
        <f t="shared" si="35"/>
        <v>#DIV/0!</v>
      </c>
      <c r="CBX71" s="1159" t="e">
        <f t="shared" si="35"/>
        <v>#DIV/0!</v>
      </c>
      <c r="CBY71" s="1159" t="e">
        <f t="shared" si="35"/>
        <v>#DIV/0!</v>
      </c>
      <c r="CBZ71" s="1159" t="e">
        <f t="shared" si="35"/>
        <v>#DIV/0!</v>
      </c>
      <c r="CCA71" s="1159" t="e">
        <f t="shared" si="35"/>
        <v>#DIV/0!</v>
      </c>
      <c r="CCB71" s="1159" t="e">
        <f t="shared" si="35"/>
        <v>#DIV/0!</v>
      </c>
      <c r="CCC71" s="1159" t="e">
        <f t="shared" si="35"/>
        <v>#DIV/0!</v>
      </c>
      <c r="CCD71" s="1159" t="e">
        <f t="shared" si="35"/>
        <v>#DIV/0!</v>
      </c>
      <c r="CCE71" s="1159" t="e">
        <f t="shared" si="35"/>
        <v>#DIV/0!</v>
      </c>
      <c r="CCF71" s="1159" t="e">
        <f t="shared" si="35"/>
        <v>#DIV/0!</v>
      </c>
      <c r="CCG71" s="1159" t="e">
        <f t="shared" si="35"/>
        <v>#DIV/0!</v>
      </c>
      <c r="CCH71" s="1159" t="e">
        <f t="shared" si="35"/>
        <v>#DIV/0!</v>
      </c>
      <c r="CCI71" s="1159" t="e">
        <f t="shared" si="35"/>
        <v>#DIV/0!</v>
      </c>
      <c r="CCJ71" s="1159" t="e">
        <f t="shared" si="35"/>
        <v>#DIV/0!</v>
      </c>
      <c r="CCK71" s="1159" t="e">
        <f t="shared" si="35"/>
        <v>#DIV/0!</v>
      </c>
      <c r="CCL71" s="1159" t="e">
        <f t="shared" ref="CCL71:CEW71" si="36">((CCL6+CCL12+CCL13+CCL14+CCL15)*860+CCL16*CCL55+CCL17*CCL56+CCL7*CCL49+CCL8*CCL50+CCL9*CCL51+CCL10*CCL52+CCL11*CCL53)/(SUM(CCL6:CCL17))</f>
        <v>#DIV/0!</v>
      </c>
      <c r="CCM71" s="1159" t="e">
        <f t="shared" si="36"/>
        <v>#DIV/0!</v>
      </c>
      <c r="CCN71" s="1159" t="e">
        <f t="shared" si="36"/>
        <v>#DIV/0!</v>
      </c>
      <c r="CCO71" s="1159" t="e">
        <f t="shared" si="36"/>
        <v>#DIV/0!</v>
      </c>
      <c r="CCP71" s="1159" t="e">
        <f t="shared" si="36"/>
        <v>#DIV/0!</v>
      </c>
      <c r="CCQ71" s="1159" t="e">
        <f t="shared" si="36"/>
        <v>#DIV/0!</v>
      </c>
      <c r="CCR71" s="1159" t="e">
        <f t="shared" si="36"/>
        <v>#DIV/0!</v>
      </c>
      <c r="CCS71" s="1159" t="e">
        <f t="shared" si="36"/>
        <v>#DIV/0!</v>
      </c>
      <c r="CCT71" s="1159" t="e">
        <f t="shared" si="36"/>
        <v>#DIV/0!</v>
      </c>
      <c r="CCU71" s="1159" t="e">
        <f t="shared" si="36"/>
        <v>#DIV/0!</v>
      </c>
      <c r="CCV71" s="1159" t="e">
        <f t="shared" si="36"/>
        <v>#DIV/0!</v>
      </c>
      <c r="CCW71" s="1159" t="e">
        <f t="shared" si="36"/>
        <v>#DIV/0!</v>
      </c>
      <c r="CCX71" s="1159" t="e">
        <f t="shared" si="36"/>
        <v>#DIV/0!</v>
      </c>
      <c r="CCY71" s="1159" t="e">
        <f t="shared" si="36"/>
        <v>#DIV/0!</v>
      </c>
      <c r="CCZ71" s="1159" t="e">
        <f t="shared" si="36"/>
        <v>#DIV/0!</v>
      </c>
      <c r="CDA71" s="1159" t="e">
        <f t="shared" si="36"/>
        <v>#DIV/0!</v>
      </c>
      <c r="CDB71" s="1159" t="e">
        <f t="shared" si="36"/>
        <v>#DIV/0!</v>
      </c>
      <c r="CDC71" s="1159" t="e">
        <f t="shared" si="36"/>
        <v>#DIV/0!</v>
      </c>
      <c r="CDD71" s="1159" t="e">
        <f t="shared" si="36"/>
        <v>#DIV/0!</v>
      </c>
      <c r="CDE71" s="1159" t="e">
        <f t="shared" si="36"/>
        <v>#DIV/0!</v>
      </c>
      <c r="CDF71" s="1159" t="e">
        <f t="shared" si="36"/>
        <v>#DIV/0!</v>
      </c>
      <c r="CDG71" s="1159" t="e">
        <f t="shared" si="36"/>
        <v>#DIV/0!</v>
      </c>
      <c r="CDH71" s="1159" t="e">
        <f t="shared" si="36"/>
        <v>#DIV/0!</v>
      </c>
      <c r="CDI71" s="1159" t="e">
        <f t="shared" si="36"/>
        <v>#DIV/0!</v>
      </c>
      <c r="CDJ71" s="1159" t="e">
        <f t="shared" si="36"/>
        <v>#DIV/0!</v>
      </c>
      <c r="CDK71" s="1159" t="e">
        <f t="shared" si="36"/>
        <v>#DIV/0!</v>
      </c>
      <c r="CDL71" s="1159" t="e">
        <f t="shared" si="36"/>
        <v>#DIV/0!</v>
      </c>
      <c r="CDM71" s="1159" t="e">
        <f t="shared" si="36"/>
        <v>#DIV/0!</v>
      </c>
      <c r="CDN71" s="1159" t="e">
        <f t="shared" si="36"/>
        <v>#DIV/0!</v>
      </c>
      <c r="CDO71" s="1159" t="e">
        <f t="shared" si="36"/>
        <v>#DIV/0!</v>
      </c>
      <c r="CDP71" s="1159" t="e">
        <f t="shared" si="36"/>
        <v>#DIV/0!</v>
      </c>
      <c r="CDQ71" s="1159" t="e">
        <f t="shared" si="36"/>
        <v>#DIV/0!</v>
      </c>
      <c r="CDR71" s="1159" t="e">
        <f t="shared" si="36"/>
        <v>#DIV/0!</v>
      </c>
      <c r="CDS71" s="1159" t="e">
        <f t="shared" si="36"/>
        <v>#DIV/0!</v>
      </c>
      <c r="CDT71" s="1159" t="e">
        <f t="shared" si="36"/>
        <v>#DIV/0!</v>
      </c>
      <c r="CDU71" s="1159" t="e">
        <f t="shared" si="36"/>
        <v>#DIV/0!</v>
      </c>
      <c r="CDV71" s="1159" t="e">
        <f t="shared" si="36"/>
        <v>#DIV/0!</v>
      </c>
      <c r="CDW71" s="1159" t="e">
        <f t="shared" si="36"/>
        <v>#DIV/0!</v>
      </c>
      <c r="CDX71" s="1159" t="e">
        <f t="shared" si="36"/>
        <v>#DIV/0!</v>
      </c>
      <c r="CDY71" s="1159" t="e">
        <f t="shared" si="36"/>
        <v>#DIV/0!</v>
      </c>
      <c r="CDZ71" s="1159" t="e">
        <f t="shared" si="36"/>
        <v>#DIV/0!</v>
      </c>
      <c r="CEA71" s="1159" t="e">
        <f t="shared" si="36"/>
        <v>#DIV/0!</v>
      </c>
      <c r="CEB71" s="1159" t="e">
        <f t="shared" si="36"/>
        <v>#DIV/0!</v>
      </c>
      <c r="CEC71" s="1159" t="e">
        <f t="shared" si="36"/>
        <v>#DIV/0!</v>
      </c>
      <c r="CED71" s="1159" t="e">
        <f t="shared" si="36"/>
        <v>#DIV/0!</v>
      </c>
      <c r="CEE71" s="1159" t="e">
        <f t="shared" si="36"/>
        <v>#DIV/0!</v>
      </c>
      <c r="CEF71" s="1159" t="e">
        <f t="shared" si="36"/>
        <v>#DIV/0!</v>
      </c>
      <c r="CEG71" s="1159" t="e">
        <f t="shared" si="36"/>
        <v>#DIV/0!</v>
      </c>
      <c r="CEH71" s="1159" t="e">
        <f t="shared" si="36"/>
        <v>#DIV/0!</v>
      </c>
      <c r="CEI71" s="1159" t="e">
        <f t="shared" si="36"/>
        <v>#DIV/0!</v>
      </c>
      <c r="CEJ71" s="1159" t="e">
        <f t="shared" si="36"/>
        <v>#DIV/0!</v>
      </c>
      <c r="CEK71" s="1159" t="e">
        <f t="shared" si="36"/>
        <v>#DIV/0!</v>
      </c>
      <c r="CEL71" s="1159" t="e">
        <f t="shared" si="36"/>
        <v>#DIV/0!</v>
      </c>
      <c r="CEM71" s="1159" t="e">
        <f t="shared" si="36"/>
        <v>#DIV/0!</v>
      </c>
      <c r="CEN71" s="1159" t="e">
        <f t="shared" si="36"/>
        <v>#DIV/0!</v>
      </c>
      <c r="CEO71" s="1159" t="e">
        <f t="shared" si="36"/>
        <v>#DIV/0!</v>
      </c>
      <c r="CEP71" s="1159" t="e">
        <f t="shared" si="36"/>
        <v>#DIV/0!</v>
      </c>
      <c r="CEQ71" s="1159" t="e">
        <f t="shared" si="36"/>
        <v>#DIV/0!</v>
      </c>
      <c r="CER71" s="1159" t="e">
        <f t="shared" si="36"/>
        <v>#DIV/0!</v>
      </c>
      <c r="CES71" s="1159" t="e">
        <f t="shared" si="36"/>
        <v>#DIV/0!</v>
      </c>
      <c r="CET71" s="1159" t="e">
        <f t="shared" si="36"/>
        <v>#DIV/0!</v>
      </c>
      <c r="CEU71" s="1159" t="e">
        <f t="shared" si="36"/>
        <v>#DIV/0!</v>
      </c>
      <c r="CEV71" s="1159" t="e">
        <f t="shared" si="36"/>
        <v>#DIV/0!</v>
      </c>
      <c r="CEW71" s="1159" t="e">
        <f t="shared" si="36"/>
        <v>#DIV/0!</v>
      </c>
      <c r="CEX71" s="1159" t="e">
        <f t="shared" ref="CEX71:CHI71" si="37">((CEX6+CEX12+CEX13+CEX14+CEX15)*860+CEX16*CEX55+CEX17*CEX56+CEX7*CEX49+CEX8*CEX50+CEX9*CEX51+CEX10*CEX52+CEX11*CEX53)/(SUM(CEX6:CEX17))</f>
        <v>#DIV/0!</v>
      </c>
      <c r="CEY71" s="1159" t="e">
        <f t="shared" si="37"/>
        <v>#DIV/0!</v>
      </c>
      <c r="CEZ71" s="1159" t="e">
        <f t="shared" si="37"/>
        <v>#DIV/0!</v>
      </c>
      <c r="CFA71" s="1159" t="e">
        <f t="shared" si="37"/>
        <v>#DIV/0!</v>
      </c>
      <c r="CFB71" s="1159" t="e">
        <f t="shared" si="37"/>
        <v>#DIV/0!</v>
      </c>
      <c r="CFC71" s="1159" t="e">
        <f t="shared" si="37"/>
        <v>#DIV/0!</v>
      </c>
      <c r="CFD71" s="1159" t="e">
        <f t="shared" si="37"/>
        <v>#DIV/0!</v>
      </c>
      <c r="CFE71" s="1159" t="e">
        <f t="shared" si="37"/>
        <v>#DIV/0!</v>
      </c>
      <c r="CFF71" s="1159" t="e">
        <f t="shared" si="37"/>
        <v>#DIV/0!</v>
      </c>
      <c r="CFG71" s="1159" t="e">
        <f t="shared" si="37"/>
        <v>#DIV/0!</v>
      </c>
      <c r="CFH71" s="1159" t="e">
        <f t="shared" si="37"/>
        <v>#DIV/0!</v>
      </c>
      <c r="CFI71" s="1159" t="e">
        <f t="shared" si="37"/>
        <v>#DIV/0!</v>
      </c>
      <c r="CFJ71" s="1159" t="e">
        <f t="shared" si="37"/>
        <v>#DIV/0!</v>
      </c>
      <c r="CFK71" s="1159" t="e">
        <f t="shared" si="37"/>
        <v>#DIV/0!</v>
      </c>
      <c r="CFL71" s="1159" t="e">
        <f t="shared" si="37"/>
        <v>#DIV/0!</v>
      </c>
      <c r="CFM71" s="1159" t="e">
        <f t="shared" si="37"/>
        <v>#DIV/0!</v>
      </c>
      <c r="CFN71" s="1159" t="e">
        <f t="shared" si="37"/>
        <v>#DIV/0!</v>
      </c>
      <c r="CFO71" s="1159" t="e">
        <f t="shared" si="37"/>
        <v>#DIV/0!</v>
      </c>
      <c r="CFP71" s="1159" t="e">
        <f t="shared" si="37"/>
        <v>#DIV/0!</v>
      </c>
      <c r="CFQ71" s="1159" t="e">
        <f t="shared" si="37"/>
        <v>#DIV/0!</v>
      </c>
      <c r="CFR71" s="1159" t="e">
        <f t="shared" si="37"/>
        <v>#DIV/0!</v>
      </c>
      <c r="CFS71" s="1159" t="e">
        <f t="shared" si="37"/>
        <v>#DIV/0!</v>
      </c>
      <c r="CFT71" s="1159" t="e">
        <f t="shared" si="37"/>
        <v>#DIV/0!</v>
      </c>
      <c r="CFU71" s="1159" t="e">
        <f t="shared" si="37"/>
        <v>#DIV/0!</v>
      </c>
      <c r="CFV71" s="1159" t="e">
        <f t="shared" si="37"/>
        <v>#DIV/0!</v>
      </c>
      <c r="CFW71" s="1159" t="e">
        <f t="shared" si="37"/>
        <v>#DIV/0!</v>
      </c>
      <c r="CFX71" s="1159" t="e">
        <f t="shared" si="37"/>
        <v>#DIV/0!</v>
      </c>
      <c r="CFY71" s="1159" t="e">
        <f t="shared" si="37"/>
        <v>#DIV/0!</v>
      </c>
      <c r="CFZ71" s="1159" t="e">
        <f t="shared" si="37"/>
        <v>#DIV/0!</v>
      </c>
      <c r="CGA71" s="1159" t="e">
        <f t="shared" si="37"/>
        <v>#DIV/0!</v>
      </c>
      <c r="CGB71" s="1159" t="e">
        <f t="shared" si="37"/>
        <v>#DIV/0!</v>
      </c>
      <c r="CGC71" s="1159" t="e">
        <f t="shared" si="37"/>
        <v>#DIV/0!</v>
      </c>
      <c r="CGD71" s="1159" t="e">
        <f t="shared" si="37"/>
        <v>#DIV/0!</v>
      </c>
      <c r="CGE71" s="1159" t="e">
        <f t="shared" si="37"/>
        <v>#DIV/0!</v>
      </c>
      <c r="CGF71" s="1159" t="e">
        <f t="shared" si="37"/>
        <v>#DIV/0!</v>
      </c>
      <c r="CGG71" s="1159" t="e">
        <f t="shared" si="37"/>
        <v>#DIV/0!</v>
      </c>
      <c r="CGH71" s="1159" t="e">
        <f t="shared" si="37"/>
        <v>#DIV/0!</v>
      </c>
      <c r="CGI71" s="1159" t="e">
        <f t="shared" si="37"/>
        <v>#DIV/0!</v>
      </c>
      <c r="CGJ71" s="1159" t="e">
        <f t="shared" si="37"/>
        <v>#DIV/0!</v>
      </c>
      <c r="CGK71" s="1159" t="e">
        <f t="shared" si="37"/>
        <v>#DIV/0!</v>
      </c>
      <c r="CGL71" s="1159" t="e">
        <f t="shared" si="37"/>
        <v>#DIV/0!</v>
      </c>
      <c r="CGM71" s="1159" t="e">
        <f t="shared" si="37"/>
        <v>#DIV/0!</v>
      </c>
      <c r="CGN71" s="1159" t="e">
        <f t="shared" si="37"/>
        <v>#DIV/0!</v>
      </c>
      <c r="CGO71" s="1159" t="e">
        <f t="shared" si="37"/>
        <v>#DIV/0!</v>
      </c>
      <c r="CGP71" s="1159" t="e">
        <f t="shared" si="37"/>
        <v>#DIV/0!</v>
      </c>
      <c r="CGQ71" s="1159" t="e">
        <f t="shared" si="37"/>
        <v>#DIV/0!</v>
      </c>
      <c r="CGR71" s="1159" t="e">
        <f t="shared" si="37"/>
        <v>#DIV/0!</v>
      </c>
      <c r="CGS71" s="1159" t="e">
        <f t="shared" si="37"/>
        <v>#DIV/0!</v>
      </c>
      <c r="CGT71" s="1159" t="e">
        <f t="shared" si="37"/>
        <v>#DIV/0!</v>
      </c>
      <c r="CGU71" s="1159" t="e">
        <f t="shared" si="37"/>
        <v>#DIV/0!</v>
      </c>
      <c r="CGV71" s="1159" t="e">
        <f t="shared" si="37"/>
        <v>#DIV/0!</v>
      </c>
      <c r="CGW71" s="1159" t="e">
        <f t="shared" si="37"/>
        <v>#DIV/0!</v>
      </c>
      <c r="CGX71" s="1159" t="e">
        <f t="shared" si="37"/>
        <v>#DIV/0!</v>
      </c>
      <c r="CGY71" s="1159" t="e">
        <f t="shared" si="37"/>
        <v>#DIV/0!</v>
      </c>
      <c r="CGZ71" s="1159" t="e">
        <f t="shared" si="37"/>
        <v>#DIV/0!</v>
      </c>
      <c r="CHA71" s="1159" t="e">
        <f t="shared" si="37"/>
        <v>#DIV/0!</v>
      </c>
      <c r="CHB71" s="1159" t="e">
        <f t="shared" si="37"/>
        <v>#DIV/0!</v>
      </c>
      <c r="CHC71" s="1159" t="e">
        <f t="shared" si="37"/>
        <v>#DIV/0!</v>
      </c>
      <c r="CHD71" s="1159" t="e">
        <f t="shared" si="37"/>
        <v>#DIV/0!</v>
      </c>
      <c r="CHE71" s="1159" t="e">
        <f t="shared" si="37"/>
        <v>#DIV/0!</v>
      </c>
      <c r="CHF71" s="1159" t="e">
        <f t="shared" si="37"/>
        <v>#DIV/0!</v>
      </c>
      <c r="CHG71" s="1159" t="e">
        <f t="shared" si="37"/>
        <v>#DIV/0!</v>
      </c>
      <c r="CHH71" s="1159" t="e">
        <f t="shared" si="37"/>
        <v>#DIV/0!</v>
      </c>
      <c r="CHI71" s="1159" t="e">
        <f t="shared" si="37"/>
        <v>#DIV/0!</v>
      </c>
      <c r="CHJ71" s="1159" t="e">
        <f t="shared" ref="CHJ71:CJU71" si="38">((CHJ6+CHJ12+CHJ13+CHJ14+CHJ15)*860+CHJ16*CHJ55+CHJ17*CHJ56+CHJ7*CHJ49+CHJ8*CHJ50+CHJ9*CHJ51+CHJ10*CHJ52+CHJ11*CHJ53)/(SUM(CHJ6:CHJ17))</f>
        <v>#DIV/0!</v>
      </c>
      <c r="CHK71" s="1159" t="e">
        <f t="shared" si="38"/>
        <v>#DIV/0!</v>
      </c>
      <c r="CHL71" s="1159" t="e">
        <f t="shared" si="38"/>
        <v>#DIV/0!</v>
      </c>
      <c r="CHM71" s="1159" t="e">
        <f t="shared" si="38"/>
        <v>#DIV/0!</v>
      </c>
      <c r="CHN71" s="1159" t="e">
        <f t="shared" si="38"/>
        <v>#DIV/0!</v>
      </c>
      <c r="CHO71" s="1159" t="e">
        <f t="shared" si="38"/>
        <v>#DIV/0!</v>
      </c>
      <c r="CHP71" s="1159" t="e">
        <f t="shared" si="38"/>
        <v>#DIV/0!</v>
      </c>
      <c r="CHQ71" s="1159" t="e">
        <f t="shared" si="38"/>
        <v>#DIV/0!</v>
      </c>
      <c r="CHR71" s="1159" t="e">
        <f t="shared" si="38"/>
        <v>#DIV/0!</v>
      </c>
      <c r="CHS71" s="1159" t="e">
        <f t="shared" si="38"/>
        <v>#DIV/0!</v>
      </c>
      <c r="CHT71" s="1159" t="e">
        <f t="shared" si="38"/>
        <v>#DIV/0!</v>
      </c>
      <c r="CHU71" s="1159" t="e">
        <f t="shared" si="38"/>
        <v>#DIV/0!</v>
      </c>
      <c r="CHV71" s="1159" t="e">
        <f t="shared" si="38"/>
        <v>#DIV/0!</v>
      </c>
      <c r="CHW71" s="1159" t="e">
        <f t="shared" si="38"/>
        <v>#DIV/0!</v>
      </c>
      <c r="CHX71" s="1159" t="e">
        <f t="shared" si="38"/>
        <v>#DIV/0!</v>
      </c>
      <c r="CHY71" s="1159" t="e">
        <f t="shared" si="38"/>
        <v>#DIV/0!</v>
      </c>
      <c r="CHZ71" s="1159" t="e">
        <f t="shared" si="38"/>
        <v>#DIV/0!</v>
      </c>
      <c r="CIA71" s="1159" t="e">
        <f t="shared" si="38"/>
        <v>#DIV/0!</v>
      </c>
      <c r="CIB71" s="1159" t="e">
        <f t="shared" si="38"/>
        <v>#DIV/0!</v>
      </c>
      <c r="CIC71" s="1159" t="e">
        <f t="shared" si="38"/>
        <v>#DIV/0!</v>
      </c>
      <c r="CID71" s="1159" t="e">
        <f t="shared" si="38"/>
        <v>#DIV/0!</v>
      </c>
      <c r="CIE71" s="1159" t="e">
        <f t="shared" si="38"/>
        <v>#DIV/0!</v>
      </c>
      <c r="CIF71" s="1159" t="e">
        <f t="shared" si="38"/>
        <v>#DIV/0!</v>
      </c>
      <c r="CIG71" s="1159" t="e">
        <f t="shared" si="38"/>
        <v>#DIV/0!</v>
      </c>
      <c r="CIH71" s="1159" t="e">
        <f t="shared" si="38"/>
        <v>#DIV/0!</v>
      </c>
      <c r="CII71" s="1159" t="e">
        <f t="shared" si="38"/>
        <v>#DIV/0!</v>
      </c>
      <c r="CIJ71" s="1159" t="e">
        <f t="shared" si="38"/>
        <v>#DIV/0!</v>
      </c>
      <c r="CIK71" s="1159" t="e">
        <f t="shared" si="38"/>
        <v>#DIV/0!</v>
      </c>
      <c r="CIL71" s="1159" t="e">
        <f t="shared" si="38"/>
        <v>#DIV/0!</v>
      </c>
      <c r="CIM71" s="1159" t="e">
        <f t="shared" si="38"/>
        <v>#DIV/0!</v>
      </c>
      <c r="CIN71" s="1159" t="e">
        <f t="shared" si="38"/>
        <v>#DIV/0!</v>
      </c>
      <c r="CIO71" s="1159" t="e">
        <f t="shared" si="38"/>
        <v>#DIV/0!</v>
      </c>
      <c r="CIP71" s="1159" t="e">
        <f t="shared" si="38"/>
        <v>#DIV/0!</v>
      </c>
      <c r="CIQ71" s="1159" t="e">
        <f t="shared" si="38"/>
        <v>#DIV/0!</v>
      </c>
      <c r="CIR71" s="1159" t="e">
        <f t="shared" si="38"/>
        <v>#DIV/0!</v>
      </c>
      <c r="CIS71" s="1159" t="e">
        <f t="shared" si="38"/>
        <v>#DIV/0!</v>
      </c>
      <c r="CIT71" s="1159" t="e">
        <f t="shared" si="38"/>
        <v>#DIV/0!</v>
      </c>
      <c r="CIU71" s="1159" t="e">
        <f t="shared" si="38"/>
        <v>#DIV/0!</v>
      </c>
      <c r="CIV71" s="1159" t="e">
        <f t="shared" si="38"/>
        <v>#DIV/0!</v>
      </c>
      <c r="CIW71" s="1159" t="e">
        <f t="shared" si="38"/>
        <v>#DIV/0!</v>
      </c>
      <c r="CIX71" s="1159" t="e">
        <f t="shared" si="38"/>
        <v>#DIV/0!</v>
      </c>
      <c r="CIY71" s="1159" t="e">
        <f t="shared" si="38"/>
        <v>#DIV/0!</v>
      </c>
      <c r="CIZ71" s="1159" t="e">
        <f t="shared" si="38"/>
        <v>#DIV/0!</v>
      </c>
      <c r="CJA71" s="1159" t="e">
        <f t="shared" si="38"/>
        <v>#DIV/0!</v>
      </c>
      <c r="CJB71" s="1159" t="e">
        <f t="shared" si="38"/>
        <v>#DIV/0!</v>
      </c>
      <c r="CJC71" s="1159" t="e">
        <f t="shared" si="38"/>
        <v>#DIV/0!</v>
      </c>
      <c r="CJD71" s="1159" t="e">
        <f t="shared" si="38"/>
        <v>#DIV/0!</v>
      </c>
      <c r="CJE71" s="1159" t="e">
        <f t="shared" si="38"/>
        <v>#DIV/0!</v>
      </c>
      <c r="CJF71" s="1159" t="e">
        <f t="shared" si="38"/>
        <v>#DIV/0!</v>
      </c>
      <c r="CJG71" s="1159" t="e">
        <f t="shared" si="38"/>
        <v>#DIV/0!</v>
      </c>
      <c r="CJH71" s="1159" t="e">
        <f t="shared" si="38"/>
        <v>#DIV/0!</v>
      </c>
      <c r="CJI71" s="1159" t="e">
        <f t="shared" si="38"/>
        <v>#DIV/0!</v>
      </c>
      <c r="CJJ71" s="1159" t="e">
        <f t="shared" si="38"/>
        <v>#DIV/0!</v>
      </c>
      <c r="CJK71" s="1159" t="e">
        <f t="shared" si="38"/>
        <v>#DIV/0!</v>
      </c>
      <c r="CJL71" s="1159" t="e">
        <f t="shared" si="38"/>
        <v>#DIV/0!</v>
      </c>
      <c r="CJM71" s="1159" t="e">
        <f t="shared" si="38"/>
        <v>#DIV/0!</v>
      </c>
      <c r="CJN71" s="1159" t="e">
        <f t="shared" si="38"/>
        <v>#DIV/0!</v>
      </c>
      <c r="CJO71" s="1159" t="e">
        <f t="shared" si="38"/>
        <v>#DIV/0!</v>
      </c>
      <c r="CJP71" s="1159" t="e">
        <f t="shared" si="38"/>
        <v>#DIV/0!</v>
      </c>
      <c r="CJQ71" s="1159" t="e">
        <f t="shared" si="38"/>
        <v>#DIV/0!</v>
      </c>
      <c r="CJR71" s="1159" t="e">
        <f t="shared" si="38"/>
        <v>#DIV/0!</v>
      </c>
      <c r="CJS71" s="1159" t="e">
        <f t="shared" si="38"/>
        <v>#DIV/0!</v>
      </c>
      <c r="CJT71" s="1159" t="e">
        <f t="shared" si="38"/>
        <v>#DIV/0!</v>
      </c>
      <c r="CJU71" s="1159" t="e">
        <f t="shared" si="38"/>
        <v>#DIV/0!</v>
      </c>
      <c r="CJV71" s="1159" t="e">
        <f t="shared" ref="CJV71:CMG71" si="39">((CJV6+CJV12+CJV13+CJV14+CJV15)*860+CJV16*CJV55+CJV17*CJV56+CJV7*CJV49+CJV8*CJV50+CJV9*CJV51+CJV10*CJV52+CJV11*CJV53)/(SUM(CJV6:CJV17))</f>
        <v>#DIV/0!</v>
      </c>
      <c r="CJW71" s="1159" t="e">
        <f t="shared" si="39"/>
        <v>#DIV/0!</v>
      </c>
      <c r="CJX71" s="1159" t="e">
        <f t="shared" si="39"/>
        <v>#DIV/0!</v>
      </c>
      <c r="CJY71" s="1159" t="e">
        <f t="shared" si="39"/>
        <v>#DIV/0!</v>
      </c>
      <c r="CJZ71" s="1159" t="e">
        <f t="shared" si="39"/>
        <v>#DIV/0!</v>
      </c>
      <c r="CKA71" s="1159" t="e">
        <f t="shared" si="39"/>
        <v>#DIV/0!</v>
      </c>
      <c r="CKB71" s="1159" t="e">
        <f t="shared" si="39"/>
        <v>#DIV/0!</v>
      </c>
      <c r="CKC71" s="1159" t="e">
        <f t="shared" si="39"/>
        <v>#DIV/0!</v>
      </c>
      <c r="CKD71" s="1159" t="e">
        <f t="shared" si="39"/>
        <v>#DIV/0!</v>
      </c>
      <c r="CKE71" s="1159" t="e">
        <f t="shared" si="39"/>
        <v>#DIV/0!</v>
      </c>
      <c r="CKF71" s="1159" t="e">
        <f t="shared" si="39"/>
        <v>#DIV/0!</v>
      </c>
      <c r="CKG71" s="1159" t="e">
        <f t="shared" si="39"/>
        <v>#DIV/0!</v>
      </c>
      <c r="CKH71" s="1159" t="e">
        <f t="shared" si="39"/>
        <v>#DIV/0!</v>
      </c>
      <c r="CKI71" s="1159" t="e">
        <f t="shared" si="39"/>
        <v>#DIV/0!</v>
      </c>
      <c r="CKJ71" s="1159" t="e">
        <f t="shared" si="39"/>
        <v>#DIV/0!</v>
      </c>
      <c r="CKK71" s="1159" t="e">
        <f t="shared" si="39"/>
        <v>#DIV/0!</v>
      </c>
      <c r="CKL71" s="1159" t="e">
        <f t="shared" si="39"/>
        <v>#DIV/0!</v>
      </c>
      <c r="CKM71" s="1159" t="e">
        <f t="shared" si="39"/>
        <v>#DIV/0!</v>
      </c>
      <c r="CKN71" s="1159" t="e">
        <f t="shared" si="39"/>
        <v>#DIV/0!</v>
      </c>
      <c r="CKO71" s="1159" t="e">
        <f t="shared" si="39"/>
        <v>#DIV/0!</v>
      </c>
      <c r="CKP71" s="1159" t="e">
        <f t="shared" si="39"/>
        <v>#DIV/0!</v>
      </c>
      <c r="CKQ71" s="1159" t="e">
        <f t="shared" si="39"/>
        <v>#DIV/0!</v>
      </c>
      <c r="CKR71" s="1159" t="e">
        <f t="shared" si="39"/>
        <v>#DIV/0!</v>
      </c>
      <c r="CKS71" s="1159" t="e">
        <f t="shared" si="39"/>
        <v>#DIV/0!</v>
      </c>
      <c r="CKT71" s="1159" t="e">
        <f t="shared" si="39"/>
        <v>#DIV/0!</v>
      </c>
      <c r="CKU71" s="1159" t="e">
        <f t="shared" si="39"/>
        <v>#DIV/0!</v>
      </c>
      <c r="CKV71" s="1159" t="e">
        <f t="shared" si="39"/>
        <v>#DIV/0!</v>
      </c>
      <c r="CKW71" s="1159" t="e">
        <f t="shared" si="39"/>
        <v>#DIV/0!</v>
      </c>
      <c r="CKX71" s="1159" t="e">
        <f t="shared" si="39"/>
        <v>#DIV/0!</v>
      </c>
      <c r="CKY71" s="1159" t="e">
        <f t="shared" si="39"/>
        <v>#DIV/0!</v>
      </c>
      <c r="CKZ71" s="1159" t="e">
        <f t="shared" si="39"/>
        <v>#DIV/0!</v>
      </c>
      <c r="CLA71" s="1159" t="e">
        <f t="shared" si="39"/>
        <v>#DIV/0!</v>
      </c>
      <c r="CLB71" s="1159" t="e">
        <f t="shared" si="39"/>
        <v>#DIV/0!</v>
      </c>
      <c r="CLC71" s="1159" t="e">
        <f t="shared" si="39"/>
        <v>#DIV/0!</v>
      </c>
      <c r="CLD71" s="1159" t="e">
        <f t="shared" si="39"/>
        <v>#DIV/0!</v>
      </c>
      <c r="CLE71" s="1159" t="e">
        <f t="shared" si="39"/>
        <v>#DIV/0!</v>
      </c>
      <c r="CLF71" s="1159" t="e">
        <f t="shared" si="39"/>
        <v>#DIV/0!</v>
      </c>
      <c r="CLG71" s="1159" t="e">
        <f t="shared" si="39"/>
        <v>#DIV/0!</v>
      </c>
      <c r="CLH71" s="1159" t="e">
        <f t="shared" si="39"/>
        <v>#DIV/0!</v>
      </c>
      <c r="CLI71" s="1159" t="e">
        <f t="shared" si="39"/>
        <v>#DIV/0!</v>
      </c>
      <c r="CLJ71" s="1159" t="e">
        <f t="shared" si="39"/>
        <v>#DIV/0!</v>
      </c>
      <c r="CLK71" s="1159" t="e">
        <f t="shared" si="39"/>
        <v>#DIV/0!</v>
      </c>
      <c r="CLL71" s="1159" t="e">
        <f t="shared" si="39"/>
        <v>#DIV/0!</v>
      </c>
      <c r="CLM71" s="1159" t="e">
        <f t="shared" si="39"/>
        <v>#DIV/0!</v>
      </c>
      <c r="CLN71" s="1159" t="e">
        <f t="shared" si="39"/>
        <v>#DIV/0!</v>
      </c>
      <c r="CLO71" s="1159" t="e">
        <f t="shared" si="39"/>
        <v>#DIV/0!</v>
      </c>
      <c r="CLP71" s="1159" t="e">
        <f t="shared" si="39"/>
        <v>#DIV/0!</v>
      </c>
      <c r="CLQ71" s="1159" t="e">
        <f t="shared" si="39"/>
        <v>#DIV/0!</v>
      </c>
      <c r="CLR71" s="1159" t="e">
        <f t="shared" si="39"/>
        <v>#DIV/0!</v>
      </c>
      <c r="CLS71" s="1159" t="e">
        <f t="shared" si="39"/>
        <v>#DIV/0!</v>
      </c>
      <c r="CLT71" s="1159" t="e">
        <f t="shared" si="39"/>
        <v>#DIV/0!</v>
      </c>
      <c r="CLU71" s="1159" t="e">
        <f t="shared" si="39"/>
        <v>#DIV/0!</v>
      </c>
      <c r="CLV71" s="1159" t="e">
        <f t="shared" si="39"/>
        <v>#DIV/0!</v>
      </c>
      <c r="CLW71" s="1159" t="e">
        <f t="shared" si="39"/>
        <v>#DIV/0!</v>
      </c>
      <c r="CLX71" s="1159" t="e">
        <f t="shared" si="39"/>
        <v>#DIV/0!</v>
      </c>
      <c r="CLY71" s="1159" t="e">
        <f t="shared" si="39"/>
        <v>#DIV/0!</v>
      </c>
      <c r="CLZ71" s="1159" t="e">
        <f t="shared" si="39"/>
        <v>#DIV/0!</v>
      </c>
      <c r="CMA71" s="1159" t="e">
        <f t="shared" si="39"/>
        <v>#DIV/0!</v>
      </c>
      <c r="CMB71" s="1159" t="e">
        <f t="shared" si="39"/>
        <v>#DIV/0!</v>
      </c>
      <c r="CMC71" s="1159" t="e">
        <f t="shared" si="39"/>
        <v>#DIV/0!</v>
      </c>
      <c r="CMD71" s="1159" t="e">
        <f t="shared" si="39"/>
        <v>#DIV/0!</v>
      </c>
      <c r="CME71" s="1159" t="e">
        <f t="shared" si="39"/>
        <v>#DIV/0!</v>
      </c>
      <c r="CMF71" s="1159" t="e">
        <f t="shared" si="39"/>
        <v>#DIV/0!</v>
      </c>
      <c r="CMG71" s="1159" t="e">
        <f t="shared" si="39"/>
        <v>#DIV/0!</v>
      </c>
      <c r="CMH71" s="1159" t="e">
        <f t="shared" ref="CMH71:COS71" si="40">((CMH6+CMH12+CMH13+CMH14+CMH15)*860+CMH16*CMH55+CMH17*CMH56+CMH7*CMH49+CMH8*CMH50+CMH9*CMH51+CMH10*CMH52+CMH11*CMH53)/(SUM(CMH6:CMH17))</f>
        <v>#DIV/0!</v>
      </c>
      <c r="CMI71" s="1159" t="e">
        <f t="shared" si="40"/>
        <v>#DIV/0!</v>
      </c>
      <c r="CMJ71" s="1159" t="e">
        <f t="shared" si="40"/>
        <v>#DIV/0!</v>
      </c>
      <c r="CMK71" s="1159" t="e">
        <f t="shared" si="40"/>
        <v>#DIV/0!</v>
      </c>
      <c r="CML71" s="1159" t="e">
        <f t="shared" si="40"/>
        <v>#DIV/0!</v>
      </c>
      <c r="CMM71" s="1159" t="e">
        <f t="shared" si="40"/>
        <v>#DIV/0!</v>
      </c>
      <c r="CMN71" s="1159" t="e">
        <f t="shared" si="40"/>
        <v>#DIV/0!</v>
      </c>
      <c r="CMO71" s="1159" t="e">
        <f t="shared" si="40"/>
        <v>#DIV/0!</v>
      </c>
      <c r="CMP71" s="1159" t="e">
        <f t="shared" si="40"/>
        <v>#DIV/0!</v>
      </c>
      <c r="CMQ71" s="1159" t="e">
        <f t="shared" si="40"/>
        <v>#DIV/0!</v>
      </c>
      <c r="CMR71" s="1159" t="e">
        <f t="shared" si="40"/>
        <v>#DIV/0!</v>
      </c>
      <c r="CMS71" s="1159" t="e">
        <f t="shared" si="40"/>
        <v>#DIV/0!</v>
      </c>
      <c r="CMT71" s="1159" t="e">
        <f t="shared" si="40"/>
        <v>#DIV/0!</v>
      </c>
      <c r="CMU71" s="1159" t="e">
        <f t="shared" si="40"/>
        <v>#DIV/0!</v>
      </c>
      <c r="CMV71" s="1159" t="e">
        <f t="shared" si="40"/>
        <v>#DIV/0!</v>
      </c>
      <c r="CMW71" s="1159" t="e">
        <f t="shared" si="40"/>
        <v>#DIV/0!</v>
      </c>
      <c r="CMX71" s="1159" t="e">
        <f t="shared" si="40"/>
        <v>#DIV/0!</v>
      </c>
      <c r="CMY71" s="1159" t="e">
        <f t="shared" si="40"/>
        <v>#DIV/0!</v>
      </c>
      <c r="CMZ71" s="1159" t="e">
        <f t="shared" si="40"/>
        <v>#DIV/0!</v>
      </c>
      <c r="CNA71" s="1159" t="e">
        <f t="shared" si="40"/>
        <v>#DIV/0!</v>
      </c>
      <c r="CNB71" s="1159" t="e">
        <f t="shared" si="40"/>
        <v>#DIV/0!</v>
      </c>
      <c r="CNC71" s="1159" t="e">
        <f t="shared" si="40"/>
        <v>#DIV/0!</v>
      </c>
      <c r="CND71" s="1159" t="e">
        <f t="shared" si="40"/>
        <v>#DIV/0!</v>
      </c>
      <c r="CNE71" s="1159" t="e">
        <f t="shared" si="40"/>
        <v>#DIV/0!</v>
      </c>
      <c r="CNF71" s="1159" t="e">
        <f t="shared" si="40"/>
        <v>#DIV/0!</v>
      </c>
      <c r="CNG71" s="1159" t="e">
        <f t="shared" si="40"/>
        <v>#DIV/0!</v>
      </c>
      <c r="CNH71" s="1159" t="e">
        <f t="shared" si="40"/>
        <v>#DIV/0!</v>
      </c>
      <c r="CNI71" s="1159" t="e">
        <f t="shared" si="40"/>
        <v>#DIV/0!</v>
      </c>
      <c r="CNJ71" s="1159" t="e">
        <f t="shared" si="40"/>
        <v>#DIV/0!</v>
      </c>
      <c r="CNK71" s="1159" t="e">
        <f t="shared" si="40"/>
        <v>#DIV/0!</v>
      </c>
      <c r="CNL71" s="1159" t="e">
        <f t="shared" si="40"/>
        <v>#DIV/0!</v>
      </c>
      <c r="CNM71" s="1159" t="e">
        <f t="shared" si="40"/>
        <v>#DIV/0!</v>
      </c>
      <c r="CNN71" s="1159" t="e">
        <f t="shared" si="40"/>
        <v>#DIV/0!</v>
      </c>
      <c r="CNO71" s="1159" t="e">
        <f t="shared" si="40"/>
        <v>#DIV/0!</v>
      </c>
      <c r="CNP71" s="1159" t="e">
        <f t="shared" si="40"/>
        <v>#DIV/0!</v>
      </c>
      <c r="CNQ71" s="1159" t="e">
        <f t="shared" si="40"/>
        <v>#DIV/0!</v>
      </c>
      <c r="CNR71" s="1159" t="e">
        <f t="shared" si="40"/>
        <v>#DIV/0!</v>
      </c>
      <c r="CNS71" s="1159" t="e">
        <f t="shared" si="40"/>
        <v>#DIV/0!</v>
      </c>
      <c r="CNT71" s="1159" t="e">
        <f t="shared" si="40"/>
        <v>#DIV/0!</v>
      </c>
      <c r="CNU71" s="1159" t="e">
        <f t="shared" si="40"/>
        <v>#DIV/0!</v>
      </c>
      <c r="CNV71" s="1159" t="e">
        <f t="shared" si="40"/>
        <v>#DIV/0!</v>
      </c>
      <c r="CNW71" s="1159" t="e">
        <f t="shared" si="40"/>
        <v>#DIV/0!</v>
      </c>
      <c r="CNX71" s="1159" t="e">
        <f t="shared" si="40"/>
        <v>#DIV/0!</v>
      </c>
      <c r="CNY71" s="1159" t="e">
        <f t="shared" si="40"/>
        <v>#DIV/0!</v>
      </c>
      <c r="CNZ71" s="1159" t="e">
        <f t="shared" si="40"/>
        <v>#DIV/0!</v>
      </c>
      <c r="COA71" s="1159" t="e">
        <f t="shared" si="40"/>
        <v>#DIV/0!</v>
      </c>
      <c r="COB71" s="1159" t="e">
        <f t="shared" si="40"/>
        <v>#DIV/0!</v>
      </c>
      <c r="COC71" s="1159" t="e">
        <f t="shared" si="40"/>
        <v>#DIV/0!</v>
      </c>
      <c r="COD71" s="1159" t="e">
        <f t="shared" si="40"/>
        <v>#DIV/0!</v>
      </c>
      <c r="COE71" s="1159" t="e">
        <f t="shared" si="40"/>
        <v>#DIV/0!</v>
      </c>
      <c r="COF71" s="1159" t="e">
        <f t="shared" si="40"/>
        <v>#DIV/0!</v>
      </c>
      <c r="COG71" s="1159" t="e">
        <f t="shared" si="40"/>
        <v>#DIV/0!</v>
      </c>
      <c r="COH71" s="1159" t="e">
        <f t="shared" si="40"/>
        <v>#DIV/0!</v>
      </c>
      <c r="COI71" s="1159" t="e">
        <f t="shared" si="40"/>
        <v>#DIV/0!</v>
      </c>
      <c r="COJ71" s="1159" t="e">
        <f t="shared" si="40"/>
        <v>#DIV/0!</v>
      </c>
      <c r="COK71" s="1159" t="e">
        <f t="shared" si="40"/>
        <v>#DIV/0!</v>
      </c>
      <c r="COL71" s="1159" t="e">
        <f t="shared" si="40"/>
        <v>#DIV/0!</v>
      </c>
      <c r="COM71" s="1159" t="e">
        <f t="shared" si="40"/>
        <v>#DIV/0!</v>
      </c>
      <c r="CON71" s="1159" t="e">
        <f t="shared" si="40"/>
        <v>#DIV/0!</v>
      </c>
      <c r="COO71" s="1159" t="e">
        <f t="shared" si="40"/>
        <v>#DIV/0!</v>
      </c>
      <c r="COP71" s="1159" t="e">
        <f t="shared" si="40"/>
        <v>#DIV/0!</v>
      </c>
      <c r="COQ71" s="1159" t="e">
        <f t="shared" si="40"/>
        <v>#DIV/0!</v>
      </c>
      <c r="COR71" s="1159" t="e">
        <f t="shared" si="40"/>
        <v>#DIV/0!</v>
      </c>
      <c r="COS71" s="1159" t="e">
        <f t="shared" si="40"/>
        <v>#DIV/0!</v>
      </c>
      <c r="COT71" s="1159" t="e">
        <f t="shared" ref="COT71:CRE71" si="41">((COT6+COT12+COT13+COT14+COT15)*860+COT16*COT55+COT17*COT56+COT7*COT49+COT8*COT50+COT9*COT51+COT10*COT52+COT11*COT53)/(SUM(COT6:COT17))</f>
        <v>#DIV/0!</v>
      </c>
      <c r="COU71" s="1159" t="e">
        <f t="shared" si="41"/>
        <v>#DIV/0!</v>
      </c>
      <c r="COV71" s="1159" t="e">
        <f t="shared" si="41"/>
        <v>#DIV/0!</v>
      </c>
      <c r="COW71" s="1159" t="e">
        <f t="shared" si="41"/>
        <v>#DIV/0!</v>
      </c>
      <c r="COX71" s="1159" t="e">
        <f t="shared" si="41"/>
        <v>#DIV/0!</v>
      </c>
      <c r="COY71" s="1159" t="e">
        <f t="shared" si="41"/>
        <v>#DIV/0!</v>
      </c>
      <c r="COZ71" s="1159" t="e">
        <f t="shared" si="41"/>
        <v>#DIV/0!</v>
      </c>
      <c r="CPA71" s="1159" t="e">
        <f t="shared" si="41"/>
        <v>#DIV/0!</v>
      </c>
      <c r="CPB71" s="1159" t="e">
        <f t="shared" si="41"/>
        <v>#DIV/0!</v>
      </c>
      <c r="CPC71" s="1159" t="e">
        <f t="shared" si="41"/>
        <v>#DIV/0!</v>
      </c>
      <c r="CPD71" s="1159" t="e">
        <f t="shared" si="41"/>
        <v>#DIV/0!</v>
      </c>
      <c r="CPE71" s="1159" t="e">
        <f t="shared" si="41"/>
        <v>#DIV/0!</v>
      </c>
      <c r="CPF71" s="1159" t="e">
        <f t="shared" si="41"/>
        <v>#DIV/0!</v>
      </c>
      <c r="CPG71" s="1159" t="e">
        <f t="shared" si="41"/>
        <v>#DIV/0!</v>
      </c>
      <c r="CPH71" s="1159" t="e">
        <f t="shared" si="41"/>
        <v>#DIV/0!</v>
      </c>
      <c r="CPI71" s="1159" t="e">
        <f t="shared" si="41"/>
        <v>#DIV/0!</v>
      </c>
      <c r="CPJ71" s="1159" t="e">
        <f t="shared" si="41"/>
        <v>#DIV/0!</v>
      </c>
      <c r="CPK71" s="1159" t="e">
        <f t="shared" si="41"/>
        <v>#DIV/0!</v>
      </c>
      <c r="CPL71" s="1159" t="e">
        <f t="shared" si="41"/>
        <v>#DIV/0!</v>
      </c>
      <c r="CPM71" s="1159" t="e">
        <f t="shared" si="41"/>
        <v>#DIV/0!</v>
      </c>
      <c r="CPN71" s="1159" t="e">
        <f t="shared" si="41"/>
        <v>#DIV/0!</v>
      </c>
      <c r="CPO71" s="1159" t="e">
        <f t="shared" si="41"/>
        <v>#DIV/0!</v>
      </c>
      <c r="CPP71" s="1159" t="e">
        <f t="shared" si="41"/>
        <v>#DIV/0!</v>
      </c>
      <c r="CPQ71" s="1159" t="e">
        <f t="shared" si="41"/>
        <v>#DIV/0!</v>
      </c>
      <c r="CPR71" s="1159" t="e">
        <f t="shared" si="41"/>
        <v>#DIV/0!</v>
      </c>
      <c r="CPS71" s="1159" t="e">
        <f t="shared" si="41"/>
        <v>#DIV/0!</v>
      </c>
      <c r="CPT71" s="1159" t="e">
        <f t="shared" si="41"/>
        <v>#DIV/0!</v>
      </c>
      <c r="CPU71" s="1159" t="e">
        <f t="shared" si="41"/>
        <v>#DIV/0!</v>
      </c>
      <c r="CPV71" s="1159" t="e">
        <f t="shared" si="41"/>
        <v>#DIV/0!</v>
      </c>
      <c r="CPW71" s="1159" t="e">
        <f t="shared" si="41"/>
        <v>#DIV/0!</v>
      </c>
      <c r="CPX71" s="1159" t="e">
        <f t="shared" si="41"/>
        <v>#DIV/0!</v>
      </c>
      <c r="CPY71" s="1159" t="e">
        <f t="shared" si="41"/>
        <v>#DIV/0!</v>
      </c>
      <c r="CPZ71" s="1159" t="e">
        <f t="shared" si="41"/>
        <v>#DIV/0!</v>
      </c>
      <c r="CQA71" s="1159" t="e">
        <f t="shared" si="41"/>
        <v>#DIV/0!</v>
      </c>
      <c r="CQB71" s="1159" t="e">
        <f t="shared" si="41"/>
        <v>#DIV/0!</v>
      </c>
      <c r="CQC71" s="1159" t="e">
        <f t="shared" si="41"/>
        <v>#DIV/0!</v>
      </c>
      <c r="CQD71" s="1159" t="e">
        <f t="shared" si="41"/>
        <v>#DIV/0!</v>
      </c>
      <c r="CQE71" s="1159" t="e">
        <f t="shared" si="41"/>
        <v>#DIV/0!</v>
      </c>
      <c r="CQF71" s="1159" t="e">
        <f t="shared" si="41"/>
        <v>#DIV/0!</v>
      </c>
      <c r="CQG71" s="1159" t="e">
        <f t="shared" si="41"/>
        <v>#DIV/0!</v>
      </c>
      <c r="CQH71" s="1159" t="e">
        <f t="shared" si="41"/>
        <v>#DIV/0!</v>
      </c>
      <c r="CQI71" s="1159" t="e">
        <f t="shared" si="41"/>
        <v>#DIV/0!</v>
      </c>
      <c r="CQJ71" s="1159" t="e">
        <f t="shared" si="41"/>
        <v>#DIV/0!</v>
      </c>
      <c r="CQK71" s="1159" t="e">
        <f t="shared" si="41"/>
        <v>#DIV/0!</v>
      </c>
      <c r="CQL71" s="1159" t="e">
        <f t="shared" si="41"/>
        <v>#DIV/0!</v>
      </c>
      <c r="CQM71" s="1159" t="e">
        <f t="shared" si="41"/>
        <v>#DIV/0!</v>
      </c>
      <c r="CQN71" s="1159" t="e">
        <f t="shared" si="41"/>
        <v>#DIV/0!</v>
      </c>
      <c r="CQO71" s="1159" t="e">
        <f t="shared" si="41"/>
        <v>#DIV/0!</v>
      </c>
      <c r="CQP71" s="1159" t="e">
        <f t="shared" si="41"/>
        <v>#DIV/0!</v>
      </c>
      <c r="CQQ71" s="1159" t="e">
        <f t="shared" si="41"/>
        <v>#DIV/0!</v>
      </c>
      <c r="CQR71" s="1159" t="e">
        <f t="shared" si="41"/>
        <v>#DIV/0!</v>
      </c>
      <c r="CQS71" s="1159" t="e">
        <f t="shared" si="41"/>
        <v>#DIV/0!</v>
      </c>
      <c r="CQT71" s="1159" t="e">
        <f t="shared" si="41"/>
        <v>#DIV/0!</v>
      </c>
      <c r="CQU71" s="1159" t="e">
        <f t="shared" si="41"/>
        <v>#DIV/0!</v>
      </c>
      <c r="CQV71" s="1159" t="e">
        <f t="shared" si="41"/>
        <v>#DIV/0!</v>
      </c>
      <c r="CQW71" s="1159" t="e">
        <f t="shared" si="41"/>
        <v>#DIV/0!</v>
      </c>
      <c r="CQX71" s="1159" t="e">
        <f t="shared" si="41"/>
        <v>#DIV/0!</v>
      </c>
      <c r="CQY71" s="1159" t="e">
        <f t="shared" si="41"/>
        <v>#DIV/0!</v>
      </c>
      <c r="CQZ71" s="1159" t="e">
        <f t="shared" si="41"/>
        <v>#DIV/0!</v>
      </c>
      <c r="CRA71" s="1159" t="e">
        <f t="shared" si="41"/>
        <v>#DIV/0!</v>
      </c>
      <c r="CRB71" s="1159" t="e">
        <f t="shared" si="41"/>
        <v>#DIV/0!</v>
      </c>
      <c r="CRC71" s="1159" t="e">
        <f t="shared" si="41"/>
        <v>#DIV/0!</v>
      </c>
      <c r="CRD71" s="1159" t="e">
        <f t="shared" si="41"/>
        <v>#DIV/0!</v>
      </c>
      <c r="CRE71" s="1159" t="e">
        <f t="shared" si="41"/>
        <v>#DIV/0!</v>
      </c>
      <c r="CRF71" s="1159" t="e">
        <f t="shared" ref="CRF71:CTQ71" si="42">((CRF6+CRF12+CRF13+CRF14+CRF15)*860+CRF16*CRF55+CRF17*CRF56+CRF7*CRF49+CRF8*CRF50+CRF9*CRF51+CRF10*CRF52+CRF11*CRF53)/(SUM(CRF6:CRF17))</f>
        <v>#DIV/0!</v>
      </c>
      <c r="CRG71" s="1159" t="e">
        <f t="shared" si="42"/>
        <v>#DIV/0!</v>
      </c>
      <c r="CRH71" s="1159" t="e">
        <f t="shared" si="42"/>
        <v>#DIV/0!</v>
      </c>
      <c r="CRI71" s="1159" t="e">
        <f t="shared" si="42"/>
        <v>#DIV/0!</v>
      </c>
      <c r="CRJ71" s="1159" t="e">
        <f t="shared" si="42"/>
        <v>#DIV/0!</v>
      </c>
      <c r="CRK71" s="1159" t="e">
        <f t="shared" si="42"/>
        <v>#DIV/0!</v>
      </c>
      <c r="CRL71" s="1159" t="e">
        <f t="shared" si="42"/>
        <v>#DIV/0!</v>
      </c>
      <c r="CRM71" s="1159" t="e">
        <f t="shared" si="42"/>
        <v>#DIV/0!</v>
      </c>
      <c r="CRN71" s="1159" t="e">
        <f t="shared" si="42"/>
        <v>#DIV/0!</v>
      </c>
      <c r="CRO71" s="1159" t="e">
        <f t="shared" si="42"/>
        <v>#DIV/0!</v>
      </c>
      <c r="CRP71" s="1159" t="e">
        <f t="shared" si="42"/>
        <v>#DIV/0!</v>
      </c>
      <c r="CRQ71" s="1159" t="e">
        <f t="shared" si="42"/>
        <v>#DIV/0!</v>
      </c>
      <c r="CRR71" s="1159" t="e">
        <f t="shared" si="42"/>
        <v>#DIV/0!</v>
      </c>
      <c r="CRS71" s="1159" t="e">
        <f t="shared" si="42"/>
        <v>#DIV/0!</v>
      </c>
      <c r="CRT71" s="1159" t="e">
        <f t="shared" si="42"/>
        <v>#DIV/0!</v>
      </c>
      <c r="CRU71" s="1159" t="e">
        <f t="shared" si="42"/>
        <v>#DIV/0!</v>
      </c>
      <c r="CRV71" s="1159" t="e">
        <f t="shared" si="42"/>
        <v>#DIV/0!</v>
      </c>
      <c r="CRW71" s="1159" t="e">
        <f t="shared" si="42"/>
        <v>#DIV/0!</v>
      </c>
      <c r="CRX71" s="1159" t="e">
        <f t="shared" si="42"/>
        <v>#DIV/0!</v>
      </c>
      <c r="CRY71" s="1159" t="e">
        <f t="shared" si="42"/>
        <v>#DIV/0!</v>
      </c>
      <c r="CRZ71" s="1159" t="e">
        <f t="shared" si="42"/>
        <v>#DIV/0!</v>
      </c>
      <c r="CSA71" s="1159" t="e">
        <f t="shared" si="42"/>
        <v>#DIV/0!</v>
      </c>
      <c r="CSB71" s="1159" t="e">
        <f t="shared" si="42"/>
        <v>#DIV/0!</v>
      </c>
      <c r="CSC71" s="1159" t="e">
        <f t="shared" si="42"/>
        <v>#DIV/0!</v>
      </c>
      <c r="CSD71" s="1159" t="e">
        <f t="shared" si="42"/>
        <v>#DIV/0!</v>
      </c>
      <c r="CSE71" s="1159" t="e">
        <f t="shared" si="42"/>
        <v>#DIV/0!</v>
      </c>
      <c r="CSF71" s="1159" t="e">
        <f t="shared" si="42"/>
        <v>#DIV/0!</v>
      </c>
      <c r="CSG71" s="1159" t="e">
        <f t="shared" si="42"/>
        <v>#DIV/0!</v>
      </c>
      <c r="CSH71" s="1159" t="e">
        <f t="shared" si="42"/>
        <v>#DIV/0!</v>
      </c>
      <c r="CSI71" s="1159" t="e">
        <f t="shared" si="42"/>
        <v>#DIV/0!</v>
      </c>
      <c r="CSJ71" s="1159" t="e">
        <f t="shared" si="42"/>
        <v>#DIV/0!</v>
      </c>
      <c r="CSK71" s="1159" t="e">
        <f t="shared" si="42"/>
        <v>#DIV/0!</v>
      </c>
      <c r="CSL71" s="1159" t="e">
        <f t="shared" si="42"/>
        <v>#DIV/0!</v>
      </c>
      <c r="CSM71" s="1159" t="e">
        <f t="shared" si="42"/>
        <v>#DIV/0!</v>
      </c>
      <c r="CSN71" s="1159" t="e">
        <f t="shared" si="42"/>
        <v>#DIV/0!</v>
      </c>
      <c r="CSO71" s="1159" t="e">
        <f t="shared" si="42"/>
        <v>#DIV/0!</v>
      </c>
      <c r="CSP71" s="1159" t="e">
        <f t="shared" si="42"/>
        <v>#DIV/0!</v>
      </c>
      <c r="CSQ71" s="1159" t="e">
        <f t="shared" si="42"/>
        <v>#DIV/0!</v>
      </c>
      <c r="CSR71" s="1159" t="e">
        <f t="shared" si="42"/>
        <v>#DIV/0!</v>
      </c>
      <c r="CSS71" s="1159" t="e">
        <f t="shared" si="42"/>
        <v>#DIV/0!</v>
      </c>
      <c r="CST71" s="1159" t="e">
        <f t="shared" si="42"/>
        <v>#DIV/0!</v>
      </c>
      <c r="CSU71" s="1159" t="e">
        <f t="shared" si="42"/>
        <v>#DIV/0!</v>
      </c>
      <c r="CSV71" s="1159" t="e">
        <f t="shared" si="42"/>
        <v>#DIV/0!</v>
      </c>
      <c r="CSW71" s="1159" t="e">
        <f t="shared" si="42"/>
        <v>#DIV/0!</v>
      </c>
      <c r="CSX71" s="1159" t="e">
        <f t="shared" si="42"/>
        <v>#DIV/0!</v>
      </c>
      <c r="CSY71" s="1159" t="e">
        <f t="shared" si="42"/>
        <v>#DIV/0!</v>
      </c>
      <c r="CSZ71" s="1159" t="e">
        <f t="shared" si="42"/>
        <v>#DIV/0!</v>
      </c>
      <c r="CTA71" s="1159" t="e">
        <f t="shared" si="42"/>
        <v>#DIV/0!</v>
      </c>
      <c r="CTB71" s="1159" t="e">
        <f t="shared" si="42"/>
        <v>#DIV/0!</v>
      </c>
      <c r="CTC71" s="1159" t="e">
        <f t="shared" si="42"/>
        <v>#DIV/0!</v>
      </c>
      <c r="CTD71" s="1159" t="e">
        <f t="shared" si="42"/>
        <v>#DIV/0!</v>
      </c>
      <c r="CTE71" s="1159" t="e">
        <f t="shared" si="42"/>
        <v>#DIV/0!</v>
      </c>
      <c r="CTF71" s="1159" t="e">
        <f t="shared" si="42"/>
        <v>#DIV/0!</v>
      </c>
      <c r="CTG71" s="1159" t="e">
        <f t="shared" si="42"/>
        <v>#DIV/0!</v>
      </c>
      <c r="CTH71" s="1159" t="e">
        <f t="shared" si="42"/>
        <v>#DIV/0!</v>
      </c>
      <c r="CTI71" s="1159" t="e">
        <f t="shared" si="42"/>
        <v>#DIV/0!</v>
      </c>
      <c r="CTJ71" s="1159" t="e">
        <f t="shared" si="42"/>
        <v>#DIV/0!</v>
      </c>
      <c r="CTK71" s="1159" t="e">
        <f t="shared" si="42"/>
        <v>#DIV/0!</v>
      </c>
      <c r="CTL71" s="1159" t="e">
        <f t="shared" si="42"/>
        <v>#DIV/0!</v>
      </c>
      <c r="CTM71" s="1159" t="e">
        <f t="shared" si="42"/>
        <v>#DIV/0!</v>
      </c>
      <c r="CTN71" s="1159" t="e">
        <f t="shared" si="42"/>
        <v>#DIV/0!</v>
      </c>
      <c r="CTO71" s="1159" t="e">
        <f t="shared" si="42"/>
        <v>#DIV/0!</v>
      </c>
      <c r="CTP71" s="1159" t="e">
        <f t="shared" si="42"/>
        <v>#DIV/0!</v>
      </c>
      <c r="CTQ71" s="1159" t="e">
        <f t="shared" si="42"/>
        <v>#DIV/0!</v>
      </c>
      <c r="CTR71" s="1159" t="e">
        <f t="shared" ref="CTR71:CWC71" si="43">((CTR6+CTR12+CTR13+CTR14+CTR15)*860+CTR16*CTR55+CTR17*CTR56+CTR7*CTR49+CTR8*CTR50+CTR9*CTR51+CTR10*CTR52+CTR11*CTR53)/(SUM(CTR6:CTR17))</f>
        <v>#DIV/0!</v>
      </c>
      <c r="CTS71" s="1159" t="e">
        <f t="shared" si="43"/>
        <v>#DIV/0!</v>
      </c>
      <c r="CTT71" s="1159" t="e">
        <f t="shared" si="43"/>
        <v>#DIV/0!</v>
      </c>
      <c r="CTU71" s="1159" t="e">
        <f t="shared" si="43"/>
        <v>#DIV/0!</v>
      </c>
      <c r="CTV71" s="1159" t="e">
        <f t="shared" si="43"/>
        <v>#DIV/0!</v>
      </c>
      <c r="CTW71" s="1159" t="e">
        <f t="shared" si="43"/>
        <v>#DIV/0!</v>
      </c>
      <c r="CTX71" s="1159" t="e">
        <f t="shared" si="43"/>
        <v>#DIV/0!</v>
      </c>
      <c r="CTY71" s="1159" t="e">
        <f t="shared" si="43"/>
        <v>#DIV/0!</v>
      </c>
      <c r="CTZ71" s="1159" t="e">
        <f t="shared" si="43"/>
        <v>#DIV/0!</v>
      </c>
      <c r="CUA71" s="1159" t="e">
        <f t="shared" si="43"/>
        <v>#DIV/0!</v>
      </c>
      <c r="CUB71" s="1159" t="e">
        <f t="shared" si="43"/>
        <v>#DIV/0!</v>
      </c>
      <c r="CUC71" s="1159" t="e">
        <f t="shared" si="43"/>
        <v>#DIV/0!</v>
      </c>
      <c r="CUD71" s="1159" t="e">
        <f t="shared" si="43"/>
        <v>#DIV/0!</v>
      </c>
      <c r="CUE71" s="1159" t="e">
        <f t="shared" si="43"/>
        <v>#DIV/0!</v>
      </c>
      <c r="CUF71" s="1159" t="e">
        <f t="shared" si="43"/>
        <v>#DIV/0!</v>
      </c>
      <c r="CUG71" s="1159" t="e">
        <f t="shared" si="43"/>
        <v>#DIV/0!</v>
      </c>
      <c r="CUH71" s="1159" t="e">
        <f t="shared" si="43"/>
        <v>#DIV/0!</v>
      </c>
      <c r="CUI71" s="1159" t="e">
        <f t="shared" si="43"/>
        <v>#DIV/0!</v>
      </c>
      <c r="CUJ71" s="1159" t="e">
        <f t="shared" si="43"/>
        <v>#DIV/0!</v>
      </c>
      <c r="CUK71" s="1159" t="e">
        <f t="shared" si="43"/>
        <v>#DIV/0!</v>
      </c>
      <c r="CUL71" s="1159" t="e">
        <f t="shared" si="43"/>
        <v>#DIV/0!</v>
      </c>
      <c r="CUM71" s="1159" t="e">
        <f t="shared" si="43"/>
        <v>#DIV/0!</v>
      </c>
      <c r="CUN71" s="1159" t="e">
        <f t="shared" si="43"/>
        <v>#DIV/0!</v>
      </c>
      <c r="CUO71" s="1159" t="e">
        <f t="shared" si="43"/>
        <v>#DIV/0!</v>
      </c>
      <c r="CUP71" s="1159" t="e">
        <f t="shared" si="43"/>
        <v>#DIV/0!</v>
      </c>
      <c r="CUQ71" s="1159" t="e">
        <f t="shared" si="43"/>
        <v>#DIV/0!</v>
      </c>
      <c r="CUR71" s="1159" t="e">
        <f t="shared" si="43"/>
        <v>#DIV/0!</v>
      </c>
      <c r="CUS71" s="1159" t="e">
        <f t="shared" si="43"/>
        <v>#DIV/0!</v>
      </c>
      <c r="CUT71" s="1159" t="e">
        <f t="shared" si="43"/>
        <v>#DIV/0!</v>
      </c>
      <c r="CUU71" s="1159" t="e">
        <f t="shared" si="43"/>
        <v>#DIV/0!</v>
      </c>
      <c r="CUV71" s="1159" t="e">
        <f t="shared" si="43"/>
        <v>#DIV/0!</v>
      </c>
      <c r="CUW71" s="1159" t="e">
        <f t="shared" si="43"/>
        <v>#DIV/0!</v>
      </c>
      <c r="CUX71" s="1159" t="e">
        <f t="shared" si="43"/>
        <v>#DIV/0!</v>
      </c>
      <c r="CUY71" s="1159" t="e">
        <f t="shared" si="43"/>
        <v>#DIV/0!</v>
      </c>
      <c r="CUZ71" s="1159" t="e">
        <f t="shared" si="43"/>
        <v>#DIV/0!</v>
      </c>
      <c r="CVA71" s="1159" t="e">
        <f t="shared" si="43"/>
        <v>#DIV/0!</v>
      </c>
      <c r="CVB71" s="1159" t="e">
        <f t="shared" si="43"/>
        <v>#DIV/0!</v>
      </c>
      <c r="CVC71" s="1159" t="e">
        <f t="shared" si="43"/>
        <v>#DIV/0!</v>
      </c>
      <c r="CVD71" s="1159" t="e">
        <f t="shared" si="43"/>
        <v>#DIV/0!</v>
      </c>
      <c r="CVE71" s="1159" t="e">
        <f t="shared" si="43"/>
        <v>#DIV/0!</v>
      </c>
      <c r="CVF71" s="1159" t="e">
        <f t="shared" si="43"/>
        <v>#DIV/0!</v>
      </c>
      <c r="CVG71" s="1159" t="e">
        <f t="shared" si="43"/>
        <v>#DIV/0!</v>
      </c>
      <c r="CVH71" s="1159" t="e">
        <f t="shared" si="43"/>
        <v>#DIV/0!</v>
      </c>
      <c r="CVI71" s="1159" t="e">
        <f t="shared" si="43"/>
        <v>#DIV/0!</v>
      </c>
      <c r="CVJ71" s="1159" t="e">
        <f t="shared" si="43"/>
        <v>#DIV/0!</v>
      </c>
      <c r="CVK71" s="1159" t="e">
        <f t="shared" si="43"/>
        <v>#DIV/0!</v>
      </c>
      <c r="CVL71" s="1159" t="e">
        <f t="shared" si="43"/>
        <v>#DIV/0!</v>
      </c>
      <c r="CVM71" s="1159" t="e">
        <f t="shared" si="43"/>
        <v>#DIV/0!</v>
      </c>
      <c r="CVN71" s="1159" t="e">
        <f t="shared" si="43"/>
        <v>#DIV/0!</v>
      </c>
      <c r="CVO71" s="1159" t="e">
        <f t="shared" si="43"/>
        <v>#DIV/0!</v>
      </c>
      <c r="CVP71" s="1159" t="e">
        <f t="shared" si="43"/>
        <v>#DIV/0!</v>
      </c>
      <c r="CVQ71" s="1159" t="e">
        <f t="shared" si="43"/>
        <v>#DIV/0!</v>
      </c>
      <c r="CVR71" s="1159" t="e">
        <f t="shared" si="43"/>
        <v>#DIV/0!</v>
      </c>
      <c r="CVS71" s="1159" t="e">
        <f t="shared" si="43"/>
        <v>#DIV/0!</v>
      </c>
      <c r="CVT71" s="1159" t="e">
        <f t="shared" si="43"/>
        <v>#DIV/0!</v>
      </c>
      <c r="CVU71" s="1159" t="e">
        <f t="shared" si="43"/>
        <v>#DIV/0!</v>
      </c>
      <c r="CVV71" s="1159" t="e">
        <f t="shared" si="43"/>
        <v>#DIV/0!</v>
      </c>
      <c r="CVW71" s="1159" t="e">
        <f t="shared" si="43"/>
        <v>#DIV/0!</v>
      </c>
      <c r="CVX71" s="1159" t="e">
        <f t="shared" si="43"/>
        <v>#DIV/0!</v>
      </c>
      <c r="CVY71" s="1159" t="e">
        <f t="shared" si="43"/>
        <v>#DIV/0!</v>
      </c>
      <c r="CVZ71" s="1159" t="e">
        <f t="shared" si="43"/>
        <v>#DIV/0!</v>
      </c>
      <c r="CWA71" s="1159" t="e">
        <f t="shared" si="43"/>
        <v>#DIV/0!</v>
      </c>
      <c r="CWB71" s="1159" t="e">
        <f t="shared" si="43"/>
        <v>#DIV/0!</v>
      </c>
      <c r="CWC71" s="1159" t="e">
        <f t="shared" si="43"/>
        <v>#DIV/0!</v>
      </c>
      <c r="CWD71" s="1159" t="e">
        <f t="shared" ref="CWD71:CYO71" si="44">((CWD6+CWD12+CWD13+CWD14+CWD15)*860+CWD16*CWD55+CWD17*CWD56+CWD7*CWD49+CWD8*CWD50+CWD9*CWD51+CWD10*CWD52+CWD11*CWD53)/(SUM(CWD6:CWD17))</f>
        <v>#DIV/0!</v>
      </c>
      <c r="CWE71" s="1159" t="e">
        <f t="shared" si="44"/>
        <v>#DIV/0!</v>
      </c>
      <c r="CWF71" s="1159" t="e">
        <f t="shared" si="44"/>
        <v>#DIV/0!</v>
      </c>
      <c r="CWG71" s="1159" t="e">
        <f t="shared" si="44"/>
        <v>#DIV/0!</v>
      </c>
      <c r="CWH71" s="1159" t="e">
        <f t="shared" si="44"/>
        <v>#DIV/0!</v>
      </c>
      <c r="CWI71" s="1159" t="e">
        <f t="shared" si="44"/>
        <v>#DIV/0!</v>
      </c>
      <c r="CWJ71" s="1159" t="e">
        <f t="shared" si="44"/>
        <v>#DIV/0!</v>
      </c>
      <c r="CWK71" s="1159" t="e">
        <f t="shared" si="44"/>
        <v>#DIV/0!</v>
      </c>
      <c r="CWL71" s="1159" t="e">
        <f t="shared" si="44"/>
        <v>#DIV/0!</v>
      </c>
      <c r="CWM71" s="1159" t="e">
        <f t="shared" si="44"/>
        <v>#DIV/0!</v>
      </c>
      <c r="CWN71" s="1159" t="e">
        <f t="shared" si="44"/>
        <v>#DIV/0!</v>
      </c>
      <c r="CWO71" s="1159" t="e">
        <f t="shared" si="44"/>
        <v>#DIV/0!</v>
      </c>
      <c r="CWP71" s="1159" t="e">
        <f t="shared" si="44"/>
        <v>#DIV/0!</v>
      </c>
      <c r="CWQ71" s="1159" t="e">
        <f t="shared" si="44"/>
        <v>#DIV/0!</v>
      </c>
      <c r="CWR71" s="1159" t="e">
        <f t="shared" si="44"/>
        <v>#DIV/0!</v>
      </c>
      <c r="CWS71" s="1159" t="e">
        <f t="shared" si="44"/>
        <v>#DIV/0!</v>
      </c>
      <c r="CWT71" s="1159" t="e">
        <f t="shared" si="44"/>
        <v>#DIV/0!</v>
      </c>
      <c r="CWU71" s="1159" t="e">
        <f t="shared" si="44"/>
        <v>#DIV/0!</v>
      </c>
      <c r="CWV71" s="1159" t="e">
        <f t="shared" si="44"/>
        <v>#DIV/0!</v>
      </c>
      <c r="CWW71" s="1159" t="e">
        <f t="shared" si="44"/>
        <v>#DIV/0!</v>
      </c>
      <c r="CWX71" s="1159" t="e">
        <f t="shared" si="44"/>
        <v>#DIV/0!</v>
      </c>
      <c r="CWY71" s="1159" t="e">
        <f t="shared" si="44"/>
        <v>#DIV/0!</v>
      </c>
      <c r="CWZ71" s="1159" t="e">
        <f t="shared" si="44"/>
        <v>#DIV/0!</v>
      </c>
      <c r="CXA71" s="1159" t="e">
        <f t="shared" si="44"/>
        <v>#DIV/0!</v>
      </c>
      <c r="CXB71" s="1159" t="e">
        <f t="shared" si="44"/>
        <v>#DIV/0!</v>
      </c>
      <c r="CXC71" s="1159" t="e">
        <f t="shared" si="44"/>
        <v>#DIV/0!</v>
      </c>
      <c r="CXD71" s="1159" t="e">
        <f t="shared" si="44"/>
        <v>#DIV/0!</v>
      </c>
      <c r="CXE71" s="1159" t="e">
        <f t="shared" si="44"/>
        <v>#DIV/0!</v>
      </c>
      <c r="CXF71" s="1159" t="e">
        <f t="shared" si="44"/>
        <v>#DIV/0!</v>
      </c>
      <c r="CXG71" s="1159" t="e">
        <f t="shared" si="44"/>
        <v>#DIV/0!</v>
      </c>
      <c r="CXH71" s="1159" t="e">
        <f t="shared" si="44"/>
        <v>#DIV/0!</v>
      </c>
      <c r="CXI71" s="1159" t="e">
        <f t="shared" si="44"/>
        <v>#DIV/0!</v>
      </c>
      <c r="CXJ71" s="1159" t="e">
        <f t="shared" si="44"/>
        <v>#DIV/0!</v>
      </c>
      <c r="CXK71" s="1159" t="e">
        <f t="shared" si="44"/>
        <v>#DIV/0!</v>
      </c>
      <c r="CXL71" s="1159" t="e">
        <f t="shared" si="44"/>
        <v>#DIV/0!</v>
      </c>
      <c r="CXM71" s="1159" t="e">
        <f t="shared" si="44"/>
        <v>#DIV/0!</v>
      </c>
      <c r="CXN71" s="1159" t="e">
        <f t="shared" si="44"/>
        <v>#DIV/0!</v>
      </c>
      <c r="CXO71" s="1159" t="e">
        <f t="shared" si="44"/>
        <v>#DIV/0!</v>
      </c>
      <c r="CXP71" s="1159" t="e">
        <f t="shared" si="44"/>
        <v>#DIV/0!</v>
      </c>
      <c r="CXQ71" s="1159" t="e">
        <f t="shared" si="44"/>
        <v>#DIV/0!</v>
      </c>
      <c r="CXR71" s="1159" t="e">
        <f t="shared" si="44"/>
        <v>#DIV/0!</v>
      </c>
      <c r="CXS71" s="1159" t="e">
        <f t="shared" si="44"/>
        <v>#DIV/0!</v>
      </c>
      <c r="CXT71" s="1159" t="e">
        <f t="shared" si="44"/>
        <v>#DIV/0!</v>
      </c>
      <c r="CXU71" s="1159" t="e">
        <f t="shared" si="44"/>
        <v>#DIV/0!</v>
      </c>
      <c r="CXV71" s="1159" t="e">
        <f t="shared" si="44"/>
        <v>#DIV/0!</v>
      </c>
      <c r="CXW71" s="1159" t="e">
        <f t="shared" si="44"/>
        <v>#DIV/0!</v>
      </c>
      <c r="CXX71" s="1159" t="e">
        <f t="shared" si="44"/>
        <v>#DIV/0!</v>
      </c>
      <c r="CXY71" s="1159" t="e">
        <f t="shared" si="44"/>
        <v>#DIV/0!</v>
      </c>
      <c r="CXZ71" s="1159" t="e">
        <f t="shared" si="44"/>
        <v>#DIV/0!</v>
      </c>
      <c r="CYA71" s="1159" t="e">
        <f t="shared" si="44"/>
        <v>#DIV/0!</v>
      </c>
      <c r="CYB71" s="1159" t="e">
        <f t="shared" si="44"/>
        <v>#DIV/0!</v>
      </c>
      <c r="CYC71" s="1159" t="e">
        <f t="shared" si="44"/>
        <v>#DIV/0!</v>
      </c>
      <c r="CYD71" s="1159" t="e">
        <f t="shared" si="44"/>
        <v>#DIV/0!</v>
      </c>
      <c r="CYE71" s="1159" t="e">
        <f t="shared" si="44"/>
        <v>#DIV/0!</v>
      </c>
      <c r="CYF71" s="1159" t="e">
        <f t="shared" si="44"/>
        <v>#DIV/0!</v>
      </c>
      <c r="CYG71" s="1159" t="e">
        <f t="shared" si="44"/>
        <v>#DIV/0!</v>
      </c>
      <c r="CYH71" s="1159" t="e">
        <f t="shared" si="44"/>
        <v>#DIV/0!</v>
      </c>
      <c r="CYI71" s="1159" t="e">
        <f t="shared" si="44"/>
        <v>#DIV/0!</v>
      </c>
      <c r="CYJ71" s="1159" t="e">
        <f t="shared" si="44"/>
        <v>#DIV/0!</v>
      </c>
      <c r="CYK71" s="1159" t="e">
        <f t="shared" si="44"/>
        <v>#DIV/0!</v>
      </c>
      <c r="CYL71" s="1159" t="e">
        <f t="shared" si="44"/>
        <v>#DIV/0!</v>
      </c>
      <c r="CYM71" s="1159" t="e">
        <f t="shared" si="44"/>
        <v>#DIV/0!</v>
      </c>
      <c r="CYN71" s="1159" t="e">
        <f t="shared" si="44"/>
        <v>#DIV/0!</v>
      </c>
      <c r="CYO71" s="1159" t="e">
        <f t="shared" si="44"/>
        <v>#DIV/0!</v>
      </c>
      <c r="CYP71" s="1159" t="e">
        <f t="shared" ref="CYP71:DBA71" si="45">((CYP6+CYP12+CYP13+CYP14+CYP15)*860+CYP16*CYP55+CYP17*CYP56+CYP7*CYP49+CYP8*CYP50+CYP9*CYP51+CYP10*CYP52+CYP11*CYP53)/(SUM(CYP6:CYP17))</f>
        <v>#DIV/0!</v>
      </c>
      <c r="CYQ71" s="1159" t="e">
        <f t="shared" si="45"/>
        <v>#DIV/0!</v>
      </c>
      <c r="CYR71" s="1159" t="e">
        <f t="shared" si="45"/>
        <v>#DIV/0!</v>
      </c>
      <c r="CYS71" s="1159" t="e">
        <f t="shared" si="45"/>
        <v>#DIV/0!</v>
      </c>
      <c r="CYT71" s="1159" t="e">
        <f t="shared" si="45"/>
        <v>#DIV/0!</v>
      </c>
      <c r="CYU71" s="1159" t="e">
        <f t="shared" si="45"/>
        <v>#DIV/0!</v>
      </c>
      <c r="CYV71" s="1159" t="e">
        <f t="shared" si="45"/>
        <v>#DIV/0!</v>
      </c>
      <c r="CYW71" s="1159" t="e">
        <f t="shared" si="45"/>
        <v>#DIV/0!</v>
      </c>
      <c r="CYX71" s="1159" t="e">
        <f t="shared" si="45"/>
        <v>#DIV/0!</v>
      </c>
      <c r="CYY71" s="1159" t="e">
        <f t="shared" si="45"/>
        <v>#DIV/0!</v>
      </c>
      <c r="CYZ71" s="1159" t="e">
        <f t="shared" si="45"/>
        <v>#DIV/0!</v>
      </c>
      <c r="CZA71" s="1159" t="e">
        <f t="shared" si="45"/>
        <v>#DIV/0!</v>
      </c>
      <c r="CZB71" s="1159" t="e">
        <f t="shared" si="45"/>
        <v>#DIV/0!</v>
      </c>
      <c r="CZC71" s="1159" t="e">
        <f t="shared" si="45"/>
        <v>#DIV/0!</v>
      </c>
      <c r="CZD71" s="1159" t="e">
        <f t="shared" si="45"/>
        <v>#DIV/0!</v>
      </c>
      <c r="CZE71" s="1159" t="e">
        <f t="shared" si="45"/>
        <v>#DIV/0!</v>
      </c>
      <c r="CZF71" s="1159" t="e">
        <f t="shared" si="45"/>
        <v>#DIV/0!</v>
      </c>
      <c r="CZG71" s="1159" t="e">
        <f t="shared" si="45"/>
        <v>#DIV/0!</v>
      </c>
      <c r="CZH71" s="1159" t="e">
        <f t="shared" si="45"/>
        <v>#DIV/0!</v>
      </c>
      <c r="CZI71" s="1159" t="e">
        <f t="shared" si="45"/>
        <v>#DIV/0!</v>
      </c>
      <c r="CZJ71" s="1159" t="e">
        <f t="shared" si="45"/>
        <v>#DIV/0!</v>
      </c>
      <c r="CZK71" s="1159" t="e">
        <f t="shared" si="45"/>
        <v>#DIV/0!</v>
      </c>
      <c r="CZL71" s="1159" t="e">
        <f t="shared" si="45"/>
        <v>#DIV/0!</v>
      </c>
      <c r="CZM71" s="1159" t="e">
        <f t="shared" si="45"/>
        <v>#DIV/0!</v>
      </c>
      <c r="CZN71" s="1159" t="e">
        <f t="shared" si="45"/>
        <v>#DIV/0!</v>
      </c>
      <c r="CZO71" s="1159" t="e">
        <f t="shared" si="45"/>
        <v>#DIV/0!</v>
      </c>
      <c r="CZP71" s="1159" t="e">
        <f t="shared" si="45"/>
        <v>#DIV/0!</v>
      </c>
      <c r="CZQ71" s="1159" t="e">
        <f t="shared" si="45"/>
        <v>#DIV/0!</v>
      </c>
      <c r="CZR71" s="1159" t="e">
        <f t="shared" si="45"/>
        <v>#DIV/0!</v>
      </c>
      <c r="CZS71" s="1159" t="e">
        <f t="shared" si="45"/>
        <v>#DIV/0!</v>
      </c>
      <c r="CZT71" s="1159" t="e">
        <f t="shared" si="45"/>
        <v>#DIV/0!</v>
      </c>
      <c r="CZU71" s="1159" t="e">
        <f t="shared" si="45"/>
        <v>#DIV/0!</v>
      </c>
      <c r="CZV71" s="1159" t="e">
        <f t="shared" si="45"/>
        <v>#DIV/0!</v>
      </c>
      <c r="CZW71" s="1159" t="e">
        <f t="shared" si="45"/>
        <v>#DIV/0!</v>
      </c>
      <c r="CZX71" s="1159" t="e">
        <f t="shared" si="45"/>
        <v>#DIV/0!</v>
      </c>
      <c r="CZY71" s="1159" t="e">
        <f t="shared" si="45"/>
        <v>#DIV/0!</v>
      </c>
      <c r="CZZ71" s="1159" t="e">
        <f t="shared" si="45"/>
        <v>#DIV/0!</v>
      </c>
      <c r="DAA71" s="1159" t="e">
        <f t="shared" si="45"/>
        <v>#DIV/0!</v>
      </c>
      <c r="DAB71" s="1159" t="e">
        <f t="shared" si="45"/>
        <v>#DIV/0!</v>
      </c>
      <c r="DAC71" s="1159" t="e">
        <f t="shared" si="45"/>
        <v>#DIV/0!</v>
      </c>
      <c r="DAD71" s="1159" t="e">
        <f t="shared" si="45"/>
        <v>#DIV/0!</v>
      </c>
      <c r="DAE71" s="1159" t="e">
        <f t="shared" si="45"/>
        <v>#DIV/0!</v>
      </c>
      <c r="DAF71" s="1159" t="e">
        <f t="shared" si="45"/>
        <v>#DIV/0!</v>
      </c>
      <c r="DAG71" s="1159" t="e">
        <f t="shared" si="45"/>
        <v>#DIV/0!</v>
      </c>
      <c r="DAH71" s="1159" t="e">
        <f t="shared" si="45"/>
        <v>#DIV/0!</v>
      </c>
      <c r="DAI71" s="1159" t="e">
        <f t="shared" si="45"/>
        <v>#DIV/0!</v>
      </c>
      <c r="DAJ71" s="1159" t="e">
        <f t="shared" si="45"/>
        <v>#DIV/0!</v>
      </c>
      <c r="DAK71" s="1159" t="e">
        <f t="shared" si="45"/>
        <v>#DIV/0!</v>
      </c>
      <c r="DAL71" s="1159" t="e">
        <f t="shared" si="45"/>
        <v>#DIV/0!</v>
      </c>
      <c r="DAM71" s="1159" t="e">
        <f t="shared" si="45"/>
        <v>#DIV/0!</v>
      </c>
      <c r="DAN71" s="1159" t="e">
        <f t="shared" si="45"/>
        <v>#DIV/0!</v>
      </c>
      <c r="DAO71" s="1159" t="e">
        <f t="shared" si="45"/>
        <v>#DIV/0!</v>
      </c>
      <c r="DAP71" s="1159" t="e">
        <f t="shared" si="45"/>
        <v>#DIV/0!</v>
      </c>
      <c r="DAQ71" s="1159" t="e">
        <f t="shared" si="45"/>
        <v>#DIV/0!</v>
      </c>
      <c r="DAR71" s="1159" t="e">
        <f t="shared" si="45"/>
        <v>#DIV/0!</v>
      </c>
      <c r="DAS71" s="1159" t="e">
        <f t="shared" si="45"/>
        <v>#DIV/0!</v>
      </c>
      <c r="DAT71" s="1159" t="e">
        <f t="shared" si="45"/>
        <v>#DIV/0!</v>
      </c>
      <c r="DAU71" s="1159" t="e">
        <f t="shared" si="45"/>
        <v>#DIV/0!</v>
      </c>
      <c r="DAV71" s="1159" t="e">
        <f t="shared" si="45"/>
        <v>#DIV/0!</v>
      </c>
      <c r="DAW71" s="1159" t="e">
        <f t="shared" si="45"/>
        <v>#DIV/0!</v>
      </c>
      <c r="DAX71" s="1159" t="e">
        <f t="shared" si="45"/>
        <v>#DIV/0!</v>
      </c>
      <c r="DAY71" s="1159" t="e">
        <f t="shared" si="45"/>
        <v>#DIV/0!</v>
      </c>
      <c r="DAZ71" s="1159" t="e">
        <f t="shared" si="45"/>
        <v>#DIV/0!</v>
      </c>
      <c r="DBA71" s="1159" t="e">
        <f t="shared" si="45"/>
        <v>#DIV/0!</v>
      </c>
      <c r="DBB71" s="1159" t="e">
        <f t="shared" ref="DBB71:DDM71" si="46">((DBB6+DBB12+DBB13+DBB14+DBB15)*860+DBB16*DBB55+DBB17*DBB56+DBB7*DBB49+DBB8*DBB50+DBB9*DBB51+DBB10*DBB52+DBB11*DBB53)/(SUM(DBB6:DBB17))</f>
        <v>#DIV/0!</v>
      </c>
      <c r="DBC71" s="1159" t="e">
        <f t="shared" si="46"/>
        <v>#DIV/0!</v>
      </c>
      <c r="DBD71" s="1159" t="e">
        <f t="shared" si="46"/>
        <v>#DIV/0!</v>
      </c>
      <c r="DBE71" s="1159" t="e">
        <f t="shared" si="46"/>
        <v>#DIV/0!</v>
      </c>
      <c r="DBF71" s="1159" t="e">
        <f t="shared" si="46"/>
        <v>#DIV/0!</v>
      </c>
      <c r="DBG71" s="1159" t="e">
        <f t="shared" si="46"/>
        <v>#DIV/0!</v>
      </c>
      <c r="DBH71" s="1159" t="e">
        <f t="shared" si="46"/>
        <v>#DIV/0!</v>
      </c>
      <c r="DBI71" s="1159" t="e">
        <f t="shared" si="46"/>
        <v>#DIV/0!</v>
      </c>
      <c r="DBJ71" s="1159" t="e">
        <f t="shared" si="46"/>
        <v>#DIV/0!</v>
      </c>
      <c r="DBK71" s="1159" t="e">
        <f t="shared" si="46"/>
        <v>#DIV/0!</v>
      </c>
      <c r="DBL71" s="1159" t="e">
        <f t="shared" si="46"/>
        <v>#DIV/0!</v>
      </c>
      <c r="DBM71" s="1159" t="e">
        <f t="shared" si="46"/>
        <v>#DIV/0!</v>
      </c>
      <c r="DBN71" s="1159" t="e">
        <f t="shared" si="46"/>
        <v>#DIV/0!</v>
      </c>
      <c r="DBO71" s="1159" t="e">
        <f t="shared" si="46"/>
        <v>#DIV/0!</v>
      </c>
      <c r="DBP71" s="1159" t="e">
        <f t="shared" si="46"/>
        <v>#DIV/0!</v>
      </c>
      <c r="DBQ71" s="1159" t="e">
        <f t="shared" si="46"/>
        <v>#DIV/0!</v>
      </c>
      <c r="DBR71" s="1159" t="e">
        <f t="shared" si="46"/>
        <v>#DIV/0!</v>
      </c>
      <c r="DBS71" s="1159" t="e">
        <f t="shared" si="46"/>
        <v>#DIV/0!</v>
      </c>
      <c r="DBT71" s="1159" t="e">
        <f t="shared" si="46"/>
        <v>#DIV/0!</v>
      </c>
      <c r="DBU71" s="1159" t="e">
        <f t="shared" si="46"/>
        <v>#DIV/0!</v>
      </c>
      <c r="DBV71" s="1159" t="e">
        <f t="shared" si="46"/>
        <v>#DIV/0!</v>
      </c>
      <c r="DBW71" s="1159" t="e">
        <f t="shared" si="46"/>
        <v>#DIV/0!</v>
      </c>
      <c r="DBX71" s="1159" t="e">
        <f t="shared" si="46"/>
        <v>#DIV/0!</v>
      </c>
      <c r="DBY71" s="1159" t="e">
        <f t="shared" si="46"/>
        <v>#DIV/0!</v>
      </c>
      <c r="DBZ71" s="1159" t="e">
        <f t="shared" si="46"/>
        <v>#DIV/0!</v>
      </c>
      <c r="DCA71" s="1159" t="e">
        <f t="shared" si="46"/>
        <v>#DIV/0!</v>
      </c>
      <c r="DCB71" s="1159" t="e">
        <f t="shared" si="46"/>
        <v>#DIV/0!</v>
      </c>
      <c r="DCC71" s="1159" t="e">
        <f t="shared" si="46"/>
        <v>#DIV/0!</v>
      </c>
      <c r="DCD71" s="1159" t="e">
        <f t="shared" si="46"/>
        <v>#DIV/0!</v>
      </c>
      <c r="DCE71" s="1159" t="e">
        <f t="shared" si="46"/>
        <v>#DIV/0!</v>
      </c>
      <c r="DCF71" s="1159" t="e">
        <f t="shared" si="46"/>
        <v>#DIV/0!</v>
      </c>
      <c r="DCG71" s="1159" t="e">
        <f t="shared" si="46"/>
        <v>#DIV/0!</v>
      </c>
      <c r="DCH71" s="1159" t="e">
        <f t="shared" si="46"/>
        <v>#DIV/0!</v>
      </c>
      <c r="DCI71" s="1159" t="e">
        <f t="shared" si="46"/>
        <v>#DIV/0!</v>
      </c>
      <c r="DCJ71" s="1159" t="e">
        <f t="shared" si="46"/>
        <v>#DIV/0!</v>
      </c>
      <c r="DCK71" s="1159" t="e">
        <f t="shared" si="46"/>
        <v>#DIV/0!</v>
      </c>
      <c r="DCL71" s="1159" t="e">
        <f t="shared" si="46"/>
        <v>#DIV/0!</v>
      </c>
      <c r="DCM71" s="1159" t="e">
        <f t="shared" si="46"/>
        <v>#DIV/0!</v>
      </c>
      <c r="DCN71" s="1159" t="e">
        <f t="shared" si="46"/>
        <v>#DIV/0!</v>
      </c>
      <c r="DCO71" s="1159" t="e">
        <f t="shared" si="46"/>
        <v>#DIV/0!</v>
      </c>
      <c r="DCP71" s="1159" t="e">
        <f t="shared" si="46"/>
        <v>#DIV/0!</v>
      </c>
      <c r="DCQ71" s="1159" t="e">
        <f t="shared" si="46"/>
        <v>#DIV/0!</v>
      </c>
      <c r="DCR71" s="1159" t="e">
        <f t="shared" si="46"/>
        <v>#DIV/0!</v>
      </c>
      <c r="DCS71" s="1159" t="e">
        <f t="shared" si="46"/>
        <v>#DIV/0!</v>
      </c>
      <c r="DCT71" s="1159" t="e">
        <f t="shared" si="46"/>
        <v>#DIV/0!</v>
      </c>
      <c r="DCU71" s="1159" t="e">
        <f t="shared" si="46"/>
        <v>#DIV/0!</v>
      </c>
      <c r="DCV71" s="1159" t="e">
        <f t="shared" si="46"/>
        <v>#DIV/0!</v>
      </c>
      <c r="DCW71" s="1159" t="e">
        <f t="shared" si="46"/>
        <v>#DIV/0!</v>
      </c>
      <c r="DCX71" s="1159" t="e">
        <f t="shared" si="46"/>
        <v>#DIV/0!</v>
      </c>
      <c r="DCY71" s="1159" t="e">
        <f t="shared" si="46"/>
        <v>#DIV/0!</v>
      </c>
      <c r="DCZ71" s="1159" t="e">
        <f t="shared" si="46"/>
        <v>#DIV/0!</v>
      </c>
      <c r="DDA71" s="1159" t="e">
        <f t="shared" si="46"/>
        <v>#DIV/0!</v>
      </c>
      <c r="DDB71" s="1159" t="e">
        <f t="shared" si="46"/>
        <v>#DIV/0!</v>
      </c>
      <c r="DDC71" s="1159" t="e">
        <f t="shared" si="46"/>
        <v>#DIV/0!</v>
      </c>
      <c r="DDD71" s="1159" t="e">
        <f t="shared" si="46"/>
        <v>#DIV/0!</v>
      </c>
      <c r="DDE71" s="1159" t="e">
        <f t="shared" si="46"/>
        <v>#DIV/0!</v>
      </c>
      <c r="DDF71" s="1159" t="e">
        <f t="shared" si="46"/>
        <v>#DIV/0!</v>
      </c>
      <c r="DDG71" s="1159" t="e">
        <f t="shared" si="46"/>
        <v>#DIV/0!</v>
      </c>
      <c r="DDH71" s="1159" t="e">
        <f t="shared" si="46"/>
        <v>#DIV/0!</v>
      </c>
      <c r="DDI71" s="1159" t="e">
        <f t="shared" si="46"/>
        <v>#DIV/0!</v>
      </c>
      <c r="DDJ71" s="1159" t="e">
        <f t="shared" si="46"/>
        <v>#DIV/0!</v>
      </c>
      <c r="DDK71" s="1159" t="e">
        <f t="shared" si="46"/>
        <v>#DIV/0!</v>
      </c>
      <c r="DDL71" s="1159" t="e">
        <f t="shared" si="46"/>
        <v>#DIV/0!</v>
      </c>
      <c r="DDM71" s="1159" t="e">
        <f t="shared" si="46"/>
        <v>#DIV/0!</v>
      </c>
      <c r="DDN71" s="1159" t="e">
        <f t="shared" ref="DDN71:DFY71" si="47">((DDN6+DDN12+DDN13+DDN14+DDN15)*860+DDN16*DDN55+DDN17*DDN56+DDN7*DDN49+DDN8*DDN50+DDN9*DDN51+DDN10*DDN52+DDN11*DDN53)/(SUM(DDN6:DDN17))</f>
        <v>#DIV/0!</v>
      </c>
      <c r="DDO71" s="1159" t="e">
        <f t="shared" si="47"/>
        <v>#DIV/0!</v>
      </c>
      <c r="DDP71" s="1159" t="e">
        <f t="shared" si="47"/>
        <v>#DIV/0!</v>
      </c>
      <c r="DDQ71" s="1159" t="e">
        <f t="shared" si="47"/>
        <v>#DIV/0!</v>
      </c>
      <c r="DDR71" s="1159" t="e">
        <f t="shared" si="47"/>
        <v>#DIV/0!</v>
      </c>
      <c r="DDS71" s="1159" t="e">
        <f t="shared" si="47"/>
        <v>#DIV/0!</v>
      </c>
      <c r="DDT71" s="1159" t="e">
        <f t="shared" si="47"/>
        <v>#DIV/0!</v>
      </c>
      <c r="DDU71" s="1159" t="e">
        <f t="shared" si="47"/>
        <v>#DIV/0!</v>
      </c>
      <c r="DDV71" s="1159" t="e">
        <f t="shared" si="47"/>
        <v>#DIV/0!</v>
      </c>
      <c r="DDW71" s="1159" t="e">
        <f t="shared" si="47"/>
        <v>#DIV/0!</v>
      </c>
      <c r="DDX71" s="1159" t="e">
        <f t="shared" si="47"/>
        <v>#DIV/0!</v>
      </c>
      <c r="DDY71" s="1159" t="e">
        <f t="shared" si="47"/>
        <v>#DIV/0!</v>
      </c>
      <c r="DDZ71" s="1159" t="e">
        <f t="shared" si="47"/>
        <v>#DIV/0!</v>
      </c>
      <c r="DEA71" s="1159" t="e">
        <f t="shared" si="47"/>
        <v>#DIV/0!</v>
      </c>
      <c r="DEB71" s="1159" t="e">
        <f t="shared" si="47"/>
        <v>#DIV/0!</v>
      </c>
      <c r="DEC71" s="1159" t="e">
        <f t="shared" si="47"/>
        <v>#DIV/0!</v>
      </c>
      <c r="DED71" s="1159" t="e">
        <f t="shared" si="47"/>
        <v>#DIV/0!</v>
      </c>
      <c r="DEE71" s="1159" t="e">
        <f t="shared" si="47"/>
        <v>#DIV/0!</v>
      </c>
      <c r="DEF71" s="1159" t="e">
        <f t="shared" si="47"/>
        <v>#DIV/0!</v>
      </c>
      <c r="DEG71" s="1159" t="e">
        <f t="shared" si="47"/>
        <v>#DIV/0!</v>
      </c>
      <c r="DEH71" s="1159" t="e">
        <f t="shared" si="47"/>
        <v>#DIV/0!</v>
      </c>
      <c r="DEI71" s="1159" t="e">
        <f t="shared" si="47"/>
        <v>#DIV/0!</v>
      </c>
      <c r="DEJ71" s="1159" t="e">
        <f t="shared" si="47"/>
        <v>#DIV/0!</v>
      </c>
      <c r="DEK71" s="1159" t="e">
        <f t="shared" si="47"/>
        <v>#DIV/0!</v>
      </c>
      <c r="DEL71" s="1159" t="e">
        <f t="shared" si="47"/>
        <v>#DIV/0!</v>
      </c>
      <c r="DEM71" s="1159" t="e">
        <f t="shared" si="47"/>
        <v>#DIV/0!</v>
      </c>
      <c r="DEN71" s="1159" t="e">
        <f t="shared" si="47"/>
        <v>#DIV/0!</v>
      </c>
      <c r="DEO71" s="1159" t="e">
        <f t="shared" si="47"/>
        <v>#DIV/0!</v>
      </c>
      <c r="DEP71" s="1159" t="e">
        <f t="shared" si="47"/>
        <v>#DIV/0!</v>
      </c>
      <c r="DEQ71" s="1159" t="e">
        <f t="shared" si="47"/>
        <v>#DIV/0!</v>
      </c>
      <c r="DER71" s="1159" t="e">
        <f t="shared" si="47"/>
        <v>#DIV/0!</v>
      </c>
      <c r="DES71" s="1159" t="e">
        <f t="shared" si="47"/>
        <v>#DIV/0!</v>
      </c>
      <c r="DET71" s="1159" t="e">
        <f t="shared" si="47"/>
        <v>#DIV/0!</v>
      </c>
      <c r="DEU71" s="1159" t="e">
        <f t="shared" si="47"/>
        <v>#DIV/0!</v>
      </c>
      <c r="DEV71" s="1159" t="e">
        <f t="shared" si="47"/>
        <v>#DIV/0!</v>
      </c>
      <c r="DEW71" s="1159" t="e">
        <f t="shared" si="47"/>
        <v>#DIV/0!</v>
      </c>
      <c r="DEX71" s="1159" t="e">
        <f t="shared" si="47"/>
        <v>#DIV/0!</v>
      </c>
      <c r="DEY71" s="1159" t="e">
        <f t="shared" si="47"/>
        <v>#DIV/0!</v>
      </c>
      <c r="DEZ71" s="1159" t="e">
        <f t="shared" si="47"/>
        <v>#DIV/0!</v>
      </c>
      <c r="DFA71" s="1159" t="e">
        <f t="shared" si="47"/>
        <v>#DIV/0!</v>
      </c>
      <c r="DFB71" s="1159" t="e">
        <f t="shared" si="47"/>
        <v>#DIV/0!</v>
      </c>
      <c r="DFC71" s="1159" t="e">
        <f t="shared" si="47"/>
        <v>#DIV/0!</v>
      </c>
      <c r="DFD71" s="1159" t="e">
        <f t="shared" si="47"/>
        <v>#DIV/0!</v>
      </c>
      <c r="DFE71" s="1159" t="e">
        <f t="shared" si="47"/>
        <v>#DIV/0!</v>
      </c>
      <c r="DFF71" s="1159" t="e">
        <f t="shared" si="47"/>
        <v>#DIV/0!</v>
      </c>
      <c r="DFG71" s="1159" t="e">
        <f t="shared" si="47"/>
        <v>#DIV/0!</v>
      </c>
      <c r="DFH71" s="1159" t="e">
        <f t="shared" si="47"/>
        <v>#DIV/0!</v>
      </c>
      <c r="DFI71" s="1159" t="e">
        <f t="shared" si="47"/>
        <v>#DIV/0!</v>
      </c>
      <c r="DFJ71" s="1159" t="e">
        <f t="shared" si="47"/>
        <v>#DIV/0!</v>
      </c>
      <c r="DFK71" s="1159" t="e">
        <f t="shared" si="47"/>
        <v>#DIV/0!</v>
      </c>
      <c r="DFL71" s="1159" t="e">
        <f t="shared" si="47"/>
        <v>#DIV/0!</v>
      </c>
      <c r="DFM71" s="1159" t="e">
        <f t="shared" si="47"/>
        <v>#DIV/0!</v>
      </c>
      <c r="DFN71" s="1159" t="e">
        <f t="shared" si="47"/>
        <v>#DIV/0!</v>
      </c>
      <c r="DFO71" s="1159" t="e">
        <f t="shared" si="47"/>
        <v>#DIV/0!</v>
      </c>
      <c r="DFP71" s="1159" t="e">
        <f t="shared" si="47"/>
        <v>#DIV/0!</v>
      </c>
      <c r="DFQ71" s="1159" t="e">
        <f t="shared" si="47"/>
        <v>#DIV/0!</v>
      </c>
      <c r="DFR71" s="1159" t="e">
        <f t="shared" si="47"/>
        <v>#DIV/0!</v>
      </c>
      <c r="DFS71" s="1159" t="e">
        <f t="shared" si="47"/>
        <v>#DIV/0!</v>
      </c>
      <c r="DFT71" s="1159" t="e">
        <f t="shared" si="47"/>
        <v>#DIV/0!</v>
      </c>
      <c r="DFU71" s="1159" t="e">
        <f t="shared" si="47"/>
        <v>#DIV/0!</v>
      </c>
      <c r="DFV71" s="1159" t="e">
        <f t="shared" si="47"/>
        <v>#DIV/0!</v>
      </c>
      <c r="DFW71" s="1159" t="e">
        <f t="shared" si="47"/>
        <v>#DIV/0!</v>
      </c>
      <c r="DFX71" s="1159" t="e">
        <f t="shared" si="47"/>
        <v>#DIV/0!</v>
      </c>
      <c r="DFY71" s="1159" t="e">
        <f t="shared" si="47"/>
        <v>#DIV/0!</v>
      </c>
      <c r="DFZ71" s="1159" t="e">
        <f t="shared" ref="DFZ71:DIK71" si="48">((DFZ6+DFZ12+DFZ13+DFZ14+DFZ15)*860+DFZ16*DFZ55+DFZ17*DFZ56+DFZ7*DFZ49+DFZ8*DFZ50+DFZ9*DFZ51+DFZ10*DFZ52+DFZ11*DFZ53)/(SUM(DFZ6:DFZ17))</f>
        <v>#DIV/0!</v>
      </c>
      <c r="DGA71" s="1159" t="e">
        <f t="shared" si="48"/>
        <v>#DIV/0!</v>
      </c>
      <c r="DGB71" s="1159" t="e">
        <f t="shared" si="48"/>
        <v>#DIV/0!</v>
      </c>
      <c r="DGC71" s="1159" t="e">
        <f t="shared" si="48"/>
        <v>#DIV/0!</v>
      </c>
      <c r="DGD71" s="1159" t="e">
        <f t="shared" si="48"/>
        <v>#DIV/0!</v>
      </c>
      <c r="DGE71" s="1159" t="e">
        <f t="shared" si="48"/>
        <v>#DIV/0!</v>
      </c>
      <c r="DGF71" s="1159" t="e">
        <f t="shared" si="48"/>
        <v>#DIV/0!</v>
      </c>
      <c r="DGG71" s="1159" t="e">
        <f t="shared" si="48"/>
        <v>#DIV/0!</v>
      </c>
      <c r="DGH71" s="1159" t="e">
        <f t="shared" si="48"/>
        <v>#DIV/0!</v>
      </c>
      <c r="DGI71" s="1159" t="e">
        <f t="shared" si="48"/>
        <v>#DIV/0!</v>
      </c>
      <c r="DGJ71" s="1159" t="e">
        <f t="shared" si="48"/>
        <v>#DIV/0!</v>
      </c>
      <c r="DGK71" s="1159" t="e">
        <f t="shared" si="48"/>
        <v>#DIV/0!</v>
      </c>
      <c r="DGL71" s="1159" t="e">
        <f t="shared" si="48"/>
        <v>#DIV/0!</v>
      </c>
      <c r="DGM71" s="1159" t="e">
        <f t="shared" si="48"/>
        <v>#DIV/0!</v>
      </c>
      <c r="DGN71" s="1159" t="e">
        <f t="shared" si="48"/>
        <v>#DIV/0!</v>
      </c>
      <c r="DGO71" s="1159" t="e">
        <f t="shared" si="48"/>
        <v>#DIV/0!</v>
      </c>
      <c r="DGP71" s="1159" t="e">
        <f t="shared" si="48"/>
        <v>#DIV/0!</v>
      </c>
      <c r="DGQ71" s="1159" t="e">
        <f t="shared" si="48"/>
        <v>#DIV/0!</v>
      </c>
      <c r="DGR71" s="1159" t="e">
        <f t="shared" si="48"/>
        <v>#DIV/0!</v>
      </c>
      <c r="DGS71" s="1159" t="e">
        <f t="shared" si="48"/>
        <v>#DIV/0!</v>
      </c>
      <c r="DGT71" s="1159" t="e">
        <f t="shared" si="48"/>
        <v>#DIV/0!</v>
      </c>
      <c r="DGU71" s="1159" t="e">
        <f t="shared" si="48"/>
        <v>#DIV/0!</v>
      </c>
      <c r="DGV71" s="1159" t="e">
        <f t="shared" si="48"/>
        <v>#DIV/0!</v>
      </c>
      <c r="DGW71" s="1159" t="e">
        <f t="shared" si="48"/>
        <v>#DIV/0!</v>
      </c>
      <c r="DGX71" s="1159" t="e">
        <f t="shared" si="48"/>
        <v>#DIV/0!</v>
      </c>
      <c r="DGY71" s="1159" t="e">
        <f t="shared" si="48"/>
        <v>#DIV/0!</v>
      </c>
      <c r="DGZ71" s="1159" t="e">
        <f t="shared" si="48"/>
        <v>#DIV/0!</v>
      </c>
      <c r="DHA71" s="1159" t="e">
        <f t="shared" si="48"/>
        <v>#DIV/0!</v>
      </c>
      <c r="DHB71" s="1159" t="e">
        <f t="shared" si="48"/>
        <v>#DIV/0!</v>
      </c>
      <c r="DHC71" s="1159" t="e">
        <f t="shared" si="48"/>
        <v>#DIV/0!</v>
      </c>
      <c r="DHD71" s="1159" t="e">
        <f t="shared" si="48"/>
        <v>#DIV/0!</v>
      </c>
      <c r="DHE71" s="1159" t="e">
        <f t="shared" si="48"/>
        <v>#DIV/0!</v>
      </c>
      <c r="DHF71" s="1159" t="e">
        <f t="shared" si="48"/>
        <v>#DIV/0!</v>
      </c>
      <c r="DHG71" s="1159" t="e">
        <f t="shared" si="48"/>
        <v>#DIV/0!</v>
      </c>
      <c r="DHH71" s="1159" t="e">
        <f t="shared" si="48"/>
        <v>#DIV/0!</v>
      </c>
      <c r="DHI71" s="1159" t="e">
        <f t="shared" si="48"/>
        <v>#DIV/0!</v>
      </c>
      <c r="DHJ71" s="1159" t="e">
        <f t="shared" si="48"/>
        <v>#DIV/0!</v>
      </c>
      <c r="DHK71" s="1159" t="e">
        <f t="shared" si="48"/>
        <v>#DIV/0!</v>
      </c>
      <c r="DHL71" s="1159" t="e">
        <f t="shared" si="48"/>
        <v>#DIV/0!</v>
      </c>
      <c r="DHM71" s="1159" t="e">
        <f t="shared" si="48"/>
        <v>#DIV/0!</v>
      </c>
      <c r="DHN71" s="1159" t="e">
        <f t="shared" si="48"/>
        <v>#DIV/0!</v>
      </c>
      <c r="DHO71" s="1159" t="e">
        <f t="shared" si="48"/>
        <v>#DIV/0!</v>
      </c>
      <c r="DHP71" s="1159" t="e">
        <f t="shared" si="48"/>
        <v>#DIV/0!</v>
      </c>
      <c r="DHQ71" s="1159" t="e">
        <f t="shared" si="48"/>
        <v>#DIV/0!</v>
      </c>
      <c r="DHR71" s="1159" t="e">
        <f t="shared" si="48"/>
        <v>#DIV/0!</v>
      </c>
      <c r="DHS71" s="1159" t="e">
        <f t="shared" si="48"/>
        <v>#DIV/0!</v>
      </c>
      <c r="DHT71" s="1159" t="e">
        <f t="shared" si="48"/>
        <v>#DIV/0!</v>
      </c>
      <c r="DHU71" s="1159" t="e">
        <f t="shared" si="48"/>
        <v>#DIV/0!</v>
      </c>
      <c r="DHV71" s="1159" t="e">
        <f t="shared" si="48"/>
        <v>#DIV/0!</v>
      </c>
      <c r="DHW71" s="1159" t="e">
        <f t="shared" si="48"/>
        <v>#DIV/0!</v>
      </c>
      <c r="DHX71" s="1159" t="e">
        <f t="shared" si="48"/>
        <v>#DIV/0!</v>
      </c>
      <c r="DHY71" s="1159" t="e">
        <f t="shared" si="48"/>
        <v>#DIV/0!</v>
      </c>
      <c r="DHZ71" s="1159" t="e">
        <f t="shared" si="48"/>
        <v>#DIV/0!</v>
      </c>
      <c r="DIA71" s="1159" t="e">
        <f t="shared" si="48"/>
        <v>#DIV/0!</v>
      </c>
      <c r="DIB71" s="1159" t="e">
        <f t="shared" si="48"/>
        <v>#DIV/0!</v>
      </c>
      <c r="DIC71" s="1159" t="e">
        <f t="shared" si="48"/>
        <v>#DIV/0!</v>
      </c>
      <c r="DID71" s="1159" t="e">
        <f t="shared" si="48"/>
        <v>#DIV/0!</v>
      </c>
      <c r="DIE71" s="1159" t="e">
        <f t="shared" si="48"/>
        <v>#DIV/0!</v>
      </c>
      <c r="DIF71" s="1159" t="e">
        <f t="shared" si="48"/>
        <v>#DIV/0!</v>
      </c>
      <c r="DIG71" s="1159" t="e">
        <f t="shared" si="48"/>
        <v>#DIV/0!</v>
      </c>
      <c r="DIH71" s="1159" t="e">
        <f t="shared" si="48"/>
        <v>#DIV/0!</v>
      </c>
      <c r="DII71" s="1159" t="e">
        <f t="shared" si="48"/>
        <v>#DIV/0!</v>
      </c>
      <c r="DIJ71" s="1159" t="e">
        <f t="shared" si="48"/>
        <v>#DIV/0!</v>
      </c>
      <c r="DIK71" s="1159" t="e">
        <f t="shared" si="48"/>
        <v>#DIV/0!</v>
      </c>
      <c r="DIL71" s="1159" t="e">
        <f t="shared" ref="DIL71:DKW71" si="49">((DIL6+DIL12+DIL13+DIL14+DIL15)*860+DIL16*DIL55+DIL17*DIL56+DIL7*DIL49+DIL8*DIL50+DIL9*DIL51+DIL10*DIL52+DIL11*DIL53)/(SUM(DIL6:DIL17))</f>
        <v>#DIV/0!</v>
      </c>
      <c r="DIM71" s="1159" t="e">
        <f t="shared" si="49"/>
        <v>#DIV/0!</v>
      </c>
      <c r="DIN71" s="1159" t="e">
        <f t="shared" si="49"/>
        <v>#DIV/0!</v>
      </c>
      <c r="DIO71" s="1159" t="e">
        <f t="shared" si="49"/>
        <v>#DIV/0!</v>
      </c>
      <c r="DIP71" s="1159" t="e">
        <f t="shared" si="49"/>
        <v>#DIV/0!</v>
      </c>
      <c r="DIQ71" s="1159" t="e">
        <f t="shared" si="49"/>
        <v>#DIV/0!</v>
      </c>
      <c r="DIR71" s="1159" t="e">
        <f t="shared" si="49"/>
        <v>#DIV/0!</v>
      </c>
      <c r="DIS71" s="1159" t="e">
        <f t="shared" si="49"/>
        <v>#DIV/0!</v>
      </c>
      <c r="DIT71" s="1159" t="e">
        <f t="shared" si="49"/>
        <v>#DIV/0!</v>
      </c>
      <c r="DIU71" s="1159" t="e">
        <f t="shared" si="49"/>
        <v>#DIV/0!</v>
      </c>
      <c r="DIV71" s="1159" t="e">
        <f t="shared" si="49"/>
        <v>#DIV/0!</v>
      </c>
      <c r="DIW71" s="1159" t="e">
        <f t="shared" si="49"/>
        <v>#DIV/0!</v>
      </c>
      <c r="DIX71" s="1159" t="e">
        <f t="shared" si="49"/>
        <v>#DIV/0!</v>
      </c>
      <c r="DIY71" s="1159" t="e">
        <f t="shared" si="49"/>
        <v>#DIV/0!</v>
      </c>
      <c r="DIZ71" s="1159" t="e">
        <f t="shared" si="49"/>
        <v>#DIV/0!</v>
      </c>
      <c r="DJA71" s="1159" t="e">
        <f t="shared" si="49"/>
        <v>#DIV/0!</v>
      </c>
      <c r="DJB71" s="1159" t="e">
        <f t="shared" si="49"/>
        <v>#DIV/0!</v>
      </c>
      <c r="DJC71" s="1159" t="e">
        <f t="shared" si="49"/>
        <v>#DIV/0!</v>
      </c>
      <c r="DJD71" s="1159" t="e">
        <f t="shared" si="49"/>
        <v>#DIV/0!</v>
      </c>
      <c r="DJE71" s="1159" t="e">
        <f t="shared" si="49"/>
        <v>#DIV/0!</v>
      </c>
      <c r="DJF71" s="1159" t="e">
        <f t="shared" si="49"/>
        <v>#DIV/0!</v>
      </c>
      <c r="DJG71" s="1159" t="e">
        <f t="shared" si="49"/>
        <v>#DIV/0!</v>
      </c>
      <c r="DJH71" s="1159" t="e">
        <f t="shared" si="49"/>
        <v>#DIV/0!</v>
      </c>
      <c r="DJI71" s="1159" t="e">
        <f t="shared" si="49"/>
        <v>#DIV/0!</v>
      </c>
      <c r="DJJ71" s="1159" t="e">
        <f t="shared" si="49"/>
        <v>#DIV/0!</v>
      </c>
      <c r="DJK71" s="1159" t="e">
        <f t="shared" si="49"/>
        <v>#DIV/0!</v>
      </c>
      <c r="DJL71" s="1159" t="e">
        <f t="shared" si="49"/>
        <v>#DIV/0!</v>
      </c>
      <c r="DJM71" s="1159" t="e">
        <f t="shared" si="49"/>
        <v>#DIV/0!</v>
      </c>
      <c r="DJN71" s="1159" t="e">
        <f t="shared" si="49"/>
        <v>#DIV/0!</v>
      </c>
      <c r="DJO71" s="1159" t="e">
        <f t="shared" si="49"/>
        <v>#DIV/0!</v>
      </c>
      <c r="DJP71" s="1159" t="e">
        <f t="shared" si="49"/>
        <v>#DIV/0!</v>
      </c>
      <c r="DJQ71" s="1159" t="e">
        <f t="shared" si="49"/>
        <v>#DIV/0!</v>
      </c>
      <c r="DJR71" s="1159" t="e">
        <f t="shared" si="49"/>
        <v>#DIV/0!</v>
      </c>
      <c r="DJS71" s="1159" t="e">
        <f t="shared" si="49"/>
        <v>#DIV/0!</v>
      </c>
      <c r="DJT71" s="1159" t="e">
        <f t="shared" si="49"/>
        <v>#DIV/0!</v>
      </c>
      <c r="DJU71" s="1159" t="e">
        <f t="shared" si="49"/>
        <v>#DIV/0!</v>
      </c>
      <c r="DJV71" s="1159" t="e">
        <f t="shared" si="49"/>
        <v>#DIV/0!</v>
      </c>
      <c r="DJW71" s="1159" t="e">
        <f t="shared" si="49"/>
        <v>#DIV/0!</v>
      </c>
      <c r="DJX71" s="1159" t="e">
        <f t="shared" si="49"/>
        <v>#DIV/0!</v>
      </c>
      <c r="DJY71" s="1159" t="e">
        <f t="shared" si="49"/>
        <v>#DIV/0!</v>
      </c>
      <c r="DJZ71" s="1159" t="e">
        <f t="shared" si="49"/>
        <v>#DIV/0!</v>
      </c>
      <c r="DKA71" s="1159" t="e">
        <f t="shared" si="49"/>
        <v>#DIV/0!</v>
      </c>
      <c r="DKB71" s="1159" t="e">
        <f t="shared" si="49"/>
        <v>#DIV/0!</v>
      </c>
      <c r="DKC71" s="1159" t="e">
        <f t="shared" si="49"/>
        <v>#DIV/0!</v>
      </c>
      <c r="DKD71" s="1159" t="e">
        <f t="shared" si="49"/>
        <v>#DIV/0!</v>
      </c>
      <c r="DKE71" s="1159" t="e">
        <f t="shared" si="49"/>
        <v>#DIV/0!</v>
      </c>
      <c r="DKF71" s="1159" t="e">
        <f t="shared" si="49"/>
        <v>#DIV/0!</v>
      </c>
      <c r="DKG71" s="1159" t="e">
        <f t="shared" si="49"/>
        <v>#DIV/0!</v>
      </c>
      <c r="DKH71" s="1159" t="e">
        <f t="shared" si="49"/>
        <v>#DIV/0!</v>
      </c>
      <c r="DKI71" s="1159" t="e">
        <f t="shared" si="49"/>
        <v>#DIV/0!</v>
      </c>
      <c r="DKJ71" s="1159" t="e">
        <f t="shared" si="49"/>
        <v>#DIV/0!</v>
      </c>
      <c r="DKK71" s="1159" t="e">
        <f t="shared" si="49"/>
        <v>#DIV/0!</v>
      </c>
      <c r="DKL71" s="1159" t="e">
        <f t="shared" si="49"/>
        <v>#DIV/0!</v>
      </c>
      <c r="DKM71" s="1159" t="e">
        <f t="shared" si="49"/>
        <v>#DIV/0!</v>
      </c>
      <c r="DKN71" s="1159" t="e">
        <f t="shared" si="49"/>
        <v>#DIV/0!</v>
      </c>
      <c r="DKO71" s="1159" t="e">
        <f t="shared" si="49"/>
        <v>#DIV/0!</v>
      </c>
      <c r="DKP71" s="1159" t="e">
        <f t="shared" si="49"/>
        <v>#DIV/0!</v>
      </c>
      <c r="DKQ71" s="1159" t="e">
        <f t="shared" si="49"/>
        <v>#DIV/0!</v>
      </c>
      <c r="DKR71" s="1159" t="e">
        <f t="shared" si="49"/>
        <v>#DIV/0!</v>
      </c>
      <c r="DKS71" s="1159" t="e">
        <f t="shared" si="49"/>
        <v>#DIV/0!</v>
      </c>
      <c r="DKT71" s="1159" t="e">
        <f t="shared" si="49"/>
        <v>#DIV/0!</v>
      </c>
      <c r="DKU71" s="1159" t="e">
        <f t="shared" si="49"/>
        <v>#DIV/0!</v>
      </c>
      <c r="DKV71" s="1159" t="e">
        <f t="shared" si="49"/>
        <v>#DIV/0!</v>
      </c>
      <c r="DKW71" s="1159" t="e">
        <f t="shared" si="49"/>
        <v>#DIV/0!</v>
      </c>
      <c r="DKX71" s="1159" t="e">
        <f t="shared" ref="DKX71:DNI71" si="50">((DKX6+DKX12+DKX13+DKX14+DKX15)*860+DKX16*DKX55+DKX17*DKX56+DKX7*DKX49+DKX8*DKX50+DKX9*DKX51+DKX10*DKX52+DKX11*DKX53)/(SUM(DKX6:DKX17))</f>
        <v>#DIV/0!</v>
      </c>
      <c r="DKY71" s="1159" t="e">
        <f t="shared" si="50"/>
        <v>#DIV/0!</v>
      </c>
      <c r="DKZ71" s="1159" t="e">
        <f t="shared" si="50"/>
        <v>#DIV/0!</v>
      </c>
      <c r="DLA71" s="1159" t="e">
        <f t="shared" si="50"/>
        <v>#DIV/0!</v>
      </c>
      <c r="DLB71" s="1159" t="e">
        <f t="shared" si="50"/>
        <v>#DIV/0!</v>
      </c>
      <c r="DLC71" s="1159" t="e">
        <f t="shared" si="50"/>
        <v>#DIV/0!</v>
      </c>
      <c r="DLD71" s="1159" t="e">
        <f t="shared" si="50"/>
        <v>#DIV/0!</v>
      </c>
      <c r="DLE71" s="1159" t="e">
        <f t="shared" si="50"/>
        <v>#DIV/0!</v>
      </c>
      <c r="DLF71" s="1159" t="e">
        <f t="shared" si="50"/>
        <v>#DIV/0!</v>
      </c>
      <c r="DLG71" s="1159" t="e">
        <f t="shared" si="50"/>
        <v>#DIV/0!</v>
      </c>
      <c r="DLH71" s="1159" t="e">
        <f t="shared" si="50"/>
        <v>#DIV/0!</v>
      </c>
      <c r="DLI71" s="1159" t="e">
        <f t="shared" si="50"/>
        <v>#DIV/0!</v>
      </c>
      <c r="DLJ71" s="1159" t="e">
        <f t="shared" si="50"/>
        <v>#DIV/0!</v>
      </c>
      <c r="DLK71" s="1159" t="e">
        <f t="shared" si="50"/>
        <v>#DIV/0!</v>
      </c>
      <c r="DLL71" s="1159" t="e">
        <f t="shared" si="50"/>
        <v>#DIV/0!</v>
      </c>
      <c r="DLM71" s="1159" t="e">
        <f t="shared" si="50"/>
        <v>#DIV/0!</v>
      </c>
      <c r="DLN71" s="1159" t="e">
        <f t="shared" si="50"/>
        <v>#DIV/0!</v>
      </c>
      <c r="DLO71" s="1159" t="e">
        <f t="shared" si="50"/>
        <v>#DIV/0!</v>
      </c>
      <c r="DLP71" s="1159" t="e">
        <f t="shared" si="50"/>
        <v>#DIV/0!</v>
      </c>
      <c r="DLQ71" s="1159" t="e">
        <f t="shared" si="50"/>
        <v>#DIV/0!</v>
      </c>
      <c r="DLR71" s="1159" t="e">
        <f t="shared" si="50"/>
        <v>#DIV/0!</v>
      </c>
      <c r="DLS71" s="1159" t="e">
        <f t="shared" si="50"/>
        <v>#DIV/0!</v>
      </c>
      <c r="DLT71" s="1159" t="e">
        <f t="shared" si="50"/>
        <v>#DIV/0!</v>
      </c>
      <c r="DLU71" s="1159" t="e">
        <f t="shared" si="50"/>
        <v>#DIV/0!</v>
      </c>
      <c r="DLV71" s="1159" t="e">
        <f t="shared" si="50"/>
        <v>#DIV/0!</v>
      </c>
      <c r="DLW71" s="1159" t="e">
        <f t="shared" si="50"/>
        <v>#DIV/0!</v>
      </c>
      <c r="DLX71" s="1159" t="e">
        <f t="shared" si="50"/>
        <v>#DIV/0!</v>
      </c>
      <c r="DLY71" s="1159" t="e">
        <f t="shared" si="50"/>
        <v>#DIV/0!</v>
      </c>
      <c r="DLZ71" s="1159" t="e">
        <f t="shared" si="50"/>
        <v>#DIV/0!</v>
      </c>
      <c r="DMA71" s="1159" t="e">
        <f t="shared" si="50"/>
        <v>#DIV/0!</v>
      </c>
      <c r="DMB71" s="1159" t="e">
        <f t="shared" si="50"/>
        <v>#DIV/0!</v>
      </c>
      <c r="DMC71" s="1159" t="e">
        <f t="shared" si="50"/>
        <v>#DIV/0!</v>
      </c>
      <c r="DMD71" s="1159" t="e">
        <f t="shared" si="50"/>
        <v>#DIV/0!</v>
      </c>
      <c r="DME71" s="1159" t="e">
        <f t="shared" si="50"/>
        <v>#DIV/0!</v>
      </c>
      <c r="DMF71" s="1159" t="e">
        <f t="shared" si="50"/>
        <v>#DIV/0!</v>
      </c>
      <c r="DMG71" s="1159" t="e">
        <f t="shared" si="50"/>
        <v>#DIV/0!</v>
      </c>
      <c r="DMH71" s="1159" t="e">
        <f t="shared" si="50"/>
        <v>#DIV/0!</v>
      </c>
      <c r="DMI71" s="1159" t="e">
        <f t="shared" si="50"/>
        <v>#DIV/0!</v>
      </c>
      <c r="DMJ71" s="1159" t="e">
        <f t="shared" si="50"/>
        <v>#DIV/0!</v>
      </c>
      <c r="DMK71" s="1159" t="e">
        <f t="shared" si="50"/>
        <v>#DIV/0!</v>
      </c>
      <c r="DML71" s="1159" t="e">
        <f t="shared" si="50"/>
        <v>#DIV/0!</v>
      </c>
      <c r="DMM71" s="1159" t="e">
        <f t="shared" si="50"/>
        <v>#DIV/0!</v>
      </c>
      <c r="DMN71" s="1159" t="e">
        <f t="shared" si="50"/>
        <v>#DIV/0!</v>
      </c>
      <c r="DMO71" s="1159" t="e">
        <f t="shared" si="50"/>
        <v>#DIV/0!</v>
      </c>
      <c r="DMP71" s="1159" t="e">
        <f t="shared" si="50"/>
        <v>#DIV/0!</v>
      </c>
      <c r="DMQ71" s="1159" t="e">
        <f t="shared" si="50"/>
        <v>#DIV/0!</v>
      </c>
      <c r="DMR71" s="1159" t="e">
        <f t="shared" si="50"/>
        <v>#DIV/0!</v>
      </c>
      <c r="DMS71" s="1159" t="e">
        <f t="shared" si="50"/>
        <v>#DIV/0!</v>
      </c>
      <c r="DMT71" s="1159" t="e">
        <f t="shared" si="50"/>
        <v>#DIV/0!</v>
      </c>
      <c r="DMU71" s="1159" t="e">
        <f t="shared" si="50"/>
        <v>#DIV/0!</v>
      </c>
      <c r="DMV71" s="1159" t="e">
        <f t="shared" si="50"/>
        <v>#DIV/0!</v>
      </c>
      <c r="DMW71" s="1159" t="e">
        <f t="shared" si="50"/>
        <v>#DIV/0!</v>
      </c>
      <c r="DMX71" s="1159" t="e">
        <f t="shared" si="50"/>
        <v>#DIV/0!</v>
      </c>
      <c r="DMY71" s="1159" t="e">
        <f t="shared" si="50"/>
        <v>#DIV/0!</v>
      </c>
      <c r="DMZ71" s="1159" t="e">
        <f t="shared" si="50"/>
        <v>#DIV/0!</v>
      </c>
      <c r="DNA71" s="1159" t="e">
        <f t="shared" si="50"/>
        <v>#DIV/0!</v>
      </c>
      <c r="DNB71" s="1159" t="e">
        <f t="shared" si="50"/>
        <v>#DIV/0!</v>
      </c>
      <c r="DNC71" s="1159" t="e">
        <f t="shared" si="50"/>
        <v>#DIV/0!</v>
      </c>
      <c r="DND71" s="1159" t="e">
        <f t="shared" si="50"/>
        <v>#DIV/0!</v>
      </c>
      <c r="DNE71" s="1159" t="e">
        <f t="shared" si="50"/>
        <v>#DIV/0!</v>
      </c>
      <c r="DNF71" s="1159" t="e">
        <f t="shared" si="50"/>
        <v>#DIV/0!</v>
      </c>
      <c r="DNG71" s="1159" t="e">
        <f t="shared" si="50"/>
        <v>#DIV/0!</v>
      </c>
      <c r="DNH71" s="1159" t="e">
        <f t="shared" si="50"/>
        <v>#DIV/0!</v>
      </c>
      <c r="DNI71" s="1159" t="e">
        <f t="shared" si="50"/>
        <v>#DIV/0!</v>
      </c>
      <c r="DNJ71" s="1159" t="e">
        <f t="shared" ref="DNJ71:DPU71" si="51">((DNJ6+DNJ12+DNJ13+DNJ14+DNJ15)*860+DNJ16*DNJ55+DNJ17*DNJ56+DNJ7*DNJ49+DNJ8*DNJ50+DNJ9*DNJ51+DNJ10*DNJ52+DNJ11*DNJ53)/(SUM(DNJ6:DNJ17))</f>
        <v>#DIV/0!</v>
      </c>
      <c r="DNK71" s="1159" t="e">
        <f t="shared" si="51"/>
        <v>#DIV/0!</v>
      </c>
      <c r="DNL71" s="1159" t="e">
        <f t="shared" si="51"/>
        <v>#DIV/0!</v>
      </c>
      <c r="DNM71" s="1159" t="e">
        <f t="shared" si="51"/>
        <v>#DIV/0!</v>
      </c>
      <c r="DNN71" s="1159" t="e">
        <f t="shared" si="51"/>
        <v>#DIV/0!</v>
      </c>
      <c r="DNO71" s="1159" t="e">
        <f t="shared" si="51"/>
        <v>#DIV/0!</v>
      </c>
      <c r="DNP71" s="1159" t="e">
        <f t="shared" si="51"/>
        <v>#DIV/0!</v>
      </c>
      <c r="DNQ71" s="1159" t="e">
        <f t="shared" si="51"/>
        <v>#DIV/0!</v>
      </c>
      <c r="DNR71" s="1159" t="e">
        <f t="shared" si="51"/>
        <v>#DIV/0!</v>
      </c>
      <c r="DNS71" s="1159" t="e">
        <f t="shared" si="51"/>
        <v>#DIV/0!</v>
      </c>
      <c r="DNT71" s="1159" t="e">
        <f t="shared" si="51"/>
        <v>#DIV/0!</v>
      </c>
      <c r="DNU71" s="1159" t="e">
        <f t="shared" si="51"/>
        <v>#DIV/0!</v>
      </c>
      <c r="DNV71" s="1159" t="e">
        <f t="shared" si="51"/>
        <v>#DIV/0!</v>
      </c>
      <c r="DNW71" s="1159" t="e">
        <f t="shared" si="51"/>
        <v>#DIV/0!</v>
      </c>
      <c r="DNX71" s="1159" t="e">
        <f t="shared" si="51"/>
        <v>#DIV/0!</v>
      </c>
      <c r="DNY71" s="1159" t="e">
        <f t="shared" si="51"/>
        <v>#DIV/0!</v>
      </c>
      <c r="DNZ71" s="1159" t="e">
        <f t="shared" si="51"/>
        <v>#DIV/0!</v>
      </c>
      <c r="DOA71" s="1159" t="e">
        <f t="shared" si="51"/>
        <v>#DIV/0!</v>
      </c>
      <c r="DOB71" s="1159" t="e">
        <f t="shared" si="51"/>
        <v>#DIV/0!</v>
      </c>
      <c r="DOC71" s="1159" t="e">
        <f t="shared" si="51"/>
        <v>#DIV/0!</v>
      </c>
      <c r="DOD71" s="1159" t="e">
        <f t="shared" si="51"/>
        <v>#DIV/0!</v>
      </c>
      <c r="DOE71" s="1159" t="e">
        <f t="shared" si="51"/>
        <v>#DIV/0!</v>
      </c>
      <c r="DOF71" s="1159" t="e">
        <f t="shared" si="51"/>
        <v>#DIV/0!</v>
      </c>
      <c r="DOG71" s="1159" t="e">
        <f t="shared" si="51"/>
        <v>#DIV/0!</v>
      </c>
      <c r="DOH71" s="1159" t="e">
        <f t="shared" si="51"/>
        <v>#DIV/0!</v>
      </c>
      <c r="DOI71" s="1159" t="e">
        <f t="shared" si="51"/>
        <v>#DIV/0!</v>
      </c>
      <c r="DOJ71" s="1159" t="e">
        <f t="shared" si="51"/>
        <v>#DIV/0!</v>
      </c>
      <c r="DOK71" s="1159" t="e">
        <f t="shared" si="51"/>
        <v>#DIV/0!</v>
      </c>
      <c r="DOL71" s="1159" t="e">
        <f t="shared" si="51"/>
        <v>#DIV/0!</v>
      </c>
      <c r="DOM71" s="1159" t="e">
        <f t="shared" si="51"/>
        <v>#DIV/0!</v>
      </c>
      <c r="DON71" s="1159" t="e">
        <f t="shared" si="51"/>
        <v>#DIV/0!</v>
      </c>
      <c r="DOO71" s="1159" t="e">
        <f t="shared" si="51"/>
        <v>#DIV/0!</v>
      </c>
      <c r="DOP71" s="1159" t="e">
        <f t="shared" si="51"/>
        <v>#DIV/0!</v>
      </c>
      <c r="DOQ71" s="1159" t="e">
        <f t="shared" si="51"/>
        <v>#DIV/0!</v>
      </c>
      <c r="DOR71" s="1159" t="e">
        <f t="shared" si="51"/>
        <v>#DIV/0!</v>
      </c>
      <c r="DOS71" s="1159" t="e">
        <f t="shared" si="51"/>
        <v>#DIV/0!</v>
      </c>
      <c r="DOT71" s="1159" t="e">
        <f t="shared" si="51"/>
        <v>#DIV/0!</v>
      </c>
      <c r="DOU71" s="1159" t="e">
        <f t="shared" si="51"/>
        <v>#DIV/0!</v>
      </c>
      <c r="DOV71" s="1159" t="e">
        <f t="shared" si="51"/>
        <v>#DIV/0!</v>
      </c>
      <c r="DOW71" s="1159" t="e">
        <f t="shared" si="51"/>
        <v>#DIV/0!</v>
      </c>
      <c r="DOX71" s="1159" t="e">
        <f t="shared" si="51"/>
        <v>#DIV/0!</v>
      </c>
      <c r="DOY71" s="1159" t="e">
        <f t="shared" si="51"/>
        <v>#DIV/0!</v>
      </c>
      <c r="DOZ71" s="1159" t="e">
        <f t="shared" si="51"/>
        <v>#DIV/0!</v>
      </c>
      <c r="DPA71" s="1159" t="e">
        <f t="shared" si="51"/>
        <v>#DIV/0!</v>
      </c>
      <c r="DPB71" s="1159" t="e">
        <f t="shared" si="51"/>
        <v>#DIV/0!</v>
      </c>
      <c r="DPC71" s="1159" t="e">
        <f t="shared" si="51"/>
        <v>#DIV/0!</v>
      </c>
      <c r="DPD71" s="1159" t="e">
        <f t="shared" si="51"/>
        <v>#DIV/0!</v>
      </c>
      <c r="DPE71" s="1159" t="e">
        <f t="shared" si="51"/>
        <v>#DIV/0!</v>
      </c>
      <c r="DPF71" s="1159" t="e">
        <f t="shared" si="51"/>
        <v>#DIV/0!</v>
      </c>
      <c r="DPG71" s="1159" t="e">
        <f t="shared" si="51"/>
        <v>#DIV/0!</v>
      </c>
      <c r="DPH71" s="1159" t="e">
        <f t="shared" si="51"/>
        <v>#DIV/0!</v>
      </c>
      <c r="DPI71" s="1159" t="e">
        <f t="shared" si="51"/>
        <v>#DIV/0!</v>
      </c>
      <c r="DPJ71" s="1159" t="e">
        <f t="shared" si="51"/>
        <v>#DIV/0!</v>
      </c>
      <c r="DPK71" s="1159" t="e">
        <f t="shared" si="51"/>
        <v>#DIV/0!</v>
      </c>
      <c r="DPL71" s="1159" t="e">
        <f t="shared" si="51"/>
        <v>#DIV/0!</v>
      </c>
      <c r="DPM71" s="1159" t="e">
        <f t="shared" si="51"/>
        <v>#DIV/0!</v>
      </c>
      <c r="DPN71" s="1159" t="e">
        <f t="shared" si="51"/>
        <v>#DIV/0!</v>
      </c>
      <c r="DPO71" s="1159" t="e">
        <f t="shared" si="51"/>
        <v>#DIV/0!</v>
      </c>
      <c r="DPP71" s="1159" t="e">
        <f t="shared" si="51"/>
        <v>#DIV/0!</v>
      </c>
      <c r="DPQ71" s="1159" t="e">
        <f t="shared" si="51"/>
        <v>#DIV/0!</v>
      </c>
      <c r="DPR71" s="1159" t="e">
        <f t="shared" si="51"/>
        <v>#DIV/0!</v>
      </c>
      <c r="DPS71" s="1159" t="e">
        <f t="shared" si="51"/>
        <v>#DIV/0!</v>
      </c>
      <c r="DPT71" s="1159" t="e">
        <f t="shared" si="51"/>
        <v>#DIV/0!</v>
      </c>
      <c r="DPU71" s="1159" t="e">
        <f t="shared" si="51"/>
        <v>#DIV/0!</v>
      </c>
      <c r="DPV71" s="1159" t="e">
        <f t="shared" ref="DPV71:DSG71" si="52">((DPV6+DPV12+DPV13+DPV14+DPV15)*860+DPV16*DPV55+DPV17*DPV56+DPV7*DPV49+DPV8*DPV50+DPV9*DPV51+DPV10*DPV52+DPV11*DPV53)/(SUM(DPV6:DPV17))</f>
        <v>#DIV/0!</v>
      </c>
      <c r="DPW71" s="1159" t="e">
        <f t="shared" si="52"/>
        <v>#DIV/0!</v>
      </c>
      <c r="DPX71" s="1159" t="e">
        <f t="shared" si="52"/>
        <v>#DIV/0!</v>
      </c>
      <c r="DPY71" s="1159" t="e">
        <f t="shared" si="52"/>
        <v>#DIV/0!</v>
      </c>
      <c r="DPZ71" s="1159" t="e">
        <f t="shared" si="52"/>
        <v>#DIV/0!</v>
      </c>
      <c r="DQA71" s="1159" t="e">
        <f t="shared" si="52"/>
        <v>#DIV/0!</v>
      </c>
      <c r="DQB71" s="1159" t="e">
        <f t="shared" si="52"/>
        <v>#DIV/0!</v>
      </c>
      <c r="DQC71" s="1159" t="e">
        <f t="shared" si="52"/>
        <v>#DIV/0!</v>
      </c>
      <c r="DQD71" s="1159" t="e">
        <f t="shared" si="52"/>
        <v>#DIV/0!</v>
      </c>
      <c r="DQE71" s="1159" t="e">
        <f t="shared" si="52"/>
        <v>#DIV/0!</v>
      </c>
      <c r="DQF71" s="1159" t="e">
        <f t="shared" si="52"/>
        <v>#DIV/0!</v>
      </c>
      <c r="DQG71" s="1159" t="e">
        <f t="shared" si="52"/>
        <v>#DIV/0!</v>
      </c>
      <c r="DQH71" s="1159" t="e">
        <f t="shared" si="52"/>
        <v>#DIV/0!</v>
      </c>
      <c r="DQI71" s="1159" t="e">
        <f t="shared" si="52"/>
        <v>#DIV/0!</v>
      </c>
      <c r="DQJ71" s="1159" t="e">
        <f t="shared" si="52"/>
        <v>#DIV/0!</v>
      </c>
      <c r="DQK71" s="1159" t="e">
        <f t="shared" si="52"/>
        <v>#DIV/0!</v>
      </c>
      <c r="DQL71" s="1159" t="e">
        <f t="shared" si="52"/>
        <v>#DIV/0!</v>
      </c>
      <c r="DQM71" s="1159" t="e">
        <f t="shared" si="52"/>
        <v>#DIV/0!</v>
      </c>
      <c r="DQN71" s="1159" t="e">
        <f t="shared" si="52"/>
        <v>#DIV/0!</v>
      </c>
      <c r="DQO71" s="1159" t="e">
        <f t="shared" si="52"/>
        <v>#DIV/0!</v>
      </c>
      <c r="DQP71" s="1159" t="e">
        <f t="shared" si="52"/>
        <v>#DIV/0!</v>
      </c>
      <c r="DQQ71" s="1159" t="e">
        <f t="shared" si="52"/>
        <v>#DIV/0!</v>
      </c>
      <c r="DQR71" s="1159" t="e">
        <f t="shared" si="52"/>
        <v>#DIV/0!</v>
      </c>
      <c r="DQS71" s="1159" t="e">
        <f t="shared" si="52"/>
        <v>#DIV/0!</v>
      </c>
      <c r="DQT71" s="1159" t="e">
        <f t="shared" si="52"/>
        <v>#DIV/0!</v>
      </c>
      <c r="DQU71" s="1159" t="e">
        <f t="shared" si="52"/>
        <v>#DIV/0!</v>
      </c>
      <c r="DQV71" s="1159" t="e">
        <f t="shared" si="52"/>
        <v>#DIV/0!</v>
      </c>
      <c r="DQW71" s="1159" t="e">
        <f t="shared" si="52"/>
        <v>#DIV/0!</v>
      </c>
      <c r="DQX71" s="1159" t="e">
        <f t="shared" si="52"/>
        <v>#DIV/0!</v>
      </c>
      <c r="DQY71" s="1159" t="e">
        <f t="shared" si="52"/>
        <v>#DIV/0!</v>
      </c>
      <c r="DQZ71" s="1159" t="e">
        <f t="shared" si="52"/>
        <v>#DIV/0!</v>
      </c>
      <c r="DRA71" s="1159" t="e">
        <f t="shared" si="52"/>
        <v>#DIV/0!</v>
      </c>
      <c r="DRB71" s="1159" t="e">
        <f t="shared" si="52"/>
        <v>#DIV/0!</v>
      </c>
      <c r="DRC71" s="1159" t="e">
        <f t="shared" si="52"/>
        <v>#DIV/0!</v>
      </c>
      <c r="DRD71" s="1159" t="e">
        <f t="shared" si="52"/>
        <v>#DIV/0!</v>
      </c>
      <c r="DRE71" s="1159" t="e">
        <f t="shared" si="52"/>
        <v>#DIV/0!</v>
      </c>
      <c r="DRF71" s="1159" t="e">
        <f t="shared" si="52"/>
        <v>#DIV/0!</v>
      </c>
      <c r="DRG71" s="1159" t="e">
        <f t="shared" si="52"/>
        <v>#DIV/0!</v>
      </c>
      <c r="DRH71" s="1159" t="e">
        <f t="shared" si="52"/>
        <v>#DIV/0!</v>
      </c>
      <c r="DRI71" s="1159" t="e">
        <f t="shared" si="52"/>
        <v>#DIV/0!</v>
      </c>
      <c r="DRJ71" s="1159" t="e">
        <f t="shared" si="52"/>
        <v>#DIV/0!</v>
      </c>
      <c r="DRK71" s="1159" t="e">
        <f t="shared" si="52"/>
        <v>#DIV/0!</v>
      </c>
      <c r="DRL71" s="1159" t="e">
        <f t="shared" si="52"/>
        <v>#DIV/0!</v>
      </c>
      <c r="DRM71" s="1159" t="e">
        <f t="shared" si="52"/>
        <v>#DIV/0!</v>
      </c>
      <c r="DRN71" s="1159" t="e">
        <f t="shared" si="52"/>
        <v>#DIV/0!</v>
      </c>
      <c r="DRO71" s="1159" t="e">
        <f t="shared" si="52"/>
        <v>#DIV/0!</v>
      </c>
      <c r="DRP71" s="1159" t="e">
        <f t="shared" si="52"/>
        <v>#DIV/0!</v>
      </c>
      <c r="DRQ71" s="1159" t="e">
        <f t="shared" si="52"/>
        <v>#DIV/0!</v>
      </c>
      <c r="DRR71" s="1159" t="e">
        <f t="shared" si="52"/>
        <v>#DIV/0!</v>
      </c>
      <c r="DRS71" s="1159" t="e">
        <f t="shared" si="52"/>
        <v>#DIV/0!</v>
      </c>
      <c r="DRT71" s="1159" t="e">
        <f t="shared" si="52"/>
        <v>#DIV/0!</v>
      </c>
      <c r="DRU71" s="1159" t="e">
        <f t="shared" si="52"/>
        <v>#DIV/0!</v>
      </c>
      <c r="DRV71" s="1159" t="e">
        <f t="shared" si="52"/>
        <v>#DIV/0!</v>
      </c>
      <c r="DRW71" s="1159" t="e">
        <f t="shared" si="52"/>
        <v>#DIV/0!</v>
      </c>
      <c r="DRX71" s="1159" t="e">
        <f t="shared" si="52"/>
        <v>#DIV/0!</v>
      </c>
      <c r="DRY71" s="1159" t="e">
        <f t="shared" si="52"/>
        <v>#DIV/0!</v>
      </c>
      <c r="DRZ71" s="1159" t="e">
        <f t="shared" si="52"/>
        <v>#DIV/0!</v>
      </c>
      <c r="DSA71" s="1159" t="e">
        <f t="shared" si="52"/>
        <v>#DIV/0!</v>
      </c>
      <c r="DSB71" s="1159" t="e">
        <f t="shared" si="52"/>
        <v>#DIV/0!</v>
      </c>
      <c r="DSC71" s="1159" t="e">
        <f t="shared" si="52"/>
        <v>#DIV/0!</v>
      </c>
      <c r="DSD71" s="1159" t="e">
        <f t="shared" si="52"/>
        <v>#DIV/0!</v>
      </c>
      <c r="DSE71" s="1159" t="e">
        <f t="shared" si="52"/>
        <v>#DIV/0!</v>
      </c>
      <c r="DSF71" s="1159" t="e">
        <f t="shared" si="52"/>
        <v>#DIV/0!</v>
      </c>
      <c r="DSG71" s="1159" t="e">
        <f t="shared" si="52"/>
        <v>#DIV/0!</v>
      </c>
      <c r="DSH71" s="1159" t="e">
        <f t="shared" ref="DSH71:DUS71" si="53">((DSH6+DSH12+DSH13+DSH14+DSH15)*860+DSH16*DSH55+DSH17*DSH56+DSH7*DSH49+DSH8*DSH50+DSH9*DSH51+DSH10*DSH52+DSH11*DSH53)/(SUM(DSH6:DSH17))</f>
        <v>#DIV/0!</v>
      </c>
      <c r="DSI71" s="1159" t="e">
        <f t="shared" si="53"/>
        <v>#DIV/0!</v>
      </c>
      <c r="DSJ71" s="1159" t="e">
        <f t="shared" si="53"/>
        <v>#DIV/0!</v>
      </c>
      <c r="DSK71" s="1159" t="e">
        <f t="shared" si="53"/>
        <v>#DIV/0!</v>
      </c>
      <c r="DSL71" s="1159" t="e">
        <f t="shared" si="53"/>
        <v>#DIV/0!</v>
      </c>
      <c r="DSM71" s="1159" t="e">
        <f t="shared" si="53"/>
        <v>#DIV/0!</v>
      </c>
      <c r="DSN71" s="1159" t="e">
        <f t="shared" si="53"/>
        <v>#DIV/0!</v>
      </c>
      <c r="DSO71" s="1159" t="e">
        <f t="shared" si="53"/>
        <v>#DIV/0!</v>
      </c>
      <c r="DSP71" s="1159" t="e">
        <f t="shared" si="53"/>
        <v>#DIV/0!</v>
      </c>
      <c r="DSQ71" s="1159" t="e">
        <f t="shared" si="53"/>
        <v>#DIV/0!</v>
      </c>
      <c r="DSR71" s="1159" t="e">
        <f t="shared" si="53"/>
        <v>#DIV/0!</v>
      </c>
      <c r="DSS71" s="1159" t="e">
        <f t="shared" si="53"/>
        <v>#DIV/0!</v>
      </c>
      <c r="DST71" s="1159" t="e">
        <f t="shared" si="53"/>
        <v>#DIV/0!</v>
      </c>
      <c r="DSU71" s="1159" t="e">
        <f t="shared" si="53"/>
        <v>#DIV/0!</v>
      </c>
      <c r="DSV71" s="1159" t="e">
        <f t="shared" si="53"/>
        <v>#DIV/0!</v>
      </c>
      <c r="DSW71" s="1159" t="e">
        <f t="shared" si="53"/>
        <v>#DIV/0!</v>
      </c>
      <c r="DSX71" s="1159" t="e">
        <f t="shared" si="53"/>
        <v>#DIV/0!</v>
      </c>
      <c r="DSY71" s="1159" t="e">
        <f t="shared" si="53"/>
        <v>#DIV/0!</v>
      </c>
      <c r="DSZ71" s="1159" t="e">
        <f t="shared" si="53"/>
        <v>#DIV/0!</v>
      </c>
      <c r="DTA71" s="1159" t="e">
        <f t="shared" si="53"/>
        <v>#DIV/0!</v>
      </c>
      <c r="DTB71" s="1159" t="e">
        <f t="shared" si="53"/>
        <v>#DIV/0!</v>
      </c>
      <c r="DTC71" s="1159" t="e">
        <f t="shared" si="53"/>
        <v>#DIV/0!</v>
      </c>
      <c r="DTD71" s="1159" t="e">
        <f t="shared" si="53"/>
        <v>#DIV/0!</v>
      </c>
      <c r="DTE71" s="1159" t="e">
        <f t="shared" si="53"/>
        <v>#DIV/0!</v>
      </c>
      <c r="DTF71" s="1159" t="e">
        <f t="shared" si="53"/>
        <v>#DIV/0!</v>
      </c>
      <c r="DTG71" s="1159" t="e">
        <f t="shared" si="53"/>
        <v>#DIV/0!</v>
      </c>
      <c r="DTH71" s="1159" t="e">
        <f t="shared" si="53"/>
        <v>#DIV/0!</v>
      </c>
      <c r="DTI71" s="1159" t="e">
        <f t="shared" si="53"/>
        <v>#DIV/0!</v>
      </c>
      <c r="DTJ71" s="1159" t="e">
        <f t="shared" si="53"/>
        <v>#DIV/0!</v>
      </c>
      <c r="DTK71" s="1159" t="e">
        <f t="shared" si="53"/>
        <v>#DIV/0!</v>
      </c>
      <c r="DTL71" s="1159" t="e">
        <f t="shared" si="53"/>
        <v>#DIV/0!</v>
      </c>
      <c r="DTM71" s="1159" t="e">
        <f t="shared" si="53"/>
        <v>#DIV/0!</v>
      </c>
      <c r="DTN71" s="1159" t="e">
        <f t="shared" si="53"/>
        <v>#DIV/0!</v>
      </c>
      <c r="DTO71" s="1159" t="e">
        <f t="shared" si="53"/>
        <v>#DIV/0!</v>
      </c>
      <c r="DTP71" s="1159" t="e">
        <f t="shared" si="53"/>
        <v>#DIV/0!</v>
      </c>
      <c r="DTQ71" s="1159" t="e">
        <f t="shared" si="53"/>
        <v>#DIV/0!</v>
      </c>
      <c r="DTR71" s="1159" t="e">
        <f t="shared" si="53"/>
        <v>#DIV/0!</v>
      </c>
      <c r="DTS71" s="1159" t="e">
        <f t="shared" si="53"/>
        <v>#DIV/0!</v>
      </c>
      <c r="DTT71" s="1159" t="e">
        <f t="shared" si="53"/>
        <v>#DIV/0!</v>
      </c>
      <c r="DTU71" s="1159" t="e">
        <f t="shared" si="53"/>
        <v>#DIV/0!</v>
      </c>
      <c r="DTV71" s="1159" t="e">
        <f t="shared" si="53"/>
        <v>#DIV/0!</v>
      </c>
      <c r="DTW71" s="1159" t="e">
        <f t="shared" si="53"/>
        <v>#DIV/0!</v>
      </c>
      <c r="DTX71" s="1159" t="e">
        <f t="shared" si="53"/>
        <v>#DIV/0!</v>
      </c>
      <c r="DTY71" s="1159" t="e">
        <f t="shared" si="53"/>
        <v>#DIV/0!</v>
      </c>
      <c r="DTZ71" s="1159" t="e">
        <f t="shared" si="53"/>
        <v>#DIV/0!</v>
      </c>
      <c r="DUA71" s="1159" t="e">
        <f t="shared" si="53"/>
        <v>#DIV/0!</v>
      </c>
      <c r="DUB71" s="1159" t="e">
        <f t="shared" si="53"/>
        <v>#DIV/0!</v>
      </c>
      <c r="DUC71" s="1159" t="e">
        <f t="shared" si="53"/>
        <v>#DIV/0!</v>
      </c>
      <c r="DUD71" s="1159" t="e">
        <f t="shared" si="53"/>
        <v>#DIV/0!</v>
      </c>
      <c r="DUE71" s="1159" t="e">
        <f t="shared" si="53"/>
        <v>#DIV/0!</v>
      </c>
      <c r="DUF71" s="1159" t="e">
        <f t="shared" si="53"/>
        <v>#DIV/0!</v>
      </c>
      <c r="DUG71" s="1159" t="e">
        <f t="shared" si="53"/>
        <v>#DIV/0!</v>
      </c>
      <c r="DUH71" s="1159" t="e">
        <f t="shared" si="53"/>
        <v>#DIV/0!</v>
      </c>
      <c r="DUI71" s="1159" t="e">
        <f t="shared" si="53"/>
        <v>#DIV/0!</v>
      </c>
      <c r="DUJ71" s="1159" t="e">
        <f t="shared" si="53"/>
        <v>#DIV/0!</v>
      </c>
      <c r="DUK71" s="1159" t="e">
        <f t="shared" si="53"/>
        <v>#DIV/0!</v>
      </c>
      <c r="DUL71" s="1159" t="e">
        <f t="shared" si="53"/>
        <v>#DIV/0!</v>
      </c>
      <c r="DUM71" s="1159" t="e">
        <f t="shared" si="53"/>
        <v>#DIV/0!</v>
      </c>
      <c r="DUN71" s="1159" t="e">
        <f t="shared" si="53"/>
        <v>#DIV/0!</v>
      </c>
      <c r="DUO71" s="1159" t="e">
        <f t="shared" si="53"/>
        <v>#DIV/0!</v>
      </c>
      <c r="DUP71" s="1159" t="e">
        <f t="shared" si="53"/>
        <v>#DIV/0!</v>
      </c>
      <c r="DUQ71" s="1159" t="e">
        <f t="shared" si="53"/>
        <v>#DIV/0!</v>
      </c>
      <c r="DUR71" s="1159" t="e">
        <f t="shared" si="53"/>
        <v>#DIV/0!</v>
      </c>
      <c r="DUS71" s="1159" t="e">
        <f t="shared" si="53"/>
        <v>#DIV/0!</v>
      </c>
      <c r="DUT71" s="1159" t="e">
        <f t="shared" ref="DUT71:DXE71" si="54">((DUT6+DUT12+DUT13+DUT14+DUT15)*860+DUT16*DUT55+DUT17*DUT56+DUT7*DUT49+DUT8*DUT50+DUT9*DUT51+DUT10*DUT52+DUT11*DUT53)/(SUM(DUT6:DUT17))</f>
        <v>#DIV/0!</v>
      </c>
      <c r="DUU71" s="1159" t="e">
        <f t="shared" si="54"/>
        <v>#DIV/0!</v>
      </c>
      <c r="DUV71" s="1159" t="e">
        <f t="shared" si="54"/>
        <v>#DIV/0!</v>
      </c>
      <c r="DUW71" s="1159" t="e">
        <f t="shared" si="54"/>
        <v>#DIV/0!</v>
      </c>
      <c r="DUX71" s="1159" t="e">
        <f t="shared" si="54"/>
        <v>#DIV/0!</v>
      </c>
      <c r="DUY71" s="1159" t="e">
        <f t="shared" si="54"/>
        <v>#DIV/0!</v>
      </c>
      <c r="DUZ71" s="1159" t="e">
        <f t="shared" si="54"/>
        <v>#DIV/0!</v>
      </c>
      <c r="DVA71" s="1159" t="e">
        <f t="shared" si="54"/>
        <v>#DIV/0!</v>
      </c>
      <c r="DVB71" s="1159" t="e">
        <f t="shared" si="54"/>
        <v>#DIV/0!</v>
      </c>
      <c r="DVC71" s="1159" t="e">
        <f t="shared" si="54"/>
        <v>#DIV/0!</v>
      </c>
      <c r="DVD71" s="1159" t="e">
        <f t="shared" si="54"/>
        <v>#DIV/0!</v>
      </c>
      <c r="DVE71" s="1159" t="e">
        <f t="shared" si="54"/>
        <v>#DIV/0!</v>
      </c>
      <c r="DVF71" s="1159" t="e">
        <f t="shared" si="54"/>
        <v>#DIV/0!</v>
      </c>
      <c r="DVG71" s="1159" t="e">
        <f t="shared" si="54"/>
        <v>#DIV/0!</v>
      </c>
      <c r="DVH71" s="1159" t="e">
        <f t="shared" si="54"/>
        <v>#DIV/0!</v>
      </c>
      <c r="DVI71" s="1159" t="e">
        <f t="shared" si="54"/>
        <v>#DIV/0!</v>
      </c>
      <c r="DVJ71" s="1159" t="e">
        <f t="shared" si="54"/>
        <v>#DIV/0!</v>
      </c>
      <c r="DVK71" s="1159" t="e">
        <f t="shared" si="54"/>
        <v>#DIV/0!</v>
      </c>
      <c r="DVL71" s="1159" t="e">
        <f t="shared" si="54"/>
        <v>#DIV/0!</v>
      </c>
      <c r="DVM71" s="1159" t="e">
        <f t="shared" si="54"/>
        <v>#DIV/0!</v>
      </c>
      <c r="DVN71" s="1159" t="e">
        <f t="shared" si="54"/>
        <v>#DIV/0!</v>
      </c>
      <c r="DVO71" s="1159" t="e">
        <f t="shared" si="54"/>
        <v>#DIV/0!</v>
      </c>
      <c r="DVP71" s="1159" t="e">
        <f t="shared" si="54"/>
        <v>#DIV/0!</v>
      </c>
      <c r="DVQ71" s="1159" t="e">
        <f t="shared" si="54"/>
        <v>#DIV/0!</v>
      </c>
      <c r="DVR71" s="1159" t="e">
        <f t="shared" si="54"/>
        <v>#DIV/0!</v>
      </c>
      <c r="DVS71" s="1159" t="e">
        <f t="shared" si="54"/>
        <v>#DIV/0!</v>
      </c>
      <c r="DVT71" s="1159" t="e">
        <f t="shared" si="54"/>
        <v>#DIV/0!</v>
      </c>
      <c r="DVU71" s="1159" t="e">
        <f t="shared" si="54"/>
        <v>#DIV/0!</v>
      </c>
      <c r="DVV71" s="1159" t="e">
        <f t="shared" si="54"/>
        <v>#DIV/0!</v>
      </c>
      <c r="DVW71" s="1159" t="e">
        <f t="shared" si="54"/>
        <v>#DIV/0!</v>
      </c>
      <c r="DVX71" s="1159" t="e">
        <f t="shared" si="54"/>
        <v>#DIV/0!</v>
      </c>
      <c r="DVY71" s="1159" t="e">
        <f t="shared" si="54"/>
        <v>#DIV/0!</v>
      </c>
      <c r="DVZ71" s="1159" t="e">
        <f t="shared" si="54"/>
        <v>#DIV/0!</v>
      </c>
      <c r="DWA71" s="1159" t="e">
        <f t="shared" si="54"/>
        <v>#DIV/0!</v>
      </c>
      <c r="DWB71" s="1159" t="e">
        <f t="shared" si="54"/>
        <v>#DIV/0!</v>
      </c>
      <c r="DWC71" s="1159" t="e">
        <f t="shared" si="54"/>
        <v>#DIV/0!</v>
      </c>
      <c r="DWD71" s="1159" t="e">
        <f t="shared" si="54"/>
        <v>#DIV/0!</v>
      </c>
      <c r="DWE71" s="1159" t="e">
        <f t="shared" si="54"/>
        <v>#DIV/0!</v>
      </c>
      <c r="DWF71" s="1159" t="e">
        <f t="shared" si="54"/>
        <v>#DIV/0!</v>
      </c>
      <c r="DWG71" s="1159" t="e">
        <f t="shared" si="54"/>
        <v>#DIV/0!</v>
      </c>
      <c r="DWH71" s="1159" t="e">
        <f t="shared" si="54"/>
        <v>#DIV/0!</v>
      </c>
      <c r="DWI71" s="1159" t="e">
        <f t="shared" si="54"/>
        <v>#DIV/0!</v>
      </c>
      <c r="DWJ71" s="1159" t="e">
        <f t="shared" si="54"/>
        <v>#DIV/0!</v>
      </c>
      <c r="DWK71" s="1159" t="e">
        <f t="shared" si="54"/>
        <v>#DIV/0!</v>
      </c>
      <c r="DWL71" s="1159" t="e">
        <f t="shared" si="54"/>
        <v>#DIV/0!</v>
      </c>
      <c r="DWM71" s="1159" t="e">
        <f t="shared" si="54"/>
        <v>#DIV/0!</v>
      </c>
      <c r="DWN71" s="1159" t="e">
        <f t="shared" si="54"/>
        <v>#DIV/0!</v>
      </c>
      <c r="DWO71" s="1159" t="e">
        <f t="shared" si="54"/>
        <v>#DIV/0!</v>
      </c>
      <c r="DWP71" s="1159" t="e">
        <f t="shared" si="54"/>
        <v>#DIV/0!</v>
      </c>
      <c r="DWQ71" s="1159" t="e">
        <f t="shared" si="54"/>
        <v>#DIV/0!</v>
      </c>
      <c r="DWR71" s="1159" t="e">
        <f t="shared" si="54"/>
        <v>#DIV/0!</v>
      </c>
      <c r="DWS71" s="1159" t="e">
        <f t="shared" si="54"/>
        <v>#DIV/0!</v>
      </c>
      <c r="DWT71" s="1159" t="e">
        <f t="shared" si="54"/>
        <v>#DIV/0!</v>
      </c>
      <c r="DWU71" s="1159" t="e">
        <f t="shared" si="54"/>
        <v>#DIV/0!</v>
      </c>
      <c r="DWV71" s="1159" t="e">
        <f t="shared" si="54"/>
        <v>#DIV/0!</v>
      </c>
      <c r="DWW71" s="1159" t="e">
        <f t="shared" si="54"/>
        <v>#DIV/0!</v>
      </c>
      <c r="DWX71" s="1159" t="e">
        <f t="shared" si="54"/>
        <v>#DIV/0!</v>
      </c>
      <c r="DWY71" s="1159" t="e">
        <f t="shared" si="54"/>
        <v>#DIV/0!</v>
      </c>
      <c r="DWZ71" s="1159" t="e">
        <f t="shared" si="54"/>
        <v>#DIV/0!</v>
      </c>
      <c r="DXA71" s="1159" t="e">
        <f t="shared" si="54"/>
        <v>#DIV/0!</v>
      </c>
      <c r="DXB71" s="1159" t="e">
        <f t="shared" si="54"/>
        <v>#DIV/0!</v>
      </c>
      <c r="DXC71" s="1159" t="e">
        <f t="shared" si="54"/>
        <v>#DIV/0!</v>
      </c>
      <c r="DXD71" s="1159" t="e">
        <f t="shared" si="54"/>
        <v>#DIV/0!</v>
      </c>
      <c r="DXE71" s="1159" t="e">
        <f t="shared" si="54"/>
        <v>#DIV/0!</v>
      </c>
      <c r="DXF71" s="1159" t="e">
        <f t="shared" ref="DXF71:DZQ71" si="55">((DXF6+DXF12+DXF13+DXF14+DXF15)*860+DXF16*DXF55+DXF17*DXF56+DXF7*DXF49+DXF8*DXF50+DXF9*DXF51+DXF10*DXF52+DXF11*DXF53)/(SUM(DXF6:DXF17))</f>
        <v>#DIV/0!</v>
      </c>
      <c r="DXG71" s="1159" t="e">
        <f t="shared" si="55"/>
        <v>#DIV/0!</v>
      </c>
      <c r="DXH71" s="1159" t="e">
        <f t="shared" si="55"/>
        <v>#DIV/0!</v>
      </c>
      <c r="DXI71" s="1159" t="e">
        <f t="shared" si="55"/>
        <v>#DIV/0!</v>
      </c>
      <c r="DXJ71" s="1159" t="e">
        <f t="shared" si="55"/>
        <v>#DIV/0!</v>
      </c>
      <c r="DXK71" s="1159" t="e">
        <f t="shared" si="55"/>
        <v>#DIV/0!</v>
      </c>
      <c r="DXL71" s="1159" t="e">
        <f t="shared" si="55"/>
        <v>#DIV/0!</v>
      </c>
      <c r="DXM71" s="1159" t="e">
        <f t="shared" si="55"/>
        <v>#DIV/0!</v>
      </c>
      <c r="DXN71" s="1159" t="e">
        <f t="shared" si="55"/>
        <v>#DIV/0!</v>
      </c>
      <c r="DXO71" s="1159" t="e">
        <f t="shared" si="55"/>
        <v>#DIV/0!</v>
      </c>
      <c r="DXP71" s="1159" t="e">
        <f t="shared" si="55"/>
        <v>#DIV/0!</v>
      </c>
      <c r="DXQ71" s="1159" t="e">
        <f t="shared" si="55"/>
        <v>#DIV/0!</v>
      </c>
      <c r="DXR71" s="1159" t="e">
        <f t="shared" si="55"/>
        <v>#DIV/0!</v>
      </c>
      <c r="DXS71" s="1159" t="e">
        <f t="shared" si="55"/>
        <v>#DIV/0!</v>
      </c>
      <c r="DXT71" s="1159" t="e">
        <f t="shared" si="55"/>
        <v>#DIV/0!</v>
      </c>
      <c r="DXU71" s="1159" t="e">
        <f t="shared" si="55"/>
        <v>#DIV/0!</v>
      </c>
      <c r="DXV71" s="1159" t="e">
        <f t="shared" si="55"/>
        <v>#DIV/0!</v>
      </c>
      <c r="DXW71" s="1159" t="e">
        <f t="shared" si="55"/>
        <v>#DIV/0!</v>
      </c>
      <c r="DXX71" s="1159" t="e">
        <f t="shared" si="55"/>
        <v>#DIV/0!</v>
      </c>
      <c r="DXY71" s="1159" t="e">
        <f t="shared" si="55"/>
        <v>#DIV/0!</v>
      </c>
      <c r="DXZ71" s="1159" t="e">
        <f t="shared" si="55"/>
        <v>#DIV/0!</v>
      </c>
      <c r="DYA71" s="1159" t="e">
        <f t="shared" si="55"/>
        <v>#DIV/0!</v>
      </c>
      <c r="DYB71" s="1159" t="e">
        <f t="shared" si="55"/>
        <v>#DIV/0!</v>
      </c>
      <c r="DYC71" s="1159" t="e">
        <f t="shared" si="55"/>
        <v>#DIV/0!</v>
      </c>
      <c r="DYD71" s="1159" t="e">
        <f t="shared" si="55"/>
        <v>#DIV/0!</v>
      </c>
      <c r="DYE71" s="1159" t="e">
        <f t="shared" si="55"/>
        <v>#DIV/0!</v>
      </c>
      <c r="DYF71" s="1159" t="e">
        <f t="shared" si="55"/>
        <v>#DIV/0!</v>
      </c>
      <c r="DYG71" s="1159" t="e">
        <f t="shared" si="55"/>
        <v>#DIV/0!</v>
      </c>
      <c r="DYH71" s="1159" t="e">
        <f t="shared" si="55"/>
        <v>#DIV/0!</v>
      </c>
      <c r="DYI71" s="1159" t="e">
        <f t="shared" si="55"/>
        <v>#DIV/0!</v>
      </c>
      <c r="DYJ71" s="1159" t="e">
        <f t="shared" si="55"/>
        <v>#DIV/0!</v>
      </c>
      <c r="DYK71" s="1159" t="e">
        <f t="shared" si="55"/>
        <v>#DIV/0!</v>
      </c>
      <c r="DYL71" s="1159" t="e">
        <f t="shared" si="55"/>
        <v>#DIV/0!</v>
      </c>
      <c r="DYM71" s="1159" t="e">
        <f t="shared" si="55"/>
        <v>#DIV/0!</v>
      </c>
      <c r="DYN71" s="1159" t="e">
        <f t="shared" si="55"/>
        <v>#DIV/0!</v>
      </c>
      <c r="DYO71" s="1159" t="e">
        <f t="shared" si="55"/>
        <v>#DIV/0!</v>
      </c>
      <c r="DYP71" s="1159" t="e">
        <f t="shared" si="55"/>
        <v>#DIV/0!</v>
      </c>
      <c r="DYQ71" s="1159" t="e">
        <f t="shared" si="55"/>
        <v>#DIV/0!</v>
      </c>
      <c r="DYR71" s="1159" t="e">
        <f t="shared" si="55"/>
        <v>#DIV/0!</v>
      </c>
      <c r="DYS71" s="1159" t="e">
        <f t="shared" si="55"/>
        <v>#DIV/0!</v>
      </c>
      <c r="DYT71" s="1159" t="e">
        <f t="shared" si="55"/>
        <v>#DIV/0!</v>
      </c>
      <c r="DYU71" s="1159" t="e">
        <f t="shared" si="55"/>
        <v>#DIV/0!</v>
      </c>
      <c r="DYV71" s="1159" t="e">
        <f t="shared" si="55"/>
        <v>#DIV/0!</v>
      </c>
      <c r="DYW71" s="1159" t="e">
        <f t="shared" si="55"/>
        <v>#DIV/0!</v>
      </c>
      <c r="DYX71" s="1159" t="e">
        <f t="shared" si="55"/>
        <v>#DIV/0!</v>
      </c>
      <c r="DYY71" s="1159" t="e">
        <f t="shared" si="55"/>
        <v>#DIV/0!</v>
      </c>
      <c r="DYZ71" s="1159" t="e">
        <f t="shared" si="55"/>
        <v>#DIV/0!</v>
      </c>
      <c r="DZA71" s="1159" t="e">
        <f t="shared" si="55"/>
        <v>#DIV/0!</v>
      </c>
      <c r="DZB71" s="1159" t="e">
        <f t="shared" si="55"/>
        <v>#DIV/0!</v>
      </c>
      <c r="DZC71" s="1159" t="e">
        <f t="shared" si="55"/>
        <v>#DIV/0!</v>
      </c>
      <c r="DZD71" s="1159" t="e">
        <f t="shared" si="55"/>
        <v>#DIV/0!</v>
      </c>
      <c r="DZE71" s="1159" t="e">
        <f t="shared" si="55"/>
        <v>#DIV/0!</v>
      </c>
      <c r="DZF71" s="1159" t="e">
        <f t="shared" si="55"/>
        <v>#DIV/0!</v>
      </c>
      <c r="DZG71" s="1159" t="e">
        <f t="shared" si="55"/>
        <v>#DIV/0!</v>
      </c>
      <c r="DZH71" s="1159" t="e">
        <f t="shared" si="55"/>
        <v>#DIV/0!</v>
      </c>
      <c r="DZI71" s="1159" t="e">
        <f t="shared" si="55"/>
        <v>#DIV/0!</v>
      </c>
      <c r="DZJ71" s="1159" t="e">
        <f t="shared" si="55"/>
        <v>#DIV/0!</v>
      </c>
      <c r="DZK71" s="1159" t="e">
        <f t="shared" si="55"/>
        <v>#DIV/0!</v>
      </c>
      <c r="DZL71" s="1159" t="e">
        <f t="shared" si="55"/>
        <v>#DIV/0!</v>
      </c>
      <c r="DZM71" s="1159" t="e">
        <f t="shared" si="55"/>
        <v>#DIV/0!</v>
      </c>
      <c r="DZN71" s="1159" t="e">
        <f t="shared" si="55"/>
        <v>#DIV/0!</v>
      </c>
      <c r="DZO71" s="1159" t="e">
        <f t="shared" si="55"/>
        <v>#DIV/0!</v>
      </c>
      <c r="DZP71" s="1159" t="e">
        <f t="shared" si="55"/>
        <v>#DIV/0!</v>
      </c>
      <c r="DZQ71" s="1159" t="e">
        <f t="shared" si="55"/>
        <v>#DIV/0!</v>
      </c>
      <c r="DZR71" s="1159" t="e">
        <f t="shared" ref="DZR71:ECC71" si="56">((DZR6+DZR12+DZR13+DZR14+DZR15)*860+DZR16*DZR55+DZR17*DZR56+DZR7*DZR49+DZR8*DZR50+DZR9*DZR51+DZR10*DZR52+DZR11*DZR53)/(SUM(DZR6:DZR17))</f>
        <v>#DIV/0!</v>
      </c>
      <c r="DZS71" s="1159" t="e">
        <f t="shared" si="56"/>
        <v>#DIV/0!</v>
      </c>
      <c r="DZT71" s="1159" t="e">
        <f t="shared" si="56"/>
        <v>#DIV/0!</v>
      </c>
      <c r="DZU71" s="1159" t="e">
        <f t="shared" si="56"/>
        <v>#DIV/0!</v>
      </c>
      <c r="DZV71" s="1159" t="e">
        <f t="shared" si="56"/>
        <v>#DIV/0!</v>
      </c>
      <c r="DZW71" s="1159" t="e">
        <f t="shared" si="56"/>
        <v>#DIV/0!</v>
      </c>
      <c r="DZX71" s="1159" t="e">
        <f t="shared" si="56"/>
        <v>#DIV/0!</v>
      </c>
      <c r="DZY71" s="1159" t="e">
        <f t="shared" si="56"/>
        <v>#DIV/0!</v>
      </c>
      <c r="DZZ71" s="1159" t="e">
        <f t="shared" si="56"/>
        <v>#DIV/0!</v>
      </c>
      <c r="EAA71" s="1159" t="e">
        <f t="shared" si="56"/>
        <v>#DIV/0!</v>
      </c>
      <c r="EAB71" s="1159" t="e">
        <f t="shared" si="56"/>
        <v>#DIV/0!</v>
      </c>
      <c r="EAC71" s="1159" t="e">
        <f t="shared" si="56"/>
        <v>#DIV/0!</v>
      </c>
      <c r="EAD71" s="1159" t="e">
        <f t="shared" si="56"/>
        <v>#DIV/0!</v>
      </c>
      <c r="EAE71" s="1159" t="e">
        <f t="shared" si="56"/>
        <v>#DIV/0!</v>
      </c>
      <c r="EAF71" s="1159" t="e">
        <f t="shared" si="56"/>
        <v>#DIV/0!</v>
      </c>
      <c r="EAG71" s="1159" t="e">
        <f t="shared" si="56"/>
        <v>#DIV/0!</v>
      </c>
      <c r="EAH71" s="1159" t="e">
        <f t="shared" si="56"/>
        <v>#DIV/0!</v>
      </c>
      <c r="EAI71" s="1159" t="e">
        <f t="shared" si="56"/>
        <v>#DIV/0!</v>
      </c>
      <c r="EAJ71" s="1159" t="e">
        <f t="shared" si="56"/>
        <v>#DIV/0!</v>
      </c>
      <c r="EAK71" s="1159" t="e">
        <f t="shared" si="56"/>
        <v>#DIV/0!</v>
      </c>
      <c r="EAL71" s="1159" t="e">
        <f t="shared" si="56"/>
        <v>#DIV/0!</v>
      </c>
      <c r="EAM71" s="1159" t="e">
        <f t="shared" si="56"/>
        <v>#DIV/0!</v>
      </c>
      <c r="EAN71" s="1159" t="e">
        <f t="shared" si="56"/>
        <v>#DIV/0!</v>
      </c>
      <c r="EAO71" s="1159" t="e">
        <f t="shared" si="56"/>
        <v>#DIV/0!</v>
      </c>
      <c r="EAP71" s="1159" t="e">
        <f t="shared" si="56"/>
        <v>#DIV/0!</v>
      </c>
      <c r="EAQ71" s="1159" t="e">
        <f t="shared" si="56"/>
        <v>#DIV/0!</v>
      </c>
      <c r="EAR71" s="1159" t="e">
        <f t="shared" si="56"/>
        <v>#DIV/0!</v>
      </c>
      <c r="EAS71" s="1159" t="e">
        <f t="shared" si="56"/>
        <v>#DIV/0!</v>
      </c>
      <c r="EAT71" s="1159" t="e">
        <f t="shared" si="56"/>
        <v>#DIV/0!</v>
      </c>
      <c r="EAU71" s="1159" t="e">
        <f t="shared" si="56"/>
        <v>#DIV/0!</v>
      </c>
      <c r="EAV71" s="1159" t="e">
        <f t="shared" si="56"/>
        <v>#DIV/0!</v>
      </c>
      <c r="EAW71" s="1159" t="e">
        <f t="shared" si="56"/>
        <v>#DIV/0!</v>
      </c>
      <c r="EAX71" s="1159" t="e">
        <f t="shared" si="56"/>
        <v>#DIV/0!</v>
      </c>
      <c r="EAY71" s="1159" t="e">
        <f t="shared" si="56"/>
        <v>#DIV/0!</v>
      </c>
      <c r="EAZ71" s="1159" t="e">
        <f t="shared" si="56"/>
        <v>#DIV/0!</v>
      </c>
      <c r="EBA71" s="1159" t="e">
        <f t="shared" si="56"/>
        <v>#DIV/0!</v>
      </c>
      <c r="EBB71" s="1159" t="e">
        <f t="shared" si="56"/>
        <v>#DIV/0!</v>
      </c>
      <c r="EBC71" s="1159" t="e">
        <f t="shared" si="56"/>
        <v>#DIV/0!</v>
      </c>
      <c r="EBD71" s="1159" t="e">
        <f t="shared" si="56"/>
        <v>#DIV/0!</v>
      </c>
      <c r="EBE71" s="1159" t="e">
        <f t="shared" si="56"/>
        <v>#DIV/0!</v>
      </c>
      <c r="EBF71" s="1159" t="e">
        <f t="shared" si="56"/>
        <v>#DIV/0!</v>
      </c>
      <c r="EBG71" s="1159" t="e">
        <f t="shared" si="56"/>
        <v>#DIV/0!</v>
      </c>
      <c r="EBH71" s="1159" t="e">
        <f t="shared" si="56"/>
        <v>#DIV/0!</v>
      </c>
      <c r="EBI71" s="1159" t="e">
        <f t="shared" si="56"/>
        <v>#DIV/0!</v>
      </c>
      <c r="EBJ71" s="1159" t="e">
        <f t="shared" si="56"/>
        <v>#DIV/0!</v>
      </c>
      <c r="EBK71" s="1159" t="e">
        <f t="shared" si="56"/>
        <v>#DIV/0!</v>
      </c>
      <c r="EBL71" s="1159" t="e">
        <f t="shared" si="56"/>
        <v>#DIV/0!</v>
      </c>
      <c r="EBM71" s="1159" t="e">
        <f t="shared" si="56"/>
        <v>#DIV/0!</v>
      </c>
      <c r="EBN71" s="1159" t="e">
        <f t="shared" si="56"/>
        <v>#DIV/0!</v>
      </c>
      <c r="EBO71" s="1159" t="e">
        <f t="shared" si="56"/>
        <v>#DIV/0!</v>
      </c>
      <c r="EBP71" s="1159" t="e">
        <f t="shared" si="56"/>
        <v>#DIV/0!</v>
      </c>
      <c r="EBQ71" s="1159" t="e">
        <f t="shared" si="56"/>
        <v>#DIV/0!</v>
      </c>
      <c r="EBR71" s="1159" t="e">
        <f t="shared" si="56"/>
        <v>#DIV/0!</v>
      </c>
      <c r="EBS71" s="1159" t="e">
        <f t="shared" si="56"/>
        <v>#DIV/0!</v>
      </c>
      <c r="EBT71" s="1159" t="e">
        <f t="shared" si="56"/>
        <v>#DIV/0!</v>
      </c>
      <c r="EBU71" s="1159" t="e">
        <f t="shared" si="56"/>
        <v>#DIV/0!</v>
      </c>
      <c r="EBV71" s="1159" t="e">
        <f t="shared" si="56"/>
        <v>#DIV/0!</v>
      </c>
      <c r="EBW71" s="1159" t="e">
        <f t="shared" si="56"/>
        <v>#DIV/0!</v>
      </c>
      <c r="EBX71" s="1159" t="e">
        <f t="shared" si="56"/>
        <v>#DIV/0!</v>
      </c>
      <c r="EBY71" s="1159" t="e">
        <f t="shared" si="56"/>
        <v>#DIV/0!</v>
      </c>
      <c r="EBZ71" s="1159" t="e">
        <f t="shared" si="56"/>
        <v>#DIV/0!</v>
      </c>
      <c r="ECA71" s="1159" t="e">
        <f t="shared" si="56"/>
        <v>#DIV/0!</v>
      </c>
      <c r="ECB71" s="1159" t="e">
        <f t="shared" si="56"/>
        <v>#DIV/0!</v>
      </c>
      <c r="ECC71" s="1159" t="e">
        <f t="shared" si="56"/>
        <v>#DIV/0!</v>
      </c>
      <c r="ECD71" s="1159" t="e">
        <f t="shared" ref="ECD71:EEO71" si="57">((ECD6+ECD12+ECD13+ECD14+ECD15)*860+ECD16*ECD55+ECD17*ECD56+ECD7*ECD49+ECD8*ECD50+ECD9*ECD51+ECD10*ECD52+ECD11*ECD53)/(SUM(ECD6:ECD17))</f>
        <v>#DIV/0!</v>
      </c>
      <c r="ECE71" s="1159" t="e">
        <f t="shared" si="57"/>
        <v>#DIV/0!</v>
      </c>
      <c r="ECF71" s="1159" t="e">
        <f t="shared" si="57"/>
        <v>#DIV/0!</v>
      </c>
      <c r="ECG71" s="1159" t="e">
        <f t="shared" si="57"/>
        <v>#DIV/0!</v>
      </c>
      <c r="ECH71" s="1159" t="e">
        <f t="shared" si="57"/>
        <v>#DIV/0!</v>
      </c>
      <c r="ECI71" s="1159" t="e">
        <f t="shared" si="57"/>
        <v>#DIV/0!</v>
      </c>
      <c r="ECJ71" s="1159" t="e">
        <f t="shared" si="57"/>
        <v>#DIV/0!</v>
      </c>
      <c r="ECK71" s="1159" t="e">
        <f t="shared" si="57"/>
        <v>#DIV/0!</v>
      </c>
      <c r="ECL71" s="1159" t="e">
        <f t="shared" si="57"/>
        <v>#DIV/0!</v>
      </c>
      <c r="ECM71" s="1159" t="e">
        <f t="shared" si="57"/>
        <v>#DIV/0!</v>
      </c>
      <c r="ECN71" s="1159" t="e">
        <f t="shared" si="57"/>
        <v>#DIV/0!</v>
      </c>
      <c r="ECO71" s="1159" t="e">
        <f t="shared" si="57"/>
        <v>#DIV/0!</v>
      </c>
      <c r="ECP71" s="1159" t="e">
        <f t="shared" si="57"/>
        <v>#DIV/0!</v>
      </c>
      <c r="ECQ71" s="1159" t="e">
        <f t="shared" si="57"/>
        <v>#DIV/0!</v>
      </c>
      <c r="ECR71" s="1159" t="e">
        <f t="shared" si="57"/>
        <v>#DIV/0!</v>
      </c>
      <c r="ECS71" s="1159" t="e">
        <f t="shared" si="57"/>
        <v>#DIV/0!</v>
      </c>
      <c r="ECT71" s="1159" t="e">
        <f t="shared" si="57"/>
        <v>#DIV/0!</v>
      </c>
      <c r="ECU71" s="1159" t="e">
        <f t="shared" si="57"/>
        <v>#DIV/0!</v>
      </c>
      <c r="ECV71" s="1159" t="e">
        <f t="shared" si="57"/>
        <v>#DIV/0!</v>
      </c>
      <c r="ECW71" s="1159" t="e">
        <f t="shared" si="57"/>
        <v>#DIV/0!</v>
      </c>
      <c r="ECX71" s="1159" t="e">
        <f t="shared" si="57"/>
        <v>#DIV/0!</v>
      </c>
      <c r="ECY71" s="1159" t="e">
        <f t="shared" si="57"/>
        <v>#DIV/0!</v>
      </c>
      <c r="ECZ71" s="1159" t="e">
        <f t="shared" si="57"/>
        <v>#DIV/0!</v>
      </c>
      <c r="EDA71" s="1159" t="e">
        <f t="shared" si="57"/>
        <v>#DIV/0!</v>
      </c>
      <c r="EDB71" s="1159" t="e">
        <f t="shared" si="57"/>
        <v>#DIV/0!</v>
      </c>
      <c r="EDC71" s="1159" t="e">
        <f t="shared" si="57"/>
        <v>#DIV/0!</v>
      </c>
      <c r="EDD71" s="1159" t="e">
        <f t="shared" si="57"/>
        <v>#DIV/0!</v>
      </c>
      <c r="EDE71" s="1159" t="e">
        <f t="shared" si="57"/>
        <v>#DIV/0!</v>
      </c>
      <c r="EDF71" s="1159" t="e">
        <f t="shared" si="57"/>
        <v>#DIV/0!</v>
      </c>
      <c r="EDG71" s="1159" t="e">
        <f t="shared" si="57"/>
        <v>#DIV/0!</v>
      </c>
      <c r="EDH71" s="1159" t="e">
        <f t="shared" si="57"/>
        <v>#DIV/0!</v>
      </c>
      <c r="EDI71" s="1159" t="e">
        <f t="shared" si="57"/>
        <v>#DIV/0!</v>
      </c>
      <c r="EDJ71" s="1159" t="e">
        <f t="shared" si="57"/>
        <v>#DIV/0!</v>
      </c>
      <c r="EDK71" s="1159" t="e">
        <f t="shared" si="57"/>
        <v>#DIV/0!</v>
      </c>
      <c r="EDL71" s="1159" t="e">
        <f t="shared" si="57"/>
        <v>#DIV/0!</v>
      </c>
      <c r="EDM71" s="1159" t="e">
        <f t="shared" si="57"/>
        <v>#DIV/0!</v>
      </c>
      <c r="EDN71" s="1159" t="e">
        <f t="shared" si="57"/>
        <v>#DIV/0!</v>
      </c>
      <c r="EDO71" s="1159" t="e">
        <f t="shared" si="57"/>
        <v>#DIV/0!</v>
      </c>
      <c r="EDP71" s="1159" t="e">
        <f t="shared" si="57"/>
        <v>#DIV/0!</v>
      </c>
      <c r="EDQ71" s="1159" t="e">
        <f t="shared" si="57"/>
        <v>#DIV/0!</v>
      </c>
      <c r="EDR71" s="1159" t="e">
        <f t="shared" si="57"/>
        <v>#DIV/0!</v>
      </c>
      <c r="EDS71" s="1159" t="e">
        <f t="shared" si="57"/>
        <v>#DIV/0!</v>
      </c>
      <c r="EDT71" s="1159" t="e">
        <f t="shared" si="57"/>
        <v>#DIV/0!</v>
      </c>
      <c r="EDU71" s="1159" t="e">
        <f t="shared" si="57"/>
        <v>#DIV/0!</v>
      </c>
      <c r="EDV71" s="1159" t="e">
        <f t="shared" si="57"/>
        <v>#DIV/0!</v>
      </c>
      <c r="EDW71" s="1159" t="e">
        <f t="shared" si="57"/>
        <v>#DIV/0!</v>
      </c>
      <c r="EDX71" s="1159" t="e">
        <f t="shared" si="57"/>
        <v>#DIV/0!</v>
      </c>
      <c r="EDY71" s="1159" t="e">
        <f t="shared" si="57"/>
        <v>#DIV/0!</v>
      </c>
      <c r="EDZ71" s="1159" t="e">
        <f t="shared" si="57"/>
        <v>#DIV/0!</v>
      </c>
      <c r="EEA71" s="1159" t="e">
        <f t="shared" si="57"/>
        <v>#DIV/0!</v>
      </c>
      <c r="EEB71" s="1159" t="e">
        <f t="shared" si="57"/>
        <v>#DIV/0!</v>
      </c>
      <c r="EEC71" s="1159" t="e">
        <f t="shared" si="57"/>
        <v>#DIV/0!</v>
      </c>
      <c r="EED71" s="1159" t="e">
        <f t="shared" si="57"/>
        <v>#DIV/0!</v>
      </c>
      <c r="EEE71" s="1159" t="e">
        <f t="shared" si="57"/>
        <v>#DIV/0!</v>
      </c>
      <c r="EEF71" s="1159" t="e">
        <f t="shared" si="57"/>
        <v>#DIV/0!</v>
      </c>
      <c r="EEG71" s="1159" t="e">
        <f t="shared" si="57"/>
        <v>#DIV/0!</v>
      </c>
      <c r="EEH71" s="1159" t="e">
        <f t="shared" si="57"/>
        <v>#DIV/0!</v>
      </c>
      <c r="EEI71" s="1159" t="e">
        <f t="shared" si="57"/>
        <v>#DIV/0!</v>
      </c>
      <c r="EEJ71" s="1159" t="e">
        <f t="shared" si="57"/>
        <v>#DIV/0!</v>
      </c>
      <c r="EEK71" s="1159" t="e">
        <f t="shared" si="57"/>
        <v>#DIV/0!</v>
      </c>
      <c r="EEL71" s="1159" t="e">
        <f t="shared" si="57"/>
        <v>#DIV/0!</v>
      </c>
      <c r="EEM71" s="1159" t="e">
        <f t="shared" si="57"/>
        <v>#DIV/0!</v>
      </c>
      <c r="EEN71" s="1159" t="e">
        <f t="shared" si="57"/>
        <v>#DIV/0!</v>
      </c>
      <c r="EEO71" s="1159" t="e">
        <f t="shared" si="57"/>
        <v>#DIV/0!</v>
      </c>
      <c r="EEP71" s="1159" t="e">
        <f t="shared" ref="EEP71:EHA71" si="58">((EEP6+EEP12+EEP13+EEP14+EEP15)*860+EEP16*EEP55+EEP17*EEP56+EEP7*EEP49+EEP8*EEP50+EEP9*EEP51+EEP10*EEP52+EEP11*EEP53)/(SUM(EEP6:EEP17))</f>
        <v>#DIV/0!</v>
      </c>
      <c r="EEQ71" s="1159" t="e">
        <f t="shared" si="58"/>
        <v>#DIV/0!</v>
      </c>
      <c r="EER71" s="1159" t="e">
        <f t="shared" si="58"/>
        <v>#DIV/0!</v>
      </c>
      <c r="EES71" s="1159" t="e">
        <f t="shared" si="58"/>
        <v>#DIV/0!</v>
      </c>
      <c r="EET71" s="1159" t="e">
        <f t="shared" si="58"/>
        <v>#DIV/0!</v>
      </c>
      <c r="EEU71" s="1159" t="e">
        <f t="shared" si="58"/>
        <v>#DIV/0!</v>
      </c>
      <c r="EEV71" s="1159" t="e">
        <f t="shared" si="58"/>
        <v>#DIV/0!</v>
      </c>
      <c r="EEW71" s="1159" t="e">
        <f t="shared" si="58"/>
        <v>#DIV/0!</v>
      </c>
      <c r="EEX71" s="1159" t="e">
        <f t="shared" si="58"/>
        <v>#DIV/0!</v>
      </c>
      <c r="EEY71" s="1159" t="e">
        <f t="shared" si="58"/>
        <v>#DIV/0!</v>
      </c>
      <c r="EEZ71" s="1159" t="e">
        <f t="shared" si="58"/>
        <v>#DIV/0!</v>
      </c>
      <c r="EFA71" s="1159" t="e">
        <f t="shared" si="58"/>
        <v>#DIV/0!</v>
      </c>
      <c r="EFB71" s="1159" t="e">
        <f t="shared" si="58"/>
        <v>#DIV/0!</v>
      </c>
      <c r="EFC71" s="1159" t="e">
        <f t="shared" si="58"/>
        <v>#DIV/0!</v>
      </c>
      <c r="EFD71" s="1159" t="e">
        <f t="shared" si="58"/>
        <v>#DIV/0!</v>
      </c>
      <c r="EFE71" s="1159" t="e">
        <f t="shared" si="58"/>
        <v>#DIV/0!</v>
      </c>
      <c r="EFF71" s="1159" t="e">
        <f t="shared" si="58"/>
        <v>#DIV/0!</v>
      </c>
      <c r="EFG71" s="1159" t="e">
        <f t="shared" si="58"/>
        <v>#DIV/0!</v>
      </c>
      <c r="EFH71" s="1159" t="e">
        <f t="shared" si="58"/>
        <v>#DIV/0!</v>
      </c>
      <c r="EFI71" s="1159" t="e">
        <f t="shared" si="58"/>
        <v>#DIV/0!</v>
      </c>
      <c r="EFJ71" s="1159" t="e">
        <f t="shared" si="58"/>
        <v>#DIV/0!</v>
      </c>
      <c r="EFK71" s="1159" t="e">
        <f t="shared" si="58"/>
        <v>#DIV/0!</v>
      </c>
      <c r="EFL71" s="1159" t="e">
        <f t="shared" si="58"/>
        <v>#DIV/0!</v>
      </c>
      <c r="EFM71" s="1159" t="e">
        <f t="shared" si="58"/>
        <v>#DIV/0!</v>
      </c>
      <c r="EFN71" s="1159" t="e">
        <f t="shared" si="58"/>
        <v>#DIV/0!</v>
      </c>
      <c r="EFO71" s="1159" t="e">
        <f t="shared" si="58"/>
        <v>#DIV/0!</v>
      </c>
      <c r="EFP71" s="1159" t="e">
        <f t="shared" si="58"/>
        <v>#DIV/0!</v>
      </c>
      <c r="EFQ71" s="1159" t="e">
        <f t="shared" si="58"/>
        <v>#DIV/0!</v>
      </c>
      <c r="EFR71" s="1159" t="e">
        <f t="shared" si="58"/>
        <v>#DIV/0!</v>
      </c>
      <c r="EFS71" s="1159" t="e">
        <f t="shared" si="58"/>
        <v>#DIV/0!</v>
      </c>
      <c r="EFT71" s="1159" t="e">
        <f t="shared" si="58"/>
        <v>#DIV/0!</v>
      </c>
      <c r="EFU71" s="1159" t="e">
        <f t="shared" si="58"/>
        <v>#DIV/0!</v>
      </c>
      <c r="EFV71" s="1159" t="e">
        <f t="shared" si="58"/>
        <v>#DIV/0!</v>
      </c>
      <c r="EFW71" s="1159" t="e">
        <f t="shared" si="58"/>
        <v>#DIV/0!</v>
      </c>
      <c r="EFX71" s="1159" t="e">
        <f t="shared" si="58"/>
        <v>#DIV/0!</v>
      </c>
      <c r="EFY71" s="1159" t="e">
        <f t="shared" si="58"/>
        <v>#DIV/0!</v>
      </c>
      <c r="EFZ71" s="1159" t="e">
        <f t="shared" si="58"/>
        <v>#DIV/0!</v>
      </c>
      <c r="EGA71" s="1159" t="e">
        <f t="shared" si="58"/>
        <v>#DIV/0!</v>
      </c>
      <c r="EGB71" s="1159" t="e">
        <f t="shared" si="58"/>
        <v>#DIV/0!</v>
      </c>
      <c r="EGC71" s="1159" t="e">
        <f t="shared" si="58"/>
        <v>#DIV/0!</v>
      </c>
      <c r="EGD71" s="1159" t="e">
        <f t="shared" si="58"/>
        <v>#DIV/0!</v>
      </c>
      <c r="EGE71" s="1159" t="e">
        <f t="shared" si="58"/>
        <v>#DIV/0!</v>
      </c>
      <c r="EGF71" s="1159" t="e">
        <f t="shared" si="58"/>
        <v>#DIV/0!</v>
      </c>
      <c r="EGG71" s="1159" t="e">
        <f t="shared" si="58"/>
        <v>#DIV/0!</v>
      </c>
      <c r="EGH71" s="1159" t="e">
        <f t="shared" si="58"/>
        <v>#DIV/0!</v>
      </c>
      <c r="EGI71" s="1159" t="e">
        <f t="shared" si="58"/>
        <v>#DIV/0!</v>
      </c>
      <c r="EGJ71" s="1159" t="e">
        <f t="shared" si="58"/>
        <v>#DIV/0!</v>
      </c>
      <c r="EGK71" s="1159" t="e">
        <f t="shared" si="58"/>
        <v>#DIV/0!</v>
      </c>
      <c r="EGL71" s="1159" t="e">
        <f t="shared" si="58"/>
        <v>#DIV/0!</v>
      </c>
      <c r="EGM71" s="1159" t="e">
        <f t="shared" si="58"/>
        <v>#DIV/0!</v>
      </c>
      <c r="EGN71" s="1159" t="e">
        <f t="shared" si="58"/>
        <v>#DIV/0!</v>
      </c>
      <c r="EGO71" s="1159" t="e">
        <f t="shared" si="58"/>
        <v>#DIV/0!</v>
      </c>
      <c r="EGP71" s="1159" t="e">
        <f t="shared" si="58"/>
        <v>#DIV/0!</v>
      </c>
      <c r="EGQ71" s="1159" t="e">
        <f t="shared" si="58"/>
        <v>#DIV/0!</v>
      </c>
      <c r="EGR71" s="1159" t="e">
        <f t="shared" si="58"/>
        <v>#DIV/0!</v>
      </c>
      <c r="EGS71" s="1159" t="e">
        <f t="shared" si="58"/>
        <v>#DIV/0!</v>
      </c>
      <c r="EGT71" s="1159" t="e">
        <f t="shared" si="58"/>
        <v>#DIV/0!</v>
      </c>
      <c r="EGU71" s="1159" t="e">
        <f t="shared" si="58"/>
        <v>#DIV/0!</v>
      </c>
      <c r="EGV71" s="1159" t="e">
        <f t="shared" si="58"/>
        <v>#DIV/0!</v>
      </c>
      <c r="EGW71" s="1159" t="e">
        <f t="shared" si="58"/>
        <v>#DIV/0!</v>
      </c>
      <c r="EGX71" s="1159" t="e">
        <f t="shared" si="58"/>
        <v>#DIV/0!</v>
      </c>
      <c r="EGY71" s="1159" t="e">
        <f t="shared" si="58"/>
        <v>#DIV/0!</v>
      </c>
      <c r="EGZ71" s="1159" t="e">
        <f t="shared" si="58"/>
        <v>#DIV/0!</v>
      </c>
      <c r="EHA71" s="1159" t="e">
        <f t="shared" si="58"/>
        <v>#DIV/0!</v>
      </c>
      <c r="EHB71" s="1159" t="e">
        <f t="shared" ref="EHB71:EJM71" si="59">((EHB6+EHB12+EHB13+EHB14+EHB15)*860+EHB16*EHB55+EHB17*EHB56+EHB7*EHB49+EHB8*EHB50+EHB9*EHB51+EHB10*EHB52+EHB11*EHB53)/(SUM(EHB6:EHB17))</f>
        <v>#DIV/0!</v>
      </c>
      <c r="EHC71" s="1159" t="e">
        <f t="shared" si="59"/>
        <v>#DIV/0!</v>
      </c>
      <c r="EHD71" s="1159" t="e">
        <f t="shared" si="59"/>
        <v>#DIV/0!</v>
      </c>
      <c r="EHE71" s="1159" t="e">
        <f t="shared" si="59"/>
        <v>#DIV/0!</v>
      </c>
      <c r="EHF71" s="1159" t="e">
        <f t="shared" si="59"/>
        <v>#DIV/0!</v>
      </c>
      <c r="EHG71" s="1159" t="e">
        <f t="shared" si="59"/>
        <v>#DIV/0!</v>
      </c>
      <c r="EHH71" s="1159" t="e">
        <f t="shared" si="59"/>
        <v>#DIV/0!</v>
      </c>
      <c r="EHI71" s="1159" t="e">
        <f t="shared" si="59"/>
        <v>#DIV/0!</v>
      </c>
      <c r="EHJ71" s="1159" t="e">
        <f t="shared" si="59"/>
        <v>#DIV/0!</v>
      </c>
      <c r="EHK71" s="1159" t="e">
        <f t="shared" si="59"/>
        <v>#DIV/0!</v>
      </c>
      <c r="EHL71" s="1159" t="e">
        <f t="shared" si="59"/>
        <v>#DIV/0!</v>
      </c>
      <c r="EHM71" s="1159" t="e">
        <f t="shared" si="59"/>
        <v>#DIV/0!</v>
      </c>
      <c r="EHN71" s="1159" t="e">
        <f t="shared" si="59"/>
        <v>#DIV/0!</v>
      </c>
      <c r="EHO71" s="1159" t="e">
        <f t="shared" si="59"/>
        <v>#DIV/0!</v>
      </c>
      <c r="EHP71" s="1159" t="e">
        <f t="shared" si="59"/>
        <v>#DIV/0!</v>
      </c>
      <c r="EHQ71" s="1159" t="e">
        <f t="shared" si="59"/>
        <v>#DIV/0!</v>
      </c>
      <c r="EHR71" s="1159" t="e">
        <f t="shared" si="59"/>
        <v>#DIV/0!</v>
      </c>
      <c r="EHS71" s="1159" t="e">
        <f t="shared" si="59"/>
        <v>#DIV/0!</v>
      </c>
      <c r="EHT71" s="1159" t="e">
        <f t="shared" si="59"/>
        <v>#DIV/0!</v>
      </c>
      <c r="EHU71" s="1159" t="e">
        <f t="shared" si="59"/>
        <v>#DIV/0!</v>
      </c>
      <c r="EHV71" s="1159" t="e">
        <f t="shared" si="59"/>
        <v>#DIV/0!</v>
      </c>
      <c r="EHW71" s="1159" t="e">
        <f t="shared" si="59"/>
        <v>#DIV/0!</v>
      </c>
      <c r="EHX71" s="1159" t="e">
        <f t="shared" si="59"/>
        <v>#DIV/0!</v>
      </c>
      <c r="EHY71" s="1159" t="e">
        <f t="shared" si="59"/>
        <v>#DIV/0!</v>
      </c>
      <c r="EHZ71" s="1159" t="e">
        <f t="shared" si="59"/>
        <v>#DIV/0!</v>
      </c>
      <c r="EIA71" s="1159" t="e">
        <f t="shared" si="59"/>
        <v>#DIV/0!</v>
      </c>
      <c r="EIB71" s="1159" t="e">
        <f t="shared" si="59"/>
        <v>#DIV/0!</v>
      </c>
      <c r="EIC71" s="1159" t="e">
        <f t="shared" si="59"/>
        <v>#DIV/0!</v>
      </c>
      <c r="EID71" s="1159" t="e">
        <f t="shared" si="59"/>
        <v>#DIV/0!</v>
      </c>
      <c r="EIE71" s="1159" t="e">
        <f t="shared" si="59"/>
        <v>#DIV/0!</v>
      </c>
      <c r="EIF71" s="1159" t="e">
        <f t="shared" si="59"/>
        <v>#DIV/0!</v>
      </c>
      <c r="EIG71" s="1159" t="e">
        <f t="shared" si="59"/>
        <v>#DIV/0!</v>
      </c>
      <c r="EIH71" s="1159" t="e">
        <f t="shared" si="59"/>
        <v>#DIV/0!</v>
      </c>
      <c r="EII71" s="1159" t="e">
        <f t="shared" si="59"/>
        <v>#DIV/0!</v>
      </c>
      <c r="EIJ71" s="1159" t="e">
        <f t="shared" si="59"/>
        <v>#DIV/0!</v>
      </c>
      <c r="EIK71" s="1159" t="e">
        <f t="shared" si="59"/>
        <v>#DIV/0!</v>
      </c>
      <c r="EIL71" s="1159" t="e">
        <f t="shared" si="59"/>
        <v>#DIV/0!</v>
      </c>
      <c r="EIM71" s="1159" t="e">
        <f t="shared" si="59"/>
        <v>#DIV/0!</v>
      </c>
      <c r="EIN71" s="1159" t="e">
        <f t="shared" si="59"/>
        <v>#DIV/0!</v>
      </c>
      <c r="EIO71" s="1159" t="e">
        <f t="shared" si="59"/>
        <v>#DIV/0!</v>
      </c>
      <c r="EIP71" s="1159" t="e">
        <f t="shared" si="59"/>
        <v>#DIV/0!</v>
      </c>
      <c r="EIQ71" s="1159" t="e">
        <f t="shared" si="59"/>
        <v>#DIV/0!</v>
      </c>
      <c r="EIR71" s="1159" t="e">
        <f t="shared" si="59"/>
        <v>#DIV/0!</v>
      </c>
      <c r="EIS71" s="1159" t="e">
        <f t="shared" si="59"/>
        <v>#DIV/0!</v>
      </c>
      <c r="EIT71" s="1159" t="e">
        <f t="shared" si="59"/>
        <v>#DIV/0!</v>
      </c>
      <c r="EIU71" s="1159" t="e">
        <f t="shared" si="59"/>
        <v>#DIV/0!</v>
      </c>
      <c r="EIV71" s="1159" t="e">
        <f t="shared" si="59"/>
        <v>#DIV/0!</v>
      </c>
      <c r="EIW71" s="1159" t="e">
        <f t="shared" si="59"/>
        <v>#DIV/0!</v>
      </c>
      <c r="EIX71" s="1159" t="e">
        <f t="shared" si="59"/>
        <v>#DIV/0!</v>
      </c>
      <c r="EIY71" s="1159" t="e">
        <f t="shared" si="59"/>
        <v>#DIV/0!</v>
      </c>
      <c r="EIZ71" s="1159" t="e">
        <f t="shared" si="59"/>
        <v>#DIV/0!</v>
      </c>
      <c r="EJA71" s="1159" t="e">
        <f t="shared" si="59"/>
        <v>#DIV/0!</v>
      </c>
      <c r="EJB71" s="1159" t="e">
        <f t="shared" si="59"/>
        <v>#DIV/0!</v>
      </c>
      <c r="EJC71" s="1159" t="e">
        <f t="shared" si="59"/>
        <v>#DIV/0!</v>
      </c>
      <c r="EJD71" s="1159" t="e">
        <f t="shared" si="59"/>
        <v>#DIV/0!</v>
      </c>
      <c r="EJE71" s="1159" t="e">
        <f t="shared" si="59"/>
        <v>#DIV/0!</v>
      </c>
      <c r="EJF71" s="1159" t="e">
        <f t="shared" si="59"/>
        <v>#DIV/0!</v>
      </c>
      <c r="EJG71" s="1159" t="e">
        <f t="shared" si="59"/>
        <v>#DIV/0!</v>
      </c>
      <c r="EJH71" s="1159" t="e">
        <f t="shared" si="59"/>
        <v>#DIV/0!</v>
      </c>
      <c r="EJI71" s="1159" t="e">
        <f t="shared" si="59"/>
        <v>#DIV/0!</v>
      </c>
      <c r="EJJ71" s="1159" t="e">
        <f t="shared" si="59"/>
        <v>#DIV/0!</v>
      </c>
      <c r="EJK71" s="1159" t="e">
        <f t="shared" si="59"/>
        <v>#DIV/0!</v>
      </c>
      <c r="EJL71" s="1159" t="e">
        <f t="shared" si="59"/>
        <v>#DIV/0!</v>
      </c>
      <c r="EJM71" s="1159" t="e">
        <f t="shared" si="59"/>
        <v>#DIV/0!</v>
      </c>
      <c r="EJN71" s="1159" t="e">
        <f t="shared" ref="EJN71:ELY71" si="60">((EJN6+EJN12+EJN13+EJN14+EJN15)*860+EJN16*EJN55+EJN17*EJN56+EJN7*EJN49+EJN8*EJN50+EJN9*EJN51+EJN10*EJN52+EJN11*EJN53)/(SUM(EJN6:EJN17))</f>
        <v>#DIV/0!</v>
      </c>
      <c r="EJO71" s="1159" t="e">
        <f t="shared" si="60"/>
        <v>#DIV/0!</v>
      </c>
      <c r="EJP71" s="1159" t="e">
        <f t="shared" si="60"/>
        <v>#DIV/0!</v>
      </c>
      <c r="EJQ71" s="1159" t="e">
        <f t="shared" si="60"/>
        <v>#DIV/0!</v>
      </c>
      <c r="EJR71" s="1159" t="e">
        <f t="shared" si="60"/>
        <v>#DIV/0!</v>
      </c>
      <c r="EJS71" s="1159" t="e">
        <f t="shared" si="60"/>
        <v>#DIV/0!</v>
      </c>
      <c r="EJT71" s="1159" t="e">
        <f t="shared" si="60"/>
        <v>#DIV/0!</v>
      </c>
      <c r="EJU71" s="1159" t="e">
        <f t="shared" si="60"/>
        <v>#DIV/0!</v>
      </c>
      <c r="EJV71" s="1159" t="e">
        <f t="shared" si="60"/>
        <v>#DIV/0!</v>
      </c>
      <c r="EJW71" s="1159" t="e">
        <f t="shared" si="60"/>
        <v>#DIV/0!</v>
      </c>
      <c r="EJX71" s="1159" t="e">
        <f t="shared" si="60"/>
        <v>#DIV/0!</v>
      </c>
      <c r="EJY71" s="1159" t="e">
        <f t="shared" si="60"/>
        <v>#DIV/0!</v>
      </c>
      <c r="EJZ71" s="1159" t="e">
        <f t="shared" si="60"/>
        <v>#DIV/0!</v>
      </c>
      <c r="EKA71" s="1159" t="e">
        <f t="shared" si="60"/>
        <v>#DIV/0!</v>
      </c>
      <c r="EKB71" s="1159" t="e">
        <f t="shared" si="60"/>
        <v>#DIV/0!</v>
      </c>
      <c r="EKC71" s="1159" t="e">
        <f t="shared" si="60"/>
        <v>#DIV/0!</v>
      </c>
      <c r="EKD71" s="1159" t="e">
        <f t="shared" si="60"/>
        <v>#DIV/0!</v>
      </c>
      <c r="EKE71" s="1159" t="e">
        <f t="shared" si="60"/>
        <v>#DIV/0!</v>
      </c>
      <c r="EKF71" s="1159" t="e">
        <f t="shared" si="60"/>
        <v>#DIV/0!</v>
      </c>
      <c r="EKG71" s="1159" t="e">
        <f t="shared" si="60"/>
        <v>#DIV/0!</v>
      </c>
      <c r="EKH71" s="1159" t="e">
        <f t="shared" si="60"/>
        <v>#DIV/0!</v>
      </c>
      <c r="EKI71" s="1159" t="e">
        <f t="shared" si="60"/>
        <v>#DIV/0!</v>
      </c>
      <c r="EKJ71" s="1159" t="e">
        <f t="shared" si="60"/>
        <v>#DIV/0!</v>
      </c>
      <c r="EKK71" s="1159" t="e">
        <f t="shared" si="60"/>
        <v>#DIV/0!</v>
      </c>
      <c r="EKL71" s="1159" t="e">
        <f t="shared" si="60"/>
        <v>#DIV/0!</v>
      </c>
      <c r="EKM71" s="1159" t="e">
        <f t="shared" si="60"/>
        <v>#DIV/0!</v>
      </c>
      <c r="EKN71" s="1159" t="e">
        <f t="shared" si="60"/>
        <v>#DIV/0!</v>
      </c>
      <c r="EKO71" s="1159" t="e">
        <f t="shared" si="60"/>
        <v>#DIV/0!</v>
      </c>
      <c r="EKP71" s="1159" t="e">
        <f t="shared" si="60"/>
        <v>#DIV/0!</v>
      </c>
      <c r="EKQ71" s="1159" t="e">
        <f t="shared" si="60"/>
        <v>#DIV/0!</v>
      </c>
      <c r="EKR71" s="1159" t="e">
        <f t="shared" si="60"/>
        <v>#DIV/0!</v>
      </c>
      <c r="EKS71" s="1159" t="e">
        <f t="shared" si="60"/>
        <v>#DIV/0!</v>
      </c>
      <c r="EKT71" s="1159" t="e">
        <f t="shared" si="60"/>
        <v>#DIV/0!</v>
      </c>
      <c r="EKU71" s="1159" t="e">
        <f t="shared" si="60"/>
        <v>#DIV/0!</v>
      </c>
      <c r="EKV71" s="1159" t="e">
        <f t="shared" si="60"/>
        <v>#DIV/0!</v>
      </c>
      <c r="EKW71" s="1159" t="e">
        <f t="shared" si="60"/>
        <v>#DIV/0!</v>
      </c>
      <c r="EKX71" s="1159" t="e">
        <f t="shared" si="60"/>
        <v>#DIV/0!</v>
      </c>
      <c r="EKY71" s="1159" t="e">
        <f t="shared" si="60"/>
        <v>#DIV/0!</v>
      </c>
      <c r="EKZ71" s="1159" t="e">
        <f t="shared" si="60"/>
        <v>#DIV/0!</v>
      </c>
      <c r="ELA71" s="1159" t="e">
        <f t="shared" si="60"/>
        <v>#DIV/0!</v>
      </c>
      <c r="ELB71" s="1159" t="e">
        <f t="shared" si="60"/>
        <v>#DIV/0!</v>
      </c>
      <c r="ELC71" s="1159" t="e">
        <f t="shared" si="60"/>
        <v>#DIV/0!</v>
      </c>
      <c r="ELD71" s="1159" t="e">
        <f t="shared" si="60"/>
        <v>#DIV/0!</v>
      </c>
      <c r="ELE71" s="1159" t="e">
        <f t="shared" si="60"/>
        <v>#DIV/0!</v>
      </c>
      <c r="ELF71" s="1159" t="e">
        <f t="shared" si="60"/>
        <v>#DIV/0!</v>
      </c>
      <c r="ELG71" s="1159" t="e">
        <f t="shared" si="60"/>
        <v>#DIV/0!</v>
      </c>
      <c r="ELH71" s="1159" t="e">
        <f t="shared" si="60"/>
        <v>#DIV/0!</v>
      </c>
      <c r="ELI71" s="1159" t="e">
        <f t="shared" si="60"/>
        <v>#DIV/0!</v>
      </c>
      <c r="ELJ71" s="1159" t="e">
        <f t="shared" si="60"/>
        <v>#DIV/0!</v>
      </c>
      <c r="ELK71" s="1159" t="e">
        <f t="shared" si="60"/>
        <v>#DIV/0!</v>
      </c>
      <c r="ELL71" s="1159" t="e">
        <f t="shared" si="60"/>
        <v>#DIV/0!</v>
      </c>
      <c r="ELM71" s="1159" t="e">
        <f t="shared" si="60"/>
        <v>#DIV/0!</v>
      </c>
      <c r="ELN71" s="1159" t="e">
        <f t="shared" si="60"/>
        <v>#DIV/0!</v>
      </c>
      <c r="ELO71" s="1159" t="e">
        <f t="shared" si="60"/>
        <v>#DIV/0!</v>
      </c>
      <c r="ELP71" s="1159" t="e">
        <f t="shared" si="60"/>
        <v>#DIV/0!</v>
      </c>
      <c r="ELQ71" s="1159" t="e">
        <f t="shared" si="60"/>
        <v>#DIV/0!</v>
      </c>
      <c r="ELR71" s="1159" t="e">
        <f t="shared" si="60"/>
        <v>#DIV/0!</v>
      </c>
      <c r="ELS71" s="1159" t="e">
        <f t="shared" si="60"/>
        <v>#DIV/0!</v>
      </c>
      <c r="ELT71" s="1159" t="e">
        <f t="shared" si="60"/>
        <v>#DIV/0!</v>
      </c>
      <c r="ELU71" s="1159" t="e">
        <f t="shared" si="60"/>
        <v>#DIV/0!</v>
      </c>
      <c r="ELV71" s="1159" t="e">
        <f t="shared" si="60"/>
        <v>#DIV/0!</v>
      </c>
      <c r="ELW71" s="1159" t="e">
        <f t="shared" si="60"/>
        <v>#DIV/0!</v>
      </c>
      <c r="ELX71" s="1159" t="e">
        <f t="shared" si="60"/>
        <v>#DIV/0!</v>
      </c>
      <c r="ELY71" s="1159" t="e">
        <f t="shared" si="60"/>
        <v>#DIV/0!</v>
      </c>
      <c r="ELZ71" s="1159" t="e">
        <f t="shared" ref="ELZ71:EOK71" si="61">((ELZ6+ELZ12+ELZ13+ELZ14+ELZ15)*860+ELZ16*ELZ55+ELZ17*ELZ56+ELZ7*ELZ49+ELZ8*ELZ50+ELZ9*ELZ51+ELZ10*ELZ52+ELZ11*ELZ53)/(SUM(ELZ6:ELZ17))</f>
        <v>#DIV/0!</v>
      </c>
      <c r="EMA71" s="1159" t="e">
        <f t="shared" si="61"/>
        <v>#DIV/0!</v>
      </c>
      <c r="EMB71" s="1159" t="e">
        <f t="shared" si="61"/>
        <v>#DIV/0!</v>
      </c>
      <c r="EMC71" s="1159" t="e">
        <f t="shared" si="61"/>
        <v>#DIV/0!</v>
      </c>
      <c r="EMD71" s="1159" t="e">
        <f t="shared" si="61"/>
        <v>#DIV/0!</v>
      </c>
      <c r="EME71" s="1159" t="e">
        <f t="shared" si="61"/>
        <v>#DIV/0!</v>
      </c>
      <c r="EMF71" s="1159" t="e">
        <f t="shared" si="61"/>
        <v>#DIV/0!</v>
      </c>
      <c r="EMG71" s="1159" t="e">
        <f t="shared" si="61"/>
        <v>#DIV/0!</v>
      </c>
      <c r="EMH71" s="1159" t="e">
        <f t="shared" si="61"/>
        <v>#DIV/0!</v>
      </c>
      <c r="EMI71" s="1159" t="e">
        <f t="shared" si="61"/>
        <v>#DIV/0!</v>
      </c>
      <c r="EMJ71" s="1159" t="e">
        <f t="shared" si="61"/>
        <v>#DIV/0!</v>
      </c>
      <c r="EMK71" s="1159" t="e">
        <f t="shared" si="61"/>
        <v>#DIV/0!</v>
      </c>
      <c r="EML71" s="1159" t="e">
        <f t="shared" si="61"/>
        <v>#DIV/0!</v>
      </c>
      <c r="EMM71" s="1159" t="e">
        <f t="shared" si="61"/>
        <v>#DIV/0!</v>
      </c>
      <c r="EMN71" s="1159" t="e">
        <f t="shared" si="61"/>
        <v>#DIV/0!</v>
      </c>
      <c r="EMO71" s="1159" t="e">
        <f t="shared" si="61"/>
        <v>#DIV/0!</v>
      </c>
      <c r="EMP71" s="1159" t="e">
        <f t="shared" si="61"/>
        <v>#DIV/0!</v>
      </c>
      <c r="EMQ71" s="1159" t="e">
        <f t="shared" si="61"/>
        <v>#DIV/0!</v>
      </c>
      <c r="EMR71" s="1159" t="e">
        <f t="shared" si="61"/>
        <v>#DIV/0!</v>
      </c>
      <c r="EMS71" s="1159" t="e">
        <f t="shared" si="61"/>
        <v>#DIV/0!</v>
      </c>
      <c r="EMT71" s="1159" t="e">
        <f t="shared" si="61"/>
        <v>#DIV/0!</v>
      </c>
      <c r="EMU71" s="1159" t="e">
        <f t="shared" si="61"/>
        <v>#DIV/0!</v>
      </c>
      <c r="EMV71" s="1159" t="e">
        <f t="shared" si="61"/>
        <v>#DIV/0!</v>
      </c>
      <c r="EMW71" s="1159" t="e">
        <f t="shared" si="61"/>
        <v>#DIV/0!</v>
      </c>
      <c r="EMX71" s="1159" t="e">
        <f t="shared" si="61"/>
        <v>#DIV/0!</v>
      </c>
      <c r="EMY71" s="1159" t="e">
        <f t="shared" si="61"/>
        <v>#DIV/0!</v>
      </c>
      <c r="EMZ71" s="1159" t="e">
        <f t="shared" si="61"/>
        <v>#DIV/0!</v>
      </c>
      <c r="ENA71" s="1159" t="e">
        <f t="shared" si="61"/>
        <v>#DIV/0!</v>
      </c>
      <c r="ENB71" s="1159" t="e">
        <f t="shared" si="61"/>
        <v>#DIV/0!</v>
      </c>
      <c r="ENC71" s="1159" t="e">
        <f t="shared" si="61"/>
        <v>#DIV/0!</v>
      </c>
      <c r="END71" s="1159" t="e">
        <f t="shared" si="61"/>
        <v>#DIV/0!</v>
      </c>
      <c r="ENE71" s="1159" t="e">
        <f t="shared" si="61"/>
        <v>#DIV/0!</v>
      </c>
      <c r="ENF71" s="1159" t="e">
        <f t="shared" si="61"/>
        <v>#DIV/0!</v>
      </c>
      <c r="ENG71" s="1159" t="e">
        <f t="shared" si="61"/>
        <v>#DIV/0!</v>
      </c>
      <c r="ENH71" s="1159" t="e">
        <f t="shared" si="61"/>
        <v>#DIV/0!</v>
      </c>
      <c r="ENI71" s="1159" t="e">
        <f t="shared" si="61"/>
        <v>#DIV/0!</v>
      </c>
      <c r="ENJ71" s="1159" t="e">
        <f t="shared" si="61"/>
        <v>#DIV/0!</v>
      </c>
      <c r="ENK71" s="1159" t="e">
        <f t="shared" si="61"/>
        <v>#DIV/0!</v>
      </c>
      <c r="ENL71" s="1159" t="e">
        <f t="shared" si="61"/>
        <v>#DIV/0!</v>
      </c>
      <c r="ENM71" s="1159" t="e">
        <f t="shared" si="61"/>
        <v>#DIV/0!</v>
      </c>
      <c r="ENN71" s="1159" t="e">
        <f t="shared" si="61"/>
        <v>#DIV/0!</v>
      </c>
      <c r="ENO71" s="1159" t="e">
        <f t="shared" si="61"/>
        <v>#DIV/0!</v>
      </c>
      <c r="ENP71" s="1159" t="e">
        <f t="shared" si="61"/>
        <v>#DIV/0!</v>
      </c>
      <c r="ENQ71" s="1159" t="e">
        <f t="shared" si="61"/>
        <v>#DIV/0!</v>
      </c>
      <c r="ENR71" s="1159" t="e">
        <f t="shared" si="61"/>
        <v>#DIV/0!</v>
      </c>
      <c r="ENS71" s="1159" t="e">
        <f t="shared" si="61"/>
        <v>#DIV/0!</v>
      </c>
      <c r="ENT71" s="1159" t="e">
        <f t="shared" si="61"/>
        <v>#DIV/0!</v>
      </c>
      <c r="ENU71" s="1159" t="e">
        <f t="shared" si="61"/>
        <v>#DIV/0!</v>
      </c>
      <c r="ENV71" s="1159" t="e">
        <f t="shared" si="61"/>
        <v>#DIV/0!</v>
      </c>
      <c r="ENW71" s="1159" t="e">
        <f t="shared" si="61"/>
        <v>#DIV/0!</v>
      </c>
      <c r="ENX71" s="1159" t="e">
        <f t="shared" si="61"/>
        <v>#DIV/0!</v>
      </c>
      <c r="ENY71" s="1159" t="e">
        <f t="shared" si="61"/>
        <v>#DIV/0!</v>
      </c>
      <c r="ENZ71" s="1159" t="e">
        <f t="shared" si="61"/>
        <v>#DIV/0!</v>
      </c>
      <c r="EOA71" s="1159" t="e">
        <f t="shared" si="61"/>
        <v>#DIV/0!</v>
      </c>
      <c r="EOB71" s="1159" t="e">
        <f t="shared" si="61"/>
        <v>#DIV/0!</v>
      </c>
      <c r="EOC71" s="1159" t="e">
        <f t="shared" si="61"/>
        <v>#DIV/0!</v>
      </c>
      <c r="EOD71" s="1159" t="e">
        <f t="shared" si="61"/>
        <v>#DIV/0!</v>
      </c>
      <c r="EOE71" s="1159" t="e">
        <f t="shared" si="61"/>
        <v>#DIV/0!</v>
      </c>
      <c r="EOF71" s="1159" t="e">
        <f t="shared" si="61"/>
        <v>#DIV/0!</v>
      </c>
      <c r="EOG71" s="1159" t="e">
        <f t="shared" si="61"/>
        <v>#DIV/0!</v>
      </c>
      <c r="EOH71" s="1159" t="e">
        <f t="shared" si="61"/>
        <v>#DIV/0!</v>
      </c>
      <c r="EOI71" s="1159" t="e">
        <f t="shared" si="61"/>
        <v>#DIV/0!</v>
      </c>
      <c r="EOJ71" s="1159" t="e">
        <f t="shared" si="61"/>
        <v>#DIV/0!</v>
      </c>
      <c r="EOK71" s="1159" t="e">
        <f t="shared" si="61"/>
        <v>#DIV/0!</v>
      </c>
      <c r="EOL71" s="1159" t="e">
        <f t="shared" ref="EOL71:EQW71" si="62">((EOL6+EOL12+EOL13+EOL14+EOL15)*860+EOL16*EOL55+EOL17*EOL56+EOL7*EOL49+EOL8*EOL50+EOL9*EOL51+EOL10*EOL52+EOL11*EOL53)/(SUM(EOL6:EOL17))</f>
        <v>#DIV/0!</v>
      </c>
      <c r="EOM71" s="1159" t="e">
        <f t="shared" si="62"/>
        <v>#DIV/0!</v>
      </c>
      <c r="EON71" s="1159" t="e">
        <f t="shared" si="62"/>
        <v>#DIV/0!</v>
      </c>
      <c r="EOO71" s="1159" t="e">
        <f t="shared" si="62"/>
        <v>#DIV/0!</v>
      </c>
      <c r="EOP71" s="1159" t="e">
        <f t="shared" si="62"/>
        <v>#DIV/0!</v>
      </c>
      <c r="EOQ71" s="1159" t="e">
        <f t="shared" si="62"/>
        <v>#DIV/0!</v>
      </c>
      <c r="EOR71" s="1159" t="e">
        <f t="shared" si="62"/>
        <v>#DIV/0!</v>
      </c>
      <c r="EOS71" s="1159" t="e">
        <f t="shared" si="62"/>
        <v>#DIV/0!</v>
      </c>
      <c r="EOT71" s="1159" t="e">
        <f t="shared" si="62"/>
        <v>#DIV/0!</v>
      </c>
      <c r="EOU71" s="1159" t="e">
        <f t="shared" si="62"/>
        <v>#DIV/0!</v>
      </c>
      <c r="EOV71" s="1159" t="e">
        <f t="shared" si="62"/>
        <v>#DIV/0!</v>
      </c>
      <c r="EOW71" s="1159" t="e">
        <f t="shared" si="62"/>
        <v>#DIV/0!</v>
      </c>
      <c r="EOX71" s="1159" t="e">
        <f t="shared" si="62"/>
        <v>#DIV/0!</v>
      </c>
      <c r="EOY71" s="1159" t="e">
        <f t="shared" si="62"/>
        <v>#DIV/0!</v>
      </c>
      <c r="EOZ71" s="1159" t="e">
        <f t="shared" si="62"/>
        <v>#DIV/0!</v>
      </c>
      <c r="EPA71" s="1159" t="e">
        <f t="shared" si="62"/>
        <v>#DIV/0!</v>
      </c>
      <c r="EPB71" s="1159" t="e">
        <f t="shared" si="62"/>
        <v>#DIV/0!</v>
      </c>
      <c r="EPC71" s="1159" t="e">
        <f t="shared" si="62"/>
        <v>#DIV/0!</v>
      </c>
      <c r="EPD71" s="1159" t="e">
        <f t="shared" si="62"/>
        <v>#DIV/0!</v>
      </c>
      <c r="EPE71" s="1159" t="e">
        <f t="shared" si="62"/>
        <v>#DIV/0!</v>
      </c>
      <c r="EPF71" s="1159" t="e">
        <f t="shared" si="62"/>
        <v>#DIV/0!</v>
      </c>
      <c r="EPG71" s="1159" t="e">
        <f t="shared" si="62"/>
        <v>#DIV/0!</v>
      </c>
      <c r="EPH71" s="1159" t="e">
        <f t="shared" si="62"/>
        <v>#DIV/0!</v>
      </c>
      <c r="EPI71" s="1159" t="e">
        <f t="shared" si="62"/>
        <v>#DIV/0!</v>
      </c>
      <c r="EPJ71" s="1159" t="e">
        <f t="shared" si="62"/>
        <v>#DIV/0!</v>
      </c>
      <c r="EPK71" s="1159" t="e">
        <f t="shared" si="62"/>
        <v>#DIV/0!</v>
      </c>
      <c r="EPL71" s="1159" t="e">
        <f t="shared" si="62"/>
        <v>#DIV/0!</v>
      </c>
      <c r="EPM71" s="1159" t="e">
        <f t="shared" si="62"/>
        <v>#DIV/0!</v>
      </c>
      <c r="EPN71" s="1159" t="e">
        <f t="shared" si="62"/>
        <v>#DIV/0!</v>
      </c>
      <c r="EPO71" s="1159" t="e">
        <f t="shared" si="62"/>
        <v>#DIV/0!</v>
      </c>
      <c r="EPP71" s="1159" t="e">
        <f t="shared" si="62"/>
        <v>#DIV/0!</v>
      </c>
      <c r="EPQ71" s="1159" t="e">
        <f t="shared" si="62"/>
        <v>#DIV/0!</v>
      </c>
      <c r="EPR71" s="1159" t="e">
        <f t="shared" si="62"/>
        <v>#DIV/0!</v>
      </c>
      <c r="EPS71" s="1159" t="e">
        <f t="shared" si="62"/>
        <v>#DIV/0!</v>
      </c>
      <c r="EPT71" s="1159" t="e">
        <f t="shared" si="62"/>
        <v>#DIV/0!</v>
      </c>
      <c r="EPU71" s="1159" t="e">
        <f t="shared" si="62"/>
        <v>#DIV/0!</v>
      </c>
      <c r="EPV71" s="1159" t="e">
        <f t="shared" si="62"/>
        <v>#DIV/0!</v>
      </c>
      <c r="EPW71" s="1159" t="e">
        <f t="shared" si="62"/>
        <v>#DIV/0!</v>
      </c>
      <c r="EPX71" s="1159" t="e">
        <f t="shared" si="62"/>
        <v>#DIV/0!</v>
      </c>
      <c r="EPY71" s="1159" t="e">
        <f t="shared" si="62"/>
        <v>#DIV/0!</v>
      </c>
      <c r="EPZ71" s="1159" t="e">
        <f t="shared" si="62"/>
        <v>#DIV/0!</v>
      </c>
      <c r="EQA71" s="1159" t="e">
        <f t="shared" si="62"/>
        <v>#DIV/0!</v>
      </c>
      <c r="EQB71" s="1159" t="e">
        <f t="shared" si="62"/>
        <v>#DIV/0!</v>
      </c>
      <c r="EQC71" s="1159" t="e">
        <f t="shared" si="62"/>
        <v>#DIV/0!</v>
      </c>
      <c r="EQD71" s="1159" t="e">
        <f t="shared" si="62"/>
        <v>#DIV/0!</v>
      </c>
      <c r="EQE71" s="1159" t="e">
        <f t="shared" si="62"/>
        <v>#DIV/0!</v>
      </c>
      <c r="EQF71" s="1159" t="e">
        <f t="shared" si="62"/>
        <v>#DIV/0!</v>
      </c>
      <c r="EQG71" s="1159" t="e">
        <f t="shared" si="62"/>
        <v>#DIV/0!</v>
      </c>
      <c r="EQH71" s="1159" t="e">
        <f t="shared" si="62"/>
        <v>#DIV/0!</v>
      </c>
      <c r="EQI71" s="1159" t="e">
        <f t="shared" si="62"/>
        <v>#DIV/0!</v>
      </c>
      <c r="EQJ71" s="1159" t="e">
        <f t="shared" si="62"/>
        <v>#DIV/0!</v>
      </c>
      <c r="EQK71" s="1159" t="e">
        <f t="shared" si="62"/>
        <v>#DIV/0!</v>
      </c>
      <c r="EQL71" s="1159" t="e">
        <f t="shared" si="62"/>
        <v>#DIV/0!</v>
      </c>
      <c r="EQM71" s="1159" t="e">
        <f t="shared" si="62"/>
        <v>#DIV/0!</v>
      </c>
      <c r="EQN71" s="1159" t="e">
        <f t="shared" si="62"/>
        <v>#DIV/0!</v>
      </c>
      <c r="EQO71" s="1159" t="e">
        <f t="shared" si="62"/>
        <v>#DIV/0!</v>
      </c>
      <c r="EQP71" s="1159" t="e">
        <f t="shared" si="62"/>
        <v>#DIV/0!</v>
      </c>
      <c r="EQQ71" s="1159" t="e">
        <f t="shared" si="62"/>
        <v>#DIV/0!</v>
      </c>
      <c r="EQR71" s="1159" t="e">
        <f t="shared" si="62"/>
        <v>#DIV/0!</v>
      </c>
      <c r="EQS71" s="1159" t="e">
        <f t="shared" si="62"/>
        <v>#DIV/0!</v>
      </c>
      <c r="EQT71" s="1159" t="e">
        <f t="shared" si="62"/>
        <v>#DIV/0!</v>
      </c>
      <c r="EQU71" s="1159" t="e">
        <f t="shared" si="62"/>
        <v>#DIV/0!</v>
      </c>
      <c r="EQV71" s="1159" t="e">
        <f t="shared" si="62"/>
        <v>#DIV/0!</v>
      </c>
      <c r="EQW71" s="1159" t="e">
        <f t="shared" si="62"/>
        <v>#DIV/0!</v>
      </c>
      <c r="EQX71" s="1159" t="e">
        <f t="shared" ref="EQX71:ETI71" si="63">((EQX6+EQX12+EQX13+EQX14+EQX15)*860+EQX16*EQX55+EQX17*EQX56+EQX7*EQX49+EQX8*EQX50+EQX9*EQX51+EQX10*EQX52+EQX11*EQX53)/(SUM(EQX6:EQX17))</f>
        <v>#DIV/0!</v>
      </c>
      <c r="EQY71" s="1159" t="e">
        <f t="shared" si="63"/>
        <v>#DIV/0!</v>
      </c>
      <c r="EQZ71" s="1159" t="e">
        <f t="shared" si="63"/>
        <v>#DIV/0!</v>
      </c>
      <c r="ERA71" s="1159" t="e">
        <f t="shared" si="63"/>
        <v>#DIV/0!</v>
      </c>
      <c r="ERB71" s="1159" t="e">
        <f t="shared" si="63"/>
        <v>#DIV/0!</v>
      </c>
      <c r="ERC71" s="1159" t="e">
        <f t="shared" si="63"/>
        <v>#DIV/0!</v>
      </c>
      <c r="ERD71" s="1159" t="e">
        <f t="shared" si="63"/>
        <v>#DIV/0!</v>
      </c>
      <c r="ERE71" s="1159" t="e">
        <f t="shared" si="63"/>
        <v>#DIV/0!</v>
      </c>
      <c r="ERF71" s="1159" t="e">
        <f t="shared" si="63"/>
        <v>#DIV/0!</v>
      </c>
      <c r="ERG71" s="1159" t="e">
        <f t="shared" si="63"/>
        <v>#DIV/0!</v>
      </c>
      <c r="ERH71" s="1159" t="e">
        <f t="shared" si="63"/>
        <v>#DIV/0!</v>
      </c>
      <c r="ERI71" s="1159" t="e">
        <f t="shared" si="63"/>
        <v>#DIV/0!</v>
      </c>
      <c r="ERJ71" s="1159" t="e">
        <f t="shared" si="63"/>
        <v>#DIV/0!</v>
      </c>
      <c r="ERK71" s="1159" t="e">
        <f t="shared" si="63"/>
        <v>#DIV/0!</v>
      </c>
      <c r="ERL71" s="1159" t="e">
        <f t="shared" si="63"/>
        <v>#DIV/0!</v>
      </c>
      <c r="ERM71" s="1159" t="e">
        <f t="shared" si="63"/>
        <v>#DIV/0!</v>
      </c>
      <c r="ERN71" s="1159" t="e">
        <f t="shared" si="63"/>
        <v>#DIV/0!</v>
      </c>
      <c r="ERO71" s="1159" t="e">
        <f t="shared" si="63"/>
        <v>#DIV/0!</v>
      </c>
      <c r="ERP71" s="1159" t="e">
        <f t="shared" si="63"/>
        <v>#DIV/0!</v>
      </c>
      <c r="ERQ71" s="1159" t="e">
        <f t="shared" si="63"/>
        <v>#DIV/0!</v>
      </c>
      <c r="ERR71" s="1159" t="e">
        <f t="shared" si="63"/>
        <v>#DIV/0!</v>
      </c>
      <c r="ERS71" s="1159" t="e">
        <f t="shared" si="63"/>
        <v>#DIV/0!</v>
      </c>
      <c r="ERT71" s="1159" t="e">
        <f t="shared" si="63"/>
        <v>#DIV/0!</v>
      </c>
      <c r="ERU71" s="1159" t="e">
        <f t="shared" si="63"/>
        <v>#DIV/0!</v>
      </c>
      <c r="ERV71" s="1159" t="e">
        <f t="shared" si="63"/>
        <v>#DIV/0!</v>
      </c>
      <c r="ERW71" s="1159" t="e">
        <f t="shared" si="63"/>
        <v>#DIV/0!</v>
      </c>
      <c r="ERX71" s="1159" t="e">
        <f t="shared" si="63"/>
        <v>#DIV/0!</v>
      </c>
      <c r="ERY71" s="1159" t="e">
        <f t="shared" si="63"/>
        <v>#DIV/0!</v>
      </c>
      <c r="ERZ71" s="1159" t="e">
        <f t="shared" si="63"/>
        <v>#DIV/0!</v>
      </c>
      <c r="ESA71" s="1159" t="e">
        <f t="shared" si="63"/>
        <v>#DIV/0!</v>
      </c>
      <c r="ESB71" s="1159" t="e">
        <f t="shared" si="63"/>
        <v>#DIV/0!</v>
      </c>
      <c r="ESC71" s="1159" t="e">
        <f t="shared" si="63"/>
        <v>#DIV/0!</v>
      </c>
      <c r="ESD71" s="1159" t="e">
        <f t="shared" si="63"/>
        <v>#DIV/0!</v>
      </c>
      <c r="ESE71" s="1159" t="e">
        <f t="shared" si="63"/>
        <v>#DIV/0!</v>
      </c>
      <c r="ESF71" s="1159" t="e">
        <f t="shared" si="63"/>
        <v>#DIV/0!</v>
      </c>
      <c r="ESG71" s="1159" t="e">
        <f t="shared" si="63"/>
        <v>#DIV/0!</v>
      </c>
      <c r="ESH71" s="1159" t="e">
        <f t="shared" si="63"/>
        <v>#DIV/0!</v>
      </c>
      <c r="ESI71" s="1159" t="e">
        <f t="shared" si="63"/>
        <v>#DIV/0!</v>
      </c>
      <c r="ESJ71" s="1159" t="e">
        <f t="shared" si="63"/>
        <v>#DIV/0!</v>
      </c>
      <c r="ESK71" s="1159" t="e">
        <f t="shared" si="63"/>
        <v>#DIV/0!</v>
      </c>
      <c r="ESL71" s="1159" t="e">
        <f t="shared" si="63"/>
        <v>#DIV/0!</v>
      </c>
      <c r="ESM71" s="1159" t="e">
        <f t="shared" si="63"/>
        <v>#DIV/0!</v>
      </c>
      <c r="ESN71" s="1159" t="e">
        <f t="shared" si="63"/>
        <v>#DIV/0!</v>
      </c>
      <c r="ESO71" s="1159" t="e">
        <f t="shared" si="63"/>
        <v>#DIV/0!</v>
      </c>
      <c r="ESP71" s="1159" t="e">
        <f t="shared" si="63"/>
        <v>#DIV/0!</v>
      </c>
      <c r="ESQ71" s="1159" t="e">
        <f t="shared" si="63"/>
        <v>#DIV/0!</v>
      </c>
      <c r="ESR71" s="1159" t="e">
        <f t="shared" si="63"/>
        <v>#DIV/0!</v>
      </c>
      <c r="ESS71" s="1159" t="e">
        <f t="shared" si="63"/>
        <v>#DIV/0!</v>
      </c>
      <c r="EST71" s="1159" t="e">
        <f t="shared" si="63"/>
        <v>#DIV/0!</v>
      </c>
      <c r="ESU71" s="1159" t="e">
        <f t="shared" si="63"/>
        <v>#DIV/0!</v>
      </c>
      <c r="ESV71" s="1159" t="e">
        <f t="shared" si="63"/>
        <v>#DIV/0!</v>
      </c>
      <c r="ESW71" s="1159" t="e">
        <f t="shared" si="63"/>
        <v>#DIV/0!</v>
      </c>
      <c r="ESX71" s="1159" t="e">
        <f t="shared" si="63"/>
        <v>#DIV/0!</v>
      </c>
      <c r="ESY71" s="1159" t="e">
        <f t="shared" si="63"/>
        <v>#DIV/0!</v>
      </c>
      <c r="ESZ71" s="1159" t="e">
        <f t="shared" si="63"/>
        <v>#DIV/0!</v>
      </c>
      <c r="ETA71" s="1159" t="e">
        <f t="shared" si="63"/>
        <v>#DIV/0!</v>
      </c>
      <c r="ETB71" s="1159" t="e">
        <f t="shared" si="63"/>
        <v>#DIV/0!</v>
      </c>
      <c r="ETC71" s="1159" t="e">
        <f t="shared" si="63"/>
        <v>#DIV/0!</v>
      </c>
      <c r="ETD71" s="1159" t="e">
        <f t="shared" si="63"/>
        <v>#DIV/0!</v>
      </c>
      <c r="ETE71" s="1159" t="e">
        <f t="shared" si="63"/>
        <v>#DIV/0!</v>
      </c>
      <c r="ETF71" s="1159" t="e">
        <f t="shared" si="63"/>
        <v>#DIV/0!</v>
      </c>
      <c r="ETG71" s="1159" t="e">
        <f t="shared" si="63"/>
        <v>#DIV/0!</v>
      </c>
      <c r="ETH71" s="1159" t="e">
        <f t="shared" si="63"/>
        <v>#DIV/0!</v>
      </c>
      <c r="ETI71" s="1159" t="e">
        <f t="shared" si="63"/>
        <v>#DIV/0!</v>
      </c>
      <c r="ETJ71" s="1159" t="e">
        <f t="shared" ref="ETJ71:EVU71" si="64">((ETJ6+ETJ12+ETJ13+ETJ14+ETJ15)*860+ETJ16*ETJ55+ETJ17*ETJ56+ETJ7*ETJ49+ETJ8*ETJ50+ETJ9*ETJ51+ETJ10*ETJ52+ETJ11*ETJ53)/(SUM(ETJ6:ETJ17))</f>
        <v>#DIV/0!</v>
      </c>
      <c r="ETK71" s="1159" t="e">
        <f t="shared" si="64"/>
        <v>#DIV/0!</v>
      </c>
      <c r="ETL71" s="1159" t="e">
        <f t="shared" si="64"/>
        <v>#DIV/0!</v>
      </c>
      <c r="ETM71" s="1159" t="e">
        <f t="shared" si="64"/>
        <v>#DIV/0!</v>
      </c>
      <c r="ETN71" s="1159" t="e">
        <f t="shared" si="64"/>
        <v>#DIV/0!</v>
      </c>
      <c r="ETO71" s="1159" t="e">
        <f t="shared" si="64"/>
        <v>#DIV/0!</v>
      </c>
      <c r="ETP71" s="1159" t="e">
        <f t="shared" si="64"/>
        <v>#DIV/0!</v>
      </c>
      <c r="ETQ71" s="1159" t="e">
        <f t="shared" si="64"/>
        <v>#DIV/0!</v>
      </c>
      <c r="ETR71" s="1159" t="e">
        <f t="shared" si="64"/>
        <v>#DIV/0!</v>
      </c>
      <c r="ETS71" s="1159" t="e">
        <f t="shared" si="64"/>
        <v>#DIV/0!</v>
      </c>
      <c r="ETT71" s="1159" t="e">
        <f t="shared" si="64"/>
        <v>#DIV/0!</v>
      </c>
      <c r="ETU71" s="1159" t="e">
        <f t="shared" si="64"/>
        <v>#DIV/0!</v>
      </c>
      <c r="ETV71" s="1159" t="e">
        <f t="shared" si="64"/>
        <v>#DIV/0!</v>
      </c>
      <c r="ETW71" s="1159" t="e">
        <f t="shared" si="64"/>
        <v>#DIV/0!</v>
      </c>
      <c r="ETX71" s="1159" t="e">
        <f t="shared" si="64"/>
        <v>#DIV/0!</v>
      </c>
      <c r="ETY71" s="1159" t="e">
        <f t="shared" si="64"/>
        <v>#DIV/0!</v>
      </c>
      <c r="ETZ71" s="1159" t="e">
        <f t="shared" si="64"/>
        <v>#DIV/0!</v>
      </c>
      <c r="EUA71" s="1159" t="e">
        <f t="shared" si="64"/>
        <v>#DIV/0!</v>
      </c>
      <c r="EUB71" s="1159" t="e">
        <f t="shared" si="64"/>
        <v>#DIV/0!</v>
      </c>
      <c r="EUC71" s="1159" t="e">
        <f t="shared" si="64"/>
        <v>#DIV/0!</v>
      </c>
      <c r="EUD71" s="1159" t="e">
        <f t="shared" si="64"/>
        <v>#DIV/0!</v>
      </c>
      <c r="EUE71" s="1159" t="e">
        <f t="shared" si="64"/>
        <v>#DIV/0!</v>
      </c>
      <c r="EUF71" s="1159" t="e">
        <f t="shared" si="64"/>
        <v>#DIV/0!</v>
      </c>
      <c r="EUG71" s="1159" t="e">
        <f t="shared" si="64"/>
        <v>#DIV/0!</v>
      </c>
      <c r="EUH71" s="1159" t="e">
        <f t="shared" si="64"/>
        <v>#DIV/0!</v>
      </c>
      <c r="EUI71" s="1159" t="e">
        <f t="shared" si="64"/>
        <v>#DIV/0!</v>
      </c>
      <c r="EUJ71" s="1159" t="e">
        <f t="shared" si="64"/>
        <v>#DIV/0!</v>
      </c>
      <c r="EUK71" s="1159" t="e">
        <f t="shared" si="64"/>
        <v>#DIV/0!</v>
      </c>
      <c r="EUL71" s="1159" t="e">
        <f t="shared" si="64"/>
        <v>#DIV/0!</v>
      </c>
      <c r="EUM71" s="1159" t="e">
        <f t="shared" si="64"/>
        <v>#DIV/0!</v>
      </c>
      <c r="EUN71" s="1159" t="e">
        <f t="shared" si="64"/>
        <v>#DIV/0!</v>
      </c>
      <c r="EUO71" s="1159" t="e">
        <f t="shared" si="64"/>
        <v>#DIV/0!</v>
      </c>
      <c r="EUP71" s="1159" t="e">
        <f t="shared" si="64"/>
        <v>#DIV/0!</v>
      </c>
      <c r="EUQ71" s="1159" t="e">
        <f t="shared" si="64"/>
        <v>#DIV/0!</v>
      </c>
      <c r="EUR71" s="1159" t="e">
        <f t="shared" si="64"/>
        <v>#DIV/0!</v>
      </c>
      <c r="EUS71" s="1159" t="e">
        <f t="shared" si="64"/>
        <v>#DIV/0!</v>
      </c>
      <c r="EUT71" s="1159" t="e">
        <f t="shared" si="64"/>
        <v>#DIV/0!</v>
      </c>
      <c r="EUU71" s="1159" t="e">
        <f t="shared" si="64"/>
        <v>#DIV/0!</v>
      </c>
      <c r="EUV71" s="1159" t="e">
        <f t="shared" si="64"/>
        <v>#DIV/0!</v>
      </c>
      <c r="EUW71" s="1159" t="e">
        <f t="shared" si="64"/>
        <v>#DIV/0!</v>
      </c>
      <c r="EUX71" s="1159" t="e">
        <f t="shared" si="64"/>
        <v>#DIV/0!</v>
      </c>
      <c r="EUY71" s="1159" t="e">
        <f t="shared" si="64"/>
        <v>#DIV/0!</v>
      </c>
      <c r="EUZ71" s="1159" t="e">
        <f t="shared" si="64"/>
        <v>#DIV/0!</v>
      </c>
      <c r="EVA71" s="1159" t="e">
        <f t="shared" si="64"/>
        <v>#DIV/0!</v>
      </c>
      <c r="EVB71" s="1159" t="e">
        <f t="shared" si="64"/>
        <v>#DIV/0!</v>
      </c>
      <c r="EVC71" s="1159" t="e">
        <f t="shared" si="64"/>
        <v>#DIV/0!</v>
      </c>
      <c r="EVD71" s="1159" t="e">
        <f t="shared" si="64"/>
        <v>#DIV/0!</v>
      </c>
      <c r="EVE71" s="1159" t="e">
        <f t="shared" si="64"/>
        <v>#DIV/0!</v>
      </c>
      <c r="EVF71" s="1159" t="e">
        <f t="shared" si="64"/>
        <v>#DIV/0!</v>
      </c>
      <c r="EVG71" s="1159" t="e">
        <f t="shared" si="64"/>
        <v>#DIV/0!</v>
      </c>
      <c r="EVH71" s="1159" t="e">
        <f t="shared" si="64"/>
        <v>#DIV/0!</v>
      </c>
      <c r="EVI71" s="1159" t="e">
        <f t="shared" si="64"/>
        <v>#DIV/0!</v>
      </c>
      <c r="EVJ71" s="1159" t="e">
        <f t="shared" si="64"/>
        <v>#DIV/0!</v>
      </c>
      <c r="EVK71" s="1159" t="e">
        <f t="shared" si="64"/>
        <v>#DIV/0!</v>
      </c>
      <c r="EVL71" s="1159" t="e">
        <f t="shared" si="64"/>
        <v>#DIV/0!</v>
      </c>
      <c r="EVM71" s="1159" t="e">
        <f t="shared" si="64"/>
        <v>#DIV/0!</v>
      </c>
      <c r="EVN71" s="1159" t="e">
        <f t="shared" si="64"/>
        <v>#DIV/0!</v>
      </c>
      <c r="EVO71" s="1159" t="e">
        <f t="shared" si="64"/>
        <v>#DIV/0!</v>
      </c>
      <c r="EVP71" s="1159" t="e">
        <f t="shared" si="64"/>
        <v>#DIV/0!</v>
      </c>
      <c r="EVQ71" s="1159" t="e">
        <f t="shared" si="64"/>
        <v>#DIV/0!</v>
      </c>
      <c r="EVR71" s="1159" t="e">
        <f t="shared" si="64"/>
        <v>#DIV/0!</v>
      </c>
      <c r="EVS71" s="1159" t="e">
        <f t="shared" si="64"/>
        <v>#DIV/0!</v>
      </c>
      <c r="EVT71" s="1159" t="e">
        <f t="shared" si="64"/>
        <v>#DIV/0!</v>
      </c>
      <c r="EVU71" s="1159" t="e">
        <f t="shared" si="64"/>
        <v>#DIV/0!</v>
      </c>
      <c r="EVV71" s="1159" t="e">
        <f t="shared" ref="EVV71:EYG71" si="65">((EVV6+EVV12+EVV13+EVV14+EVV15)*860+EVV16*EVV55+EVV17*EVV56+EVV7*EVV49+EVV8*EVV50+EVV9*EVV51+EVV10*EVV52+EVV11*EVV53)/(SUM(EVV6:EVV17))</f>
        <v>#DIV/0!</v>
      </c>
      <c r="EVW71" s="1159" t="e">
        <f t="shared" si="65"/>
        <v>#DIV/0!</v>
      </c>
      <c r="EVX71" s="1159" t="e">
        <f t="shared" si="65"/>
        <v>#DIV/0!</v>
      </c>
      <c r="EVY71" s="1159" t="e">
        <f t="shared" si="65"/>
        <v>#DIV/0!</v>
      </c>
      <c r="EVZ71" s="1159" t="e">
        <f t="shared" si="65"/>
        <v>#DIV/0!</v>
      </c>
      <c r="EWA71" s="1159" t="e">
        <f t="shared" si="65"/>
        <v>#DIV/0!</v>
      </c>
      <c r="EWB71" s="1159" t="e">
        <f t="shared" si="65"/>
        <v>#DIV/0!</v>
      </c>
      <c r="EWC71" s="1159" t="e">
        <f t="shared" si="65"/>
        <v>#DIV/0!</v>
      </c>
      <c r="EWD71" s="1159" t="e">
        <f t="shared" si="65"/>
        <v>#DIV/0!</v>
      </c>
      <c r="EWE71" s="1159" t="e">
        <f t="shared" si="65"/>
        <v>#DIV/0!</v>
      </c>
      <c r="EWF71" s="1159" t="e">
        <f t="shared" si="65"/>
        <v>#DIV/0!</v>
      </c>
      <c r="EWG71" s="1159" t="e">
        <f t="shared" si="65"/>
        <v>#DIV/0!</v>
      </c>
      <c r="EWH71" s="1159" t="e">
        <f t="shared" si="65"/>
        <v>#DIV/0!</v>
      </c>
      <c r="EWI71" s="1159" t="e">
        <f t="shared" si="65"/>
        <v>#DIV/0!</v>
      </c>
      <c r="EWJ71" s="1159" t="e">
        <f t="shared" si="65"/>
        <v>#DIV/0!</v>
      </c>
      <c r="EWK71" s="1159" t="e">
        <f t="shared" si="65"/>
        <v>#DIV/0!</v>
      </c>
      <c r="EWL71" s="1159" t="e">
        <f t="shared" si="65"/>
        <v>#DIV/0!</v>
      </c>
      <c r="EWM71" s="1159" t="e">
        <f t="shared" si="65"/>
        <v>#DIV/0!</v>
      </c>
      <c r="EWN71" s="1159" t="e">
        <f t="shared" si="65"/>
        <v>#DIV/0!</v>
      </c>
      <c r="EWO71" s="1159" t="e">
        <f t="shared" si="65"/>
        <v>#DIV/0!</v>
      </c>
      <c r="EWP71" s="1159" t="e">
        <f t="shared" si="65"/>
        <v>#DIV/0!</v>
      </c>
      <c r="EWQ71" s="1159" t="e">
        <f t="shared" si="65"/>
        <v>#DIV/0!</v>
      </c>
      <c r="EWR71" s="1159" t="e">
        <f t="shared" si="65"/>
        <v>#DIV/0!</v>
      </c>
      <c r="EWS71" s="1159" t="e">
        <f t="shared" si="65"/>
        <v>#DIV/0!</v>
      </c>
      <c r="EWT71" s="1159" t="e">
        <f t="shared" si="65"/>
        <v>#DIV/0!</v>
      </c>
      <c r="EWU71" s="1159" t="e">
        <f t="shared" si="65"/>
        <v>#DIV/0!</v>
      </c>
      <c r="EWV71" s="1159" t="e">
        <f t="shared" si="65"/>
        <v>#DIV/0!</v>
      </c>
      <c r="EWW71" s="1159" t="e">
        <f t="shared" si="65"/>
        <v>#DIV/0!</v>
      </c>
      <c r="EWX71" s="1159" t="e">
        <f t="shared" si="65"/>
        <v>#DIV/0!</v>
      </c>
      <c r="EWY71" s="1159" t="e">
        <f t="shared" si="65"/>
        <v>#DIV/0!</v>
      </c>
      <c r="EWZ71" s="1159" t="e">
        <f t="shared" si="65"/>
        <v>#DIV/0!</v>
      </c>
      <c r="EXA71" s="1159" t="e">
        <f t="shared" si="65"/>
        <v>#DIV/0!</v>
      </c>
      <c r="EXB71" s="1159" t="e">
        <f t="shared" si="65"/>
        <v>#DIV/0!</v>
      </c>
      <c r="EXC71" s="1159" t="e">
        <f t="shared" si="65"/>
        <v>#DIV/0!</v>
      </c>
      <c r="EXD71" s="1159" t="e">
        <f t="shared" si="65"/>
        <v>#DIV/0!</v>
      </c>
      <c r="EXE71" s="1159" t="e">
        <f t="shared" si="65"/>
        <v>#DIV/0!</v>
      </c>
      <c r="EXF71" s="1159" t="e">
        <f t="shared" si="65"/>
        <v>#DIV/0!</v>
      </c>
      <c r="EXG71" s="1159" t="e">
        <f t="shared" si="65"/>
        <v>#DIV/0!</v>
      </c>
      <c r="EXH71" s="1159" t="e">
        <f t="shared" si="65"/>
        <v>#DIV/0!</v>
      </c>
      <c r="EXI71" s="1159" t="e">
        <f t="shared" si="65"/>
        <v>#DIV/0!</v>
      </c>
      <c r="EXJ71" s="1159" t="e">
        <f t="shared" si="65"/>
        <v>#DIV/0!</v>
      </c>
      <c r="EXK71" s="1159" t="e">
        <f t="shared" si="65"/>
        <v>#DIV/0!</v>
      </c>
      <c r="EXL71" s="1159" t="e">
        <f t="shared" si="65"/>
        <v>#DIV/0!</v>
      </c>
      <c r="EXM71" s="1159" t="e">
        <f t="shared" si="65"/>
        <v>#DIV/0!</v>
      </c>
      <c r="EXN71" s="1159" t="e">
        <f t="shared" si="65"/>
        <v>#DIV/0!</v>
      </c>
      <c r="EXO71" s="1159" t="e">
        <f t="shared" si="65"/>
        <v>#DIV/0!</v>
      </c>
      <c r="EXP71" s="1159" t="e">
        <f t="shared" si="65"/>
        <v>#DIV/0!</v>
      </c>
      <c r="EXQ71" s="1159" t="e">
        <f t="shared" si="65"/>
        <v>#DIV/0!</v>
      </c>
      <c r="EXR71" s="1159" t="e">
        <f t="shared" si="65"/>
        <v>#DIV/0!</v>
      </c>
      <c r="EXS71" s="1159" t="e">
        <f t="shared" si="65"/>
        <v>#DIV/0!</v>
      </c>
      <c r="EXT71" s="1159" t="e">
        <f t="shared" si="65"/>
        <v>#DIV/0!</v>
      </c>
      <c r="EXU71" s="1159" t="e">
        <f t="shared" si="65"/>
        <v>#DIV/0!</v>
      </c>
      <c r="EXV71" s="1159" t="e">
        <f t="shared" si="65"/>
        <v>#DIV/0!</v>
      </c>
      <c r="EXW71" s="1159" t="e">
        <f t="shared" si="65"/>
        <v>#DIV/0!</v>
      </c>
      <c r="EXX71" s="1159" t="e">
        <f t="shared" si="65"/>
        <v>#DIV/0!</v>
      </c>
      <c r="EXY71" s="1159" t="e">
        <f t="shared" si="65"/>
        <v>#DIV/0!</v>
      </c>
      <c r="EXZ71" s="1159" t="e">
        <f t="shared" si="65"/>
        <v>#DIV/0!</v>
      </c>
      <c r="EYA71" s="1159" t="e">
        <f t="shared" si="65"/>
        <v>#DIV/0!</v>
      </c>
      <c r="EYB71" s="1159" t="e">
        <f t="shared" si="65"/>
        <v>#DIV/0!</v>
      </c>
      <c r="EYC71" s="1159" t="e">
        <f t="shared" si="65"/>
        <v>#DIV/0!</v>
      </c>
      <c r="EYD71" s="1159" t="e">
        <f t="shared" si="65"/>
        <v>#DIV/0!</v>
      </c>
      <c r="EYE71" s="1159" t="e">
        <f t="shared" si="65"/>
        <v>#DIV/0!</v>
      </c>
      <c r="EYF71" s="1159" t="e">
        <f t="shared" si="65"/>
        <v>#DIV/0!</v>
      </c>
      <c r="EYG71" s="1159" t="e">
        <f t="shared" si="65"/>
        <v>#DIV/0!</v>
      </c>
      <c r="EYH71" s="1159" t="e">
        <f t="shared" ref="EYH71:FAS71" si="66">((EYH6+EYH12+EYH13+EYH14+EYH15)*860+EYH16*EYH55+EYH17*EYH56+EYH7*EYH49+EYH8*EYH50+EYH9*EYH51+EYH10*EYH52+EYH11*EYH53)/(SUM(EYH6:EYH17))</f>
        <v>#DIV/0!</v>
      </c>
      <c r="EYI71" s="1159" t="e">
        <f t="shared" si="66"/>
        <v>#DIV/0!</v>
      </c>
      <c r="EYJ71" s="1159" t="e">
        <f t="shared" si="66"/>
        <v>#DIV/0!</v>
      </c>
      <c r="EYK71" s="1159" t="e">
        <f t="shared" si="66"/>
        <v>#DIV/0!</v>
      </c>
      <c r="EYL71" s="1159" t="e">
        <f t="shared" si="66"/>
        <v>#DIV/0!</v>
      </c>
      <c r="EYM71" s="1159" t="e">
        <f t="shared" si="66"/>
        <v>#DIV/0!</v>
      </c>
      <c r="EYN71" s="1159" t="e">
        <f t="shared" si="66"/>
        <v>#DIV/0!</v>
      </c>
      <c r="EYO71" s="1159" t="e">
        <f t="shared" si="66"/>
        <v>#DIV/0!</v>
      </c>
      <c r="EYP71" s="1159" t="e">
        <f t="shared" si="66"/>
        <v>#DIV/0!</v>
      </c>
      <c r="EYQ71" s="1159" t="e">
        <f t="shared" si="66"/>
        <v>#DIV/0!</v>
      </c>
      <c r="EYR71" s="1159" t="e">
        <f t="shared" si="66"/>
        <v>#DIV/0!</v>
      </c>
      <c r="EYS71" s="1159" t="e">
        <f t="shared" si="66"/>
        <v>#DIV/0!</v>
      </c>
      <c r="EYT71" s="1159" t="e">
        <f t="shared" si="66"/>
        <v>#DIV/0!</v>
      </c>
      <c r="EYU71" s="1159" t="e">
        <f t="shared" si="66"/>
        <v>#DIV/0!</v>
      </c>
      <c r="EYV71" s="1159" t="e">
        <f t="shared" si="66"/>
        <v>#DIV/0!</v>
      </c>
      <c r="EYW71" s="1159" t="e">
        <f t="shared" si="66"/>
        <v>#DIV/0!</v>
      </c>
      <c r="EYX71" s="1159" t="e">
        <f t="shared" si="66"/>
        <v>#DIV/0!</v>
      </c>
      <c r="EYY71" s="1159" t="e">
        <f t="shared" si="66"/>
        <v>#DIV/0!</v>
      </c>
      <c r="EYZ71" s="1159" t="e">
        <f t="shared" si="66"/>
        <v>#DIV/0!</v>
      </c>
      <c r="EZA71" s="1159" t="e">
        <f t="shared" si="66"/>
        <v>#DIV/0!</v>
      </c>
      <c r="EZB71" s="1159" t="e">
        <f t="shared" si="66"/>
        <v>#DIV/0!</v>
      </c>
      <c r="EZC71" s="1159" t="e">
        <f t="shared" si="66"/>
        <v>#DIV/0!</v>
      </c>
      <c r="EZD71" s="1159" t="e">
        <f t="shared" si="66"/>
        <v>#DIV/0!</v>
      </c>
      <c r="EZE71" s="1159" t="e">
        <f t="shared" si="66"/>
        <v>#DIV/0!</v>
      </c>
      <c r="EZF71" s="1159" t="e">
        <f t="shared" si="66"/>
        <v>#DIV/0!</v>
      </c>
      <c r="EZG71" s="1159" t="e">
        <f t="shared" si="66"/>
        <v>#DIV/0!</v>
      </c>
      <c r="EZH71" s="1159" t="e">
        <f t="shared" si="66"/>
        <v>#DIV/0!</v>
      </c>
      <c r="EZI71" s="1159" t="e">
        <f t="shared" si="66"/>
        <v>#DIV/0!</v>
      </c>
      <c r="EZJ71" s="1159" t="e">
        <f t="shared" si="66"/>
        <v>#DIV/0!</v>
      </c>
      <c r="EZK71" s="1159" t="e">
        <f t="shared" si="66"/>
        <v>#DIV/0!</v>
      </c>
      <c r="EZL71" s="1159" t="e">
        <f t="shared" si="66"/>
        <v>#DIV/0!</v>
      </c>
      <c r="EZM71" s="1159" t="e">
        <f t="shared" si="66"/>
        <v>#DIV/0!</v>
      </c>
      <c r="EZN71" s="1159" t="e">
        <f t="shared" si="66"/>
        <v>#DIV/0!</v>
      </c>
      <c r="EZO71" s="1159" t="e">
        <f t="shared" si="66"/>
        <v>#DIV/0!</v>
      </c>
      <c r="EZP71" s="1159" t="e">
        <f t="shared" si="66"/>
        <v>#DIV/0!</v>
      </c>
      <c r="EZQ71" s="1159" t="e">
        <f t="shared" si="66"/>
        <v>#DIV/0!</v>
      </c>
      <c r="EZR71" s="1159" t="e">
        <f t="shared" si="66"/>
        <v>#DIV/0!</v>
      </c>
      <c r="EZS71" s="1159" t="e">
        <f t="shared" si="66"/>
        <v>#DIV/0!</v>
      </c>
      <c r="EZT71" s="1159" t="e">
        <f t="shared" si="66"/>
        <v>#DIV/0!</v>
      </c>
      <c r="EZU71" s="1159" t="e">
        <f t="shared" si="66"/>
        <v>#DIV/0!</v>
      </c>
      <c r="EZV71" s="1159" t="e">
        <f t="shared" si="66"/>
        <v>#DIV/0!</v>
      </c>
      <c r="EZW71" s="1159" t="e">
        <f t="shared" si="66"/>
        <v>#DIV/0!</v>
      </c>
      <c r="EZX71" s="1159" t="e">
        <f t="shared" si="66"/>
        <v>#DIV/0!</v>
      </c>
      <c r="EZY71" s="1159" t="e">
        <f t="shared" si="66"/>
        <v>#DIV/0!</v>
      </c>
      <c r="EZZ71" s="1159" t="e">
        <f t="shared" si="66"/>
        <v>#DIV/0!</v>
      </c>
      <c r="FAA71" s="1159" t="e">
        <f t="shared" si="66"/>
        <v>#DIV/0!</v>
      </c>
      <c r="FAB71" s="1159" t="e">
        <f t="shared" si="66"/>
        <v>#DIV/0!</v>
      </c>
      <c r="FAC71" s="1159" t="e">
        <f t="shared" si="66"/>
        <v>#DIV/0!</v>
      </c>
      <c r="FAD71" s="1159" t="e">
        <f t="shared" si="66"/>
        <v>#DIV/0!</v>
      </c>
      <c r="FAE71" s="1159" t="e">
        <f t="shared" si="66"/>
        <v>#DIV/0!</v>
      </c>
      <c r="FAF71" s="1159" t="e">
        <f t="shared" si="66"/>
        <v>#DIV/0!</v>
      </c>
      <c r="FAG71" s="1159" t="e">
        <f t="shared" si="66"/>
        <v>#DIV/0!</v>
      </c>
      <c r="FAH71" s="1159" t="e">
        <f t="shared" si="66"/>
        <v>#DIV/0!</v>
      </c>
      <c r="FAI71" s="1159" t="e">
        <f t="shared" si="66"/>
        <v>#DIV/0!</v>
      </c>
      <c r="FAJ71" s="1159" t="e">
        <f t="shared" si="66"/>
        <v>#DIV/0!</v>
      </c>
      <c r="FAK71" s="1159" t="e">
        <f t="shared" si="66"/>
        <v>#DIV/0!</v>
      </c>
      <c r="FAL71" s="1159" t="e">
        <f t="shared" si="66"/>
        <v>#DIV/0!</v>
      </c>
      <c r="FAM71" s="1159" t="e">
        <f t="shared" si="66"/>
        <v>#DIV/0!</v>
      </c>
      <c r="FAN71" s="1159" t="e">
        <f t="shared" si="66"/>
        <v>#DIV/0!</v>
      </c>
      <c r="FAO71" s="1159" t="e">
        <f t="shared" si="66"/>
        <v>#DIV/0!</v>
      </c>
      <c r="FAP71" s="1159" t="e">
        <f t="shared" si="66"/>
        <v>#DIV/0!</v>
      </c>
      <c r="FAQ71" s="1159" t="e">
        <f t="shared" si="66"/>
        <v>#DIV/0!</v>
      </c>
      <c r="FAR71" s="1159" t="e">
        <f t="shared" si="66"/>
        <v>#DIV/0!</v>
      </c>
      <c r="FAS71" s="1159" t="e">
        <f t="shared" si="66"/>
        <v>#DIV/0!</v>
      </c>
      <c r="FAT71" s="1159" t="e">
        <f t="shared" ref="FAT71:FDE71" si="67">((FAT6+FAT12+FAT13+FAT14+FAT15)*860+FAT16*FAT55+FAT17*FAT56+FAT7*FAT49+FAT8*FAT50+FAT9*FAT51+FAT10*FAT52+FAT11*FAT53)/(SUM(FAT6:FAT17))</f>
        <v>#DIV/0!</v>
      </c>
      <c r="FAU71" s="1159" t="e">
        <f t="shared" si="67"/>
        <v>#DIV/0!</v>
      </c>
      <c r="FAV71" s="1159" t="e">
        <f t="shared" si="67"/>
        <v>#DIV/0!</v>
      </c>
      <c r="FAW71" s="1159" t="e">
        <f t="shared" si="67"/>
        <v>#DIV/0!</v>
      </c>
      <c r="FAX71" s="1159" t="e">
        <f t="shared" si="67"/>
        <v>#DIV/0!</v>
      </c>
      <c r="FAY71" s="1159" t="e">
        <f t="shared" si="67"/>
        <v>#DIV/0!</v>
      </c>
      <c r="FAZ71" s="1159" t="e">
        <f t="shared" si="67"/>
        <v>#DIV/0!</v>
      </c>
      <c r="FBA71" s="1159" t="e">
        <f t="shared" si="67"/>
        <v>#DIV/0!</v>
      </c>
      <c r="FBB71" s="1159" t="e">
        <f t="shared" si="67"/>
        <v>#DIV/0!</v>
      </c>
      <c r="FBC71" s="1159" t="e">
        <f t="shared" si="67"/>
        <v>#DIV/0!</v>
      </c>
      <c r="FBD71" s="1159" t="e">
        <f t="shared" si="67"/>
        <v>#DIV/0!</v>
      </c>
      <c r="FBE71" s="1159" t="e">
        <f t="shared" si="67"/>
        <v>#DIV/0!</v>
      </c>
      <c r="FBF71" s="1159" t="e">
        <f t="shared" si="67"/>
        <v>#DIV/0!</v>
      </c>
      <c r="FBG71" s="1159" t="e">
        <f t="shared" si="67"/>
        <v>#DIV/0!</v>
      </c>
      <c r="FBH71" s="1159" t="e">
        <f t="shared" si="67"/>
        <v>#DIV/0!</v>
      </c>
      <c r="FBI71" s="1159" t="e">
        <f t="shared" si="67"/>
        <v>#DIV/0!</v>
      </c>
      <c r="FBJ71" s="1159" t="e">
        <f t="shared" si="67"/>
        <v>#DIV/0!</v>
      </c>
      <c r="FBK71" s="1159" t="e">
        <f t="shared" si="67"/>
        <v>#DIV/0!</v>
      </c>
      <c r="FBL71" s="1159" t="e">
        <f t="shared" si="67"/>
        <v>#DIV/0!</v>
      </c>
      <c r="FBM71" s="1159" t="e">
        <f t="shared" si="67"/>
        <v>#DIV/0!</v>
      </c>
      <c r="FBN71" s="1159" t="e">
        <f t="shared" si="67"/>
        <v>#DIV/0!</v>
      </c>
      <c r="FBO71" s="1159" t="e">
        <f t="shared" si="67"/>
        <v>#DIV/0!</v>
      </c>
      <c r="FBP71" s="1159" t="e">
        <f t="shared" si="67"/>
        <v>#DIV/0!</v>
      </c>
      <c r="FBQ71" s="1159" t="e">
        <f t="shared" si="67"/>
        <v>#DIV/0!</v>
      </c>
      <c r="FBR71" s="1159" t="e">
        <f t="shared" si="67"/>
        <v>#DIV/0!</v>
      </c>
      <c r="FBS71" s="1159" t="e">
        <f t="shared" si="67"/>
        <v>#DIV/0!</v>
      </c>
      <c r="FBT71" s="1159" t="e">
        <f t="shared" si="67"/>
        <v>#DIV/0!</v>
      </c>
      <c r="FBU71" s="1159" t="e">
        <f t="shared" si="67"/>
        <v>#DIV/0!</v>
      </c>
      <c r="FBV71" s="1159" t="e">
        <f t="shared" si="67"/>
        <v>#DIV/0!</v>
      </c>
      <c r="FBW71" s="1159" t="e">
        <f t="shared" si="67"/>
        <v>#DIV/0!</v>
      </c>
      <c r="FBX71" s="1159" t="e">
        <f t="shared" si="67"/>
        <v>#DIV/0!</v>
      </c>
      <c r="FBY71" s="1159" t="e">
        <f t="shared" si="67"/>
        <v>#DIV/0!</v>
      </c>
      <c r="FBZ71" s="1159" t="e">
        <f t="shared" si="67"/>
        <v>#DIV/0!</v>
      </c>
      <c r="FCA71" s="1159" t="e">
        <f t="shared" si="67"/>
        <v>#DIV/0!</v>
      </c>
      <c r="FCB71" s="1159" t="e">
        <f t="shared" si="67"/>
        <v>#DIV/0!</v>
      </c>
      <c r="FCC71" s="1159" t="e">
        <f t="shared" si="67"/>
        <v>#DIV/0!</v>
      </c>
      <c r="FCD71" s="1159" t="e">
        <f t="shared" si="67"/>
        <v>#DIV/0!</v>
      </c>
      <c r="FCE71" s="1159" t="e">
        <f t="shared" si="67"/>
        <v>#DIV/0!</v>
      </c>
      <c r="FCF71" s="1159" t="e">
        <f t="shared" si="67"/>
        <v>#DIV/0!</v>
      </c>
      <c r="FCG71" s="1159" t="e">
        <f t="shared" si="67"/>
        <v>#DIV/0!</v>
      </c>
      <c r="FCH71" s="1159" t="e">
        <f t="shared" si="67"/>
        <v>#DIV/0!</v>
      </c>
      <c r="FCI71" s="1159" t="e">
        <f t="shared" si="67"/>
        <v>#DIV/0!</v>
      </c>
      <c r="FCJ71" s="1159" t="e">
        <f t="shared" si="67"/>
        <v>#DIV/0!</v>
      </c>
      <c r="FCK71" s="1159" t="e">
        <f t="shared" si="67"/>
        <v>#DIV/0!</v>
      </c>
      <c r="FCL71" s="1159" t="e">
        <f t="shared" si="67"/>
        <v>#DIV/0!</v>
      </c>
      <c r="FCM71" s="1159" t="e">
        <f t="shared" si="67"/>
        <v>#DIV/0!</v>
      </c>
      <c r="FCN71" s="1159" t="e">
        <f t="shared" si="67"/>
        <v>#DIV/0!</v>
      </c>
      <c r="FCO71" s="1159" t="e">
        <f t="shared" si="67"/>
        <v>#DIV/0!</v>
      </c>
      <c r="FCP71" s="1159" t="e">
        <f t="shared" si="67"/>
        <v>#DIV/0!</v>
      </c>
      <c r="FCQ71" s="1159" t="e">
        <f t="shared" si="67"/>
        <v>#DIV/0!</v>
      </c>
      <c r="FCR71" s="1159" t="e">
        <f t="shared" si="67"/>
        <v>#DIV/0!</v>
      </c>
      <c r="FCS71" s="1159" t="e">
        <f t="shared" si="67"/>
        <v>#DIV/0!</v>
      </c>
      <c r="FCT71" s="1159" t="e">
        <f t="shared" si="67"/>
        <v>#DIV/0!</v>
      </c>
      <c r="FCU71" s="1159" t="e">
        <f t="shared" si="67"/>
        <v>#DIV/0!</v>
      </c>
      <c r="FCV71" s="1159" t="e">
        <f t="shared" si="67"/>
        <v>#DIV/0!</v>
      </c>
      <c r="FCW71" s="1159" t="e">
        <f t="shared" si="67"/>
        <v>#DIV/0!</v>
      </c>
      <c r="FCX71" s="1159" t="e">
        <f t="shared" si="67"/>
        <v>#DIV/0!</v>
      </c>
      <c r="FCY71" s="1159" t="e">
        <f t="shared" si="67"/>
        <v>#DIV/0!</v>
      </c>
      <c r="FCZ71" s="1159" t="e">
        <f t="shared" si="67"/>
        <v>#DIV/0!</v>
      </c>
      <c r="FDA71" s="1159" t="e">
        <f t="shared" si="67"/>
        <v>#DIV/0!</v>
      </c>
      <c r="FDB71" s="1159" t="e">
        <f t="shared" si="67"/>
        <v>#DIV/0!</v>
      </c>
      <c r="FDC71" s="1159" t="e">
        <f t="shared" si="67"/>
        <v>#DIV/0!</v>
      </c>
      <c r="FDD71" s="1159" t="e">
        <f t="shared" si="67"/>
        <v>#DIV/0!</v>
      </c>
      <c r="FDE71" s="1159" t="e">
        <f t="shared" si="67"/>
        <v>#DIV/0!</v>
      </c>
      <c r="FDF71" s="1159" t="e">
        <f t="shared" ref="FDF71:FFQ71" si="68">((FDF6+FDF12+FDF13+FDF14+FDF15)*860+FDF16*FDF55+FDF17*FDF56+FDF7*FDF49+FDF8*FDF50+FDF9*FDF51+FDF10*FDF52+FDF11*FDF53)/(SUM(FDF6:FDF17))</f>
        <v>#DIV/0!</v>
      </c>
      <c r="FDG71" s="1159" t="e">
        <f t="shared" si="68"/>
        <v>#DIV/0!</v>
      </c>
      <c r="FDH71" s="1159" t="e">
        <f t="shared" si="68"/>
        <v>#DIV/0!</v>
      </c>
      <c r="FDI71" s="1159" t="e">
        <f t="shared" si="68"/>
        <v>#DIV/0!</v>
      </c>
      <c r="FDJ71" s="1159" t="e">
        <f t="shared" si="68"/>
        <v>#DIV/0!</v>
      </c>
      <c r="FDK71" s="1159" t="e">
        <f t="shared" si="68"/>
        <v>#DIV/0!</v>
      </c>
      <c r="FDL71" s="1159" t="e">
        <f t="shared" si="68"/>
        <v>#DIV/0!</v>
      </c>
      <c r="FDM71" s="1159" t="e">
        <f t="shared" si="68"/>
        <v>#DIV/0!</v>
      </c>
      <c r="FDN71" s="1159" t="e">
        <f t="shared" si="68"/>
        <v>#DIV/0!</v>
      </c>
      <c r="FDO71" s="1159" t="e">
        <f t="shared" si="68"/>
        <v>#DIV/0!</v>
      </c>
      <c r="FDP71" s="1159" t="e">
        <f t="shared" si="68"/>
        <v>#DIV/0!</v>
      </c>
      <c r="FDQ71" s="1159" t="e">
        <f t="shared" si="68"/>
        <v>#DIV/0!</v>
      </c>
      <c r="FDR71" s="1159" t="e">
        <f t="shared" si="68"/>
        <v>#DIV/0!</v>
      </c>
      <c r="FDS71" s="1159" t="e">
        <f t="shared" si="68"/>
        <v>#DIV/0!</v>
      </c>
      <c r="FDT71" s="1159" t="e">
        <f t="shared" si="68"/>
        <v>#DIV/0!</v>
      </c>
      <c r="FDU71" s="1159" t="e">
        <f t="shared" si="68"/>
        <v>#DIV/0!</v>
      </c>
      <c r="FDV71" s="1159" t="e">
        <f t="shared" si="68"/>
        <v>#DIV/0!</v>
      </c>
      <c r="FDW71" s="1159" t="e">
        <f t="shared" si="68"/>
        <v>#DIV/0!</v>
      </c>
      <c r="FDX71" s="1159" t="e">
        <f t="shared" si="68"/>
        <v>#DIV/0!</v>
      </c>
      <c r="FDY71" s="1159" t="e">
        <f t="shared" si="68"/>
        <v>#DIV/0!</v>
      </c>
      <c r="FDZ71" s="1159" t="e">
        <f t="shared" si="68"/>
        <v>#DIV/0!</v>
      </c>
      <c r="FEA71" s="1159" t="e">
        <f t="shared" si="68"/>
        <v>#DIV/0!</v>
      </c>
      <c r="FEB71" s="1159" t="e">
        <f t="shared" si="68"/>
        <v>#DIV/0!</v>
      </c>
      <c r="FEC71" s="1159" t="e">
        <f t="shared" si="68"/>
        <v>#DIV/0!</v>
      </c>
      <c r="FED71" s="1159" t="e">
        <f t="shared" si="68"/>
        <v>#DIV/0!</v>
      </c>
      <c r="FEE71" s="1159" t="e">
        <f t="shared" si="68"/>
        <v>#DIV/0!</v>
      </c>
      <c r="FEF71" s="1159" t="e">
        <f t="shared" si="68"/>
        <v>#DIV/0!</v>
      </c>
      <c r="FEG71" s="1159" t="e">
        <f t="shared" si="68"/>
        <v>#DIV/0!</v>
      </c>
      <c r="FEH71" s="1159" t="e">
        <f t="shared" si="68"/>
        <v>#DIV/0!</v>
      </c>
      <c r="FEI71" s="1159" t="e">
        <f t="shared" si="68"/>
        <v>#DIV/0!</v>
      </c>
      <c r="FEJ71" s="1159" t="e">
        <f t="shared" si="68"/>
        <v>#DIV/0!</v>
      </c>
      <c r="FEK71" s="1159" t="e">
        <f t="shared" si="68"/>
        <v>#DIV/0!</v>
      </c>
      <c r="FEL71" s="1159" t="e">
        <f t="shared" si="68"/>
        <v>#DIV/0!</v>
      </c>
      <c r="FEM71" s="1159" t="e">
        <f t="shared" si="68"/>
        <v>#DIV/0!</v>
      </c>
      <c r="FEN71" s="1159" t="e">
        <f t="shared" si="68"/>
        <v>#DIV/0!</v>
      </c>
      <c r="FEO71" s="1159" t="e">
        <f t="shared" si="68"/>
        <v>#DIV/0!</v>
      </c>
      <c r="FEP71" s="1159" t="e">
        <f t="shared" si="68"/>
        <v>#DIV/0!</v>
      </c>
      <c r="FEQ71" s="1159" t="e">
        <f t="shared" si="68"/>
        <v>#DIV/0!</v>
      </c>
      <c r="FER71" s="1159" t="e">
        <f t="shared" si="68"/>
        <v>#DIV/0!</v>
      </c>
      <c r="FES71" s="1159" t="e">
        <f t="shared" si="68"/>
        <v>#DIV/0!</v>
      </c>
      <c r="FET71" s="1159" t="e">
        <f t="shared" si="68"/>
        <v>#DIV/0!</v>
      </c>
      <c r="FEU71" s="1159" t="e">
        <f t="shared" si="68"/>
        <v>#DIV/0!</v>
      </c>
      <c r="FEV71" s="1159" t="e">
        <f t="shared" si="68"/>
        <v>#DIV/0!</v>
      </c>
      <c r="FEW71" s="1159" t="e">
        <f t="shared" si="68"/>
        <v>#DIV/0!</v>
      </c>
      <c r="FEX71" s="1159" t="e">
        <f t="shared" si="68"/>
        <v>#DIV/0!</v>
      </c>
      <c r="FEY71" s="1159" t="e">
        <f t="shared" si="68"/>
        <v>#DIV/0!</v>
      </c>
      <c r="FEZ71" s="1159" t="e">
        <f t="shared" si="68"/>
        <v>#DIV/0!</v>
      </c>
      <c r="FFA71" s="1159" t="e">
        <f t="shared" si="68"/>
        <v>#DIV/0!</v>
      </c>
      <c r="FFB71" s="1159" t="e">
        <f t="shared" si="68"/>
        <v>#DIV/0!</v>
      </c>
      <c r="FFC71" s="1159" t="e">
        <f t="shared" si="68"/>
        <v>#DIV/0!</v>
      </c>
      <c r="FFD71" s="1159" t="e">
        <f t="shared" si="68"/>
        <v>#DIV/0!</v>
      </c>
      <c r="FFE71" s="1159" t="e">
        <f t="shared" si="68"/>
        <v>#DIV/0!</v>
      </c>
      <c r="FFF71" s="1159" t="e">
        <f t="shared" si="68"/>
        <v>#DIV/0!</v>
      </c>
      <c r="FFG71" s="1159" t="e">
        <f t="shared" si="68"/>
        <v>#DIV/0!</v>
      </c>
      <c r="FFH71" s="1159" t="e">
        <f t="shared" si="68"/>
        <v>#DIV/0!</v>
      </c>
      <c r="FFI71" s="1159" t="e">
        <f t="shared" si="68"/>
        <v>#DIV/0!</v>
      </c>
      <c r="FFJ71" s="1159" t="e">
        <f t="shared" si="68"/>
        <v>#DIV/0!</v>
      </c>
      <c r="FFK71" s="1159" t="e">
        <f t="shared" si="68"/>
        <v>#DIV/0!</v>
      </c>
      <c r="FFL71" s="1159" t="e">
        <f t="shared" si="68"/>
        <v>#DIV/0!</v>
      </c>
      <c r="FFM71" s="1159" t="e">
        <f t="shared" si="68"/>
        <v>#DIV/0!</v>
      </c>
      <c r="FFN71" s="1159" t="e">
        <f t="shared" si="68"/>
        <v>#DIV/0!</v>
      </c>
      <c r="FFO71" s="1159" t="e">
        <f t="shared" si="68"/>
        <v>#DIV/0!</v>
      </c>
      <c r="FFP71" s="1159" t="e">
        <f t="shared" si="68"/>
        <v>#DIV/0!</v>
      </c>
      <c r="FFQ71" s="1159" t="e">
        <f t="shared" si="68"/>
        <v>#DIV/0!</v>
      </c>
      <c r="FFR71" s="1159" t="e">
        <f t="shared" ref="FFR71:FIC71" si="69">((FFR6+FFR12+FFR13+FFR14+FFR15)*860+FFR16*FFR55+FFR17*FFR56+FFR7*FFR49+FFR8*FFR50+FFR9*FFR51+FFR10*FFR52+FFR11*FFR53)/(SUM(FFR6:FFR17))</f>
        <v>#DIV/0!</v>
      </c>
      <c r="FFS71" s="1159" t="e">
        <f t="shared" si="69"/>
        <v>#DIV/0!</v>
      </c>
      <c r="FFT71" s="1159" t="e">
        <f t="shared" si="69"/>
        <v>#DIV/0!</v>
      </c>
      <c r="FFU71" s="1159" t="e">
        <f t="shared" si="69"/>
        <v>#DIV/0!</v>
      </c>
      <c r="FFV71" s="1159" t="e">
        <f t="shared" si="69"/>
        <v>#DIV/0!</v>
      </c>
      <c r="FFW71" s="1159" t="e">
        <f t="shared" si="69"/>
        <v>#DIV/0!</v>
      </c>
      <c r="FFX71" s="1159" t="e">
        <f t="shared" si="69"/>
        <v>#DIV/0!</v>
      </c>
      <c r="FFY71" s="1159" t="e">
        <f t="shared" si="69"/>
        <v>#DIV/0!</v>
      </c>
      <c r="FFZ71" s="1159" t="e">
        <f t="shared" si="69"/>
        <v>#DIV/0!</v>
      </c>
      <c r="FGA71" s="1159" t="e">
        <f t="shared" si="69"/>
        <v>#DIV/0!</v>
      </c>
      <c r="FGB71" s="1159" t="e">
        <f t="shared" si="69"/>
        <v>#DIV/0!</v>
      </c>
      <c r="FGC71" s="1159" t="e">
        <f t="shared" si="69"/>
        <v>#DIV/0!</v>
      </c>
      <c r="FGD71" s="1159" t="e">
        <f t="shared" si="69"/>
        <v>#DIV/0!</v>
      </c>
      <c r="FGE71" s="1159" t="e">
        <f t="shared" si="69"/>
        <v>#DIV/0!</v>
      </c>
      <c r="FGF71" s="1159" t="e">
        <f t="shared" si="69"/>
        <v>#DIV/0!</v>
      </c>
      <c r="FGG71" s="1159" t="e">
        <f t="shared" si="69"/>
        <v>#DIV/0!</v>
      </c>
      <c r="FGH71" s="1159" t="e">
        <f t="shared" si="69"/>
        <v>#DIV/0!</v>
      </c>
      <c r="FGI71" s="1159" t="e">
        <f t="shared" si="69"/>
        <v>#DIV/0!</v>
      </c>
      <c r="FGJ71" s="1159" t="e">
        <f t="shared" si="69"/>
        <v>#DIV/0!</v>
      </c>
      <c r="FGK71" s="1159" t="e">
        <f t="shared" si="69"/>
        <v>#DIV/0!</v>
      </c>
      <c r="FGL71" s="1159" t="e">
        <f t="shared" si="69"/>
        <v>#DIV/0!</v>
      </c>
      <c r="FGM71" s="1159" t="e">
        <f t="shared" si="69"/>
        <v>#DIV/0!</v>
      </c>
      <c r="FGN71" s="1159" t="e">
        <f t="shared" si="69"/>
        <v>#DIV/0!</v>
      </c>
      <c r="FGO71" s="1159" t="e">
        <f t="shared" si="69"/>
        <v>#DIV/0!</v>
      </c>
      <c r="FGP71" s="1159" t="e">
        <f t="shared" si="69"/>
        <v>#DIV/0!</v>
      </c>
      <c r="FGQ71" s="1159" t="e">
        <f t="shared" si="69"/>
        <v>#DIV/0!</v>
      </c>
      <c r="FGR71" s="1159" t="e">
        <f t="shared" si="69"/>
        <v>#DIV/0!</v>
      </c>
      <c r="FGS71" s="1159" t="e">
        <f t="shared" si="69"/>
        <v>#DIV/0!</v>
      </c>
      <c r="FGT71" s="1159" t="e">
        <f t="shared" si="69"/>
        <v>#DIV/0!</v>
      </c>
      <c r="FGU71" s="1159" t="e">
        <f t="shared" si="69"/>
        <v>#DIV/0!</v>
      </c>
      <c r="FGV71" s="1159" t="e">
        <f t="shared" si="69"/>
        <v>#DIV/0!</v>
      </c>
      <c r="FGW71" s="1159" t="e">
        <f t="shared" si="69"/>
        <v>#DIV/0!</v>
      </c>
      <c r="FGX71" s="1159" t="e">
        <f t="shared" si="69"/>
        <v>#DIV/0!</v>
      </c>
      <c r="FGY71" s="1159" t="e">
        <f t="shared" si="69"/>
        <v>#DIV/0!</v>
      </c>
      <c r="FGZ71" s="1159" t="e">
        <f t="shared" si="69"/>
        <v>#DIV/0!</v>
      </c>
      <c r="FHA71" s="1159" t="e">
        <f t="shared" si="69"/>
        <v>#DIV/0!</v>
      </c>
      <c r="FHB71" s="1159" t="e">
        <f t="shared" si="69"/>
        <v>#DIV/0!</v>
      </c>
      <c r="FHC71" s="1159" t="e">
        <f t="shared" si="69"/>
        <v>#DIV/0!</v>
      </c>
      <c r="FHD71" s="1159" t="e">
        <f t="shared" si="69"/>
        <v>#DIV/0!</v>
      </c>
      <c r="FHE71" s="1159" t="e">
        <f t="shared" si="69"/>
        <v>#DIV/0!</v>
      </c>
      <c r="FHF71" s="1159" t="e">
        <f t="shared" si="69"/>
        <v>#DIV/0!</v>
      </c>
      <c r="FHG71" s="1159" t="e">
        <f t="shared" si="69"/>
        <v>#DIV/0!</v>
      </c>
      <c r="FHH71" s="1159" t="e">
        <f t="shared" si="69"/>
        <v>#DIV/0!</v>
      </c>
      <c r="FHI71" s="1159" t="e">
        <f t="shared" si="69"/>
        <v>#DIV/0!</v>
      </c>
      <c r="FHJ71" s="1159" t="e">
        <f t="shared" si="69"/>
        <v>#DIV/0!</v>
      </c>
      <c r="FHK71" s="1159" t="e">
        <f t="shared" si="69"/>
        <v>#DIV/0!</v>
      </c>
      <c r="FHL71" s="1159" t="e">
        <f t="shared" si="69"/>
        <v>#DIV/0!</v>
      </c>
      <c r="FHM71" s="1159" t="e">
        <f t="shared" si="69"/>
        <v>#DIV/0!</v>
      </c>
      <c r="FHN71" s="1159" t="e">
        <f t="shared" si="69"/>
        <v>#DIV/0!</v>
      </c>
      <c r="FHO71" s="1159" t="e">
        <f t="shared" si="69"/>
        <v>#DIV/0!</v>
      </c>
      <c r="FHP71" s="1159" t="e">
        <f t="shared" si="69"/>
        <v>#DIV/0!</v>
      </c>
      <c r="FHQ71" s="1159" t="e">
        <f t="shared" si="69"/>
        <v>#DIV/0!</v>
      </c>
      <c r="FHR71" s="1159" t="e">
        <f t="shared" si="69"/>
        <v>#DIV/0!</v>
      </c>
      <c r="FHS71" s="1159" t="e">
        <f t="shared" si="69"/>
        <v>#DIV/0!</v>
      </c>
      <c r="FHT71" s="1159" t="e">
        <f t="shared" si="69"/>
        <v>#DIV/0!</v>
      </c>
      <c r="FHU71" s="1159" t="e">
        <f t="shared" si="69"/>
        <v>#DIV/0!</v>
      </c>
      <c r="FHV71" s="1159" t="e">
        <f t="shared" si="69"/>
        <v>#DIV/0!</v>
      </c>
      <c r="FHW71" s="1159" t="e">
        <f t="shared" si="69"/>
        <v>#DIV/0!</v>
      </c>
      <c r="FHX71" s="1159" t="e">
        <f t="shared" si="69"/>
        <v>#DIV/0!</v>
      </c>
      <c r="FHY71" s="1159" t="e">
        <f t="shared" si="69"/>
        <v>#DIV/0!</v>
      </c>
      <c r="FHZ71" s="1159" t="e">
        <f t="shared" si="69"/>
        <v>#DIV/0!</v>
      </c>
      <c r="FIA71" s="1159" t="e">
        <f t="shared" si="69"/>
        <v>#DIV/0!</v>
      </c>
      <c r="FIB71" s="1159" t="e">
        <f t="shared" si="69"/>
        <v>#DIV/0!</v>
      </c>
      <c r="FIC71" s="1159" t="e">
        <f t="shared" si="69"/>
        <v>#DIV/0!</v>
      </c>
      <c r="FID71" s="1159" t="e">
        <f t="shared" ref="FID71:FKO71" si="70">((FID6+FID12+FID13+FID14+FID15)*860+FID16*FID55+FID17*FID56+FID7*FID49+FID8*FID50+FID9*FID51+FID10*FID52+FID11*FID53)/(SUM(FID6:FID17))</f>
        <v>#DIV/0!</v>
      </c>
      <c r="FIE71" s="1159" t="e">
        <f t="shared" si="70"/>
        <v>#DIV/0!</v>
      </c>
      <c r="FIF71" s="1159" t="e">
        <f t="shared" si="70"/>
        <v>#DIV/0!</v>
      </c>
      <c r="FIG71" s="1159" t="e">
        <f t="shared" si="70"/>
        <v>#DIV/0!</v>
      </c>
      <c r="FIH71" s="1159" t="e">
        <f t="shared" si="70"/>
        <v>#DIV/0!</v>
      </c>
      <c r="FII71" s="1159" t="e">
        <f t="shared" si="70"/>
        <v>#DIV/0!</v>
      </c>
      <c r="FIJ71" s="1159" t="e">
        <f t="shared" si="70"/>
        <v>#DIV/0!</v>
      </c>
      <c r="FIK71" s="1159" t="e">
        <f t="shared" si="70"/>
        <v>#DIV/0!</v>
      </c>
      <c r="FIL71" s="1159" t="e">
        <f t="shared" si="70"/>
        <v>#DIV/0!</v>
      </c>
      <c r="FIM71" s="1159" t="e">
        <f t="shared" si="70"/>
        <v>#DIV/0!</v>
      </c>
      <c r="FIN71" s="1159" t="e">
        <f t="shared" si="70"/>
        <v>#DIV/0!</v>
      </c>
      <c r="FIO71" s="1159" t="e">
        <f t="shared" si="70"/>
        <v>#DIV/0!</v>
      </c>
      <c r="FIP71" s="1159" t="e">
        <f t="shared" si="70"/>
        <v>#DIV/0!</v>
      </c>
      <c r="FIQ71" s="1159" t="e">
        <f t="shared" si="70"/>
        <v>#DIV/0!</v>
      </c>
      <c r="FIR71" s="1159" t="e">
        <f t="shared" si="70"/>
        <v>#DIV/0!</v>
      </c>
      <c r="FIS71" s="1159" t="e">
        <f t="shared" si="70"/>
        <v>#DIV/0!</v>
      </c>
      <c r="FIT71" s="1159" t="e">
        <f t="shared" si="70"/>
        <v>#DIV/0!</v>
      </c>
      <c r="FIU71" s="1159" t="e">
        <f t="shared" si="70"/>
        <v>#DIV/0!</v>
      </c>
      <c r="FIV71" s="1159" t="e">
        <f t="shared" si="70"/>
        <v>#DIV/0!</v>
      </c>
      <c r="FIW71" s="1159" t="e">
        <f t="shared" si="70"/>
        <v>#DIV/0!</v>
      </c>
      <c r="FIX71" s="1159" t="e">
        <f t="shared" si="70"/>
        <v>#DIV/0!</v>
      </c>
      <c r="FIY71" s="1159" t="e">
        <f t="shared" si="70"/>
        <v>#DIV/0!</v>
      </c>
      <c r="FIZ71" s="1159" t="e">
        <f t="shared" si="70"/>
        <v>#DIV/0!</v>
      </c>
      <c r="FJA71" s="1159" t="e">
        <f t="shared" si="70"/>
        <v>#DIV/0!</v>
      </c>
      <c r="FJB71" s="1159" t="e">
        <f t="shared" si="70"/>
        <v>#DIV/0!</v>
      </c>
      <c r="FJC71" s="1159" t="e">
        <f t="shared" si="70"/>
        <v>#DIV/0!</v>
      </c>
      <c r="FJD71" s="1159" t="e">
        <f t="shared" si="70"/>
        <v>#DIV/0!</v>
      </c>
      <c r="FJE71" s="1159" t="e">
        <f t="shared" si="70"/>
        <v>#DIV/0!</v>
      </c>
      <c r="FJF71" s="1159" t="e">
        <f t="shared" si="70"/>
        <v>#DIV/0!</v>
      </c>
      <c r="FJG71" s="1159" t="e">
        <f t="shared" si="70"/>
        <v>#DIV/0!</v>
      </c>
      <c r="FJH71" s="1159" t="e">
        <f t="shared" si="70"/>
        <v>#DIV/0!</v>
      </c>
      <c r="FJI71" s="1159" t="e">
        <f t="shared" si="70"/>
        <v>#DIV/0!</v>
      </c>
      <c r="FJJ71" s="1159" t="e">
        <f t="shared" si="70"/>
        <v>#DIV/0!</v>
      </c>
      <c r="FJK71" s="1159" t="e">
        <f t="shared" si="70"/>
        <v>#DIV/0!</v>
      </c>
      <c r="FJL71" s="1159" t="e">
        <f t="shared" si="70"/>
        <v>#DIV/0!</v>
      </c>
      <c r="FJM71" s="1159" t="e">
        <f t="shared" si="70"/>
        <v>#DIV/0!</v>
      </c>
      <c r="FJN71" s="1159" t="e">
        <f t="shared" si="70"/>
        <v>#DIV/0!</v>
      </c>
      <c r="FJO71" s="1159" t="e">
        <f t="shared" si="70"/>
        <v>#DIV/0!</v>
      </c>
      <c r="FJP71" s="1159" t="e">
        <f t="shared" si="70"/>
        <v>#DIV/0!</v>
      </c>
      <c r="FJQ71" s="1159" t="e">
        <f t="shared" si="70"/>
        <v>#DIV/0!</v>
      </c>
      <c r="FJR71" s="1159" t="e">
        <f t="shared" si="70"/>
        <v>#DIV/0!</v>
      </c>
      <c r="FJS71" s="1159" t="e">
        <f t="shared" si="70"/>
        <v>#DIV/0!</v>
      </c>
      <c r="FJT71" s="1159" t="e">
        <f t="shared" si="70"/>
        <v>#DIV/0!</v>
      </c>
      <c r="FJU71" s="1159" t="e">
        <f t="shared" si="70"/>
        <v>#DIV/0!</v>
      </c>
      <c r="FJV71" s="1159" t="e">
        <f t="shared" si="70"/>
        <v>#DIV/0!</v>
      </c>
      <c r="FJW71" s="1159" t="e">
        <f t="shared" si="70"/>
        <v>#DIV/0!</v>
      </c>
      <c r="FJX71" s="1159" t="e">
        <f t="shared" si="70"/>
        <v>#DIV/0!</v>
      </c>
      <c r="FJY71" s="1159" t="e">
        <f t="shared" si="70"/>
        <v>#DIV/0!</v>
      </c>
      <c r="FJZ71" s="1159" t="e">
        <f t="shared" si="70"/>
        <v>#DIV/0!</v>
      </c>
      <c r="FKA71" s="1159" t="e">
        <f t="shared" si="70"/>
        <v>#DIV/0!</v>
      </c>
      <c r="FKB71" s="1159" t="e">
        <f t="shared" si="70"/>
        <v>#DIV/0!</v>
      </c>
      <c r="FKC71" s="1159" t="e">
        <f t="shared" si="70"/>
        <v>#DIV/0!</v>
      </c>
      <c r="FKD71" s="1159" t="e">
        <f t="shared" si="70"/>
        <v>#DIV/0!</v>
      </c>
      <c r="FKE71" s="1159" t="e">
        <f t="shared" si="70"/>
        <v>#DIV/0!</v>
      </c>
      <c r="FKF71" s="1159" t="e">
        <f t="shared" si="70"/>
        <v>#DIV/0!</v>
      </c>
      <c r="FKG71" s="1159" t="e">
        <f t="shared" si="70"/>
        <v>#DIV/0!</v>
      </c>
      <c r="FKH71" s="1159" t="e">
        <f t="shared" si="70"/>
        <v>#DIV/0!</v>
      </c>
      <c r="FKI71" s="1159" t="e">
        <f t="shared" si="70"/>
        <v>#DIV/0!</v>
      </c>
      <c r="FKJ71" s="1159" t="e">
        <f t="shared" si="70"/>
        <v>#DIV/0!</v>
      </c>
      <c r="FKK71" s="1159" t="e">
        <f t="shared" si="70"/>
        <v>#DIV/0!</v>
      </c>
      <c r="FKL71" s="1159" t="e">
        <f t="shared" si="70"/>
        <v>#DIV/0!</v>
      </c>
      <c r="FKM71" s="1159" t="e">
        <f t="shared" si="70"/>
        <v>#DIV/0!</v>
      </c>
      <c r="FKN71" s="1159" t="e">
        <f t="shared" si="70"/>
        <v>#DIV/0!</v>
      </c>
      <c r="FKO71" s="1159" t="e">
        <f t="shared" si="70"/>
        <v>#DIV/0!</v>
      </c>
      <c r="FKP71" s="1159" t="e">
        <f t="shared" ref="FKP71:FNA71" si="71">((FKP6+FKP12+FKP13+FKP14+FKP15)*860+FKP16*FKP55+FKP17*FKP56+FKP7*FKP49+FKP8*FKP50+FKP9*FKP51+FKP10*FKP52+FKP11*FKP53)/(SUM(FKP6:FKP17))</f>
        <v>#DIV/0!</v>
      </c>
      <c r="FKQ71" s="1159" t="e">
        <f t="shared" si="71"/>
        <v>#DIV/0!</v>
      </c>
      <c r="FKR71" s="1159" t="e">
        <f t="shared" si="71"/>
        <v>#DIV/0!</v>
      </c>
      <c r="FKS71" s="1159" t="e">
        <f t="shared" si="71"/>
        <v>#DIV/0!</v>
      </c>
      <c r="FKT71" s="1159" t="e">
        <f t="shared" si="71"/>
        <v>#DIV/0!</v>
      </c>
      <c r="FKU71" s="1159" t="e">
        <f t="shared" si="71"/>
        <v>#DIV/0!</v>
      </c>
      <c r="FKV71" s="1159" t="e">
        <f t="shared" si="71"/>
        <v>#DIV/0!</v>
      </c>
      <c r="FKW71" s="1159" t="e">
        <f t="shared" si="71"/>
        <v>#DIV/0!</v>
      </c>
      <c r="FKX71" s="1159" t="e">
        <f t="shared" si="71"/>
        <v>#DIV/0!</v>
      </c>
      <c r="FKY71" s="1159" t="e">
        <f t="shared" si="71"/>
        <v>#DIV/0!</v>
      </c>
      <c r="FKZ71" s="1159" t="e">
        <f t="shared" si="71"/>
        <v>#DIV/0!</v>
      </c>
      <c r="FLA71" s="1159" t="e">
        <f t="shared" si="71"/>
        <v>#DIV/0!</v>
      </c>
      <c r="FLB71" s="1159" t="e">
        <f t="shared" si="71"/>
        <v>#DIV/0!</v>
      </c>
      <c r="FLC71" s="1159" t="e">
        <f t="shared" si="71"/>
        <v>#DIV/0!</v>
      </c>
      <c r="FLD71" s="1159" t="e">
        <f t="shared" si="71"/>
        <v>#DIV/0!</v>
      </c>
      <c r="FLE71" s="1159" t="e">
        <f t="shared" si="71"/>
        <v>#DIV/0!</v>
      </c>
      <c r="FLF71" s="1159" t="e">
        <f t="shared" si="71"/>
        <v>#DIV/0!</v>
      </c>
      <c r="FLG71" s="1159" t="e">
        <f t="shared" si="71"/>
        <v>#DIV/0!</v>
      </c>
      <c r="FLH71" s="1159" t="e">
        <f t="shared" si="71"/>
        <v>#DIV/0!</v>
      </c>
      <c r="FLI71" s="1159" t="e">
        <f t="shared" si="71"/>
        <v>#DIV/0!</v>
      </c>
      <c r="FLJ71" s="1159" t="e">
        <f t="shared" si="71"/>
        <v>#DIV/0!</v>
      </c>
      <c r="FLK71" s="1159" t="e">
        <f t="shared" si="71"/>
        <v>#DIV/0!</v>
      </c>
      <c r="FLL71" s="1159" t="e">
        <f t="shared" si="71"/>
        <v>#DIV/0!</v>
      </c>
      <c r="FLM71" s="1159" t="e">
        <f t="shared" si="71"/>
        <v>#DIV/0!</v>
      </c>
      <c r="FLN71" s="1159" t="e">
        <f t="shared" si="71"/>
        <v>#DIV/0!</v>
      </c>
      <c r="FLO71" s="1159" t="e">
        <f t="shared" si="71"/>
        <v>#DIV/0!</v>
      </c>
      <c r="FLP71" s="1159" t="e">
        <f t="shared" si="71"/>
        <v>#DIV/0!</v>
      </c>
      <c r="FLQ71" s="1159" t="e">
        <f t="shared" si="71"/>
        <v>#DIV/0!</v>
      </c>
      <c r="FLR71" s="1159" t="e">
        <f t="shared" si="71"/>
        <v>#DIV/0!</v>
      </c>
      <c r="FLS71" s="1159" t="e">
        <f t="shared" si="71"/>
        <v>#DIV/0!</v>
      </c>
      <c r="FLT71" s="1159" t="e">
        <f t="shared" si="71"/>
        <v>#DIV/0!</v>
      </c>
      <c r="FLU71" s="1159" t="e">
        <f t="shared" si="71"/>
        <v>#DIV/0!</v>
      </c>
      <c r="FLV71" s="1159" t="e">
        <f t="shared" si="71"/>
        <v>#DIV/0!</v>
      </c>
      <c r="FLW71" s="1159" t="e">
        <f t="shared" si="71"/>
        <v>#DIV/0!</v>
      </c>
      <c r="FLX71" s="1159" t="e">
        <f t="shared" si="71"/>
        <v>#DIV/0!</v>
      </c>
      <c r="FLY71" s="1159" t="e">
        <f t="shared" si="71"/>
        <v>#DIV/0!</v>
      </c>
      <c r="FLZ71" s="1159" t="e">
        <f t="shared" si="71"/>
        <v>#DIV/0!</v>
      </c>
      <c r="FMA71" s="1159" t="e">
        <f t="shared" si="71"/>
        <v>#DIV/0!</v>
      </c>
      <c r="FMB71" s="1159" t="e">
        <f t="shared" si="71"/>
        <v>#DIV/0!</v>
      </c>
      <c r="FMC71" s="1159" t="e">
        <f t="shared" si="71"/>
        <v>#DIV/0!</v>
      </c>
      <c r="FMD71" s="1159" t="e">
        <f t="shared" si="71"/>
        <v>#DIV/0!</v>
      </c>
      <c r="FME71" s="1159" t="e">
        <f t="shared" si="71"/>
        <v>#DIV/0!</v>
      </c>
      <c r="FMF71" s="1159" t="e">
        <f t="shared" si="71"/>
        <v>#DIV/0!</v>
      </c>
      <c r="FMG71" s="1159" t="e">
        <f t="shared" si="71"/>
        <v>#DIV/0!</v>
      </c>
      <c r="FMH71" s="1159" t="e">
        <f t="shared" si="71"/>
        <v>#DIV/0!</v>
      </c>
      <c r="FMI71" s="1159" t="e">
        <f t="shared" si="71"/>
        <v>#DIV/0!</v>
      </c>
      <c r="FMJ71" s="1159" t="e">
        <f t="shared" si="71"/>
        <v>#DIV/0!</v>
      </c>
      <c r="FMK71" s="1159" t="e">
        <f t="shared" si="71"/>
        <v>#DIV/0!</v>
      </c>
      <c r="FML71" s="1159" t="e">
        <f t="shared" si="71"/>
        <v>#DIV/0!</v>
      </c>
      <c r="FMM71" s="1159" t="e">
        <f t="shared" si="71"/>
        <v>#DIV/0!</v>
      </c>
      <c r="FMN71" s="1159" t="e">
        <f t="shared" si="71"/>
        <v>#DIV/0!</v>
      </c>
      <c r="FMO71" s="1159" t="e">
        <f t="shared" si="71"/>
        <v>#DIV/0!</v>
      </c>
      <c r="FMP71" s="1159" t="e">
        <f t="shared" si="71"/>
        <v>#DIV/0!</v>
      </c>
      <c r="FMQ71" s="1159" t="e">
        <f t="shared" si="71"/>
        <v>#DIV/0!</v>
      </c>
      <c r="FMR71" s="1159" t="e">
        <f t="shared" si="71"/>
        <v>#DIV/0!</v>
      </c>
      <c r="FMS71" s="1159" t="e">
        <f t="shared" si="71"/>
        <v>#DIV/0!</v>
      </c>
      <c r="FMT71" s="1159" t="e">
        <f t="shared" si="71"/>
        <v>#DIV/0!</v>
      </c>
      <c r="FMU71" s="1159" t="e">
        <f t="shared" si="71"/>
        <v>#DIV/0!</v>
      </c>
      <c r="FMV71" s="1159" t="e">
        <f t="shared" si="71"/>
        <v>#DIV/0!</v>
      </c>
      <c r="FMW71" s="1159" t="e">
        <f t="shared" si="71"/>
        <v>#DIV/0!</v>
      </c>
      <c r="FMX71" s="1159" t="e">
        <f t="shared" si="71"/>
        <v>#DIV/0!</v>
      </c>
      <c r="FMY71" s="1159" t="e">
        <f t="shared" si="71"/>
        <v>#DIV/0!</v>
      </c>
      <c r="FMZ71" s="1159" t="e">
        <f t="shared" si="71"/>
        <v>#DIV/0!</v>
      </c>
      <c r="FNA71" s="1159" t="e">
        <f t="shared" si="71"/>
        <v>#DIV/0!</v>
      </c>
      <c r="FNB71" s="1159" t="e">
        <f t="shared" ref="FNB71:FPM71" si="72">((FNB6+FNB12+FNB13+FNB14+FNB15)*860+FNB16*FNB55+FNB17*FNB56+FNB7*FNB49+FNB8*FNB50+FNB9*FNB51+FNB10*FNB52+FNB11*FNB53)/(SUM(FNB6:FNB17))</f>
        <v>#DIV/0!</v>
      </c>
      <c r="FNC71" s="1159" t="e">
        <f t="shared" si="72"/>
        <v>#DIV/0!</v>
      </c>
      <c r="FND71" s="1159" t="e">
        <f t="shared" si="72"/>
        <v>#DIV/0!</v>
      </c>
      <c r="FNE71" s="1159" t="e">
        <f t="shared" si="72"/>
        <v>#DIV/0!</v>
      </c>
      <c r="FNF71" s="1159" t="e">
        <f t="shared" si="72"/>
        <v>#DIV/0!</v>
      </c>
      <c r="FNG71" s="1159" t="e">
        <f t="shared" si="72"/>
        <v>#DIV/0!</v>
      </c>
      <c r="FNH71" s="1159" t="e">
        <f t="shared" si="72"/>
        <v>#DIV/0!</v>
      </c>
      <c r="FNI71" s="1159" t="e">
        <f t="shared" si="72"/>
        <v>#DIV/0!</v>
      </c>
      <c r="FNJ71" s="1159" t="e">
        <f t="shared" si="72"/>
        <v>#DIV/0!</v>
      </c>
      <c r="FNK71" s="1159" t="e">
        <f t="shared" si="72"/>
        <v>#DIV/0!</v>
      </c>
      <c r="FNL71" s="1159" t="e">
        <f t="shared" si="72"/>
        <v>#DIV/0!</v>
      </c>
      <c r="FNM71" s="1159" t="e">
        <f t="shared" si="72"/>
        <v>#DIV/0!</v>
      </c>
      <c r="FNN71" s="1159" t="e">
        <f t="shared" si="72"/>
        <v>#DIV/0!</v>
      </c>
      <c r="FNO71" s="1159" t="e">
        <f t="shared" si="72"/>
        <v>#DIV/0!</v>
      </c>
      <c r="FNP71" s="1159" t="e">
        <f t="shared" si="72"/>
        <v>#DIV/0!</v>
      </c>
      <c r="FNQ71" s="1159" t="e">
        <f t="shared" si="72"/>
        <v>#DIV/0!</v>
      </c>
      <c r="FNR71" s="1159" t="e">
        <f t="shared" si="72"/>
        <v>#DIV/0!</v>
      </c>
      <c r="FNS71" s="1159" t="e">
        <f t="shared" si="72"/>
        <v>#DIV/0!</v>
      </c>
      <c r="FNT71" s="1159" t="e">
        <f t="shared" si="72"/>
        <v>#DIV/0!</v>
      </c>
      <c r="FNU71" s="1159" t="e">
        <f t="shared" si="72"/>
        <v>#DIV/0!</v>
      </c>
      <c r="FNV71" s="1159" t="e">
        <f t="shared" si="72"/>
        <v>#DIV/0!</v>
      </c>
      <c r="FNW71" s="1159" t="e">
        <f t="shared" si="72"/>
        <v>#DIV/0!</v>
      </c>
      <c r="FNX71" s="1159" t="e">
        <f t="shared" si="72"/>
        <v>#DIV/0!</v>
      </c>
      <c r="FNY71" s="1159" t="e">
        <f t="shared" si="72"/>
        <v>#DIV/0!</v>
      </c>
      <c r="FNZ71" s="1159" t="e">
        <f t="shared" si="72"/>
        <v>#DIV/0!</v>
      </c>
      <c r="FOA71" s="1159" t="e">
        <f t="shared" si="72"/>
        <v>#DIV/0!</v>
      </c>
      <c r="FOB71" s="1159" t="e">
        <f t="shared" si="72"/>
        <v>#DIV/0!</v>
      </c>
      <c r="FOC71" s="1159" t="e">
        <f t="shared" si="72"/>
        <v>#DIV/0!</v>
      </c>
      <c r="FOD71" s="1159" t="e">
        <f t="shared" si="72"/>
        <v>#DIV/0!</v>
      </c>
      <c r="FOE71" s="1159" t="e">
        <f t="shared" si="72"/>
        <v>#DIV/0!</v>
      </c>
      <c r="FOF71" s="1159" t="e">
        <f t="shared" si="72"/>
        <v>#DIV/0!</v>
      </c>
      <c r="FOG71" s="1159" t="e">
        <f t="shared" si="72"/>
        <v>#DIV/0!</v>
      </c>
      <c r="FOH71" s="1159" t="e">
        <f t="shared" si="72"/>
        <v>#DIV/0!</v>
      </c>
      <c r="FOI71" s="1159" t="e">
        <f t="shared" si="72"/>
        <v>#DIV/0!</v>
      </c>
      <c r="FOJ71" s="1159" t="e">
        <f t="shared" si="72"/>
        <v>#DIV/0!</v>
      </c>
      <c r="FOK71" s="1159" t="e">
        <f t="shared" si="72"/>
        <v>#DIV/0!</v>
      </c>
      <c r="FOL71" s="1159" t="e">
        <f t="shared" si="72"/>
        <v>#DIV/0!</v>
      </c>
      <c r="FOM71" s="1159" t="e">
        <f t="shared" si="72"/>
        <v>#DIV/0!</v>
      </c>
      <c r="FON71" s="1159" t="e">
        <f t="shared" si="72"/>
        <v>#DIV/0!</v>
      </c>
      <c r="FOO71" s="1159" t="e">
        <f t="shared" si="72"/>
        <v>#DIV/0!</v>
      </c>
      <c r="FOP71" s="1159" t="e">
        <f t="shared" si="72"/>
        <v>#DIV/0!</v>
      </c>
      <c r="FOQ71" s="1159" t="e">
        <f t="shared" si="72"/>
        <v>#DIV/0!</v>
      </c>
      <c r="FOR71" s="1159" t="e">
        <f t="shared" si="72"/>
        <v>#DIV/0!</v>
      </c>
      <c r="FOS71" s="1159" t="e">
        <f t="shared" si="72"/>
        <v>#DIV/0!</v>
      </c>
      <c r="FOT71" s="1159" t="e">
        <f t="shared" si="72"/>
        <v>#DIV/0!</v>
      </c>
      <c r="FOU71" s="1159" t="e">
        <f t="shared" si="72"/>
        <v>#DIV/0!</v>
      </c>
      <c r="FOV71" s="1159" t="e">
        <f t="shared" si="72"/>
        <v>#DIV/0!</v>
      </c>
      <c r="FOW71" s="1159" t="e">
        <f t="shared" si="72"/>
        <v>#DIV/0!</v>
      </c>
      <c r="FOX71" s="1159" t="e">
        <f t="shared" si="72"/>
        <v>#DIV/0!</v>
      </c>
      <c r="FOY71" s="1159" t="e">
        <f t="shared" si="72"/>
        <v>#DIV/0!</v>
      </c>
      <c r="FOZ71" s="1159" t="e">
        <f t="shared" si="72"/>
        <v>#DIV/0!</v>
      </c>
      <c r="FPA71" s="1159" t="e">
        <f t="shared" si="72"/>
        <v>#DIV/0!</v>
      </c>
      <c r="FPB71" s="1159" t="e">
        <f t="shared" si="72"/>
        <v>#DIV/0!</v>
      </c>
      <c r="FPC71" s="1159" t="e">
        <f t="shared" si="72"/>
        <v>#DIV/0!</v>
      </c>
      <c r="FPD71" s="1159" t="e">
        <f t="shared" si="72"/>
        <v>#DIV/0!</v>
      </c>
      <c r="FPE71" s="1159" t="e">
        <f t="shared" si="72"/>
        <v>#DIV/0!</v>
      </c>
      <c r="FPF71" s="1159" t="e">
        <f t="shared" si="72"/>
        <v>#DIV/0!</v>
      </c>
      <c r="FPG71" s="1159" t="e">
        <f t="shared" si="72"/>
        <v>#DIV/0!</v>
      </c>
      <c r="FPH71" s="1159" t="e">
        <f t="shared" si="72"/>
        <v>#DIV/0!</v>
      </c>
      <c r="FPI71" s="1159" t="e">
        <f t="shared" si="72"/>
        <v>#DIV/0!</v>
      </c>
      <c r="FPJ71" s="1159" t="e">
        <f t="shared" si="72"/>
        <v>#DIV/0!</v>
      </c>
      <c r="FPK71" s="1159" t="e">
        <f t="shared" si="72"/>
        <v>#DIV/0!</v>
      </c>
      <c r="FPL71" s="1159" t="e">
        <f t="shared" si="72"/>
        <v>#DIV/0!</v>
      </c>
      <c r="FPM71" s="1159" t="e">
        <f t="shared" si="72"/>
        <v>#DIV/0!</v>
      </c>
      <c r="FPN71" s="1159" t="e">
        <f t="shared" ref="FPN71:FRY71" si="73">((FPN6+FPN12+FPN13+FPN14+FPN15)*860+FPN16*FPN55+FPN17*FPN56+FPN7*FPN49+FPN8*FPN50+FPN9*FPN51+FPN10*FPN52+FPN11*FPN53)/(SUM(FPN6:FPN17))</f>
        <v>#DIV/0!</v>
      </c>
      <c r="FPO71" s="1159" t="e">
        <f t="shared" si="73"/>
        <v>#DIV/0!</v>
      </c>
      <c r="FPP71" s="1159" t="e">
        <f t="shared" si="73"/>
        <v>#DIV/0!</v>
      </c>
      <c r="FPQ71" s="1159" t="e">
        <f t="shared" si="73"/>
        <v>#DIV/0!</v>
      </c>
      <c r="FPR71" s="1159" t="e">
        <f t="shared" si="73"/>
        <v>#DIV/0!</v>
      </c>
      <c r="FPS71" s="1159" t="e">
        <f t="shared" si="73"/>
        <v>#DIV/0!</v>
      </c>
      <c r="FPT71" s="1159" t="e">
        <f t="shared" si="73"/>
        <v>#DIV/0!</v>
      </c>
      <c r="FPU71" s="1159" t="e">
        <f t="shared" si="73"/>
        <v>#DIV/0!</v>
      </c>
      <c r="FPV71" s="1159" t="e">
        <f t="shared" si="73"/>
        <v>#DIV/0!</v>
      </c>
      <c r="FPW71" s="1159" t="e">
        <f t="shared" si="73"/>
        <v>#DIV/0!</v>
      </c>
      <c r="FPX71" s="1159" t="e">
        <f t="shared" si="73"/>
        <v>#DIV/0!</v>
      </c>
      <c r="FPY71" s="1159" t="e">
        <f t="shared" si="73"/>
        <v>#DIV/0!</v>
      </c>
      <c r="FPZ71" s="1159" t="e">
        <f t="shared" si="73"/>
        <v>#DIV/0!</v>
      </c>
      <c r="FQA71" s="1159" t="e">
        <f t="shared" si="73"/>
        <v>#DIV/0!</v>
      </c>
      <c r="FQB71" s="1159" t="e">
        <f t="shared" si="73"/>
        <v>#DIV/0!</v>
      </c>
      <c r="FQC71" s="1159" t="e">
        <f t="shared" si="73"/>
        <v>#DIV/0!</v>
      </c>
      <c r="FQD71" s="1159" t="e">
        <f t="shared" si="73"/>
        <v>#DIV/0!</v>
      </c>
      <c r="FQE71" s="1159" t="e">
        <f t="shared" si="73"/>
        <v>#DIV/0!</v>
      </c>
      <c r="FQF71" s="1159" t="e">
        <f t="shared" si="73"/>
        <v>#DIV/0!</v>
      </c>
      <c r="FQG71" s="1159" t="e">
        <f t="shared" si="73"/>
        <v>#DIV/0!</v>
      </c>
      <c r="FQH71" s="1159" t="e">
        <f t="shared" si="73"/>
        <v>#DIV/0!</v>
      </c>
      <c r="FQI71" s="1159" t="e">
        <f t="shared" si="73"/>
        <v>#DIV/0!</v>
      </c>
      <c r="FQJ71" s="1159" t="e">
        <f t="shared" si="73"/>
        <v>#DIV/0!</v>
      </c>
      <c r="FQK71" s="1159" t="e">
        <f t="shared" si="73"/>
        <v>#DIV/0!</v>
      </c>
      <c r="FQL71" s="1159" t="e">
        <f t="shared" si="73"/>
        <v>#DIV/0!</v>
      </c>
      <c r="FQM71" s="1159" t="e">
        <f t="shared" si="73"/>
        <v>#DIV/0!</v>
      </c>
      <c r="FQN71" s="1159" t="e">
        <f t="shared" si="73"/>
        <v>#DIV/0!</v>
      </c>
      <c r="FQO71" s="1159" t="e">
        <f t="shared" si="73"/>
        <v>#DIV/0!</v>
      </c>
      <c r="FQP71" s="1159" t="e">
        <f t="shared" si="73"/>
        <v>#DIV/0!</v>
      </c>
      <c r="FQQ71" s="1159" t="e">
        <f t="shared" si="73"/>
        <v>#DIV/0!</v>
      </c>
      <c r="FQR71" s="1159" t="e">
        <f t="shared" si="73"/>
        <v>#DIV/0!</v>
      </c>
      <c r="FQS71" s="1159" t="e">
        <f t="shared" si="73"/>
        <v>#DIV/0!</v>
      </c>
      <c r="FQT71" s="1159" t="e">
        <f t="shared" si="73"/>
        <v>#DIV/0!</v>
      </c>
      <c r="FQU71" s="1159" t="e">
        <f t="shared" si="73"/>
        <v>#DIV/0!</v>
      </c>
      <c r="FQV71" s="1159" t="e">
        <f t="shared" si="73"/>
        <v>#DIV/0!</v>
      </c>
      <c r="FQW71" s="1159" t="e">
        <f t="shared" si="73"/>
        <v>#DIV/0!</v>
      </c>
      <c r="FQX71" s="1159" t="e">
        <f t="shared" si="73"/>
        <v>#DIV/0!</v>
      </c>
      <c r="FQY71" s="1159" t="e">
        <f t="shared" si="73"/>
        <v>#DIV/0!</v>
      </c>
      <c r="FQZ71" s="1159" t="e">
        <f t="shared" si="73"/>
        <v>#DIV/0!</v>
      </c>
      <c r="FRA71" s="1159" t="e">
        <f t="shared" si="73"/>
        <v>#DIV/0!</v>
      </c>
      <c r="FRB71" s="1159" t="e">
        <f t="shared" si="73"/>
        <v>#DIV/0!</v>
      </c>
      <c r="FRC71" s="1159" t="e">
        <f t="shared" si="73"/>
        <v>#DIV/0!</v>
      </c>
      <c r="FRD71" s="1159" t="e">
        <f t="shared" si="73"/>
        <v>#DIV/0!</v>
      </c>
      <c r="FRE71" s="1159" t="e">
        <f t="shared" si="73"/>
        <v>#DIV/0!</v>
      </c>
      <c r="FRF71" s="1159" t="e">
        <f t="shared" si="73"/>
        <v>#DIV/0!</v>
      </c>
      <c r="FRG71" s="1159" t="e">
        <f t="shared" si="73"/>
        <v>#DIV/0!</v>
      </c>
      <c r="FRH71" s="1159" t="e">
        <f t="shared" si="73"/>
        <v>#DIV/0!</v>
      </c>
      <c r="FRI71" s="1159" t="e">
        <f t="shared" si="73"/>
        <v>#DIV/0!</v>
      </c>
      <c r="FRJ71" s="1159" t="e">
        <f t="shared" si="73"/>
        <v>#DIV/0!</v>
      </c>
      <c r="FRK71" s="1159" t="e">
        <f t="shared" si="73"/>
        <v>#DIV/0!</v>
      </c>
      <c r="FRL71" s="1159" t="e">
        <f t="shared" si="73"/>
        <v>#DIV/0!</v>
      </c>
      <c r="FRM71" s="1159" t="e">
        <f t="shared" si="73"/>
        <v>#DIV/0!</v>
      </c>
      <c r="FRN71" s="1159" t="e">
        <f t="shared" si="73"/>
        <v>#DIV/0!</v>
      </c>
      <c r="FRO71" s="1159" t="e">
        <f t="shared" si="73"/>
        <v>#DIV/0!</v>
      </c>
      <c r="FRP71" s="1159" t="e">
        <f t="shared" si="73"/>
        <v>#DIV/0!</v>
      </c>
      <c r="FRQ71" s="1159" t="e">
        <f t="shared" si="73"/>
        <v>#DIV/0!</v>
      </c>
      <c r="FRR71" s="1159" t="e">
        <f t="shared" si="73"/>
        <v>#DIV/0!</v>
      </c>
      <c r="FRS71" s="1159" t="e">
        <f t="shared" si="73"/>
        <v>#DIV/0!</v>
      </c>
      <c r="FRT71" s="1159" t="e">
        <f t="shared" si="73"/>
        <v>#DIV/0!</v>
      </c>
      <c r="FRU71" s="1159" t="e">
        <f t="shared" si="73"/>
        <v>#DIV/0!</v>
      </c>
      <c r="FRV71" s="1159" t="e">
        <f t="shared" si="73"/>
        <v>#DIV/0!</v>
      </c>
      <c r="FRW71" s="1159" t="e">
        <f t="shared" si="73"/>
        <v>#DIV/0!</v>
      </c>
      <c r="FRX71" s="1159" t="e">
        <f t="shared" si="73"/>
        <v>#DIV/0!</v>
      </c>
      <c r="FRY71" s="1159" t="e">
        <f t="shared" si="73"/>
        <v>#DIV/0!</v>
      </c>
      <c r="FRZ71" s="1159" t="e">
        <f t="shared" ref="FRZ71:FUK71" si="74">((FRZ6+FRZ12+FRZ13+FRZ14+FRZ15)*860+FRZ16*FRZ55+FRZ17*FRZ56+FRZ7*FRZ49+FRZ8*FRZ50+FRZ9*FRZ51+FRZ10*FRZ52+FRZ11*FRZ53)/(SUM(FRZ6:FRZ17))</f>
        <v>#DIV/0!</v>
      </c>
      <c r="FSA71" s="1159" t="e">
        <f t="shared" si="74"/>
        <v>#DIV/0!</v>
      </c>
      <c r="FSB71" s="1159" t="e">
        <f t="shared" si="74"/>
        <v>#DIV/0!</v>
      </c>
      <c r="FSC71" s="1159" t="e">
        <f t="shared" si="74"/>
        <v>#DIV/0!</v>
      </c>
      <c r="FSD71" s="1159" t="e">
        <f t="shared" si="74"/>
        <v>#DIV/0!</v>
      </c>
      <c r="FSE71" s="1159" t="e">
        <f t="shared" si="74"/>
        <v>#DIV/0!</v>
      </c>
      <c r="FSF71" s="1159" t="e">
        <f t="shared" si="74"/>
        <v>#DIV/0!</v>
      </c>
      <c r="FSG71" s="1159" t="e">
        <f t="shared" si="74"/>
        <v>#DIV/0!</v>
      </c>
      <c r="FSH71" s="1159" t="e">
        <f t="shared" si="74"/>
        <v>#DIV/0!</v>
      </c>
      <c r="FSI71" s="1159" t="e">
        <f t="shared" si="74"/>
        <v>#DIV/0!</v>
      </c>
      <c r="FSJ71" s="1159" t="e">
        <f t="shared" si="74"/>
        <v>#DIV/0!</v>
      </c>
      <c r="FSK71" s="1159" t="e">
        <f t="shared" si="74"/>
        <v>#DIV/0!</v>
      </c>
      <c r="FSL71" s="1159" t="e">
        <f t="shared" si="74"/>
        <v>#DIV/0!</v>
      </c>
      <c r="FSM71" s="1159" t="e">
        <f t="shared" si="74"/>
        <v>#DIV/0!</v>
      </c>
      <c r="FSN71" s="1159" t="e">
        <f t="shared" si="74"/>
        <v>#DIV/0!</v>
      </c>
      <c r="FSO71" s="1159" t="e">
        <f t="shared" si="74"/>
        <v>#DIV/0!</v>
      </c>
      <c r="FSP71" s="1159" t="e">
        <f t="shared" si="74"/>
        <v>#DIV/0!</v>
      </c>
      <c r="FSQ71" s="1159" t="e">
        <f t="shared" si="74"/>
        <v>#DIV/0!</v>
      </c>
      <c r="FSR71" s="1159" t="e">
        <f t="shared" si="74"/>
        <v>#DIV/0!</v>
      </c>
      <c r="FSS71" s="1159" t="e">
        <f t="shared" si="74"/>
        <v>#DIV/0!</v>
      </c>
      <c r="FST71" s="1159" t="e">
        <f t="shared" si="74"/>
        <v>#DIV/0!</v>
      </c>
      <c r="FSU71" s="1159" t="e">
        <f t="shared" si="74"/>
        <v>#DIV/0!</v>
      </c>
      <c r="FSV71" s="1159" t="e">
        <f t="shared" si="74"/>
        <v>#DIV/0!</v>
      </c>
      <c r="FSW71" s="1159" t="e">
        <f t="shared" si="74"/>
        <v>#DIV/0!</v>
      </c>
      <c r="FSX71" s="1159" t="e">
        <f t="shared" si="74"/>
        <v>#DIV/0!</v>
      </c>
      <c r="FSY71" s="1159" t="e">
        <f t="shared" si="74"/>
        <v>#DIV/0!</v>
      </c>
      <c r="FSZ71" s="1159" t="e">
        <f t="shared" si="74"/>
        <v>#DIV/0!</v>
      </c>
      <c r="FTA71" s="1159" t="e">
        <f t="shared" si="74"/>
        <v>#DIV/0!</v>
      </c>
      <c r="FTB71" s="1159" t="e">
        <f t="shared" si="74"/>
        <v>#DIV/0!</v>
      </c>
      <c r="FTC71" s="1159" t="e">
        <f t="shared" si="74"/>
        <v>#DIV/0!</v>
      </c>
      <c r="FTD71" s="1159" t="e">
        <f t="shared" si="74"/>
        <v>#DIV/0!</v>
      </c>
      <c r="FTE71" s="1159" t="e">
        <f t="shared" si="74"/>
        <v>#DIV/0!</v>
      </c>
      <c r="FTF71" s="1159" t="e">
        <f t="shared" si="74"/>
        <v>#DIV/0!</v>
      </c>
      <c r="FTG71" s="1159" t="e">
        <f t="shared" si="74"/>
        <v>#DIV/0!</v>
      </c>
      <c r="FTH71" s="1159" t="e">
        <f t="shared" si="74"/>
        <v>#DIV/0!</v>
      </c>
      <c r="FTI71" s="1159" t="e">
        <f t="shared" si="74"/>
        <v>#DIV/0!</v>
      </c>
      <c r="FTJ71" s="1159" t="e">
        <f t="shared" si="74"/>
        <v>#DIV/0!</v>
      </c>
      <c r="FTK71" s="1159" t="e">
        <f t="shared" si="74"/>
        <v>#DIV/0!</v>
      </c>
      <c r="FTL71" s="1159" t="e">
        <f t="shared" si="74"/>
        <v>#DIV/0!</v>
      </c>
      <c r="FTM71" s="1159" t="e">
        <f t="shared" si="74"/>
        <v>#DIV/0!</v>
      </c>
      <c r="FTN71" s="1159" t="e">
        <f t="shared" si="74"/>
        <v>#DIV/0!</v>
      </c>
      <c r="FTO71" s="1159" t="e">
        <f t="shared" si="74"/>
        <v>#DIV/0!</v>
      </c>
      <c r="FTP71" s="1159" t="e">
        <f t="shared" si="74"/>
        <v>#DIV/0!</v>
      </c>
      <c r="FTQ71" s="1159" t="e">
        <f t="shared" si="74"/>
        <v>#DIV/0!</v>
      </c>
      <c r="FTR71" s="1159" t="e">
        <f t="shared" si="74"/>
        <v>#DIV/0!</v>
      </c>
      <c r="FTS71" s="1159" t="e">
        <f t="shared" si="74"/>
        <v>#DIV/0!</v>
      </c>
      <c r="FTT71" s="1159" t="e">
        <f t="shared" si="74"/>
        <v>#DIV/0!</v>
      </c>
      <c r="FTU71" s="1159" t="e">
        <f t="shared" si="74"/>
        <v>#DIV/0!</v>
      </c>
      <c r="FTV71" s="1159" t="e">
        <f t="shared" si="74"/>
        <v>#DIV/0!</v>
      </c>
      <c r="FTW71" s="1159" t="e">
        <f t="shared" si="74"/>
        <v>#DIV/0!</v>
      </c>
      <c r="FTX71" s="1159" t="e">
        <f t="shared" si="74"/>
        <v>#DIV/0!</v>
      </c>
      <c r="FTY71" s="1159" t="e">
        <f t="shared" si="74"/>
        <v>#DIV/0!</v>
      </c>
      <c r="FTZ71" s="1159" t="e">
        <f t="shared" si="74"/>
        <v>#DIV/0!</v>
      </c>
      <c r="FUA71" s="1159" t="e">
        <f t="shared" si="74"/>
        <v>#DIV/0!</v>
      </c>
      <c r="FUB71" s="1159" t="e">
        <f t="shared" si="74"/>
        <v>#DIV/0!</v>
      </c>
      <c r="FUC71" s="1159" t="e">
        <f t="shared" si="74"/>
        <v>#DIV/0!</v>
      </c>
      <c r="FUD71" s="1159" t="e">
        <f t="shared" si="74"/>
        <v>#DIV/0!</v>
      </c>
      <c r="FUE71" s="1159" t="e">
        <f t="shared" si="74"/>
        <v>#DIV/0!</v>
      </c>
      <c r="FUF71" s="1159" t="e">
        <f t="shared" si="74"/>
        <v>#DIV/0!</v>
      </c>
      <c r="FUG71" s="1159" t="e">
        <f t="shared" si="74"/>
        <v>#DIV/0!</v>
      </c>
      <c r="FUH71" s="1159" t="e">
        <f t="shared" si="74"/>
        <v>#DIV/0!</v>
      </c>
      <c r="FUI71" s="1159" t="e">
        <f t="shared" si="74"/>
        <v>#DIV/0!</v>
      </c>
      <c r="FUJ71" s="1159" t="e">
        <f t="shared" si="74"/>
        <v>#DIV/0!</v>
      </c>
      <c r="FUK71" s="1159" t="e">
        <f t="shared" si="74"/>
        <v>#DIV/0!</v>
      </c>
      <c r="FUL71" s="1159" t="e">
        <f t="shared" ref="FUL71:FWW71" si="75">((FUL6+FUL12+FUL13+FUL14+FUL15)*860+FUL16*FUL55+FUL17*FUL56+FUL7*FUL49+FUL8*FUL50+FUL9*FUL51+FUL10*FUL52+FUL11*FUL53)/(SUM(FUL6:FUL17))</f>
        <v>#DIV/0!</v>
      </c>
      <c r="FUM71" s="1159" t="e">
        <f t="shared" si="75"/>
        <v>#DIV/0!</v>
      </c>
      <c r="FUN71" s="1159" t="e">
        <f t="shared" si="75"/>
        <v>#DIV/0!</v>
      </c>
      <c r="FUO71" s="1159" t="e">
        <f t="shared" si="75"/>
        <v>#DIV/0!</v>
      </c>
      <c r="FUP71" s="1159" t="e">
        <f t="shared" si="75"/>
        <v>#DIV/0!</v>
      </c>
      <c r="FUQ71" s="1159" t="e">
        <f t="shared" si="75"/>
        <v>#DIV/0!</v>
      </c>
      <c r="FUR71" s="1159" t="e">
        <f t="shared" si="75"/>
        <v>#DIV/0!</v>
      </c>
      <c r="FUS71" s="1159" t="e">
        <f t="shared" si="75"/>
        <v>#DIV/0!</v>
      </c>
      <c r="FUT71" s="1159" t="e">
        <f t="shared" si="75"/>
        <v>#DIV/0!</v>
      </c>
      <c r="FUU71" s="1159" t="e">
        <f t="shared" si="75"/>
        <v>#DIV/0!</v>
      </c>
      <c r="FUV71" s="1159" t="e">
        <f t="shared" si="75"/>
        <v>#DIV/0!</v>
      </c>
      <c r="FUW71" s="1159" t="e">
        <f t="shared" si="75"/>
        <v>#DIV/0!</v>
      </c>
      <c r="FUX71" s="1159" t="e">
        <f t="shared" si="75"/>
        <v>#DIV/0!</v>
      </c>
      <c r="FUY71" s="1159" t="e">
        <f t="shared" si="75"/>
        <v>#DIV/0!</v>
      </c>
      <c r="FUZ71" s="1159" t="e">
        <f t="shared" si="75"/>
        <v>#DIV/0!</v>
      </c>
      <c r="FVA71" s="1159" t="e">
        <f t="shared" si="75"/>
        <v>#DIV/0!</v>
      </c>
      <c r="FVB71" s="1159" t="e">
        <f t="shared" si="75"/>
        <v>#DIV/0!</v>
      </c>
      <c r="FVC71" s="1159" t="e">
        <f t="shared" si="75"/>
        <v>#DIV/0!</v>
      </c>
      <c r="FVD71" s="1159" t="e">
        <f t="shared" si="75"/>
        <v>#DIV/0!</v>
      </c>
      <c r="FVE71" s="1159" t="e">
        <f t="shared" si="75"/>
        <v>#DIV/0!</v>
      </c>
      <c r="FVF71" s="1159" t="e">
        <f t="shared" si="75"/>
        <v>#DIV/0!</v>
      </c>
      <c r="FVG71" s="1159" t="e">
        <f t="shared" si="75"/>
        <v>#DIV/0!</v>
      </c>
      <c r="FVH71" s="1159" t="e">
        <f t="shared" si="75"/>
        <v>#DIV/0!</v>
      </c>
      <c r="FVI71" s="1159" t="e">
        <f t="shared" si="75"/>
        <v>#DIV/0!</v>
      </c>
      <c r="FVJ71" s="1159" t="e">
        <f t="shared" si="75"/>
        <v>#DIV/0!</v>
      </c>
      <c r="FVK71" s="1159" t="e">
        <f t="shared" si="75"/>
        <v>#DIV/0!</v>
      </c>
      <c r="FVL71" s="1159" t="e">
        <f t="shared" si="75"/>
        <v>#DIV/0!</v>
      </c>
      <c r="FVM71" s="1159" t="e">
        <f t="shared" si="75"/>
        <v>#DIV/0!</v>
      </c>
      <c r="FVN71" s="1159" t="e">
        <f t="shared" si="75"/>
        <v>#DIV/0!</v>
      </c>
      <c r="FVO71" s="1159" t="e">
        <f t="shared" si="75"/>
        <v>#DIV/0!</v>
      </c>
      <c r="FVP71" s="1159" t="e">
        <f t="shared" si="75"/>
        <v>#DIV/0!</v>
      </c>
      <c r="FVQ71" s="1159" t="e">
        <f t="shared" si="75"/>
        <v>#DIV/0!</v>
      </c>
      <c r="FVR71" s="1159" t="e">
        <f t="shared" si="75"/>
        <v>#DIV/0!</v>
      </c>
      <c r="FVS71" s="1159" t="e">
        <f t="shared" si="75"/>
        <v>#DIV/0!</v>
      </c>
      <c r="FVT71" s="1159" t="e">
        <f t="shared" si="75"/>
        <v>#DIV/0!</v>
      </c>
      <c r="FVU71" s="1159" t="e">
        <f t="shared" si="75"/>
        <v>#DIV/0!</v>
      </c>
      <c r="FVV71" s="1159" t="e">
        <f t="shared" si="75"/>
        <v>#DIV/0!</v>
      </c>
      <c r="FVW71" s="1159" t="e">
        <f t="shared" si="75"/>
        <v>#DIV/0!</v>
      </c>
      <c r="FVX71" s="1159" t="e">
        <f t="shared" si="75"/>
        <v>#DIV/0!</v>
      </c>
      <c r="FVY71" s="1159" t="e">
        <f t="shared" si="75"/>
        <v>#DIV/0!</v>
      </c>
      <c r="FVZ71" s="1159" t="e">
        <f t="shared" si="75"/>
        <v>#DIV/0!</v>
      </c>
      <c r="FWA71" s="1159" t="e">
        <f t="shared" si="75"/>
        <v>#DIV/0!</v>
      </c>
      <c r="FWB71" s="1159" t="e">
        <f t="shared" si="75"/>
        <v>#DIV/0!</v>
      </c>
      <c r="FWC71" s="1159" t="e">
        <f t="shared" si="75"/>
        <v>#DIV/0!</v>
      </c>
      <c r="FWD71" s="1159" t="e">
        <f t="shared" si="75"/>
        <v>#DIV/0!</v>
      </c>
      <c r="FWE71" s="1159" t="e">
        <f t="shared" si="75"/>
        <v>#DIV/0!</v>
      </c>
      <c r="FWF71" s="1159" t="e">
        <f t="shared" si="75"/>
        <v>#DIV/0!</v>
      </c>
      <c r="FWG71" s="1159" t="e">
        <f t="shared" si="75"/>
        <v>#DIV/0!</v>
      </c>
      <c r="FWH71" s="1159" t="e">
        <f t="shared" si="75"/>
        <v>#DIV/0!</v>
      </c>
      <c r="FWI71" s="1159" t="e">
        <f t="shared" si="75"/>
        <v>#DIV/0!</v>
      </c>
      <c r="FWJ71" s="1159" t="e">
        <f t="shared" si="75"/>
        <v>#DIV/0!</v>
      </c>
      <c r="FWK71" s="1159" t="e">
        <f t="shared" si="75"/>
        <v>#DIV/0!</v>
      </c>
      <c r="FWL71" s="1159" t="e">
        <f t="shared" si="75"/>
        <v>#DIV/0!</v>
      </c>
      <c r="FWM71" s="1159" t="e">
        <f t="shared" si="75"/>
        <v>#DIV/0!</v>
      </c>
      <c r="FWN71" s="1159" t="e">
        <f t="shared" si="75"/>
        <v>#DIV/0!</v>
      </c>
      <c r="FWO71" s="1159" t="e">
        <f t="shared" si="75"/>
        <v>#DIV/0!</v>
      </c>
      <c r="FWP71" s="1159" t="e">
        <f t="shared" si="75"/>
        <v>#DIV/0!</v>
      </c>
      <c r="FWQ71" s="1159" t="e">
        <f t="shared" si="75"/>
        <v>#DIV/0!</v>
      </c>
      <c r="FWR71" s="1159" t="e">
        <f t="shared" si="75"/>
        <v>#DIV/0!</v>
      </c>
      <c r="FWS71" s="1159" t="e">
        <f t="shared" si="75"/>
        <v>#DIV/0!</v>
      </c>
      <c r="FWT71" s="1159" t="e">
        <f t="shared" si="75"/>
        <v>#DIV/0!</v>
      </c>
      <c r="FWU71" s="1159" t="e">
        <f t="shared" si="75"/>
        <v>#DIV/0!</v>
      </c>
      <c r="FWV71" s="1159" t="e">
        <f t="shared" si="75"/>
        <v>#DIV/0!</v>
      </c>
      <c r="FWW71" s="1159" t="e">
        <f t="shared" si="75"/>
        <v>#DIV/0!</v>
      </c>
      <c r="FWX71" s="1159" t="e">
        <f t="shared" ref="FWX71:FZI71" si="76">((FWX6+FWX12+FWX13+FWX14+FWX15)*860+FWX16*FWX55+FWX17*FWX56+FWX7*FWX49+FWX8*FWX50+FWX9*FWX51+FWX10*FWX52+FWX11*FWX53)/(SUM(FWX6:FWX17))</f>
        <v>#DIV/0!</v>
      </c>
      <c r="FWY71" s="1159" t="e">
        <f t="shared" si="76"/>
        <v>#DIV/0!</v>
      </c>
      <c r="FWZ71" s="1159" t="e">
        <f t="shared" si="76"/>
        <v>#DIV/0!</v>
      </c>
      <c r="FXA71" s="1159" t="e">
        <f t="shared" si="76"/>
        <v>#DIV/0!</v>
      </c>
      <c r="FXB71" s="1159" t="e">
        <f t="shared" si="76"/>
        <v>#DIV/0!</v>
      </c>
      <c r="FXC71" s="1159" t="e">
        <f t="shared" si="76"/>
        <v>#DIV/0!</v>
      </c>
      <c r="FXD71" s="1159" t="e">
        <f t="shared" si="76"/>
        <v>#DIV/0!</v>
      </c>
      <c r="FXE71" s="1159" t="e">
        <f t="shared" si="76"/>
        <v>#DIV/0!</v>
      </c>
      <c r="FXF71" s="1159" t="e">
        <f t="shared" si="76"/>
        <v>#DIV/0!</v>
      </c>
      <c r="FXG71" s="1159" t="e">
        <f t="shared" si="76"/>
        <v>#DIV/0!</v>
      </c>
      <c r="FXH71" s="1159" t="e">
        <f t="shared" si="76"/>
        <v>#DIV/0!</v>
      </c>
      <c r="FXI71" s="1159" t="e">
        <f t="shared" si="76"/>
        <v>#DIV/0!</v>
      </c>
      <c r="FXJ71" s="1159" t="e">
        <f t="shared" si="76"/>
        <v>#DIV/0!</v>
      </c>
      <c r="FXK71" s="1159" t="e">
        <f t="shared" si="76"/>
        <v>#DIV/0!</v>
      </c>
      <c r="FXL71" s="1159" t="e">
        <f t="shared" si="76"/>
        <v>#DIV/0!</v>
      </c>
      <c r="FXM71" s="1159" t="e">
        <f t="shared" si="76"/>
        <v>#DIV/0!</v>
      </c>
      <c r="FXN71" s="1159" t="e">
        <f t="shared" si="76"/>
        <v>#DIV/0!</v>
      </c>
      <c r="FXO71" s="1159" t="e">
        <f t="shared" si="76"/>
        <v>#DIV/0!</v>
      </c>
      <c r="FXP71" s="1159" t="e">
        <f t="shared" si="76"/>
        <v>#DIV/0!</v>
      </c>
      <c r="FXQ71" s="1159" t="e">
        <f t="shared" si="76"/>
        <v>#DIV/0!</v>
      </c>
      <c r="FXR71" s="1159" t="e">
        <f t="shared" si="76"/>
        <v>#DIV/0!</v>
      </c>
      <c r="FXS71" s="1159" t="e">
        <f t="shared" si="76"/>
        <v>#DIV/0!</v>
      </c>
      <c r="FXT71" s="1159" t="e">
        <f t="shared" si="76"/>
        <v>#DIV/0!</v>
      </c>
      <c r="FXU71" s="1159" t="e">
        <f t="shared" si="76"/>
        <v>#DIV/0!</v>
      </c>
      <c r="FXV71" s="1159" t="e">
        <f t="shared" si="76"/>
        <v>#DIV/0!</v>
      </c>
      <c r="FXW71" s="1159" t="e">
        <f t="shared" si="76"/>
        <v>#DIV/0!</v>
      </c>
      <c r="FXX71" s="1159" t="e">
        <f t="shared" si="76"/>
        <v>#DIV/0!</v>
      </c>
      <c r="FXY71" s="1159" t="e">
        <f t="shared" si="76"/>
        <v>#DIV/0!</v>
      </c>
      <c r="FXZ71" s="1159" t="e">
        <f t="shared" si="76"/>
        <v>#DIV/0!</v>
      </c>
      <c r="FYA71" s="1159" t="e">
        <f t="shared" si="76"/>
        <v>#DIV/0!</v>
      </c>
      <c r="FYB71" s="1159" t="e">
        <f t="shared" si="76"/>
        <v>#DIV/0!</v>
      </c>
      <c r="FYC71" s="1159" t="e">
        <f t="shared" si="76"/>
        <v>#DIV/0!</v>
      </c>
      <c r="FYD71" s="1159" t="e">
        <f t="shared" si="76"/>
        <v>#DIV/0!</v>
      </c>
      <c r="FYE71" s="1159" t="e">
        <f t="shared" si="76"/>
        <v>#DIV/0!</v>
      </c>
      <c r="FYF71" s="1159" t="e">
        <f t="shared" si="76"/>
        <v>#DIV/0!</v>
      </c>
      <c r="FYG71" s="1159" t="e">
        <f t="shared" si="76"/>
        <v>#DIV/0!</v>
      </c>
      <c r="FYH71" s="1159" t="e">
        <f t="shared" si="76"/>
        <v>#DIV/0!</v>
      </c>
      <c r="FYI71" s="1159" t="e">
        <f t="shared" si="76"/>
        <v>#DIV/0!</v>
      </c>
      <c r="FYJ71" s="1159" t="e">
        <f t="shared" si="76"/>
        <v>#DIV/0!</v>
      </c>
      <c r="FYK71" s="1159" t="e">
        <f t="shared" si="76"/>
        <v>#DIV/0!</v>
      </c>
      <c r="FYL71" s="1159" t="e">
        <f t="shared" si="76"/>
        <v>#DIV/0!</v>
      </c>
      <c r="FYM71" s="1159" t="e">
        <f t="shared" si="76"/>
        <v>#DIV/0!</v>
      </c>
      <c r="FYN71" s="1159" t="e">
        <f t="shared" si="76"/>
        <v>#DIV/0!</v>
      </c>
      <c r="FYO71" s="1159" t="e">
        <f t="shared" si="76"/>
        <v>#DIV/0!</v>
      </c>
      <c r="FYP71" s="1159" t="e">
        <f t="shared" si="76"/>
        <v>#DIV/0!</v>
      </c>
      <c r="FYQ71" s="1159" t="e">
        <f t="shared" si="76"/>
        <v>#DIV/0!</v>
      </c>
      <c r="FYR71" s="1159" t="e">
        <f t="shared" si="76"/>
        <v>#DIV/0!</v>
      </c>
      <c r="FYS71" s="1159" t="e">
        <f t="shared" si="76"/>
        <v>#DIV/0!</v>
      </c>
      <c r="FYT71" s="1159" t="e">
        <f t="shared" si="76"/>
        <v>#DIV/0!</v>
      </c>
      <c r="FYU71" s="1159" t="e">
        <f t="shared" si="76"/>
        <v>#DIV/0!</v>
      </c>
      <c r="FYV71" s="1159" t="e">
        <f t="shared" si="76"/>
        <v>#DIV/0!</v>
      </c>
      <c r="FYW71" s="1159" t="e">
        <f t="shared" si="76"/>
        <v>#DIV/0!</v>
      </c>
      <c r="FYX71" s="1159" t="e">
        <f t="shared" si="76"/>
        <v>#DIV/0!</v>
      </c>
      <c r="FYY71" s="1159" t="e">
        <f t="shared" si="76"/>
        <v>#DIV/0!</v>
      </c>
      <c r="FYZ71" s="1159" t="e">
        <f t="shared" si="76"/>
        <v>#DIV/0!</v>
      </c>
      <c r="FZA71" s="1159" t="e">
        <f t="shared" si="76"/>
        <v>#DIV/0!</v>
      </c>
      <c r="FZB71" s="1159" t="e">
        <f t="shared" si="76"/>
        <v>#DIV/0!</v>
      </c>
      <c r="FZC71" s="1159" t="e">
        <f t="shared" si="76"/>
        <v>#DIV/0!</v>
      </c>
      <c r="FZD71" s="1159" t="e">
        <f t="shared" si="76"/>
        <v>#DIV/0!</v>
      </c>
      <c r="FZE71" s="1159" t="e">
        <f t="shared" si="76"/>
        <v>#DIV/0!</v>
      </c>
      <c r="FZF71" s="1159" t="e">
        <f t="shared" si="76"/>
        <v>#DIV/0!</v>
      </c>
      <c r="FZG71" s="1159" t="e">
        <f t="shared" si="76"/>
        <v>#DIV/0!</v>
      </c>
      <c r="FZH71" s="1159" t="e">
        <f t="shared" si="76"/>
        <v>#DIV/0!</v>
      </c>
      <c r="FZI71" s="1159" t="e">
        <f t="shared" si="76"/>
        <v>#DIV/0!</v>
      </c>
      <c r="FZJ71" s="1159" t="e">
        <f t="shared" ref="FZJ71:GBU71" si="77">((FZJ6+FZJ12+FZJ13+FZJ14+FZJ15)*860+FZJ16*FZJ55+FZJ17*FZJ56+FZJ7*FZJ49+FZJ8*FZJ50+FZJ9*FZJ51+FZJ10*FZJ52+FZJ11*FZJ53)/(SUM(FZJ6:FZJ17))</f>
        <v>#DIV/0!</v>
      </c>
      <c r="FZK71" s="1159" t="e">
        <f t="shared" si="77"/>
        <v>#DIV/0!</v>
      </c>
      <c r="FZL71" s="1159" t="e">
        <f t="shared" si="77"/>
        <v>#DIV/0!</v>
      </c>
      <c r="FZM71" s="1159" t="e">
        <f t="shared" si="77"/>
        <v>#DIV/0!</v>
      </c>
      <c r="FZN71" s="1159" t="e">
        <f t="shared" si="77"/>
        <v>#DIV/0!</v>
      </c>
      <c r="FZO71" s="1159" t="e">
        <f t="shared" si="77"/>
        <v>#DIV/0!</v>
      </c>
      <c r="FZP71" s="1159" t="e">
        <f t="shared" si="77"/>
        <v>#DIV/0!</v>
      </c>
      <c r="FZQ71" s="1159" t="e">
        <f t="shared" si="77"/>
        <v>#DIV/0!</v>
      </c>
      <c r="FZR71" s="1159" t="e">
        <f t="shared" si="77"/>
        <v>#DIV/0!</v>
      </c>
      <c r="FZS71" s="1159" t="e">
        <f t="shared" si="77"/>
        <v>#DIV/0!</v>
      </c>
      <c r="FZT71" s="1159" t="e">
        <f t="shared" si="77"/>
        <v>#DIV/0!</v>
      </c>
      <c r="FZU71" s="1159" t="e">
        <f t="shared" si="77"/>
        <v>#DIV/0!</v>
      </c>
      <c r="FZV71" s="1159" t="e">
        <f t="shared" si="77"/>
        <v>#DIV/0!</v>
      </c>
      <c r="FZW71" s="1159" t="e">
        <f t="shared" si="77"/>
        <v>#DIV/0!</v>
      </c>
      <c r="FZX71" s="1159" t="e">
        <f t="shared" si="77"/>
        <v>#DIV/0!</v>
      </c>
      <c r="FZY71" s="1159" t="e">
        <f t="shared" si="77"/>
        <v>#DIV/0!</v>
      </c>
      <c r="FZZ71" s="1159" t="e">
        <f t="shared" si="77"/>
        <v>#DIV/0!</v>
      </c>
      <c r="GAA71" s="1159" t="e">
        <f t="shared" si="77"/>
        <v>#DIV/0!</v>
      </c>
      <c r="GAB71" s="1159" t="e">
        <f t="shared" si="77"/>
        <v>#DIV/0!</v>
      </c>
      <c r="GAC71" s="1159" t="e">
        <f t="shared" si="77"/>
        <v>#DIV/0!</v>
      </c>
      <c r="GAD71" s="1159" t="e">
        <f t="shared" si="77"/>
        <v>#DIV/0!</v>
      </c>
      <c r="GAE71" s="1159" t="e">
        <f t="shared" si="77"/>
        <v>#DIV/0!</v>
      </c>
      <c r="GAF71" s="1159" t="e">
        <f t="shared" si="77"/>
        <v>#DIV/0!</v>
      </c>
      <c r="GAG71" s="1159" t="e">
        <f t="shared" si="77"/>
        <v>#DIV/0!</v>
      </c>
      <c r="GAH71" s="1159" t="e">
        <f t="shared" si="77"/>
        <v>#DIV/0!</v>
      </c>
      <c r="GAI71" s="1159" t="e">
        <f t="shared" si="77"/>
        <v>#DIV/0!</v>
      </c>
      <c r="GAJ71" s="1159" t="e">
        <f t="shared" si="77"/>
        <v>#DIV/0!</v>
      </c>
      <c r="GAK71" s="1159" t="e">
        <f t="shared" si="77"/>
        <v>#DIV/0!</v>
      </c>
      <c r="GAL71" s="1159" t="e">
        <f t="shared" si="77"/>
        <v>#DIV/0!</v>
      </c>
      <c r="GAM71" s="1159" t="e">
        <f t="shared" si="77"/>
        <v>#DIV/0!</v>
      </c>
      <c r="GAN71" s="1159" t="e">
        <f t="shared" si="77"/>
        <v>#DIV/0!</v>
      </c>
      <c r="GAO71" s="1159" t="e">
        <f t="shared" si="77"/>
        <v>#DIV/0!</v>
      </c>
      <c r="GAP71" s="1159" t="e">
        <f t="shared" si="77"/>
        <v>#DIV/0!</v>
      </c>
      <c r="GAQ71" s="1159" t="e">
        <f t="shared" si="77"/>
        <v>#DIV/0!</v>
      </c>
      <c r="GAR71" s="1159" t="e">
        <f t="shared" si="77"/>
        <v>#DIV/0!</v>
      </c>
      <c r="GAS71" s="1159" t="e">
        <f t="shared" si="77"/>
        <v>#DIV/0!</v>
      </c>
      <c r="GAT71" s="1159" t="e">
        <f t="shared" si="77"/>
        <v>#DIV/0!</v>
      </c>
      <c r="GAU71" s="1159" t="e">
        <f t="shared" si="77"/>
        <v>#DIV/0!</v>
      </c>
      <c r="GAV71" s="1159" t="e">
        <f t="shared" si="77"/>
        <v>#DIV/0!</v>
      </c>
      <c r="GAW71" s="1159" t="e">
        <f t="shared" si="77"/>
        <v>#DIV/0!</v>
      </c>
      <c r="GAX71" s="1159" t="e">
        <f t="shared" si="77"/>
        <v>#DIV/0!</v>
      </c>
      <c r="GAY71" s="1159" t="e">
        <f t="shared" si="77"/>
        <v>#DIV/0!</v>
      </c>
      <c r="GAZ71" s="1159" t="e">
        <f t="shared" si="77"/>
        <v>#DIV/0!</v>
      </c>
      <c r="GBA71" s="1159" t="e">
        <f t="shared" si="77"/>
        <v>#DIV/0!</v>
      </c>
      <c r="GBB71" s="1159" t="e">
        <f t="shared" si="77"/>
        <v>#DIV/0!</v>
      </c>
      <c r="GBC71" s="1159" t="e">
        <f t="shared" si="77"/>
        <v>#DIV/0!</v>
      </c>
      <c r="GBD71" s="1159" t="e">
        <f t="shared" si="77"/>
        <v>#DIV/0!</v>
      </c>
      <c r="GBE71" s="1159" t="e">
        <f t="shared" si="77"/>
        <v>#DIV/0!</v>
      </c>
      <c r="GBF71" s="1159" t="e">
        <f t="shared" si="77"/>
        <v>#DIV/0!</v>
      </c>
      <c r="GBG71" s="1159" t="e">
        <f t="shared" si="77"/>
        <v>#DIV/0!</v>
      </c>
      <c r="GBH71" s="1159" t="e">
        <f t="shared" si="77"/>
        <v>#DIV/0!</v>
      </c>
      <c r="GBI71" s="1159" t="e">
        <f t="shared" si="77"/>
        <v>#DIV/0!</v>
      </c>
      <c r="GBJ71" s="1159" t="e">
        <f t="shared" si="77"/>
        <v>#DIV/0!</v>
      </c>
      <c r="GBK71" s="1159" t="e">
        <f t="shared" si="77"/>
        <v>#DIV/0!</v>
      </c>
      <c r="GBL71" s="1159" t="e">
        <f t="shared" si="77"/>
        <v>#DIV/0!</v>
      </c>
      <c r="GBM71" s="1159" t="e">
        <f t="shared" si="77"/>
        <v>#DIV/0!</v>
      </c>
      <c r="GBN71" s="1159" t="e">
        <f t="shared" si="77"/>
        <v>#DIV/0!</v>
      </c>
      <c r="GBO71" s="1159" t="e">
        <f t="shared" si="77"/>
        <v>#DIV/0!</v>
      </c>
      <c r="GBP71" s="1159" t="e">
        <f t="shared" si="77"/>
        <v>#DIV/0!</v>
      </c>
      <c r="GBQ71" s="1159" t="e">
        <f t="shared" si="77"/>
        <v>#DIV/0!</v>
      </c>
      <c r="GBR71" s="1159" t="e">
        <f t="shared" si="77"/>
        <v>#DIV/0!</v>
      </c>
      <c r="GBS71" s="1159" t="e">
        <f t="shared" si="77"/>
        <v>#DIV/0!</v>
      </c>
      <c r="GBT71" s="1159" t="e">
        <f t="shared" si="77"/>
        <v>#DIV/0!</v>
      </c>
      <c r="GBU71" s="1159" t="e">
        <f t="shared" si="77"/>
        <v>#DIV/0!</v>
      </c>
      <c r="GBV71" s="1159" t="e">
        <f t="shared" ref="GBV71:GEG71" si="78">((GBV6+GBV12+GBV13+GBV14+GBV15)*860+GBV16*GBV55+GBV17*GBV56+GBV7*GBV49+GBV8*GBV50+GBV9*GBV51+GBV10*GBV52+GBV11*GBV53)/(SUM(GBV6:GBV17))</f>
        <v>#DIV/0!</v>
      </c>
      <c r="GBW71" s="1159" t="e">
        <f t="shared" si="78"/>
        <v>#DIV/0!</v>
      </c>
      <c r="GBX71" s="1159" t="e">
        <f t="shared" si="78"/>
        <v>#DIV/0!</v>
      </c>
      <c r="GBY71" s="1159" t="e">
        <f t="shared" si="78"/>
        <v>#DIV/0!</v>
      </c>
      <c r="GBZ71" s="1159" t="e">
        <f t="shared" si="78"/>
        <v>#DIV/0!</v>
      </c>
      <c r="GCA71" s="1159" t="e">
        <f t="shared" si="78"/>
        <v>#DIV/0!</v>
      </c>
      <c r="GCB71" s="1159" t="e">
        <f t="shared" si="78"/>
        <v>#DIV/0!</v>
      </c>
      <c r="GCC71" s="1159" t="e">
        <f t="shared" si="78"/>
        <v>#DIV/0!</v>
      </c>
      <c r="GCD71" s="1159" t="e">
        <f t="shared" si="78"/>
        <v>#DIV/0!</v>
      </c>
      <c r="GCE71" s="1159" t="e">
        <f t="shared" si="78"/>
        <v>#DIV/0!</v>
      </c>
      <c r="GCF71" s="1159" t="e">
        <f t="shared" si="78"/>
        <v>#DIV/0!</v>
      </c>
      <c r="GCG71" s="1159" t="e">
        <f t="shared" si="78"/>
        <v>#DIV/0!</v>
      </c>
      <c r="GCH71" s="1159" t="e">
        <f t="shared" si="78"/>
        <v>#DIV/0!</v>
      </c>
      <c r="GCI71" s="1159" t="e">
        <f t="shared" si="78"/>
        <v>#DIV/0!</v>
      </c>
      <c r="GCJ71" s="1159" t="e">
        <f t="shared" si="78"/>
        <v>#DIV/0!</v>
      </c>
      <c r="GCK71" s="1159" t="e">
        <f t="shared" si="78"/>
        <v>#DIV/0!</v>
      </c>
      <c r="GCL71" s="1159" t="e">
        <f t="shared" si="78"/>
        <v>#DIV/0!</v>
      </c>
      <c r="GCM71" s="1159" t="e">
        <f t="shared" si="78"/>
        <v>#DIV/0!</v>
      </c>
      <c r="GCN71" s="1159" t="e">
        <f t="shared" si="78"/>
        <v>#DIV/0!</v>
      </c>
      <c r="GCO71" s="1159" t="e">
        <f t="shared" si="78"/>
        <v>#DIV/0!</v>
      </c>
      <c r="GCP71" s="1159" t="e">
        <f t="shared" si="78"/>
        <v>#DIV/0!</v>
      </c>
      <c r="GCQ71" s="1159" t="e">
        <f t="shared" si="78"/>
        <v>#DIV/0!</v>
      </c>
      <c r="GCR71" s="1159" t="e">
        <f t="shared" si="78"/>
        <v>#DIV/0!</v>
      </c>
      <c r="GCS71" s="1159" t="e">
        <f t="shared" si="78"/>
        <v>#DIV/0!</v>
      </c>
      <c r="GCT71" s="1159" t="e">
        <f t="shared" si="78"/>
        <v>#DIV/0!</v>
      </c>
      <c r="GCU71" s="1159" t="e">
        <f t="shared" si="78"/>
        <v>#DIV/0!</v>
      </c>
      <c r="GCV71" s="1159" t="e">
        <f t="shared" si="78"/>
        <v>#DIV/0!</v>
      </c>
      <c r="GCW71" s="1159" t="e">
        <f t="shared" si="78"/>
        <v>#DIV/0!</v>
      </c>
      <c r="GCX71" s="1159" t="e">
        <f t="shared" si="78"/>
        <v>#DIV/0!</v>
      </c>
      <c r="GCY71" s="1159" t="e">
        <f t="shared" si="78"/>
        <v>#DIV/0!</v>
      </c>
      <c r="GCZ71" s="1159" t="e">
        <f t="shared" si="78"/>
        <v>#DIV/0!</v>
      </c>
      <c r="GDA71" s="1159" t="e">
        <f t="shared" si="78"/>
        <v>#DIV/0!</v>
      </c>
      <c r="GDB71" s="1159" t="e">
        <f t="shared" si="78"/>
        <v>#DIV/0!</v>
      </c>
      <c r="GDC71" s="1159" t="e">
        <f t="shared" si="78"/>
        <v>#DIV/0!</v>
      </c>
      <c r="GDD71" s="1159" t="e">
        <f t="shared" si="78"/>
        <v>#DIV/0!</v>
      </c>
      <c r="GDE71" s="1159" t="e">
        <f t="shared" si="78"/>
        <v>#DIV/0!</v>
      </c>
      <c r="GDF71" s="1159" t="e">
        <f t="shared" si="78"/>
        <v>#DIV/0!</v>
      </c>
      <c r="GDG71" s="1159" t="e">
        <f t="shared" si="78"/>
        <v>#DIV/0!</v>
      </c>
      <c r="GDH71" s="1159" t="e">
        <f t="shared" si="78"/>
        <v>#DIV/0!</v>
      </c>
      <c r="GDI71" s="1159" t="e">
        <f t="shared" si="78"/>
        <v>#DIV/0!</v>
      </c>
      <c r="GDJ71" s="1159" t="e">
        <f t="shared" si="78"/>
        <v>#DIV/0!</v>
      </c>
      <c r="GDK71" s="1159" t="e">
        <f t="shared" si="78"/>
        <v>#DIV/0!</v>
      </c>
      <c r="GDL71" s="1159" t="e">
        <f t="shared" si="78"/>
        <v>#DIV/0!</v>
      </c>
      <c r="GDM71" s="1159" t="e">
        <f t="shared" si="78"/>
        <v>#DIV/0!</v>
      </c>
      <c r="GDN71" s="1159" t="e">
        <f t="shared" si="78"/>
        <v>#DIV/0!</v>
      </c>
      <c r="GDO71" s="1159" t="e">
        <f t="shared" si="78"/>
        <v>#DIV/0!</v>
      </c>
      <c r="GDP71" s="1159" t="e">
        <f t="shared" si="78"/>
        <v>#DIV/0!</v>
      </c>
      <c r="GDQ71" s="1159" t="e">
        <f t="shared" si="78"/>
        <v>#DIV/0!</v>
      </c>
      <c r="GDR71" s="1159" t="e">
        <f t="shared" si="78"/>
        <v>#DIV/0!</v>
      </c>
      <c r="GDS71" s="1159" t="e">
        <f t="shared" si="78"/>
        <v>#DIV/0!</v>
      </c>
      <c r="GDT71" s="1159" t="e">
        <f t="shared" si="78"/>
        <v>#DIV/0!</v>
      </c>
      <c r="GDU71" s="1159" t="e">
        <f t="shared" si="78"/>
        <v>#DIV/0!</v>
      </c>
      <c r="GDV71" s="1159" t="e">
        <f t="shared" si="78"/>
        <v>#DIV/0!</v>
      </c>
      <c r="GDW71" s="1159" t="e">
        <f t="shared" si="78"/>
        <v>#DIV/0!</v>
      </c>
      <c r="GDX71" s="1159" t="e">
        <f t="shared" si="78"/>
        <v>#DIV/0!</v>
      </c>
      <c r="GDY71" s="1159" t="e">
        <f t="shared" si="78"/>
        <v>#DIV/0!</v>
      </c>
      <c r="GDZ71" s="1159" t="e">
        <f t="shared" si="78"/>
        <v>#DIV/0!</v>
      </c>
      <c r="GEA71" s="1159" t="e">
        <f t="shared" si="78"/>
        <v>#DIV/0!</v>
      </c>
      <c r="GEB71" s="1159" t="e">
        <f t="shared" si="78"/>
        <v>#DIV/0!</v>
      </c>
      <c r="GEC71" s="1159" t="e">
        <f t="shared" si="78"/>
        <v>#DIV/0!</v>
      </c>
      <c r="GED71" s="1159" t="e">
        <f t="shared" si="78"/>
        <v>#DIV/0!</v>
      </c>
      <c r="GEE71" s="1159" t="e">
        <f t="shared" si="78"/>
        <v>#DIV/0!</v>
      </c>
      <c r="GEF71" s="1159" t="e">
        <f t="shared" si="78"/>
        <v>#DIV/0!</v>
      </c>
      <c r="GEG71" s="1159" t="e">
        <f t="shared" si="78"/>
        <v>#DIV/0!</v>
      </c>
      <c r="GEH71" s="1159" t="e">
        <f t="shared" ref="GEH71:GGS71" si="79">((GEH6+GEH12+GEH13+GEH14+GEH15)*860+GEH16*GEH55+GEH17*GEH56+GEH7*GEH49+GEH8*GEH50+GEH9*GEH51+GEH10*GEH52+GEH11*GEH53)/(SUM(GEH6:GEH17))</f>
        <v>#DIV/0!</v>
      </c>
      <c r="GEI71" s="1159" t="e">
        <f t="shared" si="79"/>
        <v>#DIV/0!</v>
      </c>
      <c r="GEJ71" s="1159" t="e">
        <f t="shared" si="79"/>
        <v>#DIV/0!</v>
      </c>
      <c r="GEK71" s="1159" t="e">
        <f t="shared" si="79"/>
        <v>#DIV/0!</v>
      </c>
      <c r="GEL71" s="1159" t="e">
        <f t="shared" si="79"/>
        <v>#DIV/0!</v>
      </c>
      <c r="GEM71" s="1159" t="e">
        <f t="shared" si="79"/>
        <v>#DIV/0!</v>
      </c>
      <c r="GEN71" s="1159" t="e">
        <f t="shared" si="79"/>
        <v>#DIV/0!</v>
      </c>
      <c r="GEO71" s="1159" t="e">
        <f t="shared" si="79"/>
        <v>#DIV/0!</v>
      </c>
      <c r="GEP71" s="1159" t="e">
        <f t="shared" si="79"/>
        <v>#DIV/0!</v>
      </c>
      <c r="GEQ71" s="1159" t="e">
        <f t="shared" si="79"/>
        <v>#DIV/0!</v>
      </c>
      <c r="GER71" s="1159" t="e">
        <f t="shared" si="79"/>
        <v>#DIV/0!</v>
      </c>
      <c r="GES71" s="1159" t="e">
        <f t="shared" si="79"/>
        <v>#DIV/0!</v>
      </c>
      <c r="GET71" s="1159" t="e">
        <f t="shared" si="79"/>
        <v>#DIV/0!</v>
      </c>
      <c r="GEU71" s="1159" t="e">
        <f t="shared" si="79"/>
        <v>#DIV/0!</v>
      </c>
      <c r="GEV71" s="1159" t="e">
        <f t="shared" si="79"/>
        <v>#DIV/0!</v>
      </c>
      <c r="GEW71" s="1159" t="e">
        <f t="shared" si="79"/>
        <v>#DIV/0!</v>
      </c>
      <c r="GEX71" s="1159" t="e">
        <f t="shared" si="79"/>
        <v>#DIV/0!</v>
      </c>
      <c r="GEY71" s="1159" t="e">
        <f t="shared" si="79"/>
        <v>#DIV/0!</v>
      </c>
      <c r="GEZ71" s="1159" t="e">
        <f t="shared" si="79"/>
        <v>#DIV/0!</v>
      </c>
      <c r="GFA71" s="1159" t="e">
        <f t="shared" si="79"/>
        <v>#DIV/0!</v>
      </c>
      <c r="GFB71" s="1159" t="e">
        <f t="shared" si="79"/>
        <v>#DIV/0!</v>
      </c>
      <c r="GFC71" s="1159" t="e">
        <f t="shared" si="79"/>
        <v>#DIV/0!</v>
      </c>
      <c r="GFD71" s="1159" t="e">
        <f t="shared" si="79"/>
        <v>#DIV/0!</v>
      </c>
      <c r="GFE71" s="1159" t="e">
        <f t="shared" si="79"/>
        <v>#DIV/0!</v>
      </c>
      <c r="GFF71" s="1159" t="e">
        <f t="shared" si="79"/>
        <v>#DIV/0!</v>
      </c>
      <c r="GFG71" s="1159" t="e">
        <f t="shared" si="79"/>
        <v>#DIV/0!</v>
      </c>
      <c r="GFH71" s="1159" t="e">
        <f t="shared" si="79"/>
        <v>#DIV/0!</v>
      </c>
      <c r="GFI71" s="1159" t="e">
        <f t="shared" si="79"/>
        <v>#DIV/0!</v>
      </c>
      <c r="GFJ71" s="1159" t="e">
        <f t="shared" si="79"/>
        <v>#DIV/0!</v>
      </c>
      <c r="GFK71" s="1159" t="e">
        <f t="shared" si="79"/>
        <v>#DIV/0!</v>
      </c>
      <c r="GFL71" s="1159" t="e">
        <f t="shared" si="79"/>
        <v>#DIV/0!</v>
      </c>
      <c r="GFM71" s="1159" t="e">
        <f t="shared" si="79"/>
        <v>#DIV/0!</v>
      </c>
      <c r="GFN71" s="1159" t="e">
        <f t="shared" si="79"/>
        <v>#DIV/0!</v>
      </c>
      <c r="GFO71" s="1159" t="e">
        <f t="shared" si="79"/>
        <v>#DIV/0!</v>
      </c>
      <c r="GFP71" s="1159" t="e">
        <f t="shared" si="79"/>
        <v>#DIV/0!</v>
      </c>
      <c r="GFQ71" s="1159" t="e">
        <f t="shared" si="79"/>
        <v>#DIV/0!</v>
      </c>
      <c r="GFR71" s="1159" t="e">
        <f t="shared" si="79"/>
        <v>#DIV/0!</v>
      </c>
      <c r="GFS71" s="1159" t="e">
        <f t="shared" si="79"/>
        <v>#DIV/0!</v>
      </c>
      <c r="GFT71" s="1159" t="e">
        <f t="shared" si="79"/>
        <v>#DIV/0!</v>
      </c>
      <c r="GFU71" s="1159" t="e">
        <f t="shared" si="79"/>
        <v>#DIV/0!</v>
      </c>
      <c r="GFV71" s="1159" t="e">
        <f t="shared" si="79"/>
        <v>#DIV/0!</v>
      </c>
      <c r="GFW71" s="1159" t="e">
        <f t="shared" si="79"/>
        <v>#DIV/0!</v>
      </c>
      <c r="GFX71" s="1159" t="e">
        <f t="shared" si="79"/>
        <v>#DIV/0!</v>
      </c>
      <c r="GFY71" s="1159" t="e">
        <f t="shared" si="79"/>
        <v>#DIV/0!</v>
      </c>
      <c r="GFZ71" s="1159" t="e">
        <f t="shared" si="79"/>
        <v>#DIV/0!</v>
      </c>
      <c r="GGA71" s="1159" t="e">
        <f t="shared" si="79"/>
        <v>#DIV/0!</v>
      </c>
      <c r="GGB71" s="1159" t="e">
        <f t="shared" si="79"/>
        <v>#DIV/0!</v>
      </c>
      <c r="GGC71" s="1159" t="e">
        <f t="shared" si="79"/>
        <v>#DIV/0!</v>
      </c>
      <c r="GGD71" s="1159" t="e">
        <f t="shared" si="79"/>
        <v>#DIV/0!</v>
      </c>
      <c r="GGE71" s="1159" t="e">
        <f t="shared" si="79"/>
        <v>#DIV/0!</v>
      </c>
      <c r="GGF71" s="1159" t="e">
        <f t="shared" si="79"/>
        <v>#DIV/0!</v>
      </c>
      <c r="GGG71" s="1159" t="e">
        <f t="shared" si="79"/>
        <v>#DIV/0!</v>
      </c>
      <c r="GGH71" s="1159" t="e">
        <f t="shared" si="79"/>
        <v>#DIV/0!</v>
      </c>
      <c r="GGI71" s="1159" t="e">
        <f t="shared" si="79"/>
        <v>#DIV/0!</v>
      </c>
      <c r="GGJ71" s="1159" t="e">
        <f t="shared" si="79"/>
        <v>#DIV/0!</v>
      </c>
      <c r="GGK71" s="1159" t="e">
        <f t="shared" si="79"/>
        <v>#DIV/0!</v>
      </c>
      <c r="GGL71" s="1159" t="e">
        <f t="shared" si="79"/>
        <v>#DIV/0!</v>
      </c>
      <c r="GGM71" s="1159" t="e">
        <f t="shared" si="79"/>
        <v>#DIV/0!</v>
      </c>
      <c r="GGN71" s="1159" t="e">
        <f t="shared" si="79"/>
        <v>#DIV/0!</v>
      </c>
      <c r="GGO71" s="1159" t="e">
        <f t="shared" si="79"/>
        <v>#DIV/0!</v>
      </c>
      <c r="GGP71" s="1159" t="e">
        <f t="shared" si="79"/>
        <v>#DIV/0!</v>
      </c>
      <c r="GGQ71" s="1159" t="e">
        <f t="shared" si="79"/>
        <v>#DIV/0!</v>
      </c>
      <c r="GGR71" s="1159" t="e">
        <f t="shared" si="79"/>
        <v>#DIV/0!</v>
      </c>
      <c r="GGS71" s="1159" t="e">
        <f t="shared" si="79"/>
        <v>#DIV/0!</v>
      </c>
      <c r="GGT71" s="1159" t="e">
        <f t="shared" ref="GGT71:GJE71" si="80">((GGT6+GGT12+GGT13+GGT14+GGT15)*860+GGT16*GGT55+GGT17*GGT56+GGT7*GGT49+GGT8*GGT50+GGT9*GGT51+GGT10*GGT52+GGT11*GGT53)/(SUM(GGT6:GGT17))</f>
        <v>#DIV/0!</v>
      </c>
      <c r="GGU71" s="1159" t="e">
        <f t="shared" si="80"/>
        <v>#DIV/0!</v>
      </c>
      <c r="GGV71" s="1159" t="e">
        <f t="shared" si="80"/>
        <v>#DIV/0!</v>
      </c>
      <c r="GGW71" s="1159" t="e">
        <f t="shared" si="80"/>
        <v>#DIV/0!</v>
      </c>
      <c r="GGX71" s="1159" t="e">
        <f t="shared" si="80"/>
        <v>#DIV/0!</v>
      </c>
      <c r="GGY71" s="1159" t="e">
        <f t="shared" si="80"/>
        <v>#DIV/0!</v>
      </c>
      <c r="GGZ71" s="1159" t="e">
        <f t="shared" si="80"/>
        <v>#DIV/0!</v>
      </c>
      <c r="GHA71" s="1159" t="e">
        <f t="shared" si="80"/>
        <v>#DIV/0!</v>
      </c>
      <c r="GHB71" s="1159" t="e">
        <f t="shared" si="80"/>
        <v>#DIV/0!</v>
      </c>
      <c r="GHC71" s="1159" t="e">
        <f t="shared" si="80"/>
        <v>#DIV/0!</v>
      </c>
      <c r="GHD71" s="1159" t="e">
        <f t="shared" si="80"/>
        <v>#DIV/0!</v>
      </c>
      <c r="GHE71" s="1159" t="e">
        <f t="shared" si="80"/>
        <v>#DIV/0!</v>
      </c>
      <c r="GHF71" s="1159" t="e">
        <f t="shared" si="80"/>
        <v>#DIV/0!</v>
      </c>
      <c r="GHG71" s="1159" t="e">
        <f t="shared" si="80"/>
        <v>#DIV/0!</v>
      </c>
      <c r="GHH71" s="1159" t="e">
        <f t="shared" si="80"/>
        <v>#DIV/0!</v>
      </c>
      <c r="GHI71" s="1159" t="e">
        <f t="shared" si="80"/>
        <v>#DIV/0!</v>
      </c>
      <c r="GHJ71" s="1159" t="e">
        <f t="shared" si="80"/>
        <v>#DIV/0!</v>
      </c>
      <c r="GHK71" s="1159" t="e">
        <f t="shared" si="80"/>
        <v>#DIV/0!</v>
      </c>
      <c r="GHL71" s="1159" t="e">
        <f t="shared" si="80"/>
        <v>#DIV/0!</v>
      </c>
      <c r="GHM71" s="1159" t="e">
        <f t="shared" si="80"/>
        <v>#DIV/0!</v>
      </c>
      <c r="GHN71" s="1159" t="e">
        <f t="shared" si="80"/>
        <v>#DIV/0!</v>
      </c>
      <c r="GHO71" s="1159" t="e">
        <f t="shared" si="80"/>
        <v>#DIV/0!</v>
      </c>
      <c r="GHP71" s="1159" t="e">
        <f t="shared" si="80"/>
        <v>#DIV/0!</v>
      </c>
      <c r="GHQ71" s="1159" t="e">
        <f t="shared" si="80"/>
        <v>#DIV/0!</v>
      </c>
      <c r="GHR71" s="1159" t="e">
        <f t="shared" si="80"/>
        <v>#DIV/0!</v>
      </c>
      <c r="GHS71" s="1159" t="e">
        <f t="shared" si="80"/>
        <v>#DIV/0!</v>
      </c>
      <c r="GHT71" s="1159" t="e">
        <f t="shared" si="80"/>
        <v>#DIV/0!</v>
      </c>
      <c r="GHU71" s="1159" t="e">
        <f t="shared" si="80"/>
        <v>#DIV/0!</v>
      </c>
      <c r="GHV71" s="1159" t="e">
        <f t="shared" si="80"/>
        <v>#DIV/0!</v>
      </c>
      <c r="GHW71" s="1159" t="e">
        <f t="shared" si="80"/>
        <v>#DIV/0!</v>
      </c>
      <c r="GHX71" s="1159" t="e">
        <f t="shared" si="80"/>
        <v>#DIV/0!</v>
      </c>
      <c r="GHY71" s="1159" t="e">
        <f t="shared" si="80"/>
        <v>#DIV/0!</v>
      </c>
      <c r="GHZ71" s="1159" t="e">
        <f t="shared" si="80"/>
        <v>#DIV/0!</v>
      </c>
      <c r="GIA71" s="1159" t="e">
        <f t="shared" si="80"/>
        <v>#DIV/0!</v>
      </c>
      <c r="GIB71" s="1159" t="e">
        <f t="shared" si="80"/>
        <v>#DIV/0!</v>
      </c>
      <c r="GIC71" s="1159" t="e">
        <f t="shared" si="80"/>
        <v>#DIV/0!</v>
      </c>
      <c r="GID71" s="1159" t="e">
        <f t="shared" si="80"/>
        <v>#DIV/0!</v>
      </c>
      <c r="GIE71" s="1159" t="e">
        <f t="shared" si="80"/>
        <v>#DIV/0!</v>
      </c>
      <c r="GIF71" s="1159" t="e">
        <f t="shared" si="80"/>
        <v>#DIV/0!</v>
      </c>
      <c r="GIG71" s="1159" t="e">
        <f t="shared" si="80"/>
        <v>#DIV/0!</v>
      </c>
      <c r="GIH71" s="1159" t="e">
        <f t="shared" si="80"/>
        <v>#DIV/0!</v>
      </c>
      <c r="GII71" s="1159" t="e">
        <f t="shared" si="80"/>
        <v>#DIV/0!</v>
      </c>
      <c r="GIJ71" s="1159" t="e">
        <f t="shared" si="80"/>
        <v>#DIV/0!</v>
      </c>
      <c r="GIK71" s="1159" t="e">
        <f t="shared" si="80"/>
        <v>#DIV/0!</v>
      </c>
      <c r="GIL71" s="1159" t="e">
        <f t="shared" si="80"/>
        <v>#DIV/0!</v>
      </c>
      <c r="GIM71" s="1159" t="e">
        <f t="shared" si="80"/>
        <v>#DIV/0!</v>
      </c>
      <c r="GIN71" s="1159" t="e">
        <f t="shared" si="80"/>
        <v>#DIV/0!</v>
      </c>
      <c r="GIO71" s="1159" t="e">
        <f t="shared" si="80"/>
        <v>#DIV/0!</v>
      </c>
      <c r="GIP71" s="1159" t="e">
        <f t="shared" si="80"/>
        <v>#DIV/0!</v>
      </c>
      <c r="GIQ71" s="1159" t="e">
        <f t="shared" si="80"/>
        <v>#DIV/0!</v>
      </c>
      <c r="GIR71" s="1159" t="e">
        <f t="shared" si="80"/>
        <v>#DIV/0!</v>
      </c>
      <c r="GIS71" s="1159" t="e">
        <f t="shared" si="80"/>
        <v>#DIV/0!</v>
      </c>
      <c r="GIT71" s="1159" t="e">
        <f t="shared" si="80"/>
        <v>#DIV/0!</v>
      </c>
      <c r="GIU71" s="1159" t="e">
        <f t="shared" si="80"/>
        <v>#DIV/0!</v>
      </c>
      <c r="GIV71" s="1159" t="e">
        <f t="shared" si="80"/>
        <v>#DIV/0!</v>
      </c>
      <c r="GIW71" s="1159" t="e">
        <f t="shared" si="80"/>
        <v>#DIV/0!</v>
      </c>
      <c r="GIX71" s="1159" t="e">
        <f t="shared" si="80"/>
        <v>#DIV/0!</v>
      </c>
      <c r="GIY71" s="1159" t="e">
        <f t="shared" si="80"/>
        <v>#DIV/0!</v>
      </c>
      <c r="GIZ71" s="1159" t="e">
        <f t="shared" si="80"/>
        <v>#DIV/0!</v>
      </c>
      <c r="GJA71" s="1159" t="e">
        <f t="shared" si="80"/>
        <v>#DIV/0!</v>
      </c>
      <c r="GJB71" s="1159" t="e">
        <f t="shared" si="80"/>
        <v>#DIV/0!</v>
      </c>
      <c r="GJC71" s="1159" t="e">
        <f t="shared" si="80"/>
        <v>#DIV/0!</v>
      </c>
      <c r="GJD71" s="1159" t="e">
        <f t="shared" si="80"/>
        <v>#DIV/0!</v>
      </c>
      <c r="GJE71" s="1159" t="e">
        <f t="shared" si="80"/>
        <v>#DIV/0!</v>
      </c>
      <c r="GJF71" s="1159" t="e">
        <f t="shared" ref="GJF71:GLQ71" si="81">((GJF6+GJF12+GJF13+GJF14+GJF15)*860+GJF16*GJF55+GJF17*GJF56+GJF7*GJF49+GJF8*GJF50+GJF9*GJF51+GJF10*GJF52+GJF11*GJF53)/(SUM(GJF6:GJF17))</f>
        <v>#DIV/0!</v>
      </c>
      <c r="GJG71" s="1159" t="e">
        <f t="shared" si="81"/>
        <v>#DIV/0!</v>
      </c>
      <c r="GJH71" s="1159" t="e">
        <f t="shared" si="81"/>
        <v>#DIV/0!</v>
      </c>
      <c r="GJI71" s="1159" t="e">
        <f t="shared" si="81"/>
        <v>#DIV/0!</v>
      </c>
      <c r="GJJ71" s="1159" t="e">
        <f t="shared" si="81"/>
        <v>#DIV/0!</v>
      </c>
      <c r="GJK71" s="1159" t="e">
        <f t="shared" si="81"/>
        <v>#DIV/0!</v>
      </c>
      <c r="GJL71" s="1159" t="e">
        <f t="shared" si="81"/>
        <v>#DIV/0!</v>
      </c>
      <c r="GJM71" s="1159" t="e">
        <f t="shared" si="81"/>
        <v>#DIV/0!</v>
      </c>
      <c r="GJN71" s="1159" t="e">
        <f t="shared" si="81"/>
        <v>#DIV/0!</v>
      </c>
      <c r="GJO71" s="1159" t="e">
        <f t="shared" si="81"/>
        <v>#DIV/0!</v>
      </c>
      <c r="GJP71" s="1159" t="e">
        <f t="shared" si="81"/>
        <v>#DIV/0!</v>
      </c>
      <c r="GJQ71" s="1159" t="e">
        <f t="shared" si="81"/>
        <v>#DIV/0!</v>
      </c>
      <c r="GJR71" s="1159" t="e">
        <f t="shared" si="81"/>
        <v>#DIV/0!</v>
      </c>
      <c r="GJS71" s="1159" t="e">
        <f t="shared" si="81"/>
        <v>#DIV/0!</v>
      </c>
      <c r="GJT71" s="1159" t="e">
        <f t="shared" si="81"/>
        <v>#DIV/0!</v>
      </c>
      <c r="GJU71" s="1159" t="e">
        <f t="shared" si="81"/>
        <v>#DIV/0!</v>
      </c>
      <c r="GJV71" s="1159" t="e">
        <f t="shared" si="81"/>
        <v>#DIV/0!</v>
      </c>
      <c r="GJW71" s="1159" t="e">
        <f t="shared" si="81"/>
        <v>#DIV/0!</v>
      </c>
      <c r="GJX71" s="1159" t="e">
        <f t="shared" si="81"/>
        <v>#DIV/0!</v>
      </c>
      <c r="GJY71" s="1159" t="e">
        <f t="shared" si="81"/>
        <v>#DIV/0!</v>
      </c>
      <c r="GJZ71" s="1159" t="e">
        <f t="shared" si="81"/>
        <v>#DIV/0!</v>
      </c>
      <c r="GKA71" s="1159" t="e">
        <f t="shared" si="81"/>
        <v>#DIV/0!</v>
      </c>
      <c r="GKB71" s="1159" t="e">
        <f t="shared" si="81"/>
        <v>#DIV/0!</v>
      </c>
      <c r="GKC71" s="1159" t="e">
        <f t="shared" si="81"/>
        <v>#DIV/0!</v>
      </c>
      <c r="GKD71" s="1159" t="e">
        <f t="shared" si="81"/>
        <v>#DIV/0!</v>
      </c>
      <c r="GKE71" s="1159" t="e">
        <f t="shared" si="81"/>
        <v>#DIV/0!</v>
      </c>
      <c r="GKF71" s="1159" t="e">
        <f t="shared" si="81"/>
        <v>#DIV/0!</v>
      </c>
      <c r="GKG71" s="1159" t="e">
        <f t="shared" si="81"/>
        <v>#DIV/0!</v>
      </c>
      <c r="GKH71" s="1159" t="e">
        <f t="shared" si="81"/>
        <v>#DIV/0!</v>
      </c>
      <c r="GKI71" s="1159" t="e">
        <f t="shared" si="81"/>
        <v>#DIV/0!</v>
      </c>
      <c r="GKJ71" s="1159" t="e">
        <f t="shared" si="81"/>
        <v>#DIV/0!</v>
      </c>
      <c r="GKK71" s="1159" t="e">
        <f t="shared" si="81"/>
        <v>#DIV/0!</v>
      </c>
      <c r="GKL71" s="1159" t="e">
        <f t="shared" si="81"/>
        <v>#DIV/0!</v>
      </c>
      <c r="GKM71" s="1159" t="e">
        <f t="shared" si="81"/>
        <v>#DIV/0!</v>
      </c>
      <c r="GKN71" s="1159" t="e">
        <f t="shared" si="81"/>
        <v>#DIV/0!</v>
      </c>
      <c r="GKO71" s="1159" t="e">
        <f t="shared" si="81"/>
        <v>#DIV/0!</v>
      </c>
      <c r="GKP71" s="1159" t="e">
        <f t="shared" si="81"/>
        <v>#DIV/0!</v>
      </c>
      <c r="GKQ71" s="1159" t="e">
        <f t="shared" si="81"/>
        <v>#DIV/0!</v>
      </c>
      <c r="GKR71" s="1159" t="e">
        <f t="shared" si="81"/>
        <v>#DIV/0!</v>
      </c>
      <c r="GKS71" s="1159" t="e">
        <f t="shared" si="81"/>
        <v>#DIV/0!</v>
      </c>
      <c r="GKT71" s="1159" t="e">
        <f t="shared" si="81"/>
        <v>#DIV/0!</v>
      </c>
      <c r="GKU71" s="1159" t="e">
        <f t="shared" si="81"/>
        <v>#DIV/0!</v>
      </c>
      <c r="GKV71" s="1159" t="e">
        <f t="shared" si="81"/>
        <v>#DIV/0!</v>
      </c>
      <c r="GKW71" s="1159" t="e">
        <f t="shared" si="81"/>
        <v>#DIV/0!</v>
      </c>
      <c r="GKX71" s="1159" t="e">
        <f t="shared" si="81"/>
        <v>#DIV/0!</v>
      </c>
      <c r="GKY71" s="1159" t="e">
        <f t="shared" si="81"/>
        <v>#DIV/0!</v>
      </c>
      <c r="GKZ71" s="1159" t="e">
        <f t="shared" si="81"/>
        <v>#DIV/0!</v>
      </c>
      <c r="GLA71" s="1159" t="e">
        <f t="shared" si="81"/>
        <v>#DIV/0!</v>
      </c>
      <c r="GLB71" s="1159" t="e">
        <f t="shared" si="81"/>
        <v>#DIV/0!</v>
      </c>
      <c r="GLC71" s="1159" t="e">
        <f t="shared" si="81"/>
        <v>#DIV/0!</v>
      </c>
      <c r="GLD71" s="1159" t="e">
        <f t="shared" si="81"/>
        <v>#DIV/0!</v>
      </c>
      <c r="GLE71" s="1159" t="e">
        <f t="shared" si="81"/>
        <v>#DIV/0!</v>
      </c>
      <c r="GLF71" s="1159" t="e">
        <f t="shared" si="81"/>
        <v>#DIV/0!</v>
      </c>
      <c r="GLG71" s="1159" t="e">
        <f t="shared" si="81"/>
        <v>#DIV/0!</v>
      </c>
      <c r="GLH71" s="1159" t="e">
        <f t="shared" si="81"/>
        <v>#DIV/0!</v>
      </c>
      <c r="GLI71" s="1159" t="e">
        <f t="shared" si="81"/>
        <v>#DIV/0!</v>
      </c>
      <c r="GLJ71" s="1159" t="e">
        <f t="shared" si="81"/>
        <v>#DIV/0!</v>
      </c>
      <c r="GLK71" s="1159" t="e">
        <f t="shared" si="81"/>
        <v>#DIV/0!</v>
      </c>
      <c r="GLL71" s="1159" t="e">
        <f t="shared" si="81"/>
        <v>#DIV/0!</v>
      </c>
      <c r="GLM71" s="1159" t="e">
        <f t="shared" si="81"/>
        <v>#DIV/0!</v>
      </c>
      <c r="GLN71" s="1159" t="e">
        <f t="shared" si="81"/>
        <v>#DIV/0!</v>
      </c>
      <c r="GLO71" s="1159" t="e">
        <f t="shared" si="81"/>
        <v>#DIV/0!</v>
      </c>
      <c r="GLP71" s="1159" t="e">
        <f t="shared" si="81"/>
        <v>#DIV/0!</v>
      </c>
      <c r="GLQ71" s="1159" t="e">
        <f t="shared" si="81"/>
        <v>#DIV/0!</v>
      </c>
      <c r="GLR71" s="1159" t="e">
        <f t="shared" ref="GLR71:GOC71" si="82">((GLR6+GLR12+GLR13+GLR14+GLR15)*860+GLR16*GLR55+GLR17*GLR56+GLR7*GLR49+GLR8*GLR50+GLR9*GLR51+GLR10*GLR52+GLR11*GLR53)/(SUM(GLR6:GLR17))</f>
        <v>#DIV/0!</v>
      </c>
      <c r="GLS71" s="1159" t="e">
        <f t="shared" si="82"/>
        <v>#DIV/0!</v>
      </c>
      <c r="GLT71" s="1159" t="e">
        <f t="shared" si="82"/>
        <v>#DIV/0!</v>
      </c>
      <c r="GLU71" s="1159" t="e">
        <f t="shared" si="82"/>
        <v>#DIV/0!</v>
      </c>
      <c r="GLV71" s="1159" t="e">
        <f t="shared" si="82"/>
        <v>#DIV/0!</v>
      </c>
      <c r="GLW71" s="1159" t="e">
        <f t="shared" si="82"/>
        <v>#DIV/0!</v>
      </c>
      <c r="GLX71" s="1159" t="e">
        <f t="shared" si="82"/>
        <v>#DIV/0!</v>
      </c>
      <c r="GLY71" s="1159" t="e">
        <f t="shared" si="82"/>
        <v>#DIV/0!</v>
      </c>
      <c r="GLZ71" s="1159" t="e">
        <f t="shared" si="82"/>
        <v>#DIV/0!</v>
      </c>
      <c r="GMA71" s="1159" t="e">
        <f t="shared" si="82"/>
        <v>#DIV/0!</v>
      </c>
      <c r="GMB71" s="1159" t="e">
        <f t="shared" si="82"/>
        <v>#DIV/0!</v>
      </c>
      <c r="GMC71" s="1159" t="e">
        <f t="shared" si="82"/>
        <v>#DIV/0!</v>
      </c>
      <c r="GMD71" s="1159" t="e">
        <f t="shared" si="82"/>
        <v>#DIV/0!</v>
      </c>
      <c r="GME71" s="1159" t="e">
        <f t="shared" si="82"/>
        <v>#DIV/0!</v>
      </c>
      <c r="GMF71" s="1159" t="e">
        <f t="shared" si="82"/>
        <v>#DIV/0!</v>
      </c>
      <c r="GMG71" s="1159" t="e">
        <f t="shared" si="82"/>
        <v>#DIV/0!</v>
      </c>
      <c r="GMH71" s="1159" t="e">
        <f t="shared" si="82"/>
        <v>#DIV/0!</v>
      </c>
      <c r="GMI71" s="1159" t="e">
        <f t="shared" si="82"/>
        <v>#DIV/0!</v>
      </c>
      <c r="GMJ71" s="1159" t="e">
        <f t="shared" si="82"/>
        <v>#DIV/0!</v>
      </c>
      <c r="GMK71" s="1159" t="e">
        <f t="shared" si="82"/>
        <v>#DIV/0!</v>
      </c>
      <c r="GML71" s="1159" t="e">
        <f t="shared" si="82"/>
        <v>#DIV/0!</v>
      </c>
      <c r="GMM71" s="1159" t="e">
        <f t="shared" si="82"/>
        <v>#DIV/0!</v>
      </c>
      <c r="GMN71" s="1159" t="e">
        <f t="shared" si="82"/>
        <v>#DIV/0!</v>
      </c>
      <c r="GMO71" s="1159" t="e">
        <f t="shared" si="82"/>
        <v>#DIV/0!</v>
      </c>
      <c r="GMP71" s="1159" t="e">
        <f t="shared" si="82"/>
        <v>#DIV/0!</v>
      </c>
      <c r="GMQ71" s="1159" t="e">
        <f t="shared" si="82"/>
        <v>#DIV/0!</v>
      </c>
      <c r="GMR71" s="1159" t="e">
        <f t="shared" si="82"/>
        <v>#DIV/0!</v>
      </c>
      <c r="GMS71" s="1159" t="e">
        <f t="shared" si="82"/>
        <v>#DIV/0!</v>
      </c>
      <c r="GMT71" s="1159" t="e">
        <f t="shared" si="82"/>
        <v>#DIV/0!</v>
      </c>
      <c r="GMU71" s="1159" t="e">
        <f t="shared" si="82"/>
        <v>#DIV/0!</v>
      </c>
      <c r="GMV71" s="1159" t="e">
        <f t="shared" si="82"/>
        <v>#DIV/0!</v>
      </c>
      <c r="GMW71" s="1159" t="e">
        <f t="shared" si="82"/>
        <v>#DIV/0!</v>
      </c>
      <c r="GMX71" s="1159" t="e">
        <f t="shared" si="82"/>
        <v>#DIV/0!</v>
      </c>
      <c r="GMY71" s="1159" t="e">
        <f t="shared" si="82"/>
        <v>#DIV/0!</v>
      </c>
      <c r="GMZ71" s="1159" t="e">
        <f t="shared" si="82"/>
        <v>#DIV/0!</v>
      </c>
      <c r="GNA71" s="1159" t="e">
        <f t="shared" si="82"/>
        <v>#DIV/0!</v>
      </c>
      <c r="GNB71" s="1159" t="e">
        <f t="shared" si="82"/>
        <v>#DIV/0!</v>
      </c>
      <c r="GNC71" s="1159" t="e">
        <f t="shared" si="82"/>
        <v>#DIV/0!</v>
      </c>
      <c r="GND71" s="1159" t="e">
        <f t="shared" si="82"/>
        <v>#DIV/0!</v>
      </c>
      <c r="GNE71" s="1159" t="e">
        <f t="shared" si="82"/>
        <v>#DIV/0!</v>
      </c>
      <c r="GNF71" s="1159" t="e">
        <f t="shared" si="82"/>
        <v>#DIV/0!</v>
      </c>
      <c r="GNG71" s="1159" t="e">
        <f t="shared" si="82"/>
        <v>#DIV/0!</v>
      </c>
      <c r="GNH71" s="1159" t="e">
        <f t="shared" si="82"/>
        <v>#DIV/0!</v>
      </c>
      <c r="GNI71" s="1159" t="e">
        <f t="shared" si="82"/>
        <v>#DIV/0!</v>
      </c>
      <c r="GNJ71" s="1159" t="e">
        <f t="shared" si="82"/>
        <v>#DIV/0!</v>
      </c>
      <c r="GNK71" s="1159" t="e">
        <f t="shared" si="82"/>
        <v>#DIV/0!</v>
      </c>
      <c r="GNL71" s="1159" t="e">
        <f t="shared" si="82"/>
        <v>#DIV/0!</v>
      </c>
      <c r="GNM71" s="1159" t="e">
        <f t="shared" si="82"/>
        <v>#DIV/0!</v>
      </c>
      <c r="GNN71" s="1159" t="e">
        <f t="shared" si="82"/>
        <v>#DIV/0!</v>
      </c>
      <c r="GNO71" s="1159" t="e">
        <f t="shared" si="82"/>
        <v>#DIV/0!</v>
      </c>
      <c r="GNP71" s="1159" t="e">
        <f t="shared" si="82"/>
        <v>#DIV/0!</v>
      </c>
      <c r="GNQ71" s="1159" t="e">
        <f t="shared" si="82"/>
        <v>#DIV/0!</v>
      </c>
      <c r="GNR71" s="1159" t="e">
        <f t="shared" si="82"/>
        <v>#DIV/0!</v>
      </c>
      <c r="GNS71" s="1159" t="e">
        <f t="shared" si="82"/>
        <v>#DIV/0!</v>
      </c>
      <c r="GNT71" s="1159" t="e">
        <f t="shared" si="82"/>
        <v>#DIV/0!</v>
      </c>
      <c r="GNU71" s="1159" t="e">
        <f t="shared" si="82"/>
        <v>#DIV/0!</v>
      </c>
      <c r="GNV71" s="1159" t="e">
        <f t="shared" si="82"/>
        <v>#DIV/0!</v>
      </c>
      <c r="GNW71" s="1159" t="e">
        <f t="shared" si="82"/>
        <v>#DIV/0!</v>
      </c>
      <c r="GNX71" s="1159" t="e">
        <f t="shared" si="82"/>
        <v>#DIV/0!</v>
      </c>
      <c r="GNY71" s="1159" t="e">
        <f t="shared" si="82"/>
        <v>#DIV/0!</v>
      </c>
      <c r="GNZ71" s="1159" t="e">
        <f t="shared" si="82"/>
        <v>#DIV/0!</v>
      </c>
      <c r="GOA71" s="1159" t="e">
        <f t="shared" si="82"/>
        <v>#DIV/0!</v>
      </c>
      <c r="GOB71" s="1159" t="e">
        <f t="shared" si="82"/>
        <v>#DIV/0!</v>
      </c>
      <c r="GOC71" s="1159" t="e">
        <f t="shared" si="82"/>
        <v>#DIV/0!</v>
      </c>
      <c r="GOD71" s="1159" t="e">
        <f t="shared" ref="GOD71:GQO71" si="83">((GOD6+GOD12+GOD13+GOD14+GOD15)*860+GOD16*GOD55+GOD17*GOD56+GOD7*GOD49+GOD8*GOD50+GOD9*GOD51+GOD10*GOD52+GOD11*GOD53)/(SUM(GOD6:GOD17))</f>
        <v>#DIV/0!</v>
      </c>
      <c r="GOE71" s="1159" t="e">
        <f t="shared" si="83"/>
        <v>#DIV/0!</v>
      </c>
      <c r="GOF71" s="1159" t="e">
        <f t="shared" si="83"/>
        <v>#DIV/0!</v>
      </c>
      <c r="GOG71" s="1159" t="e">
        <f t="shared" si="83"/>
        <v>#DIV/0!</v>
      </c>
      <c r="GOH71" s="1159" t="e">
        <f t="shared" si="83"/>
        <v>#DIV/0!</v>
      </c>
      <c r="GOI71" s="1159" t="e">
        <f t="shared" si="83"/>
        <v>#DIV/0!</v>
      </c>
      <c r="GOJ71" s="1159" t="e">
        <f t="shared" si="83"/>
        <v>#DIV/0!</v>
      </c>
      <c r="GOK71" s="1159" t="e">
        <f t="shared" si="83"/>
        <v>#DIV/0!</v>
      </c>
      <c r="GOL71" s="1159" t="e">
        <f t="shared" si="83"/>
        <v>#DIV/0!</v>
      </c>
      <c r="GOM71" s="1159" t="e">
        <f t="shared" si="83"/>
        <v>#DIV/0!</v>
      </c>
      <c r="GON71" s="1159" t="e">
        <f t="shared" si="83"/>
        <v>#DIV/0!</v>
      </c>
      <c r="GOO71" s="1159" t="e">
        <f t="shared" si="83"/>
        <v>#DIV/0!</v>
      </c>
      <c r="GOP71" s="1159" t="e">
        <f t="shared" si="83"/>
        <v>#DIV/0!</v>
      </c>
      <c r="GOQ71" s="1159" t="e">
        <f t="shared" si="83"/>
        <v>#DIV/0!</v>
      </c>
      <c r="GOR71" s="1159" t="e">
        <f t="shared" si="83"/>
        <v>#DIV/0!</v>
      </c>
      <c r="GOS71" s="1159" t="e">
        <f t="shared" si="83"/>
        <v>#DIV/0!</v>
      </c>
      <c r="GOT71" s="1159" t="e">
        <f t="shared" si="83"/>
        <v>#DIV/0!</v>
      </c>
      <c r="GOU71" s="1159" t="e">
        <f t="shared" si="83"/>
        <v>#DIV/0!</v>
      </c>
      <c r="GOV71" s="1159" t="e">
        <f t="shared" si="83"/>
        <v>#DIV/0!</v>
      </c>
      <c r="GOW71" s="1159" t="e">
        <f t="shared" si="83"/>
        <v>#DIV/0!</v>
      </c>
      <c r="GOX71" s="1159" t="e">
        <f t="shared" si="83"/>
        <v>#DIV/0!</v>
      </c>
      <c r="GOY71" s="1159" t="e">
        <f t="shared" si="83"/>
        <v>#DIV/0!</v>
      </c>
      <c r="GOZ71" s="1159" t="e">
        <f t="shared" si="83"/>
        <v>#DIV/0!</v>
      </c>
      <c r="GPA71" s="1159" t="e">
        <f t="shared" si="83"/>
        <v>#DIV/0!</v>
      </c>
      <c r="GPB71" s="1159" t="e">
        <f t="shared" si="83"/>
        <v>#DIV/0!</v>
      </c>
      <c r="GPC71" s="1159" t="e">
        <f t="shared" si="83"/>
        <v>#DIV/0!</v>
      </c>
      <c r="GPD71" s="1159" t="e">
        <f t="shared" si="83"/>
        <v>#DIV/0!</v>
      </c>
      <c r="GPE71" s="1159" t="e">
        <f t="shared" si="83"/>
        <v>#DIV/0!</v>
      </c>
      <c r="GPF71" s="1159" t="e">
        <f t="shared" si="83"/>
        <v>#DIV/0!</v>
      </c>
      <c r="GPG71" s="1159" t="e">
        <f t="shared" si="83"/>
        <v>#DIV/0!</v>
      </c>
      <c r="GPH71" s="1159" t="e">
        <f t="shared" si="83"/>
        <v>#DIV/0!</v>
      </c>
      <c r="GPI71" s="1159" t="e">
        <f t="shared" si="83"/>
        <v>#DIV/0!</v>
      </c>
      <c r="GPJ71" s="1159" t="e">
        <f t="shared" si="83"/>
        <v>#DIV/0!</v>
      </c>
      <c r="GPK71" s="1159" t="e">
        <f t="shared" si="83"/>
        <v>#DIV/0!</v>
      </c>
      <c r="GPL71" s="1159" t="e">
        <f t="shared" si="83"/>
        <v>#DIV/0!</v>
      </c>
      <c r="GPM71" s="1159" t="e">
        <f t="shared" si="83"/>
        <v>#DIV/0!</v>
      </c>
      <c r="GPN71" s="1159" t="e">
        <f t="shared" si="83"/>
        <v>#DIV/0!</v>
      </c>
      <c r="GPO71" s="1159" t="e">
        <f t="shared" si="83"/>
        <v>#DIV/0!</v>
      </c>
      <c r="GPP71" s="1159" t="e">
        <f t="shared" si="83"/>
        <v>#DIV/0!</v>
      </c>
      <c r="GPQ71" s="1159" t="e">
        <f t="shared" si="83"/>
        <v>#DIV/0!</v>
      </c>
      <c r="GPR71" s="1159" t="e">
        <f t="shared" si="83"/>
        <v>#DIV/0!</v>
      </c>
      <c r="GPS71" s="1159" t="e">
        <f t="shared" si="83"/>
        <v>#DIV/0!</v>
      </c>
      <c r="GPT71" s="1159" t="e">
        <f t="shared" si="83"/>
        <v>#DIV/0!</v>
      </c>
      <c r="GPU71" s="1159" t="e">
        <f t="shared" si="83"/>
        <v>#DIV/0!</v>
      </c>
      <c r="GPV71" s="1159" t="e">
        <f t="shared" si="83"/>
        <v>#DIV/0!</v>
      </c>
      <c r="GPW71" s="1159" t="e">
        <f t="shared" si="83"/>
        <v>#DIV/0!</v>
      </c>
      <c r="GPX71" s="1159" t="e">
        <f t="shared" si="83"/>
        <v>#DIV/0!</v>
      </c>
      <c r="GPY71" s="1159" t="e">
        <f t="shared" si="83"/>
        <v>#DIV/0!</v>
      </c>
      <c r="GPZ71" s="1159" t="e">
        <f t="shared" si="83"/>
        <v>#DIV/0!</v>
      </c>
      <c r="GQA71" s="1159" t="e">
        <f t="shared" si="83"/>
        <v>#DIV/0!</v>
      </c>
      <c r="GQB71" s="1159" t="e">
        <f t="shared" si="83"/>
        <v>#DIV/0!</v>
      </c>
      <c r="GQC71" s="1159" t="e">
        <f t="shared" si="83"/>
        <v>#DIV/0!</v>
      </c>
      <c r="GQD71" s="1159" t="e">
        <f t="shared" si="83"/>
        <v>#DIV/0!</v>
      </c>
      <c r="GQE71" s="1159" t="e">
        <f t="shared" si="83"/>
        <v>#DIV/0!</v>
      </c>
      <c r="GQF71" s="1159" t="e">
        <f t="shared" si="83"/>
        <v>#DIV/0!</v>
      </c>
      <c r="GQG71" s="1159" t="e">
        <f t="shared" si="83"/>
        <v>#DIV/0!</v>
      </c>
      <c r="GQH71" s="1159" t="e">
        <f t="shared" si="83"/>
        <v>#DIV/0!</v>
      </c>
      <c r="GQI71" s="1159" t="e">
        <f t="shared" si="83"/>
        <v>#DIV/0!</v>
      </c>
      <c r="GQJ71" s="1159" t="e">
        <f t="shared" si="83"/>
        <v>#DIV/0!</v>
      </c>
      <c r="GQK71" s="1159" t="e">
        <f t="shared" si="83"/>
        <v>#DIV/0!</v>
      </c>
      <c r="GQL71" s="1159" t="e">
        <f t="shared" si="83"/>
        <v>#DIV/0!</v>
      </c>
      <c r="GQM71" s="1159" t="e">
        <f t="shared" si="83"/>
        <v>#DIV/0!</v>
      </c>
      <c r="GQN71" s="1159" t="e">
        <f t="shared" si="83"/>
        <v>#DIV/0!</v>
      </c>
      <c r="GQO71" s="1159" t="e">
        <f t="shared" si="83"/>
        <v>#DIV/0!</v>
      </c>
      <c r="GQP71" s="1159" t="e">
        <f t="shared" ref="GQP71:GTA71" si="84">((GQP6+GQP12+GQP13+GQP14+GQP15)*860+GQP16*GQP55+GQP17*GQP56+GQP7*GQP49+GQP8*GQP50+GQP9*GQP51+GQP10*GQP52+GQP11*GQP53)/(SUM(GQP6:GQP17))</f>
        <v>#DIV/0!</v>
      </c>
      <c r="GQQ71" s="1159" t="e">
        <f t="shared" si="84"/>
        <v>#DIV/0!</v>
      </c>
      <c r="GQR71" s="1159" t="e">
        <f t="shared" si="84"/>
        <v>#DIV/0!</v>
      </c>
      <c r="GQS71" s="1159" t="e">
        <f t="shared" si="84"/>
        <v>#DIV/0!</v>
      </c>
      <c r="GQT71" s="1159" t="e">
        <f t="shared" si="84"/>
        <v>#DIV/0!</v>
      </c>
      <c r="GQU71" s="1159" t="e">
        <f t="shared" si="84"/>
        <v>#DIV/0!</v>
      </c>
      <c r="GQV71" s="1159" t="e">
        <f t="shared" si="84"/>
        <v>#DIV/0!</v>
      </c>
      <c r="GQW71" s="1159" t="e">
        <f t="shared" si="84"/>
        <v>#DIV/0!</v>
      </c>
      <c r="GQX71" s="1159" t="e">
        <f t="shared" si="84"/>
        <v>#DIV/0!</v>
      </c>
      <c r="GQY71" s="1159" t="e">
        <f t="shared" si="84"/>
        <v>#DIV/0!</v>
      </c>
      <c r="GQZ71" s="1159" t="e">
        <f t="shared" si="84"/>
        <v>#DIV/0!</v>
      </c>
      <c r="GRA71" s="1159" t="e">
        <f t="shared" si="84"/>
        <v>#DIV/0!</v>
      </c>
      <c r="GRB71" s="1159" t="e">
        <f t="shared" si="84"/>
        <v>#DIV/0!</v>
      </c>
      <c r="GRC71" s="1159" t="e">
        <f t="shared" si="84"/>
        <v>#DIV/0!</v>
      </c>
      <c r="GRD71" s="1159" t="e">
        <f t="shared" si="84"/>
        <v>#DIV/0!</v>
      </c>
      <c r="GRE71" s="1159" t="e">
        <f t="shared" si="84"/>
        <v>#DIV/0!</v>
      </c>
      <c r="GRF71" s="1159" t="e">
        <f t="shared" si="84"/>
        <v>#DIV/0!</v>
      </c>
      <c r="GRG71" s="1159" t="e">
        <f t="shared" si="84"/>
        <v>#DIV/0!</v>
      </c>
      <c r="GRH71" s="1159" t="e">
        <f t="shared" si="84"/>
        <v>#DIV/0!</v>
      </c>
      <c r="GRI71" s="1159" t="e">
        <f t="shared" si="84"/>
        <v>#DIV/0!</v>
      </c>
      <c r="GRJ71" s="1159" t="e">
        <f t="shared" si="84"/>
        <v>#DIV/0!</v>
      </c>
      <c r="GRK71" s="1159" t="e">
        <f t="shared" si="84"/>
        <v>#DIV/0!</v>
      </c>
      <c r="GRL71" s="1159" t="e">
        <f t="shared" si="84"/>
        <v>#DIV/0!</v>
      </c>
      <c r="GRM71" s="1159" t="e">
        <f t="shared" si="84"/>
        <v>#DIV/0!</v>
      </c>
      <c r="GRN71" s="1159" t="e">
        <f t="shared" si="84"/>
        <v>#DIV/0!</v>
      </c>
      <c r="GRO71" s="1159" t="e">
        <f t="shared" si="84"/>
        <v>#DIV/0!</v>
      </c>
      <c r="GRP71" s="1159" t="e">
        <f t="shared" si="84"/>
        <v>#DIV/0!</v>
      </c>
      <c r="GRQ71" s="1159" t="e">
        <f t="shared" si="84"/>
        <v>#DIV/0!</v>
      </c>
      <c r="GRR71" s="1159" t="e">
        <f t="shared" si="84"/>
        <v>#DIV/0!</v>
      </c>
      <c r="GRS71" s="1159" t="e">
        <f t="shared" si="84"/>
        <v>#DIV/0!</v>
      </c>
      <c r="GRT71" s="1159" t="e">
        <f t="shared" si="84"/>
        <v>#DIV/0!</v>
      </c>
      <c r="GRU71" s="1159" t="e">
        <f t="shared" si="84"/>
        <v>#DIV/0!</v>
      </c>
      <c r="GRV71" s="1159" t="e">
        <f t="shared" si="84"/>
        <v>#DIV/0!</v>
      </c>
      <c r="GRW71" s="1159" t="e">
        <f t="shared" si="84"/>
        <v>#DIV/0!</v>
      </c>
      <c r="GRX71" s="1159" t="e">
        <f t="shared" si="84"/>
        <v>#DIV/0!</v>
      </c>
      <c r="GRY71" s="1159" t="e">
        <f t="shared" si="84"/>
        <v>#DIV/0!</v>
      </c>
      <c r="GRZ71" s="1159" t="e">
        <f t="shared" si="84"/>
        <v>#DIV/0!</v>
      </c>
      <c r="GSA71" s="1159" t="e">
        <f t="shared" si="84"/>
        <v>#DIV/0!</v>
      </c>
      <c r="GSB71" s="1159" t="e">
        <f t="shared" si="84"/>
        <v>#DIV/0!</v>
      </c>
      <c r="GSC71" s="1159" t="e">
        <f t="shared" si="84"/>
        <v>#DIV/0!</v>
      </c>
      <c r="GSD71" s="1159" t="e">
        <f t="shared" si="84"/>
        <v>#DIV/0!</v>
      </c>
      <c r="GSE71" s="1159" t="e">
        <f t="shared" si="84"/>
        <v>#DIV/0!</v>
      </c>
      <c r="GSF71" s="1159" t="e">
        <f t="shared" si="84"/>
        <v>#DIV/0!</v>
      </c>
      <c r="GSG71" s="1159" t="e">
        <f t="shared" si="84"/>
        <v>#DIV/0!</v>
      </c>
      <c r="GSH71" s="1159" t="e">
        <f t="shared" si="84"/>
        <v>#DIV/0!</v>
      </c>
      <c r="GSI71" s="1159" t="e">
        <f t="shared" si="84"/>
        <v>#DIV/0!</v>
      </c>
      <c r="GSJ71" s="1159" t="e">
        <f t="shared" si="84"/>
        <v>#DIV/0!</v>
      </c>
      <c r="GSK71" s="1159" t="e">
        <f t="shared" si="84"/>
        <v>#DIV/0!</v>
      </c>
      <c r="GSL71" s="1159" t="e">
        <f t="shared" si="84"/>
        <v>#DIV/0!</v>
      </c>
      <c r="GSM71" s="1159" t="e">
        <f t="shared" si="84"/>
        <v>#DIV/0!</v>
      </c>
      <c r="GSN71" s="1159" t="e">
        <f t="shared" si="84"/>
        <v>#DIV/0!</v>
      </c>
      <c r="GSO71" s="1159" t="e">
        <f t="shared" si="84"/>
        <v>#DIV/0!</v>
      </c>
      <c r="GSP71" s="1159" t="e">
        <f t="shared" si="84"/>
        <v>#DIV/0!</v>
      </c>
      <c r="GSQ71" s="1159" t="e">
        <f t="shared" si="84"/>
        <v>#DIV/0!</v>
      </c>
      <c r="GSR71" s="1159" t="e">
        <f t="shared" si="84"/>
        <v>#DIV/0!</v>
      </c>
      <c r="GSS71" s="1159" t="e">
        <f t="shared" si="84"/>
        <v>#DIV/0!</v>
      </c>
      <c r="GST71" s="1159" t="e">
        <f t="shared" si="84"/>
        <v>#DIV/0!</v>
      </c>
      <c r="GSU71" s="1159" t="e">
        <f t="shared" si="84"/>
        <v>#DIV/0!</v>
      </c>
      <c r="GSV71" s="1159" t="e">
        <f t="shared" si="84"/>
        <v>#DIV/0!</v>
      </c>
      <c r="GSW71" s="1159" t="e">
        <f t="shared" si="84"/>
        <v>#DIV/0!</v>
      </c>
      <c r="GSX71" s="1159" t="e">
        <f t="shared" si="84"/>
        <v>#DIV/0!</v>
      </c>
      <c r="GSY71" s="1159" t="e">
        <f t="shared" si="84"/>
        <v>#DIV/0!</v>
      </c>
      <c r="GSZ71" s="1159" t="e">
        <f t="shared" si="84"/>
        <v>#DIV/0!</v>
      </c>
      <c r="GTA71" s="1159" t="e">
        <f t="shared" si="84"/>
        <v>#DIV/0!</v>
      </c>
      <c r="GTB71" s="1159" t="e">
        <f t="shared" ref="GTB71:GVM71" si="85">((GTB6+GTB12+GTB13+GTB14+GTB15)*860+GTB16*GTB55+GTB17*GTB56+GTB7*GTB49+GTB8*GTB50+GTB9*GTB51+GTB10*GTB52+GTB11*GTB53)/(SUM(GTB6:GTB17))</f>
        <v>#DIV/0!</v>
      </c>
      <c r="GTC71" s="1159" t="e">
        <f t="shared" si="85"/>
        <v>#DIV/0!</v>
      </c>
      <c r="GTD71" s="1159" t="e">
        <f t="shared" si="85"/>
        <v>#DIV/0!</v>
      </c>
      <c r="GTE71" s="1159" t="e">
        <f t="shared" si="85"/>
        <v>#DIV/0!</v>
      </c>
      <c r="GTF71" s="1159" t="e">
        <f t="shared" si="85"/>
        <v>#DIV/0!</v>
      </c>
      <c r="GTG71" s="1159" t="e">
        <f t="shared" si="85"/>
        <v>#DIV/0!</v>
      </c>
      <c r="GTH71" s="1159" t="e">
        <f t="shared" si="85"/>
        <v>#DIV/0!</v>
      </c>
      <c r="GTI71" s="1159" t="e">
        <f t="shared" si="85"/>
        <v>#DIV/0!</v>
      </c>
      <c r="GTJ71" s="1159" t="e">
        <f t="shared" si="85"/>
        <v>#DIV/0!</v>
      </c>
      <c r="GTK71" s="1159" t="e">
        <f t="shared" si="85"/>
        <v>#DIV/0!</v>
      </c>
      <c r="GTL71" s="1159" t="e">
        <f t="shared" si="85"/>
        <v>#DIV/0!</v>
      </c>
      <c r="GTM71" s="1159" t="e">
        <f t="shared" si="85"/>
        <v>#DIV/0!</v>
      </c>
      <c r="GTN71" s="1159" t="e">
        <f t="shared" si="85"/>
        <v>#DIV/0!</v>
      </c>
      <c r="GTO71" s="1159" t="e">
        <f t="shared" si="85"/>
        <v>#DIV/0!</v>
      </c>
      <c r="GTP71" s="1159" t="e">
        <f t="shared" si="85"/>
        <v>#DIV/0!</v>
      </c>
      <c r="GTQ71" s="1159" t="e">
        <f t="shared" si="85"/>
        <v>#DIV/0!</v>
      </c>
      <c r="GTR71" s="1159" t="e">
        <f t="shared" si="85"/>
        <v>#DIV/0!</v>
      </c>
      <c r="GTS71" s="1159" t="e">
        <f t="shared" si="85"/>
        <v>#DIV/0!</v>
      </c>
      <c r="GTT71" s="1159" t="e">
        <f t="shared" si="85"/>
        <v>#DIV/0!</v>
      </c>
      <c r="GTU71" s="1159" t="e">
        <f t="shared" si="85"/>
        <v>#DIV/0!</v>
      </c>
      <c r="GTV71" s="1159" t="e">
        <f t="shared" si="85"/>
        <v>#DIV/0!</v>
      </c>
      <c r="GTW71" s="1159" t="e">
        <f t="shared" si="85"/>
        <v>#DIV/0!</v>
      </c>
      <c r="GTX71" s="1159" t="e">
        <f t="shared" si="85"/>
        <v>#DIV/0!</v>
      </c>
      <c r="GTY71" s="1159" t="e">
        <f t="shared" si="85"/>
        <v>#DIV/0!</v>
      </c>
      <c r="GTZ71" s="1159" t="e">
        <f t="shared" si="85"/>
        <v>#DIV/0!</v>
      </c>
      <c r="GUA71" s="1159" t="e">
        <f t="shared" si="85"/>
        <v>#DIV/0!</v>
      </c>
      <c r="GUB71" s="1159" t="e">
        <f t="shared" si="85"/>
        <v>#DIV/0!</v>
      </c>
      <c r="GUC71" s="1159" t="e">
        <f t="shared" si="85"/>
        <v>#DIV/0!</v>
      </c>
      <c r="GUD71" s="1159" t="e">
        <f t="shared" si="85"/>
        <v>#DIV/0!</v>
      </c>
      <c r="GUE71" s="1159" t="e">
        <f t="shared" si="85"/>
        <v>#DIV/0!</v>
      </c>
      <c r="GUF71" s="1159" t="e">
        <f t="shared" si="85"/>
        <v>#DIV/0!</v>
      </c>
      <c r="GUG71" s="1159" t="e">
        <f t="shared" si="85"/>
        <v>#DIV/0!</v>
      </c>
      <c r="GUH71" s="1159" t="e">
        <f t="shared" si="85"/>
        <v>#DIV/0!</v>
      </c>
      <c r="GUI71" s="1159" t="e">
        <f t="shared" si="85"/>
        <v>#DIV/0!</v>
      </c>
      <c r="GUJ71" s="1159" t="e">
        <f t="shared" si="85"/>
        <v>#DIV/0!</v>
      </c>
      <c r="GUK71" s="1159" t="e">
        <f t="shared" si="85"/>
        <v>#DIV/0!</v>
      </c>
      <c r="GUL71" s="1159" t="e">
        <f t="shared" si="85"/>
        <v>#DIV/0!</v>
      </c>
      <c r="GUM71" s="1159" t="e">
        <f t="shared" si="85"/>
        <v>#DIV/0!</v>
      </c>
      <c r="GUN71" s="1159" t="e">
        <f t="shared" si="85"/>
        <v>#DIV/0!</v>
      </c>
      <c r="GUO71" s="1159" t="e">
        <f t="shared" si="85"/>
        <v>#DIV/0!</v>
      </c>
      <c r="GUP71" s="1159" t="e">
        <f t="shared" si="85"/>
        <v>#DIV/0!</v>
      </c>
      <c r="GUQ71" s="1159" t="e">
        <f t="shared" si="85"/>
        <v>#DIV/0!</v>
      </c>
      <c r="GUR71" s="1159" t="e">
        <f t="shared" si="85"/>
        <v>#DIV/0!</v>
      </c>
      <c r="GUS71" s="1159" t="e">
        <f t="shared" si="85"/>
        <v>#DIV/0!</v>
      </c>
      <c r="GUT71" s="1159" t="e">
        <f t="shared" si="85"/>
        <v>#DIV/0!</v>
      </c>
      <c r="GUU71" s="1159" t="e">
        <f t="shared" si="85"/>
        <v>#DIV/0!</v>
      </c>
      <c r="GUV71" s="1159" t="e">
        <f t="shared" si="85"/>
        <v>#DIV/0!</v>
      </c>
      <c r="GUW71" s="1159" t="e">
        <f t="shared" si="85"/>
        <v>#DIV/0!</v>
      </c>
      <c r="GUX71" s="1159" t="e">
        <f t="shared" si="85"/>
        <v>#DIV/0!</v>
      </c>
      <c r="GUY71" s="1159" t="e">
        <f t="shared" si="85"/>
        <v>#DIV/0!</v>
      </c>
      <c r="GUZ71" s="1159" t="e">
        <f t="shared" si="85"/>
        <v>#DIV/0!</v>
      </c>
      <c r="GVA71" s="1159" t="e">
        <f t="shared" si="85"/>
        <v>#DIV/0!</v>
      </c>
      <c r="GVB71" s="1159" t="e">
        <f t="shared" si="85"/>
        <v>#DIV/0!</v>
      </c>
      <c r="GVC71" s="1159" t="e">
        <f t="shared" si="85"/>
        <v>#DIV/0!</v>
      </c>
      <c r="GVD71" s="1159" t="e">
        <f t="shared" si="85"/>
        <v>#DIV/0!</v>
      </c>
      <c r="GVE71" s="1159" t="e">
        <f t="shared" si="85"/>
        <v>#DIV/0!</v>
      </c>
      <c r="GVF71" s="1159" t="e">
        <f t="shared" si="85"/>
        <v>#DIV/0!</v>
      </c>
      <c r="GVG71" s="1159" t="e">
        <f t="shared" si="85"/>
        <v>#DIV/0!</v>
      </c>
      <c r="GVH71" s="1159" t="e">
        <f t="shared" si="85"/>
        <v>#DIV/0!</v>
      </c>
      <c r="GVI71" s="1159" t="e">
        <f t="shared" si="85"/>
        <v>#DIV/0!</v>
      </c>
      <c r="GVJ71" s="1159" t="e">
        <f t="shared" si="85"/>
        <v>#DIV/0!</v>
      </c>
      <c r="GVK71" s="1159" t="e">
        <f t="shared" si="85"/>
        <v>#DIV/0!</v>
      </c>
      <c r="GVL71" s="1159" t="e">
        <f t="shared" si="85"/>
        <v>#DIV/0!</v>
      </c>
      <c r="GVM71" s="1159" t="e">
        <f t="shared" si="85"/>
        <v>#DIV/0!</v>
      </c>
      <c r="GVN71" s="1159" t="e">
        <f t="shared" ref="GVN71:GXY71" si="86">((GVN6+GVN12+GVN13+GVN14+GVN15)*860+GVN16*GVN55+GVN17*GVN56+GVN7*GVN49+GVN8*GVN50+GVN9*GVN51+GVN10*GVN52+GVN11*GVN53)/(SUM(GVN6:GVN17))</f>
        <v>#DIV/0!</v>
      </c>
      <c r="GVO71" s="1159" t="e">
        <f t="shared" si="86"/>
        <v>#DIV/0!</v>
      </c>
      <c r="GVP71" s="1159" t="e">
        <f t="shared" si="86"/>
        <v>#DIV/0!</v>
      </c>
      <c r="GVQ71" s="1159" t="e">
        <f t="shared" si="86"/>
        <v>#DIV/0!</v>
      </c>
      <c r="GVR71" s="1159" t="e">
        <f t="shared" si="86"/>
        <v>#DIV/0!</v>
      </c>
      <c r="GVS71" s="1159" t="e">
        <f t="shared" si="86"/>
        <v>#DIV/0!</v>
      </c>
      <c r="GVT71" s="1159" t="e">
        <f t="shared" si="86"/>
        <v>#DIV/0!</v>
      </c>
      <c r="GVU71" s="1159" t="e">
        <f t="shared" si="86"/>
        <v>#DIV/0!</v>
      </c>
      <c r="GVV71" s="1159" t="e">
        <f t="shared" si="86"/>
        <v>#DIV/0!</v>
      </c>
      <c r="GVW71" s="1159" t="e">
        <f t="shared" si="86"/>
        <v>#DIV/0!</v>
      </c>
      <c r="GVX71" s="1159" t="e">
        <f t="shared" si="86"/>
        <v>#DIV/0!</v>
      </c>
      <c r="GVY71" s="1159" t="e">
        <f t="shared" si="86"/>
        <v>#DIV/0!</v>
      </c>
      <c r="GVZ71" s="1159" t="e">
        <f t="shared" si="86"/>
        <v>#DIV/0!</v>
      </c>
      <c r="GWA71" s="1159" t="e">
        <f t="shared" si="86"/>
        <v>#DIV/0!</v>
      </c>
      <c r="GWB71" s="1159" t="e">
        <f t="shared" si="86"/>
        <v>#DIV/0!</v>
      </c>
      <c r="GWC71" s="1159" t="e">
        <f t="shared" si="86"/>
        <v>#DIV/0!</v>
      </c>
      <c r="GWD71" s="1159" t="e">
        <f t="shared" si="86"/>
        <v>#DIV/0!</v>
      </c>
      <c r="GWE71" s="1159" t="e">
        <f t="shared" si="86"/>
        <v>#DIV/0!</v>
      </c>
      <c r="GWF71" s="1159" t="e">
        <f t="shared" si="86"/>
        <v>#DIV/0!</v>
      </c>
      <c r="GWG71" s="1159" t="e">
        <f t="shared" si="86"/>
        <v>#DIV/0!</v>
      </c>
      <c r="GWH71" s="1159" t="e">
        <f t="shared" si="86"/>
        <v>#DIV/0!</v>
      </c>
      <c r="GWI71" s="1159" t="e">
        <f t="shared" si="86"/>
        <v>#DIV/0!</v>
      </c>
      <c r="GWJ71" s="1159" t="e">
        <f t="shared" si="86"/>
        <v>#DIV/0!</v>
      </c>
      <c r="GWK71" s="1159" t="e">
        <f t="shared" si="86"/>
        <v>#DIV/0!</v>
      </c>
      <c r="GWL71" s="1159" t="e">
        <f t="shared" si="86"/>
        <v>#DIV/0!</v>
      </c>
      <c r="GWM71" s="1159" t="e">
        <f t="shared" si="86"/>
        <v>#DIV/0!</v>
      </c>
      <c r="GWN71" s="1159" t="e">
        <f t="shared" si="86"/>
        <v>#DIV/0!</v>
      </c>
      <c r="GWO71" s="1159" t="e">
        <f t="shared" si="86"/>
        <v>#DIV/0!</v>
      </c>
      <c r="GWP71" s="1159" t="e">
        <f t="shared" si="86"/>
        <v>#DIV/0!</v>
      </c>
      <c r="GWQ71" s="1159" t="e">
        <f t="shared" si="86"/>
        <v>#DIV/0!</v>
      </c>
      <c r="GWR71" s="1159" t="e">
        <f t="shared" si="86"/>
        <v>#DIV/0!</v>
      </c>
      <c r="GWS71" s="1159" t="e">
        <f t="shared" si="86"/>
        <v>#DIV/0!</v>
      </c>
      <c r="GWT71" s="1159" t="e">
        <f t="shared" si="86"/>
        <v>#DIV/0!</v>
      </c>
      <c r="GWU71" s="1159" t="e">
        <f t="shared" si="86"/>
        <v>#DIV/0!</v>
      </c>
      <c r="GWV71" s="1159" t="e">
        <f t="shared" si="86"/>
        <v>#DIV/0!</v>
      </c>
      <c r="GWW71" s="1159" t="e">
        <f t="shared" si="86"/>
        <v>#DIV/0!</v>
      </c>
      <c r="GWX71" s="1159" t="e">
        <f t="shared" si="86"/>
        <v>#DIV/0!</v>
      </c>
      <c r="GWY71" s="1159" t="e">
        <f t="shared" si="86"/>
        <v>#DIV/0!</v>
      </c>
      <c r="GWZ71" s="1159" t="e">
        <f t="shared" si="86"/>
        <v>#DIV/0!</v>
      </c>
      <c r="GXA71" s="1159" t="e">
        <f t="shared" si="86"/>
        <v>#DIV/0!</v>
      </c>
      <c r="GXB71" s="1159" t="e">
        <f t="shared" si="86"/>
        <v>#DIV/0!</v>
      </c>
      <c r="GXC71" s="1159" t="e">
        <f t="shared" si="86"/>
        <v>#DIV/0!</v>
      </c>
      <c r="GXD71" s="1159" t="e">
        <f t="shared" si="86"/>
        <v>#DIV/0!</v>
      </c>
      <c r="GXE71" s="1159" t="e">
        <f t="shared" si="86"/>
        <v>#DIV/0!</v>
      </c>
      <c r="GXF71" s="1159" t="e">
        <f t="shared" si="86"/>
        <v>#DIV/0!</v>
      </c>
      <c r="GXG71" s="1159" t="e">
        <f t="shared" si="86"/>
        <v>#DIV/0!</v>
      </c>
      <c r="GXH71" s="1159" t="e">
        <f t="shared" si="86"/>
        <v>#DIV/0!</v>
      </c>
      <c r="GXI71" s="1159" t="e">
        <f t="shared" si="86"/>
        <v>#DIV/0!</v>
      </c>
      <c r="GXJ71" s="1159" t="e">
        <f t="shared" si="86"/>
        <v>#DIV/0!</v>
      </c>
      <c r="GXK71" s="1159" t="e">
        <f t="shared" si="86"/>
        <v>#DIV/0!</v>
      </c>
      <c r="GXL71" s="1159" t="e">
        <f t="shared" si="86"/>
        <v>#DIV/0!</v>
      </c>
      <c r="GXM71" s="1159" t="e">
        <f t="shared" si="86"/>
        <v>#DIV/0!</v>
      </c>
      <c r="GXN71" s="1159" t="e">
        <f t="shared" si="86"/>
        <v>#DIV/0!</v>
      </c>
      <c r="GXO71" s="1159" t="e">
        <f t="shared" si="86"/>
        <v>#DIV/0!</v>
      </c>
      <c r="GXP71" s="1159" t="e">
        <f t="shared" si="86"/>
        <v>#DIV/0!</v>
      </c>
      <c r="GXQ71" s="1159" t="e">
        <f t="shared" si="86"/>
        <v>#DIV/0!</v>
      </c>
      <c r="GXR71" s="1159" t="e">
        <f t="shared" si="86"/>
        <v>#DIV/0!</v>
      </c>
      <c r="GXS71" s="1159" t="e">
        <f t="shared" si="86"/>
        <v>#DIV/0!</v>
      </c>
      <c r="GXT71" s="1159" t="e">
        <f t="shared" si="86"/>
        <v>#DIV/0!</v>
      </c>
      <c r="GXU71" s="1159" t="e">
        <f t="shared" si="86"/>
        <v>#DIV/0!</v>
      </c>
      <c r="GXV71" s="1159" t="e">
        <f t="shared" si="86"/>
        <v>#DIV/0!</v>
      </c>
      <c r="GXW71" s="1159" t="e">
        <f t="shared" si="86"/>
        <v>#DIV/0!</v>
      </c>
      <c r="GXX71" s="1159" t="e">
        <f t="shared" si="86"/>
        <v>#DIV/0!</v>
      </c>
      <c r="GXY71" s="1159" t="e">
        <f t="shared" si="86"/>
        <v>#DIV/0!</v>
      </c>
      <c r="GXZ71" s="1159" t="e">
        <f t="shared" ref="GXZ71:HAK71" si="87">((GXZ6+GXZ12+GXZ13+GXZ14+GXZ15)*860+GXZ16*GXZ55+GXZ17*GXZ56+GXZ7*GXZ49+GXZ8*GXZ50+GXZ9*GXZ51+GXZ10*GXZ52+GXZ11*GXZ53)/(SUM(GXZ6:GXZ17))</f>
        <v>#DIV/0!</v>
      </c>
      <c r="GYA71" s="1159" t="e">
        <f t="shared" si="87"/>
        <v>#DIV/0!</v>
      </c>
      <c r="GYB71" s="1159" t="e">
        <f t="shared" si="87"/>
        <v>#DIV/0!</v>
      </c>
      <c r="GYC71" s="1159" t="e">
        <f t="shared" si="87"/>
        <v>#DIV/0!</v>
      </c>
      <c r="GYD71" s="1159" t="e">
        <f t="shared" si="87"/>
        <v>#DIV/0!</v>
      </c>
      <c r="GYE71" s="1159" t="e">
        <f t="shared" si="87"/>
        <v>#DIV/0!</v>
      </c>
      <c r="GYF71" s="1159" t="e">
        <f t="shared" si="87"/>
        <v>#DIV/0!</v>
      </c>
      <c r="GYG71" s="1159" t="e">
        <f t="shared" si="87"/>
        <v>#DIV/0!</v>
      </c>
      <c r="GYH71" s="1159" t="e">
        <f t="shared" si="87"/>
        <v>#DIV/0!</v>
      </c>
      <c r="GYI71" s="1159" t="e">
        <f t="shared" si="87"/>
        <v>#DIV/0!</v>
      </c>
      <c r="GYJ71" s="1159" t="e">
        <f t="shared" si="87"/>
        <v>#DIV/0!</v>
      </c>
      <c r="GYK71" s="1159" t="e">
        <f t="shared" si="87"/>
        <v>#DIV/0!</v>
      </c>
      <c r="GYL71" s="1159" t="e">
        <f t="shared" si="87"/>
        <v>#DIV/0!</v>
      </c>
      <c r="GYM71" s="1159" t="e">
        <f t="shared" si="87"/>
        <v>#DIV/0!</v>
      </c>
      <c r="GYN71" s="1159" t="e">
        <f t="shared" si="87"/>
        <v>#DIV/0!</v>
      </c>
      <c r="GYO71" s="1159" t="e">
        <f t="shared" si="87"/>
        <v>#DIV/0!</v>
      </c>
      <c r="GYP71" s="1159" t="e">
        <f t="shared" si="87"/>
        <v>#DIV/0!</v>
      </c>
      <c r="GYQ71" s="1159" t="e">
        <f t="shared" si="87"/>
        <v>#DIV/0!</v>
      </c>
      <c r="GYR71" s="1159" t="e">
        <f t="shared" si="87"/>
        <v>#DIV/0!</v>
      </c>
      <c r="GYS71" s="1159" t="e">
        <f t="shared" si="87"/>
        <v>#DIV/0!</v>
      </c>
      <c r="GYT71" s="1159" t="e">
        <f t="shared" si="87"/>
        <v>#DIV/0!</v>
      </c>
      <c r="GYU71" s="1159" t="e">
        <f t="shared" si="87"/>
        <v>#DIV/0!</v>
      </c>
      <c r="GYV71" s="1159" t="e">
        <f t="shared" si="87"/>
        <v>#DIV/0!</v>
      </c>
      <c r="GYW71" s="1159" t="e">
        <f t="shared" si="87"/>
        <v>#DIV/0!</v>
      </c>
      <c r="GYX71" s="1159" t="e">
        <f t="shared" si="87"/>
        <v>#DIV/0!</v>
      </c>
      <c r="GYY71" s="1159" t="e">
        <f t="shared" si="87"/>
        <v>#DIV/0!</v>
      </c>
      <c r="GYZ71" s="1159" t="e">
        <f t="shared" si="87"/>
        <v>#DIV/0!</v>
      </c>
      <c r="GZA71" s="1159" t="e">
        <f t="shared" si="87"/>
        <v>#DIV/0!</v>
      </c>
      <c r="GZB71" s="1159" t="e">
        <f t="shared" si="87"/>
        <v>#DIV/0!</v>
      </c>
      <c r="GZC71" s="1159" t="e">
        <f t="shared" si="87"/>
        <v>#DIV/0!</v>
      </c>
      <c r="GZD71" s="1159" t="e">
        <f t="shared" si="87"/>
        <v>#DIV/0!</v>
      </c>
      <c r="GZE71" s="1159" t="e">
        <f t="shared" si="87"/>
        <v>#DIV/0!</v>
      </c>
      <c r="GZF71" s="1159" t="e">
        <f t="shared" si="87"/>
        <v>#DIV/0!</v>
      </c>
      <c r="GZG71" s="1159" t="e">
        <f t="shared" si="87"/>
        <v>#DIV/0!</v>
      </c>
      <c r="GZH71" s="1159" t="e">
        <f t="shared" si="87"/>
        <v>#DIV/0!</v>
      </c>
      <c r="GZI71" s="1159" t="e">
        <f t="shared" si="87"/>
        <v>#DIV/0!</v>
      </c>
      <c r="GZJ71" s="1159" t="e">
        <f t="shared" si="87"/>
        <v>#DIV/0!</v>
      </c>
      <c r="GZK71" s="1159" t="e">
        <f t="shared" si="87"/>
        <v>#DIV/0!</v>
      </c>
      <c r="GZL71" s="1159" t="e">
        <f t="shared" si="87"/>
        <v>#DIV/0!</v>
      </c>
      <c r="GZM71" s="1159" t="e">
        <f t="shared" si="87"/>
        <v>#DIV/0!</v>
      </c>
      <c r="GZN71" s="1159" t="e">
        <f t="shared" si="87"/>
        <v>#DIV/0!</v>
      </c>
      <c r="GZO71" s="1159" t="e">
        <f t="shared" si="87"/>
        <v>#DIV/0!</v>
      </c>
      <c r="GZP71" s="1159" t="e">
        <f t="shared" si="87"/>
        <v>#DIV/0!</v>
      </c>
      <c r="GZQ71" s="1159" t="e">
        <f t="shared" si="87"/>
        <v>#DIV/0!</v>
      </c>
      <c r="GZR71" s="1159" t="e">
        <f t="shared" si="87"/>
        <v>#DIV/0!</v>
      </c>
      <c r="GZS71" s="1159" t="e">
        <f t="shared" si="87"/>
        <v>#DIV/0!</v>
      </c>
      <c r="GZT71" s="1159" t="e">
        <f t="shared" si="87"/>
        <v>#DIV/0!</v>
      </c>
      <c r="GZU71" s="1159" t="e">
        <f t="shared" si="87"/>
        <v>#DIV/0!</v>
      </c>
      <c r="GZV71" s="1159" t="e">
        <f t="shared" si="87"/>
        <v>#DIV/0!</v>
      </c>
      <c r="GZW71" s="1159" t="e">
        <f t="shared" si="87"/>
        <v>#DIV/0!</v>
      </c>
      <c r="GZX71" s="1159" t="e">
        <f t="shared" si="87"/>
        <v>#DIV/0!</v>
      </c>
      <c r="GZY71" s="1159" t="e">
        <f t="shared" si="87"/>
        <v>#DIV/0!</v>
      </c>
      <c r="GZZ71" s="1159" t="e">
        <f t="shared" si="87"/>
        <v>#DIV/0!</v>
      </c>
      <c r="HAA71" s="1159" t="e">
        <f t="shared" si="87"/>
        <v>#DIV/0!</v>
      </c>
      <c r="HAB71" s="1159" t="e">
        <f t="shared" si="87"/>
        <v>#DIV/0!</v>
      </c>
      <c r="HAC71" s="1159" t="e">
        <f t="shared" si="87"/>
        <v>#DIV/0!</v>
      </c>
      <c r="HAD71" s="1159" t="e">
        <f t="shared" si="87"/>
        <v>#DIV/0!</v>
      </c>
      <c r="HAE71" s="1159" t="e">
        <f t="shared" si="87"/>
        <v>#DIV/0!</v>
      </c>
      <c r="HAF71" s="1159" t="e">
        <f t="shared" si="87"/>
        <v>#DIV/0!</v>
      </c>
      <c r="HAG71" s="1159" t="e">
        <f t="shared" si="87"/>
        <v>#DIV/0!</v>
      </c>
      <c r="HAH71" s="1159" t="e">
        <f t="shared" si="87"/>
        <v>#DIV/0!</v>
      </c>
      <c r="HAI71" s="1159" t="e">
        <f t="shared" si="87"/>
        <v>#DIV/0!</v>
      </c>
      <c r="HAJ71" s="1159" t="e">
        <f t="shared" si="87"/>
        <v>#DIV/0!</v>
      </c>
      <c r="HAK71" s="1159" t="e">
        <f t="shared" si="87"/>
        <v>#DIV/0!</v>
      </c>
      <c r="HAL71" s="1159" t="e">
        <f t="shared" ref="HAL71:HCW71" si="88">((HAL6+HAL12+HAL13+HAL14+HAL15)*860+HAL16*HAL55+HAL17*HAL56+HAL7*HAL49+HAL8*HAL50+HAL9*HAL51+HAL10*HAL52+HAL11*HAL53)/(SUM(HAL6:HAL17))</f>
        <v>#DIV/0!</v>
      </c>
      <c r="HAM71" s="1159" t="e">
        <f t="shared" si="88"/>
        <v>#DIV/0!</v>
      </c>
      <c r="HAN71" s="1159" t="e">
        <f t="shared" si="88"/>
        <v>#DIV/0!</v>
      </c>
      <c r="HAO71" s="1159" t="e">
        <f t="shared" si="88"/>
        <v>#DIV/0!</v>
      </c>
      <c r="HAP71" s="1159" t="e">
        <f t="shared" si="88"/>
        <v>#DIV/0!</v>
      </c>
      <c r="HAQ71" s="1159" t="e">
        <f t="shared" si="88"/>
        <v>#DIV/0!</v>
      </c>
      <c r="HAR71" s="1159" t="e">
        <f t="shared" si="88"/>
        <v>#DIV/0!</v>
      </c>
      <c r="HAS71" s="1159" t="e">
        <f t="shared" si="88"/>
        <v>#DIV/0!</v>
      </c>
      <c r="HAT71" s="1159" t="e">
        <f t="shared" si="88"/>
        <v>#DIV/0!</v>
      </c>
      <c r="HAU71" s="1159" t="e">
        <f t="shared" si="88"/>
        <v>#DIV/0!</v>
      </c>
      <c r="HAV71" s="1159" t="e">
        <f t="shared" si="88"/>
        <v>#DIV/0!</v>
      </c>
      <c r="HAW71" s="1159" t="e">
        <f t="shared" si="88"/>
        <v>#DIV/0!</v>
      </c>
      <c r="HAX71" s="1159" t="e">
        <f t="shared" si="88"/>
        <v>#DIV/0!</v>
      </c>
      <c r="HAY71" s="1159" t="e">
        <f t="shared" si="88"/>
        <v>#DIV/0!</v>
      </c>
      <c r="HAZ71" s="1159" t="e">
        <f t="shared" si="88"/>
        <v>#DIV/0!</v>
      </c>
      <c r="HBA71" s="1159" t="e">
        <f t="shared" si="88"/>
        <v>#DIV/0!</v>
      </c>
      <c r="HBB71" s="1159" t="e">
        <f t="shared" si="88"/>
        <v>#DIV/0!</v>
      </c>
      <c r="HBC71" s="1159" t="e">
        <f t="shared" si="88"/>
        <v>#DIV/0!</v>
      </c>
      <c r="HBD71" s="1159" t="e">
        <f t="shared" si="88"/>
        <v>#DIV/0!</v>
      </c>
      <c r="HBE71" s="1159" t="e">
        <f t="shared" si="88"/>
        <v>#DIV/0!</v>
      </c>
      <c r="HBF71" s="1159" t="e">
        <f t="shared" si="88"/>
        <v>#DIV/0!</v>
      </c>
      <c r="HBG71" s="1159" t="e">
        <f t="shared" si="88"/>
        <v>#DIV/0!</v>
      </c>
      <c r="HBH71" s="1159" t="e">
        <f t="shared" si="88"/>
        <v>#DIV/0!</v>
      </c>
      <c r="HBI71" s="1159" t="e">
        <f t="shared" si="88"/>
        <v>#DIV/0!</v>
      </c>
      <c r="HBJ71" s="1159" t="e">
        <f t="shared" si="88"/>
        <v>#DIV/0!</v>
      </c>
      <c r="HBK71" s="1159" t="e">
        <f t="shared" si="88"/>
        <v>#DIV/0!</v>
      </c>
      <c r="HBL71" s="1159" t="e">
        <f t="shared" si="88"/>
        <v>#DIV/0!</v>
      </c>
      <c r="HBM71" s="1159" t="e">
        <f t="shared" si="88"/>
        <v>#DIV/0!</v>
      </c>
      <c r="HBN71" s="1159" t="e">
        <f t="shared" si="88"/>
        <v>#DIV/0!</v>
      </c>
      <c r="HBO71" s="1159" t="e">
        <f t="shared" si="88"/>
        <v>#DIV/0!</v>
      </c>
      <c r="HBP71" s="1159" t="e">
        <f t="shared" si="88"/>
        <v>#DIV/0!</v>
      </c>
      <c r="HBQ71" s="1159" t="e">
        <f t="shared" si="88"/>
        <v>#DIV/0!</v>
      </c>
      <c r="HBR71" s="1159" t="e">
        <f t="shared" si="88"/>
        <v>#DIV/0!</v>
      </c>
      <c r="HBS71" s="1159" t="e">
        <f t="shared" si="88"/>
        <v>#DIV/0!</v>
      </c>
      <c r="HBT71" s="1159" t="e">
        <f t="shared" si="88"/>
        <v>#DIV/0!</v>
      </c>
      <c r="HBU71" s="1159" t="e">
        <f t="shared" si="88"/>
        <v>#DIV/0!</v>
      </c>
      <c r="HBV71" s="1159" t="e">
        <f t="shared" si="88"/>
        <v>#DIV/0!</v>
      </c>
      <c r="HBW71" s="1159" t="e">
        <f t="shared" si="88"/>
        <v>#DIV/0!</v>
      </c>
      <c r="HBX71" s="1159" t="e">
        <f t="shared" si="88"/>
        <v>#DIV/0!</v>
      </c>
      <c r="HBY71" s="1159" t="e">
        <f t="shared" si="88"/>
        <v>#DIV/0!</v>
      </c>
      <c r="HBZ71" s="1159" t="e">
        <f t="shared" si="88"/>
        <v>#DIV/0!</v>
      </c>
      <c r="HCA71" s="1159" t="e">
        <f t="shared" si="88"/>
        <v>#DIV/0!</v>
      </c>
      <c r="HCB71" s="1159" t="e">
        <f t="shared" si="88"/>
        <v>#DIV/0!</v>
      </c>
      <c r="HCC71" s="1159" t="e">
        <f t="shared" si="88"/>
        <v>#DIV/0!</v>
      </c>
      <c r="HCD71" s="1159" t="e">
        <f t="shared" si="88"/>
        <v>#DIV/0!</v>
      </c>
      <c r="HCE71" s="1159" t="e">
        <f t="shared" si="88"/>
        <v>#DIV/0!</v>
      </c>
      <c r="HCF71" s="1159" t="e">
        <f t="shared" si="88"/>
        <v>#DIV/0!</v>
      </c>
      <c r="HCG71" s="1159" t="e">
        <f t="shared" si="88"/>
        <v>#DIV/0!</v>
      </c>
      <c r="HCH71" s="1159" t="e">
        <f t="shared" si="88"/>
        <v>#DIV/0!</v>
      </c>
      <c r="HCI71" s="1159" t="e">
        <f t="shared" si="88"/>
        <v>#DIV/0!</v>
      </c>
      <c r="HCJ71" s="1159" t="e">
        <f t="shared" si="88"/>
        <v>#DIV/0!</v>
      </c>
      <c r="HCK71" s="1159" t="e">
        <f t="shared" si="88"/>
        <v>#DIV/0!</v>
      </c>
      <c r="HCL71" s="1159" t="e">
        <f t="shared" si="88"/>
        <v>#DIV/0!</v>
      </c>
      <c r="HCM71" s="1159" t="e">
        <f t="shared" si="88"/>
        <v>#DIV/0!</v>
      </c>
      <c r="HCN71" s="1159" t="e">
        <f t="shared" si="88"/>
        <v>#DIV/0!</v>
      </c>
      <c r="HCO71" s="1159" t="e">
        <f t="shared" si="88"/>
        <v>#DIV/0!</v>
      </c>
      <c r="HCP71" s="1159" t="e">
        <f t="shared" si="88"/>
        <v>#DIV/0!</v>
      </c>
      <c r="HCQ71" s="1159" t="e">
        <f t="shared" si="88"/>
        <v>#DIV/0!</v>
      </c>
      <c r="HCR71" s="1159" t="e">
        <f t="shared" si="88"/>
        <v>#DIV/0!</v>
      </c>
      <c r="HCS71" s="1159" t="e">
        <f t="shared" si="88"/>
        <v>#DIV/0!</v>
      </c>
      <c r="HCT71" s="1159" t="e">
        <f t="shared" si="88"/>
        <v>#DIV/0!</v>
      </c>
      <c r="HCU71" s="1159" t="e">
        <f t="shared" si="88"/>
        <v>#DIV/0!</v>
      </c>
      <c r="HCV71" s="1159" t="e">
        <f t="shared" si="88"/>
        <v>#DIV/0!</v>
      </c>
      <c r="HCW71" s="1159" t="e">
        <f t="shared" si="88"/>
        <v>#DIV/0!</v>
      </c>
      <c r="HCX71" s="1159" t="e">
        <f t="shared" ref="HCX71:HFI71" si="89">((HCX6+HCX12+HCX13+HCX14+HCX15)*860+HCX16*HCX55+HCX17*HCX56+HCX7*HCX49+HCX8*HCX50+HCX9*HCX51+HCX10*HCX52+HCX11*HCX53)/(SUM(HCX6:HCX17))</f>
        <v>#DIV/0!</v>
      </c>
      <c r="HCY71" s="1159" t="e">
        <f t="shared" si="89"/>
        <v>#DIV/0!</v>
      </c>
      <c r="HCZ71" s="1159" t="e">
        <f t="shared" si="89"/>
        <v>#DIV/0!</v>
      </c>
      <c r="HDA71" s="1159" t="e">
        <f t="shared" si="89"/>
        <v>#DIV/0!</v>
      </c>
      <c r="HDB71" s="1159" t="e">
        <f t="shared" si="89"/>
        <v>#DIV/0!</v>
      </c>
      <c r="HDC71" s="1159" t="e">
        <f t="shared" si="89"/>
        <v>#DIV/0!</v>
      </c>
      <c r="HDD71" s="1159" t="e">
        <f t="shared" si="89"/>
        <v>#DIV/0!</v>
      </c>
      <c r="HDE71" s="1159" t="e">
        <f t="shared" si="89"/>
        <v>#DIV/0!</v>
      </c>
      <c r="HDF71" s="1159" t="e">
        <f t="shared" si="89"/>
        <v>#DIV/0!</v>
      </c>
      <c r="HDG71" s="1159" t="e">
        <f t="shared" si="89"/>
        <v>#DIV/0!</v>
      </c>
      <c r="HDH71" s="1159" t="e">
        <f t="shared" si="89"/>
        <v>#DIV/0!</v>
      </c>
      <c r="HDI71" s="1159" t="e">
        <f t="shared" si="89"/>
        <v>#DIV/0!</v>
      </c>
      <c r="HDJ71" s="1159" t="e">
        <f t="shared" si="89"/>
        <v>#DIV/0!</v>
      </c>
      <c r="HDK71" s="1159" t="e">
        <f t="shared" si="89"/>
        <v>#DIV/0!</v>
      </c>
      <c r="HDL71" s="1159" t="e">
        <f t="shared" si="89"/>
        <v>#DIV/0!</v>
      </c>
      <c r="HDM71" s="1159" t="e">
        <f t="shared" si="89"/>
        <v>#DIV/0!</v>
      </c>
      <c r="HDN71" s="1159" t="e">
        <f t="shared" si="89"/>
        <v>#DIV/0!</v>
      </c>
      <c r="HDO71" s="1159" t="e">
        <f t="shared" si="89"/>
        <v>#DIV/0!</v>
      </c>
      <c r="HDP71" s="1159" t="e">
        <f t="shared" si="89"/>
        <v>#DIV/0!</v>
      </c>
      <c r="HDQ71" s="1159" t="e">
        <f t="shared" si="89"/>
        <v>#DIV/0!</v>
      </c>
      <c r="HDR71" s="1159" t="e">
        <f t="shared" si="89"/>
        <v>#DIV/0!</v>
      </c>
      <c r="HDS71" s="1159" t="e">
        <f t="shared" si="89"/>
        <v>#DIV/0!</v>
      </c>
      <c r="HDT71" s="1159" t="e">
        <f t="shared" si="89"/>
        <v>#DIV/0!</v>
      </c>
      <c r="HDU71" s="1159" t="e">
        <f t="shared" si="89"/>
        <v>#DIV/0!</v>
      </c>
      <c r="HDV71" s="1159" t="e">
        <f t="shared" si="89"/>
        <v>#DIV/0!</v>
      </c>
      <c r="HDW71" s="1159" t="e">
        <f t="shared" si="89"/>
        <v>#DIV/0!</v>
      </c>
      <c r="HDX71" s="1159" t="e">
        <f t="shared" si="89"/>
        <v>#DIV/0!</v>
      </c>
      <c r="HDY71" s="1159" t="e">
        <f t="shared" si="89"/>
        <v>#DIV/0!</v>
      </c>
      <c r="HDZ71" s="1159" t="e">
        <f t="shared" si="89"/>
        <v>#DIV/0!</v>
      </c>
      <c r="HEA71" s="1159" t="e">
        <f t="shared" si="89"/>
        <v>#DIV/0!</v>
      </c>
      <c r="HEB71" s="1159" t="e">
        <f t="shared" si="89"/>
        <v>#DIV/0!</v>
      </c>
      <c r="HEC71" s="1159" t="e">
        <f t="shared" si="89"/>
        <v>#DIV/0!</v>
      </c>
      <c r="HED71" s="1159" t="e">
        <f t="shared" si="89"/>
        <v>#DIV/0!</v>
      </c>
      <c r="HEE71" s="1159" t="e">
        <f t="shared" si="89"/>
        <v>#DIV/0!</v>
      </c>
      <c r="HEF71" s="1159" t="e">
        <f t="shared" si="89"/>
        <v>#DIV/0!</v>
      </c>
      <c r="HEG71" s="1159" t="e">
        <f t="shared" si="89"/>
        <v>#DIV/0!</v>
      </c>
      <c r="HEH71" s="1159" t="e">
        <f t="shared" si="89"/>
        <v>#DIV/0!</v>
      </c>
      <c r="HEI71" s="1159" t="e">
        <f t="shared" si="89"/>
        <v>#DIV/0!</v>
      </c>
      <c r="HEJ71" s="1159" t="e">
        <f t="shared" si="89"/>
        <v>#DIV/0!</v>
      </c>
      <c r="HEK71" s="1159" t="e">
        <f t="shared" si="89"/>
        <v>#DIV/0!</v>
      </c>
      <c r="HEL71" s="1159" t="e">
        <f t="shared" si="89"/>
        <v>#DIV/0!</v>
      </c>
      <c r="HEM71" s="1159" t="e">
        <f t="shared" si="89"/>
        <v>#DIV/0!</v>
      </c>
      <c r="HEN71" s="1159" t="e">
        <f t="shared" si="89"/>
        <v>#DIV/0!</v>
      </c>
      <c r="HEO71" s="1159" t="e">
        <f t="shared" si="89"/>
        <v>#DIV/0!</v>
      </c>
      <c r="HEP71" s="1159" t="e">
        <f t="shared" si="89"/>
        <v>#DIV/0!</v>
      </c>
      <c r="HEQ71" s="1159" t="e">
        <f t="shared" si="89"/>
        <v>#DIV/0!</v>
      </c>
      <c r="HER71" s="1159" t="e">
        <f t="shared" si="89"/>
        <v>#DIV/0!</v>
      </c>
      <c r="HES71" s="1159" t="e">
        <f t="shared" si="89"/>
        <v>#DIV/0!</v>
      </c>
      <c r="HET71" s="1159" t="e">
        <f t="shared" si="89"/>
        <v>#DIV/0!</v>
      </c>
      <c r="HEU71" s="1159" t="e">
        <f t="shared" si="89"/>
        <v>#DIV/0!</v>
      </c>
      <c r="HEV71" s="1159" t="e">
        <f t="shared" si="89"/>
        <v>#DIV/0!</v>
      </c>
      <c r="HEW71" s="1159" t="e">
        <f t="shared" si="89"/>
        <v>#DIV/0!</v>
      </c>
      <c r="HEX71" s="1159" t="e">
        <f t="shared" si="89"/>
        <v>#DIV/0!</v>
      </c>
      <c r="HEY71" s="1159" t="e">
        <f t="shared" si="89"/>
        <v>#DIV/0!</v>
      </c>
      <c r="HEZ71" s="1159" t="e">
        <f t="shared" si="89"/>
        <v>#DIV/0!</v>
      </c>
      <c r="HFA71" s="1159" t="e">
        <f t="shared" si="89"/>
        <v>#DIV/0!</v>
      </c>
      <c r="HFB71" s="1159" t="e">
        <f t="shared" si="89"/>
        <v>#DIV/0!</v>
      </c>
      <c r="HFC71" s="1159" t="e">
        <f t="shared" si="89"/>
        <v>#DIV/0!</v>
      </c>
      <c r="HFD71" s="1159" t="e">
        <f t="shared" si="89"/>
        <v>#DIV/0!</v>
      </c>
      <c r="HFE71" s="1159" t="e">
        <f t="shared" si="89"/>
        <v>#DIV/0!</v>
      </c>
      <c r="HFF71" s="1159" t="e">
        <f t="shared" si="89"/>
        <v>#DIV/0!</v>
      </c>
      <c r="HFG71" s="1159" t="e">
        <f t="shared" si="89"/>
        <v>#DIV/0!</v>
      </c>
      <c r="HFH71" s="1159" t="e">
        <f t="shared" si="89"/>
        <v>#DIV/0!</v>
      </c>
      <c r="HFI71" s="1159" t="e">
        <f t="shared" si="89"/>
        <v>#DIV/0!</v>
      </c>
      <c r="HFJ71" s="1159" t="e">
        <f t="shared" ref="HFJ71:HHU71" si="90">((HFJ6+HFJ12+HFJ13+HFJ14+HFJ15)*860+HFJ16*HFJ55+HFJ17*HFJ56+HFJ7*HFJ49+HFJ8*HFJ50+HFJ9*HFJ51+HFJ10*HFJ52+HFJ11*HFJ53)/(SUM(HFJ6:HFJ17))</f>
        <v>#DIV/0!</v>
      </c>
      <c r="HFK71" s="1159" t="e">
        <f t="shared" si="90"/>
        <v>#DIV/0!</v>
      </c>
      <c r="HFL71" s="1159" t="e">
        <f t="shared" si="90"/>
        <v>#DIV/0!</v>
      </c>
      <c r="HFM71" s="1159" t="e">
        <f t="shared" si="90"/>
        <v>#DIV/0!</v>
      </c>
      <c r="HFN71" s="1159" t="e">
        <f t="shared" si="90"/>
        <v>#DIV/0!</v>
      </c>
      <c r="HFO71" s="1159" t="e">
        <f t="shared" si="90"/>
        <v>#DIV/0!</v>
      </c>
      <c r="HFP71" s="1159" t="e">
        <f t="shared" si="90"/>
        <v>#DIV/0!</v>
      </c>
      <c r="HFQ71" s="1159" t="e">
        <f t="shared" si="90"/>
        <v>#DIV/0!</v>
      </c>
      <c r="HFR71" s="1159" t="e">
        <f t="shared" si="90"/>
        <v>#DIV/0!</v>
      </c>
      <c r="HFS71" s="1159" t="e">
        <f t="shared" si="90"/>
        <v>#DIV/0!</v>
      </c>
      <c r="HFT71" s="1159" t="e">
        <f t="shared" si="90"/>
        <v>#DIV/0!</v>
      </c>
      <c r="HFU71" s="1159" t="e">
        <f t="shared" si="90"/>
        <v>#DIV/0!</v>
      </c>
      <c r="HFV71" s="1159" t="e">
        <f t="shared" si="90"/>
        <v>#DIV/0!</v>
      </c>
      <c r="HFW71" s="1159" t="e">
        <f t="shared" si="90"/>
        <v>#DIV/0!</v>
      </c>
      <c r="HFX71" s="1159" t="e">
        <f t="shared" si="90"/>
        <v>#DIV/0!</v>
      </c>
      <c r="HFY71" s="1159" t="e">
        <f t="shared" si="90"/>
        <v>#DIV/0!</v>
      </c>
      <c r="HFZ71" s="1159" t="e">
        <f t="shared" si="90"/>
        <v>#DIV/0!</v>
      </c>
      <c r="HGA71" s="1159" t="e">
        <f t="shared" si="90"/>
        <v>#DIV/0!</v>
      </c>
      <c r="HGB71" s="1159" t="e">
        <f t="shared" si="90"/>
        <v>#DIV/0!</v>
      </c>
      <c r="HGC71" s="1159" t="e">
        <f t="shared" si="90"/>
        <v>#DIV/0!</v>
      </c>
      <c r="HGD71" s="1159" t="e">
        <f t="shared" si="90"/>
        <v>#DIV/0!</v>
      </c>
      <c r="HGE71" s="1159" t="e">
        <f t="shared" si="90"/>
        <v>#DIV/0!</v>
      </c>
      <c r="HGF71" s="1159" t="e">
        <f t="shared" si="90"/>
        <v>#DIV/0!</v>
      </c>
      <c r="HGG71" s="1159" t="e">
        <f t="shared" si="90"/>
        <v>#DIV/0!</v>
      </c>
      <c r="HGH71" s="1159" t="e">
        <f t="shared" si="90"/>
        <v>#DIV/0!</v>
      </c>
      <c r="HGI71" s="1159" t="e">
        <f t="shared" si="90"/>
        <v>#DIV/0!</v>
      </c>
      <c r="HGJ71" s="1159" t="e">
        <f t="shared" si="90"/>
        <v>#DIV/0!</v>
      </c>
      <c r="HGK71" s="1159" t="e">
        <f t="shared" si="90"/>
        <v>#DIV/0!</v>
      </c>
      <c r="HGL71" s="1159" t="e">
        <f t="shared" si="90"/>
        <v>#DIV/0!</v>
      </c>
      <c r="HGM71" s="1159" t="e">
        <f t="shared" si="90"/>
        <v>#DIV/0!</v>
      </c>
      <c r="HGN71" s="1159" t="e">
        <f t="shared" si="90"/>
        <v>#DIV/0!</v>
      </c>
      <c r="HGO71" s="1159" t="e">
        <f t="shared" si="90"/>
        <v>#DIV/0!</v>
      </c>
      <c r="HGP71" s="1159" t="e">
        <f t="shared" si="90"/>
        <v>#DIV/0!</v>
      </c>
      <c r="HGQ71" s="1159" t="e">
        <f t="shared" si="90"/>
        <v>#DIV/0!</v>
      </c>
      <c r="HGR71" s="1159" t="e">
        <f t="shared" si="90"/>
        <v>#DIV/0!</v>
      </c>
      <c r="HGS71" s="1159" t="e">
        <f t="shared" si="90"/>
        <v>#DIV/0!</v>
      </c>
      <c r="HGT71" s="1159" t="e">
        <f t="shared" si="90"/>
        <v>#DIV/0!</v>
      </c>
      <c r="HGU71" s="1159" t="e">
        <f t="shared" si="90"/>
        <v>#DIV/0!</v>
      </c>
      <c r="HGV71" s="1159" t="e">
        <f t="shared" si="90"/>
        <v>#DIV/0!</v>
      </c>
      <c r="HGW71" s="1159" t="e">
        <f t="shared" si="90"/>
        <v>#DIV/0!</v>
      </c>
      <c r="HGX71" s="1159" t="e">
        <f t="shared" si="90"/>
        <v>#DIV/0!</v>
      </c>
      <c r="HGY71" s="1159" t="e">
        <f t="shared" si="90"/>
        <v>#DIV/0!</v>
      </c>
      <c r="HGZ71" s="1159" t="e">
        <f t="shared" si="90"/>
        <v>#DIV/0!</v>
      </c>
      <c r="HHA71" s="1159" t="e">
        <f t="shared" si="90"/>
        <v>#DIV/0!</v>
      </c>
      <c r="HHB71" s="1159" t="e">
        <f t="shared" si="90"/>
        <v>#DIV/0!</v>
      </c>
      <c r="HHC71" s="1159" t="e">
        <f t="shared" si="90"/>
        <v>#DIV/0!</v>
      </c>
      <c r="HHD71" s="1159" t="e">
        <f t="shared" si="90"/>
        <v>#DIV/0!</v>
      </c>
      <c r="HHE71" s="1159" t="e">
        <f t="shared" si="90"/>
        <v>#DIV/0!</v>
      </c>
      <c r="HHF71" s="1159" t="e">
        <f t="shared" si="90"/>
        <v>#DIV/0!</v>
      </c>
      <c r="HHG71" s="1159" t="e">
        <f t="shared" si="90"/>
        <v>#DIV/0!</v>
      </c>
      <c r="HHH71" s="1159" t="e">
        <f t="shared" si="90"/>
        <v>#DIV/0!</v>
      </c>
      <c r="HHI71" s="1159" t="e">
        <f t="shared" si="90"/>
        <v>#DIV/0!</v>
      </c>
      <c r="HHJ71" s="1159" t="e">
        <f t="shared" si="90"/>
        <v>#DIV/0!</v>
      </c>
      <c r="HHK71" s="1159" t="e">
        <f t="shared" si="90"/>
        <v>#DIV/0!</v>
      </c>
      <c r="HHL71" s="1159" t="e">
        <f t="shared" si="90"/>
        <v>#DIV/0!</v>
      </c>
      <c r="HHM71" s="1159" t="e">
        <f t="shared" si="90"/>
        <v>#DIV/0!</v>
      </c>
      <c r="HHN71" s="1159" t="e">
        <f t="shared" si="90"/>
        <v>#DIV/0!</v>
      </c>
      <c r="HHO71" s="1159" t="e">
        <f t="shared" si="90"/>
        <v>#DIV/0!</v>
      </c>
      <c r="HHP71" s="1159" t="e">
        <f t="shared" si="90"/>
        <v>#DIV/0!</v>
      </c>
      <c r="HHQ71" s="1159" t="e">
        <f t="shared" si="90"/>
        <v>#DIV/0!</v>
      </c>
      <c r="HHR71" s="1159" t="e">
        <f t="shared" si="90"/>
        <v>#DIV/0!</v>
      </c>
      <c r="HHS71" s="1159" t="e">
        <f t="shared" si="90"/>
        <v>#DIV/0!</v>
      </c>
      <c r="HHT71" s="1159" t="e">
        <f t="shared" si="90"/>
        <v>#DIV/0!</v>
      </c>
      <c r="HHU71" s="1159" t="e">
        <f t="shared" si="90"/>
        <v>#DIV/0!</v>
      </c>
      <c r="HHV71" s="1159" t="e">
        <f t="shared" ref="HHV71:HKG71" si="91">((HHV6+HHV12+HHV13+HHV14+HHV15)*860+HHV16*HHV55+HHV17*HHV56+HHV7*HHV49+HHV8*HHV50+HHV9*HHV51+HHV10*HHV52+HHV11*HHV53)/(SUM(HHV6:HHV17))</f>
        <v>#DIV/0!</v>
      </c>
      <c r="HHW71" s="1159" t="e">
        <f t="shared" si="91"/>
        <v>#DIV/0!</v>
      </c>
      <c r="HHX71" s="1159" t="e">
        <f t="shared" si="91"/>
        <v>#DIV/0!</v>
      </c>
      <c r="HHY71" s="1159" t="e">
        <f t="shared" si="91"/>
        <v>#DIV/0!</v>
      </c>
      <c r="HHZ71" s="1159" t="e">
        <f t="shared" si="91"/>
        <v>#DIV/0!</v>
      </c>
      <c r="HIA71" s="1159" t="e">
        <f t="shared" si="91"/>
        <v>#DIV/0!</v>
      </c>
      <c r="HIB71" s="1159" t="e">
        <f t="shared" si="91"/>
        <v>#DIV/0!</v>
      </c>
      <c r="HIC71" s="1159" t="e">
        <f t="shared" si="91"/>
        <v>#DIV/0!</v>
      </c>
      <c r="HID71" s="1159" t="e">
        <f t="shared" si="91"/>
        <v>#DIV/0!</v>
      </c>
      <c r="HIE71" s="1159" t="e">
        <f t="shared" si="91"/>
        <v>#DIV/0!</v>
      </c>
      <c r="HIF71" s="1159" t="e">
        <f t="shared" si="91"/>
        <v>#DIV/0!</v>
      </c>
      <c r="HIG71" s="1159" t="e">
        <f t="shared" si="91"/>
        <v>#DIV/0!</v>
      </c>
      <c r="HIH71" s="1159" t="e">
        <f t="shared" si="91"/>
        <v>#DIV/0!</v>
      </c>
      <c r="HII71" s="1159" t="e">
        <f t="shared" si="91"/>
        <v>#DIV/0!</v>
      </c>
      <c r="HIJ71" s="1159" t="e">
        <f t="shared" si="91"/>
        <v>#DIV/0!</v>
      </c>
      <c r="HIK71" s="1159" t="e">
        <f t="shared" si="91"/>
        <v>#DIV/0!</v>
      </c>
      <c r="HIL71" s="1159" t="e">
        <f t="shared" si="91"/>
        <v>#DIV/0!</v>
      </c>
      <c r="HIM71" s="1159" t="e">
        <f t="shared" si="91"/>
        <v>#DIV/0!</v>
      </c>
      <c r="HIN71" s="1159" t="e">
        <f t="shared" si="91"/>
        <v>#DIV/0!</v>
      </c>
      <c r="HIO71" s="1159" t="e">
        <f t="shared" si="91"/>
        <v>#DIV/0!</v>
      </c>
      <c r="HIP71" s="1159" t="e">
        <f t="shared" si="91"/>
        <v>#DIV/0!</v>
      </c>
      <c r="HIQ71" s="1159" t="e">
        <f t="shared" si="91"/>
        <v>#DIV/0!</v>
      </c>
      <c r="HIR71" s="1159" t="e">
        <f t="shared" si="91"/>
        <v>#DIV/0!</v>
      </c>
      <c r="HIS71" s="1159" t="e">
        <f t="shared" si="91"/>
        <v>#DIV/0!</v>
      </c>
      <c r="HIT71" s="1159" t="e">
        <f t="shared" si="91"/>
        <v>#DIV/0!</v>
      </c>
      <c r="HIU71" s="1159" t="e">
        <f t="shared" si="91"/>
        <v>#DIV/0!</v>
      </c>
      <c r="HIV71" s="1159" t="e">
        <f t="shared" si="91"/>
        <v>#DIV/0!</v>
      </c>
      <c r="HIW71" s="1159" t="e">
        <f t="shared" si="91"/>
        <v>#DIV/0!</v>
      </c>
      <c r="HIX71" s="1159" t="e">
        <f t="shared" si="91"/>
        <v>#DIV/0!</v>
      </c>
      <c r="HIY71" s="1159" t="e">
        <f t="shared" si="91"/>
        <v>#DIV/0!</v>
      </c>
      <c r="HIZ71" s="1159" t="e">
        <f t="shared" si="91"/>
        <v>#DIV/0!</v>
      </c>
      <c r="HJA71" s="1159" t="e">
        <f t="shared" si="91"/>
        <v>#DIV/0!</v>
      </c>
      <c r="HJB71" s="1159" t="e">
        <f t="shared" si="91"/>
        <v>#DIV/0!</v>
      </c>
      <c r="HJC71" s="1159" t="e">
        <f t="shared" si="91"/>
        <v>#DIV/0!</v>
      </c>
      <c r="HJD71" s="1159" t="e">
        <f t="shared" si="91"/>
        <v>#DIV/0!</v>
      </c>
      <c r="HJE71" s="1159" t="e">
        <f t="shared" si="91"/>
        <v>#DIV/0!</v>
      </c>
      <c r="HJF71" s="1159" t="e">
        <f t="shared" si="91"/>
        <v>#DIV/0!</v>
      </c>
      <c r="HJG71" s="1159" t="e">
        <f t="shared" si="91"/>
        <v>#DIV/0!</v>
      </c>
      <c r="HJH71" s="1159" t="e">
        <f t="shared" si="91"/>
        <v>#DIV/0!</v>
      </c>
      <c r="HJI71" s="1159" t="e">
        <f t="shared" si="91"/>
        <v>#DIV/0!</v>
      </c>
      <c r="HJJ71" s="1159" t="e">
        <f t="shared" si="91"/>
        <v>#DIV/0!</v>
      </c>
      <c r="HJK71" s="1159" t="e">
        <f t="shared" si="91"/>
        <v>#DIV/0!</v>
      </c>
      <c r="HJL71" s="1159" t="e">
        <f t="shared" si="91"/>
        <v>#DIV/0!</v>
      </c>
      <c r="HJM71" s="1159" t="e">
        <f t="shared" si="91"/>
        <v>#DIV/0!</v>
      </c>
      <c r="HJN71" s="1159" t="e">
        <f t="shared" si="91"/>
        <v>#DIV/0!</v>
      </c>
      <c r="HJO71" s="1159" t="e">
        <f t="shared" si="91"/>
        <v>#DIV/0!</v>
      </c>
      <c r="HJP71" s="1159" t="e">
        <f t="shared" si="91"/>
        <v>#DIV/0!</v>
      </c>
      <c r="HJQ71" s="1159" t="e">
        <f t="shared" si="91"/>
        <v>#DIV/0!</v>
      </c>
      <c r="HJR71" s="1159" t="e">
        <f t="shared" si="91"/>
        <v>#DIV/0!</v>
      </c>
      <c r="HJS71" s="1159" t="e">
        <f t="shared" si="91"/>
        <v>#DIV/0!</v>
      </c>
      <c r="HJT71" s="1159" t="e">
        <f t="shared" si="91"/>
        <v>#DIV/0!</v>
      </c>
      <c r="HJU71" s="1159" t="e">
        <f t="shared" si="91"/>
        <v>#DIV/0!</v>
      </c>
      <c r="HJV71" s="1159" t="e">
        <f t="shared" si="91"/>
        <v>#DIV/0!</v>
      </c>
      <c r="HJW71" s="1159" t="e">
        <f t="shared" si="91"/>
        <v>#DIV/0!</v>
      </c>
      <c r="HJX71" s="1159" t="e">
        <f t="shared" si="91"/>
        <v>#DIV/0!</v>
      </c>
      <c r="HJY71" s="1159" t="e">
        <f t="shared" si="91"/>
        <v>#DIV/0!</v>
      </c>
      <c r="HJZ71" s="1159" t="e">
        <f t="shared" si="91"/>
        <v>#DIV/0!</v>
      </c>
      <c r="HKA71" s="1159" t="e">
        <f t="shared" si="91"/>
        <v>#DIV/0!</v>
      </c>
      <c r="HKB71" s="1159" t="e">
        <f t="shared" si="91"/>
        <v>#DIV/0!</v>
      </c>
      <c r="HKC71" s="1159" t="e">
        <f t="shared" si="91"/>
        <v>#DIV/0!</v>
      </c>
      <c r="HKD71" s="1159" t="e">
        <f t="shared" si="91"/>
        <v>#DIV/0!</v>
      </c>
      <c r="HKE71" s="1159" t="e">
        <f t="shared" si="91"/>
        <v>#DIV/0!</v>
      </c>
      <c r="HKF71" s="1159" t="e">
        <f t="shared" si="91"/>
        <v>#DIV/0!</v>
      </c>
      <c r="HKG71" s="1159" t="e">
        <f t="shared" si="91"/>
        <v>#DIV/0!</v>
      </c>
      <c r="HKH71" s="1159" t="e">
        <f t="shared" ref="HKH71:HMS71" si="92">((HKH6+HKH12+HKH13+HKH14+HKH15)*860+HKH16*HKH55+HKH17*HKH56+HKH7*HKH49+HKH8*HKH50+HKH9*HKH51+HKH10*HKH52+HKH11*HKH53)/(SUM(HKH6:HKH17))</f>
        <v>#DIV/0!</v>
      </c>
      <c r="HKI71" s="1159" t="e">
        <f t="shared" si="92"/>
        <v>#DIV/0!</v>
      </c>
      <c r="HKJ71" s="1159" t="e">
        <f t="shared" si="92"/>
        <v>#DIV/0!</v>
      </c>
      <c r="HKK71" s="1159" t="e">
        <f t="shared" si="92"/>
        <v>#DIV/0!</v>
      </c>
      <c r="HKL71" s="1159" t="e">
        <f t="shared" si="92"/>
        <v>#DIV/0!</v>
      </c>
      <c r="HKM71" s="1159" t="e">
        <f t="shared" si="92"/>
        <v>#DIV/0!</v>
      </c>
      <c r="HKN71" s="1159" t="e">
        <f t="shared" si="92"/>
        <v>#DIV/0!</v>
      </c>
      <c r="HKO71" s="1159" t="e">
        <f t="shared" si="92"/>
        <v>#DIV/0!</v>
      </c>
      <c r="HKP71" s="1159" t="e">
        <f t="shared" si="92"/>
        <v>#DIV/0!</v>
      </c>
      <c r="HKQ71" s="1159" t="e">
        <f t="shared" si="92"/>
        <v>#DIV/0!</v>
      </c>
      <c r="HKR71" s="1159" t="e">
        <f t="shared" si="92"/>
        <v>#DIV/0!</v>
      </c>
      <c r="HKS71" s="1159" t="e">
        <f t="shared" si="92"/>
        <v>#DIV/0!</v>
      </c>
      <c r="HKT71" s="1159" t="e">
        <f t="shared" si="92"/>
        <v>#DIV/0!</v>
      </c>
      <c r="HKU71" s="1159" t="e">
        <f t="shared" si="92"/>
        <v>#DIV/0!</v>
      </c>
      <c r="HKV71" s="1159" t="e">
        <f t="shared" si="92"/>
        <v>#DIV/0!</v>
      </c>
      <c r="HKW71" s="1159" t="e">
        <f t="shared" si="92"/>
        <v>#DIV/0!</v>
      </c>
      <c r="HKX71" s="1159" t="e">
        <f t="shared" si="92"/>
        <v>#DIV/0!</v>
      </c>
      <c r="HKY71" s="1159" t="e">
        <f t="shared" si="92"/>
        <v>#DIV/0!</v>
      </c>
      <c r="HKZ71" s="1159" t="e">
        <f t="shared" si="92"/>
        <v>#DIV/0!</v>
      </c>
      <c r="HLA71" s="1159" t="e">
        <f t="shared" si="92"/>
        <v>#DIV/0!</v>
      </c>
      <c r="HLB71" s="1159" t="e">
        <f t="shared" si="92"/>
        <v>#DIV/0!</v>
      </c>
      <c r="HLC71" s="1159" t="e">
        <f t="shared" si="92"/>
        <v>#DIV/0!</v>
      </c>
      <c r="HLD71" s="1159" t="e">
        <f t="shared" si="92"/>
        <v>#DIV/0!</v>
      </c>
      <c r="HLE71" s="1159" t="e">
        <f t="shared" si="92"/>
        <v>#DIV/0!</v>
      </c>
      <c r="HLF71" s="1159" t="e">
        <f t="shared" si="92"/>
        <v>#DIV/0!</v>
      </c>
      <c r="HLG71" s="1159" t="e">
        <f t="shared" si="92"/>
        <v>#DIV/0!</v>
      </c>
      <c r="HLH71" s="1159" t="e">
        <f t="shared" si="92"/>
        <v>#DIV/0!</v>
      </c>
      <c r="HLI71" s="1159" t="e">
        <f t="shared" si="92"/>
        <v>#DIV/0!</v>
      </c>
      <c r="HLJ71" s="1159" t="e">
        <f t="shared" si="92"/>
        <v>#DIV/0!</v>
      </c>
      <c r="HLK71" s="1159" t="e">
        <f t="shared" si="92"/>
        <v>#DIV/0!</v>
      </c>
      <c r="HLL71" s="1159" t="e">
        <f t="shared" si="92"/>
        <v>#DIV/0!</v>
      </c>
      <c r="HLM71" s="1159" t="e">
        <f t="shared" si="92"/>
        <v>#DIV/0!</v>
      </c>
      <c r="HLN71" s="1159" t="e">
        <f t="shared" si="92"/>
        <v>#DIV/0!</v>
      </c>
      <c r="HLO71" s="1159" t="e">
        <f t="shared" si="92"/>
        <v>#DIV/0!</v>
      </c>
      <c r="HLP71" s="1159" t="e">
        <f t="shared" si="92"/>
        <v>#DIV/0!</v>
      </c>
      <c r="HLQ71" s="1159" t="e">
        <f t="shared" si="92"/>
        <v>#DIV/0!</v>
      </c>
      <c r="HLR71" s="1159" t="e">
        <f t="shared" si="92"/>
        <v>#DIV/0!</v>
      </c>
      <c r="HLS71" s="1159" t="e">
        <f t="shared" si="92"/>
        <v>#DIV/0!</v>
      </c>
      <c r="HLT71" s="1159" t="e">
        <f t="shared" si="92"/>
        <v>#DIV/0!</v>
      </c>
      <c r="HLU71" s="1159" t="e">
        <f t="shared" si="92"/>
        <v>#DIV/0!</v>
      </c>
      <c r="HLV71" s="1159" t="e">
        <f t="shared" si="92"/>
        <v>#DIV/0!</v>
      </c>
      <c r="HLW71" s="1159" t="e">
        <f t="shared" si="92"/>
        <v>#DIV/0!</v>
      </c>
      <c r="HLX71" s="1159" t="e">
        <f t="shared" si="92"/>
        <v>#DIV/0!</v>
      </c>
      <c r="HLY71" s="1159" t="e">
        <f t="shared" si="92"/>
        <v>#DIV/0!</v>
      </c>
      <c r="HLZ71" s="1159" t="e">
        <f t="shared" si="92"/>
        <v>#DIV/0!</v>
      </c>
      <c r="HMA71" s="1159" t="e">
        <f t="shared" si="92"/>
        <v>#DIV/0!</v>
      </c>
      <c r="HMB71" s="1159" t="e">
        <f t="shared" si="92"/>
        <v>#DIV/0!</v>
      </c>
      <c r="HMC71" s="1159" t="e">
        <f t="shared" si="92"/>
        <v>#DIV/0!</v>
      </c>
      <c r="HMD71" s="1159" t="e">
        <f t="shared" si="92"/>
        <v>#DIV/0!</v>
      </c>
      <c r="HME71" s="1159" t="e">
        <f t="shared" si="92"/>
        <v>#DIV/0!</v>
      </c>
      <c r="HMF71" s="1159" t="e">
        <f t="shared" si="92"/>
        <v>#DIV/0!</v>
      </c>
      <c r="HMG71" s="1159" t="e">
        <f t="shared" si="92"/>
        <v>#DIV/0!</v>
      </c>
      <c r="HMH71" s="1159" t="e">
        <f t="shared" si="92"/>
        <v>#DIV/0!</v>
      </c>
      <c r="HMI71" s="1159" t="e">
        <f t="shared" si="92"/>
        <v>#DIV/0!</v>
      </c>
      <c r="HMJ71" s="1159" t="e">
        <f t="shared" si="92"/>
        <v>#DIV/0!</v>
      </c>
      <c r="HMK71" s="1159" t="e">
        <f t="shared" si="92"/>
        <v>#DIV/0!</v>
      </c>
      <c r="HML71" s="1159" t="e">
        <f t="shared" si="92"/>
        <v>#DIV/0!</v>
      </c>
      <c r="HMM71" s="1159" t="e">
        <f t="shared" si="92"/>
        <v>#DIV/0!</v>
      </c>
      <c r="HMN71" s="1159" t="e">
        <f t="shared" si="92"/>
        <v>#DIV/0!</v>
      </c>
      <c r="HMO71" s="1159" t="e">
        <f t="shared" si="92"/>
        <v>#DIV/0!</v>
      </c>
      <c r="HMP71" s="1159" t="e">
        <f t="shared" si="92"/>
        <v>#DIV/0!</v>
      </c>
      <c r="HMQ71" s="1159" t="e">
        <f t="shared" si="92"/>
        <v>#DIV/0!</v>
      </c>
      <c r="HMR71" s="1159" t="e">
        <f t="shared" si="92"/>
        <v>#DIV/0!</v>
      </c>
      <c r="HMS71" s="1159" t="e">
        <f t="shared" si="92"/>
        <v>#DIV/0!</v>
      </c>
      <c r="HMT71" s="1159" t="e">
        <f t="shared" ref="HMT71:HPE71" si="93">((HMT6+HMT12+HMT13+HMT14+HMT15)*860+HMT16*HMT55+HMT17*HMT56+HMT7*HMT49+HMT8*HMT50+HMT9*HMT51+HMT10*HMT52+HMT11*HMT53)/(SUM(HMT6:HMT17))</f>
        <v>#DIV/0!</v>
      </c>
      <c r="HMU71" s="1159" t="e">
        <f t="shared" si="93"/>
        <v>#DIV/0!</v>
      </c>
      <c r="HMV71" s="1159" t="e">
        <f t="shared" si="93"/>
        <v>#DIV/0!</v>
      </c>
      <c r="HMW71" s="1159" t="e">
        <f t="shared" si="93"/>
        <v>#DIV/0!</v>
      </c>
      <c r="HMX71" s="1159" t="e">
        <f t="shared" si="93"/>
        <v>#DIV/0!</v>
      </c>
      <c r="HMY71" s="1159" t="e">
        <f t="shared" si="93"/>
        <v>#DIV/0!</v>
      </c>
      <c r="HMZ71" s="1159" t="e">
        <f t="shared" si="93"/>
        <v>#DIV/0!</v>
      </c>
      <c r="HNA71" s="1159" t="e">
        <f t="shared" si="93"/>
        <v>#DIV/0!</v>
      </c>
      <c r="HNB71" s="1159" t="e">
        <f t="shared" si="93"/>
        <v>#DIV/0!</v>
      </c>
      <c r="HNC71" s="1159" t="e">
        <f t="shared" si="93"/>
        <v>#DIV/0!</v>
      </c>
      <c r="HND71" s="1159" t="e">
        <f t="shared" si="93"/>
        <v>#DIV/0!</v>
      </c>
      <c r="HNE71" s="1159" t="e">
        <f t="shared" si="93"/>
        <v>#DIV/0!</v>
      </c>
      <c r="HNF71" s="1159" t="e">
        <f t="shared" si="93"/>
        <v>#DIV/0!</v>
      </c>
      <c r="HNG71" s="1159" t="e">
        <f t="shared" si="93"/>
        <v>#DIV/0!</v>
      </c>
      <c r="HNH71" s="1159" t="e">
        <f t="shared" si="93"/>
        <v>#DIV/0!</v>
      </c>
      <c r="HNI71" s="1159" t="e">
        <f t="shared" si="93"/>
        <v>#DIV/0!</v>
      </c>
      <c r="HNJ71" s="1159" t="e">
        <f t="shared" si="93"/>
        <v>#DIV/0!</v>
      </c>
      <c r="HNK71" s="1159" t="e">
        <f t="shared" si="93"/>
        <v>#DIV/0!</v>
      </c>
      <c r="HNL71" s="1159" t="e">
        <f t="shared" si="93"/>
        <v>#DIV/0!</v>
      </c>
      <c r="HNM71" s="1159" t="e">
        <f t="shared" si="93"/>
        <v>#DIV/0!</v>
      </c>
      <c r="HNN71" s="1159" t="e">
        <f t="shared" si="93"/>
        <v>#DIV/0!</v>
      </c>
      <c r="HNO71" s="1159" t="e">
        <f t="shared" si="93"/>
        <v>#DIV/0!</v>
      </c>
      <c r="HNP71" s="1159" t="e">
        <f t="shared" si="93"/>
        <v>#DIV/0!</v>
      </c>
      <c r="HNQ71" s="1159" t="e">
        <f t="shared" si="93"/>
        <v>#DIV/0!</v>
      </c>
      <c r="HNR71" s="1159" t="e">
        <f t="shared" si="93"/>
        <v>#DIV/0!</v>
      </c>
      <c r="HNS71" s="1159" t="e">
        <f t="shared" si="93"/>
        <v>#DIV/0!</v>
      </c>
      <c r="HNT71" s="1159" t="e">
        <f t="shared" si="93"/>
        <v>#DIV/0!</v>
      </c>
      <c r="HNU71" s="1159" t="e">
        <f t="shared" si="93"/>
        <v>#DIV/0!</v>
      </c>
      <c r="HNV71" s="1159" t="e">
        <f t="shared" si="93"/>
        <v>#DIV/0!</v>
      </c>
      <c r="HNW71" s="1159" t="e">
        <f t="shared" si="93"/>
        <v>#DIV/0!</v>
      </c>
      <c r="HNX71" s="1159" t="e">
        <f t="shared" si="93"/>
        <v>#DIV/0!</v>
      </c>
      <c r="HNY71" s="1159" t="e">
        <f t="shared" si="93"/>
        <v>#DIV/0!</v>
      </c>
      <c r="HNZ71" s="1159" t="e">
        <f t="shared" si="93"/>
        <v>#DIV/0!</v>
      </c>
      <c r="HOA71" s="1159" t="e">
        <f t="shared" si="93"/>
        <v>#DIV/0!</v>
      </c>
      <c r="HOB71" s="1159" t="e">
        <f t="shared" si="93"/>
        <v>#DIV/0!</v>
      </c>
      <c r="HOC71" s="1159" t="e">
        <f t="shared" si="93"/>
        <v>#DIV/0!</v>
      </c>
      <c r="HOD71" s="1159" t="e">
        <f t="shared" si="93"/>
        <v>#DIV/0!</v>
      </c>
      <c r="HOE71" s="1159" t="e">
        <f t="shared" si="93"/>
        <v>#DIV/0!</v>
      </c>
      <c r="HOF71" s="1159" t="e">
        <f t="shared" si="93"/>
        <v>#DIV/0!</v>
      </c>
      <c r="HOG71" s="1159" t="e">
        <f t="shared" si="93"/>
        <v>#DIV/0!</v>
      </c>
      <c r="HOH71" s="1159" t="e">
        <f t="shared" si="93"/>
        <v>#DIV/0!</v>
      </c>
      <c r="HOI71" s="1159" t="e">
        <f t="shared" si="93"/>
        <v>#DIV/0!</v>
      </c>
      <c r="HOJ71" s="1159" t="e">
        <f t="shared" si="93"/>
        <v>#DIV/0!</v>
      </c>
      <c r="HOK71" s="1159" t="e">
        <f t="shared" si="93"/>
        <v>#DIV/0!</v>
      </c>
      <c r="HOL71" s="1159" t="e">
        <f t="shared" si="93"/>
        <v>#DIV/0!</v>
      </c>
      <c r="HOM71" s="1159" t="e">
        <f t="shared" si="93"/>
        <v>#DIV/0!</v>
      </c>
      <c r="HON71" s="1159" t="e">
        <f t="shared" si="93"/>
        <v>#DIV/0!</v>
      </c>
      <c r="HOO71" s="1159" t="e">
        <f t="shared" si="93"/>
        <v>#DIV/0!</v>
      </c>
      <c r="HOP71" s="1159" t="e">
        <f t="shared" si="93"/>
        <v>#DIV/0!</v>
      </c>
      <c r="HOQ71" s="1159" t="e">
        <f t="shared" si="93"/>
        <v>#DIV/0!</v>
      </c>
      <c r="HOR71" s="1159" t="e">
        <f t="shared" si="93"/>
        <v>#DIV/0!</v>
      </c>
      <c r="HOS71" s="1159" t="e">
        <f t="shared" si="93"/>
        <v>#DIV/0!</v>
      </c>
      <c r="HOT71" s="1159" t="e">
        <f t="shared" si="93"/>
        <v>#DIV/0!</v>
      </c>
      <c r="HOU71" s="1159" t="e">
        <f t="shared" si="93"/>
        <v>#DIV/0!</v>
      </c>
      <c r="HOV71" s="1159" t="e">
        <f t="shared" si="93"/>
        <v>#DIV/0!</v>
      </c>
      <c r="HOW71" s="1159" t="e">
        <f t="shared" si="93"/>
        <v>#DIV/0!</v>
      </c>
      <c r="HOX71" s="1159" t="e">
        <f t="shared" si="93"/>
        <v>#DIV/0!</v>
      </c>
      <c r="HOY71" s="1159" t="e">
        <f t="shared" si="93"/>
        <v>#DIV/0!</v>
      </c>
      <c r="HOZ71" s="1159" t="e">
        <f t="shared" si="93"/>
        <v>#DIV/0!</v>
      </c>
      <c r="HPA71" s="1159" t="e">
        <f t="shared" si="93"/>
        <v>#DIV/0!</v>
      </c>
      <c r="HPB71" s="1159" t="e">
        <f t="shared" si="93"/>
        <v>#DIV/0!</v>
      </c>
      <c r="HPC71" s="1159" t="e">
        <f t="shared" si="93"/>
        <v>#DIV/0!</v>
      </c>
      <c r="HPD71" s="1159" t="e">
        <f t="shared" si="93"/>
        <v>#DIV/0!</v>
      </c>
      <c r="HPE71" s="1159" t="e">
        <f t="shared" si="93"/>
        <v>#DIV/0!</v>
      </c>
      <c r="HPF71" s="1159" t="e">
        <f t="shared" ref="HPF71:HRQ71" si="94">((HPF6+HPF12+HPF13+HPF14+HPF15)*860+HPF16*HPF55+HPF17*HPF56+HPF7*HPF49+HPF8*HPF50+HPF9*HPF51+HPF10*HPF52+HPF11*HPF53)/(SUM(HPF6:HPF17))</f>
        <v>#DIV/0!</v>
      </c>
      <c r="HPG71" s="1159" t="e">
        <f t="shared" si="94"/>
        <v>#DIV/0!</v>
      </c>
      <c r="HPH71" s="1159" t="e">
        <f t="shared" si="94"/>
        <v>#DIV/0!</v>
      </c>
      <c r="HPI71" s="1159" t="e">
        <f t="shared" si="94"/>
        <v>#DIV/0!</v>
      </c>
      <c r="HPJ71" s="1159" t="e">
        <f t="shared" si="94"/>
        <v>#DIV/0!</v>
      </c>
      <c r="HPK71" s="1159" t="e">
        <f t="shared" si="94"/>
        <v>#DIV/0!</v>
      </c>
      <c r="HPL71" s="1159" t="e">
        <f t="shared" si="94"/>
        <v>#DIV/0!</v>
      </c>
      <c r="HPM71" s="1159" t="e">
        <f t="shared" si="94"/>
        <v>#DIV/0!</v>
      </c>
      <c r="HPN71" s="1159" t="e">
        <f t="shared" si="94"/>
        <v>#DIV/0!</v>
      </c>
      <c r="HPO71" s="1159" t="e">
        <f t="shared" si="94"/>
        <v>#DIV/0!</v>
      </c>
      <c r="HPP71" s="1159" t="e">
        <f t="shared" si="94"/>
        <v>#DIV/0!</v>
      </c>
      <c r="HPQ71" s="1159" t="e">
        <f t="shared" si="94"/>
        <v>#DIV/0!</v>
      </c>
      <c r="HPR71" s="1159" t="e">
        <f t="shared" si="94"/>
        <v>#DIV/0!</v>
      </c>
      <c r="HPS71" s="1159" t="e">
        <f t="shared" si="94"/>
        <v>#DIV/0!</v>
      </c>
      <c r="HPT71" s="1159" t="e">
        <f t="shared" si="94"/>
        <v>#DIV/0!</v>
      </c>
      <c r="HPU71" s="1159" t="e">
        <f t="shared" si="94"/>
        <v>#DIV/0!</v>
      </c>
      <c r="HPV71" s="1159" t="e">
        <f t="shared" si="94"/>
        <v>#DIV/0!</v>
      </c>
      <c r="HPW71" s="1159" t="e">
        <f t="shared" si="94"/>
        <v>#DIV/0!</v>
      </c>
      <c r="HPX71" s="1159" t="e">
        <f t="shared" si="94"/>
        <v>#DIV/0!</v>
      </c>
      <c r="HPY71" s="1159" t="e">
        <f t="shared" si="94"/>
        <v>#DIV/0!</v>
      </c>
      <c r="HPZ71" s="1159" t="e">
        <f t="shared" si="94"/>
        <v>#DIV/0!</v>
      </c>
      <c r="HQA71" s="1159" t="e">
        <f t="shared" si="94"/>
        <v>#DIV/0!</v>
      </c>
      <c r="HQB71" s="1159" t="e">
        <f t="shared" si="94"/>
        <v>#DIV/0!</v>
      </c>
      <c r="HQC71" s="1159" t="e">
        <f t="shared" si="94"/>
        <v>#DIV/0!</v>
      </c>
      <c r="HQD71" s="1159" t="e">
        <f t="shared" si="94"/>
        <v>#DIV/0!</v>
      </c>
      <c r="HQE71" s="1159" t="e">
        <f t="shared" si="94"/>
        <v>#DIV/0!</v>
      </c>
      <c r="HQF71" s="1159" t="e">
        <f t="shared" si="94"/>
        <v>#DIV/0!</v>
      </c>
      <c r="HQG71" s="1159" t="e">
        <f t="shared" si="94"/>
        <v>#DIV/0!</v>
      </c>
      <c r="HQH71" s="1159" t="e">
        <f t="shared" si="94"/>
        <v>#DIV/0!</v>
      </c>
      <c r="HQI71" s="1159" t="e">
        <f t="shared" si="94"/>
        <v>#DIV/0!</v>
      </c>
      <c r="HQJ71" s="1159" t="e">
        <f t="shared" si="94"/>
        <v>#DIV/0!</v>
      </c>
      <c r="HQK71" s="1159" t="e">
        <f t="shared" si="94"/>
        <v>#DIV/0!</v>
      </c>
      <c r="HQL71" s="1159" t="e">
        <f t="shared" si="94"/>
        <v>#DIV/0!</v>
      </c>
      <c r="HQM71" s="1159" t="e">
        <f t="shared" si="94"/>
        <v>#DIV/0!</v>
      </c>
      <c r="HQN71" s="1159" t="e">
        <f t="shared" si="94"/>
        <v>#DIV/0!</v>
      </c>
      <c r="HQO71" s="1159" t="e">
        <f t="shared" si="94"/>
        <v>#DIV/0!</v>
      </c>
      <c r="HQP71" s="1159" t="e">
        <f t="shared" si="94"/>
        <v>#DIV/0!</v>
      </c>
      <c r="HQQ71" s="1159" t="e">
        <f t="shared" si="94"/>
        <v>#DIV/0!</v>
      </c>
      <c r="HQR71" s="1159" t="e">
        <f t="shared" si="94"/>
        <v>#DIV/0!</v>
      </c>
      <c r="HQS71" s="1159" t="e">
        <f t="shared" si="94"/>
        <v>#DIV/0!</v>
      </c>
      <c r="HQT71" s="1159" t="e">
        <f t="shared" si="94"/>
        <v>#DIV/0!</v>
      </c>
      <c r="HQU71" s="1159" t="e">
        <f t="shared" si="94"/>
        <v>#DIV/0!</v>
      </c>
      <c r="HQV71" s="1159" t="e">
        <f t="shared" si="94"/>
        <v>#DIV/0!</v>
      </c>
      <c r="HQW71" s="1159" t="e">
        <f t="shared" si="94"/>
        <v>#DIV/0!</v>
      </c>
      <c r="HQX71" s="1159" t="e">
        <f t="shared" si="94"/>
        <v>#DIV/0!</v>
      </c>
      <c r="HQY71" s="1159" t="e">
        <f t="shared" si="94"/>
        <v>#DIV/0!</v>
      </c>
      <c r="HQZ71" s="1159" t="e">
        <f t="shared" si="94"/>
        <v>#DIV/0!</v>
      </c>
      <c r="HRA71" s="1159" t="e">
        <f t="shared" si="94"/>
        <v>#DIV/0!</v>
      </c>
      <c r="HRB71" s="1159" t="e">
        <f t="shared" si="94"/>
        <v>#DIV/0!</v>
      </c>
      <c r="HRC71" s="1159" t="e">
        <f t="shared" si="94"/>
        <v>#DIV/0!</v>
      </c>
      <c r="HRD71" s="1159" t="e">
        <f t="shared" si="94"/>
        <v>#DIV/0!</v>
      </c>
      <c r="HRE71" s="1159" t="e">
        <f t="shared" si="94"/>
        <v>#DIV/0!</v>
      </c>
      <c r="HRF71" s="1159" t="e">
        <f t="shared" si="94"/>
        <v>#DIV/0!</v>
      </c>
      <c r="HRG71" s="1159" t="e">
        <f t="shared" si="94"/>
        <v>#DIV/0!</v>
      </c>
      <c r="HRH71" s="1159" t="e">
        <f t="shared" si="94"/>
        <v>#DIV/0!</v>
      </c>
      <c r="HRI71" s="1159" t="e">
        <f t="shared" si="94"/>
        <v>#DIV/0!</v>
      </c>
      <c r="HRJ71" s="1159" t="e">
        <f t="shared" si="94"/>
        <v>#DIV/0!</v>
      </c>
      <c r="HRK71" s="1159" t="e">
        <f t="shared" si="94"/>
        <v>#DIV/0!</v>
      </c>
      <c r="HRL71" s="1159" t="e">
        <f t="shared" si="94"/>
        <v>#DIV/0!</v>
      </c>
      <c r="HRM71" s="1159" t="e">
        <f t="shared" si="94"/>
        <v>#DIV/0!</v>
      </c>
      <c r="HRN71" s="1159" t="e">
        <f t="shared" si="94"/>
        <v>#DIV/0!</v>
      </c>
      <c r="HRO71" s="1159" t="e">
        <f t="shared" si="94"/>
        <v>#DIV/0!</v>
      </c>
      <c r="HRP71" s="1159" t="e">
        <f t="shared" si="94"/>
        <v>#DIV/0!</v>
      </c>
      <c r="HRQ71" s="1159" t="e">
        <f t="shared" si="94"/>
        <v>#DIV/0!</v>
      </c>
      <c r="HRR71" s="1159" t="e">
        <f t="shared" ref="HRR71:HUC71" si="95">((HRR6+HRR12+HRR13+HRR14+HRR15)*860+HRR16*HRR55+HRR17*HRR56+HRR7*HRR49+HRR8*HRR50+HRR9*HRR51+HRR10*HRR52+HRR11*HRR53)/(SUM(HRR6:HRR17))</f>
        <v>#DIV/0!</v>
      </c>
      <c r="HRS71" s="1159" t="e">
        <f t="shared" si="95"/>
        <v>#DIV/0!</v>
      </c>
      <c r="HRT71" s="1159" t="e">
        <f t="shared" si="95"/>
        <v>#DIV/0!</v>
      </c>
      <c r="HRU71" s="1159" t="e">
        <f t="shared" si="95"/>
        <v>#DIV/0!</v>
      </c>
      <c r="HRV71" s="1159" t="e">
        <f t="shared" si="95"/>
        <v>#DIV/0!</v>
      </c>
      <c r="HRW71" s="1159" t="e">
        <f t="shared" si="95"/>
        <v>#DIV/0!</v>
      </c>
      <c r="HRX71" s="1159" t="e">
        <f t="shared" si="95"/>
        <v>#DIV/0!</v>
      </c>
      <c r="HRY71" s="1159" t="e">
        <f t="shared" si="95"/>
        <v>#DIV/0!</v>
      </c>
      <c r="HRZ71" s="1159" t="e">
        <f t="shared" si="95"/>
        <v>#DIV/0!</v>
      </c>
      <c r="HSA71" s="1159" t="e">
        <f t="shared" si="95"/>
        <v>#DIV/0!</v>
      </c>
      <c r="HSB71" s="1159" t="e">
        <f t="shared" si="95"/>
        <v>#DIV/0!</v>
      </c>
      <c r="HSC71" s="1159" t="e">
        <f t="shared" si="95"/>
        <v>#DIV/0!</v>
      </c>
      <c r="HSD71" s="1159" t="e">
        <f t="shared" si="95"/>
        <v>#DIV/0!</v>
      </c>
      <c r="HSE71" s="1159" t="e">
        <f t="shared" si="95"/>
        <v>#DIV/0!</v>
      </c>
      <c r="HSF71" s="1159" t="e">
        <f t="shared" si="95"/>
        <v>#DIV/0!</v>
      </c>
      <c r="HSG71" s="1159" t="e">
        <f t="shared" si="95"/>
        <v>#DIV/0!</v>
      </c>
      <c r="HSH71" s="1159" t="e">
        <f t="shared" si="95"/>
        <v>#DIV/0!</v>
      </c>
      <c r="HSI71" s="1159" t="e">
        <f t="shared" si="95"/>
        <v>#DIV/0!</v>
      </c>
      <c r="HSJ71" s="1159" t="e">
        <f t="shared" si="95"/>
        <v>#DIV/0!</v>
      </c>
      <c r="HSK71" s="1159" t="e">
        <f t="shared" si="95"/>
        <v>#DIV/0!</v>
      </c>
      <c r="HSL71" s="1159" t="e">
        <f t="shared" si="95"/>
        <v>#DIV/0!</v>
      </c>
      <c r="HSM71" s="1159" t="e">
        <f t="shared" si="95"/>
        <v>#DIV/0!</v>
      </c>
      <c r="HSN71" s="1159" t="e">
        <f t="shared" si="95"/>
        <v>#DIV/0!</v>
      </c>
      <c r="HSO71" s="1159" t="e">
        <f t="shared" si="95"/>
        <v>#DIV/0!</v>
      </c>
      <c r="HSP71" s="1159" t="e">
        <f t="shared" si="95"/>
        <v>#DIV/0!</v>
      </c>
      <c r="HSQ71" s="1159" t="e">
        <f t="shared" si="95"/>
        <v>#DIV/0!</v>
      </c>
      <c r="HSR71" s="1159" t="e">
        <f t="shared" si="95"/>
        <v>#DIV/0!</v>
      </c>
      <c r="HSS71" s="1159" t="e">
        <f t="shared" si="95"/>
        <v>#DIV/0!</v>
      </c>
      <c r="HST71" s="1159" t="e">
        <f t="shared" si="95"/>
        <v>#DIV/0!</v>
      </c>
      <c r="HSU71" s="1159" t="e">
        <f t="shared" si="95"/>
        <v>#DIV/0!</v>
      </c>
      <c r="HSV71" s="1159" t="e">
        <f t="shared" si="95"/>
        <v>#DIV/0!</v>
      </c>
      <c r="HSW71" s="1159" t="e">
        <f t="shared" si="95"/>
        <v>#DIV/0!</v>
      </c>
      <c r="HSX71" s="1159" t="e">
        <f t="shared" si="95"/>
        <v>#DIV/0!</v>
      </c>
      <c r="HSY71" s="1159" t="e">
        <f t="shared" si="95"/>
        <v>#DIV/0!</v>
      </c>
      <c r="HSZ71" s="1159" t="e">
        <f t="shared" si="95"/>
        <v>#DIV/0!</v>
      </c>
      <c r="HTA71" s="1159" t="e">
        <f t="shared" si="95"/>
        <v>#DIV/0!</v>
      </c>
      <c r="HTB71" s="1159" t="e">
        <f t="shared" si="95"/>
        <v>#DIV/0!</v>
      </c>
      <c r="HTC71" s="1159" t="e">
        <f t="shared" si="95"/>
        <v>#DIV/0!</v>
      </c>
      <c r="HTD71" s="1159" t="e">
        <f t="shared" si="95"/>
        <v>#DIV/0!</v>
      </c>
      <c r="HTE71" s="1159" t="e">
        <f t="shared" si="95"/>
        <v>#DIV/0!</v>
      </c>
      <c r="HTF71" s="1159" t="e">
        <f t="shared" si="95"/>
        <v>#DIV/0!</v>
      </c>
      <c r="HTG71" s="1159" t="e">
        <f t="shared" si="95"/>
        <v>#DIV/0!</v>
      </c>
      <c r="HTH71" s="1159" t="e">
        <f t="shared" si="95"/>
        <v>#DIV/0!</v>
      </c>
      <c r="HTI71" s="1159" t="e">
        <f t="shared" si="95"/>
        <v>#DIV/0!</v>
      </c>
      <c r="HTJ71" s="1159" t="e">
        <f t="shared" si="95"/>
        <v>#DIV/0!</v>
      </c>
      <c r="HTK71" s="1159" t="e">
        <f t="shared" si="95"/>
        <v>#DIV/0!</v>
      </c>
      <c r="HTL71" s="1159" t="e">
        <f t="shared" si="95"/>
        <v>#DIV/0!</v>
      </c>
      <c r="HTM71" s="1159" t="e">
        <f t="shared" si="95"/>
        <v>#DIV/0!</v>
      </c>
      <c r="HTN71" s="1159" t="e">
        <f t="shared" si="95"/>
        <v>#DIV/0!</v>
      </c>
      <c r="HTO71" s="1159" t="e">
        <f t="shared" si="95"/>
        <v>#DIV/0!</v>
      </c>
      <c r="HTP71" s="1159" t="e">
        <f t="shared" si="95"/>
        <v>#DIV/0!</v>
      </c>
      <c r="HTQ71" s="1159" t="e">
        <f t="shared" si="95"/>
        <v>#DIV/0!</v>
      </c>
      <c r="HTR71" s="1159" t="e">
        <f t="shared" si="95"/>
        <v>#DIV/0!</v>
      </c>
      <c r="HTS71" s="1159" t="e">
        <f t="shared" si="95"/>
        <v>#DIV/0!</v>
      </c>
      <c r="HTT71" s="1159" t="e">
        <f t="shared" si="95"/>
        <v>#DIV/0!</v>
      </c>
      <c r="HTU71" s="1159" t="e">
        <f t="shared" si="95"/>
        <v>#DIV/0!</v>
      </c>
      <c r="HTV71" s="1159" t="e">
        <f t="shared" si="95"/>
        <v>#DIV/0!</v>
      </c>
      <c r="HTW71" s="1159" t="e">
        <f t="shared" si="95"/>
        <v>#DIV/0!</v>
      </c>
      <c r="HTX71" s="1159" t="e">
        <f t="shared" si="95"/>
        <v>#DIV/0!</v>
      </c>
      <c r="HTY71" s="1159" t="e">
        <f t="shared" si="95"/>
        <v>#DIV/0!</v>
      </c>
      <c r="HTZ71" s="1159" t="e">
        <f t="shared" si="95"/>
        <v>#DIV/0!</v>
      </c>
      <c r="HUA71" s="1159" t="e">
        <f t="shared" si="95"/>
        <v>#DIV/0!</v>
      </c>
      <c r="HUB71" s="1159" t="e">
        <f t="shared" si="95"/>
        <v>#DIV/0!</v>
      </c>
      <c r="HUC71" s="1159" t="e">
        <f t="shared" si="95"/>
        <v>#DIV/0!</v>
      </c>
      <c r="HUD71" s="1159" t="e">
        <f t="shared" ref="HUD71:HWO71" si="96">((HUD6+HUD12+HUD13+HUD14+HUD15)*860+HUD16*HUD55+HUD17*HUD56+HUD7*HUD49+HUD8*HUD50+HUD9*HUD51+HUD10*HUD52+HUD11*HUD53)/(SUM(HUD6:HUD17))</f>
        <v>#DIV/0!</v>
      </c>
      <c r="HUE71" s="1159" t="e">
        <f t="shared" si="96"/>
        <v>#DIV/0!</v>
      </c>
      <c r="HUF71" s="1159" t="e">
        <f t="shared" si="96"/>
        <v>#DIV/0!</v>
      </c>
      <c r="HUG71" s="1159" t="e">
        <f t="shared" si="96"/>
        <v>#DIV/0!</v>
      </c>
      <c r="HUH71" s="1159" t="e">
        <f t="shared" si="96"/>
        <v>#DIV/0!</v>
      </c>
      <c r="HUI71" s="1159" t="e">
        <f t="shared" si="96"/>
        <v>#DIV/0!</v>
      </c>
      <c r="HUJ71" s="1159" t="e">
        <f t="shared" si="96"/>
        <v>#DIV/0!</v>
      </c>
      <c r="HUK71" s="1159" t="e">
        <f t="shared" si="96"/>
        <v>#DIV/0!</v>
      </c>
      <c r="HUL71" s="1159" t="e">
        <f t="shared" si="96"/>
        <v>#DIV/0!</v>
      </c>
      <c r="HUM71" s="1159" t="e">
        <f t="shared" si="96"/>
        <v>#DIV/0!</v>
      </c>
      <c r="HUN71" s="1159" t="e">
        <f t="shared" si="96"/>
        <v>#DIV/0!</v>
      </c>
      <c r="HUO71" s="1159" t="e">
        <f t="shared" si="96"/>
        <v>#DIV/0!</v>
      </c>
      <c r="HUP71" s="1159" t="e">
        <f t="shared" si="96"/>
        <v>#DIV/0!</v>
      </c>
      <c r="HUQ71" s="1159" t="e">
        <f t="shared" si="96"/>
        <v>#DIV/0!</v>
      </c>
      <c r="HUR71" s="1159" t="e">
        <f t="shared" si="96"/>
        <v>#DIV/0!</v>
      </c>
      <c r="HUS71" s="1159" t="e">
        <f t="shared" si="96"/>
        <v>#DIV/0!</v>
      </c>
      <c r="HUT71" s="1159" t="e">
        <f t="shared" si="96"/>
        <v>#DIV/0!</v>
      </c>
      <c r="HUU71" s="1159" t="e">
        <f t="shared" si="96"/>
        <v>#DIV/0!</v>
      </c>
      <c r="HUV71" s="1159" t="e">
        <f t="shared" si="96"/>
        <v>#DIV/0!</v>
      </c>
      <c r="HUW71" s="1159" t="e">
        <f t="shared" si="96"/>
        <v>#DIV/0!</v>
      </c>
      <c r="HUX71" s="1159" t="e">
        <f t="shared" si="96"/>
        <v>#DIV/0!</v>
      </c>
      <c r="HUY71" s="1159" t="e">
        <f t="shared" si="96"/>
        <v>#DIV/0!</v>
      </c>
      <c r="HUZ71" s="1159" t="e">
        <f t="shared" si="96"/>
        <v>#DIV/0!</v>
      </c>
      <c r="HVA71" s="1159" t="e">
        <f t="shared" si="96"/>
        <v>#DIV/0!</v>
      </c>
      <c r="HVB71" s="1159" t="e">
        <f t="shared" si="96"/>
        <v>#DIV/0!</v>
      </c>
      <c r="HVC71" s="1159" t="e">
        <f t="shared" si="96"/>
        <v>#DIV/0!</v>
      </c>
      <c r="HVD71" s="1159" t="e">
        <f t="shared" si="96"/>
        <v>#DIV/0!</v>
      </c>
      <c r="HVE71" s="1159" t="e">
        <f t="shared" si="96"/>
        <v>#DIV/0!</v>
      </c>
      <c r="HVF71" s="1159" t="e">
        <f t="shared" si="96"/>
        <v>#DIV/0!</v>
      </c>
      <c r="HVG71" s="1159" t="e">
        <f t="shared" si="96"/>
        <v>#DIV/0!</v>
      </c>
      <c r="HVH71" s="1159" t="e">
        <f t="shared" si="96"/>
        <v>#DIV/0!</v>
      </c>
      <c r="HVI71" s="1159" t="e">
        <f t="shared" si="96"/>
        <v>#DIV/0!</v>
      </c>
      <c r="HVJ71" s="1159" t="e">
        <f t="shared" si="96"/>
        <v>#DIV/0!</v>
      </c>
      <c r="HVK71" s="1159" t="e">
        <f t="shared" si="96"/>
        <v>#DIV/0!</v>
      </c>
      <c r="HVL71" s="1159" t="e">
        <f t="shared" si="96"/>
        <v>#DIV/0!</v>
      </c>
      <c r="HVM71" s="1159" t="e">
        <f t="shared" si="96"/>
        <v>#DIV/0!</v>
      </c>
      <c r="HVN71" s="1159" t="e">
        <f t="shared" si="96"/>
        <v>#DIV/0!</v>
      </c>
      <c r="HVO71" s="1159" t="e">
        <f t="shared" si="96"/>
        <v>#DIV/0!</v>
      </c>
      <c r="HVP71" s="1159" t="e">
        <f t="shared" si="96"/>
        <v>#DIV/0!</v>
      </c>
      <c r="HVQ71" s="1159" t="e">
        <f t="shared" si="96"/>
        <v>#DIV/0!</v>
      </c>
      <c r="HVR71" s="1159" t="e">
        <f t="shared" si="96"/>
        <v>#DIV/0!</v>
      </c>
      <c r="HVS71" s="1159" t="e">
        <f t="shared" si="96"/>
        <v>#DIV/0!</v>
      </c>
      <c r="HVT71" s="1159" t="e">
        <f t="shared" si="96"/>
        <v>#DIV/0!</v>
      </c>
      <c r="HVU71" s="1159" t="e">
        <f t="shared" si="96"/>
        <v>#DIV/0!</v>
      </c>
      <c r="HVV71" s="1159" t="e">
        <f t="shared" si="96"/>
        <v>#DIV/0!</v>
      </c>
      <c r="HVW71" s="1159" t="e">
        <f t="shared" si="96"/>
        <v>#DIV/0!</v>
      </c>
      <c r="HVX71" s="1159" t="e">
        <f t="shared" si="96"/>
        <v>#DIV/0!</v>
      </c>
      <c r="HVY71" s="1159" t="e">
        <f t="shared" si="96"/>
        <v>#DIV/0!</v>
      </c>
      <c r="HVZ71" s="1159" t="e">
        <f t="shared" si="96"/>
        <v>#DIV/0!</v>
      </c>
      <c r="HWA71" s="1159" t="e">
        <f t="shared" si="96"/>
        <v>#DIV/0!</v>
      </c>
      <c r="HWB71" s="1159" t="e">
        <f t="shared" si="96"/>
        <v>#DIV/0!</v>
      </c>
      <c r="HWC71" s="1159" t="e">
        <f t="shared" si="96"/>
        <v>#DIV/0!</v>
      </c>
      <c r="HWD71" s="1159" t="e">
        <f t="shared" si="96"/>
        <v>#DIV/0!</v>
      </c>
      <c r="HWE71" s="1159" t="e">
        <f t="shared" si="96"/>
        <v>#DIV/0!</v>
      </c>
      <c r="HWF71" s="1159" t="e">
        <f t="shared" si="96"/>
        <v>#DIV/0!</v>
      </c>
      <c r="HWG71" s="1159" t="e">
        <f t="shared" si="96"/>
        <v>#DIV/0!</v>
      </c>
      <c r="HWH71" s="1159" t="e">
        <f t="shared" si="96"/>
        <v>#DIV/0!</v>
      </c>
      <c r="HWI71" s="1159" t="e">
        <f t="shared" si="96"/>
        <v>#DIV/0!</v>
      </c>
      <c r="HWJ71" s="1159" t="e">
        <f t="shared" si="96"/>
        <v>#DIV/0!</v>
      </c>
      <c r="HWK71" s="1159" t="e">
        <f t="shared" si="96"/>
        <v>#DIV/0!</v>
      </c>
      <c r="HWL71" s="1159" t="e">
        <f t="shared" si="96"/>
        <v>#DIV/0!</v>
      </c>
      <c r="HWM71" s="1159" t="e">
        <f t="shared" si="96"/>
        <v>#DIV/0!</v>
      </c>
      <c r="HWN71" s="1159" t="e">
        <f t="shared" si="96"/>
        <v>#DIV/0!</v>
      </c>
      <c r="HWO71" s="1159" t="e">
        <f t="shared" si="96"/>
        <v>#DIV/0!</v>
      </c>
      <c r="HWP71" s="1159" t="e">
        <f t="shared" ref="HWP71:HZA71" si="97">((HWP6+HWP12+HWP13+HWP14+HWP15)*860+HWP16*HWP55+HWP17*HWP56+HWP7*HWP49+HWP8*HWP50+HWP9*HWP51+HWP10*HWP52+HWP11*HWP53)/(SUM(HWP6:HWP17))</f>
        <v>#DIV/0!</v>
      </c>
      <c r="HWQ71" s="1159" t="e">
        <f t="shared" si="97"/>
        <v>#DIV/0!</v>
      </c>
      <c r="HWR71" s="1159" t="e">
        <f t="shared" si="97"/>
        <v>#DIV/0!</v>
      </c>
      <c r="HWS71" s="1159" t="e">
        <f t="shared" si="97"/>
        <v>#DIV/0!</v>
      </c>
      <c r="HWT71" s="1159" t="e">
        <f t="shared" si="97"/>
        <v>#DIV/0!</v>
      </c>
      <c r="HWU71" s="1159" t="e">
        <f t="shared" si="97"/>
        <v>#DIV/0!</v>
      </c>
      <c r="HWV71" s="1159" t="e">
        <f t="shared" si="97"/>
        <v>#DIV/0!</v>
      </c>
      <c r="HWW71" s="1159" t="e">
        <f t="shared" si="97"/>
        <v>#DIV/0!</v>
      </c>
      <c r="HWX71" s="1159" t="e">
        <f t="shared" si="97"/>
        <v>#DIV/0!</v>
      </c>
      <c r="HWY71" s="1159" t="e">
        <f t="shared" si="97"/>
        <v>#DIV/0!</v>
      </c>
      <c r="HWZ71" s="1159" t="e">
        <f t="shared" si="97"/>
        <v>#DIV/0!</v>
      </c>
      <c r="HXA71" s="1159" t="e">
        <f t="shared" si="97"/>
        <v>#DIV/0!</v>
      </c>
      <c r="HXB71" s="1159" t="e">
        <f t="shared" si="97"/>
        <v>#DIV/0!</v>
      </c>
      <c r="HXC71" s="1159" t="e">
        <f t="shared" si="97"/>
        <v>#DIV/0!</v>
      </c>
      <c r="HXD71" s="1159" t="e">
        <f t="shared" si="97"/>
        <v>#DIV/0!</v>
      </c>
      <c r="HXE71" s="1159" t="e">
        <f t="shared" si="97"/>
        <v>#DIV/0!</v>
      </c>
      <c r="HXF71" s="1159" t="e">
        <f t="shared" si="97"/>
        <v>#DIV/0!</v>
      </c>
      <c r="HXG71" s="1159" t="e">
        <f t="shared" si="97"/>
        <v>#DIV/0!</v>
      </c>
      <c r="HXH71" s="1159" t="e">
        <f t="shared" si="97"/>
        <v>#DIV/0!</v>
      </c>
      <c r="HXI71" s="1159" t="e">
        <f t="shared" si="97"/>
        <v>#DIV/0!</v>
      </c>
      <c r="HXJ71" s="1159" t="e">
        <f t="shared" si="97"/>
        <v>#DIV/0!</v>
      </c>
      <c r="HXK71" s="1159" t="e">
        <f t="shared" si="97"/>
        <v>#DIV/0!</v>
      </c>
      <c r="HXL71" s="1159" t="e">
        <f t="shared" si="97"/>
        <v>#DIV/0!</v>
      </c>
      <c r="HXM71" s="1159" t="e">
        <f t="shared" si="97"/>
        <v>#DIV/0!</v>
      </c>
      <c r="HXN71" s="1159" t="e">
        <f t="shared" si="97"/>
        <v>#DIV/0!</v>
      </c>
      <c r="HXO71" s="1159" t="e">
        <f t="shared" si="97"/>
        <v>#DIV/0!</v>
      </c>
      <c r="HXP71" s="1159" t="e">
        <f t="shared" si="97"/>
        <v>#DIV/0!</v>
      </c>
      <c r="HXQ71" s="1159" t="e">
        <f t="shared" si="97"/>
        <v>#DIV/0!</v>
      </c>
      <c r="HXR71" s="1159" t="e">
        <f t="shared" si="97"/>
        <v>#DIV/0!</v>
      </c>
      <c r="HXS71" s="1159" t="e">
        <f t="shared" si="97"/>
        <v>#DIV/0!</v>
      </c>
      <c r="HXT71" s="1159" t="e">
        <f t="shared" si="97"/>
        <v>#DIV/0!</v>
      </c>
      <c r="HXU71" s="1159" t="e">
        <f t="shared" si="97"/>
        <v>#DIV/0!</v>
      </c>
      <c r="HXV71" s="1159" t="e">
        <f t="shared" si="97"/>
        <v>#DIV/0!</v>
      </c>
      <c r="HXW71" s="1159" t="e">
        <f t="shared" si="97"/>
        <v>#DIV/0!</v>
      </c>
      <c r="HXX71" s="1159" t="e">
        <f t="shared" si="97"/>
        <v>#DIV/0!</v>
      </c>
      <c r="HXY71" s="1159" t="e">
        <f t="shared" si="97"/>
        <v>#DIV/0!</v>
      </c>
      <c r="HXZ71" s="1159" t="e">
        <f t="shared" si="97"/>
        <v>#DIV/0!</v>
      </c>
      <c r="HYA71" s="1159" t="e">
        <f t="shared" si="97"/>
        <v>#DIV/0!</v>
      </c>
      <c r="HYB71" s="1159" t="e">
        <f t="shared" si="97"/>
        <v>#DIV/0!</v>
      </c>
      <c r="HYC71" s="1159" t="e">
        <f t="shared" si="97"/>
        <v>#DIV/0!</v>
      </c>
      <c r="HYD71" s="1159" t="e">
        <f t="shared" si="97"/>
        <v>#DIV/0!</v>
      </c>
      <c r="HYE71" s="1159" t="e">
        <f t="shared" si="97"/>
        <v>#DIV/0!</v>
      </c>
      <c r="HYF71" s="1159" t="e">
        <f t="shared" si="97"/>
        <v>#DIV/0!</v>
      </c>
      <c r="HYG71" s="1159" t="e">
        <f t="shared" si="97"/>
        <v>#DIV/0!</v>
      </c>
      <c r="HYH71" s="1159" t="e">
        <f t="shared" si="97"/>
        <v>#DIV/0!</v>
      </c>
      <c r="HYI71" s="1159" t="e">
        <f t="shared" si="97"/>
        <v>#DIV/0!</v>
      </c>
      <c r="HYJ71" s="1159" t="e">
        <f t="shared" si="97"/>
        <v>#DIV/0!</v>
      </c>
      <c r="HYK71" s="1159" t="e">
        <f t="shared" si="97"/>
        <v>#DIV/0!</v>
      </c>
      <c r="HYL71" s="1159" t="e">
        <f t="shared" si="97"/>
        <v>#DIV/0!</v>
      </c>
      <c r="HYM71" s="1159" t="e">
        <f t="shared" si="97"/>
        <v>#DIV/0!</v>
      </c>
      <c r="HYN71" s="1159" t="e">
        <f t="shared" si="97"/>
        <v>#DIV/0!</v>
      </c>
      <c r="HYO71" s="1159" t="e">
        <f t="shared" si="97"/>
        <v>#DIV/0!</v>
      </c>
      <c r="HYP71" s="1159" t="e">
        <f t="shared" si="97"/>
        <v>#DIV/0!</v>
      </c>
      <c r="HYQ71" s="1159" t="e">
        <f t="shared" si="97"/>
        <v>#DIV/0!</v>
      </c>
      <c r="HYR71" s="1159" t="e">
        <f t="shared" si="97"/>
        <v>#DIV/0!</v>
      </c>
      <c r="HYS71" s="1159" t="e">
        <f t="shared" si="97"/>
        <v>#DIV/0!</v>
      </c>
      <c r="HYT71" s="1159" t="e">
        <f t="shared" si="97"/>
        <v>#DIV/0!</v>
      </c>
      <c r="HYU71" s="1159" t="e">
        <f t="shared" si="97"/>
        <v>#DIV/0!</v>
      </c>
      <c r="HYV71" s="1159" t="e">
        <f t="shared" si="97"/>
        <v>#DIV/0!</v>
      </c>
      <c r="HYW71" s="1159" t="e">
        <f t="shared" si="97"/>
        <v>#DIV/0!</v>
      </c>
      <c r="HYX71" s="1159" t="e">
        <f t="shared" si="97"/>
        <v>#DIV/0!</v>
      </c>
      <c r="HYY71" s="1159" t="e">
        <f t="shared" si="97"/>
        <v>#DIV/0!</v>
      </c>
      <c r="HYZ71" s="1159" t="e">
        <f t="shared" si="97"/>
        <v>#DIV/0!</v>
      </c>
      <c r="HZA71" s="1159" t="e">
        <f t="shared" si="97"/>
        <v>#DIV/0!</v>
      </c>
      <c r="HZB71" s="1159" t="e">
        <f t="shared" ref="HZB71:IBM71" si="98">((HZB6+HZB12+HZB13+HZB14+HZB15)*860+HZB16*HZB55+HZB17*HZB56+HZB7*HZB49+HZB8*HZB50+HZB9*HZB51+HZB10*HZB52+HZB11*HZB53)/(SUM(HZB6:HZB17))</f>
        <v>#DIV/0!</v>
      </c>
      <c r="HZC71" s="1159" t="e">
        <f t="shared" si="98"/>
        <v>#DIV/0!</v>
      </c>
      <c r="HZD71" s="1159" t="e">
        <f t="shared" si="98"/>
        <v>#DIV/0!</v>
      </c>
      <c r="HZE71" s="1159" t="e">
        <f t="shared" si="98"/>
        <v>#DIV/0!</v>
      </c>
      <c r="HZF71" s="1159" t="e">
        <f t="shared" si="98"/>
        <v>#DIV/0!</v>
      </c>
      <c r="HZG71" s="1159" t="e">
        <f t="shared" si="98"/>
        <v>#DIV/0!</v>
      </c>
      <c r="HZH71" s="1159" t="e">
        <f t="shared" si="98"/>
        <v>#DIV/0!</v>
      </c>
      <c r="HZI71" s="1159" t="e">
        <f t="shared" si="98"/>
        <v>#DIV/0!</v>
      </c>
      <c r="HZJ71" s="1159" t="e">
        <f t="shared" si="98"/>
        <v>#DIV/0!</v>
      </c>
      <c r="HZK71" s="1159" t="e">
        <f t="shared" si="98"/>
        <v>#DIV/0!</v>
      </c>
      <c r="HZL71" s="1159" t="e">
        <f t="shared" si="98"/>
        <v>#DIV/0!</v>
      </c>
      <c r="HZM71" s="1159" t="e">
        <f t="shared" si="98"/>
        <v>#DIV/0!</v>
      </c>
      <c r="HZN71" s="1159" t="e">
        <f t="shared" si="98"/>
        <v>#DIV/0!</v>
      </c>
      <c r="HZO71" s="1159" t="e">
        <f t="shared" si="98"/>
        <v>#DIV/0!</v>
      </c>
      <c r="HZP71" s="1159" t="e">
        <f t="shared" si="98"/>
        <v>#DIV/0!</v>
      </c>
      <c r="HZQ71" s="1159" t="e">
        <f t="shared" si="98"/>
        <v>#DIV/0!</v>
      </c>
      <c r="HZR71" s="1159" t="e">
        <f t="shared" si="98"/>
        <v>#DIV/0!</v>
      </c>
      <c r="HZS71" s="1159" t="e">
        <f t="shared" si="98"/>
        <v>#DIV/0!</v>
      </c>
      <c r="HZT71" s="1159" t="e">
        <f t="shared" si="98"/>
        <v>#DIV/0!</v>
      </c>
      <c r="HZU71" s="1159" t="e">
        <f t="shared" si="98"/>
        <v>#DIV/0!</v>
      </c>
      <c r="HZV71" s="1159" t="e">
        <f t="shared" si="98"/>
        <v>#DIV/0!</v>
      </c>
      <c r="HZW71" s="1159" t="e">
        <f t="shared" si="98"/>
        <v>#DIV/0!</v>
      </c>
      <c r="HZX71" s="1159" t="e">
        <f t="shared" si="98"/>
        <v>#DIV/0!</v>
      </c>
      <c r="HZY71" s="1159" t="e">
        <f t="shared" si="98"/>
        <v>#DIV/0!</v>
      </c>
      <c r="HZZ71" s="1159" t="e">
        <f t="shared" si="98"/>
        <v>#DIV/0!</v>
      </c>
      <c r="IAA71" s="1159" t="e">
        <f t="shared" si="98"/>
        <v>#DIV/0!</v>
      </c>
      <c r="IAB71" s="1159" t="e">
        <f t="shared" si="98"/>
        <v>#DIV/0!</v>
      </c>
      <c r="IAC71" s="1159" t="e">
        <f t="shared" si="98"/>
        <v>#DIV/0!</v>
      </c>
      <c r="IAD71" s="1159" t="e">
        <f t="shared" si="98"/>
        <v>#DIV/0!</v>
      </c>
      <c r="IAE71" s="1159" t="e">
        <f t="shared" si="98"/>
        <v>#DIV/0!</v>
      </c>
      <c r="IAF71" s="1159" t="e">
        <f t="shared" si="98"/>
        <v>#DIV/0!</v>
      </c>
      <c r="IAG71" s="1159" t="e">
        <f t="shared" si="98"/>
        <v>#DIV/0!</v>
      </c>
      <c r="IAH71" s="1159" t="e">
        <f t="shared" si="98"/>
        <v>#DIV/0!</v>
      </c>
      <c r="IAI71" s="1159" t="e">
        <f t="shared" si="98"/>
        <v>#DIV/0!</v>
      </c>
      <c r="IAJ71" s="1159" t="e">
        <f t="shared" si="98"/>
        <v>#DIV/0!</v>
      </c>
      <c r="IAK71" s="1159" t="e">
        <f t="shared" si="98"/>
        <v>#DIV/0!</v>
      </c>
      <c r="IAL71" s="1159" t="e">
        <f t="shared" si="98"/>
        <v>#DIV/0!</v>
      </c>
      <c r="IAM71" s="1159" t="e">
        <f t="shared" si="98"/>
        <v>#DIV/0!</v>
      </c>
      <c r="IAN71" s="1159" t="e">
        <f t="shared" si="98"/>
        <v>#DIV/0!</v>
      </c>
      <c r="IAO71" s="1159" t="e">
        <f t="shared" si="98"/>
        <v>#DIV/0!</v>
      </c>
      <c r="IAP71" s="1159" t="e">
        <f t="shared" si="98"/>
        <v>#DIV/0!</v>
      </c>
      <c r="IAQ71" s="1159" t="e">
        <f t="shared" si="98"/>
        <v>#DIV/0!</v>
      </c>
      <c r="IAR71" s="1159" t="e">
        <f t="shared" si="98"/>
        <v>#DIV/0!</v>
      </c>
      <c r="IAS71" s="1159" t="e">
        <f t="shared" si="98"/>
        <v>#DIV/0!</v>
      </c>
      <c r="IAT71" s="1159" t="e">
        <f t="shared" si="98"/>
        <v>#DIV/0!</v>
      </c>
      <c r="IAU71" s="1159" t="e">
        <f t="shared" si="98"/>
        <v>#DIV/0!</v>
      </c>
      <c r="IAV71" s="1159" t="e">
        <f t="shared" si="98"/>
        <v>#DIV/0!</v>
      </c>
      <c r="IAW71" s="1159" t="e">
        <f t="shared" si="98"/>
        <v>#DIV/0!</v>
      </c>
      <c r="IAX71" s="1159" t="e">
        <f t="shared" si="98"/>
        <v>#DIV/0!</v>
      </c>
      <c r="IAY71" s="1159" t="e">
        <f t="shared" si="98"/>
        <v>#DIV/0!</v>
      </c>
      <c r="IAZ71" s="1159" t="e">
        <f t="shared" si="98"/>
        <v>#DIV/0!</v>
      </c>
      <c r="IBA71" s="1159" t="e">
        <f t="shared" si="98"/>
        <v>#DIV/0!</v>
      </c>
      <c r="IBB71" s="1159" t="e">
        <f t="shared" si="98"/>
        <v>#DIV/0!</v>
      </c>
      <c r="IBC71" s="1159" t="e">
        <f t="shared" si="98"/>
        <v>#DIV/0!</v>
      </c>
      <c r="IBD71" s="1159" t="e">
        <f t="shared" si="98"/>
        <v>#DIV/0!</v>
      </c>
      <c r="IBE71" s="1159" t="e">
        <f t="shared" si="98"/>
        <v>#DIV/0!</v>
      </c>
      <c r="IBF71" s="1159" t="e">
        <f t="shared" si="98"/>
        <v>#DIV/0!</v>
      </c>
      <c r="IBG71" s="1159" t="e">
        <f t="shared" si="98"/>
        <v>#DIV/0!</v>
      </c>
      <c r="IBH71" s="1159" t="e">
        <f t="shared" si="98"/>
        <v>#DIV/0!</v>
      </c>
      <c r="IBI71" s="1159" t="e">
        <f t="shared" si="98"/>
        <v>#DIV/0!</v>
      </c>
      <c r="IBJ71" s="1159" t="e">
        <f t="shared" si="98"/>
        <v>#DIV/0!</v>
      </c>
      <c r="IBK71" s="1159" t="e">
        <f t="shared" si="98"/>
        <v>#DIV/0!</v>
      </c>
      <c r="IBL71" s="1159" t="e">
        <f t="shared" si="98"/>
        <v>#DIV/0!</v>
      </c>
      <c r="IBM71" s="1159" t="e">
        <f t="shared" si="98"/>
        <v>#DIV/0!</v>
      </c>
      <c r="IBN71" s="1159" t="e">
        <f t="shared" ref="IBN71:IDY71" si="99">((IBN6+IBN12+IBN13+IBN14+IBN15)*860+IBN16*IBN55+IBN17*IBN56+IBN7*IBN49+IBN8*IBN50+IBN9*IBN51+IBN10*IBN52+IBN11*IBN53)/(SUM(IBN6:IBN17))</f>
        <v>#DIV/0!</v>
      </c>
      <c r="IBO71" s="1159" t="e">
        <f t="shared" si="99"/>
        <v>#DIV/0!</v>
      </c>
      <c r="IBP71" s="1159" t="e">
        <f t="shared" si="99"/>
        <v>#DIV/0!</v>
      </c>
      <c r="IBQ71" s="1159" t="e">
        <f t="shared" si="99"/>
        <v>#DIV/0!</v>
      </c>
      <c r="IBR71" s="1159" t="e">
        <f t="shared" si="99"/>
        <v>#DIV/0!</v>
      </c>
      <c r="IBS71" s="1159" t="e">
        <f t="shared" si="99"/>
        <v>#DIV/0!</v>
      </c>
      <c r="IBT71" s="1159" t="e">
        <f t="shared" si="99"/>
        <v>#DIV/0!</v>
      </c>
      <c r="IBU71" s="1159" t="e">
        <f t="shared" si="99"/>
        <v>#DIV/0!</v>
      </c>
      <c r="IBV71" s="1159" t="e">
        <f t="shared" si="99"/>
        <v>#DIV/0!</v>
      </c>
      <c r="IBW71" s="1159" t="e">
        <f t="shared" si="99"/>
        <v>#DIV/0!</v>
      </c>
      <c r="IBX71" s="1159" t="e">
        <f t="shared" si="99"/>
        <v>#DIV/0!</v>
      </c>
      <c r="IBY71" s="1159" t="e">
        <f t="shared" si="99"/>
        <v>#DIV/0!</v>
      </c>
      <c r="IBZ71" s="1159" t="e">
        <f t="shared" si="99"/>
        <v>#DIV/0!</v>
      </c>
      <c r="ICA71" s="1159" t="e">
        <f t="shared" si="99"/>
        <v>#DIV/0!</v>
      </c>
      <c r="ICB71" s="1159" t="e">
        <f t="shared" si="99"/>
        <v>#DIV/0!</v>
      </c>
      <c r="ICC71" s="1159" t="e">
        <f t="shared" si="99"/>
        <v>#DIV/0!</v>
      </c>
      <c r="ICD71" s="1159" t="e">
        <f t="shared" si="99"/>
        <v>#DIV/0!</v>
      </c>
      <c r="ICE71" s="1159" t="e">
        <f t="shared" si="99"/>
        <v>#DIV/0!</v>
      </c>
      <c r="ICF71" s="1159" t="e">
        <f t="shared" si="99"/>
        <v>#DIV/0!</v>
      </c>
      <c r="ICG71" s="1159" t="e">
        <f t="shared" si="99"/>
        <v>#DIV/0!</v>
      </c>
      <c r="ICH71" s="1159" t="e">
        <f t="shared" si="99"/>
        <v>#DIV/0!</v>
      </c>
      <c r="ICI71" s="1159" t="e">
        <f t="shared" si="99"/>
        <v>#DIV/0!</v>
      </c>
      <c r="ICJ71" s="1159" t="e">
        <f t="shared" si="99"/>
        <v>#DIV/0!</v>
      </c>
      <c r="ICK71" s="1159" t="e">
        <f t="shared" si="99"/>
        <v>#DIV/0!</v>
      </c>
      <c r="ICL71" s="1159" t="e">
        <f t="shared" si="99"/>
        <v>#DIV/0!</v>
      </c>
      <c r="ICM71" s="1159" t="e">
        <f t="shared" si="99"/>
        <v>#DIV/0!</v>
      </c>
      <c r="ICN71" s="1159" t="e">
        <f t="shared" si="99"/>
        <v>#DIV/0!</v>
      </c>
      <c r="ICO71" s="1159" t="e">
        <f t="shared" si="99"/>
        <v>#DIV/0!</v>
      </c>
      <c r="ICP71" s="1159" t="e">
        <f t="shared" si="99"/>
        <v>#DIV/0!</v>
      </c>
      <c r="ICQ71" s="1159" t="e">
        <f t="shared" si="99"/>
        <v>#DIV/0!</v>
      </c>
      <c r="ICR71" s="1159" t="e">
        <f t="shared" si="99"/>
        <v>#DIV/0!</v>
      </c>
      <c r="ICS71" s="1159" t="e">
        <f t="shared" si="99"/>
        <v>#DIV/0!</v>
      </c>
      <c r="ICT71" s="1159" t="e">
        <f t="shared" si="99"/>
        <v>#DIV/0!</v>
      </c>
      <c r="ICU71" s="1159" t="e">
        <f t="shared" si="99"/>
        <v>#DIV/0!</v>
      </c>
      <c r="ICV71" s="1159" t="e">
        <f t="shared" si="99"/>
        <v>#DIV/0!</v>
      </c>
      <c r="ICW71" s="1159" t="e">
        <f t="shared" si="99"/>
        <v>#DIV/0!</v>
      </c>
      <c r="ICX71" s="1159" t="e">
        <f t="shared" si="99"/>
        <v>#DIV/0!</v>
      </c>
      <c r="ICY71" s="1159" t="e">
        <f t="shared" si="99"/>
        <v>#DIV/0!</v>
      </c>
      <c r="ICZ71" s="1159" t="e">
        <f t="shared" si="99"/>
        <v>#DIV/0!</v>
      </c>
      <c r="IDA71" s="1159" t="e">
        <f t="shared" si="99"/>
        <v>#DIV/0!</v>
      </c>
      <c r="IDB71" s="1159" t="e">
        <f t="shared" si="99"/>
        <v>#DIV/0!</v>
      </c>
      <c r="IDC71" s="1159" t="e">
        <f t="shared" si="99"/>
        <v>#DIV/0!</v>
      </c>
      <c r="IDD71" s="1159" t="e">
        <f t="shared" si="99"/>
        <v>#DIV/0!</v>
      </c>
      <c r="IDE71" s="1159" t="e">
        <f t="shared" si="99"/>
        <v>#DIV/0!</v>
      </c>
      <c r="IDF71" s="1159" t="e">
        <f t="shared" si="99"/>
        <v>#DIV/0!</v>
      </c>
      <c r="IDG71" s="1159" t="e">
        <f t="shared" si="99"/>
        <v>#DIV/0!</v>
      </c>
      <c r="IDH71" s="1159" t="e">
        <f t="shared" si="99"/>
        <v>#DIV/0!</v>
      </c>
      <c r="IDI71" s="1159" t="e">
        <f t="shared" si="99"/>
        <v>#DIV/0!</v>
      </c>
      <c r="IDJ71" s="1159" t="e">
        <f t="shared" si="99"/>
        <v>#DIV/0!</v>
      </c>
      <c r="IDK71" s="1159" t="e">
        <f t="shared" si="99"/>
        <v>#DIV/0!</v>
      </c>
      <c r="IDL71" s="1159" t="e">
        <f t="shared" si="99"/>
        <v>#DIV/0!</v>
      </c>
      <c r="IDM71" s="1159" t="e">
        <f t="shared" si="99"/>
        <v>#DIV/0!</v>
      </c>
      <c r="IDN71" s="1159" t="e">
        <f t="shared" si="99"/>
        <v>#DIV/0!</v>
      </c>
      <c r="IDO71" s="1159" t="e">
        <f t="shared" si="99"/>
        <v>#DIV/0!</v>
      </c>
      <c r="IDP71" s="1159" t="e">
        <f t="shared" si="99"/>
        <v>#DIV/0!</v>
      </c>
      <c r="IDQ71" s="1159" t="e">
        <f t="shared" si="99"/>
        <v>#DIV/0!</v>
      </c>
      <c r="IDR71" s="1159" t="e">
        <f t="shared" si="99"/>
        <v>#DIV/0!</v>
      </c>
      <c r="IDS71" s="1159" t="e">
        <f t="shared" si="99"/>
        <v>#DIV/0!</v>
      </c>
      <c r="IDT71" s="1159" t="e">
        <f t="shared" si="99"/>
        <v>#DIV/0!</v>
      </c>
      <c r="IDU71" s="1159" t="e">
        <f t="shared" si="99"/>
        <v>#DIV/0!</v>
      </c>
      <c r="IDV71" s="1159" t="e">
        <f t="shared" si="99"/>
        <v>#DIV/0!</v>
      </c>
      <c r="IDW71" s="1159" t="e">
        <f t="shared" si="99"/>
        <v>#DIV/0!</v>
      </c>
      <c r="IDX71" s="1159" t="e">
        <f t="shared" si="99"/>
        <v>#DIV/0!</v>
      </c>
      <c r="IDY71" s="1159" t="e">
        <f t="shared" si="99"/>
        <v>#DIV/0!</v>
      </c>
      <c r="IDZ71" s="1159" t="e">
        <f t="shared" ref="IDZ71:IGK71" si="100">((IDZ6+IDZ12+IDZ13+IDZ14+IDZ15)*860+IDZ16*IDZ55+IDZ17*IDZ56+IDZ7*IDZ49+IDZ8*IDZ50+IDZ9*IDZ51+IDZ10*IDZ52+IDZ11*IDZ53)/(SUM(IDZ6:IDZ17))</f>
        <v>#DIV/0!</v>
      </c>
      <c r="IEA71" s="1159" t="e">
        <f t="shared" si="100"/>
        <v>#DIV/0!</v>
      </c>
      <c r="IEB71" s="1159" t="e">
        <f t="shared" si="100"/>
        <v>#DIV/0!</v>
      </c>
      <c r="IEC71" s="1159" t="e">
        <f t="shared" si="100"/>
        <v>#DIV/0!</v>
      </c>
      <c r="IED71" s="1159" t="e">
        <f t="shared" si="100"/>
        <v>#DIV/0!</v>
      </c>
      <c r="IEE71" s="1159" t="e">
        <f t="shared" si="100"/>
        <v>#DIV/0!</v>
      </c>
      <c r="IEF71" s="1159" t="e">
        <f t="shared" si="100"/>
        <v>#DIV/0!</v>
      </c>
      <c r="IEG71" s="1159" t="e">
        <f t="shared" si="100"/>
        <v>#DIV/0!</v>
      </c>
      <c r="IEH71" s="1159" t="e">
        <f t="shared" si="100"/>
        <v>#DIV/0!</v>
      </c>
      <c r="IEI71" s="1159" t="e">
        <f t="shared" si="100"/>
        <v>#DIV/0!</v>
      </c>
      <c r="IEJ71" s="1159" t="e">
        <f t="shared" si="100"/>
        <v>#DIV/0!</v>
      </c>
      <c r="IEK71" s="1159" t="e">
        <f t="shared" si="100"/>
        <v>#DIV/0!</v>
      </c>
      <c r="IEL71" s="1159" t="e">
        <f t="shared" si="100"/>
        <v>#DIV/0!</v>
      </c>
      <c r="IEM71" s="1159" t="e">
        <f t="shared" si="100"/>
        <v>#DIV/0!</v>
      </c>
      <c r="IEN71" s="1159" t="e">
        <f t="shared" si="100"/>
        <v>#DIV/0!</v>
      </c>
      <c r="IEO71" s="1159" t="e">
        <f t="shared" si="100"/>
        <v>#DIV/0!</v>
      </c>
      <c r="IEP71" s="1159" t="e">
        <f t="shared" si="100"/>
        <v>#DIV/0!</v>
      </c>
      <c r="IEQ71" s="1159" t="e">
        <f t="shared" si="100"/>
        <v>#DIV/0!</v>
      </c>
      <c r="IER71" s="1159" t="e">
        <f t="shared" si="100"/>
        <v>#DIV/0!</v>
      </c>
      <c r="IES71" s="1159" t="e">
        <f t="shared" si="100"/>
        <v>#DIV/0!</v>
      </c>
      <c r="IET71" s="1159" t="e">
        <f t="shared" si="100"/>
        <v>#DIV/0!</v>
      </c>
      <c r="IEU71" s="1159" t="e">
        <f t="shared" si="100"/>
        <v>#DIV/0!</v>
      </c>
      <c r="IEV71" s="1159" t="e">
        <f t="shared" si="100"/>
        <v>#DIV/0!</v>
      </c>
      <c r="IEW71" s="1159" t="e">
        <f t="shared" si="100"/>
        <v>#DIV/0!</v>
      </c>
      <c r="IEX71" s="1159" t="e">
        <f t="shared" si="100"/>
        <v>#DIV/0!</v>
      </c>
      <c r="IEY71" s="1159" t="e">
        <f t="shared" si="100"/>
        <v>#DIV/0!</v>
      </c>
      <c r="IEZ71" s="1159" t="e">
        <f t="shared" si="100"/>
        <v>#DIV/0!</v>
      </c>
      <c r="IFA71" s="1159" t="e">
        <f t="shared" si="100"/>
        <v>#DIV/0!</v>
      </c>
      <c r="IFB71" s="1159" t="e">
        <f t="shared" si="100"/>
        <v>#DIV/0!</v>
      </c>
      <c r="IFC71" s="1159" t="e">
        <f t="shared" si="100"/>
        <v>#DIV/0!</v>
      </c>
      <c r="IFD71" s="1159" t="e">
        <f t="shared" si="100"/>
        <v>#DIV/0!</v>
      </c>
      <c r="IFE71" s="1159" t="e">
        <f t="shared" si="100"/>
        <v>#DIV/0!</v>
      </c>
      <c r="IFF71" s="1159" t="e">
        <f t="shared" si="100"/>
        <v>#DIV/0!</v>
      </c>
      <c r="IFG71" s="1159" t="e">
        <f t="shared" si="100"/>
        <v>#DIV/0!</v>
      </c>
      <c r="IFH71" s="1159" t="e">
        <f t="shared" si="100"/>
        <v>#DIV/0!</v>
      </c>
      <c r="IFI71" s="1159" t="e">
        <f t="shared" si="100"/>
        <v>#DIV/0!</v>
      </c>
      <c r="IFJ71" s="1159" t="e">
        <f t="shared" si="100"/>
        <v>#DIV/0!</v>
      </c>
      <c r="IFK71" s="1159" t="e">
        <f t="shared" si="100"/>
        <v>#DIV/0!</v>
      </c>
      <c r="IFL71" s="1159" t="e">
        <f t="shared" si="100"/>
        <v>#DIV/0!</v>
      </c>
      <c r="IFM71" s="1159" t="e">
        <f t="shared" si="100"/>
        <v>#DIV/0!</v>
      </c>
      <c r="IFN71" s="1159" t="e">
        <f t="shared" si="100"/>
        <v>#DIV/0!</v>
      </c>
      <c r="IFO71" s="1159" t="e">
        <f t="shared" si="100"/>
        <v>#DIV/0!</v>
      </c>
      <c r="IFP71" s="1159" t="e">
        <f t="shared" si="100"/>
        <v>#DIV/0!</v>
      </c>
      <c r="IFQ71" s="1159" t="e">
        <f t="shared" si="100"/>
        <v>#DIV/0!</v>
      </c>
      <c r="IFR71" s="1159" t="e">
        <f t="shared" si="100"/>
        <v>#DIV/0!</v>
      </c>
      <c r="IFS71" s="1159" t="e">
        <f t="shared" si="100"/>
        <v>#DIV/0!</v>
      </c>
      <c r="IFT71" s="1159" t="e">
        <f t="shared" si="100"/>
        <v>#DIV/0!</v>
      </c>
      <c r="IFU71" s="1159" t="e">
        <f t="shared" si="100"/>
        <v>#DIV/0!</v>
      </c>
      <c r="IFV71" s="1159" t="e">
        <f t="shared" si="100"/>
        <v>#DIV/0!</v>
      </c>
      <c r="IFW71" s="1159" t="e">
        <f t="shared" si="100"/>
        <v>#DIV/0!</v>
      </c>
      <c r="IFX71" s="1159" t="e">
        <f t="shared" si="100"/>
        <v>#DIV/0!</v>
      </c>
      <c r="IFY71" s="1159" t="e">
        <f t="shared" si="100"/>
        <v>#DIV/0!</v>
      </c>
      <c r="IFZ71" s="1159" t="e">
        <f t="shared" si="100"/>
        <v>#DIV/0!</v>
      </c>
      <c r="IGA71" s="1159" t="e">
        <f t="shared" si="100"/>
        <v>#DIV/0!</v>
      </c>
      <c r="IGB71" s="1159" t="e">
        <f t="shared" si="100"/>
        <v>#DIV/0!</v>
      </c>
      <c r="IGC71" s="1159" t="e">
        <f t="shared" si="100"/>
        <v>#DIV/0!</v>
      </c>
      <c r="IGD71" s="1159" t="e">
        <f t="shared" si="100"/>
        <v>#DIV/0!</v>
      </c>
      <c r="IGE71" s="1159" t="e">
        <f t="shared" si="100"/>
        <v>#DIV/0!</v>
      </c>
      <c r="IGF71" s="1159" t="e">
        <f t="shared" si="100"/>
        <v>#DIV/0!</v>
      </c>
      <c r="IGG71" s="1159" t="e">
        <f t="shared" si="100"/>
        <v>#DIV/0!</v>
      </c>
      <c r="IGH71" s="1159" t="e">
        <f t="shared" si="100"/>
        <v>#DIV/0!</v>
      </c>
      <c r="IGI71" s="1159" t="e">
        <f t="shared" si="100"/>
        <v>#DIV/0!</v>
      </c>
      <c r="IGJ71" s="1159" t="e">
        <f t="shared" si="100"/>
        <v>#DIV/0!</v>
      </c>
      <c r="IGK71" s="1159" t="e">
        <f t="shared" si="100"/>
        <v>#DIV/0!</v>
      </c>
      <c r="IGL71" s="1159" t="e">
        <f t="shared" ref="IGL71:IIW71" si="101">((IGL6+IGL12+IGL13+IGL14+IGL15)*860+IGL16*IGL55+IGL17*IGL56+IGL7*IGL49+IGL8*IGL50+IGL9*IGL51+IGL10*IGL52+IGL11*IGL53)/(SUM(IGL6:IGL17))</f>
        <v>#DIV/0!</v>
      </c>
      <c r="IGM71" s="1159" t="e">
        <f t="shared" si="101"/>
        <v>#DIV/0!</v>
      </c>
      <c r="IGN71" s="1159" t="e">
        <f t="shared" si="101"/>
        <v>#DIV/0!</v>
      </c>
      <c r="IGO71" s="1159" t="e">
        <f t="shared" si="101"/>
        <v>#DIV/0!</v>
      </c>
      <c r="IGP71" s="1159" t="e">
        <f t="shared" si="101"/>
        <v>#DIV/0!</v>
      </c>
      <c r="IGQ71" s="1159" t="e">
        <f t="shared" si="101"/>
        <v>#DIV/0!</v>
      </c>
      <c r="IGR71" s="1159" t="e">
        <f t="shared" si="101"/>
        <v>#DIV/0!</v>
      </c>
      <c r="IGS71" s="1159" t="e">
        <f t="shared" si="101"/>
        <v>#DIV/0!</v>
      </c>
      <c r="IGT71" s="1159" t="e">
        <f t="shared" si="101"/>
        <v>#DIV/0!</v>
      </c>
      <c r="IGU71" s="1159" t="e">
        <f t="shared" si="101"/>
        <v>#DIV/0!</v>
      </c>
      <c r="IGV71" s="1159" t="e">
        <f t="shared" si="101"/>
        <v>#DIV/0!</v>
      </c>
      <c r="IGW71" s="1159" t="e">
        <f t="shared" si="101"/>
        <v>#DIV/0!</v>
      </c>
      <c r="IGX71" s="1159" t="e">
        <f t="shared" si="101"/>
        <v>#DIV/0!</v>
      </c>
      <c r="IGY71" s="1159" t="e">
        <f t="shared" si="101"/>
        <v>#DIV/0!</v>
      </c>
      <c r="IGZ71" s="1159" t="e">
        <f t="shared" si="101"/>
        <v>#DIV/0!</v>
      </c>
      <c r="IHA71" s="1159" t="e">
        <f t="shared" si="101"/>
        <v>#DIV/0!</v>
      </c>
      <c r="IHB71" s="1159" t="e">
        <f t="shared" si="101"/>
        <v>#DIV/0!</v>
      </c>
      <c r="IHC71" s="1159" t="e">
        <f t="shared" si="101"/>
        <v>#DIV/0!</v>
      </c>
      <c r="IHD71" s="1159" t="e">
        <f t="shared" si="101"/>
        <v>#DIV/0!</v>
      </c>
      <c r="IHE71" s="1159" t="e">
        <f t="shared" si="101"/>
        <v>#DIV/0!</v>
      </c>
      <c r="IHF71" s="1159" t="e">
        <f t="shared" si="101"/>
        <v>#DIV/0!</v>
      </c>
      <c r="IHG71" s="1159" t="e">
        <f t="shared" si="101"/>
        <v>#DIV/0!</v>
      </c>
      <c r="IHH71" s="1159" t="e">
        <f t="shared" si="101"/>
        <v>#DIV/0!</v>
      </c>
      <c r="IHI71" s="1159" t="e">
        <f t="shared" si="101"/>
        <v>#DIV/0!</v>
      </c>
      <c r="IHJ71" s="1159" t="e">
        <f t="shared" si="101"/>
        <v>#DIV/0!</v>
      </c>
      <c r="IHK71" s="1159" t="e">
        <f t="shared" si="101"/>
        <v>#DIV/0!</v>
      </c>
      <c r="IHL71" s="1159" t="e">
        <f t="shared" si="101"/>
        <v>#DIV/0!</v>
      </c>
      <c r="IHM71" s="1159" t="e">
        <f t="shared" si="101"/>
        <v>#DIV/0!</v>
      </c>
      <c r="IHN71" s="1159" t="e">
        <f t="shared" si="101"/>
        <v>#DIV/0!</v>
      </c>
      <c r="IHO71" s="1159" t="e">
        <f t="shared" si="101"/>
        <v>#DIV/0!</v>
      </c>
      <c r="IHP71" s="1159" t="e">
        <f t="shared" si="101"/>
        <v>#DIV/0!</v>
      </c>
      <c r="IHQ71" s="1159" t="e">
        <f t="shared" si="101"/>
        <v>#DIV/0!</v>
      </c>
      <c r="IHR71" s="1159" t="e">
        <f t="shared" si="101"/>
        <v>#DIV/0!</v>
      </c>
      <c r="IHS71" s="1159" t="e">
        <f t="shared" si="101"/>
        <v>#DIV/0!</v>
      </c>
      <c r="IHT71" s="1159" t="e">
        <f t="shared" si="101"/>
        <v>#DIV/0!</v>
      </c>
      <c r="IHU71" s="1159" t="e">
        <f t="shared" si="101"/>
        <v>#DIV/0!</v>
      </c>
      <c r="IHV71" s="1159" t="e">
        <f t="shared" si="101"/>
        <v>#DIV/0!</v>
      </c>
      <c r="IHW71" s="1159" t="e">
        <f t="shared" si="101"/>
        <v>#DIV/0!</v>
      </c>
      <c r="IHX71" s="1159" t="e">
        <f t="shared" si="101"/>
        <v>#DIV/0!</v>
      </c>
      <c r="IHY71" s="1159" t="e">
        <f t="shared" si="101"/>
        <v>#DIV/0!</v>
      </c>
      <c r="IHZ71" s="1159" t="e">
        <f t="shared" si="101"/>
        <v>#DIV/0!</v>
      </c>
      <c r="IIA71" s="1159" t="e">
        <f t="shared" si="101"/>
        <v>#DIV/0!</v>
      </c>
      <c r="IIB71" s="1159" t="e">
        <f t="shared" si="101"/>
        <v>#DIV/0!</v>
      </c>
      <c r="IIC71" s="1159" t="e">
        <f t="shared" si="101"/>
        <v>#DIV/0!</v>
      </c>
      <c r="IID71" s="1159" t="e">
        <f t="shared" si="101"/>
        <v>#DIV/0!</v>
      </c>
      <c r="IIE71" s="1159" t="e">
        <f t="shared" si="101"/>
        <v>#DIV/0!</v>
      </c>
      <c r="IIF71" s="1159" t="e">
        <f t="shared" si="101"/>
        <v>#DIV/0!</v>
      </c>
      <c r="IIG71" s="1159" t="e">
        <f t="shared" si="101"/>
        <v>#DIV/0!</v>
      </c>
      <c r="IIH71" s="1159" t="e">
        <f t="shared" si="101"/>
        <v>#DIV/0!</v>
      </c>
      <c r="III71" s="1159" t="e">
        <f t="shared" si="101"/>
        <v>#DIV/0!</v>
      </c>
      <c r="IIJ71" s="1159" t="e">
        <f t="shared" si="101"/>
        <v>#DIV/0!</v>
      </c>
      <c r="IIK71" s="1159" t="e">
        <f t="shared" si="101"/>
        <v>#DIV/0!</v>
      </c>
      <c r="IIL71" s="1159" t="e">
        <f t="shared" si="101"/>
        <v>#DIV/0!</v>
      </c>
      <c r="IIM71" s="1159" t="e">
        <f t="shared" si="101"/>
        <v>#DIV/0!</v>
      </c>
      <c r="IIN71" s="1159" t="e">
        <f t="shared" si="101"/>
        <v>#DIV/0!</v>
      </c>
      <c r="IIO71" s="1159" t="e">
        <f t="shared" si="101"/>
        <v>#DIV/0!</v>
      </c>
      <c r="IIP71" s="1159" t="e">
        <f t="shared" si="101"/>
        <v>#DIV/0!</v>
      </c>
      <c r="IIQ71" s="1159" t="e">
        <f t="shared" si="101"/>
        <v>#DIV/0!</v>
      </c>
      <c r="IIR71" s="1159" t="e">
        <f t="shared" si="101"/>
        <v>#DIV/0!</v>
      </c>
      <c r="IIS71" s="1159" t="e">
        <f t="shared" si="101"/>
        <v>#DIV/0!</v>
      </c>
      <c r="IIT71" s="1159" t="e">
        <f t="shared" si="101"/>
        <v>#DIV/0!</v>
      </c>
      <c r="IIU71" s="1159" t="e">
        <f t="shared" si="101"/>
        <v>#DIV/0!</v>
      </c>
      <c r="IIV71" s="1159" t="e">
        <f t="shared" si="101"/>
        <v>#DIV/0!</v>
      </c>
      <c r="IIW71" s="1159" t="e">
        <f t="shared" si="101"/>
        <v>#DIV/0!</v>
      </c>
      <c r="IIX71" s="1159" t="e">
        <f t="shared" ref="IIX71:ILI71" si="102">((IIX6+IIX12+IIX13+IIX14+IIX15)*860+IIX16*IIX55+IIX17*IIX56+IIX7*IIX49+IIX8*IIX50+IIX9*IIX51+IIX10*IIX52+IIX11*IIX53)/(SUM(IIX6:IIX17))</f>
        <v>#DIV/0!</v>
      </c>
      <c r="IIY71" s="1159" t="e">
        <f t="shared" si="102"/>
        <v>#DIV/0!</v>
      </c>
      <c r="IIZ71" s="1159" t="e">
        <f t="shared" si="102"/>
        <v>#DIV/0!</v>
      </c>
      <c r="IJA71" s="1159" t="e">
        <f t="shared" si="102"/>
        <v>#DIV/0!</v>
      </c>
      <c r="IJB71" s="1159" t="e">
        <f t="shared" si="102"/>
        <v>#DIV/0!</v>
      </c>
      <c r="IJC71" s="1159" t="e">
        <f t="shared" si="102"/>
        <v>#DIV/0!</v>
      </c>
      <c r="IJD71" s="1159" t="e">
        <f t="shared" si="102"/>
        <v>#DIV/0!</v>
      </c>
      <c r="IJE71" s="1159" t="e">
        <f t="shared" si="102"/>
        <v>#DIV/0!</v>
      </c>
      <c r="IJF71" s="1159" t="e">
        <f t="shared" si="102"/>
        <v>#DIV/0!</v>
      </c>
      <c r="IJG71" s="1159" t="e">
        <f t="shared" si="102"/>
        <v>#DIV/0!</v>
      </c>
      <c r="IJH71" s="1159" t="e">
        <f t="shared" si="102"/>
        <v>#DIV/0!</v>
      </c>
      <c r="IJI71" s="1159" t="e">
        <f t="shared" si="102"/>
        <v>#DIV/0!</v>
      </c>
      <c r="IJJ71" s="1159" t="e">
        <f t="shared" si="102"/>
        <v>#DIV/0!</v>
      </c>
      <c r="IJK71" s="1159" t="e">
        <f t="shared" si="102"/>
        <v>#DIV/0!</v>
      </c>
      <c r="IJL71" s="1159" t="e">
        <f t="shared" si="102"/>
        <v>#DIV/0!</v>
      </c>
      <c r="IJM71" s="1159" t="e">
        <f t="shared" si="102"/>
        <v>#DIV/0!</v>
      </c>
      <c r="IJN71" s="1159" t="e">
        <f t="shared" si="102"/>
        <v>#DIV/0!</v>
      </c>
      <c r="IJO71" s="1159" t="e">
        <f t="shared" si="102"/>
        <v>#DIV/0!</v>
      </c>
      <c r="IJP71" s="1159" t="e">
        <f t="shared" si="102"/>
        <v>#DIV/0!</v>
      </c>
      <c r="IJQ71" s="1159" t="e">
        <f t="shared" si="102"/>
        <v>#DIV/0!</v>
      </c>
      <c r="IJR71" s="1159" t="e">
        <f t="shared" si="102"/>
        <v>#DIV/0!</v>
      </c>
      <c r="IJS71" s="1159" t="e">
        <f t="shared" si="102"/>
        <v>#DIV/0!</v>
      </c>
      <c r="IJT71" s="1159" t="e">
        <f t="shared" si="102"/>
        <v>#DIV/0!</v>
      </c>
      <c r="IJU71" s="1159" t="e">
        <f t="shared" si="102"/>
        <v>#DIV/0!</v>
      </c>
      <c r="IJV71" s="1159" t="e">
        <f t="shared" si="102"/>
        <v>#DIV/0!</v>
      </c>
      <c r="IJW71" s="1159" t="e">
        <f t="shared" si="102"/>
        <v>#DIV/0!</v>
      </c>
      <c r="IJX71" s="1159" t="e">
        <f t="shared" si="102"/>
        <v>#DIV/0!</v>
      </c>
      <c r="IJY71" s="1159" t="e">
        <f t="shared" si="102"/>
        <v>#DIV/0!</v>
      </c>
      <c r="IJZ71" s="1159" t="e">
        <f t="shared" si="102"/>
        <v>#DIV/0!</v>
      </c>
      <c r="IKA71" s="1159" t="e">
        <f t="shared" si="102"/>
        <v>#DIV/0!</v>
      </c>
      <c r="IKB71" s="1159" t="e">
        <f t="shared" si="102"/>
        <v>#DIV/0!</v>
      </c>
      <c r="IKC71" s="1159" t="e">
        <f t="shared" si="102"/>
        <v>#DIV/0!</v>
      </c>
      <c r="IKD71" s="1159" t="e">
        <f t="shared" si="102"/>
        <v>#DIV/0!</v>
      </c>
      <c r="IKE71" s="1159" t="e">
        <f t="shared" si="102"/>
        <v>#DIV/0!</v>
      </c>
      <c r="IKF71" s="1159" t="e">
        <f t="shared" si="102"/>
        <v>#DIV/0!</v>
      </c>
      <c r="IKG71" s="1159" t="e">
        <f t="shared" si="102"/>
        <v>#DIV/0!</v>
      </c>
      <c r="IKH71" s="1159" t="e">
        <f t="shared" si="102"/>
        <v>#DIV/0!</v>
      </c>
      <c r="IKI71" s="1159" t="e">
        <f t="shared" si="102"/>
        <v>#DIV/0!</v>
      </c>
      <c r="IKJ71" s="1159" t="e">
        <f t="shared" si="102"/>
        <v>#DIV/0!</v>
      </c>
      <c r="IKK71" s="1159" t="e">
        <f t="shared" si="102"/>
        <v>#DIV/0!</v>
      </c>
      <c r="IKL71" s="1159" t="e">
        <f t="shared" si="102"/>
        <v>#DIV/0!</v>
      </c>
      <c r="IKM71" s="1159" t="e">
        <f t="shared" si="102"/>
        <v>#DIV/0!</v>
      </c>
      <c r="IKN71" s="1159" t="e">
        <f t="shared" si="102"/>
        <v>#DIV/0!</v>
      </c>
      <c r="IKO71" s="1159" t="e">
        <f t="shared" si="102"/>
        <v>#DIV/0!</v>
      </c>
      <c r="IKP71" s="1159" t="e">
        <f t="shared" si="102"/>
        <v>#DIV/0!</v>
      </c>
      <c r="IKQ71" s="1159" t="e">
        <f t="shared" si="102"/>
        <v>#DIV/0!</v>
      </c>
      <c r="IKR71" s="1159" t="e">
        <f t="shared" si="102"/>
        <v>#DIV/0!</v>
      </c>
      <c r="IKS71" s="1159" t="e">
        <f t="shared" si="102"/>
        <v>#DIV/0!</v>
      </c>
      <c r="IKT71" s="1159" t="e">
        <f t="shared" si="102"/>
        <v>#DIV/0!</v>
      </c>
      <c r="IKU71" s="1159" t="e">
        <f t="shared" si="102"/>
        <v>#DIV/0!</v>
      </c>
      <c r="IKV71" s="1159" t="e">
        <f t="shared" si="102"/>
        <v>#DIV/0!</v>
      </c>
      <c r="IKW71" s="1159" t="e">
        <f t="shared" si="102"/>
        <v>#DIV/0!</v>
      </c>
      <c r="IKX71" s="1159" t="e">
        <f t="shared" si="102"/>
        <v>#DIV/0!</v>
      </c>
      <c r="IKY71" s="1159" t="e">
        <f t="shared" si="102"/>
        <v>#DIV/0!</v>
      </c>
      <c r="IKZ71" s="1159" t="e">
        <f t="shared" si="102"/>
        <v>#DIV/0!</v>
      </c>
      <c r="ILA71" s="1159" t="e">
        <f t="shared" si="102"/>
        <v>#DIV/0!</v>
      </c>
      <c r="ILB71" s="1159" t="e">
        <f t="shared" si="102"/>
        <v>#DIV/0!</v>
      </c>
      <c r="ILC71" s="1159" t="e">
        <f t="shared" si="102"/>
        <v>#DIV/0!</v>
      </c>
      <c r="ILD71" s="1159" t="e">
        <f t="shared" si="102"/>
        <v>#DIV/0!</v>
      </c>
      <c r="ILE71" s="1159" t="e">
        <f t="shared" si="102"/>
        <v>#DIV/0!</v>
      </c>
      <c r="ILF71" s="1159" t="e">
        <f t="shared" si="102"/>
        <v>#DIV/0!</v>
      </c>
      <c r="ILG71" s="1159" t="e">
        <f t="shared" si="102"/>
        <v>#DIV/0!</v>
      </c>
      <c r="ILH71" s="1159" t="e">
        <f t="shared" si="102"/>
        <v>#DIV/0!</v>
      </c>
      <c r="ILI71" s="1159" t="e">
        <f t="shared" si="102"/>
        <v>#DIV/0!</v>
      </c>
      <c r="ILJ71" s="1159" t="e">
        <f t="shared" ref="ILJ71:INU71" si="103">((ILJ6+ILJ12+ILJ13+ILJ14+ILJ15)*860+ILJ16*ILJ55+ILJ17*ILJ56+ILJ7*ILJ49+ILJ8*ILJ50+ILJ9*ILJ51+ILJ10*ILJ52+ILJ11*ILJ53)/(SUM(ILJ6:ILJ17))</f>
        <v>#DIV/0!</v>
      </c>
      <c r="ILK71" s="1159" t="e">
        <f t="shared" si="103"/>
        <v>#DIV/0!</v>
      </c>
      <c r="ILL71" s="1159" t="e">
        <f t="shared" si="103"/>
        <v>#DIV/0!</v>
      </c>
      <c r="ILM71" s="1159" t="e">
        <f t="shared" si="103"/>
        <v>#DIV/0!</v>
      </c>
      <c r="ILN71" s="1159" t="e">
        <f t="shared" si="103"/>
        <v>#DIV/0!</v>
      </c>
      <c r="ILO71" s="1159" t="e">
        <f t="shared" si="103"/>
        <v>#DIV/0!</v>
      </c>
      <c r="ILP71" s="1159" t="e">
        <f t="shared" si="103"/>
        <v>#DIV/0!</v>
      </c>
      <c r="ILQ71" s="1159" t="e">
        <f t="shared" si="103"/>
        <v>#DIV/0!</v>
      </c>
      <c r="ILR71" s="1159" t="e">
        <f t="shared" si="103"/>
        <v>#DIV/0!</v>
      </c>
      <c r="ILS71" s="1159" t="e">
        <f t="shared" si="103"/>
        <v>#DIV/0!</v>
      </c>
      <c r="ILT71" s="1159" t="e">
        <f t="shared" si="103"/>
        <v>#DIV/0!</v>
      </c>
      <c r="ILU71" s="1159" t="e">
        <f t="shared" si="103"/>
        <v>#DIV/0!</v>
      </c>
      <c r="ILV71" s="1159" t="e">
        <f t="shared" si="103"/>
        <v>#DIV/0!</v>
      </c>
      <c r="ILW71" s="1159" t="e">
        <f t="shared" si="103"/>
        <v>#DIV/0!</v>
      </c>
      <c r="ILX71" s="1159" t="e">
        <f t="shared" si="103"/>
        <v>#DIV/0!</v>
      </c>
      <c r="ILY71" s="1159" t="e">
        <f t="shared" si="103"/>
        <v>#DIV/0!</v>
      </c>
      <c r="ILZ71" s="1159" t="e">
        <f t="shared" si="103"/>
        <v>#DIV/0!</v>
      </c>
      <c r="IMA71" s="1159" t="e">
        <f t="shared" si="103"/>
        <v>#DIV/0!</v>
      </c>
      <c r="IMB71" s="1159" t="e">
        <f t="shared" si="103"/>
        <v>#DIV/0!</v>
      </c>
      <c r="IMC71" s="1159" t="e">
        <f t="shared" si="103"/>
        <v>#DIV/0!</v>
      </c>
      <c r="IMD71" s="1159" t="e">
        <f t="shared" si="103"/>
        <v>#DIV/0!</v>
      </c>
      <c r="IME71" s="1159" t="e">
        <f t="shared" si="103"/>
        <v>#DIV/0!</v>
      </c>
      <c r="IMF71" s="1159" t="e">
        <f t="shared" si="103"/>
        <v>#DIV/0!</v>
      </c>
      <c r="IMG71" s="1159" t="e">
        <f t="shared" si="103"/>
        <v>#DIV/0!</v>
      </c>
      <c r="IMH71" s="1159" t="e">
        <f t="shared" si="103"/>
        <v>#DIV/0!</v>
      </c>
      <c r="IMI71" s="1159" t="e">
        <f t="shared" si="103"/>
        <v>#DIV/0!</v>
      </c>
      <c r="IMJ71" s="1159" t="e">
        <f t="shared" si="103"/>
        <v>#DIV/0!</v>
      </c>
      <c r="IMK71" s="1159" t="e">
        <f t="shared" si="103"/>
        <v>#DIV/0!</v>
      </c>
      <c r="IML71" s="1159" t="e">
        <f t="shared" si="103"/>
        <v>#DIV/0!</v>
      </c>
      <c r="IMM71" s="1159" t="e">
        <f t="shared" si="103"/>
        <v>#DIV/0!</v>
      </c>
      <c r="IMN71" s="1159" t="e">
        <f t="shared" si="103"/>
        <v>#DIV/0!</v>
      </c>
      <c r="IMO71" s="1159" t="e">
        <f t="shared" si="103"/>
        <v>#DIV/0!</v>
      </c>
      <c r="IMP71" s="1159" t="e">
        <f t="shared" si="103"/>
        <v>#DIV/0!</v>
      </c>
      <c r="IMQ71" s="1159" t="e">
        <f t="shared" si="103"/>
        <v>#DIV/0!</v>
      </c>
      <c r="IMR71" s="1159" t="e">
        <f t="shared" si="103"/>
        <v>#DIV/0!</v>
      </c>
      <c r="IMS71" s="1159" t="e">
        <f t="shared" si="103"/>
        <v>#DIV/0!</v>
      </c>
      <c r="IMT71" s="1159" t="e">
        <f t="shared" si="103"/>
        <v>#DIV/0!</v>
      </c>
      <c r="IMU71" s="1159" t="e">
        <f t="shared" si="103"/>
        <v>#DIV/0!</v>
      </c>
      <c r="IMV71" s="1159" t="e">
        <f t="shared" si="103"/>
        <v>#DIV/0!</v>
      </c>
      <c r="IMW71" s="1159" t="e">
        <f t="shared" si="103"/>
        <v>#DIV/0!</v>
      </c>
      <c r="IMX71" s="1159" t="e">
        <f t="shared" si="103"/>
        <v>#DIV/0!</v>
      </c>
      <c r="IMY71" s="1159" t="e">
        <f t="shared" si="103"/>
        <v>#DIV/0!</v>
      </c>
      <c r="IMZ71" s="1159" t="e">
        <f t="shared" si="103"/>
        <v>#DIV/0!</v>
      </c>
      <c r="INA71" s="1159" t="e">
        <f t="shared" si="103"/>
        <v>#DIV/0!</v>
      </c>
      <c r="INB71" s="1159" t="e">
        <f t="shared" si="103"/>
        <v>#DIV/0!</v>
      </c>
      <c r="INC71" s="1159" t="e">
        <f t="shared" si="103"/>
        <v>#DIV/0!</v>
      </c>
      <c r="IND71" s="1159" t="e">
        <f t="shared" si="103"/>
        <v>#DIV/0!</v>
      </c>
      <c r="INE71" s="1159" t="e">
        <f t="shared" si="103"/>
        <v>#DIV/0!</v>
      </c>
      <c r="INF71" s="1159" t="e">
        <f t="shared" si="103"/>
        <v>#DIV/0!</v>
      </c>
      <c r="ING71" s="1159" t="e">
        <f t="shared" si="103"/>
        <v>#DIV/0!</v>
      </c>
      <c r="INH71" s="1159" t="e">
        <f t="shared" si="103"/>
        <v>#DIV/0!</v>
      </c>
      <c r="INI71" s="1159" t="e">
        <f t="shared" si="103"/>
        <v>#DIV/0!</v>
      </c>
      <c r="INJ71" s="1159" t="e">
        <f t="shared" si="103"/>
        <v>#DIV/0!</v>
      </c>
      <c r="INK71" s="1159" t="e">
        <f t="shared" si="103"/>
        <v>#DIV/0!</v>
      </c>
      <c r="INL71" s="1159" t="e">
        <f t="shared" si="103"/>
        <v>#DIV/0!</v>
      </c>
      <c r="INM71" s="1159" t="e">
        <f t="shared" si="103"/>
        <v>#DIV/0!</v>
      </c>
      <c r="INN71" s="1159" t="e">
        <f t="shared" si="103"/>
        <v>#DIV/0!</v>
      </c>
      <c r="INO71" s="1159" t="e">
        <f t="shared" si="103"/>
        <v>#DIV/0!</v>
      </c>
      <c r="INP71" s="1159" t="e">
        <f t="shared" si="103"/>
        <v>#DIV/0!</v>
      </c>
      <c r="INQ71" s="1159" t="e">
        <f t="shared" si="103"/>
        <v>#DIV/0!</v>
      </c>
      <c r="INR71" s="1159" t="e">
        <f t="shared" si="103"/>
        <v>#DIV/0!</v>
      </c>
      <c r="INS71" s="1159" t="e">
        <f t="shared" si="103"/>
        <v>#DIV/0!</v>
      </c>
      <c r="INT71" s="1159" t="e">
        <f t="shared" si="103"/>
        <v>#DIV/0!</v>
      </c>
      <c r="INU71" s="1159" t="e">
        <f t="shared" si="103"/>
        <v>#DIV/0!</v>
      </c>
      <c r="INV71" s="1159" t="e">
        <f t="shared" ref="INV71:IQG71" si="104">((INV6+INV12+INV13+INV14+INV15)*860+INV16*INV55+INV17*INV56+INV7*INV49+INV8*INV50+INV9*INV51+INV10*INV52+INV11*INV53)/(SUM(INV6:INV17))</f>
        <v>#DIV/0!</v>
      </c>
      <c r="INW71" s="1159" t="e">
        <f t="shared" si="104"/>
        <v>#DIV/0!</v>
      </c>
      <c r="INX71" s="1159" t="e">
        <f t="shared" si="104"/>
        <v>#DIV/0!</v>
      </c>
      <c r="INY71" s="1159" t="e">
        <f t="shared" si="104"/>
        <v>#DIV/0!</v>
      </c>
      <c r="INZ71" s="1159" t="e">
        <f t="shared" si="104"/>
        <v>#DIV/0!</v>
      </c>
      <c r="IOA71" s="1159" t="e">
        <f t="shared" si="104"/>
        <v>#DIV/0!</v>
      </c>
      <c r="IOB71" s="1159" t="e">
        <f t="shared" si="104"/>
        <v>#DIV/0!</v>
      </c>
      <c r="IOC71" s="1159" t="e">
        <f t="shared" si="104"/>
        <v>#DIV/0!</v>
      </c>
      <c r="IOD71" s="1159" t="e">
        <f t="shared" si="104"/>
        <v>#DIV/0!</v>
      </c>
      <c r="IOE71" s="1159" t="e">
        <f t="shared" si="104"/>
        <v>#DIV/0!</v>
      </c>
      <c r="IOF71" s="1159" t="e">
        <f t="shared" si="104"/>
        <v>#DIV/0!</v>
      </c>
      <c r="IOG71" s="1159" t="e">
        <f t="shared" si="104"/>
        <v>#DIV/0!</v>
      </c>
      <c r="IOH71" s="1159" t="e">
        <f t="shared" si="104"/>
        <v>#DIV/0!</v>
      </c>
      <c r="IOI71" s="1159" t="e">
        <f t="shared" si="104"/>
        <v>#DIV/0!</v>
      </c>
      <c r="IOJ71" s="1159" t="e">
        <f t="shared" si="104"/>
        <v>#DIV/0!</v>
      </c>
      <c r="IOK71" s="1159" t="e">
        <f t="shared" si="104"/>
        <v>#DIV/0!</v>
      </c>
      <c r="IOL71" s="1159" t="e">
        <f t="shared" si="104"/>
        <v>#DIV/0!</v>
      </c>
      <c r="IOM71" s="1159" t="e">
        <f t="shared" si="104"/>
        <v>#DIV/0!</v>
      </c>
      <c r="ION71" s="1159" t="e">
        <f t="shared" si="104"/>
        <v>#DIV/0!</v>
      </c>
      <c r="IOO71" s="1159" t="e">
        <f t="shared" si="104"/>
        <v>#DIV/0!</v>
      </c>
      <c r="IOP71" s="1159" t="e">
        <f t="shared" si="104"/>
        <v>#DIV/0!</v>
      </c>
      <c r="IOQ71" s="1159" t="e">
        <f t="shared" si="104"/>
        <v>#DIV/0!</v>
      </c>
      <c r="IOR71" s="1159" t="e">
        <f t="shared" si="104"/>
        <v>#DIV/0!</v>
      </c>
      <c r="IOS71" s="1159" t="e">
        <f t="shared" si="104"/>
        <v>#DIV/0!</v>
      </c>
      <c r="IOT71" s="1159" t="e">
        <f t="shared" si="104"/>
        <v>#DIV/0!</v>
      </c>
      <c r="IOU71" s="1159" t="e">
        <f t="shared" si="104"/>
        <v>#DIV/0!</v>
      </c>
      <c r="IOV71" s="1159" t="e">
        <f t="shared" si="104"/>
        <v>#DIV/0!</v>
      </c>
      <c r="IOW71" s="1159" t="e">
        <f t="shared" si="104"/>
        <v>#DIV/0!</v>
      </c>
      <c r="IOX71" s="1159" t="e">
        <f t="shared" si="104"/>
        <v>#DIV/0!</v>
      </c>
      <c r="IOY71" s="1159" t="e">
        <f t="shared" si="104"/>
        <v>#DIV/0!</v>
      </c>
      <c r="IOZ71" s="1159" t="e">
        <f t="shared" si="104"/>
        <v>#DIV/0!</v>
      </c>
      <c r="IPA71" s="1159" t="e">
        <f t="shared" si="104"/>
        <v>#DIV/0!</v>
      </c>
      <c r="IPB71" s="1159" t="e">
        <f t="shared" si="104"/>
        <v>#DIV/0!</v>
      </c>
      <c r="IPC71" s="1159" t="e">
        <f t="shared" si="104"/>
        <v>#DIV/0!</v>
      </c>
      <c r="IPD71" s="1159" t="e">
        <f t="shared" si="104"/>
        <v>#DIV/0!</v>
      </c>
      <c r="IPE71" s="1159" t="e">
        <f t="shared" si="104"/>
        <v>#DIV/0!</v>
      </c>
      <c r="IPF71" s="1159" t="e">
        <f t="shared" si="104"/>
        <v>#DIV/0!</v>
      </c>
      <c r="IPG71" s="1159" t="e">
        <f t="shared" si="104"/>
        <v>#DIV/0!</v>
      </c>
      <c r="IPH71" s="1159" t="e">
        <f t="shared" si="104"/>
        <v>#DIV/0!</v>
      </c>
      <c r="IPI71" s="1159" t="e">
        <f t="shared" si="104"/>
        <v>#DIV/0!</v>
      </c>
      <c r="IPJ71" s="1159" t="e">
        <f t="shared" si="104"/>
        <v>#DIV/0!</v>
      </c>
      <c r="IPK71" s="1159" t="e">
        <f t="shared" si="104"/>
        <v>#DIV/0!</v>
      </c>
      <c r="IPL71" s="1159" t="e">
        <f t="shared" si="104"/>
        <v>#DIV/0!</v>
      </c>
      <c r="IPM71" s="1159" t="e">
        <f t="shared" si="104"/>
        <v>#DIV/0!</v>
      </c>
      <c r="IPN71" s="1159" t="e">
        <f t="shared" si="104"/>
        <v>#DIV/0!</v>
      </c>
      <c r="IPO71" s="1159" t="e">
        <f t="shared" si="104"/>
        <v>#DIV/0!</v>
      </c>
      <c r="IPP71" s="1159" t="e">
        <f t="shared" si="104"/>
        <v>#DIV/0!</v>
      </c>
      <c r="IPQ71" s="1159" t="e">
        <f t="shared" si="104"/>
        <v>#DIV/0!</v>
      </c>
      <c r="IPR71" s="1159" t="e">
        <f t="shared" si="104"/>
        <v>#DIV/0!</v>
      </c>
      <c r="IPS71" s="1159" t="e">
        <f t="shared" si="104"/>
        <v>#DIV/0!</v>
      </c>
      <c r="IPT71" s="1159" t="e">
        <f t="shared" si="104"/>
        <v>#DIV/0!</v>
      </c>
      <c r="IPU71" s="1159" t="e">
        <f t="shared" si="104"/>
        <v>#DIV/0!</v>
      </c>
      <c r="IPV71" s="1159" t="e">
        <f t="shared" si="104"/>
        <v>#DIV/0!</v>
      </c>
      <c r="IPW71" s="1159" t="e">
        <f t="shared" si="104"/>
        <v>#DIV/0!</v>
      </c>
      <c r="IPX71" s="1159" t="e">
        <f t="shared" si="104"/>
        <v>#DIV/0!</v>
      </c>
      <c r="IPY71" s="1159" t="e">
        <f t="shared" si="104"/>
        <v>#DIV/0!</v>
      </c>
      <c r="IPZ71" s="1159" t="e">
        <f t="shared" si="104"/>
        <v>#DIV/0!</v>
      </c>
      <c r="IQA71" s="1159" t="e">
        <f t="shared" si="104"/>
        <v>#DIV/0!</v>
      </c>
      <c r="IQB71" s="1159" t="e">
        <f t="shared" si="104"/>
        <v>#DIV/0!</v>
      </c>
      <c r="IQC71" s="1159" t="e">
        <f t="shared" si="104"/>
        <v>#DIV/0!</v>
      </c>
      <c r="IQD71" s="1159" t="e">
        <f t="shared" si="104"/>
        <v>#DIV/0!</v>
      </c>
      <c r="IQE71" s="1159" t="e">
        <f t="shared" si="104"/>
        <v>#DIV/0!</v>
      </c>
      <c r="IQF71" s="1159" t="e">
        <f t="shared" si="104"/>
        <v>#DIV/0!</v>
      </c>
      <c r="IQG71" s="1159" t="e">
        <f t="shared" si="104"/>
        <v>#DIV/0!</v>
      </c>
      <c r="IQH71" s="1159" t="e">
        <f t="shared" ref="IQH71:ISS71" si="105">((IQH6+IQH12+IQH13+IQH14+IQH15)*860+IQH16*IQH55+IQH17*IQH56+IQH7*IQH49+IQH8*IQH50+IQH9*IQH51+IQH10*IQH52+IQH11*IQH53)/(SUM(IQH6:IQH17))</f>
        <v>#DIV/0!</v>
      </c>
      <c r="IQI71" s="1159" t="e">
        <f t="shared" si="105"/>
        <v>#DIV/0!</v>
      </c>
      <c r="IQJ71" s="1159" t="e">
        <f t="shared" si="105"/>
        <v>#DIV/0!</v>
      </c>
      <c r="IQK71" s="1159" t="e">
        <f t="shared" si="105"/>
        <v>#DIV/0!</v>
      </c>
      <c r="IQL71" s="1159" t="e">
        <f t="shared" si="105"/>
        <v>#DIV/0!</v>
      </c>
      <c r="IQM71" s="1159" t="e">
        <f t="shared" si="105"/>
        <v>#DIV/0!</v>
      </c>
      <c r="IQN71" s="1159" t="e">
        <f t="shared" si="105"/>
        <v>#DIV/0!</v>
      </c>
      <c r="IQO71" s="1159" t="e">
        <f t="shared" si="105"/>
        <v>#DIV/0!</v>
      </c>
      <c r="IQP71" s="1159" t="e">
        <f t="shared" si="105"/>
        <v>#DIV/0!</v>
      </c>
      <c r="IQQ71" s="1159" t="e">
        <f t="shared" si="105"/>
        <v>#DIV/0!</v>
      </c>
      <c r="IQR71" s="1159" t="e">
        <f t="shared" si="105"/>
        <v>#DIV/0!</v>
      </c>
      <c r="IQS71" s="1159" t="e">
        <f t="shared" si="105"/>
        <v>#DIV/0!</v>
      </c>
      <c r="IQT71" s="1159" t="e">
        <f t="shared" si="105"/>
        <v>#DIV/0!</v>
      </c>
      <c r="IQU71" s="1159" t="e">
        <f t="shared" si="105"/>
        <v>#DIV/0!</v>
      </c>
      <c r="IQV71" s="1159" t="e">
        <f t="shared" si="105"/>
        <v>#DIV/0!</v>
      </c>
      <c r="IQW71" s="1159" t="e">
        <f t="shared" si="105"/>
        <v>#DIV/0!</v>
      </c>
      <c r="IQX71" s="1159" t="e">
        <f t="shared" si="105"/>
        <v>#DIV/0!</v>
      </c>
      <c r="IQY71" s="1159" t="e">
        <f t="shared" si="105"/>
        <v>#DIV/0!</v>
      </c>
      <c r="IQZ71" s="1159" t="e">
        <f t="shared" si="105"/>
        <v>#DIV/0!</v>
      </c>
      <c r="IRA71" s="1159" t="e">
        <f t="shared" si="105"/>
        <v>#DIV/0!</v>
      </c>
      <c r="IRB71" s="1159" t="e">
        <f t="shared" si="105"/>
        <v>#DIV/0!</v>
      </c>
      <c r="IRC71" s="1159" t="e">
        <f t="shared" si="105"/>
        <v>#DIV/0!</v>
      </c>
      <c r="IRD71" s="1159" t="e">
        <f t="shared" si="105"/>
        <v>#DIV/0!</v>
      </c>
      <c r="IRE71" s="1159" t="e">
        <f t="shared" si="105"/>
        <v>#DIV/0!</v>
      </c>
      <c r="IRF71" s="1159" t="e">
        <f t="shared" si="105"/>
        <v>#DIV/0!</v>
      </c>
      <c r="IRG71" s="1159" t="e">
        <f t="shared" si="105"/>
        <v>#DIV/0!</v>
      </c>
      <c r="IRH71" s="1159" t="e">
        <f t="shared" si="105"/>
        <v>#DIV/0!</v>
      </c>
      <c r="IRI71" s="1159" t="e">
        <f t="shared" si="105"/>
        <v>#DIV/0!</v>
      </c>
      <c r="IRJ71" s="1159" t="e">
        <f t="shared" si="105"/>
        <v>#DIV/0!</v>
      </c>
      <c r="IRK71" s="1159" t="e">
        <f t="shared" si="105"/>
        <v>#DIV/0!</v>
      </c>
      <c r="IRL71" s="1159" t="e">
        <f t="shared" si="105"/>
        <v>#DIV/0!</v>
      </c>
      <c r="IRM71" s="1159" t="e">
        <f t="shared" si="105"/>
        <v>#DIV/0!</v>
      </c>
      <c r="IRN71" s="1159" t="e">
        <f t="shared" si="105"/>
        <v>#DIV/0!</v>
      </c>
      <c r="IRO71" s="1159" t="e">
        <f t="shared" si="105"/>
        <v>#DIV/0!</v>
      </c>
      <c r="IRP71" s="1159" t="e">
        <f t="shared" si="105"/>
        <v>#DIV/0!</v>
      </c>
      <c r="IRQ71" s="1159" t="e">
        <f t="shared" si="105"/>
        <v>#DIV/0!</v>
      </c>
      <c r="IRR71" s="1159" t="e">
        <f t="shared" si="105"/>
        <v>#DIV/0!</v>
      </c>
      <c r="IRS71" s="1159" t="e">
        <f t="shared" si="105"/>
        <v>#DIV/0!</v>
      </c>
      <c r="IRT71" s="1159" t="e">
        <f t="shared" si="105"/>
        <v>#DIV/0!</v>
      </c>
      <c r="IRU71" s="1159" t="e">
        <f t="shared" si="105"/>
        <v>#DIV/0!</v>
      </c>
      <c r="IRV71" s="1159" t="e">
        <f t="shared" si="105"/>
        <v>#DIV/0!</v>
      </c>
      <c r="IRW71" s="1159" t="e">
        <f t="shared" si="105"/>
        <v>#DIV/0!</v>
      </c>
      <c r="IRX71" s="1159" t="e">
        <f t="shared" si="105"/>
        <v>#DIV/0!</v>
      </c>
      <c r="IRY71" s="1159" t="e">
        <f t="shared" si="105"/>
        <v>#DIV/0!</v>
      </c>
      <c r="IRZ71" s="1159" t="e">
        <f t="shared" si="105"/>
        <v>#DIV/0!</v>
      </c>
      <c r="ISA71" s="1159" t="e">
        <f t="shared" si="105"/>
        <v>#DIV/0!</v>
      </c>
      <c r="ISB71" s="1159" t="e">
        <f t="shared" si="105"/>
        <v>#DIV/0!</v>
      </c>
      <c r="ISC71" s="1159" t="e">
        <f t="shared" si="105"/>
        <v>#DIV/0!</v>
      </c>
      <c r="ISD71" s="1159" t="e">
        <f t="shared" si="105"/>
        <v>#DIV/0!</v>
      </c>
      <c r="ISE71" s="1159" t="e">
        <f t="shared" si="105"/>
        <v>#DIV/0!</v>
      </c>
      <c r="ISF71" s="1159" t="e">
        <f t="shared" si="105"/>
        <v>#DIV/0!</v>
      </c>
      <c r="ISG71" s="1159" t="e">
        <f t="shared" si="105"/>
        <v>#DIV/0!</v>
      </c>
      <c r="ISH71" s="1159" t="e">
        <f t="shared" si="105"/>
        <v>#DIV/0!</v>
      </c>
      <c r="ISI71" s="1159" t="e">
        <f t="shared" si="105"/>
        <v>#DIV/0!</v>
      </c>
      <c r="ISJ71" s="1159" t="e">
        <f t="shared" si="105"/>
        <v>#DIV/0!</v>
      </c>
      <c r="ISK71" s="1159" t="e">
        <f t="shared" si="105"/>
        <v>#DIV/0!</v>
      </c>
      <c r="ISL71" s="1159" t="e">
        <f t="shared" si="105"/>
        <v>#DIV/0!</v>
      </c>
      <c r="ISM71" s="1159" t="e">
        <f t="shared" si="105"/>
        <v>#DIV/0!</v>
      </c>
      <c r="ISN71" s="1159" t="e">
        <f t="shared" si="105"/>
        <v>#DIV/0!</v>
      </c>
      <c r="ISO71" s="1159" t="e">
        <f t="shared" si="105"/>
        <v>#DIV/0!</v>
      </c>
      <c r="ISP71" s="1159" t="e">
        <f t="shared" si="105"/>
        <v>#DIV/0!</v>
      </c>
      <c r="ISQ71" s="1159" t="e">
        <f t="shared" si="105"/>
        <v>#DIV/0!</v>
      </c>
      <c r="ISR71" s="1159" t="e">
        <f t="shared" si="105"/>
        <v>#DIV/0!</v>
      </c>
      <c r="ISS71" s="1159" t="e">
        <f t="shared" si="105"/>
        <v>#DIV/0!</v>
      </c>
      <c r="IST71" s="1159" t="e">
        <f t="shared" ref="IST71:IVE71" si="106">((IST6+IST12+IST13+IST14+IST15)*860+IST16*IST55+IST17*IST56+IST7*IST49+IST8*IST50+IST9*IST51+IST10*IST52+IST11*IST53)/(SUM(IST6:IST17))</f>
        <v>#DIV/0!</v>
      </c>
      <c r="ISU71" s="1159" t="e">
        <f t="shared" si="106"/>
        <v>#DIV/0!</v>
      </c>
      <c r="ISV71" s="1159" t="e">
        <f t="shared" si="106"/>
        <v>#DIV/0!</v>
      </c>
      <c r="ISW71" s="1159" t="e">
        <f t="shared" si="106"/>
        <v>#DIV/0!</v>
      </c>
      <c r="ISX71" s="1159" t="e">
        <f t="shared" si="106"/>
        <v>#DIV/0!</v>
      </c>
      <c r="ISY71" s="1159" t="e">
        <f t="shared" si="106"/>
        <v>#DIV/0!</v>
      </c>
      <c r="ISZ71" s="1159" t="e">
        <f t="shared" si="106"/>
        <v>#DIV/0!</v>
      </c>
      <c r="ITA71" s="1159" t="e">
        <f t="shared" si="106"/>
        <v>#DIV/0!</v>
      </c>
      <c r="ITB71" s="1159" t="e">
        <f t="shared" si="106"/>
        <v>#DIV/0!</v>
      </c>
      <c r="ITC71" s="1159" t="e">
        <f t="shared" si="106"/>
        <v>#DIV/0!</v>
      </c>
      <c r="ITD71" s="1159" t="e">
        <f t="shared" si="106"/>
        <v>#DIV/0!</v>
      </c>
      <c r="ITE71" s="1159" t="e">
        <f t="shared" si="106"/>
        <v>#DIV/0!</v>
      </c>
      <c r="ITF71" s="1159" t="e">
        <f t="shared" si="106"/>
        <v>#DIV/0!</v>
      </c>
      <c r="ITG71" s="1159" t="e">
        <f t="shared" si="106"/>
        <v>#DIV/0!</v>
      </c>
      <c r="ITH71" s="1159" t="e">
        <f t="shared" si="106"/>
        <v>#DIV/0!</v>
      </c>
      <c r="ITI71" s="1159" t="e">
        <f t="shared" si="106"/>
        <v>#DIV/0!</v>
      </c>
      <c r="ITJ71" s="1159" t="e">
        <f t="shared" si="106"/>
        <v>#DIV/0!</v>
      </c>
      <c r="ITK71" s="1159" t="e">
        <f t="shared" si="106"/>
        <v>#DIV/0!</v>
      </c>
      <c r="ITL71" s="1159" t="e">
        <f t="shared" si="106"/>
        <v>#DIV/0!</v>
      </c>
      <c r="ITM71" s="1159" t="e">
        <f t="shared" si="106"/>
        <v>#DIV/0!</v>
      </c>
      <c r="ITN71" s="1159" t="e">
        <f t="shared" si="106"/>
        <v>#DIV/0!</v>
      </c>
      <c r="ITO71" s="1159" t="e">
        <f t="shared" si="106"/>
        <v>#DIV/0!</v>
      </c>
      <c r="ITP71" s="1159" t="e">
        <f t="shared" si="106"/>
        <v>#DIV/0!</v>
      </c>
      <c r="ITQ71" s="1159" t="e">
        <f t="shared" si="106"/>
        <v>#DIV/0!</v>
      </c>
      <c r="ITR71" s="1159" t="e">
        <f t="shared" si="106"/>
        <v>#DIV/0!</v>
      </c>
      <c r="ITS71" s="1159" t="e">
        <f t="shared" si="106"/>
        <v>#DIV/0!</v>
      </c>
      <c r="ITT71" s="1159" t="e">
        <f t="shared" si="106"/>
        <v>#DIV/0!</v>
      </c>
      <c r="ITU71" s="1159" t="e">
        <f t="shared" si="106"/>
        <v>#DIV/0!</v>
      </c>
      <c r="ITV71" s="1159" t="e">
        <f t="shared" si="106"/>
        <v>#DIV/0!</v>
      </c>
      <c r="ITW71" s="1159" t="e">
        <f t="shared" si="106"/>
        <v>#DIV/0!</v>
      </c>
      <c r="ITX71" s="1159" t="e">
        <f t="shared" si="106"/>
        <v>#DIV/0!</v>
      </c>
      <c r="ITY71" s="1159" t="e">
        <f t="shared" si="106"/>
        <v>#DIV/0!</v>
      </c>
      <c r="ITZ71" s="1159" t="e">
        <f t="shared" si="106"/>
        <v>#DIV/0!</v>
      </c>
      <c r="IUA71" s="1159" t="e">
        <f t="shared" si="106"/>
        <v>#DIV/0!</v>
      </c>
      <c r="IUB71" s="1159" t="e">
        <f t="shared" si="106"/>
        <v>#DIV/0!</v>
      </c>
      <c r="IUC71" s="1159" t="e">
        <f t="shared" si="106"/>
        <v>#DIV/0!</v>
      </c>
      <c r="IUD71" s="1159" t="e">
        <f t="shared" si="106"/>
        <v>#DIV/0!</v>
      </c>
      <c r="IUE71" s="1159" t="e">
        <f t="shared" si="106"/>
        <v>#DIV/0!</v>
      </c>
      <c r="IUF71" s="1159" t="e">
        <f t="shared" si="106"/>
        <v>#DIV/0!</v>
      </c>
      <c r="IUG71" s="1159" t="e">
        <f t="shared" si="106"/>
        <v>#DIV/0!</v>
      </c>
      <c r="IUH71" s="1159" t="e">
        <f t="shared" si="106"/>
        <v>#DIV/0!</v>
      </c>
      <c r="IUI71" s="1159" t="e">
        <f t="shared" si="106"/>
        <v>#DIV/0!</v>
      </c>
      <c r="IUJ71" s="1159" t="e">
        <f t="shared" si="106"/>
        <v>#DIV/0!</v>
      </c>
      <c r="IUK71" s="1159" t="e">
        <f t="shared" si="106"/>
        <v>#DIV/0!</v>
      </c>
      <c r="IUL71" s="1159" t="e">
        <f t="shared" si="106"/>
        <v>#DIV/0!</v>
      </c>
      <c r="IUM71" s="1159" t="e">
        <f t="shared" si="106"/>
        <v>#DIV/0!</v>
      </c>
      <c r="IUN71" s="1159" t="e">
        <f t="shared" si="106"/>
        <v>#DIV/0!</v>
      </c>
      <c r="IUO71" s="1159" t="e">
        <f t="shared" si="106"/>
        <v>#DIV/0!</v>
      </c>
      <c r="IUP71" s="1159" t="e">
        <f t="shared" si="106"/>
        <v>#DIV/0!</v>
      </c>
      <c r="IUQ71" s="1159" t="e">
        <f t="shared" si="106"/>
        <v>#DIV/0!</v>
      </c>
      <c r="IUR71" s="1159" t="e">
        <f t="shared" si="106"/>
        <v>#DIV/0!</v>
      </c>
      <c r="IUS71" s="1159" t="e">
        <f t="shared" si="106"/>
        <v>#DIV/0!</v>
      </c>
      <c r="IUT71" s="1159" t="e">
        <f t="shared" si="106"/>
        <v>#DIV/0!</v>
      </c>
      <c r="IUU71" s="1159" t="e">
        <f t="shared" si="106"/>
        <v>#DIV/0!</v>
      </c>
      <c r="IUV71" s="1159" t="e">
        <f t="shared" si="106"/>
        <v>#DIV/0!</v>
      </c>
      <c r="IUW71" s="1159" t="e">
        <f t="shared" si="106"/>
        <v>#DIV/0!</v>
      </c>
      <c r="IUX71" s="1159" t="e">
        <f t="shared" si="106"/>
        <v>#DIV/0!</v>
      </c>
      <c r="IUY71" s="1159" t="e">
        <f t="shared" si="106"/>
        <v>#DIV/0!</v>
      </c>
      <c r="IUZ71" s="1159" t="e">
        <f t="shared" si="106"/>
        <v>#DIV/0!</v>
      </c>
      <c r="IVA71" s="1159" t="e">
        <f t="shared" si="106"/>
        <v>#DIV/0!</v>
      </c>
      <c r="IVB71" s="1159" t="e">
        <f t="shared" si="106"/>
        <v>#DIV/0!</v>
      </c>
      <c r="IVC71" s="1159" t="e">
        <f t="shared" si="106"/>
        <v>#DIV/0!</v>
      </c>
      <c r="IVD71" s="1159" t="e">
        <f t="shared" si="106"/>
        <v>#DIV/0!</v>
      </c>
      <c r="IVE71" s="1159" t="e">
        <f t="shared" si="106"/>
        <v>#DIV/0!</v>
      </c>
      <c r="IVF71" s="1159" t="e">
        <f t="shared" ref="IVF71:IXQ71" si="107">((IVF6+IVF12+IVF13+IVF14+IVF15)*860+IVF16*IVF55+IVF17*IVF56+IVF7*IVF49+IVF8*IVF50+IVF9*IVF51+IVF10*IVF52+IVF11*IVF53)/(SUM(IVF6:IVF17))</f>
        <v>#DIV/0!</v>
      </c>
      <c r="IVG71" s="1159" t="e">
        <f t="shared" si="107"/>
        <v>#DIV/0!</v>
      </c>
      <c r="IVH71" s="1159" t="e">
        <f t="shared" si="107"/>
        <v>#DIV/0!</v>
      </c>
      <c r="IVI71" s="1159" t="e">
        <f t="shared" si="107"/>
        <v>#DIV/0!</v>
      </c>
      <c r="IVJ71" s="1159" t="e">
        <f t="shared" si="107"/>
        <v>#DIV/0!</v>
      </c>
      <c r="IVK71" s="1159" t="e">
        <f t="shared" si="107"/>
        <v>#DIV/0!</v>
      </c>
      <c r="IVL71" s="1159" t="e">
        <f t="shared" si="107"/>
        <v>#DIV/0!</v>
      </c>
      <c r="IVM71" s="1159" t="e">
        <f t="shared" si="107"/>
        <v>#DIV/0!</v>
      </c>
      <c r="IVN71" s="1159" t="e">
        <f t="shared" si="107"/>
        <v>#DIV/0!</v>
      </c>
      <c r="IVO71" s="1159" t="e">
        <f t="shared" si="107"/>
        <v>#DIV/0!</v>
      </c>
      <c r="IVP71" s="1159" t="e">
        <f t="shared" si="107"/>
        <v>#DIV/0!</v>
      </c>
      <c r="IVQ71" s="1159" t="e">
        <f t="shared" si="107"/>
        <v>#DIV/0!</v>
      </c>
      <c r="IVR71" s="1159" t="e">
        <f t="shared" si="107"/>
        <v>#DIV/0!</v>
      </c>
      <c r="IVS71" s="1159" t="e">
        <f t="shared" si="107"/>
        <v>#DIV/0!</v>
      </c>
      <c r="IVT71" s="1159" t="e">
        <f t="shared" si="107"/>
        <v>#DIV/0!</v>
      </c>
      <c r="IVU71" s="1159" t="e">
        <f t="shared" si="107"/>
        <v>#DIV/0!</v>
      </c>
      <c r="IVV71" s="1159" t="e">
        <f t="shared" si="107"/>
        <v>#DIV/0!</v>
      </c>
      <c r="IVW71" s="1159" t="e">
        <f t="shared" si="107"/>
        <v>#DIV/0!</v>
      </c>
      <c r="IVX71" s="1159" t="e">
        <f t="shared" si="107"/>
        <v>#DIV/0!</v>
      </c>
      <c r="IVY71" s="1159" t="e">
        <f t="shared" si="107"/>
        <v>#DIV/0!</v>
      </c>
      <c r="IVZ71" s="1159" t="e">
        <f t="shared" si="107"/>
        <v>#DIV/0!</v>
      </c>
      <c r="IWA71" s="1159" t="e">
        <f t="shared" si="107"/>
        <v>#DIV/0!</v>
      </c>
      <c r="IWB71" s="1159" t="e">
        <f t="shared" si="107"/>
        <v>#DIV/0!</v>
      </c>
      <c r="IWC71" s="1159" t="e">
        <f t="shared" si="107"/>
        <v>#DIV/0!</v>
      </c>
      <c r="IWD71" s="1159" t="e">
        <f t="shared" si="107"/>
        <v>#DIV/0!</v>
      </c>
      <c r="IWE71" s="1159" t="e">
        <f t="shared" si="107"/>
        <v>#DIV/0!</v>
      </c>
      <c r="IWF71" s="1159" t="e">
        <f t="shared" si="107"/>
        <v>#DIV/0!</v>
      </c>
      <c r="IWG71" s="1159" t="e">
        <f t="shared" si="107"/>
        <v>#DIV/0!</v>
      </c>
      <c r="IWH71" s="1159" t="e">
        <f t="shared" si="107"/>
        <v>#DIV/0!</v>
      </c>
      <c r="IWI71" s="1159" t="e">
        <f t="shared" si="107"/>
        <v>#DIV/0!</v>
      </c>
      <c r="IWJ71" s="1159" t="e">
        <f t="shared" si="107"/>
        <v>#DIV/0!</v>
      </c>
      <c r="IWK71" s="1159" t="e">
        <f t="shared" si="107"/>
        <v>#DIV/0!</v>
      </c>
      <c r="IWL71" s="1159" t="e">
        <f t="shared" si="107"/>
        <v>#DIV/0!</v>
      </c>
      <c r="IWM71" s="1159" t="e">
        <f t="shared" si="107"/>
        <v>#DIV/0!</v>
      </c>
      <c r="IWN71" s="1159" t="e">
        <f t="shared" si="107"/>
        <v>#DIV/0!</v>
      </c>
      <c r="IWO71" s="1159" t="e">
        <f t="shared" si="107"/>
        <v>#DIV/0!</v>
      </c>
      <c r="IWP71" s="1159" t="e">
        <f t="shared" si="107"/>
        <v>#DIV/0!</v>
      </c>
      <c r="IWQ71" s="1159" t="e">
        <f t="shared" si="107"/>
        <v>#DIV/0!</v>
      </c>
      <c r="IWR71" s="1159" t="e">
        <f t="shared" si="107"/>
        <v>#DIV/0!</v>
      </c>
      <c r="IWS71" s="1159" t="e">
        <f t="shared" si="107"/>
        <v>#DIV/0!</v>
      </c>
      <c r="IWT71" s="1159" t="e">
        <f t="shared" si="107"/>
        <v>#DIV/0!</v>
      </c>
      <c r="IWU71" s="1159" t="e">
        <f t="shared" si="107"/>
        <v>#DIV/0!</v>
      </c>
      <c r="IWV71" s="1159" t="e">
        <f t="shared" si="107"/>
        <v>#DIV/0!</v>
      </c>
      <c r="IWW71" s="1159" t="e">
        <f t="shared" si="107"/>
        <v>#DIV/0!</v>
      </c>
      <c r="IWX71" s="1159" t="e">
        <f t="shared" si="107"/>
        <v>#DIV/0!</v>
      </c>
      <c r="IWY71" s="1159" t="e">
        <f t="shared" si="107"/>
        <v>#DIV/0!</v>
      </c>
      <c r="IWZ71" s="1159" t="e">
        <f t="shared" si="107"/>
        <v>#DIV/0!</v>
      </c>
      <c r="IXA71" s="1159" t="e">
        <f t="shared" si="107"/>
        <v>#DIV/0!</v>
      </c>
      <c r="IXB71" s="1159" t="e">
        <f t="shared" si="107"/>
        <v>#DIV/0!</v>
      </c>
      <c r="IXC71" s="1159" t="e">
        <f t="shared" si="107"/>
        <v>#DIV/0!</v>
      </c>
      <c r="IXD71" s="1159" t="e">
        <f t="shared" si="107"/>
        <v>#DIV/0!</v>
      </c>
      <c r="IXE71" s="1159" t="e">
        <f t="shared" si="107"/>
        <v>#DIV/0!</v>
      </c>
      <c r="IXF71" s="1159" t="e">
        <f t="shared" si="107"/>
        <v>#DIV/0!</v>
      </c>
      <c r="IXG71" s="1159" t="e">
        <f t="shared" si="107"/>
        <v>#DIV/0!</v>
      </c>
      <c r="IXH71" s="1159" t="e">
        <f t="shared" si="107"/>
        <v>#DIV/0!</v>
      </c>
      <c r="IXI71" s="1159" t="e">
        <f t="shared" si="107"/>
        <v>#DIV/0!</v>
      </c>
      <c r="IXJ71" s="1159" t="e">
        <f t="shared" si="107"/>
        <v>#DIV/0!</v>
      </c>
      <c r="IXK71" s="1159" t="e">
        <f t="shared" si="107"/>
        <v>#DIV/0!</v>
      </c>
      <c r="IXL71" s="1159" t="e">
        <f t="shared" si="107"/>
        <v>#DIV/0!</v>
      </c>
      <c r="IXM71" s="1159" t="e">
        <f t="shared" si="107"/>
        <v>#DIV/0!</v>
      </c>
      <c r="IXN71" s="1159" t="e">
        <f t="shared" si="107"/>
        <v>#DIV/0!</v>
      </c>
      <c r="IXO71" s="1159" t="e">
        <f t="shared" si="107"/>
        <v>#DIV/0!</v>
      </c>
      <c r="IXP71" s="1159" t="e">
        <f t="shared" si="107"/>
        <v>#DIV/0!</v>
      </c>
      <c r="IXQ71" s="1159" t="e">
        <f t="shared" si="107"/>
        <v>#DIV/0!</v>
      </c>
      <c r="IXR71" s="1159" t="e">
        <f t="shared" ref="IXR71:JAC71" si="108">((IXR6+IXR12+IXR13+IXR14+IXR15)*860+IXR16*IXR55+IXR17*IXR56+IXR7*IXR49+IXR8*IXR50+IXR9*IXR51+IXR10*IXR52+IXR11*IXR53)/(SUM(IXR6:IXR17))</f>
        <v>#DIV/0!</v>
      </c>
      <c r="IXS71" s="1159" t="e">
        <f t="shared" si="108"/>
        <v>#DIV/0!</v>
      </c>
      <c r="IXT71" s="1159" t="e">
        <f t="shared" si="108"/>
        <v>#DIV/0!</v>
      </c>
      <c r="IXU71" s="1159" t="e">
        <f t="shared" si="108"/>
        <v>#DIV/0!</v>
      </c>
      <c r="IXV71" s="1159" t="e">
        <f t="shared" si="108"/>
        <v>#DIV/0!</v>
      </c>
      <c r="IXW71" s="1159" t="e">
        <f t="shared" si="108"/>
        <v>#DIV/0!</v>
      </c>
      <c r="IXX71" s="1159" t="e">
        <f t="shared" si="108"/>
        <v>#DIV/0!</v>
      </c>
      <c r="IXY71" s="1159" t="e">
        <f t="shared" si="108"/>
        <v>#DIV/0!</v>
      </c>
      <c r="IXZ71" s="1159" t="e">
        <f t="shared" si="108"/>
        <v>#DIV/0!</v>
      </c>
      <c r="IYA71" s="1159" t="e">
        <f t="shared" si="108"/>
        <v>#DIV/0!</v>
      </c>
      <c r="IYB71" s="1159" t="e">
        <f t="shared" si="108"/>
        <v>#DIV/0!</v>
      </c>
      <c r="IYC71" s="1159" t="e">
        <f t="shared" si="108"/>
        <v>#DIV/0!</v>
      </c>
      <c r="IYD71" s="1159" t="e">
        <f t="shared" si="108"/>
        <v>#DIV/0!</v>
      </c>
      <c r="IYE71" s="1159" t="e">
        <f t="shared" si="108"/>
        <v>#DIV/0!</v>
      </c>
      <c r="IYF71" s="1159" t="e">
        <f t="shared" si="108"/>
        <v>#DIV/0!</v>
      </c>
      <c r="IYG71" s="1159" t="e">
        <f t="shared" si="108"/>
        <v>#DIV/0!</v>
      </c>
      <c r="IYH71" s="1159" t="e">
        <f t="shared" si="108"/>
        <v>#DIV/0!</v>
      </c>
      <c r="IYI71" s="1159" t="e">
        <f t="shared" si="108"/>
        <v>#DIV/0!</v>
      </c>
      <c r="IYJ71" s="1159" t="e">
        <f t="shared" si="108"/>
        <v>#DIV/0!</v>
      </c>
      <c r="IYK71" s="1159" t="e">
        <f t="shared" si="108"/>
        <v>#DIV/0!</v>
      </c>
      <c r="IYL71" s="1159" t="e">
        <f t="shared" si="108"/>
        <v>#DIV/0!</v>
      </c>
      <c r="IYM71" s="1159" t="e">
        <f t="shared" si="108"/>
        <v>#DIV/0!</v>
      </c>
      <c r="IYN71" s="1159" t="e">
        <f t="shared" si="108"/>
        <v>#DIV/0!</v>
      </c>
      <c r="IYO71" s="1159" t="e">
        <f t="shared" si="108"/>
        <v>#DIV/0!</v>
      </c>
      <c r="IYP71" s="1159" t="e">
        <f t="shared" si="108"/>
        <v>#DIV/0!</v>
      </c>
      <c r="IYQ71" s="1159" t="e">
        <f t="shared" si="108"/>
        <v>#DIV/0!</v>
      </c>
      <c r="IYR71" s="1159" t="e">
        <f t="shared" si="108"/>
        <v>#DIV/0!</v>
      </c>
      <c r="IYS71" s="1159" t="e">
        <f t="shared" si="108"/>
        <v>#DIV/0!</v>
      </c>
      <c r="IYT71" s="1159" t="e">
        <f t="shared" si="108"/>
        <v>#DIV/0!</v>
      </c>
      <c r="IYU71" s="1159" t="e">
        <f t="shared" si="108"/>
        <v>#DIV/0!</v>
      </c>
      <c r="IYV71" s="1159" t="e">
        <f t="shared" si="108"/>
        <v>#DIV/0!</v>
      </c>
      <c r="IYW71" s="1159" t="e">
        <f t="shared" si="108"/>
        <v>#DIV/0!</v>
      </c>
      <c r="IYX71" s="1159" t="e">
        <f t="shared" si="108"/>
        <v>#DIV/0!</v>
      </c>
      <c r="IYY71" s="1159" t="e">
        <f t="shared" si="108"/>
        <v>#DIV/0!</v>
      </c>
      <c r="IYZ71" s="1159" t="e">
        <f t="shared" si="108"/>
        <v>#DIV/0!</v>
      </c>
      <c r="IZA71" s="1159" t="e">
        <f t="shared" si="108"/>
        <v>#DIV/0!</v>
      </c>
      <c r="IZB71" s="1159" t="e">
        <f t="shared" si="108"/>
        <v>#DIV/0!</v>
      </c>
      <c r="IZC71" s="1159" t="e">
        <f t="shared" si="108"/>
        <v>#DIV/0!</v>
      </c>
      <c r="IZD71" s="1159" t="e">
        <f t="shared" si="108"/>
        <v>#DIV/0!</v>
      </c>
      <c r="IZE71" s="1159" t="e">
        <f t="shared" si="108"/>
        <v>#DIV/0!</v>
      </c>
      <c r="IZF71" s="1159" t="e">
        <f t="shared" si="108"/>
        <v>#DIV/0!</v>
      </c>
      <c r="IZG71" s="1159" t="e">
        <f t="shared" si="108"/>
        <v>#DIV/0!</v>
      </c>
      <c r="IZH71" s="1159" t="e">
        <f t="shared" si="108"/>
        <v>#DIV/0!</v>
      </c>
      <c r="IZI71" s="1159" t="e">
        <f t="shared" si="108"/>
        <v>#DIV/0!</v>
      </c>
      <c r="IZJ71" s="1159" t="e">
        <f t="shared" si="108"/>
        <v>#DIV/0!</v>
      </c>
      <c r="IZK71" s="1159" t="e">
        <f t="shared" si="108"/>
        <v>#DIV/0!</v>
      </c>
      <c r="IZL71" s="1159" t="e">
        <f t="shared" si="108"/>
        <v>#DIV/0!</v>
      </c>
      <c r="IZM71" s="1159" t="e">
        <f t="shared" si="108"/>
        <v>#DIV/0!</v>
      </c>
      <c r="IZN71" s="1159" t="e">
        <f t="shared" si="108"/>
        <v>#DIV/0!</v>
      </c>
      <c r="IZO71" s="1159" t="e">
        <f t="shared" si="108"/>
        <v>#DIV/0!</v>
      </c>
      <c r="IZP71" s="1159" t="e">
        <f t="shared" si="108"/>
        <v>#DIV/0!</v>
      </c>
      <c r="IZQ71" s="1159" t="e">
        <f t="shared" si="108"/>
        <v>#DIV/0!</v>
      </c>
      <c r="IZR71" s="1159" t="e">
        <f t="shared" si="108"/>
        <v>#DIV/0!</v>
      </c>
      <c r="IZS71" s="1159" t="e">
        <f t="shared" si="108"/>
        <v>#DIV/0!</v>
      </c>
      <c r="IZT71" s="1159" t="e">
        <f t="shared" si="108"/>
        <v>#DIV/0!</v>
      </c>
      <c r="IZU71" s="1159" t="e">
        <f t="shared" si="108"/>
        <v>#DIV/0!</v>
      </c>
      <c r="IZV71" s="1159" t="e">
        <f t="shared" si="108"/>
        <v>#DIV/0!</v>
      </c>
      <c r="IZW71" s="1159" t="e">
        <f t="shared" si="108"/>
        <v>#DIV/0!</v>
      </c>
      <c r="IZX71" s="1159" t="e">
        <f t="shared" si="108"/>
        <v>#DIV/0!</v>
      </c>
      <c r="IZY71" s="1159" t="e">
        <f t="shared" si="108"/>
        <v>#DIV/0!</v>
      </c>
      <c r="IZZ71" s="1159" t="e">
        <f t="shared" si="108"/>
        <v>#DIV/0!</v>
      </c>
      <c r="JAA71" s="1159" t="e">
        <f t="shared" si="108"/>
        <v>#DIV/0!</v>
      </c>
      <c r="JAB71" s="1159" t="e">
        <f t="shared" si="108"/>
        <v>#DIV/0!</v>
      </c>
      <c r="JAC71" s="1159" t="e">
        <f t="shared" si="108"/>
        <v>#DIV/0!</v>
      </c>
      <c r="JAD71" s="1159" t="e">
        <f t="shared" ref="JAD71:JCO71" si="109">((JAD6+JAD12+JAD13+JAD14+JAD15)*860+JAD16*JAD55+JAD17*JAD56+JAD7*JAD49+JAD8*JAD50+JAD9*JAD51+JAD10*JAD52+JAD11*JAD53)/(SUM(JAD6:JAD17))</f>
        <v>#DIV/0!</v>
      </c>
      <c r="JAE71" s="1159" t="e">
        <f t="shared" si="109"/>
        <v>#DIV/0!</v>
      </c>
      <c r="JAF71" s="1159" t="e">
        <f t="shared" si="109"/>
        <v>#DIV/0!</v>
      </c>
      <c r="JAG71" s="1159" t="e">
        <f t="shared" si="109"/>
        <v>#DIV/0!</v>
      </c>
      <c r="JAH71" s="1159" t="e">
        <f t="shared" si="109"/>
        <v>#DIV/0!</v>
      </c>
      <c r="JAI71" s="1159" t="e">
        <f t="shared" si="109"/>
        <v>#DIV/0!</v>
      </c>
      <c r="JAJ71" s="1159" t="e">
        <f t="shared" si="109"/>
        <v>#DIV/0!</v>
      </c>
      <c r="JAK71" s="1159" t="e">
        <f t="shared" si="109"/>
        <v>#DIV/0!</v>
      </c>
      <c r="JAL71" s="1159" t="e">
        <f t="shared" si="109"/>
        <v>#DIV/0!</v>
      </c>
      <c r="JAM71" s="1159" t="e">
        <f t="shared" si="109"/>
        <v>#DIV/0!</v>
      </c>
      <c r="JAN71" s="1159" t="e">
        <f t="shared" si="109"/>
        <v>#DIV/0!</v>
      </c>
      <c r="JAO71" s="1159" t="e">
        <f t="shared" si="109"/>
        <v>#DIV/0!</v>
      </c>
      <c r="JAP71" s="1159" t="e">
        <f t="shared" si="109"/>
        <v>#DIV/0!</v>
      </c>
      <c r="JAQ71" s="1159" t="e">
        <f t="shared" si="109"/>
        <v>#DIV/0!</v>
      </c>
      <c r="JAR71" s="1159" t="e">
        <f t="shared" si="109"/>
        <v>#DIV/0!</v>
      </c>
      <c r="JAS71" s="1159" t="e">
        <f t="shared" si="109"/>
        <v>#DIV/0!</v>
      </c>
      <c r="JAT71" s="1159" t="e">
        <f t="shared" si="109"/>
        <v>#DIV/0!</v>
      </c>
      <c r="JAU71" s="1159" t="e">
        <f t="shared" si="109"/>
        <v>#DIV/0!</v>
      </c>
      <c r="JAV71" s="1159" t="e">
        <f t="shared" si="109"/>
        <v>#DIV/0!</v>
      </c>
      <c r="JAW71" s="1159" t="e">
        <f t="shared" si="109"/>
        <v>#DIV/0!</v>
      </c>
      <c r="JAX71" s="1159" t="e">
        <f t="shared" si="109"/>
        <v>#DIV/0!</v>
      </c>
      <c r="JAY71" s="1159" t="e">
        <f t="shared" si="109"/>
        <v>#DIV/0!</v>
      </c>
      <c r="JAZ71" s="1159" t="e">
        <f t="shared" si="109"/>
        <v>#DIV/0!</v>
      </c>
      <c r="JBA71" s="1159" t="e">
        <f t="shared" si="109"/>
        <v>#DIV/0!</v>
      </c>
      <c r="JBB71" s="1159" t="e">
        <f t="shared" si="109"/>
        <v>#DIV/0!</v>
      </c>
      <c r="JBC71" s="1159" t="e">
        <f t="shared" si="109"/>
        <v>#DIV/0!</v>
      </c>
      <c r="JBD71" s="1159" t="e">
        <f t="shared" si="109"/>
        <v>#DIV/0!</v>
      </c>
      <c r="JBE71" s="1159" t="e">
        <f t="shared" si="109"/>
        <v>#DIV/0!</v>
      </c>
      <c r="JBF71" s="1159" t="e">
        <f t="shared" si="109"/>
        <v>#DIV/0!</v>
      </c>
      <c r="JBG71" s="1159" t="e">
        <f t="shared" si="109"/>
        <v>#DIV/0!</v>
      </c>
      <c r="JBH71" s="1159" t="e">
        <f t="shared" si="109"/>
        <v>#DIV/0!</v>
      </c>
      <c r="JBI71" s="1159" t="e">
        <f t="shared" si="109"/>
        <v>#DIV/0!</v>
      </c>
      <c r="JBJ71" s="1159" t="e">
        <f t="shared" si="109"/>
        <v>#DIV/0!</v>
      </c>
      <c r="JBK71" s="1159" t="e">
        <f t="shared" si="109"/>
        <v>#DIV/0!</v>
      </c>
      <c r="JBL71" s="1159" t="e">
        <f t="shared" si="109"/>
        <v>#DIV/0!</v>
      </c>
      <c r="JBM71" s="1159" t="e">
        <f t="shared" si="109"/>
        <v>#DIV/0!</v>
      </c>
      <c r="JBN71" s="1159" t="e">
        <f t="shared" si="109"/>
        <v>#DIV/0!</v>
      </c>
      <c r="JBO71" s="1159" t="e">
        <f t="shared" si="109"/>
        <v>#DIV/0!</v>
      </c>
      <c r="JBP71" s="1159" t="e">
        <f t="shared" si="109"/>
        <v>#DIV/0!</v>
      </c>
      <c r="JBQ71" s="1159" t="e">
        <f t="shared" si="109"/>
        <v>#DIV/0!</v>
      </c>
      <c r="JBR71" s="1159" t="e">
        <f t="shared" si="109"/>
        <v>#DIV/0!</v>
      </c>
      <c r="JBS71" s="1159" t="e">
        <f t="shared" si="109"/>
        <v>#DIV/0!</v>
      </c>
      <c r="JBT71" s="1159" t="e">
        <f t="shared" si="109"/>
        <v>#DIV/0!</v>
      </c>
      <c r="JBU71" s="1159" t="e">
        <f t="shared" si="109"/>
        <v>#DIV/0!</v>
      </c>
      <c r="JBV71" s="1159" t="e">
        <f t="shared" si="109"/>
        <v>#DIV/0!</v>
      </c>
      <c r="JBW71" s="1159" t="e">
        <f t="shared" si="109"/>
        <v>#DIV/0!</v>
      </c>
      <c r="JBX71" s="1159" t="e">
        <f t="shared" si="109"/>
        <v>#DIV/0!</v>
      </c>
      <c r="JBY71" s="1159" t="e">
        <f t="shared" si="109"/>
        <v>#DIV/0!</v>
      </c>
      <c r="JBZ71" s="1159" t="e">
        <f t="shared" si="109"/>
        <v>#DIV/0!</v>
      </c>
      <c r="JCA71" s="1159" t="e">
        <f t="shared" si="109"/>
        <v>#DIV/0!</v>
      </c>
      <c r="JCB71" s="1159" t="e">
        <f t="shared" si="109"/>
        <v>#DIV/0!</v>
      </c>
      <c r="JCC71" s="1159" t="e">
        <f t="shared" si="109"/>
        <v>#DIV/0!</v>
      </c>
      <c r="JCD71" s="1159" t="e">
        <f t="shared" si="109"/>
        <v>#DIV/0!</v>
      </c>
      <c r="JCE71" s="1159" t="e">
        <f t="shared" si="109"/>
        <v>#DIV/0!</v>
      </c>
      <c r="JCF71" s="1159" t="e">
        <f t="shared" si="109"/>
        <v>#DIV/0!</v>
      </c>
      <c r="JCG71" s="1159" t="e">
        <f t="shared" si="109"/>
        <v>#DIV/0!</v>
      </c>
      <c r="JCH71" s="1159" t="e">
        <f t="shared" si="109"/>
        <v>#DIV/0!</v>
      </c>
      <c r="JCI71" s="1159" t="e">
        <f t="shared" si="109"/>
        <v>#DIV/0!</v>
      </c>
      <c r="JCJ71" s="1159" t="e">
        <f t="shared" si="109"/>
        <v>#DIV/0!</v>
      </c>
      <c r="JCK71" s="1159" t="e">
        <f t="shared" si="109"/>
        <v>#DIV/0!</v>
      </c>
      <c r="JCL71" s="1159" t="e">
        <f t="shared" si="109"/>
        <v>#DIV/0!</v>
      </c>
      <c r="JCM71" s="1159" t="e">
        <f t="shared" si="109"/>
        <v>#DIV/0!</v>
      </c>
      <c r="JCN71" s="1159" t="e">
        <f t="shared" si="109"/>
        <v>#DIV/0!</v>
      </c>
      <c r="JCO71" s="1159" t="e">
        <f t="shared" si="109"/>
        <v>#DIV/0!</v>
      </c>
      <c r="JCP71" s="1159" t="e">
        <f t="shared" ref="JCP71:JFA71" si="110">((JCP6+JCP12+JCP13+JCP14+JCP15)*860+JCP16*JCP55+JCP17*JCP56+JCP7*JCP49+JCP8*JCP50+JCP9*JCP51+JCP10*JCP52+JCP11*JCP53)/(SUM(JCP6:JCP17))</f>
        <v>#DIV/0!</v>
      </c>
      <c r="JCQ71" s="1159" t="e">
        <f t="shared" si="110"/>
        <v>#DIV/0!</v>
      </c>
      <c r="JCR71" s="1159" t="e">
        <f t="shared" si="110"/>
        <v>#DIV/0!</v>
      </c>
      <c r="JCS71" s="1159" t="e">
        <f t="shared" si="110"/>
        <v>#DIV/0!</v>
      </c>
      <c r="JCT71" s="1159" t="e">
        <f t="shared" si="110"/>
        <v>#DIV/0!</v>
      </c>
      <c r="JCU71" s="1159" t="e">
        <f t="shared" si="110"/>
        <v>#DIV/0!</v>
      </c>
      <c r="JCV71" s="1159" t="e">
        <f t="shared" si="110"/>
        <v>#DIV/0!</v>
      </c>
      <c r="JCW71" s="1159" t="e">
        <f t="shared" si="110"/>
        <v>#DIV/0!</v>
      </c>
      <c r="JCX71" s="1159" t="e">
        <f t="shared" si="110"/>
        <v>#DIV/0!</v>
      </c>
      <c r="JCY71" s="1159" t="e">
        <f t="shared" si="110"/>
        <v>#DIV/0!</v>
      </c>
      <c r="JCZ71" s="1159" t="e">
        <f t="shared" si="110"/>
        <v>#DIV/0!</v>
      </c>
      <c r="JDA71" s="1159" t="e">
        <f t="shared" si="110"/>
        <v>#DIV/0!</v>
      </c>
      <c r="JDB71" s="1159" t="e">
        <f t="shared" si="110"/>
        <v>#DIV/0!</v>
      </c>
      <c r="JDC71" s="1159" t="e">
        <f t="shared" si="110"/>
        <v>#DIV/0!</v>
      </c>
      <c r="JDD71" s="1159" t="e">
        <f t="shared" si="110"/>
        <v>#DIV/0!</v>
      </c>
      <c r="JDE71" s="1159" t="e">
        <f t="shared" si="110"/>
        <v>#DIV/0!</v>
      </c>
      <c r="JDF71" s="1159" t="e">
        <f t="shared" si="110"/>
        <v>#DIV/0!</v>
      </c>
      <c r="JDG71" s="1159" t="e">
        <f t="shared" si="110"/>
        <v>#DIV/0!</v>
      </c>
      <c r="JDH71" s="1159" t="e">
        <f t="shared" si="110"/>
        <v>#DIV/0!</v>
      </c>
      <c r="JDI71" s="1159" t="e">
        <f t="shared" si="110"/>
        <v>#DIV/0!</v>
      </c>
      <c r="JDJ71" s="1159" t="e">
        <f t="shared" si="110"/>
        <v>#DIV/0!</v>
      </c>
      <c r="JDK71" s="1159" t="e">
        <f t="shared" si="110"/>
        <v>#DIV/0!</v>
      </c>
      <c r="JDL71" s="1159" t="e">
        <f t="shared" si="110"/>
        <v>#DIV/0!</v>
      </c>
      <c r="JDM71" s="1159" t="e">
        <f t="shared" si="110"/>
        <v>#DIV/0!</v>
      </c>
      <c r="JDN71" s="1159" t="e">
        <f t="shared" si="110"/>
        <v>#DIV/0!</v>
      </c>
      <c r="JDO71" s="1159" t="e">
        <f t="shared" si="110"/>
        <v>#DIV/0!</v>
      </c>
      <c r="JDP71" s="1159" t="e">
        <f t="shared" si="110"/>
        <v>#DIV/0!</v>
      </c>
      <c r="JDQ71" s="1159" t="e">
        <f t="shared" si="110"/>
        <v>#DIV/0!</v>
      </c>
      <c r="JDR71" s="1159" t="e">
        <f t="shared" si="110"/>
        <v>#DIV/0!</v>
      </c>
      <c r="JDS71" s="1159" t="e">
        <f t="shared" si="110"/>
        <v>#DIV/0!</v>
      </c>
      <c r="JDT71" s="1159" t="e">
        <f t="shared" si="110"/>
        <v>#DIV/0!</v>
      </c>
      <c r="JDU71" s="1159" t="e">
        <f t="shared" si="110"/>
        <v>#DIV/0!</v>
      </c>
      <c r="JDV71" s="1159" t="e">
        <f t="shared" si="110"/>
        <v>#DIV/0!</v>
      </c>
      <c r="JDW71" s="1159" t="e">
        <f t="shared" si="110"/>
        <v>#DIV/0!</v>
      </c>
      <c r="JDX71" s="1159" t="e">
        <f t="shared" si="110"/>
        <v>#DIV/0!</v>
      </c>
      <c r="JDY71" s="1159" t="e">
        <f t="shared" si="110"/>
        <v>#DIV/0!</v>
      </c>
      <c r="JDZ71" s="1159" t="e">
        <f t="shared" si="110"/>
        <v>#DIV/0!</v>
      </c>
      <c r="JEA71" s="1159" t="e">
        <f t="shared" si="110"/>
        <v>#DIV/0!</v>
      </c>
      <c r="JEB71" s="1159" t="e">
        <f t="shared" si="110"/>
        <v>#DIV/0!</v>
      </c>
      <c r="JEC71" s="1159" t="e">
        <f t="shared" si="110"/>
        <v>#DIV/0!</v>
      </c>
      <c r="JED71" s="1159" t="e">
        <f t="shared" si="110"/>
        <v>#DIV/0!</v>
      </c>
      <c r="JEE71" s="1159" t="e">
        <f t="shared" si="110"/>
        <v>#DIV/0!</v>
      </c>
      <c r="JEF71" s="1159" t="e">
        <f t="shared" si="110"/>
        <v>#DIV/0!</v>
      </c>
      <c r="JEG71" s="1159" t="e">
        <f t="shared" si="110"/>
        <v>#DIV/0!</v>
      </c>
      <c r="JEH71" s="1159" t="e">
        <f t="shared" si="110"/>
        <v>#DIV/0!</v>
      </c>
      <c r="JEI71" s="1159" t="e">
        <f t="shared" si="110"/>
        <v>#DIV/0!</v>
      </c>
      <c r="JEJ71" s="1159" t="e">
        <f t="shared" si="110"/>
        <v>#DIV/0!</v>
      </c>
      <c r="JEK71" s="1159" t="e">
        <f t="shared" si="110"/>
        <v>#DIV/0!</v>
      </c>
      <c r="JEL71" s="1159" t="e">
        <f t="shared" si="110"/>
        <v>#DIV/0!</v>
      </c>
      <c r="JEM71" s="1159" t="e">
        <f t="shared" si="110"/>
        <v>#DIV/0!</v>
      </c>
      <c r="JEN71" s="1159" t="e">
        <f t="shared" si="110"/>
        <v>#DIV/0!</v>
      </c>
      <c r="JEO71" s="1159" t="e">
        <f t="shared" si="110"/>
        <v>#DIV/0!</v>
      </c>
      <c r="JEP71" s="1159" t="e">
        <f t="shared" si="110"/>
        <v>#DIV/0!</v>
      </c>
      <c r="JEQ71" s="1159" t="e">
        <f t="shared" si="110"/>
        <v>#DIV/0!</v>
      </c>
      <c r="JER71" s="1159" t="e">
        <f t="shared" si="110"/>
        <v>#DIV/0!</v>
      </c>
      <c r="JES71" s="1159" t="e">
        <f t="shared" si="110"/>
        <v>#DIV/0!</v>
      </c>
      <c r="JET71" s="1159" t="e">
        <f t="shared" si="110"/>
        <v>#DIV/0!</v>
      </c>
      <c r="JEU71" s="1159" t="e">
        <f t="shared" si="110"/>
        <v>#DIV/0!</v>
      </c>
      <c r="JEV71" s="1159" t="e">
        <f t="shared" si="110"/>
        <v>#DIV/0!</v>
      </c>
      <c r="JEW71" s="1159" t="e">
        <f t="shared" si="110"/>
        <v>#DIV/0!</v>
      </c>
      <c r="JEX71" s="1159" t="e">
        <f t="shared" si="110"/>
        <v>#DIV/0!</v>
      </c>
      <c r="JEY71" s="1159" t="e">
        <f t="shared" si="110"/>
        <v>#DIV/0!</v>
      </c>
      <c r="JEZ71" s="1159" t="e">
        <f t="shared" si="110"/>
        <v>#DIV/0!</v>
      </c>
      <c r="JFA71" s="1159" t="e">
        <f t="shared" si="110"/>
        <v>#DIV/0!</v>
      </c>
      <c r="JFB71" s="1159" t="e">
        <f t="shared" ref="JFB71:JHM71" si="111">((JFB6+JFB12+JFB13+JFB14+JFB15)*860+JFB16*JFB55+JFB17*JFB56+JFB7*JFB49+JFB8*JFB50+JFB9*JFB51+JFB10*JFB52+JFB11*JFB53)/(SUM(JFB6:JFB17))</f>
        <v>#DIV/0!</v>
      </c>
      <c r="JFC71" s="1159" t="e">
        <f t="shared" si="111"/>
        <v>#DIV/0!</v>
      </c>
      <c r="JFD71" s="1159" t="e">
        <f t="shared" si="111"/>
        <v>#DIV/0!</v>
      </c>
      <c r="JFE71" s="1159" t="e">
        <f t="shared" si="111"/>
        <v>#DIV/0!</v>
      </c>
      <c r="JFF71" s="1159" t="e">
        <f t="shared" si="111"/>
        <v>#DIV/0!</v>
      </c>
      <c r="JFG71" s="1159" t="e">
        <f t="shared" si="111"/>
        <v>#DIV/0!</v>
      </c>
      <c r="JFH71" s="1159" t="e">
        <f t="shared" si="111"/>
        <v>#DIV/0!</v>
      </c>
      <c r="JFI71" s="1159" t="e">
        <f t="shared" si="111"/>
        <v>#DIV/0!</v>
      </c>
      <c r="JFJ71" s="1159" t="e">
        <f t="shared" si="111"/>
        <v>#DIV/0!</v>
      </c>
      <c r="JFK71" s="1159" t="e">
        <f t="shared" si="111"/>
        <v>#DIV/0!</v>
      </c>
      <c r="JFL71" s="1159" t="e">
        <f t="shared" si="111"/>
        <v>#DIV/0!</v>
      </c>
      <c r="JFM71" s="1159" t="e">
        <f t="shared" si="111"/>
        <v>#DIV/0!</v>
      </c>
      <c r="JFN71" s="1159" t="e">
        <f t="shared" si="111"/>
        <v>#DIV/0!</v>
      </c>
      <c r="JFO71" s="1159" t="e">
        <f t="shared" si="111"/>
        <v>#DIV/0!</v>
      </c>
      <c r="JFP71" s="1159" t="e">
        <f t="shared" si="111"/>
        <v>#DIV/0!</v>
      </c>
      <c r="JFQ71" s="1159" t="e">
        <f t="shared" si="111"/>
        <v>#DIV/0!</v>
      </c>
      <c r="JFR71" s="1159" t="e">
        <f t="shared" si="111"/>
        <v>#DIV/0!</v>
      </c>
      <c r="JFS71" s="1159" t="e">
        <f t="shared" si="111"/>
        <v>#DIV/0!</v>
      </c>
      <c r="JFT71" s="1159" t="e">
        <f t="shared" si="111"/>
        <v>#DIV/0!</v>
      </c>
      <c r="JFU71" s="1159" t="e">
        <f t="shared" si="111"/>
        <v>#DIV/0!</v>
      </c>
      <c r="JFV71" s="1159" t="e">
        <f t="shared" si="111"/>
        <v>#DIV/0!</v>
      </c>
      <c r="JFW71" s="1159" t="e">
        <f t="shared" si="111"/>
        <v>#DIV/0!</v>
      </c>
      <c r="JFX71" s="1159" t="e">
        <f t="shared" si="111"/>
        <v>#DIV/0!</v>
      </c>
      <c r="JFY71" s="1159" t="e">
        <f t="shared" si="111"/>
        <v>#DIV/0!</v>
      </c>
      <c r="JFZ71" s="1159" t="e">
        <f t="shared" si="111"/>
        <v>#DIV/0!</v>
      </c>
      <c r="JGA71" s="1159" t="e">
        <f t="shared" si="111"/>
        <v>#DIV/0!</v>
      </c>
      <c r="JGB71" s="1159" t="e">
        <f t="shared" si="111"/>
        <v>#DIV/0!</v>
      </c>
      <c r="JGC71" s="1159" t="e">
        <f t="shared" si="111"/>
        <v>#DIV/0!</v>
      </c>
      <c r="JGD71" s="1159" t="e">
        <f t="shared" si="111"/>
        <v>#DIV/0!</v>
      </c>
      <c r="JGE71" s="1159" t="e">
        <f t="shared" si="111"/>
        <v>#DIV/0!</v>
      </c>
      <c r="JGF71" s="1159" t="e">
        <f t="shared" si="111"/>
        <v>#DIV/0!</v>
      </c>
      <c r="JGG71" s="1159" t="e">
        <f t="shared" si="111"/>
        <v>#DIV/0!</v>
      </c>
      <c r="JGH71" s="1159" t="e">
        <f t="shared" si="111"/>
        <v>#DIV/0!</v>
      </c>
      <c r="JGI71" s="1159" t="e">
        <f t="shared" si="111"/>
        <v>#DIV/0!</v>
      </c>
      <c r="JGJ71" s="1159" t="e">
        <f t="shared" si="111"/>
        <v>#DIV/0!</v>
      </c>
      <c r="JGK71" s="1159" t="e">
        <f t="shared" si="111"/>
        <v>#DIV/0!</v>
      </c>
      <c r="JGL71" s="1159" t="e">
        <f t="shared" si="111"/>
        <v>#DIV/0!</v>
      </c>
      <c r="JGM71" s="1159" t="e">
        <f t="shared" si="111"/>
        <v>#DIV/0!</v>
      </c>
      <c r="JGN71" s="1159" t="e">
        <f t="shared" si="111"/>
        <v>#DIV/0!</v>
      </c>
      <c r="JGO71" s="1159" t="e">
        <f t="shared" si="111"/>
        <v>#DIV/0!</v>
      </c>
      <c r="JGP71" s="1159" t="e">
        <f t="shared" si="111"/>
        <v>#DIV/0!</v>
      </c>
      <c r="JGQ71" s="1159" t="e">
        <f t="shared" si="111"/>
        <v>#DIV/0!</v>
      </c>
      <c r="JGR71" s="1159" t="e">
        <f t="shared" si="111"/>
        <v>#DIV/0!</v>
      </c>
      <c r="JGS71" s="1159" t="e">
        <f t="shared" si="111"/>
        <v>#DIV/0!</v>
      </c>
      <c r="JGT71" s="1159" t="e">
        <f t="shared" si="111"/>
        <v>#DIV/0!</v>
      </c>
      <c r="JGU71" s="1159" t="e">
        <f t="shared" si="111"/>
        <v>#DIV/0!</v>
      </c>
      <c r="JGV71" s="1159" t="e">
        <f t="shared" si="111"/>
        <v>#DIV/0!</v>
      </c>
      <c r="JGW71" s="1159" t="e">
        <f t="shared" si="111"/>
        <v>#DIV/0!</v>
      </c>
      <c r="JGX71" s="1159" t="e">
        <f t="shared" si="111"/>
        <v>#DIV/0!</v>
      </c>
      <c r="JGY71" s="1159" t="e">
        <f t="shared" si="111"/>
        <v>#DIV/0!</v>
      </c>
      <c r="JGZ71" s="1159" t="e">
        <f t="shared" si="111"/>
        <v>#DIV/0!</v>
      </c>
      <c r="JHA71" s="1159" t="e">
        <f t="shared" si="111"/>
        <v>#DIV/0!</v>
      </c>
      <c r="JHB71" s="1159" t="e">
        <f t="shared" si="111"/>
        <v>#DIV/0!</v>
      </c>
      <c r="JHC71" s="1159" t="e">
        <f t="shared" si="111"/>
        <v>#DIV/0!</v>
      </c>
      <c r="JHD71" s="1159" t="e">
        <f t="shared" si="111"/>
        <v>#DIV/0!</v>
      </c>
      <c r="JHE71" s="1159" t="e">
        <f t="shared" si="111"/>
        <v>#DIV/0!</v>
      </c>
      <c r="JHF71" s="1159" t="e">
        <f t="shared" si="111"/>
        <v>#DIV/0!</v>
      </c>
      <c r="JHG71" s="1159" t="e">
        <f t="shared" si="111"/>
        <v>#DIV/0!</v>
      </c>
      <c r="JHH71" s="1159" t="e">
        <f t="shared" si="111"/>
        <v>#DIV/0!</v>
      </c>
      <c r="JHI71" s="1159" t="e">
        <f t="shared" si="111"/>
        <v>#DIV/0!</v>
      </c>
      <c r="JHJ71" s="1159" t="e">
        <f t="shared" si="111"/>
        <v>#DIV/0!</v>
      </c>
      <c r="JHK71" s="1159" t="e">
        <f t="shared" si="111"/>
        <v>#DIV/0!</v>
      </c>
      <c r="JHL71" s="1159" t="e">
        <f t="shared" si="111"/>
        <v>#DIV/0!</v>
      </c>
      <c r="JHM71" s="1159" t="e">
        <f t="shared" si="111"/>
        <v>#DIV/0!</v>
      </c>
      <c r="JHN71" s="1159" t="e">
        <f t="shared" ref="JHN71:JJY71" si="112">((JHN6+JHN12+JHN13+JHN14+JHN15)*860+JHN16*JHN55+JHN17*JHN56+JHN7*JHN49+JHN8*JHN50+JHN9*JHN51+JHN10*JHN52+JHN11*JHN53)/(SUM(JHN6:JHN17))</f>
        <v>#DIV/0!</v>
      </c>
      <c r="JHO71" s="1159" t="e">
        <f t="shared" si="112"/>
        <v>#DIV/0!</v>
      </c>
      <c r="JHP71" s="1159" t="e">
        <f t="shared" si="112"/>
        <v>#DIV/0!</v>
      </c>
      <c r="JHQ71" s="1159" t="e">
        <f t="shared" si="112"/>
        <v>#DIV/0!</v>
      </c>
      <c r="JHR71" s="1159" t="e">
        <f t="shared" si="112"/>
        <v>#DIV/0!</v>
      </c>
      <c r="JHS71" s="1159" t="e">
        <f t="shared" si="112"/>
        <v>#DIV/0!</v>
      </c>
      <c r="JHT71" s="1159" t="e">
        <f t="shared" si="112"/>
        <v>#DIV/0!</v>
      </c>
      <c r="JHU71" s="1159" t="e">
        <f t="shared" si="112"/>
        <v>#DIV/0!</v>
      </c>
      <c r="JHV71" s="1159" t="e">
        <f t="shared" si="112"/>
        <v>#DIV/0!</v>
      </c>
      <c r="JHW71" s="1159" t="e">
        <f t="shared" si="112"/>
        <v>#DIV/0!</v>
      </c>
      <c r="JHX71" s="1159" t="e">
        <f t="shared" si="112"/>
        <v>#DIV/0!</v>
      </c>
      <c r="JHY71" s="1159" t="e">
        <f t="shared" si="112"/>
        <v>#DIV/0!</v>
      </c>
      <c r="JHZ71" s="1159" t="e">
        <f t="shared" si="112"/>
        <v>#DIV/0!</v>
      </c>
      <c r="JIA71" s="1159" t="e">
        <f t="shared" si="112"/>
        <v>#DIV/0!</v>
      </c>
      <c r="JIB71" s="1159" t="e">
        <f t="shared" si="112"/>
        <v>#DIV/0!</v>
      </c>
      <c r="JIC71" s="1159" t="e">
        <f t="shared" si="112"/>
        <v>#DIV/0!</v>
      </c>
      <c r="JID71" s="1159" t="e">
        <f t="shared" si="112"/>
        <v>#DIV/0!</v>
      </c>
      <c r="JIE71" s="1159" t="e">
        <f t="shared" si="112"/>
        <v>#DIV/0!</v>
      </c>
      <c r="JIF71" s="1159" t="e">
        <f t="shared" si="112"/>
        <v>#DIV/0!</v>
      </c>
      <c r="JIG71" s="1159" t="e">
        <f t="shared" si="112"/>
        <v>#DIV/0!</v>
      </c>
      <c r="JIH71" s="1159" t="e">
        <f t="shared" si="112"/>
        <v>#DIV/0!</v>
      </c>
      <c r="JII71" s="1159" t="e">
        <f t="shared" si="112"/>
        <v>#DIV/0!</v>
      </c>
      <c r="JIJ71" s="1159" t="e">
        <f t="shared" si="112"/>
        <v>#DIV/0!</v>
      </c>
      <c r="JIK71" s="1159" t="e">
        <f t="shared" si="112"/>
        <v>#DIV/0!</v>
      </c>
      <c r="JIL71" s="1159" t="e">
        <f t="shared" si="112"/>
        <v>#DIV/0!</v>
      </c>
      <c r="JIM71" s="1159" t="e">
        <f t="shared" si="112"/>
        <v>#DIV/0!</v>
      </c>
      <c r="JIN71" s="1159" t="e">
        <f t="shared" si="112"/>
        <v>#DIV/0!</v>
      </c>
      <c r="JIO71" s="1159" t="e">
        <f t="shared" si="112"/>
        <v>#DIV/0!</v>
      </c>
      <c r="JIP71" s="1159" t="e">
        <f t="shared" si="112"/>
        <v>#DIV/0!</v>
      </c>
      <c r="JIQ71" s="1159" t="e">
        <f t="shared" si="112"/>
        <v>#DIV/0!</v>
      </c>
      <c r="JIR71" s="1159" t="e">
        <f t="shared" si="112"/>
        <v>#DIV/0!</v>
      </c>
      <c r="JIS71" s="1159" t="e">
        <f t="shared" si="112"/>
        <v>#DIV/0!</v>
      </c>
      <c r="JIT71" s="1159" t="e">
        <f t="shared" si="112"/>
        <v>#DIV/0!</v>
      </c>
      <c r="JIU71" s="1159" t="e">
        <f t="shared" si="112"/>
        <v>#DIV/0!</v>
      </c>
      <c r="JIV71" s="1159" t="e">
        <f t="shared" si="112"/>
        <v>#DIV/0!</v>
      </c>
      <c r="JIW71" s="1159" t="e">
        <f t="shared" si="112"/>
        <v>#DIV/0!</v>
      </c>
      <c r="JIX71" s="1159" t="e">
        <f t="shared" si="112"/>
        <v>#DIV/0!</v>
      </c>
      <c r="JIY71" s="1159" t="e">
        <f t="shared" si="112"/>
        <v>#DIV/0!</v>
      </c>
      <c r="JIZ71" s="1159" t="e">
        <f t="shared" si="112"/>
        <v>#DIV/0!</v>
      </c>
      <c r="JJA71" s="1159" t="e">
        <f t="shared" si="112"/>
        <v>#DIV/0!</v>
      </c>
      <c r="JJB71" s="1159" t="e">
        <f t="shared" si="112"/>
        <v>#DIV/0!</v>
      </c>
      <c r="JJC71" s="1159" t="e">
        <f t="shared" si="112"/>
        <v>#DIV/0!</v>
      </c>
      <c r="JJD71" s="1159" t="e">
        <f t="shared" si="112"/>
        <v>#DIV/0!</v>
      </c>
      <c r="JJE71" s="1159" t="e">
        <f t="shared" si="112"/>
        <v>#DIV/0!</v>
      </c>
      <c r="JJF71" s="1159" t="e">
        <f t="shared" si="112"/>
        <v>#DIV/0!</v>
      </c>
      <c r="JJG71" s="1159" t="e">
        <f t="shared" si="112"/>
        <v>#DIV/0!</v>
      </c>
      <c r="JJH71" s="1159" t="e">
        <f t="shared" si="112"/>
        <v>#DIV/0!</v>
      </c>
      <c r="JJI71" s="1159" t="e">
        <f t="shared" si="112"/>
        <v>#DIV/0!</v>
      </c>
      <c r="JJJ71" s="1159" t="e">
        <f t="shared" si="112"/>
        <v>#DIV/0!</v>
      </c>
      <c r="JJK71" s="1159" t="e">
        <f t="shared" si="112"/>
        <v>#DIV/0!</v>
      </c>
      <c r="JJL71" s="1159" t="e">
        <f t="shared" si="112"/>
        <v>#DIV/0!</v>
      </c>
      <c r="JJM71" s="1159" t="e">
        <f t="shared" si="112"/>
        <v>#DIV/0!</v>
      </c>
      <c r="JJN71" s="1159" t="e">
        <f t="shared" si="112"/>
        <v>#DIV/0!</v>
      </c>
      <c r="JJO71" s="1159" t="e">
        <f t="shared" si="112"/>
        <v>#DIV/0!</v>
      </c>
      <c r="JJP71" s="1159" t="e">
        <f t="shared" si="112"/>
        <v>#DIV/0!</v>
      </c>
      <c r="JJQ71" s="1159" t="e">
        <f t="shared" si="112"/>
        <v>#DIV/0!</v>
      </c>
      <c r="JJR71" s="1159" t="e">
        <f t="shared" si="112"/>
        <v>#DIV/0!</v>
      </c>
      <c r="JJS71" s="1159" t="e">
        <f t="shared" si="112"/>
        <v>#DIV/0!</v>
      </c>
      <c r="JJT71" s="1159" t="e">
        <f t="shared" si="112"/>
        <v>#DIV/0!</v>
      </c>
      <c r="JJU71" s="1159" t="e">
        <f t="shared" si="112"/>
        <v>#DIV/0!</v>
      </c>
      <c r="JJV71" s="1159" t="e">
        <f t="shared" si="112"/>
        <v>#DIV/0!</v>
      </c>
      <c r="JJW71" s="1159" t="e">
        <f t="shared" si="112"/>
        <v>#DIV/0!</v>
      </c>
      <c r="JJX71" s="1159" t="e">
        <f t="shared" si="112"/>
        <v>#DIV/0!</v>
      </c>
      <c r="JJY71" s="1159" t="e">
        <f t="shared" si="112"/>
        <v>#DIV/0!</v>
      </c>
      <c r="JJZ71" s="1159" t="e">
        <f t="shared" ref="JJZ71:JMK71" si="113">((JJZ6+JJZ12+JJZ13+JJZ14+JJZ15)*860+JJZ16*JJZ55+JJZ17*JJZ56+JJZ7*JJZ49+JJZ8*JJZ50+JJZ9*JJZ51+JJZ10*JJZ52+JJZ11*JJZ53)/(SUM(JJZ6:JJZ17))</f>
        <v>#DIV/0!</v>
      </c>
      <c r="JKA71" s="1159" t="e">
        <f t="shared" si="113"/>
        <v>#DIV/0!</v>
      </c>
      <c r="JKB71" s="1159" t="e">
        <f t="shared" si="113"/>
        <v>#DIV/0!</v>
      </c>
      <c r="JKC71" s="1159" t="e">
        <f t="shared" si="113"/>
        <v>#DIV/0!</v>
      </c>
      <c r="JKD71" s="1159" t="e">
        <f t="shared" si="113"/>
        <v>#DIV/0!</v>
      </c>
      <c r="JKE71" s="1159" t="e">
        <f t="shared" si="113"/>
        <v>#DIV/0!</v>
      </c>
      <c r="JKF71" s="1159" t="e">
        <f t="shared" si="113"/>
        <v>#DIV/0!</v>
      </c>
      <c r="JKG71" s="1159" t="e">
        <f t="shared" si="113"/>
        <v>#DIV/0!</v>
      </c>
      <c r="JKH71" s="1159" t="e">
        <f t="shared" si="113"/>
        <v>#DIV/0!</v>
      </c>
      <c r="JKI71" s="1159" t="e">
        <f t="shared" si="113"/>
        <v>#DIV/0!</v>
      </c>
      <c r="JKJ71" s="1159" t="e">
        <f t="shared" si="113"/>
        <v>#DIV/0!</v>
      </c>
      <c r="JKK71" s="1159" t="e">
        <f t="shared" si="113"/>
        <v>#DIV/0!</v>
      </c>
      <c r="JKL71" s="1159" t="e">
        <f t="shared" si="113"/>
        <v>#DIV/0!</v>
      </c>
      <c r="JKM71" s="1159" t="e">
        <f t="shared" si="113"/>
        <v>#DIV/0!</v>
      </c>
      <c r="JKN71" s="1159" t="e">
        <f t="shared" si="113"/>
        <v>#DIV/0!</v>
      </c>
      <c r="JKO71" s="1159" t="e">
        <f t="shared" si="113"/>
        <v>#DIV/0!</v>
      </c>
      <c r="JKP71" s="1159" t="e">
        <f t="shared" si="113"/>
        <v>#DIV/0!</v>
      </c>
      <c r="JKQ71" s="1159" t="e">
        <f t="shared" si="113"/>
        <v>#DIV/0!</v>
      </c>
      <c r="JKR71" s="1159" t="e">
        <f t="shared" si="113"/>
        <v>#DIV/0!</v>
      </c>
      <c r="JKS71" s="1159" t="e">
        <f t="shared" si="113"/>
        <v>#DIV/0!</v>
      </c>
      <c r="JKT71" s="1159" t="e">
        <f t="shared" si="113"/>
        <v>#DIV/0!</v>
      </c>
      <c r="JKU71" s="1159" t="e">
        <f t="shared" si="113"/>
        <v>#DIV/0!</v>
      </c>
      <c r="JKV71" s="1159" t="e">
        <f t="shared" si="113"/>
        <v>#DIV/0!</v>
      </c>
      <c r="JKW71" s="1159" t="e">
        <f t="shared" si="113"/>
        <v>#DIV/0!</v>
      </c>
      <c r="JKX71" s="1159" t="e">
        <f t="shared" si="113"/>
        <v>#DIV/0!</v>
      </c>
      <c r="JKY71" s="1159" t="e">
        <f t="shared" si="113"/>
        <v>#DIV/0!</v>
      </c>
      <c r="JKZ71" s="1159" t="e">
        <f t="shared" si="113"/>
        <v>#DIV/0!</v>
      </c>
      <c r="JLA71" s="1159" t="e">
        <f t="shared" si="113"/>
        <v>#DIV/0!</v>
      </c>
      <c r="JLB71" s="1159" t="e">
        <f t="shared" si="113"/>
        <v>#DIV/0!</v>
      </c>
      <c r="JLC71" s="1159" t="e">
        <f t="shared" si="113"/>
        <v>#DIV/0!</v>
      </c>
      <c r="JLD71" s="1159" t="e">
        <f t="shared" si="113"/>
        <v>#DIV/0!</v>
      </c>
      <c r="JLE71" s="1159" t="e">
        <f t="shared" si="113"/>
        <v>#DIV/0!</v>
      </c>
      <c r="JLF71" s="1159" t="e">
        <f t="shared" si="113"/>
        <v>#DIV/0!</v>
      </c>
      <c r="JLG71" s="1159" t="e">
        <f t="shared" si="113"/>
        <v>#DIV/0!</v>
      </c>
      <c r="JLH71" s="1159" t="e">
        <f t="shared" si="113"/>
        <v>#DIV/0!</v>
      </c>
      <c r="JLI71" s="1159" t="e">
        <f t="shared" si="113"/>
        <v>#DIV/0!</v>
      </c>
      <c r="JLJ71" s="1159" t="e">
        <f t="shared" si="113"/>
        <v>#DIV/0!</v>
      </c>
      <c r="JLK71" s="1159" t="e">
        <f t="shared" si="113"/>
        <v>#DIV/0!</v>
      </c>
      <c r="JLL71" s="1159" t="e">
        <f t="shared" si="113"/>
        <v>#DIV/0!</v>
      </c>
      <c r="JLM71" s="1159" t="e">
        <f t="shared" si="113"/>
        <v>#DIV/0!</v>
      </c>
      <c r="JLN71" s="1159" t="e">
        <f t="shared" si="113"/>
        <v>#DIV/0!</v>
      </c>
      <c r="JLO71" s="1159" t="e">
        <f t="shared" si="113"/>
        <v>#DIV/0!</v>
      </c>
      <c r="JLP71" s="1159" t="e">
        <f t="shared" si="113"/>
        <v>#DIV/0!</v>
      </c>
      <c r="JLQ71" s="1159" t="e">
        <f t="shared" si="113"/>
        <v>#DIV/0!</v>
      </c>
      <c r="JLR71" s="1159" t="e">
        <f t="shared" si="113"/>
        <v>#DIV/0!</v>
      </c>
      <c r="JLS71" s="1159" t="e">
        <f t="shared" si="113"/>
        <v>#DIV/0!</v>
      </c>
      <c r="JLT71" s="1159" t="e">
        <f t="shared" si="113"/>
        <v>#DIV/0!</v>
      </c>
      <c r="JLU71" s="1159" t="e">
        <f t="shared" si="113"/>
        <v>#DIV/0!</v>
      </c>
      <c r="JLV71" s="1159" t="e">
        <f t="shared" si="113"/>
        <v>#DIV/0!</v>
      </c>
      <c r="JLW71" s="1159" t="e">
        <f t="shared" si="113"/>
        <v>#DIV/0!</v>
      </c>
      <c r="JLX71" s="1159" t="e">
        <f t="shared" si="113"/>
        <v>#DIV/0!</v>
      </c>
      <c r="JLY71" s="1159" t="e">
        <f t="shared" si="113"/>
        <v>#DIV/0!</v>
      </c>
      <c r="JLZ71" s="1159" t="e">
        <f t="shared" si="113"/>
        <v>#DIV/0!</v>
      </c>
      <c r="JMA71" s="1159" t="e">
        <f t="shared" si="113"/>
        <v>#DIV/0!</v>
      </c>
      <c r="JMB71" s="1159" t="e">
        <f t="shared" si="113"/>
        <v>#DIV/0!</v>
      </c>
      <c r="JMC71" s="1159" t="e">
        <f t="shared" si="113"/>
        <v>#DIV/0!</v>
      </c>
      <c r="JMD71" s="1159" t="e">
        <f t="shared" si="113"/>
        <v>#DIV/0!</v>
      </c>
      <c r="JME71" s="1159" t="e">
        <f t="shared" si="113"/>
        <v>#DIV/0!</v>
      </c>
      <c r="JMF71" s="1159" t="e">
        <f t="shared" si="113"/>
        <v>#DIV/0!</v>
      </c>
      <c r="JMG71" s="1159" t="e">
        <f t="shared" si="113"/>
        <v>#DIV/0!</v>
      </c>
      <c r="JMH71" s="1159" t="e">
        <f t="shared" si="113"/>
        <v>#DIV/0!</v>
      </c>
      <c r="JMI71" s="1159" t="e">
        <f t="shared" si="113"/>
        <v>#DIV/0!</v>
      </c>
      <c r="JMJ71" s="1159" t="e">
        <f t="shared" si="113"/>
        <v>#DIV/0!</v>
      </c>
      <c r="JMK71" s="1159" t="e">
        <f t="shared" si="113"/>
        <v>#DIV/0!</v>
      </c>
      <c r="JML71" s="1159" t="e">
        <f t="shared" ref="JML71:JOW71" si="114">((JML6+JML12+JML13+JML14+JML15)*860+JML16*JML55+JML17*JML56+JML7*JML49+JML8*JML50+JML9*JML51+JML10*JML52+JML11*JML53)/(SUM(JML6:JML17))</f>
        <v>#DIV/0!</v>
      </c>
      <c r="JMM71" s="1159" t="e">
        <f t="shared" si="114"/>
        <v>#DIV/0!</v>
      </c>
      <c r="JMN71" s="1159" t="e">
        <f t="shared" si="114"/>
        <v>#DIV/0!</v>
      </c>
      <c r="JMO71" s="1159" t="e">
        <f t="shared" si="114"/>
        <v>#DIV/0!</v>
      </c>
      <c r="JMP71" s="1159" t="e">
        <f t="shared" si="114"/>
        <v>#DIV/0!</v>
      </c>
      <c r="JMQ71" s="1159" t="e">
        <f t="shared" si="114"/>
        <v>#DIV/0!</v>
      </c>
      <c r="JMR71" s="1159" t="e">
        <f t="shared" si="114"/>
        <v>#DIV/0!</v>
      </c>
      <c r="JMS71" s="1159" t="e">
        <f t="shared" si="114"/>
        <v>#DIV/0!</v>
      </c>
      <c r="JMT71" s="1159" t="e">
        <f t="shared" si="114"/>
        <v>#DIV/0!</v>
      </c>
      <c r="JMU71" s="1159" t="e">
        <f t="shared" si="114"/>
        <v>#DIV/0!</v>
      </c>
      <c r="JMV71" s="1159" t="e">
        <f t="shared" si="114"/>
        <v>#DIV/0!</v>
      </c>
      <c r="JMW71" s="1159" t="e">
        <f t="shared" si="114"/>
        <v>#DIV/0!</v>
      </c>
      <c r="JMX71" s="1159" t="e">
        <f t="shared" si="114"/>
        <v>#DIV/0!</v>
      </c>
      <c r="JMY71" s="1159" t="e">
        <f t="shared" si="114"/>
        <v>#DIV/0!</v>
      </c>
      <c r="JMZ71" s="1159" t="e">
        <f t="shared" si="114"/>
        <v>#DIV/0!</v>
      </c>
      <c r="JNA71" s="1159" t="e">
        <f t="shared" si="114"/>
        <v>#DIV/0!</v>
      </c>
      <c r="JNB71" s="1159" t="e">
        <f t="shared" si="114"/>
        <v>#DIV/0!</v>
      </c>
      <c r="JNC71" s="1159" t="e">
        <f t="shared" si="114"/>
        <v>#DIV/0!</v>
      </c>
      <c r="JND71" s="1159" t="e">
        <f t="shared" si="114"/>
        <v>#DIV/0!</v>
      </c>
      <c r="JNE71" s="1159" t="e">
        <f t="shared" si="114"/>
        <v>#DIV/0!</v>
      </c>
      <c r="JNF71" s="1159" t="e">
        <f t="shared" si="114"/>
        <v>#DIV/0!</v>
      </c>
      <c r="JNG71" s="1159" t="e">
        <f t="shared" si="114"/>
        <v>#DIV/0!</v>
      </c>
      <c r="JNH71" s="1159" t="e">
        <f t="shared" si="114"/>
        <v>#DIV/0!</v>
      </c>
      <c r="JNI71" s="1159" t="e">
        <f t="shared" si="114"/>
        <v>#DIV/0!</v>
      </c>
      <c r="JNJ71" s="1159" t="e">
        <f t="shared" si="114"/>
        <v>#DIV/0!</v>
      </c>
      <c r="JNK71" s="1159" t="e">
        <f t="shared" si="114"/>
        <v>#DIV/0!</v>
      </c>
      <c r="JNL71" s="1159" t="e">
        <f t="shared" si="114"/>
        <v>#DIV/0!</v>
      </c>
      <c r="JNM71" s="1159" t="e">
        <f t="shared" si="114"/>
        <v>#DIV/0!</v>
      </c>
      <c r="JNN71" s="1159" t="e">
        <f t="shared" si="114"/>
        <v>#DIV/0!</v>
      </c>
      <c r="JNO71" s="1159" t="e">
        <f t="shared" si="114"/>
        <v>#DIV/0!</v>
      </c>
      <c r="JNP71" s="1159" t="e">
        <f t="shared" si="114"/>
        <v>#DIV/0!</v>
      </c>
      <c r="JNQ71" s="1159" t="e">
        <f t="shared" si="114"/>
        <v>#DIV/0!</v>
      </c>
      <c r="JNR71" s="1159" t="e">
        <f t="shared" si="114"/>
        <v>#DIV/0!</v>
      </c>
      <c r="JNS71" s="1159" t="e">
        <f t="shared" si="114"/>
        <v>#DIV/0!</v>
      </c>
      <c r="JNT71" s="1159" t="e">
        <f t="shared" si="114"/>
        <v>#DIV/0!</v>
      </c>
      <c r="JNU71" s="1159" t="e">
        <f t="shared" si="114"/>
        <v>#DIV/0!</v>
      </c>
      <c r="JNV71" s="1159" t="e">
        <f t="shared" si="114"/>
        <v>#DIV/0!</v>
      </c>
      <c r="JNW71" s="1159" t="e">
        <f t="shared" si="114"/>
        <v>#DIV/0!</v>
      </c>
      <c r="JNX71" s="1159" t="e">
        <f t="shared" si="114"/>
        <v>#DIV/0!</v>
      </c>
      <c r="JNY71" s="1159" t="e">
        <f t="shared" si="114"/>
        <v>#DIV/0!</v>
      </c>
      <c r="JNZ71" s="1159" t="e">
        <f t="shared" si="114"/>
        <v>#DIV/0!</v>
      </c>
      <c r="JOA71" s="1159" t="e">
        <f t="shared" si="114"/>
        <v>#DIV/0!</v>
      </c>
      <c r="JOB71" s="1159" t="e">
        <f t="shared" si="114"/>
        <v>#DIV/0!</v>
      </c>
      <c r="JOC71" s="1159" t="e">
        <f t="shared" si="114"/>
        <v>#DIV/0!</v>
      </c>
      <c r="JOD71" s="1159" t="e">
        <f t="shared" si="114"/>
        <v>#DIV/0!</v>
      </c>
      <c r="JOE71" s="1159" t="e">
        <f t="shared" si="114"/>
        <v>#DIV/0!</v>
      </c>
      <c r="JOF71" s="1159" t="e">
        <f t="shared" si="114"/>
        <v>#DIV/0!</v>
      </c>
      <c r="JOG71" s="1159" t="e">
        <f t="shared" si="114"/>
        <v>#DIV/0!</v>
      </c>
      <c r="JOH71" s="1159" t="e">
        <f t="shared" si="114"/>
        <v>#DIV/0!</v>
      </c>
      <c r="JOI71" s="1159" t="e">
        <f t="shared" si="114"/>
        <v>#DIV/0!</v>
      </c>
      <c r="JOJ71" s="1159" t="e">
        <f t="shared" si="114"/>
        <v>#DIV/0!</v>
      </c>
      <c r="JOK71" s="1159" t="e">
        <f t="shared" si="114"/>
        <v>#DIV/0!</v>
      </c>
      <c r="JOL71" s="1159" t="e">
        <f t="shared" si="114"/>
        <v>#DIV/0!</v>
      </c>
      <c r="JOM71" s="1159" t="e">
        <f t="shared" si="114"/>
        <v>#DIV/0!</v>
      </c>
      <c r="JON71" s="1159" t="e">
        <f t="shared" si="114"/>
        <v>#DIV/0!</v>
      </c>
      <c r="JOO71" s="1159" t="e">
        <f t="shared" si="114"/>
        <v>#DIV/0!</v>
      </c>
      <c r="JOP71" s="1159" t="e">
        <f t="shared" si="114"/>
        <v>#DIV/0!</v>
      </c>
      <c r="JOQ71" s="1159" t="e">
        <f t="shared" si="114"/>
        <v>#DIV/0!</v>
      </c>
      <c r="JOR71" s="1159" t="e">
        <f t="shared" si="114"/>
        <v>#DIV/0!</v>
      </c>
      <c r="JOS71" s="1159" t="e">
        <f t="shared" si="114"/>
        <v>#DIV/0!</v>
      </c>
      <c r="JOT71" s="1159" t="e">
        <f t="shared" si="114"/>
        <v>#DIV/0!</v>
      </c>
      <c r="JOU71" s="1159" t="e">
        <f t="shared" si="114"/>
        <v>#DIV/0!</v>
      </c>
      <c r="JOV71" s="1159" t="e">
        <f t="shared" si="114"/>
        <v>#DIV/0!</v>
      </c>
      <c r="JOW71" s="1159" t="e">
        <f t="shared" si="114"/>
        <v>#DIV/0!</v>
      </c>
      <c r="JOX71" s="1159" t="e">
        <f t="shared" ref="JOX71:JRI71" si="115">((JOX6+JOX12+JOX13+JOX14+JOX15)*860+JOX16*JOX55+JOX17*JOX56+JOX7*JOX49+JOX8*JOX50+JOX9*JOX51+JOX10*JOX52+JOX11*JOX53)/(SUM(JOX6:JOX17))</f>
        <v>#DIV/0!</v>
      </c>
      <c r="JOY71" s="1159" t="e">
        <f t="shared" si="115"/>
        <v>#DIV/0!</v>
      </c>
      <c r="JOZ71" s="1159" t="e">
        <f t="shared" si="115"/>
        <v>#DIV/0!</v>
      </c>
      <c r="JPA71" s="1159" t="e">
        <f t="shared" si="115"/>
        <v>#DIV/0!</v>
      </c>
      <c r="JPB71" s="1159" t="e">
        <f t="shared" si="115"/>
        <v>#DIV/0!</v>
      </c>
      <c r="JPC71" s="1159" t="e">
        <f t="shared" si="115"/>
        <v>#DIV/0!</v>
      </c>
      <c r="JPD71" s="1159" t="e">
        <f t="shared" si="115"/>
        <v>#DIV/0!</v>
      </c>
      <c r="JPE71" s="1159" t="e">
        <f t="shared" si="115"/>
        <v>#DIV/0!</v>
      </c>
      <c r="JPF71" s="1159" t="e">
        <f t="shared" si="115"/>
        <v>#DIV/0!</v>
      </c>
      <c r="JPG71" s="1159" t="e">
        <f t="shared" si="115"/>
        <v>#DIV/0!</v>
      </c>
      <c r="JPH71" s="1159" t="e">
        <f t="shared" si="115"/>
        <v>#DIV/0!</v>
      </c>
      <c r="JPI71" s="1159" t="e">
        <f t="shared" si="115"/>
        <v>#DIV/0!</v>
      </c>
      <c r="JPJ71" s="1159" t="e">
        <f t="shared" si="115"/>
        <v>#DIV/0!</v>
      </c>
      <c r="JPK71" s="1159" t="e">
        <f t="shared" si="115"/>
        <v>#DIV/0!</v>
      </c>
      <c r="JPL71" s="1159" t="e">
        <f t="shared" si="115"/>
        <v>#DIV/0!</v>
      </c>
      <c r="JPM71" s="1159" t="e">
        <f t="shared" si="115"/>
        <v>#DIV/0!</v>
      </c>
      <c r="JPN71" s="1159" t="e">
        <f t="shared" si="115"/>
        <v>#DIV/0!</v>
      </c>
      <c r="JPO71" s="1159" t="e">
        <f t="shared" si="115"/>
        <v>#DIV/0!</v>
      </c>
      <c r="JPP71" s="1159" t="e">
        <f t="shared" si="115"/>
        <v>#DIV/0!</v>
      </c>
      <c r="JPQ71" s="1159" t="e">
        <f t="shared" si="115"/>
        <v>#DIV/0!</v>
      </c>
      <c r="JPR71" s="1159" t="e">
        <f t="shared" si="115"/>
        <v>#DIV/0!</v>
      </c>
      <c r="JPS71" s="1159" t="e">
        <f t="shared" si="115"/>
        <v>#DIV/0!</v>
      </c>
      <c r="JPT71" s="1159" t="e">
        <f t="shared" si="115"/>
        <v>#DIV/0!</v>
      </c>
      <c r="JPU71" s="1159" t="e">
        <f t="shared" si="115"/>
        <v>#DIV/0!</v>
      </c>
      <c r="JPV71" s="1159" t="e">
        <f t="shared" si="115"/>
        <v>#DIV/0!</v>
      </c>
      <c r="JPW71" s="1159" t="e">
        <f t="shared" si="115"/>
        <v>#DIV/0!</v>
      </c>
      <c r="JPX71" s="1159" t="e">
        <f t="shared" si="115"/>
        <v>#DIV/0!</v>
      </c>
      <c r="JPY71" s="1159" t="e">
        <f t="shared" si="115"/>
        <v>#DIV/0!</v>
      </c>
      <c r="JPZ71" s="1159" t="e">
        <f t="shared" si="115"/>
        <v>#DIV/0!</v>
      </c>
      <c r="JQA71" s="1159" t="e">
        <f t="shared" si="115"/>
        <v>#DIV/0!</v>
      </c>
      <c r="JQB71" s="1159" t="e">
        <f t="shared" si="115"/>
        <v>#DIV/0!</v>
      </c>
      <c r="JQC71" s="1159" t="e">
        <f t="shared" si="115"/>
        <v>#DIV/0!</v>
      </c>
      <c r="JQD71" s="1159" t="e">
        <f t="shared" si="115"/>
        <v>#DIV/0!</v>
      </c>
      <c r="JQE71" s="1159" t="e">
        <f t="shared" si="115"/>
        <v>#DIV/0!</v>
      </c>
      <c r="JQF71" s="1159" t="e">
        <f t="shared" si="115"/>
        <v>#DIV/0!</v>
      </c>
      <c r="JQG71" s="1159" t="e">
        <f t="shared" si="115"/>
        <v>#DIV/0!</v>
      </c>
      <c r="JQH71" s="1159" t="e">
        <f t="shared" si="115"/>
        <v>#DIV/0!</v>
      </c>
      <c r="JQI71" s="1159" t="e">
        <f t="shared" si="115"/>
        <v>#DIV/0!</v>
      </c>
      <c r="JQJ71" s="1159" t="e">
        <f t="shared" si="115"/>
        <v>#DIV/0!</v>
      </c>
      <c r="JQK71" s="1159" t="e">
        <f t="shared" si="115"/>
        <v>#DIV/0!</v>
      </c>
      <c r="JQL71" s="1159" t="e">
        <f t="shared" si="115"/>
        <v>#DIV/0!</v>
      </c>
      <c r="JQM71" s="1159" t="e">
        <f t="shared" si="115"/>
        <v>#DIV/0!</v>
      </c>
      <c r="JQN71" s="1159" t="e">
        <f t="shared" si="115"/>
        <v>#DIV/0!</v>
      </c>
      <c r="JQO71" s="1159" t="e">
        <f t="shared" si="115"/>
        <v>#DIV/0!</v>
      </c>
      <c r="JQP71" s="1159" t="e">
        <f t="shared" si="115"/>
        <v>#DIV/0!</v>
      </c>
      <c r="JQQ71" s="1159" t="e">
        <f t="shared" si="115"/>
        <v>#DIV/0!</v>
      </c>
      <c r="JQR71" s="1159" t="e">
        <f t="shared" si="115"/>
        <v>#DIV/0!</v>
      </c>
      <c r="JQS71" s="1159" t="e">
        <f t="shared" si="115"/>
        <v>#DIV/0!</v>
      </c>
      <c r="JQT71" s="1159" t="e">
        <f t="shared" si="115"/>
        <v>#DIV/0!</v>
      </c>
      <c r="JQU71" s="1159" t="e">
        <f t="shared" si="115"/>
        <v>#DIV/0!</v>
      </c>
      <c r="JQV71" s="1159" t="e">
        <f t="shared" si="115"/>
        <v>#DIV/0!</v>
      </c>
      <c r="JQW71" s="1159" t="e">
        <f t="shared" si="115"/>
        <v>#DIV/0!</v>
      </c>
      <c r="JQX71" s="1159" t="e">
        <f t="shared" si="115"/>
        <v>#DIV/0!</v>
      </c>
      <c r="JQY71" s="1159" t="e">
        <f t="shared" si="115"/>
        <v>#DIV/0!</v>
      </c>
      <c r="JQZ71" s="1159" t="e">
        <f t="shared" si="115"/>
        <v>#DIV/0!</v>
      </c>
      <c r="JRA71" s="1159" t="e">
        <f t="shared" si="115"/>
        <v>#DIV/0!</v>
      </c>
      <c r="JRB71" s="1159" t="e">
        <f t="shared" si="115"/>
        <v>#DIV/0!</v>
      </c>
      <c r="JRC71" s="1159" t="e">
        <f t="shared" si="115"/>
        <v>#DIV/0!</v>
      </c>
      <c r="JRD71" s="1159" t="e">
        <f t="shared" si="115"/>
        <v>#DIV/0!</v>
      </c>
      <c r="JRE71" s="1159" t="e">
        <f t="shared" si="115"/>
        <v>#DIV/0!</v>
      </c>
      <c r="JRF71" s="1159" t="e">
        <f t="shared" si="115"/>
        <v>#DIV/0!</v>
      </c>
      <c r="JRG71" s="1159" t="e">
        <f t="shared" si="115"/>
        <v>#DIV/0!</v>
      </c>
      <c r="JRH71" s="1159" t="e">
        <f t="shared" si="115"/>
        <v>#DIV/0!</v>
      </c>
      <c r="JRI71" s="1159" t="e">
        <f t="shared" si="115"/>
        <v>#DIV/0!</v>
      </c>
      <c r="JRJ71" s="1159" t="e">
        <f t="shared" ref="JRJ71:JTU71" si="116">((JRJ6+JRJ12+JRJ13+JRJ14+JRJ15)*860+JRJ16*JRJ55+JRJ17*JRJ56+JRJ7*JRJ49+JRJ8*JRJ50+JRJ9*JRJ51+JRJ10*JRJ52+JRJ11*JRJ53)/(SUM(JRJ6:JRJ17))</f>
        <v>#DIV/0!</v>
      </c>
      <c r="JRK71" s="1159" t="e">
        <f t="shared" si="116"/>
        <v>#DIV/0!</v>
      </c>
      <c r="JRL71" s="1159" t="e">
        <f t="shared" si="116"/>
        <v>#DIV/0!</v>
      </c>
      <c r="JRM71" s="1159" t="e">
        <f t="shared" si="116"/>
        <v>#DIV/0!</v>
      </c>
      <c r="JRN71" s="1159" t="e">
        <f t="shared" si="116"/>
        <v>#DIV/0!</v>
      </c>
      <c r="JRO71" s="1159" t="e">
        <f t="shared" si="116"/>
        <v>#DIV/0!</v>
      </c>
      <c r="JRP71" s="1159" t="e">
        <f t="shared" si="116"/>
        <v>#DIV/0!</v>
      </c>
      <c r="JRQ71" s="1159" t="e">
        <f t="shared" si="116"/>
        <v>#DIV/0!</v>
      </c>
      <c r="JRR71" s="1159" t="e">
        <f t="shared" si="116"/>
        <v>#DIV/0!</v>
      </c>
      <c r="JRS71" s="1159" t="e">
        <f t="shared" si="116"/>
        <v>#DIV/0!</v>
      </c>
      <c r="JRT71" s="1159" t="e">
        <f t="shared" si="116"/>
        <v>#DIV/0!</v>
      </c>
      <c r="JRU71" s="1159" t="e">
        <f t="shared" si="116"/>
        <v>#DIV/0!</v>
      </c>
      <c r="JRV71" s="1159" t="e">
        <f t="shared" si="116"/>
        <v>#DIV/0!</v>
      </c>
      <c r="JRW71" s="1159" t="e">
        <f t="shared" si="116"/>
        <v>#DIV/0!</v>
      </c>
      <c r="JRX71" s="1159" t="e">
        <f t="shared" si="116"/>
        <v>#DIV/0!</v>
      </c>
      <c r="JRY71" s="1159" t="e">
        <f t="shared" si="116"/>
        <v>#DIV/0!</v>
      </c>
      <c r="JRZ71" s="1159" t="e">
        <f t="shared" si="116"/>
        <v>#DIV/0!</v>
      </c>
      <c r="JSA71" s="1159" t="e">
        <f t="shared" si="116"/>
        <v>#DIV/0!</v>
      </c>
      <c r="JSB71" s="1159" t="e">
        <f t="shared" si="116"/>
        <v>#DIV/0!</v>
      </c>
      <c r="JSC71" s="1159" t="e">
        <f t="shared" si="116"/>
        <v>#DIV/0!</v>
      </c>
      <c r="JSD71" s="1159" t="e">
        <f t="shared" si="116"/>
        <v>#DIV/0!</v>
      </c>
      <c r="JSE71" s="1159" t="e">
        <f t="shared" si="116"/>
        <v>#DIV/0!</v>
      </c>
      <c r="JSF71" s="1159" t="e">
        <f t="shared" si="116"/>
        <v>#DIV/0!</v>
      </c>
      <c r="JSG71" s="1159" t="e">
        <f t="shared" si="116"/>
        <v>#DIV/0!</v>
      </c>
      <c r="JSH71" s="1159" t="e">
        <f t="shared" si="116"/>
        <v>#DIV/0!</v>
      </c>
      <c r="JSI71" s="1159" t="e">
        <f t="shared" si="116"/>
        <v>#DIV/0!</v>
      </c>
      <c r="JSJ71" s="1159" t="e">
        <f t="shared" si="116"/>
        <v>#DIV/0!</v>
      </c>
      <c r="JSK71" s="1159" t="e">
        <f t="shared" si="116"/>
        <v>#DIV/0!</v>
      </c>
      <c r="JSL71" s="1159" t="e">
        <f t="shared" si="116"/>
        <v>#DIV/0!</v>
      </c>
      <c r="JSM71" s="1159" t="e">
        <f t="shared" si="116"/>
        <v>#DIV/0!</v>
      </c>
      <c r="JSN71" s="1159" t="e">
        <f t="shared" si="116"/>
        <v>#DIV/0!</v>
      </c>
      <c r="JSO71" s="1159" t="e">
        <f t="shared" si="116"/>
        <v>#DIV/0!</v>
      </c>
      <c r="JSP71" s="1159" t="e">
        <f t="shared" si="116"/>
        <v>#DIV/0!</v>
      </c>
      <c r="JSQ71" s="1159" t="e">
        <f t="shared" si="116"/>
        <v>#DIV/0!</v>
      </c>
      <c r="JSR71" s="1159" t="e">
        <f t="shared" si="116"/>
        <v>#DIV/0!</v>
      </c>
      <c r="JSS71" s="1159" t="e">
        <f t="shared" si="116"/>
        <v>#DIV/0!</v>
      </c>
      <c r="JST71" s="1159" t="e">
        <f t="shared" si="116"/>
        <v>#DIV/0!</v>
      </c>
      <c r="JSU71" s="1159" t="e">
        <f t="shared" si="116"/>
        <v>#DIV/0!</v>
      </c>
      <c r="JSV71" s="1159" t="e">
        <f t="shared" si="116"/>
        <v>#DIV/0!</v>
      </c>
      <c r="JSW71" s="1159" t="e">
        <f t="shared" si="116"/>
        <v>#DIV/0!</v>
      </c>
      <c r="JSX71" s="1159" t="e">
        <f t="shared" si="116"/>
        <v>#DIV/0!</v>
      </c>
      <c r="JSY71" s="1159" t="e">
        <f t="shared" si="116"/>
        <v>#DIV/0!</v>
      </c>
      <c r="JSZ71" s="1159" t="e">
        <f t="shared" si="116"/>
        <v>#DIV/0!</v>
      </c>
      <c r="JTA71" s="1159" t="e">
        <f t="shared" si="116"/>
        <v>#DIV/0!</v>
      </c>
      <c r="JTB71" s="1159" t="e">
        <f t="shared" si="116"/>
        <v>#DIV/0!</v>
      </c>
      <c r="JTC71" s="1159" t="e">
        <f t="shared" si="116"/>
        <v>#DIV/0!</v>
      </c>
      <c r="JTD71" s="1159" t="e">
        <f t="shared" si="116"/>
        <v>#DIV/0!</v>
      </c>
      <c r="JTE71" s="1159" t="e">
        <f t="shared" si="116"/>
        <v>#DIV/0!</v>
      </c>
      <c r="JTF71" s="1159" t="e">
        <f t="shared" si="116"/>
        <v>#DIV/0!</v>
      </c>
      <c r="JTG71" s="1159" t="e">
        <f t="shared" si="116"/>
        <v>#DIV/0!</v>
      </c>
      <c r="JTH71" s="1159" t="e">
        <f t="shared" si="116"/>
        <v>#DIV/0!</v>
      </c>
      <c r="JTI71" s="1159" t="e">
        <f t="shared" si="116"/>
        <v>#DIV/0!</v>
      </c>
      <c r="JTJ71" s="1159" t="e">
        <f t="shared" si="116"/>
        <v>#DIV/0!</v>
      </c>
      <c r="JTK71" s="1159" t="e">
        <f t="shared" si="116"/>
        <v>#DIV/0!</v>
      </c>
      <c r="JTL71" s="1159" t="e">
        <f t="shared" si="116"/>
        <v>#DIV/0!</v>
      </c>
      <c r="JTM71" s="1159" t="e">
        <f t="shared" si="116"/>
        <v>#DIV/0!</v>
      </c>
      <c r="JTN71" s="1159" t="e">
        <f t="shared" si="116"/>
        <v>#DIV/0!</v>
      </c>
      <c r="JTO71" s="1159" t="e">
        <f t="shared" si="116"/>
        <v>#DIV/0!</v>
      </c>
      <c r="JTP71" s="1159" t="e">
        <f t="shared" si="116"/>
        <v>#DIV/0!</v>
      </c>
      <c r="JTQ71" s="1159" t="e">
        <f t="shared" si="116"/>
        <v>#DIV/0!</v>
      </c>
      <c r="JTR71" s="1159" t="e">
        <f t="shared" si="116"/>
        <v>#DIV/0!</v>
      </c>
      <c r="JTS71" s="1159" t="e">
        <f t="shared" si="116"/>
        <v>#DIV/0!</v>
      </c>
      <c r="JTT71" s="1159" t="e">
        <f t="shared" si="116"/>
        <v>#DIV/0!</v>
      </c>
      <c r="JTU71" s="1159" t="e">
        <f t="shared" si="116"/>
        <v>#DIV/0!</v>
      </c>
      <c r="JTV71" s="1159" t="e">
        <f t="shared" ref="JTV71:JWG71" si="117">((JTV6+JTV12+JTV13+JTV14+JTV15)*860+JTV16*JTV55+JTV17*JTV56+JTV7*JTV49+JTV8*JTV50+JTV9*JTV51+JTV10*JTV52+JTV11*JTV53)/(SUM(JTV6:JTV17))</f>
        <v>#DIV/0!</v>
      </c>
      <c r="JTW71" s="1159" t="e">
        <f t="shared" si="117"/>
        <v>#DIV/0!</v>
      </c>
      <c r="JTX71" s="1159" t="e">
        <f t="shared" si="117"/>
        <v>#DIV/0!</v>
      </c>
      <c r="JTY71" s="1159" t="e">
        <f t="shared" si="117"/>
        <v>#DIV/0!</v>
      </c>
      <c r="JTZ71" s="1159" t="e">
        <f t="shared" si="117"/>
        <v>#DIV/0!</v>
      </c>
      <c r="JUA71" s="1159" t="e">
        <f t="shared" si="117"/>
        <v>#DIV/0!</v>
      </c>
      <c r="JUB71" s="1159" t="e">
        <f t="shared" si="117"/>
        <v>#DIV/0!</v>
      </c>
      <c r="JUC71" s="1159" t="e">
        <f t="shared" si="117"/>
        <v>#DIV/0!</v>
      </c>
      <c r="JUD71" s="1159" t="e">
        <f t="shared" si="117"/>
        <v>#DIV/0!</v>
      </c>
      <c r="JUE71" s="1159" t="e">
        <f t="shared" si="117"/>
        <v>#DIV/0!</v>
      </c>
      <c r="JUF71" s="1159" t="e">
        <f t="shared" si="117"/>
        <v>#DIV/0!</v>
      </c>
      <c r="JUG71" s="1159" t="e">
        <f t="shared" si="117"/>
        <v>#DIV/0!</v>
      </c>
      <c r="JUH71" s="1159" t="e">
        <f t="shared" si="117"/>
        <v>#DIV/0!</v>
      </c>
      <c r="JUI71" s="1159" t="e">
        <f t="shared" si="117"/>
        <v>#DIV/0!</v>
      </c>
      <c r="JUJ71" s="1159" t="e">
        <f t="shared" si="117"/>
        <v>#DIV/0!</v>
      </c>
      <c r="JUK71" s="1159" t="e">
        <f t="shared" si="117"/>
        <v>#DIV/0!</v>
      </c>
      <c r="JUL71" s="1159" t="e">
        <f t="shared" si="117"/>
        <v>#DIV/0!</v>
      </c>
      <c r="JUM71" s="1159" t="e">
        <f t="shared" si="117"/>
        <v>#DIV/0!</v>
      </c>
      <c r="JUN71" s="1159" t="e">
        <f t="shared" si="117"/>
        <v>#DIV/0!</v>
      </c>
      <c r="JUO71" s="1159" t="e">
        <f t="shared" si="117"/>
        <v>#DIV/0!</v>
      </c>
      <c r="JUP71" s="1159" t="e">
        <f t="shared" si="117"/>
        <v>#DIV/0!</v>
      </c>
      <c r="JUQ71" s="1159" t="e">
        <f t="shared" si="117"/>
        <v>#DIV/0!</v>
      </c>
      <c r="JUR71" s="1159" t="e">
        <f t="shared" si="117"/>
        <v>#DIV/0!</v>
      </c>
      <c r="JUS71" s="1159" t="e">
        <f t="shared" si="117"/>
        <v>#DIV/0!</v>
      </c>
      <c r="JUT71" s="1159" t="e">
        <f t="shared" si="117"/>
        <v>#DIV/0!</v>
      </c>
      <c r="JUU71" s="1159" t="e">
        <f t="shared" si="117"/>
        <v>#DIV/0!</v>
      </c>
      <c r="JUV71" s="1159" t="e">
        <f t="shared" si="117"/>
        <v>#DIV/0!</v>
      </c>
      <c r="JUW71" s="1159" t="e">
        <f t="shared" si="117"/>
        <v>#DIV/0!</v>
      </c>
      <c r="JUX71" s="1159" t="e">
        <f t="shared" si="117"/>
        <v>#DIV/0!</v>
      </c>
      <c r="JUY71" s="1159" t="e">
        <f t="shared" si="117"/>
        <v>#DIV/0!</v>
      </c>
      <c r="JUZ71" s="1159" t="e">
        <f t="shared" si="117"/>
        <v>#DIV/0!</v>
      </c>
      <c r="JVA71" s="1159" t="e">
        <f t="shared" si="117"/>
        <v>#DIV/0!</v>
      </c>
      <c r="JVB71" s="1159" t="e">
        <f t="shared" si="117"/>
        <v>#DIV/0!</v>
      </c>
      <c r="JVC71" s="1159" t="e">
        <f t="shared" si="117"/>
        <v>#DIV/0!</v>
      </c>
      <c r="JVD71" s="1159" t="e">
        <f t="shared" si="117"/>
        <v>#DIV/0!</v>
      </c>
      <c r="JVE71" s="1159" t="e">
        <f t="shared" si="117"/>
        <v>#DIV/0!</v>
      </c>
      <c r="JVF71" s="1159" t="e">
        <f t="shared" si="117"/>
        <v>#DIV/0!</v>
      </c>
      <c r="JVG71" s="1159" t="e">
        <f t="shared" si="117"/>
        <v>#DIV/0!</v>
      </c>
      <c r="JVH71" s="1159" t="e">
        <f t="shared" si="117"/>
        <v>#DIV/0!</v>
      </c>
      <c r="JVI71" s="1159" t="e">
        <f t="shared" si="117"/>
        <v>#DIV/0!</v>
      </c>
      <c r="JVJ71" s="1159" t="e">
        <f t="shared" si="117"/>
        <v>#DIV/0!</v>
      </c>
      <c r="JVK71" s="1159" t="e">
        <f t="shared" si="117"/>
        <v>#DIV/0!</v>
      </c>
      <c r="JVL71" s="1159" t="e">
        <f t="shared" si="117"/>
        <v>#DIV/0!</v>
      </c>
      <c r="JVM71" s="1159" t="e">
        <f t="shared" si="117"/>
        <v>#DIV/0!</v>
      </c>
      <c r="JVN71" s="1159" t="e">
        <f t="shared" si="117"/>
        <v>#DIV/0!</v>
      </c>
      <c r="JVO71" s="1159" t="e">
        <f t="shared" si="117"/>
        <v>#DIV/0!</v>
      </c>
      <c r="JVP71" s="1159" t="e">
        <f t="shared" si="117"/>
        <v>#DIV/0!</v>
      </c>
      <c r="JVQ71" s="1159" t="e">
        <f t="shared" si="117"/>
        <v>#DIV/0!</v>
      </c>
      <c r="JVR71" s="1159" t="e">
        <f t="shared" si="117"/>
        <v>#DIV/0!</v>
      </c>
      <c r="JVS71" s="1159" t="e">
        <f t="shared" si="117"/>
        <v>#DIV/0!</v>
      </c>
      <c r="JVT71" s="1159" t="e">
        <f t="shared" si="117"/>
        <v>#DIV/0!</v>
      </c>
      <c r="JVU71" s="1159" t="e">
        <f t="shared" si="117"/>
        <v>#DIV/0!</v>
      </c>
      <c r="JVV71" s="1159" t="e">
        <f t="shared" si="117"/>
        <v>#DIV/0!</v>
      </c>
      <c r="JVW71" s="1159" t="e">
        <f t="shared" si="117"/>
        <v>#DIV/0!</v>
      </c>
      <c r="JVX71" s="1159" t="e">
        <f t="shared" si="117"/>
        <v>#DIV/0!</v>
      </c>
      <c r="JVY71" s="1159" t="e">
        <f t="shared" si="117"/>
        <v>#DIV/0!</v>
      </c>
      <c r="JVZ71" s="1159" t="e">
        <f t="shared" si="117"/>
        <v>#DIV/0!</v>
      </c>
      <c r="JWA71" s="1159" t="e">
        <f t="shared" si="117"/>
        <v>#DIV/0!</v>
      </c>
      <c r="JWB71" s="1159" t="e">
        <f t="shared" si="117"/>
        <v>#DIV/0!</v>
      </c>
      <c r="JWC71" s="1159" t="e">
        <f t="shared" si="117"/>
        <v>#DIV/0!</v>
      </c>
      <c r="JWD71" s="1159" t="e">
        <f t="shared" si="117"/>
        <v>#DIV/0!</v>
      </c>
      <c r="JWE71" s="1159" t="e">
        <f t="shared" si="117"/>
        <v>#DIV/0!</v>
      </c>
      <c r="JWF71" s="1159" t="e">
        <f t="shared" si="117"/>
        <v>#DIV/0!</v>
      </c>
      <c r="JWG71" s="1159" t="e">
        <f t="shared" si="117"/>
        <v>#DIV/0!</v>
      </c>
      <c r="JWH71" s="1159" t="e">
        <f t="shared" ref="JWH71:JYS71" si="118">((JWH6+JWH12+JWH13+JWH14+JWH15)*860+JWH16*JWH55+JWH17*JWH56+JWH7*JWH49+JWH8*JWH50+JWH9*JWH51+JWH10*JWH52+JWH11*JWH53)/(SUM(JWH6:JWH17))</f>
        <v>#DIV/0!</v>
      </c>
      <c r="JWI71" s="1159" t="e">
        <f t="shared" si="118"/>
        <v>#DIV/0!</v>
      </c>
      <c r="JWJ71" s="1159" t="e">
        <f t="shared" si="118"/>
        <v>#DIV/0!</v>
      </c>
      <c r="JWK71" s="1159" t="e">
        <f t="shared" si="118"/>
        <v>#DIV/0!</v>
      </c>
      <c r="JWL71" s="1159" t="e">
        <f t="shared" si="118"/>
        <v>#DIV/0!</v>
      </c>
      <c r="JWM71" s="1159" t="e">
        <f t="shared" si="118"/>
        <v>#DIV/0!</v>
      </c>
      <c r="JWN71" s="1159" t="e">
        <f t="shared" si="118"/>
        <v>#DIV/0!</v>
      </c>
      <c r="JWO71" s="1159" t="e">
        <f t="shared" si="118"/>
        <v>#DIV/0!</v>
      </c>
      <c r="JWP71" s="1159" t="e">
        <f t="shared" si="118"/>
        <v>#DIV/0!</v>
      </c>
      <c r="JWQ71" s="1159" t="e">
        <f t="shared" si="118"/>
        <v>#DIV/0!</v>
      </c>
      <c r="JWR71" s="1159" t="e">
        <f t="shared" si="118"/>
        <v>#DIV/0!</v>
      </c>
      <c r="JWS71" s="1159" t="e">
        <f t="shared" si="118"/>
        <v>#DIV/0!</v>
      </c>
      <c r="JWT71" s="1159" t="e">
        <f t="shared" si="118"/>
        <v>#DIV/0!</v>
      </c>
      <c r="JWU71" s="1159" t="e">
        <f t="shared" si="118"/>
        <v>#DIV/0!</v>
      </c>
      <c r="JWV71" s="1159" t="e">
        <f t="shared" si="118"/>
        <v>#DIV/0!</v>
      </c>
      <c r="JWW71" s="1159" t="e">
        <f t="shared" si="118"/>
        <v>#DIV/0!</v>
      </c>
      <c r="JWX71" s="1159" t="e">
        <f t="shared" si="118"/>
        <v>#DIV/0!</v>
      </c>
      <c r="JWY71" s="1159" t="e">
        <f t="shared" si="118"/>
        <v>#DIV/0!</v>
      </c>
      <c r="JWZ71" s="1159" t="e">
        <f t="shared" si="118"/>
        <v>#DIV/0!</v>
      </c>
      <c r="JXA71" s="1159" t="e">
        <f t="shared" si="118"/>
        <v>#DIV/0!</v>
      </c>
      <c r="JXB71" s="1159" t="e">
        <f t="shared" si="118"/>
        <v>#DIV/0!</v>
      </c>
      <c r="JXC71" s="1159" t="e">
        <f t="shared" si="118"/>
        <v>#DIV/0!</v>
      </c>
      <c r="JXD71" s="1159" t="e">
        <f t="shared" si="118"/>
        <v>#DIV/0!</v>
      </c>
      <c r="JXE71" s="1159" t="e">
        <f t="shared" si="118"/>
        <v>#DIV/0!</v>
      </c>
      <c r="JXF71" s="1159" t="e">
        <f t="shared" si="118"/>
        <v>#DIV/0!</v>
      </c>
      <c r="JXG71" s="1159" t="e">
        <f t="shared" si="118"/>
        <v>#DIV/0!</v>
      </c>
      <c r="JXH71" s="1159" t="e">
        <f t="shared" si="118"/>
        <v>#DIV/0!</v>
      </c>
      <c r="JXI71" s="1159" t="e">
        <f t="shared" si="118"/>
        <v>#DIV/0!</v>
      </c>
      <c r="JXJ71" s="1159" t="e">
        <f t="shared" si="118"/>
        <v>#DIV/0!</v>
      </c>
      <c r="JXK71" s="1159" t="e">
        <f t="shared" si="118"/>
        <v>#DIV/0!</v>
      </c>
      <c r="JXL71" s="1159" t="e">
        <f t="shared" si="118"/>
        <v>#DIV/0!</v>
      </c>
      <c r="JXM71" s="1159" t="e">
        <f t="shared" si="118"/>
        <v>#DIV/0!</v>
      </c>
      <c r="JXN71" s="1159" t="e">
        <f t="shared" si="118"/>
        <v>#DIV/0!</v>
      </c>
      <c r="JXO71" s="1159" t="e">
        <f t="shared" si="118"/>
        <v>#DIV/0!</v>
      </c>
      <c r="JXP71" s="1159" t="e">
        <f t="shared" si="118"/>
        <v>#DIV/0!</v>
      </c>
      <c r="JXQ71" s="1159" t="e">
        <f t="shared" si="118"/>
        <v>#DIV/0!</v>
      </c>
      <c r="JXR71" s="1159" t="e">
        <f t="shared" si="118"/>
        <v>#DIV/0!</v>
      </c>
      <c r="JXS71" s="1159" t="e">
        <f t="shared" si="118"/>
        <v>#DIV/0!</v>
      </c>
      <c r="JXT71" s="1159" t="e">
        <f t="shared" si="118"/>
        <v>#DIV/0!</v>
      </c>
      <c r="JXU71" s="1159" t="e">
        <f t="shared" si="118"/>
        <v>#DIV/0!</v>
      </c>
      <c r="JXV71" s="1159" t="e">
        <f t="shared" si="118"/>
        <v>#DIV/0!</v>
      </c>
      <c r="JXW71" s="1159" t="e">
        <f t="shared" si="118"/>
        <v>#DIV/0!</v>
      </c>
      <c r="JXX71" s="1159" t="e">
        <f t="shared" si="118"/>
        <v>#DIV/0!</v>
      </c>
      <c r="JXY71" s="1159" t="e">
        <f t="shared" si="118"/>
        <v>#DIV/0!</v>
      </c>
      <c r="JXZ71" s="1159" t="e">
        <f t="shared" si="118"/>
        <v>#DIV/0!</v>
      </c>
      <c r="JYA71" s="1159" t="e">
        <f t="shared" si="118"/>
        <v>#DIV/0!</v>
      </c>
      <c r="JYB71" s="1159" t="e">
        <f t="shared" si="118"/>
        <v>#DIV/0!</v>
      </c>
      <c r="JYC71" s="1159" t="e">
        <f t="shared" si="118"/>
        <v>#DIV/0!</v>
      </c>
      <c r="JYD71" s="1159" t="e">
        <f t="shared" si="118"/>
        <v>#DIV/0!</v>
      </c>
      <c r="JYE71" s="1159" t="e">
        <f t="shared" si="118"/>
        <v>#DIV/0!</v>
      </c>
      <c r="JYF71" s="1159" t="e">
        <f t="shared" si="118"/>
        <v>#DIV/0!</v>
      </c>
      <c r="JYG71" s="1159" t="e">
        <f t="shared" si="118"/>
        <v>#DIV/0!</v>
      </c>
      <c r="JYH71" s="1159" t="e">
        <f t="shared" si="118"/>
        <v>#DIV/0!</v>
      </c>
      <c r="JYI71" s="1159" t="e">
        <f t="shared" si="118"/>
        <v>#DIV/0!</v>
      </c>
      <c r="JYJ71" s="1159" t="e">
        <f t="shared" si="118"/>
        <v>#DIV/0!</v>
      </c>
      <c r="JYK71" s="1159" t="e">
        <f t="shared" si="118"/>
        <v>#DIV/0!</v>
      </c>
      <c r="JYL71" s="1159" t="e">
        <f t="shared" si="118"/>
        <v>#DIV/0!</v>
      </c>
      <c r="JYM71" s="1159" t="e">
        <f t="shared" si="118"/>
        <v>#DIV/0!</v>
      </c>
      <c r="JYN71" s="1159" t="e">
        <f t="shared" si="118"/>
        <v>#DIV/0!</v>
      </c>
      <c r="JYO71" s="1159" t="e">
        <f t="shared" si="118"/>
        <v>#DIV/0!</v>
      </c>
      <c r="JYP71" s="1159" t="e">
        <f t="shared" si="118"/>
        <v>#DIV/0!</v>
      </c>
      <c r="JYQ71" s="1159" t="e">
        <f t="shared" si="118"/>
        <v>#DIV/0!</v>
      </c>
      <c r="JYR71" s="1159" t="e">
        <f t="shared" si="118"/>
        <v>#DIV/0!</v>
      </c>
      <c r="JYS71" s="1159" t="e">
        <f t="shared" si="118"/>
        <v>#DIV/0!</v>
      </c>
      <c r="JYT71" s="1159" t="e">
        <f t="shared" ref="JYT71:KBE71" si="119">((JYT6+JYT12+JYT13+JYT14+JYT15)*860+JYT16*JYT55+JYT17*JYT56+JYT7*JYT49+JYT8*JYT50+JYT9*JYT51+JYT10*JYT52+JYT11*JYT53)/(SUM(JYT6:JYT17))</f>
        <v>#DIV/0!</v>
      </c>
      <c r="JYU71" s="1159" t="e">
        <f t="shared" si="119"/>
        <v>#DIV/0!</v>
      </c>
      <c r="JYV71" s="1159" t="e">
        <f t="shared" si="119"/>
        <v>#DIV/0!</v>
      </c>
      <c r="JYW71" s="1159" t="e">
        <f t="shared" si="119"/>
        <v>#DIV/0!</v>
      </c>
      <c r="JYX71" s="1159" t="e">
        <f t="shared" si="119"/>
        <v>#DIV/0!</v>
      </c>
      <c r="JYY71" s="1159" t="e">
        <f t="shared" si="119"/>
        <v>#DIV/0!</v>
      </c>
      <c r="JYZ71" s="1159" t="e">
        <f t="shared" si="119"/>
        <v>#DIV/0!</v>
      </c>
      <c r="JZA71" s="1159" t="e">
        <f t="shared" si="119"/>
        <v>#DIV/0!</v>
      </c>
      <c r="JZB71" s="1159" t="e">
        <f t="shared" si="119"/>
        <v>#DIV/0!</v>
      </c>
      <c r="JZC71" s="1159" t="e">
        <f t="shared" si="119"/>
        <v>#DIV/0!</v>
      </c>
      <c r="JZD71" s="1159" t="e">
        <f t="shared" si="119"/>
        <v>#DIV/0!</v>
      </c>
      <c r="JZE71" s="1159" t="e">
        <f t="shared" si="119"/>
        <v>#DIV/0!</v>
      </c>
      <c r="JZF71" s="1159" t="e">
        <f t="shared" si="119"/>
        <v>#DIV/0!</v>
      </c>
      <c r="JZG71" s="1159" t="e">
        <f t="shared" si="119"/>
        <v>#DIV/0!</v>
      </c>
      <c r="JZH71" s="1159" t="e">
        <f t="shared" si="119"/>
        <v>#DIV/0!</v>
      </c>
      <c r="JZI71" s="1159" t="e">
        <f t="shared" si="119"/>
        <v>#DIV/0!</v>
      </c>
      <c r="JZJ71" s="1159" t="e">
        <f t="shared" si="119"/>
        <v>#DIV/0!</v>
      </c>
      <c r="JZK71" s="1159" t="e">
        <f t="shared" si="119"/>
        <v>#DIV/0!</v>
      </c>
      <c r="JZL71" s="1159" t="e">
        <f t="shared" si="119"/>
        <v>#DIV/0!</v>
      </c>
      <c r="JZM71" s="1159" t="e">
        <f t="shared" si="119"/>
        <v>#DIV/0!</v>
      </c>
      <c r="JZN71" s="1159" t="e">
        <f t="shared" si="119"/>
        <v>#DIV/0!</v>
      </c>
      <c r="JZO71" s="1159" t="e">
        <f t="shared" si="119"/>
        <v>#DIV/0!</v>
      </c>
      <c r="JZP71" s="1159" t="e">
        <f t="shared" si="119"/>
        <v>#DIV/0!</v>
      </c>
      <c r="JZQ71" s="1159" t="e">
        <f t="shared" si="119"/>
        <v>#DIV/0!</v>
      </c>
      <c r="JZR71" s="1159" t="e">
        <f t="shared" si="119"/>
        <v>#DIV/0!</v>
      </c>
      <c r="JZS71" s="1159" t="e">
        <f t="shared" si="119"/>
        <v>#DIV/0!</v>
      </c>
      <c r="JZT71" s="1159" t="e">
        <f t="shared" si="119"/>
        <v>#DIV/0!</v>
      </c>
      <c r="JZU71" s="1159" t="e">
        <f t="shared" si="119"/>
        <v>#DIV/0!</v>
      </c>
      <c r="JZV71" s="1159" t="e">
        <f t="shared" si="119"/>
        <v>#DIV/0!</v>
      </c>
      <c r="JZW71" s="1159" t="e">
        <f t="shared" si="119"/>
        <v>#DIV/0!</v>
      </c>
      <c r="JZX71" s="1159" t="e">
        <f t="shared" si="119"/>
        <v>#DIV/0!</v>
      </c>
      <c r="JZY71" s="1159" t="e">
        <f t="shared" si="119"/>
        <v>#DIV/0!</v>
      </c>
      <c r="JZZ71" s="1159" t="e">
        <f t="shared" si="119"/>
        <v>#DIV/0!</v>
      </c>
      <c r="KAA71" s="1159" t="e">
        <f t="shared" si="119"/>
        <v>#DIV/0!</v>
      </c>
      <c r="KAB71" s="1159" t="e">
        <f t="shared" si="119"/>
        <v>#DIV/0!</v>
      </c>
      <c r="KAC71" s="1159" t="e">
        <f t="shared" si="119"/>
        <v>#DIV/0!</v>
      </c>
      <c r="KAD71" s="1159" t="e">
        <f t="shared" si="119"/>
        <v>#DIV/0!</v>
      </c>
      <c r="KAE71" s="1159" t="e">
        <f t="shared" si="119"/>
        <v>#DIV/0!</v>
      </c>
      <c r="KAF71" s="1159" t="e">
        <f t="shared" si="119"/>
        <v>#DIV/0!</v>
      </c>
      <c r="KAG71" s="1159" t="e">
        <f t="shared" si="119"/>
        <v>#DIV/0!</v>
      </c>
      <c r="KAH71" s="1159" t="e">
        <f t="shared" si="119"/>
        <v>#DIV/0!</v>
      </c>
      <c r="KAI71" s="1159" t="e">
        <f t="shared" si="119"/>
        <v>#DIV/0!</v>
      </c>
      <c r="KAJ71" s="1159" t="e">
        <f t="shared" si="119"/>
        <v>#DIV/0!</v>
      </c>
      <c r="KAK71" s="1159" t="e">
        <f t="shared" si="119"/>
        <v>#DIV/0!</v>
      </c>
      <c r="KAL71" s="1159" t="e">
        <f t="shared" si="119"/>
        <v>#DIV/0!</v>
      </c>
      <c r="KAM71" s="1159" t="e">
        <f t="shared" si="119"/>
        <v>#DIV/0!</v>
      </c>
      <c r="KAN71" s="1159" t="e">
        <f t="shared" si="119"/>
        <v>#DIV/0!</v>
      </c>
      <c r="KAO71" s="1159" t="e">
        <f t="shared" si="119"/>
        <v>#DIV/0!</v>
      </c>
      <c r="KAP71" s="1159" t="e">
        <f t="shared" si="119"/>
        <v>#DIV/0!</v>
      </c>
      <c r="KAQ71" s="1159" t="e">
        <f t="shared" si="119"/>
        <v>#DIV/0!</v>
      </c>
      <c r="KAR71" s="1159" t="e">
        <f t="shared" si="119"/>
        <v>#DIV/0!</v>
      </c>
      <c r="KAS71" s="1159" t="e">
        <f t="shared" si="119"/>
        <v>#DIV/0!</v>
      </c>
      <c r="KAT71" s="1159" t="e">
        <f t="shared" si="119"/>
        <v>#DIV/0!</v>
      </c>
      <c r="KAU71" s="1159" t="e">
        <f t="shared" si="119"/>
        <v>#DIV/0!</v>
      </c>
      <c r="KAV71" s="1159" t="e">
        <f t="shared" si="119"/>
        <v>#DIV/0!</v>
      </c>
      <c r="KAW71" s="1159" t="e">
        <f t="shared" si="119"/>
        <v>#DIV/0!</v>
      </c>
      <c r="KAX71" s="1159" t="e">
        <f t="shared" si="119"/>
        <v>#DIV/0!</v>
      </c>
      <c r="KAY71" s="1159" t="e">
        <f t="shared" si="119"/>
        <v>#DIV/0!</v>
      </c>
      <c r="KAZ71" s="1159" t="e">
        <f t="shared" si="119"/>
        <v>#DIV/0!</v>
      </c>
      <c r="KBA71" s="1159" t="e">
        <f t="shared" si="119"/>
        <v>#DIV/0!</v>
      </c>
      <c r="KBB71" s="1159" t="e">
        <f t="shared" si="119"/>
        <v>#DIV/0!</v>
      </c>
      <c r="KBC71" s="1159" t="e">
        <f t="shared" si="119"/>
        <v>#DIV/0!</v>
      </c>
      <c r="KBD71" s="1159" t="e">
        <f t="shared" si="119"/>
        <v>#DIV/0!</v>
      </c>
      <c r="KBE71" s="1159" t="e">
        <f t="shared" si="119"/>
        <v>#DIV/0!</v>
      </c>
      <c r="KBF71" s="1159" t="e">
        <f t="shared" ref="KBF71:KDQ71" si="120">((KBF6+KBF12+KBF13+KBF14+KBF15)*860+KBF16*KBF55+KBF17*KBF56+KBF7*KBF49+KBF8*KBF50+KBF9*KBF51+KBF10*KBF52+KBF11*KBF53)/(SUM(KBF6:KBF17))</f>
        <v>#DIV/0!</v>
      </c>
      <c r="KBG71" s="1159" t="e">
        <f t="shared" si="120"/>
        <v>#DIV/0!</v>
      </c>
      <c r="KBH71" s="1159" t="e">
        <f t="shared" si="120"/>
        <v>#DIV/0!</v>
      </c>
      <c r="KBI71" s="1159" t="e">
        <f t="shared" si="120"/>
        <v>#DIV/0!</v>
      </c>
      <c r="KBJ71" s="1159" t="e">
        <f t="shared" si="120"/>
        <v>#DIV/0!</v>
      </c>
      <c r="KBK71" s="1159" t="e">
        <f t="shared" si="120"/>
        <v>#DIV/0!</v>
      </c>
      <c r="KBL71" s="1159" t="e">
        <f t="shared" si="120"/>
        <v>#DIV/0!</v>
      </c>
      <c r="KBM71" s="1159" t="e">
        <f t="shared" si="120"/>
        <v>#DIV/0!</v>
      </c>
      <c r="KBN71" s="1159" t="e">
        <f t="shared" si="120"/>
        <v>#DIV/0!</v>
      </c>
      <c r="KBO71" s="1159" t="e">
        <f t="shared" si="120"/>
        <v>#DIV/0!</v>
      </c>
      <c r="KBP71" s="1159" t="e">
        <f t="shared" si="120"/>
        <v>#DIV/0!</v>
      </c>
      <c r="KBQ71" s="1159" t="e">
        <f t="shared" si="120"/>
        <v>#DIV/0!</v>
      </c>
      <c r="KBR71" s="1159" t="e">
        <f t="shared" si="120"/>
        <v>#DIV/0!</v>
      </c>
      <c r="KBS71" s="1159" t="e">
        <f t="shared" si="120"/>
        <v>#DIV/0!</v>
      </c>
      <c r="KBT71" s="1159" t="e">
        <f t="shared" si="120"/>
        <v>#DIV/0!</v>
      </c>
      <c r="KBU71" s="1159" t="e">
        <f t="shared" si="120"/>
        <v>#DIV/0!</v>
      </c>
      <c r="KBV71" s="1159" t="e">
        <f t="shared" si="120"/>
        <v>#DIV/0!</v>
      </c>
      <c r="KBW71" s="1159" t="e">
        <f t="shared" si="120"/>
        <v>#DIV/0!</v>
      </c>
      <c r="KBX71" s="1159" t="e">
        <f t="shared" si="120"/>
        <v>#DIV/0!</v>
      </c>
      <c r="KBY71" s="1159" t="e">
        <f t="shared" si="120"/>
        <v>#DIV/0!</v>
      </c>
      <c r="KBZ71" s="1159" t="e">
        <f t="shared" si="120"/>
        <v>#DIV/0!</v>
      </c>
      <c r="KCA71" s="1159" t="e">
        <f t="shared" si="120"/>
        <v>#DIV/0!</v>
      </c>
      <c r="KCB71" s="1159" t="e">
        <f t="shared" si="120"/>
        <v>#DIV/0!</v>
      </c>
      <c r="KCC71" s="1159" t="e">
        <f t="shared" si="120"/>
        <v>#DIV/0!</v>
      </c>
      <c r="KCD71" s="1159" t="e">
        <f t="shared" si="120"/>
        <v>#DIV/0!</v>
      </c>
      <c r="KCE71" s="1159" t="e">
        <f t="shared" si="120"/>
        <v>#DIV/0!</v>
      </c>
      <c r="KCF71" s="1159" t="e">
        <f t="shared" si="120"/>
        <v>#DIV/0!</v>
      </c>
      <c r="KCG71" s="1159" t="e">
        <f t="shared" si="120"/>
        <v>#DIV/0!</v>
      </c>
      <c r="KCH71" s="1159" t="e">
        <f t="shared" si="120"/>
        <v>#DIV/0!</v>
      </c>
      <c r="KCI71" s="1159" t="e">
        <f t="shared" si="120"/>
        <v>#DIV/0!</v>
      </c>
      <c r="KCJ71" s="1159" t="e">
        <f t="shared" si="120"/>
        <v>#DIV/0!</v>
      </c>
      <c r="KCK71" s="1159" t="e">
        <f t="shared" si="120"/>
        <v>#DIV/0!</v>
      </c>
      <c r="KCL71" s="1159" t="e">
        <f t="shared" si="120"/>
        <v>#DIV/0!</v>
      </c>
      <c r="KCM71" s="1159" t="e">
        <f t="shared" si="120"/>
        <v>#DIV/0!</v>
      </c>
      <c r="KCN71" s="1159" t="e">
        <f t="shared" si="120"/>
        <v>#DIV/0!</v>
      </c>
      <c r="KCO71" s="1159" t="e">
        <f t="shared" si="120"/>
        <v>#DIV/0!</v>
      </c>
      <c r="KCP71" s="1159" t="e">
        <f t="shared" si="120"/>
        <v>#DIV/0!</v>
      </c>
      <c r="KCQ71" s="1159" t="e">
        <f t="shared" si="120"/>
        <v>#DIV/0!</v>
      </c>
      <c r="KCR71" s="1159" t="e">
        <f t="shared" si="120"/>
        <v>#DIV/0!</v>
      </c>
      <c r="KCS71" s="1159" t="e">
        <f t="shared" si="120"/>
        <v>#DIV/0!</v>
      </c>
      <c r="KCT71" s="1159" t="e">
        <f t="shared" si="120"/>
        <v>#DIV/0!</v>
      </c>
      <c r="KCU71" s="1159" t="e">
        <f t="shared" si="120"/>
        <v>#DIV/0!</v>
      </c>
      <c r="KCV71" s="1159" t="e">
        <f t="shared" si="120"/>
        <v>#DIV/0!</v>
      </c>
      <c r="KCW71" s="1159" t="e">
        <f t="shared" si="120"/>
        <v>#DIV/0!</v>
      </c>
      <c r="KCX71" s="1159" t="e">
        <f t="shared" si="120"/>
        <v>#DIV/0!</v>
      </c>
      <c r="KCY71" s="1159" t="e">
        <f t="shared" si="120"/>
        <v>#DIV/0!</v>
      </c>
      <c r="KCZ71" s="1159" t="e">
        <f t="shared" si="120"/>
        <v>#DIV/0!</v>
      </c>
      <c r="KDA71" s="1159" t="e">
        <f t="shared" si="120"/>
        <v>#DIV/0!</v>
      </c>
      <c r="KDB71" s="1159" t="e">
        <f t="shared" si="120"/>
        <v>#DIV/0!</v>
      </c>
      <c r="KDC71" s="1159" t="e">
        <f t="shared" si="120"/>
        <v>#DIV/0!</v>
      </c>
      <c r="KDD71" s="1159" t="e">
        <f t="shared" si="120"/>
        <v>#DIV/0!</v>
      </c>
      <c r="KDE71" s="1159" t="e">
        <f t="shared" si="120"/>
        <v>#DIV/0!</v>
      </c>
      <c r="KDF71" s="1159" t="e">
        <f t="shared" si="120"/>
        <v>#DIV/0!</v>
      </c>
      <c r="KDG71" s="1159" t="e">
        <f t="shared" si="120"/>
        <v>#DIV/0!</v>
      </c>
      <c r="KDH71" s="1159" t="e">
        <f t="shared" si="120"/>
        <v>#DIV/0!</v>
      </c>
      <c r="KDI71" s="1159" t="e">
        <f t="shared" si="120"/>
        <v>#DIV/0!</v>
      </c>
      <c r="KDJ71" s="1159" t="e">
        <f t="shared" si="120"/>
        <v>#DIV/0!</v>
      </c>
      <c r="KDK71" s="1159" t="e">
        <f t="shared" si="120"/>
        <v>#DIV/0!</v>
      </c>
      <c r="KDL71" s="1159" t="e">
        <f t="shared" si="120"/>
        <v>#DIV/0!</v>
      </c>
      <c r="KDM71" s="1159" t="e">
        <f t="shared" si="120"/>
        <v>#DIV/0!</v>
      </c>
      <c r="KDN71" s="1159" t="e">
        <f t="shared" si="120"/>
        <v>#DIV/0!</v>
      </c>
      <c r="KDO71" s="1159" t="e">
        <f t="shared" si="120"/>
        <v>#DIV/0!</v>
      </c>
      <c r="KDP71" s="1159" t="e">
        <f t="shared" si="120"/>
        <v>#DIV/0!</v>
      </c>
      <c r="KDQ71" s="1159" t="e">
        <f t="shared" si="120"/>
        <v>#DIV/0!</v>
      </c>
      <c r="KDR71" s="1159" t="e">
        <f t="shared" ref="KDR71:KGC71" si="121">((KDR6+KDR12+KDR13+KDR14+KDR15)*860+KDR16*KDR55+KDR17*KDR56+KDR7*KDR49+KDR8*KDR50+KDR9*KDR51+KDR10*KDR52+KDR11*KDR53)/(SUM(KDR6:KDR17))</f>
        <v>#DIV/0!</v>
      </c>
      <c r="KDS71" s="1159" t="e">
        <f t="shared" si="121"/>
        <v>#DIV/0!</v>
      </c>
      <c r="KDT71" s="1159" t="e">
        <f t="shared" si="121"/>
        <v>#DIV/0!</v>
      </c>
      <c r="KDU71" s="1159" t="e">
        <f t="shared" si="121"/>
        <v>#DIV/0!</v>
      </c>
      <c r="KDV71" s="1159" t="e">
        <f t="shared" si="121"/>
        <v>#DIV/0!</v>
      </c>
      <c r="KDW71" s="1159" t="e">
        <f t="shared" si="121"/>
        <v>#DIV/0!</v>
      </c>
      <c r="KDX71" s="1159" t="e">
        <f t="shared" si="121"/>
        <v>#DIV/0!</v>
      </c>
      <c r="KDY71" s="1159" t="e">
        <f t="shared" si="121"/>
        <v>#DIV/0!</v>
      </c>
      <c r="KDZ71" s="1159" t="e">
        <f t="shared" si="121"/>
        <v>#DIV/0!</v>
      </c>
      <c r="KEA71" s="1159" t="e">
        <f t="shared" si="121"/>
        <v>#DIV/0!</v>
      </c>
      <c r="KEB71" s="1159" t="e">
        <f t="shared" si="121"/>
        <v>#DIV/0!</v>
      </c>
      <c r="KEC71" s="1159" t="e">
        <f t="shared" si="121"/>
        <v>#DIV/0!</v>
      </c>
      <c r="KED71" s="1159" t="e">
        <f t="shared" si="121"/>
        <v>#DIV/0!</v>
      </c>
      <c r="KEE71" s="1159" t="e">
        <f t="shared" si="121"/>
        <v>#DIV/0!</v>
      </c>
      <c r="KEF71" s="1159" t="e">
        <f t="shared" si="121"/>
        <v>#DIV/0!</v>
      </c>
      <c r="KEG71" s="1159" t="e">
        <f t="shared" si="121"/>
        <v>#DIV/0!</v>
      </c>
      <c r="KEH71" s="1159" t="e">
        <f t="shared" si="121"/>
        <v>#DIV/0!</v>
      </c>
      <c r="KEI71" s="1159" t="e">
        <f t="shared" si="121"/>
        <v>#DIV/0!</v>
      </c>
      <c r="KEJ71" s="1159" t="e">
        <f t="shared" si="121"/>
        <v>#DIV/0!</v>
      </c>
      <c r="KEK71" s="1159" t="e">
        <f t="shared" si="121"/>
        <v>#DIV/0!</v>
      </c>
      <c r="KEL71" s="1159" t="e">
        <f t="shared" si="121"/>
        <v>#DIV/0!</v>
      </c>
      <c r="KEM71" s="1159" t="e">
        <f t="shared" si="121"/>
        <v>#DIV/0!</v>
      </c>
      <c r="KEN71" s="1159" t="e">
        <f t="shared" si="121"/>
        <v>#DIV/0!</v>
      </c>
      <c r="KEO71" s="1159" t="e">
        <f t="shared" si="121"/>
        <v>#DIV/0!</v>
      </c>
      <c r="KEP71" s="1159" t="e">
        <f t="shared" si="121"/>
        <v>#DIV/0!</v>
      </c>
      <c r="KEQ71" s="1159" t="e">
        <f t="shared" si="121"/>
        <v>#DIV/0!</v>
      </c>
      <c r="KER71" s="1159" t="e">
        <f t="shared" si="121"/>
        <v>#DIV/0!</v>
      </c>
      <c r="KES71" s="1159" t="e">
        <f t="shared" si="121"/>
        <v>#DIV/0!</v>
      </c>
      <c r="KET71" s="1159" t="e">
        <f t="shared" si="121"/>
        <v>#DIV/0!</v>
      </c>
      <c r="KEU71" s="1159" t="e">
        <f t="shared" si="121"/>
        <v>#DIV/0!</v>
      </c>
      <c r="KEV71" s="1159" t="e">
        <f t="shared" si="121"/>
        <v>#DIV/0!</v>
      </c>
      <c r="KEW71" s="1159" t="e">
        <f t="shared" si="121"/>
        <v>#DIV/0!</v>
      </c>
      <c r="KEX71" s="1159" t="e">
        <f t="shared" si="121"/>
        <v>#DIV/0!</v>
      </c>
      <c r="KEY71" s="1159" t="e">
        <f t="shared" si="121"/>
        <v>#DIV/0!</v>
      </c>
      <c r="KEZ71" s="1159" t="e">
        <f t="shared" si="121"/>
        <v>#DIV/0!</v>
      </c>
      <c r="KFA71" s="1159" t="e">
        <f t="shared" si="121"/>
        <v>#DIV/0!</v>
      </c>
      <c r="KFB71" s="1159" t="e">
        <f t="shared" si="121"/>
        <v>#DIV/0!</v>
      </c>
      <c r="KFC71" s="1159" t="e">
        <f t="shared" si="121"/>
        <v>#DIV/0!</v>
      </c>
      <c r="KFD71" s="1159" t="e">
        <f t="shared" si="121"/>
        <v>#DIV/0!</v>
      </c>
      <c r="KFE71" s="1159" t="e">
        <f t="shared" si="121"/>
        <v>#DIV/0!</v>
      </c>
      <c r="KFF71" s="1159" t="e">
        <f t="shared" si="121"/>
        <v>#DIV/0!</v>
      </c>
      <c r="KFG71" s="1159" t="e">
        <f t="shared" si="121"/>
        <v>#DIV/0!</v>
      </c>
      <c r="KFH71" s="1159" t="e">
        <f t="shared" si="121"/>
        <v>#DIV/0!</v>
      </c>
      <c r="KFI71" s="1159" t="e">
        <f t="shared" si="121"/>
        <v>#DIV/0!</v>
      </c>
      <c r="KFJ71" s="1159" t="e">
        <f t="shared" si="121"/>
        <v>#DIV/0!</v>
      </c>
      <c r="KFK71" s="1159" t="e">
        <f t="shared" si="121"/>
        <v>#DIV/0!</v>
      </c>
      <c r="KFL71" s="1159" t="e">
        <f t="shared" si="121"/>
        <v>#DIV/0!</v>
      </c>
      <c r="KFM71" s="1159" t="e">
        <f t="shared" si="121"/>
        <v>#DIV/0!</v>
      </c>
      <c r="KFN71" s="1159" t="e">
        <f t="shared" si="121"/>
        <v>#DIV/0!</v>
      </c>
      <c r="KFO71" s="1159" t="e">
        <f t="shared" si="121"/>
        <v>#DIV/0!</v>
      </c>
      <c r="KFP71" s="1159" t="e">
        <f t="shared" si="121"/>
        <v>#DIV/0!</v>
      </c>
      <c r="KFQ71" s="1159" t="e">
        <f t="shared" si="121"/>
        <v>#DIV/0!</v>
      </c>
      <c r="KFR71" s="1159" t="e">
        <f t="shared" si="121"/>
        <v>#DIV/0!</v>
      </c>
      <c r="KFS71" s="1159" t="e">
        <f t="shared" si="121"/>
        <v>#DIV/0!</v>
      </c>
      <c r="KFT71" s="1159" t="e">
        <f t="shared" si="121"/>
        <v>#DIV/0!</v>
      </c>
      <c r="KFU71" s="1159" t="e">
        <f t="shared" si="121"/>
        <v>#DIV/0!</v>
      </c>
      <c r="KFV71" s="1159" t="e">
        <f t="shared" si="121"/>
        <v>#DIV/0!</v>
      </c>
      <c r="KFW71" s="1159" t="e">
        <f t="shared" si="121"/>
        <v>#DIV/0!</v>
      </c>
      <c r="KFX71" s="1159" t="e">
        <f t="shared" si="121"/>
        <v>#DIV/0!</v>
      </c>
      <c r="KFY71" s="1159" t="e">
        <f t="shared" si="121"/>
        <v>#DIV/0!</v>
      </c>
      <c r="KFZ71" s="1159" t="e">
        <f t="shared" si="121"/>
        <v>#DIV/0!</v>
      </c>
      <c r="KGA71" s="1159" t="e">
        <f t="shared" si="121"/>
        <v>#DIV/0!</v>
      </c>
      <c r="KGB71" s="1159" t="e">
        <f t="shared" si="121"/>
        <v>#DIV/0!</v>
      </c>
      <c r="KGC71" s="1159" t="e">
        <f t="shared" si="121"/>
        <v>#DIV/0!</v>
      </c>
      <c r="KGD71" s="1159" t="e">
        <f t="shared" ref="KGD71:KIO71" si="122">((KGD6+KGD12+KGD13+KGD14+KGD15)*860+KGD16*KGD55+KGD17*KGD56+KGD7*KGD49+KGD8*KGD50+KGD9*KGD51+KGD10*KGD52+KGD11*KGD53)/(SUM(KGD6:KGD17))</f>
        <v>#DIV/0!</v>
      </c>
      <c r="KGE71" s="1159" t="e">
        <f t="shared" si="122"/>
        <v>#DIV/0!</v>
      </c>
      <c r="KGF71" s="1159" t="e">
        <f t="shared" si="122"/>
        <v>#DIV/0!</v>
      </c>
      <c r="KGG71" s="1159" t="e">
        <f t="shared" si="122"/>
        <v>#DIV/0!</v>
      </c>
      <c r="KGH71" s="1159" t="e">
        <f t="shared" si="122"/>
        <v>#DIV/0!</v>
      </c>
      <c r="KGI71" s="1159" t="e">
        <f t="shared" si="122"/>
        <v>#DIV/0!</v>
      </c>
      <c r="KGJ71" s="1159" t="e">
        <f t="shared" si="122"/>
        <v>#DIV/0!</v>
      </c>
      <c r="KGK71" s="1159" t="e">
        <f t="shared" si="122"/>
        <v>#DIV/0!</v>
      </c>
      <c r="KGL71" s="1159" t="e">
        <f t="shared" si="122"/>
        <v>#DIV/0!</v>
      </c>
      <c r="KGM71" s="1159" t="e">
        <f t="shared" si="122"/>
        <v>#DIV/0!</v>
      </c>
      <c r="KGN71" s="1159" t="e">
        <f t="shared" si="122"/>
        <v>#DIV/0!</v>
      </c>
      <c r="KGO71" s="1159" t="e">
        <f t="shared" si="122"/>
        <v>#DIV/0!</v>
      </c>
      <c r="KGP71" s="1159" t="e">
        <f t="shared" si="122"/>
        <v>#DIV/0!</v>
      </c>
      <c r="KGQ71" s="1159" t="e">
        <f t="shared" si="122"/>
        <v>#DIV/0!</v>
      </c>
      <c r="KGR71" s="1159" t="e">
        <f t="shared" si="122"/>
        <v>#DIV/0!</v>
      </c>
      <c r="KGS71" s="1159" t="e">
        <f t="shared" si="122"/>
        <v>#DIV/0!</v>
      </c>
      <c r="KGT71" s="1159" t="e">
        <f t="shared" si="122"/>
        <v>#DIV/0!</v>
      </c>
      <c r="KGU71" s="1159" t="e">
        <f t="shared" si="122"/>
        <v>#DIV/0!</v>
      </c>
      <c r="KGV71" s="1159" t="e">
        <f t="shared" si="122"/>
        <v>#DIV/0!</v>
      </c>
      <c r="KGW71" s="1159" t="e">
        <f t="shared" si="122"/>
        <v>#DIV/0!</v>
      </c>
      <c r="KGX71" s="1159" t="e">
        <f t="shared" si="122"/>
        <v>#DIV/0!</v>
      </c>
      <c r="KGY71" s="1159" t="e">
        <f t="shared" si="122"/>
        <v>#DIV/0!</v>
      </c>
      <c r="KGZ71" s="1159" t="e">
        <f t="shared" si="122"/>
        <v>#DIV/0!</v>
      </c>
      <c r="KHA71" s="1159" t="e">
        <f t="shared" si="122"/>
        <v>#DIV/0!</v>
      </c>
      <c r="KHB71" s="1159" t="e">
        <f t="shared" si="122"/>
        <v>#DIV/0!</v>
      </c>
      <c r="KHC71" s="1159" t="e">
        <f t="shared" si="122"/>
        <v>#DIV/0!</v>
      </c>
      <c r="KHD71" s="1159" t="e">
        <f t="shared" si="122"/>
        <v>#DIV/0!</v>
      </c>
      <c r="KHE71" s="1159" t="e">
        <f t="shared" si="122"/>
        <v>#DIV/0!</v>
      </c>
      <c r="KHF71" s="1159" t="e">
        <f t="shared" si="122"/>
        <v>#DIV/0!</v>
      </c>
      <c r="KHG71" s="1159" t="e">
        <f t="shared" si="122"/>
        <v>#DIV/0!</v>
      </c>
      <c r="KHH71" s="1159" t="e">
        <f t="shared" si="122"/>
        <v>#DIV/0!</v>
      </c>
      <c r="KHI71" s="1159" t="e">
        <f t="shared" si="122"/>
        <v>#DIV/0!</v>
      </c>
      <c r="KHJ71" s="1159" t="e">
        <f t="shared" si="122"/>
        <v>#DIV/0!</v>
      </c>
      <c r="KHK71" s="1159" t="e">
        <f t="shared" si="122"/>
        <v>#DIV/0!</v>
      </c>
      <c r="KHL71" s="1159" t="e">
        <f t="shared" si="122"/>
        <v>#DIV/0!</v>
      </c>
      <c r="KHM71" s="1159" t="e">
        <f t="shared" si="122"/>
        <v>#DIV/0!</v>
      </c>
      <c r="KHN71" s="1159" t="e">
        <f t="shared" si="122"/>
        <v>#DIV/0!</v>
      </c>
      <c r="KHO71" s="1159" t="e">
        <f t="shared" si="122"/>
        <v>#DIV/0!</v>
      </c>
      <c r="KHP71" s="1159" t="e">
        <f t="shared" si="122"/>
        <v>#DIV/0!</v>
      </c>
      <c r="KHQ71" s="1159" t="e">
        <f t="shared" si="122"/>
        <v>#DIV/0!</v>
      </c>
      <c r="KHR71" s="1159" t="e">
        <f t="shared" si="122"/>
        <v>#DIV/0!</v>
      </c>
      <c r="KHS71" s="1159" t="e">
        <f t="shared" si="122"/>
        <v>#DIV/0!</v>
      </c>
      <c r="KHT71" s="1159" t="e">
        <f t="shared" si="122"/>
        <v>#DIV/0!</v>
      </c>
      <c r="KHU71" s="1159" t="e">
        <f t="shared" si="122"/>
        <v>#DIV/0!</v>
      </c>
      <c r="KHV71" s="1159" t="e">
        <f t="shared" si="122"/>
        <v>#DIV/0!</v>
      </c>
      <c r="KHW71" s="1159" t="e">
        <f t="shared" si="122"/>
        <v>#DIV/0!</v>
      </c>
      <c r="KHX71" s="1159" t="e">
        <f t="shared" si="122"/>
        <v>#DIV/0!</v>
      </c>
      <c r="KHY71" s="1159" t="e">
        <f t="shared" si="122"/>
        <v>#DIV/0!</v>
      </c>
      <c r="KHZ71" s="1159" t="e">
        <f t="shared" si="122"/>
        <v>#DIV/0!</v>
      </c>
      <c r="KIA71" s="1159" t="e">
        <f t="shared" si="122"/>
        <v>#DIV/0!</v>
      </c>
      <c r="KIB71" s="1159" t="e">
        <f t="shared" si="122"/>
        <v>#DIV/0!</v>
      </c>
      <c r="KIC71" s="1159" t="e">
        <f t="shared" si="122"/>
        <v>#DIV/0!</v>
      </c>
      <c r="KID71" s="1159" t="e">
        <f t="shared" si="122"/>
        <v>#DIV/0!</v>
      </c>
      <c r="KIE71" s="1159" t="e">
        <f t="shared" si="122"/>
        <v>#DIV/0!</v>
      </c>
      <c r="KIF71" s="1159" t="e">
        <f t="shared" si="122"/>
        <v>#DIV/0!</v>
      </c>
      <c r="KIG71" s="1159" t="e">
        <f t="shared" si="122"/>
        <v>#DIV/0!</v>
      </c>
      <c r="KIH71" s="1159" t="e">
        <f t="shared" si="122"/>
        <v>#DIV/0!</v>
      </c>
      <c r="KII71" s="1159" t="e">
        <f t="shared" si="122"/>
        <v>#DIV/0!</v>
      </c>
      <c r="KIJ71" s="1159" t="e">
        <f t="shared" si="122"/>
        <v>#DIV/0!</v>
      </c>
      <c r="KIK71" s="1159" t="e">
        <f t="shared" si="122"/>
        <v>#DIV/0!</v>
      </c>
      <c r="KIL71" s="1159" t="e">
        <f t="shared" si="122"/>
        <v>#DIV/0!</v>
      </c>
      <c r="KIM71" s="1159" t="e">
        <f t="shared" si="122"/>
        <v>#DIV/0!</v>
      </c>
      <c r="KIN71" s="1159" t="e">
        <f t="shared" si="122"/>
        <v>#DIV/0!</v>
      </c>
      <c r="KIO71" s="1159" t="e">
        <f t="shared" si="122"/>
        <v>#DIV/0!</v>
      </c>
      <c r="KIP71" s="1159" t="e">
        <f t="shared" ref="KIP71:KLA71" si="123">((KIP6+KIP12+KIP13+KIP14+KIP15)*860+KIP16*KIP55+KIP17*KIP56+KIP7*KIP49+KIP8*KIP50+KIP9*KIP51+KIP10*KIP52+KIP11*KIP53)/(SUM(KIP6:KIP17))</f>
        <v>#DIV/0!</v>
      </c>
      <c r="KIQ71" s="1159" t="e">
        <f t="shared" si="123"/>
        <v>#DIV/0!</v>
      </c>
      <c r="KIR71" s="1159" t="e">
        <f t="shared" si="123"/>
        <v>#DIV/0!</v>
      </c>
      <c r="KIS71" s="1159" t="e">
        <f t="shared" si="123"/>
        <v>#DIV/0!</v>
      </c>
      <c r="KIT71" s="1159" t="e">
        <f t="shared" si="123"/>
        <v>#DIV/0!</v>
      </c>
      <c r="KIU71" s="1159" t="e">
        <f t="shared" si="123"/>
        <v>#DIV/0!</v>
      </c>
      <c r="KIV71" s="1159" t="e">
        <f t="shared" si="123"/>
        <v>#DIV/0!</v>
      </c>
      <c r="KIW71" s="1159" t="e">
        <f t="shared" si="123"/>
        <v>#DIV/0!</v>
      </c>
      <c r="KIX71" s="1159" t="e">
        <f t="shared" si="123"/>
        <v>#DIV/0!</v>
      </c>
      <c r="KIY71" s="1159" t="e">
        <f t="shared" si="123"/>
        <v>#DIV/0!</v>
      </c>
      <c r="KIZ71" s="1159" t="e">
        <f t="shared" si="123"/>
        <v>#DIV/0!</v>
      </c>
      <c r="KJA71" s="1159" t="e">
        <f t="shared" si="123"/>
        <v>#DIV/0!</v>
      </c>
      <c r="KJB71" s="1159" t="e">
        <f t="shared" si="123"/>
        <v>#DIV/0!</v>
      </c>
      <c r="KJC71" s="1159" t="e">
        <f t="shared" si="123"/>
        <v>#DIV/0!</v>
      </c>
      <c r="KJD71" s="1159" t="e">
        <f t="shared" si="123"/>
        <v>#DIV/0!</v>
      </c>
      <c r="KJE71" s="1159" t="e">
        <f t="shared" si="123"/>
        <v>#DIV/0!</v>
      </c>
      <c r="KJF71" s="1159" t="e">
        <f t="shared" si="123"/>
        <v>#DIV/0!</v>
      </c>
      <c r="KJG71" s="1159" t="e">
        <f t="shared" si="123"/>
        <v>#DIV/0!</v>
      </c>
      <c r="KJH71" s="1159" t="e">
        <f t="shared" si="123"/>
        <v>#DIV/0!</v>
      </c>
      <c r="KJI71" s="1159" t="e">
        <f t="shared" si="123"/>
        <v>#DIV/0!</v>
      </c>
      <c r="KJJ71" s="1159" t="e">
        <f t="shared" si="123"/>
        <v>#DIV/0!</v>
      </c>
      <c r="KJK71" s="1159" t="e">
        <f t="shared" si="123"/>
        <v>#DIV/0!</v>
      </c>
      <c r="KJL71" s="1159" t="e">
        <f t="shared" si="123"/>
        <v>#DIV/0!</v>
      </c>
      <c r="KJM71" s="1159" t="e">
        <f t="shared" si="123"/>
        <v>#DIV/0!</v>
      </c>
      <c r="KJN71" s="1159" t="e">
        <f t="shared" si="123"/>
        <v>#DIV/0!</v>
      </c>
      <c r="KJO71" s="1159" t="e">
        <f t="shared" si="123"/>
        <v>#DIV/0!</v>
      </c>
      <c r="KJP71" s="1159" t="e">
        <f t="shared" si="123"/>
        <v>#DIV/0!</v>
      </c>
      <c r="KJQ71" s="1159" t="e">
        <f t="shared" si="123"/>
        <v>#DIV/0!</v>
      </c>
      <c r="KJR71" s="1159" t="e">
        <f t="shared" si="123"/>
        <v>#DIV/0!</v>
      </c>
      <c r="KJS71" s="1159" t="e">
        <f t="shared" si="123"/>
        <v>#DIV/0!</v>
      </c>
      <c r="KJT71" s="1159" t="e">
        <f t="shared" si="123"/>
        <v>#DIV/0!</v>
      </c>
      <c r="KJU71" s="1159" t="e">
        <f t="shared" si="123"/>
        <v>#DIV/0!</v>
      </c>
      <c r="KJV71" s="1159" t="e">
        <f t="shared" si="123"/>
        <v>#DIV/0!</v>
      </c>
      <c r="KJW71" s="1159" t="e">
        <f t="shared" si="123"/>
        <v>#DIV/0!</v>
      </c>
      <c r="KJX71" s="1159" t="e">
        <f t="shared" si="123"/>
        <v>#DIV/0!</v>
      </c>
      <c r="KJY71" s="1159" t="e">
        <f t="shared" si="123"/>
        <v>#DIV/0!</v>
      </c>
      <c r="KJZ71" s="1159" t="e">
        <f t="shared" si="123"/>
        <v>#DIV/0!</v>
      </c>
      <c r="KKA71" s="1159" t="e">
        <f t="shared" si="123"/>
        <v>#DIV/0!</v>
      </c>
      <c r="KKB71" s="1159" t="e">
        <f t="shared" si="123"/>
        <v>#DIV/0!</v>
      </c>
      <c r="KKC71" s="1159" t="e">
        <f t="shared" si="123"/>
        <v>#DIV/0!</v>
      </c>
      <c r="KKD71" s="1159" t="e">
        <f t="shared" si="123"/>
        <v>#DIV/0!</v>
      </c>
      <c r="KKE71" s="1159" t="e">
        <f t="shared" si="123"/>
        <v>#DIV/0!</v>
      </c>
      <c r="KKF71" s="1159" t="e">
        <f t="shared" si="123"/>
        <v>#DIV/0!</v>
      </c>
      <c r="KKG71" s="1159" t="e">
        <f t="shared" si="123"/>
        <v>#DIV/0!</v>
      </c>
      <c r="KKH71" s="1159" t="e">
        <f t="shared" si="123"/>
        <v>#DIV/0!</v>
      </c>
      <c r="KKI71" s="1159" t="e">
        <f t="shared" si="123"/>
        <v>#DIV/0!</v>
      </c>
      <c r="KKJ71" s="1159" t="e">
        <f t="shared" si="123"/>
        <v>#DIV/0!</v>
      </c>
      <c r="KKK71" s="1159" t="e">
        <f t="shared" si="123"/>
        <v>#DIV/0!</v>
      </c>
      <c r="KKL71" s="1159" t="e">
        <f t="shared" si="123"/>
        <v>#DIV/0!</v>
      </c>
      <c r="KKM71" s="1159" t="e">
        <f t="shared" si="123"/>
        <v>#DIV/0!</v>
      </c>
      <c r="KKN71" s="1159" t="e">
        <f t="shared" si="123"/>
        <v>#DIV/0!</v>
      </c>
      <c r="KKO71" s="1159" t="e">
        <f t="shared" si="123"/>
        <v>#DIV/0!</v>
      </c>
      <c r="KKP71" s="1159" t="e">
        <f t="shared" si="123"/>
        <v>#DIV/0!</v>
      </c>
      <c r="KKQ71" s="1159" t="e">
        <f t="shared" si="123"/>
        <v>#DIV/0!</v>
      </c>
      <c r="KKR71" s="1159" t="e">
        <f t="shared" si="123"/>
        <v>#DIV/0!</v>
      </c>
      <c r="KKS71" s="1159" t="e">
        <f t="shared" si="123"/>
        <v>#DIV/0!</v>
      </c>
      <c r="KKT71" s="1159" t="e">
        <f t="shared" si="123"/>
        <v>#DIV/0!</v>
      </c>
      <c r="KKU71" s="1159" t="e">
        <f t="shared" si="123"/>
        <v>#DIV/0!</v>
      </c>
      <c r="KKV71" s="1159" t="e">
        <f t="shared" si="123"/>
        <v>#DIV/0!</v>
      </c>
      <c r="KKW71" s="1159" t="e">
        <f t="shared" si="123"/>
        <v>#DIV/0!</v>
      </c>
      <c r="KKX71" s="1159" t="e">
        <f t="shared" si="123"/>
        <v>#DIV/0!</v>
      </c>
      <c r="KKY71" s="1159" t="e">
        <f t="shared" si="123"/>
        <v>#DIV/0!</v>
      </c>
      <c r="KKZ71" s="1159" t="e">
        <f t="shared" si="123"/>
        <v>#DIV/0!</v>
      </c>
      <c r="KLA71" s="1159" t="e">
        <f t="shared" si="123"/>
        <v>#DIV/0!</v>
      </c>
      <c r="KLB71" s="1159" t="e">
        <f t="shared" ref="KLB71:KNM71" si="124">((KLB6+KLB12+KLB13+KLB14+KLB15)*860+KLB16*KLB55+KLB17*KLB56+KLB7*KLB49+KLB8*KLB50+KLB9*KLB51+KLB10*KLB52+KLB11*KLB53)/(SUM(KLB6:KLB17))</f>
        <v>#DIV/0!</v>
      </c>
      <c r="KLC71" s="1159" t="e">
        <f t="shared" si="124"/>
        <v>#DIV/0!</v>
      </c>
      <c r="KLD71" s="1159" t="e">
        <f t="shared" si="124"/>
        <v>#DIV/0!</v>
      </c>
      <c r="KLE71" s="1159" t="e">
        <f t="shared" si="124"/>
        <v>#DIV/0!</v>
      </c>
      <c r="KLF71" s="1159" t="e">
        <f t="shared" si="124"/>
        <v>#DIV/0!</v>
      </c>
      <c r="KLG71" s="1159" t="e">
        <f t="shared" si="124"/>
        <v>#DIV/0!</v>
      </c>
      <c r="KLH71" s="1159" t="e">
        <f t="shared" si="124"/>
        <v>#DIV/0!</v>
      </c>
      <c r="KLI71" s="1159" t="e">
        <f t="shared" si="124"/>
        <v>#DIV/0!</v>
      </c>
      <c r="KLJ71" s="1159" t="e">
        <f t="shared" si="124"/>
        <v>#DIV/0!</v>
      </c>
      <c r="KLK71" s="1159" t="e">
        <f t="shared" si="124"/>
        <v>#DIV/0!</v>
      </c>
      <c r="KLL71" s="1159" t="e">
        <f t="shared" si="124"/>
        <v>#DIV/0!</v>
      </c>
      <c r="KLM71" s="1159" t="e">
        <f t="shared" si="124"/>
        <v>#DIV/0!</v>
      </c>
      <c r="KLN71" s="1159" t="e">
        <f t="shared" si="124"/>
        <v>#DIV/0!</v>
      </c>
      <c r="KLO71" s="1159" t="e">
        <f t="shared" si="124"/>
        <v>#DIV/0!</v>
      </c>
      <c r="KLP71" s="1159" t="e">
        <f t="shared" si="124"/>
        <v>#DIV/0!</v>
      </c>
      <c r="KLQ71" s="1159" t="e">
        <f t="shared" si="124"/>
        <v>#DIV/0!</v>
      </c>
      <c r="KLR71" s="1159" t="e">
        <f t="shared" si="124"/>
        <v>#DIV/0!</v>
      </c>
      <c r="KLS71" s="1159" t="e">
        <f t="shared" si="124"/>
        <v>#DIV/0!</v>
      </c>
      <c r="KLT71" s="1159" t="e">
        <f t="shared" si="124"/>
        <v>#DIV/0!</v>
      </c>
      <c r="KLU71" s="1159" t="e">
        <f t="shared" si="124"/>
        <v>#DIV/0!</v>
      </c>
      <c r="KLV71" s="1159" t="e">
        <f t="shared" si="124"/>
        <v>#DIV/0!</v>
      </c>
      <c r="KLW71" s="1159" t="e">
        <f t="shared" si="124"/>
        <v>#DIV/0!</v>
      </c>
      <c r="KLX71" s="1159" t="e">
        <f t="shared" si="124"/>
        <v>#DIV/0!</v>
      </c>
      <c r="KLY71" s="1159" t="e">
        <f t="shared" si="124"/>
        <v>#DIV/0!</v>
      </c>
      <c r="KLZ71" s="1159" t="e">
        <f t="shared" si="124"/>
        <v>#DIV/0!</v>
      </c>
      <c r="KMA71" s="1159" t="e">
        <f t="shared" si="124"/>
        <v>#DIV/0!</v>
      </c>
      <c r="KMB71" s="1159" t="e">
        <f t="shared" si="124"/>
        <v>#DIV/0!</v>
      </c>
      <c r="KMC71" s="1159" t="e">
        <f t="shared" si="124"/>
        <v>#DIV/0!</v>
      </c>
      <c r="KMD71" s="1159" t="e">
        <f t="shared" si="124"/>
        <v>#DIV/0!</v>
      </c>
      <c r="KME71" s="1159" t="e">
        <f t="shared" si="124"/>
        <v>#DIV/0!</v>
      </c>
      <c r="KMF71" s="1159" t="e">
        <f t="shared" si="124"/>
        <v>#DIV/0!</v>
      </c>
      <c r="KMG71" s="1159" t="e">
        <f t="shared" si="124"/>
        <v>#DIV/0!</v>
      </c>
      <c r="KMH71" s="1159" t="e">
        <f t="shared" si="124"/>
        <v>#DIV/0!</v>
      </c>
      <c r="KMI71" s="1159" t="e">
        <f t="shared" si="124"/>
        <v>#DIV/0!</v>
      </c>
      <c r="KMJ71" s="1159" t="e">
        <f t="shared" si="124"/>
        <v>#DIV/0!</v>
      </c>
      <c r="KMK71" s="1159" t="e">
        <f t="shared" si="124"/>
        <v>#DIV/0!</v>
      </c>
      <c r="KML71" s="1159" t="e">
        <f t="shared" si="124"/>
        <v>#DIV/0!</v>
      </c>
      <c r="KMM71" s="1159" t="e">
        <f t="shared" si="124"/>
        <v>#DIV/0!</v>
      </c>
      <c r="KMN71" s="1159" t="e">
        <f t="shared" si="124"/>
        <v>#DIV/0!</v>
      </c>
      <c r="KMO71" s="1159" t="e">
        <f t="shared" si="124"/>
        <v>#DIV/0!</v>
      </c>
      <c r="KMP71" s="1159" t="e">
        <f t="shared" si="124"/>
        <v>#DIV/0!</v>
      </c>
      <c r="KMQ71" s="1159" t="e">
        <f t="shared" si="124"/>
        <v>#DIV/0!</v>
      </c>
      <c r="KMR71" s="1159" t="e">
        <f t="shared" si="124"/>
        <v>#DIV/0!</v>
      </c>
      <c r="KMS71" s="1159" t="e">
        <f t="shared" si="124"/>
        <v>#DIV/0!</v>
      </c>
      <c r="KMT71" s="1159" t="e">
        <f t="shared" si="124"/>
        <v>#DIV/0!</v>
      </c>
      <c r="KMU71" s="1159" t="e">
        <f t="shared" si="124"/>
        <v>#DIV/0!</v>
      </c>
      <c r="KMV71" s="1159" t="e">
        <f t="shared" si="124"/>
        <v>#DIV/0!</v>
      </c>
      <c r="KMW71" s="1159" t="e">
        <f t="shared" si="124"/>
        <v>#DIV/0!</v>
      </c>
      <c r="KMX71" s="1159" t="e">
        <f t="shared" si="124"/>
        <v>#DIV/0!</v>
      </c>
      <c r="KMY71" s="1159" t="e">
        <f t="shared" si="124"/>
        <v>#DIV/0!</v>
      </c>
      <c r="KMZ71" s="1159" t="e">
        <f t="shared" si="124"/>
        <v>#DIV/0!</v>
      </c>
      <c r="KNA71" s="1159" t="e">
        <f t="shared" si="124"/>
        <v>#DIV/0!</v>
      </c>
      <c r="KNB71" s="1159" t="e">
        <f t="shared" si="124"/>
        <v>#DIV/0!</v>
      </c>
      <c r="KNC71" s="1159" t="e">
        <f t="shared" si="124"/>
        <v>#DIV/0!</v>
      </c>
      <c r="KND71" s="1159" t="e">
        <f t="shared" si="124"/>
        <v>#DIV/0!</v>
      </c>
      <c r="KNE71" s="1159" t="e">
        <f t="shared" si="124"/>
        <v>#DIV/0!</v>
      </c>
      <c r="KNF71" s="1159" t="e">
        <f t="shared" si="124"/>
        <v>#DIV/0!</v>
      </c>
      <c r="KNG71" s="1159" t="e">
        <f t="shared" si="124"/>
        <v>#DIV/0!</v>
      </c>
      <c r="KNH71" s="1159" t="e">
        <f t="shared" si="124"/>
        <v>#DIV/0!</v>
      </c>
      <c r="KNI71" s="1159" t="e">
        <f t="shared" si="124"/>
        <v>#DIV/0!</v>
      </c>
      <c r="KNJ71" s="1159" t="e">
        <f t="shared" si="124"/>
        <v>#DIV/0!</v>
      </c>
      <c r="KNK71" s="1159" t="e">
        <f t="shared" si="124"/>
        <v>#DIV/0!</v>
      </c>
      <c r="KNL71" s="1159" t="e">
        <f t="shared" si="124"/>
        <v>#DIV/0!</v>
      </c>
      <c r="KNM71" s="1159" t="e">
        <f t="shared" si="124"/>
        <v>#DIV/0!</v>
      </c>
      <c r="KNN71" s="1159" t="e">
        <f t="shared" ref="KNN71:KPY71" si="125">((KNN6+KNN12+KNN13+KNN14+KNN15)*860+KNN16*KNN55+KNN17*KNN56+KNN7*KNN49+KNN8*KNN50+KNN9*KNN51+KNN10*KNN52+KNN11*KNN53)/(SUM(KNN6:KNN17))</f>
        <v>#DIV/0!</v>
      </c>
      <c r="KNO71" s="1159" t="e">
        <f t="shared" si="125"/>
        <v>#DIV/0!</v>
      </c>
      <c r="KNP71" s="1159" t="e">
        <f t="shared" si="125"/>
        <v>#DIV/0!</v>
      </c>
      <c r="KNQ71" s="1159" t="e">
        <f t="shared" si="125"/>
        <v>#DIV/0!</v>
      </c>
      <c r="KNR71" s="1159" t="e">
        <f t="shared" si="125"/>
        <v>#DIV/0!</v>
      </c>
      <c r="KNS71" s="1159" t="e">
        <f t="shared" si="125"/>
        <v>#DIV/0!</v>
      </c>
      <c r="KNT71" s="1159" t="e">
        <f t="shared" si="125"/>
        <v>#DIV/0!</v>
      </c>
      <c r="KNU71" s="1159" t="e">
        <f t="shared" si="125"/>
        <v>#DIV/0!</v>
      </c>
      <c r="KNV71" s="1159" t="e">
        <f t="shared" si="125"/>
        <v>#DIV/0!</v>
      </c>
      <c r="KNW71" s="1159" t="e">
        <f t="shared" si="125"/>
        <v>#DIV/0!</v>
      </c>
      <c r="KNX71" s="1159" t="e">
        <f t="shared" si="125"/>
        <v>#DIV/0!</v>
      </c>
      <c r="KNY71" s="1159" t="e">
        <f t="shared" si="125"/>
        <v>#DIV/0!</v>
      </c>
      <c r="KNZ71" s="1159" t="e">
        <f t="shared" si="125"/>
        <v>#DIV/0!</v>
      </c>
      <c r="KOA71" s="1159" t="e">
        <f t="shared" si="125"/>
        <v>#DIV/0!</v>
      </c>
      <c r="KOB71" s="1159" t="e">
        <f t="shared" si="125"/>
        <v>#DIV/0!</v>
      </c>
      <c r="KOC71" s="1159" t="e">
        <f t="shared" si="125"/>
        <v>#DIV/0!</v>
      </c>
      <c r="KOD71" s="1159" t="e">
        <f t="shared" si="125"/>
        <v>#DIV/0!</v>
      </c>
      <c r="KOE71" s="1159" t="e">
        <f t="shared" si="125"/>
        <v>#DIV/0!</v>
      </c>
      <c r="KOF71" s="1159" t="e">
        <f t="shared" si="125"/>
        <v>#DIV/0!</v>
      </c>
      <c r="KOG71" s="1159" t="e">
        <f t="shared" si="125"/>
        <v>#DIV/0!</v>
      </c>
      <c r="KOH71" s="1159" t="e">
        <f t="shared" si="125"/>
        <v>#DIV/0!</v>
      </c>
      <c r="KOI71" s="1159" t="e">
        <f t="shared" si="125"/>
        <v>#DIV/0!</v>
      </c>
      <c r="KOJ71" s="1159" t="e">
        <f t="shared" si="125"/>
        <v>#DIV/0!</v>
      </c>
      <c r="KOK71" s="1159" t="e">
        <f t="shared" si="125"/>
        <v>#DIV/0!</v>
      </c>
      <c r="KOL71" s="1159" t="e">
        <f t="shared" si="125"/>
        <v>#DIV/0!</v>
      </c>
      <c r="KOM71" s="1159" t="e">
        <f t="shared" si="125"/>
        <v>#DIV/0!</v>
      </c>
      <c r="KON71" s="1159" t="e">
        <f t="shared" si="125"/>
        <v>#DIV/0!</v>
      </c>
      <c r="KOO71" s="1159" t="e">
        <f t="shared" si="125"/>
        <v>#DIV/0!</v>
      </c>
      <c r="KOP71" s="1159" t="e">
        <f t="shared" si="125"/>
        <v>#DIV/0!</v>
      </c>
      <c r="KOQ71" s="1159" t="e">
        <f t="shared" si="125"/>
        <v>#DIV/0!</v>
      </c>
      <c r="KOR71" s="1159" t="e">
        <f t="shared" si="125"/>
        <v>#DIV/0!</v>
      </c>
      <c r="KOS71" s="1159" t="e">
        <f t="shared" si="125"/>
        <v>#DIV/0!</v>
      </c>
      <c r="KOT71" s="1159" t="e">
        <f t="shared" si="125"/>
        <v>#DIV/0!</v>
      </c>
      <c r="KOU71" s="1159" t="e">
        <f t="shared" si="125"/>
        <v>#DIV/0!</v>
      </c>
      <c r="KOV71" s="1159" t="e">
        <f t="shared" si="125"/>
        <v>#DIV/0!</v>
      </c>
      <c r="KOW71" s="1159" t="e">
        <f t="shared" si="125"/>
        <v>#DIV/0!</v>
      </c>
      <c r="KOX71" s="1159" t="e">
        <f t="shared" si="125"/>
        <v>#DIV/0!</v>
      </c>
      <c r="KOY71" s="1159" t="e">
        <f t="shared" si="125"/>
        <v>#DIV/0!</v>
      </c>
      <c r="KOZ71" s="1159" t="e">
        <f t="shared" si="125"/>
        <v>#DIV/0!</v>
      </c>
      <c r="KPA71" s="1159" t="e">
        <f t="shared" si="125"/>
        <v>#DIV/0!</v>
      </c>
      <c r="KPB71" s="1159" t="e">
        <f t="shared" si="125"/>
        <v>#DIV/0!</v>
      </c>
      <c r="KPC71" s="1159" t="e">
        <f t="shared" si="125"/>
        <v>#DIV/0!</v>
      </c>
      <c r="KPD71" s="1159" t="e">
        <f t="shared" si="125"/>
        <v>#DIV/0!</v>
      </c>
      <c r="KPE71" s="1159" t="e">
        <f t="shared" si="125"/>
        <v>#DIV/0!</v>
      </c>
      <c r="KPF71" s="1159" t="e">
        <f t="shared" si="125"/>
        <v>#DIV/0!</v>
      </c>
      <c r="KPG71" s="1159" t="e">
        <f t="shared" si="125"/>
        <v>#DIV/0!</v>
      </c>
      <c r="KPH71" s="1159" t="e">
        <f t="shared" si="125"/>
        <v>#DIV/0!</v>
      </c>
      <c r="KPI71" s="1159" t="e">
        <f t="shared" si="125"/>
        <v>#DIV/0!</v>
      </c>
      <c r="KPJ71" s="1159" t="e">
        <f t="shared" si="125"/>
        <v>#DIV/0!</v>
      </c>
      <c r="KPK71" s="1159" t="e">
        <f t="shared" si="125"/>
        <v>#DIV/0!</v>
      </c>
      <c r="KPL71" s="1159" t="e">
        <f t="shared" si="125"/>
        <v>#DIV/0!</v>
      </c>
      <c r="KPM71" s="1159" t="e">
        <f t="shared" si="125"/>
        <v>#DIV/0!</v>
      </c>
      <c r="KPN71" s="1159" t="e">
        <f t="shared" si="125"/>
        <v>#DIV/0!</v>
      </c>
      <c r="KPO71" s="1159" t="e">
        <f t="shared" si="125"/>
        <v>#DIV/0!</v>
      </c>
      <c r="KPP71" s="1159" t="e">
        <f t="shared" si="125"/>
        <v>#DIV/0!</v>
      </c>
      <c r="KPQ71" s="1159" t="e">
        <f t="shared" si="125"/>
        <v>#DIV/0!</v>
      </c>
      <c r="KPR71" s="1159" t="e">
        <f t="shared" si="125"/>
        <v>#DIV/0!</v>
      </c>
      <c r="KPS71" s="1159" t="e">
        <f t="shared" si="125"/>
        <v>#DIV/0!</v>
      </c>
      <c r="KPT71" s="1159" t="e">
        <f t="shared" si="125"/>
        <v>#DIV/0!</v>
      </c>
      <c r="KPU71" s="1159" t="e">
        <f t="shared" si="125"/>
        <v>#DIV/0!</v>
      </c>
      <c r="KPV71" s="1159" t="e">
        <f t="shared" si="125"/>
        <v>#DIV/0!</v>
      </c>
      <c r="KPW71" s="1159" t="e">
        <f t="shared" si="125"/>
        <v>#DIV/0!</v>
      </c>
      <c r="KPX71" s="1159" t="e">
        <f t="shared" si="125"/>
        <v>#DIV/0!</v>
      </c>
      <c r="KPY71" s="1159" t="e">
        <f t="shared" si="125"/>
        <v>#DIV/0!</v>
      </c>
      <c r="KPZ71" s="1159" t="e">
        <f t="shared" ref="KPZ71:KSK71" si="126">((KPZ6+KPZ12+KPZ13+KPZ14+KPZ15)*860+KPZ16*KPZ55+KPZ17*KPZ56+KPZ7*KPZ49+KPZ8*KPZ50+KPZ9*KPZ51+KPZ10*KPZ52+KPZ11*KPZ53)/(SUM(KPZ6:KPZ17))</f>
        <v>#DIV/0!</v>
      </c>
      <c r="KQA71" s="1159" t="e">
        <f t="shared" si="126"/>
        <v>#DIV/0!</v>
      </c>
      <c r="KQB71" s="1159" t="e">
        <f t="shared" si="126"/>
        <v>#DIV/0!</v>
      </c>
      <c r="KQC71" s="1159" t="e">
        <f t="shared" si="126"/>
        <v>#DIV/0!</v>
      </c>
      <c r="KQD71" s="1159" t="e">
        <f t="shared" si="126"/>
        <v>#DIV/0!</v>
      </c>
      <c r="KQE71" s="1159" t="e">
        <f t="shared" si="126"/>
        <v>#DIV/0!</v>
      </c>
      <c r="KQF71" s="1159" t="e">
        <f t="shared" si="126"/>
        <v>#DIV/0!</v>
      </c>
      <c r="KQG71" s="1159" t="e">
        <f t="shared" si="126"/>
        <v>#DIV/0!</v>
      </c>
      <c r="KQH71" s="1159" t="e">
        <f t="shared" si="126"/>
        <v>#DIV/0!</v>
      </c>
      <c r="KQI71" s="1159" t="e">
        <f t="shared" si="126"/>
        <v>#DIV/0!</v>
      </c>
      <c r="KQJ71" s="1159" t="e">
        <f t="shared" si="126"/>
        <v>#DIV/0!</v>
      </c>
      <c r="KQK71" s="1159" t="e">
        <f t="shared" si="126"/>
        <v>#DIV/0!</v>
      </c>
      <c r="KQL71" s="1159" t="e">
        <f t="shared" si="126"/>
        <v>#DIV/0!</v>
      </c>
      <c r="KQM71" s="1159" t="e">
        <f t="shared" si="126"/>
        <v>#DIV/0!</v>
      </c>
      <c r="KQN71" s="1159" t="e">
        <f t="shared" si="126"/>
        <v>#DIV/0!</v>
      </c>
      <c r="KQO71" s="1159" t="e">
        <f t="shared" si="126"/>
        <v>#DIV/0!</v>
      </c>
      <c r="KQP71" s="1159" t="e">
        <f t="shared" si="126"/>
        <v>#DIV/0!</v>
      </c>
      <c r="KQQ71" s="1159" t="e">
        <f t="shared" si="126"/>
        <v>#DIV/0!</v>
      </c>
      <c r="KQR71" s="1159" t="e">
        <f t="shared" si="126"/>
        <v>#DIV/0!</v>
      </c>
      <c r="KQS71" s="1159" t="e">
        <f t="shared" si="126"/>
        <v>#DIV/0!</v>
      </c>
      <c r="KQT71" s="1159" t="e">
        <f t="shared" si="126"/>
        <v>#DIV/0!</v>
      </c>
      <c r="KQU71" s="1159" t="e">
        <f t="shared" si="126"/>
        <v>#DIV/0!</v>
      </c>
      <c r="KQV71" s="1159" t="e">
        <f t="shared" si="126"/>
        <v>#DIV/0!</v>
      </c>
      <c r="KQW71" s="1159" t="e">
        <f t="shared" si="126"/>
        <v>#DIV/0!</v>
      </c>
      <c r="KQX71" s="1159" t="e">
        <f t="shared" si="126"/>
        <v>#DIV/0!</v>
      </c>
      <c r="KQY71" s="1159" t="e">
        <f t="shared" si="126"/>
        <v>#DIV/0!</v>
      </c>
      <c r="KQZ71" s="1159" t="e">
        <f t="shared" si="126"/>
        <v>#DIV/0!</v>
      </c>
      <c r="KRA71" s="1159" t="e">
        <f t="shared" si="126"/>
        <v>#DIV/0!</v>
      </c>
      <c r="KRB71" s="1159" t="e">
        <f t="shared" si="126"/>
        <v>#DIV/0!</v>
      </c>
      <c r="KRC71" s="1159" t="e">
        <f t="shared" si="126"/>
        <v>#DIV/0!</v>
      </c>
      <c r="KRD71" s="1159" t="e">
        <f t="shared" si="126"/>
        <v>#DIV/0!</v>
      </c>
      <c r="KRE71" s="1159" t="e">
        <f t="shared" si="126"/>
        <v>#DIV/0!</v>
      </c>
      <c r="KRF71" s="1159" t="e">
        <f t="shared" si="126"/>
        <v>#DIV/0!</v>
      </c>
      <c r="KRG71" s="1159" t="e">
        <f t="shared" si="126"/>
        <v>#DIV/0!</v>
      </c>
      <c r="KRH71" s="1159" t="e">
        <f t="shared" si="126"/>
        <v>#DIV/0!</v>
      </c>
      <c r="KRI71" s="1159" t="e">
        <f t="shared" si="126"/>
        <v>#DIV/0!</v>
      </c>
      <c r="KRJ71" s="1159" t="e">
        <f t="shared" si="126"/>
        <v>#DIV/0!</v>
      </c>
      <c r="KRK71" s="1159" t="e">
        <f t="shared" si="126"/>
        <v>#DIV/0!</v>
      </c>
      <c r="KRL71" s="1159" t="e">
        <f t="shared" si="126"/>
        <v>#DIV/0!</v>
      </c>
      <c r="KRM71" s="1159" t="e">
        <f t="shared" si="126"/>
        <v>#DIV/0!</v>
      </c>
      <c r="KRN71" s="1159" t="e">
        <f t="shared" si="126"/>
        <v>#DIV/0!</v>
      </c>
      <c r="KRO71" s="1159" t="e">
        <f t="shared" si="126"/>
        <v>#DIV/0!</v>
      </c>
      <c r="KRP71" s="1159" t="e">
        <f t="shared" si="126"/>
        <v>#DIV/0!</v>
      </c>
      <c r="KRQ71" s="1159" t="e">
        <f t="shared" si="126"/>
        <v>#DIV/0!</v>
      </c>
      <c r="KRR71" s="1159" t="e">
        <f t="shared" si="126"/>
        <v>#DIV/0!</v>
      </c>
      <c r="KRS71" s="1159" t="e">
        <f t="shared" si="126"/>
        <v>#DIV/0!</v>
      </c>
      <c r="KRT71" s="1159" t="e">
        <f t="shared" si="126"/>
        <v>#DIV/0!</v>
      </c>
      <c r="KRU71" s="1159" t="e">
        <f t="shared" si="126"/>
        <v>#DIV/0!</v>
      </c>
      <c r="KRV71" s="1159" t="e">
        <f t="shared" si="126"/>
        <v>#DIV/0!</v>
      </c>
      <c r="KRW71" s="1159" t="e">
        <f t="shared" si="126"/>
        <v>#DIV/0!</v>
      </c>
      <c r="KRX71" s="1159" t="e">
        <f t="shared" si="126"/>
        <v>#DIV/0!</v>
      </c>
      <c r="KRY71" s="1159" t="e">
        <f t="shared" si="126"/>
        <v>#DIV/0!</v>
      </c>
      <c r="KRZ71" s="1159" t="e">
        <f t="shared" si="126"/>
        <v>#DIV/0!</v>
      </c>
      <c r="KSA71" s="1159" t="e">
        <f t="shared" si="126"/>
        <v>#DIV/0!</v>
      </c>
      <c r="KSB71" s="1159" t="e">
        <f t="shared" si="126"/>
        <v>#DIV/0!</v>
      </c>
      <c r="KSC71" s="1159" t="e">
        <f t="shared" si="126"/>
        <v>#DIV/0!</v>
      </c>
      <c r="KSD71" s="1159" t="e">
        <f t="shared" si="126"/>
        <v>#DIV/0!</v>
      </c>
      <c r="KSE71" s="1159" t="e">
        <f t="shared" si="126"/>
        <v>#DIV/0!</v>
      </c>
      <c r="KSF71" s="1159" t="e">
        <f t="shared" si="126"/>
        <v>#DIV/0!</v>
      </c>
      <c r="KSG71" s="1159" t="e">
        <f t="shared" si="126"/>
        <v>#DIV/0!</v>
      </c>
      <c r="KSH71" s="1159" t="e">
        <f t="shared" si="126"/>
        <v>#DIV/0!</v>
      </c>
      <c r="KSI71" s="1159" t="e">
        <f t="shared" si="126"/>
        <v>#DIV/0!</v>
      </c>
      <c r="KSJ71" s="1159" t="e">
        <f t="shared" si="126"/>
        <v>#DIV/0!</v>
      </c>
      <c r="KSK71" s="1159" t="e">
        <f t="shared" si="126"/>
        <v>#DIV/0!</v>
      </c>
      <c r="KSL71" s="1159" t="e">
        <f t="shared" ref="KSL71:KUW71" si="127">((KSL6+KSL12+KSL13+KSL14+KSL15)*860+KSL16*KSL55+KSL17*KSL56+KSL7*KSL49+KSL8*KSL50+KSL9*KSL51+KSL10*KSL52+KSL11*KSL53)/(SUM(KSL6:KSL17))</f>
        <v>#DIV/0!</v>
      </c>
      <c r="KSM71" s="1159" t="e">
        <f t="shared" si="127"/>
        <v>#DIV/0!</v>
      </c>
      <c r="KSN71" s="1159" t="e">
        <f t="shared" si="127"/>
        <v>#DIV/0!</v>
      </c>
      <c r="KSO71" s="1159" t="e">
        <f t="shared" si="127"/>
        <v>#DIV/0!</v>
      </c>
      <c r="KSP71" s="1159" t="e">
        <f t="shared" si="127"/>
        <v>#DIV/0!</v>
      </c>
      <c r="KSQ71" s="1159" t="e">
        <f t="shared" si="127"/>
        <v>#DIV/0!</v>
      </c>
      <c r="KSR71" s="1159" t="e">
        <f t="shared" si="127"/>
        <v>#DIV/0!</v>
      </c>
      <c r="KSS71" s="1159" t="e">
        <f t="shared" si="127"/>
        <v>#DIV/0!</v>
      </c>
      <c r="KST71" s="1159" t="e">
        <f t="shared" si="127"/>
        <v>#DIV/0!</v>
      </c>
      <c r="KSU71" s="1159" t="e">
        <f t="shared" si="127"/>
        <v>#DIV/0!</v>
      </c>
      <c r="KSV71" s="1159" t="e">
        <f t="shared" si="127"/>
        <v>#DIV/0!</v>
      </c>
      <c r="KSW71" s="1159" t="e">
        <f t="shared" si="127"/>
        <v>#DIV/0!</v>
      </c>
      <c r="KSX71" s="1159" t="e">
        <f t="shared" si="127"/>
        <v>#DIV/0!</v>
      </c>
      <c r="KSY71" s="1159" t="e">
        <f t="shared" si="127"/>
        <v>#DIV/0!</v>
      </c>
      <c r="KSZ71" s="1159" t="e">
        <f t="shared" si="127"/>
        <v>#DIV/0!</v>
      </c>
      <c r="KTA71" s="1159" t="e">
        <f t="shared" si="127"/>
        <v>#DIV/0!</v>
      </c>
      <c r="KTB71" s="1159" t="e">
        <f t="shared" si="127"/>
        <v>#DIV/0!</v>
      </c>
      <c r="KTC71" s="1159" t="e">
        <f t="shared" si="127"/>
        <v>#DIV/0!</v>
      </c>
      <c r="KTD71" s="1159" t="e">
        <f t="shared" si="127"/>
        <v>#DIV/0!</v>
      </c>
      <c r="KTE71" s="1159" t="e">
        <f t="shared" si="127"/>
        <v>#DIV/0!</v>
      </c>
      <c r="KTF71" s="1159" t="e">
        <f t="shared" si="127"/>
        <v>#DIV/0!</v>
      </c>
      <c r="KTG71" s="1159" t="e">
        <f t="shared" si="127"/>
        <v>#DIV/0!</v>
      </c>
      <c r="KTH71" s="1159" t="e">
        <f t="shared" si="127"/>
        <v>#DIV/0!</v>
      </c>
      <c r="KTI71" s="1159" t="e">
        <f t="shared" si="127"/>
        <v>#DIV/0!</v>
      </c>
      <c r="KTJ71" s="1159" t="e">
        <f t="shared" si="127"/>
        <v>#DIV/0!</v>
      </c>
      <c r="KTK71" s="1159" t="e">
        <f t="shared" si="127"/>
        <v>#DIV/0!</v>
      </c>
      <c r="KTL71" s="1159" t="e">
        <f t="shared" si="127"/>
        <v>#DIV/0!</v>
      </c>
      <c r="KTM71" s="1159" t="e">
        <f t="shared" si="127"/>
        <v>#DIV/0!</v>
      </c>
      <c r="KTN71" s="1159" t="e">
        <f t="shared" si="127"/>
        <v>#DIV/0!</v>
      </c>
      <c r="KTO71" s="1159" t="e">
        <f t="shared" si="127"/>
        <v>#DIV/0!</v>
      </c>
      <c r="KTP71" s="1159" t="e">
        <f t="shared" si="127"/>
        <v>#DIV/0!</v>
      </c>
      <c r="KTQ71" s="1159" t="e">
        <f t="shared" si="127"/>
        <v>#DIV/0!</v>
      </c>
      <c r="KTR71" s="1159" t="e">
        <f t="shared" si="127"/>
        <v>#DIV/0!</v>
      </c>
      <c r="KTS71" s="1159" t="e">
        <f t="shared" si="127"/>
        <v>#DIV/0!</v>
      </c>
      <c r="KTT71" s="1159" t="e">
        <f t="shared" si="127"/>
        <v>#DIV/0!</v>
      </c>
      <c r="KTU71" s="1159" t="e">
        <f t="shared" si="127"/>
        <v>#DIV/0!</v>
      </c>
      <c r="KTV71" s="1159" t="e">
        <f t="shared" si="127"/>
        <v>#DIV/0!</v>
      </c>
      <c r="KTW71" s="1159" t="e">
        <f t="shared" si="127"/>
        <v>#DIV/0!</v>
      </c>
      <c r="KTX71" s="1159" t="e">
        <f t="shared" si="127"/>
        <v>#DIV/0!</v>
      </c>
      <c r="KTY71" s="1159" t="e">
        <f t="shared" si="127"/>
        <v>#DIV/0!</v>
      </c>
      <c r="KTZ71" s="1159" t="e">
        <f t="shared" si="127"/>
        <v>#DIV/0!</v>
      </c>
      <c r="KUA71" s="1159" t="e">
        <f t="shared" si="127"/>
        <v>#DIV/0!</v>
      </c>
      <c r="KUB71" s="1159" t="e">
        <f t="shared" si="127"/>
        <v>#DIV/0!</v>
      </c>
      <c r="KUC71" s="1159" t="e">
        <f t="shared" si="127"/>
        <v>#DIV/0!</v>
      </c>
      <c r="KUD71" s="1159" t="e">
        <f t="shared" si="127"/>
        <v>#DIV/0!</v>
      </c>
      <c r="KUE71" s="1159" t="e">
        <f t="shared" si="127"/>
        <v>#DIV/0!</v>
      </c>
      <c r="KUF71" s="1159" t="e">
        <f t="shared" si="127"/>
        <v>#DIV/0!</v>
      </c>
      <c r="KUG71" s="1159" t="e">
        <f t="shared" si="127"/>
        <v>#DIV/0!</v>
      </c>
      <c r="KUH71" s="1159" t="e">
        <f t="shared" si="127"/>
        <v>#DIV/0!</v>
      </c>
      <c r="KUI71" s="1159" t="e">
        <f t="shared" si="127"/>
        <v>#DIV/0!</v>
      </c>
      <c r="KUJ71" s="1159" t="e">
        <f t="shared" si="127"/>
        <v>#DIV/0!</v>
      </c>
      <c r="KUK71" s="1159" t="e">
        <f t="shared" si="127"/>
        <v>#DIV/0!</v>
      </c>
      <c r="KUL71" s="1159" t="e">
        <f t="shared" si="127"/>
        <v>#DIV/0!</v>
      </c>
      <c r="KUM71" s="1159" t="e">
        <f t="shared" si="127"/>
        <v>#DIV/0!</v>
      </c>
      <c r="KUN71" s="1159" t="e">
        <f t="shared" si="127"/>
        <v>#DIV/0!</v>
      </c>
      <c r="KUO71" s="1159" t="e">
        <f t="shared" si="127"/>
        <v>#DIV/0!</v>
      </c>
      <c r="KUP71" s="1159" t="e">
        <f t="shared" si="127"/>
        <v>#DIV/0!</v>
      </c>
      <c r="KUQ71" s="1159" t="e">
        <f t="shared" si="127"/>
        <v>#DIV/0!</v>
      </c>
      <c r="KUR71" s="1159" t="e">
        <f t="shared" si="127"/>
        <v>#DIV/0!</v>
      </c>
      <c r="KUS71" s="1159" t="e">
        <f t="shared" si="127"/>
        <v>#DIV/0!</v>
      </c>
      <c r="KUT71" s="1159" t="e">
        <f t="shared" si="127"/>
        <v>#DIV/0!</v>
      </c>
      <c r="KUU71" s="1159" t="e">
        <f t="shared" si="127"/>
        <v>#DIV/0!</v>
      </c>
      <c r="KUV71" s="1159" t="e">
        <f t="shared" si="127"/>
        <v>#DIV/0!</v>
      </c>
      <c r="KUW71" s="1159" t="e">
        <f t="shared" si="127"/>
        <v>#DIV/0!</v>
      </c>
      <c r="KUX71" s="1159" t="e">
        <f t="shared" ref="KUX71:KXI71" si="128">((KUX6+KUX12+KUX13+KUX14+KUX15)*860+KUX16*KUX55+KUX17*KUX56+KUX7*KUX49+KUX8*KUX50+KUX9*KUX51+KUX10*KUX52+KUX11*KUX53)/(SUM(KUX6:KUX17))</f>
        <v>#DIV/0!</v>
      </c>
      <c r="KUY71" s="1159" t="e">
        <f t="shared" si="128"/>
        <v>#DIV/0!</v>
      </c>
      <c r="KUZ71" s="1159" t="e">
        <f t="shared" si="128"/>
        <v>#DIV/0!</v>
      </c>
      <c r="KVA71" s="1159" t="e">
        <f t="shared" si="128"/>
        <v>#DIV/0!</v>
      </c>
      <c r="KVB71" s="1159" t="e">
        <f t="shared" si="128"/>
        <v>#DIV/0!</v>
      </c>
      <c r="KVC71" s="1159" t="e">
        <f t="shared" si="128"/>
        <v>#DIV/0!</v>
      </c>
      <c r="KVD71" s="1159" t="e">
        <f t="shared" si="128"/>
        <v>#DIV/0!</v>
      </c>
      <c r="KVE71" s="1159" t="e">
        <f t="shared" si="128"/>
        <v>#DIV/0!</v>
      </c>
      <c r="KVF71" s="1159" t="e">
        <f t="shared" si="128"/>
        <v>#DIV/0!</v>
      </c>
      <c r="KVG71" s="1159" t="e">
        <f t="shared" si="128"/>
        <v>#DIV/0!</v>
      </c>
      <c r="KVH71" s="1159" t="e">
        <f t="shared" si="128"/>
        <v>#DIV/0!</v>
      </c>
      <c r="KVI71" s="1159" t="e">
        <f t="shared" si="128"/>
        <v>#DIV/0!</v>
      </c>
      <c r="KVJ71" s="1159" t="e">
        <f t="shared" si="128"/>
        <v>#DIV/0!</v>
      </c>
      <c r="KVK71" s="1159" t="e">
        <f t="shared" si="128"/>
        <v>#DIV/0!</v>
      </c>
      <c r="KVL71" s="1159" t="e">
        <f t="shared" si="128"/>
        <v>#DIV/0!</v>
      </c>
      <c r="KVM71" s="1159" t="e">
        <f t="shared" si="128"/>
        <v>#DIV/0!</v>
      </c>
      <c r="KVN71" s="1159" t="e">
        <f t="shared" si="128"/>
        <v>#DIV/0!</v>
      </c>
      <c r="KVO71" s="1159" t="e">
        <f t="shared" si="128"/>
        <v>#DIV/0!</v>
      </c>
      <c r="KVP71" s="1159" t="e">
        <f t="shared" si="128"/>
        <v>#DIV/0!</v>
      </c>
      <c r="KVQ71" s="1159" t="e">
        <f t="shared" si="128"/>
        <v>#DIV/0!</v>
      </c>
      <c r="KVR71" s="1159" t="e">
        <f t="shared" si="128"/>
        <v>#DIV/0!</v>
      </c>
      <c r="KVS71" s="1159" t="e">
        <f t="shared" si="128"/>
        <v>#DIV/0!</v>
      </c>
      <c r="KVT71" s="1159" t="e">
        <f t="shared" si="128"/>
        <v>#DIV/0!</v>
      </c>
      <c r="KVU71" s="1159" t="e">
        <f t="shared" si="128"/>
        <v>#DIV/0!</v>
      </c>
      <c r="KVV71" s="1159" t="e">
        <f t="shared" si="128"/>
        <v>#DIV/0!</v>
      </c>
      <c r="KVW71" s="1159" t="e">
        <f t="shared" si="128"/>
        <v>#DIV/0!</v>
      </c>
      <c r="KVX71" s="1159" t="e">
        <f t="shared" si="128"/>
        <v>#DIV/0!</v>
      </c>
      <c r="KVY71" s="1159" t="e">
        <f t="shared" si="128"/>
        <v>#DIV/0!</v>
      </c>
      <c r="KVZ71" s="1159" t="e">
        <f t="shared" si="128"/>
        <v>#DIV/0!</v>
      </c>
      <c r="KWA71" s="1159" t="e">
        <f t="shared" si="128"/>
        <v>#DIV/0!</v>
      </c>
      <c r="KWB71" s="1159" t="e">
        <f t="shared" si="128"/>
        <v>#DIV/0!</v>
      </c>
      <c r="KWC71" s="1159" t="e">
        <f t="shared" si="128"/>
        <v>#DIV/0!</v>
      </c>
      <c r="KWD71" s="1159" t="e">
        <f t="shared" si="128"/>
        <v>#DIV/0!</v>
      </c>
      <c r="KWE71" s="1159" t="e">
        <f t="shared" si="128"/>
        <v>#DIV/0!</v>
      </c>
      <c r="KWF71" s="1159" t="e">
        <f t="shared" si="128"/>
        <v>#DIV/0!</v>
      </c>
      <c r="KWG71" s="1159" t="e">
        <f t="shared" si="128"/>
        <v>#DIV/0!</v>
      </c>
      <c r="KWH71" s="1159" t="e">
        <f t="shared" si="128"/>
        <v>#DIV/0!</v>
      </c>
      <c r="KWI71" s="1159" t="e">
        <f t="shared" si="128"/>
        <v>#DIV/0!</v>
      </c>
      <c r="KWJ71" s="1159" t="e">
        <f t="shared" si="128"/>
        <v>#DIV/0!</v>
      </c>
      <c r="KWK71" s="1159" t="e">
        <f t="shared" si="128"/>
        <v>#DIV/0!</v>
      </c>
      <c r="KWL71" s="1159" t="e">
        <f t="shared" si="128"/>
        <v>#DIV/0!</v>
      </c>
      <c r="KWM71" s="1159" t="e">
        <f t="shared" si="128"/>
        <v>#DIV/0!</v>
      </c>
      <c r="KWN71" s="1159" t="e">
        <f t="shared" si="128"/>
        <v>#DIV/0!</v>
      </c>
      <c r="KWO71" s="1159" t="e">
        <f t="shared" si="128"/>
        <v>#DIV/0!</v>
      </c>
      <c r="KWP71" s="1159" t="e">
        <f t="shared" si="128"/>
        <v>#DIV/0!</v>
      </c>
      <c r="KWQ71" s="1159" t="e">
        <f t="shared" si="128"/>
        <v>#DIV/0!</v>
      </c>
      <c r="KWR71" s="1159" t="e">
        <f t="shared" si="128"/>
        <v>#DIV/0!</v>
      </c>
      <c r="KWS71" s="1159" t="e">
        <f t="shared" si="128"/>
        <v>#DIV/0!</v>
      </c>
      <c r="KWT71" s="1159" t="e">
        <f t="shared" si="128"/>
        <v>#DIV/0!</v>
      </c>
      <c r="KWU71" s="1159" t="e">
        <f t="shared" si="128"/>
        <v>#DIV/0!</v>
      </c>
      <c r="KWV71" s="1159" t="e">
        <f t="shared" si="128"/>
        <v>#DIV/0!</v>
      </c>
      <c r="KWW71" s="1159" t="e">
        <f t="shared" si="128"/>
        <v>#DIV/0!</v>
      </c>
      <c r="KWX71" s="1159" t="e">
        <f t="shared" si="128"/>
        <v>#DIV/0!</v>
      </c>
      <c r="KWY71" s="1159" t="e">
        <f t="shared" si="128"/>
        <v>#DIV/0!</v>
      </c>
      <c r="KWZ71" s="1159" t="e">
        <f t="shared" si="128"/>
        <v>#DIV/0!</v>
      </c>
      <c r="KXA71" s="1159" t="e">
        <f t="shared" si="128"/>
        <v>#DIV/0!</v>
      </c>
      <c r="KXB71" s="1159" t="e">
        <f t="shared" si="128"/>
        <v>#DIV/0!</v>
      </c>
      <c r="KXC71" s="1159" t="e">
        <f t="shared" si="128"/>
        <v>#DIV/0!</v>
      </c>
      <c r="KXD71" s="1159" t="e">
        <f t="shared" si="128"/>
        <v>#DIV/0!</v>
      </c>
      <c r="KXE71" s="1159" t="e">
        <f t="shared" si="128"/>
        <v>#DIV/0!</v>
      </c>
      <c r="KXF71" s="1159" t="e">
        <f t="shared" si="128"/>
        <v>#DIV/0!</v>
      </c>
      <c r="KXG71" s="1159" t="e">
        <f t="shared" si="128"/>
        <v>#DIV/0!</v>
      </c>
      <c r="KXH71" s="1159" t="e">
        <f t="shared" si="128"/>
        <v>#DIV/0!</v>
      </c>
      <c r="KXI71" s="1159" t="e">
        <f t="shared" si="128"/>
        <v>#DIV/0!</v>
      </c>
      <c r="KXJ71" s="1159" t="e">
        <f t="shared" ref="KXJ71:KZU71" si="129">((KXJ6+KXJ12+KXJ13+KXJ14+KXJ15)*860+KXJ16*KXJ55+KXJ17*KXJ56+KXJ7*KXJ49+KXJ8*KXJ50+KXJ9*KXJ51+KXJ10*KXJ52+KXJ11*KXJ53)/(SUM(KXJ6:KXJ17))</f>
        <v>#DIV/0!</v>
      </c>
      <c r="KXK71" s="1159" t="e">
        <f t="shared" si="129"/>
        <v>#DIV/0!</v>
      </c>
      <c r="KXL71" s="1159" t="e">
        <f t="shared" si="129"/>
        <v>#DIV/0!</v>
      </c>
      <c r="KXM71" s="1159" t="e">
        <f t="shared" si="129"/>
        <v>#DIV/0!</v>
      </c>
      <c r="KXN71" s="1159" t="e">
        <f t="shared" si="129"/>
        <v>#DIV/0!</v>
      </c>
      <c r="KXO71" s="1159" t="e">
        <f t="shared" si="129"/>
        <v>#DIV/0!</v>
      </c>
      <c r="KXP71" s="1159" t="e">
        <f t="shared" si="129"/>
        <v>#DIV/0!</v>
      </c>
      <c r="KXQ71" s="1159" t="e">
        <f t="shared" si="129"/>
        <v>#DIV/0!</v>
      </c>
      <c r="KXR71" s="1159" t="e">
        <f t="shared" si="129"/>
        <v>#DIV/0!</v>
      </c>
      <c r="KXS71" s="1159" t="e">
        <f t="shared" si="129"/>
        <v>#DIV/0!</v>
      </c>
      <c r="KXT71" s="1159" t="e">
        <f t="shared" si="129"/>
        <v>#DIV/0!</v>
      </c>
      <c r="KXU71" s="1159" t="e">
        <f t="shared" si="129"/>
        <v>#DIV/0!</v>
      </c>
      <c r="KXV71" s="1159" t="e">
        <f t="shared" si="129"/>
        <v>#DIV/0!</v>
      </c>
      <c r="KXW71" s="1159" t="e">
        <f t="shared" si="129"/>
        <v>#DIV/0!</v>
      </c>
      <c r="KXX71" s="1159" t="e">
        <f t="shared" si="129"/>
        <v>#DIV/0!</v>
      </c>
      <c r="KXY71" s="1159" t="e">
        <f t="shared" si="129"/>
        <v>#DIV/0!</v>
      </c>
      <c r="KXZ71" s="1159" t="e">
        <f t="shared" si="129"/>
        <v>#DIV/0!</v>
      </c>
      <c r="KYA71" s="1159" t="e">
        <f t="shared" si="129"/>
        <v>#DIV/0!</v>
      </c>
      <c r="KYB71" s="1159" t="e">
        <f t="shared" si="129"/>
        <v>#DIV/0!</v>
      </c>
      <c r="KYC71" s="1159" t="e">
        <f t="shared" si="129"/>
        <v>#DIV/0!</v>
      </c>
      <c r="KYD71" s="1159" t="e">
        <f t="shared" si="129"/>
        <v>#DIV/0!</v>
      </c>
      <c r="KYE71" s="1159" t="e">
        <f t="shared" si="129"/>
        <v>#DIV/0!</v>
      </c>
      <c r="KYF71" s="1159" t="e">
        <f t="shared" si="129"/>
        <v>#DIV/0!</v>
      </c>
      <c r="KYG71" s="1159" t="e">
        <f t="shared" si="129"/>
        <v>#DIV/0!</v>
      </c>
      <c r="KYH71" s="1159" t="e">
        <f t="shared" si="129"/>
        <v>#DIV/0!</v>
      </c>
      <c r="KYI71" s="1159" t="e">
        <f t="shared" si="129"/>
        <v>#DIV/0!</v>
      </c>
      <c r="KYJ71" s="1159" t="e">
        <f t="shared" si="129"/>
        <v>#DIV/0!</v>
      </c>
      <c r="KYK71" s="1159" t="e">
        <f t="shared" si="129"/>
        <v>#DIV/0!</v>
      </c>
      <c r="KYL71" s="1159" t="e">
        <f t="shared" si="129"/>
        <v>#DIV/0!</v>
      </c>
      <c r="KYM71" s="1159" t="e">
        <f t="shared" si="129"/>
        <v>#DIV/0!</v>
      </c>
      <c r="KYN71" s="1159" t="e">
        <f t="shared" si="129"/>
        <v>#DIV/0!</v>
      </c>
      <c r="KYO71" s="1159" t="e">
        <f t="shared" si="129"/>
        <v>#DIV/0!</v>
      </c>
      <c r="KYP71" s="1159" t="e">
        <f t="shared" si="129"/>
        <v>#DIV/0!</v>
      </c>
      <c r="KYQ71" s="1159" t="e">
        <f t="shared" si="129"/>
        <v>#DIV/0!</v>
      </c>
      <c r="KYR71" s="1159" t="e">
        <f t="shared" si="129"/>
        <v>#DIV/0!</v>
      </c>
      <c r="KYS71" s="1159" t="e">
        <f t="shared" si="129"/>
        <v>#DIV/0!</v>
      </c>
      <c r="KYT71" s="1159" t="e">
        <f t="shared" si="129"/>
        <v>#DIV/0!</v>
      </c>
      <c r="KYU71" s="1159" t="e">
        <f t="shared" si="129"/>
        <v>#DIV/0!</v>
      </c>
      <c r="KYV71" s="1159" t="e">
        <f t="shared" si="129"/>
        <v>#DIV/0!</v>
      </c>
      <c r="KYW71" s="1159" t="e">
        <f t="shared" si="129"/>
        <v>#DIV/0!</v>
      </c>
      <c r="KYX71" s="1159" t="e">
        <f t="shared" si="129"/>
        <v>#DIV/0!</v>
      </c>
      <c r="KYY71" s="1159" t="e">
        <f t="shared" si="129"/>
        <v>#DIV/0!</v>
      </c>
      <c r="KYZ71" s="1159" t="e">
        <f t="shared" si="129"/>
        <v>#DIV/0!</v>
      </c>
      <c r="KZA71" s="1159" t="e">
        <f t="shared" si="129"/>
        <v>#DIV/0!</v>
      </c>
      <c r="KZB71" s="1159" t="e">
        <f t="shared" si="129"/>
        <v>#DIV/0!</v>
      </c>
      <c r="KZC71" s="1159" t="e">
        <f t="shared" si="129"/>
        <v>#DIV/0!</v>
      </c>
      <c r="KZD71" s="1159" t="e">
        <f t="shared" si="129"/>
        <v>#DIV/0!</v>
      </c>
      <c r="KZE71" s="1159" t="e">
        <f t="shared" si="129"/>
        <v>#DIV/0!</v>
      </c>
      <c r="KZF71" s="1159" t="e">
        <f t="shared" si="129"/>
        <v>#DIV/0!</v>
      </c>
      <c r="KZG71" s="1159" t="e">
        <f t="shared" si="129"/>
        <v>#DIV/0!</v>
      </c>
      <c r="KZH71" s="1159" t="e">
        <f t="shared" si="129"/>
        <v>#DIV/0!</v>
      </c>
      <c r="KZI71" s="1159" t="e">
        <f t="shared" si="129"/>
        <v>#DIV/0!</v>
      </c>
      <c r="KZJ71" s="1159" t="e">
        <f t="shared" si="129"/>
        <v>#DIV/0!</v>
      </c>
      <c r="KZK71" s="1159" t="e">
        <f t="shared" si="129"/>
        <v>#DIV/0!</v>
      </c>
      <c r="KZL71" s="1159" t="e">
        <f t="shared" si="129"/>
        <v>#DIV/0!</v>
      </c>
      <c r="KZM71" s="1159" t="e">
        <f t="shared" si="129"/>
        <v>#DIV/0!</v>
      </c>
      <c r="KZN71" s="1159" t="e">
        <f t="shared" si="129"/>
        <v>#DIV/0!</v>
      </c>
      <c r="KZO71" s="1159" t="e">
        <f t="shared" si="129"/>
        <v>#DIV/0!</v>
      </c>
      <c r="KZP71" s="1159" t="e">
        <f t="shared" si="129"/>
        <v>#DIV/0!</v>
      </c>
      <c r="KZQ71" s="1159" t="e">
        <f t="shared" si="129"/>
        <v>#DIV/0!</v>
      </c>
      <c r="KZR71" s="1159" t="e">
        <f t="shared" si="129"/>
        <v>#DIV/0!</v>
      </c>
      <c r="KZS71" s="1159" t="e">
        <f t="shared" si="129"/>
        <v>#DIV/0!</v>
      </c>
      <c r="KZT71" s="1159" t="e">
        <f t="shared" si="129"/>
        <v>#DIV/0!</v>
      </c>
      <c r="KZU71" s="1159" t="e">
        <f t="shared" si="129"/>
        <v>#DIV/0!</v>
      </c>
      <c r="KZV71" s="1159" t="e">
        <f t="shared" ref="KZV71:LCG71" si="130">((KZV6+KZV12+KZV13+KZV14+KZV15)*860+KZV16*KZV55+KZV17*KZV56+KZV7*KZV49+KZV8*KZV50+KZV9*KZV51+KZV10*KZV52+KZV11*KZV53)/(SUM(KZV6:KZV17))</f>
        <v>#DIV/0!</v>
      </c>
      <c r="KZW71" s="1159" t="e">
        <f t="shared" si="130"/>
        <v>#DIV/0!</v>
      </c>
      <c r="KZX71" s="1159" t="e">
        <f t="shared" si="130"/>
        <v>#DIV/0!</v>
      </c>
      <c r="KZY71" s="1159" t="e">
        <f t="shared" si="130"/>
        <v>#DIV/0!</v>
      </c>
      <c r="KZZ71" s="1159" t="e">
        <f t="shared" si="130"/>
        <v>#DIV/0!</v>
      </c>
      <c r="LAA71" s="1159" t="e">
        <f t="shared" si="130"/>
        <v>#DIV/0!</v>
      </c>
      <c r="LAB71" s="1159" t="e">
        <f t="shared" si="130"/>
        <v>#DIV/0!</v>
      </c>
      <c r="LAC71" s="1159" t="e">
        <f t="shared" si="130"/>
        <v>#DIV/0!</v>
      </c>
      <c r="LAD71" s="1159" t="e">
        <f t="shared" si="130"/>
        <v>#DIV/0!</v>
      </c>
      <c r="LAE71" s="1159" t="e">
        <f t="shared" si="130"/>
        <v>#DIV/0!</v>
      </c>
      <c r="LAF71" s="1159" t="e">
        <f t="shared" si="130"/>
        <v>#DIV/0!</v>
      </c>
      <c r="LAG71" s="1159" t="e">
        <f t="shared" si="130"/>
        <v>#DIV/0!</v>
      </c>
      <c r="LAH71" s="1159" t="e">
        <f t="shared" si="130"/>
        <v>#DIV/0!</v>
      </c>
      <c r="LAI71" s="1159" t="e">
        <f t="shared" si="130"/>
        <v>#DIV/0!</v>
      </c>
      <c r="LAJ71" s="1159" t="e">
        <f t="shared" si="130"/>
        <v>#DIV/0!</v>
      </c>
      <c r="LAK71" s="1159" t="e">
        <f t="shared" si="130"/>
        <v>#DIV/0!</v>
      </c>
      <c r="LAL71" s="1159" t="e">
        <f t="shared" si="130"/>
        <v>#DIV/0!</v>
      </c>
      <c r="LAM71" s="1159" t="e">
        <f t="shared" si="130"/>
        <v>#DIV/0!</v>
      </c>
      <c r="LAN71" s="1159" t="e">
        <f t="shared" si="130"/>
        <v>#DIV/0!</v>
      </c>
      <c r="LAO71" s="1159" t="e">
        <f t="shared" si="130"/>
        <v>#DIV/0!</v>
      </c>
      <c r="LAP71" s="1159" t="e">
        <f t="shared" si="130"/>
        <v>#DIV/0!</v>
      </c>
      <c r="LAQ71" s="1159" t="e">
        <f t="shared" si="130"/>
        <v>#DIV/0!</v>
      </c>
      <c r="LAR71" s="1159" t="e">
        <f t="shared" si="130"/>
        <v>#DIV/0!</v>
      </c>
      <c r="LAS71" s="1159" t="e">
        <f t="shared" si="130"/>
        <v>#DIV/0!</v>
      </c>
      <c r="LAT71" s="1159" t="e">
        <f t="shared" si="130"/>
        <v>#DIV/0!</v>
      </c>
      <c r="LAU71" s="1159" t="e">
        <f t="shared" si="130"/>
        <v>#DIV/0!</v>
      </c>
      <c r="LAV71" s="1159" t="e">
        <f t="shared" si="130"/>
        <v>#DIV/0!</v>
      </c>
      <c r="LAW71" s="1159" t="e">
        <f t="shared" si="130"/>
        <v>#DIV/0!</v>
      </c>
      <c r="LAX71" s="1159" t="e">
        <f t="shared" si="130"/>
        <v>#DIV/0!</v>
      </c>
      <c r="LAY71" s="1159" t="e">
        <f t="shared" si="130"/>
        <v>#DIV/0!</v>
      </c>
      <c r="LAZ71" s="1159" t="e">
        <f t="shared" si="130"/>
        <v>#DIV/0!</v>
      </c>
      <c r="LBA71" s="1159" t="e">
        <f t="shared" si="130"/>
        <v>#DIV/0!</v>
      </c>
      <c r="LBB71" s="1159" t="e">
        <f t="shared" si="130"/>
        <v>#DIV/0!</v>
      </c>
      <c r="LBC71" s="1159" t="e">
        <f t="shared" si="130"/>
        <v>#DIV/0!</v>
      </c>
      <c r="LBD71" s="1159" t="e">
        <f t="shared" si="130"/>
        <v>#DIV/0!</v>
      </c>
      <c r="LBE71" s="1159" t="e">
        <f t="shared" si="130"/>
        <v>#DIV/0!</v>
      </c>
      <c r="LBF71" s="1159" t="e">
        <f t="shared" si="130"/>
        <v>#DIV/0!</v>
      </c>
      <c r="LBG71" s="1159" t="e">
        <f t="shared" si="130"/>
        <v>#DIV/0!</v>
      </c>
      <c r="LBH71" s="1159" t="e">
        <f t="shared" si="130"/>
        <v>#DIV/0!</v>
      </c>
      <c r="LBI71" s="1159" t="e">
        <f t="shared" si="130"/>
        <v>#DIV/0!</v>
      </c>
      <c r="LBJ71" s="1159" t="e">
        <f t="shared" si="130"/>
        <v>#DIV/0!</v>
      </c>
      <c r="LBK71" s="1159" t="e">
        <f t="shared" si="130"/>
        <v>#DIV/0!</v>
      </c>
      <c r="LBL71" s="1159" t="e">
        <f t="shared" si="130"/>
        <v>#DIV/0!</v>
      </c>
      <c r="LBM71" s="1159" t="e">
        <f t="shared" si="130"/>
        <v>#DIV/0!</v>
      </c>
      <c r="LBN71" s="1159" t="e">
        <f t="shared" si="130"/>
        <v>#DIV/0!</v>
      </c>
      <c r="LBO71" s="1159" t="e">
        <f t="shared" si="130"/>
        <v>#DIV/0!</v>
      </c>
      <c r="LBP71" s="1159" t="e">
        <f t="shared" si="130"/>
        <v>#DIV/0!</v>
      </c>
      <c r="LBQ71" s="1159" t="e">
        <f t="shared" si="130"/>
        <v>#DIV/0!</v>
      </c>
      <c r="LBR71" s="1159" t="e">
        <f t="shared" si="130"/>
        <v>#DIV/0!</v>
      </c>
      <c r="LBS71" s="1159" t="e">
        <f t="shared" si="130"/>
        <v>#DIV/0!</v>
      </c>
      <c r="LBT71" s="1159" t="e">
        <f t="shared" si="130"/>
        <v>#DIV/0!</v>
      </c>
      <c r="LBU71" s="1159" t="e">
        <f t="shared" si="130"/>
        <v>#DIV/0!</v>
      </c>
      <c r="LBV71" s="1159" t="e">
        <f t="shared" si="130"/>
        <v>#DIV/0!</v>
      </c>
      <c r="LBW71" s="1159" t="e">
        <f t="shared" si="130"/>
        <v>#DIV/0!</v>
      </c>
      <c r="LBX71" s="1159" t="e">
        <f t="shared" si="130"/>
        <v>#DIV/0!</v>
      </c>
      <c r="LBY71" s="1159" t="e">
        <f t="shared" si="130"/>
        <v>#DIV/0!</v>
      </c>
      <c r="LBZ71" s="1159" t="e">
        <f t="shared" si="130"/>
        <v>#DIV/0!</v>
      </c>
      <c r="LCA71" s="1159" t="e">
        <f t="shared" si="130"/>
        <v>#DIV/0!</v>
      </c>
      <c r="LCB71" s="1159" t="e">
        <f t="shared" si="130"/>
        <v>#DIV/0!</v>
      </c>
      <c r="LCC71" s="1159" t="e">
        <f t="shared" si="130"/>
        <v>#DIV/0!</v>
      </c>
      <c r="LCD71" s="1159" t="e">
        <f t="shared" si="130"/>
        <v>#DIV/0!</v>
      </c>
      <c r="LCE71" s="1159" t="e">
        <f t="shared" si="130"/>
        <v>#DIV/0!</v>
      </c>
      <c r="LCF71" s="1159" t="e">
        <f t="shared" si="130"/>
        <v>#DIV/0!</v>
      </c>
      <c r="LCG71" s="1159" t="e">
        <f t="shared" si="130"/>
        <v>#DIV/0!</v>
      </c>
      <c r="LCH71" s="1159" t="e">
        <f t="shared" ref="LCH71:LES71" si="131">((LCH6+LCH12+LCH13+LCH14+LCH15)*860+LCH16*LCH55+LCH17*LCH56+LCH7*LCH49+LCH8*LCH50+LCH9*LCH51+LCH10*LCH52+LCH11*LCH53)/(SUM(LCH6:LCH17))</f>
        <v>#DIV/0!</v>
      </c>
      <c r="LCI71" s="1159" t="e">
        <f t="shared" si="131"/>
        <v>#DIV/0!</v>
      </c>
      <c r="LCJ71" s="1159" t="e">
        <f t="shared" si="131"/>
        <v>#DIV/0!</v>
      </c>
      <c r="LCK71" s="1159" t="e">
        <f t="shared" si="131"/>
        <v>#DIV/0!</v>
      </c>
      <c r="LCL71" s="1159" t="e">
        <f t="shared" si="131"/>
        <v>#DIV/0!</v>
      </c>
      <c r="LCM71" s="1159" t="e">
        <f t="shared" si="131"/>
        <v>#DIV/0!</v>
      </c>
      <c r="LCN71" s="1159" t="e">
        <f t="shared" si="131"/>
        <v>#DIV/0!</v>
      </c>
      <c r="LCO71" s="1159" t="e">
        <f t="shared" si="131"/>
        <v>#DIV/0!</v>
      </c>
      <c r="LCP71" s="1159" t="e">
        <f t="shared" si="131"/>
        <v>#DIV/0!</v>
      </c>
      <c r="LCQ71" s="1159" t="e">
        <f t="shared" si="131"/>
        <v>#DIV/0!</v>
      </c>
      <c r="LCR71" s="1159" t="e">
        <f t="shared" si="131"/>
        <v>#DIV/0!</v>
      </c>
      <c r="LCS71" s="1159" t="e">
        <f t="shared" si="131"/>
        <v>#DIV/0!</v>
      </c>
      <c r="LCT71" s="1159" t="e">
        <f t="shared" si="131"/>
        <v>#DIV/0!</v>
      </c>
      <c r="LCU71" s="1159" t="e">
        <f t="shared" si="131"/>
        <v>#DIV/0!</v>
      </c>
      <c r="LCV71" s="1159" t="e">
        <f t="shared" si="131"/>
        <v>#DIV/0!</v>
      </c>
      <c r="LCW71" s="1159" t="e">
        <f t="shared" si="131"/>
        <v>#DIV/0!</v>
      </c>
      <c r="LCX71" s="1159" t="e">
        <f t="shared" si="131"/>
        <v>#DIV/0!</v>
      </c>
      <c r="LCY71" s="1159" t="e">
        <f t="shared" si="131"/>
        <v>#DIV/0!</v>
      </c>
      <c r="LCZ71" s="1159" t="e">
        <f t="shared" si="131"/>
        <v>#DIV/0!</v>
      </c>
      <c r="LDA71" s="1159" t="e">
        <f t="shared" si="131"/>
        <v>#DIV/0!</v>
      </c>
      <c r="LDB71" s="1159" t="e">
        <f t="shared" si="131"/>
        <v>#DIV/0!</v>
      </c>
      <c r="LDC71" s="1159" t="e">
        <f t="shared" si="131"/>
        <v>#DIV/0!</v>
      </c>
      <c r="LDD71" s="1159" t="e">
        <f t="shared" si="131"/>
        <v>#DIV/0!</v>
      </c>
      <c r="LDE71" s="1159" t="e">
        <f t="shared" si="131"/>
        <v>#DIV/0!</v>
      </c>
      <c r="LDF71" s="1159" t="e">
        <f t="shared" si="131"/>
        <v>#DIV/0!</v>
      </c>
      <c r="LDG71" s="1159" t="e">
        <f t="shared" si="131"/>
        <v>#DIV/0!</v>
      </c>
      <c r="LDH71" s="1159" t="e">
        <f t="shared" si="131"/>
        <v>#DIV/0!</v>
      </c>
      <c r="LDI71" s="1159" t="e">
        <f t="shared" si="131"/>
        <v>#DIV/0!</v>
      </c>
      <c r="LDJ71" s="1159" t="e">
        <f t="shared" si="131"/>
        <v>#DIV/0!</v>
      </c>
      <c r="LDK71" s="1159" t="e">
        <f t="shared" si="131"/>
        <v>#DIV/0!</v>
      </c>
      <c r="LDL71" s="1159" t="e">
        <f t="shared" si="131"/>
        <v>#DIV/0!</v>
      </c>
      <c r="LDM71" s="1159" t="e">
        <f t="shared" si="131"/>
        <v>#DIV/0!</v>
      </c>
      <c r="LDN71" s="1159" t="e">
        <f t="shared" si="131"/>
        <v>#DIV/0!</v>
      </c>
      <c r="LDO71" s="1159" t="e">
        <f t="shared" si="131"/>
        <v>#DIV/0!</v>
      </c>
      <c r="LDP71" s="1159" t="e">
        <f t="shared" si="131"/>
        <v>#DIV/0!</v>
      </c>
      <c r="LDQ71" s="1159" t="e">
        <f t="shared" si="131"/>
        <v>#DIV/0!</v>
      </c>
      <c r="LDR71" s="1159" t="e">
        <f t="shared" si="131"/>
        <v>#DIV/0!</v>
      </c>
      <c r="LDS71" s="1159" t="e">
        <f t="shared" si="131"/>
        <v>#DIV/0!</v>
      </c>
      <c r="LDT71" s="1159" t="e">
        <f t="shared" si="131"/>
        <v>#DIV/0!</v>
      </c>
      <c r="LDU71" s="1159" t="e">
        <f t="shared" si="131"/>
        <v>#DIV/0!</v>
      </c>
      <c r="LDV71" s="1159" t="e">
        <f t="shared" si="131"/>
        <v>#DIV/0!</v>
      </c>
      <c r="LDW71" s="1159" t="e">
        <f t="shared" si="131"/>
        <v>#DIV/0!</v>
      </c>
      <c r="LDX71" s="1159" t="e">
        <f t="shared" si="131"/>
        <v>#DIV/0!</v>
      </c>
      <c r="LDY71" s="1159" t="e">
        <f t="shared" si="131"/>
        <v>#DIV/0!</v>
      </c>
      <c r="LDZ71" s="1159" t="e">
        <f t="shared" si="131"/>
        <v>#DIV/0!</v>
      </c>
      <c r="LEA71" s="1159" t="e">
        <f t="shared" si="131"/>
        <v>#DIV/0!</v>
      </c>
      <c r="LEB71" s="1159" t="e">
        <f t="shared" si="131"/>
        <v>#DIV/0!</v>
      </c>
      <c r="LEC71" s="1159" t="e">
        <f t="shared" si="131"/>
        <v>#DIV/0!</v>
      </c>
      <c r="LED71" s="1159" t="e">
        <f t="shared" si="131"/>
        <v>#DIV/0!</v>
      </c>
      <c r="LEE71" s="1159" t="e">
        <f t="shared" si="131"/>
        <v>#DIV/0!</v>
      </c>
      <c r="LEF71" s="1159" t="e">
        <f t="shared" si="131"/>
        <v>#DIV/0!</v>
      </c>
      <c r="LEG71" s="1159" t="e">
        <f t="shared" si="131"/>
        <v>#DIV/0!</v>
      </c>
      <c r="LEH71" s="1159" t="e">
        <f t="shared" si="131"/>
        <v>#DIV/0!</v>
      </c>
      <c r="LEI71" s="1159" t="e">
        <f t="shared" si="131"/>
        <v>#DIV/0!</v>
      </c>
      <c r="LEJ71" s="1159" t="e">
        <f t="shared" si="131"/>
        <v>#DIV/0!</v>
      </c>
      <c r="LEK71" s="1159" t="e">
        <f t="shared" si="131"/>
        <v>#DIV/0!</v>
      </c>
      <c r="LEL71" s="1159" t="e">
        <f t="shared" si="131"/>
        <v>#DIV/0!</v>
      </c>
      <c r="LEM71" s="1159" t="e">
        <f t="shared" si="131"/>
        <v>#DIV/0!</v>
      </c>
      <c r="LEN71" s="1159" t="e">
        <f t="shared" si="131"/>
        <v>#DIV/0!</v>
      </c>
      <c r="LEO71" s="1159" t="e">
        <f t="shared" si="131"/>
        <v>#DIV/0!</v>
      </c>
      <c r="LEP71" s="1159" t="e">
        <f t="shared" si="131"/>
        <v>#DIV/0!</v>
      </c>
      <c r="LEQ71" s="1159" t="e">
        <f t="shared" si="131"/>
        <v>#DIV/0!</v>
      </c>
      <c r="LER71" s="1159" t="e">
        <f t="shared" si="131"/>
        <v>#DIV/0!</v>
      </c>
      <c r="LES71" s="1159" t="e">
        <f t="shared" si="131"/>
        <v>#DIV/0!</v>
      </c>
      <c r="LET71" s="1159" t="e">
        <f t="shared" ref="LET71:LHE71" si="132">((LET6+LET12+LET13+LET14+LET15)*860+LET16*LET55+LET17*LET56+LET7*LET49+LET8*LET50+LET9*LET51+LET10*LET52+LET11*LET53)/(SUM(LET6:LET17))</f>
        <v>#DIV/0!</v>
      </c>
      <c r="LEU71" s="1159" t="e">
        <f t="shared" si="132"/>
        <v>#DIV/0!</v>
      </c>
      <c r="LEV71" s="1159" t="e">
        <f t="shared" si="132"/>
        <v>#DIV/0!</v>
      </c>
      <c r="LEW71" s="1159" t="e">
        <f t="shared" si="132"/>
        <v>#DIV/0!</v>
      </c>
      <c r="LEX71" s="1159" t="e">
        <f t="shared" si="132"/>
        <v>#DIV/0!</v>
      </c>
      <c r="LEY71" s="1159" t="e">
        <f t="shared" si="132"/>
        <v>#DIV/0!</v>
      </c>
      <c r="LEZ71" s="1159" t="e">
        <f t="shared" si="132"/>
        <v>#DIV/0!</v>
      </c>
      <c r="LFA71" s="1159" t="e">
        <f t="shared" si="132"/>
        <v>#DIV/0!</v>
      </c>
      <c r="LFB71" s="1159" t="e">
        <f t="shared" si="132"/>
        <v>#DIV/0!</v>
      </c>
      <c r="LFC71" s="1159" t="e">
        <f t="shared" si="132"/>
        <v>#DIV/0!</v>
      </c>
      <c r="LFD71" s="1159" t="e">
        <f t="shared" si="132"/>
        <v>#DIV/0!</v>
      </c>
      <c r="LFE71" s="1159" t="e">
        <f t="shared" si="132"/>
        <v>#DIV/0!</v>
      </c>
      <c r="LFF71" s="1159" t="e">
        <f t="shared" si="132"/>
        <v>#DIV/0!</v>
      </c>
      <c r="LFG71" s="1159" t="e">
        <f t="shared" si="132"/>
        <v>#DIV/0!</v>
      </c>
      <c r="LFH71" s="1159" t="e">
        <f t="shared" si="132"/>
        <v>#DIV/0!</v>
      </c>
      <c r="LFI71" s="1159" t="e">
        <f t="shared" si="132"/>
        <v>#DIV/0!</v>
      </c>
      <c r="LFJ71" s="1159" t="e">
        <f t="shared" si="132"/>
        <v>#DIV/0!</v>
      </c>
      <c r="LFK71" s="1159" t="e">
        <f t="shared" si="132"/>
        <v>#DIV/0!</v>
      </c>
      <c r="LFL71" s="1159" t="e">
        <f t="shared" si="132"/>
        <v>#DIV/0!</v>
      </c>
      <c r="LFM71" s="1159" t="e">
        <f t="shared" si="132"/>
        <v>#DIV/0!</v>
      </c>
      <c r="LFN71" s="1159" t="e">
        <f t="shared" si="132"/>
        <v>#DIV/0!</v>
      </c>
      <c r="LFO71" s="1159" t="e">
        <f t="shared" si="132"/>
        <v>#DIV/0!</v>
      </c>
      <c r="LFP71" s="1159" t="e">
        <f t="shared" si="132"/>
        <v>#DIV/0!</v>
      </c>
      <c r="LFQ71" s="1159" t="e">
        <f t="shared" si="132"/>
        <v>#DIV/0!</v>
      </c>
      <c r="LFR71" s="1159" t="e">
        <f t="shared" si="132"/>
        <v>#DIV/0!</v>
      </c>
      <c r="LFS71" s="1159" t="e">
        <f t="shared" si="132"/>
        <v>#DIV/0!</v>
      </c>
      <c r="LFT71" s="1159" t="e">
        <f t="shared" si="132"/>
        <v>#DIV/0!</v>
      </c>
      <c r="LFU71" s="1159" t="e">
        <f t="shared" si="132"/>
        <v>#DIV/0!</v>
      </c>
      <c r="LFV71" s="1159" t="e">
        <f t="shared" si="132"/>
        <v>#DIV/0!</v>
      </c>
      <c r="LFW71" s="1159" t="e">
        <f t="shared" si="132"/>
        <v>#DIV/0!</v>
      </c>
      <c r="LFX71" s="1159" t="e">
        <f t="shared" si="132"/>
        <v>#DIV/0!</v>
      </c>
      <c r="LFY71" s="1159" t="e">
        <f t="shared" si="132"/>
        <v>#DIV/0!</v>
      </c>
      <c r="LFZ71" s="1159" t="e">
        <f t="shared" si="132"/>
        <v>#DIV/0!</v>
      </c>
      <c r="LGA71" s="1159" t="e">
        <f t="shared" si="132"/>
        <v>#DIV/0!</v>
      </c>
      <c r="LGB71" s="1159" t="e">
        <f t="shared" si="132"/>
        <v>#DIV/0!</v>
      </c>
      <c r="LGC71" s="1159" t="e">
        <f t="shared" si="132"/>
        <v>#DIV/0!</v>
      </c>
      <c r="LGD71" s="1159" t="e">
        <f t="shared" si="132"/>
        <v>#DIV/0!</v>
      </c>
      <c r="LGE71" s="1159" t="e">
        <f t="shared" si="132"/>
        <v>#DIV/0!</v>
      </c>
      <c r="LGF71" s="1159" t="e">
        <f t="shared" si="132"/>
        <v>#DIV/0!</v>
      </c>
      <c r="LGG71" s="1159" t="e">
        <f t="shared" si="132"/>
        <v>#DIV/0!</v>
      </c>
      <c r="LGH71" s="1159" t="e">
        <f t="shared" si="132"/>
        <v>#DIV/0!</v>
      </c>
      <c r="LGI71" s="1159" t="e">
        <f t="shared" si="132"/>
        <v>#DIV/0!</v>
      </c>
      <c r="LGJ71" s="1159" t="e">
        <f t="shared" si="132"/>
        <v>#DIV/0!</v>
      </c>
      <c r="LGK71" s="1159" t="e">
        <f t="shared" si="132"/>
        <v>#DIV/0!</v>
      </c>
      <c r="LGL71" s="1159" t="e">
        <f t="shared" si="132"/>
        <v>#DIV/0!</v>
      </c>
      <c r="LGM71" s="1159" t="e">
        <f t="shared" si="132"/>
        <v>#DIV/0!</v>
      </c>
      <c r="LGN71" s="1159" t="e">
        <f t="shared" si="132"/>
        <v>#DIV/0!</v>
      </c>
      <c r="LGO71" s="1159" t="e">
        <f t="shared" si="132"/>
        <v>#DIV/0!</v>
      </c>
      <c r="LGP71" s="1159" t="e">
        <f t="shared" si="132"/>
        <v>#DIV/0!</v>
      </c>
      <c r="LGQ71" s="1159" t="e">
        <f t="shared" si="132"/>
        <v>#DIV/0!</v>
      </c>
      <c r="LGR71" s="1159" t="e">
        <f t="shared" si="132"/>
        <v>#DIV/0!</v>
      </c>
      <c r="LGS71" s="1159" t="e">
        <f t="shared" si="132"/>
        <v>#DIV/0!</v>
      </c>
      <c r="LGT71" s="1159" t="e">
        <f t="shared" si="132"/>
        <v>#DIV/0!</v>
      </c>
      <c r="LGU71" s="1159" t="e">
        <f t="shared" si="132"/>
        <v>#DIV/0!</v>
      </c>
      <c r="LGV71" s="1159" t="e">
        <f t="shared" si="132"/>
        <v>#DIV/0!</v>
      </c>
      <c r="LGW71" s="1159" t="e">
        <f t="shared" si="132"/>
        <v>#DIV/0!</v>
      </c>
      <c r="LGX71" s="1159" t="e">
        <f t="shared" si="132"/>
        <v>#DIV/0!</v>
      </c>
      <c r="LGY71" s="1159" t="e">
        <f t="shared" si="132"/>
        <v>#DIV/0!</v>
      </c>
      <c r="LGZ71" s="1159" t="e">
        <f t="shared" si="132"/>
        <v>#DIV/0!</v>
      </c>
      <c r="LHA71" s="1159" t="e">
        <f t="shared" si="132"/>
        <v>#DIV/0!</v>
      </c>
      <c r="LHB71" s="1159" t="e">
        <f t="shared" si="132"/>
        <v>#DIV/0!</v>
      </c>
      <c r="LHC71" s="1159" t="e">
        <f t="shared" si="132"/>
        <v>#DIV/0!</v>
      </c>
      <c r="LHD71" s="1159" t="e">
        <f t="shared" si="132"/>
        <v>#DIV/0!</v>
      </c>
      <c r="LHE71" s="1159" t="e">
        <f t="shared" si="132"/>
        <v>#DIV/0!</v>
      </c>
      <c r="LHF71" s="1159" t="e">
        <f t="shared" ref="LHF71:LJQ71" si="133">((LHF6+LHF12+LHF13+LHF14+LHF15)*860+LHF16*LHF55+LHF17*LHF56+LHF7*LHF49+LHF8*LHF50+LHF9*LHF51+LHF10*LHF52+LHF11*LHF53)/(SUM(LHF6:LHF17))</f>
        <v>#DIV/0!</v>
      </c>
      <c r="LHG71" s="1159" t="e">
        <f t="shared" si="133"/>
        <v>#DIV/0!</v>
      </c>
      <c r="LHH71" s="1159" t="e">
        <f t="shared" si="133"/>
        <v>#DIV/0!</v>
      </c>
      <c r="LHI71" s="1159" t="e">
        <f t="shared" si="133"/>
        <v>#DIV/0!</v>
      </c>
      <c r="LHJ71" s="1159" t="e">
        <f t="shared" si="133"/>
        <v>#DIV/0!</v>
      </c>
      <c r="LHK71" s="1159" t="e">
        <f t="shared" si="133"/>
        <v>#DIV/0!</v>
      </c>
      <c r="LHL71" s="1159" t="e">
        <f t="shared" si="133"/>
        <v>#DIV/0!</v>
      </c>
      <c r="LHM71" s="1159" t="e">
        <f t="shared" si="133"/>
        <v>#DIV/0!</v>
      </c>
      <c r="LHN71" s="1159" t="e">
        <f t="shared" si="133"/>
        <v>#DIV/0!</v>
      </c>
      <c r="LHO71" s="1159" t="e">
        <f t="shared" si="133"/>
        <v>#DIV/0!</v>
      </c>
      <c r="LHP71" s="1159" t="e">
        <f t="shared" si="133"/>
        <v>#DIV/0!</v>
      </c>
      <c r="LHQ71" s="1159" t="e">
        <f t="shared" si="133"/>
        <v>#DIV/0!</v>
      </c>
      <c r="LHR71" s="1159" t="e">
        <f t="shared" si="133"/>
        <v>#DIV/0!</v>
      </c>
      <c r="LHS71" s="1159" t="e">
        <f t="shared" si="133"/>
        <v>#DIV/0!</v>
      </c>
      <c r="LHT71" s="1159" t="e">
        <f t="shared" si="133"/>
        <v>#DIV/0!</v>
      </c>
      <c r="LHU71" s="1159" t="e">
        <f t="shared" si="133"/>
        <v>#DIV/0!</v>
      </c>
      <c r="LHV71" s="1159" t="e">
        <f t="shared" si="133"/>
        <v>#DIV/0!</v>
      </c>
      <c r="LHW71" s="1159" t="e">
        <f t="shared" si="133"/>
        <v>#DIV/0!</v>
      </c>
      <c r="LHX71" s="1159" t="e">
        <f t="shared" si="133"/>
        <v>#DIV/0!</v>
      </c>
      <c r="LHY71" s="1159" t="e">
        <f t="shared" si="133"/>
        <v>#DIV/0!</v>
      </c>
      <c r="LHZ71" s="1159" t="e">
        <f t="shared" si="133"/>
        <v>#DIV/0!</v>
      </c>
      <c r="LIA71" s="1159" t="e">
        <f t="shared" si="133"/>
        <v>#DIV/0!</v>
      </c>
      <c r="LIB71" s="1159" t="e">
        <f t="shared" si="133"/>
        <v>#DIV/0!</v>
      </c>
      <c r="LIC71" s="1159" t="e">
        <f t="shared" si="133"/>
        <v>#DIV/0!</v>
      </c>
      <c r="LID71" s="1159" t="e">
        <f t="shared" si="133"/>
        <v>#DIV/0!</v>
      </c>
      <c r="LIE71" s="1159" t="e">
        <f t="shared" si="133"/>
        <v>#DIV/0!</v>
      </c>
      <c r="LIF71" s="1159" t="e">
        <f t="shared" si="133"/>
        <v>#DIV/0!</v>
      </c>
      <c r="LIG71" s="1159" t="e">
        <f t="shared" si="133"/>
        <v>#DIV/0!</v>
      </c>
      <c r="LIH71" s="1159" t="e">
        <f t="shared" si="133"/>
        <v>#DIV/0!</v>
      </c>
      <c r="LII71" s="1159" t="e">
        <f t="shared" si="133"/>
        <v>#DIV/0!</v>
      </c>
      <c r="LIJ71" s="1159" t="e">
        <f t="shared" si="133"/>
        <v>#DIV/0!</v>
      </c>
      <c r="LIK71" s="1159" t="e">
        <f t="shared" si="133"/>
        <v>#DIV/0!</v>
      </c>
      <c r="LIL71" s="1159" t="e">
        <f t="shared" si="133"/>
        <v>#DIV/0!</v>
      </c>
      <c r="LIM71" s="1159" t="e">
        <f t="shared" si="133"/>
        <v>#DIV/0!</v>
      </c>
      <c r="LIN71" s="1159" t="e">
        <f t="shared" si="133"/>
        <v>#DIV/0!</v>
      </c>
      <c r="LIO71" s="1159" t="e">
        <f t="shared" si="133"/>
        <v>#DIV/0!</v>
      </c>
      <c r="LIP71" s="1159" t="e">
        <f t="shared" si="133"/>
        <v>#DIV/0!</v>
      </c>
      <c r="LIQ71" s="1159" t="e">
        <f t="shared" si="133"/>
        <v>#DIV/0!</v>
      </c>
      <c r="LIR71" s="1159" t="e">
        <f t="shared" si="133"/>
        <v>#DIV/0!</v>
      </c>
      <c r="LIS71" s="1159" t="e">
        <f t="shared" si="133"/>
        <v>#DIV/0!</v>
      </c>
      <c r="LIT71" s="1159" t="e">
        <f t="shared" si="133"/>
        <v>#DIV/0!</v>
      </c>
      <c r="LIU71" s="1159" t="e">
        <f t="shared" si="133"/>
        <v>#DIV/0!</v>
      </c>
      <c r="LIV71" s="1159" t="e">
        <f t="shared" si="133"/>
        <v>#DIV/0!</v>
      </c>
      <c r="LIW71" s="1159" t="e">
        <f t="shared" si="133"/>
        <v>#DIV/0!</v>
      </c>
      <c r="LIX71" s="1159" t="e">
        <f t="shared" si="133"/>
        <v>#DIV/0!</v>
      </c>
      <c r="LIY71" s="1159" t="e">
        <f t="shared" si="133"/>
        <v>#DIV/0!</v>
      </c>
      <c r="LIZ71" s="1159" t="e">
        <f t="shared" si="133"/>
        <v>#DIV/0!</v>
      </c>
      <c r="LJA71" s="1159" t="e">
        <f t="shared" si="133"/>
        <v>#DIV/0!</v>
      </c>
      <c r="LJB71" s="1159" t="e">
        <f t="shared" si="133"/>
        <v>#DIV/0!</v>
      </c>
      <c r="LJC71" s="1159" t="e">
        <f t="shared" si="133"/>
        <v>#DIV/0!</v>
      </c>
      <c r="LJD71" s="1159" t="e">
        <f t="shared" si="133"/>
        <v>#DIV/0!</v>
      </c>
      <c r="LJE71" s="1159" t="e">
        <f t="shared" si="133"/>
        <v>#DIV/0!</v>
      </c>
      <c r="LJF71" s="1159" t="e">
        <f t="shared" si="133"/>
        <v>#DIV/0!</v>
      </c>
      <c r="LJG71" s="1159" t="e">
        <f t="shared" si="133"/>
        <v>#DIV/0!</v>
      </c>
      <c r="LJH71" s="1159" t="e">
        <f t="shared" si="133"/>
        <v>#DIV/0!</v>
      </c>
      <c r="LJI71" s="1159" t="e">
        <f t="shared" si="133"/>
        <v>#DIV/0!</v>
      </c>
      <c r="LJJ71" s="1159" t="e">
        <f t="shared" si="133"/>
        <v>#DIV/0!</v>
      </c>
      <c r="LJK71" s="1159" t="e">
        <f t="shared" si="133"/>
        <v>#DIV/0!</v>
      </c>
      <c r="LJL71" s="1159" t="e">
        <f t="shared" si="133"/>
        <v>#DIV/0!</v>
      </c>
      <c r="LJM71" s="1159" t="e">
        <f t="shared" si="133"/>
        <v>#DIV/0!</v>
      </c>
      <c r="LJN71" s="1159" t="e">
        <f t="shared" si="133"/>
        <v>#DIV/0!</v>
      </c>
      <c r="LJO71" s="1159" t="e">
        <f t="shared" si="133"/>
        <v>#DIV/0!</v>
      </c>
      <c r="LJP71" s="1159" t="e">
        <f t="shared" si="133"/>
        <v>#DIV/0!</v>
      </c>
      <c r="LJQ71" s="1159" t="e">
        <f t="shared" si="133"/>
        <v>#DIV/0!</v>
      </c>
      <c r="LJR71" s="1159" t="e">
        <f t="shared" ref="LJR71:LMC71" si="134">((LJR6+LJR12+LJR13+LJR14+LJR15)*860+LJR16*LJR55+LJR17*LJR56+LJR7*LJR49+LJR8*LJR50+LJR9*LJR51+LJR10*LJR52+LJR11*LJR53)/(SUM(LJR6:LJR17))</f>
        <v>#DIV/0!</v>
      </c>
      <c r="LJS71" s="1159" t="e">
        <f t="shared" si="134"/>
        <v>#DIV/0!</v>
      </c>
      <c r="LJT71" s="1159" t="e">
        <f t="shared" si="134"/>
        <v>#DIV/0!</v>
      </c>
      <c r="LJU71" s="1159" t="e">
        <f t="shared" si="134"/>
        <v>#DIV/0!</v>
      </c>
      <c r="LJV71" s="1159" t="e">
        <f t="shared" si="134"/>
        <v>#DIV/0!</v>
      </c>
      <c r="LJW71" s="1159" t="e">
        <f t="shared" si="134"/>
        <v>#DIV/0!</v>
      </c>
      <c r="LJX71" s="1159" t="e">
        <f t="shared" si="134"/>
        <v>#DIV/0!</v>
      </c>
      <c r="LJY71" s="1159" t="e">
        <f t="shared" si="134"/>
        <v>#DIV/0!</v>
      </c>
      <c r="LJZ71" s="1159" t="e">
        <f t="shared" si="134"/>
        <v>#DIV/0!</v>
      </c>
      <c r="LKA71" s="1159" t="e">
        <f t="shared" si="134"/>
        <v>#DIV/0!</v>
      </c>
      <c r="LKB71" s="1159" t="e">
        <f t="shared" si="134"/>
        <v>#DIV/0!</v>
      </c>
      <c r="LKC71" s="1159" t="e">
        <f t="shared" si="134"/>
        <v>#DIV/0!</v>
      </c>
      <c r="LKD71" s="1159" t="e">
        <f t="shared" si="134"/>
        <v>#DIV/0!</v>
      </c>
      <c r="LKE71" s="1159" t="e">
        <f t="shared" si="134"/>
        <v>#DIV/0!</v>
      </c>
      <c r="LKF71" s="1159" t="e">
        <f t="shared" si="134"/>
        <v>#DIV/0!</v>
      </c>
      <c r="LKG71" s="1159" t="e">
        <f t="shared" si="134"/>
        <v>#DIV/0!</v>
      </c>
      <c r="LKH71" s="1159" t="e">
        <f t="shared" si="134"/>
        <v>#DIV/0!</v>
      </c>
      <c r="LKI71" s="1159" t="e">
        <f t="shared" si="134"/>
        <v>#DIV/0!</v>
      </c>
      <c r="LKJ71" s="1159" t="e">
        <f t="shared" si="134"/>
        <v>#DIV/0!</v>
      </c>
      <c r="LKK71" s="1159" t="e">
        <f t="shared" si="134"/>
        <v>#DIV/0!</v>
      </c>
      <c r="LKL71" s="1159" t="e">
        <f t="shared" si="134"/>
        <v>#DIV/0!</v>
      </c>
      <c r="LKM71" s="1159" t="e">
        <f t="shared" si="134"/>
        <v>#DIV/0!</v>
      </c>
      <c r="LKN71" s="1159" t="e">
        <f t="shared" si="134"/>
        <v>#DIV/0!</v>
      </c>
      <c r="LKO71" s="1159" t="e">
        <f t="shared" si="134"/>
        <v>#DIV/0!</v>
      </c>
      <c r="LKP71" s="1159" t="e">
        <f t="shared" si="134"/>
        <v>#DIV/0!</v>
      </c>
      <c r="LKQ71" s="1159" t="e">
        <f t="shared" si="134"/>
        <v>#DIV/0!</v>
      </c>
      <c r="LKR71" s="1159" t="e">
        <f t="shared" si="134"/>
        <v>#DIV/0!</v>
      </c>
      <c r="LKS71" s="1159" t="e">
        <f t="shared" si="134"/>
        <v>#DIV/0!</v>
      </c>
      <c r="LKT71" s="1159" t="e">
        <f t="shared" si="134"/>
        <v>#DIV/0!</v>
      </c>
      <c r="LKU71" s="1159" t="e">
        <f t="shared" si="134"/>
        <v>#DIV/0!</v>
      </c>
      <c r="LKV71" s="1159" t="e">
        <f t="shared" si="134"/>
        <v>#DIV/0!</v>
      </c>
      <c r="LKW71" s="1159" t="e">
        <f t="shared" si="134"/>
        <v>#DIV/0!</v>
      </c>
      <c r="LKX71" s="1159" t="e">
        <f t="shared" si="134"/>
        <v>#DIV/0!</v>
      </c>
      <c r="LKY71" s="1159" t="e">
        <f t="shared" si="134"/>
        <v>#DIV/0!</v>
      </c>
      <c r="LKZ71" s="1159" t="e">
        <f t="shared" si="134"/>
        <v>#DIV/0!</v>
      </c>
      <c r="LLA71" s="1159" t="e">
        <f t="shared" si="134"/>
        <v>#DIV/0!</v>
      </c>
      <c r="LLB71" s="1159" t="e">
        <f t="shared" si="134"/>
        <v>#DIV/0!</v>
      </c>
      <c r="LLC71" s="1159" t="e">
        <f t="shared" si="134"/>
        <v>#DIV/0!</v>
      </c>
      <c r="LLD71" s="1159" t="e">
        <f t="shared" si="134"/>
        <v>#DIV/0!</v>
      </c>
      <c r="LLE71" s="1159" t="e">
        <f t="shared" si="134"/>
        <v>#DIV/0!</v>
      </c>
      <c r="LLF71" s="1159" t="e">
        <f t="shared" si="134"/>
        <v>#DIV/0!</v>
      </c>
      <c r="LLG71" s="1159" t="e">
        <f t="shared" si="134"/>
        <v>#DIV/0!</v>
      </c>
      <c r="LLH71" s="1159" t="e">
        <f t="shared" si="134"/>
        <v>#DIV/0!</v>
      </c>
      <c r="LLI71" s="1159" t="e">
        <f t="shared" si="134"/>
        <v>#DIV/0!</v>
      </c>
      <c r="LLJ71" s="1159" t="e">
        <f t="shared" si="134"/>
        <v>#DIV/0!</v>
      </c>
      <c r="LLK71" s="1159" t="e">
        <f t="shared" si="134"/>
        <v>#DIV/0!</v>
      </c>
      <c r="LLL71" s="1159" t="e">
        <f t="shared" si="134"/>
        <v>#DIV/0!</v>
      </c>
      <c r="LLM71" s="1159" t="e">
        <f t="shared" si="134"/>
        <v>#DIV/0!</v>
      </c>
      <c r="LLN71" s="1159" t="e">
        <f t="shared" si="134"/>
        <v>#DIV/0!</v>
      </c>
      <c r="LLO71" s="1159" t="e">
        <f t="shared" si="134"/>
        <v>#DIV/0!</v>
      </c>
      <c r="LLP71" s="1159" t="e">
        <f t="shared" si="134"/>
        <v>#DIV/0!</v>
      </c>
      <c r="LLQ71" s="1159" t="e">
        <f t="shared" si="134"/>
        <v>#DIV/0!</v>
      </c>
      <c r="LLR71" s="1159" t="e">
        <f t="shared" si="134"/>
        <v>#DIV/0!</v>
      </c>
      <c r="LLS71" s="1159" t="e">
        <f t="shared" si="134"/>
        <v>#DIV/0!</v>
      </c>
      <c r="LLT71" s="1159" t="e">
        <f t="shared" si="134"/>
        <v>#DIV/0!</v>
      </c>
      <c r="LLU71" s="1159" t="e">
        <f t="shared" si="134"/>
        <v>#DIV/0!</v>
      </c>
      <c r="LLV71" s="1159" t="e">
        <f t="shared" si="134"/>
        <v>#DIV/0!</v>
      </c>
      <c r="LLW71" s="1159" t="e">
        <f t="shared" si="134"/>
        <v>#DIV/0!</v>
      </c>
      <c r="LLX71" s="1159" t="e">
        <f t="shared" si="134"/>
        <v>#DIV/0!</v>
      </c>
      <c r="LLY71" s="1159" t="e">
        <f t="shared" si="134"/>
        <v>#DIV/0!</v>
      </c>
      <c r="LLZ71" s="1159" t="e">
        <f t="shared" si="134"/>
        <v>#DIV/0!</v>
      </c>
      <c r="LMA71" s="1159" t="e">
        <f t="shared" si="134"/>
        <v>#DIV/0!</v>
      </c>
      <c r="LMB71" s="1159" t="e">
        <f t="shared" si="134"/>
        <v>#DIV/0!</v>
      </c>
      <c r="LMC71" s="1159" t="e">
        <f t="shared" si="134"/>
        <v>#DIV/0!</v>
      </c>
      <c r="LMD71" s="1159" t="e">
        <f t="shared" ref="LMD71:LOO71" si="135">((LMD6+LMD12+LMD13+LMD14+LMD15)*860+LMD16*LMD55+LMD17*LMD56+LMD7*LMD49+LMD8*LMD50+LMD9*LMD51+LMD10*LMD52+LMD11*LMD53)/(SUM(LMD6:LMD17))</f>
        <v>#DIV/0!</v>
      </c>
      <c r="LME71" s="1159" t="e">
        <f t="shared" si="135"/>
        <v>#DIV/0!</v>
      </c>
      <c r="LMF71" s="1159" t="e">
        <f t="shared" si="135"/>
        <v>#DIV/0!</v>
      </c>
      <c r="LMG71" s="1159" t="e">
        <f t="shared" si="135"/>
        <v>#DIV/0!</v>
      </c>
      <c r="LMH71" s="1159" t="e">
        <f t="shared" si="135"/>
        <v>#DIV/0!</v>
      </c>
      <c r="LMI71" s="1159" t="e">
        <f t="shared" si="135"/>
        <v>#DIV/0!</v>
      </c>
      <c r="LMJ71" s="1159" t="e">
        <f t="shared" si="135"/>
        <v>#DIV/0!</v>
      </c>
      <c r="LMK71" s="1159" t="e">
        <f t="shared" si="135"/>
        <v>#DIV/0!</v>
      </c>
      <c r="LML71" s="1159" t="e">
        <f t="shared" si="135"/>
        <v>#DIV/0!</v>
      </c>
      <c r="LMM71" s="1159" t="e">
        <f t="shared" si="135"/>
        <v>#DIV/0!</v>
      </c>
      <c r="LMN71" s="1159" t="e">
        <f t="shared" si="135"/>
        <v>#DIV/0!</v>
      </c>
      <c r="LMO71" s="1159" t="e">
        <f t="shared" si="135"/>
        <v>#DIV/0!</v>
      </c>
      <c r="LMP71" s="1159" t="e">
        <f t="shared" si="135"/>
        <v>#DIV/0!</v>
      </c>
      <c r="LMQ71" s="1159" t="e">
        <f t="shared" si="135"/>
        <v>#DIV/0!</v>
      </c>
      <c r="LMR71" s="1159" t="e">
        <f t="shared" si="135"/>
        <v>#DIV/0!</v>
      </c>
      <c r="LMS71" s="1159" t="e">
        <f t="shared" si="135"/>
        <v>#DIV/0!</v>
      </c>
      <c r="LMT71" s="1159" t="e">
        <f t="shared" si="135"/>
        <v>#DIV/0!</v>
      </c>
      <c r="LMU71" s="1159" t="e">
        <f t="shared" si="135"/>
        <v>#DIV/0!</v>
      </c>
      <c r="LMV71" s="1159" t="e">
        <f t="shared" si="135"/>
        <v>#DIV/0!</v>
      </c>
      <c r="LMW71" s="1159" t="e">
        <f t="shared" si="135"/>
        <v>#DIV/0!</v>
      </c>
      <c r="LMX71" s="1159" t="e">
        <f t="shared" si="135"/>
        <v>#DIV/0!</v>
      </c>
      <c r="LMY71" s="1159" t="e">
        <f t="shared" si="135"/>
        <v>#DIV/0!</v>
      </c>
      <c r="LMZ71" s="1159" t="e">
        <f t="shared" si="135"/>
        <v>#DIV/0!</v>
      </c>
      <c r="LNA71" s="1159" t="e">
        <f t="shared" si="135"/>
        <v>#DIV/0!</v>
      </c>
      <c r="LNB71" s="1159" t="e">
        <f t="shared" si="135"/>
        <v>#DIV/0!</v>
      </c>
      <c r="LNC71" s="1159" t="e">
        <f t="shared" si="135"/>
        <v>#DIV/0!</v>
      </c>
      <c r="LND71" s="1159" t="e">
        <f t="shared" si="135"/>
        <v>#DIV/0!</v>
      </c>
      <c r="LNE71" s="1159" t="e">
        <f t="shared" si="135"/>
        <v>#DIV/0!</v>
      </c>
      <c r="LNF71" s="1159" t="e">
        <f t="shared" si="135"/>
        <v>#DIV/0!</v>
      </c>
      <c r="LNG71" s="1159" t="e">
        <f t="shared" si="135"/>
        <v>#DIV/0!</v>
      </c>
      <c r="LNH71" s="1159" t="e">
        <f t="shared" si="135"/>
        <v>#DIV/0!</v>
      </c>
      <c r="LNI71" s="1159" t="e">
        <f t="shared" si="135"/>
        <v>#DIV/0!</v>
      </c>
      <c r="LNJ71" s="1159" t="e">
        <f t="shared" si="135"/>
        <v>#DIV/0!</v>
      </c>
      <c r="LNK71" s="1159" t="e">
        <f t="shared" si="135"/>
        <v>#DIV/0!</v>
      </c>
      <c r="LNL71" s="1159" t="e">
        <f t="shared" si="135"/>
        <v>#DIV/0!</v>
      </c>
      <c r="LNM71" s="1159" t="e">
        <f t="shared" si="135"/>
        <v>#DIV/0!</v>
      </c>
      <c r="LNN71" s="1159" t="e">
        <f t="shared" si="135"/>
        <v>#DIV/0!</v>
      </c>
      <c r="LNO71" s="1159" t="e">
        <f t="shared" si="135"/>
        <v>#DIV/0!</v>
      </c>
      <c r="LNP71" s="1159" t="e">
        <f t="shared" si="135"/>
        <v>#DIV/0!</v>
      </c>
      <c r="LNQ71" s="1159" t="e">
        <f t="shared" si="135"/>
        <v>#DIV/0!</v>
      </c>
      <c r="LNR71" s="1159" t="e">
        <f t="shared" si="135"/>
        <v>#DIV/0!</v>
      </c>
      <c r="LNS71" s="1159" t="e">
        <f t="shared" si="135"/>
        <v>#DIV/0!</v>
      </c>
      <c r="LNT71" s="1159" t="e">
        <f t="shared" si="135"/>
        <v>#DIV/0!</v>
      </c>
      <c r="LNU71" s="1159" t="e">
        <f t="shared" si="135"/>
        <v>#DIV/0!</v>
      </c>
      <c r="LNV71" s="1159" t="e">
        <f t="shared" si="135"/>
        <v>#DIV/0!</v>
      </c>
      <c r="LNW71" s="1159" t="e">
        <f t="shared" si="135"/>
        <v>#DIV/0!</v>
      </c>
      <c r="LNX71" s="1159" t="e">
        <f t="shared" si="135"/>
        <v>#DIV/0!</v>
      </c>
      <c r="LNY71" s="1159" t="e">
        <f t="shared" si="135"/>
        <v>#DIV/0!</v>
      </c>
      <c r="LNZ71" s="1159" t="e">
        <f t="shared" si="135"/>
        <v>#DIV/0!</v>
      </c>
      <c r="LOA71" s="1159" t="e">
        <f t="shared" si="135"/>
        <v>#DIV/0!</v>
      </c>
      <c r="LOB71" s="1159" t="e">
        <f t="shared" si="135"/>
        <v>#DIV/0!</v>
      </c>
      <c r="LOC71" s="1159" t="e">
        <f t="shared" si="135"/>
        <v>#DIV/0!</v>
      </c>
      <c r="LOD71" s="1159" t="e">
        <f t="shared" si="135"/>
        <v>#DIV/0!</v>
      </c>
      <c r="LOE71" s="1159" t="e">
        <f t="shared" si="135"/>
        <v>#DIV/0!</v>
      </c>
      <c r="LOF71" s="1159" t="e">
        <f t="shared" si="135"/>
        <v>#DIV/0!</v>
      </c>
      <c r="LOG71" s="1159" t="e">
        <f t="shared" si="135"/>
        <v>#DIV/0!</v>
      </c>
      <c r="LOH71" s="1159" t="e">
        <f t="shared" si="135"/>
        <v>#DIV/0!</v>
      </c>
      <c r="LOI71" s="1159" t="e">
        <f t="shared" si="135"/>
        <v>#DIV/0!</v>
      </c>
      <c r="LOJ71" s="1159" t="e">
        <f t="shared" si="135"/>
        <v>#DIV/0!</v>
      </c>
      <c r="LOK71" s="1159" t="e">
        <f t="shared" si="135"/>
        <v>#DIV/0!</v>
      </c>
      <c r="LOL71" s="1159" t="e">
        <f t="shared" si="135"/>
        <v>#DIV/0!</v>
      </c>
      <c r="LOM71" s="1159" t="e">
        <f t="shared" si="135"/>
        <v>#DIV/0!</v>
      </c>
      <c r="LON71" s="1159" t="e">
        <f t="shared" si="135"/>
        <v>#DIV/0!</v>
      </c>
      <c r="LOO71" s="1159" t="e">
        <f t="shared" si="135"/>
        <v>#DIV/0!</v>
      </c>
      <c r="LOP71" s="1159" t="e">
        <f t="shared" ref="LOP71:LRA71" si="136">((LOP6+LOP12+LOP13+LOP14+LOP15)*860+LOP16*LOP55+LOP17*LOP56+LOP7*LOP49+LOP8*LOP50+LOP9*LOP51+LOP10*LOP52+LOP11*LOP53)/(SUM(LOP6:LOP17))</f>
        <v>#DIV/0!</v>
      </c>
      <c r="LOQ71" s="1159" t="e">
        <f t="shared" si="136"/>
        <v>#DIV/0!</v>
      </c>
      <c r="LOR71" s="1159" t="e">
        <f t="shared" si="136"/>
        <v>#DIV/0!</v>
      </c>
      <c r="LOS71" s="1159" t="e">
        <f t="shared" si="136"/>
        <v>#DIV/0!</v>
      </c>
      <c r="LOT71" s="1159" t="e">
        <f t="shared" si="136"/>
        <v>#DIV/0!</v>
      </c>
      <c r="LOU71" s="1159" t="e">
        <f t="shared" si="136"/>
        <v>#DIV/0!</v>
      </c>
      <c r="LOV71" s="1159" t="e">
        <f t="shared" si="136"/>
        <v>#DIV/0!</v>
      </c>
      <c r="LOW71" s="1159" t="e">
        <f t="shared" si="136"/>
        <v>#DIV/0!</v>
      </c>
      <c r="LOX71" s="1159" t="e">
        <f t="shared" si="136"/>
        <v>#DIV/0!</v>
      </c>
      <c r="LOY71" s="1159" t="e">
        <f t="shared" si="136"/>
        <v>#DIV/0!</v>
      </c>
      <c r="LOZ71" s="1159" t="e">
        <f t="shared" si="136"/>
        <v>#DIV/0!</v>
      </c>
      <c r="LPA71" s="1159" t="e">
        <f t="shared" si="136"/>
        <v>#DIV/0!</v>
      </c>
      <c r="LPB71" s="1159" t="e">
        <f t="shared" si="136"/>
        <v>#DIV/0!</v>
      </c>
      <c r="LPC71" s="1159" t="e">
        <f t="shared" si="136"/>
        <v>#DIV/0!</v>
      </c>
      <c r="LPD71" s="1159" t="e">
        <f t="shared" si="136"/>
        <v>#DIV/0!</v>
      </c>
      <c r="LPE71" s="1159" t="e">
        <f t="shared" si="136"/>
        <v>#DIV/0!</v>
      </c>
      <c r="LPF71" s="1159" t="e">
        <f t="shared" si="136"/>
        <v>#DIV/0!</v>
      </c>
      <c r="LPG71" s="1159" t="e">
        <f t="shared" si="136"/>
        <v>#DIV/0!</v>
      </c>
      <c r="LPH71" s="1159" t="e">
        <f t="shared" si="136"/>
        <v>#DIV/0!</v>
      </c>
      <c r="LPI71" s="1159" t="e">
        <f t="shared" si="136"/>
        <v>#DIV/0!</v>
      </c>
      <c r="LPJ71" s="1159" t="e">
        <f t="shared" si="136"/>
        <v>#DIV/0!</v>
      </c>
      <c r="LPK71" s="1159" t="e">
        <f t="shared" si="136"/>
        <v>#DIV/0!</v>
      </c>
      <c r="LPL71" s="1159" t="e">
        <f t="shared" si="136"/>
        <v>#DIV/0!</v>
      </c>
      <c r="LPM71" s="1159" t="e">
        <f t="shared" si="136"/>
        <v>#DIV/0!</v>
      </c>
      <c r="LPN71" s="1159" t="e">
        <f t="shared" si="136"/>
        <v>#DIV/0!</v>
      </c>
      <c r="LPO71" s="1159" t="e">
        <f t="shared" si="136"/>
        <v>#DIV/0!</v>
      </c>
      <c r="LPP71" s="1159" t="e">
        <f t="shared" si="136"/>
        <v>#DIV/0!</v>
      </c>
      <c r="LPQ71" s="1159" t="e">
        <f t="shared" si="136"/>
        <v>#DIV/0!</v>
      </c>
      <c r="LPR71" s="1159" t="e">
        <f t="shared" si="136"/>
        <v>#DIV/0!</v>
      </c>
      <c r="LPS71" s="1159" t="e">
        <f t="shared" si="136"/>
        <v>#DIV/0!</v>
      </c>
      <c r="LPT71" s="1159" t="e">
        <f t="shared" si="136"/>
        <v>#DIV/0!</v>
      </c>
      <c r="LPU71" s="1159" t="e">
        <f t="shared" si="136"/>
        <v>#DIV/0!</v>
      </c>
      <c r="LPV71" s="1159" t="e">
        <f t="shared" si="136"/>
        <v>#DIV/0!</v>
      </c>
      <c r="LPW71" s="1159" t="e">
        <f t="shared" si="136"/>
        <v>#DIV/0!</v>
      </c>
      <c r="LPX71" s="1159" t="e">
        <f t="shared" si="136"/>
        <v>#DIV/0!</v>
      </c>
      <c r="LPY71" s="1159" t="e">
        <f t="shared" si="136"/>
        <v>#DIV/0!</v>
      </c>
      <c r="LPZ71" s="1159" t="e">
        <f t="shared" si="136"/>
        <v>#DIV/0!</v>
      </c>
      <c r="LQA71" s="1159" t="e">
        <f t="shared" si="136"/>
        <v>#DIV/0!</v>
      </c>
      <c r="LQB71" s="1159" t="e">
        <f t="shared" si="136"/>
        <v>#DIV/0!</v>
      </c>
      <c r="LQC71" s="1159" t="e">
        <f t="shared" si="136"/>
        <v>#DIV/0!</v>
      </c>
      <c r="LQD71" s="1159" t="e">
        <f t="shared" si="136"/>
        <v>#DIV/0!</v>
      </c>
      <c r="LQE71" s="1159" t="e">
        <f t="shared" si="136"/>
        <v>#DIV/0!</v>
      </c>
      <c r="LQF71" s="1159" t="e">
        <f t="shared" si="136"/>
        <v>#DIV/0!</v>
      </c>
      <c r="LQG71" s="1159" t="e">
        <f t="shared" si="136"/>
        <v>#DIV/0!</v>
      </c>
      <c r="LQH71" s="1159" t="e">
        <f t="shared" si="136"/>
        <v>#DIV/0!</v>
      </c>
      <c r="LQI71" s="1159" t="e">
        <f t="shared" si="136"/>
        <v>#DIV/0!</v>
      </c>
      <c r="LQJ71" s="1159" t="e">
        <f t="shared" si="136"/>
        <v>#DIV/0!</v>
      </c>
      <c r="LQK71" s="1159" t="e">
        <f t="shared" si="136"/>
        <v>#DIV/0!</v>
      </c>
      <c r="LQL71" s="1159" t="e">
        <f t="shared" si="136"/>
        <v>#DIV/0!</v>
      </c>
      <c r="LQM71" s="1159" t="e">
        <f t="shared" si="136"/>
        <v>#DIV/0!</v>
      </c>
      <c r="LQN71" s="1159" t="e">
        <f t="shared" si="136"/>
        <v>#DIV/0!</v>
      </c>
      <c r="LQO71" s="1159" t="e">
        <f t="shared" si="136"/>
        <v>#DIV/0!</v>
      </c>
      <c r="LQP71" s="1159" t="e">
        <f t="shared" si="136"/>
        <v>#DIV/0!</v>
      </c>
      <c r="LQQ71" s="1159" t="e">
        <f t="shared" si="136"/>
        <v>#DIV/0!</v>
      </c>
      <c r="LQR71" s="1159" t="e">
        <f t="shared" si="136"/>
        <v>#DIV/0!</v>
      </c>
      <c r="LQS71" s="1159" t="e">
        <f t="shared" si="136"/>
        <v>#DIV/0!</v>
      </c>
      <c r="LQT71" s="1159" t="e">
        <f t="shared" si="136"/>
        <v>#DIV/0!</v>
      </c>
      <c r="LQU71" s="1159" t="e">
        <f t="shared" si="136"/>
        <v>#DIV/0!</v>
      </c>
      <c r="LQV71" s="1159" t="e">
        <f t="shared" si="136"/>
        <v>#DIV/0!</v>
      </c>
      <c r="LQW71" s="1159" t="e">
        <f t="shared" si="136"/>
        <v>#DIV/0!</v>
      </c>
      <c r="LQX71" s="1159" t="e">
        <f t="shared" si="136"/>
        <v>#DIV/0!</v>
      </c>
      <c r="LQY71" s="1159" t="e">
        <f t="shared" si="136"/>
        <v>#DIV/0!</v>
      </c>
      <c r="LQZ71" s="1159" t="e">
        <f t="shared" si="136"/>
        <v>#DIV/0!</v>
      </c>
      <c r="LRA71" s="1159" t="e">
        <f t="shared" si="136"/>
        <v>#DIV/0!</v>
      </c>
      <c r="LRB71" s="1159" t="e">
        <f t="shared" ref="LRB71:LTM71" si="137">((LRB6+LRB12+LRB13+LRB14+LRB15)*860+LRB16*LRB55+LRB17*LRB56+LRB7*LRB49+LRB8*LRB50+LRB9*LRB51+LRB10*LRB52+LRB11*LRB53)/(SUM(LRB6:LRB17))</f>
        <v>#DIV/0!</v>
      </c>
      <c r="LRC71" s="1159" t="e">
        <f t="shared" si="137"/>
        <v>#DIV/0!</v>
      </c>
      <c r="LRD71" s="1159" t="e">
        <f t="shared" si="137"/>
        <v>#DIV/0!</v>
      </c>
      <c r="LRE71" s="1159" t="e">
        <f t="shared" si="137"/>
        <v>#DIV/0!</v>
      </c>
      <c r="LRF71" s="1159" t="e">
        <f t="shared" si="137"/>
        <v>#DIV/0!</v>
      </c>
      <c r="LRG71" s="1159" t="e">
        <f t="shared" si="137"/>
        <v>#DIV/0!</v>
      </c>
      <c r="LRH71" s="1159" t="e">
        <f t="shared" si="137"/>
        <v>#DIV/0!</v>
      </c>
      <c r="LRI71" s="1159" t="e">
        <f t="shared" si="137"/>
        <v>#DIV/0!</v>
      </c>
      <c r="LRJ71" s="1159" t="e">
        <f t="shared" si="137"/>
        <v>#DIV/0!</v>
      </c>
      <c r="LRK71" s="1159" t="e">
        <f t="shared" si="137"/>
        <v>#DIV/0!</v>
      </c>
      <c r="LRL71" s="1159" t="e">
        <f t="shared" si="137"/>
        <v>#DIV/0!</v>
      </c>
      <c r="LRM71" s="1159" t="e">
        <f t="shared" si="137"/>
        <v>#DIV/0!</v>
      </c>
      <c r="LRN71" s="1159" t="e">
        <f t="shared" si="137"/>
        <v>#DIV/0!</v>
      </c>
      <c r="LRO71" s="1159" t="e">
        <f t="shared" si="137"/>
        <v>#DIV/0!</v>
      </c>
      <c r="LRP71" s="1159" t="e">
        <f t="shared" si="137"/>
        <v>#DIV/0!</v>
      </c>
      <c r="LRQ71" s="1159" t="e">
        <f t="shared" si="137"/>
        <v>#DIV/0!</v>
      </c>
      <c r="LRR71" s="1159" t="e">
        <f t="shared" si="137"/>
        <v>#DIV/0!</v>
      </c>
      <c r="LRS71" s="1159" t="e">
        <f t="shared" si="137"/>
        <v>#DIV/0!</v>
      </c>
      <c r="LRT71" s="1159" t="e">
        <f t="shared" si="137"/>
        <v>#DIV/0!</v>
      </c>
      <c r="LRU71" s="1159" t="e">
        <f t="shared" si="137"/>
        <v>#DIV/0!</v>
      </c>
      <c r="LRV71" s="1159" t="e">
        <f t="shared" si="137"/>
        <v>#DIV/0!</v>
      </c>
      <c r="LRW71" s="1159" t="e">
        <f t="shared" si="137"/>
        <v>#DIV/0!</v>
      </c>
      <c r="LRX71" s="1159" t="e">
        <f t="shared" si="137"/>
        <v>#DIV/0!</v>
      </c>
      <c r="LRY71" s="1159" t="e">
        <f t="shared" si="137"/>
        <v>#DIV/0!</v>
      </c>
      <c r="LRZ71" s="1159" t="e">
        <f t="shared" si="137"/>
        <v>#DIV/0!</v>
      </c>
      <c r="LSA71" s="1159" t="e">
        <f t="shared" si="137"/>
        <v>#DIV/0!</v>
      </c>
      <c r="LSB71" s="1159" t="e">
        <f t="shared" si="137"/>
        <v>#DIV/0!</v>
      </c>
      <c r="LSC71" s="1159" t="e">
        <f t="shared" si="137"/>
        <v>#DIV/0!</v>
      </c>
      <c r="LSD71" s="1159" t="e">
        <f t="shared" si="137"/>
        <v>#DIV/0!</v>
      </c>
      <c r="LSE71" s="1159" t="e">
        <f t="shared" si="137"/>
        <v>#DIV/0!</v>
      </c>
      <c r="LSF71" s="1159" t="e">
        <f t="shared" si="137"/>
        <v>#DIV/0!</v>
      </c>
      <c r="LSG71" s="1159" t="e">
        <f t="shared" si="137"/>
        <v>#DIV/0!</v>
      </c>
      <c r="LSH71" s="1159" t="e">
        <f t="shared" si="137"/>
        <v>#DIV/0!</v>
      </c>
      <c r="LSI71" s="1159" t="e">
        <f t="shared" si="137"/>
        <v>#DIV/0!</v>
      </c>
      <c r="LSJ71" s="1159" t="e">
        <f t="shared" si="137"/>
        <v>#DIV/0!</v>
      </c>
      <c r="LSK71" s="1159" t="e">
        <f t="shared" si="137"/>
        <v>#DIV/0!</v>
      </c>
      <c r="LSL71" s="1159" t="e">
        <f t="shared" si="137"/>
        <v>#DIV/0!</v>
      </c>
      <c r="LSM71" s="1159" t="e">
        <f t="shared" si="137"/>
        <v>#DIV/0!</v>
      </c>
      <c r="LSN71" s="1159" t="e">
        <f t="shared" si="137"/>
        <v>#DIV/0!</v>
      </c>
      <c r="LSO71" s="1159" t="e">
        <f t="shared" si="137"/>
        <v>#DIV/0!</v>
      </c>
      <c r="LSP71" s="1159" t="e">
        <f t="shared" si="137"/>
        <v>#DIV/0!</v>
      </c>
      <c r="LSQ71" s="1159" t="e">
        <f t="shared" si="137"/>
        <v>#DIV/0!</v>
      </c>
      <c r="LSR71" s="1159" t="e">
        <f t="shared" si="137"/>
        <v>#DIV/0!</v>
      </c>
      <c r="LSS71" s="1159" t="e">
        <f t="shared" si="137"/>
        <v>#DIV/0!</v>
      </c>
      <c r="LST71" s="1159" t="e">
        <f t="shared" si="137"/>
        <v>#DIV/0!</v>
      </c>
      <c r="LSU71" s="1159" t="e">
        <f t="shared" si="137"/>
        <v>#DIV/0!</v>
      </c>
      <c r="LSV71" s="1159" t="e">
        <f t="shared" si="137"/>
        <v>#DIV/0!</v>
      </c>
      <c r="LSW71" s="1159" t="e">
        <f t="shared" si="137"/>
        <v>#DIV/0!</v>
      </c>
      <c r="LSX71" s="1159" t="e">
        <f t="shared" si="137"/>
        <v>#DIV/0!</v>
      </c>
      <c r="LSY71" s="1159" t="e">
        <f t="shared" si="137"/>
        <v>#DIV/0!</v>
      </c>
      <c r="LSZ71" s="1159" t="e">
        <f t="shared" si="137"/>
        <v>#DIV/0!</v>
      </c>
      <c r="LTA71" s="1159" t="e">
        <f t="shared" si="137"/>
        <v>#DIV/0!</v>
      </c>
      <c r="LTB71" s="1159" t="e">
        <f t="shared" si="137"/>
        <v>#DIV/0!</v>
      </c>
      <c r="LTC71" s="1159" t="e">
        <f t="shared" si="137"/>
        <v>#DIV/0!</v>
      </c>
      <c r="LTD71" s="1159" t="e">
        <f t="shared" si="137"/>
        <v>#DIV/0!</v>
      </c>
      <c r="LTE71" s="1159" t="e">
        <f t="shared" si="137"/>
        <v>#DIV/0!</v>
      </c>
      <c r="LTF71" s="1159" t="e">
        <f t="shared" si="137"/>
        <v>#DIV/0!</v>
      </c>
      <c r="LTG71" s="1159" t="e">
        <f t="shared" si="137"/>
        <v>#DIV/0!</v>
      </c>
      <c r="LTH71" s="1159" t="e">
        <f t="shared" si="137"/>
        <v>#DIV/0!</v>
      </c>
      <c r="LTI71" s="1159" t="e">
        <f t="shared" si="137"/>
        <v>#DIV/0!</v>
      </c>
      <c r="LTJ71" s="1159" t="e">
        <f t="shared" si="137"/>
        <v>#DIV/0!</v>
      </c>
      <c r="LTK71" s="1159" t="e">
        <f t="shared" si="137"/>
        <v>#DIV/0!</v>
      </c>
      <c r="LTL71" s="1159" t="e">
        <f t="shared" si="137"/>
        <v>#DIV/0!</v>
      </c>
      <c r="LTM71" s="1159" t="e">
        <f t="shared" si="137"/>
        <v>#DIV/0!</v>
      </c>
      <c r="LTN71" s="1159" t="e">
        <f t="shared" ref="LTN71:LVY71" si="138">((LTN6+LTN12+LTN13+LTN14+LTN15)*860+LTN16*LTN55+LTN17*LTN56+LTN7*LTN49+LTN8*LTN50+LTN9*LTN51+LTN10*LTN52+LTN11*LTN53)/(SUM(LTN6:LTN17))</f>
        <v>#DIV/0!</v>
      </c>
      <c r="LTO71" s="1159" t="e">
        <f t="shared" si="138"/>
        <v>#DIV/0!</v>
      </c>
      <c r="LTP71" s="1159" t="e">
        <f t="shared" si="138"/>
        <v>#DIV/0!</v>
      </c>
      <c r="LTQ71" s="1159" t="e">
        <f t="shared" si="138"/>
        <v>#DIV/0!</v>
      </c>
      <c r="LTR71" s="1159" t="e">
        <f t="shared" si="138"/>
        <v>#DIV/0!</v>
      </c>
      <c r="LTS71" s="1159" t="e">
        <f t="shared" si="138"/>
        <v>#DIV/0!</v>
      </c>
      <c r="LTT71" s="1159" t="e">
        <f t="shared" si="138"/>
        <v>#DIV/0!</v>
      </c>
      <c r="LTU71" s="1159" t="e">
        <f t="shared" si="138"/>
        <v>#DIV/0!</v>
      </c>
      <c r="LTV71" s="1159" t="e">
        <f t="shared" si="138"/>
        <v>#DIV/0!</v>
      </c>
      <c r="LTW71" s="1159" t="e">
        <f t="shared" si="138"/>
        <v>#DIV/0!</v>
      </c>
      <c r="LTX71" s="1159" t="e">
        <f t="shared" si="138"/>
        <v>#DIV/0!</v>
      </c>
      <c r="LTY71" s="1159" t="e">
        <f t="shared" si="138"/>
        <v>#DIV/0!</v>
      </c>
      <c r="LTZ71" s="1159" t="e">
        <f t="shared" si="138"/>
        <v>#DIV/0!</v>
      </c>
      <c r="LUA71" s="1159" t="e">
        <f t="shared" si="138"/>
        <v>#DIV/0!</v>
      </c>
      <c r="LUB71" s="1159" t="e">
        <f t="shared" si="138"/>
        <v>#DIV/0!</v>
      </c>
      <c r="LUC71" s="1159" t="e">
        <f t="shared" si="138"/>
        <v>#DIV/0!</v>
      </c>
      <c r="LUD71" s="1159" t="e">
        <f t="shared" si="138"/>
        <v>#DIV/0!</v>
      </c>
      <c r="LUE71" s="1159" t="e">
        <f t="shared" si="138"/>
        <v>#DIV/0!</v>
      </c>
      <c r="LUF71" s="1159" t="e">
        <f t="shared" si="138"/>
        <v>#DIV/0!</v>
      </c>
      <c r="LUG71" s="1159" t="e">
        <f t="shared" si="138"/>
        <v>#DIV/0!</v>
      </c>
      <c r="LUH71" s="1159" t="e">
        <f t="shared" si="138"/>
        <v>#DIV/0!</v>
      </c>
      <c r="LUI71" s="1159" t="e">
        <f t="shared" si="138"/>
        <v>#DIV/0!</v>
      </c>
      <c r="LUJ71" s="1159" t="e">
        <f t="shared" si="138"/>
        <v>#DIV/0!</v>
      </c>
      <c r="LUK71" s="1159" t="e">
        <f t="shared" si="138"/>
        <v>#DIV/0!</v>
      </c>
      <c r="LUL71" s="1159" t="e">
        <f t="shared" si="138"/>
        <v>#DIV/0!</v>
      </c>
      <c r="LUM71" s="1159" t="e">
        <f t="shared" si="138"/>
        <v>#DIV/0!</v>
      </c>
      <c r="LUN71" s="1159" t="e">
        <f t="shared" si="138"/>
        <v>#DIV/0!</v>
      </c>
      <c r="LUO71" s="1159" t="e">
        <f t="shared" si="138"/>
        <v>#DIV/0!</v>
      </c>
      <c r="LUP71" s="1159" t="e">
        <f t="shared" si="138"/>
        <v>#DIV/0!</v>
      </c>
      <c r="LUQ71" s="1159" t="e">
        <f t="shared" si="138"/>
        <v>#DIV/0!</v>
      </c>
      <c r="LUR71" s="1159" t="e">
        <f t="shared" si="138"/>
        <v>#DIV/0!</v>
      </c>
      <c r="LUS71" s="1159" t="e">
        <f t="shared" si="138"/>
        <v>#DIV/0!</v>
      </c>
      <c r="LUT71" s="1159" t="e">
        <f t="shared" si="138"/>
        <v>#DIV/0!</v>
      </c>
      <c r="LUU71" s="1159" t="e">
        <f t="shared" si="138"/>
        <v>#DIV/0!</v>
      </c>
      <c r="LUV71" s="1159" t="e">
        <f t="shared" si="138"/>
        <v>#DIV/0!</v>
      </c>
      <c r="LUW71" s="1159" t="e">
        <f t="shared" si="138"/>
        <v>#DIV/0!</v>
      </c>
      <c r="LUX71" s="1159" t="e">
        <f t="shared" si="138"/>
        <v>#DIV/0!</v>
      </c>
      <c r="LUY71" s="1159" t="e">
        <f t="shared" si="138"/>
        <v>#DIV/0!</v>
      </c>
      <c r="LUZ71" s="1159" t="e">
        <f t="shared" si="138"/>
        <v>#DIV/0!</v>
      </c>
      <c r="LVA71" s="1159" t="e">
        <f t="shared" si="138"/>
        <v>#DIV/0!</v>
      </c>
      <c r="LVB71" s="1159" t="e">
        <f t="shared" si="138"/>
        <v>#DIV/0!</v>
      </c>
      <c r="LVC71" s="1159" t="e">
        <f t="shared" si="138"/>
        <v>#DIV/0!</v>
      </c>
      <c r="LVD71" s="1159" t="e">
        <f t="shared" si="138"/>
        <v>#DIV/0!</v>
      </c>
      <c r="LVE71" s="1159" t="e">
        <f t="shared" si="138"/>
        <v>#DIV/0!</v>
      </c>
      <c r="LVF71" s="1159" t="e">
        <f t="shared" si="138"/>
        <v>#DIV/0!</v>
      </c>
      <c r="LVG71" s="1159" t="e">
        <f t="shared" si="138"/>
        <v>#DIV/0!</v>
      </c>
      <c r="LVH71" s="1159" t="e">
        <f t="shared" si="138"/>
        <v>#DIV/0!</v>
      </c>
      <c r="LVI71" s="1159" t="e">
        <f t="shared" si="138"/>
        <v>#DIV/0!</v>
      </c>
      <c r="LVJ71" s="1159" t="e">
        <f t="shared" si="138"/>
        <v>#DIV/0!</v>
      </c>
      <c r="LVK71" s="1159" t="e">
        <f t="shared" si="138"/>
        <v>#DIV/0!</v>
      </c>
      <c r="LVL71" s="1159" t="e">
        <f t="shared" si="138"/>
        <v>#DIV/0!</v>
      </c>
      <c r="LVM71" s="1159" t="e">
        <f t="shared" si="138"/>
        <v>#DIV/0!</v>
      </c>
      <c r="LVN71" s="1159" t="e">
        <f t="shared" si="138"/>
        <v>#DIV/0!</v>
      </c>
      <c r="LVO71" s="1159" t="e">
        <f t="shared" si="138"/>
        <v>#DIV/0!</v>
      </c>
      <c r="LVP71" s="1159" t="e">
        <f t="shared" si="138"/>
        <v>#DIV/0!</v>
      </c>
      <c r="LVQ71" s="1159" t="e">
        <f t="shared" si="138"/>
        <v>#DIV/0!</v>
      </c>
      <c r="LVR71" s="1159" t="e">
        <f t="shared" si="138"/>
        <v>#DIV/0!</v>
      </c>
      <c r="LVS71" s="1159" t="e">
        <f t="shared" si="138"/>
        <v>#DIV/0!</v>
      </c>
      <c r="LVT71" s="1159" t="e">
        <f t="shared" si="138"/>
        <v>#DIV/0!</v>
      </c>
      <c r="LVU71" s="1159" t="e">
        <f t="shared" si="138"/>
        <v>#DIV/0!</v>
      </c>
      <c r="LVV71" s="1159" t="e">
        <f t="shared" si="138"/>
        <v>#DIV/0!</v>
      </c>
      <c r="LVW71" s="1159" t="e">
        <f t="shared" si="138"/>
        <v>#DIV/0!</v>
      </c>
      <c r="LVX71" s="1159" t="e">
        <f t="shared" si="138"/>
        <v>#DIV/0!</v>
      </c>
      <c r="LVY71" s="1159" t="e">
        <f t="shared" si="138"/>
        <v>#DIV/0!</v>
      </c>
      <c r="LVZ71" s="1159" t="e">
        <f t="shared" ref="LVZ71:LYK71" si="139">((LVZ6+LVZ12+LVZ13+LVZ14+LVZ15)*860+LVZ16*LVZ55+LVZ17*LVZ56+LVZ7*LVZ49+LVZ8*LVZ50+LVZ9*LVZ51+LVZ10*LVZ52+LVZ11*LVZ53)/(SUM(LVZ6:LVZ17))</f>
        <v>#DIV/0!</v>
      </c>
      <c r="LWA71" s="1159" t="e">
        <f t="shared" si="139"/>
        <v>#DIV/0!</v>
      </c>
      <c r="LWB71" s="1159" t="e">
        <f t="shared" si="139"/>
        <v>#DIV/0!</v>
      </c>
      <c r="LWC71" s="1159" t="e">
        <f t="shared" si="139"/>
        <v>#DIV/0!</v>
      </c>
      <c r="LWD71" s="1159" t="e">
        <f t="shared" si="139"/>
        <v>#DIV/0!</v>
      </c>
      <c r="LWE71" s="1159" t="e">
        <f t="shared" si="139"/>
        <v>#DIV/0!</v>
      </c>
      <c r="LWF71" s="1159" t="e">
        <f t="shared" si="139"/>
        <v>#DIV/0!</v>
      </c>
      <c r="LWG71" s="1159" t="e">
        <f t="shared" si="139"/>
        <v>#DIV/0!</v>
      </c>
      <c r="LWH71" s="1159" t="e">
        <f t="shared" si="139"/>
        <v>#DIV/0!</v>
      </c>
      <c r="LWI71" s="1159" t="e">
        <f t="shared" si="139"/>
        <v>#DIV/0!</v>
      </c>
      <c r="LWJ71" s="1159" t="e">
        <f t="shared" si="139"/>
        <v>#DIV/0!</v>
      </c>
      <c r="LWK71" s="1159" t="e">
        <f t="shared" si="139"/>
        <v>#DIV/0!</v>
      </c>
      <c r="LWL71" s="1159" t="e">
        <f t="shared" si="139"/>
        <v>#DIV/0!</v>
      </c>
      <c r="LWM71" s="1159" t="e">
        <f t="shared" si="139"/>
        <v>#DIV/0!</v>
      </c>
      <c r="LWN71" s="1159" t="e">
        <f t="shared" si="139"/>
        <v>#DIV/0!</v>
      </c>
      <c r="LWO71" s="1159" t="e">
        <f t="shared" si="139"/>
        <v>#DIV/0!</v>
      </c>
      <c r="LWP71" s="1159" t="e">
        <f t="shared" si="139"/>
        <v>#DIV/0!</v>
      </c>
      <c r="LWQ71" s="1159" t="e">
        <f t="shared" si="139"/>
        <v>#DIV/0!</v>
      </c>
      <c r="LWR71" s="1159" t="e">
        <f t="shared" si="139"/>
        <v>#DIV/0!</v>
      </c>
      <c r="LWS71" s="1159" t="e">
        <f t="shared" si="139"/>
        <v>#DIV/0!</v>
      </c>
      <c r="LWT71" s="1159" t="e">
        <f t="shared" si="139"/>
        <v>#DIV/0!</v>
      </c>
      <c r="LWU71" s="1159" t="e">
        <f t="shared" si="139"/>
        <v>#DIV/0!</v>
      </c>
      <c r="LWV71" s="1159" t="e">
        <f t="shared" si="139"/>
        <v>#DIV/0!</v>
      </c>
      <c r="LWW71" s="1159" t="e">
        <f t="shared" si="139"/>
        <v>#DIV/0!</v>
      </c>
      <c r="LWX71" s="1159" t="e">
        <f t="shared" si="139"/>
        <v>#DIV/0!</v>
      </c>
      <c r="LWY71" s="1159" t="e">
        <f t="shared" si="139"/>
        <v>#DIV/0!</v>
      </c>
      <c r="LWZ71" s="1159" t="e">
        <f t="shared" si="139"/>
        <v>#DIV/0!</v>
      </c>
      <c r="LXA71" s="1159" t="e">
        <f t="shared" si="139"/>
        <v>#DIV/0!</v>
      </c>
      <c r="LXB71" s="1159" t="e">
        <f t="shared" si="139"/>
        <v>#DIV/0!</v>
      </c>
      <c r="LXC71" s="1159" t="e">
        <f t="shared" si="139"/>
        <v>#DIV/0!</v>
      </c>
      <c r="LXD71" s="1159" t="e">
        <f t="shared" si="139"/>
        <v>#DIV/0!</v>
      </c>
      <c r="LXE71" s="1159" t="e">
        <f t="shared" si="139"/>
        <v>#DIV/0!</v>
      </c>
      <c r="LXF71" s="1159" t="e">
        <f t="shared" si="139"/>
        <v>#DIV/0!</v>
      </c>
      <c r="LXG71" s="1159" t="e">
        <f t="shared" si="139"/>
        <v>#DIV/0!</v>
      </c>
      <c r="LXH71" s="1159" t="e">
        <f t="shared" si="139"/>
        <v>#DIV/0!</v>
      </c>
      <c r="LXI71" s="1159" t="e">
        <f t="shared" si="139"/>
        <v>#DIV/0!</v>
      </c>
      <c r="LXJ71" s="1159" t="e">
        <f t="shared" si="139"/>
        <v>#DIV/0!</v>
      </c>
      <c r="LXK71" s="1159" t="e">
        <f t="shared" si="139"/>
        <v>#DIV/0!</v>
      </c>
      <c r="LXL71" s="1159" t="e">
        <f t="shared" si="139"/>
        <v>#DIV/0!</v>
      </c>
      <c r="LXM71" s="1159" t="e">
        <f t="shared" si="139"/>
        <v>#DIV/0!</v>
      </c>
      <c r="LXN71" s="1159" t="e">
        <f t="shared" si="139"/>
        <v>#DIV/0!</v>
      </c>
      <c r="LXO71" s="1159" t="e">
        <f t="shared" si="139"/>
        <v>#DIV/0!</v>
      </c>
      <c r="LXP71" s="1159" t="e">
        <f t="shared" si="139"/>
        <v>#DIV/0!</v>
      </c>
      <c r="LXQ71" s="1159" t="e">
        <f t="shared" si="139"/>
        <v>#DIV/0!</v>
      </c>
      <c r="LXR71" s="1159" t="e">
        <f t="shared" si="139"/>
        <v>#DIV/0!</v>
      </c>
      <c r="LXS71" s="1159" t="e">
        <f t="shared" si="139"/>
        <v>#DIV/0!</v>
      </c>
      <c r="LXT71" s="1159" t="e">
        <f t="shared" si="139"/>
        <v>#DIV/0!</v>
      </c>
      <c r="LXU71" s="1159" t="e">
        <f t="shared" si="139"/>
        <v>#DIV/0!</v>
      </c>
      <c r="LXV71" s="1159" t="e">
        <f t="shared" si="139"/>
        <v>#DIV/0!</v>
      </c>
      <c r="LXW71" s="1159" t="e">
        <f t="shared" si="139"/>
        <v>#DIV/0!</v>
      </c>
      <c r="LXX71" s="1159" t="e">
        <f t="shared" si="139"/>
        <v>#DIV/0!</v>
      </c>
      <c r="LXY71" s="1159" t="e">
        <f t="shared" si="139"/>
        <v>#DIV/0!</v>
      </c>
      <c r="LXZ71" s="1159" t="e">
        <f t="shared" si="139"/>
        <v>#DIV/0!</v>
      </c>
      <c r="LYA71" s="1159" t="e">
        <f t="shared" si="139"/>
        <v>#DIV/0!</v>
      </c>
      <c r="LYB71" s="1159" t="e">
        <f t="shared" si="139"/>
        <v>#DIV/0!</v>
      </c>
      <c r="LYC71" s="1159" t="e">
        <f t="shared" si="139"/>
        <v>#DIV/0!</v>
      </c>
      <c r="LYD71" s="1159" t="e">
        <f t="shared" si="139"/>
        <v>#DIV/0!</v>
      </c>
      <c r="LYE71" s="1159" t="e">
        <f t="shared" si="139"/>
        <v>#DIV/0!</v>
      </c>
      <c r="LYF71" s="1159" t="e">
        <f t="shared" si="139"/>
        <v>#DIV/0!</v>
      </c>
      <c r="LYG71" s="1159" t="e">
        <f t="shared" si="139"/>
        <v>#DIV/0!</v>
      </c>
      <c r="LYH71" s="1159" t="e">
        <f t="shared" si="139"/>
        <v>#DIV/0!</v>
      </c>
      <c r="LYI71" s="1159" t="e">
        <f t="shared" si="139"/>
        <v>#DIV/0!</v>
      </c>
      <c r="LYJ71" s="1159" t="e">
        <f t="shared" si="139"/>
        <v>#DIV/0!</v>
      </c>
      <c r="LYK71" s="1159" t="e">
        <f t="shared" si="139"/>
        <v>#DIV/0!</v>
      </c>
      <c r="LYL71" s="1159" t="e">
        <f t="shared" ref="LYL71:MAW71" si="140">((LYL6+LYL12+LYL13+LYL14+LYL15)*860+LYL16*LYL55+LYL17*LYL56+LYL7*LYL49+LYL8*LYL50+LYL9*LYL51+LYL10*LYL52+LYL11*LYL53)/(SUM(LYL6:LYL17))</f>
        <v>#DIV/0!</v>
      </c>
      <c r="LYM71" s="1159" t="e">
        <f t="shared" si="140"/>
        <v>#DIV/0!</v>
      </c>
      <c r="LYN71" s="1159" t="e">
        <f t="shared" si="140"/>
        <v>#DIV/0!</v>
      </c>
      <c r="LYO71" s="1159" t="e">
        <f t="shared" si="140"/>
        <v>#DIV/0!</v>
      </c>
      <c r="LYP71" s="1159" t="e">
        <f t="shared" si="140"/>
        <v>#DIV/0!</v>
      </c>
      <c r="LYQ71" s="1159" t="e">
        <f t="shared" si="140"/>
        <v>#DIV/0!</v>
      </c>
      <c r="LYR71" s="1159" t="e">
        <f t="shared" si="140"/>
        <v>#DIV/0!</v>
      </c>
      <c r="LYS71" s="1159" t="e">
        <f t="shared" si="140"/>
        <v>#DIV/0!</v>
      </c>
      <c r="LYT71" s="1159" t="e">
        <f t="shared" si="140"/>
        <v>#DIV/0!</v>
      </c>
      <c r="LYU71" s="1159" t="e">
        <f t="shared" si="140"/>
        <v>#DIV/0!</v>
      </c>
      <c r="LYV71" s="1159" t="e">
        <f t="shared" si="140"/>
        <v>#DIV/0!</v>
      </c>
      <c r="LYW71" s="1159" t="e">
        <f t="shared" si="140"/>
        <v>#DIV/0!</v>
      </c>
      <c r="LYX71" s="1159" t="e">
        <f t="shared" si="140"/>
        <v>#DIV/0!</v>
      </c>
      <c r="LYY71" s="1159" t="e">
        <f t="shared" si="140"/>
        <v>#DIV/0!</v>
      </c>
      <c r="LYZ71" s="1159" t="e">
        <f t="shared" si="140"/>
        <v>#DIV/0!</v>
      </c>
      <c r="LZA71" s="1159" t="e">
        <f t="shared" si="140"/>
        <v>#DIV/0!</v>
      </c>
      <c r="LZB71" s="1159" t="e">
        <f t="shared" si="140"/>
        <v>#DIV/0!</v>
      </c>
      <c r="LZC71" s="1159" t="e">
        <f t="shared" si="140"/>
        <v>#DIV/0!</v>
      </c>
      <c r="LZD71" s="1159" t="e">
        <f t="shared" si="140"/>
        <v>#DIV/0!</v>
      </c>
      <c r="LZE71" s="1159" t="e">
        <f t="shared" si="140"/>
        <v>#DIV/0!</v>
      </c>
      <c r="LZF71" s="1159" t="e">
        <f t="shared" si="140"/>
        <v>#DIV/0!</v>
      </c>
      <c r="LZG71" s="1159" t="e">
        <f t="shared" si="140"/>
        <v>#DIV/0!</v>
      </c>
      <c r="LZH71" s="1159" t="e">
        <f t="shared" si="140"/>
        <v>#DIV/0!</v>
      </c>
      <c r="LZI71" s="1159" t="e">
        <f t="shared" si="140"/>
        <v>#DIV/0!</v>
      </c>
      <c r="LZJ71" s="1159" t="e">
        <f t="shared" si="140"/>
        <v>#DIV/0!</v>
      </c>
      <c r="LZK71" s="1159" t="e">
        <f t="shared" si="140"/>
        <v>#DIV/0!</v>
      </c>
      <c r="LZL71" s="1159" t="e">
        <f t="shared" si="140"/>
        <v>#DIV/0!</v>
      </c>
      <c r="LZM71" s="1159" t="e">
        <f t="shared" si="140"/>
        <v>#DIV/0!</v>
      </c>
      <c r="LZN71" s="1159" t="e">
        <f t="shared" si="140"/>
        <v>#DIV/0!</v>
      </c>
      <c r="LZO71" s="1159" t="e">
        <f t="shared" si="140"/>
        <v>#DIV/0!</v>
      </c>
      <c r="LZP71" s="1159" t="e">
        <f t="shared" si="140"/>
        <v>#DIV/0!</v>
      </c>
      <c r="LZQ71" s="1159" t="e">
        <f t="shared" si="140"/>
        <v>#DIV/0!</v>
      </c>
      <c r="LZR71" s="1159" t="e">
        <f t="shared" si="140"/>
        <v>#DIV/0!</v>
      </c>
      <c r="LZS71" s="1159" t="e">
        <f t="shared" si="140"/>
        <v>#DIV/0!</v>
      </c>
      <c r="LZT71" s="1159" t="e">
        <f t="shared" si="140"/>
        <v>#DIV/0!</v>
      </c>
      <c r="LZU71" s="1159" t="e">
        <f t="shared" si="140"/>
        <v>#DIV/0!</v>
      </c>
      <c r="LZV71" s="1159" t="e">
        <f t="shared" si="140"/>
        <v>#DIV/0!</v>
      </c>
      <c r="LZW71" s="1159" t="e">
        <f t="shared" si="140"/>
        <v>#DIV/0!</v>
      </c>
      <c r="LZX71" s="1159" t="e">
        <f t="shared" si="140"/>
        <v>#DIV/0!</v>
      </c>
      <c r="LZY71" s="1159" t="e">
        <f t="shared" si="140"/>
        <v>#DIV/0!</v>
      </c>
      <c r="LZZ71" s="1159" t="e">
        <f t="shared" si="140"/>
        <v>#DIV/0!</v>
      </c>
      <c r="MAA71" s="1159" t="e">
        <f t="shared" si="140"/>
        <v>#DIV/0!</v>
      </c>
      <c r="MAB71" s="1159" t="e">
        <f t="shared" si="140"/>
        <v>#DIV/0!</v>
      </c>
      <c r="MAC71" s="1159" t="e">
        <f t="shared" si="140"/>
        <v>#DIV/0!</v>
      </c>
      <c r="MAD71" s="1159" t="e">
        <f t="shared" si="140"/>
        <v>#DIV/0!</v>
      </c>
      <c r="MAE71" s="1159" t="e">
        <f t="shared" si="140"/>
        <v>#DIV/0!</v>
      </c>
      <c r="MAF71" s="1159" t="e">
        <f t="shared" si="140"/>
        <v>#DIV/0!</v>
      </c>
      <c r="MAG71" s="1159" t="e">
        <f t="shared" si="140"/>
        <v>#DIV/0!</v>
      </c>
      <c r="MAH71" s="1159" t="e">
        <f t="shared" si="140"/>
        <v>#DIV/0!</v>
      </c>
      <c r="MAI71" s="1159" t="e">
        <f t="shared" si="140"/>
        <v>#DIV/0!</v>
      </c>
      <c r="MAJ71" s="1159" t="e">
        <f t="shared" si="140"/>
        <v>#DIV/0!</v>
      </c>
      <c r="MAK71" s="1159" t="e">
        <f t="shared" si="140"/>
        <v>#DIV/0!</v>
      </c>
      <c r="MAL71" s="1159" t="e">
        <f t="shared" si="140"/>
        <v>#DIV/0!</v>
      </c>
      <c r="MAM71" s="1159" t="e">
        <f t="shared" si="140"/>
        <v>#DIV/0!</v>
      </c>
      <c r="MAN71" s="1159" t="e">
        <f t="shared" si="140"/>
        <v>#DIV/0!</v>
      </c>
      <c r="MAO71" s="1159" t="e">
        <f t="shared" si="140"/>
        <v>#DIV/0!</v>
      </c>
      <c r="MAP71" s="1159" t="e">
        <f t="shared" si="140"/>
        <v>#DIV/0!</v>
      </c>
      <c r="MAQ71" s="1159" t="e">
        <f t="shared" si="140"/>
        <v>#DIV/0!</v>
      </c>
      <c r="MAR71" s="1159" t="e">
        <f t="shared" si="140"/>
        <v>#DIV/0!</v>
      </c>
      <c r="MAS71" s="1159" t="e">
        <f t="shared" si="140"/>
        <v>#DIV/0!</v>
      </c>
      <c r="MAT71" s="1159" t="e">
        <f t="shared" si="140"/>
        <v>#DIV/0!</v>
      </c>
      <c r="MAU71" s="1159" t="e">
        <f t="shared" si="140"/>
        <v>#DIV/0!</v>
      </c>
      <c r="MAV71" s="1159" t="e">
        <f t="shared" si="140"/>
        <v>#DIV/0!</v>
      </c>
      <c r="MAW71" s="1159" t="e">
        <f t="shared" si="140"/>
        <v>#DIV/0!</v>
      </c>
      <c r="MAX71" s="1159" t="e">
        <f t="shared" ref="MAX71:MDI71" si="141">((MAX6+MAX12+MAX13+MAX14+MAX15)*860+MAX16*MAX55+MAX17*MAX56+MAX7*MAX49+MAX8*MAX50+MAX9*MAX51+MAX10*MAX52+MAX11*MAX53)/(SUM(MAX6:MAX17))</f>
        <v>#DIV/0!</v>
      </c>
      <c r="MAY71" s="1159" t="e">
        <f t="shared" si="141"/>
        <v>#DIV/0!</v>
      </c>
      <c r="MAZ71" s="1159" t="e">
        <f t="shared" si="141"/>
        <v>#DIV/0!</v>
      </c>
      <c r="MBA71" s="1159" t="e">
        <f t="shared" si="141"/>
        <v>#DIV/0!</v>
      </c>
      <c r="MBB71" s="1159" t="e">
        <f t="shared" si="141"/>
        <v>#DIV/0!</v>
      </c>
      <c r="MBC71" s="1159" t="e">
        <f t="shared" si="141"/>
        <v>#DIV/0!</v>
      </c>
      <c r="MBD71" s="1159" t="e">
        <f t="shared" si="141"/>
        <v>#DIV/0!</v>
      </c>
      <c r="MBE71" s="1159" t="e">
        <f t="shared" si="141"/>
        <v>#DIV/0!</v>
      </c>
      <c r="MBF71" s="1159" t="e">
        <f t="shared" si="141"/>
        <v>#DIV/0!</v>
      </c>
      <c r="MBG71" s="1159" t="e">
        <f t="shared" si="141"/>
        <v>#DIV/0!</v>
      </c>
      <c r="MBH71" s="1159" t="e">
        <f t="shared" si="141"/>
        <v>#DIV/0!</v>
      </c>
      <c r="MBI71" s="1159" t="e">
        <f t="shared" si="141"/>
        <v>#DIV/0!</v>
      </c>
      <c r="MBJ71" s="1159" t="e">
        <f t="shared" si="141"/>
        <v>#DIV/0!</v>
      </c>
      <c r="MBK71" s="1159" t="e">
        <f t="shared" si="141"/>
        <v>#DIV/0!</v>
      </c>
      <c r="MBL71" s="1159" t="e">
        <f t="shared" si="141"/>
        <v>#DIV/0!</v>
      </c>
      <c r="MBM71" s="1159" t="e">
        <f t="shared" si="141"/>
        <v>#DIV/0!</v>
      </c>
      <c r="MBN71" s="1159" t="e">
        <f t="shared" si="141"/>
        <v>#DIV/0!</v>
      </c>
      <c r="MBO71" s="1159" t="e">
        <f t="shared" si="141"/>
        <v>#DIV/0!</v>
      </c>
      <c r="MBP71" s="1159" t="e">
        <f t="shared" si="141"/>
        <v>#DIV/0!</v>
      </c>
      <c r="MBQ71" s="1159" t="e">
        <f t="shared" si="141"/>
        <v>#DIV/0!</v>
      </c>
      <c r="MBR71" s="1159" t="e">
        <f t="shared" si="141"/>
        <v>#DIV/0!</v>
      </c>
      <c r="MBS71" s="1159" t="e">
        <f t="shared" si="141"/>
        <v>#DIV/0!</v>
      </c>
      <c r="MBT71" s="1159" t="e">
        <f t="shared" si="141"/>
        <v>#DIV/0!</v>
      </c>
      <c r="MBU71" s="1159" t="e">
        <f t="shared" si="141"/>
        <v>#DIV/0!</v>
      </c>
      <c r="MBV71" s="1159" t="e">
        <f t="shared" si="141"/>
        <v>#DIV/0!</v>
      </c>
      <c r="MBW71" s="1159" t="e">
        <f t="shared" si="141"/>
        <v>#DIV/0!</v>
      </c>
      <c r="MBX71" s="1159" t="e">
        <f t="shared" si="141"/>
        <v>#DIV/0!</v>
      </c>
      <c r="MBY71" s="1159" t="e">
        <f t="shared" si="141"/>
        <v>#DIV/0!</v>
      </c>
      <c r="MBZ71" s="1159" t="e">
        <f t="shared" si="141"/>
        <v>#DIV/0!</v>
      </c>
      <c r="MCA71" s="1159" t="e">
        <f t="shared" si="141"/>
        <v>#DIV/0!</v>
      </c>
      <c r="MCB71" s="1159" t="e">
        <f t="shared" si="141"/>
        <v>#DIV/0!</v>
      </c>
      <c r="MCC71" s="1159" t="e">
        <f t="shared" si="141"/>
        <v>#DIV/0!</v>
      </c>
      <c r="MCD71" s="1159" t="e">
        <f t="shared" si="141"/>
        <v>#DIV/0!</v>
      </c>
      <c r="MCE71" s="1159" t="e">
        <f t="shared" si="141"/>
        <v>#DIV/0!</v>
      </c>
      <c r="MCF71" s="1159" t="e">
        <f t="shared" si="141"/>
        <v>#DIV/0!</v>
      </c>
      <c r="MCG71" s="1159" t="e">
        <f t="shared" si="141"/>
        <v>#DIV/0!</v>
      </c>
      <c r="MCH71" s="1159" t="e">
        <f t="shared" si="141"/>
        <v>#DIV/0!</v>
      </c>
      <c r="MCI71" s="1159" t="e">
        <f t="shared" si="141"/>
        <v>#DIV/0!</v>
      </c>
      <c r="MCJ71" s="1159" t="e">
        <f t="shared" si="141"/>
        <v>#DIV/0!</v>
      </c>
      <c r="MCK71" s="1159" t="e">
        <f t="shared" si="141"/>
        <v>#DIV/0!</v>
      </c>
      <c r="MCL71" s="1159" t="e">
        <f t="shared" si="141"/>
        <v>#DIV/0!</v>
      </c>
      <c r="MCM71" s="1159" t="e">
        <f t="shared" si="141"/>
        <v>#DIV/0!</v>
      </c>
      <c r="MCN71" s="1159" t="e">
        <f t="shared" si="141"/>
        <v>#DIV/0!</v>
      </c>
      <c r="MCO71" s="1159" t="e">
        <f t="shared" si="141"/>
        <v>#DIV/0!</v>
      </c>
      <c r="MCP71" s="1159" t="e">
        <f t="shared" si="141"/>
        <v>#DIV/0!</v>
      </c>
      <c r="MCQ71" s="1159" t="e">
        <f t="shared" si="141"/>
        <v>#DIV/0!</v>
      </c>
      <c r="MCR71" s="1159" t="e">
        <f t="shared" si="141"/>
        <v>#DIV/0!</v>
      </c>
      <c r="MCS71" s="1159" t="e">
        <f t="shared" si="141"/>
        <v>#DIV/0!</v>
      </c>
      <c r="MCT71" s="1159" t="e">
        <f t="shared" si="141"/>
        <v>#DIV/0!</v>
      </c>
      <c r="MCU71" s="1159" t="e">
        <f t="shared" si="141"/>
        <v>#DIV/0!</v>
      </c>
      <c r="MCV71" s="1159" t="e">
        <f t="shared" si="141"/>
        <v>#DIV/0!</v>
      </c>
      <c r="MCW71" s="1159" t="e">
        <f t="shared" si="141"/>
        <v>#DIV/0!</v>
      </c>
      <c r="MCX71" s="1159" t="e">
        <f t="shared" si="141"/>
        <v>#DIV/0!</v>
      </c>
      <c r="MCY71" s="1159" t="e">
        <f t="shared" si="141"/>
        <v>#DIV/0!</v>
      </c>
      <c r="MCZ71" s="1159" t="e">
        <f t="shared" si="141"/>
        <v>#DIV/0!</v>
      </c>
      <c r="MDA71" s="1159" t="e">
        <f t="shared" si="141"/>
        <v>#DIV/0!</v>
      </c>
      <c r="MDB71" s="1159" t="e">
        <f t="shared" si="141"/>
        <v>#DIV/0!</v>
      </c>
      <c r="MDC71" s="1159" t="e">
        <f t="shared" si="141"/>
        <v>#DIV/0!</v>
      </c>
      <c r="MDD71" s="1159" t="e">
        <f t="shared" si="141"/>
        <v>#DIV/0!</v>
      </c>
      <c r="MDE71" s="1159" t="e">
        <f t="shared" si="141"/>
        <v>#DIV/0!</v>
      </c>
      <c r="MDF71" s="1159" t="e">
        <f t="shared" si="141"/>
        <v>#DIV/0!</v>
      </c>
      <c r="MDG71" s="1159" t="e">
        <f t="shared" si="141"/>
        <v>#DIV/0!</v>
      </c>
      <c r="MDH71" s="1159" t="e">
        <f t="shared" si="141"/>
        <v>#DIV/0!</v>
      </c>
      <c r="MDI71" s="1159" t="e">
        <f t="shared" si="141"/>
        <v>#DIV/0!</v>
      </c>
      <c r="MDJ71" s="1159" t="e">
        <f t="shared" ref="MDJ71:MFU71" si="142">((MDJ6+MDJ12+MDJ13+MDJ14+MDJ15)*860+MDJ16*MDJ55+MDJ17*MDJ56+MDJ7*MDJ49+MDJ8*MDJ50+MDJ9*MDJ51+MDJ10*MDJ52+MDJ11*MDJ53)/(SUM(MDJ6:MDJ17))</f>
        <v>#DIV/0!</v>
      </c>
      <c r="MDK71" s="1159" t="e">
        <f t="shared" si="142"/>
        <v>#DIV/0!</v>
      </c>
      <c r="MDL71" s="1159" t="e">
        <f t="shared" si="142"/>
        <v>#DIV/0!</v>
      </c>
      <c r="MDM71" s="1159" t="e">
        <f t="shared" si="142"/>
        <v>#DIV/0!</v>
      </c>
      <c r="MDN71" s="1159" t="e">
        <f t="shared" si="142"/>
        <v>#DIV/0!</v>
      </c>
      <c r="MDO71" s="1159" t="e">
        <f t="shared" si="142"/>
        <v>#DIV/0!</v>
      </c>
      <c r="MDP71" s="1159" t="e">
        <f t="shared" si="142"/>
        <v>#DIV/0!</v>
      </c>
      <c r="MDQ71" s="1159" t="e">
        <f t="shared" si="142"/>
        <v>#DIV/0!</v>
      </c>
      <c r="MDR71" s="1159" t="e">
        <f t="shared" si="142"/>
        <v>#DIV/0!</v>
      </c>
      <c r="MDS71" s="1159" t="e">
        <f t="shared" si="142"/>
        <v>#DIV/0!</v>
      </c>
      <c r="MDT71" s="1159" t="e">
        <f t="shared" si="142"/>
        <v>#DIV/0!</v>
      </c>
      <c r="MDU71" s="1159" t="e">
        <f t="shared" si="142"/>
        <v>#DIV/0!</v>
      </c>
      <c r="MDV71" s="1159" t="e">
        <f t="shared" si="142"/>
        <v>#DIV/0!</v>
      </c>
      <c r="MDW71" s="1159" t="e">
        <f t="shared" si="142"/>
        <v>#DIV/0!</v>
      </c>
      <c r="MDX71" s="1159" t="e">
        <f t="shared" si="142"/>
        <v>#DIV/0!</v>
      </c>
      <c r="MDY71" s="1159" t="e">
        <f t="shared" si="142"/>
        <v>#DIV/0!</v>
      </c>
      <c r="MDZ71" s="1159" t="e">
        <f t="shared" si="142"/>
        <v>#DIV/0!</v>
      </c>
      <c r="MEA71" s="1159" t="e">
        <f t="shared" si="142"/>
        <v>#DIV/0!</v>
      </c>
      <c r="MEB71" s="1159" t="e">
        <f t="shared" si="142"/>
        <v>#DIV/0!</v>
      </c>
      <c r="MEC71" s="1159" t="e">
        <f t="shared" si="142"/>
        <v>#DIV/0!</v>
      </c>
      <c r="MED71" s="1159" t="e">
        <f t="shared" si="142"/>
        <v>#DIV/0!</v>
      </c>
      <c r="MEE71" s="1159" t="e">
        <f t="shared" si="142"/>
        <v>#DIV/0!</v>
      </c>
      <c r="MEF71" s="1159" t="e">
        <f t="shared" si="142"/>
        <v>#DIV/0!</v>
      </c>
      <c r="MEG71" s="1159" t="e">
        <f t="shared" si="142"/>
        <v>#DIV/0!</v>
      </c>
      <c r="MEH71" s="1159" t="e">
        <f t="shared" si="142"/>
        <v>#DIV/0!</v>
      </c>
      <c r="MEI71" s="1159" t="e">
        <f t="shared" si="142"/>
        <v>#DIV/0!</v>
      </c>
      <c r="MEJ71" s="1159" t="e">
        <f t="shared" si="142"/>
        <v>#DIV/0!</v>
      </c>
      <c r="MEK71" s="1159" t="e">
        <f t="shared" si="142"/>
        <v>#DIV/0!</v>
      </c>
      <c r="MEL71" s="1159" t="e">
        <f t="shared" si="142"/>
        <v>#DIV/0!</v>
      </c>
      <c r="MEM71" s="1159" t="e">
        <f t="shared" si="142"/>
        <v>#DIV/0!</v>
      </c>
      <c r="MEN71" s="1159" t="e">
        <f t="shared" si="142"/>
        <v>#DIV/0!</v>
      </c>
      <c r="MEO71" s="1159" t="e">
        <f t="shared" si="142"/>
        <v>#DIV/0!</v>
      </c>
      <c r="MEP71" s="1159" t="e">
        <f t="shared" si="142"/>
        <v>#DIV/0!</v>
      </c>
      <c r="MEQ71" s="1159" t="e">
        <f t="shared" si="142"/>
        <v>#DIV/0!</v>
      </c>
      <c r="MER71" s="1159" t="e">
        <f t="shared" si="142"/>
        <v>#DIV/0!</v>
      </c>
      <c r="MES71" s="1159" t="e">
        <f t="shared" si="142"/>
        <v>#DIV/0!</v>
      </c>
      <c r="MET71" s="1159" t="e">
        <f t="shared" si="142"/>
        <v>#DIV/0!</v>
      </c>
      <c r="MEU71" s="1159" t="e">
        <f t="shared" si="142"/>
        <v>#DIV/0!</v>
      </c>
      <c r="MEV71" s="1159" t="e">
        <f t="shared" si="142"/>
        <v>#DIV/0!</v>
      </c>
      <c r="MEW71" s="1159" t="e">
        <f t="shared" si="142"/>
        <v>#DIV/0!</v>
      </c>
      <c r="MEX71" s="1159" t="e">
        <f t="shared" si="142"/>
        <v>#DIV/0!</v>
      </c>
      <c r="MEY71" s="1159" t="e">
        <f t="shared" si="142"/>
        <v>#DIV/0!</v>
      </c>
      <c r="MEZ71" s="1159" t="e">
        <f t="shared" si="142"/>
        <v>#DIV/0!</v>
      </c>
      <c r="MFA71" s="1159" t="e">
        <f t="shared" si="142"/>
        <v>#DIV/0!</v>
      </c>
      <c r="MFB71" s="1159" t="e">
        <f t="shared" si="142"/>
        <v>#DIV/0!</v>
      </c>
      <c r="MFC71" s="1159" t="e">
        <f t="shared" si="142"/>
        <v>#DIV/0!</v>
      </c>
      <c r="MFD71" s="1159" t="e">
        <f t="shared" si="142"/>
        <v>#DIV/0!</v>
      </c>
      <c r="MFE71" s="1159" t="e">
        <f t="shared" si="142"/>
        <v>#DIV/0!</v>
      </c>
      <c r="MFF71" s="1159" t="e">
        <f t="shared" si="142"/>
        <v>#DIV/0!</v>
      </c>
      <c r="MFG71" s="1159" t="e">
        <f t="shared" si="142"/>
        <v>#DIV/0!</v>
      </c>
      <c r="MFH71" s="1159" t="e">
        <f t="shared" si="142"/>
        <v>#DIV/0!</v>
      </c>
      <c r="MFI71" s="1159" t="e">
        <f t="shared" si="142"/>
        <v>#DIV/0!</v>
      </c>
      <c r="MFJ71" s="1159" t="e">
        <f t="shared" si="142"/>
        <v>#DIV/0!</v>
      </c>
      <c r="MFK71" s="1159" t="e">
        <f t="shared" si="142"/>
        <v>#DIV/0!</v>
      </c>
      <c r="MFL71" s="1159" t="e">
        <f t="shared" si="142"/>
        <v>#DIV/0!</v>
      </c>
      <c r="MFM71" s="1159" t="e">
        <f t="shared" si="142"/>
        <v>#DIV/0!</v>
      </c>
      <c r="MFN71" s="1159" t="e">
        <f t="shared" si="142"/>
        <v>#DIV/0!</v>
      </c>
      <c r="MFO71" s="1159" t="e">
        <f t="shared" si="142"/>
        <v>#DIV/0!</v>
      </c>
      <c r="MFP71" s="1159" t="e">
        <f t="shared" si="142"/>
        <v>#DIV/0!</v>
      </c>
      <c r="MFQ71" s="1159" t="e">
        <f t="shared" si="142"/>
        <v>#DIV/0!</v>
      </c>
      <c r="MFR71" s="1159" t="e">
        <f t="shared" si="142"/>
        <v>#DIV/0!</v>
      </c>
      <c r="MFS71" s="1159" t="e">
        <f t="shared" si="142"/>
        <v>#DIV/0!</v>
      </c>
      <c r="MFT71" s="1159" t="e">
        <f t="shared" si="142"/>
        <v>#DIV/0!</v>
      </c>
      <c r="MFU71" s="1159" t="e">
        <f t="shared" si="142"/>
        <v>#DIV/0!</v>
      </c>
      <c r="MFV71" s="1159" t="e">
        <f t="shared" ref="MFV71:MIG71" si="143">((MFV6+MFV12+MFV13+MFV14+MFV15)*860+MFV16*MFV55+MFV17*MFV56+MFV7*MFV49+MFV8*MFV50+MFV9*MFV51+MFV10*MFV52+MFV11*MFV53)/(SUM(MFV6:MFV17))</f>
        <v>#DIV/0!</v>
      </c>
      <c r="MFW71" s="1159" t="e">
        <f t="shared" si="143"/>
        <v>#DIV/0!</v>
      </c>
      <c r="MFX71" s="1159" t="e">
        <f t="shared" si="143"/>
        <v>#DIV/0!</v>
      </c>
      <c r="MFY71" s="1159" t="e">
        <f t="shared" si="143"/>
        <v>#DIV/0!</v>
      </c>
      <c r="MFZ71" s="1159" t="e">
        <f t="shared" si="143"/>
        <v>#DIV/0!</v>
      </c>
      <c r="MGA71" s="1159" t="e">
        <f t="shared" si="143"/>
        <v>#DIV/0!</v>
      </c>
      <c r="MGB71" s="1159" t="e">
        <f t="shared" si="143"/>
        <v>#DIV/0!</v>
      </c>
      <c r="MGC71" s="1159" t="e">
        <f t="shared" si="143"/>
        <v>#DIV/0!</v>
      </c>
      <c r="MGD71" s="1159" t="e">
        <f t="shared" si="143"/>
        <v>#DIV/0!</v>
      </c>
      <c r="MGE71" s="1159" t="e">
        <f t="shared" si="143"/>
        <v>#DIV/0!</v>
      </c>
      <c r="MGF71" s="1159" t="e">
        <f t="shared" si="143"/>
        <v>#DIV/0!</v>
      </c>
      <c r="MGG71" s="1159" t="e">
        <f t="shared" si="143"/>
        <v>#DIV/0!</v>
      </c>
      <c r="MGH71" s="1159" t="e">
        <f t="shared" si="143"/>
        <v>#DIV/0!</v>
      </c>
      <c r="MGI71" s="1159" t="e">
        <f t="shared" si="143"/>
        <v>#DIV/0!</v>
      </c>
      <c r="MGJ71" s="1159" t="e">
        <f t="shared" si="143"/>
        <v>#DIV/0!</v>
      </c>
      <c r="MGK71" s="1159" t="e">
        <f t="shared" si="143"/>
        <v>#DIV/0!</v>
      </c>
      <c r="MGL71" s="1159" t="e">
        <f t="shared" si="143"/>
        <v>#DIV/0!</v>
      </c>
      <c r="MGM71" s="1159" t="e">
        <f t="shared" si="143"/>
        <v>#DIV/0!</v>
      </c>
      <c r="MGN71" s="1159" t="e">
        <f t="shared" si="143"/>
        <v>#DIV/0!</v>
      </c>
      <c r="MGO71" s="1159" t="e">
        <f t="shared" si="143"/>
        <v>#DIV/0!</v>
      </c>
      <c r="MGP71" s="1159" t="e">
        <f t="shared" si="143"/>
        <v>#DIV/0!</v>
      </c>
      <c r="MGQ71" s="1159" t="e">
        <f t="shared" si="143"/>
        <v>#DIV/0!</v>
      </c>
      <c r="MGR71" s="1159" t="e">
        <f t="shared" si="143"/>
        <v>#DIV/0!</v>
      </c>
      <c r="MGS71" s="1159" t="e">
        <f t="shared" si="143"/>
        <v>#DIV/0!</v>
      </c>
      <c r="MGT71" s="1159" t="e">
        <f t="shared" si="143"/>
        <v>#DIV/0!</v>
      </c>
      <c r="MGU71" s="1159" t="e">
        <f t="shared" si="143"/>
        <v>#DIV/0!</v>
      </c>
      <c r="MGV71" s="1159" t="e">
        <f t="shared" si="143"/>
        <v>#DIV/0!</v>
      </c>
      <c r="MGW71" s="1159" t="e">
        <f t="shared" si="143"/>
        <v>#DIV/0!</v>
      </c>
      <c r="MGX71" s="1159" t="e">
        <f t="shared" si="143"/>
        <v>#DIV/0!</v>
      </c>
      <c r="MGY71" s="1159" t="e">
        <f t="shared" si="143"/>
        <v>#DIV/0!</v>
      </c>
      <c r="MGZ71" s="1159" t="e">
        <f t="shared" si="143"/>
        <v>#DIV/0!</v>
      </c>
      <c r="MHA71" s="1159" t="e">
        <f t="shared" si="143"/>
        <v>#DIV/0!</v>
      </c>
      <c r="MHB71" s="1159" t="e">
        <f t="shared" si="143"/>
        <v>#DIV/0!</v>
      </c>
      <c r="MHC71" s="1159" t="e">
        <f t="shared" si="143"/>
        <v>#DIV/0!</v>
      </c>
      <c r="MHD71" s="1159" t="e">
        <f t="shared" si="143"/>
        <v>#DIV/0!</v>
      </c>
      <c r="MHE71" s="1159" t="e">
        <f t="shared" si="143"/>
        <v>#DIV/0!</v>
      </c>
      <c r="MHF71" s="1159" t="e">
        <f t="shared" si="143"/>
        <v>#DIV/0!</v>
      </c>
      <c r="MHG71" s="1159" t="e">
        <f t="shared" si="143"/>
        <v>#DIV/0!</v>
      </c>
      <c r="MHH71" s="1159" t="e">
        <f t="shared" si="143"/>
        <v>#DIV/0!</v>
      </c>
      <c r="MHI71" s="1159" t="e">
        <f t="shared" si="143"/>
        <v>#DIV/0!</v>
      </c>
      <c r="MHJ71" s="1159" t="e">
        <f t="shared" si="143"/>
        <v>#DIV/0!</v>
      </c>
      <c r="MHK71" s="1159" t="e">
        <f t="shared" si="143"/>
        <v>#DIV/0!</v>
      </c>
      <c r="MHL71" s="1159" t="e">
        <f t="shared" si="143"/>
        <v>#DIV/0!</v>
      </c>
      <c r="MHM71" s="1159" t="e">
        <f t="shared" si="143"/>
        <v>#DIV/0!</v>
      </c>
      <c r="MHN71" s="1159" t="e">
        <f t="shared" si="143"/>
        <v>#DIV/0!</v>
      </c>
      <c r="MHO71" s="1159" t="e">
        <f t="shared" si="143"/>
        <v>#DIV/0!</v>
      </c>
      <c r="MHP71" s="1159" t="e">
        <f t="shared" si="143"/>
        <v>#DIV/0!</v>
      </c>
      <c r="MHQ71" s="1159" t="e">
        <f t="shared" si="143"/>
        <v>#DIV/0!</v>
      </c>
      <c r="MHR71" s="1159" t="e">
        <f t="shared" si="143"/>
        <v>#DIV/0!</v>
      </c>
      <c r="MHS71" s="1159" t="e">
        <f t="shared" si="143"/>
        <v>#DIV/0!</v>
      </c>
      <c r="MHT71" s="1159" t="e">
        <f t="shared" si="143"/>
        <v>#DIV/0!</v>
      </c>
      <c r="MHU71" s="1159" t="e">
        <f t="shared" si="143"/>
        <v>#DIV/0!</v>
      </c>
      <c r="MHV71" s="1159" t="e">
        <f t="shared" si="143"/>
        <v>#DIV/0!</v>
      </c>
      <c r="MHW71" s="1159" t="e">
        <f t="shared" si="143"/>
        <v>#DIV/0!</v>
      </c>
      <c r="MHX71" s="1159" t="e">
        <f t="shared" si="143"/>
        <v>#DIV/0!</v>
      </c>
      <c r="MHY71" s="1159" t="e">
        <f t="shared" si="143"/>
        <v>#DIV/0!</v>
      </c>
      <c r="MHZ71" s="1159" t="e">
        <f t="shared" si="143"/>
        <v>#DIV/0!</v>
      </c>
      <c r="MIA71" s="1159" t="e">
        <f t="shared" si="143"/>
        <v>#DIV/0!</v>
      </c>
      <c r="MIB71" s="1159" t="e">
        <f t="shared" si="143"/>
        <v>#DIV/0!</v>
      </c>
      <c r="MIC71" s="1159" t="e">
        <f t="shared" si="143"/>
        <v>#DIV/0!</v>
      </c>
      <c r="MID71" s="1159" t="e">
        <f t="shared" si="143"/>
        <v>#DIV/0!</v>
      </c>
      <c r="MIE71" s="1159" t="e">
        <f t="shared" si="143"/>
        <v>#DIV/0!</v>
      </c>
      <c r="MIF71" s="1159" t="e">
        <f t="shared" si="143"/>
        <v>#DIV/0!</v>
      </c>
      <c r="MIG71" s="1159" t="e">
        <f t="shared" si="143"/>
        <v>#DIV/0!</v>
      </c>
      <c r="MIH71" s="1159" t="e">
        <f t="shared" ref="MIH71:MKS71" si="144">((MIH6+MIH12+MIH13+MIH14+MIH15)*860+MIH16*MIH55+MIH17*MIH56+MIH7*MIH49+MIH8*MIH50+MIH9*MIH51+MIH10*MIH52+MIH11*MIH53)/(SUM(MIH6:MIH17))</f>
        <v>#DIV/0!</v>
      </c>
      <c r="MII71" s="1159" t="e">
        <f t="shared" si="144"/>
        <v>#DIV/0!</v>
      </c>
      <c r="MIJ71" s="1159" t="e">
        <f t="shared" si="144"/>
        <v>#DIV/0!</v>
      </c>
      <c r="MIK71" s="1159" t="e">
        <f t="shared" si="144"/>
        <v>#DIV/0!</v>
      </c>
      <c r="MIL71" s="1159" t="e">
        <f t="shared" si="144"/>
        <v>#DIV/0!</v>
      </c>
      <c r="MIM71" s="1159" t="e">
        <f t="shared" si="144"/>
        <v>#DIV/0!</v>
      </c>
      <c r="MIN71" s="1159" t="e">
        <f t="shared" si="144"/>
        <v>#DIV/0!</v>
      </c>
      <c r="MIO71" s="1159" t="e">
        <f t="shared" si="144"/>
        <v>#DIV/0!</v>
      </c>
      <c r="MIP71" s="1159" t="e">
        <f t="shared" si="144"/>
        <v>#DIV/0!</v>
      </c>
      <c r="MIQ71" s="1159" t="e">
        <f t="shared" si="144"/>
        <v>#DIV/0!</v>
      </c>
      <c r="MIR71" s="1159" t="e">
        <f t="shared" si="144"/>
        <v>#DIV/0!</v>
      </c>
      <c r="MIS71" s="1159" t="e">
        <f t="shared" si="144"/>
        <v>#DIV/0!</v>
      </c>
      <c r="MIT71" s="1159" t="e">
        <f t="shared" si="144"/>
        <v>#DIV/0!</v>
      </c>
      <c r="MIU71" s="1159" t="e">
        <f t="shared" si="144"/>
        <v>#DIV/0!</v>
      </c>
      <c r="MIV71" s="1159" t="e">
        <f t="shared" si="144"/>
        <v>#DIV/0!</v>
      </c>
      <c r="MIW71" s="1159" t="e">
        <f t="shared" si="144"/>
        <v>#DIV/0!</v>
      </c>
      <c r="MIX71" s="1159" t="e">
        <f t="shared" si="144"/>
        <v>#DIV/0!</v>
      </c>
      <c r="MIY71" s="1159" t="e">
        <f t="shared" si="144"/>
        <v>#DIV/0!</v>
      </c>
      <c r="MIZ71" s="1159" t="e">
        <f t="shared" si="144"/>
        <v>#DIV/0!</v>
      </c>
      <c r="MJA71" s="1159" t="e">
        <f t="shared" si="144"/>
        <v>#DIV/0!</v>
      </c>
      <c r="MJB71" s="1159" t="e">
        <f t="shared" si="144"/>
        <v>#DIV/0!</v>
      </c>
      <c r="MJC71" s="1159" t="e">
        <f t="shared" si="144"/>
        <v>#DIV/0!</v>
      </c>
      <c r="MJD71" s="1159" t="e">
        <f t="shared" si="144"/>
        <v>#DIV/0!</v>
      </c>
      <c r="MJE71" s="1159" t="e">
        <f t="shared" si="144"/>
        <v>#DIV/0!</v>
      </c>
      <c r="MJF71" s="1159" t="e">
        <f t="shared" si="144"/>
        <v>#DIV/0!</v>
      </c>
      <c r="MJG71" s="1159" t="e">
        <f t="shared" si="144"/>
        <v>#DIV/0!</v>
      </c>
      <c r="MJH71" s="1159" t="e">
        <f t="shared" si="144"/>
        <v>#DIV/0!</v>
      </c>
      <c r="MJI71" s="1159" t="e">
        <f t="shared" si="144"/>
        <v>#DIV/0!</v>
      </c>
      <c r="MJJ71" s="1159" t="e">
        <f t="shared" si="144"/>
        <v>#DIV/0!</v>
      </c>
      <c r="MJK71" s="1159" t="e">
        <f t="shared" si="144"/>
        <v>#DIV/0!</v>
      </c>
      <c r="MJL71" s="1159" t="e">
        <f t="shared" si="144"/>
        <v>#DIV/0!</v>
      </c>
      <c r="MJM71" s="1159" t="e">
        <f t="shared" si="144"/>
        <v>#DIV/0!</v>
      </c>
      <c r="MJN71" s="1159" t="e">
        <f t="shared" si="144"/>
        <v>#DIV/0!</v>
      </c>
      <c r="MJO71" s="1159" t="e">
        <f t="shared" si="144"/>
        <v>#DIV/0!</v>
      </c>
      <c r="MJP71" s="1159" t="e">
        <f t="shared" si="144"/>
        <v>#DIV/0!</v>
      </c>
      <c r="MJQ71" s="1159" t="e">
        <f t="shared" si="144"/>
        <v>#DIV/0!</v>
      </c>
      <c r="MJR71" s="1159" t="e">
        <f t="shared" si="144"/>
        <v>#DIV/0!</v>
      </c>
      <c r="MJS71" s="1159" t="e">
        <f t="shared" si="144"/>
        <v>#DIV/0!</v>
      </c>
      <c r="MJT71" s="1159" t="e">
        <f t="shared" si="144"/>
        <v>#DIV/0!</v>
      </c>
      <c r="MJU71" s="1159" t="e">
        <f t="shared" si="144"/>
        <v>#DIV/0!</v>
      </c>
      <c r="MJV71" s="1159" t="e">
        <f t="shared" si="144"/>
        <v>#DIV/0!</v>
      </c>
      <c r="MJW71" s="1159" t="e">
        <f t="shared" si="144"/>
        <v>#DIV/0!</v>
      </c>
      <c r="MJX71" s="1159" t="e">
        <f t="shared" si="144"/>
        <v>#DIV/0!</v>
      </c>
      <c r="MJY71" s="1159" t="e">
        <f t="shared" si="144"/>
        <v>#DIV/0!</v>
      </c>
      <c r="MJZ71" s="1159" t="e">
        <f t="shared" si="144"/>
        <v>#DIV/0!</v>
      </c>
      <c r="MKA71" s="1159" t="e">
        <f t="shared" si="144"/>
        <v>#DIV/0!</v>
      </c>
      <c r="MKB71" s="1159" t="e">
        <f t="shared" si="144"/>
        <v>#DIV/0!</v>
      </c>
      <c r="MKC71" s="1159" t="e">
        <f t="shared" si="144"/>
        <v>#DIV/0!</v>
      </c>
      <c r="MKD71" s="1159" t="e">
        <f t="shared" si="144"/>
        <v>#DIV/0!</v>
      </c>
      <c r="MKE71" s="1159" t="e">
        <f t="shared" si="144"/>
        <v>#DIV/0!</v>
      </c>
      <c r="MKF71" s="1159" t="e">
        <f t="shared" si="144"/>
        <v>#DIV/0!</v>
      </c>
      <c r="MKG71" s="1159" t="e">
        <f t="shared" si="144"/>
        <v>#DIV/0!</v>
      </c>
      <c r="MKH71" s="1159" t="e">
        <f t="shared" si="144"/>
        <v>#DIV/0!</v>
      </c>
      <c r="MKI71" s="1159" t="e">
        <f t="shared" si="144"/>
        <v>#DIV/0!</v>
      </c>
      <c r="MKJ71" s="1159" t="e">
        <f t="shared" si="144"/>
        <v>#DIV/0!</v>
      </c>
      <c r="MKK71" s="1159" t="e">
        <f t="shared" si="144"/>
        <v>#DIV/0!</v>
      </c>
      <c r="MKL71" s="1159" t="e">
        <f t="shared" si="144"/>
        <v>#DIV/0!</v>
      </c>
      <c r="MKM71" s="1159" t="e">
        <f t="shared" si="144"/>
        <v>#DIV/0!</v>
      </c>
      <c r="MKN71" s="1159" t="e">
        <f t="shared" si="144"/>
        <v>#DIV/0!</v>
      </c>
      <c r="MKO71" s="1159" t="e">
        <f t="shared" si="144"/>
        <v>#DIV/0!</v>
      </c>
      <c r="MKP71" s="1159" t="e">
        <f t="shared" si="144"/>
        <v>#DIV/0!</v>
      </c>
      <c r="MKQ71" s="1159" t="e">
        <f t="shared" si="144"/>
        <v>#DIV/0!</v>
      </c>
      <c r="MKR71" s="1159" t="e">
        <f t="shared" si="144"/>
        <v>#DIV/0!</v>
      </c>
      <c r="MKS71" s="1159" t="e">
        <f t="shared" si="144"/>
        <v>#DIV/0!</v>
      </c>
      <c r="MKT71" s="1159" t="e">
        <f t="shared" ref="MKT71:MNE71" si="145">((MKT6+MKT12+MKT13+MKT14+MKT15)*860+MKT16*MKT55+MKT17*MKT56+MKT7*MKT49+MKT8*MKT50+MKT9*MKT51+MKT10*MKT52+MKT11*MKT53)/(SUM(MKT6:MKT17))</f>
        <v>#DIV/0!</v>
      </c>
      <c r="MKU71" s="1159" t="e">
        <f t="shared" si="145"/>
        <v>#DIV/0!</v>
      </c>
      <c r="MKV71" s="1159" t="e">
        <f t="shared" si="145"/>
        <v>#DIV/0!</v>
      </c>
      <c r="MKW71" s="1159" t="e">
        <f t="shared" si="145"/>
        <v>#DIV/0!</v>
      </c>
      <c r="MKX71" s="1159" t="e">
        <f t="shared" si="145"/>
        <v>#DIV/0!</v>
      </c>
      <c r="MKY71" s="1159" t="e">
        <f t="shared" si="145"/>
        <v>#DIV/0!</v>
      </c>
      <c r="MKZ71" s="1159" t="e">
        <f t="shared" si="145"/>
        <v>#DIV/0!</v>
      </c>
      <c r="MLA71" s="1159" t="e">
        <f t="shared" si="145"/>
        <v>#DIV/0!</v>
      </c>
      <c r="MLB71" s="1159" t="e">
        <f t="shared" si="145"/>
        <v>#DIV/0!</v>
      </c>
      <c r="MLC71" s="1159" t="e">
        <f t="shared" si="145"/>
        <v>#DIV/0!</v>
      </c>
      <c r="MLD71" s="1159" t="e">
        <f t="shared" si="145"/>
        <v>#DIV/0!</v>
      </c>
      <c r="MLE71" s="1159" t="e">
        <f t="shared" si="145"/>
        <v>#DIV/0!</v>
      </c>
      <c r="MLF71" s="1159" t="e">
        <f t="shared" si="145"/>
        <v>#DIV/0!</v>
      </c>
      <c r="MLG71" s="1159" t="e">
        <f t="shared" si="145"/>
        <v>#DIV/0!</v>
      </c>
      <c r="MLH71" s="1159" t="e">
        <f t="shared" si="145"/>
        <v>#DIV/0!</v>
      </c>
      <c r="MLI71" s="1159" t="e">
        <f t="shared" si="145"/>
        <v>#DIV/0!</v>
      </c>
      <c r="MLJ71" s="1159" t="e">
        <f t="shared" si="145"/>
        <v>#DIV/0!</v>
      </c>
      <c r="MLK71" s="1159" t="e">
        <f t="shared" si="145"/>
        <v>#DIV/0!</v>
      </c>
      <c r="MLL71" s="1159" t="e">
        <f t="shared" si="145"/>
        <v>#DIV/0!</v>
      </c>
      <c r="MLM71" s="1159" t="e">
        <f t="shared" si="145"/>
        <v>#DIV/0!</v>
      </c>
      <c r="MLN71" s="1159" t="e">
        <f t="shared" si="145"/>
        <v>#DIV/0!</v>
      </c>
      <c r="MLO71" s="1159" t="e">
        <f t="shared" si="145"/>
        <v>#DIV/0!</v>
      </c>
      <c r="MLP71" s="1159" t="e">
        <f t="shared" si="145"/>
        <v>#DIV/0!</v>
      </c>
      <c r="MLQ71" s="1159" t="e">
        <f t="shared" si="145"/>
        <v>#DIV/0!</v>
      </c>
      <c r="MLR71" s="1159" t="e">
        <f t="shared" si="145"/>
        <v>#DIV/0!</v>
      </c>
      <c r="MLS71" s="1159" t="e">
        <f t="shared" si="145"/>
        <v>#DIV/0!</v>
      </c>
      <c r="MLT71" s="1159" t="e">
        <f t="shared" si="145"/>
        <v>#DIV/0!</v>
      </c>
      <c r="MLU71" s="1159" t="e">
        <f t="shared" si="145"/>
        <v>#DIV/0!</v>
      </c>
      <c r="MLV71" s="1159" t="e">
        <f t="shared" si="145"/>
        <v>#DIV/0!</v>
      </c>
      <c r="MLW71" s="1159" t="e">
        <f t="shared" si="145"/>
        <v>#DIV/0!</v>
      </c>
      <c r="MLX71" s="1159" t="e">
        <f t="shared" si="145"/>
        <v>#DIV/0!</v>
      </c>
      <c r="MLY71" s="1159" t="e">
        <f t="shared" si="145"/>
        <v>#DIV/0!</v>
      </c>
      <c r="MLZ71" s="1159" t="e">
        <f t="shared" si="145"/>
        <v>#DIV/0!</v>
      </c>
      <c r="MMA71" s="1159" t="e">
        <f t="shared" si="145"/>
        <v>#DIV/0!</v>
      </c>
      <c r="MMB71" s="1159" t="e">
        <f t="shared" si="145"/>
        <v>#DIV/0!</v>
      </c>
      <c r="MMC71" s="1159" t="e">
        <f t="shared" si="145"/>
        <v>#DIV/0!</v>
      </c>
      <c r="MMD71" s="1159" t="e">
        <f t="shared" si="145"/>
        <v>#DIV/0!</v>
      </c>
      <c r="MME71" s="1159" t="e">
        <f t="shared" si="145"/>
        <v>#DIV/0!</v>
      </c>
      <c r="MMF71" s="1159" t="e">
        <f t="shared" si="145"/>
        <v>#DIV/0!</v>
      </c>
      <c r="MMG71" s="1159" t="e">
        <f t="shared" si="145"/>
        <v>#DIV/0!</v>
      </c>
      <c r="MMH71" s="1159" t="e">
        <f t="shared" si="145"/>
        <v>#DIV/0!</v>
      </c>
      <c r="MMI71" s="1159" t="e">
        <f t="shared" si="145"/>
        <v>#DIV/0!</v>
      </c>
      <c r="MMJ71" s="1159" t="e">
        <f t="shared" si="145"/>
        <v>#DIV/0!</v>
      </c>
      <c r="MMK71" s="1159" t="e">
        <f t="shared" si="145"/>
        <v>#DIV/0!</v>
      </c>
      <c r="MML71" s="1159" t="e">
        <f t="shared" si="145"/>
        <v>#DIV/0!</v>
      </c>
      <c r="MMM71" s="1159" t="e">
        <f t="shared" si="145"/>
        <v>#DIV/0!</v>
      </c>
      <c r="MMN71" s="1159" t="e">
        <f t="shared" si="145"/>
        <v>#DIV/0!</v>
      </c>
      <c r="MMO71" s="1159" t="e">
        <f t="shared" si="145"/>
        <v>#DIV/0!</v>
      </c>
      <c r="MMP71" s="1159" t="e">
        <f t="shared" si="145"/>
        <v>#DIV/0!</v>
      </c>
      <c r="MMQ71" s="1159" t="e">
        <f t="shared" si="145"/>
        <v>#DIV/0!</v>
      </c>
      <c r="MMR71" s="1159" t="e">
        <f t="shared" si="145"/>
        <v>#DIV/0!</v>
      </c>
      <c r="MMS71" s="1159" t="e">
        <f t="shared" si="145"/>
        <v>#DIV/0!</v>
      </c>
      <c r="MMT71" s="1159" t="e">
        <f t="shared" si="145"/>
        <v>#DIV/0!</v>
      </c>
      <c r="MMU71" s="1159" t="e">
        <f t="shared" si="145"/>
        <v>#DIV/0!</v>
      </c>
      <c r="MMV71" s="1159" t="e">
        <f t="shared" si="145"/>
        <v>#DIV/0!</v>
      </c>
      <c r="MMW71" s="1159" t="e">
        <f t="shared" si="145"/>
        <v>#DIV/0!</v>
      </c>
      <c r="MMX71" s="1159" t="e">
        <f t="shared" si="145"/>
        <v>#DIV/0!</v>
      </c>
      <c r="MMY71" s="1159" t="e">
        <f t="shared" si="145"/>
        <v>#DIV/0!</v>
      </c>
      <c r="MMZ71" s="1159" t="e">
        <f t="shared" si="145"/>
        <v>#DIV/0!</v>
      </c>
      <c r="MNA71" s="1159" t="e">
        <f t="shared" si="145"/>
        <v>#DIV/0!</v>
      </c>
      <c r="MNB71" s="1159" t="e">
        <f t="shared" si="145"/>
        <v>#DIV/0!</v>
      </c>
      <c r="MNC71" s="1159" t="e">
        <f t="shared" si="145"/>
        <v>#DIV/0!</v>
      </c>
      <c r="MND71" s="1159" t="e">
        <f t="shared" si="145"/>
        <v>#DIV/0!</v>
      </c>
      <c r="MNE71" s="1159" t="e">
        <f t="shared" si="145"/>
        <v>#DIV/0!</v>
      </c>
      <c r="MNF71" s="1159" t="e">
        <f t="shared" ref="MNF71:MPQ71" si="146">((MNF6+MNF12+MNF13+MNF14+MNF15)*860+MNF16*MNF55+MNF17*MNF56+MNF7*MNF49+MNF8*MNF50+MNF9*MNF51+MNF10*MNF52+MNF11*MNF53)/(SUM(MNF6:MNF17))</f>
        <v>#DIV/0!</v>
      </c>
      <c r="MNG71" s="1159" t="e">
        <f t="shared" si="146"/>
        <v>#DIV/0!</v>
      </c>
      <c r="MNH71" s="1159" t="e">
        <f t="shared" si="146"/>
        <v>#DIV/0!</v>
      </c>
      <c r="MNI71" s="1159" t="e">
        <f t="shared" si="146"/>
        <v>#DIV/0!</v>
      </c>
      <c r="MNJ71" s="1159" t="e">
        <f t="shared" si="146"/>
        <v>#DIV/0!</v>
      </c>
      <c r="MNK71" s="1159" t="e">
        <f t="shared" si="146"/>
        <v>#DIV/0!</v>
      </c>
      <c r="MNL71" s="1159" t="e">
        <f t="shared" si="146"/>
        <v>#DIV/0!</v>
      </c>
      <c r="MNM71" s="1159" t="e">
        <f t="shared" si="146"/>
        <v>#DIV/0!</v>
      </c>
      <c r="MNN71" s="1159" t="e">
        <f t="shared" si="146"/>
        <v>#DIV/0!</v>
      </c>
      <c r="MNO71" s="1159" t="e">
        <f t="shared" si="146"/>
        <v>#DIV/0!</v>
      </c>
      <c r="MNP71" s="1159" t="e">
        <f t="shared" si="146"/>
        <v>#DIV/0!</v>
      </c>
      <c r="MNQ71" s="1159" t="e">
        <f t="shared" si="146"/>
        <v>#DIV/0!</v>
      </c>
      <c r="MNR71" s="1159" t="e">
        <f t="shared" si="146"/>
        <v>#DIV/0!</v>
      </c>
      <c r="MNS71" s="1159" t="e">
        <f t="shared" si="146"/>
        <v>#DIV/0!</v>
      </c>
      <c r="MNT71" s="1159" t="e">
        <f t="shared" si="146"/>
        <v>#DIV/0!</v>
      </c>
      <c r="MNU71" s="1159" t="e">
        <f t="shared" si="146"/>
        <v>#DIV/0!</v>
      </c>
      <c r="MNV71" s="1159" t="e">
        <f t="shared" si="146"/>
        <v>#DIV/0!</v>
      </c>
      <c r="MNW71" s="1159" t="e">
        <f t="shared" si="146"/>
        <v>#DIV/0!</v>
      </c>
      <c r="MNX71" s="1159" t="e">
        <f t="shared" si="146"/>
        <v>#DIV/0!</v>
      </c>
      <c r="MNY71" s="1159" t="e">
        <f t="shared" si="146"/>
        <v>#DIV/0!</v>
      </c>
      <c r="MNZ71" s="1159" t="e">
        <f t="shared" si="146"/>
        <v>#DIV/0!</v>
      </c>
      <c r="MOA71" s="1159" t="e">
        <f t="shared" si="146"/>
        <v>#DIV/0!</v>
      </c>
      <c r="MOB71" s="1159" t="e">
        <f t="shared" si="146"/>
        <v>#DIV/0!</v>
      </c>
      <c r="MOC71" s="1159" t="e">
        <f t="shared" si="146"/>
        <v>#DIV/0!</v>
      </c>
      <c r="MOD71" s="1159" t="e">
        <f t="shared" si="146"/>
        <v>#DIV/0!</v>
      </c>
      <c r="MOE71" s="1159" t="e">
        <f t="shared" si="146"/>
        <v>#DIV/0!</v>
      </c>
      <c r="MOF71" s="1159" t="e">
        <f t="shared" si="146"/>
        <v>#DIV/0!</v>
      </c>
      <c r="MOG71" s="1159" t="e">
        <f t="shared" si="146"/>
        <v>#DIV/0!</v>
      </c>
      <c r="MOH71" s="1159" t="e">
        <f t="shared" si="146"/>
        <v>#DIV/0!</v>
      </c>
      <c r="MOI71" s="1159" t="e">
        <f t="shared" si="146"/>
        <v>#DIV/0!</v>
      </c>
      <c r="MOJ71" s="1159" t="e">
        <f t="shared" si="146"/>
        <v>#DIV/0!</v>
      </c>
      <c r="MOK71" s="1159" t="e">
        <f t="shared" si="146"/>
        <v>#DIV/0!</v>
      </c>
      <c r="MOL71" s="1159" t="e">
        <f t="shared" si="146"/>
        <v>#DIV/0!</v>
      </c>
      <c r="MOM71" s="1159" t="e">
        <f t="shared" si="146"/>
        <v>#DIV/0!</v>
      </c>
      <c r="MON71" s="1159" t="e">
        <f t="shared" si="146"/>
        <v>#DIV/0!</v>
      </c>
      <c r="MOO71" s="1159" t="e">
        <f t="shared" si="146"/>
        <v>#DIV/0!</v>
      </c>
      <c r="MOP71" s="1159" t="e">
        <f t="shared" si="146"/>
        <v>#DIV/0!</v>
      </c>
      <c r="MOQ71" s="1159" t="e">
        <f t="shared" si="146"/>
        <v>#DIV/0!</v>
      </c>
      <c r="MOR71" s="1159" t="e">
        <f t="shared" si="146"/>
        <v>#DIV/0!</v>
      </c>
      <c r="MOS71" s="1159" t="e">
        <f t="shared" si="146"/>
        <v>#DIV/0!</v>
      </c>
      <c r="MOT71" s="1159" t="e">
        <f t="shared" si="146"/>
        <v>#DIV/0!</v>
      </c>
      <c r="MOU71" s="1159" t="e">
        <f t="shared" si="146"/>
        <v>#DIV/0!</v>
      </c>
      <c r="MOV71" s="1159" t="e">
        <f t="shared" si="146"/>
        <v>#DIV/0!</v>
      </c>
      <c r="MOW71" s="1159" t="e">
        <f t="shared" si="146"/>
        <v>#DIV/0!</v>
      </c>
      <c r="MOX71" s="1159" t="e">
        <f t="shared" si="146"/>
        <v>#DIV/0!</v>
      </c>
      <c r="MOY71" s="1159" t="e">
        <f t="shared" si="146"/>
        <v>#DIV/0!</v>
      </c>
      <c r="MOZ71" s="1159" t="e">
        <f t="shared" si="146"/>
        <v>#DIV/0!</v>
      </c>
      <c r="MPA71" s="1159" t="e">
        <f t="shared" si="146"/>
        <v>#DIV/0!</v>
      </c>
      <c r="MPB71" s="1159" t="e">
        <f t="shared" si="146"/>
        <v>#DIV/0!</v>
      </c>
      <c r="MPC71" s="1159" t="e">
        <f t="shared" si="146"/>
        <v>#DIV/0!</v>
      </c>
      <c r="MPD71" s="1159" t="e">
        <f t="shared" si="146"/>
        <v>#DIV/0!</v>
      </c>
      <c r="MPE71" s="1159" t="e">
        <f t="shared" si="146"/>
        <v>#DIV/0!</v>
      </c>
      <c r="MPF71" s="1159" t="e">
        <f t="shared" si="146"/>
        <v>#DIV/0!</v>
      </c>
      <c r="MPG71" s="1159" t="e">
        <f t="shared" si="146"/>
        <v>#DIV/0!</v>
      </c>
      <c r="MPH71" s="1159" t="e">
        <f t="shared" si="146"/>
        <v>#DIV/0!</v>
      </c>
      <c r="MPI71" s="1159" t="e">
        <f t="shared" si="146"/>
        <v>#DIV/0!</v>
      </c>
      <c r="MPJ71" s="1159" t="e">
        <f t="shared" si="146"/>
        <v>#DIV/0!</v>
      </c>
      <c r="MPK71" s="1159" t="e">
        <f t="shared" si="146"/>
        <v>#DIV/0!</v>
      </c>
      <c r="MPL71" s="1159" t="e">
        <f t="shared" si="146"/>
        <v>#DIV/0!</v>
      </c>
      <c r="MPM71" s="1159" t="e">
        <f t="shared" si="146"/>
        <v>#DIV/0!</v>
      </c>
      <c r="MPN71" s="1159" t="e">
        <f t="shared" si="146"/>
        <v>#DIV/0!</v>
      </c>
      <c r="MPO71" s="1159" t="e">
        <f t="shared" si="146"/>
        <v>#DIV/0!</v>
      </c>
      <c r="MPP71" s="1159" t="e">
        <f t="shared" si="146"/>
        <v>#DIV/0!</v>
      </c>
      <c r="MPQ71" s="1159" t="e">
        <f t="shared" si="146"/>
        <v>#DIV/0!</v>
      </c>
      <c r="MPR71" s="1159" t="e">
        <f t="shared" ref="MPR71:MSC71" si="147">((MPR6+MPR12+MPR13+MPR14+MPR15)*860+MPR16*MPR55+MPR17*MPR56+MPR7*MPR49+MPR8*MPR50+MPR9*MPR51+MPR10*MPR52+MPR11*MPR53)/(SUM(MPR6:MPR17))</f>
        <v>#DIV/0!</v>
      </c>
      <c r="MPS71" s="1159" t="e">
        <f t="shared" si="147"/>
        <v>#DIV/0!</v>
      </c>
      <c r="MPT71" s="1159" t="e">
        <f t="shared" si="147"/>
        <v>#DIV/0!</v>
      </c>
      <c r="MPU71" s="1159" t="e">
        <f t="shared" si="147"/>
        <v>#DIV/0!</v>
      </c>
      <c r="MPV71" s="1159" t="e">
        <f t="shared" si="147"/>
        <v>#DIV/0!</v>
      </c>
      <c r="MPW71" s="1159" t="e">
        <f t="shared" si="147"/>
        <v>#DIV/0!</v>
      </c>
      <c r="MPX71" s="1159" t="e">
        <f t="shared" si="147"/>
        <v>#DIV/0!</v>
      </c>
      <c r="MPY71" s="1159" t="e">
        <f t="shared" si="147"/>
        <v>#DIV/0!</v>
      </c>
      <c r="MPZ71" s="1159" t="e">
        <f t="shared" si="147"/>
        <v>#DIV/0!</v>
      </c>
      <c r="MQA71" s="1159" t="e">
        <f t="shared" si="147"/>
        <v>#DIV/0!</v>
      </c>
      <c r="MQB71" s="1159" t="e">
        <f t="shared" si="147"/>
        <v>#DIV/0!</v>
      </c>
      <c r="MQC71" s="1159" t="e">
        <f t="shared" si="147"/>
        <v>#DIV/0!</v>
      </c>
      <c r="MQD71" s="1159" t="e">
        <f t="shared" si="147"/>
        <v>#DIV/0!</v>
      </c>
      <c r="MQE71" s="1159" t="e">
        <f t="shared" si="147"/>
        <v>#DIV/0!</v>
      </c>
      <c r="MQF71" s="1159" t="e">
        <f t="shared" si="147"/>
        <v>#DIV/0!</v>
      </c>
      <c r="MQG71" s="1159" t="e">
        <f t="shared" si="147"/>
        <v>#DIV/0!</v>
      </c>
      <c r="MQH71" s="1159" t="e">
        <f t="shared" si="147"/>
        <v>#DIV/0!</v>
      </c>
      <c r="MQI71" s="1159" t="e">
        <f t="shared" si="147"/>
        <v>#DIV/0!</v>
      </c>
      <c r="MQJ71" s="1159" t="e">
        <f t="shared" si="147"/>
        <v>#DIV/0!</v>
      </c>
      <c r="MQK71" s="1159" t="e">
        <f t="shared" si="147"/>
        <v>#DIV/0!</v>
      </c>
      <c r="MQL71" s="1159" t="e">
        <f t="shared" si="147"/>
        <v>#DIV/0!</v>
      </c>
      <c r="MQM71" s="1159" t="e">
        <f t="shared" si="147"/>
        <v>#DIV/0!</v>
      </c>
      <c r="MQN71" s="1159" t="e">
        <f t="shared" si="147"/>
        <v>#DIV/0!</v>
      </c>
      <c r="MQO71" s="1159" t="e">
        <f t="shared" si="147"/>
        <v>#DIV/0!</v>
      </c>
      <c r="MQP71" s="1159" t="e">
        <f t="shared" si="147"/>
        <v>#DIV/0!</v>
      </c>
      <c r="MQQ71" s="1159" t="e">
        <f t="shared" si="147"/>
        <v>#DIV/0!</v>
      </c>
      <c r="MQR71" s="1159" t="e">
        <f t="shared" si="147"/>
        <v>#DIV/0!</v>
      </c>
      <c r="MQS71" s="1159" t="e">
        <f t="shared" si="147"/>
        <v>#DIV/0!</v>
      </c>
      <c r="MQT71" s="1159" t="e">
        <f t="shared" si="147"/>
        <v>#DIV/0!</v>
      </c>
      <c r="MQU71" s="1159" t="e">
        <f t="shared" si="147"/>
        <v>#DIV/0!</v>
      </c>
      <c r="MQV71" s="1159" t="e">
        <f t="shared" si="147"/>
        <v>#DIV/0!</v>
      </c>
      <c r="MQW71" s="1159" t="e">
        <f t="shared" si="147"/>
        <v>#DIV/0!</v>
      </c>
      <c r="MQX71" s="1159" t="e">
        <f t="shared" si="147"/>
        <v>#DIV/0!</v>
      </c>
      <c r="MQY71" s="1159" t="e">
        <f t="shared" si="147"/>
        <v>#DIV/0!</v>
      </c>
      <c r="MQZ71" s="1159" t="e">
        <f t="shared" si="147"/>
        <v>#DIV/0!</v>
      </c>
      <c r="MRA71" s="1159" t="e">
        <f t="shared" si="147"/>
        <v>#DIV/0!</v>
      </c>
      <c r="MRB71" s="1159" t="e">
        <f t="shared" si="147"/>
        <v>#DIV/0!</v>
      </c>
      <c r="MRC71" s="1159" t="e">
        <f t="shared" si="147"/>
        <v>#DIV/0!</v>
      </c>
      <c r="MRD71" s="1159" t="e">
        <f t="shared" si="147"/>
        <v>#DIV/0!</v>
      </c>
      <c r="MRE71" s="1159" t="e">
        <f t="shared" si="147"/>
        <v>#DIV/0!</v>
      </c>
      <c r="MRF71" s="1159" t="e">
        <f t="shared" si="147"/>
        <v>#DIV/0!</v>
      </c>
      <c r="MRG71" s="1159" t="e">
        <f t="shared" si="147"/>
        <v>#DIV/0!</v>
      </c>
      <c r="MRH71" s="1159" t="e">
        <f t="shared" si="147"/>
        <v>#DIV/0!</v>
      </c>
      <c r="MRI71" s="1159" t="e">
        <f t="shared" si="147"/>
        <v>#DIV/0!</v>
      </c>
      <c r="MRJ71" s="1159" t="e">
        <f t="shared" si="147"/>
        <v>#DIV/0!</v>
      </c>
      <c r="MRK71" s="1159" t="e">
        <f t="shared" si="147"/>
        <v>#DIV/0!</v>
      </c>
      <c r="MRL71" s="1159" t="e">
        <f t="shared" si="147"/>
        <v>#DIV/0!</v>
      </c>
      <c r="MRM71" s="1159" t="e">
        <f t="shared" si="147"/>
        <v>#DIV/0!</v>
      </c>
      <c r="MRN71" s="1159" t="e">
        <f t="shared" si="147"/>
        <v>#DIV/0!</v>
      </c>
      <c r="MRO71" s="1159" t="e">
        <f t="shared" si="147"/>
        <v>#DIV/0!</v>
      </c>
      <c r="MRP71" s="1159" t="e">
        <f t="shared" si="147"/>
        <v>#DIV/0!</v>
      </c>
      <c r="MRQ71" s="1159" t="e">
        <f t="shared" si="147"/>
        <v>#DIV/0!</v>
      </c>
      <c r="MRR71" s="1159" t="e">
        <f t="shared" si="147"/>
        <v>#DIV/0!</v>
      </c>
      <c r="MRS71" s="1159" t="e">
        <f t="shared" si="147"/>
        <v>#DIV/0!</v>
      </c>
      <c r="MRT71" s="1159" t="e">
        <f t="shared" si="147"/>
        <v>#DIV/0!</v>
      </c>
      <c r="MRU71" s="1159" t="e">
        <f t="shared" si="147"/>
        <v>#DIV/0!</v>
      </c>
      <c r="MRV71" s="1159" t="e">
        <f t="shared" si="147"/>
        <v>#DIV/0!</v>
      </c>
      <c r="MRW71" s="1159" t="e">
        <f t="shared" si="147"/>
        <v>#DIV/0!</v>
      </c>
      <c r="MRX71" s="1159" t="e">
        <f t="shared" si="147"/>
        <v>#DIV/0!</v>
      </c>
      <c r="MRY71" s="1159" t="e">
        <f t="shared" si="147"/>
        <v>#DIV/0!</v>
      </c>
      <c r="MRZ71" s="1159" t="e">
        <f t="shared" si="147"/>
        <v>#DIV/0!</v>
      </c>
      <c r="MSA71" s="1159" t="e">
        <f t="shared" si="147"/>
        <v>#DIV/0!</v>
      </c>
      <c r="MSB71" s="1159" t="e">
        <f t="shared" si="147"/>
        <v>#DIV/0!</v>
      </c>
      <c r="MSC71" s="1159" t="e">
        <f t="shared" si="147"/>
        <v>#DIV/0!</v>
      </c>
      <c r="MSD71" s="1159" t="e">
        <f t="shared" ref="MSD71:MUO71" si="148">((MSD6+MSD12+MSD13+MSD14+MSD15)*860+MSD16*MSD55+MSD17*MSD56+MSD7*MSD49+MSD8*MSD50+MSD9*MSD51+MSD10*MSD52+MSD11*MSD53)/(SUM(MSD6:MSD17))</f>
        <v>#DIV/0!</v>
      </c>
      <c r="MSE71" s="1159" t="e">
        <f t="shared" si="148"/>
        <v>#DIV/0!</v>
      </c>
      <c r="MSF71" s="1159" t="e">
        <f t="shared" si="148"/>
        <v>#DIV/0!</v>
      </c>
      <c r="MSG71" s="1159" t="e">
        <f t="shared" si="148"/>
        <v>#DIV/0!</v>
      </c>
      <c r="MSH71" s="1159" t="e">
        <f t="shared" si="148"/>
        <v>#DIV/0!</v>
      </c>
      <c r="MSI71" s="1159" t="e">
        <f t="shared" si="148"/>
        <v>#DIV/0!</v>
      </c>
      <c r="MSJ71" s="1159" t="e">
        <f t="shared" si="148"/>
        <v>#DIV/0!</v>
      </c>
      <c r="MSK71" s="1159" t="e">
        <f t="shared" si="148"/>
        <v>#DIV/0!</v>
      </c>
      <c r="MSL71" s="1159" t="e">
        <f t="shared" si="148"/>
        <v>#DIV/0!</v>
      </c>
      <c r="MSM71" s="1159" t="e">
        <f t="shared" si="148"/>
        <v>#DIV/0!</v>
      </c>
      <c r="MSN71" s="1159" t="e">
        <f t="shared" si="148"/>
        <v>#DIV/0!</v>
      </c>
      <c r="MSO71" s="1159" t="e">
        <f t="shared" si="148"/>
        <v>#DIV/0!</v>
      </c>
      <c r="MSP71" s="1159" t="e">
        <f t="shared" si="148"/>
        <v>#DIV/0!</v>
      </c>
      <c r="MSQ71" s="1159" t="e">
        <f t="shared" si="148"/>
        <v>#DIV/0!</v>
      </c>
      <c r="MSR71" s="1159" t="e">
        <f t="shared" si="148"/>
        <v>#DIV/0!</v>
      </c>
      <c r="MSS71" s="1159" t="e">
        <f t="shared" si="148"/>
        <v>#DIV/0!</v>
      </c>
      <c r="MST71" s="1159" t="e">
        <f t="shared" si="148"/>
        <v>#DIV/0!</v>
      </c>
      <c r="MSU71" s="1159" t="e">
        <f t="shared" si="148"/>
        <v>#DIV/0!</v>
      </c>
      <c r="MSV71" s="1159" t="e">
        <f t="shared" si="148"/>
        <v>#DIV/0!</v>
      </c>
      <c r="MSW71" s="1159" t="e">
        <f t="shared" si="148"/>
        <v>#DIV/0!</v>
      </c>
      <c r="MSX71" s="1159" t="e">
        <f t="shared" si="148"/>
        <v>#DIV/0!</v>
      </c>
      <c r="MSY71" s="1159" t="e">
        <f t="shared" si="148"/>
        <v>#DIV/0!</v>
      </c>
      <c r="MSZ71" s="1159" t="e">
        <f t="shared" si="148"/>
        <v>#DIV/0!</v>
      </c>
      <c r="MTA71" s="1159" t="e">
        <f t="shared" si="148"/>
        <v>#DIV/0!</v>
      </c>
      <c r="MTB71" s="1159" t="e">
        <f t="shared" si="148"/>
        <v>#DIV/0!</v>
      </c>
      <c r="MTC71" s="1159" t="e">
        <f t="shared" si="148"/>
        <v>#DIV/0!</v>
      </c>
      <c r="MTD71" s="1159" t="e">
        <f t="shared" si="148"/>
        <v>#DIV/0!</v>
      </c>
      <c r="MTE71" s="1159" t="e">
        <f t="shared" si="148"/>
        <v>#DIV/0!</v>
      </c>
      <c r="MTF71" s="1159" t="e">
        <f t="shared" si="148"/>
        <v>#DIV/0!</v>
      </c>
      <c r="MTG71" s="1159" t="e">
        <f t="shared" si="148"/>
        <v>#DIV/0!</v>
      </c>
      <c r="MTH71" s="1159" t="e">
        <f t="shared" si="148"/>
        <v>#DIV/0!</v>
      </c>
      <c r="MTI71" s="1159" t="e">
        <f t="shared" si="148"/>
        <v>#DIV/0!</v>
      </c>
      <c r="MTJ71" s="1159" t="e">
        <f t="shared" si="148"/>
        <v>#DIV/0!</v>
      </c>
      <c r="MTK71" s="1159" t="e">
        <f t="shared" si="148"/>
        <v>#DIV/0!</v>
      </c>
      <c r="MTL71" s="1159" t="e">
        <f t="shared" si="148"/>
        <v>#DIV/0!</v>
      </c>
      <c r="MTM71" s="1159" t="e">
        <f t="shared" si="148"/>
        <v>#DIV/0!</v>
      </c>
      <c r="MTN71" s="1159" t="e">
        <f t="shared" si="148"/>
        <v>#DIV/0!</v>
      </c>
      <c r="MTO71" s="1159" t="e">
        <f t="shared" si="148"/>
        <v>#DIV/0!</v>
      </c>
      <c r="MTP71" s="1159" t="e">
        <f t="shared" si="148"/>
        <v>#DIV/0!</v>
      </c>
      <c r="MTQ71" s="1159" t="e">
        <f t="shared" si="148"/>
        <v>#DIV/0!</v>
      </c>
      <c r="MTR71" s="1159" t="e">
        <f t="shared" si="148"/>
        <v>#DIV/0!</v>
      </c>
      <c r="MTS71" s="1159" t="e">
        <f t="shared" si="148"/>
        <v>#DIV/0!</v>
      </c>
      <c r="MTT71" s="1159" t="e">
        <f t="shared" si="148"/>
        <v>#DIV/0!</v>
      </c>
      <c r="MTU71" s="1159" t="e">
        <f t="shared" si="148"/>
        <v>#DIV/0!</v>
      </c>
      <c r="MTV71" s="1159" t="e">
        <f t="shared" si="148"/>
        <v>#DIV/0!</v>
      </c>
      <c r="MTW71" s="1159" t="e">
        <f t="shared" si="148"/>
        <v>#DIV/0!</v>
      </c>
      <c r="MTX71" s="1159" t="e">
        <f t="shared" si="148"/>
        <v>#DIV/0!</v>
      </c>
      <c r="MTY71" s="1159" t="e">
        <f t="shared" si="148"/>
        <v>#DIV/0!</v>
      </c>
      <c r="MTZ71" s="1159" t="e">
        <f t="shared" si="148"/>
        <v>#DIV/0!</v>
      </c>
      <c r="MUA71" s="1159" t="e">
        <f t="shared" si="148"/>
        <v>#DIV/0!</v>
      </c>
      <c r="MUB71" s="1159" t="e">
        <f t="shared" si="148"/>
        <v>#DIV/0!</v>
      </c>
      <c r="MUC71" s="1159" t="e">
        <f t="shared" si="148"/>
        <v>#DIV/0!</v>
      </c>
      <c r="MUD71" s="1159" t="e">
        <f t="shared" si="148"/>
        <v>#DIV/0!</v>
      </c>
      <c r="MUE71" s="1159" t="e">
        <f t="shared" si="148"/>
        <v>#DIV/0!</v>
      </c>
      <c r="MUF71" s="1159" t="e">
        <f t="shared" si="148"/>
        <v>#DIV/0!</v>
      </c>
      <c r="MUG71" s="1159" t="e">
        <f t="shared" si="148"/>
        <v>#DIV/0!</v>
      </c>
      <c r="MUH71" s="1159" t="e">
        <f t="shared" si="148"/>
        <v>#DIV/0!</v>
      </c>
      <c r="MUI71" s="1159" t="e">
        <f t="shared" si="148"/>
        <v>#DIV/0!</v>
      </c>
      <c r="MUJ71" s="1159" t="e">
        <f t="shared" si="148"/>
        <v>#DIV/0!</v>
      </c>
      <c r="MUK71" s="1159" t="e">
        <f t="shared" si="148"/>
        <v>#DIV/0!</v>
      </c>
      <c r="MUL71" s="1159" t="e">
        <f t="shared" si="148"/>
        <v>#DIV/0!</v>
      </c>
      <c r="MUM71" s="1159" t="e">
        <f t="shared" si="148"/>
        <v>#DIV/0!</v>
      </c>
      <c r="MUN71" s="1159" t="e">
        <f t="shared" si="148"/>
        <v>#DIV/0!</v>
      </c>
      <c r="MUO71" s="1159" t="e">
        <f t="shared" si="148"/>
        <v>#DIV/0!</v>
      </c>
      <c r="MUP71" s="1159" t="e">
        <f t="shared" ref="MUP71:MXA71" si="149">((MUP6+MUP12+MUP13+MUP14+MUP15)*860+MUP16*MUP55+MUP17*MUP56+MUP7*MUP49+MUP8*MUP50+MUP9*MUP51+MUP10*MUP52+MUP11*MUP53)/(SUM(MUP6:MUP17))</f>
        <v>#DIV/0!</v>
      </c>
      <c r="MUQ71" s="1159" t="e">
        <f t="shared" si="149"/>
        <v>#DIV/0!</v>
      </c>
      <c r="MUR71" s="1159" t="e">
        <f t="shared" si="149"/>
        <v>#DIV/0!</v>
      </c>
      <c r="MUS71" s="1159" t="e">
        <f t="shared" si="149"/>
        <v>#DIV/0!</v>
      </c>
      <c r="MUT71" s="1159" t="e">
        <f t="shared" si="149"/>
        <v>#DIV/0!</v>
      </c>
      <c r="MUU71" s="1159" t="e">
        <f t="shared" si="149"/>
        <v>#DIV/0!</v>
      </c>
      <c r="MUV71" s="1159" t="e">
        <f t="shared" si="149"/>
        <v>#DIV/0!</v>
      </c>
      <c r="MUW71" s="1159" t="e">
        <f t="shared" si="149"/>
        <v>#DIV/0!</v>
      </c>
      <c r="MUX71" s="1159" t="e">
        <f t="shared" si="149"/>
        <v>#DIV/0!</v>
      </c>
      <c r="MUY71" s="1159" t="e">
        <f t="shared" si="149"/>
        <v>#DIV/0!</v>
      </c>
      <c r="MUZ71" s="1159" t="e">
        <f t="shared" si="149"/>
        <v>#DIV/0!</v>
      </c>
      <c r="MVA71" s="1159" t="e">
        <f t="shared" si="149"/>
        <v>#DIV/0!</v>
      </c>
      <c r="MVB71" s="1159" t="e">
        <f t="shared" si="149"/>
        <v>#DIV/0!</v>
      </c>
      <c r="MVC71" s="1159" t="e">
        <f t="shared" si="149"/>
        <v>#DIV/0!</v>
      </c>
      <c r="MVD71" s="1159" t="e">
        <f t="shared" si="149"/>
        <v>#DIV/0!</v>
      </c>
      <c r="MVE71" s="1159" t="e">
        <f t="shared" si="149"/>
        <v>#DIV/0!</v>
      </c>
      <c r="MVF71" s="1159" t="e">
        <f t="shared" si="149"/>
        <v>#DIV/0!</v>
      </c>
      <c r="MVG71" s="1159" t="e">
        <f t="shared" si="149"/>
        <v>#DIV/0!</v>
      </c>
      <c r="MVH71" s="1159" t="e">
        <f t="shared" si="149"/>
        <v>#DIV/0!</v>
      </c>
      <c r="MVI71" s="1159" t="e">
        <f t="shared" si="149"/>
        <v>#DIV/0!</v>
      </c>
      <c r="MVJ71" s="1159" t="e">
        <f t="shared" si="149"/>
        <v>#DIV/0!</v>
      </c>
      <c r="MVK71" s="1159" t="e">
        <f t="shared" si="149"/>
        <v>#DIV/0!</v>
      </c>
      <c r="MVL71" s="1159" t="e">
        <f t="shared" si="149"/>
        <v>#DIV/0!</v>
      </c>
      <c r="MVM71" s="1159" t="e">
        <f t="shared" si="149"/>
        <v>#DIV/0!</v>
      </c>
      <c r="MVN71" s="1159" t="e">
        <f t="shared" si="149"/>
        <v>#DIV/0!</v>
      </c>
      <c r="MVO71" s="1159" t="e">
        <f t="shared" si="149"/>
        <v>#DIV/0!</v>
      </c>
      <c r="MVP71" s="1159" t="e">
        <f t="shared" si="149"/>
        <v>#DIV/0!</v>
      </c>
      <c r="MVQ71" s="1159" t="e">
        <f t="shared" si="149"/>
        <v>#DIV/0!</v>
      </c>
      <c r="MVR71" s="1159" t="e">
        <f t="shared" si="149"/>
        <v>#DIV/0!</v>
      </c>
      <c r="MVS71" s="1159" t="e">
        <f t="shared" si="149"/>
        <v>#DIV/0!</v>
      </c>
      <c r="MVT71" s="1159" t="e">
        <f t="shared" si="149"/>
        <v>#DIV/0!</v>
      </c>
      <c r="MVU71" s="1159" t="e">
        <f t="shared" si="149"/>
        <v>#DIV/0!</v>
      </c>
      <c r="MVV71" s="1159" t="e">
        <f t="shared" si="149"/>
        <v>#DIV/0!</v>
      </c>
      <c r="MVW71" s="1159" t="e">
        <f t="shared" si="149"/>
        <v>#DIV/0!</v>
      </c>
      <c r="MVX71" s="1159" t="e">
        <f t="shared" si="149"/>
        <v>#DIV/0!</v>
      </c>
      <c r="MVY71" s="1159" t="e">
        <f t="shared" si="149"/>
        <v>#DIV/0!</v>
      </c>
      <c r="MVZ71" s="1159" t="e">
        <f t="shared" si="149"/>
        <v>#DIV/0!</v>
      </c>
      <c r="MWA71" s="1159" t="e">
        <f t="shared" si="149"/>
        <v>#DIV/0!</v>
      </c>
      <c r="MWB71" s="1159" t="e">
        <f t="shared" si="149"/>
        <v>#DIV/0!</v>
      </c>
      <c r="MWC71" s="1159" t="e">
        <f t="shared" si="149"/>
        <v>#DIV/0!</v>
      </c>
      <c r="MWD71" s="1159" t="e">
        <f t="shared" si="149"/>
        <v>#DIV/0!</v>
      </c>
      <c r="MWE71" s="1159" t="e">
        <f t="shared" si="149"/>
        <v>#DIV/0!</v>
      </c>
      <c r="MWF71" s="1159" t="e">
        <f t="shared" si="149"/>
        <v>#DIV/0!</v>
      </c>
      <c r="MWG71" s="1159" t="e">
        <f t="shared" si="149"/>
        <v>#DIV/0!</v>
      </c>
      <c r="MWH71" s="1159" t="e">
        <f t="shared" si="149"/>
        <v>#DIV/0!</v>
      </c>
      <c r="MWI71" s="1159" t="e">
        <f t="shared" si="149"/>
        <v>#DIV/0!</v>
      </c>
      <c r="MWJ71" s="1159" t="e">
        <f t="shared" si="149"/>
        <v>#DIV/0!</v>
      </c>
      <c r="MWK71" s="1159" t="e">
        <f t="shared" si="149"/>
        <v>#DIV/0!</v>
      </c>
      <c r="MWL71" s="1159" t="e">
        <f t="shared" si="149"/>
        <v>#DIV/0!</v>
      </c>
      <c r="MWM71" s="1159" t="e">
        <f t="shared" si="149"/>
        <v>#DIV/0!</v>
      </c>
      <c r="MWN71" s="1159" t="e">
        <f t="shared" si="149"/>
        <v>#DIV/0!</v>
      </c>
      <c r="MWO71" s="1159" t="e">
        <f t="shared" si="149"/>
        <v>#DIV/0!</v>
      </c>
      <c r="MWP71" s="1159" t="e">
        <f t="shared" si="149"/>
        <v>#DIV/0!</v>
      </c>
      <c r="MWQ71" s="1159" t="e">
        <f t="shared" si="149"/>
        <v>#DIV/0!</v>
      </c>
      <c r="MWR71" s="1159" t="e">
        <f t="shared" si="149"/>
        <v>#DIV/0!</v>
      </c>
      <c r="MWS71" s="1159" t="e">
        <f t="shared" si="149"/>
        <v>#DIV/0!</v>
      </c>
      <c r="MWT71" s="1159" t="e">
        <f t="shared" si="149"/>
        <v>#DIV/0!</v>
      </c>
      <c r="MWU71" s="1159" t="e">
        <f t="shared" si="149"/>
        <v>#DIV/0!</v>
      </c>
      <c r="MWV71" s="1159" t="e">
        <f t="shared" si="149"/>
        <v>#DIV/0!</v>
      </c>
      <c r="MWW71" s="1159" t="e">
        <f t="shared" si="149"/>
        <v>#DIV/0!</v>
      </c>
      <c r="MWX71" s="1159" t="e">
        <f t="shared" si="149"/>
        <v>#DIV/0!</v>
      </c>
      <c r="MWY71" s="1159" t="e">
        <f t="shared" si="149"/>
        <v>#DIV/0!</v>
      </c>
      <c r="MWZ71" s="1159" t="e">
        <f t="shared" si="149"/>
        <v>#DIV/0!</v>
      </c>
      <c r="MXA71" s="1159" t="e">
        <f t="shared" si="149"/>
        <v>#DIV/0!</v>
      </c>
      <c r="MXB71" s="1159" t="e">
        <f t="shared" ref="MXB71:MZM71" si="150">((MXB6+MXB12+MXB13+MXB14+MXB15)*860+MXB16*MXB55+MXB17*MXB56+MXB7*MXB49+MXB8*MXB50+MXB9*MXB51+MXB10*MXB52+MXB11*MXB53)/(SUM(MXB6:MXB17))</f>
        <v>#DIV/0!</v>
      </c>
      <c r="MXC71" s="1159" t="e">
        <f t="shared" si="150"/>
        <v>#DIV/0!</v>
      </c>
      <c r="MXD71" s="1159" t="e">
        <f t="shared" si="150"/>
        <v>#DIV/0!</v>
      </c>
      <c r="MXE71" s="1159" t="e">
        <f t="shared" si="150"/>
        <v>#DIV/0!</v>
      </c>
      <c r="MXF71" s="1159" t="e">
        <f t="shared" si="150"/>
        <v>#DIV/0!</v>
      </c>
      <c r="MXG71" s="1159" t="e">
        <f t="shared" si="150"/>
        <v>#DIV/0!</v>
      </c>
      <c r="MXH71" s="1159" t="e">
        <f t="shared" si="150"/>
        <v>#DIV/0!</v>
      </c>
      <c r="MXI71" s="1159" t="e">
        <f t="shared" si="150"/>
        <v>#DIV/0!</v>
      </c>
      <c r="MXJ71" s="1159" t="e">
        <f t="shared" si="150"/>
        <v>#DIV/0!</v>
      </c>
      <c r="MXK71" s="1159" t="e">
        <f t="shared" si="150"/>
        <v>#DIV/0!</v>
      </c>
      <c r="MXL71" s="1159" t="e">
        <f t="shared" si="150"/>
        <v>#DIV/0!</v>
      </c>
      <c r="MXM71" s="1159" t="e">
        <f t="shared" si="150"/>
        <v>#DIV/0!</v>
      </c>
      <c r="MXN71" s="1159" t="e">
        <f t="shared" si="150"/>
        <v>#DIV/0!</v>
      </c>
      <c r="MXO71" s="1159" t="e">
        <f t="shared" si="150"/>
        <v>#DIV/0!</v>
      </c>
      <c r="MXP71" s="1159" t="e">
        <f t="shared" si="150"/>
        <v>#DIV/0!</v>
      </c>
      <c r="MXQ71" s="1159" t="e">
        <f t="shared" si="150"/>
        <v>#DIV/0!</v>
      </c>
      <c r="MXR71" s="1159" t="e">
        <f t="shared" si="150"/>
        <v>#DIV/0!</v>
      </c>
      <c r="MXS71" s="1159" t="e">
        <f t="shared" si="150"/>
        <v>#DIV/0!</v>
      </c>
      <c r="MXT71" s="1159" t="e">
        <f t="shared" si="150"/>
        <v>#DIV/0!</v>
      </c>
      <c r="MXU71" s="1159" t="e">
        <f t="shared" si="150"/>
        <v>#DIV/0!</v>
      </c>
      <c r="MXV71" s="1159" t="e">
        <f t="shared" si="150"/>
        <v>#DIV/0!</v>
      </c>
      <c r="MXW71" s="1159" t="e">
        <f t="shared" si="150"/>
        <v>#DIV/0!</v>
      </c>
      <c r="MXX71" s="1159" t="e">
        <f t="shared" si="150"/>
        <v>#DIV/0!</v>
      </c>
      <c r="MXY71" s="1159" t="e">
        <f t="shared" si="150"/>
        <v>#DIV/0!</v>
      </c>
      <c r="MXZ71" s="1159" t="e">
        <f t="shared" si="150"/>
        <v>#DIV/0!</v>
      </c>
      <c r="MYA71" s="1159" t="e">
        <f t="shared" si="150"/>
        <v>#DIV/0!</v>
      </c>
      <c r="MYB71" s="1159" t="e">
        <f t="shared" si="150"/>
        <v>#DIV/0!</v>
      </c>
      <c r="MYC71" s="1159" t="e">
        <f t="shared" si="150"/>
        <v>#DIV/0!</v>
      </c>
      <c r="MYD71" s="1159" t="e">
        <f t="shared" si="150"/>
        <v>#DIV/0!</v>
      </c>
      <c r="MYE71" s="1159" t="e">
        <f t="shared" si="150"/>
        <v>#DIV/0!</v>
      </c>
      <c r="MYF71" s="1159" t="e">
        <f t="shared" si="150"/>
        <v>#DIV/0!</v>
      </c>
      <c r="MYG71" s="1159" t="e">
        <f t="shared" si="150"/>
        <v>#DIV/0!</v>
      </c>
      <c r="MYH71" s="1159" t="e">
        <f t="shared" si="150"/>
        <v>#DIV/0!</v>
      </c>
      <c r="MYI71" s="1159" t="e">
        <f t="shared" si="150"/>
        <v>#DIV/0!</v>
      </c>
      <c r="MYJ71" s="1159" t="e">
        <f t="shared" si="150"/>
        <v>#DIV/0!</v>
      </c>
      <c r="MYK71" s="1159" t="e">
        <f t="shared" si="150"/>
        <v>#DIV/0!</v>
      </c>
      <c r="MYL71" s="1159" t="e">
        <f t="shared" si="150"/>
        <v>#DIV/0!</v>
      </c>
      <c r="MYM71" s="1159" t="e">
        <f t="shared" si="150"/>
        <v>#DIV/0!</v>
      </c>
      <c r="MYN71" s="1159" t="e">
        <f t="shared" si="150"/>
        <v>#DIV/0!</v>
      </c>
      <c r="MYO71" s="1159" t="e">
        <f t="shared" si="150"/>
        <v>#DIV/0!</v>
      </c>
      <c r="MYP71" s="1159" t="e">
        <f t="shared" si="150"/>
        <v>#DIV/0!</v>
      </c>
      <c r="MYQ71" s="1159" t="e">
        <f t="shared" si="150"/>
        <v>#DIV/0!</v>
      </c>
      <c r="MYR71" s="1159" t="e">
        <f t="shared" si="150"/>
        <v>#DIV/0!</v>
      </c>
      <c r="MYS71" s="1159" t="e">
        <f t="shared" si="150"/>
        <v>#DIV/0!</v>
      </c>
      <c r="MYT71" s="1159" t="e">
        <f t="shared" si="150"/>
        <v>#DIV/0!</v>
      </c>
      <c r="MYU71" s="1159" t="e">
        <f t="shared" si="150"/>
        <v>#DIV/0!</v>
      </c>
      <c r="MYV71" s="1159" t="e">
        <f t="shared" si="150"/>
        <v>#DIV/0!</v>
      </c>
      <c r="MYW71" s="1159" t="e">
        <f t="shared" si="150"/>
        <v>#DIV/0!</v>
      </c>
      <c r="MYX71" s="1159" t="e">
        <f t="shared" si="150"/>
        <v>#DIV/0!</v>
      </c>
      <c r="MYY71" s="1159" t="e">
        <f t="shared" si="150"/>
        <v>#DIV/0!</v>
      </c>
      <c r="MYZ71" s="1159" t="e">
        <f t="shared" si="150"/>
        <v>#DIV/0!</v>
      </c>
      <c r="MZA71" s="1159" t="e">
        <f t="shared" si="150"/>
        <v>#DIV/0!</v>
      </c>
      <c r="MZB71" s="1159" t="e">
        <f t="shared" si="150"/>
        <v>#DIV/0!</v>
      </c>
      <c r="MZC71" s="1159" t="e">
        <f t="shared" si="150"/>
        <v>#DIV/0!</v>
      </c>
      <c r="MZD71" s="1159" t="e">
        <f t="shared" si="150"/>
        <v>#DIV/0!</v>
      </c>
      <c r="MZE71" s="1159" t="e">
        <f t="shared" si="150"/>
        <v>#DIV/0!</v>
      </c>
      <c r="MZF71" s="1159" t="e">
        <f t="shared" si="150"/>
        <v>#DIV/0!</v>
      </c>
      <c r="MZG71" s="1159" t="e">
        <f t="shared" si="150"/>
        <v>#DIV/0!</v>
      </c>
      <c r="MZH71" s="1159" t="e">
        <f t="shared" si="150"/>
        <v>#DIV/0!</v>
      </c>
      <c r="MZI71" s="1159" t="e">
        <f t="shared" si="150"/>
        <v>#DIV/0!</v>
      </c>
      <c r="MZJ71" s="1159" t="e">
        <f t="shared" si="150"/>
        <v>#DIV/0!</v>
      </c>
      <c r="MZK71" s="1159" t="e">
        <f t="shared" si="150"/>
        <v>#DIV/0!</v>
      </c>
      <c r="MZL71" s="1159" t="e">
        <f t="shared" si="150"/>
        <v>#DIV/0!</v>
      </c>
      <c r="MZM71" s="1159" t="e">
        <f t="shared" si="150"/>
        <v>#DIV/0!</v>
      </c>
      <c r="MZN71" s="1159" t="e">
        <f t="shared" ref="MZN71:NBY71" si="151">((MZN6+MZN12+MZN13+MZN14+MZN15)*860+MZN16*MZN55+MZN17*MZN56+MZN7*MZN49+MZN8*MZN50+MZN9*MZN51+MZN10*MZN52+MZN11*MZN53)/(SUM(MZN6:MZN17))</f>
        <v>#DIV/0!</v>
      </c>
      <c r="MZO71" s="1159" t="e">
        <f t="shared" si="151"/>
        <v>#DIV/0!</v>
      </c>
      <c r="MZP71" s="1159" t="e">
        <f t="shared" si="151"/>
        <v>#DIV/0!</v>
      </c>
      <c r="MZQ71" s="1159" t="e">
        <f t="shared" si="151"/>
        <v>#DIV/0!</v>
      </c>
      <c r="MZR71" s="1159" t="e">
        <f t="shared" si="151"/>
        <v>#DIV/0!</v>
      </c>
      <c r="MZS71" s="1159" t="e">
        <f t="shared" si="151"/>
        <v>#DIV/0!</v>
      </c>
      <c r="MZT71" s="1159" t="e">
        <f t="shared" si="151"/>
        <v>#DIV/0!</v>
      </c>
      <c r="MZU71" s="1159" t="e">
        <f t="shared" si="151"/>
        <v>#DIV/0!</v>
      </c>
      <c r="MZV71" s="1159" t="e">
        <f t="shared" si="151"/>
        <v>#DIV/0!</v>
      </c>
      <c r="MZW71" s="1159" t="e">
        <f t="shared" si="151"/>
        <v>#DIV/0!</v>
      </c>
      <c r="MZX71" s="1159" t="e">
        <f t="shared" si="151"/>
        <v>#DIV/0!</v>
      </c>
      <c r="MZY71" s="1159" t="e">
        <f t="shared" si="151"/>
        <v>#DIV/0!</v>
      </c>
      <c r="MZZ71" s="1159" t="e">
        <f t="shared" si="151"/>
        <v>#DIV/0!</v>
      </c>
      <c r="NAA71" s="1159" t="e">
        <f t="shared" si="151"/>
        <v>#DIV/0!</v>
      </c>
      <c r="NAB71" s="1159" t="e">
        <f t="shared" si="151"/>
        <v>#DIV/0!</v>
      </c>
      <c r="NAC71" s="1159" t="e">
        <f t="shared" si="151"/>
        <v>#DIV/0!</v>
      </c>
      <c r="NAD71" s="1159" t="e">
        <f t="shared" si="151"/>
        <v>#DIV/0!</v>
      </c>
      <c r="NAE71" s="1159" t="e">
        <f t="shared" si="151"/>
        <v>#DIV/0!</v>
      </c>
      <c r="NAF71" s="1159" t="e">
        <f t="shared" si="151"/>
        <v>#DIV/0!</v>
      </c>
      <c r="NAG71" s="1159" t="e">
        <f t="shared" si="151"/>
        <v>#DIV/0!</v>
      </c>
      <c r="NAH71" s="1159" t="e">
        <f t="shared" si="151"/>
        <v>#DIV/0!</v>
      </c>
      <c r="NAI71" s="1159" t="e">
        <f t="shared" si="151"/>
        <v>#DIV/0!</v>
      </c>
      <c r="NAJ71" s="1159" t="e">
        <f t="shared" si="151"/>
        <v>#DIV/0!</v>
      </c>
      <c r="NAK71" s="1159" t="e">
        <f t="shared" si="151"/>
        <v>#DIV/0!</v>
      </c>
      <c r="NAL71" s="1159" t="e">
        <f t="shared" si="151"/>
        <v>#DIV/0!</v>
      </c>
      <c r="NAM71" s="1159" t="e">
        <f t="shared" si="151"/>
        <v>#DIV/0!</v>
      </c>
      <c r="NAN71" s="1159" t="e">
        <f t="shared" si="151"/>
        <v>#DIV/0!</v>
      </c>
      <c r="NAO71" s="1159" t="e">
        <f t="shared" si="151"/>
        <v>#DIV/0!</v>
      </c>
      <c r="NAP71" s="1159" t="e">
        <f t="shared" si="151"/>
        <v>#DIV/0!</v>
      </c>
      <c r="NAQ71" s="1159" t="e">
        <f t="shared" si="151"/>
        <v>#DIV/0!</v>
      </c>
      <c r="NAR71" s="1159" t="e">
        <f t="shared" si="151"/>
        <v>#DIV/0!</v>
      </c>
      <c r="NAS71" s="1159" t="e">
        <f t="shared" si="151"/>
        <v>#DIV/0!</v>
      </c>
      <c r="NAT71" s="1159" t="e">
        <f t="shared" si="151"/>
        <v>#DIV/0!</v>
      </c>
      <c r="NAU71" s="1159" t="e">
        <f t="shared" si="151"/>
        <v>#DIV/0!</v>
      </c>
      <c r="NAV71" s="1159" t="e">
        <f t="shared" si="151"/>
        <v>#DIV/0!</v>
      </c>
      <c r="NAW71" s="1159" t="e">
        <f t="shared" si="151"/>
        <v>#DIV/0!</v>
      </c>
      <c r="NAX71" s="1159" t="e">
        <f t="shared" si="151"/>
        <v>#DIV/0!</v>
      </c>
      <c r="NAY71" s="1159" t="e">
        <f t="shared" si="151"/>
        <v>#DIV/0!</v>
      </c>
      <c r="NAZ71" s="1159" t="e">
        <f t="shared" si="151"/>
        <v>#DIV/0!</v>
      </c>
      <c r="NBA71" s="1159" t="e">
        <f t="shared" si="151"/>
        <v>#DIV/0!</v>
      </c>
      <c r="NBB71" s="1159" t="e">
        <f t="shared" si="151"/>
        <v>#DIV/0!</v>
      </c>
      <c r="NBC71" s="1159" t="e">
        <f t="shared" si="151"/>
        <v>#DIV/0!</v>
      </c>
      <c r="NBD71" s="1159" t="e">
        <f t="shared" si="151"/>
        <v>#DIV/0!</v>
      </c>
      <c r="NBE71" s="1159" t="e">
        <f t="shared" si="151"/>
        <v>#DIV/0!</v>
      </c>
      <c r="NBF71" s="1159" t="e">
        <f t="shared" si="151"/>
        <v>#DIV/0!</v>
      </c>
      <c r="NBG71" s="1159" t="e">
        <f t="shared" si="151"/>
        <v>#DIV/0!</v>
      </c>
      <c r="NBH71" s="1159" t="e">
        <f t="shared" si="151"/>
        <v>#DIV/0!</v>
      </c>
      <c r="NBI71" s="1159" t="e">
        <f t="shared" si="151"/>
        <v>#DIV/0!</v>
      </c>
      <c r="NBJ71" s="1159" t="e">
        <f t="shared" si="151"/>
        <v>#DIV/0!</v>
      </c>
      <c r="NBK71" s="1159" t="e">
        <f t="shared" si="151"/>
        <v>#DIV/0!</v>
      </c>
      <c r="NBL71" s="1159" t="e">
        <f t="shared" si="151"/>
        <v>#DIV/0!</v>
      </c>
      <c r="NBM71" s="1159" t="e">
        <f t="shared" si="151"/>
        <v>#DIV/0!</v>
      </c>
      <c r="NBN71" s="1159" t="e">
        <f t="shared" si="151"/>
        <v>#DIV/0!</v>
      </c>
      <c r="NBO71" s="1159" t="e">
        <f t="shared" si="151"/>
        <v>#DIV/0!</v>
      </c>
      <c r="NBP71" s="1159" t="e">
        <f t="shared" si="151"/>
        <v>#DIV/0!</v>
      </c>
      <c r="NBQ71" s="1159" t="e">
        <f t="shared" si="151"/>
        <v>#DIV/0!</v>
      </c>
      <c r="NBR71" s="1159" t="e">
        <f t="shared" si="151"/>
        <v>#DIV/0!</v>
      </c>
      <c r="NBS71" s="1159" t="e">
        <f t="shared" si="151"/>
        <v>#DIV/0!</v>
      </c>
      <c r="NBT71" s="1159" t="e">
        <f t="shared" si="151"/>
        <v>#DIV/0!</v>
      </c>
      <c r="NBU71" s="1159" t="e">
        <f t="shared" si="151"/>
        <v>#DIV/0!</v>
      </c>
      <c r="NBV71" s="1159" t="e">
        <f t="shared" si="151"/>
        <v>#DIV/0!</v>
      </c>
      <c r="NBW71" s="1159" t="e">
        <f t="shared" si="151"/>
        <v>#DIV/0!</v>
      </c>
      <c r="NBX71" s="1159" t="e">
        <f t="shared" si="151"/>
        <v>#DIV/0!</v>
      </c>
      <c r="NBY71" s="1159" t="e">
        <f t="shared" si="151"/>
        <v>#DIV/0!</v>
      </c>
      <c r="NBZ71" s="1159" t="e">
        <f t="shared" ref="NBZ71:NEK71" si="152">((NBZ6+NBZ12+NBZ13+NBZ14+NBZ15)*860+NBZ16*NBZ55+NBZ17*NBZ56+NBZ7*NBZ49+NBZ8*NBZ50+NBZ9*NBZ51+NBZ10*NBZ52+NBZ11*NBZ53)/(SUM(NBZ6:NBZ17))</f>
        <v>#DIV/0!</v>
      </c>
      <c r="NCA71" s="1159" t="e">
        <f t="shared" si="152"/>
        <v>#DIV/0!</v>
      </c>
      <c r="NCB71" s="1159" t="e">
        <f t="shared" si="152"/>
        <v>#DIV/0!</v>
      </c>
      <c r="NCC71" s="1159" t="e">
        <f t="shared" si="152"/>
        <v>#DIV/0!</v>
      </c>
      <c r="NCD71" s="1159" t="e">
        <f t="shared" si="152"/>
        <v>#DIV/0!</v>
      </c>
      <c r="NCE71" s="1159" t="e">
        <f t="shared" si="152"/>
        <v>#DIV/0!</v>
      </c>
      <c r="NCF71" s="1159" t="e">
        <f t="shared" si="152"/>
        <v>#DIV/0!</v>
      </c>
      <c r="NCG71" s="1159" t="e">
        <f t="shared" si="152"/>
        <v>#DIV/0!</v>
      </c>
      <c r="NCH71" s="1159" t="e">
        <f t="shared" si="152"/>
        <v>#DIV/0!</v>
      </c>
      <c r="NCI71" s="1159" t="e">
        <f t="shared" si="152"/>
        <v>#DIV/0!</v>
      </c>
      <c r="NCJ71" s="1159" t="e">
        <f t="shared" si="152"/>
        <v>#DIV/0!</v>
      </c>
      <c r="NCK71" s="1159" t="e">
        <f t="shared" si="152"/>
        <v>#DIV/0!</v>
      </c>
      <c r="NCL71" s="1159" t="e">
        <f t="shared" si="152"/>
        <v>#DIV/0!</v>
      </c>
      <c r="NCM71" s="1159" t="e">
        <f t="shared" si="152"/>
        <v>#DIV/0!</v>
      </c>
      <c r="NCN71" s="1159" t="e">
        <f t="shared" si="152"/>
        <v>#DIV/0!</v>
      </c>
      <c r="NCO71" s="1159" t="e">
        <f t="shared" si="152"/>
        <v>#DIV/0!</v>
      </c>
      <c r="NCP71" s="1159" t="e">
        <f t="shared" si="152"/>
        <v>#DIV/0!</v>
      </c>
      <c r="NCQ71" s="1159" t="e">
        <f t="shared" si="152"/>
        <v>#DIV/0!</v>
      </c>
      <c r="NCR71" s="1159" t="e">
        <f t="shared" si="152"/>
        <v>#DIV/0!</v>
      </c>
      <c r="NCS71" s="1159" t="e">
        <f t="shared" si="152"/>
        <v>#DIV/0!</v>
      </c>
      <c r="NCT71" s="1159" t="e">
        <f t="shared" si="152"/>
        <v>#DIV/0!</v>
      </c>
      <c r="NCU71" s="1159" t="e">
        <f t="shared" si="152"/>
        <v>#DIV/0!</v>
      </c>
      <c r="NCV71" s="1159" t="e">
        <f t="shared" si="152"/>
        <v>#DIV/0!</v>
      </c>
      <c r="NCW71" s="1159" t="e">
        <f t="shared" si="152"/>
        <v>#DIV/0!</v>
      </c>
      <c r="NCX71" s="1159" t="e">
        <f t="shared" si="152"/>
        <v>#DIV/0!</v>
      </c>
      <c r="NCY71" s="1159" t="e">
        <f t="shared" si="152"/>
        <v>#DIV/0!</v>
      </c>
      <c r="NCZ71" s="1159" t="e">
        <f t="shared" si="152"/>
        <v>#DIV/0!</v>
      </c>
      <c r="NDA71" s="1159" t="e">
        <f t="shared" si="152"/>
        <v>#DIV/0!</v>
      </c>
      <c r="NDB71" s="1159" t="e">
        <f t="shared" si="152"/>
        <v>#DIV/0!</v>
      </c>
      <c r="NDC71" s="1159" t="e">
        <f t="shared" si="152"/>
        <v>#DIV/0!</v>
      </c>
      <c r="NDD71" s="1159" t="e">
        <f t="shared" si="152"/>
        <v>#DIV/0!</v>
      </c>
      <c r="NDE71" s="1159" t="e">
        <f t="shared" si="152"/>
        <v>#DIV/0!</v>
      </c>
      <c r="NDF71" s="1159" t="e">
        <f t="shared" si="152"/>
        <v>#DIV/0!</v>
      </c>
      <c r="NDG71" s="1159" t="e">
        <f t="shared" si="152"/>
        <v>#DIV/0!</v>
      </c>
      <c r="NDH71" s="1159" t="e">
        <f t="shared" si="152"/>
        <v>#DIV/0!</v>
      </c>
      <c r="NDI71" s="1159" t="e">
        <f t="shared" si="152"/>
        <v>#DIV/0!</v>
      </c>
      <c r="NDJ71" s="1159" t="e">
        <f t="shared" si="152"/>
        <v>#DIV/0!</v>
      </c>
      <c r="NDK71" s="1159" t="e">
        <f t="shared" si="152"/>
        <v>#DIV/0!</v>
      </c>
      <c r="NDL71" s="1159" t="e">
        <f t="shared" si="152"/>
        <v>#DIV/0!</v>
      </c>
      <c r="NDM71" s="1159" t="e">
        <f t="shared" si="152"/>
        <v>#DIV/0!</v>
      </c>
      <c r="NDN71" s="1159" t="e">
        <f t="shared" si="152"/>
        <v>#DIV/0!</v>
      </c>
      <c r="NDO71" s="1159" t="e">
        <f t="shared" si="152"/>
        <v>#DIV/0!</v>
      </c>
      <c r="NDP71" s="1159" t="e">
        <f t="shared" si="152"/>
        <v>#DIV/0!</v>
      </c>
      <c r="NDQ71" s="1159" t="e">
        <f t="shared" si="152"/>
        <v>#DIV/0!</v>
      </c>
      <c r="NDR71" s="1159" t="e">
        <f t="shared" si="152"/>
        <v>#DIV/0!</v>
      </c>
      <c r="NDS71" s="1159" t="e">
        <f t="shared" si="152"/>
        <v>#DIV/0!</v>
      </c>
      <c r="NDT71" s="1159" t="e">
        <f t="shared" si="152"/>
        <v>#DIV/0!</v>
      </c>
      <c r="NDU71" s="1159" t="e">
        <f t="shared" si="152"/>
        <v>#DIV/0!</v>
      </c>
      <c r="NDV71" s="1159" t="e">
        <f t="shared" si="152"/>
        <v>#DIV/0!</v>
      </c>
      <c r="NDW71" s="1159" t="e">
        <f t="shared" si="152"/>
        <v>#DIV/0!</v>
      </c>
      <c r="NDX71" s="1159" t="e">
        <f t="shared" si="152"/>
        <v>#DIV/0!</v>
      </c>
      <c r="NDY71" s="1159" t="e">
        <f t="shared" si="152"/>
        <v>#DIV/0!</v>
      </c>
      <c r="NDZ71" s="1159" t="e">
        <f t="shared" si="152"/>
        <v>#DIV/0!</v>
      </c>
      <c r="NEA71" s="1159" t="e">
        <f t="shared" si="152"/>
        <v>#DIV/0!</v>
      </c>
      <c r="NEB71" s="1159" t="e">
        <f t="shared" si="152"/>
        <v>#DIV/0!</v>
      </c>
      <c r="NEC71" s="1159" t="e">
        <f t="shared" si="152"/>
        <v>#DIV/0!</v>
      </c>
      <c r="NED71" s="1159" t="e">
        <f t="shared" si="152"/>
        <v>#DIV/0!</v>
      </c>
      <c r="NEE71" s="1159" t="e">
        <f t="shared" si="152"/>
        <v>#DIV/0!</v>
      </c>
      <c r="NEF71" s="1159" t="e">
        <f t="shared" si="152"/>
        <v>#DIV/0!</v>
      </c>
      <c r="NEG71" s="1159" t="e">
        <f t="shared" si="152"/>
        <v>#DIV/0!</v>
      </c>
      <c r="NEH71" s="1159" t="e">
        <f t="shared" si="152"/>
        <v>#DIV/0!</v>
      </c>
      <c r="NEI71" s="1159" t="e">
        <f t="shared" si="152"/>
        <v>#DIV/0!</v>
      </c>
      <c r="NEJ71" s="1159" t="e">
        <f t="shared" si="152"/>
        <v>#DIV/0!</v>
      </c>
      <c r="NEK71" s="1159" t="e">
        <f t="shared" si="152"/>
        <v>#DIV/0!</v>
      </c>
      <c r="NEL71" s="1159" t="e">
        <f t="shared" ref="NEL71:NGW71" si="153">((NEL6+NEL12+NEL13+NEL14+NEL15)*860+NEL16*NEL55+NEL17*NEL56+NEL7*NEL49+NEL8*NEL50+NEL9*NEL51+NEL10*NEL52+NEL11*NEL53)/(SUM(NEL6:NEL17))</f>
        <v>#DIV/0!</v>
      </c>
      <c r="NEM71" s="1159" t="e">
        <f t="shared" si="153"/>
        <v>#DIV/0!</v>
      </c>
      <c r="NEN71" s="1159" t="e">
        <f t="shared" si="153"/>
        <v>#DIV/0!</v>
      </c>
      <c r="NEO71" s="1159" t="e">
        <f t="shared" si="153"/>
        <v>#DIV/0!</v>
      </c>
      <c r="NEP71" s="1159" t="e">
        <f t="shared" si="153"/>
        <v>#DIV/0!</v>
      </c>
      <c r="NEQ71" s="1159" t="e">
        <f t="shared" si="153"/>
        <v>#DIV/0!</v>
      </c>
      <c r="NER71" s="1159" t="e">
        <f t="shared" si="153"/>
        <v>#DIV/0!</v>
      </c>
      <c r="NES71" s="1159" t="e">
        <f t="shared" si="153"/>
        <v>#DIV/0!</v>
      </c>
      <c r="NET71" s="1159" t="e">
        <f t="shared" si="153"/>
        <v>#DIV/0!</v>
      </c>
      <c r="NEU71" s="1159" t="e">
        <f t="shared" si="153"/>
        <v>#DIV/0!</v>
      </c>
      <c r="NEV71" s="1159" t="e">
        <f t="shared" si="153"/>
        <v>#DIV/0!</v>
      </c>
      <c r="NEW71" s="1159" t="e">
        <f t="shared" si="153"/>
        <v>#DIV/0!</v>
      </c>
      <c r="NEX71" s="1159" t="e">
        <f t="shared" si="153"/>
        <v>#DIV/0!</v>
      </c>
      <c r="NEY71" s="1159" t="e">
        <f t="shared" si="153"/>
        <v>#DIV/0!</v>
      </c>
      <c r="NEZ71" s="1159" t="e">
        <f t="shared" si="153"/>
        <v>#DIV/0!</v>
      </c>
      <c r="NFA71" s="1159" t="e">
        <f t="shared" si="153"/>
        <v>#DIV/0!</v>
      </c>
      <c r="NFB71" s="1159" t="e">
        <f t="shared" si="153"/>
        <v>#DIV/0!</v>
      </c>
      <c r="NFC71" s="1159" t="e">
        <f t="shared" si="153"/>
        <v>#DIV/0!</v>
      </c>
      <c r="NFD71" s="1159" t="e">
        <f t="shared" si="153"/>
        <v>#DIV/0!</v>
      </c>
      <c r="NFE71" s="1159" t="e">
        <f t="shared" si="153"/>
        <v>#DIV/0!</v>
      </c>
      <c r="NFF71" s="1159" t="e">
        <f t="shared" si="153"/>
        <v>#DIV/0!</v>
      </c>
      <c r="NFG71" s="1159" t="e">
        <f t="shared" si="153"/>
        <v>#DIV/0!</v>
      </c>
      <c r="NFH71" s="1159" t="e">
        <f t="shared" si="153"/>
        <v>#DIV/0!</v>
      </c>
      <c r="NFI71" s="1159" t="e">
        <f t="shared" si="153"/>
        <v>#DIV/0!</v>
      </c>
      <c r="NFJ71" s="1159" t="e">
        <f t="shared" si="153"/>
        <v>#DIV/0!</v>
      </c>
      <c r="NFK71" s="1159" t="e">
        <f t="shared" si="153"/>
        <v>#DIV/0!</v>
      </c>
      <c r="NFL71" s="1159" t="e">
        <f t="shared" si="153"/>
        <v>#DIV/0!</v>
      </c>
      <c r="NFM71" s="1159" t="e">
        <f t="shared" si="153"/>
        <v>#DIV/0!</v>
      </c>
      <c r="NFN71" s="1159" t="e">
        <f t="shared" si="153"/>
        <v>#DIV/0!</v>
      </c>
      <c r="NFO71" s="1159" t="e">
        <f t="shared" si="153"/>
        <v>#DIV/0!</v>
      </c>
      <c r="NFP71" s="1159" t="e">
        <f t="shared" si="153"/>
        <v>#DIV/0!</v>
      </c>
      <c r="NFQ71" s="1159" t="e">
        <f t="shared" si="153"/>
        <v>#DIV/0!</v>
      </c>
      <c r="NFR71" s="1159" t="e">
        <f t="shared" si="153"/>
        <v>#DIV/0!</v>
      </c>
      <c r="NFS71" s="1159" t="e">
        <f t="shared" si="153"/>
        <v>#DIV/0!</v>
      </c>
      <c r="NFT71" s="1159" t="e">
        <f t="shared" si="153"/>
        <v>#DIV/0!</v>
      </c>
      <c r="NFU71" s="1159" t="e">
        <f t="shared" si="153"/>
        <v>#DIV/0!</v>
      </c>
      <c r="NFV71" s="1159" t="e">
        <f t="shared" si="153"/>
        <v>#DIV/0!</v>
      </c>
      <c r="NFW71" s="1159" t="e">
        <f t="shared" si="153"/>
        <v>#DIV/0!</v>
      </c>
      <c r="NFX71" s="1159" t="e">
        <f t="shared" si="153"/>
        <v>#DIV/0!</v>
      </c>
      <c r="NFY71" s="1159" t="e">
        <f t="shared" si="153"/>
        <v>#DIV/0!</v>
      </c>
      <c r="NFZ71" s="1159" t="e">
        <f t="shared" si="153"/>
        <v>#DIV/0!</v>
      </c>
      <c r="NGA71" s="1159" t="e">
        <f t="shared" si="153"/>
        <v>#DIV/0!</v>
      </c>
      <c r="NGB71" s="1159" t="e">
        <f t="shared" si="153"/>
        <v>#DIV/0!</v>
      </c>
      <c r="NGC71" s="1159" t="e">
        <f t="shared" si="153"/>
        <v>#DIV/0!</v>
      </c>
      <c r="NGD71" s="1159" t="e">
        <f t="shared" si="153"/>
        <v>#DIV/0!</v>
      </c>
      <c r="NGE71" s="1159" t="e">
        <f t="shared" si="153"/>
        <v>#DIV/0!</v>
      </c>
      <c r="NGF71" s="1159" t="e">
        <f t="shared" si="153"/>
        <v>#DIV/0!</v>
      </c>
      <c r="NGG71" s="1159" t="e">
        <f t="shared" si="153"/>
        <v>#DIV/0!</v>
      </c>
      <c r="NGH71" s="1159" t="e">
        <f t="shared" si="153"/>
        <v>#DIV/0!</v>
      </c>
      <c r="NGI71" s="1159" t="e">
        <f t="shared" si="153"/>
        <v>#DIV/0!</v>
      </c>
      <c r="NGJ71" s="1159" t="e">
        <f t="shared" si="153"/>
        <v>#DIV/0!</v>
      </c>
      <c r="NGK71" s="1159" t="e">
        <f t="shared" si="153"/>
        <v>#DIV/0!</v>
      </c>
      <c r="NGL71" s="1159" t="e">
        <f t="shared" si="153"/>
        <v>#DIV/0!</v>
      </c>
      <c r="NGM71" s="1159" t="e">
        <f t="shared" si="153"/>
        <v>#DIV/0!</v>
      </c>
      <c r="NGN71" s="1159" t="e">
        <f t="shared" si="153"/>
        <v>#DIV/0!</v>
      </c>
      <c r="NGO71" s="1159" t="e">
        <f t="shared" si="153"/>
        <v>#DIV/0!</v>
      </c>
      <c r="NGP71" s="1159" t="e">
        <f t="shared" si="153"/>
        <v>#DIV/0!</v>
      </c>
      <c r="NGQ71" s="1159" t="e">
        <f t="shared" si="153"/>
        <v>#DIV/0!</v>
      </c>
      <c r="NGR71" s="1159" t="e">
        <f t="shared" si="153"/>
        <v>#DIV/0!</v>
      </c>
      <c r="NGS71" s="1159" t="e">
        <f t="shared" si="153"/>
        <v>#DIV/0!</v>
      </c>
      <c r="NGT71" s="1159" t="e">
        <f t="shared" si="153"/>
        <v>#DIV/0!</v>
      </c>
      <c r="NGU71" s="1159" t="e">
        <f t="shared" si="153"/>
        <v>#DIV/0!</v>
      </c>
      <c r="NGV71" s="1159" t="e">
        <f t="shared" si="153"/>
        <v>#DIV/0!</v>
      </c>
      <c r="NGW71" s="1159" t="e">
        <f t="shared" si="153"/>
        <v>#DIV/0!</v>
      </c>
      <c r="NGX71" s="1159" t="e">
        <f t="shared" ref="NGX71:NJI71" si="154">((NGX6+NGX12+NGX13+NGX14+NGX15)*860+NGX16*NGX55+NGX17*NGX56+NGX7*NGX49+NGX8*NGX50+NGX9*NGX51+NGX10*NGX52+NGX11*NGX53)/(SUM(NGX6:NGX17))</f>
        <v>#DIV/0!</v>
      </c>
      <c r="NGY71" s="1159" t="e">
        <f t="shared" si="154"/>
        <v>#DIV/0!</v>
      </c>
      <c r="NGZ71" s="1159" t="e">
        <f t="shared" si="154"/>
        <v>#DIV/0!</v>
      </c>
      <c r="NHA71" s="1159" t="e">
        <f t="shared" si="154"/>
        <v>#DIV/0!</v>
      </c>
      <c r="NHB71" s="1159" t="e">
        <f t="shared" si="154"/>
        <v>#DIV/0!</v>
      </c>
      <c r="NHC71" s="1159" t="e">
        <f t="shared" si="154"/>
        <v>#DIV/0!</v>
      </c>
      <c r="NHD71" s="1159" t="e">
        <f t="shared" si="154"/>
        <v>#DIV/0!</v>
      </c>
      <c r="NHE71" s="1159" t="e">
        <f t="shared" si="154"/>
        <v>#DIV/0!</v>
      </c>
      <c r="NHF71" s="1159" t="e">
        <f t="shared" si="154"/>
        <v>#DIV/0!</v>
      </c>
      <c r="NHG71" s="1159" t="e">
        <f t="shared" si="154"/>
        <v>#DIV/0!</v>
      </c>
      <c r="NHH71" s="1159" t="e">
        <f t="shared" si="154"/>
        <v>#DIV/0!</v>
      </c>
      <c r="NHI71" s="1159" t="e">
        <f t="shared" si="154"/>
        <v>#DIV/0!</v>
      </c>
      <c r="NHJ71" s="1159" t="e">
        <f t="shared" si="154"/>
        <v>#DIV/0!</v>
      </c>
      <c r="NHK71" s="1159" t="e">
        <f t="shared" si="154"/>
        <v>#DIV/0!</v>
      </c>
      <c r="NHL71" s="1159" t="e">
        <f t="shared" si="154"/>
        <v>#DIV/0!</v>
      </c>
      <c r="NHM71" s="1159" t="e">
        <f t="shared" si="154"/>
        <v>#DIV/0!</v>
      </c>
      <c r="NHN71" s="1159" t="e">
        <f t="shared" si="154"/>
        <v>#DIV/0!</v>
      </c>
      <c r="NHO71" s="1159" t="e">
        <f t="shared" si="154"/>
        <v>#DIV/0!</v>
      </c>
      <c r="NHP71" s="1159" t="e">
        <f t="shared" si="154"/>
        <v>#DIV/0!</v>
      </c>
      <c r="NHQ71" s="1159" t="e">
        <f t="shared" si="154"/>
        <v>#DIV/0!</v>
      </c>
      <c r="NHR71" s="1159" t="e">
        <f t="shared" si="154"/>
        <v>#DIV/0!</v>
      </c>
      <c r="NHS71" s="1159" t="e">
        <f t="shared" si="154"/>
        <v>#DIV/0!</v>
      </c>
      <c r="NHT71" s="1159" t="e">
        <f t="shared" si="154"/>
        <v>#DIV/0!</v>
      </c>
      <c r="NHU71" s="1159" t="e">
        <f t="shared" si="154"/>
        <v>#DIV/0!</v>
      </c>
      <c r="NHV71" s="1159" t="e">
        <f t="shared" si="154"/>
        <v>#DIV/0!</v>
      </c>
      <c r="NHW71" s="1159" t="e">
        <f t="shared" si="154"/>
        <v>#DIV/0!</v>
      </c>
      <c r="NHX71" s="1159" t="e">
        <f t="shared" si="154"/>
        <v>#DIV/0!</v>
      </c>
      <c r="NHY71" s="1159" t="e">
        <f t="shared" si="154"/>
        <v>#DIV/0!</v>
      </c>
      <c r="NHZ71" s="1159" t="e">
        <f t="shared" si="154"/>
        <v>#DIV/0!</v>
      </c>
      <c r="NIA71" s="1159" t="e">
        <f t="shared" si="154"/>
        <v>#DIV/0!</v>
      </c>
      <c r="NIB71" s="1159" t="e">
        <f t="shared" si="154"/>
        <v>#DIV/0!</v>
      </c>
      <c r="NIC71" s="1159" t="e">
        <f t="shared" si="154"/>
        <v>#DIV/0!</v>
      </c>
      <c r="NID71" s="1159" t="e">
        <f t="shared" si="154"/>
        <v>#DIV/0!</v>
      </c>
      <c r="NIE71" s="1159" t="e">
        <f t="shared" si="154"/>
        <v>#DIV/0!</v>
      </c>
      <c r="NIF71" s="1159" t="e">
        <f t="shared" si="154"/>
        <v>#DIV/0!</v>
      </c>
      <c r="NIG71" s="1159" t="e">
        <f t="shared" si="154"/>
        <v>#DIV/0!</v>
      </c>
      <c r="NIH71" s="1159" t="e">
        <f t="shared" si="154"/>
        <v>#DIV/0!</v>
      </c>
      <c r="NII71" s="1159" t="e">
        <f t="shared" si="154"/>
        <v>#DIV/0!</v>
      </c>
      <c r="NIJ71" s="1159" t="e">
        <f t="shared" si="154"/>
        <v>#DIV/0!</v>
      </c>
      <c r="NIK71" s="1159" t="e">
        <f t="shared" si="154"/>
        <v>#DIV/0!</v>
      </c>
      <c r="NIL71" s="1159" t="e">
        <f t="shared" si="154"/>
        <v>#DIV/0!</v>
      </c>
      <c r="NIM71" s="1159" t="e">
        <f t="shared" si="154"/>
        <v>#DIV/0!</v>
      </c>
      <c r="NIN71" s="1159" t="e">
        <f t="shared" si="154"/>
        <v>#DIV/0!</v>
      </c>
      <c r="NIO71" s="1159" t="e">
        <f t="shared" si="154"/>
        <v>#DIV/0!</v>
      </c>
      <c r="NIP71" s="1159" t="e">
        <f t="shared" si="154"/>
        <v>#DIV/0!</v>
      </c>
      <c r="NIQ71" s="1159" t="e">
        <f t="shared" si="154"/>
        <v>#DIV/0!</v>
      </c>
      <c r="NIR71" s="1159" t="e">
        <f t="shared" si="154"/>
        <v>#DIV/0!</v>
      </c>
      <c r="NIS71" s="1159" t="e">
        <f t="shared" si="154"/>
        <v>#DIV/0!</v>
      </c>
      <c r="NIT71" s="1159" t="e">
        <f t="shared" si="154"/>
        <v>#DIV/0!</v>
      </c>
      <c r="NIU71" s="1159" t="e">
        <f t="shared" si="154"/>
        <v>#DIV/0!</v>
      </c>
      <c r="NIV71" s="1159" t="e">
        <f t="shared" si="154"/>
        <v>#DIV/0!</v>
      </c>
      <c r="NIW71" s="1159" t="e">
        <f t="shared" si="154"/>
        <v>#DIV/0!</v>
      </c>
      <c r="NIX71" s="1159" t="e">
        <f t="shared" si="154"/>
        <v>#DIV/0!</v>
      </c>
      <c r="NIY71" s="1159" t="e">
        <f t="shared" si="154"/>
        <v>#DIV/0!</v>
      </c>
      <c r="NIZ71" s="1159" t="e">
        <f t="shared" si="154"/>
        <v>#DIV/0!</v>
      </c>
      <c r="NJA71" s="1159" t="e">
        <f t="shared" si="154"/>
        <v>#DIV/0!</v>
      </c>
      <c r="NJB71" s="1159" t="e">
        <f t="shared" si="154"/>
        <v>#DIV/0!</v>
      </c>
      <c r="NJC71" s="1159" t="e">
        <f t="shared" si="154"/>
        <v>#DIV/0!</v>
      </c>
      <c r="NJD71" s="1159" t="e">
        <f t="shared" si="154"/>
        <v>#DIV/0!</v>
      </c>
      <c r="NJE71" s="1159" t="e">
        <f t="shared" si="154"/>
        <v>#DIV/0!</v>
      </c>
      <c r="NJF71" s="1159" t="e">
        <f t="shared" si="154"/>
        <v>#DIV/0!</v>
      </c>
      <c r="NJG71" s="1159" t="e">
        <f t="shared" si="154"/>
        <v>#DIV/0!</v>
      </c>
      <c r="NJH71" s="1159" t="e">
        <f t="shared" si="154"/>
        <v>#DIV/0!</v>
      </c>
      <c r="NJI71" s="1159" t="e">
        <f t="shared" si="154"/>
        <v>#DIV/0!</v>
      </c>
      <c r="NJJ71" s="1159" t="e">
        <f t="shared" ref="NJJ71:NLU71" si="155">((NJJ6+NJJ12+NJJ13+NJJ14+NJJ15)*860+NJJ16*NJJ55+NJJ17*NJJ56+NJJ7*NJJ49+NJJ8*NJJ50+NJJ9*NJJ51+NJJ10*NJJ52+NJJ11*NJJ53)/(SUM(NJJ6:NJJ17))</f>
        <v>#DIV/0!</v>
      </c>
      <c r="NJK71" s="1159" t="e">
        <f t="shared" si="155"/>
        <v>#DIV/0!</v>
      </c>
      <c r="NJL71" s="1159" t="e">
        <f t="shared" si="155"/>
        <v>#DIV/0!</v>
      </c>
      <c r="NJM71" s="1159" t="e">
        <f t="shared" si="155"/>
        <v>#DIV/0!</v>
      </c>
      <c r="NJN71" s="1159" t="e">
        <f t="shared" si="155"/>
        <v>#DIV/0!</v>
      </c>
      <c r="NJO71" s="1159" t="e">
        <f t="shared" si="155"/>
        <v>#DIV/0!</v>
      </c>
      <c r="NJP71" s="1159" t="e">
        <f t="shared" si="155"/>
        <v>#DIV/0!</v>
      </c>
      <c r="NJQ71" s="1159" t="e">
        <f t="shared" si="155"/>
        <v>#DIV/0!</v>
      </c>
      <c r="NJR71" s="1159" t="e">
        <f t="shared" si="155"/>
        <v>#DIV/0!</v>
      </c>
      <c r="NJS71" s="1159" t="e">
        <f t="shared" si="155"/>
        <v>#DIV/0!</v>
      </c>
      <c r="NJT71" s="1159" t="e">
        <f t="shared" si="155"/>
        <v>#DIV/0!</v>
      </c>
      <c r="NJU71" s="1159" t="e">
        <f t="shared" si="155"/>
        <v>#DIV/0!</v>
      </c>
      <c r="NJV71" s="1159" t="e">
        <f t="shared" si="155"/>
        <v>#DIV/0!</v>
      </c>
      <c r="NJW71" s="1159" t="e">
        <f t="shared" si="155"/>
        <v>#DIV/0!</v>
      </c>
      <c r="NJX71" s="1159" t="e">
        <f t="shared" si="155"/>
        <v>#DIV/0!</v>
      </c>
      <c r="NJY71" s="1159" t="e">
        <f t="shared" si="155"/>
        <v>#DIV/0!</v>
      </c>
      <c r="NJZ71" s="1159" t="e">
        <f t="shared" si="155"/>
        <v>#DIV/0!</v>
      </c>
      <c r="NKA71" s="1159" t="e">
        <f t="shared" si="155"/>
        <v>#DIV/0!</v>
      </c>
      <c r="NKB71" s="1159" t="e">
        <f t="shared" si="155"/>
        <v>#DIV/0!</v>
      </c>
      <c r="NKC71" s="1159" t="e">
        <f t="shared" si="155"/>
        <v>#DIV/0!</v>
      </c>
      <c r="NKD71" s="1159" t="e">
        <f t="shared" si="155"/>
        <v>#DIV/0!</v>
      </c>
      <c r="NKE71" s="1159" t="e">
        <f t="shared" si="155"/>
        <v>#DIV/0!</v>
      </c>
      <c r="NKF71" s="1159" t="e">
        <f t="shared" si="155"/>
        <v>#DIV/0!</v>
      </c>
      <c r="NKG71" s="1159" t="e">
        <f t="shared" si="155"/>
        <v>#DIV/0!</v>
      </c>
      <c r="NKH71" s="1159" t="e">
        <f t="shared" si="155"/>
        <v>#DIV/0!</v>
      </c>
      <c r="NKI71" s="1159" t="e">
        <f t="shared" si="155"/>
        <v>#DIV/0!</v>
      </c>
      <c r="NKJ71" s="1159" t="e">
        <f t="shared" si="155"/>
        <v>#DIV/0!</v>
      </c>
      <c r="NKK71" s="1159" t="e">
        <f t="shared" si="155"/>
        <v>#DIV/0!</v>
      </c>
      <c r="NKL71" s="1159" t="e">
        <f t="shared" si="155"/>
        <v>#DIV/0!</v>
      </c>
      <c r="NKM71" s="1159" t="e">
        <f t="shared" si="155"/>
        <v>#DIV/0!</v>
      </c>
      <c r="NKN71" s="1159" t="e">
        <f t="shared" si="155"/>
        <v>#DIV/0!</v>
      </c>
      <c r="NKO71" s="1159" t="e">
        <f t="shared" si="155"/>
        <v>#DIV/0!</v>
      </c>
      <c r="NKP71" s="1159" t="e">
        <f t="shared" si="155"/>
        <v>#DIV/0!</v>
      </c>
      <c r="NKQ71" s="1159" t="e">
        <f t="shared" si="155"/>
        <v>#DIV/0!</v>
      </c>
      <c r="NKR71" s="1159" t="e">
        <f t="shared" si="155"/>
        <v>#DIV/0!</v>
      </c>
      <c r="NKS71" s="1159" t="e">
        <f t="shared" si="155"/>
        <v>#DIV/0!</v>
      </c>
      <c r="NKT71" s="1159" t="e">
        <f t="shared" si="155"/>
        <v>#DIV/0!</v>
      </c>
      <c r="NKU71" s="1159" t="e">
        <f t="shared" si="155"/>
        <v>#DIV/0!</v>
      </c>
      <c r="NKV71" s="1159" t="e">
        <f t="shared" si="155"/>
        <v>#DIV/0!</v>
      </c>
      <c r="NKW71" s="1159" t="e">
        <f t="shared" si="155"/>
        <v>#DIV/0!</v>
      </c>
      <c r="NKX71" s="1159" t="e">
        <f t="shared" si="155"/>
        <v>#DIV/0!</v>
      </c>
      <c r="NKY71" s="1159" t="e">
        <f t="shared" si="155"/>
        <v>#DIV/0!</v>
      </c>
      <c r="NKZ71" s="1159" t="e">
        <f t="shared" si="155"/>
        <v>#DIV/0!</v>
      </c>
      <c r="NLA71" s="1159" t="e">
        <f t="shared" si="155"/>
        <v>#DIV/0!</v>
      </c>
      <c r="NLB71" s="1159" t="e">
        <f t="shared" si="155"/>
        <v>#DIV/0!</v>
      </c>
      <c r="NLC71" s="1159" t="e">
        <f t="shared" si="155"/>
        <v>#DIV/0!</v>
      </c>
      <c r="NLD71" s="1159" t="e">
        <f t="shared" si="155"/>
        <v>#DIV/0!</v>
      </c>
      <c r="NLE71" s="1159" t="e">
        <f t="shared" si="155"/>
        <v>#DIV/0!</v>
      </c>
      <c r="NLF71" s="1159" t="e">
        <f t="shared" si="155"/>
        <v>#DIV/0!</v>
      </c>
      <c r="NLG71" s="1159" t="e">
        <f t="shared" si="155"/>
        <v>#DIV/0!</v>
      </c>
      <c r="NLH71" s="1159" t="e">
        <f t="shared" si="155"/>
        <v>#DIV/0!</v>
      </c>
      <c r="NLI71" s="1159" t="e">
        <f t="shared" si="155"/>
        <v>#DIV/0!</v>
      </c>
      <c r="NLJ71" s="1159" t="e">
        <f t="shared" si="155"/>
        <v>#DIV/0!</v>
      </c>
      <c r="NLK71" s="1159" t="e">
        <f t="shared" si="155"/>
        <v>#DIV/0!</v>
      </c>
      <c r="NLL71" s="1159" t="e">
        <f t="shared" si="155"/>
        <v>#DIV/0!</v>
      </c>
      <c r="NLM71" s="1159" t="e">
        <f t="shared" si="155"/>
        <v>#DIV/0!</v>
      </c>
      <c r="NLN71" s="1159" t="e">
        <f t="shared" si="155"/>
        <v>#DIV/0!</v>
      </c>
      <c r="NLO71" s="1159" t="e">
        <f t="shared" si="155"/>
        <v>#DIV/0!</v>
      </c>
      <c r="NLP71" s="1159" t="e">
        <f t="shared" si="155"/>
        <v>#DIV/0!</v>
      </c>
      <c r="NLQ71" s="1159" t="e">
        <f t="shared" si="155"/>
        <v>#DIV/0!</v>
      </c>
      <c r="NLR71" s="1159" t="e">
        <f t="shared" si="155"/>
        <v>#DIV/0!</v>
      </c>
      <c r="NLS71" s="1159" t="e">
        <f t="shared" si="155"/>
        <v>#DIV/0!</v>
      </c>
      <c r="NLT71" s="1159" t="e">
        <f t="shared" si="155"/>
        <v>#DIV/0!</v>
      </c>
      <c r="NLU71" s="1159" t="e">
        <f t="shared" si="155"/>
        <v>#DIV/0!</v>
      </c>
      <c r="NLV71" s="1159" t="e">
        <f t="shared" ref="NLV71:NOG71" si="156">((NLV6+NLV12+NLV13+NLV14+NLV15)*860+NLV16*NLV55+NLV17*NLV56+NLV7*NLV49+NLV8*NLV50+NLV9*NLV51+NLV10*NLV52+NLV11*NLV53)/(SUM(NLV6:NLV17))</f>
        <v>#DIV/0!</v>
      </c>
      <c r="NLW71" s="1159" t="e">
        <f t="shared" si="156"/>
        <v>#DIV/0!</v>
      </c>
      <c r="NLX71" s="1159" t="e">
        <f t="shared" si="156"/>
        <v>#DIV/0!</v>
      </c>
      <c r="NLY71" s="1159" t="e">
        <f t="shared" si="156"/>
        <v>#DIV/0!</v>
      </c>
      <c r="NLZ71" s="1159" t="e">
        <f t="shared" si="156"/>
        <v>#DIV/0!</v>
      </c>
      <c r="NMA71" s="1159" t="e">
        <f t="shared" si="156"/>
        <v>#DIV/0!</v>
      </c>
      <c r="NMB71" s="1159" t="e">
        <f t="shared" si="156"/>
        <v>#DIV/0!</v>
      </c>
      <c r="NMC71" s="1159" t="e">
        <f t="shared" si="156"/>
        <v>#DIV/0!</v>
      </c>
      <c r="NMD71" s="1159" t="e">
        <f t="shared" si="156"/>
        <v>#DIV/0!</v>
      </c>
      <c r="NME71" s="1159" t="e">
        <f t="shared" si="156"/>
        <v>#DIV/0!</v>
      </c>
      <c r="NMF71" s="1159" t="e">
        <f t="shared" si="156"/>
        <v>#DIV/0!</v>
      </c>
      <c r="NMG71" s="1159" t="e">
        <f t="shared" si="156"/>
        <v>#DIV/0!</v>
      </c>
      <c r="NMH71" s="1159" t="e">
        <f t="shared" si="156"/>
        <v>#DIV/0!</v>
      </c>
      <c r="NMI71" s="1159" t="e">
        <f t="shared" si="156"/>
        <v>#DIV/0!</v>
      </c>
      <c r="NMJ71" s="1159" t="e">
        <f t="shared" si="156"/>
        <v>#DIV/0!</v>
      </c>
      <c r="NMK71" s="1159" t="e">
        <f t="shared" si="156"/>
        <v>#DIV/0!</v>
      </c>
      <c r="NML71" s="1159" t="e">
        <f t="shared" si="156"/>
        <v>#DIV/0!</v>
      </c>
      <c r="NMM71" s="1159" t="e">
        <f t="shared" si="156"/>
        <v>#DIV/0!</v>
      </c>
      <c r="NMN71" s="1159" t="e">
        <f t="shared" si="156"/>
        <v>#DIV/0!</v>
      </c>
      <c r="NMO71" s="1159" t="e">
        <f t="shared" si="156"/>
        <v>#DIV/0!</v>
      </c>
      <c r="NMP71" s="1159" t="e">
        <f t="shared" si="156"/>
        <v>#DIV/0!</v>
      </c>
      <c r="NMQ71" s="1159" t="e">
        <f t="shared" si="156"/>
        <v>#DIV/0!</v>
      </c>
      <c r="NMR71" s="1159" t="e">
        <f t="shared" si="156"/>
        <v>#DIV/0!</v>
      </c>
      <c r="NMS71" s="1159" t="e">
        <f t="shared" si="156"/>
        <v>#DIV/0!</v>
      </c>
      <c r="NMT71" s="1159" t="e">
        <f t="shared" si="156"/>
        <v>#DIV/0!</v>
      </c>
      <c r="NMU71" s="1159" t="e">
        <f t="shared" si="156"/>
        <v>#DIV/0!</v>
      </c>
      <c r="NMV71" s="1159" t="e">
        <f t="shared" si="156"/>
        <v>#DIV/0!</v>
      </c>
      <c r="NMW71" s="1159" t="e">
        <f t="shared" si="156"/>
        <v>#DIV/0!</v>
      </c>
      <c r="NMX71" s="1159" t="e">
        <f t="shared" si="156"/>
        <v>#DIV/0!</v>
      </c>
      <c r="NMY71" s="1159" t="e">
        <f t="shared" si="156"/>
        <v>#DIV/0!</v>
      </c>
      <c r="NMZ71" s="1159" t="e">
        <f t="shared" si="156"/>
        <v>#DIV/0!</v>
      </c>
      <c r="NNA71" s="1159" t="e">
        <f t="shared" si="156"/>
        <v>#DIV/0!</v>
      </c>
      <c r="NNB71" s="1159" t="e">
        <f t="shared" si="156"/>
        <v>#DIV/0!</v>
      </c>
      <c r="NNC71" s="1159" t="e">
        <f t="shared" si="156"/>
        <v>#DIV/0!</v>
      </c>
      <c r="NND71" s="1159" t="e">
        <f t="shared" si="156"/>
        <v>#DIV/0!</v>
      </c>
      <c r="NNE71" s="1159" t="e">
        <f t="shared" si="156"/>
        <v>#DIV/0!</v>
      </c>
      <c r="NNF71" s="1159" t="e">
        <f t="shared" si="156"/>
        <v>#DIV/0!</v>
      </c>
      <c r="NNG71" s="1159" t="e">
        <f t="shared" si="156"/>
        <v>#DIV/0!</v>
      </c>
      <c r="NNH71" s="1159" t="e">
        <f t="shared" si="156"/>
        <v>#DIV/0!</v>
      </c>
      <c r="NNI71" s="1159" t="e">
        <f t="shared" si="156"/>
        <v>#DIV/0!</v>
      </c>
      <c r="NNJ71" s="1159" t="e">
        <f t="shared" si="156"/>
        <v>#DIV/0!</v>
      </c>
      <c r="NNK71" s="1159" t="e">
        <f t="shared" si="156"/>
        <v>#DIV/0!</v>
      </c>
      <c r="NNL71" s="1159" t="e">
        <f t="shared" si="156"/>
        <v>#DIV/0!</v>
      </c>
      <c r="NNM71" s="1159" t="e">
        <f t="shared" si="156"/>
        <v>#DIV/0!</v>
      </c>
      <c r="NNN71" s="1159" t="e">
        <f t="shared" si="156"/>
        <v>#DIV/0!</v>
      </c>
      <c r="NNO71" s="1159" t="e">
        <f t="shared" si="156"/>
        <v>#DIV/0!</v>
      </c>
      <c r="NNP71" s="1159" t="e">
        <f t="shared" si="156"/>
        <v>#DIV/0!</v>
      </c>
      <c r="NNQ71" s="1159" t="e">
        <f t="shared" si="156"/>
        <v>#DIV/0!</v>
      </c>
      <c r="NNR71" s="1159" t="e">
        <f t="shared" si="156"/>
        <v>#DIV/0!</v>
      </c>
      <c r="NNS71" s="1159" t="e">
        <f t="shared" si="156"/>
        <v>#DIV/0!</v>
      </c>
      <c r="NNT71" s="1159" t="e">
        <f t="shared" si="156"/>
        <v>#DIV/0!</v>
      </c>
      <c r="NNU71" s="1159" t="e">
        <f t="shared" si="156"/>
        <v>#DIV/0!</v>
      </c>
      <c r="NNV71" s="1159" t="e">
        <f t="shared" si="156"/>
        <v>#DIV/0!</v>
      </c>
      <c r="NNW71" s="1159" t="e">
        <f t="shared" si="156"/>
        <v>#DIV/0!</v>
      </c>
      <c r="NNX71" s="1159" t="e">
        <f t="shared" si="156"/>
        <v>#DIV/0!</v>
      </c>
      <c r="NNY71" s="1159" t="e">
        <f t="shared" si="156"/>
        <v>#DIV/0!</v>
      </c>
      <c r="NNZ71" s="1159" t="e">
        <f t="shared" si="156"/>
        <v>#DIV/0!</v>
      </c>
      <c r="NOA71" s="1159" t="e">
        <f t="shared" si="156"/>
        <v>#DIV/0!</v>
      </c>
      <c r="NOB71" s="1159" t="e">
        <f t="shared" si="156"/>
        <v>#DIV/0!</v>
      </c>
      <c r="NOC71" s="1159" t="e">
        <f t="shared" si="156"/>
        <v>#DIV/0!</v>
      </c>
      <c r="NOD71" s="1159" t="e">
        <f t="shared" si="156"/>
        <v>#DIV/0!</v>
      </c>
      <c r="NOE71" s="1159" t="e">
        <f t="shared" si="156"/>
        <v>#DIV/0!</v>
      </c>
      <c r="NOF71" s="1159" t="e">
        <f t="shared" si="156"/>
        <v>#DIV/0!</v>
      </c>
      <c r="NOG71" s="1159" t="e">
        <f t="shared" si="156"/>
        <v>#DIV/0!</v>
      </c>
      <c r="NOH71" s="1159" t="e">
        <f t="shared" ref="NOH71:NQS71" si="157">((NOH6+NOH12+NOH13+NOH14+NOH15)*860+NOH16*NOH55+NOH17*NOH56+NOH7*NOH49+NOH8*NOH50+NOH9*NOH51+NOH10*NOH52+NOH11*NOH53)/(SUM(NOH6:NOH17))</f>
        <v>#DIV/0!</v>
      </c>
      <c r="NOI71" s="1159" t="e">
        <f t="shared" si="157"/>
        <v>#DIV/0!</v>
      </c>
      <c r="NOJ71" s="1159" t="e">
        <f t="shared" si="157"/>
        <v>#DIV/0!</v>
      </c>
      <c r="NOK71" s="1159" t="e">
        <f t="shared" si="157"/>
        <v>#DIV/0!</v>
      </c>
      <c r="NOL71" s="1159" t="e">
        <f t="shared" si="157"/>
        <v>#DIV/0!</v>
      </c>
      <c r="NOM71" s="1159" t="e">
        <f t="shared" si="157"/>
        <v>#DIV/0!</v>
      </c>
      <c r="NON71" s="1159" t="e">
        <f t="shared" si="157"/>
        <v>#DIV/0!</v>
      </c>
      <c r="NOO71" s="1159" t="e">
        <f t="shared" si="157"/>
        <v>#DIV/0!</v>
      </c>
      <c r="NOP71" s="1159" t="e">
        <f t="shared" si="157"/>
        <v>#DIV/0!</v>
      </c>
      <c r="NOQ71" s="1159" t="e">
        <f t="shared" si="157"/>
        <v>#DIV/0!</v>
      </c>
      <c r="NOR71" s="1159" t="e">
        <f t="shared" si="157"/>
        <v>#DIV/0!</v>
      </c>
      <c r="NOS71" s="1159" t="e">
        <f t="shared" si="157"/>
        <v>#DIV/0!</v>
      </c>
      <c r="NOT71" s="1159" t="e">
        <f t="shared" si="157"/>
        <v>#DIV/0!</v>
      </c>
      <c r="NOU71" s="1159" t="e">
        <f t="shared" si="157"/>
        <v>#DIV/0!</v>
      </c>
      <c r="NOV71" s="1159" t="e">
        <f t="shared" si="157"/>
        <v>#DIV/0!</v>
      </c>
      <c r="NOW71" s="1159" t="e">
        <f t="shared" si="157"/>
        <v>#DIV/0!</v>
      </c>
      <c r="NOX71" s="1159" t="e">
        <f t="shared" si="157"/>
        <v>#DIV/0!</v>
      </c>
      <c r="NOY71" s="1159" t="e">
        <f t="shared" si="157"/>
        <v>#DIV/0!</v>
      </c>
      <c r="NOZ71" s="1159" t="e">
        <f t="shared" si="157"/>
        <v>#DIV/0!</v>
      </c>
      <c r="NPA71" s="1159" t="e">
        <f t="shared" si="157"/>
        <v>#DIV/0!</v>
      </c>
      <c r="NPB71" s="1159" t="e">
        <f t="shared" si="157"/>
        <v>#DIV/0!</v>
      </c>
      <c r="NPC71" s="1159" t="e">
        <f t="shared" si="157"/>
        <v>#DIV/0!</v>
      </c>
      <c r="NPD71" s="1159" t="e">
        <f t="shared" si="157"/>
        <v>#DIV/0!</v>
      </c>
      <c r="NPE71" s="1159" t="e">
        <f t="shared" si="157"/>
        <v>#DIV/0!</v>
      </c>
      <c r="NPF71" s="1159" t="e">
        <f t="shared" si="157"/>
        <v>#DIV/0!</v>
      </c>
      <c r="NPG71" s="1159" t="e">
        <f t="shared" si="157"/>
        <v>#DIV/0!</v>
      </c>
      <c r="NPH71" s="1159" t="e">
        <f t="shared" si="157"/>
        <v>#DIV/0!</v>
      </c>
      <c r="NPI71" s="1159" t="e">
        <f t="shared" si="157"/>
        <v>#DIV/0!</v>
      </c>
      <c r="NPJ71" s="1159" t="e">
        <f t="shared" si="157"/>
        <v>#DIV/0!</v>
      </c>
      <c r="NPK71" s="1159" t="e">
        <f t="shared" si="157"/>
        <v>#DIV/0!</v>
      </c>
      <c r="NPL71" s="1159" t="e">
        <f t="shared" si="157"/>
        <v>#DIV/0!</v>
      </c>
      <c r="NPM71" s="1159" t="e">
        <f t="shared" si="157"/>
        <v>#DIV/0!</v>
      </c>
      <c r="NPN71" s="1159" t="e">
        <f t="shared" si="157"/>
        <v>#DIV/0!</v>
      </c>
      <c r="NPO71" s="1159" t="e">
        <f t="shared" si="157"/>
        <v>#DIV/0!</v>
      </c>
      <c r="NPP71" s="1159" t="e">
        <f t="shared" si="157"/>
        <v>#DIV/0!</v>
      </c>
      <c r="NPQ71" s="1159" t="e">
        <f t="shared" si="157"/>
        <v>#DIV/0!</v>
      </c>
      <c r="NPR71" s="1159" t="e">
        <f t="shared" si="157"/>
        <v>#DIV/0!</v>
      </c>
      <c r="NPS71" s="1159" t="e">
        <f t="shared" si="157"/>
        <v>#DIV/0!</v>
      </c>
      <c r="NPT71" s="1159" t="e">
        <f t="shared" si="157"/>
        <v>#DIV/0!</v>
      </c>
      <c r="NPU71" s="1159" t="e">
        <f t="shared" si="157"/>
        <v>#DIV/0!</v>
      </c>
      <c r="NPV71" s="1159" t="e">
        <f t="shared" si="157"/>
        <v>#DIV/0!</v>
      </c>
      <c r="NPW71" s="1159" t="e">
        <f t="shared" si="157"/>
        <v>#DIV/0!</v>
      </c>
      <c r="NPX71" s="1159" t="e">
        <f t="shared" si="157"/>
        <v>#DIV/0!</v>
      </c>
      <c r="NPY71" s="1159" t="e">
        <f t="shared" si="157"/>
        <v>#DIV/0!</v>
      </c>
      <c r="NPZ71" s="1159" t="e">
        <f t="shared" si="157"/>
        <v>#DIV/0!</v>
      </c>
      <c r="NQA71" s="1159" t="e">
        <f t="shared" si="157"/>
        <v>#DIV/0!</v>
      </c>
      <c r="NQB71" s="1159" t="e">
        <f t="shared" si="157"/>
        <v>#DIV/0!</v>
      </c>
      <c r="NQC71" s="1159" t="e">
        <f t="shared" si="157"/>
        <v>#DIV/0!</v>
      </c>
      <c r="NQD71" s="1159" t="e">
        <f t="shared" si="157"/>
        <v>#DIV/0!</v>
      </c>
      <c r="NQE71" s="1159" t="e">
        <f t="shared" si="157"/>
        <v>#DIV/0!</v>
      </c>
      <c r="NQF71" s="1159" t="e">
        <f t="shared" si="157"/>
        <v>#DIV/0!</v>
      </c>
      <c r="NQG71" s="1159" t="e">
        <f t="shared" si="157"/>
        <v>#DIV/0!</v>
      </c>
      <c r="NQH71" s="1159" t="e">
        <f t="shared" si="157"/>
        <v>#DIV/0!</v>
      </c>
      <c r="NQI71" s="1159" t="e">
        <f t="shared" si="157"/>
        <v>#DIV/0!</v>
      </c>
      <c r="NQJ71" s="1159" t="e">
        <f t="shared" si="157"/>
        <v>#DIV/0!</v>
      </c>
      <c r="NQK71" s="1159" t="e">
        <f t="shared" si="157"/>
        <v>#DIV/0!</v>
      </c>
      <c r="NQL71" s="1159" t="e">
        <f t="shared" si="157"/>
        <v>#DIV/0!</v>
      </c>
      <c r="NQM71" s="1159" t="e">
        <f t="shared" si="157"/>
        <v>#DIV/0!</v>
      </c>
      <c r="NQN71" s="1159" t="e">
        <f t="shared" si="157"/>
        <v>#DIV/0!</v>
      </c>
      <c r="NQO71" s="1159" t="e">
        <f t="shared" si="157"/>
        <v>#DIV/0!</v>
      </c>
      <c r="NQP71" s="1159" t="e">
        <f t="shared" si="157"/>
        <v>#DIV/0!</v>
      </c>
      <c r="NQQ71" s="1159" t="e">
        <f t="shared" si="157"/>
        <v>#DIV/0!</v>
      </c>
      <c r="NQR71" s="1159" t="e">
        <f t="shared" si="157"/>
        <v>#DIV/0!</v>
      </c>
      <c r="NQS71" s="1159" t="e">
        <f t="shared" si="157"/>
        <v>#DIV/0!</v>
      </c>
      <c r="NQT71" s="1159" t="e">
        <f t="shared" ref="NQT71:NTE71" si="158">((NQT6+NQT12+NQT13+NQT14+NQT15)*860+NQT16*NQT55+NQT17*NQT56+NQT7*NQT49+NQT8*NQT50+NQT9*NQT51+NQT10*NQT52+NQT11*NQT53)/(SUM(NQT6:NQT17))</f>
        <v>#DIV/0!</v>
      </c>
      <c r="NQU71" s="1159" t="e">
        <f t="shared" si="158"/>
        <v>#DIV/0!</v>
      </c>
      <c r="NQV71" s="1159" t="e">
        <f t="shared" si="158"/>
        <v>#DIV/0!</v>
      </c>
      <c r="NQW71" s="1159" t="e">
        <f t="shared" si="158"/>
        <v>#DIV/0!</v>
      </c>
      <c r="NQX71" s="1159" t="e">
        <f t="shared" si="158"/>
        <v>#DIV/0!</v>
      </c>
      <c r="NQY71" s="1159" t="e">
        <f t="shared" si="158"/>
        <v>#DIV/0!</v>
      </c>
      <c r="NQZ71" s="1159" t="e">
        <f t="shared" si="158"/>
        <v>#DIV/0!</v>
      </c>
      <c r="NRA71" s="1159" t="e">
        <f t="shared" si="158"/>
        <v>#DIV/0!</v>
      </c>
      <c r="NRB71" s="1159" t="e">
        <f t="shared" si="158"/>
        <v>#DIV/0!</v>
      </c>
      <c r="NRC71" s="1159" t="e">
        <f t="shared" si="158"/>
        <v>#DIV/0!</v>
      </c>
      <c r="NRD71" s="1159" t="e">
        <f t="shared" si="158"/>
        <v>#DIV/0!</v>
      </c>
      <c r="NRE71" s="1159" t="e">
        <f t="shared" si="158"/>
        <v>#DIV/0!</v>
      </c>
      <c r="NRF71" s="1159" t="e">
        <f t="shared" si="158"/>
        <v>#DIV/0!</v>
      </c>
      <c r="NRG71" s="1159" t="e">
        <f t="shared" si="158"/>
        <v>#DIV/0!</v>
      </c>
      <c r="NRH71" s="1159" t="e">
        <f t="shared" si="158"/>
        <v>#DIV/0!</v>
      </c>
      <c r="NRI71" s="1159" t="e">
        <f t="shared" si="158"/>
        <v>#DIV/0!</v>
      </c>
      <c r="NRJ71" s="1159" t="e">
        <f t="shared" si="158"/>
        <v>#DIV/0!</v>
      </c>
      <c r="NRK71" s="1159" t="e">
        <f t="shared" si="158"/>
        <v>#DIV/0!</v>
      </c>
      <c r="NRL71" s="1159" t="e">
        <f t="shared" si="158"/>
        <v>#DIV/0!</v>
      </c>
      <c r="NRM71" s="1159" t="e">
        <f t="shared" si="158"/>
        <v>#DIV/0!</v>
      </c>
      <c r="NRN71" s="1159" t="e">
        <f t="shared" si="158"/>
        <v>#DIV/0!</v>
      </c>
      <c r="NRO71" s="1159" t="e">
        <f t="shared" si="158"/>
        <v>#DIV/0!</v>
      </c>
      <c r="NRP71" s="1159" t="e">
        <f t="shared" si="158"/>
        <v>#DIV/0!</v>
      </c>
      <c r="NRQ71" s="1159" t="e">
        <f t="shared" si="158"/>
        <v>#DIV/0!</v>
      </c>
      <c r="NRR71" s="1159" t="e">
        <f t="shared" si="158"/>
        <v>#DIV/0!</v>
      </c>
      <c r="NRS71" s="1159" t="e">
        <f t="shared" si="158"/>
        <v>#DIV/0!</v>
      </c>
      <c r="NRT71" s="1159" t="e">
        <f t="shared" si="158"/>
        <v>#DIV/0!</v>
      </c>
      <c r="NRU71" s="1159" t="e">
        <f t="shared" si="158"/>
        <v>#DIV/0!</v>
      </c>
      <c r="NRV71" s="1159" t="e">
        <f t="shared" si="158"/>
        <v>#DIV/0!</v>
      </c>
      <c r="NRW71" s="1159" t="e">
        <f t="shared" si="158"/>
        <v>#DIV/0!</v>
      </c>
      <c r="NRX71" s="1159" t="e">
        <f t="shared" si="158"/>
        <v>#DIV/0!</v>
      </c>
      <c r="NRY71" s="1159" t="e">
        <f t="shared" si="158"/>
        <v>#DIV/0!</v>
      </c>
      <c r="NRZ71" s="1159" t="e">
        <f t="shared" si="158"/>
        <v>#DIV/0!</v>
      </c>
      <c r="NSA71" s="1159" t="e">
        <f t="shared" si="158"/>
        <v>#DIV/0!</v>
      </c>
      <c r="NSB71" s="1159" t="e">
        <f t="shared" si="158"/>
        <v>#DIV/0!</v>
      </c>
      <c r="NSC71" s="1159" t="e">
        <f t="shared" si="158"/>
        <v>#DIV/0!</v>
      </c>
      <c r="NSD71" s="1159" t="e">
        <f t="shared" si="158"/>
        <v>#DIV/0!</v>
      </c>
      <c r="NSE71" s="1159" t="e">
        <f t="shared" si="158"/>
        <v>#DIV/0!</v>
      </c>
      <c r="NSF71" s="1159" t="e">
        <f t="shared" si="158"/>
        <v>#DIV/0!</v>
      </c>
      <c r="NSG71" s="1159" t="e">
        <f t="shared" si="158"/>
        <v>#DIV/0!</v>
      </c>
      <c r="NSH71" s="1159" t="e">
        <f t="shared" si="158"/>
        <v>#DIV/0!</v>
      </c>
      <c r="NSI71" s="1159" t="e">
        <f t="shared" si="158"/>
        <v>#DIV/0!</v>
      </c>
      <c r="NSJ71" s="1159" t="e">
        <f t="shared" si="158"/>
        <v>#DIV/0!</v>
      </c>
      <c r="NSK71" s="1159" t="e">
        <f t="shared" si="158"/>
        <v>#DIV/0!</v>
      </c>
      <c r="NSL71" s="1159" t="e">
        <f t="shared" si="158"/>
        <v>#DIV/0!</v>
      </c>
      <c r="NSM71" s="1159" t="e">
        <f t="shared" si="158"/>
        <v>#DIV/0!</v>
      </c>
      <c r="NSN71" s="1159" t="e">
        <f t="shared" si="158"/>
        <v>#DIV/0!</v>
      </c>
      <c r="NSO71" s="1159" t="e">
        <f t="shared" si="158"/>
        <v>#DIV/0!</v>
      </c>
      <c r="NSP71" s="1159" t="e">
        <f t="shared" si="158"/>
        <v>#DIV/0!</v>
      </c>
      <c r="NSQ71" s="1159" t="e">
        <f t="shared" si="158"/>
        <v>#DIV/0!</v>
      </c>
      <c r="NSR71" s="1159" t="e">
        <f t="shared" si="158"/>
        <v>#DIV/0!</v>
      </c>
      <c r="NSS71" s="1159" t="e">
        <f t="shared" si="158"/>
        <v>#DIV/0!</v>
      </c>
      <c r="NST71" s="1159" t="e">
        <f t="shared" si="158"/>
        <v>#DIV/0!</v>
      </c>
      <c r="NSU71" s="1159" t="e">
        <f t="shared" si="158"/>
        <v>#DIV/0!</v>
      </c>
      <c r="NSV71" s="1159" t="e">
        <f t="shared" si="158"/>
        <v>#DIV/0!</v>
      </c>
      <c r="NSW71" s="1159" t="e">
        <f t="shared" si="158"/>
        <v>#DIV/0!</v>
      </c>
      <c r="NSX71" s="1159" t="e">
        <f t="shared" si="158"/>
        <v>#DIV/0!</v>
      </c>
      <c r="NSY71" s="1159" t="e">
        <f t="shared" si="158"/>
        <v>#DIV/0!</v>
      </c>
      <c r="NSZ71" s="1159" t="e">
        <f t="shared" si="158"/>
        <v>#DIV/0!</v>
      </c>
      <c r="NTA71" s="1159" t="e">
        <f t="shared" si="158"/>
        <v>#DIV/0!</v>
      </c>
      <c r="NTB71" s="1159" t="e">
        <f t="shared" si="158"/>
        <v>#DIV/0!</v>
      </c>
      <c r="NTC71" s="1159" t="e">
        <f t="shared" si="158"/>
        <v>#DIV/0!</v>
      </c>
      <c r="NTD71" s="1159" t="e">
        <f t="shared" si="158"/>
        <v>#DIV/0!</v>
      </c>
      <c r="NTE71" s="1159" t="e">
        <f t="shared" si="158"/>
        <v>#DIV/0!</v>
      </c>
      <c r="NTF71" s="1159" t="e">
        <f t="shared" ref="NTF71:NVQ71" si="159">((NTF6+NTF12+NTF13+NTF14+NTF15)*860+NTF16*NTF55+NTF17*NTF56+NTF7*NTF49+NTF8*NTF50+NTF9*NTF51+NTF10*NTF52+NTF11*NTF53)/(SUM(NTF6:NTF17))</f>
        <v>#DIV/0!</v>
      </c>
      <c r="NTG71" s="1159" t="e">
        <f t="shared" si="159"/>
        <v>#DIV/0!</v>
      </c>
      <c r="NTH71" s="1159" t="e">
        <f t="shared" si="159"/>
        <v>#DIV/0!</v>
      </c>
      <c r="NTI71" s="1159" t="e">
        <f t="shared" si="159"/>
        <v>#DIV/0!</v>
      </c>
      <c r="NTJ71" s="1159" t="e">
        <f t="shared" si="159"/>
        <v>#DIV/0!</v>
      </c>
      <c r="NTK71" s="1159" t="e">
        <f t="shared" si="159"/>
        <v>#DIV/0!</v>
      </c>
      <c r="NTL71" s="1159" t="e">
        <f t="shared" si="159"/>
        <v>#DIV/0!</v>
      </c>
      <c r="NTM71" s="1159" t="e">
        <f t="shared" si="159"/>
        <v>#DIV/0!</v>
      </c>
      <c r="NTN71" s="1159" t="e">
        <f t="shared" si="159"/>
        <v>#DIV/0!</v>
      </c>
      <c r="NTO71" s="1159" t="e">
        <f t="shared" si="159"/>
        <v>#DIV/0!</v>
      </c>
      <c r="NTP71" s="1159" t="e">
        <f t="shared" si="159"/>
        <v>#DIV/0!</v>
      </c>
      <c r="NTQ71" s="1159" t="e">
        <f t="shared" si="159"/>
        <v>#DIV/0!</v>
      </c>
      <c r="NTR71" s="1159" t="e">
        <f t="shared" si="159"/>
        <v>#DIV/0!</v>
      </c>
      <c r="NTS71" s="1159" t="e">
        <f t="shared" si="159"/>
        <v>#DIV/0!</v>
      </c>
      <c r="NTT71" s="1159" t="e">
        <f t="shared" si="159"/>
        <v>#DIV/0!</v>
      </c>
      <c r="NTU71" s="1159" t="e">
        <f t="shared" si="159"/>
        <v>#DIV/0!</v>
      </c>
      <c r="NTV71" s="1159" t="e">
        <f t="shared" si="159"/>
        <v>#DIV/0!</v>
      </c>
      <c r="NTW71" s="1159" t="e">
        <f t="shared" si="159"/>
        <v>#DIV/0!</v>
      </c>
      <c r="NTX71" s="1159" t="e">
        <f t="shared" si="159"/>
        <v>#DIV/0!</v>
      </c>
      <c r="NTY71" s="1159" t="e">
        <f t="shared" si="159"/>
        <v>#DIV/0!</v>
      </c>
      <c r="NTZ71" s="1159" t="e">
        <f t="shared" si="159"/>
        <v>#DIV/0!</v>
      </c>
      <c r="NUA71" s="1159" t="e">
        <f t="shared" si="159"/>
        <v>#DIV/0!</v>
      </c>
      <c r="NUB71" s="1159" t="e">
        <f t="shared" si="159"/>
        <v>#DIV/0!</v>
      </c>
      <c r="NUC71" s="1159" t="e">
        <f t="shared" si="159"/>
        <v>#DIV/0!</v>
      </c>
      <c r="NUD71" s="1159" t="e">
        <f t="shared" si="159"/>
        <v>#DIV/0!</v>
      </c>
      <c r="NUE71" s="1159" t="e">
        <f t="shared" si="159"/>
        <v>#DIV/0!</v>
      </c>
      <c r="NUF71" s="1159" t="e">
        <f t="shared" si="159"/>
        <v>#DIV/0!</v>
      </c>
      <c r="NUG71" s="1159" t="e">
        <f t="shared" si="159"/>
        <v>#DIV/0!</v>
      </c>
      <c r="NUH71" s="1159" t="e">
        <f t="shared" si="159"/>
        <v>#DIV/0!</v>
      </c>
      <c r="NUI71" s="1159" t="e">
        <f t="shared" si="159"/>
        <v>#DIV/0!</v>
      </c>
      <c r="NUJ71" s="1159" t="e">
        <f t="shared" si="159"/>
        <v>#DIV/0!</v>
      </c>
      <c r="NUK71" s="1159" t="e">
        <f t="shared" si="159"/>
        <v>#DIV/0!</v>
      </c>
      <c r="NUL71" s="1159" t="e">
        <f t="shared" si="159"/>
        <v>#DIV/0!</v>
      </c>
      <c r="NUM71" s="1159" t="e">
        <f t="shared" si="159"/>
        <v>#DIV/0!</v>
      </c>
      <c r="NUN71" s="1159" t="e">
        <f t="shared" si="159"/>
        <v>#DIV/0!</v>
      </c>
      <c r="NUO71" s="1159" t="e">
        <f t="shared" si="159"/>
        <v>#DIV/0!</v>
      </c>
      <c r="NUP71" s="1159" t="e">
        <f t="shared" si="159"/>
        <v>#DIV/0!</v>
      </c>
      <c r="NUQ71" s="1159" t="e">
        <f t="shared" si="159"/>
        <v>#DIV/0!</v>
      </c>
      <c r="NUR71" s="1159" t="e">
        <f t="shared" si="159"/>
        <v>#DIV/0!</v>
      </c>
      <c r="NUS71" s="1159" t="e">
        <f t="shared" si="159"/>
        <v>#DIV/0!</v>
      </c>
      <c r="NUT71" s="1159" t="e">
        <f t="shared" si="159"/>
        <v>#DIV/0!</v>
      </c>
      <c r="NUU71" s="1159" t="e">
        <f t="shared" si="159"/>
        <v>#DIV/0!</v>
      </c>
      <c r="NUV71" s="1159" t="e">
        <f t="shared" si="159"/>
        <v>#DIV/0!</v>
      </c>
      <c r="NUW71" s="1159" t="e">
        <f t="shared" si="159"/>
        <v>#DIV/0!</v>
      </c>
      <c r="NUX71" s="1159" t="e">
        <f t="shared" si="159"/>
        <v>#DIV/0!</v>
      </c>
      <c r="NUY71" s="1159" t="e">
        <f t="shared" si="159"/>
        <v>#DIV/0!</v>
      </c>
      <c r="NUZ71" s="1159" t="e">
        <f t="shared" si="159"/>
        <v>#DIV/0!</v>
      </c>
      <c r="NVA71" s="1159" t="e">
        <f t="shared" si="159"/>
        <v>#DIV/0!</v>
      </c>
      <c r="NVB71" s="1159" t="e">
        <f t="shared" si="159"/>
        <v>#DIV/0!</v>
      </c>
      <c r="NVC71" s="1159" t="e">
        <f t="shared" si="159"/>
        <v>#DIV/0!</v>
      </c>
      <c r="NVD71" s="1159" t="e">
        <f t="shared" si="159"/>
        <v>#DIV/0!</v>
      </c>
      <c r="NVE71" s="1159" t="e">
        <f t="shared" si="159"/>
        <v>#DIV/0!</v>
      </c>
      <c r="NVF71" s="1159" t="e">
        <f t="shared" si="159"/>
        <v>#DIV/0!</v>
      </c>
      <c r="NVG71" s="1159" t="e">
        <f t="shared" si="159"/>
        <v>#DIV/0!</v>
      </c>
      <c r="NVH71" s="1159" t="e">
        <f t="shared" si="159"/>
        <v>#DIV/0!</v>
      </c>
      <c r="NVI71" s="1159" t="e">
        <f t="shared" si="159"/>
        <v>#DIV/0!</v>
      </c>
      <c r="NVJ71" s="1159" t="e">
        <f t="shared" si="159"/>
        <v>#DIV/0!</v>
      </c>
      <c r="NVK71" s="1159" t="e">
        <f t="shared" si="159"/>
        <v>#DIV/0!</v>
      </c>
      <c r="NVL71" s="1159" t="e">
        <f t="shared" si="159"/>
        <v>#DIV/0!</v>
      </c>
      <c r="NVM71" s="1159" t="e">
        <f t="shared" si="159"/>
        <v>#DIV/0!</v>
      </c>
      <c r="NVN71" s="1159" t="e">
        <f t="shared" si="159"/>
        <v>#DIV/0!</v>
      </c>
      <c r="NVO71" s="1159" t="e">
        <f t="shared" si="159"/>
        <v>#DIV/0!</v>
      </c>
      <c r="NVP71" s="1159" t="e">
        <f t="shared" si="159"/>
        <v>#DIV/0!</v>
      </c>
      <c r="NVQ71" s="1159" t="e">
        <f t="shared" si="159"/>
        <v>#DIV/0!</v>
      </c>
      <c r="NVR71" s="1159" t="e">
        <f t="shared" ref="NVR71:NYC71" si="160">((NVR6+NVR12+NVR13+NVR14+NVR15)*860+NVR16*NVR55+NVR17*NVR56+NVR7*NVR49+NVR8*NVR50+NVR9*NVR51+NVR10*NVR52+NVR11*NVR53)/(SUM(NVR6:NVR17))</f>
        <v>#DIV/0!</v>
      </c>
      <c r="NVS71" s="1159" t="e">
        <f t="shared" si="160"/>
        <v>#DIV/0!</v>
      </c>
      <c r="NVT71" s="1159" t="e">
        <f t="shared" si="160"/>
        <v>#DIV/0!</v>
      </c>
      <c r="NVU71" s="1159" t="e">
        <f t="shared" si="160"/>
        <v>#DIV/0!</v>
      </c>
      <c r="NVV71" s="1159" t="e">
        <f t="shared" si="160"/>
        <v>#DIV/0!</v>
      </c>
      <c r="NVW71" s="1159" t="e">
        <f t="shared" si="160"/>
        <v>#DIV/0!</v>
      </c>
      <c r="NVX71" s="1159" t="e">
        <f t="shared" si="160"/>
        <v>#DIV/0!</v>
      </c>
      <c r="NVY71" s="1159" t="e">
        <f t="shared" si="160"/>
        <v>#DIV/0!</v>
      </c>
      <c r="NVZ71" s="1159" t="e">
        <f t="shared" si="160"/>
        <v>#DIV/0!</v>
      </c>
      <c r="NWA71" s="1159" t="e">
        <f t="shared" si="160"/>
        <v>#DIV/0!</v>
      </c>
      <c r="NWB71" s="1159" t="e">
        <f t="shared" si="160"/>
        <v>#DIV/0!</v>
      </c>
      <c r="NWC71" s="1159" t="e">
        <f t="shared" si="160"/>
        <v>#DIV/0!</v>
      </c>
      <c r="NWD71" s="1159" t="e">
        <f t="shared" si="160"/>
        <v>#DIV/0!</v>
      </c>
      <c r="NWE71" s="1159" t="e">
        <f t="shared" si="160"/>
        <v>#DIV/0!</v>
      </c>
      <c r="NWF71" s="1159" t="e">
        <f t="shared" si="160"/>
        <v>#DIV/0!</v>
      </c>
      <c r="NWG71" s="1159" t="e">
        <f t="shared" si="160"/>
        <v>#DIV/0!</v>
      </c>
      <c r="NWH71" s="1159" t="e">
        <f t="shared" si="160"/>
        <v>#DIV/0!</v>
      </c>
      <c r="NWI71" s="1159" t="e">
        <f t="shared" si="160"/>
        <v>#DIV/0!</v>
      </c>
      <c r="NWJ71" s="1159" t="e">
        <f t="shared" si="160"/>
        <v>#DIV/0!</v>
      </c>
      <c r="NWK71" s="1159" t="e">
        <f t="shared" si="160"/>
        <v>#DIV/0!</v>
      </c>
      <c r="NWL71" s="1159" t="e">
        <f t="shared" si="160"/>
        <v>#DIV/0!</v>
      </c>
      <c r="NWM71" s="1159" t="e">
        <f t="shared" si="160"/>
        <v>#DIV/0!</v>
      </c>
      <c r="NWN71" s="1159" t="e">
        <f t="shared" si="160"/>
        <v>#DIV/0!</v>
      </c>
      <c r="NWO71" s="1159" t="e">
        <f t="shared" si="160"/>
        <v>#DIV/0!</v>
      </c>
      <c r="NWP71" s="1159" t="e">
        <f t="shared" si="160"/>
        <v>#DIV/0!</v>
      </c>
      <c r="NWQ71" s="1159" t="e">
        <f t="shared" si="160"/>
        <v>#DIV/0!</v>
      </c>
      <c r="NWR71" s="1159" t="e">
        <f t="shared" si="160"/>
        <v>#DIV/0!</v>
      </c>
      <c r="NWS71" s="1159" t="e">
        <f t="shared" si="160"/>
        <v>#DIV/0!</v>
      </c>
      <c r="NWT71" s="1159" t="e">
        <f t="shared" si="160"/>
        <v>#DIV/0!</v>
      </c>
      <c r="NWU71" s="1159" t="e">
        <f t="shared" si="160"/>
        <v>#DIV/0!</v>
      </c>
      <c r="NWV71" s="1159" t="e">
        <f t="shared" si="160"/>
        <v>#DIV/0!</v>
      </c>
      <c r="NWW71" s="1159" t="e">
        <f t="shared" si="160"/>
        <v>#DIV/0!</v>
      </c>
      <c r="NWX71" s="1159" t="e">
        <f t="shared" si="160"/>
        <v>#DIV/0!</v>
      </c>
      <c r="NWY71" s="1159" t="e">
        <f t="shared" si="160"/>
        <v>#DIV/0!</v>
      </c>
      <c r="NWZ71" s="1159" t="e">
        <f t="shared" si="160"/>
        <v>#DIV/0!</v>
      </c>
      <c r="NXA71" s="1159" t="e">
        <f t="shared" si="160"/>
        <v>#DIV/0!</v>
      </c>
      <c r="NXB71" s="1159" t="e">
        <f t="shared" si="160"/>
        <v>#DIV/0!</v>
      </c>
      <c r="NXC71" s="1159" t="e">
        <f t="shared" si="160"/>
        <v>#DIV/0!</v>
      </c>
      <c r="NXD71" s="1159" t="e">
        <f t="shared" si="160"/>
        <v>#DIV/0!</v>
      </c>
      <c r="NXE71" s="1159" t="e">
        <f t="shared" si="160"/>
        <v>#DIV/0!</v>
      </c>
      <c r="NXF71" s="1159" t="e">
        <f t="shared" si="160"/>
        <v>#DIV/0!</v>
      </c>
      <c r="NXG71" s="1159" t="e">
        <f t="shared" si="160"/>
        <v>#DIV/0!</v>
      </c>
      <c r="NXH71" s="1159" t="e">
        <f t="shared" si="160"/>
        <v>#DIV/0!</v>
      </c>
      <c r="NXI71" s="1159" t="e">
        <f t="shared" si="160"/>
        <v>#DIV/0!</v>
      </c>
      <c r="NXJ71" s="1159" t="e">
        <f t="shared" si="160"/>
        <v>#DIV/0!</v>
      </c>
      <c r="NXK71" s="1159" t="e">
        <f t="shared" si="160"/>
        <v>#DIV/0!</v>
      </c>
      <c r="NXL71" s="1159" t="e">
        <f t="shared" si="160"/>
        <v>#DIV/0!</v>
      </c>
      <c r="NXM71" s="1159" t="e">
        <f t="shared" si="160"/>
        <v>#DIV/0!</v>
      </c>
      <c r="NXN71" s="1159" t="e">
        <f t="shared" si="160"/>
        <v>#DIV/0!</v>
      </c>
      <c r="NXO71" s="1159" t="e">
        <f t="shared" si="160"/>
        <v>#DIV/0!</v>
      </c>
      <c r="NXP71" s="1159" t="e">
        <f t="shared" si="160"/>
        <v>#DIV/0!</v>
      </c>
      <c r="NXQ71" s="1159" t="e">
        <f t="shared" si="160"/>
        <v>#DIV/0!</v>
      </c>
      <c r="NXR71" s="1159" t="e">
        <f t="shared" si="160"/>
        <v>#DIV/0!</v>
      </c>
      <c r="NXS71" s="1159" t="e">
        <f t="shared" si="160"/>
        <v>#DIV/0!</v>
      </c>
      <c r="NXT71" s="1159" t="e">
        <f t="shared" si="160"/>
        <v>#DIV/0!</v>
      </c>
      <c r="NXU71" s="1159" t="e">
        <f t="shared" si="160"/>
        <v>#DIV/0!</v>
      </c>
      <c r="NXV71" s="1159" t="e">
        <f t="shared" si="160"/>
        <v>#DIV/0!</v>
      </c>
      <c r="NXW71" s="1159" t="e">
        <f t="shared" si="160"/>
        <v>#DIV/0!</v>
      </c>
      <c r="NXX71" s="1159" t="e">
        <f t="shared" si="160"/>
        <v>#DIV/0!</v>
      </c>
      <c r="NXY71" s="1159" t="e">
        <f t="shared" si="160"/>
        <v>#DIV/0!</v>
      </c>
      <c r="NXZ71" s="1159" t="e">
        <f t="shared" si="160"/>
        <v>#DIV/0!</v>
      </c>
      <c r="NYA71" s="1159" t="e">
        <f t="shared" si="160"/>
        <v>#DIV/0!</v>
      </c>
      <c r="NYB71" s="1159" t="e">
        <f t="shared" si="160"/>
        <v>#DIV/0!</v>
      </c>
      <c r="NYC71" s="1159" t="e">
        <f t="shared" si="160"/>
        <v>#DIV/0!</v>
      </c>
      <c r="NYD71" s="1159" t="e">
        <f t="shared" ref="NYD71:OAO71" si="161">((NYD6+NYD12+NYD13+NYD14+NYD15)*860+NYD16*NYD55+NYD17*NYD56+NYD7*NYD49+NYD8*NYD50+NYD9*NYD51+NYD10*NYD52+NYD11*NYD53)/(SUM(NYD6:NYD17))</f>
        <v>#DIV/0!</v>
      </c>
      <c r="NYE71" s="1159" t="e">
        <f t="shared" si="161"/>
        <v>#DIV/0!</v>
      </c>
      <c r="NYF71" s="1159" t="e">
        <f t="shared" si="161"/>
        <v>#DIV/0!</v>
      </c>
      <c r="NYG71" s="1159" t="e">
        <f t="shared" si="161"/>
        <v>#DIV/0!</v>
      </c>
      <c r="NYH71" s="1159" t="e">
        <f t="shared" si="161"/>
        <v>#DIV/0!</v>
      </c>
      <c r="NYI71" s="1159" t="e">
        <f t="shared" si="161"/>
        <v>#DIV/0!</v>
      </c>
      <c r="NYJ71" s="1159" t="e">
        <f t="shared" si="161"/>
        <v>#DIV/0!</v>
      </c>
      <c r="NYK71" s="1159" t="e">
        <f t="shared" si="161"/>
        <v>#DIV/0!</v>
      </c>
      <c r="NYL71" s="1159" t="e">
        <f t="shared" si="161"/>
        <v>#DIV/0!</v>
      </c>
      <c r="NYM71" s="1159" t="e">
        <f t="shared" si="161"/>
        <v>#DIV/0!</v>
      </c>
      <c r="NYN71" s="1159" t="e">
        <f t="shared" si="161"/>
        <v>#DIV/0!</v>
      </c>
      <c r="NYO71" s="1159" t="e">
        <f t="shared" si="161"/>
        <v>#DIV/0!</v>
      </c>
      <c r="NYP71" s="1159" t="e">
        <f t="shared" si="161"/>
        <v>#DIV/0!</v>
      </c>
      <c r="NYQ71" s="1159" t="e">
        <f t="shared" si="161"/>
        <v>#DIV/0!</v>
      </c>
      <c r="NYR71" s="1159" t="e">
        <f t="shared" si="161"/>
        <v>#DIV/0!</v>
      </c>
      <c r="NYS71" s="1159" t="e">
        <f t="shared" si="161"/>
        <v>#DIV/0!</v>
      </c>
      <c r="NYT71" s="1159" t="e">
        <f t="shared" si="161"/>
        <v>#DIV/0!</v>
      </c>
      <c r="NYU71" s="1159" t="e">
        <f t="shared" si="161"/>
        <v>#DIV/0!</v>
      </c>
      <c r="NYV71" s="1159" t="e">
        <f t="shared" si="161"/>
        <v>#DIV/0!</v>
      </c>
      <c r="NYW71" s="1159" t="e">
        <f t="shared" si="161"/>
        <v>#DIV/0!</v>
      </c>
      <c r="NYX71" s="1159" t="e">
        <f t="shared" si="161"/>
        <v>#DIV/0!</v>
      </c>
      <c r="NYY71" s="1159" t="e">
        <f t="shared" si="161"/>
        <v>#DIV/0!</v>
      </c>
      <c r="NYZ71" s="1159" t="e">
        <f t="shared" si="161"/>
        <v>#DIV/0!</v>
      </c>
      <c r="NZA71" s="1159" t="e">
        <f t="shared" si="161"/>
        <v>#DIV/0!</v>
      </c>
      <c r="NZB71" s="1159" t="e">
        <f t="shared" si="161"/>
        <v>#DIV/0!</v>
      </c>
      <c r="NZC71" s="1159" t="e">
        <f t="shared" si="161"/>
        <v>#DIV/0!</v>
      </c>
      <c r="NZD71" s="1159" t="e">
        <f t="shared" si="161"/>
        <v>#DIV/0!</v>
      </c>
      <c r="NZE71" s="1159" t="e">
        <f t="shared" si="161"/>
        <v>#DIV/0!</v>
      </c>
      <c r="NZF71" s="1159" t="e">
        <f t="shared" si="161"/>
        <v>#DIV/0!</v>
      </c>
      <c r="NZG71" s="1159" t="e">
        <f t="shared" si="161"/>
        <v>#DIV/0!</v>
      </c>
      <c r="NZH71" s="1159" t="e">
        <f t="shared" si="161"/>
        <v>#DIV/0!</v>
      </c>
      <c r="NZI71" s="1159" t="e">
        <f t="shared" si="161"/>
        <v>#DIV/0!</v>
      </c>
      <c r="NZJ71" s="1159" t="e">
        <f t="shared" si="161"/>
        <v>#DIV/0!</v>
      </c>
      <c r="NZK71" s="1159" t="e">
        <f t="shared" si="161"/>
        <v>#DIV/0!</v>
      </c>
      <c r="NZL71" s="1159" t="e">
        <f t="shared" si="161"/>
        <v>#DIV/0!</v>
      </c>
      <c r="NZM71" s="1159" t="e">
        <f t="shared" si="161"/>
        <v>#DIV/0!</v>
      </c>
      <c r="NZN71" s="1159" t="e">
        <f t="shared" si="161"/>
        <v>#DIV/0!</v>
      </c>
      <c r="NZO71" s="1159" t="e">
        <f t="shared" si="161"/>
        <v>#DIV/0!</v>
      </c>
      <c r="NZP71" s="1159" t="e">
        <f t="shared" si="161"/>
        <v>#DIV/0!</v>
      </c>
      <c r="NZQ71" s="1159" t="e">
        <f t="shared" si="161"/>
        <v>#DIV/0!</v>
      </c>
      <c r="NZR71" s="1159" t="e">
        <f t="shared" si="161"/>
        <v>#DIV/0!</v>
      </c>
      <c r="NZS71" s="1159" t="e">
        <f t="shared" si="161"/>
        <v>#DIV/0!</v>
      </c>
      <c r="NZT71" s="1159" t="e">
        <f t="shared" si="161"/>
        <v>#DIV/0!</v>
      </c>
      <c r="NZU71" s="1159" t="e">
        <f t="shared" si="161"/>
        <v>#DIV/0!</v>
      </c>
      <c r="NZV71" s="1159" t="e">
        <f t="shared" si="161"/>
        <v>#DIV/0!</v>
      </c>
      <c r="NZW71" s="1159" t="e">
        <f t="shared" si="161"/>
        <v>#DIV/0!</v>
      </c>
      <c r="NZX71" s="1159" t="e">
        <f t="shared" si="161"/>
        <v>#DIV/0!</v>
      </c>
      <c r="NZY71" s="1159" t="e">
        <f t="shared" si="161"/>
        <v>#DIV/0!</v>
      </c>
      <c r="NZZ71" s="1159" t="e">
        <f t="shared" si="161"/>
        <v>#DIV/0!</v>
      </c>
      <c r="OAA71" s="1159" t="e">
        <f t="shared" si="161"/>
        <v>#DIV/0!</v>
      </c>
      <c r="OAB71" s="1159" t="e">
        <f t="shared" si="161"/>
        <v>#DIV/0!</v>
      </c>
      <c r="OAC71" s="1159" t="e">
        <f t="shared" si="161"/>
        <v>#DIV/0!</v>
      </c>
      <c r="OAD71" s="1159" t="e">
        <f t="shared" si="161"/>
        <v>#DIV/0!</v>
      </c>
      <c r="OAE71" s="1159" t="e">
        <f t="shared" si="161"/>
        <v>#DIV/0!</v>
      </c>
      <c r="OAF71" s="1159" t="e">
        <f t="shared" si="161"/>
        <v>#DIV/0!</v>
      </c>
      <c r="OAG71" s="1159" t="e">
        <f t="shared" si="161"/>
        <v>#DIV/0!</v>
      </c>
      <c r="OAH71" s="1159" t="e">
        <f t="shared" si="161"/>
        <v>#DIV/0!</v>
      </c>
      <c r="OAI71" s="1159" t="e">
        <f t="shared" si="161"/>
        <v>#DIV/0!</v>
      </c>
      <c r="OAJ71" s="1159" t="e">
        <f t="shared" si="161"/>
        <v>#DIV/0!</v>
      </c>
      <c r="OAK71" s="1159" t="e">
        <f t="shared" si="161"/>
        <v>#DIV/0!</v>
      </c>
      <c r="OAL71" s="1159" t="e">
        <f t="shared" si="161"/>
        <v>#DIV/0!</v>
      </c>
      <c r="OAM71" s="1159" t="e">
        <f t="shared" si="161"/>
        <v>#DIV/0!</v>
      </c>
      <c r="OAN71" s="1159" t="e">
        <f t="shared" si="161"/>
        <v>#DIV/0!</v>
      </c>
      <c r="OAO71" s="1159" t="e">
        <f t="shared" si="161"/>
        <v>#DIV/0!</v>
      </c>
      <c r="OAP71" s="1159" t="e">
        <f t="shared" ref="OAP71:ODA71" si="162">((OAP6+OAP12+OAP13+OAP14+OAP15)*860+OAP16*OAP55+OAP17*OAP56+OAP7*OAP49+OAP8*OAP50+OAP9*OAP51+OAP10*OAP52+OAP11*OAP53)/(SUM(OAP6:OAP17))</f>
        <v>#DIV/0!</v>
      </c>
      <c r="OAQ71" s="1159" t="e">
        <f t="shared" si="162"/>
        <v>#DIV/0!</v>
      </c>
      <c r="OAR71" s="1159" t="e">
        <f t="shared" si="162"/>
        <v>#DIV/0!</v>
      </c>
      <c r="OAS71" s="1159" t="e">
        <f t="shared" si="162"/>
        <v>#DIV/0!</v>
      </c>
      <c r="OAT71" s="1159" t="e">
        <f t="shared" si="162"/>
        <v>#DIV/0!</v>
      </c>
      <c r="OAU71" s="1159" t="e">
        <f t="shared" si="162"/>
        <v>#DIV/0!</v>
      </c>
      <c r="OAV71" s="1159" t="e">
        <f t="shared" si="162"/>
        <v>#DIV/0!</v>
      </c>
      <c r="OAW71" s="1159" t="e">
        <f t="shared" si="162"/>
        <v>#DIV/0!</v>
      </c>
      <c r="OAX71" s="1159" t="e">
        <f t="shared" si="162"/>
        <v>#DIV/0!</v>
      </c>
      <c r="OAY71" s="1159" t="e">
        <f t="shared" si="162"/>
        <v>#DIV/0!</v>
      </c>
      <c r="OAZ71" s="1159" t="e">
        <f t="shared" si="162"/>
        <v>#DIV/0!</v>
      </c>
      <c r="OBA71" s="1159" t="e">
        <f t="shared" si="162"/>
        <v>#DIV/0!</v>
      </c>
      <c r="OBB71" s="1159" t="e">
        <f t="shared" si="162"/>
        <v>#DIV/0!</v>
      </c>
      <c r="OBC71" s="1159" t="e">
        <f t="shared" si="162"/>
        <v>#DIV/0!</v>
      </c>
      <c r="OBD71" s="1159" t="e">
        <f t="shared" si="162"/>
        <v>#DIV/0!</v>
      </c>
      <c r="OBE71" s="1159" t="e">
        <f t="shared" si="162"/>
        <v>#DIV/0!</v>
      </c>
      <c r="OBF71" s="1159" t="e">
        <f t="shared" si="162"/>
        <v>#DIV/0!</v>
      </c>
      <c r="OBG71" s="1159" t="e">
        <f t="shared" si="162"/>
        <v>#DIV/0!</v>
      </c>
      <c r="OBH71" s="1159" t="e">
        <f t="shared" si="162"/>
        <v>#DIV/0!</v>
      </c>
      <c r="OBI71" s="1159" t="e">
        <f t="shared" si="162"/>
        <v>#DIV/0!</v>
      </c>
      <c r="OBJ71" s="1159" t="e">
        <f t="shared" si="162"/>
        <v>#DIV/0!</v>
      </c>
      <c r="OBK71" s="1159" t="e">
        <f t="shared" si="162"/>
        <v>#DIV/0!</v>
      </c>
      <c r="OBL71" s="1159" t="e">
        <f t="shared" si="162"/>
        <v>#DIV/0!</v>
      </c>
      <c r="OBM71" s="1159" t="e">
        <f t="shared" si="162"/>
        <v>#DIV/0!</v>
      </c>
      <c r="OBN71" s="1159" t="e">
        <f t="shared" si="162"/>
        <v>#DIV/0!</v>
      </c>
      <c r="OBO71" s="1159" t="e">
        <f t="shared" si="162"/>
        <v>#DIV/0!</v>
      </c>
      <c r="OBP71" s="1159" t="e">
        <f t="shared" si="162"/>
        <v>#DIV/0!</v>
      </c>
      <c r="OBQ71" s="1159" t="e">
        <f t="shared" si="162"/>
        <v>#DIV/0!</v>
      </c>
      <c r="OBR71" s="1159" t="e">
        <f t="shared" si="162"/>
        <v>#DIV/0!</v>
      </c>
      <c r="OBS71" s="1159" t="e">
        <f t="shared" si="162"/>
        <v>#DIV/0!</v>
      </c>
      <c r="OBT71" s="1159" t="e">
        <f t="shared" si="162"/>
        <v>#DIV/0!</v>
      </c>
      <c r="OBU71" s="1159" t="e">
        <f t="shared" si="162"/>
        <v>#DIV/0!</v>
      </c>
      <c r="OBV71" s="1159" t="e">
        <f t="shared" si="162"/>
        <v>#DIV/0!</v>
      </c>
      <c r="OBW71" s="1159" t="e">
        <f t="shared" si="162"/>
        <v>#DIV/0!</v>
      </c>
      <c r="OBX71" s="1159" t="e">
        <f t="shared" si="162"/>
        <v>#DIV/0!</v>
      </c>
      <c r="OBY71" s="1159" t="e">
        <f t="shared" si="162"/>
        <v>#DIV/0!</v>
      </c>
      <c r="OBZ71" s="1159" t="e">
        <f t="shared" si="162"/>
        <v>#DIV/0!</v>
      </c>
      <c r="OCA71" s="1159" t="e">
        <f t="shared" si="162"/>
        <v>#DIV/0!</v>
      </c>
      <c r="OCB71" s="1159" t="e">
        <f t="shared" si="162"/>
        <v>#DIV/0!</v>
      </c>
      <c r="OCC71" s="1159" t="e">
        <f t="shared" si="162"/>
        <v>#DIV/0!</v>
      </c>
      <c r="OCD71" s="1159" t="e">
        <f t="shared" si="162"/>
        <v>#DIV/0!</v>
      </c>
      <c r="OCE71" s="1159" t="e">
        <f t="shared" si="162"/>
        <v>#DIV/0!</v>
      </c>
      <c r="OCF71" s="1159" t="e">
        <f t="shared" si="162"/>
        <v>#DIV/0!</v>
      </c>
      <c r="OCG71" s="1159" t="e">
        <f t="shared" si="162"/>
        <v>#DIV/0!</v>
      </c>
      <c r="OCH71" s="1159" t="e">
        <f t="shared" si="162"/>
        <v>#DIV/0!</v>
      </c>
      <c r="OCI71" s="1159" t="e">
        <f t="shared" si="162"/>
        <v>#DIV/0!</v>
      </c>
      <c r="OCJ71" s="1159" t="e">
        <f t="shared" si="162"/>
        <v>#DIV/0!</v>
      </c>
      <c r="OCK71" s="1159" t="e">
        <f t="shared" si="162"/>
        <v>#DIV/0!</v>
      </c>
      <c r="OCL71" s="1159" t="e">
        <f t="shared" si="162"/>
        <v>#DIV/0!</v>
      </c>
      <c r="OCM71" s="1159" t="e">
        <f t="shared" si="162"/>
        <v>#DIV/0!</v>
      </c>
      <c r="OCN71" s="1159" t="e">
        <f t="shared" si="162"/>
        <v>#DIV/0!</v>
      </c>
      <c r="OCO71" s="1159" t="e">
        <f t="shared" si="162"/>
        <v>#DIV/0!</v>
      </c>
      <c r="OCP71" s="1159" t="e">
        <f t="shared" si="162"/>
        <v>#DIV/0!</v>
      </c>
      <c r="OCQ71" s="1159" t="e">
        <f t="shared" si="162"/>
        <v>#DIV/0!</v>
      </c>
      <c r="OCR71" s="1159" t="e">
        <f t="shared" si="162"/>
        <v>#DIV/0!</v>
      </c>
      <c r="OCS71" s="1159" t="e">
        <f t="shared" si="162"/>
        <v>#DIV/0!</v>
      </c>
      <c r="OCT71" s="1159" t="e">
        <f t="shared" si="162"/>
        <v>#DIV/0!</v>
      </c>
      <c r="OCU71" s="1159" t="e">
        <f t="shared" si="162"/>
        <v>#DIV/0!</v>
      </c>
      <c r="OCV71" s="1159" t="e">
        <f t="shared" si="162"/>
        <v>#DIV/0!</v>
      </c>
      <c r="OCW71" s="1159" t="e">
        <f t="shared" si="162"/>
        <v>#DIV/0!</v>
      </c>
      <c r="OCX71" s="1159" t="e">
        <f t="shared" si="162"/>
        <v>#DIV/0!</v>
      </c>
      <c r="OCY71" s="1159" t="e">
        <f t="shared" si="162"/>
        <v>#DIV/0!</v>
      </c>
      <c r="OCZ71" s="1159" t="e">
        <f t="shared" si="162"/>
        <v>#DIV/0!</v>
      </c>
      <c r="ODA71" s="1159" t="e">
        <f t="shared" si="162"/>
        <v>#DIV/0!</v>
      </c>
      <c r="ODB71" s="1159" t="e">
        <f t="shared" ref="ODB71:OFM71" si="163">((ODB6+ODB12+ODB13+ODB14+ODB15)*860+ODB16*ODB55+ODB17*ODB56+ODB7*ODB49+ODB8*ODB50+ODB9*ODB51+ODB10*ODB52+ODB11*ODB53)/(SUM(ODB6:ODB17))</f>
        <v>#DIV/0!</v>
      </c>
      <c r="ODC71" s="1159" t="e">
        <f t="shared" si="163"/>
        <v>#DIV/0!</v>
      </c>
      <c r="ODD71" s="1159" t="e">
        <f t="shared" si="163"/>
        <v>#DIV/0!</v>
      </c>
      <c r="ODE71" s="1159" t="e">
        <f t="shared" si="163"/>
        <v>#DIV/0!</v>
      </c>
      <c r="ODF71" s="1159" t="e">
        <f t="shared" si="163"/>
        <v>#DIV/0!</v>
      </c>
      <c r="ODG71" s="1159" t="e">
        <f t="shared" si="163"/>
        <v>#DIV/0!</v>
      </c>
      <c r="ODH71" s="1159" t="e">
        <f t="shared" si="163"/>
        <v>#DIV/0!</v>
      </c>
      <c r="ODI71" s="1159" t="e">
        <f t="shared" si="163"/>
        <v>#DIV/0!</v>
      </c>
      <c r="ODJ71" s="1159" t="e">
        <f t="shared" si="163"/>
        <v>#DIV/0!</v>
      </c>
      <c r="ODK71" s="1159" t="e">
        <f t="shared" si="163"/>
        <v>#DIV/0!</v>
      </c>
      <c r="ODL71" s="1159" t="e">
        <f t="shared" si="163"/>
        <v>#DIV/0!</v>
      </c>
      <c r="ODM71" s="1159" t="e">
        <f t="shared" si="163"/>
        <v>#DIV/0!</v>
      </c>
      <c r="ODN71" s="1159" t="e">
        <f t="shared" si="163"/>
        <v>#DIV/0!</v>
      </c>
      <c r="ODO71" s="1159" t="e">
        <f t="shared" si="163"/>
        <v>#DIV/0!</v>
      </c>
      <c r="ODP71" s="1159" t="e">
        <f t="shared" si="163"/>
        <v>#DIV/0!</v>
      </c>
      <c r="ODQ71" s="1159" t="e">
        <f t="shared" si="163"/>
        <v>#DIV/0!</v>
      </c>
      <c r="ODR71" s="1159" t="e">
        <f t="shared" si="163"/>
        <v>#DIV/0!</v>
      </c>
      <c r="ODS71" s="1159" t="e">
        <f t="shared" si="163"/>
        <v>#DIV/0!</v>
      </c>
      <c r="ODT71" s="1159" t="e">
        <f t="shared" si="163"/>
        <v>#DIV/0!</v>
      </c>
      <c r="ODU71" s="1159" t="e">
        <f t="shared" si="163"/>
        <v>#DIV/0!</v>
      </c>
      <c r="ODV71" s="1159" t="e">
        <f t="shared" si="163"/>
        <v>#DIV/0!</v>
      </c>
      <c r="ODW71" s="1159" t="e">
        <f t="shared" si="163"/>
        <v>#DIV/0!</v>
      </c>
      <c r="ODX71" s="1159" t="e">
        <f t="shared" si="163"/>
        <v>#DIV/0!</v>
      </c>
      <c r="ODY71" s="1159" t="e">
        <f t="shared" si="163"/>
        <v>#DIV/0!</v>
      </c>
      <c r="ODZ71" s="1159" t="e">
        <f t="shared" si="163"/>
        <v>#DIV/0!</v>
      </c>
      <c r="OEA71" s="1159" t="e">
        <f t="shared" si="163"/>
        <v>#DIV/0!</v>
      </c>
      <c r="OEB71" s="1159" t="e">
        <f t="shared" si="163"/>
        <v>#DIV/0!</v>
      </c>
      <c r="OEC71" s="1159" t="e">
        <f t="shared" si="163"/>
        <v>#DIV/0!</v>
      </c>
      <c r="OED71" s="1159" t="e">
        <f t="shared" si="163"/>
        <v>#DIV/0!</v>
      </c>
      <c r="OEE71" s="1159" t="e">
        <f t="shared" si="163"/>
        <v>#DIV/0!</v>
      </c>
      <c r="OEF71" s="1159" t="e">
        <f t="shared" si="163"/>
        <v>#DIV/0!</v>
      </c>
      <c r="OEG71" s="1159" t="e">
        <f t="shared" si="163"/>
        <v>#DIV/0!</v>
      </c>
      <c r="OEH71" s="1159" t="e">
        <f t="shared" si="163"/>
        <v>#DIV/0!</v>
      </c>
      <c r="OEI71" s="1159" t="e">
        <f t="shared" si="163"/>
        <v>#DIV/0!</v>
      </c>
      <c r="OEJ71" s="1159" t="e">
        <f t="shared" si="163"/>
        <v>#DIV/0!</v>
      </c>
      <c r="OEK71" s="1159" t="e">
        <f t="shared" si="163"/>
        <v>#DIV/0!</v>
      </c>
      <c r="OEL71" s="1159" t="e">
        <f t="shared" si="163"/>
        <v>#DIV/0!</v>
      </c>
      <c r="OEM71" s="1159" t="e">
        <f t="shared" si="163"/>
        <v>#DIV/0!</v>
      </c>
      <c r="OEN71" s="1159" t="e">
        <f t="shared" si="163"/>
        <v>#DIV/0!</v>
      </c>
      <c r="OEO71" s="1159" t="e">
        <f t="shared" si="163"/>
        <v>#DIV/0!</v>
      </c>
      <c r="OEP71" s="1159" t="e">
        <f t="shared" si="163"/>
        <v>#DIV/0!</v>
      </c>
      <c r="OEQ71" s="1159" t="e">
        <f t="shared" si="163"/>
        <v>#DIV/0!</v>
      </c>
      <c r="OER71" s="1159" t="e">
        <f t="shared" si="163"/>
        <v>#DIV/0!</v>
      </c>
      <c r="OES71" s="1159" t="e">
        <f t="shared" si="163"/>
        <v>#DIV/0!</v>
      </c>
      <c r="OET71" s="1159" t="e">
        <f t="shared" si="163"/>
        <v>#DIV/0!</v>
      </c>
      <c r="OEU71" s="1159" t="e">
        <f t="shared" si="163"/>
        <v>#DIV/0!</v>
      </c>
      <c r="OEV71" s="1159" t="e">
        <f t="shared" si="163"/>
        <v>#DIV/0!</v>
      </c>
      <c r="OEW71" s="1159" t="e">
        <f t="shared" si="163"/>
        <v>#DIV/0!</v>
      </c>
      <c r="OEX71" s="1159" t="e">
        <f t="shared" si="163"/>
        <v>#DIV/0!</v>
      </c>
      <c r="OEY71" s="1159" t="e">
        <f t="shared" si="163"/>
        <v>#DIV/0!</v>
      </c>
      <c r="OEZ71" s="1159" t="e">
        <f t="shared" si="163"/>
        <v>#DIV/0!</v>
      </c>
      <c r="OFA71" s="1159" t="e">
        <f t="shared" si="163"/>
        <v>#DIV/0!</v>
      </c>
      <c r="OFB71" s="1159" t="e">
        <f t="shared" si="163"/>
        <v>#DIV/0!</v>
      </c>
      <c r="OFC71" s="1159" t="e">
        <f t="shared" si="163"/>
        <v>#DIV/0!</v>
      </c>
      <c r="OFD71" s="1159" t="e">
        <f t="shared" si="163"/>
        <v>#DIV/0!</v>
      </c>
      <c r="OFE71" s="1159" t="e">
        <f t="shared" si="163"/>
        <v>#DIV/0!</v>
      </c>
      <c r="OFF71" s="1159" t="e">
        <f t="shared" si="163"/>
        <v>#DIV/0!</v>
      </c>
      <c r="OFG71" s="1159" t="e">
        <f t="shared" si="163"/>
        <v>#DIV/0!</v>
      </c>
      <c r="OFH71" s="1159" t="e">
        <f t="shared" si="163"/>
        <v>#DIV/0!</v>
      </c>
      <c r="OFI71" s="1159" t="e">
        <f t="shared" si="163"/>
        <v>#DIV/0!</v>
      </c>
      <c r="OFJ71" s="1159" t="e">
        <f t="shared" si="163"/>
        <v>#DIV/0!</v>
      </c>
      <c r="OFK71" s="1159" t="e">
        <f t="shared" si="163"/>
        <v>#DIV/0!</v>
      </c>
      <c r="OFL71" s="1159" t="e">
        <f t="shared" si="163"/>
        <v>#DIV/0!</v>
      </c>
      <c r="OFM71" s="1159" t="e">
        <f t="shared" si="163"/>
        <v>#DIV/0!</v>
      </c>
      <c r="OFN71" s="1159" t="e">
        <f t="shared" ref="OFN71:OHY71" si="164">((OFN6+OFN12+OFN13+OFN14+OFN15)*860+OFN16*OFN55+OFN17*OFN56+OFN7*OFN49+OFN8*OFN50+OFN9*OFN51+OFN10*OFN52+OFN11*OFN53)/(SUM(OFN6:OFN17))</f>
        <v>#DIV/0!</v>
      </c>
      <c r="OFO71" s="1159" t="e">
        <f t="shared" si="164"/>
        <v>#DIV/0!</v>
      </c>
      <c r="OFP71" s="1159" t="e">
        <f t="shared" si="164"/>
        <v>#DIV/0!</v>
      </c>
      <c r="OFQ71" s="1159" t="e">
        <f t="shared" si="164"/>
        <v>#DIV/0!</v>
      </c>
      <c r="OFR71" s="1159" t="e">
        <f t="shared" si="164"/>
        <v>#DIV/0!</v>
      </c>
      <c r="OFS71" s="1159" t="e">
        <f t="shared" si="164"/>
        <v>#DIV/0!</v>
      </c>
      <c r="OFT71" s="1159" t="e">
        <f t="shared" si="164"/>
        <v>#DIV/0!</v>
      </c>
      <c r="OFU71" s="1159" t="e">
        <f t="shared" si="164"/>
        <v>#DIV/0!</v>
      </c>
      <c r="OFV71" s="1159" t="e">
        <f t="shared" si="164"/>
        <v>#DIV/0!</v>
      </c>
      <c r="OFW71" s="1159" t="e">
        <f t="shared" si="164"/>
        <v>#DIV/0!</v>
      </c>
      <c r="OFX71" s="1159" t="e">
        <f t="shared" si="164"/>
        <v>#DIV/0!</v>
      </c>
      <c r="OFY71" s="1159" t="e">
        <f t="shared" si="164"/>
        <v>#DIV/0!</v>
      </c>
      <c r="OFZ71" s="1159" t="e">
        <f t="shared" si="164"/>
        <v>#DIV/0!</v>
      </c>
      <c r="OGA71" s="1159" t="e">
        <f t="shared" si="164"/>
        <v>#DIV/0!</v>
      </c>
      <c r="OGB71" s="1159" t="e">
        <f t="shared" si="164"/>
        <v>#DIV/0!</v>
      </c>
      <c r="OGC71" s="1159" t="e">
        <f t="shared" si="164"/>
        <v>#DIV/0!</v>
      </c>
      <c r="OGD71" s="1159" t="e">
        <f t="shared" si="164"/>
        <v>#DIV/0!</v>
      </c>
      <c r="OGE71" s="1159" t="e">
        <f t="shared" si="164"/>
        <v>#DIV/0!</v>
      </c>
      <c r="OGF71" s="1159" t="e">
        <f t="shared" si="164"/>
        <v>#DIV/0!</v>
      </c>
      <c r="OGG71" s="1159" t="e">
        <f t="shared" si="164"/>
        <v>#DIV/0!</v>
      </c>
      <c r="OGH71" s="1159" t="e">
        <f t="shared" si="164"/>
        <v>#DIV/0!</v>
      </c>
      <c r="OGI71" s="1159" t="e">
        <f t="shared" si="164"/>
        <v>#DIV/0!</v>
      </c>
      <c r="OGJ71" s="1159" t="e">
        <f t="shared" si="164"/>
        <v>#DIV/0!</v>
      </c>
      <c r="OGK71" s="1159" t="e">
        <f t="shared" si="164"/>
        <v>#DIV/0!</v>
      </c>
      <c r="OGL71" s="1159" t="e">
        <f t="shared" si="164"/>
        <v>#DIV/0!</v>
      </c>
      <c r="OGM71" s="1159" t="e">
        <f t="shared" si="164"/>
        <v>#DIV/0!</v>
      </c>
      <c r="OGN71" s="1159" t="e">
        <f t="shared" si="164"/>
        <v>#DIV/0!</v>
      </c>
      <c r="OGO71" s="1159" t="e">
        <f t="shared" si="164"/>
        <v>#DIV/0!</v>
      </c>
      <c r="OGP71" s="1159" t="e">
        <f t="shared" si="164"/>
        <v>#DIV/0!</v>
      </c>
      <c r="OGQ71" s="1159" t="e">
        <f t="shared" si="164"/>
        <v>#DIV/0!</v>
      </c>
      <c r="OGR71" s="1159" t="e">
        <f t="shared" si="164"/>
        <v>#DIV/0!</v>
      </c>
      <c r="OGS71" s="1159" t="e">
        <f t="shared" si="164"/>
        <v>#DIV/0!</v>
      </c>
      <c r="OGT71" s="1159" t="e">
        <f t="shared" si="164"/>
        <v>#DIV/0!</v>
      </c>
      <c r="OGU71" s="1159" t="e">
        <f t="shared" si="164"/>
        <v>#DIV/0!</v>
      </c>
      <c r="OGV71" s="1159" t="e">
        <f t="shared" si="164"/>
        <v>#DIV/0!</v>
      </c>
      <c r="OGW71" s="1159" t="e">
        <f t="shared" si="164"/>
        <v>#DIV/0!</v>
      </c>
      <c r="OGX71" s="1159" t="e">
        <f t="shared" si="164"/>
        <v>#DIV/0!</v>
      </c>
      <c r="OGY71" s="1159" t="e">
        <f t="shared" si="164"/>
        <v>#DIV/0!</v>
      </c>
      <c r="OGZ71" s="1159" t="e">
        <f t="shared" si="164"/>
        <v>#DIV/0!</v>
      </c>
      <c r="OHA71" s="1159" t="e">
        <f t="shared" si="164"/>
        <v>#DIV/0!</v>
      </c>
      <c r="OHB71" s="1159" t="e">
        <f t="shared" si="164"/>
        <v>#DIV/0!</v>
      </c>
      <c r="OHC71" s="1159" t="e">
        <f t="shared" si="164"/>
        <v>#DIV/0!</v>
      </c>
      <c r="OHD71" s="1159" t="e">
        <f t="shared" si="164"/>
        <v>#DIV/0!</v>
      </c>
      <c r="OHE71" s="1159" t="e">
        <f t="shared" si="164"/>
        <v>#DIV/0!</v>
      </c>
      <c r="OHF71" s="1159" t="e">
        <f t="shared" si="164"/>
        <v>#DIV/0!</v>
      </c>
      <c r="OHG71" s="1159" t="e">
        <f t="shared" si="164"/>
        <v>#DIV/0!</v>
      </c>
      <c r="OHH71" s="1159" t="e">
        <f t="shared" si="164"/>
        <v>#DIV/0!</v>
      </c>
      <c r="OHI71" s="1159" t="e">
        <f t="shared" si="164"/>
        <v>#DIV/0!</v>
      </c>
      <c r="OHJ71" s="1159" t="e">
        <f t="shared" si="164"/>
        <v>#DIV/0!</v>
      </c>
      <c r="OHK71" s="1159" t="e">
        <f t="shared" si="164"/>
        <v>#DIV/0!</v>
      </c>
      <c r="OHL71" s="1159" t="e">
        <f t="shared" si="164"/>
        <v>#DIV/0!</v>
      </c>
      <c r="OHM71" s="1159" t="e">
        <f t="shared" si="164"/>
        <v>#DIV/0!</v>
      </c>
      <c r="OHN71" s="1159" t="e">
        <f t="shared" si="164"/>
        <v>#DIV/0!</v>
      </c>
      <c r="OHO71" s="1159" t="e">
        <f t="shared" si="164"/>
        <v>#DIV/0!</v>
      </c>
      <c r="OHP71" s="1159" t="e">
        <f t="shared" si="164"/>
        <v>#DIV/0!</v>
      </c>
      <c r="OHQ71" s="1159" t="e">
        <f t="shared" si="164"/>
        <v>#DIV/0!</v>
      </c>
      <c r="OHR71" s="1159" t="e">
        <f t="shared" si="164"/>
        <v>#DIV/0!</v>
      </c>
      <c r="OHS71" s="1159" t="e">
        <f t="shared" si="164"/>
        <v>#DIV/0!</v>
      </c>
      <c r="OHT71" s="1159" t="e">
        <f t="shared" si="164"/>
        <v>#DIV/0!</v>
      </c>
      <c r="OHU71" s="1159" t="e">
        <f t="shared" si="164"/>
        <v>#DIV/0!</v>
      </c>
      <c r="OHV71" s="1159" t="e">
        <f t="shared" si="164"/>
        <v>#DIV/0!</v>
      </c>
      <c r="OHW71" s="1159" t="e">
        <f t="shared" si="164"/>
        <v>#DIV/0!</v>
      </c>
      <c r="OHX71" s="1159" t="e">
        <f t="shared" si="164"/>
        <v>#DIV/0!</v>
      </c>
      <c r="OHY71" s="1159" t="e">
        <f t="shared" si="164"/>
        <v>#DIV/0!</v>
      </c>
      <c r="OHZ71" s="1159" t="e">
        <f t="shared" ref="OHZ71:OKK71" si="165">((OHZ6+OHZ12+OHZ13+OHZ14+OHZ15)*860+OHZ16*OHZ55+OHZ17*OHZ56+OHZ7*OHZ49+OHZ8*OHZ50+OHZ9*OHZ51+OHZ10*OHZ52+OHZ11*OHZ53)/(SUM(OHZ6:OHZ17))</f>
        <v>#DIV/0!</v>
      </c>
      <c r="OIA71" s="1159" t="e">
        <f t="shared" si="165"/>
        <v>#DIV/0!</v>
      </c>
      <c r="OIB71" s="1159" t="e">
        <f t="shared" si="165"/>
        <v>#DIV/0!</v>
      </c>
      <c r="OIC71" s="1159" t="e">
        <f t="shared" si="165"/>
        <v>#DIV/0!</v>
      </c>
      <c r="OID71" s="1159" t="e">
        <f t="shared" si="165"/>
        <v>#DIV/0!</v>
      </c>
      <c r="OIE71" s="1159" t="e">
        <f t="shared" si="165"/>
        <v>#DIV/0!</v>
      </c>
      <c r="OIF71" s="1159" t="e">
        <f t="shared" si="165"/>
        <v>#DIV/0!</v>
      </c>
      <c r="OIG71" s="1159" t="e">
        <f t="shared" si="165"/>
        <v>#DIV/0!</v>
      </c>
      <c r="OIH71" s="1159" t="e">
        <f t="shared" si="165"/>
        <v>#DIV/0!</v>
      </c>
      <c r="OII71" s="1159" t="e">
        <f t="shared" si="165"/>
        <v>#DIV/0!</v>
      </c>
      <c r="OIJ71" s="1159" t="e">
        <f t="shared" si="165"/>
        <v>#DIV/0!</v>
      </c>
      <c r="OIK71" s="1159" t="e">
        <f t="shared" si="165"/>
        <v>#DIV/0!</v>
      </c>
      <c r="OIL71" s="1159" t="e">
        <f t="shared" si="165"/>
        <v>#DIV/0!</v>
      </c>
      <c r="OIM71" s="1159" t="e">
        <f t="shared" si="165"/>
        <v>#DIV/0!</v>
      </c>
      <c r="OIN71" s="1159" t="e">
        <f t="shared" si="165"/>
        <v>#DIV/0!</v>
      </c>
      <c r="OIO71" s="1159" t="e">
        <f t="shared" si="165"/>
        <v>#DIV/0!</v>
      </c>
      <c r="OIP71" s="1159" t="e">
        <f t="shared" si="165"/>
        <v>#DIV/0!</v>
      </c>
      <c r="OIQ71" s="1159" t="e">
        <f t="shared" si="165"/>
        <v>#DIV/0!</v>
      </c>
      <c r="OIR71" s="1159" t="e">
        <f t="shared" si="165"/>
        <v>#DIV/0!</v>
      </c>
      <c r="OIS71" s="1159" t="e">
        <f t="shared" si="165"/>
        <v>#DIV/0!</v>
      </c>
      <c r="OIT71" s="1159" t="e">
        <f t="shared" si="165"/>
        <v>#DIV/0!</v>
      </c>
      <c r="OIU71" s="1159" t="e">
        <f t="shared" si="165"/>
        <v>#DIV/0!</v>
      </c>
      <c r="OIV71" s="1159" t="e">
        <f t="shared" si="165"/>
        <v>#DIV/0!</v>
      </c>
      <c r="OIW71" s="1159" t="e">
        <f t="shared" si="165"/>
        <v>#DIV/0!</v>
      </c>
      <c r="OIX71" s="1159" t="e">
        <f t="shared" si="165"/>
        <v>#DIV/0!</v>
      </c>
      <c r="OIY71" s="1159" t="e">
        <f t="shared" si="165"/>
        <v>#DIV/0!</v>
      </c>
      <c r="OIZ71" s="1159" t="e">
        <f t="shared" si="165"/>
        <v>#DIV/0!</v>
      </c>
      <c r="OJA71" s="1159" t="e">
        <f t="shared" si="165"/>
        <v>#DIV/0!</v>
      </c>
      <c r="OJB71" s="1159" t="e">
        <f t="shared" si="165"/>
        <v>#DIV/0!</v>
      </c>
      <c r="OJC71" s="1159" t="e">
        <f t="shared" si="165"/>
        <v>#DIV/0!</v>
      </c>
      <c r="OJD71" s="1159" t="e">
        <f t="shared" si="165"/>
        <v>#DIV/0!</v>
      </c>
      <c r="OJE71" s="1159" t="e">
        <f t="shared" si="165"/>
        <v>#DIV/0!</v>
      </c>
      <c r="OJF71" s="1159" t="e">
        <f t="shared" si="165"/>
        <v>#DIV/0!</v>
      </c>
      <c r="OJG71" s="1159" t="e">
        <f t="shared" si="165"/>
        <v>#DIV/0!</v>
      </c>
      <c r="OJH71" s="1159" t="e">
        <f t="shared" si="165"/>
        <v>#DIV/0!</v>
      </c>
      <c r="OJI71" s="1159" t="e">
        <f t="shared" si="165"/>
        <v>#DIV/0!</v>
      </c>
      <c r="OJJ71" s="1159" t="e">
        <f t="shared" si="165"/>
        <v>#DIV/0!</v>
      </c>
      <c r="OJK71" s="1159" t="e">
        <f t="shared" si="165"/>
        <v>#DIV/0!</v>
      </c>
      <c r="OJL71" s="1159" t="e">
        <f t="shared" si="165"/>
        <v>#DIV/0!</v>
      </c>
      <c r="OJM71" s="1159" t="e">
        <f t="shared" si="165"/>
        <v>#DIV/0!</v>
      </c>
      <c r="OJN71" s="1159" t="e">
        <f t="shared" si="165"/>
        <v>#DIV/0!</v>
      </c>
      <c r="OJO71" s="1159" t="e">
        <f t="shared" si="165"/>
        <v>#DIV/0!</v>
      </c>
      <c r="OJP71" s="1159" t="e">
        <f t="shared" si="165"/>
        <v>#DIV/0!</v>
      </c>
      <c r="OJQ71" s="1159" t="e">
        <f t="shared" si="165"/>
        <v>#DIV/0!</v>
      </c>
      <c r="OJR71" s="1159" t="e">
        <f t="shared" si="165"/>
        <v>#DIV/0!</v>
      </c>
      <c r="OJS71" s="1159" t="e">
        <f t="shared" si="165"/>
        <v>#DIV/0!</v>
      </c>
      <c r="OJT71" s="1159" t="e">
        <f t="shared" si="165"/>
        <v>#DIV/0!</v>
      </c>
      <c r="OJU71" s="1159" t="e">
        <f t="shared" si="165"/>
        <v>#DIV/0!</v>
      </c>
      <c r="OJV71" s="1159" t="e">
        <f t="shared" si="165"/>
        <v>#DIV/0!</v>
      </c>
      <c r="OJW71" s="1159" t="e">
        <f t="shared" si="165"/>
        <v>#DIV/0!</v>
      </c>
      <c r="OJX71" s="1159" t="e">
        <f t="shared" si="165"/>
        <v>#DIV/0!</v>
      </c>
      <c r="OJY71" s="1159" t="e">
        <f t="shared" si="165"/>
        <v>#DIV/0!</v>
      </c>
      <c r="OJZ71" s="1159" t="e">
        <f t="shared" si="165"/>
        <v>#DIV/0!</v>
      </c>
      <c r="OKA71" s="1159" t="e">
        <f t="shared" si="165"/>
        <v>#DIV/0!</v>
      </c>
      <c r="OKB71" s="1159" t="e">
        <f t="shared" si="165"/>
        <v>#DIV/0!</v>
      </c>
      <c r="OKC71" s="1159" t="e">
        <f t="shared" si="165"/>
        <v>#DIV/0!</v>
      </c>
      <c r="OKD71" s="1159" t="e">
        <f t="shared" si="165"/>
        <v>#DIV/0!</v>
      </c>
      <c r="OKE71" s="1159" t="e">
        <f t="shared" si="165"/>
        <v>#DIV/0!</v>
      </c>
      <c r="OKF71" s="1159" t="e">
        <f t="shared" si="165"/>
        <v>#DIV/0!</v>
      </c>
      <c r="OKG71" s="1159" t="e">
        <f t="shared" si="165"/>
        <v>#DIV/0!</v>
      </c>
      <c r="OKH71" s="1159" t="e">
        <f t="shared" si="165"/>
        <v>#DIV/0!</v>
      </c>
      <c r="OKI71" s="1159" t="e">
        <f t="shared" si="165"/>
        <v>#DIV/0!</v>
      </c>
      <c r="OKJ71" s="1159" t="e">
        <f t="shared" si="165"/>
        <v>#DIV/0!</v>
      </c>
      <c r="OKK71" s="1159" t="e">
        <f t="shared" si="165"/>
        <v>#DIV/0!</v>
      </c>
      <c r="OKL71" s="1159" t="e">
        <f t="shared" ref="OKL71:OMW71" si="166">((OKL6+OKL12+OKL13+OKL14+OKL15)*860+OKL16*OKL55+OKL17*OKL56+OKL7*OKL49+OKL8*OKL50+OKL9*OKL51+OKL10*OKL52+OKL11*OKL53)/(SUM(OKL6:OKL17))</f>
        <v>#DIV/0!</v>
      </c>
      <c r="OKM71" s="1159" t="e">
        <f t="shared" si="166"/>
        <v>#DIV/0!</v>
      </c>
      <c r="OKN71" s="1159" t="e">
        <f t="shared" si="166"/>
        <v>#DIV/0!</v>
      </c>
      <c r="OKO71" s="1159" t="e">
        <f t="shared" si="166"/>
        <v>#DIV/0!</v>
      </c>
      <c r="OKP71" s="1159" t="e">
        <f t="shared" si="166"/>
        <v>#DIV/0!</v>
      </c>
      <c r="OKQ71" s="1159" t="e">
        <f t="shared" si="166"/>
        <v>#DIV/0!</v>
      </c>
      <c r="OKR71" s="1159" t="e">
        <f t="shared" si="166"/>
        <v>#DIV/0!</v>
      </c>
      <c r="OKS71" s="1159" t="e">
        <f t="shared" si="166"/>
        <v>#DIV/0!</v>
      </c>
      <c r="OKT71" s="1159" t="e">
        <f t="shared" si="166"/>
        <v>#DIV/0!</v>
      </c>
      <c r="OKU71" s="1159" t="e">
        <f t="shared" si="166"/>
        <v>#DIV/0!</v>
      </c>
      <c r="OKV71" s="1159" t="e">
        <f t="shared" si="166"/>
        <v>#DIV/0!</v>
      </c>
      <c r="OKW71" s="1159" t="e">
        <f t="shared" si="166"/>
        <v>#DIV/0!</v>
      </c>
      <c r="OKX71" s="1159" t="e">
        <f t="shared" si="166"/>
        <v>#DIV/0!</v>
      </c>
      <c r="OKY71" s="1159" t="e">
        <f t="shared" si="166"/>
        <v>#DIV/0!</v>
      </c>
      <c r="OKZ71" s="1159" t="e">
        <f t="shared" si="166"/>
        <v>#DIV/0!</v>
      </c>
      <c r="OLA71" s="1159" t="e">
        <f t="shared" si="166"/>
        <v>#DIV/0!</v>
      </c>
      <c r="OLB71" s="1159" t="e">
        <f t="shared" si="166"/>
        <v>#DIV/0!</v>
      </c>
      <c r="OLC71" s="1159" t="e">
        <f t="shared" si="166"/>
        <v>#DIV/0!</v>
      </c>
      <c r="OLD71" s="1159" t="e">
        <f t="shared" si="166"/>
        <v>#DIV/0!</v>
      </c>
      <c r="OLE71" s="1159" t="e">
        <f t="shared" si="166"/>
        <v>#DIV/0!</v>
      </c>
      <c r="OLF71" s="1159" t="e">
        <f t="shared" si="166"/>
        <v>#DIV/0!</v>
      </c>
      <c r="OLG71" s="1159" t="e">
        <f t="shared" si="166"/>
        <v>#DIV/0!</v>
      </c>
      <c r="OLH71" s="1159" t="e">
        <f t="shared" si="166"/>
        <v>#DIV/0!</v>
      </c>
      <c r="OLI71" s="1159" t="e">
        <f t="shared" si="166"/>
        <v>#DIV/0!</v>
      </c>
      <c r="OLJ71" s="1159" t="e">
        <f t="shared" si="166"/>
        <v>#DIV/0!</v>
      </c>
      <c r="OLK71" s="1159" t="e">
        <f t="shared" si="166"/>
        <v>#DIV/0!</v>
      </c>
      <c r="OLL71" s="1159" t="e">
        <f t="shared" si="166"/>
        <v>#DIV/0!</v>
      </c>
      <c r="OLM71" s="1159" t="e">
        <f t="shared" si="166"/>
        <v>#DIV/0!</v>
      </c>
      <c r="OLN71" s="1159" t="e">
        <f t="shared" si="166"/>
        <v>#DIV/0!</v>
      </c>
      <c r="OLO71" s="1159" t="e">
        <f t="shared" si="166"/>
        <v>#DIV/0!</v>
      </c>
      <c r="OLP71" s="1159" t="e">
        <f t="shared" si="166"/>
        <v>#DIV/0!</v>
      </c>
      <c r="OLQ71" s="1159" t="e">
        <f t="shared" si="166"/>
        <v>#DIV/0!</v>
      </c>
      <c r="OLR71" s="1159" t="e">
        <f t="shared" si="166"/>
        <v>#DIV/0!</v>
      </c>
      <c r="OLS71" s="1159" t="e">
        <f t="shared" si="166"/>
        <v>#DIV/0!</v>
      </c>
      <c r="OLT71" s="1159" t="e">
        <f t="shared" si="166"/>
        <v>#DIV/0!</v>
      </c>
      <c r="OLU71" s="1159" t="e">
        <f t="shared" si="166"/>
        <v>#DIV/0!</v>
      </c>
      <c r="OLV71" s="1159" t="e">
        <f t="shared" si="166"/>
        <v>#DIV/0!</v>
      </c>
      <c r="OLW71" s="1159" t="e">
        <f t="shared" si="166"/>
        <v>#DIV/0!</v>
      </c>
      <c r="OLX71" s="1159" t="e">
        <f t="shared" si="166"/>
        <v>#DIV/0!</v>
      </c>
      <c r="OLY71" s="1159" t="e">
        <f t="shared" si="166"/>
        <v>#DIV/0!</v>
      </c>
      <c r="OLZ71" s="1159" t="e">
        <f t="shared" si="166"/>
        <v>#DIV/0!</v>
      </c>
      <c r="OMA71" s="1159" t="e">
        <f t="shared" si="166"/>
        <v>#DIV/0!</v>
      </c>
      <c r="OMB71" s="1159" t="e">
        <f t="shared" si="166"/>
        <v>#DIV/0!</v>
      </c>
      <c r="OMC71" s="1159" t="e">
        <f t="shared" si="166"/>
        <v>#DIV/0!</v>
      </c>
      <c r="OMD71" s="1159" t="e">
        <f t="shared" si="166"/>
        <v>#DIV/0!</v>
      </c>
      <c r="OME71" s="1159" t="e">
        <f t="shared" si="166"/>
        <v>#DIV/0!</v>
      </c>
      <c r="OMF71" s="1159" t="e">
        <f t="shared" si="166"/>
        <v>#DIV/0!</v>
      </c>
      <c r="OMG71" s="1159" t="e">
        <f t="shared" si="166"/>
        <v>#DIV/0!</v>
      </c>
      <c r="OMH71" s="1159" t="e">
        <f t="shared" si="166"/>
        <v>#DIV/0!</v>
      </c>
      <c r="OMI71" s="1159" t="e">
        <f t="shared" si="166"/>
        <v>#DIV/0!</v>
      </c>
      <c r="OMJ71" s="1159" t="e">
        <f t="shared" si="166"/>
        <v>#DIV/0!</v>
      </c>
      <c r="OMK71" s="1159" t="e">
        <f t="shared" si="166"/>
        <v>#DIV/0!</v>
      </c>
      <c r="OML71" s="1159" t="e">
        <f t="shared" si="166"/>
        <v>#DIV/0!</v>
      </c>
      <c r="OMM71" s="1159" t="e">
        <f t="shared" si="166"/>
        <v>#DIV/0!</v>
      </c>
      <c r="OMN71" s="1159" t="e">
        <f t="shared" si="166"/>
        <v>#DIV/0!</v>
      </c>
      <c r="OMO71" s="1159" t="e">
        <f t="shared" si="166"/>
        <v>#DIV/0!</v>
      </c>
      <c r="OMP71" s="1159" t="e">
        <f t="shared" si="166"/>
        <v>#DIV/0!</v>
      </c>
      <c r="OMQ71" s="1159" t="e">
        <f t="shared" si="166"/>
        <v>#DIV/0!</v>
      </c>
      <c r="OMR71" s="1159" t="e">
        <f t="shared" si="166"/>
        <v>#DIV/0!</v>
      </c>
      <c r="OMS71" s="1159" t="e">
        <f t="shared" si="166"/>
        <v>#DIV/0!</v>
      </c>
      <c r="OMT71" s="1159" t="e">
        <f t="shared" si="166"/>
        <v>#DIV/0!</v>
      </c>
      <c r="OMU71" s="1159" t="e">
        <f t="shared" si="166"/>
        <v>#DIV/0!</v>
      </c>
      <c r="OMV71" s="1159" t="e">
        <f t="shared" si="166"/>
        <v>#DIV/0!</v>
      </c>
      <c r="OMW71" s="1159" t="e">
        <f t="shared" si="166"/>
        <v>#DIV/0!</v>
      </c>
      <c r="OMX71" s="1159" t="e">
        <f t="shared" ref="OMX71:OPI71" si="167">((OMX6+OMX12+OMX13+OMX14+OMX15)*860+OMX16*OMX55+OMX17*OMX56+OMX7*OMX49+OMX8*OMX50+OMX9*OMX51+OMX10*OMX52+OMX11*OMX53)/(SUM(OMX6:OMX17))</f>
        <v>#DIV/0!</v>
      </c>
      <c r="OMY71" s="1159" t="e">
        <f t="shared" si="167"/>
        <v>#DIV/0!</v>
      </c>
      <c r="OMZ71" s="1159" t="e">
        <f t="shared" si="167"/>
        <v>#DIV/0!</v>
      </c>
      <c r="ONA71" s="1159" t="e">
        <f t="shared" si="167"/>
        <v>#DIV/0!</v>
      </c>
      <c r="ONB71" s="1159" t="e">
        <f t="shared" si="167"/>
        <v>#DIV/0!</v>
      </c>
      <c r="ONC71" s="1159" t="e">
        <f t="shared" si="167"/>
        <v>#DIV/0!</v>
      </c>
      <c r="OND71" s="1159" t="e">
        <f t="shared" si="167"/>
        <v>#DIV/0!</v>
      </c>
      <c r="ONE71" s="1159" t="e">
        <f t="shared" si="167"/>
        <v>#DIV/0!</v>
      </c>
      <c r="ONF71" s="1159" t="e">
        <f t="shared" si="167"/>
        <v>#DIV/0!</v>
      </c>
      <c r="ONG71" s="1159" t="e">
        <f t="shared" si="167"/>
        <v>#DIV/0!</v>
      </c>
      <c r="ONH71" s="1159" t="e">
        <f t="shared" si="167"/>
        <v>#DIV/0!</v>
      </c>
      <c r="ONI71" s="1159" t="e">
        <f t="shared" si="167"/>
        <v>#DIV/0!</v>
      </c>
      <c r="ONJ71" s="1159" t="e">
        <f t="shared" si="167"/>
        <v>#DIV/0!</v>
      </c>
      <c r="ONK71" s="1159" t="e">
        <f t="shared" si="167"/>
        <v>#DIV/0!</v>
      </c>
      <c r="ONL71" s="1159" t="e">
        <f t="shared" si="167"/>
        <v>#DIV/0!</v>
      </c>
      <c r="ONM71" s="1159" t="e">
        <f t="shared" si="167"/>
        <v>#DIV/0!</v>
      </c>
      <c r="ONN71" s="1159" t="e">
        <f t="shared" si="167"/>
        <v>#DIV/0!</v>
      </c>
      <c r="ONO71" s="1159" t="e">
        <f t="shared" si="167"/>
        <v>#DIV/0!</v>
      </c>
      <c r="ONP71" s="1159" t="e">
        <f t="shared" si="167"/>
        <v>#DIV/0!</v>
      </c>
      <c r="ONQ71" s="1159" t="e">
        <f t="shared" si="167"/>
        <v>#DIV/0!</v>
      </c>
      <c r="ONR71" s="1159" t="e">
        <f t="shared" si="167"/>
        <v>#DIV/0!</v>
      </c>
      <c r="ONS71" s="1159" t="e">
        <f t="shared" si="167"/>
        <v>#DIV/0!</v>
      </c>
      <c r="ONT71" s="1159" t="e">
        <f t="shared" si="167"/>
        <v>#DIV/0!</v>
      </c>
      <c r="ONU71" s="1159" t="e">
        <f t="shared" si="167"/>
        <v>#DIV/0!</v>
      </c>
      <c r="ONV71" s="1159" t="e">
        <f t="shared" si="167"/>
        <v>#DIV/0!</v>
      </c>
      <c r="ONW71" s="1159" t="e">
        <f t="shared" si="167"/>
        <v>#DIV/0!</v>
      </c>
      <c r="ONX71" s="1159" t="e">
        <f t="shared" si="167"/>
        <v>#DIV/0!</v>
      </c>
      <c r="ONY71" s="1159" t="e">
        <f t="shared" si="167"/>
        <v>#DIV/0!</v>
      </c>
      <c r="ONZ71" s="1159" t="e">
        <f t="shared" si="167"/>
        <v>#DIV/0!</v>
      </c>
      <c r="OOA71" s="1159" t="e">
        <f t="shared" si="167"/>
        <v>#DIV/0!</v>
      </c>
      <c r="OOB71" s="1159" t="e">
        <f t="shared" si="167"/>
        <v>#DIV/0!</v>
      </c>
      <c r="OOC71" s="1159" t="e">
        <f t="shared" si="167"/>
        <v>#DIV/0!</v>
      </c>
      <c r="OOD71" s="1159" t="e">
        <f t="shared" si="167"/>
        <v>#DIV/0!</v>
      </c>
      <c r="OOE71" s="1159" t="e">
        <f t="shared" si="167"/>
        <v>#DIV/0!</v>
      </c>
      <c r="OOF71" s="1159" t="e">
        <f t="shared" si="167"/>
        <v>#DIV/0!</v>
      </c>
      <c r="OOG71" s="1159" t="e">
        <f t="shared" si="167"/>
        <v>#DIV/0!</v>
      </c>
      <c r="OOH71" s="1159" t="e">
        <f t="shared" si="167"/>
        <v>#DIV/0!</v>
      </c>
      <c r="OOI71" s="1159" t="e">
        <f t="shared" si="167"/>
        <v>#DIV/0!</v>
      </c>
      <c r="OOJ71" s="1159" t="e">
        <f t="shared" si="167"/>
        <v>#DIV/0!</v>
      </c>
      <c r="OOK71" s="1159" t="e">
        <f t="shared" si="167"/>
        <v>#DIV/0!</v>
      </c>
      <c r="OOL71" s="1159" t="e">
        <f t="shared" si="167"/>
        <v>#DIV/0!</v>
      </c>
      <c r="OOM71" s="1159" t="e">
        <f t="shared" si="167"/>
        <v>#DIV/0!</v>
      </c>
      <c r="OON71" s="1159" t="e">
        <f t="shared" si="167"/>
        <v>#DIV/0!</v>
      </c>
      <c r="OOO71" s="1159" t="e">
        <f t="shared" si="167"/>
        <v>#DIV/0!</v>
      </c>
      <c r="OOP71" s="1159" t="e">
        <f t="shared" si="167"/>
        <v>#DIV/0!</v>
      </c>
      <c r="OOQ71" s="1159" t="e">
        <f t="shared" si="167"/>
        <v>#DIV/0!</v>
      </c>
      <c r="OOR71" s="1159" t="e">
        <f t="shared" si="167"/>
        <v>#DIV/0!</v>
      </c>
      <c r="OOS71" s="1159" t="e">
        <f t="shared" si="167"/>
        <v>#DIV/0!</v>
      </c>
      <c r="OOT71" s="1159" t="e">
        <f t="shared" si="167"/>
        <v>#DIV/0!</v>
      </c>
      <c r="OOU71" s="1159" t="e">
        <f t="shared" si="167"/>
        <v>#DIV/0!</v>
      </c>
      <c r="OOV71" s="1159" t="e">
        <f t="shared" si="167"/>
        <v>#DIV/0!</v>
      </c>
      <c r="OOW71" s="1159" t="e">
        <f t="shared" si="167"/>
        <v>#DIV/0!</v>
      </c>
      <c r="OOX71" s="1159" t="e">
        <f t="shared" si="167"/>
        <v>#DIV/0!</v>
      </c>
      <c r="OOY71" s="1159" t="e">
        <f t="shared" si="167"/>
        <v>#DIV/0!</v>
      </c>
      <c r="OOZ71" s="1159" t="e">
        <f t="shared" si="167"/>
        <v>#DIV/0!</v>
      </c>
      <c r="OPA71" s="1159" t="e">
        <f t="shared" si="167"/>
        <v>#DIV/0!</v>
      </c>
      <c r="OPB71" s="1159" t="e">
        <f t="shared" si="167"/>
        <v>#DIV/0!</v>
      </c>
      <c r="OPC71" s="1159" t="e">
        <f t="shared" si="167"/>
        <v>#DIV/0!</v>
      </c>
      <c r="OPD71" s="1159" t="e">
        <f t="shared" si="167"/>
        <v>#DIV/0!</v>
      </c>
      <c r="OPE71" s="1159" t="e">
        <f t="shared" si="167"/>
        <v>#DIV/0!</v>
      </c>
      <c r="OPF71" s="1159" t="e">
        <f t="shared" si="167"/>
        <v>#DIV/0!</v>
      </c>
      <c r="OPG71" s="1159" t="e">
        <f t="shared" si="167"/>
        <v>#DIV/0!</v>
      </c>
      <c r="OPH71" s="1159" t="e">
        <f t="shared" si="167"/>
        <v>#DIV/0!</v>
      </c>
      <c r="OPI71" s="1159" t="e">
        <f t="shared" si="167"/>
        <v>#DIV/0!</v>
      </c>
      <c r="OPJ71" s="1159" t="e">
        <f t="shared" ref="OPJ71:ORU71" si="168">((OPJ6+OPJ12+OPJ13+OPJ14+OPJ15)*860+OPJ16*OPJ55+OPJ17*OPJ56+OPJ7*OPJ49+OPJ8*OPJ50+OPJ9*OPJ51+OPJ10*OPJ52+OPJ11*OPJ53)/(SUM(OPJ6:OPJ17))</f>
        <v>#DIV/0!</v>
      </c>
      <c r="OPK71" s="1159" t="e">
        <f t="shared" si="168"/>
        <v>#DIV/0!</v>
      </c>
      <c r="OPL71" s="1159" t="e">
        <f t="shared" si="168"/>
        <v>#DIV/0!</v>
      </c>
      <c r="OPM71" s="1159" t="e">
        <f t="shared" si="168"/>
        <v>#DIV/0!</v>
      </c>
      <c r="OPN71" s="1159" t="e">
        <f t="shared" si="168"/>
        <v>#DIV/0!</v>
      </c>
      <c r="OPO71" s="1159" t="e">
        <f t="shared" si="168"/>
        <v>#DIV/0!</v>
      </c>
      <c r="OPP71" s="1159" t="e">
        <f t="shared" si="168"/>
        <v>#DIV/0!</v>
      </c>
      <c r="OPQ71" s="1159" t="e">
        <f t="shared" si="168"/>
        <v>#DIV/0!</v>
      </c>
      <c r="OPR71" s="1159" t="e">
        <f t="shared" si="168"/>
        <v>#DIV/0!</v>
      </c>
      <c r="OPS71" s="1159" t="e">
        <f t="shared" si="168"/>
        <v>#DIV/0!</v>
      </c>
      <c r="OPT71" s="1159" t="e">
        <f t="shared" si="168"/>
        <v>#DIV/0!</v>
      </c>
      <c r="OPU71" s="1159" t="e">
        <f t="shared" si="168"/>
        <v>#DIV/0!</v>
      </c>
      <c r="OPV71" s="1159" t="e">
        <f t="shared" si="168"/>
        <v>#DIV/0!</v>
      </c>
      <c r="OPW71" s="1159" t="e">
        <f t="shared" si="168"/>
        <v>#DIV/0!</v>
      </c>
      <c r="OPX71" s="1159" t="e">
        <f t="shared" si="168"/>
        <v>#DIV/0!</v>
      </c>
      <c r="OPY71" s="1159" t="e">
        <f t="shared" si="168"/>
        <v>#DIV/0!</v>
      </c>
      <c r="OPZ71" s="1159" t="e">
        <f t="shared" si="168"/>
        <v>#DIV/0!</v>
      </c>
      <c r="OQA71" s="1159" t="e">
        <f t="shared" si="168"/>
        <v>#DIV/0!</v>
      </c>
      <c r="OQB71" s="1159" t="e">
        <f t="shared" si="168"/>
        <v>#DIV/0!</v>
      </c>
      <c r="OQC71" s="1159" t="e">
        <f t="shared" si="168"/>
        <v>#DIV/0!</v>
      </c>
      <c r="OQD71" s="1159" t="e">
        <f t="shared" si="168"/>
        <v>#DIV/0!</v>
      </c>
      <c r="OQE71" s="1159" t="e">
        <f t="shared" si="168"/>
        <v>#DIV/0!</v>
      </c>
      <c r="OQF71" s="1159" t="e">
        <f t="shared" si="168"/>
        <v>#DIV/0!</v>
      </c>
      <c r="OQG71" s="1159" t="e">
        <f t="shared" si="168"/>
        <v>#DIV/0!</v>
      </c>
      <c r="OQH71" s="1159" t="e">
        <f t="shared" si="168"/>
        <v>#DIV/0!</v>
      </c>
      <c r="OQI71" s="1159" t="e">
        <f t="shared" si="168"/>
        <v>#DIV/0!</v>
      </c>
      <c r="OQJ71" s="1159" t="e">
        <f t="shared" si="168"/>
        <v>#DIV/0!</v>
      </c>
      <c r="OQK71" s="1159" t="e">
        <f t="shared" si="168"/>
        <v>#DIV/0!</v>
      </c>
      <c r="OQL71" s="1159" t="e">
        <f t="shared" si="168"/>
        <v>#DIV/0!</v>
      </c>
      <c r="OQM71" s="1159" t="e">
        <f t="shared" si="168"/>
        <v>#DIV/0!</v>
      </c>
      <c r="OQN71" s="1159" t="e">
        <f t="shared" si="168"/>
        <v>#DIV/0!</v>
      </c>
      <c r="OQO71" s="1159" t="e">
        <f t="shared" si="168"/>
        <v>#DIV/0!</v>
      </c>
      <c r="OQP71" s="1159" t="e">
        <f t="shared" si="168"/>
        <v>#DIV/0!</v>
      </c>
      <c r="OQQ71" s="1159" t="e">
        <f t="shared" si="168"/>
        <v>#DIV/0!</v>
      </c>
      <c r="OQR71" s="1159" t="e">
        <f t="shared" si="168"/>
        <v>#DIV/0!</v>
      </c>
      <c r="OQS71" s="1159" t="e">
        <f t="shared" si="168"/>
        <v>#DIV/0!</v>
      </c>
      <c r="OQT71" s="1159" t="e">
        <f t="shared" si="168"/>
        <v>#DIV/0!</v>
      </c>
      <c r="OQU71" s="1159" t="e">
        <f t="shared" si="168"/>
        <v>#DIV/0!</v>
      </c>
      <c r="OQV71" s="1159" t="e">
        <f t="shared" si="168"/>
        <v>#DIV/0!</v>
      </c>
      <c r="OQW71" s="1159" t="e">
        <f t="shared" si="168"/>
        <v>#DIV/0!</v>
      </c>
      <c r="OQX71" s="1159" t="e">
        <f t="shared" si="168"/>
        <v>#DIV/0!</v>
      </c>
      <c r="OQY71" s="1159" t="e">
        <f t="shared" si="168"/>
        <v>#DIV/0!</v>
      </c>
      <c r="OQZ71" s="1159" t="e">
        <f t="shared" si="168"/>
        <v>#DIV/0!</v>
      </c>
      <c r="ORA71" s="1159" t="e">
        <f t="shared" si="168"/>
        <v>#DIV/0!</v>
      </c>
      <c r="ORB71" s="1159" t="e">
        <f t="shared" si="168"/>
        <v>#DIV/0!</v>
      </c>
      <c r="ORC71" s="1159" t="e">
        <f t="shared" si="168"/>
        <v>#DIV/0!</v>
      </c>
      <c r="ORD71" s="1159" t="e">
        <f t="shared" si="168"/>
        <v>#DIV/0!</v>
      </c>
      <c r="ORE71" s="1159" t="e">
        <f t="shared" si="168"/>
        <v>#DIV/0!</v>
      </c>
      <c r="ORF71" s="1159" t="e">
        <f t="shared" si="168"/>
        <v>#DIV/0!</v>
      </c>
      <c r="ORG71" s="1159" t="e">
        <f t="shared" si="168"/>
        <v>#DIV/0!</v>
      </c>
      <c r="ORH71" s="1159" t="e">
        <f t="shared" si="168"/>
        <v>#DIV/0!</v>
      </c>
      <c r="ORI71" s="1159" t="e">
        <f t="shared" si="168"/>
        <v>#DIV/0!</v>
      </c>
      <c r="ORJ71" s="1159" t="e">
        <f t="shared" si="168"/>
        <v>#DIV/0!</v>
      </c>
      <c r="ORK71" s="1159" t="e">
        <f t="shared" si="168"/>
        <v>#DIV/0!</v>
      </c>
      <c r="ORL71" s="1159" t="e">
        <f t="shared" si="168"/>
        <v>#DIV/0!</v>
      </c>
      <c r="ORM71" s="1159" t="e">
        <f t="shared" si="168"/>
        <v>#DIV/0!</v>
      </c>
      <c r="ORN71" s="1159" t="e">
        <f t="shared" si="168"/>
        <v>#DIV/0!</v>
      </c>
      <c r="ORO71" s="1159" t="e">
        <f t="shared" si="168"/>
        <v>#DIV/0!</v>
      </c>
      <c r="ORP71" s="1159" t="e">
        <f t="shared" si="168"/>
        <v>#DIV/0!</v>
      </c>
      <c r="ORQ71" s="1159" t="e">
        <f t="shared" si="168"/>
        <v>#DIV/0!</v>
      </c>
      <c r="ORR71" s="1159" t="e">
        <f t="shared" si="168"/>
        <v>#DIV/0!</v>
      </c>
      <c r="ORS71" s="1159" t="e">
        <f t="shared" si="168"/>
        <v>#DIV/0!</v>
      </c>
      <c r="ORT71" s="1159" t="e">
        <f t="shared" si="168"/>
        <v>#DIV/0!</v>
      </c>
      <c r="ORU71" s="1159" t="e">
        <f t="shared" si="168"/>
        <v>#DIV/0!</v>
      </c>
      <c r="ORV71" s="1159" t="e">
        <f t="shared" ref="ORV71:OUG71" si="169">((ORV6+ORV12+ORV13+ORV14+ORV15)*860+ORV16*ORV55+ORV17*ORV56+ORV7*ORV49+ORV8*ORV50+ORV9*ORV51+ORV10*ORV52+ORV11*ORV53)/(SUM(ORV6:ORV17))</f>
        <v>#DIV/0!</v>
      </c>
      <c r="ORW71" s="1159" t="e">
        <f t="shared" si="169"/>
        <v>#DIV/0!</v>
      </c>
      <c r="ORX71" s="1159" t="e">
        <f t="shared" si="169"/>
        <v>#DIV/0!</v>
      </c>
      <c r="ORY71" s="1159" t="e">
        <f t="shared" si="169"/>
        <v>#DIV/0!</v>
      </c>
      <c r="ORZ71" s="1159" t="e">
        <f t="shared" si="169"/>
        <v>#DIV/0!</v>
      </c>
      <c r="OSA71" s="1159" t="e">
        <f t="shared" si="169"/>
        <v>#DIV/0!</v>
      </c>
      <c r="OSB71" s="1159" t="e">
        <f t="shared" si="169"/>
        <v>#DIV/0!</v>
      </c>
      <c r="OSC71" s="1159" t="e">
        <f t="shared" si="169"/>
        <v>#DIV/0!</v>
      </c>
      <c r="OSD71" s="1159" t="e">
        <f t="shared" si="169"/>
        <v>#DIV/0!</v>
      </c>
      <c r="OSE71" s="1159" t="e">
        <f t="shared" si="169"/>
        <v>#DIV/0!</v>
      </c>
      <c r="OSF71" s="1159" t="e">
        <f t="shared" si="169"/>
        <v>#DIV/0!</v>
      </c>
      <c r="OSG71" s="1159" t="e">
        <f t="shared" si="169"/>
        <v>#DIV/0!</v>
      </c>
      <c r="OSH71" s="1159" t="e">
        <f t="shared" si="169"/>
        <v>#DIV/0!</v>
      </c>
      <c r="OSI71" s="1159" t="e">
        <f t="shared" si="169"/>
        <v>#DIV/0!</v>
      </c>
      <c r="OSJ71" s="1159" t="e">
        <f t="shared" si="169"/>
        <v>#DIV/0!</v>
      </c>
      <c r="OSK71" s="1159" t="e">
        <f t="shared" si="169"/>
        <v>#DIV/0!</v>
      </c>
      <c r="OSL71" s="1159" t="e">
        <f t="shared" si="169"/>
        <v>#DIV/0!</v>
      </c>
      <c r="OSM71" s="1159" t="e">
        <f t="shared" si="169"/>
        <v>#DIV/0!</v>
      </c>
      <c r="OSN71" s="1159" t="e">
        <f t="shared" si="169"/>
        <v>#DIV/0!</v>
      </c>
      <c r="OSO71" s="1159" t="e">
        <f t="shared" si="169"/>
        <v>#DIV/0!</v>
      </c>
      <c r="OSP71" s="1159" t="e">
        <f t="shared" si="169"/>
        <v>#DIV/0!</v>
      </c>
      <c r="OSQ71" s="1159" t="e">
        <f t="shared" si="169"/>
        <v>#DIV/0!</v>
      </c>
      <c r="OSR71" s="1159" t="e">
        <f t="shared" si="169"/>
        <v>#DIV/0!</v>
      </c>
      <c r="OSS71" s="1159" t="e">
        <f t="shared" si="169"/>
        <v>#DIV/0!</v>
      </c>
      <c r="OST71" s="1159" t="e">
        <f t="shared" si="169"/>
        <v>#DIV/0!</v>
      </c>
      <c r="OSU71" s="1159" t="e">
        <f t="shared" si="169"/>
        <v>#DIV/0!</v>
      </c>
      <c r="OSV71" s="1159" t="e">
        <f t="shared" si="169"/>
        <v>#DIV/0!</v>
      </c>
      <c r="OSW71" s="1159" t="e">
        <f t="shared" si="169"/>
        <v>#DIV/0!</v>
      </c>
      <c r="OSX71" s="1159" t="e">
        <f t="shared" si="169"/>
        <v>#DIV/0!</v>
      </c>
      <c r="OSY71" s="1159" t="e">
        <f t="shared" si="169"/>
        <v>#DIV/0!</v>
      </c>
      <c r="OSZ71" s="1159" t="e">
        <f t="shared" si="169"/>
        <v>#DIV/0!</v>
      </c>
      <c r="OTA71" s="1159" t="e">
        <f t="shared" si="169"/>
        <v>#DIV/0!</v>
      </c>
      <c r="OTB71" s="1159" t="e">
        <f t="shared" si="169"/>
        <v>#DIV/0!</v>
      </c>
      <c r="OTC71" s="1159" t="e">
        <f t="shared" si="169"/>
        <v>#DIV/0!</v>
      </c>
      <c r="OTD71" s="1159" t="e">
        <f t="shared" si="169"/>
        <v>#DIV/0!</v>
      </c>
      <c r="OTE71" s="1159" t="e">
        <f t="shared" si="169"/>
        <v>#DIV/0!</v>
      </c>
      <c r="OTF71" s="1159" t="e">
        <f t="shared" si="169"/>
        <v>#DIV/0!</v>
      </c>
      <c r="OTG71" s="1159" t="e">
        <f t="shared" si="169"/>
        <v>#DIV/0!</v>
      </c>
      <c r="OTH71" s="1159" t="e">
        <f t="shared" si="169"/>
        <v>#DIV/0!</v>
      </c>
      <c r="OTI71" s="1159" t="e">
        <f t="shared" si="169"/>
        <v>#DIV/0!</v>
      </c>
      <c r="OTJ71" s="1159" t="e">
        <f t="shared" si="169"/>
        <v>#DIV/0!</v>
      </c>
      <c r="OTK71" s="1159" t="e">
        <f t="shared" si="169"/>
        <v>#DIV/0!</v>
      </c>
      <c r="OTL71" s="1159" t="e">
        <f t="shared" si="169"/>
        <v>#DIV/0!</v>
      </c>
      <c r="OTM71" s="1159" t="e">
        <f t="shared" si="169"/>
        <v>#DIV/0!</v>
      </c>
      <c r="OTN71" s="1159" t="e">
        <f t="shared" si="169"/>
        <v>#DIV/0!</v>
      </c>
      <c r="OTO71" s="1159" t="e">
        <f t="shared" si="169"/>
        <v>#DIV/0!</v>
      </c>
      <c r="OTP71" s="1159" t="e">
        <f t="shared" si="169"/>
        <v>#DIV/0!</v>
      </c>
      <c r="OTQ71" s="1159" t="e">
        <f t="shared" si="169"/>
        <v>#DIV/0!</v>
      </c>
      <c r="OTR71" s="1159" t="e">
        <f t="shared" si="169"/>
        <v>#DIV/0!</v>
      </c>
      <c r="OTS71" s="1159" t="e">
        <f t="shared" si="169"/>
        <v>#DIV/0!</v>
      </c>
      <c r="OTT71" s="1159" t="e">
        <f t="shared" si="169"/>
        <v>#DIV/0!</v>
      </c>
      <c r="OTU71" s="1159" t="e">
        <f t="shared" si="169"/>
        <v>#DIV/0!</v>
      </c>
      <c r="OTV71" s="1159" t="e">
        <f t="shared" si="169"/>
        <v>#DIV/0!</v>
      </c>
      <c r="OTW71" s="1159" t="e">
        <f t="shared" si="169"/>
        <v>#DIV/0!</v>
      </c>
      <c r="OTX71" s="1159" t="e">
        <f t="shared" si="169"/>
        <v>#DIV/0!</v>
      </c>
      <c r="OTY71" s="1159" t="e">
        <f t="shared" si="169"/>
        <v>#DIV/0!</v>
      </c>
      <c r="OTZ71" s="1159" t="e">
        <f t="shared" si="169"/>
        <v>#DIV/0!</v>
      </c>
      <c r="OUA71" s="1159" t="e">
        <f t="shared" si="169"/>
        <v>#DIV/0!</v>
      </c>
      <c r="OUB71" s="1159" t="e">
        <f t="shared" si="169"/>
        <v>#DIV/0!</v>
      </c>
      <c r="OUC71" s="1159" t="e">
        <f t="shared" si="169"/>
        <v>#DIV/0!</v>
      </c>
      <c r="OUD71" s="1159" t="e">
        <f t="shared" si="169"/>
        <v>#DIV/0!</v>
      </c>
      <c r="OUE71" s="1159" t="e">
        <f t="shared" si="169"/>
        <v>#DIV/0!</v>
      </c>
      <c r="OUF71" s="1159" t="e">
        <f t="shared" si="169"/>
        <v>#DIV/0!</v>
      </c>
      <c r="OUG71" s="1159" t="e">
        <f t="shared" si="169"/>
        <v>#DIV/0!</v>
      </c>
      <c r="OUH71" s="1159" t="e">
        <f t="shared" ref="OUH71:OWS71" si="170">((OUH6+OUH12+OUH13+OUH14+OUH15)*860+OUH16*OUH55+OUH17*OUH56+OUH7*OUH49+OUH8*OUH50+OUH9*OUH51+OUH10*OUH52+OUH11*OUH53)/(SUM(OUH6:OUH17))</f>
        <v>#DIV/0!</v>
      </c>
      <c r="OUI71" s="1159" t="e">
        <f t="shared" si="170"/>
        <v>#DIV/0!</v>
      </c>
      <c r="OUJ71" s="1159" t="e">
        <f t="shared" si="170"/>
        <v>#DIV/0!</v>
      </c>
      <c r="OUK71" s="1159" t="e">
        <f t="shared" si="170"/>
        <v>#DIV/0!</v>
      </c>
      <c r="OUL71" s="1159" t="e">
        <f t="shared" si="170"/>
        <v>#DIV/0!</v>
      </c>
      <c r="OUM71" s="1159" t="e">
        <f t="shared" si="170"/>
        <v>#DIV/0!</v>
      </c>
      <c r="OUN71" s="1159" t="e">
        <f t="shared" si="170"/>
        <v>#DIV/0!</v>
      </c>
      <c r="OUO71" s="1159" t="e">
        <f t="shared" si="170"/>
        <v>#DIV/0!</v>
      </c>
      <c r="OUP71" s="1159" t="e">
        <f t="shared" si="170"/>
        <v>#DIV/0!</v>
      </c>
      <c r="OUQ71" s="1159" t="e">
        <f t="shared" si="170"/>
        <v>#DIV/0!</v>
      </c>
      <c r="OUR71" s="1159" t="e">
        <f t="shared" si="170"/>
        <v>#DIV/0!</v>
      </c>
      <c r="OUS71" s="1159" t="e">
        <f t="shared" si="170"/>
        <v>#DIV/0!</v>
      </c>
      <c r="OUT71" s="1159" t="e">
        <f t="shared" si="170"/>
        <v>#DIV/0!</v>
      </c>
      <c r="OUU71" s="1159" t="e">
        <f t="shared" si="170"/>
        <v>#DIV/0!</v>
      </c>
      <c r="OUV71" s="1159" t="e">
        <f t="shared" si="170"/>
        <v>#DIV/0!</v>
      </c>
      <c r="OUW71" s="1159" t="e">
        <f t="shared" si="170"/>
        <v>#DIV/0!</v>
      </c>
      <c r="OUX71" s="1159" t="e">
        <f t="shared" si="170"/>
        <v>#DIV/0!</v>
      </c>
      <c r="OUY71" s="1159" t="e">
        <f t="shared" si="170"/>
        <v>#DIV/0!</v>
      </c>
      <c r="OUZ71" s="1159" t="e">
        <f t="shared" si="170"/>
        <v>#DIV/0!</v>
      </c>
      <c r="OVA71" s="1159" t="e">
        <f t="shared" si="170"/>
        <v>#DIV/0!</v>
      </c>
      <c r="OVB71" s="1159" t="e">
        <f t="shared" si="170"/>
        <v>#DIV/0!</v>
      </c>
      <c r="OVC71" s="1159" t="e">
        <f t="shared" si="170"/>
        <v>#DIV/0!</v>
      </c>
      <c r="OVD71" s="1159" t="e">
        <f t="shared" si="170"/>
        <v>#DIV/0!</v>
      </c>
      <c r="OVE71" s="1159" t="e">
        <f t="shared" si="170"/>
        <v>#DIV/0!</v>
      </c>
      <c r="OVF71" s="1159" t="e">
        <f t="shared" si="170"/>
        <v>#DIV/0!</v>
      </c>
      <c r="OVG71" s="1159" t="e">
        <f t="shared" si="170"/>
        <v>#DIV/0!</v>
      </c>
      <c r="OVH71" s="1159" t="e">
        <f t="shared" si="170"/>
        <v>#DIV/0!</v>
      </c>
      <c r="OVI71" s="1159" t="e">
        <f t="shared" si="170"/>
        <v>#DIV/0!</v>
      </c>
      <c r="OVJ71" s="1159" t="e">
        <f t="shared" si="170"/>
        <v>#DIV/0!</v>
      </c>
      <c r="OVK71" s="1159" t="e">
        <f t="shared" si="170"/>
        <v>#DIV/0!</v>
      </c>
      <c r="OVL71" s="1159" t="e">
        <f t="shared" si="170"/>
        <v>#DIV/0!</v>
      </c>
      <c r="OVM71" s="1159" t="e">
        <f t="shared" si="170"/>
        <v>#DIV/0!</v>
      </c>
      <c r="OVN71" s="1159" t="e">
        <f t="shared" si="170"/>
        <v>#DIV/0!</v>
      </c>
      <c r="OVO71" s="1159" t="e">
        <f t="shared" si="170"/>
        <v>#DIV/0!</v>
      </c>
      <c r="OVP71" s="1159" t="e">
        <f t="shared" si="170"/>
        <v>#DIV/0!</v>
      </c>
      <c r="OVQ71" s="1159" t="e">
        <f t="shared" si="170"/>
        <v>#DIV/0!</v>
      </c>
      <c r="OVR71" s="1159" t="e">
        <f t="shared" si="170"/>
        <v>#DIV/0!</v>
      </c>
      <c r="OVS71" s="1159" t="e">
        <f t="shared" si="170"/>
        <v>#DIV/0!</v>
      </c>
      <c r="OVT71" s="1159" t="e">
        <f t="shared" si="170"/>
        <v>#DIV/0!</v>
      </c>
      <c r="OVU71" s="1159" t="e">
        <f t="shared" si="170"/>
        <v>#DIV/0!</v>
      </c>
      <c r="OVV71" s="1159" t="e">
        <f t="shared" si="170"/>
        <v>#DIV/0!</v>
      </c>
      <c r="OVW71" s="1159" t="e">
        <f t="shared" si="170"/>
        <v>#DIV/0!</v>
      </c>
      <c r="OVX71" s="1159" t="e">
        <f t="shared" si="170"/>
        <v>#DIV/0!</v>
      </c>
      <c r="OVY71" s="1159" t="e">
        <f t="shared" si="170"/>
        <v>#DIV/0!</v>
      </c>
      <c r="OVZ71" s="1159" t="e">
        <f t="shared" si="170"/>
        <v>#DIV/0!</v>
      </c>
      <c r="OWA71" s="1159" t="e">
        <f t="shared" si="170"/>
        <v>#DIV/0!</v>
      </c>
      <c r="OWB71" s="1159" t="e">
        <f t="shared" si="170"/>
        <v>#DIV/0!</v>
      </c>
      <c r="OWC71" s="1159" t="e">
        <f t="shared" si="170"/>
        <v>#DIV/0!</v>
      </c>
      <c r="OWD71" s="1159" t="e">
        <f t="shared" si="170"/>
        <v>#DIV/0!</v>
      </c>
      <c r="OWE71" s="1159" t="e">
        <f t="shared" si="170"/>
        <v>#DIV/0!</v>
      </c>
      <c r="OWF71" s="1159" t="e">
        <f t="shared" si="170"/>
        <v>#DIV/0!</v>
      </c>
      <c r="OWG71" s="1159" t="e">
        <f t="shared" si="170"/>
        <v>#DIV/0!</v>
      </c>
      <c r="OWH71" s="1159" t="e">
        <f t="shared" si="170"/>
        <v>#DIV/0!</v>
      </c>
      <c r="OWI71" s="1159" t="e">
        <f t="shared" si="170"/>
        <v>#DIV/0!</v>
      </c>
      <c r="OWJ71" s="1159" t="e">
        <f t="shared" si="170"/>
        <v>#DIV/0!</v>
      </c>
      <c r="OWK71" s="1159" t="e">
        <f t="shared" si="170"/>
        <v>#DIV/0!</v>
      </c>
      <c r="OWL71" s="1159" t="e">
        <f t="shared" si="170"/>
        <v>#DIV/0!</v>
      </c>
      <c r="OWM71" s="1159" t="e">
        <f t="shared" si="170"/>
        <v>#DIV/0!</v>
      </c>
      <c r="OWN71" s="1159" t="e">
        <f t="shared" si="170"/>
        <v>#DIV/0!</v>
      </c>
      <c r="OWO71" s="1159" t="e">
        <f t="shared" si="170"/>
        <v>#DIV/0!</v>
      </c>
      <c r="OWP71" s="1159" t="e">
        <f t="shared" si="170"/>
        <v>#DIV/0!</v>
      </c>
      <c r="OWQ71" s="1159" t="e">
        <f t="shared" si="170"/>
        <v>#DIV/0!</v>
      </c>
      <c r="OWR71" s="1159" t="e">
        <f t="shared" si="170"/>
        <v>#DIV/0!</v>
      </c>
      <c r="OWS71" s="1159" t="e">
        <f t="shared" si="170"/>
        <v>#DIV/0!</v>
      </c>
      <c r="OWT71" s="1159" t="e">
        <f t="shared" ref="OWT71:OZE71" si="171">((OWT6+OWT12+OWT13+OWT14+OWT15)*860+OWT16*OWT55+OWT17*OWT56+OWT7*OWT49+OWT8*OWT50+OWT9*OWT51+OWT10*OWT52+OWT11*OWT53)/(SUM(OWT6:OWT17))</f>
        <v>#DIV/0!</v>
      </c>
      <c r="OWU71" s="1159" t="e">
        <f t="shared" si="171"/>
        <v>#DIV/0!</v>
      </c>
      <c r="OWV71" s="1159" t="e">
        <f t="shared" si="171"/>
        <v>#DIV/0!</v>
      </c>
      <c r="OWW71" s="1159" t="e">
        <f t="shared" si="171"/>
        <v>#DIV/0!</v>
      </c>
      <c r="OWX71" s="1159" t="e">
        <f t="shared" si="171"/>
        <v>#DIV/0!</v>
      </c>
      <c r="OWY71" s="1159" t="e">
        <f t="shared" si="171"/>
        <v>#DIV/0!</v>
      </c>
      <c r="OWZ71" s="1159" t="e">
        <f t="shared" si="171"/>
        <v>#DIV/0!</v>
      </c>
      <c r="OXA71" s="1159" t="e">
        <f t="shared" si="171"/>
        <v>#DIV/0!</v>
      </c>
      <c r="OXB71" s="1159" t="e">
        <f t="shared" si="171"/>
        <v>#DIV/0!</v>
      </c>
      <c r="OXC71" s="1159" t="e">
        <f t="shared" si="171"/>
        <v>#DIV/0!</v>
      </c>
      <c r="OXD71" s="1159" t="e">
        <f t="shared" si="171"/>
        <v>#DIV/0!</v>
      </c>
      <c r="OXE71" s="1159" t="e">
        <f t="shared" si="171"/>
        <v>#DIV/0!</v>
      </c>
      <c r="OXF71" s="1159" t="e">
        <f t="shared" si="171"/>
        <v>#DIV/0!</v>
      </c>
      <c r="OXG71" s="1159" t="e">
        <f t="shared" si="171"/>
        <v>#DIV/0!</v>
      </c>
      <c r="OXH71" s="1159" t="e">
        <f t="shared" si="171"/>
        <v>#DIV/0!</v>
      </c>
      <c r="OXI71" s="1159" t="e">
        <f t="shared" si="171"/>
        <v>#DIV/0!</v>
      </c>
      <c r="OXJ71" s="1159" t="e">
        <f t="shared" si="171"/>
        <v>#DIV/0!</v>
      </c>
      <c r="OXK71" s="1159" t="e">
        <f t="shared" si="171"/>
        <v>#DIV/0!</v>
      </c>
      <c r="OXL71" s="1159" t="e">
        <f t="shared" si="171"/>
        <v>#DIV/0!</v>
      </c>
      <c r="OXM71" s="1159" t="e">
        <f t="shared" si="171"/>
        <v>#DIV/0!</v>
      </c>
      <c r="OXN71" s="1159" t="e">
        <f t="shared" si="171"/>
        <v>#DIV/0!</v>
      </c>
      <c r="OXO71" s="1159" t="e">
        <f t="shared" si="171"/>
        <v>#DIV/0!</v>
      </c>
      <c r="OXP71" s="1159" t="e">
        <f t="shared" si="171"/>
        <v>#DIV/0!</v>
      </c>
      <c r="OXQ71" s="1159" t="e">
        <f t="shared" si="171"/>
        <v>#DIV/0!</v>
      </c>
      <c r="OXR71" s="1159" t="e">
        <f t="shared" si="171"/>
        <v>#DIV/0!</v>
      </c>
      <c r="OXS71" s="1159" t="e">
        <f t="shared" si="171"/>
        <v>#DIV/0!</v>
      </c>
      <c r="OXT71" s="1159" t="e">
        <f t="shared" si="171"/>
        <v>#DIV/0!</v>
      </c>
      <c r="OXU71" s="1159" t="e">
        <f t="shared" si="171"/>
        <v>#DIV/0!</v>
      </c>
      <c r="OXV71" s="1159" t="e">
        <f t="shared" si="171"/>
        <v>#DIV/0!</v>
      </c>
      <c r="OXW71" s="1159" t="e">
        <f t="shared" si="171"/>
        <v>#DIV/0!</v>
      </c>
      <c r="OXX71" s="1159" t="e">
        <f t="shared" si="171"/>
        <v>#DIV/0!</v>
      </c>
      <c r="OXY71" s="1159" t="e">
        <f t="shared" si="171"/>
        <v>#DIV/0!</v>
      </c>
      <c r="OXZ71" s="1159" t="e">
        <f t="shared" si="171"/>
        <v>#DIV/0!</v>
      </c>
      <c r="OYA71" s="1159" t="e">
        <f t="shared" si="171"/>
        <v>#DIV/0!</v>
      </c>
      <c r="OYB71" s="1159" t="e">
        <f t="shared" si="171"/>
        <v>#DIV/0!</v>
      </c>
      <c r="OYC71" s="1159" t="e">
        <f t="shared" si="171"/>
        <v>#DIV/0!</v>
      </c>
      <c r="OYD71" s="1159" t="e">
        <f t="shared" si="171"/>
        <v>#DIV/0!</v>
      </c>
      <c r="OYE71" s="1159" t="e">
        <f t="shared" si="171"/>
        <v>#DIV/0!</v>
      </c>
      <c r="OYF71" s="1159" t="e">
        <f t="shared" si="171"/>
        <v>#DIV/0!</v>
      </c>
      <c r="OYG71" s="1159" t="e">
        <f t="shared" si="171"/>
        <v>#DIV/0!</v>
      </c>
      <c r="OYH71" s="1159" t="e">
        <f t="shared" si="171"/>
        <v>#DIV/0!</v>
      </c>
      <c r="OYI71" s="1159" t="e">
        <f t="shared" si="171"/>
        <v>#DIV/0!</v>
      </c>
      <c r="OYJ71" s="1159" t="e">
        <f t="shared" si="171"/>
        <v>#DIV/0!</v>
      </c>
      <c r="OYK71" s="1159" t="e">
        <f t="shared" si="171"/>
        <v>#DIV/0!</v>
      </c>
      <c r="OYL71" s="1159" t="e">
        <f t="shared" si="171"/>
        <v>#DIV/0!</v>
      </c>
      <c r="OYM71" s="1159" t="e">
        <f t="shared" si="171"/>
        <v>#DIV/0!</v>
      </c>
      <c r="OYN71" s="1159" t="e">
        <f t="shared" si="171"/>
        <v>#DIV/0!</v>
      </c>
      <c r="OYO71" s="1159" t="e">
        <f t="shared" si="171"/>
        <v>#DIV/0!</v>
      </c>
      <c r="OYP71" s="1159" t="e">
        <f t="shared" si="171"/>
        <v>#DIV/0!</v>
      </c>
      <c r="OYQ71" s="1159" t="e">
        <f t="shared" si="171"/>
        <v>#DIV/0!</v>
      </c>
      <c r="OYR71" s="1159" t="e">
        <f t="shared" si="171"/>
        <v>#DIV/0!</v>
      </c>
      <c r="OYS71" s="1159" t="e">
        <f t="shared" si="171"/>
        <v>#DIV/0!</v>
      </c>
      <c r="OYT71" s="1159" t="e">
        <f t="shared" si="171"/>
        <v>#DIV/0!</v>
      </c>
      <c r="OYU71" s="1159" t="e">
        <f t="shared" si="171"/>
        <v>#DIV/0!</v>
      </c>
      <c r="OYV71" s="1159" t="e">
        <f t="shared" si="171"/>
        <v>#DIV/0!</v>
      </c>
      <c r="OYW71" s="1159" t="e">
        <f t="shared" si="171"/>
        <v>#DIV/0!</v>
      </c>
      <c r="OYX71" s="1159" t="e">
        <f t="shared" si="171"/>
        <v>#DIV/0!</v>
      </c>
      <c r="OYY71" s="1159" t="e">
        <f t="shared" si="171"/>
        <v>#DIV/0!</v>
      </c>
      <c r="OYZ71" s="1159" t="e">
        <f t="shared" si="171"/>
        <v>#DIV/0!</v>
      </c>
      <c r="OZA71" s="1159" t="e">
        <f t="shared" si="171"/>
        <v>#DIV/0!</v>
      </c>
      <c r="OZB71" s="1159" t="e">
        <f t="shared" si="171"/>
        <v>#DIV/0!</v>
      </c>
      <c r="OZC71" s="1159" t="e">
        <f t="shared" si="171"/>
        <v>#DIV/0!</v>
      </c>
      <c r="OZD71" s="1159" t="e">
        <f t="shared" si="171"/>
        <v>#DIV/0!</v>
      </c>
      <c r="OZE71" s="1159" t="e">
        <f t="shared" si="171"/>
        <v>#DIV/0!</v>
      </c>
      <c r="OZF71" s="1159" t="e">
        <f t="shared" ref="OZF71:PBQ71" si="172">((OZF6+OZF12+OZF13+OZF14+OZF15)*860+OZF16*OZF55+OZF17*OZF56+OZF7*OZF49+OZF8*OZF50+OZF9*OZF51+OZF10*OZF52+OZF11*OZF53)/(SUM(OZF6:OZF17))</f>
        <v>#DIV/0!</v>
      </c>
      <c r="OZG71" s="1159" t="e">
        <f t="shared" si="172"/>
        <v>#DIV/0!</v>
      </c>
      <c r="OZH71" s="1159" t="e">
        <f t="shared" si="172"/>
        <v>#DIV/0!</v>
      </c>
      <c r="OZI71" s="1159" t="e">
        <f t="shared" si="172"/>
        <v>#DIV/0!</v>
      </c>
      <c r="OZJ71" s="1159" t="e">
        <f t="shared" si="172"/>
        <v>#DIV/0!</v>
      </c>
      <c r="OZK71" s="1159" t="e">
        <f t="shared" si="172"/>
        <v>#DIV/0!</v>
      </c>
      <c r="OZL71" s="1159" t="e">
        <f t="shared" si="172"/>
        <v>#DIV/0!</v>
      </c>
      <c r="OZM71" s="1159" t="e">
        <f t="shared" si="172"/>
        <v>#DIV/0!</v>
      </c>
      <c r="OZN71" s="1159" t="e">
        <f t="shared" si="172"/>
        <v>#DIV/0!</v>
      </c>
      <c r="OZO71" s="1159" t="e">
        <f t="shared" si="172"/>
        <v>#DIV/0!</v>
      </c>
      <c r="OZP71" s="1159" t="e">
        <f t="shared" si="172"/>
        <v>#DIV/0!</v>
      </c>
      <c r="OZQ71" s="1159" t="e">
        <f t="shared" si="172"/>
        <v>#DIV/0!</v>
      </c>
      <c r="OZR71" s="1159" t="e">
        <f t="shared" si="172"/>
        <v>#DIV/0!</v>
      </c>
      <c r="OZS71" s="1159" t="e">
        <f t="shared" si="172"/>
        <v>#DIV/0!</v>
      </c>
      <c r="OZT71" s="1159" t="e">
        <f t="shared" si="172"/>
        <v>#DIV/0!</v>
      </c>
      <c r="OZU71" s="1159" t="e">
        <f t="shared" si="172"/>
        <v>#DIV/0!</v>
      </c>
      <c r="OZV71" s="1159" t="e">
        <f t="shared" si="172"/>
        <v>#DIV/0!</v>
      </c>
      <c r="OZW71" s="1159" t="e">
        <f t="shared" si="172"/>
        <v>#DIV/0!</v>
      </c>
      <c r="OZX71" s="1159" t="e">
        <f t="shared" si="172"/>
        <v>#DIV/0!</v>
      </c>
      <c r="OZY71" s="1159" t="e">
        <f t="shared" si="172"/>
        <v>#DIV/0!</v>
      </c>
      <c r="OZZ71" s="1159" t="e">
        <f t="shared" si="172"/>
        <v>#DIV/0!</v>
      </c>
      <c r="PAA71" s="1159" t="e">
        <f t="shared" si="172"/>
        <v>#DIV/0!</v>
      </c>
      <c r="PAB71" s="1159" t="e">
        <f t="shared" si="172"/>
        <v>#DIV/0!</v>
      </c>
      <c r="PAC71" s="1159" t="e">
        <f t="shared" si="172"/>
        <v>#DIV/0!</v>
      </c>
      <c r="PAD71" s="1159" t="e">
        <f t="shared" si="172"/>
        <v>#DIV/0!</v>
      </c>
      <c r="PAE71" s="1159" t="e">
        <f t="shared" si="172"/>
        <v>#DIV/0!</v>
      </c>
      <c r="PAF71" s="1159" t="e">
        <f t="shared" si="172"/>
        <v>#DIV/0!</v>
      </c>
      <c r="PAG71" s="1159" t="e">
        <f t="shared" si="172"/>
        <v>#DIV/0!</v>
      </c>
      <c r="PAH71" s="1159" t="e">
        <f t="shared" si="172"/>
        <v>#DIV/0!</v>
      </c>
      <c r="PAI71" s="1159" t="e">
        <f t="shared" si="172"/>
        <v>#DIV/0!</v>
      </c>
      <c r="PAJ71" s="1159" t="e">
        <f t="shared" si="172"/>
        <v>#DIV/0!</v>
      </c>
      <c r="PAK71" s="1159" t="e">
        <f t="shared" si="172"/>
        <v>#DIV/0!</v>
      </c>
      <c r="PAL71" s="1159" t="e">
        <f t="shared" si="172"/>
        <v>#DIV/0!</v>
      </c>
      <c r="PAM71" s="1159" t="e">
        <f t="shared" si="172"/>
        <v>#DIV/0!</v>
      </c>
      <c r="PAN71" s="1159" t="e">
        <f t="shared" si="172"/>
        <v>#DIV/0!</v>
      </c>
      <c r="PAO71" s="1159" t="e">
        <f t="shared" si="172"/>
        <v>#DIV/0!</v>
      </c>
      <c r="PAP71" s="1159" t="e">
        <f t="shared" si="172"/>
        <v>#DIV/0!</v>
      </c>
      <c r="PAQ71" s="1159" t="e">
        <f t="shared" si="172"/>
        <v>#DIV/0!</v>
      </c>
      <c r="PAR71" s="1159" t="e">
        <f t="shared" si="172"/>
        <v>#DIV/0!</v>
      </c>
      <c r="PAS71" s="1159" t="e">
        <f t="shared" si="172"/>
        <v>#DIV/0!</v>
      </c>
      <c r="PAT71" s="1159" t="e">
        <f t="shared" si="172"/>
        <v>#DIV/0!</v>
      </c>
      <c r="PAU71" s="1159" t="e">
        <f t="shared" si="172"/>
        <v>#DIV/0!</v>
      </c>
      <c r="PAV71" s="1159" t="e">
        <f t="shared" si="172"/>
        <v>#DIV/0!</v>
      </c>
      <c r="PAW71" s="1159" t="e">
        <f t="shared" si="172"/>
        <v>#DIV/0!</v>
      </c>
      <c r="PAX71" s="1159" t="e">
        <f t="shared" si="172"/>
        <v>#DIV/0!</v>
      </c>
      <c r="PAY71" s="1159" t="e">
        <f t="shared" si="172"/>
        <v>#DIV/0!</v>
      </c>
      <c r="PAZ71" s="1159" t="e">
        <f t="shared" si="172"/>
        <v>#DIV/0!</v>
      </c>
      <c r="PBA71" s="1159" t="e">
        <f t="shared" si="172"/>
        <v>#DIV/0!</v>
      </c>
      <c r="PBB71" s="1159" t="e">
        <f t="shared" si="172"/>
        <v>#DIV/0!</v>
      </c>
      <c r="PBC71" s="1159" t="e">
        <f t="shared" si="172"/>
        <v>#DIV/0!</v>
      </c>
      <c r="PBD71" s="1159" t="e">
        <f t="shared" si="172"/>
        <v>#DIV/0!</v>
      </c>
      <c r="PBE71" s="1159" t="e">
        <f t="shared" si="172"/>
        <v>#DIV/0!</v>
      </c>
      <c r="PBF71" s="1159" t="e">
        <f t="shared" si="172"/>
        <v>#DIV/0!</v>
      </c>
      <c r="PBG71" s="1159" t="e">
        <f t="shared" si="172"/>
        <v>#DIV/0!</v>
      </c>
      <c r="PBH71" s="1159" t="e">
        <f t="shared" si="172"/>
        <v>#DIV/0!</v>
      </c>
      <c r="PBI71" s="1159" t="e">
        <f t="shared" si="172"/>
        <v>#DIV/0!</v>
      </c>
      <c r="PBJ71" s="1159" t="e">
        <f t="shared" si="172"/>
        <v>#DIV/0!</v>
      </c>
      <c r="PBK71" s="1159" t="e">
        <f t="shared" si="172"/>
        <v>#DIV/0!</v>
      </c>
      <c r="PBL71" s="1159" t="e">
        <f t="shared" si="172"/>
        <v>#DIV/0!</v>
      </c>
      <c r="PBM71" s="1159" t="e">
        <f t="shared" si="172"/>
        <v>#DIV/0!</v>
      </c>
      <c r="PBN71" s="1159" t="e">
        <f t="shared" si="172"/>
        <v>#DIV/0!</v>
      </c>
      <c r="PBO71" s="1159" t="e">
        <f t="shared" si="172"/>
        <v>#DIV/0!</v>
      </c>
      <c r="PBP71" s="1159" t="e">
        <f t="shared" si="172"/>
        <v>#DIV/0!</v>
      </c>
      <c r="PBQ71" s="1159" t="e">
        <f t="shared" si="172"/>
        <v>#DIV/0!</v>
      </c>
      <c r="PBR71" s="1159" t="e">
        <f t="shared" ref="PBR71:PEC71" si="173">((PBR6+PBR12+PBR13+PBR14+PBR15)*860+PBR16*PBR55+PBR17*PBR56+PBR7*PBR49+PBR8*PBR50+PBR9*PBR51+PBR10*PBR52+PBR11*PBR53)/(SUM(PBR6:PBR17))</f>
        <v>#DIV/0!</v>
      </c>
      <c r="PBS71" s="1159" t="e">
        <f t="shared" si="173"/>
        <v>#DIV/0!</v>
      </c>
      <c r="PBT71" s="1159" t="e">
        <f t="shared" si="173"/>
        <v>#DIV/0!</v>
      </c>
      <c r="PBU71" s="1159" t="e">
        <f t="shared" si="173"/>
        <v>#DIV/0!</v>
      </c>
      <c r="PBV71" s="1159" t="e">
        <f t="shared" si="173"/>
        <v>#DIV/0!</v>
      </c>
      <c r="PBW71" s="1159" t="e">
        <f t="shared" si="173"/>
        <v>#DIV/0!</v>
      </c>
      <c r="PBX71" s="1159" t="e">
        <f t="shared" si="173"/>
        <v>#DIV/0!</v>
      </c>
      <c r="PBY71" s="1159" t="e">
        <f t="shared" si="173"/>
        <v>#DIV/0!</v>
      </c>
      <c r="PBZ71" s="1159" t="e">
        <f t="shared" si="173"/>
        <v>#DIV/0!</v>
      </c>
      <c r="PCA71" s="1159" t="e">
        <f t="shared" si="173"/>
        <v>#DIV/0!</v>
      </c>
      <c r="PCB71" s="1159" t="e">
        <f t="shared" si="173"/>
        <v>#DIV/0!</v>
      </c>
      <c r="PCC71" s="1159" t="e">
        <f t="shared" si="173"/>
        <v>#DIV/0!</v>
      </c>
      <c r="PCD71" s="1159" t="e">
        <f t="shared" si="173"/>
        <v>#DIV/0!</v>
      </c>
      <c r="PCE71" s="1159" t="e">
        <f t="shared" si="173"/>
        <v>#DIV/0!</v>
      </c>
      <c r="PCF71" s="1159" t="e">
        <f t="shared" si="173"/>
        <v>#DIV/0!</v>
      </c>
      <c r="PCG71" s="1159" t="e">
        <f t="shared" si="173"/>
        <v>#DIV/0!</v>
      </c>
      <c r="PCH71" s="1159" t="e">
        <f t="shared" si="173"/>
        <v>#DIV/0!</v>
      </c>
      <c r="PCI71" s="1159" t="e">
        <f t="shared" si="173"/>
        <v>#DIV/0!</v>
      </c>
      <c r="PCJ71" s="1159" t="e">
        <f t="shared" si="173"/>
        <v>#DIV/0!</v>
      </c>
      <c r="PCK71" s="1159" t="e">
        <f t="shared" si="173"/>
        <v>#DIV/0!</v>
      </c>
      <c r="PCL71" s="1159" t="e">
        <f t="shared" si="173"/>
        <v>#DIV/0!</v>
      </c>
      <c r="PCM71" s="1159" t="e">
        <f t="shared" si="173"/>
        <v>#DIV/0!</v>
      </c>
      <c r="PCN71" s="1159" t="e">
        <f t="shared" si="173"/>
        <v>#DIV/0!</v>
      </c>
      <c r="PCO71" s="1159" t="e">
        <f t="shared" si="173"/>
        <v>#DIV/0!</v>
      </c>
      <c r="PCP71" s="1159" t="e">
        <f t="shared" si="173"/>
        <v>#DIV/0!</v>
      </c>
      <c r="PCQ71" s="1159" t="e">
        <f t="shared" si="173"/>
        <v>#DIV/0!</v>
      </c>
      <c r="PCR71" s="1159" t="e">
        <f t="shared" si="173"/>
        <v>#DIV/0!</v>
      </c>
      <c r="PCS71" s="1159" t="e">
        <f t="shared" si="173"/>
        <v>#DIV/0!</v>
      </c>
      <c r="PCT71" s="1159" t="e">
        <f t="shared" si="173"/>
        <v>#DIV/0!</v>
      </c>
      <c r="PCU71" s="1159" t="e">
        <f t="shared" si="173"/>
        <v>#DIV/0!</v>
      </c>
      <c r="PCV71" s="1159" t="e">
        <f t="shared" si="173"/>
        <v>#DIV/0!</v>
      </c>
      <c r="PCW71" s="1159" t="e">
        <f t="shared" si="173"/>
        <v>#DIV/0!</v>
      </c>
      <c r="PCX71" s="1159" t="e">
        <f t="shared" si="173"/>
        <v>#DIV/0!</v>
      </c>
      <c r="PCY71" s="1159" t="e">
        <f t="shared" si="173"/>
        <v>#DIV/0!</v>
      </c>
      <c r="PCZ71" s="1159" t="e">
        <f t="shared" si="173"/>
        <v>#DIV/0!</v>
      </c>
      <c r="PDA71" s="1159" t="e">
        <f t="shared" si="173"/>
        <v>#DIV/0!</v>
      </c>
      <c r="PDB71" s="1159" t="e">
        <f t="shared" si="173"/>
        <v>#DIV/0!</v>
      </c>
      <c r="PDC71" s="1159" t="e">
        <f t="shared" si="173"/>
        <v>#DIV/0!</v>
      </c>
      <c r="PDD71" s="1159" t="e">
        <f t="shared" si="173"/>
        <v>#DIV/0!</v>
      </c>
      <c r="PDE71" s="1159" t="e">
        <f t="shared" si="173"/>
        <v>#DIV/0!</v>
      </c>
      <c r="PDF71" s="1159" t="e">
        <f t="shared" si="173"/>
        <v>#DIV/0!</v>
      </c>
      <c r="PDG71" s="1159" t="e">
        <f t="shared" si="173"/>
        <v>#DIV/0!</v>
      </c>
      <c r="PDH71" s="1159" t="e">
        <f t="shared" si="173"/>
        <v>#DIV/0!</v>
      </c>
      <c r="PDI71" s="1159" t="e">
        <f t="shared" si="173"/>
        <v>#DIV/0!</v>
      </c>
      <c r="PDJ71" s="1159" t="e">
        <f t="shared" si="173"/>
        <v>#DIV/0!</v>
      </c>
      <c r="PDK71" s="1159" t="e">
        <f t="shared" si="173"/>
        <v>#DIV/0!</v>
      </c>
      <c r="PDL71" s="1159" t="e">
        <f t="shared" si="173"/>
        <v>#DIV/0!</v>
      </c>
      <c r="PDM71" s="1159" t="e">
        <f t="shared" si="173"/>
        <v>#DIV/0!</v>
      </c>
      <c r="PDN71" s="1159" t="e">
        <f t="shared" si="173"/>
        <v>#DIV/0!</v>
      </c>
      <c r="PDO71" s="1159" t="e">
        <f t="shared" si="173"/>
        <v>#DIV/0!</v>
      </c>
      <c r="PDP71" s="1159" t="e">
        <f t="shared" si="173"/>
        <v>#DIV/0!</v>
      </c>
      <c r="PDQ71" s="1159" t="e">
        <f t="shared" si="173"/>
        <v>#DIV/0!</v>
      </c>
      <c r="PDR71" s="1159" t="e">
        <f t="shared" si="173"/>
        <v>#DIV/0!</v>
      </c>
      <c r="PDS71" s="1159" t="e">
        <f t="shared" si="173"/>
        <v>#DIV/0!</v>
      </c>
      <c r="PDT71" s="1159" t="e">
        <f t="shared" si="173"/>
        <v>#DIV/0!</v>
      </c>
      <c r="PDU71" s="1159" t="e">
        <f t="shared" si="173"/>
        <v>#DIV/0!</v>
      </c>
      <c r="PDV71" s="1159" t="e">
        <f t="shared" si="173"/>
        <v>#DIV/0!</v>
      </c>
      <c r="PDW71" s="1159" t="e">
        <f t="shared" si="173"/>
        <v>#DIV/0!</v>
      </c>
      <c r="PDX71" s="1159" t="e">
        <f t="shared" si="173"/>
        <v>#DIV/0!</v>
      </c>
      <c r="PDY71" s="1159" t="e">
        <f t="shared" si="173"/>
        <v>#DIV/0!</v>
      </c>
      <c r="PDZ71" s="1159" t="e">
        <f t="shared" si="173"/>
        <v>#DIV/0!</v>
      </c>
      <c r="PEA71" s="1159" t="e">
        <f t="shared" si="173"/>
        <v>#DIV/0!</v>
      </c>
      <c r="PEB71" s="1159" t="e">
        <f t="shared" si="173"/>
        <v>#DIV/0!</v>
      </c>
      <c r="PEC71" s="1159" t="e">
        <f t="shared" si="173"/>
        <v>#DIV/0!</v>
      </c>
      <c r="PED71" s="1159" t="e">
        <f t="shared" ref="PED71:PGO71" si="174">((PED6+PED12+PED13+PED14+PED15)*860+PED16*PED55+PED17*PED56+PED7*PED49+PED8*PED50+PED9*PED51+PED10*PED52+PED11*PED53)/(SUM(PED6:PED17))</f>
        <v>#DIV/0!</v>
      </c>
      <c r="PEE71" s="1159" t="e">
        <f t="shared" si="174"/>
        <v>#DIV/0!</v>
      </c>
      <c r="PEF71" s="1159" t="e">
        <f t="shared" si="174"/>
        <v>#DIV/0!</v>
      </c>
      <c r="PEG71" s="1159" t="e">
        <f t="shared" si="174"/>
        <v>#DIV/0!</v>
      </c>
      <c r="PEH71" s="1159" t="e">
        <f t="shared" si="174"/>
        <v>#DIV/0!</v>
      </c>
      <c r="PEI71" s="1159" t="e">
        <f t="shared" si="174"/>
        <v>#DIV/0!</v>
      </c>
      <c r="PEJ71" s="1159" t="e">
        <f t="shared" si="174"/>
        <v>#DIV/0!</v>
      </c>
      <c r="PEK71" s="1159" t="e">
        <f t="shared" si="174"/>
        <v>#DIV/0!</v>
      </c>
      <c r="PEL71" s="1159" t="e">
        <f t="shared" si="174"/>
        <v>#DIV/0!</v>
      </c>
      <c r="PEM71" s="1159" t="e">
        <f t="shared" si="174"/>
        <v>#DIV/0!</v>
      </c>
      <c r="PEN71" s="1159" t="e">
        <f t="shared" si="174"/>
        <v>#DIV/0!</v>
      </c>
      <c r="PEO71" s="1159" t="e">
        <f t="shared" si="174"/>
        <v>#DIV/0!</v>
      </c>
      <c r="PEP71" s="1159" t="e">
        <f t="shared" si="174"/>
        <v>#DIV/0!</v>
      </c>
      <c r="PEQ71" s="1159" t="e">
        <f t="shared" si="174"/>
        <v>#DIV/0!</v>
      </c>
      <c r="PER71" s="1159" t="e">
        <f t="shared" si="174"/>
        <v>#DIV/0!</v>
      </c>
      <c r="PES71" s="1159" t="e">
        <f t="shared" si="174"/>
        <v>#DIV/0!</v>
      </c>
      <c r="PET71" s="1159" t="e">
        <f t="shared" si="174"/>
        <v>#DIV/0!</v>
      </c>
      <c r="PEU71" s="1159" t="e">
        <f t="shared" si="174"/>
        <v>#DIV/0!</v>
      </c>
      <c r="PEV71" s="1159" t="e">
        <f t="shared" si="174"/>
        <v>#DIV/0!</v>
      </c>
      <c r="PEW71" s="1159" t="e">
        <f t="shared" si="174"/>
        <v>#DIV/0!</v>
      </c>
      <c r="PEX71" s="1159" t="e">
        <f t="shared" si="174"/>
        <v>#DIV/0!</v>
      </c>
      <c r="PEY71" s="1159" t="e">
        <f t="shared" si="174"/>
        <v>#DIV/0!</v>
      </c>
      <c r="PEZ71" s="1159" t="e">
        <f t="shared" si="174"/>
        <v>#DIV/0!</v>
      </c>
      <c r="PFA71" s="1159" t="e">
        <f t="shared" si="174"/>
        <v>#DIV/0!</v>
      </c>
      <c r="PFB71" s="1159" t="e">
        <f t="shared" si="174"/>
        <v>#DIV/0!</v>
      </c>
      <c r="PFC71" s="1159" t="e">
        <f t="shared" si="174"/>
        <v>#DIV/0!</v>
      </c>
      <c r="PFD71" s="1159" t="e">
        <f t="shared" si="174"/>
        <v>#DIV/0!</v>
      </c>
      <c r="PFE71" s="1159" t="e">
        <f t="shared" si="174"/>
        <v>#DIV/0!</v>
      </c>
      <c r="PFF71" s="1159" t="e">
        <f t="shared" si="174"/>
        <v>#DIV/0!</v>
      </c>
      <c r="PFG71" s="1159" t="e">
        <f t="shared" si="174"/>
        <v>#DIV/0!</v>
      </c>
      <c r="PFH71" s="1159" t="e">
        <f t="shared" si="174"/>
        <v>#DIV/0!</v>
      </c>
      <c r="PFI71" s="1159" t="e">
        <f t="shared" si="174"/>
        <v>#DIV/0!</v>
      </c>
      <c r="PFJ71" s="1159" t="e">
        <f t="shared" si="174"/>
        <v>#DIV/0!</v>
      </c>
      <c r="PFK71" s="1159" t="e">
        <f t="shared" si="174"/>
        <v>#DIV/0!</v>
      </c>
      <c r="PFL71" s="1159" t="e">
        <f t="shared" si="174"/>
        <v>#DIV/0!</v>
      </c>
      <c r="PFM71" s="1159" t="e">
        <f t="shared" si="174"/>
        <v>#DIV/0!</v>
      </c>
      <c r="PFN71" s="1159" t="e">
        <f t="shared" si="174"/>
        <v>#DIV/0!</v>
      </c>
      <c r="PFO71" s="1159" t="e">
        <f t="shared" si="174"/>
        <v>#DIV/0!</v>
      </c>
      <c r="PFP71" s="1159" t="e">
        <f t="shared" si="174"/>
        <v>#DIV/0!</v>
      </c>
      <c r="PFQ71" s="1159" t="e">
        <f t="shared" si="174"/>
        <v>#DIV/0!</v>
      </c>
      <c r="PFR71" s="1159" t="e">
        <f t="shared" si="174"/>
        <v>#DIV/0!</v>
      </c>
      <c r="PFS71" s="1159" t="e">
        <f t="shared" si="174"/>
        <v>#DIV/0!</v>
      </c>
      <c r="PFT71" s="1159" t="e">
        <f t="shared" si="174"/>
        <v>#DIV/0!</v>
      </c>
      <c r="PFU71" s="1159" t="e">
        <f t="shared" si="174"/>
        <v>#DIV/0!</v>
      </c>
      <c r="PFV71" s="1159" t="e">
        <f t="shared" si="174"/>
        <v>#DIV/0!</v>
      </c>
      <c r="PFW71" s="1159" t="e">
        <f t="shared" si="174"/>
        <v>#DIV/0!</v>
      </c>
      <c r="PFX71" s="1159" t="e">
        <f t="shared" si="174"/>
        <v>#DIV/0!</v>
      </c>
      <c r="PFY71" s="1159" t="e">
        <f t="shared" si="174"/>
        <v>#DIV/0!</v>
      </c>
      <c r="PFZ71" s="1159" t="e">
        <f t="shared" si="174"/>
        <v>#DIV/0!</v>
      </c>
      <c r="PGA71" s="1159" t="e">
        <f t="shared" si="174"/>
        <v>#DIV/0!</v>
      </c>
      <c r="PGB71" s="1159" t="e">
        <f t="shared" si="174"/>
        <v>#DIV/0!</v>
      </c>
      <c r="PGC71" s="1159" t="e">
        <f t="shared" si="174"/>
        <v>#DIV/0!</v>
      </c>
      <c r="PGD71" s="1159" t="e">
        <f t="shared" si="174"/>
        <v>#DIV/0!</v>
      </c>
      <c r="PGE71" s="1159" t="e">
        <f t="shared" si="174"/>
        <v>#DIV/0!</v>
      </c>
      <c r="PGF71" s="1159" t="e">
        <f t="shared" si="174"/>
        <v>#DIV/0!</v>
      </c>
      <c r="PGG71" s="1159" t="e">
        <f t="shared" si="174"/>
        <v>#DIV/0!</v>
      </c>
      <c r="PGH71" s="1159" t="e">
        <f t="shared" si="174"/>
        <v>#DIV/0!</v>
      </c>
      <c r="PGI71" s="1159" t="e">
        <f t="shared" si="174"/>
        <v>#DIV/0!</v>
      </c>
      <c r="PGJ71" s="1159" t="e">
        <f t="shared" si="174"/>
        <v>#DIV/0!</v>
      </c>
      <c r="PGK71" s="1159" t="e">
        <f t="shared" si="174"/>
        <v>#DIV/0!</v>
      </c>
      <c r="PGL71" s="1159" t="e">
        <f t="shared" si="174"/>
        <v>#DIV/0!</v>
      </c>
      <c r="PGM71" s="1159" t="e">
        <f t="shared" si="174"/>
        <v>#DIV/0!</v>
      </c>
      <c r="PGN71" s="1159" t="e">
        <f t="shared" si="174"/>
        <v>#DIV/0!</v>
      </c>
      <c r="PGO71" s="1159" t="e">
        <f t="shared" si="174"/>
        <v>#DIV/0!</v>
      </c>
      <c r="PGP71" s="1159" t="e">
        <f t="shared" ref="PGP71:PJA71" si="175">((PGP6+PGP12+PGP13+PGP14+PGP15)*860+PGP16*PGP55+PGP17*PGP56+PGP7*PGP49+PGP8*PGP50+PGP9*PGP51+PGP10*PGP52+PGP11*PGP53)/(SUM(PGP6:PGP17))</f>
        <v>#DIV/0!</v>
      </c>
      <c r="PGQ71" s="1159" t="e">
        <f t="shared" si="175"/>
        <v>#DIV/0!</v>
      </c>
      <c r="PGR71" s="1159" t="e">
        <f t="shared" si="175"/>
        <v>#DIV/0!</v>
      </c>
      <c r="PGS71" s="1159" t="e">
        <f t="shared" si="175"/>
        <v>#DIV/0!</v>
      </c>
      <c r="PGT71" s="1159" t="e">
        <f t="shared" si="175"/>
        <v>#DIV/0!</v>
      </c>
      <c r="PGU71" s="1159" t="e">
        <f t="shared" si="175"/>
        <v>#DIV/0!</v>
      </c>
      <c r="PGV71" s="1159" t="e">
        <f t="shared" si="175"/>
        <v>#DIV/0!</v>
      </c>
      <c r="PGW71" s="1159" t="e">
        <f t="shared" si="175"/>
        <v>#DIV/0!</v>
      </c>
      <c r="PGX71" s="1159" t="e">
        <f t="shared" si="175"/>
        <v>#DIV/0!</v>
      </c>
      <c r="PGY71" s="1159" t="e">
        <f t="shared" si="175"/>
        <v>#DIV/0!</v>
      </c>
      <c r="PGZ71" s="1159" t="e">
        <f t="shared" si="175"/>
        <v>#DIV/0!</v>
      </c>
      <c r="PHA71" s="1159" t="e">
        <f t="shared" si="175"/>
        <v>#DIV/0!</v>
      </c>
      <c r="PHB71" s="1159" t="e">
        <f t="shared" si="175"/>
        <v>#DIV/0!</v>
      </c>
      <c r="PHC71" s="1159" t="e">
        <f t="shared" si="175"/>
        <v>#DIV/0!</v>
      </c>
      <c r="PHD71" s="1159" t="e">
        <f t="shared" si="175"/>
        <v>#DIV/0!</v>
      </c>
      <c r="PHE71" s="1159" t="e">
        <f t="shared" si="175"/>
        <v>#DIV/0!</v>
      </c>
      <c r="PHF71" s="1159" t="e">
        <f t="shared" si="175"/>
        <v>#DIV/0!</v>
      </c>
      <c r="PHG71" s="1159" t="e">
        <f t="shared" si="175"/>
        <v>#DIV/0!</v>
      </c>
      <c r="PHH71" s="1159" t="e">
        <f t="shared" si="175"/>
        <v>#DIV/0!</v>
      </c>
      <c r="PHI71" s="1159" t="e">
        <f t="shared" si="175"/>
        <v>#DIV/0!</v>
      </c>
      <c r="PHJ71" s="1159" t="e">
        <f t="shared" si="175"/>
        <v>#DIV/0!</v>
      </c>
      <c r="PHK71" s="1159" t="e">
        <f t="shared" si="175"/>
        <v>#DIV/0!</v>
      </c>
      <c r="PHL71" s="1159" t="e">
        <f t="shared" si="175"/>
        <v>#DIV/0!</v>
      </c>
      <c r="PHM71" s="1159" t="e">
        <f t="shared" si="175"/>
        <v>#DIV/0!</v>
      </c>
      <c r="PHN71" s="1159" t="e">
        <f t="shared" si="175"/>
        <v>#DIV/0!</v>
      </c>
      <c r="PHO71" s="1159" t="e">
        <f t="shared" si="175"/>
        <v>#DIV/0!</v>
      </c>
      <c r="PHP71" s="1159" t="e">
        <f t="shared" si="175"/>
        <v>#DIV/0!</v>
      </c>
      <c r="PHQ71" s="1159" t="e">
        <f t="shared" si="175"/>
        <v>#DIV/0!</v>
      </c>
      <c r="PHR71" s="1159" t="e">
        <f t="shared" si="175"/>
        <v>#DIV/0!</v>
      </c>
      <c r="PHS71" s="1159" t="e">
        <f t="shared" si="175"/>
        <v>#DIV/0!</v>
      </c>
      <c r="PHT71" s="1159" t="e">
        <f t="shared" si="175"/>
        <v>#DIV/0!</v>
      </c>
      <c r="PHU71" s="1159" t="e">
        <f t="shared" si="175"/>
        <v>#DIV/0!</v>
      </c>
      <c r="PHV71" s="1159" t="e">
        <f t="shared" si="175"/>
        <v>#DIV/0!</v>
      </c>
      <c r="PHW71" s="1159" t="e">
        <f t="shared" si="175"/>
        <v>#DIV/0!</v>
      </c>
      <c r="PHX71" s="1159" t="e">
        <f t="shared" si="175"/>
        <v>#DIV/0!</v>
      </c>
      <c r="PHY71" s="1159" t="e">
        <f t="shared" si="175"/>
        <v>#DIV/0!</v>
      </c>
      <c r="PHZ71" s="1159" t="e">
        <f t="shared" si="175"/>
        <v>#DIV/0!</v>
      </c>
      <c r="PIA71" s="1159" t="e">
        <f t="shared" si="175"/>
        <v>#DIV/0!</v>
      </c>
      <c r="PIB71" s="1159" t="e">
        <f t="shared" si="175"/>
        <v>#DIV/0!</v>
      </c>
      <c r="PIC71" s="1159" t="e">
        <f t="shared" si="175"/>
        <v>#DIV/0!</v>
      </c>
      <c r="PID71" s="1159" t="e">
        <f t="shared" si="175"/>
        <v>#DIV/0!</v>
      </c>
      <c r="PIE71" s="1159" t="e">
        <f t="shared" si="175"/>
        <v>#DIV/0!</v>
      </c>
      <c r="PIF71" s="1159" t="e">
        <f t="shared" si="175"/>
        <v>#DIV/0!</v>
      </c>
      <c r="PIG71" s="1159" t="e">
        <f t="shared" si="175"/>
        <v>#DIV/0!</v>
      </c>
      <c r="PIH71" s="1159" t="e">
        <f t="shared" si="175"/>
        <v>#DIV/0!</v>
      </c>
      <c r="PII71" s="1159" t="e">
        <f t="shared" si="175"/>
        <v>#DIV/0!</v>
      </c>
      <c r="PIJ71" s="1159" t="e">
        <f t="shared" si="175"/>
        <v>#DIV/0!</v>
      </c>
      <c r="PIK71" s="1159" t="e">
        <f t="shared" si="175"/>
        <v>#DIV/0!</v>
      </c>
      <c r="PIL71" s="1159" t="e">
        <f t="shared" si="175"/>
        <v>#DIV/0!</v>
      </c>
      <c r="PIM71" s="1159" t="e">
        <f t="shared" si="175"/>
        <v>#DIV/0!</v>
      </c>
      <c r="PIN71" s="1159" t="e">
        <f t="shared" si="175"/>
        <v>#DIV/0!</v>
      </c>
      <c r="PIO71" s="1159" t="e">
        <f t="shared" si="175"/>
        <v>#DIV/0!</v>
      </c>
      <c r="PIP71" s="1159" t="e">
        <f t="shared" si="175"/>
        <v>#DIV/0!</v>
      </c>
      <c r="PIQ71" s="1159" t="e">
        <f t="shared" si="175"/>
        <v>#DIV/0!</v>
      </c>
      <c r="PIR71" s="1159" t="e">
        <f t="shared" si="175"/>
        <v>#DIV/0!</v>
      </c>
      <c r="PIS71" s="1159" t="e">
        <f t="shared" si="175"/>
        <v>#DIV/0!</v>
      </c>
      <c r="PIT71" s="1159" t="e">
        <f t="shared" si="175"/>
        <v>#DIV/0!</v>
      </c>
      <c r="PIU71" s="1159" t="e">
        <f t="shared" si="175"/>
        <v>#DIV/0!</v>
      </c>
      <c r="PIV71" s="1159" t="e">
        <f t="shared" si="175"/>
        <v>#DIV/0!</v>
      </c>
      <c r="PIW71" s="1159" t="e">
        <f t="shared" si="175"/>
        <v>#DIV/0!</v>
      </c>
      <c r="PIX71" s="1159" t="e">
        <f t="shared" si="175"/>
        <v>#DIV/0!</v>
      </c>
      <c r="PIY71" s="1159" t="e">
        <f t="shared" si="175"/>
        <v>#DIV/0!</v>
      </c>
      <c r="PIZ71" s="1159" t="e">
        <f t="shared" si="175"/>
        <v>#DIV/0!</v>
      </c>
      <c r="PJA71" s="1159" t="e">
        <f t="shared" si="175"/>
        <v>#DIV/0!</v>
      </c>
      <c r="PJB71" s="1159" t="e">
        <f t="shared" ref="PJB71:PLM71" si="176">((PJB6+PJB12+PJB13+PJB14+PJB15)*860+PJB16*PJB55+PJB17*PJB56+PJB7*PJB49+PJB8*PJB50+PJB9*PJB51+PJB10*PJB52+PJB11*PJB53)/(SUM(PJB6:PJB17))</f>
        <v>#DIV/0!</v>
      </c>
      <c r="PJC71" s="1159" t="e">
        <f t="shared" si="176"/>
        <v>#DIV/0!</v>
      </c>
      <c r="PJD71" s="1159" t="e">
        <f t="shared" si="176"/>
        <v>#DIV/0!</v>
      </c>
      <c r="PJE71" s="1159" t="e">
        <f t="shared" si="176"/>
        <v>#DIV/0!</v>
      </c>
      <c r="PJF71" s="1159" t="e">
        <f t="shared" si="176"/>
        <v>#DIV/0!</v>
      </c>
      <c r="PJG71" s="1159" t="e">
        <f t="shared" si="176"/>
        <v>#DIV/0!</v>
      </c>
      <c r="PJH71" s="1159" t="e">
        <f t="shared" si="176"/>
        <v>#DIV/0!</v>
      </c>
      <c r="PJI71" s="1159" t="e">
        <f t="shared" si="176"/>
        <v>#DIV/0!</v>
      </c>
      <c r="PJJ71" s="1159" t="e">
        <f t="shared" si="176"/>
        <v>#DIV/0!</v>
      </c>
      <c r="PJK71" s="1159" t="e">
        <f t="shared" si="176"/>
        <v>#DIV/0!</v>
      </c>
      <c r="PJL71" s="1159" t="e">
        <f t="shared" si="176"/>
        <v>#DIV/0!</v>
      </c>
      <c r="PJM71" s="1159" t="e">
        <f t="shared" si="176"/>
        <v>#DIV/0!</v>
      </c>
      <c r="PJN71" s="1159" t="e">
        <f t="shared" si="176"/>
        <v>#DIV/0!</v>
      </c>
      <c r="PJO71" s="1159" t="e">
        <f t="shared" si="176"/>
        <v>#DIV/0!</v>
      </c>
      <c r="PJP71" s="1159" t="e">
        <f t="shared" si="176"/>
        <v>#DIV/0!</v>
      </c>
      <c r="PJQ71" s="1159" t="e">
        <f t="shared" si="176"/>
        <v>#DIV/0!</v>
      </c>
      <c r="PJR71" s="1159" t="e">
        <f t="shared" si="176"/>
        <v>#DIV/0!</v>
      </c>
      <c r="PJS71" s="1159" t="e">
        <f t="shared" si="176"/>
        <v>#DIV/0!</v>
      </c>
      <c r="PJT71" s="1159" t="e">
        <f t="shared" si="176"/>
        <v>#DIV/0!</v>
      </c>
      <c r="PJU71" s="1159" t="e">
        <f t="shared" si="176"/>
        <v>#DIV/0!</v>
      </c>
      <c r="PJV71" s="1159" t="e">
        <f t="shared" si="176"/>
        <v>#DIV/0!</v>
      </c>
      <c r="PJW71" s="1159" t="e">
        <f t="shared" si="176"/>
        <v>#DIV/0!</v>
      </c>
      <c r="PJX71" s="1159" t="e">
        <f t="shared" si="176"/>
        <v>#DIV/0!</v>
      </c>
      <c r="PJY71" s="1159" t="e">
        <f t="shared" si="176"/>
        <v>#DIV/0!</v>
      </c>
      <c r="PJZ71" s="1159" t="e">
        <f t="shared" si="176"/>
        <v>#DIV/0!</v>
      </c>
      <c r="PKA71" s="1159" t="e">
        <f t="shared" si="176"/>
        <v>#DIV/0!</v>
      </c>
      <c r="PKB71" s="1159" t="e">
        <f t="shared" si="176"/>
        <v>#DIV/0!</v>
      </c>
      <c r="PKC71" s="1159" t="e">
        <f t="shared" si="176"/>
        <v>#DIV/0!</v>
      </c>
      <c r="PKD71" s="1159" t="e">
        <f t="shared" si="176"/>
        <v>#DIV/0!</v>
      </c>
      <c r="PKE71" s="1159" t="e">
        <f t="shared" si="176"/>
        <v>#DIV/0!</v>
      </c>
      <c r="PKF71" s="1159" t="e">
        <f t="shared" si="176"/>
        <v>#DIV/0!</v>
      </c>
      <c r="PKG71" s="1159" t="e">
        <f t="shared" si="176"/>
        <v>#DIV/0!</v>
      </c>
      <c r="PKH71" s="1159" t="e">
        <f t="shared" si="176"/>
        <v>#DIV/0!</v>
      </c>
      <c r="PKI71" s="1159" t="e">
        <f t="shared" si="176"/>
        <v>#DIV/0!</v>
      </c>
      <c r="PKJ71" s="1159" t="e">
        <f t="shared" si="176"/>
        <v>#DIV/0!</v>
      </c>
      <c r="PKK71" s="1159" t="e">
        <f t="shared" si="176"/>
        <v>#DIV/0!</v>
      </c>
      <c r="PKL71" s="1159" t="e">
        <f t="shared" si="176"/>
        <v>#DIV/0!</v>
      </c>
      <c r="PKM71" s="1159" t="e">
        <f t="shared" si="176"/>
        <v>#DIV/0!</v>
      </c>
      <c r="PKN71" s="1159" t="e">
        <f t="shared" si="176"/>
        <v>#DIV/0!</v>
      </c>
      <c r="PKO71" s="1159" t="e">
        <f t="shared" si="176"/>
        <v>#DIV/0!</v>
      </c>
      <c r="PKP71" s="1159" t="e">
        <f t="shared" si="176"/>
        <v>#DIV/0!</v>
      </c>
      <c r="PKQ71" s="1159" t="e">
        <f t="shared" si="176"/>
        <v>#DIV/0!</v>
      </c>
      <c r="PKR71" s="1159" t="e">
        <f t="shared" si="176"/>
        <v>#DIV/0!</v>
      </c>
      <c r="PKS71" s="1159" t="e">
        <f t="shared" si="176"/>
        <v>#DIV/0!</v>
      </c>
      <c r="PKT71" s="1159" t="e">
        <f t="shared" si="176"/>
        <v>#DIV/0!</v>
      </c>
      <c r="PKU71" s="1159" t="e">
        <f t="shared" si="176"/>
        <v>#DIV/0!</v>
      </c>
      <c r="PKV71" s="1159" t="e">
        <f t="shared" si="176"/>
        <v>#DIV/0!</v>
      </c>
      <c r="PKW71" s="1159" t="e">
        <f t="shared" si="176"/>
        <v>#DIV/0!</v>
      </c>
      <c r="PKX71" s="1159" t="e">
        <f t="shared" si="176"/>
        <v>#DIV/0!</v>
      </c>
      <c r="PKY71" s="1159" t="e">
        <f t="shared" si="176"/>
        <v>#DIV/0!</v>
      </c>
      <c r="PKZ71" s="1159" t="e">
        <f t="shared" si="176"/>
        <v>#DIV/0!</v>
      </c>
      <c r="PLA71" s="1159" t="e">
        <f t="shared" si="176"/>
        <v>#DIV/0!</v>
      </c>
      <c r="PLB71" s="1159" t="e">
        <f t="shared" si="176"/>
        <v>#DIV/0!</v>
      </c>
      <c r="PLC71" s="1159" t="e">
        <f t="shared" si="176"/>
        <v>#DIV/0!</v>
      </c>
      <c r="PLD71" s="1159" t="e">
        <f t="shared" si="176"/>
        <v>#DIV/0!</v>
      </c>
      <c r="PLE71" s="1159" t="e">
        <f t="shared" si="176"/>
        <v>#DIV/0!</v>
      </c>
      <c r="PLF71" s="1159" t="e">
        <f t="shared" si="176"/>
        <v>#DIV/0!</v>
      </c>
      <c r="PLG71" s="1159" t="e">
        <f t="shared" si="176"/>
        <v>#DIV/0!</v>
      </c>
      <c r="PLH71" s="1159" t="e">
        <f t="shared" si="176"/>
        <v>#DIV/0!</v>
      </c>
      <c r="PLI71" s="1159" t="e">
        <f t="shared" si="176"/>
        <v>#DIV/0!</v>
      </c>
      <c r="PLJ71" s="1159" t="e">
        <f t="shared" si="176"/>
        <v>#DIV/0!</v>
      </c>
      <c r="PLK71" s="1159" t="e">
        <f t="shared" si="176"/>
        <v>#DIV/0!</v>
      </c>
      <c r="PLL71" s="1159" t="e">
        <f t="shared" si="176"/>
        <v>#DIV/0!</v>
      </c>
      <c r="PLM71" s="1159" t="e">
        <f t="shared" si="176"/>
        <v>#DIV/0!</v>
      </c>
      <c r="PLN71" s="1159" t="e">
        <f t="shared" ref="PLN71:PNY71" si="177">((PLN6+PLN12+PLN13+PLN14+PLN15)*860+PLN16*PLN55+PLN17*PLN56+PLN7*PLN49+PLN8*PLN50+PLN9*PLN51+PLN10*PLN52+PLN11*PLN53)/(SUM(PLN6:PLN17))</f>
        <v>#DIV/0!</v>
      </c>
      <c r="PLO71" s="1159" t="e">
        <f t="shared" si="177"/>
        <v>#DIV/0!</v>
      </c>
      <c r="PLP71" s="1159" t="e">
        <f t="shared" si="177"/>
        <v>#DIV/0!</v>
      </c>
      <c r="PLQ71" s="1159" t="e">
        <f t="shared" si="177"/>
        <v>#DIV/0!</v>
      </c>
      <c r="PLR71" s="1159" t="e">
        <f t="shared" si="177"/>
        <v>#DIV/0!</v>
      </c>
      <c r="PLS71" s="1159" t="e">
        <f t="shared" si="177"/>
        <v>#DIV/0!</v>
      </c>
      <c r="PLT71" s="1159" t="e">
        <f t="shared" si="177"/>
        <v>#DIV/0!</v>
      </c>
      <c r="PLU71" s="1159" t="e">
        <f t="shared" si="177"/>
        <v>#DIV/0!</v>
      </c>
      <c r="PLV71" s="1159" t="e">
        <f t="shared" si="177"/>
        <v>#DIV/0!</v>
      </c>
      <c r="PLW71" s="1159" t="e">
        <f t="shared" si="177"/>
        <v>#DIV/0!</v>
      </c>
      <c r="PLX71" s="1159" t="e">
        <f t="shared" si="177"/>
        <v>#DIV/0!</v>
      </c>
      <c r="PLY71" s="1159" t="e">
        <f t="shared" si="177"/>
        <v>#DIV/0!</v>
      </c>
      <c r="PLZ71" s="1159" t="e">
        <f t="shared" si="177"/>
        <v>#DIV/0!</v>
      </c>
      <c r="PMA71" s="1159" t="e">
        <f t="shared" si="177"/>
        <v>#DIV/0!</v>
      </c>
      <c r="PMB71" s="1159" t="e">
        <f t="shared" si="177"/>
        <v>#DIV/0!</v>
      </c>
      <c r="PMC71" s="1159" t="e">
        <f t="shared" si="177"/>
        <v>#DIV/0!</v>
      </c>
      <c r="PMD71" s="1159" t="e">
        <f t="shared" si="177"/>
        <v>#DIV/0!</v>
      </c>
      <c r="PME71" s="1159" t="e">
        <f t="shared" si="177"/>
        <v>#DIV/0!</v>
      </c>
      <c r="PMF71" s="1159" t="e">
        <f t="shared" si="177"/>
        <v>#DIV/0!</v>
      </c>
      <c r="PMG71" s="1159" t="e">
        <f t="shared" si="177"/>
        <v>#DIV/0!</v>
      </c>
      <c r="PMH71" s="1159" t="e">
        <f t="shared" si="177"/>
        <v>#DIV/0!</v>
      </c>
      <c r="PMI71" s="1159" t="e">
        <f t="shared" si="177"/>
        <v>#DIV/0!</v>
      </c>
      <c r="PMJ71" s="1159" t="e">
        <f t="shared" si="177"/>
        <v>#DIV/0!</v>
      </c>
      <c r="PMK71" s="1159" t="e">
        <f t="shared" si="177"/>
        <v>#DIV/0!</v>
      </c>
      <c r="PML71" s="1159" t="e">
        <f t="shared" si="177"/>
        <v>#DIV/0!</v>
      </c>
      <c r="PMM71" s="1159" t="e">
        <f t="shared" si="177"/>
        <v>#DIV/0!</v>
      </c>
      <c r="PMN71" s="1159" t="e">
        <f t="shared" si="177"/>
        <v>#DIV/0!</v>
      </c>
      <c r="PMO71" s="1159" t="e">
        <f t="shared" si="177"/>
        <v>#DIV/0!</v>
      </c>
      <c r="PMP71" s="1159" t="e">
        <f t="shared" si="177"/>
        <v>#DIV/0!</v>
      </c>
      <c r="PMQ71" s="1159" t="e">
        <f t="shared" si="177"/>
        <v>#DIV/0!</v>
      </c>
      <c r="PMR71" s="1159" t="e">
        <f t="shared" si="177"/>
        <v>#DIV/0!</v>
      </c>
      <c r="PMS71" s="1159" t="e">
        <f t="shared" si="177"/>
        <v>#DIV/0!</v>
      </c>
      <c r="PMT71" s="1159" t="e">
        <f t="shared" si="177"/>
        <v>#DIV/0!</v>
      </c>
      <c r="PMU71" s="1159" t="e">
        <f t="shared" si="177"/>
        <v>#DIV/0!</v>
      </c>
      <c r="PMV71" s="1159" t="e">
        <f t="shared" si="177"/>
        <v>#DIV/0!</v>
      </c>
      <c r="PMW71" s="1159" t="e">
        <f t="shared" si="177"/>
        <v>#DIV/0!</v>
      </c>
      <c r="PMX71" s="1159" t="e">
        <f t="shared" si="177"/>
        <v>#DIV/0!</v>
      </c>
      <c r="PMY71" s="1159" t="e">
        <f t="shared" si="177"/>
        <v>#DIV/0!</v>
      </c>
      <c r="PMZ71" s="1159" t="e">
        <f t="shared" si="177"/>
        <v>#DIV/0!</v>
      </c>
      <c r="PNA71" s="1159" t="e">
        <f t="shared" si="177"/>
        <v>#DIV/0!</v>
      </c>
      <c r="PNB71" s="1159" t="e">
        <f t="shared" si="177"/>
        <v>#DIV/0!</v>
      </c>
      <c r="PNC71" s="1159" t="e">
        <f t="shared" si="177"/>
        <v>#DIV/0!</v>
      </c>
      <c r="PND71" s="1159" t="e">
        <f t="shared" si="177"/>
        <v>#DIV/0!</v>
      </c>
      <c r="PNE71" s="1159" t="e">
        <f t="shared" si="177"/>
        <v>#DIV/0!</v>
      </c>
      <c r="PNF71" s="1159" t="e">
        <f t="shared" si="177"/>
        <v>#DIV/0!</v>
      </c>
      <c r="PNG71" s="1159" t="e">
        <f t="shared" si="177"/>
        <v>#DIV/0!</v>
      </c>
      <c r="PNH71" s="1159" t="e">
        <f t="shared" si="177"/>
        <v>#DIV/0!</v>
      </c>
      <c r="PNI71" s="1159" t="e">
        <f t="shared" si="177"/>
        <v>#DIV/0!</v>
      </c>
      <c r="PNJ71" s="1159" t="e">
        <f t="shared" si="177"/>
        <v>#DIV/0!</v>
      </c>
      <c r="PNK71" s="1159" t="e">
        <f t="shared" si="177"/>
        <v>#DIV/0!</v>
      </c>
      <c r="PNL71" s="1159" t="e">
        <f t="shared" si="177"/>
        <v>#DIV/0!</v>
      </c>
      <c r="PNM71" s="1159" t="e">
        <f t="shared" si="177"/>
        <v>#DIV/0!</v>
      </c>
      <c r="PNN71" s="1159" t="e">
        <f t="shared" si="177"/>
        <v>#DIV/0!</v>
      </c>
      <c r="PNO71" s="1159" t="e">
        <f t="shared" si="177"/>
        <v>#DIV/0!</v>
      </c>
      <c r="PNP71" s="1159" t="e">
        <f t="shared" si="177"/>
        <v>#DIV/0!</v>
      </c>
      <c r="PNQ71" s="1159" t="e">
        <f t="shared" si="177"/>
        <v>#DIV/0!</v>
      </c>
      <c r="PNR71" s="1159" t="e">
        <f t="shared" si="177"/>
        <v>#DIV/0!</v>
      </c>
      <c r="PNS71" s="1159" t="e">
        <f t="shared" si="177"/>
        <v>#DIV/0!</v>
      </c>
      <c r="PNT71" s="1159" t="e">
        <f t="shared" si="177"/>
        <v>#DIV/0!</v>
      </c>
      <c r="PNU71" s="1159" t="e">
        <f t="shared" si="177"/>
        <v>#DIV/0!</v>
      </c>
      <c r="PNV71" s="1159" t="e">
        <f t="shared" si="177"/>
        <v>#DIV/0!</v>
      </c>
      <c r="PNW71" s="1159" t="e">
        <f t="shared" si="177"/>
        <v>#DIV/0!</v>
      </c>
      <c r="PNX71" s="1159" t="e">
        <f t="shared" si="177"/>
        <v>#DIV/0!</v>
      </c>
      <c r="PNY71" s="1159" t="e">
        <f t="shared" si="177"/>
        <v>#DIV/0!</v>
      </c>
      <c r="PNZ71" s="1159" t="e">
        <f t="shared" ref="PNZ71:PQK71" si="178">((PNZ6+PNZ12+PNZ13+PNZ14+PNZ15)*860+PNZ16*PNZ55+PNZ17*PNZ56+PNZ7*PNZ49+PNZ8*PNZ50+PNZ9*PNZ51+PNZ10*PNZ52+PNZ11*PNZ53)/(SUM(PNZ6:PNZ17))</f>
        <v>#DIV/0!</v>
      </c>
      <c r="POA71" s="1159" t="e">
        <f t="shared" si="178"/>
        <v>#DIV/0!</v>
      </c>
      <c r="POB71" s="1159" t="e">
        <f t="shared" si="178"/>
        <v>#DIV/0!</v>
      </c>
      <c r="POC71" s="1159" t="e">
        <f t="shared" si="178"/>
        <v>#DIV/0!</v>
      </c>
      <c r="POD71" s="1159" t="e">
        <f t="shared" si="178"/>
        <v>#DIV/0!</v>
      </c>
      <c r="POE71" s="1159" t="e">
        <f t="shared" si="178"/>
        <v>#DIV/0!</v>
      </c>
      <c r="POF71" s="1159" t="e">
        <f t="shared" si="178"/>
        <v>#DIV/0!</v>
      </c>
      <c r="POG71" s="1159" t="e">
        <f t="shared" si="178"/>
        <v>#DIV/0!</v>
      </c>
      <c r="POH71" s="1159" t="e">
        <f t="shared" si="178"/>
        <v>#DIV/0!</v>
      </c>
      <c r="POI71" s="1159" t="e">
        <f t="shared" si="178"/>
        <v>#DIV/0!</v>
      </c>
      <c r="POJ71" s="1159" t="e">
        <f t="shared" si="178"/>
        <v>#DIV/0!</v>
      </c>
      <c r="POK71" s="1159" t="e">
        <f t="shared" si="178"/>
        <v>#DIV/0!</v>
      </c>
      <c r="POL71" s="1159" t="e">
        <f t="shared" si="178"/>
        <v>#DIV/0!</v>
      </c>
      <c r="POM71" s="1159" t="e">
        <f t="shared" si="178"/>
        <v>#DIV/0!</v>
      </c>
      <c r="PON71" s="1159" t="e">
        <f t="shared" si="178"/>
        <v>#DIV/0!</v>
      </c>
      <c r="POO71" s="1159" t="e">
        <f t="shared" si="178"/>
        <v>#DIV/0!</v>
      </c>
      <c r="POP71" s="1159" t="e">
        <f t="shared" si="178"/>
        <v>#DIV/0!</v>
      </c>
      <c r="POQ71" s="1159" t="e">
        <f t="shared" si="178"/>
        <v>#DIV/0!</v>
      </c>
      <c r="POR71" s="1159" t="e">
        <f t="shared" si="178"/>
        <v>#DIV/0!</v>
      </c>
      <c r="POS71" s="1159" t="e">
        <f t="shared" si="178"/>
        <v>#DIV/0!</v>
      </c>
      <c r="POT71" s="1159" t="e">
        <f t="shared" si="178"/>
        <v>#DIV/0!</v>
      </c>
      <c r="POU71" s="1159" t="e">
        <f t="shared" si="178"/>
        <v>#DIV/0!</v>
      </c>
      <c r="POV71" s="1159" t="e">
        <f t="shared" si="178"/>
        <v>#DIV/0!</v>
      </c>
      <c r="POW71" s="1159" t="e">
        <f t="shared" si="178"/>
        <v>#DIV/0!</v>
      </c>
      <c r="POX71" s="1159" t="e">
        <f t="shared" si="178"/>
        <v>#DIV/0!</v>
      </c>
      <c r="POY71" s="1159" t="e">
        <f t="shared" si="178"/>
        <v>#DIV/0!</v>
      </c>
      <c r="POZ71" s="1159" t="e">
        <f t="shared" si="178"/>
        <v>#DIV/0!</v>
      </c>
      <c r="PPA71" s="1159" t="e">
        <f t="shared" si="178"/>
        <v>#DIV/0!</v>
      </c>
      <c r="PPB71" s="1159" t="e">
        <f t="shared" si="178"/>
        <v>#DIV/0!</v>
      </c>
      <c r="PPC71" s="1159" t="e">
        <f t="shared" si="178"/>
        <v>#DIV/0!</v>
      </c>
      <c r="PPD71" s="1159" t="e">
        <f t="shared" si="178"/>
        <v>#DIV/0!</v>
      </c>
      <c r="PPE71" s="1159" t="e">
        <f t="shared" si="178"/>
        <v>#DIV/0!</v>
      </c>
      <c r="PPF71" s="1159" t="e">
        <f t="shared" si="178"/>
        <v>#DIV/0!</v>
      </c>
      <c r="PPG71" s="1159" t="e">
        <f t="shared" si="178"/>
        <v>#DIV/0!</v>
      </c>
      <c r="PPH71" s="1159" t="e">
        <f t="shared" si="178"/>
        <v>#DIV/0!</v>
      </c>
      <c r="PPI71" s="1159" t="e">
        <f t="shared" si="178"/>
        <v>#DIV/0!</v>
      </c>
      <c r="PPJ71" s="1159" t="e">
        <f t="shared" si="178"/>
        <v>#DIV/0!</v>
      </c>
      <c r="PPK71" s="1159" t="e">
        <f t="shared" si="178"/>
        <v>#DIV/0!</v>
      </c>
      <c r="PPL71" s="1159" t="e">
        <f t="shared" si="178"/>
        <v>#DIV/0!</v>
      </c>
      <c r="PPM71" s="1159" t="e">
        <f t="shared" si="178"/>
        <v>#DIV/0!</v>
      </c>
      <c r="PPN71" s="1159" t="e">
        <f t="shared" si="178"/>
        <v>#DIV/0!</v>
      </c>
      <c r="PPO71" s="1159" t="e">
        <f t="shared" si="178"/>
        <v>#DIV/0!</v>
      </c>
      <c r="PPP71" s="1159" t="e">
        <f t="shared" si="178"/>
        <v>#DIV/0!</v>
      </c>
      <c r="PPQ71" s="1159" t="e">
        <f t="shared" si="178"/>
        <v>#DIV/0!</v>
      </c>
      <c r="PPR71" s="1159" t="e">
        <f t="shared" si="178"/>
        <v>#DIV/0!</v>
      </c>
      <c r="PPS71" s="1159" t="e">
        <f t="shared" si="178"/>
        <v>#DIV/0!</v>
      </c>
      <c r="PPT71" s="1159" t="e">
        <f t="shared" si="178"/>
        <v>#DIV/0!</v>
      </c>
      <c r="PPU71" s="1159" t="e">
        <f t="shared" si="178"/>
        <v>#DIV/0!</v>
      </c>
      <c r="PPV71" s="1159" t="e">
        <f t="shared" si="178"/>
        <v>#DIV/0!</v>
      </c>
      <c r="PPW71" s="1159" t="e">
        <f t="shared" si="178"/>
        <v>#DIV/0!</v>
      </c>
      <c r="PPX71" s="1159" t="e">
        <f t="shared" si="178"/>
        <v>#DIV/0!</v>
      </c>
      <c r="PPY71" s="1159" t="e">
        <f t="shared" si="178"/>
        <v>#DIV/0!</v>
      </c>
      <c r="PPZ71" s="1159" t="e">
        <f t="shared" si="178"/>
        <v>#DIV/0!</v>
      </c>
      <c r="PQA71" s="1159" t="e">
        <f t="shared" si="178"/>
        <v>#DIV/0!</v>
      </c>
      <c r="PQB71" s="1159" t="e">
        <f t="shared" si="178"/>
        <v>#DIV/0!</v>
      </c>
      <c r="PQC71" s="1159" t="e">
        <f t="shared" si="178"/>
        <v>#DIV/0!</v>
      </c>
      <c r="PQD71" s="1159" t="e">
        <f t="shared" si="178"/>
        <v>#DIV/0!</v>
      </c>
      <c r="PQE71" s="1159" t="e">
        <f t="shared" si="178"/>
        <v>#DIV/0!</v>
      </c>
      <c r="PQF71" s="1159" t="e">
        <f t="shared" si="178"/>
        <v>#DIV/0!</v>
      </c>
      <c r="PQG71" s="1159" t="e">
        <f t="shared" si="178"/>
        <v>#DIV/0!</v>
      </c>
      <c r="PQH71" s="1159" t="e">
        <f t="shared" si="178"/>
        <v>#DIV/0!</v>
      </c>
      <c r="PQI71" s="1159" t="e">
        <f t="shared" si="178"/>
        <v>#DIV/0!</v>
      </c>
      <c r="PQJ71" s="1159" t="e">
        <f t="shared" si="178"/>
        <v>#DIV/0!</v>
      </c>
      <c r="PQK71" s="1159" t="e">
        <f t="shared" si="178"/>
        <v>#DIV/0!</v>
      </c>
      <c r="PQL71" s="1159" t="e">
        <f t="shared" ref="PQL71:PSW71" si="179">((PQL6+PQL12+PQL13+PQL14+PQL15)*860+PQL16*PQL55+PQL17*PQL56+PQL7*PQL49+PQL8*PQL50+PQL9*PQL51+PQL10*PQL52+PQL11*PQL53)/(SUM(PQL6:PQL17))</f>
        <v>#DIV/0!</v>
      </c>
      <c r="PQM71" s="1159" t="e">
        <f t="shared" si="179"/>
        <v>#DIV/0!</v>
      </c>
      <c r="PQN71" s="1159" t="e">
        <f t="shared" si="179"/>
        <v>#DIV/0!</v>
      </c>
      <c r="PQO71" s="1159" t="e">
        <f t="shared" si="179"/>
        <v>#DIV/0!</v>
      </c>
      <c r="PQP71" s="1159" t="e">
        <f t="shared" si="179"/>
        <v>#DIV/0!</v>
      </c>
      <c r="PQQ71" s="1159" t="e">
        <f t="shared" si="179"/>
        <v>#DIV/0!</v>
      </c>
      <c r="PQR71" s="1159" t="e">
        <f t="shared" si="179"/>
        <v>#DIV/0!</v>
      </c>
      <c r="PQS71" s="1159" t="e">
        <f t="shared" si="179"/>
        <v>#DIV/0!</v>
      </c>
      <c r="PQT71" s="1159" t="e">
        <f t="shared" si="179"/>
        <v>#DIV/0!</v>
      </c>
      <c r="PQU71" s="1159" t="e">
        <f t="shared" si="179"/>
        <v>#DIV/0!</v>
      </c>
      <c r="PQV71" s="1159" t="e">
        <f t="shared" si="179"/>
        <v>#DIV/0!</v>
      </c>
      <c r="PQW71" s="1159" t="e">
        <f t="shared" si="179"/>
        <v>#DIV/0!</v>
      </c>
      <c r="PQX71" s="1159" t="e">
        <f t="shared" si="179"/>
        <v>#DIV/0!</v>
      </c>
      <c r="PQY71" s="1159" t="e">
        <f t="shared" si="179"/>
        <v>#DIV/0!</v>
      </c>
      <c r="PQZ71" s="1159" t="e">
        <f t="shared" si="179"/>
        <v>#DIV/0!</v>
      </c>
      <c r="PRA71" s="1159" t="e">
        <f t="shared" si="179"/>
        <v>#DIV/0!</v>
      </c>
      <c r="PRB71" s="1159" t="e">
        <f t="shared" si="179"/>
        <v>#DIV/0!</v>
      </c>
      <c r="PRC71" s="1159" t="e">
        <f t="shared" si="179"/>
        <v>#DIV/0!</v>
      </c>
      <c r="PRD71" s="1159" t="e">
        <f t="shared" si="179"/>
        <v>#DIV/0!</v>
      </c>
      <c r="PRE71" s="1159" t="e">
        <f t="shared" si="179"/>
        <v>#DIV/0!</v>
      </c>
      <c r="PRF71" s="1159" t="e">
        <f t="shared" si="179"/>
        <v>#DIV/0!</v>
      </c>
      <c r="PRG71" s="1159" t="e">
        <f t="shared" si="179"/>
        <v>#DIV/0!</v>
      </c>
      <c r="PRH71" s="1159" t="e">
        <f t="shared" si="179"/>
        <v>#DIV/0!</v>
      </c>
      <c r="PRI71" s="1159" t="e">
        <f t="shared" si="179"/>
        <v>#DIV/0!</v>
      </c>
      <c r="PRJ71" s="1159" t="e">
        <f t="shared" si="179"/>
        <v>#DIV/0!</v>
      </c>
      <c r="PRK71" s="1159" t="e">
        <f t="shared" si="179"/>
        <v>#DIV/0!</v>
      </c>
      <c r="PRL71" s="1159" t="e">
        <f t="shared" si="179"/>
        <v>#DIV/0!</v>
      </c>
      <c r="PRM71" s="1159" t="e">
        <f t="shared" si="179"/>
        <v>#DIV/0!</v>
      </c>
      <c r="PRN71" s="1159" t="e">
        <f t="shared" si="179"/>
        <v>#DIV/0!</v>
      </c>
      <c r="PRO71" s="1159" t="e">
        <f t="shared" si="179"/>
        <v>#DIV/0!</v>
      </c>
      <c r="PRP71" s="1159" t="e">
        <f t="shared" si="179"/>
        <v>#DIV/0!</v>
      </c>
      <c r="PRQ71" s="1159" t="e">
        <f t="shared" si="179"/>
        <v>#DIV/0!</v>
      </c>
      <c r="PRR71" s="1159" t="e">
        <f t="shared" si="179"/>
        <v>#DIV/0!</v>
      </c>
      <c r="PRS71" s="1159" t="e">
        <f t="shared" si="179"/>
        <v>#DIV/0!</v>
      </c>
      <c r="PRT71" s="1159" t="e">
        <f t="shared" si="179"/>
        <v>#DIV/0!</v>
      </c>
      <c r="PRU71" s="1159" t="e">
        <f t="shared" si="179"/>
        <v>#DIV/0!</v>
      </c>
      <c r="PRV71" s="1159" t="e">
        <f t="shared" si="179"/>
        <v>#DIV/0!</v>
      </c>
      <c r="PRW71" s="1159" t="e">
        <f t="shared" si="179"/>
        <v>#DIV/0!</v>
      </c>
      <c r="PRX71" s="1159" t="e">
        <f t="shared" si="179"/>
        <v>#DIV/0!</v>
      </c>
      <c r="PRY71" s="1159" t="e">
        <f t="shared" si="179"/>
        <v>#DIV/0!</v>
      </c>
      <c r="PRZ71" s="1159" t="e">
        <f t="shared" si="179"/>
        <v>#DIV/0!</v>
      </c>
      <c r="PSA71" s="1159" t="e">
        <f t="shared" si="179"/>
        <v>#DIV/0!</v>
      </c>
      <c r="PSB71" s="1159" t="e">
        <f t="shared" si="179"/>
        <v>#DIV/0!</v>
      </c>
      <c r="PSC71" s="1159" t="e">
        <f t="shared" si="179"/>
        <v>#DIV/0!</v>
      </c>
      <c r="PSD71" s="1159" t="e">
        <f t="shared" si="179"/>
        <v>#DIV/0!</v>
      </c>
      <c r="PSE71" s="1159" t="e">
        <f t="shared" si="179"/>
        <v>#DIV/0!</v>
      </c>
      <c r="PSF71" s="1159" t="e">
        <f t="shared" si="179"/>
        <v>#DIV/0!</v>
      </c>
      <c r="PSG71" s="1159" t="e">
        <f t="shared" si="179"/>
        <v>#DIV/0!</v>
      </c>
      <c r="PSH71" s="1159" t="e">
        <f t="shared" si="179"/>
        <v>#DIV/0!</v>
      </c>
      <c r="PSI71" s="1159" t="e">
        <f t="shared" si="179"/>
        <v>#DIV/0!</v>
      </c>
      <c r="PSJ71" s="1159" t="e">
        <f t="shared" si="179"/>
        <v>#DIV/0!</v>
      </c>
      <c r="PSK71" s="1159" t="e">
        <f t="shared" si="179"/>
        <v>#DIV/0!</v>
      </c>
      <c r="PSL71" s="1159" t="e">
        <f t="shared" si="179"/>
        <v>#DIV/0!</v>
      </c>
      <c r="PSM71" s="1159" t="e">
        <f t="shared" si="179"/>
        <v>#DIV/0!</v>
      </c>
      <c r="PSN71" s="1159" t="e">
        <f t="shared" si="179"/>
        <v>#DIV/0!</v>
      </c>
      <c r="PSO71" s="1159" t="e">
        <f t="shared" si="179"/>
        <v>#DIV/0!</v>
      </c>
      <c r="PSP71" s="1159" t="e">
        <f t="shared" si="179"/>
        <v>#DIV/0!</v>
      </c>
      <c r="PSQ71" s="1159" t="e">
        <f t="shared" si="179"/>
        <v>#DIV/0!</v>
      </c>
      <c r="PSR71" s="1159" t="e">
        <f t="shared" si="179"/>
        <v>#DIV/0!</v>
      </c>
      <c r="PSS71" s="1159" t="e">
        <f t="shared" si="179"/>
        <v>#DIV/0!</v>
      </c>
      <c r="PST71" s="1159" t="e">
        <f t="shared" si="179"/>
        <v>#DIV/0!</v>
      </c>
      <c r="PSU71" s="1159" t="e">
        <f t="shared" si="179"/>
        <v>#DIV/0!</v>
      </c>
      <c r="PSV71" s="1159" t="e">
        <f t="shared" si="179"/>
        <v>#DIV/0!</v>
      </c>
      <c r="PSW71" s="1159" t="e">
        <f t="shared" si="179"/>
        <v>#DIV/0!</v>
      </c>
      <c r="PSX71" s="1159" t="e">
        <f t="shared" ref="PSX71:PVI71" si="180">((PSX6+PSX12+PSX13+PSX14+PSX15)*860+PSX16*PSX55+PSX17*PSX56+PSX7*PSX49+PSX8*PSX50+PSX9*PSX51+PSX10*PSX52+PSX11*PSX53)/(SUM(PSX6:PSX17))</f>
        <v>#DIV/0!</v>
      </c>
      <c r="PSY71" s="1159" t="e">
        <f t="shared" si="180"/>
        <v>#DIV/0!</v>
      </c>
      <c r="PSZ71" s="1159" t="e">
        <f t="shared" si="180"/>
        <v>#DIV/0!</v>
      </c>
      <c r="PTA71" s="1159" t="e">
        <f t="shared" si="180"/>
        <v>#DIV/0!</v>
      </c>
      <c r="PTB71" s="1159" t="e">
        <f t="shared" si="180"/>
        <v>#DIV/0!</v>
      </c>
      <c r="PTC71" s="1159" t="e">
        <f t="shared" si="180"/>
        <v>#DIV/0!</v>
      </c>
      <c r="PTD71" s="1159" t="e">
        <f t="shared" si="180"/>
        <v>#DIV/0!</v>
      </c>
      <c r="PTE71" s="1159" t="e">
        <f t="shared" si="180"/>
        <v>#DIV/0!</v>
      </c>
      <c r="PTF71" s="1159" t="e">
        <f t="shared" si="180"/>
        <v>#DIV/0!</v>
      </c>
      <c r="PTG71" s="1159" t="e">
        <f t="shared" si="180"/>
        <v>#DIV/0!</v>
      </c>
      <c r="PTH71" s="1159" t="e">
        <f t="shared" si="180"/>
        <v>#DIV/0!</v>
      </c>
      <c r="PTI71" s="1159" t="e">
        <f t="shared" si="180"/>
        <v>#DIV/0!</v>
      </c>
      <c r="PTJ71" s="1159" t="e">
        <f t="shared" si="180"/>
        <v>#DIV/0!</v>
      </c>
      <c r="PTK71" s="1159" t="e">
        <f t="shared" si="180"/>
        <v>#DIV/0!</v>
      </c>
      <c r="PTL71" s="1159" t="e">
        <f t="shared" si="180"/>
        <v>#DIV/0!</v>
      </c>
      <c r="PTM71" s="1159" t="e">
        <f t="shared" si="180"/>
        <v>#DIV/0!</v>
      </c>
      <c r="PTN71" s="1159" t="e">
        <f t="shared" si="180"/>
        <v>#DIV/0!</v>
      </c>
      <c r="PTO71" s="1159" t="e">
        <f t="shared" si="180"/>
        <v>#DIV/0!</v>
      </c>
      <c r="PTP71" s="1159" t="e">
        <f t="shared" si="180"/>
        <v>#DIV/0!</v>
      </c>
      <c r="PTQ71" s="1159" t="e">
        <f t="shared" si="180"/>
        <v>#DIV/0!</v>
      </c>
      <c r="PTR71" s="1159" t="e">
        <f t="shared" si="180"/>
        <v>#DIV/0!</v>
      </c>
      <c r="PTS71" s="1159" t="e">
        <f t="shared" si="180"/>
        <v>#DIV/0!</v>
      </c>
      <c r="PTT71" s="1159" t="e">
        <f t="shared" si="180"/>
        <v>#DIV/0!</v>
      </c>
      <c r="PTU71" s="1159" t="e">
        <f t="shared" si="180"/>
        <v>#DIV/0!</v>
      </c>
      <c r="PTV71" s="1159" t="e">
        <f t="shared" si="180"/>
        <v>#DIV/0!</v>
      </c>
      <c r="PTW71" s="1159" t="e">
        <f t="shared" si="180"/>
        <v>#DIV/0!</v>
      </c>
      <c r="PTX71" s="1159" t="e">
        <f t="shared" si="180"/>
        <v>#DIV/0!</v>
      </c>
      <c r="PTY71" s="1159" t="e">
        <f t="shared" si="180"/>
        <v>#DIV/0!</v>
      </c>
      <c r="PTZ71" s="1159" t="e">
        <f t="shared" si="180"/>
        <v>#DIV/0!</v>
      </c>
      <c r="PUA71" s="1159" t="e">
        <f t="shared" si="180"/>
        <v>#DIV/0!</v>
      </c>
      <c r="PUB71" s="1159" t="e">
        <f t="shared" si="180"/>
        <v>#DIV/0!</v>
      </c>
      <c r="PUC71" s="1159" t="e">
        <f t="shared" si="180"/>
        <v>#DIV/0!</v>
      </c>
      <c r="PUD71" s="1159" t="e">
        <f t="shared" si="180"/>
        <v>#DIV/0!</v>
      </c>
      <c r="PUE71" s="1159" t="e">
        <f t="shared" si="180"/>
        <v>#DIV/0!</v>
      </c>
      <c r="PUF71" s="1159" t="e">
        <f t="shared" si="180"/>
        <v>#DIV/0!</v>
      </c>
      <c r="PUG71" s="1159" t="e">
        <f t="shared" si="180"/>
        <v>#DIV/0!</v>
      </c>
      <c r="PUH71" s="1159" t="e">
        <f t="shared" si="180"/>
        <v>#DIV/0!</v>
      </c>
      <c r="PUI71" s="1159" t="e">
        <f t="shared" si="180"/>
        <v>#DIV/0!</v>
      </c>
      <c r="PUJ71" s="1159" t="e">
        <f t="shared" si="180"/>
        <v>#DIV/0!</v>
      </c>
      <c r="PUK71" s="1159" t="e">
        <f t="shared" si="180"/>
        <v>#DIV/0!</v>
      </c>
      <c r="PUL71" s="1159" t="e">
        <f t="shared" si="180"/>
        <v>#DIV/0!</v>
      </c>
      <c r="PUM71" s="1159" t="e">
        <f t="shared" si="180"/>
        <v>#DIV/0!</v>
      </c>
      <c r="PUN71" s="1159" t="e">
        <f t="shared" si="180"/>
        <v>#DIV/0!</v>
      </c>
      <c r="PUO71" s="1159" t="e">
        <f t="shared" si="180"/>
        <v>#DIV/0!</v>
      </c>
      <c r="PUP71" s="1159" t="e">
        <f t="shared" si="180"/>
        <v>#DIV/0!</v>
      </c>
      <c r="PUQ71" s="1159" t="e">
        <f t="shared" si="180"/>
        <v>#DIV/0!</v>
      </c>
      <c r="PUR71" s="1159" t="e">
        <f t="shared" si="180"/>
        <v>#DIV/0!</v>
      </c>
      <c r="PUS71" s="1159" t="e">
        <f t="shared" si="180"/>
        <v>#DIV/0!</v>
      </c>
      <c r="PUT71" s="1159" t="e">
        <f t="shared" si="180"/>
        <v>#DIV/0!</v>
      </c>
      <c r="PUU71" s="1159" t="e">
        <f t="shared" si="180"/>
        <v>#DIV/0!</v>
      </c>
      <c r="PUV71" s="1159" t="e">
        <f t="shared" si="180"/>
        <v>#DIV/0!</v>
      </c>
      <c r="PUW71" s="1159" t="e">
        <f t="shared" si="180"/>
        <v>#DIV/0!</v>
      </c>
      <c r="PUX71" s="1159" t="e">
        <f t="shared" si="180"/>
        <v>#DIV/0!</v>
      </c>
      <c r="PUY71" s="1159" t="e">
        <f t="shared" si="180"/>
        <v>#DIV/0!</v>
      </c>
      <c r="PUZ71" s="1159" t="e">
        <f t="shared" si="180"/>
        <v>#DIV/0!</v>
      </c>
      <c r="PVA71" s="1159" t="e">
        <f t="shared" si="180"/>
        <v>#DIV/0!</v>
      </c>
      <c r="PVB71" s="1159" t="e">
        <f t="shared" si="180"/>
        <v>#DIV/0!</v>
      </c>
      <c r="PVC71" s="1159" t="e">
        <f t="shared" si="180"/>
        <v>#DIV/0!</v>
      </c>
      <c r="PVD71" s="1159" t="e">
        <f t="shared" si="180"/>
        <v>#DIV/0!</v>
      </c>
      <c r="PVE71" s="1159" t="e">
        <f t="shared" si="180"/>
        <v>#DIV/0!</v>
      </c>
      <c r="PVF71" s="1159" t="e">
        <f t="shared" si="180"/>
        <v>#DIV/0!</v>
      </c>
      <c r="PVG71" s="1159" t="e">
        <f t="shared" si="180"/>
        <v>#DIV/0!</v>
      </c>
      <c r="PVH71" s="1159" t="e">
        <f t="shared" si="180"/>
        <v>#DIV/0!</v>
      </c>
      <c r="PVI71" s="1159" t="e">
        <f t="shared" si="180"/>
        <v>#DIV/0!</v>
      </c>
      <c r="PVJ71" s="1159" t="e">
        <f t="shared" ref="PVJ71:PXU71" si="181">((PVJ6+PVJ12+PVJ13+PVJ14+PVJ15)*860+PVJ16*PVJ55+PVJ17*PVJ56+PVJ7*PVJ49+PVJ8*PVJ50+PVJ9*PVJ51+PVJ10*PVJ52+PVJ11*PVJ53)/(SUM(PVJ6:PVJ17))</f>
        <v>#DIV/0!</v>
      </c>
      <c r="PVK71" s="1159" t="e">
        <f t="shared" si="181"/>
        <v>#DIV/0!</v>
      </c>
      <c r="PVL71" s="1159" t="e">
        <f t="shared" si="181"/>
        <v>#DIV/0!</v>
      </c>
      <c r="PVM71" s="1159" t="e">
        <f t="shared" si="181"/>
        <v>#DIV/0!</v>
      </c>
      <c r="PVN71" s="1159" t="e">
        <f t="shared" si="181"/>
        <v>#DIV/0!</v>
      </c>
      <c r="PVO71" s="1159" t="e">
        <f t="shared" si="181"/>
        <v>#DIV/0!</v>
      </c>
      <c r="PVP71" s="1159" t="e">
        <f t="shared" si="181"/>
        <v>#DIV/0!</v>
      </c>
      <c r="PVQ71" s="1159" t="e">
        <f t="shared" si="181"/>
        <v>#DIV/0!</v>
      </c>
      <c r="PVR71" s="1159" t="e">
        <f t="shared" si="181"/>
        <v>#DIV/0!</v>
      </c>
      <c r="PVS71" s="1159" t="e">
        <f t="shared" si="181"/>
        <v>#DIV/0!</v>
      </c>
      <c r="PVT71" s="1159" t="e">
        <f t="shared" si="181"/>
        <v>#DIV/0!</v>
      </c>
      <c r="PVU71" s="1159" t="e">
        <f t="shared" si="181"/>
        <v>#DIV/0!</v>
      </c>
      <c r="PVV71" s="1159" t="e">
        <f t="shared" si="181"/>
        <v>#DIV/0!</v>
      </c>
      <c r="PVW71" s="1159" t="e">
        <f t="shared" si="181"/>
        <v>#DIV/0!</v>
      </c>
      <c r="PVX71" s="1159" t="e">
        <f t="shared" si="181"/>
        <v>#DIV/0!</v>
      </c>
      <c r="PVY71" s="1159" t="e">
        <f t="shared" si="181"/>
        <v>#DIV/0!</v>
      </c>
      <c r="PVZ71" s="1159" t="e">
        <f t="shared" si="181"/>
        <v>#DIV/0!</v>
      </c>
      <c r="PWA71" s="1159" t="e">
        <f t="shared" si="181"/>
        <v>#DIV/0!</v>
      </c>
      <c r="PWB71" s="1159" t="e">
        <f t="shared" si="181"/>
        <v>#DIV/0!</v>
      </c>
      <c r="PWC71" s="1159" t="e">
        <f t="shared" si="181"/>
        <v>#DIV/0!</v>
      </c>
      <c r="PWD71" s="1159" t="e">
        <f t="shared" si="181"/>
        <v>#DIV/0!</v>
      </c>
      <c r="PWE71" s="1159" t="e">
        <f t="shared" si="181"/>
        <v>#DIV/0!</v>
      </c>
      <c r="PWF71" s="1159" t="e">
        <f t="shared" si="181"/>
        <v>#DIV/0!</v>
      </c>
      <c r="PWG71" s="1159" t="e">
        <f t="shared" si="181"/>
        <v>#DIV/0!</v>
      </c>
      <c r="PWH71" s="1159" t="e">
        <f t="shared" si="181"/>
        <v>#DIV/0!</v>
      </c>
      <c r="PWI71" s="1159" t="e">
        <f t="shared" si="181"/>
        <v>#DIV/0!</v>
      </c>
      <c r="PWJ71" s="1159" t="e">
        <f t="shared" si="181"/>
        <v>#DIV/0!</v>
      </c>
      <c r="PWK71" s="1159" t="e">
        <f t="shared" si="181"/>
        <v>#DIV/0!</v>
      </c>
      <c r="PWL71" s="1159" t="e">
        <f t="shared" si="181"/>
        <v>#DIV/0!</v>
      </c>
      <c r="PWM71" s="1159" t="e">
        <f t="shared" si="181"/>
        <v>#DIV/0!</v>
      </c>
      <c r="PWN71" s="1159" t="e">
        <f t="shared" si="181"/>
        <v>#DIV/0!</v>
      </c>
      <c r="PWO71" s="1159" t="e">
        <f t="shared" si="181"/>
        <v>#DIV/0!</v>
      </c>
      <c r="PWP71" s="1159" t="e">
        <f t="shared" si="181"/>
        <v>#DIV/0!</v>
      </c>
      <c r="PWQ71" s="1159" t="e">
        <f t="shared" si="181"/>
        <v>#DIV/0!</v>
      </c>
      <c r="PWR71" s="1159" t="e">
        <f t="shared" si="181"/>
        <v>#DIV/0!</v>
      </c>
      <c r="PWS71" s="1159" t="e">
        <f t="shared" si="181"/>
        <v>#DIV/0!</v>
      </c>
      <c r="PWT71" s="1159" t="e">
        <f t="shared" si="181"/>
        <v>#DIV/0!</v>
      </c>
      <c r="PWU71" s="1159" t="e">
        <f t="shared" si="181"/>
        <v>#DIV/0!</v>
      </c>
      <c r="PWV71" s="1159" t="e">
        <f t="shared" si="181"/>
        <v>#DIV/0!</v>
      </c>
      <c r="PWW71" s="1159" t="e">
        <f t="shared" si="181"/>
        <v>#DIV/0!</v>
      </c>
      <c r="PWX71" s="1159" t="e">
        <f t="shared" si="181"/>
        <v>#DIV/0!</v>
      </c>
      <c r="PWY71" s="1159" t="e">
        <f t="shared" si="181"/>
        <v>#DIV/0!</v>
      </c>
      <c r="PWZ71" s="1159" t="e">
        <f t="shared" si="181"/>
        <v>#DIV/0!</v>
      </c>
      <c r="PXA71" s="1159" t="e">
        <f t="shared" si="181"/>
        <v>#DIV/0!</v>
      </c>
      <c r="PXB71" s="1159" t="e">
        <f t="shared" si="181"/>
        <v>#DIV/0!</v>
      </c>
      <c r="PXC71" s="1159" t="e">
        <f t="shared" si="181"/>
        <v>#DIV/0!</v>
      </c>
      <c r="PXD71" s="1159" t="e">
        <f t="shared" si="181"/>
        <v>#DIV/0!</v>
      </c>
      <c r="PXE71" s="1159" t="e">
        <f t="shared" si="181"/>
        <v>#DIV/0!</v>
      </c>
      <c r="PXF71" s="1159" t="e">
        <f t="shared" si="181"/>
        <v>#DIV/0!</v>
      </c>
      <c r="PXG71" s="1159" t="e">
        <f t="shared" si="181"/>
        <v>#DIV/0!</v>
      </c>
      <c r="PXH71" s="1159" t="e">
        <f t="shared" si="181"/>
        <v>#DIV/0!</v>
      </c>
      <c r="PXI71" s="1159" t="e">
        <f t="shared" si="181"/>
        <v>#DIV/0!</v>
      </c>
      <c r="PXJ71" s="1159" t="e">
        <f t="shared" si="181"/>
        <v>#DIV/0!</v>
      </c>
      <c r="PXK71" s="1159" t="e">
        <f t="shared" si="181"/>
        <v>#DIV/0!</v>
      </c>
      <c r="PXL71" s="1159" t="e">
        <f t="shared" si="181"/>
        <v>#DIV/0!</v>
      </c>
      <c r="PXM71" s="1159" t="e">
        <f t="shared" si="181"/>
        <v>#DIV/0!</v>
      </c>
      <c r="PXN71" s="1159" t="e">
        <f t="shared" si="181"/>
        <v>#DIV/0!</v>
      </c>
      <c r="PXO71" s="1159" t="e">
        <f t="shared" si="181"/>
        <v>#DIV/0!</v>
      </c>
      <c r="PXP71" s="1159" t="e">
        <f t="shared" si="181"/>
        <v>#DIV/0!</v>
      </c>
      <c r="PXQ71" s="1159" t="e">
        <f t="shared" si="181"/>
        <v>#DIV/0!</v>
      </c>
      <c r="PXR71" s="1159" t="e">
        <f t="shared" si="181"/>
        <v>#DIV/0!</v>
      </c>
      <c r="PXS71" s="1159" t="e">
        <f t="shared" si="181"/>
        <v>#DIV/0!</v>
      </c>
      <c r="PXT71" s="1159" t="e">
        <f t="shared" si="181"/>
        <v>#DIV/0!</v>
      </c>
      <c r="PXU71" s="1159" t="e">
        <f t="shared" si="181"/>
        <v>#DIV/0!</v>
      </c>
      <c r="PXV71" s="1159" t="e">
        <f t="shared" ref="PXV71:QAG71" si="182">((PXV6+PXV12+PXV13+PXV14+PXV15)*860+PXV16*PXV55+PXV17*PXV56+PXV7*PXV49+PXV8*PXV50+PXV9*PXV51+PXV10*PXV52+PXV11*PXV53)/(SUM(PXV6:PXV17))</f>
        <v>#DIV/0!</v>
      </c>
      <c r="PXW71" s="1159" t="e">
        <f t="shared" si="182"/>
        <v>#DIV/0!</v>
      </c>
      <c r="PXX71" s="1159" t="e">
        <f t="shared" si="182"/>
        <v>#DIV/0!</v>
      </c>
      <c r="PXY71" s="1159" t="e">
        <f t="shared" si="182"/>
        <v>#DIV/0!</v>
      </c>
      <c r="PXZ71" s="1159" t="e">
        <f t="shared" si="182"/>
        <v>#DIV/0!</v>
      </c>
      <c r="PYA71" s="1159" t="e">
        <f t="shared" si="182"/>
        <v>#DIV/0!</v>
      </c>
      <c r="PYB71" s="1159" t="e">
        <f t="shared" si="182"/>
        <v>#DIV/0!</v>
      </c>
      <c r="PYC71" s="1159" t="e">
        <f t="shared" si="182"/>
        <v>#DIV/0!</v>
      </c>
      <c r="PYD71" s="1159" t="e">
        <f t="shared" si="182"/>
        <v>#DIV/0!</v>
      </c>
      <c r="PYE71" s="1159" t="e">
        <f t="shared" si="182"/>
        <v>#DIV/0!</v>
      </c>
      <c r="PYF71" s="1159" t="e">
        <f t="shared" si="182"/>
        <v>#DIV/0!</v>
      </c>
      <c r="PYG71" s="1159" t="e">
        <f t="shared" si="182"/>
        <v>#DIV/0!</v>
      </c>
      <c r="PYH71" s="1159" t="e">
        <f t="shared" si="182"/>
        <v>#DIV/0!</v>
      </c>
      <c r="PYI71" s="1159" t="e">
        <f t="shared" si="182"/>
        <v>#DIV/0!</v>
      </c>
      <c r="PYJ71" s="1159" t="e">
        <f t="shared" si="182"/>
        <v>#DIV/0!</v>
      </c>
      <c r="PYK71" s="1159" t="e">
        <f t="shared" si="182"/>
        <v>#DIV/0!</v>
      </c>
      <c r="PYL71" s="1159" t="e">
        <f t="shared" si="182"/>
        <v>#DIV/0!</v>
      </c>
      <c r="PYM71" s="1159" t="e">
        <f t="shared" si="182"/>
        <v>#DIV/0!</v>
      </c>
      <c r="PYN71" s="1159" t="e">
        <f t="shared" si="182"/>
        <v>#DIV/0!</v>
      </c>
      <c r="PYO71" s="1159" t="e">
        <f t="shared" si="182"/>
        <v>#DIV/0!</v>
      </c>
      <c r="PYP71" s="1159" t="e">
        <f t="shared" si="182"/>
        <v>#DIV/0!</v>
      </c>
      <c r="PYQ71" s="1159" t="e">
        <f t="shared" si="182"/>
        <v>#DIV/0!</v>
      </c>
      <c r="PYR71" s="1159" t="e">
        <f t="shared" si="182"/>
        <v>#DIV/0!</v>
      </c>
      <c r="PYS71" s="1159" t="e">
        <f t="shared" si="182"/>
        <v>#DIV/0!</v>
      </c>
      <c r="PYT71" s="1159" t="e">
        <f t="shared" si="182"/>
        <v>#DIV/0!</v>
      </c>
      <c r="PYU71" s="1159" t="e">
        <f t="shared" si="182"/>
        <v>#DIV/0!</v>
      </c>
      <c r="PYV71" s="1159" t="e">
        <f t="shared" si="182"/>
        <v>#DIV/0!</v>
      </c>
      <c r="PYW71" s="1159" t="e">
        <f t="shared" si="182"/>
        <v>#DIV/0!</v>
      </c>
      <c r="PYX71" s="1159" t="e">
        <f t="shared" si="182"/>
        <v>#DIV/0!</v>
      </c>
      <c r="PYY71" s="1159" t="e">
        <f t="shared" si="182"/>
        <v>#DIV/0!</v>
      </c>
      <c r="PYZ71" s="1159" t="e">
        <f t="shared" si="182"/>
        <v>#DIV/0!</v>
      </c>
      <c r="PZA71" s="1159" t="e">
        <f t="shared" si="182"/>
        <v>#DIV/0!</v>
      </c>
      <c r="PZB71" s="1159" t="e">
        <f t="shared" si="182"/>
        <v>#DIV/0!</v>
      </c>
      <c r="PZC71" s="1159" t="e">
        <f t="shared" si="182"/>
        <v>#DIV/0!</v>
      </c>
      <c r="PZD71" s="1159" t="e">
        <f t="shared" si="182"/>
        <v>#DIV/0!</v>
      </c>
      <c r="PZE71" s="1159" t="e">
        <f t="shared" si="182"/>
        <v>#DIV/0!</v>
      </c>
      <c r="PZF71" s="1159" t="e">
        <f t="shared" si="182"/>
        <v>#DIV/0!</v>
      </c>
      <c r="PZG71" s="1159" t="e">
        <f t="shared" si="182"/>
        <v>#DIV/0!</v>
      </c>
      <c r="PZH71" s="1159" t="e">
        <f t="shared" si="182"/>
        <v>#DIV/0!</v>
      </c>
      <c r="PZI71" s="1159" t="e">
        <f t="shared" si="182"/>
        <v>#DIV/0!</v>
      </c>
      <c r="PZJ71" s="1159" t="e">
        <f t="shared" si="182"/>
        <v>#DIV/0!</v>
      </c>
      <c r="PZK71" s="1159" t="e">
        <f t="shared" si="182"/>
        <v>#DIV/0!</v>
      </c>
      <c r="PZL71" s="1159" t="e">
        <f t="shared" si="182"/>
        <v>#DIV/0!</v>
      </c>
      <c r="PZM71" s="1159" t="e">
        <f t="shared" si="182"/>
        <v>#DIV/0!</v>
      </c>
      <c r="PZN71" s="1159" t="e">
        <f t="shared" si="182"/>
        <v>#DIV/0!</v>
      </c>
      <c r="PZO71" s="1159" t="e">
        <f t="shared" si="182"/>
        <v>#DIV/0!</v>
      </c>
      <c r="PZP71" s="1159" t="e">
        <f t="shared" si="182"/>
        <v>#DIV/0!</v>
      </c>
      <c r="PZQ71" s="1159" t="e">
        <f t="shared" si="182"/>
        <v>#DIV/0!</v>
      </c>
      <c r="PZR71" s="1159" t="e">
        <f t="shared" si="182"/>
        <v>#DIV/0!</v>
      </c>
      <c r="PZS71" s="1159" t="e">
        <f t="shared" si="182"/>
        <v>#DIV/0!</v>
      </c>
      <c r="PZT71" s="1159" t="e">
        <f t="shared" si="182"/>
        <v>#DIV/0!</v>
      </c>
      <c r="PZU71" s="1159" t="e">
        <f t="shared" si="182"/>
        <v>#DIV/0!</v>
      </c>
      <c r="PZV71" s="1159" t="e">
        <f t="shared" si="182"/>
        <v>#DIV/0!</v>
      </c>
      <c r="PZW71" s="1159" t="e">
        <f t="shared" si="182"/>
        <v>#DIV/0!</v>
      </c>
      <c r="PZX71" s="1159" t="e">
        <f t="shared" si="182"/>
        <v>#DIV/0!</v>
      </c>
      <c r="PZY71" s="1159" t="e">
        <f t="shared" si="182"/>
        <v>#DIV/0!</v>
      </c>
      <c r="PZZ71" s="1159" t="e">
        <f t="shared" si="182"/>
        <v>#DIV/0!</v>
      </c>
      <c r="QAA71" s="1159" t="e">
        <f t="shared" si="182"/>
        <v>#DIV/0!</v>
      </c>
      <c r="QAB71" s="1159" t="e">
        <f t="shared" si="182"/>
        <v>#DIV/0!</v>
      </c>
      <c r="QAC71" s="1159" t="e">
        <f t="shared" si="182"/>
        <v>#DIV/0!</v>
      </c>
      <c r="QAD71" s="1159" t="e">
        <f t="shared" si="182"/>
        <v>#DIV/0!</v>
      </c>
      <c r="QAE71" s="1159" t="e">
        <f t="shared" si="182"/>
        <v>#DIV/0!</v>
      </c>
      <c r="QAF71" s="1159" t="e">
        <f t="shared" si="182"/>
        <v>#DIV/0!</v>
      </c>
      <c r="QAG71" s="1159" t="e">
        <f t="shared" si="182"/>
        <v>#DIV/0!</v>
      </c>
      <c r="QAH71" s="1159" t="e">
        <f t="shared" ref="QAH71:QCS71" si="183">((QAH6+QAH12+QAH13+QAH14+QAH15)*860+QAH16*QAH55+QAH17*QAH56+QAH7*QAH49+QAH8*QAH50+QAH9*QAH51+QAH10*QAH52+QAH11*QAH53)/(SUM(QAH6:QAH17))</f>
        <v>#DIV/0!</v>
      </c>
      <c r="QAI71" s="1159" t="e">
        <f t="shared" si="183"/>
        <v>#DIV/0!</v>
      </c>
      <c r="QAJ71" s="1159" t="e">
        <f t="shared" si="183"/>
        <v>#DIV/0!</v>
      </c>
      <c r="QAK71" s="1159" t="e">
        <f t="shared" si="183"/>
        <v>#DIV/0!</v>
      </c>
      <c r="QAL71" s="1159" t="e">
        <f t="shared" si="183"/>
        <v>#DIV/0!</v>
      </c>
      <c r="QAM71" s="1159" t="e">
        <f t="shared" si="183"/>
        <v>#DIV/0!</v>
      </c>
      <c r="QAN71" s="1159" t="e">
        <f t="shared" si="183"/>
        <v>#DIV/0!</v>
      </c>
      <c r="QAO71" s="1159" t="e">
        <f t="shared" si="183"/>
        <v>#DIV/0!</v>
      </c>
      <c r="QAP71" s="1159" t="e">
        <f t="shared" si="183"/>
        <v>#DIV/0!</v>
      </c>
      <c r="QAQ71" s="1159" t="e">
        <f t="shared" si="183"/>
        <v>#DIV/0!</v>
      </c>
      <c r="QAR71" s="1159" t="e">
        <f t="shared" si="183"/>
        <v>#DIV/0!</v>
      </c>
      <c r="QAS71" s="1159" t="e">
        <f t="shared" si="183"/>
        <v>#DIV/0!</v>
      </c>
      <c r="QAT71" s="1159" t="e">
        <f t="shared" si="183"/>
        <v>#DIV/0!</v>
      </c>
      <c r="QAU71" s="1159" t="e">
        <f t="shared" si="183"/>
        <v>#DIV/0!</v>
      </c>
      <c r="QAV71" s="1159" t="e">
        <f t="shared" si="183"/>
        <v>#DIV/0!</v>
      </c>
      <c r="QAW71" s="1159" t="e">
        <f t="shared" si="183"/>
        <v>#DIV/0!</v>
      </c>
      <c r="QAX71" s="1159" t="e">
        <f t="shared" si="183"/>
        <v>#DIV/0!</v>
      </c>
      <c r="QAY71" s="1159" t="e">
        <f t="shared" si="183"/>
        <v>#DIV/0!</v>
      </c>
      <c r="QAZ71" s="1159" t="e">
        <f t="shared" si="183"/>
        <v>#DIV/0!</v>
      </c>
      <c r="QBA71" s="1159" t="e">
        <f t="shared" si="183"/>
        <v>#DIV/0!</v>
      </c>
      <c r="QBB71" s="1159" t="e">
        <f t="shared" si="183"/>
        <v>#DIV/0!</v>
      </c>
      <c r="QBC71" s="1159" t="e">
        <f t="shared" si="183"/>
        <v>#DIV/0!</v>
      </c>
      <c r="QBD71" s="1159" t="e">
        <f t="shared" si="183"/>
        <v>#DIV/0!</v>
      </c>
      <c r="QBE71" s="1159" t="e">
        <f t="shared" si="183"/>
        <v>#DIV/0!</v>
      </c>
      <c r="QBF71" s="1159" t="e">
        <f t="shared" si="183"/>
        <v>#DIV/0!</v>
      </c>
      <c r="QBG71" s="1159" t="e">
        <f t="shared" si="183"/>
        <v>#DIV/0!</v>
      </c>
      <c r="QBH71" s="1159" t="e">
        <f t="shared" si="183"/>
        <v>#DIV/0!</v>
      </c>
      <c r="QBI71" s="1159" t="e">
        <f t="shared" si="183"/>
        <v>#DIV/0!</v>
      </c>
      <c r="QBJ71" s="1159" t="e">
        <f t="shared" si="183"/>
        <v>#DIV/0!</v>
      </c>
      <c r="QBK71" s="1159" t="e">
        <f t="shared" si="183"/>
        <v>#DIV/0!</v>
      </c>
      <c r="QBL71" s="1159" t="e">
        <f t="shared" si="183"/>
        <v>#DIV/0!</v>
      </c>
      <c r="QBM71" s="1159" t="e">
        <f t="shared" si="183"/>
        <v>#DIV/0!</v>
      </c>
      <c r="QBN71" s="1159" t="e">
        <f t="shared" si="183"/>
        <v>#DIV/0!</v>
      </c>
      <c r="QBO71" s="1159" t="e">
        <f t="shared" si="183"/>
        <v>#DIV/0!</v>
      </c>
      <c r="QBP71" s="1159" t="e">
        <f t="shared" si="183"/>
        <v>#DIV/0!</v>
      </c>
      <c r="QBQ71" s="1159" t="e">
        <f t="shared" si="183"/>
        <v>#DIV/0!</v>
      </c>
      <c r="QBR71" s="1159" t="e">
        <f t="shared" si="183"/>
        <v>#DIV/0!</v>
      </c>
      <c r="QBS71" s="1159" t="e">
        <f t="shared" si="183"/>
        <v>#DIV/0!</v>
      </c>
      <c r="QBT71" s="1159" t="e">
        <f t="shared" si="183"/>
        <v>#DIV/0!</v>
      </c>
      <c r="QBU71" s="1159" t="e">
        <f t="shared" si="183"/>
        <v>#DIV/0!</v>
      </c>
      <c r="QBV71" s="1159" t="e">
        <f t="shared" si="183"/>
        <v>#DIV/0!</v>
      </c>
      <c r="QBW71" s="1159" t="e">
        <f t="shared" si="183"/>
        <v>#DIV/0!</v>
      </c>
      <c r="QBX71" s="1159" t="e">
        <f t="shared" si="183"/>
        <v>#DIV/0!</v>
      </c>
      <c r="QBY71" s="1159" t="e">
        <f t="shared" si="183"/>
        <v>#DIV/0!</v>
      </c>
      <c r="QBZ71" s="1159" t="e">
        <f t="shared" si="183"/>
        <v>#DIV/0!</v>
      </c>
      <c r="QCA71" s="1159" t="e">
        <f t="shared" si="183"/>
        <v>#DIV/0!</v>
      </c>
      <c r="QCB71" s="1159" t="e">
        <f t="shared" si="183"/>
        <v>#DIV/0!</v>
      </c>
      <c r="QCC71" s="1159" t="e">
        <f t="shared" si="183"/>
        <v>#DIV/0!</v>
      </c>
      <c r="QCD71" s="1159" t="e">
        <f t="shared" si="183"/>
        <v>#DIV/0!</v>
      </c>
      <c r="QCE71" s="1159" t="e">
        <f t="shared" si="183"/>
        <v>#DIV/0!</v>
      </c>
      <c r="QCF71" s="1159" t="e">
        <f t="shared" si="183"/>
        <v>#DIV/0!</v>
      </c>
      <c r="QCG71" s="1159" t="e">
        <f t="shared" si="183"/>
        <v>#DIV/0!</v>
      </c>
      <c r="QCH71" s="1159" t="e">
        <f t="shared" si="183"/>
        <v>#DIV/0!</v>
      </c>
      <c r="QCI71" s="1159" t="e">
        <f t="shared" si="183"/>
        <v>#DIV/0!</v>
      </c>
      <c r="QCJ71" s="1159" t="e">
        <f t="shared" si="183"/>
        <v>#DIV/0!</v>
      </c>
      <c r="QCK71" s="1159" t="e">
        <f t="shared" si="183"/>
        <v>#DIV/0!</v>
      </c>
      <c r="QCL71" s="1159" t="e">
        <f t="shared" si="183"/>
        <v>#DIV/0!</v>
      </c>
      <c r="QCM71" s="1159" t="e">
        <f t="shared" si="183"/>
        <v>#DIV/0!</v>
      </c>
      <c r="QCN71" s="1159" t="e">
        <f t="shared" si="183"/>
        <v>#DIV/0!</v>
      </c>
      <c r="QCO71" s="1159" t="e">
        <f t="shared" si="183"/>
        <v>#DIV/0!</v>
      </c>
      <c r="QCP71" s="1159" t="e">
        <f t="shared" si="183"/>
        <v>#DIV/0!</v>
      </c>
      <c r="QCQ71" s="1159" t="e">
        <f t="shared" si="183"/>
        <v>#DIV/0!</v>
      </c>
      <c r="QCR71" s="1159" t="e">
        <f t="shared" si="183"/>
        <v>#DIV/0!</v>
      </c>
      <c r="QCS71" s="1159" t="e">
        <f t="shared" si="183"/>
        <v>#DIV/0!</v>
      </c>
      <c r="QCT71" s="1159" t="e">
        <f t="shared" ref="QCT71:QFE71" si="184">((QCT6+QCT12+QCT13+QCT14+QCT15)*860+QCT16*QCT55+QCT17*QCT56+QCT7*QCT49+QCT8*QCT50+QCT9*QCT51+QCT10*QCT52+QCT11*QCT53)/(SUM(QCT6:QCT17))</f>
        <v>#DIV/0!</v>
      </c>
      <c r="QCU71" s="1159" t="e">
        <f t="shared" si="184"/>
        <v>#DIV/0!</v>
      </c>
      <c r="QCV71" s="1159" t="e">
        <f t="shared" si="184"/>
        <v>#DIV/0!</v>
      </c>
      <c r="QCW71" s="1159" t="e">
        <f t="shared" si="184"/>
        <v>#DIV/0!</v>
      </c>
      <c r="QCX71" s="1159" t="e">
        <f t="shared" si="184"/>
        <v>#DIV/0!</v>
      </c>
      <c r="QCY71" s="1159" t="e">
        <f t="shared" si="184"/>
        <v>#DIV/0!</v>
      </c>
      <c r="QCZ71" s="1159" t="e">
        <f t="shared" si="184"/>
        <v>#DIV/0!</v>
      </c>
      <c r="QDA71" s="1159" t="e">
        <f t="shared" si="184"/>
        <v>#DIV/0!</v>
      </c>
      <c r="QDB71" s="1159" t="e">
        <f t="shared" si="184"/>
        <v>#DIV/0!</v>
      </c>
      <c r="QDC71" s="1159" t="e">
        <f t="shared" si="184"/>
        <v>#DIV/0!</v>
      </c>
      <c r="QDD71" s="1159" t="e">
        <f t="shared" si="184"/>
        <v>#DIV/0!</v>
      </c>
      <c r="QDE71" s="1159" t="e">
        <f t="shared" si="184"/>
        <v>#DIV/0!</v>
      </c>
      <c r="QDF71" s="1159" t="e">
        <f t="shared" si="184"/>
        <v>#DIV/0!</v>
      </c>
      <c r="QDG71" s="1159" t="e">
        <f t="shared" si="184"/>
        <v>#DIV/0!</v>
      </c>
      <c r="QDH71" s="1159" t="e">
        <f t="shared" si="184"/>
        <v>#DIV/0!</v>
      </c>
      <c r="QDI71" s="1159" t="e">
        <f t="shared" si="184"/>
        <v>#DIV/0!</v>
      </c>
      <c r="QDJ71" s="1159" t="e">
        <f t="shared" si="184"/>
        <v>#DIV/0!</v>
      </c>
      <c r="QDK71" s="1159" t="e">
        <f t="shared" si="184"/>
        <v>#DIV/0!</v>
      </c>
      <c r="QDL71" s="1159" t="e">
        <f t="shared" si="184"/>
        <v>#DIV/0!</v>
      </c>
      <c r="QDM71" s="1159" t="e">
        <f t="shared" si="184"/>
        <v>#DIV/0!</v>
      </c>
      <c r="QDN71" s="1159" t="e">
        <f t="shared" si="184"/>
        <v>#DIV/0!</v>
      </c>
      <c r="QDO71" s="1159" t="e">
        <f t="shared" si="184"/>
        <v>#DIV/0!</v>
      </c>
      <c r="QDP71" s="1159" t="e">
        <f t="shared" si="184"/>
        <v>#DIV/0!</v>
      </c>
      <c r="QDQ71" s="1159" t="e">
        <f t="shared" si="184"/>
        <v>#DIV/0!</v>
      </c>
      <c r="QDR71" s="1159" t="e">
        <f t="shared" si="184"/>
        <v>#DIV/0!</v>
      </c>
      <c r="QDS71" s="1159" t="e">
        <f t="shared" si="184"/>
        <v>#DIV/0!</v>
      </c>
      <c r="QDT71" s="1159" t="e">
        <f t="shared" si="184"/>
        <v>#DIV/0!</v>
      </c>
      <c r="QDU71" s="1159" t="e">
        <f t="shared" si="184"/>
        <v>#DIV/0!</v>
      </c>
      <c r="QDV71" s="1159" t="e">
        <f t="shared" si="184"/>
        <v>#DIV/0!</v>
      </c>
      <c r="QDW71" s="1159" t="e">
        <f t="shared" si="184"/>
        <v>#DIV/0!</v>
      </c>
      <c r="QDX71" s="1159" t="e">
        <f t="shared" si="184"/>
        <v>#DIV/0!</v>
      </c>
      <c r="QDY71" s="1159" t="e">
        <f t="shared" si="184"/>
        <v>#DIV/0!</v>
      </c>
      <c r="QDZ71" s="1159" t="e">
        <f t="shared" si="184"/>
        <v>#DIV/0!</v>
      </c>
      <c r="QEA71" s="1159" t="e">
        <f t="shared" si="184"/>
        <v>#DIV/0!</v>
      </c>
      <c r="QEB71" s="1159" t="e">
        <f t="shared" si="184"/>
        <v>#DIV/0!</v>
      </c>
      <c r="QEC71" s="1159" t="e">
        <f t="shared" si="184"/>
        <v>#DIV/0!</v>
      </c>
      <c r="QED71" s="1159" t="e">
        <f t="shared" si="184"/>
        <v>#DIV/0!</v>
      </c>
      <c r="QEE71" s="1159" t="e">
        <f t="shared" si="184"/>
        <v>#DIV/0!</v>
      </c>
      <c r="QEF71" s="1159" t="e">
        <f t="shared" si="184"/>
        <v>#DIV/0!</v>
      </c>
      <c r="QEG71" s="1159" t="e">
        <f t="shared" si="184"/>
        <v>#DIV/0!</v>
      </c>
      <c r="QEH71" s="1159" t="e">
        <f t="shared" si="184"/>
        <v>#DIV/0!</v>
      </c>
      <c r="QEI71" s="1159" t="e">
        <f t="shared" si="184"/>
        <v>#DIV/0!</v>
      </c>
      <c r="QEJ71" s="1159" t="e">
        <f t="shared" si="184"/>
        <v>#DIV/0!</v>
      </c>
      <c r="QEK71" s="1159" t="e">
        <f t="shared" si="184"/>
        <v>#DIV/0!</v>
      </c>
      <c r="QEL71" s="1159" t="e">
        <f t="shared" si="184"/>
        <v>#DIV/0!</v>
      </c>
      <c r="QEM71" s="1159" t="e">
        <f t="shared" si="184"/>
        <v>#DIV/0!</v>
      </c>
      <c r="QEN71" s="1159" t="e">
        <f t="shared" si="184"/>
        <v>#DIV/0!</v>
      </c>
      <c r="QEO71" s="1159" t="e">
        <f t="shared" si="184"/>
        <v>#DIV/0!</v>
      </c>
      <c r="QEP71" s="1159" t="e">
        <f t="shared" si="184"/>
        <v>#DIV/0!</v>
      </c>
      <c r="QEQ71" s="1159" t="e">
        <f t="shared" si="184"/>
        <v>#DIV/0!</v>
      </c>
      <c r="QER71" s="1159" t="e">
        <f t="shared" si="184"/>
        <v>#DIV/0!</v>
      </c>
      <c r="QES71" s="1159" t="e">
        <f t="shared" si="184"/>
        <v>#DIV/0!</v>
      </c>
      <c r="QET71" s="1159" t="e">
        <f t="shared" si="184"/>
        <v>#DIV/0!</v>
      </c>
      <c r="QEU71" s="1159" t="e">
        <f t="shared" si="184"/>
        <v>#DIV/0!</v>
      </c>
      <c r="QEV71" s="1159" t="e">
        <f t="shared" si="184"/>
        <v>#DIV/0!</v>
      </c>
      <c r="QEW71" s="1159" t="e">
        <f t="shared" si="184"/>
        <v>#DIV/0!</v>
      </c>
      <c r="QEX71" s="1159" t="e">
        <f t="shared" si="184"/>
        <v>#DIV/0!</v>
      </c>
      <c r="QEY71" s="1159" t="e">
        <f t="shared" si="184"/>
        <v>#DIV/0!</v>
      </c>
      <c r="QEZ71" s="1159" t="e">
        <f t="shared" si="184"/>
        <v>#DIV/0!</v>
      </c>
      <c r="QFA71" s="1159" t="e">
        <f t="shared" si="184"/>
        <v>#DIV/0!</v>
      </c>
      <c r="QFB71" s="1159" t="e">
        <f t="shared" si="184"/>
        <v>#DIV/0!</v>
      </c>
      <c r="QFC71" s="1159" t="e">
        <f t="shared" si="184"/>
        <v>#DIV/0!</v>
      </c>
      <c r="QFD71" s="1159" t="e">
        <f t="shared" si="184"/>
        <v>#DIV/0!</v>
      </c>
      <c r="QFE71" s="1159" t="e">
        <f t="shared" si="184"/>
        <v>#DIV/0!</v>
      </c>
      <c r="QFF71" s="1159" t="e">
        <f t="shared" ref="QFF71:QHQ71" si="185">((QFF6+QFF12+QFF13+QFF14+QFF15)*860+QFF16*QFF55+QFF17*QFF56+QFF7*QFF49+QFF8*QFF50+QFF9*QFF51+QFF10*QFF52+QFF11*QFF53)/(SUM(QFF6:QFF17))</f>
        <v>#DIV/0!</v>
      </c>
      <c r="QFG71" s="1159" t="e">
        <f t="shared" si="185"/>
        <v>#DIV/0!</v>
      </c>
      <c r="QFH71" s="1159" t="e">
        <f t="shared" si="185"/>
        <v>#DIV/0!</v>
      </c>
      <c r="QFI71" s="1159" t="e">
        <f t="shared" si="185"/>
        <v>#DIV/0!</v>
      </c>
      <c r="QFJ71" s="1159" t="e">
        <f t="shared" si="185"/>
        <v>#DIV/0!</v>
      </c>
      <c r="QFK71" s="1159" t="e">
        <f t="shared" si="185"/>
        <v>#DIV/0!</v>
      </c>
      <c r="QFL71" s="1159" t="e">
        <f t="shared" si="185"/>
        <v>#DIV/0!</v>
      </c>
      <c r="QFM71" s="1159" t="e">
        <f t="shared" si="185"/>
        <v>#DIV/0!</v>
      </c>
      <c r="QFN71" s="1159" t="e">
        <f t="shared" si="185"/>
        <v>#DIV/0!</v>
      </c>
      <c r="QFO71" s="1159" t="e">
        <f t="shared" si="185"/>
        <v>#DIV/0!</v>
      </c>
      <c r="QFP71" s="1159" t="e">
        <f t="shared" si="185"/>
        <v>#DIV/0!</v>
      </c>
      <c r="QFQ71" s="1159" t="e">
        <f t="shared" si="185"/>
        <v>#DIV/0!</v>
      </c>
      <c r="QFR71" s="1159" t="e">
        <f t="shared" si="185"/>
        <v>#DIV/0!</v>
      </c>
      <c r="QFS71" s="1159" t="e">
        <f t="shared" si="185"/>
        <v>#DIV/0!</v>
      </c>
      <c r="QFT71" s="1159" t="e">
        <f t="shared" si="185"/>
        <v>#DIV/0!</v>
      </c>
      <c r="QFU71" s="1159" t="e">
        <f t="shared" si="185"/>
        <v>#DIV/0!</v>
      </c>
      <c r="QFV71" s="1159" t="e">
        <f t="shared" si="185"/>
        <v>#DIV/0!</v>
      </c>
      <c r="QFW71" s="1159" t="e">
        <f t="shared" si="185"/>
        <v>#DIV/0!</v>
      </c>
      <c r="QFX71" s="1159" t="e">
        <f t="shared" si="185"/>
        <v>#DIV/0!</v>
      </c>
      <c r="QFY71" s="1159" t="e">
        <f t="shared" si="185"/>
        <v>#DIV/0!</v>
      </c>
      <c r="QFZ71" s="1159" t="e">
        <f t="shared" si="185"/>
        <v>#DIV/0!</v>
      </c>
      <c r="QGA71" s="1159" t="e">
        <f t="shared" si="185"/>
        <v>#DIV/0!</v>
      </c>
      <c r="QGB71" s="1159" t="e">
        <f t="shared" si="185"/>
        <v>#DIV/0!</v>
      </c>
      <c r="QGC71" s="1159" t="e">
        <f t="shared" si="185"/>
        <v>#DIV/0!</v>
      </c>
      <c r="QGD71" s="1159" t="e">
        <f t="shared" si="185"/>
        <v>#DIV/0!</v>
      </c>
      <c r="QGE71" s="1159" t="e">
        <f t="shared" si="185"/>
        <v>#DIV/0!</v>
      </c>
      <c r="QGF71" s="1159" t="e">
        <f t="shared" si="185"/>
        <v>#DIV/0!</v>
      </c>
      <c r="QGG71" s="1159" t="e">
        <f t="shared" si="185"/>
        <v>#DIV/0!</v>
      </c>
      <c r="QGH71" s="1159" t="e">
        <f t="shared" si="185"/>
        <v>#DIV/0!</v>
      </c>
      <c r="QGI71" s="1159" t="e">
        <f t="shared" si="185"/>
        <v>#DIV/0!</v>
      </c>
      <c r="QGJ71" s="1159" t="e">
        <f t="shared" si="185"/>
        <v>#DIV/0!</v>
      </c>
      <c r="QGK71" s="1159" t="e">
        <f t="shared" si="185"/>
        <v>#DIV/0!</v>
      </c>
      <c r="QGL71" s="1159" t="e">
        <f t="shared" si="185"/>
        <v>#DIV/0!</v>
      </c>
      <c r="QGM71" s="1159" t="e">
        <f t="shared" si="185"/>
        <v>#DIV/0!</v>
      </c>
      <c r="QGN71" s="1159" t="e">
        <f t="shared" si="185"/>
        <v>#DIV/0!</v>
      </c>
      <c r="QGO71" s="1159" t="e">
        <f t="shared" si="185"/>
        <v>#DIV/0!</v>
      </c>
      <c r="QGP71" s="1159" t="e">
        <f t="shared" si="185"/>
        <v>#DIV/0!</v>
      </c>
      <c r="QGQ71" s="1159" t="e">
        <f t="shared" si="185"/>
        <v>#DIV/0!</v>
      </c>
      <c r="QGR71" s="1159" t="e">
        <f t="shared" si="185"/>
        <v>#DIV/0!</v>
      </c>
      <c r="QGS71" s="1159" t="e">
        <f t="shared" si="185"/>
        <v>#DIV/0!</v>
      </c>
      <c r="QGT71" s="1159" t="e">
        <f t="shared" si="185"/>
        <v>#DIV/0!</v>
      </c>
      <c r="QGU71" s="1159" t="e">
        <f t="shared" si="185"/>
        <v>#DIV/0!</v>
      </c>
      <c r="QGV71" s="1159" t="e">
        <f t="shared" si="185"/>
        <v>#DIV/0!</v>
      </c>
      <c r="QGW71" s="1159" t="e">
        <f t="shared" si="185"/>
        <v>#DIV/0!</v>
      </c>
      <c r="QGX71" s="1159" t="e">
        <f t="shared" si="185"/>
        <v>#DIV/0!</v>
      </c>
      <c r="QGY71" s="1159" t="e">
        <f t="shared" si="185"/>
        <v>#DIV/0!</v>
      </c>
      <c r="QGZ71" s="1159" t="e">
        <f t="shared" si="185"/>
        <v>#DIV/0!</v>
      </c>
      <c r="QHA71" s="1159" t="e">
        <f t="shared" si="185"/>
        <v>#DIV/0!</v>
      </c>
      <c r="QHB71" s="1159" t="e">
        <f t="shared" si="185"/>
        <v>#DIV/0!</v>
      </c>
      <c r="QHC71" s="1159" t="e">
        <f t="shared" si="185"/>
        <v>#DIV/0!</v>
      </c>
      <c r="QHD71" s="1159" t="e">
        <f t="shared" si="185"/>
        <v>#DIV/0!</v>
      </c>
      <c r="QHE71" s="1159" t="e">
        <f t="shared" si="185"/>
        <v>#DIV/0!</v>
      </c>
      <c r="QHF71" s="1159" t="e">
        <f t="shared" si="185"/>
        <v>#DIV/0!</v>
      </c>
      <c r="QHG71" s="1159" t="e">
        <f t="shared" si="185"/>
        <v>#DIV/0!</v>
      </c>
      <c r="QHH71" s="1159" t="e">
        <f t="shared" si="185"/>
        <v>#DIV/0!</v>
      </c>
      <c r="QHI71" s="1159" t="e">
        <f t="shared" si="185"/>
        <v>#DIV/0!</v>
      </c>
      <c r="QHJ71" s="1159" t="e">
        <f t="shared" si="185"/>
        <v>#DIV/0!</v>
      </c>
      <c r="QHK71" s="1159" t="e">
        <f t="shared" si="185"/>
        <v>#DIV/0!</v>
      </c>
      <c r="QHL71" s="1159" t="e">
        <f t="shared" si="185"/>
        <v>#DIV/0!</v>
      </c>
      <c r="QHM71" s="1159" t="e">
        <f t="shared" si="185"/>
        <v>#DIV/0!</v>
      </c>
      <c r="QHN71" s="1159" t="e">
        <f t="shared" si="185"/>
        <v>#DIV/0!</v>
      </c>
      <c r="QHO71" s="1159" t="e">
        <f t="shared" si="185"/>
        <v>#DIV/0!</v>
      </c>
      <c r="QHP71" s="1159" t="e">
        <f t="shared" si="185"/>
        <v>#DIV/0!</v>
      </c>
      <c r="QHQ71" s="1159" t="e">
        <f t="shared" si="185"/>
        <v>#DIV/0!</v>
      </c>
      <c r="QHR71" s="1159" t="e">
        <f t="shared" ref="QHR71:QKC71" si="186">((QHR6+QHR12+QHR13+QHR14+QHR15)*860+QHR16*QHR55+QHR17*QHR56+QHR7*QHR49+QHR8*QHR50+QHR9*QHR51+QHR10*QHR52+QHR11*QHR53)/(SUM(QHR6:QHR17))</f>
        <v>#DIV/0!</v>
      </c>
      <c r="QHS71" s="1159" t="e">
        <f t="shared" si="186"/>
        <v>#DIV/0!</v>
      </c>
      <c r="QHT71" s="1159" t="e">
        <f t="shared" si="186"/>
        <v>#DIV/0!</v>
      </c>
      <c r="QHU71" s="1159" t="e">
        <f t="shared" si="186"/>
        <v>#DIV/0!</v>
      </c>
      <c r="QHV71" s="1159" t="e">
        <f t="shared" si="186"/>
        <v>#DIV/0!</v>
      </c>
      <c r="QHW71" s="1159" t="e">
        <f t="shared" si="186"/>
        <v>#DIV/0!</v>
      </c>
      <c r="QHX71" s="1159" t="e">
        <f t="shared" si="186"/>
        <v>#DIV/0!</v>
      </c>
      <c r="QHY71" s="1159" t="e">
        <f t="shared" si="186"/>
        <v>#DIV/0!</v>
      </c>
      <c r="QHZ71" s="1159" t="e">
        <f t="shared" si="186"/>
        <v>#DIV/0!</v>
      </c>
      <c r="QIA71" s="1159" t="e">
        <f t="shared" si="186"/>
        <v>#DIV/0!</v>
      </c>
      <c r="QIB71" s="1159" t="e">
        <f t="shared" si="186"/>
        <v>#DIV/0!</v>
      </c>
      <c r="QIC71" s="1159" t="e">
        <f t="shared" si="186"/>
        <v>#DIV/0!</v>
      </c>
      <c r="QID71" s="1159" t="e">
        <f t="shared" si="186"/>
        <v>#DIV/0!</v>
      </c>
      <c r="QIE71" s="1159" t="e">
        <f t="shared" si="186"/>
        <v>#DIV/0!</v>
      </c>
      <c r="QIF71" s="1159" t="e">
        <f t="shared" si="186"/>
        <v>#DIV/0!</v>
      </c>
      <c r="QIG71" s="1159" t="e">
        <f t="shared" si="186"/>
        <v>#DIV/0!</v>
      </c>
      <c r="QIH71" s="1159" t="e">
        <f t="shared" si="186"/>
        <v>#DIV/0!</v>
      </c>
      <c r="QII71" s="1159" t="e">
        <f t="shared" si="186"/>
        <v>#DIV/0!</v>
      </c>
      <c r="QIJ71" s="1159" t="e">
        <f t="shared" si="186"/>
        <v>#DIV/0!</v>
      </c>
      <c r="QIK71" s="1159" t="e">
        <f t="shared" si="186"/>
        <v>#DIV/0!</v>
      </c>
      <c r="QIL71" s="1159" t="e">
        <f t="shared" si="186"/>
        <v>#DIV/0!</v>
      </c>
      <c r="QIM71" s="1159" t="e">
        <f t="shared" si="186"/>
        <v>#DIV/0!</v>
      </c>
      <c r="QIN71" s="1159" t="e">
        <f t="shared" si="186"/>
        <v>#DIV/0!</v>
      </c>
      <c r="QIO71" s="1159" t="e">
        <f t="shared" si="186"/>
        <v>#DIV/0!</v>
      </c>
      <c r="QIP71" s="1159" t="e">
        <f t="shared" si="186"/>
        <v>#DIV/0!</v>
      </c>
      <c r="QIQ71" s="1159" t="e">
        <f t="shared" si="186"/>
        <v>#DIV/0!</v>
      </c>
      <c r="QIR71" s="1159" t="e">
        <f t="shared" si="186"/>
        <v>#DIV/0!</v>
      </c>
      <c r="QIS71" s="1159" t="e">
        <f t="shared" si="186"/>
        <v>#DIV/0!</v>
      </c>
      <c r="QIT71" s="1159" t="e">
        <f t="shared" si="186"/>
        <v>#DIV/0!</v>
      </c>
      <c r="QIU71" s="1159" t="e">
        <f t="shared" si="186"/>
        <v>#DIV/0!</v>
      </c>
      <c r="QIV71" s="1159" t="e">
        <f t="shared" si="186"/>
        <v>#DIV/0!</v>
      </c>
      <c r="QIW71" s="1159" t="e">
        <f t="shared" si="186"/>
        <v>#DIV/0!</v>
      </c>
      <c r="QIX71" s="1159" t="e">
        <f t="shared" si="186"/>
        <v>#DIV/0!</v>
      </c>
      <c r="QIY71" s="1159" t="e">
        <f t="shared" si="186"/>
        <v>#DIV/0!</v>
      </c>
      <c r="QIZ71" s="1159" t="e">
        <f t="shared" si="186"/>
        <v>#DIV/0!</v>
      </c>
      <c r="QJA71" s="1159" t="e">
        <f t="shared" si="186"/>
        <v>#DIV/0!</v>
      </c>
      <c r="QJB71" s="1159" t="e">
        <f t="shared" si="186"/>
        <v>#DIV/0!</v>
      </c>
      <c r="QJC71" s="1159" t="e">
        <f t="shared" si="186"/>
        <v>#DIV/0!</v>
      </c>
      <c r="QJD71" s="1159" t="e">
        <f t="shared" si="186"/>
        <v>#DIV/0!</v>
      </c>
      <c r="QJE71" s="1159" t="e">
        <f t="shared" si="186"/>
        <v>#DIV/0!</v>
      </c>
      <c r="QJF71" s="1159" t="e">
        <f t="shared" si="186"/>
        <v>#DIV/0!</v>
      </c>
      <c r="QJG71" s="1159" t="e">
        <f t="shared" si="186"/>
        <v>#DIV/0!</v>
      </c>
      <c r="QJH71" s="1159" t="e">
        <f t="shared" si="186"/>
        <v>#DIV/0!</v>
      </c>
      <c r="QJI71" s="1159" t="e">
        <f t="shared" si="186"/>
        <v>#DIV/0!</v>
      </c>
      <c r="QJJ71" s="1159" t="e">
        <f t="shared" si="186"/>
        <v>#DIV/0!</v>
      </c>
      <c r="QJK71" s="1159" t="e">
        <f t="shared" si="186"/>
        <v>#DIV/0!</v>
      </c>
      <c r="QJL71" s="1159" t="e">
        <f t="shared" si="186"/>
        <v>#DIV/0!</v>
      </c>
      <c r="QJM71" s="1159" t="e">
        <f t="shared" si="186"/>
        <v>#DIV/0!</v>
      </c>
      <c r="QJN71" s="1159" t="e">
        <f t="shared" si="186"/>
        <v>#DIV/0!</v>
      </c>
      <c r="QJO71" s="1159" t="e">
        <f t="shared" si="186"/>
        <v>#DIV/0!</v>
      </c>
      <c r="QJP71" s="1159" t="e">
        <f t="shared" si="186"/>
        <v>#DIV/0!</v>
      </c>
      <c r="QJQ71" s="1159" t="e">
        <f t="shared" si="186"/>
        <v>#DIV/0!</v>
      </c>
      <c r="QJR71" s="1159" t="e">
        <f t="shared" si="186"/>
        <v>#DIV/0!</v>
      </c>
      <c r="QJS71" s="1159" t="e">
        <f t="shared" si="186"/>
        <v>#DIV/0!</v>
      </c>
      <c r="QJT71" s="1159" t="e">
        <f t="shared" si="186"/>
        <v>#DIV/0!</v>
      </c>
      <c r="QJU71" s="1159" t="e">
        <f t="shared" si="186"/>
        <v>#DIV/0!</v>
      </c>
      <c r="QJV71" s="1159" t="e">
        <f t="shared" si="186"/>
        <v>#DIV/0!</v>
      </c>
      <c r="QJW71" s="1159" t="e">
        <f t="shared" si="186"/>
        <v>#DIV/0!</v>
      </c>
      <c r="QJX71" s="1159" t="e">
        <f t="shared" si="186"/>
        <v>#DIV/0!</v>
      </c>
      <c r="QJY71" s="1159" t="e">
        <f t="shared" si="186"/>
        <v>#DIV/0!</v>
      </c>
      <c r="QJZ71" s="1159" t="e">
        <f t="shared" si="186"/>
        <v>#DIV/0!</v>
      </c>
      <c r="QKA71" s="1159" t="e">
        <f t="shared" si="186"/>
        <v>#DIV/0!</v>
      </c>
      <c r="QKB71" s="1159" t="e">
        <f t="shared" si="186"/>
        <v>#DIV/0!</v>
      </c>
      <c r="QKC71" s="1159" t="e">
        <f t="shared" si="186"/>
        <v>#DIV/0!</v>
      </c>
      <c r="QKD71" s="1159" t="e">
        <f t="shared" ref="QKD71:QMO71" si="187">((QKD6+QKD12+QKD13+QKD14+QKD15)*860+QKD16*QKD55+QKD17*QKD56+QKD7*QKD49+QKD8*QKD50+QKD9*QKD51+QKD10*QKD52+QKD11*QKD53)/(SUM(QKD6:QKD17))</f>
        <v>#DIV/0!</v>
      </c>
      <c r="QKE71" s="1159" t="e">
        <f t="shared" si="187"/>
        <v>#DIV/0!</v>
      </c>
      <c r="QKF71" s="1159" t="e">
        <f t="shared" si="187"/>
        <v>#DIV/0!</v>
      </c>
      <c r="QKG71" s="1159" t="e">
        <f t="shared" si="187"/>
        <v>#DIV/0!</v>
      </c>
      <c r="QKH71" s="1159" t="e">
        <f t="shared" si="187"/>
        <v>#DIV/0!</v>
      </c>
      <c r="QKI71" s="1159" t="e">
        <f t="shared" si="187"/>
        <v>#DIV/0!</v>
      </c>
      <c r="QKJ71" s="1159" t="e">
        <f t="shared" si="187"/>
        <v>#DIV/0!</v>
      </c>
      <c r="QKK71" s="1159" t="e">
        <f t="shared" si="187"/>
        <v>#DIV/0!</v>
      </c>
      <c r="QKL71" s="1159" t="e">
        <f t="shared" si="187"/>
        <v>#DIV/0!</v>
      </c>
      <c r="QKM71" s="1159" t="e">
        <f t="shared" si="187"/>
        <v>#DIV/0!</v>
      </c>
      <c r="QKN71" s="1159" t="e">
        <f t="shared" si="187"/>
        <v>#DIV/0!</v>
      </c>
      <c r="QKO71" s="1159" t="e">
        <f t="shared" si="187"/>
        <v>#DIV/0!</v>
      </c>
      <c r="QKP71" s="1159" t="e">
        <f t="shared" si="187"/>
        <v>#DIV/0!</v>
      </c>
      <c r="QKQ71" s="1159" t="e">
        <f t="shared" si="187"/>
        <v>#DIV/0!</v>
      </c>
      <c r="QKR71" s="1159" t="e">
        <f t="shared" si="187"/>
        <v>#DIV/0!</v>
      </c>
      <c r="QKS71" s="1159" t="e">
        <f t="shared" si="187"/>
        <v>#DIV/0!</v>
      </c>
      <c r="QKT71" s="1159" t="e">
        <f t="shared" si="187"/>
        <v>#DIV/0!</v>
      </c>
      <c r="QKU71" s="1159" t="e">
        <f t="shared" si="187"/>
        <v>#DIV/0!</v>
      </c>
      <c r="QKV71" s="1159" t="e">
        <f t="shared" si="187"/>
        <v>#DIV/0!</v>
      </c>
      <c r="QKW71" s="1159" t="e">
        <f t="shared" si="187"/>
        <v>#DIV/0!</v>
      </c>
      <c r="QKX71" s="1159" t="e">
        <f t="shared" si="187"/>
        <v>#DIV/0!</v>
      </c>
      <c r="QKY71" s="1159" t="e">
        <f t="shared" si="187"/>
        <v>#DIV/0!</v>
      </c>
      <c r="QKZ71" s="1159" t="e">
        <f t="shared" si="187"/>
        <v>#DIV/0!</v>
      </c>
      <c r="QLA71" s="1159" t="e">
        <f t="shared" si="187"/>
        <v>#DIV/0!</v>
      </c>
      <c r="QLB71" s="1159" t="e">
        <f t="shared" si="187"/>
        <v>#DIV/0!</v>
      </c>
      <c r="QLC71" s="1159" t="e">
        <f t="shared" si="187"/>
        <v>#DIV/0!</v>
      </c>
      <c r="QLD71" s="1159" t="e">
        <f t="shared" si="187"/>
        <v>#DIV/0!</v>
      </c>
      <c r="QLE71" s="1159" t="e">
        <f t="shared" si="187"/>
        <v>#DIV/0!</v>
      </c>
      <c r="QLF71" s="1159" t="e">
        <f t="shared" si="187"/>
        <v>#DIV/0!</v>
      </c>
      <c r="QLG71" s="1159" t="e">
        <f t="shared" si="187"/>
        <v>#DIV/0!</v>
      </c>
      <c r="QLH71" s="1159" t="e">
        <f t="shared" si="187"/>
        <v>#DIV/0!</v>
      </c>
      <c r="QLI71" s="1159" t="e">
        <f t="shared" si="187"/>
        <v>#DIV/0!</v>
      </c>
      <c r="QLJ71" s="1159" t="e">
        <f t="shared" si="187"/>
        <v>#DIV/0!</v>
      </c>
      <c r="QLK71" s="1159" t="e">
        <f t="shared" si="187"/>
        <v>#DIV/0!</v>
      </c>
      <c r="QLL71" s="1159" t="e">
        <f t="shared" si="187"/>
        <v>#DIV/0!</v>
      </c>
      <c r="QLM71" s="1159" t="e">
        <f t="shared" si="187"/>
        <v>#DIV/0!</v>
      </c>
      <c r="QLN71" s="1159" t="e">
        <f t="shared" si="187"/>
        <v>#DIV/0!</v>
      </c>
      <c r="QLO71" s="1159" t="e">
        <f t="shared" si="187"/>
        <v>#DIV/0!</v>
      </c>
      <c r="QLP71" s="1159" t="e">
        <f t="shared" si="187"/>
        <v>#DIV/0!</v>
      </c>
      <c r="QLQ71" s="1159" t="e">
        <f t="shared" si="187"/>
        <v>#DIV/0!</v>
      </c>
      <c r="QLR71" s="1159" t="e">
        <f t="shared" si="187"/>
        <v>#DIV/0!</v>
      </c>
      <c r="QLS71" s="1159" t="e">
        <f t="shared" si="187"/>
        <v>#DIV/0!</v>
      </c>
      <c r="QLT71" s="1159" t="e">
        <f t="shared" si="187"/>
        <v>#DIV/0!</v>
      </c>
      <c r="QLU71" s="1159" t="e">
        <f t="shared" si="187"/>
        <v>#DIV/0!</v>
      </c>
      <c r="QLV71" s="1159" t="e">
        <f t="shared" si="187"/>
        <v>#DIV/0!</v>
      </c>
      <c r="QLW71" s="1159" t="e">
        <f t="shared" si="187"/>
        <v>#DIV/0!</v>
      </c>
      <c r="QLX71" s="1159" t="e">
        <f t="shared" si="187"/>
        <v>#DIV/0!</v>
      </c>
      <c r="QLY71" s="1159" t="e">
        <f t="shared" si="187"/>
        <v>#DIV/0!</v>
      </c>
      <c r="QLZ71" s="1159" t="e">
        <f t="shared" si="187"/>
        <v>#DIV/0!</v>
      </c>
      <c r="QMA71" s="1159" t="e">
        <f t="shared" si="187"/>
        <v>#DIV/0!</v>
      </c>
      <c r="QMB71" s="1159" t="e">
        <f t="shared" si="187"/>
        <v>#DIV/0!</v>
      </c>
      <c r="QMC71" s="1159" t="e">
        <f t="shared" si="187"/>
        <v>#DIV/0!</v>
      </c>
      <c r="QMD71" s="1159" t="e">
        <f t="shared" si="187"/>
        <v>#DIV/0!</v>
      </c>
      <c r="QME71" s="1159" t="e">
        <f t="shared" si="187"/>
        <v>#DIV/0!</v>
      </c>
      <c r="QMF71" s="1159" t="e">
        <f t="shared" si="187"/>
        <v>#DIV/0!</v>
      </c>
      <c r="QMG71" s="1159" t="e">
        <f t="shared" si="187"/>
        <v>#DIV/0!</v>
      </c>
      <c r="QMH71" s="1159" t="e">
        <f t="shared" si="187"/>
        <v>#DIV/0!</v>
      </c>
      <c r="QMI71" s="1159" t="e">
        <f t="shared" si="187"/>
        <v>#DIV/0!</v>
      </c>
      <c r="QMJ71" s="1159" t="e">
        <f t="shared" si="187"/>
        <v>#DIV/0!</v>
      </c>
      <c r="QMK71" s="1159" t="e">
        <f t="shared" si="187"/>
        <v>#DIV/0!</v>
      </c>
      <c r="QML71" s="1159" t="e">
        <f t="shared" si="187"/>
        <v>#DIV/0!</v>
      </c>
      <c r="QMM71" s="1159" t="e">
        <f t="shared" si="187"/>
        <v>#DIV/0!</v>
      </c>
      <c r="QMN71" s="1159" t="e">
        <f t="shared" si="187"/>
        <v>#DIV/0!</v>
      </c>
      <c r="QMO71" s="1159" t="e">
        <f t="shared" si="187"/>
        <v>#DIV/0!</v>
      </c>
      <c r="QMP71" s="1159" t="e">
        <f t="shared" ref="QMP71:QPA71" si="188">((QMP6+QMP12+QMP13+QMP14+QMP15)*860+QMP16*QMP55+QMP17*QMP56+QMP7*QMP49+QMP8*QMP50+QMP9*QMP51+QMP10*QMP52+QMP11*QMP53)/(SUM(QMP6:QMP17))</f>
        <v>#DIV/0!</v>
      </c>
      <c r="QMQ71" s="1159" t="e">
        <f t="shared" si="188"/>
        <v>#DIV/0!</v>
      </c>
      <c r="QMR71" s="1159" t="e">
        <f t="shared" si="188"/>
        <v>#DIV/0!</v>
      </c>
      <c r="QMS71" s="1159" t="e">
        <f t="shared" si="188"/>
        <v>#DIV/0!</v>
      </c>
      <c r="QMT71" s="1159" t="e">
        <f t="shared" si="188"/>
        <v>#DIV/0!</v>
      </c>
      <c r="QMU71" s="1159" t="e">
        <f t="shared" si="188"/>
        <v>#DIV/0!</v>
      </c>
      <c r="QMV71" s="1159" t="e">
        <f t="shared" si="188"/>
        <v>#DIV/0!</v>
      </c>
      <c r="QMW71" s="1159" t="e">
        <f t="shared" si="188"/>
        <v>#DIV/0!</v>
      </c>
      <c r="QMX71" s="1159" t="e">
        <f t="shared" si="188"/>
        <v>#DIV/0!</v>
      </c>
      <c r="QMY71" s="1159" t="e">
        <f t="shared" si="188"/>
        <v>#DIV/0!</v>
      </c>
      <c r="QMZ71" s="1159" t="e">
        <f t="shared" si="188"/>
        <v>#DIV/0!</v>
      </c>
      <c r="QNA71" s="1159" t="e">
        <f t="shared" si="188"/>
        <v>#DIV/0!</v>
      </c>
      <c r="QNB71" s="1159" t="e">
        <f t="shared" si="188"/>
        <v>#DIV/0!</v>
      </c>
      <c r="QNC71" s="1159" t="e">
        <f t="shared" si="188"/>
        <v>#DIV/0!</v>
      </c>
      <c r="QND71" s="1159" t="e">
        <f t="shared" si="188"/>
        <v>#DIV/0!</v>
      </c>
      <c r="QNE71" s="1159" t="e">
        <f t="shared" si="188"/>
        <v>#DIV/0!</v>
      </c>
      <c r="QNF71" s="1159" t="e">
        <f t="shared" si="188"/>
        <v>#DIV/0!</v>
      </c>
      <c r="QNG71" s="1159" t="e">
        <f t="shared" si="188"/>
        <v>#DIV/0!</v>
      </c>
      <c r="QNH71" s="1159" t="e">
        <f t="shared" si="188"/>
        <v>#DIV/0!</v>
      </c>
      <c r="QNI71" s="1159" t="e">
        <f t="shared" si="188"/>
        <v>#DIV/0!</v>
      </c>
      <c r="QNJ71" s="1159" t="e">
        <f t="shared" si="188"/>
        <v>#DIV/0!</v>
      </c>
      <c r="QNK71" s="1159" t="e">
        <f t="shared" si="188"/>
        <v>#DIV/0!</v>
      </c>
      <c r="QNL71" s="1159" t="e">
        <f t="shared" si="188"/>
        <v>#DIV/0!</v>
      </c>
      <c r="QNM71" s="1159" t="e">
        <f t="shared" si="188"/>
        <v>#DIV/0!</v>
      </c>
      <c r="QNN71" s="1159" t="e">
        <f t="shared" si="188"/>
        <v>#DIV/0!</v>
      </c>
      <c r="QNO71" s="1159" t="e">
        <f t="shared" si="188"/>
        <v>#DIV/0!</v>
      </c>
      <c r="QNP71" s="1159" t="e">
        <f t="shared" si="188"/>
        <v>#DIV/0!</v>
      </c>
      <c r="QNQ71" s="1159" t="e">
        <f t="shared" si="188"/>
        <v>#DIV/0!</v>
      </c>
      <c r="QNR71" s="1159" t="e">
        <f t="shared" si="188"/>
        <v>#DIV/0!</v>
      </c>
      <c r="QNS71" s="1159" t="e">
        <f t="shared" si="188"/>
        <v>#DIV/0!</v>
      </c>
      <c r="QNT71" s="1159" t="e">
        <f t="shared" si="188"/>
        <v>#DIV/0!</v>
      </c>
      <c r="QNU71" s="1159" t="e">
        <f t="shared" si="188"/>
        <v>#DIV/0!</v>
      </c>
      <c r="QNV71" s="1159" t="e">
        <f t="shared" si="188"/>
        <v>#DIV/0!</v>
      </c>
      <c r="QNW71" s="1159" t="e">
        <f t="shared" si="188"/>
        <v>#DIV/0!</v>
      </c>
      <c r="QNX71" s="1159" t="e">
        <f t="shared" si="188"/>
        <v>#DIV/0!</v>
      </c>
      <c r="QNY71" s="1159" t="e">
        <f t="shared" si="188"/>
        <v>#DIV/0!</v>
      </c>
      <c r="QNZ71" s="1159" t="e">
        <f t="shared" si="188"/>
        <v>#DIV/0!</v>
      </c>
      <c r="QOA71" s="1159" t="e">
        <f t="shared" si="188"/>
        <v>#DIV/0!</v>
      </c>
      <c r="QOB71" s="1159" t="e">
        <f t="shared" si="188"/>
        <v>#DIV/0!</v>
      </c>
      <c r="QOC71" s="1159" t="e">
        <f t="shared" si="188"/>
        <v>#DIV/0!</v>
      </c>
      <c r="QOD71" s="1159" t="e">
        <f t="shared" si="188"/>
        <v>#DIV/0!</v>
      </c>
      <c r="QOE71" s="1159" t="e">
        <f t="shared" si="188"/>
        <v>#DIV/0!</v>
      </c>
      <c r="QOF71" s="1159" t="e">
        <f t="shared" si="188"/>
        <v>#DIV/0!</v>
      </c>
      <c r="QOG71" s="1159" t="e">
        <f t="shared" si="188"/>
        <v>#DIV/0!</v>
      </c>
      <c r="QOH71" s="1159" t="e">
        <f t="shared" si="188"/>
        <v>#DIV/0!</v>
      </c>
      <c r="QOI71" s="1159" t="e">
        <f t="shared" si="188"/>
        <v>#DIV/0!</v>
      </c>
      <c r="QOJ71" s="1159" t="e">
        <f t="shared" si="188"/>
        <v>#DIV/0!</v>
      </c>
      <c r="QOK71" s="1159" t="e">
        <f t="shared" si="188"/>
        <v>#DIV/0!</v>
      </c>
      <c r="QOL71" s="1159" t="e">
        <f t="shared" si="188"/>
        <v>#DIV/0!</v>
      </c>
      <c r="QOM71" s="1159" t="e">
        <f t="shared" si="188"/>
        <v>#DIV/0!</v>
      </c>
      <c r="QON71" s="1159" t="e">
        <f t="shared" si="188"/>
        <v>#DIV/0!</v>
      </c>
      <c r="QOO71" s="1159" t="e">
        <f t="shared" si="188"/>
        <v>#DIV/0!</v>
      </c>
      <c r="QOP71" s="1159" t="e">
        <f t="shared" si="188"/>
        <v>#DIV/0!</v>
      </c>
      <c r="QOQ71" s="1159" t="e">
        <f t="shared" si="188"/>
        <v>#DIV/0!</v>
      </c>
      <c r="QOR71" s="1159" t="e">
        <f t="shared" si="188"/>
        <v>#DIV/0!</v>
      </c>
      <c r="QOS71" s="1159" t="e">
        <f t="shared" si="188"/>
        <v>#DIV/0!</v>
      </c>
      <c r="QOT71" s="1159" t="e">
        <f t="shared" si="188"/>
        <v>#DIV/0!</v>
      </c>
      <c r="QOU71" s="1159" t="e">
        <f t="shared" si="188"/>
        <v>#DIV/0!</v>
      </c>
      <c r="QOV71" s="1159" t="e">
        <f t="shared" si="188"/>
        <v>#DIV/0!</v>
      </c>
      <c r="QOW71" s="1159" t="e">
        <f t="shared" si="188"/>
        <v>#DIV/0!</v>
      </c>
      <c r="QOX71" s="1159" t="e">
        <f t="shared" si="188"/>
        <v>#DIV/0!</v>
      </c>
      <c r="QOY71" s="1159" t="e">
        <f t="shared" si="188"/>
        <v>#DIV/0!</v>
      </c>
      <c r="QOZ71" s="1159" t="e">
        <f t="shared" si="188"/>
        <v>#DIV/0!</v>
      </c>
      <c r="QPA71" s="1159" t="e">
        <f t="shared" si="188"/>
        <v>#DIV/0!</v>
      </c>
      <c r="QPB71" s="1159" t="e">
        <f t="shared" ref="QPB71:QRM71" si="189">((QPB6+QPB12+QPB13+QPB14+QPB15)*860+QPB16*QPB55+QPB17*QPB56+QPB7*QPB49+QPB8*QPB50+QPB9*QPB51+QPB10*QPB52+QPB11*QPB53)/(SUM(QPB6:QPB17))</f>
        <v>#DIV/0!</v>
      </c>
      <c r="QPC71" s="1159" t="e">
        <f t="shared" si="189"/>
        <v>#DIV/0!</v>
      </c>
      <c r="QPD71" s="1159" t="e">
        <f t="shared" si="189"/>
        <v>#DIV/0!</v>
      </c>
      <c r="QPE71" s="1159" t="e">
        <f t="shared" si="189"/>
        <v>#DIV/0!</v>
      </c>
      <c r="QPF71" s="1159" t="e">
        <f t="shared" si="189"/>
        <v>#DIV/0!</v>
      </c>
      <c r="QPG71" s="1159" t="e">
        <f t="shared" si="189"/>
        <v>#DIV/0!</v>
      </c>
      <c r="QPH71" s="1159" t="e">
        <f t="shared" si="189"/>
        <v>#DIV/0!</v>
      </c>
      <c r="QPI71" s="1159" t="e">
        <f t="shared" si="189"/>
        <v>#DIV/0!</v>
      </c>
      <c r="QPJ71" s="1159" t="e">
        <f t="shared" si="189"/>
        <v>#DIV/0!</v>
      </c>
      <c r="QPK71" s="1159" t="e">
        <f t="shared" si="189"/>
        <v>#DIV/0!</v>
      </c>
      <c r="QPL71" s="1159" t="e">
        <f t="shared" si="189"/>
        <v>#DIV/0!</v>
      </c>
      <c r="QPM71" s="1159" t="e">
        <f t="shared" si="189"/>
        <v>#DIV/0!</v>
      </c>
      <c r="QPN71" s="1159" t="e">
        <f t="shared" si="189"/>
        <v>#DIV/0!</v>
      </c>
      <c r="QPO71" s="1159" t="e">
        <f t="shared" si="189"/>
        <v>#DIV/0!</v>
      </c>
      <c r="QPP71" s="1159" t="e">
        <f t="shared" si="189"/>
        <v>#DIV/0!</v>
      </c>
      <c r="QPQ71" s="1159" t="e">
        <f t="shared" si="189"/>
        <v>#DIV/0!</v>
      </c>
      <c r="QPR71" s="1159" t="e">
        <f t="shared" si="189"/>
        <v>#DIV/0!</v>
      </c>
      <c r="QPS71" s="1159" t="e">
        <f t="shared" si="189"/>
        <v>#DIV/0!</v>
      </c>
      <c r="QPT71" s="1159" t="e">
        <f t="shared" si="189"/>
        <v>#DIV/0!</v>
      </c>
      <c r="QPU71" s="1159" t="e">
        <f t="shared" si="189"/>
        <v>#DIV/0!</v>
      </c>
      <c r="QPV71" s="1159" t="e">
        <f t="shared" si="189"/>
        <v>#DIV/0!</v>
      </c>
      <c r="QPW71" s="1159" t="e">
        <f t="shared" si="189"/>
        <v>#DIV/0!</v>
      </c>
      <c r="QPX71" s="1159" t="e">
        <f t="shared" si="189"/>
        <v>#DIV/0!</v>
      </c>
      <c r="QPY71" s="1159" t="e">
        <f t="shared" si="189"/>
        <v>#DIV/0!</v>
      </c>
      <c r="QPZ71" s="1159" t="e">
        <f t="shared" si="189"/>
        <v>#DIV/0!</v>
      </c>
      <c r="QQA71" s="1159" t="e">
        <f t="shared" si="189"/>
        <v>#DIV/0!</v>
      </c>
      <c r="QQB71" s="1159" t="e">
        <f t="shared" si="189"/>
        <v>#DIV/0!</v>
      </c>
      <c r="QQC71" s="1159" t="e">
        <f t="shared" si="189"/>
        <v>#DIV/0!</v>
      </c>
      <c r="QQD71" s="1159" t="e">
        <f t="shared" si="189"/>
        <v>#DIV/0!</v>
      </c>
      <c r="QQE71" s="1159" t="e">
        <f t="shared" si="189"/>
        <v>#DIV/0!</v>
      </c>
      <c r="QQF71" s="1159" t="e">
        <f t="shared" si="189"/>
        <v>#DIV/0!</v>
      </c>
      <c r="QQG71" s="1159" t="e">
        <f t="shared" si="189"/>
        <v>#DIV/0!</v>
      </c>
      <c r="QQH71" s="1159" t="e">
        <f t="shared" si="189"/>
        <v>#DIV/0!</v>
      </c>
      <c r="QQI71" s="1159" t="e">
        <f t="shared" si="189"/>
        <v>#DIV/0!</v>
      </c>
      <c r="QQJ71" s="1159" t="e">
        <f t="shared" si="189"/>
        <v>#DIV/0!</v>
      </c>
      <c r="QQK71" s="1159" t="e">
        <f t="shared" si="189"/>
        <v>#DIV/0!</v>
      </c>
      <c r="QQL71" s="1159" t="e">
        <f t="shared" si="189"/>
        <v>#DIV/0!</v>
      </c>
      <c r="QQM71" s="1159" t="e">
        <f t="shared" si="189"/>
        <v>#DIV/0!</v>
      </c>
      <c r="QQN71" s="1159" t="e">
        <f t="shared" si="189"/>
        <v>#DIV/0!</v>
      </c>
      <c r="QQO71" s="1159" t="e">
        <f t="shared" si="189"/>
        <v>#DIV/0!</v>
      </c>
      <c r="QQP71" s="1159" t="e">
        <f t="shared" si="189"/>
        <v>#DIV/0!</v>
      </c>
      <c r="QQQ71" s="1159" t="e">
        <f t="shared" si="189"/>
        <v>#DIV/0!</v>
      </c>
      <c r="QQR71" s="1159" t="e">
        <f t="shared" si="189"/>
        <v>#DIV/0!</v>
      </c>
      <c r="QQS71" s="1159" t="e">
        <f t="shared" si="189"/>
        <v>#DIV/0!</v>
      </c>
      <c r="QQT71" s="1159" t="e">
        <f t="shared" si="189"/>
        <v>#DIV/0!</v>
      </c>
      <c r="QQU71" s="1159" t="e">
        <f t="shared" si="189"/>
        <v>#DIV/0!</v>
      </c>
      <c r="QQV71" s="1159" t="e">
        <f t="shared" si="189"/>
        <v>#DIV/0!</v>
      </c>
      <c r="QQW71" s="1159" t="e">
        <f t="shared" si="189"/>
        <v>#DIV/0!</v>
      </c>
      <c r="QQX71" s="1159" t="e">
        <f t="shared" si="189"/>
        <v>#DIV/0!</v>
      </c>
      <c r="QQY71" s="1159" t="e">
        <f t="shared" si="189"/>
        <v>#DIV/0!</v>
      </c>
      <c r="QQZ71" s="1159" t="e">
        <f t="shared" si="189"/>
        <v>#DIV/0!</v>
      </c>
      <c r="QRA71" s="1159" t="e">
        <f t="shared" si="189"/>
        <v>#DIV/0!</v>
      </c>
      <c r="QRB71" s="1159" t="e">
        <f t="shared" si="189"/>
        <v>#DIV/0!</v>
      </c>
      <c r="QRC71" s="1159" t="e">
        <f t="shared" si="189"/>
        <v>#DIV/0!</v>
      </c>
      <c r="QRD71" s="1159" t="e">
        <f t="shared" si="189"/>
        <v>#DIV/0!</v>
      </c>
      <c r="QRE71" s="1159" t="e">
        <f t="shared" si="189"/>
        <v>#DIV/0!</v>
      </c>
      <c r="QRF71" s="1159" t="e">
        <f t="shared" si="189"/>
        <v>#DIV/0!</v>
      </c>
      <c r="QRG71" s="1159" t="e">
        <f t="shared" si="189"/>
        <v>#DIV/0!</v>
      </c>
      <c r="QRH71" s="1159" t="e">
        <f t="shared" si="189"/>
        <v>#DIV/0!</v>
      </c>
      <c r="QRI71" s="1159" t="e">
        <f t="shared" si="189"/>
        <v>#DIV/0!</v>
      </c>
      <c r="QRJ71" s="1159" t="e">
        <f t="shared" si="189"/>
        <v>#DIV/0!</v>
      </c>
      <c r="QRK71" s="1159" t="e">
        <f t="shared" si="189"/>
        <v>#DIV/0!</v>
      </c>
      <c r="QRL71" s="1159" t="e">
        <f t="shared" si="189"/>
        <v>#DIV/0!</v>
      </c>
      <c r="QRM71" s="1159" t="e">
        <f t="shared" si="189"/>
        <v>#DIV/0!</v>
      </c>
      <c r="QRN71" s="1159" t="e">
        <f t="shared" ref="QRN71:QTY71" si="190">((QRN6+QRN12+QRN13+QRN14+QRN15)*860+QRN16*QRN55+QRN17*QRN56+QRN7*QRN49+QRN8*QRN50+QRN9*QRN51+QRN10*QRN52+QRN11*QRN53)/(SUM(QRN6:QRN17))</f>
        <v>#DIV/0!</v>
      </c>
      <c r="QRO71" s="1159" t="e">
        <f t="shared" si="190"/>
        <v>#DIV/0!</v>
      </c>
      <c r="QRP71" s="1159" t="e">
        <f t="shared" si="190"/>
        <v>#DIV/0!</v>
      </c>
      <c r="QRQ71" s="1159" t="e">
        <f t="shared" si="190"/>
        <v>#DIV/0!</v>
      </c>
      <c r="QRR71" s="1159" t="e">
        <f t="shared" si="190"/>
        <v>#DIV/0!</v>
      </c>
      <c r="QRS71" s="1159" t="e">
        <f t="shared" si="190"/>
        <v>#DIV/0!</v>
      </c>
      <c r="QRT71" s="1159" t="e">
        <f t="shared" si="190"/>
        <v>#DIV/0!</v>
      </c>
      <c r="QRU71" s="1159" t="e">
        <f t="shared" si="190"/>
        <v>#DIV/0!</v>
      </c>
      <c r="QRV71" s="1159" t="e">
        <f t="shared" si="190"/>
        <v>#DIV/0!</v>
      </c>
      <c r="QRW71" s="1159" t="e">
        <f t="shared" si="190"/>
        <v>#DIV/0!</v>
      </c>
      <c r="QRX71" s="1159" t="e">
        <f t="shared" si="190"/>
        <v>#DIV/0!</v>
      </c>
      <c r="QRY71" s="1159" t="e">
        <f t="shared" si="190"/>
        <v>#DIV/0!</v>
      </c>
      <c r="QRZ71" s="1159" t="e">
        <f t="shared" si="190"/>
        <v>#DIV/0!</v>
      </c>
      <c r="QSA71" s="1159" t="e">
        <f t="shared" si="190"/>
        <v>#DIV/0!</v>
      </c>
      <c r="QSB71" s="1159" t="e">
        <f t="shared" si="190"/>
        <v>#DIV/0!</v>
      </c>
      <c r="QSC71" s="1159" t="e">
        <f t="shared" si="190"/>
        <v>#DIV/0!</v>
      </c>
      <c r="QSD71" s="1159" t="e">
        <f t="shared" si="190"/>
        <v>#DIV/0!</v>
      </c>
      <c r="QSE71" s="1159" t="e">
        <f t="shared" si="190"/>
        <v>#DIV/0!</v>
      </c>
      <c r="QSF71" s="1159" t="e">
        <f t="shared" si="190"/>
        <v>#DIV/0!</v>
      </c>
      <c r="QSG71" s="1159" t="e">
        <f t="shared" si="190"/>
        <v>#DIV/0!</v>
      </c>
      <c r="QSH71" s="1159" t="e">
        <f t="shared" si="190"/>
        <v>#DIV/0!</v>
      </c>
      <c r="QSI71" s="1159" t="e">
        <f t="shared" si="190"/>
        <v>#DIV/0!</v>
      </c>
      <c r="QSJ71" s="1159" t="e">
        <f t="shared" si="190"/>
        <v>#DIV/0!</v>
      </c>
      <c r="QSK71" s="1159" t="e">
        <f t="shared" si="190"/>
        <v>#DIV/0!</v>
      </c>
      <c r="QSL71" s="1159" t="e">
        <f t="shared" si="190"/>
        <v>#DIV/0!</v>
      </c>
      <c r="QSM71" s="1159" t="e">
        <f t="shared" si="190"/>
        <v>#DIV/0!</v>
      </c>
      <c r="QSN71" s="1159" t="e">
        <f t="shared" si="190"/>
        <v>#DIV/0!</v>
      </c>
      <c r="QSO71" s="1159" t="e">
        <f t="shared" si="190"/>
        <v>#DIV/0!</v>
      </c>
      <c r="QSP71" s="1159" t="e">
        <f t="shared" si="190"/>
        <v>#DIV/0!</v>
      </c>
      <c r="QSQ71" s="1159" t="e">
        <f t="shared" si="190"/>
        <v>#DIV/0!</v>
      </c>
      <c r="QSR71" s="1159" t="e">
        <f t="shared" si="190"/>
        <v>#DIV/0!</v>
      </c>
      <c r="QSS71" s="1159" t="e">
        <f t="shared" si="190"/>
        <v>#DIV/0!</v>
      </c>
      <c r="QST71" s="1159" t="e">
        <f t="shared" si="190"/>
        <v>#DIV/0!</v>
      </c>
      <c r="QSU71" s="1159" t="e">
        <f t="shared" si="190"/>
        <v>#DIV/0!</v>
      </c>
      <c r="QSV71" s="1159" t="e">
        <f t="shared" si="190"/>
        <v>#DIV/0!</v>
      </c>
      <c r="QSW71" s="1159" t="e">
        <f t="shared" si="190"/>
        <v>#DIV/0!</v>
      </c>
      <c r="QSX71" s="1159" t="e">
        <f t="shared" si="190"/>
        <v>#DIV/0!</v>
      </c>
      <c r="QSY71" s="1159" t="e">
        <f t="shared" si="190"/>
        <v>#DIV/0!</v>
      </c>
      <c r="QSZ71" s="1159" t="e">
        <f t="shared" si="190"/>
        <v>#DIV/0!</v>
      </c>
      <c r="QTA71" s="1159" t="e">
        <f t="shared" si="190"/>
        <v>#DIV/0!</v>
      </c>
      <c r="QTB71" s="1159" t="e">
        <f t="shared" si="190"/>
        <v>#DIV/0!</v>
      </c>
      <c r="QTC71" s="1159" t="e">
        <f t="shared" si="190"/>
        <v>#DIV/0!</v>
      </c>
      <c r="QTD71" s="1159" t="e">
        <f t="shared" si="190"/>
        <v>#DIV/0!</v>
      </c>
      <c r="QTE71" s="1159" t="e">
        <f t="shared" si="190"/>
        <v>#DIV/0!</v>
      </c>
      <c r="QTF71" s="1159" t="e">
        <f t="shared" si="190"/>
        <v>#DIV/0!</v>
      </c>
      <c r="QTG71" s="1159" t="e">
        <f t="shared" si="190"/>
        <v>#DIV/0!</v>
      </c>
      <c r="QTH71" s="1159" t="e">
        <f t="shared" si="190"/>
        <v>#DIV/0!</v>
      </c>
      <c r="QTI71" s="1159" t="e">
        <f t="shared" si="190"/>
        <v>#DIV/0!</v>
      </c>
      <c r="QTJ71" s="1159" t="e">
        <f t="shared" si="190"/>
        <v>#DIV/0!</v>
      </c>
      <c r="QTK71" s="1159" t="e">
        <f t="shared" si="190"/>
        <v>#DIV/0!</v>
      </c>
      <c r="QTL71" s="1159" t="e">
        <f t="shared" si="190"/>
        <v>#DIV/0!</v>
      </c>
      <c r="QTM71" s="1159" t="e">
        <f t="shared" si="190"/>
        <v>#DIV/0!</v>
      </c>
      <c r="QTN71" s="1159" t="e">
        <f t="shared" si="190"/>
        <v>#DIV/0!</v>
      </c>
      <c r="QTO71" s="1159" t="e">
        <f t="shared" si="190"/>
        <v>#DIV/0!</v>
      </c>
      <c r="QTP71" s="1159" t="e">
        <f t="shared" si="190"/>
        <v>#DIV/0!</v>
      </c>
      <c r="QTQ71" s="1159" t="e">
        <f t="shared" si="190"/>
        <v>#DIV/0!</v>
      </c>
      <c r="QTR71" s="1159" t="e">
        <f t="shared" si="190"/>
        <v>#DIV/0!</v>
      </c>
      <c r="QTS71" s="1159" t="e">
        <f t="shared" si="190"/>
        <v>#DIV/0!</v>
      </c>
      <c r="QTT71" s="1159" t="e">
        <f t="shared" si="190"/>
        <v>#DIV/0!</v>
      </c>
      <c r="QTU71" s="1159" t="e">
        <f t="shared" si="190"/>
        <v>#DIV/0!</v>
      </c>
      <c r="QTV71" s="1159" t="e">
        <f t="shared" si="190"/>
        <v>#DIV/0!</v>
      </c>
      <c r="QTW71" s="1159" t="e">
        <f t="shared" si="190"/>
        <v>#DIV/0!</v>
      </c>
      <c r="QTX71" s="1159" t="e">
        <f t="shared" si="190"/>
        <v>#DIV/0!</v>
      </c>
      <c r="QTY71" s="1159" t="e">
        <f t="shared" si="190"/>
        <v>#DIV/0!</v>
      </c>
      <c r="QTZ71" s="1159" t="e">
        <f t="shared" ref="QTZ71:QWK71" si="191">((QTZ6+QTZ12+QTZ13+QTZ14+QTZ15)*860+QTZ16*QTZ55+QTZ17*QTZ56+QTZ7*QTZ49+QTZ8*QTZ50+QTZ9*QTZ51+QTZ10*QTZ52+QTZ11*QTZ53)/(SUM(QTZ6:QTZ17))</f>
        <v>#DIV/0!</v>
      </c>
      <c r="QUA71" s="1159" t="e">
        <f t="shared" si="191"/>
        <v>#DIV/0!</v>
      </c>
      <c r="QUB71" s="1159" t="e">
        <f t="shared" si="191"/>
        <v>#DIV/0!</v>
      </c>
      <c r="QUC71" s="1159" t="e">
        <f t="shared" si="191"/>
        <v>#DIV/0!</v>
      </c>
      <c r="QUD71" s="1159" t="e">
        <f t="shared" si="191"/>
        <v>#DIV/0!</v>
      </c>
      <c r="QUE71" s="1159" t="e">
        <f t="shared" si="191"/>
        <v>#DIV/0!</v>
      </c>
      <c r="QUF71" s="1159" t="e">
        <f t="shared" si="191"/>
        <v>#DIV/0!</v>
      </c>
      <c r="QUG71" s="1159" t="e">
        <f t="shared" si="191"/>
        <v>#DIV/0!</v>
      </c>
      <c r="QUH71" s="1159" t="e">
        <f t="shared" si="191"/>
        <v>#DIV/0!</v>
      </c>
      <c r="QUI71" s="1159" t="e">
        <f t="shared" si="191"/>
        <v>#DIV/0!</v>
      </c>
      <c r="QUJ71" s="1159" t="e">
        <f t="shared" si="191"/>
        <v>#DIV/0!</v>
      </c>
      <c r="QUK71" s="1159" t="e">
        <f t="shared" si="191"/>
        <v>#DIV/0!</v>
      </c>
      <c r="QUL71" s="1159" t="e">
        <f t="shared" si="191"/>
        <v>#DIV/0!</v>
      </c>
      <c r="QUM71" s="1159" t="e">
        <f t="shared" si="191"/>
        <v>#DIV/0!</v>
      </c>
      <c r="QUN71" s="1159" t="e">
        <f t="shared" si="191"/>
        <v>#DIV/0!</v>
      </c>
      <c r="QUO71" s="1159" t="e">
        <f t="shared" si="191"/>
        <v>#DIV/0!</v>
      </c>
      <c r="QUP71" s="1159" t="e">
        <f t="shared" si="191"/>
        <v>#DIV/0!</v>
      </c>
      <c r="QUQ71" s="1159" t="e">
        <f t="shared" si="191"/>
        <v>#DIV/0!</v>
      </c>
      <c r="QUR71" s="1159" t="e">
        <f t="shared" si="191"/>
        <v>#DIV/0!</v>
      </c>
      <c r="QUS71" s="1159" t="e">
        <f t="shared" si="191"/>
        <v>#DIV/0!</v>
      </c>
      <c r="QUT71" s="1159" t="e">
        <f t="shared" si="191"/>
        <v>#DIV/0!</v>
      </c>
      <c r="QUU71" s="1159" t="e">
        <f t="shared" si="191"/>
        <v>#DIV/0!</v>
      </c>
      <c r="QUV71" s="1159" t="e">
        <f t="shared" si="191"/>
        <v>#DIV/0!</v>
      </c>
      <c r="QUW71" s="1159" t="e">
        <f t="shared" si="191"/>
        <v>#DIV/0!</v>
      </c>
      <c r="QUX71" s="1159" t="e">
        <f t="shared" si="191"/>
        <v>#DIV/0!</v>
      </c>
      <c r="QUY71" s="1159" t="e">
        <f t="shared" si="191"/>
        <v>#DIV/0!</v>
      </c>
      <c r="QUZ71" s="1159" t="e">
        <f t="shared" si="191"/>
        <v>#DIV/0!</v>
      </c>
      <c r="QVA71" s="1159" t="e">
        <f t="shared" si="191"/>
        <v>#DIV/0!</v>
      </c>
      <c r="QVB71" s="1159" t="e">
        <f t="shared" si="191"/>
        <v>#DIV/0!</v>
      </c>
      <c r="QVC71" s="1159" t="e">
        <f t="shared" si="191"/>
        <v>#DIV/0!</v>
      </c>
      <c r="QVD71" s="1159" t="e">
        <f t="shared" si="191"/>
        <v>#DIV/0!</v>
      </c>
      <c r="QVE71" s="1159" t="e">
        <f t="shared" si="191"/>
        <v>#DIV/0!</v>
      </c>
      <c r="QVF71" s="1159" t="e">
        <f t="shared" si="191"/>
        <v>#DIV/0!</v>
      </c>
      <c r="QVG71" s="1159" t="e">
        <f t="shared" si="191"/>
        <v>#DIV/0!</v>
      </c>
      <c r="QVH71" s="1159" t="e">
        <f t="shared" si="191"/>
        <v>#DIV/0!</v>
      </c>
      <c r="QVI71" s="1159" t="e">
        <f t="shared" si="191"/>
        <v>#DIV/0!</v>
      </c>
      <c r="QVJ71" s="1159" t="e">
        <f t="shared" si="191"/>
        <v>#DIV/0!</v>
      </c>
      <c r="QVK71" s="1159" t="e">
        <f t="shared" si="191"/>
        <v>#DIV/0!</v>
      </c>
      <c r="QVL71" s="1159" t="e">
        <f t="shared" si="191"/>
        <v>#DIV/0!</v>
      </c>
      <c r="QVM71" s="1159" t="e">
        <f t="shared" si="191"/>
        <v>#DIV/0!</v>
      </c>
      <c r="QVN71" s="1159" t="e">
        <f t="shared" si="191"/>
        <v>#DIV/0!</v>
      </c>
      <c r="QVO71" s="1159" t="e">
        <f t="shared" si="191"/>
        <v>#DIV/0!</v>
      </c>
      <c r="QVP71" s="1159" t="e">
        <f t="shared" si="191"/>
        <v>#DIV/0!</v>
      </c>
      <c r="QVQ71" s="1159" t="e">
        <f t="shared" si="191"/>
        <v>#DIV/0!</v>
      </c>
      <c r="QVR71" s="1159" t="e">
        <f t="shared" si="191"/>
        <v>#DIV/0!</v>
      </c>
      <c r="QVS71" s="1159" t="e">
        <f t="shared" si="191"/>
        <v>#DIV/0!</v>
      </c>
      <c r="QVT71" s="1159" t="e">
        <f t="shared" si="191"/>
        <v>#DIV/0!</v>
      </c>
      <c r="QVU71" s="1159" t="e">
        <f t="shared" si="191"/>
        <v>#DIV/0!</v>
      </c>
      <c r="QVV71" s="1159" t="e">
        <f t="shared" si="191"/>
        <v>#DIV/0!</v>
      </c>
      <c r="QVW71" s="1159" t="e">
        <f t="shared" si="191"/>
        <v>#DIV/0!</v>
      </c>
      <c r="QVX71" s="1159" t="e">
        <f t="shared" si="191"/>
        <v>#DIV/0!</v>
      </c>
      <c r="QVY71" s="1159" t="e">
        <f t="shared" si="191"/>
        <v>#DIV/0!</v>
      </c>
      <c r="QVZ71" s="1159" t="e">
        <f t="shared" si="191"/>
        <v>#DIV/0!</v>
      </c>
      <c r="QWA71" s="1159" t="e">
        <f t="shared" si="191"/>
        <v>#DIV/0!</v>
      </c>
      <c r="QWB71" s="1159" t="e">
        <f t="shared" si="191"/>
        <v>#DIV/0!</v>
      </c>
      <c r="QWC71" s="1159" t="e">
        <f t="shared" si="191"/>
        <v>#DIV/0!</v>
      </c>
      <c r="QWD71" s="1159" t="e">
        <f t="shared" si="191"/>
        <v>#DIV/0!</v>
      </c>
      <c r="QWE71" s="1159" t="e">
        <f t="shared" si="191"/>
        <v>#DIV/0!</v>
      </c>
      <c r="QWF71" s="1159" t="e">
        <f t="shared" si="191"/>
        <v>#DIV/0!</v>
      </c>
      <c r="QWG71" s="1159" t="e">
        <f t="shared" si="191"/>
        <v>#DIV/0!</v>
      </c>
      <c r="QWH71" s="1159" t="e">
        <f t="shared" si="191"/>
        <v>#DIV/0!</v>
      </c>
      <c r="QWI71" s="1159" t="e">
        <f t="shared" si="191"/>
        <v>#DIV/0!</v>
      </c>
      <c r="QWJ71" s="1159" t="e">
        <f t="shared" si="191"/>
        <v>#DIV/0!</v>
      </c>
      <c r="QWK71" s="1159" t="e">
        <f t="shared" si="191"/>
        <v>#DIV/0!</v>
      </c>
      <c r="QWL71" s="1159" t="e">
        <f t="shared" ref="QWL71:QYW71" si="192">((QWL6+QWL12+QWL13+QWL14+QWL15)*860+QWL16*QWL55+QWL17*QWL56+QWL7*QWL49+QWL8*QWL50+QWL9*QWL51+QWL10*QWL52+QWL11*QWL53)/(SUM(QWL6:QWL17))</f>
        <v>#DIV/0!</v>
      </c>
      <c r="QWM71" s="1159" t="e">
        <f t="shared" si="192"/>
        <v>#DIV/0!</v>
      </c>
      <c r="QWN71" s="1159" t="e">
        <f t="shared" si="192"/>
        <v>#DIV/0!</v>
      </c>
      <c r="QWO71" s="1159" t="e">
        <f t="shared" si="192"/>
        <v>#DIV/0!</v>
      </c>
      <c r="QWP71" s="1159" t="e">
        <f t="shared" si="192"/>
        <v>#DIV/0!</v>
      </c>
      <c r="QWQ71" s="1159" t="e">
        <f t="shared" si="192"/>
        <v>#DIV/0!</v>
      </c>
      <c r="QWR71" s="1159" t="e">
        <f t="shared" si="192"/>
        <v>#DIV/0!</v>
      </c>
      <c r="QWS71" s="1159" t="e">
        <f t="shared" si="192"/>
        <v>#DIV/0!</v>
      </c>
      <c r="QWT71" s="1159" t="e">
        <f t="shared" si="192"/>
        <v>#DIV/0!</v>
      </c>
      <c r="QWU71" s="1159" t="e">
        <f t="shared" si="192"/>
        <v>#DIV/0!</v>
      </c>
      <c r="QWV71" s="1159" t="e">
        <f t="shared" si="192"/>
        <v>#DIV/0!</v>
      </c>
      <c r="QWW71" s="1159" t="e">
        <f t="shared" si="192"/>
        <v>#DIV/0!</v>
      </c>
      <c r="QWX71" s="1159" t="e">
        <f t="shared" si="192"/>
        <v>#DIV/0!</v>
      </c>
      <c r="QWY71" s="1159" t="e">
        <f t="shared" si="192"/>
        <v>#DIV/0!</v>
      </c>
      <c r="QWZ71" s="1159" t="e">
        <f t="shared" si="192"/>
        <v>#DIV/0!</v>
      </c>
      <c r="QXA71" s="1159" t="e">
        <f t="shared" si="192"/>
        <v>#DIV/0!</v>
      </c>
      <c r="QXB71" s="1159" t="e">
        <f t="shared" si="192"/>
        <v>#DIV/0!</v>
      </c>
      <c r="QXC71" s="1159" t="e">
        <f t="shared" si="192"/>
        <v>#DIV/0!</v>
      </c>
      <c r="QXD71" s="1159" t="e">
        <f t="shared" si="192"/>
        <v>#DIV/0!</v>
      </c>
      <c r="QXE71" s="1159" t="e">
        <f t="shared" si="192"/>
        <v>#DIV/0!</v>
      </c>
      <c r="QXF71" s="1159" t="e">
        <f t="shared" si="192"/>
        <v>#DIV/0!</v>
      </c>
      <c r="QXG71" s="1159" t="e">
        <f t="shared" si="192"/>
        <v>#DIV/0!</v>
      </c>
      <c r="QXH71" s="1159" t="e">
        <f t="shared" si="192"/>
        <v>#DIV/0!</v>
      </c>
      <c r="QXI71" s="1159" t="e">
        <f t="shared" si="192"/>
        <v>#DIV/0!</v>
      </c>
      <c r="QXJ71" s="1159" t="e">
        <f t="shared" si="192"/>
        <v>#DIV/0!</v>
      </c>
      <c r="QXK71" s="1159" t="e">
        <f t="shared" si="192"/>
        <v>#DIV/0!</v>
      </c>
      <c r="QXL71" s="1159" t="e">
        <f t="shared" si="192"/>
        <v>#DIV/0!</v>
      </c>
      <c r="QXM71" s="1159" t="e">
        <f t="shared" si="192"/>
        <v>#DIV/0!</v>
      </c>
      <c r="QXN71" s="1159" t="e">
        <f t="shared" si="192"/>
        <v>#DIV/0!</v>
      </c>
      <c r="QXO71" s="1159" t="e">
        <f t="shared" si="192"/>
        <v>#DIV/0!</v>
      </c>
      <c r="QXP71" s="1159" t="e">
        <f t="shared" si="192"/>
        <v>#DIV/0!</v>
      </c>
      <c r="QXQ71" s="1159" t="e">
        <f t="shared" si="192"/>
        <v>#DIV/0!</v>
      </c>
      <c r="QXR71" s="1159" t="e">
        <f t="shared" si="192"/>
        <v>#DIV/0!</v>
      </c>
      <c r="QXS71" s="1159" t="e">
        <f t="shared" si="192"/>
        <v>#DIV/0!</v>
      </c>
      <c r="QXT71" s="1159" t="e">
        <f t="shared" si="192"/>
        <v>#DIV/0!</v>
      </c>
      <c r="QXU71" s="1159" t="e">
        <f t="shared" si="192"/>
        <v>#DIV/0!</v>
      </c>
      <c r="QXV71" s="1159" t="e">
        <f t="shared" si="192"/>
        <v>#DIV/0!</v>
      </c>
      <c r="QXW71" s="1159" t="e">
        <f t="shared" si="192"/>
        <v>#DIV/0!</v>
      </c>
      <c r="QXX71" s="1159" t="e">
        <f t="shared" si="192"/>
        <v>#DIV/0!</v>
      </c>
      <c r="QXY71" s="1159" t="e">
        <f t="shared" si="192"/>
        <v>#DIV/0!</v>
      </c>
      <c r="QXZ71" s="1159" t="e">
        <f t="shared" si="192"/>
        <v>#DIV/0!</v>
      </c>
      <c r="QYA71" s="1159" t="e">
        <f t="shared" si="192"/>
        <v>#DIV/0!</v>
      </c>
      <c r="QYB71" s="1159" t="e">
        <f t="shared" si="192"/>
        <v>#DIV/0!</v>
      </c>
      <c r="QYC71" s="1159" t="e">
        <f t="shared" si="192"/>
        <v>#DIV/0!</v>
      </c>
      <c r="QYD71" s="1159" t="e">
        <f t="shared" si="192"/>
        <v>#DIV/0!</v>
      </c>
      <c r="QYE71" s="1159" t="e">
        <f t="shared" si="192"/>
        <v>#DIV/0!</v>
      </c>
      <c r="QYF71" s="1159" t="e">
        <f t="shared" si="192"/>
        <v>#DIV/0!</v>
      </c>
      <c r="QYG71" s="1159" t="e">
        <f t="shared" si="192"/>
        <v>#DIV/0!</v>
      </c>
      <c r="QYH71" s="1159" t="e">
        <f t="shared" si="192"/>
        <v>#DIV/0!</v>
      </c>
      <c r="QYI71" s="1159" t="e">
        <f t="shared" si="192"/>
        <v>#DIV/0!</v>
      </c>
      <c r="QYJ71" s="1159" t="e">
        <f t="shared" si="192"/>
        <v>#DIV/0!</v>
      </c>
      <c r="QYK71" s="1159" t="e">
        <f t="shared" si="192"/>
        <v>#DIV/0!</v>
      </c>
      <c r="QYL71" s="1159" t="e">
        <f t="shared" si="192"/>
        <v>#DIV/0!</v>
      </c>
      <c r="QYM71" s="1159" t="e">
        <f t="shared" si="192"/>
        <v>#DIV/0!</v>
      </c>
      <c r="QYN71" s="1159" t="e">
        <f t="shared" si="192"/>
        <v>#DIV/0!</v>
      </c>
      <c r="QYO71" s="1159" t="e">
        <f t="shared" si="192"/>
        <v>#DIV/0!</v>
      </c>
      <c r="QYP71" s="1159" t="e">
        <f t="shared" si="192"/>
        <v>#DIV/0!</v>
      </c>
      <c r="QYQ71" s="1159" t="e">
        <f t="shared" si="192"/>
        <v>#DIV/0!</v>
      </c>
      <c r="QYR71" s="1159" t="e">
        <f t="shared" si="192"/>
        <v>#DIV/0!</v>
      </c>
      <c r="QYS71" s="1159" t="e">
        <f t="shared" si="192"/>
        <v>#DIV/0!</v>
      </c>
      <c r="QYT71" s="1159" t="e">
        <f t="shared" si="192"/>
        <v>#DIV/0!</v>
      </c>
      <c r="QYU71" s="1159" t="e">
        <f t="shared" si="192"/>
        <v>#DIV/0!</v>
      </c>
      <c r="QYV71" s="1159" t="e">
        <f t="shared" si="192"/>
        <v>#DIV/0!</v>
      </c>
      <c r="QYW71" s="1159" t="e">
        <f t="shared" si="192"/>
        <v>#DIV/0!</v>
      </c>
      <c r="QYX71" s="1159" t="e">
        <f t="shared" ref="QYX71:RBI71" si="193">((QYX6+QYX12+QYX13+QYX14+QYX15)*860+QYX16*QYX55+QYX17*QYX56+QYX7*QYX49+QYX8*QYX50+QYX9*QYX51+QYX10*QYX52+QYX11*QYX53)/(SUM(QYX6:QYX17))</f>
        <v>#DIV/0!</v>
      </c>
      <c r="QYY71" s="1159" t="e">
        <f t="shared" si="193"/>
        <v>#DIV/0!</v>
      </c>
      <c r="QYZ71" s="1159" t="e">
        <f t="shared" si="193"/>
        <v>#DIV/0!</v>
      </c>
      <c r="QZA71" s="1159" t="e">
        <f t="shared" si="193"/>
        <v>#DIV/0!</v>
      </c>
      <c r="QZB71" s="1159" t="e">
        <f t="shared" si="193"/>
        <v>#DIV/0!</v>
      </c>
      <c r="QZC71" s="1159" t="e">
        <f t="shared" si="193"/>
        <v>#DIV/0!</v>
      </c>
      <c r="QZD71" s="1159" t="e">
        <f t="shared" si="193"/>
        <v>#DIV/0!</v>
      </c>
      <c r="QZE71" s="1159" t="e">
        <f t="shared" si="193"/>
        <v>#DIV/0!</v>
      </c>
      <c r="QZF71" s="1159" t="e">
        <f t="shared" si="193"/>
        <v>#DIV/0!</v>
      </c>
      <c r="QZG71" s="1159" t="e">
        <f t="shared" si="193"/>
        <v>#DIV/0!</v>
      </c>
      <c r="QZH71" s="1159" t="e">
        <f t="shared" si="193"/>
        <v>#DIV/0!</v>
      </c>
      <c r="QZI71" s="1159" t="e">
        <f t="shared" si="193"/>
        <v>#DIV/0!</v>
      </c>
      <c r="QZJ71" s="1159" t="e">
        <f t="shared" si="193"/>
        <v>#DIV/0!</v>
      </c>
      <c r="QZK71" s="1159" t="e">
        <f t="shared" si="193"/>
        <v>#DIV/0!</v>
      </c>
      <c r="QZL71" s="1159" t="e">
        <f t="shared" si="193"/>
        <v>#DIV/0!</v>
      </c>
      <c r="QZM71" s="1159" t="e">
        <f t="shared" si="193"/>
        <v>#DIV/0!</v>
      </c>
      <c r="QZN71" s="1159" t="e">
        <f t="shared" si="193"/>
        <v>#DIV/0!</v>
      </c>
      <c r="QZO71" s="1159" t="e">
        <f t="shared" si="193"/>
        <v>#DIV/0!</v>
      </c>
      <c r="QZP71" s="1159" t="e">
        <f t="shared" si="193"/>
        <v>#DIV/0!</v>
      </c>
      <c r="QZQ71" s="1159" t="e">
        <f t="shared" si="193"/>
        <v>#DIV/0!</v>
      </c>
      <c r="QZR71" s="1159" t="e">
        <f t="shared" si="193"/>
        <v>#DIV/0!</v>
      </c>
      <c r="QZS71" s="1159" t="e">
        <f t="shared" si="193"/>
        <v>#DIV/0!</v>
      </c>
      <c r="QZT71" s="1159" t="e">
        <f t="shared" si="193"/>
        <v>#DIV/0!</v>
      </c>
      <c r="QZU71" s="1159" t="e">
        <f t="shared" si="193"/>
        <v>#DIV/0!</v>
      </c>
      <c r="QZV71" s="1159" t="e">
        <f t="shared" si="193"/>
        <v>#DIV/0!</v>
      </c>
      <c r="QZW71" s="1159" t="e">
        <f t="shared" si="193"/>
        <v>#DIV/0!</v>
      </c>
      <c r="QZX71" s="1159" t="e">
        <f t="shared" si="193"/>
        <v>#DIV/0!</v>
      </c>
      <c r="QZY71" s="1159" t="e">
        <f t="shared" si="193"/>
        <v>#DIV/0!</v>
      </c>
      <c r="QZZ71" s="1159" t="e">
        <f t="shared" si="193"/>
        <v>#DIV/0!</v>
      </c>
      <c r="RAA71" s="1159" t="e">
        <f t="shared" si="193"/>
        <v>#DIV/0!</v>
      </c>
      <c r="RAB71" s="1159" t="e">
        <f t="shared" si="193"/>
        <v>#DIV/0!</v>
      </c>
      <c r="RAC71" s="1159" t="e">
        <f t="shared" si="193"/>
        <v>#DIV/0!</v>
      </c>
      <c r="RAD71" s="1159" t="e">
        <f t="shared" si="193"/>
        <v>#DIV/0!</v>
      </c>
      <c r="RAE71" s="1159" t="e">
        <f t="shared" si="193"/>
        <v>#DIV/0!</v>
      </c>
      <c r="RAF71" s="1159" t="e">
        <f t="shared" si="193"/>
        <v>#DIV/0!</v>
      </c>
      <c r="RAG71" s="1159" t="e">
        <f t="shared" si="193"/>
        <v>#DIV/0!</v>
      </c>
      <c r="RAH71" s="1159" t="e">
        <f t="shared" si="193"/>
        <v>#DIV/0!</v>
      </c>
      <c r="RAI71" s="1159" t="e">
        <f t="shared" si="193"/>
        <v>#DIV/0!</v>
      </c>
      <c r="RAJ71" s="1159" t="e">
        <f t="shared" si="193"/>
        <v>#DIV/0!</v>
      </c>
      <c r="RAK71" s="1159" t="e">
        <f t="shared" si="193"/>
        <v>#DIV/0!</v>
      </c>
      <c r="RAL71" s="1159" t="e">
        <f t="shared" si="193"/>
        <v>#DIV/0!</v>
      </c>
      <c r="RAM71" s="1159" t="e">
        <f t="shared" si="193"/>
        <v>#DIV/0!</v>
      </c>
      <c r="RAN71" s="1159" t="e">
        <f t="shared" si="193"/>
        <v>#DIV/0!</v>
      </c>
      <c r="RAO71" s="1159" t="e">
        <f t="shared" si="193"/>
        <v>#DIV/0!</v>
      </c>
      <c r="RAP71" s="1159" t="e">
        <f t="shared" si="193"/>
        <v>#DIV/0!</v>
      </c>
      <c r="RAQ71" s="1159" t="e">
        <f t="shared" si="193"/>
        <v>#DIV/0!</v>
      </c>
      <c r="RAR71" s="1159" t="e">
        <f t="shared" si="193"/>
        <v>#DIV/0!</v>
      </c>
      <c r="RAS71" s="1159" t="e">
        <f t="shared" si="193"/>
        <v>#DIV/0!</v>
      </c>
      <c r="RAT71" s="1159" t="e">
        <f t="shared" si="193"/>
        <v>#DIV/0!</v>
      </c>
      <c r="RAU71" s="1159" t="e">
        <f t="shared" si="193"/>
        <v>#DIV/0!</v>
      </c>
      <c r="RAV71" s="1159" t="e">
        <f t="shared" si="193"/>
        <v>#DIV/0!</v>
      </c>
      <c r="RAW71" s="1159" t="e">
        <f t="shared" si="193"/>
        <v>#DIV/0!</v>
      </c>
      <c r="RAX71" s="1159" t="e">
        <f t="shared" si="193"/>
        <v>#DIV/0!</v>
      </c>
      <c r="RAY71" s="1159" t="e">
        <f t="shared" si="193"/>
        <v>#DIV/0!</v>
      </c>
      <c r="RAZ71" s="1159" t="e">
        <f t="shared" si="193"/>
        <v>#DIV/0!</v>
      </c>
      <c r="RBA71" s="1159" t="e">
        <f t="shared" si="193"/>
        <v>#DIV/0!</v>
      </c>
      <c r="RBB71" s="1159" t="e">
        <f t="shared" si="193"/>
        <v>#DIV/0!</v>
      </c>
      <c r="RBC71" s="1159" t="e">
        <f t="shared" si="193"/>
        <v>#DIV/0!</v>
      </c>
      <c r="RBD71" s="1159" t="e">
        <f t="shared" si="193"/>
        <v>#DIV/0!</v>
      </c>
      <c r="RBE71" s="1159" t="e">
        <f t="shared" si="193"/>
        <v>#DIV/0!</v>
      </c>
      <c r="RBF71" s="1159" t="e">
        <f t="shared" si="193"/>
        <v>#DIV/0!</v>
      </c>
      <c r="RBG71" s="1159" t="e">
        <f t="shared" si="193"/>
        <v>#DIV/0!</v>
      </c>
      <c r="RBH71" s="1159" t="e">
        <f t="shared" si="193"/>
        <v>#DIV/0!</v>
      </c>
      <c r="RBI71" s="1159" t="e">
        <f t="shared" si="193"/>
        <v>#DIV/0!</v>
      </c>
      <c r="RBJ71" s="1159" t="e">
        <f t="shared" ref="RBJ71:RDU71" si="194">((RBJ6+RBJ12+RBJ13+RBJ14+RBJ15)*860+RBJ16*RBJ55+RBJ17*RBJ56+RBJ7*RBJ49+RBJ8*RBJ50+RBJ9*RBJ51+RBJ10*RBJ52+RBJ11*RBJ53)/(SUM(RBJ6:RBJ17))</f>
        <v>#DIV/0!</v>
      </c>
      <c r="RBK71" s="1159" t="e">
        <f t="shared" si="194"/>
        <v>#DIV/0!</v>
      </c>
      <c r="RBL71" s="1159" t="e">
        <f t="shared" si="194"/>
        <v>#DIV/0!</v>
      </c>
      <c r="RBM71" s="1159" t="e">
        <f t="shared" si="194"/>
        <v>#DIV/0!</v>
      </c>
      <c r="RBN71" s="1159" t="e">
        <f t="shared" si="194"/>
        <v>#DIV/0!</v>
      </c>
      <c r="RBO71" s="1159" t="e">
        <f t="shared" si="194"/>
        <v>#DIV/0!</v>
      </c>
      <c r="RBP71" s="1159" t="e">
        <f t="shared" si="194"/>
        <v>#DIV/0!</v>
      </c>
      <c r="RBQ71" s="1159" t="e">
        <f t="shared" si="194"/>
        <v>#DIV/0!</v>
      </c>
      <c r="RBR71" s="1159" t="e">
        <f t="shared" si="194"/>
        <v>#DIV/0!</v>
      </c>
      <c r="RBS71" s="1159" t="e">
        <f t="shared" si="194"/>
        <v>#DIV/0!</v>
      </c>
      <c r="RBT71" s="1159" t="e">
        <f t="shared" si="194"/>
        <v>#DIV/0!</v>
      </c>
      <c r="RBU71" s="1159" t="e">
        <f t="shared" si="194"/>
        <v>#DIV/0!</v>
      </c>
      <c r="RBV71" s="1159" t="e">
        <f t="shared" si="194"/>
        <v>#DIV/0!</v>
      </c>
      <c r="RBW71" s="1159" t="e">
        <f t="shared" si="194"/>
        <v>#DIV/0!</v>
      </c>
      <c r="RBX71" s="1159" t="e">
        <f t="shared" si="194"/>
        <v>#DIV/0!</v>
      </c>
      <c r="RBY71" s="1159" t="e">
        <f t="shared" si="194"/>
        <v>#DIV/0!</v>
      </c>
      <c r="RBZ71" s="1159" t="e">
        <f t="shared" si="194"/>
        <v>#DIV/0!</v>
      </c>
      <c r="RCA71" s="1159" t="e">
        <f t="shared" si="194"/>
        <v>#DIV/0!</v>
      </c>
      <c r="RCB71" s="1159" t="e">
        <f t="shared" si="194"/>
        <v>#DIV/0!</v>
      </c>
      <c r="RCC71" s="1159" t="e">
        <f t="shared" si="194"/>
        <v>#DIV/0!</v>
      </c>
      <c r="RCD71" s="1159" t="e">
        <f t="shared" si="194"/>
        <v>#DIV/0!</v>
      </c>
      <c r="RCE71" s="1159" t="e">
        <f t="shared" si="194"/>
        <v>#DIV/0!</v>
      </c>
      <c r="RCF71" s="1159" t="e">
        <f t="shared" si="194"/>
        <v>#DIV/0!</v>
      </c>
      <c r="RCG71" s="1159" t="e">
        <f t="shared" si="194"/>
        <v>#DIV/0!</v>
      </c>
      <c r="RCH71" s="1159" t="e">
        <f t="shared" si="194"/>
        <v>#DIV/0!</v>
      </c>
      <c r="RCI71" s="1159" t="e">
        <f t="shared" si="194"/>
        <v>#DIV/0!</v>
      </c>
      <c r="RCJ71" s="1159" t="e">
        <f t="shared" si="194"/>
        <v>#DIV/0!</v>
      </c>
      <c r="RCK71" s="1159" t="e">
        <f t="shared" si="194"/>
        <v>#DIV/0!</v>
      </c>
      <c r="RCL71" s="1159" t="e">
        <f t="shared" si="194"/>
        <v>#DIV/0!</v>
      </c>
      <c r="RCM71" s="1159" t="e">
        <f t="shared" si="194"/>
        <v>#DIV/0!</v>
      </c>
      <c r="RCN71" s="1159" t="e">
        <f t="shared" si="194"/>
        <v>#DIV/0!</v>
      </c>
      <c r="RCO71" s="1159" t="e">
        <f t="shared" si="194"/>
        <v>#DIV/0!</v>
      </c>
      <c r="RCP71" s="1159" t="e">
        <f t="shared" si="194"/>
        <v>#DIV/0!</v>
      </c>
      <c r="RCQ71" s="1159" t="e">
        <f t="shared" si="194"/>
        <v>#DIV/0!</v>
      </c>
      <c r="RCR71" s="1159" t="e">
        <f t="shared" si="194"/>
        <v>#DIV/0!</v>
      </c>
      <c r="RCS71" s="1159" t="e">
        <f t="shared" si="194"/>
        <v>#DIV/0!</v>
      </c>
      <c r="RCT71" s="1159" t="e">
        <f t="shared" si="194"/>
        <v>#DIV/0!</v>
      </c>
      <c r="RCU71" s="1159" t="e">
        <f t="shared" si="194"/>
        <v>#DIV/0!</v>
      </c>
      <c r="RCV71" s="1159" t="e">
        <f t="shared" si="194"/>
        <v>#DIV/0!</v>
      </c>
      <c r="RCW71" s="1159" t="e">
        <f t="shared" si="194"/>
        <v>#DIV/0!</v>
      </c>
      <c r="RCX71" s="1159" t="e">
        <f t="shared" si="194"/>
        <v>#DIV/0!</v>
      </c>
      <c r="RCY71" s="1159" t="e">
        <f t="shared" si="194"/>
        <v>#DIV/0!</v>
      </c>
      <c r="RCZ71" s="1159" t="e">
        <f t="shared" si="194"/>
        <v>#DIV/0!</v>
      </c>
      <c r="RDA71" s="1159" t="e">
        <f t="shared" si="194"/>
        <v>#DIV/0!</v>
      </c>
      <c r="RDB71" s="1159" t="e">
        <f t="shared" si="194"/>
        <v>#DIV/0!</v>
      </c>
      <c r="RDC71" s="1159" t="e">
        <f t="shared" si="194"/>
        <v>#DIV/0!</v>
      </c>
      <c r="RDD71" s="1159" t="e">
        <f t="shared" si="194"/>
        <v>#DIV/0!</v>
      </c>
      <c r="RDE71" s="1159" t="e">
        <f t="shared" si="194"/>
        <v>#DIV/0!</v>
      </c>
      <c r="RDF71" s="1159" t="e">
        <f t="shared" si="194"/>
        <v>#DIV/0!</v>
      </c>
      <c r="RDG71" s="1159" t="e">
        <f t="shared" si="194"/>
        <v>#DIV/0!</v>
      </c>
      <c r="RDH71" s="1159" t="e">
        <f t="shared" si="194"/>
        <v>#DIV/0!</v>
      </c>
      <c r="RDI71" s="1159" t="e">
        <f t="shared" si="194"/>
        <v>#DIV/0!</v>
      </c>
      <c r="RDJ71" s="1159" t="e">
        <f t="shared" si="194"/>
        <v>#DIV/0!</v>
      </c>
      <c r="RDK71" s="1159" t="e">
        <f t="shared" si="194"/>
        <v>#DIV/0!</v>
      </c>
      <c r="RDL71" s="1159" t="e">
        <f t="shared" si="194"/>
        <v>#DIV/0!</v>
      </c>
      <c r="RDM71" s="1159" t="e">
        <f t="shared" si="194"/>
        <v>#DIV/0!</v>
      </c>
      <c r="RDN71" s="1159" t="e">
        <f t="shared" si="194"/>
        <v>#DIV/0!</v>
      </c>
      <c r="RDO71" s="1159" t="e">
        <f t="shared" si="194"/>
        <v>#DIV/0!</v>
      </c>
      <c r="RDP71" s="1159" t="e">
        <f t="shared" si="194"/>
        <v>#DIV/0!</v>
      </c>
      <c r="RDQ71" s="1159" t="e">
        <f t="shared" si="194"/>
        <v>#DIV/0!</v>
      </c>
      <c r="RDR71" s="1159" t="e">
        <f t="shared" si="194"/>
        <v>#DIV/0!</v>
      </c>
      <c r="RDS71" s="1159" t="e">
        <f t="shared" si="194"/>
        <v>#DIV/0!</v>
      </c>
      <c r="RDT71" s="1159" t="e">
        <f t="shared" si="194"/>
        <v>#DIV/0!</v>
      </c>
      <c r="RDU71" s="1159" t="e">
        <f t="shared" si="194"/>
        <v>#DIV/0!</v>
      </c>
      <c r="RDV71" s="1159" t="e">
        <f t="shared" ref="RDV71:RGG71" si="195">((RDV6+RDV12+RDV13+RDV14+RDV15)*860+RDV16*RDV55+RDV17*RDV56+RDV7*RDV49+RDV8*RDV50+RDV9*RDV51+RDV10*RDV52+RDV11*RDV53)/(SUM(RDV6:RDV17))</f>
        <v>#DIV/0!</v>
      </c>
      <c r="RDW71" s="1159" t="e">
        <f t="shared" si="195"/>
        <v>#DIV/0!</v>
      </c>
      <c r="RDX71" s="1159" t="e">
        <f t="shared" si="195"/>
        <v>#DIV/0!</v>
      </c>
      <c r="RDY71" s="1159" t="e">
        <f t="shared" si="195"/>
        <v>#DIV/0!</v>
      </c>
      <c r="RDZ71" s="1159" t="e">
        <f t="shared" si="195"/>
        <v>#DIV/0!</v>
      </c>
      <c r="REA71" s="1159" t="e">
        <f t="shared" si="195"/>
        <v>#DIV/0!</v>
      </c>
      <c r="REB71" s="1159" t="e">
        <f t="shared" si="195"/>
        <v>#DIV/0!</v>
      </c>
      <c r="REC71" s="1159" t="e">
        <f t="shared" si="195"/>
        <v>#DIV/0!</v>
      </c>
      <c r="RED71" s="1159" t="e">
        <f t="shared" si="195"/>
        <v>#DIV/0!</v>
      </c>
      <c r="REE71" s="1159" t="e">
        <f t="shared" si="195"/>
        <v>#DIV/0!</v>
      </c>
      <c r="REF71" s="1159" t="e">
        <f t="shared" si="195"/>
        <v>#DIV/0!</v>
      </c>
      <c r="REG71" s="1159" t="e">
        <f t="shared" si="195"/>
        <v>#DIV/0!</v>
      </c>
      <c r="REH71" s="1159" t="e">
        <f t="shared" si="195"/>
        <v>#DIV/0!</v>
      </c>
      <c r="REI71" s="1159" t="e">
        <f t="shared" si="195"/>
        <v>#DIV/0!</v>
      </c>
      <c r="REJ71" s="1159" t="e">
        <f t="shared" si="195"/>
        <v>#DIV/0!</v>
      </c>
      <c r="REK71" s="1159" t="e">
        <f t="shared" si="195"/>
        <v>#DIV/0!</v>
      </c>
      <c r="REL71" s="1159" t="e">
        <f t="shared" si="195"/>
        <v>#DIV/0!</v>
      </c>
      <c r="REM71" s="1159" t="e">
        <f t="shared" si="195"/>
        <v>#DIV/0!</v>
      </c>
      <c r="REN71" s="1159" t="e">
        <f t="shared" si="195"/>
        <v>#DIV/0!</v>
      </c>
      <c r="REO71" s="1159" t="e">
        <f t="shared" si="195"/>
        <v>#DIV/0!</v>
      </c>
      <c r="REP71" s="1159" t="e">
        <f t="shared" si="195"/>
        <v>#DIV/0!</v>
      </c>
      <c r="REQ71" s="1159" t="e">
        <f t="shared" si="195"/>
        <v>#DIV/0!</v>
      </c>
      <c r="RER71" s="1159" t="e">
        <f t="shared" si="195"/>
        <v>#DIV/0!</v>
      </c>
      <c r="RES71" s="1159" t="e">
        <f t="shared" si="195"/>
        <v>#DIV/0!</v>
      </c>
      <c r="RET71" s="1159" t="e">
        <f t="shared" si="195"/>
        <v>#DIV/0!</v>
      </c>
      <c r="REU71" s="1159" t="e">
        <f t="shared" si="195"/>
        <v>#DIV/0!</v>
      </c>
      <c r="REV71" s="1159" t="e">
        <f t="shared" si="195"/>
        <v>#DIV/0!</v>
      </c>
      <c r="REW71" s="1159" t="e">
        <f t="shared" si="195"/>
        <v>#DIV/0!</v>
      </c>
      <c r="REX71" s="1159" t="e">
        <f t="shared" si="195"/>
        <v>#DIV/0!</v>
      </c>
      <c r="REY71" s="1159" t="e">
        <f t="shared" si="195"/>
        <v>#DIV/0!</v>
      </c>
      <c r="REZ71" s="1159" t="e">
        <f t="shared" si="195"/>
        <v>#DIV/0!</v>
      </c>
      <c r="RFA71" s="1159" t="e">
        <f t="shared" si="195"/>
        <v>#DIV/0!</v>
      </c>
      <c r="RFB71" s="1159" t="e">
        <f t="shared" si="195"/>
        <v>#DIV/0!</v>
      </c>
      <c r="RFC71" s="1159" t="e">
        <f t="shared" si="195"/>
        <v>#DIV/0!</v>
      </c>
      <c r="RFD71" s="1159" t="e">
        <f t="shared" si="195"/>
        <v>#DIV/0!</v>
      </c>
      <c r="RFE71" s="1159" t="e">
        <f t="shared" si="195"/>
        <v>#DIV/0!</v>
      </c>
      <c r="RFF71" s="1159" t="e">
        <f t="shared" si="195"/>
        <v>#DIV/0!</v>
      </c>
      <c r="RFG71" s="1159" t="e">
        <f t="shared" si="195"/>
        <v>#DIV/0!</v>
      </c>
      <c r="RFH71" s="1159" t="e">
        <f t="shared" si="195"/>
        <v>#DIV/0!</v>
      </c>
      <c r="RFI71" s="1159" t="e">
        <f t="shared" si="195"/>
        <v>#DIV/0!</v>
      </c>
      <c r="RFJ71" s="1159" t="e">
        <f t="shared" si="195"/>
        <v>#DIV/0!</v>
      </c>
      <c r="RFK71" s="1159" t="e">
        <f t="shared" si="195"/>
        <v>#DIV/0!</v>
      </c>
      <c r="RFL71" s="1159" t="e">
        <f t="shared" si="195"/>
        <v>#DIV/0!</v>
      </c>
      <c r="RFM71" s="1159" t="e">
        <f t="shared" si="195"/>
        <v>#DIV/0!</v>
      </c>
      <c r="RFN71" s="1159" t="e">
        <f t="shared" si="195"/>
        <v>#DIV/0!</v>
      </c>
      <c r="RFO71" s="1159" t="e">
        <f t="shared" si="195"/>
        <v>#DIV/0!</v>
      </c>
      <c r="RFP71" s="1159" t="e">
        <f t="shared" si="195"/>
        <v>#DIV/0!</v>
      </c>
      <c r="RFQ71" s="1159" t="e">
        <f t="shared" si="195"/>
        <v>#DIV/0!</v>
      </c>
      <c r="RFR71" s="1159" t="e">
        <f t="shared" si="195"/>
        <v>#DIV/0!</v>
      </c>
      <c r="RFS71" s="1159" t="e">
        <f t="shared" si="195"/>
        <v>#DIV/0!</v>
      </c>
      <c r="RFT71" s="1159" t="e">
        <f t="shared" si="195"/>
        <v>#DIV/0!</v>
      </c>
      <c r="RFU71" s="1159" t="e">
        <f t="shared" si="195"/>
        <v>#DIV/0!</v>
      </c>
      <c r="RFV71" s="1159" t="e">
        <f t="shared" si="195"/>
        <v>#DIV/0!</v>
      </c>
      <c r="RFW71" s="1159" t="e">
        <f t="shared" si="195"/>
        <v>#DIV/0!</v>
      </c>
      <c r="RFX71" s="1159" t="e">
        <f t="shared" si="195"/>
        <v>#DIV/0!</v>
      </c>
      <c r="RFY71" s="1159" t="e">
        <f t="shared" si="195"/>
        <v>#DIV/0!</v>
      </c>
      <c r="RFZ71" s="1159" t="e">
        <f t="shared" si="195"/>
        <v>#DIV/0!</v>
      </c>
      <c r="RGA71" s="1159" t="e">
        <f t="shared" si="195"/>
        <v>#DIV/0!</v>
      </c>
      <c r="RGB71" s="1159" t="e">
        <f t="shared" si="195"/>
        <v>#DIV/0!</v>
      </c>
      <c r="RGC71" s="1159" t="e">
        <f t="shared" si="195"/>
        <v>#DIV/0!</v>
      </c>
      <c r="RGD71" s="1159" t="e">
        <f t="shared" si="195"/>
        <v>#DIV/0!</v>
      </c>
      <c r="RGE71" s="1159" t="e">
        <f t="shared" si="195"/>
        <v>#DIV/0!</v>
      </c>
      <c r="RGF71" s="1159" t="e">
        <f t="shared" si="195"/>
        <v>#DIV/0!</v>
      </c>
      <c r="RGG71" s="1159" t="e">
        <f t="shared" si="195"/>
        <v>#DIV/0!</v>
      </c>
      <c r="RGH71" s="1159" t="e">
        <f t="shared" ref="RGH71:RIS71" si="196">((RGH6+RGH12+RGH13+RGH14+RGH15)*860+RGH16*RGH55+RGH17*RGH56+RGH7*RGH49+RGH8*RGH50+RGH9*RGH51+RGH10*RGH52+RGH11*RGH53)/(SUM(RGH6:RGH17))</f>
        <v>#DIV/0!</v>
      </c>
      <c r="RGI71" s="1159" t="e">
        <f t="shared" si="196"/>
        <v>#DIV/0!</v>
      </c>
      <c r="RGJ71" s="1159" t="e">
        <f t="shared" si="196"/>
        <v>#DIV/0!</v>
      </c>
      <c r="RGK71" s="1159" t="e">
        <f t="shared" si="196"/>
        <v>#DIV/0!</v>
      </c>
      <c r="RGL71" s="1159" t="e">
        <f t="shared" si="196"/>
        <v>#DIV/0!</v>
      </c>
      <c r="RGM71" s="1159" t="e">
        <f t="shared" si="196"/>
        <v>#DIV/0!</v>
      </c>
      <c r="RGN71" s="1159" t="e">
        <f t="shared" si="196"/>
        <v>#DIV/0!</v>
      </c>
      <c r="RGO71" s="1159" t="e">
        <f t="shared" si="196"/>
        <v>#DIV/0!</v>
      </c>
      <c r="RGP71" s="1159" t="e">
        <f t="shared" si="196"/>
        <v>#DIV/0!</v>
      </c>
      <c r="RGQ71" s="1159" t="e">
        <f t="shared" si="196"/>
        <v>#DIV/0!</v>
      </c>
      <c r="RGR71" s="1159" t="e">
        <f t="shared" si="196"/>
        <v>#DIV/0!</v>
      </c>
      <c r="RGS71" s="1159" t="e">
        <f t="shared" si="196"/>
        <v>#DIV/0!</v>
      </c>
      <c r="RGT71" s="1159" t="e">
        <f t="shared" si="196"/>
        <v>#DIV/0!</v>
      </c>
      <c r="RGU71" s="1159" t="e">
        <f t="shared" si="196"/>
        <v>#DIV/0!</v>
      </c>
      <c r="RGV71" s="1159" t="e">
        <f t="shared" si="196"/>
        <v>#DIV/0!</v>
      </c>
      <c r="RGW71" s="1159" t="e">
        <f t="shared" si="196"/>
        <v>#DIV/0!</v>
      </c>
      <c r="RGX71" s="1159" t="e">
        <f t="shared" si="196"/>
        <v>#DIV/0!</v>
      </c>
      <c r="RGY71" s="1159" t="e">
        <f t="shared" si="196"/>
        <v>#DIV/0!</v>
      </c>
      <c r="RGZ71" s="1159" t="e">
        <f t="shared" si="196"/>
        <v>#DIV/0!</v>
      </c>
      <c r="RHA71" s="1159" t="e">
        <f t="shared" si="196"/>
        <v>#DIV/0!</v>
      </c>
      <c r="RHB71" s="1159" t="e">
        <f t="shared" si="196"/>
        <v>#DIV/0!</v>
      </c>
      <c r="RHC71" s="1159" t="e">
        <f t="shared" si="196"/>
        <v>#DIV/0!</v>
      </c>
      <c r="RHD71" s="1159" t="e">
        <f t="shared" si="196"/>
        <v>#DIV/0!</v>
      </c>
      <c r="RHE71" s="1159" t="e">
        <f t="shared" si="196"/>
        <v>#DIV/0!</v>
      </c>
      <c r="RHF71" s="1159" t="e">
        <f t="shared" si="196"/>
        <v>#DIV/0!</v>
      </c>
      <c r="RHG71" s="1159" t="e">
        <f t="shared" si="196"/>
        <v>#DIV/0!</v>
      </c>
      <c r="RHH71" s="1159" t="e">
        <f t="shared" si="196"/>
        <v>#DIV/0!</v>
      </c>
      <c r="RHI71" s="1159" t="e">
        <f t="shared" si="196"/>
        <v>#DIV/0!</v>
      </c>
      <c r="RHJ71" s="1159" t="e">
        <f t="shared" si="196"/>
        <v>#DIV/0!</v>
      </c>
      <c r="RHK71" s="1159" t="e">
        <f t="shared" si="196"/>
        <v>#DIV/0!</v>
      </c>
      <c r="RHL71" s="1159" t="e">
        <f t="shared" si="196"/>
        <v>#DIV/0!</v>
      </c>
      <c r="RHM71" s="1159" t="e">
        <f t="shared" si="196"/>
        <v>#DIV/0!</v>
      </c>
      <c r="RHN71" s="1159" t="e">
        <f t="shared" si="196"/>
        <v>#DIV/0!</v>
      </c>
      <c r="RHO71" s="1159" t="e">
        <f t="shared" si="196"/>
        <v>#DIV/0!</v>
      </c>
      <c r="RHP71" s="1159" t="e">
        <f t="shared" si="196"/>
        <v>#DIV/0!</v>
      </c>
      <c r="RHQ71" s="1159" t="e">
        <f t="shared" si="196"/>
        <v>#DIV/0!</v>
      </c>
      <c r="RHR71" s="1159" t="e">
        <f t="shared" si="196"/>
        <v>#DIV/0!</v>
      </c>
      <c r="RHS71" s="1159" t="e">
        <f t="shared" si="196"/>
        <v>#DIV/0!</v>
      </c>
      <c r="RHT71" s="1159" t="e">
        <f t="shared" si="196"/>
        <v>#DIV/0!</v>
      </c>
      <c r="RHU71" s="1159" t="e">
        <f t="shared" si="196"/>
        <v>#DIV/0!</v>
      </c>
      <c r="RHV71" s="1159" t="e">
        <f t="shared" si="196"/>
        <v>#DIV/0!</v>
      </c>
      <c r="RHW71" s="1159" t="e">
        <f t="shared" si="196"/>
        <v>#DIV/0!</v>
      </c>
      <c r="RHX71" s="1159" t="e">
        <f t="shared" si="196"/>
        <v>#DIV/0!</v>
      </c>
      <c r="RHY71" s="1159" t="e">
        <f t="shared" si="196"/>
        <v>#DIV/0!</v>
      </c>
      <c r="RHZ71" s="1159" t="e">
        <f t="shared" si="196"/>
        <v>#DIV/0!</v>
      </c>
      <c r="RIA71" s="1159" t="e">
        <f t="shared" si="196"/>
        <v>#DIV/0!</v>
      </c>
      <c r="RIB71" s="1159" t="e">
        <f t="shared" si="196"/>
        <v>#DIV/0!</v>
      </c>
      <c r="RIC71" s="1159" t="e">
        <f t="shared" si="196"/>
        <v>#DIV/0!</v>
      </c>
      <c r="RID71" s="1159" t="e">
        <f t="shared" si="196"/>
        <v>#DIV/0!</v>
      </c>
      <c r="RIE71" s="1159" t="e">
        <f t="shared" si="196"/>
        <v>#DIV/0!</v>
      </c>
      <c r="RIF71" s="1159" t="e">
        <f t="shared" si="196"/>
        <v>#DIV/0!</v>
      </c>
      <c r="RIG71" s="1159" t="e">
        <f t="shared" si="196"/>
        <v>#DIV/0!</v>
      </c>
      <c r="RIH71" s="1159" t="e">
        <f t="shared" si="196"/>
        <v>#DIV/0!</v>
      </c>
      <c r="RII71" s="1159" t="e">
        <f t="shared" si="196"/>
        <v>#DIV/0!</v>
      </c>
      <c r="RIJ71" s="1159" t="e">
        <f t="shared" si="196"/>
        <v>#DIV/0!</v>
      </c>
      <c r="RIK71" s="1159" t="e">
        <f t="shared" si="196"/>
        <v>#DIV/0!</v>
      </c>
      <c r="RIL71" s="1159" t="e">
        <f t="shared" si="196"/>
        <v>#DIV/0!</v>
      </c>
      <c r="RIM71" s="1159" t="e">
        <f t="shared" si="196"/>
        <v>#DIV/0!</v>
      </c>
      <c r="RIN71" s="1159" t="e">
        <f t="shared" si="196"/>
        <v>#DIV/0!</v>
      </c>
      <c r="RIO71" s="1159" t="e">
        <f t="shared" si="196"/>
        <v>#DIV/0!</v>
      </c>
      <c r="RIP71" s="1159" t="e">
        <f t="shared" si="196"/>
        <v>#DIV/0!</v>
      </c>
      <c r="RIQ71" s="1159" t="e">
        <f t="shared" si="196"/>
        <v>#DIV/0!</v>
      </c>
      <c r="RIR71" s="1159" t="e">
        <f t="shared" si="196"/>
        <v>#DIV/0!</v>
      </c>
      <c r="RIS71" s="1159" t="e">
        <f t="shared" si="196"/>
        <v>#DIV/0!</v>
      </c>
      <c r="RIT71" s="1159" t="e">
        <f t="shared" ref="RIT71:RLE71" si="197">((RIT6+RIT12+RIT13+RIT14+RIT15)*860+RIT16*RIT55+RIT17*RIT56+RIT7*RIT49+RIT8*RIT50+RIT9*RIT51+RIT10*RIT52+RIT11*RIT53)/(SUM(RIT6:RIT17))</f>
        <v>#DIV/0!</v>
      </c>
      <c r="RIU71" s="1159" t="e">
        <f t="shared" si="197"/>
        <v>#DIV/0!</v>
      </c>
      <c r="RIV71" s="1159" t="e">
        <f t="shared" si="197"/>
        <v>#DIV/0!</v>
      </c>
      <c r="RIW71" s="1159" t="e">
        <f t="shared" si="197"/>
        <v>#DIV/0!</v>
      </c>
      <c r="RIX71" s="1159" t="e">
        <f t="shared" si="197"/>
        <v>#DIV/0!</v>
      </c>
      <c r="RIY71" s="1159" t="e">
        <f t="shared" si="197"/>
        <v>#DIV/0!</v>
      </c>
      <c r="RIZ71" s="1159" t="e">
        <f t="shared" si="197"/>
        <v>#DIV/0!</v>
      </c>
      <c r="RJA71" s="1159" t="e">
        <f t="shared" si="197"/>
        <v>#DIV/0!</v>
      </c>
      <c r="RJB71" s="1159" t="e">
        <f t="shared" si="197"/>
        <v>#DIV/0!</v>
      </c>
      <c r="RJC71" s="1159" t="e">
        <f t="shared" si="197"/>
        <v>#DIV/0!</v>
      </c>
      <c r="RJD71" s="1159" t="e">
        <f t="shared" si="197"/>
        <v>#DIV/0!</v>
      </c>
      <c r="RJE71" s="1159" t="e">
        <f t="shared" si="197"/>
        <v>#DIV/0!</v>
      </c>
      <c r="RJF71" s="1159" t="e">
        <f t="shared" si="197"/>
        <v>#DIV/0!</v>
      </c>
      <c r="RJG71" s="1159" t="e">
        <f t="shared" si="197"/>
        <v>#DIV/0!</v>
      </c>
      <c r="RJH71" s="1159" t="e">
        <f t="shared" si="197"/>
        <v>#DIV/0!</v>
      </c>
      <c r="RJI71" s="1159" t="e">
        <f t="shared" si="197"/>
        <v>#DIV/0!</v>
      </c>
      <c r="RJJ71" s="1159" t="e">
        <f t="shared" si="197"/>
        <v>#DIV/0!</v>
      </c>
      <c r="RJK71" s="1159" t="e">
        <f t="shared" si="197"/>
        <v>#DIV/0!</v>
      </c>
      <c r="RJL71" s="1159" t="e">
        <f t="shared" si="197"/>
        <v>#DIV/0!</v>
      </c>
      <c r="RJM71" s="1159" t="e">
        <f t="shared" si="197"/>
        <v>#DIV/0!</v>
      </c>
      <c r="RJN71" s="1159" t="e">
        <f t="shared" si="197"/>
        <v>#DIV/0!</v>
      </c>
      <c r="RJO71" s="1159" t="e">
        <f t="shared" si="197"/>
        <v>#DIV/0!</v>
      </c>
      <c r="RJP71" s="1159" t="e">
        <f t="shared" si="197"/>
        <v>#DIV/0!</v>
      </c>
      <c r="RJQ71" s="1159" t="e">
        <f t="shared" si="197"/>
        <v>#DIV/0!</v>
      </c>
      <c r="RJR71" s="1159" t="e">
        <f t="shared" si="197"/>
        <v>#DIV/0!</v>
      </c>
      <c r="RJS71" s="1159" t="e">
        <f t="shared" si="197"/>
        <v>#DIV/0!</v>
      </c>
      <c r="RJT71" s="1159" t="e">
        <f t="shared" si="197"/>
        <v>#DIV/0!</v>
      </c>
      <c r="RJU71" s="1159" t="e">
        <f t="shared" si="197"/>
        <v>#DIV/0!</v>
      </c>
      <c r="RJV71" s="1159" t="e">
        <f t="shared" si="197"/>
        <v>#DIV/0!</v>
      </c>
      <c r="RJW71" s="1159" t="e">
        <f t="shared" si="197"/>
        <v>#DIV/0!</v>
      </c>
      <c r="RJX71" s="1159" t="e">
        <f t="shared" si="197"/>
        <v>#DIV/0!</v>
      </c>
      <c r="RJY71" s="1159" t="e">
        <f t="shared" si="197"/>
        <v>#DIV/0!</v>
      </c>
      <c r="RJZ71" s="1159" t="e">
        <f t="shared" si="197"/>
        <v>#DIV/0!</v>
      </c>
      <c r="RKA71" s="1159" t="e">
        <f t="shared" si="197"/>
        <v>#DIV/0!</v>
      </c>
      <c r="RKB71" s="1159" t="e">
        <f t="shared" si="197"/>
        <v>#DIV/0!</v>
      </c>
      <c r="RKC71" s="1159" t="e">
        <f t="shared" si="197"/>
        <v>#DIV/0!</v>
      </c>
      <c r="RKD71" s="1159" t="e">
        <f t="shared" si="197"/>
        <v>#DIV/0!</v>
      </c>
      <c r="RKE71" s="1159" t="e">
        <f t="shared" si="197"/>
        <v>#DIV/0!</v>
      </c>
      <c r="RKF71" s="1159" t="e">
        <f t="shared" si="197"/>
        <v>#DIV/0!</v>
      </c>
      <c r="RKG71" s="1159" t="e">
        <f t="shared" si="197"/>
        <v>#DIV/0!</v>
      </c>
      <c r="RKH71" s="1159" t="e">
        <f t="shared" si="197"/>
        <v>#DIV/0!</v>
      </c>
      <c r="RKI71" s="1159" t="e">
        <f t="shared" si="197"/>
        <v>#DIV/0!</v>
      </c>
      <c r="RKJ71" s="1159" t="e">
        <f t="shared" si="197"/>
        <v>#DIV/0!</v>
      </c>
      <c r="RKK71" s="1159" t="e">
        <f t="shared" si="197"/>
        <v>#DIV/0!</v>
      </c>
      <c r="RKL71" s="1159" t="e">
        <f t="shared" si="197"/>
        <v>#DIV/0!</v>
      </c>
      <c r="RKM71" s="1159" t="e">
        <f t="shared" si="197"/>
        <v>#DIV/0!</v>
      </c>
      <c r="RKN71" s="1159" t="e">
        <f t="shared" si="197"/>
        <v>#DIV/0!</v>
      </c>
      <c r="RKO71" s="1159" t="e">
        <f t="shared" si="197"/>
        <v>#DIV/0!</v>
      </c>
      <c r="RKP71" s="1159" t="e">
        <f t="shared" si="197"/>
        <v>#DIV/0!</v>
      </c>
      <c r="RKQ71" s="1159" t="e">
        <f t="shared" si="197"/>
        <v>#DIV/0!</v>
      </c>
      <c r="RKR71" s="1159" t="e">
        <f t="shared" si="197"/>
        <v>#DIV/0!</v>
      </c>
      <c r="RKS71" s="1159" t="e">
        <f t="shared" si="197"/>
        <v>#DIV/0!</v>
      </c>
      <c r="RKT71" s="1159" t="e">
        <f t="shared" si="197"/>
        <v>#DIV/0!</v>
      </c>
      <c r="RKU71" s="1159" t="e">
        <f t="shared" si="197"/>
        <v>#DIV/0!</v>
      </c>
      <c r="RKV71" s="1159" t="e">
        <f t="shared" si="197"/>
        <v>#DIV/0!</v>
      </c>
      <c r="RKW71" s="1159" t="e">
        <f t="shared" si="197"/>
        <v>#DIV/0!</v>
      </c>
      <c r="RKX71" s="1159" t="e">
        <f t="shared" si="197"/>
        <v>#DIV/0!</v>
      </c>
      <c r="RKY71" s="1159" t="e">
        <f t="shared" si="197"/>
        <v>#DIV/0!</v>
      </c>
      <c r="RKZ71" s="1159" t="e">
        <f t="shared" si="197"/>
        <v>#DIV/0!</v>
      </c>
      <c r="RLA71" s="1159" t="e">
        <f t="shared" si="197"/>
        <v>#DIV/0!</v>
      </c>
      <c r="RLB71" s="1159" t="e">
        <f t="shared" si="197"/>
        <v>#DIV/0!</v>
      </c>
      <c r="RLC71" s="1159" t="e">
        <f t="shared" si="197"/>
        <v>#DIV/0!</v>
      </c>
      <c r="RLD71" s="1159" t="e">
        <f t="shared" si="197"/>
        <v>#DIV/0!</v>
      </c>
      <c r="RLE71" s="1159" t="e">
        <f t="shared" si="197"/>
        <v>#DIV/0!</v>
      </c>
      <c r="RLF71" s="1159" t="e">
        <f t="shared" ref="RLF71:RNQ71" si="198">((RLF6+RLF12+RLF13+RLF14+RLF15)*860+RLF16*RLF55+RLF17*RLF56+RLF7*RLF49+RLF8*RLF50+RLF9*RLF51+RLF10*RLF52+RLF11*RLF53)/(SUM(RLF6:RLF17))</f>
        <v>#DIV/0!</v>
      </c>
      <c r="RLG71" s="1159" t="e">
        <f t="shared" si="198"/>
        <v>#DIV/0!</v>
      </c>
      <c r="RLH71" s="1159" t="e">
        <f t="shared" si="198"/>
        <v>#DIV/0!</v>
      </c>
      <c r="RLI71" s="1159" t="e">
        <f t="shared" si="198"/>
        <v>#DIV/0!</v>
      </c>
      <c r="RLJ71" s="1159" t="e">
        <f t="shared" si="198"/>
        <v>#DIV/0!</v>
      </c>
      <c r="RLK71" s="1159" t="e">
        <f t="shared" si="198"/>
        <v>#DIV/0!</v>
      </c>
      <c r="RLL71" s="1159" t="e">
        <f t="shared" si="198"/>
        <v>#DIV/0!</v>
      </c>
      <c r="RLM71" s="1159" t="e">
        <f t="shared" si="198"/>
        <v>#DIV/0!</v>
      </c>
      <c r="RLN71" s="1159" t="e">
        <f t="shared" si="198"/>
        <v>#DIV/0!</v>
      </c>
      <c r="RLO71" s="1159" t="e">
        <f t="shared" si="198"/>
        <v>#DIV/0!</v>
      </c>
      <c r="RLP71" s="1159" t="e">
        <f t="shared" si="198"/>
        <v>#DIV/0!</v>
      </c>
      <c r="RLQ71" s="1159" t="e">
        <f t="shared" si="198"/>
        <v>#DIV/0!</v>
      </c>
      <c r="RLR71" s="1159" t="e">
        <f t="shared" si="198"/>
        <v>#DIV/0!</v>
      </c>
      <c r="RLS71" s="1159" t="e">
        <f t="shared" si="198"/>
        <v>#DIV/0!</v>
      </c>
      <c r="RLT71" s="1159" t="e">
        <f t="shared" si="198"/>
        <v>#DIV/0!</v>
      </c>
      <c r="RLU71" s="1159" t="e">
        <f t="shared" si="198"/>
        <v>#DIV/0!</v>
      </c>
      <c r="RLV71" s="1159" t="e">
        <f t="shared" si="198"/>
        <v>#DIV/0!</v>
      </c>
      <c r="RLW71" s="1159" t="e">
        <f t="shared" si="198"/>
        <v>#DIV/0!</v>
      </c>
      <c r="RLX71" s="1159" t="e">
        <f t="shared" si="198"/>
        <v>#DIV/0!</v>
      </c>
      <c r="RLY71" s="1159" t="e">
        <f t="shared" si="198"/>
        <v>#DIV/0!</v>
      </c>
      <c r="RLZ71" s="1159" t="e">
        <f t="shared" si="198"/>
        <v>#DIV/0!</v>
      </c>
      <c r="RMA71" s="1159" t="e">
        <f t="shared" si="198"/>
        <v>#DIV/0!</v>
      </c>
      <c r="RMB71" s="1159" t="e">
        <f t="shared" si="198"/>
        <v>#DIV/0!</v>
      </c>
      <c r="RMC71" s="1159" t="e">
        <f t="shared" si="198"/>
        <v>#DIV/0!</v>
      </c>
      <c r="RMD71" s="1159" t="e">
        <f t="shared" si="198"/>
        <v>#DIV/0!</v>
      </c>
      <c r="RME71" s="1159" t="e">
        <f t="shared" si="198"/>
        <v>#DIV/0!</v>
      </c>
      <c r="RMF71" s="1159" t="e">
        <f t="shared" si="198"/>
        <v>#DIV/0!</v>
      </c>
      <c r="RMG71" s="1159" t="e">
        <f t="shared" si="198"/>
        <v>#DIV/0!</v>
      </c>
      <c r="RMH71" s="1159" t="e">
        <f t="shared" si="198"/>
        <v>#DIV/0!</v>
      </c>
      <c r="RMI71" s="1159" t="e">
        <f t="shared" si="198"/>
        <v>#DIV/0!</v>
      </c>
      <c r="RMJ71" s="1159" t="e">
        <f t="shared" si="198"/>
        <v>#DIV/0!</v>
      </c>
      <c r="RMK71" s="1159" t="e">
        <f t="shared" si="198"/>
        <v>#DIV/0!</v>
      </c>
      <c r="RML71" s="1159" t="e">
        <f t="shared" si="198"/>
        <v>#DIV/0!</v>
      </c>
      <c r="RMM71" s="1159" t="e">
        <f t="shared" si="198"/>
        <v>#DIV/0!</v>
      </c>
      <c r="RMN71" s="1159" t="e">
        <f t="shared" si="198"/>
        <v>#DIV/0!</v>
      </c>
      <c r="RMO71" s="1159" t="e">
        <f t="shared" si="198"/>
        <v>#DIV/0!</v>
      </c>
      <c r="RMP71" s="1159" t="e">
        <f t="shared" si="198"/>
        <v>#DIV/0!</v>
      </c>
      <c r="RMQ71" s="1159" t="e">
        <f t="shared" si="198"/>
        <v>#DIV/0!</v>
      </c>
      <c r="RMR71" s="1159" t="e">
        <f t="shared" si="198"/>
        <v>#DIV/0!</v>
      </c>
      <c r="RMS71" s="1159" t="e">
        <f t="shared" si="198"/>
        <v>#DIV/0!</v>
      </c>
      <c r="RMT71" s="1159" t="e">
        <f t="shared" si="198"/>
        <v>#DIV/0!</v>
      </c>
      <c r="RMU71" s="1159" t="e">
        <f t="shared" si="198"/>
        <v>#DIV/0!</v>
      </c>
      <c r="RMV71" s="1159" t="e">
        <f t="shared" si="198"/>
        <v>#DIV/0!</v>
      </c>
      <c r="RMW71" s="1159" t="e">
        <f t="shared" si="198"/>
        <v>#DIV/0!</v>
      </c>
      <c r="RMX71" s="1159" t="e">
        <f t="shared" si="198"/>
        <v>#DIV/0!</v>
      </c>
      <c r="RMY71" s="1159" t="e">
        <f t="shared" si="198"/>
        <v>#DIV/0!</v>
      </c>
      <c r="RMZ71" s="1159" t="e">
        <f t="shared" si="198"/>
        <v>#DIV/0!</v>
      </c>
      <c r="RNA71" s="1159" t="e">
        <f t="shared" si="198"/>
        <v>#DIV/0!</v>
      </c>
      <c r="RNB71" s="1159" t="e">
        <f t="shared" si="198"/>
        <v>#DIV/0!</v>
      </c>
      <c r="RNC71" s="1159" t="e">
        <f t="shared" si="198"/>
        <v>#DIV/0!</v>
      </c>
      <c r="RND71" s="1159" t="e">
        <f t="shared" si="198"/>
        <v>#DIV/0!</v>
      </c>
      <c r="RNE71" s="1159" t="e">
        <f t="shared" si="198"/>
        <v>#DIV/0!</v>
      </c>
      <c r="RNF71" s="1159" t="e">
        <f t="shared" si="198"/>
        <v>#DIV/0!</v>
      </c>
      <c r="RNG71" s="1159" t="e">
        <f t="shared" si="198"/>
        <v>#DIV/0!</v>
      </c>
      <c r="RNH71" s="1159" t="e">
        <f t="shared" si="198"/>
        <v>#DIV/0!</v>
      </c>
      <c r="RNI71" s="1159" t="e">
        <f t="shared" si="198"/>
        <v>#DIV/0!</v>
      </c>
      <c r="RNJ71" s="1159" t="e">
        <f t="shared" si="198"/>
        <v>#DIV/0!</v>
      </c>
      <c r="RNK71" s="1159" t="e">
        <f t="shared" si="198"/>
        <v>#DIV/0!</v>
      </c>
      <c r="RNL71" s="1159" t="e">
        <f t="shared" si="198"/>
        <v>#DIV/0!</v>
      </c>
      <c r="RNM71" s="1159" t="e">
        <f t="shared" si="198"/>
        <v>#DIV/0!</v>
      </c>
      <c r="RNN71" s="1159" t="e">
        <f t="shared" si="198"/>
        <v>#DIV/0!</v>
      </c>
      <c r="RNO71" s="1159" t="e">
        <f t="shared" si="198"/>
        <v>#DIV/0!</v>
      </c>
      <c r="RNP71" s="1159" t="e">
        <f t="shared" si="198"/>
        <v>#DIV/0!</v>
      </c>
      <c r="RNQ71" s="1159" t="e">
        <f t="shared" si="198"/>
        <v>#DIV/0!</v>
      </c>
      <c r="RNR71" s="1159" t="e">
        <f t="shared" ref="RNR71:RQC71" si="199">((RNR6+RNR12+RNR13+RNR14+RNR15)*860+RNR16*RNR55+RNR17*RNR56+RNR7*RNR49+RNR8*RNR50+RNR9*RNR51+RNR10*RNR52+RNR11*RNR53)/(SUM(RNR6:RNR17))</f>
        <v>#DIV/0!</v>
      </c>
      <c r="RNS71" s="1159" t="e">
        <f t="shared" si="199"/>
        <v>#DIV/0!</v>
      </c>
      <c r="RNT71" s="1159" t="e">
        <f t="shared" si="199"/>
        <v>#DIV/0!</v>
      </c>
      <c r="RNU71" s="1159" t="e">
        <f t="shared" si="199"/>
        <v>#DIV/0!</v>
      </c>
      <c r="RNV71" s="1159" t="e">
        <f t="shared" si="199"/>
        <v>#DIV/0!</v>
      </c>
      <c r="RNW71" s="1159" t="e">
        <f t="shared" si="199"/>
        <v>#DIV/0!</v>
      </c>
      <c r="RNX71" s="1159" t="e">
        <f t="shared" si="199"/>
        <v>#DIV/0!</v>
      </c>
      <c r="RNY71" s="1159" t="e">
        <f t="shared" si="199"/>
        <v>#DIV/0!</v>
      </c>
      <c r="RNZ71" s="1159" t="e">
        <f t="shared" si="199"/>
        <v>#DIV/0!</v>
      </c>
      <c r="ROA71" s="1159" t="e">
        <f t="shared" si="199"/>
        <v>#DIV/0!</v>
      </c>
      <c r="ROB71" s="1159" t="e">
        <f t="shared" si="199"/>
        <v>#DIV/0!</v>
      </c>
      <c r="ROC71" s="1159" t="e">
        <f t="shared" si="199"/>
        <v>#DIV/0!</v>
      </c>
      <c r="ROD71" s="1159" t="e">
        <f t="shared" si="199"/>
        <v>#DIV/0!</v>
      </c>
      <c r="ROE71" s="1159" t="e">
        <f t="shared" si="199"/>
        <v>#DIV/0!</v>
      </c>
      <c r="ROF71" s="1159" t="e">
        <f t="shared" si="199"/>
        <v>#DIV/0!</v>
      </c>
      <c r="ROG71" s="1159" t="e">
        <f t="shared" si="199"/>
        <v>#DIV/0!</v>
      </c>
      <c r="ROH71" s="1159" t="e">
        <f t="shared" si="199"/>
        <v>#DIV/0!</v>
      </c>
      <c r="ROI71" s="1159" t="e">
        <f t="shared" si="199"/>
        <v>#DIV/0!</v>
      </c>
      <c r="ROJ71" s="1159" t="e">
        <f t="shared" si="199"/>
        <v>#DIV/0!</v>
      </c>
      <c r="ROK71" s="1159" t="e">
        <f t="shared" si="199"/>
        <v>#DIV/0!</v>
      </c>
      <c r="ROL71" s="1159" t="e">
        <f t="shared" si="199"/>
        <v>#DIV/0!</v>
      </c>
      <c r="ROM71" s="1159" t="e">
        <f t="shared" si="199"/>
        <v>#DIV/0!</v>
      </c>
      <c r="RON71" s="1159" t="e">
        <f t="shared" si="199"/>
        <v>#DIV/0!</v>
      </c>
      <c r="ROO71" s="1159" t="e">
        <f t="shared" si="199"/>
        <v>#DIV/0!</v>
      </c>
      <c r="ROP71" s="1159" t="e">
        <f t="shared" si="199"/>
        <v>#DIV/0!</v>
      </c>
      <c r="ROQ71" s="1159" t="e">
        <f t="shared" si="199"/>
        <v>#DIV/0!</v>
      </c>
      <c r="ROR71" s="1159" t="e">
        <f t="shared" si="199"/>
        <v>#DIV/0!</v>
      </c>
      <c r="ROS71" s="1159" t="e">
        <f t="shared" si="199"/>
        <v>#DIV/0!</v>
      </c>
      <c r="ROT71" s="1159" t="e">
        <f t="shared" si="199"/>
        <v>#DIV/0!</v>
      </c>
      <c r="ROU71" s="1159" t="e">
        <f t="shared" si="199"/>
        <v>#DIV/0!</v>
      </c>
      <c r="ROV71" s="1159" t="e">
        <f t="shared" si="199"/>
        <v>#DIV/0!</v>
      </c>
      <c r="ROW71" s="1159" t="e">
        <f t="shared" si="199"/>
        <v>#DIV/0!</v>
      </c>
      <c r="ROX71" s="1159" t="e">
        <f t="shared" si="199"/>
        <v>#DIV/0!</v>
      </c>
      <c r="ROY71" s="1159" t="e">
        <f t="shared" si="199"/>
        <v>#DIV/0!</v>
      </c>
      <c r="ROZ71" s="1159" t="e">
        <f t="shared" si="199"/>
        <v>#DIV/0!</v>
      </c>
      <c r="RPA71" s="1159" t="e">
        <f t="shared" si="199"/>
        <v>#DIV/0!</v>
      </c>
      <c r="RPB71" s="1159" t="e">
        <f t="shared" si="199"/>
        <v>#DIV/0!</v>
      </c>
      <c r="RPC71" s="1159" t="e">
        <f t="shared" si="199"/>
        <v>#DIV/0!</v>
      </c>
      <c r="RPD71" s="1159" t="e">
        <f t="shared" si="199"/>
        <v>#DIV/0!</v>
      </c>
      <c r="RPE71" s="1159" t="e">
        <f t="shared" si="199"/>
        <v>#DIV/0!</v>
      </c>
      <c r="RPF71" s="1159" t="e">
        <f t="shared" si="199"/>
        <v>#DIV/0!</v>
      </c>
      <c r="RPG71" s="1159" t="e">
        <f t="shared" si="199"/>
        <v>#DIV/0!</v>
      </c>
      <c r="RPH71" s="1159" t="e">
        <f t="shared" si="199"/>
        <v>#DIV/0!</v>
      </c>
      <c r="RPI71" s="1159" t="e">
        <f t="shared" si="199"/>
        <v>#DIV/0!</v>
      </c>
      <c r="RPJ71" s="1159" t="e">
        <f t="shared" si="199"/>
        <v>#DIV/0!</v>
      </c>
      <c r="RPK71" s="1159" t="e">
        <f t="shared" si="199"/>
        <v>#DIV/0!</v>
      </c>
      <c r="RPL71" s="1159" t="e">
        <f t="shared" si="199"/>
        <v>#DIV/0!</v>
      </c>
      <c r="RPM71" s="1159" t="e">
        <f t="shared" si="199"/>
        <v>#DIV/0!</v>
      </c>
      <c r="RPN71" s="1159" t="e">
        <f t="shared" si="199"/>
        <v>#DIV/0!</v>
      </c>
      <c r="RPO71" s="1159" t="e">
        <f t="shared" si="199"/>
        <v>#DIV/0!</v>
      </c>
      <c r="RPP71" s="1159" t="e">
        <f t="shared" si="199"/>
        <v>#DIV/0!</v>
      </c>
      <c r="RPQ71" s="1159" t="e">
        <f t="shared" si="199"/>
        <v>#DIV/0!</v>
      </c>
      <c r="RPR71" s="1159" t="e">
        <f t="shared" si="199"/>
        <v>#DIV/0!</v>
      </c>
      <c r="RPS71" s="1159" t="e">
        <f t="shared" si="199"/>
        <v>#DIV/0!</v>
      </c>
      <c r="RPT71" s="1159" t="e">
        <f t="shared" si="199"/>
        <v>#DIV/0!</v>
      </c>
      <c r="RPU71" s="1159" t="e">
        <f t="shared" si="199"/>
        <v>#DIV/0!</v>
      </c>
      <c r="RPV71" s="1159" t="e">
        <f t="shared" si="199"/>
        <v>#DIV/0!</v>
      </c>
      <c r="RPW71" s="1159" t="e">
        <f t="shared" si="199"/>
        <v>#DIV/0!</v>
      </c>
      <c r="RPX71" s="1159" t="e">
        <f t="shared" si="199"/>
        <v>#DIV/0!</v>
      </c>
      <c r="RPY71" s="1159" t="e">
        <f t="shared" si="199"/>
        <v>#DIV/0!</v>
      </c>
      <c r="RPZ71" s="1159" t="e">
        <f t="shared" si="199"/>
        <v>#DIV/0!</v>
      </c>
      <c r="RQA71" s="1159" t="e">
        <f t="shared" si="199"/>
        <v>#DIV/0!</v>
      </c>
      <c r="RQB71" s="1159" t="e">
        <f t="shared" si="199"/>
        <v>#DIV/0!</v>
      </c>
      <c r="RQC71" s="1159" t="e">
        <f t="shared" si="199"/>
        <v>#DIV/0!</v>
      </c>
      <c r="RQD71" s="1159" t="e">
        <f t="shared" ref="RQD71:RSO71" si="200">((RQD6+RQD12+RQD13+RQD14+RQD15)*860+RQD16*RQD55+RQD17*RQD56+RQD7*RQD49+RQD8*RQD50+RQD9*RQD51+RQD10*RQD52+RQD11*RQD53)/(SUM(RQD6:RQD17))</f>
        <v>#DIV/0!</v>
      </c>
      <c r="RQE71" s="1159" t="e">
        <f t="shared" si="200"/>
        <v>#DIV/0!</v>
      </c>
      <c r="RQF71" s="1159" t="e">
        <f t="shared" si="200"/>
        <v>#DIV/0!</v>
      </c>
      <c r="RQG71" s="1159" t="e">
        <f t="shared" si="200"/>
        <v>#DIV/0!</v>
      </c>
      <c r="RQH71" s="1159" t="e">
        <f t="shared" si="200"/>
        <v>#DIV/0!</v>
      </c>
      <c r="RQI71" s="1159" t="e">
        <f t="shared" si="200"/>
        <v>#DIV/0!</v>
      </c>
      <c r="RQJ71" s="1159" t="e">
        <f t="shared" si="200"/>
        <v>#DIV/0!</v>
      </c>
      <c r="RQK71" s="1159" t="e">
        <f t="shared" si="200"/>
        <v>#DIV/0!</v>
      </c>
      <c r="RQL71" s="1159" t="e">
        <f t="shared" si="200"/>
        <v>#DIV/0!</v>
      </c>
      <c r="RQM71" s="1159" t="e">
        <f t="shared" si="200"/>
        <v>#DIV/0!</v>
      </c>
      <c r="RQN71" s="1159" t="e">
        <f t="shared" si="200"/>
        <v>#DIV/0!</v>
      </c>
      <c r="RQO71" s="1159" t="e">
        <f t="shared" si="200"/>
        <v>#DIV/0!</v>
      </c>
      <c r="RQP71" s="1159" t="e">
        <f t="shared" si="200"/>
        <v>#DIV/0!</v>
      </c>
      <c r="RQQ71" s="1159" t="e">
        <f t="shared" si="200"/>
        <v>#DIV/0!</v>
      </c>
      <c r="RQR71" s="1159" t="e">
        <f t="shared" si="200"/>
        <v>#DIV/0!</v>
      </c>
      <c r="RQS71" s="1159" t="e">
        <f t="shared" si="200"/>
        <v>#DIV/0!</v>
      </c>
      <c r="RQT71" s="1159" t="e">
        <f t="shared" si="200"/>
        <v>#DIV/0!</v>
      </c>
      <c r="RQU71" s="1159" t="e">
        <f t="shared" si="200"/>
        <v>#DIV/0!</v>
      </c>
      <c r="RQV71" s="1159" t="e">
        <f t="shared" si="200"/>
        <v>#DIV/0!</v>
      </c>
      <c r="RQW71" s="1159" t="e">
        <f t="shared" si="200"/>
        <v>#DIV/0!</v>
      </c>
      <c r="RQX71" s="1159" t="e">
        <f t="shared" si="200"/>
        <v>#DIV/0!</v>
      </c>
      <c r="RQY71" s="1159" t="e">
        <f t="shared" si="200"/>
        <v>#DIV/0!</v>
      </c>
      <c r="RQZ71" s="1159" t="e">
        <f t="shared" si="200"/>
        <v>#DIV/0!</v>
      </c>
      <c r="RRA71" s="1159" t="e">
        <f t="shared" si="200"/>
        <v>#DIV/0!</v>
      </c>
      <c r="RRB71" s="1159" t="e">
        <f t="shared" si="200"/>
        <v>#DIV/0!</v>
      </c>
      <c r="RRC71" s="1159" t="e">
        <f t="shared" si="200"/>
        <v>#DIV/0!</v>
      </c>
      <c r="RRD71" s="1159" t="e">
        <f t="shared" si="200"/>
        <v>#DIV/0!</v>
      </c>
      <c r="RRE71" s="1159" t="e">
        <f t="shared" si="200"/>
        <v>#DIV/0!</v>
      </c>
      <c r="RRF71" s="1159" t="e">
        <f t="shared" si="200"/>
        <v>#DIV/0!</v>
      </c>
      <c r="RRG71" s="1159" t="e">
        <f t="shared" si="200"/>
        <v>#DIV/0!</v>
      </c>
      <c r="RRH71" s="1159" t="e">
        <f t="shared" si="200"/>
        <v>#DIV/0!</v>
      </c>
      <c r="RRI71" s="1159" t="e">
        <f t="shared" si="200"/>
        <v>#DIV/0!</v>
      </c>
      <c r="RRJ71" s="1159" t="e">
        <f t="shared" si="200"/>
        <v>#DIV/0!</v>
      </c>
      <c r="RRK71" s="1159" t="e">
        <f t="shared" si="200"/>
        <v>#DIV/0!</v>
      </c>
      <c r="RRL71" s="1159" t="e">
        <f t="shared" si="200"/>
        <v>#DIV/0!</v>
      </c>
      <c r="RRM71" s="1159" t="e">
        <f t="shared" si="200"/>
        <v>#DIV/0!</v>
      </c>
      <c r="RRN71" s="1159" t="e">
        <f t="shared" si="200"/>
        <v>#DIV/0!</v>
      </c>
      <c r="RRO71" s="1159" t="e">
        <f t="shared" si="200"/>
        <v>#DIV/0!</v>
      </c>
      <c r="RRP71" s="1159" t="e">
        <f t="shared" si="200"/>
        <v>#DIV/0!</v>
      </c>
      <c r="RRQ71" s="1159" t="e">
        <f t="shared" si="200"/>
        <v>#DIV/0!</v>
      </c>
      <c r="RRR71" s="1159" t="e">
        <f t="shared" si="200"/>
        <v>#DIV/0!</v>
      </c>
      <c r="RRS71" s="1159" t="e">
        <f t="shared" si="200"/>
        <v>#DIV/0!</v>
      </c>
      <c r="RRT71" s="1159" t="e">
        <f t="shared" si="200"/>
        <v>#DIV/0!</v>
      </c>
      <c r="RRU71" s="1159" t="e">
        <f t="shared" si="200"/>
        <v>#DIV/0!</v>
      </c>
      <c r="RRV71" s="1159" t="e">
        <f t="shared" si="200"/>
        <v>#DIV/0!</v>
      </c>
      <c r="RRW71" s="1159" t="e">
        <f t="shared" si="200"/>
        <v>#DIV/0!</v>
      </c>
      <c r="RRX71" s="1159" t="e">
        <f t="shared" si="200"/>
        <v>#DIV/0!</v>
      </c>
      <c r="RRY71" s="1159" t="e">
        <f t="shared" si="200"/>
        <v>#DIV/0!</v>
      </c>
      <c r="RRZ71" s="1159" t="e">
        <f t="shared" si="200"/>
        <v>#DIV/0!</v>
      </c>
      <c r="RSA71" s="1159" t="e">
        <f t="shared" si="200"/>
        <v>#DIV/0!</v>
      </c>
      <c r="RSB71" s="1159" t="e">
        <f t="shared" si="200"/>
        <v>#DIV/0!</v>
      </c>
      <c r="RSC71" s="1159" t="e">
        <f t="shared" si="200"/>
        <v>#DIV/0!</v>
      </c>
      <c r="RSD71" s="1159" t="e">
        <f t="shared" si="200"/>
        <v>#DIV/0!</v>
      </c>
      <c r="RSE71" s="1159" t="e">
        <f t="shared" si="200"/>
        <v>#DIV/0!</v>
      </c>
      <c r="RSF71" s="1159" t="e">
        <f t="shared" si="200"/>
        <v>#DIV/0!</v>
      </c>
      <c r="RSG71" s="1159" t="e">
        <f t="shared" si="200"/>
        <v>#DIV/0!</v>
      </c>
      <c r="RSH71" s="1159" t="e">
        <f t="shared" si="200"/>
        <v>#DIV/0!</v>
      </c>
      <c r="RSI71" s="1159" t="e">
        <f t="shared" si="200"/>
        <v>#DIV/0!</v>
      </c>
      <c r="RSJ71" s="1159" t="e">
        <f t="shared" si="200"/>
        <v>#DIV/0!</v>
      </c>
      <c r="RSK71" s="1159" t="e">
        <f t="shared" si="200"/>
        <v>#DIV/0!</v>
      </c>
      <c r="RSL71" s="1159" t="e">
        <f t="shared" si="200"/>
        <v>#DIV/0!</v>
      </c>
      <c r="RSM71" s="1159" t="e">
        <f t="shared" si="200"/>
        <v>#DIV/0!</v>
      </c>
      <c r="RSN71" s="1159" t="e">
        <f t="shared" si="200"/>
        <v>#DIV/0!</v>
      </c>
      <c r="RSO71" s="1159" t="e">
        <f t="shared" si="200"/>
        <v>#DIV/0!</v>
      </c>
      <c r="RSP71" s="1159" t="e">
        <f t="shared" ref="RSP71:RVA71" si="201">((RSP6+RSP12+RSP13+RSP14+RSP15)*860+RSP16*RSP55+RSP17*RSP56+RSP7*RSP49+RSP8*RSP50+RSP9*RSP51+RSP10*RSP52+RSP11*RSP53)/(SUM(RSP6:RSP17))</f>
        <v>#DIV/0!</v>
      </c>
      <c r="RSQ71" s="1159" t="e">
        <f t="shared" si="201"/>
        <v>#DIV/0!</v>
      </c>
      <c r="RSR71" s="1159" t="e">
        <f t="shared" si="201"/>
        <v>#DIV/0!</v>
      </c>
      <c r="RSS71" s="1159" t="e">
        <f t="shared" si="201"/>
        <v>#DIV/0!</v>
      </c>
      <c r="RST71" s="1159" t="e">
        <f t="shared" si="201"/>
        <v>#DIV/0!</v>
      </c>
      <c r="RSU71" s="1159" t="e">
        <f t="shared" si="201"/>
        <v>#DIV/0!</v>
      </c>
      <c r="RSV71" s="1159" t="e">
        <f t="shared" si="201"/>
        <v>#DIV/0!</v>
      </c>
      <c r="RSW71" s="1159" t="e">
        <f t="shared" si="201"/>
        <v>#DIV/0!</v>
      </c>
      <c r="RSX71" s="1159" t="e">
        <f t="shared" si="201"/>
        <v>#DIV/0!</v>
      </c>
      <c r="RSY71" s="1159" t="e">
        <f t="shared" si="201"/>
        <v>#DIV/0!</v>
      </c>
      <c r="RSZ71" s="1159" t="e">
        <f t="shared" si="201"/>
        <v>#DIV/0!</v>
      </c>
      <c r="RTA71" s="1159" t="e">
        <f t="shared" si="201"/>
        <v>#DIV/0!</v>
      </c>
      <c r="RTB71" s="1159" t="e">
        <f t="shared" si="201"/>
        <v>#DIV/0!</v>
      </c>
      <c r="RTC71" s="1159" t="e">
        <f t="shared" si="201"/>
        <v>#DIV/0!</v>
      </c>
      <c r="RTD71" s="1159" t="e">
        <f t="shared" si="201"/>
        <v>#DIV/0!</v>
      </c>
      <c r="RTE71" s="1159" t="e">
        <f t="shared" si="201"/>
        <v>#DIV/0!</v>
      </c>
      <c r="RTF71" s="1159" t="e">
        <f t="shared" si="201"/>
        <v>#DIV/0!</v>
      </c>
      <c r="RTG71" s="1159" t="e">
        <f t="shared" si="201"/>
        <v>#DIV/0!</v>
      </c>
      <c r="RTH71" s="1159" t="e">
        <f t="shared" si="201"/>
        <v>#DIV/0!</v>
      </c>
      <c r="RTI71" s="1159" t="e">
        <f t="shared" si="201"/>
        <v>#DIV/0!</v>
      </c>
      <c r="RTJ71" s="1159" t="e">
        <f t="shared" si="201"/>
        <v>#DIV/0!</v>
      </c>
      <c r="RTK71" s="1159" t="e">
        <f t="shared" si="201"/>
        <v>#DIV/0!</v>
      </c>
      <c r="RTL71" s="1159" t="e">
        <f t="shared" si="201"/>
        <v>#DIV/0!</v>
      </c>
      <c r="RTM71" s="1159" t="e">
        <f t="shared" si="201"/>
        <v>#DIV/0!</v>
      </c>
      <c r="RTN71" s="1159" t="e">
        <f t="shared" si="201"/>
        <v>#DIV/0!</v>
      </c>
      <c r="RTO71" s="1159" t="e">
        <f t="shared" si="201"/>
        <v>#DIV/0!</v>
      </c>
      <c r="RTP71" s="1159" t="e">
        <f t="shared" si="201"/>
        <v>#DIV/0!</v>
      </c>
      <c r="RTQ71" s="1159" t="e">
        <f t="shared" si="201"/>
        <v>#DIV/0!</v>
      </c>
      <c r="RTR71" s="1159" t="e">
        <f t="shared" si="201"/>
        <v>#DIV/0!</v>
      </c>
      <c r="RTS71" s="1159" t="e">
        <f t="shared" si="201"/>
        <v>#DIV/0!</v>
      </c>
      <c r="RTT71" s="1159" t="e">
        <f t="shared" si="201"/>
        <v>#DIV/0!</v>
      </c>
      <c r="RTU71" s="1159" t="e">
        <f t="shared" si="201"/>
        <v>#DIV/0!</v>
      </c>
      <c r="RTV71" s="1159" t="e">
        <f t="shared" si="201"/>
        <v>#DIV/0!</v>
      </c>
      <c r="RTW71" s="1159" t="e">
        <f t="shared" si="201"/>
        <v>#DIV/0!</v>
      </c>
      <c r="RTX71" s="1159" t="e">
        <f t="shared" si="201"/>
        <v>#DIV/0!</v>
      </c>
      <c r="RTY71" s="1159" t="e">
        <f t="shared" si="201"/>
        <v>#DIV/0!</v>
      </c>
      <c r="RTZ71" s="1159" t="e">
        <f t="shared" si="201"/>
        <v>#DIV/0!</v>
      </c>
      <c r="RUA71" s="1159" t="e">
        <f t="shared" si="201"/>
        <v>#DIV/0!</v>
      </c>
      <c r="RUB71" s="1159" t="e">
        <f t="shared" si="201"/>
        <v>#DIV/0!</v>
      </c>
      <c r="RUC71" s="1159" t="e">
        <f t="shared" si="201"/>
        <v>#DIV/0!</v>
      </c>
      <c r="RUD71" s="1159" t="e">
        <f t="shared" si="201"/>
        <v>#DIV/0!</v>
      </c>
      <c r="RUE71" s="1159" t="e">
        <f t="shared" si="201"/>
        <v>#DIV/0!</v>
      </c>
      <c r="RUF71" s="1159" t="e">
        <f t="shared" si="201"/>
        <v>#DIV/0!</v>
      </c>
      <c r="RUG71" s="1159" t="e">
        <f t="shared" si="201"/>
        <v>#DIV/0!</v>
      </c>
      <c r="RUH71" s="1159" t="e">
        <f t="shared" si="201"/>
        <v>#DIV/0!</v>
      </c>
      <c r="RUI71" s="1159" t="e">
        <f t="shared" si="201"/>
        <v>#DIV/0!</v>
      </c>
      <c r="RUJ71" s="1159" t="e">
        <f t="shared" si="201"/>
        <v>#DIV/0!</v>
      </c>
      <c r="RUK71" s="1159" t="e">
        <f t="shared" si="201"/>
        <v>#DIV/0!</v>
      </c>
      <c r="RUL71" s="1159" t="e">
        <f t="shared" si="201"/>
        <v>#DIV/0!</v>
      </c>
      <c r="RUM71" s="1159" t="e">
        <f t="shared" si="201"/>
        <v>#DIV/0!</v>
      </c>
      <c r="RUN71" s="1159" t="e">
        <f t="shared" si="201"/>
        <v>#DIV/0!</v>
      </c>
      <c r="RUO71" s="1159" t="e">
        <f t="shared" si="201"/>
        <v>#DIV/0!</v>
      </c>
      <c r="RUP71" s="1159" t="e">
        <f t="shared" si="201"/>
        <v>#DIV/0!</v>
      </c>
      <c r="RUQ71" s="1159" t="e">
        <f t="shared" si="201"/>
        <v>#DIV/0!</v>
      </c>
      <c r="RUR71" s="1159" t="e">
        <f t="shared" si="201"/>
        <v>#DIV/0!</v>
      </c>
      <c r="RUS71" s="1159" t="e">
        <f t="shared" si="201"/>
        <v>#DIV/0!</v>
      </c>
      <c r="RUT71" s="1159" t="e">
        <f t="shared" si="201"/>
        <v>#DIV/0!</v>
      </c>
      <c r="RUU71" s="1159" t="e">
        <f t="shared" si="201"/>
        <v>#DIV/0!</v>
      </c>
      <c r="RUV71" s="1159" t="e">
        <f t="shared" si="201"/>
        <v>#DIV/0!</v>
      </c>
      <c r="RUW71" s="1159" t="e">
        <f t="shared" si="201"/>
        <v>#DIV/0!</v>
      </c>
      <c r="RUX71" s="1159" t="e">
        <f t="shared" si="201"/>
        <v>#DIV/0!</v>
      </c>
      <c r="RUY71" s="1159" t="e">
        <f t="shared" si="201"/>
        <v>#DIV/0!</v>
      </c>
      <c r="RUZ71" s="1159" t="e">
        <f t="shared" si="201"/>
        <v>#DIV/0!</v>
      </c>
      <c r="RVA71" s="1159" t="e">
        <f t="shared" si="201"/>
        <v>#DIV/0!</v>
      </c>
      <c r="RVB71" s="1159" t="e">
        <f t="shared" ref="RVB71:RXM71" si="202">((RVB6+RVB12+RVB13+RVB14+RVB15)*860+RVB16*RVB55+RVB17*RVB56+RVB7*RVB49+RVB8*RVB50+RVB9*RVB51+RVB10*RVB52+RVB11*RVB53)/(SUM(RVB6:RVB17))</f>
        <v>#DIV/0!</v>
      </c>
      <c r="RVC71" s="1159" t="e">
        <f t="shared" si="202"/>
        <v>#DIV/0!</v>
      </c>
      <c r="RVD71" s="1159" t="e">
        <f t="shared" si="202"/>
        <v>#DIV/0!</v>
      </c>
      <c r="RVE71" s="1159" t="e">
        <f t="shared" si="202"/>
        <v>#DIV/0!</v>
      </c>
      <c r="RVF71" s="1159" t="e">
        <f t="shared" si="202"/>
        <v>#DIV/0!</v>
      </c>
      <c r="RVG71" s="1159" t="e">
        <f t="shared" si="202"/>
        <v>#DIV/0!</v>
      </c>
      <c r="RVH71" s="1159" t="e">
        <f t="shared" si="202"/>
        <v>#DIV/0!</v>
      </c>
      <c r="RVI71" s="1159" t="e">
        <f t="shared" si="202"/>
        <v>#DIV/0!</v>
      </c>
      <c r="RVJ71" s="1159" t="e">
        <f t="shared" si="202"/>
        <v>#DIV/0!</v>
      </c>
      <c r="RVK71" s="1159" t="e">
        <f t="shared" si="202"/>
        <v>#DIV/0!</v>
      </c>
      <c r="RVL71" s="1159" t="e">
        <f t="shared" si="202"/>
        <v>#DIV/0!</v>
      </c>
      <c r="RVM71" s="1159" t="e">
        <f t="shared" si="202"/>
        <v>#DIV/0!</v>
      </c>
      <c r="RVN71" s="1159" t="e">
        <f t="shared" si="202"/>
        <v>#DIV/0!</v>
      </c>
      <c r="RVO71" s="1159" t="e">
        <f t="shared" si="202"/>
        <v>#DIV/0!</v>
      </c>
      <c r="RVP71" s="1159" t="e">
        <f t="shared" si="202"/>
        <v>#DIV/0!</v>
      </c>
      <c r="RVQ71" s="1159" t="e">
        <f t="shared" si="202"/>
        <v>#DIV/0!</v>
      </c>
      <c r="RVR71" s="1159" t="e">
        <f t="shared" si="202"/>
        <v>#DIV/0!</v>
      </c>
      <c r="RVS71" s="1159" t="e">
        <f t="shared" si="202"/>
        <v>#DIV/0!</v>
      </c>
      <c r="RVT71" s="1159" t="e">
        <f t="shared" si="202"/>
        <v>#DIV/0!</v>
      </c>
      <c r="RVU71" s="1159" t="e">
        <f t="shared" si="202"/>
        <v>#DIV/0!</v>
      </c>
      <c r="RVV71" s="1159" t="e">
        <f t="shared" si="202"/>
        <v>#DIV/0!</v>
      </c>
      <c r="RVW71" s="1159" t="e">
        <f t="shared" si="202"/>
        <v>#DIV/0!</v>
      </c>
      <c r="RVX71" s="1159" t="e">
        <f t="shared" si="202"/>
        <v>#DIV/0!</v>
      </c>
      <c r="RVY71" s="1159" t="e">
        <f t="shared" si="202"/>
        <v>#DIV/0!</v>
      </c>
      <c r="RVZ71" s="1159" t="e">
        <f t="shared" si="202"/>
        <v>#DIV/0!</v>
      </c>
      <c r="RWA71" s="1159" t="e">
        <f t="shared" si="202"/>
        <v>#DIV/0!</v>
      </c>
      <c r="RWB71" s="1159" t="e">
        <f t="shared" si="202"/>
        <v>#DIV/0!</v>
      </c>
      <c r="RWC71" s="1159" t="e">
        <f t="shared" si="202"/>
        <v>#DIV/0!</v>
      </c>
      <c r="RWD71" s="1159" t="e">
        <f t="shared" si="202"/>
        <v>#DIV/0!</v>
      </c>
      <c r="RWE71" s="1159" t="e">
        <f t="shared" si="202"/>
        <v>#DIV/0!</v>
      </c>
      <c r="RWF71" s="1159" t="e">
        <f t="shared" si="202"/>
        <v>#DIV/0!</v>
      </c>
      <c r="RWG71" s="1159" t="e">
        <f t="shared" si="202"/>
        <v>#DIV/0!</v>
      </c>
      <c r="RWH71" s="1159" t="e">
        <f t="shared" si="202"/>
        <v>#DIV/0!</v>
      </c>
      <c r="RWI71" s="1159" t="e">
        <f t="shared" si="202"/>
        <v>#DIV/0!</v>
      </c>
      <c r="RWJ71" s="1159" t="e">
        <f t="shared" si="202"/>
        <v>#DIV/0!</v>
      </c>
      <c r="RWK71" s="1159" t="e">
        <f t="shared" si="202"/>
        <v>#DIV/0!</v>
      </c>
      <c r="RWL71" s="1159" t="e">
        <f t="shared" si="202"/>
        <v>#DIV/0!</v>
      </c>
      <c r="RWM71" s="1159" t="e">
        <f t="shared" si="202"/>
        <v>#DIV/0!</v>
      </c>
      <c r="RWN71" s="1159" t="e">
        <f t="shared" si="202"/>
        <v>#DIV/0!</v>
      </c>
      <c r="RWO71" s="1159" t="e">
        <f t="shared" si="202"/>
        <v>#DIV/0!</v>
      </c>
      <c r="RWP71" s="1159" t="e">
        <f t="shared" si="202"/>
        <v>#DIV/0!</v>
      </c>
      <c r="RWQ71" s="1159" t="e">
        <f t="shared" si="202"/>
        <v>#DIV/0!</v>
      </c>
      <c r="RWR71" s="1159" t="e">
        <f t="shared" si="202"/>
        <v>#DIV/0!</v>
      </c>
      <c r="RWS71" s="1159" t="e">
        <f t="shared" si="202"/>
        <v>#DIV/0!</v>
      </c>
      <c r="RWT71" s="1159" t="e">
        <f t="shared" si="202"/>
        <v>#DIV/0!</v>
      </c>
      <c r="RWU71" s="1159" t="e">
        <f t="shared" si="202"/>
        <v>#DIV/0!</v>
      </c>
      <c r="RWV71" s="1159" t="e">
        <f t="shared" si="202"/>
        <v>#DIV/0!</v>
      </c>
      <c r="RWW71" s="1159" t="e">
        <f t="shared" si="202"/>
        <v>#DIV/0!</v>
      </c>
      <c r="RWX71" s="1159" t="e">
        <f t="shared" si="202"/>
        <v>#DIV/0!</v>
      </c>
      <c r="RWY71" s="1159" t="e">
        <f t="shared" si="202"/>
        <v>#DIV/0!</v>
      </c>
      <c r="RWZ71" s="1159" t="e">
        <f t="shared" si="202"/>
        <v>#DIV/0!</v>
      </c>
      <c r="RXA71" s="1159" t="e">
        <f t="shared" si="202"/>
        <v>#DIV/0!</v>
      </c>
      <c r="RXB71" s="1159" t="e">
        <f t="shared" si="202"/>
        <v>#DIV/0!</v>
      </c>
      <c r="RXC71" s="1159" t="e">
        <f t="shared" si="202"/>
        <v>#DIV/0!</v>
      </c>
      <c r="RXD71" s="1159" t="e">
        <f t="shared" si="202"/>
        <v>#DIV/0!</v>
      </c>
      <c r="RXE71" s="1159" t="e">
        <f t="shared" si="202"/>
        <v>#DIV/0!</v>
      </c>
      <c r="RXF71" s="1159" t="e">
        <f t="shared" si="202"/>
        <v>#DIV/0!</v>
      </c>
      <c r="RXG71" s="1159" t="e">
        <f t="shared" si="202"/>
        <v>#DIV/0!</v>
      </c>
      <c r="RXH71" s="1159" t="e">
        <f t="shared" si="202"/>
        <v>#DIV/0!</v>
      </c>
      <c r="RXI71" s="1159" t="e">
        <f t="shared" si="202"/>
        <v>#DIV/0!</v>
      </c>
      <c r="RXJ71" s="1159" t="e">
        <f t="shared" si="202"/>
        <v>#DIV/0!</v>
      </c>
      <c r="RXK71" s="1159" t="e">
        <f t="shared" si="202"/>
        <v>#DIV/0!</v>
      </c>
      <c r="RXL71" s="1159" t="e">
        <f t="shared" si="202"/>
        <v>#DIV/0!</v>
      </c>
      <c r="RXM71" s="1159" t="e">
        <f t="shared" si="202"/>
        <v>#DIV/0!</v>
      </c>
      <c r="RXN71" s="1159" t="e">
        <f t="shared" ref="RXN71:RZY71" si="203">((RXN6+RXN12+RXN13+RXN14+RXN15)*860+RXN16*RXN55+RXN17*RXN56+RXN7*RXN49+RXN8*RXN50+RXN9*RXN51+RXN10*RXN52+RXN11*RXN53)/(SUM(RXN6:RXN17))</f>
        <v>#DIV/0!</v>
      </c>
      <c r="RXO71" s="1159" t="e">
        <f t="shared" si="203"/>
        <v>#DIV/0!</v>
      </c>
      <c r="RXP71" s="1159" t="e">
        <f t="shared" si="203"/>
        <v>#DIV/0!</v>
      </c>
      <c r="RXQ71" s="1159" t="e">
        <f t="shared" si="203"/>
        <v>#DIV/0!</v>
      </c>
      <c r="RXR71" s="1159" t="e">
        <f t="shared" si="203"/>
        <v>#DIV/0!</v>
      </c>
      <c r="RXS71" s="1159" t="e">
        <f t="shared" si="203"/>
        <v>#DIV/0!</v>
      </c>
      <c r="RXT71" s="1159" t="e">
        <f t="shared" si="203"/>
        <v>#DIV/0!</v>
      </c>
      <c r="RXU71" s="1159" t="e">
        <f t="shared" si="203"/>
        <v>#DIV/0!</v>
      </c>
      <c r="RXV71" s="1159" t="e">
        <f t="shared" si="203"/>
        <v>#DIV/0!</v>
      </c>
      <c r="RXW71" s="1159" t="e">
        <f t="shared" si="203"/>
        <v>#DIV/0!</v>
      </c>
      <c r="RXX71" s="1159" t="e">
        <f t="shared" si="203"/>
        <v>#DIV/0!</v>
      </c>
      <c r="RXY71" s="1159" t="e">
        <f t="shared" si="203"/>
        <v>#DIV/0!</v>
      </c>
      <c r="RXZ71" s="1159" t="e">
        <f t="shared" si="203"/>
        <v>#DIV/0!</v>
      </c>
      <c r="RYA71" s="1159" t="e">
        <f t="shared" si="203"/>
        <v>#DIV/0!</v>
      </c>
      <c r="RYB71" s="1159" t="e">
        <f t="shared" si="203"/>
        <v>#DIV/0!</v>
      </c>
      <c r="RYC71" s="1159" t="e">
        <f t="shared" si="203"/>
        <v>#DIV/0!</v>
      </c>
      <c r="RYD71" s="1159" t="e">
        <f t="shared" si="203"/>
        <v>#DIV/0!</v>
      </c>
      <c r="RYE71" s="1159" t="e">
        <f t="shared" si="203"/>
        <v>#DIV/0!</v>
      </c>
      <c r="RYF71" s="1159" t="e">
        <f t="shared" si="203"/>
        <v>#DIV/0!</v>
      </c>
      <c r="RYG71" s="1159" t="e">
        <f t="shared" si="203"/>
        <v>#DIV/0!</v>
      </c>
      <c r="RYH71" s="1159" t="e">
        <f t="shared" si="203"/>
        <v>#DIV/0!</v>
      </c>
      <c r="RYI71" s="1159" t="e">
        <f t="shared" si="203"/>
        <v>#DIV/0!</v>
      </c>
      <c r="RYJ71" s="1159" t="e">
        <f t="shared" si="203"/>
        <v>#DIV/0!</v>
      </c>
      <c r="RYK71" s="1159" t="e">
        <f t="shared" si="203"/>
        <v>#DIV/0!</v>
      </c>
      <c r="RYL71" s="1159" t="e">
        <f t="shared" si="203"/>
        <v>#DIV/0!</v>
      </c>
      <c r="RYM71" s="1159" t="e">
        <f t="shared" si="203"/>
        <v>#DIV/0!</v>
      </c>
      <c r="RYN71" s="1159" t="e">
        <f t="shared" si="203"/>
        <v>#DIV/0!</v>
      </c>
      <c r="RYO71" s="1159" t="e">
        <f t="shared" si="203"/>
        <v>#DIV/0!</v>
      </c>
      <c r="RYP71" s="1159" t="e">
        <f t="shared" si="203"/>
        <v>#DIV/0!</v>
      </c>
      <c r="RYQ71" s="1159" t="e">
        <f t="shared" si="203"/>
        <v>#DIV/0!</v>
      </c>
      <c r="RYR71" s="1159" t="e">
        <f t="shared" si="203"/>
        <v>#DIV/0!</v>
      </c>
      <c r="RYS71" s="1159" t="e">
        <f t="shared" si="203"/>
        <v>#DIV/0!</v>
      </c>
      <c r="RYT71" s="1159" t="e">
        <f t="shared" si="203"/>
        <v>#DIV/0!</v>
      </c>
      <c r="RYU71" s="1159" t="e">
        <f t="shared" si="203"/>
        <v>#DIV/0!</v>
      </c>
      <c r="RYV71" s="1159" t="e">
        <f t="shared" si="203"/>
        <v>#DIV/0!</v>
      </c>
      <c r="RYW71" s="1159" t="e">
        <f t="shared" si="203"/>
        <v>#DIV/0!</v>
      </c>
      <c r="RYX71" s="1159" t="e">
        <f t="shared" si="203"/>
        <v>#DIV/0!</v>
      </c>
      <c r="RYY71" s="1159" t="e">
        <f t="shared" si="203"/>
        <v>#DIV/0!</v>
      </c>
      <c r="RYZ71" s="1159" t="e">
        <f t="shared" si="203"/>
        <v>#DIV/0!</v>
      </c>
      <c r="RZA71" s="1159" t="e">
        <f t="shared" si="203"/>
        <v>#DIV/0!</v>
      </c>
      <c r="RZB71" s="1159" t="e">
        <f t="shared" si="203"/>
        <v>#DIV/0!</v>
      </c>
      <c r="RZC71" s="1159" t="e">
        <f t="shared" si="203"/>
        <v>#DIV/0!</v>
      </c>
      <c r="RZD71" s="1159" t="e">
        <f t="shared" si="203"/>
        <v>#DIV/0!</v>
      </c>
      <c r="RZE71" s="1159" t="e">
        <f t="shared" si="203"/>
        <v>#DIV/0!</v>
      </c>
      <c r="RZF71" s="1159" t="e">
        <f t="shared" si="203"/>
        <v>#DIV/0!</v>
      </c>
      <c r="RZG71" s="1159" t="e">
        <f t="shared" si="203"/>
        <v>#DIV/0!</v>
      </c>
      <c r="RZH71" s="1159" t="e">
        <f t="shared" si="203"/>
        <v>#DIV/0!</v>
      </c>
      <c r="RZI71" s="1159" t="e">
        <f t="shared" si="203"/>
        <v>#DIV/0!</v>
      </c>
      <c r="RZJ71" s="1159" t="e">
        <f t="shared" si="203"/>
        <v>#DIV/0!</v>
      </c>
      <c r="RZK71" s="1159" t="e">
        <f t="shared" si="203"/>
        <v>#DIV/0!</v>
      </c>
      <c r="RZL71" s="1159" t="e">
        <f t="shared" si="203"/>
        <v>#DIV/0!</v>
      </c>
      <c r="RZM71" s="1159" t="e">
        <f t="shared" si="203"/>
        <v>#DIV/0!</v>
      </c>
      <c r="RZN71" s="1159" t="e">
        <f t="shared" si="203"/>
        <v>#DIV/0!</v>
      </c>
      <c r="RZO71" s="1159" t="e">
        <f t="shared" si="203"/>
        <v>#DIV/0!</v>
      </c>
      <c r="RZP71" s="1159" t="e">
        <f t="shared" si="203"/>
        <v>#DIV/0!</v>
      </c>
      <c r="RZQ71" s="1159" t="e">
        <f t="shared" si="203"/>
        <v>#DIV/0!</v>
      </c>
      <c r="RZR71" s="1159" t="e">
        <f t="shared" si="203"/>
        <v>#DIV/0!</v>
      </c>
      <c r="RZS71" s="1159" t="e">
        <f t="shared" si="203"/>
        <v>#DIV/0!</v>
      </c>
      <c r="RZT71" s="1159" t="e">
        <f t="shared" si="203"/>
        <v>#DIV/0!</v>
      </c>
      <c r="RZU71" s="1159" t="e">
        <f t="shared" si="203"/>
        <v>#DIV/0!</v>
      </c>
      <c r="RZV71" s="1159" t="e">
        <f t="shared" si="203"/>
        <v>#DIV/0!</v>
      </c>
      <c r="RZW71" s="1159" t="e">
        <f t="shared" si="203"/>
        <v>#DIV/0!</v>
      </c>
      <c r="RZX71" s="1159" t="e">
        <f t="shared" si="203"/>
        <v>#DIV/0!</v>
      </c>
      <c r="RZY71" s="1159" t="e">
        <f t="shared" si="203"/>
        <v>#DIV/0!</v>
      </c>
      <c r="RZZ71" s="1159" t="e">
        <f t="shared" ref="RZZ71:SCK71" si="204">((RZZ6+RZZ12+RZZ13+RZZ14+RZZ15)*860+RZZ16*RZZ55+RZZ17*RZZ56+RZZ7*RZZ49+RZZ8*RZZ50+RZZ9*RZZ51+RZZ10*RZZ52+RZZ11*RZZ53)/(SUM(RZZ6:RZZ17))</f>
        <v>#DIV/0!</v>
      </c>
      <c r="SAA71" s="1159" t="e">
        <f t="shared" si="204"/>
        <v>#DIV/0!</v>
      </c>
      <c r="SAB71" s="1159" t="e">
        <f t="shared" si="204"/>
        <v>#DIV/0!</v>
      </c>
      <c r="SAC71" s="1159" t="e">
        <f t="shared" si="204"/>
        <v>#DIV/0!</v>
      </c>
      <c r="SAD71" s="1159" t="e">
        <f t="shared" si="204"/>
        <v>#DIV/0!</v>
      </c>
      <c r="SAE71" s="1159" t="e">
        <f t="shared" si="204"/>
        <v>#DIV/0!</v>
      </c>
      <c r="SAF71" s="1159" t="e">
        <f t="shared" si="204"/>
        <v>#DIV/0!</v>
      </c>
      <c r="SAG71" s="1159" t="e">
        <f t="shared" si="204"/>
        <v>#DIV/0!</v>
      </c>
      <c r="SAH71" s="1159" t="e">
        <f t="shared" si="204"/>
        <v>#DIV/0!</v>
      </c>
      <c r="SAI71" s="1159" t="e">
        <f t="shared" si="204"/>
        <v>#DIV/0!</v>
      </c>
      <c r="SAJ71" s="1159" t="e">
        <f t="shared" si="204"/>
        <v>#DIV/0!</v>
      </c>
      <c r="SAK71" s="1159" t="e">
        <f t="shared" si="204"/>
        <v>#DIV/0!</v>
      </c>
      <c r="SAL71" s="1159" t="e">
        <f t="shared" si="204"/>
        <v>#DIV/0!</v>
      </c>
      <c r="SAM71" s="1159" t="e">
        <f t="shared" si="204"/>
        <v>#DIV/0!</v>
      </c>
      <c r="SAN71" s="1159" t="e">
        <f t="shared" si="204"/>
        <v>#DIV/0!</v>
      </c>
      <c r="SAO71" s="1159" t="e">
        <f t="shared" si="204"/>
        <v>#DIV/0!</v>
      </c>
      <c r="SAP71" s="1159" t="e">
        <f t="shared" si="204"/>
        <v>#DIV/0!</v>
      </c>
      <c r="SAQ71" s="1159" t="e">
        <f t="shared" si="204"/>
        <v>#DIV/0!</v>
      </c>
      <c r="SAR71" s="1159" t="e">
        <f t="shared" si="204"/>
        <v>#DIV/0!</v>
      </c>
      <c r="SAS71" s="1159" t="e">
        <f t="shared" si="204"/>
        <v>#DIV/0!</v>
      </c>
      <c r="SAT71" s="1159" t="e">
        <f t="shared" si="204"/>
        <v>#DIV/0!</v>
      </c>
      <c r="SAU71" s="1159" t="e">
        <f t="shared" si="204"/>
        <v>#DIV/0!</v>
      </c>
      <c r="SAV71" s="1159" t="e">
        <f t="shared" si="204"/>
        <v>#DIV/0!</v>
      </c>
      <c r="SAW71" s="1159" t="e">
        <f t="shared" si="204"/>
        <v>#DIV/0!</v>
      </c>
      <c r="SAX71" s="1159" t="e">
        <f t="shared" si="204"/>
        <v>#DIV/0!</v>
      </c>
      <c r="SAY71" s="1159" t="e">
        <f t="shared" si="204"/>
        <v>#DIV/0!</v>
      </c>
      <c r="SAZ71" s="1159" t="e">
        <f t="shared" si="204"/>
        <v>#DIV/0!</v>
      </c>
      <c r="SBA71" s="1159" t="e">
        <f t="shared" si="204"/>
        <v>#DIV/0!</v>
      </c>
      <c r="SBB71" s="1159" t="e">
        <f t="shared" si="204"/>
        <v>#DIV/0!</v>
      </c>
      <c r="SBC71" s="1159" t="e">
        <f t="shared" si="204"/>
        <v>#DIV/0!</v>
      </c>
      <c r="SBD71" s="1159" t="e">
        <f t="shared" si="204"/>
        <v>#DIV/0!</v>
      </c>
      <c r="SBE71" s="1159" t="e">
        <f t="shared" si="204"/>
        <v>#DIV/0!</v>
      </c>
      <c r="SBF71" s="1159" t="e">
        <f t="shared" si="204"/>
        <v>#DIV/0!</v>
      </c>
      <c r="SBG71" s="1159" t="e">
        <f t="shared" si="204"/>
        <v>#DIV/0!</v>
      </c>
      <c r="SBH71" s="1159" t="e">
        <f t="shared" si="204"/>
        <v>#DIV/0!</v>
      </c>
      <c r="SBI71" s="1159" t="e">
        <f t="shared" si="204"/>
        <v>#DIV/0!</v>
      </c>
      <c r="SBJ71" s="1159" t="e">
        <f t="shared" si="204"/>
        <v>#DIV/0!</v>
      </c>
      <c r="SBK71" s="1159" t="e">
        <f t="shared" si="204"/>
        <v>#DIV/0!</v>
      </c>
      <c r="SBL71" s="1159" t="e">
        <f t="shared" si="204"/>
        <v>#DIV/0!</v>
      </c>
      <c r="SBM71" s="1159" t="e">
        <f t="shared" si="204"/>
        <v>#DIV/0!</v>
      </c>
      <c r="SBN71" s="1159" t="e">
        <f t="shared" si="204"/>
        <v>#DIV/0!</v>
      </c>
      <c r="SBO71" s="1159" t="e">
        <f t="shared" si="204"/>
        <v>#DIV/0!</v>
      </c>
      <c r="SBP71" s="1159" t="e">
        <f t="shared" si="204"/>
        <v>#DIV/0!</v>
      </c>
      <c r="SBQ71" s="1159" t="e">
        <f t="shared" si="204"/>
        <v>#DIV/0!</v>
      </c>
      <c r="SBR71" s="1159" t="e">
        <f t="shared" si="204"/>
        <v>#DIV/0!</v>
      </c>
      <c r="SBS71" s="1159" t="e">
        <f t="shared" si="204"/>
        <v>#DIV/0!</v>
      </c>
      <c r="SBT71" s="1159" t="e">
        <f t="shared" si="204"/>
        <v>#DIV/0!</v>
      </c>
      <c r="SBU71" s="1159" t="e">
        <f t="shared" si="204"/>
        <v>#DIV/0!</v>
      </c>
      <c r="SBV71" s="1159" t="e">
        <f t="shared" si="204"/>
        <v>#DIV/0!</v>
      </c>
      <c r="SBW71" s="1159" t="e">
        <f t="shared" si="204"/>
        <v>#DIV/0!</v>
      </c>
      <c r="SBX71" s="1159" t="e">
        <f t="shared" si="204"/>
        <v>#DIV/0!</v>
      </c>
      <c r="SBY71" s="1159" t="e">
        <f t="shared" si="204"/>
        <v>#DIV/0!</v>
      </c>
      <c r="SBZ71" s="1159" t="e">
        <f t="shared" si="204"/>
        <v>#DIV/0!</v>
      </c>
      <c r="SCA71" s="1159" t="e">
        <f t="shared" si="204"/>
        <v>#DIV/0!</v>
      </c>
      <c r="SCB71" s="1159" t="e">
        <f t="shared" si="204"/>
        <v>#DIV/0!</v>
      </c>
      <c r="SCC71" s="1159" t="e">
        <f t="shared" si="204"/>
        <v>#DIV/0!</v>
      </c>
      <c r="SCD71" s="1159" t="e">
        <f t="shared" si="204"/>
        <v>#DIV/0!</v>
      </c>
      <c r="SCE71" s="1159" t="e">
        <f t="shared" si="204"/>
        <v>#DIV/0!</v>
      </c>
      <c r="SCF71" s="1159" t="e">
        <f t="shared" si="204"/>
        <v>#DIV/0!</v>
      </c>
      <c r="SCG71" s="1159" t="e">
        <f t="shared" si="204"/>
        <v>#DIV/0!</v>
      </c>
      <c r="SCH71" s="1159" t="e">
        <f t="shared" si="204"/>
        <v>#DIV/0!</v>
      </c>
      <c r="SCI71" s="1159" t="e">
        <f t="shared" si="204"/>
        <v>#DIV/0!</v>
      </c>
      <c r="SCJ71" s="1159" t="e">
        <f t="shared" si="204"/>
        <v>#DIV/0!</v>
      </c>
      <c r="SCK71" s="1159" t="e">
        <f t="shared" si="204"/>
        <v>#DIV/0!</v>
      </c>
      <c r="SCL71" s="1159" t="e">
        <f t="shared" ref="SCL71:SEW71" si="205">((SCL6+SCL12+SCL13+SCL14+SCL15)*860+SCL16*SCL55+SCL17*SCL56+SCL7*SCL49+SCL8*SCL50+SCL9*SCL51+SCL10*SCL52+SCL11*SCL53)/(SUM(SCL6:SCL17))</f>
        <v>#DIV/0!</v>
      </c>
      <c r="SCM71" s="1159" t="e">
        <f t="shared" si="205"/>
        <v>#DIV/0!</v>
      </c>
      <c r="SCN71" s="1159" t="e">
        <f t="shared" si="205"/>
        <v>#DIV/0!</v>
      </c>
      <c r="SCO71" s="1159" t="e">
        <f t="shared" si="205"/>
        <v>#DIV/0!</v>
      </c>
      <c r="SCP71" s="1159" t="e">
        <f t="shared" si="205"/>
        <v>#DIV/0!</v>
      </c>
      <c r="SCQ71" s="1159" t="e">
        <f t="shared" si="205"/>
        <v>#DIV/0!</v>
      </c>
      <c r="SCR71" s="1159" t="e">
        <f t="shared" si="205"/>
        <v>#DIV/0!</v>
      </c>
      <c r="SCS71" s="1159" t="e">
        <f t="shared" si="205"/>
        <v>#DIV/0!</v>
      </c>
      <c r="SCT71" s="1159" t="e">
        <f t="shared" si="205"/>
        <v>#DIV/0!</v>
      </c>
      <c r="SCU71" s="1159" t="e">
        <f t="shared" si="205"/>
        <v>#DIV/0!</v>
      </c>
      <c r="SCV71" s="1159" t="e">
        <f t="shared" si="205"/>
        <v>#DIV/0!</v>
      </c>
      <c r="SCW71" s="1159" t="e">
        <f t="shared" si="205"/>
        <v>#DIV/0!</v>
      </c>
      <c r="SCX71" s="1159" t="e">
        <f t="shared" si="205"/>
        <v>#DIV/0!</v>
      </c>
      <c r="SCY71" s="1159" t="e">
        <f t="shared" si="205"/>
        <v>#DIV/0!</v>
      </c>
      <c r="SCZ71" s="1159" t="e">
        <f t="shared" si="205"/>
        <v>#DIV/0!</v>
      </c>
      <c r="SDA71" s="1159" t="e">
        <f t="shared" si="205"/>
        <v>#DIV/0!</v>
      </c>
      <c r="SDB71" s="1159" t="e">
        <f t="shared" si="205"/>
        <v>#DIV/0!</v>
      </c>
      <c r="SDC71" s="1159" t="e">
        <f t="shared" si="205"/>
        <v>#DIV/0!</v>
      </c>
      <c r="SDD71" s="1159" t="e">
        <f t="shared" si="205"/>
        <v>#DIV/0!</v>
      </c>
      <c r="SDE71" s="1159" t="e">
        <f t="shared" si="205"/>
        <v>#DIV/0!</v>
      </c>
      <c r="SDF71" s="1159" t="e">
        <f t="shared" si="205"/>
        <v>#DIV/0!</v>
      </c>
      <c r="SDG71" s="1159" t="e">
        <f t="shared" si="205"/>
        <v>#DIV/0!</v>
      </c>
      <c r="SDH71" s="1159" t="e">
        <f t="shared" si="205"/>
        <v>#DIV/0!</v>
      </c>
      <c r="SDI71" s="1159" t="e">
        <f t="shared" si="205"/>
        <v>#DIV/0!</v>
      </c>
      <c r="SDJ71" s="1159" t="e">
        <f t="shared" si="205"/>
        <v>#DIV/0!</v>
      </c>
      <c r="SDK71" s="1159" t="e">
        <f t="shared" si="205"/>
        <v>#DIV/0!</v>
      </c>
      <c r="SDL71" s="1159" t="e">
        <f t="shared" si="205"/>
        <v>#DIV/0!</v>
      </c>
      <c r="SDM71" s="1159" t="e">
        <f t="shared" si="205"/>
        <v>#DIV/0!</v>
      </c>
      <c r="SDN71" s="1159" t="e">
        <f t="shared" si="205"/>
        <v>#DIV/0!</v>
      </c>
      <c r="SDO71" s="1159" t="e">
        <f t="shared" si="205"/>
        <v>#DIV/0!</v>
      </c>
      <c r="SDP71" s="1159" t="e">
        <f t="shared" si="205"/>
        <v>#DIV/0!</v>
      </c>
      <c r="SDQ71" s="1159" t="e">
        <f t="shared" si="205"/>
        <v>#DIV/0!</v>
      </c>
      <c r="SDR71" s="1159" t="e">
        <f t="shared" si="205"/>
        <v>#DIV/0!</v>
      </c>
      <c r="SDS71" s="1159" t="e">
        <f t="shared" si="205"/>
        <v>#DIV/0!</v>
      </c>
      <c r="SDT71" s="1159" t="e">
        <f t="shared" si="205"/>
        <v>#DIV/0!</v>
      </c>
      <c r="SDU71" s="1159" t="e">
        <f t="shared" si="205"/>
        <v>#DIV/0!</v>
      </c>
      <c r="SDV71" s="1159" t="e">
        <f t="shared" si="205"/>
        <v>#DIV/0!</v>
      </c>
      <c r="SDW71" s="1159" t="e">
        <f t="shared" si="205"/>
        <v>#DIV/0!</v>
      </c>
      <c r="SDX71" s="1159" t="e">
        <f t="shared" si="205"/>
        <v>#DIV/0!</v>
      </c>
      <c r="SDY71" s="1159" t="e">
        <f t="shared" si="205"/>
        <v>#DIV/0!</v>
      </c>
      <c r="SDZ71" s="1159" t="e">
        <f t="shared" si="205"/>
        <v>#DIV/0!</v>
      </c>
      <c r="SEA71" s="1159" t="e">
        <f t="shared" si="205"/>
        <v>#DIV/0!</v>
      </c>
      <c r="SEB71" s="1159" t="e">
        <f t="shared" si="205"/>
        <v>#DIV/0!</v>
      </c>
      <c r="SEC71" s="1159" t="e">
        <f t="shared" si="205"/>
        <v>#DIV/0!</v>
      </c>
      <c r="SED71" s="1159" t="e">
        <f t="shared" si="205"/>
        <v>#DIV/0!</v>
      </c>
      <c r="SEE71" s="1159" t="e">
        <f t="shared" si="205"/>
        <v>#DIV/0!</v>
      </c>
      <c r="SEF71" s="1159" t="e">
        <f t="shared" si="205"/>
        <v>#DIV/0!</v>
      </c>
      <c r="SEG71" s="1159" t="e">
        <f t="shared" si="205"/>
        <v>#DIV/0!</v>
      </c>
      <c r="SEH71" s="1159" t="e">
        <f t="shared" si="205"/>
        <v>#DIV/0!</v>
      </c>
      <c r="SEI71" s="1159" t="e">
        <f t="shared" si="205"/>
        <v>#DIV/0!</v>
      </c>
      <c r="SEJ71" s="1159" t="e">
        <f t="shared" si="205"/>
        <v>#DIV/0!</v>
      </c>
      <c r="SEK71" s="1159" t="e">
        <f t="shared" si="205"/>
        <v>#DIV/0!</v>
      </c>
      <c r="SEL71" s="1159" t="e">
        <f t="shared" si="205"/>
        <v>#DIV/0!</v>
      </c>
      <c r="SEM71" s="1159" t="e">
        <f t="shared" si="205"/>
        <v>#DIV/0!</v>
      </c>
      <c r="SEN71" s="1159" t="e">
        <f t="shared" si="205"/>
        <v>#DIV/0!</v>
      </c>
      <c r="SEO71" s="1159" t="e">
        <f t="shared" si="205"/>
        <v>#DIV/0!</v>
      </c>
      <c r="SEP71" s="1159" t="e">
        <f t="shared" si="205"/>
        <v>#DIV/0!</v>
      </c>
      <c r="SEQ71" s="1159" t="e">
        <f t="shared" si="205"/>
        <v>#DIV/0!</v>
      </c>
      <c r="SER71" s="1159" t="e">
        <f t="shared" si="205"/>
        <v>#DIV/0!</v>
      </c>
      <c r="SES71" s="1159" t="e">
        <f t="shared" si="205"/>
        <v>#DIV/0!</v>
      </c>
      <c r="SET71" s="1159" t="e">
        <f t="shared" si="205"/>
        <v>#DIV/0!</v>
      </c>
      <c r="SEU71" s="1159" t="e">
        <f t="shared" si="205"/>
        <v>#DIV/0!</v>
      </c>
      <c r="SEV71" s="1159" t="e">
        <f t="shared" si="205"/>
        <v>#DIV/0!</v>
      </c>
      <c r="SEW71" s="1159" t="e">
        <f t="shared" si="205"/>
        <v>#DIV/0!</v>
      </c>
      <c r="SEX71" s="1159" t="e">
        <f t="shared" ref="SEX71:SHI71" si="206">((SEX6+SEX12+SEX13+SEX14+SEX15)*860+SEX16*SEX55+SEX17*SEX56+SEX7*SEX49+SEX8*SEX50+SEX9*SEX51+SEX10*SEX52+SEX11*SEX53)/(SUM(SEX6:SEX17))</f>
        <v>#DIV/0!</v>
      </c>
      <c r="SEY71" s="1159" t="e">
        <f t="shared" si="206"/>
        <v>#DIV/0!</v>
      </c>
      <c r="SEZ71" s="1159" t="e">
        <f t="shared" si="206"/>
        <v>#DIV/0!</v>
      </c>
      <c r="SFA71" s="1159" t="e">
        <f t="shared" si="206"/>
        <v>#DIV/0!</v>
      </c>
      <c r="SFB71" s="1159" t="e">
        <f t="shared" si="206"/>
        <v>#DIV/0!</v>
      </c>
      <c r="SFC71" s="1159" t="e">
        <f t="shared" si="206"/>
        <v>#DIV/0!</v>
      </c>
      <c r="SFD71" s="1159" t="e">
        <f t="shared" si="206"/>
        <v>#DIV/0!</v>
      </c>
      <c r="SFE71" s="1159" t="e">
        <f t="shared" si="206"/>
        <v>#DIV/0!</v>
      </c>
      <c r="SFF71" s="1159" t="e">
        <f t="shared" si="206"/>
        <v>#DIV/0!</v>
      </c>
      <c r="SFG71" s="1159" t="e">
        <f t="shared" si="206"/>
        <v>#DIV/0!</v>
      </c>
      <c r="SFH71" s="1159" t="e">
        <f t="shared" si="206"/>
        <v>#DIV/0!</v>
      </c>
      <c r="SFI71" s="1159" t="e">
        <f t="shared" si="206"/>
        <v>#DIV/0!</v>
      </c>
      <c r="SFJ71" s="1159" t="e">
        <f t="shared" si="206"/>
        <v>#DIV/0!</v>
      </c>
      <c r="SFK71" s="1159" t="e">
        <f t="shared" si="206"/>
        <v>#DIV/0!</v>
      </c>
      <c r="SFL71" s="1159" t="e">
        <f t="shared" si="206"/>
        <v>#DIV/0!</v>
      </c>
      <c r="SFM71" s="1159" t="e">
        <f t="shared" si="206"/>
        <v>#DIV/0!</v>
      </c>
      <c r="SFN71" s="1159" t="e">
        <f t="shared" si="206"/>
        <v>#DIV/0!</v>
      </c>
      <c r="SFO71" s="1159" t="e">
        <f t="shared" si="206"/>
        <v>#DIV/0!</v>
      </c>
      <c r="SFP71" s="1159" t="e">
        <f t="shared" si="206"/>
        <v>#DIV/0!</v>
      </c>
      <c r="SFQ71" s="1159" t="e">
        <f t="shared" si="206"/>
        <v>#DIV/0!</v>
      </c>
      <c r="SFR71" s="1159" t="e">
        <f t="shared" si="206"/>
        <v>#DIV/0!</v>
      </c>
      <c r="SFS71" s="1159" t="e">
        <f t="shared" si="206"/>
        <v>#DIV/0!</v>
      </c>
      <c r="SFT71" s="1159" t="e">
        <f t="shared" si="206"/>
        <v>#DIV/0!</v>
      </c>
      <c r="SFU71" s="1159" t="e">
        <f t="shared" si="206"/>
        <v>#DIV/0!</v>
      </c>
      <c r="SFV71" s="1159" t="e">
        <f t="shared" si="206"/>
        <v>#DIV/0!</v>
      </c>
      <c r="SFW71" s="1159" t="e">
        <f t="shared" si="206"/>
        <v>#DIV/0!</v>
      </c>
      <c r="SFX71" s="1159" t="e">
        <f t="shared" si="206"/>
        <v>#DIV/0!</v>
      </c>
      <c r="SFY71" s="1159" t="e">
        <f t="shared" si="206"/>
        <v>#DIV/0!</v>
      </c>
      <c r="SFZ71" s="1159" t="e">
        <f t="shared" si="206"/>
        <v>#DIV/0!</v>
      </c>
      <c r="SGA71" s="1159" t="e">
        <f t="shared" si="206"/>
        <v>#DIV/0!</v>
      </c>
      <c r="SGB71" s="1159" t="e">
        <f t="shared" si="206"/>
        <v>#DIV/0!</v>
      </c>
      <c r="SGC71" s="1159" t="e">
        <f t="shared" si="206"/>
        <v>#DIV/0!</v>
      </c>
      <c r="SGD71" s="1159" t="e">
        <f t="shared" si="206"/>
        <v>#DIV/0!</v>
      </c>
      <c r="SGE71" s="1159" t="e">
        <f t="shared" si="206"/>
        <v>#DIV/0!</v>
      </c>
      <c r="SGF71" s="1159" t="e">
        <f t="shared" si="206"/>
        <v>#DIV/0!</v>
      </c>
      <c r="SGG71" s="1159" t="e">
        <f t="shared" si="206"/>
        <v>#DIV/0!</v>
      </c>
      <c r="SGH71" s="1159" t="e">
        <f t="shared" si="206"/>
        <v>#DIV/0!</v>
      </c>
      <c r="SGI71" s="1159" t="e">
        <f t="shared" si="206"/>
        <v>#DIV/0!</v>
      </c>
      <c r="SGJ71" s="1159" t="e">
        <f t="shared" si="206"/>
        <v>#DIV/0!</v>
      </c>
      <c r="SGK71" s="1159" t="e">
        <f t="shared" si="206"/>
        <v>#DIV/0!</v>
      </c>
      <c r="SGL71" s="1159" t="e">
        <f t="shared" si="206"/>
        <v>#DIV/0!</v>
      </c>
      <c r="SGM71" s="1159" t="e">
        <f t="shared" si="206"/>
        <v>#DIV/0!</v>
      </c>
      <c r="SGN71" s="1159" t="e">
        <f t="shared" si="206"/>
        <v>#DIV/0!</v>
      </c>
      <c r="SGO71" s="1159" t="e">
        <f t="shared" si="206"/>
        <v>#DIV/0!</v>
      </c>
      <c r="SGP71" s="1159" t="e">
        <f t="shared" si="206"/>
        <v>#DIV/0!</v>
      </c>
      <c r="SGQ71" s="1159" t="e">
        <f t="shared" si="206"/>
        <v>#DIV/0!</v>
      </c>
      <c r="SGR71" s="1159" t="e">
        <f t="shared" si="206"/>
        <v>#DIV/0!</v>
      </c>
      <c r="SGS71" s="1159" t="e">
        <f t="shared" si="206"/>
        <v>#DIV/0!</v>
      </c>
      <c r="SGT71" s="1159" t="e">
        <f t="shared" si="206"/>
        <v>#DIV/0!</v>
      </c>
      <c r="SGU71" s="1159" t="e">
        <f t="shared" si="206"/>
        <v>#DIV/0!</v>
      </c>
      <c r="SGV71" s="1159" t="e">
        <f t="shared" si="206"/>
        <v>#DIV/0!</v>
      </c>
      <c r="SGW71" s="1159" t="e">
        <f t="shared" si="206"/>
        <v>#DIV/0!</v>
      </c>
      <c r="SGX71" s="1159" t="e">
        <f t="shared" si="206"/>
        <v>#DIV/0!</v>
      </c>
      <c r="SGY71" s="1159" t="e">
        <f t="shared" si="206"/>
        <v>#DIV/0!</v>
      </c>
      <c r="SGZ71" s="1159" t="e">
        <f t="shared" si="206"/>
        <v>#DIV/0!</v>
      </c>
      <c r="SHA71" s="1159" t="e">
        <f t="shared" si="206"/>
        <v>#DIV/0!</v>
      </c>
      <c r="SHB71" s="1159" t="e">
        <f t="shared" si="206"/>
        <v>#DIV/0!</v>
      </c>
      <c r="SHC71" s="1159" t="e">
        <f t="shared" si="206"/>
        <v>#DIV/0!</v>
      </c>
      <c r="SHD71" s="1159" t="e">
        <f t="shared" si="206"/>
        <v>#DIV/0!</v>
      </c>
      <c r="SHE71" s="1159" t="e">
        <f t="shared" si="206"/>
        <v>#DIV/0!</v>
      </c>
      <c r="SHF71" s="1159" t="e">
        <f t="shared" si="206"/>
        <v>#DIV/0!</v>
      </c>
      <c r="SHG71" s="1159" t="e">
        <f t="shared" si="206"/>
        <v>#DIV/0!</v>
      </c>
      <c r="SHH71" s="1159" t="e">
        <f t="shared" si="206"/>
        <v>#DIV/0!</v>
      </c>
      <c r="SHI71" s="1159" t="e">
        <f t="shared" si="206"/>
        <v>#DIV/0!</v>
      </c>
      <c r="SHJ71" s="1159" t="e">
        <f t="shared" ref="SHJ71:SJU71" si="207">((SHJ6+SHJ12+SHJ13+SHJ14+SHJ15)*860+SHJ16*SHJ55+SHJ17*SHJ56+SHJ7*SHJ49+SHJ8*SHJ50+SHJ9*SHJ51+SHJ10*SHJ52+SHJ11*SHJ53)/(SUM(SHJ6:SHJ17))</f>
        <v>#DIV/0!</v>
      </c>
      <c r="SHK71" s="1159" t="e">
        <f t="shared" si="207"/>
        <v>#DIV/0!</v>
      </c>
      <c r="SHL71" s="1159" t="e">
        <f t="shared" si="207"/>
        <v>#DIV/0!</v>
      </c>
      <c r="SHM71" s="1159" t="e">
        <f t="shared" si="207"/>
        <v>#DIV/0!</v>
      </c>
      <c r="SHN71" s="1159" t="e">
        <f t="shared" si="207"/>
        <v>#DIV/0!</v>
      </c>
      <c r="SHO71" s="1159" t="e">
        <f t="shared" si="207"/>
        <v>#DIV/0!</v>
      </c>
      <c r="SHP71" s="1159" t="e">
        <f t="shared" si="207"/>
        <v>#DIV/0!</v>
      </c>
      <c r="SHQ71" s="1159" t="e">
        <f t="shared" si="207"/>
        <v>#DIV/0!</v>
      </c>
      <c r="SHR71" s="1159" t="e">
        <f t="shared" si="207"/>
        <v>#DIV/0!</v>
      </c>
      <c r="SHS71" s="1159" t="e">
        <f t="shared" si="207"/>
        <v>#DIV/0!</v>
      </c>
      <c r="SHT71" s="1159" t="e">
        <f t="shared" si="207"/>
        <v>#DIV/0!</v>
      </c>
      <c r="SHU71" s="1159" t="e">
        <f t="shared" si="207"/>
        <v>#DIV/0!</v>
      </c>
      <c r="SHV71" s="1159" t="e">
        <f t="shared" si="207"/>
        <v>#DIV/0!</v>
      </c>
      <c r="SHW71" s="1159" t="e">
        <f t="shared" si="207"/>
        <v>#DIV/0!</v>
      </c>
      <c r="SHX71" s="1159" t="e">
        <f t="shared" si="207"/>
        <v>#DIV/0!</v>
      </c>
      <c r="SHY71" s="1159" t="e">
        <f t="shared" si="207"/>
        <v>#DIV/0!</v>
      </c>
      <c r="SHZ71" s="1159" t="e">
        <f t="shared" si="207"/>
        <v>#DIV/0!</v>
      </c>
      <c r="SIA71" s="1159" t="e">
        <f t="shared" si="207"/>
        <v>#DIV/0!</v>
      </c>
      <c r="SIB71" s="1159" t="e">
        <f t="shared" si="207"/>
        <v>#DIV/0!</v>
      </c>
      <c r="SIC71" s="1159" t="e">
        <f t="shared" si="207"/>
        <v>#DIV/0!</v>
      </c>
      <c r="SID71" s="1159" t="e">
        <f t="shared" si="207"/>
        <v>#DIV/0!</v>
      </c>
      <c r="SIE71" s="1159" t="e">
        <f t="shared" si="207"/>
        <v>#DIV/0!</v>
      </c>
      <c r="SIF71" s="1159" t="e">
        <f t="shared" si="207"/>
        <v>#DIV/0!</v>
      </c>
      <c r="SIG71" s="1159" t="e">
        <f t="shared" si="207"/>
        <v>#DIV/0!</v>
      </c>
      <c r="SIH71" s="1159" t="e">
        <f t="shared" si="207"/>
        <v>#DIV/0!</v>
      </c>
      <c r="SII71" s="1159" t="e">
        <f t="shared" si="207"/>
        <v>#DIV/0!</v>
      </c>
      <c r="SIJ71" s="1159" t="e">
        <f t="shared" si="207"/>
        <v>#DIV/0!</v>
      </c>
      <c r="SIK71" s="1159" t="e">
        <f t="shared" si="207"/>
        <v>#DIV/0!</v>
      </c>
      <c r="SIL71" s="1159" t="e">
        <f t="shared" si="207"/>
        <v>#DIV/0!</v>
      </c>
      <c r="SIM71" s="1159" t="e">
        <f t="shared" si="207"/>
        <v>#DIV/0!</v>
      </c>
      <c r="SIN71" s="1159" t="e">
        <f t="shared" si="207"/>
        <v>#DIV/0!</v>
      </c>
      <c r="SIO71" s="1159" t="e">
        <f t="shared" si="207"/>
        <v>#DIV/0!</v>
      </c>
      <c r="SIP71" s="1159" t="e">
        <f t="shared" si="207"/>
        <v>#DIV/0!</v>
      </c>
      <c r="SIQ71" s="1159" t="e">
        <f t="shared" si="207"/>
        <v>#DIV/0!</v>
      </c>
      <c r="SIR71" s="1159" t="e">
        <f t="shared" si="207"/>
        <v>#DIV/0!</v>
      </c>
      <c r="SIS71" s="1159" t="e">
        <f t="shared" si="207"/>
        <v>#DIV/0!</v>
      </c>
      <c r="SIT71" s="1159" t="e">
        <f t="shared" si="207"/>
        <v>#DIV/0!</v>
      </c>
      <c r="SIU71" s="1159" t="e">
        <f t="shared" si="207"/>
        <v>#DIV/0!</v>
      </c>
      <c r="SIV71" s="1159" t="e">
        <f t="shared" si="207"/>
        <v>#DIV/0!</v>
      </c>
      <c r="SIW71" s="1159" t="e">
        <f t="shared" si="207"/>
        <v>#DIV/0!</v>
      </c>
      <c r="SIX71" s="1159" t="e">
        <f t="shared" si="207"/>
        <v>#DIV/0!</v>
      </c>
      <c r="SIY71" s="1159" t="e">
        <f t="shared" si="207"/>
        <v>#DIV/0!</v>
      </c>
      <c r="SIZ71" s="1159" t="e">
        <f t="shared" si="207"/>
        <v>#DIV/0!</v>
      </c>
      <c r="SJA71" s="1159" t="e">
        <f t="shared" si="207"/>
        <v>#DIV/0!</v>
      </c>
      <c r="SJB71" s="1159" t="e">
        <f t="shared" si="207"/>
        <v>#DIV/0!</v>
      </c>
      <c r="SJC71" s="1159" t="e">
        <f t="shared" si="207"/>
        <v>#DIV/0!</v>
      </c>
      <c r="SJD71" s="1159" t="e">
        <f t="shared" si="207"/>
        <v>#DIV/0!</v>
      </c>
      <c r="SJE71" s="1159" t="e">
        <f t="shared" si="207"/>
        <v>#DIV/0!</v>
      </c>
      <c r="SJF71" s="1159" t="e">
        <f t="shared" si="207"/>
        <v>#DIV/0!</v>
      </c>
      <c r="SJG71" s="1159" t="e">
        <f t="shared" si="207"/>
        <v>#DIV/0!</v>
      </c>
      <c r="SJH71" s="1159" t="e">
        <f t="shared" si="207"/>
        <v>#DIV/0!</v>
      </c>
      <c r="SJI71" s="1159" t="e">
        <f t="shared" si="207"/>
        <v>#DIV/0!</v>
      </c>
      <c r="SJJ71" s="1159" t="e">
        <f t="shared" si="207"/>
        <v>#DIV/0!</v>
      </c>
      <c r="SJK71" s="1159" t="e">
        <f t="shared" si="207"/>
        <v>#DIV/0!</v>
      </c>
      <c r="SJL71" s="1159" t="e">
        <f t="shared" si="207"/>
        <v>#DIV/0!</v>
      </c>
      <c r="SJM71" s="1159" t="e">
        <f t="shared" si="207"/>
        <v>#DIV/0!</v>
      </c>
      <c r="SJN71" s="1159" t="e">
        <f t="shared" si="207"/>
        <v>#DIV/0!</v>
      </c>
      <c r="SJO71" s="1159" t="e">
        <f t="shared" si="207"/>
        <v>#DIV/0!</v>
      </c>
      <c r="SJP71" s="1159" t="e">
        <f t="shared" si="207"/>
        <v>#DIV/0!</v>
      </c>
      <c r="SJQ71" s="1159" t="e">
        <f t="shared" si="207"/>
        <v>#DIV/0!</v>
      </c>
      <c r="SJR71" s="1159" t="e">
        <f t="shared" si="207"/>
        <v>#DIV/0!</v>
      </c>
      <c r="SJS71" s="1159" t="e">
        <f t="shared" si="207"/>
        <v>#DIV/0!</v>
      </c>
      <c r="SJT71" s="1159" t="e">
        <f t="shared" si="207"/>
        <v>#DIV/0!</v>
      </c>
      <c r="SJU71" s="1159" t="e">
        <f t="shared" si="207"/>
        <v>#DIV/0!</v>
      </c>
      <c r="SJV71" s="1159" t="e">
        <f t="shared" ref="SJV71:SMG71" si="208">((SJV6+SJV12+SJV13+SJV14+SJV15)*860+SJV16*SJV55+SJV17*SJV56+SJV7*SJV49+SJV8*SJV50+SJV9*SJV51+SJV10*SJV52+SJV11*SJV53)/(SUM(SJV6:SJV17))</f>
        <v>#DIV/0!</v>
      </c>
      <c r="SJW71" s="1159" t="e">
        <f t="shared" si="208"/>
        <v>#DIV/0!</v>
      </c>
      <c r="SJX71" s="1159" t="e">
        <f t="shared" si="208"/>
        <v>#DIV/0!</v>
      </c>
      <c r="SJY71" s="1159" t="e">
        <f t="shared" si="208"/>
        <v>#DIV/0!</v>
      </c>
      <c r="SJZ71" s="1159" t="e">
        <f t="shared" si="208"/>
        <v>#DIV/0!</v>
      </c>
      <c r="SKA71" s="1159" t="e">
        <f t="shared" si="208"/>
        <v>#DIV/0!</v>
      </c>
      <c r="SKB71" s="1159" t="e">
        <f t="shared" si="208"/>
        <v>#DIV/0!</v>
      </c>
      <c r="SKC71" s="1159" t="e">
        <f t="shared" si="208"/>
        <v>#DIV/0!</v>
      </c>
      <c r="SKD71" s="1159" t="e">
        <f t="shared" si="208"/>
        <v>#DIV/0!</v>
      </c>
      <c r="SKE71" s="1159" t="e">
        <f t="shared" si="208"/>
        <v>#DIV/0!</v>
      </c>
      <c r="SKF71" s="1159" t="e">
        <f t="shared" si="208"/>
        <v>#DIV/0!</v>
      </c>
      <c r="SKG71" s="1159" t="e">
        <f t="shared" si="208"/>
        <v>#DIV/0!</v>
      </c>
      <c r="SKH71" s="1159" t="e">
        <f t="shared" si="208"/>
        <v>#DIV/0!</v>
      </c>
      <c r="SKI71" s="1159" t="e">
        <f t="shared" si="208"/>
        <v>#DIV/0!</v>
      </c>
      <c r="SKJ71" s="1159" t="e">
        <f t="shared" si="208"/>
        <v>#DIV/0!</v>
      </c>
      <c r="SKK71" s="1159" t="e">
        <f t="shared" si="208"/>
        <v>#DIV/0!</v>
      </c>
      <c r="SKL71" s="1159" t="e">
        <f t="shared" si="208"/>
        <v>#DIV/0!</v>
      </c>
      <c r="SKM71" s="1159" t="e">
        <f t="shared" si="208"/>
        <v>#DIV/0!</v>
      </c>
      <c r="SKN71" s="1159" t="e">
        <f t="shared" si="208"/>
        <v>#DIV/0!</v>
      </c>
      <c r="SKO71" s="1159" t="e">
        <f t="shared" si="208"/>
        <v>#DIV/0!</v>
      </c>
      <c r="SKP71" s="1159" t="e">
        <f t="shared" si="208"/>
        <v>#DIV/0!</v>
      </c>
      <c r="SKQ71" s="1159" t="e">
        <f t="shared" si="208"/>
        <v>#DIV/0!</v>
      </c>
      <c r="SKR71" s="1159" t="e">
        <f t="shared" si="208"/>
        <v>#DIV/0!</v>
      </c>
      <c r="SKS71" s="1159" t="e">
        <f t="shared" si="208"/>
        <v>#DIV/0!</v>
      </c>
      <c r="SKT71" s="1159" t="e">
        <f t="shared" si="208"/>
        <v>#DIV/0!</v>
      </c>
      <c r="SKU71" s="1159" t="e">
        <f t="shared" si="208"/>
        <v>#DIV/0!</v>
      </c>
      <c r="SKV71" s="1159" t="e">
        <f t="shared" si="208"/>
        <v>#DIV/0!</v>
      </c>
      <c r="SKW71" s="1159" t="e">
        <f t="shared" si="208"/>
        <v>#DIV/0!</v>
      </c>
      <c r="SKX71" s="1159" t="e">
        <f t="shared" si="208"/>
        <v>#DIV/0!</v>
      </c>
      <c r="SKY71" s="1159" t="e">
        <f t="shared" si="208"/>
        <v>#DIV/0!</v>
      </c>
      <c r="SKZ71" s="1159" t="e">
        <f t="shared" si="208"/>
        <v>#DIV/0!</v>
      </c>
      <c r="SLA71" s="1159" t="e">
        <f t="shared" si="208"/>
        <v>#DIV/0!</v>
      </c>
      <c r="SLB71" s="1159" t="e">
        <f t="shared" si="208"/>
        <v>#DIV/0!</v>
      </c>
      <c r="SLC71" s="1159" t="e">
        <f t="shared" si="208"/>
        <v>#DIV/0!</v>
      </c>
      <c r="SLD71" s="1159" t="e">
        <f t="shared" si="208"/>
        <v>#DIV/0!</v>
      </c>
      <c r="SLE71" s="1159" t="e">
        <f t="shared" si="208"/>
        <v>#DIV/0!</v>
      </c>
      <c r="SLF71" s="1159" t="e">
        <f t="shared" si="208"/>
        <v>#DIV/0!</v>
      </c>
      <c r="SLG71" s="1159" t="e">
        <f t="shared" si="208"/>
        <v>#DIV/0!</v>
      </c>
      <c r="SLH71" s="1159" t="e">
        <f t="shared" si="208"/>
        <v>#DIV/0!</v>
      </c>
      <c r="SLI71" s="1159" t="e">
        <f t="shared" si="208"/>
        <v>#DIV/0!</v>
      </c>
      <c r="SLJ71" s="1159" t="e">
        <f t="shared" si="208"/>
        <v>#DIV/0!</v>
      </c>
      <c r="SLK71" s="1159" t="e">
        <f t="shared" si="208"/>
        <v>#DIV/0!</v>
      </c>
      <c r="SLL71" s="1159" t="e">
        <f t="shared" si="208"/>
        <v>#DIV/0!</v>
      </c>
      <c r="SLM71" s="1159" t="e">
        <f t="shared" si="208"/>
        <v>#DIV/0!</v>
      </c>
      <c r="SLN71" s="1159" t="e">
        <f t="shared" si="208"/>
        <v>#DIV/0!</v>
      </c>
      <c r="SLO71" s="1159" t="e">
        <f t="shared" si="208"/>
        <v>#DIV/0!</v>
      </c>
      <c r="SLP71" s="1159" t="e">
        <f t="shared" si="208"/>
        <v>#DIV/0!</v>
      </c>
      <c r="SLQ71" s="1159" t="e">
        <f t="shared" si="208"/>
        <v>#DIV/0!</v>
      </c>
      <c r="SLR71" s="1159" t="e">
        <f t="shared" si="208"/>
        <v>#DIV/0!</v>
      </c>
      <c r="SLS71" s="1159" t="e">
        <f t="shared" si="208"/>
        <v>#DIV/0!</v>
      </c>
      <c r="SLT71" s="1159" t="e">
        <f t="shared" si="208"/>
        <v>#DIV/0!</v>
      </c>
      <c r="SLU71" s="1159" t="e">
        <f t="shared" si="208"/>
        <v>#DIV/0!</v>
      </c>
      <c r="SLV71" s="1159" t="e">
        <f t="shared" si="208"/>
        <v>#DIV/0!</v>
      </c>
      <c r="SLW71" s="1159" t="e">
        <f t="shared" si="208"/>
        <v>#DIV/0!</v>
      </c>
      <c r="SLX71" s="1159" t="e">
        <f t="shared" si="208"/>
        <v>#DIV/0!</v>
      </c>
      <c r="SLY71" s="1159" t="e">
        <f t="shared" si="208"/>
        <v>#DIV/0!</v>
      </c>
      <c r="SLZ71" s="1159" t="e">
        <f t="shared" si="208"/>
        <v>#DIV/0!</v>
      </c>
      <c r="SMA71" s="1159" t="e">
        <f t="shared" si="208"/>
        <v>#DIV/0!</v>
      </c>
      <c r="SMB71" s="1159" t="e">
        <f t="shared" si="208"/>
        <v>#DIV/0!</v>
      </c>
      <c r="SMC71" s="1159" t="e">
        <f t="shared" si="208"/>
        <v>#DIV/0!</v>
      </c>
      <c r="SMD71" s="1159" t="e">
        <f t="shared" si="208"/>
        <v>#DIV/0!</v>
      </c>
      <c r="SME71" s="1159" t="e">
        <f t="shared" si="208"/>
        <v>#DIV/0!</v>
      </c>
      <c r="SMF71" s="1159" t="e">
        <f t="shared" si="208"/>
        <v>#DIV/0!</v>
      </c>
      <c r="SMG71" s="1159" t="e">
        <f t="shared" si="208"/>
        <v>#DIV/0!</v>
      </c>
      <c r="SMH71" s="1159" t="e">
        <f t="shared" ref="SMH71:SOS71" si="209">((SMH6+SMH12+SMH13+SMH14+SMH15)*860+SMH16*SMH55+SMH17*SMH56+SMH7*SMH49+SMH8*SMH50+SMH9*SMH51+SMH10*SMH52+SMH11*SMH53)/(SUM(SMH6:SMH17))</f>
        <v>#DIV/0!</v>
      </c>
      <c r="SMI71" s="1159" t="e">
        <f t="shared" si="209"/>
        <v>#DIV/0!</v>
      </c>
      <c r="SMJ71" s="1159" t="e">
        <f t="shared" si="209"/>
        <v>#DIV/0!</v>
      </c>
      <c r="SMK71" s="1159" t="e">
        <f t="shared" si="209"/>
        <v>#DIV/0!</v>
      </c>
      <c r="SML71" s="1159" t="e">
        <f t="shared" si="209"/>
        <v>#DIV/0!</v>
      </c>
      <c r="SMM71" s="1159" t="e">
        <f t="shared" si="209"/>
        <v>#DIV/0!</v>
      </c>
      <c r="SMN71" s="1159" t="e">
        <f t="shared" si="209"/>
        <v>#DIV/0!</v>
      </c>
      <c r="SMO71" s="1159" t="e">
        <f t="shared" si="209"/>
        <v>#DIV/0!</v>
      </c>
      <c r="SMP71" s="1159" t="e">
        <f t="shared" si="209"/>
        <v>#DIV/0!</v>
      </c>
      <c r="SMQ71" s="1159" t="e">
        <f t="shared" si="209"/>
        <v>#DIV/0!</v>
      </c>
      <c r="SMR71" s="1159" t="e">
        <f t="shared" si="209"/>
        <v>#DIV/0!</v>
      </c>
      <c r="SMS71" s="1159" t="e">
        <f t="shared" si="209"/>
        <v>#DIV/0!</v>
      </c>
      <c r="SMT71" s="1159" t="e">
        <f t="shared" si="209"/>
        <v>#DIV/0!</v>
      </c>
      <c r="SMU71" s="1159" t="e">
        <f t="shared" si="209"/>
        <v>#DIV/0!</v>
      </c>
      <c r="SMV71" s="1159" t="e">
        <f t="shared" si="209"/>
        <v>#DIV/0!</v>
      </c>
      <c r="SMW71" s="1159" t="e">
        <f t="shared" si="209"/>
        <v>#DIV/0!</v>
      </c>
      <c r="SMX71" s="1159" t="e">
        <f t="shared" si="209"/>
        <v>#DIV/0!</v>
      </c>
      <c r="SMY71" s="1159" t="e">
        <f t="shared" si="209"/>
        <v>#DIV/0!</v>
      </c>
      <c r="SMZ71" s="1159" t="e">
        <f t="shared" si="209"/>
        <v>#DIV/0!</v>
      </c>
      <c r="SNA71" s="1159" t="e">
        <f t="shared" si="209"/>
        <v>#DIV/0!</v>
      </c>
      <c r="SNB71" s="1159" t="e">
        <f t="shared" si="209"/>
        <v>#DIV/0!</v>
      </c>
      <c r="SNC71" s="1159" t="e">
        <f t="shared" si="209"/>
        <v>#DIV/0!</v>
      </c>
      <c r="SND71" s="1159" t="e">
        <f t="shared" si="209"/>
        <v>#DIV/0!</v>
      </c>
      <c r="SNE71" s="1159" t="e">
        <f t="shared" si="209"/>
        <v>#DIV/0!</v>
      </c>
      <c r="SNF71" s="1159" t="e">
        <f t="shared" si="209"/>
        <v>#DIV/0!</v>
      </c>
      <c r="SNG71" s="1159" t="e">
        <f t="shared" si="209"/>
        <v>#DIV/0!</v>
      </c>
      <c r="SNH71" s="1159" t="e">
        <f t="shared" si="209"/>
        <v>#DIV/0!</v>
      </c>
      <c r="SNI71" s="1159" t="e">
        <f t="shared" si="209"/>
        <v>#DIV/0!</v>
      </c>
      <c r="SNJ71" s="1159" t="e">
        <f t="shared" si="209"/>
        <v>#DIV/0!</v>
      </c>
      <c r="SNK71" s="1159" t="e">
        <f t="shared" si="209"/>
        <v>#DIV/0!</v>
      </c>
      <c r="SNL71" s="1159" t="e">
        <f t="shared" si="209"/>
        <v>#DIV/0!</v>
      </c>
      <c r="SNM71" s="1159" t="e">
        <f t="shared" si="209"/>
        <v>#DIV/0!</v>
      </c>
      <c r="SNN71" s="1159" t="e">
        <f t="shared" si="209"/>
        <v>#DIV/0!</v>
      </c>
      <c r="SNO71" s="1159" t="e">
        <f t="shared" si="209"/>
        <v>#DIV/0!</v>
      </c>
      <c r="SNP71" s="1159" t="e">
        <f t="shared" si="209"/>
        <v>#DIV/0!</v>
      </c>
      <c r="SNQ71" s="1159" t="e">
        <f t="shared" si="209"/>
        <v>#DIV/0!</v>
      </c>
      <c r="SNR71" s="1159" t="e">
        <f t="shared" si="209"/>
        <v>#DIV/0!</v>
      </c>
      <c r="SNS71" s="1159" t="e">
        <f t="shared" si="209"/>
        <v>#DIV/0!</v>
      </c>
      <c r="SNT71" s="1159" t="e">
        <f t="shared" si="209"/>
        <v>#DIV/0!</v>
      </c>
      <c r="SNU71" s="1159" t="e">
        <f t="shared" si="209"/>
        <v>#DIV/0!</v>
      </c>
      <c r="SNV71" s="1159" t="e">
        <f t="shared" si="209"/>
        <v>#DIV/0!</v>
      </c>
      <c r="SNW71" s="1159" t="e">
        <f t="shared" si="209"/>
        <v>#DIV/0!</v>
      </c>
      <c r="SNX71" s="1159" t="e">
        <f t="shared" si="209"/>
        <v>#DIV/0!</v>
      </c>
      <c r="SNY71" s="1159" t="e">
        <f t="shared" si="209"/>
        <v>#DIV/0!</v>
      </c>
      <c r="SNZ71" s="1159" t="e">
        <f t="shared" si="209"/>
        <v>#DIV/0!</v>
      </c>
      <c r="SOA71" s="1159" t="e">
        <f t="shared" si="209"/>
        <v>#DIV/0!</v>
      </c>
      <c r="SOB71" s="1159" t="e">
        <f t="shared" si="209"/>
        <v>#DIV/0!</v>
      </c>
      <c r="SOC71" s="1159" t="e">
        <f t="shared" si="209"/>
        <v>#DIV/0!</v>
      </c>
      <c r="SOD71" s="1159" t="e">
        <f t="shared" si="209"/>
        <v>#DIV/0!</v>
      </c>
      <c r="SOE71" s="1159" t="e">
        <f t="shared" si="209"/>
        <v>#DIV/0!</v>
      </c>
      <c r="SOF71" s="1159" t="e">
        <f t="shared" si="209"/>
        <v>#DIV/0!</v>
      </c>
      <c r="SOG71" s="1159" t="e">
        <f t="shared" si="209"/>
        <v>#DIV/0!</v>
      </c>
      <c r="SOH71" s="1159" t="e">
        <f t="shared" si="209"/>
        <v>#DIV/0!</v>
      </c>
      <c r="SOI71" s="1159" t="e">
        <f t="shared" si="209"/>
        <v>#DIV/0!</v>
      </c>
      <c r="SOJ71" s="1159" t="e">
        <f t="shared" si="209"/>
        <v>#DIV/0!</v>
      </c>
      <c r="SOK71" s="1159" t="e">
        <f t="shared" si="209"/>
        <v>#DIV/0!</v>
      </c>
      <c r="SOL71" s="1159" t="e">
        <f t="shared" si="209"/>
        <v>#DIV/0!</v>
      </c>
      <c r="SOM71" s="1159" t="e">
        <f t="shared" si="209"/>
        <v>#DIV/0!</v>
      </c>
      <c r="SON71" s="1159" t="e">
        <f t="shared" si="209"/>
        <v>#DIV/0!</v>
      </c>
      <c r="SOO71" s="1159" t="e">
        <f t="shared" si="209"/>
        <v>#DIV/0!</v>
      </c>
      <c r="SOP71" s="1159" t="e">
        <f t="shared" si="209"/>
        <v>#DIV/0!</v>
      </c>
      <c r="SOQ71" s="1159" t="e">
        <f t="shared" si="209"/>
        <v>#DIV/0!</v>
      </c>
      <c r="SOR71" s="1159" t="e">
        <f t="shared" si="209"/>
        <v>#DIV/0!</v>
      </c>
      <c r="SOS71" s="1159" t="e">
        <f t="shared" si="209"/>
        <v>#DIV/0!</v>
      </c>
      <c r="SOT71" s="1159" t="e">
        <f t="shared" ref="SOT71:SRE71" si="210">((SOT6+SOT12+SOT13+SOT14+SOT15)*860+SOT16*SOT55+SOT17*SOT56+SOT7*SOT49+SOT8*SOT50+SOT9*SOT51+SOT10*SOT52+SOT11*SOT53)/(SUM(SOT6:SOT17))</f>
        <v>#DIV/0!</v>
      </c>
      <c r="SOU71" s="1159" t="e">
        <f t="shared" si="210"/>
        <v>#DIV/0!</v>
      </c>
      <c r="SOV71" s="1159" t="e">
        <f t="shared" si="210"/>
        <v>#DIV/0!</v>
      </c>
      <c r="SOW71" s="1159" t="e">
        <f t="shared" si="210"/>
        <v>#DIV/0!</v>
      </c>
      <c r="SOX71" s="1159" t="e">
        <f t="shared" si="210"/>
        <v>#DIV/0!</v>
      </c>
      <c r="SOY71" s="1159" t="e">
        <f t="shared" si="210"/>
        <v>#DIV/0!</v>
      </c>
      <c r="SOZ71" s="1159" t="e">
        <f t="shared" si="210"/>
        <v>#DIV/0!</v>
      </c>
      <c r="SPA71" s="1159" t="e">
        <f t="shared" si="210"/>
        <v>#DIV/0!</v>
      </c>
      <c r="SPB71" s="1159" t="e">
        <f t="shared" si="210"/>
        <v>#DIV/0!</v>
      </c>
      <c r="SPC71" s="1159" t="e">
        <f t="shared" si="210"/>
        <v>#DIV/0!</v>
      </c>
      <c r="SPD71" s="1159" t="e">
        <f t="shared" si="210"/>
        <v>#DIV/0!</v>
      </c>
      <c r="SPE71" s="1159" t="e">
        <f t="shared" si="210"/>
        <v>#DIV/0!</v>
      </c>
      <c r="SPF71" s="1159" t="e">
        <f t="shared" si="210"/>
        <v>#DIV/0!</v>
      </c>
      <c r="SPG71" s="1159" t="e">
        <f t="shared" si="210"/>
        <v>#DIV/0!</v>
      </c>
      <c r="SPH71" s="1159" t="e">
        <f t="shared" si="210"/>
        <v>#DIV/0!</v>
      </c>
      <c r="SPI71" s="1159" t="e">
        <f t="shared" si="210"/>
        <v>#DIV/0!</v>
      </c>
      <c r="SPJ71" s="1159" t="e">
        <f t="shared" si="210"/>
        <v>#DIV/0!</v>
      </c>
      <c r="SPK71" s="1159" t="e">
        <f t="shared" si="210"/>
        <v>#DIV/0!</v>
      </c>
      <c r="SPL71" s="1159" t="e">
        <f t="shared" si="210"/>
        <v>#DIV/0!</v>
      </c>
      <c r="SPM71" s="1159" t="e">
        <f t="shared" si="210"/>
        <v>#DIV/0!</v>
      </c>
      <c r="SPN71" s="1159" t="e">
        <f t="shared" si="210"/>
        <v>#DIV/0!</v>
      </c>
      <c r="SPO71" s="1159" t="e">
        <f t="shared" si="210"/>
        <v>#DIV/0!</v>
      </c>
      <c r="SPP71" s="1159" t="e">
        <f t="shared" si="210"/>
        <v>#DIV/0!</v>
      </c>
      <c r="SPQ71" s="1159" t="e">
        <f t="shared" si="210"/>
        <v>#DIV/0!</v>
      </c>
      <c r="SPR71" s="1159" t="e">
        <f t="shared" si="210"/>
        <v>#DIV/0!</v>
      </c>
      <c r="SPS71" s="1159" t="e">
        <f t="shared" si="210"/>
        <v>#DIV/0!</v>
      </c>
      <c r="SPT71" s="1159" t="e">
        <f t="shared" si="210"/>
        <v>#DIV/0!</v>
      </c>
      <c r="SPU71" s="1159" t="e">
        <f t="shared" si="210"/>
        <v>#DIV/0!</v>
      </c>
      <c r="SPV71" s="1159" t="e">
        <f t="shared" si="210"/>
        <v>#DIV/0!</v>
      </c>
      <c r="SPW71" s="1159" t="e">
        <f t="shared" si="210"/>
        <v>#DIV/0!</v>
      </c>
      <c r="SPX71" s="1159" t="e">
        <f t="shared" si="210"/>
        <v>#DIV/0!</v>
      </c>
      <c r="SPY71" s="1159" t="e">
        <f t="shared" si="210"/>
        <v>#DIV/0!</v>
      </c>
      <c r="SPZ71" s="1159" t="e">
        <f t="shared" si="210"/>
        <v>#DIV/0!</v>
      </c>
      <c r="SQA71" s="1159" t="e">
        <f t="shared" si="210"/>
        <v>#DIV/0!</v>
      </c>
      <c r="SQB71" s="1159" t="e">
        <f t="shared" si="210"/>
        <v>#DIV/0!</v>
      </c>
      <c r="SQC71" s="1159" t="e">
        <f t="shared" si="210"/>
        <v>#DIV/0!</v>
      </c>
      <c r="SQD71" s="1159" t="e">
        <f t="shared" si="210"/>
        <v>#DIV/0!</v>
      </c>
      <c r="SQE71" s="1159" t="e">
        <f t="shared" si="210"/>
        <v>#DIV/0!</v>
      </c>
      <c r="SQF71" s="1159" t="e">
        <f t="shared" si="210"/>
        <v>#DIV/0!</v>
      </c>
      <c r="SQG71" s="1159" t="e">
        <f t="shared" si="210"/>
        <v>#DIV/0!</v>
      </c>
      <c r="SQH71" s="1159" t="e">
        <f t="shared" si="210"/>
        <v>#DIV/0!</v>
      </c>
      <c r="SQI71" s="1159" t="e">
        <f t="shared" si="210"/>
        <v>#DIV/0!</v>
      </c>
      <c r="SQJ71" s="1159" t="e">
        <f t="shared" si="210"/>
        <v>#DIV/0!</v>
      </c>
      <c r="SQK71" s="1159" t="e">
        <f t="shared" si="210"/>
        <v>#DIV/0!</v>
      </c>
      <c r="SQL71" s="1159" t="e">
        <f t="shared" si="210"/>
        <v>#DIV/0!</v>
      </c>
      <c r="SQM71" s="1159" t="e">
        <f t="shared" si="210"/>
        <v>#DIV/0!</v>
      </c>
      <c r="SQN71" s="1159" t="e">
        <f t="shared" si="210"/>
        <v>#DIV/0!</v>
      </c>
      <c r="SQO71" s="1159" t="e">
        <f t="shared" si="210"/>
        <v>#DIV/0!</v>
      </c>
      <c r="SQP71" s="1159" t="e">
        <f t="shared" si="210"/>
        <v>#DIV/0!</v>
      </c>
      <c r="SQQ71" s="1159" t="e">
        <f t="shared" si="210"/>
        <v>#DIV/0!</v>
      </c>
      <c r="SQR71" s="1159" t="e">
        <f t="shared" si="210"/>
        <v>#DIV/0!</v>
      </c>
      <c r="SQS71" s="1159" t="e">
        <f t="shared" si="210"/>
        <v>#DIV/0!</v>
      </c>
      <c r="SQT71" s="1159" t="e">
        <f t="shared" si="210"/>
        <v>#DIV/0!</v>
      </c>
      <c r="SQU71" s="1159" t="e">
        <f t="shared" si="210"/>
        <v>#DIV/0!</v>
      </c>
      <c r="SQV71" s="1159" t="e">
        <f t="shared" si="210"/>
        <v>#DIV/0!</v>
      </c>
      <c r="SQW71" s="1159" t="e">
        <f t="shared" si="210"/>
        <v>#DIV/0!</v>
      </c>
      <c r="SQX71" s="1159" t="e">
        <f t="shared" si="210"/>
        <v>#DIV/0!</v>
      </c>
      <c r="SQY71" s="1159" t="e">
        <f t="shared" si="210"/>
        <v>#DIV/0!</v>
      </c>
      <c r="SQZ71" s="1159" t="e">
        <f t="shared" si="210"/>
        <v>#DIV/0!</v>
      </c>
      <c r="SRA71" s="1159" t="e">
        <f t="shared" si="210"/>
        <v>#DIV/0!</v>
      </c>
      <c r="SRB71" s="1159" t="e">
        <f t="shared" si="210"/>
        <v>#DIV/0!</v>
      </c>
      <c r="SRC71" s="1159" t="e">
        <f t="shared" si="210"/>
        <v>#DIV/0!</v>
      </c>
      <c r="SRD71" s="1159" t="e">
        <f t="shared" si="210"/>
        <v>#DIV/0!</v>
      </c>
      <c r="SRE71" s="1159" t="e">
        <f t="shared" si="210"/>
        <v>#DIV/0!</v>
      </c>
      <c r="SRF71" s="1159" t="e">
        <f t="shared" ref="SRF71:STQ71" si="211">((SRF6+SRF12+SRF13+SRF14+SRF15)*860+SRF16*SRF55+SRF17*SRF56+SRF7*SRF49+SRF8*SRF50+SRF9*SRF51+SRF10*SRF52+SRF11*SRF53)/(SUM(SRF6:SRF17))</f>
        <v>#DIV/0!</v>
      </c>
      <c r="SRG71" s="1159" t="e">
        <f t="shared" si="211"/>
        <v>#DIV/0!</v>
      </c>
      <c r="SRH71" s="1159" t="e">
        <f t="shared" si="211"/>
        <v>#DIV/0!</v>
      </c>
      <c r="SRI71" s="1159" t="e">
        <f t="shared" si="211"/>
        <v>#DIV/0!</v>
      </c>
      <c r="SRJ71" s="1159" t="e">
        <f t="shared" si="211"/>
        <v>#DIV/0!</v>
      </c>
      <c r="SRK71" s="1159" t="e">
        <f t="shared" si="211"/>
        <v>#DIV/0!</v>
      </c>
      <c r="SRL71" s="1159" t="e">
        <f t="shared" si="211"/>
        <v>#DIV/0!</v>
      </c>
      <c r="SRM71" s="1159" t="e">
        <f t="shared" si="211"/>
        <v>#DIV/0!</v>
      </c>
      <c r="SRN71" s="1159" t="e">
        <f t="shared" si="211"/>
        <v>#DIV/0!</v>
      </c>
      <c r="SRO71" s="1159" t="e">
        <f t="shared" si="211"/>
        <v>#DIV/0!</v>
      </c>
      <c r="SRP71" s="1159" t="e">
        <f t="shared" si="211"/>
        <v>#DIV/0!</v>
      </c>
      <c r="SRQ71" s="1159" t="e">
        <f t="shared" si="211"/>
        <v>#DIV/0!</v>
      </c>
      <c r="SRR71" s="1159" t="e">
        <f t="shared" si="211"/>
        <v>#DIV/0!</v>
      </c>
      <c r="SRS71" s="1159" t="e">
        <f t="shared" si="211"/>
        <v>#DIV/0!</v>
      </c>
      <c r="SRT71" s="1159" t="e">
        <f t="shared" si="211"/>
        <v>#DIV/0!</v>
      </c>
      <c r="SRU71" s="1159" t="e">
        <f t="shared" si="211"/>
        <v>#DIV/0!</v>
      </c>
      <c r="SRV71" s="1159" t="e">
        <f t="shared" si="211"/>
        <v>#DIV/0!</v>
      </c>
      <c r="SRW71" s="1159" t="e">
        <f t="shared" si="211"/>
        <v>#DIV/0!</v>
      </c>
      <c r="SRX71" s="1159" t="e">
        <f t="shared" si="211"/>
        <v>#DIV/0!</v>
      </c>
      <c r="SRY71" s="1159" t="e">
        <f t="shared" si="211"/>
        <v>#DIV/0!</v>
      </c>
      <c r="SRZ71" s="1159" t="e">
        <f t="shared" si="211"/>
        <v>#DIV/0!</v>
      </c>
      <c r="SSA71" s="1159" t="e">
        <f t="shared" si="211"/>
        <v>#DIV/0!</v>
      </c>
      <c r="SSB71" s="1159" t="e">
        <f t="shared" si="211"/>
        <v>#DIV/0!</v>
      </c>
      <c r="SSC71" s="1159" t="e">
        <f t="shared" si="211"/>
        <v>#DIV/0!</v>
      </c>
      <c r="SSD71" s="1159" t="e">
        <f t="shared" si="211"/>
        <v>#DIV/0!</v>
      </c>
      <c r="SSE71" s="1159" t="e">
        <f t="shared" si="211"/>
        <v>#DIV/0!</v>
      </c>
      <c r="SSF71" s="1159" t="e">
        <f t="shared" si="211"/>
        <v>#DIV/0!</v>
      </c>
      <c r="SSG71" s="1159" t="e">
        <f t="shared" si="211"/>
        <v>#DIV/0!</v>
      </c>
      <c r="SSH71" s="1159" t="e">
        <f t="shared" si="211"/>
        <v>#DIV/0!</v>
      </c>
      <c r="SSI71" s="1159" t="e">
        <f t="shared" si="211"/>
        <v>#DIV/0!</v>
      </c>
      <c r="SSJ71" s="1159" t="e">
        <f t="shared" si="211"/>
        <v>#DIV/0!</v>
      </c>
      <c r="SSK71" s="1159" t="e">
        <f t="shared" si="211"/>
        <v>#DIV/0!</v>
      </c>
      <c r="SSL71" s="1159" t="e">
        <f t="shared" si="211"/>
        <v>#DIV/0!</v>
      </c>
      <c r="SSM71" s="1159" t="e">
        <f t="shared" si="211"/>
        <v>#DIV/0!</v>
      </c>
      <c r="SSN71" s="1159" t="e">
        <f t="shared" si="211"/>
        <v>#DIV/0!</v>
      </c>
      <c r="SSO71" s="1159" t="e">
        <f t="shared" si="211"/>
        <v>#DIV/0!</v>
      </c>
      <c r="SSP71" s="1159" t="e">
        <f t="shared" si="211"/>
        <v>#DIV/0!</v>
      </c>
      <c r="SSQ71" s="1159" t="e">
        <f t="shared" si="211"/>
        <v>#DIV/0!</v>
      </c>
      <c r="SSR71" s="1159" t="e">
        <f t="shared" si="211"/>
        <v>#DIV/0!</v>
      </c>
      <c r="SSS71" s="1159" t="e">
        <f t="shared" si="211"/>
        <v>#DIV/0!</v>
      </c>
      <c r="SST71" s="1159" t="e">
        <f t="shared" si="211"/>
        <v>#DIV/0!</v>
      </c>
      <c r="SSU71" s="1159" t="e">
        <f t="shared" si="211"/>
        <v>#DIV/0!</v>
      </c>
      <c r="SSV71" s="1159" t="e">
        <f t="shared" si="211"/>
        <v>#DIV/0!</v>
      </c>
      <c r="SSW71" s="1159" t="e">
        <f t="shared" si="211"/>
        <v>#DIV/0!</v>
      </c>
      <c r="SSX71" s="1159" t="e">
        <f t="shared" si="211"/>
        <v>#DIV/0!</v>
      </c>
      <c r="SSY71" s="1159" t="e">
        <f t="shared" si="211"/>
        <v>#DIV/0!</v>
      </c>
      <c r="SSZ71" s="1159" t="e">
        <f t="shared" si="211"/>
        <v>#DIV/0!</v>
      </c>
      <c r="STA71" s="1159" t="e">
        <f t="shared" si="211"/>
        <v>#DIV/0!</v>
      </c>
      <c r="STB71" s="1159" t="e">
        <f t="shared" si="211"/>
        <v>#DIV/0!</v>
      </c>
      <c r="STC71" s="1159" t="e">
        <f t="shared" si="211"/>
        <v>#DIV/0!</v>
      </c>
      <c r="STD71" s="1159" t="e">
        <f t="shared" si="211"/>
        <v>#DIV/0!</v>
      </c>
      <c r="STE71" s="1159" t="e">
        <f t="shared" si="211"/>
        <v>#DIV/0!</v>
      </c>
      <c r="STF71" s="1159" t="e">
        <f t="shared" si="211"/>
        <v>#DIV/0!</v>
      </c>
      <c r="STG71" s="1159" t="e">
        <f t="shared" si="211"/>
        <v>#DIV/0!</v>
      </c>
      <c r="STH71" s="1159" t="e">
        <f t="shared" si="211"/>
        <v>#DIV/0!</v>
      </c>
      <c r="STI71" s="1159" t="e">
        <f t="shared" si="211"/>
        <v>#DIV/0!</v>
      </c>
      <c r="STJ71" s="1159" t="e">
        <f t="shared" si="211"/>
        <v>#DIV/0!</v>
      </c>
      <c r="STK71" s="1159" t="e">
        <f t="shared" si="211"/>
        <v>#DIV/0!</v>
      </c>
      <c r="STL71" s="1159" t="e">
        <f t="shared" si="211"/>
        <v>#DIV/0!</v>
      </c>
      <c r="STM71" s="1159" t="e">
        <f t="shared" si="211"/>
        <v>#DIV/0!</v>
      </c>
      <c r="STN71" s="1159" t="e">
        <f t="shared" si="211"/>
        <v>#DIV/0!</v>
      </c>
      <c r="STO71" s="1159" t="e">
        <f t="shared" si="211"/>
        <v>#DIV/0!</v>
      </c>
      <c r="STP71" s="1159" t="e">
        <f t="shared" si="211"/>
        <v>#DIV/0!</v>
      </c>
      <c r="STQ71" s="1159" t="e">
        <f t="shared" si="211"/>
        <v>#DIV/0!</v>
      </c>
      <c r="STR71" s="1159" t="e">
        <f t="shared" ref="STR71:SWC71" si="212">((STR6+STR12+STR13+STR14+STR15)*860+STR16*STR55+STR17*STR56+STR7*STR49+STR8*STR50+STR9*STR51+STR10*STR52+STR11*STR53)/(SUM(STR6:STR17))</f>
        <v>#DIV/0!</v>
      </c>
      <c r="STS71" s="1159" t="e">
        <f t="shared" si="212"/>
        <v>#DIV/0!</v>
      </c>
      <c r="STT71" s="1159" t="e">
        <f t="shared" si="212"/>
        <v>#DIV/0!</v>
      </c>
      <c r="STU71" s="1159" t="e">
        <f t="shared" si="212"/>
        <v>#DIV/0!</v>
      </c>
      <c r="STV71" s="1159" t="e">
        <f t="shared" si="212"/>
        <v>#DIV/0!</v>
      </c>
      <c r="STW71" s="1159" t="e">
        <f t="shared" si="212"/>
        <v>#DIV/0!</v>
      </c>
      <c r="STX71" s="1159" t="e">
        <f t="shared" si="212"/>
        <v>#DIV/0!</v>
      </c>
      <c r="STY71" s="1159" t="e">
        <f t="shared" si="212"/>
        <v>#DIV/0!</v>
      </c>
      <c r="STZ71" s="1159" t="e">
        <f t="shared" si="212"/>
        <v>#DIV/0!</v>
      </c>
      <c r="SUA71" s="1159" t="e">
        <f t="shared" si="212"/>
        <v>#DIV/0!</v>
      </c>
      <c r="SUB71" s="1159" t="e">
        <f t="shared" si="212"/>
        <v>#DIV/0!</v>
      </c>
      <c r="SUC71" s="1159" t="e">
        <f t="shared" si="212"/>
        <v>#DIV/0!</v>
      </c>
      <c r="SUD71" s="1159" t="e">
        <f t="shared" si="212"/>
        <v>#DIV/0!</v>
      </c>
      <c r="SUE71" s="1159" t="e">
        <f t="shared" si="212"/>
        <v>#DIV/0!</v>
      </c>
      <c r="SUF71" s="1159" t="e">
        <f t="shared" si="212"/>
        <v>#DIV/0!</v>
      </c>
      <c r="SUG71" s="1159" t="e">
        <f t="shared" si="212"/>
        <v>#DIV/0!</v>
      </c>
      <c r="SUH71" s="1159" t="e">
        <f t="shared" si="212"/>
        <v>#DIV/0!</v>
      </c>
      <c r="SUI71" s="1159" t="e">
        <f t="shared" si="212"/>
        <v>#DIV/0!</v>
      </c>
      <c r="SUJ71" s="1159" t="e">
        <f t="shared" si="212"/>
        <v>#DIV/0!</v>
      </c>
      <c r="SUK71" s="1159" t="e">
        <f t="shared" si="212"/>
        <v>#DIV/0!</v>
      </c>
      <c r="SUL71" s="1159" t="e">
        <f t="shared" si="212"/>
        <v>#DIV/0!</v>
      </c>
      <c r="SUM71" s="1159" t="e">
        <f t="shared" si="212"/>
        <v>#DIV/0!</v>
      </c>
      <c r="SUN71" s="1159" t="e">
        <f t="shared" si="212"/>
        <v>#DIV/0!</v>
      </c>
      <c r="SUO71" s="1159" t="e">
        <f t="shared" si="212"/>
        <v>#DIV/0!</v>
      </c>
      <c r="SUP71" s="1159" t="e">
        <f t="shared" si="212"/>
        <v>#DIV/0!</v>
      </c>
      <c r="SUQ71" s="1159" t="e">
        <f t="shared" si="212"/>
        <v>#DIV/0!</v>
      </c>
      <c r="SUR71" s="1159" t="e">
        <f t="shared" si="212"/>
        <v>#DIV/0!</v>
      </c>
      <c r="SUS71" s="1159" t="e">
        <f t="shared" si="212"/>
        <v>#DIV/0!</v>
      </c>
      <c r="SUT71" s="1159" t="e">
        <f t="shared" si="212"/>
        <v>#DIV/0!</v>
      </c>
      <c r="SUU71" s="1159" t="e">
        <f t="shared" si="212"/>
        <v>#DIV/0!</v>
      </c>
      <c r="SUV71" s="1159" t="e">
        <f t="shared" si="212"/>
        <v>#DIV/0!</v>
      </c>
      <c r="SUW71" s="1159" t="e">
        <f t="shared" si="212"/>
        <v>#DIV/0!</v>
      </c>
      <c r="SUX71" s="1159" t="e">
        <f t="shared" si="212"/>
        <v>#DIV/0!</v>
      </c>
      <c r="SUY71" s="1159" t="e">
        <f t="shared" si="212"/>
        <v>#DIV/0!</v>
      </c>
      <c r="SUZ71" s="1159" t="e">
        <f t="shared" si="212"/>
        <v>#DIV/0!</v>
      </c>
      <c r="SVA71" s="1159" t="e">
        <f t="shared" si="212"/>
        <v>#DIV/0!</v>
      </c>
      <c r="SVB71" s="1159" t="e">
        <f t="shared" si="212"/>
        <v>#DIV/0!</v>
      </c>
      <c r="SVC71" s="1159" t="e">
        <f t="shared" si="212"/>
        <v>#DIV/0!</v>
      </c>
      <c r="SVD71" s="1159" t="e">
        <f t="shared" si="212"/>
        <v>#DIV/0!</v>
      </c>
      <c r="SVE71" s="1159" t="e">
        <f t="shared" si="212"/>
        <v>#DIV/0!</v>
      </c>
      <c r="SVF71" s="1159" t="e">
        <f t="shared" si="212"/>
        <v>#DIV/0!</v>
      </c>
      <c r="SVG71" s="1159" t="e">
        <f t="shared" si="212"/>
        <v>#DIV/0!</v>
      </c>
      <c r="SVH71" s="1159" t="e">
        <f t="shared" si="212"/>
        <v>#DIV/0!</v>
      </c>
      <c r="SVI71" s="1159" t="e">
        <f t="shared" si="212"/>
        <v>#DIV/0!</v>
      </c>
      <c r="SVJ71" s="1159" t="e">
        <f t="shared" si="212"/>
        <v>#DIV/0!</v>
      </c>
      <c r="SVK71" s="1159" t="e">
        <f t="shared" si="212"/>
        <v>#DIV/0!</v>
      </c>
      <c r="SVL71" s="1159" t="e">
        <f t="shared" si="212"/>
        <v>#DIV/0!</v>
      </c>
      <c r="SVM71" s="1159" t="e">
        <f t="shared" si="212"/>
        <v>#DIV/0!</v>
      </c>
      <c r="SVN71" s="1159" t="e">
        <f t="shared" si="212"/>
        <v>#DIV/0!</v>
      </c>
      <c r="SVO71" s="1159" t="e">
        <f t="shared" si="212"/>
        <v>#DIV/0!</v>
      </c>
      <c r="SVP71" s="1159" t="e">
        <f t="shared" si="212"/>
        <v>#DIV/0!</v>
      </c>
      <c r="SVQ71" s="1159" t="e">
        <f t="shared" si="212"/>
        <v>#DIV/0!</v>
      </c>
      <c r="SVR71" s="1159" t="e">
        <f t="shared" si="212"/>
        <v>#DIV/0!</v>
      </c>
      <c r="SVS71" s="1159" t="e">
        <f t="shared" si="212"/>
        <v>#DIV/0!</v>
      </c>
      <c r="SVT71" s="1159" t="e">
        <f t="shared" si="212"/>
        <v>#DIV/0!</v>
      </c>
      <c r="SVU71" s="1159" t="e">
        <f t="shared" si="212"/>
        <v>#DIV/0!</v>
      </c>
      <c r="SVV71" s="1159" t="e">
        <f t="shared" si="212"/>
        <v>#DIV/0!</v>
      </c>
      <c r="SVW71" s="1159" t="e">
        <f t="shared" si="212"/>
        <v>#DIV/0!</v>
      </c>
      <c r="SVX71" s="1159" t="e">
        <f t="shared" si="212"/>
        <v>#DIV/0!</v>
      </c>
      <c r="SVY71" s="1159" t="e">
        <f t="shared" si="212"/>
        <v>#DIV/0!</v>
      </c>
      <c r="SVZ71" s="1159" t="e">
        <f t="shared" si="212"/>
        <v>#DIV/0!</v>
      </c>
      <c r="SWA71" s="1159" t="e">
        <f t="shared" si="212"/>
        <v>#DIV/0!</v>
      </c>
      <c r="SWB71" s="1159" t="e">
        <f t="shared" si="212"/>
        <v>#DIV/0!</v>
      </c>
      <c r="SWC71" s="1159" t="e">
        <f t="shared" si="212"/>
        <v>#DIV/0!</v>
      </c>
      <c r="SWD71" s="1159" t="e">
        <f t="shared" ref="SWD71:SYO71" si="213">((SWD6+SWD12+SWD13+SWD14+SWD15)*860+SWD16*SWD55+SWD17*SWD56+SWD7*SWD49+SWD8*SWD50+SWD9*SWD51+SWD10*SWD52+SWD11*SWD53)/(SUM(SWD6:SWD17))</f>
        <v>#DIV/0!</v>
      </c>
      <c r="SWE71" s="1159" t="e">
        <f t="shared" si="213"/>
        <v>#DIV/0!</v>
      </c>
      <c r="SWF71" s="1159" t="e">
        <f t="shared" si="213"/>
        <v>#DIV/0!</v>
      </c>
      <c r="SWG71" s="1159" t="e">
        <f t="shared" si="213"/>
        <v>#DIV/0!</v>
      </c>
      <c r="SWH71" s="1159" t="e">
        <f t="shared" si="213"/>
        <v>#DIV/0!</v>
      </c>
      <c r="SWI71" s="1159" t="e">
        <f t="shared" si="213"/>
        <v>#DIV/0!</v>
      </c>
      <c r="SWJ71" s="1159" t="e">
        <f t="shared" si="213"/>
        <v>#DIV/0!</v>
      </c>
      <c r="SWK71" s="1159" t="e">
        <f t="shared" si="213"/>
        <v>#DIV/0!</v>
      </c>
      <c r="SWL71" s="1159" t="e">
        <f t="shared" si="213"/>
        <v>#DIV/0!</v>
      </c>
      <c r="SWM71" s="1159" t="e">
        <f t="shared" si="213"/>
        <v>#DIV/0!</v>
      </c>
      <c r="SWN71" s="1159" t="e">
        <f t="shared" si="213"/>
        <v>#DIV/0!</v>
      </c>
      <c r="SWO71" s="1159" t="e">
        <f t="shared" si="213"/>
        <v>#DIV/0!</v>
      </c>
      <c r="SWP71" s="1159" t="e">
        <f t="shared" si="213"/>
        <v>#DIV/0!</v>
      </c>
      <c r="SWQ71" s="1159" t="e">
        <f t="shared" si="213"/>
        <v>#DIV/0!</v>
      </c>
      <c r="SWR71" s="1159" t="e">
        <f t="shared" si="213"/>
        <v>#DIV/0!</v>
      </c>
      <c r="SWS71" s="1159" t="e">
        <f t="shared" si="213"/>
        <v>#DIV/0!</v>
      </c>
      <c r="SWT71" s="1159" t="e">
        <f t="shared" si="213"/>
        <v>#DIV/0!</v>
      </c>
      <c r="SWU71" s="1159" t="e">
        <f t="shared" si="213"/>
        <v>#DIV/0!</v>
      </c>
      <c r="SWV71" s="1159" t="e">
        <f t="shared" si="213"/>
        <v>#DIV/0!</v>
      </c>
      <c r="SWW71" s="1159" t="e">
        <f t="shared" si="213"/>
        <v>#DIV/0!</v>
      </c>
      <c r="SWX71" s="1159" t="e">
        <f t="shared" si="213"/>
        <v>#DIV/0!</v>
      </c>
      <c r="SWY71" s="1159" t="e">
        <f t="shared" si="213"/>
        <v>#DIV/0!</v>
      </c>
      <c r="SWZ71" s="1159" t="e">
        <f t="shared" si="213"/>
        <v>#DIV/0!</v>
      </c>
      <c r="SXA71" s="1159" t="e">
        <f t="shared" si="213"/>
        <v>#DIV/0!</v>
      </c>
      <c r="SXB71" s="1159" t="e">
        <f t="shared" si="213"/>
        <v>#DIV/0!</v>
      </c>
      <c r="SXC71" s="1159" t="e">
        <f t="shared" si="213"/>
        <v>#DIV/0!</v>
      </c>
      <c r="SXD71" s="1159" t="e">
        <f t="shared" si="213"/>
        <v>#DIV/0!</v>
      </c>
      <c r="SXE71" s="1159" t="e">
        <f t="shared" si="213"/>
        <v>#DIV/0!</v>
      </c>
      <c r="SXF71" s="1159" t="e">
        <f t="shared" si="213"/>
        <v>#DIV/0!</v>
      </c>
      <c r="SXG71" s="1159" t="e">
        <f t="shared" si="213"/>
        <v>#DIV/0!</v>
      </c>
      <c r="SXH71" s="1159" t="e">
        <f t="shared" si="213"/>
        <v>#DIV/0!</v>
      </c>
      <c r="SXI71" s="1159" t="e">
        <f t="shared" si="213"/>
        <v>#DIV/0!</v>
      </c>
      <c r="SXJ71" s="1159" t="e">
        <f t="shared" si="213"/>
        <v>#DIV/0!</v>
      </c>
      <c r="SXK71" s="1159" t="e">
        <f t="shared" si="213"/>
        <v>#DIV/0!</v>
      </c>
      <c r="SXL71" s="1159" t="e">
        <f t="shared" si="213"/>
        <v>#DIV/0!</v>
      </c>
      <c r="SXM71" s="1159" t="e">
        <f t="shared" si="213"/>
        <v>#DIV/0!</v>
      </c>
      <c r="SXN71" s="1159" t="e">
        <f t="shared" si="213"/>
        <v>#DIV/0!</v>
      </c>
      <c r="SXO71" s="1159" t="e">
        <f t="shared" si="213"/>
        <v>#DIV/0!</v>
      </c>
      <c r="SXP71" s="1159" t="e">
        <f t="shared" si="213"/>
        <v>#DIV/0!</v>
      </c>
      <c r="SXQ71" s="1159" t="e">
        <f t="shared" si="213"/>
        <v>#DIV/0!</v>
      </c>
      <c r="SXR71" s="1159" t="e">
        <f t="shared" si="213"/>
        <v>#DIV/0!</v>
      </c>
      <c r="SXS71" s="1159" t="e">
        <f t="shared" si="213"/>
        <v>#DIV/0!</v>
      </c>
      <c r="SXT71" s="1159" t="e">
        <f t="shared" si="213"/>
        <v>#DIV/0!</v>
      </c>
      <c r="SXU71" s="1159" t="e">
        <f t="shared" si="213"/>
        <v>#DIV/0!</v>
      </c>
      <c r="SXV71" s="1159" t="e">
        <f t="shared" si="213"/>
        <v>#DIV/0!</v>
      </c>
      <c r="SXW71" s="1159" t="e">
        <f t="shared" si="213"/>
        <v>#DIV/0!</v>
      </c>
      <c r="SXX71" s="1159" t="e">
        <f t="shared" si="213"/>
        <v>#DIV/0!</v>
      </c>
      <c r="SXY71" s="1159" t="e">
        <f t="shared" si="213"/>
        <v>#DIV/0!</v>
      </c>
      <c r="SXZ71" s="1159" t="e">
        <f t="shared" si="213"/>
        <v>#DIV/0!</v>
      </c>
      <c r="SYA71" s="1159" t="e">
        <f t="shared" si="213"/>
        <v>#DIV/0!</v>
      </c>
      <c r="SYB71" s="1159" t="e">
        <f t="shared" si="213"/>
        <v>#DIV/0!</v>
      </c>
      <c r="SYC71" s="1159" t="e">
        <f t="shared" si="213"/>
        <v>#DIV/0!</v>
      </c>
      <c r="SYD71" s="1159" t="e">
        <f t="shared" si="213"/>
        <v>#DIV/0!</v>
      </c>
      <c r="SYE71" s="1159" t="e">
        <f t="shared" si="213"/>
        <v>#DIV/0!</v>
      </c>
      <c r="SYF71" s="1159" t="e">
        <f t="shared" si="213"/>
        <v>#DIV/0!</v>
      </c>
      <c r="SYG71" s="1159" t="e">
        <f t="shared" si="213"/>
        <v>#DIV/0!</v>
      </c>
      <c r="SYH71" s="1159" t="e">
        <f t="shared" si="213"/>
        <v>#DIV/0!</v>
      </c>
      <c r="SYI71" s="1159" t="e">
        <f t="shared" si="213"/>
        <v>#DIV/0!</v>
      </c>
      <c r="SYJ71" s="1159" t="e">
        <f t="shared" si="213"/>
        <v>#DIV/0!</v>
      </c>
      <c r="SYK71" s="1159" t="e">
        <f t="shared" si="213"/>
        <v>#DIV/0!</v>
      </c>
      <c r="SYL71" s="1159" t="e">
        <f t="shared" si="213"/>
        <v>#DIV/0!</v>
      </c>
      <c r="SYM71" s="1159" t="e">
        <f t="shared" si="213"/>
        <v>#DIV/0!</v>
      </c>
      <c r="SYN71" s="1159" t="e">
        <f t="shared" si="213"/>
        <v>#DIV/0!</v>
      </c>
      <c r="SYO71" s="1159" t="e">
        <f t="shared" si="213"/>
        <v>#DIV/0!</v>
      </c>
      <c r="SYP71" s="1159" t="e">
        <f t="shared" ref="SYP71:TBA71" si="214">((SYP6+SYP12+SYP13+SYP14+SYP15)*860+SYP16*SYP55+SYP17*SYP56+SYP7*SYP49+SYP8*SYP50+SYP9*SYP51+SYP10*SYP52+SYP11*SYP53)/(SUM(SYP6:SYP17))</f>
        <v>#DIV/0!</v>
      </c>
      <c r="SYQ71" s="1159" t="e">
        <f t="shared" si="214"/>
        <v>#DIV/0!</v>
      </c>
      <c r="SYR71" s="1159" t="e">
        <f t="shared" si="214"/>
        <v>#DIV/0!</v>
      </c>
      <c r="SYS71" s="1159" t="e">
        <f t="shared" si="214"/>
        <v>#DIV/0!</v>
      </c>
      <c r="SYT71" s="1159" t="e">
        <f t="shared" si="214"/>
        <v>#DIV/0!</v>
      </c>
      <c r="SYU71" s="1159" t="e">
        <f t="shared" si="214"/>
        <v>#DIV/0!</v>
      </c>
      <c r="SYV71" s="1159" t="e">
        <f t="shared" si="214"/>
        <v>#DIV/0!</v>
      </c>
      <c r="SYW71" s="1159" t="e">
        <f t="shared" si="214"/>
        <v>#DIV/0!</v>
      </c>
      <c r="SYX71" s="1159" t="e">
        <f t="shared" si="214"/>
        <v>#DIV/0!</v>
      </c>
      <c r="SYY71" s="1159" t="e">
        <f t="shared" si="214"/>
        <v>#DIV/0!</v>
      </c>
      <c r="SYZ71" s="1159" t="e">
        <f t="shared" si="214"/>
        <v>#DIV/0!</v>
      </c>
      <c r="SZA71" s="1159" t="e">
        <f t="shared" si="214"/>
        <v>#DIV/0!</v>
      </c>
      <c r="SZB71" s="1159" t="e">
        <f t="shared" si="214"/>
        <v>#DIV/0!</v>
      </c>
      <c r="SZC71" s="1159" t="e">
        <f t="shared" si="214"/>
        <v>#DIV/0!</v>
      </c>
      <c r="SZD71" s="1159" t="e">
        <f t="shared" si="214"/>
        <v>#DIV/0!</v>
      </c>
      <c r="SZE71" s="1159" t="e">
        <f t="shared" si="214"/>
        <v>#DIV/0!</v>
      </c>
      <c r="SZF71" s="1159" t="e">
        <f t="shared" si="214"/>
        <v>#DIV/0!</v>
      </c>
      <c r="SZG71" s="1159" t="e">
        <f t="shared" si="214"/>
        <v>#DIV/0!</v>
      </c>
      <c r="SZH71" s="1159" t="e">
        <f t="shared" si="214"/>
        <v>#DIV/0!</v>
      </c>
      <c r="SZI71" s="1159" t="e">
        <f t="shared" si="214"/>
        <v>#DIV/0!</v>
      </c>
      <c r="SZJ71" s="1159" t="e">
        <f t="shared" si="214"/>
        <v>#DIV/0!</v>
      </c>
      <c r="SZK71" s="1159" t="e">
        <f t="shared" si="214"/>
        <v>#DIV/0!</v>
      </c>
      <c r="SZL71" s="1159" t="e">
        <f t="shared" si="214"/>
        <v>#DIV/0!</v>
      </c>
      <c r="SZM71" s="1159" t="e">
        <f t="shared" si="214"/>
        <v>#DIV/0!</v>
      </c>
      <c r="SZN71" s="1159" t="e">
        <f t="shared" si="214"/>
        <v>#DIV/0!</v>
      </c>
      <c r="SZO71" s="1159" t="e">
        <f t="shared" si="214"/>
        <v>#DIV/0!</v>
      </c>
      <c r="SZP71" s="1159" t="e">
        <f t="shared" si="214"/>
        <v>#DIV/0!</v>
      </c>
      <c r="SZQ71" s="1159" t="e">
        <f t="shared" si="214"/>
        <v>#DIV/0!</v>
      </c>
      <c r="SZR71" s="1159" t="e">
        <f t="shared" si="214"/>
        <v>#DIV/0!</v>
      </c>
      <c r="SZS71" s="1159" t="e">
        <f t="shared" si="214"/>
        <v>#DIV/0!</v>
      </c>
      <c r="SZT71" s="1159" t="e">
        <f t="shared" si="214"/>
        <v>#DIV/0!</v>
      </c>
      <c r="SZU71" s="1159" t="e">
        <f t="shared" si="214"/>
        <v>#DIV/0!</v>
      </c>
      <c r="SZV71" s="1159" t="e">
        <f t="shared" si="214"/>
        <v>#DIV/0!</v>
      </c>
      <c r="SZW71" s="1159" t="e">
        <f t="shared" si="214"/>
        <v>#DIV/0!</v>
      </c>
      <c r="SZX71" s="1159" t="e">
        <f t="shared" si="214"/>
        <v>#DIV/0!</v>
      </c>
      <c r="SZY71" s="1159" t="e">
        <f t="shared" si="214"/>
        <v>#DIV/0!</v>
      </c>
      <c r="SZZ71" s="1159" t="e">
        <f t="shared" si="214"/>
        <v>#DIV/0!</v>
      </c>
      <c r="TAA71" s="1159" t="e">
        <f t="shared" si="214"/>
        <v>#DIV/0!</v>
      </c>
      <c r="TAB71" s="1159" t="e">
        <f t="shared" si="214"/>
        <v>#DIV/0!</v>
      </c>
      <c r="TAC71" s="1159" t="e">
        <f t="shared" si="214"/>
        <v>#DIV/0!</v>
      </c>
      <c r="TAD71" s="1159" t="e">
        <f t="shared" si="214"/>
        <v>#DIV/0!</v>
      </c>
      <c r="TAE71" s="1159" t="e">
        <f t="shared" si="214"/>
        <v>#DIV/0!</v>
      </c>
      <c r="TAF71" s="1159" t="e">
        <f t="shared" si="214"/>
        <v>#DIV/0!</v>
      </c>
      <c r="TAG71" s="1159" t="e">
        <f t="shared" si="214"/>
        <v>#DIV/0!</v>
      </c>
      <c r="TAH71" s="1159" t="e">
        <f t="shared" si="214"/>
        <v>#DIV/0!</v>
      </c>
      <c r="TAI71" s="1159" t="e">
        <f t="shared" si="214"/>
        <v>#DIV/0!</v>
      </c>
      <c r="TAJ71" s="1159" t="e">
        <f t="shared" si="214"/>
        <v>#DIV/0!</v>
      </c>
      <c r="TAK71" s="1159" t="e">
        <f t="shared" si="214"/>
        <v>#DIV/0!</v>
      </c>
      <c r="TAL71" s="1159" t="e">
        <f t="shared" si="214"/>
        <v>#DIV/0!</v>
      </c>
      <c r="TAM71" s="1159" t="e">
        <f t="shared" si="214"/>
        <v>#DIV/0!</v>
      </c>
      <c r="TAN71" s="1159" t="e">
        <f t="shared" si="214"/>
        <v>#DIV/0!</v>
      </c>
      <c r="TAO71" s="1159" t="e">
        <f t="shared" si="214"/>
        <v>#DIV/0!</v>
      </c>
      <c r="TAP71" s="1159" t="e">
        <f t="shared" si="214"/>
        <v>#DIV/0!</v>
      </c>
      <c r="TAQ71" s="1159" t="e">
        <f t="shared" si="214"/>
        <v>#DIV/0!</v>
      </c>
      <c r="TAR71" s="1159" t="e">
        <f t="shared" si="214"/>
        <v>#DIV/0!</v>
      </c>
      <c r="TAS71" s="1159" t="e">
        <f t="shared" si="214"/>
        <v>#DIV/0!</v>
      </c>
      <c r="TAT71" s="1159" t="e">
        <f t="shared" si="214"/>
        <v>#DIV/0!</v>
      </c>
      <c r="TAU71" s="1159" t="e">
        <f t="shared" si="214"/>
        <v>#DIV/0!</v>
      </c>
      <c r="TAV71" s="1159" t="e">
        <f t="shared" si="214"/>
        <v>#DIV/0!</v>
      </c>
      <c r="TAW71" s="1159" t="e">
        <f t="shared" si="214"/>
        <v>#DIV/0!</v>
      </c>
      <c r="TAX71" s="1159" t="e">
        <f t="shared" si="214"/>
        <v>#DIV/0!</v>
      </c>
      <c r="TAY71" s="1159" t="e">
        <f t="shared" si="214"/>
        <v>#DIV/0!</v>
      </c>
      <c r="TAZ71" s="1159" t="e">
        <f t="shared" si="214"/>
        <v>#DIV/0!</v>
      </c>
      <c r="TBA71" s="1159" t="e">
        <f t="shared" si="214"/>
        <v>#DIV/0!</v>
      </c>
      <c r="TBB71" s="1159" t="e">
        <f t="shared" ref="TBB71:TDM71" si="215">((TBB6+TBB12+TBB13+TBB14+TBB15)*860+TBB16*TBB55+TBB17*TBB56+TBB7*TBB49+TBB8*TBB50+TBB9*TBB51+TBB10*TBB52+TBB11*TBB53)/(SUM(TBB6:TBB17))</f>
        <v>#DIV/0!</v>
      </c>
      <c r="TBC71" s="1159" t="e">
        <f t="shared" si="215"/>
        <v>#DIV/0!</v>
      </c>
      <c r="TBD71" s="1159" t="e">
        <f t="shared" si="215"/>
        <v>#DIV/0!</v>
      </c>
      <c r="TBE71" s="1159" t="e">
        <f t="shared" si="215"/>
        <v>#DIV/0!</v>
      </c>
      <c r="TBF71" s="1159" t="e">
        <f t="shared" si="215"/>
        <v>#DIV/0!</v>
      </c>
      <c r="TBG71" s="1159" t="e">
        <f t="shared" si="215"/>
        <v>#DIV/0!</v>
      </c>
      <c r="TBH71" s="1159" t="e">
        <f t="shared" si="215"/>
        <v>#DIV/0!</v>
      </c>
      <c r="TBI71" s="1159" t="e">
        <f t="shared" si="215"/>
        <v>#DIV/0!</v>
      </c>
      <c r="TBJ71" s="1159" t="e">
        <f t="shared" si="215"/>
        <v>#DIV/0!</v>
      </c>
      <c r="TBK71" s="1159" t="e">
        <f t="shared" si="215"/>
        <v>#DIV/0!</v>
      </c>
      <c r="TBL71" s="1159" t="e">
        <f t="shared" si="215"/>
        <v>#DIV/0!</v>
      </c>
      <c r="TBM71" s="1159" t="e">
        <f t="shared" si="215"/>
        <v>#DIV/0!</v>
      </c>
      <c r="TBN71" s="1159" t="e">
        <f t="shared" si="215"/>
        <v>#DIV/0!</v>
      </c>
      <c r="TBO71" s="1159" t="e">
        <f t="shared" si="215"/>
        <v>#DIV/0!</v>
      </c>
      <c r="TBP71" s="1159" t="e">
        <f t="shared" si="215"/>
        <v>#DIV/0!</v>
      </c>
      <c r="TBQ71" s="1159" t="e">
        <f t="shared" si="215"/>
        <v>#DIV/0!</v>
      </c>
      <c r="TBR71" s="1159" t="e">
        <f t="shared" si="215"/>
        <v>#DIV/0!</v>
      </c>
      <c r="TBS71" s="1159" t="e">
        <f t="shared" si="215"/>
        <v>#DIV/0!</v>
      </c>
      <c r="TBT71" s="1159" t="e">
        <f t="shared" si="215"/>
        <v>#DIV/0!</v>
      </c>
      <c r="TBU71" s="1159" t="e">
        <f t="shared" si="215"/>
        <v>#DIV/0!</v>
      </c>
      <c r="TBV71" s="1159" t="e">
        <f t="shared" si="215"/>
        <v>#DIV/0!</v>
      </c>
      <c r="TBW71" s="1159" t="e">
        <f t="shared" si="215"/>
        <v>#DIV/0!</v>
      </c>
      <c r="TBX71" s="1159" t="e">
        <f t="shared" si="215"/>
        <v>#DIV/0!</v>
      </c>
      <c r="TBY71" s="1159" t="e">
        <f t="shared" si="215"/>
        <v>#DIV/0!</v>
      </c>
      <c r="TBZ71" s="1159" t="e">
        <f t="shared" si="215"/>
        <v>#DIV/0!</v>
      </c>
      <c r="TCA71" s="1159" t="e">
        <f t="shared" si="215"/>
        <v>#DIV/0!</v>
      </c>
      <c r="TCB71" s="1159" t="e">
        <f t="shared" si="215"/>
        <v>#DIV/0!</v>
      </c>
      <c r="TCC71" s="1159" t="e">
        <f t="shared" si="215"/>
        <v>#DIV/0!</v>
      </c>
      <c r="TCD71" s="1159" t="e">
        <f t="shared" si="215"/>
        <v>#DIV/0!</v>
      </c>
      <c r="TCE71" s="1159" t="e">
        <f t="shared" si="215"/>
        <v>#DIV/0!</v>
      </c>
      <c r="TCF71" s="1159" t="e">
        <f t="shared" si="215"/>
        <v>#DIV/0!</v>
      </c>
      <c r="TCG71" s="1159" t="e">
        <f t="shared" si="215"/>
        <v>#DIV/0!</v>
      </c>
      <c r="TCH71" s="1159" t="e">
        <f t="shared" si="215"/>
        <v>#DIV/0!</v>
      </c>
      <c r="TCI71" s="1159" t="e">
        <f t="shared" si="215"/>
        <v>#DIV/0!</v>
      </c>
      <c r="TCJ71" s="1159" t="e">
        <f t="shared" si="215"/>
        <v>#DIV/0!</v>
      </c>
      <c r="TCK71" s="1159" t="e">
        <f t="shared" si="215"/>
        <v>#DIV/0!</v>
      </c>
      <c r="TCL71" s="1159" t="e">
        <f t="shared" si="215"/>
        <v>#DIV/0!</v>
      </c>
      <c r="TCM71" s="1159" t="e">
        <f t="shared" si="215"/>
        <v>#DIV/0!</v>
      </c>
      <c r="TCN71" s="1159" t="e">
        <f t="shared" si="215"/>
        <v>#DIV/0!</v>
      </c>
      <c r="TCO71" s="1159" t="e">
        <f t="shared" si="215"/>
        <v>#DIV/0!</v>
      </c>
      <c r="TCP71" s="1159" t="e">
        <f t="shared" si="215"/>
        <v>#DIV/0!</v>
      </c>
      <c r="TCQ71" s="1159" t="e">
        <f t="shared" si="215"/>
        <v>#DIV/0!</v>
      </c>
      <c r="TCR71" s="1159" t="e">
        <f t="shared" si="215"/>
        <v>#DIV/0!</v>
      </c>
      <c r="TCS71" s="1159" t="e">
        <f t="shared" si="215"/>
        <v>#DIV/0!</v>
      </c>
      <c r="TCT71" s="1159" t="e">
        <f t="shared" si="215"/>
        <v>#DIV/0!</v>
      </c>
      <c r="TCU71" s="1159" t="e">
        <f t="shared" si="215"/>
        <v>#DIV/0!</v>
      </c>
      <c r="TCV71" s="1159" t="e">
        <f t="shared" si="215"/>
        <v>#DIV/0!</v>
      </c>
      <c r="TCW71" s="1159" t="e">
        <f t="shared" si="215"/>
        <v>#DIV/0!</v>
      </c>
      <c r="TCX71" s="1159" t="e">
        <f t="shared" si="215"/>
        <v>#DIV/0!</v>
      </c>
      <c r="TCY71" s="1159" t="e">
        <f t="shared" si="215"/>
        <v>#DIV/0!</v>
      </c>
      <c r="TCZ71" s="1159" t="e">
        <f t="shared" si="215"/>
        <v>#DIV/0!</v>
      </c>
      <c r="TDA71" s="1159" t="e">
        <f t="shared" si="215"/>
        <v>#DIV/0!</v>
      </c>
      <c r="TDB71" s="1159" t="e">
        <f t="shared" si="215"/>
        <v>#DIV/0!</v>
      </c>
      <c r="TDC71" s="1159" t="e">
        <f t="shared" si="215"/>
        <v>#DIV/0!</v>
      </c>
      <c r="TDD71" s="1159" t="e">
        <f t="shared" si="215"/>
        <v>#DIV/0!</v>
      </c>
      <c r="TDE71" s="1159" t="e">
        <f t="shared" si="215"/>
        <v>#DIV/0!</v>
      </c>
      <c r="TDF71" s="1159" t="e">
        <f t="shared" si="215"/>
        <v>#DIV/0!</v>
      </c>
      <c r="TDG71" s="1159" t="e">
        <f t="shared" si="215"/>
        <v>#DIV/0!</v>
      </c>
      <c r="TDH71" s="1159" t="e">
        <f t="shared" si="215"/>
        <v>#DIV/0!</v>
      </c>
      <c r="TDI71" s="1159" t="e">
        <f t="shared" si="215"/>
        <v>#DIV/0!</v>
      </c>
      <c r="TDJ71" s="1159" t="e">
        <f t="shared" si="215"/>
        <v>#DIV/0!</v>
      </c>
      <c r="TDK71" s="1159" t="e">
        <f t="shared" si="215"/>
        <v>#DIV/0!</v>
      </c>
      <c r="TDL71" s="1159" t="e">
        <f t="shared" si="215"/>
        <v>#DIV/0!</v>
      </c>
      <c r="TDM71" s="1159" t="e">
        <f t="shared" si="215"/>
        <v>#DIV/0!</v>
      </c>
      <c r="TDN71" s="1159" t="e">
        <f t="shared" ref="TDN71:TFY71" si="216">((TDN6+TDN12+TDN13+TDN14+TDN15)*860+TDN16*TDN55+TDN17*TDN56+TDN7*TDN49+TDN8*TDN50+TDN9*TDN51+TDN10*TDN52+TDN11*TDN53)/(SUM(TDN6:TDN17))</f>
        <v>#DIV/0!</v>
      </c>
      <c r="TDO71" s="1159" t="e">
        <f t="shared" si="216"/>
        <v>#DIV/0!</v>
      </c>
      <c r="TDP71" s="1159" t="e">
        <f t="shared" si="216"/>
        <v>#DIV/0!</v>
      </c>
      <c r="TDQ71" s="1159" t="e">
        <f t="shared" si="216"/>
        <v>#DIV/0!</v>
      </c>
      <c r="TDR71" s="1159" t="e">
        <f t="shared" si="216"/>
        <v>#DIV/0!</v>
      </c>
      <c r="TDS71" s="1159" t="e">
        <f t="shared" si="216"/>
        <v>#DIV/0!</v>
      </c>
      <c r="TDT71" s="1159" t="e">
        <f t="shared" si="216"/>
        <v>#DIV/0!</v>
      </c>
      <c r="TDU71" s="1159" t="e">
        <f t="shared" si="216"/>
        <v>#DIV/0!</v>
      </c>
      <c r="TDV71" s="1159" t="e">
        <f t="shared" si="216"/>
        <v>#DIV/0!</v>
      </c>
      <c r="TDW71" s="1159" t="e">
        <f t="shared" si="216"/>
        <v>#DIV/0!</v>
      </c>
      <c r="TDX71" s="1159" t="e">
        <f t="shared" si="216"/>
        <v>#DIV/0!</v>
      </c>
      <c r="TDY71" s="1159" t="e">
        <f t="shared" si="216"/>
        <v>#DIV/0!</v>
      </c>
      <c r="TDZ71" s="1159" t="e">
        <f t="shared" si="216"/>
        <v>#DIV/0!</v>
      </c>
      <c r="TEA71" s="1159" t="e">
        <f t="shared" si="216"/>
        <v>#DIV/0!</v>
      </c>
      <c r="TEB71" s="1159" t="e">
        <f t="shared" si="216"/>
        <v>#DIV/0!</v>
      </c>
      <c r="TEC71" s="1159" t="e">
        <f t="shared" si="216"/>
        <v>#DIV/0!</v>
      </c>
      <c r="TED71" s="1159" t="e">
        <f t="shared" si="216"/>
        <v>#DIV/0!</v>
      </c>
      <c r="TEE71" s="1159" t="e">
        <f t="shared" si="216"/>
        <v>#DIV/0!</v>
      </c>
      <c r="TEF71" s="1159" t="e">
        <f t="shared" si="216"/>
        <v>#DIV/0!</v>
      </c>
      <c r="TEG71" s="1159" t="e">
        <f t="shared" si="216"/>
        <v>#DIV/0!</v>
      </c>
      <c r="TEH71" s="1159" t="e">
        <f t="shared" si="216"/>
        <v>#DIV/0!</v>
      </c>
      <c r="TEI71" s="1159" t="e">
        <f t="shared" si="216"/>
        <v>#DIV/0!</v>
      </c>
      <c r="TEJ71" s="1159" t="e">
        <f t="shared" si="216"/>
        <v>#DIV/0!</v>
      </c>
      <c r="TEK71" s="1159" t="e">
        <f t="shared" si="216"/>
        <v>#DIV/0!</v>
      </c>
      <c r="TEL71" s="1159" t="e">
        <f t="shared" si="216"/>
        <v>#DIV/0!</v>
      </c>
      <c r="TEM71" s="1159" t="e">
        <f t="shared" si="216"/>
        <v>#DIV/0!</v>
      </c>
      <c r="TEN71" s="1159" t="e">
        <f t="shared" si="216"/>
        <v>#DIV/0!</v>
      </c>
      <c r="TEO71" s="1159" t="e">
        <f t="shared" si="216"/>
        <v>#DIV/0!</v>
      </c>
      <c r="TEP71" s="1159" t="e">
        <f t="shared" si="216"/>
        <v>#DIV/0!</v>
      </c>
      <c r="TEQ71" s="1159" t="e">
        <f t="shared" si="216"/>
        <v>#DIV/0!</v>
      </c>
      <c r="TER71" s="1159" t="e">
        <f t="shared" si="216"/>
        <v>#DIV/0!</v>
      </c>
      <c r="TES71" s="1159" t="e">
        <f t="shared" si="216"/>
        <v>#DIV/0!</v>
      </c>
      <c r="TET71" s="1159" t="e">
        <f t="shared" si="216"/>
        <v>#DIV/0!</v>
      </c>
      <c r="TEU71" s="1159" t="e">
        <f t="shared" si="216"/>
        <v>#DIV/0!</v>
      </c>
      <c r="TEV71" s="1159" t="e">
        <f t="shared" si="216"/>
        <v>#DIV/0!</v>
      </c>
      <c r="TEW71" s="1159" t="e">
        <f t="shared" si="216"/>
        <v>#DIV/0!</v>
      </c>
      <c r="TEX71" s="1159" t="e">
        <f t="shared" si="216"/>
        <v>#DIV/0!</v>
      </c>
      <c r="TEY71" s="1159" t="e">
        <f t="shared" si="216"/>
        <v>#DIV/0!</v>
      </c>
      <c r="TEZ71" s="1159" t="e">
        <f t="shared" si="216"/>
        <v>#DIV/0!</v>
      </c>
      <c r="TFA71" s="1159" t="e">
        <f t="shared" si="216"/>
        <v>#DIV/0!</v>
      </c>
      <c r="TFB71" s="1159" t="e">
        <f t="shared" si="216"/>
        <v>#DIV/0!</v>
      </c>
      <c r="TFC71" s="1159" t="e">
        <f t="shared" si="216"/>
        <v>#DIV/0!</v>
      </c>
      <c r="TFD71" s="1159" t="e">
        <f t="shared" si="216"/>
        <v>#DIV/0!</v>
      </c>
      <c r="TFE71" s="1159" t="e">
        <f t="shared" si="216"/>
        <v>#DIV/0!</v>
      </c>
      <c r="TFF71" s="1159" t="e">
        <f t="shared" si="216"/>
        <v>#DIV/0!</v>
      </c>
      <c r="TFG71" s="1159" t="e">
        <f t="shared" si="216"/>
        <v>#DIV/0!</v>
      </c>
      <c r="TFH71" s="1159" t="e">
        <f t="shared" si="216"/>
        <v>#DIV/0!</v>
      </c>
      <c r="TFI71" s="1159" t="e">
        <f t="shared" si="216"/>
        <v>#DIV/0!</v>
      </c>
      <c r="TFJ71" s="1159" t="e">
        <f t="shared" si="216"/>
        <v>#DIV/0!</v>
      </c>
      <c r="TFK71" s="1159" t="e">
        <f t="shared" si="216"/>
        <v>#DIV/0!</v>
      </c>
      <c r="TFL71" s="1159" t="e">
        <f t="shared" si="216"/>
        <v>#DIV/0!</v>
      </c>
      <c r="TFM71" s="1159" t="e">
        <f t="shared" si="216"/>
        <v>#DIV/0!</v>
      </c>
      <c r="TFN71" s="1159" t="e">
        <f t="shared" si="216"/>
        <v>#DIV/0!</v>
      </c>
      <c r="TFO71" s="1159" t="e">
        <f t="shared" si="216"/>
        <v>#DIV/0!</v>
      </c>
      <c r="TFP71" s="1159" t="e">
        <f t="shared" si="216"/>
        <v>#DIV/0!</v>
      </c>
      <c r="TFQ71" s="1159" t="e">
        <f t="shared" si="216"/>
        <v>#DIV/0!</v>
      </c>
      <c r="TFR71" s="1159" t="e">
        <f t="shared" si="216"/>
        <v>#DIV/0!</v>
      </c>
      <c r="TFS71" s="1159" t="e">
        <f t="shared" si="216"/>
        <v>#DIV/0!</v>
      </c>
      <c r="TFT71" s="1159" t="e">
        <f t="shared" si="216"/>
        <v>#DIV/0!</v>
      </c>
      <c r="TFU71" s="1159" t="e">
        <f t="shared" si="216"/>
        <v>#DIV/0!</v>
      </c>
      <c r="TFV71" s="1159" t="e">
        <f t="shared" si="216"/>
        <v>#DIV/0!</v>
      </c>
      <c r="TFW71" s="1159" t="e">
        <f t="shared" si="216"/>
        <v>#DIV/0!</v>
      </c>
      <c r="TFX71" s="1159" t="e">
        <f t="shared" si="216"/>
        <v>#DIV/0!</v>
      </c>
      <c r="TFY71" s="1159" t="e">
        <f t="shared" si="216"/>
        <v>#DIV/0!</v>
      </c>
      <c r="TFZ71" s="1159" t="e">
        <f t="shared" ref="TFZ71:TIK71" si="217">((TFZ6+TFZ12+TFZ13+TFZ14+TFZ15)*860+TFZ16*TFZ55+TFZ17*TFZ56+TFZ7*TFZ49+TFZ8*TFZ50+TFZ9*TFZ51+TFZ10*TFZ52+TFZ11*TFZ53)/(SUM(TFZ6:TFZ17))</f>
        <v>#DIV/0!</v>
      </c>
      <c r="TGA71" s="1159" t="e">
        <f t="shared" si="217"/>
        <v>#DIV/0!</v>
      </c>
      <c r="TGB71" s="1159" t="e">
        <f t="shared" si="217"/>
        <v>#DIV/0!</v>
      </c>
      <c r="TGC71" s="1159" t="e">
        <f t="shared" si="217"/>
        <v>#DIV/0!</v>
      </c>
      <c r="TGD71" s="1159" t="e">
        <f t="shared" si="217"/>
        <v>#DIV/0!</v>
      </c>
      <c r="TGE71" s="1159" t="e">
        <f t="shared" si="217"/>
        <v>#DIV/0!</v>
      </c>
      <c r="TGF71" s="1159" t="e">
        <f t="shared" si="217"/>
        <v>#DIV/0!</v>
      </c>
      <c r="TGG71" s="1159" t="e">
        <f t="shared" si="217"/>
        <v>#DIV/0!</v>
      </c>
      <c r="TGH71" s="1159" t="e">
        <f t="shared" si="217"/>
        <v>#DIV/0!</v>
      </c>
      <c r="TGI71" s="1159" t="e">
        <f t="shared" si="217"/>
        <v>#DIV/0!</v>
      </c>
      <c r="TGJ71" s="1159" t="e">
        <f t="shared" si="217"/>
        <v>#DIV/0!</v>
      </c>
      <c r="TGK71" s="1159" t="e">
        <f t="shared" si="217"/>
        <v>#DIV/0!</v>
      </c>
      <c r="TGL71" s="1159" t="e">
        <f t="shared" si="217"/>
        <v>#DIV/0!</v>
      </c>
      <c r="TGM71" s="1159" t="e">
        <f t="shared" si="217"/>
        <v>#DIV/0!</v>
      </c>
      <c r="TGN71" s="1159" t="e">
        <f t="shared" si="217"/>
        <v>#DIV/0!</v>
      </c>
      <c r="TGO71" s="1159" t="e">
        <f t="shared" si="217"/>
        <v>#DIV/0!</v>
      </c>
      <c r="TGP71" s="1159" t="e">
        <f t="shared" si="217"/>
        <v>#DIV/0!</v>
      </c>
      <c r="TGQ71" s="1159" t="e">
        <f t="shared" si="217"/>
        <v>#DIV/0!</v>
      </c>
      <c r="TGR71" s="1159" t="e">
        <f t="shared" si="217"/>
        <v>#DIV/0!</v>
      </c>
      <c r="TGS71" s="1159" t="e">
        <f t="shared" si="217"/>
        <v>#DIV/0!</v>
      </c>
      <c r="TGT71" s="1159" t="e">
        <f t="shared" si="217"/>
        <v>#DIV/0!</v>
      </c>
      <c r="TGU71" s="1159" t="e">
        <f t="shared" si="217"/>
        <v>#DIV/0!</v>
      </c>
      <c r="TGV71" s="1159" t="e">
        <f t="shared" si="217"/>
        <v>#DIV/0!</v>
      </c>
      <c r="TGW71" s="1159" t="e">
        <f t="shared" si="217"/>
        <v>#DIV/0!</v>
      </c>
      <c r="TGX71" s="1159" t="e">
        <f t="shared" si="217"/>
        <v>#DIV/0!</v>
      </c>
      <c r="TGY71" s="1159" t="e">
        <f t="shared" si="217"/>
        <v>#DIV/0!</v>
      </c>
      <c r="TGZ71" s="1159" t="e">
        <f t="shared" si="217"/>
        <v>#DIV/0!</v>
      </c>
      <c r="THA71" s="1159" t="e">
        <f t="shared" si="217"/>
        <v>#DIV/0!</v>
      </c>
      <c r="THB71" s="1159" t="e">
        <f t="shared" si="217"/>
        <v>#DIV/0!</v>
      </c>
      <c r="THC71" s="1159" t="e">
        <f t="shared" si="217"/>
        <v>#DIV/0!</v>
      </c>
      <c r="THD71" s="1159" t="e">
        <f t="shared" si="217"/>
        <v>#DIV/0!</v>
      </c>
      <c r="THE71" s="1159" t="e">
        <f t="shared" si="217"/>
        <v>#DIV/0!</v>
      </c>
      <c r="THF71" s="1159" t="e">
        <f t="shared" si="217"/>
        <v>#DIV/0!</v>
      </c>
      <c r="THG71" s="1159" t="e">
        <f t="shared" si="217"/>
        <v>#DIV/0!</v>
      </c>
      <c r="THH71" s="1159" t="e">
        <f t="shared" si="217"/>
        <v>#DIV/0!</v>
      </c>
      <c r="THI71" s="1159" t="e">
        <f t="shared" si="217"/>
        <v>#DIV/0!</v>
      </c>
      <c r="THJ71" s="1159" t="e">
        <f t="shared" si="217"/>
        <v>#DIV/0!</v>
      </c>
      <c r="THK71" s="1159" t="e">
        <f t="shared" si="217"/>
        <v>#DIV/0!</v>
      </c>
      <c r="THL71" s="1159" t="e">
        <f t="shared" si="217"/>
        <v>#DIV/0!</v>
      </c>
      <c r="THM71" s="1159" t="e">
        <f t="shared" si="217"/>
        <v>#DIV/0!</v>
      </c>
      <c r="THN71" s="1159" t="e">
        <f t="shared" si="217"/>
        <v>#DIV/0!</v>
      </c>
      <c r="THO71" s="1159" t="e">
        <f t="shared" si="217"/>
        <v>#DIV/0!</v>
      </c>
      <c r="THP71" s="1159" t="e">
        <f t="shared" si="217"/>
        <v>#DIV/0!</v>
      </c>
      <c r="THQ71" s="1159" t="e">
        <f t="shared" si="217"/>
        <v>#DIV/0!</v>
      </c>
      <c r="THR71" s="1159" t="e">
        <f t="shared" si="217"/>
        <v>#DIV/0!</v>
      </c>
      <c r="THS71" s="1159" t="e">
        <f t="shared" si="217"/>
        <v>#DIV/0!</v>
      </c>
      <c r="THT71" s="1159" t="e">
        <f t="shared" si="217"/>
        <v>#DIV/0!</v>
      </c>
      <c r="THU71" s="1159" t="e">
        <f t="shared" si="217"/>
        <v>#DIV/0!</v>
      </c>
      <c r="THV71" s="1159" t="e">
        <f t="shared" si="217"/>
        <v>#DIV/0!</v>
      </c>
      <c r="THW71" s="1159" t="e">
        <f t="shared" si="217"/>
        <v>#DIV/0!</v>
      </c>
      <c r="THX71" s="1159" t="e">
        <f t="shared" si="217"/>
        <v>#DIV/0!</v>
      </c>
      <c r="THY71" s="1159" t="e">
        <f t="shared" si="217"/>
        <v>#DIV/0!</v>
      </c>
      <c r="THZ71" s="1159" t="e">
        <f t="shared" si="217"/>
        <v>#DIV/0!</v>
      </c>
      <c r="TIA71" s="1159" t="e">
        <f t="shared" si="217"/>
        <v>#DIV/0!</v>
      </c>
      <c r="TIB71" s="1159" t="e">
        <f t="shared" si="217"/>
        <v>#DIV/0!</v>
      </c>
      <c r="TIC71" s="1159" t="e">
        <f t="shared" si="217"/>
        <v>#DIV/0!</v>
      </c>
      <c r="TID71" s="1159" t="e">
        <f t="shared" si="217"/>
        <v>#DIV/0!</v>
      </c>
      <c r="TIE71" s="1159" t="e">
        <f t="shared" si="217"/>
        <v>#DIV/0!</v>
      </c>
      <c r="TIF71" s="1159" t="e">
        <f t="shared" si="217"/>
        <v>#DIV/0!</v>
      </c>
      <c r="TIG71" s="1159" t="e">
        <f t="shared" si="217"/>
        <v>#DIV/0!</v>
      </c>
      <c r="TIH71" s="1159" t="e">
        <f t="shared" si="217"/>
        <v>#DIV/0!</v>
      </c>
      <c r="TII71" s="1159" t="e">
        <f t="shared" si="217"/>
        <v>#DIV/0!</v>
      </c>
      <c r="TIJ71" s="1159" t="e">
        <f t="shared" si="217"/>
        <v>#DIV/0!</v>
      </c>
      <c r="TIK71" s="1159" t="e">
        <f t="shared" si="217"/>
        <v>#DIV/0!</v>
      </c>
      <c r="TIL71" s="1159" t="e">
        <f t="shared" ref="TIL71:TKW71" si="218">((TIL6+TIL12+TIL13+TIL14+TIL15)*860+TIL16*TIL55+TIL17*TIL56+TIL7*TIL49+TIL8*TIL50+TIL9*TIL51+TIL10*TIL52+TIL11*TIL53)/(SUM(TIL6:TIL17))</f>
        <v>#DIV/0!</v>
      </c>
      <c r="TIM71" s="1159" t="e">
        <f t="shared" si="218"/>
        <v>#DIV/0!</v>
      </c>
      <c r="TIN71" s="1159" t="e">
        <f t="shared" si="218"/>
        <v>#DIV/0!</v>
      </c>
      <c r="TIO71" s="1159" t="e">
        <f t="shared" si="218"/>
        <v>#DIV/0!</v>
      </c>
      <c r="TIP71" s="1159" t="e">
        <f t="shared" si="218"/>
        <v>#DIV/0!</v>
      </c>
      <c r="TIQ71" s="1159" t="e">
        <f t="shared" si="218"/>
        <v>#DIV/0!</v>
      </c>
      <c r="TIR71" s="1159" t="e">
        <f t="shared" si="218"/>
        <v>#DIV/0!</v>
      </c>
      <c r="TIS71" s="1159" t="e">
        <f t="shared" si="218"/>
        <v>#DIV/0!</v>
      </c>
      <c r="TIT71" s="1159" t="e">
        <f t="shared" si="218"/>
        <v>#DIV/0!</v>
      </c>
      <c r="TIU71" s="1159" t="e">
        <f t="shared" si="218"/>
        <v>#DIV/0!</v>
      </c>
      <c r="TIV71" s="1159" t="e">
        <f t="shared" si="218"/>
        <v>#DIV/0!</v>
      </c>
      <c r="TIW71" s="1159" t="e">
        <f t="shared" si="218"/>
        <v>#DIV/0!</v>
      </c>
      <c r="TIX71" s="1159" t="e">
        <f t="shared" si="218"/>
        <v>#DIV/0!</v>
      </c>
      <c r="TIY71" s="1159" t="e">
        <f t="shared" si="218"/>
        <v>#DIV/0!</v>
      </c>
      <c r="TIZ71" s="1159" t="e">
        <f t="shared" si="218"/>
        <v>#DIV/0!</v>
      </c>
      <c r="TJA71" s="1159" t="e">
        <f t="shared" si="218"/>
        <v>#DIV/0!</v>
      </c>
      <c r="TJB71" s="1159" t="e">
        <f t="shared" si="218"/>
        <v>#DIV/0!</v>
      </c>
      <c r="TJC71" s="1159" t="e">
        <f t="shared" si="218"/>
        <v>#DIV/0!</v>
      </c>
      <c r="TJD71" s="1159" t="e">
        <f t="shared" si="218"/>
        <v>#DIV/0!</v>
      </c>
      <c r="TJE71" s="1159" t="e">
        <f t="shared" si="218"/>
        <v>#DIV/0!</v>
      </c>
      <c r="TJF71" s="1159" t="e">
        <f t="shared" si="218"/>
        <v>#DIV/0!</v>
      </c>
      <c r="TJG71" s="1159" t="e">
        <f t="shared" si="218"/>
        <v>#DIV/0!</v>
      </c>
      <c r="TJH71" s="1159" t="e">
        <f t="shared" si="218"/>
        <v>#DIV/0!</v>
      </c>
      <c r="TJI71" s="1159" t="e">
        <f t="shared" si="218"/>
        <v>#DIV/0!</v>
      </c>
      <c r="TJJ71" s="1159" t="e">
        <f t="shared" si="218"/>
        <v>#DIV/0!</v>
      </c>
      <c r="TJK71" s="1159" t="e">
        <f t="shared" si="218"/>
        <v>#DIV/0!</v>
      </c>
      <c r="TJL71" s="1159" t="e">
        <f t="shared" si="218"/>
        <v>#DIV/0!</v>
      </c>
      <c r="TJM71" s="1159" t="e">
        <f t="shared" si="218"/>
        <v>#DIV/0!</v>
      </c>
      <c r="TJN71" s="1159" t="e">
        <f t="shared" si="218"/>
        <v>#DIV/0!</v>
      </c>
      <c r="TJO71" s="1159" t="e">
        <f t="shared" si="218"/>
        <v>#DIV/0!</v>
      </c>
      <c r="TJP71" s="1159" t="e">
        <f t="shared" si="218"/>
        <v>#DIV/0!</v>
      </c>
      <c r="TJQ71" s="1159" t="e">
        <f t="shared" si="218"/>
        <v>#DIV/0!</v>
      </c>
      <c r="TJR71" s="1159" t="e">
        <f t="shared" si="218"/>
        <v>#DIV/0!</v>
      </c>
      <c r="TJS71" s="1159" t="e">
        <f t="shared" si="218"/>
        <v>#DIV/0!</v>
      </c>
      <c r="TJT71" s="1159" t="e">
        <f t="shared" si="218"/>
        <v>#DIV/0!</v>
      </c>
      <c r="TJU71" s="1159" t="e">
        <f t="shared" si="218"/>
        <v>#DIV/0!</v>
      </c>
      <c r="TJV71" s="1159" t="e">
        <f t="shared" si="218"/>
        <v>#DIV/0!</v>
      </c>
      <c r="TJW71" s="1159" t="e">
        <f t="shared" si="218"/>
        <v>#DIV/0!</v>
      </c>
      <c r="TJX71" s="1159" t="e">
        <f t="shared" si="218"/>
        <v>#DIV/0!</v>
      </c>
      <c r="TJY71" s="1159" t="e">
        <f t="shared" si="218"/>
        <v>#DIV/0!</v>
      </c>
      <c r="TJZ71" s="1159" t="e">
        <f t="shared" si="218"/>
        <v>#DIV/0!</v>
      </c>
      <c r="TKA71" s="1159" t="e">
        <f t="shared" si="218"/>
        <v>#DIV/0!</v>
      </c>
      <c r="TKB71" s="1159" t="e">
        <f t="shared" si="218"/>
        <v>#DIV/0!</v>
      </c>
      <c r="TKC71" s="1159" t="e">
        <f t="shared" si="218"/>
        <v>#DIV/0!</v>
      </c>
      <c r="TKD71" s="1159" t="e">
        <f t="shared" si="218"/>
        <v>#DIV/0!</v>
      </c>
      <c r="TKE71" s="1159" t="e">
        <f t="shared" si="218"/>
        <v>#DIV/0!</v>
      </c>
      <c r="TKF71" s="1159" t="e">
        <f t="shared" si="218"/>
        <v>#DIV/0!</v>
      </c>
      <c r="TKG71" s="1159" t="e">
        <f t="shared" si="218"/>
        <v>#DIV/0!</v>
      </c>
      <c r="TKH71" s="1159" t="e">
        <f t="shared" si="218"/>
        <v>#DIV/0!</v>
      </c>
      <c r="TKI71" s="1159" t="e">
        <f t="shared" si="218"/>
        <v>#DIV/0!</v>
      </c>
      <c r="TKJ71" s="1159" t="e">
        <f t="shared" si="218"/>
        <v>#DIV/0!</v>
      </c>
      <c r="TKK71" s="1159" t="e">
        <f t="shared" si="218"/>
        <v>#DIV/0!</v>
      </c>
      <c r="TKL71" s="1159" t="e">
        <f t="shared" si="218"/>
        <v>#DIV/0!</v>
      </c>
      <c r="TKM71" s="1159" t="e">
        <f t="shared" si="218"/>
        <v>#DIV/0!</v>
      </c>
      <c r="TKN71" s="1159" t="e">
        <f t="shared" si="218"/>
        <v>#DIV/0!</v>
      </c>
      <c r="TKO71" s="1159" t="e">
        <f t="shared" si="218"/>
        <v>#DIV/0!</v>
      </c>
      <c r="TKP71" s="1159" t="e">
        <f t="shared" si="218"/>
        <v>#DIV/0!</v>
      </c>
      <c r="TKQ71" s="1159" t="e">
        <f t="shared" si="218"/>
        <v>#DIV/0!</v>
      </c>
      <c r="TKR71" s="1159" t="e">
        <f t="shared" si="218"/>
        <v>#DIV/0!</v>
      </c>
      <c r="TKS71" s="1159" t="e">
        <f t="shared" si="218"/>
        <v>#DIV/0!</v>
      </c>
      <c r="TKT71" s="1159" t="e">
        <f t="shared" si="218"/>
        <v>#DIV/0!</v>
      </c>
      <c r="TKU71" s="1159" t="e">
        <f t="shared" si="218"/>
        <v>#DIV/0!</v>
      </c>
      <c r="TKV71" s="1159" t="e">
        <f t="shared" si="218"/>
        <v>#DIV/0!</v>
      </c>
      <c r="TKW71" s="1159" t="e">
        <f t="shared" si="218"/>
        <v>#DIV/0!</v>
      </c>
      <c r="TKX71" s="1159" t="e">
        <f t="shared" ref="TKX71:TNI71" si="219">((TKX6+TKX12+TKX13+TKX14+TKX15)*860+TKX16*TKX55+TKX17*TKX56+TKX7*TKX49+TKX8*TKX50+TKX9*TKX51+TKX10*TKX52+TKX11*TKX53)/(SUM(TKX6:TKX17))</f>
        <v>#DIV/0!</v>
      </c>
      <c r="TKY71" s="1159" t="e">
        <f t="shared" si="219"/>
        <v>#DIV/0!</v>
      </c>
      <c r="TKZ71" s="1159" t="e">
        <f t="shared" si="219"/>
        <v>#DIV/0!</v>
      </c>
      <c r="TLA71" s="1159" t="e">
        <f t="shared" si="219"/>
        <v>#DIV/0!</v>
      </c>
      <c r="TLB71" s="1159" t="e">
        <f t="shared" si="219"/>
        <v>#DIV/0!</v>
      </c>
      <c r="TLC71" s="1159" t="e">
        <f t="shared" si="219"/>
        <v>#DIV/0!</v>
      </c>
      <c r="TLD71" s="1159" t="e">
        <f t="shared" si="219"/>
        <v>#DIV/0!</v>
      </c>
      <c r="TLE71" s="1159" t="e">
        <f t="shared" si="219"/>
        <v>#DIV/0!</v>
      </c>
      <c r="TLF71" s="1159" t="e">
        <f t="shared" si="219"/>
        <v>#DIV/0!</v>
      </c>
      <c r="TLG71" s="1159" t="e">
        <f t="shared" si="219"/>
        <v>#DIV/0!</v>
      </c>
      <c r="TLH71" s="1159" t="e">
        <f t="shared" si="219"/>
        <v>#DIV/0!</v>
      </c>
      <c r="TLI71" s="1159" t="e">
        <f t="shared" si="219"/>
        <v>#DIV/0!</v>
      </c>
      <c r="TLJ71" s="1159" t="e">
        <f t="shared" si="219"/>
        <v>#DIV/0!</v>
      </c>
      <c r="TLK71" s="1159" t="e">
        <f t="shared" si="219"/>
        <v>#DIV/0!</v>
      </c>
      <c r="TLL71" s="1159" t="e">
        <f t="shared" si="219"/>
        <v>#DIV/0!</v>
      </c>
      <c r="TLM71" s="1159" t="e">
        <f t="shared" si="219"/>
        <v>#DIV/0!</v>
      </c>
      <c r="TLN71" s="1159" t="e">
        <f t="shared" si="219"/>
        <v>#DIV/0!</v>
      </c>
      <c r="TLO71" s="1159" t="e">
        <f t="shared" si="219"/>
        <v>#DIV/0!</v>
      </c>
      <c r="TLP71" s="1159" t="e">
        <f t="shared" si="219"/>
        <v>#DIV/0!</v>
      </c>
      <c r="TLQ71" s="1159" t="e">
        <f t="shared" si="219"/>
        <v>#DIV/0!</v>
      </c>
      <c r="TLR71" s="1159" t="e">
        <f t="shared" si="219"/>
        <v>#DIV/0!</v>
      </c>
      <c r="TLS71" s="1159" t="e">
        <f t="shared" si="219"/>
        <v>#DIV/0!</v>
      </c>
      <c r="TLT71" s="1159" t="e">
        <f t="shared" si="219"/>
        <v>#DIV/0!</v>
      </c>
      <c r="TLU71" s="1159" t="e">
        <f t="shared" si="219"/>
        <v>#DIV/0!</v>
      </c>
      <c r="TLV71" s="1159" t="e">
        <f t="shared" si="219"/>
        <v>#DIV/0!</v>
      </c>
      <c r="TLW71" s="1159" t="e">
        <f t="shared" si="219"/>
        <v>#DIV/0!</v>
      </c>
      <c r="TLX71" s="1159" t="e">
        <f t="shared" si="219"/>
        <v>#DIV/0!</v>
      </c>
      <c r="TLY71" s="1159" t="e">
        <f t="shared" si="219"/>
        <v>#DIV/0!</v>
      </c>
      <c r="TLZ71" s="1159" t="e">
        <f t="shared" si="219"/>
        <v>#DIV/0!</v>
      </c>
      <c r="TMA71" s="1159" t="e">
        <f t="shared" si="219"/>
        <v>#DIV/0!</v>
      </c>
      <c r="TMB71" s="1159" t="e">
        <f t="shared" si="219"/>
        <v>#DIV/0!</v>
      </c>
      <c r="TMC71" s="1159" t="e">
        <f t="shared" si="219"/>
        <v>#DIV/0!</v>
      </c>
      <c r="TMD71" s="1159" t="e">
        <f t="shared" si="219"/>
        <v>#DIV/0!</v>
      </c>
      <c r="TME71" s="1159" t="e">
        <f t="shared" si="219"/>
        <v>#DIV/0!</v>
      </c>
      <c r="TMF71" s="1159" t="e">
        <f t="shared" si="219"/>
        <v>#DIV/0!</v>
      </c>
      <c r="TMG71" s="1159" t="e">
        <f t="shared" si="219"/>
        <v>#DIV/0!</v>
      </c>
      <c r="TMH71" s="1159" t="e">
        <f t="shared" si="219"/>
        <v>#DIV/0!</v>
      </c>
      <c r="TMI71" s="1159" t="e">
        <f t="shared" si="219"/>
        <v>#DIV/0!</v>
      </c>
      <c r="TMJ71" s="1159" t="e">
        <f t="shared" si="219"/>
        <v>#DIV/0!</v>
      </c>
      <c r="TMK71" s="1159" t="e">
        <f t="shared" si="219"/>
        <v>#DIV/0!</v>
      </c>
      <c r="TML71" s="1159" t="e">
        <f t="shared" si="219"/>
        <v>#DIV/0!</v>
      </c>
      <c r="TMM71" s="1159" t="e">
        <f t="shared" si="219"/>
        <v>#DIV/0!</v>
      </c>
      <c r="TMN71" s="1159" t="e">
        <f t="shared" si="219"/>
        <v>#DIV/0!</v>
      </c>
      <c r="TMO71" s="1159" t="e">
        <f t="shared" si="219"/>
        <v>#DIV/0!</v>
      </c>
      <c r="TMP71" s="1159" t="e">
        <f t="shared" si="219"/>
        <v>#DIV/0!</v>
      </c>
      <c r="TMQ71" s="1159" t="e">
        <f t="shared" si="219"/>
        <v>#DIV/0!</v>
      </c>
      <c r="TMR71" s="1159" t="e">
        <f t="shared" si="219"/>
        <v>#DIV/0!</v>
      </c>
      <c r="TMS71" s="1159" t="e">
        <f t="shared" si="219"/>
        <v>#DIV/0!</v>
      </c>
      <c r="TMT71" s="1159" t="e">
        <f t="shared" si="219"/>
        <v>#DIV/0!</v>
      </c>
      <c r="TMU71" s="1159" t="e">
        <f t="shared" si="219"/>
        <v>#DIV/0!</v>
      </c>
      <c r="TMV71" s="1159" t="e">
        <f t="shared" si="219"/>
        <v>#DIV/0!</v>
      </c>
      <c r="TMW71" s="1159" t="e">
        <f t="shared" si="219"/>
        <v>#DIV/0!</v>
      </c>
      <c r="TMX71" s="1159" t="e">
        <f t="shared" si="219"/>
        <v>#DIV/0!</v>
      </c>
      <c r="TMY71" s="1159" t="e">
        <f t="shared" si="219"/>
        <v>#DIV/0!</v>
      </c>
      <c r="TMZ71" s="1159" t="e">
        <f t="shared" si="219"/>
        <v>#DIV/0!</v>
      </c>
      <c r="TNA71" s="1159" t="e">
        <f t="shared" si="219"/>
        <v>#DIV/0!</v>
      </c>
      <c r="TNB71" s="1159" t="e">
        <f t="shared" si="219"/>
        <v>#DIV/0!</v>
      </c>
      <c r="TNC71" s="1159" t="e">
        <f t="shared" si="219"/>
        <v>#DIV/0!</v>
      </c>
      <c r="TND71" s="1159" t="e">
        <f t="shared" si="219"/>
        <v>#DIV/0!</v>
      </c>
      <c r="TNE71" s="1159" t="e">
        <f t="shared" si="219"/>
        <v>#DIV/0!</v>
      </c>
      <c r="TNF71" s="1159" t="e">
        <f t="shared" si="219"/>
        <v>#DIV/0!</v>
      </c>
      <c r="TNG71" s="1159" t="e">
        <f t="shared" si="219"/>
        <v>#DIV/0!</v>
      </c>
      <c r="TNH71" s="1159" t="e">
        <f t="shared" si="219"/>
        <v>#DIV/0!</v>
      </c>
      <c r="TNI71" s="1159" t="e">
        <f t="shared" si="219"/>
        <v>#DIV/0!</v>
      </c>
      <c r="TNJ71" s="1159" t="e">
        <f t="shared" ref="TNJ71:TPU71" si="220">((TNJ6+TNJ12+TNJ13+TNJ14+TNJ15)*860+TNJ16*TNJ55+TNJ17*TNJ56+TNJ7*TNJ49+TNJ8*TNJ50+TNJ9*TNJ51+TNJ10*TNJ52+TNJ11*TNJ53)/(SUM(TNJ6:TNJ17))</f>
        <v>#DIV/0!</v>
      </c>
      <c r="TNK71" s="1159" t="e">
        <f t="shared" si="220"/>
        <v>#DIV/0!</v>
      </c>
      <c r="TNL71" s="1159" t="e">
        <f t="shared" si="220"/>
        <v>#DIV/0!</v>
      </c>
      <c r="TNM71" s="1159" t="e">
        <f t="shared" si="220"/>
        <v>#DIV/0!</v>
      </c>
      <c r="TNN71" s="1159" t="e">
        <f t="shared" si="220"/>
        <v>#DIV/0!</v>
      </c>
      <c r="TNO71" s="1159" t="e">
        <f t="shared" si="220"/>
        <v>#DIV/0!</v>
      </c>
      <c r="TNP71" s="1159" t="e">
        <f t="shared" si="220"/>
        <v>#DIV/0!</v>
      </c>
      <c r="TNQ71" s="1159" t="e">
        <f t="shared" si="220"/>
        <v>#DIV/0!</v>
      </c>
      <c r="TNR71" s="1159" t="e">
        <f t="shared" si="220"/>
        <v>#DIV/0!</v>
      </c>
      <c r="TNS71" s="1159" t="e">
        <f t="shared" si="220"/>
        <v>#DIV/0!</v>
      </c>
      <c r="TNT71" s="1159" t="e">
        <f t="shared" si="220"/>
        <v>#DIV/0!</v>
      </c>
      <c r="TNU71" s="1159" t="e">
        <f t="shared" si="220"/>
        <v>#DIV/0!</v>
      </c>
      <c r="TNV71" s="1159" t="e">
        <f t="shared" si="220"/>
        <v>#DIV/0!</v>
      </c>
      <c r="TNW71" s="1159" t="e">
        <f t="shared" si="220"/>
        <v>#DIV/0!</v>
      </c>
      <c r="TNX71" s="1159" t="e">
        <f t="shared" si="220"/>
        <v>#DIV/0!</v>
      </c>
      <c r="TNY71" s="1159" t="e">
        <f t="shared" si="220"/>
        <v>#DIV/0!</v>
      </c>
      <c r="TNZ71" s="1159" t="e">
        <f t="shared" si="220"/>
        <v>#DIV/0!</v>
      </c>
      <c r="TOA71" s="1159" t="e">
        <f t="shared" si="220"/>
        <v>#DIV/0!</v>
      </c>
      <c r="TOB71" s="1159" t="e">
        <f t="shared" si="220"/>
        <v>#DIV/0!</v>
      </c>
      <c r="TOC71" s="1159" t="e">
        <f t="shared" si="220"/>
        <v>#DIV/0!</v>
      </c>
      <c r="TOD71" s="1159" t="e">
        <f t="shared" si="220"/>
        <v>#DIV/0!</v>
      </c>
      <c r="TOE71" s="1159" t="e">
        <f t="shared" si="220"/>
        <v>#DIV/0!</v>
      </c>
      <c r="TOF71" s="1159" t="e">
        <f t="shared" si="220"/>
        <v>#DIV/0!</v>
      </c>
      <c r="TOG71" s="1159" t="e">
        <f t="shared" si="220"/>
        <v>#DIV/0!</v>
      </c>
      <c r="TOH71" s="1159" t="e">
        <f t="shared" si="220"/>
        <v>#DIV/0!</v>
      </c>
      <c r="TOI71" s="1159" t="e">
        <f t="shared" si="220"/>
        <v>#DIV/0!</v>
      </c>
      <c r="TOJ71" s="1159" t="e">
        <f t="shared" si="220"/>
        <v>#DIV/0!</v>
      </c>
      <c r="TOK71" s="1159" t="e">
        <f t="shared" si="220"/>
        <v>#DIV/0!</v>
      </c>
      <c r="TOL71" s="1159" t="e">
        <f t="shared" si="220"/>
        <v>#DIV/0!</v>
      </c>
      <c r="TOM71" s="1159" t="e">
        <f t="shared" si="220"/>
        <v>#DIV/0!</v>
      </c>
      <c r="TON71" s="1159" t="e">
        <f t="shared" si="220"/>
        <v>#DIV/0!</v>
      </c>
      <c r="TOO71" s="1159" t="e">
        <f t="shared" si="220"/>
        <v>#DIV/0!</v>
      </c>
      <c r="TOP71" s="1159" t="e">
        <f t="shared" si="220"/>
        <v>#DIV/0!</v>
      </c>
      <c r="TOQ71" s="1159" t="e">
        <f t="shared" si="220"/>
        <v>#DIV/0!</v>
      </c>
      <c r="TOR71" s="1159" t="e">
        <f t="shared" si="220"/>
        <v>#DIV/0!</v>
      </c>
      <c r="TOS71" s="1159" t="e">
        <f t="shared" si="220"/>
        <v>#DIV/0!</v>
      </c>
      <c r="TOT71" s="1159" t="e">
        <f t="shared" si="220"/>
        <v>#DIV/0!</v>
      </c>
      <c r="TOU71" s="1159" t="e">
        <f t="shared" si="220"/>
        <v>#DIV/0!</v>
      </c>
      <c r="TOV71" s="1159" t="e">
        <f t="shared" si="220"/>
        <v>#DIV/0!</v>
      </c>
      <c r="TOW71" s="1159" t="e">
        <f t="shared" si="220"/>
        <v>#DIV/0!</v>
      </c>
      <c r="TOX71" s="1159" t="e">
        <f t="shared" si="220"/>
        <v>#DIV/0!</v>
      </c>
      <c r="TOY71" s="1159" t="e">
        <f t="shared" si="220"/>
        <v>#DIV/0!</v>
      </c>
      <c r="TOZ71" s="1159" t="e">
        <f t="shared" si="220"/>
        <v>#DIV/0!</v>
      </c>
      <c r="TPA71" s="1159" t="e">
        <f t="shared" si="220"/>
        <v>#DIV/0!</v>
      </c>
      <c r="TPB71" s="1159" t="e">
        <f t="shared" si="220"/>
        <v>#DIV/0!</v>
      </c>
      <c r="TPC71" s="1159" t="e">
        <f t="shared" si="220"/>
        <v>#DIV/0!</v>
      </c>
      <c r="TPD71" s="1159" t="e">
        <f t="shared" si="220"/>
        <v>#DIV/0!</v>
      </c>
      <c r="TPE71" s="1159" t="e">
        <f t="shared" si="220"/>
        <v>#DIV/0!</v>
      </c>
      <c r="TPF71" s="1159" t="e">
        <f t="shared" si="220"/>
        <v>#DIV/0!</v>
      </c>
      <c r="TPG71" s="1159" t="e">
        <f t="shared" si="220"/>
        <v>#DIV/0!</v>
      </c>
      <c r="TPH71" s="1159" t="e">
        <f t="shared" si="220"/>
        <v>#DIV/0!</v>
      </c>
      <c r="TPI71" s="1159" t="e">
        <f t="shared" si="220"/>
        <v>#DIV/0!</v>
      </c>
      <c r="TPJ71" s="1159" t="e">
        <f t="shared" si="220"/>
        <v>#DIV/0!</v>
      </c>
      <c r="TPK71" s="1159" t="e">
        <f t="shared" si="220"/>
        <v>#DIV/0!</v>
      </c>
      <c r="TPL71" s="1159" t="e">
        <f t="shared" si="220"/>
        <v>#DIV/0!</v>
      </c>
      <c r="TPM71" s="1159" t="e">
        <f t="shared" si="220"/>
        <v>#DIV/0!</v>
      </c>
      <c r="TPN71" s="1159" t="e">
        <f t="shared" si="220"/>
        <v>#DIV/0!</v>
      </c>
      <c r="TPO71" s="1159" t="e">
        <f t="shared" si="220"/>
        <v>#DIV/0!</v>
      </c>
      <c r="TPP71" s="1159" t="e">
        <f t="shared" si="220"/>
        <v>#DIV/0!</v>
      </c>
      <c r="TPQ71" s="1159" t="e">
        <f t="shared" si="220"/>
        <v>#DIV/0!</v>
      </c>
      <c r="TPR71" s="1159" t="e">
        <f t="shared" si="220"/>
        <v>#DIV/0!</v>
      </c>
      <c r="TPS71" s="1159" t="e">
        <f t="shared" si="220"/>
        <v>#DIV/0!</v>
      </c>
      <c r="TPT71" s="1159" t="e">
        <f t="shared" si="220"/>
        <v>#DIV/0!</v>
      </c>
      <c r="TPU71" s="1159" t="e">
        <f t="shared" si="220"/>
        <v>#DIV/0!</v>
      </c>
      <c r="TPV71" s="1159" t="e">
        <f t="shared" ref="TPV71:TSG71" si="221">((TPV6+TPV12+TPV13+TPV14+TPV15)*860+TPV16*TPV55+TPV17*TPV56+TPV7*TPV49+TPV8*TPV50+TPV9*TPV51+TPV10*TPV52+TPV11*TPV53)/(SUM(TPV6:TPV17))</f>
        <v>#DIV/0!</v>
      </c>
      <c r="TPW71" s="1159" t="e">
        <f t="shared" si="221"/>
        <v>#DIV/0!</v>
      </c>
      <c r="TPX71" s="1159" t="e">
        <f t="shared" si="221"/>
        <v>#DIV/0!</v>
      </c>
      <c r="TPY71" s="1159" t="e">
        <f t="shared" si="221"/>
        <v>#DIV/0!</v>
      </c>
      <c r="TPZ71" s="1159" t="e">
        <f t="shared" si="221"/>
        <v>#DIV/0!</v>
      </c>
      <c r="TQA71" s="1159" t="e">
        <f t="shared" si="221"/>
        <v>#DIV/0!</v>
      </c>
      <c r="TQB71" s="1159" t="e">
        <f t="shared" si="221"/>
        <v>#DIV/0!</v>
      </c>
      <c r="TQC71" s="1159" t="e">
        <f t="shared" si="221"/>
        <v>#DIV/0!</v>
      </c>
      <c r="TQD71" s="1159" t="e">
        <f t="shared" si="221"/>
        <v>#DIV/0!</v>
      </c>
      <c r="TQE71" s="1159" t="e">
        <f t="shared" si="221"/>
        <v>#DIV/0!</v>
      </c>
      <c r="TQF71" s="1159" t="e">
        <f t="shared" si="221"/>
        <v>#DIV/0!</v>
      </c>
      <c r="TQG71" s="1159" t="e">
        <f t="shared" si="221"/>
        <v>#DIV/0!</v>
      </c>
      <c r="TQH71" s="1159" t="e">
        <f t="shared" si="221"/>
        <v>#DIV/0!</v>
      </c>
      <c r="TQI71" s="1159" t="e">
        <f t="shared" si="221"/>
        <v>#DIV/0!</v>
      </c>
      <c r="TQJ71" s="1159" t="e">
        <f t="shared" si="221"/>
        <v>#DIV/0!</v>
      </c>
      <c r="TQK71" s="1159" t="e">
        <f t="shared" si="221"/>
        <v>#DIV/0!</v>
      </c>
      <c r="TQL71" s="1159" t="e">
        <f t="shared" si="221"/>
        <v>#DIV/0!</v>
      </c>
      <c r="TQM71" s="1159" t="e">
        <f t="shared" si="221"/>
        <v>#DIV/0!</v>
      </c>
      <c r="TQN71" s="1159" t="e">
        <f t="shared" si="221"/>
        <v>#DIV/0!</v>
      </c>
      <c r="TQO71" s="1159" t="e">
        <f t="shared" si="221"/>
        <v>#DIV/0!</v>
      </c>
      <c r="TQP71" s="1159" t="e">
        <f t="shared" si="221"/>
        <v>#DIV/0!</v>
      </c>
      <c r="TQQ71" s="1159" t="e">
        <f t="shared" si="221"/>
        <v>#DIV/0!</v>
      </c>
      <c r="TQR71" s="1159" t="e">
        <f t="shared" si="221"/>
        <v>#DIV/0!</v>
      </c>
      <c r="TQS71" s="1159" t="e">
        <f t="shared" si="221"/>
        <v>#DIV/0!</v>
      </c>
      <c r="TQT71" s="1159" t="e">
        <f t="shared" si="221"/>
        <v>#DIV/0!</v>
      </c>
      <c r="TQU71" s="1159" t="e">
        <f t="shared" si="221"/>
        <v>#DIV/0!</v>
      </c>
      <c r="TQV71" s="1159" t="e">
        <f t="shared" si="221"/>
        <v>#DIV/0!</v>
      </c>
      <c r="TQW71" s="1159" t="e">
        <f t="shared" si="221"/>
        <v>#DIV/0!</v>
      </c>
      <c r="TQX71" s="1159" t="e">
        <f t="shared" si="221"/>
        <v>#DIV/0!</v>
      </c>
      <c r="TQY71" s="1159" t="e">
        <f t="shared" si="221"/>
        <v>#DIV/0!</v>
      </c>
      <c r="TQZ71" s="1159" t="e">
        <f t="shared" si="221"/>
        <v>#DIV/0!</v>
      </c>
      <c r="TRA71" s="1159" t="e">
        <f t="shared" si="221"/>
        <v>#DIV/0!</v>
      </c>
      <c r="TRB71" s="1159" t="e">
        <f t="shared" si="221"/>
        <v>#DIV/0!</v>
      </c>
      <c r="TRC71" s="1159" t="e">
        <f t="shared" si="221"/>
        <v>#DIV/0!</v>
      </c>
      <c r="TRD71" s="1159" t="e">
        <f t="shared" si="221"/>
        <v>#DIV/0!</v>
      </c>
      <c r="TRE71" s="1159" t="e">
        <f t="shared" si="221"/>
        <v>#DIV/0!</v>
      </c>
      <c r="TRF71" s="1159" t="e">
        <f t="shared" si="221"/>
        <v>#DIV/0!</v>
      </c>
      <c r="TRG71" s="1159" t="e">
        <f t="shared" si="221"/>
        <v>#DIV/0!</v>
      </c>
      <c r="TRH71" s="1159" t="e">
        <f t="shared" si="221"/>
        <v>#DIV/0!</v>
      </c>
      <c r="TRI71" s="1159" t="e">
        <f t="shared" si="221"/>
        <v>#DIV/0!</v>
      </c>
      <c r="TRJ71" s="1159" t="e">
        <f t="shared" si="221"/>
        <v>#DIV/0!</v>
      </c>
      <c r="TRK71" s="1159" t="e">
        <f t="shared" si="221"/>
        <v>#DIV/0!</v>
      </c>
      <c r="TRL71" s="1159" t="e">
        <f t="shared" si="221"/>
        <v>#DIV/0!</v>
      </c>
      <c r="TRM71" s="1159" t="e">
        <f t="shared" si="221"/>
        <v>#DIV/0!</v>
      </c>
      <c r="TRN71" s="1159" t="e">
        <f t="shared" si="221"/>
        <v>#DIV/0!</v>
      </c>
      <c r="TRO71" s="1159" t="e">
        <f t="shared" si="221"/>
        <v>#DIV/0!</v>
      </c>
      <c r="TRP71" s="1159" t="e">
        <f t="shared" si="221"/>
        <v>#DIV/0!</v>
      </c>
      <c r="TRQ71" s="1159" t="e">
        <f t="shared" si="221"/>
        <v>#DIV/0!</v>
      </c>
      <c r="TRR71" s="1159" t="e">
        <f t="shared" si="221"/>
        <v>#DIV/0!</v>
      </c>
      <c r="TRS71" s="1159" t="e">
        <f t="shared" si="221"/>
        <v>#DIV/0!</v>
      </c>
      <c r="TRT71" s="1159" t="e">
        <f t="shared" si="221"/>
        <v>#DIV/0!</v>
      </c>
      <c r="TRU71" s="1159" t="e">
        <f t="shared" si="221"/>
        <v>#DIV/0!</v>
      </c>
      <c r="TRV71" s="1159" t="e">
        <f t="shared" si="221"/>
        <v>#DIV/0!</v>
      </c>
      <c r="TRW71" s="1159" t="e">
        <f t="shared" si="221"/>
        <v>#DIV/0!</v>
      </c>
      <c r="TRX71" s="1159" t="e">
        <f t="shared" si="221"/>
        <v>#DIV/0!</v>
      </c>
      <c r="TRY71" s="1159" t="e">
        <f t="shared" si="221"/>
        <v>#DIV/0!</v>
      </c>
      <c r="TRZ71" s="1159" t="e">
        <f t="shared" si="221"/>
        <v>#DIV/0!</v>
      </c>
      <c r="TSA71" s="1159" t="e">
        <f t="shared" si="221"/>
        <v>#DIV/0!</v>
      </c>
      <c r="TSB71" s="1159" t="e">
        <f t="shared" si="221"/>
        <v>#DIV/0!</v>
      </c>
      <c r="TSC71" s="1159" t="e">
        <f t="shared" si="221"/>
        <v>#DIV/0!</v>
      </c>
      <c r="TSD71" s="1159" t="e">
        <f t="shared" si="221"/>
        <v>#DIV/0!</v>
      </c>
      <c r="TSE71" s="1159" t="e">
        <f t="shared" si="221"/>
        <v>#DIV/0!</v>
      </c>
      <c r="TSF71" s="1159" t="e">
        <f t="shared" si="221"/>
        <v>#DIV/0!</v>
      </c>
      <c r="TSG71" s="1159" t="e">
        <f t="shared" si="221"/>
        <v>#DIV/0!</v>
      </c>
      <c r="TSH71" s="1159" t="e">
        <f t="shared" ref="TSH71:TUS71" si="222">((TSH6+TSH12+TSH13+TSH14+TSH15)*860+TSH16*TSH55+TSH17*TSH56+TSH7*TSH49+TSH8*TSH50+TSH9*TSH51+TSH10*TSH52+TSH11*TSH53)/(SUM(TSH6:TSH17))</f>
        <v>#DIV/0!</v>
      </c>
      <c r="TSI71" s="1159" t="e">
        <f t="shared" si="222"/>
        <v>#DIV/0!</v>
      </c>
      <c r="TSJ71" s="1159" t="e">
        <f t="shared" si="222"/>
        <v>#DIV/0!</v>
      </c>
      <c r="TSK71" s="1159" t="e">
        <f t="shared" si="222"/>
        <v>#DIV/0!</v>
      </c>
      <c r="TSL71" s="1159" t="e">
        <f t="shared" si="222"/>
        <v>#DIV/0!</v>
      </c>
      <c r="TSM71" s="1159" t="e">
        <f t="shared" si="222"/>
        <v>#DIV/0!</v>
      </c>
      <c r="TSN71" s="1159" t="e">
        <f t="shared" si="222"/>
        <v>#DIV/0!</v>
      </c>
      <c r="TSO71" s="1159" t="e">
        <f t="shared" si="222"/>
        <v>#DIV/0!</v>
      </c>
      <c r="TSP71" s="1159" t="e">
        <f t="shared" si="222"/>
        <v>#DIV/0!</v>
      </c>
      <c r="TSQ71" s="1159" t="e">
        <f t="shared" si="222"/>
        <v>#DIV/0!</v>
      </c>
      <c r="TSR71" s="1159" t="e">
        <f t="shared" si="222"/>
        <v>#DIV/0!</v>
      </c>
      <c r="TSS71" s="1159" t="e">
        <f t="shared" si="222"/>
        <v>#DIV/0!</v>
      </c>
      <c r="TST71" s="1159" t="e">
        <f t="shared" si="222"/>
        <v>#DIV/0!</v>
      </c>
      <c r="TSU71" s="1159" t="e">
        <f t="shared" si="222"/>
        <v>#DIV/0!</v>
      </c>
      <c r="TSV71" s="1159" t="e">
        <f t="shared" si="222"/>
        <v>#DIV/0!</v>
      </c>
      <c r="TSW71" s="1159" t="e">
        <f t="shared" si="222"/>
        <v>#DIV/0!</v>
      </c>
      <c r="TSX71" s="1159" t="e">
        <f t="shared" si="222"/>
        <v>#DIV/0!</v>
      </c>
      <c r="TSY71" s="1159" t="e">
        <f t="shared" si="222"/>
        <v>#DIV/0!</v>
      </c>
      <c r="TSZ71" s="1159" t="e">
        <f t="shared" si="222"/>
        <v>#DIV/0!</v>
      </c>
      <c r="TTA71" s="1159" t="e">
        <f t="shared" si="222"/>
        <v>#DIV/0!</v>
      </c>
      <c r="TTB71" s="1159" t="e">
        <f t="shared" si="222"/>
        <v>#DIV/0!</v>
      </c>
      <c r="TTC71" s="1159" t="e">
        <f t="shared" si="222"/>
        <v>#DIV/0!</v>
      </c>
      <c r="TTD71" s="1159" t="e">
        <f t="shared" si="222"/>
        <v>#DIV/0!</v>
      </c>
      <c r="TTE71" s="1159" t="e">
        <f t="shared" si="222"/>
        <v>#DIV/0!</v>
      </c>
      <c r="TTF71" s="1159" t="e">
        <f t="shared" si="222"/>
        <v>#DIV/0!</v>
      </c>
      <c r="TTG71" s="1159" t="e">
        <f t="shared" si="222"/>
        <v>#DIV/0!</v>
      </c>
      <c r="TTH71" s="1159" t="e">
        <f t="shared" si="222"/>
        <v>#DIV/0!</v>
      </c>
      <c r="TTI71" s="1159" t="e">
        <f t="shared" si="222"/>
        <v>#DIV/0!</v>
      </c>
      <c r="TTJ71" s="1159" t="e">
        <f t="shared" si="222"/>
        <v>#DIV/0!</v>
      </c>
      <c r="TTK71" s="1159" t="e">
        <f t="shared" si="222"/>
        <v>#DIV/0!</v>
      </c>
      <c r="TTL71" s="1159" t="e">
        <f t="shared" si="222"/>
        <v>#DIV/0!</v>
      </c>
      <c r="TTM71" s="1159" t="e">
        <f t="shared" si="222"/>
        <v>#DIV/0!</v>
      </c>
      <c r="TTN71" s="1159" t="e">
        <f t="shared" si="222"/>
        <v>#DIV/0!</v>
      </c>
      <c r="TTO71" s="1159" t="e">
        <f t="shared" si="222"/>
        <v>#DIV/0!</v>
      </c>
      <c r="TTP71" s="1159" t="e">
        <f t="shared" si="222"/>
        <v>#DIV/0!</v>
      </c>
      <c r="TTQ71" s="1159" t="e">
        <f t="shared" si="222"/>
        <v>#DIV/0!</v>
      </c>
      <c r="TTR71" s="1159" t="e">
        <f t="shared" si="222"/>
        <v>#DIV/0!</v>
      </c>
      <c r="TTS71" s="1159" t="e">
        <f t="shared" si="222"/>
        <v>#DIV/0!</v>
      </c>
      <c r="TTT71" s="1159" t="e">
        <f t="shared" si="222"/>
        <v>#DIV/0!</v>
      </c>
      <c r="TTU71" s="1159" t="e">
        <f t="shared" si="222"/>
        <v>#DIV/0!</v>
      </c>
      <c r="TTV71" s="1159" t="e">
        <f t="shared" si="222"/>
        <v>#DIV/0!</v>
      </c>
      <c r="TTW71" s="1159" t="e">
        <f t="shared" si="222"/>
        <v>#DIV/0!</v>
      </c>
      <c r="TTX71" s="1159" t="e">
        <f t="shared" si="222"/>
        <v>#DIV/0!</v>
      </c>
      <c r="TTY71" s="1159" t="e">
        <f t="shared" si="222"/>
        <v>#DIV/0!</v>
      </c>
      <c r="TTZ71" s="1159" t="e">
        <f t="shared" si="222"/>
        <v>#DIV/0!</v>
      </c>
      <c r="TUA71" s="1159" t="e">
        <f t="shared" si="222"/>
        <v>#DIV/0!</v>
      </c>
      <c r="TUB71" s="1159" t="e">
        <f t="shared" si="222"/>
        <v>#DIV/0!</v>
      </c>
      <c r="TUC71" s="1159" t="e">
        <f t="shared" si="222"/>
        <v>#DIV/0!</v>
      </c>
      <c r="TUD71" s="1159" t="e">
        <f t="shared" si="222"/>
        <v>#DIV/0!</v>
      </c>
      <c r="TUE71" s="1159" t="e">
        <f t="shared" si="222"/>
        <v>#DIV/0!</v>
      </c>
      <c r="TUF71" s="1159" t="e">
        <f t="shared" si="222"/>
        <v>#DIV/0!</v>
      </c>
      <c r="TUG71" s="1159" t="e">
        <f t="shared" si="222"/>
        <v>#DIV/0!</v>
      </c>
      <c r="TUH71" s="1159" t="e">
        <f t="shared" si="222"/>
        <v>#DIV/0!</v>
      </c>
      <c r="TUI71" s="1159" t="e">
        <f t="shared" si="222"/>
        <v>#DIV/0!</v>
      </c>
      <c r="TUJ71" s="1159" t="e">
        <f t="shared" si="222"/>
        <v>#DIV/0!</v>
      </c>
      <c r="TUK71" s="1159" t="e">
        <f t="shared" si="222"/>
        <v>#DIV/0!</v>
      </c>
      <c r="TUL71" s="1159" t="e">
        <f t="shared" si="222"/>
        <v>#DIV/0!</v>
      </c>
      <c r="TUM71" s="1159" t="e">
        <f t="shared" si="222"/>
        <v>#DIV/0!</v>
      </c>
      <c r="TUN71" s="1159" t="e">
        <f t="shared" si="222"/>
        <v>#DIV/0!</v>
      </c>
      <c r="TUO71" s="1159" t="e">
        <f t="shared" si="222"/>
        <v>#DIV/0!</v>
      </c>
      <c r="TUP71" s="1159" t="e">
        <f t="shared" si="222"/>
        <v>#DIV/0!</v>
      </c>
      <c r="TUQ71" s="1159" t="e">
        <f t="shared" si="222"/>
        <v>#DIV/0!</v>
      </c>
      <c r="TUR71" s="1159" t="e">
        <f t="shared" si="222"/>
        <v>#DIV/0!</v>
      </c>
      <c r="TUS71" s="1159" t="e">
        <f t="shared" si="222"/>
        <v>#DIV/0!</v>
      </c>
      <c r="TUT71" s="1159" t="e">
        <f t="shared" ref="TUT71:TXE71" si="223">((TUT6+TUT12+TUT13+TUT14+TUT15)*860+TUT16*TUT55+TUT17*TUT56+TUT7*TUT49+TUT8*TUT50+TUT9*TUT51+TUT10*TUT52+TUT11*TUT53)/(SUM(TUT6:TUT17))</f>
        <v>#DIV/0!</v>
      </c>
      <c r="TUU71" s="1159" t="e">
        <f t="shared" si="223"/>
        <v>#DIV/0!</v>
      </c>
      <c r="TUV71" s="1159" t="e">
        <f t="shared" si="223"/>
        <v>#DIV/0!</v>
      </c>
      <c r="TUW71" s="1159" t="e">
        <f t="shared" si="223"/>
        <v>#DIV/0!</v>
      </c>
      <c r="TUX71" s="1159" t="e">
        <f t="shared" si="223"/>
        <v>#DIV/0!</v>
      </c>
      <c r="TUY71" s="1159" t="e">
        <f t="shared" si="223"/>
        <v>#DIV/0!</v>
      </c>
      <c r="TUZ71" s="1159" t="e">
        <f t="shared" si="223"/>
        <v>#DIV/0!</v>
      </c>
      <c r="TVA71" s="1159" t="e">
        <f t="shared" si="223"/>
        <v>#DIV/0!</v>
      </c>
      <c r="TVB71" s="1159" t="e">
        <f t="shared" si="223"/>
        <v>#DIV/0!</v>
      </c>
      <c r="TVC71" s="1159" t="e">
        <f t="shared" si="223"/>
        <v>#DIV/0!</v>
      </c>
      <c r="TVD71" s="1159" t="e">
        <f t="shared" si="223"/>
        <v>#DIV/0!</v>
      </c>
      <c r="TVE71" s="1159" t="e">
        <f t="shared" si="223"/>
        <v>#DIV/0!</v>
      </c>
      <c r="TVF71" s="1159" t="e">
        <f t="shared" si="223"/>
        <v>#DIV/0!</v>
      </c>
      <c r="TVG71" s="1159" t="e">
        <f t="shared" si="223"/>
        <v>#DIV/0!</v>
      </c>
      <c r="TVH71" s="1159" t="e">
        <f t="shared" si="223"/>
        <v>#DIV/0!</v>
      </c>
      <c r="TVI71" s="1159" t="e">
        <f t="shared" si="223"/>
        <v>#DIV/0!</v>
      </c>
      <c r="TVJ71" s="1159" t="e">
        <f t="shared" si="223"/>
        <v>#DIV/0!</v>
      </c>
      <c r="TVK71" s="1159" t="e">
        <f t="shared" si="223"/>
        <v>#DIV/0!</v>
      </c>
      <c r="TVL71" s="1159" t="e">
        <f t="shared" si="223"/>
        <v>#DIV/0!</v>
      </c>
      <c r="TVM71" s="1159" t="e">
        <f t="shared" si="223"/>
        <v>#DIV/0!</v>
      </c>
      <c r="TVN71" s="1159" t="e">
        <f t="shared" si="223"/>
        <v>#DIV/0!</v>
      </c>
      <c r="TVO71" s="1159" t="e">
        <f t="shared" si="223"/>
        <v>#DIV/0!</v>
      </c>
      <c r="TVP71" s="1159" t="e">
        <f t="shared" si="223"/>
        <v>#DIV/0!</v>
      </c>
      <c r="TVQ71" s="1159" t="e">
        <f t="shared" si="223"/>
        <v>#DIV/0!</v>
      </c>
      <c r="TVR71" s="1159" t="e">
        <f t="shared" si="223"/>
        <v>#DIV/0!</v>
      </c>
      <c r="TVS71" s="1159" t="e">
        <f t="shared" si="223"/>
        <v>#DIV/0!</v>
      </c>
      <c r="TVT71" s="1159" t="e">
        <f t="shared" si="223"/>
        <v>#DIV/0!</v>
      </c>
      <c r="TVU71" s="1159" t="e">
        <f t="shared" si="223"/>
        <v>#DIV/0!</v>
      </c>
      <c r="TVV71" s="1159" t="e">
        <f t="shared" si="223"/>
        <v>#DIV/0!</v>
      </c>
      <c r="TVW71" s="1159" t="e">
        <f t="shared" si="223"/>
        <v>#DIV/0!</v>
      </c>
      <c r="TVX71" s="1159" t="e">
        <f t="shared" si="223"/>
        <v>#DIV/0!</v>
      </c>
      <c r="TVY71" s="1159" t="e">
        <f t="shared" si="223"/>
        <v>#DIV/0!</v>
      </c>
      <c r="TVZ71" s="1159" t="e">
        <f t="shared" si="223"/>
        <v>#DIV/0!</v>
      </c>
      <c r="TWA71" s="1159" t="e">
        <f t="shared" si="223"/>
        <v>#DIV/0!</v>
      </c>
      <c r="TWB71" s="1159" t="e">
        <f t="shared" si="223"/>
        <v>#DIV/0!</v>
      </c>
      <c r="TWC71" s="1159" t="e">
        <f t="shared" si="223"/>
        <v>#DIV/0!</v>
      </c>
      <c r="TWD71" s="1159" t="e">
        <f t="shared" si="223"/>
        <v>#DIV/0!</v>
      </c>
      <c r="TWE71" s="1159" t="e">
        <f t="shared" si="223"/>
        <v>#DIV/0!</v>
      </c>
      <c r="TWF71" s="1159" t="e">
        <f t="shared" si="223"/>
        <v>#DIV/0!</v>
      </c>
      <c r="TWG71" s="1159" t="e">
        <f t="shared" si="223"/>
        <v>#DIV/0!</v>
      </c>
      <c r="TWH71" s="1159" t="e">
        <f t="shared" si="223"/>
        <v>#DIV/0!</v>
      </c>
      <c r="TWI71" s="1159" t="e">
        <f t="shared" si="223"/>
        <v>#DIV/0!</v>
      </c>
      <c r="TWJ71" s="1159" t="e">
        <f t="shared" si="223"/>
        <v>#DIV/0!</v>
      </c>
      <c r="TWK71" s="1159" t="e">
        <f t="shared" si="223"/>
        <v>#DIV/0!</v>
      </c>
      <c r="TWL71" s="1159" t="e">
        <f t="shared" si="223"/>
        <v>#DIV/0!</v>
      </c>
      <c r="TWM71" s="1159" t="e">
        <f t="shared" si="223"/>
        <v>#DIV/0!</v>
      </c>
      <c r="TWN71" s="1159" t="e">
        <f t="shared" si="223"/>
        <v>#DIV/0!</v>
      </c>
      <c r="TWO71" s="1159" t="e">
        <f t="shared" si="223"/>
        <v>#DIV/0!</v>
      </c>
      <c r="TWP71" s="1159" t="e">
        <f t="shared" si="223"/>
        <v>#DIV/0!</v>
      </c>
      <c r="TWQ71" s="1159" t="e">
        <f t="shared" si="223"/>
        <v>#DIV/0!</v>
      </c>
      <c r="TWR71" s="1159" t="e">
        <f t="shared" si="223"/>
        <v>#DIV/0!</v>
      </c>
      <c r="TWS71" s="1159" t="e">
        <f t="shared" si="223"/>
        <v>#DIV/0!</v>
      </c>
      <c r="TWT71" s="1159" t="e">
        <f t="shared" si="223"/>
        <v>#DIV/0!</v>
      </c>
      <c r="TWU71" s="1159" t="e">
        <f t="shared" si="223"/>
        <v>#DIV/0!</v>
      </c>
      <c r="TWV71" s="1159" t="e">
        <f t="shared" si="223"/>
        <v>#DIV/0!</v>
      </c>
      <c r="TWW71" s="1159" t="e">
        <f t="shared" si="223"/>
        <v>#DIV/0!</v>
      </c>
      <c r="TWX71" s="1159" t="e">
        <f t="shared" si="223"/>
        <v>#DIV/0!</v>
      </c>
      <c r="TWY71" s="1159" t="e">
        <f t="shared" si="223"/>
        <v>#DIV/0!</v>
      </c>
      <c r="TWZ71" s="1159" t="e">
        <f t="shared" si="223"/>
        <v>#DIV/0!</v>
      </c>
      <c r="TXA71" s="1159" t="e">
        <f t="shared" si="223"/>
        <v>#DIV/0!</v>
      </c>
      <c r="TXB71" s="1159" t="e">
        <f t="shared" si="223"/>
        <v>#DIV/0!</v>
      </c>
      <c r="TXC71" s="1159" t="e">
        <f t="shared" si="223"/>
        <v>#DIV/0!</v>
      </c>
      <c r="TXD71" s="1159" t="e">
        <f t="shared" si="223"/>
        <v>#DIV/0!</v>
      </c>
      <c r="TXE71" s="1159" t="e">
        <f t="shared" si="223"/>
        <v>#DIV/0!</v>
      </c>
      <c r="TXF71" s="1159" t="e">
        <f t="shared" ref="TXF71:TZQ71" si="224">((TXF6+TXF12+TXF13+TXF14+TXF15)*860+TXF16*TXF55+TXF17*TXF56+TXF7*TXF49+TXF8*TXF50+TXF9*TXF51+TXF10*TXF52+TXF11*TXF53)/(SUM(TXF6:TXF17))</f>
        <v>#DIV/0!</v>
      </c>
      <c r="TXG71" s="1159" t="e">
        <f t="shared" si="224"/>
        <v>#DIV/0!</v>
      </c>
      <c r="TXH71" s="1159" t="e">
        <f t="shared" si="224"/>
        <v>#DIV/0!</v>
      </c>
      <c r="TXI71" s="1159" t="e">
        <f t="shared" si="224"/>
        <v>#DIV/0!</v>
      </c>
      <c r="TXJ71" s="1159" t="e">
        <f t="shared" si="224"/>
        <v>#DIV/0!</v>
      </c>
      <c r="TXK71" s="1159" t="e">
        <f t="shared" si="224"/>
        <v>#DIV/0!</v>
      </c>
      <c r="TXL71" s="1159" t="e">
        <f t="shared" si="224"/>
        <v>#DIV/0!</v>
      </c>
      <c r="TXM71" s="1159" t="e">
        <f t="shared" si="224"/>
        <v>#DIV/0!</v>
      </c>
      <c r="TXN71" s="1159" t="e">
        <f t="shared" si="224"/>
        <v>#DIV/0!</v>
      </c>
      <c r="TXO71" s="1159" t="e">
        <f t="shared" si="224"/>
        <v>#DIV/0!</v>
      </c>
      <c r="TXP71" s="1159" t="e">
        <f t="shared" si="224"/>
        <v>#DIV/0!</v>
      </c>
      <c r="TXQ71" s="1159" t="e">
        <f t="shared" si="224"/>
        <v>#DIV/0!</v>
      </c>
      <c r="TXR71" s="1159" t="e">
        <f t="shared" si="224"/>
        <v>#DIV/0!</v>
      </c>
      <c r="TXS71" s="1159" t="e">
        <f t="shared" si="224"/>
        <v>#DIV/0!</v>
      </c>
      <c r="TXT71" s="1159" t="e">
        <f t="shared" si="224"/>
        <v>#DIV/0!</v>
      </c>
      <c r="TXU71" s="1159" t="e">
        <f t="shared" si="224"/>
        <v>#DIV/0!</v>
      </c>
      <c r="TXV71" s="1159" t="e">
        <f t="shared" si="224"/>
        <v>#DIV/0!</v>
      </c>
      <c r="TXW71" s="1159" t="e">
        <f t="shared" si="224"/>
        <v>#DIV/0!</v>
      </c>
      <c r="TXX71" s="1159" t="e">
        <f t="shared" si="224"/>
        <v>#DIV/0!</v>
      </c>
      <c r="TXY71" s="1159" t="e">
        <f t="shared" si="224"/>
        <v>#DIV/0!</v>
      </c>
      <c r="TXZ71" s="1159" t="e">
        <f t="shared" si="224"/>
        <v>#DIV/0!</v>
      </c>
      <c r="TYA71" s="1159" t="e">
        <f t="shared" si="224"/>
        <v>#DIV/0!</v>
      </c>
      <c r="TYB71" s="1159" t="e">
        <f t="shared" si="224"/>
        <v>#DIV/0!</v>
      </c>
      <c r="TYC71" s="1159" t="e">
        <f t="shared" si="224"/>
        <v>#DIV/0!</v>
      </c>
      <c r="TYD71" s="1159" t="e">
        <f t="shared" si="224"/>
        <v>#DIV/0!</v>
      </c>
      <c r="TYE71" s="1159" t="e">
        <f t="shared" si="224"/>
        <v>#DIV/0!</v>
      </c>
      <c r="TYF71" s="1159" t="e">
        <f t="shared" si="224"/>
        <v>#DIV/0!</v>
      </c>
      <c r="TYG71" s="1159" t="e">
        <f t="shared" si="224"/>
        <v>#DIV/0!</v>
      </c>
      <c r="TYH71" s="1159" t="e">
        <f t="shared" si="224"/>
        <v>#DIV/0!</v>
      </c>
      <c r="TYI71" s="1159" t="e">
        <f t="shared" si="224"/>
        <v>#DIV/0!</v>
      </c>
      <c r="TYJ71" s="1159" t="e">
        <f t="shared" si="224"/>
        <v>#DIV/0!</v>
      </c>
      <c r="TYK71" s="1159" t="e">
        <f t="shared" si="224"/>
        <v>#DIV/0!</v>
      </c>
      <c r="TYL71" s="1159" t="e">
        <f t="shared" si="224"/>
        <v>#DIV/0!</v>
      </c>
      <c r="TYM71" s="1159" t="e">
        <f t="shared" si="224"/>
        <v>#DIV/0!</v>
      </c>
      <c r="TYN71" s="1159" t="e">
        <f t="shared" si="224"/>
        <v>#DIV/0!</v>
      </c>
      <c r="TYO71" s="1159" t="e">
        <f t="shared" si="224"/>
        <v>#DIV/0!</v>
      </c>
      <c r="TYP71" s="1159" t="e">
        <f t="shared" si="224"/>
        <v>#DIV/0!</v>
      </c>
      <c r="TYQ71" s="1159" t="e">
        <f t="shared" si="224"/>
        <v>#DIV/0!</v>
      </c>
      <c r="TYR71" s="1159" t="e">
        <f t="shared" si="224"/>
        <v>#DIV/0!</v>
      </c>
      <c r="TYS71" s="1159" t="e">
        <f t="shared" si="224"/>
        <v>#DIV/0!</v>
      </c>
      <c r="TYT71" s="1159" t="e">
        <f t="shared" si="224"/>
        <v>#DIV/0!</v>
      </c>
      <c r="TYU71" s="1159" t="e">
        <f t="shared" si="224"/>
        <v>#DIV/0!</v>
      </c>
      <c r="TYV71" s="1159" t="e">
        <f t="shared" si="224"/>
        <v>#DIV/0!</v>
      </c>
      <c r="TYW71" s="1159" t="e">
        <f t="shared" si="224"/>
        <v>#DIV/0!</v>
      </c>
      <c r="TYX71" s="1159" t="e">
        <f t="shared" si="224"/>
        <v>#DIV/0!</v>
      </c>
      <c r="TYY71" s="1159" t="e">
        <f t="shared" si="224"/>
        <v>#DIV/0!</v>
      </c>
      <c r="TYZ71" s="1159" t="e">
        <f t="shared" si="224"/>
        <v>#DIV/0!</v>
      </c>
      <c r="TZA71" s="1159" t="e">
        <f t="shared" si="224"/>
        <v>#DIV/0!</v>
      </c>
      <c r="TZB71" s="1159" t="e">
        <f t="shared" si="224"/>
        <v>#DIV/0!</v>
      </c>
      <c r="TZC71" s="1159" t="e">
        <f t="shared" si="224"/>
        <v>#DIV/0!</v>
      </c>
      <c r="TZD71" s="1159" t="e">
        <f t="shared" si="224"/>
        <v>#DIV/0!</v>
      </c>
      <c r="TZE71" s="1159" t="e">
        <f t="shared" si="224"/>
        <v>#DIV/0!</v>
      </c>
      <c r="TZF71" s="1159" t="e">
        <f t="shared" si="224"/>
        <v>#DIV/0!</v>
      </c>
      <c r="TZG71" s="1159" t="e">
        <f t="shared" si="224"/>
        <v>#DIV/0!</v>
      </c>
      <c r="TZH71" s="1159" t="e">
        <f t="shared" si="224"/>
        <v>#DIV/0!</v>
      </c>
      <c r="TZI71" s="1159" t="e">
        <f t="shared" si="224"/>
        <v>#DIV/0!</v>
      </c>
      <c r="TZJ71" s="1159" t="e">
        <f t="shared" si="224"/>
        <v>#DIV/0!</v>
      </c>
      <c r="TZK71" s="1159" t="e">
        <f t="shared" si="224"/>
        <v>#DIV/0!</v>
      </c>
      <c r="TZL71" s="1159" t="e">
        <f t="shared" si="224"/>
        <v>#DIV/0!</v>
      </c>
      <c r="TZM71" s="1159" t="e">
        <f t="shared" si="224"/>
        <v>#DIV/0!</v>
      </c>
      <c r="TZN71" s="1159" t="e">
        <f t="shared" si="224"/>
        <v>#DIV/0!</v>
      </c>
      <c r="TZO71" s="1159" t="e">
        <f t="shared" si="224"/>
        <v>#DIV/0!</v>
      </c>
      <c r="TZP71" s="1159" t="e">
        <f t="shared" si="224"/>
        <v>#DIV/0!</v>
      </c>
      <c r="TZQ71" s="1159" t="e">
        <f t="shared" si="224"/>
        <v>#DIV/0!</v>
      </c>
      <c r="TZR71" s="1159" t="e">
        <f t="shared" ref="TZR71:UCC71" si="225">((TZR6+TZR12+TZR13+TZR14+TZR15)*860+TZR16*TZR55+TZR17*TZR56+TZR7*TZR49+TZR8*TZR50+TZR9*TZR51+TZR10*TZR52+TZR11*TZR53)/(SUM(TZR6:TZR17))</f>
        <v>#DIV/0!</v>
      </c>
      <c r="TZS71" s="1159" t="e">
        <f t="shared" si="225"/>
        <v>#DIV/0!</v>
      </c>
      <c r="TZT71" s="1159" t="e">
        <f t="shared" si="225"/>
        <v>#DIV/0!</v>
      </c>
      <c r="TZU71" s="1159" t="e">
        <f t="shared" si="225"/>
        <v>#DIV/0!</v>
      </c>
      <c r="TZV71" s="1159" t="e">
        <f t="shared" si="225"/>
        <v>#DIV/0!</v>
      </c>
      <c r="TZW71" s="1159" t="e">
        <f t="shared" si="225"/>
        <v>#DIV/0!</v>
      </c>
      <c r="TZX71" s="1159" t="e">
        <f t="shared" si="225"/>
        <v>#DIV/0!</v>
      </c>
      <c r="TZY71" s="1159" t="e">
        <f t="shared" si="225"/>
        <v>#DIV/0!</v>
      </c>
      <c r="TZZ71" s="1159" t="e">
        <f t="shared" si="225"/>
        <v>#DIV/0!</v>
      </c>
      <c r="UAA71" s="1159" t="e">
        <f t="shared" si="225"/>
        <v>#DIV/0!</v>
      </c>
      <c r="UAB71" s="1159" t="e">
        <f t="shared" si="225"/>
        <v>#DIV/0!</v>
      </c>
      <c r="UAC71" s="1159" t="e">
        <f t="shared" si="225"/>
        <v>#DIV/0!</v>
      </c>
      <c r="UAD71" s="1159" t="e">
        <f t="shared" si="225"/>
        <v>#DIV/0!</v>
      </c>
      <c r="UAE71" s="1159" t="e">
        <f t="shared" si="225"/>
        <v>#DIV/0!</v>
      </c>
      <c r="UAF71" s="1159" t="e">
        <f t="shared" si="225"/>
        <v>#DIV/0!</v>
      </c>
      <c r="UAG71" s="1159" t="e">
        <f t="shared" si="225"/>
        <v>#DIV/0!</v>
      </c>
      <c r="UAH71" s="1159" t="e">
        <f t="shared" si="225"/>
        <v>#DIV/0!</v>
      </c>
      <c r="UAI71" s="1159" t="e">
        <f t="shared" si="225"/>
        <v>#DIV/0!</v>
      </c>
      <c r="UAJ71" s="1159" t="e">
        <f t="shared" si="225"/>
        <v>#DIV/0!</v>
      </c>
      <c r="UAK71" s="1159" t="e">
        <f t="shared" si="225"/>
        <v>#DIV/0!</v>
      </c>
      <c r="UAL71" s="1159" t="e">
        <f t="shared" si="225"/>
        <v>#DIV/0!</v>
      </c>
      <c r="UAM71" s="1159" t="e">
        <f t="shared" si="225"/>
        <v>#DIV/0!</v>
      </c>
      <c r="UAN71" s="1159" t="e">
        <f t="shared" si="225"/>
        <v>#DIV/0!</v>
      </c>
      <c r="UAO71" s="1159" t="e">
        <f t="shared" si="225"/>
        <v>#DIV/0!</v>
      </c>
      <c r="UAP71" s="1159" t="e">
        <f t="shared" si="225"/>
        <v>#DIV/0!</v>
      </c>
      <c r="UAQ71" s="1159" t="e">
        <f t="shared" si="225"/>
        <v>#DIV/0!</v>
      </c>
      <c r="UAR71" s="1159" t="e">
        <f t="shared" si="225"/>
        <v>#DIV/0!</v>
      </c>
      <c r="UAS71" s="1159" t="e">
        <f t="shared" si="225"/>
        <v>#DIV/0!</v>
      </c>
      <c r="UAT71" s="1159" t="e">
        <f t="shared" si="225"/>
        <v>#DIV/0!</v>
      </c>
      <c r="UAU71" s="1159" t="e">
        <f t="shared" si="225"/>
        <v>#DIV/0!</v>
      </c>
      <c r="UAV71" s="1159" t="e">
        <f t="shared" si="225"/>
        <v>#DIV/0!</v>
      </c>
      <c r="UAW71" s="1159" t="e">
        <f t="shared" si="225"/>
        <v>#DIV/0!</v>
      </c>
      <c r="UAX71" s="1159" t="e">
        <f t="shared" si="225"/>
        <v>#DIV/0!</v>
      </c>
      <c r="UAY71" s="1159" t="e">
        <f t="shared" si="225"/>
        <v>#DIV/0!</v>
      </c>
      <c r="UAZ71" s="1159" t="e">
        <f t="shared" si="225"/>
        <v>#DIV/0!</v>
      </c>
      <c r="UBA71" s="1159" t="e">
        <f t="shared" si="225"/>
        <v>#DIV/0!</v>
      </c>
      <c r="UBB71" s="1159" t="e">
        <f t="shared" si="225"/>
        <v>#DIV/0!</v>
      </c>
      <c r="UBC71" s="1159" t="e">
        <f t="shared" si="225"/>
        <v>#DIV/0!</v>
      </c>
      <c r="UBD71" s="1159" t="e">
        <f t="shared" si="225"/>
        <v>#DIV/0!</v>
      </c>
      <c r="UBE71" s="1159" t="e">
        <f t="shared" si="225"/>
        <v>#DIV/0!</v>
      </c>
      <c r="UBF71" s="1159" t="e">
        <f t="shared" si="225"/>
        <v>#DIV/0!</v>
      </c>
      <c r="UBG71" s="1159" t="e">
        <f t="shared" si="225"/>
        <v>#DIV/0!</v>
      </c>
      <c r="UBH71" s="1159" t="e">
        <f t="shared" si="225"/>
        <v>#DIV/0!</v>
      </c>
      <c r="UBI71" s="1159" t="e">
        <f t="shared" si="225"/>
        <v>#DIV/0!</v>
      </c>
      <c r="UBJ71" s="1159" t="e">
        <f t="shared" si="225"/>
        <v>#DIV/0!</v>
      </c>
      <c r="UBK71" s="1159" t="e">
        <f t="shared" si="225"/>
        <v>#DIV/0!</v>
      </c>
      <c r="UBL71" s="1159" t="e">
        <f t="shared" si="225"/>
        <v>#DIV/0!</v>
      </c>
      <c r="UBM71" s="1159" t="e">
        <f t="shared" si="225"/>
        <v>#DIV/0!</v>
      </c>
      <c r="UBN71" s="1159" t="e">
        <f t="shared" si="225"/>
        <v>#DIV/0!</v>
      </c>
      <c r="UBO71" s="1159" t="e">
        <f t="shared" si="225"/>
        <v>#DIV/0!</v>
      </c>
      <c r="UBP71" s="1159" t="e">
        <f t="shared" si="225"/>
        <v>#DIV/0!</v>
      </c>
      <c r="UBQ71" s="1159" t="e">
        <f t="shared" si="225"/>
        <v>#DIV/0!</v>
      </c>
      <c r="UBR71" s="1159" t="e">
        <f t="shared" si="225"/>
        <v>#DIV/0!</v>
      </c>
      <c r="UBS71" s="1159" t="e">
        <f t="shared" si="225"/>
        <v>#DIV/0!</v>
      </c>
      <c r="UBT71" s="1159" t="e">
        <f t="shared" si="225"/>
        <v>#DIV/0!</v>
      </c>
      <c r="UBU71" s="1159" t="e">
        <f t="shared" si="225"/>
        <v>#DIV/0!</v>
      </c>
      <c r="UBV71" s="1159" t="e">
        <f t="shared" si="225"/>
        <v>#DIV/0!</v>
      </c>
      <c r="UBW71" s="1159" t="e">
        <f t="shared" si="225"/>
        <v>#DIV/0!</v>
      </c>
      <c r="UBX71" s="1159" t="e">
        <f t="shared" si="225"/>
        <v>#DIV/0!</v>
      </c>
      <c r="UBY71" s="1159" t="e">
        <f t="shared" si="225"/>
        <v>#DIV/0!</v>
      </c>
      <c r="UBZ71" s="1159" t="e">
        <f t="shared" si="225"/>
        <v>#DIV/0!</v>
      </c>
      <c r="UCA71" s="1159" t="e">
        <f t="shared" si="225"/>
        <v>#DIV/0!</v>
      </c>
      <c r="UCB71" s="1159" t="e">
        <f t="shared" si="225"/>
        <v>#DIV/0!</v>
      </c>
      <c r="UCC71" s="1159" t="e">
        <f t="shared" si="225"/>
        <v>#DIV/0!</v>
      </c>
      <c r="UCD71" s="1159" t="e">
        <f t="shared" ref="UCD71:UEO71" si="226">((UCD6+UCD12+UCD13+UCD14+UCD15)*860+UCD16*UCD55+UCD17*UCD56+UCD7*UCD49+UCD8*UCD50+UCD9*UCD51+UCD10*UCD52+UCD11*UCD53)/(SUM(UCD6:UCD17))</f>
        <v>#DIV/0!</v>
      </c>
      <c r="UCE71" s="1159" t="e">
        <f t="shared" si="226"/>
        <v>#DIV/0!</v>
      </c>
      <c r="UCF71" s="1159" t="e">
        <f t="shared" si="226"/>
        <v>#DIV/0!</v>
      </c>
      <c r="UCG71" s="1159" t="e">
        <f t="shared" si="226"/>
        <v>#DIV/0!</v>
      </c>
      <c r="UCH71" s="1159" t="e">
        <f t="shared" si="226"/>
        <v>#DIV/0!</v>
      </c>
      <c r="UCI71" s="1159" t="e">
        <f t="shared" si="226"/>
        <v>#DIV/0!</v>
      </c>
      <c r="UCJ71" s="1159" t="e">
        <f t="shared" si="226"/>
        <v>#DIV/0!</v>
      </c>
      <c r="UCK71" s="1159" t="e">
        <f t="shared" si="226"/>
        <v>#DIV/0!</v>
      </c>
      <c r="UCL71" s="1159" t="e">
        <f t="shared" si="226"/>
        <v>#DIV/0!</v>
      </c>
      <c r="UCM71" s="1159" t="e">
        <f t="shared" si="226"/>
        <v>#DIV/0!</v>
      </c>
      <c r="UCN71" s="1159" t="e">
        <f t="shared" si="226"/>
        <v>#DIV/0!</v>
      </c>
      <c r="UCO71" s="1159" t="e">
        <f t="shared" si="226"/>
        <v>#DIV/0!</v>
      </c>
      <c r="UCP71" s="1159" t="e">
        <f t="shared" si="226"/>
        <v>#DIV/0!</v>
      </c>
      <c r="UCQ71" s="1159" t="e">
        <f t="shared" si="226"/>
        <v>#DIV/0!</v>
      </c>
      <c r="UCR71" s="1159" t="e">
        <f t="shared" si="226"/>
        <v>#DIV/0!</v>
      </c>
      <c r="UCS71" s="1159" t="e">
        <f t="shared" si="226"/>
        <v>#DIV/0!</v>
      </c>
      <c r="UCT71" s="1159" t="e">
        <f t="shared" si="226"/>
        <v>#DIV/0!</v>
      </c>
      <c r="UCU71" s="1159" t="e">
        <f t="shared" si="226"/>
        <v>#DIV/0!</v>
      </c>
      <c r="UCV71" s="1159" t="e">
        <f t="shared" si="226"/>
        <v>#DIV/0!</v>
      </c>
      <c r="UCW71" s="1159" t="e">
        <f t="shared" si="226"/>
        <v>#DIV/0!</v>
      </c>
      <c r="UCX71" s="1159" t="e">
        <f t="shared" si="226"/>
        <v>#DIV/0!</v>
      </c>
      <c r="UCY71" s="1159" t="e">
        <f t="shared" si="226"/>
        <v>#DIV/0!</v>
      </c>
      <c r="UCZ71" s="1159" t="e">
        <f t="shared" si="226"/>
        <v>#DIV/0!</v>
      </c>
      <c r="UDA71" s="1159" t="e">
        <f t="shared" si="226"/>
        <v>#DIV/0!</v>
      </c>
      <c r="UDB71" s="1159" t="e">
        <f t="shared" si="226"/>
        <v>#DIV/0!</v>
      </c>
      <c r="UDC71" s="1159" t="e">
        <f t="shared" si="226"/>
        <v>#DIV/0!</v>
      </c>
      <c r="UDD71" s="1159" t="e">
        <f t="shared" si="226"/>
        <v>#DIV/0!</v>
      </c>
      <c r="UDE71" s="1159" t="e">
        <f t="shared" si="226"/>
        <v>#DIV/0!</v>
      </c>
      <c r="UDF71" s="1159" t="e">
        <f t="shared" si="226"/>
        <v>#DIV/0!</v>
      </c>
      <c r="UDG71" s="1159" t="e">
        <f t="shared" si="226"/>
        <v>#DIV/0!</v>
      </c>
      <c r="UDH71" s="1159" t="e">
        <f t="shared" si="226"/>
        <v>#DIV/0!</v>
      </c>
      <c r="UDI71" s="1159" t="e">
        <f t="shared" si="226"/>
        <v>#DIV/0!</v>
      </c>
      <c r="UDJ71" s="1159" t="e">
        <f t="shared" si="226"/>
        <v>#DIV/0!</v>
      </c>
      <c r="UDK71" s="1159" t="e">
        <f t="shared" si="226"/>
        <v>#DIV/0!</v>
      </c>
      <c r="UDL71" s="1159" t="e">
        <f t="shared" si="226"/>
        <v>#DIV/0!</v>
      </c>
      <c r="UDM71" s="1159" t="e">
        <f t="shared" si="226"/>
        <v>#DIV/0!</v>
      </c>
      <c r="UDN71" s="1159" t="e">
        <f t="shared" si="226"/>
        <v>#DIV/0!</v>
      </c>
      <c r="UDO71" s="1159" t="e">
        <f t="shared" si="226"/>
        <v>#DIV/0!</v>
      </c>
      <c r="UDP71" s="1159" t="e">
        <f t="shared" si="226"/>
        <v>#DIV/0!</v>
      </c>
      <c r="UDQ71" s="1159" t="e">
        <f t="shared" si="226"/>
        <v>#DIV/0!</v>
      </c>
      <c r="UDR71" s="1159" t="e">
        <f t="shared" si="226"/>
        <v>#DIV/0!</v>
      </c>
      <c r="UDS71" s="1159" t="e">
        <f t="shared" si="226"/>
        <v>#DIV/0!</v>
      </c>
      <c r="UDT71" s="1159" t="e">
        <f t="shared" si="226"/>
        <v>#DIV/0!</v>
      </c>
      <c r="UDU71" s="1159" t="e">
        <f t="shared" si="226"/>
        <v>#DIV/0!</v>
      </c>
      <c r="UDV71" s="1159" t="e">
        <f t="shared" si="226"/>
        <v>#DIV/0!</v>
      </c>
      <c r="UDW71" s="1159" t="e">
        <f t="shared" si="226"/>
        <v>#DIV/0!</v>
      </c>
      <c r="UDX71" s="1159" t="e">
        <f t="shared" si="226"/>
        <v>#DIV/0!</v>
      </c>
      <c r="UDY71" s="1159" t="e">
        <f t="shared" si="226"/>
        <v>#DIV/0!</v>
      </c>
      <c r="UDZ71" s="1159" t="e">
        <f t="shared" si="226"/>
        <v>#DIV/0!</v>
      </c>
      <c r="UEA71" s="1159" t="e">
        <f t="shared" si="226"/>
        <v>#DIV/0!</v>
      </c>
      <c r="UEB71" s="1159" t="e">
        <f t="shared" si="226"/>
        <v>#DIV/0!</v>
      </c>
      <c r="UEC71" s="1159" t="e">
        <f t="shared" si="226"/>
        <v>#DIV/0!</v>
      </c>
      <c r="UED71" s="1159" t="e">
        <f t="shared" si="226"/>
        <v>#DIV/0!</v>
      </c>
      <c r="UEE71" s="1159" t="e">
        <f t="shared" si="226"/>
        <v>#DIV/0!</v>
      </c>
      <c r="UEF71" s="1159" t="e">
        <f t="shared" si="226"/>
        <v>#DIV/0!</v>
      </c>
      <c r="UEG71" s="1159" t="e">
        <f t="shared" si="226"/>
        <v>#DIV/0!</v>
      </c>
      <c r="UEH71" s="1159" t="e">
        <f t="shared" si="226"/>
        <v>#DIV/0!</v>
      </c>
      <c r="UEI71" s="1159" t="e">
        <f t="shared" si="226"/>
        <v>#DIV/0!</v>
      </c>
      <c r="UEJ71" s="1159" t="e">
        <f t="shared" si="226"/>
        <v>#DIV/0!</v>
      </c>
      <c r="UEK71" s="1159" t="e">
        <f t="shared" si="226"/>
        <v>#DIV/0!</v>
      </c>
      <c r="UEL71" s="1159" t="e">
        <f t="shared" si="226"/>
        <v>#DIV/0!</v>
      </c>
      <c r="UEM71" s="1159" t="e">
        <f t="shared" si="226"/>
        <v>#DIV/0!</v>
      </c>
      <c r="UEN71" s="1159" t="e">
        <f t="shared" si="226"/>
        <v>#DIV/0!</v>
      </c>
      <c r="UEO71" s="1159" t="e">
        <f t="shared" si="226"/>
        <v>#DIV/0!</v>
      </c>
      <c r="UEP71" s="1159" t="e">
        <f t="shared" ref="UEP71:UHA71" si="227">((UEP6+UEP12+UEP13+UEP14+UEP15)*860+UEP16*UEP55+UEP17*UEP56+UEP7*UEP49+UEP8*UEP50+UEP9*UEP51+UEP10*UEP52+UEP11*UEP53)/(SUM(UEP6:UEP17))</f>
        <v>#DIV/0!</v>
      </c>
      <c r="UEQ71" s="1159" t="e">
        <f t="shared" si="227"/>
        <v>#DIV/0!</v>
      </c>
      <c r="UER71" s="1159" t="e">
        <f t="shared" si="227"/>
        <v>#DIV/0!</v>
      </c>
      <c r="UES71" s="1159" t="e">
        <f t="shared" si="227"/>
        <v>#DIV/0!</v>
      </c>
      <c r="UET71" s="1159" t="e">
        <f t="shared" si="227"/>
        <v>#DIV/0!</v>
      </c>
      <c r="UEU71" s="1159" t="e">
        <f t="shared" si="227"/>
        <v>#DIV/0!</v>
      </c>
      <c r="UEV71" s="1159" t="e">
        <f t="shared" si="227"/>
        <v>#DIV/0!</v>
      </c>
      <c r="UEW71" s="1159" t="e">
        <f t="shared" si="227"/>
        <v>#DIV/0!</v>
      </c>
      <c r="UEX71" s="1159" t="e">
        <f t="shared" si="227"/>
        <v>#DIV/0!</v>
      </c>
      <c r="UEY71" s="1159" t="e">
        <f t="shared" si="227"/>
        <v>#DIV/0!</v>
      </c>
      <c r="UEZ71" s="1159" t="e">
        <f t="shared" si="227"/>
        <v>#DIV/0!</v>
      </c>
      <c r="UFA71" s="1159" t="e">
        <f t="shared" si="227"/>
        <v>#DIV/0!</v>
      </c>
      <c r="UFB71" s="1159" t="e">
        <f t="shared" si="227"/>
        <v>#DIV/0!</v>
      </c>
      <c r="UFC71" s="1159" t="e">
        <f t="shared" si="227"/>
        <v>#DIV/0!</v>
      </c>
      <c r="UFD71" s="1159" t="e">
        <f t="shared" si="227"/>
        <v>#DIV/0!</v>
      </c>
      <c r="UFE71" s="1159" t="e">
        <f t="shared" si="227"/>
        <v>#DIV/0!</v>
      </c>
      <c r="UFF71" s="1159" t="e">
        <f t="shared" si="227"/>
        <v>#DIV/0!</v>
      </c>
      <c r="UFG71" s="1159" t="e">
        <f t="shared" si="227"/>
        <v>#DIV/0!</v>
      </c>
      <c r="UFH71" s="1159" t="e">
        <f t="shared" si="227"/>
        <v>#DIV/0!</v>
      </c>
      <c r="UFI71" s="1159" t="e">
        <f t="shared" si="227"/>
        <v>#DIV/0!</v>
      </c>
      <c r="UFJ71" s="1159" t="e">
        <f t="shared" si="227"/>
        <v>#DIV/0!</v>
      </c>
      <c r="UFK71" s="1159" t="e">
        <f t="shared" si="227"/>
        <v>#DIV/0!</v>
      </c>
      <c r="UFL71" s="1159" t="e">
        <f t="shared" si="227"/>
        <v>#DIV/0!</v>
      </c>
      <c r="UFM71" s="1159" t="e">
        <f t="shared" si="227"/>
        <v>#DIV/0!</v>
      </c>
      <c r="UFN71" s="1159" t="e">
        <f t="shared" si="227"/>
        <v>#DIV/0!</v>
      </c>
      <c r="UFO71" s="1159" t="e">
        <f t="shared" si="227"/>
        <v>#DIV/0!</v>
      </c>
      <c r="UFP71" s="1159" t="e">
        <f t="shared" si="227"/>
        <v>#DIV/0!</v>
      </c>
      <c r="UFQ71" s="1159" t="e">
        <f t="shared" si="227"/>
        <v>#DIV/0!</v>
      </c>
      <c r="UFR71" s="1159" t="e">
        <f t="shared" si="227"/>
        <v>#DIV/0!</v>
      </c>
      <c r="UFS71" s="1159" t="e">
        <f t="shared" si="227"/>
        <v>#DIV/0!</v>
      </c>
      <c r="UFT71" s="1159" t="e">
        <f t="shared" si="227"/>
        <v>#DIV/0!</v>
      </c>
      <c r="UFU71" s="1159" t="e">
        <f t="shared" si="227"/>
        <v>#DIV/0!</v>
      </c>
      <c r="UFV71" s="1159" t="e">
        <f t="shared" si="227"/>
        <v>#DIV/0!</v>
      </c>
      <c r="UFW71" s="1159" t="e">
        <f t="shared" si="227"/>
        <v>#DIV/0!</v>
      </c>
      <c r="UFX71" s="1159" t="e">
        <f t="shared" si="227"/>
        <v>#DIV/0!</v>
      </c>
      <c r="UFY71" s="1159" t="e">
        <f t="shared" si="227"/>
        <v>#DIV/0!</v>
      </c>
      <c r="UFZ71" s="1159" t="e">
        <f t="shared" si="227"/>
        <v>#DIV/0!</v>
      </c>
      <c r="UGA71" s="1159" t="e">
        <f t="shared" si="227"/>
        <v>#DIV/0!</v>
      </c>
      <c r="UGB71" s="1159" t="e">
        <f t="shared" si="227"/>
        <v>#DIV/0!</v>
      </c>
      <c r="UGC71" s="1159" t="e">
        <f t="shared" si="227"/>
        <v>#DIV/0!</v>
      </c>
      <c r="UGD71" s="1159" t="e">
        <f t="shared" si="227"/>
        <v>#DIV/0!</v>
      </c>
      <c r="UGE71" s="1159" t="e">
        <f t="shared" si="227"/>
        <v>#DIV/0!</v>
      </c>
      <c r="UGF71" s="1159" t="e">
        <f t="shared" si="227"/>
        <v>#DIV/0!</v>
      </c>
      <c r="UGG71" s="1159" t="e">
        <f t="shared" si="227"/>
        <v>#DIV/0!</v>
      </c>
      <c r="UGH71" s="1159" t="e">
        <f t="shared" si="227"/>
        <v>#DIV/0!</v>
      </c>
      <c r="UGI71" s="1159" t="e">
        <f t="shared" si="227"/>
        <v>#DIV/0!</v>
      </c>
      <c r="UGJ71" s="1159" t="e">
        <f t="shared" si="227"/>
        <v>#DIV/0!</v>
      </c>
      <c r="UGK71" s="1159" t="e">
        <f t="shared" si="227"/>
        <v>#DIV/0!</v>
      </c>
      <c r="UGL71" s="1159" t="e">
        <f t="shared" si="227"/>
        <v>#DIV/0!</v>
      </c>
      <c r="UGM71" s="1159" t="e">
        <f t="shared" si="227"/>
        <v>#DIV/0!</v>
      </c>
      <c r="UGN71" s="1159" t="e">
        <f t="shared" si="227"/>
        <v>#DIV/0!</v>
      </c>
      <c r="UGO71" s="1159" t="e">
        <f t="shared" si="227"/>
        <v>#DIV/0!</v>
      </c>
      <c r="UGP71" s="1159" t="e">
        <f t="shared" si="227"/>
        <v>#DIV/0!</v>
      </c>
      <c r="UGQ71" s="1159" t="e">
        <f t="shared" si="227"/>
        <v>#DIV/0!</v>
      </c>
      <c r="UGR71" s="1159" t="e">
        <f t="shared" si="227"/>
        <v>#DIV/0!</v>
      </c>
      <c r="UGS71" s="1159" t="e">
        <f t="shared" si="227"/>
        <v>#DIV/0!</v>
      </c>
      <c r="UGT71" s="1159" t="e">
        <f t="shared" si="227"/>
        <v>#DIV/0!</v>
      </c>
      <c r="UGU71" s="1159" t="e">
        <f t="shared" si="227"/>
        <v>#DIV/0!</v>
      </c>
      <c r="UGV71" s="1159" t="e">
        <f t="shared" si="227"/>
        <v>#DIV/0!</v>
      </c>
      <c r="UGW71" s="1159" t="e">
        <f t="shared" si="227"/>
        <v>#DIV/0!</v>
      </c>
      <c r="UGX71" s="1159" t="e">
        <f t="shared" si="227"/>
        <v>#DIV/0!</v>
      </c>
      <c r="UGY71" s="1159" t="e">
        <f t="shared" si="227"/>
        <v>#DIV/0!</v>
      </c>
      <c r="UGZ71" s="1159" t="e">
        <f t="shared" si="227"/>
        <v>#DIV/0!</v>
      </c>
      <c r="UHA71" s="1159" t="e">
        <f t="shared" si="227"/>
        <v>#DIV/0!</v>
      </c>
      <c r="UHB71" s="1159" t="e">
        <f t="shared" ref="UHB71:UJM71" si="228">((UHB6+UHB12+UHB13+UHB14+UHB15)*860+UHB16*UHB55+UHB17*UHB56+UHB7*UHB49+UHB8*UHB50+UHB9*UHB51+UHB10*UHB52+UHB11*UHB53)/(SUM(UHB6:UHB17))</f>
        <v>#DIV/0!</v>
      </c>
      <c r="UHC71" s="1159" t="e">
        <f t="shared" si="228"/>
        <v>#DIV/0!</v>
      </c>
      <c r="UHD71" s="1159" t="e">
        <f t="shared" si="228"/>
        <v>#DIV/0!</v>
      </c>
      <c r="UHE71" s="1159" t="e">
        <f t="shared" si="228"/>
        <v>#DIV/0!</v>
      </c>
      <c r="UHF71" s="1159" t="e">
        <f t="shared" si="228"/>
        <v>#DIV/0!</v>
      </c>
      <c r="UHG71" s="1159" t="e">
        <f t="shared" si="228"/>
        <v>#DIV/0!</v>
      </c>
      <c r="UHH71" s="1159" t="e">
        <f t="shared" si="228"/>
        <v>#DIV/0!</v>
      </c>
      <c r="UHI71" s="1159" t="e">
        <f t="shared" si="228"/>
        <v>#DIV/0!</v>
      </c>
      <c r="UHJ71" s="1159" t="e">
        <f t="shared" si="228"/>
        <v>#DIV/0!</v>
      </c>
      <c r="UHK71" s="1159" t="e">
        <f t="shared" si="228"/>
        <v>#DIV/0!</v>
      </c>
      <c r="UHL71" s="1159" t="e">
        <f t="shared" si="228"/>
        <v>#DIV/0!</v>
      </c>
      <c r="UHM71" s="1159" t="e">
        <f t="shared" si="228"/>
        <v>#DIV/0!</v>
      </c>
      <c r="UHN71" s="1159" t="e">
        <f t="shared" si="228"/>
        <v>#DIV/0!</v>
      </c>
      <c r="UHO71" s="1159" t="e">
        <f t="shared" si="228"/>
        <v>#DIV/0!</v>
      </c>
      <c r="UHP71" s="1159" t="e">
        <f t="shared" si="228"/>
        <v>#DIV/0!</v>
      </c>
      <c r="UHQ71" s="1159" t="e">
        <f t="shared" si="228"/>
        <v>#DIV/0!</v>
      </c>
      <c r="UHR71" s="1159" t="e">
        <f t="shared" si="228"/>
        <v>#DIV/0!</v>
      </c>
      <c r="UHS71" s="1159" t="e">
        <f t="shared" si="228"/>
        <v>#DIV/0!</v>
      </c>
      <c r="UHT71" s="1159" t="e">
        <f t="shared" si="228"/>
        <v>#DIV/0!</v>
      </c>
      <c r="UHU71" s="1159" t="e">
        <f t="shared" si="228"/>
        <v>#DIV/0!</v>
      </c>
      <c r="UHV71" s="1159" t="e">
        <f t="shared" si="228"/>
        <v>#DIV/0!</v>
      </c>
      <c r="UHW71" s="1159" t="e">
        <f t="shared" si="228"/>
        <v>#DIV/0!</v>
      </c>
      <c r="UHX71" s="1159" t="e">
        <f t="shared" si="228"/>
        <v>#DIV/0!</v>
      </c>
      <c r="UHY71" s="1159" t="e">
        <f t="shared" si="228"/>
        <v>#DIV/0!</v>
      </c>
      <c r="UHZ71" s="1159" t="e">
        <f t="shared" si="228"/>
        <v>#DIV/0!</v>
      </c>
      <c r="UIA71" s="1159" t="e">
        <f t="shared" si="228"/>
        <v>#DIV/0!</v>
      </c>
      <c r="UIB71" s="1159" t="e">
        <f t="shared" si="228"/>
        <v>#DIV/0!</v>
      </c>
      <c r="UIC71" s="1159" t="e">
        <f t="shared" si="228"/>
        <v>#DIV/0!</v>
      </c>
      <c r="UID71" s="1159" t="e">
        <f t="shared" si="228"/>
        <v>#DIV/0!</v>
      </c>
      <c r="UIE71" s="1159" t="e">
        <f t="shared" si="228"/>
        <v>#DIV/0!</v>
      </c>
      <c r="UIF71" s="1159" t="e">
        <f t="shared" si="228"/>
        <v>#DIV/0!</v>
      </c>
      <c r="UIG71" s="1159" t="e">
        <f t="shared" si="228"/>
        <v>#DIV/0!</v>
      </c>
      <c r="UIH71" s="1159" t="e">
        <f t="shared" si="228"/>
        <v>#DIV/0!</v>
      </c>
      <c r="UII71" s="1159" t="e">
        <f t="shared" si="228"/>
        <v>#DIV/0!</v>
      </c>
      <c r="UIJ71" s="1159" t="e">
        <f t="shared" si="228"/>
        <v>#DIV/0!</v>
      </c>
      <c r="UIK71" s="1159" t="e">
        <f t="shared" si="228"/>
        <v>#DIV/0!</v>
      </c>
      <c r="UIL71" s="1159" t="e">
        <f t="shared" si="228"/>
        <v>#DIV/0!</v>
      </c>
      <c r="UIM71" s="1159" t="e">
        <f t="shared" si="228"/>
        <v>#DIV/0!</v>
      </c>
      <c r="UIN71" s="1159" t="e">
        <f t="shared" si="228"/>
        <v>#DIV/0!</v>
      </c>
      <c r="UIO71" s="1159" t="e">
        <f t="shared" si="228"/>
        <v>#DIV/0!</v>
      </c>
      <c r="UIP71" s="1159" t="e">
        <f t="shared" si="228"/>
        <v>#DIV/0!</v>
      </c>
      <c r="UIQ71" s="1159" t="e">
        <f t="shared" si="228"/>
        <v>#DIV/0!</v>
      </c>
      <c r="UIR71" s="1159" t="e">
        <f t="shared" si="228"/>
        <v>#DIV/0!</v>
      </c>
      <c r="UIS71" s="1159" t="e">
        <f t="shared" si="228"/>
        <v>#DIV/0!</v>
      </c>
      <c r="UIT71" s="1159" t="e">
        <f t="shared" si="228"/>
        <v>#DIV/0!</v>
      </c>
      <c r="UIU71" s="1159" t="e">
        <f t="shared" si="228"/>
        <v>#DIV/0!</v>
      </c>
      <c r="UIV71" s="1159" t="e">
        <f t="shared" si="228"/>
        <v>#DIV/0!</v>
      </c>
      <c r="UIW71" s="1159" t="e">
        <f t="shared" si="228"/>
        <v>#DIV/0!</v>
      </c>
      <c r="UIX71" s="1159" t="e">
        <f t="shared" si="228"/>
        <v>#DIV/0!</v>
      </c>
      <c r="UIY71" s="1159" t="e">
        <f t="shared" si="228"/>
        <v>#DIV/0!</v>
      </c>
      <c r="UIZ71" s="1159" t="e">
        <f t="shared" si="228"/>
        <v>#DIV/0!</v>
      </c>
      <c r="UJA71" s="1159" t="e">
        <f t="shared" si="228"/>
        <v>#DIV/0!</v>
      </c>
      <c r="UJB71" s="1159" t="e">
        <f t="shared" si="228"/>
        <v>#DIV/0!</v>
      </c>
      <c r="UJC71" s="1159" t="e">
        <f t="shared" si="228"/>
        <v>#DIV/0!</v>
      </c>
      <c r="UJD71" s="1159" t="e">
        <f t="shared" si="228"/>
        <v>#DIV/0!</v>
      </c>
      <c r="UJE71" s="1159" t="e">
        <f t="shared" si="228"/>
        <v>#DIV/0!</v>
      </c>
      <c r="UJF71" s="1159" t="e">
        <f t="shared" si="228"/>
        <v>#DIV/0!</v>
      </c>
      <c r="UJG71" s="1159" t="e">
        <f t="shared" si="228"/>
        <v>#DIV/0!</v>
      </c>
      <c r="UJH71" s="1159" t="e">
        <f t="shared" si="228"/>
        <v>#DIV/0!</v>
      </c>
      <c r="UJI71" s="1159" t="e">
        <f t="shared" si="228"/>
        <v>#DIV/0!</v>
      </c>
      <c r="UJJ71" s="1159" t="e">
        <f t="shared" si="228"/>
        <v>#DIV/0!</v>
      </c>
      <c r="UJK71" s="1159" t="e">
        <f t="shared" si="228"/>
        <v>#DIV/0!</v>
      </c>
      <c r="UJL71" s="1159" t="e">
        <f t="shared" si="228"/>
        <v>#DIV/0!</v>
      </c>
      <c r="UJM71" s="1159" t="e">
        <f t="shared" si="228"/>
        <v>#DIV/0!</v>
      </c>
      <c r="UJN71" s="1159" t="e">
        <f t="shared" ref="UJN71:ULY71" si="229">((UJN6+UJN12+UJN13+UJN14+UJN15)*860+UJN16*UJN55+UJN17*UJN56+UJN7*UJN49+UJN8*UJN50+UJN9*UJN51+UJN10*UJN52+UJN11*UJN53)/(SUM(UJN6:UJN17))</f>
        <v>#DIV/0!</v>
      </c>
      <c r="UJO71" s="1159" t="e">
        <f t="shared" si="229"/>
        <v>#DIV/0!</v>
      </c>
      <c r="UJP71" s="1159" t="e">
        <f t="shared" si="229"/>
        <v>#DIV/0!</v>
      </c>
      <c r="UJQ71" s="1159" t="e">
        <f t="shared" si="229"/>
        <v>#DIV/0!</v>
      </c>
      <c r="UJR71" s="1159" t="e">
        <f t="shared" si="229"/>
        <v>#DIV/0!</v>
      </c>
      <c r="UJS71" s="1159" t="e">
        <f t="shared" si="229"/>
        <v>#DIV/0!</v>
      </c>
      <c r="UJT71" s="1159" t="e">
        <f t="shared" si="229"/>
        <v>#DIV/0!</v>
      </c>
      <c r="UJU71" s="1159" t="e">
        <f t="shared" si="229"/>
        <v>#DIV/0!</v>
      </c>
      <c r="UJV71" s="1159" t="e">
        <f t="shared" si="229"/>
        <v>#DIV/0!</v>
      </c>
      <c r="UJW71" s="1159" t="e">
        <f t="shared" si="229"/>
        <v>#DIV/0!</v>
      </c>
      <c r="UJX71" s="1159" t="e">
        <f t="shared" si="229"/>
        <v>#DIV/0!</v>
      </c>
      <c r="UJY71" s="1159" t="e">
        <f t="shared" si="229"/>
        <v>#DIV/0!</v>
      </c>
      <c r="UJZ71" s="1159" t="e">
        <f t="shared" si="229"/>
        <v>#DIV/0!</v>
      </c>
      <c r="UKA71" s="1159" t="e">
        <f t="shared" si="229"/>
        <v>#DIV/0!</v>
      </c>
      <c r="UKB71" s="1159" t="e">
        <f t="shared" si="229"/>
        <v>#DIV/0!</v>
      </c>
      <c r="UKC71" s="1159" t="e">
        <f t="shared" si="229"/>
        <v>#DIV/0!</v>
      </c>
      <c r="UKD71" s="1159" t="e">
        <f t="shared" si="229"/>
        <v>#DIV/0!</v>
      </c>
      <c r="UKE71" s="1159" t="e">
        <f t="shared" si="229"/>
        <v>#DIV/0!</v>
      </c>
      <c r="UKF71" s="1159" t="e">
        <f t="shared" si="229"/>
        <v>#DIV/0!</v>
      </c>
      <c r="UKG71" s="1159" t="e">
        <f t="shared" si="229"/>
        <v>#DIV/0!</v>
      </c>
      <c r="UKH71" s="1159" t="e">
        <f t="shared" si="229"/>
        <v>#DIV/0!</v>
      </c>
      <c r="UKI71" s="1159" t="e">
        <f t="shared" si="229"/>
        <v>#DIV/0!</v>
      </c>
      <c r="UKJ71" s="1159" t="e">
        <f t="shared" si="229"/>
        <v>#DIV/0!</v>
      </c>
      <c r="UKK71" s="1159" t="e">
        <f t="shared" si="229"/>
        <v>#DIV/0!</v>
      </c>
      <c r="UKL71" s="1159" t="e">
        <f t="shared" si="229"/>
        <v>#DIV/0!</v>
      </c>
      <c r="UKM71" s="1159" t="e">
        <f t="shared" si="229"/>
        <v>#DIV/0!</v>
      </c>
      <c r="UKN71" s="1159" t="e">
        <f t="shared" si="229"/>
        <v>#DIV/0!</v>
      </c>
      <c r="UKO71" s="1159" t="e">
        <f t="shared" si="229"/>
        <v>#DIV/0!</v>
      </c>
      <c r="UKP71" s="1159" t="e">
        <f t="shared" si="229"/>
        <v>#DIV/0!</v>
      </c>
      <c r="UKQ71" s="1159" t="e">
        <f t="shared" si="229"/>
        <v>#DIV/0!</v>
      </c>
      <c r="UKR71" s="1159" t="e">
        <f t="shared" si="229"/>
        <v>#DIV/0!</v>
      </c>
      <c r="UKS71" s="1159" t="e">
        <f t="shared" si="229"/>
        <v>#DIV/0!</v>
      </c>
      <c r="UKT71" s="1159" t="e">
        <f t="shared" si="229"/>
        <v>#DIV/0!</v>
      </c>
      <c r="UKU71" s="1159" t="e">
        <f t="shared" si="229"/>
        <v>#DIV/0!</v>
      </c>
      <c r="UKV71" s="1159" t="e">
        <f t="shared" si="229"/>
        <v>#DIV/0!</v>
      </c>
      <c r="UKW71" s="1159" t="e">
        <f t="shared" si="229"/>
        <v>#DIV/0!</v>
      </c>
      <c r="UKX71" s="1159" t="e">
        <f t="shared" si="229"/>
        <v>#DIV/0!</v>
      </c>
      <c r="UKY71" s="1159" t="e">
        <f t="shared" si="229"/>
        <v>#DIV/0!</v>
      </c>
      <c r="UKZ71" s="1159" t="e">
        <f t="shared" si="229"/>
        <v>#DIV/0!</v>
      </c>
      <c r="ULA71" s="1159" t="e">
        <f t="shared" si="229"/>
        <v>#DIV/0!</v>
      </c>
      <c r="ULB71" s="1159" t="e">
        <f t="shared" si="229"/>
        <v>#DIV/0!</v>
      </c>
      <c r="ULC71" s="1159" t="e">
        <f t="shared" si="229"/>
        <v>#DIV/0!</v>
      </c>
      <c r="ULD71" s="1159" t="e">
        <f t="shared" si="229"/>
        <v>#DIV/0!</v>
      </c>
      <c r="ULE71" s="1159" t="e">
        <f t="shared" si="229"/>
        <v>#DIV/0!</v>
      </c>
      <c r="ULF71" s="1159" t="e">
        <f t="shared" si="229"/>
        <v>#DIV/0!</v>
      </c>
      <c r="ULG71" s="1159" t="e">
        <f t="shared" si="229"/>
        <v>#DIV/0!</v>
      </c>
      <c r="ULH71" s="1159" t="e">
        <f t="shared" si="229"/>
        <v>#DIV/0!</v>
      </c>
      <c r="ULI71" s="1159" t="e">
        <f t="shared" si="229"/>
        <v>#DIV/0!</v>
      </c>
      <c r="ULJ71" s="1159" t="e">
        <f t="shared" si="229"/>
        <v>#DIV/0!</v>
      </c>
      <c r="ULK71" s="1159" t="e">
        <f t="shared" si="229"/>
        <v>#DIV/0!</v>
      </c>
      <c r="ULL71" s="1159" t="e">
        <f t="shared" si="229"/>
        <v>#DIV/0!</v>
      </c>
      <c r="ULM71" s="1159" t="e">
        <f t="shared" si="229"/>
        <v>#DIV/0!</v>
      </c>
      <c r="ULN71" s="1159" t="e">
        <f t="shared" si="229"/>
        <v>#DIV/0!</v>
      </c>
      <c r="ULO71" s="1159" t="e">
        <f t="shared" si="229"/>
        <v>#DIV/0!</v>
      </c>
      <c r="ULP71" s="1159" t="e">
        <f t="shared" si="229"/>
        <v>#DIV/0!</v>
      </c>
      <c r="ULQ71" s="1159" t="e">
        <f t="shared" si="229"/>
        <v>#DIV/0!</v>
      </c>
      <c r="ULR71" s="1159" t="e">
        <f t="shared" si="229"/>
        <v>#DIV/0!</v>
      </c>
      <c r="ULS71" s="1159" t="e">
        <f t="shared" si="229"/>
        <v>#DIV/0!</v>
      </c>
      <c r="ULT71" s="1159" t="e">
        <f t="shared" si="229"/>
        <v>#DIV/0!</v>
      </c>
      <c r="ULU71" s="1159" t="e">
        <f t="shared" si="229"/>
        <v>#DIV/0!</v>
      </c>
      <c r="ULV71" s="1159" t="e">
        <f t="shared" si="229"/>
        <v>#DIV/0!</v>
      </c>
      <c r="ULW71" s="1159" t="e">
        <f t="shared" si="229"/>
        <v>#DIV/0!</v>
      </c>
      <c r="ULX71" s="1159" t="e">
        <f t="shared" si="229"/>
        <v>#DIV/0!</v>
      </c>
      <c r="ULY71" s="1159" t="e">
        <f t="shared" si="229"/>
        <v>#DIV/0!</v>
      </c>
      <c r="ULZ71" s="1159" t="e">
        <f t="shared" ref="ULZ71:UOK71" si="230">((ULZ6+ULZ12+ULZ13+ULZ14+ULZ15)*860+ULZ16*ULZ55+ULZ17*ULZ56+ULZ7*ULZ49+ULZ8*ULZ50+ULZ9*ULZ51+ULZ10*ULZ52+ULZ11*ULZ53)/(SUM(ULZ6:ULZ17))</f>
        <v>#DIV/0!</v>
      </c>
      <c r="UMA71" s="1159" t="e">
        <f t="shared" si="230"/>
        <v>#DIV/0!</v>
      </c>
      <c r="UMB71" s="1159" t="e">
        <f t="shared" si="230"/>
        <v>#DIV/0!</v>
      </c>
      <c r="UMC71" s="1159" t="e">
        <f t="shared" si="230"/>
        <v>#DIV/0!</v>
      </c>
      <c r="UMD71" s="1159" t="e">
        <f t="shared" si="230"/>
        <v>#DIV/0!</v>
      </c>
      <c r="UME71" s="1159" t="e">
        <f t="shared" si="230"/>
        <v>#DIV/0!</v>
      </c>
      <c r="UMF71" s="1159" t="e">
        <f t="shared" si="230"/>
        <v>#DIV/0!</v>
      </c>
      <c r="UMG71" s="1159" t="e">
        <f t="shared" si="230"/>
        <v>#DIV/0!</v>
      </c>
      <c r="UMH71" s="1159" t="e">
        <f t="shared" si="230"/>
        <v>#DIV/0!</v>
      </c>
      <c r="UMI71" s="1159" t="e">
        <f t="shared" si="230"/>
        <v>#DIV/0!</v>
      </c>
      <c r="UMJ71" s="1159" t="e">
        <f t="shared" si="230"/>
        <v>#DIV/0!</v>
      </c>
      <c r="UMK71" s="1159" t="e">
        <f t="shared" si="230"/>
        <v>#DIV/0!</v>
      </c>
      <c r="UML71" s="1159" t="e">
        <f t="shared" si="230"/>
        <v>#DIV/0!</v>
      </c>
      <c r="UMM71" s="1159" t="e">
        <f t="shared" si="230"/>
        <v>#DIV/0!</v>
      </c>
      <c r="UMN71" s="1159" t="e">
        <f t="shared" si="230"/>
        <v>#DIV/0!</v>
      </c>
      <c r="UMO71" s="1159" t="e">
        <f t="shared" si="230"/>
        <v>#DIV/0!</v>
      </c>
      <c r="UMP71" s="1159" t="e">
        <f t="shared" si="230"/>
        <v>#DIV/0!</v>
      </c>
      <c r="UMQ71" s="1159" t="e">
        <f t="shared" si="230"/>
        <v>#DIV/0!</v>
      </c>
      <c r="UMR71" s="1159" t="e">
        <f t="shared" si="230"/>
        <v>#DIV/0!</v>
      </c>
      <c r="UMS71" s="1159" t="e">
        <f t="shared" si="230"/>
        <v>#DIV/0!</v>
      </c>
      <c r="UMT71" s="1159" t="e">
        <f t="shared" si="230"/>
        <v>#DIV/0!</v>
      </c>
      <c r="UMU71" s="1159" t="e">
        <f t="shared" si="230"/>
        <v>#DIV/0!</v>
      </c>
      <c r="UMV71" s="1159" t="e">
        <f t="shared" si="230"/>
        <v>#DIV/0!</v>
      </c>
      <c r="UMW71" s="1159" t="e">
        <f t="shared" si="230"/>
        <v>#DIV/0!</v>
      </c>
      <c r="UMX71" s="1159" t="e">
        <f t="shared" si="230"/>
        <v>#DIV/0!</v>
      </c>
      <c r="UMY71" s="1159" t="e">
        <f t="shared" si="230"/>
        <v>#DIV/0!</v>
      </c>
      <c r="UMZ71" s="1159" t="e">
        <f t="shared" si="230"/>
        <v>#DIV/0!</v>
      </c>
      <c r="UNA71" s="1159" t="e">
        <f t="shared" si="230"/>
        <v>#DIV/0!</v>
      </c>
      <c r="UNB71" s="1159" t="e">
        <f t="shared" si="230"/>
        <v>#DIV/0!</v>
      </c>
      <c r="UNC71" s="1159" t="e">
        <f t="shared" si="230"/>
        <v>#DIV/0!</v>
      </c>
      <c r="UND71" s="1159" t="e">
        <f t="shared" si="230"/>
        <v>#DIV/0!</v>
      </c>
      <c r="UNE71" s="1159" t="e">
        <f t="shared" si="230"/>
        <v>#DIV/0!</v>
      </c>
      <c r="UNF71" s="1159" t="e">
        <f t="shared" si="230"/>
        <v>#DIV/0!</v>
      </c>
      <c r="UNG71" s="1159" t="e">
        <f t="shared" si="230"/>
        <v>#DIV/0!</v>
      </c>
      <c r="UNH71" s="1159" t="e">
        <f t="shared" si="230"/>
        <v>#DIV/0!</v>
      </c>
      <c r="UNI71" s="1159" t="e">
        <f t="shared" si="230"/>
        <v>#DIV/0!</v>
      </c>
      <c r="UNJ71" s="1159" t="e">
        <f t="shared" si="230"/>
        <v>#DIV/0!</v>
      </c>
      <c r="UNK71" s="1159" t="e">
        <f t="shared" si="230"/>
        <v>#DIV/0!</v>
      </c>
      <c r="UNL71" s="1159" t="e">
        <f t="shared" si="230"/>
        <v>#DIV/0!</v>
      </c>
      <c r="UNM71" s="1159" t="e">
        <f t="shared" si="230"/>
        <v>#DIV/0!</v>
      </c>
      <c r="UNN71" s="1159" t="e">
        <f t="shared" si="230"/>
        <v>#DIV/0!</v>
      </c>
      <c r="UNO71" s="1159" t="e">
        <f t="shared" si="230"/>
        <v>#DIV/0!</v>
      </c>
      <c r="UNP71" s="1159" t="e">
        <f t="shared" si="230"/>
        <v>#DIV/0!</v>
      </c>
      <c r="UNQ71" s="1159" t="e">
        <f t="shared" si="230"/>
        <v>#DIV/0!</v>
      </c>
      <c r="UNR71" s="1159" t="e">
        <f t="shared" si="230"/>
        <v>#DIV/0!</v>
      </c>
      <c r="UNS71" s="1159" t="e">
        <f t="shared" si="230"/>
        <v>#DIV/0!</v>
      </c>
      <c r="UNT71" s="1159" t="e">
        <f t="shared" si="230"/>
        <v>#DIV/0!</v>
      </c>
      <c r="UNU71" s="1159" t="e">
        <f t="shared" si="230"/>
        <v>#DIV/0!</v>
      </c>
      <c r="UNV71" s="1159" t="e">
        <f t="shared" si="230"/>
        <v>#DIV/0!</v>
      </c>
      <c r="UNW71" s="1159" t="e">
        <f t="shared" si="230"/>
        <v>#DIV/0!</v>
      </c>
      <c r="UNX71" s="1159" t="e">
        <f t="shared" si="230"/>
        <v>#DIV/0!</v>
      </c>
      <c r="UNY71" s="1159" t="e">
        <f t="shared" si="230"/>
        <v>#DIV/0!</v>
      </c>
      <c r="UNZ71" s="1159" t="e">
        <f t="shared" si="230"/>
        <v>#DIV/0!</v>
      </c>
      <c r="UOA71" s="1159" t="e">
        <f t="shared" si="230"/>
        <v>#DIV/0!</v>
      </c>
      <c r="UOB71" s="1159" t="e">
        <f t="shared" si="230"/>
        <v>#DIV/0!</v>
      </c>
      <c r="UOC71" s="1159" t="e">
        <f t="shared" si="230"/>
        <v>#DIV/0!</v>
      </c>
      <c r="UOD71" s="1159" t="e">
        <f t="shared" si="230"/>
        <v>#DIV/0!</v>
      </c>
      <c r="UOE71" s="1159" t="e">
        <f t="shared" si="230"/>
        <v>#DIV/0!</v>
      </c>
      <c r="UOF71" s="1159" t="e">
        <f t="shared" si="230"/>
        <v>#DIV/0!</v>
      </c>
      <c r="UOG71" s="1159" t="e">
        <f t="shared" si="230"/>
        <v>#DIV/0!</v>
      </c>
      <c r="UOH71" s="1159" t="e">
        <f t="shared" si="230"/>
        <v>#DIV/0!</v>
      </c>
      <c r="UOI71" s="1159" t="e">
        <f t="shared" si="230"/>
        <v>#DIV/0!</v>
      </c>
      <c r="UOJ71" s="1159" t="e">
        <f t="shared" si="230"/>
        <v>#DIV/0!</v>
      </c>
      <c r="UOK71" s="1159" t="e">
        <f t="shared" si="230"/>
        <v>#DIV/0!</v>
      </c>
      <c r="UOL71" s="1159" t="e">
        <f t="shared" ref="UOL71:UQW71" si="231">((UOL6+UOL12+UOL13+UOL14+UOL15)*860+UOL16*UOL55+UOL17*UOL56+UOL7*UOL49+UOL8*UOL50+UOL9*UOL51+UOL10*UOL52+UOL11*UOL53)/(SUM(UOL6:UOL17))</f>
        <v>#DIV/0!</v>
      </c>
      <c r="UOM71" s="1159" t="e">
        <f t="shared" si="231"/>
        <v>#DIV/0!</v>
      </c>
      <c r="UON71" s="1159" t="e">
        <f t="shared" si="231"/>
        <v>#DIV/0!</v>
      </c>
      <c r="UOO71" s="1159" t="e">
        <f t="shared" si="231"/>
        <v>#DIV/0!</v>
      </c>
      <c r="UOP71" s="1159" t="e">
        <f t="shared" si="231"/>
        <v>#DIV/0!</v>
      </c>
      <c r="UOQ71" s="1159" t="e">
        <f t="shared" si="231"/>
        <v>#DIV/0!</v>
      </c>
      <c r="UOR71" s="1159" t="e">
        <f t="shared" si="231"/>
        <v>#DIV/0!</v>
      </c>
      <c r="UOS71" s="1159" t="e">
        <f t="shared" si="231"/>
        <v>#DIV/0!</v>
      </c>
      <c r="UOT71" s="1159" t="e">
        <f t="shared" si="231"/>
        <v>#DIV/0!</v>
      </c>
      <c r="UOU71" s="1159" t="e">
        <f t="shared" si="231"/>
        <v>#DIV/0!</v>
      </c>
      <c r="UOV71" s="1159" t="e">
        <f t="shared" si="231"/>
        <v>#DIV/0!</v>
      </c>
      <c r="UOW71" s="1159" t="e">
        <f t="shared" si="231"/>
        <v>#DIV/0!</v>
      </c>
      <c r="UOX71" s="1159" t="e">
        <f t="shared" si="231"/>
        <v>#DIV/0!</v>
      </c>
      <c r="UOY71" s="1159" t="e">
        <f t="shared" si="231"/>
        <v>#DIV/0!</v>
      </c>
      <c r="UOZ71" s="1159" t="e">
        <f t="shared" si="231"/>
        <v>#DIV/0!</v>
      </c>
      <c r="UPA71" s="1159" t="e">
        <f t="shared" si="231"/>
        <v>#DIV/0!</v>
      </c>
      <c r="UPB71" s="1159" t="e">
        <f t="shared" si="231"/>
        <v>#DIV/0!</v>
      </c>
      <c r="UPC71" s="1159" t="e">
        <f t="shared" si="231"/>
        <v>#DIV/0!</v>
      </c>
      <c r="UPD71" s="1159" t="e">
        <f t="shared" si="231"/>
        <v>#DIV/0!</v>
      </c>
      <c r="UPE71" s="1159" t="e">
        <f t="shared" si="231"/>
        <v>#DIV/0!</v>
      </c>
      <c r="UPF71" s="1159" t="e">
        <f t="shared" si="231"/>
        <v>#DIV/0!</v>
      </c>
      <c r="UPG71" s="1159" t="e">
        <f t="shared" si="231"/>
        <v>#DIV/0!</v>
      </c>
      <c r="UPH71" s="1159" t="e">
        <f t="shared" si="231"/>
        <v>#DIV/0!</v>
      </c>
      <c r="UPI71" s="1159" t="e">
        <f t="shared" si="231"/>
        <v>#DIV/0!</v>
      </c>
      <c r="UPJ71" s="1159" t="e">
        <f t="shared" si="231"/>
        <v>#DIV/0!</v>
      </c>
      <c r="UPK71" s="1159" t="e">
        <f t="shared" si="231"/>
        <v>#DIV/0!</v>
      </c>
      <c r="UPL71" s="1159" t="e">
        <f t="shared" si="231"/>
        <v>#DIV/0!</v>
      </c>
      <c r="UPM71" s="1159" t="e">
        <f t="shared" si="231"/>
        <v>#DIV/0!</v>
      </c>
      <c r="UPN71" s="1159" t="e">
        <f t="shared" si="231"/>
        <v>#DIV/0!</v>
      </c>
      <c r="UPO71" s="1159" t="e">
        <f t="shared" si="231"/>
        <v>#DIV/0!</v>
      </c>
      <c r="UPP71" s="1159" t="e">
        <f t="shared" si="231"/>
        <v>#DIV/0!</v>
      </c>
      <c r="UPQ71" s="1159" t="e">
        <f t="shared" si="231"/>
        <v>#DIV/0!</v>
      </c>
      <c r="UPR71" s="1159" t="e">
        <f t="shared" si="231"/>
        <v>#DIV/0!</v>
      </c>
      <c r="UPS71" s="1159" t="e">
        <f t="shared" si="231"/>
        <v>#DIV/0!</v>
      </c>
      <c r="UPT71" s="1159" t="e">
        <f t="shared" si="231"/>
        <v>#DIV/0!</v>
      </c>
      <c r="UPU71" s="1159" t="e">
        <f t="shared" si="231"/>
        <v>#DIV/0!</v>
      </c>
      <c r="UPV71" s="1159" t="e">
        <f t="shared" si="231"/>
        <v>#DIV/0!</v>
      </c>
      <c r="UPW71" s="1159" t="e">
        <f t="shared" si="231"/>
        <v>#DIV/0!</v>
      </c>
      <c r="UPX71" s="1159" t="e">
        <f t="shared" si="231"/>
        <v>#DIV/0!</v>
      </c>
      <c r="UPY71" s="1159" t="e">
        <f t="shared" si="231"/>
        <v>#DIV/0!</v>
      </c>
      <c r="UPZ71" s="1159" t="e">
        <f t="shared" si="231"/>
        <v>#DIV/0!</v>
      </c>
      <c r="UQA71" s="1159" t="e">
        <f t="shared" si="231"/>
        <v>#DIV/0!</v>
      </c>
      <c r="UQB71" s="1159" t="e">
        <f t="shared" si="231"/>
        <v>#DIV/0!</v>
      </c>
      <c r="UQC71" s="1159" t="e">
        <f t="shared" si="231"/>
        <v>#DIV/0!</v>
      </c>
      <c r="UQD71" s="1159" t="e">
        <f t="shared" si="231"/>
        <v>#DIV/0!</v>
      </c>
      <c r="UQE71" s="1159" t="e">
        <f t="shared" si="231"/>
        <v>#DIV/0!</v>
      </c>
      <c r="UQF71" s="1159" t="e">
        <f t="shared" si="231"/>
        <v>#DIV/0!</v>
      </c>
      <c r="UQG71" s="1159" t="e">
        <f t="shared" si="231"/>
        <v>#DIV/0!</v>
      </c>
      <c r="UQH71" s="1159" t="e">
        <f t="shared" si="231"/>
        <v>#DIV/0!</v>
      </c>
      <c r="UQI71" s="1159" t="e">
        <f t="shared" si="231"/>
        <v>#DIV/0!</v>
      </c>
      <c r="UQJ71" s="1159" t="e">
        <f t="shared" si="231"/>
        <v>#DIV/0!</v>
      </c>
      <c r="UQK71" s="1159" t="e">
        <f t="shared" si="231"/>
        <v>#DIV/0!</v>
      </c>
      <c r="UQL71" s="1159" t="e">
        <f t="shared" si="231"/>
        <v>#DIV/0!</v>
      </c>
      <c r="UQM71" s="1159" t="e">
        <f t="shared" si="231"/>
        <v>#DIV/0!</v>
      </c>
      <c r="UQN71" s="1159" t="e">
        <f t="shared" si="231"/>
        <v>#DIV/0!</v>
      </c>
      <c r="UQO71" s="1159" t="e">
        <f t="shared" si="231"/>
        <v>#DIV/0!</v>
      </c>
      <c r="UQP71" s="1159" t="e">
        <f t="shared" si="231"/>
        <v>#DIV/0!</v>
      </c>
      <c r="UQQ71" s="1159" t="e">
        <f t="shared" si="231"/>
        <v>#DIV/0!</v>
      </c>
      <c r="UQR71" s="1159" t="e">
        <f t="shared" si="231"/>
        <v>#DIV/0!</v>
      </c>
      <c r="UQS71" s="1159" t="e">
        <f t="shared" si="231"/>
        <v>#DIV/0!</v>
      </c>
      <c r="UQT71" s="1159" t="e">
        <f t="shared" si="231"/>
        <v>#DIV/0!</v>
      </c>
      <c r="UQU71" s="1159" t="e">
        <f t="shared" si="231"/>
        <v>#DIV/0!</v>
      </c>
      <c r="UQV71" s="1159" t="e">
        <f t="shared" si="231"/>
        <v>#DIV/0!</v>
      </c>
      <c r="UQW71" s="1159" t="e">
        <f t="shared" si="231"/>
        <v>#DIV/0!</v>
      </c>
      <c r="UQX71" s="1159" t="e">
        <f t="shared" ref="UQX71:UTI71" si="232">((UQX6+UQX12+UQX13+UQX14+UQX15)*860+UQX16*UQX55+UQX17*UQX56+UQX7*UQX49+UQX8*UQX50+UQX9*UQX51+UQX10*UQX52+UQX11*UQX53)/(SUM(UQX6:UQX17))</f>
        <v>#DIV/0!</v>
      </c>
      <c r="UQY71" s="1159" t="e">
        <f t="shared" si="232"/>
        <v>#DIV/0!</v>
      </c>
      <c r="UQZ71" s="1159" t="e">
        <f t="shared" si="232"/>
        <v>#DIV/0!</v>
      </c>
      <c r="URA71" s="1159" t="e">
        <f t="shared" si="232"/>
        <v>#DIV/0!</v>
      </c>
      <c r="URB71" s="1159" t="e">
        <f t="shared" si="232"/>
        <v>#DIV/0!</v>
      </c>
      <c r="URC71" s="1159" t="e">
        <f t="shared" si="232"/>
        <v>#DIV/0!</v>
      </c>
      <c r="URD71" s="1159" t="e">
        <f t="shared" si="232"/>
        <v>#DIV/0!</v>
      </c>
      <c r="URE71" s="1159" t="e">
        <f t="shared" si="232"/>
        <v>#DIV/0!</v>
      </c>
      <c r="URF71" s="1159" t="e">
        <f t="shared" si="232"/>
        <v>#DIV/0!</v>
      </c>
      <c r="URG71" s="1159" t="e">
        <f t="shared" si="232"/>
        <v>#DIV/0!</v>
      </c>
      <c r="URH71" s="1159" t="e">
        <f t="shared" si="232"/>
        <v>#DIV/0!</v>
      </c>
      <c r="URI71" s="1159" t="e">
        <f t="shared" si="232"/>
        <v>#DIV/0!</v>
      </c>
      <c r="URJ71" s="1159" t="e">
        <f t="shared" si="232"/>
        <v>#DIV/0!</v>
      </c>
      <c r="URK71" s="1159" t="e">
        <f t="shared" si="232"/>
        <v>#DIV/0!</v>
      </c>
      <c r="URL71" s="1159" t="e">
        <f t="shared" si="232"/>
        <v>#DIV/0!</v>
      </c>
      <c r="URM71" s="1159" t="e">
        <f t="shared" si="232"/>
        <v>#DIV/0!</v>
      </c>
      <c r="URN71" s="1159" t="e">
        <f t="shared" si="232"/>
        <v>#DIV/0!</v>
      </c>
      <c r="URO71" s="1159" t="e">
        <f t="shared" si="232"/>
        <v>#DIV/0!</v>
      </c>
      <c r="URP71" s="1159" t="e">
        <f t="shared" si="232"/>
        <v>#DIV/0!</v>
      </c>
      <c r="URQ71" s="1159" t="e">
        <f t="shared" si="232"/>
        <v>#DIV/0!</v>
      </c>
      <c r="URR71" s="1159" t="e">
        <f t="shared" si="232"/>
        <v>#DIV/0!</v>
      </c>
      <c r="URS71" s="1159" t="e">
        <f t="shared" si="232"/>
        <v>#DIV/0!</v>
      </c>
      <c r="URT71" s="1159" t="e">
        <f t="shared" si="232"/>
        <v>#DIV/0!</v>
      </c>
      <c r="URU71" s="1159" t="e">
        <f t="shared" si="232"/>
        <v>#DIV/0!</v>
      </c>
      <c r="URV71" s="1159" t="e">
        <f t="shared" si="232"/>
        <v>#DIV/0!</v>
      </c>
      <c r="URW71" s="1159" t="e">
        <f t="shared" si="232"/>
        <v>#DIV/0!</v>
      </c>
      <c r="URX71" s="1159" t="e">
        <f t="shared" si="232"/>
        <v>#DIV/0!</v>
      </c>
      <c r="URY71" s="1159" t="e">
        <f t="shared" si="232"/>
        <v>#DIV/0!</v>
      </c>
      <c r="URZ71" s="1159" t="e">
        <f t="shared" si="232"/>
        <v>#DIV/0!</v>
      </c>
      <c r="USA71" s="1159" t="e">
        <f t="shared" si="232"/>
        <v>#DIV/0!</v>
      </c>
      <c r="USB71" s="1159" t="e">
        <f t="shared" si="232"/>
        <v>#DIV/0!</v>
      </c>
      <c r="USC71" s="1159" t="e">
        <f t="shared" si="232"/>
        <v>#DIV/0!</v>
      </c>
      <c r="USD71" s="1159" t="e">
        <f t="shared" si="232"/>
        <v>#DIV/0!</v>
      </c>
      <c r="USE71" s="1159" t="e">
        <f t="shared" si="232"/>
        <v>#DIV/0!</v>
      </c>
      <c r="USF71" s="1159" t="e">
        <f t="shared" si="232"/>
        <v>#DIV/0!</v>
      </c>
      <c r="USG71" s="1159" t="e">
        <f t="shared" si="232"/>
        <v>#DIV/0!</v>
      </c>
      <c r="USH71" s="1159" t="e">
        <f t="shared" si="232"/>
        <v>#DIV/0!</v>
      </c>
      <c r="USI71" s="1159" t="e">
        <f t="shared" si="232"/>
        <v>#DIV/0!</v>
      </c>
      <c r="USJ71" s="1159" t="e">
        <f t="shared" si="232"/>
        <v>#DIV/0!</v>
      </c>
      <c r="USK71" s="1159" t="e">
        <f t="shared" si="232"/>
        <v>#DIV/0!</v>
      </c>
      <c r="USL71" s="1159" t="e">
        <f t="shared" si="232"/>
        <v>#DIV/0!</v>
      </c>
      <c r="USM71" s="1159" t="e">
        <f t="shared" si="232"/>
        <v>#DIV/0!</v>
      </c>
      <c r="USN71" s="1159" t="e">
        <f t="shared" si="232"/>
        <v>#DIV/0!</v>
      </c>
      <c r="USO71" s="1159" t="e">
        <f t="shared" si="232"/>
        <v>#DIV/0!</v>
      </c>
      <c r="USP71" s="1159" t="e">
        <f t="shared" si="232"/>
        <v>#DIV/0!</v>
      </c>
      <c r="USQ71" s="1159" t="e">
        <f t="shared" si="232"/>
        <v>#DIV/0!</v>
      </c>
      <c r="USR71" s="1159" t="e">
        <f t="shared" si="232"/>
        <v>#DIV/0!</v>
      </c>
      <c r="USS71" s="1159" t="e">
        <f t="shared" si="232"/>
        <v>#DIV/0!</v>
      </c>
      <c r="UST71" s="1159" t="e">
        <f t="shared" si="232"/>
        <v>#DIV/0!</v>
      </c>
      <c r="USU71" s="1159" t="e">
        <f t="shared" si="232"/>
        <v>#DIV/0!</v>
      </c>
      <c r="USV71" s="1159" t="e">
        <f t="shared" si="232"/>
        <v>#DIV/0!</v>
      </c>
      <c r="USW71" s="1159" t="e">
        <f t="shared" si="232"/>
        <v>#DIV/0!</v>
      </c>
      <c r="USX71" s="1159" t="e">
        <f t="shared" si="232"/>
        <v>#DIV/0!</v>
      </c>
      <c r="USY71" s="1159" t="e">
        <f t="shared" si="232"/>
        <v>#DIV/0!</v>
      </c>
      <c r="USZ71" s="1159" t="e">
        <f t="shared" si="232"/>
        <v>#DIV/0!</v>
      </c>
      <c r="UTA71" s="1159" t="e">
        <f t="shared" si="232"/>
        <v>#DIV/0!</v>
      </c>
      <c r="UTB71" s="1159" t="e">
        <f t="shared" si="232"/>
        <v>#DIV/0!</v>
      </c>
      <c r="UTC71" s="1159" t="e">
        <f t="shared" si="232"/>
        <v>#DIV/0!</v>
      </c>
      <c r="UTD71" s="1159" t="e">
        <f t="shared" si="232"/>
        <v>#DIV/0!</v>
      </c>
      <c r="UTE71" s="1159" t="e">
        <f t="shared" si="232"/>
        <v>#DIV/0!</v>
      </c>
      <c r="UTF71" s="1159" t="e">
        <f t="shared" si="232"/>
        <v>#DIV/0!</v>
      </c>
      <c r="UTG71" s="1159" t="e">
        <f t="shared" si="232"/>
        <v>#DIV/0!</v>
      </c>
      <c r="UTH71" s="1159" t="e">
        <f t="shared" si="232"/>
        <v>#DIV/0!</v>
      </c>
      <c r="UTI71" s="1159" t="e">
        <f t="shared" si="232"/>
        <v>#DIV/0!</v>
      </c>
      <c r="UTJ71" s="1159" t="e">
        <f t="shared" ref="UTJ71:UVU71" si="233">((UTJ6+UTJ12+UTJ13+UTJ14+UTJ15)*860+UTJ16*UTJ55+UTJ17*UTJ56+UTJ7*UTJ49+UTJ8*UTJ50+UTJ9*UTJ51+UTJ10*UTJ52+UTJ11*UTJ53)/(SUM(UTJ6:UTJ17))</f>
        <v>#DIV/0!</v>
      </c>
      <c r="UTK71" s="1159" t="e">
        <f t="shared" si="233"/>
        <v>#DIV/0!</v>
      </c>
      <c r="UTL71" s="1159" t="e">
        <f t="shared" si="233"/>
        <v>#DIV/0!</v>
      </c>
      <c r="UTM71" s="1159" t="e">
        <f t="shared" si="233"/>
        <v>#DIV/0!</v>
      </c>
      <c r="UTN71" s="1159" t="e">
        <f t="shared" si="233"/>
        <v>#DIV/0!</v>
      </c>
      <c r="UTO71" s="1159" t="e">
        <f t="shared" si="233"/>
        <v>#DIV/0!</v>
      </c>
      <c r="UTP71" s="1159" t="e">
        <f t="shared" si="233"/>
        <v>#DIV/0!</v>
      </c>
      <c r="UTQ71" s="1159" t="e">
        <f t="shared" si="233"/>
        <v>#DIV/0!</v>
      </c>
      <c r="UTR71" s="1159" t="e">
        <f t="shared" si="233"/>
        <v>#DIV/0!</v>
      </c>
      <c r="UTS71" s="1159" t="e">
        <f t="shared" si="233"/>
        <v>#DIV/0!</v>
      </c>
      <c r="UTT71" s="1159" t="e">
        <f t="shared" si="233"/>
        <v>#DIV/0!</v>
      </c>
      <c r="UTU71" s="1159" t="e">
        <f t="shared" si="233"/>
        <v>#DIV/0!</v>
      </c>
      <c r="UTV71" s="1159" t="e">
        <f t="shared" si="233"/>
        <v>#DIV/0!</v>
      </c>
      <c r="UTW71" s="1159" t="e">
        <f t="shared" si="233"/>
        <v>#DIV/0!</v>
      </c>
      <c r="UTX71" s="1159" t="e">
        <f t="shared" si="233"/>
        <v>#DIV/0!</v>
      </c>
      <c r="UTY71" s="1159" t="e">
        <f t="shared" si="233"/>
        <v>#DIV/0!</v>
      </c>
      <c r="UTZ71" s="1159" t="e">
        <f t="shared" si="233"/>
        <v>#DIV/0!</v>
      </c>
      <c r="UUA71" s="1159" t="e">
        <f t="shared" si="233"/>
        <v>#DIV/0!</v>
      </c>
      <c r="UUB71" s="1159" t="e">
        <f t="shared" si="233"/>
        <v>#DIV/0!</v>
      </c>
      <c r="UUC71" s="1159" t="e">
        <f t="shared" si="233"/>
        <v>#DIV/0!</v>
      </c>
      <c r="UUD71" s="1159" t="e">
        <f t="shared" si="233"/>
        <v>#DIV/0!</v>
      </c>
      <c r="UUE71" s="1159" t="e">
        <f t="shared" si="233"/>
        <v>#DIV/0!</v>
      </c>
      <c r="UUF71" s="1159" t="e">
        <f t="shared" si="233"/>
        <v>#DIV/0!</v>
      </c>
      <c r="UUG71" s="1159" t="e">
        <f t="shared" si="233"/>
        <v>#DIV/0!</v>
      </c>
      <c r="UUH71" s="1159" t="e">
        <f t="shared" si="233"/>
        <v>#DIV/0!</v>
      </c>
      <c r="UUI71" s="1159" t="e">
        <f t="shared" si="233"/>
        <v>#DIV/0!</v>
      </c>
      <c r="UUJ71" s="1159" t="e">
        <f t="shared" si="233"/>
        <v>#DIV/0!</v>
      </c>
      <c r="UUK71" s="1159" t="e">
        <f t="shared" si="233"/>
        <v>#DIV/0!</v>
      </c>
      <c r="UUL71" s="1159" t="e">
        <f t="shared" si="233"/>
        <v>#DIV/0!</v>
      </c>
      <c r="UUM71" s="1159" t="e">
        <f t="shared" si="233"/>
        <v>#DIV/0!</v>
      </c>
      <c r="UUN71" s="1159" t="e">
        <f t="shared" si="233"/>
        <v>#DIV/0!</v>
      </c>
      <c r="UUO71" s="1159" t="e">
        <f t="shared" si="233"/>
        <v>#DIV/0!</v>
      </c>
      <c r="UUP71" s="1159" t="e">
        <f t="shared" si="233"/>
        <v>#DIV/0!</v>
      </c>
      <c r="UUQ71" s="1159" t="e">
        <f t="shared" si="233"/>
        <v>#DIV/0!</v>
      </c>
      <c r="UUR71" s="1159" t="e">
        <f t="shared" si="233"/>
        <v>#DIV/0!</v>
      </c>
      <c r="UUS71" s="1159" t="e">
        <f t="shared" si="233"/>
        <v>#DIV/0!</v>
      </c>
      <c r="UUT71" s="1159" t="e">
        <f t="shared" si="233"/>
        <v>#DIV/0!</v>
      </c>
      <c r="UUU71" s="1159" t="e">
        <f t="shared" si="233"/>
        <v>#DIV/0!</v>
      </c>
      <c r="UUV71" s="1159" t="e">
        <f t="shared" si="233"/>
        <v>#DIV/0!</v>
      </c>
      <c r="UUW71" s="1159" t="e">
        <f t="shared" si="233"/>
        <v>#DIV/0!</v>
      </c>
      <c r="UUX71" s="1159" t="e">
        <f t="shared" si="233"/>
        <v>#DIV/0!</v>
      </c>
      <c r="UUY71" s="1159" t="e">
        <f t="shared" si="233"/>
        <v>#DIV/0!</v>
      </c>
      <c r="UUZ71" s="1159" t="e">
        <f t="shared" si="233"/>
        <v>#DIV/0!</v>
      </c>
      <c r="UVA71" s="1159" t="e">
        <f t="shared" si="233"/>
        <v>#DIV/0!</v>
      </c>
      <c r="UVB71" s="1159" t="e">
        <f t="shared" si="233"/>
        <v>#DIV/0!</v>
      </c>
      <c r="UVC71" s="1159" t="e">
        <f t="shared" si="233"/>
        <v>#DIV/0!</v>
      </c>
      <c r="UVD71" s="1159" t="e">
        <f t="shared" si="233"/>
        <v>#DIV/0!</v>
      </c>
      <c r="UVE71" s="1159" t="e">
        <f t="shared" si="233"/>
        <v>#DIV/0!</v>
      </c>
      <c r="UVF71" s="1159" t="e">
        <f t="shared" si="233"/>
        <v>#DIV/0!</v>
      </c>
      <c r="UVG71" s="1159" t="e">
        <f t="shared" si="233"/>
        <v>#DIV/0!</v>
      </c>
      <c r="UVH71" s="1159" t="e">
        <f t="shared" si="233"/>
        <v>#DIV/0!</v>
      </c>
      <c r="UVI71" s="1159" t="e">
        <f t="shared" si="233"/>
        <v>#DIV/0!</v>
      </c>
      <c r="UVJ71" s="1159" t="e">
        <f t="shared" si="233"/>
        <v>#DIV/0!</v>
      </c>
      <c r="UVK71" s="1159" t="e">
        <f t="shared" si="233"/>
        <v>#DIV/0!</v>
      </c>
      <c r="UVL71" s="1159" t="e">
        <f t="shared" si="233"/>
        <v>#DIV/0!</v>
      </c>
      <c r="UVM71" s="1159" t="e">
        <f t="shared" si="233"/>
        <v>#DIV/0!</v>
      </c>
      <c r="UVN71" s="1159" t="e">
        <f t="shared" si="233"/>
        <v>#DIV/0!</v>
      </c>
      <c r="UVO71" s="1159" t="e">
        <f t="shared" si="233"/>
        <v>#DIV/0!</v>
      </c>
      <c r="UVP71" s="1159" t="e">
        <f t="shared" si="233"/>
        <v>#DIV/0!</v>
      </c>
      <c r="UVQ71" s="1159" t="e">
        <f t="shared" si="233"/>
        <v>#DIV/0!</v>
      </c>
      <c r="UVR71" s="1159" t="e">
        <f t="shared" si="233"/>
        <v>#DIV/0!</v>
      </c>
      <c r="UVS71" s="1159" t="e">
        <f t="shared" si="233"/>
        <v>#DIV/0!</v>
      </c>
      <c r="UVT71" s="1159" t="e">
        <f t="shared" si="233"/>
        <v>#DIV/0!</v>
      </c>
      <c r="UVU71" s="1159" t="e">
        <f t="shared" si="233"/>
        <v>#DIV/0!</v>
      </c>
      <c r="UVV71" s="1159" t="e">
        <f t="shared" ref="UVV71:UYG71" si="234">((UVV6+UVV12+UVV13+UVV14+UVV15)*860+UVV16*UVV55+UVV17*UVV56+UVV7*UVV49+UVV8*UVV50+UVV9*UVV51+UVV10*UVV52+UVV11*UVV53)/(SUM(UVV6:UVV17))</f>
        <v>#DIV/0!</v>
      </c>
      <c r="UVW71" s="1159" t="e">
        <f t="shared" si="234"/>
        <v>#DIV/0!</v>
      </c>
      <c r="UVX71" s="1159" t="e">
        <f t="shared" si="234"/>
        <v>#DIV/0!</v>
      </c>
      <c r="UVY71" s="1159" t="e">
        <f t="shared" si="234"/>
        <v>#DIV/0!</v>
      </c>
      <c r="UVZ71" s="1159" t="e">
        <f t="shared" si="234"/>
        <v>#DIV/0!</v>
      </c>
      <c r="UWA71" s="1159" t="e">
        <f t="shared" si="234"/>
        <v>#DIV/0!</v>
      </c>
      <c r="UWB71" s="1159" t="e">
        <f t="shared" si="234"/>
        <v>#DIV/0!</v>
      </c>
      <c r="UWC71" s="1159" t="e">
        <f t="shared" si="234"/>
        <v>#DIV/0!</v>
      </c>
      <c r="UWD71" s="1159" t="e">
        <f t="shared" si="234"/>
        <v>#DIV/0!</v>
      </c>
      <c r="UWE71" s="1159" t="e">
        <f t="shared" si="234"/>
        <v>#DIV/0!</v>
      </c>
      <c r="UWF71" s="1159" t="e">
        <f t="shared" si="234"/>
        <v>#DIV/0!</v>
      </c>
      <c r="UWG71" s="1159" t="e">
        <f t="shared" si="234"/>
        <v>#DIV/0!</v>
      </c>
      <c r="UWH71" s="1159" t="e">
        <f t="shared" si="234"/>
        <v>#DIV/0!</v>
      </c>
      <c r="UWI71" s="1159" t="e">
        <f t="shared" si="234"/>
        <v>#DIV/0!</v>
      </c>
      <c r="UWJ71" s="1159" t="e">
        <f t="shared" si="234"/>
        <v>#DIV/0!</v>
      </c>
      <c r="UWK71" s="1159" t="e">
        <f t="shared" si="234"/>
        <v>#DIV/0!</v>
      </c>
      <c r="UWL71" s="1159" t="e">
        <f t="shared" si="234"/>
        <v>#DIV/0!</v>
      </c>
      <c r="UWM71" s="1159" t="e">
        <f t="shared" si="234"/>
        <v>#DIV/0!</v>
      </c>
      <c r="UWN71" s="1159" t="e">
        <f t="shared" si="234"/>
        <v>#DIV/0!</v>
      </c>
      <c r="UWO71" s="1159" t="e">
        <f t="shared" si="234"/>
        <v>#DIV/0!</v>
      </c>
      <c r="UWP71" s="1159" t="e">
        <f t="shared" si="234"/>
        <v>#DIV/0!</v>
      </c>
      <c r="UWQ71" s="1159" t="e">
        <f t="shared" si="234"/>
        <v>#DIV/0!</v>
      </c>
      <c r="UWR71" s="1159" t="e">
        <f t="shared" si="234"/>
        <v>#DIV/0!</v>
      </c>
      <c r="UWS71" s="1159" t="e">
        <f t="shared" si="234"/>
        <v>#DIV/0!</v>
      </c>
      <c r="UWT71" s="1159" t="e">
        <f t="shared" si="234"/>
        <v>#DIV/0!</v>
      </c>
      <c r="UWU71" s="1159" t="e">
        <f t="shared" si="234"/>
        <v>#DIV/0!</v>
      </c>
      <c r="UWV71" s="1159" t="e">
        <f t="shared" si="234"/>
        <v>#DIV/0!</v>
      </c>
      <c r="UWW71" s="1159" t="e">
        <f t="shared" si="234"/>
        <v>#DIV/0!</v>
      </c>
      <c r="UWX71" s="1159" t="e">
        <f t="shared" si="234"/>
        <v>#DIV/0!</v>
      </c>
      <c r="UWY71" s="1159" t="e">
        <f t="shared" si="234"/>
        <v>#DIV/0!</v>
      </c>
      <c r="UWZ71" s="1159" t="e">
        <f t="shared" si="234"/>
        <v>#DIV/0!</v>
      </c>
      <c r="UXA71" s="1159" t="e">
        <f t="shared" si="234"/>
        <v>#DIV/0!</v>
      </c>
      <c r="UXB71" s="1159" t="e">
        <f t="shared" si="234"/>
        <v>#DIV/0!</v>
      </c>
      <c r="UXC71" s="1159" t="e">
        <f t="shared" si="234"/>
        <v>#DIV/0!</v>
      </c>
      <c r="UXD71" s="1159" t="e">
        <f t="shared" si="234"/>
        <v>#DIV/0!</v>
      </c>
      <c r="UXE71" s="1159" t="e">
        <f t="shared" si="234"/>
        <v>#DIV/0!</v>
      </c>
      <c r="UXF71" s="1159" t="e">
        <f t="shared" si="234"/>
        <v>#DIV/0!</v>
      </c>
      <c r="UXG71" s="1159" t="e">
        <f t="shared" si="234"/>
        <v>#DIV/0!</v>
      </c>
      <c r="UXH71" s="1159" t="e">
        <f t="shared" si="234"/>
        <v>#DIV/0!</v>
      </c>
      <c r="UXI71" s="1159" t="e">
        <f t="shared" si="234"/>
        <v>#DIV/0!</v>
      </c>
      <c r="UXJ71" s="1159" t="e">
        <f t="shared" si="234"/>
        <v>#DIV/0!</v>
      </c>
      <c r="UXK71" s="1159" t="e">
        <f t="shared" si="234"/>
        <v>#DIV/0!</v>
      </c>
      <c r="UXL71" s="1159" t="e">
        <f t="shared" si="234"/>
        <v>#DIV/0!</v>
      </c>
      <c r="UXM71" s="1159" t="e">
        <f t="shared" si="234"/>
        <v>#DIV/0!</v>
      </c>
      <c r="UXN71" s="1159" t="e">
        <f t="shared" si="234"/>
        <v>#DIV/0!</v>
      </c>
      <c r="UXO71" s="1159" t="e">
        <f t="shared" si="234"/>
        <v>#DIV/0!</v>
      </c>
      <c r="UXP71" s="1159" t="e">
        <f t="shared" si="234"/>
        <v>#DIV/0!</v>
      </c>
      <c r="UXQ71" s="1159" t="e">
        <f t="shared" si="234"/>
        <v>#DIV/0!</v>
      </c>
      <c r="UXR71" s="1159" t="e">
        <f t="shared" si="234"/>
        <v>#DIV/0!</v>
      </c>
      <c r="UXS71" s="1159" t="e">
        <f t="shared" si="234"/>
        <v>#DIV/0!</v>
      </c>
      <c r="UXT71" s="1159" t="e">
        <f t="shared" si="234"/>
        <v>#DIV/0!</v>
      </c>
      <c r="UXU71" s="1159" t="e">
        <f t="shared" si="234"/>
        <v>#DIV/0!</v>
      </c>
      <c r="UXV71" s="1159" t="e">
        <f t="shared" si="234"/>
        <v>#DIV/0!</v>
      </c>
      <c r="UXW71" s="1159" t="e">
        <f t="shared" si="234"/>
        <v>#DIV/0!</v>
      </c>
      <c r="UXX71" s="1159" t="e">
        <f t="shared" si="234"/>
        <v>#DIV/0!</v>
      </c>
      <c r="UXY71" s="1159" t="e">
        <f t="shared" si="234"/>
        <v>#DIV/0!</v>
      </c>
      <c r="UXZ71" s="1159" t="e">
        <f t="shared" si="234"/>
        <v>#DIV/0!</v>
      </c>
      <c r="UYA71" s="1159" t="e">
        <f t="shared" si="234"/>
        <v>#DIV/0!</v>
      </c>
      <c r="UYB71" s="1159" t="e">
        <f t="shared" si="234"/>
        <v>#DIV/0!</v>
      </c>
      <c r="UYC71" s="1159" t="e">
        <f t="shared" si="234"/>
        <v>#DIV/0!</v>
      </c>
      <c r="UYD71" s="1159" t="e">
        <f t="shared" si="234"/>
        <v>#DIV/0!</v>
      </c>
      <c r="UYE71" s="1159" t="e">
        <f t="shared" si="234"/>
        <v>#DIV/0!</v>
      </c>
      <c r="UYF71" s="1159" t="e">
        <f t="shared" si="234"/>
        <v>#DIV/0!</v>
      </c>
      <c r="UYG71" s="1159" t="e">
        <f t="shared" si="234"/>
        <v>#DIV/0!</v>
      </c>
      <c r="UYH71" s="1159" t="e">
        <f t="shared" ref="UYH71:VAS71" si="235">((UYH6+UYH12+UYH13+UYH14+UYH15)*860+UYH16*UYH55+UYH17*UYH56+UYH7*UYH49+UYH8*UYH50+UYH9*UYH51+UYH10*UYH52+UYH11*UYH53)/(SUM(UYH6:UYH17))</f>
        <v>#DIV/0!</v>
      </c>
      <c r="UYI71" s="1159" t="e">
        <f t="shared" si="235"/>
        <v>#DIV/0!</v>
      </c>
      <c r="UYJ71" s="1159" t="e">
        <f t="shared" si="235"/>
        <v>#DIV/0!</v>
      </c>
      <c r="UYK71" s="1159" t="e">
        <f t="shared" si="235"/>
        <v>#DIV/0!</v>
      </c>
      <c r="UYL71" s="1159" t="e">
        <f t="shared" si="235"/>
        <v>#DIV/0!</v>
      </c>
      <c r="UYM71" s="1159" t="e">
        <f t="shared" si="235"/>
        <v>#DIV/0!</v>
      </c>
      <c r="UYN71" s="1159" t="e">
        <f t="shared" si="235"/>
        <v>#DIV/0!</v>
      </c>
      <c r="UYO71" s="1159" t="e">
        <f t="shared" si="235"/>
        <v>#DIV/0!</v>
      </c>
      <c r="UYP71" s="1159" t="e">
        <f t="shared" si="235"/>
        <v>#DIV/0!</v>
      </c>
      <c r="UYQ71" s="1159" t="e">
        <f t="shared" si="235"/>
        <v>#DIV/0!</v>
      </c>
      <c r="UYR71" s="1159" t="e">
        <f t="shared" si="235"/>
        <v>#DIV/0!</v>
      </c>
      <c r="UYS71" s="1159" t="e">
        <f t="shared" si="235"/>
        <v>#DIV/0!</v>
      </c>
      <c r="UYT71" s="1159" t="e">
        <f t="shared" si="235"/>
        <v>#DIV/0!</v>
      </c>
      <c r="UYU71" s="1159" t="e">
        <f t="shared" si="235"/>
        <v>#DIV/0!</v>
      </c>
      <c r="UYV71" s="1159" t="e">
        <f t="shared" si="235"/>
        <v>#DIV/0!</v>
      </c>
      <c r="UYW71" s="1159" t="e">
        <f t="shared" si="235"/>
        <v>#DIV/0!</v>
      </c>
      <c r="UYX71" s="1159" t="e">
        <f t="shared" si="235"/>
        <v>#DIV/0!</v>
      </c>
      <c r="UYY71" s="1159" t="e">
        <f t="shared" si="235"/>
        <v>#DIV/0!</v>
      </c>
      <c r="UYZ71" s="1159" t="e">
        <f t="shared" si="235"/>
        <v>#DIV/0!</v>
      </c>
      <c r="UZA71" s="1159" t="e">
        <f t="shared" si="235"/>
        <v>#DIV/0!</v>
      </c>
      <c r="UZB71" s="1159" t="e">
        <f t="shared" si="235"/>
        <v>#DIV/0!</v>
      </c>
      <c r="UZC71" s="1159" t="e">
        <f t="shared" si="235"/>
        <v>#DIV/0!</v>
      </c>
      <c r="UZD71" s="1159" t="e">
        <f t="shared" si="235"/>
        <v>#DIV/0!</v>
      </c>
      <c r="UZE71" s="1159" t="e">
        <f t="shared" si="235"/>
        <v>#DIV/0!</v>
      </c>
      <c r="UZF71" s="1159" t="e">
        <f t="shared" si="235"/>
        <v>#DIV/0!</v>
      </c>
      <c r="UZG71" s="1159" t="e">
        <f t="shared" si="235"/>
        <v>#DIV/0!</v>
      </c>
      <c r="UZH71" s="1159" t="e">
        <f t="shared" si="235"/>
        <v>#DIV/0!</v>
      </c>
      <c r="UZI71" s="1159" t="e">
        <f t="shared" si="235"/>
        <v>#DIV/0!</v>
      </c>
      <c r="UZJ71" s="1159" t="e">
        <f t="shared" si="235"/>
        <v>#DIV/0!</v>
      </c>
      <c r="UZK71" s="1159" t="e">
        <f t="shared" si="235"/>
        <v>#DIV/0!</v>
      </c>
      <c r="UZL71" s="1159" t="e">
        <f t="shared" si="235"/>
        <v>#DIV/0!</v>
      </c>
      <c r="UZM71" s="1159" t="e">
        <f t="shared" si="235"/>
        <v>#DIV/0!</v>
      </c>
      <c r="UZN71" s="1159" t="e">
        <f t="shared" si="235"/>
        <v>#DIV/0!</v>
      </c>
      <c r="UZO71" s="1159" t="e">
        <f t="shared" si="235"/>
        <v>#DIV/0!</v>
      </c>
      <c r="UZP71" s="1159" t="e">
        <f t="shared" si="235"/>
        <v>#DIV/0!</v>
      </c>
      <c r="UZQ71" s="1159" t="e">
        <f t="shared" si="235"/>
        <v>#DIV/0!</v>
      </c>
      <c r="UZR71" s="1159" t="e">
        <f t="shared" si="235"/>
        <v>#DIV/0!</v>
      </c>
      <c r="UZS71" s="1159" t="e">
        <f t="shared" si="235"/>
        <v>#DIV/0!</v>
      </c>
      <c r="UZT71" s="1159" t="e">
        <f t="shared" si="235"/>
        <v>#DIV/0!</v>
      </c>
      <c r="UZU71" s="1159" t="e">
        <f t="shared" si="235"/>
        <v>#DIV/0!</v>
      </c>
      <c r="UZV71" s="1159" t="e">
        <f t="shared" si="235"/>
        <v>#DIV/0!</v>
      </c>
      <c r="UZW71" s="1159" t="e">
        <f t="shared" si="235"/>
        <v>#DIV/0!</v>
      </c>
      <c r="UZX71" s="1159" t="e">
        <f t="shared" si="235"/>
        <v>#DIV/0!</v>
      </c>
      <c r="UZY71" s="1159" t="e">
        <f t="shared" si="235"/>
        <v>#DIV/0!</v>
      </c>
      <c r="UZZ71" s="1159" t="e">
        <f t="shared" si="235"/>
        <v>#DIV/0!</v>
      </c>
      <c r="VAA71" s="1159" t="e">
        <f t="shared" si="235"/>
        <v>#DIV/0!</v>
      </c>
      <c r="VAB71" s="1159" t="e">
        <f t="shared" si="235"/>
        <v>#DIV/0!</v>
      </c>
      <c r="VAC71" s="1159" t="e">
        <f t="shared" si="235"/>
        <v>#DIV/0!</v>
      </c>
      <c r="VAD71" s="1159" t="e">
        <f t="shared" si="235"/>
        <v>#DIV/0!</v>
      </c>
      <c r="VAE71" s="1159" t="e">
        <f t="shared" si="235"/>
        <v>#DIV/0!</v>
      </c>
      <c r="VAF71" s="1159" t="e">
        <f t="shared" si="235"/>
        <v>#DIV/0!</v>
      </c>
      <c r="VAG71" s="1159" t="e">
        <f t="shared" si="235"/>
        <v>#DIV/0!</v>
      </c>
      <c r="VAH71" s="1159" t="e">
        <f t="shared" si="235"/>
        <v>#DIV/0!</v>
      </c>
      <c r="VAI71" s="1159" t="e">
        <f t="shared" si="235"/>
        <v>#DIV/0!</v>
      </c>
      <c r="VAJ71" s="1159" t="e">
        <f t="shared" si="235"/>
        <v>#DIV/0!</v>
      </c>
      <c r="VAK71" s="1159" t="e">
        <f t="shared" si="235"/>
        <v>#DIV/0!</v>
      </c>
      <c r="VAL71" s="1159" t="e">
        <f t="shared" si="235"/>
        <v>#DIV/0!</v>
      </c>
      <c r="VAM71" s="1159" t="e">
        <f t="shared" si="235"/>
        <v>#DIV/0!</v>
      </c>
      <c r="VAN71" s="1159" t="e">
        <f t="shared" si="235"/>
        <v>#DIV/0!</v>
      </c>
      <c r="VAO71" s="1159" t="e">
        <f t="shared" si="235"/>
        <v>#DIV/0!</v>
      </c>
      <c r="VAP71" s="1159" t="e">
        <f t="shared" si="235"/>
        <v>#DIV/0!</v>
      </c>
      <c r="VAQ71" s="1159" t="e">
        <f t="shared" si="235"/>
        <v>#DIV/0!</v>
      </c>
      <c r="VAR71" s="1159" t="e">
        <f t="shared" si="235"/>
        <v>#DIV/0!</v>
      </c>
      <c r="VAS71" s="1159" t="e">
        <f t="shared" si="235"/>
        <v>#DIV/0!</v>
      </c>
      <c r="VAT71" s="1159" t="e">
        <f t="shared" ref="VAT71:VDE71" si="236">((VAT6+VAT12+VAT13+VAT14+VAT15)*860+VAT16*VAT55+VAT17*VAT56+VAT7*VAT49+VAT8*VAT50+VAT9*VAT51+VAT10*VAT52+VAT11*VAT53)/(SUM(VAT6:VAT17))</f>
        <v>#DIV/0!</v>
      </c>
      <c r="VAU71" s="1159" t="e">
        <f t="shared" si="236"/>
        <v>#DIV/0!</v>
      </c>
      <c r="VAV71" s="1159" t="e">
        <f t="shared" si="236"/>
        <v>#DIV/0!</v>
      </c>
      <c r="VAW71" s="1159" t="e">
        <f t="shared" si="236"/>
        <v>#DIV/0!</v>
      </c>
      <c r="VAX71" s="1159" t="e">
        <f t="shared" si="236"/>
        <v>#DIV/0!</v>
      </c>
      <c r="VAY71" s="1159" t="e">
        <f t="shared" si="236"/>
        <v>#DIV/0!</v>
      </c>
      <c r="VAZ71" s="1159" t="e">
        <f t="shared" si="236"/>
        <v>#DIV/0!</v>
      </c>
      <c r="VBA71" s="1159" t="e">
        <f t="shared" si="236"/>
        <v>#DIV/0!</v>
      </c>
      <c r="VBB71" s="1159" t="e">
        <f t="shared" si="236"/>
        <v>#DIV/0!</v>
      </c>
      <c r="VBC71" s="1159" t="e">
        <f t="shared" si="236"/>
        <v>#DIV/0!</v>
      </c>
      <c r="VBD71" s="1159" t="e">
        <f t="shared" si="236"/>
        <v>#DIV/0!</v>
      </c>
      <c r="VBE71" s="1159" t="e">
        <f t="shared" si="236"/>
        <v>#DIV/0!</v>
      </c>
      <c r="VBF71" s="1159" t="e">
        <f t="shared" si="236"/>
        <v>#DIV/0!</v>
      </c>
      <c r="VBG71" s="1159" t="e">
        <f t="shared" si="236"/>
        <v>#DIV/0!</v>
      </c>
      <c r="VBH71" s="1159" t="e">
        <f t="shared" si="236"/>
        <v>#DIV/0!</v>
      </c>
      <c r="VBI71" s="1159" t="e">
        <f t="shared" si="236"/>
        <v>#DIV/0!</v>
      </c>
      <c r="VBJ71" s="1159" t="e">
        <f t="shared" si="236"/>
        <v>#DIV/0!</v>
      </c>
      <c r="VBK71" s="1159" t="e">
        <f t="shared" si="236"/>
        <v>#DIV/0!</v>
      </c>
      <c r="VBL71" s="1159" t="e">
        <f t="shared" si="236"/>
        <v>#DIV/0!</v>
      </c>
      <c r="VBM71" s="1159" t="e">
        <f t="shared" si="236"/>
        <v>#DIV/0!</v>
      </c>
      <c r="VBN71" s="1159" t="e">
        <f t="shared" si="236"/>
        <v>#DIV/0!</v>
      </c>
      <c r="VBO71" s="1159" t="e">
        <f t="shared" si="236"/>
        <v>#DIV/0!</v>
      </c>
      <c r="VBP71" s="1159" t="e">
        <f t="shared" si="236"/>
        <v>#DIV/0!</v>
      </c>
      <c r="VBQ71" s="1159" t="e">
        <f t="shared" si="236"/>
        <v>#DIV/0!</v>
      </c>
      <c r="VBR71" s="1159" t="e">
        <f t="shared" si="236"/>
        <v>#DIV/0!</v>
      </c>
      <c r="VBS71" s="1159" t="e">
        <f t="shared" si="236"/>
        <v>#DIV/0!</v>
      </c>
      <c r="VBT71" s="1159" t="e">
        <f t="shared" si="236"/>
        <v>#DIV/0!</v>
      </c>
      <c r="VBU71" s="1159" t="e">
        <f t="shared" si="236"/>
        <v>#DIV/0!</v>
      </c>
      <c r="VBV71" s="1159" t="e">
        <f t="shared" si="236"/>
        <v>#DIV/0!</v>
      </c>
      <c r="VBW71" s="1159" t="e">
        <f t="shared" si="236"/>
        <v>#DIV/0!</v>
      </c>
      <c r="VBX71" s="1159" t="e">
        <f t="shared" si="236"/>
        <v>#DIV/0!</v>
      </c>
      <c r="VBY71" s="1159" t="e">
        <f t="shared" si="236"/>
        <v>#DIV/0!</v>
      </c>
      <c r="VBZ71" s="1159" t="e">
        <f t="shared" si="236"/>
        <v>#DIV/0!</v>
      </c>
      <c r="VCA71" s="1159" t="e">
        <f t="shared" si="236"/>
        <v>#DIV/0!</v>
      </c>
      <c r="VCB71" s="1159" t="e">
        <f t="shared" si="236"/>
        <v>#DIV/0!</v>
      </c>
      <c r="VCC71" s="1159" t="e">
        <f t="shared" si="236"/>
        <v>#DIV/0!</v>
      </c>
      <c r="VCD71" s="1159" t="e">
        <f t="shared" si="236"/>
        <v>#DIV/0!</v>
      </c>
      <c r="VCE71" s="1159" t="e">
        <f t="shared" si="236"/>
        <v>#DIV/0!</v>
      </c>
      <c r="VCF71" s="1159" t="e">
        <f t="shared" si="236"/>
        <v>#DIV/0!</v>
      </c>
      <c r="VCG71" s="1159" t="e">
        <f t="shared" si="236"/>
        <v>#DIV/0!</v>
      </c>
      <c r="VCH71" s="1159" t="e">
        <f t="shared" si="236"/>
        <v>#DIV/0!</v>
      </c>
      <c r="VCI71" s="1159" t="e">
        <f t="shared" si="236"/>
        <v>#DIV/0!</v>
      </c>
      <c r="VCJ71" s="1159" t="e">
        <f t="shared" si="236"/>
        <v>#DIV/0!</v>
      </c>
      <c r="VCK71" s="1159" t="e">
        <f t="shared" si="236"/>
        <v>#DIV/0!</v>
      </c>
      <c r="VCL71" s="1159" t="e">
        <f t="shared" si="236"/>
        <v>#DIV/0!</v>
      </c>
      <c r="VCM71" s="1159" t="e">
        <f t="shared" si="236"/>
        <v>#DIV/0!</v>
      </c>
      <c r="VCN71" s="1159" t="e">
        <f t="shared" si="236"/>
        <v>#DIV/0!</v>
      </c>
      <c r="VCO71" s="1159" t="e">
        <f t="shared" si="236"/>
        <v>#DIV/0!</v>
      </c>
      <c r="VCP71" s="1159" t="e">
        <f t="shared" si="236"/>
        <v>#DIV/0!</v>
      </c>
      <c r="VCQ71" s="1159" t="e">
        <f t="shared" si="236"/>
        <v>#DIV/0!</v>
      </c>
      <c r="VCR71" s="1159" t="e">
        <f t="shared" si="236"/>
        <v>#DIV/0!</v>
      </c>
      <c r="VCS71" s="1159" t="e">
        <f t="shared" si="236"/>
        <v>#DIV/0!</v>
      </c>
      <c r="VCT71" s="1159" t="e">
        <f t="shared" si="236"/>
        <v>#DIV/0!</v>
      </c>
      <c r="VCU71" s="1159" t="e">
        <f t="shared" si="236"/>
        <v>#DIV/0!</v>
      </c>
      <c r="VCV71" s="1159" t="e">
        <f t="shared" si="236"/>
        <v>#DIV/0!</v>
      </c>
      <c r="VCW71" s="1159" t="e">
        <f t="shared" si="236"/>
        <v>#DIV/0!</v>
      </c>
      <c r="VCX71" s="1159" t="e">
        <f t="shared" si="236"/>
        <v>#DIV/0!</v>
      </c>
      <c r="VCY71" s="1159" t="e">
        <f t="shared" si="236"/>
        <v>#DIV/0!</v>
      </c>
      <c r="VCZ71" s="1159" t="e">
        <f t="shared" si="236"/>
        <v>#DIV/0!</v>
      </c>
      <c r="VDA71" s="1159" t="e">
        <f t="shared" si="236"/>
        <v>#DIV/0!</v>
      </c>
      <c r="VDB71" s="1159" t="e">
        <f t="shared" si="236"/>
        <v>#DIV/0!</v>
      </c>
      <c r="VDC71" s="1159" t="e">
        <f t="shared" si="236"/>
        <v>#DIV/0!</v>
      </c>
      <c r="VDD71" s="1159" t="e">
        <f t="shared" si="236"/>
        <v>#DIV/0!</v>
      </c>
      <c r="VDE71" s="1159" t="e">
        <f t="shared" si="236"/>
        <v>#DIV/0!</v>
      </c>
      <c r="VDF71" s="1159" t="e">
        <f t="shared" ref="VDF71:VFQ71" si="237">((VDF6+VDF12+VDF13+VDF14+VDF15)*860+VDF16*VDF55+VDF17*VDF56+VDF7*VDF49+VDF8*VDF50+VDF9*VDF51+VDF10*VDF52+VDF11*VDF53)/(SUM(VDF6:VDF17))</f>
        <v>#DIV/0!</v>
      </c>
      <c r="VDG71" s="1159" t="e">
        <f t="shared" si="237"/>
        <v>#DIV/0!</v>
      </c>
      <c r="VDH71" s="1159" t="e">
        <f t="shared" si="237"/>
        <v>#DIV/0!</v>
      </c>
      <c r="VDI71" s="1159" t="e">
        <f t="shared" si="237"/>
        <v>#DIV/0!</v>
      </c>
      <c r="VDJ71" s="1159" t="e">
        <f t="shared" si="237"/>
        <v>#DIV/0!</v>
      </c>
      <c r="VDK71" s="1159" t="e">
        <f t="shared" si="237"/>
        <v>#DIV/0!</v>
      </c>
      <c r="VDL71" s="1159" t="e">
        <f t="shared" si="237"/>
        <v>#DIV/0!</v>
      </c>
      <c r="VDM71" s="1159" t="e">
        <f t="shared" si="237"/>
        <v>#DIV/0!</v>
      </c>
      <c r="VDN71" s="1159" t="e">
        <f t="shared" si="237"/>
        <v>#DIV/0!</v>
      </c>
      <c r="VDO71" s="1159" t="e">
        <f t="shared" si="237"/>
        <v>#DIV/0!</v>
      </c>
      <c r="VDP71" s="1159" t="e">
        <f t="shared" si="237"/>
        <v>#DIV/0!</v>
      </c>
      <c r="VDQ71" s="1159" t="e">
        <f t="shared" si="237"/>
        <v>#DIV/0!</v>
      </c>
      <c r="VDR71" s="1159" t="e">
        <f t="shared" si="237"/>
        <v>#DIV/0!</v>
      </c>
      <c r="VDS71" s="1159" t="e">
        <f t="shared" si="237"/>
        <v>#DIV/0!</v>
      </c>
      <c r="VDT71" s="1159" t="e">
        <f t="shared" si="237"/>
        <v>#DIV/0!</v>
      </c>
      <c r="VDU71" s="1159" t="e">
        <f t="shared" si="237"/>
        <v>#DIV/0!</v>
      </c>
      <c r="VDV71" s="1159" t="e">
        <f t="shared" si="237"/>
        <v>#DIV/0!</v>
      </c>
      <c r="VDW71" s="1159" t="e">
        <f t="shared" si="237"/>
        <v>#DIV/0!</v>
      </c>
      <c r="VDX71" s="1159" t="e">
        <f t="shared" si="237"/>
        <v>#DIV/0!</v>
      </c>
      <c r="VDY71" s="1159" t="e">
        <f t="shared" si="237"/>
        <v>#DIV/0!</v>
      </c>
      <c r="VDZ71" s="1159" t="e">
        <f t="shared" si="237"/>
        <v>#DIV/0!</v>
      </c>
      <c r="VEA71" s="1159" t="e">
        <f t="shared" si="237"/>
        <v>#DIV/0!</v>
      </c>
      <c r="VEB71" s="1159" t="e">
        <f t="shared" si="237"/>
        <v>#DIV/0!</v>
      </c>
      <c r="VEC71" s="1159" t="e">
        <f t="shared" si="237"/>
        <v>#DIV/0!</v>
      </c>
      <c r="VED71" s="1159" t="e">
        <f t="shared" si="237"/>
        <v>#DIV/0!</v>
      </c>
      <c r="VEE71" s="1159" t="e">
        <f t="shared" si="237"/>
        <v>#DIV/0!</v>
      </c>
      <c r="VEF71" s="1159" t="e">
        <f t="shared" si="237"/>
        <v>#DIV/0!</v>
      </c>
      <c r="VEG71" s="1159" t="e">
        <f t="shared" si="237"/>
        <v>#DIV/0!</v>
      </c>
      <c r="VEH71" s="1159" t="e">
        <f t="shared" si="237"/>
        <v>#DIV/0!</v>
      </c>
      <c r="VEI71" s="1159" t="e">
        <f t="shared" si="237"/>
        <v>#DIV/0!</v>
      </c>
      <c r="VEJ71" s="1159" t="e">
        <f t="shared" si="237"/>
        <v>#DIV/0!</v>
      </c>
      <c r="VEK71" s="1159" t="e">
        <f t="shared" si="237"/>
        <v>#DIV/0!</v>
      </c>
      <c r="VEL71" s="1159" t="e">
        <f t="shared" si="237"/>
        <v>#DIV/0!</v>
      </c>
      <c r="VEM71" s="1159" t="e">
        <f t="shared" si="237"/>
        <v>#DIV/0!</v>
      </c>
      <c r="VEN71" s="1159" t="e">
        <f t="shared" si="237"/>
        <v>#DIV/0!</v>
      </c>
      <c r="VEO71" s="1159" t="e">
        <f t="shared" si="237"/>
        <v>#DIV/0!</v>
      </c>
      <c r="VEP71" s="1159" t="e">
        <f t="shared" si="237"/>
        <v>#DIV/0!</v>
      </c>
      <c r="VEQ71" s="1159" t="e">
        <f t="shared" si="237"/>
        <v>#DIV/0!</v>
      </c>
      <c r="VER71" s="1159" t="e">
        <f t="shared" si="237"/>
        <v>#DIV/0!</v>
      </c>
      <c r="VES71" s="1159" t="e">
        <f t="shared" si="237"/>
        <v>#DIV/0!</v>
      </c>
      <c r="VET71" s="1159" t="e">
        <f t="shared" si="237"/>
        <v>#DIV/0!</v>
      </c>
      <c r="VEU71" s="1159" t="e">
        <f t="shared" si="237"/>
        <v>#DIV/0!</v>
      </c>
      <c r="VEV71" s="1159" t="e">
        <f t="shared" si="237"/>
        <v>#DIV/0!</v>
      </c>
      <c r="VEW71" s="1159" t="e">
        <f t="shared" si="237"/>
        <v>#DIV/0!</v>
      </c>
      <c r="VEX71" s="1159" t="e">
        <f t="shared" si="237"/>
        <v>#DIV/0!</v>
      </c>
      <c r="VEY71" s="1159" t="e">
        <f t="shared" si="237"/>
        <v>#DIV/0!</v>
      </c>
      <c r="VEZ71" s="1159" t="e">
        <f t="shared" si="237"/>
        <v>#DIV/0!</v>
      </c>
      <c r="VFA71" s="1159" t="e">
        <f t="shared" si="237"/>
        <v>#DIV/0!</v>
      </c>
      <c r="VFB71" s="1159" t="e">
        <f t="shared" si="237"/>
        <v>#DIV/0!</v>
      </c>
      <c r="VFC71" s="1159" t="e">
        <f t="shared" si="237"/>
        <v>#DIV/0!</v>
      </c>
      <c r="VFD71" s="1159" t="e">
        <f t="shared" si="237"/>
        <v>#DIV/0!</v>
      </c>
      <c r="VFE71" s="1159" t="e">
        <f t="shared" si="237"/>
        <v>#DIV/0!</v>
      </c>
      <c r="VFF71" s="1159" t="e">
        <f t="shared" si="237"/>
        <v>#DIV/0!</v>
      </c>
      <c r="VFG71" s="1159" t="e">
        <f t="shared" si="237"/>
        <v>#DIV/0!</v>
      </c>
      <c r="VFH71" s="1159" t="e">
        <f t="shared" si="237"/>
        <v>#DIV/0!</v>
      </c>
      <c r="VFI71" s="1159" t="e">
        <f t="shared" si="237"/>
        <v>#DIV/0!</v>
      </c>
      <c r="VFJ71" s="1159" t="e">
        <f t="shared" si="237"/>
        <v>#DIV/0!</v>
      </c>
      <c r="VFK71" s="1159" t="e">
        <f t="shared" si="237"/>
        <v>#DIV/0!</v>
      </c>
      <c r="VFL71" s="1159" t="e">
        <f t="shared" si="237"/>
        <v>#DIV/0!</v>
      </c>
      <c r="VFM71" s="1159" t="e">
        <f t="shared" si="237"/>
        <v>#DIV/0!</v>
      </c>
      <c r="VFN71" s="1159" t="e">
        <f t="shared" si="237"/>
        <v>#DIV/0!</v>
      </c>
      <c r="VFO71" s="1159" t="e">
        <f t="shared" si="237"/>
        <v>#DIV/0!</v>
      </c>
      <c r="VFP71" s="1159" t="e">
        <f t="shared" si="237"/>
        <v>#DIV/0!</v>
      </c>
      <c r="VFQ71" s="1159" t="e">
        <f t="shared" si="237"/>
        <v>#DIV/0!</v>
      </c>
      <c r="VFR71" s="1159" t="e">
        <f t="shared" ref="VFR71:VIC71" si="238">((VFR6+VFR12+VFR13+VFR14+VFR15)*860+VFR16*VFR55+VFR17*VFR56+VFR7*VFR49+VFR8*VFR50+VFR9*VFR51+VFR10*VFR52+VFR11*VFR53)/(SUM(VFR6:VFR17))</f>
        <v>#DIV/0!</v>
      </c>
      <c r="VFS71" s="1159" t="e">
        <f t="shared" si="238"/>
        <v>#DIV/0!</v>
      </c>
      <c r="VFT71" s="1159" t="e">
        <f t="shared" si="238"/>
        <v>#DIV/0!</v>
      </c>
      <c r="VFU71" s="1159" t="e">
        <f t="shared" si="238"/>
        <v>#DIV/0!</v>
      </c>
      <c r="VFV71" s="1159" t="e">
        <f t="shared" si="238"/>
        <v>#DIV/0!</v>
      </c>
      <c r="VFW71" s="1159" t="e">
        <f t="shared" si="238"/>
        <v>#DIV/0!</v>
      </c>
      <c r="VFX71" s="1159" t="e">
        <f t="shared" si="238"/>
        <v>#DIV/0!</v>
      </c>
      <c r="VFY71" s="1159" t="e">
        <f t="shared" si="238"/>
        <v>#DIV/0!</v>
      </c>
      <c r="VFZ71" s="1159" t="e">
        <f t="shared" si="238"/>
        <v>#DIV/0!</v>
      </c>
      <c r="VGA71" s="1159" t="e">
        <f t="shared" si="238"/>
        <v>#DIV/0!</v>
      </c>
      <c r="VGB71" s="1159" t="e">
        <f t="shared" si="238"/>
        <v>#DIV/0!</v>
      </c>
      <c r="VGC71" s="1159" t="e">
        <f t="shared" si="238"/>
        <v>#DIV/0!</v>
      </c>
      <c r="VGD71" s="1159" t="e">
        <f t="shared" si="238"/>
        <v>#DIV/0!</v>
      </c>
      <c r="VGE71" s="1159" t="e">
        <f t="shared" si="238"/>
        <v>#DIV/0!</v>
      </c>
      <c r="VGF71" s="1159" t="e">
        <f t="shared" si="238"/>
        <v>#DIV/0!</v>
      </c>
      <c r="VGG71" s="1159" t="e">
        <f t="shared" si="238"/>
        <v>#DIV/0!</v>
      </c>
      <c r="VGH71" s="1159" t="e">
        <f t="shared" si="238"/>
        <v>#DIV/0!</v>
      </c>
      <c r="VGI71" s="1159" t="e">
        <f t="shared" si="238"/>
        <v>#DIV/0!</v>
      </c>
      <c r="VGJ71" s="1159" t="e">
        <f t="shared" si="238"/>
        <v>#DIV/0!</v>
      </c>
      <c r="VGK71" s="1159" t="e">
        <f t="shared" si="238"/>
        <v>#DIV/0!</v>
      </c>
      <c r="VGL71" s="1159" t="e">
        <f t="shared" si="238"/>
        <v>#DIV/0!</v>
      </c>
      <c r="VGM71" s="1159" t="e">
        <f t="shared" si="238"/>
        <v>#DIV/0!</v>
      </c>
      <c r="VGN71" s="1159" t="e">
        <f t="shared" si="238"/>
        <v>#DIV/0!</v>
      </c>
      <c r="VGO71" s="1159" t="e">
        <f t="shared" si="238"/>
        <v>#DIV/0!</v>
      </c>
      <c r="VGP71" s="1159" t="e">
        <f t="shared" si="238"/>
        <v>#DIV/0!</v>
      </c>
      <c r="VGQ71" s="1159" t="e">
        <f t="shared" si="238"/>
        <v>#DIV/0!</v>
      </c>
      <c r="VGR71" s="1159" t="e">
        <f t="shared" si="238"/>
        <v>#DIV/0!</v>
      </c>
      <c r="VGS71" s="1159" t="e">
        <f t="shared" si="238"/>
        <v>#DIV/0!</v>
      </c>
      <c r="VGT71" s="1159" t="e">
        <f t="shared" si="238"/>
        <v>#DIV/0!</v>
      </c>
      <c r="VGU71" s="1159" t="e">
        <f t="shared" si="238"/>
        <v>#DIV/0!</v>
      </c>
      <c r="VGV71" s="1159" t="e">
        <f t="shared" si="238"/>
        <v>#DIV/0!</v>
      </c>
      <c r="VGW71" s="1159" t="e">
        <f t="shared" si="238"/>
        <v>#DIV/0!</v>
      </c>
      <c r="VGX71" s="1159" t="e">
        <f t="shared" si="238"/>
        <v>#DIV/0!</v>
      </c>
      <c r="VGY71" s="1159" t="e">
        <f t="shared" si="238"/>
        <v>#DIV/0!</v>
      </c>
      <c r="VGZ71" s="1159" t="e">
        <f t="shared" si="238"/>
        <v>#DIV/0!</v>
      </c>
      <c r="VHA71" s="1159" t="e">
        <f t="shared" si="238"/>
        <v>#DIV/0!</v>
      </c>
      <c r="VHB71" s="1159" t="e">
        <f t="shared" si="238"/>
        <v>#DIV/0!</v>
      </c>
      <c r="VHC71" s="1159" t="e">
        <f t="shared" si="238"/>
        <v>#DIV/0!</v>
      </c>
      <c r="VHD71" s="1159" t="e">
        <f t="shared" si="238"/>
        <v>#DIV/0!</v>
      </c>
      <c r="VHE71" s="1159" t="e">
        <f t="shared" si="238"/>
        <v>#DIV/0!</v>
      </c>
      <c r="VHF71" s="1159" t="e">
        <f t="shared" si="238"/>
        <v>#DIV/0!</v>
      </c>
      <c r="VHG71" s="1159" t="e">
        <f t="shared" si="238"/>
        <v>#DIV/0!</v>
      </c>
      <c r="VHH71" s="1159" t="e">
        <f t="shared" si="238"/>
        <v>#DIV/0!</v>
      </c>
      <c r="VHI71" s="1159" t="e">
        <f t="shared" si="238"/>
        <v>#DIV/0!</v>
      </c>
      <c r="VHJ71" s="1159" t="e">
        <f t="shared" si="238"/>
        <v>#DIV/0!</v>
      </c>
      <c r="VHK71" s="1159" t="e">
        <f t="shared" si="238"/>
        <v>#DIV/0!</v>
      </c>
      <c r="VHL71" s="1159" t="e">
        <f t="shared" si="238"/>
        <v>#DIV/0!</v>
      </c>
      <c r="VHM71" s="1159" t="e">
        <f t="shared" si="238"/>
        <v>#DIV/0!</v>
      </c>
      <c r="VHN71" s="1159" t="e">
        <f t="shared" si="238"/>
        <v>#DIV/0!</v>
      </c>
      <c r="VHO71" s="1159" t="e">
        <f t="shared" si="238"/>
        <v>#DIV/0!</v>
      </c>
      <c r="VHP71" s="1159" t="e">
        <f t="shared" si="238"/>
        <v>#DIV/0!</v>
      </c>
      <c r="VHQ71" s="1159" t="e">
        <f t="shared" si="238"/>
        <v>#DIV/0!</v>
      </c>
      <c r="VHR71" s="1159" t="e">
        <f t="shared" si="238"/>
        <v>#DIV/0!</v>
      </c>
      <c r="VHS71" s="1159" t="e">
        <f t="shared" si="238"/>
        <v>#DIV/0!</v>
      </c>
      <c r="VHT71" s="1159" t="e">
        <f t="shared" si="238"/>
        <v>#DIV/0!</v>
      </c>
      <c r="VHU71" s="1159" t="e">
        <f t="shared" si="238"/>
        <v>#DIV/0!</v>
      </c>
      <c r="VHV71" s="1159" t="e">
        <f t="shared" si="238"/>
        <v>#DIV/0!</v>
      </c>
      <c r="VHW71" s="1159" t="e">
        <f t="shared" si="238"/>
        <v>#DIV/0!</v>
      </c>
      <c r="VHX71" s="1159" t="e">
        <f t="shared" si="238"/>
        <v>#DIV/0!</v>
      </c>
      <c r="VHY71" s="1159" t="e">
        <f t="shared" si="238"/>
        <v>#DIV/0!</v>
      </c>
      <c r="VHZ71" s="1159" t="e">
        <f t="shared" si="238"/>
        <v>#DIV/0!</v>
      </c>
      <c r="VIA71" s="1159" t="e">
        <f t="shared" si="238"/>
        <v>#DIV/0!</v>
      </c>
      <c r="VIB71" s="1159" t="e">
        <f t="shared" si="238"/>
        <v>#DIV/0!</v>
      </c>
      <c r="VIC71" s="1159" t="e">
        <f t="shared" si="238"/>
        <v>#DIV/0!</v>
      </c>
      <c r="VID71" s="1159" t="e">
        <f t="shared" ref="VID71:VKO71" si="239">((VID6+VID12+VID13+VID14+VID15)*860+VID16*VID55+VID17*VID56+VID7*VID49+VID8*VID50+VID9*VID51+VID10*VID52+VID11*VID53)/(SUM(VID6:VID17))</f>
        <v>#DIV/0!</v>
      </c>
      <c r="VIE71" s="1159" t="e">
        <f t="shared" si="239"/>
        <v>#DIV/0!</v>
      </c>
      <c r="VIF71" s="1159" t="e">
        <f t="shared" si="239"/>
        <v>#DIV/0!</v>
      </c>
      <c r="VIG71" s="1159" t="e">
        <f t="shared" si="239"/>
        <v>#DIV/0!</v>
      </c>
      <c r="VIH71" s="1159" t="e">
        <f t="shared" si="239"/>
        <v>#DIV/0!</v>
      </c>
      <c r="VII71" s="1159" t="e">
        <f t="shared" si="239"/>
        <v>#DIV/0!</v>
      </c>
      <c r="VIJ71" s="1159" t="e">
        <f t="shared" si="239"/>
        <v>#DIV/0!</v>
      </c>
      <c r="VIK71" s="1159" t="e">
        <f t="shared" si="239"/>
        <v>#DIV/0!</v>
      </c>
      <c r="VIL71" s="1159" t="e">
        <f t="shared" si="239"/>
        <v>#DIV/0!</v>
      </c>
      <c r="VIM71" s="1159" t="e">
        <f t="shared" si="239"/>
        <v>#DIV/0!</v>
      </c>
      <c r="VIN71" s="1159" t="e">
        <f t="shared" si="239"/>
        <v>#DIV/0!</v>
      </c>
      <c r="VIO71" s="1159" t="e">
        <f t="shared" si="239"/>
        <v>#DIV/0!</v>
      </c>
      <c r="VIP71" s="1159" t="e">
        <f t="shared" si="239"/>
        <v>#DIV/0!</v>
      </c>
      <c r="VIQ71" s="1159" t="e">
        <f t="shared" si="239"/>
        <v>#DIV/0!</v>
      </c>
      <c r="VIR71" s="1159" t="e">
        <f t="shared" si="239"/>
        <v>#DIV/0!</v>
      </c>
      <c r="VIS71" s="1159" t="e">
        <f t="shared" si="239"/>
        <v>#DIV/0!</v>
      </c>
      <c r="VIT71" s="1159" t="e">
        <f t="shared" si="239"/>
        <v>#DIV/0!</v>
      </c>
      <c r="VIU71" s="1159" t="e">
        <f t="shared" si="239"/>
        <v>#DIV/0!</v>
      </c>
      <c r="VIV71" s="1159" t="e">
        <f t="shared" si="239"/>
        <v>#DIV/0!</v>
      </c>
      <c r="VIW71" s="1159" t="e">
        <f t="shared" si="239"/>
        <v>#DIV/0!</v>
      </c>
      <c r="VIX71" s="1159" t="e">
        <f t="shared" si="239"/>
        <v>#DIV/0!</v>
      </c>
      <c r="VIY71" s="1159" t="e">
        <f t="shared" si="239"/>
        <v>#DIV/0!</v>
      </c>
      <c r="VIZ71" s="1159" t="e">
        <f t="shared" si="239"/>
        <v>#DIV/0!</v>
      </c>
      <c r="VJA71" s="1159" t="e">
        <f t="shared" si="239"/>
        <v>#DIV/0!</v>
      </c>
      <c r="VJB71" s="1159" t="e">
        <f t="shared" si="239"/>
        <v>#DIV/0!</v>
      </c>
      <c r="VJC71" s="1159" t="e">
        <f t="shared" si="239"/>
        <v>#DIV/0!</v>
      </c>
      <c r="VJD71" s="1159" t="e">
        <f t="shared" si="239"/>
        <v>#DIV/0!</v>
      </c>
      <c r="VJE71" s="1159" t="e">
        <f t="shared" si="239"/>
        <v>#DIV/0!</v>
      </c>
      <c r="VJF71" s="1159" t="e">
        <f t="shared" si="239"/>
        <v>#DIV/0!</v>
      </c>
      <c r="VJG71" s="1159" t="e">
        <f t="shared" si="239"/>
        <v>#DIV/0!</v>
      </c>
      <c r="VJH71" s="1159" t="e">
        <f t="shared" si="239"/>
        <v>#DIV/0!</v>
      </c>
      <c r="VJI71" s="1159" t="e">
        <f t="shared" si="239"/>
        <v>#DIV/0!</v>
      </c>
      <c r="VJJ71" s="1159" t="e">
        <f t="shared" si="239"/>
        <v>#DIV/0!</v>
      </c>
      <c r="VJK71" s="1159" t="e">
        <f t="shared" si="239"/>
        <v>#DIV/0!</v>
      </c>
      <c r="VJL71" s="1159" t="e">
        <f t="shared" si="239"/>
        <v>#DIV/0!</v>
      </c>
      <c r="VJM71" s="1159" t="e">
        <f t="shared" si="239"/>
        <v>#DIV/0!</v>
      </c>
      <c r="VJN71" s="1159" t="e">
        <f t="shared" si="239"/>
        <v>#DIV/0!</v>
      </c>
      <c r="VJO71" s="1159" t="e">
        <f t="shared" si="239"/>
        <v>#DIV/0!</v>
      </c>
      <c r="VJP71" s="1159" t="e">
        <f t="shared" si="239"/>
        <v>#DIV/0!</v>
      </c>
      <c r="VJQ71" s="1159" t="e">
        <f t="shared" si="239"/>
        <v>#DIV/0!</v>
      </c>
      <c r="VJR71" s="1159" t="e">
        <f t="shared" si="239"/>
        <v>#DIV/0!</v>
      </c>
      <c r="VJS71" s="1159" t="e">
        <f t="shared" si="239"/>
        <v>#DIV/0!</v>
      </c>
      <c r="VJT71" s="1159" t="e">
        <f t="shared" si="239"/>
        <v>#DIV/0!</v>
      </c>
      <c r="VJU71" s="1159" t="e">
        <f t="shared" si="239"/>
        <v>#DIV/0!</v>
      </c>
      <c r="VJV71" s="1159" t="e">
        <f t="shared" si="239"/>
        <v>#DIV/0!</v>
      </c>
      <c r="VJW71" s="1159" t="e">
        <f t="shared" si="239"/>
        <v>#DIV/0!</v>
      </c>
      <c r="VJX71" s="1159" t="e">
        <f t="shared" si="239"/>
        <v>#DIV/0!</v>
      </c>
      <c r="VJY71" s="1159" t="e">
        <f t="shared" si="239"/>
        <v>#DIV/0!</v>
      </c>
      <c r="VJZ71" s="1159" t="e">
        <f t="shared" si="239"/>
        <v>#DIV/0!</v>
      </c>
      <c r="VKA71" s="1159" t="e">
        <f t="shared" si="239"/>
        <v>#DIV/0!</v>
      </c>
      <c r="VKB71" s="1159" t="e">
        <f t="shared" si="239"/>
        <v>#DIV/0!</v>
      </c>
      <c r="VKC71" s="1159" t="e">
        <f t="shared" si="239"/>
        <v>#DIV/0!</v>
      </c>
      <c r="VKD71" s="1159" t="e">
        <f t="shared" si="239"/>
        <v>#DIV/0!</v>
      </c>
      <c r="VKE71" s="1159" t="e">
        <f t="shared" si="239"/>
        <v>#DIV/0!</v>
      </c>
      <c r="VKF71" s="1159" t="e">
        <f t="shared" si="239"/>
        <v>#DIV/0!</v>
      </c>
      <c r="VKG71" s="1159" t="e">
        <f t="shared" si="239"/>
        <v>#DIV/0!</v>
      </c>
      <c r="VKH71" s="1159" t="e">
        <f t="shared" si="239"/>
        <v>#DIV/0!</v>
      </c>
      <c r="VKI71" s="1159" t="e">
        <f t="shared" si="239"/>
        <v>#DIV/0!</v>
      </c>
      <c r="VKJ71" s="1159" t="e">
        <f t="shared" si="239"/>
        <v>#DIV/0!</v>
      </c>
      <c r="VKK71" s="1159" t="e">
        <f t="shared" si="239"/>
        <v>#DIV/0!</v>
      </c>
      <c r="VKL71" s="1159" t="e">
        <f t="shared" si="239"/>
        <v>#DIV/0!</v>
      </c>
      <c r="VKM71" s="1159" t="e">
        <f t="shared" si="239"/>
        <v>#DIV/0!</v>
      </c>
      <c r="VKN71" s="1159" t="e">
        <f t="shared" si="239"/>
        <v>#DIV/0!</v>
      </c>
      <c r="VKO71" s="1159" t="e">
        <f t="shared" si="239"/>
        <v>#DIV/0!</v>
      </c>
      <c r="VKP71" s="1159" t="e">
        <f t="shared" ref="VKP71:VNA71" si="240">((VKP6+VKP12+VKP13+VKP14+VKP15)*860+VKP16*VKP55+VKP17*VKP56+VKP7*VKP49+VKP8*VKP50+VKP9*VKP51+VKP10*VKP52+VKP11*VKP53)/(SUM(VKP6:VKP17))</f>
        <v>#DIV/0!</v>
      </c>
      <c r="VKQ71" s="1159" t="e">
        <f t="shared" si="240"/>
        <v>#DIV/0!</v>
      </c>
      <c r="VKR71" s="1159" t="e">
        <f t="shared" si="240"/>
        <v>#DIV/0!</v>
      </c>
      <c r="VKS71" s="1159" t="e">
        <f t="shared" si="240"/>
        <v>#DIV/0!</v>
      </c>
      <c r="VKT71" s="1159" t="e">
        <f t="shared" si="240"/>
        <v>#DIV/0!</v>
      </c>
      <c r="VKU71" s="1159" t="e">
        <f t="shared" si="240"/>
        <v>#DIV/0!</v>
      </c>
      <c r="VKV71" s="1159" t="e">
        <f t="shared" si="240"/>
        <v>#DIV/0!</v>
      </c>
      <c r="VKW71" s="1159" t="e">
        <f t="shared" si="240"/>
        <v>#DIV/0!</v>
      </c>
      <c r="VKX71" s="1159" t="e">
        <f t="shared" si="240"/>
        <v>#DIV/0!</v>
      </c>
      <c r="VKY71" s="1159" t="e">
        <f t="shared" si="240"/>
        <v>#DIV/0!</v>
      </c>
      <c r="VKZ71" s="1159" t="e">
        <f t="shared" si="240"/>
        <v>#DIV/0!</v>
      </c>
      <c r="VLA71" s="1159" t="e">
        <f t="shared" si="240"/>
        <v>#DIV/0!</v>
      </c>
      <c r="VLB71" s="1159" t="e">
        <f t="shared" si="240"/>
        <v>#DIV/0!</v>
      </c>
      <c r="VLC71" s="1159" t="e">
        <f t="shared" si="240"/>
        <v>#DIV/0!</v>
      </c>
      <c r="VLD71" s="1159" t="e">
        <f t="shared" si="240"/>
        <v>#DIV/0!</v>
      </c>
      <c r="VLE71" s="1159" t="e">
        <f t="shared" si="240"/>
        <v>#DIV/0!</v>
      </c>
      <c r="VLF71" s="1159" t="e">
        <f t="shared" si="240"/>
        <v>#DIV/0!</v>
      </c>
      <c r="VLG71" s="1159" t="e">
        <f t="shared" si="240"/>
        <v>#DIV/0!</v>
      </c>
      <c r="VLH71" s="1159" t="e">
        <f t="shared" si="240"/>
        <v>#DIV/0!</v>
      </c>
      <c r="VLI71" s="1159" t="e">
        <f t="shared" si="240"/>
        <v>#DIV/0!</v>
      </c>
      <c r="VLJ71" s="1159" t="e">
        <f t="shared" si="240"/>
        <v>#DIV/0!</v>
      </c>
      <c r="VLK71" s="1159" t="e">
        <f t="shared" si="240"/>
        <v>#DIV/0!</v>
      </c>
      <c r="VLL71" s="1159" t="e">
        <f t="shared" si="240"/>
        <v>#DIV/0!</v>
      </c>
      <c r="VLM71" s="1159" t="e">
        <f t="shared" si="240"/>
        <v>#DIV/0!</v>
      </c>
      <c r="VLN71" s="1159" t="e">
        <f t="shared" si="240"/>
        <v>#DIV/0!</v>
      </c>
      <c r="VLO71" s="1159" t="e">
        <f t="shared" si="240"/>
        <v>#DIV/0!</v>
      </c>
      <c r="VLP71" s="1159" t="e">
        <f t="shared" si="240"/>
        <v>#DIV/0!</v>
      </c>
      <c r="VLQ71" s="1159" t="e">
        <f t="shared" si="240"/>
        <v>#DIV/0!</v>
      </c>
      <c r="VLR71" s="1159" t="e">
        <f t="shared" si="240"/>
        <v>#DIV/0!</v>
      </c>
      <c r="VLS71" s="1159" t="e">
        <f t="shared" si="240"/>
        <v>#DIV/0!</v>
      </c>
      <c r="VLT71" s="1159" t="e">
        <f t="shared" si="240"/>
        <v>#DIV/0!</v>
      </c>
      <c r="VLU71" s="1159" t="e">
        <f t="shared" si="240"/>
        <v>#DIV/0!</v>
      </c>
      <c r="VLV71" s="1159" t="e">
        <f t="shared" si="240"/>
        <v>#DIV/0!</v>
      </c>
      <c r="VLW71" s="1159" t="e">
        <f t="shared" si="240"/>
        <v>#DIV/0!</v>
      </c>
      <c r="VLX71" s="1159" t="e">
        <f t="shared" si="240"/>
        <v>#DIV/0!</v>
      </c>
      <c r="VLY71" s="1159" t="e">
        <f t="shared" si="240"/>
        <v>#DIV/0!</v>
      </c>
      <c r="VLZ71" s="1159" t="e">
        <f t="shared" si="240"/>
        <v>#DIV/0!</v>
      </c>
      <c r="VMA71" s="1159" t="e">
        <f t="shared" si="240"/>
        <v>#DIV/0!</v>
      </c>
      <c r="VMB71" s="1159" t="e">
        <f t="shared" si="240"/>
        <v>#DIV/0!</v>
      </c>
      <c r="VMC71" s="1159" t="e">
        <f t="shared" si="240"/>
        <v>#DIV/0!</v>
      </c>
      <c r="VMD71" s="1159" t="e">
        <f t="shared" si="240"/>
        <v>#DIV/0!</v>
      </c>
      <c r="VME71" s="1159" t="e">
        <f t="shared" si="240"/>
        <v>#DIV/0!</v>
      </c>
      <c r="VMF71" s="1159" t="e">
        <f t="shared" si="240"/>
        <v>#DIV/0!</v>
      </c>
      <c r="VMG71" s="1159" t="e">
        <f t="shared" si="240"/>
        <v>#DIV/0!</v>
      </c>
      <c r="VMH71" s="1159" t="e">
        <f t="shared" si="240"/>
        <v>#DIV/0!</v>
      </c>
      <c r="VMI71" s="1159" t="e">
        <f t="shared" si="240"/>
        <v>#DIV/0!</v>
      </c>
      <c r="VMJ71" s="1159" t="e">
        <f t="shared" si="240"/>
        <v>#DIV/0!</v>
      </c>
      <c r="VMK71" s="1159" t="e">
        <f t="shared" si="240"/>
        <v>#DIV/0!</v>
      </c>
      <c r="VML71" s="1159" t="e">
        <f t="shared" si="240"/>
        <v>#DIV/0!</v>
      </c>
      <c r="VMM71" s="1159" t="e">
        <f t="shared" si="240"/>
        <v>#DIV/0!</v>
      </c>
      <c r="VMN71" s="1159" t="e">
        <f t="shared" si="240"/>
        <v>#DIV/0!</v>
      </c>
      <c r="VMO71" s="1159" t="e">
        <f t="shared" si="240"/>
        <v>#DIV/0!</v>
      </c>
      <c r="VMP71" s="1159" t="e">
        <f t="shared" si="240"/>
        <v>#DIV/0!</v>
      </c>
      <c r="VMQ71" s="1159" t="e">
        <f t="shared" si="240"/>
        <v>#DIV/0!</v>
      </c>
      <c r="VMR71" s="1159" t="e">
        <f t="shared" si="240"/>
        <v>#DIV/0!</v>
      </c>
      <c r="VMS71" s="1159" t="e">
        <f t="shared" si="240"/>
        <v>#DIV/0!</v>
      </c>
      <c r="VMT71" s="1159" t="e">
        <f t="shared" si="240"/>
        <v>#DIV/0!</v>
      </c>
      <c r="VMU71" s="1159" t="e">
        <f t="shared" si="240"/>
        <v>#DIV/0!</v>
      </c>
      <c r="VMV71" s="1159" t="e">
        <f t="shared" si="240"/>
        <v>#DIV/0!</v>
      </c>
      <c r="VMW71" s="1159" t="e">
        <f t="shared" si="240"/>
        <v>#DIV/0!</v>
      </c>
      <c r="VMX71" s="1159" t="e">
        <f t="shared" si="240"/>
        <v>#DIV/0!</v>
      </c>
      <c r="VMY71" s="1159" t="e">
        <f t="shared" si="240"/>
        <v>#DIV/0!</v>
      </c>
      <c r="VMZ71" s="1159" t="e">
        <f t="shared" si="240"/>
        <v>#DIV/0!</v>
      </c>
      <c r="VNA71" s="1159" t="e">
        <f t="shared" si="240"/>
        <v>#DIV/0!</v>
      </c>
      <c r="VNB71" s="1159" t="e">
        <f t="shared" ref="VNB71:VPM71" si="241">((VNB6+VNB12+VNB13+VNB14+VNB15)*860+VNB16*VNB55+VNB17*VNB56+VNB7*VNB49+VNB8*VNB50+VNB9*VNB51+VNB10*VNB52+VNB11*VNB53)/(SUM(VNB6:VNB17))</f>
        <v>#DIV/0!</v>
      </c>
      <c r="VNC71" s="1159" t="e">
        <f t="shared" si="241"/>
        <v>#DIV/0!</v>
      </c>
      <c r="VND71" s="1159" t="e">
        <f t="shared" si="241"/>
        <v>#DIV/0!</v>
      </c>
      <c r="VNE71" s="1159" t="e">
        <f t="shared" si="241"/>
        <v>#DIV/0!</v>
      </c>
      <c r="VNF71" s="1159" t="e">
        <f t="shared" si="241"/>
        <v>#DIV/0!</v>
      </c>
      <c r="VNG71" s="1159" t="e">
        <f t="shared" si="241"/>
        <v>#DIV/0!</v>
      </c>
      <c r="VNH71" s="1159" t="e">
        <f t="shared" si="241"/>
        <v>#DIV/0!</v>
      </c>
      <c r="VNI71" s="1159" t="e">
        <f t="shared" si="241"/>
        <v>#DIV/0!</v>
      </c>
      <c r="VNJ71" s="1159" t="e">
        <f t="shared" si="241"/>
        <v>#DIV/0!</v>
      </c>
      <c r="VNK71" s="1159" t="e">
        <f t="shared" si="241"/>
        <v>#DIV/0!</v>
      </c>
      <c r="VNL71" s="1159" t="e">
        <f t="shared" si="241"/>
        <v>#DIV/0!</v>
      </c>
      <c r="VNM71" s="1159" t="e">
        <f t="shared" si="241"/>
        <v>#DIV/0!</v>
      </c>
      <c r="VNN71" s="1159" t="e">
        <f t="shared" si="241"/>
        <v>#DIV/0!</v>
      </c>
      <c r="VNO71" s="1159" t="e">
        <f t="shared" si="241"/>
        <v>#DIV/0!</v>
      </c>
      <c r="VNP71" s="1159" t="e">
        <f t="shared" si="241"/>
        <v>#DIV/0!</v>
      </c>
      <c r="VNQ71" s="1159" t="e">
        <f t="shared" si="241"/>
        <v>#DIV/0!</v>
      </c>
      <c r="VNR71" s="1159" t="e">
        <f t="shared" si="241"/>
        <v>#DIV/0!</v>
      </c>
      <c r="VNS71" s="1159" t="e">
        <f t="shared" si="241"/>
        <v>#DIV/0!</v>
      </c>
      <c r="VNT71" s="1159" t="e">
        <f t="shared" si="241"/>
        <v>#DIV/0!</v>
      </c>
      <c r="VNU71" s="1159" t="e">
        <f t="shared" si="241"/>
        <v>#DIV/0!</v>
      </c>
      <c r="VNV71" s="1159" t="e">
        <f t="shared" si="241"/>
        <v>#DIV/0!</v>
      </c>
      <c r="VNW71" s="1159" t="e">
        <f t="shared" si="241"/>
        <v>#DIV/0!</v>
      </c>
      <c r="VNX71" s="1159" t="e">
        <f t="shared" si="241"/>
        <v>#DIV/0!</v>
      </c>
      <c r="VNY71" s="1159" t="e">
        <f t="shared" si="241"/>
        <v>#DIV/0!</v>
      </c>
      <c r="VNZ71" s="1159" t="e">
        <f t="shared" si="241"/>
        <v>#DIV/0!</v>
      </c>
      <c r="VOA71" s="1159" t="e">
        <f t="shared" si="241"/>
        <v>#DIV/0!</v>
      </c>
      <c r="VOB71" s="1159" t="e">
        <f t="shared" si="241"/>
        <v>#DIV/0!</v>
      </c>
      <c r="VOC71" s="1159" t="e">
        <f t="shared" si="241"/>
        <v>#DIV/0!</v>
      </c>
      <c r="VOD71" s="1159" t="e">
        <f t="shared" si="241"/>
        <v>#DIV/0!</v>
      </c>
      <c r="VOE71" s="1159" t="e">
        <f t="shared" si="241"/>
        <v>#DIV/0!</v>
      </c>
      <c r="VOF71" s="1159" t="e">
        <f t="shared" si="241"/>
        <v>#DIV/0!</v>
      </c>
      <c r="VOG71" s="1159" t="e">
        <f t="shared" si="241"/>
        <v>#DIV/0!</v>
      </c>
      <c r="VOH71" s="1159" t="e">
        <f t="shared" si="241"/>
        <v>#DIV/0!</v>
      </c>
      <c r="VOI71" s="1159" t="e">
        <f t="shared" si="241"/>
        <v>#DIV/0!</v>
      </c>
      <c r="VOJ71" s="1159" t="e">
        <f t="shared" si="241"/>
        <v>#DIV/0!</v>
      </c>
      <c r="VOK71" s="1159" t="e">
        <f t="shared" si="241"/>
        <v>#DIV/0!</v>
      </c>
      <c r="VOL71" s="1159" t="e">
        <f t="shared" si="241"/>
        <v>#DIV/0!</v>
      </c>
      <c r="VOM71" s="1159" t="e">
        <f t="shared" si="241"/>
        <v>#DIV/0!</v>
      </c>
      <c r="VON71" s="1159" t="e">
        <f t="shared" si="241"/>
        <v>#DIV/0!</v>
      </c>
      <c r="VOO71" s="1159" t="e">
        <f t="shared" si="241"/>
        <v>#DIV/0!</v>
      </c>
      <c r="VOP71" s="1159" t="e">
        <f t="shared" si="241"/>
        <v>#DIV/0!</v>
      </c>
      <c r="VOQ71" s="1159" t="e">
        <f t="shared" si="241"/>
        <v>#DIV/0!</v>
      </c>
      <c r="VOR71" s="1159" t="e">
        <f t="shared" si="241"/>
        <v>#DIV/0!</v>
      </c>
      <c r="VOS71" s="1159" t="e">
        <f t="shared" si="241"/>
        <v>#DIV/0!</v>
      </c>
      <c r="VOT71" s="1159" t="e">
        <f t="shared" si="241"/>
        <v>#DIV/0!</v>
      </c>
      <c r="VOU71" s="1159" t="e">
        <f t="shared" si="241"/>
        <v>#DIV/0!</v>
      </c>
      <c r="VOV71" s="1159" t="e">
        <f t="shared" si="241"/>
        <v>#DIV/0!</v>
      </c>
      <c r="VOW71" s="1159" t="e">
        <f t="shared" si="241"/>
        <v>#DIV/0!</v>
      </c>
      <c r="VOX71" s="1159" t="e">
        <f t="shared" si="241"/>
        <v>#DIV/0!</v>
      </c>
      <c r="VOY71" s="1159" t="e">
        <f t="shared" si="241"/>
        <v>#DIV/0!</v>
      </c>
      <c r="VOZ71" s="1159" t="e">
        <f t="shared" si="241"/>
        <v>#DIV/0!</v>
      </c>
      <c r="VPA71" s="1159" t="e">
        <f t="shared" si="241"/>
        <v>#DIV/0!</v>
      </c>
      <c r="VPB71" s="1159" t="e">
        <f t="shared" si="241"/>
        <v>#DIV/0!</v>
      </c>
      <c r="VPC71" s="1159" t="e">
        <f t="shared" si="241"/>
        <v>#DIV/0!</v>
      </c>
      <c r="VPD71" s="1159" t="e">
        <f t="shared" si="241"/>
        <v>#DIV/0!</v>
      </c>
      <c r="VPE71" s="1159" t="e">
        <f t="shared" si="241"/>
        <v>#DIV/0!</v>
      </c>
      <c r="VPF71" s="1159" t="e">
        <f t="shared" si="241"/>
        <v>#DIV/0!</v>
      </c>
      <c r="VPG71" s="1159" t="e">
        <f t="shared" si="241"/>
        <v>#DIV/0!</v>
      </c>
      <c r="VPH71" s="1159" t="e">
        <f t="shared" si="241"/>
        <v>#DIV/0!</v>
      </c>
      <c r="VPI71" s="1159" t="e">
        <f t="shared" si="241"/>
        <v>#DIV/0!</v>
      </c>
      <c r="VPJ71" s="1159" t="e">
        <f t="shared" si="241"/>
        <v>#DIV/0!</v>
      </c>
      <c r="VPK71" s="1159" t="e">
        <f t="shared" si="241"/>
        <v>#DIV/0!</v>
      </c>
      <c r="VPL71" s="1159" t="e">
        <f t="shared" si="241"/>
        <v>#DIV/0!</v>
      </c>
      <c r="VPM71" s="1159" t="e">
        <f t="shared" si="241"/>
        <v>#DIV/0!</v>
      </c>
      <c r="VPN71" s="1159" t="e">
        <f t="shared" ref="VPN71:VRY71" si="242">((VPN6+VPN12+VPN13+VPN14+VPN15)*860+VPN16*VPN55+VPN17*VPN56+VPN7*VPN49+VPN8*VPN50+VPN9*VPN51+VPN10*VPN52+VPN11*VPN53)/(SUM(VPN6:VPN17))</f>
        <v>#DIV/0!</v>
      </c>
      <c r="VPO71" s="1159" t="e">
        <f t="shared" si="242"/>
        <v>#DIV/0!</v>
      </c>
      <c r="VPP71" s="1159" t="e">
        <f t="shared" si="242"/>
        <v>#DIV/0!</v>
      </c>
      <c r="VPQ71" s="1159" t="e">
        <f t="shared" si="242"/>
        <v>#DIV/0!</v>
      </c>
      <c r="VPR71" s="1159" t="e">
        <f t="shared" si="242"/>
        <v>#DIV/0!</v>
      </c>
      <c r="VPS71" s="1159" t="e">
        <f t="shared" si="242"/>
        <v>#DIV/0!</v>
      </c>
      <c r="VPT71" s="1159" t="e">
        <f t="shared" si="242"/>
        <v>#DIV/0!</v>
      </c>
      <c r="VPU71" s="1159" t="e">
        <f t="shared" si="242"/>
        <v>#DIV/0!</v>
      </c>
      <c r="VPV71" s="1159" t="e">
        <f t="shared" si="242"/>
        <v>#DIV/0!</v>
      </c>
      <c r="VPW71" s="1159" t="e">
        <f t="shared" si="242"/>
        <v>#DIV/0!</v>
      </c>
      <c r="VPX71" s="1159" t="e">
        <f t="shared" si="242"/>
        <v>#DIV/0!</v>
      </c>
      <c r="VPY71" s="1159" t="e">
        <f t="shared" si="242"/>
        <v>#DIV/0!</v>
      </c>
      <c r="VPZ71" s="1159" t="e">
        <f t="shared" si="242"/>
        <v>#DIV/0!</v>
      </c>
      <c r="VQA71" s="1159" t="e">
        <f t="shared" si="242"/>
        <v>#DIV/0!</v>
      </c>
      <c r="VQB71" s="1159" t="e">
        <f t="shared" si="242"/>
        <v>#DIV/0!</v>
      </c>
      <c r="VQC71" s="1159" t="e">
        <f t="shared" si="242"/>
        <v>#DIV/0!</v>
      </c>
      <c r="VQD71" s="1159" t="e">
        <f t="shared" si="242"/>
        <v>#DIV/0!</v>
      </c>
      <c r="VQE71" s="1159" t="e">
        <f t="shared" si="242"/>
        <v>#DIV/0!</v>
      </c>
      <c r="VQF71" s="1159" t="e">
        <f t="shared" si="242"/>
        <v>#DIV/0!</v>
      </c>
      <c r="VQG71" s="1159" t="e">
        <f t="shared" si="242"/>
        <v>#DIV/0!</v>
      </c>
      <c r="VQH71" s="1159" t="e">
        <f t="shared" si="242"/>
        <v>#DIV/0!</v>
      </c>
      <c r="VQI71" s="1159" t="e">
        <f t="shared" si="242"/>
        <v>#DIV/0!</v>
      </c>
      <c r="VQJ71" s="1159" t="e">
        <f t="shared" si="242"/>
        <v>#DIV/0!</v>
      </c>
      <c r="VQK71" s="1159" t="e">
        <f t="shared" si="242"/>
        <v>#DIV/0!</v>
      </c>
      <c r="VQL71" s="1159" t="e">
        <f t="shared" si="242"/>
        <v>#DIV/0!</v>
      </c>
      <c r="VQM71" s="1159" t="e">
        <f t="shared" si="242"/>
        <v>#DIV/0!</v>
      </c>
      <c r="VQN71" s="1159" t="e">
        <f t="shared" si="242"/>
        <v>#DIV/0!</v>
      </c>
      <c r="VQO71" s="1159" t="e">
        <f t="shared" si="242"/>
        <v>#DIV/0!</v>
      </c>
      <c r="VQP71" s="1159" t="e">
        <f t="shared" si="242"/>
        <v>#DIV/0!</v>
      </c>
      <c r="VQQ71" s="1159" t="e">
        <f t="shared" si="242"/>
        <v>#DIV/0!</v>
      </c>
      <c r="VQR71" s="1159" t="e">
        <f t="shared" si="242"/>
        <v>#DIV/0!</v>
      </c>
      <c r="VQS71" s="1159" t="e">
        <f t="shared" si="242"/>
        <v>#DIV/0!</v>
      </c>
      <c r="VQT71" s="1159" t="e">
        <f t="shared" si="242"/>
        <v>#DIV/0!</v>
      </c>
      <c r="VQU71" s="1159" t="e">
        <f t="shared" si="242"/>
        <v>#DIV/0!</v>
      </c>
      <c r="VQV71" s="1159" t="e">
        <f t="shared" si="242"/>
        <v>#DIV/0!</v>
      </c>
      <c r="VQW71" s="1159" t="e">
        <f t="shared" si="242"/>
        <v>#DIV/0!</v>
      </c>
      <c r="VQX71" s="1159" t="e">
        <f t="shared" si="242"/>
        <v>#DIV/0!</v>
      </c>
      <c r="VQY71" s="1159" t="e">
        <f t="shared" si="242"/>
        <v>#DIV/0!</v>
      </c>
      <c r="VQZ71" s="1159" t="e">
        <f t="shared" si="242"/>
        <v>#DIV/0!</v>
      </c>
      <c r="VRA71" s="1159" t="e">
        <f t="shared" si="242"/>
        <v>#DIV/0!</v>
      </c>
      <c r="VRB71" s="1159" t="e">
        <f t="shared" si="242"/>
        <v>#DIV/0!</v>
      </c>
      <c r="VRC71" s="1159" t="e">
        <f t="shared" si="242"/>
        <v>#DIV/0!</v>
      </c>
      <c r="VRD71" s="1159" t="e">
        <f t="shared" si="242"/>
        <v>#DIV/0!</v>
      </c>
      <c r="VRE71" s="1159" t="e">
        <f t="shared" si="242"/>
        <v>#DIV/0!</v>
      </c>
      <c r="VRF71" s="1159" t="e">
        <f t="shared" si="242"/>
        <v>#DIV/0!</v>
      </c>
      <c r="VRG71" s="1159" t="e">
        <f t="shared" si="242"/>
        <v>#DIV/0!</v>
      </c>
      <c r="VRH71" s="1159" t="e">
        <f t="shared" si="242"/>
        <v>#DIV/0!</v>
      </c>
      <c r="VRI71" s="1159" t="e">
        <f t="shared" si="242"/>
        <v>#DIV/0!</v>
      </c>
      <c r="VRJ71" s="1159" t="e">
        <f t="shared" si="242"/>
        <v>#DIV/0!</v>
      </c>
      <c r="VRK71" s="1159" t="e">
        <f t="shared" si="242"/>
        <v>#DIV/0!</v>
      </c>
      <c r="VRL71" s="1159" t="e">
        <f t="shared" si="242"/>
        <v>#DIV/0!</v>
      </c>
      <c r="VRM71" s="1159" t="e">
        <f t="shared" si="242"/>
        <v>#DIV/0!</v>
      </c>
      <c r="VRN71" s="1159" t="e">
        <f t="shared" si="242"/>
        <v>#DIV/0!</v>
      </c>
      <c r="VRO71" s="1159" t="e">
        <f t="shared" si="242"/>
        <v>#DIV/0!</v>
      </c>
      <c r="VRP71" s="1159" t="e">
        <f t="shared" si="242"/>
        <v>#DIV/0!</v>
      </c>
      <c r="VRQ71" s="1159" t="e">
        <f t="shared" si="242"/>
        <v>#DIV/0!</v>
      </c>
      <c r="VRR71" s="1159" t="e">
        <f t="shared" si="242"/>
        <v>#DIV/0!</v>
      </c>
      <c r="VRS71" s="1159" t="e">
        <f t="shared" si="242"/>
        <v>#DIV/0!</v>
      </c>
      <c r="VRT71" s="1159" t="e">
        <f t="shared" si="242"/>
        <v>#DIV/0!</v>
      </c>
      <c r="VRU71" s="1159" t="e">
        <f t="shared" si="242"/>
        <v>#DIV/0!</v>
      </c>
      <c r="VRV71" s="1159" t="e">
        <f t="shared" si="242"/>
        <v>#DIV/0!</v>
      </c>
      <c r="VRW71" s="1159" t="e">
        <f t="shared" si="242"/>
        <v>#DIV/0!</v>
      </c>
      <c r="VRX71" s="1159" t="e">
        <f t="shared" si="242"/>
        <v>#DIV/0!</v>
      </c>
      <c r="VRY71" s="1159" t="e">
        <f t="shared" si="242"/>
        <v>#DIV/0!</v>
      </c>
      <c r="VRZ71" s="1159" t="e">
        <f t="shared" ref="VRZ71:VUK71" si="243">((VRZ6+VRZ12+VRZ13+VRZ14+VRZ15)*860+VRZ16*VRZ55+VRZ17*VRZ56+VRZ7*VRZ49+VRZ8*VRZ50+VRZ9*VRZ51+VRZ10*VRZ52+VRZ11*VRZ53)/(SUM(VRZ6:VRZ17))</f>
        <v>#DIV/0!</v>
      </c>
      <c r="VSA71" s="1159" t="e">
        <f t="shared" si="243"/>
        <v>#DIV/0!</v>
      </c>
      <c r="VSB71" s="1159" t="e">
        <f t="shared" si="243"/>
        <v>#DIV/0!</v>
      </c>
      <c r="VSC71" s="1159" t="e">
        <f t="shared" si="243"/>
        <v>#DIV/0!</v>
      </c>
      <c r="VSD71" s="1159" t="e">
        <f t="shared" si="243"/>
        <v>#DIV/0!</v>
      </c>
      <c r="VSE71" s="1159" t="e">
        <f t="shared" si="243"/>
        <v>#DIV/0!</v>
      </c>
      <c r="VSF71" s="1159" t="e">
        <f t="shared" si="243"/>
        <v>#DIV/0!</v>
      </c>
      <c r="VSG71" s="1159" t="e">
        <f t="shared" si="243"/>
        <v>#DIV/0!</v>
      </c>
      <c r="VSH71" s="1159" t="e">
        <f t="shared" si="243"/>
        <v>#DIV/0!</v>
      </c>
      <c r="VSI71" s="1159" t="e">
        <f t="shared" si="243"/>
        <v>#DIV/0!</v>
      </c>
      <c r="VSJ71" s="1159" t="e">
        <f t="shared" si="243"/>
        <v>#DIV/0!</v>
      </c>
      <c r="VSK71" s="1159" t="e">
        <f t="shared" si="243"/>
        <v>#DIV/0!</v>
      </c>
      <c r="VSL71" s="1159" t="e">
        <f t="shared" si="243"/>
        <v>#DIV/0!</v>
      </c>
      <c r="VSM71" s="1159" t="e">
        <f t="shared" si="243"/>
        <v>#DIV/0!</v>
      </c>
      <c r="VSN71" s="1159" t="e">
        <f t="shared" si="243"/>
        <v>#DIV/0!</v>
      </c>
      <c r="VSO71" s="1159" t="e">
        <f t="shared" si="243"/>
        <v>#DIV/0!</v>
      </c>
      <c r="VSP71" s="1159" t="e">
        <f t="shared" si="243"/>
        <v>#DIV/0!</v>
      </c>
      <c r="VSQ71" s="1159" t="e">
        <f t="shared" si="243"/>
        <v>#DIV/0!</v>
      </c>
      <c r="VSR71" s="1159" t="e">
        <f t="shared" si="243"/>
        <v>#DIV/0!</v>
      </c>
      <c r="VSS71" s="1159" t="e">
        <f t="shared" si="243"/>
        <v>#DIV/0!</v>
      </c>
      <c r="VST71" s="1159" t="e">
        <f t="shared" si="243"/>
        <v>#DIV/0!</v>
      </c>
      <c r="VSU71" s="1159" t="e">
        <f t="shared" si="243"/>
        <v>#DIV/0!</v>
      </c>
      <c r="VSV71" s="1159" t="e">
        <f t="shared" si="243"/>
        <v>#DIV/0!</v>
      </c>
      <c r="VSW71" s="1159" t="e">
        <f t="shared" si="243"/>
        <v>#DIV/0!</v>
      </c>
      <c r="VSX71" s="1159" t="e">
        <f t="shared" si="243"/>
        <v>#DIV/0!</v>
      </c>
      <c r="VSY71" s="1159" t="e">
        <f t="shared" si="243"/>
        <v>#DIV/0!</v>
      </c>
      <c r="VSZ71" s="1159" t="e">
        <f t="shared" si="243"/>
        <v>#DIV/0!</v>
      </c>
      <c r="VTA71" s="1159" t="e">
        <f t="shared" si="243"/>
        <v>#DIV/0!</v>
      </c>
      <c r="VTB71" s="1159" t="e">
        <f t="shared" si="243"/>
        <v>#DIV/0!</v>
      </c>
      <c r="VTC71" s="1159" t="e">
        <f t="shared" si="243"/>
        <v>#DIV/0!</v>
      </c>
      <c r="VTD71" s="1159" t="e">
        <f t="shared" si="243"/>
        <v>#DIV/0!</v>
      </c>
      <c r="VTE71" s="1159" t="e">
        <f t="shared" si="243"/>
        <v>#DIV/0!</v>
      </c>
      <c r="VTF71" s="1159" t="e">
        <f t="shared" si="243"/>
        <v>#DIV/0!</v>
      </c>
      <c r="VTG71" s="1159" t="e">
        <f t="shared" si="243"/>
        <v>#DIV/0!</v>
      </c>
      <c r="VTH71" s="1159" t="e">
        <f t="shared" si="243"/>
        <v>#DIV/0!</v>
      </c>
      <c r="VTI71" s="1159" t="e">
        <f t="shared" si="243"/>
        <v>#DIV/0!</v>
      </c>
      <c r="VTJ71" s="1159" t="e">
        <f t="shared" si="243"/>
        <v>#DIV/0!</v>
      </c>
      <c r="VTK71" s="1159" t="e">
        <f t="shared" si="243"/>
        <v>#DIV/0!</v>
      </c>
      <c r="VTL71" s="1159" t="e">
        <f t="shared" si="243"/>
        <v>#DIV/0!</v>
      </c>
      <c r="VTM71" s="1159" t="e">
        <f t="shared" si="243"/>
        <v>#DIV/0!</v>
      </c>
      <c r="VTN71" s="1159" t="e">
        <f t="shared" si="243"/>
        <v>#DIV/0!</v>
      </c>
      <c r="VTO71" s="1159" t="e">
        <f t="shared" si="243"/>
        <v>#DIV/0!</v>
      </c>
      <c r="VTP71" s="1159" t="e">
        <f t="shared" si="243"/>
        <v>#DIV/0!</v>
      </c>
      <c r="VTQ71" s="1159" t="e">
        <f t="shared" si="243"/>
        <v>#DIV/0!</v>
      </c>
      <c r="VTR71" s="1159" t="e">
        <f t="shared" si="243"/>
        <v>#DIV/0!</v>
      </c>
      <c r="VTS71" s="1159" t="e">
        <f t="shared" si="243"/>
        <v>#DIV/0!</v>
      </c>
      <c r="VTT71" s="1159" t="e">
        <f t="shared" si="243"/>
        <v>#DIV/0!</v>
      </c>
      <c r="VTU71" s="1159" t="e">
        <f t="shared" si="243"/>
        <v>#DIV/0!</v>
      </c>
      <c r="VTV71" s="1159" t="e">
        <f t="shared" si="243"/>
        <v>#DIV/0!</v>
      </c>
      <c r="VTW71" s="1159" t="e">
        <f t="shared" si="243"/>
        <v>#DIV/0!</v>
      </c>
      <c r="VTX71" s="1159" t="e">
        <f t="shared" si="243"/>
        <v>#DIV/0!</v>
      </c>
      <c r="VTY71" s="1159" t="e">
        <f t="shared" si="243"/>
        <v>#DIV/0!</v>
      </c>
      <c r="VTZ71" s="1159" t="e">
        <f t="shared" si="243"/>
        <v>#DIV/0!</v>
      </c>
      <c r="VUA71" s="1159" t="e">
        <f t="shared" si="243"/>
        <v>#DIV/0!</v>
      </c>
      <c r="VUB71" s="1159" t="e">
        <f t="shared" si="243"/>
        <v>#DIV/0!</v>
      </c>
      <c r="VUC71" s="1159" t="e">
        <f t="shared" si="243"/>
        <v>#DIV/0!</v>
      </c>
      <c r="VUD71" s="1159" t="e">
        <f t="shared" si="243"/>
        <v>#DIV/0!</v>
      </c>
      <c r="VUE71" s="1159" t="e">
        <f t="shared" si="243"/>
        <v>#DIV/0!</v>
      </c>
      <c r="VUF71" s="1159" t="e">
        <f t="shared" si="243"/>
        <v>#DIV/0!</v>
      </c>
      <c r="VUG71" s="1159" t="e">
        <f t="shared" si="243"/>
        <v>#DIV/0!</v>
      </c>
      <c r="VUH71" s="1159" t="e">
        <f t="shared" si="243"/>
        <v>#DIV/0!</v>
      </c>
      <c r="VUI71" s="1159" t="e">
        <f t="shared" si="243"/>
        <v>#DIV/0!</v>
      </c>
      <c r="VUJ71" s="1159" t="e">
        <f t="shared" si="243"/>
        <v>#DIV/0!</v>
      </c>
      <c r="VUK71" s="1159" t="e">
        <f t="shared" si="243"/>
        <v>#DIV/0!</v>
      </c>
      <c r="VUL71" s="1159" t="e">
        <f t="shared" ref="VUL71:VWW71" si="244">((VUL6+VUL12+VUL13+VUL14+VUL15)*860+VUL16*VUL55+VUL17*VUL56+VUL7*VUL49+VUL8*VUL50+VUL9*VUL51+VUL10*VUL52+VUL11*VUL53)/(SUM(VUL6:VUL17))</f>
        <v>#DIV/0!</v>
      </c>
      <c r="VUM71" s="1159" t="e">
        <f t="shared" si="244"/>
        <v>#DIV/0!</v>
      </c>
      <c r="VUN71" s="1159" t="e">
        <f t="shared" si="244"/>
        <v>#DIV/0!</v>
      </c>
      <c r="VUO71" s="1159" t="e">
        <f t="shared" si="244"/>
        <v>#DIV/0!</v>
      </c>
      <c r="VUP71" s="1159" t="e">
        <f t="shared" si="244"/>
        <v>#DIV/0!</v>
      </c>
      <c r="VUQ71" s="1159" t="e">
        <f t="shared" si="244"/>
        <v>#DIV/0!</v>
      </c>
      <c r="VUR71" s="1159" t="e">
        <f t="shared" si="244"/>
        <v>#DIV/0!</v>
      </c>
      <c r="VUS71" s="1159" t="e">
        <f t="shared" si="244"/>
        <v>#DIV/0!</v>
      </c>
      <c r="VUT71" s="1159" t="e">
        <f t="shared" si="244"/>
        <v>#DIV/0!</v>
      </c>
      <c r="VUU71" s="1159" t="e">
        <f t="shared" si="244"/>
        <v>#DIV/0!</v>
      </c>
      <c r="VUV71" s="1159" t="e">
        <f t="shared" si="244"/>
        <v>#DIV/0!</v>
      </c>
      <c r="VUW71" s="1159" t="e">
        <f t="shared" si="244"/>
        <v>#DIV/0!</v>
      </c>
      <c r="VUX71" s="1159" t="e">
        <f t="shared" si="244"/>
        <v>#DIV/0!</v>
      </c>
      <c r="VUY71" s="1159" t="e">
        <f t="shared" si="244"/>
        <v>#DIV/0!</v>
      </c>
      <c r="VUZ71" s="1159" t="e">
        <f t="shared" si="244"/>
        <v>#DIV/0!</v>
      </c>
      <c r="VVA71" s="1159" t="e">
        <f t="shared" si="244"/>
        <v>#DIV/0!</v>
      </c>
      <c r="VVB71" s="1159" t="e">
        <f t="shared" si="244"/>
        <v>#DIV/0!</v>
      </c>
      <c r="VVC71" s="1159" t="e">
        <f t="shared" si="244"/>
        <v>#DIV/0!</v>
      </c>
      <c r="VVD71" s="1159" t="e">
        <f t="shared" si="244"/>
        <v>#DIV/0!</v>
      </c>
      <c r="VVE71" s="1159" t="e">
        <f t="shared" si="244"/>
        <v>#DIV/0!</v>
      </c>
      <c r="VVF71" s="1159" t="e">
        <f t="shared" si="244"/>
        <v>#DIV/0!</v>
      </c>
      <c r="VVG71" s="1159" t="e">
        <f t="shared" si="244"/>
        <v>#DIV/0!</v>
      </c>
      <c r="VVH71" s="1159" t="e">
        <f t="shared" si="244"/>
        <v>#DIV/0!</v>
      </c>
      <c r="VVI71" s="1159" t="e">
        <f t="shared" si="244"/>
        <v>#DIV/0!</v>
      </c>
      <c r="VVJ71" s="1159" t="e">
        <f t="shared" si="244"/>
        <v>#DIV/0!</v>
      </c>
      <c r="VVK71" s="1159" t="e">
        <f t="shared" si="244"/>
        <v>#DIV/0!</v>
      </c>
      <c r="VVL71" s="1159" t="e">
        <f t="shared" si="244"/>
        <v>#DIV/0!</v>
      </c>
      <c r="VVM71" s="1159" t="e">
        <f t="shared" si="244"/>
        <v>#DIV/0!</v>
      </c>
      <c r="VVN71" s="1159" t="e">
        <f t="shared" si="244"/>
        <v>#DIV/0!</v>
      </c>
      <c r="VVO71" s="1159" t="e">
        <f t="shared" si="244"/>
        <v>#DIV/0!</v>
      </c>
      <c r="VVP71" s="1159" t="e">
        <f t="shared" si="244"/>
        <v>#DIV/0!</v>
      </c>
      <c r="VVQ71" s="1159" t="e">
        <f t="shared" si="244"/>
        <v>#DIV/0!</v>
      </c>
      <c r="VVR71" s="1159" t="e">
        <f t="shared" si="244"/>
        <v>#DIV/0!</v>
      </c>
      <c r="VVS71" s="1159" t="e">
        <f t="shared" si="244"/>
        <v>#DIV/0!</v>
      </c>
      <c r="VVT71" s="1159" t="e">
        <f t="shared" si="244"/>
        <v>#DIV/0!</v>
      </c>
      <c r="VVU71" s="1159" t="e">
        <f t="shared" si="244"/>
        <v>#DIV/0!</v>
      </c>
      <c r="VVV71" s="1159" t="e">
        <f t="shared" si="244"/>
        <v>#DIV/0!</v>
      </c>
      <c r="VVW71" s="1159" t="e">
        <f t="shared" si="244"/>
        <v>#DIV/0!</v>
      </c>
      <c r="VVX71" s="1159" t="e">
        <f t="shared" si="244"/>
        <v>#DIV/0!</v>
      </c>
      <c r="VVY71" s="1159" t="e">
        <f t="shared" si="244"/>
        <v>#DIV/0!</v>
      </c>
      <c r="VVZ71" s="1159" t="e">
        <f t="shared" si="244"/>
        <v>#DIV/0!</v>
      </c>
      <c r="VWA71" s="1159" t="e">
        <f t="shared" si="244"/>
        <v>#DIV/0!</v>
      </c>
      <c r="VWB71" s="1159" t="e">
        <f t="shared" si="244"/>
        <v>#DIV/0!</v>
      </c>
      <c r="VWC71" s="1159" t="e">
        <f t="shared" si="244"/>
        <v>#DIV/0!</v>
      </c>
      <c r="VWD71" s="1159" t="e">
        <f t="shared" si="244"/>
        <v>#DIV/0!</v>
      </c>
      <c r="VWE71" s="1159" t="e">
        <f t="shared" si="244"/>
        <v>#DIV/0!</v>
      </c>
      <c r="VWF71" s="1159" t="e">
        <f t="shared" si="244"/>
        <v>#DIV/0!</v>
      </c>
      <c r="VWG71" s="1159" t="e">
        <f t="shared" si="244"/>
        <v>#DIV/0!</v>
      </c>
      <c r="VWH71" s="1159" t="e">
        <f t="shared" si="244"/>
        <v>#DIV/0!</v>
      </c>
      <c r="VWI71" s="1159" t="e">
        <f t="shared" si="244"/>
        <v>#DIV/0!</v>
      </c>
      <c r="VWJ71" s="1159" t="e">
        <f t="shared" si="244"/>
        <v>#DIV/0!</v>
      </c>
      <c r="VWK71" s="1159" t="e">
        <f t="shared" si="244"/>
        <v>#DIV/0!</v>
      </c>
      <c r="VWL71" s="1159" t="e">
        <f t="shared" si="244"/>
        <v>#DIV/0!</v>
      </c>
      <c r="VWM71" s="1159" t="e">
        <f t="shared" si="244"/>
        <v>#DIV/0!</v>
      </c>
      <c r="VWN71" s="1159" t="e">
        <f t="shared" si="244"/>
        <v>#DIV/0!</v>
      </c>
      <c r="VWO71" s="1159" t="e">
        <f t="shared" si="244"/>
        <v>#DIV/0!</v>
      </c>
      <c r="VWP71" s="1159" t="e">
        <f t="shared" si="244"/>
        <v>#DIV/0!</v>
      </c>
      <c r="VWQ71" s="1159" t="e">
        <f t="shared" si="244"/>
        <v>#DIV/0!</v>
      </c>
      <c r="VWR71" s="1159" t="e">
        <f t="shared" si="244"/>
        <v>#DIV/0!</v>
      </c>
      <c r="VWS71" s="1159" t="e">
        <f t="shared" si="244"/>
        <v>#DIV/0!</v>
      </c>
      <c r="VWT71" s="1159" t="e">
        <f t="shared" si="244"/>
        <v>#DIV/0!</v>
      </c>
      <c r="VWU71" s="1159" t="e">
        <f t="shared" si="244"/>
        <v>#DIV/0!</v>
      </c>
      <c r="VWV71" s="1159" t="e">
        <f t="shared" si="244"/>
        <v>#DIV/0!</v>
      </c>
      <c r="VWW71" s="1159" t="e">
        <f t="shared" si="244"/>
        <v>#DIV/0!</v>
      </c>
      <c r="VWX71" s="1159" t="e">
        <f t="shared" ref="VWX71:VZI71" si="245">((VWX6+VWX12+VWX13+VWX14+VWX15)*860+VWX16*VWX55+VWX17*VWX56+VWX7*VWX49+VWX8*VWX50+VWX9*VWX51+VWX10*VWX52+VWX11*VWX53)/(SUM(VWX6:VWX17))</f>
        <v>#DIV/0!</v>
      </c>
      <c r="VWY71" s="1159" t="e">
        <f t="shared" si="245"/>
        <v>#DIV/0!</v>
      </c>
      <c r="VWZ71" s="1159" t="e">
        <f t="shared" si="245"/>
        <v>#DIV/0!</v>
      </c>
      <c r="VXA71" s="1159" t="e">
        <f t="shared" si="245"/>
        <v>#DIV/0!</v>
      </c>
      <c r="VXB71" s="1159" t="e">
        <f t="shared" si="245"/>
        <v>#DIV/0!</v>
      </c>
      <c r="VXC71" s="1159" t="e">
        <f t="shared" si="245"/>
        <v>#DIV/0!</v>
      </c>
      <c r="VXD71" s="1159" t="e">
        <f t="shared" si="245"/>
        <v>#DIV/0!</v>
      </c>
      <c r="VXE71" s="1159" t="e">
        <f t="shared" si="245"/>
        <v>#DIV/0!</v>
      </c>
      <c r="VXF71" s="1159" t="e">
        <f t="shared" si="245"/>
        <v>#DIV/0!</v>
      </c>
      <c r="VXG71" s="1159" t="e">
        <f t="shared" si="245"/>
        <v>#DIV/0!</v>
      </c>
      <c r="VXH71" s="1159" t="e">
        <f t="shared" si="245"/>
        <v>#DIV/0!</v>
      </c>
      <c r="VXI71" s="1159" t="e">
        <f t="shared" si="245"/>
        <v>#DIV/0!</v>
      </c>
      <c r="VXJ71" s="1159" t="e">
        <f t="shared" si="245"/>
        <v>#DIV/0!</v>
      </c>
      <c r="VXK71" s="1159" t="e">
        <f t="shared" si="245"/>
        <v>#DIV/0!</v>
      </c>
      <c r="VXL71" s="1159" t="e">
        <f t="shared" si="245"/>
        <v>#DIV/0!</v>
      </c>
      <c r="VXM71" s="1159" t="e">
        <f t="shared" si="245"/>
        <v>#DIV/0!</v>
      </c>
      <c r="VXN71" s="1159" t="e">
        <f t="shared" si="245"/>
        <v>#DIV/0!</v>
      </c>
      <c r="VXO71" s="1159" t="e">
        <f t="shared" si="245"/>
        <v>#DIV/0!</v>
      </c>
      <c r="VXP71" s="1159" t="e">
        <f t="shared" si="245"/>
        <v>#DIV/0!</v>
      </c>
      <c r="VXQ71" s="1159" t="e">
        <f t="shared" si="245"/>
        <v>#DIV/0!</v>
      </c>
      <c r="VXR71" s="1159" t="e">
        <f t="shared" si="245"/>
        <v>#DIV/0!</v>
      </c>
      <c r="VXS71" s="1159" t="e">
        <f t="shared" si="245"/>
        <v>#DIV/0!</v>
      </c>
      <c r="VXT71" s="1159" t="e">
        <f t="shared" si="245"/>
        <v>#DIV/0!</v>
      </c>
      <c r="VXU71" s="1159" t="e">
        <f t="shared" si="245"/>
        <v>#DIV/0!</v>
      </c>
      <c r="VXV71" s="1159" t="e">
        <f t="shared" si="245"/>
        <v>#DIV/0!</v>
      </c>
      <c r="VXW71" s="1159" t="e">
        <f t="shared" si="245"/>
        <v>#DIV/0!</v>
      </c>
      <c r="VXX71" s="1159" t="e">
        <f t="shared" si="245"/>
        <v>#DIV/0!</v>
      </c>
      <c r="VXY71" s="1159" t="e">
        <f t="shared" si="245"/>
        <v>#DIV/0!</v>
      </c>
      <c r="VXZ71" s="1159" t="e">
        <f t="shared" si="245"/>
        <v>#DIV/0!</v>
      </c>
      <c r="VYA71" s="1159" t="e">
        <f t="shared" si="245"/>
        <v>#DIV/0!</v>
      </c>
      <c r="VYB71" s="1159" t="e">
        <f t="shared" si="245"/>
        <v>#DIV/0!</v>
      </c>
      <c r="VYC71" s="1159" t="e">
        <f t="shared" si="245"/>
        <v>#DIV/0!</v>
      </c>
      <c r="VYD71" s="1159" t="e">
        <f t="shared" si="245"/>
        <v>#DIV/0!</v>
      </c>
      <c r="VYE71" s="1159" t="e">
        <f t="shared" si="245"/>
        <v>#DIV/0!</v>
      </c>
      <c r="VYF71" s="1159" t="e">
        <f t="shared" si="245"/>
        <v>#DIV/0!</v>
      </c>
      <c r="VYG71" s="1159" t="e">
        <f t="shared" si="245"/>
        <v>#DIV/0!</v>
      </c>
      <c r="VYH71" s="1159" t="e">
        <f t="shared" si="245"/>
        <v>#DIV/0!</v>
      </c>
      <c r="VYI71" s="1159" t="e">
        <f t="shared" si="245"/>
        <v>#DIV/0!</v>
      </c>
      <c r="VYJ71" s="1159" t="e">
        <f t="shared" si="245"/>
        <v>#DIV/0!</v>
      </c>
      <c r="VYK71" s="1159" t="e">
        <f t="shared" si="245"/>
        <v>#DIV/0!</v>
      </c>
      <c r="VYL71" s="1159" t="e">
        <f t="shared" si="245"/>
        <v>#DIV/0!</v>
      </c>
      <c r="VYM71" s="1159" t="e">
        <f t="shared" si="245"/>
        <v>#DIV/0!</v>
      </c>
      <c r="VYN71" s="1159" t="e">
        <f t="shared" si="245"/>
        <v>#DIV/0!</v>
      </c>
      <c r="VYO71" s="1159" t="e">
        <f t="shared" si="245"/>
        <v>#DIV/0!</v>
      </c>
      <c r="VYP71" s="1159" t="e">
        <f t="shared" si="245"/>
        <v>#DIV/0!</v>
      </c>
      <c r="VYQ71" s="1159" t="e">
        <f t="shared" si="245"/>
        <v>#DIV/0!</v>
      </c>
      <c r="VYR71" s="1159" t="e">
        <f t="shared" si="245"/>
        <v>#DIV/0!</v>
      </c>
      <c r="VYS71" s="1159" t="e">
        <f t="shared" si="245"/>
        <v>#DIV/0!</v>
      </c>
      <c r="VYT71" s="1159" t="e">
        <f t="shared" si="245"/>
        <v>#DIV/0!</v>
      </c>
      <c r="VYU71" s="1159" t="e">
        <f t="shared" si="245"/>
        <v>#DIV/0!</v>
      </c>
      <c r="VYV71" s="1159" t="e">
        <f t="shared" si="245"/>
        <v>#DIV/0!</v>
      </c>
      <c r="VYW71" s="1159" t="e">
        <f t="shared" si="245"/>
        <v>#DIV/0!</v>
      </c>
      <c r="VYX71" s="1159" t="e">
        <f t="shared" si="245"/>
        <v>#DIV/0!</v>
      </c>
      <c r="VYY71" s="1159" t="e">
        <f t="shared" si="245"/>
        <v>#DIV/0!</v>
      </c>
      <c r="VYZ71" s="1159" t="e">
        <f t="shared" si="245"/>
        <v>#DIV/0!</v>
      </c>
      <c r="VZA71" s="1159" t="e">
        <f t="shared" si="245"/>
        <v>#DIV/0!</v>
      </c>
      <c r="VZB71" s="1159" t="e">
        <f t="shared" si="245"/>
        <v>#DIV/0!</v>
      </c>
      <c r="VZC71" s="1159" t="e">
        <f t="shared" si="245"/>
        <v>#DIV/0!</v>
      </c>
      <c r="VZD71" s="1159" t="e">
        <f t="shared" si="245"/>
        <v>#DIV/0!</v>
      </c>
      <c r="VZE71" s="1159" t="e">
        <f t="shared" si="245"/>
        <v>#DIV/0!</v>
      </c>
      <c r="VZF71" s="1159" t="e">
        <f t="shared" si="245"/>
        <v>#DIV/0!</v>
      </c>
      <c r="VZG71" s="1159" t="e">
        <f t="shared" si="245"/>
        <v>#DIV/0!</v>
      </c>
      <c r="VZH71" s="1159" t="e">
        <f t="shared" si="245"/>
        <v>#DIV/0!</v>
      </c>
      <c r="VZI71" s="1159" t="e">
        <f t="shared" si="245"/>
        <v>#DIV/0!</v>
      </c>
      <c r="VZJ71" s="1159" t="e">
        <f t="shared" ref="VZJ71:WBU71" si="246">((VZJ6+VZJ12+VZJ13+VZJ14+VZJ15)*860+VZJ16*VZJ55+VZJ17*VZJ56+VZJ7*VZJ49+VZJ8*VZJ50+VZJ9*VZJ51+VZJ10*VZJ52+VZJ11*VZJ53)/(SUM(VZJ6:VZJ17))</f>
        <v>#DIV/0!</v>
      </c>
      <c r="VZK71" s="1159" t="e">
        <f t="shared" si="246"/>
        <v>#DIV/0!</v>
      </c>
      <c r="VZL71" s="1159" t="e">
        <f t="shared" si="246"/>
        <v>#DIV/0!</v>
      </c>
      <c r="VZM71" s="1159" t="e">
        <f t="shared" si="246"/>
        <v>#DIV/0!</v>
      </c>
      <c r="VZN71" s="1159" t="e">
        <f t="shared" si="246"/>
        <v>#DIV/0!</v>
      </c>
      <c r="VZO71" s="1159" t="e">
        <f t="shared" si="246"/>
        <v>#DIV/0!</v>
      </c>
      <c r="VZP71" s="1159" t="e">
        <f t="shared" si="246"/>
        <v>#DIV/0!</v>
      </c>
      <c r="VZQ71" s="1159" t="e">
        <f t="shared" si="246"/>
        <v>#DIV/0!</v>
      </c>
      <c r="VZR71" s="1159" t="e">
        <f t="shared" si="246"/>
        <v>#DIV/0!</v>
      </c>
      <c r="VZS71" s="1159" t="e">
        <f t="shared" si="246"/>
        <v>#DIV/0!</v>
      </c>
      <c r="VZT71" s="1159" t="e">
        <f t="shared" si="246"/>
        <v>#DIV/0!</v>
      </c>
      <c r="VZU71" s="1159" t="e">
        <f t="shared" si="246"/>
        <v>#DIV/0!</v>
      </c>
      <c r="VZV71" s="1159" t="e">
        <f t="shared" si="246"/>
        <v>#DIV/0!</v>
      </c>
      <c r="VZW71" s="1159" t="e">
        <f t="shared" si="246"/>
        <v>#DIV/0!</v>
      </c>
      <c r="VZX71" s="1159" t="e">
        <f t="shared" si="246"/>
        <v>#DIV/0!</v>
      </c>
      <c r="VZY71" s="1159" t="e">
        <f t="shared" si="246"/>
        <v>#DIV/0!</v>
      </c>
      <c r="VZZ71" s="1159" t="e">
        <f t="shared" si="246"/>
        <v>#DIV/0!</v>
      </c>
      <c r="WAA71" s="1159" t="e">
        <f t="shared" si="246"/>
        <v>#DIV/0!</v>
      </c>
      <c r="WAB71" s="1159" t="e">
        <f t="shared" si="246"/>
        <v>#DIV/0!</v>
      </c>
      <c r="WAC71" s="1159" t="e">
        <f t="shared" si="246"/>
        <v>#DIV/0!</v>
      </c>
      <c r="WAD71" s="1159" t="e">
        <f t="shared" si="246"/>
        <v>#DIV/0!</v>
      </c>
      <c r="WAE71" s="1159" t="e">
        <f t="shared" si="246"/>
        <v>#DIV/0!</v>
      </c>
      <c r="WAF71" s="1159" t="e">
        <f t="shared" si="246"/>
        <v>#DIV/0!</v>
      </c>
      <c r="WAG71" s="1159" t="e">
        <f t="shared" si="246"/>
        <v>#DIV/0!</v>
      </c>
      <c r="WAH71" s="1159" t="e">
        <f t="shared" si="246"/>
        <v>#DIV/0!</v>
      </c>
      <c r="WAI71" s="1159" t="e">
        <f t="shared" si="246"/>
        <v>#DIV/0!</v>
      </c>
      <c r="WAJ71" s="1159" t="e">
        <f t="shared" si="246"/>
        <v>#DIV/0!</v>
      </c>
      <c r="WAK71" s="1159" t="e">
        <f t="shared" si="246"/>
        <v>#DIV/0!</v>
      </c>
      <c r="WAL71" s="1159" t="e">
        <f t="shared" si="246"/>
        <v>#DIV/0!</v>
      </c>
      <c r="WAM71" s="1159" t="e">
        <f t="shared" si="246"/>
        <v>#DIV/0!</v>
      </c>
      <c r="WAN71" s="1159" t="e">
        <f t="shared" si="246"/>
        <v>#DIV/0!</v>
      </c>
      <c r="WAO71" s="1159" t="e">
        <f t="shared" si="246"/>
        <v>#DIV/0!</v>
      </c>
      <c r="WAP71" s="1159" t="e">
        <f t="shared" si="246"/>
        <v>#DIV/0!</v>
      </c>
      <c r="WAQ71" s="1159" t="e">
        <f t="shared" si="246"/>
        <v>#DIV/0!</v>
      </c>
      <c r="WAR71" s="1159" t="e">
        <f t="shared" si="246"/>
        <v>#DIV/0!</v>
      </c>
      <c r="WAS71" s="1159" t="e">
        <f t="shared" si="246"/>
        <v>#DIV/0!</v>
      </c>
      <c r="WAT71" s="1159" t="e">
        <f t="shared" si="246"/>
        <v>#DIV/0!</v>
      </c>
      <c r="WAU71" s="1159" t="e">
        <f t="shared" si="246"/>
        <v>#DIV/0!</v>
      </c>
      <c r="WAV71" s="1159" t="e">
        <f t="shared" si="246"/>
        <v>#DIV/0!</v>
      </c>
      <c r="WAW71" s="1159" t="e">
        <f t="shared" si="246"/>
        <v>#DIV/0!</v>
      </c>
      <c r="WAX71" s="1159" t="e">
        <f t="shared" si="246"/>
        <v>#DIV/0!</v>
      </c>
      <c r="WAY71" s="1159" t="e">
        <f t="shared" si="246"/>
        <v>#DIV/0!</v>
      </c>
      <c r="WAZ71" s="1159" t="e">
        <f t="shared" si="246"/>
        <v>#DIV/0!</v>
      </c>
      <c r="WBA71" s="1159" t="e">
        <f t="shared" si="246"/>
        <v>#DIV/0!</v>
      </c>
      <c r="WBB71" s="1159" t="e">
        <f t="shared" si="246"/>
        <v>#DIV/0!</v>
      </c>
      <c r="WBC71" s="1159" t="e">
        <f t="shared" si="246"/>
        <v>#DIV/0!</v>
      </c>
      <c r="WBD71" s="1159" t="e">
        <f t="shared" si="246"/>
        <v>#DIV/0!</v>
      </c>
      <c r="WBE71" s="1159" t="e">
        <f t="shared" si="246"/>
        <v>#DIV/0!</v>
      </c>
      <c r="WBF71" s="1159" t="e">
        <f t="shared" si="246"/>
        <v>#DIV/0!</v>
      </c>
      <c r="WBG71" s="1159" t="e">
        <f t="shared" si="246"/>
        <v>#DIV/0!</v>
      </c>
      <c r="WBH71" s="1159" t="e">
        <f t="shared" si="246"/>
        <v>#DIV/0!</v>
      </c>
      <c r="WBI71" s="1159" t="e">
        <f t="shared" si="246"/>
        <v>#DIV/0!</v>
      </c>
      <c r="WBJ71" s="1159" t="e">
        <f t="shared" si="246"/>
        <v>#DIV/0!</v>
      </c>
      <c r="WBK71" s="1159" t="e">
        <f t="shared" si="246"/>
        <v>#DIV/0!</v>
      </c>
      <c r="WBL71" s="1159" t="e">
        <f t="shared" si="246"/>
        <v>#DIV/0!</v>
      </c>
      <c r="WBM71" s="1159" t="e">
        <f t="shared" si="246"/>
        <v>#DIV/0!</v>
      </c>
      <c r="WBN71" s="1159" t="e">
        <f t="shared" si="246"/>
        <v>#DIV/0!</v>
      </c>
      <c r="WBO71" s="1159" t="e">
        <f t="shared" si="246"/>
        <v>#DIV/0!</v>
      </c>
      <c r="WBP71" s="1159" t="e">
        <f t="shared" si="246"/>
        <v>#DIV/0!</v>
      </c>
      <c r="WBQ71" s="1159" t="e">
        <f t="shared" si="246"/>
        <v>#DIV/0!</v>
      </c>
      <c r="WBR71" s="1159" t="e">
        <f t="shared" si="246"/>
        <v>#DIV/0!</v>
      </c>
      <c r="WBS71" s="1159" t="e">
        <f t="shared" si="246"/>
        <v>#DIV/0!</v>
      </c>
      <c r="WBT71" s="1159" t="e">
        <f t="shared" si="246"/>
        <v>#DIV/0!</v>
      </c>
      <c r="WBU71" s="1159" t="e">
        <f t="shared" si="246"/>
        <v>#DIV/0!</v>
      </c>
      <c r="WBV71" s="1159" t="e">
        <f t="shared" ref="WBV71:WEG71" si="247">((WBV6+WBV12+WBV13+WBV14+WBV15)*860+WBV16*WBV55+WBV17*WBV56+WBV7*WBV49+WBV8*WBV50+WBV9*WBV51+WBV10*WBV52+WBV11*WBV53)/(SUM(WBV6:WBV17))</f>
        <v>#DIV/0!</v>
      </c>
      <c r="WBW71" s="1159" t="e">
        <f t="shared" si="247"/>
        <v>#DIV/0!</v>
      </c>
      <c r="WBX71" s="1159" t="e">
        <f t="shared" si="247"/>
        <v>#DIV/0!</v>
      </c>
      <c r="WBY71" s="1159" t="e">
        <f t="shared" si="247"/>
        <v>#DIV/0!</v>
      </c>
      <c r="WBZ71" s="1159" t="e">
        <f t="shared" si="247"/>
        <v>#DIV/0!</v>
      </c>
      <c r="WCA71" s="1159" t="e">
        <f t="shared" si="247"/>
        <v>#DIV/0!</v>
      </c>
      <c r="WCB71" s="1159" t="e">
        <f t="shared" si="247"/>
        <v>#DIV/0!</v>
      </c>
      <c r="WCC71" s="1159" t="e">
        <f t="shared" si="247"/>
        <v>#DIV/0!</v>
      </c>
      <c r="WCD71" s="1159" t="e">
        <f t="shared" si="247"/>
        <v>#DIV/0!</v>
      </c>
      <c r="WCE71" s="1159" t="e">
        <f t="shared" si="247"/>
        <v>#DIV/0!</v>
      </c>
      <c r="WCF71" s="1159" t="e">
        <f t="shared" si="247"/>
        <v>#DIV/0!</v>
      </c>
      <c r="WCG71" s="1159" t="e">
        <f t="shared" si="247"/>
        <v>#DIV/0!</v>
      </c>
      <c r="WCH71" s="1159" t="e">
        <f t="shared" si="247"/>
        <v>#DIV/0!</v>
      </c>
      <c r="WCI71" s="1159" t="e">
        <f t="shared" si="247"/>
        <v>#DIV/0!</v>
      </c>
      <c r="WCJ71" s="1159" t="e">
        <f t="shared" si="247"/>
        <v>#DIV/0!</v>
      </c>
      <c r="WCK71" s="1159" t="e">
        <f t="shared" si="247"/>
        <v>#DIV/0!</v>
      </c>
      <c r="WCL71" s="1159" t="e">
        <f t="shared" si="247"/>
        <v>#DIV/0!</v>
      </c>
      <c r="WCM71" s="1159" t="e">
        <f t="shared" si="247"/>
        <v>#DIV/0!</v>
      </c>
      <c r="WCN71" s="1159" t="e">
        <f t="shared" si="247"/>
        <v>#DIV/0!</v>
      </c>
      <c r="WCO71" s="1159" t="e">
        <f t="shared" si="247"/>
        <v>#DIV/0!</v>
      </c>
      <c r="WCP71" s="1159" t="e">
        <f t="shared" si="247"/>
        <v>#DIV/0!</v>
      </c>
      <c r="WCQ71" s="1159" t="e">
        <f t="shared" si="247"/>
        <v>#DIV/0!</v>
      </c>
      <c r="WCR71" s="1159" t="e">
        <f t="shared" si="247"/>
        <v>#DIV/0!</v>
      </c>
      <c r="WCS71" s="1159" t="e">
        <f t="shared" si="247"/>
        <v>#DIV/0!</v>
      </c>
      <c r="WCT71" s="1159" t="e">
        <f t="shared" si="247"/>
        <v>#DIV/0!</v>
      </c>
      <c r="WCU71" s="1159" t="e">
        <f t="shared" si="247"/>
        <v>#DIV/0!</v>
      </c>
      <c r="WCV71" s="1159" t="e">
        <f t="shared" si="247"/>
        <v>#DIV/0!</v>
      </c>
      <c r="WCW71" s="1159" t="e">
        <f t="shared" si="247"/>
        <v>#DIV/0!</v>
      </c>
      <c r="WCX71" s="1159" t="e">
        <f t="shared" si="247"/>
        <v>#DIV/0!</v>
      </c>
      <c r="WCY71" s="1159" t="e">
        <f t="shared" si="247"/>
        <v>#DIV/0!</v>
      </c>
      <c r="WCZ71" s="1159" t="e">
        <f t="shared" si="247"/>
        <v>#DIV/0!</v>
      </c>
      <c r="WDA71" s="1159" t="e">
        <f t="shared" si="247"/>
        <v>#DIV/0!</v>
      </c>
      <c r="WDB71" s="1159" t="e">
        <f t="shared" si="247"/>
        <v>#DIV/0!</v>
      </c>
      <c r="WDC71" s="1159" t="e">
        <f t="shared" si="247"/>
        <v>#DIV/0!</v>
      </c>
      <c r="WDD71" s="1159" t="e">
        <f t="shared" si="247"/>
        <v>#DIV/0!</v>
      </c>
      <c r="WDE71" s="1159" t="e">
        <f t="shared" si="247"/>
        <v>#DIV/0!</v>
      </c>
      <c r="WDF71" s="1159" t="e">
        <f t="shared" si="247"/>
        <v>#DIV/0!</v>
      </c>
      <c r="WDG71" s="1159" t="e">
        <f t="shared" si="247"/>
        <v>#DIV/0!</v>
      </c>
      <c r="WDH71" s="1159" t="e">
        <f t="shared" si="247"/>
        <v>#DIV/0!</v>
      </c>
      <c r="WDI71" s="1159" t="e">
        <f t="shared" si="247"/>
        <v>#DIV/0!</v>
      </c>
      <c r="WDJ71" s="1159" t="e">
        <f t="shared" si="247"/>
        <v>#DIV/0!</v>
      </c>
      <c r="WDK71" s="1159" t="e">
        <f t="shared" si="247"/>
        <v>#DIV/0!</v>
      </c>
      <c r="WDL71" s="1159" t="e">
        <f t="shared" si="247"/>
        <v>#DIV/0!</v>
      </c>
      <c r="WDM71" s="1159" t="e">
        <f t="shared" si="247"/>
        <v>#DIV/0!</v>
      </c>
      <c r="WDN71" s="1159" t="e">
        <f t="shared" si="247"/>
        <v>#DIV/0!</v>
      </c>
      <c r="WDO71" s="1159" t="e">
        <f t="shared" si="247"/>
        <v>#DIV/0!</v>
      </c>
      <c r="WDP71" s="1159" t="e">
        <f t="shared" si="247"/>
        <v>#DIV/0!</v>
      </c>
      <c r="WDQ71" s="1159" t="e">
        <f t="shared" si="247"/>
        <v>#DIV/0!</v>
      </c>
      <c r="WDR71" s="1159" t="e">
        <f t="shared" si="247"/>
        <v>#DIV/0!</v>
      </c>
      <c r="WDS71" s="1159" t="e">
        <f t="shared" si="247"/>
        <v>#DIV/0!</v>
      </c>
      <c r="WDT71" s="1159" t="e">
        <f t="shared" si="247"/>
        <v>#DIV/0!</v>
      </c>
      <c r="WDU71" s="1159" t="e">
        <f t="shared" si="247"/>
        <v>#DIV/0!</v>
      </c>
      <c r="WDV71" s="1159" t="e">
        <f t="shared" si="247"/>
        <v>#DIV/0!</v>
      </c>
      <c r="WDW71" s="1159" t="e">
        <f t="shared" si="247"/>
        <v>#DIV/0!</v>
      </c>
      <c r="WDX71" s="1159" t="e">
        <f t="shared" si="247"/>
        <v>#DIV/0!</v>
      </c>
      <c r="WDY71" s="1159" t="e">
        <f t="shared" si="247"/>
        <v>#DIV/0!</v>
      </c>
      <c r="WDZ71" s="1159" t="e">
        <f t="shared" si="247"/>
        <v>#DIV/0!</v>
      </c>
      <c r="WEA71" s="1159" t="e">
        <f t="shared" si="247"/>
        <v>#DIV/0!</v>
      </c>
      <c r="WEB71" s="1159" t="e">
        <f t="shared" si="247"/>
        <v>#DIV/0!</v>
      </c>
      <c r="WEC71" s="1159" t="e">
        <f t="shared" si="247"/>
        <v>#DIV/0!</v>
      </c>
      <c r="WED71" s="1159" t="e">
        <f t="shared" si="247"/>
        <v>#DIV/0!</v>
      </c>
      <c r="WEE71" s="1159" t="e">
        <f t="shared" si="247"/>
        <v>#DIV/0!</v>
      </c>
      <c r="WEF71" s="1159" t="e">
        <f t="shared" si="247"/>
        <v>#DIV/0!</v>
      </c>
      <c r="WEG71" s="1159" t="e">
        <f t="shared" si="247"/>
        <v>#DIV/0!</v>
      </c>
      <c r="WEH71" s="1159" t="e">
        <f t="shared" ref="WEH71:WGS71" si="248">((WEH6+WEH12+WEH13+WEH14+WEH15)*860+WEH16*WEH55+WEH17*WEH56+WEH7*WEH49+WEH8*WEH50+WEH9*WEH51+WEH10*WEH52+WEH11*WEH53)/(SUM(WEH6:WEH17))</f>
        <v>#DIV/0!</v>
      </c>
      <c r="WEI71" s="1159" t="e">
        <f t="shared" si="248"/>
        <v>#DIV/0!</v>
      </c>
      <c r="WEJ71" s="1159" t="e">
        <f t="shared" si="248"/>
        <v>#DIV/0!</v>
      </c>
      <c r="WEK71" s="1159" t="e">
        <f t="shared" si="248"/>
        <v>#DIV/0!</v>
      </c>
      <c r="WEL71" s="1159" t="e">
        <f t="shared" si="248"/>
        <v>#DIV/0!</v>
      </c>
      <c r="WEM71" s="1159" t="e">
        <f t="shared" si="248"/>
        <v>#DIV/0!</v>
      </c>
      <c r="WEN71" s="1159" t="e">
        <f t="shared" si="248"/>
        <v>#DIV/0!</v>
      </c>
      <c r="WEO71" s="1159" t="e">
        <f t="shared" si="248"/>
        <v>#DIV/0!</v>
      </c>
      <c r="WEP71" s="1159" t="e">
        <f t="shared" si="248"/>
        <v>#DIV/0!</v>
      </c>
      <c r="WEQ71" s="1159" t="e">
        <f t="shared" si="248"/>
        <v>#DIV/0!</v>
      </c>
      <c r="WER71" s="1159" t="e">
        <f t="shared" si="248"/>
        <v>#DIV/0!</v>
      </c>
      <c r="WES71" s="1159" t="e">
        <f t="shared" si="248"/>
        <v>#DIV/0!</v>
      </c>
      <c r="WET71" s="1159" t="e">
        <f t="shared" si="248"/>
        <v>#DIV/0!</v>
      </c>
      <c r="WEU71" s="1159" t="e">
        <f t="shared" si="248"/>
        <v>#DIV/0!</v>
      </c>
      <c r="WEV71" s="1159" t="e">
        <f t="shared" si="248"/>
        <v>#DIV/0!</v>
      </c>
      <c r="WEW71" s="1159" t="e">
        <f t="shared" si="248"/>
        <v>#DIV/0!</v>
      </c>
      <c r="WEX71" s="1159" t="e">
        <f t="shared" si="248"/>
        <v>#DIV/0!</v>
      </c>
      <c r="WEY71" s="1159" t="e">
        <f t="shared" si="248"/>
        <v>#DIV/0!</v>
      </c>
      <c r="WEZ71" s="1159" t="e">
        <f t="shared" si="248"/>
        <v>#DIV/0!</v>
      </c>
      <c r="WFA71" s="1159" t="e">
        <f t="shared" si="248"/>
        <v>#DIV/0!</v>
      </c>
      <c r="WFB71" s="1159" t="e">
        <f t="shared" si="248"/>
        <v>#DIV/0!</v>
      </c>
      <c r="WFC71" s="1159" t="e">
        <f t="shared" si="248"/>
        <v>#DIV/0!</v>
      </c>
      <c r="WFD71" s="1159" t="e">
        <f t="shared" si="248"/>
        <v>#DIV/0!</v>
      </c>
      <c r="WFE71" s="1159" t="e">
        <f t="shared" si="248"/>
        <v>#DIV/0!</v>
      </c>
      <c r="WFF71" s="1159" t="e">
        <f t="shared" si="248"/>
        <v>#DIV/0!</v>
      </c>
      <c r="WFG71" s="1159" t="e">
        <f t="shared" si="248"/>
        <v>#DIV/0!</v>
      </c>
      <c r="WFH71" s="1159" t="e">
        <f t="shared" si="248"/>
        <v>#DIV/0!</v>
      </c>
      <c r="WFI71" s="1159" t="e">
        <f t="shared" si="248"/>
        <v>#DIV/0!</v>
      </c>
      <c r="WFJ71" s="1159" t="e">
        <f t="shared" si="248"/>
        <v>#DIV/0!</v>
      </c>
      <c r="WFK71" s="1159" t="e">
        <f t="shared" si="248"/>
        <v>#DIV/0!</v>
      </c>
      <c r="WFL71" s="1159" t="e">
        <f t="shared" si="248"/>
        <v>#DIV/0!</v>
      </c>
      <c r="WFM71" s="1159" t="e">
        <f t="shared" si="248"/>
        <v>#DIV/0!</v>
      </c>
      <c r="WFN71" s="1159" t="e">
        <f t="shared" si="248"/>
        <v>#DIV/0!</v>
      </c>
      <c r="WFO71" s="1159" t="e">
        <f t="shared" si="248"/>
        <v>#DIV/0!</v>
      </c>
      <c r="WFP71" s="1159" t="e">
        <f t="shared" si="248"/>
        <v>#DIV/0!</v>
      </c>
      <c r="WFQ71" s="1159" t="e">
        <f t="shared" si="248"/>
        <v>#DIV/0!</v>
      </c>
      <c r="WFR71" s="1159" t="e">
        <f t="shared" si="248"/>
        <v>#DIV/0!</v>
      </c>
      <c r="WFS71" s="1159" t="e">
        <f t="shared" si="248"/>
        <v>#DIV/0!</v>
      </c>
      <c r="WFT71" s="1159" t="e">
        <f t="shared" si="248"/>
        <v>#DIV/0!</v>
      </c>
      <c r="WFU71" s="1159" t="e">
        <f t="shared" si="248"/>
        <v>#DIV/0!</v>
      </c>
      <c r="WFV71" s="1159" t="e">
        <f t="shared" si="248"/>
        <v>#DIV/0!</v>
      </c>
      <c r="WFW71" s="1159" t="e">
        <f t="shared" si="248"/>
        <v>#DIV/0!</v>
      </c>
      <c r="WFX71" s="1159" t="e">
        <f t="shared" si="248"/>
        <v>#DIV/0!</v>
      </c>
      <c r="WFY71" s="1159" t="e">
        <f t="shared" si="248"/>
        <v>#DIV/0!</v>
      </c>
      <c r="WFZ71" s="1159" t="e">
        <f t="shared" si="248"/>
        <v>#DIV/0!</v>
      </c>
      <c r="WGA71" s="1159" t="e">
        <f t="shared" si="248"/>
        <v>#DIV/0!</v>
      </c>
      <c r="WGB71" s="1159" t="e">
        <f t="shared" si="248"/>
        <v>#DIV/0!</v>
      </c>
      <c r="WGC71" s="1159" t="e">
        <f t="shared" si="248"/>
        <v>#DIV/0!</v>
      </c>
      <c r="WGD71" s="1159" t="e">
        <f t="shared" si="248"/>
        <v>#DIV/0!</v>
      </c>
      <c r="WGE71" s="1159" t="e">
        <f t="shared" si="248"/>
        <v>#DIV/0!</v>
      </c>
      <c r="WGF71" s="1159" t="e">
        <f t="shared" si="248"/>
        <v>#DIV/0!</v>
      </c>
      <c r="WGG71" s="1159" t="e">
        <f t="shared" si="248"/>
        <v>#DIV/0!</v>
      </c>
      <c r="WGH71" s="1159" t="e">
        <f t="shared" si="248"/>
        <v>#DIV/0!</v>
      </c>
      <c r="WGI71" s="1159" t="e">
        <f t="shared" si="248"/>
        <v>#DIV/0!</v>
      </c>
      <c r="WGJ71" s="1159" t="e">
        <f t="shared" si="248"/>
        <v>#DIV/0!</v>
      </c>
      <c r="WGK71" s="1159" t="e">
        <f t="shared" si="248"/>
        <v>#DIV/0!</v>
      </c>
      <c r="WGL71" s="1159" t="e">
        <f t="shared" si="248"/>
        <v>#DIV/0!</v>
      </c>
      <c r="WGM71" s="1159" t="e">
        <f t="shared" si="248"/>
        <v>#DIV/0!</v>
      </c>
      <c r="WGN71" s="1159" t="e">
        <f t="shared" si="248"/>
        <v>#DIV/0!</v>
      </c>
      <c r="WGO71" s="1159" t="e">
        <f t="shared" si="248"/>
        <v>#DIV/0!</v>
      </c>
      <c r="WGP71" s="1159" t="e">
        <f t="shared" si="248"/>
        <v>#DIV/0!</v>
      </c>
      <c r="WGQ71" s="1159" t="e">
        <f t="shared" si="248"/>
        <v>#DIV/0!</v>
      </c>
      <c r="WGR71" s="1159" t="e">
        <f t="shared" si="248"/>
        <v>#DIV/0!</v>
      </c>
      <c r="WGS71" s="1159" t="e">
        <f t="shared" si="248"/>
        <v>#DIV/0!</v>
      </c>
      <c r="WGT71" s="1159" t="e">
        <f t="shared" ref="WGT71:WJE71" si="249">((WGT6+WGT12+WGT13+WGT14+WGT15)*860+WGT16*WGT55+WGT17*WGT56+WGT7*WGT49+WGT8*WGT50+WGT9*WGT51+WGT10*WGT52+WGT11*WGT53)/(SUM(WGT6:WGT17))</f>
        <v>#DIV/0!</v>
      </c>
      <c r="WGU71" s="1159" t="e">
        <f t="shared" si="249"/>
        <v>#DIV/0!</v>
      </c>
      <c r="WGV71" s="1159" t="e">
        <f t="shared" si="249"/>
        <v>#DIV/0!</v>
      </c>
      <c r="WGW71" s="1159" t="e">
        <f t="shared" si="249"/>
        <v>#DIV/0!</v>
      </c>
      <c r="WGX71" s="1159" t="e">
        <f t="shared" si="249"/>
        <v>#DIV/0!</v>
      </c>
      <c r="WGY71" s="1159" t="e">
        <f t="shared" si="249"/>
        <v>#DIV/0!</v>
      </c>
      <c r="WGZ71" s="1159" t="e">
        <f t="shared" si="249"/>
        <v>#DIV/0!</v>
      </c>
      <c r="WHA71" s="1159" t="e">
        <f t="shared" si="249"/>
        <v>#DIV/0!</v>
      </c>
      <c r="WHB71" s="1159" t="e">
        <f t="shared" si="249"/>
        <v>#DIV/0!</v>
      </c>
      <c r="WHC71" s="1159" t="e">
        <f t="shared" si="249"/>
        <v>#DIV/0!</v>
      </c>
      <c r="WHD71" s="1159" t="e">
        <f t="shared" si="249"/>
        <v>#DIV/0!</v>
      </c>
      <c r="WHE71" s="1159" t="e">
        <f t="shared" si="249"/>
        <v>#DIV/0!</v>
      </c>
      <c r="WHF71" s="1159" t="e">
        <f t="shared" si="249"/>
        <v>#DIV/0!</v>
      </c>
      <c r="WHG71" s="1159" t="e">
        <f t="shared" si="249"/>
        <v>#DIV/0!</v>
      </c>
      <c r="WHH71" s="1159" t="e">
        <f t="shared" si="249"/>
        <v>#DIV/0!</v>
      </c>
      <c r="WHI71" s="1159" t="e">
        <f t="shared" si="249"/>
        <v>#DIV/0!</v>
      </c>
      <c r="WHJ71" s="1159" t="e">
        <f t="shared" si="249"/>
        <v>#DIV/0!</v>
      </c>
      <c r="WHK71" s="1159" t="e">
        <f t="shared" si="249"/>
        <v>#DIV/0!</v>
      </c>
      <c r="WHL71" s="1159" t="e">
        <f t="shared" si="249"/>
        <v>#DIV/0!</v>
      </c>
      <c r="WHM71" s="1159" t="e">
        <f t="shared" si="249"/>
        <v>#DIV/0!</v>
      </c>
      <c r="WHN71" s="1159" t="e">
        <f t="shared" si="249"/>
        <v>#DIV/0!</v>
      </c>
      <c r="WHO71" s="1159" t="e">
        <f t="shared" si="249"/>
        <v>#DIV/0!</v>
      </c>
      <c r="WHP71" s="1159" t="e">
        <f t="shared" si="249"/>
        <v>#DIV/0!</v>
      </c>
      <c r="WHQ71" s="1159" t="e">
        <f t="shared" si="249"/>
        <v>#DIV/0!</v>
      </c>
      <c r="WHR71" s="1159" t="e">
        <f t="shared" si="249"/>
        <v>#DIV/0!</v>
      </c>
      <c r="WHS71" s="1159" t="e">
        <f t="shared" si="249"/>
        <v>#DIV/0!</v>
      </c>
      <c r="WHT71" s="1159" t="e">
        <f t="shared" si="249"/>
        <v>#DIV/0!</v>
      </c>
      <c r="WHU71" s="1159" t="e">
        <f t="shared" si="249"/>
        <v>#DIV/0!</v>
      </c>
      <c r="WHV71" s="1159" t="e">
        <f t="shared" si="249"/>
        <v>#DIV/0!</v>
      </c>
      <c r="WHW71" s="1159" t="e">
        <f t="shared" si="249"/>
        <v>#DIV/0!</v>
      </c>
      <c r="WHX71" s="1159" t="e">
        <f t="shared" si="249"/>
        <v>#DIV/0!</v>
      </c>
      <c r="WHY71" s="1159" t="e">
        <f t="shared" si="249"/>
        <v>#DIV/0!</v>
      </c>
      <c r="WHZ71" s="1159" t="e">
        <f t="shared" si="249"/>
        <v>#DIV/0!</v>
      </c>
      <c r="WIA71" s="1159" t="e">
        <f t="shared" si="249"/>
        <v>#DIV/0!</v>
      </c>
      <c r="WIB71" s="1159" t="e">
        <f t="shared" si="249"/>
        <v>#DIV/0!</v>
      </c>
      <c r="WIC71" s="1159" t="e">
        <f t="shared" si="249"/>
        <v>#DIV/0!</v>
      </c>
      <c r="WID71" s="1159" t="e">
        <f t="shared" si="249"/>
        <v>#DIV/0!</v>
      </c>
      <c r="WIE71" s="1159" t="e">
        <f t="shared" si="249"/>
        <v>#DIV/0!</v>
      </c>
      <c r="WIF71" s="1159" t="e">
        <f t="shared" si="249"/>
        <v>#DIV/0!</v>
      </c>
      <c r="WIG71" s="1159" t="e">
        <f t="shared" si="249"/>
        <v>#DIV/0!</v>
      </c>
      <c r="WIH71" s="1159" t="e">
        <f t="shared" si="249"/>
        <v>#DIV/0!</v>
      </c>
      <c r="WII71" s="1159" t="e">
        <f t="shared" si="249"/>
        <v>#DIV/0!</v>
      </c>
      <c r="WIJ71" s="1159" t="e">
        <f t="shared" si="249"/>
        <v>#DIV/0!</v>
      </c>
      <c r="WIK71" s="1159" t="e">
        <f t="shared" si="249"/>
        <v>#DIV/0!</v>
      </c>
      <c r="WIL71" s="1159" t="e">
        <f t="shared" si="249"/>
        <v>#DIV/0!</v>
      </c>
      <c r="WIM71" s="1159" t="e">
        <f t="shared" si="249"/>
        <v>#DIV/0!</v>
      </c>
      <c r="WIN71" s="1159" t="e">
        <f t="shared" si="249"/>
        <v>#DIV/0!</v>
      </c>
      <c r="WIO71" s="1159" t="e">
        <f t="shared" si="249"/>
        <v>#DIV/0!</v>
      </c>
      <c r="WIP71" s="1159" t="e">
        <f t="shared" si="249"/>
        <v>#DIV/0!</v>
      </c>
      <c r="WIQ71" s="1159" t="e">
        <f t="shared" si="249"/>
        <v>#DIV/0!</v>
      </c>
      <c r="WIR71" s="1159" t="e">
        <f t="shared" si="249"/>
        <v>#DIV/0!</v>
      </c>
      <c r="WIS71" s="1159" t="e">
        <f t="shared" si="249"/>
        <v>#DIV/0!</v>
      </c>
      <c r="WIT71" s="1159" t="e">
        <f t="shared" si="249"/>
        <v>#DIV/0!</v>
      </c>
      <c r="WIU71" s="1159" t="e">
        <f t="shared" si="249"/>
        <v>#DIV/0!</v>
      </c>
      <c r="WIV71" s="1159" t="e">
        <f t="shared" si="249"/>
        <v>#DIV/0!</v>
      </c>
      <c r="WIW71" s="1159" t="e">
        <f t="shared" si="249"/>
        <v>#DIV/0!</v>
      </c>
      <c r="WIX71" s="1159" t="e">
        <f t="shared" si="249"/>
        <v>#DIV/0!</v>
      </c>
      <c r="WIY71" s="1159" t="e">
        <f t="shared" si="249"/>
        <v>#DIV/0!</v>
      </c>
      <c r="WIZ71" s="1159" t="e">
        <f t="shared" si="249"/>
        <v>#DIV/0!</v>
      </c>
      <c r="WJA71" s="1159" t="e">
        <f t="shared" si="249"/>
        <v>#DIV/0!</v>
      </c>
      <c r="WJB71" s="1159" t="e">
        <f t="shared" si="249"/>
        <v>#DIV/0!</v>
      </c>
      <c r="WJC71" s="1159" t="e">
        <f t="shared" si="249"/>
        <v>#DIV/0!</v>
      </c>
      <c r="WJD71" s="1159" t="e">
        <f t="shared" si="249"/>
        <v>#DIV/0!</v>
      </c>
      <c r="WJE71" s="1159" t="e">
        <f t="shared" si="249"/>
        <v>#DIV/0!</v>
      </c>
      <c r="WJF71" s="1159" t="e">
        <f t="shared" ref="WJF71:WLQ71" si="250">((WJF6+WJF12+WJF13+WJF14+WJF15)*860+WJF16*WJF55+WJF17*WJF56+WJF7*WJF49+WJF8*WJF50+WJF9*WJF51+WJF10*WJF52+WJF11*WJF53)/(SUM(WJF6:WJF17))</f>
        <v>#DIV/0!</v>
      </c>
      <c r="WJG71" s="1159" t="e">
        <f t="shared" si="250"/>
        <v>#DIV/0!</v>
      </c>
      <c r="WJH71" s="1159" t="e">
        <f t="shared" si="250"/>
        <v>#DIV/0!</v>
      </c>
      <c r="WJI71" s="1159" t="e">
        <f t="shared" si="250"/>
        <v>#DIV/0!</v>
      </c>
      <c r="WJJ71" s="1159" t="e">
        <f t="shared" si="250"/>
        <v>#DIV/0!</v>
      </c>
      <c r="WJK71" s="1159" t="e">
        <f t="shared" si="250"/>
        <v>#DIV/0!</v>
      </c>
      <c r="WJL71" s="1159" t="e">
        <f t="shared" si="250"/>
        <v>#DIV/0!</v>
      </c>
      <c r="WJM71" s="1159" t="e">
        <f t="shared" si="250"/>
        <v>#DIV/0!</v>
      </c>
      <c r="WJN71" s="1159" t="e">
        <f t="shared" si="250"/>
        <v>#DIV/0!</v>
      </c>
      <c r="WJO71" s="1159" t="e">
        <f t="shared" si="250"/>
        <v>#DIV/0!</v>
      </c>
      <c r="WJP71" s="1159" t="e">
        <f t="shared" si="250"/>
        <v>#DIV/0!</v>
      </c>
      <c r="WJQ71" s="1159" t="e">
        <f t="shared" si="250"/>
        <v>#DIV/0!</v>
      </c>
      <c r="WJR71" s="1159" t="e">
        <f t="shared" si="250"/>
        <v>#DIV/0!</v>
      </c>
      <c r="WJS71" s="1159" t="e">
        <f t="shared" si="250"/>
        <v>#DIV/0!</v>
      </c>
      <c r="WJT71" s="1159" t="e">
        <f t="shared" si="250"/>
        <v>#DIV/0!</v>
      </c>
      <c r="WJU71" s="1159" t="e">
        <f t="shared" si="250"/>
        <v>#DIV/0!</v>
      </c>
      <c r="WJV71" s="1159" t="e">
        <f t="shared" si="250"/>
        <v>#DIV/0!</v>
      </c>
      <c r="WJW71" s="1159" t="e">
        <f t="shared" si="250"/>
        <v>#DIV/0!</v>
      </c>
      <c r="WJX71" s="1159" t="e">
        <f t="shared" si="250"/>
        <v>#DIV/0!</v>
      </c>
      <c r="WJY71" s="1159" t="e">
        <f t="shared" si="250"/>
        <v>#DIV/0!</v>
      </c>
      <c r="WJZ71" s="1159" t="e">
        <f t="shared" si="250"/>
        <v>#DIV/0!</v>
      </c>
      <c r="WKA71" s="1159" t="e">
        <f t="shared" si="250"/>
        <v>#DIV/0!</v>
      </c>
      <c r="WKB71" s="1159" t="e">
        <f t="shared" si="250"/>
        <v>#DIV/0!</v>
      </c>
      <c r="WKC71" s="1159" t="e">
        <f t="shared" si="250"/>
        <v>#DIV/0!</v>
      </c>
      <c r="WKD71" s="1159" t="e">
        <f t="shared" si="250"/>
        <v>#DIV/0!</v>
      </c>
      <c r="WKE71" s="1159" t="e">
        <f t="shared" si="250"/>
        <v>#DIV/0!</v>
      </c>
      <c r="WKF71" s="1159" t="e">
        <f t="shared" si="250"/>
        <v>#DIV/0!</v>
      </c>
      <c r="WKG71" s="1159" t="e">
        <f t="shared" si="250"/>
        <v>#DIV/0!</v>
      </c>
      <c r="WKH71" s="1159" t="e">
        <f t="shared" si="250"/>
        <v>#DIV/0!</v>
      </c>
      <c r="WKI71" s="1159" t="e">
        <f t="shared" si="250"/>
        <v>#DIV/0!</v>
      </c>
      <c r="WKJ71" s="1159" t="e">
        <f t="shared" si="250"/>
        <v>#DIV/0!</v>
      </c>
      <c r="WKK71" s="1159" t="e">
        <f t="shared" si="250"/>
        <v>#DIV/0!</v>
      </c>
      <c r="WKL71" s="1159" t="e">
        <f t="shared" si="250"/>
        <v>#DIV/0!</v>
      </c>
      <c r="WKM71" s="1159" t="e">
        <f t="shared" si="250"/>
        <v>#DIV/0!</v>
      </c>
      <c r="WKN71" s="1159" t="e">
        <f t="shared" si="250"/>
        <v>#DIV/0!</v>
      </c>
      <c r="WKO71" s="1159" t="e">
        <f t="shared" si="250"/>
        <v>#DIV/0!</v>
      </c>
      <c r="WKP71" s="1159" t="e">
        <f t="shared" si="250"/>
        <v>#DIV/0!</v>
      </c>
      <c r="WKQ71" s="1159" t="e">
        <f t="shared" si="250"/>
        <v>#DIV/0!</v>
      </c>
      <c r="WKR71" s="1159" t="e">
        <f t="shared" si="250"/>
        <v>#DIV/0!</v>
      </c>
      <c r="WKS71" s="1159" t="e">
        <f t="shared" si="250"/>
        <v>#DIV/0!</v>
      </c>
      <c r="WKT71" s="1159" t="e">
        <f t="shared" si="250"/>
        <v>#DIV/0!</v>
      </c>
      <c r="WKU71" s="1159" t="e">
        <f t="shared" si="250"/>
        <v>#DIV/0!</v>
      </c>
      <c r="WKV71" s="1159" t="e">
        <f t="shared" si="250"/>
        <v>#DIV/0!</v>
      </c>
      <c r="WKW71" s="1159" t="e">
        <f t="shared" si="250"/>
        <v>#DIV/0!</v>
      </c>
      <c r="WKX71" s="1159" t="e">
        <f t="shared" si="250"/>
        <v>#DIV/0!</v>
      </c>
      <c r="WKY71" s="1159" t="e">
        <f t="shared" si="250"/>
        <v>#DIV/0!</v>
      </c>
      <c r="WKZ71" s="1159" t="e">
        <f t="shared" si="250"/>
        <v>#DIV/0!</v>
      </c>
      <c r="WLA71" s="1159" t="e">
        <f t="shared" si="250"/>
        <v>#DIV/0!</v>
      </c>
      <c r="WLB71" s="1159" t="e">
        <f t="shared" si="250"/>
        <v>#DIV/0!</v>
      </c>
      <c r="WLC71" s="1159" t="e">
        <f t="shared" si="250"/>
        <v>#DIV/0!</v>
      </c>
      <c r="WLD71" s="1159" t="e">
        <f t="shared" si="250"/>
        <v>#DIV/0!</v>
      </c>
      <c r="WLE71" s="1159" t="e">
        <f t="shared" si="250"/>
        <v>#DIV/0!</v>
      </c>
      <c r="WLF71" s="1159" t="e">
        <f t="shared" si="250"/>
        <v>#DIV/0!</v>
      </c>
      <c r="WLG71" s="1159" t="e">
        <f t="shared" si="250"/>
        <v>#DIV/0!</v>
      </c>
      <c r="WLH71" s="1159" t="e">
        <f t="shared" si="250"/>
        <v>#DIV/0!</v>
      </c>
      <c r="WLI71" s="1159" t="e">
        <f t="shared" si="250"/>
        <v>#DIV/0!</v>
      </c>
      <c r="WLJ71" s="1159" t="e">
        <f t="shared" si="250"/>
        <v>#DIV/0!</v>
      </c>
      <c r="WLK71" s="1159" t="e">
        <f t="shared" si="250"/>
        <v>#DIV/0!</v>
      </c>
      <c r="WLL71" s="1159" t="e">
        <f t="shared" si="250"/>
        <v>#DIV/0!</v>
      </c>
      <c r="WLM71" s="1159" t="e">
        <f t="shared" si="250"/>
        <v>#DIV/0!</v>
      </c>
      <c r="WLN71" s="1159" t="e">
        <f t="shared" si="250"/>
        <v>#DIV/0!</v>
      </c>
      <c r="WLO71" s="1159" t="e">
        <f t="shared" si="250"/>
        <v>#DIV/0!</v>
      </c>
      <c r="WLP71" s="1159" t="e">
        <f t="shared" si="250"/>
        <v>#DIV/0!</v>
      </c>
      <c r="WLQ71" s="1159" t="e">
        <f t="shared" si="250"/>
        <v>#DIV/0!</v>
      </c>
      <c r="WLR71" s="1159" t="e">
        <f t="shared" ref="WLR71:WOC71" si="251">((WLR6+WLR12+WLR13+WLR14+WLR15)*860+WLR16*WLR55+WLR17*WLR56+WLR7*WLR49+WLR8*WLR50+WLR9*WLR51+WLR10*WLR52+WLR11*WLR53)/(SUM(WLR6:WLR17))</f>
        <v>#DIV/0!</v>
      </c>
      <c r="WLS71" s="1159" t="e">
        <f t="shared" si="251"/>
        <v>#DIV/0!</v>
      </c>
      <c r="WLT71" s="1159" t="e">
        <f t="shared" si="251"/>
        <v>#DIV/0!</v>
      </c>
      <c r="WLU71" s="1159" t="e">
        <f t="shared" si="251"/>
        <v>#DIV/0!</v>
      </c>
      <c r="WLV71" s="1159" t="e">
        <f t="shared" si="251"/>
        <v>#DIV/0!</v>
      </c>
      <c r="WLW71" s="1159" t="e">
        <f t="shared" si="251"/>
        <v>#DIV/0!</v>
      </c>
      <c r="WLX71" s="1159" t="e">
        <f t="shared" si="251"/>
        <v>#DIV/0!</v>
      </c>
      <c r="WLY71" s="1159" t="e">
        <f t="shared" si="251"/>
        <v>#DIV/0!</v>
      </c>
      <c r="WLZ71" s="1159" t="e">
        <f t="shared" si="251"/>
        <v>#DIV/0!</v>
      </c>
      <c r="WMA71" s="1159" t="e">
        <f t="shared" si="251"/>
        <v>#DIV/0!</v>
      </c>
      <c r="WMB71" s="1159" t="e">
        <f t="shared" si="251"/>
        <v>#DIV/0!</v>
      </c>
      <c r="WMC71" s="1159" t="e">
        <f t="shared" si="251"/>
        <v>#DIV/0!</v>
      </c>
      <c r="WMD71" s="1159" t="e">
        <f t="shared" si="251"/>
        <v>#DIV/0!</v>
      </c>
      <c r="WME71" s="1159" t="e">
        <f t="shared" si="251"/>
        <v>#DIV/0!</v>
      </c>
      <c r="WMF71" s="1159" t="e">
        <f t="shared" si="251"/>
        <v>#DIV/0!</v>
      </c>
      <c r="WMG71" s="1159" t="e">
        <f t="shared" si="251"/>
        <v>#DIV/0!</v>
      </c>
      <c r="WMH71" s="1159" t="e">
        <f t="shared" si="251"/>
        <v>#DIV/0!</v>
      </c>
      <c r="WMI71" s="1159" t="e">
        <f t="shared" si="251"/>
        <v>#DIV/0!</v>
      </c>
      <c r="WMJ71" s="1159" t="e">
        <f t="shared" si="251"/>
        <v>#DIV/0!</v>
      </c>
      <c r="WMK71" s="1159" t="e">
        <f t="shared" si="251"/>
        <v>#DIV/0!</v>
      </c>
      <c r="WML71" s="1159" t="e">
        <f t="shared" si="251"/>
        <v>#DIV/0!</v>
      </c>
      <c r="WMM71" s="1159" t="e">
        <f t="shared" si="251"/>
        <v>#DIV/0!</v>
      </c>
      <c r="WMN71" s="1159" t="e">
        <f t="shared" si="251"/>
        <v>#DIV/0!</v>
      </c>
      <c r="WMO71" s="1159" t="e">
        <f t="shared" si="251"/>
        <v>#DIV/0!</v>
      </c>
      <c r="WMP71" s="1159" t="e">
        <f t="shared" si="251"/>
        <v>#DIV/0!</v>
      </c>
      <c r="WMQ71" s="1159" t="e">
        <f t="shared" si="251"/>
        <v>#DIV/0!</v>
      </c>
      <c r="WMR71" s="1159" t="e">
        <f t="shared" si="251"/>
        <v>#DIV/0!</v>
      </c>
      <c r="WMS71" s="1159" t="e">
        <f t="shared" si="251"/>
        <v>#DIV/0!</v>
      </c>
      <c r="WMT71" s="1159" t="e">
        <f t="shared" si="251"/>
        <v>#DIV/0!</v>
      </c>
      <c r="WMU71" s="1159" t="e">
        <f t="shared" si="251"/>
        <v>#DIV/0!</v>
      </c>
      <c r="WMV71" s="1159" t="e">
        <f t="shared" si="251"/>
        <v>#DIV/0!</v>
      </c>
      <c r="WMW71" s="1159" t="e">
        <f t="shared" si="251"/>
        <v>#DIV/0!</v>
      </c>
      <c r="WMX71" s="1159" t="e">
        <f t="shared" si="251"/>
        <v>#DIV/0!</v>
      </c>
      <c r="WMY71" s="1159" t="e">
        <f t="shared" si="251"/>
        <v>#DIV/0!</v>
      </c>
      <c r="WMZ71" s="1159" t="e">
        <f t="shared" si="251"/>
        <v>#DIV/0!</v>
      </c>
      <c r="WNA71" s="1159" t="e">
        <f t="shared" si="251"/>
        <v>#DIV/0!</v>
      </c>
      <c r="WNB71" s="1159" t="e">
        <f t="shared" si="251"/>
        <v>#DIV/0!</v>
      </c>
      <c r="WNC71" s="1159" t="e">
        <f t="shared" si="251"/>
        <v>#DIV/0!</v>
      </c>
      <c r="WND71" s="1159" t="e">
        <f t="shared" si="251"/>
        <v>#DIV/0!</v>
      </c>
      <c r="WNE71" s="1159" t="e">
        <f t="shared" si="251"/>
        <v>#DIV/0!</v>
      </c>
      <c r="WNF71" s="1159" t="e">
        <f t="shared" si="251"/>
        <v>#DIV/0!</v>
      </c>
      <c r="WNG71" s="1159" t="e">
        <f t="shared" si="251"/>
        <v>#DIV/0!</v>
      </c>
      <c r="WNH71" s="1159" t="e">
        <f t="shared" si="251"/>
        <v>#DIV/0!</v>
      </c>
      <c r="WNI71" s="1159" t="e">
        <f t="shared" si="251"/>
        <v>#DIV/0!</v>
      </c>
      <c r="WNJ71" s="1159" t="e">
        <f t="shared" si="251"/>
        <v>#DIV/0!</v>
      </c>
      <c r="WNK71" s="1159" t="e">
        <f t="shared" si="251"/>
        <v>#DIV/0!</v>
      </c>
      <c r="WNL71" s="1159" t="e">
        <f t="shared" si="251"/>
        <v>#DIV/0!</v>
      </c>
      <c r="WNM71" s="1159" t="e">
        <f t="shared" si="251"/>
        <v>#DIV/0!</v>
      </c>
      <c r="WNN71" s="1159" t="e">
        <f t="shared" si="251"/>
        <v>#DIV/0!</v>
      </c>
      <c r="WNO71" s="1159" t="e">
        <f t="shared" si="251"/>
        <v>#DIV/0!</v>
      </c>
      <c r="WNP71" s="1159" t="e">
        <f t="shared" si="251"/>
        <v>#DIV/0!</v>
      </c>
      <c r="WNQ71" s="1159" t="e">
        <f t="shared" si="251"/>
        <v>#DIV/0!</v>
      </c>
      <c r="WNR71" s="1159" t="e">
        <f t="shared" si="251"/>
        <v>#DIV/0!</v>
      </c>
      <c r="WNS71" s="1159" t="e">
        <f t="shared" si="251"/>
        <v>#DIV/0!</v>
      </c>
      <c r="WNT71" s="1159" t="e">
        <f t="shared" si="251"/>
        <v>#DIV/0!</v>
      </c>
      <c r="WNU71" s="1159" t="e">
        <f t="shared" si="251"/>
        <v>#DIV/0!</v>
      </c>
      <c r="WNV71" s="1159" t="e">
        <f t="shared" si="251"/>
        <v>#DIV/0!</v>
      </c>
      <c r="WNW71" s="1159" t="e">
        <f t="shared" si="251"/>
        <v>#DIV/0!</v>
      </c>
      <c r="WNX71" s="1159" t="e">
        <f t="shared" si="251"/>
        <v>#DIV/0!</v>
      </c>
      <c r="WNY71" s="1159" t="e">
        <f t="shared" si="251"/>
        <v>#DIV/0!</v>
      </c>
      <c r="WNZ71" s="1159" t="e">
        <f t="shared" si="251"/>
        <v>#DIV/0!</v>
      </c>
      <c r="WOA71" s="1159" t="e">
        <f t="shared" si="251"/>
        <v>#DIV/0!</v>
      </c>
      <c r="WOB71" s="1159" t="e">
        <f t="shared" si="251"/>
        <v>#DIV/0!</v>
      </c>
      <c r="WOC71" s="1159" t="e">
        <f t="shared" si="251"/>
        <v>#DIV/0!</v>
      </c>
      <c r="WOD71" s="1159" t="e">
        <f t="shared" ref="WOD71:WQO71" si="252">((WOD6+WOD12+WOD13+WOD14+WOD15)*860+WOD16*WOD55+WOD17*WOD56+WOD7*WOD49+WOD8*WOD50+WOD9*WOD51+WOD10*WOD52+WOD11*WOD53)/(SUM(WOD6:WOD17))</f>
        <v>#DIV/0!</v>
      </c>
      <c r="WOE71" s="1159" t="e">
        <f t="shared" si="252"/>
        <v>#DIV/0!</v>
      </c>
      <c r="WOF71" s="1159" t="e">
        <f t="shared" si="252"/>
        <v>#DIV/0!</v>
      </c>
      <c r="WOG71" s="1159" t="e">
        <f t="shared" si="252"/>
        <v>#DIV/0!</v>
      </c>
      <c r="WOH71" s="1159" t="e">
        <f t="shared" si="252"/>
        <v>#DIV/0!</v>
      </c>
      <c r="WOI71" s="1159" t="e">
        <f t="shared" si="252"/>
        <v>#DIV/0!</v>
      </c>
      <c r="WOJ71" s="1159" t="e">
        <f t="shared" si="252"/>
        <v>#DIV/0!</v>
      </c>
      <c r="WOK71" s="1159" t="e">
        <f t="shared" si="252"/>
        <v>#DIV/0!</v>
      </c>
      <c r="WOL71" s="1159" t="e">
        <f t="shared" si="252"/>
        <v>#DIV/0!</v>
      </c>
      <c r="WOM71" s="1159" t="e">
        <f t="shared" si="252"/>
        <v>#DIV/0!</v>
      </c>
      <c r="WON71" s="1159" t="e">
        <f t="shared" si="252"/>
        <v>#DIV/0!</v>
      </c>
      <c r="WOO71" s="1159" t="e">
        <f t="shared" si="252"/>
        <v>#DIV/0!</v>
      </c>
      <c r="WOP71" s="1159" t="e">
        <f t="shared" si="252"/>
        <v>#DIV/0!</v>
      </c>
      <c r="WOQ71" s="1159" t="e">
        <f t="shared" si="252"/>
        <v>#DIV/0!</v>
      </c>
      <c r="WOR71" s="1159" t="e">
        <f t="shared" si="252"/>
        <v>#DIV/0!</v>
      </c>
      <c r="WOS71" s="1159" t="e">
        <f t="shared" si="252"/>
        <v>#DIV/0!</v>
      </c>
      <c r="WOT71" s="1159" t="e">
        <f t="shared" si="252"/>
        <v>#DIV/0!</v>
      </c>
      <c r="WOU71" s="1159" t="e">
        <f t="shared" si="252"/>
        <v>#DIV/0!</v>
      </c>
      <c r="WOV71" s="1159" t="e">
        <f t="shared" si="252"/>
        <v>#DIV/0!</v>
      </c>
      <c r="WOW71" s="1159" t="e">
        <f t="shared" si="252"/>
        <v>#DIV/0!</v>
      </c>
      <c r="WOX71" s="1159" t="e">
        <f t="shared" si="252"/>
        <v>#DIV/0!</v>
      </c>
      <c r="WOY71" s="1159" t="e">
        <f t="shared" si="252"/>
        <v>#DIV/0!</v>
      </c>
      <c r="WOZ71" s="1159" t="e">
        <f t="shared" si="252"/>
        <v>#DIV/0!</v>
      </c>
      <c r="WPA71" s="1159" t="e">
        <f t="shared" si="252"/>
        <v>#DIV/0!</v>
      </c>
      <c r="WPB71" s="1159" t="e">
        <f t="shared" si="252"/>
        <v>#DIV/0!</v>
      </c>
      <c r="WPC71" s="1159" t="e">
        <f t="shared" si="252"/>
        <v>#DIV/0!</v>
      </c>
      <c r="WPD71" s="1159" t="e">
        <f t="shared" si="252"/>
        <v>#DIV/0!</v>
      </c>
      <c r="WPE71" s="1159" t="e">
        <f t="shared" si="252"/>
        <v>#DIV/0!</v>
      </c>
      <c r="WPF71" s="1159" t="e">
        <f t="shared" si="252"/>
        <v>#DIV/0!</v>
      </c>
      <c r="WPG71" s="1159" t="e">
        <f t="shared" si="252"/>
        <v>#DIV/0!</v>
      </c>
      <c r="WPH71" s="1159" t="e">
        <f t="shared" si="252"/>
        <v>#DIV/0!</v>
      </c>
      <c r="WPI71" s="1159" t="e">
        <f t="shared" si="252"/>
        <v>#DIV/0!</v>
      </c>
      <c r="WPJ71" s="1159" t="e">
        <f t="shared" si="252"/>
        <v>#DIV/0!</v>
      </c>
      <c r="WPK71" s="1159" t="e">
        <f t="shared" si="252"/>
        <v>#DIV/0!</v>
      </c>
      <c r="WPL71" s="1159" t="e">
        <f t="shared" si="252"/>
        <v>#DIV/0!</v>
      </c>
      <c r="WPM71" s="1159" t="e">
        <f t="shared" si="252"/>
        <v>#DIV/0!</v>
      </c>
      <c r="WPN71" s="1159" t="e">
        <f t="shared" si="252"/>
        <v>#DIV/0!</v>
      </c>
      <c r="WPO71" s="1159" t="e">
        <f t="shared" si="252"/>
        <v>#DIV/0!</v>
      </c>
      <c r="WPP71" s="1159" t="e">
        <f t="shared" si="252"/>
        <v>#DIV/0!</v>
      </c>
      <c r="WPQ71" s="1159" t="e">
        <f t="shared" si="252"/>
        <v>#DIV/0!</v>
      </c>
      <c r="WPR71" s="1159" t="e">
        <f t="shared" si="252"/>
        <v>#DIV/0!</v>
      </c>
      <c r="WPS71" s="1159" t="e">
        <f t="shared" si="252"/>
        <v>#DIV/0!</v>
      </c>
      <c r="WPT71" s="1159" t="e">
        <f t="shared" si="252"/>
        <v>#DIV/0!</v>
      </c>
      <c r="WPU71" s="1159" t="e">
        <f t="shared" si="252"/>
        <v>#DIV/0!</v>
      </c>
      <c r="WPV71" s="1159" t="e">
        <f t="shared" si="252"/>
        <v>#DIV/0!</v>
      </c>
      <c r="WPW71" s="1159" t="e">
        <f t="shared" si="252"/>
        <v>#DIV/0!</v>
      </c>
      <c r="WPX71" s="1159" t="e">
        <f t="shared" si="252"/>
        <v>#DIV/0!</v>
      </c>
      <c r="WPY71" s="1159" t="e">
        <f t="shared" si="252"/>
        <v>#DIV/0!</v>
      </c>
      <c r="WPZ71" s="1159" t="e">
        <f t="shared" si="252"/>
        <v>#DIV/0!</v>
      </c>
      <c r="WQA71" s="1159" t="e">
        <f t="shared" si="252"/>
        <v>#DIV/0!</v>
      </c>
      <c r="WQB71" s="1159" t="e">
        <f t="shared" si="252"/>
        <v>#DIV/0!</v>
      </c>
      <c r="WQC71" s="1159" t="e">
        <f t="shared" si="252"/>
        <v>#DIV/0!</v>
      </c>
      <c r="WQD71" s="1159" t="e">
        <f t="shared" si="252"/>
        <v>#DIV/0!</v>
      </c>
      <c r="WQE71" s="1159" t="e">
        <f t="shared" si="252"/>
        <v>#DIV/0!</v>
      </c>
      <c r="WQF71" s="1159" t="e">
        <f t="shared" si="252"/>
        <v>#DIV/0!</v>
      </c>
      <c r="WQG71" s="1159" t="e">
        <f t="shared" si="252"/>
        <v>#DIV/0!</v>
      </c>
      <c r="WQH71" s="1159" t="e">
        <f t="shared" si="252"/>
        <v>#DIV/0!</v>
      </c>
      <c r="WQI71" s="1159" t="e">
        <f t="shared" si="252"/>
        <v>#DIV/0!</v>
      </c>
      <c r="WQJ71" s="1159" t="e">
        <f t="shared" si="252"/>
        <v>#DIV/0!</v>
      </c>
      <c r="WQK71" s="1159" t="e">
        <f t="shared" si="252"/>
        <v>#DIV/0!</v>
      </c>
      <c r="WQL71" s="1159" t="e">
        <f t="shared" si="252"/>
        <v>#DIV/0!</v>
      </c>
      <c r="WQM71" s="1159" t="e">
        <f t="shared" si="252"/>
        <v>#DIV/0!</v>
      </c>
      <c r="WQN71" s="1159" t="e">
        <f t="shared" si="252"/>
        <v>#DIV/0!</v>
      </c>
      <c r="WQO71" s="1159" t="e">
        <f t="shared" si="252"/>
        <v>#DIV/0!</v>
      </c>
      <c r="WQP71" s="1159" t="e">
        <f t="shared" ref="WQP71:WTA71" si="253">((WQP6+WQP12+WQP13+WQP14+WQP15)*860+WQP16*WQP55+WQP17*WQP56+WQP7*WQP49+WQP8*WQP50+WQP9*WQP51+WQP10*WQP52+WQP11*WQP53)/(SUM(WQP6:WQP17))</f>
        <v>#DIV/0!</v>
      </c>
      <c r="WQQ71" s="1159" t="e">
        <f t="shared" si="253"/>
        <v>#DIV/0!</v>
      </c>
      <c r="WQR71" s="1159" t="e">
        <f t="shared" si="253"/>
        <v>#DIV/0!</v>
      </c>
      <c r="WQS71" s="1159" t="e">
        <f t="shared" si="253"/>
        <v>#DIV/0!</v>
      </c>
      <c r="WQT71" s="1159" t="e">
        <f t="shared" si="253"/>
        <v>#DIV/0!</v>
      </c>
      <c r="WQU71" s="1159" t="e">
        <f t="shared" si="253"/>
        <v>#DIV/0!</v>
      </c>
      <c r="WQV71" s="1159" t="e">
        <f t="shared" si="253"/>
        <v>#DIV/0!</v>
      </c>
      <c r="WQW71" s="1159" t="e">
        <f t="shared" si="253"/>
        <v>#DIV/0!</v>
      </c>
      <c r="WQX71" s="1159" t="e">
        <f t="shared" si="253"/>
        <v>#DIV/0!</v>
      </c>
      <c r="WQY71" s="1159" t="e">
        <f t="shared" si="253"/>
        <v>#DIV/0!</v>
      </c>
      <c r="WQZ71" s="1159" t="e">
        <f t="shared" si="253"/>
        <v>#DIV/0!</v>
      </c>
      <c r="WRA71" s="1159" t="e">
        <f t="shared" si="253"/>
        <v>#DIV/0!</v>
      </c>
      <c r="WRB71" s="1159" t="e">
        <f t="shared" si="253"/>
        <v>#DIV/0!</v>
      </c>
      <c r="WRC71" s="1159" t="e">
        <f t="shared" si="253"/>
        <v>#DIV/0!</v>
      </c>
      <c r="WRD71" s="1159" t="e">
        <f t="shared" si="253"/>
        <v>#DIV/0!</v>
      </c>
      <c r="WRE71" s="1159" t="e">
        <f t="shared" si="253"/>
        <v>#DIV/0!</v>
      </c>
      <c r="WRF71" s="1159" t="e">
        <f t="shared" si="253"/>
        <v>#DIV/0!</v>
      </c>
      <c r="WRG71" s="1159" t="e">
        <f t="shared" si="253"/>
        <v>#DIV/0!</v>
      </c>
      <c r="WRH71" s="1159" t="e">
        <f t="shared" si="253"/>
        <v>#DIV/0!</v>
      </c>
      <c r="WRI71" s="1159" t="e">
        <f t="shared" si="253"/>
        <v>#DIV/0!</v>
      </c>
      <c r="WRJ71" s="1159" t="e">
        <f t="shared" si="253"/>
        <v>#DIV/0!</v>
      </c>
      <c r="WRK71" s="1159" t="e">
        <f t="shared" si="253"/>
        <v>#DIV/0!</v>
      </c>
      <c r="WRL71" s="1159" t="e">
        <f t="shared" si="253"/>
        <v>#DIV/0!</v>
      </c>
      <c r="WRM71" s="1159" t="e">
        <f t="shared" si="253"/>
        <v>#DIV/0!</v>
      </c>
      <c r="WRN71" s="1159" t="e">
        <f t="shared" si="253"/>
        <v>#DIV/0!</v>
      </c>
      <c r="WRO71" s="1159" t="e">
        <f t="shared" si="253"/>
        <v>#DIV/0!</v>
      </c>
      <c r="WRP71" s="1159" t="e">
        <f t="shared" si="253"/>
        <v>#DIV/0!</v>
      </c>
      <c r="WRQ71" s="1159" t="e">
        <f t="shared" si="253"/>
        <v>#DIV/0!</v>
      </c>
      <c r="WRR71" s="1159" t="e">
        <f t="shared" si="253"/>
        <v>#DIV/0!</v>
      </c>
      <c r="WRS71" s="1159" t="e">
        <f t="shared" si="253"/>
        <v>#DIV/0!</v>
      </c>
      <c r="WRT71" s="1159" t="e">
        <f t="shared" si="253"/>
        <v>#DIV/0!</v>
      </c>
      <c r="WRU71" s="1159" t="e">
        <f t="shared" si="253"/>
        <v>#DIV/0!</v>
      </c>
      <c r="WRV71" s="1159" t="e">
        <f t="shared" si="253"/>
        <v>#DIV/0!</v>
      </c>
      <c r="WRW71" s="1159" t="e">
        <f t="shared" si="253"/>
        <v>#DIV/0!</v>
      </c>
      <c r="WRX71" s="1159" t="e">
        <f t="shared" si="253"/>
        <v>#DIV/0!</v>
      </c>
      <c r="WRY71" s="1159" t="e">
        <f t="shared" si="253"/>
        <v>#DIV/0!</v>
      </c>
      <c r="WRZ71" s="1159" t="e">
        <f t="shared" si="253"/>
        <v>#DIV/0!</v>
      </c>
      <c r="WSA71" s="1159" t="e">
        <f t="shared" si="253"/>
        <v>#DIV/0!</v>
      </c>
      <c r="WSB71" s="1159" t="e">
        <f t="shared" si="253"/>
        <v>#DIV/0!</v>
      </c>
      <c r="WSC71" s="1159" t="e">
        <f t="shared" si="253"/>
        <v>#DIV/0!</v>
      </c>
      <c r="WSD71" s="1159" t="e">
        <f t="shared" si="253"/>
        <v>#DIV/0!</v>
      </c>
      <c r="WSE71" s="1159" t="e">
        <f t="shared" si="253"/>
        <v>#DIV/0!</v>
      </c>
      <c r="WSF71" s="1159" t="e">
        <f t="shared" si="253"/>
        <v>#DIV/0!</v>
      </c>
      <c r="WSG71" s="1159" t="e">
        <f t="shared" si="253"/>
        <v>#DIV/0!</v>
      </c>
      <c r="WSH71" s="1159" t="e">
        <f t="shared" si="253"/>
        <v>#DIV/0!</v>
      </c>
      <c r="WSI71" s="1159" t="e">
        <f t="shared" si="253"/>
        <v>#DIV/0!</v>
      </c>
      <c r="WSJ71" s="1159" t="e">
        <f t="shared" si="253"/>
        <v>#DIV/0!</v>
      </c>
      <c r="WSK71" s="1159" t="e">
        <f t="shared" si="253"/>
        <v>#DIV/0!</v>
      </c>
      <c r="WSL71" s="1159" t="e">
        <f t="shared" si="253"/>
        <v>#DIV/0!</v>
      </c>
      <c r="WSM71" s="1159" t="e">
        <f t="shared" si="253"/>
        <v>#DIV/0!</v>
      </c>
      <c r="WSN71" s="1159" t="e">
        <f t="shared" si="253"/>
        <v>#DIV/0!</v>
      </c>
      <c r="WSO71" s="1159" t="e">
        <f t="shared" si="253"/>
        <v>#DIV/0!</v>
      </c>
      <c r="WSP71" s="1159" t="e">
        <f t="shared" si="253"/>
        <v>#DIV/0!</v>
      </c>
      <c r="WSQ71" s="1159" t="e">
        <f t="shared" si="253"/>
        <v>#DIV/0!</v>
      </c>
      <c r="WSR71" s="1159" t="e">
        <f t="shared" si="253"/>
        <v>#DIV/0!</v>
      </c>
      <c r="WSS71" s="1159" t="e">
        <f t="shared" si="253"/>
        <v>#DIV/0!</v>
      </c>
      <c r="WST71" s="1159" t="e">
        <f t="shared" si="253"/>
        <v>#DIV/0!</v>
      </c>
      <c r="WSU71" s="1159" t="e">
        <f t="shared" si="253"/>
        <v>#DIV/0!</v>
      </c>
      <c r="WSV71" s="1159" t="e">
        <f t="shared" si="253"/>
        <v>#DIV/0!</v>
      </c>
      <c r="WSW71" s="1159" t="e">
        <f t="shared" si="253"/>
        <v>#DIV/0!</v>
      </c>
      <c r="WSX71" s="1159" t="e">
        <f t="shared" si="253"/>
        <v>#DIV/0!</v>
      </c>
      <c r="WSY71" s="1159" t="e">
        <f t="shared" si="253"/>
        <v>#DIV/0!</v>
      </c>
      <c r="WSZ71" s="1159" t="e">
        <f t="shared" si="253"/>
        <v>#DIV/0!</v>
      </c>
      <c r="WTA71" s="1159" t="e">
        <f t="shared" si="253"/>
        <v>#DIV/0!</v>
      </c>
      <c r="WTB71" s="1159" t="e">
        <f t="shared" ref="WTB71:WVM71" si="254">((WTB6+WTB12+WTB13+WTB14+WTB15)*860+WTB16*WTB55+WTB17*WTB56+WTB7*WTB49+WTB8*WTB50+WTB9*WTB51+WTB10*WTB52+WTB11*WTB53)/(SUM(WTB6:WTB17))</f>
        <v>#DIV/0!</v>
      </c>
      <c r="WTC71" s="1159" t="e">
        <f t="shared" si="254"/>
        <v>#DIV/0!</v>
      </c>
      <c r="WTD71" s="1159" t="e">
        <f t="shared" si="254"/>
        <v>#DIV/0!</v>
      </c>
      <c r="WTE71" s="1159" t="e">
        <f t="shared" si="254"/>
        <v>#DIV/0!</v>
      </c>
      <c r="WTF71" s="1159" t="e">
        <f t="shared" si="254"/>
        <v>#DIV/0!</v>
      </c>
      <c r="WTG71" s="1159" t="e">
        <f t="shared" si="254"/>
        <v>#DIV/0!</v>
      </c>
      <c r="WTH71" s="1159" t="e">
        <f t="shared" si="254"/>
        <v>#DIV/0!</v>
      </c>
      <c r="WTI71" s="1159" t="e">
        <f t="shared" si="254"/>
        <v>#DIV/0!</v>
      </c>
      <c r="WTJ71" s="1159" t="e">
        <f t="shared" si="254"/>
        <v>#DIV/0!</v>
      </c>
      <c r="WTK71" s="1159" t="e">
        <f t="shared" si="254"/>
        <v>#DIV/0!</v>
      </c>
      <c r="WTL71" s="1159" t="e">
        <f t="shared" si="254"/>
        <v>#DIV/0!</v>
      </c>
      <c r="WTM71" s="1159" t="e">
        <f t="shared" si="254"/>
        <v>#DIV/0!</v>
      </c>
      <c r="WTN71" s="1159" t="e">
        <f t="shared" si="254"/>
        <v>#DIV/0!</v>
      </c>
      <c r="WTO71" s="1159" t="e">
        <f t="shared" si="254"/>
        <v>#DIV/0!</v>
      </c>
      <c r="WTP71" s="1159" t="e">
        <f t="shared" si="254"/>
        <v>#DIV/0!</v>
      </c>
      <c r="WTQ71" s="1159" t="e">
        <f t="shared" si="254"/>
        <v>#DIV/0!</v>
      </c>
      <c r="WTR71" s="1159" t="e">
        <f t="shared" si="254"/>
        <v>#DIV/0!</v>
      </c>
      <c r="WTS71" s="1159" t="e">
        <f t="shared" si="254"/>
        <v>#DIV/0!</v>
      </c>
      <c r="WTT71" s="1159" t="e">
        <f t="shared" si="254"/>
        <v>#DIV/0!</v>
      </c>
      <c r="WTU71" s="1159" t="e">
        <f t="shared" si="254"/>
        <v>#DIV/0!</v>
      </c>
      <c r="WTV71" s="1159" t="e">
        <f t="shared" si="254"/>
        <v>#DIV/0!</v>
      </c>
      <c r="WTW71" s="1159" t="e">
        <f t="shared" si="254"/>
        <v>#DIV/0!</v>
      </c>
      <c r="WTX71" s="1159" t="e">
        <f t="shared" si="254"/>
        <v>#DIV/0!</v>
      </c>
      <c r="WTY71" s="1159" t="e">
        <f t="shared" si="254"/>
        <v>#DIV/0!</v>
      </c>
      <c r="WTZ71" s="1159" t="e">
        <f t="shared" si="254"/>
        <v>#DIV/0!</v>
      </c>
      <c r="WUA71" s="1159" t="e">
        <f t="shared" si="254"/>
        <v>#DIV/0!</v>
      </c>
      <c r="WUB71" s="1159" t="e">
        <f t="shared" si="254"/>
        <v>#DIV/0!</v>
      </c>
      <c r="WUC71" s="1159" t="e">
        <f t="shared" si="254"/>
        <v>#DIV/0!</v>
      </c>
      <c r="WUD71" s="1159" t="e">
        <f t="shared" si="254"/>
        <v>#DIV/0!</v>
      </c>
      <c r="WUE71" s="1159" t="e">
        <f t="shared" si="254"/>
        <v>#DIV/0!</v>
      </c>
      <c r="WUF71" s="1159" t="e">
        <f t="shared" si="254"/>
        <v>#DIV/0!</v>
      </c>
      <c r="WUG71" s="1159" t="e">
        <f t="shared" si="254"/>
        <v>#DIV/0!</v>
      </c>
      <c r="WUH71" s="1159" t="e">
        <f t="shared" si="254"/>
        <v>#DIV/0!</v>
      </c>
      <c r="WUI71" s="1159" t="e">
        <f t="shared" si="254"/>
        <v>#DIV/0!</v>
      </c>
      <c r="WUJ71" s="1159" t="e">
        <f t="shared" si="254"/>
        <v>#DIV/0!</v>
      </c>
      <c r="WUK71" s="1159" t="e">
        <f t="shared" si="254"/>
        <v>#DIV/0!</v>
      </c>
      <c r="WUL71" s="1159" t="e">
        <f t="shared" si="254"/>
        <v>#DIV/0!</v>
      </c>
      <c r="WUM71" s="1159" t="e">
        <f t="shared" si="254"/>
        <v>#DIV/0!</v>
      </c>
      <c r="WUN71" s="1159" t="e">
        <f t="shared" si="254"/>
        <v>#DIV/0!</v>
      </c>
      <c r="WUO71" s="1159" t="e">
        <f t="shared" si="254"/>
        <v>#DIV/0!</v>
      </c>
      <c r="WUP71" s="1159" t="e">
        <f t="shared" si="254"/>
        <v>#DIV/0!</v>
      </c>
      <c r="WUQ71" s="1159" t="e">
        <f t="shared" si="254"/>
        <v>#DIV/0!</v>
      </c>
      <c r="WUR71" s="1159" t="e">
        <f t="shared" si="254"/>
        <v>#DIV/0!</v>
      </c>
      <c r="WUS71" s="1159" t="e">
        <f t="shared" si="254"/>
        <v>#DIV/0!</v>
      </c>
      <c r="WUT71" s="1159" t="e">
        <f t="shared" si="254"/>
        <v>#DIV/0!</v>
      </c>
      <c r="WUU71" s="1159" t="e">
        <f t="shared" si="254"/>
        <v>#DIV/0!</v>
      </c>
      <c r="WUV71" s="1159" t="e">
        <f t="shared" si="254"/>
        <v>#DIV/0!</v>
      </c>
      <c r="WUW71" s="1159" t="e">
        <f t="shared" si="254"/>
        <v>#DIV/0!</v>
      </c>
      <c r="WUX71" s="1159" t="e">
        <f t="shared" si="254"/>
        <v>#DIV/0!</v>
      </c>
      <c r="WUY71" s="1159" t="e">
        <f t="shared" si="254"/>
        <v>#DIV/0!</v>
      </c>
      <c r="WUZ71" s="1159" t="e">
        <f t="shared" si="254"/>
        <v>#DIV/0!</v>
      </c>
      <c r="WVA71" s="1159" t="e">
        <f t="shared" si="254"/>
        <v>#DIV/0!</v>
      </c>
      <c r="WVB71" s="1159" t="e">
        <f t="shared" si="254"/>
        <v>#DIV/0!</v>
      </c>
      <c r="WVC71" s="1159" t="e">
        <f t="shared" si="254"/>
        <v>#DIV/0!</v>
      </c>
      <c r="WVD71" s="1159" t="e">
        <f t="shared" si="254"/>
        <v>#DIV/0!</v>
      </c>
      <c r="WVE71" s="1159" t="e">
        <f t="shared" si="254"/>
        <v>#DIV/0!</v>
      </c>
      <c r="WVF71" s="1159" t="e">
        <f t="shared" si="254"/>
        <v>#DIV/0!</v>
      </c>
      <c r="WVG71" s="1159" t="e">
        <f t="shared" si="254"/>
        <v>#DIV/0!</v>
      </c>
      <c r="WVH71" s="1159" t="e">
        <f t="shared" si="254"/>
        <v>#DIV/0!</v>
      </c>
      <c r="WVI71" s="1159" t="e">
        <f t="shared" si="254"/>
        <v>#DIV/0!</v>
      </c>
      <c r="WVJ71" s="1159" t="e">
        <f t="shared" si="254"/>
        <v>#DIV/0!</v>
      </c>
      <c r="WVK71" s="1159" t="e">
        <f t="shared" si="254"/>
        <v>#DIV/0!</v>
      </c>
      <c r="WVL71" s="1159" t="e">
        <f t="shared" si="254"/>
        <v>#DIV/0!</v>
      </c>
      <c r="WVM71" s="1159" t="e">
        <f t="shared" si="254"/>
        <v>#DIV/0!</v>
      </c>
      <c r="WVN71" s="1159" t="e">
        <f t="shared" ref="WVN71:WXY71" si="255">((WVN6+WVN12+WVN13+WVN14+WVN15)*860+WVN16*WVN55+WVN17*WVN56+WVN7*WVN49+WVN8*WVN50+WVN9*WVN51+WVN10*WVN52+WVN11*WVN53)/(SUM(WVN6:WVN17))</f>
        <v>#DIV/0!</v>
      </c>
      <c r="WVO71" s="1159" t="e">
        <f t="shared" si="255"/>
        <v>#DIV/0!</v>
      </c>
      <c r="WVP71" s="1159" t="e">
        <f t="shared" si="255"/>
        <v>#DIV/0!</v>
      </c>
      <c r="WVQ71" s="1159" t="e">
        <f t="shared" si="255"/>
        <v>#DIV/0!</v>
      </c>
      <c r="WVR71" s="1159" t="e">
        <f t="shared" si="255"/>
        <v>#DIV/0!</v>
      </c>
      <c r="WVS71" s="1159" t="e">
        <f t="shared" si="255"/>
        <v>#DIV/0!</v>
      </c>
      <c r="WVT71" s="1159" t="e">
        <f t="shared" si="255"/>
        <v>#DIV/0!</v>
      </c>
      <c r="WVU71" s="1159" t="e">
        <f t="shared" si="255"/>
        <v>#DIV/0!</v>
      </c>
      <c r="WVV71" s="1159" t="e">
        <f t="shared" si="255"/>
        <v>#DIV/0!</v>
      </c>
      <c r="WVW71" s="1159" t="e">
        <f t="shared" si="255"/>
        <v>#DIV/0!</v>
      </c>
      <c r="WVX71" s="1159" t="e">
        <f t="shared" si="255"/>
        <v>#DIV/0!</v>
      </c>
      <c r="WVY71" s="1159" t="e">
        <f t="shared" si="255"/>
        <v>#DIV/0!</v>
      </c>
      <c r="WVZ71" s="1159" t="e">
        <f t="shared" si="255"/>
        <v>#DIV/0!</v>
      </c>
      <c r="WWA71" s="1159" t="e">
        <f t="shared" si="255"/>
        <v>#DIV/0!</v>
      </c>
      <c r="WWB71" s="1159" t="e">
        <f t="shared" si="255"/>
        <v>#DIV/0!</v>
      </c>
      <c r="WWC71" s="1159" t="e">
        <f t="shared" si="255"/>
        <v>#DIV/0!</v>
      </c>
      <c r="WWD71" s="1159" t="e">
        <f t="shared" si="255"/>
        <v>#DIV/0!</v>
      </c>
      <c r="WWE71" s="1159" t="e">
        <f t="shared" si="255"/>
        <v>#DIV/0!</v>
      </c>
      <c r="WWF71" s="1159" t="e">
        <f t="shared" si="255"/>
        <v>#DIV/0!</v>
      </c>
      <c r="WWG71" s="1159" t="e">
        <f t="shared" si="255"/>
        <v>#DIV/0!</v>
      </c>
      <c r="WWH71" s="1159" t="e">
        <f t="shared" si="255"/>
        <v>#DIV/0!</v>
      </c>
      <c r="WWI71" s="1159" t="e">
        <f t="shared" si="255"/>
        <v>#DIV/0!</v>
      </c>
      <c r="WWJ71" s="1159" t="e">
        <f t="shared" si="255"/>
        <v>#DIV/0!</v>
      </c>
      <c r="WWK71" s="1159" t="e">
        <f t="shared" si="255"/>
        <v>#DIV/0!</v>
      </c>
      <c r="WWL71" s="1159" t="e">
        <f t="shared" si="255"/>
        <v>#DIV/0!</v>
      </c>
      <c r="WWM71" s="1159" t="e">
        <f t="shared" si="255"/>
        <v>#DIV/0!</v>
      </c>
      <c r="WWN71" s="1159" t="e">
        <f t="shared" si="255"/>
        <v>#DIV/0!</v>
      </c>
      <c r="WWO71" s="1159" t="e">
        <f t="shared" si="255"/>
        <v>#DIV/0!</v>
      </c>
      <c r="WWP71" s="1159" t="e">
        <f t="shared" si="255"/>
        <v>#DIV/0!</v>
      </c>
      <c r="WWQ71" s="1159" t="e">
        <f t="shared" si="255"/>
        <v>#DIV/0!</v>
      </c>
      <c r="WWR71" s="1159" t="e">
        <f t="shared" si="255"/>
        <v>#DIV/0!</v>
      </c>
      <c r="WWS71" s="1159" t="e">
        <f t="shared" si="255"/>
        <v>#DIV/0!</v>
      </c>
      <c r="WWT71" s="1159" t="e">
        <f t="shared" si="255"/>
        <v>#DIV/0!</v>
      </c>
      <c r="WWU71" s="1159" t="e">
        <f t="shared" si="255"/>
        <v>#DIV/0!</v>
      </c>
      <c r="WWV71" s="1159" t="e">
        <f t="shared" si="255"/>
        <v>#DIV/0!</v>
      </c>
      <c r="WWW71" s="1159" t="e">
        <f t="shared" si="255"/>
        <v>#DIV/0!</v>
      </c>
      <c r="WWX71" s="1159" t="e">
        <f t="shared" si="255"/>
        <v>#DIV/0!</v>
      </c>
      <c r="WWY71" s="1159" t="e">
        <f t="shared" si="255"/>
        <v>#DIV/0!</v>
      </c>
      <c r="WWZ71" s="1159" t="e">
        <f t="shared" si="255"/>
        <v>#DIV/0!</v>
      </c>
      <c r="WXA71" s="1159" t="e">
        <f t="shared" si="255"/>
        <v>#DIV/0!</v>
      </c>
      <c r="WXB71" s="1159" t="e">
        <f t="shared" si="255"/>
        <v>#DIV/0!</v>
      </c>
      <c r="WXC71" s="1159" t="e">
        <f t="shared" si="255"/>
        <v>#DIV/0!</v>
      </c>
      <c r="WXD71" s="1159" t="e">
        <f t="shared" si="255"/>
        <v>#DIV/0!</v>
      </c>
      <c r="WXE71" s="1159" t="e">
        <f t="shared" si="255"/>
        <v>#DIV/0!</v>
      </c>
      <c r="WXF71" s="1159" t="e">
        <f t="shared" si="255"/>
        <v>#DIV/0!</v>
      </c>
      <c r="WXG71" s="1159" t="e">
        <f t="shared" si="255"/>
        <v>#DIV/0!</v>
      </c>
      <c r="WXH71" s="1159" t="e">
        <f t="shared" si="255"/>
        <v>#DIV/0!</v>
      </c>
      <c r="WXI71" s="1159" t="e">
        <f t="shared" si="255"/>
        <v>#DIV/0!</v>
      </c>
      <c r="WXJ71" s="1159" t="e">
        <f t="shared" si="255"/>
        <v>#DIV/0!</v>
      </c>
      <c r="WXK71" s="1159" t="e">
        <f t="shared" si="255"/>
        <v>#DIV/0!</v>
      </c>
      <c r="WXL71" s="1159" t="e">
        <f t="shared" si="255"/>
        <v>#DIV/0!</v>
      </c>
      <c r="WXM71" s="1159" t="e">
        <f t="shared" si="255"/>
        <v>#DIV/0!</v>
      </c>
      <c r="WXN71" s="1159" t="e">
        <f t="shared" si="255"/>
        <v>#DIV/0!</v>
      </c>
      <c r="WXO71" s="1159" t="e">
        <f t="shared" si="255"/>
        <v>#DIV/0!</v>
      </c>
      <c r="WXP71" s="1159" t="e">
        <f t="shared" si="255"/>
        <v>#DIV/0!</v>
      </c>
      <c r="WXQ71" s="1159" t="e">
        <f t="shared" si="255"/>
        <v>#DIV/0!</v>
      </c>
      <c r="WXR71" s="1159" t="e">
        <f t="shared" si="255"/>
        <v>#DIV/0!</v>
      </c>
      <c r="WXS71" s="1159" t="e">
        <f t="shared" si="255"/>
        <v>#DIV/0!</v>
      </c>
      <c r="WXT71" s="1159" t="e">
        <f t="shared" si="255"/>
        <v>#DIV/0!</v>
      </c>
      <c r="WXU71" s="1159" t="e">
        <f t="shared" si="255"/>
        <v>#DIV/0!</v>
      </c>
      <c r="WXV71" s="1159" t="e">
        <f t="shared" si="255"/>
        <v>#DIV/0!</v>
      </c>
      <c r="WXW71" s="1159" t="e">
        <f t="shared" si="255"/>
        <v>#DIV/0!</v>
      </c>
      <c r="WXX71" s="1159" t="e">
        <f t="shared" si="255"/>
        <v>#DIV/0!</v>
      </c>
      <c r="WXY71" s="1159" t="e">
        <f t="shared" si="255"/>
        <v>#DIV/0!</v>
      </c>
      <c r="WXZ71" s="1159" t="e">
        <f t="shared" ref="WXZ71:XAK71" si="256">((WXZ6+WXZ12+WXZ13+WXZ14+WXZ15)*860+WXZ16*WXZ55+WXZ17*WXZ56+WXZ7*WXZ49+WXZ8*WXZ50+WXZ9*WXZ51+WXZ10*WXZ52+WXZ11*WXZ53)/(SUM(WXZ6:WXZ17))</f>
        <v>#DIV/0!</v>
      </c>
      <c r="WYA71" s="1159" t="e">
        <f t="shared" si="256"/>
        <v>#DIV/0!</v>
      </c>
      <c r="WYB71" s="1159" t="e">
        <f t="shared" si="256"/>
        <v>#DIV/0!</v>
      </c>
      <c r="WYC71" s="1159" t="e">
        <f t="shared" si="256"/>
        <v>#DIV/0!</v>
      </c>
      <c r="WYD71" s="1159" t="e">
        <f t="shared" si="256"/>
        <v>#DIV/0!</v>
      </c>
      <c r="WYE71" s="1159" t="e">
        <f t="shared" si="256"/>
        <v>#DIV/0!</v>
      </c>
      <c r="WYF71" s="1159" t="e">
        <f t="shared" si="256"/>
        <v>#DIV/0!</v>
      </c>
      <c r="WYG71" s="1159" t="e">
        <f t="shared" si="256"/>
        <v>#DIV/0!</v>
      </c>
      <c r="WYH71" s="1159" t="e">
        <f t="shared" si="256"/>
        <v>#DIV/0!</v>
      </c>
      <c r="WYI71" s="1159" t="e">
        <f t="shared" si="256"/>
        <v>#DIV/0!</v>
      </c>
      <c r="WYJ71" s="1159" t="e">
        <f t="shared" si="256"/>
        <v>#DIV/0!</v>
      </c>
      <c r="WYK71" s="1159" t="e">
        <f t="shared" si="256"/>
        <v>#DIV/0!</v>
      </c>
      <c r="WYL71" s="1159" t="e">
        <f t="shared" si="256"/>
        <v>#DIV/0!</v>
      </c>
      <c r="WYM71" s="1159" t="e">
        <f t="shared" si="256"/>
        <v>#DIV/0!</v>
      </c>
      <c r="WYN71" s="1159" t="e">
        <f t="shared" si="256"/>
        <v>#DIV/0!</v>
      </c>
      <c r="WYO71" s="1159" t="e">
        <f t="shared" si="256"/>
        <v>#DIV/0!</v>
      </c>
      <c r="WYP71" s="1159" t="e">
        <f t="shared" si="256"/>
        <v>#DIV/0!</v>
      </c>
      <c r="WYQ71" s="1159" t="e">
        <f t="shared" si="256"/>
        <v>#DIV/0!</v>
      </c>
      <c r="WYR71" s="1159" t="e">
        <f t="shared" si="256"/>
        <v>#DIV/0!</v>
      </c>
      <c r="WYS71" s="1159" t="e">
        <f t="shared" si="256"/>
        <v>#DIV/0!</v>
      </c>
      <c r="WYT71" s="1159" t="e">
        <f t="shared" si="256"/>
        <v>#DIV/0!</v>
      </c>
      <c r="WYU71" s="1159" t="e">
        <f t="shared" si="256"/>
        <v>#DIV/0!</v>
      </c>
      <c r="WYV71" s="1159" t="e">
        <f t="shared" si="256"/>
        <v>#DIV/0!</v>
      </c>
      <c r="WYW71" s="1159" t="e">
        <f t="shared" si="256"/>
        <v>#DIV/0!</v>
      </c>
      <c r="WYX71" s="1159" t="e">
        <f t="shared" si="256"/>
        <v>#DIV/0!</v>
      </c>
      <c r="WYY71" s="1159" t="e">
        <f t="shared" si="256"/>
        <v>#DIV/0!</v>
      </c>
      <c r="WYZ71" s="1159" t="e">
        <f t="shared" si="256"/>
        <v>#DIV/0!</v>
      </c>
      <c r="WZA71" s="1159" t="e">
        <f t="shared" si="256"/>
        <v>#DIV/0!</v>
      </c>
      <c r="WZB71" s="1159" t="e">
        <f t="shared" si="256"/>
        <v>#DIV/0!</v>
      </c>
      <c r="WZC71" s="1159" t="e">
        <f t="shared" si="256"/>
        <v>#DIV/0!</v>
      </c>
      <c r="WZD71" s="1159" t="e">
        <f t="shared" si="256"/>
        <v>#DIV/0!</v>
      </c>
      <c r="WZE71" s="1159" t="e">
        <f t="shared" si="256"/>
        <v>#DIV/0!</v>
      </c>
      <c r="WZF71" s="1159" t="e">
        <f t="shared" si="256"/>
        <v>#DIV/0!</v>
      </c>
      <c r="WZG71" s="1159" t="e">
        <f t="shared" si="256"/>
        <v>#DIV/0!</v>
      </c>
      <c r="WZH71" s="1159" t="e">
        <f t="shared" si="256"/>
        <v>#DIV/0!</v>
      </c>
      <c r="WZI71" s="1159" t="e">
        <f t="shared" si="256"/>
        <v>#DIV/0!</v>
      </c>
      <c r="WZJ71" s="1159" t="e">
        <f t="shared" si="256"/>
        <v>#DIV/0!</v>
      </c>
      <c r="WZK71" s="1159" t="e">
        <f t="shared" si="256"/>
        <v>#DIV/0!</v>
      </c>
      <c r="WZL71" s="1159" t="e">
        <f t="shared" si="256"/>
        <v>#DIV/0!</v>
      </c>
      <c r="WZM71" s="1159" t="e">
        <f t="shared" si="256"/>
        <v>#DIV/0!</v>
      </c>
      <c r="WZN71" s="1159" t="e">
        <f t="shared" si="256"/>
        <v>#DIV/0!</v>
      </c>
      <c r="WZO71" s="1159" t="e">
        <f t="shared" si="256"/>
        <v>#DIV/0!</v>
      </c>
      <c r="WZP71" s="1159" t="e">
        <f t="shared" si="256"/>
        <v>#DIV/0!</v>
      </c>
      <c r="WZQ71" s="1159" t="e">
        <f t="shared" si="256"/>
        <v>#DIV/0!</v>
      </c>
      <c r="WZR71" s="1159" t="e">
        <f t="shared" si="256"/>
        <v>#DIV/0!</v>
      </c>
      <c r="WZS71" s="1159" t="e">
        <f t="shared" si="256"/>
        <v>#DIV/0!</v>
      </c>
      <c r="WZT71" s="1159" t="e">
        <f t="shared" si="256"/>
        <v>#DIV/0!</v>
      </c>
      <c r="WZU71" s="1159" t="e">
        <f t="shared" si="256"/>
        <v>#DIV/0!</v>
      </c>
      <c r="WZV71" s="1159" t="e">
        <f t="shared" si="256"/>
        <v>#DIV/0!</v>
      </c>
      <c r="WZW71" s="1159" t="e">
        <f t="shared" si="256"/>
        <v>#DIV/0!</v>
      </c>
      <c r="WZX71" s="1159" t="e">
        <f t="shared" si="256"/>
        <v>#DIV/0!</v>
      </c>
      <c r="WZY71" s="1159" t="e">
        <f t="shared" si="256"/>
        <v>#DIV/0!</v>
      </c>
      <c r="WZZ71" s="1159" t="e">
        <f t="shared" si="256"/>
        <v>#DIV/0!</v>
      </c>
      <c r="XAA71" s="1159" t="e">
        <f t="shared" si="256"/>
        <v>#DIV/0!</v>
      </c>
      <c r="XAB71" s="1159" t="e">
        <f t="shared" si="256"/>
        <v>#DIV/0!</v>
      </c>
      <c r="XAC71" s="1159" t="e">
        <f t="shared" si="256"/>
        <v>#DIV/0!</v>
      </c>
      <c r="XAD71" s="1159" t="e">
        <f t="shared" si="256"/>
        <v>#DIV/0!</v>
      </c>
      <c r="XAE71" s="1159" t="e">
        <f t="shared" si="256"/>
        <v>#DIV/0!</v>
      </c>
      <c r="XAF71" s="1159" t="e">
        <f t="shared" si="256"/>
        <v>#DIV/0!</v>
      </c>
      <c r="XAG71" s="1159" t="e">
        <f t="shared" si="256"/>
        <v>#DIV/0!</v>
      </c>
      <c r="XAH71" s="1159" t="e">
        <f t="shared" si="256"/>
        <v>#DIV/0!</v>
      </c>
      <c r="XAI71" s="1159" t="e">
        <f t="shared" si="256"/>
        <v>#DIV/0!</v>
      </c>
      <c r="XAJ71" s="1159" t="e">
        <f t="shared" si="256"/>
        <v>#DIV/0!</v>
      </c>
      <c r="XAK71" s="1159" t="e">
        <f t="shared" si="256"/>
        <v>#DIV/0!</v>
      </c>
      <c r="XAL71" s="1159" t="e">
        <f t="shared" ref="XAL71:XCW71" si="257">((XAL6+XAL12+XAL13+XAL14+XAL15)*860+XAL16*XAL55+XAL17*XAL56+XAL7*XAL49+XAL8*XAL50+XAL9*XAL51+XAL10*XAL52+XAL11*XAL53)/(SUM(XAL6:XAL17))</f>
        <v>#DIV/0!</v>
      </c>
      <c r="XAM71" s="1159" t="e">
        <f t="shared" si="257"/>
        <v>#DIV/0!</v>
      </c>
      <c r="XAN71" s="1159" t="e">
        <f t="shared" si="257"/>
        <v>#DIV/0!</v>
      </c>
      <c r="XAO71" s="1159" t="e">
        <f t="shared" si="257"/>
        <v>#DIV/0!</v>
      </c>
      <c r="XAP71" s="1159" t="e">
        <f t="shared" si="257"/>
        <v>#DIV/0!</v>
      </c>
      <c r="XAQ71" s="1159" t="e">
        <f t="shared" si="257"/>
        <v>#DIV/0!</v>
      </c>
      <c r="XAR71" s="1159" t="e">
        <f t="shared" si="257"/>
        <v>#DIV/0!</v>
      </c>
      <c r="XAS71" s="1159" t="e">
        <f t="shared" si="257"/>
        <v>#DIV/0!</v>
      </c>
      <c r="XAT71" s="1159" t="e">
        <f t="shared" si="257"/>
        <v>#DIV/0!</v>
      </c>
      <c r="XAU71" s="1159" t="e">
        <f t="shared" si="257"/>
        <v>#DIV/0!</v>
      </c>
      <c r="XAV71" s="1159" t="e">
        <f t="shared" si="257"/>
        <v>#DIV/0!</v>
      </c>
      <c r="XAW71" s="1159" t="e">
        <f t="shared" si="257"/>
        <v>#DIV/0!</v>
      </c>
      <c r="XAX71" s="1159" t="e">
        <f t="shared" si="257"/>
        <v>#DIV/0!</v>
      </c>
      <c r="XAY71" s="1159" t="e">
        <f t="shared" si="257"/>
        <v>#DIV/0!</v>
      </c>
      <c r="XAZ71" s="1159" t="e">
        <f t="shared" si="257"/>
        <v>#DIV/0!</v>
      </c>
      <c r="XBA71" s="1159" t="e">
        <f t="shared" si="257"/>
        <v>#DIV/0!</v>
      </c>
      <c r="XBB71" s="1159" t="e">
        <f t="shared" si="257"/>
        <v>#DIV/0!</v>
      </c>
      <c r="XBC71" s="1159" t="e">
        <f t="shared" si="257"/>
        <v>#DIV/0!</v>
      </c>
      <c r="XBD71" s="1159" t="e">
        <f t="shared" si="257"/>
        <v>#DIV/0!</v>
      </c>
      <c r="XBE71" s="1159" t="e">
        <f t="shared" si="257"/>
        <v>#DIV/0!</v>
      </c>
      <c r="XBF71" s="1159" t="e">
        <f t="shared" si="257"/>
        <v>#DIV/0!</v>
      </c>
      <c r="XBG71" s="1159" t="e">
        <f t="shared" si="257"/>
        <v>#DIV/0!</v>
      </c>
      <c r="XBH71" s="1159" t="e">
        <f t="shared" si="257"/>
        <v>#DIV/0!</v>
      </c>
      <c r="XBI71" s="1159" t="e">
        <f t="shared" si="257"/>
        <v>#DIV/0!</v>
      </c>
      <c r="XBJ71" s="1159" t="e">
        <f t="shared" si="257"/>
        <v>#DIV/0!</v>
      </c>
      <c r="XBK71" s="1159" t="e">
        <f t="shared" si="257"/>
        <v>#DIV/0!</v>
      </c>
      <c r="XBL71" s="1159" t="e">
        <f t="shared" si="257"/>
        <v>#DIV/0!</v>
      </c>
      <c r="XBM71" s="1159" t="e">
        <f t="shared" si="257"/>
        <v>#DIV/0!</v>
      </c>
      <c r="XBN71" s="1159" t="e">
        <f t="shared" si="257"/>
        <v>#DIV/0!</v>
      </c>
      <c r="XBO71" s="1159" t="e">
        <f t="shared" si="257"/>
        <v>#DIV/0!</v>
      </c>
      <c r="XBP71" s="1159" t="e">
        <f t="shared" si="257"/>
        <v>#DIV/0!</v>
      </c>
      <c r="XBQ71" s="1159" t="e">
        <f t="shared" si="257"/>
        <v>#DIV/0!</v>
      </c>
      <c r="XBR71" s="1159" t="e">
        <f t="shared" si="257"/>
        <v>#DIV/0!</v>
      </c>
      <c r="XBS71" s="1159" t="e">
        <f t="shared" si="257"/>
        <v>#DIV/0!</v>
      </c>
      <c r="XBT71" s="1159" t="e">
        <f t="shared" si="257"/>
        <v>#DIV/0!</v>
      </c>
      <c r="XBU71" s="1159" t="e">
        <f t="shared" si="257"/>
        <v>#DIV/0!</v>
      </c>
      <c r="XBV71" s="1159" t="e">
        <f t="shared" si="257"/>
        <v>#DIV/0!</v>
      </c>
      <c r="XBW71" s="1159" t="e">
        <f t="shared" si="257"/>
        <v>#DIV/0!</v>
      </c>
      <c r="XBX71" s="1159" t="e">
        <f t="shared" si="257"/>
        <v>#DIV/0!</v>
      </c>
      <c r="XBY71" s="1159" t="e">
        <f t="shared" si="257"/>
        <v>#DIV/0!</v>
      </c>
      <c r="XBZ71" s="1159" t="e">
        <f t="shared" si="257"/>
        <v>#DIV/0!</v>
      </c>
      <c r="XCA71" s="1159" t="e">
        <f t="shared" si="257"/>
        <v>#DIV/0!</v>
      </c>
      <c r="XCB71" s="1159" t="e">
        <f t="shared" si="257"/>
        <v>#DIV/0!</v>
      </c>
      <c r="XCC71" s="1159" t="e">
        <f t="shared" si="257"/>
        <v>#DIV/0!</v>
      </c>
      <c r="XCD71" s="1159" t="e">
        <f t="shared" si="257"/>
        <v>#DIV/0!</v>
      </c>
      <c r="XCE71" s="1159" t="e">
        <f t="shared" si="257"/>
        <v>#DIV/0!</v>
      </c>
      <c r="XCF71" s="1159" t="e">
        <f t="shared" si="257"/>
        <v>#DIV/0!</v>
      </c>
      <c r="XCG71" s="1159" t="e">
        <f t="shared" si="257"/>
        <v>#DIV/0!</v>
      </c>
      <c r="XCH71" s="1159" t="e">
        <f t="shared" si="257"/>
        <v>#DIV/0!</v>
      </c>
      <c r="XCI71" s="1159" t="e">
        <f t="shared" si="257"/>
        <v>#DIV/0!</v>
      </c>
      <c r="XCJ71" s="1159" t="e">
        <f t="shared" si="257"/>
        <v>#DIV/0!</v>
      </c>
      <c r="XCK71" s="1159" t="e">
        <f t="shared" si="257"/>
        <v>#DIV/0!</v>
      </c>
      <c r="XCL71" s="1159" t="e">
        <f t="shared" si="257"/>
        <v>#DIV/0!</v>
      </c>
      <c r="XCM71" s="1159" t="e">
        <f t="shared" si="257"/>
        <v>#DIV/0!</v>
      </c>
      <c r="XCN71" s="1159" t="e">
        <f t="shared" si="257"/>
        <v>#DIV/0!</v>
      </c>
      <c r="XCO71" s="1159" t="e">
        <f t="shared" si="257"/>
        <v>#DIV/0!</v>
      </c>
      <c r="XCP71" s="1159" t="e">
        <f t="shared" si="257"/>
        <v>#DIV/0!</v>
      </c>
      <c r="XCQ71" s="1159" t="e">
        <f t="shared" si="257"/>
        <v>#DIV/0!</v>
      </c>
      <c r="XCR71" s="1159" t="e">
        <f t="shared" si="257"/>
        <v>#DIV/0!</v>
      </c>
      <c r="XCS71" s="1159" t="e">
        <f t="shared" si="257"/>
        <v>#DIV/0!</v>
      </c>
      <c r="XCT71" s="1159" t="e">
        <f t="shared" si="257"/>
        <v>#DIV/0!</v>
      </c>
      <c r="XCU71" s="1159" t="e">
        <f t="shared" si="257"/>
        <v>#DIV/0!</v>
      </c>
      <c r="XCV71" s="1159" t="e">
        <f t="shared" si="257"/>
        <v>#DIV/0!</v>
      </c>
      <c r="XCW71" s="1159" t="e">
        <f t="shared" si="257"/>
        <v>#DIV/0!</v>
      </c>
      <c r="XCX71" s="1159" t="e">
        <f t="shared" ref="XCX71:XFD71" si="258">((XCX6+XCX12+XCX13+XCX14+XCX15)*860+XCX16*XCX55+XCX17*XCX56+XCX7*XCX49+XCX8*XCX50+XCX9*XCX51+XCX10*XCX52+XCX11*XCX53)/(SUM(XCX6:XCX17))</f>
        <v>#DIV/0!</v>
      </c>
      <c r="XCY71" s="1159" t="e">
        <f t="shared" si="258"/>
        <v>#DIV/0!</v>
      </c>
      <c r="XCZ71" s="1159" t="e">
        <f t="shared" si="258"/>
        <v>#DIV/0!</v>
      </c>
      <c r="XDA71" s="1159" t="e">
        <f t="shared" si="258"/>
        <v>#DIV/0!</v>
      </c>
      <c r="XDB71" s="1159" t="e">
        <f t="shared" si="258"/>
        <v>#DIV/0!</v>
      </c>
      <c r="XDC71" s="1159" t="e">
        <f t="shared" si="258"/>
        <v>#DIV/0!</v>
      </c>
      <c r="XDD71" s="1159" t="e">
        <f t="shared" si="258"/>
        <v>#DIV/0!</v>
      </c>
      <c r="XDE71" s="1159" t="e">
        <f t="shared" si="258"/>
        <v>#DIV/0!</v>
      </c>
      <c r="XDF71" s="1159" t="e">
        <f t="shared" si="258"/>
        <v>#DIV/0!</v>
      </c>
      <c r="XDG71" s="1159" t="e">
        <f t="shared" si="258"/>
        <v>#DIV/0!</v>
      </c>
      <c r="XDH71" s="1159" t="e">
        <f t="shared" si="258"/>
        <v>#DIV/0!</v>
      </c>
      <c r="XDI71" s="1159" t="e">
        <f t="shared" si="258"/>
        <v>#DIV/0!</v>
      </c>
      <c r="XDJ71" s="1159" t="e">
        <f t="shared" si="258"/>
        <v>#DIV/0!</v>
      </c>
      <c r="XDK71" s="1159" t="e">
        <f t="shared" si="258"/>
        <v>#DIV/0!</v>
      </c>
      <c r="XDL71" s="1159" t="e">
        <f t="shared" si="258"/>
        <v>#DIV/0!</v>
      </c>
      <c r="XDM71" s="1159" t="e">
        <f t="shared" si="258"/>
        <v>#DIV/0!</v>
      </c>
      <c r="XDN71" s="1159" t="e">
        <f t="shared" si="258"/>
        <v>#DIV/0!</v>
      </c>
      <c r="XDO71" s="1159" t="e">
        <f t="shared" si="258"/>
        <v>#DIV/0!</v>
      </c>
      <c r="XDP71" s="1159" t="e">
        <f t="shared" si="258"/>
        <v>#DIV/0!</v>
      </c>
      <c r="XDQ71" s="1159" t="e">
        <f t="shared" si="258"/>
        <v>#DIV/0!</v>
      </c>
      <c r="XDR71" s="1159" t="e">
        <f t="shared" si="258"/>
        <v>#DIV/0!</v>
      </c>
      <c r="XDS71" s="1159" t="e">
        <f t="shared" si="258"/>
        <v>#DIV/0!</v>
      </c>
      <c r="XDT71" s="1159" t="e">
        <f t="shared" si="258"/>
        <v>#DIV/0!</v>
      </c>
      <c r="XDU71" s="1159" t="e">
        <f t="shared" si="258"/>
        <v>#DIV/0!</v>
      </c>
      <c r="XDV71" s="1159" t="e">
        <f t="shared" si="258"/>
        <v>#DIV/0!</v>
      </c>
      <c r="XDW71" s="1159" t="e">
        <f t="shared" si="258"/>
        <v>#DIV/0!</v>
      </c>
      <c r="XDX71" s="1159" t="e">
        <f t="shared" si="258"/>
        <v>#DIV/0!</v>
      </c>
      <c r="XDY71" s="1159" t="e">
        <f t="shared" si="258"/>
        <v>#DIV/0!</v>
      </c>
      <c r="XDZ71" s="1159" t="e">
        <f t="shared" si="258"/>
        <v>#DIV/0!</v>
      </c>
      <c r="XEA71" s="1159" t="e">
        <f t="shared" si="258"/>
        <v>#DIV/0!</v>
      </c>
      <c r="XEB71" s="1159" t="e">
        <f t="shared" si="258"/>
        <v>#DIV/0!</v>
      </c>
      <c r="XEC71" s="1159" t="e">
        <f t="shared" si="258"/>
        <v>#DIV/0!</v>
      </c>
      <c r="XED71" s="1159" t="e">
        <f t="shared" si="258"/>
        <v>#DIV/0!</v>
      </c>
      <c r="XEE71" s="1159" t="e">
        <f t="shared" si="258"/>
        <v>#DIV/0!</v>
      </c>
      <c r="XEF71" s="1159" t="e">
        <f t="shared" si="258"/>
        <v>#DIV/0!</v>
      </c>
      <c r="XEG71" s="1159" t="e">
        <f t="shared" si="258"/>
        <v>#DIV/0!</v>
      </c>
      <c r="XEH71" s="1159" t="e">
        <f t="shared" si="258"/>
        <v>#DIV/0!</v>
      </c>
      <c r="XEI71" s="1159" t="e">
        <f t="shared" si="258"/>
        <v>#DIV/0!</v>
      </c>
      <c r="XEJ71" s="1159" t="e">
        <f t="shared" si="258"/>
        <v>#DIV/0!</v>
      </c>
      <c r="XEK71" s="1159" t="e">
        <f t="shared" si="258"/>
        <v>#DIV/0!</v>
      </c>
      <c r="XEL71" s="1159" t="e">
        <f t="shared" si="258"/>
        <v>#DIV/0!</v>
      </c>
      <c r="XEM71" s="1159" t="e">
        <f t="shared" si="258"/>
        <v>#DIV/0!</v>
      </c>
      <c r="XEN71" s="1159" t="e">
        <f t="shared" si="258"/>
        <v>#DIV/0!</v>
      </c>
      <c r="XEO71" s="1159" t="e">
        <f t="shared" si="258"/>
        <v>#DIV/0!</v>
      </c>
      <c r="XEP71" s="1159" t="e">
        <f t="shared" si="258"/>
        <v>#DIV/0!</v>
      </c>
      <c r="XEQ71" s="1159" t="e">
        <f t="shared" si="258"/>
        <v>#DIV/0!</v>
      </c>
      <c r="XER71" s="1159" t="e">
        <f t="shared" si="258"/>
        <v>#DIV/0!</v>
      </c>
      <c r="XES71" s="1159" t="e">
        <f t="shared" si="258"/>
        <v>#DIV/0!</v>
      </c>
      <c r="XET71" s="1159" t="e">
        <f t="shared" si="258"/>
        <v>#DIV/0!</v>
      </c>
      <c r="XEU71" s="1159" t="e">
        <f t="shared" si="258"/>
        <v>#DIV/0!</v>
      </c>
      <c r="XEV71" s="1159" t="e">
        <f t="shared" si="258"/>
        <v>#DIV/0!</v>
      </c>
      <c r="XEW71" s="1159" t="e">
        <f t="shared" si="258"/>
        <v>#DIV/0!</v>
      </c>
      <c r="XEX71" s="1159" t="e">
        <f t="shared" si="258"/>
        <v>#DIV/0!</v>
      </c>
      <c r="XEY71" s="1159" t="e">
        <f t="shared" si="258"/>
        <v>#DIV/0!</v>
      </c>
      <c r="XEZ71" s="1159" t="e">
        <f t="shared" si="258"/>
        <v>#DIV/0!</v>
      </c>
      <c r="XFA71" s="1159" t="e">
        <f t="shared" si="258"/>
        <v>#DIV/0!</v>
      </c>
      <c r="XFB71" s="1159" t="e">
        <f t="shared" si="258"/>
        <v>#DIV/0!</v>
      </c>
      <c r="XFC71" s="1159" t="e">
        <f t="shared" si="258"/>
        <v>#DIV/0!</v>
      </c>
      <c r="XFD71" s="1159">
        <f t="shared" si="258"/>
        <v>0</v>
      </c>
    </row>
    <row r="72" spans="1:6" x14ac:dyDescent="0.25">
      <c r="A72" s="324"/>
      <c r="B72" s="870"/>
      <c r="C72" s="870"/>
      <c r="D72" s="870"/>
      <c r="E72" s="870"/>
      <c r="F72" s="870"/>
    </row>
    <row r="87" spans="5:5" x14ac:dyDescent="0.25">
      <c r="E87" s="1173"/>
    </row>
  </sheetData>
  <sheetProtection sheet="1" algorithmName="SHA-512" hashValue="p3SGQ5mmyu0HNb86JBNoLxZU0MbgybBjD3pjn41TiyyIV3NYq9ggl+GLraHCjbV66Ukwz39u+qLRJ2cncVof9Q==" saltValue="lDqQHh+UHlQbt6k6Ihx+iQ==" spinCount="100000" objects="1" scenarios="1"/>
  <mergeCells count="4">
    <mergeCell ref="A1:F1"/>
    <mergeCell ref="A2:B2"/>
    <mergeCell ref="C2:F2"/>
    <mergeCell ref="A3:C3"/>
  </mergeCells>
  <pageMargins left="0.7086614173228347" right="0.7086614173228347" top="0.59" bottom="0.7480314960629921" header="0.31496062992125984" footer="0.31496062992125984"/>
  <pageSetup orientation="landscape" horizontalDpi="4294967295" verticalDpi="4294967295" scale="85"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zoomScale="100" zoomScaleNormal="100"/>
  </sheetViews>
  <sheetFormatPr defaultRowHeight="14.5" outlineLevelRow="0" outlineLevelCol="0" x14ac:dyDescent="0.35" customHeight="1"/>
  <cols>
    <col min="1" max="1" width="9.54296875" style="1146" customWidth="1"/>
    <col min="2" max="2" width="34.26953125" customWidth="1"/>
    <col min="3" max="3" width="27.54296875" customWidth="1"/>
    <col min="4" max="4" width="16.81640625" customWidth="1"/>
    <col min="5" max="5" width="18.26953125" style="1146" customWidth="1"/>
    <col min="6" max="6" width="24.1796875" style="1146" customWidth="1"/>
    <col min="12" max="12" width="57.26953125" customWidth="1"/>
  </cols>
  <sheetData>
    <row r="1" ht="22.5" customHeight="1" spans="1:6" x14ac:dyDescent="0.25">
      <c r="A1" s="1497" t="s">
        <v>3512</v>
      </c>
      <c r="B1" s="1497"/>
      <c r="C1" s="1497"/>
      <c r="D1" s="1497"/>
      <c r="E1" s="1497"/>
      <c r="F1" s="1497"/>
    </row>
    <row r="2" ht="17.5" customHeight="1" spans="1:6" x14ac:dyDescent="0.25">
      <c r="A2" s="907" t="s">
        <v>1361</v>
      </c>
      <c r="B2" s="907"/>
      <c r="C2" s="907" t="str">
        <f>'NF - 5 Power Mix'!C2:F2</f>
        <v>HINDALCO INDUSTRIES LIMITED  </v>
      </c>
      <c r="D2" s="907"/>
      <c r="E2" s="907"/>
      <c r="F2" s="907"/>
    </row>
    <row r="3" ht="17.5" customHeight="1" spans="1:6" x14ac:dyDescent="0.25">
      <c r="A3" s="1222" t="s">
        <v>2833</v>
      </c>
      <c r="B3" s="1222"/>
      <c r="C3" s="1222"/>
      <c r="D3" s="907" t="s">
        <v>2028</v>
      </c>
      <c r="E3" s="907" t="str">
        <f>'Form Sa1'!H1379</f>
        <v>Yes</v>
      </c>
      <c r="F3" s="907" t="str">
        <f>'Form Sa1'!I1379</f>
        <v>Yes</v>
      </c>
    </row>
    <row r="4" ht="42" customHeight="1" spans="1:6" x14ac:dyDescent="0.25">
      <c r="A4" s="1223" t="s">
        <v>2834</v>
      </c>
      <c r="B4" s="1224" t="s">
        <v>1437</v>
      </c>
      <c r="C4" s="1224" t="s">
        <v>1545</v>
      </c>
      <c r="D4" s="1224" t="s">
        <v>2535</v>
      </c>
      <c r="E4" s="856" t="str">
        <f>'NF - 5 Power Mix'!E4</f>
        <v>Baseline/Previous Year 2023-24</v>
      </c>
      <c r="F4" s="856" t="str">
        <f>'NF - 5 Power Mix'!F4</f>
        <v>Assesment year/ Current Year  FY 2025-26</v>
      </c>
    </row>
    <row r="5" spans="1:6" x14ac:dyDescent="0.25">
      <c r="A5" s="9">
        <v>1</v>
      </c>
      <c r="B5" s="334" t="s">
        <v>3513</v>
      </c>
      <c r="C5" s="334" t="s">
        <v>3514</v>
      </c>
      <c r="D5" s="334" t="s">
        <v>1456</v>
      </c>
      <c r="E5" s="1403">
        <f>'Form Sa1'!H384</f>
        <v>219298.181</v>
      </c>
      <c r="F5" s="9">
        <f>'Form Sa1'!I384</f>
        <v>0</v>
      </c>
    </row>
    <row r="6" spans="1:6" x14ac:dyDescent="0.25">
      <c r="A6" s="9">
        <v>2</v>
      </c>
      <c r="B6" s="334" t="s">
        <v>1885</v>
      </c>
      <c r="C6" s="334" t="s">
        <v>3515</v>
      </c>
      <c r="D6" s="334" t="s">
        <v>1456</v>
      </c>
      <c r="E6" s="1403">
        <f>'Form Sa1'!H390</f>
        <v>0</v>
      </c>
      <c r="F6" s="9">
        <f>'Form Sa1'!I390</f>
        <v>0</v>
      </c>
    </row>
    <row r="7" spans="1:6" x14ac:dyDescent="0.25">
      <c r="A7" s="9">
        <v>3</v>
      </c>
      <c r="B7" s="334" t="s">
        <v>1886</v>
      </c>
      <c r="C7" s="334" t="s">
        <v>3516</v>
      </c>
      <c r="D7" s="334" t="s">
        <v>1456</v>
      </c>
      <c r="E7" s="1403">
        <f>'Form Sa1'!H391</f>
        <v>0</v>
      </c>
      <c r="F7" s="9">
        <f>'Form Sa1'!I391</f>
        <v>0</v>
      </c>
    </row>
    <row r="8" spans="1:6" x14ac:dyDescent="0.25">
      <c r="A8" s="9">
        <v>4</v>
      </c>
      <c r="B8" s="334" t="s">
        <v>3517</v>
      </c>
      <c r="C8" s="334" t="s">
        <v>3518</v>
      </c>
      <c r="D8" s="334" t="s">
        <v>1456</v>
      </c>
      <c r="E8" s="1403">
        <f>'Form Sa1'!H388</f>
        <v>21451.45</v>
      </c>
      <c r="F8" s="9">
        <f>'Form Sa1'!I388</f>
        <v>0</v>
      </c>
    </row>
    <row r="9" spans="1:6" x14ac:dyDescent="0.25">
      <c r="A9" s="9">
        <v>5</v>
      </c>
      <c r="B9" s="334" t="s">
        <v>3519</v>
      </c>
      <c r="C9" s="334" t="s">
        <v>3520</v>
      </c>
      <c r="D9" s="334" t="s">
        <v>1456</v>
      </c>
      <c r="E9" s="1403">
        <f>'Form Sa1'!H389</f>
        <v>23140.515</v>
      </c>
      <c r="F9" s="9">
        <f>'Form Sa1'!I389</f>
        <v>0</v>
      </c>
    </row>
    <row r="10" hidden="1" spans="1:6" x14ac:dyDescent="0.25">
      <c r="A10" s="1407"/>
      <c r="B10" s="1406"/>
      <c r="C10" s="1406"/>
      <c r="D10" s="1406"/>
      <c r="E10" s="1407"/>
      <c r="F10" s="1407"/>
    </row>
    <row r="11" spans="1:6" x14ac:dyDescent="0.25">
      <c r="A11" s="9">
        <v>6</v>
      </c>
      <c r="B11" s="334" t="s">
        <v>3521</v>
      </c>
      <c r="C11" s="334" t="s">
        <v>3522</v>
      </c>
      <c r="D11" s="334" t="s">
        <v>1456</v>
      </c>
      <c r="E11" s="1186">
        <f>E9-E8</f>
        <v>1689.0649999999987</v>
      </c>
      <c r="F11" s="1186">
        <f>F9-F8</f>
        <v>0</v>
      </c>
    </row>
    <row r="12" spans="1:6" x14ac:dyDescent="0.25">
      <c r="A12" s="9">
        <v>7</v>
      </c>
      <c r="B12" s="334" t="s">
        <v>3523</v>
      </c>
      <c r="C12" s="334" t="s">
        <v>3524</v>
      </c>
      <c r="D12" s="334" t="s">
        <v>1456</v>
      </c>
      <c r="E12" s="1186">
        <f>IF(E11&gt;0,(E7+E11),E7)</f>
        <v>1689.0649999999987</v>
      </c>
      <c r="F12" s="9">
        <f>IF(F11&gt;0,(F7+F11),F7)</f>
        <v>0</v>
      </c>
    </row>
    <row r="13" spans="1:6" x14ac:dyDescent="0.25">
      <c r="A13" s="9">
        <v>8</v>
      </c>
      <c r="B13" s="334" t="s">
        <v>3525</v>
      </c>
      <c r="C13" s="334" t="s">
        <v>3526</v>
      </c>
      <c r="D13" s="334" t="s">
        <v>1456</v>
      </c>
      <c r="E13" s="9">
        <f>IF(E11&lt;0,(E6-E11),E6)</f>
        <v>0</v>
      </c>
      <c r="F13" s="9">
        <f>IF(F11&lt;0,(F6-F11),F6)</f>
        <v>0</v>
      </c>
    </row>
    <row r="14" spans="1:6" x14ac:dyDescent="0.25">
      <c r="A14" s="9">
        <v>9</v>
      </c>
      <c r="B14" s="334" t="s">
        <v>3527</v>
      </c>
      <c r="C14" s="334" t="s">
        <v>3528</v>
      </c>
      <c r="D14" s="334" t="s">
        <v>3120</v>
      </c>
      <c r="E14" s="1408">
        <f>'Baseline Parameter'!E66</f>
        <v>1.2176904589748758</v>
      </c>
      <c r="F14" s="9" t="e">
        <f>'Baseline Parameter'!F66</f>
        <v>#DIV/0!</v>
      </c>
    </row>
    <row r="15" ht="29" customHeight="1" spans="1:6" s="1173" customFormat="1" x14ac:dyDescent="0.25">
      <c r="A15" s="245">
        <v>10</v>
      </c>
      <c r="B15" s="246" t="s">
        <v>3529</v>
      </c>
      <c r="C15" s="246" t="s">
        <v>3530</v>
      </c>
      <c r="D15" s="246" t="s">
        <v>1826</v>
      </c>
      <c r="E15" s="1486">
        <f>E14*E12</f>
        <v>2056.758335088397</v>
      </c>
      <c r="F15" s="245" t="e">
        <f>F14*F12</f>
        <v>#DIV/0!</v>
      </c>
    </row>
    <row r="16" ht="29" customHeight="1" spans="1:6" s="1173" customFormat="1" x14ac:dyDescent="0.25">
      <c r="A16" s="245">
        <v>12</v>
      </c>
      <c r="B16" s="246" t="s">
        <v>3531</v>
      </c>
      <c r="C16" s="246" t="s">
        <v>3532</v>
      </c>
      <c r="D16" s="246" t="s">
        <v>1826</v>
      </c>
      <c r="E16" s="1486">
        <f>E14*E13</f>
        <v>0</v>
      </c>
      <c r="F16" s="245" t="e">
        <f>F14*F13</f>
        <v>#DIV/0!</v>
      </c>
    </row>
    <row r="17" ht="29" customHeight="1" spans="1:6" s="1173" customFormat="1" x14ac:dyDescent="0.25">
      <c r="A17" s="245">
        <v>13</v>
      </c>
      <c r="B17" s="246" t="s">
        <v>3533</v>
      </c>
      <c r="C17" s="246" t="s">
        <v>3534</v>
      </c>
      <c r="D17" s="246" t="s">
        <v>1826</v>
      </c>
      <c r="E17" s="1486">
        <f>E15-E16</f>
        <v>2056.758335088397</v>
      </c>
      <c r="F17" s="1486" t="e">
        <f>F15-F16</f>
        <v>#DIV/0!</v>
      </c>
    </row>
    <row r="18" ht="23.25" customHeight="1" spans="1:15" x14ac:dyDescent="0.25">
      <c r="A18" s="504">
        <v>14</v>
      </c>
      <c r="B18" s="503" t="s">
        <v>3535</v>
      </c>
      <c r="C18" s="503" t="s">
        <v>3536</v>
      </c>
      <c r="D18" s="503" t="s">
        <v>1826</v>
      </c>
      <c r="E18" s="874"/>
      <c r="F18" s="1498" t="e">
        <f>IF(AND(E3="Yes", F3="Yes"), (F17-E17),0)</f>
        <v>#DIV/0!</v>
      </c>
      <c r="L18" s="1173"/>
      <c r="M18" s="1173"/>
      <c r="N18" s="1173"/>
      <c r="O18" s="1173"/>
    </row>
    <row r="19" spans="12:12" x14ac:dyDescent="0.25">
      <c r="L19" s="1173"/>
    </row>
    <row r="20" spans="12:15" x14ac:dyDescent="0.25">
      <c r="L20" s="1173"/>
      <c r="M20" s="1173"/>
      <c r="N20" s="1173"/>
      <c r="O20" s="1173"/>
    </row>
    <row r="21" spans="12:15" x14ac:dyDescent="0.25">
      <c r="L21" s="1173"/>
      <c r="M21" s="1173"/>
      <c r="N21" s="1173"/>
      <c r="O21" s="1173"/>
    </row>
    <row r="22" spans="13:15" x14ac:dyDescent="0.25">
      <c r="M22" s="1173"/>
      <c r="N22" s="1173"/>
      <c r="O22" s="1173"/>
    </row>
  </sheetData>
  <sheetProtection sheet="1" algorithmName="SHA-512" hashValue="zmQxwgBhO45rN1P/9SJkS/xnP1UrlGQR5H5iD67PdclWGluRzEBdQJinSXfAXGWijZB9ggDpsD3eFbaGnnFbvg==" saltValue="zteB36Rxdtss8XkJBYWasg==" spinCount="100000" objects="1" scenarios="1"/>
  <mergeCells count="4">
    <mergeCell ref="A1:F1"/>
    <mergeCell ref="A2:B2"/>
    <mergeCell ref="C2:F2"/>
    <mergeCell ref="A3:C3"/>
  </mergeCells>
  <pageMargins left="0.7" right="0.7" top="0.75" bottom="0.75" header="0.3" footer="0.3"/>
  <pageSetup paperSize="9" orientation="landscape" horizontalDpi="4294967295" verticalDpi="4294967295" scale="100" fitToWidth="1" fitToHeight="1" firstPageNumber="1" useFirstPageNumber="1" copies="1"/>
  <headerFooter>
    <oddFooter>&amp;CCarbon Anode (Hindalco-Renukoot)&amp;RPage &amp;P of &amp;N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2"/>
  <sheetViews>
    <sheetView workbookViewId="0" zoomScale="85" zoomScaleNormal="85">
      <pane xSplit="3" ySplit="5" topLeftCell="D7" activePane="bottomRight" state="frozen"/>
      <selection pane="bottomRight" activeCell="A2" sqref="A2"/>
    </sheetView>
  </sheetViews>
  <sheetFormatPr defaultRowHeight="14.5" outlineLevelRow="0" outlineLevelCol="0" x14ac:dyDescent="0.35" customHeight="1"/>
  <cols>
    <col min="1" max="1" width="7.7265625" style="1146" customWidth="1"/>
    <col min="2" max="2" width="36.7265625" customWidth="1"/>
    <col min="3" max="3" width="22.7265625" customWidth="1"/>
    <col min="4" max="4" width="15.1796875" customWidth="1"/>
    <col min="5" max="5" width="16.1796875" customWidth="1"/>
    <col min="6" max="6" width="14.81640625" customWidth="1"/>
    <col min="7" max="7" width="13" customWidth="1"/>
    <col min="8" max="8" width="15.54296875" customWidth="1"/>
    <col min="9" max="9" width="12.81640625" customWidth="1"/>
    <col min="10" max="10" width="12.453125" customWidth="1"/>
    <col min="11" max="11" width="11.54296875" customWidth="1"/>
    <col min="12" max="12" width="13.1796875" customWidth="1"/>
    <col min="13" max="13" width="12.81640625" customWidth="1"/>
    <col min="14" max="14" width="14.1796875" customWidth="1"/>
    <col min="15" max="15" width="12.453125" customWidth="1"/>
    <col min="16" max="16" width="12.7265625" customWidth="1"/>
    <col min="17" max="17" width="12.81640625" customWidth="1"/>
    <col min="18" max="18" width="13.7265625" customWidth="1"/>
    <col min="19" max="19" width="12.453125" customWidth="1"/>
    <col min="20" max="20" width="12" customWidth="1"/>
    <col min="21" max="21" width="12.26953125" customWidth="1"/>
    <col min="22" max="22" width="13.26953125" customWidth="1"/>
    <col min="23" max="23" width="11.453125" customWidth="1"/>
    <col min="24" max="24" width="12.26953125" customWidth="1"/>
    <col min="25" max="25" width="11.54296875" customWidth="1"/>
    <col min="26" max="26" width="12.81640625" customWidth="1"/>
  </cols>
  <sheetData>
    <row r="1" ht="22.5" customHeight="1" spans="1:6" x14ac:dyDescent="0.25">
      <c r="A1" s="1497" t="s">
        <v>3537</v>
      </c>
      <c r="B1" s="1497"/>
      <c r="C1" s="1497"/>
      <c r="D1" s="1497"/>
      <c r="E1" s="1497"/>
      <c r="F1" s="1497"/>
    </row>
    <row r="2" ht="17.5" customHeight="1" spans="1:6" x14ac:dyDescent="0.25">
      <c r="A2" s="907" t="s">
        <v>1361</v>
      </c>
      <c r="B2" s="907"/>
      <c r="C2" s="907" t="str">
        <f>'NF - 5 Power Mix'!C2:F2</f>
        <v>HINDALCO INDUSTRIES LIMITED  </v>
      </c>
      <c r="D2" s="907"/>
      <c r="E2" s="907"/>
      <c r="F2" s="907"/>
    </row>
    <row r="3" spans="1:6" x14ac:dyDescent="0.25">
      <c r="A3" s="1499" t="s">
        <v>2833</v>
      </c>
      <c r="B3" s="1499"/>
      <c r="C3" s="1499"/>
      <c r="D3" s="1159" t="s">
        <v>2028</v>
      </c>
      <c r="E3" s="1159" t="str">
        <f>'Form Sa1'!H1374</f>
        <v>Yes</v>
      </c>
      <c r="F3" s="1159" t="str">
        <f>'Form Sa1'!I1374</f>
        <v>Yes</v>
      </c>
    </row>
    <row r="4" spans="1:26" x14ac:dyDescent="0.25">
      <c r="A4" s="1500" t="s">
        <v>2834</v>
      </c>
      <c r="B4" s="1501" t="s">
        <v>1437</v>
      </c>
      <c r="C4" s="1501" t="s">
        <v>1545</v>
      </c>
      <c r="D4" s="1501" t="s">
        <v>2535</v>
      </c>
      <c r="E4" s="1502" t="s">
        <v>1835</v>
      </c>
      <c r="F4" s="1503"/>
      <c r="G4" s="1502" t="s">
        <v>1859</v>
      </c>
      <c r="H4" s="1503"/>
      <c r="I4" s="1502" t="s">
        <v>1861</v>
      </c>
      <c r="J4" s="1503"/>
      <c r="K4" s="1502" t="s">
        <v>1863</v>
      </c>
      <c r="L4" s="1503"/>
      <c r="M4" s="1502" t="s">
        <v>1864</v>
      </c>
      <c r="N4" s="1503"/>
      <c r="O4" s="1502" t="s">
        <v>1865</v>
      </c>
      <c r="P4" s="1503"/>
      <c r="Q4" s="1502" t="s">
        <v>1866</v>
      </c>
      <c r="R4" s="1503"/>
      <c r="S4" s="1502" t="s">
        <v>1867</v>
      </c>
      <c r="T4" s="1503"/>
      <c r="U4" s="1502" t="s">
        <v>1871</v>
      </c>
      <c r="V4" s="1503"/>
      <c r="W4" s="1502" t="s">
        <v>1873</v>
      </c>
      <c r="X4" s="1503"/>
      <c r="Y4" s="1502" t="s">
        <v>1876</v>
      </c>
      <c r="Z4" s="1503"/>
    </row>
    <row r="5" ht="28" customHeight="1" spans="1:26" x14ac:dyDescent="0.25">
      <c r="A5" s="1504"/>
      <c r="B5" s="1505"/>
      <c r="C5" s="1505"/>
      <c r="D5" s="1505"/>
      <c r="E5" s="856" t="s">
        <v>3538</v>
      </c>
      <c r="F5" s="856" t="s">
        <v>3539</v>
      </c>
      <c r="G5" s="856" t="s">
        <v>3538</v>
      </c>
      <c r="H5" s="856" t="s">
        <v>3539</v>
      </c>
      <c r="I5" s="856" t="s">
        <v>3538</v>
      </c>
      <c r="J5" s="856" t="s">
        <v>3539</v>
      </c>
      <c r="K5" s="856" t="s">
        <v>3538</v>
      </c>
      <c r="L5" s="856" t="s">
        <v>3539</v>
      </c>
      <c r="M5" s="856" t="s">
        <v>3538</v>
      </c>
      <c r="N5" s="856" t="s">
        <v>3539</v>
      </c>
      <c r="O5" s="856" t="s">
        <v>3538</v>
      </c>
      <c r="P5" s="856" t="s">
        <v>3539</v>
      </c>
      <c r="Q5" s="856" t="s">
        <v>3538</v>
      </c>
      <c r="R5" s="856" t="s">
        <v>3539</v>
      </c>
      <c r="S5" s="856" t="s">
        <v>3538</v>
      </c>
      <c r="T5" s="856" t="s">
        <v>3539</v>
      </c>
      <c r="U5" s="856" t="s">
        <v>3538</v>
      </c>
      <c r="V5" s="856" t="s">
        <v>3539</v>
      </c>
      <c r="W5" s="856" t="s">
        <v>3538</v>
      </c>
      <c r="X5" s="856" t="s">
        <v>3539</v>
      </c>
      <c r="Y5" s="856" t="s">
        <v>3538</v>
      </c>
      <c r="Z5" s="856" t="s">
        <v>3539</v>
      </c>
    </row>
    <row r="6" spans="1:26" x14ac:dyDescent="0.25">
      <c r="A6" s="1234">
        <v>1</v>
      </c>
      <c r="B6" s="753" t="s">
        <v>3540</v>
      </c>
      <c r="C6" s="753" t="s">
        <v>3541</v>
      </c>
      <c r="D6" s="753" t="s">
        <v>1456</v>
      </c>
      <c r="E6" s="296">
        <f>'Form Sa1'!H196</f>
        <v>30827.418</v>
      </c>
      <c r="F6" s="296">
        <f>'Form Sa1'!I196</f>
        <v>0</v>
      </c>
      <c r="G6" s="1186">
        <f>'Form Sa1'!H213</f>
        <v>31293.134</v>
      </c>
      <c r="H6" s="1186">
        <f>'Form Sa1'!I213</f>
        <v>0</v>
      </c>
      <c r="I6" s="1186">
        <f>'Form Sa1'!H230</f>
        <v>31319.988</v>
      </c>
      <c r="J6" s="1186">
        <f>'Form Sa1'!I230</f>
        <v>0</v>
      </c>
      <c r="K6" s="1186">
        <f>'Form Sa1'!H247</f>
        <v>39890.969</v>
      </c>
      <c r="L6" s="1186">
        <f>'Form Sa1'!I247</f>
        <v>0</v>
      </c>
      <c r="M6" s="1186">
        <f>'Form Sa1'!H264</f>
        <v>39871.859000000004</v>
      </c>
      <c r="N6" s="1186">
        <f>'Form Sa1'!I264</f>
        <v>0</v>
      </c>
      <c r="O6" s="1186">
        <f>'Form Sa1'!H281</f>
        <v>39073.893</v>
      </c>
      <c r="P6" s="1186">
        <f>'Form Sa1'!I281</f>
        <v>0</v>
      </c>
      <c r="Q6" s="1186">
        <f>'Form Sa1'!H298</f>
        <v>39239.218</v>
      </c>
      <c r="R6" s="1186">
        <f>'Form Sa1'!I298</f>
        <v>0</v>
      </c>
      <c r="S6" s="1186">
        <f>'Form Sa1'!H315</f>
        <v>39703.122</v>
      </c>
      <c r="T6" s="1186">
        <f>'Form Sa1'!I315</f>
        <v>0</v>
      </c>
      <c r="U6" s="1186">
        <f>'Form Sa1'!H332</f>
        <v>39337.944</v>
      </c>
      <c r="V6" s="1186">
        <f>'Form Sa1'!I332</f>
        <v>0</v>
      </c>
      <c r="W6" s="1186">
        <f>'Form Sa1'!H349</f>
        <v>39823.232</v>
      </c>
      <c r="X6" s="1186">
        <f>'Form Sa1'!I349</f>
        <v>0</v>
      </c>
      <c r="Y6" s="1186">
        <f>'Form Sa1'!H366</f>
        <v>40280.961</v>
      </c>
      <c r="Z6" s="1186">
        <f>'Form Sa1'!I366</f>
        <v>0</v>
      </c>
    </row>
    <row r="7" ht="30" customHeight="1" spans="1:26" x14ac:dyDescent="0.25">
      <c r="A7" s="1234">
        <v>2</v>
      </c>
      <c r="B7" s="753" t="s">
        <v>2430</v>
      </c>
      <c r="C7" s="753" t="s">
        <v>3542</v>
      </c>
      <c r="D7" s="753" t="s">
        <v>1989</v>
      </c>
      <c r="E7" s="296">
        <f>'Baseline Parameter'!E113</f>
        <v>2789.1585655703766</v>
      </c>
      <c r="F7" s="296" t="e">
        <f>'Baseline Parameter'!F113</f>
        <v>#DIV/0!</v>
      </c>
      <c r="G7" s="296">
        <f>'Baseline Parameter'!$E$113</f>
        <v>2789.1585655703766</v>
      </c>
      <c r="H7" s="296" t="e">
        <f>'Baseline Parameter'!$F$113</f>
        <v>#DIV/0!</v>
      </c>
      <c r="I7" s="296">
        <f>'Baseline Parameter'!$E$113</f>
        <v>2789.1585655703766</v>
      </c>
      <c r="J7" s="296" t="e">
        <f>'Baseline Parameter'!$F$113</f>
        <v>#DIV/0!</v>
      </c>
      <c r="K7" s="296">
        <f>'Baseline Parameter'!$E$113</f>
        <v>2789.1585655703766</v>
      </c>
      <c r="L7" s="296" t="e">
        <f>'Baseline Parameter'!$F$113</f>
        <v>#DIV/0!</v>
      </c>
      <c r="M7" s="296">
        <f>'Baseline Parameter'!$E$113</f>
        <v>2789.1585655703766</v>
      </c>
      <c r="N7" s="296" t="e">
        <f>'Baseline Parameter'!$F$113</f>
        <v>#DIV/0!</v>
      </c>
      <c r="O7" s="296">
        <f>'Baseline Parameter'!$E$113</f>
        <v>2789.1585655703766</v>
      </c>
      <c r="P7" s="296" t="e">
        <f>'Baseline Parameter'!$F$113</f>
        <v>#DIV/0!</v>
      </c>
      <c r="Q7" s="296">
        <f>'Baseline Parameter'!$E$113</f>
        <v>2789.1585655703766</v>
      </c>
      <c r="R7" s="296" t="e">
        <f>'Baseline Parameter'!$F$113</f>
        <v>#DIV/0!</v>
      </c>
      <c r="S7" s="296">
        <f>'Baseline Parameter'!$E$113</f>
        <v>2789.1585655703766</v>
      </c>
      <c r="T7" s="296" t="e">
        <f>'Baseline Parameter'!$F$113</f>
        <v>#DIV/0!</v>
      </c>
      <c r="U7" s="296">
        <f>'Baseline Parameter'!$E$113</f>
        <v>2789.1585655703766</v>
      </c>
      <c r="V7" s="296" t="e">
        <f>'Baseline Parameter'!$F$113</f>
        <v>#DIV/0!</v>
      </c>
      <c r="W7" s="296">
        <f>'Baseline Parameter'!$E$113</f>
        <v>2789.1585655703766</v>
      </c>
      <c r="X7" s="296" t="e">
        <f>'Baseline Parameter'!$F$113</f>
        <v>#DIV/0!</v>
      </c>
      <c r="Y7" s="296">
        <f>'Baseline Parameter'!$E$113</f>
        <v>2789.1585655703766</v>
      </c>
      <c r="Z7" s="296" t="e">
        <f>'Baseline Parameter'!$F$113</f>
        <v>#DIV/0!</v>
      </c>
    </row>
    <row r="8" ht="15" customHeight="1" spans="1:26" x14ac:dyDescent="0.25">
      <c r="A8" s="1234">
        <v>3</v>
      </c>
      <c r="B8" s="1506" t="s">
        <v>3543</v>
      </c>
      <c r="C8" s="753" t="s">
        <v>3544</v>
      </c>
      <c r="D8" s="334" t="s">
        <v>2049</v>
      </c>
      <c r="E8" s="9">
        <f>'Form Sa1'!H198</f>
        <v>173.59824187368676</v>
      </c>
      <c r="F8" s="9">
        <f>'Form Sa1'!I198</f>
        <v>0</v>
      </c>
      <c r="G8" s="1186">
        <f>'Form Sa1'!H215</f>
        <v>175.1697472500309</v>
      </c>
      <c r="H8" s="1186">
        <f>'Form Sa1'!I215</f>
        <v>0</v>
      </c>
      <c r="I8" s="1186">
        <f>'Form Sa1'!H232</f>
        <v>175.92446236559138</v>
      </c>
      <c r="J8" s="1186">
        <f>'Form Sa1'!I232</f>
        <v>0</v>
      </c>
      <c r="K8" s="1186">
        <f>'Form Sa1'!H249</f>
        <v>204.35948584847358</v>
      </c>
      <c r="L8" s="1186">
        <f>'Form Sa1'!I249</f>
        <v>0</v>
      </c>
      <c r="M8" s="1186">
        <f>'Form Sa1'!H266</f>
        <v>203.44561240884934</v>
      </c>
      <c r="N8" s="1186">
        <f>'Form Sa1'!I266</f>
        <v>0</v>
      </c>
      <c r="O8" s="1186">
        <f>'Form Sa1'!H283</f>
        <v>198.71480657520704</v>
      </c>
      <c r="P8" s="1186">
        <f>'Form Sa1'!I283</f>
        <v>0</v>
      </c>
      <c r="Q8" s="1186">
        <f>'Form Sa1'!H300</f>
        <v>199.15196514645902</v>
      </c>
      <c r="R8" s="1186">
        <f>'Form Sa1'!I300</f>
        <v>0</v>
      </c>
      <c r="S8" s="1186">
        <f>'Form Sa1'!H317</f>
        <v>199.4047336546781</v>
      </c>
      <c r="T8" s="1186">
        <f>'Form Sa1'!I317</f>
        <v>0</v>
      </c>
      <c r="U8" s="1186">
        <f>'Form Sa1'!H334</f>
        <v>198.1314856012854</v>
      </c>
      <c r="V8" s="1186">
        <f>'Form Sa1'!I334</f>
        <v>0</v>
      </c>
      <c r="W8" s="1186">
        <f>'Form Sa1'!H351</f>
        <v>199.31080521567173</v>
      </c>
      <c r="X8" s="1186">
        <f>'Form Sa1'!I351</f>
        <v>0</v>
      </c>
      <c r="Y8" s="1186">
        <f>'Form Sa1'!H368</f>
        <v>200.44957360029662</v>
      </c>
      <c r="Z8" s="1186">
        <f>'Form Sa1'!I368</f>
        <v>0</v>
      </c>
    </row>
    <row r="9" ht="15" customHeight="1" spans="1:26" x14ac:dyDescent="0.25">
      <c r="A9" s="1234">
        <v>4</v>
      </c>
      <c r="B9" s="1506" t="s">
        <v>1841</v>
      </c>
      <c r="C9" s="753" t="s">
        <v>3545</v>
      </c>
      <c r="D9" s="334" t="s">
        <v>2049</v>
      </c>
      <c r="E9" s="9">
        <f>'Form Sa1'!H199</f>
        <v>174</v>
      </c>
      <c r="F9" s="9">
        <f>'Form Sa1'!I199</f>
        <v>0</v>
      </c>
      <c r="G9" s="1186">
        <f>'Form Sa1'!H216</f>
        <v>176</v>
      </c>
      <c r="H9" s="1186">
        <f>'Form Sa1'!I216</f>
        <v>0</v>
      </c>
      <c r="I9" s="1186">
        <f>'Form Sa1'!H233</f>
        <v>176</v>
      </c>
      <c r="J9" s="1186">
        <f>'Form Sa1'!I233</f>
        <v>0</v>
      </c>
      <c r="K9" s="1186">
        <f>'Form Sa1'!H250</f>
        <v>206</v>
      </c>
      <c r="L9" s="1186">
        <f>'Form Sa1'!I250</f>
        <v>0</v>
      </c>
      <c r="M9" s="1186">
        <f>'Form Sa1'!H267</f>
        <v>206</v>
      </c>
      <c r="N9" s="1186">
        <f>'Form Sa1'!I267</f>
        <v>0</v>
      </c>
      <c r="O9" s="1186">
        <f>'Form Sa1'!H284</f>
        <v>200</v>
      </c>
      <c r="P9" s="1186">
        <f>'Form Sa1'!I284</f>
        <v>0</v>
      </c>
      <c r="Q9" s="1186">
        <f>'Form Sa1'!H301</f>
        <v>200</v>
      </c>
      <c r="R9" s="1186">
        <f>'Form Sa1'!I301</f>
        <v>0</v>
      </c>
      <c r="S9" s="1186">
        <f>'Form Sa1'!H318</f>
        <v>200</v>
      </c>
      <c r="T9" s="1186">
        <f>'Form Sa1'!I318</f>
        <v>0</v>
      </c>
      <c r="U9" s="1186">
        <f>'Form Sa1'!H335</f>
        <v>199</v>
      </c>
      <c r="V9" s="1186">
        <f>'Form Sa1'!I335</f>
        <v>0</v>
      </c>
      <c r="W9" s="1186">
        <f>'Form Sa1'!H352</f>
        <v>200</v>
      </c>
      <c r="X9" s="1186">
        <f>'Form Sa1'!I352</f>
        <v>0</v>
      </c>
      <c r="Y9" s="1186">
        <f>'Form Sa1'!H369</f>
        <v>201</v>
      </c>
      <c r="Z9" s="1186">
        <f>'Form Sa1'!I369</f>
        <v>0</v>
      </c>
    </row>
    <row r="10" ht="15" customHeight="1" spans="1:26" x14ac:dyDescent="0.25">
      <c r="A10" s="1234">
        <v>5</v>
      </c>
      <c r="B10" s="1506" t="s">
        <v>1842</v>
      </c>
      <c r="C10" s="753" t="s">
        <v>3546</v>
      </c>
      <c r="D10" s="334" t="s">
        <v>1843</v>
      </c>
      <c r="E10" s="9">
        <f>'Form Sa1'!H200</f>
        <v>0.07</v>
      </c>
      <c r="F10" s="9">
        <f>'Form Sa1'!I200</f>
        <v>0</v>
      </c>
      <c r="G10" s="1186">
        <f>'Form Sa1'!H217</f>
        <v>0.07</v>
      </c>
      <c r="H10" s="1186">
        <f>'Form Sa1'!I217</f>
        <v>0</v>
      </c>
      <c r="I10" s="1186">
        <f>'Form Sa1'!H234</f>
        <v>0.07</v>
      </c>
      <c r="J10" s="1186">
        <f>'Form Sa1'!I234</f>
        <v>0</v>
      </c>
      <c r="K10" s="1186">
        <f>'Form Sa1'!H251</f>
        <v>0.07</v>
      </c>
      <c r="L10" s="1186">
        <f>'Form Sa1'!I251</f>
        <v>0</v>
      </c>
      <c r="M10" s="1186">
        <f>'Form Sa1'!H268</f>
        <v>0.07</v>
      </c>
      <c r="N10" s="1186">
        <f>'Form Sa1'!I268</f>
        <v>0</v>
      </c>
      <c r="O10" s="1186">
        <f>'Form Sa1'!H285</f>
        <v>0.07</v>
      </c>
      <c r="P10" s="1186">
        <f>'Form Sa1'!I285</f>
        <v>0</v>
      </c>
      <c r="Q10" s="1186">
        <f>'Form Sa1'!H302</f>
        <v>0.07</v>
      </c>
      <c r="R10" s="1186">
        <f>'Form Sa1'!I302</f>
        <v>0</v>
      </c>
      <c r="S10" s="1186">
        <f>'Form Sa1'!H319</f>
        <v>0.07</v>
      </c>
      <c r="T10" s="1186">
        <f>'Form Sa1'!I319</f>
        <v>0</v>
      </c>
      <c r="U10" s="1186">
        <f>'Form Sa1'!H336</f>
        <v>0.07</v>
      </c>
      <c r="V10" s="1186">
        <f>'Form Sa1'!I336</f>
        <v>0</v>
      </c>
      <c r="W10" s="1186">
        <f>'Form Sa1'!H353</f>
        <v>0.07</v>
      </c>
      <c r="X10" s="1186">
        <f>'Form Sa1'!I353</f>
        <v>0</v>
      </c>
      <c r="Y10" s="1186">
        <f>'Form Sa1'!H370</f>
        <v>0.07</v>
      </c>
      <c r="Z10" s="1186">
        <f>'Form Sa1'!I370</f>
        <v>0</v>
      </c>
    </row>
    <row r="11" ht="15" customHeight="1" spans="1:26" x14ac:dyDescent="0.25">
      <c r="A11" s="1234">
        <v>6</v>
      </c>
      <c r="B11" s="1506" t="s">
        <v>1844</v>
      </c>
      <c r="C11" s="753" t="s">
        <v>3547</v>
      </c>
      <c r="D11" s="334" t="s">
        <v>1843</v>
      </c>
      <c r="E11" s="9">
        <f>'Form Sa1'!H201</f>
        <v>4.65</v>
      </c>
      <c r="F11" s="9">
        <f>'Form Sa1'!I201</f>
        <v>0</v>
      </c>
      <c r="G11" s="1186">
        <f>'Form Sa1'!H218</f>
        <v>4.65</v>
      </c>
      <c r="H11" s="1186">
        <f>'Form Sa1'!I218</f>
        <v>0</v>
      </c>
      <c r="I11" s="1186">
        <f>'Form Sa1'!H235</f>
        <v>4.65</v>
      </c>
      <c r="J11" s="1186">
        <f>'Form Sa1'!I235</f>
        <v>0</v>
      </c>
      <c r="K11" s="1186">
        <f>'Form Sa1'!H252</f>
        <v>4.65</v>
      </c>
      <c r="L11" s="1186">
        <f>'Form Sa1'!I252</f>
        <v>0</v>
      </c>
      <c r="M11" s="1186">
        <f>'Form Sa1'!H269</f>
        <v>4.65</v>
      </c>
      <c r="N11" s="1186">
        <f>'Form Sa1'!I269</f>
        <v>0</v>
      </c>
      <c r="O11" s="1186">
        <f>'Form Sa1'!H286</f>
        <v>4.65</v>
      </c>
      <c r="P11" s="1186">
        <f>'Form Sa1'!I286</f>
        <v>0</v>
      </c>
      <c r="Q11" s="1186">
        <f>'Form Sa1'!H303</f>
        <v>4.65</v>
      </c>
      <c r="R11" s="1186">
        <f>'Form Sa1'!I303</f>
        <v>0</v>
      </c>
      <c r="S11" s="1186">
        <f>'Form Sa1'!H320</f>
        <v>4.65</v>
      </c>
      <c r="T11" s="1186">
        <f>'Form Sa1'!I320</f>
        <v>0</v>
      </c>
      <c r="U11" s="1186">
        <f>'Form Sa1'!H337</f>
        <v>4.65</v>
      </c>
      <c r="V11" s="1186">
        <f>'Form Sa1'!I337</f>
        <v>0</v>
      </c>
      <c r="W11" s="1186">
        <f>'Form Sa1'!H354</f>
        <v>4.65</v>
      </c>
      <c r="X11" s="1186">
        <f>'Form Sa1'!I354</f>
        <v>0</v>
      </c>
      <c r="Y11" s="1186">
        <f>'Form Sa1'!H371</f>
        <v>4.65</v>
      </c>
      <c r="Z11" s="1186">
        <f>'Form Sa1'!I371</f>
        <v>0</v>
      </c>
    </row>
    <row r="12" ht="15" customHeight="1" spans="1:26" s="904" customFormat="1" x14ac:dyDescent="0.25">
      <c r="A12" s="1234">
        <v>7</v>
      </c>
      <c r="B12" s="1506" t="s">
        <v>1845</v>
      </c>
      <c r="C12" s="753" t="s">
        <v>3548</v>
      </c>
      <c r="D12" s="1409" t="s">
        <v>1843</v>
      </c>
      <c r="E12" s="1">
        <f>'Form Sa1'!H202</f>
        <v>0</v>
      </c>
      <c r="F12" s="1">
        <f>'Form Sa1'!I202</f>
        <v>0</v>
      </c>
      <c r="G12" s="1186">
        <f>'Form Sa1'!H219</f>
        <v>0</v>
      </c>
      <c r="H12" s="1186">
        <f>'Form Sa1'!I219</f>
        <v>0</v>
      </c>
      <c r="I12" s="1186">
        <f>'Form Sa1'!H236</f>
        <v>0</v>
      </c>
      <c r="J12" s="1186">
        <f>'Form Sa1'!I236</f>
        <v>0</v>
      </c>
      <c r="K12" s="1186">
        <f>'Form Sa1'!H253</f>
        <v>0</v>
      </c>
      <c r="L12" s="1186">
        <f>'Form Sa1'!I253</f>
        <v>0</v>
      </c>
      <c r="M12" s="1186">
        <f>'Form Sa1'!H270</f>
        <v>0</v>
      </c>
      <c r="N12" s="1186">
        <f>'Form Sa1'!I270</f>
        <v>0</v>
      </c>
      <c r="O12" s="1186">
        <f>'Form Sa1'!H287</f>
        <v>0</v>
      </c>
      <c r="P12" s="1186">
        <f>'Form Sa1'!I287</f>
        <v>0</v>
      </c>
      <c r="Q12" s="1186">
        <f>'Form Sa1'!H304</f>
        <v>0</v>
      </c>
      <c r="R12" s="1186">
        <f>'Form Sa1'!I304</f>
        <v>0</v>
      </c>
      <c r="S12" s="1186">
        <f>'Form Sa1'!H321</f>
        <v>0</v>
      </c>
      <c r="T12" s="1186">
        <f>'Form Sa1'!I321</f>
        <v>0</v>
      </c>
      <c r="U12" s="1186">
        <f>'Form Sa1'!H338</f>
        <v>0</v>
      </c>
      <c r="V12" s="1186">
        <f>'Form Sa1'!I338</f>
        <v>0</v>
      </c>
      <c r="W12" s="1186">
        <f>'Form Sa1'!H355</f>
        <v>0</v>
      </c>
      <c r="X12" s="1186">
        <f>'Form Sa1'!I355</f>
        <v>0</v>
      </c>
      <c r="Y12" s="1186">
        <f>'Form Sa1'!H372</f>
        <v>0</v>
      </c>
      <c r="Z12" s="1186">
        <f>'Form Sa1'!I372</f>
        <v>0</v>
      </c>
    </row>
    <row r="13" ht="15" customHeight="1" spans="1:26" x14ac:dyDescent="0.25">
      <c r="A13" s="1234">
        <v>8</v>
      </c>
      <c r="B13" s="1506" t="s">
        <v>3549</v>
      </c>
      <c r="C13" s="753" t="s">
        <v>3550</v>
      </c>
      <c r="D13" s="334" t="s">
        <v>1493</v>
      </c>
      <c r="E13" s="9">
        <f>'Form Sa1'!H203</f>
        <v>0</v>
      </c>
      <c r="F13" s="9">
        <f>'Form Sa1'!I203</f>
        <v>0</v>
      </c>
      <c r="G13" s="1186">
        <f>'Form Sa1'!H220</f>
        <v>0</v>
      </c>
      <c r="H13" s="1186">
        <f>'Form Sa1'!I220</f>
        <v>0</v>
      </c>
      <c r="I13" s="1186">
        <f>'Form Sa1'!H237</f>
        <v>0</v>
      </c>
      <c r="J13" s="1186">
        <f>'Form Sa1'!I237</f>
        <v>0</v>
      </c>
      <c r="K13" s="1186">
        <f>'Form Sa1'!H254</f>
        <v>0</v>
      </c>
      <c r="L13" s="1186">
        <f>'Form Sa1'!I254</f>
        <v>0</v>
      </c>
      <c r="M13" s="1186">
        <f>'Form Sa1'!H271</f>
        <v>0</v>
      </c>
      <c r="N13" s="1186">
        <f>'Form Sa1'!I271</f>
        <v>0</v>
      </c>
      <c r="O13" s="1186">
        <f>'Form Sa1'!H288</f>
        <v>0</v>
      </c>
      <c r="P13" s="1186">
        <f>'Form Sa1'!I288</f>
        <v>0</v>
      </c>
      <c r="Q13" s="1186">
        <f>'Form Sa1'!H305</f>
        <v>0</v>
      </c>
      <c r="R13" s="1186">
        <f>'Form Sa1'!I305</f>
        <v>0</v>
      </c>
      <c r="S13" s="1186">
        <f>'Form Sa1'!H322</f>
        <v>0</v>
      </c>
      <c r="T13" s="1186">
        <f>'Form Sa1'!I322</f>
        <v>0</v>
      </c>
      <c r="U13" s="1186">
        <f>'Form Sa1'!H339</f>
        <v>0</v>
      </c>
      <c r="V13" s="1186">
        <f>'Form Sa1'!I339</f>
        <v>0</v>
      </c>
      <c r="W13" s="1186">
        <f>'Form Sa1'!H356</f>
        <v>0</v>
      </c>
      <c r="X13" s="1186">
        <f>'Form Sa1'!I356</f>
        <v>0</v>
      </c>
      <c r="Y13" s="1186">
        <f>'Form Sa1'!H373</f>
        <v>0</v>
      </c>
      <c r="Z13" s="1186">
        <f>'Form Sa1'!I373</f>
        <v>0</v>
      </c>
    </row>
    <row r="14" ht="15" customHeight="1" spans="1:26" x14ac:dyDescent="0.25">
      <c r="A14" s="1507"/>
      <c r="B14" s="1508"/>
      <c r="C14" s="1406"/>
      <c r="D14" s="1406"/>
      <c r="E14" s="1407"/>
      <c r="F14" s="1407"/>
      <c r="G14" s="1407"/>
      <c r="H14" s="1407"/>
      <c r="I14" s="1407"/>
      <c r="J14" s="1407"/>
      <c r="K14" s="1407"/>
      <c r="L14" s="1407"/>
      <c r="M14" s="1407"/>
      <c r="N14" s="1407"/>
      <c r="O14" s="1407"/>
      <c r="P14" s="1407"/>
      <c r="Q14" s="1407"/>
      <c r="R14" s="1407"/>
      <c r="S14" s="1407"/>
      <c r="T14" s="1407"/>
      <c r="U14" s="1407"/>
      <c r="V14" s="1407"/>
      <c r="W14" s="1407"/>
      <c r="X14" s="1407"/>
      <c r="Y14" s="1407"/>
      <c r="Z14" s="1407"/>
    </row>
    <row r="15" ht="29" customHeight="1" spans="1:26" s="904" customFormat="1" x14ac:dyDescent="0.25">
      <c r="A15" s="1234">
        <v>9</v>
      </c>
      <c r="B15" s="1409" t="s">
        <v>1196</v>
      </c>
      <c r="C15" s="246" t="s">
        <v>3551</v>
      </c>
      <c r="D15" s="1409"/>
      <c r="E15" s="868">
        <f t="shared" ref="E15:X15" si="0">IFERROR(((E12+E9*E10)*298000/(E9*E13)),0)</f>
        <v>0</v>
      </c>
      <c r="F15" s="868">
        <f t="shared" si="0"/>
        <v>0</v>
      </c>
      <c r="G15" s="868">
        <f t="shared" si="0"/>
        <v>0</v>
      </c>
      <c r="H15" s="868">
        <f t="shared" si="0"/>
        <v>0</v>
      </c>
      <c r="I15" s="868">
        <f t="shared" si="0"/>
        <v>0</v>
      </c>
      <c r="J15" s="868">
        <f t="shared" si="0"/>
        <v>0</v>
      </c>
      <c r="K15" s="868">
        <f t="shared" si="0"/>
        <v>0</v>
      </c>
      <c r="L15" s="868">
        <f t="shared" si="0"/>
        <v>0</v>
      </c>
      <c r="M15" s="868">
        <f t="shared" si="0"/>
        <v>0</v>
      </c>
      <c r="N15" s="868">
        <f t="shared" si="0"/>
        <v>0</v>
      </c>
      <c r="O15" s="868">
        <f t="shared" si="0"/>
        <v>0</v>
      </c>
      <c r="P15" s="868">
        <f t="shared" si="0"/>
        <v>0</v>
      </c>
      <c r="Q15" s="868">
        <f t="shared" si="0"/>
        <v>0</v>
      </c>
      <c r="R15" s="868">
        <f t="shared" si="0"/>
        <v>0</v>
      </c>
      <c r="S15" s="868">
        <f t="shared" si="0"/>
        <v>0</v>
      </c>
      <c r="T15" s="868">
        <f t="shared" si="0"/>
        <v>0</v>
      </c>
      <c r="U15" s="868">
        <f t="shared" si="0"/>
        <v>0</v>
      </c>
      <c r="V15" s="868">
        <f t="shared" si="0"/>
        <v>0</v>
      </c>
      <c r="W15" s="868">
        <f t="shared" si="0"/>
        <v>0</v>
      </c>
      <c r="X15" s="868">
        <f t="shared" si="0"/>
        <v>0</v>
      </c>
      <c r="Y15" s="868">
        <f>IFERROR(((Y12+Y9*Y10)*298000/(Y9*Y13)),0)</f>
        <v>0</v>
      </c>
      <c r="Z15" s="868">
        <f>IFERROR(((Z12+Z9*Z10)*298000/(Z9*Z13)),0)</f>
        <v>0</v>
      </c>
    </row>
    <row r="16" spans="1:26" x14ac:dyDescent="0.25">
      <c r="A16" s="1234">
        <v>10</v>
      </c>
      <c r="B16" s="334" t="s">
        <v>1208</v>
      </c>
      <c r="C16" s="334" t="s">
        <v>3552</v>
      </c>
      <c r="D16" s="334"/>
      <c r="E16" s="1186">
        <f t="shared" ref="E16:X16" si="1">IFERROR(((E11-E10)*2980/E13),0)</f>
        <v>0</v>
      </c>
      <c r="F16" s="1186">
        <f t="shared" si="1"/>
        <v>0</v>
      </c>
      <c r="G16" s="1186">
        <f t="shared" si="1"/>
        <v>0</v>
      </c>
      <c r="H16" s="1186">
        <f t="shared" si="1"/>
        <v>0</v>
      </c>
      <c r="I16" s="1186">
        <f t="shared" si="1"/>
        <v>0</v>
      </c>
      <c r="J16" s="1186">
        <f t="shared" si="1"/>
        <v>0</v>
      </c>
      <c r="K16" s="1186">
        <f t="shared" si="1"/>
        <v>0</v>
      </c>
      <c r="L16" s="1186">
        <f t="shared" si="1"/>
        <v>0</v>
      </c>
      <c r="M16" s="1186">
        <f t="shared" si="1"/>
        <v>0</v>
      </c>
      <c r="N16" s="1186">
        <f t="shared" si="1"/>
        <v>0</v>
      </c>
      <c r="O16" s="1186">
        <f t="shared" si="1"/>
        <v>0</v>
      </c>
      <c r="P16" s="1186">
        <f t="shared" si="1"/>
        <v>0</v>
      </c>
      <c r="Q16" s="1186">
        <f t="shared" si="1"/>
        <v>0</v>
      </c>
      <c r="R16" s="1186">
        <f t="shared" si="1"/>
        <v>0</v>
      </c>
      <c r="S16" s="1186">
        <f t="shared" si="1"/>
        <v>0</v>
      </c>
      <c r="T16" s="1186">
        <f t="shared" si="1"/>
        <v>0</v>
      </c>
      <c r="U16" s="1186">
        <f t="shared" si="1"/>
        <v>0</v>
      </c>
      <c r="V16" s="1186">
        <f t="shared" si="1"/>
        <v>0</v>
      </c>
      <c r="W16" s="1186">
        <f t="shared" si="1"/>
        <v>0</v>
      </c>
      <c r="X16" s="1186">
        <f t="shared" si="1"/>
        <v>0</v>
      </c>
      <c r="Y16" s="1186">
        <f>IFERROR(((Y11-Y10)*2980/Y13),0)</f>
        <v>0</v>
      </c>
      <c r="Z16" s="1186">
        <f>IFERROR(((Z11-Z10)*2980/Z13),0)</f>
        <v>0</v>
      </c>
    </row>
    <row r="17" spans="1:26" x14ac:dyDescent="0.25">
      <c r="A17" s="1234">
        <v>11</v>
      </c>
      <c r="B17" s="334" t="s">
        <v>1878</v>
      </c>
      <c r="C17" s="334" t="s">
        <v>3553</v>
      </c>
      <c r="D17" s="334" t="s">
        <v>1493</v>
      </c>
      <c r="E17" s="1408">
        <f t="shared" ref="E17:X17" si="2">IFERROR((E8*100/E9),0)</f>
        <v>99.76910452510732</v>
      </c>
      <c r="F17" s="1408">
        <f t="shared" si="2"/>
        <v>0</v>
      </c>
      <c r="G17" s="1408">
        <f t="shared" si="2"/>
        <v>99.52826548297209</v>
      </c>
      <c r="H17" s="1408">
        <f t="shared" si="2"/>
        <v>0</v>
      </c>
      <c r="I17" s="1408">
        <f t="shared" si="2"/>
        <v>99.95708088954056</v>
      </c>
      <c r="J17" s="1408">
        <f t="shared" si="2"/>
        <v>0</v>
      </c>
      <c r="K17" s="1408">
        <f t="shared" si="2"/>
        <v>99.20363390702602</v>
      </c>
      <c r="L17" s="1408">
        <f t="shared" si="2"/>
        <v>0</v>
      </c>
      <c r="M17" s="1408">
        <f t="shared" si="2"/>
        <v>98.76000602371327</v>
      </c>
      <c r="N17" s="1408">
        <f t="shared" si="2"/>
        <v>0</v>
      </c>
      <c r="O17" s="1408">
        <f t="shared" si="2"/>
        <v>99.35740328760352</v>
      </c>
      <c r="P17" s="1408">
        <f t="shared" si="2"/>
        <v>0</v>
      </c>
      <c r="Q17" s="1408">
        <f t="shared" si="2"/>
        <v>99.57598257322951</v>
      </c>
      <c r="R17" s="1408">
        <f t="shared" si="2"/>
        <v>0</v>
      </c>
      <c r="S17" s="1408">
        <f t="shared" si="2"/>
        <v>99.70236682733905</v>
      </c>
      <c r="T17" s="1408">
        <f t="shared" si="2"/>
        <v>0</v>
      </c>
      <c r="U17" s="1408">
        <f t="shared" si="2"/>
        <v>99.563560603661</v>
      </c>
      <c r="V17" s="1408">
        <f t="shared" si="2"/>
        <v>0</v>
      </c>
      <c r="W17" s="1408">
        <f t="shared" si="2"/>
        <v>99.65540260783585</v>
      </c>
      <c r="X17" s="1408">
        <f t="shared" si="2"/>
        <v>0</v>
      </c>
      <c r="Y17" s="1408">
        <f>IFERROR((Y8*100/Y9),0)</f>
        <v>99.72615602004807</v>
      </c>
      <c r="Z17" s="1408">
        <f>IFERROR((Z8*100/Z9),0)</f>
        <v>0</v>
      </c>
    </row>
    <row r="18" spans="1:26" x14ac:dyDescent="0.25">
      <c r="A18" s="1234">
        <v>12</v>
      </c>
      <c r="B18" s="547" t="s">
        <v>3554</v>
      </c>
      <c r="C18" s="334" t="s">
        <v>3555</v>
      </c>
      <c r="D18" s="334" t="s">
        <v>3556</v>
      </c>
      <c r="E18" s="1186">
        <f t="shared" ref="E18:X18" si="3">IFERROR(((E15/E17)+E16),0)</f>
        <v>0</v>
      </c>
      <c r="F18" s="1186">
        <f t="shared" si="3"/>
        <v>0</v>
      </c>
      <c r="G18" s="1186">
        <f t="shared" si="3"/>
        <v>0</v>
      </c>
      <c r="H18" s="1186">
        <f t="shared" si="3"/>
        <v>0</v>
      </c>
      <c r="I18" s="1186">
        <f t="shared" si="3"/>
        <v>0</v>
      </c>
      <c r="J18" s="1186">
        <f t="shared" si="3"/>
        <v>0</v>
      </c>
      <c r="K18" s="1186">
        <f t="shared" si="3"/>
        <v>0</v>
      </c>
      <c r="L18" s="1186">
        <f t="shared" si="3"/>
        <v>0</v>
      </c>
      <c r="M18" s="1186">
        <f t="shared" si="3"/>
        <v>0</v>
      </c>
      <c r="N18" s="1186">
        <f t="shared" si="3"/>
        <v>0</v>
      </c>
      <c r="O18" s="1186">
        <f t="shared" si="3"/>
        <v>0</v>
      </c>
      <c r="P18" s="1186">
        <f t="shared" si="3"/>
        <v>0</v>
      </c>
      <c r="Q18" s="1186">
        <f t="shared" si="3"/>
        <v>0</v>
      </c>
      <c r="R18" s="1186">
        <f t="shared" si="3"/>
        <v>0</v>
      </c>
      <c r="S18" s="1186">
        <f t="shared" si="3"/>
        <v>0</v>
      </c>
      <c r="T18" s="1186">
        <f t="shared" si="3"/>
        <v>0</v>
      </c>
      <c r="U18" s="1186">
        <f t="shared" si="3"/>
        <v>0</v>
      </c>
      <c r="V18" s="1186">
        <f t="shared" si="3"/>
        <v>0</v>
      </c>
      <c r="W18" s="1186">
        <f t="shared" si="3"/>
        <v>0</v>
      </c>
      <c r="X18" s="1186">
        <f t="shared" si="3"/>
        <v>0</v>
      </c>
      <c r="Y18" s="1186">
        <f>IFERROR(((Y15/Y17)+Y16),0)</f>
        <v>0</v>
      </c>
      <c r="Z18" s="1186">
        <f>IFERROR(((Z15/Z17)+Z16),0)</f>
        <v>0</v>
      </c>
    </row>
    <row r="19" spans="1:26" x14ac:dyDescent="0.25">
      <c r="A19" s="1234">
        <v>13</v>
      </c>
      <c r="B19" s="547" t="s">
        <v>3557</v>
      </c>
      <c r="C19" s="334" t="s">
        <v>3558</v>
      </c>
      <c r="D19" s="334" t="s">
        <v>3556</v>
      </c>
      <c r="E19" s="334"/>
      <c r="F19" s="1186">
        <f>F18-E18</f>
        <v>0</v>
      </c>
      <c r="G19" s="334"/>
      <c r="H19" s="1186">
        <f>H18-G18</f>
        <v>0</v>
      </c>
      <c r="I19" s="334"/>
      <c r="J19" s="1186">
        <f>J18-I18</f>
        <v>0</v>
      </c>
      <c r="K19" s="334"/>
      <c r="L19" s="1186">
        <f>L18-K18</f>
        <v>0</v>
      </c>
      <c r="M19" s="334"/>
      <c r="N19" s="1186">
        <f>N18-M18</f>
        <v>0</v>
      </c>
      <c r="O19" s="334"/>
      <c r="P19" s="1186">
        <f>P18-O18</f>
        <v>0</v>
      </c>
      <c r="Q19" s="334"/>
      <c r="R19" s="1186">
        <f>R18-Q18</f>
        <v>0</v>
      </c>
      <c r="S19" s="334"/>
      <c r="T19" s="1186">
        <f>T18-S18</f>
        <v>0</v>
      </c>
      <c r="U19" s="334"/>
      <c r="V19" s="1186">
        <f>V18-U18</f>
        <v>0</v>
      </c>
      <c r="W19" s="334"/>
      <c r="X19" s="1186">
        <f>X18-W18</f>
        <v>0</v>
      </c>
      <c r="Y19" s="334"/>
      <c r="Z19" s="1186">
        <f>Z18-Y18</f>
        <v>0</v>
      </c>
    </row>
    <row r="20" ht="29" customHeight="1" spans="1:26" s="904" customFormat="1" x14ac:dyDescent="0.25">
      <c r="A20" s="1234">
        <v>14</v>
      </c>
      <c r="B20" s="246" t="s">
        <v>3559</v>
      </c>
      <c r="C20" s="1409" t="s">
        <v>3560</v>
      </c>
      <c r="D20" s="1409" t="s">
        <v>1467</v>
      </c>
      <c r="E20" s="1409"/>
      <c r="F20" s="868">
        <f>IF(F17&lt;E17,(F19*F6/10^6),0)</f>
        <v>0</v>
      </c>
      <c r="G20" s="1409"/>
      <c r="H20" s="868">
        <f>IF(H17&lt;G17,(H19*H6/10^6),0)</f>
        <v>0</v>
      </c>
      <c r="I20" s="1409"/>
      <c r="J20" s="868">
        <f>IF(J17&lt;I17,(J19*J6/10^6),0)</f>
        <v>0</v>
      </c>
      <c r="K20" s="1409"/>
      <c r="L20" s="868">
        <f>IF(L17&lt;K17,(L19*L6/10^6),0)</f>
        <v>0</v>
      </c>
      <c r="M20" s="1409"/>
      <c r="N20" s="868">
        <f>IF(N17&lt;M17,(N19*N6/10^6),0)</f>
        <v>0</v>
      </c>
      <c r="O20" s="1409"/>
      <c r="P20" s="868">
        <f>IF(P17&lt;O17,(P19*P6/10^6),0)</f>
        <v>0</v>
      </c>
      <c r="Q20" s="1409"/>
      <c r="R20" s="868">
        <f>IF(R17&lt;Q17,(R19*R6/10^6),0)</f>
        <v>0</v>
      </c>
      <c r="S20" s="1409"/>
      <c r="T20" s="868">
        <f>IF(T17&lt;S17,(T19*T6/10^6),0)</f>
        <v>0</v>
      </c>
      <c r="U20" s="1409"/>
      <c r="V20" s="868">
        <f>IF(V17&lt;U17,(V19*V6/10^6),0)</f>
        <v>0</v>
      </c>
      <c r="W20" s="1409"/>
      <c r="X20" s="868">
        <f>IF(X17&lt;W17,(X19*X6/10^6),0)</f>
        <v>0</v>
      </c>
      <c r="Y20" s="1409"/>
      <c r="Z20" s="868">
        <f>IF(Z17&lt;Y17,(Z19*Z6/10^6),0)</f>
        <v>0</v>
      </c>
    </row>
    <row r="21" ht="29" customHeight="1" spans="1:26" s="904" customFormat="1" x14ac:dyDescent="0.25">
      <c r="A21" s="1234">
        <v>15</v>
      </c>
      <c r="B21" s="246" t="s">
        <v>3561</v>
      </c>
      <c r="C21" t="s">
        <v>3562</v>
      </c>
      <c r="D21" s="1409" t="s">
        <v>1467</v>
      </c>
      <c r="E21" s="1509">
        <f>F20+H20+J20+L20+N20+P20+R20+T20+V20+X20+Z20</f>
        <v>0</v>
      </c>
      <c r="F21" s="1509"/>
      <c r="G21" s="1509"/>
      <c r="H21" s="1509"/>
      <c r="I21" s="1509"/>
      <c r="J21" s="1509"/>
      <c r="K21" s="1509"/>
      <c r="L21" s="1509"/>
      <c r="M21" s="1509"/>
      <c r="N21" s="1509"/>
      <c r="O21" s="1509"/>
      <c r="P21" s="1509"/>
      <c r="Q21" s="1509"/>
      <c r="R21" s="1509"/>
      <c r="S21" s="1509"/>
      <c r="T21" s="1509"/>
      <c r="U21" s="1509"/>
      <c r="V21" s="1509"/>
      <c r="W21" s="1509"/>
      <c r="X21" s="1509"/>
      <c r="Y21" s="1509"/>
      <c r="Z21" s="1509"/>
    </row>
    <row r="22" ht="29" customHeight="1" spans="1:26" s="556" customFormat="1" x14ac:dyDescent="0.25">
      <c r="A22" s="874">
        <v>16</v>
      </c>
      <c r="B22" s="503" t="s">
        <v>3559</v>
      </c>
      <c r="C22" s="1510" t="s">
        <v>3563</v>
      </c>
      <c r="D22" s="1510" t="s">
        <v>1826</v>
      </c>
      <c r="E22" s="1511" t="e">
        <f>IF(AND(E3="Yes", F3="Yes"),IF((E21*F7)&lt;0,0,(E21*F7)),0)</f>
        <v>#DIV/0!</v>
      </c>
      <c r="F22" s="1511"/>
      <c r="G22" s="1511"/>
      <c r="H22" s="1511"/>
      <c r="I22" s="1511"/>
      <c r="J22" s="1511"/>
      <c r="K22" s="1511"/>
      <c r="L22" s="1511"/>
      <c r="M22" s="1511"/>
      <c r="N22" s="1511"/>
      <c r="O22" s="1511"/>
      <c r="P22" s="1511"/>
      <c r="Q22" s="1511"/>
      <c r="R22" s="1511"/>
      <c r="S22" s="1511"/>
      <c r="T22" s="1511"/>
      <c r="U22" s="1511"/>
      <c r="V22" s="1511"/>
      <c r="W22" s="1511"/>
      <c r="X22" s="1511"/>
      <c r="Y22" s="1511"/>
      <c r="Z22" s="1511"/>
    </row>
  </sheetData>
  <sheetProtection sheet="1" algorithmName="SHA-512" hashValue="w+9elqlu5acFzv4nx2lc7wDSP058wbSsE2HPYpq3enky/J86HnRXO7QLindHwgKOV3bPYXUgLpFjOXUW0CjnWg==" saltValue="vZCUgENz1rCevsWiqsWELA==" spinCount="100000" objects="1" scenarios="1"/>
  <mergeCells count="21">
    <mergeCell ref="A1:F1"/>
    <mergeCell ref="A2:B2"/>
    <mergeCell ref="C2:F2"/>
    <mergeCell ref="A3:C3"/>
    <mergeCell ref="E4:F4"/>
    <mergeCell ref="G4:H4"/>
    <mergeCell ref="I4:J4"/>
    <mergeCell ref="K4:L4"/>
    <mergeCell ref="M4:N4"/>
    <mergeCell ref="O4:P4"/>
    <mergeCell ref="Q4:R4"/>
    <mergeCell ref="S4:T4"/>
    <mergeCell ref="U4:V4"/>
    <mergeCell ref="W4:X4"/>
    <mergeCell ref="Y4:Z4"/>
    <mergeCell ref="A4:A5"/>
    <mergeCell ref="B4:B5"/>
    <mergeCell ref="C4:C5"/>
    <mergeCell ref="D4:D5"/>
    <mergeCell ref="E21:Z21"/>
    <mergeCell ref="E22:Z22"/>
  </mergeCells>
  <pageMargins left="0.31496062992125984" right="0.1968503937007874" top="0.7480314960629921" bottom="0.7480314960629921" header="0.31496062992125984" footer="0.31496062992125984"/>
  <pageSetup paperSize="9" orientation="landscape" horizontalDpi="4294967295" verticalDpi="4294967295" scale="38" fitToWidth="1" fitToHeight="1" firstPageNumber="1" useFirstPageNumber="1" copies="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zoomScale="100" zoomScaleNormal="100"/>
  </sheetViews>
  <sheetFormatPr defaultRowHeight="14.5" outlineLevelRow="0" outlineLevelCol="0" x14ac:dyDescent="0.35" customHeight="1"/>
  <cols>
    <col min="2" max="2" width="36.81640625" customWidth="1"/>
    <col min="3" max="3" width="27.7265625" customWidth="1"/>
    <col min="4" max="4" width="18.7265625" customWidth="1"/>
    <col min="5" max="5" width="16.26953125" customWidth="1"/>
    <col min="6" max="6" width="17.26953125" customWidth="1"/>
  </cols>
  <sheetData>
    <row r="1" ht="23.5" customHeight="1" spans="1:6" x14ac:dyDescent="0.25">
      <c r="A1" s="1512" t="s">
        <v>3564</v>
      </c>
      <c r="B1" s="1513"/>
      <c r="C1" s="1513"/>
      <c r="D1" s="1513"/>
      <c r="E1" s="1513"/>
      <c r="F1" s="1514"/>
    </row>
    <row r="2" ht="18.5" customHeight="1" spans="1:6" x14ac:dyDescent="0.25">
      <c r="A2" s="1515" t="str">
        <f>'NF-7 Smelter CU'!A2:B2</f>
        <v>Name of the Unit</v>
      </c>
      <c r="B2" s="1516"/>
      <c r="C2" s="1517" t="str">
        <f>'NF-7 Smelter CU'!C2:F2</f>
        <v>HINDALCO INDUSTRIES LIMITED  </v>
      </c>
      <c r="D2" s="1518"/>
      <c r="E2" s="1518"/>
      <c r="F2" s="1519"/>
    </row>
    <row r="3" spans="1:6" x14ac:dyDescent="0.25">
      <c r="A3" s="1520" t="s">
        <v>2833</v>
      </c>
      <c r="B3" s="549"/>
      <c r="C3" s="1521"/>
      <c r="D3" s="1" t="s">
        <v>2028</v>
      </c>
      <c r="E3" s="868" t="str">
        <f>'Form Sa1'!H1380</f>
        <v>Yes</v>
      </c>
      <c r="F3" s="868" t="str">
        <f>'Form Sa1'!I1380</f>
        <v>Yes</v>
      </c>
    </row>
    <row r="4" ht="44.5" customHeight="1" spans="1:6" x14ac:dyDescent="0.25">
      <c r="A4" s="504" t="s">
        <v>2834</v>
      </c>
      <c r="B4" s="503" t="s">
        <v>3565</v>
      </c>
      <c r="C4" s="503" t="s">
        <v>3566</v>
      </c>
      <c r="D4" s="503" t="s">
        <v>1453</v>
      </c>
      <c r="E4" s="887" t="str">
        <f>'NF-6 Carbon Anode Production'!E4</f>
        <v>Baseline/Previous Year 2023-24</v>
      </c>
      <c r="F4" s="887" t="str">
        <f>'NF-6 Carbon Anode Production'!F4</f>
        <v>Assesment year/ Current Year  FY 2025-26</v>
      </c>
    </row>
    <row r="5" spans="1:6" x14ac:dyDescent="0.25">
      <c r="A5" s="509">
        <v>1</v>
      </c>
      <c r="B5" s="508" t="s">
        <v>2430</v>
      </c>
      <c r="C5" s="508" t="s">
        <v>3567</v>
      </c>
      <c r="D5" s="508" t="s">
        <v>1989</v>
      </c>
      <c r="E5" s="1522">
        <f>'Baseline Parameter'!E113</f>
        <v>2789.1585655703766</v>
      </c>
      <c r="F5" s="1522" t="e">
        <f>'Baseline Parameter'!F113</f>
        <v>#DIV/0!</v>
      </c>
    </row>
    <row r="6" spans="1:6" x14ac:dyDescent="0.25">
      <c r="A6" s="509">
        <v>2</v>
      </c>
      <c r="B6" s="508" t="s">
        <v>3568</v>
      </c>
      <c r="C6" s="508" t="s">
        <v>3569</v>
      </c>
      <c r="D6" s="508" t="s">
        <v>1771</v>
      </c>
      <c r="E6" s="1522">
        <f>'Form Sa1'!H962</f>
        <v>3462.7542248138584</v>
      </c>
      <c r="F6" s="1522">
        <f>'Form Sa1'!I962</f>
        <v>0</v>
      </c>
    </row>
    <row r="7" spans="1:6" x14ac:dyDescent="0.25">
      <c r="A7" s="509">
        <v>3</v>
      </c>
      <c r="B7" s="508" t="s">
        <v>3570</v>
      </c>
      <c r="C7" s="508" t="s">
        <v>3571</v>
      </c>
      <c r="D7" s="508" t="s">
        <v>1771</v>
      </c>
      <c r="E7" s="1522">
        <f>'Form Sa1'!H986</f>
        <v>0</v>
      </c>
      <c r="F7" s="1522">
        <f>'Form Sa1'!I986</f>
        <v>0</v>
      </c>
    </row>
    <row r="8" spans="1:6" x14ac:dyDescent="0.25">
      <c r="A8" s="509">
        <v>4</v>
      </c>
      <c r="B8" s="508" t="s">
        <v>3572</v>
      </c>
      <c r="C8" s="508" t="s">
        <v>3573</v>
      </c>
      <c r="D8" s="508" t="s">
        <v>1771</v>
      </c>
      <c r="E8" s="1522">
        <f>'Form Sa1'!H1142</f>
        <v>0</v>
      </c>
      <c r="F8" s="1522">
        <f>'Form Sa1'!I1142</f>
        <v>0</v>
      </c>
    </row>
    <row r="9" spans="1:6" x14ac:dyDescent="0.25">
      <c r="A9" s="509" t="s">
        <v>3574</v>
      </c>
      <c r="B9" s="508" t="s">
        <v>3575</v>
      </c>
      <c r="C9" s="508" t="s">
        <v>3576</v>
      </c>
      <c r="D9" s="508" t="s">
        <v>1989</v>
      </c>
      <c r="E9" s="1522">
        <f>'NF - 5 Power Mix'!E54</f>
        <v>2821.3846462408255</v>
      </c>
      <c r="F9" s="1522">
        <f>'NF - 5 Power Mix'!F54</f>
        <v>0</v>
      </c>
    </row>
    <row r="10" ht="29" customHeight="1" spans="1:6" x14ac:dyDescent="0.25">
      <c r="A10" s="509" t="s">
        <v>3577</v>
      </c>
      <c r="B10" s="508" t="s">
        <v>3578</v>
      </c>
      <c r="C10" s="508" t="s">
        <v>3579</v>
      </c>
      <c r="D10" s="508" t="s">
        <v>3580</v>
      </c>
      <c r="E10" s="1522">
        <f>'NF - 2 Fuel Quality CPP &amp; Cogen'!E42</f>
        <v>804.498273454962</v>
      </c>
      <c r="F10" s="1522">
        <f>'NF - 2 Fuel Quality CPP &amp; Cogen'!F42</f>
        <v>0</v>
      </c>
    </row>
    <row r="11" spans="1:6" x14ac:dyDescent="0.25">
      <c r="A11" s="1523"/>
      <c r="B11" s="1524"/>
      <c r="C11" s="1524"/>
      <c r="D11" s="1524"/>
      <c r="E11" s="1525"/>
      <c r="F11" s="1525"/>
    </row>
    <row r="12" ht="43.5" customHeight="1" spans="1:6" x14ac:dyDescent="0.25">
      <c r="A12" s="509">
        <v>6</v>
      </c>
      <c r="B12" s="508" t="s">
        <v>1996</v>
      </c>
      <c r="C12" s="508" t="s">
        <v>3581</v>
      </c>
      <c r="D12" s="508" t="s">
        <v>1997</v>
      </c>
      <c r="E12" s="1522"/>
      <c r="F12" s="1522">
        <f>'Form Sa1'!I708</f>
        <v>0</v>
      </c>
    </row>
    <row r="13" ht="29" customHeight="1" spans="1:6" x14ac:dyDescent="0.25">
      <c r="A13" s="509">
        <v>7</v>
      </c>
      <c r="B13" s="508" t="s">
        <v>1998</v>
      </c>
      <c r="C13" s="508" t="s">
        <v>3582</v>
      </c>
      <c r="D13" s="508" t="s">
        <v>1997</v>
      </c>
      <c r="E13" s="1522"/>
      <c r="F13" s="1522">
        <f>'Form Sa1'!I709</f>
        <v>0</v>
      </c>
    </row>
    <row r="14" ht="29" customHeight="1" spans="1:6" x14ac:dyDescent="0.25">
      <c r="A14" s="509">
        <v>8</v>
      </c>
      <c r="B14" s="508" t="s">
        <v>3583</v>
      </c>
      <c r="C14" s="508" t="s">
        <v>3584</v>
      </c>
      <c r="D14" s="508" t="s">
        <v>1482</v>
      </c>
      <c r="E14" s="1522">
        <f>' Summary Sheet'!E68</f>
        <v>4.927021396672462</v>
      </c>
      <c r="F14" s="1522">
        <f>' Summary Sheet'!F68</f>
        <v>0</v>
      </c>
    </row>
    <row r="15" ht="29" customHeight="1" spans="1:6" x14ac:dyDescent="0.25">
      <c r="A15" s="509">
        <v>9</v>
      </c>
      <c r="B15" s="1526" t="s">
        <v>2006</v>
      </c>
      <c r="C15" s="508" t="s">
        <v>3585</v>
      </c>
      <c r="D15" s="508" t="s">
        <v>1482</v>
      </c>
      <c r="E15" s="1522">
        <f>'Form Sa1'!H714</f>
        <v>0</v>
      </c>
      <c r="F15" s="1522"/>
    </row>
    <row r="16" ht="29" customHeight="1" spans="1:6" x14ac:dyDescent="0.25">
      <c r="A16" s="509">
        <v>10</v>
      </c>
      <c r="B16" s="1526" t="s">
        <v>3586</v>
      </c>
      <c r="C16" s="508" t="s">
        <v>3587</v>
      </c>
      <c r="D16" s="508" t="s">
        <v>1951</v>
      </c>
      <c r="E16" s="1522">
        <f>'Form Sa1'!H715</f>
        <v>0</v>
      </c>
      <c r="F16" s="1522"/>
    </row>
    <row r="17" spans="1:6" x14ac:dyDescent="0.25">
      <c r="A17" s="1527"/>
      <c r="B17" s="1528"/>
      <c r="C17" s="1528"/>
      <c r="D17" s="1528"/>
      <c r="E17" s="1529"/>
      <c r="F17" s="1529"/>
    </row>
    <row r="18" ht="43.5" customHeight="1" spans="1:6" x14ac:dyDescent="0.25">
      <c r="A18" s="509">
        <v>11</v>
      </c>
      <c r="B18" s="508" t="s">
        <v>3588</v>
      </c>
      <c r="C18" s="508" t="s">
        <v>3589</v>
      </c>
      <c r="D18" s="508" t="s">
        <v>1826</v>
      </c>
      <c r="E18" s="1522">
        <f>(('Form Sa1'!H181+'Form Sa1'!H178)*'NF-8 Others'!E5/10)+'Form Sa1'!H182</f>
        <v>0</v>
      </c>
      <c r="F18" s="1522" t="e">
        <f>(('Form Sa1'!I181+'Form Sa1'!I178)*'NF-8 Others'!F5/10)+'Form Sa1'!I182</f>
        <v>#DIV/0!</v>
      </c>
    </row>
    <row r="19" ht="43.5" customHeight="1" spans="1:6" x14ac:dyDescent="0.25">
      <c r="A19" s="509">
        <v>12</v>
      </c>
      <c r="B19" s="508" t="s">
        <v>3590</v>
      </c>
      <c r="C19" s="508" t="s">
        <v>3591</v>
      </c>
      <c r="D19" s="508" t="s">
        <v>1826</v>
      </c>
      <c r="E19" s="1522"/>
      <c r="F19" s="1522" t="e">
        <f>F18-E18</f>
        <v>#DIV/0!</v>
      </c>
    </row>
    <row r="20" ht="43.5" customHeight="1" spans="1:6" x14ac:dyDescent="0.25">
      <c r="A20" s="509">
        <v>13</v>
      </c>
      <c r="B20" s="1530" t="s">
        <v>3592</v>
      </c>
      <c r="C20" s="246" t="s">
        <v>3593</v>
      </c>
      <c r="D20" s="246" t="s">
        <v>1826</v>
      </c>
      <c r="E20" s="1531"/>
      <c r="F20" s="1531" t="e">
        <f>('Form Sa1'!I1345*F5/10)+'Form Sa1'!I1346</f>
        <v>#DIV/0!</v>
      </c>
    </row>
    <row r="21" ht="29" customHeight="1" spans="1:6" x14ac:dyDescent="0.25">
      <c r="A21" s="509">
        <v>14</v>
      </c>
      <c r="B21" s="1532" t="s">
        <v>3594</v>
      </c>
      <c r="C21" s="246" t="s">
        <v>3595</v>
      </c>
      <c r="D21" s="246" t="s">
        <v>1826</v>
      </c>
      <c r="E21" s="1531"/>
      <c r="F21" s="1531">
        <f>'Form Sa1'!I1349*E6/10^3</f>
        <v>0</v>
      </c>
    </row>
    <row r="22" ht="43.5" customHeight="1" spans="1:6" x14ac:dyDescent="0.25">
      <c r="A22" s="509">
        <v>15</v>
      </c>
      <c r="B22" s="1532" t="s">
        <v>3596</v>
      </c>
      <c r="C22" s="246" t="s">
        <v>3597</v>
      </c>
      <c r="D22" s="246" t="s">
        <v>1826</v>
      </c>
      <c r="E22" s="1531"/>
      <c r="F22" s="1531">
        <f>'Form Sa1'!I1350*E7/10^3</f>
        <v>0</v>
      </c>
    </row>
    <row r="23" ht="43.5" customHeight="1" spans="1:6" x14ac:dyDescent="0.25">
      <c r="A23" s="509">
        <v>16</v>
      </c>
      <c r="B23" s="1530" t="s">
        <v>3598</v>
      </c>
      <c r="C23" s="246" t="s">
        <v>3599</v>
      </c>
      <c r="D23" s="246" t="s">
        <v>1826</v>
      </c>
      <c r="E23" s="1531"/>
      <c r="F23" s="1531">
        <f>'Form Sa1'!I1351*E8/10^3</f>
        <v>0</v>
      </c>
    </row>
    <row r="24" ht="43.5" customHeight="1" spans="1:6" x14ac:dyDescent="0.25">
      <c r="A24" s="509">
        <v>17</v>
      </c>
      <c r="B24" s="1530" t="s">
        <v>3600</v>
      </c>
      <c r="C24" s="1533" t="s">
        <v>3601</v>
      </c>
      <c r="D24" s="1533" t="s">
        <v>1826</v>
      </c>
      <c r="E24" s="1534"/>
      <c r="F24" s="1534" t="e">
        <f>('Form Sa1'!I1353*F5/10)+'Form Sa1'!I1354</f>
        <v>#DIV/0!</v>
      </c>
    </row>
    <row r="25" ht="58" customHeight="1" spans="1:6" x14ac:dyDescent="0.25">
      <c r="A25" s="509">
        <v>18</v>
      </c>
      <c r="B25" s="1532" t="s">
        <v>3602</v>
      </c>
      <c r="C25" s="1533" t="s">
        <v>3603</v>
      </c>
      <c r="D25" s="246" t="s">
        <v>1826</v>
      </c>
      <c r="E25" s="1531"/>
      <c r="F25" s="1486" t="e">
        <f>('Form Sa1'!I1356*F5/10)+'Form Sa1'!I1357</f>
        <v>#DIV/0!</v>
      </c>
    </row>
    <row r="26" ht="72.5" customHeight="1" spans="1:6" x14ac:dyDescent="0.25">
      <c r="A26" s="509">
        <v>19</v>
      </c>
      <c r="B26" s="1532" t="s">
        <v>3604</v>
      </c>
      <c r="C26" s="1533" t="s">
        <v>3605</v>
      </c>
      <c r="D26" s="246" t="s">
        <v>1826</v>
      </c>
      <c r="E26" s="1531"/>
      <c r="F26" s="1531" t="e">
        <f>('Form Sa1'!I1361*F5/10)+'Form Sa1'!I1362</f>
        <v>#DIV/0!</v>
      </c>
    </row>
    <row r="27" ht="43.5" customHeight="1" spans="1:6" x14ac:dyDescent="0.25">
      <c r="A27" s="509">
        <v>20</v>
      </c>
      <c r="B27" s="812" t="s">
        <v>3606</v>
      </c>
      <c r="C27" s="1533" t="s">
        <v>3607</v>
      </c>
      <c r="D27" s="246" t="s">
        <v>1826</v>
      </c>
      <c r="E27" s="1531"/>
      <c r="F27" s="1531">
        <f>'Form Sa1'!I1363*'NF-8 Others'!F10/1000</f>
        <v>0</v>
      </c>
    </row>
    <row r="28" ht="43.5" customHeight="1" spans="1:6" x14ac:dyDescent="0.25">
      <c r="A28" s="509">
        <v>21</v>
      </c>
      <c r="B28" s="812" t="s">
        <v>3608</v>
      </c>
      <c r="C28" s="1533" t="s">
        <v>3609</v>
      </c>
      <c r="D28" s="246" t="s">
        <v>1826</v>
      </c>
      <c r="E28" s="1531"/>
      <c r="F28" s="1531">
        <f>'Form Sa1'!I1364*F9/10</f>
        <v>0</v>
      </c>
    </row>
    <row r="29" ht="43.5" customHeight="1" spans="1:6" x14ac:dyDescent="0.25">
      <c r="A29" s="509">
        <v>22</v>
      </c>
      <c r="B29" s="1532" t="s">
        <v>3610</v>
      </c>
      <c r="C29" s="1533" t="s">
        <v>3611</v>
      </c>
      <c r="D29" s="246" t="s">
        <v>1826</v>
      </c>
      <c r="E29" s="1531"/>
      <c r="F29" s="1486" t="e">
        <f>('Form Sa1'!I1367*F5/10)+'Form Sa1'!I1368</f>
        <v>#DIV/0!</v>
      </c>
    </row>
    <row r="30" spans="1:6" x14ac:dyDescent="0.25">
      <c r="A30" s="1535">
        <v>23</v>
      </c>
      <c r="B30" s="1536" t="s">
        <v>3612</v>
      </c>
      <c r="C30" s="1536"/>
      <c r="D30" s="1536" t="s">
        <v>3613</v>
      </c>
      <c r="E30" s="1537"/>
      <c r="F30" s="1537" t="e">
        <f>IF(AND(E3="yes",F3="yes"),SUM(F19:F26)-F27-F28+F29,0)</f>
        <v>#DIV/0!</v>
      </c>
    </row>
    <row r="31" spans="1:6" x14ac:dyDescent="0.25">
      <c r="A31" s="397" t="s">
        <v>3614</v>
      </c>
      <c r="B31" s="398"/>
      <c r="C31" s="398"/>
      <c r="D31" s="398"/>
      <c r="E31" s="398"/>
      <c r="F31" s="1538"/>
    </row>
    <row r="32" ht="29" customHeight="1" spans="1:6" x14ac:dyDescent="0.25">
      <c r="A32" s="1430">
        <v>24</v>
      </c>
      <c r="B32" s="1539" t="s">
        <v>3615</v>
      </c>
      <c r="C32" s="1540" t="s">
        <v>3616</v>
      </c>
      <c r="D32" s="1541" t="s">
        <v>1482</v>
      </c>
      <c r="E32" s="1542">
        <f>E15</f>
        <v>0</v>
      </c>
      <c r="F32" s="1543"/>
    </row>
    <row r="33" ht="29" customHeight="1" spans="1:6" x14ac:dyDescent="0.25">
      <c r="A33" s="1430">
        <v>25</v>
      </c>
      <c r="B33" s="1539" t="s">
        <v>3615</v>
      </c>
      <c r="C33" s="1544" t="s">
        <v>3617</v>
      </c>
      <c r="D33" s="1541" t="s">
        <v>1477</v>
      </c>
      <c r="E33" s="1545">
        <f>E32*E16</f>
        <v>0</v>
      </c>
      <c r="F33" s="1543"/>
    </row>
    <row r="34" spans="1:6" x14ac:dyDescent="0.25">
      <c r="A34" s="1430">
        <v>26</v>
      </c>
      <c r="B34" s="1539" t="s">
        <v>3618</v>
      </c>
      <c r="C34" s="1544" t="s">
        <v>3619</v>
      </c>
      <c r="D34" s="1541" t="s">
        <v>1482</v>
      </c>
      <c r="E34" s="1542"/>
      <c r="F34" s="1543">
        <f>(E14-F14)</f>
        <v>4.927021396672462</v>
      </c>
    </row>
    <row r="35" spans="1:6" x14ac:dyDescent="0.25">
      <c r="A35" s="1430">
        <v>27</v>
      </c>
      <c r="B35" s="1539" t="s">
        <v>3618</v>
      </c>
      <c r="C35" s="1544" t="s">
        <v>3620</v>
      </c>
      <c r="D35" s="1541" t="s">
        <v>1477</v>
      </c>
      <c r="E35" s="1542"/>
      <c r="F35" s="1546">
        <f>F34*E16</f>
        <v>0</v>
      </c>
    </row>
    <row r="36" ht="29" customHeight="1" spans="1:6" x14ac:dyDescent="0.25">
      <c r="A36" s="1430">
        <v>28</v>
      </c>
      <c r="B36" s="1539" t="s">
        <v>3621</v>
      </c>
      <c r="C36" s="1544" t="s">
        <v>3622</v>
      </c>
      <c r="D36" s="1541" t="s">
        <v>1482</v>
      </c>
      <c r="E36" s="1542"/>
      <c r="F36" s="1543">
        <f>F34-E32</f>
        <v>4.927021396672462</v>
      </c>
    </row>
    <row r="37" ht="29" customHeight="1" spans="1:6" x14ac:dyDescent="0.25">
      <c r="A37" s="1430">
        <v>29</v>
      </c>
      <c r="B37" s="1539" t="s">
        <v>3621</v>
      </c>
      <c r="C37" s="1544" t="s">
        <v>3623</v>
      </c>
      <c r="D37" s="1541" t="s">
        <v>1477</v>
      </c>
      <c r="E37" s="1542"/>
      <c r="F37" s="1547">
        <f>F35-E33</f>
        <v>0</v>
      </c>
    </row>
    <row r="38" ht="58" customHeight="1" spans="1:6" x14ac:dyDescent="0.25">
      <c r="A38" s="1430">
        <v>30</v>
      </c>
      <c r="B38" s="1539" t="s">
        <v>3624</v>
      </c>
      <c r="C38" s="1544" t="s">
        <v>3625</v>
      </c>
      <c r="D38" s="1541" t="s">
        <v>1477</v>
      </c>
      <c r="E38" s="1542"/>
      <c r="F38" s="1546">
        <f>IF(F9=0,(F12+F13)*1000*2717/10^7,(F12+F13)*1000*F9/10^7)</f>
        <v>0</v>
      </c>
    </row>
    <row r="39" ht="43.5" customHeight="1" spans="1:6" x14ac:dyDescent="0.25">
      <c r="A39" s="1548">
        <v>31</v>
      </c>
      <c r="B39" s="1549" t="s">
        <v>3626</v>
      </c>
      <c r="C39" s="1550" t="s">
        <v>3627</v>
      </c>
      <c r="D39" s="1551" t="s">
        <v>1477</v>
      </c>
      <c r="E39" s="1552"/>
      <c r="F39" s="1553">
        <f>IF(F36&lt;=0,0,IF(F38&gt;F37,F37,F38))</f>
        <v>0</v>
      </c>
    </row>
    <row r="40" spans="1:6" x14ac:dyDescent="0.25">
      <c r="A40" s="245"/>
      <c r="B40" s="1530"/>
      <c r="C40" s="1533"/>
      <c r="D40" s="246"/>
      <c r="E40" s="1531"/>
      <c r="F40" s="1486"/>
    </row>
  </sheetData>
  <sheetProtection sheet="1" algorithmName="SHA-512" hashValue="qSwvQb+bv7mXSm1HRyfTkEtfDery7s+gWbXt/hOZozZzsJFTIMfXxC0Rm8Ih7aXNBr+wDTW+PAjTjOgh1/pXwA==" saltValue="V52lD65ENjkyxyIVF1+I3w==" spinCount="100000" objects="1" scenarios="1"/>
  <mergeCells count="5">
    <mergeCell ref="A1:F1"/>
    <mergeCell ref="A2:B2"/>
    <mergeCell ref="C2:F2"/>
    <mergeCell ref="A3:C3"/>
    <mergeCell ref="A31:F31"/>
  </mergeCells>
  <pageMargins left="0.7086614173228347" right="0.7086614173228347" top="0.7480314960629921" bottom="0.7480314960629921" header="0.31496062992125984" footer="0.31496062992125984"/>
  <pageSetup orientation="landscape" horizontalDpi="4294967295" verticalDpi="4294967295" scale="100" fitToWidth="1" fitToHeight="1" firstPageNumber="1" useFirstPageNumber="1" copies="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workbookViewId="0" zoomScale="90" zoomScaleNormal="90">
      <selection activeCell="C11" sqref="C11"/>
    </sheetView>
  </sheetViews>
  <sheetFormatPr defaultRowHeight="14" outlineLevelRow="0" outlineLevelCol="0" x14ac:dyDescent="0.3" defaultColWidth="9.1796875" customHeight="1"/>
  <cols>
    <col min="1" max="1" width="7.7265625" style="253" customWidth="1"/>
    <col min="2" max="2" width="63.7265625" style="254" customWidth="1"/>
    <col min="3" max="3" width="25.26953125" style="254" customWidth="1"/>
    <col min="4" max="4" width="25" style="254" customWidth="1"/>
    <col min="5" max="5" width="20.7265625" style="254" customWidth="1"/>
    <col min="6" max="16384" width="9.1796875" style="254" customWidth="1"/>
  </cols>
  <sheetData>
    <row r="1" ht="15" customHeight="1" spans="1:5" x14ac:dyDescent="0.25">
      <c r="A1" s="255" t="s">
        <v>1432</v>
      </c>
      <c r="B1" s="256"/>
      <c r="C1" s="256"/>
      <c r="D1" s="256"/>
      <c r="E1" s="257"/>
    </row>
    <row r="2" ht="15" customHeight="1" spans="1:5" x14ac:dyDescent="0.25">
      <c r="A2" s="258" t="s">
        <v>1433</v>
      </c>
      <c r="B2" s="259"/>
      <c r="C2" s="259"/>
      <c r="D2" s="259"/>
      <c r="E2" s="260"/>
    </row>
    <row r="3" ht="15" customHeight="1" spans="1:5" x14ac:dyDescent="0.25">
      <c r="A3" s="258" t="s">
        <v>1434</v>
      </c>
      <c r="B3" s="259"/>
      <c r="C3" s="259"/>
      <c r="D3" s="259"/>
      <c r="E3" s="260"/>
    </row>
    <row r="4" ht="15" customHeight="1" spans="1:5" x14ac:dyDescent="0.25">
      <c r="A4" s="261" t="s">
        <v>1435</v>
      </c>
      <c r="B4" s="262" t="s">
        <v>1436</v>
      </c>
      <c r="C4" s="263" t="s">
        <v>1437</v>
      </c>
      <c r="D4" s="263"/>
      <c r="E4" s="264"/>
    </row>
    <row r="5" spans="1:5" x14ac:dyDescent="0.25">
      <c r="A5" s="265">
        <v>1</v>
      </c>
      <c r="B5" s="266" t="s">
        <v>1361</v>
      </c>
      <c r="C5" s="267" t="str">
        <f>'General Information'!C3</f>
        <v>HINDALCO INDUSTRIES LIMITED</v>
      </c>
      <c r="D5" s="267"/>
      <c r="E5" s="268"/>
    </row>
    <row r="6" spans="1:5" x14ac:dyDescent="0.25">
      <c r="A6" s="265" t="s">
        <v>1438</v>
      </c>
      <c r="B6" s="266" t="s">
        <v>1439</v>
      </c>
      <c r="C6" s="267">
        <f>'General Information'!C6</f>
        <v>1962</v>
      </c>
      <c r="D6" s="267"/>
      <c r="E6" s="268"/>
    </row>
    <row r="7" spans="1:5" x14ac:dyDescent="0.25">
      <c r="A7" s="265" t="s">
        <v>1440</v>
      </c>
      <c r="B7" s="266" t="s">
        <v>1441</v>
      </c>
      <c r="C7" s="267" t="str">
        <f>'General Information'!C7</f>
        <v>ALM0009UP</v>
      </c>
      <c r="D7" s="267"/>
      <c r="E7" s="268"/>
    </row>
    <row r="8" ht="15" customHeight="1" spans="1:5" x14ac:dyDescent="0.25">
      <c r="A8" s="265">
        <v>3</v>
      </c>
      <c r="B8" s="266" t="s">
        <v>1442</v>
      </c>
      <c r="C8" s="269" t="s">
        <v>1443</v>
      </c>
      <c r="D8" s="269"/>
      <c r="E8" s="270" t="s">
        <v>1444</v>
      </c>
    </row>
    <row r="9" ht="15" customHeight="1" spans="1:5" x14ac:dyDescent="0.25">
      <c r="A9" s="265"/>
      <c r="B9" s="266"/>
      <c r="C9" s="269" t="str">
        <f>'General Information'!A2</f>
        <v>Sector - Aluminium Sector</v>
      </c>
      <c r="D9" s="269"/>
      <c r="E9" s="270" t="str">
        <f>'General Information'!G4</f>
        <v>INTEGRATED</v>
      </c>
    </row>
    <row r="10" ht="50.5" customHeight="1" spans="1:5" x14ac:dyDescent="0.25">
      <c r="A10" s="265" t="s">
        <v>1445</v>
      </c>
      <c r="B10" s="266" t="s">
        <v>1446</v>
      </c>
      <c r="C10" s="269" t="str">
        <f>'General Information'!C9&amp;", "&amp;'General Information'!C10&amp;", "&amp;'General Information'!C11&amp;", "&amp;'General Information'!F11&amp;", "&amp;'General Information'!C12&amp;", "&amp;'General Information'!F12&amp;","&amp;'General Information'!C13&amp;", "&amp;'General Information'!C14&amp;", "&amp;'General Information'!C15&amp;", "&amp;'General Information'!C16&amp;", "&amp;'General Information'!F15&amp;", "&amp;'General Information'!F16</f>
        <v>RENUKOOT, SONBHADRA, UTTAR PRADESH, 231217, (05446) 252077-79 / 254791-96, (05446) 252107 / 252427,Sameer Nayak, CHIEF OFFICER-OPERATIONS , (05446) 252077-79 / 254791-96, 8146628220, (05446) 252107 / 252427, </v>
      </c>
      <c r="D10" s="269"/>
      <c r="E10" s="271"/>
    </row>
    <row r="11" ht="45.65" customHeight="1" spans="1:5" x14ac:dyDescent="0.25">
      <c r="A11" s="265" t="s">
        <v>308</v>
      </c>
      <c r="B11" s="272" t="s">
        <v>1447</v>
      </c>
      <c r="C11" s="269" t="str">
        <f>'General Information'!C18&amp;", "&amp;'General Information'!C19&amp;", "&amp;'General Information'!C20&amp;","&amp;'General Information'!C21&amp;","&amp;'General Information'!F21&amp;","&amp;'General Information'!C22&amp;", "&amp;'General Information'!C23&amp;", "&amp;'General Information'!F23&amp;", "&amp;'General Information'!C24&amp;", "&amp;'General Information'!F24</f>
        <v>Satish Pai, M.D, Ahura Center, Ist Floor, B Wing, Mahakali Caves Road, Andheri (East),91–22– 2422 7586/2436 2516,,MUMBAI, MAHARASTRA, 400030, 91-22-6662 6666, 91–22– 2422 7586/2436 2516</v>
      </c>
      <c r="D11" s="269"/>
      <c r="E11" s="271"/>
    </row>
    <row r="12" ht="46.9" customHeight="1" spans="1:5" x14ac:dyDescent="0.25">
      <c r="A12" s="265" t="s">
        <v>310</v>
      </c>
      <c r="B12" s="272" t="s">
        <v>1448</v>
      </c>
      <c r="C12" s="269" t="str">
        <f>'General Information'!C26&amp;", "&amp;'General Information'!C27&amp;", "&amp;'General Information'!G27&amp;","&amp;'General Information'!C28&amp;","&amp;'General Information'!C29&amp;", "&amp;'General Information'!F29&amp;", "&amp;'General Information'!C30&amp;", "&amp;'General Information'!E30</f>
        <v>Vivek Agrawal, Asst. General Manager, EA,27303,(05446) 252077-79 / 254791-96, (05446) 252107 / 252427, 8114005777, (05446) 252107 / 252427</v>
      </c>
      <c r="D12" s="269"/>
      <c r="E12" s="271"/>
    </row>
    <row r="13" ht="15" customHeight="1" spans="1:5" x14ac:dyDescent="0.25">
      <c r="A13" s="261" t="s">
        <v>1449</v>
      </c>
      <c r="B13" s="262" t="s">
        <v>1450</v>
      </c>
      <c r="C13" s="262"/>
      <c r="D13" s="262"/>
      <c r="E13" s="273"/>
    </row>
    <row r="14" spans="1:5" s="274" customFormat="1" x14ac:dyDescent="0.25">
      <c r="A14" s="275">
        <v>5</v>
      </c>
      <c r="B14" s="276" t="s">
        <v>1451</v>
      </c>
      <c r="C14" s="277"/>
      <c r="D14" s="277"/>
      <c r="E14" s="278"/>
    </row>
    <row r="15" ht="28" customHeight="1" spans="1:5" s="274" customFormat="1" x14ac:dyDescent="0.25">
      <c r="A15" s="279" t="s">
        <v>46</v>
      </c>
      <c r="B15" s="280" t="s">
        <v>1452</v>
      </c>
      <c r="C15" s="281" t="s">
        <v>1453</v>
      </c>
      <c r="D15" s="282" t="s">
        <v>1454</v>
      </c>
      <c r="E15" s="283" t="s">
        <v>1455</v>
      </c>
    </row>
    <row r="16" spans="1:5" s="274" customFormat="1" x14ac:dyDescent="0.25">
      <c r="A16" s="284"/>
      <c r="B16" s="285"/>
      <c r="C16" s="286"/>
      <c r="D16" s="287" t="str">
        <f>"FY "&amp;'Form Sa1'!H9</f>
        <v>FY 2023-24</v>
      </c>
      <c r="E16" s="287" t="str">
        <f>"FY "&amp;'Form Sa1'!I9</f>
        <v>FY 2025-26</v>
      </c>
    </row>
    <row r="17" spans="1:7" x14ac:dyDescent="0.25">
      <c r="A17" s="288" t="s">
        <v>306</v>
      </c>
      <c r="B17" s="289" t="str">
        <f>IF(OR('General Information'!C4="SMELTER", 'General Information'!C4="INTEGRATED"),'Form Sa1'!B54, 'Form Sa1'!B45)</f>
        <v>Total Molten Aluminium  Production</v>
      </c>
      <c r="C17" s="269" t="s">
        <v>1456</v>
      </c>
      <c r="D17" s="290">
        <f>IF(OR('General Information'!$C$4="SMELTER", 'General Information'!$C$4="INTEGRATED"), 'Form Sa1'!H54, 'Form Sa1'!H45)</f>
        <v>410661.738</v>
      </c>
      <c r="E17" s="291">
        <f>IF(OR('General Information'!$C$4="SMELTER", 'General Information'!$C$4="INTEGRATED"), 'Form Sa1'!I54, 'Form Sa1'!I45)</f>
        <v>0</v>
      </c>
      <c r="F17" s="292"/>
      <c r="G17" s="292"/>
    </row>
    <row r="18" spans="1:7" x14ac:dyDescent="0.25">
      <c r="A18" s="288" t="s">
        <v>308</v>
      </c>
      <c r="B18" s="289" t="str">
        <f>IF(OR('General Information'!$C$4="SMELTER", 'General Information'!$C$4="INTEGRATED"), 'Form Sa1'!B55, 'Form Sa1'!B46)</f>
        <v>Total Production- Cast House</v>
      </c>
      <c r="C18" s="269" t="s">
        <v>1456</v>
      </c>
      <c r="D18" s="290">
        <f>IF(OR('General Information'!$C$4="SMELTER", 'General Information'!$C$4="INTEGRATED"), 'Form Sa1'!H55, 'Form Sa1'!H46)</f>
        <v>381860.332</v>
      </c>
      <c r="E18" s="291">
        <f>IF(OR('General Information'!$C$4="SMELTER", 'General Information'!$C$4="INTEGRATED"), 'Form Sa1'!I55, 'Form Sa1'!I46)</f>
        <v>0</v>
      </c>
      <c r="F18" s="292"/>
      <c r="G18" s="292"/>
    </row>
    <row r="19" spans="1:7" x14ac:dyDescent="0.25">
      <c r="A19" s="288" t="s">
        <v>310</v>
      </c>
      <c r="B19" s="289" t="str">
        <f>IF(OR('General Information'!$C$4="SMELTER", 'General Information'!$C$4="INTEGRATED"), 'Form Sa1'!B384, 'Form Sa1'!B110)</f>
        <v>Actual Carbon Anode Production</v>
      </c>
      <c r="C19" s="269" t="s">
        <v>1456</v>
      </c>
      <c r="D19" s="293">
        <f>IF(OR('General Information'!$C$4="SMELTER", 'General Information'!$C$4="INTEGRATED"), 'Form Sa1'!H384, 'Form Sa1'!H112)</f>
        <v>219298.181</v>
      </c>
      <c r="E19" s="294">
        <f>IF(OR('General Information'!$C$4="SMELTER", 'General Information'!$C$4="INTEGRATED"), 'Form Sa1'!I384, 'Form Sa1'!I112)</f>
        <v>0</v>
      </c>
      <c r="F19" s="295"/>
      <c r="G19" s="295"/>
    </row>
    <row r="20" spans="1:7" x14ac:dyDescent="0.25">
      <c r="A20" s="288" t="s">
        <v>312</v>
      </c>
      <c r="B20" s="289" t="str">
        <f>IF(OR('General Information'!$C$4="SMELTER", 'General Information'!$C$4="INTEGRATED"), 'Form Sa1'!B394, 'Form Sa1'!B116)</f>
        <v>Billets</v>
      </c>
      <c r="C20" s="269" t="s">
        <v>1456</v>
      </c>
      <c r="D20" s="293">
        <f>IF(OR('General Information'!$C$4="SMELTER", 'General Information'!$C$4="INTEGRATED"), 'Form Sa1'!H396, 'Form Sa1'!H118)</f>
        <v>58980.666</v>
      </c>
      <c r="E20" s="294">
        <f>IF(OR('General Information'!$C$4="SMELTER", 'General Information'!$C$4="INTEGRATED"), 'Form Sa1'!I396, 'Form Sa1'!I118)</f>
        <v>0</v>
      </c>
      <c r="F20" s="295"/>
      <c r="G20" s="295"/>
    </row>
    <row r="21" spans="1:7" x14ac:dyDescent="0.25">
      <c r="A21" s="288" t="s">
        <v>314</v>
      </c>
      <c r="B21" s="289" t="str">
        <f>IF(OR('General Information'!$C$4="SMELTER", 'General Information'!$C$4="INTEGRATED"), 'Form Sa1'!B400, 'Form Sa1'!B122)</f>
        <v>Ingot</v>
      </c>
      <c r="C21" s="269" t="s">
        <v>1456</v>
      </c>
      <c r="D21" s="293">
        <f>IF(OR('General Information'!$C$4="SMELTER", 'General Information'!$C$4="INTEGRATED"), 'Form Sa1'!H402, 'Form Sa1'!H124)</f>
        <v>210775.162</v>
      </c>
      <c r="E21" s="294">
        <f>IF(OR('General Information'!$C$4="SMELTER", 'General Information'!$C$4="INTEGRATED"), 'Form Sa1'!I402, 'Form Sa1'!I124)</f>
        <v>0</v>
      </c>
      <c r="F21" s="295"/>
      <c r="G21" s="295"/>
    </row>
    <row r="22" spans="1:7" x14ac:dyDescent="0.25">
      <c r="A22" s="288" t="s">
        <v>316</v>
      </c>
      <c r="B22" s="289" t="str">
        <f>IF(OR('General Information'!$C$4="SMELTER", 'General Information'!$C$4="INTEGRATED"), 'Form Sa1'!B406, 'Form Sa1'!B128)</f>
        <v>Bars</v>
      </c>
      <c r="C22" s="269" t="s">
        <v>1456</v>
      </c>
      <c r="D22" s="293">
        <f>IF(OR('General Information'!$C$4="SMELTER", 'General Information'!$C$4="INTEGRATED"), 'Form Sa1'!H408, 'Form Sa1'!H130)</f>
        <v>0</v>
      </c>
      <c r="E22" s="294">
        <f>IF(OR('General Information'!$C$4="SMELTER", 'General Information'!$C$4="INTEGRATED"), 'Form Sa1'!I408, 'Form Sa1'!I130)</f>
        <v>0</v>
      </c>
      <c r="F22" s="295"/>
      <c r="G22" s="295"/>
    </row>
    <row r="23" spans="1:7" x14ac:dyDescent="0.25">
      <c r="A23" s="288" t="s">
        <v>318</v>
      </c>
      <c r="B23" s="289" t="str">
        <f>IF(OR('General Information'!$C$4="SMELTER", 'General Information'!$C$4="INTEGRATED"), 'Form Sa1'!B412, 'Form Sa1'!B134)</f>
        <v>Primary Foundry Alloys</v>
      </c>
      <c r="C23" s="269" t="s">
        <v>1456</v>
      </c>
      <c r="D23" s="293">
        <f>IF(OR('General Information'!$C$4="SMELTER", 'General Information'!$C$4="INTEGRATED"), 'Form Sa1'!H414, 'Form Sa1'!H136)</f>
        <v>0</v>
      </c>
      <c r="E23" s="294">
        <f>IF(OR('General Information'!$C$4="SMELTER", 'General Information'!$C$4="INTEGRATED"), 'Form Sa1'!I414, 'Form Sa1'!I136)</f>
        <v>0</v>
      </c>
      <c r="F23" s="295"/>
      <c r="G23" s="295"/>
    </row>
    <row r="24" spans="1:7" x14ac:dyDescent="0.25">
      <c r="A24" s="288" t="s">
        <v>478</v>
      </c>
      <c r="B24" s="289" t="str">
        <f>IF(OR('General Information'!$C$4="SMELTER", 'General Information'!$C$4="INTEGRATED"), 'Form Sa1'!B418, 'Form Sa1'!B140)</f>
        <v>Wire Rod</v>
      </c>
      <c r="C24" s="269" t="s">
        <v>1456</v>
      </c>
      <c r="D24" s="293">
        <f>IF(OR('General Information'!$C$4="SMELTER", 'General Information'!$C$4="INTEGRATED"), 'Form Sa1'!H420, 'Form Sa1'!H142)</f>
        <v>55481.148</v>
      </c>
      <c r="E24" s="294">
        <f>IF(OR('General Information'!$C$4="SMELTER", 'General Information'!$C$4="INTEGRATED"), 'Form Sa1'!I420, 'Form Sa1'!I142)</f>
        <v>0</v>
      </c>
      <c r="F24" s="295"/>
      <c r="G24" s="295"/>
    </row>
    <row r="25" spans="1:7" x14ac:dyDescent="0.25">
      <c r="A25" s="288" t="s">
        <v>481</v>
      </c>
      <c r="B25" s="289" t="str">
        <f>IF(OR('General Information'!$C$4="SMELTER", 'General Information'!$C$4="INTEGRATED"), 'Form Sa1'!B424, 'Form Sa1'!B146)</f>
        <v>Strips</v>
      </c>
      <c r="C25" s="269" t="s">
        <v>1456</v>
      </c>
      <c r="D25" s="293">
        <f>IF(OR('General Information'!$C$4="SMELTER", 'General Information'!$C$4="INTEGRATED"), 'Form Sa1'!H426, 'Form Sa1'!H148)</f>
        <v>76567.049</v>
      </c>
      <c r="E25" s="294">
        <f>IF(OR('General Information'!$C$4="SMELTER", 'General Information'!$C$4="INTEGRATED"), 'Form Sa1'!I426, 'Form Sa1'!I148)</f>
        <v>0</v>
      </c>
      <c r="F25" s="295"/>
      <c r="G25" s="295"/>
    </row>
    <row r="26" spans="1:7" x14ac:dyDescent="0.25">
      <c r="A26" s="288" t="s">
        <v>483</v>
      </c>
      <c r="B26" s="289" t="str">
        <f>IF(OR('General Information'!$C$4="SMELTER", 'General Information'!$C$4="INTEGRATED"), 'Form Sa1'!B430, 'Form Sa1'!B152)</f>
        <v>Others , if Any</v>
      </c>
      <c r="C26" s="269" t="s">
        <v>1456</v>
      </c>
      <c r="D26" s="293">
        <f>IF(OR('General Information'!$C$4="SMELTER", 'General Information'!$C$4="INTEGRATED"), 'Form Sa1'!H433, 'Form Sa1'!H154)</f>
        <v>42078.393</v>
      </c>
      <c r="E26" s="294">
        <f>IF(OR('General Information'!$C$4="SMELTER", 'General Information'!$C$4="INTEGRATED"), 'Form Sa1'!I433, 'Form Sa1'!I154)</f>
        <v>0</v>
      </c>
      <c r="F26" s="295"/>
      <c r="G26" s="295"/>
    </row>
    <row r="27" ht="15" customHeight="1" spans="1:7" x14ac:dyDescent="0.25">
      <c r="A27" s="288" t="s">
        <v>485</v>
      </c>
      <c r="B27" s="293" t="str">
        <f>IF(OR('General Information'!$C$4="SMELTER", 'General Information'!$C$4="INTEGRATED"), "-",'Form Sa1'!B158)</f>
        <v>-</v>
      </c>
      <c r="C27" s="269" t="s">
        <v>1456</v>
      </c>
      <c r="D27" s="293" t="str">
        <f>IF(OR('General Information'!$C$4="SMELTER", 'General Information'!$C$4="INTEGRATED"), "-", 'Form Sa1'!H160)</f>
        <v>-</v>
      </c>
      <c r="E27" s="294" t="str">
        <f>IF(OR('General Information'!$C$4="SMELTER", 'General Information'!$C$4="INTEGRATED"), "-", 'Form Sa1'!I160)</f>
        <v>-</v>
      </c>
      <c r="F27" s="295"/>
      <c r="G27" s="295"/>
    </row>
    <row r="28" ht="15" customHeight="1" spans="1:7" x14ac:dyDescent="0.25">
      <c r="A28" s="288" t="s">
        <v>488</v>
      </c>
      <c r="B28" s="293" t="str">
        <f>IF(OR('General Information'!$C$4="SMELTER", 'General Information'!$C$4="INTEGRATED"), "-", 'Form Sa1'!B164)</f>
        <v>-</v>
      </c>
      <c r="C28" s="269" t="s">
        <v>1456</v>
      </c>
      <c r="D28" s="293" t="str">
        <f>IF(OR('General Information'!$C$4="SMELTER", 'General Information'!$C$4="INTEGRATED"), "-", 'Form Sa1'!H167)</f>
        <v>-</v>
      </c>
      <c r="E28" s="294" t="str">
        <f>IF(OR('General Information'!$C$4="SMELTER", 'General Information'!$C$4="INTEGRATED"), "-", 'Form Sa1'!I167)</f>
        <v>-</v>
      </c>
      <c r="F28" s="295"/>
      <c r="G28" s="295"/>
    </row>
    <row r="29" spans="1:7" x14ac:dyDescent="0.25">
      <c r="A29" s="288" t="s">
        <v>403</v>
      </c>
      <c r="B29" s="289" t="s">
        <v>1457</v>
      </c>
      <c r="C29" s="269" t="s">
        <v>1456</v>
      </c>
      <c r="D29" s="269"/>
      <c r="E29" s="271"/>
      <c r="F29" s="292"/>
      <c r="G29" s="292"/>
    </row>
    <row r="30" spans="1:7" x14ac:dyDescent="0.25">
      <c r="A30" s="288" t="s">
        <v>407</v>
      </c>
      <c r="B30" s="289" t="str">
        <f>IF(OR('General Information'!$C$4="SMELTER", 'General Information'!$C$4="INTEGRATED"), 'Baseline Parameter'!B73,'Baseline Parameter'!B70)</f>
        <v>Total Equivalent Molten Aluminum Produced</v>
      </c>
      <c r="C30" s="269" t="s">
        <v>1456</v>
      </c>
      <c r="D30" s="296">
        <f>' Summary Sheet'!E102</f>
        <v>423703.5138747444</v>
      </c>
      <c r="E30" s="296">
        <f>' Summary Sheet'!F102</f>
        <v>0</v>
      </c>
      <c r="F30" s="295"/>
      <c r="G30" s="295"/>
    </row>
    <row r="31" ht="15" customHeight="1" spans="1:5" x14ac:dyDescent="0.25">
      <c r="A31" s="261" t="s">
        <v>743</v>
      </c>
      <c r="B31" s="297" t="s">
        <v>1458</v>
      </c>
      <c r="C31" s="297"/>
      <c r="D31" s="297"/>
      <c r="E31" s="298"/>
    </row>
    <row r="32" spans="1:5" x14ac:dyDescent="0.25">
      <c r="A32" s="299" t="s">
        <v>46</v>
      </c>
      <c r="B32" s="280" t="s">
        <v>1459</v>
      </c>
      <c r="C32" s="282" t="s">
        <v>1453</v>
      </c>
      <c r="D32" s="282" t="s">
        <v>1460</v>
      </c>
      <c r="E32" s="283" t="s">
        <v>1461</v>
      </c>
    </row>
    <row r="33" spans="1:5" x14ac:dyDescent="0.25">
      <c r="A33" s="300"/>
      <c r="B33" s="285"/>
      <c r="C33" s="282" t="s">
        <v>1462</v>
      </c>
      <c r="D33" s="282" t="s">
        <v>1463</v>
      </c>
      <c r="E33" s="283" t="s">
        <v>1464</v>
      </c>
    </row>
    <row r="34" spans="1:5" x14ac:dyDescent="0.25">
      <c r="A34" s="288" t="s">
        <v>1465</v>
      </c>
      <c r="B34" s="266" t="s">
        <v>1466</v>
      </c>
      <c r="C34" s="269" t="s">
        <v>1467</v>
      </c>
      <c r="D34" s="301">
        <f>('Form Sa1'!H716/10)+('Form Sa1'!H814/10)</f>
        <v>118.39133589925275</v>
      </c>
      <c r="E34" s="301">
        <f>('Form Sa1'!I716/10)+('Form Sa1'!I814/10)</f>
        <v>0</v>
      </c>
    </row>
    <row r="35" spans="1:6" x14ac:dyDescent="0.25">
      <c r="A35" s="288" t="s">
        <v>308</v>
      </c>
      <c r="B35" s="266" t="s">
        <v>1468</v>
      </c>
      <c r="C35" s="269" t="s">
        <v>1467</v>
      </c>
      <c r="D35" s="290">
        <f>'Form Sa1'!H839/10</f>
        <v>7087.292496874999</v>
      </c>
      <c r="E35" s="291">
        <f>'Form Sa1'!I839/10</f>
        <v>0</v>
      </c>
      <c r="F35" s="302"/>
    </row>
    <row r="36" spans="1:5" x14ac:dyDescent="0.25">
      <c r="A36" s="288" t="s">
        <v>310</v>
      </c>
      <c r="B36" s="266" t="s">
        <v>1469</v>
      </c>
      <c r="C36" s="269" t="s">
        <v>1467</v>
      </c>
      <c r="D36" s="290">
        <f>('Form Sa1'!H841+'Form Sa1'!H842)/10</f>
        <v>178.26538101559998</v>
      </c>
      <c r="E36" s="291">
        <f>('Form Sa1'!I841+'Form Sa1'!I842)/10</f>
        <v>0</v>
      </c>
    </row>
    <row r="37" spans="1:5" x14ac:dyDescent="0.25">
      <c r="A37" s="288" t="s">
        <v>312</v>
      </c>
      <c r="B37" s="266" t="s">
        <v>1470</v>
      </c>
      <c r="C37" s="269" t="s">
        <v>1467</v>
      </c>
      <c r="D37" s="290">
        <f>'Form Sa1'!H845/10</f>
        <v>7027.418451758653</v>
      </c>
      <c r="E37" s="291">
        <f>'Form Sa1'!I845/10</f>
        <v>0</v>
      </c>
    </row>
    <row r="38" spans="1:5" x14ac:dyDescent="0.25">
      <c r="A38" s="288" t="s">
        <v>314</v>
      </c>
      <c r="B38" s="266" t="s">
        <v>1471</v>
      </c>
      <c r="C38" s="269" t="s">
        <v>1472</v>
      </c>
      <c r="D38" s="290">
        <f>'Form Sa1'!H1012+'Form Sa1'!H1013+'Form Sa1'!H1014</f>
        <v>19863268.062506635</v>
      </c>
      <c r="E38" s="291">
        <f>'Form Sa1'!I1012+'Form Sa1'!I1013+'Form Sa1'!I1014</f>
        <v>0</v>
      </c>
    </row>
    <row r="39" spans="1:5" x14ac:dyDescent="0.25">
      <c r="A39" s="265" t="s">
        <v>316</v>
      </c>
      <c r="B39" s="266" t="s">
        <v>1473</v>
      </c>
      <c r="C39" s="269" t="s">
        <v>1472</v>
      </c>
      <c r="D39" s="290">
        <f>'Form Sa1'!H1171+'Form Sa1'!H1172+'Form Sa1'!H1173+'Form Sa1'!H1174</f>
        <v>716331.9851361387</v>
      </c>
      <c r="E39" s="291">
        <f>'Form Sa1'!I1171+'Form Sa1'!I1172+'Form Sa1'!I1173+'Form Sa1'!I1174</f>
        <v>0</v>
      </c>
    </row>
    <row r="40" spans="1:5" x14ac:dyDescent="0.25">
      <c r="A40" s="265" t="s">
        <v>318</v>
      </c>
      <c r="B40" s="266" t="s">
        <v>1474</v>
      </c>
      <c r="C40" s="269" t="s">
        <v>1472</v>
      </c>
      <c r="D40" s="290">
        <f>'Form Sa1'!H1217+'Form Sa1'!H1218+'Form Sa1'!H1265</f>
        <v>5167.700706800002</v>
      </c>
      <c r="E40" s="291">
        <f>'Form Sa1'!I1217+'Form Sa1'!I1218+'Form Sa1'!I1265</f>
        <v>0</v>
      </c>
    </row>
    <row r="41" spans="1:5" x14ac:dyDescent="0.25">
      <c r="A41" s="265" t="s">
        <v>478</v>
      </c>
      <c r="B41" s="266" t="s">
        <v>1475</v>
      </c>
      <c r="C41" s="269" t="s">
        <v>1472</v>
      </c>
      <c r="D41" s="290">
        <f>'Form Sa1'!H1306</f>
        <v>20584767.748349573</v>
      </c>
      <c r="E41" s="291">
        <f>'Form Sa1'!I1306</f>
        <v>0</v>
      </c>
    </row>
    <row r="42" spans="1:5" x14ac:dyDescent="0.25">
      <c r="A42" s="265" t="s">
        <v>481</v>
      </c>
      <c r="B42" s="266" t="s">
        <v>1476</v>
      </c>
      <c r="C42" s="269" t="s">
        <v>1477</v>
      </c>
      <c r="D42" s="290" t="s">
        <v>1478</v>
      </c>
      <c r="E42" s="303" t="e">
        <f>' Summary Sheet'!F72</f>
        <v>#DIV/0!</v>
      </c>
    </row>
    <row r="43" ht="15" customHeight="1" spans="1:5" x14ac:dyDescent="0.25">
      <c r="A43" s="304" t="s">
        <v>1058</v>
      </c>
      <c r="B43" s="305" t="s">
        <v>1479</v>
      </c>
      <c r="C43" s="305"/>
      <c r="D43" s="305"/>
      <c r="E43" s="306"/>
    </row>
    <row r="44" spans="1:5" x14ac:dyDescent="0.25">
      <c r="A44" s="288" t="s">
        <v>1480</v>
      </c>
      <c r="B44" s="266" t="s">
        <v>1481</v>
      </c>
      <c r="C44" s="269" t="s">
        <v>1482</v>
      </c>
      <c r="D44" s="307">
        <f>IF(OR('General Information'!$C$4="SMELTER", 'General Information'!$C$4="INTEGRATED"),' Summary Sheet'!E58,' Summary Sheet'!E51)</f>
        <v>4.927021396672462</v>
      </c>
      <c r="E44" s="303">
        <f>IF(OR('General Information'!$C$4="SMELTER", 'General Information'!$C$4="INTEGRATED"),' Summary Sheet'!F58,' Summary Sheet'!F51)</f>
        <v>0</v>
      </c>
    </row>
    <row r="45" ht="14.5" customHeight="1" spans="1:5" x14ac:dyDescent="0.25">
      <c r="A45" s="308" t="s">
        <v>64</v>
      </c>
      <c r="B45" s="309" t="s">
        <v>1483</v>
      </c>
      <c r="C45" s="310" t="s">
        <v>1482</v>
      </c>
      <c r="D45" s="310" t="s">
        <v>1478</v>
      </c>
      <c r="E45" s="311">
        <f>' Summary Sheet'!F73</f>
        <v>0</v>
      </c>
    </row>
    <row r="46" hidden="1" spans="1:5" x14ac:dyDescent="0.25">
      <c r="A46" s="312"/>
      <c r="B46" s="312"/>
      <c r="C46" s="312"/>
      <c r="D46" s="312"/>
      <c r="E46" s="312"/>
    </row>
    <row r="47" ht="15" customHeight="1" hidden="1" spans="1:5" x14ac:dyDescent="0.25">
      <c r="A47" s="313" t="s">
        <v>373</v>
      </c>
      <c r="B47" s="262" t="s">
        <v>1484</v>
      </c>
      <c r="C47" s="262"/>
      <c r="D47" s="262"/>
      <c r="E47" s="262"/>
    </row>
    <row r="48" hidden="1" spans="1:5" x14ac:dyDescent="0.25">
      <c r="A48" s="267" t="s">
        <v>1485</v>
      </c>
      <c r="B48" s="289" t="s">
        <v>1486</v>
      </c>
      <c r="C48" s="269" t="s">
        <v>1487</v>
      </c>
      <c r="D48" s="269"/>
      <c r="E48" s="269"/>
    </row>
    <row r="49" ht="28" customHeight="1" hidden="1" spans="1:5" x14ac:dyDescent="0.25">
      <c r="A49" s="267" t="s">
        <v>64</v>
      </c>
      <c r="B49" s="289" t="s">
        <v>1488</v>
      </c>
      <c r="C49" s="269" t="s">
        <v>1489</v>
      </c>
      <c r="D49" s="269"/>
      <c r="E49" s="269"/>
    </row>
    <row r="50" hidden="1" spans="1:5" x14ac:dyDescent="0.25">
      <c r="A50" s="267" t="s">
        <v>68</v>
      </c>
      <c r="B50" s="289" t="s">
        <v>1490</v>
      </c>
      <c r="C50" s="269" t="s">
        <v>1491</v>
      </c>
      <c r="D50" s="269"/>
      <c r="E50" s="269"/>
    </row>
    <row r="51" hidden="1" spans="1:5" x14ac:dyDescent="0.25">
      <c r="A51" s="267" t="s">
        <v>74</v>
      </c>
      <c r="B51" s="289" t="s">
        <v>1492</v>
      </c>
      <c r="C51" s="269" t="s">
        <v>1493</v>
      </c>
      <c r="D51" s="269"/>
      <c r="E51" s="269"/>
    </row>
    <row r="52" hidden="1" spans="1:5" x14ac:dyDescent="0.25">
      <c r="A52" s="267" t="s">
        <v>80</v>
      </c>
      <c r="B52" s="289" t="s">
        <v>1494</v>
      </c>
      <c r="C52" s="269" t="s">
        <v>1495</v>
      </c>
      <c r="D52" s="269"/>
      <c r="E52" s="269"/>
    </row>
    <row r="53" hidden="1" spans="1:5" x14ac:dyDescent="0.25">
      <c r="A53" s="267" t="s">
        <v>82</v>
      </c>
      <c r="B53" s="289" t="s">
        <v>1496</v>
      </c>
      <c r="C53" s="269" t="s">
        <v>1495</v>
      </c>
      <c r="D53" s="269"/>
      <c r="E53" s="269"/>
    </row>
    <row r="54" hidden="1" spans="1:5" x14ac:dyDescent="0.25">
      <c r="A54" s="267" t="s">
        <v>121</v>
      </c>
      <c r="B54" s="289" t="s">
        <v>1497</v>
      </c>
      <c r="C54" s="269" t="s">
        <v>1493</v>
      </c>
      <c r="D54" s="269"/>
      <c r="E54" s="269"/>
    </row>
    <row r="55" hidden="1" spans="1:5" x14ac:dyDescent="0.25">
      <c r="A55" s="267" t="s">
        <v>144</v>
      </c>
      <c r="B55" s="289" t="s">
        <v>1498</v>
      </c>
      <c r="C55" s="269" t="s">
        <v>1495</v>
      </c>
      <c r="D55" s="269"/>
      <c r="E55" s="269"/>
    </row>
    <row r="56" ht="15" customHeight="1" hidden="1" spans="1:5" x14ac:dyDescent="0.25">
      <c r="A56" s="267" t="s">
        <v>146</v>
      </c>
      <c r="B56" s="289" t="s">
        <v>1499</v>
      </c>
      <c r="C56" s="269" t="s">
        <v>1495</v>
      </c>
      <c r="D56" s="314"/>
      <c r="E56" s="314"/>
    </row>
    <row r="57" hidden="1" spans="1:5" x14ac:dyDescent="0.25">
      <c r="A57" s="267"/>
      <c r="B57" s="267"/>
      <c r="C57" s="267"/>
      <c r="D57" s="267"/>
      <c r="E57" s="267"/>
    </row>
    <row r="58" hidden="1" spans="1:5" s="274" customFormat="1" x14ac:dyDescent="0.25">
      <c r="A58" s="315" t="s">
        <v>942</v>
      </c>
      <c r="B58" s="316" t="s">
        <v>1500</v>
      </c>
      <c r="C58" s="316"/>
      <c r="D58" s="316"/>
      <c r="E58" s="316"/>
    </row>
    <row r="59" ht="38.5" customHeight="1" hidden="1" spans="1:5" s="274" customFormat="1" x14ac:dyDescent="0.25">
      <c r="A59" s="315" t="s">
        <v>1421</v>
      </c>
      <c r="B59" s="316" t="s">
        <v>1501</v>
      </c>
      <c r="C59" s="316" t="s">
        <v>1444</v>
      </c>
      <c r="D59" s="317" t="s">
        <v>1502</v>
      </c>
      <c r="E59" s="318"/>
    </row>
    <row r="60" ht="16.9" customHeight="1" hidden="1" spans="1:5" x14ac:dyDescent="0.25">
      <c r="A60" s="267" t="s">
        <v>103</v>
      </c>
      <c r="B60" s="266" t="s">
        <v>1503</v>
      </c>
      <c r="C60" s="266" t="s">
        <v>1504</v>
      </c>
      <c r="D60" s="319" t="s">
        <v>1505</v>
      </c>
      <c r="E60" s="320"/>
    </row>
    <row r="61" ht="16.9" customHeight="1" hidden="1" spans="1:5" x14ac:dyDescent="0.25">
      <c r="A61" s="267"/>
      <c r="B61" s="266"/>
      <c r="C61" s="266" t="s">
        <v>1506</v>
      </c>
      <c r="D61" s="319" t="s">
        <v>1507</v>
      </c>
      <c r="E61" s="320"/>
    </row>
    <row r="62" hidden="1" spans="1:5" x14ac:dyDescent="0.25">
      <c r="A62" s="267" t="s">
        <v>125</v>
      </c>
      <c r="B62" s="266" t="s">
        <v>1508</v>
      </c>
      <c r="C62" s="266" t="s">
        <v>1508</v>
      </c>
      <c r="D62" s="319" t="s">
        <v>1509</v>
      </c>
      <c r="E62" s="320"/>
    </row>
    <row r="63" hidden="1" spans="1:5" x14ac:dyDescent="0.25">
      <c r="A63" s="267" t="s">
        <v>182</v>
      </c>
      <c r="B63" s="266" t="s">
        <v>1510</v>
      </c>
      <c r="C63" s="266" t="s">
        <v>1510</v>
      </c>
      <c r="D63" s="319" t="s">
        <v>1511</v>
      </c>
      <c r="E63" s="320"/>
    </row>
    <row r="64" hidden="1" spans="1:5" x14ac:dyDescent="0.25">
      <c r="A64" s="267" t="s">
        <v>322</v>
      </c>
      <c r="B64" s="266" t="s">
        <v>1512</v>
      </c>
      <c r="C64" s="266" t="s">
        <v>1512</v>
      </c>
      <c r="D64" s="319" t="s">
        <v>1513</v>
      </c>
      <c r="E64" s="320"/>
    </row>
    <row r="65" ht="15" customHeight="1" hidden="1" spans="1:5" x14ac:dyDescent="0.25">
      <c r="A65" s="267" t="s">
        <v>1326</v>
      </c>
      <c r="B65" s="266" t="s">
        <v>1514</v>
      </c>
      <c r="C65" s="266" t="s">
        <v>1515</v>
      </c>
      <c r="D65" s="319" t="s">
        <v>1516</v>
      </c>
      <c r="E65" s="320"/>
    </row>
    <row r="66" ht="15" customHeight="1" hidden="1" spans="1:5" x14ac:dyDescent="0.25">
      <c r="A66" s="267"/>
      <c r="B66" s="266"/>
      <c r="C66" s="266" t="s">
        <v>1517</v>
      </c>
      <c r="D66" s="319" t="s">
        <v>1518</v>
      </c>
      <c r="E66" s="320"/>
    </row>
    <row r="67" ht="15" customHeight="1" hidden="1" spans="1:5" x14ac:dyDescent="0.25">
      <c r="A67" s="267" t="s">
        <v>1333</v>
      </c>
      <c r="B67" s="266" t="s">
        <v>1519</v>
      </c>
      <c r="C67" s="266" t="s">
        <v>1519</v>
      </c>
      <c r="D67" s="319" t="s">
        <v>1520</v>
      </c>
      <c r="E67" s="320"/>
    </row>
    <row r="68" ht="15" customHeight="1" hidden="1" spans="1:5" x14ac:dyDescent="0.25">
      <c r="A68" s="267" t="s">
        <v>1521</v>
      </c>
      <c r="B68" s="266" t="s">
        <v>1522</v>
      </c>
      <c r="C68" s="266" t="s">
        <v>1523</v>
      </c>
      <c r="D68" s="319" t="s">
        <v>1524</v>
      </c>
      <c r="E68" s="320"/>
    </row>
    <row r="69" ht="15" customHeight="1" hidden="1" spans="1:5" x14ac:dyDescent="0.25">
      <c r="A69" s="267"/>
      <c r="B69" s="266"/>
      <c r="C69" s="266" t="s">
        <v>1525</v>
      </c>
      <c r="D69" s="319" t="s">
        <v>1526</v>
      </c>
      <c r="E69" s="320"/>
    </row>
    <row r="70" ht="15" customHeight="1" hidden="1" spans="1:5" x14ac:dyDescent="0.25">
      <c r="A70" s="267"/>
      <c r="B70" s="266"/>
      <c r="C70" s="266" t="s">
        <v>1527</v>
      </c>
      <c r="D70" s="319" t="s">
        <v>1528</v>
      </c>
      <c r="E70" s="320"/>
    </row>
    <row r="71" ht="15" customHeight="1" hidden="1" spans="1:5" x14ac:dyDescent="0.25">
      <c r="A71" s="267"/>
      <c r="B71" s="266"/>
      <c r="C71" s="266" t="s">
        <v>1529</v>
      </c>
      <c r="D71" s="319" t="s">
        <v>1530</v>
      </c>
      <c r="E71" s="320"/>
    </row>
    <row r="72" ht="15" customHeight="1" hidden="1" spans="1:5" x14ac:dyDescent="0.25">
      <c r="A72" s="267" t="s">
        <v>1531</v>
      </c>
      <c r="B72" s="266" t="s">
        <v>1532</v>
      </c>
      <c r="C72" s="266" t="s">
        <v>1532</v>
      </c>
      <c r="D72" s="319" t="s">
        <v>1533</v>
      </c>
      <c r="E72" s="320"/>
    </row>
    <row r="73" ht="15" customHeight="1" hidden="1" spans="1:5" x14ac:dyDescent="0.25">
      <c r="A73" s="321"/>
      <c r="B73" s="292"/>
      <c r="C73" s="292"/>
      <c r="D73" s="292"/>
      <c r="E73" s="292"/>
    </row>
    <row r="74" ht="15" customHeight="1" spans="1:5" x14ac:dyDescent="0.25">
      <c r="A74" s="322" t="s">
        <v>1534</v>
      </c>
      <c r="B74" s="322"/>
      <c r="C74" s="322"/>
      <c r="D74" s="322"/>
      <c r="E74" s="322"/>
    </row>
    <row r="75" ht="33" customHeight="1" spans="1:5" x14ac:dyDescent="0.25">
      <c r="A75" s="322"/>
      <c r="B75" s="322"/>
      <c r="C75" s="322"/>
      <c r="D75" s="322"/>
      <c r="E75" s="322"/>
    </row>
    <row r="76" spans="1:5" x14ac:dyDescent="0.25">
      <c r="A76" s="323" t="s">
        <v>1535</v>
      </c>
      <c r="B76" s="322"/>
      <c r="C76" s="322"/>
      <c r="D76" s="322"/>
      <c r="E76" s="322"/>
    </row>
    <row r="77" spans="3:5" x14ac:dyDescent="0.25">
      <c r="C77" s="324"/>
      <c r="D77" s="325" t="s">
        <v>1536</v>
      </c>
      <c r="E77" s="326"/>
    </row>
    <row r="78" spans="3:5" x14ac:dyDescent="0.25">
      <c r="C78" s="324"/>
      <c r="D78" s="323" t="s">
        <v>1537</v>
      </c>
      <c r="E78" s="326"/>
    </row>
    <row r="79" spans="1:5" x14ac:dyDescent="0.25">
      <c r="A79" s="325" t="s">
        <v>1538</v>
      </c>
      <c r="C79" s="324"/>
      <c r="D79" s="323" t="s">
        <v>1539</v>
      </c>
      <c r="E79" s="326"/>
    </row>
    <row r="80" spans="1:5" x14ac:dyDescent="0.25">
      <c r="A80" s="323" t="s">
        <v>1540</v>
      </c>
      <c r="C80" s="324"/>
      <c r="E80" s="326"/>
    </row>
    <row r="81" spans="1:5" x14ac:dyDescent="0.25">
      <c r="A81" s="323" t="s">
        <v>1541</v>
      </c>
      <c r="E81" s="326"/>
    </row>
    <row r="82" spans="1:5" x14ac:dyDescent="0.25">
      <c r="A82" s="323"/>
      <c r="E82" s="326"/>
    </row>
    <row r="83" spans="1:5" x14ac:dyDescent="0.25">
      <c r="A83" s="327"/>
      <c r="B83" s="326"/>
      <c r="C83" s="326"/>
      <c r="E83" s="326"/>
    </row>
    <row r="84" spans="1:5" x14ac:dyDescent="0.25">
      <c r="A84" s="323" t="s">
        <v>1542</v>
      </c>
      <c r="B84" s="326"/>
      <c r="C84" s="326"/>
      <c r="D84" s="326"/>
      <c r="E84" s="326"/>
    </row>
    <row r="85" hidden="1" spans="1:5" x14ac:dyDescent="0.25">
      <c r="A85" s="328"/>
      <c r="B85" s="329"/>
      <c r="C85" s="330"/>
      <c r="D85" s="330"/>
      <c r="E85" s="330"/>
    </row>
    <row r="87" spans="1:1" x14ac:dyDescent="0.25">
      <c r="A87" s="327" t="s">
        <v>1423</v>
      </c>
    </row>
    <row r="92" spans="4:4" x14ac:dyDescent="0.25">
      <c r="D92" s="325"/>
    </row>
    <row r="93" spans="4:4" x14ac:dyDescent="0.25">
      <c r="D93" s="325"/>
    </row>
  </sheetData>
  <sheetProtection sheet="1" algorithmName="SHA-512" hashValue="44XlvCmRxwXAM/vWzhRKCSqmUR0bYltKdMuCN3Cv+9h1SU8dNYc1rjjOOpkKB1jYEUdN3n0B8MscxtZyqrrHsg==" saltValue="/vBvj9pELWxRFL88wx/Gyw==" spinCount="100000" objects="1" scenarios="1"/>
  <mergeCells count="48">
    <mergeCell ref="A1:E1"/>
    <mergeCell ref="A2:E2"/>
    <mergeCell ref="A3:E3"/>
    <mergeCell ref="C4:E4"/>
    <mergeCell ref="C5:E5"/>
    <mergeCell ref="C6:E6"/>
    <mergeCell ref="C7:E7"/>
    <mergeCell ref="C8:D8"/>
    <mergeCell ref="A8:A9"/>
    <mergeCell ref="B8:B9"/>
    <mergeCell ref="C9:D9"/>
    <mergeCell ref="C10:E10"/>
    <mergeCell ref="C11:E11"/>
    <mergeCell ref="C12:E12"/>
    <mergeCell ref="B13:E13"/>
    <mergeCell ref="B14:E14"/>
    <mergeCell ref="A15:A16"/>
    <mergeCell ref="B15:B16"/>
    <mergeCell ref="C15:C16"/>
    <mergeCell ref="B31:E31"/>
    <mergeCell ref="A32:A33"/>
    <mergeCell ref="B32:B33"/>
    <mergeCell ref="B43:E43"/>
    <mergeCell ref="A46:E46"/>
    <mergeCell ref="B47:E47"/>
    <mergeCell ref="A57:E57"/>
    <mergeCell ref="B58:E58"/>
    <mergeCell ref="D59:E59"/>
    <mergeCell ref="D60:E60"/>
    <mergeCell ref="A60:A61"/>
    <mergeCell ref="B60:B61"/>
    <mergeCell ref="D61:E61"/>
    <mergeCell ref="D62:E62"/>
    <mergeCell ref="D63:E63"/>
    <mergeCell ref="D64:E64"/>
    <mergeCell ref="D65:E65"/>
    <mergeCell ref="A65:A66"/>
    <mergeCell ref="B65:B66"/>
    <mergeCell ref="D66:E66"/>
    <mergeCell ref="D67:E67"/>
    <mergeCell ref="D68:E68"/>
    <mergeCell ref="A68:A71"/>
    <mergeCell ref="B68:B71"/>
    <mergeCell ref="D69:E69"/>
    <mergeCell ref="D70:E70"/>
    <mergeCell ref="D71:E71"/>
    <mergeCell ref="D72:E72"/>
    <mergeCell ref="A74:E75"/>
  </mergeCells>
  <pageMargins left="0.433070866141732" right="0.236220472440945" top="0.748031496062992" bottom="0.748031496062992" header="0.31496062992126" footer="0.31496062992126"/>
  <pageSetup orientation="portrait" horizontalDpi="4294967295" verticalDpi="4294967295" scale="69" fitToWidth="1" fitToHeight="1" firstPageNumber="1" useFirstPageNumber="1" copies="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3"/>
  <sheetViews>
    <sheetView workbookViewId="0" zoomScale="92" zoomScaleNormal="92">
      <selection activeCell="H8" sqref="H8"/>
    </sheetView>
  </sheetViews>
  <sheetFormatPr defaultRowHeight="12" outlineLevelRow="0" outlineLevelCol="0" x14ac:dyDescent="0.3" defaultColWidth="9.1796875" customHeight="1"/>
  <cols>
    <col min="1" max="1" width="8" style="68" customWidth="1"/>
    <col min="2" max="2" width="47.26953125" style="69" customWidth="1"/>
    <col min="3" max="3" width="27.453125" style="70" customWidth="1"/>
    <col min="4" max="4" width="16.1796875" style="71" customWidth="1"/>
    <col min="5" max="5" width="36.7265625" style="70" customWidth="1"/>
    <col min="6" max="6" width="39" style="71" customWidth="1"/>
    <col min="7" max="16384" width="9.1796875" style="69" customWidth="1"/>
  </cols>
  <sheetData>
    <row r="1" ht="23.5" customHeight="1" spans="1:8" x14ac:dyDescent="0.25">
      <c r="A1" s="72" t="s">
        <v>44</v>
      </c>
      <c r="B1" s="72"/>
      <c r="C1" s="72"/>
      <c r="D1" s="72"/>
      <c r="E1" s="72"/>
      <c r="F1" s="72"/>
      <c r="H1" s="73" t="s">
        <v>45</v>
      </c>
    </row>
    <row r="2" ht="52" customHeight="1" spans="1:6" x14ac:dyDescent="0.25">
      <c r="A2" s="74" t="s">
        <v>46</v>
      </c>
      <c r="B2" s="74" t="s">
        <v>47</v>
      </c>
      <c r="C2" s="75" t="s">
        <v>48</v>
      </c>
      <c r="D2" s="76" t="s">
        <v>49</v>
      </c>
      <c r="E2" s="76" t="s">
        <v>50</v>
      </c>
      <c r="F2" s="76" t="s">
        <v>51</v>
      </c>
    </row>
    <row r="3" spans="1:6" x14ac:dyDescent="0.25">
      <c r="A3" s="77" t="s">
        <v>52</v>
      </c>
      <c r="B3" s="78"/>
      <c r="C3" s="78"/>
      <c r="D3" s="78"/>
      <c r="E3" s="78"/>
      <c r="F3" s="79"/>
    </row>
    <row r="4" spans="1:6" x14ac:dyDescent="0.25">
      <c r="A4" s="77" t="s">
        <v>53</v>
      </c>
      <c r="B4" s="78"/>
      <c r="C4" s="78"/>
      <c r="D4" s="78"/>
      <c r="E4" s="78"/>
      <c r="F4" s="79"/>
    </row>
    <row r="5" ht="16.15" customHeight="1" spans="1:6" x14ac:dyDescent="0.25">
      <c r="A5" s="80" t="s">
        <v>54</v>
      </c>
      <c r="B5" s="81" t="s">
        <v>55</v>
      </c>
      <c r="C5" s="81"/>
      <c r="D5" s="81"/>
      <c r="E5" s="81"/>
      <c r="F5" s="81"/>
    </row>
    <row r="6" spans="1:6" x14ac:dyDescent="0.25">
      <c r="A6" s="82" t="s">
        <v>56</v>
      </c>
      <c r="B6" s="83" t="s">
        <v>57</v>
      </c>
      <c r="C6" s="84"/>
      <c r="D6" s="84"/>
      <c r="E6" s="84"/>
      <c r="F6" s="84"/>
    </row>
    <row r="7" ht="36" customHeight="1" spans="1:6" x14ac:dyDescent="0.25">
      <c r="A7" s="82" t="s">
        <v>58</v>
      </c>
      <c r="B7" s="85" t="s">
        <v>59</v>
      </c>
      <c r="C7" s="84" t="s">
        <v>60</v>
      </c>
      <c r="D7" s="84" t="s">
        <v>61</v>
      </c>
      <c r="E7" s="84" t="s">
        <v>62</v>
      </c>
      <c r="F7" s="84" t="s">
        <v>63</v>
      </c>
    </row>
    <row r="8" ht="36" customHeight="1" spans="1:6" x14ac:dyDescent="0.25">
      <c r="A8" s="82" t="s">
        <v>64</v>
      </c>
      <c r="B8" s="85" t="s">
        <v>65</v>
      </c>
      <c r="C8" s="84" t="s">
        <v>66</v>
      </c>
      <c r="D8" s="84" t="s">
        <v>61</v>
      </c>
      <c r="E8" s="84" t="s">
        <v>67</v>
      </c>
      <c r="F8" s="84" t="s">
        <v>63</v>
      </c>
    </row>
    <row r="9" ht="36" customHeight="1" spans="1:6" x14ac:dyDescent="0.25">
      <c r="A9" s="82" t="s">
        <v>68</v>
      </c>
      <c r="B9" s="85" t="s">
        <v>69</v>
      </c>
      <c r="C9" s="86" t="s">
        <v>70</v>
      </c>
      <c r="D9" s="84" t="s">
        <v>71</v>
      </c>
      <c r="E9" s="84" t="s">
        <v>72</v>
      </c>
      <c r="F9" s="84" t="s">
        <v>73</v>
      </c>
    </row>
    <row r="10" ht="36" customHeight="1" spans="1:6" x14ac:dyDescent="0.25">
      <c r="A10" s="82" t="s">
        <v>74</v>
      </c>
      <c r="B10" s="85" t="s">
        <v>75</v>
      </c>
      <c r="C10" s="84" t="s">
        <v>76</v>
      </c>
      <c r="D10" s="84" t="s">
        <v>77</v>
      </c>
      <c r="E10" s="84" t="s">
        <v>78</v>
      </c>
      <c r="F10" s="84" t="s">
        <v>79</v>
      </c>
    </row>
    <row r="11" ht="24" customHeight="1" spans="1:6" x14ac:dyDescent="0.25">
      <c r="A11" s="82" t="s">
        <v>80</v>
      </c>
      <c r="B11" s="83" t="s">
        <v>81</v>
      </c>
      <c r="C11" s="84"/>
      <c r="D11" s="84"/>
      <c r="E11" s="84"/>
      <c r="F11" s="84"/>
    </row>
    <row r="12" ht="24" customHeight="1" spans="1:6" x14ac:dyDescent="0.25">
      <c r="A12" s="82" t="s">
        <v>82</v>
      </c>
      <c r="B12" s="83" t="s">
        <v>83</v>
      </c>
      <c r="C12" s="84"/>
      <c r="D12" s="84"/>
      <c r="E12" s="84"/>
      <c r="F12" s="84"/>
    </row>
    <row r="13" spans="1:6" x14ac:dyDescent="0.25">
      <c r="A13" s="82" t="s">
        <v>84</v>
      </c>
      <c r="B13" s="83" t="s">
        <v>85</v>
      </c>
      <c r="C13" s="84"/>
      <c r="D13" s="84"/>
      <c r="E13" s="84"/>
      <c r="F13" s="84"/>
    </row>
    <row r="14" ht="36" customHeight="1" spans="1:6" x14ac:dyDescent="0.25">
      <c r="A14" s="82" t="s">
        <v>58</v>
      </c>
      <c r="B14" s="85" t="s">
        <v>86</v>
      </c>
      <c r="C14" s="84" t="s">
        <v>87</v>
      </c>
      <c r="D14" s="84" t="s">
        <v>61</v>
      </c>
      <c r="E14" s="84" t="s">
        <v>88</v>
      </c>
      <c r="F14" s="84" t="s">
        <v>89</v>
      </c>
    </row>
    <row r="15" ht="75.75" customHeight="1" spans="1:6" x14ac:dyDescent="0.25">
      <c r="A15" s="82" t="s">
        <v>64</v>
      </c>
      <c r="B15" s="85" t="s">
        <v>90</v>
      </c>
      <c r="C15" s="84" t="s">
        <v>91</v>
      </c>
      <c r="D15" s="84" t="s">
        <v>61</v>
      </c>
      <c r="E15" s="84" t="s">
        <v>67</v>
      </c>
      <c r="F15" s="84" t="s">
        <v>63</v>
      </c>
    </row>
    <row r="16" ht="36" customHeight="1" spans="1:6" x14ac:dyDescent="0.25">
      <c r="A16" s="82" t="s">
        <v>68</v>
      </c>
      <c r="B16" s="85" t="s">
        <v>92</v>
      </c>
      <c r="C16" s="84" t="s">
        <v>93</v>
      </c>
      <c r="D16" s="84" t="s">
        <v>71</v>
      </c>
      <c r="E16" s="84" t="s">
        <v>78</v>
      </c>
      <c r="F16" s="84" t="s">
        <v>94</v>
      </c>
    </row>
    <row r="17" ht="36" customHeight="1" spans="1:6" x14ac:dyDescent="0.25">
      <c r="A17" s="82" t="s">
        <v>74</v>
      </c>
      <c r="B17" s="85" t="s">
        <v>95</v>
      </c>
      <c r="C17" s="84" t="s">
        <v>96</v>
      </c>
      <c r="D17" s="84" t="s">
        <v>71</v>
      </c>
      <c r="E17" s="84" t="s">
        <v>78</v>
      </c>
      <c r="F17" s="84" t="s">
        <v>97</v>
      </c>
    </row>
    <row r="18" ht="24" customHeight="1" spans="1:6" x14ac:dyDescent="0.25">
      <c r="A18" s="82" t="s">
        <v>80</v>
      </c>
      <c r="B18" s="83" t="s">
        <v>98</v>
      </c>
      <c r="C18" s="87"/>
      <c r="D18" s="84"/>
      <c r="E18" s="84"/>
      <c r="F18" s="84"/>
    </row>
    <row r="19" ht="24" customHeight="1" spans="1:6" x14ac:dyDescent="0.25">
      <c r="A19" s="82" t="s">
        <v>82</v>
      </c>
      <c r="B19" s="83" t="s">
        <v>99</v>
      </c>
      <c r="C19" s="87"/>
      <c r="D19" s="84"/>
      <c r="E19" s="84"/>
      <c r="F19" s="84"/>
    </row>
    <row r="20" spans="1:6" x14ac:dyDescent="0.25">
      <c r="A20" s="82" t="s">
        <v>100</v>
      </c>
      <c r="B20" s="83" t="s">
        <v>101</v>
      </c>
      <c r="C20" s="87"/>
      <c r="D20" s="84"/>
      <c r="E20" s="84"/>
      <c r="F20" s="84"/>
    </row>
    <row r="21" spans="1:6" x14ac:dyDescent="0.25">
      <c r="A21" s="88" t="s">
        <v>102</v>
      </c>
      <c r="B21" s="89" t="s">
        <v>57</v>
      </c>
      <c r="C21" s="87"/>
      <c r="D21" s="84"/>
      <c r="E21" s="84"/>
      <c r="F21" s="84"/>
    </row>
    <row r="22" spans="1:6" x14ac:dyDescent="0.25">
      <c r="A22" s="88" t="s">
        <v>103</v>
      </c>
      <c r="B22" s="89" t="s">
        <v>104</v>
      </c>
      <c r="C22" s="87"/>
      <c r="D22" s="84"/>
      <c r="E22" s="84"/>
      <c r="F22" s="84"/>
    </row>
    <row r="23" ht="24" customHeight="1" spans="1:6" x14ac:dyDescent="0.25">
      <c r="A23" s="82" t="s">
        <v>58</v>
      </c>
      <c r="B23" s="90" t="s">
        <v>105</v>
      </c>
      <c r="C23" s="87"/>
      <c r="D23" s="84" t="s">
        <v>106</v>
      </c>
      <c r="E23" s="84" t="s">
        <v>107</v>
      </c>
      <c r="F23" s="84" t="s">
        <v>108</v>
      </c>
    </row>
    <row r="24" ht="24" customHeight="1" spans="1:6" x14ac:dyDescent="0.25">
      <c r="A24" s="82" t="s">
        <v>64</v>
      </c>
      <c r="B24" s="90" t="s">
        <v>109</v>
      </c>
      <c r="C24" s="87"/>
      <c r="D24" s="84" t="s">
        <v>106</v>
      </c>
      <c r="E24" s="84" t="s">
        <v>107</v>
      </c>
      <c r="F24" s="84" t="s">
        <v>108</v>
      </c>
    </row>
    <row r="25" ht="24" customHeight="1" spans="1:6" x14ac:dyDescent="0.25">
      <c r="A25" s="82" t="s">
        <v>68</v>
      </c>
      <c r="B25" s="85" t="s">
        <v>110</v>
      </c>
      <c r="C25" s="84" t="s">
        <v>111</v>
      </c>
      <c r="D25" s="84" t="s">
        <v>112</v>
      </c>
      <c r="E25" s="84" t="s">
        <v>107</v>
      </c>
      <c r="F25" s="84"/>
    </row>
    <row r="26" ht="24" customHeight="1" spans="1:6" x14ac:dyDescent="0.25">
      <c r="A26" s="82" t="s">
        <v>74</v>
      </c>
      <c r="B26" s="85" t="s">
        <v>113</v>
      </c>
      <c r="C26" s="84" t="s">
        <v>111</v>
      </c>
      <c r="D26" s="84" t="s">
        <v>112</v>
      </c>
      <c r="E26" s="84" t="s">
        <v>107</v>
      </c>
      <c r="F26" s="84"/>
    </row>
    <row r="27" ht="36" customHeight="1" spans="1:6" x14ac:dyDescent="0.25">
      <c r="A27" s="82" t="s">
        <v>80</v>
      </c>
      <c r="B27" s="85" t="s">
        <v>114</v>
      </c>
      <c r="C27" s="84" t="s">
        <v>115</v>
      </c>
      <c r="D27" s="84" t="s">
        <v>112</v>
      </c>
      <c r="E27" s="84" t="s">
        <v>116</v>
      </c>
      <c r="F27" s="84" t="s">
        <v>117</v>
      </c>
    </row>
    <row r="28" ht="36" customHeight="1" spans="1:6" x14ac:dyDescent="0.25">
      <c r="A28" s="82" t="s">
        <v>82</v>
      </c>
      <c r="B28" s="85" t="s">
        <v>118</v>
      </c>
      <c r="C28" s="87"/>
      <c r="D28" s="84" t="s">
        <v>112</v>
      </c>
      <c r="E28" s="84" t="s">
        <v>119</v>
      </c>
      <c r="F28" s="84" t="s">
        <v>120</v>
      </c>
    </row>
    <row r="29" ht="24" customHeight="1" spans="1:6" x14ac:dyDescent="0.25">
      <c r="A29" s="82" t="s">
        <v>121</v>
      </c>
      <c r="B29" s="85" t="s">
        <v>122</v>
      </c>
      <c r="C29" s="87"/>
      <c r="D29" s="84" t="s">
        <v>112</v>
      </c>
      <c r="E29" s="84" t="s">
        <v>123</v>
      </c>
      <c r="F29" s="84" t="s">
        <v>124</v>
      </c>
    </row>
    <row r="30" spans="1:6" x14ac:dyDescent="0.25">
      <c r="A30" s="88" t="s">
        <v>125</v>
      </c>
      <c r="B30" s="91" t="s">
        <v>126</v>
      </c>
      <c r="C30" s="87"/>
      <c r="D30" s="84"/>
      <c r="E30" s="84"/>
      <c r="F30" s="84"/>
    </row>
    <row r="31" spans="1:6" x14ac:dyDescent="0.25">
      <c r="A31" s="92" t="s">
        <v>58</v>
      </c>
      <c r="B31" s="85" t="s">
        <v>127</v>
      </c>
      <c r="C31" s="87"/>
      <c r="D31" s="84"/>
      <c r="E31" s="84" t="s">
        <v>128</v>
      </c>
      <c r="F31" s="84" t="s">
        <v>129</v>
      </c>
    </row>
    <row r="32" spans="1:6" x14ac:dyDescent="0.25">
      <c r="A32" s="82" t="s">
        <v>64</v>
      </c>
      <c r="B32" s="85" t="s">
        <v>130</v>
      </c>
      <c r="C32" s="87"/>
      <c r="D32" s="84"/>
      <c r="E32" s="84" t="s">
        <v>131</v>
      </c>
      <c r="F32" s="84"/>
    </row>
    <row r="33" ht="24" customHeight="1" spans="1:6" x14ac:dyDescent="0.25">
      <c r="A33" s="82" t="s">
        <v>68</v>
      </c>
      <c r="B33" s="85" t="s">
        <v>132</v>
      </c>
      <c r="C33" s="87"/>
      <c r="D33" s="84"/>
      <c r="E33" s="84" t="s">
        <v>128</v>
      </c>
      <c r="F33" s="84" t="s">
        <v>129</v>
      </c>
    </row>
    <row r="34" ht="24" customHeight="1" spans="1:6" x14ac:dyDescent="0.25">
      <c r="A34" s="82" t="s">
        <v>74</v>
      </c>
      <c r="B34" s="85" t="s">
        <v>133</v>
      </c>
      <c r="C34" s="87"/>
      <c r="D34" s="84" t="s">
        <v>112</v>
      </c>
      <c r="E34" s="84" t="s">
        <v>134</v>
      </c>
      <c r="F34" s="84" t="s">
        <v>135</v>
      </c>
    </row>
    <row r="35" ht="36" customHeight="1" spans="1:6" x14ac:dyDescent="0.25">
      <c r="A35" s="82" t="s">
        <v>80</v>
      </c>
      <c r="B35" s="85" t="s">
        <v>136</v>
      </c>
      <c r="C35" s="87"/>
      <c r="D35" s="84" t="s">
        <v>112</v>
      </c>
      <c r="E35" s="84" t="s">
        <v>137</v>
      </c>
      <c r="F35" s="84" t="s">
        <v>138</v>
      </c>
    </row>
    <row r="36" ht="24" customHeight="1" spans="1:6" x14ac:dyDescent="0.25">
      <c r="A36" s="82" t="s">
        <v>82</v>
      </c>
      <c r="B36" s="85" t="s">
        <v>139</v>
      </c>
      <c r="C36" s="84"/>
      <c r="D36" s="84" t="s">
        <v>112</v>
      </c>
      <c r="E36" s="84" t="s">
        <v>140</v>
      </c>
      <c r="F36" s="84" t="s">
        <v>141</v>
      </c>
    </row>
    <row r="37" ht="25.5" customHeight="1" spans="1:6" x14ac:dyDescent="0.25">
      <c r="A37" s="82" t="s">
        <v>121</v>
      </c>
      <c r="B37" s="85" t="s">
        <v>142</v>
      </c>
      <c r="C37" s="84"/>
      <c r="D37" s="84" t="s">
        <v>112</v>
      </c>
      <c r="E37" s="84" t="s">
        <v>140</v>
      </c>
      <c r="F37" s="84" t="s">
        <v>143</v>
      </c>
    </row>
    <row r="38" ht="24" customHeight="1" spans="1:6" x14ac:dyDescent="0.25">
      <c r="A38" s="93" t="s">
        <v>144</v>
      </c>
      <c r="B38" s="94" t="s">
        <v>145</v>
      </c>
      <c r="C38" s="84"/>
      <c r="D38" s="84" t="s">
        <v>112</v>
      </c>
      <c r="E38" s="84" t="s">
        <v>140</v>
      </c>
      <c r="F38" s="84" t="s">
        <v>141</v>
      </c>
    </row>
    <row r="39" ht="24" customHeight="1" spans="1:6" x14ac:dyDescent="0.25">
      <c r="A39" s="93" t="s">
        <v>146</v>
      </c>
      <c r="B39" s="94" t="s">
        <v>147</v>
      </c>
      <c r="C39" s="84"/>
      <c r="D39" s="84" t="s">
        <v>112</v>
      </c>
      <c r="E39" s="84" t="s">
        <v>140</v>
      </c>
      <c r="F39" s="84" t="s">
        <v>143</v>
      </c>
    </row>
    <row r="40" ht="24" customHeight="1" spans="1:6" x14ac:dyDescent="0.25">
      <c r="A40" s="93" t="s">
        <v>148</v>
      </c>
      <c r="B40" s="94" t="s">
        <v>149</v>
      </c>
      <c r="C40" s="84"/>
      <c r="D40" s="84" t="s">
        <v>112</v>
      </c>
      <c r="E40" s="84" t="s">
        <v>140</v>
      </c>
      <c r="F40" s="84" t="s">
        <v>141</v>
      </c>
    </row>
    <row r="41" ht="24" customHeight="1" spans="1:6" x14ac:dyDescent="0.25">
      <c r="A41" s="93" t="s">
        <v>150</v>
      </c>
      <c r="B41" s="94" t="s">
        <v>151</v>
      </c>
      <c r="C41" s="84"/>
      <c r="D41" s="84" t="s">
        <v>112</v>
      </c>
      <c r="E41" s="84" t="s">
        <v>140</v>
      </c>
      <c r="F41" s="84" t="s">
        <v>143</v>
      </c>
    </row>
    <row r="42" spans="1:6" x14ac:dyDescent="0.25">
      <c r="A42" s="93" t="s">
        <v>152</v>
      </c>
      <c r="B42" s="94" t="s">
        <v>153</v>
      </c>
      <c r="C42" s="84"/>
      <c r="D42" s="84" t="s">
        <v>112</v>
      </c>
      <c r="E42" s="84" t="s">
        <v>154</v>
      </c>
      <c r="F42" s="84"/>
    </row>
    <row r="43" ht="24" customHeight="1" spans="1:6" x14ac:dyDescent="0.25">
      <c r="A43" s="93" t="s">
        <v>155</v>
      </c>
      <c r="B43" s="94" t="s">
        <v>156</v>
      </c>
      <c r="C43" s="84"/>
      <c r="D43" s="84" t="s">
        <v>112</v>
      </c>
      <c r="E43" s="84" t="s">
        <v>157</v>
      </c>
      <c r="F43" s="84" t="s">
        <v>135</v>
      </c>
    </row>
    <row r="44" ht="24" customHeight="1" spans="1:6" x14ac:dyDescent="0.25">
      <c r="A44" s="93" t="s">
        <v>158</v>
      </c>
      <c r="B44" s="94" t="s">
        <v>159</v>
      </c>
      <c r="C44" s="84"/>
      <c r="D44" s="84" t="s">
        <v>112</v>
      </c>
      <c r="E44" s="84" t="s">
        <v>140</v>
      </c>
      <c r="F44" s="84" t="s">
        <v>141</v>
      </c>
    </row>
    <row r="45" ht="24" customHeight="1" spans="1:6" x14ac:dyDescent="0.25">
      <c r="A45" s="93" t="s">
        <v>160</v>
      </c>
      <c r="B45" s="94" t="s">
        <v>161</v>
      </c>
      <c r="C45" s="84"/>
      <c r="D45" s="84" t="s">
        <v>112</v>
      </c>
      <c r="E45" s="84" t="s">
        <v>140</v>
      </c>
      <c r="F45" s="84" t="s">
        <v>143</v>
      </c>
    </row>
    <row r="46" spans="1:6" x14ac:dyDescent="0.25">
      <c r="A46" s="93" t="s">
        <v>162</v>
      </c>
      <c r="B46" s="94" t="s">
        <v>163</v>
      </c>
      <c r="C46" s="84"/>
      <c r="D46" s="84" t="s">
        <v>112</v>
      </c>
      <c r="E46" s="84" t="s">
        <v>154</v>
      </c>
      <c r="F46" s="84"/>
    </row>
    <row r="47" ht="24" customHeight="1" spans="1:6" x14ac:dyDescent="0.25">
      <c r="A47" s="93" t="s">
        <v>164</v>
      </c>
      <c r="B47" s="94" t="s">
        <v>165</v>
      </c>
      <c r="C47" s="84"/>
      <c r="D47" s="84" t="s">
        <v>112</v>
      </c>
      <c r="E47" s="84" t="s">
        <v>157</v>
      </c>
      <c r="F47" s="84" t="s">
        <v>135</v>
      </c>
    </row>
    <row r="48" ht="24" customHeight="1" spans="1:6" x14ac:dyDescent="0.25">
      <c r="A48" s="93" t="s">
        <v>166</v>
      </c>
      <c r="B48" s="94" t="s">
        <v>167</v>
      </c>
      <c r="C48" s="84"/>
      <c r="D48" s="84" t="s">
        <v>112</v>
      </c>
      <c r="E48" s="84" t="s">
        <v>140</v>
      </c>
      <c r="F48" s="84" t="s">
        <v>141</v>
      </c>
    </row>
    <row r="49" ht="24" customHeight="1" spans="1:6" x14ac:dyDescent="0.25">
      <c r="A49" s="93" t="s">
        <v>168</v>
      </c>
      <c r="B49" s="94" t="s">
        <v>169</v>
      </c>
      <c r="C49" s="84"/>
      <c r="D49" s="84" t="s">
        <v>112</v>
      </c>
      <c r="E49" s="84" t="s">
        <v>140</v>
      </c>
      <c r="F49" s="84" t="s">
        <v>143</v>
      </c>
    </row>
    <row r="50" spans="1:6" x14ac:dyDescent="0.25">
      <c r="A50" s="93" t="s">
        <v>170</v>
      </c>
      <c r="B50" s="94" t="s">
        <v>171</v>
      </c>
      <c r="C50" s="84"/>
      <c r="D50" s="84" t="s">
        <v>112</v>
      </c>
      <c r="E50" s="84" t="s">
        <v>154</v>
      </c>
      <c r="F50" s="84"/>
    </row>
    <row r="51" ht="24" customHeight="1" spans="1:6" x14ac:dyDescent="0.25">
      <c r="A51" s="93" t="s">
        <v>172</v>
      </c>
      <c r="B51" s="94" t="s">
        <v>173</v>
      </c>
      <c r="C51" s="84"/>
      <c r="D51" s="84" t="s">
        <v>112</v>
      </c>
      <c r="E51" s="84" t="s">
        <v>157</v>
      </c>
      <c r="F51" s="84" t="s">
        <v>135</v>
      </c>
    </row>
    <row r="52" ht="24" customHeight="1" spans="1:6" x14ac:dyDescent="0.25">
      <c r="A52" s="93" t="s">
        <v>174</v>
      </c>
      <c r="B52" s="85" t="s">
        <v>175</v>
      </c>
      <c r="C52" s="84"/>
      <c r="D52" s="84" t="s">
        <v>112</v>
      </c>
      <c r="E52" s="84" t="s">
        <v>157</v>
      </c>
      <c r="F52" s="84" t="s">
        <v>135</v>
      </c>
    </row>
    <row r="53" ht="24" customHeight="1" spans="1:6" x14ac:dyDescent="0.25">
      <c r="A53" s="93" t="s">
        <v>176</v>
      </c>
      <c r="B53" s="85" t="s">
        <v>177</v>
      </c>
      <c r="C53" s="84"/>
      <c r="D53" s="84" t="s">
        <v>112</v>
      </c>
      <c r="E53" s="84" t="s">
        <v>178</v>
      </c>
      <c r="F53" s="84" t="s">
        <v>179</v>
      </c>
    </row>
    <row r="54" spans="1:6" x14ac:dyDescent="0.25">
      <c r="A54" s="93" t="s">
        <v>180</v>
      </c>
      <c r="B54" s="95" t="s">
        <v>181</v>
      </c>
      <c r="C54" s="84"/>
      <c r="D54" s="84"/>
      <c r="E54" s="84"/>
      <c r="F54" s="84"/>
    </row>
    <row r="55" spans="1:6" x14ac:dyDescent="0.25">
      <c r="A55" s="88" t="s">
        <v>182</v>
      </c>
      <c r="B55" s="91" t="s">
        <v>183</v>
      </c>
      <c r="C55" s="87"/>
      <c r="D55" s="84"/>
      <c r="E55" s="84"/>
      <c r="F55" s="84"/>
    </row>
    <row r="56" ht="24" customHeight="1" spans="1:6" x14ac:dyDescent="0.25">
      <c r="A56" s="92" t="s">
        <v>58</v>
      </c>
      <c r="B56" s="85" t="s">
        <v>184</v>
      </c>
      <c r="C56" s="84" t="s">
        <v>111</v>
      </c>
      <c r="D56" s="84" t="s">
        <v>185</v>
      </c>
      <c r="E56" s="84" t="s">
        <v>107</v>
      </c>
      <c r="F56" s="84" t="s">
        <v>186</v>
      </c>
    </row>
    <row r="57" ht="24" customHeight="1" spans="1:6" x14ac:dyDescent="0.25">
      <c r="A57" s="82" t="s">
        <v>64</v>
      </c>
      <c r="B57" s="85" t="s">
        <v>187</v>
      </c>
      <c r="C57" s="84" t="s">
        <v>111</v>
      </c>
      <c r="D57" s="84" t="s">
        <v>185</v>
      </c>
      <c r="E57" s="84" t="s">
        <v>107</v>
      </c>
      <c r="F57" s="84" t="s">
        <v>186</v>
      </c>
    </row>
    <row r="58" spans="1:6" x14ac:dyDescent="0.25">
      <c r="A58" s="82" t="s">
        <v>68</v>
      </c>
      <c r="B58" s="85" t="s">
        <v>188</v>
      </c>
      <c r="C58" s="87"/>
      <c r="D58" s="84"/>
      <c r="E58" s="84" t="s">
        <v>128</v>
      </c>
      <c r="F58" s="84" t="s">
        <v>129</v>
      </c>
    </row>
    <row r="59" ht="24" customHeight="1" spans="1:6" x14ac:dyDescent="0.25">
      <c r="A59" s="82" t="s">
        <v>74</v>
      </c>
      <c r="B59" s="85" t="s">
        <v>189</v>
      </c>
      <c r="C59" s="87"/>
      <c r="D59" s="84"/>
      <c r="E59" s="84" t="s">
        <v>140</v>
      </c>
      <c r="F59" s="84" t="s">
        <v>141</v>
      </c>
    </row>
    <row r="60" ht="24" customHeight="1" spans="1:6" x14ac:dyDescent="0.25">
      <c r="A60" s="82" t="s">
        <v>80</v>
      </c>
      <c r="B60" s="85" t="s">
        <v>190</v>
      </c>
      <c r="C60" s="84" t="s">
        <v>191</v>
      </c>
      <c r="D60" s="84" t="s">
        <v>192</v>
      </c>
      <c r="E60" s="84" t="s">
        <v>178</v>
      </c>
      <c r="F60" s="84" t="s">
        <v>179</v>
      </c>
    </row>
    <row r="61" ht="24" customHeight="1" spans="1:6" x14ac:dyDescent="0.25">
      <c r="A61" s="82" t="s">
        <v>82</v>
      </c>
      <c r="B61" s="85" t="s">
        <v>193</v>
      </c>
      <c r="C61" s="84" t="s">
        <v>191</v>
      </c>
      <c r="D61" s="84" t="s">
        <v>192</v>
      </c>
      <c r="E61" s="84" t="s">
        <v>157</v>
      </c>
      <c r="F61" s="84" t="s">
        <v>194</v>
      </c>
    </row>
    <row r="62" ht="24" customHeight="1" spans="1:6" x14ac:dyDescent="0.25">
      <c r="A62" s="82" t="s">
        <v>121</v>
      </c>
      <c r="B62" s="85" t="s">
        <v>195</v>
      </c>
      <c r="C62" s="87"/>
      <c r="D62" s="84" t="s">
        <v>192</v>
      </c>
      <c r="E62" s="84" t="s">
        <v>123</v>
      </c>
      <c r="F62" s="84" t="s">
        <v>124</v>
      </c>
    </row>
    <row r="63" ht="24" customHeight="1" spans="1:6" x14ac:dyDescent="0.25">
      <c r="A63" s="82" t="s">
        <v>144</v>
      </c>
      <c r="B63" s="85" t="s">
        <v>196</v>
      </c>
      <c r="C63" s="87"/>
      <c r="D63" s="84" t="s">
        <v>192</v>
      </c>
      <c r="E63" s="84" t="s">
        <v>107</v>
      </c>
      <c r="F63" s="84" t="s">
        <v>108</v>
      </c>
    </row>
    <row r="64" ht="24" customHeight="1" spans="1:6" x14ac:dyDescent="0.25">
      <c r="A64" s="82" t="s">
        <v>146</v>
      </c>
      <c r="B64" s="85" t="s">
        <v>197</v>
      </c>
      <c r="C64" s="84"/>
      <c r="D64" s="84" t="s">
        <v>192</v>
      </c>
      <c r="E64" s="84" t="s">
        <v>107</v>
      </c>
      <c r="F64" s="84" t="s">
        <v>108</v>
      </c>
    </row>
    <row r="65" ht="36" customHeight="1" spans="1:6" x14ac:dyDescent="0.25">
      <c r="A65" s="82" t="s">
        <v>148</v>
      </c>
      <c r="B65" s="85" t="s">
        <v>198</v>
      </c>
      <c r="C65" s="84" t="s">
        <v>199</v>
      </c>
      <c r="D65" s="84" t="s">
        <v>192</v>
      </c>
      <c r="E65" s="84" t="s">
        <v>157</v>
      </c>
      <c r="F65" s="84" t="s">
        <v>200</v>
      </c>
    </row>
    <row r="66" ht="36" customHeight="1" spans="1:6" x14ac:dyDescent="0.25">
      <c r="A66" s="82" t="s">
        <v>150</v>
      </c>
      <c r="B66" s="85" t="s">
        <v>201</v>
      </c>
      <c r="C66" s="84" t="s">
        <v>199</v>
      </c>
      <c r="D66" s="84" t="s">
        <v>192</v>
      </c>
      <c r="E66" s="84" t="s">
        <v>178</v>
      </c>
      <c r="F66" s="84" t="s">
        <v>202</v>
      </c>
    </row>
    <row r="67" spans="1:6" x14ac:dyDescent="0.25">
      <c r="A67" s="88" t="s">
        <v>203</v>
      </c>
      <c r="B67" s="91" t="s">
        <v>204</v>
      </c>
      <c r="C67" s="87"/>
      <c r="D67" s="84"/>
      <c r="E67" s="84"/>
      <c r="F67" s="84"/>
    </row>
    <row r="68" ht="36" customHeight="1" spans="1:6" x14ac:dyDescent="0.25">
      <c r="A68" s="82" t="s">
        <v>58</v>
      </c>
      <c r="B68" s="85" t="s">
        <v>205</v>
      </c>
      <c r="C68" s="87"/>
      <c r="D68" s="84" t="s">
        <v>192</v>
      </c>
      <c r="E68" s="84" t="s">
        <v>67</v>
      </c>
      <c r="F68" s="84" t="s">
        <v>63</v>
      </c>
    </row>
    <row r="69" ht="36" customHeight="1" spans="1:6" x14ac:dyDescent="0.25">
      <c r="A69" s="82" t="s">
        <v>64</v>
      </c>
      <c r="B69" s="85" t="s">
        <v>206</v>
      </c>
      <c r="C69" s="87"/>
      <c r="D69" s="84" t="s">
        <v>192</v>
      </c>
      <c r="E69" s="84" t="s">
        <v>72</v>
      </c>
      <c r="F69" s="84" t="s">
        <v>73</v>
      </c>
    </row>
    <row r="70" ht="48" customHeight="1" spans="1:6" x14ac:dyDescent="0.25">
      <c r="A70" s="82" t="s">
        <v>68</v>
      </c>
      <c r="B70" s="85" t="s">
        <v>207</v>
      </c>
      <c r="C70" s="87"/>
      <c r="D70" s="84" t="s">
        <v>192</v>
      </c>
      <c r="E70" s="84" t="s">
        <v>208</v>
      </c>
      <c r="F70" s="84" t="s">
        <v>209</v>
      </c>
    </row>
    <row r="71" ht="48" customHeight="1" spans="1:6" x14ac:dyDescent="0.25">
      <c r="A71" s="82" t="s">
        <v>74</v>
      </c>
      <c r="B71" s="85" t="s">
        <v>210</v>
      </c>
      <c r="C71" s="87"/>
      <c r="D71" s="84" t="s">
        <v>192</v>
      </c>
      <c r="E71" s="84" t="s">
        <v>211</v>
      </c>
      <c r="F71" s="84" t="s">
        <v>202</v>
      </c>
    </row>
    <row r="72" spans="1:6" x14ac:dyDescent="0.25">
      <c r="A72" s="88" t="s">
        <v>212</v>
      </c>
      <c r="B72" s="91" t="s">
        <v>213</v>
      </c>
      <c r="C72" s="87"/>
      <c r="D72" s="84"/>
      <c r="E72" s="84"/>
      <c r="F72" s="84"/>
    </row>
    <row r="73" ht="36" customHeight="1" spans="1:6" x14ac:dyDescent="0.25">
      <c r="A73" s="82" t="s">
        <v>58</v>
      </c>
      <c r="B73" s="85" t="s">
        <v>214</v>
      </c>
      <c r="C73" s="87"/>
      <c r="D73" s="84" t="s">
        <v>192</v>
      </c>
      <c r="E73" s="84" t="s">
        <v>67</v>
      </c>
      <c r="F73" s="84" t="s">
        <v>63</v>
      </c>
    </row>
    <row r="74" ht="36" customHeight="1" spans="1:6" x14ac:dyDescent="0.25">
      <c r="A74" s="82" t="s">
        <v>64</v>
      </c>
      <c r="B74" s="85" t="s">
        <v>215</v>
      </c>
      <c r="C74" s="87"/>
      <c r="D74" s="84" t="s">
        <v>192</v>
      </c>
      <c r="E74" s="84" t="s">
        <v>72</v>
      </c>
      <c r="F74" s="84" t="s">
        <v>216</v>
      </c>
    </row>
    <row r="75" ht="48" customHeight="1" spans="1:6" x14ac:dyDescent="0.25">
      <c r="A75" s="82" t="s">
        <v>68</v>
      </c>
      <c r="B75" s="85" t="s">
        <v>217</v>
      </c>
      <c r="C75" s="87"/>
      <c r="D75" s="84" t="s">
        <v>192</v>
      </c>
      <c r="E75" s="84" t="s">
        <v>208</v>
      </c>
      <c r="F75" s="84" t="s">
        <v>209</v>
      </c>
    </row>
    <row r="76" ht="48" customHeight="1" spans="1:6" x14ac:dyDescent="0.25">
      <c r="A76" s="82" t="s">
        <v>74</v>
      </c>
      <c r="B76" s="85" t="s">
        <v>218</v>
      </c>
      <c r="C76" s="87"/>
      <c r="D76" s="84" t="s">
        <v>192</v>
      </c>
      <c r="E76" s="84" t="s">
        <v>211</v>
      </c>
      <c r="F76" s="84" t="s">
        <v>202</v>
      </c>
    </row>
    <row r="77" spans="1:6" x14ac:dyDescent="0.25">
      <c r="A77" s="88" t="s">
        <v>219</v>
      </c>
      <c r="B77" s="91" t="s">
        <v>220</v>
      </c>
      <c r="C77" s="87"/>
      <c r="D77" s="84"/>
      <c r="E77" s="84"/>
      <c r="F77" s="84"/>
    </row>
    <row r="78" ht="36" customHeight="1" spans="1:6" x14ac:dyDescent="0.25">
      <c r="A78" s="82" t="s">
        <v>58</v>
      </c>
      <c r="B78" s="85" t="s">
        <v>221</v>
      </c>
      <c r="C78" s="87"/>
      <c r="D78" s="84" t="s">
        <v>192</v>
      </c>
      <c r="E78" s="84" t="s">
        <v>67</v>
      </c>
      <c r="F78" s="84" t="s">
        <v>63</v>
      </c>
    </row>
    <row r="79" ht="36" customHeight="1" spans="1:6" x14ac:dyDescent="0.25">
      <c r="A79" s="82" t="s">
        <v>64</v>
      </c>
      <c r="B79" s="85" t="s">
        <v>222</v>
      </c>
      <c r="C79" s="87"/>
      <c r="D79" s="84" t="s">
        <v>192</v>
      </c>
      <c r="E79" s="84" t="s">
        <v>72</v>
      </c>
      <c r="F79" s="84" t="s">
        <v>216</v>
      </c>
    </row>
    <row r="80" ht="48" customHeight="1" spans="1:6" x14ac:dyDescent="0.25">
      <c r="A80" s="82" t="s">
        <v>68</v>
      </c>
      <c r="B80" s="85" t="s">
        <v>223</v>
      </c>
      <c r="C80" s="87"/>
      <c r="D80" s="84" t="s">
        <v>192</v>
      </c>
      <c r="E80" s="84" t="s">
        <v>208</v>
      </c>
      <c r="F80" s="84" t="s">
        <v>209</v>
      </c>
    </row>
    <row r="81" ht="48" customHeight="1" spans="1:6" x14ac:dyDescent="0.25">
      <c r="A81" s="82" t="s">
        <v>74</v>
      </c>
      <c r="B81" s="85" t="s">
        <v>224</v>
      </c>
      <c r="C81" s="87"/>
      <c r="D81" s="84" t="s">
        <v>192</v>
      </c>
      <c r="E81" s="84" t="s">
        <v>211</v>
      </c>
      <c r="F81" s="84" t="s">
        <v>202</v>
      </c>
    </row>
    <row r="82" spans="1:6" x14ac:dyDescent="0.25">
      <c r="A82" s="88" t="s">
        <v>225</v>
      </c>
      <c r="B82" s="91" t="s">
        <v>226</v>
      </c>
      <c r="C82" s="87"/>
      <c r="D82" s="84"/>
      <c r="E82" s="84"/>
      <c r="F82" s="84"/>
    </row>
    <row r="83" ht="36" customHeight="1" spans="1:6" x14ac:dyDescent="0.25">
      <c r="A83" s="82" t="s">
        <v>58</v>
      </c>
      <c r="B83" s="85" t="s">
        <v>227</v>
      </c>
      <c r="C83" s="87"/>
      <c r="D83" s="84" t="s">
        <v>192</v>
      </c>
      <c r="E83" s="84" t="s">
        <v>67</v>
      </c>
      <c r="F83" s="84" t="s">
        <v>63</v>
      </c>
    </row>
    <row r="84" ht="36" customHeight="1" spans="1:6" x14ac:dyDescent="0.25">
      <c r="A84" s="82" t="s">
        <v>64</v>
      </c>
      <c r="B84" s="85" t="s">
        <v>228</v>
      </c>
      <c r="C84" s="87"/>
      <c r="D84" s="84" t="s">
        <v>192</v>
      </c>
      <c r="E84" s="84" t="s">
        <v>72</v>
      </c>
      <c r="F84" s="84" t="s">
        <v>216</v>
      </c>
    </row>
    <row r="85" ht="48" customHeight="1" spans="1:6" x14ac:dyDescent="0.25">
      <c r="A85" s="82" t="s">
        <v>68</v>
      </c>
      <c r="B85" s="85" t="s">
        <v>229</v>
      </c>
      <c r="C85" s="87"/>
      <c r="D85" s="84" t="s">
        <v>192</v>
      </c>
      <c r="E85" s="84" t="s">
        <v>208</v>
      </c>
      <c r="F85" s="84" t="s">
        <v>209</v>
      </c>
    </row>
    <row r="86" ht="48" customHeight="1" spans="1:6" x14ac:dyDescent="0.25">
      <c r="A86" s="82" t="s">
        <v>74</v>
      </c>
      <c r="B86" s="85" t="s">
        <v>230</v>
      </c>
      <c r="C86" s="87"/>
      <c r="D86" s="84" t="s">
        <v>192</v>
      </c>
      <c r="E86" s="84" t="s">
        <v>211</v>
      </c>
      <c r="F86" s="84" t="s">
        <v>202</v>
      </c>
    </row>
    <row r="87" spans="1:6" x14ac:dyDescent="0.25">
      <c r="A87" s="88" t="s">
        <v>231</v>
      </c>
      <c r="B87" s="91" t="s">
        <v>232</v>
      </c>
      <c r="C87" s="87"/>
      <c r="D87" s="84"/>
      <c r="E87" s="84"/>
      <c r="F87" s="84"/>
    </row>
    <row r="88" ht="36" customHeight="1" spans="1:6" x14ac:dyDescent="0.25">
      <c r="A88" s="82" t="s">
        <v>58</v>
      </c>
      <c r="B88" s="85" t="s">
        <v>233</v>
      </c>
      <c r="C88" s="87"/>
      <c r="D88" s="84" t="s">
        <v>192</v>
      </c>
      <c r="E88" s="84" t="s">
        <v>67</v>
      </c>
      <c r="F88" s="84" t="s">
        <v>63</v>
      </c>
    </row>
    <row r="89" ht="36" customHeight="1" spans="1:6" x14ac:dyDescent="0.25">
      <c r="A89" s="82" t="s">
        <v>64</v>
      </c>
      <c r="B89" s="85" t="s">
        <v>234</v>
      </c>
      <c r="C89" s="96"/>
      <c r="D89" s="84" t="s">
        <v>192</v>
      </c>
      <c r="E89" s="84" t="s">
        <v>72</v>
      </c>
      <c r="F89" s="84" t="s">
        <v>216</v>
      </c>
    </row>
    <row r="90" ht="48" customHeight="1" spans="1:6" x14ac:dyDescent="0.25">
      <c r="A90" s="82" t="s">
        <v>68</v>
      </c>
      <c r="B90" s="85" t="s">
        <v>235</v>
      </c>
      <c r="C90" s="96"/>
      <c r="D90" s="84" t="s">
        <v>192</v>
      </c>
      <c r="E90" s="84" t="s">
        <v>208</v>
      </c>
      <c r="F90" s="84" t="s">
        <v>209</v>
      </c>
    </row>
    <row r="91" ht="48" customHeight="1" spans="1:6" x14ac:dyDescent="0.25">
      <c r="A91" s="82" t="s">
        <v>74</v>
      </c>
      <c r="B91" s="85" t="s">
        <v>236</v>
      </c>
      <c r="C91" s="96"/>
      <c r="D91" s="84" t="s">
        <v>192</v>
      </c>
      <c r="E91" s="84" t="s">
        <v>211</v>
      </c>
      <c r="F91" s="84" t="s">
        <v>202</v>
      </c>
    </row>
    <row r="92" spans="1:6" x14ac:dyDescent="0.25">
      <c r="A92" s="88" t="s">
        <v>237</v>
      </c>
      <c r="B92" s="91" t="s">
        <v>238</v>
      </c>
      <c r="C92" s="87"/>
      <c r="D92" s="84"/>
      <c r="E92" s="84"/>
      <c r="F92" s="84"/>
    </row>
    <row r="93" spans="1:6" x14ac:dyDescent="0.25">
      <c r="A93" s="82" t="s">
        <v>58</v>
      </c>
      <c r="B93" s="85" t="s">
        <v>239</v>
      </c>
      <c r="C93" s="87"/>
      <c r="D93" s="84"/>
      <c r="E93" s="84"/>
      <c r="F93" s="84"/>
    </row>
    <row r="94" ht="36" customHeight="1" spans="1:6" x14ac:dyDescent="0.25">
      <c r="A94" s="82" t="s">
        <v>64</v>
      </c>
      <c r="B94" s="85" t="s">
        <v>240</v>
      </c>
      <c r="C94" s="87"/>
      <c r="D94" s="84" t="s">
        <v>192</v>
      </c>
      <c r="E94" s="84" t="s">
        <v>67</v>
      </c>
      <c r="F94" s="84" t="s">
        <v>63</v>
      </c>
    </row>
    <row r="95" ht="36" customHeight="1" spans="1:6" x14ac:dyDescent="0.25">
      <c r="A95" s="82" t="s">
        <v>68</v>
      </c>
      <c r="B95" s="85" t="s">
        <v>241</v>
      </c>
      <c r="C95" s="87"/>
      <c r="D95" s="84" t="s">
        <v>192</v>
      </c>
      <c r="E95" s="84" t="s">
        <v>72</v>
      </c>
      <c r="F95" s="84" t="s">
        <v>216</v>
      </c>
    </row>
    <row r="96" ht="48" customHeight="1" spans="1:6" x14ac:dyDescent="0.25">
      <c r="A96" s="82" t="s">
        <v>74</v>
      </c>
      <c r="B96" s="85" t="s">
        <v>242</v>
      </c>
      <c r="C96" s="87"/>
      <c r="D96" s="84" t="s">
        <v>192</v>
      </c>
      <c r="E96" s="84" t="s">
        <v>208</v>
      </c>
      <c r="F96" s="84" t="s">
        <v>209</v>
      </c>
    </row>
    <row r="97" ht="65.5" customHeight="1" spans="1:6" x14ac:dyDescent="0.25">
      <c r="A97" s="82" t="s">
        <v>80</v>
      </c>
      <c r="B97" s="85" t="s">
        <v>243</v>
      </c>
      <c r="C97" s="87"/>
      <c r="D97" s="84" t="s">
        <v>192</v>
      </c>
      <c r="E97" s="84" t="s">
        <v>211</v>
      </c>
      <c r="F97" s="84" t="s">
        <v>202</v>
      </c>
    </row>
    <row r="98" spans="1:6" x14ac:dyDescent="0.25">
      <c r="A98" s="88" t="s">
        <v>244</v>
      </c>
      <c r="B98" s="83" t="s">
        <v>245</v>
      </c>
      <c r="C98" s="87"/>
      <c r="D98" s="84"/>
      <c r="E98" s="84"/>
      <c r="F98" s="84"/>
    </row>
    <row r="99" ht="36" customHeight="1" spans="1:6" x14ac:dyDescent="0.25">
      <c r="A99" s="97" t="s">
        <v>58</v>
      </c>
      <c r="B99" s="90" t="s">
        <v>246</v>
      </c>
      <c r="C99" s="87"/>
      <c r="D99" s="84" t="s">
        <v>71</v>
      </c>
      <c r="E99" s="84" t="s">
        <v>72</v>
      </c>
      <c r="F99" s="84" t="s">
        <v>247</v>
      </c>
    </row>
    <row r="100" ht="48" customHeight="1" spans="1:6" x14ac:dyDescent="0.25">
      <c r="A100" s="97" t="s">
        <v>64</v>
      </c>
      <c r="B100" s="90" t="s">
        <v>248</v>
      </c>
      <c r="C100" s="84" t="s">
        <v>249</v>
      </c>
      <c r="D100" s="84" t="s">
        <v>71</v>
      </c>
      <c r="E100" s="84" t="s">
        <v>208</v>
      </c>
      <c r="F100" s="84" t="s">
        <v>209</v>
      </c>
    </row>
    <row r="101" ht="48" customHeight="1" spans="1:6" x14ac:dyDescent="0.25">
      <c r="A101" s="97" t="s">
        <v>68</v>
      </c>
      <c r="B101" s="90" t="s">
        <v>250</v>
      </c>
      <c r="C101" s="87"/>
      <c r="D101" s="84" t="s">
        <v>71</v>
      </c>
      <c r="E101" s="84" t="s">
        <v>211</v>
      </c>
      <c r="F101" s="84" t="s">
        <v>202</v>
      </c>
    </row>
    <row r="102" ht="24" customHeight="1" spans="1:6" x14ac:dyDescent="0.25">
      <c r="A102" s="97" t="s">
        <v>74</v>
      </c>
      <c r="B102" s="90" t="s">
        <v>251</v>
      </c>
      <c r="C102" s="86" t="s">
        <v>252</v>
      </c>
      <c r="D102" s="84" t="s">
        <v>71</v>
      </c>
      <c r="E102" s="84" t="s">
        <v>253</v>
      </c>
      <c r="F102" s="84" t="s">
        <v>254</v>
      </c>
    </row>
    <row r="103" ht="24" customHeight="1" spans="1:6" x14ac:dyDescent="0.25">
      <c r="A103" s="98" t="s">
        <v>80</v>
      </c>
      <c r="B103" s="99" t="s">
        <v>255</v>
      </c>
      <c r="C103" s="86"/>
      <c r="D103" s="84" t="s">
        <v>71</v>
      </c>
      <c r="E103" s="84" t="s">
        <v>256</v>
      </c>
      <c r="F103" s="84" t="s">
        <v>257</v>
      </c>
    </row>
    <row r="104" ht="24" customHeight="1" spans="1:6" x14ac:dyDescent="0.25">
      <c r="A104" s="98" t="s">
        <v>82</v>
      </c>
      <c r="B104" s="99" t="s">
        <v>258</v>
      </c>
      <c r="C104" s="86"/>
      <c r="D104" s="84" t="s">
        <v>71</v>
      </c>
      <c r="E104" s="84" t="s">
        <v>256</v>
      </c>
      <c r="F104" s="84" t="s">
        <v>257</v>
      </c>
    </row>
    <row r="105" ht="24" customHeight="1" spans="1:6" x14ac:dyDescent="0.25">
      <c r="A105" s="100" t="s">
        <v>121</v>
      </c>
      <c r="B105" s="90" t="s">
        <v>259</v>
      </c>
      <c r="C105" s="86"/>
      <c r="D105" s="84" t="s">
        <v>71</v>
      </c>
      <c r="E105" s="84" t="s">
        <v>260</v>
      </c>
      <c r="F105" s="84" t="s">
        <v>261</v>
      </c>
    </row>
    <row r="106" ht="24" customHeight="1" spans="1:6" x14ac:dyDescent="0.25">
      <c r="A106" s="100" t="s">
        <v>144</v>
      </c>
      <c r="B106" s="90" t="s">
        <v>262</v>
      </c>
      <c r="C106" s="86"/>
      <c r="D106" s="84" t="s">
        <v>71</v>
      </c>
      <c r="E106" s="84" t="s">
        <v>256</v>
      </c>
      <c r="F106" s="84" t="s">
        <v>257</v>
      </c>
    </row>
    <row r="107" ht="24" customHeight="1" spans="1:6" x14ac:dyDescent="0.25">
      <c r="A107" s="100" t="s">
        <v>146</v>
      </c>
      <c r="B107" s="90" t="s">
        <v>263</v>
      </c>
      <c r="C107" s="86"/>
      <c r="D107" s="84" t="s">
        <v>71</v>
      </c>
      <c r="E107" s="84" t="s">
        <v>256</v>
      </c>
      <c r="F107" s="84" t="s">
        <v>257</v>
      </c>
    </row>
    <row r="108" ht="96" customHeight="1" spans="1:6" x14ac:dyDescent="0.25">
      <c r="A108" s="100" t="s">
        <v>148</v>
      </c>
      <c r="B108" s="90" t="s">
        <v>264</v>
      </c>
      <c r="C108" s="84" t="s">
        <v>265</v>
      </c>
      <c r="D108" s="84" t="s">
        <v>71</v>
      </c>
      <c r="E108" s="84" t="s">
        <v>260</v>
      </c>
      <c r="F108" s="84" t="s">
        <v>261</v>
      </c>
    </row>
    <row r="109" ht="96" customHeight="1" spans="1:6" x14ac:dyDescent="0.25">
      <c r="A109" s="100" t="s">
        <v>150</v>
      </c>
      <c r="B109" s="90" t="s">
        <v>266</v>
      </c>
      <c r="C109" s="84" t="s">
        <v>265</v>
      </c>
      <c r="D109" s="84" t="s">
        <v>71</v>
      </c>
      <c r="E109" s="84" t="s">
        <v>267</v>
      </c>
      <c r="F109" s="84" t="s">
        <v>254</v>
      </c>
    </row>
    <row r="110" ht="24" customHeight="1" spans="1:6" x14ac:dyDescent="0.25">
      <c r="A110" s="101" t="s">
        <v>152</v>
      </c>
      <c r="B110" s="90" t="s">
        <v>268</v>
      </c>
      <c r="C110" s="87"/>
      <c r="D110" s="84" t="s">
        <v>71</v>
      </c>
      <c r="E110" s="84" t="s">
        <v>269</v>
      </c>
      <c r="F110" s="84" t="s">
        <v>257</v>
      </c>
    </row>
    <row r="111" spans="1:6" x14ac:dyDescent="0.25">
      <c r="A111" s="82"/>
      <c r="B111" s="85"/>
      <c r="C111" s="87"/>
      <c r="D111" s="102"/>
      <c r="E111" s="84"/>
      <c r="F111" s="84"/>
    </row>
    <row r="112" spans="1:6" x14ac:dyDescent="0.25">
      <c r="A112" s="88" t="s">
        <v>270</v>
      </c>
      <c r="B112" s="91" t="s">
        <v>85</v>
      </c>
      <c r="C112" s="87"/>
      <c r="D112" s="84"/>
      <c r="E112" s="84"/>
      <c r="F112" s="84"/>
    </row>
    <row r="113" spans="1:6" x14ac:dyDescent="0.25">
      <c r="A113" s="88" t="s">
        <v>103</v>
      </c>
      <c r="B113" s="91" t="s">
        <v>271</v>
      </c>
      <c r="C113" s="87"/>
      <c r="D113" s="84"/>
      <c r="E113" s="84"/>
      <c r="F113" s="84"/>
    </row>
    <row r="114" ht="48" customHeight="1" spans="1:6" x14ac:dyDescent="0.25">
      <c r="A114" s="82" t="s">
        <v>58</v>
      </c>
      <c r="B114" s="85" t="s">
        <v>272</v>
      </c>
      <c r="C114" s="87"/>
      <c r="D114" s="84" t="s">
        <v>71</v>
      </c>
      <c r="E114" s="84" t="s">
        <v>208</v>
      </c>
      <c r="F114" s="84" t="s">
        <v>209</v>
      </c>
    </row>
    <row r="115" ht="62.5" customHeight="1" spans="1:6" x14ac:dyDescent="0.25">
      <c r="A115" s="82" t="s">
        <v>64</v>
      </c>
      <c r="B115" s="85" t="s">
        <v>273</v>
      </c>
      <c r="C115" s="87"/>
      <c r="D115" s="84" t="s">
        <v>71</v>
      </c>
      <c r="E115" s="84" t="s">
        <v>211</v>
      </c>
      <c r="F115" s="84" t="s">
        <v>202</v>
      </c>
    </row>
    <row r="116" ht="24" customHeight="1" spans="1:6" x14ac:dyDescent="0.25">
      <c r="A116" s="82" t="s">
        <v>68</v>
      </c>
      <c r="B116" s="85" t="s">
        <v>274</v>
      </c>
      <c r="C116" s="87"/>
      <c r="D116" s="84"/>
      <c r="E116" s="84" t="s">
        <v>275</v>
      </c>
      <c r="F116" s="84"/>
    </row>
    <row r="117" ht="24" customHeight="1" spans="1:6" x14ac:dyDescent="0.25">
      <c r="A117" s="82" t="s">
        <v>74</v>
      </c>
      <c r="B117" s="85" t="s">
        <v>276</v>
      </c>
      <c r="C117" s="87"/>
      <c r="D117" s="84"/>
      <c r="E117" s="84" t="s">
        <v>277</v>
      </c>
      <c r="F117" s="84" t="s">
        <v>257</v>
      </c>
    </row>
    <row r="118" spans="1:6" x14ac:dyDescent="0.25">
      <c r="A118" s="88" t="s">
        <v>125</v>
      </c>
      <c r="B118" s="91" t="s">
        <v>278</v>
      </c>
      <c r="C118" s="87"/>
      <c r="D118" s="84"/>
      <c r="E118" s="84"/>
      <c r="F118" s="84"/>
    </row>
    <row r="119" ht="60" customHeight="1" spans="1:6" x14ac:dyDescent="0.25">
      <c r="A119" s="88" t="s">
        <v>279</v>
      </c>
      <c r="B119" s="91" t="s">
        <v>280</v>
      </c>
      <c r="C119" s="87"/>
      <c r="D119" s="84"/>
      <c r="E119" s="84"/>
      <c r="F119" s="84"/>
    </row>
    <row r="120" ht="24" customHeight="1" spans="1:6" x14ac:dyDescent="0.25">
      <c r="A120" s="103" t="s">
        <v>58</v>
      </c>
      <c r="B120" s="85" t="s">
        <v>281</v>
      </c>
      <c r="C120" s="87"/>
      <c r="D120" s="84" t="s">
        <v>282</v>
      </c>
      <c r="E120" s="84" t="s">
        <v>283</v>
      </c>
      <c r="F120" s="84" t="s">
        <v>284</v>
      </c>
    </row>
    <row r="121" ht="36" customHeight="1" spans="1:6" x14ac:dyDescent="0.25">
      <c r="A121" s="103" t="s">
        <v>64</v>
      </c>
      <c r="B121" s="85" t="s">
        <v>285</v>
      </c>
      <c r="C121" s="87"/>
      <c r="D121" s="84" t="s">
        <v>71</v>
      </c>
      <c r="E121" s="84" t="s">
        <v>72</v>
      </c>
      <c r="F121" s="84" t="s">
        <v>247</v>
      </c>
    </row>
    <row r="122" spans="1:6" x14ac:dyDescent="0.25">
      <c r="A122" s="103" t="s">
        <v>68</v>
      </c>
      <c r="B122" s="85" t="s">
        <v>286</v>
      </c>
      <c r="C122" s="87"/>
      <c r="D122" s="84"/>
      <c r="E122" s="84" t="s">
        <v>287</v>
      </c>
      <c r="F122" s="84" t="s">
        <v>129</v>
      </c>
    </row>
    <row r="123" ht="36" customHeight="1" spans="1:6" x14ac:dyDescent="0.25">
      <c r="A123" s="103" t="s">
        <v>74</v>
      </c>
      <c r="B123" s="85" t="s">
        <v>288</v>
      </c>
      <c r="C123" s="87"/>
      <c r="D123" s="84" t="s">
        <v>71</v>
      </c>
      <c r="E123" s="84" t="s">
        <v>289</v>
      </c>
      <c r="F123" s="84" t="s">
        <v>290</v>
      </c>
    </row>
    <row r="124" spans="1:6" x14ac:dyDescent="0.25">
      <c r="A124" s="103" t="s">
        <v>80</v>
      </c>
      <c r="B124" s="85" t="s">
        <v>291</v>
      </c>
      <c r="C124" s="87"/>
      <c r="D124" s="84" t="s">
        <v>282</v>
      </c>
      <c r="E124" s="84" t="s">
        <v>283</v>
      </c>
      <c r="F124" s="84" t="s">
        <v>284</v>
      </c>
    </row>
    <row r="125" ht="29.5" customHeight="1" spans="1:6" x14ac:dyDescent="0.25">
      <c r="A125" s="103" t="s">
        <v>82</v>
      </c>
      <c r="B125" s="85" t="s">
        <v>292</v>
      </c>
      <c r="C125" s="87"/>
      <c r="D125" s="84"/>
      <c r="E125" s="84" t="s">
        <v>293</v>
      </c>
      <c r="F125" s="84"/>
    </row>
    <row r="126" spans="1:6" x14ac:dyDescent="0.25">
      <c r="A126" s="82" t="s">
        <v>121</v>
      </c>
      <c r="B126" s="85" t="s">
        <v>294</v>
      </c>
      <c r="C126" s="87"/>
      <c r="D126" s="84"/>
      <c r="E126" s="84" t="s">
        <v>283</v>
      </c>
      <c r="F126" s="84" t="s">
        <v>284</v>
      </c>
    </row>
    <row r="127" spans="1:6" x14ac:dyDescent="0.25">
      <c r="A127" s="103" t="s">
        <v>144</v>
      </c>
      <c r="B127" s="85" t="s">
        <v>295</v>
      </c>
      <c r="C127" s="87"/>
      <c r="D127" s="84"/>
      <c r="E127" s="84" t="s">
        <v>283</v>
      </c>
      <c r="F127" s="84" t="s">
        <v>284</v>
      </c>
    </row>
    <row r="128" spans="1:6" x14ac:dyDescent="0.25">
      <c r="A128" s="103" t="s">
        <v>146</v>
      </c>
      <c r="B128" s="85" t="s">
        <v>296</v>
      </c>
      <c r="C128" s="87"/>
      <c r="D128" s="84"/>
      <c r="E128" s="84" t="s">
        <v>283</v>
      </c>
      <c r="F128" s="84" t="s">
        <v>284</v>
      </c>
    </row>
    <row r="129" spans="1:6" x14ac:dyDescent="0.25">
      <c r="A129" s="103" t="s">
        <v>148</v>
      </c>
      <c r="B129" s="85" t="s">
        <v>297</v>
      </c>
      <c r="C129" s="87"/>
      <c r="D129" s="84"/>
      <c r="E129" s="84" t="s">
        <v>283</v>
      </c>
      <c r="F129" s="84" t="s">
        <v>284</v>
      </c>
    </row>
    <row r="130" spans="1:6" x14ac:dyDescent="0.25">
      <c r="A130" s="103" t="s">
        <v>150</v>
      </c>
      <c r="B130" s="85" t="s">
        <v>298</v>
      </c>
      <c r="C130" s="87"/>
      <c r="D130" s="84"/>
      <c r="E130" s="84" t="s">
        <v>293</v>
      </c>
      <c r="F130" s="84"/>
    </row>
    <row r="131" ht="24" customHeight="1" spans="1:6" x14ac:dyDescent="0.25">
      <c r="A131" s="82" t="s">
        <v>152</v>
      </c>
      <c r="B131" s="85" t="s">
        <v>299</v>
      </c>
      <c r="C131" s="87"/>
      <c r="D131" s="84"/>
      <c r="E131" s="84" t="s">
        <v>300</v>
      </c>
      <c r="F131" s="84"/>
    </row>
    <row r="132" ht="24" customHeight="1" spans="1:6" x14ac:dyDescent="0.25">
      <c r="A132" s="82" t="s">
        <v>155</v>
      </c>
      <c r="B132" s="85" t="s">
        <v>301</v>
      </c>
      <c r="C132" s="87"/>
      <c r="D132" s="84"/>
      <c r="E132" s="84" t="s">
        <v>283</v>
      </c>
      <c r="F132" s="84" t="s">
        <v>284</v>
      </c>
    </row>
    <row r="133" ht="24" customHeight="1" spans="1:6" x14ac:dyDescent="0.25">
      <c r="A133" s="82" t="s">
        <v>158</v>
      </c>
      <c r="B133" s="85" t="s">
        <v>302</v>
      </c>
      <c r="C133" s="84"/>
      <c r="D133" s="84"/>
      <c r="E133" s="84" t="s">
        <v>293</v>
      </c>
      <c r="F133" s="84"/>
    </row>
    <row r="134" ht="24" customHeight="1" spans="1:6" x14ac:dyDescent="0.25">
      <c r="A134" s="82" t="s">
        <v>160</v>
      </c>
      <c r="B134" s="85" t="s">
        <v>303</v>
      </c>
      <c r="C134" s="84"/>
      <c r="D134" s="84"/>
      <c r="E134" s="84" t="s">
        <v>293</v>
      </c>
      <c r="F134" s="84"/>
    </row>
    <row r="135" ht="24" customHeight="1" spans="1:6" x14ac:dyDescent="0.25">
      <c r="A135" s="82" t="s">
        <v>162</v>
      </c>
      <c r="B135" s="85" t="s">
        <v>304</v>
      </c>
      <c r="C135" s="87"/>
      <c r="D135" s="84"/>
      <c r="E135" s="84" t="s">
        <v>300</v>
      </c>
      <c r="F135" s="84"/>
    </row>
    <row r="136" spans="1:6" x14ac:dyDescent="0.25">
      <c r="A136" s="88" t="s">
        <v>182</v>
      </c>
      <c r="B136" s="91" t="s">
        <v>305</v>
      </c>
      <c r="C136" s="87"/>
      <c r="D136" s="84"/>
      <c r="E136" s="84"/>
      <c r="F136" s="84"/>
    </row>
    <row r="137" ht="24" customHeight="1" spans="1:6" x14ac:dyDescent="0.25">
      <c r="A137" s="82" t="s">
        <v>306</v>
      </c>
      <c r="B137" s="85" t="s">
        <v>307</v>
      </c>
      <c r="C137" s="87"/>
      <c r="D137" s="84"/>
      <c r="E137" s="84" t="s">
        <v>283</v>
      </c>
      <c r="F137" s="84" t="s">
        <v>284</v>
      </c>
    </row>
    <row r="138" ht="36" customHeight="1" spans="1:6" x14ac:dyDescent="0.25">
      <c r="A138" s="82" t="s">
        <v>308</v>
      </c>
      <c r="B138" s="85" t="s">
        <v>309</v>
      </c>
      <c r="C138" s="87"/>
      <c r="D138" s="84"/>
      <c r="E138" s="84" t="s">
        <v>72</v>
      </c>
      <c r="F138" s="84" t="s">
        <v>247</v>
      </c>
    </row>
    <row r="139" ht="24" customHeight="1" spans="1:6" x14ac:dyDescent="0.25">
      <c r="A139" s="82" t="s">
        <v>310</v>
      </c>
      <c r="B139" s="83" t="s">
        <v>311</v>
      </c>
      <c r="C139" s="87"/>
      <c r="D139" s="84"/>
      <c r="E139" s="84"/>
      <c r="F139" s="84"/>
    </row>
    <row r="140" ht="48" customHeight="1" spans="1:6" x14ac:dyDescent="0.25">
      <c r="A140" s="82" t="s">
        <v>312</v>
      </c>
      <c r="B140" s="90" t="s">
        <v>313</v>
      </c>
      <c r="C140" s="87"/>
      <c r="D140" s="84"/>
      <c r="E140" s="84" t="s">
        <v>211</v>
      </c>
      <c r="F140" s="84" t="s">
        <v>202</v>
      </c>
    </row>
    <row r="141" ht="48" customHeight="1" spans="1:6" x14ac:dyDescent="0.25">
      <c r="A141" s="82" t="s">
        <v>314</v>
      </c>
      <c r="B141" s="90" t="s">
        <v>315</v>
      </c>
      <c r="C141" s="87"/>
      <c r="D141" s="84"/>
      <c r="E141" s="84" t="s">
        <v>208</v>
      </c>
      <c r="F141" s="84" t="s">
        <v>209</v>
      </c>
    </row>
    <row r="142" ht="24" customHeight="1" spans="1:6" x14ac:dyDescent="0.25">
      <c r="A142" s="82" t="s">
        <v>316</v>
      </c>
      <c r="B142" s="85" t="s">
        <v>317</v>
      </c>
      <c r="C142" s="84" t="s">
        <v>111</v>
      </c>
      <c r="D142" s="84" t="s">
        <v>185</v>
      </c>
      <c r="E142" s="84" t="s">
        <v>107</v>
      </c>
      <c r="F142" s="84"/>
    </row>
    <row r="143" ht="24" customHeight="1" spans="1:6" x14ac:dyDescent="0.25">
      <c r="A143" s="82" t="s">
        <v>318</v>
      </c>
      <c r="B143" s="85" t="s">
        <v>319</v>
      </c>
      <c r="C143" s="84" t="s">
        <v>111</v>
      </c>
      <c r="D143" s="84" t="s">
        <v>185</v>
      </c>
      <c r="E143" s="84" t="s">
        <v>107</v>
      </c>
      <c r="F143" s="84"/>
    </row>
    <row r="144" ht="24" customHeight="1" spans="1:6" x14ac:dyDescent="0.25">
      <c r="A144" s="82" t="s">
        <v>144</v>
      </c>
      <c r="B144" s="85" t="s">
        <v>320</v>
      </c>
      <c r="C144" s="87"/>
      <c r="D144" s="84"/>
      <c r="E144" s="84" t="s">
        <v>107</v>
      </c>
      <c r="F144" s="84"/>
    </row>
    <row r="145" ht="24" customHeight="1" spans="1:6" x14ac:dyDescent="0.25">
      <c r="A145" s="82" t="s">
        <v>146</v>
      </c>
      <c r="B145" s="85" t="s">
        <v>321</v>
      </c>
      <c r="C145" s="87"/>
      <c r="D145" s="84"/>
      <c r="E145" s="84" t="s">
        <v>107</v>
      </c>
      <c r="F145" s="84"/>
    </row>
    <row r="146" spans="1:6" x14ac:dyDescent="0.25">
      <c r="A146" s="88" t="s">
        <v>322</v>
      </c>
      <c r="B146" s="104" t="s">
        <v>323</v>
      </c>
      <c r="C146" s="87"/>
      <c r="D146" s="84"/>
      <c r="E146" s="84"/>
      <c r="F146" s="84"/>
    </row>
    <row r="147" spans="1:6" x14ac:dyDescent="0.25">
      <c r="A147" s="82" t="s">
        <v>324</v>
      </c>
      <c r="B147" s="91" t="s">
        <v>325</v>
      </c>
      <c r="C147" s="87"/>
      <c r="D147" s="84"/>
      <c r="E147" s="84"/>
      <c r="F147" s="84"/>
    </row>
    <row r="148" ht="36" customHeight="1" spans="1:6" x14ac:dyDescent="0.25">
      <c r="A148" s="82" t="s">
        <v>306</v>
      </c>
      <c r="B148" s="85" t="s">
        <v>326</v>
      </c>
      <c r="C148" s="87"/>
      <c r="D148" s="84" t="s">
        <v>192</v>
      </c>
      <c r="E148" s="84" t="s">
        <v>67</v>
      </c>
      <c r="F148" s="84" t="s">
        <v>63</v>
      </c>
    </row>
    <row r="149" ht="36" customHeight="1" spans="1:6" x14ac:dyDescent="0.25">
      <c r="A149" s="82" t="s">
        <v>308</v>
      </c>
      <c r="B149" s="85" t="s">
        <v>327</v>
      </c>
      <c r="C149" s="87"/>
      <c r="D149" s="84" t="s">
        <v>192</v>
      </c>
      <c r="E149" s="84" t="s">
        <v>72</v>
      </c>
      <c r="F149" s="84" t="s">
        <v>328</v>
      </c>
    </row>
    <row r="150" ht="48" customHeight="1" spans="1:6" x14ac:dyDescent="0.25">
      <c r="A150" s="82" t="s">
        <v>310</v>
      </c>
      <c r="B150" s="85" t="s">
        <v>329</v>
      </c>
      <c r="C150" s="87"/>
      <c r="D150" s="84" t="s">
        <v>192</v>
      </c>
      <c r="E150" s="84" t="s">
        <v>208</v>
      </c>
      <c r="F150" s="84" t="s">
        <v>209</v>
      </c>
    </row>
    <row r="151" ht="48" customHeight="1" spans="1:6" x14ac:dyDescent="0.25">
      <c r="A151" s="82" t="s">
        <v>312</v>
      </c>
      <c r="B151" s="85" t="s">
        <v>330</v>
      </c>
      <c r="C151" s="87"/>
      <c r="D151" s="84" t="s">
        <v>192</v>
      </c>
      <c r="E151" s="84" t="s">
        <v>211</v>
      </c>
      <c r="F151" s="84" t="s">
        <v>202</v>
      </c>
    </row>
    <row r="152" spans="1:6" x14ac:dyDescent="0.25">
      <c r="A152" s="82" t="s">
        <v>331</v>
      </c>
      <c r="B152" s="91" t="s">
        <v>332</v>
      </c>
      <c r="C152" s="87"/>
      <c r="D152" s="84"/>
      <c r="E152" s="84"/>
      <c r="F152" s="84"/>
    </row>
    <row r="153" ht="36" customHeight="1" spans="1:6" x14ac:dyDescent="0.25">
      <c r="A153" s="82" t="s">
        <v>306</v>
      </c>
      <c r="B153" s="85" t="s">
        <v>333</v>
      </c>
      <c r="C153" s="87"/>
      <c r="D153" s="84" t="s">
        <v>192</v>
      </c>
      <c r="E153" s="84" t="s">
        <v>67</v>
      </c>
      <c r="F153" s="84" t="s">
        <v>63</v>
      </c>
    </row>
    <row r="154" ht="36" customHeight="1" spans="1:6" x14ac:dyDescent="0.25">
      <c r="A154" s="82" t="s">
        <v>308</v>
      </c>
      <c r="B154" s="85" t="s">
        <v>334</v>
      </c>
      <c r="C154" s="87"/>
      <c r="D154" s="84" t="s">
        <v>192</v>
      </c>
      <c r="E154" s="84" t="s">
        <v>72</v>
      </c>
      <c r="F154" s="84" t="s">
        <v>328</v>
      </c>
    </row>
    <row r="155" ht="48" customHeight="1" spans="1:6" x14ac:dyDescent="0.25">
      <c r="A155" s="82" t="s">
        <v>310</v>
      </c>
      <c r="B155" s="85" t="s">
        <v>335</v>
      </c>
      <c r="C155" s="87"/>
      <c r="D155" s="84" t="s">
        <v>192</v>
      </c>
      <c r="E155" s="84" t="s">
        <v>208</v>
      </c>
      <c r="F155" s="84" t="s">
        <v>209</v>
      </c>
    </row>
    <row r="156" ht="48" customHeight="1" spans="1:6" x14ac:dyDescent="0.25">
      <c r="A156" s="82" t="s">
        <v>312</v>
      </c>
      <c r="B156" s="85" t="s">
        <v>336</v>
      </c>
      <c r="C156" s="87"/>
      <c r="D156" s="84" t="s">
        <v>192</v>
      </c>
      <c r="E156" s="84" t="s">
        <v>211</v>
      </c>
      <c r="F156" s="84" t="s">
        <v>202</v>
      </c>
    </row>
    <row r="157" spans="1:6" x14ac:dyDescent="0.25">
      <c r="A157" s="82" t="s">
        <v>337</v>
      </c>
      <c r="B157" s="91" t="s">
        <v>338</v>
      </c>
      <c r="C157" s="87"/>
      <c r="D157" s="84"/>
      <c r="E157" s="84"/>
      <c r="F157" s="84"/>
    </row>
    <row r="158" ht="36" customHeight="1" spans="1:6" x14ac:dyDescent="0.25">
      <c r="A158" s="82" t="s">
        <v>306</v>
      </c>
      <c r="B158" s="85" t="s">
        <v>339</v>
      </c>
      <c r="C158" s="87"/>
      <c r="D158" s="84" t="s">
        <v>192</v>
      </c>
      <c r="E158" s="84" t="s">
        <v>67</v>
      </c>
      <c r="F158" s="84" t="s">
        <v>63</v>
      </c>
    </row>
    <row r="159" ht="36" customHeight="1" spans="1:6" x14ac:dyDescent="0.25">
      <c r="A159" s="82" t="s">
        <v>308</v>
      </c>
      <c r="B159" s="85" t="s">
        <v>340</v>
      </c>
      <c r="C159" s="87"/>
      <c r="D159" s="84" t="s">
        <v>192</v>
      </c>
      <c r="E159" s="84" t="s">
        <v>72</v>
      </c>
      <c r="F159" s="84" t="s">
        <v>328</v>
      </c>
    </row>
    <row r="160" ht="48" customHeight="1" spans="1:6" x14ac:dyDescent="0.25">
      <c r="A160" s="82" t="s">
        <v>310</v>
      </c>
      <c r="B160" s="85" t="s">
        <v>341</v>
      </c>
      <c r="C160" s="87"/>
      <c r="D160" s="84" t="s">
        <v>192</v>
      </c>
      <c r="E160" s="84" t="s">
        <v>208</v>
      </c>
      <c r="F160" s="84" t="s">
        <v>209</v>
      </c>
    </row>
    <row r="161" ht="48" customHeight="1" spans="1:6" x14ac:dyDescent="0.25">
      <c r="A161" s="82" t="s">
        <v>312</v>
      </c>
      <c r="B161" s="85" t="s">
        <v>342</v>
      </c>
      <c r="C161" s="87"/>
      <c r="D161" s="84" t="s">
        <v>192</v>
      </c>
      <c r="E161" s="84" t="s">
        <v>211</v>
      </c>
      <c r="F161" s="84" t="s">
        <v>202</v>
      </c>
    </row>
    <row r="162" spans="1:6" x14ac:dyDescent="0.25">
      <c r="A162" s="82" t="s">
        <v>343</v>
      </c>
      <c r="B162" s="91" t="s">
        <v>344</v>
      </c>
      <c r="C162" s="87"/>
      <c r="D162" s="84"/>
      <c r="E162" s="84"/>
      <c r="F162" s="84"/>
    </row>
    <row r="163" ht="36" customHeight="1" spans="1:6" x14ac:dyDescent="0.25">
      <c r="A163" s="82" t="s">
        <v>306</v>
      </c>
      <c r="B163" s="85" t="s">
        <v>345</v>
      </c>
      <c r="C163" s="87"/>
      <c r="D163" s="84" t="s">
        <v>192</v>
      </c>
      <c r="E163" s="84" t="s">
        <v>67</v>
      </c>
      <c r="F163" s="84" t="s">
        <v>63</v>
      </c>
    </row>
    <row r="164" ht="36" customHeight="1" spans="1:6" x14ac:dyDescent="0.25">
      <c r="A164" s="82" t="s">
        <v>308</v>
      </c>
      <c r="B164" s="85" t="s">
        <v>346</v>
      </c>
      <c r="C164" s="87"/>
      <c r="D164" s="84" t="s">
        <v>192</v>
      </c>
      <c r="E164" s="84" t="s">
        <v>72</v>
      </c>
      <c r="F164" s="84" t="s">
        <v>328</v>
      </c>
    </row>
    <row r="165" ht="48" customHeight="1" spans="1:6" x14ac:dyDescent="0.25">
      <c r="A165" s="82" t="s">
        <v>310</v>
      </c>
      <c r="B165" s="85" t="s">
        <v>347</v>
      </c>
      <c r="C165" s="87"/>
      <c r="D165" s="84" t="s">
        <v>192</v>
      </c>
      <c r="E165" s="84" t="s">
        <v>208</v>
      </c>
      <c r="F165" s="84" t="s">
        <v>209</v>
      </c>
    </row>
    <row r="166" ht="48" customHeight="1" spans="1:6" x14ac:dyDescent="0.25">
      <c r="A166" s="82" t="s">
        <v>312</v>
      </c>
      <c r="B166" s="85" t="s">
        <v>348</v>
      </c>
      <c r="C166" s="87"/>
      <c r="D166" s="84" t="s">
        <v>192</v>
      </c>
      <c r="E166" s="84" t="s">
        <v>211</v>
      </c>
      <c r="F166" s="84" t="s">
        <v>202</v>
      </c>
    </row>
    <row r="167" spans="1:6" x14ac:dyDescent="0.25">
      <c r="A167" s="82" t="s">
        <v>349</v>
      </c>
      <c r="B167" s="91" t="s">
        <v>350</v>
      </c>
      <c r="C167" s="87"/>
      <c r="D167" s="84"/>
      <c r="E167" s="84"/>
      <c r="F167" s="84"/>
    </row>
    <row r="168" ht="36" customHeight="1" spans="1:6" x14ac:dyDescent="0.25">
      <c r="A168" s="82" t="s">
        <v>306</v>
      </c>
      <c r="B168" s="85" t="s">
        <v>351</v>
      </c>
      <c r="C168" s="87"/>
      <c r="D168" s="84" t="s">
        <v>192</v>
      </c>
      <c r="E168" s="84" t="s">
        <v>67</v>
      </c>
      <c r="F168" s="84" t="s">
        <v>63</v>
      </c>
    </row>
    <row r="169" ht="36" customHeight="1" spans="1:6" x14ac:dyDescent="0.25">
      <c r="A169" s="82" t="s">
        <v>308</v>
      </c>
      <c r="B169" s="85" t="s">
        <v>352</v>
      </c>
      <c r="C169" s="87"/>
      <c r="D169" s="84" t="s">
        <v>192</v>
      </c>
      <c r="E169" s="84" t="s">
        <v>72</v>
      </c>
      <c r="F169" s="84" t="s">
        <v>328</v>
      </c>
    </row>
    <row r="170" ht="48" customHeight="1" spans="1:6" x14ac:dyDescent="0.25">
      <c r="A170" s="82" t="s">
        <v>310</v>
      </c>
      <c r="B170" s="85" t="s">
        <v>353</v>
      </c>
      <c r="C170" s="87"/>
      <c r="D170" s="84" t="s">
        <v>192</v>
      </c>
      <c r="E170" s="84" t="s">
        <v>208</v>
      </c>
      <c r="F170" s="84" t="s">
        <v>209</v>
      </c>
    </row>
    <row r="171" ht="48" customHeight="1" spans="1:6" x14ac:dyDescent="0.25">
      <c r="A171" s="82" t="s">
        <v>312</v>
      </c>
      <c r="B171" s="85" t="s">
        <v>354</v>
      </c>
      <c r="C171" s="87"/>
      <c r="D171" s="84" t="s">
        <v>192</v>
      </c>
      <c r="E171" s="84" t="s">
        <v>211</v>
      </c>
      <c r="F171" s="84" t="s">
        <v>202</v>
      </c>
    </row>
    <row r="172" spans="1:6" x14ac:dyDescent="0.25">
      <c r="A172" s="82" t="s">
        <v>355</v>
      </c>
      <c r="B172" s="91" t="s">
        <v>356</v>
      </c>
      <c r="C172" s="87"/>
      <c r="D172" s="84"/>
      <c r="E172" s="84"/>
      <c r="F172" s="84"/>
    </row>
    <row r="173" ht="36" customHeight="1" spans="1:6" x14ac:dyDescent="0.25">
      <c r="A173" s="82" t="s">
        <v>306</v>
      </c>
      <c r="B173" s="85" t="s">
        <v>357</v>
      </c>
      <c r="C173" s="87"/>
      <c r="D173" s="84" t="s">
        <v>192</v>
      </c>
      <c r="E173" s="84" t="s">
        <v>67</v>
      </c>
      <c r="F173" s="84" t="s">
        <v>63</v>
      </c>
    </row>
    <row r="174" ht="36" customHeight="1" spans="1:6" x14ac:dyDescent="0.25">
      <c r="A174" s="82" t="s">
        <v>308</v>
      </c>
      <c r="B174" s="85" t="s">
        <v>358</v>
      </c>
      <c r="C174" s="87"/>
      <c r="D174" s="84" t="s">
        <v>192</v>
      </c>
      <c r="E174" s="84" t="s">
        <v>72</v>
      </c>
      <c r="F174" s="84" t="s">
        <v>328</v>
      </c>
    </row>
    <row r="175" ht="48" customHeight="1" spans="1:6" x14ac:dyDescent="0.25">
      <c r="A175" s="82" t="s">
        <v>310</v>
      </c>
      <c r="B175" s="85" t="s">
        <v>359</v>
      </c>
      <c r="C175" s="87"/>
      <c r="D175" s="84" t="s">
        <v>192</v>
      </c>
      <c r="E175" s="84" t="s">
        <v>208</v>
      </c>
      <c r="F175" s="84" t="s">
        <v>209</v>
      </c>
    </row>
    <row r="176" ht="48" customHeight="1" spans="1:6" x14ac:dyDescent="0.25">
      <c r="A176" s="82" t="s">
        <v>312</v>
      </c>
      <c r="B176" s="85" t="s">
        <v>360</v>
      </c>
      <c r="C176" s="87"/>
      <c r="D176" s="84" t="s">
        <v>192</v>
      </c>
      <c r="E176" s="84" t="s">
        <v>211</v>
      </c>
      <c r="F176" s="84" t="s">
        <v>202</v>
      </c>
    </row>
    <row r="177" spans="1:6" x14ac:dyDescent="0.25">
      <c r="A177" s="82" t="s">
        <v>361</v>
      </c>
      <c r="B177" s="91" t="s">
        <v>362</v>
      </c>
      <c r="C177" s="87"/>
      <c r="D177" s="84"/>
      <c r="E177" s="84"/>
      <c r="F177" s="84"/>
    </row>
    <row r="178" spans="1:6" x14ac:dyDescent="0.25">
      <c r="A178" s="82" t="s">
        <v>306</v>
      </c>
      <c r="B178" s="85" t="s">
        <v>239</v>
      </c>
      <c r="C178" s="87"/>
      <c r="D178" s="84"/>
      <c r="E178" s="84"/>
      <c r="F178" s="84"/>
    </row>
    <row r="179" ht="36" customHeight="1" spans="1:6" x14ac:dyDescent="0.25">
      <c r="A179" s="82" t="s">
        <v>308</v>
      </c>
      <c r="B179" s="85" t="s">
        <v>363</v>
      </c>
      <c r="C179" s="87"/>
      <c r="D179" s="84" t="s">
        <v>192</v>
      </c>
      <c r="E179" s="84" t="s">
        <v>67</v>
      </c>
      <c r="F179" s="84" t="s">
        <v>63</v>
      </c>
    </row>
    <row r="180" ht="36" customHeight="1" spans="1:6" x14ac:dyDescent="0.25">
      <c r="A180" s="82" t="s">
        <v>310</v>
      </c>
      <c r="B180" s="85" t="s">
        <v>364</v>
      </c>
      <c r="C180" s="87"/>
      <c r="D180" s="84" t="s">
        <v>192</v>
      </c>
      <c r="E180" s="84" t="s">
        <v>72</v>
      </c>
      <c r="F180" s="84" t="s">
        <v>328</v>
      </c>
    </row>
    <row r="181" ht="48" customHeight="1" spans="1:6" x14ac:dyDescent="0.25">
      <c r="A181" s="82" t="s">
        <v>312</v>
      </c>
      <c r="B181" s="85" t="s">
        <v>365</v>
      </c>
      <c r="C181" s="87"/>
      <c r="D181" s="84" t="s">
        <v>192</v>
      </c>
      <c r="E181" s="84" t="s">
        <v>208</v>
      </c>
      <c r="F181" s="84" t="s">
        <v>209</v>
      </c>
    </row>
    <row r="182" ht="48" customHeight="1" spans="1:6" x14ac:dyDescent="0.25">
      <c r="A182" s="82" t="s">
        <v>314</v>
      </c>
      <c r="B182" s="85" t="s">
        <v>366</v>
      </c>
      <c r="C182" s="87"/>
      <c r="D182" s="84" t="s">
        <v>192</v>
      </c>
      <c r="E182" s="84" t="s">
        <v>211</v>
      </c>
      <c r="F182" s="84" t="s">
        <v>202</v>
      </c>
    </row>
    <row r="183" spans="1:6" x14ac:dyDescent="0.25">
      <c r="A183" s="82" t="s">
        <v>367</v>
      </c>
      <c r="B183" s="85" t="s">
        <v>368</v>
      </c>
      <c r="C183" s="87"/>
      <c r="D183" s="84"/>
      <c r="E183" s="84"/>
      <c r="F183" s="84"/>
    </row>
    <row r="184" spans="1:6" x14ac:dyDescent="0.25">
      <c r="A184" s="93" t="s">
        <v>306</v>
      </c>
      <c r="B184" s="85" t="s">
        <v>369</v>
      </c>
      <c r="C184" s="87"/>
      <c r="D184" s="84"/>
      <c r="E184" s="84"/>
      <c r="F184" s="84"/>
    </row>
    <row r="185" spans="1:6" x14ac:dyDescent="0.25">
      <c r="A185" s="93" t="s">
        <v>308</v>
      </c>
      <c r="B185" s="85" t="s">
        <v>370</v>
      </c>
      <c r="C185" s="87"/>
      <c r="D185" s="84"/>
      <c r="E185" s="84"/>
      <c r="F185" s="84"/>
    </row>
    <row r="186" ht="24" customHeight="1" spans="1:6" x14ac:dyDescent="0.25">
      <c r="A186" s="93" t="s">
        <v>310</v>
      </c>
      <c r="B186" s="85" t="s">
        <v>371</v>
      </c>
      <c r="C186" s="87"/>
      <c r="D186" s="84"/>
      <c r="E186" s="84"/>
      <c r="F186" s="84"/>
    </row>
    <row r="187" spans="1:6" x14ac:dyDescent="0.25">
      <c r="A187" s="93" t="s">
        <v>312</v>
      </c>
      <c r="B187" s="85" t="s">
        <v>372</v>
      </c>
      <c r="C187" s="87"/>
      <c r="D187" s="84"/>
      <c r="E187" s="84"/>
      <c r="F187" s="84"/>
    </row>
    <row r="188" spans="1:6" x14ac:dyDescent="0.25">
      <c r="A188" s="82"/>
      <c r="B188" s="85"/>
      <c r="C188" s="87"/>
      <c r="D188" s="84"/>
      <c r="E188" s="84"/>
      <c r="F188" s="84"/>
    </row>
    <row r="189" spans="1:6" x14ac:dyDescent="0.25">
      <c r="A189" s="82" t="s">
        <v>373</v>
      </c>
      <c r="B189" s="91" t="s">
        <v>374</v>
      </c>
      <c r="C189" s="87"/>
      <c r="D189" s="84"/>
      <c r="E189" s="84"/>
      <c r="F189" s="84"/>
    </row>
    <row r="190" spans="1:6" x14ac:dyDescent="0.25">
      <c r="A190" s="82" t="s">
        <v>375</v>
      </c>
      <c r="B190" s="91" t="s">
        <v>376</v>
      </c>
      <c r="C190" s="87"/>
      <c r="D190" s="84"/>
      <c r="E190" s="84"/>
      <c r="F190" s="84"/>
    </row>
    <row r="191" ht="36" customHeight="1" spans="1:6" x14ac:dyDescent="0.25">
      <c r="A191" s="82" t="s">
        <v>377</v>
      </c>
      <c r="B191" s="91" t="s">
        <v>378</v>
      </c>
      <c r="C191" s="87"/>
      <c r="D191" s="84"/>
      <c r="E191" s="105"/>
      <c r="F191" s="105"/>
    </row>
    <row r="192" spans="1:6" x14ac:dyDescent="0.25">
      <c r="A192" s="82" t="s">
        <v>306</v>
      </c>
      <c r="B192" s="85" t="s">
        <v>379</v>
      </c>
      <c r="C192" s="87"/>
      <c r="D192" s="90" t="s">
        <v>380</v>
      </c>
      <c r="E192" s="90" t="s">
        <v>381</v>
      </c>
      <c r="F192" s="90"/>
    </row>
    <row r="193" ht="36" customHeight="1" spans="1:6" x14ac:dyDescent="0.25">
      <c r="A193" s="82" t="s">
        <v>308</v>
      </c>
      <c r="B193" s="85" t="s">
        <v>382</v>
      </c>
      <c r="C193" s="87"/>
      <c r="D193" s="90" t="s">
        <v>71</v>
      </c>
      <c r="E193" s="90" t="s">
        <v>383</v>
      </c>
      <c r="F193" s="90" t="s">
        <v>384</v>
      </c>
    </row>
    <row r="194" ht="24" customHeight="1" spans="1:6" x14ac:dyDescent="0.25">
      <c r="A194" s="82" t="s">
        <v>310</v>
      </c>
      <c r="B194" s="85" t="s">
        <v>385</v>
      </c>
      <c r="C194" s="87"/>
      <c r="D194" s="90" t="s">
        <v>71</v>
      </c>
      <c r="E194" s="90" t="s">
        <v>386</v>
      </c>
      <c r="F194" s="90" t="s">
        <v>387</v>
      </c>
    </row>
    <row r="195" ht="28.9" customHeight="1" spans="1:6" x14ac:dyDescent="0.25">
      <c r="A195" s="82" t="s">
        <v>312</v>
      </c>
      <c r="B195" s="85" t="s">
        <v>388</v>
      </c>
      <c r="C195" s="87"/>
      <c r="D195" s="90" t="s">
        <v>71</v>
      </c>
      <c r="E195" s="90" t="s">
        <v>386</v>
      </c>
      <c r="F195" s="90" t="s">
        <v>389</v>
      </c>
    </row>
    <row r="196" ht="24" customHeight="1" spans="1:6" x14ac:dyDescent="0.25">
      <c r="A196" s="82" t="s">
        <v>314</v>
      </c>
      <c r="B196" s="85" t="s">
        <v>390</v>
      </c>
      <c r="C196" s="87"/>
      <c r="D196" s="90" t="s">
        <v>391</v>
      </c>
      <c r="E196" s="90" t="s">
        <v>386</v>
      </c>
      <c r="F196" s="90" t="s">
        <v>392</v>
      </c>
    </row>
    <row r="197" ht="108" customHeight="1" spans="1:6" x14ac:dyDescent="0.25">
      <c r="A197" s="82" t="s">
        <v>316</v>
      </c>
      <c r="B197" s="85" t="s">
        <v>393</v>
      </c>
      <c r="C197" s="87"/>
      <c r="D197" s="90" t="s">
        <v>112</v>
      </c>
      <c r="E197" s="90" t="s">
        <v>394</v>
      </c>
      <c r="F197" s="90" t="s">
        <v>395</v>
      </c>
    </row>
    <row r="198" ht="24" customHeight="1" spans="1:6" x14ac:dyDescent="0.25">
      <c r="A198" s="82" t="s">
        <v>396</v>
      </c>
      <c r="B198" s="85" t="s">
        <v>397</v>
      </c>
      <c r="C198" s="87"/>
      <c r="D198" s="90" t="s">
        <v>391</v>
      </c>
      <c r="E198" s="90" t="s">
        <v>398</v>
      </c>
      <c r="F198" s="90" t="s">
        <v>399</v>
      </c>
    </row>
    <row r="199" ht="43.15" customHeight="1" spans="1:6" x14ac:dyDescent="0.25">
      <c r="A199" s="82" t="s">
        <v>400</v>
      </c>
      <c r="B199" s="85" t="s">
        <v>401</v>
      </c>
      <c r="C199" s="87"/>
      <c r="D199" s="90" t="s">
        <v>112</v>
      </c>
      <c r="E199" s="90" t="s">
        <v>402</v>
      </c>
      <c r="F199" s="90" t="s">
        <v>395</v>
      </c>
    </row>
    <row r="200" ht="24" customHeight="1" spans="1:6" x14ac:dyDescent="0.25">
      <c r="A200" s="82" t="s">
        <v>403</v>
      </c>
      <c r="B200" s="85" t="s">
        <v>404</v>
      </c>
      <c r="C200" s="87"/>
      <c r="D200" s="90" t="s">
        <v>405</v>
      </c>
      <c r="E200" s="90" t="s">
        <v>406</v>
      </c>
      <c r="F200" s="90"/>
    </row>
    <row r="201" ht="24" customHeight="1" spans="1:6" x14ac:dyDescent="0.25">
      <c r="A201" s="82" t="s">
        <v>407</v>
      </c>
      <c r="B201" s="85" t="s">
        <v>408</v>
      </c>
      <c r="C201" s="87"/>
      <c r="D201" s="90" t="s">
        <v>405</v>
      </c>
      <c r="E201" s="90" t="s">
        <v>409</v>
      </c>
      <c r="F201" s="90"/>
    </row>
    <row r="202" ht="25.5" customHeight="1" spans="1:6" x14ac:dyDescent="0.25">
      <c r="A202" s="82" t="s">
        <v>410</v>
      </c>
      <c r="B202" s="85" t="s">
        <v>411</v>
      </c>
      <c r="C202" s="87"/>
      <c r="D202" s="90" t="s">
        <v>405</v>
      </c>
      <c r="E202" s="90" t="s">
        <v>406</v>
      </c>
      <c r="F202" s="90" t="s">
        <v>412</v>
      </c>
    </row>
    <row r="203" ht="25.5" customHeight="1" spans="1:6" x14ac:dyDescent="0.25">
      <c r="A203" s="82" t="s">
        <v>413</v>
      </c>
      <c r="B203" s="85" t="s">
        <v>414</v>
      </c>
      <c r="C203" s="87"/>
      <c r="D203" s="90" t="s">
        <v>405</v>
      </c>
      <c r="E203" s="90" t="s">
        <v>406</v>
      </c>
      <c r="F203" s="90" t="s">
        <v>415</v>
      </c>
    </row>
    <row r="204" ht="24" customHeight="1" spans="1:6" x14ac:dyDescent="0.25">
      <c r="A204" s="82" t="s">
        <v>416</v>
      </c>
      <c r="B204" s="85" t="s">
        <v>417</v>
      </c>
      <c r="C204" s="87"/>
      <c r="D204" s="90" t="s">
        <v>405</v>
      </c>
      <c r="E204" s="90" t="s">
        <v>418</v>
      </c>
      <c r="F204" s="90"/>
    </row>
    <row r="205" ht="28.9" customHeight="1" spans="1:6" x14ac:dyDescent="0.25">
      <c r="A205" s="82" t="s">
        <v>419</v>
      </c>
      <c r="B205" s="85" t="s">
        <v>420</v>
      </c>
      <c r="C205" s="87"/>
      <c r="D205" s="90" t="s">
        <v>282</v>
      </c>
      <c r="E205" s="90" t="s">
        <v>421</v>
      </c>
      <c r="F205" s="90" t="s">
        <v>422</v>
      </c>
    </row>
    <row r="206" ht="24" customHeight="1" spans="1:6" x14ac:dyDescent="0.25">
      <c r="A206" s="82" t="s">
        <v>423</v>
      </c>
      <c r="B206" s="91" t="s">
        <v>424</v>
      </c>
      <c r="C206" s="87"/>
      <c r="D206" s="84"/>
      <c r="E206" s="102"/>
      <c r="F206" s="102"/>
    </row>
    <row r="207" ht="24" customHeight="1" spans="1:6" x14ac:dyDescent="0.25">
      <c r="A207" s="82" t="s">
        <v>425</v>
      </c>
      <c r="B207" s="91" t="s">
        <v>426</v>
      </c>
      <c r="C207" s="87"/>
      <c r="D207" s="84"/>
      <c r="E207" s="84"/>
      <c r="F207" s="84"/>
    </row>
    <row r="208" ht="60" customHeight="1" spans="1:6" x14ac:dyDescent="0.25">
      <c r="A208" s="82" t="s">
        <v>427</v>
      </c>
      <c r="B208" s="91" t="s">
        <v>428</v>
      </c>
      <c r="C208" s="87"/>
      <c r="D208" s="84"/>
      <c r="E208" s="84"/>
      <c r="F208" s="84"/>
    </row>
    <row r="209" ht="24" customHeight="1" spans="1:6" x14ac:dyDescent="0.25">
      <c r="A209" s="88" t="s">
        <v>429</v>
      </c>
      <c r="B209" s="91" t="s">
        <v>430</v>
      </c>
      <c r="C209" s="87"/>
      <c r="D209" s="84"/>
      <c r="E209" s="84"/>
      <c r="F209" s="84"/>
    </row>
    <row r="210" ht="24" customHeight="1" spans="1:6" x14ac:dyDescent="0.25">
      <c r="A210" s="88" t="s">
        <v>431</v>
      </c>
      <c r="B210" s="91" t="s">
        <v>432</v>
      </c>
      <c r="C210" s="87"/>
      <c r="D210" s="84"/>
      <c r="E210" s="84"/>
      <c r="F210" s="84"/>
    </row>
    <row r="211" ht="24" customHeight="1" spans="1:6" x14ac:dyDescent="0.25">
      <c r="A211" s="88" t="s">
        <v>433</v>
      </c>
      <c r="B211" s="91" t="s">
        <v>434</v>
      </c>
      <c r="C211" s="87"/>
      <c r="D211" s="84"/>
      <c r="E211" s="84"/>
      <c r="F211" s="84"/>
    </row>
    <row r="212" spans="1:6" x14ac:dyDescent="0.25">
      <c r="A212" s="88" t="s">
        <v>435</v>
      </c>
      <c r="B212" s="91" t="s">
        <v>436</v>
      </c>
      <c r="C212" s="87"/>
      <c r="D212" s="84"/>
      <c r="E212" s="84"/>
      <c r="F212" s="84"/>
    </row>
    <row r="213" ht="24" customHeight="1" spans="1:6" x14ac:dyDescent="0.25">
      <c r="A213" s="88" t="s">
        <v>437</v>
      </c>
      <c r="B213" s="91" t="s">
        <v>438</v>
      </c>
      <c r="C213" s="87"/>
      <c r="D213" s="84"/>
      <c r="E213" s="84"/>
      <c r="F213" s="84"/>
    </row>
    <row r="214" spans="1:6" x14ac:dyDescent="0.25">
      <c r="A214" s="103" t="s">
        <v>439</v>
      </c>
      <c r="B214" s="106" t="s">
        <v>440</v>
      </c>
      <c r="C214" s="87"/>
      <c r="D214" s="84"/>
      <c r="E214" s="84"/>
      <c r="F214" s="84"/>
    </row>
    <row r="215" ht="36" customHeight="1" spans="1:6" x14ac:dyDescent="0.25">
      <c r="A215" s="82" t="s">
        <v>441</v>
      </c>
      <c r="B215" s="91" t="s">
        <v>442</v>
      </c>
      <c r="C215" s="87"/>
      <c r="D215" s="105"/>
      <c r="E215" s="84"/>
      <c r="F215" s="84"/>
    </row>
    <row r="216" spans="1:6" x14ac:dyDescent="0.25">
      <c r="A216" s="82" t="s">
        <v>306</v>
      </c>
      <c r="B216" s="85" t="s">
        <v>379</v>
      </c>
      <c r="C216" s="107"/>
      <c r="D216" s="90" t="s">
        <v>380</v>
      </c>
      <c r="E216" s="108" t="s">
        <v>381</v>
      </c>
      <c r="F216" s="90"/>
    </row>
    <row r="217" ht="36" customHeight="1" spans="1:6" x14ac:dyDescent="0.25">
      <c r="A217" s="82" t="s">
        <v>308</v>
      </c>
      <c r="B217" s="85" t="s">
        <v>382</v>
      </c>
      <c r="C217" s="107"/>
      <c r="D217" s="90" t="s">
        <v>71</v>
      </c>
      <c r="E217" s="108" t="s">
        <v>383</v>
      </c>
      <c r="F217" s="90" t="s">
        <v>384</v>
      </c>
    </row>
    <row r="218" ht="24" customHeight="1" spans="1:6" x14ac:dyDescent="0.25">
      <c r="A218" s="82" t="s">
        <v>310</v>
      </c>
      <c r="B218" s="85" t="s">
        <v>385</v>
      </c>
      <c r="C218" s="107"/>
      <c r="D218" s="90" t="s">
        <v>71</v>
      </c>
      <c r="E218" s="108" t="s">
        <v>386</v>
      </c>
      <c r="F218" s="90" t="s">
        <v>387</v>
      </c>
    </row>
    <row r="219" ht="24" customHeight="1" spans="1:6" x14ac:dyDescent="0.25">
      <c r="A219" s="82" t="s">
        <v>312</v>
      </c>
      <c r="B219" s="85" t="s">
        <v>388</v>
      </c>
      <c r="C219" s="107"/>
      <c r="D219" s="90" t="s">
        <v>71</v>
      </c>
      <c r="E219" s="108" t="s">
        <v>386</v>
      </c>
      <c r="F219" s="90" t="s">
        <v>389</v>
      </c>
    </row>
    <row r="220" ht="24" customHeight="1" spans="1:6" x14ac:dyDescent="0.25">
      <c r="A220" s="82" t="s">
        <v>314</v>
      </c>
      <c r="B220" s="85" t="s">
        <v>390</v>
      </c>
      <c r="C220" s="107"/>
      <c r="D220" s="90" t="s">
        <v>391</v>
      </c>
      <c r="E220" s="108" t="s">
        <v>386</v>
      </c>
      <c r="F220" s="90" t="s">
        <v>392</v>
      </c>
    </row>
    <row r="221" ht="108" customHeight="1" spans="1:6" x14ac:dyDescent="0.25">
      <c r="A221" s="82" t="s">
        <v>316</v>
      </c>
      <c r="B221" s="85" t="s">
        <v>393</v>
      </c>
      <c r="C221" s="107"/>
      <c r="D221" s="90" t="s">
        <v>112</v>
      </c>
      <c r="E221" s="108" t="s">
        <v>394</v>
      </c>
      <c r="F221" s="90" t="s">
        <v>395</v>
      </c>
    </row>
    <row r="222" ht="24" customHeight="1" spans="1:6" x14ac:dyDescent="0.25">
      <c r="A222" s="82" t="s">
        <v>396</v>
      </c>
      <c r="B222" s="85" t="s">
        <v>397</v>
      </c>
      <c r="C222" s="107"/>
      <c r="D222" s="90" t="s">
        <v>391</v>
      </c>
      <c r="E222" s="108" t="s">
        <v>398</v>
      </c>
      <c r="F222" s="90" t="s">
        <v>399</v>
      </c>
    </row>
    <row r="223" ht="24" customHeight="1" spans="1:6" x14ac:dyDescent="0.25">
      <c r="A223" s="82" t="s">
        <v>400</v>
      </c>
      <c r="B223" s="85" t="s">
        <v>401</v>
      </c>
      <c r="C223" s="107"/>
      <c r="D223" s="90" t="s">
        <v>112</v>
      </c>
      <c r="E223" s="108" t="s">
        <v>402</v>
      </c>
      <c r="F223" s="90" t="s">
        <v>395</v>
      </c>
    </row>
    <row r="224" ht="24" customHeight="1" spans="1:6" x14ac:dyDescent="0.25">
      <c r="A224" s="82" t="s">
        <v>403</v>
      </c>
      <c r="B224" s="85" t="s">
        <v>404</v>
      </c>
      <c r="C224" s="107"/>
      <c r="D224" s="90" t="s">
        <v>405</v>
      </c>
      <c r="E224" s="108" t="s">
        <v>406</v>
      </c>
      <c r="F224" s="90"/>
    </row>
    <row r="225" ht="24" customHeight="1" spans="1:6" x14ac:dyDescent="0.25">
      <c r="A225" s="82" t="s">
        <v>407</v>
      </c>
      <c r="B225" s="85" t="s">
        <v>408</v>
      </c>
      <c r="C225" s="107"/>
      <c r="D225" s="90" t="s">
        <v>405</v>
      </c>
      <c r="E225" s="108" t="s">
        <v>409</v>
      </c>
      <c r="F225" s="90"/>
    </row>
    <row r="226" ht="25.5" customHeight="1" spans="1:6" x14ac:dyDescent="0.25">
      <c r="A226" s="82" t="s">
        <v>410</v>
      </c>
      <c r="B226" s="85" t="s">
        <v>411</v>
      </c>
      <c r="C226" s="107"/>
      <c r="D226" s="90" t="s">
        <v>405</v>
      </c>
      <c r="E226" s="108" t="s">
        <v>406</v>
      </c>
      <c r="F226" s="90" t="s">
        <v>412</v>
      </c>
    </row>
    <row r="227" ht="25.5" customHeight="1" spans="1:6" x14ac:dyDescent="0.25">
      <c r="A227" s="82" t="s">
        <v>413</v>
      </c>
      <c r="B227" s="85" t="s">
        <v>414</v>
      </c>
      <c r="C227" s="107"/>
      <c r="D227" s="90" t="s">
        <v>405</v>
      </c>
      <c r="E227" s="108" t="s">
        <v>406</v>
      </c>
      <c r="F227" s="90" t="s">
        <v>415</v>
      </c>
    </row>
    <row r="228" ht="24" customHeight="1" spans="1:6" x14ac:dyDescent="0.25">
      <c r="A228" s="82" t="s">
        <v>416</v>
      </c>
      <c r="B228" s="85" t="s">
        <v>417</v>
      </c>
      <c r="C228" s="107"/>
      <c r="D228" s="90" t="s">
        <v>405</v>
      </c>
      <c r="E228" s="108" t="s">
        <v>418</v>
      </c>
      <c r="F228" s="90"/>
    </row>
    <row r="229" ht="24" customHeight="1" spans="1:6" x14ac:dyDescent="0.25">
      <c r="A229" s="82" t="s">
        <v>419</v>
      </c>
      <c r="B229" s="85" t="s">
        <v>420</v>
      </c>
      <c r="C229" s="107"/>
      <c r="D229" s="90" t="s">
        <v>282</v>
      </c>
      <c r="E229" s="108" t="s">
        <v>421</v>
      </c>
      <c r="F229" s="90" t="s">
        <v>422</v>
      </c>
    </row>
    <row r="230" ht="24" customHeight="1" spans="1:6" x14ac:dyDescent="0.25">
      <c r="A230" s="82" t="s">
        <v>423</v>
      </c>
      <c r="B230" s="91" t="s">
        <v>424</v>
      </c>
      <c r="C230" s="87"/>
      <c r="D230" s="102"/>
      <c r="E230" s="84"/>
      <c r="F230" s="84"/>
    </row>
    <row r="231" ht="24" customHeight="1" spans="1:6" x14ac:dyDescent="0.25">
      <c r="A231" s="82" t="s">
        <v>425</v>
      </c>
      <c r="B231" s="91" t="s">
        <v>426</v>
      </c>
      <c r="C231" s="87"/>
      <c r="D231" s="84"/>
      <c r="E231" s="84"/>
      <c r="F231" s="84"/>
    </row>
    <row r="232" ht="60" customHeight="1" spans="1:6" x14ac:dyDescent="0.25">
      <c r="A232" s="82" t="s">
        <v>427</v>
      </c>
      <c r="B232" s="91" t="s">
        <v>428</v>
      </c>
      <c r="C232" s="87"/>
      <c r="D232" s="84"/>
      <c r="E232" s="84"/>
      <c r="F232" s="84"/>
    </row>
    <row r="233" spans="1:6" x14ac:dyDescent="0.25">
      <c r="A233" s="109" t="s">
        <v>443</v>
      </c>
      <c r="B233" s="110" t="s">
        <v>444</v>
      </c>
      <c r="C233" s="87"/>
      <c r="D233" s="84"/>
      <c r="E233" s="84"/>
      <c r="F233" s="84"/>
    </row>
    <row r="234" ht="24" customHeight="1" spans="1:6" x14ac:dyDescent="0.25">
      <c r="A234" s="88" t="s">
        <v>445</v>
      </c>
      <c r="B234" s="91" t="s">
        <v>446</v>
      </c>
      <c r="C234" s="87"/>
      <c r="D234" s="84"/>
      <c r="E234" s="84"/>
      <c r="F234" s="84"/>
    </row>
    <row r="235" ht="24" customHeight="1" spans="1:6" x14ac:dyDescent="0.25">
      <c r="A235" s="88" t="s">
        <v>447</v>
      </c>
      <c r="B235" s="91" t="s">
        <v>448</v>
      </c>
      <c r="C235" s="87"/>
      <c r="D235" s="84"/>
      <c r="E235" s="84"/>
      <c r="F235" s="84"/>
    </row>
    <row r="236" ht="24" customHeight="1" spans="1:6" x14ac:dyDescent="0.25">
      <c r="A236" s="88" t="s">
        <v>449</v>
      </c>
      <c r="B236" s="91" t="s">
        <v>450</v>
      </c>
      <c r="C236" s="87"/>
      <c r="D236" s="84"/>
      <c r="E236" s="84"/>
      <c r="F236" s="84"/>
    </row>
    <row r="237" spans="1:6" x14ac:dyDescent="0.25">
      <c r="A237" s="88" t="s">
        <v>451</v>
      </c>
      <c r="B237" s="91" t="s">
        <v>452</v>
      </c>
      <c r="C237" s="87"/>
      <c r="D237" s="84"/>
      <c r="E237" s="84"/>
      <c r="F237" s="84"/>
    </row>
    <row r="238" ht="24" customHeight="1" spans="1:6" x14ac:dyDescent="0.25">
      <c r="A238" s="88" t="s">
        <v>453</v>
      </c>
      <c r="B238" s="91" t="s">
        <v>454</v>
      </c>
      <c r="C238" s="87"/>
      <c r="D238" s="84"/>
      <c r="E238" s="84"/>
      <c r="F238" s="84"/>
    </row>
    <row r="239" ht="60" customHeight="1" spans="1:6" x14ac:dyDescent="0.25">
      <c r="A239" s="88" t="s">
        <v>455</v>
      </c>
      <c r="B239" s="83" t="s">
        <v>456</v>
      </c>
      <c r="C239" s="87"/>
      <c r="D239" s="84"/>
      <c r="E239" s="84"/>
      <c r="F239" s="84"/>
    </row>
    <row r="240" ht="36" customHeight="1" spans="1:6" x14ac:dyDescent="0.25">
      <c r="A240" s="88" t="s">
        <v>457</v>
      </c>
      <c r="B240" s="91" t="s">
        <v>458</v>
      </c>
      <c r="C240" s="87"/>
      <c r="D240" s="84"/>
      <c r="E240" s="84"/>
      <c r="F240" s="84"/>
    </row>
    <row r="241" spans="1:6" x14ac:dyDescent="0.25">
      <c r="A241" s="88"/>
      <c r="B241" s="91"/>
      <c r="C241" s="87"/>
      <c r="D241" s="84"/>
      <c r="E241" s="84"/>
      <c r="F241" s="84"/>
    </row>
    <row r="242" spans="1:6" x14ac:dyDescent="0.25">
      <c r="A242" s="88" t="s">
        <v>459</v>
      </c>
      <c r="B242" s="83" t="s">
        <v>460</v>
      </c>
      <c r="C242" s="87"/>
      <c r="D242" s="84"/>
      <c r="E242" s="84"/>
      <c r="F242" s="84"/>
    </row>
    <row r="243" spans="1:6" x14ac:dyDescent="0.25">
      <c r="A243" s="88" t="s">
        <v>461</v>
      </c>
      <c r="B243" s="83" t="s">
        <v>462</v>
      </c>
      <c r="C243" s="87"/>
      <c r="D243" s="84"/>
      <c r="E243" s="84"/>
      <c r="F243" s="84"/>
    </row>
    <row r="244" ht="24" customHeight="1" spans="1:6" x14ac:dyDescent="0.25">
      <c r="A244" s="111" t="s">
        <v>306</v>
      </c>
      <c r="B244" s="112" t="s">
        <v>463</v>
      </c>
      <c r="C244" s="113"/>
      <c r="D244" s="114" t="s">
        <v>185</v>
      </c>
      <c r="E244" s="114" t="s">
        <v>464</v>
      </c>
      <c r="F244" s="114" t="s">
        <v>465</v>
      </c>
    </row>
    <row r="245" ht="60" customHeight="1" spans="1:6" x14ac:dyDescent="0.25">
      <c r="A245" s="111" t="s">
        <v>308</v>
      </c>
      <c r="B245" s="112" t="s">
        <v>466</v>
      </c>
      <c r="C245" s="113"/>
      <c r="D245" s="114" t="s">
        <v>185</v>
      </c>
      <c r="E245" s="114" t="s">
        <v>467</v>
      </c>
      <c r="F245" s="114" t="s">
        <v>468</v>
      </c>
    </row>
    <row r="246" ht="60" customHeight="1" spans="1:6" x14ac:dyDescent="0.25">
      <c r="A246" s="111" t="s">
        <v>310</v>
      </c>
      <c r="B246" s="112" t="s">
        <v>469</v>
      </c>
      <c r="C246" s="113"/>
      <c r="D246" s="114" t="s">
        <v>185</v>
      </c>
      <c r="E246" s="114" t="s">
        <v>467</v>
      </c>
      <c r="F246" s="114" t="s">
        <v>468</v>
      </c>
    </row>
    <row r="247" ht="60" customHeight="1" spans="1:6" x14ac:dyDescent="0.25">
      <c r="A247" s="111" t="s">
        <v>312</v>
      </c>
      <c r="B247" s="112" t="s">
        <v>470</v>
      </c>
      <c r="C247" s="113"/>
      <c r="D247" s="114" t="s">
        <v>185</v>
      </c>
      <c r="E247" s="114" t="s">
        <v>467</v>
      </c>
      <c r="F247" s="114" t="s">
        <v>468</v>
      </c>
    </row>
    <row r="248" ht="132" customHeight="1" spans="1:6" x14ac:dyDescent="0.25">
      <c r="A248" s="111" t="s">
        <v>314</v>
      </c>
      <c r="B248" s="112" t="s">
        <v>471</v>
      </c>
      <c r="C248" s="115" t="s">
        <v>472</v>
      </c>
      <c r="D248" s="114" t="s">
        <v>185</v>
      </c>
      <c r="E248" s="114" t="s">
        <v>467</v>
      </c>
      <c r="F248" s="114" t="s">
        <v>468</v>
      </c>
    </row>
    <row r="249" ht="36" customHeight="1" spans="1:6" x14ac:dyDescent="0.25">
      <c r="A249" s="111" t="s">
        <v>316</v>
      </c>
      <c r="B249" s="112" t="s">
        <v>473</v>
      </c>
      <c r="C249" s="115"/>
      <c r="D249" s="114" t="s">
        <v>185</v>
      </c>
      <c r="E249" s="114" t="s">
        <v>474</v>
      </c>
      <c r="F249" s="114" t="s">
        <v>475</v>
      </c>
    </row>
    <row r="250" ht="24" customHeight="1" spans="1:6" x14ac:dyDescent="0.25">
      <c r="A250" s="111" t="s">
        <v>318</v>
      </c>
      <c r="B250" s="112" t="s">
        <v>476</v>
      </c>
      <c r="C250" s="113"/>
      <c r="D250" s="114" t="s">
        <v>185</v>
      </c>
      <c r="E250" s="114" t="s">
        <v>477</v>
      </c>
      <c r="F250" s="114" t="s">
        <v>465</v>
      </c>
    </row>
    <row r="251" ht="36" customHeight="1" spans="1:6" x14ac:dyDescent="0.25">
      <c r="A251" s="111" t="s">
        <v>478</v>
      </c>
      <c r="B251" s="116" t="s">
        <v>479</v>
      </c>
      <c r="C251" s="115" t="s">
        <v>480</v>
      </c>
      <c r="D251" s="114"/>
      <c r="E251" s="114"/>
      <c r="F251" s="114"/>
    </row>
    <row r="252" ht="132" customHeight="1" spans="1:6" x14ac:dyDescent="0.25">
      <c r="A252" s="111" t="s">
        <v>481</v>
      </c>
      <c r="B252" s="112" t="s">
        <v>482</v>
      </c>
      <c r="C252" s="115" t="s">
        <v>472</v>
      </c>
      <c r="D252" s="114"/>
      <c r="E252" s="114"/>
      <c r="F252" s="114"/>
    </row>
    <row r="253" ht="24" customHeight="1" spans="1:6" x14ac:dyDescent="0.25">
      <c r="A253" s="111" t="s">
        <v>483</v>
      </c>
      <c r="B253" s="112" t="s">
        <v>484</v>
      </c>
      <c r="C253" s="115"/>
      <c r="D253" s="114"/>
      <c r="E253" s="114"/>
      <c r="F253" s="114"/>
    </row>
    <row r="254" ht="24" customHeight="1" spans="1:6" x14ac:dyDescent="0.25">
      <c r="A254" s="111" t="s">
        <v>485</v>
      </c>
      <c r="B254" s="112" t="s">
        <v>486</v>
      </c>
      <c r="C254" s="113"/>
      <c r="D254" s="114" t="s">
        <v>282</v>
      </c>
      <c r="E254" s="114" t="s">
        <v>487</v>
      </c>
      <c r="F254" s="114"/>
    </row>
    <row r="255" ht="24" customHeight="1" spans="1:6" x14ac:dyDescent="0.25">
      <c r="A255" s="111" t="s">
        <v>488</v>
      </c>
      <c r="B255" s="112" t="s">
        <v>489</v>
      </c>
      <c r="C255" s="113"/>
      <c r="D255" s="114" t="s">
        <v>282</v>
      </c>
      <c r="E255" s="114" t="s">
        <v>487</v>
      </c>
      <c r="F255" s="114"/>
    </row>
    <row r="256" ht="24" customHeight="1" spans="1:6" x14ac:dyDescent="0.25">
      <c r="A256" s="111" t="s">
        <v>403</v>
      </c>
      <c r="B256" s="112" t="s">
        <v>490</v>
      </c>
      <c r="C256" s="113"/>
      <c r="D256" s="114" t="s">
        <v>282</v>
      </c>
      <c r="E256" s="114" t="s">
        <v>487</v>
      </c>
      <c r="F256" s="114"/>
    </row>
    <row r="257" ht="60" customHeight="1" spans="1:6" x14ac:dyDescent="0.25">
      <c r="A257" s="111" t="s">
        <v>407</v>
      </c>
      <c r="B257" s="112" t="s">
        <v>491</v>
      </c>
      <c r="C257" s="113"/>
      <c r="D257" s="114" t="s">
        <v>282</v>
      </c>
      <c r="E257" s="114" t="s">
        <v>492</v>
      </c>
      <c r="F257" s="114"/>
    </row>
    <row r="258" ht="120" customHeight="1" spans="1:6" x14ac:dyDescent="0.25">
      <c r="A258" s="111" t="s">
        <v>410</v>
      </c>
      <c r="B258" s="112" t="s">
        <v>493</v>
      </c>
      <c r="C258" s="114" t="s">
        <v>494</v>
      </c>
      <c r="D258" s="114" t="s">
        <v>495</v>
      </c>
      <c r="E258" s="114" t="s">
        <v>496</v>
      </c>
      <c r="F258" s="114"/>
    </row>
    <row r="259" ht="120" customHeight="1" spans="1:6" x14ac:dyDescent="0.25">
      <c r="A259" s="117" t="s">
        <v>413</v>
      </c>
      <c r="B259" s="112" t="s">
        <v>497</v>
      </c>
      <c r="C259" s="114" t="s">
        <v>498</v>
      </c>
      <c r="D259" s="114" t="s">
        <v>499</v>
      </c>
      <c r="E259" s="114" t="s">
        <v>500</v>
      </c>
      <c r="F259" s="114"/>
    </row>
    <row r="260" spans="1:6" x14ac:dyDescent="0.25">
      <c r="A260" s="111" t="s">
        <v>416</v>
      </c>
      <c r="B260" s="112" t="s">
        <v>501</v>
      </c>
      <c r="C260" s="113"/>
      <c r="D260" s="114" t="s">
        <v>502</v>
      </c>
      <c r="E260" s="114" t="s">
        <v>503</v>
      </c>
      <c r="F260" s="114" t="s">
        <v>504</v>
      </c>
    </row>
    <row r="261" spans="1:6" x14ac:dyDescent="0.25">
      <c r="A261" s="111" t="s">
        <v>419</v>
      </c>
      <c r="B261" s="112" t="s">
        <v>505</v>
      </c>
      <c r="C261" s="113"/>
      <c r="D261" s="114" t="s">
        <v>502</v>
      </c>
      <c r="E261" s="114" t="s">
        <v>506</v>
      </c>
      <c r="F261" s="114"/>
    </row>
    <row r="262" ht="24" customHeight="1" spans="1:6" x14ac:dyDescent="0.25">
      <c r="A262" s="111" t="s">
        <v>423</v>
      </c>
      <c r="B262" s="112" t="s">
        <v>507</v>
      </c>
      <c r="C262" s="114" t="s">
        <v>508</v>
      </c>
      <c r="D262" s="114"/>
      <c r="E262" s="114" t="s">
        <v>509</v>
      </c>
      <c r="F262" s="114"/>
    </row>
    <row r="263" ht="24" customHeight="1" spans="1:6" x14ac:dyDescent="0.25">
      <c r="A263" s="111" t="s">
        <v>425</v>
      </c>
      <c r="B263" s="112" t="s">
        <v>510</v>
      </c>
      <c r="C263" s="114" t="s">
        <v>511</v>
      </c>
      <c r="D263" s="114"/>
      <c r="E263" s="114" t="s">
        <v>512</v>
      </c>
      <c r="F263" s="114"/>
    </row>
    <row r="264" ht="24" customHeight="1" spans="1:6" x14ac:dyDescent="0.25">
      <c r="A264" s="118" t="s">
        <v>427</v>
      </c>
      <c r="B264" s="112" t="s">
        <v>513</v>
      </c>
      <c r="C264" s="113"/>
      <c r="D264" s="114"/>
      <c r="E264" s="114"/>
      <c r="F264" s="114"/>
    </row>
    <row r="265" ht="24" customHeight="1" spans="1:6" x14ac:dyDescent="0.25">
      <c r="A265" s="118" t="s">
        <v>514</v>
      </c>
      <c r="B265" s="112" t="s">
        <v>515</v>
      </c>
      <c r="C265" s="114" t="s">
        <v>511</v>
      </c>
      <c r="D265" s="114"/>
      <c r="E265" s="114" t="s">
        <v>512</v>
      </c>
      <c r="F265" s="114"/>
    </row>
    <row r="266" ht="48" customHeight="1" spans="1:6" x14ac:dyDescent="0.25">
      <c r="A266" s="118" t="s">
        <v>516</v>
      </c>
      <c r="B266" s="119" t="s">
        <v>517</v>
      </c>
      <c r="C266" s="113"/>
      <c r="D266" s="114"/>
      <c r="E266" s="114"/>
      <c r="F266" s="114"/>
    </row>
    <row r="267" ht="24" customHeight="1" spans="1:6" x14ac:dyDescent="0.25">
      <c r="A267" s="118" t="s">
        <v>518</v>
      </c>
      <c r="B267" s="119" t="s">
        <v>519</v>
      </c>
      <c r="C267" s="113"/>
      <c r="D267" s="114"/>
      <c r="E267" s="114"/>
      <c r="F267" s="114"/>
    </row>
    <row r="268" ht="36" customHeight="1" spans="1:6" x14ac:dyDescent="0.25">
      <c r="A268" s="118" t="s">
        <v>520</v>
      </c>
      <c r="B268" s="119" t="s">
        <v>521</v>
      </c>
      <c r="C268" s="113"/>
      <c r="D268" s="114"/>
      <c r="E268" s="114"/>
      <c r="F268" s="114"/>
    </row>
    <row r="269" ht="24" customHeight="1" spans="1:6" x14ac:dyDescent="0.25">
      <c r="A269" s="118" t="s">
        <v>522</v>
      </c>
      <c r="B269" s="120" t="s">
        <v>523</v>
      </c>
      <c r="C269" s="113"/>
      <c r="D269" s="114"/>
      <c r="E269" s="114"/>
      <c r="F269" s="114"/>
    </row>
    <row r="270" ht="24" customHeight="1" spans="1:6" x14ac:dyDescent="0.25">
      <c r="A270" s="118" t="s">
        <v>524</v>
      </c>
      <c r="B270" s="120" t="s">
        <v>525</v>
      </c>
      <c r="C270" s="113"/>
      <c r="D270" s="114"/>
      <c r="E270" s="114"/>
      <c r="F270" s="114"/>
    </row>
    <row r="271" ht="36" customHeight="1" spans="1:6" x14ac:dyDescent="0.25">
      <c r="A271" s="118" t="s">
        <v>526</v>
      </c>
      <c r="B271" s="120" t="s">
        <v>527</v>
      </c>
      <c r="C271" s="113"/>
      <c r="D271" s="114"/>
      <c r="E271" s="114"/>
      <c r="F271" s="114"/>
    </row>
    <row r="272" ht="24" customHeight="1" spans="1:6" x14ac:dyDescent="0.25">
      <c r="A272" s="118" t="s">
        <v>528</v>
      </c>
      <c r="B272" s="120" t="s">
        <v>529</v>
      </c>
      <c r="C272" s="113"/>
      <c r="D272" s="114"/>
      <c r="E272" s="114"/>
      <c r="F272" s="114"/>
    </row>
    <row r="273" spans="1:6" x14ac:dyDescent="0.25">
      <c r="A273" s="88"/>
      <c r="B273" s="83"/>
      <c r="C273" s="87"/>
      <c r="D273" s="84"/>
      <c r="E273" s="84"/>
      <c r="F273" s="84"/>
    </row>
    <row r="274" spans="1:6" x14ac:dyDescent="0.25">
      <c r="A274" s="88" t="s">
        <v>530</v>
      </c>
      <c r="B274" s="83" t="s">
        <v>531</v>
      </c>
      <c r="C274" s="87"/>
      <c r="D274" s="84"/>
      <c r="E274" s="84"/>
      <c r="F274" s="84"/>
    </row>
    <row r="275" spans="1:6" x14ac:dyDescent="0.25">
      <c r="A275" s="88" t="s">
        <v>532</v>
      </c>
      <c r="B275" s="83" t="s">
        <v>533</v>
      </c>
      <c r="C275" s="87"/>
      <c r="D275" s="84"/>
      <c r="E275" s="84"/>
      <c r="F275" s="84"/>
    </row>
    <row r="276" ht="68.25" customHeight="1" spans="1:6" x14ac:dyDescent="0.25">
      <c r="A276" s="82" t="s">
        <v>306</v>
      </c>
      <c r="B276" s="83" t="s">
        <v>534</v>
      </c>
      <c r="C276" s="84" t="s">
        <v>535</v>
      </c>
      <c r="D276" s="84" t="s">
        <v>61</v>
      </c>
      <c r="E276" s="84" t="s">
        <v>536</v>
      </c>
      <c r="F276" s="84"/>
    </row>
    <row r="277" ht="34.5" customHeight="1" spans="1:6" x14ac:dyDescent="0.25">
      <c r="A277" s="82" t="s">
        <v>308</v>
      </c>
      <c r="B277" s="90" t="s">
        <v>537</v>
      </c>
      <c r="C277" s="87"/>
      <c r="D277" s="84" t="s">
        <v>61</v>
      </c>
      <c r="E277" s="84" t="s">
        <v>538</v>
      </c>
      <c r="F277" s="84" t="s">
        <v>539</v>
      </c>
    </row>
    <row r="278" ht="36" customHeight="1" spans="1:6" x14ac:dyDescent="0.25">
      <c r="A278" s="82" t="s">
        <v>310</v>
      </c>
      <c r="B278" s="90" t="s">
        <v>540</v>
      </c>
      <c r="C278" s="87"/>
      <c r="D278" s="84" t="s">
        <v>541</v>
      </c>
      <c r="E278" s="84" t="s">
        <v>542</v>
      </c>
      <c r="F278" s="84" t="s">
        <v>543</v>
      </c>
    </row>
    <row r="279" ht="36" customHeight="1" spans="1:6" x14ac:dyDescent="0.25">
      <c r="A279" s="82" t="s">
        <v>312</v>
      </c>
      <c r="B279" s="90" t="s">
        <v>544</v>
      </c>
      <c r="C279" s="87"/>
      <c r="D279" s="84" t="s">
        <v>541</v>
      </c>
      <c r="E279" s="84" t="s">
        <v>545</v>
      </c>
      <c r="F279" s="84" t="s">
        <v>546</v>
      </c>
    </row>
    <row r="280" ht="36" customHeight="1" spans="1:6" x14ac:dyDescent="0.25">
      <c r="A280" s="82" t="s">
        <v>314</v>
      </c>
      <c r="B280" s="90" t="s">
        <v>547</v>
      </c>
      <c r="C280" s="87"/>
      <c r="D280" s="84" t="s">
        <v>548</v>
      </c>
      <c r="E280" s="84" t="s">
        <v>549</v>
      </c>
      <c r="F280" s="84" t="s">
        <v>550</v>
      </c>
    </row>
    <row r="281" ht="60.75" customHeight="1" spans="1:6" x14ac:dyDescent="0.25">
      <c r="A281" s="82" t="s">
        <v>316</v>
      </c>
      <c r="B281" s="90" t="s">
        <v>551</v>
      </c>
      <c r="C281" s="87"/>
      <c r="D281" s="84" t="s">
        <v>541</v>
      </c>
      <c r="E281" s="84" t="s">
        <v>542</v>
      </c>
      <c r="F281" s="84" t="s">
        <v>552</v>
      </c>
    </row>
    <row r="282" ht="51.75" customHeight="1" spans="1:6" x14ac:dyDescent="0.25">
      <c r="A282" s="82" t="s">
        <v>318</v>
      </c>
      <c r="B282" s="90" t="s">
        <v>553</v>
      </c>
      <c r="C282" s="87"/>
      <c r="D282" s="84" t="s">
        <v>61</v>
      </c>
      <c r="E282" s="84" t="s">
        <v>554</v>
      </c>
      <c r="F282" s="84"/>
    </row>
    <row r="283" ht="67.5" customHeight="1" spans="1:6" x14ac:dyDescent="0.25">
      <c r="A283" s="82" t="s">
        <v>478</v>
      </c>
      <c r="B283" s="90" t="s">
        <v>555</v>
      </c>
      <c r="C283" s="87"/>
      <c r="D283" s="84" t="s">
        <v>61</v>
      </c>
      <c r="E283" s="84" t="s">
        <v>556</v>
      </c>
      <c r="F283" s="84" t="s">
        <v>557</v>
      </c>
    </row>
    <row r="284" ht="36" customHeight="1" spans="1:6" x14ac:dyDescent="0.25">
      <c r="A284" s="82" t="s">
        <v>481</v>
      </c>
      <c r="B284" s="90" t="s">
        <v>558</v>
      </c>
      <c r="C284" s="87"/>
      <c r="D284" s="84" t="s">
        <v>541</v>
      </c>
      <c r="E284" s="84" t="s">
        <v>559</v>
      </c>
      <c r="F284" s="84" t="s">
        <v>543</v>
      </c>
    </row>
    <row r="285" spans="1:6" x14ac:dyDescent="0.25">
      <c r="A285" s="82"/>
      <c r="B285" s="90"/>
      <c r="C285" s="87"/>
      <c r="D285" s="84"/>
      <c r="E285" s="84"/>
      <c r="F285" s="84"/>
    </row>
    <row r="286" spans="1:6" x14ac:dyDescent="0.25">
      <c r="A286" s="88" t="s">
        <v>560</v>
      </c>
      <c r="B286" s="83" t="s">
        <v>561</v>
      </c>
      <c r="C286" s="87"/>
      <c r="D286" s="84"/>
      <c r="E286" s="84"/>
      <c r="F286" s="84"/>
    </row>
    <row r="287" ht="36" customHeight="1" spans="1:6" x14ac:dyDescent="0.25">
      <c r="A287" s="82" t="s">
        <v>306</v>
      </c>
      <c r="B287" s="90" t="s">
        <v>562</v>
      </c>
      <c r="C287" s="84" t="s">
        <v>535</v>
      </c>
      <c r="D287" s="84" t="s">
        <v>61</v>
      </c>
      <c r="E287" s="84" t="s">
        <v>536</v>
      </c>
      <c r="F287" s="84"/>
    </row>
    <row r="288" ht="24" customHeight="1" spans="1:6" x14ac:dyDescent="0.25">
      <c r="A288" s="82" t="s">
        <v>306</v>
      </c>
      <c r="B288" s="90" t="s">
        <v>563</v>
      </c>
      <c r="C288" s="84"/>
      <c r="D288" s="84" t="s">
        <v>61</v>
      </c>
      <c r="E288" s="84" t="s">
        <v>538</v>
      </c>
      <c r="F288" s="84" t="s">
        <v>564</v>
      </c>
    </row>
    <row r="289" ht="36" customHeight="1" spans="1:6" x14ac:dyDescent="0.25">
      <c r="A289" s="82" t="s">
        <v>308</v>
      </c>
      <c r="B289" s="90" t="s">
        <v>565</v>
      </c>
      <c r="C289" s="84"/>
      <c r="D289" s="84" t="s">
        <v>541</v>
      </c>
      <c r="E289" s="84" t="s">
        <v>566</v>
      </c>
      <c r="F289" s="84" t="s">
        <v>567</v>
      </c>
    </row>
    <row r="290" ht="36" customHeight="1" spans="1:6" x14ac:dyDescent="0.25">
      <c r="A290" s="82" t="s">
        <v>310</v>
      </c>
      <c r="B290" s="83" t="s">
        <v>568</v>
      </c>
      <c r="C290" s="121" t="s">
        <v>569</v>
      </c>
      <c r="D290" s="84" t="s">
        <v>541</v>
      </c>
      <c r="E290" s="84" t="s">
        <v>570</v>
      </c>
      <c r="F290" s="84" t="s">
        <v>552</v>
      </c>
    </row>
    <row r="291" ht="24" customHeight="1" spans="1:6" x14ac:dyDescent="0.25">
      <c r="A291" s="82" t="s">
        <v>312</v>
      </c>
      <c r="B291" s="83" t="s">
        <v>571</v>
      </c>
      <c r="C291" s="122"/>
      <c r="D291" s="84" t="s">
        <v>61</v>
      </c>
      <c r="E291" s="84" t="s">
        <v>572</v>
      </c>
      <c r="F291" s="84" t="s">
        <v>573</v>
      </c>
    </row>
    <row r="292" ht="48" customHeight="1" spans="1:6" x14ac:dyDescent="0.25">
      <c r="A292" s="82" t="s">
        <v>314</v>
      </c>
      <c r="B292" s="83" t="s">
        <v>574</v>
      </c>
      <c r="C292" s="123"/>
      <c r="D292" s="84" t="s">
        <v>61</v>
      </c>
      <c r="E292" s="84" t="s">
        <v>575</v>
      </c>
      <c r="F292" s="84" t="s">
        <v>576</v>
      </c>
    </row>
    <row r="293" ht="15" customHeight="1" spans="1:6" x14ac:dyDescent="0.25">
      <c r="A293" s="124" t="s">
        <v>577</v>
      </c>
      <c r="B293" s="124"/>
      <c r="C293" s="124"/>
      <c r="D293" s="124"/>
      <c r="E293" s="124"/>
      <c r="F293" s="124"/>
    </row>
    <row r="294" spans="1:6" x14ac:dyDescent="0.25">
      <c r="A294" s="125">
        <v>1</v>
      </c>
      <c r="B294" s="126" t="s">
        <v>578</v>
      </c>
      <c r="C294" s="103"/>
      <c r="D294" s="103"/>
      <c r="E294" s="103"/>
      <c r="F294" s="103"/>
    </row>
    <row r="295" ht="72" customHeight="1" spans="1:6" x14ac:dyDescent="0.25">
      <c r="A295" s="103" t="s">
        <v>579</v>
      </c>
      <c r="B295" s="90" t="s">
        <v>580</v>
      </c>
      <c r="C295" s="103"/>
      <c r="D295" s="103"/>
      <c r="E295" s="86" t="s">
        <v>581</v>
      </c>
      <c r="F295" s="127" t="s">
        <v>582</v>
      </c>
    </row>
    <row r="296" ht="24" customHeight="1" spans="1:6" x14ac:dyDescent="0.25">
      <c r="A296" s="103" t="s">
        <v>583</v>
      </c>
      <c r="B296" s="128" t="s">
        <v>584</v>
      </c>
      <c r="C296" s="103"/>
      <c r="D296" s="103"/>
      <c r="E296" s="86"/>
      <c r="F296" s="103"/>
    </row>
    <row r="297" spans="1:6" x14ac:dyDescent="0.25">
      <c r="A297" s="125">
        <v>2</v>
      </c>
      <c r="B297" s="126" t="s">
        <v>585</v>
      </c>
      <c r="C297" s="103"/>
      <c r="D297" s="103"/>
      <c r="E297" s="86"/>
      <c r="F297" s="103"/>
    </row>
    <row r="298" ht="48" customHeight="1" spans="1:6" x14ac:dyDescent="0.25">
      <c r="A298" s="103" t="s">
        <v>586</v>
      </c>
      <c r="B298" s="90" t="s">
        <v>587</v>
      </c>
      <c r="C298" s="103"/>
      <c r="D298" s="82" t="s">
        <v>588</v>
      </c>
      <c r="E298" s="86" t="s">
        <v>589</v>
      </c>
      <c r="F298" s="86" t="s">
        <v>590</v>
      </c>
    </row>
    <row r="299" ht="48" customHeight="1" spans="1:6" x14ac:dyDescent="0.25">
      <c r="A299" s="82" t="s">
        <v>591</v>
      </c>
      <c r="B299" s="128" t="s">
        <v>592</v>
      </c>
      <c r="C299" s="103"/>
      <c r="D299" s="103"/>
      <c r="E299" s="86"/>
      <c r="F299" s="127"/>
    </row>
    <row r="300" ht="24" customHeight="1" spans="1:6" x14ac:dyDescent="0.25">
      <c r="A300" s="129" t="s">
        <v>593</v>
      </c>
      <c r="B300" s="90" t="s">
        <v>594</v>
      </c>
      <c r="C300" s="103"/>
      <c r="D300" s="82" t="s">
        <v>588</v>
      </c>
      <c r="E300" s="86" t="s">
        <v>595</v>
      </c>
      <c r="F300" s="86" t="s">
        <v>596</v>
      </c>
    </row>
    <row r="301" spans="1:6" x14ac:dyDescent="0.25">
      <c r="A301" s="125">
        <v>3</v>
      </c>
      <c r="B301" s="126" t="s">
        <v>597</v>
      </c>
      <c r="C301" s="103"/>
      <c r="D301" s="103"/>
      <c r="E301" s="86"/>
      <c r="F301" s="127"/>
    </row>
    <row r="302" ht="24" customHeight="1" spans="1:6" x14ac:dyDescent="0.25">
      <c r="A302" s="125" t="s">
        <v>598</v>
      </c>
      <c r="B302" s="126" t="s">
        <v>599</v>
      </c>
      <c r="C302" s="103"/>
      <c r="D302" s="103"/>
      <c r="E302" s="86"/>
      <c r="F302" s="127"/>
    </row>
    <row r="303" ht="108" customHeight="1" spans="1:6" x14ac:dyDescent="0.25">
      <c r="A303" s="103" t="s">
        <v>600</v>
      </c>
      <c r="B303" s="90" t="s">
        <v>601</v>
      </c>
      <c r="C303" s="82" t="s">
        <v>602</v>
      </c>
      <c r="D303" s="103"/>
      <c r="E303" s="86" t="s">
        <v>603</v>
      </c>
      <c r="F303" s="86" t="s">
        <v>604</v>
      </c>
    </row>
    <row r="304" ht="60" customHeight="1" spans="1:6" x14ac:dyDescent="0.25">
      <c r="A304" s="103" t="s">
        <v>605</v>
      </c>
      <c r="B304" s="128" t="s">
        <v>606</v>
      </c>
      <c r="C304" s="103"/>
      <c r="D304" s="103"/>
      <c r="E304" s="86"/>
      <c r="F304" s="127"/>
    </row>
    <row r="305" ht="24" customHeight="1" spans="1:6" x14ac:dyDescent="0.25">
      <c r="A305" s="125" t="s">
        <v>607</v>
      </c>
      <c r="B305" s="126" t="s">
        <v>608</v>
      </c>
      <c r="C305" s="103"/>
      <c r="D305" s="103"/>
      <c r="E305" s="86"/>
      <c r="F305" s="127"/>
    </row>
    <row r="306" ht="72" customHeight="1" spans="1:6" x14ac:dyDescent="0.25">
      <c r="A306" s="103" t="s">
        <v>609</v>
      </c>
      <c r="B306" s="90" t="s">
        <v>610</v>
      </c>
      <c r="C306" s="103"/>
      <c r="D306" s="103"/>
      <c r="E306" s="86" t="s">
        <v>611</v>
      </c>
      <c r="F306" s="86" t="s">
        <v>612</v>
      </c>
    </row>
    <row r="307" ht="60" customHeight="1" spans="1:6" x14ac:dyDescent="0.25">
      <c r="A307" s="103" t="s">
        <v>613</v>
      </c>
      <c r="B307" s="128" t="s">
        <v>614</v>
      </c>
      <c r="C307" s="103"/>
      <c r="D307" s="103"/>
      <c r="E307" s="86"/>
      <c r="F307" s="127"/>
    </row>
    <row r="308" spans="1:6" x14ac:dyDescent="0.25">
      <c r="A308" s="125">
        <v>4</v>
      </c>
      <c r="B308" s="126" t="s">
        <v>615</v>
      </c>
      <c r="C308" s="103"/>
      <c r="D308" s="103"/>
      <c r="E308" s="86"/>
      <c r="F308" s="127"/>
    </row>
    <row r="309" ht="120" customHeight="1" spans="1:6" x14ac:dyDescent="0.25">
      <c r="A309" s="103" t="s">
        <v>616</v>
      </c>
      <c r="B309" s="90" t="s">
        <v>617</v>
      </c>
      <c r="C309" s="90" t="s">
        <v>618</v>
      </c>
      <c r="D309" s="103"/>
      <c r="E309" s="115" t="s">
        <v>619</v>
      </c>
      <c r="F309" s="86" t="s">
        <v>620</v>
      </c>
    </row>
    <row r="310" spans="1:6" x14ac:dyDescent="0.25">
      <c r="A310" s="103"/>
      <c r="B310" s="103"/>
      <c r="C310" s="103"/>
      <c r="D310" s="103"/>
      <c r="E310" s="103"/>
      <c r="F310" s="127"/>
    </row>
    <row r="311" spans="1:6" x14ac:dyDescent="0.25">
      <c r="A311" s="88" t="s">
        <v>621</v>
      </c>
      <c r="B311" s="83" t="s">
        <v>622</v>
      </c>
      <c r="C311" s="87"/>
      <c r="D311" s="87"/>
      <c r="E311" s="87"/>
      <c r="F311" s="127"/>
    </row>
    <row r="312" ht="24" customHeight="1" spans="1:6" x14ac:dyDescent="0.25">
      <c r="A312" s="103" t="s">
        <v>306</v>
      </c>
      <c r="B312" s="90" t="s">
        <v>623</v>
      </c>
      <c r="C312" s="87"/>
      <c r="D312" s="87" t="s">
        <v>61</v>
      </c>
      <c r="E312" s="87"/>
      <c r="F312" s="127"/>
    </row>
    <row r="313" ht="24" customHeight="1" spans="1:6" x14ac:dyDescent="0.25">
      <c r="A313" s="103" t="s">
        <v>308</v>
      </c>
      <c r="B313" s="90" t="s">
        <v>624</v>
      </c>
      <c r="C313" s="87"/>
      <c r="D313" s="84" t="s">
        <v>61</v>
      </c>
      <c r="E313" s="84" t="s">
        <v>538</v>
      </c>
      <c r="F313" s="86" t="s">
        <v>564</v>
      </c>
    </row>
    <row r="314" ht="36" customHeight="1" spans="1:6" x14ac:dyDescent="0.25">
      <c r="A314" s="103" t="s">
        <v>310</v>
      </c>
      <c r="B314" s="90" t="s">
        <v>625</v>
      </c>
      <c r="C314" s="87"/>
      <c r="D314" s="84" t="s">
        <v>541</v>
      </c>
      <c r="E314" s="84" t="s">
        <v>566</v>
      </c>
      <c r="F314" s="86" t="s">
        <v>567</v>
      </c>
    </row>
    <row r="315" ht="91.5" customHeight="1" spans="1:6" x14ac:dyDescent="0.25">
      <c r="A315" s="103" t="s">
        <v>312</v>
      </c>
      <c r="B315" s="90" t="s">
        <v>626</v>
      </c>
      <c r="C315" s="87"/>
      <c r="D315" s="84" t="s">
        <v>541</v>
      </c>
      <c r="E315" s="84" t="s">
        <v>627</v>
      </c>
      <c r="F315" s="86" t="s">
        <v>628</v>
      </c>
    </row>
    <row r="316" ht="36" customHeight="1" spans="1:6" x14ac:dyDescent="0.25">
      <c r="A316" s="103" t="s">
        <v>314</v>
      </c>
      <c r="B316" s="90" t="s">
        <v>629</v>
      </c>
      <c r="C316" s="87"/>
      <c r="D316" s="84" t="s">
        <v>541</v>
      </c>
      <c r="E316" s="84" t="s">
        <v>570</v>
      </c>
      <c r="F316" s="86" t="s">
        <v>552</v>
      </c>
    </row>
    <row r="317" spans="1:6" x14ac:dyDescent="0.25">
      <c r="A317" s="103" t="s">
        <v>316</v>
      </c>
      <c r="B317" s="90" t="s">
        <v>630</v>
      </c>
      <c r="C317" s="84"/>
      <c r="D317" s="84" t="s">
        <v>61</v>
      </c>
      <c r="E317" s="84" t="s">
        <v>572</v>
      </c>
      <c r="F317" s="86" t="s">
        <v>573</v>
      </c>
    </row>
    <row r="318" ht="24" customHeight="1" spans="1:6" x14ac:dyDescent="0.25">
      <c r="A318" s="93" t="s">
        <v>318</v>
      </c>
      <c r="B318" s="90" t="s">
        <v>631</v>
      </c>
      <c r="C318" s="84"/>
      <c r="D318" s="84" t="s">
        <v>541</v>
      </c>
      <c r="E318" s="84" t="s">
        <v>632</v>
      </c>
      <c r="F318" s="86" t="s">
        <v>633</v>
      </c>
    </row>
    <row r="319" spans="1:6" x14ac:dyDescent="0.25">
      <c r="A319" s="82"/>
      <c r="B319" s="90"/>
      <c r="C319" s="87"/>
      <c r="D319" s="84"/>
      <c r="E319" s="84"/>
      <c r="F319" s="86"/>
    </row>
    <row r="320" spans="1:6" x14ac:dyDescent="0.25">
      <c r="A320" s="88" t="s">
        <v>634</v>
      </c>
      <c r="B320" s="83" t="s">
        <v>635</v>
      </c>
      <c r="C320" s="87"/>
      <c r="D320" s="84"/>
      <c r="E320" s="87"/>
      <c r="F320" s="86"/>
    </row>
    <row r="321" ht="24" customHeight="1" spans="1:6" x14ac:dyDescent="0.25">
      <c r="A321" s="82" t="s">
        <v>306</v>
      </c>
      <c r="B321" s="90" t="s">
        <v>636</v>
      </c>
      <c r="C321" s="87"/>
      <c r="D321" s="84" t="s">
        <v>61</v>
      </c>
      <c r="E321" s="84" t="s">
        <v>538</v>
      </c>
      <c r="F321" s="86"/>
    </row>
    <row r="322" ht="36" customHeight="1" spans="1:6" x14ac:dyDescent="0.25">
      <c r="A322" s="82" t="s">
        <v>308</v>
      </c>
      <c r="B322" s="90" t="s">
        <v>637</v>
      </c>
      <c r="C322" s="87"/>
      <c r="D322" s="84" t="s">
        <v>638</v>
      </c>
      <c r="E322" s="84" t="s">
        <v>639</v>
      </c>
      <c r="F322" s="86" t="s">
        <v>640</v>
      </c>
    </row>
    <row r="323" ht="36" customHeight="1" spans="1:6" x14ac:dyDescent="0.25">
      <c r="A323" s="82" t="s">
        <v>310</v>
      </c>
      <c r="B323" s="90" t="s">
        <v>641</v>
      </c>
      <c r="C323" s="87"/>
      <c r="D323" s="84" t="s">
        <v>638</v>
      </c>
      <c r="E323" s="84" t="s">
        <v>639</v>
      </c>
      <c r="F323" s="86" t="s">
        <v>633</v>
      </c>
    </row>
    <row r="324" spans="1:6" x14ac:dyDescent="0.25">
      <c r="A324" s="82"/>
      <c r="B324" s="90"/>
      <c r="C324" s="84"/>
      <c r="D324" s="84"/>
      <c r="E324" s="84"/>
      <c r="F324" s="86"/>
    </row>
    <row r="325" spans="1:6" x14ac:dyDescent="0.25">
      <c r="A325" s="82" t="s">
        <v>642</v>
      </c>
      <c r="B325" s="130" t="s">
        <v>643</v>
      </c>
      <c r="C325" s="87"/>
      <c r="D325" s="84"/>
      <c r="E325" s="84"/>
      <c r="F325" s="86"/>
    </row>
    <row r="326" ht="24" customHeight="1" spans="1:6" x14ac:dyDescent="0.25">
      <c r="A326" s="93" t="s">
        <v>306</v>
      </c>
      <c r="B326" s="90" t="s">
        <v>644</v>
      </c>
      <c r="C326" s="87"/>
      <c r="D326" s="84" t="s">
        <v>61</v>
      </c>
      <c r="E326" s="84"/>
      <c r="F326" s="86"/>
    </row>
    <row r="327" ht="24" customHeight="1" spans="1:6" x14ac:dyDescent="0.25">
      <c r="A327" s="93" t="s">
        <v>308</v>
      </c>
      <c r="B327" s="90" t="s">
        <v>624</v>
      </c>
      <c r="C327" s="87"/>
      <c r="D327" s="84" t="s">
        <v>61</v>
      </c>
      <c r="E327" s="84" t="s">
        <v>538</v>
      </c>
      <c r="F327" s="86" t="s">
        <v>564</v>
      </c>
    </row>
    <row r="328" ht="36" customHeight="1" spans="1:6" x14ac:dyDescent="0.25">
      <c r="A328" s="93" t="s">
        <v>310</v>
      </c>
      <c r="B328" s="90" t="s">
        <v>625</v>
      </c>
      <c r="C328" s="87"/>
      <c r="D328" s="84" t="s">
        <v>541</v>
      </c>
      <c r="E328" s="84" t="s">
        <v>566</v>
      </c>
      <c r="F328" s="86" t="s">
        <v>567</v>
      </c>
    </row>
    <row r="329" ht="36" customHeight="1" spans="1:6" x14ac:dyDescent="0.25">
      <c r="A329" s="93" t="s">
        <v>312</v>
      </c>
      <c r="B329" s="90" t="s">
        <v>629</v>
      </c>
      <c r="C329" s="87"/>
      <c r="D329" s="84" t="s">
        <v>541</v>
      </c>
      <c r="E329" s="84" t="s">
        <v>645</v>
      </c>
      <c r="F329" s="86" t="s">
        <v>552</v>
      </c>
    </row>
    <row r="330" spans="1:6" x14ac:dyDescent="0.25">
      <c r="A330" s="93" t="s">
        <v>314</v>
      </c>
      <c r="B330" s="90" t="s">
        <v>646</v>
      </c>
      <c r="C330" s="87"/>
      <c r="D330" s="84" t="s">
        <v>61</v>
      </c>
      <c r="E330" s="84" t="s">
        <v>572</v>
      </c>
      <c r="F330" s="86" t="s">
        <v>573</v>
      </c>
    </row>
    <row r="331" ht="24" customHeight="1" spans="1:6" x14ac:dyDescent="0.25">
      <c r="A331" s="131" t="s">
        <v>316</v>
      </c>
      <c r="B331" s="90" t="s">
        <v>647</v>
      </c>
      <c r="C331" s="87"/>
      <c r="D331" s="84" t="s">
        <v>541</v>
      </c>
      <c r="E331" s="84" t="s">
        <v>632</v>
      </c>
      <c r="F331" s="86" t="s">
        <v>633</v>
      </c>
    </row>
    <row r="332" ht="36" customHeight="1" spans="1:6" x14ac:dyDescent="0.25">
      <c r="A332" s="131" t="s">
        <v>318</v>
      </c>
      <c r="B332" s="90" t="s">
        <v>648</v>
      </c>
      <c r="C332" s="87"/>
      <c r="D332" s="84" t="s">
        <v>541</v>
      </c>
      <c r="E332" s="84" t="s">
        <v>649</v>
      </c>
      <c r="F332" s="86" t="s">
        <v>650</v>
      </c>
    </row>
    <row r="333" ht="36" customHeight="1" spans="1:6" x14ac:dyDescent="0.25">
      <c r="A333" s="93" t="s">
        <v>478</v>
      </c>
      <c r="B333" s="90" t="s">
        <v>651</v>
      </c>
      <c r="C333" s="87"/>
      <c r="D333" s="84" t="s">
        <v>541</v>
      </c>
      <c r="E333" s="84" t="s">
        <v>652</v>
      </c>
      <c r="F333" s="86" t="s">
        <v>650</v>
      </c>
    </row>
    <row r="334" ht="36" customHeight="1" spans="1:6" x14ac:dyDescent="0.25">
      <c r="A334" s="93" t="s">
        <v>481</v>
      </c>
      <c r="B334" s="90" t="s">
        <v>653</v>
      </c>
      <c r="C334" s="87"/>
      <c r="D334" s="84" t="s">
        <v>541</v>
      </c>
      <c r="E334" s="84" t="s">
        <v>652</v>
      </c>
      <c r="F334" s="86" t="s">
        <v>650</v>
      </c>
    </row>
    <row r="335" ht="36" customHeight="1" spans="1:6" x14ac:dyDescent="0.25">
      <c r="A335" s="93" t="s">
        <v>483</v>
      </c>
      <c r="B335" s="90" t="s">
        <v>654</v>
      </c>
      <c r="C335" s="87"/>
      <c r="D335" s="84" t="s">
        <v>541</v>
      </c>
      <c r="E335" s="84" t="s">
        <v>652</v>
      </c>
      <c r="F335" s="86" t="s">
        <v>650</v>
      </c>
    </row>
    <row r="336" spans="1:6" x14ac:dyDescent="0.25">
      <c r="A336" s="82"/>
      <c r="B336" s="91" t="s">
        <v>655</v>
      </c>
      <c r="C336" s="87"/>
      <c r="D336" s="84"/>
      <c r="E336" s="86"/>
      <c r="F336" s="127"/>
    </row>
    <row r="337" ht="24" customHeight="1" spans="1:6" x14ac:dyDescent="0.25">
      <c r="A337" s="93" t="s">
        <v>485</v>
      </c>
      <c r="B337" s="90" t="s">
        <v>656</v>
      </c>
      <c r="C337" s="84"/>
      <c r="D337" s="115" t="s">
        <v>541</v>
      </c>
      <c r="E337" s="115" t="s">
        <v>657</v>
      </c>
      <c r="F337" s="115" t="s">
        <v>412</v>
      </c>
    </row>
    <row r="338" ht="24" customHeight="1" spans="1:6" x14ac:dyDescent="0.25">
      <c r="A338" s="93" t="s">
        <v>488</v>
      </c>
      <c r="B338" s="90" t="s">
        <v>658</v>
      </c>
      <c r="C338" s="84"/>
      <c r="D338" s="115" t="s">
        <v>541</v>
      </c>
      <c r="E338" s="115" t="s">
        <v>657</v>
      </c>
      <c r="F338" s="115" t="s">
        <v>415</v>
      </c>
    </row>
    <row r="339" ht="24" customHeight="1" spans="1:6" x14ac:dyDescent="0.25">
      <c r="A339" s="93" t="s">
        <v>403</v>
      </c>
      <c r="B339" s="90" t="s">
        <v>659</v>
      </c>
      <c r="C339" s="86"/>
      <c r="D339" s="115" t="s">
        <v>541</v>
      </c>
      <c r="E339" s="115" t="s">
        <v>660</v>
      </c>
      <c r="F339" s="115"/>
    </row>
    <row r="340" ht="24" customHeight="1" spans="1:6" x14ac:dyDescent="0.25">
      <c r="A340" s="93" t="s">
        <v>407</v>
      </c>
      <c r="B340" s="90" t="s">
        <v>661</v>
      </c>
      <c r="C340" s="86"/>
      <c r="D340" s="115" t="s">
        <v>541</v>
      </c>
      <c r="E340" s="115" t="s">
        <v>657</v>
      </c>
      <c r="F340" s="115" t="s">
        <v>662</v>
      </c>
    </row>
    <row r="341" spans="1:6" x14ac:dyDescent="0.25">
      <c r="A341" s="82"/>
      <c r="B341" s="91" t="s">
        <v>663</v>
      </c>
      <c r="C341" s="86"/>
      <c r="D341" s="86"/>
      <c r="E341" s="86"/>
      <c r="F341" s="127"/>
    </row>
    <row r="342" ht="24" customHeight="1" spans="1:6" x14ac:dyDescent="0.25">
      <c r="A342" s="93" t="s">
        <v>410</v>
      </c>
      <c r="B342" s="90" t="s">
        <v>664</v>
      </c>
      <c r="C342" s="86"/>
      <c r="D342" s="115" t="s">
        <v>541</v>
      </c>
      <c r="E342" s="115" t="s">
        <v>657</v>
      </c>
      <c r="F342" s="115" t="s">
        <v>412</v>
      </c>
    </row>
    <row r="343" ht="24" customHeight="1" spans="1:6" x14ac:dyDescent="0.25">
      <c r="A343" s="93" t="s">
        <v>416</v>
      </c>
      <c r="B343" s="90" t="s">
        <v>665</v>
      </c>
      <c r="C343" s="86"/>
      <c r="D343" s="115" t="s">
        <v>541</v>
      </c>
      <c r="E343" s="115" t="s">
        <v>657</v>
      </c>
      <c r="F343" s="115" t="s">
        <v>415</v>
      </c>
    </row>
    <row r="344" ht="24" customHeight="1" spans="1:6" x14ac:dyDescent="0.25">
      <c r="A344" s="93" t="s">
        <v>419</v>
      </c>
      <c r="B344" s="90" t="s">
        <v>666</v>
      </c>
      <c r="C344" s="86"/>
      <c r="D344" s="115" t="s">
        <v>541</v>
      </c>
      <c r="E344" s="115" t="s">
        <v>660</v>
      </c>
      <c r="F344" s="115"/>
    </row>
    <row r="345" ht="24" customHeight="1" spans="1:6" x14ac:dyDescent="0.25">
      <c r="A345" s="93" t="s">
        <v>423</v>
      </c>
      <c r="B345" s="90" t="s">
        <v>661</v>
      </c>
      <c r="C345" s="86"/>
      <c r="D345" s="115" t="s">
        <v>541</v>
      </c>
      <c r="E345" s="115" t="s">
        <v>657</v>
      </c>
      <c r="F345" s="115" t="s">
        <v>662</v>
      </c>
    </row>
    <row r="346" ht="36" customHeight="1" spans="1:6" x14ac:dyDescent="0.25">
      <c r="A346" s="93" t="s">
        <v>425</v>
      </c>
      <c r="B346" s="83" t="s">
        <v>667</v>
      </c>
      <c r="C346" s="86"/>
      <c r="D346" s="86"/>
      <c r="E346" s="86"/>
      <c r="F346" s="127"/>
    </row>
    <row r="347" ht="36" customHeight="1" spans="1:6" x14ac:dyDescent="0.25">
      <c r="A347" s="93" t="s">
        <v>427</v>
      </c>
      <c r="B347" s="83" t="s">
        <v>668</v>
      </c>
      <c r="C347" s="86"/>
      <c r="D347" s="86"/>
      <c r="E347" s="86"/>
      <c r="F347" s="127"/>
    </row>
    <row r="348" ht="24" customHeight="1" spans="1:6" x14ac:dyDescent="0.25">
      <c r="A348" s="93" t="s">
        <v>514</v>
      </c>
      <c r="B348" s="83" t="s">
        <v>669</v>
      </c>
      <c r="C348" s="86"/>
      <c r="D348" s="86"/>
      <c r="E348" s="86"/>
      <c r="F348" s="127"/>
    </row>
    <row r="349" spans="1:6" x14ac:dyDescent="0.25">
      <c r="A349" s="82"/>
      <c r="B349" s="90"/>
      <c r="C349" s="86"/>
      <c r="D349" s="86"/>
      <c r="E349" s="86"/>
      <c r="F349" s="127"/>
    </row>
    <row r="350" spans="1:6" x14ac:dyDescent="0.25">
      <c r="A350" s="132" t="s">
        <v>670</v>
      </c>
      <c r="B350" s="130" t="s">
        <v>671</v>
      </c>
      <c r="C350" s="96"/>
      <c r="D350" s="133"/>
      <c r="E350" s="133"/>
      <c r="F350" s="134"/>
    </row>
    <row r="351" ht="24" customHeight="1" spans="1:6" x14ac:dyDescent="0.25">
      <c r="A351" s="93" t="s">
        <v>306</v>
      </c>
      <c r="B351" s="90" t="s">
        <v>644</v>
      </c>
      <c r="C351" s="87"/>
      <c r="D351" s="84" t="s">
        <v>61</v>
      </c>
      <c r="E351" s="84"/>
      <c r="F351" s="86"/>
    </row>
    <row r="352" ht="24" customHeight="1" spans="1:6" x14ac:dyDescent="0.25">
      <c r="A352" s="93" t="s">
        <v>308</v>
      </c>
      <c r="B352" s="90" t="s">
        <v>624</v>
      </c>
      <c r="C352" s="87"/>
      <c r="D352" s="84" t="s">
        <v>61</v>
      </c>
      <c r="E352" s="84" t="s">
        <v>538</v>
      </c>
      <c r="F352" s="86" t="s">
        <v>564</v>
      </c>
    </row>
    <row r="353" ht="36" customHeight="1" spans="1:6" x14ac:dyDescent="0.25">
      <c r="A353" s="93" t="s">
        <v>310</v>
      </c>
      <c r="B353" s="90" t="s">
        <v>625</v>
      </c>
      <c r="C353" s="87"/>
      <c r="D353" s="84" t="s">
        <v>541</v>
      </c>
      <c r="E353" s="84" t="s">
        <v>566</v>
      </c>
      <c r="F353" s="86" t="s">
        <v>567</v>
      </c>
    </row>
    <row r="354" ht="36" customHeight="1" spans="1:6" x14ac:dyDescent="0.25">
      <c r="A354" s="93" t="s">
        <v>312</v>
      </c>
      <c r="B354" s="90" t="s">
        <v>629</v>
      </c>
      <c r="C354" s="87"/>
      <c r="D354" s="84" t="s">
        <v>541</v>
      </c>
      <c r="E354" s="84" t="s">
        <v>645</v>
      </c>
      <c r="F354" s="86" t="s">
        <v>552</v>
      </c>
    </row>
    <row r="355" spans="1:6" x14ac:dyDescent="0.25">
      <c r="A355" s="93" t="s">
        <v>314</v>
      </c>
      <c r="B355" s="90" t="s">
        <v>646</v>
      </c>
      <c r="C355" s="87"/>
      <c r="D355" s="84" t="s">
        <v>61</v>
      </c>
      <c r="E355" s="84" t="s">
        <v>572</v>
      </c>
      <c r="F355" s="86" t="s">
        <v>573</v>
      </c>
    </row>
    <row r="356" ht="24" customHeight="1" spans="1:6" x14ac:dyDescent="0.25">
      <c r="A356" s="131" t="s">
        <v>316</v>
      </c>
      <c r="B356" s="90" t="s">
        <v>647</v>
      </c>
      <c r="C356" s="87"/>
      <c r="D356" s="84" t="s">
        <v>541</v>
      </c>
      <c r="E356" s="84" t="s">
        <v>632</v>
      </c>
      <c r="F356" s="86" t="s">
        <v>633</v>
      </c>
    </row>
    <row r="357" ht="36" customHeight="1" spans="1:6" x14ac:dyDescent="0.25">
      <c r="A357" s="131" t="s">
        <v>318</v>
      </c>
      <c r="B357" s="90" t="s">
        <v>648</v>
      </c>
      <c r="C357" s="87"/>
      <c r="D357" s="84" t="s">
        <v>541</v>
      </c>
      <c r="E357" s="84" t="s">
        <v>649</v>
      </c>
      <c r="F357" s="86" t="s">
        <v>650</v>
      </c>
    </row>
    <row r="358" ht="36" customHeight="1" spans="1:6" x14ac:dyDescent="0.25">
      <c r="A358" s="93" t="s">
        <v>478</v>
      </c>
      <c r="B358" s="90" t="s">
        <v>651</v>
      </c>
      <c r="C358" s="87"/>
      <c r="D358" s="84" t="s">
        <v>541</v>
      </c>
      <c r="E358" s="84" t="s">
        <v>652</v>
      </c>
      <c r="F358" s="86" t="s">
        <v>650</v>
      </c>
    </row>
    <row r="359" ht="36" customHeight="1" spans="1:6" x14ac:dyDescent="0.25">
      <c r="A359" s="93" t="s">
        <v>481</v>
      </c>
      <c r="B359" s="90" t="s">
        <v>653</v>
      </c>
      <c r="C359" s="87"/>
      <c r="D359" s="84" t="s">
        <v>541</v>
      </c>
      <c r="E359" s="84" t="s">
        <v>652</v>
      </c>
      <c r="F359" s="86" t="s">
        <v>650</v>
      </c>
    </row>
    <row r="360" ht="36" customHeight="1" spans="1:6" x14ac:dyDescent="0.25">
      <c r="A360" s="93" t="s">
        <v>483</v>
      </c>
      <c r="B360" s="90" t="s">
        <v>654</v>
      </c>
      <c r="C360" s="87"/>
      <c r="D360" s="84" t="s">
        <v>541</v>
      </c>
      <c r="E360" s="84" t="s">
        <v>652</v>
      </c>
      <c r="F360" s="86" t="s">
        <v>650</v>
      </c>
    </row>
    <row r="361" spans="1:6" x14ac:dyDescent="0.25">
      <c r="A361" s="82"/>
      <c r="B361" s="91" t="s">
        <v>655</v>
      </c>
      <c r="C361" s="87"/>
      <c r="D361" s="84"/>
      <c r="E361" s="86"/>
      <c r="F361" s="127"/>
    </row>
    <row r="362" ht="24" customHeight="1" spans="1:6" x14ac:dyDescent="0.25">
      <c r="A362" s="93" t="s">
        <v>485</v>
      </c>
      <c r="B362" s="90" t="s">
        <v>656</v>
      </c>
      <c r="C362" s="84"/>
      <c r="D362" s="115" t="s">
        <v>541</v>
      </c>
      <c r="E362" s="115" t="s">
        <v>657</v>
      </c>
      <c r="F362" s="115" t="s">
        <v>412</v>
      </c>
    </row>
    <row r="363" ht="24" customHeight="1" spans="1:6" x14ac:dyDescent="0.25">
      <c r="A363" s="93" t="s">
        <v>488</v>
      </c>
      <c r="B363" s="90" t="s">
        <v>658</v>
      </c>
      <c r="C363" s="84"/>
      <c r="D363" s="115" t="s">
        <v>541</v>
      </c>
      <c r="E363" s="115" t="s">
        <v>657</v>
      </c>
      <c r="F363" s="115" t="s">
        <v>415</v>
      </c>
    </row>
    <row r="364" ht="24" customHeight="1" spans="1:6" x14ac:dyDescent="0.25">
      <c r="A364" s="93" t="s">
        <v>403</v>
      </c>
      <c r="B364" s="90" t="s">
        <v>659</v>
      </c>
      <c r="C364" s="86"/>
      <c r="D364" s="115" t="s">
        <v>541</v>
      </c>
      <c r="E364" s="115" t="s">
        <v>660</v>
      </c>
      <c r="F364" s="115"/>
    </row>
    <row r="365" ht="24" customHeight="1" spans="1:6" x14ac:dyDescent="0.25">
      <c r="A365" s="93" t="s">
        <v>407</v>
      </c>
      <c r="B365" s="90" t="s">
        <v>672</v>
      </c>
      <c r="C365" s="86"/>
      <c r="D365" s="115" t="s">
        <v>541</v>
      </c>
      <c r="E365" s="115" t="s">
        <v>657</v>
      </c>
      <c r="F365" s="115" t="s">
        <v>662</v>
      </c>
    </row>
    <row r="366" spans="1:6" x14ac:dyDescent="0.25">
      <c r="A366" s="82"/>
      <c r="B366" s="91" t="s">
        <v>663</v>
      </c>
      <c r="C366" s="86"/>
      <c r="D366" s="86"/>
      <c r="E366" s="86"/>
      <c r="F366" s="127"/>
    </row>
    <row r="367" ht="24" customHeight="1" spans="1:6" x14ac:dyDescent="0.25">
      <c r="A367" s="93" t="s">
        <v>410</v>
      </c>
      <c r="B367" s="90" t="s">
        <v>664</v>
      </c>
      <c r="C367" s="86"/>
      <c r="D367" s="115" t="s">
        <v>541</v>
      </c>
      <c r="E367" s="115" t="s">
        <v>657</v>
      </c>
      <c r="F367" s="115" t="s">
        <v>412</v>
      </c>
    </row>
    <row r="368" ht="24" customHeight="1" spans="1:6" x14ac:dyDescent="0.25">
      <c r="A368" s="93" t="s">
        <v>416</v>
      </c>
      <c r="B368" s="90" t="s">
        <v>665</v>
      </c>
      <c r="C368" s="86"/>
      <c r="D368" s="115" t="s">
        <v>541</v>
      </c>
      <c r="E368" s="115" t="s">
        <v>657</v>
      </c>
      <c r="F368" s="115" t="s">
        <v>415</v>
      </c>
    </row>
    <row r="369" ht="24" customHeight="1" spans="1:6" x14ac:dyDescent="0.25">
      <c r="A369" s="93" t="s">
        <v>419</v>
      </c>
      <c r="B369" s="90" t="s">
        <v>666</v>
      </c>
      <c r="C369" s="86"/>
      <c r="D369" s="115" t="s">
        <v>541</v>
      </c>
      <c r="E369" s="115" t="s">
        <v>660</v>
      </c>
      <c r="F369" s="115"/>
    </row>
    <row r="370" ht="24" customHeight="1" spans="1:6" x14ac:dyDescent="0.25">
      <c r="A370" s="93" t="s">
        <v>423</v>
      </c>
      <c r="B370" s="90" t="s">
        <v>661</v>
      </c>
      <c r="C370" s="86"/>
      <c r="D370" s="115" t="s">
        <v>541</v>
      </c>
      <c r="E370" s="115" t="s">
        <v>657</v>
      </c>
      <c r="F370" s="115" t="s">
        <v>662</v>
      </c>
    </row>
    <row r="371" ht="36" customHeight="1" spans="1:6" x14ac:dyDescent="0.25">
      <c r="A371" s="93" t="s">
        <v>425</v>
      </c>
      <c r="B371" s="83" t="s">
        <v>667</v>
      </c>
      <c r="C371" s="86"/>
      <c r="D371" s="86"/>
      <c r="E371" s="86"/>
      <c r="F371" s="127"/>
    </row>
    <row r="372" ht="36" customHeight="1" spans="1:6" x14ac:dyDescent="0.25">
      <c r="A372" s="93" t="s">
        <v>427</v>
      </c>
      <c r="B372" s="83" t="s">
        <v>668</v>
      </c>
      <c r="C372" s="86"/>
      <c r="D372" s="86"/>
      <c r="E372" s="86"/>
      <c r="F372" s="127"/>
    </row>
    <row r="373" ht="24" customHeight="1" spans="1:6" x14ac:dyDescent="0.25">
      <c r="A373" s="93" t="s">
        <v>514</v>
      </c>
      <c r="B373" s="83" t="s">
        <v>669</v>
      </c>
      <c r="C373" s="86"/>
      <c r="D373" s="86"/>
      <c r="E373" s="86"/>
      <c r="F373" s="127"/>
    </row>
    <row r="374" ht="36" customHeight="1" spans="1:6" x14ac:dyDescent="0.25">
      <c r="A374" s="93" t="s">
        <v>516</v>
      </c>
      <c r="B374" s="83" t="s">
        <v>673</v>
      </c>
      <c r="C374" s="86"/>
      <c r="D374" s="86"/>
      <c r="E374" s="86"/>
      <c r="F374" s="86"/>
    </row>
    <row r="375" spans="1:6" x14ac:dyDescent="0.25">
      <c r="A375" s="82" t="s">
        <v>674</v>
      </c>
      <c r="B375" s="83" t="s">
        <v>675</v>
      </c>
      <c r="C375" s="87"/>
      <c r="D375" s="84"/>
      <c r="E375" s="87"/>
      <c r="F375" s="86"/>
    </row>
    <row r="376" ht="48" customHeight="1" spans="1:6" x14ac:dyDescent="0.25">
      <c r="A376" s="82" t="s">
        <v>676</v>
      </c>
      <c r="B376" s="90" t="s">
        <v>677</v>
      </c>
      <c r="C376" s="87"/>
      <c r="D376" s="84" t="s">
        <v>541</v>
      </c>
      <c r="E376" s="84" t="s">
        <v>678</v>
      </c>
      <c r="F376" s="86" t="s">
        <v>679</v>
      </c>
    </row>
    <row r="377" ht="36" customHeight="1" spans="1:6" x14ac:dyDescent="0.25">
      <c r="A377" s="82" t="s">
        <v>680</v>
      </c>
      <c r="B377" s="90" t="s">
        <v>681</v>
      </c>
      <c r="C377" s="87"/>
      <c r="D377" s="84" t="s">
        <v>541</v>
      </c>
      <c r="E377" s="84" t="s">
        <v>682</v>
      </c>
      <c r="F377" s="86" t="s">
        <v>683</v>
      </c>
    </row>
    <row r="378" spans="1:6" x14ac:dyDescent="0.25">
      <c r="A378" s="88" t="s">
        <v>684</v>
      </c>
      <c r="B378" s="83" t="s">
        <v>685</v>
      </c>
      <c r="C378" s="87"/>
      <c r="D378" s="84"/>
      <c r="E378" s="87"/>
      <c r="F378" s="86"/>
    </row>
    <row r="379" ht="24" customHeight="1" spans="1:6" x14ac:dyDescent="0.25">
      <c r="A379" s="88" t="s">
        <v>686</v>
      </c>
      <c r="B379" s="83" t="s">
        <v>687</v>
      </c>
      <c r="C379" s="87"/>
      <c r="D379" s="84"/>
      <c r="E379" s="87"/>
      <c r="F379" s="86"/>
    </row>
    <row r="380" ht="24" customHeight="1" spans="1:6" x14ac:dyDescent="0.25">
      <c r="A380" s="88" t="s">
        <v>688</v>
      </c>
      <c r="B380" s="83" t="s">
        <v>689</v>
      </c>
      <c r="C380" s="87"/>
      <c r="D380" s="84"/>
      <c r="E380" s="87"/>
      <c r="F380" s="86"/>
    </row>
    <row r="381" ht="132" customHeight="1" spans="1:7" s="135" customFormat="1" x14ac:dyDescent="0.25">
      <c r="A381" s="136" t="s">
        <v>314</v>
      </c>
      <c r="B381" s="137" t="s">
        <v>690</v>
      </c>
      <c r="C381" s="115" t="s">
        <v>472</v>
      </c>
      <c r="D381" s="114"/>
      <c r="E381" s="114" t="s">
        <v>691</v>
      </c>
      <c r="F381" s="114" t="s">
        <v>692</v>
      </c>
      <c r="G381" s="138"/>
    </row>
    <row r="382" spans="1:7" s="135" customFormat="1" x14ac:dyDescent="0.25">
      <c r="A382" s="139" t="s">
        <v>316</v>
      </c>
      <c r="B382" s="137" t="s">
        <v>693</v>
      </c>
      <c r="C382" s="113"/>
      <c r="D382" s="114"/>
      <c r="E382" s="114"/>
      <c r="F382" s="114"/>
      <c r="G382" s="138"/>
    </row>
    <row r="383" spans="1:7" s="135" customFormat="1" x14ac:dyDescent="0.25">
      <c r="A383" s="136"/>
      <c r="B383" s="112"/>
      <c r="C383" s="113"/>
      <c r="D383" s="114"/>
      <c r="E383" s="114"/>
      <c r="F383" s="114"/>
      <c r="G383" s="138"/>
    </row>
    <row r="384" spans="1:7" s="135" customFormat="1" x14ac:dyDescent="0.25">
      <c r="A384" s="139" t="s">
        <v>694</v>
      </c>
      <c r="B384" s="137" t="s">
        <v>695</v>
      </c>
      <c r="C384" s="113"/>
      <c r="D384" s="114"/>
      <c r="E384" s="114"/>
      <c r="F384" s="114"/>
      <c r="G384" s="138"/>
    </row>
    <row r="385" spans="1:7" s="135" customFormat="1" x14ac:dyDescent="0.25">
      <c r="A385" s="139" t="s">
        <v>696</v>
      </c>
      <c r="B385" s="137" t="s">
        <v>697</v>
      </c>
      <c r="C385" s="113"/>
      <c r="D385" s="114"/>
      <c r="E385" s="114"/>
      <c r="F385" s="114"/>
      <c r="G385" s="138"/>
    </row>
    <row r="386" ht="36" customHeight="1" spans="1:7" s="135" customFormat="1" x14ac:dyDescent="0.25">
      <c r="A386" s="103" t="s">
        <v>306</v>
      </c>
      <c r="B386" s="112" t="s">
        <v>698</v>
      </c>
      <c r="C386" s="115" t="s">
        <v>699</v>
      </c>
      <c r="D386" s="114"/>
      <c r="E386" s="114" t="s">
        <v>700</v>
      </c>
      <c r="F386" s="114"/>
      <c r="G386" s="138"/>
    </row>
    <row r="387" ht="24" customHeight="1" spans="1:7" s="135" customFormat="1" x14ac:dyDescent="0.25">
      <c r="A387" s="103" t="s">
        <v>308</v>
      </c>
      <c r="B387" s="112" t="s">
        <v>701</v>
      </c>
      <c r="C387" s="113"/>
      <c r="D387" s="114" t="s">
        <v>61</v>
      </c>
      <c r="E387" s="114" t="s">
        <v>702</v>
      </c>
      <c r="F387" s="114" t="s">
        <v>564</v>
      </c>
      <c r="G387" s="138"/>
    </row>
    <row r="388" ht="36" customHeight="1" spans="1:7" s="135" customFormat="1" x14ac:dyDescent="0.25">
      <c r="A388" s="103" t="s">
        <v>310</v>
      </c>
      <c r="B388" s="112" t="s">
        <v>703</v>
      </c>
      <c r="C388" s="113"/>
      <c r="D388" s="114" t="s">
        <v>541</v>
      </c>
      <c r="E388" s="114" t="s">
        <v>704</v>
      </c>
      <c r="F388" s="114" t="s">
        <v>567</v>
      </c>
      <c r="G388" s="138"/>
    </row>
    <row r="389" ht="36" customHeight="1" spans="1:7" s="135" customFormat="1" x14ac:dyDescent="0.25">
      <c r="A389" s="103" t="s">
        <v>312</v>
      </c>
      <c r="B389" s="112" t="s">
        <v>705</v>
      </c>
      <c r="C389" s="113"/>
      <c r="D389" s="114" t="s">
        <v>541</v>
      </c>
      <c r="E389" s="114" t="s">
        <v>706</v>
      </c>
      <c r="F389" s="114" t="s">
        <v>552</v>
      </c>
      <c r="G389" s="138"/>
    </row>
    <row r="390" ht="36" customHeight="1" spans="1:7" s="135" customFormat="1" x14ac:dyDescent="0.25">
      <c r="A390" s="140" t="s">
        <v>314</v>
      </c>
      <c r="B390" s="112" t="s">
        <v>707</v>
      </c>
      <c r="C390" s="113"/>
      <c r="D390" s="114" t="s">
        <v>541</v>
      </c>
      <c r="E390" s="114" t="s">
        <v>706</v>
      </c>
      <c r="F390" s="114" t="s">
        <v>552</v>
      </c>
      <c r="G390" s="138"/>
    </row>
    <row r="391" ht="24" customHeight="1" spans="1:7" s="135" customFormat="1" x14ac:dyDescent="0.25">
      <c r="A391" s="140" t="s">
        <v>316</v>
      </c>
      <c r="B391" s="112" t="s">
        <v>708</v>
      </c>
      <c r="C391" s="113"/>
      <c r="D391" s="114" t="s">
        <v>541</v>
      </c>
      <c r="E391" s="114" t="s">
        <v>709</v>
      </c>
      <c r="F391" s="114" t="s">
        <v>633</v>
      </c>
      <c r="G391" s="138"/>
    </row>
    <row r="392" spans="1:7" s="135" customFormat="1" x14ac:dyDescent="0.25">
      <c r="A392" s="139" t="s">
        <v>710</v>
      </c>
      <c r="B392" s="137" t="s">
        <v>711</v>
      </c>
      <c r="C392" s="113"/>
      <c r="D392" s="114"/>
      <c r="E392" s="114"/>
      <c r="F392" s="114"/>
      <c r="G392" s="138"/>
    </row>
    <row r="393" ht="36" customHeight="1" spans="1:7" s="135" customFormat="1" x14ac:dyDescent="0.25">
      <c r="A393" s="103" t="s">
        <v>306</v>
      </c>
      <c r="B393" s="112" t="s">
        <v>698</v>
      </c>
      <c r="C393" s="115" t="s">
        <v>699</v>
      </c>
      <c r="D393" s="114"/>
      <c r="E393" s="114" t="s">
        <v>700</v>
      </c>
      <c r="F393" s="114"/>
      <c r="G393" s="138"/>
    </row>
    <row r="394" ht="24" customHeight="1" spans="1:7" s="135" customFormat="1" x14ac:dyDescent="0.25">
      <c r="A394" s="103" t="s">
        <v>308</v>
      </c>
      <c r="B394" s="112" t="s">
        <v>712</v>
      </c>
      <c r="C394" s="113"/>
      <c r="D394" s="114" t="s">
        <v>61</v>
      </c>
      <c r="E394" s="114" t="s">
        <v>713</v>
      </c>
      <c r="F394" s="114" t="s">
        <v>714</v>
      </c>
      <c r="G394" s="138"/>
    </row>
    <row r="395" ht="36" customHeight="1" spans="1:7" s="135" customFormat="1" x14ac:dyDescent="0.25">
      <c r="A395" s="103" t="s">
        <v>310</v>
      </c>
      <c r="B395" s="112" t="s">
        <v>715</v>
      </c>
      <c r="C395" s="113"/>
      <c r="D395" s="114" t="s">
        <v>541</v>
      </c>
      <c r="E395" s="114" t="s">
        <v>716</v>
      </c>
      <c r="F395" s="114" t="s">
        <v>567</v>
      </c>
      <c r="G395" s="138"/>
    </row>
    <row r="396" ht="36" customHeight="1" spans="1:7" s="135" customFormat="1" x14ac:dyDescent="0.25">
      <c r="A396" s="103" t="s">
        <v>312</v>
      </c>
      <c r="B396" s="112" t="s">
        <v>705</v>
      </c>
      <c r="C396" s="113"/>
      <c r="D396" s="114" t="s">
        <v>541</v>
      </c>
      <c r="E396" s="114" t="s">
        <v>717</v>
      </c>
      <c r="F396" s="114" t="s">
        <v>552</v>
      </c>
      <c r="G396" s="138"/>
    </row>
    <row r="397" ht="36" customHeight="1" spans="1:7" s="135" customFormat="1" x14ac:dyDescent="0.25">
      <c r="A397" s="140" t="s">
        <v>314</v>
      </c>
      <c r="B397" s="112" t="s">
        <v>707</v>
      </c>
      <c r="C397" s="113"/>
      <c r="D397" s="114" t="s">
        <v>541</v>
      </c>
      <c r="E397" s="114" t="s">
        <v>717</v>
      </c>
      <c r="F397" s="114" t="s">
        <v>552</v>
      </c>
      <c r="G397" s="138"/>
    </row>
    <row r="398" ht="24" customHeight="1" spans="1:7" s="135" customFormat="1" x14ac:dyDescent="0.25">
      <c r="A398" s="140" t="s">
        <v>316</v>
      </c>
      <c r="B398" s="112" t="s">
        <v>718</v>
      </c>
      <c r="C398" s="113"/>
      <c r="D398" s="114" t="s">
        <v>541</v>
      </c>
      <c r="E398" s="114" t="s">
        <v>719</v>
      </c>
      <c r="F398" s="114" t="s">
        <v>720</v>
      </c>
      <c r="G398" s="138"/>
    </row>
    <row r="399" ht="24" customHeight="1" spans="1:7" s="135" customFormat="1" x14ac:dyDescent="0.25">
      <c r="A399" s="109" t="s">
        <v>316</v>
      </c>
      <c r="B399" s="91" t="s">
        <v>721</v>
      </c>
      <c r="C399" s="113"/>
      <c r="D399" s="114"/>
      <c r="E399" s="114"/>
      <c r="F399" s="114"/>
      <c r="G399" s="138"/>
    </row>
    <row r="400" ht="24" customHeight="1" spans="1:7" s="135" customFormat="1" x14ac:dyDescent="0.25">
      <c r="A400" s="109" t="s">
        <v>318</v>
      </c>
      <c r="B400" s="91" t="s">
        <v>722</v>
      </c>
      <c r="C400" s="113"/>
      <c r="D400" s="114"/>
      <c r="E400" s="141"/>
      <c r="F400" s="114"/>
      <c r="G400" s="138"/>
    </row>
    <row r="401" ht="24" customHeight="1" spans="1:7" s="135" customFormat="1" x14ac:dyDescent="0.25">
      <c r="A401" s="109" t="s">
        <v>478</v>
      </c>
      <c r="B401" s="91" t="s">
        <v>723</v>
      </c>
      <c r="C401" s="113"/>
      <c r="D401" s="114"/>
      <c r="E401" s="114"/>
      <c r="F401" s="114"/>
      <c r="G401" s="138"/>
    </row>
    <row r="402" spans="1:7" s="135" customFormat="1" x14ac:dyDescent="0.25">
      <c r="A402" s="142" t="s">
        <v>724</v>
      </c>
      <c r="B402" s="119" t="s">
        <v>725</v>
      </c>
      <c r="C402" s="113"/>
      <c r="D402" s="114"/>
      <c r="E402" s="114"/>
      <c r="F402" s="114"/>
      <c r="G402" s="138"/>
    </row>
    <row r="403" ht="24" customHeight="1" spans="1:7" s="135" customFormat="1" x14ac:dyDescent="0.25">
      <c r="A403" s="142" t="s">
        <v>726</v>
      </c>
      <c r="B403" s="119" t="s">
        <v>727</v>
      </c>
      <c r="C403" s="115" t="s">
        <v>728</v>
      </c>
      <c r="D403" s="114"/>
      <c r="E403" s="114"/>
      <c r="F403" s="114"/>
      <c r="G403" s="138"/>
    </row>
    <row r="404" ht="48" customHeight="1" spans="1:7" s="135" customFormat="1" x14ac:dyDescent="0.25">
      <c r="A404" s="136" t="s">
        <v>729</v>
      </c>
      <c r="B404" s="112" t="s">
        <v>677</v>
      </c>
      <c r="C404" s="113"/>
      <c r="D404" s="114" t="s">
        <v>541</v>
      </c>
      <c r="E404" s="114" t="s">
        <v>730</v>
      </c>
      <c r="F404" s="114" t="s">
        <v>679</v>
      </c>
      <c r="G404" s="138"/>
    </row>
    <row r="405" ht="36" customHeight="1" spans="1:7" s="135" customFormat="1" x14ac:dyDescent="0.25">
      <c r="A405" s="136" t="s">
        <v>731</v>
      </c>
      <c r="B405" s="112" t="s">
        <v>681</v>
      </c>
      <c r="C405" s="113"/>
      <c r="D405" s="114" t="s">
        <v>541</v>
      </c>
      <c r="E405" s="114" t="s">
        <v>682</v>
      </c>
      <c r="F405" s="114" t="s">
        <v>683</v>
      </c>
      <c r="G405" s="138"/>
    </row>
    <row r="406" spans="1:7" s="135" customFormat="1" x14ac:dyDescent="0.25">
      <c r="A406" s="136" t="s">
        <v>732</v>
      </c>
      <c r="B406" s="119" t="s">
        <v>685</v>
      </c>
      <c r="C406" s="113"/>
      <c r="D406" s="114"/>
      <c r="E406" s="114"/>
      <c r="F406" s="114"/>
      <c r="G406" s="138"/>
    </row>
    <row r="407" ht="24" customHeight="1" spans="1:7" s="135" customFormat="1" x14ac:dyDescent="0.25">
      <c r="A407" s="142" t="s">
        <v>733</v>
      </c>
      <c r="B407" s="119" t="s">
        <v>687</v>
      </c>
      <c r="C407" s="113"/>
      <c r="D407" s="114"/>
      <c r="E407" s="114"/>
      <c r="F407" s="114"/>
      <c r="G407" s="138"/>
    </row>
    <row r="408" spans="1:7" s="135" customFormat="1" x14ac:dyDescent="0.25">
      <c r="A408" s="142" t="s">
        <v>734</v>
      </c>
      <c r="B408" s="119" t="s">
        <v>735</v>
      </c>
      <c r="C408" s="113"/>
      <c r="D408" s="114"/>
      <c r="E408" s="114"/>
      <c r="F408" s="114"/>
      <c r="G408" s="138"/>
    </row>
    <row r="409" spans="1:7" s="135" customFormat="1" x14ac:dyDescent="0.25">
      <c r="A409" s="143" t="s">
        <v>736</v>
      </c>
      <c r="B409" s="130" t="s">
        <v>737</v>
      </c>
      <c r="C409" s="113"/>
      <c r="D409" s="114"/>
      <c r="E409" s="114"/>
      <c r="F409" s="114"/>
      <c r="G409" s="138"/>
    </row>
    <row r="410" ht="24" customHeight="1" spans="1:7" s="135" customFormat="1" x14ac:dyDescent="0.25">
      <c r="A410" s="144" t="s">
        <v>306</v>
      </c>
      <c r="B410" s="137" t="s">
        <v>738</v>
      </c>
      <c r="C410" s="113"/>
      <c r="D410" s="114"/>
      <c r="E410" s="114"/>
      <c r="F410" s="114"/>
      <c r="G410" s="138"/>
    </row>
    <row r="411" ht="24" customHeight="1" spans="1:7" s="135" customFormat="1" x14ac:dyDescent="0.25">
      <c r="A411" s="144" t="s">
        <v>308</v>
      </c>
      <c r="B411" s="137" t="s">
        <v>739</v>
      </c>
      <c r="C411" s="113"/>
      <c r="D411" s="114"/>
      <c r="E411" s="114"/>
      <c r="F411" s="114"/>
      <c r="G411" s="138"/>
    </row>
    <row r="412" spans="1:7" s="135" customFormat="1" x14ac:dyDescent="0.25">
      <c r="A412" s="144" t="s">
        <v>310</v>
      </c>
      <c r="B412" s="137" t="s">
        <v>740</v>
      </c>
      <c r="C412" s="113"/>
      <c r="D412" s="114"/>
      <c r="E412" s="114"/>
      <c r="F412" s="114"/>
      <c r="G412" s="138"/>
    </row>
    <row r="413" spans="1:7" s="135" customFormat="1" x14ac:dyDescent="0.25">
      <c r="A413" s="144" t="s">
        <v>312</v>
      </c>
      <c r="B413" s="137" t="s">
        <v>741</v>
      </c>
      <c r="C413" s="113"/>
      <c r="D413" s="114"/>
      <c r="E413" s="114"/>
      <c r="F413" s="114"/>
      <c r="G413" s="138"/>
    </row>
    <row r="414" spans="1:7" s="135" customFormat="1" x14ac:dyDescent="0.25">
      <c r="A414" s="144" t="s">
        <v>314</v>
      </c>
      <c r="B414" s="137" t="s">
        <v>742</v>
      </c>
      <c r="C414" s="113"/>
      <c r="D414" s="114"/>
      <c r="E414" s="114"/>
      <c r="F414" s="114"/>
      <c r="G414" s="138"/>
    </row>
    <row r="415" spans="1:7" s="135" customFormat="1" x14ac:dyDescent="0.25">
      <c r="A415" s="136"/>
      <c r="B415" s="112"/>
      <c r="C415" s="113"/>
      <c r="D415" s="114"/>
      <c r="E415" s="114"/>
      <c r="F415" s="114"/>
      <c r="G415" s="138"/>
    </row>
    <row r="416" spans="1:6" x14ac:dyDescent="0.25">
      <c r="A416" s="82"/>
      <c r="B416" s="90"/>
      <c r="C416" s="87"/>
      <c r="D416" s="84"/>
      <c r="E416" s="87"/>
      <c r="F416" s="86"/>
    </row>
    <row r="417" spans="1:6" x14ac:dyDescent="0.25">
      <c r="A417" s="80" t="s">
        <v>743</v>
      </c>
      <c r="B417" s="83" t="s">
        <v>744</v>
      </c>
      <c r="C417" s="87"/>
      <c r="D417" s="84"/>
      <c r="E417" s="87"/>
      <c r="F417" s="86"/>
    </row>
    <row r="418" ht="24" customHeight="1" spans="1:7" s="135" customFormat="1" x14ac:dyDescent="0.25">
      <c r="A418" s="111" t="s">
        <v>306</v>
      </c>
      <c r="B418" s="112" t="s">
        <v>745</v>
      </c>
      <c r="C418" s="113"/>
      <c r="D418" s="114" t="s">
        <v>61</v>
      </c>
      <c r="E418" s="114" t="s">
        <v>746</v>
      </c>
      <c r="F418" s="145"/>
      <c r="G418" s="138"/>
    </row>
    <row r="419" ht="120" customHeight="1" spans="1:7" s="135" customFormat="1" x14ac:dyDescent="0.25">
      <c r="A419" s="111" t="s">
        <v>308</v>
      </c>
      <c r="B419" s="112" t="s">
        <v>747</v>
      </c>
      <c r="C419" s="146" t="s">
        <v>748</v>
      </c>
      <c r="D419" s="114" t="s">
        <v>749</v>
      </c>
      <c r="E419" s="114" t="s">
        <v>750</v>
      </c>
      <c r="F419" s="114" t="s">
        <v>692</v>
      </c>
      <c r="G419" s="138"/>
    </row>
    <row r="420" ht="108" customHeight="1" spans="1:7" s="135" customFormat="1" x14ac:dyDescent="0.25">
      <c r="A420" s="111" t="s">
        <v>310</v>
      </c>
      <c r="B420" s="112" t="s">
        <v>751</v>
      </c>
      <c r="C420" s="147"/>
      <c r="D420" s="114" t="s">
        <v>749</v>
      </c>
      <c r="E420" s="114" t="s">
        <v>750</v>
      </c>
      <c r="F420" s="114" t="s">
        <v>692</v>
      </c>
      <c r="G420" s="138"/>
    </row>
    <row r="421" ht="120" customHeight="1" spans="1:7" s="135" customFormat="1" x14ac:dyDescent="0.25">
      <c r="A421" s="111" t="s">
        <v>312</v>
      </c>
      <c r="B421" s="112" t="s">
        <v>752</v>
      </c>
      <c r="C421" s="148" t="s">
        <v>753</v>
      </c>
      <c r="D421" s="114" t="s">
        <v>749</v>
      </c>
      <c r="E421" s="114" t="s">
        <v>750</v>
      </c>
      <c r="F421" s="114" t="s">
        <v>754</v>
      </c>
      <c r="G421" s="138"/>
    </row>
    <row r="422" ht="108" customHeight="1" spans="1:7" s="135" customFormat="1" x14ac:dyDescent="0.25">
      <c r="A422" s="111" t="s">
        <v>314</v>
      </c>
      <c r="B422" s="112" t="s">
        <v>755</v>
      </c>
      <c r="C422" s="149"/>
      <c r="D422" s="114" t="s">
        <v>749</v>
      </c>
      <c r="E422" s="114" t="s">
        <v>750</v>
      </c>
      <c r="F422" s="114" t="s">
        <v>754</v>
      </c>
      <c r="G422" s="138"/>
    </row>
    <row r="423" ht="24" customHeight="1" spans="1:7" s="135" customFormat="1" x14ac:dyDescent="0.25">
      <c r="A423" s="111" t="s">
        <v>316</v>
      </c>
      <c r="B423" s="112" t="s">
        <v>756</v>
      </c>
      <c r="C423" s="113"/>
      <c r="D423" s="114" t="s">
        <v>757</v>
      </c>
      <c r="E423" s="114" t="s">
        <v>758</v>
      </c>
      <c r="F423" s="114" t="s">
        <v>759</v>
      </c>
      <c r="G423" s="138"/>
    </row>
    <row r="424" ht="24" customHeight="1" spans="1:7" s="135" customFormat="1" x14ac:dyDescent="0.25">
      <c r="A424" s="111" t="s">
        <v>318</v>
      </c>
      <c r="B424" s="112" t="s">
        <v>760</v>
      </c>
      <c r="C424" s="113"/>
      <c r="D424" s="114" t="s">
        <v>757</v>
      </c>
      <c r="E424" s="114" t="s">
        <v>758</v>
      </c>
      <c r="F424" s="114" t="s">
        <v>759</v>
      </c>
      <c r="G424" s="138"/>
    </row>
    <row r="425" ht="72" customHeight="1" spans="1:7" s="135" customFormat="1" x14ac:dyDescent="0.25">
      <c r="A425" s="111" t="s">
        <v>478</v>
      </c>
      <c r="B425" s="112" t="s">
        <v>761</v>
      </c>
      <c r="C425" s="113"/>
      <c r="D425" s="114" t="s">
        <v>757</v>
      </c>
      <c r="E425" s="114" t="s">
        <v>762</v>
      </c>
      <c r="F425" s="114" t="s">
        <v>763</v>
      </c>
      <c r="G425" s="138"/>
    </row>
    <row r="426" ht="72" customHeight="1" spans="1:7" s="135" customFormat="1" x14ac:dyDescent="0.25">
      <c r="A426" s="111" t="s">
        <v>481</v>
      </c>
      <c r="B426" s="112" t="s">
        <v>764</v>
      </c>
      <c r="C426" s="113"/>
      <c r="D426" s="114" t="s">
        <v>757</v>
      </c>
      <c r="E426" s="114" t="s">
        <v>762</v>
      </c>
      <c r="F426" s="114" t="s">
        <v>765</v>
      </c>
      <c r="G426" s="138"/>
    </row>
    <row r="427" ht="84" customHeight="1" spans="1:7" s="135" customFormat="1" x14ac:dyDescent="0.25">
      <c r="A427" s="136" t="s">
        <v>483</v>
      </c>
      <c r="B427" s="112" t="s">
        <v>766</v>
      </c>
      <c r="C427" s="150" t="s">
        <v>767</v>
      </c>
      <c r="D427" s="114" t="s">
        <v>757</v>
      </c>
      <c r="E427" s="114" t="s">
        <v>762</v>
      </c>
      <c r="F427" s="114" t="s">
        <v>765</v>
      </c>
      <c r="G427" s="138"/>
    </row>
    <row r="428" ht="63" customHeight="1" spans="1:7" s="135" customFormat="1" x14ac:dyDescent="0.25">
      <c r="A428" s="136" t="s">
        <v>485</v>
      </c>
      <c r="B428" s="112" t="s">
        <v>768</v>
      </c>
      <c r="C428" s="151"/>
      <c r="D428" s="114" t="s">
        <v>757</v>
      </c>
      <c r="E428" s="114" t="s">
        <v>769</v>
      </c>
      <c r="F428" s="114" t="s">
        <v>765</v>
      </c>
      <c r="G428" s="138"/>
    </row>
    <row r="429" ht="48" customHeight="1" spans="1:7" s="135" customFormat="1" x14ac:dyDescent="0.25">
      <c r="A429" s="136" t="s">
        <v>488</v>
      </c>
      <c r="B429" s="112" t="s">
        <v>770</v>
      </c>
      <c r="C429" s="150" t="s">
        <v>771</v>
      </c>
      <c r="D429" s="114" t="s">
        <v>757</v>
      </c>
      <c r="E429" s="114" t="s">
        <v>772</v>
      </c>
      <c r="F429" s="114" t="s">
        <v>772</v>
      </c>
      <c r="G429" s="138"/>
    </row>
    <row r="430" ht="68.5" customHeight="1" spans="1:7" s="135" customFormat="1" x14ac:dyDescent="0.25">
      <c r="A430" s="136" t="s">
        <v>403</v>
      </c>
      <c r="B430" s="112" t="s">
        <v>773</v>
      </c>
      <c r="C430" s="151"/>
      <c r="D430" s="114" t="s">
        <v>757</v>
      </c>
      <c r="E430" s="114" t="s">
        <v>772</v>
      </c>
      <c r="F430" s="114" t="s">
        <v>772</v>
      </c>
      <c r="G430" s="138"/>
    </row>
    <row r="431" ht="24" customHeight="1" spans="1:7" s="135" customFormat="1" x14ac:dyDescent="0.25">
      <c r="A431" s="152" t="s">
        <v>407</v>
      </c>
      <c r="B431" s="112" t="s">
        <v>774</v>
      </c>
      <c r="C431" s="113"/>
      <c r="D431" s="114" t="s">
        <v>775</v>
      </c>
      <c r="E431" s="114" t="s">
        <v>776</v>
      </c>
      <c r="F431" s="114" t="s">
        <v>777</v>
      </c>
      <c r="G431" s="138"/>
    </row>
    <row r="432" ht="24" customHeight="1" spans="1:7" s="135" customFormat="1" x14ac:dyDescent="0.25">
      <c r="A432" s="152" t="s">
        <v>410</v>
      </c>
      <c r="B432" s="112" t="s">
        <v>778</v>
      </c>
      <c r="C432" s="113"/>
      <c r="D432" s="114" t="s">
        <v>775</v>
      </c>
      <c r="E432" s="114" t="s">
        <v>779</v>
      </c>
      <c r="F432" s="114" t="s">
        <v>780</v>
      </c>
      <c r="G432" s="138"/>
    </row>
    <row r="433" ht="36" customHeight="1" spans="1:7" s="135" customFormat="1" x14ac:dyDescent="0.25">
      <c r="A433" s="152" t="s">
        <v>413</v>
      </c>
      <c r="B433" s="137" t="s">
        <v>781</v>
      </c>
      <c r="C433" s="85" t="s">
        <v>782</v>
      </c>
      <c r="D433" s="114"/>
      <c r="E433" s="85" t="s">
        <v>783</v>
      </c>
      <c r="F433" s="85" t="s">
        <v>784</v>
      </c>
      <c r="G433" s="138"/>
    </row>
    <row r="434" ht="36" customHeight="1" spans="1:7" s="135" customFormat="1" x14ac:dyDescent="0.25">
      <c r="A434" s="152" t="s">
        <v>416</v>
      </c>
      <c r="B434" s="137" t="s">
        <v>785</v>
      </c>
      <c r="C434" s="85" t="s">
        <v>786</v>
      </c>
      <c r="D434" s="114"/>
      <c r="E434" s="85" t="s">
        <v>787</v>
      </c>
      <c r="F434" s="85" t="s">
        <v>784</v>
      </c>
      <c r="G434" s="138"/>
    </row>
    <row r="435" ht="24" customHeight="1" spans="1:7" s="135" customFormat="1" x14ac:dyDescent="0.25">
      <c r="A435" s="152" t="s">
        <v>419</v>
      </c>
      <c r="B435" s="119" t="s">
        <v>788</v>
      </c>
      <c r="C435" s="113"/>
      <c r="D435" s="114"/>
      <c r="E435" s="114"/>
      <c r="F435" s="114"/>
      <c r="G435" s="138"/>
    </row>
    <row r="436" ht="24" customHeight="1" spans="1:7" s="135" customFormat="1" x14ac:dyDescent="0.25">
      <c r="A436" s="152" t="s">
        <v>423</v>
      </c>
      <c r="B436" s="119" t="s">
        <v>789</v>
      </c>
      <c r="C436" s="113"/>
      <c r="D436" s="114"/>
      <c r="E436" s="114"/>
      <c r="F436" s="114"/>
      <c r="G436" s="138"/>
    </row>
    <row r="437" spans="1:7" s="135" customFormat="1" x14ac:dyDescent="0.25">
      <c r="A437" s="152" t="s">
        <v>425</v>
      </c>
      <c r="B437" s="119" t="s">
        <v>790</v>
      </c>
      <c r="C437" s="113"/>
      <c r="D437" s="114"/>
      <c r="E437" s="114"/>
      <c r="F437" s="114"/>
      <c r="G437" s="138"/>
    </row>
    <row r="438" spans="1:7" s="135" customFormat="1" x14ac:dyDescent="0.25">
      <c r="A438" s="152" t="s">
        <v>427</v>
      </c>
      <c r="B438" s="153" t="s">
        <v>791</v>
      </c>
      <c r="C438" s="113"/>
      <c r="D438" s="114"/>
      <c r="E438" s="114"/>
      <c r="F438" s="114"/>
      <c r="G438" s="138"/>
    </row>
    <row r="439" spans="1:7" s="135" customFormat="1" x14ac:dyDescent="0.25">
      <c r="A439" s="152" t="s">
        <v>427</v>
      </c>
      <c r="B439" s="153" t="s">
        <v>792</v>
      </c>
      <c r="C439" s="113"/>
      <c r="D439" s="114"/>
      <c r="E439" s="114"/>
      <c r="F439" s="114"/>
      <c r="G439" s="138"/>
    </row>
    <row r="440" spans="1:7" s="135" customFormat="1" x14ac:dyDescent="0.25">
      <c r="A440" s="152"/>
      <c r="B440" s="153"/>
      <c r="C440" s="113"/>
      <c r="D440" s="114"/>
      <c r="E440" s="114"/>
      <c r="F440" s="114"/>
      <c r="G440" s="138"/>
    </row>
    <row r="441" spans="1:7" s="135" customFormat="1" x14ac:dyDescent="0.25">
      <c r="A441" s="152" t="s">
        <v>793</v>
      </c>
      <c r="B441" s="153" t="s">
        <v>794</v>
      </c>
      <c r="C441" s="113"/>
      <c r="D441" s="114"/>
      <c r="E441" s="114"/>
      <c r="F441" s="114"/>
      <c r="G441" s="138"/>
    </row>
    <row r="442" ht="24" customHeight="1" spans="1:7" s="135" customFormat="1" x14ac:dyDescent="0.25">
      <c r="A442" s="111" t="s">
        <v>306</v>
      </c>
      <c r="B442" s="112" t="s">
        <v>745</v>
      </c>
      <c r="C442" s="113"/>
      <c r="D442" s="114" t="s">
        <v>61</v>
      </c>
      <c r="E442" s="114" t="s">
        <v>746</v>
      </c>
      <c r="F442" s="145"/>
      <c r="G442" s="138"/>
    </row>
    <row r="443" ht="216" customHeight="1" spans="1:7" s="135" customFormat="1" x14ac:dyDescent="0.25">
      <c r="A443" s="111" t="s">
        <v>308</v>
      </c>
      <c r="B443" s="112" t="s">
        <v>751</v>
      </c>
      <c r="C443" s="154" t="s">
        <v>748</v>
      </c>
      <c r="D443" s="114" t="s">
        <v>749</v>
      </c>
      <c r="E443" s="114" t="s">
        <v>750</v>
      </c>
      <c r="F443" s="114" t="s">
        <v>692</v>
      </c>
      <c r="G443" s="138"/>
    </row>
    <row r="444" ht="132" customHeight="1" spans="1:7" s="135" customFormat="1" x14ac:dyDescent="0.25">
      <c r="A444" s="111" t="s">
        <v>310</v>
      </c>
      <c r="B444" s="112" t="s">
        <v>755</v>
      </c>
      <c r="C444" s="155" t="s">
        <v>753</v>
      </c>
      <c r="D444" s="114" t="s">
        <v>749</v>
      </c>
      <c r="E444" s="114" t="s">
        <v>750</v>
      </c>
      <c r="F444" s="114" t="s">
        <v>754</v>
      </c>
      <c r="G444" s="138"/>
    </row>
    <row r="445" ht="84" customHeight="1" spans="1:7" s="135" customFormat="1" x14ac:dyDescent="0.25">
      <c r="A445" s="111" t="s">
        <v>312</v>
      </c>
      <c r="B445" s="112" t="s">
        <v>795</v>
      </c>
      <c r="C445" s="156" t="s">
        <v>767</v>
      </c>
      <c r="D445" s="114" t="s">
        <v>757</v>
      </c>
      <c r="E445" s="114" t="s">
        <v>769</v>
      </c>
      <c r="F445" s="114" t="s">
        <v>765</v>
      </c>
      <c r="G445" s="138"/>
    </row>
    <row r="446" ht="84" customHeight="1" spans="1:7" s="135" customFormat="1" x14ac:dyDescent="0.25">
      <c r="A446" s="111" t="s">
        <v>314</v>
      </c>
      <c r="B446" s="112" t="s">
        <v>773</v>
      </c>
      <c r="C446" s="156" t="s">
        <v>771</v>
      </c>
      <c r="D446" s="114" t="s">
        <v>757</v>
      </c>
      <c r="E446" s="114" t="s">
        <v>772</v>
      </c>
      <c r="F446" s="114" t="s">
        <v>772</v>
      </c>
      <c r="G446" s="138"/>
    </row>
    <row r="447" ht="24" customHeight="1" spans="1:7" s="135" customFormat="1" x14ac:dyDescent="0.25">
      <c r="A447" s="111" t="s">
        <v>316</v>
      </c>
      <c r="B447" s="112" t="s">
        <v>796</v>
      </c>
      <c r="C447" s="113"/>
      <c r="D447" s="114" t="s">
        <v>775</v>
      </c>
      <c r="E447" s="114" t="s">
        <v>776</v>
      </c>
      <c r="F447" s="114" t="s">
        <v>777</v>
      </c>
      <c r="G447" s="138"/>
    </row>
    <row r="448" ht="24" customHeight="1" spans="1:7" s="135" customFormat="1" x14ac:dyDescent="0.25">
      <c r="A448" s="111" t="s">
        <v>318</v>
      </c>
      <c r="B448" s="112" t="s">
        <v>797</v>
      </c>
      <c r="C448" s="113"/>
      <c r="D448" s="114" t="s">
        <v>775</v>
      </c>
      <c r="E448" s="114" t="s">
        <v>779</v>
      </c>
      <c r="F448" s="114" t="s">
        <v>780</v>
      </c>
      <c r="G448" s="138"/>
    </row>
    <row r="449" ht="36" customHeight="1" spans="1:7" s="135" customFormat="1" x14ac:dyDescent="0.25">
      <c r="A449" s="144" t="s">
        <v>478</v>
      </c>
      <c r="B449" s="137" t="s">
        <v>798</v>
      </c>
      <c r="C449" s="85" t="s">
        <v>799</v>
      </c>
      <c r="D449" s="114"/>
      <c r="E449" s="85" t="s">
        <v>783</v>
      </c>
      <c r="F449" s="85" t="s">
        <v>784</v>
      </c>
      <c r="G449" s="138"/>
    </row>
    <row r="450" spans="1:7" s="135" customFormat="1" x14ac:dyDescent="0.25">
      <c r="A450" s="152" t="s">
        <v>481</v>
      </c>
      <c r="B450" s="153" t="s">
        <v>800</v>
      </c>
      <c r="C450" s="85"/>
      <c r="D450" s="114"/>
      <c r="E450" s="85"/>
      <c r="F450" s="85"/>
      <c r="G450" s="138"/>
    </row>
    <row r="451" spans="1:7" s="135" customFormat="1" x14ac:dyDescent="0.25">
      <c r="A451" s="152" t="s">
        <v>483</v>
      </c>
      <c r="B451" s="153" t="s">
        <v>801</v>
      </c>
      <c r="C451" s="113"/>
      <c r="D451" s="114"/>
      <c r="E451" s="114"/>
      <c r="F451" s="114"/>
      <c r="G451" s="138"/>
    </row>
    <row r="452" spans="1:7" s="135" customFormat="1" x14ac:dyDescent="0.25">
      <c r="A452" s="152" t="s">
        <v>485</v>
      </c>
      <c r="B452" s="153" t="s">
        <v>802</v>
      </c>
      <c r="C452" s="113"/>
      <c r="D452" s="114"/>
      <c r="E452" s="114"/>
      <c r="F452" s="114"/>
      <c r="G452" s="138"/>
    </row>
    <row r="453" spans="1:7" s="135" customFormat="1" x14ac:dyDescent="0.25">
      <c r="A453" s="152"/>
      <c r="B453" s="153"/>
      <c r="C453" s="113"/>
      <c r="D453" s="114"/>
      <c r="E453" s="114"/>
      <c r="F453" s="114"/>
      <c r="G453" s="138"/>
    </row>
    <row r="454" spans="1:7" s="135" customFormat="1" x14ac:dyDescent="0.25">
      <c r="A454" s="142" t="s">
        <v>803</v>
      </c>
      <c r="B454" s="119" t="s">
        <v>804</v>
      </c>
      <c r="C454" s="157" t="s">
        <v>805</v>
      </c>
      <c r="D454" s="114"/>
      <c r="E454" s="114"/>
      <c r="F454" s="114"/>
      <c r="G454" s="138"/>
    </row>
    <row r="455" ht="24" customHeight="1" spans="1:7" s="135" customFormat="1" x14ac:dyDescent="0.25">
      <c r="A455" s="111" t="s">
        <v>306</v>
      </c>
      <c r="B455" s="112" t="s">
        <v>745</v>
      </c>
      <c r="C455" s="113"/>
      <c r="D455" s="114" t="s">
        <v>282</v>
      </c>
      <c r="E455" s="114" t="s">
        <v>746</v>
      </c>
      <c r="F455" s="114"/>
      <c r="G455" s="138"/>
    </row>
    <row r="456" ht="216" customHeight="1" spans="1:7" s="135" customFormat="1" x14ac:dyDescent="0.25">
      <c r="A456" s="111" t="s">
        <v>308</v>
      </c>
      <c r="B456" s="112" t="s">
        <v>806</v>
      </c>
      <c r="C456" s="154" t="s">
        <v>748</v>
      </c>
      <c r="D456" s="114" t="s">
        <v>749</v>
      </c>
      <c r="E456" s="114" t="s">
        <v>750</v>
      </c>
      <c r="F456" s="114" t="s">
        <v>692</v>
      </c>
      <c r="G456" s="138"/>
    </row>
    <row r="457" ht="132" customHeight="1" spans="1:7" s="135" customFormat="1" x14ac:dyDescent="0.25">
      <c r="A457" s="111" t="s">
        <v>310</v>
      </c>
      <c r="B457" s="112" t="s">
        <v>807</v>
      </c>
      <c r="C457" s="155" t="s">
        <v>753</v>
      </c>
      <c r="D457" s="114" t="s">
        <v>749</v>
      </c>
      <c r="E457" s="114" t="s">
        <v>750</v>
      </c>
      <c r="F457" s="114" t="s">
        <v>754</v>
      </c>
      <c r="G457" s="138"/>
    </row>
    <row r="458" ht="84" customHeight="1" spans="1:7" s="135" customFormat="1" x14ac:dyDescent="0.25">
      <c r="A458" s="111" t="s">
        <v>312</v>
      </c>
      <c r="B458" s="112" t="s">
        <v>808</v>
      </c>
      <c r="C458" s="156" t="s">
        <v>767</v>
      </c>
      <c r="D458" s="114" t="s">
        <v>757</v>
      </c>
      <c r="E458" s="114" t="s">
        <v>762</v>
      </c>
      <c r="F458" s="114" t="s">
        <v>765</v>
      </c>
      <c r="G458" s="138"/>
    </row>
    <row r="459" ht="84" customHeight="1" spans="1:7" s="135" customFormat="1" x14ac:dyDescent="0.25">
      <c r="A459" s="111" t="s">
        <v>314</v>
      </c>
      <c r="B459" s="112" t="s">
        <v>809</v>
      </c>
      <c r="C459" s="156" t="s">
        <v>771</v>
      </c>
      <c r="D459" s="114" t="s">
        <v>757</v>
      </c>
      <c r="E459" s="114" t="s">
        <v>772</v>
      </c>
      <c r="F459" s="114" t="s">
        <v>772</v>
      </c>
      <c r="G459" s="138"/>
    </row>
    <row r="460" ht="24" customHeight="1" spans="1:7" s="135" customFormat="1" x14ac:dyDescent="0.25">
      <c r="A460" s="111" t="s">
        <v>316</v>
      </c>
      <c r="B460" s="112" t="s">
        <v>810</v>
      </c>
      <c r="C460" s="113"/>
      <c r="D460" s="114" t="s">
        <v>757</v>
      </c>
      <c r="E460" s="114" t="s">
        <v>758</v>
      </c>
      <c r="F460" s="114" t="s">
        <v>759</v>
      </c>
      <c r="G460" s="138"/>
    </row>
    <row r="461" ht="36" customHeight="1" spans="1:7" s="135" customFormat="1" x14ac:dyDescent="0.25">
      <c r="A461" s="111" t="s">
        <v>318</v>
      </c>
      <c r="B461" s="112" t="s">
        <v>811</v>
      </c>
      <c r="C461" s="113"/>
      <c r="D461" s="114" t="s">
        <v>757</v>
      </c>
      <c r="E461" s="114" t="s">
        <v>812</v>
      </c>
      <c r="F461" s="114" t="s">
        <v>813</v>
      </c>
      <c r="G461" s="138"/>
    </row>
    <row r="462" ht="24" customHeight="1" spans="1:7" s="135" customFormat="1" x14ac:dyDescent="0.25">
      <c r="A462" s="111" t="s">
        <v>478</v>
      </c>
      <c r="B462" s="112" t="s">
        <v>814</v>
      </c>
      <c r="C462" s="113"/>
      <c r="D462" s="114" t="s">
        <v>775</v>
      </c>
      <c r="E462" s="114" t="s">
        <v>815</v>
      </c>
      <c r="F462" s="114" t="s">
        <v>777</v>
      </c>
      <c r="G462" s="138"/>
    </row>
    <row r="463" ht="24" customHeight="1" spans="1:7" s="135" customFormat="1" x14ac:dyDescent="0.25">
      <c r="A463" s="111" t="s">
        <v>481</v>
      </c>
      <c r="B463" s="112" t="s">
        <v>816</v>
      </c>
      <c r="C463" s="113"/>
      <c r="D463" s="114" t="s">
        <v>775</v>
      </c>
      <c r="E463" s="114" t="s">
        <v>779</v>
      </c>
      <c r="F463" s="114" t="s">
        <v>780</v>
      </c>
      <c r="G463" s="138"/>
    </row>
    <row r="464" ht="36" customHeight="1" spans="1:7" s="135" customFormat="1" x14ac:dyDescent="0.25">
      <c r="A464" s="111" t="s">
        <v>483</v>
      </c>
      <c r="B464" s="137" t="s">
        <v>817</v>
      </c>
      <c r="C464" s="85" t="s">
        <v>782</v>
      </c>
      <c r="D464" s="114"/>
      <c r="E464" s="85" t="s">
        <v>783</v>
      </c>
      <c r="F464" s="85" t="s">
        <v>784</v>
      </c>
      <c r="G464" s="138"/>
    </row>
    <row r="465" ht="36" customHeight="1" spans="1:7" s="135" customFormat="1" x14ac:dyDescent="0.25">
      <c r="A465" s="111" t="s">
        <v>485</v>
      </c>
      <c r="B465" s="137" t="s">
        <v>818</v>
      </c>
      <c r="C465" s="85" t="s">
        <v>786</v>
      </c>
      <c r="D465" s="114"/>
      <c r="E465" s="85" t="s">
        <v>787</v>
      </c>
      <c r="F465" s="85" t="s">
        <v>784</v>
      </c>
      <c r="G465" s="138"/>
    </row>
    <row r="466" ht="24" customHeight="1" spans="1:7" s="135" customFormat="1" x14ac:dyDescent="0.25">
      <c r="A466" s="111" t="s">
        <v>488</v>
      </c>
      <c r="B466" s="137" t="s">
        <v>819</v>
      </c>
      <c r="C466" s="90" t="s">
        <v>820</v>
      </c>
      <c r="D466" s="114"/>
      <c r="E466" s="114"/>
      <c r="F466" s="85" t="s">
        <v>784</v>
      </c>
      <c r="G466" s="138"/>
    </row>
    <row r="467" ht="24" customHeight="1" spans="1:7" s="135" customFormat="1" x14ac:dyDescent="0.25">
      <c r="A467" s="152" t="s">
        <v>403</v>
      </c>
      <c r="B467" s="137" t="s">
        <v>821</v>
      </c>
      <c r="C467" s="90" t="s">
        <v>820</v>
      </c>
      <c r="D467" s="114"/>
      <c r="E467" s="114"/>
      <c r="F467" s="85" t="s">
        <v>784</v>
      </c>
      <c r="G467" s="138"/>
    </row>
    <row r="468" ht="24" customHeight="1" spans="1:7" s="135" customFormat="1" x14ac:dyDescent="0.25">
      <c r="A468" s="152" t="s">
        <v>407</v>
      </c>
      <c r="B468" s="119" t="s">
        <v>822</v>
      </c>
      <c r="C468" s="113"/>
      <c r="D468" s="114"/>
      <c r="E468" s="114"/>
      <c r="F468" s="114"/>
      <c r="G468" s="138"/>
    </row>
    <row r="469" ht="24" customHeight="1" spans="1:7" s="135" customFormat="1" x14ac:dyDescent="0.25">
      <c r="A469" s="152" t="s">
        <v>410</v>
      </c>
      <c r="B469" s="119" t="s">
        <v>789</v>
      </c>
      <c r="C469" s="113"/>
      <c r="D469" s="114"/>
      <c r="E469" s="114"/>
      <c r="F469" s="114"/>
      <c r="G469" s="138"/>
    </row>
    <row r="470" spans="1:7" s="135" customFormat="1" x14ac:dyDescent="0.25">
      <c r="A470" s="152" t="s">
        <v>413</v>
      </c>
      <c r="B470" s="119" t="s">
        <v>790</v>
      </c>
      <c r="C470" s="113"/>
      <c r="D470" s="114"/>
      <c r="E470" s="114"/>
      <c r="F470" s="114"/>
      <c r="G470" s="138"/>
    </row>
    <row r="471" spans="1:7" s="135" customFormat="1" x14ac:dyDescent="0.25">
      <c r="A471" s="152" t="s">
        <v>416</v>
      </c>
      <c r="B471" s="153" t="s">
        <v>823</v>
      </c>
      <c r="C471" s="113"/>
      <c r="D471" s="114"/>
      <c r="E471" s="114"/>
      <c r="F471" s="114"/>
      <c r="G471" s="138"/>
    </row>
    <row r="472" spans="1:7" s="135" customFormat="1" x14ac:dyDescent="0.25">
      <c r="A472" s="118" t="s">
        <v>419</v>
      </c>
      <c r="B472" s="153" t="s">
        <v>824</v>
      </c>
      <c r="C472" s="113"/>
      <c r="D472" s="114"/>
      <c r="E472" s="114"/>
      <c r="F472" s="114"/>
      <c r="G472" s="138"/>
    </row>
    <row r="473" spans="1:7" s="135" customFormat="1" x14ac:dyDescent="0.25">
      <c r="A473" s="118" t="s">
        <v>423</v>
      </c>
      <c r="B473" s="153" t="s">
        <v>825</v>
      </c>
      <c r="C473" s="113"/>
      <c r="D473" s="114"/>
      <c r="E473" s="114"/>
      <c r="F473" s="114"/>
      <c r="G473" s="138"/>
    </row>
    <row r="474" ht="36" customHeight="1" spans="1:7" s="135" customFormat="1" x14ac:dyDescent="0.25">
      <c r="A474" s="152" t="s">
        <v>826</v>
      </c>
      <c r="B474" s="119" t="s">
        <v>827</v>
      </c>
      <c r="C474" s="113"/>
      <c r="D474" s="114"/>
      <c r="E474" s="114"/>
      <c r="F474" s="114"/>
      <c r="G474" s="138"/>
    </row>
    <row r="475" ht="24" customHeight="1" spans="1:7" s="135" customFormat="1" x14ac:dyDescent="0.25">
      <c r="A475" s="152" t="s">
        <v>828</v>
      </c>
      <c r="B475" s="119" t="s">
        <v>829</v>
      </c>
      <c r="C475" s="113"/>
      <c r="D475" s="114"/>
      <c r="E475" s="114"/>
      <c r="F475" s="114"/>
      <c r="G475" s="138"/>
    </row>
    <row r="476" spans="1:7" s="135" customFormat="1" x14ac:dyDescent="0.25">
      <c r="A476" s="152" t="s">
        <v>830</v>
      </c>
      <c r="B476" s="153" t="s">
        <v>831</v>
      </c>
      <c r="C476" s="113"/>
      <c r="D476" s="114"/>
      <c r="E476" s="114"/>
      <c r="F476" s="114"/>
      <c r="G476" s="138"/>
    </row>
    <row r="477" spans="1:7" s="135" customFormat="1" x14ac:dyDescent="0.25">
      <c r="A477" s="152" t="s">
        <v>832</v>
      </c>
      <c r="B477" s="153" t="s">
        <v>833</v>
      </c>
      <c r="C477" s="113"/>
      <c r="D477" s="114"/>
      <c r="E477" s="114"/>
      <c r="F477" s="114"/>
      <c r="G477" s="138"/>
    </row>
    <row r="478" spans="1:7" s="135" customFormat="1" x14ac:dyDescent="0.25">
      <c r="A478" s="152" t="s">
        <v>834</v>
      </c>
      <c r="B478" s="153" t="s">
        <v>835</v>
      </c>
      <c r="C478" s="113"/>
      <c r="D478" s="114"/>
      <c r="E478" s="114"/>
      <c r="F478" s="114"/>
      <c r="G478" s="138"/>
    </row>
    <row r="479" spans="1:7" s="135" customFormat="1" x14ac:dyDescent="0.25">
      <c r="A479" s="152" t="s">
        <v>836</v>
      </c>
      <c r="B479" s="153" t="s">
        <v>837</v>
      </c>
      <c r="C479" s="113"/>
      <c r="D479" s="114"/>
      <c r="E479" s="114"/>
      <c r="F479" s="114"/>
      <c r="G479" s="138"/>
    </row>
    <row r="480" spans="1:7" s="135" customFormat="1" x14ac:dyDescent="0.25">
      <c r="A480" s="152" t="s">
        <v>838</v>
      </c>
      <c r="B480" s="153" t="s">
        <v>839</v>
      </c>
      <c r="C480" s="113"/>
      <c r="D480" s="114"/>
      <c r="E480" s="114"/>
      <c r="F480" s="114"/>
      <c r="G480" s="138"/>
    </row>
    <row r="481" spans="1:7" s="135" customFormat="1" x14ac:dyDescent="0.25">
      <c r="A481" s="142" t="s">
        <v>373</v>
      </c>
      <c r="B481" s="119" t="s">
        <v>840</v>
      </c>
      <c r="C481" s="113"/>
      <c r="D481" s="114"/>
      <c r="E481" s="114"/>
      <c r="F481" s="114"/>
      <c r="G481" s="138"/>
    </row>
    <row r="482" spans="1:7" s="135" customFormat="1" x14ac:dyDescent="0.25">
      <c r="A482" s="142" t="s">
        <v>841</v>
      </c>
      <c r="B482" s="119" t="s">
        <v>842</v>
      </c>
      <c r="C482" s="113"/>
      <c r="D482" s="114"/>
      <c r="E482" s="114"/>
      <c r="F482" s="114"/>
      <c r="G482" s="138"/>
    </row>
    <row r="483" ht="24" customHeight="1" spans="1:7" s="135" customFormat="1" x14ac:dyDescent="0.25">
      <c r="A483" s="111" t="s">
        <v>306</v>
      </c>
      <c r="B483" s="112" t="s">
        <v>745</v>
      </c>
      <c r="C483" s="113"/>
      <c r="D483" s="114" t="s">
        <v>61</v>
      </c>
      <c r="E483" s="114" t="s">
        <v>746</v>
      </c>
      <c r="F483" s="114"/>
      <c r="G483" s="138"/>
    </row>
    <row r="484" ht="132" customHeight="1" spans="1:7" s="135" customFormat="1" x14ac:dyDescent="0.25">
      <c r="A484" s="111" t="s">
        <v>308</v>
      </c>
      <c r="B484" s="112" t="s">
        <v>843</v>
      </c>
      <c r="C484" s="154" t="s">
        <v>844</v>
      </c>
      <c r="D484" s="114" t="s">
        <v>845</v>
      </c>
      <c r="E484" s="114" t="s">
        <v>846</v>
      </c>
      <c r="F484" s="114" t="s">
        <v>847</v>
      </c>
      <c r="G484" s="138"/>
    </row>
    <row r="485" ht="144" customHeight="1" spans="1:7" s="135" customFormat="1" x14ac:dyDescent="0.25">
      <c r="A485" s="111" t="s">
        <v>310</v>
      </c>
      <c r="B485" s="112" t="s">
        <v>848</v>
      </c>
      <c r="C485" s="155" t="s">
        <v>849</v>
      </c>
      <c r="D485" s="114" t="s">
        <v>749</v>
      </c>
      <c r="E485" s="114" t="s">
        <v>846</v>
      </c>
      <c r="F485" s="114" t="s">
        <v>847</v>
      </c>
      <c r="G485" s="138"/>
    </row>
    <row r="486" ht="84" customHeight="1" spans="1:7" s="135" customFormat="1" x14ac:dyDescent="0.25">
      <c r="A486" s="111" t="s">
        <v>312</v>
      </c>
      <c r="B486" s="112" t="s">
        <v>850</v>
      </c>
      <c r="C486" s="156" t="s">
        <v>771</v>
      </c>
      <c r="D486" s="114" t="s">
        <v>757</v>
      </c>
      <c r="E486" s="114" t="s">
        <v>772</v>
      </c>
      <c r="F486" s="114" t="s">
        <v>772</v>
      </c>
      <c r="G486" s="138"/>
    </row>
    <row r="487" ht="24" customHeight="1" spans="1:7" s="135" customFormat="1" x14ac:dyDescent="0.25">
      <c r="A487" s="111" t="s">
        <v>314</v>
      </c>
      <c r="B487" s="112" t="s">
        <v>851</v>
      </c>
      <c r="C487" s="113"/>
      <c r="D487" s="114" t="s">
        <v>845</v>
      </c>
      <c r="E487" s="114" t="s">
        <v>758</v>
      </c>
      <c r="F487" s="114" t="s">
        <v>852</v>
      </c>
      <c r="G487" s="138"/>
    </row>
    <row r="488" ht="36" customHeight="1" spans="1:7" s="135" customFormat="1" x14ac:dyDescent="0.25">
      <c r="A488" s="111" t="s">
        <v>316</v>
      </c>
      <c r="B488" s="112" t="s">
        <v>853</v>
      </c>
      <c r="C488" s="113"/>
      <c r="D488" s="114" t="s">
        <v>845</v>
      </c>
      <c r="E488" s="114" t="s">
        <v>854</v>
      </c>
      <c r="F488" s="114" t="s">
        <v>550</v>
      </c>
      <c r="G488" s="138"/>
    </row>
    <row r="489" ht="24" customHeight="1" spans="1:7" s="135" customFormat="1" x14ac:dyDescent="0.25">
      <c r="A489" s="144" t="s">
        <v>318</v>
      </c>
      <c r="B489" s="137" t="s">
        <v>855</v>
      </c>
      <c r="C489" s="85" t="s">
        <v>856</v>
      </c>
      <c r="D489" s="114"/>
      <c r="E489" s="85"/>
      <c r="F489" s="85"/>
      <c r="G489" s="138"/>
    </row>
    <row r="490" ht="36" customHeight="1" spans="1:7" s="135" customFormat="1" x14ac:dyDescent="0.25">
      <c r="A490" s="144" t="s">
        <v>478</v>
      </c>
      <c r="B490" s="112" t="s">
        <v>857</v>
      </c>
      <c r="C490" s="113"/>
      <c r="D490" s="114" t="s">
        <v>112</v>
      </c>
      <c r="E490" s="114" t="s">
        <v>545</v>
      </c>
      <c r="F490" s="114" t="s">
        <v>546</v>
      </c>
      <c r="G490" s="138"/>
    </row>
    <row r="491" ht="36" customHeight="1" spans="1:7" s="135" customFormat="1" x14ac:dyDescent="0.25">
      <c r="A491" s="111" t="s">
        <v>481</v>
      </c>
      <c r="B491" s="112" t="s">
        <v>858</v>
      </c>
      <c r="C491" s="113"/>
      <c r="D491" s="114" t="s">
        <v>112</v>
      </c>
      <c r="E491" s="114" t="s">
        <v>859</v>
      </c>
      <c r="F491" s="114" t="s">
        <v>546</v>
      </c>
      <c r="G491" s="138"/>
    </row>
    <row r="492" ht="36" customHeight="1" spans="1:7" s="135" customFormat="1" x14ac:dyDescent="0.25">
      <c r="A492" s="111" t="s">
        <v>483</v>
      </c>
      <c r="B492" s="112" t="s">
        <v>860</v>
      </c>
      <c r="C492" s="113"/>
      <c r="D492" s="114" t="s">
        <v>112</v>
      </c>
      <c r="E492" s="114" t="s">
        <v>861</v>
      </c>
      <c r="F492" s="114" t="s">
        <v>546</v>
      </c>
      <c r="G492" s="138"/>
    </row>
    <row r="493" ht="24" customHeight="1" spans="1:7" s="135" customFormat="1" x14ac:dyDescent="0.25">
      <c r="A493" s="152" t="s">
        <v>485</v>
      </c>
      <c r="B493" s="119" t="s">
        <v>862</v>
      </c>
      <c r="C493" s="113"/>
      <c r="D493" s="114"/>
      <c r="E493" s="114"/>
      <c r="F493" s="114"/>
      <c r="G493" s="138"/>
    </row>
    <row r="494" ht="24" customHeight="1" spans="1:7" s="135" customFormat="1" x14ac:dyDescent="0.25">
      <c r="A494" s="152" t="s">
        <v>488</v>
      </c>
      <c r="B494" s="119" t="s">
        <v>863</v>
      </c>
      <c r="C494" s="113"/>
      <c r="D494" s="114"/>
      <c r="E494" s="114"/>
      <c r="F494" s="114"/>
      <c r="G494" s="138"/>
    </row>
    <row r="495" spans="1:7" s="135" customFormat="1" x14ac:dyDescent="0.25">
      <c r="A495" s="152" t="s">
        <v>403</v>
      </c>
      <c r="B495" s="119" t="s">
        <v>864</v>
      </c>
      <c r="C495" s="113"/>
      <c r="D495" s="114"/>
      <c r="E495" s="114"/>
      <c r="F495" s="114"/>
      <c r="G495" s="138"/>
    </row>
    <row r="496" ht="24" customHeight="1" spans="1:7" s="135" customFormat="1" x14ac:dyDescent="0.25">
      <c r="A496" s="152" t="s">
        <v>407</v>
      </c>
      <c r="B496" s="119" t="s">
        <v>865</v>
      </c>
      <c r="C496" s="113"/>
      <c r="D496" s="114"/>
      <c r="E496" s="114"/>
      <c r="F496" s="114"/>
      <c r="G496" s="138"/>
    </row>
    <row r="497" spans="1:7" s="135" customFormat="1" x14ac:dyDescent="0.25">
      <c r="A497" s="152" t="s">
        <v>403</v>
      </c>
      <c r="B497" s="153" t="s">
        <v>866</v>
      </c>
      <c r="C497" s="113"/>
      <c r="D497" s="114"/>
      <c r="E497" s="114"/>
      <c r="F497" s="114"/>
      <c r="G497" s="138"/>
    </row>
    <row r="498" spans="1:7" s="135" customFormat="1" x14ac:dyDescent="0.25">
      <c r="A498" s="152" t="s">
        <v>407</v>
      </c>
      <c r="B498" s="153" t="s">
        <v>867</v>
      </c>
      <c r="C498" s="113"/>
      <c r="D498" s="114"/>
      <c r="E498" s="114"/>
      <c r="F498" s="114"/>
      <c r="G498" s="138"/>
    </row>
    <row r="499" spans="1:7" s="135" customFormat="1" x14ac:dyDescent="0.25">
      <c r="A499" s="152" t="s">
        <v>410</v>
      </c>
      <c r="B499" s="153" t="s">
        <v>868</v>
      </c>
      <c r="C499" s="113"/>
      <c r="D499" s="114"/>
      <c r="E499" s="114"/>
      <c r="F499" s="114"/>
      <c r="G499" s="138"/>
    </row>
    <row r="500" spans="1:7" s="135" customFormat="1" x14ac:dyDescent="0.25">
      <c r="A500" s="136"/>
      <c r="B500" s="112"/>
      <c r="C500" s="113"/>
      <c r="D500" s="114"/>
      <c r="E500" s="114"/>
      <c r="F500" s="114"/>
      <c r="G500" s="138"/>
    </row>
    <row r="501" ht="24" customHeight="1" spans="1:7" s="135" customFormat="1" x14ac:dyDescent="0.25">
      <c r="A501" s="142" t="s">
        <v>869</v>
      </c>
      <c r="B501" s="158" t="s">
        <v>870</v>
      </c>
      <c r="C501" s="113"/>
      <c r="D501" s="114"/>
      <c r="E501" s="114"/>
      <c r="F501" s="114"/>
      <c r="G501" s="138"/>
    </row>
    <row r="502" ht="24" customHeight="1" spans="1:7" s="135" customFormat="1" x14ac:dyDescent="0.25">
      <c r="A502" s="111" t="s">
        <v>306</v>
      </c>
      <c r="B502" s="112" t="s">
        <v>745</v>
      </c>
      <c r="C502" s="113"/>
      <c r="D502" s="114" t="s">
        <v>61</v>
      </c>
      <c r="E502" s="114" t="s">
        <v>746</v>
      </c>
      <c r="F502" s="114"/>
      <c r="G502" s="138"/>
    </row>
    <row r="503" ht="132" customHeight="1" spans="1:7" s="135" customFormat="1" x14ac:dyDescent="0.25">
      <c r="A503" s="111" t="s">
        <v>308</v>
      </c>
      <c r="B503" s="112" t="s">
        <v>871</v>
      </c>
      <c r="C503" s="154" t="s">
        <v>844</v>
      </c>
      <c r="D503" s="114" t="s">
        <v>845</v>
      </c>
      <c r="E503" s="114" t="s">
        <v>846</v>
      </c>
      <c r="F503" s="114" t="s">
        <v>847</v>
      </c>
      <c r="G503" s="138"/>
    </row>
    <row r="504" ht="144" customHeight="1" spans="1:7" s="135" customFormat="1" x14ac:dyDescent="0.25">
      <c r="A504" s="111" t="s">
        <v>310</v>
      </c>
      <c r="B504" s="112" t="s">
        <v>872</v>
      </c>
      <c r="C504" s="155" t="s">
        <v>849</v>
      </c>
      <c r="D504" s="114" t="s">
        <v>749</v>
      </c>
      <c r="E504" s="114" t="s">
        <v>846</v>
      </c>
      <c r="F504" s="114" t="s">
        <v>847</v>
      </c>
      <c r="G504" s="138"/>
    </row>
    <row r="505" ht="84" customHeight="1" spans="1:7" s="135" customFormat="1" x14ac:dyDescent="0.25">
      <c r="A505" s="111" t="s">
        <v>312</v>
      </c>
      <c r="B505" s="112" t="s">
        <v>850</v>
      </c>
      <c r="C505" s="156" t="s">
        <v>771</v>
      </c>
      <c r="D505" s="114" t="s">
        <v>757</v>
      </c>
      <c r="E505" s="114" t="s">
        <v>772</v>
      </c>
      <c r="F505" s="114" t="s">
        <v>772</v>
      </c>
      <c r="G505" s="138"/>
    </row>
    <row r="506" ht="24" customHeight="1" spans="1:7" s="135" customFormat="1" x14ac:dyDescent="0.25">
      <c r="A506" s="111" t="s">
        <v>314</v>
      </c>
      <c r="B506" s="112" t="s">
        <v>873</v>
      </c>
      <c r="C506" s="113"/>
      <c r="D506" s="114" t="s">
        <v>845</v>
      </c>
      <c r="E506" s="114" t="s">
        <v>758</v>
      </c>
      <c r="F506" s="114" t="s">
        <v>852</v>
      </c>
      <c r="G506" s="138"/>
    </row>
    <row r="507" ht="24" customHeight="1" spans="1:7" s="135" customFormat="1" x14ac:dyDescent="0.25">
      <c r="A507" s="111" t="s">
        <v>316</v>
      </c>
      <c r="B507" s="137" t="s">
        <v>855</v>
      </c>
      <c r="C507" s="85" t="s">
        <v>856</v>
      </c>
      <c r="D507" s="114"/>
      <c r="E507" s="114"/>
      <c r="F507" s="114"/>
      <c r="G507" s="138"/>
    </row>
    <row r="508" ht="36" customHeight="1" spans="1:7" s="135" customFormat="1" x14ac:dyDescent="0.25">
      <c r="A508" s="144" t="s">
        <v>318</v>
      </c>
      <c r="B508" s="112" t="s">
        <v>874</v>
      </c>
      <c r="C508" s="113"/>
      <c r="D508" s="114" t="s">
        <v>112</v>
      </c>
      <c r="E508" s="114" t="s">
        <v>545</v>
      </c>
      <c r="F508" s="114" t="s">
        <v>546</v>
      </c>
      <c r="G508" s="138"/>
    </row>
    <row r="509" ht="36" customHeight="1" spans="1:7" s="135" customFormat="1" x14ac:dyDescent="0.25">
      <c r="A509" s="144" t="s">
        <v>478</v>
      </c>
      <c r="B509" s="112" t="s">
        <v>875</v>
      </c>
      <c r="C509" s="113"/>
      <c r="D509" s="114" t="s">
        <v>112</v>
      </c>
      <c r="E509" s="114" t="s">
        <v>859</v>
      </c>
      <c r="F509" s="114" t="s">
        <v>546</v>
      </c>
      <c r="G509" s="138"/>
    </row>
    <row r="510" ht="36" customHeight="1" spans="1:7" s="135" customFormat="1" x14ac:dyDescent="0.25">
      <c r="A510" s="111" t="s">
        <v>481</v>
      </c>
      <c r="B510" s="112" t="s">
        <v>876</v>
      </c>
      <c r="C510" s="113"/>
      <c r="D510" s="114" t="s">
        <v>112</v>
      </c>
      <c r="E510" s="114" t="s">
        <v>861</v>
      </c>
      <c r="F510" s="114" t="s">
        <v>546</v>
      </c>
      <c r="G510" s="138"/>
    </row>
    <row r="511" ht="24" customHeight="1" spans="1:7" s="135" customFormat="1" x14ac:dyDescent="0.25">
      <c r="A511" s="111" t="s">
        <v>483</v>
      </c>
      <c r="B511" s="119" t="s">
        <v>877</v>
      </c>
      <c r="C511" s="113"/>
      <c r="D511" s="114"/>
      <c r="E511" s="114"/>
      <c r="F511" s="114"/>
      <c r="G511" s="138"/>
    </row>
    <row r="512" ht="24" customHeight="1" spans="1:7" s="135" customFormat="1" x14ac:dyDescent="0.25">
      <c r="A512" s="152" t="s">
        <v>485</v>
      </c>
      <c r="B512" s="119" t="s">
        <v>878</v>
      </c>
      <c r="C512" s="113"/>
      <c r="D512" s="114"/>
      <c r="E512" s="114"/>
      <c r="F512" s="114"/>
      <c r="G512" s="138"/>
    </row>
    <row r="513" ht="24" customHeight="1" spans="1:7" s="135" customFormat="1" x14ac:dyDescent="0.25">
      <c r="A513" s="152" t="s">
        <v>488</v>
      </c>
      <c r="B513" s="119" t="s">
        <v>879</v>
      </c>
      <c r="C513" s="113"/>
      <c r="D513" s="114"/>
      <c r="E513" s="114"/>
      <c r="F513" s="114"/>
      <c r="G513" s="138"/>
    </row>
    <row r="514" ht="24" customHeight="1" spans="1:7" s="135" customFormat="1" x14ac:dyDescent="0.25">
      <c r="A514" s="152" t="s">
        <v>403</v>
      </c>
      <c r="B514" s="119" t="s">
        <v>880</v>
      </c>
      <c r="C514" s="113"/>
      <c r="D514" s="114"/>
      <c r="E514" s="114"/>
      <c r="F514" s="114"/>
      <c r="G514" s="138"/>
    </row>
    <row r="515" spans="1:7" s="135" customFormat="1" x14ac:dyDescent="0.25">
      <c r="A515" s="152" t="s">
        <v>407</v>
      </c>
      <c r="B515" s="153" t="s">
        <v>866</v>
      </c>
      <c r="C515" s="113"/>
      <c r="D515" s="114"/>
      <c r="E515" s="114"/>
      <c r="F515" s="114"/>
      <c r="G515" s="138"/>
    </row>
    <row r="516" spans="1:7" s="135" customFormat="1" x14ac:dyDescent="0.25">
      <c r="A516" s="152" t="s">
        <v>410</v>
      </c>
      <c r="B516" s="153" t="s">
        <v>867</v>
      </c>
      <c r="C516" s="113"/>
      <c r="D516" s="114"/>
      <c r="E516" s="114"/>
      <c r="F516" s="114"/>
      <c r="G516" s="138"/>
    </row>
    <row r="517" spans="1:7" s="135" customFormat="1" x14ac:dyDescent="0.25">
      <c r="A517" s="152" t="s">
        <v>413</v>
      </c>
      <c r="B517" s="153" t="s">
        <v>868</v>
      </c>
      <c r="C517" s="113"/>
      <c r="D517" s="114"/>
      <c r="E517" s="114"/>
      <c r="F517" s="114"/>
      <c r="G517" s="138"/>
    </row>
    <row r="518" spans="1:7" s="135" customFormat="1" x14ac:dyDescent="0.25">
      <c r="A518" s="136"/>
      <c r="B518" s="112"/>
      <c r="C518" s="113"/>
      <c r="D518" s="114"/>
      <c r="E518" s="114"/>
      <c r="F518" s="114"/>
      <c r="G518" s="138"/>
    </row>
    <row r="519" spans="1:7" s="135" customFormat="1" x14ac:dyDescent="0.25">
      <c r="A519" s="142" t="s">
        <v>881</v>
      </c>
      <c r="B519" s="119" t="s">
        <v>882</v>
      </c>
      <c r="C519" s="113"/>
      <c r="D519" s="114"/>
      <c r="E519" s="114"/>
      <c r="F519" s="114"/>
      <c r="G519" s="138"/>
    </row>
    <row r="520" ht="24" customHeight="1" spans="1:7" s="135" customFormat="1" x14ac:dyDescent="0.25">
      <c r="A520" s="111" t="s">
        <v>306</v>
      </c>
      <c r="B520" s="112" t="s">
        <v>745</v>
      </c>
      <c r="C520" s="113"/>
      <c r="D520" s="114" t="s">
        <v>61</v>
      </c>
      <c r="E520" s="114" t="s">
        <v>746</v>
      </c>
      <c r="F520" s="114"/>
      <c r="G520" s="138"/>
    </row>
    <row r="521" ht="132" customHeight="1" spans="1:7" s="135" customFormat="1" x14ac:dyDescent="0.25">
      <c r="A521" s="111" t="s">
        <v>308</v>
      </c>
      <c r="B521" s="112" t="s">
        <v>883</v>
      </c>
      <c r="C521" s="154" t="s">
        <v>844</v>
      </c>
      <c r="D521" s="114" t="s">
        <v>845</v>
      </c>
      <c r="E521" s="114" t="s">
        <v>846</v>
      </c>
      <c r="F521" s="114" t="s">
        <v>847</v>
      </c>
      <c r="G521" s="138"/>
    </row>
    <row r="522" ht="144" customHeight="1" spans="1:7" s="135" customFormat="1" x14ac:dyDescent="0.25">
      <c r="A522" s="111" t="s">
        <v>310</v>
      </c>
      <c r="B522" s="112" t="s">
        <v>884</v>
      </c>
      <c r="C522" s="155" t="s">
        <v>849</v>
      </c>
      <c r="D522" s="114" t="s">
        <v>749</v>
      </c>
      <c r="E522" s="114" t="s">
        <v>846</v>
      </c>
      <c r="F522" s="114" t="s">
        <v>847</v>
      </c>
      <c r="G522" s="138"/>
    </row>
    <row r="523" ht="84" customHeight="1" spans="1:7" s="135" customFormat="1" x14ac:dyDescent="0.25">
      <c r="A523" s="111" t="s">
        <v>312</v>
      </c>
      <c r="B523" s="112" t="s">
        <v>850</v>
      </c>
      <c r="C523" s="156" t="s">
        <v>771</v>
      </c>
      <c r="D523" s="114" t="s">
        <v>757</v>
      </c>
      <c r="E523" s="114" t="s">
        <v>772</v>
      </c>
      <c r="F523" s="114" t="s">
        <v>772</v>
      </c>
      <c r="G523" s="138"/>
    </row>
    <row r="524" ht="24" customHeight="1" spans="1:7" s="135" customFormat="1" x14ac:dyDescent="0.25">
      <c r="A524" s="111" t="s">
        <v>314</v>
      </c>
      <c r="B524" s="112" t="s">
        <v>885</v>
      </c>
      <c r="C524" s="113"/>
      <c r="D524" s="114" t="s">
        <v>845</v>
      </c>
      <c r="E524" s="114" t="s">
        <v>758</v>
      </c>
      <c r="F524" s="114" t="s">
        <v>852</v>
      </c>
      <c r="G524" s="138"/>
    </row>
    <row r="525" ht="36" customHeight="1" spans="1:7" s="135" customFormat="1" x14ac:dyDescent="0.25">
      <c r="A525" s="111" t="s">
        <v>316</v>
      </c>
      <c r="B525" s="112" t="s">
        <v>886</v>
      </c>
      <c r="C525" s="113"/>
      <c r="D525" s="114" t="s">
        <v>845</v>
      </c>
      <c r="E525" s="114" t="s">
        <v>854</v>
      </c>
      <c r="F525" s="114" t="s">
        <v>550</v>
      </c>
      <c r="G525" s="138"/>
    </row>
    <row r="526" ht="24" customHeight="1" spans="1:7" s="135" customFormat="1" x14ac:dyDescent="0.25">
      <c r="A526" s="144" t="s">
        <v>318</v>
      </c>
      <c r="B526" s="137" t="s">
        <v>855</v>
      </c>
      <c r="C526" s="85" t="s">
        <v>856</v>
      </c>
      <c r="D526" s="114"/>
      <c r="E526" s="114"/>
      <c r="F526" s="114"/>
      <c r="G526" s="138"/>
    </row>
    <row r="527" ht="36" customHeight="1" spans="1:7" s="135" customFormat="1" x14ac:dyDescent="0.25">
      <c r="A527" s="144" t="s">
        <v>478</v>
      </c>
      <c r="B527" s="112" t="s">
        <v>887</v>
      </c>
      <c r="C527" s="113"/>
      <c r="D527" s="114" t="s">
        <v>112</v>
      </c>
      <c r="E527" s="114" t="s">
        <v>545</v>
      </c>
      <c r="F527" s="114" t="s">
        <v>546</v>
      </c>
      <c r="G527" s="138"/>
    </row>
    <row r="528" ht="36" customHeight="1" spans="1:7" s="135" customFormat="1" x14ac:dyDescent="0.25">
      <c r="A528" s="111" t="s">
        <v>481</v>
      </c>
      <c r="B528" s="112" t="s">
        <v>888</v>
      </c>
      <c r="C528" s="113"/>
      <c r="D528" s="114" t="s">
        <v>112</v>
      </c>
      <c r="E528" s="114" t="s">
        <v>859</v>
      </c>
      <c r="F528" s="114" t="s">
        <v>546</v>
      </c>
      <c r="G528" s="138"/>
    </row>
    <row r="529" ht="36" customHeight="1" spans="1:7" s="135" customFormat="1" x14ac:dyDescent="0.25">
      <c r="A529" s="111" t="s">
        <v>483</v>
      </c>
      <c r="B529" s="112" t="s">
        <v>889</v>
      </c>
      <c r="C529" s="113"/>
      <c r="D529" s="114" t="s">
        <v>112</v>
      </c>
      <c r="E529" s="114" t="s">
        <v>890</v>
      </c>
      <c r="F529" s="114"/>
      <c r="G529" s="138"/>
    </row>
    <row r="530" ht="36" customHeight="1" spans="1:7" s="135" customFormat="1" x14ac:dyDescent="0.25">
      <c r="A530" s="152" t="s">
        <v>485</v>
      </c>
      <c r="B530" s="112" t="s">
        <v>891</v>
      </c>
      <c r="C530" s="113"/>
      <c r="D530" s="114" t="s">
        <v>112</v>
      </c>
      <c r="E530" s="114" t="s">
        <v>861</v>
      </c>
      <c r="F530" s="114" t="s">
        <v>546</v>
      </c>
      <c r="G530" s="138"/>
    </row>
    <row r="531" ht="24" customHeight="1" spans="1:7" s="135" customFormat="1" x14ac:dyDescent="0.25">
      <c r="A531" s="152" t="s">
        <v>488</v>
      </c>
      <c r="B531" s="119" t="s">
        <v>892</v>
      </c>
      <c r="C531" s="113"/>
      <c r="D531" s="114"/>
      <c r="E531" s="114"/>
      <c r="F531" s="114"/>
      <c r="G531" s="138"/>
    </row>
    <row r="532" spans="1:7" s="135" customFormat="1" x14ac:dyDescent="0.25">
      <c r="A532" s="152" t="s">
        <v>403</v>
      </c>
      <c r="B532" s="119" t="s">
        <v>893</v>
      </c>
      <c r="C532" s="113"/>
      <c r="D532" s="114"/>
      <c r="E532" s="114"/>
      <c r="F532" s="114"/>
      <c r="G532" s="138"/>
    </row>
    <row r="533" ht="24" customHeight="1" spans="1:7" s="135" customFormat="1" x14ac:dyDescent="0.25">
      <c r="A533" s="152" t="s">
        <v>407</v>
      </c>
      <c r="B533" s="119" t="s">
        <v>894</v>
      </c>
      <c r="C533" s="113"/>
      <c r="D533" s="114"/>
      <c r="E533" s="114"/>
      <c r="F533" s="114"/>
      <c r="G533" s="138"/>
    </row>
    <row r="534" spans="1:7" s="135" customFormat="1" x14ac:dyDescent="0.25">
      <c r="A534" s="152" t="s">
        <v>410</v>
      </c>
      <c r="B534" s="119" t="s">
        <v>895</v>
      </c>
      <c r="C534" s="113"/>
      <c r="D534" s="114"/>
      <c r="E534" s="114"/>
      <c r="F534" s="114"/>
      <c r="G534" s="138"/>
    </row>
    <row r="535" ht="24" customHeight="1" spans="1:7" s="135" customFormat="1" x14ac:dyDescent="0.25">
      <c r="A535" s="152" t="s">
        <v>413</v>
      </c>
      <c r="B535" s="119" t="s">
        <v>896</v>
      </c>
      <c r="C535" s="113"/>
      <c r="D535" s="114"/>
      <c r="E535" s="114"/>
      <c r="F535" s="114"/>
      <c r="G535" s="138"/>
    </row>
    <row r="536" spans="1:7" s="135" customFormat="1" x14ac:dyDescent="0.25">
      <c r="A536" s="152" t="s">
        <v>416</v>
      </c>
      <c r="B536" s="153" t="s">
        <v>866</v>
      </c>
      <c r="C536" s="113"/>
      <c r="D536" s="114"/>
      <c r="E536" s="114"/>
      <c r="F536" s="114"/>
      <c r="G536" s="138"/>
    </row>
    <row r="537" spans="1:7" s="135" customFormat="1" x14ac:dyDescent="0.25">
      <c r="A537" s="152" t="s">
        <v>419</v>
      </c>
      <c r="B537" s="153" t="s">
        <v>867</v>
      </c>
      <c r="C537" s="113"/>
      <c r="D537" s="114"/>
      <c r="E537" s="114"/>
      <c r="F537" s="114"/>
      <c r="G537" s="138"/>
    </row>
    <row r="538" spans="1:7" s="135" customFormat="1" x14ac:dyDescent="0.25">
      <c r="A538" s="152" t="s">
        <v>423</v>
      </c>
      <c r="B538" s="153" t="s">
        <v>868</v>
      </c>
      <c r="C538" s="113"/>
      <c r="D538" s="114"/>
      <c r="E538" s="114"/>
      <c r="F538" s="114"/>
      <c r="G538" s="138"/>
    </row>
    <row r="539" spans="1:7" s="135" customFormat="1" x14ac:dyDescent="0.25">
      <c r="A539" s="136"/>
      <c r="B539" s="112"/>
      <c r="C539" s="113"/>
      <c r="D539" s="114"/>
      <c r="E539" s="114"/>
      <c r="F539" s="114"/>
      <c r="G539" s="138"/>
    </row>
    <row r="540" spans="1:7" s="135" customFormat="1" x14ac:dyDescent="0.25">
      <c r="A540" s="142" t="s">
        <v>897</v>
      </c>
      <c r="B540" s="119" t="s">
        <v>898</v>
      </c>
      <c r="C540" s="113"/>
      <c r="D540" s="114"/>
      <c r="E540" s="114"/>
      <c r="F540" s="114"/>
      <c r="G540" s="138"/>
    </row>
    <row r="541" ht="24" customHeight="1" spans="1:7" s="135" customFormat="1" x14ac:dyDescent="0.25">
      <c r="A541" s="111" t="s">
        <v>306</v>
      </c>
      <c r="B541" s="112" t="s">
        <v>745</v>
      </c>
      <c r="C541" s="113"/>
      <c r="D541" s="114" t="s">
        <v>61</v>
      </c>
      <c r="E541" s="114" t="s">
        <v>746</v>
      </c>
      <c r="F541" s="114"/>
      <c r="G541" s="138"/>
    </row>
    <row r="542" ht="132" customHeight="1" spans="1:7" s="135" customFormat="1" x14ac:dyDescent="0.25">
      <c r="A542" s="111" t="s">
        <v>308</v>
      </c>
      <c r="B542" s="112" t="s">
        <v>899</v>
      </c>
      <c r="C542" s="154" t="s">
        <v>844</v>
      </c>
      <c r="D542" s="114" t="s">
        <v>845</v>
      </c>
      <c r="E542" s="114" t="s">
        <v>846</v>
      </c>
      <c r="F542" s="114" t="s">
        <v>847</v>
      </c>
      <c r="G542" s="138"/>
    </row>
    <row r="543" ht="144" customHeight="1" spans="1:7" s="135" customFormat="1" x14ac:dyDescent="0.25">
      <c r="A543" s="111" t="s">
        <v>310</v>
      </c>
      <c r="B543" s="112" t="s">
        <v>900</v>
      </c>
      <c r="C543" s="155" t="s">
        <v>849</v>
      </c>
      <c r="D543" s="114" t="s">
        <v>749</v>
      </c>
      <c r="E543" s="114" t="s">
        <v>846</v>
      </c>
      <c r="F543" s="114" t="s">
        <v>847</v>
      </c>
      <c r="G543" s="138"/>
    </row>
    <row r="544" ht="84" customHeight="1" spans="1:7" s="135" customFormat="1" x14ac:dyDescent="0.25">
      <c r="A544" s="111" t="s">
        <v>312</v>
      </c>
      <c r="B544" s="112" t="s">
        <v>850</v>
      </c>
      <c r="C544" s="156" t="s">
        <v>771</v>
      </c>
      <c r="D544" s="114" t="s">
        <v>757</v>
      </c>
      <c r="E544" s="114" t="s">
        <v>772</v>
      </c>
      <c r="F544" s="114" t="s">
        <v>772</v>
      </c>
      <c r="G544" s="138"/>
    </row>
    <row r="545" ht="24" customHeight="1" spans="1:7" s="135" customFormat="1" x14ac:dyDescent="0.25">
      <c r="A545" s="111" t="s">
        <v>314</v>
      </c>
      <c r="B545" s="112" t="s">
        <v>901</v>
      </c>
      <c r="C545" s="113"/>
      <c r="D545" s="114" t="s">
        <v>845</v>
      </c>
      <c r="E545" s="114" t="s">
        <v>758</v>
      </c>
      <c r="F545" s="114" t="s">
        <v>852</v>
      </c>
      <c r="G545" s="138"/>
    </row>
    <row r="546" ht="36" customHeight="1" spans="1:7" s="135" customFormat="1" x14ac:dyDescent="0.25">
      <c r="A546" s="111" t="s">
        <v>316</v>
      </c>
      <c r="B546" s="112" t="s">
        <v>902</v>
      </c>
      <c r="C546" s="113"/>
      <c r="D546" s="114" t="s">
        <v>845</v>
      </c>
      <c r="E546" s="114" t="s">
        <v>854</v>
      </c>
      <c r="F546" s="114" t="s">
        <v>550</v>
      </c>
      <c r="G546" s="138"/>
    </row>
    <row r="547" ht="84" customHeight="1" spans="1:7" s="135" customFormat="1" x14ac:dyDescent="0.25">
      <c r="A547" s="111" t="s">
        <v>318</v>
      </c>
      <c r="B547" s="112" t="s">
        <v>903</v>
      </c>
      <c r="C547" s="156" t="s">
        <v>767</v>
      </c>
      <c r="D547" s="114" t="s">
        <v>757</v>
      </c>
      <c r="E547" s="114" t="s">
        <v>904</v>
      </c>
      <c r="F547" s="114" t="s">
        <v>765</v>
      </c>
      <c r="G547" s="138"/>
    </row>
    <row r="548" ht="84" customHeight="1" spans="1:7" s="135" customFormat="1" x14ac:dyDescent="0.25">
      <c r="A548" s="111" t="s">
        <v>478</v>
      </c>
      <c r="B548" s="112" t="s">
        <v>905</v>
      </c>
      <c r="C548" s="156" t="s">
        <v>771</v>
      </c>
      <c r="D548" s="114" t="s">
        <v>757</v>
      </c>
      <c r="E548" s="114" t="s">
        <v>772</v>
      </c>
      <c r="F548" s="114" t="s">
        <v>772</v>
      </c>
      <c r="G548" s="138"/>
    </row>
    <row r="549" ht="48" customHeight="1" spans="1:7" s="135" customFormat="1" x14ac:dyDescent="0.25">
      <c r="A549" s="144" t="s">
        <v>481</v>
      </c>
      <c r="B549" s="137" t="s">
        <v>906</v>
      </c>
      <c r="C549" s="85" t="s">
        <v>907</v>
      </c>
      <c r="D549" s="114"/>
      <c r="E549" s="114"/>
      <c r="F549" s="114"/>
      <c r="G549" s="138"/>
    </row>
    <row r="550" ht="48" customHeight="1" spans="1:7" s="135" customFormat="1" x14ac:dyDescent="0.25">
      <c r="A550" s="144" t="s">
        <v>483</v>
      </c>
      <c r="B550" s="137" t="s">
        <v>908</v>
      </c>
      <c r="C550" s="85" t="s">
        <v>907</v>
      </c>
      <c r="D550" s="114"/>
      <c r="E550" s="114"/>
      <c r="F550" s="114"/>
      <c r="G550" s="138"/>
    </row>
    <row r="551" ht="36" customHeight="1" spans="1:7" s="135" customFormat="1" x14ac:dyDescent="0.25">
      <c r="A551" s="111" t="s">
        <v>485</v>
      </c>
      <c r="B551" s="112" t="s">
        <v>909</v>
      </c>
      <c r="C551" s="113"/>
      <c r="D551" s="114" t="s">
        <v>112</v>
      </c>
      <c r="E551" s="114" t="s">
        <v>545</v>
      </c>
      <c r="F551" s="114" t="s">
        <v>546</v>
      </c>
      <c r="G551" s="138"/>
    </row>
    <row r="552" ht="36" customHeight="1" spans="1:7" s="135" customFormat="1" x14ac:dyDescent="0.25">
      <c r="A552" s="111" t="s">
        <v>488</v>
      </c>
      <c r="B552" s="112" t="s">
        <v>910</v>
      </c>
      <c r="C552" s="113"/>
      <c r="D552" s="114" t="s">
        <v>112</v>
      </c>
      <c r="E552" s="114" t="s">
        <v>859</v>
      </c>
      <c r="F552" s="114" t="s">
        <v>546</v>
      </c>
      <c r="G552" s="138"/>
    </row>
    <row r="553" ht="36" customHeight="1" spans="1:7" s="135" customFormat="1" x14ac:dyDescent="0.25">
      <c r="A553" s="111" t="s">
        <v>403</v>
      </c>
      <c r="B553" s="112" t="s">
        <v>911</v>
      </c>
      <c r="C553" s="113"/>
      <c r="D553" s="114" t="s">
        <v>112</v>
      </c>
      <c r="E553" s="114" t="s">
        <v>861</v>
      </c>
      <c r="F553" s="114" t="s">
        <v>546</v>
      </c>
      <c r="G553" s="138"/>
    </row>
    <row r="554" ht="24" customHeight="1" spans="1:7" s="135" customFormat="1" x14ac:dyDescent="0.25">
      <c r="A554" s="152" t="s">
        <v>407</v>
      </c>
      <c r="B554" s="119" t="s">
        <v>912</v>
      </c>
      <c r="C554" s="113"/>
      <c r="D554" s="114"/>
      <c r="E554" s="114"/>
      <c r="F554" s="114"/>
      <c r="G554" s="138"/>
    </row>
    <row r="555" ht="24" customHeight="1" spans="1:7" s="135" customFormat="1" x14ac:dyDescent="0.25">
      <c r="A555" s="152" t="s">
        <v>410</v>
      </c>
      <c r="B555" s="119" t="s">
        <v>913</v>
      </c>
      <c r="C555" s="113"/>
      <c r="D555" s="114"/>
      <c r="E555" s="114"/>
      <c r="F555" s="114"/>
      <c r="G555" s="138"/>
    </row>
    <row r="556" ht="24" customHeight="1" spans="1:7" s="135" customFormat="1" x14ac:dyDescent="0.25">
      <c r="A556" s="152" t="s">
        <v>413</v>
      </c>
      <c r="B556" s="119" t="s">
        <v>914</v>
      </c>
      <c r="C556" s="113"/>
      <c r="D556" s="114"/>
      <c r="E556" s="114"/>
      <c r="F556" s="114"/>
      <c r="G556" s="138"/>
    </row>
    <row r="557" ht="24" customHeight="1" spans="1:7" s="135" customFormat="1" x14ac:dyDescent="0.25">
      <c r="A557" s="152" t="s">
        <v>416</v>
      </c>
      <c r="B557" s="119" t="s">
        <v>915</v>
      </c>
      <c r="C557" s="113"/>
      <c r="D557" s="114"/>
      <c r="E557" s="114"/>
      <c r="F557" s="114"/>
      <c r="G557" s="138"/>
    </row>
    <row r="558" spans="1:7" s="135" customFormat="1" x14ac:dyDescent="0.25">
      <c r="A558" s="152" t="s">
        <v>419</v>
      </c>
      <c r="B558" s="153" t="s">
        <v>916</v>
      </c>
      <c r="C558" s="113"/>
      <c r="D558" s="114"/>
      <c r="E558" s="114"/>
      <c r="F558" s="114"/>
      <c r="G558" s="138"/>
    </row>
    <row r="559" spans="1:7" s="135" customFormat="1" x14ac:dyDescent="0.25">
      <c r="A559" s="152" t="s">
        <v>423</v>
      </c>
      <c r="B559" s="153" t="s">
        <v>917</v>
      </c>
      <c r="C559" s="113"/>
      <c r="D559" s="114"/>
      <c r="E559" s="114"/>
      <c r="F559" s="114"/>
      <c r="G559" s="138"/>
    </row>
    <row r="560" spans="1:7" s="135" customFormat="1" x14ac:dyDescent="0.25">
      <c r="A560" s="152" t="s">
        <v>425</v>
      </c>
      <c r="B560" s="153" t="s">
        <v>918</v>
      </c>
      <c r="C560" s="113"/>
      <c r="D560" s="114"/>
      <c r="E560" s="114"/>
      <c r="F560" s="114"/>
      <c r="G560" s="138"/>
    </row>
    <row r="561" spans="1:7" s="135" customFormat="1" x14ac:dyDescent="0.25">
      <c r="A561" s="142" t="s">
        <v>427</v>
      </c>
      <c r="B561" s="153" t="s">
        <v>919</v>
      </c>
      <c r="C561" s="113"/>
      <c r="D561" s="114"/>
      <c r="E561" s="114"/>
      <c r="F561" s="114"/>
      <c r="G561" s="138"/>
    </row>
    <row r="562" spans="1:7" s="135" customFormat="1" x14ac:dyDescent="0.25">
      <c r="A562" s="152" t="s">
        <v>514</v>
      </c>
      <c r="B562" s="153" t="s">
        <v>920</v>
      </c>
      <c r="C562" s="113"/>
      <c r="D562" s="114"/>
      <c r="E562" s="114"/>
      <c r="F562" s="114"/>
      <c r="G562" s="138"/>
    </row>
    <row r="563" spans="1:7" s="135" customFormat="1" x14ac:dyDescent="0.25">
      <c r="A563" s="142" t="s">
        <v>514</v>
      </c>
      <c r="B563" s="153" t="s">
        <v>921</v>
      </c>
      <c r="C563" s="113"/>
      <c r="D563" s="114"/>
      <c r="E563" s="114"/>
      <c r="F563" s="114"/>
      <c r="G563" s="138"/>
    </row>
    <row r="564" spans="1:7" s="135" customFormat="1" x14ac:dyDescent="0.25">
      <c r="A564" s="136"/>
      <c r="B564" s="112"/>
      <c r="C564" s="113"/>
      <c r="D564" s="114"/>
      <c r="E564" s="114"/>
      <c r="F564" s="114"/>
      <c r="G564" s="138"/>
    </row>
    <row r="565" ht="24" customHeight="1" spans="1:7" s="135" customFormat="1" x14ac:dyDescent="0.25">
      <c r="A565" s="142" t="s">
        <v>922</v>
      </c>
      <c r="B565" s="119" t="s">
        <v>923</v>
      </c>
      <c r="C565" s="113"/>
      <c r="D565" s="114"/>
      <c r="E565" s="114"/>
      <c r="F565" s="114"/>
      <c r="G565" s="138"/>
    </row>
    <row r="566" ht="24" customHeight="1" spans="1:7" s="135" customFormat="1" x14ac:dyDescent="0.25">
      <c r="A566" s="142" t="s">
        <v>924</v>
      </c>
      <c r="B566" s="119" t="s">
        <v>925</v>
      </c>
      <c r="C566" s="113"/>
      <c r="D566" s="114"/>
      <c r="E566" s="114"/>
      <c r="F566" s="114"/>
      <c r="G566" s="138"/>
    </row>
    <row r="567" ht="24" customHeight="1" spans="1:7" s="135" customFormat="1" x14ac:dyDescent="0.25">
      <c r="A567" s="142" t="s">
        <v>926</v>
      </c>
      <c r="B567" s="119" t="s">
        <v>927</v>
      </c>
      <c r="C567" s="113"/>
      <c r="D567" s="114"/>
      <c r="E567" s="114"/>
      <c r="F567" s="114"/>
      <c r="G567" s="138"/>
    </row>
    <row r="568" ht="24" customHeight="1" spans="1:7" s="135" customFormat="1" x14ac:dyDescent="0.25">
      <c r="A568" s="142" t="s">
        <v>928</v>
      </c>
      <c r="B568" s="120" t="s">
        <v>929</v>
      </c>
      <c r="C568" s="113"/>
      <c r="D568" s="114"/>
      <c r="E568" s="114"/>
      <c r="F568" s="114"/>
      <c r="G568" s="138"/>
    </row>
    <row r="569" ht="24" customHeight="1" spans="1:7" s="135" customFormat="1" x14ac:dyDescent="0.25">
      <c r="A569" s="142" t="s">
        <v>930</v>
      </c>
      <c r="B569" s="120" t="s">
        <v>931</v>
      </c>
      <c r="C569" s="113"/>
      <c r="D569" s="114"/>
      <c r="E569" s="114"/>
      <c r="F569" s="114"/>
      <c r="G569" s="138"/>
    </row>
    <row r="570" ht="24" customHeight="1" spans="1:7" s="135" customFormat="1" x14ac:dyDescent="0.25">
      <c r="A570" s="142" t="s">
        <v>932</v>
      </c>
      <c r="B570" s="120" t="s">
        <v>933</v>
      </c>
      <c r="C570" s="113"/>
      <c r="D570" s="114"/>
      <c r="E570" s="114"/>
      <c r="F570" s="114"/>
      <c r="G570" s="138"/>
    </row>
    <row r="571" ht="24" customHeight="1" spans="1:7" s="135" customFormat="1" x14ac:dyDescent="0.25">
      <c r="A571" s="142" t="s">
        <v>934</v>
      </c>
      <c r="B571" s="120" t="s">
        <v>935</v>
      </c>
      <c r="C571" s="113"/>
      <c r="D571" s="114"/>
      <c r="E571" s="114"/>
      <c r="F571" s="114"/>
      <c r="G571" s="138"/>
    </row>
    <row r="572" ht="24" customHeight="1" spans="1:7" s="135" customFormat="1" x14ac:dyDescent="0.25">
      <c r="A572" s="142" t="s">
        <v>936</v>
      </c>
      <c r="B572" s="120" t="s">
        <v>937</v>
      </c>
      <c r="C572" s="113"/>
      <c r="D572" s="114"/>
      <c r="E572" s="114"/>
      <c r="F572" s="114"/>
      <c r="G572" s="138"/>
    </row>
    <row r="573" ht="24" customHeight="1" spans="1:7" s="135" customFormat="1" x14ac:dyDescent="0.25">
      <c r="A573" s="142" t="s">
        <v>938</v>
      </c>
      <c r="B573" s="120" t="s">
        <v>939</v>
      </c>
      <c r="C573" s="113"/>
      <c r="D573" s="114"/>
      <c r="E573" s="114"/>
      <c r="F573" s="114"/>
      <c r="G573" s="138"/>
    </row>
    <row r="574" ht="24" customHeight="1" spans="1:7" s="135" customFormat="1" x14ac:dyDescent="0.25">
      <c r="A574" s="142" t="s">
        <v>940</v>
      </c>
      <c r="B574" s="120" t="s">
        <v>941</v>
      </c>
      <c r="C574" s="113"/>
      <c r="D574" s="114"/>
      <c r="E574" s="114"/>
      <c r="F574" s="114"/>
      <c r="G574" s="138"/>
    </row>
    <row r="575" spans="1:7" s="135" customFormat="1" x14ac:dyDescent="0.25">
      <c r="A575" s="142"/>
      <c r="B575" s="120"/>
      <c r="C575" s="113"/>
      <c r="D575" s="114"/>
      <c r="E575" s="114"/>
      <c r="F575" s="114"/>
      <c r="G575" s="138"/>
    </row>
    <row r="576" spans="1:7" s="135" customFormat="1" x14ac:dyDescent="0.25">
      <c r="A576" s="142" t="s">
        <v>942</v>
      </c>
      <c r="B576" s="119" t="s">
        <v>943</v>
      </c>
      <c r="C576" s="113"/>
      <c r="D576" s="114"/>
      <c r="E576" s="114"/>
      <c r="F576" s="114"/>
      <c r="G576" s="138"/>
    </row>
    <row r="577" spans="1:7" s="135" customFormat="1" x14ac:dyDescent="0.25">
      <c r="A577" s="142" t="s">
        <v>944</v>
      </c>
      <c r="B577" s="119" t="s">
        <v>945</v>
      </c>
      <c r="C577" s="113"/>
      <c r="D577" s="114"/>
      <c r="E577" s="114"/>
      <c r="F577" s="114"/>
      <c r="G577" s="138"/>
    </row>
    <row r="578" ht="24" customHeight="1" spans="1:7" s="135" customFormat="1" x14ac:dyDescent="0.25">
      <c r="A578" s="111" t="s">
        <v>306</v>
      </c>
      <c r="B578" s="112" t="s">
        <v>745</v>
      </c>
      <c r="C578" s="113"/>
      <c r="D578" s="114" t="s">
        <v>61</v>
      </c>
      <c r="E578" s="114" t="s">
        <v>746</v>
      </c>
      <c r="F578" s="114"/>
      <c r="G578" s="138"/>
    </row>
    <row r="579" ht="36" customHeight="1" spans="1:7" s="135" customFormat="1" x14ac:dyDescent="0.25">
      <c r="A579" s="111" t="s">
        <v>308</v>
      </c>
      <c r="B579" s="112" t="s">
        <v>946</v>
      </c>
      <c r="C579" s="113"/>
      <c r="D579" s="114" t="s">
        <v>845</v>
      </c>
      <c r="E579" s="114" t="s">
        <v>947</v>
      </c>
      <c r="F579" s="114"/>
      <c r="G579" s="138"/>
    </row>
    <row r="580" ht="36" customHeight="1" spans="1:7" s="135" customFormat="1" x14ac:dyDescent="0.25">
      <c r="A580" s="111" t="s">
        <v>310</v>
      </c>
      <c r="B580" s="112" t="s">
        <v>948</v>
      </c>
      <c r="C580" s="85" t="s">
        <v>949</v>
      </c>
      <c r="D580" s="159"/>
      <c r="E580" s="112" t="s">
        <v>845</v>
      </c>
      <c r="F580" s="112" t="s">
        <v>950</v>
      </c>
      <c r="G580" s="138"/>
    </row>
    <row r="581" ht="36" customHeight="1" spans="1:7" s="135" customFormat="1" x14ac:dyDescent="0.25">
      <c r="A581" s="111" t="s">
        <v>312</v>
      </c>
      <c r="B581" s="112" t="s">
        <v>951</v>
      </c>
      <c r="C581" s="116" t="s">
        <v>952</v>
      </c>
      <c r="D581" s="159"/>
      <c r="E581" s="112" t="s">
        <v>845</v>
      </c>
      <c r="F581" s="112" t="s">
        <v>950</v>
      </c>
      <c r="G581" s="138"/>
    </row>
    <row r="582" ht="36" customHeight="1" spans="1:7" s="135" customFormat="1" x14ac:dyDescent="0.25">
      <c r="A582" s="111" t="s">
        <v>314</v>
      </c>
      <c r="B582" s="137" t="s">
        <v>953</v>
      </c>
      <c r="C582" s="116" t="s">
        <v>954</v>
      </c>
      <c r="D582" s="114"/>
      <c r="E582" s="114"/>
      <c r="F582" s="114"/>
      <c r="G582" s="138"/>
    </row>
    <row r="583" ht="24" customHeight="1" spans="1:7" s="135" customFormat="1" x14ac:dyDescent="0.25">
      <c r="A583" s="111" t="s">
        <v>316</v>
      </c>
      <c r="B583" s="112" t="s">
        <v>955</v>
      </c>
      <c r="C583" s="113"/>
      <c r="D583" s="114" t="s">
        <v>956</v>
      </c>
      <c r="E583" s="114" t="s">
        <v>758</v>
      </c>
      <c r="F583" s="114" t="s">
        <v>957</v>
      </c>
      <c r="G583" s="138"/>
    </row>
    <row r="584" ht="36" customHeight="1" spans="1:7" s="135" customFormat="1" x14ac:dyDescent="0.25">
      <c r="A584" s="111" t="s">
        <v>318</v>
      </c>
      <c r="B584" s="112" t="s">
        <v>958</v>
      </c>
      <c r="C584" s="113"/>
      <c r="D584" s="114" t="s">
        <v>959</v>
      </c>
      <c r="E584" s="114" t="s">
        <v>960</v>
      </c>
      <c r="F584" s="114" t="s">
        <v>957</v>
      </c>
      <c r="G584" s="138"/>
    </row>
    <row r="585" ht="36" customHeight="1" spans="1:7" s="135" customFormat="1" x14ac:dyDescent="0.25">
      <c r="A585" s="111" t="s">
        <v>478</v>
      </c>
      <c r="B585" s="112" t="s">
        <v>961</v>
      </c>
      <c r="C585" s="113"/>
      <c r="D585" s="114" t="s">
        <v>112</v>
      </c>
      <c r="E585" s="114" t="s">
        <v>890</v>
      </c>
      <c r="F585" s="114" t="s">
        <v>957</v>
      </c>
      <c r="G585" s="138"/>
    </row>
    <row r="586" ht="36" customHeight="1" spans="1:7" s="135" customFormat="1" x14ac:dyDescent="0.25">
      <c r="A586" s="144" t="s">
        <v>481</v>
      </c>
      <c r="B586" s="112" t="s">
        <v>962</v>
      </c>
      <c r="C586" s="113"/>
      <c r="D586" s="114" t="s">
        <v>112</v>
      </c>
      <c r="E586" s="114" t="s">
        <v>861</v>
      </c>
      <c r="F586" s="114" t="s">
        <v>957</v>
      </c>
      <c r="G586" s="138"/>
    </row>
    <row r="587" ht="24" customHeight="1" spans="1:7" s="135" customFormat="1" x14ac:dyDescent="0.25">
      <c r="A587" s="144" t="s">
        <v>483</v>
      </c>
      <c r="B587" s="119" t="s">
        <v>963</v>
      </c>
      <c r="C587" s="113"/>
      <c r="D587" s="114"/>
      <c r="E587" s="114"/>
      <c r="F587" s="114"/>
      <c r="G587" s="138"/>
    </row>
    <row r="588" ht="24" customHeight="1" spans="1:7" s="135" customFormat="1" x14ac:dyDescent="0.25">
      <c r="A588" s="111" t="s">
        <v>485</v>
      </c>
      <c r="B588" s="119" t="s">
        <v>964</v>
      </c>
      <c r="C588" s="113"/>
      <c r="D588" s="114"/>
      <c r="E588" s="114"/>
      <c r="F588" s="114"/>
      <c r="G588" s="138"/>
    </row>
    <row r="589" ht="24" customHeight="1" spans="1:7" s="135" customFormat="1" x14ac:dyDescent="0.25">
      <c r="A589" s="111" t="s">
        <v>488</v>
      </c>
      <c r="B589" s="119" t="s">
        <v>965</v>
      </c>
      <c r="C589" s="113"/>
      <c r="D589" s="114"/>
      <c r="E589" s="114"/>
      <c r="F589" s="114"/>
      <c r="G589" s="138"/>
    </row>
    <row r="590" ht="24" customHeight="1" spans="1:7" s="135" customFormat="1" x14ac:dyDescent="0.25">
      <c r="A590" s="111" t="s">
        <v>403</v>
      </c>
      <c r="B590" s="119" t="s">
        <v>966</v>
      </c>
      <c r="C590" s="113"/>
      <c r="D590" s="114"/>
      <c r="E590" s="114"/>
      <c r="F590" s="114"/>
      <c r="G590" s="138"/>
    </row>
    <row r="591" spans="1:7" s="135" customFormat="1" x14ac:dyDescent="0.25">
      <c r="A591" s="152" t="s">
        <v>407</v>
      </c>
      <c r="B591" s="160" t="s">
        <v>967</v>
      </c>
      <c r="C591" s="113"/>
      <c r="D591" s="114"/>
      <c r="E591" s="114"/>
      <c r="F591" s="114"/>
      <c r="G591" s="138"/>
    </row>
    <row r="592" spans="1:7" s="135" customFormat="1" x14ac:dyDescent="0.25">
      <c r="A592" s="152" t="s">
        <v>410</v>
      </c>
      <c r="B592" s="160" t="s">
        <v>968</v>
      </c>
      <c r="C592" s="113"/>
      <c r="D592" s="114"/>
      <c r="E592" s="114"/>
      <c r="F592" s="114"/>
      <c r="G592" s="138"/>
    </row>
    <row r="593" spans="1:7" s="135" customFormat="1" x14ac:dyDescent="0.25">
      <c r="A593" s="152" t="s">
        <v>413</v>
      </c>
      <c r="B593" s="160" t="s">
        <v>969</v>
      </c>
      <c r="C593" s="113"/>
      <c r="D593" s="114"/>
      <c r="E593" s="114"/>
      <c r="F593" s="114"/>
      <c r="G593" s="138"/>
    </row>
    <row r="594" spans="1:7" s="135" customFormat="1" x14ac:dyDescent="0.25">
      <c r="A594" s="142" t="s">
        <v>970</v>
      </c>
      <c r="B594" s="119" t="s">
        <v>971</v>
      </c>
      <c r="C594" s="113"/>
      <c r="D594" s="114"/>
      <c r="E594" s="114"/>
      <c r="F594" s="114"/>
      <c r="G594" s="138"/>
    </row>
    <row r="595" ht="24" customHeight="1" spans="1:7" s="135" customFormat="1" x14ac:dyDescent="0.25">
      <c r="A595" s="111" t="s">
        <v>306</v>
      </c>
      <c r="B595" s="112" t="s">
        <v>745</v>
      </c>
      <c r="C595" s="113"/>
      <c r="D595" s="114" t="s">
        <v>61</v>
      </c>
      <c r="E595" s="114" t="s">
        <v>746</v>
      </c>
      <c r="F595" s="114"/>
      <c r="G595" s="138"/>
    </row>
    <row r="596" ht="36" customHeight="1" spans="1:7" s="135" customFormat="1" x14ac:dyDescent="0.25">
      <c r="A596" s="111" t="s">
        <v>308</v>
      </c>
      <c r="B596" s="112" t="s">
        <v>972</v>
      </c>
      <c r="C596" s="113"/>
      <c r="D596" s="114" t="s">
        <v>956</v>
      </c>
      <c r="E596" s="114" t="s">
        <v>947</v>
      </c>
      <c r="F596" s="114"/>
      <c r="G596" s="138"/>
    </row>
    <row r="597" ht="36" customHeight="1" spans="1:7" s="135" customFormat="1" x14ac:dyDescent="0.25">
      <c r="A597" s="111" t="s">
        <v>310</v>
      </c>
      <c r="B597" s="112" t="s">
        <v>973</v>
      </c>
      <c r="C597" s="85" t="s">
        <v>949</v>
      </c>
      <c r="D597" s="159"/>
      <c r="E597" s="112" t="s">
        <v>845</v>
      </c>
      <c r="F597" s="112" t="s">
        <v>950</v>
      </c>
      <c r="G597" s="138"/>
    </row>
    <row r="598" ht="36" customHeight="1" spans="1:7" s="135" customFormat="1" x14ac:dyDescent="0.25">
      <c r="A598" s="111" t="s">
        <v>312</v>
      </c>
      <c r="B598" s="112" t="s">
        <v>974</v>
      </c>
      <c r="C598" s="116" t="s">
        <v>952</v>
      </c>
      <c r="D598" s="159"/>
      <c r="E598" s="112" t="s">
        <v>845</v>
      </c>
      <c r="F598" s="112" t="s">
        <v>950</v>
      </c>
      <c r="G598" s="138"/>
    </row>
    <row r="599" ht="36" customHeight="1" spans="1:7" s="135" customFormat="1" x14ac:dyDescent="0.25">
      <c r="A599" s="111" t="s">
        <v>314</v>
      </c>
      <c r="B599" s="137" t="s">
        <v>953</v>
      </c>
      <c r="C599" s="116" t="s">
        <v>954</v>
      </c>
      <c r="D599" s="114"/>
      <c r="E599" s="114"/>
      <c r="F599" s="114"/>
      <c r="G599" s="138"/>
    </row>
    <row r="600" ht="24" customHeight="1" spans="1:7" s="135" customFormat="1" x14ac:dyDescent="0.25">
      <c r="A600" s="111" t="s">
        <v>316</v>
      </c>
      <c r="B600" s="112" t="s">
        <v>975</v>
      </c>
      <c r="C600" s="113"/>
      <c r="D600" s="114" t="s">
        <v>956</v>
      </c>
      <c r="E600" s="114" t="s">
        <v>758</v>
      </c>
      <c r="F600" s="114" t="s">
        <v>957</v>
      </c>
      <c r="G600" s="138"/>
    </row>
    <row r="601" ht="24" customHeight="1" spans="1:7" s="135" customFormat="1" x14ac:dyDescent="0.25">
      <c r="A601" s="111" t="s">
        <v>318</v>
      </c>
      <c r="B601" s="112" t="s">
        <v>976</v>
      </c>
      <c r="C601" s="113"/>
      <c r="D601" s="114" t="s">
        <v>112</v>
      </c>
      <c r="E601" s="114" t="s">
        <v>977</v>
      </c>
      <c r="F601" s="114" t="s">
        <v>957</v>
      </c>
      <c r="G601" s="138"/>
    </row>
    <row r="602" ht="36" customHeight="1" spans="1:7" s="135" customFormat="1" x14ac:dyDescent="0.25">
      <c r="A602" s="111" t="s">
        <v>478</v>
      </c>
      <c r="B602" s="112" t="s">
        <v>978</v>
      </c>
      <c r="C602" s="113"/>
      <c r="D602" s="114" t="s">
        <v>112</v>
      </c>
      <c r="E602" s="114" t="s">
        <v>861</v>
      </c>
      <c r="F602" s="114" t="s">
        <v>957</v>
      </c>
      <c r="G602" s="138"/>
    </row>
    <row r="603" ht="24" customHeight="1" spans="1:7" s="135" customFormat="1" x14ac:dyDescent="0.25">
      <c r="A603" s="144" t="s">
        <v>481</v>
      </c>
      <c r="B603" s="119" t="s">
        <v>979</v>
      </c>
      <c r="C603" s="113"/>
      <c r="D603" s="114"/>
      <c r="E603" s="114"/>
      <c r="F603" s="114"/>
      <c r="G603" s="138"/>
    </row>
    <row r="604" ht="24" customHeight="1" spans="1:7" s="135" customFormat="1" x14ac:dyDescent="0.25">
      <c r="A604" s="144" t="s">
        <v>483</v>
      </c>
      <c r="B604" s="119" t="s">
        <v>980</v>
      </c>
      <c r="C604" s="113"/>
      <c r="D604" s="114"/>
      <c r="E604" s="114"/>
      <c r="F604" s="114"/>
      <c r="G604" s="138"/>
    </row>
    <row r="605" ht="24" customHeight="1" spans="1:7" s="135" customFormat="1" x14ac:dyDescent="0.25">
      <c r="A605" s="111" t="s">
        <v>485</v>
      </c>
      <c r="B605" s="119" t="s">
        <v>981</v>
      </c>
      <c r="C605" s="113"/>
      <c r="D605" s="114"/>
      <c r="E605" s="114"/>
      <c r="F605" s="114"/>
      <c r="G605" s="138"/>
    </row>
    <row r="606" spans="1:7" s="135" customFormat="1" x14ac:dyDescent="0.25">
      <c r="A606" s="111" t="s">
        <v>488</v>
      </c>
      <c r="B606" s="160" t="s">
        <v>967</v>
      </c>
      <c r="C606" s="113"/>
      <c r="D606" s="114"/>
      <c r="E606" s="114"/>
      <c r="F606" s="114"/>
      <c r="G606" s="138"/>
    </row>
    <row r="607" spans="1:7" s="135" customFormat="1" x14ac:dyDescent="0.25">
      <c r="A607" s="111" t="s">
        <v>403</v>
      </c>
      <c r="B607" s="160" t="s">
        <v>982</v>
      </c>
      <c r="C607" s="113"/>
      <c r="D607" s="114"/>
      <c r="E607" s="114"/>
      <c r="F607" s="114"/>
      <c r="G607" s="138"/>
    </row>
    <row r="608" spans="1:7" s="135" customFormat="1" x14ac:dyDescent="0.25">
      <c r="A608" s="136"/>
      <c r="B608" s="112"/>
      <c r="C608" s="113"/>
      <c r="D608" s="114"/>
      <c r="E608" s="114"/>
      <c r="F608" s="114"/>
      <c r="G608" s="138"/>
    </row>
    <row r="609" ht="24" customHeight="1" spans="1:7" s="135" customFormat="1" x14ac:dyDescent="0.25">
      <c r="A609" s="142" t="s">
        <v>983</v>
      </c>
      <c r="B609" s="119" t="s">
        <v>984</v>
      </c>
      <c r="C609" s="113"/>
      <c r="D609" s="114"/>
      <c r="E609" s="114"/>
      <c r="F609" s="114"/>
      <c r="G609" s="138"/>
    </row>
    <row r="610" ht="24" customHeight="1" spans="1:7" s="135" customFormat="1" x14ac:dyDescent="0.25">
      <c r="A610" s="142" t="s">
        <v>985</v>
      </c>
      <c r="B610" s="119" t="s">
        <v>986</v>
      </c>
      <c r="C610" s="113"/>
      <c r="D610" s="114"/>
      <c r="E610" s="114"/>
      <c r="F610" s="114"/>
      <c r="G610" s="138"/>
    </row>
    <row r="611" spans="1:7" s="135" customFormat="1" x14ac:dyDescent="0.25">
      <c r="A611" s="152" t="s">
        <v>987</v>
      </c>
      <c r="B611" s="160" t="s">
        <v>988</v>
      </c>
      <c r="C611" s="113"/>
      <c r="D611" s="114"/>
      <c r="E611" s="114"/>
      <c r="F611" s="114"/>
      <c r="G611" s="138"/>
    </row>
    <row r="612" spans="1:7" s="135" customFormat="1" x14ac:dyDescent="0.25">
      <c r="A612" s="152" t="s">
        <v>989</v>
      </c>
      <c r="B612" s="160" t="s">
        <v>990</v>
      </c>
      <c r="C612" s="113"/>
      <c r="D612" s="114"/>
      <c r="E612" s="114"/>
      <c r="F612" s="114"/>
      <c r="G612" s="138"/>
    </row>
    <row r="613" spans="1:7" s="135" customFormat="1" x14ac:dyDescent="0.25">
      <c r="A613" s="152" t="s">
        <v>991</v>
      </c>
      <c r="B613" s="160" t="s">
        <v>992</v>
      </c>
      <c r="C613" s="113"/>
      <c r="D613" s="114"/>
      <c r="E613" s="114"/>
      <c r="F613" s="114"/>
      <c r="G613" s="138"/>
    </row>
    <row r="614" spans="1:7" s="135" customFormat="1" x14ac:dyDescent="0.25">
      <c r="A614" s="136"/>
      <c r="B614" s="112"/>
      <c r="C614" s="113"/>
      <c r="D614" s="114"/>
      <c r="E614" s="114"/>
      <c r="F614" s="114"/>
      <c r="G614" s="138"/>
    </row>
    <row r="615" spans="1:7" s="135" customFormat="1" x14ac:dyDescent="0.25">
      <c r="A615" s="142" t="s">
        <v>993</v>
      </c>
      <c r="B615" s="119" t="s">
        <v>994</v>
      </c>
      <c r="C615" s="113"/>
      <c r="D615" s="114"/>
      <c r="E615" s="114"/>
      <c r="F615" s="114"/>
      <c r="G615" s="138"/>
    </row>
    <row r="616" ht="24" customHeight="1" spans="1:7" s="135" customFormat="1" x14ac:dyDescent="0.25">
      <c r="A616" s="142" t="s">
        <v>995</v>
      </c>
      <c r="B616" s="119" t="s">
        <v>996</v>
      </c>
      <c r="C616" s="113"/>
      <c r="D616" s="114"/>
      <c r="E616" s="114"/>
      <c r="F616" s="114"/>
      <c r="G616" s="138"/>
    </row>
    <row r="617" ht="24" customHeight="1" spans="1:7" s="135" customFormat="1" x14ac:dyDescent="0.25">
      <c r="A617" s="142" t="s">
        <v>997</v>
      </c>
      <c r="B617" s="119" t="s">
        <v>998</v>
      </c>
      <c r="C617" s="113"/>
      <c r="D617" s="114"/>
      <c r="E617" s="114"/>
      <c r="F617" s="114"/>
      <c r="G617" s="138"/>
    </row>
    <row r="618" ht="36" customHeight="1" spans="1:7" s="135" customFormat="1" x14ac:dyDescent="0.25">
      <c r="A618" s="142" t="s">
        <v>999</v>
      </c>
      <c r="B618" s="119" t="s">
        <v>1000</v>
      </c>
      <c r="C618" s="113"/>
      <c r="D618" s="114"/>
      <c r="E618" s="114"/>
      <c r="F618" s="114"/>
      <c r="G618" s="138"/>
    </row>
    <row r="619" ht="24" customHeight="1" spans="1:7" s="135" customFormat="1" x14ac:dyDescent="0.25">
      <c r="A619" s="152" t="s">
        <v>1001</v>
      </c>
      <c r="B619" s="161" t="s">
        <v>1002</v>
      </c>
      <c r="C619" s="113"/>
      <c r="D619" s="114"/>
      <c r="E619" s="114"/>
      <c r="F619" s="114"/>
      <c r="G619" s="138"/>
    </row>
    <row r="620" ht="24" customHeight="1" spans="1:7" s="135" customFormat="1" x14ac:dyDescent="0.25">
      <c r="A620" s="152" t="s">
        <v>1003</v>
      </c>
      <c r="B620" s="161" t="s">
        <v>1004</v>
      </c>
      <c r="C620" s="113"/>
      <c r="D620" s="114"/>
      <c r="E620" s="114"/>
      <c r="F620" s="114"/>
      <c r="G620" s="138"/>
    </row>
    <row r="621" ht="36" customHeight="1" spans="1:7" s="135" customFormat="1" x14ac:dyDescent="0.25">
      <c r="A621" s="152" t="s">
        <v>1005</v>
      </c>
      <c r="B621" s="161" t="s">
        <v>1006</v>
      </c>
      <c r="C621" s="113"/>
      <c r="D621" s="114"/>
      <c r="E621" s="114"/>
      <c r="F621" s="114"/>
      <c r="G621" s="138"/>
    </row>
    <row r="622" spans="1:7" s="135" customFormat="1" x14ac:dyDescent="0.25">
      <c r="A622" s="136"/>
      <c r="B622" s="112"/>
      <c r="C622" s="113"/>
      <c r="D622" s="114"/>
      <c r="E622" s="114"/>
      <c r="F622" s="114"/>
      <c r="G622" s="138"/>
    </row>
    <row r="623" spans="1:7" s="135" customFormat="1" x14ac:dyDescent="0.25">
      <c r="A623" s="142" t="s">
        <v>1007</v>
      </c>
      <c r="B623" s="119" t="s">
        <v>1008</v>
      </c>
      <c r="C623" s="113"/>
      <c r="D623" s="114"/>
      <c r="E623" s="114"/>
      <c r="F623" s="114"/>
      <c r="G623" s="138"/>
    </row>
    <row r="624" ht="24" customHeight="1" spans="1:7" s="135" customFormat="1" x14ac:dyDescent="0.25">
      <c r="A624" s="142" t="s">
        <v>1009</v>
      </c>
      <c r="B624" s="119" t="s">
        <v>1010</v>
      </c>
      <c r="C624" s="113"/>
      <c r="D624" s="114"/>
      <c r="E624" s="114"/>
      <c r="F624" s="114"/>
      <c r="G624" s="138"/>
    </row>
    <row r="625" ht="36" customHeight="1" spans="1:7" s="135" customFormat="1" x14ac:dyDescent="0.25">
      <c r="A625" s="142" t="s">
        <v>1011</v>
      </c>
      <c r="B625" s="119" t="s">
        <v>1012</v>
      </c>
      <c r="C625" s="113"/>
      <c r="D625" s="114"/>
      <c r="E625" s="114"/>
      <c r="F625" s="114"/>
      <c r="G625" s="138"/>
    </row>
    <row r="626" ht="36" customHeight="1" spans="1:7" s="135" customFormat="1" x14ac:dyDescent="0.25">
      <c r="A626" s="142" t="s">
        <v>1013</v>
      </c>
      <c r="B626" s="119" t="s">
        <v>1014</v>
      </c>
      <c r="C626" s="113"/>
      <c r="D626" s="114"/>
      <c r="E626" s="114"/>
      <c r="F626" s="114"/>
      <c r="G626" s="138"/>
    </row>
    <row r="627" spans="1:7" s="135" customFormat="1" x14ac:dyDescent="0.25">
      <c r="A627" s="136" t="s">
        <v>1015</v>
      </c>
      <c r="B627" s="119" t="s">
        <v>1016</v>
      </c>
      <c r="C627" s="113"/>
      <c r="D627" s="114"/>
      <c r="E627" s="114"/>
      <c r="F627" s="145"/>
      <c r="G627" s="138"/>
    </row>
    <row r="628" ht="24" customHeight="1" spans="1:7" s="135" customFormat="1" x14ac:dyDescent="0.25">
      <c r="A628" s="136" t="s">
        <v>1017</v>
      </c>
      <c r="B628" s="161" t="s">
        <v>1018</v>
      </c>
      <c r="C628" s="113"/>
      <c r="D628" s="114"/>
      <c r="E628" s="114"/>
      <c r="F628" s="145"/>
      <c r="G628" s="138"/>
    </row>
    <row r="629" ht="24" customHeight="1" hidden="1" spans="1:6" x14ac:dyDescent="0.25">
      <c r="A629" s="80" t="s">
        <v>1019</v>
      </c>
      <c r="B629" s="83" t="s">
        <v>1020</v>
      </c>
      <c r="C629" s="87"/>
      <c r="D629" s="84"/>
      <c r="E629" s="87"/>
      <c r="F629" s="84"/>
    </row>
    <row r="630" ht="24" customHeight="1" hidden="1" spans="1:6" x14ac:dyDescent="0.25">
      <c r="A630" s="82" t="s">
        <v>306</v>
      </c>
      <c r="B630" s="90" t="s">
        <v>1021</v>
      </c>
      <c r="C630" s="87"/>
      <c r="D630" s="84" t="s">
        <v>61</v>
      </c>
      <c r="E630" s="84" t="s">
        <v>746</v>
      </c>
      <c r="F630" s="162"/>
    </row>
    <row r="631" ht="96" customHeight="1" hidden="1" spans="1:6" x14ac:dyDescent="0.25">
      <c r="A631" s="82" t="s">
        <v>308</v>
      </c>
      <c r="B631" s="90" t="s">
        <v>1022</v>
      </c>
      <c r="C631" s="84" t="s">
        <v>1023</v>
      </c>
      <c r="D631" s="84" t="s">
        <v>749</v>
      </c>
      <c r="E631" s="84" t="s">
        <v>1024</v>
      </c>
      <c r="F631" s="84" t="s">
        <v>813</v>
      </c>
    </row>
    <row r="632" ht="96" customHeight="1" hidden="1" spans="1:6" x14ac:dyDescent="0.25">
      <c r="A632" s="82" t="s">
        <v>310</v>
      </c>
      <c r="B632" s="90" t="s">
        <v>1025</v>
      </c>
      <c r="C632" s="84"/>
      <c r="D632" s="84" t="s">
        <v>749</v>
      </c>
      <c r="E632" s="84" t="s">
        <v>1026</v>
      </c>
      <c r="F632" s="84" t="s">
        <v>813</v>
      </c>
    </row>
    <row r="633" ht="24" customHeight="1" hidden="1" spans="1:6" x14ac:dyDescent="0.25">
      <c r="A633" s="82" t="s">
        <v>312</v>
      </c>
      <c r="B633" s="90" t="s">
        <v>1027</v>
      </c>
      <c r="C633" s="87"/>
      <c r="D633" s="84" t="s">
        <v>757</v>
      </c>
      <c r="E633" s="84" t="s">
        <v>758</v>
      </c>
      <c r="F633" s="84" t="s">
        <v>759</v>
      </c>
    </row>
    <row r="634" ht="24" customHeight="1" hidden="1" spans="1:6" x14ac:dyDescent="0.25">
      <c r="A634" s="82" t="s">
        <v>314</v>
      </c>
      <c r="B634" s="90" t="s">
        <v>1028</v>
      </c>
      <c r="C634" s="87"/>
      <c r="D634" s="84" t="s">
        <v>775</v>
      </c>
      <c r="E634" s="84" t="s">
        <v>815</v>
      </c>
      <c r="F634" s="84" t="s">
        <v>777</v>
      </c>
    </row>
    <row r="635" ht="24" customHeight="1" hidden="1" spans="1:6" x14ac:dyDescent="0.25">
      <c r="A635" s="82" t="s">
        <v>316</v>
      </c>
      <c r="B635" s="90" t="s">
        <v>1029</v>
      </c>
      <c r="C635" s="87"/>
      <c r="D635" s="84" t="s">
        <v>775</v>
      </c>
      <c r="E635" s="84" t="s">
        <v>1030</v>
      </c>
      <c r="F635" s="84" t="s">
        <v>777</v>
      </c>
    </row>
    <row r="636" ht="36" customHeight="1" hidden="1" spans="1:6" x14ac:dyDescent="0.25">
      <c r="A636" s="82" t="s">
        <v>318</v>
      </c>
      <c r="B636" s="90" t="s">
        <v>1031</v>
      </c>
      <c r="C636" s="87"/>
      <c r="D636" s="84" t="s">
        <v>775</v>
      </c>
      <c r="E636" s="84" t="s">
        <v>1032</v>
      </c>
      <c r="F636" s="84" t="s">
        <v>777</v>
      </c>
    </row>
    <row r="637" ht="24" customHeight="1" hidden="1" spans="1:6" x14ac:dyDescent="0.25">
      <c r="A637" s="163" t="s">
        <v>478</v>
      </c>
      <c r="B637" s="83" t="s">
        <v>1033</v>
      </c>
      <c r="C637" s="87"/>
      <c r="D637" s="84"/>
      <c r="E637" s="87"/>
      <c r="F637" s="84"/>
    </row>
    <row r="638" ht="24" customHeight="1" hidden="1" spans="1:6" x14ac:dyDescent="0.25">
      <c r="A638" s="163" t="s">
        <v>481</v>
      </c>
      <c r="B638" s="83" t="s">
        <v>1034</v>
      </c>
      <c r="C638" s="87"/>
      <c r="D638" s="84"/>
      <c r="E638" s="87"/>
      <c r="F638" s="84"/>
    </row>
    <row r="639" ht="24" customHeight="1" hidden="1" spans="1:6" x14ac:dyDescent="0.25">
      <c r="A639" s="163" t="s">
        <v>483</v>
      </c>
      <c r="B639" s="83" t="s">
        <v>1035</v>
      </c>
      <c r="C639" s="87"/>
      <c r="D639" s="84"/>
      <c r="E639" s="87"/>
      <c r="F639" s="84"/>
    </row>
    <row r="640" hidden="1" spans="1:6" s="164" customFormat="1" x14ac:dyDescent="0.25">
      <c r="A640" s="163" t="s">
        <v>485</v>
      </c>
      <c r="B640" s="83" t="s">
        <v>790</v>
      </c>
      <c r="C640" s="87"/>
      <c r="D640" s="84"/>
      <c r="E640" s="87"/>
      <c r="F640" s="84"/>
    </row>
    <row r="641" hidden="1" spans="1:6" x14ac:dyDescent="0.25">
      <c r="A641" s="82"/>
      <c r="B641" s="83"/>
      <c r="C641" s="87"/>
      <c r="D641" s="84"/>
      <c r="E641" s="87"/>
      <c r="F641" s="84"/>
    </row>
    <row r="642" hidden="1" spans="1:6" x14ac:dyDescent="0.25">
      <c r="A642" s="82"/>
      <c r="B642" s="83"/>
      <c r="C642" s="87"/>
      <c r="D642" s="84"/>
      <c r="E642" s="87"/>
      <c r="F642" s="84"/>
    </row>
    <row r="643" ht="24" customHeight="1" hidden="1" spans="1:6" x14ac:dyDescent="0.25">
      <c r="A643" s="80" t="s">
        <v>1036</v>
      </c>
      <c r="B643" s="83" t="s">
        <v>1037</v>
      </c>
      <c r="C643" s="87"/>
      <c r="D643" s="84"/>
      <c r="E643" s="87"/>
      <c r="F643" s="84"/>
    </row>
    <row r="644" ht="24" customHeight="1" hidden="1" spans="1:6" x14ac:dyDescent="0.25">
      <c r="A644" s="82" t="s">
        <v>306</v>
      </c>
      <c r="B644" s="90" t="s">
        <v>745</v>
      </c>
      <c r="C644" s="87"/>
      <c r="D644" s="84" t="s">
        <v>282</v>
      </c>
      <c r="E644" s="84" t="s">
        <v>746</v>
      </c>
      <c r="F644" s="84"/>
    </row>
    <row r="645" ht="84" customHeight="1" hidden="1" spans="1:6" x14ac:dyDescent="0.25">
      <c r="A645" s="82" t="s">
        <v>308</v>
      </c>
      <c r="B645" s="90" t="s">
        <v>1038</v>
      </c>
      <c r="C645" s="87"/>
      <c r="D645" s="84" t="s">
        <v>749</v>
      </c>
      <c r="E645" s="84" t="s">
        <v>1024</v>
      </c>
      <c r="F645" s="84" t="s">
        <v>813</v>
      </c>
    </row>
    <row r="646" ht="96" customHeight="1" hidden="1" spans="1:6" x14ac:dyDescent="0.25">
      <c r="A646" s="82" t="s">
        <v>310</v>
      </c>
      <c r="B646" s="90" t="s">
        <v>1025</v>
      </c>
      <c r="C646" s="87"/>
      <c r="D646" s="84" t="s">
        <v>749</v>
      </c>
      <c r="E646" s="84" t="s">
        <v>1026</v>
      </c>
      <c r="F646" s="84" t="s">
        <v>813</v>
      </c>
    </row>
    <row r="647" ht="24" customHeight="1" hidden="1" spans="1:6" x14ac:dyDescent="0.25">
      <c r="A647" s="82" t="s">
        <v>312</v>
      </c>
      <c r="B647" s="90" t="s">
        <v>1039</v>
      </c>
      <c r="C647" s="87"/>
      <c r="D647" s="84" t="s">
        <v>757</v>
      </c>
      <c r="E647" s="84" t="s">
        <v>758</v>
      </c>
      <c r="F647" s="84" t="s">
        <v>759</v>
      </c>
    </row>
    <row r="648" ht="24" customHeight="1" hidden="1" spans="1:6" x14ac:dyDescent="0.25">
      <c r="A648" s="82" t="s">
        <v>314</v>
      </c>
      <c r="B648" s="90" t="s">
        <v>1040</v>
      </c>
      <c r="C648" s="87"/>
      <c r="D648" s="84" t="s">
        <v>775</v>
      </c>
      <c r="E648" s="84" t="s">
        <v>815</v>
      </c>
      <c r="F648" s="84" t="s">
        <v>777</v>
      </c>
    </row>
    <row r="649" ht="24" customHeight="1" hidden="1" spans="1:6" x14ac:dyDescent="0.25">
      <c r="A649" s="82" t="s">
        <v>316</v>
      </c>
      <c r="B649" s="90" t="s">
        <v>1041</v>
      </c>
      <c r="C649" s="87"/>
      <c r="D649" s="84" t="s">
        <v>775</v>
      </c>
      <c r="E649" s="84" t="s">
        <v>1030</v>
      </c>
      <c r="F649" s="84" t="s">
        <v>777</v>
      </c>
    </row>
    <row r="650" ht="36" customHeight="1" hidden="1" spans="1:6" x14ac:dyDescent="0.25">
      <c r="A650" s="82" t="s">
        <v>318</v>
      </c>
      <c r="B650" s="90" t="s">
        <v>1042</v>
      </c>
      <c r="C650" s="87"/>
      <c r="D650" s="84" t="s">
        <v>775</v>
      </c>
      <c r="E650" s="84" t="s">
        <v>1032</v>
      </c>
      <c r="F650" s="84" t="s">
        <v>780</v>
      </c>
    </row>
    <row r="651" ht="24" customHeight="1" hidden="1" spans="1:6" x14ac:dyDescent="0.25">
      <c r="A651" s="88" t="s">
        <v>478</v>
      </c>
      <c r="B651" s="83" t="s">
        <v>1033</v>
      </c>
      <c r="C651" s="87"/>
      <c r="D651" s="84"/>
      <c r="E651" s="84"/>
      <c r="F651" s="84"/>
    </row>
    <row r="652" ht="24" customHeight="1" hidden="1" spans="1:6" s="164" customFormat="1" x14ac:dyDescent="0.25">
      <c r="A652" s="88" t="s">
        <v>481</v>
      </c>
      <c r="B652" s="83" t="s">
        <v>1034</v>
      </c>
      <c r="C652" s="87"/>
      <c r="D652" s="84"/>
      <c r="E652" s="87"/>
      <c r="F652" s="84"/>
    </row>
    <row r="653" ht="24" customHeight="1" hidden="1" spans="1:6" s="164" customFormat="1" x14ac:dyDescent="0.25">
      <c r="A653" s="88" t="s">
        <v>483</v>
      </c>
      <c r="B653" s="83" t="s">
        <v>1043</v>
      </c>
      <c r="C653" s="87"/>
      <c r="D653" s="84"/>
      <c r="E653" s="87"/>
      <c r="F653" s="84"/>
    </row>
    <row r="654" hidden="1" spans="1:6" s="164" customFormat="1" x14ac:dyDescent="0.25">
      <c r="A654" s="88" t="s">
        <v>485</v>
      </c>
      <c r="B654" s="83" t="s">
        <v>790</v>
      </c>
      <c r="C654" s="87"/>
      <c r="D654" s="84"/>
      <c r="E654" s="87"/>
      <c r="F654" s="84"/>
    </row>
    <row r="655" hidden="1" spans="1:6" x14ac:dyDescent="0.25">
      <c r="A655" s="165"/>
      <c r="B655" s="90"/>
      <c r="C655" s="87"/>
      <c r="D655" s="84"/>
      <c r="E655" s="87"/>
      <c r="F655" s="84"/>
    </row>
    <row r="656" ht="24" customHeight="1" hidden="1" spans="1:6" x14ac:dyDescent="0.25">
      <c r="A656" s="80" t="s">
        <v>1044</v>
      </c>
      <c r="B656" s="83" t="s">
        <v>1045</v>
      </c>
      <c r="C656" s="87"/>
      <c r="D656" s="84"/>
      <c r="E656" s="87"/>
      <c r="F656" s="84"/>
    </row>
    <row r="657" ht="24" customHeight="1" hidden="1" spans="1:6" x14ac:dyDescent="0.25">
      <c r="A657" s="82" t="s">
        <v>306</v>
      </c>
      <c r="B657" s="90" t="s">
        <v>1046</v>
      </c>
      <c r="C657" s="87"/>
      <c r="D657" s="84" t="s">
        <v>282</v>
      </c>
      <c r="E657" s="84" t="s">
        <v>746</v>
      </c>
      <c r="F657" s="84"/>
    </row>
    <row r="658" ht="84" customHeight="1" hidden="1" spans="1:6" x14ac:dyDescent="0.25">
      <c r="A658" s="82" t="s">
        <v>308</v>
      </c>
      <c r="B658" s="90" t="s">
        <v>1038</v>
      </c>
      <c r="C658" s="87"/>
      <c r="D658" s="84" t="s">
        <v>749</v>
      </c>
      <c r="E658" s="84" t="s">
        <v>1024</v>
      </c>
      <c r="F658" s="84" t="s">
        <v>813</v>
      </c>
    </row>
    <row r="659" ht="96" customHeight="1" hidden="1" spans="1:6" x14ac:dyDescent="0.25">
      <c r="A659" s="82" t="s">
        <v>310</v>
      </c>
      <c r="B659" s="90" t="s">
        <v>1025</v>
      </c>
      <c r="C659" s="87"/>
      <c r="D659" s="84" t="s">
        <v>749</v>
      </c>
      <c r="E659" s="84" t="s">
        <v>1026</v>
      </c>
      <c r="F659" s="84" t="s">
        <v>813</v>
      </c>
    </row>
    <row r="660" ht="24" customHeight="1" hidden="1" spans="1:6" x14ac:dyDescent="0.25">
      <c r="A660" s="82" t="s">
        <v>312</v>
      </c>
      <c r="B660" s="90" t="s">
        <v>1047</v>
      </c>
      <c r="C660" s="87"/>
      <c r="D660" s="84" t="s">
        <v>757</v>
      </c>
      <c r="E660" s="84" t="s">
        <v>758</v>
      </c>
      <c r="F660" s="84" t="s">
        <v>759</v>
      </c>
    </row>
    <row r="661" ht="24" customHeight="1" hidden="1" spans="1:6" x14ac:dyDescent="0.25">
      <c r="A661" s="82" t="s">
        <v>314</v>
      </c>
      <c r="B661" s="90" t="s">
        <v>1048</v>
      </c>
      <c r="C661" s="87"/>
      <c r="D661" s="84" t="s">
        <v>775</v>
      </c>
      <c r="E661" s="84" t="s">
        <v>815</v>
      </c>
      <c r="F661" s="84" t="s">
        <v>777</v>
      </c>
    </row>
    <row r="662" ht="24" customHeight="1" hidden="1" spans="1:6" x14ac:dyDescent="0.25">
      <c r="A662" s="82" t="s">
        <v>316</v>
      </c>
      <c r="B662" s="90" t="s">
        <v>1049</v>
      </c>
      <c r="C662" s="87"/>
      <c r="D662" s="84" t="s">
        <v>775</v>
      </c>
      <c r="E662" s="84" t="s">
        <v>1030</v>
      </c>
      <c r="F662" s="84" t="s">
        <v>777</v>
      </c>
    </row>
    <row r="663" ht="36" customHeight="1" hidden="1" spans="1:6" x14ac:dyDescent="0.25">
      <c r="A663" s="82" t="s">
        <v>318</v>
      </c>
      <c r="B663" s="90" t="s">
        <v>1042</v>
      </c>
      <c r="C663" s="87"/>
      <c r="D663" s="84" t="s">
        <v>775</v>
      </c>
      <c r="E663" s="84" t="s">
        <v>1032</v>
      </c>
      <c r="F663" s="84" t="s">
        <v>780</v>
      </c>
    </row>
    <row r="664" ht="24" customHeight="1" hidden="1" spans="1:6" s="164" customFormat="1" x14ac:dyDescent="0.25">
      <c r="A664" s="88" t="s">
        <v>478</v>
      </c>
      <c r="B664" s="83" t="s">
        <v>1050</v>
      </c>
      <c r="C664" s="87"/>
      <c r="D664" s="84"/>
      <c r="E664" s="87"/>
      <c r="F664" s="84"/>
    </row>
    <row r="665" ht="24" customHeight="1" hidden="1" spans="1:6" s="164" customFormat="1" x14ac:dyDescent="0.25">
      <c r="A665" s="88" t="s">
        <v>481</v>
      </c>
      <c r="B665" s="83" t="s">
        <v>1051</v>
      </c>
      <c r="C665" s="87"/>
      <c r="D665" s="84"/>
      <c r="E665" s="87"/>
      <c r="F665" s="84"/>
    </row>
    <row r="666" ht="24" customHeight="1" hidden="1" spans="1:6" s="164" customFormat="1" x14ac:dyDescent="0.25">
      <c r="A666" s="88" t="s">
        <v>483</v>
      </c>
      <c r="B666" s="83" t="s">
        <v>1052</v>
      </c>
      <c r="C666" s="87"/>
      <c r="D666" s="84"/>
      <c r="E666" s="87"/>
      <c r="F666" s="84"/>
    </row>
    <row r="667" hidden="1" spans="1:6" s="164" customFormat="1" x14ac:dyDescent="0.25">
      <c r="A667" s="88" t="s">
        <v>485</v>
      </c>
      <c r="B667" s="83" t="s">
        <v>790</v>
      </c>
      <c r="C667" s="87"/>
      <c r="D667" s="84"/>
      <c r="E667" s="87"/>
      <c r="F667" s="84"/>
    </row>
    <row r="668" hidden="1" spans="1:6" s="164" customFormat="1" x14ac:dyDescent="0.25">
      <c r="A668" s="88"/>
      <c r="B668" s="83"/>
      <c r="C668" s="87"/>
      <c r="D668" s="84"/>
      <c r="E668" s="87"/>
      <c r="F668" s="84"/>
    </row>
    <row r="669" ht="36" customHeight="1" hidden="1" spans="1:6" s="164" customFormat="1" x14ac:dyDescent="0.25">
      <c r="A669" s="88" t="s">
        <v>1053</v>
      </c>
      <c r="B669" s="83" t="s">
        <v>1054</v>
      </c>
      <c r="C669" s="87"/>
      <c r="D669" s="84"/>
      <c r="E669" s="87"/>
      <c r="F669" s="84"/>
    </row>
    <row r="670" ht="36" customHeight="1" hidden="1" spans="1:6" s="164" customFormat="1" x14ac:dyDescent="0.25">
      <c r="A670" s="88" t="s">
        <v>1055</v>
      </c>
      <c r="B670" s="83" t="s">
        <v>1056</v>
      </c>
      <c r="C670" s="87"/>
      <c r="D670" s="84"/>
      <c r="E670" s="87"/>
      <c r="F670" s="84"/>
    </row>
    <row r="671" ht="24" customHeight="1" hidden="1" spans="1:6" s="164" customFormat="1" x14ac:dyDescent="0.25">
      <c r="A671" s="88" t="s">
        <v>1057</v>
      </c>
      <c r="B671" s="83" t="s">
        <v>829</v>
      </c>
      <c r="C671" s="87"/>
      <c r="D671" s="84"/>
      <c r="E671" s="87"/>
      <c r="F671" s="84"/>
    </row>
    <row r="672" hidden="1" spans="1:6" x14ac:dyDescent="0.25">
      <c r="A672" s="166"/>
      <c r="B672" s="83"/>
      <c r="C672" s="87"/>
      <c r="D672" s="84"/>
      <c r="E672" s="87"/>
      <c r="F672" s="84"/>
    </row>
    <row r="673" hidden="1" spans="1:6" x14ac:dyDescent="0.25">
      <c r="A673" s="88" t="s">
        <v>1058</v>
      </c>
      <c r="B673" s="83" t="s">
        <v>840</v>
      </c>
      <c r="C673" s="87"/>
      <c r="D673" s="84"/>
      <c r="E673" s="87"/>
      <c r="F673" s="84"/>
    </row>
    <row r="674" hidden="1" spans="1:6" x14ac:dyDescent="0.25">
      <c r="A674" s="82" t="s">
        <v>1059</v>
      </c>
      <c r="B674" s="90" t="s">
        <v>842</v>
      </c>
      <c r="C674" s="87"/>
      <c r="D674" s="84"/>
      <c r="E674" s="87"/>
      <c r="F674" s="84"/>
    </row>
    <row r="675" ht="24" customHeight="1" hidden="1" spans="1:6" x14ac:dyDescent="0.25">
      <c r="A675" s="82" t="s">
        <v>306</v>
      </c>
      <c r="B675" s="90" t="s">
        <v>1060</v>
      </c>
      <c r="C675" s="87"/>
      <c r="D675" s="84" t="s">
        <v>61</v>
      </c>
      <c r="E675" s="84" t="s">
        <v>746</v>
      </c>
      <c r="F675" s="84"/>
    </row>
    <row r="676" ht="36" customHeight="1" hidden="1" spans="1:6" x14ac:dyDescent="0.25">
      <c r="A676" s="82" t="s">
        <v>308</v>
      </c>
      <c r="B676" s="90" t="s">
        <v>843</v>
      </c>
      <c r="C676" s="87"/>
      <c r="D676" s="84" t="s">
        <v>548</v>
      </c>
      <c r="E676" s="84" t="s">
        <v>549</v>
      </c>
      <c r="F676" s="84" t="s">
        <v>550</v>
      </c>
    </row>
    <row r="677" ht="24" customHeight="1" hidden="1" spans="1:6" x14ac:dyDescent="0.25">
      <c r="A677" s="82" t="s">
        <v>310</v>
      </c>
      <c r="B677" s="90" t="s">
        <v>1061</v>
      </c>
      <c r="C677" s="87"/>
      <c r="D677" s="84" t="s">
        <v>548</v>
      </c>
      <c r="E677" s="84" t="s">
        <v>758</v>
      </c>
      <c r="F677" s="84" t="s">
        <v>852</v>
      </c>
    </row>
    <row r="678" ht="36" customHeight="1" hidden="1" spans="1:6" x14ac:dyDescent="0.25">
      <c r="A678" s="82" t="s">
        <v>312</v>
      </c>
      <c r="B678" s="90" t="s">
        <v>853</v>
      </c>
      <c r="C678" s="87"/>
      <c r="D678" s="84" t="s">
        <v>548</v>
      </c>
      <c r="E678" s="84" t="s">
        <v>549</v>
      </c>
      <c r="F678" s="84" t="s">
        <v>550</v>
      </c>
    </row>
    <row r="679" ht="36" customHeight="1" hidden="1" spans="1:6" x14ac:dyDescent="0.25">
      <c r="A679" s="82" t="s">
        <v>314</v>
      </c>
      <c r="B679" s="90" t="s">
        <v>1062</v>
      </c>
      <c r="C679" s="87"/>
      <c r="D679" s="84" t="s">
        <v>112</v>
      </c>
      <c r="E679" s="84" t="s">
        <v>545</v>
      </c>
      <c r="F679" s="84" t="s">
        <v>546</v>
      </c>
    </row>
    <row r="680" ht="36" customHeight="1" hidden="1" spans="1:6" x14ac:dyDescent="0.25">
      <c r="A680" s="82" t="s">
        <v>316</v>
      </c>
      <c r="B680" s="90" t="s">
        <v>1063</v>
      </c>
      <c r="C680" s="87"/>
      <c r="D680" s="84" t="s">
        <v>112</v>
      </c>
      <c r="E680" s="84" t="s">
        <v>859</v>
      </c>
      <c r="F680" s="84" t="s">
        <v>546</v>
      </c>
    </row>
    <row r="681" ht="24" customHeight="1" hidden="1" spans="1:6" x14ac:dyDescent="0.25">
      <c r="A681" s="82" t="s">
        <v>318</v>
      </c>
      <c r="B681" s="90" t="s">
        <v>1064</v>
      </c>
      <c r="C681" s="87"/>
      <c r="D681" s="84" t="s">
        <v>112</v>
      </c>
      <c r="E681" s="84" t="s">
        <v>1030</v>
      </c>
      <c r="F681" s="84" t="s">
        <v>546</v>
      </c>
    </row>
    <row r="682" ht="36" customHeight="1" hidden="1" spans="1:6" x14ac:dyDescent="0.25">
      <c r="A682" s="82" t="s">
        <v>478</v>
      </c>
      <c r="B682" s="90" t="s">
        <v>1065</v>
      </c>
      <c r="C682" s="87"/>
      <c r="D682" s="84" t="s">
        <v>112</v>
      </c>
      <c r="E682" s="84" t="s">
        <v>1066</v>
      </c>
      <c r="F682" s="84" t="s">
        <v>546</v>
      </c>
    </row>
    <row r="683" ht="24" customHeight="1" hidden="1" spans="1:6" s="164" customFormat="1" x14ac:dyDescent="0.25">
      <c r="A683" s="88" t="s">
        <v>481</v>
      </c>
      <c r="B683" s="83" t="s">
        <v>1067</v>
      </c>
      <c r="C683" s="87"/>
      <c r="D683" s="84"/>
      <c r="E683" s="87"/>
      <c r="F683" s="84"/>
    </row>
    <row r="684" ht="24" customHeight="1" hidden="1" spans="1:6" s="164" customFormat="1" x14ac:dyDescent="0.25">
      <c r="A684" s="88" t="s">
        <v>483</v>
      </c>
      <c r="B684" s="83" t="s">
        <v>863</v>
      </c>
      <c r="C684" s="87"/>
      <c r="D684" s="84"/>
      <c r="E684" s="87"/>
      <c r="F684" s="84"/>
    </row>
    <row r="685" hidden="1" spans="1:6" s="164" customFormat="1" x14ac:dyDescent="0.25">
      <c r="A685" s="88" t="s">
        <v>485</v>
      </c>
      <c r="B685" s="83" t="s">
        <v>864</v>
      </c>
      <c r="C685" s="87"/>
      <c r="D685" s="84"/>
      <c r="E685" s="87"/>
      <c r="F685" s="84"/>
    </row>
    <row r="686" ht="24" customHeight="1" hidden="1" spans="1:6" s="164" customFormat="1" x14ac:dyDescent="0.25">
      <c r="A686" s="88" t="s">
        <v>488</v>
      </c>
      <c r="B686" s="83" t="s">
        <v>1068</v>
      </c>
      <c r="C686" s="87"/>
      <c r="D686" s="84"/>
      <c r="E686" s="87"/>
      <c r="F686" s="84"/>
    </row>
    <row r="687" ht="24" customHeight="1" hidden="1" spans="1:6" s="164" customFormat="1" x14ac:dyDescent="0.25">
      <c r="A687" s="88" t="s">
        <v>403</v>
      </c>
      <c r="B687" s="83" t="s">
        <v>865</v>
      </c>
      <c r="C687" s="87"/>
      <c r="D687" s="84"/>
      <c r="E687" s="87"/>
      <c r="F687" s="84"/>
    </row>
    <row r="688" hidden="1" spans="1:6" x14ac:dyDescent="0.25">
      <c r="A688" s="82"/>
      <c r="B688" s="90"/>
      <c r="C688" s="87"/>
      <c r="D688" s="84"/>
      <c r="E688" s="87"/>
      <c r="F688" s="84"/>
    </row>
    <row r="689" hidden="1" spans="1:6" x14ac:dyDescent="0.25">
      <c r="A689" s="88" t="s">
        <v>1069</v>
      </c>
      <c r="B689" s="83" t="s">
        <v>1070</v>
      </c>
      <c r="C689" s="87"/>
      <c r="D689" s="84"/>
      <c r="E689" s="87"/>
      <c r="F689" s="84"/>
    </row>
    <row r="690" ht="24" customHeight="1" hidden="1" spans="1:6" x14ac:dyDescent="0.25">
      <c r="A690" s="82" t="s">
        <v>306</v>
      </c>
      <c r="B690" s="90" t="s">
        <v>1071</v>
      </c>
      <c r="C690" s="87"/>
      <c r="D690" s="84" t="s">
        <v>61</v>
      </c>
      <c r="E690" s="84" t="s">
        <v>746</v>
      </c>
      <c r="F690" s="84"/>
    </row>
    <row r="691" ht="36" customHeight="1" hidden="1" spans="1:6" x14ac:dyDescent="0.25">
      <c r="A691" s="82" t="s">
        <v>308</v>
      </c>
      <c r="B691" s="90" t="s">
        <v>1072</v>
      </c>
      <c r="C691" s="87"/>
      <c r="D691" s="84" t="s">
        <v>548</v>
      </c>
      <c r="E691" s="84" t="s">
        <v>549</v>
      </c>
      <c r="F691" s="84" t="s">
        <v>550</v>
      </c>
    </row>
    <row r="692" ht="24" customHeight="1" hidden="1" spans="1:6" x14ac:dyDescent="0.25">
      <c r="A692" s="82" t="s">
        <v>310</v>
      </c>
      <c r="B692" s="90" t="s">
        <v>1073</v>
      </c>
      <c r="C692" s="87"/>
      <c r="D692" s="84" t="s">
        <v>548</v>
      </c>
      <c r="E692" s="84" t="s">
        <v>758</v>
      </c>
      <c r="F692" s="84" t="s">
        <v>852</v>
      </c>
    </row>
    <row r="693" ht="36" customHeight="1" hidden="1" spans="1:6" x14ac:dyDescent="0.25">
      <c r="A693" s="82" t="s">
        <v>312</v>
      </c>
      <c r="B693" s="90" t="s">
        <v>1074</v>
      </c>
      <c r="C693" s="87"/>
      <c r="D693" s="84" t="s">
        <v>112</v>
      </c>
      <c r="E693" s="84" t="s">
        <v>545</v>
      </c>
      <c r="F693" s="84" t="s">
        <v>546</v>
      </c>
    </row>
    <row r="694" ht="36" customHeight="1" hidden="1" spans="1:6" x14ac:dyDescent="0.25">
      <c r="A694" s="82" t="s">
        <v>314</v>
      </c>
      <c r="B694" s="90" t="s">
        <v>1075</v>
      </c>
      <c r="C694" s="87"/>
      <c r="D694" s="84" t="s">
        <v>112</v>
      </c>
      <c r="E694" s="84" t="s">
        <v>859</v>
      </c>
      <c r="F694" s="84" t="s">
        <v>546</v>
      </c>
    </row>
    <row r="695" ht="36" customHeight="1" hidden="1" spans="1:6" x14ac:dyDescent="0.25">
      <c r="A695" s="82" t="s">
        <v>316</v>
      </c>
      <c r="B695" s="90" t="s">
        <v>1076</v>
      </c>
      <c r="C695" s="87"/>
      <c r="D695" s="84" t="s">
        <v>112</v>
      </c>
      <c r="E695" s="84" t="s">
        <v>1077</v>
      </c>
      <c r="F695" s="84" t="s">
        <v>546</v>
      </c>
    </row>
    <row r="696" ht="36" customHeight="1" hidden="1" spans="1:6" x14ac:dyDescent="0.25">
      <c r="A696" s="82" t="s">
        <v>318</v>
      </c>
      <c r="B696" s="90" t="s">
        <v>1078</v>
      </c>
      <c r="C696" s="87"/>
      <c r="D696" s="84" t="s">
        <v>112</v>
      </c>
      <c r="E696" s="84" t="s">
        <v>1066</v>
      </c>
      <c r="F696" s="84" t="s">
        <v>546</v>
      </c>
    </row>
    <row r="697" ht="24" customHeight="1" hidden="1" spans="1:6" x14ac:dyDescent="0.25">
      <c r="A697" s="88" t="s">
        <v>478</v>
      </c>
      <c r="B697" s="83" t="s">
        <v>1079</v>
      </c>
      <c r="C697" s="87"/>
      <c r="D697" s="84"/>
      <c r="E697" s="87"/>
      <c r="F697" s="84"/>
    </row>
    <row r="698" ht="24" customHeight="1" hidden="1" spans="1:6" x14ac:dyDescent="0.25">
      <c r="A698" s="88" t="s">
        <v>481</v>
      </c>
      <c r="B698" s="83" t="s">
        <v>1080</v>
      </c>
      <c r="C698" s="87"/>
      <c r="D698" s="84"/>
      <c r="E698" s="87"/>
      <c r="F698" s="84"/>
    </row>
    <row r="699" hidden="1" spans="1:6" x14ac:dyDescent="0.25">
      <c r="A699" s="88" t="s">
        <v>483</v>
      </c>
      <c r="B699" s="83" t="s">
        <v>1081</v>
      </c>
      <c r="C699" s="87"/>
      <c r="D699" s="84"/>
      <c r="E699" s="87"/>
      <c r="F699" s="84"/>
    </row>
    <row r="700" ht="24" customHeight="1" hidden="1" spans="1:6" x14ac:dyDescent="0.25">
      <c r="A700" s="88" t="s">
        <v>485</v>
      </c>
      <c r="B700" s="83" t="s">
        <v>1082</v>
      </c>
      <c r="C700" s="87"/>
      <c r="D700" s="84"/>
      <c r="E700" s="87"/>
      <c r="F700" s="84"/>
    </row>
    <row r="701" ht="24" customHeight="1" hidden="1" spans="1:6" x14ac:dyDescent="0.25">
      <c r="A701" s="88" t="s">
        <v>488</v>
      </c>
      <c r="B701" s="83" t="s">
        <v>1083</v>
      </c>
      <c r="C701" s="87"/>
      <c r="D701" s="84"/>
      <c r="E701" s="87"/>
      <c r="F701" s="84"/>
    </row>
    <row r="702" hidden="1" spans="1:6" x14ac:dyDescent="0.25">
      <c r="A702" s="88"/>
      <c r="B702" s="83"/>
      <c r="C702" s="87"/>
      <c r="D702" s="84"/>
      <c r="E702" s="87"/>
      <c r="F702" s="84"/>
    </row>
    <row r="703" hidden="1" spans="1:6" s="164" customFormat="1" x14ac:dyDescent="0.25">
      <c r="A703" s="88" t="s">
        <v>1084</v>
      </c>
      <c r="B703" s="83" t="s">
        <v>1085</v>
      </c>
      <c r="C703" s="87"/>
      <c r="D703" s="84"/>
      <c r="E703" s="87"/>
      <c r="F703" s="84"/>
    </row>
    <row r="704" ht="33" customHeight="1" hidden="1" spans="1:6" s="164" customFormat="1" x14ac:dyDescent="0.25">
      <c r="A704" s="82" t="s">
        <v>306</v>
      </c>
      <c r="B704" s="90" t="s">
        <v>1086</v>
      </c>
      <c r="C704" s="87"/>
      <c r="D704" s="84" t="s">
        <v>61</v>
      </c>
      <c r="E704" s="84" t="s">
        <v>746</v>
      </c>
      <c r="F704" s="84"/>
    </row>
    <row r="705" ht="36" customHeight="1" hidden="1" spans="1:6" x14ac:dyDescent="0.25">
      <c r="A705" s="82" t="s">
        <v>308</v>
      </c>
      <c r="B705" s="90" t="s">
        <v>883</v>
      </c>
      <c r="C705" s="87"/>
      <c r="D705" s="84" t="s">
        <v>548</v>
      </c>
      <c r="E705" s="84" t="s">
        <v>549</v>
      </c>
      <c r="F705" s="84" t="s">
        <v>550</v>
      </c>
    </row>
    <row r="706" ht="24" customHeight="1" hidden="1" spans="1:6" x14ac:dyDescent="0.25">
      <c r="A706" s="82" t="s">
        <v>310</v>
      </c>
      <c r="B706" s="90" t="s">
        <v>1087</v>
      </c>
      <c r="C706" s="87"/>
      <c r="D706" s="84" t="s">
        <v>548</v>
      </c>
      <c r="E706" s="84" t="s">
        <v>758</v>
      </c>
      <c r="F706" s="84" t="s">
        <v>852</v>
      </c>
    </row>
    <row r="707" ht="36" customHeight="1" hidden="1" spans="1:6" x14ac:dyDescent="0.25">
      <c r="A707" s="82" t="s">
        <v>312</v>
      </c>
      <c r="B707" s="90" t="s">
        <v>1088</v>
      </c>
      <c r="C707" s="87"/>
      <c r="D707" s="84" t="s">
        <v>548</v>
      </c>
      <c r="E707" s="84" t="s">
        <v>549</v>
      </c>
      <c r="F707" s="84" t="s">
        <v>550</v>
      </c>
    </row>
    <row r="708" ht="60" customHeight="1" hidden="1" spans="1:6" x14ac:dyDescent="0.25">
      <c r="A708" s="82" t="s">
        <v>314</v>
      </c>
      <c r="B708" s="90" t="s">
        <v>1089</v>
      </c>
      <c r="C708" s="87"/>
      <c r="D708" s="84" t="s">
        <v>112</v>
      </c>
      <c r="E708" s="84" t="s">
        <v>545</v>
      </c>
      <c r="F708" s="84" t="s">
        <v>546</v>
      </c>
    </row>
    <row r="709" ht="36" customHeight="1" hidden="1" spans="1:6" x14ac:dyDescent="0.25">
      <c r="A709" s="82" t="s">
        <v>316</v>
      </c>
      <c r="B709" s="90" t="s">
        <v>1090</v>
      </c>
      <c r="C709" s="87"/>
      <c r="D709" s="84" t="s">
        <v>112</v>
      </c>
      <c r="E709" s="84" t="s">
        <v>859</v>
      </c>
      <c r="F709" s="84" t="s">
        <v>546</v>
      </c>
    </row>
    <row r="710" ht="36" customHeight="1" hidden="1" spans="1:6" x14ac:dyDescent="0.25">
      <c r="A710" s="82" t="s">
        <v>318</v>
      </c>
      <c r="B710" s="90" t="s">
        <v>1091</v>
      </c>
      <c r="C710" s="87"/>
      <c r="D710" s="84" t="s">
        <v>112</v>
      </c>
      <c r="E710" s="84" t="s">
        <v>1077</v>
      </c>
      <c r="F710" s="84" t="s">
        <v>546</v>
      </c>
    </row>
    <row r="711" ht="36" customHeight="1" hidden="1" spans="1:6" x14ac:dyDescent="0.25">
      <c r="A711" s="82" t="s">
        <v>478</v>
      </c>
      <c r="B711" s="90" t="s">
        <v>1092</v>
      </c>
      <c r="C711" s="87"/>
      <c r="D711" s="84" t="s">
        <v>112</v>
      </c>
      <c r="E711" s="84" t="s">
        <v>890</v>
      </c>
      <c r="F711" s="84"/>
    </row>
    <row r="712" ht="36" customHeight="1" hidden="1" spans="1:6" x14ac:dyDescent="0.25">
      <c r="A712" s="82" t="s">
        <v>481</v>
      </c>
      <c r="B712" s="90" t="s">
        <v>1093</v>
      </c>
      <c r="C712" s="87"/>
      <c r="D712" s="84" t="s">
        <v>112</v>
      </c>
      <c r="E712" s="84" t="s">
        <v>1066</v>
      </c>
      <c r="F712" s="84" t="s">
        <v>546</v>
      </c>
    </row>
    <row r="713" ht="24" customHeight="1" hidden="1" spans="1:6" x14ac:dyDescent="0.25">
      <c r="A713" s="88" t="s">
        <v>483</v>
      </c>
      <c r="B713" s="83" t="s">
        <v>892</v>
      </c>
      <c r="C713" s="87"/>
      <c r="D713" s="84"/>
      <c r="E713" s="87"/>
      <c r="F713" s="84"/>
    </row>
    <row r="714" hidden="1" spans="1:6" x14ac:dyDescent="0.25">
      <c r="A714" s="88" t="s">
        <v>485</v>
      </c>
      <c r="B714" s="83" t="s">
        <v>893</v>
      </c>
      <c r="C714" s="87"/>
      <c r="D714" s="84"/>
      <c r="E714" s="87"/>
      <c r="F714" s="84"/>
    </row>
    <row r="715" hidden="1" spans="1:6" x14ac:dyDescent="0.25">
      <c r="A715" s="88" t="s">
        <v>488</v>
      </c>
      <c r="B715" s="83" t="s">
        <v>895</v>
      </c>
      <c r="C715" s="87"/>
      <c r="D715" s="84"/>
      <c r="E715" s="87"/>
      <c r="F715" s="84"/>
    </row>
    <row r="716" hidden="1" spans="1:6" x14ac:dyDescent="0.25">
      <c r="A716" s="88" t="s">
        <v>403</v>
      </c>
      <c r="B716" s="83" t="s">
        <v>1094</v>
      </c>
      <c r="C716" s="87"/>
      <c r="D716" s="84"/>
      <c r="E716" s="87"/>
      <c r="F716" s="84"/>
    </row>
    <row r="717" ht="24" customHeight="1" hidden="1" spans="1:6" x14ac:dyDescent="0.25">
      <c r="A717" s="88" t="s">
        <v>407</v>
      </c>
      <c r="B717" s="83" t="s">
        <v>896</v>
      </c>
      <c r="C717" s="87"/>
      <c r="D717" s="84"/>
      <c r="E717" s="87"/>
      <c r="F717" s="84"/>
    </row>
    <row r="718" hidden="1" spans="1:6" x14ac:dyDescent="0.25">
      <c r="A718" s="82"/>
      <c r="B718" s="90"/>
      <c r="C718" s="87"/>
      <c r="D718" s="84"/>
      <c r="E718" s="87"/>
      <c r="F718" s="84"/>
    </row>
    <row r="719" hidden="1" spans="1:6" s="164" customFormat="1" x14ac:dyDescent="0.25">
      <c r="A719" s="88" t="s">
        <v>1095</v>
      </c>
      <c r="B719" s="167" t="s">
        <v>1096</v>
      </c>
      <c r="C719" s="87"/>
      <c r="D719" s="84"/>
      <c r="E719" s="87"/>
      <c r="F719" s="84"/>
    </row>
    <row r="720" ht="24" customHeight="1" hidden="1" spans="1:6" x14ac:dyDescent="0.25">
      <c r="A720" s="82" t="s">
        <v>306</v>
      </c>
      <c r="B720" s="90" t="s">
        <v>1097</v>
      </c>
      <c r="C720" s="87"/>
      <c r="D720" s="84" t="s">
        <v>61</v>
      </c>
      <c r="E720" s="84" t="s">
        <v>746</v>
      </c>
      <c r="F720" s="84"/>
    </row>
    <row r="721" ht="36" customHeight="1" hidden="1" spans="1:6" x14ac:dyDescent="0.25">
      <c r="A721" s="82" t="s">
        <v>308</v>
      </c>
      <c r="B721" s="90" t="s">
        <v>899</v>
      </c>
      <c r="C721" s="87"/>
      <c r="D721" s="84" t="s">
        <v>548</v>
      </c>
      <c r="E721" s="84" t="s">
        <v>549</v>
      </c>
      <c r="F721" s="84" t="s">
        <v>550</v>
      </c>
    </row>
    <row r="722" ht="24" customHeight="1" hidden="1" spans="1:6" x14ac:dyDescent="0.25">
      <c r="A722" s="82" t="s">
        <v>310</v>
      </c>
      <c r="B722" s="90" t="s">
        <v>1098</v>
      </c>
      <c r="C722" s="87"/>
      <c r="D722" s="84" t="s">
        <v>548</v>
      </c>
      <c r="E722" s="84" t="s">
        <v>758</v>
      </c>
      <c r="F722" s="84" t="s">
        <v>852</v>
      </c>
    </row>
    <row r="723" ht="36" customHeight="1" hidden="1" spans="1:6" x14ac:dyDescent="0.25">
      <c r="A723" s="82" t="s">
        <v>312</v>
      </c>
      <c r="B723" s="90" t="s">
        <v>1099</v>
      </c>
      <c r="C723" s="87"/>
      <c r="D723" s="84" t="s">
        <v>548</v>
      </c>
      <c r="E723" s="84" t="s">
        <v>549</v>
      </c>
      <c r="F723" s="84" t="s">
        <v>550</v>
      </c>
    </row>
    <row r="724" ht="36" customHeight="1" hidden="1" spans="1:6" x14ac:dyDescent="0.25">
      <c r="A724" s="82" t="s">
        <v>314</v>
      </c>
      <c r="B724" s="90" t="s">
        <v>1100</v>
      </c>
      <c r="C724" s="87"/>
      <c r="D724" s="84" t="s">
        <v>112</v>
      </c>
      <c r="E724" s="84" t="s">
        <v>545</v>
      </c>
      <c r="F724" s="84" t="s">
        <v>546</v>
      </c>
    </row>
    <row r="725" ht="36" customHeight="1" hidden="1" spans="1:6" x14ac:dyDescent="0.25">
      <c r="A725" s="82" t="s">
        <v>316</v>
      </c>
      <c r="B725" s="90" t="s">
        <v>1101</v>
      </c>
      <c r="C725" s="87"/>
      <c r="D725" s="84" t="s">
        <v>112</v>
      </c>
      <c r="E725" s="84" t="s">
        <v>859</v>
      </c>
      <c r="F725" s="84" t="s">
        <v>546</v>
      </c>
    </row>
    <row r="726" ht="36" customHeight="1" hidden="1" spans="1:6" x14ac:dyDescent="0.25">
      <c r="A726" s="82" t="s">
        <v>318</v>
      </c>
      <c r="B726" s="90" t="s">
        <v>1102</v>
      </c>
      <c r="C726" s="87"/>
      <c r="D726" s="84" t="s">
        <v>112</v>
      </c>
      <c r="E726" s="84" t="s">
        <v>1077</v>
      </c>
      <c r="F726" s="84" t="s">
        <v>546</v>
      </c>
    </row>
    <row r="727" ht="36" customHeight="1" hidden="1" spans="1:6" x14ac:dyDescent="0.25">
      <c r="A727" s="82" t="s">
        <v>478</v>
      </c>
      <c r="B727" s="90" t="s">
        <v>1103</v>
      </c>
      <c r="C727" s="87"/>
      <c r="D727" s="84" t="s">
        <v>112</v>
      </c>
      <c r="E727" s="84" t="s">
        <v>1066</v>
      </c>
      <c r="F727" s="84" t="s">
        <v>546</v>
      </c>
    </row>
    <row r="728" ht="24" customHeight="1" hidden="1" spans="1:6" s="164" customFormat="1" x14ac:dyDescent="0.25">
      <c r="A728" s="88" t="s">
        <v>481</v>
      </c>
      <c r="B728" s="83" t="s">
        <v>1104</v>
      </c>
      <c r="C728" s="87"/>
      <c r="D728" s="167"/>
      <c r="E728" s="167"/>
      <c r="F728" s="167"/>
    </row>
    <row r="729" ht="24" customHeight="1" hidden="1" spans="1:6" s="164" customFormat="1" x14ac:dyDescent="0.25">
      <c r="A729" s="88" t="s">
        <v>483</v>
      </c>
      <c r="B729" s="83" t="s">
        <v>913</v>
      </c>
      <c r="C729" s="87"/>
      <c r="D729" s="84"/>
      <c r="E729" s="87"/>
      <c r="F729" s="84"/>
    </row>
    <row r="730" ht="24" customHeight="1" hidden="1" spans="1:6" s="164" customFormat="1" x14ac:dyDescent="0.25">
      <c r="A730" s="88" t="s">
        <v>485</v>
      </c>
      <c r="B730" s="83" t="s">
        <v>914</v>
      </c>
      <c r="C730" s="87"/>
      <c r="D730" s="84"/>
      <c r="E730" s="87"/>
      <c r="F730" s="84"/>
    </row>
    <row r="731" ht="24" customHeight="1" hidden="1" spans="1:6" s="164" customFormat="1" x14ac:dyDescent="0.25">
      <c r="A731" s="88" t="s">
        <v>488</v>
      </c>
      <c r="B731" s="83" t="s">
        <v>1105</v>
      </c>
      <c r="C731" s="87"/>
      <c r="D731" s="84"/>
      <c r="E731" s="87"/>
      <c r="F731" s="84"/>
    </row>
    <row r="732" ht="24" customHeight="1" hidden="1" spans="1:6" s="164" customFormat="1" x14ac:dyDescent="0.25">
      <c r="A732" s="88" t="s">
        <v>403</v>
      </c>
      <c r="B732" s="83" t="s">
        <v>915</v>
      </c>
      <c r="C732" s="87"/>
      <c r="D732" s="84"/>
      <c r="E732" s="87"/>
      <c r="F732" s="84"/>
    </row>
    <row r="733" ht="24" customHeight="1" hidden="1" spans="1:6" s="164" customFormat="1" x14ac:dyDescent="0.25">
      <c r="A733" s="88" t="s">
        <v>1106</v>
      </c>
      <c r="B733" s="83" t="s">
        <v>923</v>
      </c>
      <c r="C733" s="87"/>
      <c r="D733" s="84"/>
      <c r="E733" s="87"/>
      <c r="F733" s="84"/>
    </row>
    <row r="734" ht="24" customHeight="1" hidden="1" spans="1:6" s="164" customFormat="1" x14ac:dyDescent="0.25">
      <c r="A734" s="88" t="s">
        <v>1107</v>
      </c>
      <c r="B734" s="83" t="s">
        <v>925</v>
      </c>
      <c r="C734" s="87"/>
      <c r="D734" s="84"/>
      <c r="E734" s="87"/>
      <c r="F734" s="84"/>
    </row>
    <row r="735" ht="24" customHeight="1" hidden="1" spans="1:6" s="164" customFormat="1" x14ac:dyDescent="0.25">
      <c r="A735" s="88" t="s">
        <v>793</v>
      </c>
      <c r="B735" s="83" t="s">
        <v>1108</v>
      </c>
      <c r="C735" s="87"/>
      <c r="D735" s="84"/>
      <c r="E735" s="87"/>
      <c r="F735" s="84"/>
    </row>
    <row r="736" ht="24" customHeight="1" hidden="1" spans="1:6" s="164" customFormat="1" x14ac:dyDescent="0.25">
      <c r="A736" s="88" t="s">
        <v>1109</v>
      </c>
      <c r="B736" s="83" t="s">
        <v>927</v>
      </c>
      <c r="C736" s="87"/>
      <c r="D736" s="84"/>
      <c r="E736" s="87"/>
      <c r="F736" s="84"/>
    </row>
    <row r="737" hidden="1" spans="1:6" x14ac:dyDescent="0.25">
      <c r="A737" s="82"/>
      <c r="B737" s="168"/>
      <c r="C737" s="87"/>
      <c r="D737" s="84"/>
      <c r="E737" s="87"/>
      <c r="F737" s="84"/>
    </row>
    <row r="738" hidden="1" spans="1:6" s="164" customFormat="1" x14ac:dyDescent="0.25">
      <c r="A738" s="88" t="s">
        <v>373</v>
      </c>
      <c r="B738" s="167" t="s">
        <v>1110</v>
      </c>
      <c r="C738" s="87"/>
      <c r="D738" s="84"/>
      <c r="E738" s="87"/>
      <c r="F738" s="84"/>
    </row>
    <row r="739" hidden="1" spans="1:6" s="164" customFormat="1" x14ac:dyDescent="0.25">
      <c r="A739" s="88" t="s">
        <v>375</v>
      </c>
      <c r="B739" s="167" t="s">
        <v>1111</v>
      </c>
      <c r="C739" s="87"/>
      <c r="D739" s="84"/>
      <c r="E739" s="87"/>
      <c r="F739" s="84"/>
    </row>
    <row r="740" ht="24" customHeight="1" hidden="1" spans="1:6" x14ac:dyDescent="0.25">
      <c r="A740" s="82" t="s">
        <v>306</v>
      </c>
      <c r="B740" s="168" t="s">
        <v>1112</v>
      </c>
      <c r="C740" s="87"/>
      <c r="D740" s="84" t="s">
        <v>61</v>
      </c>
      <c r="E740" s="84" t="s">
        <v>746</v>
      </c>
      <c r="F740" s="84"/>
    </row>
    <row r="741" ht="36" customHeight="1" hidden="1" spans="1:6" x14ac:dyDescent="0.25">
      <c r="A741" s="82" t="s">
        <v>308</v>
      </c>
      <c r="B741" s="168" t="s">
        <v>1113</v>
      </c>
      <c r="C741" s="87"/>
      <c r="D741" s="84" t="s">
        <v>956</v>
      </c>
      <c r="E741" s="84" t="s">
        <v>950</v>
      </c>
      <c r="F741" s="84"/>
    </row>
    <row r="742" ht="24" customHeight="1" hidden="1" spans="1:6" x14ac:dyDescent="0.25">
      <c r="A742" s="82" t="s">
        <v>310</v>
      </c>
      <c r="B742" s="168" t="s">
        <v>1114</v>
      </c>
      <c r="C742" s="87"/>
      <c r="D742" s="84" t="s">
        <v>956</v>
      </c>
      <c r="E742" s="84" t="s">
        <v>758</v>
      </c>
      <c r="F742" s="84" t="s">
        <v>957</v>
      </c>
    </row>
    <row r="743" ht="24" customHeight="1" hidden="1" spans="1:6" x14ac:dyDescent="0.25">
      <c r="A743" s="82" t="s">
        <v>312</v>
      </c>
      <c r="B743" s="168" t="s">
        <v>958</v>
      </c>
      <c r="C743" s="87"/>
      <c r="D743" s="84" t="s">
        <v>112</v>
      </c>
      <c r="E743" s="84" t="s">
        <v>977</v>
      </c>
      <c r="F743" s="84" t="s">
        <v>957</v>
      </c>
    </row>
    <row r="744" ht="36" customHeight="1" hidden="1" spans="1:6" x14ac:dyDescent="0.25">
      <c r="A744" s="82" t="s">
        <v>314</v>
      </c>
      <c r="B744" s="168" t="s">
        <v>961</v>
      </c>
      <c r="C744" s="87"/>
      <c r="D744" s="84" t="s">
        <v>112</v>
      </c>
      <c r="E744" s="84" t="s">
        <v>890</v>
      </c>
      <c r="F744" s="84"/>
    </row>
    <row r="745" ht="36" customHeight="1" hidden="1" spans="1:6" x14ac:dyDescent="0.25">
      <c r="A745" s="82" t="s">
        <v>316</v>
      </c>
      <c r="B745" s="168" t="s">
        <v>962</v>
      </c>
      <c r="C745" s="87"/>
      <c r="D745" s="84" t="s">
        <v>112</v>
      </c>
      <c r="E745" s="84" t="s">
        <v>1066</v>
      </c>
      <c r="F745" s="84" t="s">
        <v>957</v>
      </c>
    </row>
    <row r="746" ht="24" customHeight="1" hidden="1" spans="1:6" s="164" customFormat="1" x14ac:dyDescent="0.25">
      <c r="A746" s="88" t="s">
        <v>318</v>
      </c>
      <c r="B746" s="167" t="s">
        <v>963</v>
      </c>
      <c r="C746" s="87"/>
      <c r="D746" s="84"/>
      <c r="E746" s="87"/>
      <c r="F746" s="84"/>
    </row>
    <row r="747" ht="24" customHeight="1" hidden="1" spans="1:6" s="164" customFormat="1" x14ac:dyDescent="0.25">
      <c r="A747" s="88" t="s">
        <v>478</v>
      </c>
      <c r="B747" s="167" t="s">
        <v>964</v>
      </c>
      <c r="C747" s="87"/>
      <c r="D747" s="84"/>
      <c r="E747" s="87"/>
      <c r="F747" s="84"/>
    </row>
    <row r="748" ht="24" customHeight="1" hidden="1" spans="1:6" s="164" customFormat="1" x14ac:dyDescent="0.25">
      <c r="A748" s="88" t="s">
        <v>481</v>
      </c>
      <c r="B748" s="167" t="s">
        <v>966</v>
      </c>
      <c r="C748" s="87"/>
      <c r="D748" s="84"/>
      <c r="E748" s="87"/>
      <c r="F748" s="84"/>
    </row>
    <row r="749" hidden="1" spans="1:6" x14ac:dyDescent="0.25">
      <c r="A749" s="82"/>
      <c r="B749" s="168"/>
      <c r="C749" s="87"/>
      <c r="D749" s="84"/>
      <c r="E749" s="87"/>
      <c r="F749" s="84"/>
    </row>
    <row r="750" hidden="1" spans="1:6" s="164" customFormat="1" x14ac:dyDescent="0.25">
      <c r="A750" s="88" t="s">
        <v>1115</v>
      </c>
      <c r="B750" s="167" t="s">
        <v>971</v>
      </c>
      <c r="C750" s="87"/>
      <c r="D750" s="84"/>
      <c r="E750" s="87"/>
      <c r="F750" s="84"/>
    </row>
    <row r="751" ht="24" customHeight="1" hidden="1" spans="1:6" x14ac:dyDescent="0.25">
      <c r="A751" s="82" t="s">
        <v>306</v>
      </c>
      <c r="B751" s="168" t="s">
        <v>1116</v>
      </c>
      <c r="C751" s="87"/>
      <c r="D751" s="84" t="s">
        <v>61</v>
      </c>
      <c r="E751" s="84" t="s">
        <v>746</v>
      </c>
      <c r="F751" s="84"/>
    </row>
    <row r="752" ht="36" customHeight="1" hidden="1" spans="1:6" x14ac:dyDescent="0.25">
      <c r="A752" s="82" t="s">
        <v>308</v>
      </c>
      <c r="B752" s="168" t="s">
        <v>1117</v>
      </c>
      <c r="C752" s="87"/>
      <c r="D752" s="84" t="s">
        <v>956</v>
      </c>
      <c r="E752" s="84" t="s">
        <v>950</v>
      </c>
      <c r="F752" s="84"/>
    </row>
    <row r="753" ht="24" customHeight="1" hidden="1" spans="1:6" x14ac:dyDescent="0.25">
      <c r="A753" s="82" t="s">
        <v>310</v>
      </c>
      <c r="B753" s="168" t="s">
        <v>1118</v>
      </c>
      <c r="C753" s="87"/>
      <c r="D753" s="84" t="s">
        <v>956</v>
      </c>
      <c r="E753" s="84" t="s">
        <v>758</v>
      </c>
      <c r="F753" s="84" t="s">
        <v>957</v>
      </c>
    </row>
    <row r="754" ht="24" customHeight="1" hidden="1" spans="1:6" x14ac:dyDescent="0.25">
      <c r="A754" s="82" t="s">
        <v>312</v>
      </c>
      <c r="B754" s="168" t="s">
        <v>1119</v>
      </c>
      <c r="C754" s="87"/>
      <c r="D754" s="84" t="s">
        <v>112</v>
      </c>
      <c r="E754" s="84" t="s">
        <v>977</v>
      </c>
      <c r="F754" s="84" t="s">
        <v>957</v>
      </c>
    </row>
    <row r="755" ht="36" customHeight="1" hidden="1" spans="1:6" x14ac:dyDescent="0.25">
      <c r="A755" s="82" t="s">
        <v>314</v>
      </c>
      <c r="B755" s="168" t="s">
        <v>1120</v>
      </c>
      <c r="C755" s="87"/>
      <c r="D755" s="84" t="s">
        <v>112</v>
      </c>
      <c r="E755" s="84" t="s">
        <v>1066</v>
      </c>
      <c r="F755" s="84" t="s">
        <v>957</v>
      </c>
    </row>
    <row r="756" ht="24" customHeight="1" hidden="1" spans="1:6" s="164" customFormat="1" x14ac:dyDescent="0.25">
      <c r="A756" s="88" t="s">
        <v>316</v>
      </c>
      <c r="B756" s="167" t="s">
        <v>979</v>
      </c>
      <c r="C756" s="87"/>
      <c r="D756" s="167"/>
      <c r="E756" s="167"/>
      <c r="F756" s="167"/>
    </row>
    <row r="757" ht="24" customHeight="1" hidden="1" spans="1:6" s="164" customFormat="1" x14ac:dyDescent="0.25">
      <c r="A757" s="88" t="s">
        <v>318</v>
      </c>
      <c r="B757" s="167" t="s">
        <v>980</v>
      </c>
      <c r="C757" s="87"/>
      <c r="D757" s="84"/>
      <c r="E757" s="87"/>
      <c r="F757" s="84"/>
    </row>
    <row r="758" ht="24" customHeight="1" hidden="1" spans="1:6" s="164" customFormat="1" x14ac:dyDescent="0.25">
      <c r="A758" s="88" t="s">
        <v>478</v>
      </c>
      <c r="B758" s="167" t="s">
        <v>981</v>
      </c>
      <c r="C758" s="87"/>
      <c r="D758" s="84"/>
      <c r="E758" s="87"/>
      <c r="F758" s="84"/>
    </row>
    <row r="759" hidden="1" spans="1:6" s="164" customFormat="1" x14ac:dyDescent="0.25">
      <c r="A759" s="88"/>
      <c r="B759" s="167"/>
      <c r="C759" s="87"/>
      <c r="D759" s="84"/>
      <c r="E759" s="87"/>
      <c r="F759" s="84"/>
    </row>
    <row r="760" ht="24" customHeight="1" hidden="1" spans="1:6" s="164" customFormat="1" x14ac:dyDescent="0.25">
      <c r="A760" s="88" t="s">
        <v>1121</v>
      </c>
      <c r="B760" s="167" t="s">
        <v>984</v>
      </c>
      <c r="C760" s="87"/>
      <c r="D760" s="84"/>
      <c r="E760" s="87"/>
      <c r="F760" s="84"/>
    </row>
    <row r="761" ht="24" customHeight="1" hidden="1" spans="1:6" s="164" customFormat="1" x14ac:dyDescent="0.25">
      <c r="A761" s="88" t="s">
        <v>1122</v>
      </c>
      <c r="B761" s="167" t="s">
        <v>986</v>
      </c>
      <c r="C761" s="87"/>
      <c r="D761" s="84"/>
      <c r="E761" s="87"/>
      <c r="F761" s="84"/>
    </row>
    <row r="762" spans="1:6" s="164" customFormat="1" x14ac:dyDescent="0.25">
      <c r="A762" s="88"/>
      <c r="B762" s="167"/>
      <c r="C762" s="87"/>
      <c r="D762" s="84"/>
      <c r="E762" s="87"/>
      <c r="F762" s="84"/>
    </row>
    <row r="763" spans="1:6" s="164" customFormat="1" x14ac:dyDescent="0.25">
      <c r="A763" s="88" t="s">
        <v>942</v>
      </c>
      <c r="B763" s="167" t="s">
        <v>1123</v>
      </c>
      <c r="C763" s="87"/>
      <c r="D763" s="84"/>
      <c r="E763" s="87"/>
      <c r="F763" s="84"/>
    </row>
    <row r="764" spans="1:6" s="164" customFormat="1" x14ac:dyDescent="0.25">
      <c r="A764" s="169" t="s">
        <v>944</v>
      </c>
      <c r="B764" s="170" t="s">
        <v>1124</v>
      </c>
      <c r="C764" s="87"/>
      <c r="D764" s="84"/>
      <c r="E764" s="87"/>
      <c r="F764" s="84"/>
    </row>
    <row r="765" ht="24" customHeight="1" spans="1:6" s="164" customFormat="1" x14ac:dyDescent="0.25">
      <c r="A765" s="88" t="s">
        <v>1125</v>
      </c>
      <c r="B765" s="167" t="s">
        <v>1126</v>
      </c>
      <c r="C765" s="87"/>
      <c r="D765" s="84"/>
      <c r="E765" s="87"/>
      <c r="F765" s="84"/>
    </row>
    <row r="766" ht="36" customHeight="1" spans="1:6" s="164" customFormat="1" x14ac:dyDescent="0.25">
      <c r="A766" s="171" t="s">
        <v>306</v>
      </c>
      <c r="B766" s="168" t="s">
        <v>1127</v>
      </c>
      <c r="C766" s="87"/>
      <c r="D766" s="84" t="s">
        <v>61</v>
      </c>
      <c r="E766" s="84" t="s">
        <v>746</v>
      </c>
      <c r="F766" s="84"/>
    </row>
    <row r="767" spans="1:6" s="164" customFormat="1" x14ac:dyDescent="0.25">
      <c r="A767" s="171" t="s">
        <v>308</v>
      </c>
      <c r="B767" s="85" t="s">
        <v>1128</v>
      </c>
      <c r="C767" s="87" t="s">
        <v>1129</v>
      </c>
      <c r="D767" s="84" t="s">
        <v>1130</v>
      </c>
      <c r="E767" s="87" t="s">
        <v>1131</v>
      </c>
      <c r="F767" s="84" t="s">
        <v>1132</v>
      </c>
    </row>
    <row r="768" ht="24" customHeight="1" spans="1:6" s="164" customFormat="1" x14ac:dyDescent="0.25">
      <c r="A768" s="171" t="s">
        <v>310</v>
      </c>
      <c r="B768" s="168" t="s">
        <v>1133</v>
      </c>
      <c r="C768" s="87"/>
      <c r="D768" s="84" t="s">
        <v>956</v>
      </c>
      <c r="E768" s="84" t="s">
        <v>1134</v>
      </c>
      <c r="F768" s="84" t="s">
        <v>1135</v>
      </c>
    </row>
    <row r="769" ht="24" customHeight="1" spans="1:6" s="164" customFormat="1" x14ac:dyDescent="0.25">
      <c r="A769" s="172" t="s">
        <v>312</v>
      </c>
      <c r="B769" s="168" t="s">
        <v>1136</v>
      </c>
      <c r="C769" s="87"/>
      <c r="D769" s="84" t="s">
        <v>112</v>
      </c>
      <c r="E769" s="87" t="s">
        <v>1131</v>
      </c>
      <c r="F769" s="84" t="s">
        <v>1135</v>
      </c>
    </row>
    <row r="770" ht="24" customHeight="1" spans="1:6" s="164" customFormat="1" x14ac:dyDescent="0.25">
      <c r="A770" s="172" t="s">
        <v>314</v>
      </c>
      <c r="B770" s="168" t="s">
        <v>1137</v>
      </c>
      <c r="C770" s="87"/>
      <c r="D770" s="84" t="s">
        <v>112</v>
      </c>
      <c r="E770" s="87" t="s">
        <v>1131</v>
      </c>
      <c r="F770" s="84" t="s">
        <v>1135</v>
      </c>
    </row>
    <row r="771" spans="1:6" s="164" customFormat="1" x14ac:dyDescent="0.25">
      <c r="A771" s="88" t="s">
        <v>316</v>
      </c>
      <c r="B771" s="167" t="s">
        <v>1138</v>
      </c>
      <c r="C771" s="87"/>
      <c r="D771" s="84"/>
      <c r="E771" s="87"/>
      <c r="F771" s="84"/>
    </row>
    <row r="772" ht="24" customHeight="1" spans="1:6" s="164" customFormat="1" x14ac:dyDescent="0.25">
      <c r="A772" s="88" t="s">
        <v>1139</v>
      </c>
      <c r="B772" s="167" t="s">
        <v>1140</v>
      </c>
      <c r="C772" s="87"/>
      <c r="D772" s="84"/>
      <c r="E772" s="87"/>
      <c r="F772" s="84"/>
    </row>
    <row r="773" spans="1:6" s="164" customFormat="1" x14ac:dyDescent="0.25">
      <c r="A773" s="88"/>
      <c r="B773" s="167"/>
      <c r="C773" s="87"/>
      <c r="D773" s="84"/>
      <c r="E773" s="87"/>
      <c r="F773" s="84"/>
    </row>
    <row r="774" spans="1:6" s="164" customFormat="1" x14ac:dyDescent="0.25">
      <c r="A774" s="88" t="s">
        <v>970</v>
      </c>
      <c r="B774" s="167" t="s">
        <v>1141</v>
      </c>
      <c r="C774" s="87"/>
      <c r="D774" s="84"/>
      <c r="E774" s="87"/>
      <c r="F774" s="84"/>
    </row>
    <row r="775" ht="24" customHeight="1" spans="1:6" s="164" customFormat="1" x14ac:dyDescent="0.25">
      <c r="A775" s="88" t="s">
        <v>1142</v>
      </c>
      <c r="B775" s="167" t="s">
        <v>1143</v>
      </c>
      <c r="C775" s="87"/>
      <c r="D775" s="84"/>
      <c r="E775" s="87"/>
      <c r="F775" s="84"/>
    </row>
    <row r="776" ht="36" customHeight="1" spans="1:6" s="164" customFormat="1" x14ac:dyDescent="0.25">
      <c r="A776" s="171" t="s">
        <v>306</v>
      </c>
      <c r="B776" s="168" t="s">
        <v>1144</v>
      </c>
      <c r="C776" s="87"/>
      <c r="D776" s="84" t="s">
        <v>61</v>
      </c>
      <c r="E776" s="84" t="s">
        <v>746</v>
      </c>
      <c r="F776" s="84"/>
    </row>
    <row r="777" spans="1:6" s="164" customFormat="1" x14ac:dyDescent="0.25">
      <c r="A777" s="171" t="s">
        <v>308</v>
      </c>
      <c r="B777" s="168" t="s">
        <v>1145</v>
      </c>
      <c r="C777" s="87"/>
      <c r="D777" s="84" t="s">
        <v>1130</v>
      </c>
      <c r="E777" s="87" t="s">
        <v>1131</v>
      </c>
      <c r="F777" s="84"/>
    </row>
    <row r="778" ht="24" customHeight="1" spans="1:6" s="164" customFormat="1" x14ac:dyDescent="0.25">
      <c r="A778" s="171" t="s">
        <v>310</v>
      </c>
      <c r="B778" s="168" t="s">
        <v>1146</v>
      </c>
      <c r="C778" s="87"/>
      <c r="D778" s="84" t="s">
        <v>956</v>
      </c>
      <c r="E778" s="84" t="s">
        <v>1134</v>
      </c>
      <c r="F778" s="84" t="s">
        <v>1135</v>
      </c>
    </row>
    <row r="779" ht="24" customHeight="1" spans="1:6" s="164" customFormat="1" x14ac:dyDescent="0.25">
      <c r="A779" s="172" t="s">
        <v>312</v>
      </c>
      <c r="B779" s="168" t="s">
        <v>1147</v>
      </c>
      <c r="C779" s="87"/>
      <c r="D779" s="84" t="s">
        <v>112</v>
      </c>
      <c r="E779" s="87" t="s">
        <v>1131</v>
      </c>
      <c r="F779" s="84" t="s">
        <v>1135</v>
      </c>
    </row>
    <row r="780" ht="24" customHeight="1" spans="1:6" s="164" customFormat="1" x14ac:dyDescent="0.25">
      <c r="A780" s="172" t="s">
        <v>314</v>
      </c>
      <c r="B780" s="168" t="s">
        <v>1148</v>
      </c>
      <c r="C780" s="87"/>
      <c r="D780" s="84" t="s">
        <v>112</v>
      </c>
      <c r="E780" s="87" t="s">
        <v>1131</v>
      </c>
      <c r="F780" s="84" t="s">
        <v>1135</v>
      </c>
    </row>
    <row r="781" spans="1:6" s="164" customFormat="1" x14ac:dyDescent="0.25">
      <c r="A781" s="88" t="s">
        <v>316</v>
      </c>
      <c r="B781" s="167" t="s">
        <v>1149</v>
      </c>
      <c r="C781" s="87"/>
      <c r="D781" s="84"/>
      <c r="E781" s="87"/>
      <c r="F781" s="84"/>
    </row>
    <row r="782" spans="1:6" s="164" customFormat="1" x14ac:dyDescent="0.25">
      <c r="A782" s="88" t="s">
        <v>1150</v>
      </c>
      <c r="B782" s="167" t="s">
        <v>1151</v>
      </c>
      <c r="C782" s="87"/>
      <c r="D782" s="84"/>
      <c r="E782" s="87"/>
      <c r="F782" s="84"/>
    </row>
    <row r="783" spans="1:6" s="164" customFormat="1" x14ac:dyDescent="0.25">
      <c r="A783" s="88"/>
      <c r="B783" s="167"/>
      <c r="C783" s="87"/>
      <c r="D783" s="84"/>
      <c r="E783" s="87"/>
      <c r="F783" s="84"/>
    </row>
    <row r="784" ht="24" customHeight="1" spans="1:6" s="164" customFormat="1" x14ac:dyDescent="0.25">
      <c r="A784" s="88" t="s">
        <v>983</v>
      </c>
      <c r="B784" s="167" t="s">
        <v>1152</v>
      </c>
      <c r="C784" s="87"/>
      <c r="D784" s="84"/>
      <c r="E784" s="87"/>
      <c r="F784" s="84"/>
    </row>
    <row r="785" spans="1:6" s="164" customFormat="1" x14ac:dyDescent="0.25">
      <c r="A785" s="88" t="s">
        <v>985</v>
      </c>
      <c r="B785" s="167" t="s">
        <v>1153</v>
      </c>
      <c r="C785" s="87"/>
      <c r="D785" s="84"/>
      <c r="E785" s="87"/>
      <c r="F785" s="84"/>
    </row>
    <row r="786" ht="24" customHeight="1" spans="1:6" x14ac:dyDescent="0.25">
      <c r="A786" s="88" t="s">
        <v>1154</v>
      </c>
      <c r="B786" s="167" t="s">
        <v>1155</v>
      </c>
      <c r="C786" s="87"/>
      <c r="D786" s="84"/>
      <c r="E786" s="87"/>
      <c r="F786" s="84"/>
    </row>
    <row r="787" spans="1:6" x14ac:dyDescent="0.25">
      <c r="A787" s="82"/>
      <c r="B787" s="168"/>
      <c r="C787" s="87"/>
      <c r="D787" s="84"/>
      <c r="E787" s="87"/>
      <c r="F787" s="84"/>
    </row>
    <row r="788" spans="1:6" s="164" customFormat="1" x14ac:dyDescent="0.25">
      <c r="A788" s="88" t="s">
        <v>993</v>
      </c>
      <c r="B788" s="167" t="s">
        <v>994</v>
      </c>
      <c r="C788" s="87"/>
      <c r="D788" s="84"/>
      <c r="E788" s="87"/>
      <c r="F788" s="84"/>
    </row>
    <row r="789" ht="24" customHeight="1" spans="1:6" s="164" customFormat="1" x14ac:dyDescent="0.25">
      <c r="A789" s="88" t="s">
        <v>995</v>
      </c>
      <c r="B789" s="167" t="s">
        <v>996</v>
      </c>
      <c r="C789" s="87"/>
      <c r="D789" s="84"/>
      <c r="E789" s="87"/>
      <c r="F789" s="84"/>
    </row>
    <row r="790" ht="24" customHeight="1" spans="1:6" s="164" customFormat="1" x14ac:dyDescent="0.25">
      <c r="A790" s="88" t="s">
        <v>997</v>
      </c>
      <c r="B790" s="167" t="s">
        <v>998</v>
      </c>
      <c r="C790" s="87"/>
      <c r="D790" s="84"/>
      <c r="E790" s="87"/>
      <c r="F790" s="84"/>
    </row>
    <row r="791" ht="36" customHeight="1" spans="1:6" s="164" customFormat="1" x14ac:dyDescent="0.25">
      <c r="A791" s="88" t="s">
        <v>999</v>
      </c>
      <c r="B791" s="167" t="s">
        <v>1156</v>
      </c>
      <c r="C791" s="87"/>
      <c r="D791" s="84"/>
      <c r="E791" s="87"/>
      <c r="F791" s="84"/>
    </row>
    <row r="792" spans="1:6" x14ac:dyDescent="0.25">
      <c r="A792" s="82"/>
      <c r="B792" s="168"/>
      <c r="C792" s="87"/>
      <c r="D792" s="84"/>
      <c r="E792" s="87"/>
      <c r="F792" s="84"/>
    </row>
    <row r="793" spans="1:6" s="164" customFormat="1" x14ac:dyDescent="0.25">
      <c r="A793" s="88" t="s">
        <v>1007</v>
      </c>
      <c r="B793" s="167" t="s">
        <v>1008</v>
      </c>
      <c r="C793" s="87"/>
      <c r="D793" s="84"/>
      <c r="E793" s="87"/>
      <c r="F793" s="84"/>
    </row>
    <row r="794" ht="24" customHeight="1" spans="1:6" s="164" customFormat="1" x14ac:dyDescent="0.25">
      <c r="A794" s="88" t="s">
        <v>1009</v>
      </c>
      <c r="B794" s="167" t="s">
        <v>1010</v>
      </c>
      <c r="C794" s="87"/>
      <c r="D794" s="84"/>
      <c r="E794" s="87"/>
      <c r="F794" s="84"/>
    </row>
    <row r="795" ht="36" customHeight="1" spans="1:6" s="164" customFormat="1" x14ac:dyDescent="0.25">
      <c r="A795" s="88" t="s">
        <v>1011</v>
      </c>
      <c r="B795" s="167" t="s">
        <v>1012</v>
      </c>
      <c r="C795" s="87"/>
      <c r="D795" s="84"/>
      <c r="E795" s="87"/>
      <c r="F795" s="84"/>
    </row>
    <row r="796" ht="36" customHeight="1" spans="1:6" s="164" customFormat="1" x14ac:dyDescent="0.25">
      <c r="A796" s="88" t="s">
        <v>1013</v>
      </c>
      <c r="B796" s="167" t="s">
        <v>1014</v>
      </c>
      <c r="C796" s="87"/>
      <c r="D796" s="84"/>
      <c r="E796" s="87"/>
      <c r="F796" s="84"/>
    </row>
    <row r="797" ht="24" customHeight="1" spans="1:6" s="164" customFormat="1" x14ac:dyDescent="0.25">
      <c r="A797" s="88" t="s">
        <v>1015</v>
      </c>
      <c r="B797" s="167" t="s">
        <v>1157</v>
      </c>
      <c r="C797" s="87"/>
      <c r="D797" s="84"/>
      <c r="E797" s="87"/>
      <c r="F797" s="84"/>
    </row>
    <row r="798" ht="24" customHeight="1" spans="1:6" s="164" customFormat="1" x14ac:dyDescent="0.25">
      <c r="A798" s="88" t="s">
        <v>1017</v>
      </c>
      <c r="B798" s="167" t="s">
        <v>1158</v>
      </c>
      <c r="C798" s="87"/>
      <c r="D798" s="84"/>
      <c r="E798" s="87"/>
      <c r="F798" s="84"/>
    </row>
    <row r="799" spans="1:6" s="164" customFormat="1" x14ac:dyDescent="0.25">
      <c r="A799" s="88" t="s">
        <v>1159</v>
      </c>
      <c r="B799" s="167" t="s">
        <v>1160</v>
      </c>
      <c r="C799" s="87"/>
      <c r="D799" s="84"/>
      <c r="E799" s="87"/>
      <c r="F799" s="84"/>
    </row>
    <row r="800" spans="1:6" s="164" customFormat="1" x14ac:dyDescent="0.25">
      <c r="A800" s="82"/>
      <c r="B800" s="168"/>
      <c r="C800" s="87"/>
      <c r="D800" s="84"/>
      <c r="E800" s="87"/>
      <c r="F800" s="84"/>
    </row>
    <row r="801" spans="1:6" s="164" customFormat="1" x14ac:dyDescent="0.25">
      <c r="A801" s="88" t="s">
        <v>1161</v>
      </c>
      <c r="B801" s="167" t="s">
        <v>1162</v>
      </c>
      <c r="C801" s="87"/>
      <c r="D801" s="84"/>
      <c r="E801" s="87"/>
      <c r="F801" s="84"/>
    </row>
    <row r="802" ht="12" customHeight="1" spans="1:6" x14ac:dyDescent="0.25">
      <c r="A802" s="82" t="s">
        <v>1163</v>
      </c>
      <c r="B802" s="168" t="s">
        <v>1164</v>
      </c>
      <c r="C802" s="173" t="s">
        <v>1165</v>
      </c>
      <c r="D802" s="173" t="s">
        <v>749</v>
      </c>
      <c r="E802" s="174" t="s">
        <v>750</v>
      </c>
      <c r="F802" s="174" t="s">
        <v>1166</v>
      </c>
    </row>
    <row r="803" spans="1:6" x14ac:dyDescent="0.25">
      <c r="A803" s="82" t="s">
        <v>1167</v>
      </c>
      <c r="B803" s="168" t="s">
        <v>1168</v>
      </c>
      <c r="C803" s="175"/>
      <c r="D803" s="175"/>
      <c r="E803" s="174"/>
      <c r="F803" s="174"/>
    </row>
    <row r="804" spans="1:6" x14ac:dyDescent="0.25">
      <c r="A804" s="82" t="s">
        <v>1169</v>
      </c>
      <c r="B804" s="168" t="s">
        <v>1170</v>
      </c>
      <c r="C804" s="175"/>
      <c r="D804" s="175"/>
      <c r="E804" s="174"/>
      <c r="F804" s="174"/>
    </row>
    <row r="805" spans="1:6" x14ac:dyDescent="0.25">
      <c r="A805" s="82" t="s">
        <v>1171</v>
      </c>
      <c r="B805" s="168" t="s">
        <v>1172</v>
      </c>
      <c r="C805" s="176"/>
      <c r="D805" s="176"/>
      <c r="E805" s="174"/>
      <c r="F805" s="174"/>
    </row>
    <row r="806" spans="1:6" x14ac:dyDescent="0.25">
      <c r="A806" s="82"/>
      <c r="B806" s="168"/>
      <c r="C806" s="87"/>
      <c r="D806" s="84"/>
      <c r="E806" s="87"/>
      <c r="F806" s="84"/>
    </row>
    <row r="807" spans="1:6" s="164" customFormat="1" x14ac:dyDescent="0.25">
      <c r="A807" s="88" t="s">
        <v>1173</v>
      </c>
      <c r="B807" s="167" t="s">
        <v>1174</v>
      </c>
      <c r="C807" s="87"/>
      <c r="D807" s="84"/>
      <c r="E807" s="87"/>
      <c r="F807" s="84"/>
    </row>
    <row r="808" ht="36" customHeight="1" spans="1:6" x14ac:dyDescent="0.25">
      <c r="A808" s="82" t="s">
        <v>58</v>
      </c>
      <c r="B808" s="168" t="s">
        <v>1175</v>
      </c>
      <c r="C808" s="87"/>
      <c r="D808" s="84"/>
      <c r="E808" s="84" t="s">
        <v>1176</v>
      </c>
      <c r="F808" s="84" t="s">
        <v>1177</v>
      </c>
    </row>
    <row r="809" ht="36" customHeight="1" spans="1:6" x14ac:dyDescent="0.25">
      <c r="A809" s="82" t="s">
        <v>64</v>
      </c>
      <c r="B809" s="90" t="s">
        <v>1178</v>
      </c>
      <c r="C809" s="87"/>
      <c r="D809" s="84"/>
      <c r="E809" s="84" t="s">
        <v>1176</v>
      </c>
      <c r="F809" s="84"/>
    </row>
    <row r="810" spans="1:6" x14ac:dyDescent="0.25">
      <c r="A810" s="82" t="s">
        <v>68</v>
      </c>
      <c r="B810" s="168" t="s">
        <v>1179</v>
      </c>
      <c r="C810" s="87"/>
      <c r="D810" s="84"/>
      <c r="E810" s="87" t="s">
        <v>1180</v>
      </c>
      <c r="F810" s="84"/>
    </row>
    <row r="811" ht="36" customHeight="1" spans="1:6" x14ac:dyDescent="0.25">
      <c r="A811" s="82" t="s">
        <v>74</v>
      </c>
      <c r="B811" s="90" t="s">
        <v>1181</v>
      </c>
      <c r="C811" s="87"/>
      <c r="D811" s="84" t="s">
        <v>185</v>
      </c>
      <c r="E811" s="84" t="s">
        <v>1176</v>
      </c>
      <c r="F811" s="84" t="s">
        <v>1182</v>
      </c>
    </row>
    <row r="812" ht="36" customHeight="1" spans="1:6" x14ac:dyDescent="0.25">
      <c r="A812" s="82" t="s">
        <v>80</v>
      </c>
      <c r="B812" s="90" t="s">
        <v>1183</v>
      </c>
      <c r="C812" s="87"/>
      <c r="D812" s="84" t="s">
        <v>185</v>
      </c>
      <c r="E812" s="84" t="s">
        <v>1176</v>
      </c>
      <c r="F812" s="84" t="s">
        <v>1182</v>
      </c>
    </row>
    <row r="813" ht="36" customHeight="1" spans="1:6" x14ac:dyDescent="0.25">
      <c r="A813" s="82" t="s">
        <v>82</v>
      </c>
      <c r="B813" s="90" t="s">
        <v>1184</v>
      </c>
      <c r="C813" s="87"/>
      <c r="D813" s="84" t="s">
        <v>185</v>
      </c>
      <c r="E813" s="84" t="s">
        <v>1176</v>
      </c>
      <c r="F813" s="84" t="s">
        <v>1182</v>
      </c>
    </row>
    <row r="814" ht="36" customHeight="1" spans="1:6" x14ac:dyDescent="0.25">
      <c r="A814" s="82" t="s">
        <v>121</v>
      </c>
      <c r="B814" s="90" t="s">
        <v>1185</v>
      </c>
      <c r="C814" s="87"/>
      <c r="D814" s="84" t="s">
        <v>185</v>
      </c>
      <c r="E814" s="84" t="s">
        <v>1176</v>
      </c>
      <c r="F814" s="84" t="s">
        <v>1182</v>
      </c>
    </row>
    <row r="815" ht="36" customHeight="1" spans="1:6" x14ac:dyDescent="0.25">
      <c r="A815" s="82" t="s">
        <v>144</v>
      </c>
      <c r="B815" s="90" t="s">
        <v>1186</v>
      </c>
      <c r="C815" s="87"/>
      <c r="D815" s="84" t="s">
        <v>185</v>
      </c>
      <c r="E815" s="84" t="s">
        <v>1176</v>
      </c>
      <c r="F815" s="84" t="s">
        <v>1182</v>
      </c>
    </row>
    <row r="816" ht="36" customHeight="1" spans="1:6" x14ac:dyDescent="0.25">
      <c r="A816" s="82" t="s">
        <v>146</v>
      </c>
      <c r="B816" s="90" t="s">
        <v>1187</v>
      </c>
      <c r="C816" s="87"/>
      <c r="D816" s="84" t="s">
        <v>185</v>
      </c>
      <c r="E816" s="84" t="s">
        <v>1176</v>
      </c>
      <c r="F816" s="84" t="s">
        <v>1182</v>
      </c>
    </row>
    <row r="817" ht="36" customHeight="1" spans="1:6" x14ac:dyDescent="0.25">
      <c r="A817" s="82" t="s">
        <v>148</v>
      </c>
      <c r="B817" s="90" t="s">
        <v>1188</v>
      </c>
      <c r="C817" s="87"/>
      <c r="D817" s="84" t="s">
        <v>185</v>
      </c>
      <c r="E817" s="84" t="s">
        <v>1176</v>
      </c>
      <c r="F817" s="84" t="s">
        <v>1182</v>
      </c>
    </row>
    <row r="818" ht="36" customHeight="1" spans="1:6" x14ac:dyDescent="0.25">
      <c r="A818" s="82" t="s">
        <v>150</v>
      </c>
      <c r="B818" s="90" t="s">
        <v>1189</v>
      </c>
      <c r="C818" s="87"/>
      <c r="D818" s="84" t="s">
        <v>185</v>
      </c>
      <c r="E818" s="84" t="s">
        <v>1176</v>
      </c>
      <c r="F818" s="84" t="s">
        <v>1182</v>
      </c>
    </row>
    <row r="819" ht="36" customHeight="1" spans="1:6" x14ac:dyDescent="0.25">
      <c r="A819" s="82" t="s">
        <v>152</v>
      </c>
      <c r="B819" s="90" t="s">
        <v>1190</v>
      </c>
      <c r="C819" s="87"/>
      <c r="D819" s="84" t="s">
        <v>185</v>
      </c>
      <c r="E819" s="84" t="s">
        <v>1176</v>
      </c>
      <c r="F819" s="84" t="s">
        <v>1182</v>
      </c>
    </row>
    <row r="820" ht="36" customHeight="1" spans="1:6" x14ac:dyDescent="0.25">
      <c r="A820" s="82" t="s">
        <v>155</v>
      </c>
      <c r="B820" s="90" t="s">
        <v>1191</v>
      </c>
      <c r="C820" s="87"/>
      <c r="D820" s="84" t="s">
        <v>185</v>
      </c>
      <c r="E820" s="84" t="s">
        <v>1176</v>
      </c>
      <c r="F820" s="84" t="s">
        <v>1182</v>
      </c>
    </row>
    <row r="821" spans="1:6" x14ac:dyDescent="0.25">
      <c r="A821" s="82" t="s">
        <v>158</v>
      </c>
      <c r="B821" s="167" t="s">
        <v>1192</v>
      </c>
      <c r="C821" s="87"/>
      <c r="D821" s="84"/>
      <c r="E821" s="87"/>
      <c r="F821" s="84"/>
    </row>
    <row r="822" spans="1:6" x14ac:dyDescent="0.25">
      <c r="A822" s="82" t="s">
        <v>160</v>
      </c>
      <c r="B822" s="167" t="s">
        <v>1193</v>
      </c>
      <c r="C822" s="87"/>
      <c r="D822" s="84"/>
      <c r="E822" s="87"/>
      <c r="F822" s="84"/>
    </row>
    <row r="823" spans="1:6" x14ac:dyDescent="0.25">
      <c r="A823" s="82"/>
      <c r="B823" s="168"/>
      <c r="C823" s="87"/>
      <c r="D823" s="84"/>
      <c r="E823" s="87"/>
      <c r="F823" s="84"/>
    </row>
    <row r="824" spans="1:6" s="164" customFormat="1" x14ac:dyDescent="0.25">
      <c r="A824" s="88" t="s">
        <v>1194</v>
      </c>
      <c r="B824" s="167" t="s">
        <v>1195</v>
      </c>
      <c r="C824" s="87"/>
      <c r="D824" s="84"/>
      <c r="E824" s="87"/>
      <c r="F824" s="84"/>
    </row>
    <row r="825" ht="24" customHeight="1" spans="1:6" s="164" customFormat="1" x14ac:dyDescent="0.25">
      <c r="A825" s="88" t="s">
        <v>1196</v>
      </c>
      <c r="B825" s="167" t="s">
        <v>1197</v>
      </c>
      <c r="C825" s="87"/>
      <c r="D825" s="84"/>
      <c r="E825" s="87"/>
      <c r="F825" s="84"/>
    </row>
    <row r="826" ht="36" customHeight="1" spans="1:6" x14ac:dyDescent="0.25">
      <c r="A826" s="82" t="s">
        <v>1198</v>
      </c>
      <c r="B826" s="168" t="s">
        <v>1199</v>
      </c>
      <c r="C826" s="84" t="s">
        <v>1200</v>
      </c>
      <c r="D826" s="84" t="s">
        <v>1201</v>
      </c>
      <c r="E826" s="84" t="s">
        <v>1202</v>
      </c>
      <c r="F826" s="84" t="s">
        <v>1203</v>
      </c>
    </row>
    <row r="827" ht="36" customHeight="1" spans="1:6" x14ac:dyDescent="0.25">
      <c r="A827" s="82" t="s">
        <v>1204</v>
      </c>
      <c r="B827" s="168" t="s">
        <v>1205</v>
      </c>
      <c r="C827" s="84" t="s">
        <v>1200</v>
      </c>
      <c r="D827" s="84" t="s">
        <v>1201</v>
      </c>
      <c r="E827" s="84" t="s">
        <v>1206</v>
      </c>
      <c r="F827" s="84" t="s">
        <v>1207</v>
      </c>
    </row>
    <row r="828" spans="1:6" s="164" customFormat="1" x14ac:dyDescent="0.25">
      <c r="A828" s="88" t="s">
        <v>1208</v>
      </c>
      <c r="B828" s="167" t="s">
        <v>1209</v>
      </c>
      <c r="C828" s="87"/>
      <c r="D828" s="84"/>
      <c r="E828" s="87"/>
      <c r="F828" s="84"/>
    </row>
    <row r="829" ht="36" customHeight="1" spans="1:6" x14ac:dyDescent="0.25">
      <c r="A829" s="82" t="s">
        <v>306</v>
      </c>
      <c r="B829" s="168" t="s">
        <v>1210</v>
      </c>
      <c r="C829" s="87" t="s">
        <v>1211</v>
      </c>
      <c r="D829" s="84" t="s">
        <v>502</v>
      </c>
      <c r="E829" s="86" t="s">
        <v>1212</v>
      </c>
      <c r="F829" s="84"/>
    </row>
    <row r="830" ht="48" customHeight="1" spans="1:6" x14ac:dyDescent="0.25">
      <c r="A830" s="82" t="s">
        <v>308</v>
      </c>
      <c r="B830" s="168" t="s">
        <v>1213</v>
      </c>
      <c r="C830" s="87"/>
      <c r="D830" s="84" t="s">
        <v>502</v>
      </c>
      <c r="E830" s="86"/>
      <c r="F830" s="84"/>
    </row>
    <row r="831" ht="48" customHeight="1" spans="1:6" x14ac:dyDescent="0.25">
      <c r="A831" s="82" t="s">
        <v>310</v>
      </c>
      <c r="B831" s="168" t="s">
        <v>1214</v>
      </c>
      <c r="C831" s="87"/>
      <c r="D831" s="84" t="s">
        <v>502</v>
      </c>
      <c r="E831" s="86"/>
      <c r="F831" s="84"/>
    </row>
    <row r="832" spans="1:6" s="164" customFormat="1" x14ac:dyDescent="0.25">
      <c r="A832" s="88" t="s">
        <v>1215</v>
      </c>
      <c r="B832" s="167" t="s">
        <v>1216</v>
      </c>
      <c r="C832" s="87"/>
      <c r="D832" s="84"/>
      <c r="E832" s="87"/>
      <c r="F832" s="84"/>
    </row>
    <row r="833" ht="36" customHeight="1" spans="1:6" x14ac:dyDescent="0.25">
      <c r="A833" s="82" t="s">
        <v>306</v>
      </c>
      <c r="B833" s="168" t="s">
        <v>1217</v>
      </c>
      <c r="C833" s="84" t="s">
        <v>1200</v>
      </c>
      <c r="D833" s="84" t="s">
        <v>185</v>
      </c>
      <c r="E833" s="84" t="s">
        <v>1218</v>
      </c>
      <c r="F833" s="84" t="s">
        <v>1219</v>
      </c>
    </row>
    <row r="834" ht="36" customHeight="1" spans="1:6" x14ac:dyDescent="0.25">
      <c r="A834" s="82" t="s">
        <v>308</v>
      </c>
      <c r="B834" s="168" t="s">
        <v>1220</v>
      </c>
      <c r="C834" s="87" t="s">
        <v>1200</v>
      </c>
      <c r="D834" s="84" t="s">
        <v>185</v>
      </c>
      <c r="E834" s="84" t="s">
        <v>1221</v>
      </c>
      <c r="F834" s="84" t="s">
        <v>1207</v>
      </c>
    </row>
    <row r="835" spans="1:6" s="164" customFormat="1" x14ac:dyDescent="0.25">
      <c r="A835" s="88" t="s">
        <v>1222</v>
      </c>
      <c r="B835" s="167" t="s">
        <v>1223</v>
      </c>
      <c r="C835" s="87"/>
      <c r="D835" s="84"/>
      <c r="E835" s="87"/>
      <c r="F835" s="84"/>
    </row>
    <row r="836" ht="48" customHeight="1" spans="1:6" x14ac:dyDescent="0.25">
      <c r="A836" s="177" t="s">
        <v>306</v>
      </c>
      <c r="B836" s="168" t="s">
        <v>1224</v>
      </c>
      <c r="C836" s="87"/>
      <c r="D836" s="84" t="s">
        <v>185</v>
      </c>
      <c r="E836" s="86" t="s">
        <v>1225</v>
      </c>
      <c r="F836" s="84" t="s">
        <v>1226</v>
      </c>
    </row>
    <row r="837" ht="48" customHeight="1" spans="1:6" x14ac:dyDescent="0.25">
      <c r="A837" s="177" t="s">
        <v>308</v>
      </c>
      <c r="B837" s="168" t="s">
        <v>1227</v>
      </c>
      <c r="C837" s="87"/>
      <c r="D837" s="84" t="s">
        <v>185</v>
      </c>
      <c r="E837" s="86" t="s">
        <v>1228</v>
      </c>
      <c r="F837" s="84" t="s">
        <v>1229</v>
      </c>
    </row>
    <row r="838" ht="36" customHeight="1" spans="1:6" x14ac:dyDescent="0.25">
      <c r="A838" s="177" t="s">
        <v>310</v>
      </c>
      <c r="B838" s="168" t="s">
        <v>1230</v>
      </c>
      <c r="C838" s="87"/>
      <c r="D838" s="84" t="s">
        <v>185</v>
      </c>
      <c r="E838" s="86" t="s">
        <v>1231</v>
      </c>
      <c r="F838" s="84" t="s">
        <v>1232</v>
      </c>
    </row>
    <row r="839" ht="36" customHeight="1" spans="1:6" x14ac:dyDescent="0.25">
      <c r="A839" s="177" t="s">
        <v>312</v>
      </c>
      <c r="B839" s="168" t="s">
        <v>1233</v>
      </c>
      <c r="C839" s="87"/>
      <c r="D839" s="84" t="s">
        <v>185</v>
      </c>
      <c r="E839" s="86" t="s">
        <v>1231</v>
      </c>
      <c r="F839" s="84" t="s">
        <v>1234</v>
      </c>
    </row>
    <row r="840" ht="24" customHeight="1" spans="1:6" x14ac:dyDescent="0.25">
      <c r="A840" s="177" t="s">
        <v>314</v>
      </c>
      <c r="B840" s="168" t="s">
        <v>1235</v>
      </c>
      <c r="C840" s="87"/>
      <c r="D840" s="84"/>
      <c r="E840" s="86" t="s">
        <v>1236</v>
      </c>
      <c r="F840" s="84" t="s">
        <v>1237</v>
      </c>
    </row>
    <row r="841" ht="48" customHeight="1" spans="1:6" x14ac:dyDescent="0.25">
      <c r="A841" s="177" t="s">
        <v>316</v>
      </c>
      <c r="B841" s="168" t="s">
        <v>1238</v>
      </c>
      <c r="C841" s="87"/>
      <c r="D841" s="84" t="s">
        <v>185</v>
      </c>
      <c r="E841" s="86" t="s">
        <v>1239</v>
      </c>
      <c r="F841" s="84" t="s">
        <v>1226</v>
      </c>
    </row>
    <row r="842" ht="48" customHeight="1" spans="1:6" x14ac:dyDescent="0.25">
      <c r="A842" s="177" t="s">
        <v>318</v>
      </c>
      <c r="B842" s="168" t="s">
        <v>1240</v>
      </c>
      <c r="C842" s="87"/>
      <c r="D842" s="84" t="s">
        <v>185</v>
      </c>
      <c r="E842" s="86" t="s">
        <v>1241</v>
      </c>
      <c r="F842" s="84" t="s">
        <v>1229</v>
      </c>
    </row>
    <row r="843" ht="24" customHeight="1" spans="1:6" x14ac:dyDescent="0.25">
      <c r="A843" s="177" t="s">
        <v>478</v>
      </c>
      <c r="B843" s="168" t="s">
        <v>1242</v>
      </c>
      <c r="C843" s="87"/>
      <c r="D843" s="84" t="s">
        <v>185</v>
      </c>
      <c r="E843" s="86" t="s">
        <v>1236</v>
      </c>
      <c r="F843" s="84" t="s">
        <v>1229</v>
      </c>
    </row>
    <row r="844" ht="24" customHeight="1" spans="1:6" x14ac:dyDescent="0.25">
      <c r="A844" s="178" t="s">
        <v>481</v>
      </c>
      <c r="B844" s="168" t="s">
        <v>1243</v>
      </c>
      <c r="C844" s="87"/>
      <c r="D844" s="84" t="s">
        <v>185</v>
      </c>
      <c r="E844" s="86" t="s">
        <v>1236</v>
      </c>
      <c r="F844" s="84" t="s">
        <v>1244</v>
      </c>
    </row>
    <row r="845" ht="24" customHeight="1" spans="1:6" x14ac:dyDescent="0.25">
      <c r="A845" s="177" t="s">
        <v>483</v>
      </c>
      <c r="B845" s="168" t="s">
        <v>1245</v>
      </c>
      <c r="C845" s="87"/>
      <c r="D845" s="84"/>
      <c r="E845" s="86" t="s">
        <v>1236</v>
      </c>
      <c r="F845" s="162"/>
    </row>
    <row r="846" spans="1:6" s="164" customFormat="1" x14ac:dyDescent="0.25">
      <c r="A846" s="88" t="s">
        <v>1246</v>
      </c>
      <c r="B846" s="167" t="s">
        <v>1247</v>
      </c>
      <c r="C846" s="87"/>
      <c r="D846" s="84"/>
      <c r="E846" s="87"/>
      <c r="F846" s="84"/>
    </row>
    <row r="847" ht="48" customHeight="1" spans="1:6" x14ac:dyDescent="0.25">
      <c r="A847" s="82" t="s">
        <v>306</v>
      </c>
      <c r="B847" s="168" t="s">
        <v>1248</v>
      </c>
      <c r="C847" s="86" t="s">
        <v>1249</v>
      </c>
      <c r="D847" s="86"/>
      <c r="E847" s="86" t="s">
        <v>1250</v>
      </c>
      <c r="F847" s="84" t="s">
        <v>1226</v>
      </c>
    </row>
    <row r="848" ht="60" customHeight="1" spans="1:6" x14ac:dyDescent="0.25">
      <c r="A848" s="82" t="s">
        <v>308</v>
      </c>
      <c r="B848" s="168" t="s">
        <v>1251</v>
      </c>
      <c r="C848" s="86"/>
      <c r="D848" s="86"/>
      <c r="E848" s="86" t="s">
        <v>1252</v>
      </c>
      <c r="F848" s="84" t="s">
        <v>1229</v>
      </c>
    </row>
    <row r="849" spans="1:6" x14ac:dyDescent="0.25">
      <c r="A849" s="82"/>
      <c r="B849" s="168"/>
      <c r="C849" s="87"/>
      <c r="D849" s="84"/>
      <c r="E849" s="87"/>
      <c r="F849" s="84"/>
    </row>
    <row r="850" spans="1:6" s="164" customFormat="1" x14ac:dyDescent="0.25">
      <c r="A850" s="88" t="s">
        <v>1253</v>
      </c>
      <c r="B850" s="167" t="s">
        <v>1254</v>
      </c>
      <c r="C850" s="87"/>
      <c r="D850" s="84"/>
      <c r="E850" s="87"/>
      <c r="F850" s="84"/>
    </row>
    <row r="851" ht="15" customHeight="1" spans="1:6" x14ac:dyDescent="0.25">
      <c r="A851" s="82" t="s">
        <v>306</v>
      </c>
      <c r="B851" s="168" t="s">
        <v>1255</v>
      </c>
      <c r="C851" s="86"/>
      <c r="D851" s="86"/>
      <c r="E851" s="179" t="s">
        <v>1256</v>
      </c>
      <c r="F851" s="162"/>
    </row>
    <row r="852" ht="24" customHeight="1" spans="1:6" x14ac:dyDescent="0.25">
      <c r="A852" s="82" t="s">
        <v>308</v>
      </c>
      <c r="B852" s="168" t="s">
        <v>1257</v>
      </c>
      <c r="C852" s="86"/>
      <c r="D852" s="86"/>
      <c r="E852" s="179"/>
      <c r="F852" s="162"/>
    </row>
    <row r="853" ht="24" customHeight="1" spans="1:6" x14ac:dyDescent="0.25">
      <c r="A853" s="82" t="s">
        <v>310</v>
      </c>
      <c r="B853" s="168" t="s">
        <v>1258</v>
      </c>
      <c r="C853" s="86"/>
      <c r="D853" s="86"/>
      <c r="E853" s="179"/>
      <c r="F853" s="162"/>
    </row>
    <row r="854" ht="24" customHeight="1" spans="1:6" x14ac:dyDescent="0.25">
      <c r="A854" s="82" t="s">
        <v>312</v>
      </c>
      <c r="B854" s="168" t="s">
        <v>1259</v>
      </c>
      <c r="C854" s="86"/>
      <c r="D854" s="86"/>
      <c r="E854" s="179"/>
      <c r="F854" s="162"/>
    </row>
    <row r="855" ht="24" customHeight="1" spans="1:6" x14ac:dyDescent="0.25">
      <c r="A855" s="82" t="s">
        <v>314</v>
      </c>
      <c r="B855" s="168" t="s">
        <v>1260</v>
      </c>
      <c r="C855" s="86"/>
      <c r="D855" s="86"/>
      <c r="E855" s="179"/>
      <c r="F855" s="162"/>
    </row>
    <row r="856" ht="24" customHeight="1" spans="1:6" x14ac:dyDescent="0.25">
      <c r="A856" s="82" t="s">
        <v>318</v>
      </c>
      <c r="B856" s="168" t="s">
        <v>1261</v>
      </c>
      <c r="C856" s="86"/>
      <c r="D856" s="86"/>
      <c r="E856" s="179"/>
      <c r="F856" s="162"/>
    </row>
    <row r="857" ht="24" customHeight="1" spans="1:6" x14ac:dyDescent="0.25">
      <c r="A857" s="82" t="s">
        <v>478</v>
      </c>
      <c r="B857" s="168" t="s">
        <v>1262</v>
      </c>
      <c r="C857" s="86"/>
      <c r="D857" s="86"/>
      <c r="E857" s="179"/>
      <c r="F857" s="162"/>
    </row>
    <row r="858" ht="24" customHeight="1" spans="1:6" x14ac:dyDescent="0.25">
      <c r="A858" s="82" t="s">
        <v>481</v>
      </c>
      <c r="B858" s="168" t="s">
        <v>1263</v>
      </c>
      <c r="C858" s="86"/>
      <c r="D858" s="86"/>
      <c r="E858" s="179"/>
      <c r="F858" s="162"/>
    </row>
    <row r="859" spans="1:6" x14ac:dyDescent="0.25">
      <c r="A859" s="82"/>
      <c r="B859" s="168"/>
      <c r="C859" s="86"/>
      <c r="D859" s="86"/>
      <c r="E859" s="179"/>
      <c r="F859" s="162"/>
    </row>
    <row r="860" spans="1:6" x14ac:dyDescent="0.25">
      <c r="A860" s="180" t="s">
        <v>1264</v>
      </c>
      <c r="B860" s="81" t="s">
        <v>1265</v>
      </c>
      <c r="C860" s="86"/>
      <c r="D860" s="86"/>
      <c r="E860" s="179"/>
      <c r="F860" s="162"/>
    </row>
    <row r="861" ht="24" customHeight="1" spans="1:6" x14ac:dyDescent="0.25">
      <c r="A861" s="103" t="s">
        <v>306</v>
      </c>
      <c r="B861" s="181" t="s">
        <v>1266</v>
      </c>
      <c r="C861" s="86" t="s">
        <v>1267</v>
      </c>
      <c r="D861" s="86"/>
      <c r="E861" s="179"/>
      <c r="F861" s="162"/>
    </row>
    <row r="862" spans="1:6" x14ac:dyDescent="0.25">
      <c r="A862" s="109" t="s">
        <v>308</v>
      </c>
      <c r="B862" s="83" t="s">
        <v>1268</v>
      </c>
      <c r="C862" s="86"/>
      <c r="D862" s="86"/>
      <c r="E862" s="179"/>
      <c r="F862" s="162"/>
    </row>
    <row r="863" ht="33.65" customHeight="1" spans="1:6" x14ac:dyDescent="0.25">
      <c r="A863" s="109" t="s">
        <v>103</v>
      </c>
      <c r="B863" s="83" t="s">
        <v>1269</v>
      </c>
      <c r="C863" s="86" t="s">
        <v>1267</v>
      </c>
      <c r="D863" s="86"/>
      <c r="E863" s="179"/>
      <c r="F863" s="162"/>
    </row>
    <row r="864" spans="1:6" x14ac:dyDescent="0.25">
      <c r="A864" s="103" t="s">
        <v>1270</v>
      </c>
      <c r="B864" s="181" t="s">
        <v>1271</v>
      </c>
      <c r="C864" s="181"/>
      <c r="D864" s="86"/>
      <c r="E864" s="179"/>
      <c r="F864" s="162"/>
    </row>
    <row r="865" spans="1:6" x14ac:dyDescent="0.25">
      <c r="A865" s="103" t="s">
        <v>1272</v>
      </c>
      <c r="B865" s="181" t="s">
        <v>1273</v>
      </c>
      <c r="C865" s="86"/>
      <c r="D865" s="86"/>
      <c r="E865" s="179"/>
      <c r="F865" s="162"/>
    </row>
    <row r="866" spans="1:6" x14ac:dyDescent="0.25">
      <c r="A866" s="103" t="s">
        <v>1274</v>
      </c>
      <c r="B866" s="181" t="s">
        <v>1275</v>
      </c>
      <c r="C866" s="86"/>
      <c r="D866" s="86"/>
      <c r="E866" s="179"/>
      <c r="F866" s="162"/>
    </row>
    <row r="867" spans="1:6" x14ac:dyDescent="0.25">
      <c r="A867" s="103" t="s">
        <v>1276</v>
      </c>
      <c r="B867" s="181" t="s">
        <v>1277</v>
      </c>
      <c r="C867" s="86"/>
      <c r="D867" s="86"/>
      <c r="E867" s="179"/>
      <c r="F867" s="162"/>
    </row>
    <row r="868" ht="24" customHeight="1" spans="1:6" x14ac:dyDescent="0.25">
      <c r="A868" s="109" t="s">
        <v>125</v>
      </c>
      <c r="B868" s="83" t="s">
        <v>1278</v>
      </c>
      <c r="C868" s="86" t="s">
        <v>1267</v>
      </c>
      <c r="D868" s="86"/>
      <c r="E868" s="179"/>
      <c r="F868" s="162"/>
    </row>
    <row r="869" spans="1:6" x14ac:dyDescent="0.25">
      <c r="A869" s="109" t="s">
        <v>182</v>
      </c>
      <c r="B869" s="83" t="s">
        <v>1279</v>
      </c>
      <c r="C869" s="86"/>
      <c r="D869" s="86"/>
      <c r="E869" s="179"/>
      <c r="F869" s="162"/>
    </row>
    <row r="870" spans="1:6" x14ac:dyDescent="0.25">
      <c r="A870" s="103" t="s">
        <v>310</v>
      </c>
      <c r="B870" s="90" t="s">
        <v>1280</v>
      </c>
      <c r="C870" s="86"/>
      <c r="D870" s="86"/>
      <c r="E870" s="179"/>
      <c r="F870" s="162"/>
    </row>
    <row r="871" spans="1:6" x14ac:dyDescent="0.25">
      <c r="A871" s="82"/>
      <c r="B871" s="168"/>
      <c r="C871" s="86"/>
      <c r="D871" s="86"/>
      <c r="E871" s="179"/>
      <c r="F871" s="162"/>
    </row>
    <row r="872" spans="1:6" s="164" customFormat="1" x14ac:dyDescent="0.25">
      <c r="A872" s="88" t="s">
        <v>1281</v>
      </c>
      <c r="B872" s="167" t="s">
        <v>1282</v>
      </c>
      <c r="C872" s="87"/>
      <c r="D872" s="84"/>
      <c r="E872" s="87"/>
      <c r="F872" s="84"/>
    </row>
    <row r="873" spans="1:6" x14ac:dyDescent="0.25">
      <c r="A873" s="82" t="s">
        <v>306</v>
      </c>
      <c r="B873" s="168" t="s">
        <v>1283</v>
      </c>
      <c r="C873" s="87"/>
      <c r="D873" s="84"/>
      <c r="E873" s="87"/>
      <c r="F873" s="84"/>
    </row>
    <row r="874" spans="1:6" x14ac:dyDescent="0.25">
      <c r="A874" s="82"/>
      <c r="B874" s="168"/>
      <c r="C874" s="87"/>
      <c r="D874" s="84"/>
      <c r="E874" s="87"/>
      <c r="F874" s="84"/>
    </row>
    <row r="875" spans="1:6" x14ac:dyDescent="0.25">
      <c r="A875" s="182" t="s">
        <v>1284</v>
      </c>
      <c r="B875" s="183" t="s">
        <v>1285</v>
      </c>
      <c r="C875" s="184"/>
      <c r="D875" s="184"/>
      <c r="E875" s="184"/>
      <c r="F875" s="185"/>
    </row>
    <row r="876" spans="1:6" x14ac:dyDescent="0.25">
      <c r="A876" s="80" t="s">
        <v>103</v>
      </c>
      <c r="B876" s="186" t="s">
        <v>1286</v>
      </c>
      <c r="C876" s="187"/>
      <c r="D876" s="188"/>
      <c r="E876" s="84"/>
      <c r="F876" s="84"/>
    </row>
    <row r="877" spans="1:6" x14ac:dyDescent="0.25">
      <c r="A877" s="88"/>
      <c r="B877" s="91" t="s">
        <v>271</v>
      </c>
      <c r="C877" s="87"/>
      <c r="D877" s="84"/>
      <c r="E877" s="84"/>
      <c r="F877" s="84"/>
    </row>
    <row r="878" ht="36" customHeight="1" spans="1:6" x14ac:dyDescent="0.25">
      <c r="A878" s="82" t="s">
        <v>306</v>
      </c>
      <c r="B878" s="85" t="s">
        <v>92</v>
      </c>
      <c r="C878" s="84" t="s">
        <v>93</v>
      </c>
      <c r="D878" s="84" t="s">
        <v>71</v>
      </c>
      <c r="E878" s="84" t="s">
        <v>78</v>
      </c>
      <c r="F878" s="84" t="s">
        <v>94</v>
      </c>
    </row>
    <row r="879" ht="48" customHeight="1" spans="1:6" x14ac:dyDescent="0.25">
      <c r="A879" s="82" t="s">
        <v>308</v>
      </c>
      <c r="B879" s="85" t="s">
        <v>1287</v>
      </c>
      <c r="C879" s="84" t="s">
        <v>1288</v>
      </c>
      <c r="D879" s="84" t="s">
        <v>185</v>
      </c>
      <c r="E879" s="84" t="s">
        <v>1289</v>
      </c>
      <c r="F879" s="84" t="s">
        <v>1290</v>
      </c>
    </row>
    <row r="880" ht="36" customHeight="1" spans="1:6" x14ac:dyDescent="0.25">
      <c r="A880" s="103" t="s">
        <v>310</v>
      </c>
      <c r="B880" s="85" t="s">
        <v>1291</v>
      </c>
      <c r="C880" s="189" t="s">
        <v>1292</v>
      </c>
      <c r="D880" s="189" t="s">
        <v>1293</v>
      </c>
      <c r="E880" s="115" t="s">
        <v>1294</v>
      </c>
      <c r="F880" s="115" t="s">
        <v>1295</v>
      </c>
    </row>
    <row r="881" ht="36" customHeight="1" spans="1:6" x14ac:dyDescent="0.25">
      <c r="A881" s="103" t="s">
        <v>312</v>
      </c>
      <c r="B881" s="85" t="s">
        <v>1296</v>
      </c>
      <c r="C881" s="189" t="s">
        <v>1297</v>
      </c>
      <c r="D881" s="189" t="s">
        <v>1293</v>
      </c>
      <c r="E881" s="115" t="s">
        <v>1298</v>
      </c>
      <c r="F881" s="115" t="s">
        <v>1295</v>
      </c>
    </row>
    <row r="882" spans="1:6" x14ac:dyDescent="0.25">
      <c r="A882" s="80" t="s">
        <v>125</v>
      </c>
      <c r="B882" s="186" t="s">
        <v>1299</v>
      </c>
      <c r="C882" s="187"/>
      <c r="D882" s="188"/>
      <c r="E882" s="84"/>
      <c r="F882" s="84"/>
    </row>
    <row r="883" ht="24" customHeight="1" spans="1:6" x14ac:dyDescent="0.25">
      <c r="A883" s="103" t="s">
        <v>306</v>
      </c>
      <c r="B883" s="85" t="s">
        <v>1300</v>
      </c>
      <c r="C883" s="189"/>
      <c r="D883" s="189" t="s">
        <v>1301</v>
      </c>
      <c r="E883" s="84" t="s">
        <v>1302</v>
      </c>
      <c r="F883" s="84" t="s">
        <v>1303</v>
      </c>
    </row>
    <row r="884" ht="24" customHeight="1" spans="1:6" x14ac:dyDescent="0.25">
      <c r="A884" s="103" t="s">
        <v>308</v>
      </c>
      <c r="B884" s="85" t="s">
        <v>1304</v>
      </c>
      <c r="C884" s="189"/>
      <c r="D884" s="189" t="s">
        <v>1301</v>
      </c>
      <c r="E884" s="84" t="s">
        <v>1302</v>
      </c>
      <c r="F884" s="84" t="s">
        <v>1303</v>
      </c>
    </row>
    <row r="885" ht="36" customHeight="1" spans="1:6" x14ac:dyDescent="0.25">
      <c r="A885" s="103" t="s">
        <v>310</v>
      </c>
      <c r="B885" s="85" t="s">
        <v>1305</v>
      </c>
      <c r="C885" s="189"/>
      <c r="D885" s="189" t="s">
        <v>1301</v>
      </c>
      <c r="E885" s="84" t="s">
        <v>1289</v>
      </c>
      <c r="F885" s="84" t="s">
        <v>247</v>
      </c>
    </row>
    <row r="886" ht="36" customHeight="1" spans="1:6" x14ac:dyDescent="0.25">
      <c r="A886" s="103" t="s">
        <v>314</v>
      </c>
      <c r="B886" s="85" t="s">
        <v>1306</v>
      </c>
      <c r="C886" s="189" t="s">
        <v>1307</v>
      </c>
      <c r="D886" s="189" t="s">
        <v>1293</v>
      </c>
      <c r="E886" s="115" t="s">
        <v>1308</v>
      </c>
      <c r="F886" s="115" t="s">
        <v>1295</v>
      </c>
    </row>
    <row r="887" ht="36" customHeight="1" spans="1:6" x14ac:dyDescent="0.25">
      <c r="A887" s="103" t="s">
        <v>316</v>
      </c>
      <c r="B887" s="85" t="s">
        <v>1309</v>
      </c>
      <c r="C887" s="189" t="s">
        <v>1310</v>
      </c>
      <c r="D887" s="189" t="s">
        <v>1293</v>
      </c>
      <c r="E887" s="115" t="s">
        <v>1311</v>
      </c>
      <c r="F887" s="115"/>
    </row>
    <row r="888" spans="1:6" x14ac:dyDescent="0.25">
      <c r="A888" s="80" t="s">
        <v>182</v>
      </c>
      <c r="B888" s="186" t="s">
        <v>1312</v>
      </c>
      <c r="C888" s="187"/>
      <c r="D888" s="188"/>
      <c r="E888" s="84"/>
      <c r="F888" s="84"/>
    </row>
    <row r="889" ht="24" customHeight="1" spans="1:6" x14ac:dyDescent="0.25">
      <c r="A889" s="103" t="s">
        <v>306</v>
      </c>
      <c r="B889" s="85" t="s">
        <v>1313</v>
      </c>
      <c r="C889" s="84" t="s">
        <v>1314</v>
      </c>
      <c r="D889" s="189" t="s">
        <v>1315</v>
      </c>
      <c r="E889" s="84" t="s">
        <v>293</v>
      </c>
      <c r="F889" s="115" t="s">
        <v>1316</v>
      </c>
    </row>
    <row r="890" ht="36" customHeight="1" spans="1:6" x14ac:dyDescent="0.25">
      <c r="A890" s="103" t="s">
        <v>310</v>
      </c>
      <c r="B890" s="85" t="s">
        <v>1317</v>
      </c>
      <c r="C890" s="189" t="s">
        <v>1318</v>
      </c>
      <c r="D890" s="189" t="s">
        <v>1293</v>
      </c>
      <c r="E890" s="115" t="s">
        <v>1294</v>
      </c>
      <c r="F890" s="115" t="s">
        <v>1295</v>
      </c>
    </row>
    <row r="891" ht="36" customHeight="1" spans="1:6" x14ac:dyDescent="0.25">
      <c r="A891" s="103" t="s">
        <v>312</v>
      </c>
      <c r="B891" s="85" t="s">
        <v>1319</v>
      </c>
      <c r="C891" s="189" t="s">
        <v>1320</v>
      </c>
      <c r="D891" s="189" t="s">
        <v>1293</v>
      </c>
      <c r="E891" s="115" t="s">
        <v>1298</v>
      </c>
      <c r="F891" s="115" t="s">
        <v>1295</v>
      </c>
    </row>
    <row r="892" spans="1:6" x14ac:dyDescent="0.25">
      <c r="A892" s="80" t="s">
        <v>322</v>
      </c>
      <c r="B892" s="186" t="s">
        <v>1321</v>
      </c>
      <c r="C892" s="187"/>
      <c r="D892" s="188"/>
      <c r="E892" s="84"/>
      <c r="F892" s="84"/>
    </row>
    <row r="893" spans="1:6" x14ac:dyDescent="0.25">
      <c r="A893" s="82" t="s">
        <v>306</v>
      </c>
      <c r="B893" s="85" t="s">
        <v>1322</v>
      </c>
      <c r="C893" s="87"/>
      <c r="D893" s="84"/>
      <c r="E893" s="84" t="s">
        <v>1323</v>
      </c>
      <c r="F893" s="84"/>
    </row>
    <row r="894" ht="24" customHeight="1" spans="1:6" x14ac:dyDescent="0.25">
      <c r="A894" s="82" t="s">
        <v>312</v>
      </c>
      <c r="B894" s="85" t="s">
        <v>1324</v>
      </c>
      <c r="C894" s="87"/>
      <c r="D894" s="84"/>
      <c r="E894" s="84" t="s">
        <v>300</v>
      </c>
      <c r="F894" s="84"/>
    </row>
    <row r="895" ht="24" customHeight="1" spans="1:6" x14ac:dyDescent="0.25">
      <c r="A895" s="82" t="s">
        <v>314</v>
      </c>
      <c r="B895" s="85" t="s">
        <v>1325</v>
      </c>
      <c r="C895" s="87"/>
      <c r="D895" s="84"/>
      <c r="E895" s="84" t="s">
        <v>300</v>
      </c>
      <c r="F895" s="84"/>
    </row>
    <row r="896" spans="1:6" x14ac:dyDescent="0.25">
      <c r="A896" s="80" t="s">
        <v>1326</v>
      </c>
      <c r="B896" s="186" t="s">
        <v>1327</v>
      </c>
      <c r="C896" s="187"/>
      <c r="D896" s="188"/>
      <c r="E896" s="84"/>
      <c r="F896" s="84"/>
    </row>
    <row r="897" ht="24" customHeight="1" spans="1:6" x14ac:dyDescent="0.25">
      <c r="A897" s="82" t="s">
        <v>306</v>
      </c>
      <c r="B897" s="85" t="s">
        <v>1328</v>
      </c>
      <c r="C897" s="87"/>
      <c r="D897" s="84"/>
      <c r="E897" s="84" t="s">
        <v>1329</v>
      </c>
      <c r="F897" s="115" t="s">
        <v>1316</v>
      </c>
    </row>
    <row r="898" spans="1:6" x14ac:dyDescent="0.25">
      <c r="A898" s="82" t="s">
        <v>308</v>
      </c>
      <c r="B898" s="85" t="s">
        <v>1330</v>
      </c>
      <c r="C898" s="87" t="s">
        <v>1331</v>
      </c>
      <c r="D898" s="84"/>
      <c r="E898" s="84" t="s">
        <v>1332</v>
      </c>
      <c r="F898" s="84"/>
    </row>
    <row r="899" ht="14.5" customHeight="1" spans="1:6" x14ac:dyDescent="0.25">
      <c r="A899" s="80" t="s">
        <v>1333</v>
      </c>
      <c r="B899" s="186" t="s">
        <v>1334</v>
      </c>
      <c r="C899" s="187"/>
      <c r="D899" s="188"/>
      <c r="E899" s="84"/>
      <c r="F899" s="84"/>
    </row>
    <row r="900" spans="1:6" x14ac:dyDescent="0.25">
      <c r="A900" s="82" t="s">
        <v>306</v>
      </c>
      <c r="B900" s="85" t="s">
        <v>1335</v>
      </c>
      <c r="C900" s="87"/>
      <c r="D900" s="84"/>
      <c r="E900" s="84" t="s">
        <v>1329</v>
      </c>
      <c r="F900" s="115"/>
    </row>
    <row r="901" spans="1:6" x14ac:dyDescent="0.25">
      <c r="A901" s="82" t="s">
        <v>308</v>
      </c>
      <c r="B901" s="85" t="s">
        <v>1336</v>
      </c>
      <c r="C901" s="87"/>
      <c r="D901" s="84"/>
      <c r="E901" s="84" t="s">
        <v>1337</v>
      </c>
      <c r="F901" s="115" t="s">
        <v>1338</v>
      </c>
    </row>
    <row r="902" spans="1:6" x14ac:dyDescent="0.25">
      <c r="A902" s="82" t="s">
        <v>310</v>
      </c>
      <c r="B902" s="85" t="s">
        <v>1339</v>
      </c>
      <c r="C902" s="87"/>
      <c r="D902" s="84"/>
      <c r="E902" s="84" t="s">
        <v>1329</v>
      </c>
      <c r="F902" s="115"/>
    </row>
    <row r="903" spans="1:6" x14ac:dyDescent="0.25">
      <c r="A903" s="82" t="s">
        <v>312</v>
      </c>
      <c r="B903" s="85" t="s">
        <v>1340</v>
      </c>
      <c r="C903" s="87"/>
      <c r="D903" s="84"/>
      <c r="E903" s="84" t="s">
        <v>1337</v>
      </c>
      <c r="F903" s="115" t="s">
        <v>1338</v>
      </c>
    </row>
    <row r="904" spans="1:6" x14ac:dyDescent="0.25">
      <c r="A904" s="190"/>
      <c r="B904" s="191"/>
      <c r="C904" s="87"/>
      <c r="D904" s="84"/>
      <c r="E904" s="84"/>
      <c r="F904" s="84"/>
    </row>
    <row r="905" spans="1:6" x14ac:dyDescent="0.25">
      <c r="A905" s="182" t="s">
        <v>1341</v>
      </c>
      <c r="B905" s="192" t="s">
        <v>1342</v>
      </c>
      <c r="C905" s="87"/>
      <c r="D905" s="84"/>
      <c r="E905" s="87"/>
      <c r="F905" s="84"/>
    </row>
    <row r="906" ht="14.5" customHeight="1" spans="1:8" x14ac:dyDescent="0.25">
      <c r="A906" s="190" t="s">
        <v>1343</v>
      </c>
      <c r="B906" s="162" t="s">
        <v>1344</v>
      </c>
      <c r="C906" s="87"/>
      <c r="D906" s="84"/>
      <c r="E906" s="87"/>
      <c r="F906" s="84"/>
      <c r="H906" s="73" t="s">
        <v>1345</v>
      </c>
    </row>
    <row r="907" spans="1:6" x14ac:dyDescent="0.25">
      <c r="A907" s="190" t="s">
        <v>1346</v>
      </c>
      <c r="B907" s="162" t="s">
        <v>1347</v>
      </c>
      <c r="C907" s="87"/>
      <c r="D907" s="84"/>
      <c r="E907" s="87"/>
      <c r="F907" s="84"/>
    </row>
    <row r="908" spans="1:6" x14ac:dyDescent="0.25">
      <c r="A908" s="190" t="s">
        <v>1348</v>
      </c>
      <c r="B908" s="162" t="s">
        <v>1349</v>
      </c>
      <c r="C908" s="87"/>
      <c r="D908" s="84"/>
      <c r="E908" s="87"/>
      <c r="F908" s="84"/>
    </row>
    <row r="909" spans="1:6" x14ac:dyDescent="0.25">
      <c r="A909" s="190" t="s">
        <v>1350</v>
      </c>
      <c r="B909" s="162" t="s">
        <v>1351</v>
      </c>
      <c r="C909" s="87"/>
      <c r="D909" s="84"/>
      <c r="E909" s="87"/>
      <c r="F909" s="84"/>
    </row>
    <row r="910" spans="1:6" x14ac:dyDescent="0.25">
      <c r="A910" s="190" t="s">
        <v>1352</v>
      </c>
      <c r="B910" s="193" t="s">
        <v>1353</v>
      </c>
      <c r="C910" s="87"/>
      <c r="D910" s="84"/>
      <c r="E910" s="87"/>
      <c r="F910" s="84"/>
    </row>
    <row r="911" spans="1:6" x14ac:dyDescent="0.25">
      <c r="A911" s="190" t="s">
        <v>1354</v>
      </c>
      <c r="B911" s="193" t="s">
        <v>1355</v>
      </c>
      <c r="C911" s="87"/>
      <c r="D911" s="84"/>
      <c r="E911" s="87"/>
      <c r="F911" s="84"/>
    </row>
    <row r="912" spans="1:6" x14ac:dyDescent="0.25">
      <c r="A912" s="190" t="s">
        <v>1356</v>
      </c>
      <c r="B912" s="193" t="s">
        <v>1357</v>
      </c>
      <c r="C912" s="87"/>
      <c r="D912" s="84"/>
      <c r="E912" s="87"/>
      <c r="F912" s="84"/>
    </row>
    <row r="913" spans="1:6" x14ac:dyDescent="0.25">
      <c r="A913" s="190" t="s">
        <v>1358</v>
      </c>
      <c r="B913" s="162" t="s">
        <v>465</v>
      </c>
      <c r="C913" s="87"/>
      <c r="D913" s="84"/>
      <c r="E913" s="87"/>
      <c r="F913" s="84"/>
    </row>
  </sheetData>
  <sheetProtection sheet="1" algorithmName="SHA-512" hashValue="a14mtdIFMiZmttGXK1R8eHqtkHpwruGv/uckF/aQoAO2YPXM4k2clPi/oUhW5ltb0Dv+7MQzHg46yWYQ6NvQjA==" saltValue="0CmZbNxXPdWa4e1Z0IrP8A==" spinCount="100000" objects="1" scenarios="1"/>
  <mergeCells count="24">
    <mergeCell ref="A1:F1"/>
    <mergeCell ref="A3:F3"/>
    <mergeCell ref="A4:F4"/>
    <mergeCell ref="C102:C107"/>
    <mergeCell ref="C290:C292"/>
    <mergeCell ref="A293:F293"/>
    <mergeCell ref="C419:C420"/>
    <mergeCell ref="C421:C422"/>
    <mergeCell ref="C427:C428"/>
    <mergeCell ref="C429:C430"/>
    <mergeCell ref="C802:C805"/>
    <mergeCell ref="D802:D805"/>
    <mergeCell ref="E802:E805"/>
    <mergeCell ref="F802:F805"/>
    <mergeCell ref="E829:E831"/>
    <mergeCell ref="C847:C848"/>
    <mergeCell ref="E851:E858"/>
    <mergeCell ref="B875:F875"/>
    <mergeCell ref="B876:D876"/>
    <mergeCell ref="B882:D882"/>
    <mergeCell ref="B888:D888"/>
    <mergeCell ref="B892:D892"/>
    <mergeCell ref="B896:D896"/>
    <mergeCell ref="B899:D899"/>
  </mergeCells>
  <conditionalFormatting sqref="A259">
    <cfRule type="cellIs" dxfId="2" priority="3" operator="equal">
      <formula>"NA"</formula>
    </cfRule>
    <cfRule type="cellIs" dxfId="3" priority="4" operator="equal">
      <formula>"NA"</formula>
    </cfRule>
  </conditionalFormatting>
  <conditionalFormatting sqref="A264:A272">
    <cfRule type="cellIs" dxfId="4" priority="1" operator="equal">
      <formula>"NA"</formula>
    </cfRule>
    <cfRule type="cellIs" dxfId="5" priority="2" operator="equal">
      <formula>"NA"</formula>
    </cfRule>
  </conditionalFormatting>
  <pageMargins left="0.7" right="0.7" top="0.75" bottom="0.75" header="0.3" footer="0.3"/>
  <pageSetup paperSize="9" orientation="landscape" horizontalDpi="4294967295" verticalDpi="4294967295" scale="71" fitToWidth="1" fitToHeight="1" firstPageNumber="1" useFirstPageNumber="1" copies="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4"/>
  <sheetViews>
    <sheetView workbookViewId="0" zoomScale="100" zoomScaleNormal="100">
      <selection activeCell="D68" sqref="D68"/>
    </sheetView>
  </sheetViews>
  <sheetFormatPr defaultRowHeight="14.5" outlineLevelRow="0" outlineLevelCol="0" x14ac:dyDescent="0.35" customHeight="1"/>
  <cols>
    <col min="2" max="2" width="73.81640625" customWidth="1"/>
    <col min="3" max="3" width="19" customWidth="1"/>
    <col min="4" max="4" width="30.1796875" customWidth="1"/>
    <col min="5" max="5" width="17.1796875" customWidth="1"/>
    <col min="6" max="6" width="22.7265625" customWidth="1"/>
    <col min="7" max="7" width="21.26953125" customWidth="1"/>
    <col min="8" max="8" width="21.453125" customWidth="1"/>
    <col min="9" max="9" width="22.54296875" customWidth="1"/>
    <col min="10" max="10" width="16.81640625" customWidth="1"/>
  </cols>
  <sheetData>
    <row r="1" ht="64.5" customHeight="1" spans="1:10" x14ac:dyDescent="0.25">
      <c r="A1" s="331" t="s">
        <v>1543</v>
      </c>
      <c r="B1" s="332" t="s">
        <v>1544</v>
      </c>
      <c r="C1" s="331" t="s">
        <v>1545</v>
      </c>
      <c r="D1" s="331" t="s">
        <v>1453</v>
      </c>
      <c r="E1" s="331" t="s">
        <v>1546</v>
      </c>
      <c r="F1" s="331" t="s">
        <v>1547</v>
      </c>
      <c r="G1" s="331" t="str">
        <f>"Baseline/ Previous Year (FY )  
"
&amp; 'Form 1'!D11</f>
        <v>Baseline/ Previous Year (FY )  
</v>
      </c>
      <c r="H1" s="331" t="str">
        <f>G1</f>
        <v>Baseline/ Previous Year (FY )  
</v>
      </c>
      <c r="I1" s="331" t="str">
        <f>"Current/Asssesment/Target Year
"&amp;'Form 1'!E11</f>
        <v>Current/Asssesment/Target Year
</v>
      </c>
      <c r="J1" s="332" t="s">
        <v>1548</v>
      </c>
    </row>
    <row r="2" spans="1:10" x14ac:dyDescent="0.25">
      <c r="A2" s="333" t="s">
        <v>54</v>
      </c>
      <c r="B2" s="331" t="s">
        <v>1549</v>
      </c>
      <c r="C2" s="331"/>
      <c r="D2" s="331"/>
      <c r="E2" s="334"/>
      <c r="F2" s="334"/>
      <c r="G2" s="334"/>
      <c r="H2" s="334"/>
      <c r="I2" s="334"/>
      <c r="J2" s="334"/>
    </row>
    <row r="3" spans="1:10" x14ac:dyDescent="0.25">
      <c r="A3" s="9" t="s">
        <v>306</v>
      </c>
      <c r="B3" s="334" t="s">
        <v>1550</v>
      </c>
      <c r="C3" s="334" t="s">
        <v>61</v>
      </c>
      <c r="D3" s="334" t="s">
        <v>1551</v>
      </c>
      <c r="E3" s="334">
        <v>1</v>
      </c>
      <c r="F3" s="334">
        <v>1</v>
      </c>
      <c r="G3" s="334">
        <v>1</v>
      </c>
      <c r="H3" s="334">
        <v>1</v>
      </c>
      <c r="I3" s="334">
        <v>1</v>
      </c>
      <c r="J3" s="334"/>
    </row>
    <row r="4" spans="1:10" x14ac:dyDescent="0.25">
      <c r="A4" s="9" t="s">
        <v>308</v>
      </c>
      <c r="B4" s="334" t="s">
        <v>1322</v>
      </c>
      <c r="C4" s="334" t="s">
        <v>1552</v>
      </c>
      <c r="D4" s="334" t="s">
        <v>1553</v>
      </c>
      <c r="E4" s="334" t="s">
        <v>1554</v>
      </c>
      <c r="F4" s="334" t="s">
        <v>1554</v>
      </c>
      <c r="G4" s="334" t="s">
        <v>1554</v>
      </c>
      <c r="H4" s="334" t="s">
        <v>1554</v>
      </c>
      <c r="I4" s="334" t="s">
        <v>1554</v>
      </c>
      <c r="J4" s="334"/>
    </row>
    <row r="5" spans="1:10" x14ac:dyDescent="0.25">
      <c r="A5" s="335" t="s">
        <v>310</v>
      </c>
      <c r="B5" s="336" t="s">
        <v>1555</v>
      </c>
      <c r="C5" s="336" t="s">
        <v>1556</v>
      </c>
      <c r="D5" s="336" t="s">
        <v>1557</v>
      </c>
      <c r="E5" s="336">
        <f>IF(E4="Soderberg",E56,E55)</f>
        <v>1.6</v>
      </c>
      <c r="F5" s="336">
        <f>IF(F4="Soderberg",F56,F55)</f>
        <v>1.6</v>
      </c>
      <c r="G5" s="336">
        <f>IF(G4="Soderberg",G56,G55)</f>
        <v>1.6</v>
      </c>
      <c r="H5" s="336">
        <f>IF(H4="Soderberg",H56,H55)</f>
        <v>1.6</v>
      </c>
      <c r="I5" s="336">
        <f>IF(I4="Soderberg",I56,I55)</f>
        <v>1.6</v>
      </c>
      <c r="J5" s="336"/>
    </row>
    <row r="6" spans="1:15" x14ac:dyDescent="0.25">
      <c r="A6" s="335" t="s">
        <v>312</v>
      </c>
      <c r="B6" s="336" t="s">
        <v>1558</v>
      </c>
      <c r="C6" s="336" t="s">
        <v>1559</v>
      </c>
      <c r="D6" s="336" t="s">
        <v>1560</v>
      </c>
      <c r="E6" s="336">
        <f>E5*E3</f>
        <v>1.6</v>
      </c>
      <c r="F6" s="336">
        <f>F5*F3</f>
        <v>1.6</v>
      </c>
      <c r="G6" s="336">
        <f>G5*G3</f>
        <v>1.6</v>
      </c>
      <c r="H6" s="336">
        <f>H5*H3</f>
        <v>1.6</v>
      </c>
      <c r="I6" s="336">
        <f>I5*I3</f>
        <v>1.6</v>
      </c>
      <c r="J6" s="336"/>
      <c r="O6" t="s">
        <v>1561</v>
      </c>
    </row>
    <row r="7" spans="1:15" x14ac:dyDescent="0.25">
      <c r="A7" s="333" t="s">
        <v>459</v>
      </c>
      <c r="B7" s="331" t="s">
        <v>1549</v>
      </c>
      <c r="C7" s="331"/>
      <c r="D7" s="331"/>
      <c r="E7" s="334"/>
      <c r="F7" s="334"/>
      <c r="G7" s="334"/>
      <c r="H7" s="334"/>
      <c r="I7" s="334"/>
      <c r="J7" s="334"/>
      <c r="O7" t="s">
        <v>1554</v>
      </c>
    </row>
    <row r="8" spans="1:10" x14ac:dyDescent="0.25">
      <c r="A8" s="9" t="s">
        <v>306</v>
      </c>
      <c r="B8" s="334" t="s">
        <v>1322</v>
      </c>
      <c r="C8" s="334" t="s">
        <v>1552</v>
      </c>
      <c r="D8" s="334" t="s">
        <v>1553</v>
      </c>
      <c r="E8" s="334" t="s">
        <v>1562</v>
      </c>
      <c r="F8" s="334" t="s">
        <v>1562</v>
      </c>
      <c r="G8" s="334" t="s">
        <v>1563</v>
      </c>
      <c r="H8" s="334" t="s">
        <v>1562</v>
      </c>
      <c r="I8" s="334" t="s">
        <v>1562</v>
      </c>
      <c r="J8" s="334"/>
    </row>
    <row r="9" spans="1:15" x14ac:dyDescent="0.25">
      <c r="A9" s="335" t="s">
        <v>308</v>
      </c>
      <c r="B9" s="336" t="s">
        <v>1564</v>
      </c>
      <c r="C9" s="336" t="s">
        <v>1556</v>
      </c>
      <c r="D9" s="336" t="s">
        <v>1565</v>
      </c>
      <c r="E9" s="337">
        <f>IF(E8=$B$58,E58,IF(E8=$B$59,E59,IF(E8=$B$60,E60,IF(E8=$B$61,E61,0))))</f>
        <v>0.4</v>
      </c>
      <c r="F9" s="337">
        <f>IF(F8=$B$58,F58,IF(F8=$B$59,F59,IF(F8=$B$60,F60,IF(F8=$B$61,F61,0))))</f>
        <v>0.4</v>
      </c>
      <c r="G9" s="338">
        <f>IF(G8=$B$58,G58,IF(G8=$B$59,G59,IF(G8=$B$60,G60,IF(G8=$B$61,G61,0))))</f>
        <v>0.4</v>
      </c>
      <c r="H9" s="338">
        <f>IF(H8=$B$58,H58,IF(H8=$B$59,H59,IF(H8=$B$60,H60,IF(H8=$B$61,H61,0))))</f>
        <v>0.4</v>
      </c>
      <c r="I9" s="338">
        <f>IF(I8=$B$58,I58,IF(I8=$B$59,I59,IF(I8=$B$60,I60,IF(I8=$B$61,I61,0))))</f>
        <v>0.4</v>
      </c>
      <c r="J9" s="338"/>
      <c r="O9" t="s">
        <v>1563</v>
      </c>
    </row>
    <row r="10" spans="1:15" x14ac:dyDescent="0.25">
      <c r="A10" s="335" t="s">
        <v>310</v>
      </c>
      <c r="B10" s="336" t="s">
        <v>1566</v>
      </c>
      <c r="C10" s="336" t="s">
        <v>1556</v>
      </c>
      <c r="D10" s="336" t="s">
        <v>1567</v>
      </c>
      <c r="E10" s="337">
        <f>IF(E8=B63,E63,IF(E8=B64,E64,IF(E8=B65,E65,IF(E8=B66,E66,0))))</f>
        <v>0.03</v>
      </c>
      <c r="F10" s="337">
        <f>IF(F8=C63,F63,IF(F8=C64,F64,IF(F8=C65,F65,IF(F8=C66,F66,0))))</f>
        <v>0</v>
      </c>
      <c r="G10" s="338">
        <f>IF(G8=D63,G63,IF(G8=D64,G64,IF(G8=D65,G65,IF(G8=D66,G66,0))))</f>
        <v>0</v>
      </c>
      <c r="H10" s="338">
        <f>IF(H8=E63,H63,IF(H8=E64,H64,IF(H8=E65,H65,IF(H8=E66,H66,0))))</f>
        <v>0</v>
      </c>
      <c r="I10" s="338">
        <f>IF(I8=F63,I63,IF(I8=F64,I64,IF(I8=F65,I65,IF(I8=F66,I66,0))))</f>
        <v>0</v>
      </c>
      <c r="J10" s="338"/>
      <c r="O10" t="s">
        <v>1568</v>
      </c>
    </row>
    <row r="11" spans="1:10" x14ac:dyDescent="0.25">
      <c r="A11" s="335" t="s">
        <v>312</v>
      </c>
      <c r="B11" s="336" t="s">
        <v>1569</v>
      </c>
      <c r="C11" s="336" t="s">
        <v>1556</v>
      </c>
      <c r="D11" s="336" t="s">
        <v>1570</v>
      </c>
      <c r="E11" s="337">
        <v>6500</v>
      </c>
      <c r="F11" s="337">
        <v>6500</v>
      </c>
      <c r="G11" s="338">
        <v>6500</v>
      </c>
      <c r="H11" s="338">
        <v>6500</v>
      </c>
      <c r="I11" s="338">
        <v>6500</v>
      </c>
      <c r="J11" s="338"/>
    </row>
    <row r="12" spans="1:10" x14ac:dyDescent="0.25">
      <c r="A12" s="335" t="s">
        <v>314</v>
      </c>
      <c r="B12" s="336" t="s">
        <v>1571</v>
      </c>
      <c r="C12" s="336" t="s">
        <v>1556</v>
      </c>
      <c r="D12" s="336" t="s">
        <v>1572</v>
      </c>
      <c r="E12" s="337">
        <v>9200</v>
      </c>
      <c r="F12" s="337">
        <v>9200</v>
      </c>
      <c r="G12" s="338">
        <v>9200</v>
      </c>
      <c r="H12" s="338">
        <v>9200</v>
      </c>
      <c r="I12" s="338">
        <v>9200</v>
      </c>
      <c r="J12" s="338"/>
    </row>
    <row r="13" spans="1:10" x14ac:dyDescent="0.25">
      <c r="A13" s="335" t="s">
        <v>316</v>
      </c>
      <c r="B13" s="336" t="s">
        <v>1573</v>
      </c>
      <c r="C13" s="336" t="s">
        <v>1574</v>
      </c>
      <c r="D13" s="336" t="s">
        <v>1575</v>
      </c>
      <c r="E13" s="337">
        <f>(E3*E9*E11+E3*E10*E12)/1000</f>
        <v>2.876</v>
      </c>
      <c r="F13" s="337">
        <f>(F3*F9*F11+F3*F10*F12)/1000</f>
        <v>2.6</v>
      </c>
      <c r="G13" s="338">
        <f>(G3*G9*G11+G3*G10*G12)/1000</f>
        <v>2.6</v>
      </c>
      <c r="H13" s="338">
        <f>(H3*H9*H11+H3*H10*H12)/1000</f>
        <v>2.6</v>
      </c>
      <c r="I13" s="338">
        <f>(I3*I9*I11+I3*I10*I12)/1000</f>
        <v>2.6</v>
      </c>
      <c r="J13" s="338"/>
    </row>
    <row r="14" spans="1:10" x14ac:dyDescent="0.25">
      <c r="A14" s="333" t="s">
        <v>743</v>
      </c>
      <c r="B14" s="331" t="s">
        <v>1576</v>
      </c>
      <c r="C14" s="331"/>
      <c r="D14" s="331"/>
      <c r="E14" s="334"/>
      <c r="F14" s="334"/>
      <c r="G14" s="334"/>
      <c r="H14" s="334"/>
      <c r="I14" s="334"/>
      <c r="J14" s="334"/>
    </row>
    <row r="15" spans="1:10" x14ac:dyDescent="0.25">
      <c r="A15" s="9" t="s">
        <v>306</v>
      </c>
      <c r="B15" s="334" t="s">
        <v>1550</v>
      </c>
      <c r="C15" s="334" t="s">
        <v>61</v>
      </c>
      <c r="D15" s="334" t="s">
        <v>1577</v>
      </c>
      <c r="E15" s="334"/>
      <c r="F15" s="334"/>
      <c r="G15" s="334"/>
      <c r="H15" s="334"/>
      <c r="I15" s="334"/>
      <c r="J15" s="334"/>
    </row>
    <row r="16" spans="1:10" x14ac:dyDescent="0.25">
      <c r="A16" s="9" t="s">
        <v>308</v>
      </c>
      <c r="B16" s="334" t="s">
        <v>1578</v>
      </c>
      <c r="C16" s="334" t="s">
        <v>61</v>
      </c>
      <c r="D16" s="334" t="s">
        <v>1579</v>
      </c>
      <c r="E16" s="334"/>
      <c r="F16" s="334"/>
      <c r="G16" s="334"/>
      <c r="H16" s="334"/>
      <c r="I16" s="334"/>
      <c r="J16" s="334"/>
    </row>
    <row r="17" spans="1:10" x14ac:dyDescent="0.25">
      <c r="A17" s="9" t="s">
        <v>310</v>
      </c>
      <c r="B17" s="334" t="s">
        <v>1291</v>
      </c>
      <c r="C17" s="334" t="s">
        <v>1580</v>
      </c>
      <c r="D17" s="334" t="s">
        <v>1581</v>
      </c>
      <c r="E17" s="334"/>
      <c r="F17" s="334"/>
      <c r="G17" s="334"/>
      <c r="H17" s="334"/>
      <c r="I17" s="334"/>
      <c r="J17" s="334"/>
    </row>
    <row r="18" spans="1:10" x14ac:dyDescent="0.25">
      <c r="A18" s="9" t="s">
        <v>312</v>
      </c>
      <c r="B18" s="334" t="s">
        <v>1296</v>
      </c>
      <c r="C18" s="334" t="s">
        <v>1580</v>
      </c>
      <c r="D18" s="334" t="s">
        <v>1581</v>
      </c>
      <c r="E18" s="334"/>
      <c r="F18" s="334"/>
      <c r="G18" s="334"/>
      <c r="H18" s="334"/>
      <c r="I18" s="334"/>
      <c r="J18" s="334"/>
    </row>
    <row r="19" spans="1:10" x14ac:dyDescent="0.25">
      <c r="A19" s="335" t="s">
        <v>314</v>
      </c>
      <c r="B19" s="336" t="s">
        <v>1582</v>
      </c>
      <c r="C19" s="336" t="s">
        <v>61</v>
      </c>
      <c r="D19" s="336" t="s">
        <v>1560</v>
      </c>
      <c r="E19" s="336">
        <f>(E15*E16*((100-E17-E18)/100))*44/12</f>
        <v>0</v>
      </c>
      <c r="F19" s="336">
        <f>(F15*F16*((100-F17-F18)/100))*44/12</f>
        <v>0</v>
      </c>
      <c r="G19" s="336">
        <f>(G15*G16*((100-G17-G18)/100))*44/12</f>
        <v>0</v>
      </c>
      <c r="H19" s="336">
        <f>(H15*H16*((100-H17-H18)/100))*44/12</f>
        <v>0</v>
      </c>
      <c r="I19" s="336">
        <f>(I15*I16*((100-I17-I18)/100))*44/12</f>
        <v>0</v>
      </c>
      <c r="J19" s="336"/>
    </row>
    <row r="20" spans="1:10" x14ac:dyDescent="0.25">
      <c r="A20" s="333" t="s">
        <v>1058</v>
      </c>
      <c r="B20" s="331" t="s">
        <v>1583</v>
      </c>
      <c r="C20" s="331"/>
      <c r="D20" s="331"/>
      <c r="E20" s="334"/>
      <c r="F20" s="334"/>
      <c r="G20" s="334"/>
      <c r="H20" s="334"/>
      <c r="I20" s="334"/>
      <c r="J20" s="334"/>
    </row>
    <row r="21" spans="1:10" x14ac:dyDescent="0.25">
      <c r="A21" s="9" t="s">
        <v>306</v>
      </c>
      <c r="B21" s="334" t="s">
        <v>1584</v>
      </c>
      <c r="C21" s="334" t="s">
        <v>1580</v>
      </c>
      <c r="D21" s="334" t="s">
        <v>1585</v>
      </c>
      <c r="E21" s="334"/>
      <c r="F21" s="334"/>
      <c r="G21" s="334"/>
      <c r="H21" s="334"/>
      <c r="I21" s="334"/>
      <c r="J21" s="334"/>
    </row>
    <row r="22" spans="1:10" x14ac:dyDescent="0.25">
      <c r="A22" s="9" t="s">
        <v>308</v>
      </c>
      <c r="B22" s="334" t="s">
        <v>1586</v>
      </c>
      <c r="C22" s="334" t="s">
        <v>1580</v>
      </c>
      <c r="D22" s="334" t="s">
        <v>1585</v>
      </c>
      <c r="E22" s="334"/>
      <c r="F22" s="334"/>
      <c r="G22" s="334"/>
      <c r="H22" s="334"/>
      <c r="I22" s="334"/>
      <c r="J22" s="334"/>
    </row>
    <row r="23" spans="1:10" x14ac:dyDescent="0.25">
      <c r="A23" s="9" t="s">
        <v>310</v>
      </c>
      <c r="B23" s="334" t="s">
        <v>1587</v>
      </c>
      <c r="C23" s="334" t="s">
        <v>61</v>
      </c>
      <c r="D23" s="334" t="s">
        <v>1585</v>
      </c>
      <c r="E23" s="334"/>
      <c r="F23" s="334"/>
      <c r="G23" s="334"/>
      <c r="H23" s="334"/>
      <c r="I23" s="334"/>
      <c r="J23" s="334"/>
    </row>
    <row r="24" spans="1:10" x14ac:dyDescent="0.25">
      <c r="A24" s="335" t="s">
        <v>312</v>
      </c>
      <c r="B24" s="336" t="s">
        <v>1588</v>
      </c>
      <c r="C24" s="336" t="s">
        <v>61</v>
      </c>
      <c r="D24" s="336" t="s">
        <v>1585</v>
      </c>
      <c r="E24" s="336" t="e">
        <f>(E21/E22)*E23</f>
        <v>#DIV/0!</v>
      </c>
      <c r="F24" s="336" t="e">
        <f>(F21/F22)*F23</f>
        <v>#DIV/0!</v>
      </c>
      <c r="G24" s="336" t="e">
        <f>(G21/G22)*G23</f>
        <v>#DIV/0!</v>
      </c>
      <c r="H24" s="336" t="e">
        <f>(H21/H22)*H23</f>
        <v>#DIV/0!</v>
      </c>
      <c r="I24" s="336" t="e">
        <f>(I21/I22)*I23</f>
        <v>#DIV/0!</v>
      </c>
      <c r="J24" s="336"/>
    </row>
    <row r="25" spans="1:10" x14ac:dyDescent="0.25">
      <c r="A25" s="9" t="s">
        <v>314</v>
      </c>
      <c r="B25" s="334" t="s">
        <v>1589</v>
      </c>
      <c r="C25" s="334" t="s">
        <v>1580</v>
      </c>
      <c r="D25" s="334" t="s">
        <v>1590</v>
      </c>
      <c r="E25" s="334"/>
      <c r="F25" s="334"/>
      <c r="G25" s="334"/>
      <c r="H25" s="334"/>
      <c r="I25" s="334"/>
      <c r="J25" s="334"/>
    </row>
    <row r="26" spans="1:10" x14ac:dyDescent="0.25">
      <c r="A26" s="9" t="s">
        <v>316</v>
      </c>
      <c r="B26" s="334" t="s">
        <v>1591</v>
      </c>
      <c r="C26" s="334" t="s">
        <v>61</v>
      </c>
      <c r="D26" s="334" t="s">
        <v>1585</v>
      </c>
      <c r="E26" s="334"/>
      <c r="F26" s="334"/>
      <c r="G26" s="334"/>
      <c r="H26" s="334"/>
      <c r="I26" s="334"/>
      <c r="J26" s="334"/>
    </row>
    <row r="27" spans="1:10" x14ac:dyDescent="0.25">
      <c r="A27" s="335" t="s">
        <v>318</v>
      </c>
      <c r="B27" s="336" t="s">
        <v>1592</v>
      </c>
      <c r="C27" s="336" t="s">
        <v>61</v>
      </c>
      <c r="D27" s="336" t="s">
        <v>1560</v>
      </c>
      <c r="E27" s="336" t="e">
        <f>((E24-((E25*E24)/100)-E23-E26)*44/12)</f>
        <v>#DIV/0!</v>
      </c>
      <c r="F27" s="336" t="e">
        <f>((F24-((F25*F24)/100)-F23-F26)*44/12)</f>
        <v>#DIV/0!</v>
      </c>
      <c r="G27" s="336" t="e">
        <f>((G24-((G25*G24)/100)-G23-G26)*44/12)</f>
        <v>#DIV/0!</v>
      </c>
      <c r="H27" s="336" t="e">
        <f>((H24-((H25*H24)/100)-H23-H26)*44/12)</f>
        <v>#DIV/0!</v>
      </c>
      <c r="I27" s="336" t="e">
        <f>((I24-((I25*I24)/100)-I23-I26)*44/12)</f>
        <v>#DIV/0!</v>
      </c>
      <c r="J27" s="336"/>
    </row>
    <row r="28" spans="1:10" x14ac:dyDescent="0.25">
      <c r="A28" s="333" t="s">
        <v>373</v>
      </c>
      <c r="B28" s="331" t="s">
        <v>1593</v>
      </c>
      <c r="C28" s="331"/>
      <c r="D28" s="331"/>
      <c r="E28" s="334"/>
      <c r="F28" s="334"/>
      <c r="G28" s="334"/>
      <c r="H28" s="334"/>
      <c r="I28" s="334"/>
      <c r="J28" s="334"/>
    </row>
    <row r="29" spans="1:10" x14ac:dyDescent="0.25">
      <c r="A29" s="9" t="s">
        <v>306</v>
      </c>
      <c r="B29" s="334" t="s">
        <v>1594</v>
      </c>
      <c r="C29" s="334" t="s">
        <v>1580</v>
      </c>
      <c r="D29" s="334" t="s">
        <v>1595</v>
      </c>
      <c r="E29" s="334">
        <v>0.015</v>
      </c>
      <c r="F29" s="334">
        <v>0.015</v>
      </c>
      <c r="G29" s="334">
        <v>0.015</v>
      </c>
      <c r="H29" s="334">
        <v>0.015</v>
      </c>
      <c r="I29" s="334">
        <v>0.015</v>
      </c>
      <c r="J29" s="334"/>
    </row>
    <row r="30" spans="1:10" x14ac:dyDescent="0.25">
      <c r="A30" s="9" t="s">
        <v>308</v>
      </c>
      <c r="B30" s="334" t="s">
        <v>1587</v>
      </c>
      <c r="C30" s="334" t="s">
        <v>61</v>
      </c>
      <c r="D30" s="334" t="s">
        <v>1551</v>
      </c>
      <c r="E30" s="334">
        <v>1</v>
      </c>
      <c r="F30" s="334">
        <v>1</v>
      </c>
      <c r="G30" s="334">
        <v>1</v>
      </c>
      <c r="H30" s="334">
        <v>1</v>
      </c>
      <c r="I30" s="334">
        <v>1</v>
      </c>
      <c r="J30" s="334"/>
    </row>
    <row r="31" spans="1:10" x14ac:dyDescent="0.25">
      <c r="A31" s="9" t="s">
        <v>310</v>
      </c>
      <c r="B31" s="334" t="s">
        <v>1596</v>
      </c>
      <c r="C31" s="334" t="s">
        <v>1580</v>
      </c>
      <c r="D31" s="334" t="s">
        <v>1493</v>
      </c>
      <c r="E31" s="334">
        <v>2</v>
      </c>
      <c r="F31" s="334">
        <v>2</v>
      </c>
      <c r="G31" s="334">
        <v>2</v>
      </c>
      <c r="H31" s="334">
        <v>2</v>
      </c>
      <c r="I31" s="334">
        <v>2</v>
      </c>
      <c r="J31" s="334"/>
    </row>
    <row r="32" spans="1:10" x14ac:dyDescent="0.25">
      <c r="A32" s="9" t="s">
        <v>312</v>
      </c>
      <c r="B32" s="334" t="s">
        <v>1597</v>
      </c>
      <c r="C32" s="334" t="s">
        <v>1580</v>
      </c>
      <c r="D32" s="334" t="s">
        <v>1493</v>
      </c>
      <c r="E32" s="334">
        <v>2.5</v>
      </c>
      <c r="F32" s="334">
        <v>2.5</v>
      </c>
      <c r="G32" s="334">
        <v>2.5</v>
      </c>
      <c r="H32" s="334">
        <v>2.5</v>
      </c>
      <c r="I32" s="334">
        <v>2.5</v>
      </c>
      <c r="J32" s="334"/>
    </row>
    <row r="33" spans="1:10" x14ac:dyDescent="0.25">
      <c r="A33" s="335" t="s">
        <v>314</v>
      </c>
      <c r="B33" s="336" t="s">
        <v>1598</v>
      </c>
      <c r="C33" s="336" t="s">
        <v>61</v>
      </c>
      <c r="D33" s="336" t="s">
        <v>1560</v>
      </c>
      <c r="E33" s="336">
        <f>(E29*E30*(100-E31-E32)/100)*44/12</f>
        <v>0.052524999999999995</v>
      </c>
      <c r="F33" s="336">
        <f>(F29*F30*(100-F31-F32)/100)*44/12</f>
        <v>0.052524999999999995</v>
      </c>
      <c r="G33" s="336">
        <f>(G29*G30*(100-G31-G32)/100)*44/12</f>
        <v>0.052524999999999995</v>
      </c>
      <c r="H33" s="336">
        <f>(H29*H30*(100-H31-H32)/100)*44/12</f>
        <v>0.052524999999999995</v>
      </c>
      <c r="I33" s="336">
        <f>(I29*I30*(100-I31-I32)/100)*44/12</f>
        <v>0.052524999999999995</v>
      </c>
      <c r="J33" s="336"/>
    </row>
    <row r="34" spans="1:10" x14ac:dyDescent="0.25">
      <c r="A34" s="333" t="s">
        <v>942</v>
      </c>
      <c r="B34" s="331" t="s">
        <v>1321</v>
      </c>
      <c r="C34" s="331"/>
      <c r="D34" s="331"/>
      <c r="E34" s="334"/>
      <c r="F34" s="334"/>
      <c r="G34" s="334"/>
      <c r="H34" s="334"/>
      <c r="I34" s="334"/>
      <c r="J34" s="334"/>
    </row>
    <row r="35" spans="1:10" x14ac:dyDescent="0.25">
      <c r="A35" s="9" t="s">
        <v>306</v>
      </c>
      <c r="B35" s="334" t="s">
        <v>1322</v>
      </c>
      <c r="C35" s="334" t="s">
        <v>1553</v>
      </c>
      <c r="D35" s="334" t="s">
        <v>1553</v>
      </c>
      <c r="E35" s="334" t="s">
        <v>1568</v>
      </c>
      <c r="F35" s="334" t="s">
        <v>1568</v>
      </c>
      <c r="G35" s="334" t="s">
        <v>1568</v>
      </c>
      <c r="H35" s="334" t="s">
        <v>1568</v>
      </c>
      <c r="I35" s="334" t="s">
        <v>1568</v>
      </c>
      <c r="J35" s="334"/>
    </row>
    <row r="36" spans="1:10" x14ac:dyDescent="0.25">
      <c r="A36" s="335" t="s">
        <v>308</v>
      </c>
      <c r="B36" s="336" t="s">
        <v>1599</v>
      </c>
      <c r="C36" s="336" t="s">
        <v>1556</v>
      </c>
      <c r="D36" s="336" t="s">
        <v>1600</v>
      </c>
      <c r="E36" s="336">
        <f>IF(E35=$B$68,E68,IF(E35=$B$69,E69,IF(E35=$B$70,E70,IF(E35=$B$71,E71)*0)))</f>
        <v>0.272</v>
      </c>
      <c r="F36" s="336">
        <f>IF(F35=$B$68,F68,IF(F35=$B$69,F69,IF(F35=$B$70,F70,IF(F35=$B$71,F71)*0)))</f>
        <v>0.272</v>
      </c>
      <c r="G36" s="336">
        <f>IF(G35=$B$68,G68,IF(G35=$B$69,G69,IF(G35=$B$70,G70,IF(G35=$B$71,G71)*0)))</f>
        <v>0.272</v>
      </c>
      <c r="H36" s="336">
        <f>IF(H35=$B$68,H68,IF(H35=$B$69,H69,IF(H35=$B$70,H70,IF(H35=$B$71,H71)*0)))</f>
        <v>0.272</v>
      </c>
      <c r="I36" s="336">
        <f>IF(I35=$B$68,I68,IF(I35=$B$69,I69,IF(I35=$B$70,I70,IF(I35=$B$71,I71)*0)))</f>
        <v>0.272</v>
      </c>
      <c r="J36" s="336"/>
    </row>
    <row r="37" spans="1:10" x14ac:dyDescent="0.25">
      <c r="A37" s="335" t="s">
        <v>310</v>
      </c>
      <c r="B37" s="336" t="s">
        <v>1601</v>
      </c>
      <c r="C37" s="336" t="s">
        <v>1556</v>
      </c>
      <c r="D37" s="336" t="s">
        <v>1602</v>
      </c>
      <c r="E37" s="336">
        <f>IF(E35=$B$78,E78,IF(E35=$B$79,E79,IF(E35=$B$80,E80,IF(E35=$B$81,E81,0))))</f>
        <v>0.252</v>
      </c>
      <c r="F37" s="336">
        <f>IF(F35=$B$78,F78,IF(F35=$B$79,F79,IF(F35=$B$80,F80,IF(F35=$B$81,F81,0))))</f>
        <v>0.252</v>
      </c>
      <c r="G37" s="336">
        <f>IF(G35=$B$78,G78,IF(G35=$B$79,G79,IF(G35=$B$80,G80,IF(G35=$B$81,G81,0))))</f>
        <v>0.252</v>
      </c>
      <c r="H37" s="336">
        <f>IF(H35=$B$78,H78,IF(H35=$B$79,H79,IF(H35=$B$80,H80,IF(H35=$B$81,H81,0))))</f>
        <v>0.252</v>
      </c>
      <c r="I37" s="336">
        <f>IF(I35=$B$78,I78,IF(I35=$B$79,I79,IF(I35=$B$80,I80,IF(I35=$B$81,I81,0))))</f>
        <v>0.252</v>
      </c>
      <c r="J37" s="336"/>
    </row>
    <row r="38" spans="1:10" x14ac:dyDescent="0.25">
      <c r="A38" s="9" t="s">
        <v>312</v>
      </c>
      <c r="B38" s="334" t="s">
        <v>1603</v>
      </c>
      <c r="C38" s="334" t="s">
        <v>1580</v>
      </c>
      <c r="D38" s="334" t="s">
        <v>1604</v>
      </c>
      <c r="E38" s="334"/>
      <c r="F38" s="334"/>
      <c r="G38" s="334"/>
      <c r="H38" s="334"/>
      <c r="I38" s="334"/>
      <c r="J38" s="334"/>
    </row>
    <row r="39" spans="1:10" x14ac:dyDescent="0.25">
      <c r="A39" s="335" t="s">
        <v>314</v>
      </c>
      <c r="B39" s="336" t="s">
        <v>1605</v>
      </c>
      <c r="C39" s="336" t="s">
        <v>1580</v>
      </c>
      <c r="D39" s="336" t="s">
        <v>1565</v>
      </c>
      <c r="E39" s="336">
        <f t="shared" ref="E39:I40" si="0">E38*E36</f>
        <v>0</v>
      </c>
      <c r="F39" s="336">
        <f t="shared" si="0"/>
        <v>0</v>
      </c>
      <c r="G39" s="336">
        <f t="shared" si="0"/>
        <v>0</v>
      </c>
      <c r="H39" s="336">
        <f t="shared" si="0"/>
        <v>0</v>
      </c>
      <c r="I39" s="336">
        <f t="shared" si="0"/>
        <v>0</v>
      </c>
      <c r="J39" s="336"/>
    </row>
    <row r="40" spans="1:10" x14ac:dyDescent="0.25">
      <c r="A40" s="335" t="s">
        <v>316</v>
      </c>
      <c r="B40" s="336" t="s">
        <v>1606</v>
      </c>
      <c r="C40" s="336" t="s">
        <v>1580</v>
      </c>
      <c r="D40" s="336" t="s">
        <v>1567</v>
      </c>
      <c r="E40" s="336">
        <f t="shared" si="0"/>
        <v>0</v>
      </c>
      <c r="F40" s="336">
        <f t="shared" si="0"/>
        <v>0</v>
      </c>
      <c r="G40" s="336">
        <f t="shared" si="0"/>
        <v>0</v>
      </c>
      <c r="H40" s="336">
        <f t="shared" si="0"/>
        <v>0</v>
      </c>
      <c r="I40" s="336">
        <f t="shared" si="0"/>
        <v>0</v>
      </c>
      <c r="J40" s="336"/>
    </row>
    <row r="41" spans="1:10" x14ac:dyDescent="0.25">
      <c r="A41" s="335" t="s">
        <v>318</v>
      </c>
      <c r="B41" s="336" t="s">
        <v>1607</v>
      </c>
      <c r="C41" s="336" t="s">
        <v>61</v>
      </c>
      <c r="D41" s="336" t="s">
        <v>1608</v>
      </c>
      <c r="E41" s="336">
        <f>E39*E3</f>
        <v>0</v>
      </c>
      <c r="F41" s="336">
        <f>F39*F3</f>
        <v>0</v>
      </c>
      <c r="G41" s="336">
        <f>G39*G3</f>
        <v>0</v>
      </c>
      <c r="H41" s="336">
        <f>H39*H3</f>
        <v>0</v>
      </c>
      <c r="I41" s="336">
        <f>I39*I3</f>
        <v>0</v>
      </c>
      <c r="J41" s="336"/>
    </row>
    <row r="42" spans="1:10" x14ac:dyDescent="0.25">
      <c r="A42" s="335" t="s">
        <v>478</v>
      </c>
      <c r="B42" s="336" t="s">
        <v>1609</v>
      </c>
      <c r="C42" s="336" t="s">
        <v>61</v>
      </c>
      <c r="D42" s="336" t="s">
        <v>1610</v>
      </c>
      <c r="E42" s="336">
        <f>E40*E3</f>
        <v>0</v>
      </c>
      <c r="F42" s="336">
        <f>F40*F3</f>
        <v>0</v>
      </c>
      <c r="G42" s="336">
        <f>G40*G3</f>
        <v>0</v>
      </c>
      <c r="H42" s="336">
        <f>H40*H3</f>
        <v>0</v>
      </c>
      <c r="I42" s="336">
        <f>I40*I3</f>
        <v>0</v>
      </c>
      <c r="J42" s="336"/>
    </row>
    <row r="43" spans="1:10" x14ac:dyDescent="0.25">
      <c r="A43" s="335" t="s">
        <v>481</v>
      </c>
      <c r="B43" s="336" t="s">
        <v>1611</v>
      </c>
      <c r="C43" s="336" t="s">
        <v>61</v>
      </c>
      <c r="D43" s="336" t="s">
        <v>1575</v>
      </c>
      <c r="E43" s="336">
        <f>(E41*E83+E42*E84)/1000</f>
        <v>0</v>
      </c>
      <c r="F43" s="336">
        <f>(F41*F83+F42*F84)/1000</f>
        <v>0</v>
      </c>
      <c r="G43" s="336">
        <f>(G41*G83+G42*G84)/1000</f>
        <v>0</v>
      </c>
      <c r="H43" s="336">
        <f>(H41*H83+H42*H84)/1000</f>
        <v>0</v>
      </c>
      <c r="I43" s="336">
        <f>(I41*I83+I42*I84)/1000</f>
        <v>0</v>
      </c>
      <c r="J43" s="336"/>
    </row>
    <row r="44" spans="1:10" x14ac:dyDescent="0.25">
      <c r="A44" s="333" t="s">
        <v>993</v>
      </c>
      <c r="B44" s="331" t="s">
        <v>1612</v>
      </c>
      <c r="C44" s="331"/>
      <c r="D44" s="331"/>
      <c r="E44" s="334"/>
      <c r="F44" s="334"/>
      <c r="G44" s="334"/>
      <c r="H44" s="334"/>
      <c r="I44" s="334"/>
      <c r="J44" s="334"/>
    </row>
    <row r="45" spans="1:10" x14ac:dyDescent="0.25">
      <c r="A45" s="9" t="s">
        <v>306</v>
      </c>
      <c r="B45" s="334" t="s">
        <v>1328</v>
      </c>
      <c r="C45" s="334" t="s">
        <v>61</v>
      </c>
      <c r="D45" s="334" t="s">
        <v>1585</v>
      </c>
      <c r="E45" s="334">
        <v>1</v>
      </c>
      <c r="F45" s="334">
        <v>1</v>
      </c>
      <c r="G45" s="334">
        <v>1</v>
      </c>
      <c r="H45" s="334">
        <v>1</v>
      </c>
      <c r="I45" s="334">
        <v>1</v>
      </c>
      <c r="J45" s="334"/>
    </row>
    <row r="46" spans="1:10" x14ac:dyDescent="0.25">
      <c r="A46" s="9" t="s">
        <v>308</v>
      </c>
      <c r="B46" s="334" t="s">
        <v>1330</v>
      </c>
      <c r="C46" s="334" t="s">
        <v>1580</v>
      </c>
      <c r="D46" s="334" t="s">
        <v>1613</v>
      </c>
      <c r="E46" s="334">
        <v>0.95</v>
      </c>
      <c r="F46" s="334">
        <v>0.95</v>
      </c>
      <c r="G46" s="334">
        <v>0.95</v>
      </c>
      <c r="H46" s="334">
        <v>0.95</v>
      </c>
      <c r="I46" s="334">
        <v>0.95</v>
      </c>
      <c r="J46" s="334"/>
    </row>
    <row r="47" spans="1:10" x14ac:dyDescent="0.25">
      <c r="A47" s="335" t="s">
        <v>310</v>
      </c>
      <c r="B47" s="336" t="s">
        <v>1614</v>
      </c>
      <c r="C47" s="336" t="s">
        <v>61</v>
      </c>
      <c r="D47" s="336" t="s">
        <v>1560</v>
      </c>
      <c r="E47" s="339">
        <f>E45*E46*(44/106)</f>
        <v>0.39433962264150946</v>
      </c>
      <c r="F47" s="339">
        <f>F45*F46*(44/106)</f>
        <v>0.39433962264150946</v>
      </c>
      <c r="G47" s="339">
        <f>G45*G46*(44/106)</f>
        <v>0.39433962264150946</v>
      </c>
      <c r="H47" s="339">
        <f>H45*H46*(44/106)</f>
        <v>0.39433962264150946</v>
      </c>
      <c r="I47" s="339">
        <f>I45*I46*(44/106)</f>
        <v>0.39433962264150946</v>
      </c>
      <c r="J47" s="339"/>
    </row>
    <row r="48" spans="1:10" x14ac:dyDescent="0.25">
      <c r="A48" s="333" t="s">
        <v>1007</v>
      </c>
      <c r="B48" s="331" t="s">
        <v>1615</v>
      </c>
      <c r="C48" s="331"/>
      <c r="D48" s="331"/>
      <c r="E48" s="334"/>
      <c r="F48" s="334"/>
      <c r="G48" s="334"/>
      <c r="H48" s="334"/>
      <c r="I48" s="334"/>
      <c r="J48" s="334"/>
    </row>
    <row r="49" spans="1:10" x14ac:dyDescent="0.25">
      <c r="A49" s="9" t="s">
        <v>306</v>
      </c>
      <c r="B49" s="334" t="s">
        <v>1335</v>
      </c>
      <c r="C49" s="334" t="s">
        <v>61</v>
      </c>
      <c r="D49" s="334" t="s">
        <v>1585</v>
      </c>
      <c r="E49" s="340">
        <v>1</v>
      </c>
      <c r="F49" s="340">
        <v>1</v>
      </c>
      <c r="G49" s="340">
        <v>1</v>
      </c>
      <c r="H49" s="340">
        <v>1</v>
      </c>
      <c r="I49" s="340">
        <v>1</v>
      </c>
      <c r="J49" s="340"/>
    </row>
    <row r="50" spans="1:10" x14ac:dyDescent="0.25">
      <c r="A50" s="9" t="s">
        <v>308</v>
      </c>
      <c r="B50" s="334" t="s">
        <v>1336</v>
      </c>
      <c r="C50" s="334" t="s">
        <v>1580</v>
      </c>
      <c r="D50" s="334" t="s">
        <v>1613</v>
      </c>
      <c r="E50" s="334">
        <v>0.95</v>
      </c>
      <c r="F50" s="334">
        <v>0.95</v>
      </c>
      <c r="G50" s="334">
        <v>0.95</v>
      </c>
      <c r="H50" s="334">
        <v>0.95</v>
      </c>
      <c r="I50" s="334">
        <v>0.95</v>
      </c>
      <c r="J50" s="334"/>
    </row>
    <row r="51" spans="1:10" x14ac:dyDescent="0.25">
      <c r="A51" s="9" t="s">
        <v>310</v>
      </c>
      <c r="B51" s="334" t="s">
        <v>1339</v>
      </c>
      <c r="C51" s="334" t="s">
        <v>61</v>
      </c>
      <c r="D51" s="334" t="s">
        <v>1560</v>
      </c>
      <c r="E51" s="340">
        <v>1</v>
      </c>
      <c r="F51" s="340">
        <v>1</v>
      </c>
      <c r="G51" s="340">
        <v>1</v>
      </c>
      <c r="H51" s="340">
        <v>1</v>
      </c>
      <c r="I51" s="340">
        <v>1</v>
      </c>
      <c r="J51" s="340"/>
    </row>
    <row r="52" spans="1:10" x14ac:dyDescent="0.25">
      <c r="A52" s="9" t="s">
        <v>312</v>
      </c>
      <c r="B52" s="334" t="s">
        <v>1340</v>
      </c>
      <c r="C52" s="334" t="s">
        <v>1580</v>
      </c>
      <c r="D52" s="334" t="s">
        <v>1613</v>
      </c>
      <c r="E52" s="334">
        <v>0.95</v>
      </c>
      <c r="F52" s="334">
        <v>0.95</v>
      </c>
      <c r="G52" s="334">
        <v>0.95</v>
      </c>
      <c r="H52" s="334">
        <v>0.95</v>
      </c>
      <c r="I52" s="334">
        <v>0.95</v>
      </c>
      <c r="J52" s="334"/>
    </row>
    <row r="53" spans="1:10" x14ac:dyDescent="0.25">
      <c r="A53" s="335" t="s">
        <v>314</v>
      </c>
      <c r="B53" s="336" t="s">
        <v>1616</v>
      </c>
      <c r="C53" s="336" t="s">
        <v>1580</v>
      </c>
      <c r="D53" s="336" t="s">
        <v>1560</v>
      </c>
      <c r="E53" s="337">
        <f>(E49*E50*44/56)+(E51*E52*44/74)</f>
        <v>1.311293436293436</v>
      </c>
      <c r="F53" s="337">
        <f>(F49*F50*44/56)+(F51*F52*44/74)</f>
        <v>1.311293436293436</v>
      </c>
      <c r="G53" s="337">
        <f>(G49*G50*44/56)+(G51*G52*44/74)</f>
        <v>1.311293436293436</v>
      </c>
      <c r="H53" s="337">
        <f>(H49*H50*44/56)+(H51*H52*44/74)</f>
        <v>1.311293436293436</v>
      </c>
      <c r="I53" s="337">
        <f>(I49*I50*44/56)+(I51*I52*44/74)</f>
        <v>1.311293436293436</v>
      </c>
      <c r="J53" s="337"/>
    </row>
    <row r="54" spans="1:10" x14ac:dyDescent="0.25">
      <c r="A54" s="341" t="s">
        <v>1161</v>
      </c>
      <c r="B54" s="341" t="s">
        <v>1617</v>
      </c>
      <c r="C54" s="341"/>
      <c r="D54" s="341"/>
      <c r="E54" s="341"/>
      <c r="F54" s="341"/>
      <c r="G54" s="341"/>
      <c r="H54" s="341"/>
      <c r="I54" s="341"/>
      <c r="J54" s="341"/>
    </row>
    <row r="55" spans="1:10" x14ac:dyDescent="0.25">
      <c r="A55" s="335" t="s">
        <v>306</v>
      </c>
      <c r="B55" s="342" t="s">
        <v>1618</v>
      </c>
      <c r="C55" s="335" t="s">
        <v>1556</v>
      </c>
      <c r="D55" s="335" t="s">
        <v>1557</v>
      </c>
      <c r="E55" s="335">
        <v>1.6</v>
      </c>
      <c r="F55" s="335">
        <v>1.6</v>
      </c>
      <c r="G55" s="335">
        <v>1.6</v>
      </c>
      <c r="H55" s="335">
        <v>1.6</v>
      </c>
      <c r="I55" s="335">
        <v>1.6</v>
      </c>
      <c r="J55" s="335"/>
    </row>
    <row r="56" spans="1:10" x14ac:dyDescent="0.25">
      <c r="A56" s="335" t="s">
        <v>308</v>
      </c>
      <c r="B56" s="336" t="s">
        <v>1619</v>
      </c>
      <c r="C56" s="335" t="s">
        <v>1556</v>
      </c>
      <c r="D56" s="335" t="s">
        <v>1557</v>
      </c>
      <c r="E56" s="335">
        <v>1.7</v>
      </c>
      <c r="F56" s="335">
        <v>1.7</v>
      </c>
      <c r="G56" s="335">
        <v>1.7</v>
      </c>
      <c r="H56" s="335">
        <v>1.7</v>
      </c>
      <c r="I56" s="335">
        <v>1.7</v>
      </c>
      <c r="J56" s="335"/>
    </row>
    <row r="57" spans="1:10" x14ac:dyDescent="0.25">
      <c r="A57" s="341" t="s">
        <v>1173</v>
      </c>
      <c r="B57" s="341" t="s">
        <v>1620</v>
      </c>
      <c r="C57" s="341"/>
      <c r="D57" s="341"/>
      <c r="E57" s="336"/>
      <c r="F57" s="336"/>
      <c r="G57" s="336"/>
      <c r="H57" s="336"/>
      <c r="I57" s="336"/>
      <c r="J57" s="336"/>
    </row>
    <row r="58" spans="1:10" x14ac:dyDescent="0.25">
      <c r="A58" s="335" t="s">
        <v>306</v>
      </c>
      <c r="B58" s="336" t="s">
        <v>1563</v>
      </c>
      <c r="C58" s="336" t="s">
        <v>1556</v>
      </c>
      <c r="D58" s="336" t="s">
        <v>1565</v>
      </c>
      <c r="E58" s="336">
        <v>0.4</v>
      </c>
      <c r="F58" s="336">
        <v>0.4</v>
      </c>
      <c r="G58" s="336">
        <v>0.4</v>
      </c>
      <c r="H58" s="336">
        <v>0.4</v>
      </c>
      <c r="I58" s="336">
        <v>0.4</v>
      </c>
      <c r="J58" s="336"/>
    </row>
    <row r="59" spans="1:10" x14ac:dyDescent="0.25">
      <c r="A59" s="335" t="s">
        <v>308</v>
      </c>
      <c r="B59" s="336" t="s">
        <v>1568</v>
      </c>
      <c r="C59" s="336" t="s">
        <v>1556</v>
      </c>
      <c r="D59" s="336" t="s">
        <v>1565</v>
      </c>
      <c r="E59" s="336">
        <v>1.6</v>
      </c>
      <c r="F59" s="336">
        <v>1.6</v>
      </c>
      <c r="G59" s="336">
        <v>1.6</v>
      </c>
      <c r="H59" s="336">
        <v>1.6</v>
      </c>
      <c r="I59" s="336">
        <v>1.6</v>
      </c>
      <c r="J59" s="336"/>
    </row>
    <row r="60" spans="1:10" x14ac:dyDescent="0.25">
      <c r="A60" s="335" t="s">
        <v>310</v>
      </c>
      <c r="B60" s="336" t="s">
        <v>1621</v>
      </c>
      <c r="C60" s="336" t="s">
        <v>1556</v>
      </c>
      <c r="D60" s="336" t="s">
        <v>1565</v>
      </c>
      <c r="E60" s="336">
        <v>0.8</v>
      </c>
      <c r="F60" s="336">
        <v>0.8</v>
      </c>
      <c r="G60" s="336">
        <v>0.8</v>
      </c>
      <c r="H60" s="336">
        <v>0.8</v>
      </c>
      <c r="I60" s="336">
        <v>0.8</v>
      </c>
      <c r="J60" s="336"/>
    </row>
    <row r="61" spans="1:10" x14ac:dyDescent="0.25">
      <c r="A61" s="335" t="s">
        <v>312</v>
      </c>
      <c r="B61" s="336" t="s">
        <v>1562</v>
      </c>
      <c r="C61" s="336" t="s">
        <v>1556</v>
      </c>
      <c r="D61" s="336" t="s">
        <v>1565</v>
      </c>
      <c r="E61" s="336">
        <v>0.4</v>
      </c>
      <c r="F61" s="336">
        <v>0.4</v>
      </c>
      <c r="G61" s="336">
        <v>0.4</v>
      </c>
      <c r="H61" s="336">
        <v>0.4</v>
      </c>
      <c r="I61" s="336">
        <v>0.4</v>
      </c>
      <c r="J61" s="336"/>
    </row>
    <row r="62" spans="1:10" x14ac:dyDescent="0.25">
      <c r="A62" s="341" t="s">
        <v>1194</v>
      </c>
      <c r="B62" s="341" t="s">
        <v>1622</v>
      </c>
      <c r="C62" s="341"/>
      <c r="D62" s="341"/>
      <c r="E62" s="336"/>
      <c r="F62" s="336"/>
      <c r="G62" s="336"/>
      <c r="H62" s="336"/>
      <c r="I62" s="336"/>
      <c r="J62" s="336"/>
    </row>
    <row r="63" spans="1:10" x14ac:dyDescent="0.25">
      <c r="A63" s="335" t="s">
        <v>306</v>
      </c>
      <c r="B63" s="336" t="s">
        <v>1563</v>
      </c>
      <c r="C63" s="336" t="s">
        <v>1556</v>
      </c>
      <c r="D63" s="336" t="s">
        <v>1567</v>
      </c>
      <c r="E63" s="336">
        <v>0.04</v>
      </c>
      <c r="F63" s="336">
        <v>0.04</v>
      </c>
      <c r="G63" s="336">
        <v>0.04</v>
      </c>
      <c r="H63" s="336">
        <v>0.04</v>
      </c>
      <c r="I63" s="336">
        <v>0.04</v>
      </c>
      <c r="J63" s="336"/>
    </row>
    <row r="64" spans="1:10" x14ac:dyDescent="0.25">
      <c r="A64" s="335" t="s">
        <v>308</v>
      </c>
      <c r="B64" s="336" t="s">
        <v>1568</v>
      </c>
      <c r="C64" s="336" t="s">
        <v>1556</v>
      </c>
      <c r="D64" s="336" t="s">
        <v>1567</v>
      </c>
      <c r="E64" s="336">
        <v>0.4</v>
      </c>
      <c r="F64" s="336">
        <v>0.4</v>
      </c>
      <c r="G64" s="336">
        <v>0.4</v>
      </c>
      <c r="H64" s="336">
        <v>0.4</v>
      </c>
      <c r="I64" s="336">
        <v>0.4</v>
      </c>
      <c r="J64" s="336"/>
    </row>
    <row r="65" spans="1:10" x14ac:dyDescent="0.25">
      <c r="A65" s="335" t="s">
        <v>310</v>
      </c>
      <c r="B65" s="336" t="s">
        <v>1621</v>
      </c>
      <c r="C65" s="336" t="s">
        <v>1556</v>
      </c>
      <c r="D65" s="336" t="s">
        <v>1567</v>
      </c>
      <c r="E65" s="336">
        <v>0.04</v>
      </c>
      <c r="F65" s="336">
        <v>0.04</v>
      </c>
      <c r="G65" s="336">
        <v>0.04</v>
      </c>
      <c r="H65" s="336">
        <v>0.04</v>
      </c>
      <c r="I65" s="336">
        <v>0.04</v>
      </c>
      <c r="J65" s="336"/>
    </row>
    <row r="66" spans="1:10" x14ac:dyDescent="0.25">
      <c r="A66" s="335" t="s">
        <v>312</v>
      </c>
      <c r="B66" s="336" t="s">
        <v>1562</v>
      </c>
      <c r="C66" s="336" t="s">
        <v>1556</v>
      </c>
      <c r="D66" s="336" t="s">
        <v>1567</v>
      </c>
      <c r="E66" s="336">
        <v>0.03</v>
      </c>
      <c r="F66" s="336">
        <v>0.03</v>
      </c>
      <c r="G66" s="336">
        <v>0.03</v>
      </c>
      <c r="H66" s="336">
        <v>0.03</v>
      </c>
      <c r="I66" s="336">
        <v>0.03</v>
      </c>
      <c r="J66" s="336"/>
    </row>
    <row r="67" spans="1:10" x14ac:dyDescent="0.25">
      <c r="A67" s="341" t="s">
        <v>1253</v>
      </c>
      <c r="B67" s="341" t="s">
        <v>1623</v>
      </c>
      <c r="C67" s="341"/>
      <c r="D67" s="341"/>
      <c r="E67" s="336"/>
      <c r="F67" s="336"/>
      <c r="G67" s="336"/>
      <c r="H67" s="336"/>
      <c r="I67" s="336"/>
      <c r="J67" s="336"/>
    </row>
    <row r="68" spans="1:10" x14ac:dyDescent="0.25">
      <c r="A68" s="335" t="s">
        <v>306</v>
      </c>
      <c r="B68" s="336" t="s">
        <v>1563</v>
      </c>
      <c r="C68" s="336" t="s">
        <v>1556</v>
      </c>
      <c r="D68" s="336" t="s">
        <v>1600</v>
      </c>
      <c r="E68" s="336">
        <v>0.143</v>
      </c>
      <c r="F68" s="336">
        <v>0.143</v>
      </c>
      <c r="G68" s="336">
        <v>0.143</v>
      </c>
      <c r="H68" s="336">
        <v>0.143</v>
      </c>
      <c r="I68" s="336">
        <v>0.143</v>
      </c>
      <c r="J68" s="336"/>
    </row>
    <row r="69" spans="1:10" x14ac:dyDescent="0.25">
      <c r="A69" s="335" t="s">
        <v>308</v>
      </c>
      <c r="B69" s="336" t="s">
        <v>1568</v>
      </c>
      <c r="C69" s="336" t="s">
        <v>1556</v>
      </c>
      <c r="D69" s="336" t="s">
        <v>1600</v>
      </c>
      <c r="E69" s="336">
        <v>0.272</v>
      </c>
      <c r="F69" s="336">
        <v>0.272</v>
      </c>
      <c r="G69" s="336">
        <v>0.272</v>
      </c>
      <c r="H69" s="336">
        <v>0.272</v>
      </c>
      <c r="I69" s="336">
        <v>0.272</v>
      </c>
      <c r="J69" s="336"/>
    </row>
    <row r="70" spans="1:10" x14ac:dyDescent="0.25">
      <c r="A70" s="335" t="s">
        <v>310</v>
      </c>
      <c r="B70" s="336" t="s">
        <v>1621</v>
      </c>
      <c r="C70" s="336" t="s">
        <v>1556</v>
      </c>
      <c r="D70" s="336" t="s">
        <v>1600</v>
      </c>
      <c r="E70" s="336">
        <v>0.092</v>
      </c>
      <c r="F70" s="336">
        <v>0.092</v>
      </c>
      <c r="G70" s="336">
        <v>0.092</v>
      </c>
      <c r="H70" s="336">
        <v>0.092</v>
      </c>
      <c r="I70" s="336">
        <v>0.092</v>
      </c>
      <c r="J70" s="336"/>
    </row>
    <row r="71" spans="1:10" x14ac:dyDescent="0.25">
      <c r="A71" s="335" t="s">
        <v>312</v>
      </c>
      <c r="B71" s="336" t="s">
        <v>1562</v>
      </c>
      <c r="C71" s="336" t="s">
        <v>1556</v>
      </c>
      <c r="D71" s="336" t="s">
        <v>1600</v>
      </c>
      <c r="E71" s="336">
        <v>0.099</v>
      </c>
      <c r="F71" s="336">
        <v>0.099</v>
      </c>
      <c r="G71" s="336">
        <v>0.099</v>
      </c>
      <c r="H71" s="336">
        <v>0.099</v>
      </c>
      <c r="I71" s="336">
        <v>0.099</v>
      </c>
      <c r="J71" s="336"/>
    </row>
    <row r="72" spans="1:10" x14ac:dyDescent="0.25">
      <c r="A72" s="341" t="s">
        <v>1264</v>
      </c>
      <c r="B72" s="341" t="s">
        <v>1624</v>
      </c>
      <c r="C72" s="341"/>
      <c r="D72" s="341"/>
      <c r="E72" s="336"/>
      <c r="F72" s="336"/>
      <c r="G72" s="336"/>
      <c r="H72" s="336"/>
      <c r="I72" s="336"/>
      <c r="J72" s="336"/>
    </row>
    <row r="73" spans="1:10" x14ac:dyDescent="0.25">
      <c r="A73" s="335" t="s">
        <v>306</v>
      </c>
      <c r="B73" s="336" t="s">
        <v>1563</v>
      </c>
      <c r="C73" s="336" t="s">
        <v>1556</v>
      </c>
      <c r="D73" s="336" t="s">
        <v>1625</v>
      </c>
      <c r="E73" s="336">
        <v>1.16</v>
      </c>
      <c r="F73" s="336">
        <v>1.16</v>
      </c>
      <c r="G73" s="336">
        <v>1.16</v>
      </c>
      <c r="H73" s="336">
        <v>1.16</v>
      </c>
      <c r="I73" s="336">
        <v>1.16</v>
      </c>
      <c r="J73" s="336"/>
    </row>
    <row r="74" spans="1:10" x14ac:dyDescent="0.25">
      <c r="A74" s="335" t="s">
        <v>308</v>
      </c>
      <c r="B74" s="336" t="s">
        <v>1568</v>
      </c>
      <c r="C74" s="336" t="s">
        <v>1556</v>
      </c>
      <c r="D74" s="336" t="s">
        <v>1625</v>
      </c>
      <c r="E74" s="336">
        <v>3.65</v>
      </c>
      <c r="F74" s="336">
        <v>3.65</v>
      </c>
      <c r="G74" s="336">
        <v>3.65</v>
      </c>
      <c r="H74" s="336">
        <v>3.65</v>
      </c>
      <c r="I74" s="336">
        <v>3.65</v>
      </c>
      <c r="J74" s="336"/>
    </row>
    <row r="75" spans="1:10" x14ac:dyDescent="0.25">
      <c r="A75" s="335" t="s">
        <v>310</v>
      </c>
      <c r="B75" s="336" t="s">
        <v>1621</v>
      </c>
      <c r="C75" s="336" t="s">
        <v>1556</v>
      </c>
      <c r="D75" s="336" t="s">
        <v>1625</v>
      </c>
      <c r="E75" s="336">
        <v>0</v>
      </c>
      <c r="F75" s="336">
        <v>0</v>
      </c>
      <c r="G75" s="336">
        <v>0</v>
      </c>
      <c r="H75" s="336">
        <v>0</v>
      </c>
      <c r="I75" s="336">
        <v>0</v>
      </c>
      <c r="J75" s="336"/>
    </row>
    <row r="76" spans="1:10" x14ac:dyDescent="0.25">
      <c r="A76" s="335" t="s">
        <v>312</v>
      </c>
      <c r="B76" s="336" t="s">
        <v>1562</v>
      </c>
      <c r="C76" s="336" t="s">
        <v>1556</v>
      </c>
      <c r="D76" s="336" t="s">
        <v>1625</v>
      </c>
      <c r="E76" s="336">
        <v>0</v>
      </c>
      <c r="F76" s="336">
        <v>0</v>
      </c>
      <c r="G76" s="336">
        <v>0</v>
      </c>
      <c r="H76" s="336">
        <v>0</v>
      </c>
      <c r="I76" s="336">
        <v>0</v>
      </c>
      <c r="J76" s="336"/>
    </row>
    <row r="77" spans="1:10" x14ac:dyDescent="0.25">
      <c r="A77" s="341" t="s">
        <v>1281</v>
      </c>
      <c r="B77" s="341" t="s">
        <v>1626</v>
      </c>
      <c r="C77" s="341"/>
      <c r="D77" s="341"/>
      <c r="E77" s="336"/>
      <c r="F77" s="336"/>
      <c r="G77" s="336"/>
      <c r="H77" s="336"/>
      <c r="I77" s="336"/>
      <c r="J77" s="336"/>
    </row>
    <row r="78" spans="1:10" x14ac:dyDescent="0.25">
      <c r="A78" s="335" t="s">
        <v>306</v>
      </c>
      <c r="B78" s="336" t="s">
        <v>1563</v>
      </c>
      <c r="C78" s="336" t="s">
        <v>1556</v>
      </c>
      <c r="D78" s="336" t="s">
        <v>1627</v>
      </c>
      <c r="E78" s="336">
        <v>0.121</v>
      </c>
      <c r="F78" s="336">
        <v>0.121</v>
      </c>
      <c r="G78" s="336">
        <v>0.121</v>
      </c>
      <c r="H78" s="336">
        <v>0.121</v>
      </c>
      <c r="I78" s="336">
        <v>0.121</v>
      </c>
      <c r="J78" s="336"/>
    </row>
    <row r="79" spans="1:10" x14ac:dyDescent="0.25">
      <c r="A79" s="335" t="s">
        <v>308</v>
      </c>
      <c r="B79" s="336" t="s">
        <v>1568</v>
      </c>
      <c r="C79" s="336" t="s">
        <v>1556</v>
      </c>
      <c r="D79" s="336" t="s">
        <v>1627</v>
      </c>
      <c r="E79" s="336">
        <v>0.252</v>
      </c>
      <c r="F79" s="336">
        <v>0.252</v>
      </c>
      <c r="G79" s="336">
        <v>0.252</v>
      </c>
      <c r="H79" s="336">
        <v>0.252</v>
      </c>
      <c r="I79" s="336">
        <v>0.252</v>
      </c>
      <c r="J79" s="336"/>
    </row>
    <row r="80" spans="1:10" x14ac:dyDescent="0.25">
      <c r="A80" s="335" t="s">
        <v>310</v>
      </c>
      <c r="B80" s="336" t="s">
        <v>1621</v>
      </c>
      <c r="C80" s="336" t="s">
        <v>1556</v>
      </c>
      <c r="D80" s="336" t="s">
        <v>1627</v>
      </c>
      <c r="E80" s="336">
        <v>0.053</v>
      </c>
      <c r="F80" s="336">
        <v>0.053</v>
      </c>
      <c r="G80" s="336">
        <v>0.053</v>
      </c>
      <c r="H80" s="336">
        <v>0.053</v>
      </c>
      <c r="I80" s="336">
        <v>0.053</v>
      </c>
      <c r="J80" s="336"/>
    </row>
    <row r="81" spans="1:10" x14ac:dyDescent="0.25">
      <c r="A81" s="335" t="s">
        <v>312</v>
      </c>
      <c r="B81" s="336" t="s">
        <v>1562</v>
      </c>
      <c r="C81" s="336" t="s">
        <v>1556</v>
      </c>
      <c r="D81" s="336" t="s">
        <v>1627</v>
      </c>
      <c r="E81" s="336">
        <v>0.085</v>
      </c>
      <c r="F81" s="336">
        <v>0.085</v>
      </c>
      <c r="G81" s="336">
        <v>0.085</v>
      </c>
      <c r="H81" s="336">
        <v>0.085</v>
      </c>
      <c r="I81" s="336">
        <v>0.085</v>
      </c>
      <c r="J81" s="336"/>
    </row>
    <row r="82" spans="1:10" x14ac:dyDescent="0.25">
      <c r="A82" s="341" t="s">
        <v>1284</v>
      </c>
      <c r="B82" s="341" t="s">
        <v>1628</v>
      </c>
      <c r="C82" s="341"/>
      <c r="D82" s="341"/>
      <c r="E82" s="336"/>
      <c r="F82" s="336"/>
      <c r="G82" s="336"/>
      <c r="H82" s="336"/>
      <c r="I82" s="336"/>
      <c r="J82" s="336"/>
    </row>
    <row r="83" spans="1:10" x14ac:dyDescent="0.25">
      <c r="A83" s="335" t="s">
        <v>306</v>
      </c>
      <c r="B83" s="336" t="s">
        <v>1569</v>
      </c>
      <c r="C83" s="336" t="s">
        <v>1556</v>
      </c>
      <c r="D83" s="336" t="s">
        <v>1570</v>
      </c>
      <c r="E83" s="337">
        <v>6500</v>
      </c>
      <c r="F83" s="337">
        <v>6500</v>
      </c>
      <c r="G83" s="338">
        <v>6500</v>
      </c>
      <c r="H83" s="338">
        <v>6500</v>
      </c>
      <c r="I83" s="338">
        <v>6500</v>
      </c>
      <c r="J83" s="336"/>
    </row>
    <row r="84" spans="1:10" x14ac:dyDescent="0.25">
      <c r="A84" s="335" t="s">
        <v>308</v>
      </c>
      <c r="B84" s="336" t="s">
        <v>1571</v>
      </c>
      <c r="C84" s="336" t="s">
        <v>1556</v>
      </c>
      <c r="D84" s="336" t="s">
        <v>1572</v>
      </c>
      <c r="E84" s="337">
        <v>9200</v>
      </c>
      <c r="F84" s="337">
        <v>9200</v>
      </c>
      <c r="G84" s="338">
        <v>9200</v>
      </c>
      <c r="H84" s="338">
        <v>9200</v>
      </c>
      <c r="I84" s="338">
        <v>9200</v>
      </c>
      <c r="J84" s="336"/>
    </row>
  </sheetData>
  <mergeCells count="15">
    <mergeCell ref="B2:D2"/>
    <mergeCell ref="B7:D7"/>
    <mergeCell ref="B14:D14"/>
    <mergeCell ref="B20:D20"/>
    <mergeCell ref="B28:D28"/>
    <mergeCell ref="B34:D34"/>
    <mergeCell ref="B44:D44"/>
    <mergeCell ref="B48:D48"/>
    <mergeCell ref="B54:D54"/>
    <mergeCell ref="B57:D57"/>
    <mergeCell ref="B62:D62"/>
    <mergeCell ref="B67:D67"/>
    <mergeCell ref="B72:D72"/>
    <mergeCell ref="B77:D77"/>
    <mergeCell ref="B82:D82"/>
  </mergeCells>
  <dataValidations count="3">
    <dataValidation type="list" allowBlank="1" showInputMessage="1" showErrorMessage="1" sqref="E35:I35">
      <formula1>$B$58:$B$61</formula1>
    </dataValidation>
    <dataValidation type="list" allowBlank="1" showInputMessage="1" showErrorMessage="1" sqref="E4:I4">
      <formula1>$O$6:$O$7</formula1>
    </dataValidation>
    <dataValidation type="list" allowBlank="1" showInputMessage="1" showErrorMessage="1" sqref="E8:J8">
      <formula1>$B$58:$B$61</formula1>
    </dataValidation>
  </dataValidations>
  <pageMargins left="0.7" right="0.7" top="0.75" bottom="0.75" header="0.3" footer="0.3"/>
  <pageSetup orientation="portrait" horizontalDpi="300" verticalDpi="300" scale="100" fitToWidth="1" fitToHeight="1" firstPageNumber="1" useFirstPageNumber="1" copies="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2"/>
  <sheetViews>
    <sheetView workbookViewId="0" zoomScale="85" zoomScaleNormal="85">
      <selection activeCell="E63" sqref="E63"/>
    </sheetView>
  </sheetViews>
  <sheetFormatPr defaultRowHeight="14.5" outlineLevelRow="0" outlineLevelCol="0" x14ac:dyDescent="0.35" customHeight="1"/>
  <cols>
    <col min="1" max="1" width="6.1796875" customWidth="1"/>
    <col min="2" max="2" width="37.453125" customWidth="1"/>
    <col min="3" max="3" width="20.453125" style="1146" customWidth="1"/>
    <col min="4" max="4" width="17.7265625" customWidth="1"/>
    <col min="5" max="5" width="40" customWidth="1"/>
    <col min="6" max="6" width="9.26953125" style="1146" hidden="1" customWidth="1"/>
    <col min="7" max="7" width="11.7265625" style="1146" hidden="1" customWidth="1"/>
    <col min="8" max="8" width="14" style="1146" hidden="1" customWidth="1"/>
    <col min="9" max="9" width="9.7265625" style="1146" hidden="1" customWidth="1"/>
    <col min="10" max="10" width="12" style="1146" hidden="1" customWidth="1"/>
    <col min="11" max="11" width="13.54296875" style="1146" hidden="1" customWidth="1"/>
    <col min="12" max="12" width="5.26953125" style="1146" customWidth="1"/>
    <col min="13" max="13" width="11.453125" style="1146" customWidth="1"/>
    <col min="14" max="14" width="20.1796875" customWidth="1"/>
    <col min="15" max="15" width="20.7265625" customWidth="1"/>
    <col min="16" max="16" width="16" customWidth="1"/>
    <col min="17" max="17" width="16.54296875" customWidth="1"/>
    <col min="19" max="19" width="12" customWidth="1"/>
    <col min="20" max="20" width="19" customWidth="1"/>
  </cols>
  <sheetData>
    <row r="1" spans="1:15" x14ac:dyDescent="0.25">
      <c r="A1" s="1174" t="s">
        <v>2957</v>
      </c>
      <c r="B1" s="1174"/>
      <c r="C1" s="1174"/>
      <c r="D1" s="1174"/>
      <c r="E1" s="1174"/>
      <c r="F1" s="1174"/>
      <c r="G1" s="1174"/>
      <c r="H1" s="1174"/>
      <c r="I1" s="1175"/>
      <c r="J1" s="987"/>
      <c r="K1" s="987"/>
      <c r="L1" s="987"/>
      <c r="M1" s="987"/>
      <c r="O1" s="1176"/>
    </row>
    <row r="2" spans="1:21" x14ac:dyDescent="0.25">
      <c r="A2" s="1177" t="s">
        <v>2958</v>
      </c>
      <c r="B2" s="1177" t="s">
        <v>2959</v>
      </c>
      <c r="C2" s="1178" t="s">
        <v>2960</v>
      </c>
      <c r="D2" s="1179"/>
      <c r="E2" s="1180"/>
      <c r="F2" s="1178" t="s">
        <v>2961</v>
      </c>
      <c r="G2" s="1179"/>
      <c r="H2" s="1180"/>
      <c r="I2" s="1178" t="s">
        <v>2962</v>
      </c>
      <c r="J2" s="1179"/>
      <c r="K2" s="1180"/>
      <c r="N2" s="1181" t="s">
        <v>2963</v>
      </c>
      <c r="O2" s="1182">
        <v>238845896.6275</v>
      </c>
      <c r="P2" s="1183" t="s">
        <v>2964</v>
      </c>
      <c r="S2" s="1146" t="s">
        <v>2965</v>
      </c>
      <c r="T2">
        <f>O2/1000</f>
        <v>238845.89662749998</v>
      </c>
      <c r="U2" t="s">
        <v>2964</v>
      </c>
    </row>
    <row r="3" spans="1:21" x14ac:dyDescent="0.25">
      <c r="A3" s="1177"/>
      <c r="B3" s="1177"/>
      <c r="C3" s="1184" t="s">
        <v>2966</v>
      </c>
      <c r="D3" s="1184" t="s">
        <v>2967</v>
      </c>
      <c r="E3" s="1184" t="s">
        <v>2105</v>
      </c>
      <c r="F3" s="1184" t="s">
        <v>2968</v>
      </c>
      <c r="G3" s="1184" t="s">
        <v>2969</v>
      </c>
      <c r="H3" s="1184" t="s">
        <v>2970</v>
      </c>
      <c r="I3" s="1185" t="s">
        <v>2971</v>
      </c>
      <c r="J3" s="1184" t="s">
        <v>2972</v>
      </c>
      <c r="K3" s="1184" t="s">
        <v>2973</v>
      </c>
      <c r="S3" s="1146" t="s">
        <v>2965</v>
      </c>
      <c r="T3">
        <f>T2/(1000*10000)</f>
        <v>0.02388458966275</v>
      </c>
      <c r="U3" t="s">
        <v>2974</v>
      </c>
    </row>
    <row r="4" spans="1:19" x14ac:dyDescent="0.25">
      <c r="A4" s="9">
        <v>1</v>
      </c>
      <c r="B4" s="334" t="s">
        <v>2975</v>
      </c>
      <c r="C4" s="1186">
        <v>73.3</v>
      </c>
      <c r="D4" s="1187">
        <f t="shared" ref="D4:D35" si="0">C4/$O$11</f>
        <v>3.068924399999948</v>
      </c>
      <c r="E4" s="1188">
        <f t="shared" ref="E4:E35" si="1">C4*1000*1000/$O$2</f>
        <v>0.30689243999999477</v>
      </c>
      <c r="F4" s="1186">
        <v>3</v>
      </c>
      <c r="G4" s="1189">
        <f t="shared" ref="G4:G35" si="2">F4*1000/($O$2)</f>
        <v>0.000012560399999999786</v>
      </c>
      <c r="H4" s="1190">
        <f t="shared" ref="H4:H35" si="3">G4*$E$61</f>
        <v>0.000351691199999994</v>
      </c>
      <c r="I4" s="1186">
        <v>0.6</v>
      </c>
      <c r="J4" s="1191">
        <f t="shared" ref="J4:J35" si="4">I4*1000/$O$2</f>
        <v>0.000002512079999999957</v>
      </c>
      <c r="K4" s="1190">
        <f t="shared" ref="K4:K35" si="5">J4*$E$62</f>
        <v>0.0006657011999999887</v>
      </c>
      <c r="L4" s="1192"/>
      <c r="M4" s="1192"/>
      <c r="N4" s="1193" t="s">
        <v>1459</v>
      </c>
      <c r="O4" s="1194" t="s">
        <v>2976</v>
      </c>
      <c r="P4" s="1193" t="s">
        <v>1453</v>
      </c>
      <c r="S4" s="1146"/>
    </row>
    <row r="5" spans="1:19" x14ac:dyDescent="0.25">
      <c r="A5" s="9">
        <v>2</v>
      </c>
      <c r="B5" s="334" t="s">
        <v>2977</v>
      </c>
      <c r="C5" s="1186">
        <v>77</v>
      </c>
      <c r="D5" s="1187">
        <f t="shared" si="0"/>
        <v>3.2238359999999453</v>
      </c>
      <c r="E5" s="1188">
        <f t="shared" si="1"/>
        <v>0.3223835999999945</v>
      </c>
      <c r="F5" s="1186">
        <v>3</v>
      </c>
      <c r="G5" s="1189">
        <f t="shared" si="2"/>
        <v>0.000012560399999999786</v>
      </c>
      <c r="H5" s="1190">
        <f t="shared" si="3"/>
        <v>0.000351691199999994</v>
      </c>
      <c r="I5" s="1186">
        <v>0.6</v>
      </c>
      <c r="J5" s="1191">
        <f t="shared" si="4"/>
        <v>0.000002512079999999957</v>
      </c>
      <c r="K5" s="1190">
        <f t="shared" si="5"/>
        <v>0.0006657011999999887</v>
      </c>
      <c r="L5" s="1192"/>
      <c r="M5" s="1192"/>
      <c r="N5" s="1183" t="str">
        <f>N6</f>
        <v>Other Bituminous Coal</v>
      </c>
      <c r="O5" s="1195">
        <f>C28</f>
        <v>94.6</v>
      </c>
      <c r="P5" s="1183" t="s">
        <v>2978</v>
      </c>
      <c r="S5" s="1146"/>
    </row>
    <row r="6" spans="1:19" x14ac:dyDescent="0.25">
      <c r="A6" s="9">
        <v>3</v>
      </c>
      <c r="B6" s="334" t="s">
        <v>2979</v>
      </c>
      <c r="C6" s="1186">
        <v>64.2</v>
      </c>
      <c r="D6" s="1187">
        <f t="shared" si="0"/>
        <v>2.6879255999999545</v>
      </c>
      <c r="E6" s="1188">
        <f t="shared" si="1"/>
        <v>0.2687925599999954</v>
      </c>
      <c r="F6" s="1186">
        <v>3</v>
      </c>
      <c r="G6" s="1189">
        <f t="shared" si="2"/>
        <v>0.000012560399999999786</v>
      </c>
      <c r="H6" s="1190">
        <f t="shared" si="3"/>
        <v>0.000351691199999994</v>
      </c>
      <c r="I6" s="1186">
        <v>0.6</v>
      </c>
      <c r="J6" s="1191">
        <f t="shared" si="4"/>
        <v>0.000002512079999999957</v>
      </c>
      <c r="K6" s="1190">
        <f t="shared" si="5"/>
        <v>0.0006657011999999887</v>
      </c>
      <c r="L6" s="1192"/>
      <c r="M6" s="1192"/>
      <c r="N6" s="1183" t="str">
        <f>B28</f>
        <v>Other Bituminous Coal</v>
      </c>
      <c r="O6" s="1182">
        <f>10^6*O5/O2</f>
        <v>0.39607127999999325</v>
      </c>
      <c r="P6" s="1183" t="s">
        <v>2980</v>
      </c>
      <c r="S6" s="1146"/>
    </row>
    <row r="7" spans="1:19" x14ac:dyDescent="0.25">
      <c r="A7" s="9">
        <v>4</v>
      </c>
      <c r="B7" s="334" t="s">
        <v>2981</v>
      </c>
      <c r="C7" s="1186">
        <v>69.3</v>
      </c>
      <c r="D7" s="1187">
        <f t="shared" si="0"/>
        <v>2.901452399999951</v>
      </c>
      <c r="E7" s="1188">
        <f t="shared" si="1"/>
        <v>0.2901452399999951</v>
      </c>
      <c r="F7" s="1186">
        <v>3</v>
      </c>
      <c r="G7" s="1189">
        <f t="shared" si="2"/>
        <v>0.000012560399999999786</v>
      </c>
      <c r="H7" s="1190">
        <f t="shared" si="3"/>
        <v>0.000351691199999994</v>
      </c>
      <c r="I7" s="1186">
        <v>0.6</v>
      </c>
      <c r="J7" s="1191">
        <f t="shared" si="4"/>
        <v>0.000002512079999999957</v>
      </c>
      <c r="K7" s="1190">
        <f t="shared" si="5"/>
        <v>0.0006657011999999887</v>
      </c>
      <c r="L7" s="1192"/>
      <c r="M7" s="1192"/>
      <c r="N7" s="1183" t="str">
        <f>N5</f>
        <v>Other Bituminous Coal</v>
      </c>
      <c r="O7" s="1195">
        <v>4500</v>
      </c>
      <c r="P7" s="1183" t="s">
        <v>1771</v>
      </c>
      <c r="S7" s="1146"/>
    </row>
    <row r="8" spans="1:16" x14ac:dyDescent="0.25">
      <c r="A8" s="9">
        <v>5</v>
      </c>
      <c r="B8" s="334" t="s">
        <v>2982</v>
      </c>
      <c r="C8" s="1186">
        <v>70</v>
      </c>
      <c r="D8" s="1187">
        <f t="shared" si="0"/>
        <v>2.9307599999999505</v>
      </c>
      <c r="E8" s="1188">
        <f t="shared" si="1"/>
        <v>0.293075999999995</v>
      </c>
      <c r="F8" s="1186">
        <v>3</v>
      </c>
      <c r="G8" s="1189">
        <f t="shared" si="2"/>
        <v>0.000012560399999999786</v>
      </c>
      <c r="H8" s="1190">
        <f t="shared" si="3"/>
        <v>0.000351691199999994</v>
      </c>
      <c r="I8" s="1186">
        <v>0.6</v>
      </c>
      <c r="J8" s="1191">
        <f t="shared" si="4"/>
        <v>0.000002512079999999957</v>
      </c>
      <c r="K8" s="1190">
        <f t="shared" si="5"/>
        <v>0.0006657011999999887</v>
      </c>
      <c r="L8" s="1192"/>
      <c r="M8" s="1192"/>
      <c r="N8" s="1183" t="str">
        <f>N7</f>
        <v>Other Bituminous Coal</v>
      </c>
      <c r="O8" s="1196">
        <f>O6*O7</f>
        <v>1782.3207599999696</v>
      </c>
      <c r="P8" s="1183" t="s">
        <v>2983</v>
      </c>
    </row>
    <row r="9" spans="1:16" x14ac:dyDescent="0.25">
      <c r="A9" s="9">
        <v>6</v>
      </c>
      <c r="B9" s="334" t="s">
        <v>2984</v>
      </c>
      <c r="C9" s="1186">
        <v>70</v>
      </c>
      <c r="D9" s="1187">
        <f t="shared" si="0"/>
        <v>2.9307599999999505</v>
      </c>
      <c r="E9" s="1188">
        <f t="shared" si="1"/>
        <v>0.293075999999995</v>
      </c>
      <c r="F9" s="1186">
        <v>3</v>
      </c>
      <c r="G9" s="1189">
        <f t="shared" si="2"/>
        <v>0.000012560399999999786</v>
      </c>
      <c r="H9" s="1190">
        <f t="shared" si="3"/>
        <v>0.000351691199999994</v>
      </c>
      <c r="I9" s="1186">
        <v>0.6</v>
      </c>
      <c r="J9" s="1191">
        <f t="shared" si="4"/>
        <v>0.000002512079999999957</v>
      </c>
      <c r="K9" s="1190">
        <f t="shared" si="5"/>
        <v>0.0006657011999999887</v>
      </c>
      <c r="L9" s="1192"/>
      <c r="M9" s="1192"/>
      <c r="N9" s="1183" t="str">
        <f>N8</f>
        <v>Other Bituminous Coal</v>
      </c>
      <c r="O9" s="1196">
        <f>O8/1000</f>
        <v>1.7823207599999695</v>
      </c>
      <c r="P9" s="1183" t="s">
        <v>2985</v>
      </c>
    </row>
    <row r="10" spans="1:13" x14ac:dyDescent="0.25">
      <c r="A10" s="9">
        <v>7</v>
      </c>
      <c r="B10" s="334" t="s">
        <v>2986</v>
      </c>
      <c r="C10" s="1186">
        <v>71.5</v>
      </c>
      <c r="D10" s="1187">
        <f t="shared" si="0"/>
        <v>2.993561999999949</v>
      </c>
      <c r="E10" s="1188">
        <f t="shared" si="1"/>
        <v>0.2993561999999949</v>
      </c>
      <c r="F10" s="1186">
        <v>3</v>
      </c>
      <c r="G10" s="1189">
        <f t="shared" si="2"/>
        <v>0.000012560399999999786</v>
      </c>
      <c r="H10" s="1190">
        <f t="shared" si="3"/>
        <v>0.000351691199999994</v>
      </c>
      <c r="I10" s="1186">
        <v>0.6</v>
      </c>
      <c r="J10" s="1191">
        <f t="shared" si="4"/>
        <v>0.000002512079999999957</v>
      </c>
      <c r="K10" s="1190">
        <f t="shared" si="5"/>
        <v>0.0006657011999999887</v>
      </c>
      <c r="L10" s="1192"/>
      <c r="M10" s="1192"/>
    </row>
    <row r="11" spans="1:16" x14ac:dyDescent="0.25">
      <c r="A11" s="9">
        <v>8</v>
      </c>
      <c r="B11" s="334" t="s">
        <v>2987</v>
      </c>
      <c r="C11" s="1186">
        <v>71.9</v>
      </c>
      <c r="D11" s="1187">
        <f t="shared" si="0"/>
        <v>3.0103091999999494</v>
      </c>
      <c r="E11" s="1188">
        <f t="shared" si="1"/>
        <v>0.3010309199999949</v>
      </c>
      <c r="F11" s="1186">
        <v>3</v>
      </c>
      <c r="G11" s="1189">
        <f t="shared" si="2"/>
        <v>0.000012560399999999786</v>
      </c>
      <c r="H11" s="1190">
        <f t="shared" si="3"/>
        <v>0.000351691199999994</v>
      </c>
      <c r="I11" s="1186">
        <v>0.6</v>
      </c>
      <c r="J11" s="1191">
        <f t="shared" si="4"/>
        <v>0.000002512079999999957</v>
      </c>
      <c r="K11" s="1190">
        <f t="shared" si="5"/>
        <v>0.0006657011999999887</v>
      </c>
      <c r="L11" s="1192"/>
      <c r="M11" s="1192"/>
      <c r="N11" s="1197" t="s">
        <v>2963</v>
      </c>
      <c r="O11" s="1198">
        <f>O2/10000/1000</f>
        <v>23.88458966275</v>
      </c>
      <c r="P11" s="1193" t="s">
        <v>2974</v>
      </c>
    </row>
    <row r="12" spans="1:14" x14ac:dyDescent="0.25">
      <c r="A12" s="9">
        <v>9</v>
      </c>
      <c r="B12" s="334" t="s">
        <v>2988</v>
      </c>
      <c r="C12" s="1186">
        <v>73.3</v>
      </c>
      <c r="D12" s="1187">
        <f t="shared" si="0"/>
        <v>3.068924399999948</v>
      </c>
      <c r="E12" s="1188">
        <f t="shared" si="1"/>
        <v>0.30689243999999477</v>
      </c>
      <c r="F12" s="1186">
        <v>3</v>
      </c>
      <c r="G12" s="1189">
        <f t="shared" si="2"/>
        <v>0.000012560399999999786</v>
      </c>
      <c r="H12" s="1190">
        <f t="shared" si="3"/>
        <v>0.000351691199999994</v>
      </c>
      <c r="I12" s="1186">
        <v>0.6</v>
      </c>
      <c r="J12" s="1191">
        <f t="shared" si="4"/>
        <v>0.000002512079999999957</v>
      </c>
      <c r="K12" s="1190">
        <f t="shared" si="5"/>
        <v>0.0006657011999999887</v>
      </c>
      <c r="L12" s="1192"/>
      <c r="M12" s="1192"/>
      <c r="N12" s="1197" t="s">
        <v>2963</v>
      </c>
    </row>
    <row r="13" spans="1:16" x14ac:dyDescent="0.25">
      <c r="A13" s="9">
        <v>10</v>
      </c>
      <c r="B13" s="334" t="s">
        <v>2989</v>
      </c>
      <c r="C13" s="1186">
        <v>74.1</v>
      </c>
      <c r="D13" s="1187">
        <f t="shared" si="0"/>
        <v>3.1024187999999473</v>
      </c>
      <c r="E13" s="1188">
        <f t="shared" si="1"/>
        <v>0.31024187999999475</v>
      </c>
      <c r="F13" s="1186">
        <v>3</v>
      </c>
      <c r="G13" s="1189">
        <f t="shared" si="2"/>
        <v>0.000012560399999999786</v>
      </c>
      <c r="H13" s="1190">
        <f t="shared" si="3"/>
        <v>0.000351691199999994</v>
      </c>
      <c r="I13" s="1186">
        <v>0.6</v>
      </c>
      <c r="J13" s="1191">
        <f t="shared" si="4"/>
        <v>0.000002512079999999957</v>
      </c>
      <c r="K13" s="1190">
        <f t="shared" si="5"/>
        <v>0.0006657011999999887</v>
      </c>
      <c r="L13" s="1192"/>
      <c r="M13" s="1192"/>
      <c r="N13" s="1197" t="s">
        <v>2963</v>
      </c>
      <c r="O13" s="1199">
        <f>O2/(10^6*10000)</f>
        <v>0.02388458966275</v>
      </c>
      <c r="P13" s="1200"/>
    </row>
    <row r="14" spans="1:16" x14ac:dyDescent="0.25">
      <c r="A14" s="9">
        <v>11</v>
      </c>
      <c r="B14" s="334" t="s">
        <v>2990</v>
      </c>
      <c r="C14" s="1186">
        <v>77.4</v>
      </c>
      <c r="D14" s="1187">
        <f t="shared" si="0"/>
        <v>3.2405831999999455</v>
      </c>
      <c r="E14" s="1188">
        <f t="shared" si="1"/>
        <v>0.3240583199999945</v>
      </c>
      <c r="F14" s="1186">
        <v>3</v>
      </c>
      <c r="G14" s="1189">
        <f t="shared" si="2"/>
        <v>0.000012560399999999786</v>
      </c>
      <c r="H14" s="1190">
        <f t="shared" si="3"/>
        <v>0.000351691199999994</v>
      </c>
      <c r="I14" s="1186">
        <v>0.6</v>
      </c>
      <c r="J14" s="1191">
        <f t="shared" si="4"/>
        <v>0.000002512079999999957</v>
      </c>
      <c r="K14" s="1190">
        <f t="shared" si="5"/>
        <v>0.0006657011999999887</v>
      </c>
      <c r="L14" s="1192"/>
      <c r="M14" s="1192"/>
      <c r="N14" s="1201">
        <v>40000000</v>
      </c>
      <c r="O14" s="1202">
        <f>O13*N14</f>
        <v>955383.5865099999</v>
      </c>
      <c r="P14" s="1200"/>
    </row>
    <row r="15" spans="1:16" x14ac:dyDescent="0.25">
      <c r="A15" s="9">
        <v>12</v>
      </c>
      <c r="B15" s="334" t="s">
        <v>2991</v>
      </c>
      <c r="C15" s="1186">
        <v>63.1</v>
      </c>
      <c r="D15" s="1187">
        <f t="shared" si="0"/>
        <v>2.641870799999955</v>
      </c>
      <c r="E15" s="1188">
        <f t="shared" si="1"/>
        <v>0.2641870799999955</v>
      </c>
      <c r="F15" s="1186">
        <v>3</v>
      </c>
      <c r="G15" s="1189">
        <f t="shared" si="2"/>
        <v>0.000012560399999999786</v>
      </c>
      <c r="H15" s="1190">
        <f t="shared" si="3"/>
        <v>0.000351691199999994</v>
      </c>
      <c r="I15" s="1186">
        <v>0.6</v>
      </c>
      <c r="J15" s="1191">
        <f t="shared" si="4"/>
        <v>0.000002512079999999957</v>
      </c>
      <c r="K15" s="1190">
        <f t="shared" si="5"/>
        <v>0.0006657011999999887</v>
      </c>
      <c r="L15" s="1192"/>
      <c r="M15" s="1192"/>
      <c r="N15" s="1200"/>
      <c r="O15" s="1200"/>
      <c r="P15" s="1200"/>
    </row>
    <row r="16" spans="1:19" x14ac:dyDescent="0.25">
      <c r="A16" s="9">
        <v>13</v>
      </c>
      <c r="B16" s="334" t="s">
        <v>2992</v>
      </c>
      <c r="C16" s="1186">
        <v>61.6</v>
      </c>
      <c r="D16" s="1187">
        <f t="shared" si="0"/>
        <v>2.5790687999999564</v>
      </c>
      <c r="E16" s="1188">
        <f t="shared" si="1"/>
        <v>0.2579068799999956</v>
      </c>
      <c r="F16" s="1186">
        <v>3</v>
      </c>
      <c r="G16" s="1189">
        <f t="shared" si="2"/>
        <v>0.000012560399999999786</v>
      </c>
      <c r="H16" s="1190">
        <f t="shared" si="3"/>
        <v>0.000351691199999994</v>
      </c>
      <c r="I16" s="1186">
        <v>0.6</v>
      </c>
      <c r="J16" s="1191">
        <f t="shared" si="4"/>
        <v>0.000002512079999999957</v>
      </c>
      <c r="K16" s="1190">
        <f t="shared" si="5"/>
        <v>0.0006657011999999887</v>
      </c>
      <c r="L16" s="1192"/>
      <c r="M16" s="1192"/>
      <c r="N16" s="1200"/>
      <c r="O16" s="1200"/>
      <c r="P16" s="1200"/>
      <c r="S16" s="1002"/>
    </row>
    <row r="17" spans="1:16" x14ac:dyDescent="0.25">
      <c r="A17" s="9">
        <v>14</v>
      </c>
      <c r="B17" s="334" t="s">
        <v>2993</v>
      </c>
      <c r="C17" s="1186">
        <v>73.3</v>
      </c>
      <c r="D17" s="1187">
        <f t="shared" si="0"/>
        <v>3.068924399999948</v>
      </c>
      <c r="E17" s="1188">
        <f t="shared" si="1"/>
        <v>0.30689243999999477</v>
      </c>
      <c r="F17" s="1186">
        <v>3</v>
      </c>
      <c r="G17" s="1189">
        <f t="shared" si="2"/>
        <v>0.000012560399999999786</v>
      </c>
      <c r="H17" s="1190">
        <f t="shared" si="3"/>
        <v>0.000351691199999994</v>
      </c>
      <c r="I17" s="1186">
        <v>0.6</v>
      </c>
      <c r="J17" s="1191">
        <f t="shared" si="4"/>
        <v>0.000002512079999999957</v>
      </c>
      <c r="K17" s="1190">
        <f t="shared" si="5"/>
        <v>0.0006657011999999887</v>
      </c>
      <c r="L17" s="1192"/>
      <c r="M17" s="1192"/>
      <c r="N17" s="1200"/>
      <c r="O17" s="1200">
        <f>13/O14/1000</f>
        <v>1.360709999999977e-8</v>
      </c>
      <c r="P17" s="1200"/>
    </row>
    <row r="18" spans="1:13" x14ac:dyDescent="0.25">
      <c r="A18" s="9">
        <v>15</v>
      </c>
      <c r="B18" s="334" t="s">
        <v>2994</v>
      </c>
      <c r="C18" s="1186">
        <v>80.7</v>
      </c>
      <c r="D18" s="1187">
        <f t="shared" si="0"/>
        <v>3.378747599999943</v>
      </c>
      <c r="E18" s="1188">
        <f t="shared" si="1"/>
        <v>0.3378747599999943</v>
      </c>
      <c r="F18" s="1186">
        <v>3</v>
      </c>
      <c r="G18" s="1189">
        <f t="shared" si="2"/>
        <v>0.000012560399999999786</v>
      </c>
      <c r="H18" s="1190">
        <f t="shared" si="3"/>
        <v>0.000351691199999994</v>
      </c>
      <c r="I18" s="1186">
        <v>0.6</v>
      </c>
      <c r="J18" s="1191">
        <f t="shared" si="4"/>
        <v>0.000002512079999999957</v>
      </c>
      <c r="K18" s="1190">
        <f t="shared" si="5"/>
        <v>0.0006657011999999887</v>
      </c>
      <c r="L18" s="1192"/>
      <c r="M18" s="1192"/>
    </row>
    <row r="19" spans="1:13" x14ac:dyDescent="0.25">
      <c r="A19" s="9">
        <v>16</v>
      </c>
      <c r="B19" s="334" t="s">
        <v>2995</v>
      </c>
      <c r="C19" s="1186">
        <v>73.3</v>
      </c>
      <c r="D19" s="1187">
        <f t="shared" si="0"/>
        <v>3.068924399999948</v>
      </c>
      <c r="E19" s="1188">
        <f t="shared" si="1"/>
        <v>0.30689243999999477</v>
      </c>
      <c r="F19" s="1186">
        <v>3</v>
      </c>
      <c r="G19" s="1189">
        <f t="shared" si="2"/>
        <v>0.000012560399999999786</v>
      </c>
      <c r="H19" s="1190">
        <f t="shared" si="3"/>
        <v>0.000351691199999994</v>
      </c>
      <c r="I19" s="1186">
        <v>0.6</v>
      </c>
      <c r="J19" s="1191">
        <f t="shared" si="4"/>
        <v>0.000002512079999999957</v>
      </c>
      <c r="K19" s="1190">
        <f t="shared" si="5"/>
        <v>0.0006657011999999887</v>
      </c>
      <c r="L19" s="1192"/>
      <c r="M19" s="1192"/>
    </row>
    <row r="20" spans="1:13" x14ac:dyDescent="0.25">
      <c r="A20" s="9">
        <v>17</v>
      </c>
      <c r="B20" s="334" t="s">
        <v>2996</v>
      </c>
      <c r="C20" s="1186">
        <v>97.5</v>
      </c>
      <c r="D20" s="1187">
        <f t="shared" si="0"/>
        <v>4.082129999999931</v>
      </c>
      <c r="E20" s="1188">
        <f t="shared" si="1"/>
        <v>0.40821299999999305</v>
      </c>
      <c r="F20" s="1186">
        <v>3</v>
      </c>
      <c r="G20" s="1189">
        <f t="shared" si="2"/>
        <v>0.000012560399999999786</v>
      </c>
      <c r="H20" s="1190">
        <f t="shared" si="3"/>
        <v>0.000351691199999994</v>
      </c>
      <c r="I20" s="1186">
        <v>0.6</v>
      </c>
      <c r="J20" s="1191">
        <f t="shared" si="4"/>
        <v>0.000002512079999999957</v>
      </c>
      <c r="K20" s="1190">
        <f t="shared" si="5"/>
        <v>0.0006657011999999887</v>
      </c>
      <c r="L20" s="1192"/>
      <c r="M20" s="1192"/>
    </row>
    <row r="21" spans="1:13" x14ac:dyDescent="0.25">
      <c r="A21" s="9">
        <v>18</v>
      </c>
      <c r="B21" s="334" t="s">
        <v>2997</v>
      </c>
      <c r="C21" s="1186">
        <v>73.3</v>
      </c>
      <c r="D21" s="1187">
        <f t="shared" si="0"/>
        <v>3.068924399999948</v>
      </c>
      <c r="E21" s="1188">
        <f t="shared" si="1"/>
        <v>0.30689243999999477</v>
      </c>
      <c r="F21" s="1186">
        <v>3</v>
      </c>
      <c r="G21" s="1189">
        <f t="shared" si="2"/>
        <v>0.000012560399999999786</v>
      </c>
      <c r="H21" s="1190">
        <f t="shared" si="3"/>
        <v>0.000351691199999994</v>
      </c>
      <c r="I21" s="1186">
        <v>0.6</v>
      </c>
      <c r="J21" s="1191">
        <f t="shared" si="4"/>
        <v>0.000002512079999999957</v>
      </c>
      <c r="K21" s="1190">
        <f t="shared" si="5"/>
        <v>0.0006657011999999887</v>
      </c>
      <c r="L21" s="1192"/>
      <c r="M21" s="1192"/>
    </row>
    <row r="22" spans="1:13" x14ac:dyDescent="0.25">
      <c r="A22" s="9">
        <v>19</v>
      </c>
      <c r="B22" s="334" t="s">
        <v>2998</v>
      </c>
      <c r="C22" s="1186">
        <v>57.6</v>
      </c>
      <c r="D22" s="1187">
        <f t="shared" si="0"/>
        <v>2.411596799999959</v>
      </c>
      <c r="E22" s="1188">
        <f t="shared" si="1"/>
        <v>0.2411596799999959</v>
      </c>
      <c r="F22" s="1186">
        <v>3</v>
      </c>
      <c r="G22" s="1189">
        <f t="shared" si="2"/>
        <v>0.000012560399999999786</v>
      </c>
      <c r="H22" s="1190">
        <f t="shared" si="3"/>
        <v>0.000351691199999994</v>
      </c>
      <c r="I22" s="1186">
        <v>0.6</v>
      </c>
      <c r="J22" s="1191">
        <f t="shared" si="4"/>
        <v>0.000002512079999999957</v>
      </c>
      <c r="K22" s="1190">
        <f t="shared" si="5"/>
        <v>0.0006657011999999887</v>
      </c>
      <c r="L22" s="1192"/>
      <c r="M22" s="1192"/>
    </row>
    <row r="23" spans="1:13" x14ac:dyDescent="0.25">
      <c r="A23" s="9">
        <v>20</v>
      </c>
      <c r="B23" s="334" t="s">
        <v>2999</v>
      </c>
      <c r="C23" s="1186">
        <v>73.3</v>
      </c>
      <c r="D23" s="1187">
        <f t="shared" si="0"/>
        <v>3.068924399999948</v>
      </c>
      <c r="E23" s="1188">
        <f t="shared" si="1"/>
        <v>0.30689243999999477</v>
      </c>
      <c r="F23" s="1186">
        <v>3</v>
      </c>
      <c r="G23" s="1189">
        <f t="shared" si="2"/>
        <v>0.000012560399999999786</v>
      </c>
      <c r="H23" s="1190">
        <f t="shared" si="3"/>
        <v>0.000351691199999994</v>
      </c>
      <c r="I23" s="1186">
        <v>0.6</v>
      </c>
      <c r="J23" s="1191">
        <f t="shared" si="4"/>
        <v>0.000002512079999999957</v>
      </c>
      <c r="K23" s="1190">
        <f t="shared" si="5"/>
        <v>0.0006657011999999887</v>
      </c>
      <c r="L23" s="1192"/>
      <c r="M23" s="1192"/>
    </row>
    <row r="24" spans="1:13" x14ac:dyDescent="0.25">
      <c r="A24" s="9">
        <v>21</v>
      </c>
      <c r="B24" s="334" t="s">
        <v>3000</v>
      </c>
      <c r="C24" s="1186">
        <v>73.3</v>
      </c>
      <c r="D24" s="1187">
        <f t="shared" si="0"/>
        <v>3.068924399999948</v>
      </c>
      <c r="E24" s="1188">
        <f t="shared" si="1"/>
        <v>0.30689243999999477</v>
      </c>
      <c r="F24" s="1186">
        <v>3</v>
      </c>
      <c r="G24" s="1189">
        <f t="shared" si="2"/>
        <v>0.000012560399999999786</v>
      </c>
      <c r="H24" s="1190">
        <f t="shared" si="3"/>
        <v>0.000351691199999994</v>
      </c>
      <c r="I24" s="1186">
        <v>0.6</v>
      </c>
      <c r="J24" s="1191">
        <f t="shared" si="4"/>
        <v>0.000002512079999999957</v>
      </c>
      <c r="K24" s="1190">
        <f t="shared" si="5"/>
        <v>0.0006657011999999887</v>
      </c>
      <c r="L24" s="1192"/>
      <c r="M24" s="1192"/>
    </row>
    <row r="25" spans="1:13" x14ac:dyDescent="0.25">
      <c r="A25" s="9">
        <v>22</v>
      </c>
      <c r="B25" s="334" t="s">
        <v>3001</v>
      </c>
      <c r="C25" s="1186">
        <v>73.3</v>
      </c>
      <c r="D25" s="1187">
        <f t="shared" si="0"/>
        <v>3.068924399999948</v>
      </c>
      <c r="E25" s="1188">
        <f t="shared" si="1"/>
        <v>0.30689243999999477</v>
      </c>
      <c r="F25" s="1186">
        <v>3</v>
      </c>
      <c r="G25" s="1189">
        <f t="shared" si="2"/>
        <v>0.000012560399999999786</v>
      </c>
      <c r="H25" s="1190">
        <f t="shared" si="3"/>
        <v>0.000351691199999994</v>
      </c>
      <c r="I25" s="1186">
        <v>0.6</v>
      </c>
      <c r="J25" s="1191">
        <f t="shared" si="4"/>
        <v>0.000002512079999999957</v>
      </c>
      <c r="K25" s="1190">
        <f t="shared" si="5"/>
        <v>0.0006657011999999887</v>
      </c>
      <c r="L25" s="1192"/>
      <c r="M25" s="1192"/>
    </row>
    <row r="26" spans="1:13" x14ac:dyDescent="0.25">
      <c r="A26" s="9">
        <v>23</v>
      </c>
      <c r="B26" s="334" t="s">
        <v>3002</v>
      </c>
      <c r="C26" s="1186">
        <v>98.3</v>
      </c>
      <c r="D26" s="1187">
        <f t="shared" si="0"/>
        <v>4.1156243999999305</v>
      </c>
      <c r="E26" s="1188">
        <f t="shared" si="1"/>
        <v>0.41156243999999303</v>
      </c>
      <c r="F26" s="1186">
        <v>1</v>
      </c>
      <c r="G26" s="1189">
        <f t="shared" si="2"/>
        <v>0.000004186799999999929</v>
      </c>
      <c r="H26" s="1190">
        <f t="shared" si="3"/>
        <v>0.00011723039999999801</v>
      </c>
      <c r="I26" s="1186">
        <v>1.5</v>
      </c>
      <c r="J26" s="1191">
        <f t="shared" si="4"/>
        <v>0.000006280199999999893</v>
      </c>
      <c r="K26" s="1190">
        <f t="shared" si="5"/>
        <v>0.0016642529999999717</v>
      </c>
      <c r="L26" s="1192"/>
      <c r="M26" s="1192"/>
    </row>
    <row r="27" spans="1:13" x14ac:dyDescent="0.25">
      <c r="A27" s="9">
        <v>24</v>
      </c>
      <c r="B27" s="334" t="s">
        <v>3003</v>
      </c>
      <c r="C27" s="1186">
        <v>94.6</v>
      </c>
      <c r="D27" s="1187">
        <f t="shared" si="0"/>
        <v>3.9607127999999325</v>
      </c>
      <c r="E27" s="1188">
        <f t="shared" si="1"/>
        <v>0.39607127999999325</v>
      </c>
      <c r="F27" s="1186">
        <v>1</v>
      </c>
      <c r="G27" s="1189">
        <f t="shared" si="2"/>
        <v>0.000004186799999999929</v>
      </c>
      <c r="H27" s="1190">
        <f t="shared" si="3"/>
        <v>0.00011723039999999801</v>
      </c>
      <c r="I27" s="1186">
        <v>1.5</v>
      </c>
      <c r="J27" s="1191">
        <f t="shared" si="4"/>
        <v>0.000006280199999999893</v>
      </c>
      <c r="K27" s="1190">
        <f t="shared" si="5"/>
        <v>0.0016642529999999717</v>
      </c>
      <c r="L27" s="1192"/>
      <c r="M27" s="1192"/>
    </row>
    <row r="28" spans="1:13" x14ac:dyDescent="0.25">
      <c r="A28" s="9">
        <v>25</v>
      </c>
      <c r="B28" s="334" t="s">
        <v>3004</v>
      </c>
      <c r="C28" s="1186">
        <v>94.6</v>
      </c>
      <c r="D28" s="1187">
        <f t="shared" si="0"/>
        <v>3.9607127999999325</v>
      </c>
      <c r="E28" s="1188">
        <f t="shared" si="1"/>
        <v>0.39607127999999325</v>
      </c>
      <c r="F28" s="1186">
        <v>1</v>
      </c>
      <c r="G28" s="1189">
        <f t="shared" si="2"/>
        <v>0.000004186799999999929</v>
      </c>
      <c r="H28" s="1190">
        <f t="shared" si="3"/>
        <v>0.00011723039999999801</v>
      </c>
      <c r="I28" s="1186">
        <v>1.5</v>
      </c>
      <c r="J28" s="1191">
        <f t="shared" si="4"/>
        <v>0.000006280199999999893</v>
      </c>
      <c r="K28" s="1190">
        <f t="shared" si="5"/>
        <v>0.0016642529999999717</v>
      </c>
      <c r="L28" s="1192"/>
      <c r="M28" s="1192"/>
    </row>
    <row r="29" spans="1:16" x14ac:dyDescent="0.25">
      <c r="A29" s="9">
        <v>26</v>
      </c>
      <c r="B29" s="334" t="s">
        <v>3005</v>
      </c>
      <c r="C29" s="1186">
        <v>96.1</v>
      </c>
      <c r="D29" s="1187">
        <f t="shared" si="0"/>
        <v>4.023514799999932</v>
      </c>
      <c r="E29" s="1188">
        <f t="shared" si="1"/>
        <v>0.40235147999999316</v>
      </c>
      <c r="F29" s="1186">
        <v>1</v>
      </c>
      <c r="G29" s="1189">
        <f t="shared" si="2"/>
        <v>0.000004186799999999929</v>
      </c>
      <c r="H29" s="1190">
        <f t="shared" si="3"/>
        <v>0.00011723039999999801</v>
      </c>
      <c r="I29" s="1186">
        <v>1.5</v>
      </c>
      <c r="J29" s="1191">
        <f t="shared" si="4"/>
        <v>0.000006280199999999893</v>
      </c>
      <c r="K29" s="1190">
        <f t="shared" si="5"/>
        <v>0.0016642529999999717</v>
      </c>
      <c r="L29" s="1192"/>
      <c r="M29" s="1192"/>
      <c r="P29" s="1203"/>
    </row>
    <row r="30" spans="1:13" x14ac:dyDescent="0.25">
      <c r="A30" s="9">
        <v>27</v>
      </c>
      <c r="B30" s="334" t="s">
        <v>37</v>
      </c>
      <c r="C30" s="1186">
        <v>101</v>
      </c>
      <c r="D30" s="1187">
        <f t="shared" si="0"/>
        <v>4.228667999999928</v>
      </c>
      <c r="E30" s="1188">
        <f t="shared" si="1"/>
        <v>0.4228667999999928</v>
      </c>
      <c r="F30" s="1186">
        <v>1</v>
      </c>
      <c r="G30" s="1189">
        <f t="shared" si="2"/>
        <v>0.000004186799999999929</v>
      </c>
      <c r="H30" s="1190">
        <f t="shared" si="3"/>
        <v>0.00011723039999999801</v>
      </c>
      <c r="I30" s="1186">
        <v>1.5</v>
      </c>
      <c r="J30" s="1191">
        <f t="shared" si="4"/>
        <v>0.000006280199999999893</v>
      </c>
      <c r="K30" s="1190">
        <f t="shared" si="5"/>
        <v>0.0016642529999999717</v>
      </c>
      <c r="L30" s="1192"/>
      <c r="M30" s="1192"/>
    </row>
    <row r="31" spans="1:13" x14ac:dyDescent="0.25">
      <c r="A31" s="9">
        <v>28</v>
      </c>
      <c r="B31" s="334" t="s">
        <v>3006</v>
      </c>
      <c r="C31" s="1186">
        <v>107</v>
      </c>
      <c r="D31" s="1187">
        <f t="shared" si="0"/>
        <v>4.4798759999999245</v>
      </c>
      <c r="E31" s="1188">
        <f t="shared" si="1"/>
        <v>0.4479875999999924</v>
      </c>
      <c r="F31" s="1186">
        <v>1</v>
      </c>
      <c r="G31" s="1189">
        <f t="shared" si="2"/>
        <v>0.000004186799999999929</v>
      </c>
      <c r="H31" s="1190">
        <f t="shared" si="3"/>
        <v>0.00011723039999999801</v>
      </c>
      <c r="I31" s="1186">
        <v>1.5</v>
      </c>
      <c r="J31" s="1191">
        <f t="shared" si="4"/>
        <v>0.000006280199999999893</v>
      </c>
      <c r="K31" s="1190">
        <f t="shared" si="5"/>
        <v>0.0016642529999999717</v>
      </c>
      <c r="L31" s="1192"/>
      <c r="M31" s="1192"/>
    </row>
    <row r="32" spans="1:13" x14ac:dyDescent="0.25">
      <c r="A32" s="9">
        <v>29</v>
      </c>
      <c r="B32" s="334" t="s">
        <v>3007</v>
      </c>
      <c r="C32" s="1186">
        <v>97.5</v>
      </c>
      <c r="D32" s="1187">
        <f t="shared" si="0"/>
        <v>4.082129999999931</v>
      </c>
      <c r="E32" s="1188">
        <f t="shared" si="1"/>
        <v>0.40821299999999305</v>
      </c>
      <c r="F32" s="1186">
        <v>1</v>
      </c>
      <c r="G32" s="1189">
        <f t="shared" si="2"/>
        <v>0.000004186799999999929</v>
      </c>
      <c r="H32" s="1190">
        <f t="shared" si="3"/>
        <v>0.00011723039999999801</v>
      </c>
      <c r="I32" s="1186">
        <v>1.5</v>
      </c>
      <c r="J32" s="1191">
        <f t="shared" si="4"/>
        <v>0.000006280199999999893</v>
      </c>
      <c r="K32" s="1190">
        <f t="shared" si="5"/>
        <v>0.0016642529999999717</v>
      </c>
      <c r="L32" s="1192"/>
      <c r="M32" s="1192"/>
    </row>
    <row r="33" spans="1:13" x14ac:dyDescent="0.25">
      <c r="A33" s="9">
        <v>30</v>
      </c>
      <c r="B33" s="334" t="s">
        <v>3008</v>
      </c>
      <c r="C33" s="1186">
        <v>97.5</v>
      </c>
      <c r="D33" s="1187">
        <f t="shared" si="0"/>
        <v>4.082129999999931</v>
      </c>
      <c r="E33" s="1188">
        <f t="shared" si="1"/>
        <v>0.40821299999999305</v>
      </c>
      <c r="F33" s="1186">
        <v>1</v>
      </c>
      <c r="G33" s="1189">
        <f t="shared" si="2"/>
        <v>0.000004186799999999929</v>
      </c>
      <c r="H33" s="1190">
        <f t="shared" si="3"/>
        <v>0.00011723039999999801</v>
      </c>
      <c r="I33" s="1186">
        <v>1.5</v>
      </c>
      <c r="J33" s="1191">
        <f t="shared" si="4"/>
        <v>0.000006280199999999893</v>
      </c>
      <c r="K33" s="1190">
        <f t="shared" si="5"/>
        <v>0.0016642529999999717</v>
      </c>
      <c r="L33" s="1192"/>
      <c r="M33" s="1192"/>
    </row>
    <row r="34" spans="1:13" x14ac:dyDescent="0.25">
      <c r="A34" s="9">
        <v>31</v>
      </c>
      <c r="B34" s="334" t="s">
        <v>3009</v>
      </c>
      <c r="C34" s="1186">
        <v>107</v>
      </c>
      <c r="D34" s="1187">
        <f t="shared" si="0"/>
        <v>4.4798759999999245</v>
      </c>
      <c r="E34" s="1188">
        <f t="shared" si="1"/>
        <v>0.4479875999999924</v>
      </c>
      <c r="F34" s="1186">
        <v>1</v>
      </c>
      <c r="G34" s="1189">
        <f t="shared" si="2"/>
        <v>0.000004186799999999929</v>
      </c>
      <c r="H34" s="1190">
        <f t="shared" si="3"/>
        <v>0.00011723039999999801</v>
      </c>
      <c r="I34" s="1186">
        <v>1.5</v>
      </c>
      <c r="J34" s="1191">
        <f t="shared" si="4"/>
        <v>0.000006280199999999893</v>
      </c>
      <c r="K34" s="1190">
        <f t="shared" si="5"/>
        <v>0.0016642529999999717</v>
      </c>
      <c r="L34" s="1192"/>
      <c r="M34" s="1192"/>
    </row>
    <row r="35" spans="1:13" x14ac:dyDescent="0.25">
      <c r="A35" s="9">
        <v>32</v>
      </c>
      <c r="B35" s="334" t="s">
        <v>3010</v>
      </c>
      <c r="C35" s="1186">
        <v>107</v>
      </c>
      <c r="D35" s="1187">
        <f t="shared" si="0"/>
        <v>4.4798759999999245</v>
      </c>
      <c r="E35" s="1188">
        <f t="shared" si="1"/>
        <v>0.4479875999999924</v>
      </c>
      <c r="F35" s="1186">
        <v>1</v>
      </c>
      <c r="G35" s="1189">
        <f t="shared" si="2"/>
        <v>0.000004186799999999929</v>
      </c>
      <c r="H35" s="1190">
        <f t="shared" si="3"/>
        <v>0.00011723039999999801</v>
      </c>
      <c r="I35" s="1186">
        <v>0.1</v>
      </c>
      <c r="J35" s="1191">
        <f t="shared" si="4"/>
        <v>4.186799999999929e-7</v>
      </c>
      <c r="K35" s="1190">
        <f t="shared" si="5"/>
        <v>0.00011095019999999812</v>
      </c>
      <c r="L35" s="1192"/>
      <c r="M35" s="1192"/>
    </row>
    <row r="36" spans="1:13" x14ac:dyDescent="0.25">
      <c r="A36" s="9">
        <v>33</v>
      </c>
      <c r="B36" s="334" t="s">
        <v>3011</v>
      </c>
      <c r="C36" s="1186">
        <v>80.7</v>
      </c>
      <c r="D36" s="1187">
        <f t="shared" ref="D36:D56" si="6">C36/$O$11</f>
        <v>3.378747599999943</v>
      </c>
      <c r="E36" s="1188">
        <f t="shared" ref="E36:E56" si="7">C36*1000*1000/$O$2</f>
        <v>0.3378747599999943</v>
      </c>
      <c r="F36" s="1186">
        <v>1</v>
      </c>
      <c r="G36" s="1189">
        <f t="shared" ref="G36:G56" si="8">F36*1000/($O$2)</f>
        <v>0.000004186799999999929</v>
      </c>
      <c r="H36" s="1190">
        <f t="shared" ref="H36:H56" si="9">G36*$E$61</f>
        <v>0.00011723039999999801</v>
      </c>
      <c r="I36" s="1186">
        <v>1.5</v>
      </c>
      <c r="J36" s="1191">
        <f t="shared" ref="J36:J56" si="10">I36*1000/$O$2</f>
        <v>0.000006280199999999893</v>
      </c>
      <c r="K36" s="1190">
        <f t="shared" ref="K36:K56" si="11">J36*$E$62</f>
        <v>0.0016642529999999717</v>
      </c>
      <c r="L36" s="1192"/>
      <c r="M36" s="1192"/>
    </row>
    <row r="37" spans="1:13" x14ac:dyDescent="0.25">
      <c r="A37" s="9">
        <v>34</v>
      </c>
      <c r="B37" s="334" t="s">
        <v>3012</v>
      </c>
      <c r="C37" s="1186">
        <v>44.4</v>
      </c>
      <c r="D37" s="1187">
        <f t="shared" si="6"/>
        <v>1.8589391999999685</v>
      </c>
      <c r="E37" s="1188">
        <f t="shared" si="7"/>
        <v>0.18589391999999685</v>
      </c>
      <c r="F37" s="1186">
        <v>1</v>
      </c>
      <c r="G37" s="1189">
        <f t="shared" si="8"/>
        <v>0.000004186799999999929</v>
      </c>
      <c r="H37" s="1190">
        <f t="shared" si="9"/>
        <v>0.00011723039999999801</v>
      </c>
      <c r="I37" s="1186">
        <v>0.1</v>
      </c>
      <c r="J37" s="1191">
        <f t="shared" si="10"/>
        <v>4.186799999999929e-7</v>
      </c>
      <c r="K37" s="1190">
        <f t="shared" si="11"/>
        <v>0.00011095019999999812</v>
      </c>
      <c r="L37" s="1192"/>
      <c r="M37" s="1192"/>
    </row>
    <row r="38" spans="1:13" x14ac:dyDescent="0.25">
      <c r="A38" s="9">
        <v>35</v>
      </c>
      <c r="B38" s="334" t="s">
        <v>3013</v>
      </c>
      <c r="C38" s="1186">
        <v>44.4</v>
      </c>
      <c r="D38" s="1187">
        <f t="shared" si="6"/>
        <v>1.8589391999999685</v>
      </c>
      <c r="E38" s="1188">
        <f t="shared" si="7"/>
        <v>0.18589391999999685</v>
      </c>
      <c r="F38" s="1186">
        <v>1</v>
      </c>
      <c r="G38" s="1189">
        <f t="shared" si="8"/>
        <v>0.000004186799999999929</v>
      </c>
      <c r="H38" s="1190">
        <f t="shared" si="9"/>
        <v>0.00011723039999999801</v>
      </c>
      <c r="I38" s="1186">
        <v>0.1</v>
      </c>
      <c r="J38" s="1191">
        <f t="shared" si="10"/>
        <v>4.186799999999929e-7</v>
      </c>
      <c r="K38" s="1190">
        <f t="shared" si="11"/>
        <v>0.00011095019999999812</v>
      </c>
      <c r="L38" s="1192"/>
      <c r="M38" s="1192"/>
    </row>
    <row r="39" spans="1:13" x14ac:dyDescent="0.25">
      <c r="A39" s="9">
        <v>36</v>
      </c>
      <c r="B39" s="334" t="s">
        <v>3014</v>
      </c>
      <c r="C39" s="1186">
        <v>260</v>
      </c>
      <c r="D39" s="1187">
        <f t="shared" si="6"/>
        <v>10.885679999999816</v>
      </c>
      <c r="E39" s="1188">
        <f t="shared" si="7"/>
        <v>1.0885679999999816</v>
      </c>
      <c r="F39" s="1186">
        <v>1</v>
      </c>
      <c r="G39" s="1189">
        <f t="shared" si="8"/>
        <v>0.000004186799999999929</v>
      </c>
      <c r="H39" s="1190">
        <f t="shared" si="9"/>
        <v>0.00011723039999999801</v>
      </c>
      <c r="I39" s="1186">
        <v>0.1</v>
      </c>
      <c r="J39" s="1191">
        <f t="shared" si="10"/>
        <v>4.186799999999929e-7</v>
      </c>
      <c r="K39" s="1190">
        <f t="shared" si="11"/>
        <v>0.00011095019999999812</v>
      </c>
      <c r="L39" s="1192"/>
      <c r="M39" s="1192"/>
    </row>
    <row r="40" spans="1:13" x14ac:dyDescent="0.25">
      <c r="A40" s="9">
        <v>37</v>
      </c>
      <c r="B40" s="334" t="s">
        <v>3015</v>
      </c>
      <c r="C40" s="1186">
        <v>182</v>
      </c>
      <c r="D40" s="1187">
        <f t="shared" si="6"/>
        <v>7.619975999999871</v>
      </c>
      <c r="E40" s="1188">
        <f t="shared" si="7"/>
        <v>0.7619975999999871</v>
      </c>
      <c r="F40" s="1186">
        <v>1</v>
      </c>
      <c r="G40" s="1189">
        <f t="shared" si="8"/>
        <v>0.000004186799999999929</v>
      </c>
      <c r="H40" s="1190">
        <f t="shared" si="9"/>
        <v>0.00011723039999999801</v>
      </c>
      <c r="I40" s="1186">
        <v>0.1</v>
      </c>
      <c r="J40" s="1191">
        <f t="shared" si="10"/>
        <v>4.186799999999929e-7</v>
      </c>
      <c r="K40" s="1190">
        <f t="shared" si="11"/>
        <v>0.00011095019999999812</v>
      </c>
      <c r="L40" s="1192"/>
      <c r="M40" s="1192"/>
    </row>
    <row r="41" spans="1:13" x14ac:dyDescent="0.25">
      <c r="A41" s="9">
        <v>38</v>
      </c>
      <c r="B41" s="334" t="s">
        <v>3016</v>
      </c>
      <c r="C41" s="1186">
        <v>56.1</v>
      </c>
      <c r="D41" s="1187">
        <f t="shared" si="6"/>
        <v>2.3487947999999603</v>
      </c>
      <c r="E41" s="1188">
        <f t="shared" si="7"/>
        <v>0.234879479999996</v>
      </c>
      <c r="F41" s="1186">
        <v>1</v>
      </c>
      <c r="G41" s="1189">
        <f t="shared" si="8"/>
        <v>0.000004186799999999929</v>
      </c>
      <c r="H41" s="1190">
        <f t="shared" si="9"/>
        <v>0.00011723039999999801</v>
      </c>
      <c r="I41" s="1186">
        <v>0.1</v>
      </c>
      <c r="J41" s="1191">
        <f t="shared" si="10"/>
        <v>4.186799999999929e-7</v>
      </c>
      <c r="K41" s="1190">
        <f t="shared" si="11"/>
        <v>0.00011095019999999812</v>
      </c>
      <c r="L41" s="1192"/>
      <c r="M41" s="1192"/>
    </row>
    <row r="42" spans="1:13" x14ac:dyDescent="0.25">
      <c r="A42" s="9">
        <v>39</v>
      </c>
      <c r="B42" s="334" t="s">
        <v>3017</v>
      </c>
      <c r="C42" s="1186">
        <v>91.7</v>
      </c>
      <c r="D42" s="1187">
        <f t="shared" si="6"/>
        <v>3.839295599999935</v>
      </c>
      <c r="E42" s="1188">
        <f t="shared" si="7"/>
        <v>0.38392955999999345</v>
      </c>
      <c r="F42" s="1186">
        <v>30</v>
      </c>
      <c r="G42" s="1189">
        <f t="shared" si="8"/>
        <v>0.00012560399999999786</v>
      </c>
      <c r="H42" s="1190">
        <f t="shared" si="9"/>
        <v>0.00351691199999994</v>
      </c>
      <c r="I42" s="1186">
        <v>4</v>
      </c>
      <c r="J42" s="1191">
        <f t="shared" si="10"/>
        <v>0.000016747199999999717</v>
      </c>
      <c r="K42" s="1190">
        <f t="shared" si="11"/>
        <v>0.004438007999999925</v>
      </c>
      <c r="L42" s="1192"/>
      <c r="M42" s="1192"/>
    </row>
    <row r="43" spans="1:13" x14ac:dyDescent="0.25">
      <c r="A43" s="9">
        <v>40</v>
      </c>
      <c r="B43" s="334" t="s">
        <v>3018</v>
      </c>
      <c r="C43" s="1186">
        <v>143</v>
      </c>
      <c r="D43" s="1187">
        <f t="shared" si="6"/>
        <v>5.987123999999898</v>
      </c>
      <c r="E43" s="1188">
        <f t="shared" si="7"/>
        <v>0.5987123999999898</v>
      </c>
      <c r="F43" s="1186">
        <v>30</v>
      </c>
      <c r="G43" s="1189">
        <f t="shared" si="8"/>
        <v>0.00012560399999999786</v>
      </c>
      <c r="H43" s="1190">
        <f t="shared" si="9"/>
        <v>0.00351691199999994</v>
      </c>
      <c r="I43" s="1186">
        <v>4</v>
      </c>
      <c r="J43" s="1191">
        <f t="shared" si="10"/>
        <v>0.000016747199999999717</v>
      </c>
      <c r="K43" s="1190">
        <f t="shared" si="11"/>
        <v>0.004438007999999925</v>
      </c>
      <c r="L43" s="1192"/>
      <c r="M43" s="1192"/>
    </row>
    <row r="44" spans="1:13" x14ac:dyDescent="0.25">
      <c r="A44" s="9">
        <v>41</v>
      </c>
      <c r="B44" s="334" t="s">
        <v>3019</v>
      </c>
      <c r="C44" s="1186">
        <v>73.3</v>
      </c>
      <c r="D44" s="1187">
        <f t="shared" si="6"/>
        <v>3.068924399999948</v>
      </c>
      <c r="E44" s="1188">
        <f t="shared" si="7"/>
        <v>0.30689243999999477</v>
      </c>
      <c r="F44" s="1186">
        <v>30</v>
      </c>
      <c r="G44" s="1189">
        <f t="shared" si="8"/>
        <v>0.00012560399999999786</v>
      </c>
      <c r="H44" s="1190">
        <f t="shared" si="9"/>
        <v>0.00351691199999994</v>
      </c>
      <c r="I44" s="1186">
        <v>4</v>
      </c>
      <c r="J44" s="1191">
        <f t="shared" si="10"/>
        <v>0.000016747199999999717</v>
      </c>
      <c r="K44" s="1190">
        <f t="shared" si="11"/>
        <v>0.004438007999999925</v>
      </c>
      <c r="L44" s="1192"/>
      <c r="M44" s="1192"/>
    </row>
    <row r="45" spans="1:13" x14ac:dyDescent="0.25">
      <c r="A45" s="9">
        <v>42</v>
      </c>
      <c r="B45" s="334" t="s">
        <v>3020</v>
      </c>
      <c r="C45" s="1186">
        <v>106</v>
      </c>
      <c r="D45" s="1187">
        <f t="shared" si="6"/>
        <v>4.4380079999999245</v>
      </c>
      <c r="E45" s="1188">
        <f t="shared" si="7"/>
        <v>0.44380079999999245</v>
      </c>
      <c r="F45" s="1186">
        <v>1</v>
      </c>
      <c r="G45" s="1189">
        <f t="shared" si="8"/>
        <v>0.000004186799999999929</v>
      </c>
      <c r="H45" s="1190">
        <f t="shared" si="9"/>
        <v>0.00011723039999999801</v>
      </c>
      <c r="I45" s="1186">
        <v>1.5</v>
      </c>
      <c r="J45" s="1191">
        <f t="shared" si="10"/>
        <v>0.000006280199999999893</v>
      </c>
      <c r="K45" s="1190">
        <f t="shared" si="11"/>
        <v>0.0016642529999999717</v>
      </c>
      <c r="L45" s="1192"/>
      <c r="M45" s="1192"/>
    </row>
    <row r="46" spans="1:13" x14ac:dyDescent="0.25">
      <c r="A46" s="9">
        <v>43</v>
      </c>
      <c r="B46" s="334" t="s">
        <v>3021</v>
      </c>
      <c r="C46" s="1186">
        <v>112</v>
      </c>
      <c r="D46" s="1187">
        <f t="shared" si="6"/>
        <v>4.68921599999992</v>
      </c>
      <c r="E46" s="1188">
        <f t="shared" si="7"/>
        <v>0.46892159999999206</v>
      </c>
      <c r="F46" s="1186">
        <v>30</v>
      </c>
      <c r="G46" s="1189">
        <f t="shared" si="8"/>
        <v>0.00012560399999999786</v>
      </c>
      <c r="H46" s="1190">
        <f t="shared" si="9"/>
        <v>0.00351691199999994</v>
      </c>
      <c r="I46" s="1186">
        <v>4</v>
      </c>
      <c r="J46" s="1191">
        <f t="shared" si="10"/>
        <v>0.000016747199999999717</v>
      </c>
      <c r="K46" s="1190">
        <f t="shared" si="11"/>
        <v>0.004438007999999925</v>
      </c>
      <c r="L46" s="1192"/>
      <c r="M46" s="1192"/>
    </row>
    <row r="47" spans="1:13" x14ac:dyDescent="0.25">
      <c r="A47" s="9">
        <v>44</v>
      </c>
      <c r="B47" s="334" t="s">
        <v>3022</v>
      </c>
      <c r="C47" s="1186">
        <v>95.3</v>
      </c>
      <c r="D47" s="1187">
        <f t="shared" si="6"/>
        <v>3.990020399999932</v>
      </c>
      <c r="E47" s="1188">
        <f t="shared" si="7"/>
        <v>0.39900203999999323</v>
      </c>
      <c r="F47" s="1186">
        <v>3</v>
      </c>
      <c r="G47" s="1189">
        <f t="shared" si="8"/>
        <v>0.000012560399999999786</v>
      </c>
      <c r="H47" s="1190">
        <f t="shared" si="9"/>
        <v>0.000351691199999994</v>
      </c>
      <c r="I47" s="1186">
        <v>2</v>
      </c>
      <c r="J47" s="1191">
        <f t="shared" si="10"/>
        <v>0.000008373599999999858</v>
      </c>
      <c r="K47" s="1190">
        <f t="shared" si="11"/>
        <v>0.0022190039999999624</v>
      </c>
      <c r="L47" s="1192"/>
      <c r="M47" s="1192"/>
    </row>
    <row r="48" spans="1:13" x14ac:dyDescent="0.25">
      <c r="A48" s="9">
        <v>45</v>
      </c>
      <c r="B48" s="334" t="s">
        <v>3023</v>
      </c>
      <c r="C48" s="1186">
        <v>100</v>
      </c>
      <c r="D48" s="1187">
        <f t="shared" si="6"/>
        <v>4.186799999999929</v>
      </c>
      <c r="E48" s="1188">
        <f t="shared" si="7"/>
        <v>0.4186799999999929</v>
      </c>
      <c r="F48" s="1186">
        <v>30</v>
      </c>
      <c r="G48" s="1189">
        <f t="shared" si="8"/>
        <v>0.00012560399999999786</v>
      </c>
      <c r="H48" s="1190">
        <f t="shared" si="9"/>
        <v>0.00351691199999994</v>
      </c>
      <c r="I48" s="1186">
        <v>4</v>
      </c>
      <c r="J48" s="1191">
        <f t="shared" si="10"/>
        <v>0.000016747199999999717</v>
      </c>
      <c r="K48" s="1190">
        <f t="shared" si="11"/>
        <v>0.004438007999999925</v>
      </c>
      <c r="L48" s="1192"/>
      <c r="M48" s="1192"/>
    </row>
    <row r="49" spans="1:13" x14ac:dyDescent="0.25">
      <c r="A49" s="9">
        <v>46</v>
      </c>
      <c r="B49" s="334" t="s">
        <v>3024</v>
      </c>
      <c r="C49" s="1186">
        <v>112</v>
      </c>
      <c r="D49" s="1187">
        <f t="shared" si="6"/>
        <v>4.68921599999992</v>
      </c>
      <c r="E49" s="1188">
        <f t="shared" si="7"/>
        <v>0.46892159999999206</v>
      </c>
      <c r="F49" s="1186">
        <v>200</v>
      </c>
      <c r="G49" s="1189">
        <f t="shared" si="8"/>
        <v>0.0008373599999999858</v>
      </c>
      <c r="H49" s="1190">
        <f t="shared" si="9"/>
        <v>0.023446079999999602</v>
      </c>
      <c r="I49" s="1186">
        <v>4</v>
      </c>
      <c r="J49" s="1191">
        <f t="shared" si="10"/>
        <v>0.000016747199999999717</v>
      </c>
      <c r="K49" s="1190">
        <f t="shared" si="11"/>
        <v>0.004438007999999925</v>
      </c>
      <c r="L49" s="1192"/>
      <c r="M49" s="1192"/>
    </row>
    <row r="50" spans="1:13" x14ac:dyDescent="0.25">
      <c r="A50" s="9">
        <v>47</v>
      </c>
      <c r="B50" s="334" t="s">
        <v>3025</v>
      </c>
      <c r="C50" s="1186">
        <v>70.8</v>
      </c>
      <c r="D50" s="1187">
        <f t="shared" si="6"/>
        <v>2.9642543999999496</v>
      </c>
      <c r="E50" s="1188">
        <f t="shared" si="7"/>
        <v>0.296425439999995</v>
      </c>
      <c r="F50" s="1186">
        <v>3</v>
      </c>
      <c r="G50" s="1189">
        <f t="shared" si="8"/>
        <v>0.000012560399999999786</v>
      </c>
      <c r="H50" s="1190">
        <f t="shared" si="9"/>
        <v>0.000351691199999994</v>
      </c>
      <c r="I50" s="1186">
        <v>0.6</v>
      </c>
      <c r="J50" s="1191">
        <f t="shared" si="10"/>
        <v>0.000002512079999999957</v>
      </c>
      <c r="K50" s="1190">
        <f t="shared" si="11"/>
        <v>0.0006657011999999887</v>
      </c>
      <c r="L50" s="1192"/>
      <c r="M50" s="1192"/>
    </row>
    <row r="51" spans="1:13" x14ac:dyDescent="0.25">
      <c r="A51" s="9">
        <v>48</v>
      </c>
      <c r="B51" s="334" t="s">
        <v>3026</v>
      </c>
      <c r="C51" s="1186">
        <v>70.8</v>
      </c>
      <c r="D51" s="1187">
        <f t="shared" si="6"/>
        <v>2.9642543999999496</v>
      </c>
      <c r="E51" s="1188">
        <f t="shared" si="7"/>
        <v>0.296425439999995</v>
      </c>
      <c r="F51" s="1186">
        <v>3</v>
      </c>
      <c r="G51" s="1189">
        <f t="shared" si="8"/>
        <v>0.000012560399999999786</v>
      </c>
      <c r="H51" s="1190">
        <f t="shared" si="9"/>
        <v>0.000351691199999994</v>
      </c>
      <c r="I51" s="1186">
        <v>0.6</v>
      </c>
      <c r="J51" s="1191">
        <f t="shared" si="10"/>
        <v>0.000002512079999999957</v>
      </c>
      <c r="K51" s="1190">
        <f t="shared" si="11"/>
        <v>0.0006657011999999887</v>
      </c>
      <c r="L51" s="1192"/>
      <c r="M51" s="1192"/>
    </row>
    <row r="52" spans="1:13" x14ac:dyDescent="0.25">
      <c r="A52" s="9">
        <v>49</v>
      </c>
      <c r="B52" s="334" t="s">
        <v>3027</v>
      </c>
      <c r="C52" s="1186">
        <v>79.6</v>
      </c>
      <c r="D52" s="1187">
        <f t="shared" si="6"/>
        <v>3.3326927999999434</v>
      </c>
      <c r="E52" s="1188">
        <f t="shared" si="7"/>
        <v>0.33326927999999434</v>
      </c>
      <c r="F52" s="1186">
        <v>3</v>
      </c>
      <c r="G52" s="1189">
        <f t="shared" si="8"/>
        <v>0.000012560399999999786</v>
      </c>
      <c r="H52" s="1190">
        <f t="shared" si="9"/>
        <v>0.000351691199999994</v>
      </c>
      <c r="I52" s="1186">
        <v>0.6</v>
      </c>
      <c r="J52" s="1191">
        <f t="shared" si="10"/>
        <v>0.000002512079999999957</v>
      </c>
      <c r="K52" s="1190">
        <f t="shared" si="11"/>
        <v>0.0006657011999999887</v>
      </c>
      <c r="L52" s="1192"/>
      <c r="M52" s="1192"/>
    </row>
    <row r="53" spans="1:13" x14ac:dyDescent="0.25">
      <c r="A53" s="9">
        <v>50</v>
      </c>
      <c r="B53" s="334" t="s">
        <v>3028</v>
      </c>
      <c r="C53" s="1186">
        <v>54.6</v>
      </c>
      <c r="D53" s="1187">
        <f t="shared" si="6"/>
        <v>2.285992799999961</v>
      </c>
      <c r="E53" s="1188">
        <f t="shared" si="7"/>
        <v>0.2285992799999961</v>
      </c>
      <c r="F53" s="1186">
        <v>1</v>
      </c>
      <c r="G53" s="1189">
        <f t="shared" si="8"/>
        <v>0.000004186799999999929</v>
      </c>
      <c r="H53" s="1190">
        <f t="shared" si="9"/>
        <v>0.00011723039999999801</v>
      </c>
      <c r="I53" s="1186">
        <v>0.1</v>
      </c>
      <c r="J53" s="1191">
        <f t="shared" si="10"/>
        <v>4.186799999999929e-7</v>
      </c>
      <c r="K53" s="1190">
        <f t="shared" si="11"/>
        <v>0.00011095019999999812</v>
      </c>
      <c r="L53" s="1192"/>
      <c r="M53" s="1192"/>
    </row>
    <row r="54" spans="1:13" x14ac:dyDescent="0.25">
      <c r="A54" s="9">
        <v>51</v>
      </c>
      <c r="B54" s="334" t="s">
        <v>3029</v>
      </c>
      <c r="C54" s="1186">
        <v>54.6</v>
      </c>
      <c r="D54" s="1187">
        <f t="shared" si="6"/>
        <v>2.285992799999961</v>
      </c>
      <c r="E54" s="1188">
        <f t="shared" si="7"/>
        <v>0.2285992799999961</v>
      </c>
      <c r="F54" s="1186">
        <v>1</v>
      </c>
      <c r="G54" s="1189">
        <f t="shared" si="8"/>
        <v>0.000004186799999999929</v>
      </c>
      <c r="H54" s="1190">
        <f t="shared" si="9"/>
        <v>0.00011723039999999801</v>
      </c>
      <c r="I54" s="1186">
        <v>0.1</v>
      </c>
      <c r="J54" s="1191">
        <f t="shared" si="10"/>
        <v>4.186799999999929e-7</v>
      </c>
      <c r="K54" s="1190">
        <f t="shared" si="11"/>
        <v>0.00011095019999999812</v>
      </c>
      <c r="L54" s="1192"/>
      <c r="M54" s="1192"/>
    </row>
    <row r="55" spans="1:13" x14ac:dyDescent="0.25">
      <c r="A55" s="9">
        <v>52</v>
      </c>
      <c r="B55" s="334" t="s">
        <v>3030</v>
      </c>
      <c r="C55" s="1186">
        <v>54.6</v>
      </c>
      <c r="D55" s="1187">
        <f t="shared" si="6"/>
        <v>2.285992799999961</v>
      </c>
      <c r="E55" s="1188">
        <f t="shared" si="7"/>
        <v>0.2285992799999961</v>
      </c>
      <c r="F55" s="1186">
        <v>1</v>
      </c>
      <c r="G55" s="1189">
        <f t="shared" si="8"/>
        <v>0.000004186799999999929</v>
      </c>
      <c r="H55" s="1190">
        <f t="shared" si="9"/>
        <v>0.00011723039999999801</v>
      </c>
      <c r="I55" s="1186">
        <v>0.1</v>
      </c>
      <c r="J55" s="1191">
        <f t="shared" si="10"/>
        <v>4.186799999999929e-7</v>
      </c>
      <c r="K55" s="1190">
        <f t="shared" si="11"/>
        <v>0.00011095019999999812</v>
      </c>
      <c r="L55" s="1192"/>
      <c r="M55" s="1192"/>
    </row>
    <row r="56" spans="1:13" x14ac:dyDescent="0.25">
      <c r="A56" s="9">
        <v>53</v>
      </c>
      <c r="B56" s="334" t="s">
        <v>3031</v>
      </c>
      <c r="C56" s="1186">
        <v>100</v>
      </c>
      <c r="D56" s="1187">
        <f t="shared" si="6"/>
        <v>4.186799999999929</v>
      </c>
      <c r="E56" s="1188">
        <f t="shared" si="7"/>
        <v>0.4186799999999929</v>
      </c>
      <c r="F56" s="1186">
        <v>30</v>
      </c>
      <c r="G56" s="1189">
        <f t="shared" si="8"/>
        <v>0.00012560399999999786</v>
      </c>
      <c r="H56" s="1190">
        <f t="shared" si="9"/>
        <v>0.00351691199999994</v>
      </c>
      <c r="I56" s="1186">
        <v>4</v>
      </c>
      <c r="J56" s="1191">
        <f t="shared" si="10"/>
        <v>0.000016747199999999717</v>
      </c>
      <c r="K56" s="1190">
        <f t="shared" si="11"/>
        <v>0.004438007999999925</v>
      </c>
      <c r="L56" s="1192"/>
      <c r="M56" s="1192"/>
    </row>
    <row r="58" spans="1:13" x14ac:dyDescent="0.25">
      <c r="A58" s="1204" t="s">
        <v>3032</v>
      </c>
      <c r="B58" s="1205"/>
      <c r="C58" s="1205"/>
      <c r="D58" s="1205"/>
      <c r="E58" s="1206"/>
      <c r="F58" s="556"/>
      <c r="G58" s="556"/>
      <c r="H58" s="556"/>
      <c r="I58" s="556"/>
      <c r="J58" s="987"/>
      <c r="K58" s="987"/>
      <c r="L58" s="987"/>
      <c r="M58" s="987"/>
    </row>
    <row r="59" spans="1:5" x14ac:dyDescent="0.25">
      <c r="A59" s="862" t="s">
        <v>2958</v>
      </c>
      <c r="B59" s="1207" t="s">
        <v>3033</v>
      </c>
      <c r="C59" s="1207"/>
      <c r="D59" s="1208"/>
      <c r="E59" s="860" t="s">
        <v>3034</v>
      </c>
    </row>
    <row r="60" spans="1:5" x14ac:dyDescent="0.25">
      <c r="A60" s="9">
        <v>1</v>
      </c>
      <c r="B60" s="1209" t="s">
        <v>2960</v>
      </c>
      <c r="C60" s="1209"/>
      <c r="D60" s="1210"/>
      <c r="E60" s="9">
        <v>1</v>
      </c>
    </row>
    <row r="61" spans="1:5" x14ac:dyDescent="0.25">
      <c r="A61" s="9">
        <v>2</v>
      </c>
      <c r="B61" s="1209" t="s">
        <v>2961</v>
      </c>
      <c r="C61" s="1209"/>
      <c r="D61" s="1210"/>
      <c r="E61" s="9">
        <v>28</v>
      </c>
    </row>
    <row r="62" spans="1:5" x14ac:dyDescent="0.25">
      <c r="A62" s="9">
        <v>3</v>
      </c>
      <c r="B62" s="1209" t="s">
        <v>2962</v>
      </c>
      <c r="C62" s="1209"/>
      <c r="D62" s="1210"/>
      <c r="E62" s="9">
        <v>265</v>
      </c>
    </row>
    <row r="63" spans="1:5" x14ac:dyDescent="0.25">
      <c r="A63" s="9">
        <v>4</v>
      </c>
      <c r="B63" s="1209" t="s">
        <v>3035</v>
      </c>
      <c r="C63" s="1209"/>
      <c r="D63" s="1210"/>
      <c r="E63" s="9">
        <v>6630</v>
      </c>
    </row>
    <row r="64" spans="1:5" x14ac:dyDescent="0.25">
      <c r="A64" s="9">
        <v>5</v>
      </c>
      <c r="B64" s="1209" t="s">
        <v>3036</v>
      </c>
      <c r="C64" s="1209"/>
      <c r="D64" s="1210"/>
      <c r="E64" s="1211">
        <v>11100</v>
      </c>
    </row>
    <row r="65" spans="5:5" x14ac:dyDescent="0.25">
      <c r="E65" s="334"/>
    </row>
    <row r="66" spans="1:13" x14ac:dyDescent="0.25">
      <c r="A66" s="1212" t="s">
        <v>3037</v>
      </c>
      <c r="B66" s="1213"/>
      <c r="C66" s="1213"/>
      <c r="D66" s="1213"/>
      <c r="E66" s="1214"/>
      <c r="F66" s="556"/>
      <c r="G66" s="556"/>
      <c r="H66" s="556"/>
      <c r="I66" s="556"/>
      <c r="J66" s="987"/>
      <c r="K66" s="987"/>
      <c r="L66" s="987"/>
      <c r="M66" s="987"/>
    </row>
    <row r="67" spans="1:6" x14ac:dyDescent="0.25">
      <c r="A67" s="1183" t="s">
        <v>2958</v>
      </c>
      <c r="B67" s="1183" t="s">
        <v>1443</v>
      </c>
      <c r="C67" s="1215" t="s">
        <v>3038</v>
      </c>
      <c r="D67" s="244" t="s">
        <v>1552</v>
      </c>
      <c r="E67" s="1183" t="s">
        <v>47</v>
      </c>
      <c r="F67" s="987"/>
    </row>
    <row r="68" spans="1:5" x14ac:dyDescent="0.25">
      <c r="A68" s="9">
        <v>1</v>
      </c>
      <c r="B68" s="334" t="s">
        <v>3039</v>
      </c>
      <c r="C68" s="546" t="s">
        <v>3040</v>
      </c>
      <c r="D68" s="1">
        <v>0.5292</v>
      </c>
      <c r="E68" s="334"/>
    </row>
    <row r="69" hidden="1" spans="1:5" x14ac:dyDescent="0.25">
      <c r="A69" s="9">
        <v>2</v>
      </c>
      <c r="B69" s="334" t="s">
        <v>3041</v>
      </c>
      <c r="C69" s="546" t="s">
        <v>3042</v>
      </c>
      <c r="D69" s="1">
        <v>0.44</v>
      </c>
      <c r="E69" s="334"/>
    </row>
    <row r="70" hidden="1" spans="1:5" x14ac:dyDescent="0.25">
      <c r="A70" s="9">
        <v>3</v>
      </c>
      <c r="B70" s="334" t="s">
        <v>3043</v>
      </c>
      <c r="C70" s="546" t="s">
        <v>3042</v>
      </c>
      <c r="D70" s="1">
        <v>0.07</v>
      </c>
      <c r="E70" s="334"/>
    </row>
    <row r="71" hidden="1" spans="1:5" x14ac:dyDescent="0.25">
      <c r="A71" s="9">
        <v>4</v>
      </c>
      <c r="B71" s="334" t="s">
        <v>3044</v>
      </c>
      <c r="C71" s="546" t="s">
        <v>1565</v>
      </c>
      <c r="D71" s="1">
        <v>0.4</v>
      </c>
      <c r="E71" s="334"/>
    </row>
    <row r="72" hidden="1" spans="1:5" x14ac:dyDescent="0.25">
      <c r="A72" s="9">
        <v>5</v>
      </c>
      <c r="B72" s="334" t="s">
        <v>3045</v>
      </c>
      <c r="C72" s="546" t="s">
        <v>1565</v>
      </c>
      <c r="D72" s="1">
        <v>1.6</v>
      </c>
      <c r="E72" s="334"/>
    </row>
    <row r="73" hidden="1" spans="1:5" x14ac:dyDescent="0.25">
      <c r="A73" s="9">
        <v>6</v>
      </c>
      <c r="B73" s="334" t="s">
        <v>3046</v>
      </c>
      <c r="C73" s="546" t="s">
        <v>1565</v>
      </c>
      <c r="D73" s="868">
        <v>0.8</v>
      </c>
      <c r="E73" s="334"/>
    </row>
    <row r="74" hidden="1" spans="1:5" x14ac:dyDescent="0.25">
      <c r="A74" s="9">
        <v>7</v>
      </c>
      <c r="B74" s="334" t="s">
        <v>3047</v>
      </c>
      <c r="C74" s="546" t="s">
        <v>1565</v>
      </c>
      <c r="D74" s="868">
        <v>0.4</v>
      </c>
      <c r="E74" s="334"/>
    </row>
    <row r="75" hidden="1" spans="1:5" x14ac:dyDescent="0.25">
      <c r="A75" s="9">
        <v>8</v>
      </c>
      <c r="B75" s="334" t="s">
        <v>3048</v>
      </c>
      <c r="C75" s="546" t="s">
        <v>1567</v>
      </c>
      <c r="D75" s="1">
        <v>0.04</v>
      </c>
      <c r="E75" s="334"/>
    </row>
    <row r="76" hidden="1" spans="1:5" x14ac:dyDescent="0.25">
      <c r="A76" s="9">
        <v>9</v>
      </c>
      <c r="B76" s="334" t="s">
        <v>3049</v>
      </c>
      <c r="C76" s="546" t="s">
        <v>1567</v>
      </c>
      <c r="D76" s="1">
        <v>0.4</v>
      </c>
      <c r="E76" s="334"/>
    </row>
    <row r="77" hidden="1" spans="1:5" x14ac:dyDescent="0.25">
      <c r="A77" s="9">
        <v>10</v>
      </c>
      <c r="B77" s="334" t="s">
        <v>3050</v>
      </c>
      <c r="C77" s="546" t="s">
        <v>1567</v>
      </c>
      <c r="D77" s="1">
        <v>0.04</v>
      </c>
      <c r="E77" s="334"/>
    </row>
    <row r="78" hidden="1" spans="1:5" x14ac:dyDescent="0.25">
      <c r="A78" s="9">
        <v>11</v>
      </c>
      <c r="B78" s="334" t="s">
        <v>3051</v>
      </c>
      <c r="C78" s="546" t="s">
        <v>1567</v>
      </c>
      <c r="D78" s="1">
        <v>0.03</v>
      </c>
      <c r="E78" s="334"/>
    </row>
    <row r="79" ht="29" customHeight="1" spans="1:5" x14ac:dyDescent="0.25">
      <c r="A79" s="9">
        <v>2</v>
      </c>
      <c r="B79" s="1216" t="s">
        <v>3052</v>
      </c>
      <c r="C79" s="547" t="s">
        <v>3053</v>
      </c>
      <c r="D79" s="1">
        <v>0.122</v>
      </c>
      <c r="E79" s="1217" t="s">
        <v>3054</v>
      </c>
    </row>
    <row r="80" ht="58" customHeight="1" spans="1:14" x14ac:dyDescent="0.25">
      <c r="A80" s="9">
        <v>3</v>
      </c>
      <c r="B80" s="1216" t="s">
        <v>3055</v>
      </c>
      <c r="C80" s="547" t="s">
        <v>3053</v>
      </c>
      <c r="D80" s="1">
        <v>0.104</v>
      </c>
      <c r="E80" s="1217" t="s">
        <v>3056</v>
      </c>
      <c r="M80" s="1218" t="s">
        <v>3057</v>
      </c>
      <c r="N80" s="1218"/>
    </row>
    <row r="81" ht="29" customHeight="1" spans="1:5" x14ac:dyDescent="0.25">
      <c r="A81" s="9">
        <v>4</v>
      </c>
      <c r="B81" s="1216" t="s">
        <v>3058</v>
      </c>
      <c r="C81" s="547" t="s">
        <v>3053</v>
      </c>
      <c r="D81" s="1">
        <v>0.233</v>
      </c>
      <c r="E81" s="1219" t="s">
        <v>3059</v>
      </c>
    </row>
    <row r="82" ht="29" customHeight="1" spans="1:5" x14ac:dyDescent="0.25">
      <c r="A82" s="9">
        <v>5</v>
      </c>
      <c r="B82" s="1216" t="s">
        <v>3060</v>
      </c>
      <c r="C82" s="547" t="s">
        <v>3053</v>
      </c>
      <c r="D82" s="1">
        <v>0.058</v>
      </c>
      <c r="E82" s="1219" t="s">
        <v>3061</v>
      </c>
    </row>
    <row r="83" ht="29" customHeight="1" spans="1:5" x14ac:dyDescent="0.25">
      <c r="A83" s="9">
        <v>6</v>
      </c>
      <c r="B83" s="1216" t="s">
        <v>3062</v>
      </c>
      <c r="C83" s="547" t="s">
        <v>3053</v>
      </c>
      <c r="D83" s="1">
        <v>0.165</v>
      </c>
      <c r="E83" s="1219" t="s">
        <v>3063</v>
      </c>
    </row>
    <row r="84" spans="1:5" x14ac:dyDescent="0.25">
      <c r="A84" s="9">
        <v>7</v>
      </c>
      <c r="B84" s="1216" t="s">
        <v>3064</v>
      </c>
      <c r="C84" s="334" t="s">
        <v>1627</v>
      </c>
      <c r="D84" s="1">
        <v>0.097</v>
      </c>
      <c r="E84" s="334"/>
    </row>
    <row r="85" spans="1:5" x14ac:dyDescent="0.25">
      <c r="A85" s="9">
        <v>8</v>
      </c>
      <c r="B85" s="1216" t="s">
        <v>3065</v>
      </c>
      <c r="C85" s="334" t="s">
        <v>1627</v>
      </c>
      <c r="D85" s="1">
        <v>0.057</v>
      </c>
      <c r="E85" s="334"/>
    </row>
    <row r="86" spans="1:5" x14ac:dyDescent="0.25">
      <c r="A86" s="9">
        <v>9</v>
      </c>
      <c r="B86" s="1216" t="s">
        <v>3066</v>
      </c>
      <c r="C86" s="334" t="s">
        <v>1627</v>
      </c>
      <c r="D86" s="1">
        <v>0.28</v>
      </c>
      <c r="E86" s="334"/>
    </row>
    <row r="87" spans="1:5" x14ac:dyDescent="0.25">
      <c r="A87" s="9">
        <v>10</v>
      </c>
      <c r="B87" s="1216" t="s">
        <v>3067</v>
      </c>
      <c r="C87" s="334" t="s">
        <v>1627</v>
      </c>
      <c r="D87" s="1">
        <v>0.086</v>
      </c>
      <c r="E87" s="334"/>
    </row>
    <row r="88" spans="1:5" x14ac:dyDescent="0.25">
      <c r="A88" s="9">
        <v>11</v>
      </c>
      <c r="B88" s="1216" t="s">
        <v>3068</v>
      </c>
      <c r="C88" s="334" t="s">
        <v>1627</v>
      </c>
      <c r="D88" s="1">
        <v>0.077</v>
      </c>
      <c r="E88" s="334"/>
    </row>
    <row r="91" spans="1:13" x14ac:dyDescent="0.25">
      <c r="A91" s="860" t="s">
        <v>3069</v>
      </c>
      <c r="B91" s="860"/>
      <c r="C91" s="860"/>
      <c r="D91" s="860"/>
      <c r="E91" s="860"/>
      <c r="F91" s="556"/>
      <c r="G91" s="556"/>
      <c r="H91" s="556"/>
      <c r="I91" s="556"/>
      <c r="J91" s="987"/>
      <c r="K91" s="987"/>
      <c r="L91" s="987"/>
      <c r="M91" s="987"/>
    </row>
    <row r="92" spans="1:5" x14ac:dyDescent="0.25">
      <c r="A92" s="334" t="s">
        <v>3070</v>
      </c>
      <c r="B92" s="334" t="s">
        <v>3071</v>
      </c>
      <c r="C92" s="9" t="s">
        <v>1453</v>
      </c>
      <c r="D92" s="9"/>
      <c r="E92" s="9" t="s">
        <v>1552</v>
      </c>
    </row>
    <row r="93" spans="1:5" x14ac:dyDescent="0.25">
      <c r="A93" s="9">
        <v>1</v>
      </c>
      <c r="B93" s="334" t="s">
        <v>3072</v>
      </c>
      <c r="C93" s="9" t="s">
        <v>3073</v>
      </c>
      <c r="D93" s="9"/>
      <c r="E93" s="9">
        <v>0.44</v>
      </c>
    </row>
    <row r="94" spans="1:5" x14ac:dyDescent="0.25">
      <c r="A94" s="9">
        <v>2</v>
      </c>
      <c r="B94" s="334" t="s">
        <v>3074</v>
      </c>
      <c r="C94" s="9" t="s">
        <v>3073</v>
      </c>
      <c r="D94" s="9"/>
      <c r="E94" s="9">
        <v>0.522</v>
      </c>
    </row>
    <row r="95" spans="1:5" x14ac:dyDescent="0.25">
      <c r="A95" s="9">
        <v>3</v>
      </c>
      <c r="B95" s="334" t="s">
        <v>3075</v>
      </c>
      <c r="C95" s="9" t="s">
        <v>3073</v>
      </c>
      <c r="D95" s="9"/>
      <c r="E95" s="9">
        <v>0.415</v>
      </c>
    </row>
    <row r="96" spans="1:5" x14ac:dyDescent="0.25">
      <c r="A96" s="9">
        <v>4</v>
      </c>
      <c r="B96" s="334" t="s">
        <v>3076</v>
      </c>
      <c r="C96" s="9" t="s">
        <v>3073</v>
      </c>
      <c r="D96" s="9"/>
      <c r="E96" s="9">
        <v>0.223</v>
      </c>
    </row>
    <row r="97" spans="1:5" x14ac:dyDescent="0.25">
      <c r="A97" s="9">
        <v>5</v>
      </c>
      <c r="B97" s="334" t="s">
        <v>3077</v>
      </c>
      <c r="C97" s="9" t="s">
        <v>3073</v>
      </c>
      <c r="D97" s="9"/>
      <c r="E97" s="9">
        <v>0.596</v>
      </c>
    </row>
    <row r="98" spans="1:5" x14ac:dyDescent="0.25">
      <c r="A98" s="9">
        <v>6</v>
      </c>
      <c r="B98" s="334" t="s">
        <v>3078</v>
      </c>
      <c r="C98" s="9" t="s">
        <v>3073</v>
      </c>
      <c r="D98" s="9"/>
      <c r="E98" s="9">
        <v>0.318</v>
      </c>
    </row>
    <row r="99" spans="1:5" x14ac:dyDescent="0.25">
      <c r="A99" s="9">
        <v>7</v>
      </c>
      <c r="B99" s="334" t="s">
        <v>3079</v>
      </c>
      <c r="C99" s="9" t="s">
        <v>3073</v>
      </c>
      <c r="D99" s="9"/>
      <c r="E99" s="9">
        <v>0.298</v>
      </c>
    </row>
    <row r="100" spans="1:5" x14ac:dyDescent="0.25">
      <c r="A100" s="9">
        <v>8</v>
      </c>
      <c r="B100" s="334" t="s">
        <v>3080</v>
      </c>
      <c r="C100" s="9" t="s">
        <v>3073</v>
      </c>
      <c r="D100" s="9"/>
      <c r="E100" s="9">
        <v>0.524</v>
      </c>
    </row>
    <row r="101" spans="1:5" x14ac:dyDescent="0.25">
      <c r="A101" s="9">
        <v>9</v>
      </c>
      <c r="B101" s="334" t="s">
        <v>3081</v>
      </c>
      <c r="C101" s="9" t="s">
        <v>3073</v>
      </c>
      <c r="D101" s="9"/>
      <c r="E101" s="9">
        <v>0.38</v>
      </c>
    </row>
    <row r="102" spans="1:5" x14ac:dyDescent="0.25">
      <c r="A102" s="9">
        <v>10</v>
      </c>
      <c r="B102" s="334" t="s">
        <v>3082</v>
      </c>
      <c r="C102" s="9" t="s">
        <v>3073</v>
      </c>
      <c r="D102" s="9"/>
      <c r="E102" s="9">
        <v>0.7328</v>
      </c>
    </row>
  </sheetData>
  <sheetProtection sheet="1" algorithmName="SHA-512" hashValue="KPYmxgSIIP7D6gFDk0+nBu6Tvcdm0UmGe6GxtIUftBaf/z3JBGQd2kTZqzNEN5djZkI4VTkTXapVeemH9l1xLA==" saltValue="jAu13xgA3ICsmnJOHz85Fg==" spinCount="100000" objects="1" scenarios="1"/>
  <mergeCells count="27">
    <mergeCell ref="A1:I1"/>
    <mergeCell ref="C2:E2"/>
    <mergeCell ref="F2:H2"/>
    <mergeCell ref="I2:K2"/>
    <mergeCell ref="A2:A3"/>
    <mergeCell ref="B2:B3"/>
    <mergeCell ref="A58:E58"/>
    <mergeCell ref="B59:D59"/>
    <mergeCell ref="B60:D60"/>
    <mergeCell ref="B61:D61"/>
    <mergeCell ref="B62:D62"/>
    <mergeCell ref="B63:D63"/>
    <mergeCell ref="B64:D64"/>
    <mergeCell ref="A66:E66"/>
    <mergeCell ref="M80:N80"/>
    <mergeCell ref="A91:E91"/>
    <mergeCell ref="C92:D92"/>
    <mergeCell ref="C93:D93"/>
    <mergeCell ref="C94:D94"/>
    <mergeCell ref="C95:D95"/>
    <mergeCell ref="C96:D96"/>
    <mergeCell ref="C97:D97"/>
    <mergeCell ref="C98:D98"/>
    <mergeCell ref="C99:D99"/>
    <mergeCell ref="C100:D100"/>
    <mergeCell ref="C101:D101"/>
    <mergeCell ref="C102:D102"/>
  </mergeCells>
  <pageMargins left="0.7" right="0.7" top="0.75" bottom="0.75" header="0.3" footer="0.3"/>
  <pageSetup orientation="portrait" horizontalDpi="300" verticalDpi="300" scale="100" fitToWidth="1" fitToHeight="1" firstPageNumber="1" useFirstPageNumber="1" copies="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8"/>
  <sheetViews>
    <sheetView workbookViewId="0" zoomScale="90" zoomScaleNormal="90">
      <selection activeCell="G39" sqref="G39"/>
    </sheetView>
  </sheetViews>
  <sheetFormatPr defaultRowHeight="14" outlineLevelRow="0" outlineLevelCol="0" x14ac:dyDescent="0.3" defaultColWidth="9.1796875" customHeight="1"/>
  <cols>
    <col min="1" max="1" width="7.7265625" style="253" customWidth="1"/>
    <col min="2" max="2" width="63.7265625" style="254" customWidth="1"/>
    <col min="3" max="3" width="25.26953125" style="254" customWidth="1"/>
    <col min="4" max="4" width="25" style="254" customWidth="1"/>
    <col min="5" max="5" width="20.7265625" style="254" customWidth="1"/>
    <col min="6" max="16384" width="9.1796875" style="254" customWidth="1"/>
  </cols>
  <sheetData>
    <row r="1" ht="15" customHeight="1" spans="1:5" x14ac:dyDescent="0.25">
      <c r="A1" s="255" t="s">
        <v>1629</v>
      </c>
      <c r="B1" s="256"/>
      <c r="C1" s="256"/>
      <c r="D1" s="256"/>
      <c r="E1" s="257"/>
    </row>
    <row r="2" ht="15" customHeight="1" spans="1:5" x14ac:dyDescent="0.25">
      <c r="A2" s="258" t="s">
        <v>1630</v>
      </c>
      <c r="B2" s="259"/>
      <c r="C2" s="259"/>
      <c r="D2" s="259"/>
      <c r="E2" s="260"/>
    </row>
    <row r="3" ht="15" customHeight="1" spans="1:5" x14ac:dyDescent="0.25">
      <c r="A3" s="343" t="s">
        <v>1631</v>
      </c>
      <c r="B3" s="344"/>
      <c r="C3" s="344"/>
      <c r="D3" s="344"/>
      <c r="E3" s="345"/>
    </row>
    <row r="4" ht="15" customHeight="1" spans="1:5" x14ac:dyDescent="0.25">
      <c r="A4" s="261" t="s">
        <v>46</v>
      </c>
      <c r="B4" s="262" t="s">
        <v>1632</v>
      </c>
      <c r="C4" s="263" t="s">
        <v>1437</v>
      </c>
      <c r="D4" s="263"/>
      <c r="E4" s="264"/>
    </row>
    <row r="5" spans="1:5" x14ac:dyDescent="0.25">
      <c r="A5" s="265" t="s">
        <v>56</v>
      </c>
      <c r="B5" s="266" t="s">
        <v>1633</v>
      </c>
      <c r="C5" s="267" t="str">
        <f>'General Information'!C7</f>
        <v>ALM0009UP</v>
      </c>
      <c r="D5" s="267"/>
      <c r="E5" s="268"/>
    </row>
    <row r="6" spans="1:5" x14ac:dyDescent="0.25">
      <c r="A6" s="265" t="s">
        <v>84</v>
      </c>
      <c r="B6" s="266" t="s">
        <v>1634</v>
      </c>
      <c r="C6" s="267" t="str">
        <f>'General Information'!C3</f>
        <v>HINDALCO INDUSTRIES LIMITED</v>
      </c>
      <c r="D6" s="267"/>
      <c r="E6" s="268"/>
    </row>
    <row r="7" ht="15" customHeight="1" spans="1:5" x14ac:dyDescent="0.25">
      <c r="A7" s="265" t="s">
        <v>100</v>
      </c>
      <c r="B7" s="266" t="s">
        <v>1442</v>
      </c>
      <c r="C7" s="269" t="s">
        <v>1443</v>
      </c>
      <c r="D7" s="269"/>
      <c r="E7" s="270" t="s">
        <v>1444</v>
      </c>
    </row>
    <row r="8" ht="15" customHeight="1" spans="1:5" x14ac:dyDescent="0.25">
      <c r="A8" s="265"/>
      <c r="B8" s="266"/>
      <c r="C8" s="269" t="str">
        <f>'General Information'!A2</f>
        <v>Sector - Aluminium Sector</v>
      </c>
      <c r="D8" s="269"/>
      <c r="E8" s="270" t="str">
        <f>'General Information'!G4</f>
        <v>INTEGRATED</v>
      </c>
    </row>
    <row r="9" ht="15" customHeight="1" spans="1:5" x14ac:dyDescent="0.25">
      <c r="A9" s="265" t="s">
        <v>1635</v>
      </c>
      <c r="B9" s="266" t="s">
        <v>1439</v>
      </c>
      <c r="C9" s="267">
        <f>'General Information'!C6</f>
        <v>1962</v>
      </c>
      <c r="D9" s="267"/>
      <c r="E9" s="268"/>
    </row>
    <row r="10" ht="44.5" customHeight="1" spans="1:5" x14ac:dyDescent="0.25">
      <c r="A10" s="265" t="s">
        <v>1636</v>
      </c>
      <c r="B10" s="266" t="s">
        <v>1446</v>
      </c>
      <c r="C10" s="269" t="str">
        <f>'General Information'!C9&amp;", "&amp;'General Information'!C10&amp;", "&amp;'General Information'!C11&amp;", "&amp;'General Information'!F11&amp;", "&amp;'General Information'!C12&amp;", "&amp;'General Information'!F12&amp;","&amp;'General Information'!C13&amp;", "&amp;'General Information'!C14&amp;", "&amp;'General Information'!C15&amp;", "&amp;'General Information'!C16&amp;", "&amp;'General Information'!F15&amp;", "&amp;'General Information'!F16</f>
        <v>RENUKOOT, SONBHADRA, UTTAR PRADESH, 231217, (05446) 252077-79 / 254791-96, (05446) 252107 / 252427,Sameer Nayak, CHIEF OFFICER-OPERATIONS , (05446) 252077-79 / 254791-96, 8146628220, (05446) 252107 / 252427, </v>
      </c>
      <c r="D10" s="269"/>
      <c r="E10" s="271"/>
    </row>
    <row r="11" ht="45.65" customHeight="1" spans="1:5" x14ac:dyDescent="0.25">
      <c r="A11" s="265" t="s">
        <v>1637</v>
      </c>
      <c r="B11" s="272" t="s">
        <v>1447</v>
      </c>
      <c r="C11" s="269" t="str">
        <f>'General Information'!C18&amp;", "&amp;'General Information'!C19&amp;", "&amp;'General Information'!C20&amp;","&amp;'General Information'!C21&amp;","&amp;'General Information'!F21&amp;","&amp;'General Information'!C22&amp;", "&amp;'General Information'!C23&amp;", "&amp;'General Information'!F23&amp;", "&amp;'General Information'!C24&amp;", "&amp;'General Information'!F24</f>
        <v>Satish Pai, M.D, Ahura Center, Ist Floor, B Wing, Mahakali Caves Road, Andheri (East),91–22– 2422 7586/2436 2516,,MUMBAI, MAHARASTRA, 400030, 91-22-6662 6666, 91–22– 2422 7586/2436 2516</v>
      </c>
      <c r="D11" s="269"/>
      <c r="E11" s="271"/>
    </row>
    <row r="12" ht="46.9" customHeight="1" spans="1:5" x14ac:dyDescent="0.25">
      <c r="A12" s="265" t="s">
        <v>1638</v>
      </c>
      <c r="B12" s="272" t="s">
        <v>1448</v>
      </c>
      <c r="C12" s="269" t="str">
        <f>'General Information'!C26&amp;", "&amp;'General Information'!C27&amp;", "&amp;'General Information'!G27&amp;","&amp;'General Information'!C28&amp;","&amp;'General Information'!C29&amp;", "&amp;'General Information'!F29&amp;", "&amp;'General Information'!C30&amp;", "&amp;'General Information'!E30</f>
        <v>Vivek Agrawal, Asst. General Manager, EA,27303,(05446) 252077-79 / 254791-96, (05446) 252107 / 252427, 8114005777, (05446) 252107 / 252427</v>
      </c>
      <c r="D12" s="269"/>
      <c r="E12" s="271"/>
    </row>
    <row r="13" ht="15" customHeight="1" spans="1:5" x14ac:dyDescent="0.25">
      <c r="A13" s="346" t="s">
        <v>1639</v>
      </c>
      <c r="B13" s="347"/>
      <c r="C13" s="347"/>
      <c r="D13" s="347"/>
      <c r="E13" s="348"/>
    </row>
    <row r="14" spans="1:5" s="274" customFormat="1" x14ac:dyDescent="0.25">
      <c r="A14" s="275" t="s">
        <v>1640</v>
      </c>
      <c r="B14" s="276" t="s">
        <v>1641</v>
      </c>
      <c r="C14" s="277"/>
      <c r="D14" s="277"/>
      <c r="E14" s="278"/>
    </row>
    <row r="15" ht="28" customHeight="1" spans="1:5" s="274" customFormat="1" x14ac:dyDescent="0.25">
      <c r="A15" s="279" t="s">
        <v>46</v>
      </c>
      <c r="B15" s="280" t="s">
        <v>1452</v>
      </c>
      <c r="C15" s="281" t="s">
        <v>1453</v>
      </c>
      <c r="D15" s="282" t="s">
        <v>1454</v>
      </c>
      <c r="E15" s="283" t="s">
        <v>1455</v>
      </c>
    </row>
    <row r="16" spans="1:5" s="274" customFormat="1" x14ac:dyDescent="0.25">
      <c r="A16" s="284"/>
      <c r="B16" s="285"/>
      <c r="C16" s="286"/>
      <c r="D16" s="282" t="str">
        <f>'Form 1'!D16</f>
        <v>FY 2023-24</v>
      </c>
      <c r="E16" s="283" t="str">
        <f>'Form 1'!E16</f>
        <v>FY 2025-26</v>
      </c>
    </row>
    <row r="17" spans="1:7" x14ac:dyDescent="0.25">
      <c r="A17" s="288" t="s">
        <v>306</v>
      </c>
      <c r="B17" s="289" t="str">
        <f>IF(OR('General Information'!C4="SMELTER", 'General Information'!C4="INTEGRATED"),'Form Sa1'!B54, 'Form Sa1'!B45)</f>
        <v>Total Molten Aluminium  Production</v>
      </c>
      <c r="C17" s="269" t="s">
        <v>1456</v>
      </c>
      <c r="D17" s="290">
        <f>IF(OR('General Information'!$C$4="SMELTER", 'General Information'!$C$4="INTEGRATED"), 'Form Sa1'!H54, 'Form Sa1'!H45)</f>
        <v>410661.738</v>
      </c>
      <c r="E17" s="291">
        <f>IF(OR('General Information'!$C$4="SMELTER", 'General Information'!$C$4="INTEGRATED"), 'Form Sa1'!I54, 'Form Sa1'!I45)</f>
        <v>0</v>
      </c>
      <c r="F17" s="292"/>
      <c r="G17" s="292"/>
    </row>
    <row r="18" spans="1:7" x14ac:dyDescent="0.25">
      <c r="A18" s="288" t="s">
        <v>308</v>
      </c>
      <c r="B18" s="289" t="str">
        <f>IF(OR('General Information'!$C$4="SMELTER", 'General Information'!$C$4="INTEGRATED"), 'Form Sa1'!B55, 'Form Sa1'!B46)</f>
        <v>Total Production- Cast House</v>
      </c>
      <c r="C18" s="269" t="s">
        <v>1456</v>
      </c>
      <c r="D18" s="290">
        <f>IF(OR('General Information'!$C$4="SMELTER", 'General Information'!$C$4="INTEGRATED"), 'Form Sa1'!H55, 'Form Sa1'!H46)</f>
        <v>381860.332</v>
      </c>
      <c r="E18" s="291">
        <f>IF(OR('General Information'!$C$4="SMELTER", 'General Information'!$C$4="INTEGRATED"), 'Form Sa1'!I55, 'Form Sa1'!I46)</f>
        <v>0</v>
      </c>
      <c r="F18" s="292"/>
      <c r="G18" s="292"/>
    </row>
    <row r="19" spans="1:7" x14ac:dyDescent="0.25">
      <c r="A19" s="288" t="s">
        <v>310</v>
      </c>
      <c r="B19" s="289" t="str">
        <f>IF(OR('General Information'!$C$4="SMELTER", 'General Information'!$C$4="INTEGRATED"), 'Form Sa1'!B384, 'Form Sa1'!B110)</f>
        <v>Actual Carbon Anode Production</v>
      </c>
      <c r="C19" s="269" t="s">
        <v>1456</v>
      </c>
      <c r="D19" s="293">
        <f>IF(OR('General Information'!$C$4="SMELTER", 'General Information'!$C$4="INTEGRATED"), 'Form Sa1'!H384, 'Form Sa1'!H112)</f>
        <v>219298.181</v>
      </c>
      <c r="E19" s="294">
        <f>IF(OR('General Information'!$C$4="SMELTER", 'General Information'!$C$4="INTEGRATED"), 'Form Sa1'!I384, 'Form Sa1'!I112)</f>
        <v>0</v>
      </c>
      <c r="F19" s="295"/>
      <c r="G19" s="295"/>
    </row>
    <row r="20" spans="1:7" x14ac:dyDescent="0.25">
      <c r="A20" s="288" t="s">
        <v>312</v>
      </c>
      <c r="B20" s="289" t="str">
        <f>IF(OR('General Information'!$C$4="SMELTER", 'General Information'!$C$4="INTEGRATED"), 'Form Sa1'!B394, 'Form Sa1'!B116)</f>
        <v>Billets</v>
      </c>
      <c r="C20" s="269" t="s">
        <v>1456</v>
      </c>
      <c r="D20" s="293">
        <f>IF(OR('General Information'!$C$4="SMELTER", 'General Information'!$C$4="INTEGRATED"), 'Form Sa1'!H396, 'Form Sa1'!H118)</f>
        <v>58980.666</v>
      </c>
      <c r="E20" s="294">
        <f>IF(OR('General Information'!$C$4="SMELTER", 'General Information'!$C$4="INTEGRATED"), 'Form Sa1'!I396, 'Form Sa1'!I118)</f>
        <v>0</v>
      </c>
      <c r="F20" s="295"/>
      <c r="G20" s="295"/>
    </row>
    <row r="21" spans="1:7" x14ac:dyDescent="0.25">
      <c r="A21" s="288" t="s">
        <v>314</v>
      </c>
      <c r="B21" s="289" t="str">
        <f>IF(OR('General Information'!$C$4="SMELTER", 'General Information'!$C$4="INTEGRATED"), 'Form Sa1'!B400, 'Form Sa1'!B122)</f>
        <v>Ingot</v>
      </c>
      <c r="C21" s="269" t="s">
        <v>1456</v>
      </c>
      <c r="D21" s="293">
        <f>IF(OR('General Information'!$C$4="SMELTER", 'General Information'!$C$4="INTEGRATED"), 'Form Sa1'!H402, 'Form Sa1'!H124)</f>
        <v>210775.162</v>
      </c>
      <c r="E21" s="294">
        <f>IF(OR('General Information'!$C$4="SMELTER", 'General Information'!$C$4="INTEGRATED"), 'Form Sa1'!I402, 'Form Sa1'!I124)</f>
        <v>0</v>
      </c>
      <c r="F21" s="295"/>
      <c r="G21" s="295"/>
    </row>
    <row r="22" spans="1:7" x14ac:dyDescent="0.25">
      <c r="A22" s="288" t="s">
        <v>316</v>
      </c>
      <c r="B22" s="289" t="str">
        <f>IF(OR('General Information'!$C$4="SMELTER", 'General Information'!$C$4="INTEGRATED"), 'Form Sa1'!B406, 'Form Sa1'!B128)</f>
        <v>Bars</v>
      </c>
      <c r="C22" s="269" t="s">
        <v>1456</v>
      </c>
      <c r="D22" s="293">
        <f>IF(OR('General Information'!$C$4="SMELTER", 'General Information'!$C$4="INTEGRATED"), 'Form Sa1'!H408, 'Form Sa1'!H130)</f>
        <v>0</v>
      </c>
      <c r="E22" s="294">
        <f>IF(OR('General Information'!$C$4="SMELTER", 'General Information'!$C$4="INTEGRATED"), 'Form Sa1'!I408, 'Form Sa1'!I130)</f>
        <v>0</v>
      </c>
      <c r="F22" s="295"/>
      <c r="G22" s="295"/>
    </row>
    <row r="23" spans="1:7" x14ac:dyDescent="0.25">
      <c r="A23" s="288" t="s">
        <v>318</v>
      </c>
      <c r="B23" s="289" t="str">
        <f>IF(OR('General Information'!$C$4="SMELTER", 'General Information'!$C$4="INTEGRATED"), 'Form Sa1'!B412, 'Form Sa1'!B134)</f>
        <v>Primary Foundry Alloys</v>
      </c>
      <c r="C23" s="269" t="s">
        <v>1456</v>
      </c>
      <c r="D23" s="293">
        <f>IF(OR('General Information'!$C$4="SMELTER", 'General Information'!$C$4="INTEGRATED"), 'Form Sa1'!H414, 'Form Sa1'!H136)</f>
        <v>0</v>
      </c>
      <c r="E23" s="294">
        <f>IF(OR('General Information'!$C$4="SMELTER", 'General Information'!$C$4="INTEGRATED"), 'Form Sa1'!I414, 'Form Sa1'!I136)</f>
        <v>0</v>
      </c>
      <c r="F23" s="295"/>
      <c r="G23" s="295"/>
    </row>
    <row r="24" spans="1:7" x14ac:dyDescent="0.25">
      <c r="A24" s="288" t="s">
        <v>478</v>
      </c>
      <c r="B24" s="289" t="str">
        <f>IF(OR('General Information'!$C$4="SMELTER", 'General Information'!$C$4="INTEGRATED"), 'Form Sa1'!B418, 'Form Sa1'!B140)</f>
        <v>Wire Rod</v>
      </c>
      <c r="C24" s="269" t="s">
        <v>1456</v>
      </c>
      <c r="D24" s="293">
        <f>IF(OR('General Information'!$C$4="SMELTER", 'General Information'!$C$4="INTEGRATED"), 'Form Sa1'!H420, 'Form Sa1'!H142)</f>
        <v>55481.148</v>
      </c>
      <c r="E24" s="294">
        <f>IF(OR('General Information'!$C$4="SMELTER", 'General Information'!$C$4="INTEGRATED"), 'Form Sa1'!I420, 'Form Sa1'!I142)</f>
        <v>0</v>
      </c>
      <c r="F24" s="295"/>
      <c r="G24" s="295"/>
    </row>
    <row r="25" spans="1:7" x14ac:dyDescent="0.25">
      <c r="A25" s="288" t="s">
        <v>481</v>
      </c>
      <c r="B25" s="289" t="str">
        <f>IF(OR('General Information'!$C$4="SMELTER", 'General Information'!$C$4="INTEGRATED"), 'Form Sa1'!B424, 'Form Sa1'!B146)</f>
        <v>Strips</v>
      </c>
      <c r="C25" s="269" t="s">
        <v>1456</v>
      </c>
      <c r="D25" s="293">
        <f>IF(OR('General Information'!$C$4="SMELTER", 'General Information'!$C$4="INTEGRATED"), 'Form Sa1'!H426, 'Form Sa1'!H148)</f>
        <v>76567.049</v>
      </c>
      <c r="E25" s="294">
        <f>IF(OR('General Information'!$C$4="SMELTER", 'General Information'!$C$4="INTEGRATED"), 'Form Sa1'!I426, 'Form Sa1'!I148)</f>
        <v>0</v>
      </c>
      <c r="F25" s="295"/>
      <c r="G25" s="295"/>
    </row>
    <row r="26" spans="1:7" x14ac:dyDescent="0.25">
      <c r="A26" s="288" t="s">
        <v>483</v>
      </c>
      <c r="B26" s="289" t="str">
        <f>IF(OR('General Information'!$C$4="SMELTER", 'General Information'!$C$4="INTEGRATED"), 'Form Sa1'!B430, 'Form Sa1'!B152)</f>
        <v>Others , if Any</v>
      </c>
      <c r="C26" s="269" t="s">
        <v>1456</v>
      </c>
      <c r="D26" s="293">
        <f>IF(OR('General Information'!$C$4="SMELTER", 'General Information'!$C$4="INTEGRATED"), 'Form Sa1'!H433, 'Form Sa1'!H154)</f>
        <v>42078.393</v>
      </c>
      <c r="E26" s="294">
        <f>IF(OR('General Information'!$C$4="SMELTER", 'General Information'!$C$4="INTEGRATED"), 'Form Sa1'!I433, 'Form Sa1'!I154)</f>
        <v>0</v>
      </c>
      <c r="F26" s="295"/>
      <c r="G26" s="295"/>
    </row>
    <row r="27" ht="15" customHeight="1" spans="1:7" x14ac:dyDescent="0.25">
      <c r="A27" s="288" t="s">
        <v>485</v>
      </c>
      <c r="B27" s="349" t="str">
        <f>IF(OR('General Information'!$C$4="SMELTER", 'General Information'!$C$4="INTEGRATED"), "-",'Form Sa1'!B158)</f>
        <v>-</v>
      </c>
      <c r="C27" s="269" t="s">
        <v>1456</v>
      </c>
      <c r="D27" s="293" t="str">
        <f>IF(OR('General Information'!$C$4="SMELTER", 'General Information'!$C$4="INTEGRATED"), "-", 'Form Sa1'!H160)</f>
        <v>-</v>
      </c>
      <c r="E27" s="294" t="str">
        <f>IF(OR('General Information'!$C$4="SMELTER", 'General Information'!$C$4="INTEGRATED"), "-", 'Form Sa1'!I160)</f>
        <v>-</v>
      </c>
      <c r="F27" s="295"/>
      <c r="G27" s="295"/>
    </row>
    <row r="28" ht="15" customHeight="1" spans="1:7" x14ac:dyDescent="0.25">
      <c r="A28" s="288" t="s">
        <v>488</v>
      </c>
      <c r="B28" s="349" t="str">
        <f>IF(OR('General Information'!$C$4="SMELTER", 'General Information'!$C$4="INTEGRATED"), "-", 'Form Sa1'!B164)</f>
        <v>-</v>
      </c>
      <c r="C28" s="269" t="s">
        <v>1456</v>
      </c>
      <c r="D28" s="293" t="str">
        <f>IF(OR('General Information'!$C$4="SMELTER", 'General Information'!$C$4="INTEGRATED"), "-", 'Form Sa1'!H167)</f>
        <v>-</v>
      </c>
      <c r="E28" s="294" t="str">
        <f>IF(OR('General Information'!$C$4="SMELTER", 'General Information'!$C$4="INTEGRATED"), "-", 'Form Sa1'!I167)</f>
        <v>-</v>
      </c>
      <c r="F28" s="295"/>
      <c r="G28" s="295"/>
    </row>
    <row r="29" spans="1:7" x14ac:dyDescent="0.25">
      <c r="A29" s="288" t="s">
        <v>403</v>
      </c>
      <c r="B29" s="289" t="s">
        <v>1457</v>
      </c>
      <c r="C29" s="269" t="s">
        <v>1456</v>
      </c>
      <c r="D29" s="269"/>
      <c r="E29" s="271"/>
      <c r="F29" s="292"/>
      <c r="G29" s="292"/>
    </row>
    <row r="30" spans="1:7" x14ac:dyDescent="0.25">
      <c r="A30" s="288" t="s">
        <v>407</v>
      </c>
      <c r="B30" s="289" t="str">
        <f>IF(OR('General Information'!$C$4="SMELTER", 'General Information'!$C$4="INTEGRATED"), 'Baseline Parameter'!B73,'Baseline Parameter'!B70)</f>
        <v>Total Equivalent Molten Aluminum Produced</v>
      </c>
      <c r="C30" s="269" t="s">
        <v>1456</v>
      </c>
      <c r="D30" s="296">
        <f>' Summary Sheet'!E102</f>
        <v>423703.5138747444</v>
      </c>
      <c r="E30" s="296">
        <f>' Summary Sheet'!F102</f>
        <v>0</v>
      </c>
      <c r="F30" s="295"/>
      <c r="G30" s="295"/>
    </row>
    <row r="31" ht="15" customHeight="1" spans="1:5" x14ac:dyDescent="0.25">
      <c r="A31" s="261" t="s">
        <v>1642</v>
      </c>
      <c r="B31" s="297" t="s">
        <v>1643</v>
      </c>
      <c r="C31" s="297"/>
      <c r="D31" s="297"/>
      <c r="E31" s="298"/>
    </row>
    <row r="32" spans="1:5" x14ac:dyDescent="0.25">
      <c r="A32" s="299" t="s">
        <v>46</v>
      </c>
      <c r="B32" s="280" t="s">
        <v>1459</v>
      </c>
      <c r="C32" s="282" t="s">
        <v>1453</v>
      </c>
      <c r="D32" s="282" t="s">
        <v>1460</v>
      </c>
      <c r="E32" s="283" t="s">
        <v>1461</v>
      </c>
    </row>
    <row r="33" spans="1:5" x14ac:dyDescent="0.25">
      <c r="A33" s="300"/>
      <c r="B33" s="285"/>
      <c r="C33" s="282" t="s">
        <v>1462</v>
      </c>
      <c r="D33" s="282" t="s">
        <v>1463</v>
      </c>
      <c r="E33" s="283" t="s">
        <v>1464</v>
      </c>
    </row>
    <row r="34" spans="1:5" x14ac:dyDescent="0.25">
      <c r="A34" s="288" t="s">
        <v>306</v>
      </c>
      <c r="B34" s="266" t="s">
        <v>1466</v>
      </c>
      <c r="C34" s="269" t="s">
        <v>1467</v>
      </c>
      <c r="D34" s="301">
        <f>('Form Sa1'!H716/10)+('Form Sa1'!H814/10)</f>
        <v>118.39133589925275</v>
      </c>
      <c r="E34" s="301">
        <f>('Form Sa1'!I716/10)+('Form Sa1'!I814/10)</f>
        <v>0</v>
      </c>
    </row>
    <row r="35" spans="1:5" x14ac:dyDescent="0.25">
      <c r="A35" s="288" t="s">
        <v>308</v>
      </c>
      <c r="B35" s="266" t="s">
        <v>1468</v>
      </c>
      <c r="C35" s="269" t="s">
        <v>1467</v>
      </c>
      <c r="D35" s="290">
        <f>'Form Sa1'!H839/10</f>
        <v>7087.292496874999</v>
      </c>
      <c r="E35" s="291">
        <f>'Form Sa1'!I839/10</f>
        <v>0</v>
      </c>
    </row>
    <row r="36" spans="1:5" x14ac:dyDescent="0.25">
      <c r="A36" s="288" t="s">
        <v>310</v>
      </c>
      <c r="B36" s="266" t="s">
        <v>1469</v>
      </c>
      <c r="C36" s="269" t="s">
        <v>1467</v>
      </c>
      <c r="D36" s="290">
        <f>('Form Sa1'!H841+'Form Sa1'!H842)/10</f>
        <v>178.26538101559998</v>
      </c>
      <c r="E36" s="291">
        <f>('Form Sa1'!I841+'Form Sa1'!I842)/10</f>
        <v>0</v>
      </c>
    </row>
    <row r="37" spans="1:5" x14ac:dyDescent="0.25">
      <c r="A37" s="288" t="s">
        <v>312</v>
      </c>
      <c r="B37" s="266" t="s">
        <v>1470</v>
      </c>
      <c r="C37" s="269" t="s">
        <v>1467</v>
      </c>
      <c r="D37" s="290">
        <f>'Form Sa1'!H845/10</f>
        <v>7027.418451758653</v>
      </c>
      <c r="E37" s="291">
        <f>'Form Sa1'!I845/10</f>
        <v>0</v>
      </c>
    </row>
    <row r="38" spans="1:5" x14ac:dyDescent="0.25">
      <c r="A38" s="288" t="s">
        <v>314</v>
      </c>
      <c r="B38" s="266" t="s">
        <v>1471</v>
      </c>
      <c r="C38" s="269" t="s">
        <v>1472</v>
      </c>
      <c r="D38" s="290">
        <f>'Form Sa1'!H1012+'Form Sa1'!H1013+'Form Sa1'!H1014</f>
        <v>19863268.062506635</v>
      </c>
      <c r="E38" s="291">
        <f>'Form Sa1'!I1012+'Form Sa1'!I1013+'Form Sa1'!I1014</f>
        <v>0</v>
      </c>
    </row>
    <row r="39" spans="1:5" x14ac:dyDescent="0.25">
      <c r="A39" s="265" t="s">
        <v>316</v>
      </c>
      <c r="B39" s="266" t="s">
        <v>1473</v>
      </c>
      <c r="C39" s="269" t="s">
        <v>1472</v>
      </c>
      <c r="D39" s="290">
        <f>'Form Sa1'!H1171+'Form Sa1'!H1172+'Form Sa1'!H1173+'Form Sa1'!H1174</f>
        <v>716331.9851361387</v>
      </c>
      <c r="E39" s="291">
        <f>'Form Sa1'!I1171+'Form Sa1'!I1172+'Form Sa1'!I1173+'Form Sa1'!I1174</f>
        <v>0</v>
      </c>
    </row>
    <row r="40" spans="1:5" x14ac:dyDescent="0.25">
      <c r="A40" s="265" t="s">
        <v>318</v>
      </c>
      <c r="B40" s="266" t="s">
        <v>1474</v>
      </c>
      <c r="C40" s="269" t="s">
        <v>1472</v>
      </c>
      <c r="D40" s="290">
        <f>'Form Sa1'!H1217+'Form Sa1'!H1218+'Form Sa1'!H1265</f>
        <v>5167.700706800002</v>
      </c>
      <c r="E40" s="291">
        <f>'Form Sa1'!I1217+'Form Sa1'!I1218+'Form Sa1'!I1265</f>
        <v>0</v>
      </c>
    </row>
    <row r="41" spans="1:5" x14ac:dyDescent="0.25">
      <c r="A41" s="265" t="s">
        <v>478</v>
      </c>
      <c r="B41" s="266" t="s">
        <v>1475</v>
      </c>
      <c r="C41" s="269" t="s">
        <v>1472</v>
      </c>
      <c r="D41" s="290">
        <f>'Form Sa1'!H1306</f>
        <v>20584767.748349573</v>
      </c>
      <c r="E41" s="291">
        <f>'Form Sa1'!I1306</f>
        <v>0</v>
      </c>
    </row>
    <row r="42" spans="1:5" x14ac:dyDescent="0.25">
      <c r="A42" s="265" t="s">
        <v>481</v>
      </c>
      <c r="B42" s="266" t="s">
        <v>1644</v>
      </c>
      <c r="C42" s="269" t="s">
        <v>1477</v>
      </c>
      <c r="D42" s="291">
        <f>' Summary Sheet'!E57</f>
        <v>2086083.4375024042</v>
      </c>
      <c r="E42" s="291" t="e">
        <f>' Summary Sheet'!F57</f>
        <v>#DIV/0!</v>
      </c>
    </row>
    <row r="43" spans="1:5" x14ac:dyDescent="0.25">
      <c r="A43" s="350" t="s">
        <v>483</v>
      </c>
      <c r="B43" s="351" t="s">
        <v>1645</v>
      </c>
      <c r="C43" s="352" t="s">
        <v>1575</v>
      </c>
      <c r="D43" s="307">
        <f>' Summary Sheet'!E119-' Summary Sheet'!E113</f>
        <v>7809145.908134675</v>
      </c>
      <c r="E43" s="303">
        <f>' Summary Sheet'!F119-' Summary Sheet'!F113</f>
        <v>0</v>
      </c>
    </row>
    <row r="44" spans="1:5" x14ac:dyDescent="0.25">
      <c r="A44" s="350" t="s">
        <v>485</v>
      </c>
      <c r="B44" s="351" t="s">
        <v>1646</v>
      </c>
      <c r="C44" s="352" t="s">
        <v>1575</v>
      </c>
      <c r="D44" s="307">
        <f>' Summary Sheet'!E127</f>
        <v>159898.7834662813</v>
      </c>
      <c r="E44" s="303" t="e">
        <f>' Summary Sheet'!F127</f>
        <v>#DIV/0!</v>
      </c>
    </row>
    <row r="45" spans="1:5" x14ac:dyDescent="0.25">
      <c r="A45" s="350" t="s">
        <v>488</v>
      </c>
      <c r="B45" s="351" t="s">
        <v>1647</v>
      </c>
      <c r="C45" s="352" t="s">
        <v>1575</v>
      </c>
      <c r="D45" s="307">
        <f>' Summary Sheet'!E113</f>
        <v>740123.1433905291</v>
      </c>
      <c r="E45" s="303">
        <f>' Summary Sheet'!F113</f>
        <v>0</v>
      </c>
    </row>
    <row r="46" spans="1:5" x14ac:dyDescent="0.25">
      <c r="A46" s="350" t="s">
        <v>403</v>
      </c>
      <c r="B46" s="351" t="s">
        <v>1648</v>
      </c>
      <c r="C46" s="352" t="s">
        <v>1575</v>
      </c>
      <c r="D46" s="307">
        <f>' Summary Sheet'!E129</f>
        <v>8709167.834991485</v>
      </c>
      <c r="E46" s="303" t="e">
        <f>' Summary Sheet'!F129</f>
        <v>#DIV/0!</v>
      </c>
    </row>
    <row r="47" ht="15" customHeight="1" spans="1:5" x14ac:dyDescent="0.25">
      <c r="A47" s="304" t="s">
        <v>1649</v>
      </c>
      <c r="B47" s="262" t="s">
        <v>1650</v>
      </c>
      <c r="C47" s="262"/>
      <c r="D47" s="262"/>
      <c r="E47" s="273"/>
    </row>
    <row r="48" spans="1:5" x14ac:dyDescent="0.25">
      <c r="A48" s="288" t="s">
        <v>1651</v>
      </c>
      <c r="B48" s="266" t="s">
        <v>1481</v>
      </c>
      <c r="C48" s="269" t="s">
        <v>1482</v>
      </c>
      <c r="D48" s="307">
        <f>IF(OR('General Information'!$C$4="SMELTER", 'General Information'!$C$4="INTEGRATED"),' Summary Sheet'!E58,' Summary Sheet'!E51)</f>
        <v>4.927021396672462</v>
      </c>
      <c r="E48" s="303">
        <f>IF(OR('General Information'!$C$4="SMELTER", 'General Information'!$C$4="INTEGRATED"),' Summary Sheet'!F58,' Summary Sheet'!F51)</f>
        <v>0</v>
      </c>
    </row>
    <row r="49" spans="1:5" x14ac:dyDescent="0.25">
      <c r="A49" s="353" t="s">
        <v>64</v>
      </c>
      <c r="B49" s="354" t="s">
        <v>1483</v>
      </c>
      <c r="C49" s="269" t="s">
        <v>1482</v>
      </c>
      <c r="D49" s="355" t="s">
        <v>1478</v>
      </c>
      <c r="E49" s="356">
        <f>' Summary Sheet'!F73</f>
        <v>0</v>
      </c>
    </row>
    <row r="50" spans="1:5" x14ac:dyDescent="0.25">
      <c r="A50" s="357" t="s">
        <v>68</v>
      </c>
      <c r="B50" s="354" t="s">
        <v>1652</v>
      </c>
      <c r="C50" s="269" t="s">
        <v>1653</v>
      </c>
      <c r="D50" s="358">
        <f>' Summary Sheet'!E130</f>
        <v>20.55486336506073</v>
      </c>
      <c r="E50" s="359">
        <f>' Summary Sheet'!F130</f>
        <v>0</v>
      </c>
    </row>
    <row r="51" spans="1:5" x14ac:dyDescent="0.25">
      <c r="A51" s="360"/>
      <c r="B51" s="312"/>
      <c r="C51" s="312"/>
      <c r="D51" s="312"/>
      <c r="E51" s="361"/>
    </row>
    <row r="52" ht="15" customHeight="1" hidden="1" spans="1:5" x14ac:dyDescent="0.25">
      <c r="A52" s="261" t="s">
        <v>373</v>
      </c>
      <c r="B52" s="262" t="s">
        <v>1484</v>
      </c>
      <c r="C52" s="262"/>
      <c r="D52" s="262"/>
      <c r="E52" s="273"/>
    </row>
    <row r="53" hidden="1" spans="1:5" x14ac:dyDescent="0.25">
      <c r="A53" s="288" t="s">
        <v>1485</v>
      </c>
      <c r="B53" s="289" t="s">
        <v>1486</v>
      </c>
      <c r="C53" s="269" t="s">
        <v>1487</v>
      </c>
      <c r="D53" s="269"/>
      <c r="E53" s="271"/>
    </row>
    <row r="54" ht="28" customHeight="1" hidden="1" spans="1:5" x14ac:dyDescent="0.25">
      <c r="A54" s="288" t="s">
        <v>64</v>
      </c>
      <c r="B54" s="289" t="s">
        <v>1488</v>
      </c>
      <c r="C54" s="269" t="s">
        <v>1489</v>
      </c>
      <c r="D54" s="269"/>
      <c r="E54" s="271"/>
    </row>
    <row r="55" hidden="1" spans="1:5" x14ac:dyDescent="0.25">
      <c r="A55" s="288" t="s">
        <v>68</v>
      </c>
      <c r="B55" s="289" t="s">
        <v>1490</v>
      </c>
      <c r="C55" s="269" t="s">
        <v>1491</v>
      </c>
      <c r="D55" s="269"/>
      <c r="E55" s="271"/>
    </row>
    <row r="56" hidden="1" spans="1:5" x14ac:dyDescent="0.25">
      <c r="A56" s="288" t="s">
        <v>74</v>
      </c>
      <c r="B56" s="289" t="s">
        <v>1492</v>
      </c>
      <c r="C56" s="269" t="s">
        <v>1493</v>
      </c>
      <c r="D56" s="269"/>
      <c r="E56" s="271"/>
    </row>
    <row r="57" hidden="1" spans="1:5" x14ac:dyDescent="0.25">
      <c r="A57" s="288" t="s">
        <v>80</v>
      </c>
      <c r="B57" s="289" t="s">
        <v>1494</v>
      </c>
      <c r="C57" s="269" t="s">
        <v>1495</v>
      </c>
      <c r="D57" s="269"/>
      <c r="E57" s="271"/>
    </row>
    <row r="58" hidden="1" spans="1:5" x14ac:dyDescent="0.25">
      <c r="A58" s="288" t="s">
        <v>82</v>
      </c>
      <c r="B58" s="289" t="s">
        <v>1496</v>
      </c>
      <c r="C58" s="269" t="s">
        <v>1495</v>
      </c>
      <c r="D58" s="269"/>
      <c r="E58" s="271"/>
    </row>
    <row r="59" hidden="1" spans="1:5" x14ac:dyDescent="0.25">
      <c r="A59" s="288" t="s">
        <v>121</v>
      </c>
      <c r="B59" s="289" t="s">
        <v>1497</v>
      </c>
      <c r="C59" s="269" t="s">
        <v>1493</v>
      </c>
      <c r="D59" s="269"/>
      <c r="E59" s="271"/>
    </row>
    <row r="60" hidden="1" spans="1:5" x14ac:dyDescent="0.25">
      <c r="A60" s="288" t="s">
        <v>144</v>
      </c>
      <c r="B60" s="289" t="s">
        <v>1498</v>
      </c>
      <c r="C60" s="269" t="s">
        <v>1495</v>
      </c>
      <c r="D60" s="269"/>
      <c r="E60" s="271"/>
    </row>
    <row r="61" ht="15" customHeight="1" hidden="1" spans="1:5" x14ac:dyDescent="0.25">
      <c r="A61" s="288" t="s">
        <v>146</v>
      </c>
      <c r="B61" s="289" t="s">
        <v>1499</v>
      </c>
      <c r="C61" s="269" t="s">
        <v>1495</v>
      </c>
      <c r="D61" s="314"/>
      <c r="E61" s="362"/>
    </row>
    <row r="62" hidden="1" spans="1:5" x14ac:dyDescent="0.25">
      <c r="A62" s="288"/>
      <c r="B62" s="267"/>
      <c r="C62" s="267"/>
      <c r="D62" s="267"/>
      <c r="E62" s="268"/>
    </row>
    <row r="63" hidden="1" spans="1:5" s="274" customFormat="1" x14ac:dyDescent="0.25">
      <c r="A63" s="363" t="s">
        <v>942</v>
      </c>
      <c r="B63" s="316" t="s">
        <v>1500</v>
      </c>
      <c r="C63" s="316"/>
      <c r="D63" s="316"/>
      <c r="E63" s="364"/>
    </row>
    <row r="64" ht="38.5" customHeight="1" hidden="1" spans="1:5" s="274" customFormat="1" x14ac:dyDescent="0.25">
      <c r="A64" s="363" t="s">
        <v>1421</v>
      </c>
      <c r="B64" s="316" t="s">
        <v>1501</v>
      </c>
      <c r="C64" s="316" t="s">
        <v>1444</v>
      </c>
      <c r="D64" s="317" t="s">
        <v>1502</v>
      </c>
      <c r="E64" s="365"/>
    </row>
    <row r="65" ht="16.9" customHeight="1" hidden="1" spans="1:5" x14ac:dyDescent="0.25">
      <c r="A65" s="288" t="s">
        <v>103</v>
      </c>
      <c r="B65" s="266" t="s">
        <v>1503</v>
      </c>
      <c r="C65" s="266" t="s">
        <v>1504</v>
      </c>
      <c r="D65" s="319" t="s">
        <v>1505</v>
      </c>
      <c r="E65" s="366"/>
    </row>
    <row r="66" ht="16.9" customHeight="1" hidden="1" spans="1:5" x14ac:dyDescent="0.25">
      <c r="A66" s="288"/>
      <c r="B66" s="266"/>
      <c r="C66" s="266" t="s">
        <v>1506</v>
      </c>
      <c r="D66" s="319" t="s">
        <v>1507</v>
      </c>
      <c r="E66" s="366"/>
    </row>
    <row r="67" hidden="1" spans="1:5" x14ac:dyDescent="0.25">
      <c r="A67" s="288" t="s">
        <v>125</v>
      </c>
      <c r="B67" s="266" t="s">
        <v>1508</v>
      </c>
      <c r="C67" s="266" t="s">
        <v>1508</v>
      </c>
      <c r="D67" s="319" t="s">
        <v>1509</v>
      </c>
      <c r="E67" s="366"/>
    </row>
    <row r="68" hidden="1" spans="1:5" x14ac:dyDescent="0.25">
      <c r="A68" s="288" t="s">
        <v>182</v>
      </c>
      <c r="B68" s="266" t="s">
        <v>1510</v>
      </c>
      <c r="C68" s="266" t="s">
        <v>1510</v>
      </c>
      <c r="D68" s="319" t="s">
        <v>1511</v>
      </c>
      <c r="E68" s="366"/>
    </row>
    <row r="69" hidden="1" spans="1:5" x14ac:dyDescent="0.25">
      <c r="A69" s="288" t="s">
        <v>322</v>
      </c>
      <c r="B69" s="266" t="s">
        <v>1512</v>
      </c>
      <c r="C69" s="266" t="s">
        <v>1512</v>
      </c>
      <c r="D69" s="319" t="s">
        <v>1513</v>
      </c>
      <c r="E69" s="366"/>
    </row>
    <row r="70" ht="15" customHeight="1" hidden="1" spans="1:5" x14ac:dyDescent="0.25">
      <c r="A70" s="288" t="s">
        <v>1326</v>
      </c>
      <c r="B70" s="266" t="s">
        <v>1514</v>
      </c>
      <c r="C70" s="266" t="s">
        <v>1515</v>
      </c>
      <c r="D70" s="319" t="s">
        <v>1516</v>
      </c>
      <c r="E70" s="366"/>
    </row>
    <row r="71" ht="15" customHeight="1" hidden="1" spans="1:5" x14ac:dyDescent="0.25">
      <c r="A71" s="288"/>
      <c r="B71" s="266"/>
      <c r="C71" s="266" t="s">
        <v>1517</v>
      </c>
      <c r="D71" s="319" t="s">
        <v>1518</v>
      </c>
      <c r="E71" s="366"/>
    </row>
    <row r="72" ht="15" customHeight="1" hidden="1" spans="1:5" x14ac:dyDescent="0.25">
      <c r="A72" s="288" t="s">
        <v>1333</v>
      </c>
      <c r="B72" s="266" t="s">
        <v>1519</v>
      </c>
      <c r="C72" s="266" t="s">
        <v>1519</v>
      </c>
      <c r="D72" s="319" t="s">
        <v>1520</v>
      </c>
      <c r="E72" s="366"/>
    </row>
    <row r="73" ht="15" customHeight="1" hidden="1" spans="1:5" x14ac:dyDescent="0.25">
      <c r="A73" s="288" t="s">
        <v>1521</v>
      </c>
      <c r="B73" s="266" t="s">
        <v>1522</v>
      </c>
      <c r="C73" s="266" t="s">
        <v>1523</v>
      </c>
      <c r="D73" s="319" t="s">
        <v>1524</v>
      </c>
      <c r="E73" s="366"/>
    </row>
    <row r="74" ht="15" customHeight="1" hidden="1" spans="1:5" x14ac:dyDescent="0.25">
      <c r="A74" s="288"/>
      <c r="B74" s="266"/>
      <c r="C74" s="266" t="s">
        <v>1525</v>
      </c>
      <c r="D74" s="319" t="s">
        <v>1526</v>
      </c>
      <c r="E74" s="366"/>
    </row>
    <row r="75" ht="15" customHeight="1" hidden="1" spans="1:5" x14ac:dyDescent="0.25">
      <c r="A75" s="288"/>
      <c r="B75" s="266"/>
      <c r="C75" s="266" t="s">
        <v>1527</v>
      </c>
      <c r="D75" s="319" t="s">
        <v>1528</v>
      </c>
      <c r="E75" s="366"/>
    </row>
    <row r="76" ht="15" customHeight="1" hidden="1" spans="1:5" x14ac:dyDescent="0.25">
      <c r="A76" s="288"/>
      <c r="B76" s="266"/>
      <c r="C76" s="266" t="s">
        <v>1529</v>
      </c>
      <c r="D76" s="319" t="s">
        <v>1530</v>
      </c>
      <c r="E76" s="366"/>
    </row>
    <row r="77" ht="15" customHeight="1" hidden="1" spans="1:5" x14ac:dyDescent="0.25">
      <c r="A77" s="288" t="s">
        <v>1531</v>
      </c>
      <c r="B77" s="266" t="s">
        <v>1532</v>
      </c>
      <c r="C77" s="266" t="s">
        <v>1532</v>
      </c>
      <c r="D77" s="319" t="s">
        <v>1533</v>
      </c>
      <c r="E77" s="366"/>
    </row>
    <row r="78" ht="15" customHeight="1" hidden="1" spans="1:5" x14ac:dyDescent="0.25">
      <c r="A78" s="367"/>
      <c r="B78" s="292"/>
      <c r="C78" s="292"/>
      <c r="D78" s="292"/>
      <c r="E78" s="368"/>
    </row>
    <row r="79" ht="15" customHeight="1" spans="1:5" x14ac:dyDescent="0.25">
      <c r="A79" s="369" t="s">
        <v>1654</v>
      </c>
      <c r="B79" s="370"/>
      <c r="C79" s="370"/>
      <c r="D79" s="370"/>
      <c r="E79" s="371"/>
    </row>
    <row r="80" ht="33" customHeight="1" spans="1:5" x14ac:dyDescent="0.25">
      <c r="A80" s="369"/>
      <c r="B80" s="370"/>
      <c r="C80" s="370"/>
      <c r="D80" s="370"/>
      <c r="E80" s="371"/>
    </row>
    <row r="81" spans="1:5" x14ac:dyDescent="0.25">
      <c r="A81" s="372" t="s">
        <v>1535</v>
      </c>
      <c r="B81" s="370"/>
      <c r="C81" s="370"/>
      <c r="D81" s="370"/>
      <c r="E81" s="371"/>
    </row>
    <row r="82" spans="1:5" x14ac:dyDescent="0.25">
      <c r="A82" s="373"/>
      <c r="B82" s="374"/>
      <c r="C82" s="375"/>
      <c r="D82" s="376" t="s">
        <v>1536</v>
      </c>
      <c r="E82" s="377"/>
    </row>
    <row r="83" spans="1:5" x14ac:dyDescent="0.25">
      <c r="A83" s="373"/>
      <c r="B83" s="374"/>
      <c r="C83" s="375"/>
      <c r="D83" s="378" t="s">
        <v>1537</v>
      </c>
      <c r="E83" s="377"/>
    </row>
    <row r="84" spans="1:5" x14ac:dyDescent="0.25">
      <c r="A84" s="379" t="s">
        <v>1538</v>
      </c>
      <c r="B84" s="374"/>
      <c r="C84" s="375"/>
      <c r="D84" s="378" t="s">
        <v>1539</v>
      </c>
      <c r="E84" s="377"/>
    </row>
    <row r="85" spans="1:5" x14ac:dyDescent="0.25">
      <c r="A85" s="372" t="s">
        <v>1655</v>
      </c>
      <c r="B85" s="374"/>
      <c r="C85" s="375"/>
      <c r="D85" s="374"/>
      <c r="E85" s="377"/>
    </row>
    <row r="86" spans="1:5" x14ac:dyDescent="0.25">
      <c r="A86" s="372" t="s">
        <v>1541</v>
      </c>
      <c r="B86" s="374"/>
      <c r="C86" s="374"/>
      <c r="D86" s="374"/>
      <c r="E86" s="377"/>
    </row>
    <row r="87" spans="1:5" x14ac:dyDescent="0.25">
      <c r="A87" s="372"/>
      <c r="B87" s="374"/>
      <c r="C87" s="374"/>
      <c r="D87" s="374"/>
      <c r="E87" s="377"/>
    </row>
    <row r="88" spans="1:5" x14ac:dyDescent="0.25">
      <c r="A88" s="380"/>
      <c r="B88" s="381"/>
      <c r="C88" s="381"/>
      <c r="D88" s="374"/>
      <c r="E88" s="377"/>
    </row>
    <row r="89" spans="1:5" x14ac:dyDescent="0.25">
      <c r="A89" s="372" t="s">
        <v>1542</v>
      </c>
      <c r="B89" s="381"/>
      <c r="C89" s="381"/>
      <c r="D89" s="381"/>
      <c r="E89" s="377"/>
    </row>
    <row r="90" ht="14.25" customHeight="1" hidden="1" spans="1:5" x14ac:dyDescent="0.25">
      <c r="A90" s="382"/>
      <c r="B90" s="383"/>
      <c r="C90" s="384"/>
      <c r="D90" s="384"/>
      <c r="E90" s="385"/>
    </row>
    <row r="91" ht="14.25" customHeight="1" hidden="1" spans="1:5" x14ac:dyDescent="0.25">
      <c r="A91" s="373"/>
      <c r="B91" s="374"/>
      <c r="C91" s="374"/>
      <c r="D91" s="374"/>
      <c r="E91" s="386"/>
    </row>
    <row r="92" ht="14.5" customHeight="1" spans="1:5" x14ac:dyDescent="0.25">
      <c r="A92" s="387" t="s">
        <v>1423</v>
      </c>
      <c r="B92" s="388"/>
      <c r="C92" s="388"/>
      <c r="D92" s="388"/>
      <c r="E92" s="389"/>
    </row>
    <row r="97" spans="4:4" x14ac:dyDescent="0.25">
      <c r="D97" s="325"/>
    </row>
    <row r="98" spans="4:4" x14ac:dyDescent="0.25">
      <c r="D98" s="325"/>
    </row>
  </sheetData>
  <sheetProtection sheet="1" algorithmName="SHA-512" hashValue="jO0vKuJFqX34SbeVmd1GmjNZXfnxvk1BnYjakVFl8Xl6GO0YXpu3sJEO0cIwvXlJKl+nPALWn1EFJPSzQSoBSg==" saltValue="utU3d6oUFhWq9QwxmHlahg==" spinCount="100000" objects="1" scenarios="1"/>
  <mergeCells count="48">
    <mergeCell ref="A1:E1"/>
    <mergeCell ref="A2:E2"/>
    <mergeCell ref="A3:E3"/>
    <mergeCell ref="C4:E4"/>
    <mergeCell ref="C5:E5"/>
    <mergeCell ref="C6:E6"/>
    <mergeCell ref="C7:D7"/>
    <mergeCell ref="A7:A8"/>
    <mergeCell ref="B7:B8"/>
    <mergeCell ref="C8:D8"/>
    <mergeCell ref="C9:E9"/>
    <mergeCell ref="C10:E10"/>
    <mergeCell ref="C11:E11"/>
    <mergeCell ref="C12:E12"/>
    <mergeCell ref="A13:E13"/>
    <mergeCell ref="B14:E14"/>
    <mergeCell ref="A15:A16"/>
    <mergeCell ref="B15:B16"/>
    <mergeCell ref="C15:C16"/>
    <mergeCell ref="B31:E31"/>
    <mergeCell ref="A32:A33"/>
    <mergeCell ref="B32:B33"/>
    <mergeCell ref="B47:E47"/>
    <mergeCell ref="A51:E51"/>
    <mergeCell ref="B52:E52"/>
    <mergeCell ref="A62:E62"/>
    <mergeCell ref="B63:E63"/>
    <mergeCell ref="D64:E64"/>
    <mergeCell ref="D65:E65"/>
    <mergeCell ref="A65:A66"/>
    <mergeCell ref="B65:B66"/>
    <mergeCell ref="D66:E66"/>
    <mergeCell ref="D67:E67"/>
    <mergeCell ref="D68:E68"/>
    <mergeCell ref="D69:E69"/>
    <mergeCell ref="D70:E70"/>
    <mergeCell ref="A70:A71"/>
    <mergeCell ref="B70:B71"/>
    <mergeCell ref="D71:E71"/>
    <mergeCell ref="D72:E72"/>
    <mergeCell ref="D73:E73"/>
    <mergeCell ref="A73:A76"/>
    <mergeCell ref="B73:B76"/>
    <mergeCell ref="D74:E74"/>
    <mergeCell ref="D75:E75"/>
    <mergeCell ref="D76:E76"/>
    <mergeCell ref="D77:E77"/>
    <mergeCell ref="A79:E80"/>
  </mergeCells>
  <pageMargins left="0.433070866141732" right="0.236220472440945" top="0.748031496062992" bottom="0.748031496062992" header="0.31496062992126" footer="0.31496062992126"/>
  <pageSetup orientation="portrait" horizontalDpi="4294967295" verticalDpi="4294967295" scale="65" fitToWidth="1" fitToHeight="1" firstPageNumber="1" useFirstPageNumber="1" copies="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6"/>
  <sheetViews>
    <sheetView workbookViewId="0" zoomScale="100" zoomScaleNormal="100">
      <selection activeCell="B33" sqref="B33"/>
    </sheetView>
  </sheetViews>
  <sheetFormatPr defaultRowHeight="14.5" outlineLevelRow="0" outlineLevelCol="0" x14ac:dyDescent="0.35" customHeight="1"/>
  <cols>
    <col min="1" max="16" width="8.81640625" customWidth="1"/>
    <col min="17" max="18" width="8.81640625" hidden="1" customWidth="1"/>
    <col min="19" max="19" width="40.26953125" hidden="1" customWidth="1"/>
    <col min="20" max="16384" width="8.81640625" hidden="1" customWidth="1"/>
  </cols>
  <sheetData>
    <row r="1" spans="1:16" x14ac:dyDescent="0.25">
      <c r="A1" s="1">
        <v>1</v>
      </c>
      <c r="B1" s="2" t="s">
        <v>0</v>
      </c>
      <c r="C1" s="2"/>
      <c r="D1" s="2"/>
      <c r="E1" s="2" t="s">
        <v>1</v>
      </c>
      <c r="F1" s="2"/>
      <c r="G1" s="2"/>
      <c r="H1" s="3" t="s">
        <v>2</v>
      </c>
      <c r="I1" s="4"/>
      <c r="J1" s="5"/>
      <c r="K1" s="3" t="s">
        <v>3</v>
      </c>
      <c r="L1" s="4"/>
      <c r="M1" s="5"/>
      <c r="N1" s="2" t="s">
        <v>4</v>
      </c>
      <c r="O1" s="2"/>
      <c r="P1" s="2"/>
    </row>
    <row r="2" spans="1:16" x14ac:dyDescent="0.25">
      <c r="A2" s="1"/>
      <c r="B2" s="2" t="s">
        <v>5</v>
      </c>
      <c r="C2" s="2"/>
      <c r="D2" s="2"/>
      <c r="E2" s="3" t="s">
        <v>6</v>
      </c>
      <c r="F2" s="4"/>
      <c r="G2" s="5"/>
      <c r="H2" s="3" t="s">
        <v>7</v>
      </c>
      <c r="I2" s="4"/>
      <c r="J2" s="5"/>
      <c r="K2" s="2" t="s">
        <v>8</v>
      </c>
      <c r="L2" s="2"/>
      <c r="M2" s="2"/>
      <c r="N2" s="2" t="s">
        <v>9</v>
      </c>
      <c r="O2" s="2"/>
      <c r="P2" s="2"/>
    </row>
    <row r="3" spans="1:16" x14ac:dyDescent="0.25">
      <c r="A3" s="1"/>
      <c r="B3" s="2" t="s">
        <v>10</v>
      </c>
      <c r="C3" s="2"/>
      <c r="D3" s="2"/>
      <c r="E3" s="6" t="s">
        <v>11</v>
      </c>
      <c r="F3" s="7"/>
      <c r="G3" s="8"/>
      <c r="H3" s="2" t="s">
        <v>12</v>
      </c>
      <c r="I3" s="2"/>
      <c r="J3" s="2"/>
      <c r="K3" s="2" t="s">
        <v>13</v>
      </c>
      <c r="L3" s="2"/>
      <c r="M3" s="2"/>
      <c r="N3" s="2" t="s">
        <v>14</v>
      </c>
      <c r="O3" s="2"/>
      <c r="P3" s="2"/>
    </row>
    <row r="4" spans="1:16" x14ac:dyDescent="0.25">
      <c r="A4" s="1"/>
      <c r="B4" s="3" t="s">
        <v>15</v>
      </c>
      <c r="C4" s="4"/>
      <c r="D4" s="5"/>
      <c r="E4" s="6" t="s">
        <v>16</v>
      </c>
      <c r="F4" s="7"/>
      <c r="G4" s="8"/>
      <c r="H4" s="2" t="s">
        <v>17</v>
      </c>
      <c r="I4" s="2"/>
      <c r="J4" s="2"/>
      <c r="K4" s="9"/>
      <c r="L4" s="9"/>
      <c r="M4" s="9"/>
      <c r="N4" s="9"/>
      <c r="O4" s="9"/>
      <c r="P4" s="9"/>
    </row>
    <row r="5" spans="1:16" x14ac:dyDescent="0.25">
      <c r="A5" s="10" t="s">
        <v>18</v>
      </c>
      <c r="B5" s="10"/>
      <c r="C5" s="10"/>
      <c r="D5" s="10"/>
      <c r="E5" s="10"/>
      <c r="F5" s="10"/>
      <c r="G5" s="10"/>
      <c r="H5" s="10"/>
      <c r="I5" s="10"/>
      <c r="J5" s="10"/>
      <c r="K5" s="10"/>
      <c r="L5" s="10"/>
      <c r="M5" s="10"/>
      <c r="N5" s="10"/>
      <c r="O5" s="10"/>
      <c r="P5" s="10"/>
    </row>
    <row r="6" ht="14.5" customHeight="1" spans="1:16" x14ac:dyDescent="0.25">
      <c r="A6" s="11">
        <v>2</v>
      </c>
      <c r="B6" s="12" t="s">
        <v>19</v>
      </c>
      <c r="C6" s="13"/>
      <c r="D6" s="13"/>
      <c r="E6" s="13"/>
      <c r="F6" s="13"/>
      <c r="G6" s="13"/>
      <c r="H6" s="13"/>
      <c r="I6" s="13"/>
      <c r="J6" s="13"/>
      <c r="K6" s="13"/>
      <c r="L6" s="13"/>
      <c r="M6" s="13"/>
      <c r="N6" s="13"/>
      <c r="O6" s="13"/>
      <c r="P6" s="14"/>
    </row>
    <row r="7" spans="1:16" x14ac:dyDescent="0.25">
      <c r="A7" s="15"/>
      <c r="B7" s="16"/>
      <c r="C7" s="17"/>
      <c r="D7" s="17"/>
      <c r="E7" s="17"/>
      <c r="F7" s="17"/>
      <c r="G7" s="17"/>
      <c r="H7" s="17"/>
      <c r="I7" s="17"/>
      <c r="J7" s="17"/>
      <c r="K7" s="17"/>
      <c r="L7" s="17"/>
      <c r="M7" s="17"/>
      <c r="N7" s="17"/>
      <c r="O7" s="17"/>
      <c r="P7" s="18"/>
    </row>
    <row r="8" spans="1:16" x14ac:dyDescent="0.25">
      <c r="A8" s="19">
        <v>3</v>
      </c>
      <c r="B8" s="12" t="s">
        <v>20</v>
      </c>
      <c r="C8" s="13"/>
      <c r="D8" s="13"/>
      <c r="E8" s="13"/>
      <c r="F8" s="13"/>
      <c r="G8" s="13"/>
      <c r="H8" s="13"/>
      <c r="I8" s="13"/>
      <c r="J8" s="13"/>
      <c r="K8" s="13"/>
      <c r="L8" s="13"/>
      <c r="M8" s="13"/>
      <c r="N8" s="13"/>
      <c r="O8" s="13"/>
      <c r="P8" s="14"/>
    </row>
    <row r="9" spans="1:16" x14ac:dyDescent="0.25">
      <c r="A9" s="1">
        <v>4</v>
      </c>
      <c r="B9" s="12" t="s">
        <v>21</v>
      </c>
      <c r="C9" s="13"/>
      <c r="D9" s="13"/>
      <c r="E9" s="13"/>
      <c r="F9" s="13"/>
      <c r="G9" s="13"/>
      <c r="H9" s="13"/>
      <c r="I9" s="13"/>
      <c r="J9" s="13"/>
      <c r="K9" s="13"/>
      <c r="L9" s="13"/>
      <c r="M9" s="13"/>
      <c r="N9" s="13"/>
      <c r="O9" s="13"/>
      <c r="P9" s="14"/>
    </row>
    <row r="10" spans="1:16" x14ac:dyDescent="0.25">
      <c r="A10" s="1"/>
      <c r="B10" s="16"/>
      <c r="C10" s="17"/>
      <c r="D10" s="17"/>
      <c r="E10" s="17"/>
      <c r="F10" s="17"/>
      <c r="G10" s="17"/>
      <c r="H10" s="17"/>
      <c r="I10" s="17"/>
      <c r="J10" s="17"/>
      <c r="K10" s="17"/>
      <c r="L10" s="17"/>
      <c r="M10" s="17"/>
      <c r="N10" s="17"/>
      <c r="O10" s="17"/>
      <c r="P10" s="18"/>
    </row>
    <row r="11" spans="1:16" x14ac:dyDescent="0.25">
      <c r="A11" s="1"/>
      <c r="B11" s="16"/>
      <c r="C11" s="17"/>
      <c r="D11" s="17"/>
      <c r="E11" s="17"/>
      <c r="F11" s="17"/>
      <c r="G11" s="17"/>
      <c r="H11" s="17"/>
      <c r="I11" s="17"/>
      <c r="J11" s="17"/>
      <c r="K11" s="17"/>
      <c r="L11" s="17"/>
      <c r="M11" s="17"/>
      <c r="N11" s="17"/>
      <c r="O11" s="17"/>
      <c r="P11" s="18"/>
    </row>
    <row r="12" spans="1:16" x14ac:dyDescent="0.25">
      <c r="A12" s="1">
        <v>5</v>
      </c>
      <c r="B12" s="20" t="s">
        <v>22</v>
      </c>
      <c r="C12" s="20"/>
      <c r="D12" s="20"/>
      <c r="E12" s="20"/>
      <c r="F12" s="20"/>
      <c r="G12" s="20"/>
      <c r="H12" s="20"/>
      <c r="I12" s="20"/>
      <c r="J12" s="20"/>
      <c r="K12" s="20"/>
      <c r="L12" s="20"/>
      <c r="M12" s="20"/>
      <c r="N12" s="20"/>
      <c r="O12" s="20"/>
      <c r="P12" s="20"/>
    </row>
    <row r="13" spans="1:16" x14ac:dyDescent="0.25">
      <c r="A13" s="1">
        <v>6</v>
      </c>
      <c r="B13" s="20" t="s">
        <v>23</v>
      </c>
      <c r="C13" s="20"/>
      <c r="D13" s="20"/>
      <c r="E13" s="20"/>
      <c r="F13" s="20"/>
      <c r="G13" s="20"/>
      <c r="H13" s="20"/>
      <c r="I13" s="20"/>
      <c r="J13" s="20"/>
      <c r="K13" s="20"/>
      <c r="L13" s="20"/>
      <c r="M13" s="20"/>
      <c r="N13" s="20"/>
      <c r="O13" s="20"/>
      <c r="P13" s="20"/>
    </row>
    <row r="14" spans="1:16" x14ac:dyDescent="0.25">
      <c r="A14" s="1"/>
      <c r="B14" s="20"/>
      <c r="C14" s="20"/>
      <c r="D14" s="20"/>
      <c r="E14" s="20"/>
      <c r="F14" s="20"/>
      <c r="G14" s="20"/>
      <c r="H14" s="20"/>
      <c r="I14" s="20"/>
      <c r="J14" s="20"/>
      <c r="K14" s="20"/>
      <c r="L14" s="20"/>
      <c r="M14" s="20"/>
      <c r="N14" s="20"/>
      <c r="O14" s="20"/>
      <c r="P14" s="20"/>
    </row>
    <row r="15" spans="1:16" x14ac:dyDescent="0.25">
      <c r="A15" s="1"/>
      <c r="B15" s="20"/>
      <c r="C15" s="20"/>
      <c r="D15" s="20"/>
      <c r="E15" s="20"/>
      <c r="F15" s="20"/>
      <c r="G15" s="20"/>
      <c r="H15" s="20"/>
      <c r="I15" s="20"/>
      <c r="J15" s="20"/>
      <c r="K15" s="20"/>
      <c r="L15" s="20"/>
      <c r="M15" s="20"/>
      <c r="N15" s="20"/>
      <c r="O15" s="20"/>
      <c r="P15" s="20"/>
    </row>
    <row r="16" spans="1:16" x14ac:dyDescent="0.25">
      <c r="A16" s="1">
        <v>7</v>
      </c>
      <c r="B16" s="20" t="s">
        <v>24</v>
      </c>
      <c r="C16" s="20"/>
      <c r="D16" s="20"/>
      <c r="E16" s="20"/>
      <c r="F16" s="20"/>
      <c r="G16" s="20"/>
      <c r="H16" s="20"/>
      <c r="I16" s="20"/>
      <c r="J16" s="20"/>
      <c r="K16" s="20"/>
      <c r="L16" s="20"/>
      <c r="M16" s="20"/>
      <c r="N16" s="20"/>
      <c r="O16" s="20"/>
      <c r="P16" s="20"/>
    </row>
    <row r="17" spans="1:16" x14ac:dyDescent="0.25">
      <c r="A17" s="1"/>
      <c r="B17" s="20"/>
      <c r="C17" s="20"/>
      <c r="D17" s="20"/>
      <c r="E17" s="20"/>
      <c r="F17" s="20"/>
      <c r="G17" s="20"/>
      <c r="H17" s="20"/>
      <c r="I17" s="20"/>
      <c r="J17" s="20"/>
      <c r="K17" s="20"/>
      <c r="L17" s="20"/>
      <c r="M17" s="20"/>
      <c r="N17" s="20"/>
      <c r="O17" s="20"/>
      <c r="P17" s="20"/>
    </row>
    <row r="18" spans="1:16" x14ac:dyDescent="0.25">
      <c r="A18" s="1"/>
      <c r="B18" s="20"/>
      <c r="C18" s="20"/>
      <c r="D18" s="20"/>
      <c r="E18" s="20"/>
      <c r="F18" s="20"/>
      <c r="G18" s="20"/>
      <c r="H18" s="20"/>
      <c r="I18" s="20"/>
      <c r="J18" s="20"/>
      <c r="K18" s="20"/>
      <c r="L18" s="20"/>
      <c r="M18" s="20"/>
      <c r="N18" s="20"/>
      <c r="O18" s="20"/>
      <c r="P18" s="20"/>
    </row>
    <row r="19" spans="1:16" x14ac:dyDescent="0.25">
      <c r="A19" s="1">
        <v>8</v>
      </c>
      <c r="B19" s="21" t="s">
        <v>25</v>
      </c>
      <c r="C19" s="22"/>
      <c r="D19" s="22"/>
      <c r="E19" s="22"/>
      <c r="F19" s="22"/>
      <c r="G19" s="22"/>
      <c r="H19" s="22"/>
      <c r="I19" s="22"/>
      <c r="J19" s="22"/>
      <c r="K19" s="22"/>
      <c r="L19" s="22"/>
      <c r="M19" s="22"/>
      <c r="N19" s="22"/>
      <c r="O19" s="22"/>
      <c r="P19" s="23"/>
    </row>
    <row r="20" ht="15" customHeight="1" spans="1:19" x14ac:dyDescent="0.25">
      <c r="A20" s="1"/>
      <c r="B20" s="24"/>
      <c r="C20" s="25"/>
      <c r="D20" s="26"/>
      <c r="E20" s="27" t="s">
        <v>26</v>
      </c>
      <c r="F20" s="28"/>
      <c r="G20" s="28"/>
      <c r="H20" s="28"/>
      <c r="I20" s="28"/>
      <c r="J20" s="28"/>
      <c r="K20" s="28"/>
      <c r="L20" s="28"/>
      <c r="M20" s="28"/>
      <c r="N20" s="28"/>
      <c r="O20" s="28"/>
      <c r="P20" s="29"/>
      <c r="R20" s="30"/>
      <c r="S20" s="31"/>
    </row>
    <row r="21" ht="15" customHeight="1" spans="1:19" x14ac:dyDescent="0.25">
      <c r="A21" s="1"/>
      <c r="B21" s="32"/>
      <c r="C21" s="33"/>
      <c r="D21" s="34"/>
      <c r="E21" s="27" t="s">
        <v>27</v>
      </c>
      <c r="F21" s="28"/>
      <c r="G21" s="28"/>
      <c r="H21" s="28"/>
      <c r="I21" s="28"/>
      <c r="J21" s="28"/>
      <c r="K21" s="28"/>
      <c r="L21" s="28"/>
      <c r="M21" s="28"/>
      <c r="N21" s="28"/>
      <c r="O21" s="28"/>
      <c r="P21" s="29"/>
      <c r="R21" s="30"/>
      <c r="S21" s="35"/>
    </row>
    <row r="22" ht="15" customHeight="1" spans="1:19" x14ac:dyDescent="0.25">
      <c r="A22" s="1"/>
      <c r="B22" s="36"/>
      <c r="C22" s="37"/>
      <c r="D22" s="38"/>
      <c r="E22" s="27" t="s">
        <v>28</v>
      </c>
      <c r="F22" s="28"/>
      <c r="G22" s="28"/>
      <c r="H22" s="28"/>
      <c r="I22" s="28"/>
      <c r="J22" s="28"/>
      <c r="K22" s="28"/>
      <c r="L22" s="28"/>
      <c r="M22" s="28"/>
      <c r="N22" s="28"/>
      <c r="O22" s="28"/>
      <c r="P22" s="29"/>
      <c r="R22" s="30"/>
      <c r="S22" s="31"/>
    </row>
    <row r="23" ht="15" customHeight="1" spans="1:19" x14ac:dyDescent="0.25">
      <c r="A23" s="1"/>
      <c r="B23" s="39"/>
      <c r="C23" s="40"/>
      <c r="D23" s="41"/>
      <c r="E23" s="27" t="s">
        <v>29</v>
      </c>
      <c r="F23" s="28"/>
      <c r="G23" s="28"/>
      <c r="H23" s="28"/>
      <c r="I23" s="28"/>
      <c r="J23" s="28"/>
      <c r="K23" s="28"/>
      <c r="L23" s="28"/>
      <c r="M23" s="28"/>
      <c r="N23" s="28"/>
      <c r="O23" s="28"/>
      <c r="P23" s="29"/>
      <c r="R23" s="30"/>
      <c r="S23" s="31"/>
    </row>
    <row r="24" ht="15" customHeight="1" spans="1:19" x14ac:dyDescent="0.25">
      <c r="A24" s="1"/>
      <c r="B24" s="42"/>
      <c r="C24" s="42"/>
      <c r="D24" s="43"/>
      <c r="E24" s="27" t="s">
        <v>30</v>
      </c>
      <c r="F24" s="28"/>
      <c r="G24" s="28"/>
      <c r="H24" s="28"/>
      <c r="I24" s="28"/>
      <c r="J24" s="28"/>
      <c r="K24" s="28"/>
      <c r="L24" s="28"/>
      <c r="M24" s="28"/>
      <c r="N24" s="28"/>
      <c r="O24" s="28"/>
      <c r="P24" s="29"/>
      <c r="R24" s="30"/>
      <c r="S24" s="31"/>
    </row>
    <row r="25" spans="1:19" x14ac:dyDescent="0.25">
      <c r="A25" s="1"/>
      <c r="B25" s="44" t="s">
        <v>31</v>
      </c>
      <c r="C25" s="45"/>
      <c r="D25" s="46"/>
      <c r="E25" s="27" t="s">
        <v>32</v>
      </c>
      <c r="F25" s="28"/>
      <c r="G25" s="28"/>
      <c r="H25" s="28"/>
      <c r="I25" s="28"/>
      <c r="J25" s="28"/>
      <c r="K25" s="28"/>
      <c r="L25" s="28"/>
      <c r="M25" s="28"/>
      <c r="N25" s="28"/>
      <c r="O25" s="28"/>
      <c r="P25" s="29"/>
      <c r="R25" s="30"/>
      <c r="S25" s="31"/>
    </row>
    <row r="26" spans="1:19" x14ac:dyDescent="0.25">
      <c r="A26" s="1"/>
      <c r="B26" s="47" t="s">
        <v>33</v>
      </c>
      <c r="C26" s="48"/>
      <c r="D26" s="49"/>
      <c r="E26" s="27" t="s">
        <v>34</v>
      </c>
      <c r="F26" s="28"/>
      <c r="G26" s="28"/>
      <c r="H26" s="28"/>
      <c r="I26" s="28"/>
      <c r="J26" s="28"/>
      <c r="K26" s="28"/>
      <c r="L26" s="28"/>
      <c r="M26" s="28"/>
      <c r="N26" s="28"/>
      <c r="O26" s="28"/>
      <c r="P26" s="29"/>
      <c r="R26" s="30"/>
      <c r="S26" s="31"/>
    </row>
    <row r="27" spans="1:19" x14ac:dyDescent="0.25">
      <c r="A27" s="1"/>
      <c r="B27" s="50"/>
      <c r="C27" s="51"/>
      <c r="D27" s="52"/>
      <c r="E27" s="27" t="s">
        <v>35</v>
      </c>
      <c r="F27" s="28"/>
      <c r="G27" s="28"/>
      <c r="H27" s="28"/>
      <c r="I27" s="28"/>
      <c r="J27" s="28"/>
      <c r="K27" s="28"/>
      <c r="L27" s="28"/>
      <c r="M27" s="28"/>
      <c r="N27" s="28"/>
      <c r="O27" s="28"/>
      <c r="P27" s="29"/>
      <c r="R27" s="30"/>
      <c r="S27" s="31"/>
    </row>
    <row r="28" spans="1:19" x14ac:dyDescent="0.25">
      <c r="A28" s="1"/>
      <c r="B28" s="53"/>
      <c r="C28" s="54"/>
      <c r="D28" s="54"/>
      <c r="E28" s="27" t="s">
        <v>36</v>
      </c>
      <c r="F28" s="28"/>
      <c r="G28" s="28"/>
      <c r="H28" s="28"/>
      <c r="I28" s="28"/>
      <c r="J28" s="28"/>
      <c r="K28" s="28"/>
      <c r="L28" s="28"/>
      <c r="M28" s="28"/>
      <c r="N28" s="28"/>
      <c r="O28" s="28"/>
      <c r="P28" s="29"/>
      <c r="R28" s="30"/>
      <c r="S28" s="31"/>
    </row>
    <row r="29" spans="1:19" x14ac:dyDescent="0.25">
      <c r="A29" s="1"/>
      <c r="B29" s="55" t="s">
        <v>37</v>
      </c>
      <c r="C29" s="56"/>
      <c r="D29" s="57"/>
      <c r="E29" s="27" t="s">
        <v>38</v>
      </c>
      <c r="F29" s="28"/>
      <c r="G29" s="28"/>
      <c r="H29" s="28"/>
      <c r="I29" s="28"/>
      <c r="J29" s="28"/>
      <c r="K29" s="28"/>
      <c r="L29" s="28"/>
      <c r="M29" s="28"/>
      <c r="N29" s="28"/>
      <c r="O29" s="28"/>
      <c r="P29" s="29"/>
      <c r="R29" s="30"/>
      <c r="S29" s="31"/>
    </row>
    <row r="30" spans="1:18" x14ac:dyDescent="0.25">
      <c r="A30" s="1">
        <v>9</v>
      </c>
      <c r="B30" s="58" t="s">
        <v>39</v>
      </c>
      <c r="C30" s="58"/>
      <c r="D30" s="58"/>
      <c r="E30" s="58"/>
      <c r="F30" s="58"/>
      <c r="G30" s="58"/>
      <c r="H30" s="58"/>
      <c r="I30" s="58"/>
      <c r="J30" s="58"/>
      <c r="K30" s="58"/>
      <c r="L30" s="58"/>
      <c r="M30" s="58"/>
      <c r="N30" s="58"/>
      <c r="O30" s="58"/>
      <c r="P30" s="58"/>
      <c r="R30" s="30"/>
    </row>
    <row r="31" spans="1:16" x14ac:dyDescent="0.25">
      <c r="A31" s="1"/>
      <c r="B31" s="58"/>
      <c r="C31" s="58"/>
      <c r="D31" s="58"/>
      <c r="E31" s="58"/>
      <c r="F31" s="58"/>
      <c r="G31" s="58"/>
      <c r="H31" s="58"/>
      <c r="I31" s="58"/>
      <c r="J31" s="58"/>
      <c r="K31" s="58"/>
      <c r="L31" s="58"/>
      <c r="M31" s="58"/>
      <c r="N31" s="58"/>
      <c r="O31" s="58"/>
      <c r="P31" s="58"/>
    </row>
    <row r="32" spans="1:16" x14ac:dyDescent="0.25">
      <c r="A32" s="1"/>
      <c r="B32" s="58"/>
      <c r="C32" s="58"/>
      <c r="D32" s="58"/>
      <c r="E32" s="58"/>
      <c r="F32" s="58"/>
      <c r="G32" s="58"/>
      <c r="H32" s="58"/>
      <c r="I32" s="58"/>
      <c r="J32" s="58"/>
      <c r="K32" s="58"/>
      <c r="L32" s="58"/>
      <c r="M32" s="58"/>
      <c r="N32" s="58"/>
      <c r="O32" s="58"/>
      <c r="P32" s="58"/>
    </row>
    <row r="33" spans="1:16" x14ac:dyDescent="0.25">
      <c r="A33" s="1">
        <v>10</v>
      </c>
      <c r="B33" s="58" t="s">
        <v>40</v>
      </c>
      <c r="C33" s="58"/>
      <c r="D33" s="58"/>
      <c r="E33" s="58"/>
      <c r="F33" s="58"/>
      <c r="G33" s="58"/>
      <c r="H33" s="58"/>
      <c r="I33" s="58"/>
      <c r="J33" s="58"/>
      <c r="K33" s="58"/>
      <c r="L33" s="58"/>
      <c r="M33" s="58"/>
      <c r="N33" s="58"/>
      <c r="O33" s="58"/>
      <c r="P33" s="58"/>
    </row>
    <row r="34" spans="1:16" x14ac:dyDescent="0.25">
      <c r="A34" s="1"/>
      <c r="B34" s="58"/>
      <c r="C34" s="58"/>
      <c r="D34" s="58"/>
      <c r="E34" s="58"/>
      <c r="F34" s="58"/>
      <c r="G34" s="58"/>
      <c r="H34" s="58"/>
      <c r="I34" s="58"/>
      <c r="J34" s="58"/>
      <c r="K34" s="58"/>
      <c r="L34" s="58"/>
      <c r="M34" s="58"/>
      <c r="N34" s="58"/>
      <c r="O34" s="58"/>
      <c r="P34" s="58"/>
    </row>
    <row r="35" spans="1:16" x14ac:dyDescent="0.25">
      <c r="A35" s="1"/>
      <c r="B35" s="58"/>
      <c r="C35" s="58"/>
      <c r="D35" s="58"/>
      <c r="E35" s="58"/>
      <c r="F35" s="58"/>
      <c r="G35" s="58"/>
      <c r="H35" s="58"/>
      <c r="I35" s="58"/>
      <c r="J35" s="58"/>
      <c r="K35" s="58"/>
      <c r="L35" s="58"/>
      <c r="M35" s="58"/>
      <c r="N35" s="58"/>
      <c r="O35" s="58"/>
      <c r="P35" s="58"/>
    </row>
    <row r="36" spans="1:16" x14ac:dyDescent="0.25">
      <c r="A36" s="1">
        <v>11</v>
      </c>
      <c r="B36" s="59" t="s">
        <v>41</v>
      </c>
      <c r="C36" s="59"/>
      <c r="D36" s="59"/>
      <c r="E36" s="59"/>
      <c r="F36" s="59"/>
      <c r="G36" s="59"/>
      <c r="H36" s="59"/>
      <c r="I36" s="59"/>
      <c r="J36" s="59"/>
      <c r="K36" s="59"/>
      <c r="L36" s="59"/>
      <c r="M36" s="59"/>
      <c r="N36" s="59"/>
      <c r="O36" s="59"/>
      <c r="P36" s="59"/>
    </row>
    <row r="37" spans="1:16" x14ac:dyDescent="0.25">
      <c r="A37" s="1"/>
      <c r="B37" s="59"/>
      <c r="C37" s="59"/>
      <c r="D37" s="59"/>
      <c r="E37" s="59"/>
      <c r="F37" s="59"/>
      <c r="G37" s="59"/>
      <c r="H37" s="59"/>
      <c r="I37" s="59"/>
      <c r="J37" s="59"/>
      <c r="K37" s="59"/>
      <c r="L37" s="59"/>
      <c r="M37" s="59"/>
      <c r="N37" s="59"/>
      <c r="O37" s="59"/>
      <c r="P37" s="59"/>
    </row>
    <row r="38" spans="1:16" x14ac:dyDescent="0.25">
      <c r="A38" s="1"/>
      <c r="B38" s="59"/>
      <c r="C38" s="59"/>
      <c r="D38" s="59"/>
      <c r="E38" s="59"/>
      <c r="F38" s="59"/>
      <c r="G38" s="59"/>
      <c r="H38" s="59"/>
      <c r="I38" s="59"/>
      <c r="J38" s="59"/>
      <c r="K38" s="59"/>
      <c r="L38" s="59"/>
      <c r="M38" s="59"/>
      <c r="N38" s="59"/>
      <c r="O38" s="59"/>
      <c r="P38" s="59"/>
    </row>
    <row r="39" spans="1:16" x14ac:dyDescent="0.25">
      <c r="A39" s="1">
        <v>12</v>
      </c>
      <c r="B39" s="20" t="s">
        <v>42</v>
      </c>
      <c r="C39" s="20"/>
      <c r="D39" s="20"/>
      <c r="E39" s="20"/>
      <c r="F39" s="20"/>
      <c r="G39" s="20"/>
      <c r="H39" s="20"/>
      <c r="I39" s="20"/>
      <c r="J39" s="20"/>
      <c r="K39" s="20"/>
      <c r="L39" s="20"/>
      <c r="M39" s="20"/>
      <c r="N39" s="20"/>
      <c r="O39" s="20"/>
      <c r="P39" s="20"/>
    </row>
    <row r="40" spans="1:16" x14ac:dyDescent="0.25">
      <c r="A40" s="1"/>
      <c r="B40" s="20"/>
      <c r="C40" s="20"/>
      <c r="D40" s="20"/>
      <c r="E40" s="20"/>
      <c r="F40" s="20"/>
      <c r="G40" s="20"/>
      <c r="H40" s="20"/>
      <c r="I40" s="20"/>
      <c r="J40" s="20"/>
      <c r="K40" s="20"/>
      <c r="L40" s="20"/>
      <c r="M40" s="20"/>
      <c r="N40" s="20"/>
      <c r="O40" s="20"/>
      <c r="P40" s="20"/>
    </row>
    <row r="41" spans="1:16" x14ac:dyDescent="0.25">
      <c r="A41" s="1"/>
      <c r="B41" s="20"/>
      <c r="C41" s="20"/>
      <c r="D41" s="20"/>
      <c r="E41" s="20"/>
      <c r="F41" s="20"/>
      <c r="G41" s="20"/>
      <c r="H41" s="20"/>
      <c r="I41" s="20"/>
      <c r="J41" s="20"/>
      <c r="K41" s="20"/>
      <c r="L41" s="20"/>
      <c r="M41" s="20"/>
      <c r="N41" s="20"/>
      <c r="O41" s="20"/>
      <c r="P41" s="20"/>
    </row>
    <row r="42" spans="1:16" x14ac:dyDescent="0.25">
      <c r="A42" s="1"/>
      <c r="B42" s="20"/>
      <c r="C42" s="20"/>
      <c r="D42" s="20"/>
      <c r="E42" s="20"/>
      <c r="F42" s="20"/>
      <c r="G42" s="20"/>
      <c r="H42" s="20"/>
      <c r="I42" s="20"/>
      <c r="J42" s="20"/>
      <c r="K42" s="20"/>
      <c r="L42" s="20"/>
      <c r="M42" s="20"/>
      <c r="N42" s="20"/>
      <c r="O42" s="20"/>
      <c r="P42" s="20"/>
    </row>
    <row r="43" spans="1:16" x14ac:dyDescent="0.25">
      <c r="A43" s="60"/>
      <c r="B43" s="61"/>
      <c r="C43" s="61"/>
      <c r="D43" s="61"/>
      <c r="E43" s="61"/>
      <c r="F43" s="61"/>
      <c r="G43" s="61"/>
      <c r="H43" s="61"/>
      <c r="I43" s="61"/>
      <c r="J43" s="61"/>
      <c r="K43" s="61"/>
      <c r="L43" s="61"/>
      <c r="M43" s="61"/>
      <c r="N43" s="61"/>
      <c r="O43" s="61"/>
      <c r="P43" s="62"/>
    </row>
    <row r="44" spans="1:16" x14ac:dyDescent="0.25">
      <c r="A44" s="63">
        <v>11</v>
      </c>
      <c r="B44" s="64" t="s">
        <v>43</v>
      </c>
      <c r="C44" s="65"/>
      <c r="D44" s="65"/>
      <c r="E44" s="65"/>
      <c r="F44" s="65"/>
      <c r="G44" s="65"/>
      <c r="H44" s="65"/>
      <c r="I44" s="65"/>
      <c r="J44" s="65"/>
      <c r="K44" s="65"/>
      <c r="L44" s="65"/>
      <c r="M44" s="65"/>
      <c r="N44" s="65"/>
      <c r="O44" s="65"/>
      <c r="P44" s="65"/>
    </row>
    <row r="45" spans="1:16" x14ac:dyDescent="0.25">
      <c r="A45" s="66"/>
      <c r="B45" s="65"/>
      <c r="C45" s="65"/>
      <c r="D45" s="65"/>
      <c r="E45" s="65"/>
      <c r="F45" s="65"/>
      <c r="G45" s="65"/>
      <c r="H45" s="65"/>
      <c r="I45" s="65"/>
      <c r="J45" s="65"/>
      <c r="K45" s="65"/>
      <c r="L45" s="65"/>
      <c r="M45" s="65"/>
      <c r="N45" s="65"/>
      <c r="O45" s="65"/>
      <c r="P45" s="65"/>
    </row>
    <row r="46" spans="1:16" x14ac:dyDescent="0.25">
      <c r="A46" s="67"/>
      <c r="B46" s="65"/>
      <c r="C46" s="65"/>
      <c r="D46" s="65"/>
      <c r="E46" s="65"/>
      <c r="F46" s="65"/>
      <c r="G46" s="65"/>
      <c r="H46" s="65"/>
      <c r="I46" s="65"/>
      <c r="J46" s="65"/>
      <c r="K46" s="65"/>
      <c r="L46" s="65"/>
      <c r="M46" s="65"/>
      <c r="N46" s="65"/>
      <c r="O46" s="65"/>
      <c r="P46" s="65"/>
    </row>
  </sheetData>
  <sheetProtection sheet="1" algorithmName="SHA-512" hashValue="gV7YXfhLvEaCQfFzE6bOLk+GxaJxcyc+RSe8/KYESUXlBZXkqvyDq8SwPe7p7LDpsZlhQ3kefXwwzMW/b+uB8Q==" saltValue="rH5pqwQMaX7/u62TFFP/vQ==" spinCount="100000" objects="1" scenarios="1"/>
  <mergeCells count="64">
    <mergeCell ref="B1:D1"/>
    <mergeCell ref="E1:G1"/>
    <mergeCell ref="H1:J1"/>
    <mergeCell ref="K1:M1"/>
    <mergeCell ref="N1:P1"/>
    <mergeCell ref="A1:A3"/>
    <mergeCell ref="B2:D2"/>
    <mergeCell ref="E2:G2"/>
    <mergeCell ref="H2:J2"/>
    <mergeCell ref="K2:M2"/>
    <mergeCell ref="N2:P2"/>
    <mergeCell ref="B3:D3"/>
    <mergeCell ref="E3:G3"/>
    <mergeCell ref="H3:J3"/>
    <mergeCell ref="K3:M3"/>
    <mergeCell ref="N3:P3"/>
    <mergeCell ref="B4:D4"/>
    <mergeCell ref="E4:G4"/>
    <mergeCell ref="H4:J4"/>
    <mergeCell ref="K4:M4"/>
    <mergeCell ref="N4:P4"/>
    <mergeCell ref="A5:P5"/>
    <mergeCell ref="B6:P7"/>
    <mergeCell ref="A6:A7"/>
    <mergeCell ref="B8:P8"/>
    <mergeCell ref="B9:P11"/>
    <mergeCell ref="A9:A11"/>
    <mergeCell ref="B12:P12"/>
    <mergeCell ref="B13:P15"/>
    <mergeCell ref="A13:A15"/>
    <mergeCell ref="B16:P18"/>
    <mergeCell ref="A16:A18"/>
    <mergeCell ref="B19:P19"/>
    <mergeCell ref="A19:A29"/>
    <mergeCell ref="B20:D20"/>
    <mergeCell ref="E20:P20"/>
    <mergeCell ref="B21:D21"/>
    <mergeCell ref="E21:P21"/>
    <mergeCell ref="B22:D22"/>
    <mergeCell ref="E22:P22"/>
    <mergeCell ref="B23:D23"/>
    <mergeCell ref="E23:P23"/>
    <mergeCell ref="E24:P24"/>
    <mergeCell ref="B25:D25"/>
    <mergeCell ref="E25:P25"/>
    <mergeCell ref="B26:D26"/>
    <mergeCell ref="E26:P26"/>
    <mergeCell ref="B27:D27"/>
    <mergeCell ref="E27:P27"/>
    <mergeCell ref="B28:D28"/>
    <mergeCell ref="E28:P28"/>
    <mergeCell ref="B29:D29"/>
    <mergeCell ref="E29:P29"/>
    <mergeCell ref="B30:P32"/>
    <mergeCell ref="A30:A32"/>
    <mergeCell ref="B33:P35"/>
    <mergeCell ref="A33:A35"/>
    <mergeCell ref="B36:P38"/>
    <mergeCell ref="A36:A38"/>
    <mergeCell ref="B39:P42"/>
    <mergeCell ref="A39:A42"/>
    <mergeCell ref="A43:P43"/>
    <mergeCell ref="B44:P46"/>
    <mergeCell ref="A44:A46"/>
  </mergeCells>
  <conditionalFormatting sqref="B26">
    <cfRule type="containsText" dxfId="0" priority="2">
      <formula>NOT(ISERROR(SEARCH("Select",B26)))</formula>
    </cfRule>
  </conditionalFormatting>
  <conditionalFormatting sqref="B27">
    <cfRule type="expression" dxfId="1" priority="1">
      <formula>$K$12&lt;3</formula>
    </cfRule>
  </conditionalFormatting>
  <dataValidations count="3">
    <dataValidation type="list" allowBlank="1" showInputMessage="1" showErrorMessage="1" sqref="B25">
      <formula1>"Yes,No"</formula1>
    </dataValidation>
    <dataValidation type="list" allowBlank="1" showInputMessage="1" showErrorMessage="1" sqref="B26">
      <formula1>"Select,Yes,No,Not Applicable"</formula1>
    </dataValidation>
    <dataValidation type="decimal" operator="notEqual" allowBlank="1" showInputMessage="1" promptTitle="Numeric only" prompt="Please enter numeric value or leave blank" showErrorMessage="1" errorTitle="Numeric value only" error="Plesse do not enter &quot;0&quot; or text" sqref="B27:B28">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 Me</vt:lpstr>
      <vt:lpstr>Instruction Sheet</vt:lpstr>
      <vt:lpstr>General Information</vt:lpstr>
      <vt:lpstr>Form 1</vt:lpstr>
      <vt:lpstr>Form PE</vt:lpstr>
      <vt:lpstr>Form E2</vt:lpstr>
      <vt:lpstr>Form Sa1</vt:lpstr>
      <vt:lpstr>Annex CPP</vt:lpstr>
      <vt:lpstr> Summary Sheet</vt:lpstr>
      <vt:lpstr>NF - 5 Power Mix</vt:lpstr>
      <vt:lpstr>Emission Factor &amp; GWP Backup</vt:lpstr>
      <vt:lpstr>NF - 4 Product Mix</vt:lpstr>
      <vt:lpstr>Baseline Parameter</vt:lpstr>
      <vt:lpstr>Annex Addl Eqp List-Env</vt:lpstr>
      <vt:lpstr>Annex Project Activites List</vt:lpstr>
      <vt:lpstr>N1-BQ Bauxite Quality</vt:lpstr>
      <vt:lpstr>NF - 2 Fuel Quality CPP &amp; Cogen</vt:lpstr>
      <vt:lpstr>NF - 3 PLF</vt:lpstr>
      <vt:lpstr>NF-6 Carbon Anode Production</vt:lpstr>
      <vt:lpstr>NF-7 Smelter CU</vt:lpstr>
      <vt:lpstr>NF-8 Others</vt:lpstr>
    </vt:vector>
  </TitlesOfParts>
  <Company>BEE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dc:creator>
  <cp:lastModifiedBy>Rajnish Singh</cp:lastModifiedBy>
  <cp:lastPrinted>2025-01-31T06:15:34Z</cp:lastPrinted>
  <dcterms:created xsi:type="dcterms:W3CDTF">2013-08-26T05:25:17Z</dcterms:created>
  <dcterms:modified xsi:type="dcterms:W3CDTF">2026-05-15T04:28:02Z</dcterms:modified>
</cp:coreProperties>
</file>